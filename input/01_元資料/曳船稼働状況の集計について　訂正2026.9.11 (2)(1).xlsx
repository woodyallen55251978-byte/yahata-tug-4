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ueda.NISHIKAI\Desktop\上田資料\社長からの問合せ\"/>
    </mc:Choice>
  </mc:AlternateContent>
  <xr:revisionPtr revIDLastSave="0" documentId="13_ncr:1_{68AC471B-84FD-4401-9543-6BB1DA3B108F}" xr6:coauthVersionLast="47" xr6:coauthVersionMax="47" xr10:uidLastSave="{00000000-0000-0000-0000-000000000000}"/>
  <bookViews>
    <workbookView xWindow="-120" yWindow="-120" windowWidth="29040" windowHeight="15720" firstSheet="2" activeTab="6" xr2:uid="{F2994C04-058D-4B77-816F-BA634F5E8F5E}"/>
  </bookViews>
  <sheets>
    <sheet name="船種別作業実績（隻数）" sheetId="1" r:id="rId1"/>
    <sheet name="総作業件数" sheetId="2" r:id="rId2"/>
    <sheet name="年間延べタグ投入隻数" sheetId="3" r:id="rId3"/>
    <sheet name="年間延べタグ投入隻数の内訳・構成比" sheetId="4" r:id="rId4"/>
    <sheet name="他社タグを使用した実日数" sheetId="5" r:id="rId5"/>
    <sheet name="1日当たり平均稼働タグ隻数" sheetId="6" r:id="rId6"/>
    <sheet name="稼働タグ隻数別の日数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7" l="1"/>
  <c r="L18" i="7" l="1"/>
  <c r="E5" i="6" l="1"/>
  <c r="G5" i="6" l="1"/>
  <c r="F5" i="6" l="1"/>
  <c r="O34" i="6"/>
  <c r="O23" i="6"/>
  <c r="C26" i="6"/>
  <c r="O39" i="6" l="1"/>
  <c r="O38" i="6"/>
  <c r="O32" i="6"/>
  <c r="O31" i="6"/>
  <c r="O25" i="6"/>
  <c r="O24" i="6"/>
  <c r="O17" i="6"/>
  <c r="N40" i="6"/>
  <c r="N41" i="6" s="1"/>
  <c r="M40" i="6"/>
  <c r="M41" i="6" s="1"/>
  <c r="L40" i="6"/>
  <c r="L41" i="6" s="1"/>
  <c r="K40" i="6"/>
  <c r="K41" i="6" s="1"/>
  <c r="J40" i="6"/>
  <c r="J41" i="6" s="1"/>
  <c r="I40" i="6"/>
  <c r="I41" i="6" s="1"/>
  <c r="H40" i="6"/>
  <c r="H41" i="6" s="1"/>
  <c r="G40" i="6"/>
  <c r="G41" i="6" s="1"/>
  <c r="F40" i="6"/>
  <c r="F41" i="6" s="1"/>
  <c r="E40" i="6"/>
  <c r="E41" i="6" s="1"/>
  <c r="D40" i="6"/>
  <c r="D41" i="6" s="1"/>
  <c r="C40" i="6"/>
  <c r="C41" i="6" s="1"/>
  <c r="N33" i="6"/>
  <c r="N34" i="6" s="1"/>
  <c r="M33" i="6"/>
  <c r="M34" i="6" s="1"/>
  <c r="L33" i="6"/>
  <c r="L34" i="6" s="1"/>
  <c r="K33" i="6"/>
  <c r="K34" i="6" s="1"/>
  <c r="J33" i="6"/>
  <c r="J34" i="6" s="1"/>
  <c r="I33" i="6"/>
  <c r="I34" i="6" s="1"/>
  <c r="H33" i="6"/>
  <c r="H34" i="6" s="1"/>
  <c r="G33" i="6"/>
  <c r="G34" i="6" s="1"/>
  <c r="F33" i="6"/>
  <c r="F34" i="6" s="1"/>
  <c r="E33" i="6"/>
  <c r="E34" i="6" s="1"/>
  <c r="D33" i="6"/>
  <c r="D34" i="6" s="1"/>
  <c r="C33" i="6"/>
  <c r="C34" i="6" s="1"/>
  <c r="D27" i="6"/>
  <c r="N26" i="6"/>
  <c r="N27" i="6" s="1"/>
  <c r="M26" i="6"/>
  <c r="M27" i="6" s="1"/>
  <c r="L26" i="6"/>
  <c r="L27" i="6" s="1"/>
  <c r="K26" i="6"/>
  <c r="K27" i="6" s="1"/>
  <c r="J26" i="6"/>
  <c r="J27" i="6" s="1"/>
  <c r="I26" i="6"/>
  <c r="I27" i="6" s="1"/>
  <c r="H26" i="6"/>
  <c r="H27" i="6" s="1"/>
  <c r="G26" i="6"/>
  <c r="G27" i="6" s="1"/>
  <c r="F26" i="6"/>
  <c r="F27" i="6" s="1"/>
  <c r="E26" i="6"/>
  <c r="D26" i="6"/>
  <c r="C27" i="6"/>
  <c r="C19" i="6"/>
  <c r="O20" i="6"/>
  <c r="D5" i="6" s="1"/>
  <c r="D20" i="6"/>
  <c r="E20" i="6"/>
  <c r="F20" i="6"/>
  <c r="G20" i="6"/>
  <c r="H20" i="6"/>
  <c r="I20" i="6"/>
  <c r="J20" i="6"/>
  <c r="K20" i="6"/>
  <c r="L20" i="6"/>
  <c r="M20" i="6"/>
  <c r="N20" i="6"/>
  <c r="C20" i="6"/>
  <c r="E13" i="6"/>
  <c r="D12" i="6"/>
  <c r="E12" i="6"/>
  <c r="F12" i="6"/>
  <c r="F13" i="6" s="1"/>
  <c r="G12" i="6"/>
  <c r="G13" i="6" s="1"/>
  <c r="H12" i="6"/>
  <c r="I12" i="6"/>
  <c r="J12" i="6"/>
  <c r="K12" i="6"/>
  <c r="L12" i="6"/>
  <c r="L13" i="6" s="1"/>
  <c r="M12" i="6"/>
  <c r="N12" i="6"/>
  <c r="C12" i="6"/>
  <c r="O19" i="6"/>
  <c r="D19" i="6"/>
  <c r="E19" i="6"/>
  <c r="F19" i="6"/>
  <c r="G19" i="6"/>
  <c r="H19" i="6"/>
  <c r="I19" i="6"/>
  <c r="J19" i="6"/>
  <c r="K19" i="6"/>
  <c r="L19" i="6"/>
  <c r="M19" i="6"/>
  <c r="N19" i="6"/>
  <c r="O18" i="6"/>
  <c r="D13" i="6"/>
  <c r="H13" i="6"/>
  <c r="I13" i="6"/>
  <c r="J13" i="6"/>
  <c r="K13" i="6"/>
  <c r="M13" i="6"/>
  <c r="N13" i="6"/>
  <c r="C13" i="6"/>
  <c r="O10" i="6"/>
  <c r="O11" i="6"/>
  <c r="O9" i="6"/>
  <c r="O33" i="6" l="1"/>
  <c r="O26" i="6"/>
  <c r="O27" i="6" s="1"/>
  <c r="O40" i="6"/>
  <c r="O41" i="6" s="1"/>
  <c r="E27" i="6"/>
  <c r="O13" i="6"/>
  <c r="C5" i="6" s="1"/>
  <c r="O12" i="6"/>
  <c r="L22" i="7" l="1"/>
  <c r="L14" i="7"/>
  <c r="L10" i="7"/>
  <c r="O37" i="6" l="1"/>
  <c r="O30" i="6"/>
  <c r="O16" i="6"/>
  <c r="D15" i="1" l="1"/>
  <c r="E15" i="1"/>
  <c r="F15" i="1"/>
  <c r="G15" i="1"/>
  <c r="C15" i="1"/>
</calcChain>
</file>

<file path=xl/sharedStrings.xml><?xml version="1.0" encoding="utf-8"?>
<sst xmlns="http://schemas.openxmlformats.org/spreadsheetml/2006/main" count="236" uniqueCount="85">
  <si>
    <t>鉱石</t>
    <rPh sb="0" eb="2">
      <t>コウセキ</t>
    </rPh>
    <phoneticPr fontId="1"/>
  </si>
  <si>
    <t>石炭</t>
    <rPh sb="0" eb="2">
      <t>セキタン</t>
    </rPh>
    <phoneticPr fontId="1"/>
  </si>
  <si>
    <t>副原料</t>
    <rPh sb="0" eb="3">
      <t>フクゲンリョウ</t>
    </rPh>
    <phoneticPr fontId="1"/>
  </si>
  <si>
    <t>鋼材</t>
    <rPh sb="0" eb="2">
      <t>コウザイ</t>
    </rPh>
    <phoneticPr fontId="1"/>
  </si>
  <si>
    <t>LNG</t>
    <phoneticPr fontId="1"/>
  </si>
  <si>
    <t>Ⓢ原料</t>
    <rPh sb="1" eb="3">
      <t>ゲンリョウ</t>
    </rPh>
    <phoneticPr fontId="1"/>
  </si>
  <si>
    <t>Ⓢ鋼材</t>
    <rPh sb="1" eb="3">
      <t>コウザイ</t>
    </rPh>
    <phoneticPr fontId="1"/>
  </si>
  <si>
    <t>Ⓢ内航</t>
    <rPh sb="1" eb="3">
      <t>ナイコウ</t>
    </rPh>
    <phoneticPr fontId="1"/>
  </si>
  <si>
    <t>安瀬</t>
    <rPh sb="0" eb="2">
      <t>アンセ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</si>
  <si>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</si>
  <si>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</si>
  <si>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船種別作業実績（隻数）</t>
    <phoneticPr fontId="1"/>
  </si>
  <si>
    <t>総作業件数</t>
    <phoneticPr fontId="1"/>
  </si>
  <si>
    <t>総作業件数</t>
    <rPh sb="0" eb="1">
      <t>ソウ</t>
    </rPh>
    <rPh sb="1" eb="3">
      <t>サギョウ</t>
    </rPh>
    <rPh sb="3" eb="5">
      <t>ケンスウ</t>
    </rPh>
    <phoneticPr fontId="1"/>
  </si>
  <si>
    <t>年間延べタグ投入隻数</t>
    <phoneticPr fontId="1"/>
  </si>
  <si>
    <t>年間延べタグ投入隻数の内訳・構成比</t>
    <phoneticPr fontId="1"/>
  </si>
  <si>
    <t>①西日本海運グループ</t>
    <rPh sb="1" eb="4">
      <t>ニシニホン</t>
    </rPh>
    <rPh sb="4" eb="6">
      <t>カイウン</t>
    </rPh>
    <phoneticPr fontId="1"/>
  </si>
  <si>
    <t>　製鉄曳船＋西日本海運＝西日本海運グループ計</t>
    <phoneticPr fontId="1"/>
  </si>
  <si>
    <t>②他社</t>
    <phoneticPr fontId="1"/>
  </si>
  <si>
    <t>　+関門タグ事業者協会（シーゲート、グリーンシッピング、日物）</t>
    <phoneticPr fontId="1"/>
  </si>
  <si>
    <t>　響灘・洞海タグ協会（洞海マリン、矢野海運）</t>
    <phoneticPr fontId="1"/>
  </si>
  <si>
    <t>　+その他＝他社計</t>
    <phoneticPr fontId="1"/>
  </si>
  <si>
    <t>他社タグを使用した実日数</t>
    <phoneticPr fontId="1"/>
  </si>
  <si>
    <t>1日当たり平均稼働タグ隻数</t>
    <phoneticPr fontId="1"/>
  </si>
  <si>
    <t>稼働タグ隻数別の日数</t>
    <phoneticPr fontId="1"/>
  </si>
  <si>
    <t>1日当たり平均稼働タグ隻数</t>
    <rPh sb="1" eb="2">
      <t>ニチ</t>
    </rPh>
    <rPh sb="2" eb="3">
      <t>ア</t>
    </rPh>
    <rPh sb="5" eb="7">
      <t>ヘイキン</t>
    </rPh>
    <rPh sb="7" eb="9">
      <t>カドウ</t>
    </rPh>
    <rPh sb="11" eb="13">
      <t>セキスウ</t>
    </rPh>
    <phoneticPr fontId="1"/>
  </si>
  <si>
    <t>他社タグを使用した実日数</t>
    <rPh sb="0" eb="2">
      <t>タシャ</t>
    </rPh>
    <rPh sb="5" eb="7">
      <t>シヨウ</t>
    </rPh>
    <rPh sb="9" eb="10">
      <t>ミ</t>
    </rPh>
    <rPh sb="10" eb="12">
      <t>ニッスウ</t>
    </rPh>
    <phoneticPr fontId="1"/>
  </si>
  <si>
    <t>3,027(93％)</t>
    <phoneticPr fontId="1"/>
  </si>
  <si>
    <t>2,815(93％)</t>
    <phoneticPr fontId="1"/>
  </si>
  <si>
    <t>3,041(96%)</t>
    <phoneticPr fontId="1"/>
  </si>
  <si>
    <t>R7</t>
    <phoneticPr fontId="1"/>
  </si>
  <si>
    <t>R6</t>
    <phoneticPr fontId="1"/>
  </si>
  <si>
    <t>R5</t>
    <phoneticPr fontId="1"/>
  </si>
  <si>
    <t>R4</t>
    <phoneticPr fontId="1"/>
  </si>
  <si>
    <t>R3</t>
    <phoneticPr fontId="1"/>
  </si>
  <si>
    <t>2025年</t>
    <rPh sb="4" eb="5">
      <t>ネン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</si>
  <si>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</si>
  <si>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</si>
  <si>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</si>
  <si>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</si>
  <si>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</si>
  <si>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</si>
  <si>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</si>
  <si>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</si>
  <si>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</si>
  <si>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</si>
  <si>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</si>
  <si>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</si>
  <si>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TOTAL</t>
    <phoneticPr fontId="1"/>
  </si>
  <si>
    <t>STC</t>
    <phoneticPr fontId="1"/>
  </si>
  <si>
    <t>2024年</t>
    <rPh sb="4" eb="5">
      <t>ネン</t>
    </rPh>
    <phoneticPr fontId="1"/>
  </si>
  <si>
    <t>2023年</t>
    <rPh sb="4" eb="5">
      <t>ネン</t>
    </rPh>
    <phoneticPr fontId="1"/>
  </si>
  <si>
    <t>2022年</t>
    <rPh sb="4" eb="5">
      <t>ネン</t>
    </rPh>
    <phoneticPr fontId="1"/>
  </si>
  <si>
    <t>2021年</t>
    <rPh sb="4" eb="5">
      <t>ネン</t>
    </rPh>
    <phoneticPr fontId="1"/>
  </si>
  <si>
    <t>10隻以上</t>
    <rPh sb="2" eb="3">
      <t>セキ</t>
    </rPh>
    <rPh sb="3" eb="5">
      <t>イジョウ</t>
    </rPh>
    <phoneticPr fontId="6"/>
  </si>
  <si>
    <t>9隻</t>
    <rPh sb="1" eb="2">
      <t>セキ</t>
    </rPh>
    <phoneticPr fontId="6"/>
  </si>
  <si>
    <t>8隻</t>
    <rPh sb="1" eb="2">
      <t>セキ</t>
    </rPh>
    <phoneticPr fontId="6"/>
  </si>
  <si>
    <t>7隻</t>
    <rPh sb="1" eb="2">
      <t>セキ</t>
    </rPh>
    <phoneticPr fontId="6"/>
  </si>
  <si>
    <t>6隻</t>
    <rPh sb="1" eb="2">
      <t>セキ</t>
    </rPh>
    <phoneticPr fontId="6"/>
  </si>
  <si>
    <t>5隻</t>
    <rPh sb="1" eb="2">
      <t>セキ</t>
    </rPh>
    <phoneticPr fontId="6"/>
  </si>
  <si>
    <t>4隻</t>
    <rPh sb="1" eb="2">
      <t>セキ</t>
    </rPh>
    <phoneticPr fontId="6"/>
  </si>
  <si>
    <t>3隻</t>
    <rPh sb="1" eb="2">
      <t>セキ</t>
    </rPh>
    <phoneticPr fontId="6"/>
  </si>
  <si>
    <t>2隻以下</t>
    <rPh sb="1" eb="2">
      <t>セキ</t>
    </rPh>
    <rPh sb="2" eb="4">
      <t>イカ</t>
    </rPh>
    <phoneticPr fontId="6"/>
  </si>
  <si>
    <t>稼働タグ隻数別の日数</t>
    <phoneticPr fontId="1"/>
  </si>
  <si>
    <t>令和7年度　2025</t>
    <rPh sb="0" eb="2">
      <t>レイワ</t>
    </rPh>
    <rPh sb="3" eb="5">
      <t>ネンド</t>
    </rPh>
    <phoneticPr fontId="1"/>
  </si>
  <si>
    <t>令和6年度　2024</t>
    <rPh sb="0" eb="2">
      <t>レイワ</t>
    </rPh>
    <rPh sb="3" eb="5">
      <t>ネンド</t>
    </rPh>
    <phoneticPr fontId="1"/>
  </si>
  <si>
    <t>令和5年度　2023</t>
    <rPh sb="0" eb="2">
      <t>レイワ</t>
    </rPh>
    <rPh sb="3" eb="5">
      <t>ネンド</t>
    </rPh>
    <phoneticPr fontId="1"/>
  </si>
  <si>
    <t>令和4年度　2022</t>
    <rPh sb="0" eb="2">
      <t>レイワ</t>
    </rPh>
    <rPh sb="3" eb="5">
      <t>ネンド</t>
    </rPh>
    <phoneticPr fontId="1"/>
  </si>
  <si>
    <t>(点描・出荷調整の作業件数)</t>
    <rPh sb="1" eb="3">
      <t>テンビョウ</t>
    </rPh>
    <rPh sb="4" eb="6">
      <t>シュッカ</t>
    </rPh>
    <rPh sb="6" eb="8">
      <t>チョウセイ</t>
    </rPh>
    <rPh sb="9" eb="11">
      <t>サギョウ</t>
    </rPh>
    <rPh sb="11" eb="13">
      <t>ケンスウ</t>
    </rPh>
    <phoneticPr fontId="1"/>
  </si>
  <si>
    <t>(点描・需給調整の作業件数)</t>
    <rPh sb="1" eb="3">
      <t>テンビョウ</t>
    </rPh>
    <rPh sb="4" eb="8">
      <t>ジュキュウチョウセイ</t>
    </rPh>
    <rPh sb="9" eb="11">
      <t>サギョウ</t>
    </rPh>
    <rPh sb="11" eb="13">
      <t>ケンスウ</t>
    </rPh>
    <phoneticPr fontId="1"/>
  </si>
  <si>
    <t>(宮幡丸・慶洋丸等の作業件数）</t>
    <rPh sb="1" eb="4">
      <t>ミヤハタマル</t>
    </rPh>
    <rPh sb="5" eb="7">
      <t>ケイヨウ</t>
    </rPh>
    <rPh sb="7" eb="8">
      <t>マル</t>
    </rPh>
    <rPh sb="8" eb="9">
      <t>トウ</t>
    </rPh>
    <rPh sb="10" eb="12">
      <t>サギョウ</t>
    </rPh>
    <rPh sb="12" eb="14">
      <t>ケンスウ</t>
    </rPh>
    <phoneticPr fontId="1"/>
  </si>
  <si>
    <t>(本船入港隻数)</t>
    <rPh sb="1" eb="3">
      <t>ホンセン</t>
    </rPh>
    <rPh sb="3" eb="5">
      <t>ニュウコウ</t>
    </rPh>
    <rPh sb="5" eb="7">
      <t>セキスウ</t>
    </rPh>
    <phoneticPr fontId="1"/>
  </si>
  <si>
    <t>(新珠丸・白島・若松応援等の作業件数)</t>
    <rPh sb="1" eb="4">
      <t>シンジュマル</t>
    </rPh>
    <rPh sb="5" eb="7">
      <t>シラシマ</t>
    </rPh>
    <rPh sb="12" eb="13">
      <t>トウ</t>
    </rPh>
    <rPh sb="14" eb="16">
      <t>サギョウ</t>
    </rPh>
    <rPh sb="16" eb="18">
      <t>ケンスウ</t>
    </rPh>
    <phoneticPr fontId="1"/>
  </si>
  <si>
    <t>235(7%)</t>
    <phoneticPr fontId="1"/>
  </si>
  <si>
    <t>212(7%)</t>
    <phoneticPr fontId="1"/>
  </si>
  <si>
    <t>140(4%)</t>
    <phoneticPr fontId="1"/>
  </si>
  <si>
    <t>令和3年度　2021</t>
    <rPh sb="0" eb="2">
      <t>レイワ</t>
    </rPh>
    <rPh sb="3" eb="5">
      <t>ネンド</t>
    </rPh>
    <phoneticPr fontId="1"/>
  </si>
  <si>
    <t>西海</t>
    <rPh sb="0" eb="2">
      <t>ニシカイ</t>
    </rPh>
    <phoneticPr fontId="1"/>
  </si>
  <si>
    <t>他社</t>
    <rPh sb="0" eb="2">
      <t>タシャ</t>
    </rPh>
    <phoneticPr fontId="1"/>
  </si>
  <si>
    <t>西海＋他社　小計</t>
    <rPh sb="0" eb="2">
      <t>ニシカイ</t>
    </rPh>
    <rPh sb="3" eb="5">
      <t>タシャ</t>
    </rPh>
    <rPh sb="6" eb="8">
      <t>ショウケイ</t>
    </rPh>
    <phoneticPr fontId="1"/>
  </si>
  <si>
    <t>366日</t>
    <rPh sb="3" eb="4">
      <t>ヒ</t>
    </rPh>
    <phoneticPr fontId="1"/>
  </si>
  <si>
    <t>2,744(90%)</t>
    <phoneticPr fontId="1"/>
  </si>
  <si>
    <t>309(10%)</t>
    <phoneticPr fontId="1"/>
  </si>
  <si>
    <t>2,946(93%)</t>
    <phoneticPr fontId="1"/>
  </si>
  <si>
    <t>218(7%)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</si>
</sst>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8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38" fontId="0" fillId="0" borderId="0" xfId="1" applyFont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38" fontId="2" fillId="0" borderId="0" xfId="1" applyFont="1" applyAlignment="1">
      <alignment horizontal="center" vertical="center" shrinkToFit="1"/>
    </xf>
    <xf numFmtId="38" fontId="0" fillId="0" borderId="0" xfId="1" applyFont="1" applyAlignment="1">
      <alignment horizontal="center" vertical="center" shrinkToFit="1"/>
    </xf>
    <xf numFmtId="38" fontId="0" fillId="0" borderId="1" xfId="1" applyFont="1" applyBorder="1" applyAlignment="1">
      <alignment horizontal="center" vertical="center" shrinkToFit="1"/>
    </xf>
    <xf numFmtId="38" fontId="3" fillId="0" borderId="1" xfId="1" applyFont="1" applyBorder="1" applyAlignment="1">
      <alignment horizontal="center" vertical="center" shrinkToFit="1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38" fontId="2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 shrinkToFi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right" vertical="center"/>
    </xf>
    <xf numFmtId="0" fontId="2" fillId="0" borderId="0" xfId="0" applyFont="1" applyAlignment="1">
      <alignment horizontal="center" vertical="center" shrinkToFit="1"/>
    </xf>
    <xf numFmtId="38" fontId="2" fillId="0" borderId="0" xfId="1" applyFont="1" applyAlignment="1">
      <alignment horizontal="center" vertical="center"/>
    </xf>
    <xf numFmtId="38" fontId="0" fillId="0" borderId="2" xfId="1" applyFont="1" applyBorder="1" applyAlignment="1">
      <alignment horizontal="left" vertical="center"/>
    </xf>
    <xf numFmtId="38" fontId="0" fillId="0" borderId="0" xfId="1" applyFont="1" applyAlignment="1">
      <alignment horizontal="left" vertical="center"/>
    </xf>
    <xf numFmtId="38" fontId="0" fillId="0" borderId="0" xfId="1" applyFont="1" applyBorder="1" applyAlignment="1">
      <alignment horizontal="left" vertical="center"/>
    </xf>
    <xf numFmtId="38" fontId="2" fillId="0" borderId="0" xfId="1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8849-C125-4786-AAD7-713C25613518}">
  <dimension ref="A1:K15"/>
  <sheetViews>
    <sheetView workbookViewId="0">
      <selection sqref="A1:H2"/>
    </sheetView>
  </sheetViews>
  <sheetFormatPr defaultRowHeight="18.75" x14ac:dyDescent="0.4"/>
  <cols>
    <col min="1" max="16384" width="9" style="8"/>
  </cols>
  <sheetData>
    <row r="1" spans="1:11" ht="18.75" customHeight="1" x14ac:dyDescent="0.4">
      <c r="A1" s="32" t="s">
        <v>11</v>
      </c>
      <c r="B1" s="32"/>
      <c r="C1" s="32"/>
      <c r="D1" s="32"/>
      <c r="E1" s="32"/>
      <c r="F1" s="32"/>
      <c r="G1" s="32"/>
      <c r="H1" s="32"/>
    </row>
    <row r="2" spans="1:11" ht="18.75" customHeight="1" x14ac:dyDescent="0.4">
      <c r="A2" s="32"/>
      <c r="B2" s="32"/>
      <c r="C2" s="32"/>
      <c r="D2" s="32"/>
      <c r="E2" s="32"/>
      <c r="F2" s="32"/>
      <c r="G2" s="32"/>
      <c r="H2" s="32"/>
    </row>
    <row r="3" spans="1:11" ht="18.75" customHeight="1" x14ac:dyDescent="0.4">
      <c r="A3" s="20"/>
      <c r="B3" s="20"/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20"/>
    </row>
    <row r="4" spans="1:11" x14ac:dyDescent="0.4">
      <c r="B4" s="9"/>
      <c r="C4" s="5">
        <v>2025</v>
      </c>
      <c r="D4" s="5">
        <v>2024</v>
      </c>
      <c r="E4" s="5">
        <v>2023</v>
      </c>
      <c r="F4" s="5">
        <v>2022</v>
      </c>
      <c r="G4" s="5">
        <v>2021</v>
      </c>
    </row>
    <row r="5" spans="1:11" x14ac:dyDescent="0.4">
      <c r="B5" s="9" t="s">
        <v>0</v>
      </c>
      <c r="C5" s="9">
        <v>58</v>
      </c>
      <c r="D5" s="9">
        <v>63</v>
      </c>
      <c r="E5" s="9">
        <v>69</v>
      </c>
      <c r="F5" s="9">
        <v>63</v>
      </c>
      <c r="G5" s="9">
        <v>70</v>
      </c>
      <c r="H5" s="33" t="s">
        <v>71</v>
      </c>
      <c r="I5" s="34"/>
      <c r="J5" s="34"/>
    </row>
    <row r="6" spans="1:11" x14ac:dyDescent="0.4">
      <c r="B6" s="9" t="s">
        <v>1</v>
      </c>
      <c r="C6" s="9">
        <v>82</v>
      </c>
      <c r="D6" s="9">
        <v>76</v>
      </c>
      <c r="E6" s="9">
        <v>81</v>
      </c>
      <c r="F6" s="9">
        <v>77</v>
      </c>
      <c r="G6" s="9">
        <v>86</v>
      </c>
      <c r="H6" s="33" t="s">
        <v>71</v>
      </c>
      <c r="I6" s="34"/>
      <c r="J6" s="34"/>
    </row>
    <row r="7" spans="1:11" x14ac:dyDescent="0.4">
      <c r="B7" s="9" t="s">
        <v>2</v>
      </c>
      <c r="C7" s="9">
        <v>24</v>
      </c>
      <c r="D7" s="9">
        <v>26</v>
      </c>
      <c r="E7" s="9">
        <v>32</v>
      </c>
      <c r="F7" s="9">
        <v>34</v>
      </c>
      <c r="G7" s="9">
        <v>40</v>
      </c>
      <c r="H7" s="33" t="s">
        <v>71</v>
      </c>
      <c r="I7" s="34"/>
      <c r="J7" s="34"/>
    </row>
    <row r="8" spans="1:11" x14ac:dyDescent="0.4">
      <c r="B8" s="9" t="s">
        <v>3</v>
      </c>
      <c r="C8" s="9">
        <v>273</v>
      </c>
      <c r="D8" s="9">
        <v>277</v>
      </c>
      <c r="E8" s="9">
        <v>263</v>
      </c>
      <c r="F8" s="9">
        <v>264</v>
      </c>
      <c r="G8" s="9">
        <v>281</v>
      </c>
      <c r="H8" s="33" t="s">
        <v>71</v>
      </c>
      <c r="I8" s="34"/>
      <c r="J8" s="34"/>
    </row>
    <row r="9" spans="1:11" x14ac:dyDescent="0.4">
      <c r="B9" s="9" t="s">
        <v>4</v>
      </c>
      <c r="C9" s="9">
        <v>14</v>
      </c>
      <c r="D9" s="9">
        <v>12</v>
      </c>
      <c r="E9" s="9">
        <v>14</v>
      </c>
      <c r="F9" s="9">
        <v>17</v>
      </c>
      <c r="G9" s="9">
        <v>13</v>
      </c>
      <c r="H9" s="33" t="s">
        <v>71</v>
      </c>
      <c r="I9" s="34"/>
      <c r="J9" s="34"/>
    </row>
    <row r="10" spans="1:11" x14ac:dyDescent="0.4">
      <c r="B10" s="9" t="s">
        <v>5</v>
      </c>
      <c r="C10" s="9">
        <v>38</v>
      </c>
      <c r="D10" s="9">
        <v>34</v>
      </c>
      <c r="E10" s="9">
        <v>28</v>
      </c>
      <c r="F10" s="9">
        <v>17</v>
      </c>
      <c r="G10" s="9">
        <v>48</v>
      </c>
      <c r="H10" s="33" t="s">
        <v>69</v>
      </c>
      <c r="I10" s="34"/>
      <c r="J10" s="34"/>
    </row>
    <row r="11" spans="1:11" x14ac:dyDescent="0.4">
      <c r="B11" s="9" t="s">
        <v>6</v>
      </c>
      <c r="C11" s="9">
        <v>86</v>
      </c>
      <c r="D11" s="9">
        <v>73</v>
      </c>
      <c r="E11" s="9">
        <v>87</v>
      </c>
      <c r="F11" s="9">
        <v>84</v>
      </c>
      <c r="G11" s="9">
        <v>112</v>
      </c>
      <c r="H11" s="33" t="s">
        <v>68</v>
      </c>
      <c r="I11" s="34"/>
      <c r="J11" s="34"/>
    </row>
    <row r="12" spans="1:11" x14ac:dyDescent="0.4">
      <c r="B12" s="9" t="s">
        <v>7</v>
      </c>
      <c r="C12" s="9">
        <v>72</v>
      </c>
      <c r="D12" s="9">
        <v>89</v>
      </c>
      <c r="E12" s="9">
        <v>75</v>
      </c>
      <c r="F12" s="9">
        <v>88</v>
      </c>
      <c r="G12" s="9">
        <v>86</v>
      </c>
      <c r="H12" s="33" t="s">
        <v>70</v>
      </c>
      <c r="I12" s="35"/>
      <c r="J12" s="35"/>
      <c r="K12" s="35"/>
    </row>
    <row r="13" spans="1:11" x14ac:dyDescent="0.4">
      <c r="B13" s="9" t="s">
        <v>8</v>
      </c>
      <c r="C13" s="9">
        <v>34</v>
      </c>
      <c r="D13" s="9">
        <v>27</v>
      </c>
      <c r="E13" s="9">
        <v>33</v>
      </c>
      <c r="F13" s="9">
        <v>20</v>
      </c>
      <c r="G13" s="9">
        <v>8</v>
      </c>
      <c r="H13" s="33" t="s">
        <v>71</v>
      </c>
      <c r="I13" s="34"/>
      <c r="J13" s="34"/>
    </row>
    <row r="14" spans="1:11" x14ac:dyDescent="0.4">
      <c r="B14" s="9" t="s">
        <v>9</v>
      </c>
      <c r="C14" s="9">
        <v>59</v>
      </c>
      <c r="D14" s="9">
        <v>97</v>
      </c>
      <c r="E14" s="9">
        <v>84</v>
      </c>
      <c r="F14" s="9">
        <v>67</v>
      </c>
      <c r="G14" s="9">
        <v>86</v>
      </c>
      <c r="H14" s="33" t="s">
        <v>72</v>
      </c>
      <c r="I14" s="35"/>
      <c r="J14" s="35"/>
      <c r="K14" s="35"/>
    </row>
    <row r="15" spans="1:11" x14ac:dyDescent="0.4">
      <c r="B15" s="9" t="s">
        <v>10</v>
      </c>
      <c r="C15" s="9">
        <f>SUM(C5:C14)</f>
        <v>740</v>
      </c>
      <c r="D15" s="9">
        <f t="shared" ref="D15:G15" si="0">SUM(D5:D14)</f>
        <v>774</v>
      </c>
      <c r="E15" s="9">
        <f t="shared" si="0"/>
        <v>766</v>
      </c>
      <c r="F15" s="9">
        <f t="shared" si="0"/>
        <v>731</v>
      </c>
      <c r="G15" s="9">
        <f t="shared" si="0"/>
        <v>830</v>
      </c>
    </row>
  </sheetData>
  <mergeCells count="11">
    <mergeCell ref="A1:H2"/>
    <mergeCell ref="H10:J10"/>
    <mergeCell ref="H11:J11"/>
    <mergeCell ref="H12:K12"/>
    <mergeCell ref="H14:K14"/>
    <mergeCell ref="H5:J5"/>
    <mergeCell ref="H6:J6"/>
    <mergeCell ref="H7:J7"/>
    <mergeCell ref="H8:J8"/>
    <mergeCell ref="H9:J9"/>
    <mergeCell ref="H13:J13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1EEA-46FA-439E-B1D3-FDF9AD1A2417}">
  <dimension ref="A1:H5"/>
  <sheetViews>
    <sheetView workbookViewId="0">
      <selection activeCell="G21" sqref="G21"/>
    </sheetView>
  </sheetViews>
  <sheetFormatPr defaultRowHeight="18.75" x14ac:dyDescent="0.4"/>
  <cols>
    <col min="1" max="16384" width="9" style="11"/>
  </cols>
  <sheetData>
    <row r="1" spans="1:8" x14ac:dyDescent="0.4">
      <c r="A1" s="36" t="s">
        <v>12</v>
      </c>
      <c r="B1" s="36"/>
      <c r="C1" s="36"/>
      <c r="D1" s="36"/>
      <c r="E1" s="36"/>
      <c r="F1" s="36"/>
      <c r="G1" s="36"/>
      <c r="H1" s="36"/>
    </row>
    <row r="2" spans="1:8" x14ac:dyDescent="0.4">
      <c r="A2" s="36"/>
      <c r="B2" s="36"/>
      <c r="C2" s="36"/>
      <c r="D2" s="36"/>
      <c r="E2" s="36"/>
      <c r="F2" s="36"/>
      <c r="G2" s="36"/>
      <c r="H2" s="36"/>
    </row>
    <row r="3" spans="1:8" ht="18.75" customHeight="1" x14ac:dyDescent="0.4">
      <c r="A3" s="10"/>
      <c r="B3" s="10"/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10"/>
    </row>
    <row r="4" spans="1:8" x14ac:dyDescent="0.4">
      <c r="B4" s="12"/>
      <c r="C4" s="5">
        <v>2025</v>
      </c>
      <c r="D4" s="5">
        <v>2024</v>
      </c>
      <c r="E4" s="5">
        <v>2023</v>
      </c>
      <c r="F4" s="5">
        <v>2022</v>
      </c>
      <c r="G4" s="5">
        <v>2021</v>
      </c>
    </row>
    <row r="5" spans="1:8" x14ac:dyDescent="0.4">
      <c r="B5" s="12" t="s">
        <v>13</v>
      </c>
      <c r="C5" s="12">
        <v>1249</v>
      </c>
      <c r="D5" s="12">
        <v>1277</v>
      </c>
      <c r="E5" s="12">
        <v>1286</v>
      </c>
      <c r="F5" s="12">
        <v>1238</v>
      </c>
      <c r="G5" s="12">
        <v>1347</v>
      </c>
    </row>
  </sheetData>
  <mergeCells count="1">
    <mergeCell ref="A1:H2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952D-CAFC-4DE9-A56B-FDC1F548B9C7}">
  <dimension ref="A1:H5"/>
  <sheetViews>
    <sheetView workbookViewId="0">
      <selection activeCell="K9" sqref="K9"/>
    </sheetView>
  </sheetViews>
  <sheetFormatPr defaultRowHeight="18.75" x14ac:dyDescent="0.4"/>
  <cols>
    <col min="1" max="1" width="2.625" style="19" customWidth="1"/>
    <col min="2" max="2" width="21.375" style="19" bestFit="1" customWidth="1"/>
    <col min="3" max="16384" width="9" style="19"/>
  </cols>
  <sheetData>
    <row r="1" spans="1:8" x14ac:dyDescent="0.4">
      <c r="A1" s="31" t="s">
        <v>14</v>
      </c>
      <c r="B1" s="31"/>
      <c r="C1" s="31"/>
      <c r="D1" s="31"/>
      <c r="E1" s="31"/>
      <c r="F1" s="31"/>
      <c r="G1" s="31"/>
      <c r="H1" s="31"/>
    </row>
    <row r="2" spans="1:8" x14ac:dyDescent="0.4">
      <c r="A2" s="31"/>
      <c r="B2" s="31"/>
      <c r="C2" s="31"/>
      <c r="D2" s="31"/>
      <c r="E2" s="31"/>
      <c r="F2" s="31"/>
      <c r="G2" s="31"/>
      <c r="H2" s="31"/>
    </row>
    <row r="3" spans="1:8" ht="18.75" customHeight="1" x14ac:dyDescent="0.4">
      <c r="A3" s="2"/>
      <c r="B3" s="2"/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2"/>
    </row>
    <row r="4" spans="1:8" x14ac:dyDescent="0.4">
      <c r="A4" s="4"/>
      <c r="B4" s="5"/>
      <c r="C4" s="5">
        <v>2025</v>
      </c>
      <c r="D4" s="5">
        <v>2024</v>
      </c>
      <c r="E4" s="5">
        <v>2023</v>
      </c>
      <c r="F4" s="5">
        <v>2022</v>
      </c>
      <c r="G4" s="5">
        <v>2021</v>
      </c>
      <c r="H4" s="4"/>
    </row>
    <row r="5" spans="1:8" x14ac:dyDescent="0.4">
      <c r="A5" s="4"/>
      <c r="B5" s="5" t="s">
        <v>14</v>
      </c>
      <c r="C5" s="12">
        <v>3053</v>
      </c>
      <c r="D5" s="12">
        <v>3164</v>
      </c>
      <c r="E5" s="12">
        <v>3262</v>
      </c>
      <c r="F5" s="12">
        <v>3027</v>
      </c>
      <c r="G5" s="12">
        <v>3181</v>
      </c>
      <c r="H5" s="4"/>
    </row>
  </sheetData>
  <mergeCells count="1">
    <mergeCell ref="A1:H2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905C-0D08-4A0A-BC07-135E492F3EFE}">
  <dimension ref="A1:H41"/>
  <sheetViews>
    <sheetView workbookViewId="0">
      <selection activeCell="I26" sqref="I26"/>
    </sheetView>
  </sheetViews>
  <sheetFormatPr defaultRowHeight="18.75" x14ac:dyDescent="0.4"/>
  <cols>
    <col min="1" max="1" width="2.375" style="19" customWidth="1"/>
    <col min="2" max="2" width="23.5" style="19" bestFit="1" customWidth="1"/>
    <col min="3" max="16384" width="9" style="19"/>
  </cols>
  <sheetData>
    <row r="1" spans="1:8" x14ac:dyDescent="0.4">
      <c r="A1" s="31" t="s">
        <v>15</v>
      </c>
      <c r="B1" s="31"/>
      <c r="C1" s="31"/>
      <c r="D1" s="31"/>
      <c r="E1" s="31"/>
      <c r="F1" s="31"/>
      <c r="G1" s="31"/>
      <c r="H1" s="31"/>
    </row>
    <row r="2" spans="1:8" x14ac:dyDescent="0.4">
      <c r="A2" s="31"/>
      <c r="B2" s="31"/>
      <c r="C2" s="31"/>
      <c r="D2" s="31"/>
      <c r="E2" s="31"/>
      <c r="F2" s="31"/>
      <c r="G2" s="31"/>
      <c r="H2" s="31"/>
    </row>
    <row r="3" spans="1:8" s="22" customFormat="1" ht="18.75" customHeight="1" x14ac:dyDescent="0.4">
      <c r="A3" s="6"/>
      <c r="B3" s="6"/>
      <c r="C3" s="6"/>
      <c r="D3" s="6"/>
      <c r="E3" s="6"/>
      <c r="F3" s="6"/>
      <c r="G3" s="6"/>
      <c r="H3" s="6"/>
    </row>
    <row r="4" spans="1:8" s="22" customFormat="1" ht="18.75" customHeight="1" x14ac:dyDescent="0.4">
      <c r="A4" s="6"/>
      <c r="B4" s="38" t="s">
        <v>16</v>
      </c>
      <c r="C4" s="38"/>
      <c r="D4" s="38"/>
      <c r="E4" s="21"/>
      <c r="F4" s="21"/>
      <c r="G4" s="6"/>
      <c r="H4" s="6"/>
    </row>
    <row r="5" spans="1:8" s="22" customFormat="1" ht="18.75" customHeight="1" x14ac:dyDescent="0.4">
      <c r="A5" s="6"/>
      <c r="B5" s="38" t="s">
        <v>17</v>
      </c>
      <c r="C5" s="38"/>
      <c r="D5" s="38"/>
      <c r="E5" s="38"/>
      <c r="F5" s="38"/>
      <c r="G5" s="6"/>
      <c r="H5" s="6"/>
    </row>
    <row r="6" spans="1:8" s="22" customFormat="1" ht="18.75" customHeight="1" x14ac:dyDescent="0.4">
      <c r="A6" s="6"/>
      <c r="B6" s="6"/>
      <c r="C6" s="22" t="s">
        <v>30</v>
      </c>
      <c r="D6" s="22" t="s">
        <v>31</v>
      </c>
      <c r="E6" s="22" t="s">
        <v>32</v>
      </c>
      <c r="F6" s="22" t="s">
        <v>33</v>
      </c>
      <c r="G6" s="22" t="s">
        <v>34</v>
      </c>
      <c r="H6" s="6"/>
    </row>
    <row r="7" spans="1:8" s="22" customFormat="1" x14ac:dyDescent="0.4">
      <c r="A7" s="6"/>
      <c r="B7" s="7"/>
      <c r="C7" s="7">
        <v>2025</v>
      </c>
      <c r="D7" s="7">
        <v>2024</v>
      </c>
      <c r="E7" s="7">
        <v>2023</v>
      </c>
      <c r="F7" s="7">
        <v>2022</v>
      </c>
      <c r="G7" s="7">
        <v>2021</v>
      </c>
      <c r="H7" s="6"/>
    </row>
    <row r="8" spans="1:8" s="22" customFormat="1" x14ac:dyDescent="0.4">
      <c r="A8" s="6"/>
      <c r="B8" s="7" t="s">
        <v>14</v>
      </c>
      <c r="C8" s="13" t="s">
        <v>81</v>
      </c>
      <c r="D8" s="13" t="s">
        <v>83</v>
      </c>
      <c r="E8" s="13" t="s">
        <v>27</v>
      </c>
      <c r="F8" s="13" t="s">
        <v>28</v>
      </c>
      <c r="G8" s="13" t="s">
        <v>29</v>
      </c>
      <c r="H8" s="6"/>
    </row>
    <row r="9" spans="1:8" s="22" customFormat="1" x14ac:dyDescent="0.4"/>
    <row r="10" spans="1:8" s="22" customFormat="1" x14ac:dyDescent="0.4"/>
    <row r="11" spans="1:8" s="22" customFormat="1" x14ac:dyDescent="0.4">
      <c r="B11" s="38" t="s">
        <v>18</v>
      </c>
      <c r="C11" s="38"/>
      <c r="D11" s="38"/>
      <c r="E11" s="6"/>
      <c r="F11" s="6"/>
      <c r="G11" s="6"/>
    </row>
    <row r="12" spans="1:8" s="22" customFormat="1" x14ac:dyDescent="0.4">
      <c r="B12" s="38" t="s">
        <v>20</v>
      </c>
      <c r="C12" s="38"/>
      <c r="D12" s="38"/>
      <c r="E12" s="38"/>
      <c r="F12" s="38"/>
      <c r="G12" s="21"/>
    </row>
    <row r="13" spans="1:8" s="22" customFormat="1" x14ac:dyDescent="0.4">
      <c r="B13" s="38" t="s">
        <v>19</v>
      </c>
      <c r="C13" s="38"/>
      <c r="D13" s="38"/>
      <c r="E13" s="38"/>
      <c r="F13" s="38"/>
      <c r="G13" s="38"/>
    </row>
    <row r="14" spans="1:8" s="22" customFormat="1" x14ac:dyDescent="0.4">
      <c r="B14" s="37" t="s">
        <v>21</v>
      </c>
      <c r="C14" s="37"/>
      <c r="D14" s="37"/>
      <c r="E14" s="37"/>
      <c r="F14" s="37"/>
      <c r="G14" s="37"/>
    </row>
    <row r="15" spans="1:8" s="22" customFormat="1" x14ac:dyDescent="0.4">
      <c r="B15" s="6"/>
      <c r="C15" s="22" t="s">
        <v>30</v>
      </c>
      <c r="D15" s="22" t="s">
        <v>31</v>
      </c>
      <c r="E15" s="22" t="s">
        <v>32</v>
      </c>
      <c r="F15" s="22" t="s">
        <v>33</v>
      </c>
      <c r="G15" s="22" t="s">
        <v>34</v>
      </c>
    </row>
    <row r="16" spans="1:8" s="22" customFormat="1" x14ac:dyDescent="0.4">
      <c r="B16" s="7"/>
      <c r="C16" s="7">
        <v>2025</v>
      </c>
      <c r="D16" s="7">
        <v>2024</v>
      </c>
      <c r="E16" s="7">
        <v>2023</v>
      </c>
      <c r="F16" s="7">
        <v>2022</v>
      </c>
      <c r="G16" s="7">
        <v>2021</v>
      </c>
    </row>
    <row r="17" spans="2:7" s="22" customFormat="1" x14ac:dyDescent="0.4">
      <c r="B17" s="7" t="s">
        <v>14</v>
      </c>
      <c r="C17" s="13" t="s">
        <v>82</v>
      </c>
      <c r="D17" s="13" t="s">
        <v>84</v>
      </c>
      <c r="E17" s="13" t="s">
        <v>73</v>
      </c>
      <c r="F17" s="13" t="s">
        <v>74</v>
      </c>
      <c r="G17" s="13" t="s">
        <v>75</v>
      </c>
    </row>
    <row r="18" spans="2:7" s="22" customFormat="1" x14ac:dyDescent="0.4"/>
    <row r="19" spans="2:7" s="22" customFormat="1" x14ac:dyDescent="0.4"/>
    <row r="20" spans="2:7" s="22" customFormat="1" x14ac:dyDescent="0.4"/>
    <row r="21" spans="2:7" s="22" customFormat="1" x14ac:dyDescent="0.4"/>
    <row r="22" spans="2:7" s="22" customFormat="1" x14ac:dyDescent="0.4"/>
    <row r="23" spans="2:7" s="22" customFormat="1" x14ac:dyDescent="0.4"/>
    <row r="24" spans="2:7" s="22" customFormat="1" x14ac:dyDescent="0.4"/>
    <row r="25" spans="2:7" s="22" customFormat="1" x14ac:dyDescent="0.4"/>
    <row r="26" spans="2:7" s="22" customFormat="1" x14ac:dyDescent="0.4"/>
    <row r="27" spans="2:7" s="22" customFormat="1" x14ac:dyDescent="0.4"/>
    <row r="28" spans="2:7" s="22" customFormat="1" x14ac:dyDescent="0.4"/>
    <row r="29" spans="2:7" s="22" customFormat="1" x14ac:dyDescent="0.4"/>
    <row r="30" spans="2:7" s="22" customFormat="1" x14ac:dyDescent="0.4"/>
    <row r="31" spans="2:7" s="22" customFormat="1" x14ac:dyDescent="0.4"/>
    <row r="32" spans="2:7" s="22" customFormat="1" x14ac:dyDescent="0.4"/>
    <row r="33" s="22" customFormat="1" x14ac:dyDescent="0.4"/>
    <row r="34" s="22" customFormat="1" x14ac:dyDescent="0.4"/>
    <row r="35" s="22" customFormat="1" x14ac:dyDescent="0.4"/>
    <row r="36" s="22" customFormat="1" x14ac:dyDescent="0.4"/>
    <row r="37" s="22" customFormat="1" x14ac:dyDescent="0.4"/>
    <row r="38" s="22" customFormat="1" x14ac:dyDescent="0.4"/>
    <row r="39" s="22" customFormat="1" x14ac:dyDescent="0.4"/>
    <row r="40" s="22" customFormat="1" x14ac:dyDescent="0.4"/>
    <row r="41" s="22" customFormat="1" x14ac:dyDescent="0.4"/>
  </sheetData>
  <mergeCells count="7">
    <mergeCell ref="B14:G14"/>
    <mergeCell ref="A1:H2"/>
    <mergeCell ref="B4:D4"/>
    <mergeCell ref="B5:F5"/>
    <mergeCell ref="B11:D11"/>
    <mergeCell ref="B12:F12"/>
    <mergeCell ref="B13:G13"/>
  </mergeCells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196D-6D1C-48AE-9D54-045DDD9B732B}">
  <dimension ref="A1:H5"/>
  <sheetViews>
    <sheetView workbookViewId="0">
      <selection sqref="A1:G2"/>
    </sheetView>
  </sheetViews>
  <sheetFormatPr defaultRowHeight="18.75" x14ac:dyDescent="0.4"/>
  <cols>
    <col min="1" max="1" width="3.25" style="19" customWidth="1"/>
    <col min="2" max="2" width="25.5" style="19" bestFit="1" customWidth="1"/>
    <col min="3" max="16384" width="9" style="19"/>
  </cols>
  <sheetData>
    <row r="1" spans="1:8" ht="18.75" customHeight="1" x14ac:dyDescent="0.4">
      <c r="A1" s="31" t="s">
        <v>22</v>
      </c>
      <c r="B1" s="31"/>
      <c r="C1" s="31"/>
      <c r="D1" s="31"/>
      <c r="E1" s="31"/>
      <c r="F1" s="31"/>
      <c r="G1" s="31"/>
      <c r="H1" s="2"/>
    </row>
    <row r="2" spans="1:8" ht="18.75" customHeight="1" x14ac:dyDescent="0.4">
      <c r="A2" s="31"/>
      <c r="B2" s="31"/>
      <c r="C2" s="31"/>
      <c r="D2" s="31"/>
      <c r="E2" s="31"/>
      <c r="F2" s="31"/>
      <c r="G2" s="31"/>
      <c r="H2" s="2"/>
    </row>
    <row r="3" spans="1:8" ht="18.75" customHeight="1" x14ac:dyDescent="0.4">
      <c r="A3" s="2"/>
      <c r="B3" s="2"/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2"/>
    </row>
    <row r="4" spans="1:8" x14ac:dyDescent="0.4">
      <c r="A4" s="4"/>
      <c r="B4" s="5"/>
      <c r="C4" s="5">
        <v>2025</v>
      </c>
      <c r="D4" s="5">
        <v>2024</v>
      </c>
      <c r="E4" s="5">
        <v>2023</v>
      </c>
      <c r="F4" s="5">
        <v>2022</v>
      </c>
      <c r="G4" s="5">
        <v>2021</v>
      </c>
      <c r="H4" s="4"/>
    </row>
    <row r="5" spans="1:8" x14ac:dyDescent="0.4">
      <c r="A5" s="4"/>
      <c r="B5" s="1" t="s">
        <v>26</v>
      </c>
      <c r="C5" s="5">
        <v>133</v>
      </c>
      <c r="D5" s="5">
        <v>100</v>
      </c>
      <c r="E5" s="5">
        <v>102</v>
      </c>
      <c r="F5" s="5">
        <v>102</v>
      </c>
      <c r="G5" s="5">
        <v>94</v>
      </c>
      <c r="H5" s="4"/>
    </row>
  </sheetData>
  <mergeCells count="1">
    <mergeCell ref="A1:G2"/>
  </mergeCells>
  <phoneticPr fontId="1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0DA4-542F-4D17-8837-0C6EAEE1EE72}">
  <sheetPr>
    <tabColor rgb="FFFF0000"/>
    <pageSetUpPr fitToPage="1"/>
  </sheetPr>
  <dimension ref="A1:Q43"/>
  <sheetViews>
    <sheetView workbookViewId="0">
      <selection activeCell="E6" sqref="E6"/>
    </sheetView>
  </sheetViews>
  <sheetFormatPr defaultRowHeight="18.75" x14ac:dyDescent="0.4"/>
  <cols>
    <col min="1" max="1" width="4.125" customWidth="1"/>
    <col min="2" max="2" width="26.625" bestFit="1" customWidth="1"/>
  </cols>
  <sheetData>
    <row r="1" spans="1:15" ht="18.75" customHeight="1" x14ac:dyDescent="0.4">
      <c r="A1" s="31" t="s">
        <v>23</v>
      </c>
      <c r="B1" s="31"/>
      <c r="C1" s="31"/>
      <c r="D1" s="31"/>
      <c r="E1" s="31"/>
      <c r="F1" s="31"/>
      <c r="G1" s="31"/>
      <c r="H1" s="3"/>
    </row>
    <row r="2" spans="1:15" ht="18.75" customHeight="1" x14ac:dyDescent="0.4">
      <c r="A2" s="31"/>
      <c r="B2" s="31"/>
      <c r="C2" s="31"/>
      <c r="D2" s="31"/>
      <c r="E2" s="31"/>
      <c r="F2" s="31"/>
      <c r="G2" s="31"/>
      <c r="H2" s="3"/>
    </row>
    <row r="3" spans="1:15" ht="18.75" customHeight="1" x14ac:dyDescent="0.4">
      <c r="A3" s="2"/>
      <c r="B3" s="2"/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2"/>
    </row>
    <row r="4" spans="1:15" x14ac:dyDescent="0.4">
      <c r="A4" s="4"/>
      <c r="B4" s="5"/>
      <c r="C4" s="5">
        <v>2025</v>
      </c>
      <c r="D4" s="5">
        <v>2024</v>
      </c>
      <c r="E4" s="5">
        <v>2023</v>
      </c>
      <c r="F4" s="5">
        <v>2022</v>
      </c>
      <c r="G4" s="5">
        <v>2021</v>
      </c>
      <c r="H4" s="4"/>
    </row>
    <row r="5" spans="1:15" x14ac:dyDescent="0.4">
      <c r="A5" s="4"/>
      <c r="B5" s="1" t="s">
        <v>25</v>
      </c>
      <c r="C5" s="24">
        <f>O13/365</f>
        <v>4.882191780821918</v>
      </c>
      <c r="D5" s="24">
        <f>O20/365</f>
        <v>4.7424657534246579</v>
      </c>
      <c r="E5" s="24">
        <f>O27/366</f>
        <v>4.8633879781420761</v>
      </c>
      <c r="F5" s="24">
        <f>O34/365</f>
        <v>4.7616438356164386</v>
      </c>
      <c r="G5" s="24">
        <f>O41/365</f>
        <v>4.7123287671232879</v>
      </c>
      <c r="H5" s="4"/>
    </row>
    <row r="6" spans="1:15" x14ac:dyDescent="0.4">
      <c r="O6" s="14"/>
    </row>
    <row r="7" spans="1:15" x14ac:dyDescent="0.4">
      <c r="O7" s="14"/>
    </row>
    <row r="8" spans="1:15" x14ac:dyDescent="0.4">
      <c r="B8" s="15" t="s">
        <v>35</v>
      </c>
      <c r="C8" s="15" t="s">
        <v>36</v>
      </c>
      <c r="D8" s="15" t="s">
        <v>37</v>
      </c>
      <c r="E8" s="15" t="s">
        <v>38</v>
      </c>
      <c r="F8" s="15" t="s">
        <v>39</v>
      </c>
      <c r="G8" s="15" t="s">
        <v>40</v>
      </c>
      <c r="H8" s="15" t="s">
        <v>41</v>
      </c>
      <c r="I8" s="15" t="s">
        <v>42</v>
      </c>
      <c r="J8" s="15" t="s">
        <v>43</v>
      </c>
      <c r="K8" s="15" t="s">
        <v>44</v>
      </c>
      <c r="L8" s="15" t="s">
        <v>45</v>
      </c>
      <c r="M8" s="15" t="s">
        <v>46</v>
      </c>
      <c r="N8" s="15" t="s">
        <v>47</v>
      </c>
      <c r="O8" s="15" t="s">
        <v>48</v>
      </c>
    </row>
    <row r="9" spans="1:15" x14ac:dyDescent="0.4">
      <c r="B9" s="15" t="s">
        <v>49</v>
      </c>
      <c r="C9" s="16">
        <v>110</v>
      </c>
      <c r="D9" s="16">
        <v>113</v>
      </c>
      <c r="E9" s="16">
        <v>118</v>
      </c>
      <c r="F9" s="16">
        <v>125</v>
      </c>
      <c r="G9" s="16">
        <v>105</v>
      </c>
      <c r="H9" s="16">
        <v>116</v>
      </c>
      <c r="I9" s="16">
        <v>125</v>
      </c>
      <c r="J9" s="16">
        <v>123</v>
      </c>
      <c r="K9" s="16">
        <v>113</v>
      </c>
      <c r="L9" s="16">
        <v>117</v>
      </c>
      <c r="M9" s="16">
        <v>87</v>
      </c>
      <c r="N9" s="16">
        <v>115</v>
      </c>
      <c r="O9" s="17">
        <f>SUM(C9:N9)</f>
        <v>1367</v>
      </c>
    </row>
    <row r="10" spans="1:15" x14ac:dyDescent="0.4">
      <c r="B10" s="15" t="s">
        <v>77</v>
      </c>
      <c r="C10" s="16">
        <v>16</v>
      </c>
      <c r="D10" s="16">
        <v>8</v>
      </c>
      <c r="E10" s="16">
        <v>9</v>
      </c>
      <c r="F10" s="16">
        <v>10</v>
      </c>
      <c r="G10" s="16">
        <v>8</v>
      </c>
      <c r="H10" s="16">
        <v>16</v>
      </c>
      <c r="I10" s="16">
        <v>16</v>
      </c>
      <c r="J10" s="16">
        <v>8</v>
      </c>
      <c r="K10" s="16">
        <v>9</v>
      </c>
      <c r="L10" s="16">
        <v>5</v>
      </c>
      <c r="M10" s="16">
        <v>15</v>
      </c>
      <c r="N10" s="16">
        <v>15</v>
      </c>
      <c r="O10" s="17">
        <f t="shared" ref="O10:O11" si="0">SUM(C10:N10)</f>
        <v>135</v>
      </c>
    </row>
    <row r="11" spans="1:15" x14ac:dyDescent="0.4">
      <c r="B11" s="15" t="s">
        <v>78</v>
      </c>
      <c r="C11" s="16">
        <v>27</v>
      </c>
      <c r="D11" s="16">
        <v>8</v>
      </c>
      <c r="E11" s="16">
        <v>29</v>
      </c>
      <c r="F11" s="16">
        <v>22</v>
      </c>
      <c r="G11" s="16">
        <v>9</v>
      </c>
      <c r="H11" s="16">
        <v>25</v>
      </c>
      <c r="I11" s="16">
        <v>45</v>
      </c>
      <c r="J11" s="16">
        <v>23</v>
      </c>
      <c r="K11" s="16">
        <v>25</v>
      </c>
      <c r="L11" s="16">
        <v>15</v>
      </c>
      <c r="M11" s="16">
        <v>31</v>
      </c>
      <c r="N11" s="16">
        <v>21</v>
      </c>
      <c r="O11" s="17">
        <f t="shared" si="0"/>
        <v>280</v>
      </c>
    </row>
    <row r="12" spans="1:15" x14ac:dyDescent="0.4">
      <c r="B12" s="23" t="s">
        <v>79</v>
      </c>
      <c r="C12" s="25">
        <f>C10+C11</f>
        <v>43</v>
      </c>
      <c r="D12" s="25">
        <f t="shared" ref="D12:N12" si="1">D10+D11</f>
        <v>16</v>
      </c>
      <c r="E12" s="25">
        <f t="shared" si="1"/>
        <v>38</v>
      </c>
      <c r="F12" s="25">
        <f t="shared" si="1"/>
        <v>32</v>
      </c>
      <c r="G12" s="25">
        <f t="shared" si="1"/>
        <v>17</v>
      </c>
      <c r="H12" s="25">
        <f t="shared" si="1"/>
        <v>41</v>
      </c>
      <c r="I12" s="25">
        <f t="shared" si="1"/>
        <v>61</v>
      </c>
      <c r="J12" s="25">
        <f t="shared" si="1"/>
        <v>31</v>
      </c>
      <c r="K12" s="25">
        <f t="shared" si="1"/>
        <v>34</v>
      </c>
      <c r="L12" s="25">
        <f t="shared" si="1"/>
        <v>20</v>
      </c>
      <c r="M12" s="25">
        <f t="shared" si="1"/>
        <v>46</v>
      </c>
      <c r="N12" s="25">
        <f t="shared" si="1"/>
        <v>36</v>
      </c>
      <c r="O12" s="26">
        <f>SUM(C12:N12)</f>
        <v>415</v>
      </c>
    </row>
    <row r="13" spans="1:15" x14ac:dyDescent="0.4">
      <c r="B13" s="28" t="s">
        <v>10</v>
      </c>
      <c r="C13" s="29">
        <f>C9+C12</f>
        <v>153</v>
      </c>
      <c r="D13" s="29">
        <f t="shared" ref="D13:N13" si="2">D9+D12</f>
        <v>129</v>
      </c>
      <c r="E13" s="29">
        <f>E9+E12</f>
        <v>156</v>
      </c>
      <c r="F13" s="29">
        <f t="shared" si="2"/>
        <v>157</v>
      </c>
      <c r="G13" s="29">
        <f t="shared" si="2"/>
        <v>122</v>
      </c>
      <c r="H13" s="29">
        <f t="shared" si="2"/>
        <v>157</v>
      </c>
      <c r="I13" s="29">
        <f t="shared" si="2"/>
        <v>186</v>
      </c>
      <c r="J13" s="29">
        <f t="shared" si="2"/>
        <v>154</v>
      </c>
      <c r="K13" s="29">
        <f t="shared" si="2"/>
        <v>147</v>
      </c>
      <c r="L13" s="29">
        <f t="shared" si="2"/>
        <v>137</v>
      </c>
      <c r="M13" s="29">
        <f t="shared" si="2"/>
        <v>133</v>
      </c>
      <c r="N13" s="29">
        <f t="shared" si="2"/>
        <v>151</v>
      </c>
      <c r="O13" s="30">
        <f>SUM(C13:N13)</f>
        <v>1782</v>
      </c>
    </row>
    <row r="14" spans="1:15" x14ac:dyDescent="0.4">
      <c r="B14" s="18"/>
      <c r="O14" s="14"/>
    </row>
    <row r="15" spans="1:15" x14ac:dyDescent="0.4">
      <c r="B15" s="15" t="s">
        <v>50</v>
      </c>
      <c r="C15" s="15" t="s">
        <v>36</v>
      </c>
      <c r="D15" s="15" t="s">
        <v>37</v>
      </c>
      <c r="E15" s="15" t="s">
        <v>38</v>
      </c>
      <c r="F15" s="15" t="s">
        <v>39</v>
      </c>
      <c r="G15" s="15" t="s">
        <v>40</v>
      </c>
      <c r="H15" s="15" t="s">
        <v>41</v>
      </c>
      <c r="I15" s="15" t="s">
        <v>42</v>
      </c>
      <c r="J15" s="15" t="s">
        <v>43</v>
      </c>
      <c r="K15" s="15" t="s">
        <v>44</v>
      </c>
      <c r="L15" s="15" t="s">
        <v>45</v>
      </c>
      <c r="M15" s="15" t="s">
        <v>46</v>
      </c>
      <c r="N15" s="15" t="s">
        <v>47</v>
      </c>
      <c r="O15" s="15" t="s">
        <v>48</v>
      </c>
    </row>
    <row r="16" spans="1:15" x14ac:dyDescent="0.4">
      <c r="B16" s="15" t="s">
        <v>49</v>
      </c>
      <c r="C16" s="16">
        <v>123</v>
      </c>
      <c r="D16" s="16">
        <v>112</v>
      </c>
      <c r="E16" s="16">
        <v>108</v>
      </c>
      <c r="F16" s="16">
        <v>117</v>
      </c>
      <c r="G16" s="16">
        <v>99</v>
      </c>
      <c r="H16" s="16">
        <v>115</v>
      </c>
      <c r="I16" s="16">
        <v>124</v>
      </c>
      <c r="J16" s="16">
        <v>111</v>
      </c>
      <c r="K16" s="16">
        <v>137</v>
      </c>
      <c r="L16" s="16">
        <v>109</v>
      </c>
      <c r="M16" s="16">
        <v>109</v>
      </c>
      <c r="N16" s="16">
        <v>125</v>
      </c>
      <c r="O16" s="17">
        <f>SUM(C16:N16)</f>
        <v>1389</v>
      </c>
    </row>
    <row r="17" spans="2:17" x14ac:dyDescent="0.4">
      <c r="B17" s="15" t="s">
        <v>77</v>
      </c>
      <c r="C17" s="16">
        <v>13</v>
      </c>
      <c r="D17" s="16">
        <v>13</v>
      </c>
      <c r="E17" s="16">
        <v>9</v>
      </c>
      <c r="F17" s="16">
        <v>10</v>
      </c>
      <c r="G17" s="16">
        <v>21</v>
      </c>
      <c r="H17" s="16">
        <v>12</v>
      </c>
      <c r="I17" s="16">
        <v>9</v>
      </c>
      <c r="J17" s="16">
        <v>9</v>
      </c>
      <c r="K17" s="16">
        <v>16</v>
      </c>
      <c r="L17" s="16">
        <v>15</v>
      </c>
      <c r="M17" s="16">
        <v>10</v>
      </c>
      <c r="N17" s="16">
        <v>6</v>
      </c>
      <c r="O17" s="17">
        <f>SUM(C17:N17)</f>
        <v>143</v>
      </c>
    </row>
    <row r="18" spans="2:17" x14ac:dyDescent="0.4">
      <c r="B18" s="15" t="s">
        <v>78</v>
      </c>
      <c r="C18" s="16">
        <v>17</v>
      </c>
      <c r="D18" s="16">
        <v>11</v>
      </c>
      <c r="E18" s="16">
        <v>14</v>
      </c>
      <c r="F18" s="16">
        <v>12</v>
      </c>
      <c r="G18" s="16">
        <v>14</v>
      </c>
      <c r="H18" s="16">
        <v>19</v>
      </c>
      <c r="I18" s="16">
        <v>31</v>
      </c>
      <c r="J18" s="16">
        <v>7</v>
      </c>
      <c r="K18" s="16">
        <v>30</v>
      </c>
      <c r="L18" s="16">
        <v>7</v>
      </c>
      <c r="M18" s="16">
        <v>23</v>
      </c>
      <c r="N18" s="16">
        <v>14</v>
      </c>
      <c r="O18" s="17">
        <f t="shared" ref="O18" si="3">SUM(C18:N18)</f>
        <v>199</v>
      </c>
    </row>
    <row r="19" spans="2:17" x14ac:dyDescent="0.4">
      <c r="B19" s="23" t="s">
        <v>79</v>
      </c>
      <c r="C19" s="25">
        <f>C17+C18</f>
        <v>30</v>
      </c>
      <c r="D19" s="25">
        <f t="shared" ref="D19:N19" si="4">D17+D18</f>
        <v>24</v>
      </c>
      <c r="E19" s="25">
        <f t="shared" si="4"/>
        <v>23</v>
      </c>
      <c r="F19" s="25">
        <f t="shared" si="4"/>
        <v>22</v>
      </c>
      <c r="G19" s="25">
        <f t="shared" si="4"/>
        <v>35</v>
      </c>
      <c r="H19" s="25">
        <f t="shared" si="4"/>
        <v>31</v>
      </c>
      <c r="I19" s="25">
        <f t="shared" si="4"/>
        <v>40</v>
      </c>
      <c r="J19" s="25">
        <f t="shared" si="4"/>
        <v>16</v>
      </c>
      <c r="K19" s="25">
        <f t="shared" si="4"/>
        <v>46</v>
      </c>
      <c r="L19" s="25">
        <f t="shared" si="4"/>
        <v>22</v>
      </c>
      <c r="M19" s="25">
        <f t="shared" si="4"/>
        <v>33</v>
      </c>
      <c r="N19" s="25">
        <f t="shared" si="4"/>
        <v>20</v>
      </c>
      <c r="O19" s="26">
        <f>SUM(C19:N19)</f>
        <v>342</v>
      </c>
    </row>
    <row r="20" spans="2:17" x14ac:dyDescent="0.4">
      <c r="B20" s="28" t="s">
        <v>10</v>
      </c>
      <c r="C20" s="29">
        <f>C16+C19</f>
        <v>153</v>
      </c>
      <c r="D20" s="29">
        <f t="shared" ref="D20:N20" si="5">D16+D19</f>
        <v>136</v>
      </c>
      <c r="E20" s="29">
        <f t="shared" si="5"/>
        <v>131</v>
      </c>
      <c r="F20" s="29">
        <f t="shared" si="5"/>
        <v>139</v>
      </c>
      <c r="G20" s="29">
        <f t="shared" si="5"/>
        <v>134</v>
      </c>
      <c r="H20" s="29">
        <f t="shared" si="5"/>
        <v>146</v>
      </c>
      <c r="I20" s="29">
        <f t="shared" si="5"/>
        <v>164</v>
      </c>
      <c r="J20" s="29">
        <f t="shared" si="5"/>
        <v>127</v>
      </c>
      <c r="K20" s="29">
        <f t="shared" si="5"/>
        <v>183</v>
      </c>
      <c r="L20" s="29">
        <f t="shared" si="5"/>
        <v>131</v>
      </c>
      <c r="M20" s="29">
        <f t="shared" si="5"/>
        <v>142</v>
      </c>
      <c r="N20" s="29">
        <f t="shared" si="5"/>
        <v>145</v>
      </c>
      <c r="O20" s="30">
        <f>O16+O19</f>
        <v>1731</v>
      </c>
    </row>
    <row r="21" spans="2:17" x14ac:dyDescent="0.4">
      <c r="B21" s="18"/>
      <c r="O21" s="14"/>
    </row>
    <row r="22" spans="2:17" x14ac:dyDescent="0.4">
      <c r="B22" s="15" t="s">
        <v>51</v>
      </c>
      <c r="C22" s="15" t="s">
        <v>36</v>
      </c>
      <c r="D22" s="15" t="s">
        <v>37</v>
      </c>
      <c r="E22" s="15" t="s">
        <v>38</v>
      </c>
      <c r="F22" s="15" t="s">
        <v>39</v>
      </c>
      <c r="G22" s="15" t="s">
        <v>40</v>
      </c>
      <c r="H22" s="15" t="s">
        <v>41</v>
      </c>
      <c r="I22" s="15" t="s">
        <v>42</v>
      </c>
      <c r="J22" s="15" t="s">
        <v>43</v>
      </c>
      <c r="K22" s="15" t="s">
        <v>44</v>
      </c>
      <c r="L22" s="15" t="s">
        <v>45</v>
      </c>
      <c r="M22" s="15" t="s">
        <v>46</v>
      </c>
      <c r="N22" s="15" t="s">
        <v>47</v>
      </c>
      <c r="O22" s="15" t="s">
        <v>48</v>
      </c>
    </row>
    <row r="23" spans="2:17" x14ac:dyDescent="0.4">
      <c r="B23" s="15" t="s">
        <v>49</v>
      </c>
      <c r="C23" s="16">
        <v>117</v>
      </c>
      <c r="D23" s="16">
        <v>105</v>
      </c>
      <c r="E23" s="16">
        <v>122</v>
      </c>
      <c r="F23" s="16">
        <v>114</v>
      </c>
      <c r="G23" s="16">
        <v>127</v>
      </c>
      <c r="H23" s="16">
        <v>113</v>
      </c>
      <c r="I23" s="16">
        <v>114</v>
      </c>
      <c r="J23" s="16">
        <v>121</v>
      </c>
      <c r="K23" s="16">
        <v>124</v>
      </c>
      <c r="L23" s="16">
        <v>122</v>
      </c>
      <c r="M23" s="16">
        <v>114</v>
      </c>
      <c r="N23" s="16">
        <v>110</v>
      </c>
      <c r="O23" s="17">
        <f>SUM(C23:N23)</f>
        <v>1403</v>
      </c>
    </row>
    <row r="24" spans="2:17" x14ac:dyDescent="0.4">
      <c r="B24" s="15" t="s">
        <v>77</v>
      </c>
      <c r="C24" s="16">
        <v>15</v>
      </c>
      <c r="D24" s="16">
        <v>14</v>
      </c>
      <c r="E24" s="16">
        <v>14</v>
      </c>
      <c r="F24" s="16">
        <v>10</v>
      </c>
      <c r="G24" s="16">
        <v>16</v>
      </c>
      <c r="H24" s="16">
        <v>16</v>
      </c>
      <c r="I24" s="16">
        <v>17</v>
      </c>
      <c r="J24" s="16">
        <v>6</v>
      </c>
      <c r="K24" s="16">
        <v>11</v>
      </c>
      <c r="L24" s="16">
        <v>12</v>
      </c>
      <c r="M24" s="16">
        <v>17</v>
      </c>
      <c r="N24" s="16">
        <v>16</v>
      </c>
      <c r="O24" s="17">
        <f>SUM(C24:N24)</f>
        <v>164</v>
      </c>
    </row>
    <row r="25" spans="2:17" x14ac:dyDescent="0.4">
      <c r="B25" s="15" t="s">
        <v>78</v>
      </c>
      <c r="C25" s="16">
        <v>9</v>
      </c>
      <c r="D25" s="16">
        <v>19</v>
      </c>
      <c r="E25" s="16">
        <v>8</v>
      </c>
      <c r="F25" s="16">
        <v>15</v>
      </c>
      <c r="G25" s="16">
        <v>24</v>
      </c>
      <c r="H25" s="16">
        <v>24</v>
      </c>
      <c r="I25" s="16">
        <v>17</v>
      </c>
      <c r="J25" s="16">
        <v>28</v>
      </c>
      <c r="K25" s="16">
        <v>6</v>
      </c>
      <c r="L25" s="16">
        <v>8</v>
      </c>
      <c r="M25" s="16">
        <v>26</v>
      </c>
      <c r="N25" s="16">
        <v>29</v>
      </c>
      <c r="O25" s="17">
        <f t="shared" ref="O25" si="6">SUM(C25:N25)</f>
        <v>213</v>
      </c>
    </row>
    <row r="26" spans="2:17" x14ac:dyDescent="0.4">
      <c r="B26" s="23" t="s">
        <v>79</v>
      </c>
      <c r="C26" s="25">
        <f>C24+C25</f>
        <v>24</v>
      </c>
      <c r="D26" s="25">
        <f t="shared" ref="D26" si="7">D24+D25</f>
        <v>33</v>
      </c>
      <c r="E26" s="25">
        <f t="shared" ref="E26" si="8">E24+E25</f>
        <v>22</v>
      </c>
      <c r="F26" s="25">
        <f t="shared" ref="F26" si="9">F24+F25</f>
        <v>25</v>
      </c>
      <c r="G26" s="25">
        <f t="shared" ref="G26" si="10">G24+G25</f>
        <v>40</v>
      </c>
      <c r="H26" s="25">
        <f t="shared" ref="H26" si="11">H24+H25</f>
        <v>40</v>
      </c>
      <c r="I26" s="25">
        <f t="shared" ref="I26" si="12">I24+I25</f>
        <v>34</v>
      </c>
      <c r="J26" s="25">
        <f t="shared" ref="J26" si="13">J24+J25</f>
        <v>34</v>
      </c>
      <c r="K26" s="25">
        <f t="shared" ref="K26" si="14">K24+K25</f>
        <v>17</v>
      </c>
      <c r="L26" s="25">
        <f t="shared" ref="L26" si="15">L24+L25</f>
        <v>20</v>
      </c>
      <c r="M26" s="25">
        <f t="shared" ref="M26" si="16">M24+M25</f>
        <v>43</v>
      </c>
      <c r="N26" s="25">
        <f t="shared" ref="N26" si="17">N24+N25</f>
        <v>45</v>
      </c>
      <c r="O26" s="26">
        <f>SUM(C26:N26)</f>
        <v>377</v>
      </c>
    </row>
    <row r="27" spans="2:17" x14ac:dyDescent="0.4">
      <c r="B27" s="28" t="s">
        <v>10</v>
      </c>
      <c r="C27" s="29">
        <f>C23+C26</f>
        <v>141</v>
      </c>
      <c r="D27" s="29">
        <f t="shared" ref="D27" si="18">D23+D26</f>
        <v>138</v>
      </c>
      <c r="E27" s="29">
        <f t="shared" ref="E27" si="19">E23+E26</f>
        <v>144</v>
      </c>
      <c r="F27" s="29">
        <f t="shared" ref="F27" si="20">F23+F26</f>
        <v>139</v>
      </c>
      <c r="G27" s="29">
        <f t="shared" ref="G27" si="21">G23+G26</f>
        <v>167</v>
      </c>
      <c r="H27" s="29">
        <f t="shared" ref="H27" si="22">H23+H26</f>
        <v>153</v>
      </c>
      <c r="I27" s="29">
        <f t="shared" ref="I27" si="23">I23+I26</f>
        <v>148</v>
      </c>
      <c r="J27" s="29">
        <f t="shared" ref="J27" si="24">J23+J26</f>
        <v>155</v>
      </c>
      <c r="K27" s="29">
        <f t="shared" ref="K27" si="25">K23+K26</f>
        <v>141</v>
      </c>
      <c r="L27" s="29">
        <f t="shared" ref="L27" si="26">L23+L26</f>
        <v>142</v>
      </c>
      <c r="M27" s="29">
        <f t="shared" ref="M27" si="27">M23+M26</f>
        <v>157</v>
      </c>
      <c r="N27" s="29">
        <f t="shared" ref="N27" si="28">N23+N26</f>
        <v>155</v>
      </c>
      <c r="O27" s="30">
        <f>O23+O26</f>
        <v>1780</v>
      </c>
      <c r="Q27" s="27" t="s">
        <v>80</v>
      </c>
    </row>
    <row r="28" spans="2:17" x14ac:dyDescent="0.4">
      <c r="B28" s="18"/>
      <c r="O28" s="14"/>
    </row>
    <row r="29" spans="2:17" x14ac:dyDescent="0.4">
      <c r="B29" s="15" t="s">
        <v>52</v>
      </c>
      <c r="C29" s="15" t="s">
        <v>36</v>
      </c>
      <c r="D29" s="15" t="s">
        <v>37</v>
      </c>
      <c r="E29" s="15" t="s">
        <v>38</v>
      </c>
      <c r="F29" s="15" t="s">
        <v>39</v>
      </c>
      <c r="G29" s="15" t="s">
        <v>40</v>
      </c>
      <c r="H29" s="15" t="s">
        <v>41</v>
      </c>
      <c r="I29" s="15" t="s">
        <v>42</v>
      </c>
      <c r="J29" s="15" t="s">
        <v>43</v>
      </c>
      <c r="K29" s="15" t="s">
        <v>44</v>
      </c>
      <c r="L29" s="15" t="s">
        <v>45</v>
      </c>
      <c r="M29" s="15" t="s">
        <v>46</v>
      </c>
      <c r="N29" s="15" t="s">
        <v>47</v>
      </c>
      <c r="O29" s="15" t="s">
        <v>48</v>
      </c>
    </row>
    <row r="30" spans="2:17" x14ac:dyDescent="0.4">
      <c r="B30" s="15" t="s">
        <v>49</v>
      </c>
      <c r="C30" s="16">
        <v>111</v>
      </c>
      <c r="D30" s="16">
        <v>116</v>
      </c>
      <c r="E30" s="16">
        <v>114</v>
      </c>
      <c r="F30" s="16">
        <v>109</v>
      </c>
      <c r="G30" s="16">
        <v>119</v>
      </c>
      <c r="H30" s="16">
        <v>107</v>
      </c>
      <c r="I30" s="16">
        <v>120</v>
      </c>
      <c r="J30" s="16">
        <v>107</v>
      </c>
      <c r="K30" s="16">
        <v>121</v>
      </c>
      <c r="L30" s="16">
        <v>113</v>
      </c>
      <c r="M30" s="16">
        <v>103</v>
      </c>
      <c r="N30" s="16">
        <v>116</v>
      </c>
      <c r="O30" s="17">
        <f>SUM(C30:N30)</f>
        <v>1356</v>
      </c>
    </row>
    <row r="31" spans="2:17" x14ac:dyDescent="0.4">
      <c r="B31" s="15" t="s">
        <v>77</v>
      </c>
      <c r="C31" s="16">
        <v>16</v>
      </c>
      <c r="D31" s="16">
        <v>19</v>
      </c>
      <c r="E31" s="16">
        <v>16</v>
      </c>
      <c r="F31" s="16">
        <v>18</v>
      </c>
      <c r="G31" s="16">
        <v>19</v>
      </c>
      <c r="H31" s="16">
        <v>10</v>
      </c>
      <c r="I31" s="16">
        <v>10</v>
      </c>
      <c r="J31" s="16">
        <v>13</v>
      </c>
      <c r="K31" s="16">
        <v>16</v>
      </c>
      <c r="L31" s="16">
        <v>18</v>
      </c>
      <c r="M31" s="16">
        <v>16</v>
      </c>
      <c r="N31" s="16">
        <v>14</v>
      </c>
      <c r="O31" s="17">
        <f>SUM(C31:N31)</f>
        <v>185</v>
      </c>
    </row>
    <row r="32" spans="2:17" x14ac:dyDescent="0.4">
      <c r="B32" s="15" t="s">
        <v>78</v>
      </c>
      <c r="C32" s="16">
        <v>17</v>
      </c>
      <c r="D32" s="16">
        <v>6</v>
      </c>
      <c r="E32" s="16">
        <v>22</v>
      </c>
      <c r="F32" s="16">
        <v>19</v>
      </c>
      <c r="G32" s="16">
        <v>13</v>
      </c>
      <c r="H32" s="16">
        <v>21</v>
      </c>
      <c r="I32" s="16">
        <v>13</v>
      </c>
      <c r="J32" s="16">
        <v>19</v>
      </c>
      <c r="K32" s="16">
        <v>8</v>
      </c>
      <c r="L32" s="16">
        <v>16</v>
      </c>
      <c r="M32" s="16">
        <v>14</v>
      </c>
      <c r="N32" s="16">
        <v>29</v>
      </c>
      <c r="O32" s="17">
        <f t="shared" ref="O32" si="29">SUM(C32:N32)</f>
        <v>197</v>
      </c>
    </row>
    <row r="33" spans="2:15" x14ac:dyDescent="0.4">
      <c r="B33" s="23" t="s">
        <v>79</v>
      </c>
      <c r="C33" s="25">
        <f>C31+C32</f>
        <v>33</v>
      </c>
      <c r="D33" s="25">
        <f t="shared" ref="D33" si="30">D31+D32</f>
        <v>25</v>
      </c>
      <c r="E33" s="25">
        <f t="shared" ref="E33" si="31">E31+E32</f>
        <v>38</v>
      </c>
      <c r="F33" s="25">
        <f t="shared" ref="F33" si="32">F31+F32</f>
        <v>37</v>
      </c>
      <c r="G33" s="25">
        <f t="shared" ref="G33" si="33">G31+G32</f>
        <v>32</v>
      </c>
      <c r="H33" s="25">
        <f t="shared" ref="H33" si="34">H31+H32</f>
        <v>31</v>
      </c>
      <c r="I33" s="25">
        <f t="shared" ref="I33" si="35">I31+I32</f>
        <v>23</v>
      </c>
      <c r="J33" s="25">
        <f t="shared" ref="J33" si="36">J31+J32</f>
        <v>32</v>
      </c>
      <c r="K33" s="25">
        <f t="shared" ref="K33" si="37">K31+K32</f>
        <v>24</v>
      </c>
      <c r="L33" s="25">
        <f t="shared" ref="L33" si="38">L31+L32</f>
        <v>34</v>
      </c>
      <c r="M33" s="25">
        <f t="shared" ref="M33" si="39">M31+M32</f>
        <v>30</v>
      </c>
      <c r="N33" s="25">
        <f t="shared" ref="N33" si="40">N31+N32</f>
        <v>43</v>
      </c>
      <c r="O33" s="26">
        <f>SUM(C33:N33)</f>
        <v>382</v>
      </c>
    </row>
    <row r="34" spans="2:15" x14ac:dyDescent="0.4">
      <c r="B34" s="28" t="s">
        <v>10</v>
      </c>
      <c r="C34" s="29">
        <f>C30+C33</f>
        <v>144</v>
      </c>
      <c r="D34" s="29">
        <f t="shared" ref="D34" si="41">D30+D33</f>
        <v>141</v>
      </c>
      <c r="E34" s="29">
        <f t="shared" ref="E34" si="42">E30+E33</f>
        <v>152</v>
      </c>
      <c r="F34" s="29">
        <f t="shared" ref="F34" si="43">F30+F33</f>
        <v>146</v>
      </c>
      <c r="G34" s="29">
        <f t="shared" ref="G34" si="44">G30+G33</f>
        <v>151</v>
      </c>
      <c r="H34" s="29">
        <f t="shared" ref="H34" si="45">H30+H33</f>
        <v>138</v>
      </c>
      <c r="I34" s="29">
        <f t="shared" ref="I34" si="46">I30+I33</f>
        <v>143</v>
      </c>
      <c r="J34" s="29">
        <f t="shared" ref="J34" si="47">J30+J33</f>
        <v>139</v>
      </c>
      <c r="K34" s="29">
        <f t="shared" ref="K34" si="48">K30+K33</f>
        <v>145</v>
      </c>
      <c r="L34" s="29">
        <f t="shared" ref="L34" si="49">L30+L33</f>
        <v>147</v>
      </c>
      <c r="M34" s="29">
        <f t="shared" ref="M34" si="50">M30+M33</f>
        <v>133</v>
      </c>
      <c r="N34" s="29">
        <f t="shared" ref="N34" si="51">N30+N33</f>
        <v>159</v>
      </c>
      <c r="O34" s="30">
        <f>O30+O33</f>
        <v>1738</v>
      </c>
    </row>
    <row r="35" spans="2:15" x14ac:dyDescent="0.4">
      <c r="B35" s="18"/>
      <c r="O35" s="14"/>
    </row>
    <row r="36" spans="2:15" x14ac:dyDescent="0.4">
      <c r="B36" s="15" t="s">
        <v>53</v>
      </c>
      <c r="C36" s="15" t="s">
        <v>36</v>
      </c>
      <c r="D36" s="15" t="s">
        <v>37</v>
      </c>
      <c r="E36" s="15" t="s">
        <v>38</v>
      </c>
      <c r="F36" s="15" t="s">
        <v>39</v>
      </c>
      <c r="G36" s="15" t="s">
        <v>40</v>
      </c>
      <c r="H36" s="15" t="s">
        <v>41</v>
      </c>
      <c r="I36" s="15" t="s">
        <v>42</v>
      </c>
      <c r="J36" s="15" t="s">
        <v>43</v>
      </c>
      <c r="K36" s="15" t="s">
        <v>44</v>
      </c>
      <c r="L36" s="15" t="s">
        <v>45</v>
      </c>
      <c r="M36" s="15" t="s">
        <v>46</v>
      </c>
      <c r="N36" s="15" t="s">
        <v>47</v>
      </c>
      <c r="O36" s="15" t="s">
        <v>48</v>
      </c>
    </row>
    <row r="37" spans="2:15" x14ac:dyDescent="0.4">
      <c r="B37" s="15" t="s">
        <v>49</v>
      </c>
      <c r="C37" s="16">
        <v>114</v>
      </c>
      <c r="D37" s="16">
        <v>125</v>
      </c>
      <c r="E37" s="16">
        <v>116</v>
      </c>
      <c r="F37" s="16">
        <v>135</v>
      </c>
      <c r="G37" s="16">
        <v>122</v>
      </c>
      <c r="H37" s="16">
        <v>125</v>
      </c>
      <c r="I37" s="16">
        <v>131</v>
      </c>
      <c r="J37" s="16">
        <v>128</v>
      </c>
      <c r="K37" s="16">
        <v>117</v>
      </c>
      <c r="L37" s="16">
        <v>108</v>
      </c>
      <c r="M37" s="16">
        <v>100</v>
      </c>
      <c r="N37" s="16">
        <v>111</v>
      </c>
      <c r="O37" s="17">
        <f>SUM(C37:N37)</f>
        <v>1432</v>
      </c>
    </row>
    <row r="38" spans="2:15" x14ac:dyDescent="0.4">
      <c r="B38" s="15" t="s">
        <v>77</v>
      </c>
      <c r="C38" s="16">
        <v>16</v>
      </c>
      <c r="D38" s="16">
        <v>8</v>
      </c>
      <c r="E38" s="16">
        <v>14</v>
      </c>
      <c r="F38" s="16">
        <v>13</v>
      </c>
      <c r="G38" s="16">
        <v>20</v>
      </c>
      <c r="H38" s="16">
        <v>16</v>
      </c>
      <c r="I38" s="16">
        <v>10</v>
      </c>
      <c r="J38" s="16">
        <v>10</v>
      </c>
      <c r="K38" s="16">
        <v>19</v>
      </c>
      <c r="L38" s="16">
        <v>11</v>
      </c>
      <c r="M38" s="16">
        <v>14</v>
      </c>
      <c r="N38" s="16">
        <v>6</v>
      </c>
      <c r="O38" s="17">
        <f>SUM(C38:N38)</f>
        <v>157</v>
      </c>
    </row>
    <row r="39" spans="2:15" x14ac:dyDescent="0.4">
      <c r="B39" s="15" t="s">
        <v>78</v>
      </c>
      <c r="C39" s="16">
        <v>9</v>
      </c>
      <c r="D39" s="16">
        <v>10</v>
      </c>
      <c r="E39" s="16">
        <v>5</v>
      </c>
      <c r="F39" s="16">
        <v>9</v>
      </c>
      <c r="G39" s="16">
        <v>14</v>
      </c>
      <c r="H39" s="16">
        <v>19</v>
      </c>
      <c r="I39" s="16">
        <v>11</v>
      </c>
      <c r="J39" s="16">
        <v>17</v>
      </c>
      <c r="K39" s="16">
        <v>10</v>
      </c>
      <c r="L39" s="16">
        <v>11</v>
      </c>
      <c r="M39" s="16">
        <v>13</v>
      </c>
      <c r="N39" s="16">
        <v>3</v>
      </c>
      <c r="O39" s="17">
        <f>SUM(C39:N39)</f>
        <v>131</v>
      </c>
    </row>
    <row r="40" spans="2:15" x14ac:dyDescent="0.4">
      <c r="B40" s="23" t="s">
        <v>79</v>
      </c>
      <c r="C40" s="25">
        <f>C38+C39</f>
        <v>25</v>
      </c>
      <c r="D40" s="25">
        <f t="shared" ref="D40" si="52">D38+D39</f>
        <v>18</v>
      </c>
      <c r="E40" s="25">
        <f t="shared" ref="E40" si="53">E38+E39</f>
        <v>19</v>
      </c>
      <c r="F40" s="25">
        <f t="shared" ref="F40" si="54">F38+F39</f>
        <v>22</v>
      </c>
      <c r="G40" s="25">
        <f t="shared" ref="G40" si="55">G38+G39</f>
        <v>34</v>
      </c>
      <c r="H40" s="25">
        <f t="shared" ref="H40" si="56">H38+H39</f>
        <v>35</v>
      </c>
      <c r="I40" s="25">
        <f t="shared" ref="I40" si="57">I38+I39</f>
        <v>21</v>
      </c>
      <c r="J40" s="25">
        <f t="shared" ref="J40" si="58">J38+J39</f>
        <v>27</v>
      </c>
      <c r="K40" s="25">
        <f t="shared" ref="K40" si="59">K38+K39</f>
        <v>29</v>
      </c>
      <c r="L40" s="25">
        <f t="shared" ref="L40" si="60">L38+L39</f>
        <v>22</v>
      </c>
      <c r="M40" s="25">
        <f t="shared" ref="M40" si="61">M38+M39</f>
        <v>27</v>
      </c>
      <c r="N40" s="25">
        <f t="shared" ref="N40" si="62">N38+N39</f>
        <v>9</v>
      </c>
      <c r="O40" s="26">
        <f>SUM(C40:N40)</f>
        <v>288</v>
      </c>
    </row>
    <row r="41" spans="2:15" x14ac:dyDescent="0.4">
      <c r="B41" s="28" t="s">
        <v>10</v>
      </c>
      <c r="C41" s="29">
        <f>C37+C40</f>
        <v>139</v>
      </c>
      <c r="D41" s="29">
        <f t="shared" ref="D41" si="63">D37+D40</f>
        <v>143</v>
      </c>
      <c r="E41" s="29">
        <f t="shared" ref="E41" si="64">E37+E40</f>
        <v>135</v>
      </c>
      <c r="F41" s="29">
        <f t="shared" ref="F41" si="65">F37+F40</f>
        <v>157</v>
      </c>
      <c r="G41" s="29">
        <f t="shared" ref="G41" si="66">G37+G40</f>
        <v>156</v>
      </c>
      <c r="H41" s="29">
        <f t="shared" ref="H41" si="67">H37+H40</f>
        <v>160</v>
      </c>
      <c r="I41" s="29">
        <f t="shared" ref="I41" si="68">I37+I40</f>
        <v>152</v>
      </c>
      <c r="J41" s="29">
        <f t="shared" ref="J41" si="69">J37+J40</f>
        <v>155</v>
      </c>
      <c r="K41" s="29">
        <f t="shared" ref="K41" si="70">K37+K40</f>
        <v>146</v>
      </c>
      <c r="L41" s="29">
        <f t="shared" ref="L41" si="71">L37+L40</f>
        <v>130</v>
      </c>
      <c r="M41" s="29">
        <f t="shared" ref="M41" si="72">M37+M40</f>
        <v>127</v>
      </c>
      <c r="N41" s="29">
        <f t="shared" ref="N41" si="73">N37+N40</f>
        <v>120</v>
      </c>
      <c r="O41" s="30">
        <f>O37+O40</f>
        <v>1720</v>
      </c>
    </row>
    <row r="42" spans="2:15" x14ac:dyDescent="0.4">
      <c r="O42" s="14"/>
    </row>
    <row r="43" spans="2:15" x14ac:dyDescent="0.4">
      <c r="O43" s="14"/>
    </row>
  </sheetData>
  <mergeCells count="1">
    <mergeCell ref="A1:G2"/>
  </mergeCells>
  <phoneticPr fontId="1"/>
  <pageMargins left="0.7" right="0.7" top="0.75" bottom="0.75" header="0.3" footer="0.3"/>
  <pageSetup paperSize="9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0E7C-97B5-42E2-906E-399D611F877A}">
  <sheetPr>
    <tabColor rgb="FFFF0000"/>
    <pageSetUpPr fitToPage="1"/>
  </sheetPr>
  <dimension ref="A1:M22"/>
  <sheetViews>
    <sheetView tabSelected="1" workbookViewId="0">
      <selection activeCell="I2" sqref="I2"/>
    </sheetView>
  </sheetViews>
  <sheetFormatPr defaultRowHeight="18.75" x14ac:dyDescent="0.4"/>
  <cols>
    <col min="1" max="1" width="4.875" style="40" customWidth="1"/>
    <col min="2" max="2" width="21.375" style="40" bestFit="1" customWidth="1"/>
    <col min="3" max="16384" width="9" style="40"/>
  </cols>
  <sheetData>
    <row r="1" spans="1:13" x14ac:dyDescent="0.4">
      <c r="A1" s="39" t="s">
        <v>24</v>
      </c>
      <c r="B1" s="39"/>
      <c r="C1" s="39"/>
      <c r="D1" s="39"/>
      <c r="E1" s="39"/>
      <c r="F1" s="39"/>
      <c r="G1" s="39"/>
      <c r="H1" s="39"/>
    </row>
    <row r="2" spans="1:13" x14ac:dyDescent="0.4">
      <c r="A2" s="39"/>
      <c r="B2" s="39"/>
      <c r="C2" s="39"/>
      <c r="D2" s="39"/>
      <c r="E2" s="39"/>
      <c r="F2" s="39"/>
      <c r="G2" s="39"/>
      <c r="H2" s="39"/>
    </row>
    <row r="3" spans="1:13" ht="18.75" customHeight="1" x14ac:dyDescent="0.4">
      <c r="A3" s="41"/>
      <c r="B3" s="41"/>
      <c r="C3" s="41"/>
      <c r="D3" s="41"/>
      <c r="E3" s="41"/>
      <c r="F3" s="41"/>
      <c r="G3" s="41"/>
      <c r="H3" s="41"/>
    </row>
    <row r="4" spans="1:13" x14ac:dyDescent="0.4">
      <c r="B4" s="40" t="s">
        <v>64</v>
      </c>
    </row>
    <row r="5" spans="1:13" x14ac:dyDescent="0.4">
      <c r="B5" s="42"/>
      <c r="C5" s="43" t="s">
        <v>54</v>
      </c>
      <c r="D5" s="43" t="s">
        <v>55</v>
      </c>
      <c r="E5" s="43" t="s">
        <v>56</v>
      </c>
      <c r="F5" s="43" t="s">
        <v>57</v>
      </c>
      <c r="G5" s="43" t="s">
        <v>58</v>
      </c>
      <c r="H5" s="43" t="s">
        <v>59</v>
      </c>
      <c r="I5" s="43" t="s">
        <v>60</v>
      </c>
      <c r="J5" s="43" t="s">
        <v>61</v>
      </c>
      <c r="K5" s="43" t="s">
        <v>62</v>
      </c>
    </row>
    <row r="6" spans="1:13" x14ac:dyDescent="0.4">
      <c r="B6" s="42" t="s">
        <v>63</v>
      </c>
      <c r="C6" s="42">
        <v>12</v>
      </c>
      <c r="D6" s="42">
        <v>12</v>
      </c>
      <c r="E6" s="42">
        <v>27</v>
      </c>
      <c r="F6" s="42">
        <v>46</v>
      </c>
      <c r="G6" s="42">
        <v>34</v>
      </c>
      <c r="H6" s="42">
        <v>84</v>
      </c>
      <c r="I6" s="42">
        <v>40</v>
      </c>
      <c r="J6" s="42">
        <v>34</v>
      </c>
      <c r="K6" s="42">
        <v>76</v>
      </c>
      <c r="L6" s="40">
        <f>SUM(C6:K6)</f>
        <v>365</v>
      </c>
      <c r="M6" s="44"/>
    </row>
    <row r="7" spans="1:13" x14ac:dyDescent="0.4">
      <c r="M7" s="44"/>
    </row>
    <row r="8" spans="1:13" x14ac:dyDescent="0.4">
      <c r="B8" s="40" t="s">
        <v>65</v>
      </c>
      <c r="M8" s="44"/>
    </row>
    <row r="9" spans="1:13" x14ac:dyDescent="0.4">
      <c r="B9" s="42"/>
      <c r="C9" s="43" t="s">
        <v>54</v>
      </c>
      <c r="D9" s="43" t="s">
        <v>55</v>
      </c>
      <c r="E9" s="43" t="s">
        <v>56</v>
      </c>
      <c r="F9" s="43" t="s">
        <v>57</v>
      </c>
      <c r="G9" s="43" t="s">
        <v>58</v>
      </c>
      <c r="H9" s="43" t="s">
        <v>59</v>
      </c>
      <c r="I9" s="43" t="s">
        <v>60</v>
      </c>
      <c r="J9" s="43" t="s">
        <v>61</v>
      </c>
      <c r="K9" s="43" t="s">
        <v>62</v>
      </c>
    </row>
    <row r="10" spans="1:13" x14ac:dyDescent="0.4">
      <c r="B10" s="42" t="s">
        <v>63</v>
      </c>
      <c r="C10" s="42">
        <v>10</v>
      </c>
      <c r="D10" s="42">
        <v>14</v>
      </c>
      <c r="E10" s="42">
        <v>17</v>
      </c>
      <c r="F10" s="42">
        <v>39</v>
      </c>
      <c r="G10" s="42">
        <v>45</v>
      </c>
      <c r="H10" s="42">
        <v>85</v>
      </c>
      <c r="I10" s="42">
        <v>48</v>
      </c>
      <c r="J10" s="42">
        <v>27</v>
      </c>
      <c r="K10" s="42">
        <v>80</v>
      </c>
      <c r="L10" s="40">
        <f>SUM(C10:K10)</f>
        <v>365</v>
      </c>
    </row>
    <row r="12" spans="1:13" x14ac:dyDescent="0.4">
      <c r="B12" s="40" t="s">
        <v>66</v>
      </c>
    </row>
    <row r="13" spans="1:13" x14ac:dyDescent="0.4">
      <c r="B13" s="42"/>
      <c r="C13" s="43" t="s">
        <v>54</v>
      </c>
      <c r="D13" s="43" t="s">
        <v>55</v>
      </c>
      <c r="E13" s="43" t="s">
        <v>56</v>
      </c>
      <c r="F13" s="43" t="s">
        <v>57</v>
      </c>
      <c r="G13" s="43" t="s">
        <v>58</v>
      </c>
      <c r="H13" s="43" t="s">
        <v>59</v>
      </c>
      <c r="I13" s="43" t="s">
        <v>60</v>
      </c>
      <c r="J13" s="43" t="s">
        <v>61</v>
      </c>
      <c r="K13" s="43" t="s">
        <v>62</v>
      </c>
    </row>
    <row r="14" spans="1:13" x14ac:dyDescent="0.4">
      <c r="B14" s="42" t="s">
        <v>63</v>
      </c>
      <c r="C14" s="42">
        <v>10</v>
      </c>
      <c r="D14" s="42">
        <v>21</v>
      </c>
      <c r="E14" s="42">
        <v>31</v>
      </c>
      <c r="F14" s="42">
        <v>26</v>
      </c>
      <c r="G14" s="42">
        <v>40</v>
      </c>
      <c r="H14" s="42">
        <v>85</v>
      </c>
      <c r="I14" s="42">
        <v>48</v>
      </c>
      <c r="J14" s="42">
        <v>30</v>
      </c>
      <c r="K14" s="42">
        <v>75</v>
      </c>
      <c r="L14" s="40">
        <f>SUM(C14:K14)</f>
        <v>366</v>
      </c>
      <c r="M14" s="44"/>
    </row>
    <row r="15" spans="1:13" x14ac:dyDescent="0.4">
      <c r="M15" s="44"/>
    </row>
    <row r="16" spans="1:13" x14ac:dyDescent="0.4">
      <c r="B16" s="40" t="s">
        <v>67</v>
      </c>
    </row>
    <row r="17" spans="2:12" x14ac:dyDescent="0.4">
      <c r="B17" s="42"/>
      <c r="C17" s="43" t="s">
        <v>54</v>
      </c>
      <c r="D17" s="43" t="s">
        <v>55</v>
      </c>
      <c r="E17" s="43" t="s">
        <v>56</v>
      </c>
      <c r="F17" s="43" t="s">
        <v>57</v>
      </c>
      <c r="G17" s="43" t="s">
        <v>58</v>
      </c>
      <c r="H17" s="43" t="s">
        <v>59</v>
      </c>
      <c r="I17" s="43" t="s">
        <v>60</v>
      </c>
      <c r="J17" s="43" t="s">
        <v>61</v>
      </c>
      <c r="K17" s="43" t="s">
        <v>62</v>
      </c>
    </row>
    <row r="18" spans="2:12" x14ac:dyDescent="0.4">
      <c r="B18" s="42" t="s">
        <v>63</v>
      </c>
      <c r="C18" s="42">
        <v>15</v>
      </c>
      <c r="D18" s="42">
        <v>9</v>
      </c>
      <c r="E18" s="42">
        <v>22</v>
      </c>
      <c r="F18" s="42">
        <v>50</v>
      </c>
      <c r="G18" s="42">
        <v>42</v>
      </c>
      <c r="H18" s="42">
        <v>64</v>
      </c>
      <c r="I18" s="42">
        <v>46</v>
      </c>
      <c r="J18" s="42">
        <v>24</v>
      </c>
      <c r="K18" s="42">
        <v>93</v>
      </c>
      <c r="L18" s="40">
        <f>SUM(C18:K18)</f>
        <v>365</v>
      </c>
    </row>
    <row r="20" spans="2:12" x14ac:dyDescent="0.4">
      <c r="B20" s="40" t="s">
        <v>76</v>
      </c>
    </row>
    <row r="21" spans="2:12" x14ac:dyDescent="0.4">
      <c r="B21" s="42"/>
      <c r="C21" s="43" t="s">
        <v>54</v>
      </c>
      <c r="D21" s="43" t="s">
        <v>55</v>
      </c>
      <c r="E21" s="43" t="s">
        <v>56</v>
      </c>
      <c r="F21" s="43" t="s">
        <v>57</v>
      </c>
      <c r="G21" s="43" t="s">
        <v>58</v>
      </c>
      <c r="H21" s="43" t="s">
        <v>59</v>
      </c>
      <c r="I21" s="43" t="s">
        <v>60</v>
      </c>
      <c r="J21" s="43" t="s">
        <v>61</v>
      </c>
      <c r="K21" s="43" t="s">
        <v>62</v>
      </c>
    </row>
    <row r="22" spans="2:12" x14ac:dyDescent="0.4">
      <c r="B22" s="42" t="s">
        <v>63</v>
      </c>
      <c r="C22" s="42">
        <v>5</v>
      </c>
      <c r="D22" s="42">
        <v>9</v>
      </c>
      <c r="E22" s="42">
        <v>18</v>
      </c>
      <c r="F22" s="42">
        <v>45</v>
      </c>
      <c r="G22" s="42">
        <v>45</v>
      </c>
      <c r="H22" s="42">
        <v>87</v>
      </c>
      <c r="I22" s="42">
        <v>53</v>
      </c>
      <c r="J22" s="42">
        <v>37</v>
      </c>
      <c r="K22" s="42">
        <v>66</v>
      </c>
      <c r="L22" s="40">
        <f>SUM(C22:K22)</f>
        <v>365</v>
      </c>
    </row>
  </sheetData>
  <mergeCells count="1">
    <mergeCell ref="A1:H2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船種別作業実績（隻数）</vt:lpstr>
      <vt:lpstr>総作業件数</vt:lpstr>
      <vt:lpstr>年間延べタグ投入隻数</vt:lpstr>
      <vt:lpstr>年間延べタグ投入隻数の内訳・構成比</vt:lpstr>
      <vt:lpstr>他社タグを使用した実日数</vt:lpstr>
      <vt:lpstr>1日当たり平均稼働タグ隻数</vt:lpstr>
      <vt:lpstr>稼働タグ隻数別の日数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 優介</dc:creator>
  <cp:lastModifiedBy>上田 優介</cp:lastModifiedBy>
  <cp:lastPrinted>2026-09-08T05:15:02Z</cp:lastPrinted>
  <dcterms:created xsi:type="dcterms:W3CDTF">2026-09-03T07:01:35Z</dcterms:created>
  <dcterms:modified xsi:type="dcterms:W3CDTF">2026-09-11T01:39:38Z</dcterms:modified>
</cp:coreProperties>
</file>