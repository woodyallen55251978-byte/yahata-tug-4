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はじめに" sheetId="1" state="visible" r:id="rId1"/>
    <sheet name="実績" sheetId="2" state="visible" r:id="rId2"/>
    <sheet name="前日確定" sheetId="3" state="visible" r:id="rId3"/>
    <sheet name="変更・キャンセル" sheetId="4" state="visible" r:id="rId4"/>
    <sheet name="入渠" sheetId="5" state="visible" r:id="rId5"/>
    <sheet name="他港作業" sheetId="6" state="visible" r:id="rId6"/>
    <sheet name="他社配置" sheetId="7" state="visible" r:id="rId7"/>
    <sheet name="標準時間" sheetId="8" state="visible" r:id="rId8"/>
    <sheet name="マスター" sheetId="9" state="visible" r:id="rId9"/>
    <sheet name="集計" sheetId="10" state="visible" r:id="rId10"/>
    <sheet name="_計算" sheetId="11" state="hidden" r:id="rId11"/>
  </sheets>
  <definedNames>
    <definedName name="作業リスト">'前日確定'!$B$26:$B$45</definedName>
    <definedName name="船名リスト">OFFSET(マスター!$A$6,0,0,MAX(1,COUNTA(マスター!$A$6:$A$125)),1)</definedName>
    <definedName name="会社リスト">OFFSET(マスター!$P$6,0,0,MAX(1,COUNTA(マスター!$P$6:$P$45)),1)</definedName>
    <definedName name="基地港リスト">OFFSET(マスター!$U$6,0,0,MAX(1,COUNTA(マスター!$U$6:$U$25)),1)</definedName>
    <definedName name="選択_確認状況">OFFSET(マスター!$X$6,0,0,MAX(1,COUNTA(マスター!$X$6:$X$25)),1)</definedName>
    <definedName name="選択_照合">OFFSET(マスター!$Y$6,0,0,MAX(1,COUNTA(マスター!$Y$6:$Y$25)),1)</definedName>
    <definedName name="選択_取消時点">OFFSET(マスター!$Z$6,0,0,MAX(1,COUNTA(マスター!$Z$6:$Z$25)),1)</definedName>
    <definedName name="選択_理由">OFFSET(マスター!$AA$6,0,0,MAX(1,COUNTA(マスター!$AA$6:$AA$25)),1)</definedName>
    <definedName name="選択_時間調整">OFFSET(マスター!$AB$6,0,0,MAX(1,COUNTA(マスター!$AB$6:$AB$25)),1)</definedName>
    <definedName name="選択_呼出理由">OFFSET(マスター!$AC$6,0,0,MAX(1,COUNTA(マスター!$AC$6:$AC$25)),1)</definedName>
    <definedName name="選択_作業内容">OFFSET(マスター!$AD$6,0,0,MAX(1,COUNTA(マスター!$AD$6:$AD$25)),1)</definedName>
    <definedName name="選択_時刻基準">OFFSET(マスター!$AE$6,0,0,MAX(1,COUNTA(マスター!$AE$6:$AE$25)),1)</definedName>
    <definedName name="選択_種類">OFFSET(マスター!$AF$6,0,0,MAX(1,COUNTA(マスター!$AF$6:$AF$25)),1)</definedName>
    <definedName name="選択_時刻確認">OFFSET(マスター!$AG$6,0,0,MAX(1,COUNTA(マスター!$AG$6:$AG$25)),1)</definedName>
    <definedName name="選択_会社区分">OFFSET(マスター!$AH$6,0,0,MAX(1,COUNTA(マスター!$AH$6:$AH$25)),1)</definedName>
    <definedName name="選択_日確認">OFFSET(マスター!$AI$6,0,0,MAX(1,COUNTA(マスター!$AI$6:$AI$25)),1)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/mm/dd"/>
    <numFmt numFmtId="166" formatCode="hh:mm"/>
    <numFmt numFmtId="167" formatCode="yyyy/mm/dd hh:mm"/>
  </numFmts>
  <fonts count="11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sz val="10"/>
    </font>
    <font>
      <name val="游ゴシック"/>
      <color rgb="00595959"/>
      <sz val="10"/>
    </font>
    <font>
      <name val="游ゴシック"/>
      <b val="1"/>
      <sz val="10"/>
    </font>
    <font>
      <name val="游ゴシック"/>
      <b val="1"/>
      <color rgb="001F4E79"/>
      <sz val="11"/>
    </font>
    <font>
      <name val="游ゴシック"/>
      <b val="1"/>
      <color rgb="00C00000"/>
      <sz val="10"/>
    </font>
    <font>
      <name val="游ゴシック"/>
      <color rgb="00C00000"/>
      <sz val="10"/>
    </font>
    <font>
      <name val="游ゴシック"/>
      <b val="1"/>
      <sz val="16"/>
    </font>
    <font>
      <name val="游ゴシック"/>
      <b val="1"/>
      <color rgb="000563C1"/>
      <sz val="12"/>
      <u val="single"/>
    </font>
    <font>
      <name val="游ゴシック"/>
      <color rgb="000563C1"/>
      <sz val="10"/>
      <u val="single"/>
    </font>
  </fonts>
  <fills count="7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BFBFBF"/>
      </patternFill>
    </fill>
    <fill>
      <patternFill patternType="solid">
        <fgColor rgb="00EDEDED"/>
      </patternFill>
    </fill>
    <fill>
      <patternFill patternType="solid">
        <fgColor rgb="00FFF9C4"/>
      </patternFill>
    </fill>
    <fill>
      <patternFill patternType="solid">
        <fgColor rgb="00FFE97F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8" fillId="0" borderId="0" pivotButton="0" quotePrefix="0" xfId="0"/>
    <xf numFmtId="0" fontId="4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9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1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5" fontId="2" fillId="4" borderId="1" pivotButton="0" quotePrefix="0" xfId="0"/>
    <xf numFmtId="166" fontId="2" fillId="4" borderId="1" pivotButton="0" quotePrefix="0" xfId="0"/>
    <xf numFmtId="0" fontId="5" fillId="0" borderId="0" pivotButton="0" quotePrefix="0" xfId="0"/>
    <xf numFmtId="0" fontId="2" fillId="5" borderId="1" pivotButton="0" quotePrefix="0" xfId="0"/>
    <xf numFmtId="0" fontId="6" fillId="0" borderId="0" pivotButton="0" quotePrefix="0" xfId="0"/>
    <xf numFmtId="167" fontId="2" fillId="5" borderId="1" pivotButton="0" quotePrefix="0" xfId="0"/>
    <xf numFmtId="0" fontId="4" fillId="6" borderId="1" applyAlignment="1" pivotButton="0" quotePrefix="0" xfId="0">
      <alignment horizontal="center" vertical="center" wrapText="1"/>
    </xf>
    <xf numFmtId="166" fontId="2" fillId="5" borderId="1" pivotButton="0" quotePrefix="0" xfId="0"/>
    <xf numFmtId="0" fontId="7" fillId="0" borderId="0" pivotButton="0" quotePrefix="0" xfId="0"/>
    <xf numFmtId="165" fontId="2" fillId="5" borderId="1" pivotButton="0" quotePrefix="0" xfId="0"/>
    <xf numFmtId="0" fontId="4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1"/>
  <sheetViews>
    <sheetView tabSelected="1" workbookViewId="0">
      <selection activeCell="B17" sqref="B17"/>
    </sheetView>
  </sheetViews>
  <sheetFormatPr baseColWidth="8" defaultRowHeight="15"/>
  <cols>
    <col width="3" customWidth="1" min="1" max="1"/>
    <col width="26" customWidth="1" min="2" max="2"/>
    <col width="100" customWidth="1" min="3" max="3"/>
  </cols>
  <sheetData>
    <row r="1">
      <c r="B1" s="1" t="inlineStr">
        <is>
          <t>八幡地区 常駐体制検証 入力試作 v01</t>
        </is>
      </c>
    </row>
    <row r="3" ht="30" customHeight="1">
      <c r="B3" s="2" t="inlineStr">
        <is>
          <t>目的</t>
        </is>
      </c>
      <c r="C3" s="3" t="inlineStr">
        <is>
          <t>製鉄曳船の3隻と4隻で対応の差を説明するための基礎データを集めます。この試作は、入力と集計のつながりを試すためのものです。4隻の必要性を証明するものではありません。</t>
        </is>
      </c>
    </row>
    <row r="4" ht="30" customHeight="1">
      <c r="B4" s="2" t="inlineStr">
        <is>
          <t>対象</t>
        </is>
      </c>
      <c r="C4" s="3" t="inlineStr">
        <is>
          <t>元帳R7年度のうち、同時3隻以上の候補日 2025年12月06日 の1日分（実績17行・9作業）。元帳の時刻は「候補・時刻要確認」です。</t>
        </is>
      </c>
    </row>
    <row r="5" ht="30" customHeight="1">
      <c r="B5" s="2" t="inlineStr">
        <is>
          <t>最初の操作</t>
        </is>
      </c>
      <c r="C5" s="3" t="inlineStr">
        <is>
          <t>下の青い文字を押すと、最初の入力欄（前日確定シートC7：根拠の予定表）へ移動します。</t>
        </is>
      </c>
    </row>
    <row r="6" ht="30" customHeight="1">
      <c r="B6" s="2" t="inlineStr">
        <is>
          <t>入力の順番</t>
        </is>
      </c>
      <c r="C6" s="3" t="inlineStr">
        <is>
          <t>①前日確定 → ②変更・キャンセル → ③入渠・他港作業・他社配置 → ④標準時間。船名や会社が選択肢にないときは、先にマスターへ追加します。</t>
        </is>
      </c>
    </row>
    <row r="7" ht="30" customHeight="1">
      <c r="B7" s="2" t="inlineStr">
        <is>
          <t>担当者</t>
        </is>
      </c>
      <c r="C7" s="3" t="inlineStr">
        <is>
          <t>前日確定・変更・キャンセル・製鉄曳船の入渠・八幡タグの標準時間：上田さん／西日本海運の他港作業・入渠・標準時間：西日本海運担当者／他社配置：分かる範囲で上田さん</t>
        </is>
      </c>
    </row>
    <row r="8" ht="30" customHeight="1">
      <c r="B8" s="2" t="inlineStr">
        <is>
          <t>色の意味</t>
        </is>
      </c>
      <c r="C8" s="3" t="inlineStr">
        <is>
          <t>薄い黄色＝入力する欄（見出しに【入力】）／薄い灰色＝自動表示（見出しに【自動】）。灰色の欄は入力しません。</t>
        </is>
      </c>
    </row>
    <row r="9" ht="30" customHeight="1">
      <c r="B9" s="2" t="inlineStr">
        <is>
          <t>選び方</t>
        </is>
      </c>
      <c r="C9" s="3" t="inlineStr">
        <is>
          <t>船名・会社・理由などはセルを選ぶと出る▼の一覧から選びます。○の欄は▼から○を選びます。ボタンやマクロは使っていません。</t>
        </is>
      </c>
    </row>
    <row r="10" ht="30" customHeight="1">
      <c r="B10" s="2" t="inlineStr">
        <is>
          <t>未確認の意味</t>
        </is>
      </c>
      <c r="C10" s="3" t="inlineStr">
        <is>
          <t>資料で確かめられていないことです。推測で埋めず「未確認」のまま残します。確認できたら「確認済み」に変えます。</t>
        </is>
      </c>
    </row>
    <row r="11" ht="30" customHeight="1">
      <c r="B11" s="2" t="inlineStr">
        <is>
          <t>再入力しない</t>
        </is>
      </c>
      <c r="C11" s="3" t="inlineStr">
        <is>
          <t>本船名・タグ名・実績時刻は元帳から自動表示します。作業番号の入力は不要で、作業は▼の一覧から選びます。</t>
        </is>
      </c>
    </row>
    <row r="12" ht="30" customHeight="1">
      <c r="B12" s="2" t="inlineStr">
        <is>
          <t>前日確定と変更</t>
        </is>
      </c>
      <c r="C12" s="3" t="inlineStr">
        <is>
          <t>前日最終の予定は「前日確定」に入れ、変更があっても上書きしません。変更は「変更・キャンセル」に1回ごとに1行追加します。</t>
        </is>
      </c>
    </row>
    <row r="13" ht="30" customHeight="1">
      <c r="B13" s="2" t="inlineStr">
        <is>
          <t>実績のない取消し</t>
        </is>
      </c>
      <c r="C13" s="3" t="inlineStr">
        <is>
          <t>予定表にあって元帳にない作業は、「前日確定」の下の空き行に本船名などを入れて追加し、「変更・キャンセル」で選んで取消しを入力します。</t>
        </is>
      </c>
    </row>
    <row r="14" ht="30" customHeight="1">
      <c r="B14" s="2" t="inlineStr">
        <is>
          <t>安瀬</t>
        </is>
      </c>
      <c r="C14" s="3" t="inlineStr">
        <is>
          <t>安瀬は若松との按分配船です。応援とは別に数えます（品名「支給炭」を安瀬候補として仮に表示。要確認）。</t>
        </is>
      </c>
    </row>
    <row r="15" ht="30" customHeight="1">
      <c r="B15" s="2" t="inlineStr">
        <is>
          <t>集計</t>
        </is>
      </c>
      <c r="C15" s="3" t="inlineStr">
        <is>
          <t>「集計」シートで、作業予定タグ数・出勤手配隻数・実績の同時稼働を別々に表示します。同時に必要な隻数は代表事例で別に確認します。</t>
        </is>
      </c>
    </row>
    <row r="17">
      <c r="B17" s="4" t="inlineStr">
        <is>
          <t>▶ 最初の入力へ移動（前日確定 C7）</t>
        </is>
      </c>
      <c r="C17" s="5" t="inlineStr">
        <is>
          <t>対象日の前日最終の予定表のファイル名・版を入力します（2025年度分は資料一式に含まれていないため、上田さんの照合で入力）。</t>
        </is>
      </c>
    </row>
    <row r="19">
      <c r="B19" s="6" t="inlineStr">
        <is>
          <t>色見本</t>
        </is>
      </c>
      <c r="C19" s="7" t="inlineStr">
        <is>
          <t>入力する欄【入力】</t>
        </is>
      </c>
    </row>
    <row r="20">
      <c r="C20" s="8" t="inlineStr">
        <is>
          <t>自動表示の欄【自動】</t>
        </is>
      </c>
    </row>
    <row r="22">
      <c r="B22" s="6" t="inlineStr">
        <is>
          <t>シートの役割</t>
        </is>
      </c>
    </row>
    <row r="23">
      <c r="B23" s="9" t="inlineStr">
        <is>
          <t>実績</t>
        </is>
      </c>
      <c r="C23" s="5" t="inlineStr">
        <is>
          <t>元帳の取り込み（見るだけ）</t>
        </is>
      </c>
    </row>
    <row r="24">
      <c r="B24" s="9" t="inlineStr">
        <is>
          <t>前日確定</t>
        </is>
      </c>
      <c r="C24" s="5" t="inlineStr">
        <is>
          <t>前日最終の予定・予定タグ・翌日の出勤手配</t>
        </is>
      </c>
    </row>
    <row r="25">
      <c r="B25" s="9" t="inlineStr">
        <is>
          <t>変更・キャンセル</t>
        </is>
      </c>
      <c r="C25" s="5" t="inlineStr">
        <is>
          <t>日ごとの変更確認、休船からの呼出、変更・取消しの記録</t>
        </is>
      </c>
    </row>
    <row r="26">
      <c r="B26" s="9" t="inlineStr">
        <is>
          <t>入渠</t>
        </is>
      </c>
      <c r="C26" s="5" t="inlineStr">
        <is>
          <t>作業に使えない期間</t>
        </is>
      </c>
    </row>
    <row r="27">
      <c r="B27" s="9" t="inlineStr">
        <is>
          <t>他港作業</t>
        </is>
      </c>
      <c r="C27" s="5" t="inlineStr">
        <is>
          <t>西日本海運の全他港作業</t>
        </is>
      </c>
    </row>
    <row r="28">
      <c r="B28" s="9" t="inlineStr">
        <is>
          <t>他社配置</t>
        </is>
      </c>
      <c r="C28" s="5" t="inlineStr">
        <is>
          <t>若松・関門等の他社の体制</t>
        </is>
      </c>
    </row>
    <row r="29">
      <c r="B29" s="9" t="inlineStr">
        <is>
          <t>標準時間</t>
        </is>
      </c>
      <c r="C29" s="5" t="inlineStr">
        <is>
          <t>基地発～基地着の見込み時間</t>
        </is>
      </c>
    </row>
    <row r="30">
      <c r="B30" s="9" t="inlineStr">
        <is>
          <t>マスター</t>
        </is>
      </c>
      <c r="C30" s="5" t="inlineStr">
        <is>
          <t>会社・船名・基地港・選択肢の追加</t>
        </is>
      </c>
    </row>
    <row r="31">
      <c r="B31" s="9" t="inlineStr">
        <is>
          <t>集計</t>
        </is>
      </c>
      <c r="C31" s="5" t="inlineStr">
        <is>
          <t>対比結果と不足情報（自動）</t>
        </is>
      </c>
    </row>
  </sheetData>
  <hyperlinks>
    <hyperlink ref="B17" location="'前日確定'!C7" display="▶ 最初の入力へ移動（前日確定 C7）"/>
    <hyperlink ref="B23" location="'実績'!A1" display="実績"/>
    <hyperlink ref="B24" location="'前日確定'!A1" display="前日確定"/>
    <hyperlink ref="B25" location="'変更・キャンセル'!A1" display="変更・キャンセル"/>
    <hyperlink ref="B26" location="'入渠'!A1" display="入渠"/>
    <hyperlink ref="B27" location="'他港作業'!A1" display="他港作業"/>
    <hyperlink ref="B28" location="'他社配置'!A1" display="他社配置"/>
    <hyperlink ref="B29" location="'標準時間'!A1" display="標準時間"/>
    <hyperlink ref="B30" location="'マスター'!A1" display="マスター"/>
    <hyperlink ref="B31" location="'集計'!A1" display="集計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2"/>
  <sheetViews>
    <sheetView tabSelected="0" workbookViewId="0">
      <pane xSplit="7" ySplit="5" topLeftCell="H6" activePane="bottomRight" state="frozen"/>
      <selection pane="topRight" activeCell="A6" sqref="A6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7" customWidth="1" min="3" max="3"/>
    <col width="11" customWidth="1" min="4" max="4"/>
    <col width="8" customWidth="1" min="5" max="5"/>
    <col width="6" customWidth="1" min="6" max="6"/>
    <col width="18" customWidth="1" min="7" max="7"/>
    <col width="9" customWidth="1" min="8" max="8"/>
    <col width="11" customWidth="1" min="9" max="9"/>
    <col width="7" customWidth="1" min="10" max="10"/>
    <col width="6" customWidth="1" min="11" max="11"/>
    <col width="8" customWidth="1" min="12" max="12"/>
    <col width="8" customWidth="1" min="13" max="13"/>
    <col width="10" customWidth="1" min="14" max="14"/>
    <col width="9" customWidth="1" min="15" max="15"/>
    <col width="9" customWidth="1" min="16" max="16"/>
    <col width="7" customWidth="1" min="17" max="17"/>
    <col width="9" customWidth="1" min="18" max="18"/>
    <col width="7" customWidth="1" min="19" max="19"/>
    <col width="16" customWidth="1" min="20" max="20"/>
    <col width="7" customWidth="1" min="21" max="21"/>
    <col width="16" customWidth="1" min="22" max="22"/>
    <col width="10" customWidth="1" min="23" max="23"/>
    <col width="14" customWidth="1" min="24" max="24"/>
    <col width="10" customWidth="1" min="25" max="25"/>
    <col width="18" customWidth="1" min="26" max="26"/>
    <col width="9" customWidth="1" min="27" max="27"/>
    <col width="12" customWidth="1" min="28" max="28"/>
    <col hidden="1" width="7" customWidth="1" min="29" max="29"/>
    <col hidden="1" width="7" customWidth="1" min="30" max="30"/>
    <col hidden="1" width="7" customWidth="1" min="31" max="31"/>
    <col hidden="1" width="7" customWidth="1" min="32" max="32"/>
    <col hidden="1" width="7" customWidth="1" min="33" max="33"/>
    <col width="18" customWidth="1" min="34" max="34"/>
  </cols>
  <sheetData>
    <row r="1">
      <c r="A1" s="10" t="inlineStr">
        <is>
          <t>実績（元帳から自動表示・再入力しない）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</row>
    <row r="2">
      <c r="A2" s="12" t="inlineStr">
        <is>
          <t>誰が：全員が見るだけ　何を見て：元帳「作業実績R6.4～」シート「R7年度」　どこへ：入力欄はありません（休船からの呼出は「変更・キャンセル」で最初に対応した作業を選びます）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</row>
    <row r="3">
      <c r="A3" s="13" t="inlineStr">
        <is>
          <t>対象日 2025/12/06。時刻は元帳の「作業時間」で、基地発・基地着かは未確認のため「候補・時刻要確認」。集計先：「集計」「前日確定」「変更・キャンセル」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</row>
    <row r="5" ht="60" customHeight="1">
      <c r="A5" s="14" t="inlineStr">
        <is>
          <t>作業キー【自動】</t>
        </is>
      </c>
      <c r="B5" s="14" t="inlineStr">
        <is>
          <t>作業の表示名【自動】</t>
        </is>
      </c>
      <c r="C5" s="14" t="inlineStr">
        <is>
          <t>作業の先頭行【自動】</t>
        </is>
      </c>
      <c r="D5" s="14" t="inlineStr">
        <is>
          <t>作業日【自動】</t>
        </is>
      </c>
      <c r="E5" s="14" t="inlineStr">
        <is>
          <t>元帳の行番号【自動】</t>
        </is>
      </c>
      <c r="F5" s="14" t="inlineStr">
        <is>
          <t>元帳No【自動】</t>
        </is>
      </c>
      <c r="G5" s="14" t="inlineStr">
        <is>
          <t>本船名【自動】</t>
        </is>
      </c>
      <c r="H5" s="14" t="inlineStr">
        <is>
          <t>G/T【自動】</t>
        </is>
      </c>
      <c r="I5" s="14" t="inlineStr">
        <is>
          <t>代理店（参考・会社判定に使わない）【自動】</t>
        </is>
      </c>
      <c r="J5" s="14" t="inlineStr">
        <is>
          <t>入出転【自動】</t>
        </is>
      </c>
      <c r="K5" s="14" t="inlineStr">
        <is>
          <t>六/部【自動】</t>
        </is>
      </c>
      <c r="L5" s="14" t="inlineStr">
        <is>
          <t>バース【自動】</t>
        </is>
      </c>
      <c r="M5" s="14" t="inlineStr">
        <is>
          <t>品名【自動】</t>
        </is>
      </c>
      <c r="N5" s="14" t="inlineStr">
        <is>
          <t>予定時間（元帳・定義未確認）【自動】</t>
        </is>
      </c>
      <c r="O5" s="14" t="inlineStr">
        <is>
          <t>作業開始（元帳）【自動】</t>
        </is>
      </c>
      <c r="P5" s="14" t="inlineStr">
        <is>
          <t>作業終了（元帳）【自動】</t>
        </is>
      </c>
      <c r="Q5" s="14" t="inlineStr">
        <is>
          <t>終了が翌日【自動】</t>
        </is>
      </c>
      <c r="R5" s="14" t="inlineStr">
        <is>
          <t>タグ（元帳の記号）【自動】</t>
        </is>
      </c>
      <c r="S5" s="14" t="inlineStr">
        <is>
          <t>S列の記号（参考）【自動】</t>
        </is>
      </c>
      <c r="T5" s="14" t="inlineStr">
        <is>
          <t>備考1（元帳）【自動】</t>
        </is>
      </c>
      <c r="U5" s="14" t="inlineStr">
        <is>
          <t>取消しの記載【自動】</t>
        </is>
      </c>
      <c r="V5" s="14" t="inlineStr">
        <is>
          <t>時刻の扱い【自動】</t>
        </is>
      </c>
      <c r="W5" s="14" t="inlineStr">
        <is>
          <t>集計船名【自動】</t>
        </is>
      </c>
      <c r="X5" s="14" t="inlineStr">
        <is>
          <t>会社【自動】</t>
        </is>
      </c>
      <c r="Y5" s="14" t="inlineStr">
        <is>
          <t>会社区分【自動】</t>
        </is>
      </c>
      <c r="Z5" s="14" t="inlineStr">
        <is>
          <t>船名・会社の確認状況【自動】</t>
        </is>
      </c>
      <c r="AA5" s="14" t="inlineStr">
        <is>
          <t>船の種類【自動】</t>
        </is>
      </c>
      <c r="AB5" s="14" t="inlineStr">
        <is>
          <t>安瀬の扱い【自動】</t>
        </is>
      </c>
      <c r="AC5" s="14" t="inlineStr">
        <is>
          <t>開始（分）【自動】</t>
        </is>
      </c>
      <c r="AD5" s="14" t="inlineStr">
        <is>
          <t>終了（分）【自動】</t>
        </is>
      </c>
      <c r="AE5" s="14" t="inlineStr">
        <is>
          <t>同時稼働に含む【自動】</t>
        </is>
      </c>
      <c r="AF5" s="14" t="inlineStr">
        <is>
          <t>作業の開始（分）【自動】</t>
        </is>
      </c>
      <c r="AG5" s="14" t="inlineStr">
        <is>
          <t>作業の終了（分）【自動】</t>
        </is>
      </c>
      <c r="AH5" s="14" t="inlineStr">
        <is>
          <t>重複配船の警告【自動】</t>
        </is>
      </c>
    </row>
    <row r="6">
      <c r="A6" s="15" t="inlineStr">
        <is>
          <t>2025-12-06#01</t>
        </is>
      </c>
      <c r="B6" s="15" t="inlineStr">
        <is>
          <t>12/06 #01 07:30 入 GRAND MUSE（OT）</t>
        </is>
      </c>
      <c r="C6" s="15" t="inlineStr">
        <is>
          <t>○</t>
        </is>
      </c>
      <c r="D6" s="16" t="n">
        <v>45997</v>
      </c>
      <c r="E6" s="15" t="n">
        <v>2083</v>
      </c>
      <c r="F6" s="15" t="n">
        <v>20</v>
      </c>
      <c r="G6" s="15" t="inlineStr">
        <is>
          <t>GRAND MUSE</t>
        </is>
      </c>
      <c r="H6" s="15" t="n">
        <v>1137</v>
      </c>
      <c r="I6" s="15" t="inlineStr">
        <is>
          <t>矢野</t>
        </is>
      </c>
      <c r="J6" s="15" t="inlineStr">
        <is>
          <t>入</t>
        </is>
      </c>
      <c r="K6" s="15" t="inlineStr">
        <is>
          <t>六</t>
        </is>
      </c>
      <c r="L6" s="15" t="inlineStr">
        <is>
          <t>OT</t>
        </is>
      </c>
      <c r="M6" s="15" t="inlineStr">
        <is>
          <t>その他</t>
        </is>
      </c>
      <c r="N6" s="17" t="n">
        <v>0.3125</v>
      </c>
      <c r="O6" s="17" t="n">
        <v>0.3229166666666667</v>
      </c>
      <c r="P6" s="17" t="n">
        <v>0.3854166666666667</v>
      </c>
      <c r="Q6" s="15" t="inlineStr"/>
      <c r="R6" s="15" t="inlineStr">
        <is>
          <t>P</t>
        </is>
      </c>
      <c r="S6" s="15" t="n"/>
      <c r="T6" s="15" t="n"/>
      <c r="U6" s="15" t="inlineStr"/>
      <c r="V6" s="15" t="inlineStr">
        <is>
          <t>候補・時刻要確認</t>
        </is>
      </c>
      <c r="W6" s="15">
        <f>IFERROR(INDEX(マスター!$J$6:$J$125,MATCH(R6,マスター!$M$6:$M$125,0)),R6)</f>
        <v/>
      </c>
      <c r="X6" s="15">
        <f>IFERROR(IF(INDEX(マスター!$C$6:$C$125,MATCH(R6,マスター!$M$6:$M$125,0))="","未確認",INDEX(マスター!$C$6:$C$125,MATCH(R6,マスター!$M$6:$M$125,0))),"マスター未登録")</f>
        <v/>
      </c>
      <c r="Y6" s="15">
        <f>IFERROR(INDEX(マスター!$K$6:$K$125,MATCH(R6,マスター!$M$6:$M$125,0)),"マスター未登録")</f>
        <v/>
      </c>
      <c r="Z6" s="15">
        <f>IFERROR(IF(INDEX(マスター!$I$6:$I$125,MATCH(R6,マスター!$M$6:$M$125,0))="","未確認",INDEX(マスター!$I$6:$I$125,MATCH(R6,マスター!$M$6:$M$125,0))),"マスター未登録")</f>
        <v/>
      </c>
      <c r="AA6" s="15">
        <f>IFERROR(IF(INDEX(マスター!$D$6:$D$125,MATCH(R6,マスター!$M$6:$M$125,0))="","未確認",INDEX(マスター!$D$6:$D$125,MATCH(R6,マスター!$M$6:$M$125,0))),"マスター未登録")</f>
        <v/>
      </c>
      <c r="AB6" s="15">
        <f>IF(M6="支給炭","安瀬候補（要確認）","")</f>
        <v/>
      </c>
      <c r="AC6" s="15">
        <f>IF(OR(O6="",V6&lt;&gt;"候補・時刻要確認"),"",ROUND((D6-集計!$C$5)*1440+O6*1440,0))</f>
        <v/>
      </c>
      <c r="AD6" s="15">
        <f>IF(OR(P6="",V6&lt;&gt;"候補・時刻要確認"),"",ROUND((D6-集計!$C$5)*1440+P6*1440+IF(Q6="○",1440,0),0))</f>
        <v/>
      </c>
      <c r="AE6" s="15">
        <f>IF(AND(AC6&lt;&gt;"",AD6&lt;&gt;"",U6&lt;&gt;"○",AA6&lt;&gt;"通船・警戒船"),"○","")</f>
        <v/>
      </c>
      <c r="AF6" s="15">
        <f>IF(C6&lt;&gt;"○","",IF(COUNTIFS($A$6:$A$505,A6,$AE$6:$AE$505,"○")=0,"",_xlfn.MINIFS($AC$6:$AC$505,$A$6:$A$505,A6,$AE$6:$AE$505,"○")))</f>
        <v/>
      </c>
      <c r="AG6" s="15">
        <f>IF(C6&lt;&gt;"○","",IF(COUNTIFS($A$6:$A$505,A6,$AE$6:$AE$505,"○")=0,"",_xlfn.MAXIFS($AD$6:$AD$505,$A$6:$A$505,A6,$AE$6:$AE$505,"○")))</f>
        <v/>
      </c>
      <c r="AH6" s="15">
        <f>IF(AE6&lt;&gt;"○","",IF(COUNTIFS($W$6:$W$505,W6,$AC$6:$AC$505,"&lt;"&amp;AD6,$AD$6:$AD$505,"&gt;"&amp;AC6,$AE$6:$AE$505,"○")&gt;1,"同じ船の時間が重なっています",""))</f>
        <v/>
      </c>
    </row>
    <row r="7">
      <c r="A7" s="15" t="inlineStr">
        <is>
          <t>2025-12-06#02</t>
        </is>
      </c>
      <c r="B7" s="15" t="inlineStr">
        <is>
          <t>12/06 #02 07:30 入 RICH SEA（OD2）</t>
        </is>
      </c>
      <c r="C7" s="15" t="inlineStr">
        <is>
          <t>○</t>
        </is>
      </c>
      <c r="D7" s="16" t="n">
        <v>45997</v>
      </c>
      <c r="E7" s="15" t="n">
        <v>2084</v>
      </c>
      <c r="F7" s="15" t="n">
        <v>21</v>
      </c>
      <c r="G7" s="15" t="inlineStr">
        <is>
          <t>RICH SEA</t>
        </is>
      </c>
      <c r="H7" s="15" t="n">
        <v>4334</v>
      </c>
      <c r="I7" s="15" t="inlineStr">
        <is>
          <t>矢野</t>
        </is>
      </c>
      <c r="J7" s="15" t="inlineStr">
        <is>
          <t>入</t>
        </is>
      </c>
      <c r="K7" s="15" t="inlineStr">
        <is>
          <t>六</t>
        </is>
      </c>
      <c r="L7" s="15" t="inlineStr">
        <is>
          <t>OD2</t>
        </is>
      </c>
      <c r="M7" s="15" t="inlineStr">
        <is>
          <t>その他</t>
        </is>
      </c>
      <c r="N7" s="17" t="n">
        <v>0.3125</v>
      </c>
      <c r="O7" s="17" t="n">
        <v>0.3229166666666667</v>
      </c>
      <c r="P7" s="17" t="n">
        <v>0.3854166666666667</v>
      </c>
      <c r="Q7" s="15" t="inlineStr"/>
      <c r="R7" s="15" t="inlineStr">
        <is>
          <t>M</t>
        </is>
      </c>
      <c r="S7" s="15" t="n"/>
      <c r="T7" s="15" t="n"/>
      <c r="U7" s="15" t="inlineStr"/>
      <c r="V7" s="15" t="inlineStr">
        <is>
          <t>候補・時刻要確認</t>
        </is>
      </c>
      <c r="W7" s="15">
        <f>IFERROR(INDEX(マスター!$J$6:$J$125,MATCH(R7,マスター!$M$6:$M$125,0)),R7)</f>
        <v/>
      </c>
      <c r="X7" s="15">
        <f>IFERROR(IF(INDEX(マスター!$C$6:$C$125,MATCH(R7,マスター!$M$6:$M$125,0))="","未確認",INDEX(マスター!$C$6:$C$125,MATCH(R7,マスター!$M$6:$M$125,0))),"マスター未登録")</f>
        <v/>
      </c>
      <c r="Y7" s="15">
        <f>IFERROR(INDEX(マスター!$K$6:$K$125,MATCH(R7,マスター!$M$6:$M$125,0)),"マスター未登録")</f>
        <v/>
      </c>
      <c r="Z7" s="15">
        <f>IFERROR(IF(INDEX(マスター!$I$6:$I$125,MATCH(R7,マスター!$M$6:$M$125,0))="","未確認",INDEX(マスター!$I$6:$I$125,MATCH(R7,マスター!$M$6:$M$125,0))),"マスター未登録")</f>
        <v/>
      </c>
      <c r="AA7" s="15">
        <f>IFERROR(IF(INDEX(マスター!$D$6:$D$125,MATCH(R7,マスター!$M$6:$M$125,0))="","未確認",INDEX(マスター!$D$6:$D$125,MATCH(R7,マスター!$M$6:$M$125,0))),"マスター未登録")</f>
        <v/>
      </c>
      <c r="AB7" s="15">
        <f>IF(M7="支給炭","安瀬候補（要確認）","")</f>
        <v/>
      </c>
      <c r="AC7" s="15">
        <f>IF(OR(O7="",V7&lt;&gt;"候補・時刻要確認"),"",ROUND((D7-集計!$C$5)*1440+O7*1440,0))</f>
        <v/>
      </c>
      <c r="AD7" s="15">
        <f>IF(OR(P7="",V7&lt;&gt;"候補・時刻要確認"),"",ROUND((D7-集計!$C$5)*1440+P7*1440+IF(Q7="○",1440,0),0))</f>
        <v/>
      </c>
      <c r="AE7" s="15">
        <f>IF(AND(AC7&lt;&gt;"",AD7&lt;&gt;"",U7&lt;&gt;"○",AA7&lt;&gt;"通船・警戒船"),"○","")</f>
        <v/>
      </c>
      <c r="AF7" s="15">
        <f>IF(C7&lt;&gt;"○","",IF(COUNTIFS($A$6:$A$505,A7,$AE$6:$AE$505,"○")=0,"",_xlfn.MINIFS($AC$6:$AC$505,$A$6:$A$505,A7,$AE$6:$AE$505,"○")))</f>
        <v/>
      </c>
      <c r="AG7" s="15">
        <f>IF(C7&lt;&gt;"○","",IF(COUNTIFS($A$6:$A$505,A7,$AE$6:$AE$505,"○")=0,"",_xlfn.MAXIFS($AD$6:$AD$505,$A$6:$A$505,A7,$AE$6:$AE$505,"○")))</f>
        <v/>
      </c>
      <c r="AH7" s="15">
        <f>IF(AE7&lt;&gt;"○","",IF(COUNTIFS($W$6:$W$505,W7,$AC$6:$AC$505,"&lt;"&amp;AD7,$AD$6:$AD$505,"&gt;"&amp;AC7,$AE$6:$AE$505,"○")&gt;1,"同じ船の時間が重なっています",""))</f>
        <v/>
      </c>
    </row>
    <row r="8">
      <c r="A8" s="15" t="inlineStr">
        <is>
          <t>2025-12-06#03</t>
        </is>
      </c>
      <c r="B8" s="15" t="inlineStr">
        <is>
          <t>12/06 #03 08:00 転 KAIROS TRIUMPH（N5-Y15）</t>
        </is>
      </c>
      <c r="C8" s="15" t="inlineStr">
        <is>
          <t>○</t>
        </is>
      </c>
      <c r="D8" s="16" t="n">
        <v>45997</v>
      </c>
      <c r="E8" s="15" t="n">
        <v>2085</v>
      </c>
      <c r="F8" s="15" t="n">
        <v>22</v>
      </c>
      <c r="G8" s="15" t="inlineStr">
        <is>
          <t>KAIROS TRIUMPH</t>
        </is>
      </c>
      <c r="H8" s="15" t="n">
        <v>7135</v>
      </c>
      <c r="I8" s="15" t="inlineStr">
        <is>
          <t>日本製鉄</t>
        </is>
      </c>
      <c r="J8" s="15" t="inlineStr">
        <is>
          <t>転</t>
        </is>
      </c>
      <c r="K8" s="15" t="n"/>
      <c r="L8" s="15" t="inlineStr">
        <is>
          <t>N5-Y15</t>
        </is>
      </c>
      <c r="M8" s="15" t="inlineStr">
        <is>
          <t>鋼材</t>
        </is>
      </c>
      <c r="N8" s="17" t="n">
        <v>0.3333333333333333</v>
      </c>
      <c r="O8" s="17" t="n">
        <v>0.2916666666666667</v>
      </c>
      <c r="P8" s="17" t="n">
        <v>0.3541666666666667</v>
      </c>
      <c r="Q8" s="15" t="inlineStr"/>
      <c r="R8" s="15" t="inlineStr">
        <is>
          <t>T</t>
        </is>
      </c>
      <c r="S8" s="15" t="n"/>
      <c r="T8" s="15" t="n"/>
      <c r="U8" s="15" t="inlineStr"/>
      <c r="V8" s="15" t="inlineStr">
        <is>
          <t>候補・時刻要確認</t>
        </is>
      </c>
      <c r="W8" s="15">
        <f>IFERROR(INDEX(マスター!$J$6:$J$125,MATCH(R8,マスター!$M$6:$M$125,0)),R8)</f>
        <v/>
      </c>
      <c r="X8" s="15">
        <f>IFERROR(IF(INDEX(マスター!$C$6:$C$125,MATCH(R8,マスター!$M$6:$M$125,0))="","未確認",INDEX(マスター!$C$6:$C$125,MATCH(R8,マスター!$M$6:$M$125,0))),"マスター未登録")</f>
        <v/>
      </c>
      <c r="Y8" s="15">
        <f>IFERROR(INDEX(マスター!$K$6:$K$125,MATCH(R8,マスター!$M$6:$M$125,0)),"マスター未登録")</f>
        <v/>
      </c>
      <c r="Z8" s="15">
        <f>IFERROR(IF(INDEX(マスター!$I$6:$I$125,MATCH(R8,マスター!$M$6:$M$125,0))="","未確認",INDEX(マスター!$I$6:$I$125,MATCH(R8,マスター!$M$6:$M$125,0))),"マスター未登録")</f>
        <v/>
      </c>
      <c r="AA8" s="15">
        <f>IFERROR(IF(INDEX(マスター!$D$6:$D$125,MATCH(R8,マスター!$M$6:$M$125,0))="","未確認",INDEX(マスター!$D$6:$D$125,MATCH(R8,マスター!$M$6:$M$125,0))),"マスター未登録")</f>
        <v/>
      </c>
      <c r="AB8" s="15">
        <f>IF(M8="支給炭","安瀬候補（要確認）","")</f>
        <v/>
      </c>
      <c r="AC8" s="15">
        <f>IF(OR(O8="",V8&lt;&gt;"候補・時刻要確認"),"",ROUND((D8-集計!$C$5)*1440+O8*1440,0))</f>
        <v/>
      </c>
      <c r="AD8" s="15">
        <f>IF(OR(P8="",V8&lt;&gt;"候補・時刻要確認"),"",ROUND((D8-集計!$C$5)*1440+P8*1440+IF(Q8="○",1440,0),0))</f>
        <v/>
      </c>
      <c r="AE8" s="15">
        <f>IF(AND(AC8&lt;&gt;"",AD8&lt;&gt;"",U8&lt;&gt;"○",AA8&lt;&gt;"通船・警戒船"),"○","")</f>
        <v/>
      </c>
      <c r="AF8" s="15">
        <f>IF(C8&lt;&gt;"○","",IF(COUNTIFS($A$6:$A$505,A8,$AE$6:$AE$505,"○")=0,"",_xlfn.MINIFS($AC$6:$AC$505,$A$6:$A$505,A8,$AE$6:$AE$505,"○")))</f>
        <v/>
      </c>
      <c r="AG8" s="15">
        <f>IF(C8&lt;&gt;"○","",IF(COUNTIFS($A$6:$A$505,A8,$AE$6:$AE$505,"○")=0,"",_xlfn.MAXIFS($AD$6:$AD$505,$A$6:$A$505,A8,$AE$6:$AE$505,"○")))</f>
        <v/>
      </c>
      <c r="AH8" s="15">
        <f>IF(AE8&lt;&gt;"○","",IF(COUNTIFS($W$6:$W$505,W8,$AC$6:$AC$505,"&lt;"&amp;AD8,$AD$6:$AD$505,"&gt;"&amp;AC8,$AE$6:$AE$505,"○")&gt;1,"同じ船の時間が重なっています",""))</f>
        <v/>
      </c>
    </row>
    <row r="9">
      <c r="A9" s="15" t="inlineStr">
        <is>
          <t>2025-12-06#03</t>
        </is>
      </c>
      <c r="B9" s="15" t="inlineStr">
        <is>
          <t>12/06 #03 08:00 転 KAIROS TRIUMPH（N5-Y15）</t>
        </is>
      </c>
      <c r="C9" s="15" t="inlineStr"/>
      <c r="D9" s="16" t="n">
        <v>45997</v>
      </c>
      <c r="E9" s="15" t="n">
        <v>2086</v>
      </c>
      <c r="F9" s="15" t="n"/>
      <c r="G9" s="15" t="inlineStr">
        <is>
          <t>KAIROS TRIUMPH</t>
        </is>
      </c>
      <c r="H9" s="15" t="n">
        <v>7135</v>
      </c>
      <c r="I9" s="15" t="inlineStr">
        <is>
          <t>日本製鉄</t>
        </is>
      </c>
      <c r="J9" s="15" t="inlineStr">
        <is>
          <t>転</t>
        </is>
      </c>
      <c r="K9" s="15" t="n"/>
      <c r="L9" s="15" t="inlineStr">
        <is>
          <t>N5-Y15</t>
        </is>
      </c>
      <c r="M9" s="15" t="inlineStr">
        <is>
          <t>鋼材</t>
        </is>
      </c>
      <c r="N9" s="17" t="n">
        <v>0.3333333333333333</v>
      </c>
      <c r="O9" s="17" t="n">
        <v>0.2916666666666667</v>
      </c>
      <c r="P9" s="17" t="n">
        <v>0.3541666666666667</v>
      </c>
      <c r="Q9" s="15" t="inlineStr"/>
      <c r="R9" s="15" t="inlineStr">
        <is>
          <t>Y</t>
        </is>
      </c>
      <c r="S9" s="15" t="n"/>
      <c r="T9" s="15" t="n"/>
      <c r="U9" s="15" t="inlineStr"/>
      <c r="V9" s="15" t="inlineStr">
        <is>
          <t>候補・時刻要確認</t>
        </is>
      </c>
      <c r="W9" s="15">
        <f>IFERROR(INDEX(マスター!$J$6:$J$125,MATCH(R9,マスター!$M$6:$M$125,0)),R9)</f>
        <v/>
      </c>
      <c r="X9" s="15">
        <f>IFERROR(IF(INDEX(マスター!$C$6:$C$125,MATCH(R9,マスター!$M$6:$M$125,0))="","未確認",INDEX(マスター!$C$6:$C$125,MATCH(R9,マスター!$M$6:$M$125,0))),"マスター未登録")</f>
        <v/>
      </c>
      <c r="Y9" s="15">
        <f>IFERROR(INDEX(マスター!$K$6:$K$125,MATCH(R9,マスター!$M$6:$M$125,0)),"マスター未登録")</f>
        <v/>
      </c>
      <c r="Z9" s="15">
        <f>IFERROR(IF(INDEX(マスター!$I$6:$I$125,MATCH(R9,マスター!$M$6:$M$125,0))="","未確認",INDEX(マスター!$I$6:$I$125,MATCH(R9,マスター!$M$6:$M$125,0))),"マスター未登録")</f>
        <v/>
      </c>
      <c r="AA9" s="15">
        <f>IFERROR(IF(INDEX(マスター!$D$6:$D$125,MATCH(R9,マスター!$M$6:$M$125,0))="","未確認",INDEX(マスター!$D$6:$D$125,MATCH(R9,マスター!$M$6:$M$125,0))),"マスター未登録")</f>
        <v/>
      </c>
      <c r="AB9" s="15">
        <f>IF(M9="支給炭","安瀬候補（要確認）","")</f>
        <v/>
      </c>
      <c r="AC9" s="15">
        <f>IF(OR(O9="",V9&lt;&gt;"候補・時刻要確認"),"",ROUND((D9-集計!$C$5)*1440+O9*1440,0))</f>
        <v/>
      </c>
      <c r="AD9" s="15">
        <f>IF(OR(P9="",V9&lt;&gt;"候補・時刻要確認"),"",ROUND((D9-集計!$C$5)*1440+P9*1440+IF(Q9="○",1440,0),0))</f>
        <v/>
      </c>
      <c r="AE9" s="15">
        <f>IF(AND(AC9&lt;&gt;"",AD9&lt;&gt;"",U9&lt;&gt;"○",AA9&lt;&gt;"通船・警戒船"),"○","")</f>
        <v/>
      </c>
      <c r="AF9" s="15">
        <f>IF(C9&lt;&gt;"○","",IF(COUNTIFS($A$6:$A$505,A9,$AE$6:$AE$505,"○")=0,"",_xlfn.MINIFS($AC$6:$AC$505,$A$6:$A$505,A9,$AE$6:$AE$505,"○")))</f>
        <v/>
      </c>
      <c r="AG9" s="15">
        <f>IF(C9&lt;&gt;"○","",IF(COUNTIFS($A$6:$A$505,A9,$AE$6:$AE$505,"○")=0,"",_xlfn.MAXIFS($AD$6:$AD$505,$A$6:$A$505,A9,$AE$6:$AE$505,"○")))</f>
        <v/>
      </c>
      <c r="AH9" s="15">
        <f>IF(AE9&lt;&gt;"○","",IF(COUNTIFS($W$6:$W$505,W9,$AC$6:$AC$505,"&lt;"&amp;AD9,$AD$6:$AD$505,"&gt;"&amp;AC9,$AE$6:$AE$505,"○")&gt;1,"同じ船の時間が重なっています",""))</f>
        <v/>
      </c>
    </row>
    <row r="10">
      <c r="A10" s="15" t="inlineStr">
        <is>
          <t>2025-12-06#04</t>
        </is>
      </c>
      <c r="B10" s="15" t="inlineStr">
        <is>
          <t>12/06 #04 08:00 入 FIRST AI（N5）</t>
        </is>
      </c>
      <c r="C10" s="15" t="inlineStr">
        <is>
          <t>○</t>
        </is>
      </c>
      <c r="D10" s="16" t="n">
        <v>45997</v>
      </c>
      <c r="E10" s="15" t="n">
        <v>2087</v>
      </c>
      <c r="F10" s="15" t="n">
        <v>23</v>
      </c>
      <c r="G10" s="15" t="inlineStr">
        <is>
          <t>FIRST AI</t>
        </is>
      </c>
      <c r="H10" s="15" t="n">
        <v>1501</v>
      </c>
      <c r="I10" s="15" t="inlineStr">
        <is>
          <t>門港</t>
        </is>
      </c>
      <c r="J10" s="15" t="inlineStr">
        <is>
          <t>入</t>
        </is>
      </c>
      <c r="K10" s="15" t="inlineStr">
        <is>
          <t>六</t>
        </is>
      </c>
      <c r="L10" s="15" t="inlineStr">
        <is>
          <t>N5</t>
        </is>
      </c>
      <c r="M10" s="15" t="inlineStr">
        <is>
          <t>鋼材</t>
        </is>
      </c>
      <c r="N10" s="17" t="n">
        <v>0.3333333333333333</v>
      </c>
      <c r="O10" s="17" t="n">
        <v>0.3125</v>
      </c>
      <c r="P10" s="17" t="n">
        <v>0.3888888888888889</v>
      </c>
      <c r="Q10" s="15" t="inlineStr"/>
      <c r="R10" s="15" t="inlineStr">
        <is>
          <t>S</t>
        </is>
      </c>
      <c r="S10" s="15" t="n"/>
      <c r="T10" s="15" t="n"/>
      <c r="U10" s="15" t="inlineStr"/>
      <c r="V10" s="15" t="inlineStr">
        <is>
          <t>候補・時刻要確認</t>
        </is>
      </c>
      <c r="W10" s="15">
        <f>IFERROR(INDEX(マスター!$J$6:$J$125,MATCH(R10,マスター!$M$6:$M$125,0)),R10)</f>
        <v/>
      </c>
      <c r="X10" s="15">
        <f>IFERROR(IF(INDEX(マスター!$C$6:$C$125,MATCH(R10,マスター!$M$6:$M$125,0))="","未確認",INDEX(マスター!$C$6:$C$125,MATCH(R10,マスター!$M$6:$M$125,0))),"マスター未登録")</f>
        <v/>
      </c>
      <c r="Y10" s="15">
        <f>IFERROR(INDEX(マスター!$K$6:$K$125,MATCH(R10,マスター!$M$6:$M$125,0)),"マスター未登録")</f>
        <v/>
      </c>
      <c r="Z10" s="15">
        <f>IFERROR(IF(INDEX(マスター!$I$6:$I$125,MATCH(R10,マスター!$M$6:$M$125,0))="","未確認",INDEX(マスター!$I$6:$I$125,MATCH(R10,マスター!$M$6:$M$125,0))),"マスター未登録")</f>
        <v/>
      </c>
      <c r="AA10" s="15">
        <f>IFERROR(IF(INDEX(マスター!$D$6:$D$125,MATCH(R10,マスター!$M$6:$M$125,0))="","未確認",INDEX(マスター!$D$6:$D$125,MATCH(R10,マスター!$M$6:$M$125,0))),"マスター未登録")</f>
        <v/>
      </c>
      <c r="AB10" s="15">
        <f>IF(M10="支給炭","安瀬候補（要確認）","")</f>
        <v/>
      </c>
      <c r="AC10" s="15">
        <f>IF(OR(O10="",V10&lt;&gt;"候補・時刻要確認"),"",ROUND((D10-集計!$C$5)*1440+O10*1440,0))</f>
        <v/>
      </c>
      <c r="AD10" s="15">
        <f>IF(OR(P10="",V10&lt;&gt;"候補・時刻要確認"),"",ROUND((D10-集計!$C$5)*1440+P10*1440+IF(Q10="○",1440,0),0))</f>
        <v/>
      </c>
      <c r="AE10" s="15">
        <f>IF(AND(AC10&lt;&gt;"",AD10&lt;&gt;"",U10&lt;&gt;"○",AA10&lt;&gt;"通船・警戒船"),"○","")</f>
        <v/>
      </c>
      <c r="AF10" s="15">
        <f>IF(C10&lt;&gt;"○","",IF(COUNTIFS($A$6:$A$505,A10,$AE$6:$AE$505,"○")=0,"",_xlfn.MINIFS($AC$6:$AC$505,$A$6:$A$505,A10,$AE$6:$AE$505,"○")))</f>
        <v/>
      </c>
      <c r="AG10" s="15">
        <f>IF(C10&lt;&gt;"○","",IF(COUNTIFS($A$6:$A$505,A10,$AE$6:$AE$505,"○")=0,"",_xlfn.MAXIFS($AD$6:$AD$505,$A$6:$A$505,A10,$AE$6:$AE$505,"○")))</f>
        <v/>
      </c>
      <c r="AH10" s="15">
        <f>IF(AE10&lt;&gt;"○","",IF(COUNTIFS($W$6:$W$505,W10,$AC$6:$AC$505,"&lt;"&amp;AD10,$AD$6:$AD$505,"&gt;"&amp;AC10,$AE$6:$AE$505,"○")&gt;1,"同じ船の時間が重なっています",""))</f>
        <v/>
      </c>
    </row>
    <row r="11">
      <c r="A11" s="15" t="inlineStr">
        <is>
          <t>2025-12-06#05</t>
        </is>
      </c>
      <c r="B11" s="15" t="inlineStr">
        <is>
          <t>12/06 #05 12:15 出 NEW NATION（N4）</t>
        </is>
      </c>
      <c r="C11" s="15" t="inlineStr">
        <is>
          <t>○</t>
        </is>
      </c>
      <c r="D11" s="16" t="n">
        <v>45997</v>
      </c>
      <c r="E11" s="15" t="n">
        <v>2088</v>
      </c>
      <c r="F11" s="15" t="n">
        <v>24</v>
      </c>
      <c r="G11" s="15" t="inlineStr">
        <is>
          <t>NEW NATION</t>
        </is>
      </c>
      <c r="H11" s="15" t="n">
        <v>25855</v>
      </c>
      <c r="I11" s="15" t="inlineStr">
        <is>
          <t>東</t>
        </is>
      </c>
      <c r="J11" s="15" t="inlineStr">
        <is>
          <t>出</t>
        </is>
      </c>
      <c r="K11" s="15" t="n"/>
      <c r="L11" s="15" t="inlineStr">
        <is>
          <t>N4</t>
        </is>
      </c>
      <c r="M11" s="15" t="inlineStr">
        <is>
          <t>鋼材</t>
        </is>
      </c>
      <c r="N11" s="17" t="n">
        <v>0.5104166666666666</v>
      </c>
      <c r="O11" s="17" t="n">
        <v>0.46875</v>
      </c>
      <c r="P11" s="17" t="n">
        <v>0.5243055555555556</v>
      </c>
      <c r="Q11" s="15" t="inlineStr"/>
      <c r="R11" s="15" t="inlineStr">
        <is>
          <t>関</t>
        </is>
      </c>
      <c r="S11" s="15" t="inlineStr">
        <is>
          <t>西</t>
        </is>
      </c>
      <c r="T11" s="15" t="n"/>
      <c r="U11" s="15" t="inlineStr"/>
      <c r="V11" s="15" t="inlineStr">
        <is>
          <t>候補・時刻要確認</t>
        </is>
      </c>
      <c r="W11" s="15">
        <f>IFERROR(INDEX(マスター!$J$6:$J$125,MATCH(R11,マスター!$M$6:$M$125,0)),R11)</f>
        <v/>
      </c>
      <c r="X11" s="15">
        <f>IFERROR(IF(INDEX(マスター!$C$6:$C$125,MATCH(R11,マスター!$M$6:$M$125,0))="","未確認",INDEX(マスター!$C$6:$C$125,MATCH(R11,マスター!$M$6:$M$125,0))),"マスター未登録")</f>
        <v/>
      </c>
      <c r="Y11" s="15">
        <f>IFERROR(INDEX(マスター!$K$6:$K$125,MATCH(R11,マスター!$M$6:$M$125,0)),"マスター未登録")</f>
        <v/>
      </c>
      <c r="Z11" s="15">
        <f>IFERROR(IF(INDEX(マスター!$I$6:$I$125,MATCH(R11,マスター!$M$6:$M$125,0))="","未確認",INDEX(マスター!$I$6:$I$125,MATCH(R11,マスター!$M$6:$M$125,0))),"マスター未登録")</f>
        <v/>
      </c>
      <c r="AA11" s="15">
        <f>IFERROR(IF(INDEX(マスター!$D$6:$D$125,MATCH(R11,マスター!$M$6:$M$125,0))="","未確認",INDEX(マスター!$D$6:$D$125,MATCH(R11,マスター!$M$6:$M$125,0))),"マスター未登録")</f>
        <v/>
      </c>
      <c r="AB11" s="15">
        <f>IF(M11="支給炭","安瀬候補（要確認）","")</f>
        <v/>
      </c>
      <c r="AC11" s="15">
        <f>IF(OR(O11="",V11&lt;&gt;"候補・時刻要確認"),"",ROUND((D11-集計!$C$5)*1440+O11*1440,0))</f>
        <v/>
      </c>
      <c r="AD11" s="15">
        <f>IF(OR(P11="",V11&lt;&gt;"候補・時刻要確認"),"",ROUND((D11-集計!$C$5)*1440+P11*1440+IF(Q11="○",1440,0),0))</f>
        <v/>
      </c>
      <c r="AE11" s="15">
        <f>IF(AND(AC11&lt;&gt;"",AD11&lt;&gt;"",U11&lt;&gt;"○",AA11&lt;&gt;"通船・警戒船"),"○","")</f>
        <v/>
      </c>
      <c r="AF11" s="15">
        <f>IF(C11&lt;&gt;"○","",IF(COUNTIFS($A$6:$A$505,A11,$AE$6:$AE$505,"○")=0,"",_xlfn.MINIFS($AC$6:$AC$505,$A$6:$A$505,A11,$AE$6:$AE$505,"○")))</f>
        <v/>
      </c>
      <c r="AG11" s="15">
        <f>IF(C11&lt;&gt;"○","",IF(COUNTIFS($A$6:$A$505,A11,$AE$6:$AE$505,"○")=0,"",_xlfn.MAXIFS($AD$6:$AD$505,$A$6:$A$505,A11,$AE$6:$AE$505,"○")))</f>
        <v/>
      </c>
      <c r="AH11" s="15">
        <f>IF(AE11&lt;&gt;"○","",IF(COUNTIFS($W$6:$W$505,W11,$AC$6:$AC$505,"&lt;"&amp;AD11,$AD$6:$AD$505,"&gt;"&amp;AC11,$AE$6:$AE$505,"○")&gt;1,"同じ船の時間が重なっています",""))</f>
        <v/>
      </c>
    </row>
    <row r="12">
      <c r="A12" s="15" t="inlineStr">
        <is>
          <t>2025-12-06#05</t>
        </is>
      </c>
      <c r="B12" s="15" t="inlineStr">
        <is>
          <t>12/06 #05 12:15 出 NEW NATION（N4）</t>
        </is>
      </c>
      <c r="C12" s="15" t="inlineStr"/>
      <c r="D12" s="16" t="n">
        <v>45997</v>
      </c>
      <c r="E12" s="15" t="n">
        <v>2089</v>
      </c>
      <c r="F12" s="15" t="n"/>
      <c r="G12" s="15" t="inlineStr">
        <is>
          <t>NEW NATION</t>
        </is>
      </c>
      <c r="H12" s="15" t="n">
        <v>25855</v>
      </c>
      <c r="I12" s="15" t="inlineStr">
        <is>
          <t>東</t>
        </is>
      </c>
      <c r="J12" s="15" t="inlineStr">
        <is>
          <t>出</t>
        </is>
      </c>
      <c r="K12" s="15" t="n"/>
      <c r="L12" s="15" t="inlineStr">
        <is>
          <t>N4</t>
        </is>
      </c>
      <c r="M12" s="15" t="inlineStr">
        <is>
          <t>鋼材</t>
        </is>
      </c>
      <c r="N12" s="17" t="n">
        <v>0.5104166666666666</v>
      </c>
      <c r="O12" s="17" t="n">
        <v>0.46875</v>
      </c>
      <c r="P12" s="17" t="n">
        <v>0.5243055555555556</v>
      </c>
      <c r="Q12" s="15" t="inlineStr"/>
      <c r="R12" s="15" t="inlineStr">
        <is>
          <t>長</t>
        </is>
      </c>
      <c r="S12" s="15" t="inlineStr">
        <is>
          <t>西</t>
        </is>
      </c>
      <c r="T12" s="15" t="n"/>
      <c r="U12" s="15" t="inlineStr"/>
      <c r="V12" s="15" t="inlineStr">
        <is>
          <t>候補・時刻要確認</t>
        </is>
      </c>
      <c r="W12" s="15">
        <f>IFERROR(INDEX(マスター!$J$6:$J$125,MATCH(R12,マスター!$M$6:$M$125,0)),R12)</f>
        <v/>
      </c>
      <c r="X12" s="15">
        <f>IFERROR(IF(INDEX(マスター!$C$6:$C$125,MATCH(R12,マスター!$M$6:$M$125,0))="","未確認",INDEX(マスター!$C$6:$C$125,MATCH(R12,マスター!$M$6:$M$125,0))),"マスター未登録")</f>
        <v/>
      </c>
      <c r="Y12" s="15">
        <f>IFERROR(INDEX(マスター!$K$6:$K$125,MATCH(R12,マスター!$M$6:$M$125,0)),"マスター未登録")</f>
        <v/>
      </c>
      <c r="Z12" s="15">
        <f>IFERROR(IF(INDEX(マスター!$I$6:$I$125,MATCH(R12,マスター!$M$6:$M$125,0))="","未確認",INDEX(マスター!$I$6:$I$125,MATCH(R12,マスター!$M$6:$M$125,0))),"マスター未登録")</f>
        <v/>
      </c>
      <c r="AA12" s="15">
        <f>IFERROR(IF(INDEX(マスター!$D$6:$D$125,MATCH(R12,マスター!$M$6:$M$125,0))="","未確認",INDEX(マスター!$D$6:$D$125,MATCH(R12,マスター!$M$6:$M$125,0))),"マスター未登録")</f>
        <v/>
      </c>
      <c r="AB12" s="15">
        <f>IF(M12="支給炭","安瀬候補（要確認）","")</f>
        <v/>
      </c>
      <c r="AC12" s="15">
        <f>IF(OR(O12="",V12&lt;&gt;"候補・時刻要確認"),"",ROUND((D12-集計!$C$5)*1440+O12*1440,0))</f>
        <v/>
      </c>
      <c r="AD12" s="15">
        <f>IF(OR(P12="",V12&lt;&gt;"候補・時刻要確認"),"",ROUND((D12-集計!$C$5)*1440+P12*1440+IF(Q12="○",1440,0),0))</f>
        <v/>
      </c>
      <c r="AE12" s="15">
        <f>IF(AND(AC12&lt;&gt;"",AD12&lt;&gt;"",U12&lt;&gt;"○",AA12&lt;&gt;"通船・警戒船"),"○","")</f>
        <v/>
      </c>
      <c r="AF12" s="15">
        <f>IF(C12&lt;&gt;"○","",IF(COUNTIFS($A$6:$A$505,A12,$AE$6:$AE$505,"○")=0,"",_xlfn.MINIFS($AC$6:$AC$505,$A$6:$A$505,A12,$AE$6:$AE$505,"○")))</f>
        <v/>
      </c>
      <c r="AG12" s="15">
        <f>IF(C12&lt;&gt;"○","",IF(COUNTIFS($A$6:$A$505,A12,$AE$6:$AE$505,"○")=0,"",_xlfn.MAXIFS($AD$6:$AD$505,$A$6:$A$505,A12,$AE$6:$AE$505,"○")))</f>
        <v/>
      </c>
      <c r="AH12" s="15">
        <f>IF(AE12&lt;&gt;"○","",IF(COUNTIFS($W$6:$W$505,W12,$AC$6:$AC$505,"&lt;"&amp;AD12,$AD$6:$AD$505,"&gt;"&amp;AC12,$AE$6:$AE$505,"○")&gt;1,"同じ船の時間が重なっています",""))</f>
        <v/>
      </c>
    </row>
    <row r="13">
      <c r="A13" s="15" t="inlineStr">
        <is>
          <t>2025-12-06#06</t>
        </is>
      </c>
      <c r="B13" s="15" t="inlineStr">
        <is>
          <t>12/06 #06 12:30 入 TEXAS HARMONY（N4）</t>
        </is>
      </c>
      <c r="C13" s="15" t="inlineStr">
        <is>
          <t>○</t>
        </is>
      </c>
      <c r="D13" s="16" t="n">
        <v>45997</v>
      </c>
      <c r="E13" s="15" t="n">
        <v>2090</v>
      </c>
      <c r="F13" s="15" t="n">
        <v>25</v>
      </c>
      <c r="G13" s="15" t="inlineStr">
        <is>
          <t>TEXAS HARMONY</t>
        </is>
      </c>
      <c r="H13" s="15" t="n">
        <v>24331</v>
      </c>
      <c r="I13" s="15" t="inlineStr">
        <is>
          <t>東</t>
        </is>
      </c>
      <c r="J13" s="15" t="inlineStr">
        <is>
          <t>入</t>
        </is>
      </c>
      <c r="K13" s="15" t="inlineStr">
        <is>
          <t>六</t>
        </is>
      </c>
      <c r="L13" s="15" t="inlineStr">
        <is>
          <t>N4</t>
        </is>
      </c>
      <c r="M13" s="15" t="inlineStr">
        <is>
          <t>鋼材</t>
        </is>
      </c>
      <c r="N13" s="17" t="n">
        <v>0.5208333333333334</v>
      </c>
      <c r="O13" s="17" t="n">
        <v>0.5</v>
      </c>
      <c r="P13" s="17" t="n">
        <v>0.5833333333333334</v>
      </c>
      <c r="Q13" s="15" t="inlineStr"/>
      <c r="R13" s="15" t="inlineStr">
        <is>
          <t>竜山</t>
        </is>
      </c>
      <c r="S13" s="15" t="inlineStr">
        <is>
          <t>矢</t>
        </is>
      </c>
      <c r="T13" s="15" t="n"/>
      <c r="U13" s="15" t="inlineStr"/>
      <c r="V13" s="15" t="inlineStr">
        <is>
          <t>候補・時刻要確認</t>
        </is>
      </c>
      <c r="W13" s="15">
        <f>IFERROR(INDEX(マスター!$J$6:$J$125,MATCH(R13,マスター!$M$6:$M$125,0)),R13)</f>
        <v/>
      </c>
      <c r="X13" s="15">
        <f>IFERROR(IF(INDEX(マスター!$C$6:$C$125,MATCH(R13,マスター!$M$6:$M$125,0))="","未確認",INDEX(マスター!$C$6:$C$125,MATCH(R13,マスター!$M$6:$M$125,0))),"マスター未登録")</f>
        <v/>
      </c>
      <c r="Y13" s="15">
        <f>IFERROR(INDEX(マスター!$K$6:$K$125,MATCH(R13,マスター!$M$6:$M$125,0)),"マスター未登録")</f>
        <v/>
      </c>
      <c r="Z13" s="15">
        <f>IFERROR(IF(INDEX(マスター!$I$6:$I$125,MATCH(R13,マスター!$M$6:$M$125,0))="","未確認",INDEX(マスター!$I$6:$I$125,MATCH(R13,マスター!$M$6:$M$125,0))),"マスター未登録")</f>
        <v/>
      </c>
      <c r="AA13" s="15">
        <f>IFERROR(IF(INDEX(マスター!$D$6:$D$125,MATCH(R13,マスター!$M$6:$M$125,0))="","未確認",INDEX(マスター!$D$6:$D$125,MATCH(R13,マスター!$M$6:$M$125,0))),"マスター未登録")</f>
        <v/>
      </c>
      <c r="AB13" s="15">
        <f>IF(M13="支給炭","安瀬候補（要確認）","")</f>
        <v/>
      </c>
      <c r="AC13" s="15">
        <f>IF(OR(O13="",V13&lt;&gt;"候補・時刻要確認"),"",ROUND((D13-集計!$C$5)*1440+O13*1440,0))</f>
        <v/>
      </c>
      <c r="AD13" s="15">
        <f>IF(OR(P13="",V13&lt;&gt;"候補・時刻要確認"),"",ROUND((D13-集計!$C$5)*1440+P13*1440+IF(Q13="○",1440,0),0))</f>
        <v/>
      </c>
      <c r="AE13" s="15">
        <f>IF(AND(AC13&lt;&gt;"",AD13&lt;&gt;"",U13&lt;&gt;"○",AA13&lt;&gt;"通船・警戒船"),"○","")</f>
        <v/>
      </c>
      <c r="AF13" s="15">
        <f>IF(C13&lt;&gt;"○","",IF(COUNTIFS($A$6:$A$505,A13,$AE$6:$AE$505,"○")=0,"",_xlfn.MINIFS($AC$6:$AC$505,$A$6:$A$505,A13,$AE$6:$AE$505,"○")))</f>
        <v/>
      </c>
      <c r="AG13" s="15">
        <f>IF(C13&lt;&gt;"○","",IF(COUNTIFS($A$6:$A$505,A13,$AE$6:$AE$505,"○")=0,"",_xlfn.MAXIFS($AD$6:$AD$505,$A$6:$A$505,A13,$AE$6:$AE$505,"○")))</f>
        <v/>
      </c>
      <c r="AH13" s="15">
        <f>IF(AE13&lt;&gt;"○","",IF(COUNTIFS($W$6:$W$505,W13,$AC$6:$AC$505,"&lt;"&amp;AD13,$AD$6:$AD$505,"&gt;"&amp;AC13,$AE$6:$AE$505,"○")&gt;1,"同じ船の時間が重なっています",""))</f>
        <v/>
      </c>
    </row>
    <row r="14">
      <c r="A14" s="15" t="inlineStr">
        <is>
          <t>2025-12-06#06</t>
        </is>
      </c>
      <c r="B14" s="15" t="inlineStr">
        <is>
          <t>12/06 #06 12:30 入 TEXAS HARMONY（N4）</t>
        </is>
      </c>
      <c r="C14" s="15" t="inlineStr"/>
      <c r="D14" s="16" t="n">
        <v>45997</v>
      </c>
      <c r="E14" s="15" t="n">
        <v>2091</v>
      </c>
      <c r="F14" s="15" t="n"/>
      <c r="G14" s="15" t="inlineStr">
        <is>
          <t>TEXAS HARMONY</t>
        </is>
      </c>
      <c r="H14" s="15" t="n">
        <v>24331</v>
      </c>
      <c r="I14" s="15" t="inlineStr">
        <is>
          <t>東</t>
        </is>
      </c>
      <c r="J14" s="15" t="inlineStr">
        <is>
          <t>入</t>
        </is>
      </c>
      <c r="K14" s="15" t="inlineStr">
        <is>
          <t>六</t>
        </is>
      </c>
      <c r="L14" s="15" t="inlineStr">
        <is>
          <t>N4</t>
        </is>
      </c>
      <c r="M14" s="15" t="inlineStr">
        <is>
          <t>鋼材</t>
        </is>
      </c>
      <c r="N14" s="17" t="n">
        <v>0.5208333333333334</v>
      </c>
      <c r="O14" s="17" t="n">
        <v>0.5</v>
      </c>
      <c r="P14" s="17" t="n">
        <v>0.5833333333333334</v>
      </c>
      <c r="Q14" s="15" t="inlineStr"/>
      <c r="R14" s="15" t="inlineStr">
        <is>
          <t>さくら</t>
        </is>
      </c>
      <c r="S14" s="15" t="inlineStr">
        <is>
          <t>洞</t>
        </is>
      </c>
      <c r="T14" s="15" t="n"/>
      <c r="U14" s="15" t="inlineStr"/>
      <c r="V14" s="15" t="inlineStr">
        <is>
          <t>候補・時刻要確認</t>
        </is>
      </c>
      <c r="W14" s="15">
        <f>IFERROR(INDEX(マスター!$J$6:$J$125,MATCH(R14,マスター!$M$6:$M$125,0)),R14)</f>
        <v/>
      </c>
      <c r="X14" s="15">
        <f>IFERROR(IF(INDEX(マスター!$C$6:$C$125,MATCH(R14,マスター!$M$6:$M$125,0))="","未確認",INDEX(マスター!$C$6:$C$125,MATCH(R14,マスター!$M$6:$M$125,0))),"マスター未登録")</f>
        <v/>
      </c>
      <c r="Y14" s="15">
        <f>IFERROR(INDEX(マスター!$K$6:$K$125,MATCH(R14,マスター!$M$6:$M$125,0)),"マスター未登録")</f>
        <v/>
      </c>
      <c r="Z14" s="15">
        <f>IFERROR(IF(INDEX(マスター!$I$6:$I$125,MATCH(R14,マスター!$M$6:$M$125,0))="","未確認",INDEX(マスター!$I$6:$I$125,MATCH(R14,マスター!$M$6:$M$125,0))),"マスター未登録")</f>
        <v/>
      </c>
      <c r="AA14" s="15">
        <f>IFERROR(IF(INDEX(マスター!$D$6:$D$125,MATCH(R14,マスター!$M$6:$M$125,0))="","未確認",INDEX(マスター!$D$6:$D$125,MATCH(R14,マスター!$M$6:$M$125,0))),"マスター未登録")</f>
        <v/>
      </c>
      <c r="AB14" s="15">
        <f>IF(M14="支給炭","安瀬候補（要確認）","")</f>
        <v/>
      </c>
      <c r="AC14" s="15">
        <f>IF(OR(O14="",V14&lt;&gt;"候補・時刻要確認"),"",ROUND((D14-集計!$C$5)*1440+O14*1440,0))</f>
        <v/>
      </c>
      <c r="AD14" s="15">
        <f>IF(OR(P14="",V14&lt;&gt;"候補・時刻要確認"),"",ROUND((D14-集計!$C$5)*1440+P14*1440+IF(Q14="○",1440,0),0))</f>
        <v/>
      </c>
      <c r="AE14" s="15">
        <f>IF(AND(AC14&lt;&gt;"",AD14&lt;&gt;"",U14&lt;&gt;"○",AA14&lt;&gt;"通船・警戒船"),"○","")</f>
        <v/>
      </c>
      <c r="AF14" s="15">
        <f>IF(C14&lt;&gt;"○","",IF(COUNTIFS($A$6:$A$505,A14,$AE$6:$AE$505,"○")=0,"",_xlfn.MINIFS($AC$6:$AC$505,$A$6:$A$505,A14,$AE$6:$AE$505,"○")))</f>
        <v/>
      </c>
      <c r="AG14" s="15">
        <f>IF(C14&lt;&gt;"○","",IF(COUNTIFS($A$6:$A$505,A14,$AE$6:$AE$505,"○")=0,"",_xlfn.MAXIFS($AD$6:$AD$505,$A$6:$A$505,A14,$AE$6:$AE$505,"○")))</f>
        <v/>
      </c>
      <c r="AH14" s="15">
        <f>IF(AE14&lt;&gt;"○","",IF(COUNTIFS($W$6:$W$505,W14,$AC$6:$AC$505,"&lt;"&amp;AD14,$AD$6:$AD$505,"&gt;"&amp;AC14,$AE$6:$AE$505,"○")&gt;1,"同じ船の時間が重なっています",""))</f>
        <v/>
      </c>
    </row>
    <row r="15">
      <c r="A15" s="15" t="inlineStr">
        <is>
          <t>2025-12-06#07</t>
        </is>
      </c>
      <c r="B15" s="15" t="inlineStr">
        <is>
          <t>12/06 #07 13:00 入 LNG MARS（ZL）</t>
        </is>
      </c>
      <c r="C15" s="15" t="inlineStr">
        <is>
          <t>○</t>
        </is>
      </c>
      <c r="D15" s="16" t="n">
        <v>45997</v>
      </c>
      <c r="E15" s="15" t="n">
        <v>2092</v>
      </c>
      <c r="F15" s="15" t="n">
        <v>26</v>
      </c>
      <c r="G15" s="15" t="inlineStr">
        <is>
          <t>LNG MARS</t>
        </is>
      </c>
      <c r="H15" s="15" t="n">
        <v>136710</v>
      </c>
      <c r="I15" s="15" t="inlineStr">
        <is>
          <t>GS</t>
        </is>
      </c>
      <c r="J15" s="15" t="inlineStr">
        <is>
          <t>入</t>
        </is>
      </c>
      <c r="K15" s="15" t="inlineStr">
        <is>
          <t>六</t>
        </is>
      </c>
      <c r="L15" s="15" t="inlineStr">
        <is>
          <t>ZL</t>
        </is>
      </c>
      <c r="M15" s="15" t="inlineStr">
        <is>
          <t>LNG</t>
        </is>
      </c>
      <c r="N15" s="17" t="n">
        <v>0.5416666666666666</v>
      </c>
      <c r="O15" s="17" t="n">
        <v>0.4583333333333333</v>
      </c>
      <c r="P15" s="17" t="n">
        <v>0.6875</v>
      </c>
      <c r="Q15" s="15" t="inlineStr"/>
      <c r="R15" s="15" t="inlineStr">
        <is>
          <t>S</t>
        </is>
      </c>
      <c r="S15" s="15" t="n"/>
      <c r="T15" s="15" t="n"/>
      <c r="U15" s="15" t="inlineStr"/>
      <c r="V15" s="15" t="inlineStr">
        <is>
          <t>候補・時刻要確認</t>
        </is>
      </c>
      <c r="W15" s="15">
        <f>IFERROR(INDEX(マスター!$J$6:$J$125,MATCH(R15,マスター!$M$6:$M$125,0)),R15)</f>
        <v/>
      </c>
      <c r="X15" s="15">
        <f>IFERROR(IF(INDEX(マスター!$C$6:$C$125,MATCH(R15,マスター!$M$6:$M$125,0))="","未確認",INDEX(マスター!$C$6:$C$125,MATCH(R15,マスター!$M$6:$M$125,0))),"マスター未登録")</f>
        <v/>
      </c>
      <c r="Y15" s="15">
        <f>IFERROR(INDEX(マスター!$K$6:$K$125,MATCH(R15,マスター!$M$6:$M$125,0)),"マスター未登録")</f>
        <v/>
      </c>
      <c r="Z15" s="15">
        <f>IFERROR(IF(INDEX(マスター!$I$6:$I$125,MATCH(R15,マスター!$M$6:$M$125,0))="","未確認",INDEX(マスター!$I$6:$I$125,MATCH(R15,マスター!$M$6:$M$125,0))),"マスター未登録")</f>
        <v/>
      </c>
      <c r="AA15" s="15">
        <f>IFERROR(IF(INDEX(マスター!$D$6:$D$125,MATCH(R15,マスター!$M$6:$M$125,0))="","未確認",INDEX(マスター!$D$6:$D$125,MATCH(R15,マスター!$M$6:$M$125,0))),"マスター未登録")</f>
        <v/>
      </c>
      <c r="AB15" s="15">
        <f>IF(M15="支給炭","安瀬候補（要確認）","")</f>
        <v/>
      </c>
      <c r="AC15" s="15">
        <f>IF(OR(O15="",V15&lt;&gt;"候補・時刻要確認"),"",ROUND((D15-集計!$C$5)*1440+O15*1440,0))</f>
        <v/>
      </c>
      <c r="AD15" s="15">
        <f>IF(OR(P15="",V15&lt;&gt;"候補・時刻要確認"),"",ROUND((D15-集計!$C$5)*1440+P15*1440+IF(Q15="○",1440,0),0))</f>
        <v/>
      </c>
      <c r="AE15" s="15">
        <f>IF(AND(AC15&lt;&gt;"",AD15&lt;&gt;"",U15&lt;&gt;"○",AA15&lt;&gt;"通船・警戒船"),"○","")</f>
        <v/>
      </c>
      <c r="AF15" s="15">
        <f>IF(C15&lt;&gt;"○","",IF(COUNTIFS($A$6:$A$505,A15,$AE$6:$AE$505,"○")=0,"",_xlfn.MINIFS($AC$6:$AC$505,$A$6:$A$505,A15,$AE$6:$AE$505,"○")))</f>
        <v/>
      </c>
      <c r="AG15" s="15">
        <f>IF(C15&lt;&gt;"○","",IF(COUNTIFS($A$6:$A$505,A15,$AE$6:$AE$505,"○")=0,"",_xlfn.MAXIFS($AD$6:$AD$505,$A$6:$A$505,A15,$AE$6:$AE$505,"○")))</f>
        <v/>
      </c>
      <c r="AH15" s="15">
        <f>IF(AE15&lt;&gt;"○","",IF(COUNTIFS($W$6:$W$505,W15,$AC$6:$AC$505,"&lt;"&amp;AD15,$AD$6:$AD$505,"&gt;"&amp;AC15,$AE$6:$AE$505,"○")&gt;1,"同じ船の時間が重なっています",""))</f>
        <v/>
      </c>
    </row>
    <row r="16">
      <c r="A16" s="15" t="inlineStr">
        <is>
          <t>2025-12-06#07</t>
        </is>
      </c>
      <c r="B16" s="15" t="inlineStr">
        <is>
          <t>12/06 #07 13:00 入 LNG MARS（ZL）</t>
        </is>
      </c>
      <c r="C16" s="15" t="inlineStr"/>
      <c r="D16" s="16" t="n">
        <v>45997</v>
      </c>
      <c r="E16" s="15" t="n">
        <v>2093</v>
      </c>
      <c r="F16" s="15" t="n"/>
      <c r="G16" s="15" t="inlineStr">
        <is>
          <t>LNG MARS</t>
        </is>
      </c>
      <c r="H16" s="15" t="n">
        <v>136710</v>
      </c>
      <c r="I16" s="15" t="inlineStr">
        <is>
          <t>GS</t>
        </is>
      </c>
      <c r="J16" s="15" t="inlineStr">
        <is>
          <t>入</t>
        </is>
      </c>
      <c r="K16" s="15" t="inlineStr">
        <is>
          <t>六</t>
        </is>
      </c>
      <c r="L16" s="15" t="inlineStr">
        <is>
          <t>ZL</t>
        </is>
      </c>
      <c r="M16" s="15" t="inlineStr">
        <is>
          <t>LNG</t>
        </is>
      </c>
      <c r="N16" s="17" t="n">
        <v>0.5416666666666666</v>
      </c>
      <c r="O16" s="17" t="n">
        <v>0.5</v>
      </c>
      <c r="P16" s="17" t="n">
        <v>0.6875</v>
      </c>
      <c r="Q16" s="15" t="inlineStr"/>
      <c r="R16" s="15" t="inlineStr">
        <is>
          <t>T</t>
        </is>
      </c>
      <c r="S16" s="15" t="n"/>
      <c r="T16" s="15" t="n"/>
      <c r="U16" s="15" t="inlineStr"/>
      <c r="V16" s="15" t="inlineStr">
        <is>
          <t>候補・時刻要確認</t>
        </is>
      </c>
      <c r="W16" s="15">
        <f>IFERROR(INDEX(マスター!$J$6:$J$125,MATCH(R16,マスター!$M$6:$M$125,0)),R16)</f>
        <v/>
      </c>
      <c r="X16" s="15">
        <f>IFERROR(IF(INDEX(マスター!$C$6:$C$125,MATCH(R16,マスター!$M$6:$M$125,0))="","未確認",INDEX(マスター!$C$6:$C$125,MATCH(R16,マスター!$M$6:$M$125,0))),"マスター未登録")</f>
        <v/>
      </c>
      <c r="Y16" s="15">
        <f>IFERROR(INDEX(マスター!$K$6:$K$125,MATCH(R16,マスター!$M$6:$M$125,0)),"マスター未登録")</f>
        <v/>
      </c>
      <c r="Z16" s="15">
        <f>IFERROR(IF(INDEX(マスター!$I$6:$I$125,MATCH(R16,マスター!$M$6:$M$125,0))="","未確認",INDEX(マスター!$I$6:$I$125,MATCH(R16,マスター!$M$6:$M$125,0))),"マスター未登録")</f>
        <v/>
      </c>
      <c r="AA16" s="15">
        <f>IFERROR(IF(INDEX(マスター!$D$6:$D$125,MATCH(R16,マスター!$M$6:$M$125,0))="","未確認",INDEX(マスター!$D$6:$D$125,MATCH(R16,マスター!$M$6:$M$125,0))),"マスター未登録")</f>
        <v/>
      </c>
      <c r="AB16" s="15">
        <f>IF(M16="支給炭","安瀬候補（要確認）","")</f>
        <v/>
      </c>
      <c r="AC16" s="15">
        <f>IF(OR(O16="",V16&lt;&gt;"候補・時刻要確認"),"",ROUND((D16-集計!$C$5)*1440+O16*1440,0))</f>
        <v/>
      </c>
      <c r="AD16" s="15">
        <f>IF(OR(P16="",V16&lt;&gt;"候補・時刻要確認"),"",ROUND((D16-集計!$C$5)*1440+P16*1440+IF(Q16="○",1440,0),0))</f>
        <v/>
      </c>
      <c r="AE16" s="15">
        <f>IF(AND(AC16&lt;&gt;"",AD16&lt;&gt;"",U16&lt;&gt;"○",AA16&lt;&gt;"通船・警戒船"),"○","")</f>
        <v/>
      </c>
      <c r="AF16" s="15">
        <f>IF(C16&lt;&gt;"○","",IF(COUNTIFS($A$6:$A$505,A16,$AE$6:$AE$505,"○")=0,"",_xlfn.MINIFS($AC$6:$AC$505,$A$6:$A$505,A16,$AE$6:$AE$505,"○")))</f>
        <v/>
      </c>
      <c r="AG16" s="15">
        <f>IF(C16&lt;&gt;"○","",IF(COUNTIFS($A$6:$A$505,A16,$AE$6:$AE$505,"○")=0,"",_xlfn.MAXIFS($AD$6:$AD$505,$A$6:$A$505,A16,$AE$6:$AE$505,"○")))</f>
        <v/>
      </c>
      <c r="AH16" s="15">
        <f>IF(AE16&lt;&gt;"○","",IF(COUNTIFS($W$6:$W$505,W16,$AC$6:$AC$505,"&lt;"&amp;AD16,$AD$6:$AD$505,"&gt;"&amp;AC16,$AE$6:$AE$505,"○")&gt;1,"同じ船の時間が重なっています",""))</f>
        <v/>
      </c>
    </row>
    <row r="17">
      <c r="A17" s="15" t="inlineStr">
        <is>
          <t>2025-12-06#07</t>
        </is>
      </c>
      <c r="B17" s="15" t="inlineStr">
        <is>
          <t>12/06 #07 13:00 入 LNG MARS（ZL）</t>
        </is>
      </c>
      <c r="C17" s="15" t="inlineStr"/>
      <c r="D17" s="16" t="n">
        <v>45997</v>
      </c>
      <c r="E17" s="15" t="n">
        <v>2094</v>
      </c>
      <c r="F17" s="15" t="n"/>
      <c r="G17" s="15" t="inlineStr">
        <is>
          <t>LNG MARS</t>
        </is>
      </c>
      <c r="H17" s="15" t="n">
        <v>136710</v>
      </c>
      <c r="I17" s="15" t="inlineStr">
        <is>
          <t>GS</t>
        </is>
      </c>
      <c r="J17" s="15" t="inlineStr">
        <is>
          <t>入</t>
        </is>
      </c>
      <c r="K17" s="15" t="inlineStr">
        <is>
          <t>六</t>
        </is>
      </c>
      <c r="L17" s="15" t="inlineStr">
        <is>
          <t>ZL</t>
        </is>
      </c>
      <c r="M17" s="15" t="inlineStr">
        <is>
          <t>LNG</t>
        </is>
      </c>
      <c r="N17" s="17" t="n">
        <v>0.5416666666666666</v>
      </c>
      <c r="O17" s="17" t="n">
        <v>0.5</v>
      </c>
      <c r="P17" s="17" t="n">
        <v>0.6875</v>
      </c>
      <c r="Q17" s="15" t="inlineStr"/>
      <c r="R17" s="15" t="inlineStr">
        <is>
          <t>M</t>
        </is>
      </c>
      <c r="S17" s="15" t="n"/>
      <c r="T17" s="15" t="n"/>
      <c r="U17" s="15" t="inlineStr"/>
      <c r="V17" s="15" t="inlineStr">
        <is>
          <t>候補・時刻要確認</t>
        </is>
      </c>
      <c r="W17" s="15">
        <f>IFERROR(INDEX(マスター!$J$6:$J$125,MATCH(R17,マスター!$M$6:$M$125,0)),R17)</f>
        <v/>
      </c>
      <c r="X17" s="15">
        <f>IFERROR(IF(INDEX(マスター!$C$6:$C$125,MATCH(R17,マスター!$M$6:$M$125,0))="","未確認",INDEX(マスター!$C$6:$C$125,MATCH(R17,マスター!$M$6:$M$125,0))),"マスター未登録")</f>
        <v/>
      </c>
      <c r="Y17" s="15">
        <f>IFERROR(INDEX(マスター!$K$6:$K$125,MATCH(R17,マスター!$M$6:$M$125,0)),"マスター未登録")</f>
        <v/>
      </c>
      <c r="Z17" s="15">
        <f>IFERROR(IF(INDEX(マスター!$I$6:$I$125,MATCH(R17,マスター!$M$6:$M$125,0))="","未確認",INDEX(マスター!$I$6:$I$125,MATCH(R17,マスター!$M$6:$M$125,0))),"マスター未登録")</f>
        <v/>
      </c>
      <c r="AA17" s="15">
        <f>IFERROR(IF(INDEX(マスター!$D$6:$D$125,MATCH(R17,マスター!$M$6:$M$125,0))="","未確認",INDEX(マスター!$D$6:$D$125,MATCH(R17,マスター!$M$6:$M$125,0))),"マスター未登録")</f>
        <v/>
      </c>
      <c r="AB17" s="15">
        <f>IF(M17="支給炭","安瀬候補（要確認）","")</f>
        <v/>
      </c>
      <c r="AC17" s="15">
        <f>IF(OR(O17="",V17&lt;&gt;"候補・時刻要確認"),"",ROUND((D17-集計!$C$5)*1440+O17*1440,0))</f>
        <v/>
      </c>
      <c r="AD17" s="15">
        <f>IF(OR(P17="",V17&lt;&gt;"候補・時刻要確認"),"",ROUND((D17-集計!$C$5)*1440+P17*1440+IF(Q17="○",1440,0),0))</f>
        <v/>
      </c>
      <c r="AE17" s="15">
        <f>IF(AND(AC17&lt;&gt;"",AD17&lt;&gt;"",U17&lt;&gt;"○",AA17&lt;&gt;"通船・警戒船"),"○","")</f>
        <v/>
      </c>
      <c r="AF17" s="15">
        <f>IF(C17&lt;&gt;"○","",IF(COUNTIFS($A$6:$A$505,A17,$AE$6:$AE$505,"○")=0,"",_xlfn.MINIFS($AC$6:$AC$505,$A$6:$A$505,A17,$AE$6:$AE$505,"○")))</f>
        <v/>
      </c>
      <c r="AG17" s="15">
        <f>IF(C17&lt;&gt;"○","",IF(COUNTIFS($A$6:$A$505,A17,$AE$6:$AE$505,"○")=0,"",_xlfn.MAXIFS($AD$6:$AD$505,$A$6:$A$505,A17,$AE$6:$AE$505,"○")))</f>
        <v/>
      </c>
      <c r="AH17" s="15">
        <f>IF(AE17&lt;&gt;"○","",IF(COUNTIFS($W$6:$W$505,W17,$AC$6:$AC$505,"&lt;"&amp;AD17,$AD$6:$AD$505,"&gt;"&amp;AC17,$AE$6:$AE$505,"○")&gt;1,"同じ船の時間が重なっています",""))</f>
        <v/>
      </c>
    </row>
    <row r="18">
      <c r="A18" s="15" t="inlineStr">
        <is>
          <t>2025-12-06#07</t>
        </is>
      </c>
      <c r="B18" s="15" t="inlineStr">
        <is>
          <t>12/06 #07 13:00 入 LNG MARS（ZL）</t>
        </is>
      </c>
      <c r="C18" s="15" t="inlineStr"/>
      <c r="D18" s="16" t="n">
        <v>45997</v>
      </c>
      <c r="E18" s="15" t="n">
        <v>2095</v>
      </c>
      <c r="F18" s="15" t="n"/>
      <c r="G18" s="15" t="inlineStr">
        <is>
          <t>LNG MARS</t>
        </is>
      </c>
      <c r="H18" s="15" t="n">
        <v>136710</v>
      </c>
      <c r="I18" s="15" t="inlineStr">
        <is>
          <t>GS</t>
        </is>
      </c>
      <c r="J18" s="15" t="inlineStr">
        <is>
          <t>入</t>
        </is>
      </c>
      <c r="K18" s="15" t="inlineStr">
        <is>
          <t>六</t>
        </is>
      </c>
      <c r="L18" s="15" t="inlineStr">
        <is>
          <t>ZL</t>
        </is>
      </c>
      <c r="M18" s="15" t="inlineStr">
        <is>
          <t>LNG</t>
        </is>
      </c>
      <c r="N18" s="17" t="n">
        <v>0.5416666666666666</v>
      </c>
      <c r="O18" s="17" t="n">
        <v>0.5</v>
      </c>
      <c r="P18" s="17" t="n">
        <v>0.6875</v>
      </c>
      <c r="Q18" s="15" t="inlineStr"/>
      <c r="R18" s="15" t="inlineStr">
        <is>
          <t>P</t>
        </is>
      </c>
      <c r="S18" s="15" t="n"/>
      <c r="T18" s="15" t="n"/>
      <c r="U18" s="15" t="inlineStr"/>
      <c r="V18" s="15" t="inlineStr">
        <is>
          <t>候補・時刻要確認</t>
        </is>
      </c>
      <c r="W18" s="15">
        <f>IFERROR(INDEX(マスター!$J$6:$J$125,MATCH(R18,マスター!$M$6:$M$125,0)),R18)</f>
        <v/>
      </c>
      <c r="X18" s="15">
        <f>IFERROR(IF(INDEX(マスター!$C$6:$C$125,MATCH(R18,マスター!$M$6:$M$125,0))="","未確認",INDEX(マスター!$C$6:$C$125,MATCH(R18,マスター!$M$6:$M$125,0))),"マスター未登録")</f>
        <v/>
      </c>
      <c r="Y18" s="15">
        <f>IFERROR(INDEX(マスター!$K$6:$K$125,MATCH(R18,マスター!$M$6:$M$125,0)),"マスター未登録")</f>
        <v/>
      </c>
      <c r="Z18" s="15">
        <f>IFERROR(IF(INDEX(マスター!$I$6:$I$125,MATCH(R18,マスター!$M$6:$M$125,0))="","未確認",INDEX(マスター!$I$6:$I$125,MATCH(R18,マスター!$M$6:$M$125,0))),"マスター未登録")</f>
        <v/>
      </c>
      <c r="AA18" s="15">
        <f>IFERROR(IF(INDEX(マスター!$D$6:$D$125,MATCH(R18,マスター!$M$6:$M$125,0))="","未確認",INDEX(マスター!$D$6:$D$125,MATCH(R18,マスター!$M$6:$M$125,0))),"マスター未登録")</f>
        <v/>
      </c>
      <c r="AB18" s="15">
        <f>IF(M18="支給炭","安瀬候補（要確認）","")</f>
        <v/>
      </c>
      <c r="AC18" s="15">
        <f>IF(OR(O18="",V18&lt;&gt;"候補・時刻要確認"),"",ROUND((D18-集計!$C$5)*1440+O18*1440,0))</f>
        <v/>
      </c>
      <c r="AD18" s="15">
        <f>IF(OR(P18="",V18&lt;&gt;"候補・時刻要確認"),"",ROUND((D18-集計!$C$5)*1440+P18*1440+IF(Q18="○",1440,0),0))</f>
        <v/>
      </c>
      <c r="AE18" s="15">
        <f>IF(AND(AC18&lt;&gt;"",AD18&lt;&gt;"",U18&lt;&gt;"○",AA18&lt;&gt;"通船・警戒船"),"○","")</f>
        <v/>
      </c>
      <c r="AF18" s="15">
        <f>IF(C18&lt;&gt;"○","",IF(COUNTIFS($A$6:$A$505,A18,$AE$6:$AE$505,"○")=0,"",_xlfn.MINIFS($AC$6:$AC$505,$A$6:$A$505,A18,$AE$6:$AE$505,"○")))</f>
        <v/>
      </c>
      <c r="AG18" s="15">
        <f>IF(C18&lt;&gt;"○","",IF(COUNTIFS($A$6:$A$505,A18,$AE$6:$AE$505,"○")=0,"",_xlfn.MAXIFS($AD$6:$AD$505,$A$6:$A$505,A18,$AE$6:$AE$505,"○")))</f>
        <v/>
      </c>
      <c r="AH18" s="15">
        <f>IF(AE18&lt;&gt;"○","",IF(COUNTIFS($W$6:$W$505,W18,$AC$6:$AC$505,"&lt;"&amp;AD18,$AD$6:$AD$505,"&gt;"&amp;AC18,$AE$6:$AE$505,"○")&gt;1,"同じ船の時間が重なっています",""))</f>
        <v/>
      </c>
    </row>
    <row r="19">
      <c r="A19" s="15" t="inlineStr">
        <is>
          <t>2025-12-06#07</t>
        </is>
      </c>
      <c r="B19" s="15" t="inlineStr">
        <is>
          <t>12/06 #07 13:00 入 LNG MARS（ZL）</t>
        </is>
      </c>
      <c r="C19" s="15" t="inlineStr"/>
      <c r="D19" s="16" t="n">
        <v>45997</v>
      </c>
      <c r="E19" s="15" t="n">
        <v>2096</v>
      </c>
      <c r="F19" s="15" t="n"/>
      <c r="G19" s="15" t="inlineStr">
        <is>
          <t>LNG MARS</t>
        </is>
      </c>
      <c r="H19" s="15" t="n">
        <v>136710</v>
      </c>
      <c r="I19" s="15" t="inlineStr">
        <is>
          <t>GS</t>
        </is>
      </c>
      <c r="J19" s="15" t="inlineStr">
        <is>
          <t>入</t>
        </is>
      </c>
      <c r="K19" s="15" t="inlineStr">
        <is>
          <t>六</t>
        </is>
      </c>
      <c r="L19" s="15" t="inlineStr">
        <is>
          <t>ZL</t>
        </is>
      </c>
      <c r="M19" s="15" t="inlineStr">
        <is>
          <t>LNG</t>
        </is>
      </c>
      <c r="N19" s="17" t="n">
        <v>0.5416666666666666</v>
      </c>
      <c r="O19" s="17" t="n">
        <v>0.5694444444444444</v>
      </c>
      <c r="P19" s="17" t="n">
        <v>0.6875</v>
      </c>
      <c r="Q19" s="15" t="inlineStr"/>
      <c r="R19" s="15" t="inlineStr">
        <is>
          <t>Y</t>
        </is>
      </c>
      <c r="S19" s="15" t="n"/>
      <c r="T19" s="15" t="n"/>
      <c r="U19" s="15" t="inlineStr"/>
      <c r="V19" s="15" t="inlineStr">
        <is>
          <t>候補・時刻要確認</t>
        </is>
      </c>
      <c r="W19" s="15">
        <f>IFERROR(INDEX(マスター!$J$6:$J$125,MATCH(R19,マスター!$M$6:$M$125,0)),R19)</f>
        <v/>
      </c>
      <c r="X19" s="15">
        <f>IFERROR(IF(INDEX(マスター!$C$6:$C$125,MATCH(R19,マスター!$M$6:$M$125,0))="","未確認",INDEX(マスター!$C$6:$C$125,MATCH(R19,マスター!$M$6:$M$125,0))),"マスター未登録")</f>
        <v/>
      </c>
      <c r="Y19" s="15">
        <f>IFERROR(INDEX(マスター!$K$6:$K$125,MATCH(R19,マスター!$M$6:$M$125,0)),"マスター未登録")</f>
        <v/>
      </c>
      <c r="Z19" s="15">
        <f>IFERROR(IF(INDEX(マスター!$I$6:$I$125,MATCH(R19,マスター!$M$6:$M$125,0))="","未確認",INDEX(マスター!$I$6:$I$125,MATCH(R19,マスター!$M$6:$M$125,0))),"マスター未登録")</f>
        <v/>
      </c>
      <c r="AA19" s="15">
        <f>IFERROR(IF(INDEX(マスター!$D$6:$D$125,MATCH(R19,マスター!$M$6:$M$125,0))="","未確認",INDEX(マスター!$D$6:$D$125,MATCH(R19,マスター!$M$6:$M$125,0))),"マスター未登録")</f>
        <v/>
      </c>
      <c r="AB19" s="15">
        <f>IF(M19="支給炭","安瀬候補（要確認）","")</f>
        <v/>
      </c>
      <c r="AC19" s="15">
        <f>IF(OR(O19="",V19&lt;&gt;"候補・時刻要確認"),"",ROUND((D19-集計!$C$5)*1440+O19*1440,0))</f>
        <v/>
      </c>
      <c r="AD19" s="15">
        <f>IF(OR(P19="",V19&lt;&gt;"候補・時刻要確認"),"",ROUND((D19-集計!$C$5)*1440+P19*1440+IF(Q19="○",1440,0),0))</f>
        <v/>
      </c>
      <c r="AE19" s="15">
        <f>IF(AND(AC19&lt;&gt;"",AD19&lt;&gt;"",U19&lt;&gt;"○",AA19&lt;&gt;"通船・警戒船"),"○","")</f>
        <v/>
      </c>
      <c r="AF19" s="15">
        <f>IF(C19&lt;&gt;"○","",IF(COUNTIFS($A$6:$A$505,A19,$AE$6:$AE$505,"○")=0,"",_xlfn.MINIFS($AC$6:$AC$505,$A$6:$A$505,A19,$AE$6:$AE$505,"○")))</f>
        <v/>
      </c>
      <c r="AG19" s="15">
        <f>IF(C19&lt;&gt;"○","",IF(COUNTIFS($A$6:$A$505,A19,$AE$6:$AE$505,"○")=0,"",_xlfn.MAXIFS($AD$6:$AD$505,$A$6:$A$505,A19,$AE$6:$AE$505,"○")))</f>
        <v/>
      </c>
      <c r="AH19" s="15">
        <f>IF(AE19&lt;&gt;"○","",IF(COUNTIFS($W$6:$W$505,W19,$AC$6:$AC$505,"&lt;"&amp;AD19,$AD$6:$AD$505,"&gt;"&amp;AC19,$AE$6:$AE$505,"○")&gt;1,"同じ船の時間が重なっています",""))</f>
        <v/>
      </c>
    </row>
    <row r="20">
      <c r="A20" s="15" t="inlineStr">
        <is>
          <t>2025-12-06#08</t>
        </is>
      </c>
      <c r="B20" s="15" t="inlineStr">
        <is>
          <t>12/06 #08 18:30 出 FIRST AI（N5）</t>
        </is>
      </c>
      <c r="C20" s="15" t="inlineStr">
        <is>
          <t>○</t>
        </is>
      </c>
      <c r="D20" s="16" t="n">
        <v>45997</v>
      </c>
      <c r="E20" s="15" t="n">
        <v>2097</v>
      </c>
      <c r="F20" s="15" t="n">
        <v>27</v>
      </c>
      <c r="G20" s="15" t="inlineStr">
        <is>
          <t>FIRST AI</t>
        </is>
      </c>
      <c r="H20" s="15" t="n">
        <v>1501</v>
      </c>
      <c r="I20" s="15" t="inlineStr">
        <is>
          <t>門港</t>
        </is>
      </c>
      <c r="J20" s="15" t="inlineStr">
        <is>
          <t>出</t>
        </is>
      </c>
      <c r="K20" s="15" t="n"/>
      <c r="L20" s="15" t="inlineStr">
        <is>
          <t>N5</t>
        </is>
      </c>
      <c r="M20" s="15" t="inlineStr">
        <is>
          <t>鋼材</t>
        </is>
      </c>
      <c r="N20" s="17" t="n">
        <v>0.7708333333333334</v>
      </c>
      <c r="O20" s="17" t="n">
        <v>0.7291666666666666</v>
      </c>
      <c r="P20" s="17" t="n">
        <v>0.78125</v>
      </c>
      <c r="Q20" s="15" t="inlineStr"/>
      <c r="R20" s="15" t="inlineStr">
        <is>
          <t>P</t>
        </is>
      </c>
      <c r="S20" s="15" t="n"/>
      <c r="T20" s="15" t="n"/>
      <c r="U20" s="15" t="inlineStr"/>
      <c r="V20" s="15" t="inlineStr">
        <is>
          <t>候補・時刻要確認</t>
        </is>
      </c>
      <c r="W20" s="15">
        <f>IFERROR(INDEX(マスター!$J$6:$J$125,MATCH(R20,マスター!$M$6:$M$125,0)),R20)</f>
        <v/>
      </c>
      <c r="X20" s="15">
        <f>IFERROR(IF(INDEX(マスター!$C$6:$C$125,MATCH(R20,マスター!$M$6:$M$125,0))="","未確認",INDEX(マスター!$C$6:$C$125,MATCH(R20,マスター!$M$6:$M$125,0))),"マスター未登録")</f>
        <v/>
      </c>
      <c r="Y20" s="15">
        <f>IFERROR(INDEX(マスター!$K$6:$K$125,MATCH(R20,マスター!$M$6:$M$125,0)),"マスター未登録")</f>
        <v/>
      </c>
      <c r="Z20" s="15">
        <f>IFERROR(IF(INDEX(マスター!$I$6:$I$125,MATCH(R20,マスター!$M$6:$M$125,0))="","未確認",INDEX(マスター!$I$6:$I$125,MATCH(R20,マスター!$M$6:$M$125,0))),"マスター未登録")</f>
        <v/>
      </c>
      <c r="AA20" s="15">
        <f>IFERROR(IF(INDEX(マスター!$D$6:$D$125,MATCH(R20,マスター!$M$6:$M$125,0))="","未確認",INDEX(マスター!$D$6:$D$125,MATCH(R20,マスター!$M$6:$M$125,0))),"マスター未登録")</f>
        <v/>
      </c>
      <c r="AB20" s="15">
        <f>IF(M20="支給炭","安瀬候補（要確認）","")</f>
        <v/>
      </c>
      <c r="AC20" s="15">
        <f>IF(OR(O20="",V20&lt;&gt;"候補・時刻要確認"),"",ROUND((D20-集計!$C$5)*1440+O20*1440,0))</f>
        <v/>
      </c>
      <c r="AD20" s="15">
        <f>IF(OR(P20="",V20&lt;&gt;"候補・時刻要確認"),"",ROUND((D20-集計!$C$5)*1440+P20*1440+IF(Q20="○",1440,0),0))</f>
        <v/>
      </c>
      <c r="AE20" s="15">
        <f>IF(AND(AC20&lt;&gt;"",AD20&lt;&gt;"",U20&lt;&gt;"○",AA20&lt;&gt;"通船・警戒船"),"○","")</f>
        <v/>
      </c>
      <c r="AF20" s="15">
        <f>IF(C20&lt;&gt;"○","",IF(COUNTIFS($A$6:$A$505,A20,$AE$6:$AE$505,"○")=0,"",_xlfn.MINIFS($AC$6:$AC$505,$A$6:$A$505,A20,$AE$6:$AE$505,"○")))</f>
        <v/>
      </c>
      <c r="AG20" s="15">
        <f>IF(C20&lt;&gt;"○","",IF(COUNTIFS($A$6:$A$505,A20,$AE$6:$AE$505,"○")=0,"",_xlfn.MAXIFS($AD$6:$AD$505,$A$6:$A$505,A20,$AE$6:$AE$505,"○")))</f>
        <v/>
      </c>
      <c r="AH20" s="15">
        <f>IF(AE20&lt;&gt;"○","",IF(COUNTIFS($W$6:$W$505,W20,$AC$6:$AC$505,"&lt;"&amp;AD20,$AD$6:$AD$505,"&gt;"&amp;AC20,$AE$6:$AE$505,"○")&gt;1,"同じ船の時間が重なっています",""))</f>
        <v/>
      </c>
    </row>
    <row r="21">
      <c r="A21" s="15" t="inlineStr">
        <is>
          <t>2025-12-06#09</t>
        </is>
      </c>
      <c r="B21" s="15" t="inlineStr">
        <is>
          <t>12/06 #09 19:30 入 ZENITH AURORA（N5）</t>
        </is>
      </c>
      <c r="C21" s="15" t="inlineStr">
        <is>
          <t>○</t>
        </is>
      </c>
      <c r="D21" s="16" t="n">
        <v>45997</v>
      </c>
      <c r="E21" s="15" t="n">
        <v>2098</v>
      </c>
      <c r="F21" s="15" t="n">
        <v>28</v>
      </c>
      <c r="G21" s="15" t="inlineStr">
        <is>
          <t>ZENITH AURORA</t>
        </is>
      </c>
      <c r="H21" s="15" t="n">
        <v>4477</v>
      </c>
      <c r="I21" s="15" t="inlineStr">
        <is>
          <t>コスモ</t>
        </is>
      </c>
      <c r="J21" s="15" t="inlineStr">
        <is>
          <t>入</t>
        </is>
      </c>
      <c r="K21" s="15" t="inlineStr">
        <is>
          <t>六</t>
        </is>
      </c>
      <c r="L21" s="15" t="inlineStr">
        <is>
          <t>N5</t>
        </is>
      </c>
      <c r="M21" s="15" t="inlineStr">
        <is>
          <t>鋼材</t>
        </is>
      </c>
      <c r="N21" s="17" t="n">
        <v>0.8125</v>
      </c>
      <c r="O21" s="17" t="n">
        <v>0.7916666666666666</v>
      </c>
      <c r="P21" s="17" t="n">
        <v>0.8715277777777778</v>
      </c>
      <c r="Q21" s="15" t="inlineStr"/>
      <c r="R21" s="15" t="inlineStr">
        <is>
          <t>T</t>
        </is>
      </c>
      <c r="S21" s="15" t="n"/>
      <c r="T21" s="15" t="n"/>
      <c r="U21" s="15" t="inlineStr"/>
      <c r="V21" s="15" t="inlineStr">
        <is>
          <t>候補・時刻要確認</t>
        </is>
      </c>
      <c r="W21" s="15">
        <f>IFERROR(INDEX(マスター!$J$6:$J$125,MATCH(R21,マスター!$M$6:$M$125,0)),R21)</f>
        <v/>
      </c>
      <c r="X21" s="15">
        <f>IFERROR(IF(INDEX(マスター!$C$6:$C$125,MATCH(R21,マスター!$M$6:$M$125,0))="","未確認",INDEX(マスター!$C$6:$C$125,MATCH(R21,マスター!$M$6:$M$125,0))),"マスター未登録")</f>
        <v/>
      </c>
      <c r="Y21" s="15">
        <f>IFERROR(INDEX(マスター!$K$6:$K$125,MATCH(R21,マスター!$M$6:$M$125,0)),"マスター未登録")</f>
        <v/>
      </c>
      <c r="Z21" s="15">
        <f>IFERROR(IF(INDEX(マスター!$I$6:$I$125,MATCH(R21,マスター!$M$6:$M$125,0))="","未確認",INDEX(マスター!$I$6:$I$125,MATCH(R21,マスター!$M$6:$M$125,0))),"マスター未登録")</f>
        <v/>
      </c>
      <c r="AA21" s="15">
        <f>IFERROR(IF(INDEX(マスター!$D$6:$D$125,MATCH(R21,マスター!$M$6:$M$125,0))="","未確認",INDEX(マスター!$D$6:$D$125,MATCH(R21,マスター!$M$6:$M$125,0))),"マスター未登録")</f>
        <v/>
      </c>
      <c r="AB21" s="15">
        <f>IF(M21="支給炭","安瀬候補（要確認）","")</f>
        <v/>
      </c>
      <c r="AC21" s="15">
        <f>IF(OR(O21="",V21&lt;&gt;"候補・時刻要確認"),"",ROUND((D21-集計!$C$5)*1440+O21*1440,0))</f>
        <v/>
      </c>
      <c r="AD21" s="15">
        <f>IF(OR(P21="",V21&lt;&gt;"候補・時刻要確認"),"",ROUND((D21-集計!$C$5)*1440+P21*1440+IF(Q21="○",1440,0),0))</f>
        <v/>
      </c>
      <c r="AE21" s="15">
        <f>IF(AND(AC21&lt;&gt;"",AD21&lt;&gt;"",U21&lt;&gt;"○",AA21&lt;&gt;"通船・警戒船"),"○","")</f>
        <v/>
      </c>
      <c r="AF21" s="15">
        <f>IF(C21&lt;&gt;"○","",IF(COUNTIFS($A$6:$A$505,A21,$AE$6:$AE$505,"○")=0,"",_xlfn.MINIFS($AC$6:$AC$505,$A$6:$A$505,A21,$AE$6:$AE$505,"○")))</f>
        <v/>
      </c>
      <c r="AG21" s="15">
        <f>IF(C21&lt;&gt;"○","",IF(COUNTIFS($A$6:$A$505,A21,$AE$6:$AE$505,"○")=0,"",_xlfn.MAXIFS($AD$6:$AD$505,$A$6:$A$505,A21,$AE$6:$AE$505,"○")))</f>
        <v/>
      </c>
      <c r="AH21" s="15">
        <f>IF(AE21&lt;&gt;"○","",IF(COUNTIFS($W$6:$W$505,W21,$AC$6:$AC$505,"&lt;"&amp;AD21,$AD$6:$AD$505,"&gt;"&amp;AC21,$AE$6:$AE$505,"○")&gt;1,"同じ船の時間が重なっています",""))</f>
        <v/>
      </c>
    </row>
    <row r="22">
      <c r="A22" s="15" t="inlineStr">
        <is>
          <t>2025-12-06#09</t>
        </is>
      </c>
      <c r="B22" s="15" t="inlineStr">
        <is>
          <t>12/06 #09 19:30 入 ZENITH AURORA（N5）</t>
        </is>
      </c>
      <c r="C22" s="15" t="inlineStr"/>
      <c r="D22" s="16" t="n">
        <v>45997</v>
      </c>
      <c r="E22" s="15" t="n">
        <v>2099</v>
      </c>
      <c r="F22" s="15" t="n"/>
      <c r="G22" s="15" t="inlineStr">
        <is>
          <t>ZENITH AURORA</t>
        </is>
      </c>
      <c r="H22" s="15" t="n">
        <v>4477</v>
      </c>
      <c r="I22" s="15" t="inlineStr">
        <is>
          <t>コスモ</t>
        </is>
      </c>
      <c r="J22" s="15" t="inlineStr">
        <is>
          <t>入</t>
        </is>
      </c>
      <c r="K22" s="15" t="inlineStr">
        <is>
          <t>六</t>
        </is>
      </c>
      <c r="L22" s="15" t="inlineStr">
        <is>
          <t>N5</t>
        </is>
      </c>
      <c r="M22" s="15" t="inlineStr">
        <is>
          <t>鋼材</t>
        </is>
      </c>
      <c r="N22" s="17" t="n">
        <v>0.8125</v>
      </c>
      <c r="O22" s="17" t="n">
        <v>0.7916666666666666</v>
      </c>
      <c r="P22" s="17" t="n">
        <v>0.8715277777777778</v>
      </c>
      <c r="Q22" s="15" t="inlineStr"/>
      <c r="R22" s="15" t="inlineStr">
        <is>
          <t>P</t>
        </is>
      </c>
      <c r="S22" s="15" t="n"/>
      <c r="T22" s="15" t="n"/>
      <c r="U22" s="15" t="inlineStr"/>
      <c r="V22" s="15" t="inlineStr">
        <is>
          <t>候補・時刻要確認</t>
        </is>
      </c>
      <c r="W22" s="15">
        <f>IFERROR(INDEX(マスター!$J$6:$J$125,MATCH(R22,マスター!$M$6:$M$125,0)),R22)</f>
        <v/>
      </c>
      <c r="X22" s="15">
        <f>IFERROR(IF(INDEX(マスター!$C$6:$C$125,MATCH(R22,マスター!$M$6:$M$125,0))="","未確認",INDEX(マスター!$C$6:$C$125,MATCH(R22,マスター!$M$6:$M$125,0))),"マスター未登録")</f>
        <v/>
      </c>
      <c r="Y22" s="15">
        <f>IFERROR(INDEX(マスター!$K$6:$K$125,MATCH(R22,マスター!$M$6:$M$125,0)),"マスター未登録")</f>
        <v/>
      </c>
      <c r="Z22" s="15">
        <f>IFERROR(IF(INDEX(マスター!$I$6:$I$125,MATCH(R22,マスター!$M$6:$M$125,0))="","未確認",INDEX(マスター!$I$6:$I$125,MATCH(R22,マスター!$M$6:$M$125,0))),"マスター未登録")</f>
        <v/>
      </c>
      <c r="AA22" s="15">
        <f>IFERROR(IF(INDEX(マスター!$D$6:$D$125,MATCH(R22,マスター!$M$6:$M$125,0))="","未確認",INDEX(マスター!$D$6:$D$125,MATCH(R22,マスター!$M$6:$M$125,0))),"マスター未登録")</f>
        <v/>
      </c>
      <c r="AB22" s="15">
        <f>IF(M22="支給炭","安瀬候補（要確認）","")</f>
        <v/>
      </c>
      <c r="AC22" s="15">
        <f>IF(OR(O22="",V22&lt;&gt;"候補・時刻要確認"),"",ROUND((D22-集計!$C$5)*1440+O22*1440,0))</f>
        <v/>
      </c>
      <c r="AD22" s="15">
        <f>IF(OR(P22="",V22&lt;&gt;"候補・時刻要確認"),"",ROUND((D22-集計!$C$5)*1440+P22*1440+IF(Q22="○",1440,0),0))</f>
        <v/>
      </c>
      <c r="AE22" s="15">
        <f>IF(AND(AC22&lt;&gt;"",AD22&lt;&gt;"",U22&lt;&gt;"○",AA22&lt;&gt;"通船・警戒船"),"○","")</f>
        <v/>
      </c>
      <c r="AF22" s="15">
        <f>IF(C22&lt;&gt;"○","",IF(COUNTIFS($A$6:$A$505,A22,$AE$6:$AE$505,"○")=0,"",_xlfn.MINIFS($AC$6:$AC$505,$A$6:$A$505,A22,$AE$6:$AE$505,"○")))</f>
        <v/>
      </c>
      <c r="AG22" s="15">
        <f>IF(C22&lt;&gt;"○","",IF(COUNTIFS($A$6:$A$505,A22,$AE$6:$AE$505,"○")=0,"",_xlfn.MAXIFS($AD$6:$AD$505,$A$6:$A$505,A22,$AE$6:$AE$505,"○")))</f>
        <v/>
      </c>
      <c r="AH22" s="15">
        <f>IF(AE22&lt;&gt;"○","",IF(COUNTIFS($W$6:$W$505,W22,$AC$6:$AC$505,"&lt;"&amp;AD22,$AD$6:$AD$505,"&gt;"&amp;AC22,$AE$6:$AE$505,"○")&gt;1,"同じ船の時間が重なっています",""))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5"/>
  <sheetViews>
    <sheetView tabSelected="0" workbookViewId="0">
      <pane xSplit="2" ySplit="25" topLeftCell="C26" activePane="bottomRight" state="frozen"/>
      <selection pane="topRight" activeCell="C7" sqref="C7"/>
      <selection pane="bottomLeft"/>
      <selection pane="bottomRight" activeCell="A1" sqref="A1"/>
    </sheetView>
  </sheetViews>
  <sheetFormatPr baseColWidth="8" defaultRowHeight="15"/>
  <cols>
    <col width="9" customWidth="1" min="1" max="1"/>
    <col width="34" customWidth="1" min="2" max="2"/>
    <col width="14" customWidth="1" min="3" max="3"/>
    <col width="18" customWidth="1" min="4" max="4"/>
    <col width="7" customWidth="1" min="5" max="5"/>
    <col width="8" customWidth="1" min="6" max="6"/>
    <col width="14" customWidth="1" min="7" max="7"/>
    <col width="7" customWidth="1" min="8" max="8"/>
    <col width="11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7" customWidth="1" min="17" max="17"/>
    <col width="16" customWidth="1" min="18" max="18"/>
    <col width="14" customWidth="1" min="19" max="19"/>
    <col width="18" customWidth="1" min="20" max="20"/>
    <col width="7" customWidth="1" min="21" max="21"/>
    <col width="9" customWidth="1" min="22" max="22"/>
    <col width="7" customWidth="1" min="23" max="23"/>
  </cols>
  <sheetData>
    <row r="1">
      <c r="A1" s="10" t="inlineStr">
        <is>
          <t>前日確定（対象日の前日最終の予定表と翌日の出勤手配）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</row>
    <row r="2">
      <c r="A2" s="12" t="inlineStr">
        <is>
          <t>誰が：上田　何を見て：対象日の前日に翌日の出勤を手配した最終の作業予定表　どこへ：①C7～C10　②出勤手配（B14～）　③作業ごとの予定（J列～T列）。予定表にあって実績にない作業は36行目以降の空き行へ追加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</row>
    <row r="3">
      <c r="A3" s="13" t="inlineStr">
        <is>
          <t>集計先：「集計」の予定・出勤手配、「変更・キャンセル」の変更前の時刻・タグ。ここに入れた前日最終の値は変更があっても上書きしません。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</row>
    <row r="5">
      <c r="A5" s="18" t="inlineStr">
        <is>
          <t>■ 対象日の予定表</t>
        </is>
      </c>
    </row>
    <row r="6">
      <c r="A6" s="6" t="inlineStr">
        <is>
          <t>対象日【自動】</t>
        </is>
      </c>
      <c r="C6" s="16">
        <f>集計!$C$5</f>
        <v/>
      </c>
      <c r="D6" s="15" t="n"/>
      <c r="E6" s="15" t="n"/>
    </row>
    <row r="7">
      <c r="A7" s="6" t="inlineStr">
        <is>
          <t>根拠の予定表（ファイル名・版）【入力】</t>
        </is>
      </c>
      <c r="C7" s="19" t="n"/>
      <c r="D7" s="19" t="n"/>
      <c r="E7" s="19" t="n"/>
      <c r="F7" s="20" t="inlineStr">
        <is>
          <t>◀ 最初の入力はここ（対象日の前日最終の予定表のファイル名・版。2025年度分は本一式に含まれていないため、上田さんの照合で入力）</t>
        </is>
      </c>
    </row>
    <row r="8">
      <c r="A8" s="6" t="inlineStr">
        <is>
          <t>予定表の確定時点（日時）【入力】</t>
        </is>
      </c>
      <c r="C8" s="21" t="n"/>
      <c r="D8" s="19" t="n"/>
      <c r="E8" s="19" t="n"/>
    </row>
    <row r="9">
      <c r="A9" s="6" t="inlineStr">
        <is>
          <t>照合した人【入力】</t>
        </is>
      </c>
      <c r="C9" s="19" t="n"/>
      <c r="D9" s="19" t="n"/>
      <c r="E9" s="19" t="n"/>
    </row>
    <row r="10">
      <c r="A10" s="6" t="inlineStr">
        <is>
          <t>照合の状況【入力・選択】</t>
        </is>
      </c>
      <c r="C10" s="19" t="inlineStr">
        <is>
          <t>未確認</t>
        </is>
      </c>
      <c r="D10" s="19" t="n"/>
      <c r="E10" s="19" t="n"/>
    </row>
    <row r="12">
      <c r="A12" s="18" t="inlineStr">
        <is>
          <t>■ 翌日の出勤手配（対象日の前日に手配した船）</t>
        </is>
      </c>
    </row>
    <row r="13">
      <c r="A13" s="14" t="inlineStr">
        <is>
          <t>No</t>
        </is>
      </c>
      <c r="B13" s="22" t="inlineStr">
        <is>
          <t>船名【入力・選択】</t>
        </is>
      </c>
      <c r="C13" s="14" t="inlineStr">
        <is>
          <t>会社【自動】</t>
        </is>
      </c>
      <c r="D13" s="22" t="inlineStr">
        <is>
          <t>手配した日時【入力】</t>
        </is>
      </c>
      <c r="E13" s="22" t="inlineStr">
        <is>
          <t>情報元【入力】</t>
        </is>
      </c>
    </row>
    <row r="14">
      <c r="A14" s="15" t="n">
        <v>1</v>
      </c>
      <c r="B14" s="19" t="n"/>
      <c r="C14" s="15">
        <f>IF(B14="","",IFERROR(INDEX(マスター!$C$6:$C$125,MATCH(B14,マスター!$M$6:$M$125,0))&amp;"","マスター未登録"))</f>
        <v/>
      </c>
      <c r="D14" s="21" t="n"/>
      <c r="E14" s="19" t="n"/>
    </row>
    <row r="15">
      <c r="A15" s="15" t="n">
        <v>2</v>
      </c>
      <c r="B15" s="19" t="n"/>
      <c r="C15" s="15">
        <f>IF(B15="","",IFERROR(INDEX(マスター!$C$6:$C$125,MATCH(B15,マスター!$M$6:$M$125,0))&amp;"","マスター未登録"))</f>
        <v/>
      </c>
      <c r="D15" s="21" t="n"/>
      <c r="E15" s="19" t="n"/>
    </row>
    <row r="16">
      <c r="A16" s="15" t="n">
        <v>3</v>
      </c>
      <c r="B16" s="19" t="n"/>
      <c r="C16" s="15">
        <f>IF(B16="","",IFERROR(INDEX(マスター!$C$6:$C$125,MATCH(B16,マスター!$M$6:$M$125,0))&amp;"","マスター未登録"))</f>
        <v/>
      </c>
      <c r="D16" s="21" t="n"/>
      <c r="E16" s="19" t="n"/>
    </row>
    <row r="17">
      <c r="A17" s="15" t="n">
        <v>4</v>
      </c>
      <c r="B17" s="19" t="n"/>
      <c r="C17" s="15">
        <f>IF(B17="","",IFERROR(INDEX(マスター!$C$6:$C$125,MATCH(B17,マスター!$M$6:$M$125,0))&amp;"","マスター未登録"))</f>
        <v/>
      </c>
      <c r="D17" s="21" t="n"/>
      <c r="E17" s="19" t="n"/>
    </row>
    <row r="18">
      <c r="A18" s="15" t="n">
        <v>5</v>
      </c>
      <c r="B18" s="19" t="n"/>
      <c r="C18" s="15">
        <f>IF(B18="","",IFERROR(INDEX(マスター!$C$6:$C$125,MATCH(B18,マスター!$M$6:$M$125,0))&amp;"","マスター未登録"))</f>
        <v/>
      </c>
      <c r="D18" s="21" t="n"/>
      <c r="E18" s="19" t="n"/>
    </row>
    <row r="19">
      <c r="A19" s="15" t="n">
        <v>6</v>
      </c>
      <c r="B19" s="19" t="n"/>
      <c r="C19" s="15">
        <f>IF(B19="","",IFERROR(INDEX(マスター!$C$6:$C$125,MATCH(B19,マスター!$M$6:$M$125,0))&amp;"","マスター未登録"))</f>
        <v/>
      </c>
      <c r="D19" s="21" t="n"/>
      <c r="E19" s="19" t="n"/>
    </row>
    <row r="20">
      <c r="A20" s="15" t="n">
        <v>7</v>
      </c>
      <c r="B20" s="19" t="n"/>
      <c r="C20" s="15">
        <f>IF(B20="","",IFERROR(INDEX(マスター!$C$6:$C$125,MATCH(B20,マスター!$M$6:$M$125,0))&amp;"","マスター未登録"))</f>
        <v/>
      </c>
      <c r="D20" s="21" t="n"/>
      <c r="E20" s="19" t="n"/>
    </row>
    <row r="21">
      <c r="A21" s="15" t="n">
        <v>8</v>
      </c>
      <c r="B21" s="19" t="n"/>
      <c r="C21" s="15">
        <f>IF(B21="","",IFERROR(INDEX(マスター!$C$6:$C$125,MATCH(B21,マスター!$M$6:$M$125,0))&amp;"","マスター未登録"))</f>
        <v/>
      </c>
      <c r="D21" s="21" t="n"/>
      <c r="E21" s="19" t="n"/>
    </row>
    <row r="22">
      <c r="A22" s="6" t="inlineStr">
        <is>
          <t>出勤手配隻数【自動】</t>
        </is>
      </c>
      <c r="C22" s="15">
        <f>IF(COUNTA(B14:B21)=0,0,SUMPRODUCT((B14:B21&lt;&gt;"")/COUNTIF(B14:B21,B14:B21&amp;"")))</f>
        <v/>
      </c>
    </row>
    <row r="24">
      <c r="A24" s="18" t="inlineStr">
        <is>
          <t>■ 作業ごとの前日最終予定（実績の作業は自動表示。予定表にだけある作業は下の空き行へ追加）</t>
        </is>
      </c>
    </row>
    <row r="25" ht="60" customHeight="1">
      <c r="A25" s="14" t="inlineStr">
        <is>
          <t>区分【自動】</t>
        </is>
      </c>
      <c r="B25" s="14" t="inlineStr">
        <is>
          <t>作業の表示名【自動】</t>
        </is>
      </c>
      <c r="C25" s="14" t="inlineStr">
        <is>
          <t>作業キー【自動】</t>
        </is>
      </c>
      <c r="D25" s="14" t="inlineStr">
        <is>
          <t>本船名【自動／予定のみは入力】</t>
        </is>
      </c>
      <c r="E25" s="14" t="inlineStr">
        <is>
          <t>入出転【自動／予定のみは入力】</t>
        </is>
      </c>
      <c r="F25" s="14" t="inlineStr">
        <is>
          <t>バース【自動／予定のみは入力】</t>
        </is>
      </c>
      <c r="G25" s="14" t="inlineStr">
        <is>
          <t>実績のタグ（元帳）【自動】</t>
        </is>
      </c>
      <c r="H25" s="14" t="inlineStr">
        <is>
          <t>実績タグ数【自動】</t>
        </is>
      </c>
      <c r="I25" s="14" t="inlineStr">
        <is>
          <t>元帳の予定時間（参考・前日確定とは限らない）【自動】</t>
        </is>
      </c>
      <c r="J25" s="22" t="inlineStr">
        <is>
          <t>前日最終の予定時刻【入力】</t>
        </is>
      </c>
      <c r="K25" s="22" t="inlineStr">
        <is>
          <t>予定タグ①【入力・選択】</t>
        </is>
      </c>
      <c r="L25" s="22" t="inlineStr">
        <is>
          <t>予定タグ②【入力・選択】</t>
        </is>
      </c>
      <c r="M25" s="22" t="inlineStr">
        <is>
          <t>予定タグ③【入力・選択】</t>
        </is>
      </c>
      <c r="N25" s="22" t="inlineStr">
        <is>
          <t>予定タグ④【入力・選択】</t>
        </is>
      </c>
      <c r="O25" s="22" t="inlineStr">
        <is>
          <t>予定タグ⑤【入力・選択】</t>
        </is>
      </c>
      <c r="P25" s="22" t="inlineStr">
        <is>
          <t>予定タグ⑥【入力・選択】</t>
        </is>
      </c>
      <c r="Q25" s="14" t="inlineStr">
        <is>
          <t>予定タグ数【自動】</t>
        </is>
      </c>
      <c r="R25" s="14" t="inlineStr">
        <is>
          <t>予定タグ（まとめ）【自動】</t>
        </is>
      </c>
      <c r="S25" s="22" t="inlineStr">
        <is>
          <t>照合の状況【入力・選択】</t>
        </is>
      </c>
      <c r="T25" s="22" t="inlineStr">
        <is>
          <t>備考【入力】</t>
        </is>
      </c>
      <c r="U25" s="14" t="inlineStr">
        <is>
          <t>変更回数【自動】</t>
        </is>
      </c>
      <c r="V25" s="14" t="inlineStr">
        <is>
          <t>変更後の最終時刻【自動】</t>
        </is>
      </c>
      <c r="W25" s="14" t="inlineStr">
        <is>
          <t>取消し【自動】</t>
        </is>
      </c>
    </row>
    <row r="26">
      <c r="A26" s="15" t="inlineStr">
        <is>
          <t>実績あり</t>
        </is>
      </c>
      <c r="B26" s="15" t="inlineStr">
        <is>
          <t>12/06 #01 07:30 入 GRAND MUSE（OT）</t>
        </is>
      </c>
      <c r="C26" s="15" t="inlineStr">
        <is>
          <t>2025-12-06#01</t>
        </is>
      </c>
      <c r="D26" s="15" t="inlineStr">
        <is>
          <t>GRAND MUSE</t>
        </is>
      </c>
      <c r="E26" s="15" t="inlineStr">
        <is>
          <t>入</t>
        </is>
      </c>
      <c r="F26" s="15" t="inlineStr">
        <is>
          <t>OT</t>
        </is>
      </c>
      <c r="G26" s="15" t="inlineStr">
        <is>
          <t>P</t>
        </is>
      </c>
      <c r="H26" s="15">
        <f>IF(C26="","",COUNTIF(実績!$A$6:$A$505,C26))</f>
        <v/>
      </c>
      <c r="I26" s="17" t="n">
        <v>0.3125</v>
      </c>
      <c r="J26" s="23" t="n"/>
      <c r="K26" s="19" t="n"/>
      <c r="L26" s="19" t="n"/>
      <c r="M26" s="19" t="n"/>
      <c r="N26" s="19" t="n"/>
      <c r="O26" s="19" t="n"/>
      <c r="P26" s="19" t="n"/>
      <c r="Q26" s="15">
        <f>IF(C26="","",COUNTA(K26:P26))</f>
        <v/>
      </c>
      <c r="R26" s="15">
        <f>_xlfn.TEXTJOIN("・",TRUE,K26:P26)</f>
        <v/>
      </c>
      <c r="S26" s="19" t="inlineStr">
        <is>
          <t>未確認</t>
        </is>
      </c>
      <c r="T26" s="19" t="n"/>
      <c r="U26" s="15">
        <f>IF(C26="","",COUNTIF('変更・キャンセル'!$B$26:$B$85,C26))</f>
        <v/>
      </c>
      <c r="V26" s="17">
        <f>IF(OR(C26="",U26=0),"",INDEX('変更・キャンセル'!$AA$26:$AA$85,MATCH(C26&amp;"#"&amp;U26,'変更・キャンセル'!$Z$26:$Z$85,0)))</f>
        <v/>
      </c>
      <c r="W26" s="15">
        <f>IF(C26="","",IF(COUNTIFS('変更・キャンセル'!$B$26:$B$85,C26,'変更・キャンセル'!$R$26:$R$85,"○")&gt;0,"○",""))</f>
        <v/>
      </c>
    </row>
    <row r="27">
      <c r="A27" s="15" t="inlineStr">
        <is>
          <t>実績あり</t>
        </is>
      </c>
      <c r="B27" s="15" t="inlineStr">
        <is>
          <t>12/06 #02 07:30 入 RICH SEA（OD2）</t>
        </is>
      </c>
      <c r="C27" s="15" t="inlineStr">
        <is>
          <t>2025-12-06#02</t>
        </is>
      </c>
      <c r="D27" s="15" t="inlineStr">
        <is>
          <t>RICH SEA</t>
        </is>
      </c>
      <c r="E27" s="15" t="inlineStr">
        <is>
          <t>入</t>
        </is>
      </c>
      <c r="F27" s="15" t="inlineStr">
        <is>
          <t>OD2</t>
        </is>
      </c>
      <c r="G27" s="15" t="inlineStr">
        <is>
          <t>M</t>
        </is>
      </c>
      <c r="H27" s="15">
        <f>IF(C27="","",COUNTIF(実績!$A$6:$A$505,C27))</f>
        <v/>
      </c>
      <c r="I27" s="17" t="n">
        <v>0.3125</v>
      </c>
      <c r="J27" s="23" t="n"/>
      <c r="K27" s="19" t="n"/>
      <c r="L27" s="19" t="n"/>
      <c r="M27" s="19" t="n"/>
      <c r="N27" s="19" t="n"/>
      <c r="O27" s="19" t="n"/>
      <c r="P27" s="19" t="n"/>
      <c r="Q27" s="15">
        <f>IF(C27="","",COUNTA(K27:P27))</f>
        <v/>
      </c>
      <c r="R27" s="15">
        <f>_xlfn.TEXTJOIN("・",TRUE,K27:P27)</f>
        <v/>
      </c>
      <c r="S27" s="19" t="inlineStr">
        <is>
          <t>未確認</t>
        </is>
      </c>
      <c r="T27" s="19" t="n"/>
      <c r="U27" s="15">
        <f>IF(C27="","",COUNTIF('変更・キャンセル'!$B$26:$B$85,C27))</f>
        <v/>
      </c>
      <c r="V27" s="17">
        <f>IF(OR(C27="",U27=0),"",INDEX('変更・キャンセル'!$AA$26:$AA$85,MATCH(C27&amp;"#"&amp;U27,'変更・キャンセル'!$Z$26:$Z$85,0)))</f>
        <v/>
      </c>
      <c r="W27" s="15">
        <f>IF(C27="","",IF(COUNTIFS('変更・キャンセル'!$B$26:$B$85,C27,'変更・キャンセル'!$R$26:$R$85,"○")&gt;0,"○",""))</f>
        <v/>
      </c>
    </row>
    <row r="28">
      <c r="A28" s="15" t="inlineStr">
        <is>
          <t>実績あり</t>
        </is>
      </c>
      <c r="B28" s="15" t="inlineStr">
        <is>
          <t>12/06 #03 08:00 転 KAIROS TRIUMPH（N5-Y15）</t>
        </is>
      </c>
      <c r="C28" s="15" t="inlineStr">
        <is>
          <t>2025-12-06#03</t>
        </is>
      </c>
      <c r="D28" s="15" t="inlineStr">
        <is>
          <t>KAIROS TRIUMPH</t>
        </is>
      </c>
      <c r="E28" s="15" t="inlineStr">
        <is>
          <t>転</t>
        </is>
      </c>
      <c r="F28" s="15" t="inlineStr">
        <is>
          <t>N5-Y15</t>
        </is>
      </c>
      <c r="G28" s="15" t="inlineStr">
        <is>
          <t>T・Y</t>
        </is>
      </c>
      <c r="H28" s="15">
        <f>IF(C28="","",COUNTIF(実績!$A$6:$A$505,C28))</f>
        <v/>
      </c>
      <c r="I28" s="17" t="n">
        <v>0.3333333333333333</v>
      </c>
      <c r="J28" s="23" t="n"/>
      <c r="K28" s="19" t="n"/>
      <c r="L28" s="19" t="n"/>
      <c r="M28" s="19" t="n"/>
      <c r="N28" s="19" t="n"/>
      <c r="O28" s="19" t="n"/>
      <c r="P28" s="19" t="n"/>
      <c r="Q28" s="15">
        <f>IF(C28="","",COUNTA(K28:P28))</f>
        <v/>
      </c>
      <c r="R28" s="15">
        <f>_xlfn.TEXTJOIN("・",TRUE,K28:P28)</f>
        <v/>
      </c>
      <c r="S28" s="19" t="inlineStr">
        <is>
          <t>未確認</t>
        </is>
      </c>
      <c r="T28" s="19" t="n"/>
      <c r="U28" s="15">
        <f>IF(C28="","",COUNTIF('変更・キャンセル'!$B$26:$B$85,C28))</f>
        <v/>
      </c>
      <c r="V28" s="17">
        <f>IF(OR(C28="",U28=0),"",INDEX('変更・キャンセル'!$AA$26:$AA$85,MATCH(C28&amp;"#"&amp;U28,'変更・キャンセル'!$Z$26:$Z$85,0)))</f>
        <v/>
      </c>
      <c r="W28" s="15">
        <f>IF(C28="","",IF(COUNTIFS('変更・キャンセル'!$B$26:$B$85,C28,'変更・キャンセル'!$R$26:$R$85,"○")&gt;0,"○",""))</f>
        <v/>
      </c>
    </row>
    <row r="29">
      <c r="A29" s="15" t="inlineStr">
        <is>
          <t>実績あり</t>
        </is>
      </c>
      <c r="B29" s="15" t="inlineStr">
        <is>
          <t>12/06 #04 08:00 入 FIRST AI（N5）</t>
        </is>
      </c>
      <c r="C29" s="15" t="inlineStr">
        <is>
          <t>2025-12-06#04</t>
        </is>
      </c>
      <c r="D29" s="15" t="inlineStr">
        <is>
          <t>FIRST AI</t>
        </is>
      </c>
      <c r="E29" s="15" t="inlineStr">
        <is>
          <t>入</t>
        </is>
      </c>
      <c r="F29" s="15" t="inlineStr">
        <is>
          <t>N5</t>
        </is>
      </c>
      <c r="G29" s="15" t="inlineStr">
        <is>
          <t>S</t>
        </is>
      </c>
      <c r="H29" s="15">
        <f>IF(C29="","",COUNTIF(実績!$A$6:$A$505,C29))</f>
        <v/>
      </c>
      <c r="I29" s="17" t="n">
        <v>0.3333333333333333</v>
      </c>
      <c r="J29" s="23" t="n"/>
      <c r="K29" s="19" t="n"/>
      <c r="L29" s="19" t="n"/>
      <c r="M29" s="19" t="n"/>
      <c r="N29" s="19" t="n"/>
      <c r="O29" s="19" t="n"/>
      <c r="P29" s="19" t="n"/>
      <c r="Q29" s="15">
        <f>IF(C29="","",COUNTA(K29:P29))</f>
        <v/>
      </c>
      <c r="R29" s="15">
        <f>_xlfn.TEXTJOIN("・",TRUE,K29:P29)</f>
        <v/>
      </c>
      <c r="S29" s="19" t="inlineStr">
        <is>
          <t>未確認</t>
        </is>
      </c>
      <c r="T29" s="19" t="n"/>
      <c r="U29" s="15">
        <f>IF(C29="","",COUNTIF('変更・キャンセル'!$B$26:$B$85,C29))</f>
        <v/>
      </c>
      <c r="V29" s="17">
        <f>IF(OR(C29="",U29=0),"",INDEX('変更・キャンセル'!$AA$26:$AA$85,MATCH(C29&amp;"#"&amp;U29,'変更・キャンセル'!$Z$26:$Z$85,0)))</f>
        <v/>
      </c>
      <c r="W29" s="15">
        <f>IF(C29="","",IF(COUNTIFS('変更・キャンセル'!$B$26:$B$85,C29,'変更・キャンセル'!$R$26:$R$85,"○")&gt;0,"○",""))</f>
        <v/>
      </c>
    </row>
    <row r="30">
      <c r="A30" s="15" t="inlineStr">
        <is>
          <t>実績あり</t>
        </is>
      </c>
      <c r="B30" s="15" t="inlineStr">
        <is>
          <t>12/06 #05 12:15 出 NEW NATION（N4）</t>
        </is>
      </c>
      <c r="C30" s="15" t="inlineStr">
        <is>
          <t>2025-12-06#05</t>
        </is>
      </c>
      <c r="D30" s="15" t="inlineStr">
        <is>
          <t>NEW NATION</t>
        </is>
      </c>
      <c r="E30" s="15" t="inlineStr">
        <is>
          <t>出</t>
        </is>
      </c>
      <c r="F30" s="15" t="inlineStr">
        <is>
          <t>N4</t>
        </is>
      </c>
      <c r="G30" s="15" t="inlineStr">
        <is>
          <t>関・長</t>
        </is>
      </c>
      <c r="H30" s="15">
        <f>IF(C30="","",COUNTIF(実績!$A$6:$A$505,C30))</f>
        <v/>
      </c>
      <c r="I30" s="17" t="n">
        <v>0.5104166666666666</v>
      </c>
      <c r="J30" s="23" t="n"/>
      <c r="K30" s="19" t="n"/>
      <c r="L30" s="19" t="n"/>
      <c r="M30" s="19" t="n"/>
      <c r="N30" s="19" t="n"/>
      <c r="O30" s="19" t="n"/>
      <c r="P30" s="19" t="n"/>
      <c r="Q30" s="15">
        <f>IF(C30="","",COUNTA(K30:P30))</f>
        <v/>
      </c>
      <c r="R30" s="15">
        <f>_xlfn.TEXTJOIN("・",TRUE,K30:P30)</f>
        <v/>
      </c>
      <c r="S30" s="19" t="inlineStr">
        <is>
          <t>未確認</t>
        </is>
      </c>
      <c r="T30" s="19" t="n"/>
      <c r="U30" s="15">
        <f>IF(C30="","",COUNTIF('変更・キャンセル'!$B$26:$B$85,C30))</f>
        <v/>
      </c>
      <c r="V30" s="17">
        <f>IF(OR(C30="",U30=0),"",INDEX('変更・キャンセル'!$AA$26:$AA$85,MATCH(C30&amp;"#"&amp;U30,'変更・キャンセル'!$Z$26:$Z$85,0)))</f>
        <v/>
      </c>
      <c r="W30" s="15">
        <f>IF(C30="","",IF(COUNTIFS('変更・キャンセル'!$B$26:$B$85,C30,'変更・キャンセル'!$R$26:$R$85,"○")&gt;0,"○",""))</f>
        <v/>
      </c>
    </row>
    <row r="31">
      <c r="A31" s="15" t="inlineStr">
        <is>
          <t>実績あり</t>
        </is>
      </c>
      <c r="B31" s="15" t="inlineStr">
        <is>
          <t>12/06 #06 12:30 入 TEXAS HARMONY（N4）</t>
        </is>
      </c>
      <c r="C31" s="15" t="inlineStr">
        <is>
          <t>2025-12-06#06</t>
        </is>
      </c>
      <c r="D31" s="15" t="inlineStr">
        <is>
          <t>TEXAS HARMONY</t>
        </is>
      </c>
      <c r="E31" s="15" t="inlineStr">
        <is>
          <t>入</t>
        </is>
      </c>
      <c r="F31" s="15" t="inlineStr">
        <is>
          <t>N4</t>
        </is>
      </c>
      <c r="G31" s="15" t="inlineStr">
        <is>
          <t>竜山・さくら</t>
        </is>
      </c>
      <c r="H31" s="15">
        <f>IF(C31="","",COUNTIF(実績!$A$6:$A$505,C31))</f>
        <v/>
      </c>
      <c r="I31" s="17" t="n">
        <v>0.5208333333333334</v>
      </c>
      <c r="J31" s="23" t="n"/>
      <c r="K31" s="19" t="n"/>
      <c r="L31" s="19" t="n"/>
      <c r="M31" s="19" t="n"/>
      <c r="N31" s="19" t="n"/>
      <c r="O31" s="19" t="n"/>
      <c r="P31" s="19" t="n"/>
      <c r="Q31" s="15">
        <f>IF(C31="","",COUNTA(K31:P31))</f>
        <v/>
      </c>
      <c r="R31" s="15">
        <f>_xlfn.TEXTJOIN("・",TRUE,K31:P31)</f>
        <v/>
      </c>
      <c r="S31" s="19" t="inlineStr">
        <is>
          <t>未確認</t>
        </is>
      </c>
      <c r="T31" s="19" t="n"/>
      <c r="U31" s="15">
        <f>IF(C31="","",COUNTIF('変更・キャンセル'!$B$26:$B$85,C31))</f>
        <v/>
      </c>
      <c r="V31" s="17">
        <f>IF(OR(C31="",U31=0),"",INDEX('変更・キャンセル'!$AA$26:$AA$85,MATCH(C31&amp;"#"&amp;U31,'変更・キャンセル'!$Z$26:$Z$85,0)))</f>
        <v/>
      </c>
      <c r="W31" s="15">
        <f>IF(C31="","",IF(COUNTIFS('変更・キャンセル'!$B$26:$B$85,C31,'変更・キャンセル'!$R$26:$R$85,"○")&gt;0,"○",""))</f>
        <v/>
      </c>
    </row>
    <row r="32">
      <c r="A32" s="15" t="inlineStr">
        <is>
          <t>実績あり</t>
        </is>
      </c>
      <c r="B32" s="15" t="inlineStr">
        <is>
          <t>12/06 #07 13:00 入 LNG MARS（ZL）</t>
        </is>
      </c>
      <c r="C32" s="15" t="inlineStr">
        <is>
          <t>2025-12-06#07</t>
        </is>
      </c>
      <c r="D32" s="15" t="inlineStr">
        <is>
          <t>LNG MARS</t>
        </is>
      </c>
      <c r="E32" s="15" t="inlineStr">
        <is>
          <t>入</t>
        </is>
      </c>
      <c r="F32" s="15" t="inlineStr">
        <is>
          <t>ZL</t>
        </is>
      </c>
      <c r="G32" s="15" t="inlineStr">
        <is>
          <t>S・T・M・P・Y</t>
        </is>
      </c>
      <c r="H32" s="15">
        <f>IF(C32="","",COUNTIF(実績!$A$6:$A$505,C32))</f>
        <v/>
      </c>
      <c r="I32" s="17" t="n">
        <v>0.5416666666666666</v>
      </c>
      <c r="J32" s="23" t="n"/>
      <c r="K32" s="19" t="n"/>
      <c r="L32" s="19" t="n"/>
      <c r="M32" s="19" t="n"/>
      <c r="N32" s="19" t="n"/>
      <c r="O32" s="19" t="n"/>
      <c r="P32" s="19" t="n"/>
      <c r="Q32" s="15">
        <f>IF(C32="","",COUNTA(K32:P32))</f>
        <v/>
      </c>
      <c r="R32" s="15">
        <f>_xlfn.TEXTJOIN("・",TRUE,K32:P32)</f>
        <v/>
      </c>
      <c r="S32" s="19" t="inlineStr">
        <is>
          <t>未確認</t>
        </is>
      </c>
      <c r="T32" s="19" t="n"/>
      <c r="U32" s="15">
        <f>IF(C32="","",COUNTIF('変更・キャンセル'!$B$26:$B$85,C32))</f>
        <v/>
      </c>
      <c r="V32" s="17">
        <f>IF(OR(C32="",U32=0),"",INDEX('変更・キャンセル'!$AA$26:$AA$85,MATCH(C32&amp;"#"&amp;U32,'変更・キャンセル'!$Z$26:$Z$85,0)))</f>
        <v/>
      </c>
      <c r="W32" s="15">
        <f>IF(C32="","",IF(COUNTIFS('変更・キャンセル'!$B$26:$B$85,C32,'変更・キャンセル'!$R$26:$R$85,"○")&gt;0,"○",""))</f>
        <v/>
      </c>
    </row>
    <row r="33">
      <c r="A33" s="15" t="inlineStr">
        <is>
          <t>実績あり</t>
        </is>
      </c>
      <c r="B33" s="15" t="inlineStr">
        <is>
          <t>12/06 #08 18:30 出 FIRST AI（N5）</t>
        </is>
      </c>
      <c r="C33" s="15" t="inlineStr">
        <is>
          <t>2025-12-06#08</t>
        </is>
      </c>
      <c r="D33" s="15" t="inlineStr">
        <is>
          <t>FIRST AI</t>
        </is>
      </c>
      <c r="E33" s="15" t="inlineStr">
        <is>
          <t>出</t>
        </is>
      </c>
      <c r="F33" s="15" t="inlineStr">
        <is>
          <t>N5</t>
        </is>
      </c>
      <c r="G33" s="15" t="inlineStr">
        <is>
          <t>P</t>
        </is>
      </c>
      <c r="H33" s="15">
        <f>IF(C33="","",COUNTIF(実績!$A$6:$A$505,C33))</f>
        <v/>
      </c>
      <c r="I33" s="17" t="n">
        <v>0.7708333333333334</v>
      </c>
      <c r="J33" s="23" t="n"/>
      <c r="K33" s="19" t="n"/>
      <c r="L33" s="19" t="n"/>
      <c r="M33" s="19" t="n"/>
      <c r="N33" s="19" t="n"/>
      <c r="O33" s="19" t="n"/>
      <c r="P33" s="19" t="n"/>
      <c r="Q33" s="15">
        <f>IF(C33="","",COUNTA(K33:P33))</f>
        <v/>
      </c>
      <c r="R33" s="15">
        <f>_xlfn.TEXTJOIN("・",TRUE,K33:P33)</f>
        <v/>
      </c>
      <c r="S33" s="19" t="inlineStr">
        <is>
          <t>未確認</t>
        </is>
      </c>
      <c r="T33" s="19" t="n"/>
      <c r="U33" s="15">
        <f>IF(C33="","",COUNTIF('変更・キャンセル'!$B$26:$B$85,C33))</f>
        <v/>
      </c>
      <c r="V33" s="17">
        <f>IF(OR(C33="",U33=0),"",INDEX('変更・キャンセル'!$AA$26:$AA$85,MATCH(C33&amp;"#"&amp;U33,'変更・キャンセル'!$Z$26:$Z$85,0)))</f>
        <v/>
      </c>
      <c r="W33" s="15">
        <f>IF(C33="","",IF(COUNTIFS('変更・キャンセル'!$B$26:$B$85,C33,'変更・キャンセル'!$R$26:$R$85,"○")&gt;0,"○",""))</f>
        <v/>
      </c>
    </row>
    <row r="34">
      <c r="A34" s="15" t="inlineStr">
        <is>
          <t>実績あり</t>
        </is>
      </c>
      <c r="B34" s="15" t="inlineStr">
        <is>
          <t>12/06 #09 19:30 入 ZENITH AURORA（N5）</t>
        </is>
      </c>
      <c r="C34" s="15" t="inlineStr">
        <is>
          <t>2025-12-06#09</t>
        </is>
      </c>
      <c r="D34" s="15" t="inlineStr">
        <is>
          <t>ZENITH AURORA</t>
        </is>
      </c>
      <c r="E34" s="15" t="inlineStr">
        <is>
          <t>入</t>
        </is>
      </c>
      <c r="F34" s="15" t="inlineStr">
        <is>
          <t>N5</t>
        </is>
      </c>
      <c r="G34" s="15" t="inlineStr">
        <is>
          <t>T・P</t>
        </is>
      </c>
      <c r="H34" s="15">
        <f>IF(C34="","",COUNTIF(実績!$A$6:$A$505,C34))</f>
        <v/>
      </c>
      <c r="I34" s="17" t="n">
        <v>0.8125</v>
      </c>
      <c r="J34" s="23" t="n"/>
      <c r="K34" s="19" t="n"/>
      <c r="L34" s="19" t="n"/>
      <c r="M34" s="19" t="n"/>
      <c r="N34" s="19" t="n"/>
      <c r="O34" s="19" t="n"/>
      <c r="P34" s="19" t="n"/>
      <c r="Q34" s="15">
        <f>IF(C34="","",COUNTA(K34:P34))</f>
        <v/>
      </c>
      <c r="R34" s="15">
        <f>_xlfn.TEXTJOIN("・",TRUE,K34:P34)</f>
        <v/>
      </c>
      <c r="S34" s="19" t="inlineStr">
        <is>
          <t>未確認</t>
        </is>
      </c>
      <c r="T34" s="19" t="n"/>
      <c r="U34" s="15">
        <f>IF(C34="","",COUNTIF('変更・キャンセル'!$B$26:$B$85,C34))</f>
        <v/>
      </c>
      <c r="V34" s="17">
        <f>IF(OR(C34="",U34=0),"",INDEX('変更・キャンセル'!$AA$26:$AA$85,MATCH(C34&amp;"#"&amp;U34,'変更・キャンセル'!$Z$26:$Z$85,0)))</f>
        <v/>
      </c>
      <c r="W34" s="15">
        <f>IF(C34="","",IF(COUNTIFS('変更・キャンセル'!$B$26:$B$85,C34,'変更・キャンセル'!$R$26:$R$85,"○")&gt;0,"○",""))</f>
        <v/>
      </c>
      <c r="X34" s="24" t="inlineStr">
        <is>
          <t>▼ ここから下は予定表にだけある作業（実績のない取消し等）を追加する行</t>
        </is>
      </c>
    </row>
    <row r="35">
      <c r="A35" s="15">
        <f>IF(D35="","","予定のみ")</f>
        <v/>
      </c>
      <c r="B35" s="15">
        <f>IF(D35="","","12/06 予定のみ#01 "&amp;IF(J35="","--:--",TEXT(J35,"hh:mm"))&amp;" "&amp;E35&amp;" "&amp;D35)</f>
        <v/>
      </c>
      <c r="C35" s="15">
        <f>IF(D35="","","2025-12-06予定のみ#01")</f>
        <v/>
      </c>
      <c r="D35" s="19" t="n"/>
      <c r="E35" s="19" t="n"/>
      <c r="F35" s="19" t="n"/>
      <c r="G35" s="15">
        <f>IF(D35="","","（実績なし）")</f>
        <v/>
      </c>
      <c r="H35" s="15">
        <f>IF(C35="","",COUNTIF(実績!$A$6:$A$505,C35))</f>
        <v/>
      </c>
      <c r="I35" s="17" t="n"/>
      <c r="J35" s="23" t="n"/>
      <c r="K35" s="19" t="n"/>
      <c r="L35" s="19" t="n"/>
      <c r="M35" s="19" t="n"/>
      <c r="N35" s="19" t="n"/>
      <c r="O35" s="19" t="n"/>
      <c r="P35" s="19" t="n"/>
      <c r="Q35" s="15">
        <f>IF(C35="","",COUNTA(K35:P35))</f>
        <v/>
      </c>
      <c r="R35" s="15">
        <f>_xlfn.TEXTJOIN("・",TRUE,K35:P35)</f>
        <v/>
      </c>
      <c r="S35" s="19" t="n"/>
      <c r="T35" s="19" t="n"/>
      <c r="U35" s="15">
        <f>IF(C35="","",COUNTIF('変更・キャンセル'!$B$26:$B$85,C35))</f>
        <v/>
      </c>
      <c r="V35" s="17">
        <f>IF(OR(C35="",U35=0),"",INDEX('変更・キャンセル'!$AA$26:$AA$85,MATCH(C35&amp;"#"&amp;U35,'変更・キャンセル'!$Z$26:$Z$85,0)))</f>
        <v/>
      </c>
      <c r="W35" s="15">
        <f>IF(C35="","",IF(COUNTIFS('変更・キャンセル'!$B$26:$B$85,C35,'変更・キャンセル'!$R$26:$R$85,"○")&gt;0,"○",""))</f>
        <v/>
      </c>
    </row>
    <row r="36">
      <c r="A36" s="15">
        <f>IF(D36="","","予定のみ")</f>
        <v/>
      </c>
      <c r="B36" s="15">
        <f>IF(D36="","","12/06 予定のみ#02 "&amp;IF(J36="","--:--",TEXT(J36,"hh:mm"))&amp;" "&amp;E36&amp;" "&amp;D36)</f>
        <v/>
      </c>
      <c r="C36" s="15">
        <f>IF(D36="","","2025-12-06予定のみ#02")</f>
        <v/>
      </c>
      <c r="D36" s="19" t="n"/>
      <c r="E36" s="19" t="n"/>
      <c r="F36" s="19" t="n"/>
      <c r="G36" s="15">
        <f>IF(D36="","","（実績なし）")</f>
        <v/>
      </c>
      <c r="H36" s="15">
        <f>IF(C36="","",COUNTIF(実績!$A$6:$A$505,C36))</f>
        <v/>
      </c>
      <c r="I36" s="17" t="n"/>
      <c r="J36" s="23" t="n"/>
      <c r="K36" s="19" t="n"/>
      <c r="L36" s="19" t="n"/>
      <c r="M36" s="19" t="n"/>
      <c r="N36" s="19" t="n"/>
      <c r="O36" s="19" t="n"/>
      <c r="P36" s="19" t="n"/>
      <c r="Q36" s="15">
        <f>IF(C36="","",COUNTA(K36:P36))</f>
        <v/>
      </c>
      <c r="R36" s="15">
        <f>_xlfn.TEXTJOIN("・",TRUE,K36:P36)</f>
        <v/>
      </c>
      <c r="S36" s="19" t="n"/>
      <c r="T36" s="19" t="n"/>
      <c r="U36" s="15">
        <f>IF(C36="","",COUNTIF('変更・キャンセル'!$B$26:$B$85,C36))</f>
        <v/>
      </c>
      <c r="V36" s="17">
        <f>IF(OR(C36="",U36=0),"",INDEX('変更・キャンセル'!$AA$26:$AA$85,MATCH(C36&amp;"#"&amp;U36,'変更・キャンセル'!$Z$26:$Z$85,0)))</f>
        <v/>
      </c>
      <c r="W36" s="15">
        <f>IF(C36="","",IF(COUNTIFS('変更・キャンセル'!$B$26:$B$85,C36,'変更・キャンセル'!$R$26:$R$85,"○")&gt;0,"○",""))</f>
        <v/>
      </c>
    </row>
    <row r="37">
      <c r="A37" s="15">
        <f>IF(D37="","","予定のみ")</f>
        <v/>
      </c>
      <c r="B37" s="15">
        <f>IF(D37="","","12/06 予定のみ#03 "&amp;IF(J37="","--:--",TEXT(J37,"hh:mm"))&amp;" "&amp;E37&amp;" "&amp;D37)</f>
        <v/>
      </c>
      <c r="C37" s="15">
        <f>IF(D37="","","2025-12-06予定のみ#03")</f>
        <v/>
      </c>
      <c r="D37" s="19" t="n"/>
      <c r="E37" s="19" t="n"/>
      <c r="F37" s="19" t="n"/>
      <c r="G37" s="15">
        <f>IF(D37="","","（実績なし）")</f>
        <v/>
      </c>
      <c r="H37" s="15">
        <f>IF(C37="","",COUNTIF(実績!$A$6:$A$505,C37))</f>
        <v/>
      </c>
      <c r="I37" s="17" t="n"/>
      <c r="J37" s="23" t="n"/>
      <c r="K37" s="19" t="n"/>
      <c r="L37" s="19" t="n"/>
      <c r="M37" s="19" t="n"/>
      <c r="N37" s="19" t="n"/>
      <c r="O37" s="19" t="n"/>
      <c r="P37" s="19" t="n"/>
      <c r="Q37" s="15">
        <f>IF(C37="","",COUNTA(K37:P37))</f>
        <v/>
      </c>
      <c r="R37" s="15">
        <f>_xlfn.TEXTJOIN("・",TRUE,K37:P37)</f>
        <v/>
      </c>
      <c r="S37" s="19" t="n"/>
      <c r="T37" s="19" t="n"/>
      <c r="U37" s="15">
        <f>IF(C37="","",COUNTIF('変更・キャンセル'!$B$26:$B$85,C37))</f>
        <v/>
      </c>
      <c r="V37" s="17">
        <f>IF(OR(C37="",U37=0),"",INDEX('変更・キャンセル'!$AA$26:$AA$85,MATCH(C37&amp;"#"&amp;U37,'変更・キャンセル'!$Z$26:$Z$85,0)))</f>
        <v/>
      </c>
      <c r="W37" s="15">
        <f>IF(C37="","",IF(COUNTIFS('変更・キャンセル'!$B$26:$B$85,C37,'変更・キャンセル'!$R$26:$R$85,"○")&gt;0,"○",""))</f>
        <v/>
      </c>
    </row>
    <row r="38">
      <c r="A38" s="15">
        <f>IF(D38="","","予定のみ")</f>
        <v/>
      </c>
      <c r="B38" s="15">
        <f>IF(D38="","","12/06 予定のみ#04 "&amp;IF(J38="","--:--",TEXT(J38,"hh:mm"))&amp;" "&amp;E38&amp;" "&amp;D38)</f>
        <v/>
      </c>
      <c r="C38" s="15">
        <f>IF(D38="","","2025-12-06予定のみ#04")</f>
        <v/>
      </c>
      <c r="D38" s="19" t="n"/>
      <c r="E38" s="19" t="n"/>
      <c r="F38" s="19" t="n"/>
      <c r="G38" s="15">
        <f>IF(D38="","","（実績なし）")</f>
        <v/>
      </c>
      <c r="H38" s="15">
        <f>IF(C38="","",COUNTIF(実績!$A$6:$A$505,C38))</f>
        <v/>
      </c>
      <c r="I38" s="17" t="n"/>
      <c r="J38" s="23" t="n"/>
      <c r="K38" s="19" t="n"/>
      <c r="L38" s="19" t="n"/>
      <c r="M38" s="19" t="n"/>
      <c r="N38" s="19" t="n"/>
      <c r="O38" s="19" t="n"/>
      <c r="P38" s="19" t="n"/>
      <c r="Q38" s="15">
        <f>IF(C38="","",COUNTA(K38:P38))</f>
        <v/>
      </c>
      <c r="R38" s="15">
        <f>_xlfn.TEXTJOIN("・",TRUE,K38:P38)</f>
        <v/>
      </c>
      <c r="S38" s="19" t="n"/>
      <c r="T38" s="19" t="n"/>
      <c r="U38" s="15">
        <f>IF(C38="","",COUNTIF('変更・キャンセル'!$B$26:$B$85,C38))</f>
        <v/>
      </c>
      <c r="V38" s="17">
        <f>IF(OR(C38="",U38=0),"",INDEX('変更・キャンセル'!$AA$26:$AA$85,MATCH(C38&amp;"#"&amp;U38,'変更・キャンセル'!$Z$26:$Z$85,0)))</f>
        <v/>
      </c>
      <c r="W38" s="15">
        <f>IF(C38="","",IF(COUNTIFS('変更・キャンセル'!$B$26:$B$85,C38,'変更・キャンセル'!$R$26:$R$85,"○")&gt;0,"○",""))</f>
        <v/>
      </c>
    </row>
    <row r="39">
      <c r="A39" s="15">
        <f>IF(D39="","","予定のみ")</f>
        <v/>
      </c>
      <c r="B39" s="15">
        <f>IF(D39="","","12/06 予定のみ#05 "&amp;IF(J39="","--:--",TEXT(J39,"hh:mm"))&amp;" "&amp;E39&amp;" "&amp;D39)</f>
        <v/>
      </c>
      <c r="C39" s="15">
        <f>IF(D39="","","2025-12-06予定のみ#05")</f>
        <v/>
      </c>
      <c r="D39" s="19" t="n"/>
      <c r="E39" s="19" t="n"/>
      <c r="F39" s="19" t="n"/>
      <c r="G39" s="15">
        <f>IF(D39="","","（実績なし）")</f>
        <v/>
      </c>
      <c r="H39" s="15">
        <f>IF(C39="","",COUNTIF(実績!$A$6:$A$505,C39))</f>
        <v/>
      </c>
      <c r="I39" s="17" t="n"/>
      <c r="J39" s="23" t="n"/>
      <c r="K39" s="19" t="n"/>
      <c r="L39" s="19" t="n"/>
      <c r="M39" s="19" t="n"/>
      <c r="N39" s="19" t="n"/>
      <c r="O39" s="19" t="n"/>
      <c r="P39" s="19" t="n"/>
      <c r="Q39" s="15">
        <f>IF(C39="","",COUNTA(K39:P39))</f>
        <v/>
      </c>
      <c r="R39" s="15">
        <f>_xlfn.TEXTJOIN("・",TRUE,K39:P39)</f>
        <v/>
      </c>
      <c r="S39" s="19" t="n"/>
      <c r="T39" s="19" t="n"/>
      <c r="U39" s="15">
        <f>IF(C39="","",COUNTIF('変更・キャンセル'!$B$26:$B$85,C39))</f>
        <v/>
      </c>
      <c r="V39" s="17">
        <f>IF(OR(C39="",U39=0),"",INDEX('変更・キャンセル'!$AA$26:$AA$85,MATCH(C39&amp;"#"&amp;U39,'変更・キャンセル'!$Z$26:$Z$85,0)))</f>
        <v/>
      </c>
      <c r="W39" s="15">
        <f>IF(C39="","",IF(COUNTIFS('変更・キャンセル'!$B$26:$B$85,C39,'変更・キャンセル'!$R$26:$R$85,"○")&gt;0,"○",""))</f>
        <v/>
      </c>
    </row>
    <row r="40">
      <c r="A40" s="15">
        <f>IF(D40="","","予定のみ")</f>
        <v/>
      </c>
      <c r="B40" s="15">
        <f>IF(D40="","","12/06 予定のみ#06 "&amp;IF(J40="","--:--",TEXT(J40,"hh:mm"))&amp;" "&amp;E40&amp;" "&amp;D40)</f>
        <v/>
      </c>
      <c r="C40" s="15">
        <f>IF(D40="","","2025-12-06予定のみ#06")</f>
        <v/>
      </c>
      <c r="D40" s="19" t="n"/>
      <c r="E40" s="19" t="n"/>
      <c r="F40" s="19" t="n"/>
      <c r="G40" s="15">
        <f>IF(D40="","","（実績なし）")</f>
        <v/>
      </c>
      <c r="H40" s="15">
        <f>IF(C40="","",COUNTIF(実績!$A$6:$A$505,C40))</f>
        <v/>
      </c>
      <c r="I40" s="17" t="n"/>
      <c r="J40" s="23" t="n"/>
      <c r="K40" s="19" t="n"/>
      <c r="L40" s="19" t="n"/>
      <c r="M40" s="19" t="n"/>
      <c r="N40" s="19" t="n"/>
      <c r="O40" s="19" t="n"/>
      <c r="P40" s="19" t="n"/>
      <c r="Q40" s="15">
        <f>IF(C40="","",COUNTA(K40:P40))</f>
        <v/>
      </c>
      <c r="R40" s="15">
        <f>_xlfn.TEXTJOIN("・",TRUE,K40:P40)</f>
        <v/>
      </c>
      <c r="S40" s="19" t="n"/>
      <c r="T40" s="19" t="n"/>
      <c r="U40" s="15">
        <f>IF(C40="","",COUNTIF('変更・キャンセル'!$B$26:$B$85,C40))</f>
        <v/>
      </c>
      <c r="V40" s="17">
        <f>IF(OR(C40="",U40=0),"",INDEX('変更・キャンセル'!$AA$26:$AA$85,MATCH(C40&amp;"#"&amp;U40,'変更・キャンセル'!$Z$26:$Z$85,0)))</f>
        <v/>
      </c>
      <c r="W40" s="15">
        <f>IF(C40="","",IF(COUNTIFS('変更・キャンセル'!$B$26:$B$85,C40,'変更・キャンセル'!$R$26:$R$85,"○")&gt;0,"○",""))</f>
        <v/>
      </c>
    </row>
    <row r="41">
      <c r="A41" s="15">
        <f>IF(D41="","","予定のみ")</f>
        <v/>
      </c>
      <c r="B41" s="15">
        <f>IF(D41="","","12/06 予定のみ#07 "&amp;IF(J41="","--:--",TEXT(J41,"hh:mm"))&amp;" "&amp;E41&amp;" "&amp;D41)</f>
        <v/>
      </c>
      <c r="C41" s="15">
        <f>IF(D41="","","2025-12-06予定のみ#07")</f>
        <v/>
      </c>
      <c r="D41" s="19" t="n"/>
      <c r="E41" s="19" t="n"/>
      <c r="F41" s="19" t="n"/>
      <c r="G41" s="15">
        <f>IF(D41="","","（実績なし）")</f>
        <v/>
      </c>
      <c r="H41" s="15">
        <f>IF(C41="","",COUNTIF(実績!$A$6:$A$505,C41))</f>
        <v/>
      </c>
      <c r="I41" s="17" t="n"/>
      <c r="J41" s="23" t="n"/>
      <c r="K41" s="19" t="n"/>
      <c r="L41" s="19" t="n"/>
      <c r="M41" s="19" t="n"/>
      <c r="N41" s="19" t="n"/>
      <c r="O41" s="19" t="n"/>
      <c r="P41" s="19" t="n"/>
      <c r="Q41" s="15">
        <f>IF(C41="","",COUNTA(K41:P41))</f>
        <v/>
      </c>
      <c r="R41" s="15">
        <f>_xlfn.TEXTJOIN("・",TRUE,K41:P41)</f>
        <v/>
      </c>
      <c r="S41" s="19" t="n"/>
      <c r="T41" s="19" t="n"/>
      <c r="U41" s="15">
        <f>IF(C41="","",COUNTIF('変更・キャンセル'!$B$26:$B$85,C41))</f>
        <v/>
      </c>
      <c r="V41" s="17">
        <f>IF(OR(C41="",U41=0),"",INDEX('変更・キャンセル'!$AA$26:$AA$85,MATCH(C41&amp;"#"&amp;U41,'変更・キャンセル'!$Z$26:$Z$85,0)))</f>
        <v/>
      </c>
      <c r="W41" s="15">
        <f>IF(C41="","",IF(COUNTIFS('変更・キャンセル'!$B$26:$B$85,C41,'変更・キャンセル'!$R$26:$R$85,"○")&gt;0,"○",""))</f>
        <v/>
      </c>
    </row>
    <row r="42">
      <c r="A42" s="15">
        <f>IF(D42="","","予定のみ")</f>
        <v/>
      </c>
      <c r="B42" s="15">
        <f>IF(D42="","","12/06 予定のみ#08 "&amp;IF(J42="","--:--",TEXT(J42,"hh:mm"))&amp;" "&amp;E42&amp;" "&amp;D42)</f>
        <v/>
      </c>
      <c r="C42" s="15">
        <f>IF(D42="","","2025-12-06予定のみ#08")</f>
        <v/>
      </c>
      <c r="D42" s="19" t="n"/>
      <c r="E42" s="19" t="n"/>
      <c r="F42" s="19" t="n"/>
      <c r="G42" s="15">
        <f>IF(D42="","","（実績なし）")</f>
        <v/>
      </c>
      <c r="H42" s="15">
        <f>IF(C42="","",COUNTIF(実績!$A$6:$A$505,C42))</f>
        <v/>
      </c>
      <c r="I42" s="17" t="n"/>
      <c r="J42" s="23" t="n"/>
      <c r="K42" s="19" t="n"/>
      <c r="L42" s="19" t="n"/>
      <c r="M42" s="19" t="n"/>
      <c r="N42" s="19" t="n"/>
      <c r="O42" s="19" t="n"/>
      <c r="P42" s="19" t="n"/>
      <c r="Q42" s="15">
        <f>IF(C42="","",COUNTA(K42:P42))</f>
        <v/>
      </c>
      <c r="R42" s="15">
        <f>_xlfn.TEXTJOIN("・",TRUE,K42:P42)</f>
        <v/>
      </c>
      <c r="S42" s="19" t="n"/>
      <c r="T42" s="19" t="n"/>
      <c r="U42" s="15">
        <f>IF(C42="","",COUNTIF('変更・キャンセル'!$B$26:$B$85,C42))</f>
        <v/>
      </c>
      <c r="V42" s="17">
        <f>IF(OR(C42="",U42=0),"",INDEX('変更・キャンセル'!$AA$26:$AA$85,MATCH(C42&amp;"#"&amp;U42,'変更・キャンセル'!$Z$26:$Z$85,0)))</f>
        <v/>
      </c>
      <c r="W42" s="15">
        <f>IF(C42="","",IF(COUNTIFS('変更・キャンセル'!$B$26:$B$85,C42,'変更・キャンセル'!$R$26:$R$85,"○")&gt;0,"○",""))</f>
        <v/>
      </c>
    </row>
    <row r="43">
      <c r="A43" s="15">
        <f>IF(D43="","","予定のみ")</f>
        <v/>
      </c>
      <c r="B43" s="15">
        <f>IF(D43="","","12/06 予定のみ#09 "&amp;IF(J43="","--:--",TEXT(J43,"hh:mm"))&amp;" "&amp;E43&amp;" "&amp;D43)</f>
        <v/>
      </c>
      <c r="C43" s="15">
        <f>IF(D43="","","2025-12-06予定のみ#09")</f>
        <v/>
      </c>
      <c r="D43" s="19" t="n"/>
      <c r="E43" s="19" t="n"/>
      <c r="F43" s="19" t="n"/>
      <c r="G43" s="15">
        <f>IF(D43="","","（実績なし）")</f>
        <v/>
      </c>
      <c r="H43" s="15">
        <f>IF(C43="","",COUNTIF(実績!$A$6:$A$505,C43))</f>
        <v/>
      </c>
      <c r="I43" s="17" t="n"/>
      <c r="J43" s="23" t="n"/>
      <c r="K43" s="19" t="n"/>
      <c r="L43" s="19" t="n"/>
      <c r="M43" s="19" t="n"/>
      <c r="N43" s="19" t="n"/>
      <c r="O43" s="19" t="n"/>
      <c r="P43" s="19" t="n"/>
      <c r="Q43" s="15">
        <f>IF(C43="","",COUNTA(K43:P43))</f>
        <v/>
      </c>
      <c r="R43" s="15">
        <f>_xlfn.TEXTJOIN("・",TRUE,K43:P43)</f>
        <v/>
      </c>
      <c r="S43" s="19" t="n"/>
      <c r="T43" s="19" t="n"/>
      <c r="U43" s="15">
        <f>IF(C43="","",COUNTIF('変更・キャンセル'!$B$26:$B$85,C43))</f>
        <v/>
      </c>
      <c r="V43" s="17">
        <f>IF(OR(C43="",U43=0),"",INDEX('変更・キャンセル'!$AA$26:$AA$85,MATCH(C43&amp;"#"&amp;U43,'変更・キャンセル'!$Z$26:$Z$85,0)))</f>
        <v/>
      </c>
      <c r="W43" s="15">
        <f>IF(C43="","",IF(COUNTIFS('変更・キャンセル'!$B$26:$B$85,C43,'変更・キャンセル'!$R$26:$R$85,"○")&gt;0,"○",""))</f>
        <v/>
      </c>
    </row>
    <row r="44">
      <c r="A44" s="15">
        <f>IF(D44="","","予定のみ")</f>
        <v/>
      </c>
      <c r="B44" s="15">
        <f>IF(D44="","","12/06 予定のみ#10 "&amp;IF(J44="","--:--",TEXT(J44,"hh:mm"))&amp;" "&amp;E44&amp;" "&amp;D44)</f>
        <v/>
      </c>
      <c r="C44" s="15">
        <f>IF(D44="","","2025-12-06予定のみ#10")</f>
        <v/>
      </c>
      <c r="D44" s="19" t="n"/>
      <c r="E44" s="19" t="n"/>
      <c r="F44" s="19" t="n"/>
      <c r="G44" s="15">
        <f>IF(D44="","","（実績なし）")</f>
        <v/>
      </c>
      <c r="H44" s="15">
        <f>IF(C44="","",COUNTIF(実績!$A$6:$A$505,C44))</f>
        <v/>
      </c>
      <c r="I44" s="17" t="n"/>
      <c r="J44" s="23" t="n"/>
      <c r="K44" s="19" t="n"/>
      <c r="L44" s="19" t="n"/>
      <c r="M44" s="19" t="n"/>
      <c r="N44" s="19" t="n"/>
      <c r="O44" s="19" t="n"/>
      <c r="P44" s="19" t="n"/>
      <c r="Q44" s="15">
        <f>IF(C44="","",COUNTA(K44:P44))</f>
        <v/>
      </c>
      <c r="R44" s="15">
        <f>_xlfn.TEXTJOIN("・",TRUE,K44:P44)</f>
        <v/>
      </c>
      <c r="S44" s="19" t="n"/>
      <c r="T44" s="19" t="n"/>
      <c r="U44" s="15">
        <f>IF(C44="","",COUNTIF('変更・キャンセル'!$B$26:$B$85,C44))</f>
        <v/>
      </c>
      <c r="V44" s="17">
        <f>IF(OR(C44="",U44=0),"",INDEX('変更・キャンセル'!$AA$26:$AA$85,MATCH(C44&amp;"#"&amp;U44,'変更・キャンセル'!$Z$26:$Z$85,0)))</f>
        <v/>
      </c>
      <c r="W44" s="15">
        <f>IF(C44="","",IF(COUNTIFS('変更・キャンセル'!$B$26:$B$85,C44,'変更・キャンセル'!$R$26:$R$85,"○")&gt;0,"○",""))</f>
        <v/>
      </c>
    </row>
    <row r="45">
      <c r="A45" s="15">
        <f>IF(D45="","","予定のみ")</f>
        <v/>
      </c>
      <c r="B45" s="15">
        <f>IF(D45="","","12/06 予定のみ#11 "&amp;IF(J45="","--:--",TEXT(J45,"hh:mm"))&amp;" "&amp;E45&amp;" "&amp;D45)</f>
        <v/>
      </c>
      <c r="C45" s="15">
        <f>IF(D45="","","2025-12-06予定のみ#11")</f>
        <v/>
      </c>
      <c r="D45" s="19" t="n"/>
      <c r="E45" s="19" t="n"/>
      <c r="F45" s="19" t="n"/>
      <c r="G45" s="15">
        <f>IF(D45="","","（実績なし）")</f>
        <v/>
      </c>
      <c r="H45" s="15">
        <f>IF(C45="","",COUNTIF(実績!$A$6:$A$505,C45))</f>
        <v/>
      </c>
      <c r="I45" s="17" t="n"/>
      <c r="J45" s="23" t="n"/>
      <c r="K45" s="19" t="n"/>
      <c r="L45" s="19" t="n"/>
      <c r="M45" s="19" t="n"/>
      <c r="N45" s="19" t="n"/>
      <c r="O45" s="19" t="n"/>
      <c r="P45" s="19" t="n"/>
      <c r="Q45" s="15">
        <f>IF(C45="","",COUNTA(K45:P45))</f>
        <v/>
      </c>
      <c r="R45" s="15">
        <f>_xlfn.TEXTJOIN("・",TRUE,K45:P45)</f>
        <v/>
      </c>
      <c r="S45" s="19" t="n"/>
      <c r="T45" s="19" t="n"/>
      <c r="U45" s="15">
        <f>IF(C45="","",COUNTIF('変更・キャンセル'!$B$26:$B$85,C45))</f>
        <v/>
      </c>
      <c r="V45" s="17">
        <f>IF(OR(C45="",U45=0),"",INDEX('変更・キャンセル'!$AA$26:$AA$85,MATCH(C45&amp;"#"&amp;U45,'変更・キャンセル'!$Z$26:$Z$85,0)))</f>
        <v/>
      </c>
      <c r="W45" s="15">
        <f>IF(C45="","",IF(COUNTIFS('変更・キャンセル'!$B$26:$B$85,C45,'変更・キャンセル'!$R$26:$R$85,"○")&gt;0,"○",""))</f>
        <v/>
      </c>
    </row>
  </sheetData>
  <mergeCells count="11">
    <mergeCell ref="A7:B7"/>
    <mergeCell ref="A9:B9"/>
    <mergeCell ref="A10:B10"/>
    <mergeCell ref="C8:E8"/>
    <mergeCell ref="C9:E9"/>
    <mergeCell ref="C7:E7"/>
    <mergeCell ref="A8:B8"/>
    <mergeCell ref="A6:B6"/>
    <mergeCell ref="A22:B22"/>
    <mergeCell ref="C6:E6"/>
    <mergeCell ref="C10:E10"/>
  </mergeCells>
  <dataValidations count="5">
    <dataValidation sqref="C10" showDropDown="0" showInputMessage="0" showErrorMessage="0" allowBlank="1" errorTitle="選択してください" error="一覧から選んでください（一覧にない場合は「マスター」シートへ追加してください）" type="list">
      <formula1>=選択_照合</formula1>
    </dataValidation>
    <dataValidation sqref="B14:B21" showDropDown="0" showInputMessage="1" showErrorMessage="0" allowBlank="1" errorTitle="選択してください" error="一覧から選んでください（一覧にない場合は「マスター」シートへ追加してください）" prompt="マスターの船名から選びます" type="list">
      <formula1>=船名リスト</formula1>
    </dataValidation>
    <dataValidation sqref="K26:P45" showDropDown="0" showInputMessage="1" showErrorMessage="0" allowBlank="1" errorTitle="選択してください" error="一覧から選んでください（一覧にない場合は「マスター」シートへ追加してください）" prompt="予定表の曳船名をマスターの船名から選びます" type="list">
      <formula1>=船名リスト</formula1>
    </dataValidation>
    <dataValidation sqref="S26:S45" showDropDown="0" showInputMessage="0" showErrorMessage="0" allowBlank="1" errorTitle="選択してください" error="一覧から選んでください（一覧にない場合は「マスター」シートへ追加してください）" type="list">
      <formula1>=選択_照合</formula1>
    </dataValidation>
    <dataValidation sqref="E35:E45" showDropDown="0" showInputMessage="0" showErrorMessage="0" allowBlank="1" errorTitle="選択してください" error="一覧から選んでください（一覧にない場合は「マスター」シートへ追加してください）" type="list">
      <formula1>"入,出,転,エスコート,当直,その他"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5"/>
  <sheetViews>
    <sheetView tabSelected="0" workbookViewId="0">
      <pane xSplit="1" ySplit="6" topLeftCell="B7" activePane="bottomRight" state="frozen"/>
      <selection pane="topRight" activeCell="B7" sqref="B7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7" customWidth="1" min="4" max="4"/>
    <col width="9" customWidth="1" min="5" max="5"/>
    <col width="14" customWidth="1" min="6" max="6"/>
    <col width="14" customWidth="1" min="7" max="7"/>
    <col width="10" customWidth="1" min="8" max="8"/>
    <col width="9" customWidth="1" min="9" max="9"/>
    <col width="9" customWidth="1" min="10" max="10"/>
    <col width="14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7" customWidth="1" min="18" max="18"/>
    <col width="12" customWidth="1" min="19" max="19"/>
    <col width="12" customWidth="1" min="20" max="20"/>
    <col width="16" customWidth="1" min="21" max="21"/>
    <col width="8" customWidth="1" min="22" max="22"/>
    <col width="16" customWidth="1" min="23" max="23"/>
    <col width="14" customWidth="1" min="24" max="24"/>
    <col width="8" customWidth="1" min="25" max="25"/>
    <col hidden="1" width="8" customWidth="1" min="26" max="26"/>
    <col hidden="1" width="8" customWidth="1" min="27" max="27"/>
    <col hidden="1" width="8" customWidth="1" min="28" max="28"/>
    <col hidden="1" width="8" customWidth="1" min="29" max="29"/>
  </cols>
  <sheetData>
    <row r="1">
      <c r="A1" s="10" t="inlineStr">
        <is>
          <t>変更・キャンセル（全作業。1回の変更を1行。前日確定は上書きしない）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</row>
    <row r="2">
      <c r="A2" s="12" t="inlineStr">
        <is>
          <t>誰が：上田　何を見て：当日の変更連絡・変更分の予定表・配船記録　どこへ：①日ごとの確認（A7～）②休船からの呼出（A15～）③変更の記録（A26～で作業を選ぶ）。実績3隻未満の日・全船休航の日も①へ入力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</row>
    <row r="3">
      <c r="A3" s="13" t="inlineStr">
        <is>
          <t>集計先：「前日確定」の変更回数・最終時刻・取消し、「集計」の変更・取消し・呼出。実績のない取消しは「前日確定」の下の空き行へ作業を追加してから選びます。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</row>
    <row r="5">
      <c r="A5" s="18" t="inlineStr">
        <is>
          <t>■ 日ごとの変更確認（変更なしと確認できた日と未確認の日を区別）</t>
        </is>
      </c>
    </row>
    <row r="6">
      <c r="A6" s="22" t="inlineStr">
        <is>
          <t>日付【入力】</t>
        </is>
      </c>
      <c r="B6" s="22" t="inlineStr">
        <is>
          <t>その日の変更確認【入力・選択】</t>
        </is>
      </c>
      <c r="C6" s="22" t="inlineStr">
        <is>
          <t>全船休航【入力・○】</t>
        </is>
      </c>
      <c r="D6" s="14" t="inlineStr">
        <is>
          <t>実績の最大同時稼働（候補）【自動】</t>
        </is>
      </c>
      <c r="E6" s="22" t="inlineStr">
        <is>
          <t>情報元【入力】</t>
        </is>
      </c>
      <c r="F6" s="22" t="inlineStr">
        <is>
          <t>確認者【入力】</t>
        </is>
      </c>
    </row>
    <row r="7">
      <c r="A7" s="25" t="n">
        <v>45997</v>
      </c>
      <c r="B7" s="19" t="inlineStr">
        <is>
          <t>未確認</t>
        </is>
      </c>
      <c r="C7" s="19" t="n"/>
      <c r="D7" s="15">
        <f>IF(A7="","",IF(A7=集計!$C$5,集計!$C$14,"この試作では対象日のみ計算"))</f>
        <v/>
      </c>
      <c r="E7" s="19" t="n"/>
      <c r="F7" s="19" t="n"/>
    </row>
    <row r="8">
      <c r="A8" s="25" t="n"/>
      <c r="B8" s="19" t="n"/>
      <c r="C8" s="19" t="n"/>
      <c r="D8" s="15">
        <f>IF(A8="","",IF(A8=集計!$C$5,集計!$C$14,"この試作では対象日のみ計算"))</f>
        <v/>
      </c>
      <c r="E8" s="19" t="n"/>
      <c r="F8" s="19" t="n"/>
    </row>
    <row r="9">
      <c r="A9" s="25" t="n"/>
      <c r="B9" s="19" t="n"/>
      <c r="C9" s="19" t="n"/>
      <c r="D9" s="15">
        <f>IF(A9="","",IF(A9=集計!$C$5,集計!$C$14,"この試作では対象日のみ計算"))</f>
        <v/>
      </c>
      <c r="E9" s="19" t="n"/>
      <c r="F9" s="19" t="n"/>
    </row>
    <row r="10">
      <c r="A10" s="25" t="n"/>
      <c r="B10" s="19" t="n"/>
      <c r="C10" s="19" t="n"/>
      <c r="D10" s="15">
        <f>IF(A10="","",IF(A10=集計!$C$5,集計!$C$14,"この試作では対象日のみ計算"))</f>
        <v/>
      </c>
      <c r="E10" s="19" t="n"/>
      <c r="F10" s="19" t="n"/>
    </row>
    <row r="11">
      <c r="A11" s="25" t="n"/>
      <c r="B11" s="19" t="n"/>
      <c r="C11" s="19" t="n"/>
      <c r="D11" s="15">
        <f>IF(A11="","",IF(A11=集計!$C$5,集計!$C$14,"この試作では対象日のみ計算"))</f>
        <v/>
      </c>
      <c r="E11" s="19" t="n"/>
      <c r="F11" s="19" t="n"/>
    </row>
    <row r="13">
      <c r="A13" s="18" t="inlineStr">
        <is>
          <t>■ 休船からの呼出（製鉄曳船・西日本海運。1隻ごとに1行。同じ船の同じ呼出は1回と数える）</t>
        </is>
      </c>
    </row>
    <row r="14">
      <c r="A14" s="22" t="inlineStr">
        <is>
          <t>呼出した船【入力・選択】</t>
        </is>
      </c>
      <c r="B14" s="14" t="inlineStr">
        <is>
          <t>会社【自動】</t>
        </is>
      </c>
      <c r="C14" s="22" t="inlineStr">
        <is>
          <t>呼出日時【入力】</t>
        </is>
      </c>
      <c r="D14" s="22" t="inlineStr">
        <is>
          <t>最初に対応した作業【入力・選択】</t>
        </is>
      </c>
      <c r="E14" s="22" t="inlineStr">
        <is>
          <t>呼出の理由【入力・選択】</t>
        </is>
      </c>
      <c r="F14" s="22" t="inlineStr">
        <is>
          <t>情報元【入力】</t>
        </is>
      </c>
      <c r="G14" s="22" t="inlineStr">
        <is>
          <t>確認状況【入力・選択】</t>
        </is>
      </c>
      <c r="H14" s="14" t="inlineStr">
        <is>
          <t>同一呼出の判定【自動】</t>
        </is>
      </c>
      <c r="I14" s="14" t="inlineStr">
        <is>
          <t>対象会社の判定【自動】</t>
        </is>
      </c>
    </row>
    <row r="15">
      <c r="A15" s="19" t="n"/>
      <c r="B15" s="15">
        <f>IF(A15="","",IFERROR(INDEX(マスター!$C$6:$C$125,MATCH(A15,マスター!$M$6:$M$125,0))&amp;"","マスター未登録"))</f>
        <v/>
      </c>
      <c r="C15" s="21" t="n"/>
      <c r="D15" s="19" t="n"/>
      <c r="E15" s="19" t="n"/>
      <c r="F15" s="19" t="n"/>
      <c r="G15" s="19" t="n"/>
      <c r="H15" s="15">
        <f>IF(A15="","",IF(COUNTIFS(A$15:A15,A15,C$15:C15,C15)&gt;1,"同一呼出（1回と数える）",""))</f>
        <v/>
      </c>
      <c r="I15" s="15">
        <f>IF(A15="","",IF(OR(B15="製鉄曳船",B15="西日本海運"),"","製鉄曳船・西日本海運以外の船です"))</f>
        <v/>
      </c>
    </row>
    <row r="16">
      <c r="A16" s="19" t="n"/>
      <c r="B16" s="15">
        <f>IF(A16="","",IFERROR(INDEX(マスター!$C$6:$C$125,MATCH(A16,マスター!$M$6:$M$125,0))&amp;"","マスター未登録"))</f>
        <v/>
      </c>
      <c r="C16" s="21" t="n"/>
      <c r="D16" s="19" t="n"/>
      <c r="E16" s="19" t="n"/>
      <c r="F16" s="19" t="n"/>
      <c r="G16" s="19" t="n"/>
      <c r="H16" s="15">
        <f>IF(A16="","",IF(COUNTIFS(A$15:A16,A16,C$15:C16,C16)&gt;1,"同一呼出（1回と数える）",""))</f>
        <v/>
      </c>
      <c r="I16" s="15">
        <f>IF(A16="","",IF(OR(B16="製鉄曳船",B16="西日本海運"),"","製鉄曳船・西日本海運以外の船です"))</f>
        <v/>
      </c>
    </row>
    <row r="17">
      <c r="A17" s="19" t="n"/>
      <c r="B17" s="15">
        <f>IF(A17="","",IFERROR(INDEX(マスター!$C$6:$C$125,MATCH(A17,マスター!$M$6:$M$125,0))&amp;"","マスター未登録"))</f>
        <v/>
      </c>
      <c r="C17" s="21" t="n"/>
      <c r="D17" s="19" t="n"/>
      <c r="E17" s="19" t="n"/>
      <c r="F17" s="19" t="n"/>
      <c r="G17" s="19" t="n"/>
      <c r="H17" s="15">
        <f>IF(A17="","",IF(COUNTIFS(A$15:A17,A17,C$15:C17,C17)&gt;1,"同一呼出（1回と数える）",""))</f>
        <v/>
      </c>
      <c r="I17" s="15">
        <f>IF(A17="","",IF(OR(B17="製鉄曳船",B17="西日本海運"),"","製鉄曳船・西日本海運以外の船です"))</f>
        <v/>
      </c>
    </row>
    <row r="18">
      <c r="A18" s="19" t="n"/>
      <c r="B18" s="15">
        <f>IF(A18="","",IFERROR(INDEX(マスター!$C$6:$C$125,MATCH(A18,マスター!$M$6:$M$125,0))&amp;"","マスター未登録"))</f>
        <v/>
      </c>
      <c r="C18" s="21" t="n"/>
      <c r="D18" s="19" t="n"/>
      <c r="E18" s="19" t="n"/>
      <c r="F18" s="19" t="n"/>
      <c r="G18" s="19" t="n"/>
      <c r="H18" s="15">
        <f>IF(A18="","",IF(COUNTIFS(A$15:A18,A18,C$15:C18,C18)&gt;1,"同一呼出（1回と数える）",""))</f>
        <v/>
      </c>
      <c r="I18" s="15">
        <f>IF(A18="","",IF(OR(B18="製鉄曳船",B18="西日本海運"),"","製鉄曳船・西日本海運以外の船です"))</f>
        <v/>
      </c>
    </row>
    <row r="19">
      <c r="A19" s="19" t="n"/>
      <c r="B19" s="15">
        <f>IF(A19="","",IFERROR(INDEX(マスター!$C$6:$C$125,MATCH(A19,マスター!$M$6:$M$125,0))&amp;"","マスター未登録"))</f>
        <v/>
      </c>
      <c r="C19" s="21" t="n"/>
      <c r="D19" s="19" t="n"/>
      <c r="E19" s="19" t="n"/>
      <c r="F19" s="19" t="n"/>
      <c r="G19" s="19" t="n"/>
      <c r="H19" s="15">
        <f>IF(A19="","",IF(COUNTIFS(A$15:A19,A19,C$15:C19,C19)&gt;1,"同一呼出（1回と数える）",""))</f>
        <v/>
      </c>
      <c r="I19" s="15">
        <f>IF(A19="","",IF(OR(B19="製鉄曳船",B19="西日本海運"),"","製鉄曳船・西日本海運以外の船です"))</f>
        <v/>
      </c>
    </row>
    <row r="20">
      <c r="A20" s="19" t="n"/>
      <c r="B20" s="15">
        <f>IF(A20="","",IFERROR(INDEX(マスター!$C$6:$C$125,MATCH(A20,マスター!$M$6:$M$125,0))&amp;"","マスター未登録"))</f>
        <v/>
      </c>
      <c r="C20" s="21" t="n"/>
      <c r="D20" s="19" t="n"/>
      <c r="E20" s="19" t="n"/>
      <c r="F20" s="19" t="n"/>
      <c r="G20" s="19" t="n"/>
      <c r="H20" s="15">
        <f>IF(A20="","",IF(COUNTIFS(A$15:A20,A20,C$15:C20,C20)&gt;1,"同一呼出（1回と数える）",""))</f>
        <v/>
      </c>
      <c r="I20" s="15">
        <f>IF(A20="","",IF(OR(B20="製鉄曳船",B20="西日本海運"),"","製鉄曳船・西日本海運以外の船です"))</f>
        <v/>
      </c>
    </row>
    <row r="21">
      <c r="A21" s="19" t="n"/>
      <c r="B21" s="15">
        <f>IF(A21="","",IFERROR(INDEX(マスター!$C$6:$C$125,MATCH(A21,マスター!$M$6:$M$125,0))&amp;"","マスター未登録"))</f>
        <v/>
      </c>
      <c r="C21" s="21" t="n"/>
      <c r="D21" s="19" t="n"/>
      <c r="E21" s="19" t="n"/>
      <c r="F21" s="19" t="n"/>
      <c r="G21" s="19" t="n"/>
      <c r="H21" s="15">
        <f>IF(A21="","",IF(COUNTIFS(A$15:A21,A21,C$15:C21,C21)&gt;1,"同一呼出（1回と数える）",""))</f>
        <v/>
      </c>
      <c r="I21" s="15">
        <f>IF(A21="","",IF(OR(B21="製鉄曳船",B21="西日本海運"),"","製鉄曳船・西日本海運以外の船です"))</f>
        <v/>
      </c>
    </row>
    <row r="22">
      <c r="A22" s="19" t="n"/>
      <c r="B22" s="15">
        <f>IF(A22="","",IFERROR(INDEX(マスター!$C$6:$C$125,MATCH(A22,マスター!$M$6:$M$125,0))&amp;"","マスター未登録"))</f>
        <v/>
      </c>
      <c r="C22" s="21" t="n"/>
      <c r="D22" s="19" t="n"/>
      <c r="E22" s="19" t="n"/>
      <c r="F22" s="19" t="n"/>
      <c r="G22" s="19" t="n"/>
      <c r="H22" s="15">
        <f>IF(A22="","",IF(COUNTIFS(A$15:A22,A22,C$15:C22,C22)&gt;1,"同一呼出（1回と数える）",""))</f>
        <v/>
      </c>
      <c r="I22" s="15">
        <f>IF(A22="","",IF(OR(B22="製鉄曳船",B22="西日本海運"),"","製鉄曳船・西日本海運以外の船です"))</f>
        <v/>
      </c>
    </row>
    <row r="24">
      <c r="A24" s="18" t="inlineStr">
        <is>
          <t>■ 変更・キャンセルの記録（作業を選ぶと本船名・前日確定・変更前が自動表示。2回目以降の変更も同じ作業を選んで行を追加）</t>
        </is>
      </c>
    </row>
    <row r="25" ht="60" customHeight="1">
      <c r="A25" s="22" t="inlineStr">
        <is>
          <t>作業の選択【入力・選択】</t>
        </is>
      </c>
      <c r="B25" s="14" t="inlineStr">
        <is>
          <t>作業キー【自動】</t>
        </is>
      </c>
      <c r="C25" s="14" t="inlineStr">
        <is>
          <t>本船名【自動】</t>
        </is>
      </c>
      <c r="D25" s="14" t="inlineStr">
        <is>
          <t>何回目の変更【自動】</t>
        </is>
      </c>
      <c r="E25" s="14" t="inlineStr">
        <is>
          <t>前日確定の時刻【自動】</t>
        </is>
      </c>
      <c r="F25" s="14" t="inlineStr">
        <is>
          <t>前日確定のタグ【自動】</t>
        </is>
      </c>
      <c r="G25" s="22" t="inlineStr">
        <is>
          <t>連絡日時【入力】</t>
        </is>
      </c>
      <c r="H25" s="22" t="inlineStr">
        <is>
          <t>連絡元【入力】</t>
        </is>
      </c>
      <c r="I25" s="14" t="inlineStr">
        <is>
          <t>変更前の時刻【自動】</t>
        </is>
      </c>
      <c r="J25" s="22" t="inlineStr">
        <is>
          <t>変更後の時刻【入力】</t>
        </is>
      </c>
      <c r="K25" s="14" t="inlineStr">
        <is>
          <t>変更前のタグ【自動】</t>
        </is>
      </c>
      <c r="L25" s="22" t="inlineStr">
        <is>
          <t>変更後のタグ①【入力・選択】</t>
        </is>
      </c>
      <c r="M25" s="22" t="inlineStr">
        <is>
          <t>変更後のタグ②【入力・選択】</t>
        </is>
      </c>
      <c r="N25" s="22" t="inlineStr">
        <is>
          <t>変更後のタグ③【入力・選択】</t>
        </is>
      </c>
      <c r="O25" s="22" t="inlineStr">
        <is>
          <t>変更後のタグ④【入力・選択】</t>
        </is>
      </c>
      <c r="P25" s="22" t="inlineStr">
        <is>
          <t>変更後のタグ⑤【入力・選択】</t>
        </is>
      </c>
      <c r="Q25" s="22" t="inlineStr">
        <is>
          <t>変更後のタグ⑥【入力・選択】</t>
        </is>
      </c>
      <c r="R25" s="22" t="inlineStr">
        <is>
          <t>取消し【入力・○】</t>
        </is>
      </c>
      <c r="S25" s="22" t="inlineStr">
        <is>
          <t>取消しの時点【入力・選択】</t>
        </is>
      </c>
      <c r="T25" s="22" t="inlineStr">
        <is>
          <t>理由【入力・選択】</t>
        </is>
      </c>
      <c r="U25" s="22" t="inlineStr">
        <is>
          <t>理由の詳細【入力】</t>
        </is>
      </c>
      <c r="V25" s="22" t="inlineStr">
        <is>
          <t>時間調整【入力・選択】</t>
        </is>
      </c>
      <c r="W25" s="22" t="inlineStr">
        <is>
          <t>時間調整の内容【入力】</t>
        </is>
      </c>
      <c r="X25" s="22" t="inlineStr">
        <is>
          <t>情報元【入力】</t>
        </is>
      </c>
      <c r="Y25" s="22" t="inlineStr">
        <is>
          <t>確認者【入力】</t>
        </is>
      </c>
      <c r="Z25" s="14" t="inlineStr">
        <is>
          <t>照合キー【自動】</t>
        </is>
      </c>
      <c r="AA25" s="14" t="inlineStr">
        <is>
          <t>変更後の時刻（有効）【自動】</t>
        </is>
      </c>
      <c r="AB25" s="14" t="inlineStr">
        <is>
          <t>変更後のタグ（有効）【自動】</t>
        </is>
      </c>
      <c r="AC25" s="14" t="inlineStr">
        <is>
          <t>前回の照合キー【自動】</t>
        </is>
      </c>
    </row>
    <row r="26">
      <c r="A26" s="19" t="n"/>
      <c r="B26" s="15">
        <f>IF(A26="","",IFERROR(INDEX('前日確定'!$C$26:$C$45,MATCH(A26,'前日確定'!$B$26:$B$45,0)),"作業が見つかりません"))</f>
        <v/>
      </c>
      <c r="C26" s="15">
        <f>IF(A26="","",IFERROR(INDEX('前日確定'!$D$26:$D$45,MATCH(A26,'前日確定'!$B$26:$B$45,0)),""))</f>
        <v/>
      </c>
      <c r="D26" s="15">
        <f>IF(B26="","",COUNTIF(B$26:B26,B26))</f>
        <v/>
      </c>
      <c r="E26" s="17">
        <f>IF(A26="","",IFERROR(IF(INDEX('前日確定'!$J$26:$J$45,MATCH(A26,'前日確定'!$B$26:$B$45,0))="","",INDEX('前日確定'!$J$26:$J$45,MATCH(A26,'前日確定'!$B$26:$B$45,0))),""))</f>
        <v/>
      </c>
      <c r="F26" s="15">
        <f>IF(A26="","",IFERROR(INDEX('前日確定'!$R$26:$R$45,MATCH(A26,'前日確定'!$B$26:$B$45,0)),""))</f>
        <v/>
      </c>
      <c r="G26" s="21" t="n"/>
      <c r="H26" s="19" t="n"/>
      <c r="I26" s="17">
        <f>IF(A26="","",E26)</f>
        <v/>
      </c>
      <c r="J26" s="23" t="n"/>
      <c r="K26" s="15">
        <f>IF(A26="","",F26)</f>
        <v/>
      </c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5">
        <f>IF(B26="","",B26&amp;"#"&amp;D26)</f>
        <v/>
      </c>
      <c r="AA26" s="17">
        <f>IF(A26="","",IF(J26="",I26,J26))</f>
        <v/>
      </c>
      <c r="AB26" s="15">
        <f>IF(A26="","",IF(COUNTA(L26:Q26)=0,K26,_xlfn.TEXTJOIN("・",TRUE,L26:Q26)))</f>
        <v/>
      </c>
      <c r="AC26" s="15">
        <f>IF(B26="","",B26&amp;"#"&amp;(D26-1))</f>
        <v/>
      </c>
    </row>
    <row r="27">
      <c r="A27" s="19" t="n"/>
      <c r="B27" s="15">
        <f>IF(A27="","",IFERROR(INDEX('前日確定'!$C$26:$C$45,MATCH(A27,'前日確定'!$B$26:$B$45,0)),"作業が見つかりません"))</f>
        <v/>
      </c>
      <c r="C27" s="15">
        <f>IF(A27="","",IFERROR(INDEX('前日確定'!$D$26:$D$45,MATCH(A27,'前日確定'!$B$26:$B$45,0)),""))</f>
        <v/>
      </c>
      <c r="D27" s="15">
        <f>IF(B27="","",COUNTIF(B$26:B27,B27))</f>
        <v/>
      </c>
      <c r="E27" s="17">
        <f>IF(A27="","",IFERROR(IF(INDEX('前日確定'!$J$26:$J$45,MATCH(A27,'前日確定'!$B$26:$B$45,0))="","",INDEX('前日確定'!$J$26:$J$45,MATCH(A27,'前日確定'!$B$26:$B$45,0))),""))</f>
        <v/>
      </c>
      <c r="F27" s="15">
        <f>IF(A27="","",IFERROR(INDEX('前日確定'!$R$26:$R$45,MATCH(A27,'前日確定'!$B$26:$B$45,0)),""))</f>
        <v/>
      </c>
      <c r="G27" s="21" t="n"/>
      <c r="H27" s="19" t="n"/>
      <c r="I27" s="17">
        <f>IF(A27="","",IF(D27=1,E27,IFERROR(INDEX($AA$26:$AA$26,MATCH(AC27,$Z$26:$Z$26,0)),"")))</f>
        <v/>
      </c>
      <c r="J27" s="23" t="n"/>
      <c r="K27" s="15">
        <f>IF(A27="","",IF(D27=1,F27,IFERROR(INDEX($AB$26:$AB$26,MATCH(AC27,$Z$26:$Z$26,0)),"")))</f>
        <v/>
      </c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5">
        <f>IF(B27="","",B27&amp;"#"&amp;D27)</f>
        <v/>
      </c>
      <c r="AA27" s="17">
        <f>IF(A27="","",IF(J27="",I27,J27))</f>
        <v/>
      </c>
      <c r="AB27" s="15">
        <f>IF(A27="","",IF(COUNTA(L27:Q27)=0,K27,_xlfn.TEXTJOIN("・",TRUE,L27:Q27)))</f>
        <v/>
      </c>
      <c r="AC27" s="15">
        <f>IF(B27="","",B27&amp;"#"&amp;(D27-1))</f>
        <v/>
      </c>
    </row>
    <row r="28">
      <c r="A28" s="19" t="n"/>
      <c r="B28" s="15">
        <f>IF(A28="","",IFERROR(INDEX('前日確定'!$C$26:$C$45,MATCH(A28,'前日確定'!$B$26:$B$45,0)),"作業が見つかりません"))</f>
        <v/>
      </c>
      <c r="C28" s="15">
        <f>IF(A28="","",IFERROR(INDEX('前日確定'!$D$26:$D$45,MATCH(A28,'前日確定'!$B$26:$B$45,0)),""))</f>
        <v/>
      </c>
      <c r="D28" s="15">
        <f>IF(B28="","",COUNTIF(B$26:B28,B28))</f>
        <v/>
      </c>
      <c r="E28" s="17">
        <f>IF(A28="","",IFERROR(IF(INDEX('前日確定'!$J$26:$J$45,MATCH(A28,'前日確定'!$B$26:$B$45,0))="","",INDEX('前日確定'!$J$26:$J$45,MATCH(A28,'前日確定'!$B$26:$B$45,0))),""))</f>
        <v/>
      </c>
      <c r="F28" s="15">
        <f>IF(A28="","",IFERROR(INDEX('前日確定'!$R$26:$R$45,MATCH(A28,'前日確定'!$B$26:$B$45,0)),""))</f>
        <v/>
      </c>
      <c r="G28" s="21" t="n"/>
      <c r="H28" s="19" t="n"/>
      <c r="I28" s="17">
        <f>IF(A28="","",IF(D28=1,E28,IFERROR(INDEX($AA$26:$AA$27,MATCH(AC28,$Z$26:$Z$27,0)),"")))</f>
        <v/>
      </c>
      <c r="J28" s="23" t="n"/>
      <c r="K28" s="15">
        <f>IF(A28="","",IF(D28=1,F28,IFERROR(INDEX($AB$26:$AB$27,MATCH(AC28,$Z$26:$Z$27,0)),"")))</f>
        <v/>
      </c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5">
        <f>IF(B28="","",B28&amp;"#"&amp;D28)</f>
        <v/>
      </c>
      <c r="AA28" s="17">
        <f>IF(A28="","",IF(J28="",I28,J28))</f>
        <v/>
      </c>
      <c r="AB28" s="15">
        <f>IF(A28="","",IF(COUNTA(L28:Q28)=0,K28,_xlfn.TEXTJOIN("・",TRUE,L28:Q28)))</f>
        <v/>
      </c>
      <c r="AC28" s="15">
        <f>IF(B28="","",B28&amp;"#"&amp;(D28-1))</f>
        <v/>
      </c>
    </row>
    <row r="29">
      <c r="A29" s="19" t="n"/>
      <c r="B29" s="15">
        <f>IF(A29="","",IFERROR(INDEX('前日確定'!$C$26:$C$45,MATCH(A29,'前日確定'!$B$26:$B$45,0)),"作業が見つかりません"))</f>
        <v/>
      </c>
      <c r="C29" s="15">
        <f>IF(A29="","",IFERROR(INDEX('前日確定'!$D$26:$D$45,MATCH(A29,'前日確定'!$B$26:$B$45,0)),""))</f>
        <v/>
      </c>
      <c r="D29" s="15">
        <f>IF(B29="","",COUNTIF(B$26:B29,B29))</f>
        <v/>
      </c>
      <c r="E29" s="17">
        <f>IF(A29="","",IFERROR(IF(INDEX('前日確定'!$J$26:$J$45,MATCH(A29,'前日確定'!$B$26:$B$45,0))="","",INDEX('前日確定'!$J$26:$J$45,MATCH(A29,'前日確定'!$B$26:$B$45,0))),""))</f>
        <v/>
      </c>
      <c r="F29" s="15">
        <f>IF(A29="","",IFERROR(INDEX('前日確定'!$R$26:$R$45,MATCH(A29,'前日確定'!$B$26:$B$45,0)),""))</f>
        <v/>
      </c>
      <c r="G29" s="21" t="n"/>
      <c r="H29" s="19" t="n"/>
      <c r="I29" s="17">
        <f>IF(A29="","",IF(D29=1,E29,IFERROR(INDEX($AA$26:$AA$28,MATCH(AC29,$Z$26:$Z$28,0)),"")))</f>
        <v/>
      </c>
      <c r="J29" s="23" t="n"/>
      <c r="K29" s="15">
        <f>IF(A29="","",IF(D29=1,F29,IFERROR(INDEX($AB$26:$AB$28,MATCH(AC29,$Z$26:$Z$28,0)),"")))</f>
        <v/>
      </c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5">
        <f>IF(B29="","",B29&amp;"#"&amp;D29)</f>
        <v/>
      </c>
      <c r="AA29" s="17">
        <f>IF(A29="","",IF(J29="",I29,J29))</f>
        <v/>
      </c>
      <c r="AB29" s="15">
        <f>IF(A29="","",IF(COUNTA(L29:Q29)=0,K29,_xlfn.TEXTJOIN("・",TRUE,L29:Q29)))</f>
        <v/>
      </c>
      <c r="AC29" s="15">
        <f>IF(B29="","",B29&amp;"#"&amp;(D29-1))</f>
        <v/>
      </c>
    </row>
    <row r="30">
      <c r="A30" s="19" t="n"/>
      <c r="B30" s="15">
        <f>IF(A30="","",IFERROR(INDEX('前日確定'!$C$26:$C$45,MATCH(A30,'前日確定'!$B$26:$B$45,0)),"作業が見つかりません"))</f>
        <v/>
      </c>
      <c r="C30" s="15">
        <f>IF(A30="","",IFERROR(INDEX('前日確定'!$D$26:$D$45,MATCH(A30,'前日確定'!$B$26:$B$45,0)),""))</f>
        <v/>
      </c>
      <c r="D30" s="15">
        <f>IF(B30="","",COUNTIF(B$26:B30,B30))</f>
        <v/>
      </c>
      <c r="E30" s="17">
        <f>IF(A30="","",IFERROR(IF(INDEX('前日確定'!$J$26:$J$45,MATCH(A30,'前日確定'!$B$26:$B$45,0))="","",INDEX('前日確定'!$J$26:$J$45,MATCH(A30,'前日確定'!$B$26:$B$45,0))),""))</f>
        <v/>
      </c>
      <c r="F30" s="15">
        <f>IF(A30="","",IFERROR(INDEX('前日確定'!$R$26:$R$45,MATCH(A30,'前日確定'!$B$26:$B$45,0)),""))</f>
        <v/>
      </c>
      <c r="G30" s="21" t="n"/>
      <c r="H30" s="19" t="n"/>
      <c r="I30" s="17">
        <f>IF(A30="","",IF(D30=1,E30,IFERROR(INDEX($AA$26:$AA$29,MATCH(AC30,$Z$26:$Z$29,0)),"")))</f>
        <v/>
      </c>
      <c r="J30" s="23" t="n"/>
      <c r="K30" s="15">
        <f>IF(A30="","",IF(D30=1,F30,IFERROR(INDEX($AB$26:$AB$29,MATCH(AC30,$Z$26:$Z$29,0)),"")))</f>
        <v/>
      </c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5">
        <f>IF(B30="","",B30&amp;"#"&amp;D30)</f>
        <v/>
      </c>
      <c r="AA30" s="17">
        <f>IF(A30="","",IF(J30="",I30,J30))</f>
        <v/>
      </c>
      <c r="AB30" s="15">
        <f>IF(A30="","",IF(COUNTA(L30:Q30)=0,K30,_xlfn.TEXTJOIN("・",TRUE,L30:Q30)))</f>
        <v/>
      </c>
      <c r="AC30" s="15">
        <f>IF(B30="","",B30&amp;"#"&amp;(D30-1))</f>
        <v/>
      </c>
    </row>
    <row r="31">
      <c r="A31" s="19" t="n"/>
      <c r="B31" s="15">
        <f>IF(A31="","",IFERROR(INDEX('前日確定'!$C$26:$C$45,MATCH(A31,'前日確定'!$B$26:$B$45,0)),"作業が見つかりません"))</f>
        <v/>
      </c>
      <c r="C31" s="15">
        <f>IF(A31="","",IFERROR(INDEX('前日確定'!$D$26:$D$45,MATCH(A31,'前日確定'!$B$26:$B$45,0)),""))</f>
        <v/>
      </c>
      <c r="D31" s="15">
        <f>IF(B31="","",COUNTIF(B$26:B31,B31))</f>
        <v/>
      </c>
      <c r="E31" s="17">
        <f>IF(A31="","",IFERROR(IF(INDEX('前日確定'!$J$26:$J$45,MATCH(A31,'前日確定'!$B$26:$B$45,0))="","",INDEX('前日確定'!$J$26:$J$45,MATCH(A31,'前日確定'!$B$26:$B$45,0))),""))</f>
        <v/>
      </c>
      <c r="F31" s="15">
        <f>IF(A31="","",IFERROR(INDEX('前日確定'!$R$26:$R$45,MATCH(A31,'前日確定'!$B$26:$B$45,0)),""))</f>
        <v/>
      </c>
      <c r="G31" s="21" t="n"/>
      <c r="H31" s="19" t="n"/>
      <c r="I31" s="17">
        <f>IF(A31="","",IF(D31=1,E31,IFERROR(INDEX($AA$26:$AA$30,MATCH(AC31,$Z$26:$Z$30,0)),"")))</f>
        <v/>
      </c>
      <c r="J31" s="23" t="n"/>
      <c r="K31" s="15">
        <f>IF(A31="","",IF(D31=1,F31,IFERROR(INDEX($AB$26:$AB$30,MATCH(AC31,$Z$26:$Z$30,0)),"")))</f>
        <v/>
      </c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5">
        <f>IF(B31="","",B31&amp;"#"&amp;D31)</f>
        <v/>
      </c>
      <c r="AA31" s="17">
        <f>IF(A31="","",IF(J31="",I31,J31))</f>
        <v/>
      </c>
      <c r="AB31" s="15">
        <f>IF(A31="","",IF(COUNTA(L31:Q31)=0,K31,_xlfn.TEXTJOIN("・",TRUE,L31:Q31)))</f>
        <v/>
      </c>
      <c r="AC31" s="15">
        <f>IF(B31="","",B31&amp;"#"&amp;(D31-1))</f>
        <v/>
      </c>
    </row>
    <row r="32">
      <c r="A32" s="19" t="n"/>
      <c r="B32" s="15">
        <f>IF(A32="","",IFERROR(INDEX('前日確定'!$C$26:$C$45,MATCH(A32,'前日確定'!$B$26:$B$45,0)),"作業が見つかりません"))</f>
        <v/>
      </c>
      <c r="C32" s="15">
        <f>IF(A32="","",IFERROR(INDEX('前日確定'!$D$26:$D$45,MATCH(A32,'前日確定'!$B$26:$B$45,0)),""))</f>
        <v/>
      </c>
      <c r="D32" s="15">
        <f>IF(B32="","",COUNTIF(B$26:B32,B32))</f>
        <v/>
      </c>
      <c r="E32" s="17">
        <f>IF(A32="","",IFERROR(IF(INDEX('前日確定'!$J$26:$J$45,MATCH(A32,'前日確定'!$B$26:$B$45,0))="","",INDEX('前日確定'!$J$26:$J$45,MATCH(A32,'前日確定'!$B$26:$B$45,0))),""))</f>
        <v/>
      </c>
      <c r="F32" s="15">
        <f>IF(A32="","",IFERROR(INDEX('前日確定'!$R$26:$R$45,MATCH(A32,'前日確定'!$B$26:$B$45,0)),""))</f>
        <v/>
      </c>
      <c r="G32" s="21" t="n"/>
      <c r="H32" s="19" t="n"/>
      <c r="I32" s="17">
        <f>IF(A32="","",IF(D32=1,E32,IFERROR(INDEX($AA$26:$AA$31,MATCH(AC32,$Z$26:$Z$31,0)),"")))</f>
        <v/>
      </c>
      <c r="J32" s="23" t="n"/>
      <c r="K32" s="15">
        <f>IF(A32="","",IF(D32=1,F32,IFERROR(INDEX($AB$26:$AB$31,MATCH(AC32,$Z$26:$Z$31,0)),"")))</f>
        <v/>
      </c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5">
        <f>IF(B32="","",B32&amp;"#"&amp;D32)</f>
        <v/>
      </c>
      <c r="AA32" s="17">
        <f>IF(A32="","",IF(J32="",I32,J32))</f>
        <v/>
      </c>
      <c r="AB32" s="15">
        <f>IF(A32="","",IF(COUNTA(L32:Q32)=0,K32,_xlfn.TEXTJOIN("・",TRUE,L32:Q32)))</f>
        <v/>
      </c>
      <c r="AC32" s="15">
        <f>IF(B32="","",B32&amp;"#"&amp;(D32-1))</f>
        <v/>
      </c>
    </row>
    <row r="33">
      <c r="A33" s="19" t="n"/>
      <c r="B33" s="15">
        <f>IF(A33="","",IFERROR(INDEX('前日確定'!$C$26:$C$45,MATCH(A33,'前日確定'!$B$26:$B$45,0)),"作業が見つかりません"))</f>
        <v/>
      </c>
      <c r="C33" s="15">
        <f>IF(A33="","",IFERROR(INDEX('前日確定'!$D$26:$D$45,MATCH(A33,'前日確定'!$B$26:$B$45,0)),""))</f>
        <v/>
      </c>
      <c r="D33" s="15">
        <f>IF(B33="","",COUNTIF(B$26:B33,B33))</f>
        <v/>
      </c>
      <c r="E33" s="17">
        <f>IF(A33="","",IFERROR(IF(INDEX('前日確定'!$J$26:$J$45,MATCH(A33,'前日確定'!$B$26:$B$45,0))="","",INDEX('前日確定'!$J$26:$J$45,MATCH(A33,'前日確定'!$B$26:$B$45,0))),""))</f>
        <v/>
      </c>
      <c r="F33" s="15">
        <f>IF(A33="","",IFERROR(INDEX('前日確定'!$R$26:$R$45,MATCH(A33,'前日確定'!$B$26:$B$45,0)),""))</f>
        <v/>
      </c>
      <c r="G33" s="21" t="n"/>
      <c r="H33" s="19" t="n"/>
      <c r="I33" s="17">
        <f>IF(A33="","",IF(D33=1,E33,IFERROR(INDEX($AA$26:$AA$32,MATCH(AC33,$Z$26:$Z$32,0)),"")))</f>
        <v/>
      </c>
      <c r="J33" s="23" t="n"/>
      <c r="K33" s="15">
        <f>IF(A33="","",IF(D33=1,F33,IFERROR(INDEX($AB$26:$AB$32,MATCH(AC33,$Z$26:$Z$32,0)),"")))</f>
        <v/>
      </c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5">
        <f>IF(B33="","",B33&amp;"#"&amp;D33)</f>
        <v/>
      </c>
      <c r="AA33" s="17">
        <f>IF(A33="","",IF(J33="",I33,J33))</f>
        <v/>
      </c>
      <c r="AB33" s="15">
        <f>IF(A33="","",IF(COUNTA(L33:Q33)=0,K33,_xlfn.TEXTJOIN("・",TRUE,L33:Q33)))</f>
        <v/>
      </c>
      <c r="AC33" s="15">
        <f>IF(B33="","",B33&amp;"#"&amp;(D33-1))</f>
        <v/>
      </c>
    </row>
    <row r="34">
      <c r="A34" s="19" t="n"/>
      <c r="B34" s="15">
        <f>IF(A34="","",IFERROR(INDEX('前日確定'!$C$26:$C$45,MATCH(A34,'前日確定'!$B$26:$B$45,0)),"作業が見つかりません"))</f>
        <v/>
      </c>
      <c r="C34" s="15">
        <f>IF(A34="","",IFERROR(INDEX('前日確定'!$D$26:$D$45,MATCH(A34,'前日確定'!$B$26:$B$45,0)),""))</f>
        <v/>
      </c>
      <c r="D34" s="15">
        <f>IF(B34="","",COUNTIF(B$26:B34,B34))</f>
        <v/>
      </c>
      <c r="E34" s="17">
        <f>IF(A34="","",IFERROR(IF(INDEX('前日確定'!$J$26:$J$45,MATCH(A34,'前日確定'!$B$26:$B$45,0))="","",INDEX('前日確定'!$J$26:$J$45,MATCH(A34,'前日確定'!$B$26:$B$45,0))),""))</f>
        <v/>
      </c>
      <c r="F34" s="15">
        <f>IF(A34="","",IFERROR(INDEX('前日確定'!$R$26:$R$45,MATCH(A34,'前日確定'!$B$26:$B$45,0)),""))</f>
        <v/>
      </c>
      <c r="G34" s="21" t="n"/>
      <c r="H34" s="19" t="n"/>
      <c r="I34" s="17">
        <f>IF(A34="","",IF(D34=1,E34,IFERROR(INDEX($AA$26:$AA$33,MATCH(AC34,$Z$26:$Z$33,0)),"")))</f>
        <v/>
      </c>
      <c r="J34" s="23" t="n"/>
      <c r="K34" s="15">
        <f>IF(A34="","",IF(D34=1,F34,IFERROR(INDEX($AB$26:$AB$33,MATCH(AC34,$Z$26:$Z$33,0)),"")))</f>
        <v/>
      </c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5">
        <f>IF(B34="","",B34&amp;"#"&amp;D34)</f>
        <v/>
      </c>
      <c r="AA34" s="17">
        <f>IF(A34="","",IF(J34="",I34,J34))</f>
        <v/>
      </c>
      <c r="AB34" s="15">
        <f>IF(A34="","",IF(COUNTA(L34:Q34)=0,K34,_xlfn.TEXTJOIN("・",TRUE,L34:Q34)))</f>
        <v/>
      </c>
      <c r="AC34" s="15">
        <f>IF(B34="","",B34&amp;"#"&amp;(D34-1))</f>
        <v/>
      </c>
    </row>
    <row r="35">
      <c r="A35" s="19" t="n"/>
      <c r="B35" s="15">
        <f>IF(A35="","",IFERROR(INDEX('前日確定'!$C$26:$C$45,MATCH(A35,'前日確定'!$B$26:$B$45,0)),"作業が見つかりません"))</f>
        <v/>
      </c>
      <c r="C35" s="15">
        <f>IF(A35="","",IFERROR(INDEX('前日確定'!$D$26:$D$45,MATCH(A35,'前日確定'!$B$26:$B$45,0)),""))</f>
        <v/>
      </c>
      <c r="D35" s="15">
        <f>IF(B35="","",COUNTIF(B$26:B35,B35))</f>
        <v/>
      </c>
      <c r="E35" s="17">
        <f>IF(A35="","",IFERROR(IF(INDEX('前日確定'!$J$26:$J$45,MATCH(A35,'前日確定'!$B$26:$B$45,0))="","",INDEX('前日確定'!$J$26:$J$45,MATCH(A35,'前日確定'!$B$26:$B$45,0))),""))</f>
        <v/>
      </c>
      <c r="F35" s="15">
        <f>IF(A35="","",IFERROR(INDEX('前日確定'!$R$26:$R$45,MATCH(A35,'前日確定'!$B$26:$B$45,0)),""))</f>
        <v/>
      </c>
      <c r="G35" s="21" t="n"/>
      <c r="H35" s="19" t="n"/>
      <c r="I35" s="17">
        <f>IF(A35="","",IF(D35=1,E35,IFERROR(INDEX($AA$26:$AA$34,MATCH(AC35,$Z$26:$Z$34,0)),"")))</f>
        <v/>
      </c>
      <c r="J35" s="23" t="n"/>
      <c r="K35" s="15">
        <f>IF(A35="","",IF(D35=1,F35,IFERROR(INDEX($AB$26:$AB$34,MATCH(AC35,$Z$26:$Z$34,0)),"")))</f>
        <v/>
      </c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5">
        <f>IF(B35="","",B35&amp;"#"&amp;D35)</f>
        <v/>
      </c>
      <c r="AA35" s="17">
        <f>IF(A35="","",IF(J35="",I35,J35))</f>
        <v/>
      </c>
      <c r="AB35" s="15">
        <f>IF(A35="","",IF(COUNTA(L35:Q35)=0,K35,_xlfn.TEXTJOIN("・",TRUE,L35:Q35)))</f>
        <v/>
      </c>
      <c r="AC35" s="15">
        <f>IF(B35="","",B35&amp;"#"&amp;(D35-1))</f>
        <v/>
      </c>
    </row>
    <row r="36">
      <c r="A36" s="19" t="n"/>
      <c r="B36" s="15">
        <f>IF(A36="","",IFERROR(INDEX('前日確定'!$C$26:$C$45,MATCH(A36,'前日確定'!$B$26:$B$45,0)),"作業が見つかりません"))</f>
        <v/>
      </c>
      <c r="C36" s="15">
        <f>IF(A36="","",IFERROR(INDEX('前日確定'!$D$26:$D$45,MATCH(A36,'前日確定'!$B$26:$B$45,0)),""))</f>
        <v/>
      </c>
      <c r="D36" s="15">
        <f>IF(B36="","",COUNTIF(B$26:B36,B36))</f>
        <v/>
      </c>
      <c r="E36" s="17">
        <f>IF(A36="","",IFERROR(IF(INDEX('前日確定'!$J$26:$J$45,MATCH(A36,'前日確定'!$B$26:$B$45,0))="","",INDEX('前日確定'!$J$26:$J$45,MATCH(A36,'前日確定'!$B$26:$B$45,0))),""))</f>
        <v/>
      </c>
      <c r="F36" s="15">
        <f>IF(A36="","",IFERROR(INDEX('前日確定'!$R$26:$R$45,MATCH(A36,'前日確定'!$B$26:$B$45,0)),""))</f>
        <v/>
      </c>
      <c r="G36" s="21" t="n"/>
      <c r="H36" s="19" t="n"/>
      <c r="I36" s="17">
        <f>IF(A36="","",IF(D36=1,E36,IFERROR(INDEX($AA$26:$AA$35,MATCH(AC36,$Z$26:$Z$35,0)),"")))</f>
        <v/>
      </c>
      <c r="J36" s="23" t="n"/>
      <c r="K36" s="15">
        <f>IF(A36="","",IF(D36=1,F36,IFERROR(INDEX($AB$26:$AB$35,MATCH(AC36,$Z$26:$Z$35,0)),"")))</f>
        <v/>
      </c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5">
        <f>IF(B36="","",B36&amp;"#"&amp;D36)</f>
        <v/>
      </c>
      <c r="AA36" s="17">
        <f>IF(A36="","",IF(J36="",I36,J36))</f>
        <v/>
      </c>
      <c r="AB36" s="15">
        <f>IF(A36="","",IF(COUNTA(L36:Q36)=0,K36,_xlfn.TEXTJOIN("・",TRUE,L36:Q36)))</f>
        <v/>
      </c>
      <c r="AC36" s="15">
        <f>IF(B36="","",B36&amp;"#"&amp;(D36-1))</f>
        <v/>
      </c>
    </row>
    <row r="37">
      <c r="A37" s="19" t="n"/>
      <c r="B37" s="15">
        <f>IF(A37="","",IFERROR(INDEX('前日確定'!$C$26:$C$45,MATCH(A37,'前日確定'!$B$26:$B$45,0)),"作業が見つかりません"))</f>
        <v/>
      </c>
      <c r="C37" s="15">
        <f>IF(A37="","",IFERROR(INDEX('前日確定'!$D$26:$D$45,MATCH(A37,'前日確定'!$B$26:$B$45,0)),""))</f>
        <v/>
      </c>
      <c r="D37" s="15">
        <f>IF(B37="","",COUNTIF(B$26:B37,B37))</f>
        <v/>
      </c>
      <c r="E37" s="17">
        <f>IF(A37="","",IFERROR(IF(INDEX('前日確定'!$J$26:$J$45,MATCH(A37,'前日確定'!$B$26:$B$45,0))="","",INDEX('前日確定'!$J$26:$J$45,MATCH(A37,'前日確定'!$B$26:$B$45,0))),""))</f>
        <v/>
      </c>
      <c r="F37" s="15">
        <f>IF(A37="","",IFERROR(INDEX('前日確定'!$R$26:$R$45,MATCH(A37,'前日確定'!$B$26:$B$45,0)),""))</f>
        <v/>
      </c>
      <c r="G37" s="21" t="n"/>
      <c r="H37" s="19" t="n"/>
      <c r="I37" s="17">
        <f>IF(A37="","",IF(D37=1,E37,IFERROR(INDEX($AA$26:$AA$36,MATCH(AC37,$Z$26:$Z$36,0)),"")))</f>
        <v/>
      </c>
      <c r="J37" s="23" t="n"/>
      <c r="K37" s="15">
        <f>IF(A37="","",IF(D37=1,F37,IFERROR(INDEX($AB$26:$AB$36,MATCH(AC37,$Z$26:$Z$36,0)),"")))</f>
        <v/>
      </c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5">
        <f>IF(B37="","",B37&amp;"#"&amp;D37)</f>
        <v/>
      </c>
      <c r="AA37" s="17">
        <f>IF(A37="","",IF(J37="",I37,J37))</f>
        <v/>
      </c>
      <c r="AB37" s="15">
        <f>IF(A37="","",IF(COUNTA(L37:Q37)=0,K37,_xlfn.TEXTJOIN("・",TRUE,L37:Q37)))</f>
        <v/>
      </c>
      <c r="AC37" s="15">
        <f>IF(B37="","",B37&amp;"#"&amp;(D37-1))</f>
        <v/>
      </c>
    </row>
    <row r="38">
      <c r="A38" s="19" t="n"/>
      <c r="B38" s="15">
        <f>IF(A38="","",IFERROR(INDEX('前日確定'!$C$26:$C$45,MATCH(A38,'前日確定'!$B$26:$B$45,0)),"作業が見つかりません"))</f>
        <v/>
      </c>
      <c r="C38" s="15">
        <f>IF(A38="","",IFERROR(INDEX('前日確定'!$D$26:$D$45,MATCH(A38,'前日確定'!$B$26:$B$45,0)),""))</f>
        <v/>
      </c>
      <c r="D38" s="15">
        <f>IF(B38="","",COUNTIF(B$26:B38,B38))</f>
        <v/>
      </c>
      <c r="E38" s="17">
        <f>IF(A38="","",IFERROR(IF(INDEX('前日確定'!$J$26:$J$45,MATCH(A38,'前日確定'!$B$26:$B$45,0))="","",INDEX('前日確定'!$J$26:$J$45,MATCH(A38,'前日確定'!$B$26:$B$45,0))),""))</f>
        <v/>
      </c>
      <c r="F38" s="15">
        <f>IF(A38="","",IFERROR(INDEX('前日確定'!$R$26:$R$45,MATCH(A38,'前日確定'!$B$26:$B$45,0)),""))</f>
        <v/>
      </c>
      <c r="G38" s="21" t="n"/>
      <c r="H38" s="19" t="n"/>
      <c r="I38" s="17">
        <f>IF(A38="","",IF(D38=1,E38,IFERROR(INDEX($AA$26:$AA$37,MATCH(AC38,$Z$26:$Z$37,0)),"")))</f>
        <v/>
      </c>
      <c r="J38" s="23" t="n"/>
      <c r="K38" s="15">
        <f>IF(A38="","",IF(D38=1,F38,IFERROR(INDEX($AB$26:$AB$37,MATCH(AC38,$Z$26:$Z$37,0)),"")))</f>
        <v/>
      </c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5">
        <f>IF(B38="","",B38&amp;"#"&amp;D38)</f>
        <v/>
      </c>
      <c r="AA38" s="17">
        <f>IF(A38="","",IF(J38="",I38,J38))</f>
        <v/>
      </c>
      <c r="AB38" s="15">
        <f>IF(A38="","",IF(COUNTA(L38:Q38)=0,K38,_xlfn.TEXTJOIN("・",TRUE,L38:Q38)))</f>
        <v/>
      </c>
      <c r="AC38" s="15">
        <f>IF(B38="","",B38&amp;"#"&amp;(D38-1))</f>
        <v/>
      </c>
    </row>
    <row r="39">
      <c r="A39" s="19" t="n"/>
      <c r="B39" s="15">
        <f>IF(A39="","",IFERROR(INDEX('前日確定'!$C$26:$C$45,MATCH(A39,'前日確定'!$B$26:$B$45,0)),"作業が見つかりません"))</f>
        <v/>
      </c>
      <c r="C39" s="15">
        <f>IF(A39="","",IFERROR(INDEX('前日確定'!$D$26:$D$45,MATCH(A39,'前日確定'!$B$26:$B$45,0)),""))</f>
        <v/>
      </c>
      <c r="D39" s="15">
        <f>IF(B39="","",COUNTIF(B$26:B39,B39))</f>
        <v/>
      </c>
      <c r="E39" s="17">
        <f>IF(A39="","",IFERROR(IF(INDEX('前日確定'!$J$26:$J$45,MATCH(A39,'前日確定'!$B$26:$B$45,0))="","",INDEX('前日確定'!$J$26:$J$45,MATCH(A39,'前日確定'!$B$26:$B$45,0))),""))</f>
        <v/>
      </c>
      <c r="F39" s="15">
        <f>IF(A39="","",IFERROR(INDEX('前日確定'!$R$26:$R$45,MATCH(A39,'前日確定'!$B$26:$B$45,0)),""))</f>
        <v/>
      </c>
      <c r="G39" s="21" t="n"/>
      <c r="H39" s="19" t="n"/>
      <c r="I39" s="17">
        <f>IF(A39="","",IF(D39=1,E39,IFERROR(INDEX($AA$26:$AA$38,MATCH(AC39,$Z$26:$Z$38,0)),"")))</f>
        <v/>
      </c>
      <c r="J39" s="23" t="n"/>
      <c r="K39" s="15">
        <f>IF(A39="","",IF(D39=1,F39,IFERROR(INDEX($AB$26:$AB$38,MATCH(AC39,$Z$26:$Z$38,0)),"")))</f>
        <v/>
      </c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5">
        <f>IF(B39="","",B39&amp;"#"&amp;D39)</f>
        <v/>
      </c>
      <c r="AA39" s="17">
        <f>IF(A39="","",IF(J39="",I39,J39))</f>
        <v/>
      </c>
      <c r="AB39" s="15">
        <f>IF(A39="","",IF(COUNTA(L39:Q39)=0,K39,_xlfn.TEXTJOIN("・",TRUE,L39:Q39)))</f>
        <v/>
      </c>
      <c r="AC39" s="15">
        <f>IF(B39="","",B39&amp;"#"&amp;(D39-1))</f>
        <v/>
      </c>
    </row>
    <row r="40">
      <c r="A40" s="19" t="n"/>
      <c r="B40" s="15">
        <f>IF(A40="","",IFERROR(INDEX('前日確定'!$C$26:$C$45,MATCH(A40,'前日確定'!$B$26:$B$45,0)),"作業が見つかりません"))</f>
        <v/>
      </c>
      <c r="C40" s="15">
        <f>IF(A40="","",IFERROR(INDEX('前日確定'!$D$26:$D$45,MATCH(A40,'前日確定'!$B$26:$B$45,0)),""))</f>
        <v/>
      </c>
      <c r="D40" s="15">
        <f>IF(B40="","",COUNTIF(B$26:B40,B40))</f>
        <v/>
      </c>
      <c r="E40" s="17">
        <f>IF(A40="","",IFERROR(IF(INDEX('前日確定'!$J$26:$J$45,MATCH(A40,'前日確定'!$B$26:$B$45,0))="","",INDEX('前日確定'!$J$26:$J$45,MATCH(A40,'前日確定'!$B$26:$B$45,0))),""))</f>
        <v/>
      </c>
      <c r="F40" s="15">
        <f>IF(A40="","",IFERROR(INDEX('前日確定'!$R$26:$R$45,MATCH(A40,'前日確定'!$B$26:$B$45,0)),""))</f>
        <v/>
      </c>
      <c r="G40" s="21" t="n"/>
      <c r="H40" s="19" t="n"/>
      <c r="I40" s="17">
        <f>IF(A40="","",IF(D40=1,E40,IFERROR(INDEX($AA$26:$AA$39,MATCH(AC40,$Z$26:$Z$39,0)),"")))</f>
        <v/>
      </c>
      <c r="J40" s="23" t="n"/>
      <c r="K40" s="15">
        <f>IF(A40="","",IF(D40=1,F40,IFERROR(INDEX($AB$26:$AB$39,MATCH(AC40,$Z$26:$Z$39,0)),"")))</f>
        <v/>
      </c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5">
        <f>IF(B40="","",B40&amp;"#"&amp;D40)</f>
        <v/>
      </c>
      <c r="AA40" s="17">
        <f>IF(A40="","",IF(J40="",I40,J40))</f>
        <v/>
      </c>
      <c r="AB40" s="15">
        <f>IF(A40="","",IF(COUNTA(L40:Q40)=0,K40,_xlfn.TEXTJOIN("・",TRUE,L40:Q40)))</f>
        <v/>
      </c>
      <c r="AC40" s="15">
        <f>IF(B40="","",B40&amp;"#"&amp;(D40-1))</f>
        <v/>
      </c>
    </row>
    <row r="41">
      <c r="A41" s="19" t="n"/>
      <c r="B41" s="15">
        <f>IF(A41="","",IFERROR(INDEX('前日確定'!$C$26:$C$45,MATCH(A41,'前日確定'!$B$26:$B$45,0)),"作業が見つかりません"))</f>
        <v/>
      </c>
      <c r="C41" s="15">
        <f>IF(A41="","",IFERROR(INDEX('前日確定'!$D$26:$D$45,MATCH(A41,'前日確定'!$B$26:$B$45,0)),""))</f>
        <v/>
      </c>
      <c r="D41" s="15">
        <f>IF(B41="","",COUNTIF(B$26:B41,B41))</f>
        <v/>
      </c>
      <c r="E41" s="17">
        <f>IF(A41="","",IFERROR(IF(INDEX('前日確定'!$J$26:$J$45,MATCH(A41,'前日確定'!$B$26:$B$45,0))="","",INDEX('前日確定'!$J$26:$J$45,MATCH(A41,'前日確定'!$B$26:$B$45,0))),""))</f>
        <v/>
      </c>
      <c r="F41" s="15">
        <f>IF(A41="","",IFERROR(INDEX('前日確定'!$R$26:$R$45,MATCH(A41,'前日確定'!$B$26:$B$45,0)),""))</f>
        <v/>
      </c>
      <c r="G41" s="21" t="n"/>
      <c r="H41" s="19" t="n"/>
      <c r="I41" s="17">
        <f>IF(A41="","",IF(D41=1,E41,IFERROR(INDEX($AA$26:$AA$40,MATCH(AC41,$Z$26:$Z$40,0)),"")))</f>
        <v/>
      </c>
      <c r="J41" s="23" t="n"/>
      <c r="K41" s="15">
        <f>IF(A41="","",IF(D41=1,F41,IFERROR(INDEX($AB$26:$AB$40,MATCH(AC41,$Z$26:$Z$40,0)),"")))</f>
        <v/>
      </c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5">
        <f>IF(B41="","",B41&amp;"#"&amp;D41)</f>
        <v/>
      </c>
      <c r="AA41" s="17">
        <f>IF(A41="","",IF(J41="",I41,J41))</f>
        <v/>
      </c>
      <c r="AB41" s="15">
        <f>IF(A41="","",IF(COUNTA(L41:Q41)=0,K41,_xlfn.TEXTJOIN("・",TRUE,L41:Q41)))</f>
        <v/>
      </c>
      <c r="AC41" s="15">
        <f>IF(B41="","",B41&amp;"#"&amp;(D41-1))</f>
        <v/>
      </c>
    </row>
    <row r="42">
      <c r="A42" s="19" t="n"/>
      <c r="B42" s="15">
        <f>IF(A42="","",IFERROR(INDEX('前日確定'!$C$26:$C$45,MATCH(A42,'前日確定'!$B$26:$B$45,0)),"作業が見つかりません"))</f>
        <v/>
      </c>
      <c r="C42" s="15">
        <f>IF(A42="","",IFERROR(INDEX('前日確定'!$D$26:$D$45,MATCH(A42,'前日確定'!$B$26:$B$45,0)),""))</f>
        <v/>
      </c>
      <c r="D42" s="15">
        <f>IF(B42="","",COUNTIF(B$26:B42,B42))</f>
        <v/>
      </c>
      <c r="E42" s="17">
        <f>IF(A42="","",IFERROR(IF(INDEX('前日確定'!$J$26:$J$45,MATCH(A42,'前日確定'!$B$26:$B$45,0))="","",INDEX('前日確定'!$J$26:$J$45,MATCH(A42,'前日確定'!$B$26:$B$45,0))),""))</f>
        <v/>
      </c>
      <c r="F42" s="15">
        <f>IF(A42="","",IFERROR(INDEX('前日確定'!$R$26:$R$45,MATCH(A42,'前日確定'!$B$26:$B$45,0)),""))</f>
        <v/>
      </c>
      <c r="G42" s="21" t="n"/>
      <c r="H42" s="19" t="n"/>
      <c r="I42" s="17">
        <f>IF(A42="","",IF(D42=1,E42,IFERROR(INDEX($AA$26:$AA$41,MATCH(AC42,$Z$26:$Z$41,0)),"")))</f>
        <v/>
      </c>
      <c r="J42" s="23" t="n"/>
      <c r="K42" s="15">
        <f>IF(A42="","",IF(D42=1,F42,IFERROR(INDEX($AB$26:$AB$41,MATCH(AC42,$Z$26:$Z$41,0)),"")))</f>
        <v/>
      </c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5">
        <f>IF(B42="","",B42&amp;"#"&amp;D42)</f>
        <v/>
      </c>
      <c r="AA42" s="17">
        <f>IF(A42="","",IF(J42="",I42,J42))</f>
        <v/>
      </c>
      <c r="AB42" s="15">
        <f>IF(A42="","",IF(COUNTA(L42:Q42)=0,K42,_xlfn.TEXTJOIN("・",TRUE,L42:Q42)))</f>
        <v/>
      </c>
      <c r="AC42" s="15">
        <f>IF(B42="","",B42&amp;"#"&amp;(D42-1))</f>
        <v/>
      </c>
    </row>
    <row r="43">
      <c r="A43" s="19" t="n"/>
      <c r="B43" s="15">
        <f>IF(A43="","",IFERROR(INDEX('前日確定'!$C$26:$C$45,MATCH(A43,'前日確定'!$B$26:$B$45,0)),"作業が見つかりません"))</f>
        <v/>
      </c>
      <c r="C43" s="15">
        <f>IF(A43="","",IFERROR(INDEX('前日確定'!$D$26:$D$45,MATCH(A43,'前日確定'!$B$26:$B$45,0)),""))</f>
        <v/>
      </c>
      <c r="D43" s="15">
        <f>IF(B43="","",COUNTIF(B$26:B43,B43))</f>
        <v/>
      </c>
      <c r="E43" s="17">
        <f>IF(A43="","",IFERROR(IF(INDEX('前日確定'!$J$26:$J$45,MATCH(A43,'前日確定'!$B$26:$B$45,0))="","",INDEX('前日確定'!$J$26:$J$45,MATCH(A43,'前日確定'!$B$26:$B$45,0))),""))</f>
        <v/>
      </c>
      <c r="F43" s="15">
        <f>IF(A43="","",IFERROR(INDEX('前日確定'!$R$26:$R$45,MATCH(A43,'前日確定'!$B$26:$B$45,0)),""))</f>
        <v/>
      </c>
      <c r="G43" s="21" t="n"/>
      <c r="H43" s="19" t="n"/>
      <c r="I43" s="17">
        <f>IF(A43="","",IF(D43=1,E43,IFERROR(INDEX($AA$26:$AA$42,MATCH(AC43,$Z$26:$Z$42,0)),"")))</f>
        <v/>
      </c>
      <c r="J43" s="23" t="n"/>
      <c r="K43" s="15">
        <f>IF(A43="","",IF(D43=1,F43,IFERROR(INDEX($AB$26:$AB$42,MATCH(AC43,$Z$26:$Z$42,0)),"")))</f>
        <v/>
      </c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5">
        <f>IF(B43="","",B43&amp;"#"&amp;D43)</f>
        <v/>
      </c>
      <c r="AA43" s="17">
        <f>IF(A43="","",IF(J43="",I43,J43))</f>
        <v/>
      </c>
      <c r="AB43" s="15">
        <f>IF(A43="","",IF(COUNTA(L43:Q43)=0,K43,_xlfn.TEXTJOIN("・",TRUE,L43:Q43)))</f>
        <v/>
      </c>
      <c r="AC43" s="15">
        <f>IF(B43="","",B43&amp;"#"&amp;(D43-1))</f>
        <v/>
      </c>
    </row>
    <row r="44">
      <c r="A44" s="19" t="n"/>
      <c r="B44" s="15">
        <f>IF(A44="","",IFERROR(INDEX('前日確定'!$C$26:$C$45,MATCH(A44,'前日確定'!$B$26:$B$45,0)),"作業が見つかりません"))</f>
        <v/>
      </c>
      <c r="C44" s="15">
        <f>IF(A44="","",IFERROR(INDEX('前日確定'!$D$26:$D$45,MATCH(A44,'前日確定'!$B$26:$B$45,0)),""))</f>
        <v/>
      </c>
      <c r="D44" s="15">
        <f>IF(B44="","",COUNTIF(B$26:B44,B44))</f>
        <v/>
      </c>
      <c r="E44" s="17">
        <f>IF(A44="","",IFERROR(IF(INDEX('前日確定'!$J$26:$J$45,MATCH(A44,'前日確定'!$B$26:$B$45,0))="","",INDEX('前日確定'!$J$26:$J$45,MATCH(A44,'前日確定'!$B$26:$B$45,0))),""))</f>
        <v/>
      </c>
      <c r="F44" s="15">
        <f>IF(A44="","",IFERROR(INDEX('前日確定'!$R$26:$R$45,MATCH(A44,'前日確定'!$B$26:$B$45,0)),""))</f>
        <v/>
      </c>
      <c r="G44" s="21" t="n"/>
      <c r="H44" s="19" t="n"/>
      <c r="I44" s="17">
        <f>IF(A44="","",IF(D44=1,E44,IFERROR(INDEX($AA$26:$AA$43,MATCH(AC44,$Z$26:$Z$43,0)),"")))</f>
        <v/>
      </c>
      <c r="J44" s="23" t="n"/>
      <c r="K44" s="15">
        <f>IF(A44="","",IF(D44=1,F44,IFERROR(INDEX($AB$26:$AB$43,MATCH(AC44,$Z$26:$Z$43,0)),"")))</f>
        <v/>
      </c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5">
        <f>IF(B44="","",B44&amp;"#"&amp;D44)</f>
        <v/>
      </c>
      <c r="AA44" s="17">
        <f>IF(A44="","",IF(J44="",I44,J44))</f>
        <v/>
      </c>
      <c r="AB44" s="15">
        <f>IF(A44="","",IF(COUNTA(L44:Q44)=0,K44,_xlfn.TEXTJOIN("・",TRUE,L44:Q44)))</f>
        <v/>
      </c>
      <c r="AC44" s="15">
        <f>IF(B44="","",B44&amp;"#"&amp;(D44-1))</f>
        <v/>
      </c>
    </row>
    <row r="45">
      <c r="A45" s="19" t="n"/>
      <c r="B45" s="15">
        <f>IF(A45="","",IFERROR(INDEX('前日確定'!$C$26:$C$45,MATCH(A45,'前日確定'!$B$26:$B$45,0)),"作業が見つかりません"))</f>
        <v/>
      </c>
      <c r="C45" s="15">
        <f>IF(A45="","",IFERROR(INDEX('前日確定'!$D$26:$D$45,MATCH(A45,'前日確定'!$B$26:$B$45,0)),""))</f>
        <v/>
      </c>
      <c r="D45" s="15">
        <f>IF(B45="","",COUNTIF(B$26:B45,B45))</f>
        <v/>
      </c>
      <c r="E45" s="17">
        <f>IF(A45="","",IFERROR(IF(INDEX('前日確定'!$J$26:$J$45,MATCH(A45,'前日確定'!$B$26:$B$45,0))="","",INDEX('前日確定'!$J$26:$J$45,MATCH(A45,'前日確定'!$B$26:$B$45,0))),""))</f>
        <v/>
      </c>
      <c r="F45" s="15">
        <f>IF(A45="","",IFERROR(INDEX('前日確定'!$R$26:$R$45,MATCH(A45,'前日確定'!$B$26:$B$45,0)),""))</f>
        <v/>
      </c>
      <c r="G45" s="21" t="n"/>
      <c r="H45" s="19" t="n"/>
      <c r="I45" s="17">
        <f>IF(A45="","",IF(D45=1,E45,IFERROR(INDEX($AA$26:$AA$44,MATCH(AC45,$Z$26:$Z$44,0)),"")))</f>
        <v/>
      </c>
      <c r="J45" s="23" t="n"/>
      <c r="K45" s="15">
        <f>IF(A45="","",IF(D45=1,F45,IFERROR(INDEX($AB$26:$AB$44,MATCH(AC45,$Z$26:$Z$44,0)),"")))</f>
        <v/>
      </c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5">
        <f>IF(B45="","",B45&amp;"#"&amp;D45)</f>
        <v/>
      </c>
      <c r="AA45" s="17">
        <f>IF(A45="","",IF(J45="",I45,J45))</f>
        <v/>
      </c>
      <c r="AB45" s="15">
        <f>IF(A45="","",IF(COUNTA(L45:Q45)=0,K45,_xlfn.TEXTJOIN("・",TRUE,L45:Q45)))</f>
        <v/>
      </c>
      <c r="AC45" s="15">
        <f>IF(B45="","",B45&amp;"#"&amp;(D45-1))</f>
        <v/>
      </c>
    </row>
    <row r="46">
      <c r="A46" s="19" t="n"/>
      <c r="B46" s="15">
        <f>IF(A46="","",IFERROR(INDEX('前日確定'!$C$26:$C$45,MATCH(A46,'前日確定'!$B$26:$B$45,0)),"作業が見つかりません"))</f>
        <v/>
      </c>
      <c r="C46" s="15">
        <f>IF(A46="","",IFERROR(INDEX('前日確定'!$D$26:$D$45,MATCH(A46,'前日確定'!$B$26:$B$45,0)),""))</f>
        <v/>
      </c>
      <c r="D46" s="15">
        <f>IF(B46="","",COUNTIF(B$26:B46,B46))</f>
        <v/>
      </c>
      <c r="E46" s="17">
        <f>IF(A46="","",IFERROR(IF(INDEX('前日確定'!$J$26:$J$45,MATCH(A46,'前日確定'!$B$26:$B$45,0))="","",INDEX('前日確定'!$J$26:$J$45,MATCH(A46,'前日確定'!$B$26:$B$45,0))),""))</f>
        <v/>
      </c>
      <c r="F46" s="15">
        <f>IF(A46="","",IFERROR(INDEX('前日確定'!$R$26:$R$45,MATCH(A46,'前日確定'!$B$26:$B$45,0)),""))</f>
        <v/>
      </c>
      <c r="G46" s="21" t="n"/>
      <c r="H46" s="19" t="n"/>
      <c r="I46" s="17">
        <f>IF(A46="","",IF(D46=1,E46,IFERROR(INDEX($AA$26:$AA$45,MATCH(AC46,$Z$26:$Z$45,0)),"")))</f>
        <v/>
      </c>
      <c r="J46" s="23" t="n"/>
      <c r="K46" s="15">
        <f>IF(A46="","",IF(D46=1,F46,IFERROR(INDEX($AB$26:$AB$45,MATCH(AC46,$Z$26:$Z$45,0)),"")))</f>
        <v/>
      </c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5">
        <f>IF(B46="","",B46&amp;"#"&amp;D46)</f>
        <v/>
      </c>
      <c r="AA46" s="17">
        <f>IF(A46="","",IF(J46="",I46,J46))</f>
        <v/>
      </c>
      <c r="AB46" s="15">
        <f>IF(A46="","",IF(COUNTA(L46:Q46)=0,K46,_xlfn.TEXTJOIN("・",TRUE,L46:Q46)))</f>
        <v/>
      </c>
      <c r="AC46" s="15">
        <f>IF(B46="","",B46&amp;"#"&amp;(D46-1))</f>
        <v/>
      </c>
    </row>
    <row r="47">
      <c r="A47" s="19" t="n"/>
      <c r="B47" s="15">
        <f>IF(A47="","",IFERROR(INDEX('前日確定'!$C$26:$C$45,MATCH(A47,'前日確定'!$B$26:$B$45,0)),"作業が見つかりません"))</f>
        <v/>
      </c>
      <c r="C47" s="15">
        <f>IF(A47="","",IFERROR(INDEX('前日確定'!$D$26:$D$45,MATCH(A47,'前日確定'!$B$26:$B$45,0)),""))</f>
        <v/>
      </c>
      <c r="D47" s="15">
        <f>IF(B47="","",COUNTIF(B$26:B47,B47))</f>
        <v/>
      </c>
      <c r="E47" s="17">
        <f>IF(A47="","",IFERROR(IF(INDEX('前日確定'!$J$26:$J$45,MATCH(A47,'前日確定'!$B$26:$B$45,0))="","",INDEX('前日確定'!$J$26:$J$45,MATCH(A47,'前日確定'!$B$26:$B$45,0))),""))</f>
        <v/>
      </c>
      <c r="F47" s="15">
        <f>IF(A47="","",IFERROR(INDEX('前日確定'!$R$26:$R$45,MATCH(A47,'前日確定'!$B$26:$B$45,0)),""))</f>
        <v/>
      </c>
      <c r="G47" s="21" t="n"/>
      <c r="H47" s="19" t="n"/>
      <c r="I47" s="17">
        <f>IF(A47="","",IF(D47=1,E47,IFERROR(INDEX($AA$26:$AA$46,MATCH(AC47,$Z$26:$Z$46,0)),"")))</f>
        <v/>
      </c>
      <c r="J47" s="23" t="n"/>
      <c r="K47" s="15">
        <f>IF(A47="","",IF(D47=1,F47,IFERROR(INDEX($AB$26:$AB$46,MATCH(AC47,$Z$26:$Z$46,0)),"")))</f>
        <v/>
      </c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5">
        <f>IF(B47="","",B47&amp;"#"&amp;D47)</f>
        <v/>
      </c>
      <c r="AA47" s="17">
        <f>IF(A47="","",IF(J47="",I47,J47))</f>
        <v/>
      </c>
      <c r="AB47" s="15">
        <f>IF(A47="","",IF(COUNTA(L47:Q47)=0,K47,_xlfn.TEXTJOIN("・",TRUE,L47:Q47)))</f>
        <v/>
      </c>
      <c r="AC47" s="15">
        <f>IF(B47="","",B47&amp;"#"&amp;(D47-1))</f>
        <v/>
      </c>
    </row>
    <row r="48">
      <c r="A48" s="19" t="n"/>
      <c r="B48" s="15">
        <f>IF(A48="","",IFERROR(INDEX('前日確定'!$C$26:$C$45,MATCH(A48,'前日確定'!$B$26:$B$45,0)),"作業が見つかりません"))</f>
        <v/>
      </c>
      <c r="C48" s="15">
        <f>IF(A48="","",IFERROR(INDEX('前日確定'!$D$26:$D$45,MATCH(A48,'前日確定'!$B$26:$B$45,0)),""))</f>
        <v/>
      </c>
      <c r="D48" s="15">
        <f>IF(B48="","",COUNTIF(B$26:B48,B48))</f>
        <v/>
      </c>
      <c r="E48" s="17">
        <f>IF(A48="","",IFERROR(IF(INDEX('前日確定'!$J$26:$J$45,MATCH(A48,'前日確定'!$B$26:$B$45,0))="","",INDEX('前日確定'!$J$26:$J$45,MATCH(A48,'前日確定'!$B$26:$B$45,0))),""))</f>
        <v/>
      </c>
      <c r="F48" s="15">
        <f>IF(A48="","",IFERROR(INDEX('前日確定'!$R$26:$R$45,MATCH(A48,'前日確定'!$B$26:$B$45,0)),""))</f>
        <v/>
      </c>
      <c r="G48" s="21" t="n"/>
      <c r="H48" s="19" t="n"/>
      <c r="I48" s="17">
        <f>IF(A48="","",IF(D48=1,E48,IFERROR(INDEX($AA$26:$AA$47,MATCH(AC48,$Z$26:$Z$47,0)),"")))</f>
        <v/>
      </c>
      <c r="J48" s="23" t="n"/>
      <c r="K48" s="15">
        <f>IF(A48="","",IF(D48=1,F48,IFERROR(INDEX($AB$26:$AB$47,MATCH(AC48,$Z$26:$Z$47,0)),"")))</f>
        <v/>
      </c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5">
        <f>IF(B48="","",B48&amp;"#"&amp;D48)</f>
        <v/>
      </c>
      <c r="AA48" s="17">
        <f>IF(A48="","",IF(J48="",I48,J48))</f>
        <v/>
      </c>
      <c r="AB48" s="15">
        <f>IF(A48="","",IF(COUNTA(L48:Q48)=0,K48,_xlfn.TEXTJOIN("・",TRUE,L48:Q48)))</f>
        <v/>
      </c>
      <c r="AC48" s="15">
        <f>IF(B48="","",B48&amp;"#"&amp;(D48-1))</f>
        <v/>
      </c>
    </row>
    <row r="49">
      <c r="A49" s="19" t="n"/>
      <c r="B49" s="15">
        <f>IF(A49="","",IFERROR(INDEX('前日確定'!$C$26:$C$45,MATCH(A49,'前日確定'!$B$26:$B$45,0)),"作業が見つかりません"))</f>
        <v/>
      </c>
      <c r="C49" s="15">
        <f>IF(A49="","",IFERROR(INDEX('前日確定'!$D$26:$D$45,MATCH(A49,'前日確定'!$B$26:$B$45,0)),""))</f>
        <v/>
      </c>
      <c r="D49" s="15">
        <f>IF(B49="","",COUNTIF(B$26:B49,B49))</f>
        <v/>
      </c>
      <c r="E49" s="17">
        <f>IF(A49="","",IFERROR(IF(INDEX('前日確定'!$J$26:$J$45,MATCH(A49,'前日確定'!$B$26:$B$45,0))="","",INDEX('前日確定'!$J$26:$J$45,MATCH(A49,'前日確定'!$B$26:$B$45,0))),""))</f>
        <v/>
      </c>
      <c r="F49" s="15">
        <f>IF(A49="","",IFERROR(INDEX('前日確定'!$R$26:$R$45,MATCH(A49,'前日確定'!$B$26:$B$45,0)),""))</f>
        <v/>
      </c>
      <c r="G49" s="21" t="n"/>
      <c r="H49" s="19" t="n"/>
      <c r="I49" s="17">
        <f>IF(A49="","",IF(D49=1,E49,IFERROR(INDEX($AA$26:$AA$48,MATCH(AC49,$Z$26:$Z$48,0)),"")))</f>
        <v/>
      </c>
      <c r="J49" s="23" t="n"/>
      <c r="K49" s="15">
        <f>IF(A49="","",IF(D49=1,F49,IFERROR(INDEX($AB$26:$AB$48,MATCH(AC49,$Z$26:$Z$48,0)),"")))</f>
        <v/>
      </c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5">
        <f>IF(B49="","",B49&amp;"#"&amp;D49)</f>
        <v/>
      </c>
      <c r="AA49" s="17">
        <f>IF(A49="","",IF(J49="",I49,J49))</f>
        <v/>
      </c>
      <c r="AB49" s="15">
        <f>IF(A49="","",IF(COUNTA(L49:Q49)=0,K49,_xlfn.TEXTJOIN("・",TRUE,L49:Q49)))</f>
        <v/>
      </c>
      <c r="AC49" s="15">
        <f>IF(B49="","",B49&amp;"#"&amp;(D49-1))</f>
        <v/>
      </c>
    </row>
    <row r="50">
      <c r="A50" s="19" t="n"/>
      <c r="B50" s="15">
        <f>IF(A50="","",IFERROR(INDEX('前日確定'!$C$26:$C$45,MATCH(A50,'前日確定'!$B$26:$B$45,0)),"作業が見つかりません"))</f>
        <v/>
      </c>
      <c r="C50" s="15">
        <f>IF(A50="","",IFERROR(INDEX('前日確定'!$D$26:$D$45,MATCH(A50,'前日確定'!$B$26:$B$45,0)),""))</f>
        <v/>
      </c>
      <c r="D50" s="15">
        <f>IF(B50="","",COUNTIF(B$26:B50,B50))</f>
        <v/>
      </c>
      <c r="E50" s="17">
        <f>IF(A50="","",IFERROR(IF(INDEX('前日確定'!$J$26:$J$45,MATCH(A50,'前日確定'!$B$26:$B$45,0))="","",INDEX('前日確定'!$J$26:$J$45,MATCH(A50,'前日確定'!$B$26:$B$45,0))),""))</f>
        <v/>
      </c>
      <c r="F50" s="15">
        <f>IF(A50="","",IFERROR(INDEX('前日確定'!$R$26:$R$45,MATCH(A50,'前日確定'!$B$26:$B$45,0)),""))</f>
        <v/>
      </c>
      <c r="G50" s="21" t="n"/>
      <c r="H50" s="19" t="n"/>
      <c r="I50" s="17">
        <f>IF(A50="","",IF(D50=1,E50,IFERROR(INDEX($AA$26:$AA$49,MATCH(AC50,$Z$26:$Z$49,0)),"")))</f>
        <v/>
      </c>
      <c r="J50" s="23" t="n"/>
      <c r="K50" s="15">
        <f>IF(A50="","",IF(D50=1,F50,IFERROR(INDEX($AB$26:$AB$49,MATCH(AC50,$Z$26:$Z$49,0)),"")))</f>
        <v/>
      </c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5">
        <f>IF(B50="","",B50&amp;"#"&amp;D50)</f>
        <v/>
      </c>
      <c r="AA50" s="17">
        <f>IF(A50="","",IF(J50="",I50,J50))</f>
        <v/>
      </c>
      <c r="AB50" s="15">
        <f>IF(A50="","",IF(COUNTA(L50:Q50)=0,K50,_xlfn.TEXTJOIN("・",TRUE,L50:Q50)))</f>
        <v/>
      </c>
      <c r="AC50" s="15">
        <f>IF(B50="","",B50&amp;"#"&amp;(D50-1))</f>
        <v/>
      </c>
    </row>
    <row r="51">
      <c r="A51" s="19" t="n"/>
      <c r="B51" s="15">
        <f>IF(A51="","",IFERROR(INDEX('前日確定'!$C$26:$C$45,MATCH(A51,'前日確定'!$B$26:$B$45,0)),"作業が見つかりません"))</f>
        <v/>
      </c>
      <c r="C51" s="15">
        <f>IF(A51="","",IFERROR(INDEX('前日確定'!$D$26:$D$45,MATCH(A51,'前日確定'!$B$26:$B$45,0)),""))</f>
        <v/>
      </c>
      <c r="D51" s="15">
        <f>IF(B51="","",COUNTIF(B$26:B51,B51))</f>
        <v/>
      </c>
      <c r="E51" s="17">
        <f>IF(A51="","",IFERROR(IF(INDEX('前日確定'!$J$26:$J$45,MATCH(A51,'前日確定'!$B$26:$B$45,0))="","",INDEX('前日確定'!$J$26:$J$45,MATCH(A51,'前日確定'!$B$26:$B$45,0))),""))</f>
        <v/>
      </c>
      <c r="F51" s="15">
        <f>IF(A51="","",IFERROR(INDEX('前日確定'!$R$26:$R$45,MATCH(A51,'前日確定'!$B$26:$B$45,0)),""))</f>
        <v/>
      </c>
      <c r="G51" s="21" t="n"/>
      <c r="H51" s="19" t="n"/>
      <c r="I51" s="17">
        <f>IF(A51="","",IF(D51=1,E51,IFERROR(INDEX($AA$26:$AA$50,MATCH(AC51,$Z$26:$Z$50,0)),"")))</f>
        <v/>
      </c>
      <c r="J51" s="23" t="n"/>
      <c r="K51" s="15">
        <f>IF(A51="","",IF(D51=1,F51,IFERROR(INDEX($AB$26:$AB$50,MATCH(AC51,$Z$26:$Z$50,0)),"")))</f>
        <v/>
      </c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5">
        <f>IF(B51="","",B51&amp;"#"&amp;D51)</f>
        <v/>
      </c>
      <c r="AA51" s="17">
        <f>IF(A51="","",IF(J51="",I51,J51))</f>
        <v/>
      </c>
      <c r="AB51" s="15">
        <f>IF(A51="","",IF(COUNTA(L51:Q51)=0,K51,_xlfn.TEXTJOIN("・",TRUE,L51:Q51)))</f>
        <v/>
      </c>
      <c r="AC51" s="15">
        <f>IF(B51="","",B51&amp;"#"&amp;(D51-1))</f>
        <v/>
      </c>
    </row>
    <row r="52">
      <c r="A52" s="19" t="n"/>
      <c r="B52" s="15">
        <f>IF(A52="","",IFERROR(INDEX('前日確定'!$C$26:$C$45,MATCH(A52,'前日確定'!$B$26:$B$45,0)),"作業が見つかりません"))</f>
        <v/>
      </c>
      <c r="C52" s="15">
        <f>IF(A52="","",IFERROR(INDEX('前日確定'!$D$26:$D$45,MATCH(A52,'前日確定'!$B$26:$B$45,0)),""))</f>
        <v/>
      </c>
      <c r="D52" s="15">
        <f>IF(B52="","",COUNTIF(B$26:B52,B52))</f>
        <v/>
      </c>
      <c r="E52" s="17">
        <f>IF(A52="","",IFERROR(IF(INDEX('前日確定'!$J$26:$J$45,MATCH(A52,'前日確定'!$B$26:$B$45,0))="","",INDEX('前日確定'!$J$26:$J$45,MATCH(A52,'前日確定'!$B$26:$B$45,0))),""))</f>
        <v/>
      </c>
      <c r="F52" s="15">
        <f>IF(A52="","",IFERROR(INDEX('前日確定'!$R$26:$R$45,MATCH(A52,'前日確定'!$B$26:$B$45,0)),""))</f>
        <v/>
      </c>
      <c r="G52" s="21" t="n"/>
      <c r="H52" s="19" t="n"/>
      <c r="I52" s="17">
        <f>IF(A52="","",IF(D52=1,E52,IFERROR(INDEX($AA$26:$AA$51,MATCH(AC52,$Z$26:$Z$51,0)),"")))</f>
        <v/>
      </c>
      <c r="J52" s="23" t="n"/>
      <c r="K52" s="15">
        <f>IF(A52="","",IF(D52=1,F52,IFERROR(INDEX($AB$26:$AB$51,MATCH(AC52,$Z$26:$Z$51,0)),"")))</f>
        <v/>
      </c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5">
        <f>IF(B52="","",B52&amp;"#"&amp;D52)</f>
        <v/>
      </c>
      <c r="AA52" s="17">
        <f>IF(A52="","",IF(J52="",I52,J52))</f>
        <v/>
      </c>
      <c r="AB52" s="15">
        <f>IF(A52="","",IF(COUNTA(L52:Q52)=0,K52,_xlfn.TEXTJOIN("・",TRUE,L52:Q52)))</f>
        <v/>
      </c>
      <c r="AC52" s="15">
        <f>IF(B52="","",B52&amp;"#"&amp;(D52-1))</f>
        <v/>
      </c>
    </row>
    <row r="53">
      <c r="A53" s="19" t="n"/>
      <c r="B53" s="15">
        <f>IF(A53="","",IFERROR(INDEX('前日確定'!$C$26:$C$45,MATCH(A53,'前日確定'!$B$26:$B$45,0)),"作業が見つかりません"))</f>
        <v/>
      </c>
      <c r="C53" s="15">
        <f>IF(A53="","",IFERROR(INDEX('前日確定'!$D$26:$D$45,MATCH(A53,'前日確定'!$B$26:$B$45,0)),""))</f>
        <v/>
      </c>
      <c r="D53" s="15">
        <f>IF(B53="","",COUNTIF(B$26:B53,B53))</f>
        <v/>
      </c>
      <c r="E53" s="17">
        <f>IF(A53="","",IFERROR(IF(INDEX('前日確定'!$J$26:$J$45,MATCH(A53,'前日確定'!$B$26:$B$45,0))="","",INDEX('前日確定'!$J$26:$J$45,MATCH(A53,'前日確定'!$B$26:$B$45,0))),""))</f>
        <v/>
      </c>
      <c r="F53" s="15">
        <f>IF(A53="","",IFERROR(INDEX('前日確定'!$R$26:$R$45,MATCH(A53,'前日確定'!$B$26:$B$45,0)),""))</f>
        <v/>
      </c>
      <c r="G53" s="21" t="n"/>
      <c r="H53" s="19" t="n"/>
      <c r="I53" s="17">
        <f>IF(A53="","",IF(D53=1,E53,IFERROR(INDEX($AA$26:$AA$52,MATCH(AC53,$Z$26:$Z$52,0)),"")))</f>
        <v/>
      </c>
      <c r="J53" s="23" t="n"/>
      <c r="K53" s="15">
        <f>IF(A53="","",IF(D53=1,F53,IFERROR(INDEX($AB$26:$AB$52,MATCH(AC53,$Z$26:$Z$52,0)),"")))</f>
        <v/>
      </c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5">
        <f>IF(B53="","",B53&amp;"#"&amp;D53)</f>
        <v/>
      </c>
      <c r="AA53" s="17">
        <f>IF(A53="","",IF(J53="",I53,J53))</f>
        <v/>
      </c>
      <c r="AB53" s="15">
        <f>IF(A53="","",IF(COUNTA(L53:Q53)=0,K53,_xlfn.TEXTJOIN("・",TRUE,L53:Q53)))</f>
        <v/>
      </c>
      <c r="AC53" s="15">
        <f>IF(B53="","",B53&amp;"#"&amp;(D53-1))</f>
        <v/>
      </c>
    </row>
    <row r="54">
      <c r="A54" s="19" t="n"/>
      <c r="B54" s="15">
        <f>IF(A54="","",IFERROR(INDEX('前日確定'!$C$26:$C$45,MATCH(A54,'前日確定'!$B$26:$B$45,0)),"作業が見つかりません"))</f>
        <v/>
      </c>
      <c r="C54" s="15">
        <f>IF(A54="","",IFERROR(INDEX('前日確定'!$D$26:$D$45,MATCH(A54,'前日確定'!$B$26:$B$45,0)),""))</f>
        <v/>
      </c>
      <c r="D54" s="15">
        <f>IF(B54="","",COUNTIF(B$26:B54,B54))</f>
        <v/>
      </c>
      <c r="E54" s="17">
        <f>IF(A54="","",IFERROR(IF(INDEX('前日確定'!$J$26:$J$45,MATCH(A54,'前日確定'!$B$26:$B$45,0))="","",INDEX('前日確定'!$J$26:$J$45,MATCH(A54,'前日確定'!$B$26:$B$45,0))),""))</f>
        <v/>
      </c>
      <c r="F54" s="15">
        <f>IF(A54="","",IFERROR(INDEX('前日確定'!$R$26:$R$45,MATCH(A54,'前日確定'!$B$26:$B$45,0)),""))</f>
        <v/>
      </c>
      <c r="G54" s="21" t="n"/>
      <c r="H54" s="19" t="n"/>
      <c r="I54" s="17">
        <f>IF(A54="","",IF(D54=1,E54,IFERROR(INDEX($AA$26:$AA$53,MATCH(AC54,$Z$26:$Z$53,0)),"")))</f>
        <v/>
      </c>
      <c r="J54" s="23" t="n"/>
      <c r="K54" s="15">
        <f>IF(A54="","",IF(D54=1,F54,IFERROR(INDEX($AB$26:$AB$53,MATCH(AC54,$Z$26:$Z$53,0)),"")))</f>
        <v/>
      </c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5">
        <f>IF(B54="","",B54&amp;"#"&amp;D54)</f>
        <v/>
      </c>
      <c r="AA54" s="17">
        <f>IF(A54="","",IF(J54="",I54,J54))</f>
        <v/>
      </c>
      <c r="AB54" s="15">
        <f>IF(A54="","",IF(COUNTA(L54:Q54)=0,K54,_xlfn.TEXTJOIN("・",TRUE,L54:Q54)))</f>
        <v/>
      </c>
      <c r="AC54" s="15">
        <f>IF(B54="","",B54&amp;"#"&amp;(D54-1))</f>
        <v/>
      </c>
    </row>
    <row r="55">
      <c r="A55" s="19" t="n"/>
      <c r="B55" s="15">
        <f>IF(A55="","",IFERROR(INDEX('前日確定'!$C$26:$C$45,MATCH(A55,'前日確定'!$B$26:$B$45,0)),"作業が見つかりません"))</f>
        <v/>
      </c>
      <c r="C55" s="15">
        <f>IF(A55="","",IFERROR(INDEX('前日確定'!$D$26:$D$45,MATCH(A55,'前日確定'!$B$26:$B$45,0)),""))</f>
        <v/>
      </c>
      <c r="D55" s="15">
        <f>IF(B55="","",COUNTIF(B$26:B55,B55))</f>
        <v/>
      </c>
      <c r="E55" s="17">
        <f>IF(A55="","",IFERROR(IF(INDEX('前日確定'!$J$26:$J$45,MATCH(A55,'前日確定'!$B$26:$B$45,0))="","",INDEX('前日確定'!$J$26:$J$45,MATCH(A55,'前日確定'!$B$26:$B$45,0))),""))</f>
        <v/>
      </c>
      <c r="F55" s="15">
        <f>IF(A55="","",IFERROR(INDEX('前日確定'!$R$26:$R$45,MATCH(A55,'前日確定'!$B$26:$B$45,0)),""))</f>
        <v/>
      </c>
      <c r="G55" s="21" t="n"/>
      <c r="H55" s="19" t="n"/>
      <c r="I55" s="17">
        <f>IF(A55="","",IF(D55=1,E55,IFERROR(INDEX($AA$26:$AA$54,MATCH(AC55,$Z$26:$Z$54,0)),"")))</f>
        <v/>
      </c>
      <c r="J55" s="23" t="n"/>
      <c r="K55" s="15">
        <f>IF(A55="","",IF(D55=1,F55,IFERROR(INDEX($AB$26:$AB$54,MATCH(AC55,$Z$26:$Z$54,0)),"")))</f>
        <v/>
      </c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5">
        <f>IF(B55="","",B55&amp;"#"&amp;D55)</f>
        <v/>
      </c>
      <c r="AA55" s="17">
        <f>IF(A55="","",IF(J55="",I55,J55))</f>
        <v/>
      </c>
      <c r="AB55" s="15">
        <f>IF(A55="","",IF(COUNTA(L55:Q55)=0,K55,_xlfn.TEXTJOIN("・",TRUE,L55:Q55)))</f>
        <v/>
      </c>
      <c r="AC55" s="15">
        <f>IF(B55="","",B55&amp;"#"&amp;(D55-1))</f>
        <v/>
      </c>
    </row>
    <row r="56">
      <c r="A56" s="19" t="n"/>
      <c r="B56" s="15">
        <f>IF(A56="","",IFERROR(INDEX('前日確定'!$C$26:$C$45,MATCH(A56,'前日確定'!$B$26:$B$45,0)),"作業が見つかりません"))</f>
        <v/>
      </c>
      <c r="C56" s="15">
        <f>IF(A56="","",IFERROR(INDEX('前日確定'!$D$26:$D$45,MATCH(A56,'前日確定'!$B$26:$B$45,0)),""))</f>
        <v/>
      </c>
      <c r="D56" s="15">
        <f>IF(B56="","",COUNTIF(B$26:B56,B56))</f>
        <v/>
      </c>
      <c r="E56" s="17">
        <f>IF(A56="","",IFERROR(IF(INDEX('前日確定'!$J$26:$J$45,MATCH(A56,'前日確定'!$B$26:$B$45,0))="","",INDEX('前日確定'!$J$26:$J$45,MATCH(A56,'前日確定'!$B$26:$B$45,0))),""))</f>
        <v/>
      </c>
      <c r="F56" s="15">
        <f>IF(A56="","",IFERROR(INDEX('前日確定'!$R$26:$R$45,MATCH(A56,'前日確定'!$B$26:$B$45,0)),""))</f>
        <v/>
      </c>
      <c r="G56" s="21" t="n"/>
      <c r="H56" s="19" t="n"/>
      <c r="I56" s="17">
        <f>IF(A56="","",IF(D56=1,E56,IFERROR(INDEX($AA$26:$AA$55,MATCH(AC56,$Z$26:$Z$55,0)),"")))</f>
        <v/>
      </c>
      <c r="J56" s="23" t="n"/>
      <c r="K56" s="15">
        <f>IF(A56="","",IF(D56=1,F56,IFERROR(INDEX($AB$26:$AB$55,MATCH(AC56,$Z$26:$Z$55,0)),"")))</f>
        <v/>
      </c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5">
        <f>IF(B56="","",B56&amp;"#"&amp;D56)</f>
        <v/>
      </c>
      <c r="AA56" s="17">
        <f>IF(A56="","",IF(J56="",I56,J56))</f>
        <v/>
      </c>
      <c r="AB56" s="15">
        <f>IF(A56="","",IF(COUNTA(L56:Q56)=0,K56,_xlfn.TEXTJOIN("・",TRUE,L56:Q56)))</f>
        <v/>
      </c>
      <c r="AC56" s="15">
        <f>IF(B56="","",B56&amp;"#"&amp;(D56-1))</f>
        <v/>
      </c>
    </row>
    <row r="57">
      <c r="A57" s="19" t="n"/>
      <c r="B57" s="15">
        <f>IF(A57="","",IFERROR(INDEX('前日確定'!$C$26:$C$45,MATCH(A57,'前日確定'!$B$26:$B$45,0)),"作業が見つかりません"))</f>
        <v/>
      </c>
      <c r="C57" s="15">
        <f>IF(A57="","",IFERROR(INDEX('前日確定'!$D$26:$D$45,MATCH(A57,'前日確定'!$B$26:$B$45,0)),""))</f>
        <v/>
      </c>
      <c r="D57" s="15">
        <f>IF(B57="","",COUNTIF(B$26:B57,B57))</f>
        <v/>
      </c>
      <c r="E57" s="17">
        <f>IF(A57="","",IFERROR(IF(INDEX('前日確定'!$J$26:$J$45,MATCH(A57,'前日確定'!$B$26:$B$45,0))="","",INDEX('前日確定'!$J$26:$J$45,MATCH(A57,'前日確定'!$B$26:$B$45,0))),""))</f>
        <v/>
      </c>
      <c r="F57" s="15">
        <f>IF(A57="","",IFERROR(INDEX('前日確定'!$R$26:$R$45,MATCH(A57,'前日確定'!$B$26:$B$45,0)),""))</f>
        <v/>
      </c>
      <c r="G57" s="21" t="n"/>
      <c r="H57" s="19" t="n"/>
      <c r="I57" s="17">
        <f>IF(A57="","",IF(D57=1,E57,IFERROR(INDEX($AA$26:$AA$56,MATCH(AC57,$Z$26:$Z$56,0)),"")))</f>
        <v/>
      </c>
      <c r="J57" s="23" t="n"/>
      <c r="K57" s="15">
        <f>IF(A57="","",IF(D57=1,F57,IFERROR(INDEX($AB$26:$AB$56,MATCH(AC57,$Z$26:$Z$56,0)),"")))</f>
        <v/>
      </c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5">
        <f>IF(B57="","",B57&amp;"#"&amp;D57)</f>
        <v/>
      </c>
      <c r="AA57" s="17">
        <f>IF(A57="","",IF(J57="",I57,J57))</f>
        <v/>
      </c>
      <c r="AB57" s="15">
        <f>IF(A57="","",IF(COUNTA(L57:Q57)=0,K57,_xlfn.TEXTJOIN("・",TRUE,L57:Q57)))</f>
        <v/>
      </c>
      <c r="AC57" s="15">
        <f>IF(B57="","",B57&amp;"#"&amp;(D57-1))</f>
        <v/>
      </c>
    </row>
    <row r="58">
      <c r="A58" s="19" t="n"/>
      <c r="B58" s="15">
        <f>IF(A58="","",IFERROR(INDEX('前日確定'!$C$26:$C$45,MATCH(A58,'前日確定'!$B$26:$B$45,0)),"作業が見つかりません"))</f>
        <v/>
      </c>
      <c r="C58" s="15">
        <f>IF(A58="","",IFERROR(INDEX('前日確定'!$D$26:$D$45,MATCH(A58,'前日確定'!$B$26:$B$45,0)),""))</f>
        <v/>
      </c>
      <c r="D58" s="15">
        <f>IF(B58="","",COUNTIF(B$26:B58,B58))</f>
        <v/>
      </c>
      <c r="E58" s="17">
        <f>IF(A58="","",IFERROR(IF(INDEX('前日確定'!$J$26:$J$45,MATCH(A58,'前日確定'!$B$26:$B$45,0))="","",INDEX('前日確定'!$J$26:$J$45,MATCH(A58,'前日確定'!$B$26:$B$45,0))),""))</f>
        <v/>
      </c>
      <c r="F58" s="15">
        <f>IF(A58="","",IFERROR(INDEX('前日確定'!$R$26:$R$45,MATCH(A58,'前日確定'!$B$26:$B$45,0)),""))</f>
        <v/>
      </c>
      <c r="G58" s="21" t="n"/>
      <c r="H58" s="19" t="n"/>
      <c r="I58" s="17">
        <f>IF(A58="","",IF(D58=1,E58,IFERROR(INDEX($AA$26:$AA$57,MATCH(AC58,$Z$26:$Z$57,0)),"")))</f>
        <v/>
      </c>
      <c r="J58" s="23" t="n"/>
      <c r="K58" s="15">
        <f>IF(A58="","",IF(D58=1,F58,IFERROR(INDEX($AB$26:$AB$57,MATCH(AC58,$Z$26:$Z$57,0)),"")))</f>
        <v/>
      </c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5">
        <f>IF(B58="","",B58&amp;"#"&amp;D58)</f>
        <v/>
      </c>
      <c r="AA58" s="17">
        <f>IF(A58="","",IF(J58="",I58,J58))</f>
        <v/>
      </c>
      <c r="AB58" s="15">
        <f>IF(A58="","",IF(COUNTA(L58:Q58)=0,K58,_xlfn.TEXTJOIN("・",TRUE,L58:Q58)))</f>
        <v/>
      </c>
      <c r="AC58" s="15">
        <f>IF(B58="","",B58&amp;"#"&amp;(D58-1))</f>
        <v/>
      </c>
    </row>
    <row r="59">
      <c r="A59" s="19" t="n"/>
      <c r="B59" s="15">
        <f>IF(A59="","",IFERROR(INDEX('前日確定'!$C$26:$C$45,MATCH(A59,'前日確定'!$B$26:$B$45,0)),"作業が見つかりません"))</f>
        <v/>
      </c>
      <c r="C59" s="15">
        <f>IF(A59="","",IFERROR(INDEX('前日確定'!$D$26:$D$45,MATCH(A59,'前日確定'!$B$26:$B$45,0)),""))</f>
        <v/>
      </c>
      <c r="D59" s="15">
        <f>IF(B59="","",COUNTIF(B$26:B59,B59))</f>
        <v/>
      </c>
      <c r="E59" s="17">
        <f>IF(A59="","",IFERROR(IF(INDEX('前日確定'!$J$26:$J$45,MATCH(A59,'前日確定'!$B$26:$B$45,0))="","",INDEX('前日確定'!$J$26:$J$45,MATCH(A59,'前日確定'!$B$26:$B$45,0))),""))</f>
        <v/>
      </c>
      <c r="F59" s="15">
        <f>IF(A59="","",IFERROR(INDEX('前日確定'!$R$26:$R$45,MATCH(A59,'前日確定'!$B$26:$B$45,0)),""))</f>
        <v/>
      </c>
      <c r="G59" s="21" t="n"/>
      <c r="H59" s="19" t="n"/>
      <c r="I59" s="17">
        <f>IF(A59="","",IF(D59=1,E59,IFERROR(INDEX($AA$26:$AA$58,MATCH(AC59,$Z$26:$Z$58,0)),"")))</f>
        <v/>
      </c>
      <c r="J59" s="23" t="n"/>
      <c r="K59" s="15">
        <f>IF(A59="","",IF(D59=1,F59,IFERROR(INDEX($AB$26:$AB$58,MATCH(AC59,$Z$26:$Z$58,0)),"")))</f>
        <v/>
      </c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5">
        <f>IF(B59="","",B59&amp;"#"&amp;D59)</f>
        <v/>
      </c>
      <c r="AA59" s="17">
        <f>IF(A59="","",IF(J59="",I59,J59))</f>
        <v/>
      </c>
      <c r="AB59" s="15">
        <f>IF(A59="","",IF(COUNTA(L59:Q59)=0,K59,_xlfn.TEXTJOIN("・",TRUE,L59:Q59)))</f>
        <v/>
      </c>
      <c r="AC59" s="15">
        <f>IF(B59="","",B59&amp;"#"&amp;(D59-1))</f>
        <v/>
      </c>
    </row>
    <row r="60">
      <c r="A60" s="19" t="n"/>
      <c r="B60" s="15">
        <f>IF(A60="","",IFERROR(INDEX('前日確定'!$C$26:$C$45,MATCH(A60,'前日確定'!$B$26:$B$45,0)),"作業が見つかりません"))</f>
        <v/>
      </c>
      <c r="C60" s="15">
        <f>IF(A60="","",IFERROR(INDEX('前日確定'!$D$26:$D$45,MATCH(A60,'前日確定'!$B$26:$B$45,0)),""))</f>
        <v/>
      </c>
      <c r="D60" s="15">
        <f>IF(B60="","",COUNTIF(B$26:B60,B60))</f>
        <v/>
      </c>
      <c r="E60" s="17">
        <f>IF(A60="","",IFERROR(IF(INDEX('前日確定'!$J$26:$J$45,MATCH(A60,'前日確定'!$B$26:$B$45,0))="","",INDEX('前日確定'!$J$26:$J$45,MATCH(A60,'前日確定'!$B$26:$B$45,0))),""))</f>
        <v/>
      </c>
      <c r="F60" s="15">
        <f>IF(A60="","",IFERROR(INDEX('前日確定'!$R$26:$R$45,MATCH(A60,'前日確定'!$B$26:$B$45,0)),""))</f>
        <v/>
      </c>
      <c r="G60" s="21" t="n"/>
      <c r="H60" s="19" t="n"/>
      <c r="I60" s="17">
        <f>IF(A60="","",IF(D60=1,E60,IFERROR(INDEX($AA$26:$AA$59,MATCH(AC60,$Z$26:$Z$59,0)),"")))</f>
        <v/>
      </c>
      <c r="J60" s="23" t="n"/>
      <c r="K60" s="15">
        <f>IF(A60="","",IF(D60=1,F60,IFERROR(INDEX($AB$26:$AB$59,MATCH(AC60,$Z$26:$Z$59,0)),"")))</f>
        <v/>
      </c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5">
        <f>IF(B60="","",B60&amp;"#"&amp;D60)</f>
        <v/>
      </c>
      <c r="AA60" s="17">
        <f>IF(A60="","",IF(J60="",I60,J60))</f>
        <v/>
      </c>
      <c r="AB60" s="15">
        <f>IF(A60="","",IF(COUNTA(L60:Q60)=0,K60,_xlfn.TEXTJOIN("・",TRUE,L60:Q60)))</f>
        <v/>
      </c>
      <c r="AC60" s="15">
        <f>IF(B60="","",B60&amp;"#"&amp;(D60-1))</f>
        <v/>
      </c>
    </row>
    <row r="61">
      <c r="A61" s="19" t="n"/>
      <c r="B61" s="15">
        <f>IF(A61="","",IFERROR(INDEX('前日確定'!$C$26:$C$45,MATCH(A61,'前日確定'!$B$26:$B$45,0)),"作業が見つかりません"))</f>
        <v/>
      </c>
      <c r="C61" s="15">
        <f>IF(A61="","",IFERROR(INDEX('前日確定'!$D$26:$D$45,MATCH(A61,'前日確定'!$B$26:$B$45,0)),""))</f>
        <v/>
      </c>
      <c r="D61" s="15">
        <f>IF(B61="","",COUNTIF(B$26:B61,B61))</f>
        <v/>
      </c>
      <c r="E61" s="17">
        <f>IF(A61="","",IFERROR(IF(INDEX('前日確定'!$J$26:$J$45,MATCH(A61,'前日確定'!$B$26:$B$45,0))="","",INDEX('前日確定'!$J$26:$J$45,MATCH(A61,'前日確定'!$B$26:$B$45,0))),""))</f>
        <v/>
      </c>
      <c r="F61" s="15">
        <f>IF(A61="","",IFERROR(INDEX('前日確定'!$R$26:$R$45,MATCH(A61,'前日確定'!$B$26:$B$45,0)),""))</f>
        <v/>
      </c>
      <c r="G61" s="21" t="n"/>
      <c r="H61" s="19" t="n"/>
      <c r="I61" s="17">
        <f>IF(A61="","",IF(D61=1,E61,IFERROR(INDEX($AA$26:$AA$60,MATCH(AC61,$Z$26:$Z$60,0)),"")))</f>
        <v/>
      </c>
      <c r="J61" s="23" t="n"/>
      <c r="K61" s="15">
        <f>IF(A61="","",IF(D61=1,F61,IFERROR(INDEX($AB$26:$AB$60,MATCH(AC61,$Z$26:$Z$60,0)),"")))</f>
        <v/>
      </c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5">
        <f>IF(B61="","",B61&amp;"#"&amp;D61)</f>
        <v/>
      </c>
      <c r="AA61" s="17">
        <f>IF(A61="","",IF(J61="",I61,J61))</f>
        <v/>
      </c>
      <c r="AB61" s="15">
        <f>IF(A61="","",IF(COUNTA(L61:Q61)=0,K61,_xlfn.TEXTJOIN("・",TRUE,L61:Q61)))</f>
        <v/>
      </c>
      <c r="AC61" s="15">
        <f>IF(B61="","",B61&amp;"#"&amp;(D61-1))</f>
        <v/>
      </c>
    </row>
    <row r="62">
      <c r="A62" s="19" t="n"/>
      <c r="B62" s="15">
        <f>IF(A62="","",IFERROR(INDEX('前日確定'!$C$26:$C$45,MATCH(A62,'前日確定'!$B$26:$B$45,0)),"作業が見つかりません"))</f>
        <v/>
      </c>
      <c r="C62" s="15">
        <f>IF(A62="","",IFERROR(INDEX('前日確定'!$D$26:$D$45,MATCH(A62,'前日確定'!$B$26:$B$45,0)),""))</f>
        <v/>
      </c>
      <c r="D62" s="15">
        <f>IF(B62="","",COUNTIF(B$26:B62,B62))</f>
        <v/>
      </c>
      <c r="E62" s="17">
        <f>IF(A62="","",IFERROR(IF(INDEX('前日確定'!$J$26:$J$45,MATCH(A62,'前日確定'!$B$26:$B$45,0))="","",INDEX('前日確定'!$J$26:$J$45,MATCH(A62,'前日確定'!$B$26:$B$45,0))),""))</f>
        <v/>
      </c>
      <c r="F62" s="15">
        <f>IF(A62="","",IFERROR(INDEX('前日確定'!$R$26:$R$45,MATCH(A62,'前日確定'!$B$26:$B$45,0)),""))</f>
        <v/>
      </c>
      <c r="G62" s="21" t="n"/>
      <c r="H62" s="19" t="n"/>
      <c r="I62" s="17">
        <f>IF(A62="","",IF(D62=1,E62,IFERROR(INDEX($AA$26:$AA$61,MATCH(AC62,$Z$26:$Z$61,0)),"")))</f>
        <v/>
      </c>
      <c r="J62" s="23" t="n"/>
      <c r="K62" s="15">
        <f>IF(A62="","",IF(D62=1,F62,IFERROR(INDEX($AB$26:$AB$61,MATCH(AC62,$Z$26:$Z$61,0)),"")))</f>
        <v/>
      </c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5">
        <f>IF(B62="","",B62&amp;"#"&amp;D62)</f>
        <v/>
      </c>
      <c r="AA62" s="17">
        <f>IF(A62="","",IF(J62="",I62,J62))</f>
        <v/>
      </c>
      <c r="AB62" s="15">
        <f>IF(A62="","",IF(COUNTA(L62:Q62)=0,K62,_xlfn.TEXTJOIN("・",TRUE,L62:Q62)))</f>
        <v/>
      </c>
      <c r="AC62" s="15">
        <f>IF(B62="","",B62&amp;"#"&amp;(D62-1))</f>
        <v/>
      </c>
    </row>
    <row r="63">
      <c r="A63" s="19" t="n"/>
      <c r="B63" s="15">
        <f>IF(A63="","",IFERROR(INDEX('前日確定'!$C$26:$C$45,MATCH(A63,'前日確定'!$B$26:$B$45,0)),"作業が見つかりません"))</f>
        <v/>
      </c>
      <c r="C63" s="15">
        <f>IF(A63="","",IFERROR(INDEX('前日確定'!$D$26:$D$45,MATCH(A63,'前日確定'!$B$26:$B$45,0)),""))</f>
        <v/>
      </c>
      <c r="D63" s="15">
        <f>IF(B63="","",COUNTIF(B$26:B63,B63))</f>
        <v/>
      </c>
      <c r="E63" s="17">
        <f>IF(A63="","",IFERROR(IF(INDEX('前日確定'!$J$26:$J$45,MATCH(A63,'前日確定'!$B$26:$B$45,0))="","",INDEX('前日確定'!$J$26:$J$45,MATCH(A63,'前日確定'!$B$26:$B$45,0))),""))</f>
        <v/>
      </c>
      <c r="F63" s="15">
        <f>IF(A63="","",IFERROR(INDEX('前日確定'!$R$26:$R$45,MATCH(A63,'前日確定'!$B$26:$B$45,0)),""))</f>
        <v/>
      </c>
      <c r="G63" s="21" t="n"/>
      <c r="H63" s="19" t="n"/>
      <c r="I63" s="17">
        <f>IF(A63="","",IF(D63=1,E63,IFERROR(INDEX($AA$26:$AA$62,MATCH(AC63,$Z$26:$Z$62,0)),"")))</f>
        <v/>
      </c>
      <c r="J63" s="23" t="n"/>
      <c r="K63" s="15">
        <f>IF(A63="","",IF(D63=1,F63,IFERROR(INDEX($AB$26:$AB$62,MATCH(AC63,$Z$26:$Z$62,0)),"")))</f>
        <v/>
      </c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5">
        <f>IF(B63="","",B63&amp;"#"&amp;D63)</f>
        <v/>
      </c>
      <c r="AA63" s="17">
        <f>IF(A63="","",IF(J63="",I63,J63))</f>
        <v/>
      </c>
      <c r="AB63" s="15">
        <f>IF(A63="","",IF(COUNTA(L63:Q63)=0,K63,_xlfn.TEXTJOIN("・",TRUE,L63:Q63)))</f>
        <v/>
      </c>
      <c r="AC63" s="15">
        <f>IF(B63="","",B63&amp;"#"&amp;(D63-1))</f>
        <v/>
      </c>
    </row>
    <row r="64">
      <c r="A64" s="19" t="n"/>
      <c r="B64" s="15">
        <f>IF(A64="","",IFERROR(INDEX('前日確定'!$C$26:$C$45,MATCH(A64,'前日確定'!$B$26:$B$45,0)),"作業が見つかりません"))</f>
        <v/>
      </c>
      <c r="C64" s="15">
        <f>IF(A64="","",IFERROR(INDEX('前日確定'!$D$26:$D$45,MATCH(A64,'前日確定'!$B$26:$B$45,0)),""))</f>
        <v/>
      </c>
      <c r="D64" s="15">
        <f>IF(B64="","",COUNTIF(B$26:B64,B64))</f>
        <v/>
      </c>
      <c r="E64" s="17">
        <f>IF(A64="","",IFERROR(IF(INDEX('前日確定'!$J$26:$J$45,MATCH(A64,'前日確定'!$B$26:$B$45,0))="","",INDEX('前日確定'!$J$26:$J$45,MATCH(A64,'前日確定'!$B$26:$B$45,0))),""))</f>
        <v/>
      </c>
      <c r="F64" s="15">
        <f>IF(A64="","",IFERROR(INDEX('前日確定'!$R$26:$R$45,MATCH(A64,'前日確定'!$B$26:$B$45,0)),""))</f>
        <v/>
      </c>
      <c r="G64" s="21" t="n"/>
      <c r="H64" s="19" t="n"/>
      <c r="I64" s="17">
        <f>IF(A64="","",IF(D64=1,E64,IFERROR(INDEX($AA$26:$AA$63,MATCH(AC64,$Z$26:$Z$63,0)),"")))</f>
        <v/>
      </c>
      <c r="J64" s="23" t="n"/>
      <c r="K64" s="15">
        <f>IF(A64="","",IF(D64=1,F64,IFERROR(INDEX($AB$26:$AB$63,MATCH(AC64,$Z$26:$Z$63,0)),"")))</f>
        <v/>
      </c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5">
        <f>IF(B64="","",B64&amp;"#"&amp;D64)</f>
        <v/>
      </c>
      <c r="AA64" s="17">
        <f>IF(A64="","",IF(J64="",I64,J64))</f>
        <v/>
      </c>
      <c r="AB64" s="15">
        <f>IF(A64="","",IF(COUNTA(L64:Q64)=0,K64,_xlfn.TEXTJOIN("・",TRUE,L64:Q64)))</f>
        <v/>
      </c>
      <c r="AC64" s="15">
        <f>IF(B64="","",B64&amp;"#"&amp;(D64-1))</f>
        <v/>
      </c>
    </row>
    <row r="65">
      <c r="A65" s="19" t="n"/>
      <c r="B65" s="15">
        <f>IF(A65="","",IFERROR(INDEX('前日確定'!$C$26:$C$45,MATCH(A65,'前日確定'!$B$26:$B$45,0)),"作業が見つかりません"))</f>
        <v/>
      </c>
      <c r="C65" s="15">
        <f>IF(A65="","",IFERROR(INDEX('前日確定'!$D$26:$D$45,MATCH(A65,'前日確定'!$B$26:$B$45,0)),""))</f>
        <v/>
      </c>
      <c r="D65" s="15">
        <f>IF(B65="","",COUNTIF(B$26:B65,B65))</f>
        <v/>
      </c>
      <c r="E65" s="17">
        <f>IF(A65="","",IFERROR(IF(INDEX('前日確定'!$J$26:$J$45,MATCH(A65,'前日確定'!$B$26:$B$45,0))="","",INDEX('前日確定'!$J$26:$J$45,MATCH(A65,'前日確定'!$B$26:$B$45,0))),""))</f>
        <v/>
      </c>
      <c r="F65" s="15">
        <f>IF(A65="","",IFERROR(INDEX('前日確定'!$R$26:$R$45,MATCH(A65,'前日確定'!$B$26:$B$45,0)),""))</f>
        <v/>
      </c>
      <c r="G65" s="21" t="n"/>
      <c r="H65" s="19" t="n"/>
      <c r="I65" s="17">
        <f>IF(A65="","",IF(D65=1,E65,IFERROR(INDEX($AA$26:$AA$64,MATCH(AC65,$Z$26:$Z$64,0)),"")))</f>
        <v/>
      </c>
      <c r="J65" s="23" t="n"/>
      <c r="K65" s="15">
        <f>IF(A65="","",IF(D65=1,F65,IFERROR(INDEX($AB$26:$AB$64,MATCH(AC65,$Z$26:$Z$64,0)),"")))</f>
        <v/>
      </c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5">
        <f>IF(B65="","",B65&amp;"#"&amp;D65)</f>
        <v/>
      </c>
      <c r="AA65" s="17">
        <f>IF(A65="","",IF(J65="",I65,J65))</f>
        <v/>
      </c>
      <c r="AB65" s="15">
        <f>IF(A65="","",IF(COUNTA(L65:Q65)=0,K65,_xlfn.TEXTJOIN("・",TRUE,L65:Q65)))</f>
        <v/>
      </c>
      <c r="AC65" s="15">
        <f>IF(B65="","",B65&amp;"#"&amp;(D65-1))</f>
        <v/>
      </c>
    </row>
    <row r="66">
      <c r="A66" s="19" t="n"/>
      <c r="B66" s="15">
        <f>IF(A66="","",IFERROR(INDEX('前日確定'!$C$26:$C$45,MATCH(A66,'前日確定'!$B$26:$B$45,0)),"作業が見つかりません"))</f>
        <v/>
      </c>
      <c r="C66" s="15">
        <f>IF(A66="","",IFERROR(INDEX('前日確定'!$D$26:$D$45,MATCH(A66,'前日確定'!$B$26:$B$45,0)),""))</f>
        <v/>
      </c>
      <c r="D66" s="15">
        <f>IF(B66="","",COUNTIF(B$26:B66,B66))</f>
        <v/>
      </c>
      <c r="E66" s="17">
        <f>IF(A66="","",IFERROR(IF(INDEX('前日確定'!$J$26:$J$45,MATCH(A66,'前日確定'!$B$26:$B$45,0))="","",INDEX('前日確定'!$J$26:$J$45,MATCH(A66,'前日確定'!$B$26:$B$45,0))),""))</f>
        <v/>
      </c>
      <c r="F66" s="15">
        <f>IF(A66="","",IFERROR(INDEX('前日確定'!$R$26:$R$45,MATCH(A66,'前日確定'!$B$26:$B$45,0)),""))</f>
        <v/>
      </c>
      <c r="G66" s="21" t="n"/>
      <c r="H66" s="19" t="n"/>
      <c r="I66" s="17">
        <f>IF(A66="","",IF(D66=1,E66,IFERROR(INDEX($AA$26:$AA$65,MATCH(AC66,$Z$26:$Z$65,0)),"")))</f>
        <v/>
      </c>
      <c r="J66" s="23" t="n"/>
      <c r="K66" s="15">
        <f>IF(A66="","",IF(D66=1,F66,IFERROR(INDEX($AB$26:$AB$65,MATCH(AC66,$Z$26:$Z$65,0)),"")))</f>
        <v/>
      </c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5">
        <f>IF(B66="","",B66&amp;"#"&amp;D66)</f>
        <v/>
      </c>
      <c r="AA66" s="17">
        <f>IF(A66="","",IF(J66="",I66,J66))</f>
        <v/>
      </c>
      <c r="AB66" s="15">
        <f>IF(A66="","",IF(COUNTA(L66:Q66)=0,K66,_xlfn.TEXTJOIN("・",TRUE,L66:Q66)))</f>
        <v/>
      </c>
      <c r="AC66" s="15">
        <f>IF(B66="","",B66&amp;"#"&amp;(D66-1))</f>
        <v/>
      </c>
    </row>
    <row r="67">
      <c r="A67" s="19" t="n"/>
      <c r="B67" s="15">
        <f>IF(A67="","",IFERROR(INDEX('前日確定'!$C$26:$C$45,MATCH(A67,'前日確定'!$B$26:$B$45,0)),"作業が見つかりません"))</f>
        <v/>
      </c>
      <c r="C67" s="15">
        <f>IF(A67="","",IFERROR(INDEX('前日確定'!$D$26:$D$45,MATCH(A67,'前日確定'!$B$26:$B$45,0)),""))</f>
        <v/>
      </c>
      <c r="D67" s="15">
        <f>IF(B67="","",COUNTIF(B$26:B67,B67))</f>
        <v/>
      </c>
      <c r="E67" s="17">
        <f>IF(A67="","",IFERROR(IF(INDEX('前日確定'!$J$26:$J$45,MATCH(A67,'前日確定'!$B$26:$B$45,0))="","",INDEX('前日確定'!$J$26:$J$45,MATCH(A67,'前日確定'!$B$26:$B$45,0))),""))</f>
        <v/>
      </c>
      <c r="F67" s="15">
        <f>IF(A67="","",IFERROR(INDEX('前日確定'!$R$26:$R$45,MATCH(A67,'前日確定'!$B$26:$B$45,0)),""))</f>
        <v/>
      </c>
      <c r="G67" s="21" t="n"/>
      <c r="H67" s="19" t="n"/>
      <c r="I67" s="17">
        <f>IF(A67="","",IF(D67=1,E67,IFERROR(INDEX($AA$26:$AA$66,MATCH(AC67,$Z$26:$Z$66,0)),"")))</f>
        <v/>
      </c>
      <c r="J67" s="23" t="n"/>
      <c r="K67" s="15">
        <f>IF(A67="","",IF(D67=1,F67,IFERROR(INDEX($AB$26:$AB$66,MATCH(AC67,$Z$26:$Z$66,0)),"")))</f>
        <v/>
      </c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5">
        <f>IF(B67="","",B67&amp;"#"&amp;D67)</f>
        <v/>
      </c>
      <c r="AA67" s="17">
        <f>IF(A67="","",IF(J67="",I67,J67))</f>
        <v/>
      </c>
      <c r="AB67" s="15">
        <f>IF(A67="","",IF(COUNTA(L67:Q67)=0,K67,_xlfn.TEXTJOIN("・",TRUE,L67:Q67)))</f>
        <v/>
      </c>
      <c r="AC67" s="15">
        <f>IF(B67="","",B67&amp;"#"&amp;(D67-1))</f>
        <v/>
      </c>
    </row>
    <row r="68">
      <c r="A68" s="19" t="n"/>
      <c r="B68" s="15">
        <f>IF(A68="","",IFERROR(INDEX('前日確定'!$C$26:$C$45,MATCH(A68,'前日確定'!$B$26:$B$45,0)),"作業が見つかりません"))</f>
        <v/>
      </c>
      <c r="C68" s="15">
        <f>IF(A68="","",IFERROR(INDEX('前日確定'!$D$26:$D$45,MATCH(A68,'前日確定'!$B$26:$B$45,0)),""))</f>
        <v/>
      </c>
      <c r="D68" s="15">
        <f>IF(B68="","",COUNTIF(B$26:B68,B68))</f>
        <v/>
      </c>
      <c r="E68" s="17">
        <f>IF(A68="","",IFERROR(IF(INDEX('前日確定'!$J$26:$J$45,MATCH(A68,'前日確定'!$B$26:$B$45,0))="","",INDEX('前日確定'!$J$26:$J$45,MATCH(A68,'前日確定'!$B$26:$B$45,0))),""))</f>
        <v/>
      </c>
      <c r="F68" s="15">
        <f>IF(A68="","",IFERROR(INDEX('前日確定'!$R$26:$R$45,MATCH(A68,'前日確定'!$B$26:$B$45,0)),""))</f>
        <v/>
      </c>
      <c r="G68" s="21" t="n"/>
      <c r="H68" s="19" t="n"/>
      <c r="I68" s="17">
        <f>IF(A68="","",IF(D68=1,E68,IFERROR(INDEX($AA$26:$AA$67,MATCH(AC68,$Z$26:$Z$67,0)),"")))</f>
        <v/>
      </c>
      <c r="J68" s="23" t="n"/>
      <c r="K68" s="15">
        <f>IF(A68="","",IF(D68=1,F68,IFERROR(INDEX($AB$26:$AB$67,MATCH(AC68,$Z$26:$Z$67,0)),"")))</f>
        <v/>
      </c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5">
        <f>IF(B68="","",B68&amp;"#"&amp;D68)</f>
        <v/>
      </c>
      <c r="AA68" s="17">
        <f>IF(A68="","",IF(J68="",I68,J68))</f>
        <v/>
      </c>
      <c r="AB68" s="15">
        <f>IF(A68="","",IF(COUNTA(L68:Q68)=0,K68,_xlfn.TEXTJOIN("・",TRUE,L68:Q68)))</f>
        <v/>
      </c>
      <c r="AC68" s="15">
        <f>IF(B68="","",B68&amp;"#"&amp;(D68-1))</f>
        <v/>
      </c>
    </row>
    <row r="69">
      <c r="A69" s="19" t="n"/>
      <c r="B69" s="15">
        <f>IF(A69="","",IFERROR(INDEX('前日確定'!$C$26:$C$45,MATCH(A69,'前日確定'!$B$26:$B$45,0)),"作業が見つかりません"))</f>
        <v/>
      </c>
      <c r="C69" s="15">
        <f>IF(A69="","",IFERROR(INDEX('前日確定'!$D$26:$D$45,MATCH(A69,'前日確定'!$B$26:$B$45,0)),""))</f>
        <v/>
      </c>
      <c r="D69" s="15">
        <f>IF(B69="","",COUNTIF(B$26:B69,B69))</f>
        <v/>
      </c>
      <c r="E69" s="17">
        <f>IF(A69="","",IFERROR(IF(INDEX('前日確定'!$J$26:$J$45,MATCH(A69,'前日確定'!$B$26:$B$45,0))="","",INDEX('前日確定'!$J$26:$J$45,MATCH(A69,'前日確定'!$B$26:$B$45,0))),""))</f>
        <v/>
      </c>
      <c r="F69" s="15">
        <f>IF(A69="","",IFERROR(INDEX('前日確定'!$R$26:$R$45,MATCH(A69,'前日確定'!$B$26:$B$45,0)),""))</f>
        <v/>
      </c>
      <c r="G69" s="21" t="n"/>
      <c r="H69" s="19" t="n"/>
      <c r="I69" s="17">
        <f>IF(A69="","",IF(D69=1,E69,IFERROR(INDEX($AA$26:$AA$68,MATCH(AC69,$Z$26:$Z$68,0)),"")))</f>
        <v/>
      </c>
      <c r="J69" s="23" t="n"/>
      <c r="K69" s="15">
        <f>IF(A69="","",IF(D69=1,F69,IFERROR(INDEX($AB$26:$AB$68,MATCH(AC69,$Z$26:$Z$68,0)),"")))</f>
        <v/>
      </c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5">
        <f>IF(B69="","",B69&amp;"#"&amp;D69)</f>
        <v/>
      </c>
      <c r="AA69" s="17">
        <f>IF(A69="","",IF(J69="",I69,J69))</f>
        <v/>
      </c>
      <c r="AB69" s="15">
        <f>IF(A69="","",IF(COUNTA(L69:Q69)=0,K69,_xlfn.TEXTJOIN("・",TRUE,L69:Q69)))</f>
        <v/>
      </c>
      <c r="AC69" s="15">
        <f>IF(B69="","",B69&amp;"#"&amp;(D69-1))</f>
        <v/>
      </c>
    </row>
    <row r="70">
      <c r="A70" s="19" t="n"/>
      <c r="B70" s="15">
        <f>IF(A70="","",IFERROR(INDEX('前日確定'!$C$26:$C$45,MATCH(A70,'前日確定'!$B$26:$B$45,0)),"作業が見つかりません"))</f>
        <v/>
      </c>
      <c r="C70" s="15">
        <f>IF(A70="","",IFERROR(INDEX('前日確定'!$D$26:$D$45,MATCH(A70,'前日確定'!$B$26:$B$45,0)),""))</f>
        <v/>
      </c>
      <c r="D70" s="15">
        <f>IF(B70="","",COUNTIF(B$26:B70,B70))</f>
        <v/>
      </c>
      <c r="E70" s="17">
        <f>IF(A70="","",IFERROR(IF(INDEX('前日確定'!$J$26:$J$45,MATCH(A70,'前日確定'!$B$26:$B$45,0))="","",INDEX('前日確定'!$J$26:$J$45,MATCH(A70,'前日確定'!$B$26:$B$45,0))),""))</f>
        <v/>
      </c>
      <c r="F70" s="15">
        <f>IF(A70="","",IFERROR(INDEX('前日確定'!$R$26:$R$45,MATCH(A70,'前日確定'!$B$26:$B$45,0)),""))</f>
        <v/>
      </c>
      <c r="G70" s="21" t="n"/>
      <c r="H70" s="19" t="n"/>
      <c r="I70" s="17">
        <f>IF(A70="","",IF(D70=1,E70,IFERROR(INDEX($AA$26:$AA$69,MATCH(AC70,$Z$26:$Z$69,0)),"")))</f>
        <v/>
      </c>
      <c r="J70" s="23" t="n"/>
      <c r="K70" s="15">
        <f>IF(A70="","",IF(D70=1,F70,IFERROR(INDEX($AB$26:$AB$69,MATCH(AC70,$Z$26:$Z$69,0)),"")))</f>
        <v/>
      </c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5">
        <f>IF(B70="","",B70&amp;"#"&amp;D70)</f>
        <v/>
      </c>
      <c r="AA70" s="17">
        <f>IF(A70="","",IF(J70="",I70,J70))</f>
        <v/>
      </c>
      <c r="AB70" s="15">
        <f>IF(A70="","",IF(COUNTA(L70:Q70)=0,K70,_xlfn.TEXTJOIN("・",TRUE,L70:Q70)))</f>
        <v/>
      </c>
      <c r="AC70" s="15">
        <f>IF(B70="","",B70&amp;"#"&amp;(D70-1))</f>
        <v/>
      </c>
    </row>
    <row r="71">
      <c r="A71" s="19" t="n"/>
      <c r="B71" s="15">
        <f>IF(A71="","",IFERROR(INDEX('前日確定'!$C$26:$C$45,MATCH(A71,'前日確定'!$B$26:$B$45,0)),"作業が見つかりません"))</f>
        <v/>
      </c>
      <c r="C71" s="15">
        <f>IF(A71="","",IFERROR(INDEX('前日確定'!$D$26:$D$45,MATCH(A71,'前日確定'!$B$26:$B$45,0)),""))</f>
        <v/>
      </c>
      <c r="D71" s="15">
        <f>IF(B71="","",COUNTIF(B$26:B71,B71))</f>
        <v/>
      </c>
      <c r="E71" s="17">
        <f>IF(A71="","",IFERROR(IF(INDEX('前日確定'!$J$26:$J$45,MATCH(A71,'前日確定'!$B$26:$B$45,0))="","",INDEX('前日確定'!$J$26:$J$45,MATCH(A71,'前日確定'!$B$26:$B$45,0))),""))</f>
        <v/>
      </c>
      <c r="F71" s="15">
        <f>IF(A71="","",IFERROR(INDEX('前日確定'!$R$26:$R$45,MATCH(A71,'前日確定'!$B$26:$B$45,0)),""))</f>
        <v/>
      </c>
      <c r="G71" s="21" t="n"/>
      <c r="H71" s="19" t="n"/>
      <c r="I71" s="17">
        <f>IF(A71="","",IF(D71=1,E71,IFERROR(INDEX($AA$26:$AA$70,MATCH(AC71,$Z$26:$Z$70,0)),"")))</f>
        <v/>
      </c>
      <c r="J71" s="23" t="n"/>
      <c r="K71" s="15">
        <f>IF(A71="","",IF(D71=1,F71,IFERROR(INDEX($AB$26:$AB$70,MATCH(AC71,$Z$26:$Z$70,0)),"")))</f>
        <v/>
      </c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5">
        <f>IF(B71="","",B71&amp;"#"&amp;D71)</f>
        <v/>
      </c>
      <c r="AA71" s="17">
        <f>IF(A71="","",IF(J71="",I71,J71))</f>
        <v/>
      </c>
      <c r="AB71" s="15">
        <f>IF(A71="","",IF(COUNTA(L71:Q71)=0,K71,_xlfn.TEXTJOIN("・",TRUE,L71:Q71)))</f>
        <v/>
      </c>
      <c r="AC71" s="15">
        <f>IF(B71="","",B71&amp;"#"&amp;(D71-1))</f>
        <v/>
      </c>
    </row>
    <row r="72">
      <c r="A72" s="19" t="n"/>
      <c r="B72" s="15">
        <f>IF(A72="","",IFERROR(INDEX('前日確定'!$C$26:$C$45,MATCH(A72,'前日確定'!$B$26:$B$45,0)),"作業が見つかりません"))</f>
        <v/>
      </c>
      <c r="C72" s="15">
        <f>IF(A72="","",IFERROR(INDEX('前日確定'!$D$26:$D$45,MATCH(A72,'前日確定'!$B$26:$B$45,0)),""))</f>
        <v/>
      </c>
      <c r="D72" s="15">
        <f>IF(B72="","",COUNTIF(B$26:B72,B72))</f>
        <v/>
      </c>
      <c r="E72" s="17">
        <f>IF(A72="","",IFERROR(IF(INDEX('前日確定'!$J$26:$J$45,MATCH(A72,'前日確定'!$B$26:$B$45,0))="","",INDEX('前日確定'!$J$26:$J$45,MATCH(A72,'前日確定'!$B$26:$B$45,0))),""))</f>
        <v/>
      </c>
      <c r="F72" s="15">
        <f>IF(A72="","",IFERROR(INDEX('前日確定'!$R$26:$R$45,MATCH(A72,'前日確定'!$B$26:$B$45,0)),""))</f>
        <v/>
      </c>
      <c r="G72" s="21" t="n"/>
      <c r="H72" s="19" t="n"/>
      <c r="I72" s="17">
        <f>IF(A72="","",IF(D72=1,E72,IFERROR(INDEX($AA$26:$AA$71,MATCH(AC72,$Z$26:$Z$71,0)),"")))</f>
        <v/>
      </c>
      <c r="J72" s="23" t="n"/>
      <c r="K72" s="15">
        <f>IF(A72="","",IF(D72=1,F72,IFERROR(INDEX($AB$26:$AB$71,MATCH(AC72,$Z$26:$Z$71,0)),"")))</f>
        <v/>
      </c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5">
        <f>IF(B72="","",B72&amp;"#"&amp;D72)</f>
        <v/>
      </c>
      <c r="AA72" s="17">
        <f>IF(A72="","",IF(J72="",I72,J72))</f>
        <v/>
      </c>
      <c r="AB72" s="15">
        <f>IF(A72="","",IF(COUNTA(L72:Q72)=0,K72,_xlfn.TEXTJOIN("・",TRUE,L72:Q72)))</f>
        <v/>
      </c>
      <c r="AC72" s="15">
        <f>IF(B72="","",B72&amp;"#"&amp;(D72-1))</f>
        <v/>
      </c>
    </row>
    <row r="73">
      <c r="A73" s="19" t="n"/>
      <c r="B73" s="15">
        <f>IF(A73="","",IFERROR(INDEX('前日確定'!$C$26:$C$45,MATCH(A73,'前日確定'!$B$26:$B$45,0)),"作業が見つかりません"))</f>
        <v/>
      </c>
      <c r="C73" s="15">
        <f>IF(A73="","",IFERROR(INDEX('前日確定'!$D$26:$D$45,MATCH(A73,'前日確定'!$B$26:$B$45,0)),""))</f>
        <v/>
      </c>
      <c r="D73" s="15">
        <f>IF(B73="","",COUNTIF(B$26:B73,B73))</f>
        <v/>
      </c>
      <c r="E73" s="17">
        <f>IF(A73="","",IFERROR(IF(INDEX('前日確定'!$J$26:$J$45,MATCH(A73,'前日確定'!$B$26:$B$45,0))="","",INDEX('前日確定'!$J$26:$J$45,MATCH(A73,'前日確定'!$B$26:$B$45,0))),""))</f>
        <v/>
      </c>
      <c r="F73" s="15">
        <f>IF(A73="","",IFERROR(INDEX('前日確定'!$R$26:$R$45,MATCH(A73,'前日確定'!$B$26:$B$45,0)),""))</f>
        <v/>
      </c>
      <c r="G73" s="21" t="n"/>
      <c r="H73" s="19" t="n"/>
      <c r="I73" s="17">
        <f>IF(A73="","",IF(D73=1,E73,IFERROR(INDEX($AA$26:$AA$72,MATCH(AC73,$Z$26:$Z$72,0)),"")))</f>
        <v/>
      </c>
      <c r="J73" s="23" t="n"/>
      <c r="K73" s="15">
        <f>IF(A73="","",IF(D73=1,F73,IFERROR(INDEX($AB$26:$AB$72,MATCH(AC73,$Z$26:$Z$72,0)),"")))</f>
        <v/>
      </c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5">
        <f>IF(B73="","",B73&amp;"#"&amp;D73)</f>
        <v/>
      </c>
      <c r="AA73" s="17">
        <f>IF(A73="","",IF(J73="",I73,J73))</f>
        <v/>
      </c>
      <c r="AB73" s="15">
        <f>IF(A73="","",IF(COUNTA(L73:Q73)=0,K73,_xlfn.TEXTJOIN("・",TRUE,L73:Q73)))</f>
        <v/>
      </c>
      <c r="AC73" s="15">
        <f>IF(B73="","",B73&amp;"#"&amp;(D73-1))</f>
        <v/>
      </c>
    </row>
    <row r="74">
      <c r="A74" s="19" t="n"/>
      <c r="B74" s="15">
        <f>IF(A74="","",IFERROR(INDEX('前日確定'!$C$26:$C$45,MATCH(A74,'前日確定'!$B$26:$B$45,0)),"作業が見つかりません"))</f>
        <v/>
      </c>
      <c r="C74" s="15">
        <f>IF(A74="","",IFERROR(INDEX('前日確定'!$D$26:$D$45,MATCH(A74,'前日確定'!$B$26:$B$45,0)),""))</f>
        <v/>
      </c>
      <c r="D74" s="15">
        <f>IF(B74="","",COUNTIF(B$26:B74,B74))</f>
        <v/>
      </c>
      <c r="E74" s="17">
        <f>IF(A74="","",IFERROR(IF(INDEX('前日確定'!$J$26:$J$45,MATCH(A74,'前日確定'!$B$26:$B$45,0))="","",INDEX('前日確定'!$J$26:$J$45,MATCH(A74,'前日確定'!$B$26:$B$45,0))),""))</f>
        <v/>
      </c>
      <c r="F74" s="15">
        <f>IF(A74="","",IFERROR(INDEX('前日確定'!$R$26:$R$45,MATCH(A74,'前日確定'!$B$26:$B$45,0)),""))</f>
        <v/>
      </c>
      <c r="G74" s="21" t="n"/>
      <c r="H74" s="19" t="n"/>
      <c r="I74" s="17">
        <f>IF(A74="","",IF(D74=1,E74,IFERROR(INDEX($AA$26:$AA$73,MATCH(AC74,$Z$26:$Z$73,0)),"")))</f>
        <v/>
      </c>
      <c r="J74" s="23" t="n"/>
      <c r="K74" s="15">
        <f>IF(A74="","",IF(D74=1,F74,IFERROR(INDEX($AB$26:$AB$73,MATCH(AC74,$Z$26:$Z$73,0)),"")))</f>
        <v/>
      </c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5">
        <f>IF(B74="","",B74&amp;"#"&amp;D74)</f>
        <v/>
      </c>
      <c r="AA74" s="17">
        <f>IF(A74="","",IF(J74="",I74,J74))</f>
        <v/>
      </c>
      <c r="AB74" s="15">
        <f>IF(A74="","",IF(COUNTA(L74:Q74)=0,K74,_xlfn.TEXTJOIN("・",TRUE,L74:Q74)))</f>
        <v/>
      </c>
      <c r="AC74" s="15">
        <f>IF(B74="","",B74&amp;"#"&amp;(D74-1))</f>
        <v/>
      </c>
    </row>
    <row r="75">
      <c r="A75" s="19" t="n"/>
      <c r="B75" s="15">
        <f>IF(A75="","",IFERROR(INDEX('前日確定'!$C$26:$C$45,MATCH(A75,'前日確定'!$B$26:$B$45,0)),"作業が見つかりません"))</f>
        <v/>
      </c>
      <c r="C75" s="15">
        <f>IF(A75="","",IFERROR(INDEX('前日確定'!$D$26:$D$45,MATCH(A75,'前日確定'!$B$26:$B$45,0)),""))</f>
        <v/>
      </c>
      <c r="D75" s="15">
        <f>IF(B75="","",COUNTIF(B$26:B75,B75))</f>
        <v/>
      </c>
      <c r="E75" s="17">
        <f>IF(A75="","",IFERROR(IF(INDEX('前日確定'!$J$26:$J$45,MATCH(A75,'前日確定'!$B$26:$B$45,0))="","",INDEX('前日確定'!$J$26:$J$45,MATCH(A75,'前日確定'!$B$26:$B$45,0))),""))</f>
        <v/>
      </c>
      <c r="F75" s="15">
        <f>IF(A75="","",IFERROR(INDEX('前日確定'!$R$26:$R$45,MATCH(A75,'前日確定'!$B$26:$B$45,0)),""))</f>
        <v/>
      </c>
      <c r="G75" s="21" t="n"/>
      <c r="H75" s="19" t="n"/>
      <c r="I75" s="17">
        <f>IF(A75="","",IF(D75=1,E75,IFERROR(INDEX($AA$26:$AA$74,MATCH(AC75,$Z$26:$Z$74,0)),"")))</f>
        <v/>
      </c>
      <c r="J75" s="23" t="n"/>
      <c r="K75" s="15">
        <f>IF(A75="","",IF(D75=1,F75,IFERROR(INDEX($AB$26:$AB$74,MATCH(AC75,$Z$26:$Z$74,0)),"")))</f>
        <v/>
      </c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5">
        <f>IF(B75="","",B75&amp;"#"&amp;D75)</f>
        <v/>
      </c>
      <c r="AA75" s="17">
        <f>IF(A75="","",IF(J75="",I75,J75))</f>
        <v/>
      </c>
      <c r="AB75" s="15">
        <f>IF(A75="","",IF(COUNTA(L75:Q75)=0,K75,_xlfn.TEXTJOIN("・",TRUE,L75:Q75)))</f>
        <v/>
      </c>
      <c r="AC75" s="15">
        <f>IF(B75="","",B75&amp;"#"&amp;(D75-1))</f>
        <v/>
      </c>
    </row>
    <row r="76">
      <c r="A76" s="19" t="n"/>
      <c r="B76" s="15">
        <f>IF(A76="","",IFERROR(INDEX('前日確定'!$C$26:$C$45,MATCH(A76,'前日確定'!$B$26:$B$45,0)),"作業が見つかりません"))</f>
        <v/>
      </c>
      <c r="C76" s="15">
        <f>IF(A76="","",IFERROR(INDEX('前日確定'!$D$26:$D$45,MATCH(A76,'前日確定'!$B$26:$B$45,0)),""))</f>
        <v/>
      </c>
      <c r="D76" s="15">
        <f>IF(B76="","",COUNTIF(B$26:B76,B76))</f>
        <v/>
      </c>
      <c r="E76" s="17">
        <f>IF(A76="","",IFERROR(IF(INDEX('前日確定'!$J$26:$J$45,MATCH(A76,'前日確定'!$B$26:$B$45,0))="","",INDEX('前日確定'!$J$26:$J$45,MATCH(A76,'前日確定'!$B$26:$B$45,0))),""))</f>
        <v/>
      </c>
      <c r="F76" s="15">
        <f>IF(A76="","",IFERROR(INDEX('前日確定'!$R$26:$R$45,MATCH(A76,'前日確定'!$B$26:$B$45,0)),""))</f>
        <v/>
      </c>
      <c r="G76" s="21" t="n"/>
      <c r="H76" s="19" t="n"/>
      <c r="I76" s="17">
        <f>IF(A76="","",IF(D76=1,E76,IFERROR(INDEX($AA$26:$AA$75,MATCH(AC76,$Z$26:$Z$75,0)),"")))</f>
        <v/>
      </c>
      <c r="J76" s="23" t="n"/>
      <c r="K76" s="15">
        <f>IF(A76="","",IF(D76=1,F76,IFERROR(INDEX($AB$26:$AB$75,MATCH(AC76,$Z$26:$Z$75,0)),"")))</f>
        <v/>
      </c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5">
        <f>IF(B76="","",B76&amp;"#"&amp;D76)</f>
        <v/>
      </c>
      <c r="AA76" s="17">
        <f>IF(A76="","",IF(J76="",I76,J76))</f>
        <v/>
      </c>
      <c r="AB76" s="15">
        <f>IF(A76="","",IF(COUNTA(L76:Q76)=0,K76,_xlfn.TEXTJOIN("・",TRUE,L76:Q76)))</f>
        <v/>
      </c>
      <c r="AC76" s="15">
        <f>IF(B76="","",B76&amp;"#"&amp;(D76-1))</f>
        <v/>
      </c>
    </row>
    <row r="77">
      <c r="A77" s="19" t="n"/>
      <c r="B77" s="15">
        <f>IF(A77="","",IFERROR(INDEX('前日確定'!$C$26:$C$45,MATCH(A77,'前日確定'!$B$26:$B$45,0)),"作業が見つかりません"))</f>
        <v/>
      </c>
      <c r="C77" s="15">
        <f>IF(A77="","",IFERROR(INDEX('前日確定'!$D$26:$D$45,MATCH(A77,'前日確定'!$B$26:$B$45,0)),""))</f>
        <v/>
      </c>
      <c r="D77" s="15">
        <f>IF(B77="","",COUNTIF(B$26:B77,B77))</f>
        <v/>
      </c>
      <c r="E77" s="17">
        <f>IF(A77="","",IFERROR(IF(INDEX('前日確定'!$J$26:$J$45,MATCH(A77,'前日確定'!$B$26:$B$45,0))="","",INDEX('前日確定'!$J$26:$J$45,MATCH(A77,'前日確定'!$B$26:$B$45,0))),""))</f>
        <v/>
      </c>
      <c r="F77" s="15">
        <f>IF(A77="","",IFERROR(INDEX('前日確定'!$R$26:$R$45,MATCH(A77,'前日確定'!$B$26:$B$45,0)),""))</f>
        <v/>
      </c>
      <c r="G77" s="21" t="n"/>
      <c r="H77" s="19" t="n"/>
      <c r="I77" s="17">
        <f>IF(A77="","",IF(D77=1,E77,IFERROR(INDEX($AA$26:$AA$76,MATCH(AC77,$Z$26:$Z$76,0)),"")))</f>
        <v/>
      </c>
      <c r="J77" s="23" t="n"/>
      <c r="K77" s="15">
        <f>IF(A77="","",IF(D77=1,F77,IFERROR(INDEX($AB$26:$AB$76,MATCH(AC77,$Z$26:$Z$76,0)),"")))</f>
        <v/>
      </c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5">
        <f>IF(B77="","",B77&amp;"#"&amp;D77)</f>
        <v/>
      </c>
      <c r="AA77" s="17">
        <f>IF(A77="","",IF(J77="",I77,J77))</f>
        <v/>
      </c>
      <c r="AB77" s="15">
        <f>IF(A77="","",IF(COUNTA(L77:Q77)=0,K77,_xlfn.TEXTJOIN("・",TRUE,L77:Q77)))</f>
        <v/>
      </c>
      <c r="AC77" s="15">
        <f>IF(B77="","",B77&amp;"#"&amp;(D77-1))</f>
        <v/>
      </c>
    </row>
    <row r="78">
      <c r="A78" s="19" t="n"/>
      <c r="B78" s="15">
        <f>IF(A78="","",IFERROR(INDEX('前日確定'!$C$26:$C$45,MATCH(A78,'前日確定'!$B$26:$B$45,0)),"作業が見つかりません"))</f>
        <v/>
      </c>
      <c r="C78" s="15">
        <f>IF(A78="","",IFERROR(INDEX('前日確定'!$D$26:$D$45,MATCH(A78,'前日確定'!$B$26:$B$45,0)),""))</f>
        <v/>
      </c>
      <c r="D78" s="15">
        <f>IF(B78="","",COUNTIF(B$26:B78,B78))</f>
        <v/>
      </c>
      <c r="E78" s="17">
        <f>IF(A78="","",IFERROR(IF(INDEX('前日確定'!$J$26:$J$45,MATCH(A78,'前日確定'!$B$26:$B$45,0))="","",INDEX('前日確定'!$J$26:$J$45,MATCH(A78,'前日確定'!$B$26:$B$45,0))),""))</f>
        <v/>
      </c>
      <c r="F78" s="15">
        <f>IF(A78="","",IFERROR(INDEX('前日確定'!$R$26:$R$45,MATCH(A78,'前日確定'!$B$26:$B$45,0)),""))</f>
        <v/>
      </c>
      <c r="G78" s="21" t="n"/>
      <c r="H78" s="19" t="n"/>
      <c r="I78" s="17">
        <f>IF(A78="","",IF(D78=1,E78,IFERROR(INDEX($AA$26:$AA$77,MATCH(AC78,$Z$26:$Z$77,0)),"")))</f>
        <v/>
      </c>
      <c r="J78" s="23" t="n"/>
      <c r="K78" s="15">
        <f>IF(A78="","",IF(D78=1,F78,IFERROR(INDEX($AB$26:$AB$77,MATCH(AC78,$Z$26:$Z$77,0)),"")))</f>
        <v/>
      </c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5">
        <f>IF(B78="","",B78&amp;"#"&amp;D78)</f>
        <v/>
      </c>
      <c r="AA78" s="17">
        <f>IF(A78="","",IF(J78="",I78,J78))</f>
        <v/>
      </c>
      <c r="AB78" s="15">
        <f>IF(A78="","",IF(COUNTA(L78:Q78)=0,K78,_xlfn.TEXTJOIN("・",TRUE,L78:Q78)))</f>
        <v/>
      </c>
      <c r="AC78" s="15">
        <f>IF(B78="","",B78&amp;"#"&amp;(D78-1))</f>
        <v/>
      </c>
    </row>
    <row r="79">
      <c r="A79" s="19" t="n"/>
      <c r="B79" s="15">
        <f>IF(A79="","",IFERROR(INDEX('前日確定'!$C$26:$C$45,MATCH(A79,'前日確定'!$B$26:$B$45,0)),"作業が見つかりません"))</f>
        <v/>
      </c>
      <c r="C79" s="15">
        <f>IF(A79="","",IFERROR(INDEX('前日確定'!$D$26:$D$45,MATCH(A79,'前日確定'!$B$26:$B$45,0)),""))</f>
        <v/>
      </c>
      <c r="D79" s="15">
        <f>IF(B79="","",COUNTIF(B$26:B79,B79))</f>
        <v/>
      </c>
      <c r="E79" s="17">
        <f>IF(A79="","",IFERROR(IF(INDEX('前日確定'!$J$26:$J$45,MATCH(A79,'前日確定'!$B$26:$B$45,0))="","",INDEX('前日確定'!$J$26:$J$45,MATCH(A79,'前日確定'!$B$26:$B$45,0))),""))</f>
        <v/>
      </c>
      <c r="F79" s="15">
        <f>IF(A79="","",IFERROR(INDEX('前日確定'!$R$26:$R$45,MATCH(A79,'前日確定'!$B$26:$B$45,0)),""))</f>
        <v/>
      </c>
      <c r="G79" s="21" t="n"/>
      <c r="H79" s="19" t="n"/>
      <c r="I79" s="17">
        <f>IF(A79="","",IF(D79=1,E79,IFERROR(INDEX($AA$26:$AA$78,MATCH(AC79,$Z$26:$Z$78,0)),"")))</f>
        <v/>
      </c>
      <c r="J79" s="23" t="n"/>
      <c r="K79" s="15">
        <f>IF(A79="","",IF(D79=1,F79,IFERROR(INDEX($AB$26:$AB$78,MATCH(AC79,$Z$26:$Z$78,0)),"")))</f>
        <v/>
      </c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5">
        <f>IF(B79="","",B79&amp;"#"&amp;D79)</f>
        <v/>
      </c>
      <c r="AA79" s="17">
        <f>IF(A79="","",IF(J79="",I79,J79))</f>
        <v/>
      </c>
      <c r="AB79" s="15">
        <f>IF(A79="","",IF(COUNTA(L79:Q79)=0,K79,_xlfn.TEXTJOIN("・",TRUE,L79:Q79)))</f>
        <v/>
      </c>
      <c r="AC79" s="15">
        <f>IF(B79="","",B79&amp;"#"&amp;(D79-1))</f>
        <v/>
      </c>
    </row>
    <row r="80">
      <c r="A80" s="19" t="n"/>
      <c r="B80" s="15">
        <f>IF(A80="","",IFERROR(INDEX('前日確定'!$C$26:$C$45,MATCH(A80,'前日確定'!$B$26:$B$45,0)),"作業が見つかりません"))</f>
        <v/>
      </c>
      <c r="C80" s="15">
        <f>IF(A80="","",IFERROR(INDEX('前日確定'!$D$26:$D$45,MATCH(A80,'前日確定'!$B$26:$B$45,0)),""))</f>
        <v/>
      </c>
      <c r="D80" s="15">
        <f>IF(B80="","",COUNTIF(B$26:B80,B80))</f>
        <v/>
      </c>
      <c r="E80" s="17">
        <f>IF(A80="","",IFERROR(IF(INDEX('前日確定'!$J$26:$J$45,MATCH(A80,'前日確定'!$B$26:$B$45,0))="","",INDEX('前日確定'!$J$26:$J$45,MATCH(A80,'前日確定'!$B$26:$B$45,0))),""))</f>
        <v/>
      </c>
      <c r="F80" s="15">
        <f>IF(A80="","",IFERROR(INDEX('前日確定'!$R$26:$R$45,MATCH(A80,'前日確定'!$B$26:$B$45,0)),""))</f>
        <v/>
      </c>
      <c r="G80" s="21" t="n"/>
      <c r="H80" s="19" t="n"/>
      <c r="I80" s="17">
        <f>IF(A80="","",IF(D80=1,E80,IFERROR(INDEX($AA$26:$AA$79,MATCH(AC80,$Z$26:$Z$79,0)),"")))</f>
        <v/>
      </c>
      <c r="J80" s="23" t="n"/>
      <c r="K80" s="15">
        <f>IF(A80="","",IF(D80=1,F80,IFERROR(INDEX($AB$26:$AB$79,MATCH(AC80,$Z$26:$Z$79,0)),"")))</f>
        <v/>
      </c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5">
        <f>IF(B80="","",B80&amp;"#"&amp;D80)</f>
        <v/>
      </c>
      <c r="AA80" s="17">
        <f>IF(A80="","",IF(J80="",I80,J80))</f>
        <v/>
      </c>
      <c r="AB80" s="15">
        <f>IF(A80="","",IF(COUNTA(L80:Q80)=0,K80,_xlfn.TEXTJOIN("・",TRUE,L80:Q80)))</f>
        <v/>
      </c>
      <c r="AC80" s="15">
        <f>IF(B80="","",B80&amp;"#"&amp;(D80-1))</f>
        <v/>
      </c>
    </row>
    <row r="81">
      <c r="A81" s="19" t="n"/>
      <c r="B81" s="15">
        <f>IF(A81="","",IFERROR(INDEX('前日確定'!$C$26:$C$45,MATCH(A81,'前日確定'!$B$26:$B$45,0)),"作業が見つかりません"))</f>
        <v/>
      </c>
      <c r="C81" s="15">
        <f>IF(A81="","",IFERROR(INDEX('前日確定'!$D$26:$D$45,MATCH(A81,'前日確定'!$B$26:$B$45,0)),""))</f>
        <v/>
      </c>
      <c r="D81" s="15">
        <f>IF(B81="","",COUNTIF(B$26:B81,B81))</f>
        <v/>
      </c>
      <c r="E81" s="17">
        <f>IF(A81="","",IFERROR(IF(INDEX('前日確定'!$J$26:$J$45,MATCH(A81,'前日確定'!$B$26:$B$45,0))="","",INDEX('前日確定'!$J$26:$J$45,MATCH(A81,'前日確定'!$B$26:$B$45,0))),""))</f>
        <v/>
      </c>
      <c r="F81" s="15">
        <f>IF(A81="","",IFERROR(INDEX('前日確定'!$R$26:$R$45,MATCH(A81,'前日確定'!$B$26:$B$45,0)),""))</f>
        <v/>
      </c>
      <c r="G81" s="21" t="n"/>
      <c r="H81" s="19" t="n"/>
      <c r="I81" s="17">
        <f>IF(A81="","",IF(D81=1,E81,IFERROR(INDEX($AA$26:$AA$80,MATCH(AC81,$Z$26:$Z$80,0)),"")))</f>
        <v/>
      </c>
      <c r="J81" s="23" t="n"/>
      <c r="K81" s="15">
        <f>IF(A81="","",IF(D81=1,F81,IFERROR(INDEX($AB$26:$AB$80,MATCH(AC81,$Z$26:$Z$80,0)),"")))</f>
        <v/>
      </c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5">
        <f>IF(B81="","",B81&amp;"#"&amp;D81)</f>
        <v/>
      </c>
      <c r="AA81" s="17">
        <f>IF(A81="","",IF(J81="",I81,J81))</f>
        <v/>
      </c>
      <c r="AB81" s="15">
        <f>IF(A81="","",IF(COUNTA(L81:Q81)=0,K81,_xlfn.TEXTJOIN("・",TRUE,L81:Q81)))</f>
        <v/>
      </c>
      <c r="AC81" s="15">
        <f>IF(B81="","",B81&amp;"#"&amp;(D81-1))</f>
        <v/>
      </c>
    </row>
    <row r="82">
      <c r="A82" s="19" t="n"/>
      <c r="B82" s="15">
        <f>IF(A82="","",IFERROR(INDEX('前日確定'!$C$26:$C$45,MATCH(A82,'前日確定'!$B$26:$B$45,0)),"作業が見つかりません"))</f>
        <v/>
      </c>
      <c r="C82" s="15">
        <f>IF(A82="","",IFERROR(INDEX('前日確定'!$D$26:$D$45,MATCH(A82,'前日確定'!$B$26:$B$45,0)),""))</f>
        <v/>
      </c>
      <c r="D82" s="15">
        <f>IF(B82="","",COUNTIF(B$26:B82,B82))</f>
        <v/>
      </c>
      <c r="E82" s="17">
        <f>IF(A82="","",IFERROR(IF(INDEX('前日確定'!$J$26:$J$45,MATCH(A82,'前日確定'!$B$26:$B$45,0))="","",INDEX('前日確定'!$J$26:$J$45,MATCH(A82,'前日確定'!$B$26:$B$45,0))),""))</f>
        <v/>
      </c>
      <c r="F82" s="15">
        <f>IF(A82="","",IFERROR(INDEX('前日確定'!$R$26:$R$45,MATCH(A82,'前日確定'!$B$26:$B$45,0)),""))</f>
        <v/>
      </c>
      <c r="G82" s="21" t="n"/>
      <c r="H82" s="19" t="n"/>
      <c r="I82" s="17">
        <f>IF(A82="","",IF(D82=1,E82,IFERROR(INDEX($AA$26:$AA$81,MATCH(AC82,$Z$26:$Z$81,0)),"")))</f>
        <v/>
      </c>
      <c r="J82" s="23" t="n"/>
      <c r="K82" s="15">
        <f>IF(A82="","",IF(D82=1,F82,IFERROR(INDEX($AB$26:$AB$81,MATCH(AC82,$Z$26:$Z$81,0)),"")))</f>
        <v/>
      </c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5">
        <f>IF(B82="","",B82&amp;"#"&amp;D82)</f>
        <v/>
      </c>
      <c r="AA82" s="17">
        <f>IF(A82="","",IF(J82="",I82,J82))</f>
        <v/>
      </c>
      <c r="AB82" s="15">
        <f>IF(A82="","",IF(COUNTA(L82:Q82)=0,K82,_xlfn.TEXTJOIN("・",TRUE,L82:Q82)))</f>
        <v/>
      </c>
      <c r="AC82" s="15">
        <f>IF(B82="","",B82&amp;"#"&amp;(D82-1))</f>
        <v/>
      </c>
    </row>
    <row r="83">
      <c r="A83" s="19" t="n"/>
      <c r="B83" s="15">
        <f>IF(A83="","",IFERROR(INDEX('前日確定'!$C$26:$C$45,MATCH(A83,'前日確定'!$B$26:$B$45,0)),"作業が見つかりません"))</f>
        <v/>
      </c>
      <c r="C83" s="15">
        <f>IF(A83="","",IFERROR(INDEX('前日確定'!$D$26:$D$45,MATCH(A83,'前日確定'!$B$26:$B$45,0)),""))</f>
        <v/>
      </c>
      <c r="D83" s="15">
        <f>IF(B83="","",COUNTIF(B$26:B83,B83))</f>
        <v/>
      </c>
      <c r="E83" s="17">
        <f>IF(A83="","",IFERROR(IF(INDEX('前日確定'!$J$26:$J$45,MATCH(A83,'前日確定'!$B$26:$B$45,0))="","",INDEX('前日確定'!$J$26:$J$45,MATCH(A83,'前日確定'!$B$26:$B$45,0))),""))</f>
        <v/>
      </c>
      <c r="F83" s="15">
        <f>IF(A83="","",IFERROR(INDEX('前日確定'!$R$26:$R$45,MATCH(A83,'前日確定'!$B$26:$B$45,0)),""))</f>
        <v/>
      </c>
      <c r="G83" s="21" t="n"/>
      <c r="H83" s="19" t="n"/>
      <c r="I83" s="17">
        <f>IF(A83="","",IF(D83=1,E83,IFERROR(INDEX($AA$26:$AA$82,MATCH(AC83,$Z$26:$Z$82,0)),"")))</f>
        <v/>
      </c>
      <c r="J83" s="23" t="n"/>
      <c r="K83" s="15">
        <f>IF(A83="","",IF(D83=1,F83,IFERROR(INDEX($AB$26:$AB$82,MATCH(AC83,$Z$26:$Z$82,0)),"")))</f>
        <v/>
      </c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5">
        <f>IF(B83="","",B83&amp;"#"&amp;D83)</f>
        <v/>
      </c>
      <c r="AA83" s="17">
        <f>IF(A83="","",IF(J83="",I83,J83))</f>
        <v/>
      </c>
      <c r="AB83" s="15">
        <f>IF(A83="","",IF(COUNTA(L83:Q83)=0,K83,_xlfn.TEXTJOIN("・",TRUE,L83:Q83)))</f>
        <v/>
      </c>
      <c r="AC83" s="15">
        <f>IF(B83="","",B83&amp;"#"&amp;(D83-1))</f>
        <v/>
      </c>
    </row>
    <row r="84">
      <c r="A84" s="19" t="n"/>
      <c r="B84" s="15">
        <f>IF(A84="","",IFERROR(INDEX('前日確定'!$C$26:$C$45,MATCH(A84,'前日確定'!$B$26:$B$45,0)),"作業が見つかりません"))</f>
        <v/>
      </c>
      <c r="C84" s="15">
        <f>IF(A84="","",IFERROR(INDEX('前日確定'!$D$26:$D$45,MATCH(A84,'前日確定'!$B$26:$B$45,0)),""))</f>
        <v/>
      </c>
      <c r="D84" s="15">
        <f>IF(B84="","",COUNTIF(B$26:B84,B84))</f>
        <v/>
      </c>
      <c r="E84" s="17">
        <f>IF(A84="","",IFERROR(IF(INDEX('前日確定'!$J$26:$J$45,MATCH(A84,'前日確定'!$B$26:$B$45,0))="","",INDEX('前日確定'!$J$26:$J$45,MATCH(A84,'前日確定'!$B$26:$B$45,0))),""))</f>
        <v/>
      </c>
      <c r="F84" s="15">
        <f>IF(A84="","",IFERROR(INDEX('前日確定'!$R$26:$R$45,MATCH(A84,'前日確定'!$B$26:$B$45,0)),""))</f>
        <v/>
      </c>
      <c r="G84" s="21" t="n"/>
      <c r="H84" s="19" t="n"/>
      <c r="I84" s="17">
        <f>IF(A84="","",IF(D84=1,E84,IFERROR(INDEX($AA$26:$AA$83,MATCH(AC84,$Z$26:$Z$83,0)),"")))</f>
        <v/>
      </c>
      <c r="J84" s="23" t="n"/>
      <c r="K84" s="15">
        <f>IF(A84="","",IF(D84=1,F84,IFERROR(INDEX($AB$26:$AB$83,MATCH(AC84,$Z$26:$Z$83,0)),"")))</f>
        <v/>
      </c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5">
        <f>IF(B84="","",B84&amp;"#"&amp;D84)</f>
        <v/>
      </c>
      <c r="AA84" s="17">
        <f>IF(A84="","",IF(J84="",I84,J84))</f>
        <v/>
      </c>
      <c r="AB84" s="15">
        <f>IF(A84="","",IF(COUNTA(L84:Q84)=0,K84,_xlfn.TEXTJOIN("・",TRUE,L84:Q84)))</f>
        <v/>
      </c>
      <c r="AC84" s="15">
        <f>IF(B84="","",B84&amp;"#"&amp;(D84-1))</f>
        <v/>
      </c>
    </row>
    <row r="85">
      <c r="A85" s="19" t="n"/>
      <c r="B85" s="15">
        <f>IF(A85="","",IFERROR(INDEX('前日確定'!$C$26:$C$45,MATCH(A85,'前日確定'!$B$26:$B$45,0)),"作業が見つかりません"))</f>
        <v/>
      </c>
      <c r="C85" s="15">
        <f>IF(A85="","",IFERROR(INDEX('前日確定'!$D$26:$D$45,MATCH(A85,'前日確定'!$B$26:$B$45,0)),""))</f>
        <v/>
      </c>
      <c r="D85" s="15">
        <f>IF(B85="","",COUNTIF(B$26:B85,B85))</f>
        <v/>
      </c>
      <c r="E85" s="17">
        <f>IF(A85="","",IFERROR(IF(INDEX('前日確定'!$J$26:$J$45,MATCH(A85,'前日確定'!$B$26:$B$45,0))="","",INDEX('前日確定'!$J$26:$J$45,MATCH(A85,'前日確定'!$B$26:$B$45,0))),""))</f>
        <v/>
      </c>
      <c r="F85" s="15">
        <f>IF(A85="","",IFERROR(INDEX('前日確定'!$R$26:$R$45,MATCH(A85,'前日確定'!$B$26:$B$45,0)),""))</f>
        <v/>
      </c>
      <c r="G85" s="21" t="n"/>
      <c r="H85" s="19" t="n"/>
      <c r="I85" s="17">
        <f>IF(A85="","",IF(D85=1,E85,IFERROR(INDEX($AA$26:$AA$84,MATCH(AC85,$Z$26:$Z$84,0)),"")))</f>
        <v/>
      </c>
      <c r="J85" s="23" t="n"/>
      <c r="K85" s="15">
        <f>IF(A85="","",IF(D85=1,F85,IFERROR(INDEX($AB$26:$AB$84,MATCH(AC85,$Z$26:$Z$84,0)),"")))</f>
        <v/>
      </c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5">
        <f>IF(B85="","",B85&amp;"#"&amp;D85)</f>
        <v/>
      </c>
      <c r="AA85" s="17">
        <f>IF(A85="","",IF(J85="",I85,J85))</f>
        <v/>
      </c>
      <c r="AB85" s="15">
        <f>IF(A85="","",IF(COUNTA(L85:Q85)=0,K85,_xlfn.TEXTJOIN("・",TRUE,L85:Q85)))</f>
        <v/>
      </c>
      <c r="AC85" s="15">
        <f>IF(B85="","",B85&amp;"#"&amp;(D85-1))</f>
        <v/>
      </c>
    </row>
  </sheetData>
  <dataValidations count="12">
    <dataValidation sqref="B7:B11" showDropDown="0" showInputMessage="0" showErrorMessage="0" allowBlank="1" errorTitle="選択してください" error="一覧から選んでください（一覧にない場合は「マスター」シートへ追加してください）" type="list">
      <formula1>=選択_日確認</formula1>
    </dataValidation>
    <dataValidation sqref="C7:C11" showDropDown="0" showInputMessage="1" showErrorMessage="0" allowBlank="1" errorTitle="選択してください" error="一覧から選んでください（一覧にない場合は「マスター」シートへ追加してください）" prompt="○を選びます（空欄＝該当なし）" type="list">
      <formula1>"○"</formula1>
    </dataValidation>
    <dataValidation sqref="A15:A22" showDropDown="0" showInputMessage="0" showErrorMessage="0" allowBlank="1" errorTitle="選択してください" error="一覧から選んでください（一覧にない場合は「マスター」シートへ追加してください）" type="list">
      <formula1>=船名リスト</formula1>
    </dataValidation>
    <dataValidation sqref="D15:D22" showDropDown="0" showInputMessage="0" showErrorMessage="0" allowBlank="1" errorTitle="選択してください" error="一覧から選んでください（一覧にない場合は「マスター」シートへ追加してください）" type="list">
      <formula1>=作業リスト</formula1>
    </dataValidation>
    <dataValidation sqref="E15:E22" showDropDown="0" showInputMessage="0" showErrorMessage="0" allowBlank="1" errorTitle="選択してください" error="一覧から選んでください（一覧にない場合は「マスター」シートへ追加してください）" type="list">
      <formula1>=選択_呼出理由</formula1>
    </dataValidation>
    <dataValidation sqref="G15:G22" showDropDown="0" showInputMessage="0" showErrorMessage="0" allowBlank="1" errorTitle="選択してください" error="一覧から選んでください（一覧にない場合は「マスター」シートへ追加してください）" type="list">
      <formula1>=選択_確認状況</formula1>
    </dataValidation>
    <dataValidation sqref="A26:A85" showDropDown="0" showInputMessage="1" showErrorMessage="0" allowBlank="1" errorTitle="選択してください" error="一覧から選んでください（一覧にない場合は「マスター」シートへ追加してください）" prompt="「前日確定」の作業から選びます" type="list">
      <formula1>=作業リスト</formula1>
    </dataValidation>
    <dataValidation sqref="L26:Q85" showDropDown="0" showInputMessage="0" showErrorMessage="0" allowBlank="1" errorTitle="選択してください" error="一覧から選んでください（一覧にない場合は「マスター」シートへ追加してください）" type="list">
      <formula1>=船名リスト</formula1>
    </dataValidation>
    <dataValidation sqref="R26:R85" showDropDown="0" showInputMessage="1" showErrorMessage="0" allowBlank="1" errorTitle="選択してください" error="一覧から選んでください（一覧にない場合は「マスター」シートへ追加してください）" prompt="○を選びます（空欄＝該当なし）" type="list">
      <formula1>"○"</formula1>
    </dataValidation>
    <dataValidation sqref="S26:S85" showDropDown="0" showInputMessage="0" showErrorMessage="0" allowBlank="1" errorTitle="選択してください" error="一覧から選んでください（一覧にない場合は「マスター」シートへ追加してください）" type="list">
      <formula1>=選択_取消時点</formula1>
    </dataValidation>
    <dataValidation sqref="T26:T85" showDropDown="0" showInputMessage="0" showErrorMessage="0" allowBlank="1" errorTitle="選択してください" error="一覧から選んでください（一覧にない場合は「マスター」シートへ追加してください）" type="list">
      <formula1>=選択_理由</formula1>
    </dataValidation>
    <dataValidation sqref="V26:V85" showDropDown="0" showInputMessage="0" showErrorMessage="0" allowBlank="1" errorTitle="選択してください" error="一覧から選んでください（一覧にない場合は「マスター」シートへ追加してください）" type="list">
      <formula1>=選択_時間調整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5"/>
  <sheetViews>
    <sheetView tabSelected="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24" customWidth="1" min="5" max="5"/>
    <col width="14" customWidth="1" min="6" max="6"/>
    <col width="10" customWidth="1" min="7" max="7"/>
  </cols>
  <sheetData>
    <row r="1">
      <c r="A1" s="10" t="inlineStr">
        <is>
          <t>入渠（作業に使えない期間）</t>
        </is>
      </c>
      <c r="B1" s="11" t="n"/>
      <c r="C1" s="11" t="n"/>
      <c r="D1" s="11" t="n"/>
      <c r="E1" s="11" t="n"/>
      <c r="F1" s="11" t="n"/>
      <c r="G1" s="11" t="n"/>
      <c r="H1" s="11" t="n"/>
    </row>
    <row r="2">
      <c r="A2" s="12" t="inlineStr">
        <is>
          <t>誰が：上田（製鉄曳船）・西日本海運担当者（西日本海運）、他社は分かる範囲　何を見て：入渠の記録　どこへ：A6から1隻・1回ごとに1行</t>
        </is>
      </c>
      <c r="B2" s="11" t="n"/>
      <c r="C2" s="11" t="n"/>
      <c r="D2" s="11" t="n"/>
      <c r="E2" s="11" t="n"/>
      <c r="F2" s="11" t="n"/>
      <c r="G2" s="11" t="n"/>
      <c r="H2" s="11" t="n"/>
    </row>
    <row r="3">
      <c r="A3" s="13" t="inlineStr">
        <is>
          <t>集計先：「集計」の対象日に入渠で使えない船数</t>
        </is>
      </c>
      <c r="B3" s="11" t="n"/>
      <c r="C3" s="11" t="n"/>
      <c r="D3" s="11" t="n"/>
      <c r="E3" s="11" t="n"/>
      <c r="F3" s="11" t="n"/>
      <c r="G3" s="11" t="n"/>
      <c r="H3" s="11" t="n"/>
    </row>
    <row r="5" ht="45" customHeight="1">
      <c r="A5" s="22" t="inlineStr">
        <is>
          <t>船名【入力・選択】</t>
        </is>
      </c>
      <c r="B5" s="14" t="inlineStr">
        <is>
          <t>会社【自動】</t>
        </is>
      </c>
      <c r="C5" s="22" t="inlineStr">
        <is>
          <t>入渠開始日【入力】</t>
        </is>
      </c>
      <c r="D5" s="22" t="inlineStr">
        <is>
          <t>作業復帰日【入力】</t>
        </is>
      </c>
      <c r="E5" s="22" t="inlineStr">
        <is>
          <t>情報元【入力】</t>
        </is>
      </c>
      <c r="F5" s="22" t="inlineStr">
        <is>
          <t>確認状況【入力・選択】</t>
        </is>
      </c>
      <c r="G5" s="14" t="inlineStr">
        <is>
          <t>対象日に使えない【自動】</t>
        </is>
      </c>
    </row>
    <row r="6">
      <c r="A6" s="19" t="n"/>
      <c r="B6" s="15">
        <f>IF(A6="","",IFERROR(INDEX(マスター!$C$6:$C$125,MATCH(A6,マスター!$M$6:$M$125,0))&amp;"","マスター未登録"))</f>
        <v/>
      </c>
      <c r="C6" s="25" t="n"/>
      <c r="D6" s="25" t="n"/>
      <c r="E6" s="19" t="n"/>
      <c r="F6" s="19" t="n"/>
      <c r="G6" s="15">
        <f>IF(OR(A6="",C6=""),"",IF(AND(集計!$C$5&gt;=C6,OR(D6="",集計!$C$5&lt;D6)),"○",""))</f>
        <v/>
      </c>
    </row>
    <row r="7">
      <c r="A7" s="19" t="n"/>
      <c r="B7" s="15">
        <f>IF(A7="","",IFERROR(INDEX(マスター!$C$6:$C$125,MATCH(A7,マスター!$M$6:$M$125,0))&amp;"","マスター未登録"))</f>
        <v/>
      </c>
      <c r="C7" s="25" t="n"/>
      <c r="D7" s="25" t="n"/>
      <c r="E7" s="19" t="n"/>
      <c r="F7" s="19" t="n"/>
      <c r="G7" s="15">
        <f>IF(OR(A7="",C7=""),"",IF(AND(集計!$C$5&gt;=C7,OR(D7="",集計!$C$5&lt;D7)),"○",""))</f>
        <v/>
      </c>
    </row>
    <row r="8">
      <c r="A8" s="19" t="n"/>
      <c r="B8" s="15">
        <f>IF(A8="","",IFERROR(INDEX(マスター!$C$6:$C$125,MATCH(A8,マスター!$M$6:$M$125,0))&amp;"","マスター未登録"))</f>
        <v/>
      </c>
      <c r="C8" s="25" t="n"/>
      <c r="D8" s="25" t="n"/>
      <c r="E8" s="19" t="n"/>
      <c r="F8" s="19" t="n"/>
      <c r="G8" s="15">
        <f>IF(OR(A8="",C8=""),"",IF(AND(集計!$C$5&gt;=C8,OR(D8="",集計!$C$5&lt;D8)),"○",""))</f>
        <v/>
      </c>
    </row>
    <row r="9">
      <c r="A9" s="19" t="n"/>
      <c r="B9" s="15">
        <f>IF(A9="","",IFERROR(INDEX(マスター!$C$6:$C$125,MATCH(A9,マスター!$M$6:$M$125,0))&amp;"","マスター未登録"))</f>
        <v/>
      </c>
      <c r="C9" s="25" t="n"/>
      <c r="D9" s="25" t="n"/>
      <c r="E9" s="19" t="n"/>
      <c r="F9" s="19" t="n"/>
      <c r="G9" s="15">
        <f>IF(OR(A9="",C9=""),"",IF(AND(集計!$C$5&gt;=C9,OR(D9="",集計!$C$5&lt;D9)),"○",""))</f>
        <v/>
      </c>
    </row>
    <row r="10">
      <c r="A10" s="19" t="n"/>
      <c r="B10" s="15">
        <f>IF(A10="","",IFERROR(INDEX(マスター!$C$6:$C$125,MATCH(A10,マスター!$M$6:$M$125,0))&amp;"","マスター未登録"))</f>
        <v/>
      </c>
      <c r="C10" s="25" t="n"/>
      <c r="D10" s="25" t="n"/>
      <c r="E10" s="19" t="n"/>
      <c r="F10" s="19" t="n"/>
      <c r="G10" s="15">
        <f>IF(OR(A10="",C10=""),"",IF(AND(集計!$C$5&gt;=C10,OR(D10="",集計!$C$5&lt;D10)),"○",""))</f>
        <v/>
      </c>
    </row>
    <row r="11">
      <c r="A11" s="19" t="n"/>
      <c r="B11" s="15">
        <f>IF(A11="","",IFERROR(INDEX(マスター!$C$6:$C$125,MATCH(A11,マスター!$M$6:$M$125,0))&amp;"","マスター未登録"))</f>
        <v/>
      </c>
      <c r="C11" s="25" t="n"/>
      <c r="D11" s="25" t="n"/>
      <c r="E11" s="19" t="n"/>
      <c r="F11" s="19" t="n"/>
      <c r="G11" s="15">
        <f>IF(OR(A11="",C11=""),"",IF(AND(集計!$C$5&gt;=C11,OR(D11="",集計!$C$5&lt;D11)),"○",""))</f>
        <v/>
      </c>
    </row>
    <row r="12">
      <c r="A12" s="19" t="n"/>
      <c r="B12" s="15">
        <f>IF(A12="","",IFERROR(INDEX(マスター!$C$6:$C$125,MATCH(A12,マスター!$M$6:$M$125,0))&amp;"","マスター未登録"))</f>
        <v/>
      </c>
      <c r="C12" s="25" t="n"/>
      <c r="D12" s="25" t="n"/>
      <c r="E12" s="19" t="n"/>
      <c r="F12" s="19" t="n"/>
      <c r="G12" s="15">
        <f>IF(OR(A12="",C12=""),"",IF(AND(集計!$C$5&gt;=C12,OR(D12="",集計!$C$5&lt;D12)),"○",""))</f>
        <v/>
      </c>
    </row>
    <row r="13">
      <c r="A13" s="19" t="n"/>
      <c r="B13" s="15">
        <f>IF(A13="","",IFERROR(INDEX(マスター!$C$6:$C$125,MATCH(A13,マスター!$M$6:$M$125,0))&amp;"","マスター未登録"))</f>
        <v/>
      </c>
      <c r="C13" s="25" t="n"/>
      <c r="D13" s="25" t="n"/>
      <c r="E13" s="19" t="n"/>
      <c r="F13" s="19" t="n"/>
      <c r="G13" s="15">
        <f>IF(OR(A13="",C13=""),"",IF(AND(集計!$C$5&gt;=C13,OR(D13="",集計!$C$5&lt;D13)),"○",""))</f>
        <v/>
      </c>
    </row>
    <row r="14">
      <c r="A14" s="19" t="n"/>
      <c r="B14" s="15">
        <f>IF(A14="","",IFERROR(INDEX(マスター!$C$6:$C$125,MATCH(A14,マスター!$M$6:$M$125,0))&amp;"","マスター未登録"))</f>
        <v/>
      </c>
      <c r="C14" s="25" t="n"/>
      <c r="D14" s="25" t="n"/>
      <c r="E14" s="19" t="n"/>
      <c r="F14" s="19" t="n"/>
      <c r="G14" s="15">
        <f>IF(OR(A14="",C14=""),"",IF(AND(集計!$C$5&gt;=C14,OR(D14="",集計!$C$5&lt;D14)),"○",""))</f>
        <v/>
      </c>
    </row>
    <row r="15">
      <c r="A15" s="19" t="n"/>
      <c r="B15" s="15">
        <f>IF(A15="","",IFERROR(INDEX(マスター!$C$6:$C$125,MATCH(A15,マスター!$M$6:$M$125,0))&amp;"","マスター未登録"))</f>
        <v/>
      </c>
      <c r="C15" s="25" t="n"/>
      <c r="D15" s="25" t="n"/>
      <c r="E15" s="19" t="n"/>
      <c r="F15" s="19" t="n"/>
      <c r="G15" s="15">
        <f>IF(OR(A15="",C15=""),"",IF(AND(集計!$C$5&gt;=C15,OR(D15="",集計!$C$5&lt;D15)),"○",""))</f>
        <v/>
      </c>
    </row>
    <row r="16">
      <c r="A16" s="19" t="n"/>
      <c r="B16" s="15">
        <f>IF(A16="","",IFERROR(INDEX(マスター!$C$6:$C$125,MATCH(A16,マスター!$M$6:$M$125,0))&amp;"","マスター未登録"))</f>
        <v/>
      </c>
      <c r="C16" s="25" t="n"/>
      <c r="D16" s="25" t="n"/>
      <c r="E16" s="19" t="n"/>
      <c r="F16" s="19" t="n"/>
      <c r="G16" s="15">
        <f>IF(OR(A16="",C16=""),"",IF(AND(集計!$C$5&gt;=C16,OR(D16="",集計!$C$5&lt;D16)),"○",""))</f>
        <v/>
      </c>
    </row>
    <row r="17">
      <c r="A17" s="19" t="n"/>
      <c r="B17" s="15">
        <f>IF(A17="","",IFERROR(INDEX(マスター!$C$6:$C$125,MATCH(A17,マスター!$M$6:$M$125,0))&amp;"","マスター未登録"))</f>
        <v/>
      </c>
      <c r="C17" s="25" t="n"/>
      <c r="D17" s="25" t="n"/>
      <c r="E17" s="19" t="n"/>
      <c r="F17" s="19" t="n"/>
      <c r="G17" s="15">
        <f>IF(OR(A17="",C17=""),"",IF(AND(集計!$C$5&gt;=C17,OR(D17="",集計!$C$5&lt;D17)),"○",""))</f>
        <v/>
      </c>
    </row>
    <row r="18">
      <c r="A18" s="19" t="n"/>
      <c r="B18" s="15">
        <f>IF(A18="","",IFERROR(INDEX(マスター!$C$6:$C$125,MATCH(A18,マスター!$M$6:$M$125,0))&amp;"","マスター未登録"))</f>
        <v/>
      </c>
      <c r="C18" s="25" t="n"/>
      <c r="D18" s="25" t="n"/>
      <c r="E18" s="19" t="n"/>
      <c r="F18" s="19" t="n"/>
      <c r="G18" s="15">
        <f>IF(OR(A18="",C18=""),"",IF(AND(集計!$C$5&gt;=C18,OR(D18="",集計!$C$5&lt;D18)),"○",""))</f>
        <v/>
      </c>
    </row>
    <row r="19">
      <c r="A19" s="19" t="n"/>
      <c r="B19" s="15">
        <f>IF(A19="","",IFERROR(INDEX(マスター!$C$6:$C$125,MATCH(A19,マスター!$M$6:$M$125,0))&amp;"","マスター未登録"))</f>
        <v/>
      </c>
      <c r="C19" s="25" t="n"/>
      <c r="D19" s="25" t="n"/>
      <c r="E19" s="19" t="n"/>
      <c r="F19" s="19" t="n"/>
      <c r="G19" s="15">
        <f>IF(OR(A19="",C19=""),"",IF(AND(集計!$C$5&gt;=C19,OR(D19="",集計!$C$5&lt;D19)),"○",""))</f>
        <v/>
      </c>
    </row>
    <row r="20">
      <c r="A20" s="19" t="n"/>
      <c r="B20" s="15">
        <f>IF(A20="","",IFERROR(INDEX(マスター!$C$6:$C$125,MATCH(A20,マスター!$M$6:$M$125,0))&amp;"","マスター未登録"))</f>
        <v/>
      </c>
      <c r="C20" s="25" t="n"/>
      <c r="D20" s="25" t="n"/>
      <c r="E20" s="19" t="n"/>
      <c r="F20" s="19" t="n"/>
      <c r="G20" s="15">
        <f>IF(OR(A20="",C20=""),"",IF(AND(集計!$C$5&gt;=C20,OR(D20="",集計!$C$5&lt;D20)),"○",""))</f>
        <v/>
      </c>
    </row>
    <row r="21">
      <c r="A21" s="19" t="n"/>
      <c r="B21" s="15">
        <f>IF(A21="","",IFERROR(INDEX(マスター!$C$6:$C$125,MATCH(A21,マスター!$M$6:$M$125,0))&amp;"","マスター未登録"))</f>
        <v/>
      </c>
      <c r="C21" s="25" t="n"/>
      <c r="D21" s="25" t="n"/>
      <c r="E21" s="19" t="n"/>
      <c r="F21" s="19" t="n"/>
      <c r="G21" s="15">
        <f>IF(OR(A21="",C21=""),"",IF(AND(集計!$C$5&gt;=C21,OR(D21="",集計!$C$5&lt;D21)),"○",""))</f>
        <v/>
      </c>
    </row>
    <row r="22">
      <c r="A22" s="19" t="n"/>
      <c r="B22" s="15">
        <f>IF(A22="","",IFERROR(INDEX(マスター!$C$6:$C$125,MATCH(A22,マスター!$M$6:$M$125,0))&amp;"","マスター未登録"))</f>
        <v/>
      </c>
      <c r="C22" s="25" t="n"/>
      <c r="D22" s="25" t="n"/>
      <c r="E22" s="19" t="n"/>
      <c r="F22" s="19" t="n"/>
      <c r="G22" s="15">
        <f>IF(OR(A22="",C22=""),"",IF(AND(集計!$C$5&gt;=C22,OR(D22="",集計!$C$5&lt;D22)),"○",""))</f>
        <v/>
      </c>
    </row>
    <row r="23">
      <c r="A23" s="19" t="n"/>
      <c r="B23" s="15">
        <f>IF(A23="","",IFERROR(INDEX(マスター!$C$6:$C$125,MATCH(A23,マスター!$M$6:$M$125,0))&amp;"","マスター未登録"))</f>
        <v/>
      </c>
      <c r="C23" s="25" t="n"/>
      <c r="D23" s="25" t="n"/>
      <c r="E23" s="19" t="n"/>
      <c r="F23" s="19" t="n"/>
      <c r="G23" s="15">
        <f>IF(OR(A23="",C23=""),"",IF(AND(集計!$C$5&gt;=C23,OR(D23="",集計!$C$5&lt;D23)),"○",""))</f>
        <v/>
      </c>
    </row>
    <row r="24">
      <c r="A24" s="19" t="n"/>
      <c r="B24" s="15">
        <f>IF(A24="","",IFERROR(INDEX(マスター!$C$6:$C$125,MATCH(A24,マスター!$M$6:$M$125,0))&amp;"","マスター未登録"))</f>
        <v/>
      </c>
      <c r="C24" s="25" t="n"/>
      <c r="D24" s="25" t="n"/>
      <c r="E24" s="19" t="n"/>
      <c r="F24" s="19" t="n"/>
      <c r="G24" s="15">
        <f>IF(OR(A24="",C24=""),"",IF(AND(集計!$C$5&gt;=C24,OR(D24="",集計!$C$5&lt;D24)),"○",""))</f>
        <v/>
      </c>
    </row>
    <row r="25">
      <c r="A25" s="19" t="n"/>
      <c r="B25" s="15">
        <f>IF(A25="","",IFERROR(INDEX(マスター!$C$6:$C$125,MATCH(A25,マスター!$M$6:$M$125,0))&amp;"","マスター未登録"))</f>
        <v/>
      </c>
      <c r="C25" s="25" t="n"/>
      <c r="D25" s="25" t="n"/>
      <c r="E25" s="19" t="n"/>
      <c r="F25" s="19" t="n"/>
      <c r="G25" s="15">
        <f>IF(OR(A25="",C25=""),"",IF(AND(集計!$C$5&gt;=C25,OR(D25="",集計!$C$5&lt;D25)),"○",""))</f>
        <v/>
      </c>
    </row>
    <row r="26">
      <c r="A26" s="19" t="n"/>
      <c r="B26" s="15">
        <f>IF(A26="","",IFERROR(INDEX(マスター!$C$6:$C$125,MATCH(A26,マスター!$M$6:$M$125,0))&amp;"","マスター未登録"))</f>
        <v/>
      </c>
      <c r="C26" s="25" t="n"/>
      <c r="D26" s="25" t="n"/>
      <c r="E26" s="19" t="n"/>
      <c r="F26" s="19" t="n"/>
      <c r="G26" s="15">
        <f>IF(OR(A26="",C26=""),"",IF(AND(集計!$C$5&gt;=C26,OR(D26="",集計!$C$5&lt;D26)),"○",""))</f>
        <v/>
      </c>
    </row>
    <row r="27">
      <c r="A27" s="19" t="n"/>
      <c r="B27" s="15">
        <f>IF(A27="","",IFERROR(INDEX(マスター!$C$6:$C$125,MATCH(A27,マスター!$M$6:$M$125,0))&amp;"","マスター未登録"))</f>
        <v/>
      </c>
      <c r="C27" s="25" t="n"/>
      <c r="D27" s="25" t="n"/>
      <c r="E27" s="19" t="n"/>
      <c r="F27" s="19" t="n"/>
      <c r="G27" s="15">
        <f>IF(OR(A27="",C27=""),"",IF(AND(集計!$C$5&gt;=C27,OR(D27="",集計!$C$5&lt;D27)),"○",""))</f>
        <v/>
      </c>
    </row>
    <row r="28">
      <c r="A28" s="19" t="n"/>
      <c r="B28" s="15">
        <f>IF(A28="","",IFERROR(INDEX(マスター!$C$6:$C$125,MATCH(A28,マスター!$M$6:$M$125,0))&amp;"","マスター未登録"))</f>
        <v/>
      </c>
      <c r="C28" s="25" t="n"/>
      <c r="D28" s="25" t="n"/>
      <c r="E28" s="19" t="n"/>
      <c r="F28" s="19" t="n"/>
      <c r="G28" s="15">
        <f>IF(OR(A28="",C28=""),"",IF(AND(集計!$C$5&gt;=C28,OR(D28="",集計!$C$5&lt;D28)),"○",""))</f>
        <v/>
      </c>
    </row>
    <row r="29">
      <c r="A29" s="19" t="n"/>
      <c r="B29" s="15">
        <f>IF(A29="","",IFERROR(INDEX(マスター!$C$6:$C$125,MATCH(A29,マスター!$M$6:$M$125,0))&amp;"","マスター未登録"))</f>
        <v/>
      </c>
      <c r="C29" s="25" t="n"/>
      <c r="D29" s="25" t="n"/>
      <c r="E29" s="19" t="n"/>
      <c r="F29" s="19" t="n"/>
      <c r="G29" s="15">
        <f>IF(OR(A29="",C29=""),"",IF(AND(集計!$C$5&gt;=C29,OR(D29="",集計!$C$5&lt;D29)),"○",""))</f>
        <v/>
      </c>
    </row>
    <row r="30">
      <c r="A30" s="19" t="n"/>
      <c r="B30" s="15">
        <f>IF(A30="","",IFERROR(INDEX(マスター!$C$6:$C$125,MATCH(A30,マスター!$M$6:$M$125,0))&amp;"","マスター未登録"))</f>
        <v/>
      </c>
      <c r="C30" s="25" t="n"/>
      <c r="D30" s="25" t="n"/>
      <c r="E30" s="19" t="n"/>
      <c r="F30" s="19" t="n"/>
      <c r="G30" s="15">
        <f>IF(OR(A30="",C30=""),"",IF(AND(集計!$C$5&gt;=C30,OR(D30="",集計!$C$5&lt;D30)),"○",""))</f>
        <v/>
      </c>
    </row>
    <row r="31">
      <c r="A31" s="19" t="n"/>
      <c r="B31" s="15">
        <f>IF(A31="","",IFERROR(INDEX(マスター!$C$6:$C$125,MATCH(A31,マスター!$M$6:$M$125,0))&amp;"","マスター未登録"))</f>
        <v/>
      </c>
      <c r="C31" s="25" t="n"/>
      <c r="D31" s="25" t="n"/>
      <c r="E31" s="19" t="n"/>
      <c r="F31" s="19" t="n"/>
      <c r="G31" s="15">
        <f>IF(OR(A31="",C31=""),"",IF(AND(集計!$C$5&gt;=C31,OR(D31="",集計!$C$5&lt;D31)),"○",""))</f>
        <v/>
      </c>
    </row>
    <row r="32">
      <c r="A32" s="19" t="n"/>
      <c r="B32" s="15">
        <f>IF(A32="","",IFERROR(INDEX(マスター!$C$6:$C$125,MATCH(A32,マスター!$M$6:$M$125,0))&amp;"","マスター未登録"))</f>
        <v/>
      </c>
      <c r="C32" s="25" t="n"/>
      <c r="D32" s="25" t="n"/>
      <c r="E32" s="19" t="n"/>
      <c r="F32" s="19" t="n"/>
      <c r="G32" s="15">
        <f>IF(OR(A32="",C32=""),"",IF(AND(集計!$C$5&gt;=C32,OR(D32="",集計!$C$5&lt;D32)),"○",""))</f>
        <v/>
      </c>
    </row>
    <row r="33">
      <c r="A33" s="19" t="n"/>
      <c r="B33" s="15">
        <f>IF(A33="","",IFERROR(INDEX(マスター!$C$6:$C$125,MATCH(A33,マスター!$M$6:$M$125,0))&amp;"","マスター未登録"))</f>
        <v/>
      </c>
      <c r="C33" s="25" t="n"/>
      <c r="D33" s="25" t="n"/>
      <c r="E33" s="19" t="n"/>
      <c r="F33" s="19" t="n"/>
      <c r="G33" s="15">
        <f>IF(OR(A33="",C33=""),"",IF(AND(集計!$C$5&gt;=C33,OR(D33="",集計!$C$5&lt;D33)),"○",""))</f>
        <v/>
      </c>
    </row>
    <row r="34">
      <c r="A34" s="19" t="n"/>
      <c r="B34" s="15">
        <f>IF(A34="","",IFERROR(INDEX(マスター!$C$6:$C$125,MATCH(A34,マスター!$M$6:$M$125,0))&amp;"","マスター未登録"))</f>
        <v/>
      </c>
      <c r="C34" s="25" t="n"/>
      <c r="D34" s="25" t="n"/>
      <c r="E34" s="19" t="n"/>
      <c r="F34" s="19" t="n"/>
      <c r="G34" s="15">
        <f>IF(OR(A34="",C34=""),"",IF(AND(集計!$C$5&gt;=C34,OR(D34="",集計!$C$5&lt;D34)),"○",""))</f>
        <v/>
      </c>
    </row>
    <row r="35">
      <c r="A35" s="19" t="n"/>
      <c r="B35" s="15">
        <f>IF(A35="","",IFERROR(INDEX(マスター!$C$6:$C$125,MATCH(A35,マスター!$M$6:$M$125,0))&amp;"","マスター未登録"))</f>
        <v/>
      </c>
      <c r="C35" s="25" t="n"/>
      <c r="D35" s="25" t="n"/>
      <c r="E35" s="19" t="n"/>
      <c r="F35" s="19" t="n"/>
      <c r="G35" s="15">
        <f>IF(OR(A35="",C35=""),"",IF(AND(集計!$C$5&gt;=C35,OR(D35="",集計!$C$5&lt;D35)),"○",""))</f>
        <v/>
      </c>
    </row>
    <row r="36">
      <c r="A36" s="19" t="n"/>
      <c r="B36" s="15">
        <f>IF(A36="","",IFERROR(INDEX(マスター!$C$6:$C$125,MATCH(A36,マスター!$M$6:$M$125,0))&amp;"","マスター未登録"))</f>
        <v/>
      </c>
      <c r="C36" s="25" t="n"/>
      <c r="D36" s="25" t="n"/>
      <c r="E36" s="19" t="n"/>
      <c r="F36" s="19" t="n"/>
      <c r="G36" s="15">
        <f>IF(OR(A36="",C36=""),"",IF(AND(集計!$C$5&gt;=C36,OR(D36="",集計!$C$5&lt;D36)),"○",""))</f>
        <v/>
      </c>
    </row>
    <row r="37">
      <c r="A37" s="19" t="n"/>
      <c r="B37" s="15">
        <f>IF(A37="","",IFERROR(INDEX(マスター!$C$6:$C$125,MATCH(A37,マスター!$M$6:$M$125,0))&amp;"","マスター未登録"))</f>
        <v/>
      </c>
      <c r="C37" s="25" t="n"/>
      <c r="D37" s="25" t="n"/>
      <c r="E37" s="19" t="n"/>
      <c r="F37" s="19" t="n"/>
      <c r="G37" s="15">
        <f>IF(OR(A37="",C37=""),"",IF(AND(集計!$C$5&gt;=C37,OR(D37="",集計!$C$5&lt;D37)),"○",""))</f>
        <v/>
      </c>
    </row>
    <row r="38">
      <c r="A38" s="19" t="n"/>
      <c r="B38" s="15">
        <f>IF(A38="","",IFERROR(INDEX(マスター!$C$6:$C$125,MATCH(A38,マスター!$M$6:$M$125,0))&amp;"","マスター未登録"))</f>
        <v/>
      </c>
      <c r="C38" s="25" t="n"/>
      <c r="D38" s="25" t="n"/>
      <c r="E38" s="19" t="n"/>
      <c r="F38" s="19" t="n"/>
      <c r="G38" s="15">
        <f>IF(OR(A38="",C38=""),"",IF(AND(集計!$C$5&gt;=C38,OR(D38="",集計!$C$5&lt;D38)),"○",""))</f>
        <v/>
      </c>
    </row>
    <row r="39">
      <c r="A39" s="19" t="n"/>
      <c r="B39" s="15">
        <f>IF(A39="","",IFERROR(INDEX(マスター!$C$6:$C$125,MATCH(A39,マスター!$M$6:$M$125,0))&amp;"","マスター未登録"))</f>
        <v/>
      </c>
      <c r="C39" s="25" t="n"/>
      <c r="D39" s="25" t="n"/>
      <c r="E39" s="19" t="n"/>
      <c r="F39" s="19" t="n"/>
      <c r="G39" s="15">
        <f>IF(OR(A39="",C39=""),"",IF(AND(集計!$C$5&gt;=C39,OR(D39="",集計!$C$5&lt;D39)),"○",""))</f>
        <v/>
      </c>
    </row>
    <row r="40">
      <c r="A40" s="19" t="n"/>
      <c r="B40" s="15">
        <f>IF(A40="","",IFERROR(INDEX(マスター!$C$6:$C$125,MATCH(A40,マスター!$M$6:$M$125,0))&amp;"","マスター未登録"))</f>
        <v/>
      </c>
      <c r="C40" s="25" t="n"/>
      <c r="D40" s="25" t="n"/>
      <c r="E40" s="19" t="n"/>
      <c r="F40" s="19" t="n"/>
      <c r="G40" s="15">
        <f>IF(OR(A40="",C40=""),"",IF(AND(集計!$C$5&gt;=C40,OR(D40="",集計!$C$5&lt;D40)),"○",""))</f>
        <v/>
      </c>
    </row>
    <row r="41">
      <c r="A41" s="19" t="n"/>
      <c r="B41" s="15">
        <f>IF(A41="","",IFERROR(INDEX(マスター!$C$6:$C$125,MATCH(A41,マスター!$M$6:$M$125,0))&amp;"","マスター未登録"))</f>
        <v/>
      </c>
      <c r="C41" s="25" t="n"/>
      <c r="D41" s="25" t="n"/>
      <c r="E41" s="19" t="n"/>
      <c r="F41" s="19" t="n"/>
      <c r="G41" s="15">
        <f>IF(OR(A41="",C41=""),"",IF(AND(集計!$C$5&gt;=C41,OR(D41="",集計!$C$5&lt;D41)),"○",""))</f>
        <v/>
      </c>
    </row>
    <row r="42">
      <c r="A42" s="19" t="n"/>
      <c r="B42" s="15">
        <f>IF(A42="","",IFERROR(INDEX(マスター!$C$6:$C$125,MATCH(A42,マスター!$M$6:$M$125,0))&amp;"","マスター未登録"))</f>
        <v/>
      </c>
      <c r="C42" s="25" t="n"/>
      <c r="D42" s="25" t="n"/>
      <c r="E42" s="19" t="n"/>
      <c r="F42" s="19" t="n"/>
      <c r="G42" s="15">
        <f>IF(OR(A42="",C42=""),"",IF(AND(集計!$C$5&gt;=C42,OR(D42="",集計!$C$5&lt;D42)),"○",""))</f>
        <v/>
      </c>
    </row>
    <row r="43">
      <c r="A43" s="19" t="n"/>
      <c r="B43" s="15">
        <f>IF(A43="","",IFERROR(INDEX(マスター!$C$6:$C$125,MATCH(A43,マスター!$M$6:$M$125,0))&amp;"","マスター未登録"))</f>
        <v/>
      </c>
      <c r="C43" s="25" t="n"/>
      <c r="D43" s="25" t="n"/>
      <c r="E43" s="19" t="n"/>
      <c r="F43" s="19" t="n"/>
      <c r="G43" s="15">
        <f>IF(OR(A43="",C43=""),"",IF(AND(集計!$C$5&gt;=C43,OR(D43="",集計!$C$5&lt;D43)),"○",""))</f>
        <v/>
      </c>
    </row>
    <row r="44">
      <c r="A44" s="19" t="n"/>
      <c r="B44" s="15">
        <f>IF(A44="","",IFERROR(INDEX(マスター!$C$6:$C$125,MATCH(A44,マスター!$M$6:$M$125,0))&amp;"","マスター未登録"))</f>
        <v/>
      </c>
      <c r="C44" s="25" t="n"/>
      <c r="D44" s="25" t="n"/>
      <c r="E44" s="19" t="n"/>
      <c r="F44" s="19" t="n"/>
      <c r="G44" s="15">
        <f>IF(OR(A44="",C44=""),"",IF(AND(集計!$C$5&gt;=C44,OR(D44="",集計!$C$5&lt;D44)),"○",""))</f>
        <v/>
      </c>
    </row>
    <row r="45">
      <c r="A45" s="19" t="n"/>
      <c r="B45" s="15">
        <f>IF(A45="","",IFERROR(INDEX(マスター!$C$6:$C$125,MATCH(A45,マスター!$M$6:$M$125,0))&amp;"","マスター未登録"))</f>
        <v/>
      </c>
      <c r="C45" s="25" t="n"/>
      <c r="D45" s="25" t="n"/>
      <c r="E45" s="19" t="n"/>
      <c r="F45" s="19" t="n"/>
      <c r="G45" s="15">
        <f>IF(OR(A45="",C45=""),"",IF(AND(集計!$C$5&gt;=C45,OR(D45="",集計!$C$5&lt;D45)),"○",""))</f>
        <v/>
      </c>
    </row>
    <row r="46">
      <c r="A46" s="19" t="n"/>
      <c r="B46" s="15">
        <f>IF(A46="","",IFERROR(INDEX(マスター!$C$6:$C$125,MATCH(A46,マスター!$M$6:$M$125,0))&amp;"","マスター未登録"))</f>
        <v/>
      </c>
      <c r="C46" s="25" t="n"/>
      <c r="D46" s="25" t="n"/>
      <c r="E46" s="19" t="n"/>
      <c r="F46" s="19" t="n"/>
      <c r="G46" s="15">
        <f>IF(OR(A46="",C46=""),"",IF(AND(集計!$C$5&gt;=C46,OR(D46="",集計!$C$5&lt;D46)),"○",""))</f>
        <v/>
      </c>
    </row>
    <row r="47">
      <c r="A47" s="19" t="n"/>
      <c r="B47" s="15">
        <f>IF(A47="","",IFERROR(INDEX(マスター!$C$6:$C$125,MATCH(A47,マスター!$M$6:$M$125,0))&amp;"","マスター未登録"))</f>
        <v/>
      </c>
      <c r="C47" s="25" t="n"/>
      <c r="D47" s="25" t="n"/>
      <c r="E47" s="19" t="n"/>
      <c r="F47" s="19" t="n"/>
      <c r="G47" s="15">
        <f>IF(OR(A47="",C47=""),"",IF(AND(集計!$C$5&gt;=C47,OR(D47="",集計!$C$5&lt;D47)),"○",""))</f>
        <v/>
      </c>
    </row>
    <row r="48">
      <c r="A48" s="19" t="n"/>
      <c r="B48" s="15">
        <f>IF(A48="","",IFERROR(INDEX(マスター!$C$6:$C$125,MATCH(A48,マスター!$M$6:$M$125,0))&amp;"","マスター未登録"))</f>
        <v/>
      </c>
      <c r="C48" s="25" t="n"/>
      <c r="D48" s="25" t="n"/>
      <c r="E48" s="19" t="n"/>
      <c r="F48" s="19" t="n"/>
      <c r="G48" s="15">
        <f>IF(OR(A48="",C48=""),"",IF(AND(集計!$C$5&gt;=C48,OR(D48="",集計!$C$5&lt;D48)),"○",""))</f>
        <v/>
      </c>
    </row>
    <row r="49">
      <c r="A49" s="19" t="n"/>
      <c r="B49" s="15">
        <f>IF(A49="","",IFERROR(INDEX(マスター!$C$6:$C$125,MATCH(A49,マスター!$M$6:$M$125,0))&amp;"","マスター未登録"))</f>
        <v/>
      </c>
      <c r="C49" s="25" t="n"/>
      <c r="D49" s="25" t="n"/>
      <c r="E49" s="19" t="n"/>
      <c r="F49" s="19" t="n"/>
      <c r="G49" s="15">
        <f>IF(OR(A49="",C49=""),"",IF(AND(集計!$C$5&gt;=C49,OR(D49="",集計!$C$5&lt;D49)),"○",""))</f>
        <v/>
      </c>
    </row>
    <row r="50">
      <c r="A50" s="19" t="n"/>
      <c r="B50" s="15">
        <f>IF(A50="","",IFERROR(INDEX(マスター!$C$6:$C$125,MATCH(A50,マスター!$M$6:$M$125,0))&amp;"","マスター未登録"))</f>
        <v/>
      </c>
      <c r="C50" s="25" t="n"/>
      <c r="D50" s="25" t="n"/>
      <c r="E50" s="19" t="n"/>
      <c r="F50" s="19" t="n"/>
      <c r="G50" s="15">
        <f>IF(OR(A50="",C50=""),"",IF(AND(集計!$C$5&gt;=C50,OR(D50="",集計!$C$5&lt;D50)),"○",""))</f>
        <v/>
      </c>
    </row>
    <row r="51">
      <c r="A51" s="19" t="n"/>
      <c r="B51" s="15">
        <f>IF(A51="","",IFERROR(INDEX(マスター!$C$6:$C$125,MATCH(A51,マスター!$M$6:$M$125,0))&amp;"","マスター未登録"))</f>
        <v/>
      </c>
      <c r="C51" s="25" t="n"/>
      <c r="D51" s="25" t="n"/>
      <c r="E51" s="19" t="n"/>
      <c r="F51" s="19" t="n"/>
      <c r="G51" s="15">
        <f>IF(OR(A51="",C51=""),"",IF(AND(集計!$C$5&gt;=C51,OR(D51="",集計!$C$5&lt;D51)),"○",""))</f>
        <v/>
      </c>
    </row>
    <row r="52">
      <c r="A52" s="19" t="n"/>
      <c r="B52" s="15">
        <f>IF(A52="","",IFERROR(INDEX(マスター!$C$6:$C$125,MATCH(A52,マスター!$M$6:$M$125,0))&amp;"","マスター未登録"))</f>
        <v/>
      </c>
      <c r="C52" s="25" t="n"/>
      <c r="D52" s="25" t="n"/>
      <c r="E52" s="19" t="n"/>
      <c r="F52" s="19" t="n"/>
      <c r="G52" s="15">
        <f>IF(OR(A52="",C52=""),"",IF(AND(集計!$C$5&gt;=C52,OR(D52="",集計!$C$5&lt;D52)),"○",""))</f>
        <v/>
      </c>
    </row>
    <row r="53">
      <c r="A53" s="19" t="n"/>
      <c r="B53" s="15">
        <f>IF(A53="","",IFERROR(INDEX(マスター!$C$6:$C$125,MATCH(A53,マスター!$M$6:$M$125,0))&amp;"","マスター未登録"))</f>
        <v/>
      </c>
      <c r="C53" s="25" t="n"/>
      <c r="D53" s="25" t="n"/>
      <c r="E53" s="19" t="n"/>
      <c r="F53" s="19" t="n"/>
      <c r="G53" s="15">
        <f>IF(OR(A53="",C53=""),"",IF(AND(集計!$C$5&gt;=C53,OR(D53="",集計!$C$5&lt;D53)),"○",""))</f>
        <v/>
      </c>
    </row>
    <row r="54">
      <c r="A54" s="19" t="n"/>
      <c r="B54" s="15">
        <f>IF(A54="","",IFERROR(INDEX(マスター!$C$6:$C$125,MATCH(A54,マスター!$M$6:$M$125,0))&amp;"","マスター未登録"))</f>
        <v/>
      </c>
      <c r="C54" s="25" t="n"/>
      <c r="D54" s="25" t="n"/>
      <c r="E54" s="19" t="n"/>
      <c r="F54" s="19" t="n"/>
      <c r="G54" s="15">
        <f>IF(OR(A54="",C54=""),"",IF(AND(集計!$C$5&gt;=C54,OR(D54="",集計!$C$5&lt;D54)),"○",""))</f>
        <v/>
      </c>
    </row>
    <row r="55">
      <c r="A55" s="19" t="n"/>
      <c r="B55" s="15">
        <f>IF(A55="","",IFERROR(INDEX(マスター!$C$6:$C$125,MATCH(A55,マスター!$M$6:$M$125,0))&amp;"","マスター未登録"))</f>
        <v/>
      </c>
      <c r="C55" s="25" t="n"/>
      <c r="D55" s="25" t="n"/>
      <c r="E55" s="19" t="n"/>
      <c r="F55" s="19" t="n"/>
      <c r="G55" s="15">
        <f>IF(OR(A55="",C55=""),"",IF(AND(集計!$C$5&gt;=C55,OR(D55="",集計!$C$5&lt;D55)),"○",""))</f>
        <v/>
      </c>
    </row>
  </sheetData>
  <dataValidations count="2">
    <dataValidation sqref="A6:A55" showDropDown="0" showInputMessage="0" showErrorMessage="0" allowBlank="1" errorTitle="選択してください" error="一覧から選んでください（一覧にない場合は「マスター」シートへ追加してください）" type="list">
      <formula1>=船名リスト</formula1>
    </dataValidation>
    <dataValidation sqref="F6:F55" showDropDown="0" showInputMessage="0" showErrorMessage="0" allowBlank="1" errorTitle="選択してください" error="一覧から選んでください（一覧にない場合は「マスター」シートへ追加してください）" type="list">
      <formula1>=選択_確認状況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5"/>
  <sheetViews>
    <sheetView tabSelected="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16" customWidth="1" min="5" max="5"/>
    <col width="12" customWidth="1" min="6" max="6"/>
    <col width="20" customWidth="1" min="7" max="7"/>
    <col width="10" customWidth="1" min="8" max="8"/>
    <col width="9" customWidth="1" min="9" max="9"/>
    <col width="22" customWidth="1" min="10" max="10"/>
  </cols>
  <sheetData>
    <row r="1">
      <c r="A1" s="10" t="inlineStr">
        <is>
          <t>他港作業（西日本海運の全他港作業。関豊丸・長豊丸に限定しない）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 t="inlineStr">
        <is>
          <t>誰が：西日本海運担当者　何を見て：西日本海運の作業記録　どこへ：A6から1作業ごとに1行。実時刻が分からない場合は「時刻の確認状況」で区別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</row>
    <row r="3">
      <c r="A3" s="13" t="inlineStr">
        <is>
          <t>集計先：「集計」の対象日に他港作業で拘束された船数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</row>
    <row r="5" ht="45" customHeight="1">
      <c r="A5" s="22" t="inlineStr">
        <is>
          <t>船名【入力・選択】</t>
        </is>
      </c>
      <c r="B5" s="14" t="inlineStr">
        <is>
          <t>会社【自動】</t>
        </is>
      </c>
      <c r="C5" s="22" t="inlineStr">
        <is>
          <t>作業港【入力】</t>
        </is>
      </c>
      <c r="D5" s="22" t="inlineStr">
        <is>
          <t>基地発日時【入力】</t>
        </is>
      </c>
      <c r="E5" s="22" t="inlineStr">
        <is>
          <t>基地着日時【入力】</t>
        </is>
      </c>
      <c r="F5" s="22" t="inlineStr">
        <is>
          <t>時刻の確認状況【入力・選択】</t>
        </is>
      </c>
      <c r="G5" s="22" t="inlineStr">
        <is>
          <t>情報元【入力】</t>
        </is>
      </c>
      <c r="H5" s="22" t="inlineStr">
        <is>
          <t>確認者【入力】</t>
        </is>
      </c>
      <c r="I5" s="14" t="inlineStr">
        <is>
          <t>対象日に拘束【自動】</t>
        </is>
      </c>
      <c r="J5" s="14" t="inlineStr">
        <is>
          <t>会社の確認【自動】</t>
        </is>
      </c>
    </row>
    <row r="6">
      <c r="A6" s="19" t="n"/>
      <c r="B6" s="15">
        <f>IF(A6="","",IFERROR(INDEX(マスター!$C$6:$C$125,MATCH(A6,マスター!$M$6:$M$125,0))&amp;"","マスター未登録"))</f>
        <v/>
      </c>
      <c r="C6" s="19" t="n"/>
      <c r="D6" s="21" t="n"/>
      <c r="E6" s="21" t="n"/>
      <c r="F6" s="19" t="n"/>
      <c r="G6" s="19" t="n"/>
      <c r="H6" s="19" t="n"/>
      <c r="I6" s="15">
        <f>IF(OR(A6="",D6=""),"",IF(AND(D6&lt;集計!$C$5+1,OR(E6="",E6&gt;集計!$C$5)),"○",""))</f>
        <v/>
      </c>
      <c r="J6" s="15">
        <f>IF(A6="","",IF(B6="西日本海運","","西日本海運以外の船です（確認してください）"))</f>
        <v/>
      </c>
    </row>
    <row r="7">
      <c r="A7" s="19" t="n"/>
      <c r="B7" s="15">
        <f>IF(A7="","",IFERROR(INDEX(マスター!$C$6:$C$125,MATCH(A7,マスター!$M$6:$M$125,0))&amp;"","マスター未登録"))</f>
        <v/>
      </c>
      <c r="C7" s="19" t="n"/>
      <c r="D7" s="21" t="n"/>
      <c r="E7" s="21" t="n"/>
      <c r="F7" s="19" t="n"/>
      <c r="G7" s="19" t="n"/>
      <c r="H7" s="19" t="n"/>
      <c r="I7" s="15">
        <f>IF(OR(A7="",D7=""),"",IF(AND(D7&lt;集計!$C$5+1,OR(E7="",E7&gt;集計!$C$5)),"○",""))</f>
        <v/>
      </c>
      <c r="J7" s="15">
        <f>IF(A7="","",IF(B7="西日本海運","","西日本海運以外の船です（確認してください）"))</f>
        <v/>
      </c>
    </row>
    <row r="8">
      <c r="A8" s="19" t="n"/>
      <c r="B8" s="15">
        <f>IF(A8="","",IFERROR(INDEX(マスター!$C$6:$C$125,MATCH(A8,マスター!$M$6:$M$125,0))&amp;"","マスター未登録"))</f>
        <v/>
      </c>
      <c r="C8" s="19" t="n"/>
      <c r="D8" s="21" t="n"/>
      <c r="E8" s="21" t="n"/>
      <c r="F8" s="19" t="n"/>
      <c r="G8" s="19" t="n"/>
      <c r="H8" s="19" t="n"/>
      <c r="I8" s="15">
        <f>IF(OR(A8="",D8=""),"",IF(AND(D8&lt;集計!$C$5+1,OR(E8="",E8&gt;集計!$C$5)),"○",""))</f>
        <v/>
      </c>
      <c r="J8" s="15">
        <f>IF(A8="","",IF(B8="西日本海運","","西日本海運以外の船です（確認してください）"))</f>
        <v/>
      </c>
    </row>
    <row r="9">
      <c r="A9" s="19" t="n"/>
      <c r="B9" s="15">
        <f>IF(A9="","",IFERROR(INDEX(マスター!$C$6:$C$125,MATCH(A9,マスター!$M$6:$M$125,0))&amp;"","マスター未登録"))</f>
        <v/>
      </c>
      <c r="C9" s="19" t="n"/>
      <c r="D9" s="21" t="n"/>
      <c r="E9" s="21" t="n"/>
      <c r="F9" s="19" t="n"/>
      <c r="G9" s="19" t="n"/>
      <c r="H9" s="19" t="n"/>
      <c r="I9" s="15">
        <f>IF(OR(A9="",D9=""),"",IF(AND(D9&lt;集計!$C$5+1,OR(E9="",E9&gt;集計!$C$5)),"○",""))</f>
        <v/>
      </c>
      <c r="J9" s="15">
        <f>IF(A9="","",IF(B9="西日本海運","","西日本海運以外の船です（確認してください）"))</f>
        <v/>
      </c>
    </row>
    <row r="10">
      <c r="A10" s="19" t="n"/>
      <c r="B10" s="15">
        <f>IF(A10="","",IFERROR(INDEX(マスター!$C$6:$C$125,MATCH(A10,マスター!$M$6:$M$125,0))&amp;"","マスター未登録"))</f>
        <v/>
      </c>
      <c r="C10" s="19" t="n"/>
      <c r="D10" s="21" t="n"/>
      <c r="E10" s="21" t="n"/>
      <c r="F10" s="19" t="n"/>
      <c r="G10" s="19" t="n"/>
      <c r="H10" s="19" t="n"/>
      <c r="I10" s="15">
        <f>IF(OR(A10="",D10=""),"",IF(AND(D10&lt;集計!$C$5+1,OR(E10="",E10&gt;集計!$C$5)),"○",""))</f>
        <v/>
      </c>
      <c r="J10" s="15">
        <f>IF(A10="","",IF(B10="西日本海運","","西日本海運以外の船です（確認してください）"))</f>
        <v/>
      </c>
    </row>
    <row r="11">
      <c r="A11" s="19" t="n"/>
      <c r="B11" s="15">
        <f>IF(A11="","",IFERROR(INDEX(マスター!$C$6:$C$125,MATCH(A11,マスター!$M$6:$M$125,0))&amp;"","マスター未登録"))</f>
        <v/>
      </c>
      <c r="C11" s="19" t="n"/>
      <c r="D11" s="21" t="n"/>
      <c r="E11" s="21" t="n"/>
      <c r="F11" s="19" t="n"/>
      <c r="G11" s="19" t="n"/>
      <c r="H11" s="19" t="n"/>
      <c r="I11" s="15">
        <f>IF(OR(A11="",D11=""),"",IF(AND(D11&lt;集計!$C$5+1,OR(E11="",E11&gt;集計!$C$5)),"○",""))</f>
        <v/>
      </c>
      <c r="J11" s="15">
        <f>IF(A11="","",IF(B11="西日本海運","","西日本海運以外の船です（確認してください）"))</f>
        <v/>
      </c>
    </row>
    <row r="12">
      <c r="A12" s="19" t="n"/>
      <c r="B12" s="15">
        <f>IF(A12="","",IFERROR(INDEX(マスター!$C$6:$C$125,MATCH(A12,マスター!$M$6:$M$125,0))&amp;"","マスター未登録"))</f>
        <v/>
      </c>
      <c r="C12" s="19" t="n"/>
      <c r="D12" s="21" t="n"/>
      <c r="E12" s="21" t="n"/>
      <c r="F12" s="19" t="n"/>
      <c r="G12" s="19" t="n"/>
      <c r="H12" s="19" t="n"/>
      <c r="I12" s="15">
        <f>IF(OR(A12="",D12=""),"",IF(AND(D12&lt;集計!$C$5+1,OR(E12="",E12&gt;集計!$C$5)),"○",""))</f>
        <v/>
      </c>
      <c r="J12" s="15">
        <f>IF(A12="","",IF(B12="西日本海運","","西日本海運以外の船です（確認してください）"))</f>
        <v/>
      </c>
    </row>
    <row r="13">
      <c r="A13" s="19" t="n"/>
      <c r="B13" s="15">
        <f>IF(A13="","",IFERROR(INDEX(マスター!$C$6:$C$125,MATCH(A13,マスター!$M$6:$M$125,0))&amp;"","マスター未登録"))</f>
        <v/>
      </c>
      <c r="C13" s="19" t="n"/>
      <c r="D13" s="21" t="n"/>
      <c r="E13" s="21" t="n"/>
      <c r="F13" s="19" t="n"/>
      <c r="G13" s="19" t="n"/>
      <c r="H13" s="19" t="n"/>
      <c r="I13" s="15">
        <f>IF(OR(A13="",D13=""),"",IF(AND(D13&lt;集計!$C$5+1,OR(E13="",E13&gt;集計!$C$5)),"○",""))</f>
        <v/>
      </c>
      <c r="J13" s="15">
        <f>IF(A13="","",IF(B13="西日本海運","","西日本海運以外の船です（確認してください）"))</f>
        <v/>
      </c>
    </row>
    <row r="14">
      <c r="A14" s="19" t="n"/>
      <c r="B14" s="15">
        <f>IF(A14="","",IFERROR(INDEX(マスター!$C$6:$C$125,MATCH(A14,マスター!$M$6:$M$125,0))&amp;"","マスター未登録"))</f>
        <v/>
      </c>
      <c r="C14" s="19" t="n"/>
      <c r="D14" s="21" t="n"/>
      <c r="E14" s="21" t="n"/>
      <c r="F14" s="19" t="n"/>
      <c r="G14" s="19" t="n"/>
      <c r="H14" s="19" t="n"/>
      <c r="I14" s="15">
        <f>IF(OR(A14="",D14=""),"",IF(AND(D14&lt;集計!$C$5+1,OR(E14="",E14&gt;集計!$C$5)),"○",""))</f>
        <v/>
      </c>
      <c r="J14" s="15">
        <f>IF(A14="","",IF(B14="西日本海運","","西日本海運以外の船です（確認してください）"))</f>
        <v/>
      </c>
    </row>
    <row r="15">
      <c r="A15" s="19" t="n"/>
      <c r="B15" s="15">
        <f>IF(A15="","",IFERROR(INDEX(マスター!$C$6:$C$125,MATCH(A15,マスター!$M$6:$M$125,0))&amp;"","マスター未登録"))</f>
        <v/>
      </c>
      <c r="C15" s="19" t="n"/>
      <c r="D15" s="21" t="n"/>
      <c r="E15" s="21" t="n"/>
      <c r="F15" s="19" t="n"/>
      <c r="G15" s="19" t="n"/>
      <c r="H15" s="19" t="n"/>
      <c r="I15" s="15">
        <f>IF(OR(A15="",D15=""),"",IF(AND(D15&lt;集計!$C$5+1,OR(E15="",E15&gt;集計!$C$5)),"○",""))</f>
        <v/>
      </c>
      <c r="J15" s="15">
        <f>IF(A15="","",IF(B15="西日本海運","","西日本海運以外の船です（確認してください）"))</f>
        <v/>
      </c>
    </row>
    <row r="16">
      <c r="A16" s="19" t="n"/>
      <c r="B16" s="15">
        <f>IF(A16="","",IFERROR(INDEX(マスター!$C$6:$C$125,MATCH(A16,マスター!$M$6:$M$125,0))&amp;"","マスター未登録"))</f>
        <v/>
      </c>
      <c r="C16" s="19" t="n"/>
      <c r="D16" s="21" t="n"/>
      <c r="E16" s="21" t="n"/>
      <c r="F16" s="19" t="n"/>
      <c r="G16" s="19" t="n"/>
      <c r="H16" s="19" t="n"/>
      <c r="I16" s="15">
        <f>IF(OR(A16="",D16=""),"",IF(AND(D16&lt;集計!$C$5+1,OR(E16="",E16&gt;集計!$C$5)),"○",""))</f>
        <v/>
      </c>
      <c r="J16" s="15">
        <f>IF(A16="","",IF(B16="西日本海運","","西日本海運以外の船です（確認してください）"))</f>
        <v/>
      </c>
    </row>
    <row r="17">
      <c r="A17" s="19" t="n"/>
      <c r="B17" s="15">
        <f>IF(A17="","",IFERROR(INDEX(マスター!$C$6:$C$125,MATCH(A17,マスター!$M$6:$M$125,0))&amp;"","マスター未登録"))</f>
        <v/>
      </c>
      <c r="C17" s="19" t="n"/>
      <c r="D17" s="21" t="n"/>
      <c r="E17" s="21" t="n"/>
      <c r="F17" s="19" t="n"/>
      <c r="G17" s="19" t="n"/>
      <c r="H17" s="19" t="n"/>
      <c r="I17" s="15">
        <f>IF(OR(A17="",D17=""),"",IF(AND(D17&lt;集計!$C$5+1,OR(E17="",E17&gt;集計!$C$5)),"○",""))</f>
        <v/>
      </c>
      <c r="J17" s="15">
        <f>IF(A17="","",IF(B17="西日本海運","","西日本海運以外の船です（確認してください）"))</f>
        <v/>
      </c>
    </row>
    <row r="18">
      <c r="A18" s="19" t="n"/>
      <c r="B18" s="15">
        <f>IF(A18="","",IFERROR(INDEX(マスター!$C$6:$C$125,MATCH(A18,マスター!$M$6:$M$125,0))&amp;"","マスター未登録"))</f>
        <v/>
      </c>
      <c r="C18" s="19" t="n"/>
      <c r="D18" s="21" t="n"/>
      <c r="E18" s="21" t="n"/>
      <c r="F18" s="19" t="n"/>
      <c r="G18" s="19" t="n"/>
      <c r="H18" s="19" t="n"/>
      <c r="I18" s="15">
        <f>IF(OR(A18="",D18=""),"",IF(AND(D18&lt;集計!$C$5+1,OR(E18="",E18&gt;集計!$C$5)),"○",""))</f>
        <v/>
      </c>
      <c r="J18" s="15">
        <f>IF(A18="","",IF(B18="西日本海運","","西日本海運以外の船です（確認してください）"))</f>
        <v/>
      </c>
    </row>
    <row r="19">
      <c r="A19" s="19" t="n"/>
      <c r="B19" s="15">
        <f>IF(A19="","",IFERROR(INDEX(マスター!$C$6:$C$125,MATCH(A19,マスター!$M$6:$M$125,0))&amp;"","マスター未登録"))</f>
        <v/>
      </c>
      <c r="C19" s="19" t="n"/>
      <c r="D19" s="21" t="n"/>
      <c r="E19" s="21" t="n"/>
      <c r="F19" s="19" t="n"/>
      <c r="G19" s="19" t="n"/>
      <c r="H19" s="19" t="n"/>
      <c r="I19" s="15">
        <f>IF(OR(A19="",D19=""),"",IF(AND(D19&lt;集計!$C$5+1,OR(E19="",E19&gt;集計!$C$5)),"○",""))</f>
        <v/>
      </c>
      <c r="J19" s="15">
        <f>IF(A19="","",IF(B19="西日本海運","","西日本海運以外の船です（確認してください）"))</f>
        <v/>
      </c>
    </row>
    <row r="20">
      <c r="A20" s="19" t="n"/>
      <c r="B20" s="15">
        <f>IF(A20="","",IFERROR(INDEX(マスター!$C$6:$C$125,MATCH(A20,マスター!$M$6:$M$125,0))&amp;"","マスター未登録"))</f>
        <v/>
      </c>
      <c r="C20" s="19" t="n"/>
      <c r="D20" s="21" t="n"/>
      <c r="E20" s="21" t="n"/>
      <c r="F20" s="19" t="n"/>
      <c r="G20" s="19" t="n"/>
      <c r="H20" s="19" t="n"/>
      <c r="I20" s="15">
        <f>IF(OR(A20="",D20=""),"",IF(AND(D20&lt;集計!$C$5+1,OR(E20="",E20&gt;集計!$C$5)),"○",""))</f>
        <v/>
      </c>
      <c r="J20" s="15">
        <f>IF(A20="","",IF(B20="西日本海運","","西日本海運以外の船です（確認してください）"))</f>
        <v/>
      </c>
    </row>
    <row r="21">
      <c r="A21" s="19" t="n"/>
      <c r="B21" s="15">
        <f>IF(A21="","",IFERROR(INDEX(マスター!$C$6:$C$125,MATCH(A21,マスター!$M$6:$M$125,0))&amp;"","マスター未登録"))</f>
        <v/>
      </c>
      <c r="C21" s="19" t="n"/>
      <c r="D21" s="21" t="n"/>
      <c r="E21" s="21" t="n"/>
      <c r="F21" s="19" t="n"/>
      <c r="G21" s="19" t="n"/>
      <c r="H21" s="19" t="n"/>
      <c r="I21" s="15">
        <f>IF(OR(A21="",D21=""),"",IF(AND(D21&lt;集計!$C$5+1,OR(E21="",E21&gt;集計!$C$5)),"○",""))</f>
        <v/>
      </c>
      <c r="J21" s="15">
        <f>IF(A21="","",IF(B21="西日本海運","","西日本海運以外の船です（確認してください）"))</f>
        <v/>
      </c>
    </row>
    <row r="22">
      <c r="A22" s="19" t="n"/>
      <c r="B22" s="15">
        <f>IF(A22="","",IFERROR(INDEX(マスター!$C$6:$C$125,MATCH(A22,マスター!$M$6:$M$125,0))&amp;"","マスター未登録"))</f>
        <v/>
      </c>
      <c r="C22" s="19" t="n"/>
      <c r="D22" s="21" t="n"/>
      <c r="E22" s="21" t="n"/>
      <c r="F22" s="19" t="n"/>
      <c r="G22" s="19" t="n"/>
      <c r="H22" s="19" t="n"/>
      <c r="I22" s="15">
        <f>IF(OR(A22="",D22=""),"",IF(AND(D22&lt;集計!$C$5+1,OR(E22="",E22&gt;集計!$C$5)),"○",""))</f>
        <v/>
      </c>
      <c r="J22" s="15">
        <f>IF(A22="","",IF(B22="西日本海運","","西日本海運以外の船です（確認してください）"))</f>
        <v/>
      </c>
    </row>
    <row r="23">
      <c r="A23" s="19" t="n"/>
      <c r="B23" s="15">
        <f>IF(A23="","",IFERROR(INDEX(マスター!$C$6:$C$125,MATCH(A23,マスター!$M$6:$M$125,0))&amp;"","マスター未登録"))</f>
        <v/>
      </c>
      <c r="C23" s="19" t="n"/>
      <c r="D23" s="21" t="n"/>
      <c r="E23" s="21" t="n"/>
      <c r="F23" s="19" t="n"/>
      <c r="G23" s="19" t="n"/>
      <c r="H23" s="19" t="n"/>
      <c r="I23" s="15">
        <f>IF(OR(A23="",D23=""),"",IF(AND(D23&lt;集計!$C$5+1,OR(E23="",E23&gt;集計!$C$5)),"○",""))</f>
        <v/>
      </c>
      <c r="J23" s="15">
        <f>IF(A23="","",IF(B23="西日本海運","","西日本海運以外の船です（確認してください）"))</f>
        <v/>
      </c>
    </row>
    <row r="24">
      <c r="A24" s="19" t="n"/>
      <c r="B24" s="15">
        <f>IF(A24="","",IFERROR(INDEX(マスター!$C$6:$C$125,MATCH(A24,マスター!$M$6:$M$125,0))&amp;"","マスター未登録"))</f>
        <v/>
      </c>
      <c r="C24" s="19" t="n"/>
      <c r="D24" s="21" t="n"/>
      <c r="E24" s="21" t="n"/>
      <c r="F24" s="19" t="n"/>
      <c r="G24" s="19" t="n"/>
      <c r="H24" s="19" t="n"/>
      <c r="I24" s="15">
        <f>IF(OR(A24="",D24=""),"",IF(AND(D24&lt;集計!$C$5+1,OR(E24="",E24&gt;集計!$C$5)),"○",""))</f>
        <v/>
      </c>
      <c r="J24" s="15">
        <f>IF(A24="","",IF(B24="西日本海運","","西日本海運以外の船です（確認してください）"))</f>
        <v/>
      </c>
    </row>
    <row r="25">
      <c r="A25" s="19" t="n"/>
      <c r="B25" s="15">
        <f>IF(A25="","",IFERROR(INDEX(マスター!$C$6:$C$125,MATCH(A25,マスター!$M$6:$M$125,0))&amp;"","マスター未登録"))</f>
        <v/>
      </c>
      <c r="C25" s="19" t="n"/>
      <c r="D25" s="21" t="n"/>
      <c r="E25" s="21" t="n"/>
      <c r="F25" s="19" t="n"/>
      <c r="G25" s="19" t="n"/>
      <c r="H25" s="19" t="n"/>
      <c r="I25" s="15">
        <f>IF(OR(A25="",D25=""),"",IF(AND(D25&lt;集計!$C$5+1,OR(E25="",E25&gt;集計!$C$5)),"○",""))</f>
        <v/>
      </c>
      <c r="J25" s="15">
        <f>IF(A25="","",IF(B25="西日本海運","","西日本海運以外の船です（確認してください）"))</f>
        <v/>
      </c>
    </row>
    <row r="26">
      <c r="A26" s="19" t="n"/>
      <c r="B26" s="15">
        <f>IF(A26="","",IFERROR(INDEX(マスター!$C$6:$C$125,MATCH(A26,マスター!$M$6:$M$125,0))&amp;"","マスター未登録"))</f>
        <v/>
      </c>
      <c r="C26" s="19" t="n"/>
      <c r="D26" s="21" t="n"/>
      <c r="E26" s="21" t="n"/>
      <c r="F26" s="19" t="n"/>
      <c r="G26" s="19" t="n"/>
      <c r="H26" s="19" t="n"/>
      <c r="I26" s="15">
        <f>IF(OR(A26="",D26=""),"",IF(AND(D26&lt;集計!$C$5+1,OR(E26="",E26&gt;集計!$C$5)),"○",""))</f>
        <v/>
      </c>
      <c r="J26" s="15">
        <f>IF(A26="","",IF(B26="西日本海運","","西日本海運以外の船です（確認してください）"))</f>
        <v/>
      </c>
    </row>
    <row r="27">
      <c r="A27" s="19" t="n"/>
      <c r="B27" s="15">
        <f>IF(A27="","",IFERROR(INDEX(マスター!$C$6:$C$125,MATCH(A27,マスター!$M$6:$M$125,0))&amp;"","マスター未登録"))</f>
        <v/>
      </c>
      <c r="C27" s="19" t="n"/>
      <c r="D27" s="21" t="n"/>
      <c r="E27" s="21" t="n"/>
      <c r="F27" s="19" t="n"/>
      <c r="G27" s="19" t="n"/>
      <c r="H27" s="19" t="n"/>
      <c r="I27" s="15">
        <f>IF(OR(A27="",D27=""),"",IF(AND(D27&lt;集計!$C$5+1,OR(E27="",E27&gt;集計!$C$5)),"○",""))</f>
        <v/>
      </c>
      <c r="J27" s="15">
        <f>IF(A27="","",IF(B27="西日本海運","","西日本海運以外の船です（確認してください）"))</f>
        <v/>
      </c>
    </row>
    <row r="28">
      <c r="A28" s="19" t="n"/>
      <c r="B28" s="15">
        <f>IF(A28="","",IFERROR(INDEX(マスター!$C$6:$C$125,MATCH(A28,マスター!$M$6:$M$125,0))&amp;"","マスター未登録"))</f>
        <v/>
      </c>
      <c r="C28" s="19" t="n"/>
      <c r="D28" s="21" t="n"/>
      <c r="E28" s="21" t="n"/>
      <c r="F28" s="19" t="n"/>
      <c r="G28" s="19" t="n"/>
      <c r="H28" s="19" t="n"/>
      <c r="I28" s="15">
        <f>IF(OR(A28="",D28=""),"",IF(AND(D28&lt;集計!$C$5+1,OR(E28="",E28&gt;集計!$C$5)),"○",""))</f>
        <v/>
      </c>
      <c r="J28" s="15">
        <f>IF(A28="","",IF(B28="西日本海運","","西日本海運以外の船です（確認してください）"))</f>
        <v/>
      </c>
    </row>
    <row r="29">
      <c r="A29" s="19" t="n"/>
      <c r="B29" s="15">
        <f>IF(A29="","",IFERROR(INDEX(マスター!$C$6:$C$125,MATCH(A29,マスター!$M$6:$M$125,0))&amp;"","マスター未登録"))</f>
        <v/>
      </c>
      <c r="C29" s="19" t="n"/>
      <c r="D29" s="21" t="n"/>
      <c r="E29" s="21" t="n"/>
      <c r="F29" s="19" t="n"/>
      <c r="G29" s="19" t="n"/>
      <c r="H29" s="19" t="n"/>
      <c r="I29" s="15">
        <f>IF(OR(A29="",D29=""),"",IF(AND(D29&lt;集計!$C$5+1,OR(E29="",E29&gt;集計!$C$5)),"○",""))</f>
        <v/>
      </c>
      <c r="J29" s="15">
        <f>IF(A29="","",IF(B29="西日本海運","","西日本海運以外の船です（確認してください）"))</f>
        <v/>
      </c>
    </row>
    <row r="30">
      <c r="A30" s="19" t="n"/>
      <c r="B30" s="15">
        <f>IF(A30="","",IFERROR(INDEX(マスター!$C$6:$C$125,MATCH(A30,マスター!$M$6:$M$125,0))&amp;"","マスター未登録"))</f>
        <v/>
      </c>
      <c r="C30" s="19" t="n"/>
      <c r="D30" s="21" t="n"/>
      <c r="E30" s="21" t="n"/>
      <c r="F30" s="19" t="n"/>
      <c r="G30" s="19" t="n"/>
      <c r="H30" s="19" t="n"/>
      <c r="I30" s="15">
        <f>IF(OR(A30="",D30=""),"",IF(AND(D30&lt;集計!$C$5+1,OR(E30="",E30&gt;集計!$C$5)),"○",""))</f>
        <v/>
      </c>
      <c r="J30" s="15">
        <f>IF(A30="","",IF(B30="西日本海運","","西日本海運以外の船です（確認してください）"))</f>
        <v/>
      </c>
    </row>
    <row r="31">
      <c r="A31" s="19" t="n"/>
      <c r="B31" s="15">
        <f>IF(A31="","",IFERROR(INDEX(マスター!$C$6:$C$125,MATCH(A31,マスター!$M$6:$M$125,0))&amp;"","マスター未登録"))</f>
        <v/>
      </c>
      <c r="C31" s="19" t="n"/>
      <c r="D31" s="21" t="n"/>
      <c r="E31" s="21" t="n"/>
      <c r="F31" s="19" t="n"/>
      <c r="G31" s="19" t="n"/>
      <c r="H31" s="19" t="n"/>
      <c r="I31" s="15">
        <f>IF(OR(A31="",D31=""),"",IF(AND(D31&lt;集計!$C$5+1,OR(E31="",E31&gt;集計!$C$5)),"○",""))</f>
        <v/>
      </c>
      <c r="J31" s="15">
        <f>IF(A31="","",IF(B31="西日本海運","","西日本海運以外の船です（確認してください）"))</f>
        <v/>
      </c>
    </row>
    <row r="32">
      <c r="A32" s="19" t="n"/>
      <c r="B32" s="15">
        <f>IF(A32="","",IFERROR(INDEX(マスター!$C$6:$C$125,MATCH(A32,マスター!$M$6:$M$125,0))&amp;"","マスター未登録"))</f>
        <v/>
      </c>
      <c r="C32" s="19" t="n"/>
      <c r="D32" s="21" t="n"/>
      <c r="E32" s="21" t="n"/>
      <c r="F32" s="19" t="n"/>
      <c r="G32" s="19" t="n"/>
      <c r="H32" s="19" t="n"/>
      <c r="I32" s="15">
        <f>IF(OR(A32="",D32=""),"",IF(AND(D32&lt;集計!$C$5+1,OR(E32="",E32&gt;集計!$C$5)),"○",""))</f>
        <v/>
      </c>
      <c r="J32" s="15">
        <f>IF(A32="","",IF(B32="西日本海運","","西日本海運以外の船です（確認してください）"))</f>
        <v/>
      </c>
    </row>
    <row r="33">
      <c r="A33" s="19" t="n"/>
      <c r="B33" s="15">
        <f>IF(A33="","",IFERROR(INDEX(マスター!$C$6:$C$125,MATCH(A33,マスター!$M$6:$M$125,0))&amp;"","マスター未登録"))</f>
        <v/>
      </c>
      <c r="C33" s="19" t="n"/>
      <c r="D33" s="21" t="n"/>
      <c r="E33" s="21" t="n"/>
      <c r="F33" s="19" t="n"/>
      <c r="G33" s="19" t="n"/>
      <c r="H33" s="19" t="n"/>
      <c r="I33" s="15">
        <f>IF(OR(A33="",D33=""),"",IF(AND(D33&lt;集計!$C$5+1,OR(E33="",E33&gt;集計!$C$5)),"○",""))</f>
        <v/>
      </c>
      <c r="J33" s="15">
        <f>IF(A33="","",IF(B33="西日本海運","","西日本海運以外の船です（確認してください）"))</f>
        <v/>
      </c>
    </row>
    <row r="34">
      <c r="A34" s="19" t="n"/>
      <c r="B34" s="15">
        <f>IF(A34="","",IFERROR(INDEX(マスター!$C$6:$C$125,MATCH(A34,マスター!$M$6:$M$125,0))&amp;"","マスター未登録"))</f>
        <v/>
      </c>
      <c r="C34" s="19" t="n"/>
      <c r="D34" s="21" t="n"/>
      <c r="E34" s="21" t="n"/>
      <c r="F34" s="19" t="n"/>
      <c r="G34" s="19" t="n"/>
      <c r="H34" s="19" t="n"/>
      <c r="I34" s="15">
        <f>IF(OR(A34="",D34=""),"",IF(AND(D34&lt;集計!$C$5+1,OR(E34="",E34&gt;集計!$C$5)),"○",""))</f>
        <v/>
      </c>
      <c r="J34" s="15">
        <f>IF(A34="","",IF(B34="西日本海運","","西日本海運以外の船です（確認してください）"))</f>
        <v/>
      </c>
    </row>
    <row r="35">
      <c r="A35" s="19" t="n"/>
      <c r="B35" s="15">
        <f>IF(A35="","",IFERROR(INDEX(マスター!$C$6:$C$125,MATCH(A35,マスター!$M$6:$M$125,0))&amp;"","マスター未登録"))</f>
        <v/>
      </c>
      <c r="C35" s="19" t="n"/>
      <c r="D35" s="21" t="n"/>
      <c r="E35" s="21" t="n"/>
      <c r="F35" s="19" t="n"/>
      <c r="G35" s="19" t="n"/>
      <c r="H35" s="19" t="n"/>
      <c r="I35" s="15">
        <f>IF(OR(A35="",D35=""),"",IF(AND(D35&lt;集計!$C$5+1,OR(E35="",E35&gt;集計!$C$5)),"○",""))</f>
        <v/>
      </c>
      <c r="J35" s="15">
        <f>IF(A35="","",IF(B35="西日本海運","","西日本海運以外の船です（確認してください）"))</f>
        <v/>
      </c>
    </row>
    <row r="36">
      <c r="A36" s="19" t="n"/>
      <c r="B36" s="15">
        <f>IF(A36="","",IFERROR(INDEX(マスター!$C$6:$C$125,MATCH(A36,マスター!$M$6:$M$125,0))&amp;"","マスター未登録"))</f>
        <v/>
      </c>
      <c r="C36" s="19" t="n"/>
      <c r="D36" s="21" t="n"/>
      <c r="E36" s="21" t="n"/>
      <c r="F36" s="19" t="n"/>
      <c r="G36" s="19" t="n"/>
      <c r="H36" s="19" t="n"/>
      <c r="I36" s="15">
        <f>IF(OR(A36="",D36=""),"",IF(AND(D36&lt;集計!$C$5+1,OR(E36="",E36&gt;集計!$C$5)),"○",""))</f>
        <v/>
      </c>
      <c r="J36" s="15">
        <f>IF(A36="","",IF(B36="西日本海運","","西日本海運以外の船です（確認してください）"))</f>
        <v/>
      </c>
    </row>
    <row r="37">
      <c r="A37" s="19" t="n"/>
      <c r="B37" s="15">
        <f>IF(A37="","",IFERROR(INDEX(マスター!$C$6:$C$125,MATCH(A37,マスター!$M$6:$M$125,0))&amp;"","マスター未登録"))</f>
        <v/>
      </c>
      <c r="C37" s="19" t="n"/>
      <c r="D37" s="21" t="n"/>
      <c r="E37" s="21" t="n"/>
      <c r="F37" s="19" t="n"/>
      <c r="G37" s="19" t="n"/>
      <c r="H37" s="19" t="n"/>
      <c r="I37" s="15">
        <f>IF(OR(A37="",D37=""),"",IF(AND(D37&lt;集計!$C$5+1,OR(E37="",E37&gt;集計!$C$5)),"○",""))</f>
        <v/>
      </c>
      <c r="J37" s="15">
        <f>IF(A37="","",IF(B37="西日本海運","","西日本海運以外の船です（確認してください）"))</f>
        <v/>
      </c>
    </row>
    <row r="38">
      <c r="A38" s="19" t="n"/>
      <c r="B38" s="15">
        <f>IF(A38="","",IFERROR(INDEX(マスター!$C$6:$C$125,MATCH(A38,マスター!$M$6:$M$125,0))&amp;"","マスター未登録"))</f>
        <v/>
      </c>
      <c r="C38" s="19" t="n"/>
      <c r="D38" s="21" t="n"/>
      <c r="E38" s="21" t="n"/>
      <c r="F38" s="19" t="n"/>
      <c r="G38" s="19" t="n"/>
      <c r="H38" s="19" t="n"/>
      <c r="I38" s="15">
        <f>IF(OR(A38="",D38=""),"",IF(AND(D38&lt;集計!$C$5+1,OR(E38="",E38&gt;集計!$C$5)),"○",""))</f>
        <v/>
      </c>
      <c r="J38" s="15">
        <f>IF(A38="","",IF(B38="西日本海運","","西日本海運以外の船です（確認してください）"))</f>
        <v/>
      </c>
    </row>
    <row r="39">
      <c r="A39" s="19" t="n"/>
      <c r="B39" s="15">
        <f>IF(A39="","",IFERROR(INDEX(マスター!$C$6:$C$125,MATCH(A39,マスター!$M$6:$M$125,0))&amp;"","マスター未登録"))</f>
        <v/>
      </c>
      <c r="C39" s="19" t="n"/>
      <c r="D39" s="21" t="n"/>
      <c r="E39" s="21" t="n"/>
      <c r="F39" s="19" t="n"/>
      <c r="G39" s="19" t="n"/>
      <c r="H39" s="19" t="n"/>
      <c r="I39" s="15">
        <f>IF(OR(A39="",D39=""),"",IF(AND(D39&lt;集計!$C$5+1,OR(E39="",E39&gt;集計!$C$5)),"○",""))</f>
        <v/>
      </c>
      <c r="J39" s="15">
        <f>IF(A39="","",IF(B39="西日本海運","","西日本海運以外の船です（確認してください）"))</f>
        <v/>
      </c>
    </row>
    <row r="40">
      <c r="A40" s="19" t="n"/>
      <c r="B40" s="15">
        <f>IF(A40="","",IFERROR(INDEX(マスター!$C$6:$C$125,MATCH(A40,マスター!$M$6:$M$125,0))&amp;"","マスター未登録"))</f>
        <v/>
      </c>
      <c r="C40" s="19" t="n"/>
      <c r="D40" s="21" t="n"/>
      <c r="E40" s="21" t="n"/>
      <c r="F40" s="19" t="n"/>
      <c r="G40" s="19" t="n"/>
      <c r="H40" s="19" t="n"/>
      <c r="I40" s="15">
        <f>IF(OR(A40="",D40=""),"",IF(AND(D40&lt;集計!$C$5+1,OR(E40="",E40&gt;集計!$C$5)),"○",""))</f>
        <v/>
      </c>
      <c r="J40" s="15">
        <f>IF(A40="","",IF(B40="西日本海運","","西日本海運以外の船です（確認してください）"))</f>
        <v/>
      </c>
    </row>
    <row r="41">
      <c r="A41" s="19" t="n"/>
      <c r="B41" s="15">
        <f>IF(A41="","",IFERROR(INDEX(マスター!$C$6:$C$125,MATCH(A41,マスター!$M$6:$M$125,0))&amp;"","マスター未登録"))</f>
        <v/>
      </c>
      <c r="C41" s="19" t="n"/>
      <c r="D41" s="21" t="n"/>
      <c r="E41" s="21" t="n"/>
      <c r="F41" s="19" t="n"/>
      <c r="G41" s="19" t="n"/>
      <c r="H41" s="19" t="n"/>
      <c r="I41" s="15">
        <f>IF(OR(A41="",D41=""),"",IF(AND(D41&lt;集計!$C$5+1,OR(E41="",E41&gt;集計!$C$5)),"○",""))</f>
        <v/>
      </c>
      <c r="J41" s="15">
        <f>IF(A41="","",IF(B41="西日本海運","","西日本海運以外の船です（確認してください）"))</f>
        <v/>
      </c>
    </row>
    <row r="42">
      <c r="A42" s="19" t="n"/>
      <c r="B42" s="15">
        <f>IF(A42="","",IFERROR(INDEX(マスター!$C$6:$C$125,MATCH(A42,マスター!$M$6:$M$125,0))&amp;"","マスター未登録"))</f>
        <v/>
      </c>
      <c r="C42" s="19" t="n"/>
      <c r="D42" s="21" t="n"/>
      <c r="E42" s="21" t="n"/>
      <c r="F42" s="19" t="n"/>
      <c r="G42" s="19" t="n"/>
      <c r="H42" s="19" t="n"/>
      <c r="I42" s="15">
        <f>IF(OR(A42="",D42=""),"",IF(AND(D42&lt;集計!$C$5+1,OR(E42="",E42&gt;集計!$C$5)),"○",""))</f>
        <v/>
      </c>
      <c r="J42" s="15">
        <f>IF(A42="","",IF(B42="西日本海運","","西日本海運以外の船です（確認してください）"))</f>
        <v/>
      </c>
    </row>
    <row r="43">
      <c r="A43" s="19" t="n"/>
      <c r="B43" s="15">
        <f>IF(A43="","",IFERROR(INDEX(マスター!$C$6:$C$125,MATCH(A43,マスター!$M$6:$M$125,0))&amp;"","マスター未登録"))</f>
        <v/>
      </c>
      <c r="C43" s="19" t="n"/>
      <c r="D43" s="21" t="n"/>
      <c r="E43" s="21" t="n"/>
      <c r="F43" s="19" t="n"/>
      <c r="G43" s="19" t="n"/>
      <c r="H43" s="19" t="n"/>
      <c r="I43" s="15">
        <f>IF(OR(A43="",D43=""),"",IF(AND(D43&lt;集計!$C$5+1,OR(E43="",E43&gt;集計!$C$5)),"○",""))</f>
        <v/>
      </c>
      <c r="J43" s="15">
        <f>IF(A43="","",IF(B43="西日本海運","","西日本海運以外の船です（確認してください）"))</f>
        <v/>
      </c>
    </row>
    <row r="44">
      <c r="A44" s="19" t="n"/>
      <c r="B44" s="15">
        <f>IF(A44="","",IFERROR(INDEX(マスター!$C$6:$C$125,MATCH(A44,マスター!$M$6:$M$125,0))&amp;"","マスター未登録"))</f>
        <v/>
      </c>
      <c r="C44" s="19" t="n"/>
      <c r="D44" s="21" t="n"/>
      <c r="E44" s="21" t="n"/>
      <c r="F44" s="19" t="n"/>
      <c r="G44" s="19" t="n"/>
      <c r="H44" s="19" t="n"/>
      <c r="I44" s="15">
        <f>IF(OR(A44="",D44=""),"",IF(AND(D44&lt;集計!$C$5+1,OR(E44="",E44&gt;集計!$C$5)),"○",""))</f>
        <v/>
      </c>
      <c r="J44" s="15">
        <f>IF(A44="","",IF(B44="西日本海運","","西日本海運以外の船です（確認してください）"))</f>
        <v/>
      </c>
    </row>
    <row r="45">
      <c r="A45" s="19" t="n"/>
      <c r="B45" s="15">
        <f>IF(A45="","",IFERROR(INDEX(マスター!$C$6:$C$125,MATCH(A45,マスター!$M$6:$M$125,0))&amp;"","マスター未登録"))</f>
        <v/>
      </c>
      <c r="C45" s="19" t="n"/>
      <c r="D45" s="21" t="n"/>
      <c r="E45" s="21" t="n"/>
      <c r="F45" s="19" t="n"/>
      <c r="G45" s="19" t="n"/>
      <c r="H45" s="19" t="n"/>
      <c r="I45" s="15">
        <f>IF(OR(A45="",D45=""),"",IF(AND(D45&lt;集計!$C$5+1,OR(E45="",E45&gt;集計!$C$5)),"○",""))</f>
        <v/>
      </c>
      <c r="J45" s="15">
        <f>IF(A45="","",IF(B45="西日本海運","","西日本海運以外の船です（確認してください）"))</f>
        <v/>
      </c>
    </row>
    <row r="46">
      <c r="A46" s="19" t="n"/>
      <c r="B46" s="15">
        <f>IF(A46="","",IFERROR(INDEX(マスター!$C$6:$C$125,MATCH(A46,マスター!$M$6:$M$125,0))&amp;"","マスター未登録"))</f>
        <v/>
      </c>
      <c r="C46" s="19" t="n"/>
      <c r="D46" s="21" t="n"/>
      <c r="E46" s="21" t="n"/>
      <c r="F46" s="19" t="n"/>
      <c r="G46" s="19" t="n"/>
      <c r="H46" s="19" t="n"/>
      <c r="I46" s="15">
        <f>IF(OR(A46="",D46=""),"",IF(AND(D46&lt;集計!$C$5+1,OR(E46="",E46&gt;集計!$C$5)),"○",""))</f>
        <v/>
      </c>
      <c r="J46" s="15">
        <f>IF(A46="","",IF(B46="西日本海運","","西日本海運以外の船です（確認してください）"))</f>
        <v/>
      </c>
    </row>
    <row r="47">
      <c r="A47" s="19" t="n"/>
      <c r="B47" s="15">
        <f>IF(A47="","",IFERROR(INDEX(マスター!$C$6:$C$125,MATCH(A47,マスター!$M$6:$M$125,0))&amp;"","マスター未登録"))</f>
        <v/>
      </c>
      <c r="C47" s="19" t="n"/>
      <c r="D47" s="21" t="n"/>
      <c r="E47" s="21" t="n"/>
      <c r="F47" s="19" t="n"/>
      <c r="G47" s="19" t="n"/>
      <c r="H47" s="19" t="n"/>
      <c r="I47" s="15">
        <f>IF(OR(A47="",D47=""),"",IF(AND(D47&lt;集計!$C$5+1,OR(E47="",E47&gt;集計!$C$5)),"○",""))</f>
        <v/>
      </c>
      <c r="J47" s="15">
        <f>IF(A47="","",IF(B47="西日本海運","","西日本海運以外の船です（確認してください）"))</f>
        <v/>
      </c>
    </row>
    <row r="48">
      <c r="A48" s="19" t="n"/>
      <c r="B48" s="15">
        <f>IF(A48="","",IFERROR(INDEX(マスター!$C$6:$C$125,MATCH(A48,マスター!$M$6:$M$125,0))&amp;"","マスター未登録"))</f>
        <v/>
      </c>
      <c r="C48" s="19" t="n"/>
      <c r="D48" s="21" t="n"/>
      <c r="E48" s="21" t="n"/>
      <c r="F48" s="19" t="n"/>
      <c r="G48" s="19" t="n"/>
      <c r="H48" s="19" t="n"/>
      <c r="I48" s="15">
        <f>IF(OR(A48="",D48=""),"",IF(AND(D48&lt;集計!$C$5+1,OR(E48="",E48&gt;集計!$C$5)),"○",""))</f>
        <v/>
      </c>
      <c r="J48" s="15">
        <f>IF(A48="","",IF(B48="西日本海運","","西日本海運以外の船です（確認してください）"))</f>
        <v/>
      </c>
    </row>
    <row r="49">
      <c r="A49" s="19" t="n"/>
      <c r="B49" s="15">
        <f>IF(A49="","",IFERROR(INDEX(マスター!$C$6:$C$125,MATCH(A49,マスター!$M$6:$M$125,0))&amp;"","マスター未登録"))</f>
        <v/>
      </c>
      <c r="C49" s="19" t="n"/>
      <c r="D49" s="21" t="n"/>
      <c r="E49" s="21" t="n"/>
      <c r="F49" s="19" t="n"/>
      <c r="G49" s="19" t="n"/>
      <c r="H49" s="19" t="n"/>
      <c r="I49" s="15">
        <f>IF(OR(A49="",D49=""),"",IF(AND(D49&lt;集計!$C$5+1,OR(E49="",E49&gt;集計!$C$5)),"○",""))</f>
        <v/>
      </c>
      <c r="J49" s="15">
        <f>IF(A49="","",IF(B49="西日本海運","","西日本海運以外の船です（確認してください）"))</f>
        <v/>
      </c>
    </row>
    <row r="50">
      <c r="A50" s="19" t="n"/>
      <c r="B50" s="15">
        <f>IF(A50="","",IFERROR(INDEX(マスター!$C$6:$C$125,MATCH(A50,マスター!$M$6:$M$125,0))&amp;"","マスター未登録"))</f>
        <v/>
      </c>
      <c r="C50" s="19" t="n"/>
      <c r="D50" s="21" t="n"/>
      <c r="E50" s="21" t="n"/>
      <c r="F50" s="19" t="n"/>
      <c r="G50" s="19" t="n"/>
      <c r="H50" s="19" t="n"/>
      <c r="I50" s="15">
        <f>IF(OR(A50="",D50=""),"",IF(AND(D50&lt;集計!$C$5+1,OR(E50="",E50&gt;集計!$C$5)),"○",""))</f>
        <v/>
      </c>
      <c r="J50" s="15">
        <f>IF(A50="","",IF(B50="西日本海運","","西日本海運以外の船です（確認してください）"))</f>
        <v/>
      </c>
    </row>
    <row r="51">
      <c r="A51" s="19" t="n"/>
      <c r="B51" s="15">
        <f>IF(A51="","",IFERROR(INDEX(マスター!$C$6:$C$125,MATCH(A51,マスター!$M$6:$M$125,0))&amp;"","マスター未登録"))</f>
        <v/>
      </c>
      <c r="C51" s="19" t="n"/>
      <c r="D51" s="21" t="n"/>
      <c r="E51" s="21" t="n"/>
      <c r="F51" s="19" t="n"/>
      <c r="G51" s="19" t="n"/>
      <c r="H51" s="19" t="n"/>
      <c r="I51" s="15">
        <f>IF(OR(A51="",D51=""),"",IF(AND(D51&lt;集計!$C$5+1,OR(E51="",E51&gt;集計!$C$5)),"○",""))</f>
        <v/>
      </c>
      <c r="J51" s="15">
        <f>IF(A51="","",IF(B51="西日本海運","","西日本海運以外の船です（確認してください）"))</f>
        <v/>
      </c>
    </row>
    <row r="52">
      <c r="A52" s="19" t="n"/>
      <c r="B52" s="15">
        <f>IF(A52="","",IFERROR(INDEX(マスター!$C$6:$C$125,MATCH(A52,マスター!$M$6:$M$125,0))&amp;"","マスター未登録"))</f>
        <v/>
      </c>
      <c r="C52" s="19" t="n"/>
      <c r="D52" s="21" t="n"/>
      <c r="E52" s="21" t="n"/>
      <c r="F52" s="19" t="n"/>
      <c r="G52" s="19" t="n"/>
      <c r="H52" s="19" t="n"/>
      <c r="I52" s="15">
        <f>IF(OR(A52="",D52=""),"",IF(AND(D52&lt;集計!$C$5+1,OR(E52="",E52&gt;集計!$C$5)),"○",""))</f>
        <v/>
      </c>
      <c r="J52" s="15">
        <f>IF(A52="","",IF(B52="西日本海運","","西日本海運以外の船です（確認してください）"))</f>
        <v/>
      </c>
    </row>
    <row r="53">
      <c r="A53" s="19" t="n"/>
      <c r="B53" s="15">
        <f>IF(A53="","",IFERROR(INDEX(マスター!$C$6:$C$125,MATCH(A53,マスター!$M$6:$M$125,0))&amp;"","マスター未登録"))</f>
        <v/>
      </c>
      <c r="C53" s="19" t="n"/>
      <c r="D53" s="21" t="n"/>
      <c r="E53" s="21" t="n"/>
      <c r="F53" s="19" t="n"/>
      <c r="G53" s="19" t="n"/>
      <c r="H53" s="19" t="n"/>
      <c r="I53" s="15">
        <f>IF(OR(A53="",D53=""),"",IF(AND(D53&lt;集計!$C$5+1,OR(E53="",E53&gt;集計!$C$5)),"○",""))</f>
        <v/>
      </c>
      <c r="J53" s="15">
        <f>IF(A53="","",IF(B53="西日本海運","","西日本海運以外の船です（確認してください）"))</f>
        <v/>
      </c>
    </row>
    <row r="54">
      <c r="A54" s="19" t="n"/>
      <c r="B54" s="15">
        <f>IF(A54="","",IFERROR(INDEX(マスター!$C$6:$C$125,MATCH(A54,マスター!$M$6:$M$125,0))&amp;"","マスター未登録"))</f>
        <v/>
      </c>
      <c r="C54" s="19" t="n"/>
      <c r="D54" s="21" t="n"/>
      <c r="E54" s="21" t="n"/>
      <c r="F54" s="19" t="n"/>
      <c r="G54" s="19" t="n"/>
      <c r="H54" s="19" t="n"/>
      <c r="I54" s="15">
        <f>IF(OR(A54="",D54=""),"",IF(AND(D54&lt;集計!$C$5+1,OR(E54="",E54&gt;集計!$C$5)),"○",""))</f>
        <v/>
      </c>
      <c r="J54" s="15">
        <f>IF(A54="","",IF(B54="西日本海運","","西日本海運以外の船です（確認してください）"))</f>
        <v/>
      </c>
    </row>
    <row r="55">
      <c r="A55" s="19" t="n"/>
      <c r="B55" s="15">
        <f>IF(A55="","",IFERROR(INDEX(マスター!$C$6:$C$125,MATCH(A55,マスター!$M$6:$M$125,0))&amp;"","マスター未登録"))</f>
        <v/>
      </c>
      <c r="C55" s="19" t="n"/>
      <c r="D55" s="21" t="n"/>
      <c r="E55" s="21" t="n"/>
      <c r="F55" s="19" t="n"/>
      <c r="G55" s="19" t="n"/>
      <c r="H55" s="19" t="n"/>
      <c r="I55" s="15">
        <f>IF(OR(A55="",D55=""),"",IF(AND(D55&lt;集計!$C$5+1,OR(E55="",E55&gt;集計!$C$5)),"○",""))</f>
        <v/>
      </c>
      <c r="J55" s="15">
        <f>IF(A55="","",IF(B55="西日本海運","","西日本海運以外の船です（確認してください）"))</f>
        <v/>
      </c>
    </row>
  </sheetData>
  <dataValidations count="2">
    <dataValidation sqref="A6:A55" showDropDown="0" showInputMessage="0" showErrorMessage="0" allowBlank="1" errorTitle="選択してください" error="一覧から選んでください（一覧にない場合は「マスター」シートへ追加してください）" type="list">
      <formula1>=船名リスト</formula1>
    </dataValidation>
    <dataValidation sqref="F6:F55" showDropDown="0" showInputMessage="0" showErrorMessage="0" allowBlank="1" errorTitle="選択してください" error="一覧から選んでください（一覧にない場合は「マスター」シートへ追加してください）" type="list">
      <formula1>=選択_時刻確認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5"/>
  <sheetViews>
    <sheetView tabSelected="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12" customWidth="1" min="4" max="4"/>
    <col width="12" customWidth="1" min="5" max="5"/>
    <col width="20" customWidth="1" min="6" max="6"/>
    <col width="20" customWidth="1" min="7" max="7"/>
    <col width="12" customWidth="1" min="8" max="8"/>
    <col width="9" customWidth="1" min="9" max="9"/>
    <col width="20" customWidth="1" min="10" max="10"/>
  </cols>
  <sheetData>
    <row r="1">
      <c r="A1" s="10" t="inlineStr">
        <is>
          <t>他社配置（若松・関門等の他社の体制）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</row>
    <row r="2">
      <c r="A2" s="12" t="inlineStr">
        <is>
          <t>誰が：上田（分かる範囲）　何を見て：他社の配置・入渠・他港作業の情報　どこへ：A6から会社・船ごとに1行。配置の記録であり、応援の依頼に応じられたかとは別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</row>
    <row r="3">
      <c r="A3" s="13" t="inlineStr">
        <is>
          <t>集計先：「集計」の対象日の他社配置の記録数。2025年の配置は将来の応援確約ではありません。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</row>
    <row r="5" ht="45" customHeight="1">
      <c r="A5" s="22" t="inlineStr">
        <is>
          <t>会社【入力・選択】</t>
        </is>
      </c>
      <c r="B5" s="22" t="inlineStr">
        <is>
          <t>船名【入力・選択】</t>
        </is>
      </c>
      <c r="C5" s="22" t="inlineStr">
        <is>
          <t>配置港【入力】</t>
        </is>
      </c>
      <c r="D5" s="22" t="inlineStr">
        <is>
          <t>対象期間の開始日【入力】</t>
        </is>
      </c>
      <c r="E5" s="22" t="inlineStr">
        <is>
          <t>対象期間の終了日【入力】</t>
        </is>
      </c>
      <c r="F5" s="22" t="inlineStr">
        <is>
          <t>入渠・他港拘束（分かれば）【入力】</t>
        </is>
      </c>
      <c r="G5" s="22" t="inlineStr">
        <is>
          <t>情報元【入力】</t>
        </is>
      </c>
      <c r="H5" s="22" t="inlineStr">
        <is>
          <t>確認日【入力】</t>
        </is>
      </c>
      <c r="I5" s="14" t="inlineStr">
        <is>
          <t>対象日に配置【自動】</t>
        </is>
      </c>
      <c r="J5" s="14" t="inlineStr">
        <is>
          <t>船名と会社の一致【自動】</t>
        </is>
      </c>
    </row>
    <row r="6">
      <c r="A6" s="19" t="n"/>
      <c r="B6" s="19" t="n"/>
      <c r="C6" s="19" t="n"/>
      <c r="D6" s="25" t="n"/>
      <c r="E6" s="25" t="n"/>
      <c r="F6" s="19" t="n"/>
      <c r="G6" s="19" t="n"/>
      <c r="H6" s="25" t="n"/>
      <c r="I6" s="15">
        <f>IF(OR(A6="",D6=""),"",IF(AND(集計!$C$5&gt;=D6,OR(E6="",集計!$C$5&lt;=E6)),"○",""))</f>
        <v/>
      </c>
      <c r="J6" s="15">
        <f>IF(OR(A6="",B6=""),"",IF(IFERROR(INDEX(マスター!$C$6:$C$125,MATCH(B6,マスター!$M$6:$M$125,0))&amp;"","")=A6,"","マスターの会社と異なります"))</f>
        <v/>
      </c>
    </row>
    <row r="7">
      <c r="A7" s="19" t="n"/>
      <c r="B7" s="19" t="n"/>
      <c r="C7" s="19" t="n"/>
      <c r="D7" s="25" t="n"/>
      <c r="E7" s="25" t="n"/>
      <c r="F7" s="19" t="n"/>
      <c r="G7" s="19" t="n"/>
      <c r="H7" s="25" t="n"/>
      <c r="I7" s="15">
        <f>IF(OR(A7="",D7=""),"",IF(AND(集計!$C$5&gt;=D7,OR(E7="",集計!$C$5&lt;=E7)),"○",""))</f>
        <v/>
      </c>
      <c r="J7" s="15">
        <f>IF(OR(A7="",B7=""),"",IF(IFERROR(INDEX(マスター!$C$6:$C$125,MATCH(B7,マスター!$M$6:$M$125,0))&amp;"","")=A7,"","マスターの会社と異なります"))</f>
        <v/>
      </c>
    </row>
    <row r="8">
      <c r="A8" s="19" t="n"/>
      <c r="B8" s="19" t="n"/>
      <c r="C8" s="19" t="n"/>
      <c r="D8" s="25" t="n"/>
      <c r="E8" s="25" t="n"/>
      <c r="F8" s="19" t="n"/>
      <c r="G8" s="19" t="n"/>
      <c r="H8" s="25" t="n"/>
      <c r="I8" s="15">
        <f>IF(OR(A8="",D8=""),"",IF(AND(集計!$C$5&gt;=D8,OR(E8="",集計!$C$5&lt;=E8)),"○",""))</f>
        <v/>
      </c>
      <c r="J8" s="15">
        <f>IF(OR(A8="",B8=""),"",IF(IFERROR(INDEX(マスター!$C$6:$C$125,MATCH(B8,マスター!$M$6:$M$125,0))&amp;"","")=A8,"","マスターの会社と異なります"))</f>
        <v/>
      </c>
    </row>
    <row r="9">
      <c r="A9" s="19" t="n"/>
      <c r="B9" s="19" t="n"/>
      <c r="C9" s="19" t="n"/>
      <c r="D9" s="25" t="n"/>
      <c r="E9" s="25" t="n"/>
      <c r="F9" s="19" t="n"/>
      <c r="G9" s="19" t="n"/>
      <c r="H9" s="25" t="n"/>
      <c r="I9" s="15">
        <f>IF(OR(A9="",D9=""),"",IF(AND(集計!$C$5&gt;=D9,OR(E9="",集計!$C$5&lt;=E9)),"○",""))</f>
        <v/>
      </c>
      <c r="J9" s="15">
        <f>IF(OR(A9="",B9=""),"",IF(IFERROR(INDEX(マスター!$C$6:$C$125,MATCH(B9,マスター!$M$6:$M$125,0))&amp;"","")=A9,"","マスターの会社と異なります"))</f>
        <v/>
      </c>
    </row>
    <row r="10">
      <c r="A10" s="19" t="n"/>
      <c r="B10" s="19" t="n"/>
      <c r="C10" s="19" t="n"/>
      <c r="D10" s="25" t="n"/>
      <c r="E10" s="25" t="n"/>
      <c r="F10" s="19" t="n"/>
      <c r="G10" s="19" t="n"/>
      <c r="H10" s="25" t="n"/>
      <c r="I10" s="15">
        <f>IF(OR(A10="",D10=""),"",IF(AND(集計!$C$5&gt;=D10,OR(E10="",集計!$C$5&lt;=E10)),"○",""))</f>
        <v/>
      </c>
      <c r="J10" s="15">
        <f>IF(OR(A10="",B10=""),"",IF(IFERROR(INDEX(マスター!$C$6:$C$125,MATCH(B10,マスター!$M$6:$M$125,0))&amp;"","")=A10,"","マスターの会社と異なります"))</f>
        <v/>
      </c>
    </row>
    <row r="11">
      <c r="A11" s="19" t="n"/>
      <c r="B11" s="19" t="n"/>
      <c r="C11" s="19" t="n"/>
      <c r="D11" s="25" t="n"/>
      <c r="E11" s="25" t="n"/>
      <c r="F11" s="19" t="n"/>
      <c r="G11" s="19" t="n"/>
      <c r="H11" s="25" t="n"/>
      <c r="I11" s="15">
        <f>IF(OR(A11="",D11=""),"",IF(AND(集計!$C$5&gt;=D11,OR(E11="",集計!$C$5&lt;=E11)),"○",""))</f>
        <v/>
      </c>
      <c r="J11" s="15">
        <f>IF(OR(A11="",B11=""),"",IF(IFERROR(INDEX(マスター!$C$6:$C$125,MATCH(B11,マスター!$M$6:$M$125,0))&amp;"","")=A11,"","マスターの会社と異なります"))</f>
        <v/>
      </c>
    </row>
    <row r="12">
      <c r="A12" s="19" t="n"/>
      <c r="B12" s="19" t="n"/>
      <c r="C12" s="19" t="n"/>
      <c r="D12" s="25" t="n"/>
      <c r="E12" s="25" t="n"/>
      <c r="F12" s="19" t="n"/>
      <c r="G12" s="19" t="n"/>
      <c r="H12" s="25" t="n"/>
      <c r="I12" s="15">
        <f>IF(OR(A12="",D12=""),"",IF(AND(集計!$C$5&gt;=D12,OR(E12="",集計!$C$5&lt;=E12)),"○",""))</f>
        <v/>
      </c>
      <c r="J12" s="15">
        <f>IF(OR(A12="",B12=""),"",IF(IFERROR(INDEX(マスター!$C$6:$C$125,MATCH(B12,マスター!$M$6:$M$125,0))&amp;"","")=A12,"","マスターの会社と異なります"))</f>
        <v/>
      </c>
    </row>
    <row r="13">
      <c r="A13" s="19" t="n"/>
      <c r="B13" s="19" t="n"/>
      <c r="C13" s="19" t="n"/>
      <c r="D13" s="25" t="n"/>
      <c r="E13" s="25" t="n"/>
      <c r="F13" s="19" t="n"/>
      <c r="G13" s="19" t="n"/>
      <c r="H13" s="25" t="n"/>
      <c r="I13" s="15">
        <f>IF(OR(A13="",D13=""),"",IF(AND(集計!$C$5&gt;=D13,OR(E13="",集計!$C$5&lt;=E13)),"○",""))</f>
        <v/>
      </c>
      <c r="J13" s="15">
        <f>IF(OR(A13="",B13=""),"",IF(IFERROR(INDEX(マスター!$C$6:$C$125,MATCH(B13,マスター!$M$6:$M$125,0))&amp;"","")=A13,"","マスターの会社と異なります"))</f>
        <v/>
      </c>
    </row>
    <row r="14">
      <c r="A14" s="19" t="n"/>
      <c r="B14" s="19" t="n"/>
      <c r="C14" s="19" t="n"/>
      <c r="D14" s="25" t="n"/>
      <c r="E14" s="25" t="n"/>
      <c r="F14" s="19" t="n"/>
      <c r="G14" s="19" t="n"/>
      <c r="H14" s="25" t="n"/>
      <c r="I14" s="15">
        <f>IF(OR(A14="",D14=""),"",IF(AND(集計!$C$5&gt;=D14,OR(E14="",集計!$C$5&lt;=E14)),"○",""))</f>
        <v/>
      </c>
      <c r="J14" s="15">
        <f>IF(OR(A14="",B14=""),"",IF(IFERROR(INDEX(マスター!$C$6:$C$125,MATCH(B14,マスター!$M$6:$M$125,0))&amp;"","")=A14,"","マスターの会社と異なります"))</f>
        <v/>
      </c>
    </row>
    <row r="15">
      <c r="A15" s="19" t="n"/>
      <c r="B15" s="19" t="n"/>
      <c r="C15" s="19" t="n"/>
      <c r="D15" s="25" t="n"/>
      <c r="E15" s="25" t="n"/>
      <c r="F15" s="19" t="n"/>
      <c r="G15" s="19" t="n"/>
      <c r="H15" s="25" t="n"/>
      <c r="I15" s="15">
        <f>IF(OR(A15="",D15=""),"",IF(AND(集計!$C$5&gt;=D15,OR(E15="",集計!$C$5&lt;=E15)),"○",""))</f>
        <v/>
      </c>
      <c r="J15" s="15">
        <f>IF(OR(A15="",B15=""),"",IF(IFERROR(INDEX(マスター!$C$6:$C$125,MATCH(B15,マスター!$M$6:$M$125,0))&amp;"","")=A15,"","マスターの会社と異なります"))</f>
        <v/>
      </c>
    </row>
    <row r="16">
      <c r="A16" s="19" t="n"/>
      <c r="B16" s="19" t="n"/>
      <c r="C16" s="19" t="n"/>
      <c r="D16" s="25" t="n"/>
      <c r="E16" s="25" t="n"/>
      <c r="F16" s="19" t="n"/>
      <c r="G16" s="19" t="n"/>
      <c r="H16" s="25" t="n"/>
      <c r="I16" s="15">
        <f>IF(OR(A16="",D16=""),"",IF(AND(集計!$C$5&gt;=D16,OR(E16="",集計!$C$5&lt;=E16)),"○",""))</f>
        <v/>
      </c>
      <c r="J16" s="15">
        <f>IF(OR(A16="",B16=""),"",IF(IFERROR(INDEX(マスター!$C$6:$C$125,MATCH(B16,マスター!$M$6:$M$125,0))&amp;"","")=A16,"","マスターの会社と異なります"))</f>
        <v/>
      </c>
    </row>
    <row r="17">
      <c r="A17" s="19" t="n"/>
      <c r="B17" s="19" t="n"/>
      <c r="C17" s="19" t="n"/>
      <c r="D17" s="25" t="n"/>
      <c r="E17" s="25" t="n"/>
      <c r="F17" s="19" t="n"/>
      <c r="G17" s="19" t="n"/>
      <c r="H17" s="25" t="n"/>
      <c r="I17" s="15">
        <f>IF(OR(A17="",D17=""),"",IF(AND(集計!$C$5&gt;=D17,OR(E17="",集計!$C$5&lt;=E17)),"○",""))</f>
        <v/>
      </c>
      <c r="J17" s="15">
        <f>IF(OR(A17="",B17=""),"",IF(IFERROR(INDEX(マスター!$C$6:$C$125,MATCH(B17,マスター!$M$6:$M$125,0))&amp;"","")=A17,"","マスターの会社と異なります"))</f>
        <v/>
      </c>
    </row>
    <row r="18">
      <c r="A18" s="19" t="n"/>
      <c r="B18" s="19" t="n"/>
      <c r="C18" s="19" t="n"/>
      <c r="D18" s="25" t="n"/>
      <c r="E18" s="25" t="n"/>
      <c r="F18" s="19" t="n"/>
      <c r="G18" s="19" t="n"/>
      <c r="H18" s="25" t="n"/>
      <c r="I18" s="15">
        <f>IF(OR(A18="",D18=""),"",IF(AND(集計!$C$5&gt;=D18,OR(E18="",集計!$C$5&lt;=E18)),"○",""))</f>
        <v/>
      </c>
      <c r="J18" s="15">
        <f>IF(OR(A18="",B18=""),"",IF(IFERROR(INDEX(マスター!$C$6:$C$125,MATCH(B18,マスター!$M$6:$M$125,0))&amp;"","")=A18,"","マスターの会社と異なります"))</f>
        <v/>
      </c>
    </row>
    <row r="19">
      <c r="A19" s="19" t="n"/>
      <c r="B19" s="19" t="n"/>
      <c r="C19" s="19" t="n"/>
      <c r="D19" s="25" t="n"/>
      <c r="E19" s="25" t="n"/>
      <c r="F19" s="19" t="n"/>
      <c r="G19" s="19" t="n"/>
      <c r="H19" s="25" t="n"/>
      <c r="I19" s="15">
        <f>IF(OR(A19="",D19=""),"",IF(AND(集計!$C$5&gt;=D19,OR(E19="",集計!$C$5&lt;=E19)),"○",""))</f>
        <v/>
      </c>
      <c r="J19" s="15">
        <f>IF(OR(A19="",B19=""),"",IF(IFERROR(INDEX(マスター!$C$6:$C$125,MATCH(B19,マスター!$M$6:$M$125,0))&amp;"","")=A19,"","マスターの会社と異なります"))</f>
        <v/>
      </c>
    </row>
    <row r="20">
      <c r="A20" s="19" t="n"/>
      <c r="B20" s="19" t="n"/>
      <c r="C20" s="19" t="n"/>
      <c r="D20" s="25" t="n"/>
      <c r="E20" s="25" t="n"/>
      <c r="F20" s="19" t="n"/>
      <c r="G20" s="19" t="n"/>
      <c r="H20" s="25" t="n"/>
      <c r="I20" s="15">
        <f>IF(OR(A20="",D20=""),"",IF(AND(集計!$C$5&gt;=D20,OR(E20="",集計!$C$5&lt;=E20)),"○",""))</f>
        <v/>
      </c>
      <c r="J20" s="15">
        <f>IF(OR(A20="",B20=""),"",IF(IFERROR(INDEX(マスター!$C$6:$C$125,MATCH(B20,マスター!$M$6:$M$125,0))&amp;"","")=A20,"","マスターの会社と異なります"))</f>
        <v/>
      </c>
    </row>
    <row r="21">
      <c r="A21" s="19" t="n"/>
      <c r="B21" s="19" t="n"/>
      <c r="C21" s="19" t="n"/>
      <c r="D21" s="25" t="n"/>
      <c r="E21" s="25" t="n"/>
      <c r="F21" s="19" t="n"/>
      <c r="G21" s="19" t="n"/>
      <c r="H21" s="25" t="n"/>
      <c r="I21" s="15">
        <f>IF(OR(A21="",D21=""),"",IF(AND(集計!$C$5&gt;=D21,OR(E21="",集計!$C$5&lt;=E21)),"○",""))</f>
        <v/>
      </c>
      <c r="J21" s="15">
        <f>IF(OR(A21="",B21=""),"",IF(IFERROR(INDEX(マスター!$C$6:$C$125,MATCH(B21,マスター!$M$6:$M$125,0))&amp;"","")=A21,"","マスターの会社と異なります"))</f>
        <v/>
      </c>
    </row>
    <row r="22">
      <c r="A22" s="19" t="n"/>
      <c r="B22" s="19" t="n"/>
      <c r="C22" s="19" t="n"/>
      <c r="D22" s="25" t="n"/>
      <c r="E22" s="25" t="n"/>
      <c r="F22" s="19" t="n"/>
      <c r="G22" s="19" t="n"/>
      <c r="H22" s="25" t="n"/>
      <c r="I22" s="15">
        <f>IF(OR(A22="",D22=""),"",IF(AND(集計!$C$5&gt;=D22,OR(E22="",集計!$C$5&lt;=E22)),"○",""))</f>
        <v/>
      </c>
      <c r="J22" s="15">
        <f>IF(OR(A22="",B22=""),"",IF(IFERROR(INDEX(マスター!$C$6:$C$125,MATCH(B22,マスター!$M$6:$M$125,0))&amp;"","")=A22,"","マスターの会社と異なります"))</f>
        <v/>
      </c>
    </row>
    <row r="23">
      <c r="A23" s="19" t="n"/>
      <c r="B23" s="19" t="n"/>
      <c r="C23" s="19" t="n"/>
      <c r="D23" s="25" t="n"/>
      <c r="E23" s="25" t="n"/>
      <c r="F23" s="19" t="n"/>
      <c r="G23" s="19" t="n"/>
      <c r="H23" s="25" t="n"/>
      <c r="I23" s="15">
        <f>IF(OR(A23="",D23=""),"",IF(AND(集計!$C$5&gt;=D23,OR(E23="",集計!$C$5&lt;=E23)),"○",""))</f>
        <v/>
      </c>
      <c r="J23" s="15">
        <f>IF(OR(A23="",B23=""),"",IF(IFERROR(INDEX(マスター!$C$6:$C$125,MATCH(B23,マスター!$M$6:$M$125,0))&amp;"","")=A23,"","マスターの会社と異なります"))</f>
        <v/>
      </c>
    </row>
    <row r="24">
      <c r="A24" s="19" t="n"/>
      <c r="B24" s="19" t="n"/>
      <c r="C24" s="19" t="n"/>
      <c r="D24" s="25" t="n"/>
      <c r="E24" s="25" t="n"/>
      <c r="F24" s="19" t="n"/>
      <c r="G24" s="19" t="n"/>
      <c r="H24" s="25" t="n"/>
      <c r="I24" s="15">
        <f>IF(OR(A24="",D24=""),"",IF(AND(集計!$C$5&gt;=D24,OR(E24="",集計!$C$5&lt;=E24)),"○",""))</f>
        <v/>
      </c>
      <c r="J24" s="15">
        <f>IF(OR(A24="",B24=""),"",IF(IFERROR(INDEX(マスター!$C$6:$C$125,MATCH(B24,マスター!$M$6:$M$125,0))&amp;"","")=A24,"","マスターの会社と異なります"))</f>
        <v/>
      </c>
    </row>
    <row r="25">
      <c r="A25" s="19" t="n"/>
      <c r="B25" s="19" t="n"/>
      <c r="C25" s="19" t="n"/>
      <c r="D25" s="25" t="n"/>
      <c r="E25" s="25" t="n"/>
      <c r="F25" s="19" t="n"/>
      <c r="G25" s="19" t="n"/>
      <c r="H25" s="25" t="n"/>
      <c r="I25" s="15">
        <f>IF(OR(A25="",D25=""),"",IF(AND(集計!$C$5&gt;=D25,OR(E25="",集計!$C$5&lt;=E25)),"○",""))</f>
        <v/>
      </c>
      <c r="J25" s="15">
        <f>IF(OR(A25="",B25=""),"",IF(IFERROR(INDEX(マスター!$C$6:$C$125,MATCH(B25,マスター!$M$6:$M$125,0))&amp;"","")=A25,"","マスターの会社と異なります"))</f>
        <v/>
      </c>
    </row>
    <row r="26">
      <c r="A26" s="19" t="n"/>
      <c r="B26" s="19" t="n"/>
      <c r="C26" s="19" t="n"/>
      <c r="D26" s="25" t="n"/>
      <c r="E26" s="25" t="n"/>
      <c r="F26" s="19" t="n"/>
      <c r="G26" s="19" t="n"/>
      <c r="H26" s="25" t="n"/>
      <c r="I26" s="15">
        <f>IF(OR(A26="",D26=""),"",IF(AND(集計!$C$5&gt;=D26,OR(E26="",集計!$C$5&lt;=E26)),"○",""))</f>
        <v/>
      </c>
      <c r="J26" s="15">
        <f>IF(OR(A26="",B26=""),"",IF(IFERROR(INDEX(マスター!$C$6:$C$125,MATCH(B26,マスター!$M$6:$M$125,0))&amp;"","")=A26,"","マスターの会社と異なります"))</f>
        <v/>
      </c>
    </row>
    <row r="27">
      <c r="A27" s="19" t="n"/>
      <c r="B27" s="19" t="n"/>
      <c r="C27" s="19" t="n"/>
      <c r="D27" s="25" t="n"/>
      <c r="E27" s="25" t="n"/>
      <c r="F27" s="19" t="n"/>
      <c r="G27" s="19" t="n"/>
      <c r="H27" s="25" t="n"/>
      <c r="I27" s="15">
        <f>IF(OR(A27="",D27=""),"",IF(AND(集計!$C$5&gt;=D27,OR(E27="",集計!$C$5&lt;=E27)),"○",""))</f>
        <v/>
      </c>
      <c r="J27" s="15">
        <f>IF(OR(A27="",B27=""),"",IF(IFERROR(INDEX(マスター!$C$6:$C$125,MATCH(B27,マスター!$M$6:$M$125,0))&amp;"","")=A27,"","マスターの会社と異なります"))</f>
        <v/>
      </c>
    </row>
    <row r="28">
      <c r="A28" s="19" t="n"/>
      <c r="B28" s="19" t="n"/>
      <c r="C28" s="19" t="n"/>
      <c r="D28" s="25" t="n"/>
      <c r="E28" s="25" t="n"/>
      <c r="F28" s="19" t="n"/>
      <c r="G28" s="19" t="n"/>
      <c r="H28" s="25" t="n"/>
      <c r="I28" s="15">
        <f>IF(OR(A28="",D28=""),"",IF(AND(集計!$C$5&gt;=D28,OR(E28="",集計!$C$5&lt;=E28)),"○",""))</f>
        <v/>
      </c>
      <c r="J28" s="15">
        <f>IF(OR(A28="",B28=""),"",IF(IFERROR(INDEX(マスター!$C$6:$C$125,MATCH(B28,マスター!$M$6:$M$125,0))&amp;"","")=A28,"","マスターの会社と異なります"))</f>
        <v/>
      </c>
    </row>
    <row r="29">
      <c r="A29" s="19" t="n"/>
      <c r="B29" s="19" t="n"/>
      <c r="C29" s="19" t="n"/>
      <c r="D29" s="25" t="n"/>
      <c r="E29" s="25" t="n"/>
      <c r="F29" s="19" t="n"/>
      <c r="G29" s="19" t="n"/>
      <c r="H29" s="25" t="n"/>
      <c r="I29" s="15">
        <f>IF(OR(A29="",D29=""),"",IF(AND(集計!$C$5&gt;=D29,OR(E29="",集計!$C$5&lt;=E29)),"○",""))</f>
        <v/>
      </c>
      <c r="J29" s="15">
        <f>IF(OR(A29="",B29=""),"",IF(IFERROR(INDEX(マスター!$C$6:$C$125,MATCH(B29,マスター!$M$6:$M$125,0))&amp;"","")=A29,"","マスターの会社と異なります"))</f>
        <v/>
      </c>
    </row>
    <row r="30">
      <c r="A30" s="19" t="n"/>
      <c r="B30" s="19" t="n"/>
      <c r="C30" s="19" t="n"/>
      <c r="D30" s="25" t="n"/>
      <c r="E30" s="25" t="n"/>
      <c r="F30" s="19" t="n"/>
      <c r="G30" s="19" t="n"/>
      <c r="H30" s="25" t="n"/>
      <c r="I30" s="15">
        <f>IF(OR(A30="",D30=""),"",IF(AND(集計!$C$5&gt;=D30,OR(E30="",集計!$C$5&lt;=E30)),"○",""))</f>
        <v/>
      </c>
      <c r="J30" s="15">
        <f>IF(OR(A30="",B30=""),"",IF(IFERROR(INDEX(マスター!$C$6:$C$125,MATCH(B30,マスター!$M$6:$M$125,0))&amp;"","")=A30,"","マスターの会社と異なります"))</f>
        <v/>
      </c>
    </row>
    <row r="31">
      <c r="A31" s="19" t="n"/>
      <c r="B31" s="19" t="n"/>
      <c r="C31" s="19" t="n"/>
      <c r="D31" s="25" t="n"/>
      <c r="E31" s="25" t="n"/>
      <c r="F31" s="19" t="n"/>
      <c r="G31" s="19" t="n"/>
      <c r="H31" s="25" t="n"/>
      <c r="I31" s="15">
        <f>IF(OR(A31="",D31=""),"",IF(AND(集計!$C$5&gt;=D31,OR(E31="",集計!$C$5&lt;=E31)),"○",""))</f>
        <v/>
      </c>
      <c r="J31" s="15">
        <f>IF(OR(A31="",B31=""),"",IF(IFERROR(INDEX(マスター!$C$6:$C$125,MATCH(B31,マスター!$M$6:$M$125,0))&amp;"","")=A31,"","マスターの会社と異なります"))</f>
        <v/>
      </c>
    </row>
    <row r="32">
      <c r="A32" s="19" t="n"/>
      <c r="B32" s="19" t="n"/>
      <c r="C32" s="19" t="n"/>
      <c r="D32" s="25" t="n"/>
      <c r="E32" s="25" t="n"/>
      <c r="F32" s="19" t="n"/>
      <c r="G32" s="19" t="n"/>
      <c r="H32" s="25" t="n"/>
      <c r="I32" s="15">
        <f>IF(OR(A32="",D32=""),"",IF(AND(集計!$C$5&gt;=D32,OR(E32="",集計!$C$5&lt;=E32)),"○",""))</f>
        <v/>
      </c>
      <c r="J32" s="15">
        <f>IF(OR(A32="",B32=""),"",IF(IFERROR(INDEX(マスター!$C$6:$C$125,MATCH(B32,マスター!$M$6:$M$125,0))&amp;"","")=A32,"","マスターの会社と異なります"))</f>
        <v/>
      </c>
    </row>
    <row r="33">
      <c r="A33" s="19" t="n"/>
      <c r="B33" s="19" t="n"/>
      <c r="C33" s="19" t="n"/>
      <c r="D33" s="25" t="n"/>
      <c r="E33" s="25" t="n"/>
      <c r="F33" s="19" t="n"/>
      <c r="G33" s="19" t="n"/>
      <c r="H33" s="25" t="n"/>
      <c r="I33" s="15">
        <f>IF(OR(A33="",D33=""),"",IF(AND(集計!$C$5&gt;=D33,OR(E33="",集計!$C$5&lt;=E33)),"○",""))</f>
        <v/>
      </c>
      <c r="J33" s="15">
        <f>IF(OR(A33="",B33=""),"",IF(IFERROR(INDEX(マスター!$C$6:$C$125,MATCH(B33,マスター!$M$6:$M$125,0))&amp;"","")=A33,"","マスターの会社と異なります"))</f>
        <v/>
      </c>
    </row>
    <row r="34">
      <c r="A34" s="19" t="n"/>
      <c r="B34" s="19" t="n"/>
      <c r="C34" s="19" t="n"/>
      <c r="D34" s="25" t="n"/>
      <c r="E34" s="25" t="n"/>
      <c r="F34" s="19" t="n"/>
      <c r="G34" s="19" t="n"/>
      <c r="H34" s="25" t="n"/>
      <c r="I34" s="15">
        <f>IF(OR(A34="",D34=""),"",IF(AND(集計!$C$5&gt;=D34,OR(E34="",集計!$C$5&lt;=E34)),"○",""))</f>
        <v/>
      </c>
      <c r="J34" s="15">
        <f>IF(OR(A34="",B34=""),"",IF(IFERROR(INDEX(マスター!$C$6:$C$125,MATCH(B34,マスター!$M$6:$M$125,0))&amp;"","")=A34,"","マスターの会社と異なります"))</f>
        <v/>
      </c>
    </row>
    <row r="35">
      <c r="A35" s="19" t="n"/>
      <c r="B35" s="19" t="n"/>
      <c r="C35" s="19" t="n"/>
      <c r="D35" s="25" t="n"/>
      <c r="E35" s="25" t="n"/>
      <c r="F35" s="19" t="n"/>
      <c r="G35" s="19" t="n"/>
      <c r="H35" s="25" t="n"/>
      <c r="I35" s="15">
        <f>IF(OR(A35="",D35=""),"",IF(AND(集計!$C$5&gt;=D35,OR(E35="",集計!$C$5&lt;=E35)),"○",""))</f>
        <v/>
      </c>
      <c r="J35" s="15">
        <f>IF(OR(A35="",B35=""),"",IF(IFERROR(INDEX(マスター!$C$6:$C$125,MATCH(B35,マスター!$M$6:$M$125,0))&amp;"","")=A35,"","マスターの会社と異なります"))</f>
        <v/>
      </c>
    </row>
    <row r="36">
      <c r="A36" s="19" t="n"/>
      <c r="B36" s="19" t="n"/>
      <c r="C36" s="19" t="n"/>
      <c r="D36" s="25" t="n"/>
      <c r="E36" s="25" t="n"/>
      <c r="F36" s="19" t="n"/>
      <c r="G36" s="19" t="n"/>
      <c r="H36" s="25" t="n"/>
      <c r="I36" s="15">
        <f>IF(OR(A36="",D36=""),"",IF(AND(集計!$C$5&gt;=D36,OR(E36="",集計!$C$5&lt;=E36)),"○",""))</f>
        <v/>
      </c>
      <c r="J36" s="15">
        <f>IF(OR(A36="",B36=""),"",IF(IFERROR(INDEX(マスター!$C$6:$C$125,MATCH(B36,マスター!$M$6:$M$125,0))&amp;"","")=A36,"","マスターの会社と異なります"))</f>
        <v/>
      </c>
    </row>
    <row r="37">
      <c r="A37" s="19" t="n"/>
      <c r="B37" s="19" t="n"/>
      <c r="C37" s="19" t="n"/>
      <c r="D37" s="25" t="n"/>
      <c r="E37" s="25" t="n"/>
      <c r="F37" s="19" t="n"/>
      <c r="G37" s="19" t="n"/>
      <c r="H37" s="25" t="n"/>
      <c r="I37" s="15">
        <f>IF(OR(A37="",D37=""),"",IF(AND(集計!$C$5&gt;=D37,OR(E37="",集計!$C$5&lt;=E37)),"○",""))</f>
        <v/>
      </c>
      <c r="J37" s="15">
        <f>IF(OR(A37="",B37=""),"",IF(IFERROR(INDEX(マスター!$C$6:$C$125,MATCH(B37,マスター!$M$6:$M$125,0))&amp;"","")=A37,"","マスターの会社と異なります"))</f>
        <v/>
      </c>
    </row>
    <row r="38">
      <c r="A38" s="19" t="n"/>
      <c r="B38" s="19" t="n"/>
      <c r="C38" s="19" t="n"/>
      <c r="D38" s="25" t="n"/>
      <c r="E38" s="25" t="n"/>
      <c r="F38" s="19" t="n"/>
      <c r="G38" s="19" t="n"/>
      <c r="H38" s="25" t="n"/>
      <c r="I38" s="15">
        <f>IF(OR(A38="",D38=""),"",IF(AND(集計!$C$5&gt;=D38,OR(E38="",集計!$C$5&lt;=E38)),"○",""))</f>
        <v/>
      </c>
      <c r="J38" s="15">
        <f>IF(OR(A38="",B38=""),"",IF(IFERROR(INDEX(マスター!$C$6:$C$125,MATCH(B38,マスター!$M$6:$M$125,0))&amp;"","")=A38,"","マスターの会社と異なります"))</f>
        <v/>
      </c>
    </row>
    <row r="39">
      <c r="A39" s="19" t="n"/>
      <c r="B39" s="19" t="n"/>
      <c r="C39" s="19" t="n"/>
      <c r="D39" s="25" t="n"/>
      <c r="E39" s="25" t="n"/>
      <c r="F39" s="19" t="n"/>
      <c r="G39" s="19" t="n"/>
      <c r="H39" s="25" t="n"/>
      <c r="I39" s="15">
        <f>IF(OR(A39="",D39=""),"",IF(AND(集計!$C$5&gt;=D39,OR(E39="",集計!$C$5&lt;=E39)),"○",""))</f>
        <v/>
      </c>
      <c r="J39" s="15">
        <f>IF(OR(A39="",B39=""),"",IF(IFERROR(INDEX(マスター!$C$6:$C$125,MATCH(B39,マスター!$M$6:$M$125,0))&amp;"","")=A39,"","マスターの会社と異なります"))</f>
        <v/>
      </c>
    </row>
    <row r="40">
      <c r="A40" s="19" t="n"/>
      <c r="B40" s="19" t="n"/>
      <c r="C40" s="19" t="n"/>
      <c r="D40" s="25" t="n"/>
      <c r="E40" s="25" t="n"/>
      <c r="F40" s="19" t="n"/>
      <c r="G40" s="19" t="n"/>
      <c r="H40" s="25" t="n"/>
      <c r="I40" s="15">
        <f>IF(OR(A40="",D40=""),"",IF(AND(集計!$C$5&gt;=D40,OR(E40="",集計!$C$5&lt;=E40)),"○",""))</f>
        <v/>
      </c>
      <c r="J40" s="15">
        <f>IF(OR(A40="",B40=""),"",IF(IFERROR(INDEX(マスター!$C$6:$C$125,MATCH(B40,マスター!$M$6:$M$125,0))&amp;"","")=A40,"","マスターの会社と異なります"))</f>
        <v/>
      </c>
    </row>
    <row r="41">
      <c r="A41" s="19" t="n"/>
      <c r="B41" s="19" t="n"/>
      <c r="C41" s="19" t="n"/>
      <c r="D41" s="25" t="n"/>
      <c r="E41" s="25" t="n"/>
      <c r="F41" s="19" t="n"/>
      <c r="G41" s="19" t="n"/>
      <c r="H41" s="25" t="n"/>
      <c r="I41" s="15">
        <f>IF(OR(A41="",D41=""),"",IF(AND(集計!$C$5&gt;=D41,OR(E41="",集計!$C$5&lt;=E41)),"○",""))</f>
        <v/>
      </c>
      <c r="J41" s="15">
        <f>IF(OR(A41="",B41=""),"",IF(IFERROR(INDEX(マスター!$C$6:$C$125,MATCH(B41,マスター!$M$6:$M$125,0))&amp;"","")=A41,"","マスターの会社と異なります"))</f>
        <v/>
      </c>
    </row>
    <row r="42">
      <c r="A42" s="19" t="n"/>
      <c r="B42" s="19" t="n"/>
      <c r="C42" s="19" t="n"/>
      <c r="D42" s="25" t="n"/>
      <c r="E42" s="25" t="n"/>
      <c r="F42" s="19" t="n"/>
      <c r="G42" s="19" t="n"/>
      <c r="H42" s="25" t="n"/>
      <c r="I42" s="15">
        <f>IF(OR(A42="",D42=""),"",IF(AND(集計!$C$5&gt;=D42,OR(E42="",集計!$C$5&lt;=E42)),"○",""))</f>
        <v/>
      </c>
      <c r="J42" s="15">
        <f>IF(OR(A42="",B42=""),"",IF(IFERROR(INDEX(マスター!$C$6:$C$125,MATCH(B42,マスター!$M$6:$M$125,0))&amp;"","")=A42,"","マスターの会社と異なります"))</f>
        <v/>
      </c>
    </row>
    <row r="43">
      <c r="A43" s="19" t="n"/>
      <c r="B43" s="19" t="n"/>
      <c r="C43" s="19" t="n"/>
      <c r="D43" s="25" t="n"/>
      <c r="E43" s="25" t="n"/>
      <c r="F43" s="19" t="n"/>
      <c r="G43" s="19" t="n"/>
      <c r="H43" s="25" t="n"/>
      <c r="I43" s="15">
        <f>IF(OR(A43="",D43=""),"",IF(AND(集計!$C$5&gt;=D43,OR(E43="",集計!$C$5&lt;=E43)),"○",""))</f>
        <v/>
      </c>
      <c r="J43" s="15">
        <f>IF(OR(A43="",B43=""),"",IF(IFERROR(INDEX(マスター!$C$6:$C$125,MATCH(B43,マスター!$M$6:$M$125,0))&amp;"","")=A43,"","マスターの会社と異なります"))</f>
        <v/>
      </c>
    </row>
    <row r="44">
      <c r="A44" s="19" t="n"/>
      <c r="B44" s="19" t="n"/>
      <c r="C44" s="19" t="n"/>
      <c r="D44" s="25" t="n"/>
      <c r="E44" s="25" t="n"/>
      <c r="F44" s="19" t="n"/>
      <c r="G44" s="19" t="n"/>
      <c r="H44" s="25" t="n"/>
      <c r="I44" s="15">
        <f>IF(OR(A44="",D44=""),"",IF(AND(集計!$C$5&gt;=D44,OR(E44="",集計!$C$5&lt;=E44)),"○",""))</f>
        <v/>
      </c>
      <c r="J44" s="15">
        <f>IF(OR(A44="",B44=""),"",IF(IFERROR(INDEX(マスター!$C$6:$C$125,MATCH(B44,マスター!$M$6:$M$125,0))&amp;"","")=A44,"","マスターの会社と異なります"))</f>
        <v/>
      </c>
    </row>
    <row r="45">
      <c r="A45" s="19" t="n"/>
      <c r="B45" s="19" t="n"/>
      <c r="C45" s="19" t="n"/>
      <c r="D45" s="25" t="n"/>
      <c r="E45" s="25" t="n"/>
      <c r="F45" s="19" t="n"/>
      <c r="G45" s="19" t="n"/>
      <c r="H45" s="25" t="n"/>
      <c r="I45" s="15">
        <f>IF(OR(A45="",D45=""),"",IF(AND(集計!$C$5&gt;=D45,OR(E45="",集計!$C$5&lt;=E45)),"○",""))</f>
        <v/>
      </c>
      <c r="J45" s="15">
        <f>IF(OR(A45="",B45=""),"",IF(IFERROR(INDEX(マスター!$C$6:$C$125,MATCH(B45,マスター!$M$6:$M$125,0))&amp;"","")=A45,"","マスターの会社と異なります"))</f>
        <v/>
      </c>
    </row>
    <row r="46">
      <c r="A46" s="19" t="n"/>
      <c r="B46" s="19" t="n"/>
      <c r="C46" s="19" t="n"/>
      <c r="D46" s="25" t="n"/>
      <c r="E46" s="25" t="n"/>
      <c r="F46" s="19" t="n"/>
      <c r="G46" s="19" t="n"/>
      <c r="H46" s="25" t="n"/>
      <c r="I46" s="15">
        <f>IF(OR(A46="",D46=""),"",IF(AND(集計!$C$5&gt;=D46,OR(E46="",集計!$C$5&lt;=E46)),"○",""))</f>
        <v/>
      </c>
      <c r="J46" s="15">
        <f>IF(OR(A46="",B46=""),"",IF(IFERROR(INDEX(マスター!$C$6:$C$125,MATCH(B46,マスター!$M$6:$M$125,0))&amp;"","")=A46,"","マスターの会社と異なります"))</f>
        <v/>
      </c>
    </row>
    <row r="47">
      <c r="A47" s="19" t="n"/>
      <c r="B47" s="19" t="n"/>
      <c r="C47" s="19" t="n"/>
      <c r="D47" s="25" t="n"/>
      <c r="E47" s="25" t="n"/>
      <c r="F47" s="19" t="n"/>
      <c r="G47" s="19" t="n"/>
      <c r="H47" s="25" t="n"/>
      <c r="I47" s="15">
        <f>IF(OR(A47="",D47=""),"",IF(AND(集計!$C$5&gt;=D47,OR(E47="",集計!$C$5&lt;=E47)),"○",""))</f>
        <v/>
      </c>
      <c r="J47" s="15">
        <f>IF(OR(A47="",B47=""),"",IF(IFERROR(INDEX(マスター!$C$6:$C$125,MATCH(B47,マスター!$M$6:$M$125,0))&amp;"","")=A47,"","マスターの会社と異なります"))</f>
        <v/>
      </c>
    </row>
    <row r="48">
      <c r="A48" s="19" t="n"/>
      <c r="B48" s="19" t="n"/>
      <c r="C48" s="19" t="n"/>
      <c r="D48" s="25" t="n"/>
      <c r="E48" s="25" t="n"/>
      <c r="F48" s="19" t="n"/>
      <c r="G48" s="19" t="n"/>
      <c r="H48" s="25" t="n"/>
      <c r="I48" s="15">
        <f>IF(OR(A48="",D48=""),"",IF(AND(集計!$C$5&gt;=D48,OR(E48="",集計!$C$5&lt;=E48)),"○",""))</f>
        <v/>
      </c>
      <c r="J48" s="15">
        <f>IF(OR(A48="",B48=""),"",IF(IFERROR(INDEX(マスター!$C$6:$C$125,MATCH(B48,マスター!$M$6:$M$125,0))&amp;"","")=A48,"","マスターの会社と異なります"))</f>
        <v/>
      </c>
    </row>
    <row r="49">
      <c r="A49" s="19" t="n"/>
      <c r="B49" s="19" t="n"/>
      <c r="C49" s="19" t="n"/>
      <c r="D49" s="25" t="n"/>
      <c r="E49" s="25" t="n"/>
      <c r="F49" s="19" t="n"/>
      <c r="G49" s="19" t="n"/>
      <c r="H49" s="25" t="n"/>
      <c r="I49" s="15">
        <f>IF(OR(A49="",D49=""),"",IF(AND(集計!$C$5&gt;=D49,OR(E49="",集計!$C$5&lt;=E49)),"○",""))</f>
        <v/>
      </c>
      <c r="J49" s="15">
        <f>IF(OR(A49="",B49=""),"",IF(IFERROR(INDEX(マスター!$C$6:$C$125,MATCH(B49,マスター!$M$6:$M$125,0))&amp;"","")=A49,"","マスターの会社と異なります"))</f>
        <v/>
      </c>
    </row>
    <row r="50">
      <c r="A50" s="19" t="n"/>
      <c r="B50" s="19" t="n"/>
      <c r="C50" s="19" t="n"/>
      <c r="D50" s="25" t="n"/>
      <c r="E50" s="25" t="n"/>
      <c r="F50" s="19" t="n"/>
      <c r="G50" s="19" t="n"/>
      <c r="H50" s="25" t="n"/>
      <c r="I50" s="15">
        <f>IF(OR(A50="",D50=""),"",IF(AND(集計!$C$5&gt;=D50,OR(E50="",集計!$C$5&lt;=E50)),"○",""))</f>
        <v/>
      </c>
      <c r="J50" s="15">
        <f>IF(OR(A50="",B50=""),"",IF(IFERROR(INDEX(マスター!$C$6:$C$125,MATCH(B50,マスター!$M$6:$M$125,0))&amp;"","")=A50,"","マスターの会社と異なります"))</f>
        <v/>
      </c>
    </row>
    <row r="51">
      <c r="A51" s="19" t="n"/>
      <c r="B51" s="19" t="n"/>
      <c r="C51" s="19" t="n"/>
      <c r="D51" s="25" t="n"/>
      <c r="E51" s="25" t="n"/>
      <c r="F51" s="19" t="n"/>
      <c r="G51" s="19" t="n"/>
      <c r="H51" s="25" t="n"/>
      <c r="I51" s="15">
        <f>IF(OR(A51="",D51=""),"",IF(AND(集計!$C$5&gt;=D51,OR(E51="",集計!$C$5&lt;=E51)),"○",""))</f>
        <v/>
      </c>
      <c r="J51" s="15">
        <f>IF(OR(A51="",B51=""),"",IF(IFERROR(INDEX(マスター!$C$6:$C$125,MATCH(B51,マスター!$M$6:$M$125,0))&amp;"","")=A51,"","マスターの会社と異なります"))</f>
        <v/>
      </c>
    </row>
    <row r="52">
      <c r="A52" s="19" t="n"/>
      <c r="B52" s="19" t="n"/>
      <c r="C52" s="19" t="n"/>
      <c r="D52" s="25" t="n"/>
      <c r="E52" s="25" t="n"/>
      <c r="F52" s="19" t="n"/>
      <c r="G52" s="19" t="n"/>
      <c r="H52" s="25" t="n"/>
      <c r="I52" s="15">
        <f>IF(OR(A52="",D52=""),"",IF(AND(集計!$C$5&gt;=D52,OR(E52="",集計!$C$5&lt;=E52)),"○",""))</f>
        <v/>
      </c>
      <c r="J52" s="15">
        <f>IF(OR(A52="",B52=""),"",IF(IFERROR(INDEX(マスター!$C$6:$C$125,MATCH(B52,マスター!$M$6:$M$125,0))&amp;"","")=A52,"","マスターの会社と異なります"))</f>
        <v/>
      </c>
    </row>
    <row r="53">
      <c r="A53" s="19" t="n"/>
      <c r="B53" s="19" t="n"/>
      <c r="C53" s="19" t="n"/>
      <c r="D53" s="25" t="n"/>
      <c r="E53" s="25" t="n"/>
      <c r="F53" s="19" t="n"/>
      <c r="G53" s="19" t="n"/>
      <c r="H53" s="25" t="n"/>
      <c r="I53" s="15">
        <f>IF(OR(A53="",D53=""),"",IF(AND(集計!$C$5&gt;=D53,OR(E53="",集計!$C$5&lt;=E53)),"○",""))</f>
        <v/>
      </c>
      <c r="J53" s="15">
        <f>IF(OR(A53="",B53=""),"",IF(IFERROR(INDEX(マスター!$C$6:$C$125,MATCH(B53,マスター!$M$6:$M$125,0))&amp;"","")=A53,"","マスターの会社と異なります"))</f>
        <v/>
      </c>
    </row>
    <row r="54">
      <c r="A54" s="19" t="n"/>
      <c r="B54" s="19" t="n"/>
      <c r="C54" s="19" t="n"/>
      <c r="D54" s="25" t="n"/>
      <c r="E54" s="25" t="n"/>
      <c r="F54" s="19" t="n"/>
      <c r="G54" s="19" t="n"/>
      <c r="H54" s="25" t="n"/>
      <c r="I54" s="15">
        <f>IF(OR(A54="",D54=""),"",IF(AND(集計!$C$5&gt;=D54,OR(E54="",集計!$C$5&lt;=E54)),"○",""))</f>
        <v/>
      </c>
      <c r="J54" s="15">
        <f>IF(OR(A54="",B54=""),"",IF(IFERROR(INDEX(マスター!$C$6:$C$125,MATCH(B54,マスター!$M$6:$M$125,0))&amp;"","")=A54,"","マスターの会社と異なります"))</f>
        <v/>
      </c>
    </row>
    <row r="55">
      <c r="A55" s="19" t="n"/>
      <c r="B55" s="19" t="n"/>
      <c r="C55" s="19" t="n"/>
      <c r="D55" s="25" t="n"/>
      <c r="E55" s="25" t="n"/>
      <c r="F55" s="19" t="n"/>
      <c r="G55" s="19" t="n"/>
      <c r="H55" s="25" t="n"/>
      <c r="I55" s="15">
        <f>IF(OR(A55="",D55=""),"",IF(AND(集計!$C$5&gt;=D55,OR(E55="",集計!$C$5&lt;=E55)),"○",""))</f>
        <v/>
      </c>
      <c r="J55" s="15">
        <f>IF(OR(A55="",B55=""),"",IF(IFERROR(INDEX(マスター!$C$6:$C$125,MATCH(B55,マスター!$M$6:$M$125,0))&amp;"","")=A55,"","マスターの会社と異なります"))</f>
        <v/>
      </c>
    </row>
  </sheetData>
  <dataValidations count="2">
    <dataValidation sqref="A6:A55" showDropDown="0" showInputMessage="0" showErrorMessage="0" allowBlank="1" errorTitle="選択してください" error="一覧から選んでください（一覧にない場合は「マスター」シートへ追加してください）" type="list">
      <formula1>=会社リスト</formula1>
    </dataValidation>
    <dataValidation sqref="B6:B55" showDropDown="0" showInputMessage="0" showErrorMessage="0" allowBlank="1" errorTitle="選択してください" error="一覧から選んでください（一覧にない場合は「マスター」シートへ追加してください）" type="list">
      <formula1>=船名リスト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tabSelected="0" workbookViewId="0">
      <pane ySplit="5" topLeftCell="A6" activePane="bottomLeft" state="frozen"/>
      <selection pane="bottomLeft" activeCell="A6" sqref="A6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10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11" customWidth="1" min="10" max="10"/>
    <col width="11" customWidth="1" min="11" max="11"/>
    <col width="10" customWidth="1" min="12" max="12"/>
    <col width="16" customWidth="1" min="13" max="13"/>
    <col width="12" customWidth="1" min="14" max="14"/>
    <col width="16" customWidth="1" min="16" max="16"/>
    <col width="9" customWidth="1" min="17" max="17"/>
    <col width="34" customWidth="1" min="18" max="18"/>
    <col width="18" customWidth="1" min="19" max="19"/>
  </cols>
  <sheetData>
    <row r="1">
      <c r="A1" s="10" t="inlineStr">
        <is>
          <t>標準時間（基地発から基地着までの見込み）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</row>
    <row r="2">
      <c r="A2" s="12" t="inlineStr">
        <is>
          <t>誰が：八幡タグ＝上田、西日本海運タグ＝西日本海運担当者　何を見て：運航の実態　どこへ：A6から会社・基地港・バース・作業内容ごとに1行（LNG入港・出港・警戒は分ける）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</row>
    <row r="3">
      <c r="A3" s="13" t="inlineStr">
        <is>
          <t>集計先：今後の標準時間による推計（実測とは区別して表示）。右の上田資料の目安は起点が未確認のため参考表示のみ。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</row>
    <row r="4">
      <c r="P4" s="6" t="inlineStr">
        <is>
          <t>参考：上田資料「1作業平均使用曳船隻数・曳船拘束時間集計」（基地出発～基地帰着の目安と記載。基地港・起点の詳細は未確認。入力欄ではありません）</t>
        </is>
      </c>
    </row>
    <row r="5" ht="45" customHeight="1">
      <c r="A5" s="22" t="inlineStr">
        <is>
          <t>会社【入力・選択】</t>
        </is>
      </c>
      <c r="B5" s="22" t="inlineStr">
        <is>
          <t>基地港【入力・選択】</t>
        </is>
      </c>
      <c r="C5" s="22" t="inlineStr">
        <is>
          <t>バース【入力】</t>
        </is>
      </c>
      <c r="D5" s="22" t="inlineStr">
        <is>
          <t>作業内容【入力・選択】</t>
        </is>
      </c>
      <c r="E5" s="22" t="inlineStr">
        <is>
          <t>予定時刻の基準【入力・選択】</t>
        </is>
      </c>
      <c r="F5" s="22" t="inlineStr">
        <is>
          <t>基地から現場への移動（分）【入力】</t>
        </is>
      </c>
      <c r="G5" s="22" t="inlineStr">
        <is>
          <t>作業（分）【入力】</t>
        </is>
      </c>
      <c r="H5" s="22" t="inlineStr">
        <is>
          <t>帰航（分）【入力】</t>
        </is>
      </c>
      <c r="I5" s="14" t="inlineStr">
        <is>
          <t>合計（分）【自動】</t>
        </is>
      </c>
      <c r="J5" s="22" t="inlineStr">
        <is>
          <t>適用開始日【入力】</t>
        </is>
      </c>
      <c r="K5" s="22" t="inlineStr">
        <is>
          <t>適用終了日【入力】</t>
        </is>
      </c>
      <c r="L5" s="22" t="inlineStr">
        <is>
          <t>確認者【入力】</t>
        </is>
      </c>
      <c r="M5" s="22" t="inlineStr">
        <is>
          <t>情報元【入力】</t>
        </is>
      </c>
      <c r="N5" s="22" t="inlineStr">
        <is>
          <t>確認状況【入力・選択】</t>
        </is>
      </c>
      <c r="P5" s="26" t="inlineStr">
        <is>
          <t>区分</t>
        </is>
      </c>
      <c r="Q5" s="26" t="inlineStr">
        <is>
          <t>平均使用隻数</t>
        </is>
      </c>
      <c r="R5" s="26" t="inlineStr">
        <is>
          <t>標準的な拘束時間</t>
        </is>
      </c>
      <c r="S5" s="26" t="inlineStr">
        <is>
          <t>最大の拘束時間</t>
        </is>
      </c>
    </row>
    <row r="6">
      <c r="A6" s="19" t="n"/>
      <c r="B6" s="19" t="n"/>
      <c r="C6" s="19" t="n"/>
      <c r="D6" s="19" t="n"/>
      <c r="E6" s="19" t="n"/>
      <c r="F6" s="19" t="n"/>
      <c r="G6" s="19" t="n"/>
      <c r="H6" s="19" t="n"/>
      <c r="I6" s="15">
        <f>IF(COUNT(F6:H6)=0,"",SUM(F6:H6))</f>
        <v/>
      </c>
      <c r="J6" s="25" t="n"/>
      <c r="K6" s="25" t="n"/>
      <c r="L6" s="19" t="n"/>
      <c r="M6" s="19" t="n"/>
      <c r="N6" s="19" t="n"/>
      <c r="P6" s="27" t="inlineStr">
        <is>
          <t>LNG</t>
        </is>
      </c>
      <c r="Q6" s="27" t="inlineStr">
        <is>
          <t>5.0隻</t>
        </is>
      </c>
      <c r="R6" s="27" t="inlineStr">
        <is>
          <t>入港 六連 回頭5.0H／連れ船4.0H、出港2.0H</t>
        </is>
      </c>
      <c r="S6" s="27" t="inlineStr">
        <is>
          <t>入港6.0H、出港2.5H</t>
        </is>
      </c>
    </row>
    <row r="7">
      <c r="A7" s="19" t="n"/>
      <c r="B7" s="19" t="n"/>
      <c r="C7" s="19" t="n"/>
      <c r="D7" s="19" t="n"/>
      <c r="E7" s="19" t="n"/>
      <c r="F7" s="19" t="n"/>
      <c r="G7" s="19" t="n"/>
      <c r="H7" s="19" t="n"/>
      <c r="I7" s="15">
        <f>IF(COUNT(F7:H7)=0,"",SUM(F7:H7))</f>
        <v/>
      </c>
      <c r="J7" s="25" t="n"/>
      <c r="K7" s="25" t="n"/>
      <c r="L7" s="19" t="n"/>
      <c r="M7" s="19" t="n"/>
      <c r="N7" s="19" t="n"/>
      <c r="P7" s="27" t="inlineStr">
        <is>
          <t>副原料</t>
        </is>
      </c>
      <c r="Q7" s="27" t="inlineStr">
        <is>
          <t>1.8隻</t>
        </is>
      </c>
      <c r="R7" s="27" t="inlineStr">
        <is>
          <t>入港2.5H、出港1.0H</t>
        </is>
      </c>
      <c r="S7" s="27" t="inlineStr">
        <is>
          <t>入港3.5H、出港1.0H</t>
        </is>
      </c>
    </row>
    <row r="8">
      <c r="A8" s="19" t="n"/>
      <c r="B8" s="19" t="n"/>
      <c r="C8" s="19" t="n"/>
      <c r="D8" s="19" t="n"/>
      <c r="E8" s="19" t="n"/>
      <c r="F8" s="19" t="n"/>
      <c r="G8" s="19" t="n"/>
      <c r="H8" s="19" t="n"/>
      <c r="I8" s="15">
        <f>IF(COUNT(F8:H8)=0,"",SUM(F8:H8))</f>
        <v/>
      </c>
      <c r="J8" s="25" t="n"/>
      <c r="K8" s="25" t="n"/>
      <c r="L8" s="19" t="n"/>
      <c r="M8" s="19" t="n"/>
      <c r="N8" s="19" t="n"/>
      <c r="P8" s="27" t="inlineStr">
        <is>
          <t>安瀬石炭</t>
        </is>
      </c>
      <c r="Q8" s="27" t="inlineStr">
        <is>
          <t>3.6隻</t>
        </is>
      </c>
      <c r="R8" s="27" t="inlineStr">
        <is>
          <t>入港 六連 回頭3.0H／連れ船2.5H／部埼3.0H、出港2.0H</t>
        </is>
      </c>
      <c r="S8" s="27" t="inlineStr">
        <is>
          <t>入港4.5H、出港2.0H</t>
        </is>
      </c>
    </row>
    <row r="9">
      <c r="A9" s="19" t="n"/>
      <c r="B9" s="19" t="n"/>
      <c r="C9" s="19" t="n"/>
      <c r="D9" s="19" t="n"/>
      <c r="E9" s="19" t="n"/>
      <c r="F9" s="19" t="n"/>
      <c r="G9" s="19" t="n"/>
      <c r="H9" s="19" t="n"/>
      <c r="I9" s="15">
        <f>IF(COUNT(F9:H9)=0,"",SUM(F9:H9))</f>
        <v/>
      </c>
      <c r="J9" s="25" t="n"/>
      <c r="K9" s="25" t="n"/>
      <c r="L9" s="19" t="n"/>
      <c r="M9" s="19" t="n"/>
      <c r="N9" s="19" t="n"/>
      <c r="P9" s="27" t="inlineStr">
        <is>
          <t>内浦</t>
        </is>
      </c>
      <c r="Q9" s="27" t="inlineStr">
        <is>
          <t>1.7隻</t>
        </is>
      </c>
      <c r="R9" s="27" t="inlineStr">
        <is>
          <t>入港2.0H、出港1.5H</t>
        </is>
      </c>
      <c r="S9" s="27" t="inlineStr">
        <is>
          <t>入港3.0H、出港2.0H</t>
        </is>
      </c>
    </row>
    <row r="10">
      <c r="A10" s="19" t="n"/>
      <c r="B10" s="19" t="n"/>
      <c r="C10" s="19" t="n"/>
      <c r="D10" s="19" t="n"/>
      <c r="E10" s="19" t="n"/>
      <c r="F10" s="19" t="n"/>
      <c r="G10" s="19" t="n"/>
      <c r="H10" s="19" t="n"/>
      <c r="I10" s="15">
        <f>IF(COUNT(F10:H10)=0,"",SUM(F10:H10))</f>
        <v/>
      </c>
      <c r="J10" s="25" t="n"/>
      <c r="K10" s="25" t="n"/>
      <c r="L10" s="19" t="n"/>
      <c r="M10" s="19" t="n"/>
      <c r="N10" s="19" t="n"/>
      <c r="P10" s="27" t="inlineStr">
        <is>
          <t>八幡</t>
        </is>
      </c>
      <c r="Q10" s="27" t="inlineStr">
        <is>
          <t>1.9隻</t>
        </is>
      </c>
      <c r="R10" s="27" t="inlineStr">
        <is>
          <t>入港1.5H、出港1.0H</t>
        </is>
      </c>
      <c r="S10" s="27" t="inlineStr">
        <is>
          <t>入港2.0H、出港2.0H</t>
        </is>
      </c>
    </row>
    <row r="1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5">
        <f>IF(COUNT(F11:H11)=0,"",SUM(F11:H11))</f>
        <v/>
      </c>
      <c r="J11" s="25" t="n"/>
      <c r="K11" s="25" t="n"/>
      <c r="L11" s="19" t="n"/>
      <c r="M11" s="19" t="n"/>
      <c r="N11" s="19" t="n"/>
      <c r="P11" s="27" t="inlineStr">
        <is>
          <t>鋼材シフト（日本製鉄作業）</t>
        </is>
      </c>
      <c r="Q11" s="27" t="inlineStr">
        <is>
          <t>2.0隻</t>
        </is>
      </c>
      <c r="R11" s="27" t="inlineStr">
        <is>
          <t>シフト2.0H</t>
        </is>
      </c>
      <c r="S11" s="27" t="inlineStr">
        <is>
          <t>シフト2.5H</t>
        </is>
      </c>
    </row>
    <row r="12">
      <c r="A12" s="19" t="n"/>
      <c r="B12" s="19" t="n"/>
      <c r="C12" s="19" t="n"/>
      <c r="D12" s="19" t="n"/>
      <c r="E12" s="19" t="n"/>
      <c r="F12" s="19" t="n"/>
      <c r="G12" s="19" t="n"/>
      <c r="H12" s="19" t="n"/>
      <c r="I12" s="15">
        <f>IF(COUNT(F12:H12)=0,"",SUM(F12:H12))</f>
        <v/>
      </c>
      <c r="J12" s="25" t="n"/>
      <c r="K12" s="25" t="n"/>
      <c r="L12" s="19" t="n"/>
      <c r="M12" s="19" t="n"/>
      <c r="N12" s="19" t="n"/>
    </row>
    <row r="13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5">
        <f>IF(COUNT(F13:H13)=0,"",SUM(F13:H13))</f>
        <v/>
      </c>
      <c r="J13" s="25" t="n"/>
      <c r="K13" s="25" t="n"/>
      <c r="L13" s="19" t="n"/>
      <c r="M13" s="19" t="n"/>
      <c r="N13" s="19" t="n"/>
    </row>
    <row r="14">
      <c r="A14" s="19" t="n"/>
      <c r="B14" s="19" t="n"/>
      <c r="C14" s="19" t="n"/>
      <c r="D14" s="19" t="n"/>
      <c r="E14" s="19" t="n"/>
      <c r="F14" s="19" t="n"/>
      <c r="G14" s="19" t="n"/>
      <c r="H14" s="19" t="n"/>
      <c r="I14" s="15">
        <f>IF(COUNT(F14:H14)=0,"",SUM(F14:H14))</f>
        <v/>
      </c>
      <c r="J14" s="25" t="n"/>
      <c r="K14" s="25" t="n"/>
      <c r="L14" s="19" t="n"/>
      <c r="M14" s="19" t="n"/>
      <c r="N14" s="19" t="n"/>
    </row>
    <row r="15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5">
        <f>IF(COUNT(F15:H15)=0,"",SUM(F15:H15))</f>
        <v/>
      </c>
      <c r="J15" s="25" t="n"/>
      <c r="K15" s="25" t="n"/>
      <c r="L15" s="19" t="n"/>
      <c r="M15" s="19" t="n"/>
      <c r="N15" s="19" t="n"/>
    </row>
    <row r="16">
      <c r="A16" s="19" t="n"/>
      <c r="B16" s="19" t="n"/>
      <c r="C16" s="19" t="n"/>
      <c r="D16" s="19" t="n"/>
      <c r="E16" s="19" t="n"/>
      <c r="F16" s="19" t="n"/>
      <c r="G16" s="19" t="n"/>
      <c r="H16" s="19" t="n"/>
      <c r="I16" s="15">
        <f>IF(COUNT(F16:H16)=0,"",SUM(F16:H16))</f>
        <v/>
      </c>
      <c r="J16" s="25" t="n"/>
      <c r="K16" s="25" t="n"/>
      <c r="L16" s="19" t="n"/>
      <c r="M16" s="19" t="n"/>
      <c r="N16" s="19" t="n"/>
    </row>
    <row r="17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5">
        <f>IF(COUNT(F17:H17)=0,"",SUM(F17:H17))</f>
        <v/>
      </c>
      <c r="J17" s="25" t="n"/>
      <c r="K17" s="25" t="n"/>
      <c r="L17" s="19" t="n"/>
      <c r="M17" s="19" t="n"/>
      <c r="N17" s="19" t="n"/>
    </row>
    <row r="18">
      <c r="A18" s="19" t="n"/>
      <c r="B18" s="19" t="n"/>
      <c r="C18" s="19" t="n"/>
      <c r="D18" s="19" t="n"/>
      <c r="E18" s="19" t="n"/>
      <c r="F18" s="19" t="n"/>
      <c r="G18" s="19" t="n"/>
      <c r="H18" s="19" t="n"/>
      <c r="I18" s="15">
        <f>IF(COUNT(F18:H18)=0,"",SUM(F18:H18))</f>
        <v/>
      </c>
      <c r="J18" s="25" t="n"/>
      <c r="K18" s="25" t="n"/>
      <c r="L18" s="19" t="n"/>
      <c r="M18" s="19" t="n"/>
      <c r="N18" s="19" t="n"/>
    </row>
    <row r="19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5">
        <f>IF(COUNT(F19:H19)=0,"",SUM(F19:H19))</f>
        <v/>
      </c>
      <c r="J19" s="25" t="n"/>
      <c r="K19" s="25" t="n"/>
      <c r="L19" s="19" t="n"/>
      <c r="M19" s="19" t="n"/>
      <c r="N19" s="19" t="n"/>
    </row>
    <row r="20">
      <c r="A20" s="19" t="n"/>
      <c r="B20" s="19" t="n"/>
      <c r="C20" s="19" t="n"/>
      <c r="D20" s="19" t="n"/>
      <c r="E20" s="19" t="n"/>
      <c r="F20" s="19" t="n"/>
      <c r="G20" s="19" t="n"/>
      <c r="H20" s="19" t="n"/>
      <c r="I20" s="15">
        <f>IF(COUNT(F20:H20)=0,"",SUM(F20:H20))</f>
        <v/>
      </c>
      <c r="J20" s="25" t="n"/>
      <c r="K20" s="25" t="n"/>
      <c r="L20" s="19" t="n"/>
      <c r="M20" s="19" t="n"/>
      <c r="N20" s="19" t="n"/>
    </row>
    <row r="2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5">
        <f>IF(COUNT(F21:H21)=0,"",SUM(F21:H21))</f>
        <v/>
      </c>
      <c r="J21" s="25" t="n"/>
      <c r="K21" s="25" t="n"/>
      <c r="L21" s="19" t="n"/>
      <c r="M21" s="19" t="n"/>
      <c r="N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  <c r="I22" s="15">
        <f>IF(COUNT(F22:H22)=0,"",SUM(F22:H22))</f>
        <v/>
      </c>
      <c r="J22" s="25" t="n"/>
      <c r="K22" s="25" t="n"/>
      <c r="L22" s="19" t="n"/>
      <c r="M22" s="19" t="n"/>
      <c r="N22" s="19" t="n"/>
    </row>
    <row r="23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5">
        <f>IF(COUNT(F23:H23)=0,"",SUM(F23:H23))</f>
        <v/>
      </c>
      <c r="J23" s="25" t="n"/>
      <c r="K23" s="25" t="n"/>
      <c r="L23" s="19" t="n"/>
      <c r="M23" s="19" t="n"/>
      <c r="N23" s="19" t="n"/>
    </row>
    <row r="24">
      <c r="A24" s="19" t="n"/>
      <c r="B24" s="19" t="n"/>
      <c r="C24" s="19" t="n"/>
      <c r="D24" s="19" t="n"/>
      <c r="E24" s="19" t="n"/>
      <c r="F24" s="19" t="n"/>
      <c r="G24" s="19" t="n"/>
      <c r="H24" s="19" t="n"/>
      <c r="I24" s="15">
        <f>IF(COUNT(F24:H24)=0,"",SUM(F24:H24))</f>
        <v/>
      </c>
      <c r="J24" s="25" t="n"/>
      <c r="K24" s="25" t="n"/>
      <c r="L24" s="19" t="n"/>
      <c r="M24" s="19" t="n"/>
      <c r="N24" s="19" t="n"/>
    </row>
    <row r="25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5">
        <f>IF(COUNT(F25:H25)=0,"",SUM(F25:H25))</f>
        <v/>
      </c>
      <c r="J25" s="25" t="n"/>
      <c r="K25" s="25" t="n"/>
      <c r="L25" s="19" t="n"/>
      <c r="M25" s="19" t="n"/>
      <c r="N25" s="19" t="n"/>
    </row>
    <row r="26">
      <c r="A26" s="19" t="n"/>
      <c r="B26" s="19" t="n"/>
      <c r="C26" s="19" t="n"/>
      <c r="D26" s="19" t="n"/>
      <c r="E26" s="19" t="n"/>
      <c r="F26" s="19" t="n"/>
      <c r="G26" s="19" t="n"/>
      <c r="H26" s="19" t="n"/>
      <c r="I26" s="15">
        <f>IF(COUNT(F26:H26)=0,"",SUM(F26:H26))</f>
        <v/>
      </c>
      <c r="J26" s="25" t="n"/>
      <c r="K26" s="25" t="n"/>
      <c r="L26" s="19" t="n"/>
      <c r="M26" s="19" t="n"/>
      <c r="N26" s="19" t="n"/>
    </row>
    <row r="27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5">
        <f>IF(COUNT(F27:H27)=0,"",SUM(F27:H27))</f>
        <v/>
      </c>
      <c r="J27" s="25" t="n"/>
      <c r="K27" s="25" t="n"/>
      <c r="L27" s="19" t="n"/>
      <c r="M27" s="19" t="n"/>
      <c r="N27" s="19" t="n"/>
    </row>
    <row r="28">
      <c r="A28" s="19" t="n"/>
      <c r="B28" s="19" t="n"/>
      <c r="C28" s="19" t="n"/>
      <c r="D28" s="19" t="n"/>
      <c r="E28" s="19" t="n"/>
      <c r="F28" s="19" t="n"/>
      <c r="G28" s="19" t="n"/>
      <c r="H28" s="19" t="n"/>
      <c r="I28" s="15">
        <f>IF(COUNT(F28:H28)=0,"",SUM(F28:H28))</f>
        <v/>
      </c>
      <c r="J28" s="25" t="n"/>
      <c r="K28" s="25" t="n"/>
      <c r="L28" s="19" t="n"/>
      <c r="M28" s="19" t="n"/>
      <c r="N28" s="19" t="n"/>
    </row>
    <row r="29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5">
        <f>IF(COUNT(F29:H29)=0,"",SUM(F29:H29))</f>
        <v/>
      </c>
      <c r="J29" s="25" t="n"/>
      <c r="K29" s="25" t="n"/>
      <c r="L29" s="19" t="n"/>
      <c r="M29" s="19" t="n"/>
      <c r="N29" s="19" t="n"/>
    </row>
    <row r="30">
      <c r="A30" s="19" t="n"/>
      <c r="B30" s="19" t="n"/>
      <c r="C30" s="19" t="n"/>
      <c r="D30" s="19" t="n"/>
      <c r="E30" s="19" t="n"/>
      <c r="F30" s="19" t="n"/>
      <c r="G30" s="19" t="n"/>
      <c r="H30" s="19" t="n"/>
      <c r="I30" s="15">
        <f>IF(COUNT(F30:H30)=0,"",SUM(F30:H30))</f>
        <v/>
      </c>
      <c r="J30" s="25" t="n"/>
      <c r="K30" s="25" t="n"/>
      <c r="L30" s="19" t="n"/>
      <c r="M30" s="19" t="n"/>
      <c r="N30" s="19" t="n"/>
    </row>
    <row r="3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5">
        <f>IF(COUNT(F31:H31)=0,"",SUM(F31:H31))</f>
        <v/>
      </c>
      <c r="J31" s="25" t="n"/>
      <c r="K31" s="25" t="n"/>
      <c r="L31" s="19" t="n"/>
      <c r="M31" s="19" t="n"/>
      <c r="N31" s="19" t="n"/>
    </row>
    <row r="32">
      <c r="A32" s="19" t="n"/>
      <c r="B32" s="19" t="n"/>
      <c r="C32" s="19" t="n"/>
      <c r="D32" s="19" t="n"/>
      <c r="E32" s="19" t="n"/>
      <c r="F32" s="19" t="n"/>
      <c r="G32" s="19" t="n"/>
      <c r="H32" s="19" t="n"/>
      <c r="I32" s="15">
        <f>IF(COUNT(F32:H32)=0,"",SUM(F32:H32))</f>
        <v/>
      </c>
      <c r="J32" s="25" t="n"/>
      <c r="K32" s="25" t="n"/>
      <c r="L32" s="19" t="n"/>
      <c r="M32" s="19" t="n"/>
      <c r="N32" s="19" t="n"/>
    </row>
    <row r="33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5">
        <f>IF(COUNT(F33:H33)=0,"",SUM(F33:H33))</f>
        <v/>
      </c>
      <c r="J33" s="25" t="n"/>
      <c r="K33" s="25" t="n"/>
      <c r="L33" s="19" t="n"/>
      <c r="M33" s="19" t="n"/>
      <c r="N33" s="19" t="n"/>
    </row>
    <row r="34">
      <c r="A34" s="19" t="n"/>
      <c r="B34" s="19" t="n"/>
      <c r="C34" s="19" t="n"/>
      <c r="D34" s="19" t="n"/>
      <c r="E34" s="19" t="n"/>
      <c r="F34" s="19" t="n"/>
      <c r="G34" s="19" t="n"/>
      <c r="H34" s="19" t="n"/>
      <c r="I34" s="15">
        <f>IF(COUNT(F34:H34)=0,"",SUM(F34:H34))</f>
        <v/>
      </c>
      <c r="J34" s="25" t="n"/>
      <c r="K34" s="25" t="n"/>
      <c r="L34" s="19" t="n"/>
      <c r="M34" s="19" t="n"/>
      <c r="N34" s="19" t="n"/>
    </row>
    <row r="35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5">
        <f>IF(COUNT(F35:H35)=0,"",SUM(F35:H35))</f>
        <v/>
      </c>
      <c r="J35" s="25" t="n"/>
      <c r="K35" s="25" t="n"/>
      <c r="L35" s="19" t="n"/>
      <c r="M35" s="19" t="n"/>
      <c r="N35" s="19" t="n"/>
    </row>
    <row r="36">
      <c r="A36" s="19" t="n"/>
      <c r="B36" s="19" t="n"/>
      <c r="C36" s="19" t="n"/>
      <c r="D36" s="19" t="n"/>
      <c r="E36" s="19" t="n"/>
      <c r="F36" s="19" t="n"/>
      <c r="G36" s="19" t="n"/>
      <c r="H36" s="19" t="n"/>
      <c r="I36" s="15">
        <f>IF(COUNT(F36:H36)=0,"",SUM(F36:H36))</f>
        <v/>
      </c>
      <c r="J36" s="25" t="n"/>
      <c r="K36" s="25" t="n"/>
      <c r="L36" s="19" t="n"/>
      <c r="M36" s="19" t="n"/>
      <c r="N36" s="19" t="n"/>
    </row>
    <row r="37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5">
        <f>IF(COUNT(F37:H37)=0,"",SUM(F37:H37))</f>
        <v/>
      </c>
      <c r="J37" s="25" t="n"/>
      <c r="K37" s="25" t="n"/>
      <c r="L37" s="19" t="n"/>
      <c r="M37" s="19" t="n"/>
      <c r="N37" s="19" t="n"/>
    </row>
    <row r="38">
      <c r="A38" s="19" t="n"/>
      <c r="B38" s="19" t="n"/>
      <c r="C38" s="19" t="n"/>
      <c r="D38" s="19" t="n"/>
      <c r="E38" s="19" t="n"/>
      <c r="F38" s="19" t="n"/>
      <c r="G38" s="19" t="n"/>
      <c r="H38" s="19" t="n"/>
      <c r="I38" s="15">
        <f>IF(COUNT(F38:H38)=0,"",SUM(F38:H38))</f>
        <v/>
      </c>
      <c r="J38" s="25" t="n"/>
      <c r="K38" s="25" t="n"/>
      <c r="L38" s="19" t="n"/>
      <c r="M38" s="19" t="n"/>
      <c r="N38" s="19" t="n"/>
    </row>
    <row r="39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5">
        <f>IF(COUNT(F39:H39)=0,"",SUM(F39:H39))</f>
        <v/>
      </c>
      <c r="J39" s="25" t="n"/>
      <c r="K39" s="25" t="n"/>
      <c r="L39" s="19" t="n"/>
      <c r="M39" s="19" t="n"/>
      <c r="N39" s="19" t="n"/>
    </row>
    <row r="40">
      <c r="A40" s="19" t="n"/>
      <c r="B40" s="19" t="n"/>
      <c r="C40" s="19" t="n"/>
      <c r="D40" s="19" t="n"/>
      <c r="E40" s="19" t="n"/>
      <c r="F40" s="19" t="n"/>
      <c r="G40" s="19" t="n"/>
      <c r="H40" s="19" t="n"/>
      <c r="I40" s="15">
        <f>IF(COUNT(F40:H40)=0,"",SUM(F40:H40))</f>
        <v/>
      </c>
      <c r="J40" s="25" t="n"/>
      <c r="K40" s="25" t="n"/>
      <c r="L40" s="19" t="n"/>
      <c r="M40" s="19" t="n"/>
      <c r="N40" s="19" t="n"/>
    </row>
    <row r="4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5">
        <f>IF(COUNT(F41:H41)=0,"",SUM(F41:H41))</f>
        <v/>
      </c>
      <c r="J41" s="25" t="n"/>
      <c r="K41" s="25" t="n"/>
      <c r="L41" s="19" t="n"/>
      <c r="M41" s="19" t="n"/>
      <c r="N41" s="19" t="n"/>
    </row>
    <row r="42">
      <c r="A42" s="19" t="n"/>
      <c r="B42" s="19" t="n"/>
      <c r="C42" s="19" t="n"/>
      <c r="D42" s="19" t="n"/>
      <c r="E42" s="19" t="n"/>
      <c r="F42" s="19" t="n"/>
      <c r="G42" s="19" t="n"/>
      <c r="H42" s="19" t="n"/>
      <c r="I42" s="15">
        <f>IF(COUNT(F42:H42)=0,"",SUM(F42:H42))</f>
        <v/>
      </c>
      <c r="J42" s="25" t="n"/>
      <c r="K42" s="25" t="n"/>
      <c r="L42" s="19" t="n"/>
      <c r="M42" s="19" t="n"/>
      <c r="N42" s="19" t="n"/>
    </row>
    <row r="43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5">
        <f>IF(COUNT(F43:H43)=0,"",SUM(F43:H43))</f>
        <v/>
      </c>
      <c r="J43" s="25" t="n"/>
      <c r="K43" s="25" t="n"/>
      <c r="L43" s="19" t="n"/>
      <c r="M43" s="19" t="n"/>
      <c r="N43" s="19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5">
        <f>IF(COUNT(F44:H44)=0,"",SUM(F44:H44))</f>
        <v/>
      </c>
      <c r="J44" s="25" t="n"/>
      <c r="K44" s="25" t="n"/>
      <c r="L44" s="19" t="n"/>
      <c r="M44" s="19" t="n"/>
      <c r="N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5">
        <f>IF(COUNT(F45:H45)=0,"",SUM(F45:H45))</f>
        <v/>
      </c>
      <c r="J45" s="25" t="n"/>
      <c r="K45" s="25" t="n"/>
      <c r="L45" s="19" t="n"/>
      <c r="M45" s="19" t="n"/>
      <c r="N45" s="19" t="n"/>
    </row>
    <row r="46">
      <c r="A46" s="19" t="n"/>
      <c r="B46" s="19" t="n"/>
      <c r="C46" s="19" t="n"/>
      <c r="D46" s="19" t="n"/>
      <c r="E46" s="19" t="n"/>
      <c r="F46" s="19" t="n"/>
      <c r="G46" s="19" t="n"/>
      <c r="H46" s="19" t="n"/>
      <c r="I46" s="15">
        <f>IF(COUNT(F46:H46)=0,"",SUM(F46:H46))</f>
        <v/>
      </c>
      <c r="J46" s="25" t="n"/>
      <c r="K46" s="25" t="n"/>
      <c r="L46" s="19" t="n"/>
      <c r="M46" s="19" t="n"/>
      <c r="N46" s="19" t="n"/>
    </row>
    <row r="47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5">
        <f>IF(COUNT(F47:H47)=0,"",SUM(F47:H47))</f>
        <v/>
      </c>
      <c r="J47" s="25" t="n"/>
      <c r="K47" s="25" t="n"/>
      <c r="L47" s="19" t="n"/>
      <c r="M47" s="19" t="n"/>
      <c r="N47" s="19" t="n"/>
    </row>
    <row r="48">
      <c r="A48" s="19" t="n"/>
      <c r="B48" s="19" t="n"/>
      <c r="C48" s="19" t="n"/>
      <c r="D48" s="19" t="n"/>
      <c r="E48" s="19" t="n"/>
      <c r="F48" s="19" t="n"/>
      <c r="G48" s="19" t="n"/>
      <c r="H48" s="19" t="n"/>
      <c r="I48" s="15">
        <f>IF(COUNT(F48:H48)=0,"",SUM(F48:H48))</f>
        <v/>
      </c>
      <c r="J48" s="25" t="n"/>
      <c r="K48" s="25" t="n"/>
      <c r="L48" s="19" t="n"/>
      <c r="M48" s="19" t="n"/>
      <c r="N48" s="19" t="n"/>
    </row>
    <row r="4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5">
        <f>IF(COUNT(F49:H49)=0,"",SUM(F49:H49))</f>
        <v/>
      </c>
      <c r="J49" s="25" t="n"/>
      <c r="K49" s="25" t="n"/>
      <c r="L49" s="19" t="n"/>
      <c r="M49" s="19" t="n"/>
      <c r="N49" s="19" t="n"/>
    </row>
    <row r="50">
      <c r="A50" s="19" t="n"/>
      <c r="B50" s="19" t="n"/>
      <c r="C50" s="19" t="n"/>
      <c r="D50" s="19" t="n"/>
      <c r="E50" s="19" t="n"/>
      <c r="F50" s="19" t="n"/>
      <c r="G50" s="19" t="n"/>
      <c r="H50" s="19" t="n"/>
      <c r="I50" s="15">
        <f>IF(COUNT(F50:H50)=0,"",SUM(F50:H50))</f>
        <v/>
      </c>
      <c r="J50" s="25" t="n"/>
      <c r="K50" s="25" t="n"/>
      <c r="L50" s="19" t="n"/>
      <c r="M50" s="19" t="n"/>
      <c r="N50" s="19" t="n"/>
    </row>
    <row r="5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5">
        <f>IF(COUNT(F51:H51)=0,"",SUM(F51:H51))</f>
        <v/>
      </c>
      <c r="J51" s="25" t="n"/>
      <c r="K51" s="25" t="n"/>
      <c r="L51" s="19" t="n"/>
      <c r="M51" s="19" t="n"/>
      <c r="N51" s="19" t="n"/>
    </row>
    <row r="52">
      <c r="A52" s="19" t="n"/>
      <c r="B52" s="19" t="n"/>
      <c r="C52" s="19" t="n"/>
      <c r="D52" s="19" t="n"/>
      <c r="E52" s="19" t="n"/>
      <c r="F52" s="19" t="n"/>
      <c r="G52" s="19" t="n"/>
      <c r="H52" s="19" t="n"/>
      <c r="I52" s="15">
        <f>IF(COUNT(F52:H52)=0,"",SUM(F52:H52))</f>
        <v/>
      </c>
      <c r="J52" s="25" t="n"/>
      <c r="K52" s="25" t="n"/>
      <c r="L52" s="19" t="n"/>
      <c r="M52" s="19" t="n"/>
      <c r="N52" s="19" t="n"/>
    </row>
    <row r="53">
      <c r="A53" s="19" t="n"/>
      <c r="B53" s="19" t="n"/>
      <c r="C53" s="19" t="n"/>
      <c r="D53" s="19" t="n"/>
      <c r="E53" s="19" t="n"/>
      <c r="F53" s="19" t="n"/>
      <c r="G53" s="19" t="n"/>
      <c r="H53" s="19" t="n"/>
      <c r="I53" s="15">
        <f>IF(COUNT(F53:H53)=0,"",SUM(F53:H53))</f>
        <v/>
      </c>
      <c r="J53" s="25" t="n"/>
      <c r="K53" s="25" t="n"/>
      <c r="L53" s="19" t="n"/>
      <c r="M53" s="19" t="n"/>
      <c r="N53" s="19" t="n"/>
    </row>
    <row r="54">
      <c r="A54" s="19" t="n"/>
      <c r="B54" s="19" t="n"/>
      <c r="C54" s="19" t="n"/>
      <c r="D54" s="19" t="n"/>
      <c r="E54" s="19" t="n"/>
      <c r="F54" s="19" t="n"/>
      <c r="G54" s="19" t="n"/>
      <c r="H54" s="19" t="n"/>
      <c r="I54" s="15">
        <f>IF(COUNT(F54:H54)=0,"",SUM(F54:H54))</f>
        <v/>
      </c>
      <c r="J54" s="25" t="n"/>
      <c r="K54" s="25" t="n"/>
      <c r="L54" s="19" t="n"/>
      <c r="M54" s="19" t="n"/>
      <c r="N54" s="19" t="n"/>
    </row>
    <row r="55">
      <c r="A55" s="19" t="n"/>
      <c r="B55" s="19" t="n"/>
      <c r="C55" s="19" t="n"/>
      <c r="D55" s="19" t="n"/>
      <c r="E55" s="19" t="n"/>
      <c r="F55" s="19" t="n"/>
      <c r="G55" s="19" t="n"/>
      <c r="H55" s="19" t="n"/>
      <c r="I55" s="15">
        <f>IF(COUNT(F55:H55)=0,"",SUM(F55:H55))</f>
        <v/>
      </c>
      <c r="J55" s="25" t="n"/>
      <c r="K55" s="25" t="n"/>
      <c r="L55" s="19" t="n"/>
      <c r="M55" s="19" t="n"/>
      <c r="N55" s="19" t="n"/>
    </row>
  </sheetData>
  <dataValidations count="5">
    <dataValidation sqref="A6:A55" showDropDown="0" showInputMessage="0" showErrorMessage="0" allowBlank="1" errorTitle="選択してください" error="一覧から選んでください（一覧にない場合は「マスター」シートへ追加してください）" type="list">
      <formula1>=会社リスト</formula1>
    </dataValidation>
    <dataValidation sqref="B6:B55" showDropDown="0" showInputMessage="0" showErrorMessage="0" allowBlank="1" errorTitle="選択してください" error="一覧から選んでください（一覧にない場合は「マスター」シートへ追加してください）" type="list">
      <formula1>=基地港リスト</formula1>
    </dataValidation>
    <dataValidation sqref="D6:D55" showDropDown="0" showInputMessage="0" showErrorMessage="0" allowBlank="1" errorTitle="選択してください" error="一覧から選んでください（一覧にない場合は「マスター」シートへ追加してください）" type="list">
      <formula1>=選択_作業内容</formula1>
    </dataValidation>
    <dataValidation sqref="E6:E55" showDropDown="0" showInputMessage="0" showErrorMessage="0" allowBlank="1" errorTitle="選択してください" error="一覧から選んでください（一覧にない場合は「マスター」シートへ追加してください）" type="list">
      <formula1>=選択_時刻基準</formula1>
    </dataValidation>
    <dataValidation sqref="N6:N55" showDropDown="0" showInputMessage="0" showErrorMessage="0" allowBlank="1" errorTitle="選択してください" error="一覧から選んでください（一覧にない場合は「マスター」シートへ追加してください）" type="list">
      <formula1>=選択_確認状況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25"/>
  <sheetViews>
    <sheetView tabSelected="0" workbookViewId="0">
      <pane xSplit="1" ySplit="5" topLeftCell="B6" activePane="bottomRight" state="frozen"/>
      <selection pane="topRight" activeCell="A40" sqref="A40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0" customWidth="1" min="4" max="4"/>
    <col width="10" customWidth="1" min="5" max="5"/>
    <col width="11" customWidth="1" min="6" max="6"/>
    <col width="11" customWidth="1" min="7" max="7"/>
    <col width="30" customWidth="1" min="8" max="8"/>
    <col width="18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22" customWidth="1" min="16" max="16"/>
    <col width="10" customWidth="1" min="17" max="17"/>
    <col width="24" customWidth="1" min="18" max="18"/>
    <col width="12" customWidth="1" min="19" max="19"/>
    <col width="10" customWidth="1" min="21" max="21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>
      <c r="A1" s="10" t="inlineStr">
        <is>
          <t>マスター（会社・船名・基地港・選択肢）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1" t="n"/>
      <c r="AC1" s="11" t="n"/>
      <c r="AD1" s="11" t="n"/>
      <c r="AE1" s="11" t="n"/>
      <c r="AF1" s="11" t="n"/>
      <c r="AG1" s="11" t="n"/>
      <c r="AH1" s="11" t="n"/>
    </row>
    <row r="2">
      <c r="A2" s="12" t="inlineStr">
        <is>
          <t>誰が：上田・各担当者　何を見て：要目表・元帳・予定表　どこへ：薄黄色の行の下の空き行へ追加（空行を空けずに続けて入力）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</row>
    <row r="3">
      <c r="A3" s="13" t="inlineStr">
        <is>
          <t>集計先：全シートの選択肢（プルダウン）、実績の会社判定、集計の会社別。正式船名を入れると同じ船として1隻に数えます。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1" t="n"/>
      <c r="AB3" s="11" t="n"/>
      <c r="AC3" s="11" t="n"/>
      <c r="AD3" s="11" t="n"/>
      <c r="AE3" s="11" t="n"/>
      <c r="AF3" s="11" t="n"/>
      <c r="AG3" s="11" t="n"/>
      <c r="AH3" s="11" t="n"/>
    </row>
    <row r="4">
      <c r="A4" s="24" t="inlineStr">
        <is>
          <t>※ グリーンシッピングの応援船が4隻あった場合は、船名を確認のうえ下の空き行へ追加すると、選択肢・集計へ反映されます（元帳R7年度に出る同社の船名は要目表にある「むさし丸2」「かなで」の2隻のみ）。</t>
        </is>
      </c>
      <c r="P4" s="24" t="inlineStr">
        <is>
          <t>※ 会社を追加すると、会社の選択肢と「集計」の会社別へ反映されます。</t>
        </is>
      </c>
    </row>
    <row r="5" ht="45" customHeight="1">
      <c r="A5" s="22" t="inlineStr">
        <is>
          <t>選択名（元帳・予定表の表記）【入力】</t>
        </is>
      </c>
      <c r="B5" s="22" t="inlineStr">
        <is>
          <t>正式船名【入力】</t>
        </is>
      </c>
      <c r="C5" s="22" t="inlineStr">
        <is>
          <t>会社【入力・選択】</t>
        </is>
      </c>
      <c r="D5" s="22" t="inlineStr">
        <is>
          <t>船の種類【入力・選択】</t>
        </is>
      </c>
      <c r="E5" s="22" t="inlineStr">
        <is>
          <t>基地港【入力・選択】</t>
        </is>
      </c>
      <c r="F5" s="22" t="inlineStr">
        <is>
          <t>適用開始日【入力】</t>
        </is>
      </c>
      <c r="G5" s="22" t="inlineStr">
        <is>
          <t>適用終了日【入力】</t>
        </is>
      </c>
      <c r="H5" s="22" t="inlineStr">
        <is>
          <t>情報元【入力】</t>
        </is>
      </c>
      <c r="I5" s="22" t="inlineStr">
        <is>
          <t>確認状況【入力・選択】</t>
        </is>
      </c>
      <c r="J5" s="14" t="inlineStr">
        <is>
          <t>集計船名【自動】</t>
        </is>
      </c>
      <c r="K5" s="14" t="inlineStr">
        <is>
          <t>会社区分【自動】</t>
        </is>
      </c>
      <c r="L5" s="14" t="inlineStr">
        <is>
          <t>対象日に有効【自動】</t>
        </is>
      </c>
      <c r="M5" s="14" t="inlineStr">
        <is>
          <t>照合名【自動】</t>
        </is>
      </c>
      <c r="N5" s="14" t="inlineStr">
        <is>
          <t>同一船の先頭【自動】</t>
        </is>
      </c>
      <c r="P5" s="22" t="inlineStr">
        <is>
          <t>会社名【入力】</t>
        </is>
      </c>
      <c r="Q5" s="22" t="inlineStr">
        <is>
          <t>会社区分【入力・選択】</t>
        </is>
      </c>
      <c r="R5" s="22" t="inlineStr">
        <is>
          <t>情報元【入力】</t>
        </is>
      </c>
      <c r="S5" s="22" t="inlineStr">
        <is>
          <t>確認状況【入力・選択】</t>
        </is>
      </c>
      <c r="U5" s="22" t="inlineStr">
        <is>
          <t>基地港【入力】</t>
        </is>
      </c>
      <c r="X5" s="22" t="inlineStr">
        <is>
          <t>確認状況【入力】</t>
        </is>
      </c>
      <c r="Y5" s="22" t="inlineStr">
        <is>
          <t>照合の状況【入力】</t>
        </is>
      </c>
      <c r="Z5" s="22" t="inlineStr">
        <is>
          <t>取消しの時点【入力】</t>
        </is>
      </c>
      <c r="AA5" s="22" t="inlineStr">
        <is>
          <t>変更・取消しの理由【入力】</t>
        </is>
      </c>
      <c r="AB5" s="22" t="inlineStr">
        <is>
          <t>時間調整【入力】</t>
        </is>
      </c>
      <c r="AC5" s="22" t="inlineStr">
        <is>
          <t>呼出の理由【入力】</t>
        </is>
      </c>
      <c r="AD5" s="22" t="inlineStr">
        <is>
          <t>作業内容【入力】</t>
        </is>
      </c>
      <c r="AE5" s="22" t="inlineStr">
        <is>
          <t>予定時刻の基準【入力】</t>
        </is>
      </c>
      <c r="AF5" s="22" t="inlineStr">
        <is>
          <t>船の種類【入力】</t>
        </is>
      </c>
      <c r="AG5" s="22" t="inlineStr">
        <is>
          <t>時刻の確認状況【入力】</t>
        </is>
      </c>
      <c r="AH5" s="22" t="inlineStr">
        <is>
          <t>会社区分【入力】</t>
        </is>
      </c>
      <c r="AI5" s="22" t="inlineStr">
        <is>
          <t>その日の変更確認【入力】</t>
        </is>
      </c>
    </row>
    <row r="6">
      <c r="A6" s="19" t="inlineStr">
        <is>
          <t>八幡丸</t>
        </is>
      </c>
      <c r="B6" s="19" t="inlineStr">
        <is>
          <t>八幡丸</t>
        </is>
      </c>
      <c r="C6" s="19" t="inlineStr">
        <is>
          <t>製鉄曳船</t>
        </is>
      </c>
      <c r="D6" s="19" t="inlineStr">
        <is>
          <t>タグ</t>
        </is>
      </c>
      <c r="E6" s="19" t="inlineStr">
        <is>
          <t>未確認</t>
        </is>
      </c>
      <c r="F6" s="25" t="n"/>
      <c r="G6" s="25" t="n"/>
      <c r="H6" s="19" t="inlineStr">
        <is>
          <t>00_作成条件.md</t>
        </is>
      </c>
      <c r="I6" s="19" t="inlineStr">
        <is>
          <t>要確認（基地港）</t>
        </is>
      </c>
      <c r="J6" s="15">
        <f>IF(A6="","",IF(B6="",A6,B6))</f>
        <v/>
      </c>
      <c r="K6" s="15">
        <f>IF(A6="","",IF(C6="","未確認",IFERROR(INDEX($Q$6:$Q$45,MATCH(C6,$P$6:$P$45,0)),"未確認")))</f>
        <v/>
      </c>
      <c r="L6" s="15">
        <f>IF(A6="","",IF(AND(OR(F6="",F6&lt;=集計!$C$5),OR(G6="",G6&gt;=集計!$C$5)),"○",""))</f>
        <v/>
      </c>
      <c r="M6" s="15">
        <f>IF(L6="○",A6,"")</f>
        <v/>
      </c>
      <c r="N6" s="15">
        <f>IF(OR(J6="",L6&lt;&gt;"○"),"",IF(COUNTIFS(J$6:J6,J6,L$6:L6,"○")=1,"○",""))</f>
        <v/>
      </c>
      <c r="P6" s="19" t="inlineStr">
        <is>
          <t>製鉄曳船</t>
        </is>
      </c>
      <c r="Q6" s="19" t="inlineStr">
        <is>
          <t>製鉄曳船</t>
        </is>
      </c>
      <c r="R6" s="19" t="inlineStr">
        <is>
          <t>00_作成条件.md</t>
        </is>
      </c>
      <c r="S6" s="19" t="inlineStr">
        <is>
          <t>確認済み</t>
        </is>
      </c>
      <c r="U6" s="19" t="inlineStr">
        <is>
          <t>門司港</t>
        </is>
      </c>
      <c r="X6" s="19" t="inlineStr">
        <is>
          <t>未確認</t>
        </is>
      </c>
      <c r="Y6" s="19" t="inlineStr">
        <is>
          <t>未確認</t>
        </is>
      </c>
      <c r="Z6" s="19" t="inlineStr">
        <is>
          <t>前日</t>
        </is>
      </c>
      <c r="AA6" s="19" t="inlineStr">
        <is>
          <t>強風・荒天</t>
        </is>
      </c>
      <c r="AB6" s="19" t="inlineStr">
        <is>
          <t>あり</t>
        </is>
      </c>
      <c r="AC6" s="19" t="inlineStr">
        <is>
          <t>常駐船が他作業で不足</t>
        </is>
      </c>
      <c r="AD6" s="19" t="inlineStr">
        <is>
          <t>入港</t>
        </is>
      </c>
      <c r="AE6" s="19" t="inlineStr">
        <is>
          <t>本船POB</t>
        </is>
      </c>
      <c r="AF6" s="19" t="inlineStr">
        <is>
          <t>タグ</t>
        </is>
      </c>
      <c r="AG6" s="19" t="inlineStr">
        <is>
          <t>実時刻</t>
        </is>
      </c>
      <c r="AH6" s="19" t="inlineStr">
        <is>
          <t>製鉄曳船</t>
        </is>
      </c>
      <c r="AI6" s="19" t="inlineStr">
        <is>
          <t>未確認</t>
        </is>
      </c>
    </row>
    <row r="7">
      <c r="A7" s="19" t="inlineStr">
        <is>
          <t>鐵豊丸</t>
        </is>
      </c>
      <c r="B7" s="19" t="inlineStr">
        <is>
          <t>鐵豊丸</t>
        </is>
      </c>
      <c r="C7" s="19" t="inlineStr">
        <is>
          <t>製鉄曳船</t>
        </is>
      </c>
      <c r="D7" s="19" t="inlineStr">
        <is>
          <t>タグ</t>
        </is>
      </c>
      <c r="E7" s="19" t="inlineStr">
        <is>
          <t>未確認</t>
        </is>
      </c>
      <c r="F7" s="25" t="n"/>
      <c r="G7" s="25" t="n"/>
      <c r="H7" s="19" t="inlineStr">
        <is>
          <t>00_作成条件.md</t>
        </is>
      </c>
      <c r="I7" s="19" t="inlineStr">
        <is>
          <t>要確認（基地港）</t>
        </is>
      </c>
      <c r="J7" s="15">
        <f>IF(A7="","",IF(B7="",A7,B7))</f>
        <v/>
      </c>
      <c r="K7" s="15">
        <f>IF(A7="","",IF(C7="","未確認",IFERROR(INDEX($Q$6:$Q$45,MATCH(C7,$P$6:$P$45,0)),"未確認")))</f>
        <v/>
      </c>
      <c r="L7" s="15">
        <f>IF(A7="","",IF(AND(OR(F7="",F7&lt;=集計!$C$5),OR(G7="",G7&gt;=集計!$C$5)),"○",""))</f>
        <v/>
      </c>
      <c r="M7" s="15">
        <f>IF(L7="○",A7,"")</f>
        <v/>
      </c>
      <c r="N7" s="15">
        <f>IF(OR(J7="",L7&lt;&gt;"○"),"",IF(COUNTIFS(J$6:J7,J7,L$6:L7,"○")=1,"○",""))</f>
        <v/>
      </c>
      <c r="P7" s="19" t="inlineStr">
        <is>
          <t>西日本海運</t>
        </is>
      </c>
      <c r="Q7" s="19" t="inlineStr">
        <is>
          <t>西日本海運</t>
        </is>
      </c>
      <c r="R7" s="19" t="inlineStr">
        <is>
          <t>00_作成条件.md</t>
        </is>
      </c>
      <c r="S7" s="19" t="inlineStr">
        <is>
          <t>確認済み</t>
        </is>
      </c>
      <c r="U7" s="19" t="inlineStr">
        <is>
          <t>戸畑</t>
        </is>
      </c>
      <c r="X7" s="19" t="inlineStr">
        <is>
          <t>確認済み</t>
        </is>
      </c>
      <c r="Y7" s="19" t="inlineStr">
        <is>
          <t>予定表と照合済み</t>
        </is>
      </c>
      <c r="Z7" s="19" t="inlineStr">
        <is>
          <t>当日・基地発前</t>
        </is>
      </c>
      <c r="AA7" s="19" t="inlineStr">
        <is>
          <t>視界不良</t>
        </is>
      </c>
      <c r="AB7" s="19" t="inlineStr">
        <is>
          <t>なし</t>
        </is>
      </c>
      <c r="AC7" s="19" t="inlineStr">
        <is>
          <t>入渠中の船の代わり</t>
        </is>
      </c>
      <c r="AD7" s="19" t="inlineStr">
        <is>
          <t>出港</t>
        </is>
      </c>
      <c r="AE7" s="19" t="inlineStr">
        <is>
          <t>着岸</t>
        </is>
      </c>
      <c r="AF7" s="19" t="inlineStr">
        <is>
          <t>通船・警戒船</t>
        </is>
      </c>
      <c r="AG7" s="19" t="inlineStr">
        <is>
          <t>予定・推定</t>
        </is>
      </c>
      <c r="AH7" s="19" t="inlineStr">
        <is>
          <t>西日本海運</t>
        </is>
      </c>
      <c r="AI7" s="19" t="inlineStr">
        <is>
          <t>変更なしと確認済み</t>
        </is>
      </c>
    </row>
    <row r="8">
      <c r="A8" s="19" t="inlineStr">
        <is>
          <t>新豊丸</t>
        </is>
      </c>
      <c r="B8" s="19" t="inlineStr">
        <is>
          <t>新豊丸</t>
        </is>
      </c>
      <c r="C8" s="19" t="inlineStr">
        <is>
          <t>製鉄曳船</t>
        </is>
      </c>
      <c r="D8" s="19" t="inlineStr">
        <is>
          <t>タグ</t>
        </is>
      </c>
      <c r="E8" s="19" t="inlineStr">
        <is>
          <t>未確認</t>
        </is>
      </c>
      <c r="F8" s="25" t="n"/>
      <c r="G8" s="25" t="n"/>
      <c r="H8" s="19" t="inlineStr">
        <is>
          <t>00_作成条件.md</t>
        </is>
      </c>
      <c r="I8" s="19" t="inlineStr">
        <is>
          <t>要確認（基地港）</t>
        </is>
      </c>
      <c r="J8" s="15">
        <f>IF(A8="","",IF(B8="",A8,B8))</f>
        <v/>
      </c>
      <c r="K8" s="15">
        <f>IF(A8="","",IF(C8="","未確認",IFERROR(INDEX($Q$6:$Q$45,MATCH(C8,$P$6:$P$45,0)),"未確認")))</f>
        <v/>
      </c>
      <c r="L8" s="15">
        <f>IF(A8="","",IF(AND(OR(F8="",F8&lt;=集計!$C$5),OR(G8="",G8&gt;=集計!$C$5)),"○",""))</f>
        <v/>
      </c>
      <c r="M8" s="15">
        <f>IF(L8="○",A8,"")</f>
        <v/>
      </c>
      <c r="N8" s="15">
        <f>IF(OR(J8="",L8&lt;&gt;"○"),"",IF(COUNTIFS(J$6:J8,J8,L$6:L8,"○")=1,"○",""))</f>
        <v/>
      </c>
      <c r="P8" s="19" t="inlineStr">
        <is>
          <t>シーゲートコーポレーション</t>
        </is>
      </c>
      <c r="Q8" s="19" t="inlineStr">
        <is>
          <t>他社</t>
        </is>
      </c>
      <c r="R8" s="19" t="inlineStr">
        <is>
          <t>00_作成条件.md／要目表2026.8</t>
        </is>
      </c>
      <c r="S8" s="19" t="inlineStr">
        <is>
          <t>未確認</t>
        </is>
      </c>
      <c r="U8" s="19" t="inlineStr">
        <is>
          <t>八幡</t>
        </is>
      </c>
      <c r="X8" s="19" t="inlineStr">
        <is>
          <t>要確認（正式船名・会社）</t>
        </is>
      </c>
      <c r="Y8" s="19" t="inlineStr">
        <is>
          <t>予定表に記載なし</t>
        </is>
      </c>
      <c r="Z8" s="19" t="inlineStr">
        <is>
          <t>当日・基地発後</t>
        </is>
      </c>
      <c r="AA8" s="19" t="inlineStr">
        <is>
          <t>本船都合</t>
        </is>
      </c>
      <c r="AB8" s="19" t="inlineStr">
        <is>
          <t>不明</t>
        </is>
      </c>
      <c r="AC8" s="19" t="inlineStr">
        <is>
          <t>他港作業中の船の代わり</t>
        </is>
      </c>
      <c r="AD8" s="19" t="inlineStr">
        <is>
          <t>転錨・シフト</t>
        </is>
      </c>
      <c r="AE8" s="19" t="inlineStr">
        <is>
          <t>離岸</t>
        </is>
      </c>
      <c r="AF8" s="19" t="inlineStr">
        <is>
          <t>未確認</t>
        </is>
      </c>
      <c r="AG8" s="19" t="inlineStr">
        <is>
          <t>不明</t>
        </is>
      </c>
      <c r="AH8" s="19" t="inlineStr">
        <is>
          <t>他社</t>
        </is>
      </c>
      <c r="AI8" s="19" t="inlineStr">
        <is>
          <t>変更あり（下の表に入力）</t>
        </is>
      </c>
    </row>
    <row r="9">
      <c r="A9" s="19" t="inlineStr">
        <is>
          <t>八豊丸</t>
        </is>
      </c>
      <c r="B9" s="19" t="inlineStr">
        <is>
          <t>八豊丸</t>
        </is>
      </c>
      <c r="C9" s="19" t="inlineStr">
        <is>
          <t>製鉄曳船</t>
        </is>
      </c>
      <c r="D9" s="19" t="inlineStr">
        <is>
          <t>タグ</t>
        </is>
      </c>
      <c r="E9" s="19" t="inlineStr">
        <is>
          <t>未確認</t>
        </is>
      </c>
      <c r="F9" s="25" t="n"/>
      <c r="G9" s="25" t="n"/>
      <c r="H9" s="19" t="inlineStr">
        <is>
          <t>00_作成条件.md</t>
        </is>
      </c>
      <c r="I9" s="19" t="inlineStr">
        <is>
          <t>要確認（基地港）</t>
        </is>
      </c>
      <c r="J9" s="15">
        <f>IF(A9="","",IF(B9="",A9,B9))</f>
        <v/>
      </c>
      <c r="K9" s="15">
        <f>IF(A9="","",IF(C9="","未確認",IFERROR(INDEX($Q$6:$Q$45,MATCH(C9,$P$6:$P$45,0)),"未確認")))</f>
        <v/>
      </c>
      <c r="L9" s="15">
        <f>IF(A9="","",IF(AND(OR(F9="",F9&lt;=集計!$C$5),OR(G9="",G9&gt;=集計!$C$5)),"○",""))</f>
        <v/>
      </c>
      <c r="M9" s="15">
        <f>IF(L9="○",A9,"")</f>
        <v/>
      </c>
      <c r="N9" s="15">
        <f>IF(OR(J9="",L9&lt;&gt;"○"),"",IF(COUNTIFS(J$6:J9,J9,L$6:L9,"○")=1,"○",""))</f>
        <v/>
      </c>
      <c r="P9" s="19" t="inlineStr">
        <is>
          <t>グリーンシッピング</t>
        </is>
      </c>
      <c r="Q9" s="19" t="inlineStr">
        <is>
          <t>他社</t>
        </is>
      </c>
      <c r="R9" s="19" t="inlineStr">
        <is>
          <t>00_作成条件.md／要目表2026.8</t>
        </is>
      </c>
      <c r="S9" s="19" t="inlineStr">
        <is>
          <t>未確認</t>
        </is>
      </c>
      <c r="U9" s="19" t="inlineStr">
        <is>
          <t>若松</t>
        </is>
      </c>
      <c r="X9" s="19" t="inlineStr">
        <is>
          <t>要確認（基地港）</t>
        </is>
      </c>
      <c r="Y9" s="19" t="inlineStr">
        <is>
          <t>予定表なし</t>
        </is>
      </c>
      <c r="Z9" s="19" t="inlineStr">
        <is>
          <t>不明</t>
        </is>
      </c>
      <c r="AA9" s="19" t="inlineStr">
        <is>
          <t>荷役都合</t>
        </is>
      </c>
      <c r="AB9" s="19" t="n"/>
      <c r="AC9" s="19" t="inlineStr">
        <is>
          <t>乗組員の出勤手配の不足</t>
        </is>
      </c>
      <c r="AD9" s="19" t="inlineStr">
        <is>
          <t>LNG入港</t>
        </is>
      </c>
      <c r="AE9" s="19" t="inlineStr">
        <is>
          <t>作業開始</t>
        </is>
      </c>
      <c r="AF9" s="19" t="n"/>
      <c r="AG9" s="19" t="n"/>
      <c r="AH9" s="19" t="inlineStr">
        <is>
          <t>未確認</t>
        </is>
      </c>
      <c r="AI9" s="19" t="n"/>
    </row>
    <row r="10">
      <c r="A10" s="19" t="inlineStr">
        <is>
          <t>松豊丸</t>
        </is>
      </c>
      <c r="B10" s="19" t="inlineStr">
        <is>
          <t>松豊丸</t>
        </is>
      </c>
      <c r="C10" s="19" t="inlineStr">
        <is>
          <t>製鉄曳船</t>
        </is>
      </c>
      <c r="D10" s="19" t="inlineStr">
        <is>
          <t>タグ</t>
        </is>
      </c>
      <c r="E10" s="19" t="inlineStr">
        <is>
          <t>未確認</t>
        </is>
      </c>
      <c r="F10" s="25" t="n"/>
      <c r="G10" s="25" t="n"/>
      <c r="H10" s="19" t="inlineStr">
        <is>
          <t>00_作成条件.md</t>
        </is>
      </c>
      <c r="I10" s="19" t="inlineStr">
        <is>
          <t>要確認（基地港）</t>
        </is>
      </c>
      <c r="J10" s="15">
        <f>IF(A10="","",IF(B10="",A10,B10))</f>
        <v/>
      </c>
      <c r="K10" s="15">
        <f>IF(A10="","",IF(C10="","未確認",IFERROR(INDEX($Q$6:$Q$45,MATCH(C10,$P$6:$P$45,0)),"未確認")))</f>
        <v/>
      </c>
      <c r="L10" s="15">
        <f>IF(A10="","",IF(AND(OR(F10="",F10&lt;=集計!$C$5),OR(G10="",G10&gt;=集計!$C$5)),"○",""))</f>
        <v/>
      </c>
      <c r="M10" s="15">
        <f>IF(L10="○",A10,"")</f>
        <v/>
      </c>
      <c r="N10" s="15">
        <f>IF(OR(J10="",L10&lt;&gt;"○"),"",IF(COUNTIFS(J$6:J10,J10,L$6:L10,"○")=1,"○",""))</f>
        <v/>
      </c>
      <c r="P10" s="19" t="inlineStr">
        <is>
          <t>日鉄物流</t>
        </is>
      </c>
      <c r="Q10" s="19" t="inlineStr">
        <is>
          <t>他社</t>
        </is>
      </c>
      <c r="R10" s="19" t="inlineStr">
        <is>
          <t>00_作成条件.md／要目表2026.8</t>
        </is>
      </c>
      <c r="S10" s="19" t="inlineStr">
        <is>
          <t>未確認</t>
        </is>
      </c>
      <c r="U10" s="19" t="inlineStr">
        <is>
          <t>未確認</t>
        </is>
      </c>
      <c r="X10" s="19" t="inlineStr">
        <is>
          <t>要確認（2025年度の所属）</t>
        </is>
      </c>
      <c r="Y10" s="19" t="n"/>
      <c r="Z10" s="19" t="n"/>
      <c r="AA10" s="19" t="inlineStr">
        <is>
          <t>代理店・荷主都合</t>
        </is>
      </c>
      <c r="AB10" s="19" t="n"/>
      <c r="AC10" s="19" t="inlineStr">
        <is>
          <t>その他</t>
        </is>
      </c>
      <c r="AD10" s="19" t="inlineStr">
        <is>
          <t>LNG出港</t>
        </is>
      </c>
      <c r="AE10" s="19" t="inlineStr">
        <is>
          <t>基地発</t>
        </is>
      </c>
      <c r="AF10" s="19" t="n"/>
      <c r="AG10" s="19" t="n"/>
      <c r="AH10" s="19" t="n"/>
      <c r="AI10" s="19" t="n"/>
    </row>
    <row r="11">
      <c r="A11" s="19" t="inlineStr">
        <is>
          <t>T</t>
        </is>
      </c>
      <c r="B11" s="19" t="n"/>
      <c r="C11" s="19" t="inlineStr">
        <is>
          <t>製鉄曳船</t>
        </is>
      </c>
      <c r="D11" s="19" t="inlineStr">
        <is>
          <t>タグ</t>
        </is>
      </c>
      <c r="E11" s="19" t="inlineStr">
        <is>
          <t>未確認</t>
        </is>
      </c>
      <c r="F11" s="25" t="n"/>
      <c r="G11" s="25" t="n"/>
      <c r="H11" s="19" t="inlineStr">
        <is>
          <t>元帳R7年度の記号。会社は既存集計（西日本G 2,744）との照合上の扱い</t>
        </is>
      </c>
      <c r="I11" s="19" t="inlineStr">
        <is>
          <t>要確認（正式船名・会社）</t>
        </is>
      </c>
      <c r="J11" s="15">
        <f>IF(A11="","",IF(B11="",A11,B11))</f>
        <v/>
      </c>
      <c r="K11" s="15">
        <f>IF(A11="","",IF(C11="","未確認",IFERROR(INDEX($Q$6:$Q$45,MATCH(C11,$P$6:$P$45,0)),"未確認")))</f>
        <v/>
      </c>
      <c r="L11" s="15">
        <f>IF(A11="","",IF(AND(OR(F11="",F11&lt;=集計!$C$5),OR(G11="",G11&gt;=集計!$C$5)),"○",""))</f>
        <v/>
      </c>
      <c r="M11" s="15">
        <f>IF(L11="○",A11,"")</f>
        <v/>
      </c>
      <c r="N11" s="15">
        <f>IF(OR(J11="",L11&lt;&gt;"○"),"",IF(COUNTIFS(J$6:J11,J11,L$6:L11,"○")=1,"○",""))</f>
        <v/>
      </c>
      <c r="P11" s="19" t="inlineStr">
        <is>
          <t>春風海運</t>
        </is>
      </c>
      <c r="Q11" s="19" t="inlineStr">
        <is>
          <t>他社</t>
        </is>
      </c>
      <c r="R11" s="19" t="inlineStr">
        <is>
          <t>00_作成条件.md</t>
        </is>
      </c>
      <c r="S11" s="19" t="inlineStr">
        <is>
          <t>確認済み</t>
        </is>
      </c>
      <c r="U11" s="19" t="n"/>
      <c r="X11" s="19" t="inlineStr">
        <is>
          <t>要確認（種類・会社）</t>
        </is>
      </c>
      <c r="Y11" s="19" t="n"/>
      <c r="Z11" s="19" t="n"/>
      <c r="AA11" s="19" t="inlineStr">
        <is>
          <t>バース都合</t>
        </is>
      </c>
      <c r="AB11" s="19" t="n"/>
      <c r="AC11" s="19" t="inlineStr">
        <is>
          <t>不明</t>
        </is>
      </c>
      <c r="AD11" s="19" t="inlineStr">
        <is>
          <t>LNG警戒</t>
        </is>
      </c>
      <c r="AE11" s="19" t="inlineStr">
        <is>
          <t>未確認</t>
        </is>
      </c>
      <c r="AF11" s="19" t="n"/>
      <c r="AG11" s="19" t="n"/>
      <c r="AH11" s="19" t="n"/>
      <c r="AI11" s="19" t="n"/>
    </row>
    <row r="12">
      <c r="A12" s="19" t="inlineStr">
        <is>
          <t>S</t>
        </is>
      </c>
      <c r="B12" s="19" t="n"/>
      <c r="C12" s="19" t="inlineStr">
        <is>
          <t>製鉄曳船</t>
        </is>
      </c>
      <c r="D12" s="19" t="inlineStr">
        <is>
          <t>タグ</t>
        </is>
      </c>
      <c r="E12" s="19" t="inlineStr">
        <is>
          <t>未確認</t>
        </is>
      </c>
      <c r="F12" s="25" t="n"/>
      <c r="G12" s="25" t="n"/>
      <c r="H12" s="19" t="inlineStr">
        <is>
          <t>同上</t>
        </is>
      </c>
      <c r="I12" s="19" t="inlineStr">
        <is>
          <t>要確認（正式船名・会社）</t>
        </is>
      </c>
      <c r="J12" s="15">
        <f>IF(A12="","",IF(B12="",A12,B12))</f>
        <v/>
      </c>
      <c r="K12" s="15">
        <f>IF(A12="","",IF(C12="","未確認",IFERROR(INDEX($Q$6:$Q$45,MATCH(C12,$P$6:$P$45,0)),"未確認")))</f>
        <v/>
      </c>
      <c r="L12" s="15">
        <f>IF(A12="","",IF(AND(OR(F12="",F12&lt;=集計!$C$5),OR(G12="",G12&gt;=集計!$C$5)),"○",""))</f>
        <v/>
      </c>
      <c r="M12" s="15">
        <f>IF(L12="○",A12,"")</f>
        <v/>
      </c>
      <c r="N12" s="15">
        <f>IF(OR(J12="",L12&lt;&gt;"○"),"",IF(COUNTIFS(J$6:J12,J12,L$6:L12,"○")=1,"○",""))</f>
        <v/>
      </c>
      <c r="P12" s="19" t="inlineStr">
        <is>
          <t>矢野海運</t>
        </is>
      </c>
      <c r="Q12" s="19" t="inlineStr">
        <is>
          <t>他社</t>
        </is>
      </c>
      <c r="R12" s="19" t="inlineStr">
        <is>
          <t>00_作成条件.md（船名は未確認）</t>
        </is>
      </c>
      <c r="S12" s="19" t="inlineStr">
        <is>
          <t>未確認</t>
        </is>
      </c>
      <c r="U12" s="19" t="n"/>
      <c r="X12" s="19" t="n"/>
      <c r="Y12" s="19" t="n"/>
      <c r="Z12" s="19" t="n"/>
      <c r="AA12" s="19" t="inlineStr">
        <is>
          <t>タグの都合</t>
        </is>
      </c>
      <c r="AB12" s="19" t="n"/>
      <c r="AC12" s="19" t="n"/>
      <c r="AD12" s="19" t="inlineStr">
        <is>
          <t>エスコート</t>
        </is>
      </c>
      <c r="AE12" s="19" t="n"/>
      <c r="AF12" s="19" t="n"/>
      <c r="AG12" s="19" t="n"/>
      <c r="AH12" s="19" t="n"/>
      <c r="AI12" s="19" t="n"/>
    </row>
    <row r="13">
      <c r="A13" s="19" t="inlineStr">
        <is>
          <t>Y</t>
        </is>
      </c>
      <c r="B13" s="19" t="n"/>
      <c r="C13" s="19" t="inlineStr">
        <is>
          <t>製鉄曳船</t>
        </is>
      </c>
      <c r="D13" s="19" t="inlineStr">
        <is>
          <t>タグ</t>
        </is>
      </c>
      <c r="E13" s="19" t="inlineStr">
        <is>
          <t>未確認</t>
        </is>
      </c>
      <c r="F13" s="25" t="n"/>
      <c r="G13" s="25" t="n"/>
      <c r="H13" s="19" t="inlineStr">
        <is>
          <t>同上</t>
        </is>
      </c>
      <c r="I13" s="19" t="inlineStr">
        <is>
          <t>要確認（正式船名・会社）</t>
        </is>
      </c>
      <c r="J13" s="15">
        <f>IF(A13="","",IF(B13="",A13,B13))</f>
        <v/>
      </c>
      <c r="K13" s="15">
        <f>IF(A13="","",IF(C13="","未確認",IFERROR(INDEX($Q$6:$Q$45,MATCH(C13,$P$6:$P$45,0)),"未確認")))</f>
        <v/>
      </c>
      <c r="L13" s="15">
        <f>IF(A13="","",IF(AND(OR(F13="",F13&lt;=集計!$C$5),OR(G13="",G13&gt;=集計!$C$5)),"○",""))</f>
        <v/>
      </c>
      <c r="M13" s="15">
        <f>IF(L13="○",A13,"")</f>
        <v/>
      </c>
      <c r="N13" s="15">
        <f>IF(OR(J13="",L13&lt;&gt;"○"),"",IF(COUNTIFS(J$6:J13,J13,L$6:L13,"○")=1,"○",""))</f>
        <v/>
      </c>
      <c r="P13" s="19" t="inlineStr">
        <is>
          <t>洞海マリン</t>
        </is>
      </c>
      <c r="Q13" s="19" t="inlineStr">
        <is>
          <t>他社</t>
        </is>
      </c>
      <c r="R13" s="19" t="inlineStr">
        <is>
          <t>00_作成条件.md（船名は未確認）</t>
        </is>
      </c>
      <c r="S13" s="19" t="inlineStr">
        <is>
          <t>未確認</t>
        </is>
      </c>
      <c r="U13" s="19" t="n"/>
      <c r="X13" s="19" t="n"/>
      <c r="Y13" s="19" t="n"/>
      <c r="Z13" s="19" t="n"/>
      <c r="AA13" s="19" t="inlineStr">
        <is>
          <t>その他</t>
        </is>
      </c>
      <c r="AB13" s="19" t="n"/>
      <c r="AC13" s="19" t="n"/>
      <c r="AD13" s="19" t="inlineStr">
        <is>
          <t>その他</t>
        </is>
      </c>
      <c r="AE13" s="19" t="n"/>
      <c r="AF13" s="19" t="n"/>
      <c r="AG13" s="19" t="n"/>
      <c r="AH13" s="19" t="n"/>
      <c r="AI13" s="19" t="n"/>
    </row>
    <row r="14">
      <c r="A14" s="19" t="inlineStr">
        <is>
          <t>M</t>
        </is>
      </c>
      <c r="B14" s="19" t="n"/>
      <c r="C14" s="19" t="inlineStr">
        <is>
          <t>製鉄曳船</t>
        </is>
      </c>
      <c r="D14" s="19" t="inlineStr">
        <is>
          <t>タグ</t>
        </is>
      </c>
      <c r="E14" s="19" t="inlineStr">
        <is>
          <t>未確認</t>
        </is>
      </c>
      <c r="F14" s="25" t="n"/>
      <c r="G14" s="25" t="n"/>
      <c r="H14" s="19" t="inlineStr">
        <is>
          <t>同上</t>
        </is>
      </c>
      <c r="I14" s="19" t="inlineStr">
        <is>
          <t>要確認（正式船名・会社）</t>
        </is>
      </c>
      <c r="J14" s="15">
        <f>IF(A14="","",IF(B14="",A14,B14))</f>
        <v/>
      </c>
      <c r="K14" s="15">
        <f>IF(A14="","",IF(C14="","未確認",IFERROR(INDEX($Q$6:$Q$45,MATCH(C14,$P$6:$P$45,0)),"未確認")))</f>
        <v/>
      </c>
      <c r="L14" s="15">
        <f>IF(A14="","",IF(AND(OR(F14="",F14&lt;=集計!$C$5),OR(G14="",G14&gt;=集計!$C$5)),"○",""))</f>
        <v/>
      </c>
      <c r="M14" s="15">
        <f>IF(L14="○",A14,"")</f>
        <v/>
      </c>
      <c r="N14" s="15">
        <f>IF(OR(J14="",L14&lt;&gt;"○"),"",IF(COUNTIFS(J$6:J14,J14,L$6:L14,"○")=1,"○",""))</f>
        <v/>
      </c>
      <c r="P14" s="19" t="inlineStr">
        <is>
          <t>福島海運</t>
        </is>
      </c>
      <c r="Q14" s="19" t="inlineStr">
        <is>
          <t>他社</t>
        </is>
      </c>
      <c r="R14" s="19" t="inlineStr">
        <is>
          <t>00_作成条件.md（船名は未確認）</t>
        </is>
      </c>
      <c r="S14" s="19" t="inlineStr">
        <is>
          <t>未確認</t>
        </is>
      </c>
      <c r="U14" s="19" t="n"/>
      <c r="X14" s="19" t="n"/>
      <c r="Y14" s="19" t="n"/>
      <c r="Z14" s="19" t="n"/>
      <c r="AA14" s="19" t="inlineStr">
        <is>
          <t>不明</t>
        </is>
      </c>
      <c r="AB14" s="19" t="n"/>
      <c r="AC14" s="19" t="n"/>
      <c r="AD14" s="19" t="n"/>
      <c r="AE14" s="19" t="n"/>
      <c r="AF14" s="19" t="n"/>
      <c r="AG14" s="19" t="n"/>
      <c r="AH14" s="19" t="n"/>
      <c r="AI14" s="19" t="n"/>
    </row>
    <row r="15">
      <c r="A15" s="19" t="inlineStr">
        <is>
          <t>P</t>
        </is>
      </c>
      <c r="B15" s="19" t="n"/>
      <c r="C15" s="19" t="inlineStr">
        <is>
          <t>製鉄曳船</t>
        </is>
      </c>
      <c r="D15" s="19" t="inlineStr">
        <is>
          <t>タグ</t>
        </is>
      </c>
      <c r="E15" s="19" t="inlineStr">
        <is>
          <t>未確認</t>
        </is>
      </c>
      <c r="F15" s="25" t="n"/>
      <c r="G15" s="25" t="n"/>
      <c r="H15" s="19" t="inlineStr">
        <is>
          <t>同上</t>
        </is>
      </c>
      <c r="I15" s="19" t="inlineStr">
        <is>
          <t>要確認（正式船名・会社）</t>
        </is>
      </c>
      <c r="J15" s="15">
        <f>IF(A15="","",IF(B15="",A15,B15))</f>
        <v/>
      </c>
      <c r="K15" s="15">
        <f>IF(A15="","",IF(C15="","未確認",IFERROR(INDEX($Q$6:$Q$45,MATCH(C15,$P$6:$P$45,0)),"未確認")))</f>
        <v/>
      </c>
      <c r="L15" s="15">
        <f>IF(A15="","",IF(AND(OR(F15="",F15&lt;=集計!$C$5),OR(G15="",G15&gt;=集計!$C$5)),"○",""))</f>
        <v/>
      </c>
      <c r="M15" s="15">
        <f>IF(L15="○",A15,"")</f>
        <v/>
      </c>
      <c r="N15" s="15">
        <f>IF(OR(J15="",L15&lt;&gt;"○"),"",IF(COUNTIFS(J$6:J15,J15,L$6:L15,"○")=1,"○",""))</f>
        <v/>
      </c>
      <c r="P15" s="19" t="n"/>
      <c r="Q15" s="19" t="n"/>
      <c r="R15" s="19" t="n"/>
      <c r="S15" s="19" t="n"/>
      <c r="U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</row>
    <row r="16">
      <c r="A16" s="19" t="inlineStr">
        <is>
          <t>関豊丸</t>
        </is>
      </c>
      <c r="B16" s="19" t="inlineStr">
        <is>
          <t>関豊丸</t>
        </is>
      </c>
      <c r="C16" s="19" t="inlineStr">
        <is>
          <t>西日本海運</t>
        </is>
      </c>
      <c r="D16" s="19" t="inlineStr">
        <is>
          <t>タグ</t>
        </is>
      </c>
      <c r="E16" s="19" t="inlineStr">
        <is>
          <t>門司港</t>
        </is>
      </c>
      <c r="F16" s="25" t="n"/>
      <c r="G16" s="25" t="n"/>
      <c r="H16" s="19" t="inlineStr">
        <is>
          <t>00_作成条件.md／要目表2026.8</t>
        </is>
      </c>
      <c r="I16" s="19" t="inlineStr">
        <is>
          <t>確認済み</t>
        </is>
      </c>
      <c r="J16" s="15">
        <f>IF(A16="","",IF(B16="",A16,B16))</f>
        <v/>
      </c>
      <c r="K16" s="15">
        <f>IF(A16="","",IF(C16="","未確認",IFERROR(INDEX($Q$6:$Q$45,MATCH(C16,$P$6:$P$45,0)),"未確認")))</f>
        <v/>
      </c>
      <c r="L16" s="15">
        <f>IF(A16="","",IF(AND(OR(F16="",F16&lt;=集計!$C$5),OR(G16="",G16&gt;=集計!$C$5)),"○",""))</f>
        <v/>
      </c>
      <c r="M16" s="15">
        <f>IF(L16="○",A16,"")</f>
        <v/>
      </c>
      <c r="N16" s="15">
        <f>IF(OR(J16="",L16&lt;&gt;"○"),"",IF(COUNTIFS(J$6:J16,J16,L$6:L16,"○")=1,"○",""))</f>
        <v/>
      </c>
      <c r="P16" s="19" t="n"/>
      <c r="Q16" s="19" t="n"/>
      <c r="R16" s="19" t="n"/>
      <c r="S16" s="19" t="n"/>
      <c r="U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</row>
    <row r="17">
      <c r="A17" s="19" t="inlineStr">
        <is>
          <t>長豊丸</t>
        </is>
      </c>
      <c r="B17" s="19" t="inlineStr">
        <is>
          <t>長豊丸</t>
        </is>
      </c>
      <c r="C17" s="19" t="inlineStr">
        <is>
          <t>西日本海運</t>
        </is>
      </c>
      <c r="D17" s="19" t="inlineStr">
        <is>
          <t>タグ</t>
        </is>
      </c>
      <c r="E17" s="19" t="inlineStr">
        <is>
          <t>門司港</t>
        </is>
      </c>
      <c r="F17" s="25" t="n"/>
      <c r="G17" s="25" t="n"/>
      <c r="H17" s="19" t="inlineStr">
        <is>
          <t>00_作成条件.md／要目表2026.8</t>
        </is>
      </c>
      <c r="I17" s="19" t="inlineStr">
        <is>
          <t>確認済み</t>
        </is>
      </c>
      <c r="J17" s="15">
        <f>IF(A17="","",IF(B17="",A17,B17))</f>
        <v/>
      </c>
      <c r="K17" s="15">
        <f>IF(A17="","",IF(C17="","未確認",IFERROR(INDEX($Q$6:$Q$45,MATCH(C17,$P$6:$P$45,0)),"未確認")))</f>
        <v/>
      </c>
      <c r="L17" s="15">
        <f>IF(A17="","",IF(AND(OR(F17="",F17&lt;=集計!$C$5),OR(G17="",G17&gt;=集計!$C$5)),"○",""))</f>
        <v/>
      </c>
      <c r="M17" s="15">
        <f>IF(L17="○",A17,"")</f>
        <v/>
      </c>
      <c r="N17" s="15">
        <f>IF(OR(J17="",L17&lt;&gt;"○"),"",IF(COUNTIFS(J$6:J17,J17,L$6:L17,"○")=1,"○",""))</f>
        <v/>
      </c>
      <c r="P17" s="19" t="n"/>
      <c r="Q17" s="19" t="n"/>
      <c r="R17" s="19" t="n"/>
      <c r="S17" s="19" t="n"/>
      <c r="U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</row>
    <row r="18">
      <c r="A18" s="19" t="inlineStr">
        <is>
          <t>関</t>
        </is>
      </c>
      <c r="B18" s="19" t="n"/>
      <c r="C18" s="19" t="inlineStr">
        <is>
          <t>西日本海運</t>
        </is>
      </c>
      <c r="D18" s="19" t="inlineStr">
        <is>
          <t>タグ</t>
        </is>
      </c>
      <c r="E18" s="19" t="inlineStr">
        <is>
          <t>未確認</t>
        </is>
      </c>
      <c r="F18" s="25" t="n"/>
      <c r="G18" s="25" t="n"/>
      <c r="H18" s="19" t="inlineStr">
        <is>
          <t>元帳R7年度の記号。会社は既存集計との照合上の扱い</t>
        </is>
      </c>
      <c r="I18" s="19" t="inlineStr">
        <is>
          <t>要確認（正式船名・会社）</t>
        </is>
      </c>
      <c r="J18" s="15">
        <f>IF(A18="","",IF(B18="",A18,B18))</f>
        <v/>
      </c>
      <c r="K18" s="15">
        <f>IF(A18="","",IF(C18="","未確認",IFERROR(INDEX($Q$6:$Q$45,MATCH(C18,$P$6:$P$45,0)),"未確認")))</f>
        <v/>
      </c>
      <c r="L18" s="15">
        <f>IF(A18="","",IF(AND(OR(F18="",F18&lt;=集計!$C$5),OR(G18="",G18&gt;=集計!$C$5)),"○",""))</f>
        <v/>
      </c>
      <c r="M18" s="15">
        <f>IF(L18="○",A18,"")</f>
        <v/>
      </c>
      <c r="N18" s="15">
        <f>IF(OR(J18="",L18&lt;&gt;"○"),"",IF(COUNTIFS(J$6:J18,J18,L$6:L18,"○")=1,"○",""))</f>
        <v/>
      </c>
      <c r="P18" s="19" t="n"/>
      <c r="Q18" s="19" t="n"/>
      <c r="R18" s="19" t="n"/>
      <c r="S18" s="19" t="n"/>
      <c r="U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</row>
    <row r="19">
      <c r="A19" s="19" t="inlineStr">
        <is>
          <t>長</t>
        </is>
      </c>
      <c r="B19" s="19" t="n"/>
      <c r="C19" s="19" t="inlineStr">
        <is>
          <t>西日本海運</t>
        </is>
      </c>
      <c r="D19" s="19" t="inlineStr">
        <is>
          <t>タグ</t>
        </is>
      </c>
      <c r="E19" s="19" t="inlineStr">
        <is>
          <t>未確認</t>
        </is>
      </c>
      <c r="F19" s="25" t="n"/>
      <c r="G19" s="25" t="n"/>
      <c r="H19" s="19" t="inlineStr">
        <is>
          <t>同上</t>
        </is>
      </c>
      <c r="I19" s="19" t="inlineStr">
        <is>
          <t>要確認（正式船名・会社）</t>
        </is>
      </c>
      <c r="J19" s="15">
        <f>IF(A19="","",IF(B19="",A19,B19))</f>
        <v/>
      </c>
      <c r="K19" s="15">
        <f>IF(A19="","",IF(C19="","未確認",IFERROR(INDEX($Q$6:$Q$45,MATCH(C19,$P$6:$P$45,0)),"未確認")))</f>
        <v/>
      </c>
      <c r="L19" s="15">
        <f>IF(A19="","",IF(AND(OR(F19="",F19&lt;=集計!$C$5),OR(G19="",G19&gt;=集計!$C$5)),"○",""))</f>
        <v/>
      </c>
      <c r="M19" s="15">
        <f>IF(L19="○",A19,"")</f>
        <v/>
      </c>
      <c r="N19" s="15">
        <f>IF(OR(J19="",L19&lt;&gt;"○"),"",IF(COUNTIFS(J$6:J19,J19,L$6:L19,"○")=1,"○",""))</f>
        <v/>
      </c>
      <c r="P19" s="19" t="n"/>
      <c r="Q19" s="19" t="n"/>
      <c r="R19" s="19" t="n"/>
      <c r="S19" s="19" t="n"/>
      <c r="U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</row>
    <row r="20">
      <c r="A20" s="19" t="inlineStr">
        <is>
          <t>かざし丸</t>
        </is>
      </c>
      <c r="B20" s="19" t="inlineStr">
        <is>
          <t>かざし丸</t>
        </is>
      </c>
      <c r="C20" s="19" t="inlineStr">
        <is>
          <t>シーゲートコーポレーション</t>
        </is>
      </c>
      <c r="D20" s="19" t="inlineStr">
        <is>
          <t>タグ</t>
        </is>
      </c>
      <c r="E20" s="19" t="inlineStr">
        <is>
          <t>門司港</t>
        </is>
      </c>
      <c r="F20" s="25" t="n"/>
      <c r="G20" s="25" t="n"/>
      <c r="H20" s="19" t="inlineStr">
        <is>
          <t>要目表2026.8（2025年度の所属は未確認）</t>
        </is>
      </c>
      <c r="I20" s="19" t="inlineStr">
        <is>
          <t>要確認（2025年度の所属）</t>
        </is>
      </c>
      <c r="J20" s="15">
        <f>IF(A20="","",IF(B20="",A20,B20))</f>
        <v/>
      </c>
      <c r="K20" s="15">
        <f>IF(A20="","",IF(C20="","未確認",IFERROR(INDEX($Q$6:$Q$45,MATCH(C20,$P$6:$P$45,0)),"未確認")))</f>
        <v/>
      </c>
      <c r="L20" s="15">
        <f>IF(A20="","",IF(AND(OR(F20="",F20&lt;=集計!$C$5),OR(G20="",G20&gt;=集計!$C$5)),"○",""))</f>
        <v/>
      </c>
      <c r="M20" s="15">
        <f>IF(L20="○",A20,"")</f>
        <v/>
      </c>
      <c r="N20" s="15">
        <f>IF(OR(J20="",L20&lt;&gt;"○"),"",IF(COUNTIFS(J$6:J20,J20,L$6:L20,"○")=1,"○",""))</f>
        <v/>
      </c>
      <c r="P20" s="19" t="n"/>
      <c r="Q20" s="19" t="n"/>
      <c r="R20" s="19" t="n"/>
      <c r="S20" s="19" t="n"/>
      <c r="U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</row>
    <row r="21">
      <c r="A21" s="19" t="inlineStr">
        <is>
          <t>鷲羽丸</t>
        </is>
      </c>
      <c r="B21" s="19" t="inlineStr">
        <is>
          <t>鷲羽丸</t>
        </is>
      </c>
      <c r="C21" s="19" t="inlineStr">
        <is>
          <t>シーゲートコーポレーション</t>
        </is>
      </c>
      <c r="D21" s="19" t="inlineStr">
        <is>
          <t>タグ</t>
        </is>
      </c>
      <c r="E21" s="19" t="inlineStr">
        <is>
          <t>門司港</t>
        </is>
      </c>
      <c r="F21" s="25" t="n"/>
      <c r="G21" s="25" t="n"/>
      <c r="H21" s="19" t="inlineStr">
        <is>
          <t>要目表2026.8（2025年度の所属は未確認）</t>
        </is>
      </c>
      <c r="I21" s="19" t="inlineStr">
        <is>
          <t>要確認（2025年度の所属）</t>
        </is>
      </c>
      <c r="J21" s="15">
        <f>IF(A21="","",IF(B21="",A21,B21))</f>
        <v/>
      </c>
      <c r="K21" s="15">
        <f>IF(A21="","",IF(C21="","未確認",IFERROR(INDEX($Q$6:$Q$45,MATCH(C21,$P$6:$P$45,0)),"未確認")))</f>
        <v/>
      </c>
      <c r="L21" s="15">
        <f>IF(A21="","",IF(AND(OR(F21="",F21&lt;=集計!$C$5),OR(G21="",G21&gt;=集計!$C$5)),"○",""))</f>
        <v/>
      </c>
      <c r="M21" s="15">
        <f>IF(L21="○",A21,"")</f>
        <v/>
      </c>
      <c r="N21" s="15">
        <f>IF(OR(J21="",L21&lt;&gt;"○"),"",IF(COUNTIFS(J$6:J21,J21,L$6:L21,"○")=1,"○",""))</f>
        <v/>
      </c>
      <c r="P21" s="19" t="n"/>
      <c r="Q21" s="19" t="n"/>
      <c r="R21" s="19" t="n"/>
      <c r="S21" s="19" t="n"/>
      <c r="U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</row>
    <row r="22">
      <c r="A22" s="19" t="inlineStr">
        <is>
          <t>むさし丸2</t>
        </is>
      </c>
      <c r="B22" s="19" t="inlineStr">
        <is>
          <t>むさし丸2</t>
        </is>
      </c>
      <c r="C22" s="19" t="inlineStr">
        <is>
          <t>グリーンシッピング</t>
        </is>
      </c>
      <c r="D22" s="19" t="inlineStr">
        <is>
          <t>タグ</t>
        </is>
      </c>
      <c r="E22" s="19" t="inlineStr">
        <is>
          <t>門司港</t>
        </is>
      </c>
      <c r="F22" s="25" t="n"/>
      <c r="G22" s="25" t="n"/>
      <c r="H22" s="19" t="inlineStr">
        <is>
          <t>要目表2026.8（2025年度の所属は未確認）</t>
        </is>
      </c>
      <c r="I22" s="19" t="inlineStr">
        <is>
          <t>要確認（2025年度の所属）</t>
        </is>
      </c>
      <c r="J22" s="15">
        <f>IF(A22="","",IF(B22="",A22,B22))</f>
        <v/>
      </c>
      <c r="K22" s="15">
        <f>IF(A22="","",IF(C22="","未確認",IFERROR(INDEX($Q$6:$Q$45,MATCH(C22,$P$6:$P$45,0)),"未確認")))</f>
        <v/>
      </c>
      <c r="L22" s="15">
        <f>IF(A22="","",IF(AND(OR(F22="",F22&lt;=集計!$C$5),OR(G22="",G22&gt;=集計!$C$5)),"○",""))</f>
        <v/>
      </c>
      <c r="M22" s="15">
        <f>IF(L22="○",A22,"")</f>
        <v/>
      </c>
      <c r="N22" s="15">
        <f>IF(OR(J22="",L22&lt;&gt;"○"),"",IF(COUNTIFS(J$6:J22,J22,L$6:L22,"○")=1,"○",""))</f>
        <v/>
      </c>
      <c r="P22" s="19" t="n"/>
      <c r="Q22" s="19" t="n"/>
      <c r="R22" s="19" t="n"/>
      <c r="S22" s="19" t="n"/>
      <c r="U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</row>
    <row r="23">
      <c r="A23" s="19" t="inlineStr">
        <is>
          <t>かなで</t>
        </is>
      </c>
      <c r="B23" s="19" t="inlineStr">
        <is>
          <t>かなで</t>
        </is>
      </c>
      <c r="C23" s="19" t="inlineStr">
        <is>
          <t>グリーンシッピング</t>
        </is>
      </c>
      <c r="D23" s="19" t="inlineStr">
        <is>
          <t>タグ</t>
        </is>
      </c>
      <c r="E23" s="19" t="inlineStr">
        <is>
          <t>門司港</t>
        </is>
      </c>
      <c r="F23" s="25" t="n"/>
      <c r="G23" s="25" t="n"/>
      <c r="H23" s="19" t="inlineStr">
        <is>
          <t>要目表2026.8（2025年度の所属は未確認）</t>
        </is>
      </c>
      <c r="I23" s="19" t="inlineStr">
        <is>
          <t>要確認（2025年度の所属）</t>
        </is>
      </c>
      <c r="J23" s="15">
        <f>IF(A23="","",IF(B23="",A23,B23))</f>
        <v/>
      </c>
      <c r="K23" s="15">
        <f>IF(A23="","",IF(C23="","未確認",IFERROR(INDEX($Q$6:$Q$45,MATCH(C23,$P$6:$P$45,0)),"未確認")))</f>
        <v/>
      </c>
      <c r="L23" s="15">
        <f>IF(A23="","",IF(AND(OR(F23="",F23&lt;=集計!$C$5),OR(G23="",G23&gt;=集計!$C$5)),"○",""))</f>
        <v/>
      </c>
      <c r="M23" s="15">
        <f>IF(L23="○",A23,"")</f>
        <v/>
      </c>
      <c r="N23" s="15">
        <f>IF(OR(J23="",L23&lt;&gt;"○"),"",IF(COUNTIFS(J$6:J23,J23,L$6:L23,"○")=1,"○",""))</f>
        <v/>
      </c>
      <c r="P23" s="19" t="n"/>
      <c r="Q23" s="19" t="n"/>
      <c r="R23" s="19" t="n"/>
      <c r="S23" s="19" t="n"/>
      <c r="U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</row>
    <row r="24">
      <c r="A24" s="19" t="inlineStr">
        <is>
          <t>かいせい</t>
        </is>
      </c>
      <c r="B24" s="19" t="inlineStr">
        <is>
          <t>かいせい</t>
        </is>
      </c>
      <c r="C24" s="19" t="inlineStr">
        <is>
          <t>日鉄物流</t>
        </is>
      </c>
      <c r="D24" s="19" t="inlineStr">
        <is>
          <t>タグ</t>
        </is>
      </c>
      <c r="E24" s="19" t="inlineStr">
        <is>
          <t>門司港</t>
        </is>
      </c>
      <c r="F24" s="25" t="n"/>
      <c r="G24" s="25" t="n"/>
      <c r="H24" s="19" t="inlineStr">
        <is>
          <t>要目表2026.8（2025年度の所属は未確認）</t>
        </is>
      </c>
      <c r="I24" s="19" t="inlineStr">
        <is>
          <t>要確認（2025年度の所属）</t>
        </is>
      </c>
      <c r="J24" s="15">
        <f>IF(A24="","",IF(B24="",A24,B24))</f>
        <v/>
      </c>
      <c r="K24" s="15">
        <f>IF(A24="","",IF(C24="","未確認",IFERROR(INDEX($Q$6:$Q$45,MATCH(C24,$P$6:$P$45,0)),"未確認")))</f>
        <v/>
      </c>
      <c r="L24" s="15">
        <f>IF(A24="","",IF(AND(OR(F24="",F24&lt;=集計!$C$5),OR(G24="",G24&gt;=集計!$C$5)),"○",""))</f>
        <v/>
      </c>
      <c r="M24" s="15">
        <f>IF(L24="○",A24,"")</f>
        <v/>
      </c>
      <c r="N24" s="15">
        <f>IF(OR(J24="",L24&lt;&gt;"○"),"",IF(COUNTIFS(J$6:J24,J24,L$6:L24,"○")=1,"○",""))</f>
        <v/>
      </c>
      <c r="P24" s="19" t="n"/>
      <c r="Q24" s="19" t="n"/>
      <c r="R24" s="19" t="n"/>
      <c r="S24" s="19" t="n"/>
      <c r="U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</row>
    <row r="25">
      <c r="A25" s="19" t="inlineStr">
        <is>
          <t>春風</t>
        </is>
      </c>
      <c r="B25" s="19" t="inlineStr">
        <is>
          <t>春風</t>
        </is>
      </c>
      <c r="C25" s="19" t="inlineStr">
        <is>
          <t>春風海運</t>
        </is>
      </c>
      <c r="D25" s="19" t="inlineStr">
        <is>
          <t>タグ</t>
        </is>
      </c>
      <c r="E25" s="19" t="inlineStr">
        <is>
          <t>門司港</t>
        </is>
      </c>
      <c r="F25" s="25" t="n"/>
      <c r="G25" s="25" t="n"/>
      <c r="H25" s="19" t="inlineStr">
        <is>
          <t>00_作成条件.md（ユーザー指定）</t>
        </is>
      </c>
      <c r="I25" s="19" t="inlineStr">
        <is>
          <t>確認済み</t>
        </is>
      </c>
      <c r="J25" s="15">
        <f>IF(A25="","",IF(B25="",A25,B25))</f>
        <v/>
      </c>
      <c r="K25" s="15">
        <f>IF(A25="","",IF(C25="","未確認",IFERROR(INDEX($Q$6:$Q$45,MATCH(C25,$P$6:$P$45,0)),"未確認")))</f>
        <v/>
      </c>
      <c r="L25" s="15">
        <f>IF(A25="","",IF(AND(OR(F25="",F25&lt;=集計!$C$5),OR(G25="",G25&gt;=集計!$C$5)),"○",""))</f>
        <v/>
      </c>
      <c r="M25" s="15">
        <f>IF(L25="○",A25,"")</f>
        <v/>
      </c>
      <c r="N25" s="15">
        <f>IF(OR(J25="",L25&lt;&gt;"○"),"",IF(COUNTIFS(J$6:J25,J25,L$6:L25,"○")=1,"○",""))</f>
        <v/>
      </c>
      <c r="P25" s="19" t="n"/>
      <c r="Q25" s="19" t="n"/>
      <c r="R25" s="19" t="n"/>
      <c r="S25" s="19" t="n"/>
      <c r="U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</row>
    <row r="26">
      <c r="A26" s="19" t="inlineStr">
        <is>
          <t>栄春</t>
        </is>
      </c>
      <c r="B26" s="19" t="inlineStr">
        <is>
          <t>栄春</t>
        </is>
      </c>
      <c r="C26" s="19" t="inlineStr">
        <is>
          <t>春風海運</t>
        </is>
      </c>
      <c r="D26" s="19" t="inlineStr">
        <is>
          <t>タグ</t>
        </is>
      </c>
      <c r="E26" s="19" t="inlineStr">
        <is>
          <t>門司港</t>
        </is>
      </c>
      <c r="F26" s="25" t="n"/>
      <c r="G26" s="25" t="n"/>
      <c r="H26" s="19" t="inlineStr">
        <is>
          <t>00_作成条件.md（ユーザー指定）</t>
        </is>
      </c>
      <c r="I26" s="19" t="inlineStr">
        <is>
          <t>確認済み</t>
        </is>
      </c>
      <c r="J26" s="15">
        <f>IF(A26="","",IF(B26="",A26,B26))</f>
        <v/>
      </c>
      <c r="K26" s="15">
        <f>IF(A26="","",IF(C26="","未確認",IFERROR(INDEX($Q$6:$Q$45,MATCH(C26,$P$6:$P$45,0)),"未確認")))</f>
        <v/>
      </c>
      <c r="L26" s="15">
        <f>IF(A26="","",IF(AND(OR(F26="",F26&lt;=集計!$C$5),OR(G26="",G26&gt;=集計!$C$5)),"○",""))</f>
        <v/>
      </c>
      <c r="M26" s="15">
        <f>IF(L26="○",A26,"")</f>
        <v/>
      </c>
      <c r="N26" s="15">
        <f>IF(OR(J26="",L26&lt;&gt;"○"),"",IF(COUNTIFS(J$6:J26,J26,L$6:L26,"○")=1,"○",""))</f>
        <v/>
      </c>
      <c r="P26" s="19" t="n"/>
      <c r="Q26" s="19" t="n"/>
      <c r="R26" s="19" t="n"/>
      <c r="S26" s="19" t="n"/>
    </row>
    <row r="27">
      <c r="A27" s="19" t="inlineStr">
        <is>
          <t>双美</t>
        </is>
      </c>
      <c r="B27" s="19" t="inlineStr">
        <is>
          <t>双美</t>
        </is>
      </c>
      <c r="C27" s="19" t="inlineStr">
        <is>
          <t>春風海運</t>
        </is>
      </c>
      <c r="D27" s="19" t="inlineStr">
        <is>
          <t>タグ</t>
        </is>
      </c>
      <c r="E27" s="19" t="inlineStr">
        <is>
          <t>門司港</t>
        </is>
      </c>
      <c r="F27" s="25" t="n"/>
      <c r="G27" s="25" t="n"/>
      <c r="H27" s="19" t="inlineStr">
        <is>
          <t>00_作成条件.md（ユーザー指定）</t>
        </is>
      </c>
      <c r="I27" s="19" t="inlineStr">
        <is>
          <t>確認済み</t>
        </is>
      </c>
      <c r="J27" s="15">
        <f>IF(A27="","",IF(B27="",A27,B27))</f>
        <v/>
      </c>
      <c r="K27" s="15">
        <f>IF(A27="","",IF(C27="","未確認",IFERROR(INDEX($Q$6:$Q$45,MATCH(C27,$P$6:$P$45,0)),"未確認")))</f>
        <v/>
      </c>
      <c r="L27" s="15">
        <f>IF(A27="","",IF(AND(OR(F27="",F27&lt;=集計!$C$5),OR(G27="",G27&gt;=集計!$C$5)),"○",""))</f>
        <v/>
      </c>
      <c r="M27" s="15">
        <f>IF(L27="○",A27,"")</f>
        <v/>
      </c>
      <c r="N27" s="15">
        <f>IF(OR(J27="",L27&lt;&gt;"○"),"",IF(COUNTIFS(J$6:J27,J27,L$6:L27,"○")=1,"○",""))</f>
        <v/>
      </c>
      <c r="P27" s="19" t="n"/>
      <c r="Q27" s="19" t="n"/>
      <c r="R27" s="19" t="n"/>
      <c r="S27" s="19" t="n"/>
    </row>
    <row r="28">
      <c r="A28" s="19" t="inlineStr">
        <is>
          <t>春幸</t>
        </is>
      </c>
      <c r="B28" s="19" t="inlineStr">
        <is>
          <t>春幸</t>
        </is>
      </c>
      <c r="C28" s="19" t="inlineStr">
        <is>
          <t>春風海運</t>
        </is>
      </c>
      <c r="D28" s="19" t="inlineStr">
        <is>
          <t>タグ</t>
        </is>
      </c>
      <c r="E28" s="19" t="inlineStr">
        <is>
          <t>門司港</t>
        </is>
      </c>
      <c r="F28" s="25" t="n"/>
      <c r="G28" s="25" t="n"/>
      <c r="H28" s="19" t="inlineStr">
        <is>
          <t>00_作成条件.md（ユーザー指定）</t>
        </is>
      </c>
      <c r="I28" s="19" t="inlineStr">
        <is>
          <t>確認済み</t>
        </is>
      </c>
      <c r="J28" s="15">
        <f>IF(A28="","",IF(B28="",A28,B28))</f>
        <v/>
      </c>
      <c r="K28" s="15">
        <f>IF(A28="","",IF(C28="","未確認",IFERROR(INDEX($Q$6:$Q$45,MATCH(C28,$P$6:$P$45,0)),"未確認")))</f>
        <v/>
      </c>
      <c r="L28" s="15">
        <f>IF(A28="","",IF(AND(OR(F28="",F28&lt;=集計!$C$5),OR(G28="",G28&gt;=集計!$C$5)),"○",""))</f>
        <v/>
      </c>
      <c r="M28" s="15">
        <f>IF(L28="○",A28,"")</f>
        <v/>
      </c>
      <c r="N28" s="15">
        <f>IF(OR(J28="",L28&lt;&gt;"○"),"",IF(COUNTIFS(J$6:J28,J28,L$6:L28,"○")=1,"○",""))</f>
        <v/>
      </c>
      <c r="P28" s="19" t="n"/>
      <c r="Q28" s="19" t="n"/>
      <c r="R28" s="19" t="n"/>
      <c r="S28" s="19" t="n"/>
    </row>
    <row r="29">
      <c r="A29" s="19" t="inlineStr">
        <is>
          <t>さくら</t>
        </is>
      </c>
      <c r="B29" s="19" t="n"/>
      <c r="C29" s="19" t="n"/>
      <c r="D29" s="19" t="inlineStr">
        <is>
          <t>タグ</t>
        </is>
      </c>
      <c r="E29" s="19" t="inlineStr">
        <is>
          <t>未確認</t>
        </is>
      </c>
      <c r="F29" s="25" t="n"/>
      <c r="G29" s="25" t="n"/>
      <c r="H29" s="19" t="inlineStr">
        <is>
          <t>元帳R7年度（S列「洞」は参考。会社は推定しない）</t>
        </is>
      </c>
      <c r="I29" s="19" t="inlineStr">
        <is>
          <t>要確認（正式船名・会社）</t>
        </is>
      </c>
      <c r="J29" s="15">
        <f>IF(A29="","",IF(B29="",A29,B29))</f>
        <v/>
      </c>
      <c r="K29" s="15">
        <f>IF(A29="","",IF(C29="","未確認",IFERROR(INDEX($Q$6:$Q$45,MATCH(C29,$P$6:$P$45,0)),"未確認")))</f>
        <v/>
      </c>
      <c r="L29" s="15">
        <f>IF(A29="","",IF(AND(OR(F29="",F29&lt;=集計!$C$5),OR(G29="",G29&gt;=集計!$C$5)),"○",""))</f>
        <v/>
      </c>
      <c r="M29" s="15">
        <f>IF(L29="○",A29,"")</f>
        <v/>
      </c>
      <c r="N29" s="15">
        <f>IF(OR(J29="",L29&lt;&gt;"○"),"",IF(COUNTIFS(J$6:J29,J29,L$6:L29,"○")=1,"○",""))</f>
        <v/>
      </c>
      <c r="P29" s="19" t="n"/>
      <c r="Q29" s="19" t="n"/>
      <c r="R29" s="19" t="n"/>
      <c r="S29" s="19" t="n"/>
    </row>
    <row r="30">
      <c r="A30" s="19" t="inlineStr">
        <is>
          <t>みさき</t>
        </is>
      </c>
      <c r="B30" s="19" t="n"/>
      <c r="C30" s="19" t="n"/>
      <c r="D30" s="19" t="inlineStr">
        <is>
          <t>タグ</t>
        </is>
      </c>
      <c r="E30" s="19" t="inlineStr">
        <is>
          <t>未確認</t>
        </is>
      </c>
      <c r="F30" s="25" t="n"/>
      <c r="G30" s="25" t="n"/>
      <c r="H30" s="19" t="inlineStr">
        <is>
          <t>元帳R7年度（S列「洞」は参考。会社は推定しない）</t>
        </is>
      </c>
      <c r="I30" s="19" t="inlineStr">
        <is>
          <t>要確認（正式船名・会社）</t>
        </is>
      </c>
      <c r="J30" s="15">
        <f>IF(A30="","",IF(B30="",A30,B30))</f>
        <v/>
      </c>
      <c r="K30" s="15">
        <f>IF(A30="","",IF(C30="","未確認",IFERROR(INDEX($Q$6:$Q$45,MATCH(C30,$P$6:$P$45,0)),"未確認")))</f>
        <v/>
      </c>
      <c r="L30" s="15">
        <f>IF(A30="","",IF(AND(OR(F30="",F30&lt;=集計!$C$5),OR(G30="",G30&gt;=集計!$C$5)),"○",""))</f>
        <v/>
      </c>
      <c r="M30" s="15">
        <f>IF(L30="○",A30,"")</f>
        <v/>
      </c>
      <c r="N30" s="15">
        <f>IF(OR(J30="",L30&lt;&gt;"○"),"",IF(COUNTIFS(J$6:J30,J30,L$6:L30,"○")=1,"○",""))</f>
        <v/>
      </c>
      <c r="P30" s="19" t="n"/>
      <c r="Q30" s="19" t="n"/>
      <c r="R30" s="19" t="n"/>
      <c r="S30" s="19" t="n"/>
    </row>
    <row r="31">
      <c r="A31" s="19" t="inlineStr">
        <is>
          <t>竜山</t>
        </is>
      </c>
      <c r="B31" s="19" t="n"/>
      <c r="C31" s="19" t="n"/>
      <c r="D31" s="19" t="inlineStr">
        <is>
          <t>タグ</t>
        </is>
      </c>
      <c r="E31" s="19" t="inlineStr">
        <is>
          <t>未確認</t>
        </is>
      </c>
      <c r="F31" s="25" t="n"/>
      <c r="G31" s="25" t="n"/>
      <c r="H31" s="19" t="inlineStr">
        <is>
          <t>元帳R7年度（S列「矢」は参考。会社は推定しない）</t>
        </is>
      </c>
      <c r="I31" s="19" t="inlineStr">
        <is>
          <t>要確認（正式船名・会社）</t>
        </is>
      </c>
      <c r="J31" s="15">
        <f>IF(A31="","",IF(B31="",A31,B31))</f>
        <v/>
      </c>
      <c r="K31" s="15">
        <f>IF(A31="","",IF(C31="","未確認",IFERROR(INDEX($Q$6:$Q$45,MATCH(C31,$P$6:$P$45,0)),"未確認")))</f>
        <v/>
      </c>
      <c r="L31" s="15">
        <f>IF(A31="","",IF(AND(OR(F31="",F31&lt;=集計!$C$5),OR(G31="",G31&gt;=集計!$C$5)),"○",""))</f>
        <v/>
      </c>
      <c r="M31" s="15">
        <f>IF(L31="○",A31,"")</f>
        <v/>
      </c>
      <c r="N31" s="15">
        <f>IF(OR(J31="",L31&lt;&gt;"○"),"",IF(COUNTIFS(J$6:J31,J31,L$6:L31,"○")=1,"○",""))</f>
        <v/>
      </c>
      <c r="P31" s="19" t="n"/>
      <c r="Q31" s="19" t="n"/>
      <c r="R31" s="19" t="n"/>
      <c r="S31" s="19" t="n"/>
    </row>
    <row r="32">
      <c r="A32" s="19" t="inlineStr">
        <is>
          <t>竜峰</t>
        </is>
      </c>
      <c r="B32" s="19" t="n"/>
      <c r="C32" s="19" t="n"/>
      <c r="D32" s="19" t="inlineStr">
        <is>
          <t>タグ</t>
        </is>
      </c>
      <c r="E32" s="19" t="inlineStr">
        <is>
          <t>未確認</t>
        </is>
      </c>
      <c r="F32" s="25" t="n"/>
      <c r="G32" s="25" t="n"/>
      <c r="H32" s="19" t="inlineStr">
        <is>
          <t>元帳R7年度（S列「矢」は参考。会社は推定しない）</t>
        </is>
      </c>
      <c r="I32" s="19" t="inlineStr">
        <is>
          <t>要確認（正式船名・会社）</t>
        </is>
      </c>
      <c r="J32" s="15">
        <f>IF(A32="","",IF(B32="",A32,B32))</f>
        <v/>
      </c>
      <c r="K32" s="15">
        <f>IF(A32="","",IF(C32="","未確認",IFERROR(INDEX($Q$6:$Q$45,MATCH(C32,$P$6:$P$45,0)),"未確認")))</f>
        <v/>
      </c>
      <c r="L32" s="15">
        <f>IF(A32="","",IF(AND(OR(F32="",F32&lt;=集計!$C$5),OR(G32="",G32&gt;=集計!$C$5)),"○",""))</f>
        <v/>
      </c>
      <c r="M32" s="15">
        <f>IF(L32="○",A32,"")</f>
        <v/>
      </c>
      <c r="N32" s="15">
        <f>IF(OR(J32="",L32&lt;&gt;"○"),"",IF(COUNTIFS(J$6:J32,J32,L$6:L32,"○")=1,"○",""))</f>
        <v/>
      </c>
      <c r="P32" s="19" t="n"/>
      <c r="Q32" s="19" t="n"/>
      <c r="R32" s="19" t="n"/>
      <c r="S32" s="19" t="n"/>
    </row>
    <row r="33">
      <c r="A33" s="19" t="inlineStr">
        <is>
          <t>竜昇</t>
        </is>
      </c>
      <c r="B33" s="19" t="n"/>
      <c r="C33" s="19" t="n"/>
      <c r="D33" s="19" t="inlineStr">
        <is>
          <t>タグ</t>
        </is>
      </c>
      <c r="E33" s="19" t="inlineStr">
        <is>
          <t>未確認</t>
        </is>
      </c>
      <c r="F33" s="25" t="n"/>
      <c r="G33" s="25" t="n"/>
      <c r="H33" s="19" t="inlineStr">
        <is>
          <t>元帳R7年度（S列「矢」は参考。会社は推定しない）</t>
        </is>
      </c>
      <c r="I33" s="19" t="inlineStr">
        <is>
          <t>要確認（正式船名・会社）</t>
        </is>
      </c>
      <c r="J33" s="15">
        <f>IF(A33="","",IF(B33="",A33,B33))</f>
        <v/>
      </c>
      <c r="K33" s="15">
        <f>IF(A33="","",IF(C33="","未確認",IFERROR(INDEX($Q$6:$Q$45,MATCH(C33,$P$6:$P$45,0)),"未確認")))</f>
        <v/>
      </c>
      <c r="L33" s="15">
        <f>IF(A33="","",IF(AND(OR(F33="",F33&lt;=集計!$C$5),OR(G33="",G33&gt;=集計!$C$5)),"○",""))</f>
        <v/>
      </c>
      <c r="M33" s="15">
        <f>IF(L33="○",A33,"")</f>
        <v/>
      </c>
      <c r="N33" s="15">
        <f>IF(OR(J33="",L33&lt;&gt;"○"),"",IF(COUNTIFS(J$6:J33,J33,L$6:L33,"○")=1,"○",""))</f>
        <v/>
      </c>
      <c r="P33" s="19" t="n"/>
      <c r="Q33" s="19" t="n"/>
      <c r="R33" s="19" t="n"/>
      <c r="S33" s="19" t="n"/>
    </row>
    <row r="34">
      <c r="A34" s="19" t="inlineStr">
        <is>
          <t>竜海</t>
        </is>
      </c>
      <c r="B34" s="19" t="n"/>
      <c r="C34" s="19" t="n"/>
      <c r="D34" s="19" t="inlineStr">
        <is>
          <t>タグ</t>
        </is>
      </c>
      <c r="E34" s="19" t="inlineStr">
        <is>
          <t>未確認</t>
        </is>
      </c>
      <c r="F34" s="25" t="n"/>
      <c r="G34" s="25" t="n"/>
      <c r="H34" s="19" t="inlineStr">
        <is>
          <t>元帳R7年度（S列「矢」は参考。会社は推定しない）</t>
        </is>
      </c>
      <c r="I34" s="19" t="inlineStr">
        <is>
          <t>要確認（正式船名・会社）</t>
        </is>
      </c>
      <c r="J34" s="15">
        <f>IF(A34="","",IF(B34="",A34,B34))</f>
        <v/>
      </c>
      <c r="K34" s="15">
        <f>IF(A34="","",IF(C34="","未確認",IFERROR(INDEX($Q$6:$Q$45,MATCH(C34,$P$6:$P$45,0)),"未確認")))</f>
        <v/>
      </c>
      <c r="L34" s="15">
        <f>IF(A34="","",IF(AND(OR(F34="",F34&lt;=集計!$C$5),OR(G34="",G34&gt;=集計!$C$5)),"○",""))</f>
        <v/>
      </c>
      <c r="M34" s="15">
        <f>IF(L34="○",A34,"")</f>
        <v/>
      </c>
      <c r="N34" s="15">
        <f>IF(OR(J34="",L34&lt;&gt;"○"),"",IF(COUNTIFS(J$6:J34,J34,L$6:L34,"○")=1,"○",""))</f>
        <v/>
      </c>
      <c r="P34" s="19" t="n"/>
      <c r="Q34" s="19" t="n"/>
      <c r="R34" s="19" t="n"/>
      <c r="S34" s="19" t="n"/>
    </row>
    <row r="35">
      <c r="A35" s="19" t="inlineStr">
        <is>
          <t>慶鳳丸</t>
        </is>
      </c>
      <c r="B35" s="19" t="n"/>
      <c r="C35" s="19" t="n"/>
      <c r="D35" s="19" t="inlineStr">
        <is>
          <t>タグ</t>
        </is>
      </c>
      <c r="E35" s="19" t="inlineStr">
        <is>
          <t>未確認</t>
        </is>
      </c>
      <c r="F35" s="25" t="n"/>
      <c r="G35" s="25" t="n"/>
      <c r="H35" s="19" t="inlineStr">
        <is>
          <t>元帳R7年度</t>
        </is>
      </c>
      <c r="I35" s="19" t="inlineStr">
        <is>
          <t>要確認（正式船名・会社）</t>
        </is>
      </c>
      <c r="J35" s="15">
        <f>IF(A35="","",IF(B35="",A35,B35))</f>
        <v/>
      </c>
      <c r="K35" s="15">
        <f>IF(A35="","",IF(C35="","未確認",IFERROR(INDEX($Q$6:$Q$45,MATCH(C35,$P$6:$P$45,0)),"未確認")))</f>
        <v/>
      </c>
      <c r="L35" s="15">
        <f>IF(A35="","",IF(AND(OR(F35="",F35&lt;=集計!$C$5),OR(G35="",G35&gt;=集計!$C$5)),"○",""))</f>
        <v/>
      </c>
      <c r="M35" s="15">
        <f>IF(L35="○",A35,"")</f>
        <v/>
      </c>
      <c r="N35" s="15">
        <f>IF(OR(J35="",L35&lt;&gt;"○"),"",IF(COUNTIFS(J$6:J35,J35,L$6:L35,"○")=1,"○",""))</f>
        <v/>
      </c>
      <c r="P35" s="19" t="n"/>
      <c r="Q35" s="19" t="n"/>
      <c r="R35" s="19" t="n"/>
      <c r="S35" s="19" t="n"/>
    </row>
    <row r="36">
      <c r="A36" s="19" t="inlineStr">
        <is>
          <t>秀豊</t>
        </is>
      </c>
      <c r="B36" s="19" t="n"/>
      <c r="C36" s="19" t="n"/>
      <c r="D36" s="19" t="inlineStr">
        <is>
          <t>タグ</t>
        </is>
      </c>
      <c r="E36" s="19" t="inlineStr">
        <is>
          <t>未確認</t>
        </is>
      </c>
      <c r="F36" s="25" t="n"/>
      <c r="G36" s="25" t="n"/>
      <c r="H36" s="19" t="inlineStr">
        <is>
          <t>元帳R7年度（秀豊丸と同一船かは未確認）</t>
        </is>
      </c>
      <c r="I36" s="19" t="inlineStr">
        <is>
          <t>要確認（正式船名・会社）</t>
        </is>
      </c>
      <c r="J36" s="15">
        <f>IF(A36="","",IF(B36="",A36,B36))</f>
        <v/>
      </c>
      <c r="K36" s="15">
        <f>IF(A36="","",IF(C36="","未確認",IFERROR(INDEX($Q$6:$Q$45,MATCH(C36,$P$6:$P$45,0)),"未確認")))</f>
        <v/>
      </c>
      <c r="L36" s="15">
        <f>IF(A36="","",IF(AND(OR(F36="",F36&lt;=集計!$C$5),OR(G36="",G36&gt;=集計!$C$5)),"○",""))</f>
        <v/>
      </c>
      <c r="M36" s="15">
        <f>IF(L36="○",A36,"")</f>
        <v/>
      </c>
      <c r="N36" s="15">
        <f>IF(OR(J36="",L36&lt;&gt;"○"),"",IF(COUNTIFS(J$6:J36,J36,L$6:L36,"○")=1,"○",""))</f>
        <v/>
      </c>
      <c r="P36" s="19" t="n"/>
      <c r="Q36" s="19" t="n"/>
      <c r="R36" s="19" t="n"/>
      <c r="S36" s="19" t="n"/>
    </row>
    <row r="37">
      <c r="A37" s="19" t="inlineStr">
        <is>
          <t>秀豊丸</t>
        </is>
      </c>
      <c r="B37" s="19" t="n"/>
      <c r="C37" s="19" t="n"/>
      <c r="D37" s="19" t="inlineStr">
        <is>
          <t>タグ</t>
        </is>
      </c>
      <c r="E37" s="19" t="inlineStr">
        <is>
          <t>未確認</t>
        </is>
      </c>
      <c r="F37" s="25" t="n"/>
      <c r="G37" s="25" t="n"/>
      <c r="H37" s="19" t="inlineStr">
        <is>
          <t>元帳R7年度（秀豊と同一船かは未確認）</t>
        </is>
      </c>
      <c r="I37" s="19" t="inlineStr">
        <is>
          <t>要確認（正式船名・会社）</t>
        </is>
      </c>
      <c r="J37" s="15">
        <f>IF(A37="","",IF(B37="",A37,B37))</f>
        <v/>
      </c>
      <c r="K37" s="15">
        <f>IF(A37="","",IF(C37="","未確認",IFERROR(INDEX($Q$6:$Q$45,MATCH(C37,$P$6:$P$45,0)),"未確認")))</f>
        <v/>
      </c>
      <c r="L37" s="15">
        <f>IF(A37="","",IF(AND(OR(F37="",F37&lt;=集計!$C$5),OR(G37="",G37&gt;=集計!$C$5)),"○",""))</f>
        <v/>
      </c>
      <c r="M37" s="15">
        <f>IF(L37="○",A37,"")</f>
        <v/>
      </c>
      <c r="N37" s="15">
        <f>IF(OR(J37="",L37&lt;&gt;"○"),"",IF(COUNTIFS(J$6:J37,J37,L$6:L37,"○")=1,"○",""))</f>
        <v/>
      </c>
      <c r="P37" s="19" t="n"/>
      <c r="Q37" s="19" t="n"/>
      <c r="R37" s="19" t="n"/>
      <c r="S37" s="19" t="n"/>
    </row>
    <row r="38">
      <c r="A38" s="19" t="inlineStr">
        <is>
          <t>まんじゅ</t>
        </is>
      </c>
      <c r="B38" s="19" t="n"/>
      <c r="C38" s="19" t="n"/>
      <c r="D38" s="19" t="inlineStr">
        <is>
          <t>未確認</t>
        </is>
      </c>
      <c r="E38" s="19" t="inlineStr">
        <is>
          <t>未確認</t>
        </is>
      </c>
      <c r="F38" s="25" t="n"/>
      <c r="G38" s="25" t="n"/>
      <c r="H38" s="19" t="inlineStr">
        <is>
          <t>元帳R7年度。LNGエスコートのみ・時刻空欄。既存集計では除外とみられる</t>
        </is>
      </c>
      <c r="I38" s="19" t="inlineStr">
        <is>
          <t>要確認（種類・会社）</t>
        </is>
      </c>
      <c r="J38" s="15">
        <f>IF(A38="","",IF(B38="",A38,B38))</f>
        <v/>
      </c>
      <c r="K38" s="15">
        <f>IF(A38="","",IF(C38="","未確認",IFERROR(INDEX($Q$6:$Q$45,MATCH(C38,$P$6:$P$45,0)),"未確認")))</f>
        <v/>
      </c>
      <c r="L38" s="15">
        <f>IF(A38="","",IF(AND(OR(F38="",F38&lt;=集計!$C$5),OR(G38="",G38&gt;=集計!$C$5)),"○",""))</f>
        <v/>
      </c>
      <c r="M38" s="15">
        <f>IF(L38="○",A38,"")</f>
        <v/>
      </c>
      <c r="N38" s="15">
        <f>IF(OR(J38="",L38&lt;&gt;"○"),"",IF(COUNTIFS(J$6:J38,J38,L$6:L38,"○")=1,"○",""))</f>
        <v/>
      </c>
      <c r="P38" s="19" t="n"/>
      <c r="Q38" s="19" t="n"/>
      <c r="R38" s="19" t="n"/>
      <c r="S38" s="19" t="n"/>
    </row>
    <row r="39">
      <c r="A39" s="19" t="inlineStr">
        <is>
          <t>せいじゅ</t>
        </is>
      </c>
      <c r="B39" s="19" t="n"/>
      <c r="C39" s="19" t="n"/>
      <c r="D39" s="19" t="inlineStr">
        <is>
          <t>未確認</t>
        </is>
      </c>
      <c r="E39" s="19" t="inlineStr">
        <is>
          <t>未確認</t>
        </is>
      </c>
      <c r="F39" s="25" t="n"/>
      <c r="G39" s="25" t="n"/>
      <c r="H39" s="19" t="inlineStr">
        <is>
          <t>元帳R7年度。LNGエスコートのみ・時刻空欄。既存集計では除外とみられる</t>
        </is>
      </c>
      <c r="I39" s="19" t="inlineStr">
        <is>
          <t>要確認（種類・会社）</t>
        </is>
      </c>
      <c r="J39" s="15">
        <f>IF(A39="","",IF(B39="",A39,B39))</f>
        <v/>
      </c>
      <c r="K39" s="15">
        <f>IF(A39="","",IF(C39="","未確認",IFERROR(INDEX($Q$6:$Q$45,MATCH(C39,$P$6:$P$45,0)),"未確認")))</f>
        <v/>
      </c>
      <c r="L39" s="15">
        <f>IF(A39="","",IF(AND(OR(F39="",F39&lt;=集計!$C$5),OR(G39="",G39&gt;=集計!$C$5)),"○",""))</f>
        <v/>
      </c>
      <c r="M39" s="15">
        <f>IF(L39="○",A39,"")</f>
        <v/>
      </c>
      <c r="N39" s="15">
        <f>IF(OR(J39="",L39&lt;&gt;"○"),"",IF(COUNTIFS(J$6:J39,J39,L$6:L39,"○")=1,"○",""))</f>
        <v/>
      </c>
      <c r="P39" s="19" t="n"/>
      <c r="Q39" s="19" t="n"/>
      <c r="R39" s="19" t="n"/>
      <c r="S39" s="19" t="n"/>
    </row>
    <row r="40">
      <c r="A40" s="19" t="n"/>
      <c r="B40" s="19" t="n"/>
      <c r="C40" s="19" t="n"/>
      <c r="D40" s="19" t="n"/>
      <c r="E40" s="19" t="n"/>
      <c r="F40" s="25" t="n"/>
      <c r="G40" s="25" t="n"/>
      <c r="H40" s="19" t="n"/>
      <c r="I40" s="19" t="n"/>
      <c r="J40" s="15">
        <f>IF(A40="","",IF(B40="",A40,B40))</f>
        <v/>
      </c>
      <c r="K40" s="15">
        <f>IF(A40="","",IF(C40="","未確認",IFERROR(INDEX($Q$6:$Q$45,MATCH(C40,$P$6:$P$45,0)),"未確認")))</f>
        <v/>
      </c>
      <c r="L40" s="15">
        <f>IF(A40="","",IF(AND(OR(F40="",F40&lt;=集計!$C$5),OR(G40="",G40&gt;=集計!$C$5)),"○",""))</f>
        <v/>
      </c>
      <c r="M40" s="15">
        <f>IF(L40="○",A40,"")</f>
        <v/>
      </c>
      <c r="N40" s="15">
        <f>IF(OR(J40="",L40&lt;&gt;"○"),"",IF(COUNTIFS(J$6:J40,J40,L$6:L40,"○")=1,"○",""))</f>
        <v/>
      </c>
      <c r="P40" s="19" t="n"/>
      <c r="Q40" s="19" t="n"/>
      <c r="R40" s="19" t="n"/>
      <c r="S40" s="19" t="n"/>
    </row>
    <row r="41">
      <c r="A41" s="19" t="n"/>
      <c r="B41" s="19" t="n"/>
      <c r="C41" s="19" t="n"/>
      <c r="D41" s="19" t="n"/>
      <c r="E41" s="19" t="n"/>
      <c r="F41" s="25" t="n"/>
      <c r="G41" s="25" t="n"/>
      <c r="H41" s="19" t="n"/>
      <c r="I41" s="19" t="n"/>
      <c r="J41" s="15">
        <f>IF(A41="","",IF(B41="",A41,B41))</f>
        <v/>
      </c>
      <c r="K41" s="15">
        <f>IF(A41="","",IF(C41="","未確認",IFERROR(INDEX($Q$6:$Q$45,MATCH(C41,$P$6:$P$45,0)),"未確認")))</f>
        <v/>
      </c>
      <c r="L41" s="15">
        <f>IF(A41="","",IF(AND(OR(F41="",F41&lt;=集計!$C$5),OR(G41="",G41&gt;=集計!$C$5)),"○",""))</f>
        <v/>
      </c>
      <c r="M41" s="15">
        <f>IF(L41="○",A41,"")</f>
        <v/>
      </c>
      <c r="N41" s="15">
        <f>IF(OR(J41="",L41&lt;&gt;"○"),"",IF(COUNTIFS(J$6:J41,J41,L$6:L41,"○")=1,"○",""))</f>
        <v/>
      </c>
      <c r="P41" s="19" t="n"/>
      <c r="Q41" s="19" t="n"/>
      <c r="R41" s="19" t="n"/>
      <c r="S41" s="19" t="n"/>
    </row>
    <row r="42">
      <c r="A42" s="19" t="n"/>
      <c r="B42" s="19" t="n"/>
      <c r="C42" s="19" t="n"/>
      <c r="D42" s="19" t="n"/>
      <c r="E42" s="19" t="n"/>
      <c r="F42" s="25" t="n"/>
      <c r="G42" s="25" t="n"/>
      <c r="H42" s="19" t="n"/>
      <c r="I42" s="19" t="n"/>
      <c r="J42" s="15">
        <f>IF(A42="","",IF(B42="",A42,B42))</f>
        <v/>
      </c>
      <c r="K42" s="15">
        <f>IF(A42="","",IF(C42="","未確認",IFERROR(INDEX($Q$6:$Q$45,MATCH(C42,$P$6:$P$45,0)),"未確認")))</f>
        <v/>
      </c>
      <c r="L42" s="15">
        <f>IF(A42="","",IF(AND(OR(F42="",F42&lt;=集計!$C$5),OR(G42="",G42&gt;=集計!$C$5)),"○",""))</f>
        <v/>
      </c>
      <c r="M42" s="15">
        <f>IF(L42="○",A42,"")</f>
        <v/>
      </c>
      <c r="N42" s="15">
        <f>IF(OR(J42="",L42&lt;&gt;"○"),"",IF(COUNTIFS(J$6:J42,J42,L$6:L42,"○")=1,"○",""))</f>
        <v/>
      </c>
      <c r="P42" s="19" t="n"/>
      <c r="Q42" s="19" t="n"/>
      <c r="R42" s="19" t="n"/>
      <c r="S42" s="19" t="n"/>
    </row>
    <row r="43">
      <c r="A43" s="19" t="n"/>
      <c r="B43" s="19" t="n"/>
      <c r="C43" s="19" t="n"/>
      <c r="D43" s="19" t="n"/>
      <c r="E43" s="19" t="n"/>
      <c r="F43" s="25" t="n"/>
      <c r="G43" s="25" t="n"/>
      <c r="H43" s="19" t="n"/>
      <c r="I43" s="19" t="n"/>
      <c r="J43" s="15">
        <f>IF(A43="","",IF(B43="",A43,B43))</f>
        <v/>
      </c>
      <c r="K43" s="15">
        <f>IF(A43="","",IF(C43="","未確認",IFERROR(INDEX($Q$6:$Q$45,MATCH(C43,$P$6:$P$45,0)),"未確認")))</f>
        <v/>
      </c>
      <c r="L43" s="15">
        <f>IF(A43="","",IF(AND(OR(F43="",F43&lt;=集計!$C$5),OR(G43="",G43&gt;=集計!$C$5)),"○",""))</f>
        <v/>
      </c>
      <c r="M43" s="15">
        <f>IF(L43="○",A43,"")</f>
        <v/>
      </c>
      <c r="N43" s="15">
        <f>IF(OR(J43="",L43&lt;&gt;"○"),"",IF(COUNTIFS(J$6:J43,J43,L$6:L43,"○")=1,"○",""))</f>
        <v/>
      </c>
      <c r="P43" s="19" t="n"/>
      <c r="Q43" s="19" t="n"/>
      <c r="R43" s="19" t="n"/>
      <c r="S43" s="19" t="n"/>
    </row>
    <row r="44">
      <c r="A44" s="19" t="n"/>
      <c r="B44" s="19" t="n"/>
      <c r="C44" s="19" t="n"/>
      <c r="D44" s="19" t="n"/>
      <c r="E44" s="19" t="n"/>
      <c r="F44" s="25" t="n"/>
      <c r="G44" s="25" t="n"/>
      <c r="H44" s="19" t="n"/>
      <c r="I44" s="19" t="n"/>
      <c r="J44" s="15">
        <f>IF(A44="","",IF(B44="",A44,B44))</f>
        <v/>
      </c>
      <c r="K44" s="15">
        <f>IF(A44="","",IF(C44="","未確認",IFERROR(INDEX($Q$6:$Q$45,MATCH(C44,$P$6:$P$45,0)),"未確認")))</f>
        <v/>
      </c>
      <c r="L44" s="15">
        <f>IF(A44="","",IF(AND(OR(F44="",F44&lt;=集計!$C$5),OR(G44="",G44&gt;=集計!$C$5)),"○",""))</f>
        <v/>
      </c>
      <c r="M44" s="15">
        <f>IF(L44="○",A44,"")</f>
        <v/>
      </c>
      <c r="N44" s="15">
        <f>IF(OR(J44="",L44&lt;&gt;"○"),"",IF(COUNTIFS(J$6:J44,J44,L$6:L44,"○")=1,"○",""))</f>
        <v/>
      </c>
      <c r="P44" s="19" t="n"/>
      <c r="Q44" s="19" t="n"/>
      <c r="R44" s="19" t="n"/>
      <c r="S44" s="19" t="n"/>
    </row>
    <row r="45">
      <c r="A45" s="19" t="n"/>
      <c r="B45" s="19" t="n"/>
      <c r="C45" s="19" t="n"/>
      <c r="D45" s="19" t="n"/>
      <c r="E45" s="19" t="n"/>
      <c r="F45" s="25" t="n"/>
      <c r="G45" s="25" t="n"/>
      <c r="H45" s="19" t="n"/>
      <c r="I45" s="19" t="n"/>
      <c r="J45" s="15">
        <f>IF(A45="","",IF(B45="",A45,B45))</f>
        <v/>
      </c>
      <c r="K45" s="15">
        <f>IF(A45="","",IF(C45="","未確認",IFERROR(INDEX($Q$6:$Q$45,MATCH(C45,$P$6:$P$45,0)),"未確認")))</f>
        <v/>
      </c>
      <c r="L45" s="15">
        <f>IF(A45="","",IF(AND(OR(F45="",F45&lt;=集計!$C$5),OR(G45="",G45&gt;=集計!$C$5)),"○",""))</f>
        <v/>
      </c>
      <c r="M45" s="15">
        <f>IF(L45="○",A45,"")</f>
        <v/>
      </c>
      <c r="N45" s="15">
        <f>IF(OR(J45="",L45&lt;&gt;"○"),"",IF(COUNTIFS(J$6:J45,J45,L$6:L45,"○")=1,"○",""))</f>
        <v/>
      </c>
      <c r="P45" s="19" t="n"/>
      <c r="Q45" s="19" t="n"/>
      <c r="R45" s="19" t="n"/>
      <c r="S45" s="19" t="n"/>
    </row>
    <row r="46">
      <c r="A46" s="19" t="n"/>
      <c r="B46" s="19" t="n"/>
      <c r="C46" s="19" t="n"/>
      <c r="D46" s="19" t="n"/>
      <c r="E46" s="19" t="n"/>
      <c r="F46" s="25" t="n"/>
      <c r="G46" s="25" t="n"/>
      <c r="H46" s="19" t="n"/>
      <c r="I46" s="19" t="n"/>
      <c r="J46" s="15">
        <f>IF(A46="","",IF(B46="",A46,B46))</f>
        <v/>
      </c>
      <c r="K46" s="15">
        <f>IF(A46="","",IF(C46="","未確認",IFERROR(INDEX($Q$6:$Q$45,MATCH(C46,$P$6:$P$45,0)),"未確認")))</f>
        <v/>
      </c>
      <c r="L46" s="15">
        <f>IF(A46="","",IF(AND(OR(F46="",F46&lt;=集計!$C$5),OR(G46="",G46&gt;=集計!$C$5)),"○",""))</f>
        <v/>
      </c>
      <c r="M46" s="15">
        <f>IF(L46="○",A46,"")</f>
        <v/>
      </c>
      <c r="N46" s="15">
        <f>IF(OR(J46="",L46&lt;&gt;"○"),"",IF(COUNTIFS(J$6:J46,J46,L$6:L46,"○")=1,"○",""))</f>
        <v/>
      </c>
    </row>
    <row r="47">
      <c r="A47" s="19" t="n"/>
      <c r="B47" s="19" t="n"/>
      <c r="C47" s="19" t="n"/>
      <c r="D47" s="19" t="n"/>
      <c r="E47" s="19" t="n"/>
      <c r="F47" s="25" t="n"/>
      <c r="G47" s="25" t="n"/>
      <c r="H47" s="19" t="n"/>
      <c r="I47" s="19" t="n"/>
      <c r="J47" s="15">
        <f>IF(A47="","",IF(B47="",A47,B47))</f>
        <v/>
      </c>
      <c r="K47" s="15">
        <f>IF(A47="","",IF(C47="","未確認",IFERROR(INDEX($Q$6:$Q$45,MATCH(C47,$P$6:$P$45,0)),"未確認")))</f>
        <v/>
      </c>
      <c r="L47" s="15">
        <f>IF(A47="","",IF(AND(OR(F47="",F47&lt;=集計!$C$5),OR(G47="",G47&gt;=集計!$C$5)),"○",""))</f>
        <v/>
      </c>
      <c r="M47" s="15">
        <f>IF(L47="○",A47,"")</f>
        <v/>
      </c>
      <c r="N47" s="15">
        <f>IF(OR(J47="",L47&lt;&gt;"○"),"",IF(COUNTIFS(J$6:J47,J47,L$6:L47,"○")=1,"○",""))</f>
        <v/>
      </c>
    </row>
    <row r="48">
      <c r="A48" s="19" t="n"/>
      <c r="B48" s="19" t="n"/>
      <c r="C48" s="19" t="n"/>
      <c r="D48" s="19" t="n"/>
      <c r="E48" s="19" t="n"/>
      <c r="F48" s="25" t="n"/>
      <c r="G48" s="25" t="n"/>
      <c r="H48" s="19" t="n"/>
      <c r="I48" s="19" t="n"/>
      <c r="J48" s="15">
        <f>IF(A48="","",IF(B48="",A48,B48))</f>
        <v/>
      </c>
      <c r="K48" s="15">
        <f>IF(A48="","",IF(C48="","未確認",IFERROR(INDEX($Q$6:$Q$45,MATCH(C48,$P$6:$P$45,0)),"未確認")))</f>
        <v/>
      </c>
      <c r="L48" s="15">
        <f>IF(A48="","",IF(AND(OR(F48="",F48&lt;=集計!$C$5),OR(G48="",G48&gt;=集計!$C$5)),"○",""))</f>
        <v/>
      </c>
      <c r="M48" s="15">
        <f>IF(L48="○",A48,"")</f>
        <v/>
      </c>
      <c r="N48" s="15">
        <f>IF(OR(J48="",L48&lt;&gt;"○"),"",IF(COUNTIFS(J$6:J48,J48,L$6:L48,"○")=1,"○",""))</f>
        <v/>
      </c>
    </row>
    <row r="49">
      <c r="A49" s="19" t="n"/>
      <c r="B49" s="19" t="n"/>
      <c r="C49" s="19" t="n"/>
      <c r="D49" s="19" t="n"/>
      <c r="E49" s="19" t="n"/>
      <c r="F49" s="25" t="n"/>
      <c r="G49" s="25" t="n"/>
      <c r="H49" s="19" t="n"/>
      <c r="I49" s="19" t="n"/>
      <c r="J49" s="15">
        <f>IF(A49="","",IF(B49="",A49,B49))</f>
        <v/>
      </c>
      <c r="K49" s="15">
        <f>IF(A49="","",IF(C49="","未確認",IFERROR(INDEX($Q$6:$Q$45,MATCH(C49,$P$6:$P$45,0)),"未確認")))</f>
        <v/>
      </c>
      <c r="L49" s="15">
        <f>IF(A49="","",IF(AND(OR(F49="",F49&lt;=集計!$C$5),OR(G49="",G49&gt;=集計!$C$5)),"○",""))</f>
        <v/>
      </c>
      <c r="M49" s="15">
        <f>IF(L49="○",A49,"")</f>
        <v/>
      </c>
      <c r="N49" s="15">
        <f>IF(OR(J49="",L49&lt;&gt;"○"),"",IF(COUNTIFS(J$6:J49,J49,L$6:L49,"○")=1,"○",""))</f>
        <v/>
      </c>
    </row>
    <row r="50">
      <c r="A50" s="19" t="n"/>
      <c r="B50" s="19" t="n"/>
      <c r="C50" s="19" t="n"/>
      <c r="D50" s="19" t="n"/>
      <c r="E50" s="19" t="n"/>
      <c r="F50" s="25" t="n"/>
      <c r="G50" s="25" t="n"/>
      <c r="H50" s="19" t="n"/>
      <c r="I50" s="19" t="n"/>
      <c r="J50" s="15">
        <f>IF(A50="","",IF(B50="",A50,B50))</f>
        <v/>
      </c>
      <c r="K50" s="15">
        <f>IF(A50="","",IF(C50="","未確認",IFERROR(INDEX($Q$6:$Q$45,MATCH(C50,$P$6:$P$45,0)),"未確認")))</f>
        <v/>
      </c>
      <c r="L50" s="15">
        <f>IF(A50="","",IF(AND(OR(F50="",F50&lt;=集計!$C$5),OR(G50="",G50&gt;=集計!$C$5)),"○",""))</f>
        <v/>
      </c>
      <c r="M50" s="15">
        <f>IF(L50="○",A50,"")</f>
        <v/>
      </c>
      <c r="N50" s="15">
        <f>IF(OR(J50="",L50&lt;&gt;"○"),"",IF(COUNTIFS(J$6:J50,J50,L$6:L50,"○")=1,"○",""))</f>
        <v/>
      </c>
    </row>
    <row r="51">
      <c r="A51" s="19" t="n"/>
      <c r="B51" s="19" t="n"/>
      <c r="C51" s="19" t="n"/>
      <c r="D51" s="19" t="n"/>
      <c r="E51" s="19" t="n"/>
      <c r="F51" s="25" t="n"/>
      <c r="G51" s="25" t="n"/>
      <c r="H51" s="19" t="n"/>
      <c r="I51" s="19" t="n"/>
      <c r="J51" s="15">
        <f>IF(A51="","",IF(B51="",A51,B51))</f>
        <v/>
      </c>
      <c r="K51" s="15">
        <f>IF(A51="","",IF(C51="","未確認",IFERROR(INDEX($Q$6:$Q$45,MATCH(C51,$P$6:$P$45,0)),"未確認")))</f>
        <v/>
      </c>
      <c r="L51" s="15">
        <f>IF(A51="","",IF(AND(OR(F51="",F51&lt;=集計!$C$5),OR(G51="",G51&gt;=集計!$C$5)),"○",""))</f>
        <v/>
      </c>
      <c r="M51" s="15">
        <f>IF(L51="○",A51,"")</f>
        <v/>
      </c>
      <c r="N51" s="15">
        <f>IF(OR(J51="",L51&lt;&gt;"○"),"",IF(COUNTIFS(J$6:J51,J51,L$6:L51,"○")=1,"○",""))</f>
        <v/>
      </c>
    </row>
    <row r="52">
      <c r="A52" s="19" t="n"/>
      <c r="B52" s="19" t="n"/>
      <c r="C52" s="19" t="n"/>
      <c r="D52" s="19" t="n"/>
      <c r="E52" s="19" t="n"/>
      <c r="F52" s="25" t="n"/>
      <c r="G52" s="25" t="n"/>
      <c r="H52" s="19" t="n"/>
      <c r="I52" s="19" t="n"/>
      <c r="J52" s="15">
        <f>IF(A52="","",IF(B52="",A52,B52))</f>
        <v/>
      </c>
      <c r="K52" s="15">
        <f>IF(A52="","",IF(C52="","未確認",IFERROR(INDEX($Q$6:$Q$45,MATCH(C52,$P$6:$P$45,0)),"未確認")))</f>
        <v/>
      </c>
      <c r="L52" s="15">
        <f>IF(A52="","",IF(AND(OR(F52="",F52&lt;=集計!$C$5),OR(G52="",G52&gt;=集計!$C$5)),"○",""))</f>
        <v/>
      </c>
      <c r="M52" s="15">
        <f>IF(L52="○",A52,"")</f>
        <v/>
      </c>
      <c r="N52" s="15">
        <f>IF(OR(J52="",L52&lt;&gt;"○"),"",IF(COUNTIFS(J$6:J52,J52,L$6:L52,"○")=1,"○",""))</f>
        <v/>
      </c>
    </row>
    <row r="53">
      <c r="A53" s="19" t="n"/>
      <c r="B53" s="19" t="n"/>
      <c r="C53" s="19" t="n"/>
      <c r="D53" s="19" t="n"/>
      <c r="E53" s="19" t="n"/>
      <c r="F53" s="25" t="n"/>
      <c r="G53" s="25" t="n"/>
      <c r="H53" s="19" t="n"/>
      <c r="I53" s="19" t="n"/>
      <c r="J53" s="15">
        <f>IF(A53="","",IF(B53="",A53,B53))</f>
        <v/>
      </c>
      <c r="K53" s="15">
        <f>IF(A53="","",IF(C53="","未確認",IFERROR(INDEX($Q$6:$Q$45,MATCH(C53,$P$6:$P$45,0)),"未確認")))</f>
        <v/>
      </c>
      <c r="L53" s="15">
        <f>IF(A53="","",IF(AND(OR(F53="",F53&lt;=集計!$C$5),OR(G53="",G53&gt;=集計!$C$5)),"○",""))</f>
        <v/>
      </c>
      <c r="M53" s="15">
        <f>IF(L53="○",A53,"")</f>
        <v/>
      </c>
      <c r="N53" s="15">
        <f>IF(OR(J53="",L53&lt;&gt;"○"),"",IF(COUNTIFS(J$6:J53,J53,L$6:L53,"○")=1,"○",""))</f>
        <v/>
      </c>
    </row>
    <row r="54">
      <c r="A54" s="19" t="n"/>
      <c r="B54" s="19" t="n"/>
      <c r="C54" s="19" t="n"/>
      <c r="D54" s="19" t="n"/>
      <c r="E54" s="19" t="n"/>
      <c r="F54" s="25" t="n"/>
      <c r="G54" s="25" t="n"/>
      <c r="H54" s="19" t="n"/>
      <c r="I54" s="19" t="n"/>
      <c r="J54" s="15">
        <f>IF(A54="","",IF(B54="",A54,B54))</f>
        <v/>
      </c>
      <c r="K54" s="15">
        <f>IF(A54="","",IF(C54="","未確認",IFERROR(INDEX($Q$6:$Q$45,MATCH(C54,$P$6:$P$45,0)),"未確認")))</f>
        <v/>
      </c>
      <c r="L54" s="15">
        <f>IF(A54="","",IF(AND(OR(F54="",F54&lt;=集計!$C$5),OR(G54="",G54&gt;=集計!$C$5)),"○",""))</f>
        <v/>
      </c>
      <c r="M54" s="15">
        <f>IF(L54="○",A54,"")</f>
        <v/>
      </c>
      <c r="N54" s="15">
        <f>IF(OR(J54="",L54&lt;&gt;"○"),"",IF(COUNTIFS(J$6:J54,J54,L$6:L54,"○")=1,"○",""))</f>
        <v/>
      </c>
    </row>
    <row r="55">
      <c r="A55" s="19" t="n"/>
      <c r="B55" s="19" t="n"/>
      <c r="C55" s="19" t="n"/>
      <c r="D55" s="19" t="n"/>
      <c r="E55" s="19" t="n"/>
      <c r="F55" s="25" t="n"/>
      <c r="G55" s="25" t="n"/>
      <c r="H55" s="19" t="n"/>
      <c r="I55" s="19" t="n"/>
      <c r="J55" s="15">
        <f>IF(A55="","",IF(B55="",A55,B55))</f>
        <v/>
      </c>
      <c r="K55" s="15">
        <f>IF(A55="","",IF(C55="","未確認",IFERROR(INDEX($Q$6:$Q$45,MATCH(C55,$P$6:$P$45,0)),"未確認")))</f>
        <v/>
      </c>
      <c r="L55" s="15">
        <f>IF(A55="","",IF(AND(OR(F55="",F55&lt;=集計!$C$5),OR(G55="",G55&gt;=集計!$C$5)),"○",""))</f>
        <v/>
      </c>
      <c r="M55" s="15">
        <f>IF(L55="○",A55,"")</f>
        <v/>
      </c>
      <c r="N55" s="15">
        <f>IF(OR(J55="",L55&lt;&gt;"○"),"",IF(COUNTIFS(J$6:J55,J55,L$6:L55,"○")=1,"○",""))</f>
        <v/>
      </c>
    </row>
    <row r="56">
      <c r="A56" s="19" t="n"/>
      <c r="B56" s="19" t="n"/>
      <c r="C56" s="19" t="n"/>
      <c r="D56" s="19" t="n"/>
      <c r="E56" s="19" t="n"/>
      <c r="F56" s="25" t="n"/>
      <c r="G56" s="25" t="n"/>
      <c r="H56" s="19" t="n"/>
      <c r="I56" s="19" t="n"/>
      <c r="J56" s="15">
        <f>IF(A56="","",IF(B56="",A56,B56))</f>
        <v/>
      </c>
      <c r="K56" s="15">
        <f>IF(A56="","",IF(C56="","未確認",IFERROR(INDEX($Q$6:$Q$45,MATCH(C56,$P$6:$P$45,0)),"未確認")))</f>
        <v/>
      </c>
      <c r="L56" s="15">
        <f>IF(A56="","",IF(AND(OR(F56="",F56&lt;=集計!$C$5),OR(G56="",G56&gt;=集計!$C$5)),"○",""))</f>
        <v/>
      </c>
      <c r="M56" s="15">
        <f>IF(L56="○",A56,"")</f>
        <v/>
      </c>
      <c r="N56" s="15">
        <f>IF(OR(J56="",L56&lt;&gt;"○"),"",IF(COUNTIFS(J$6:J56,J56,L$6:L56,"○")=1,"○",""))</f>
        <v/>
      </c>
    </row>
    <row r="57">
      <c r="A57" s="19" t="n"/>
      <c r="B57" s="19" t="n"/>
      <c r="C57" s="19" t="n"/>
      <c r="D57" s="19" t="n"/>
      <c r="E57" s="19" t="n"/>
      <c r="F57" s="25" t="n"/>
      <c r="G57" s="25" t="n"/>
      <c r="H57" s="19" t="n"/>
      <c r="I57" s="19" t="n"/>
      <c r="J57" s="15">
        <f>IF(A57="","",IF(B57="",A57,B57))</f>
        <v/>
      </c>
      <c r="K57" s="15">
        <f>IF(A57="","",IF(C57="","未確認",IFERROR(INDEX($Q$6:$Q$45,MATCH(C57,$P$6:$P$45,0)),"未確認")))</f>
        <v/>
      </c>
      <c r="L57" s="15">
        <f>IF(A57="","",IF(AND(OR(F57="",F57&lt;=集計!$C$5),OR(G57="",G57&gt;=集計!$C$5)),"○",""))</f>
        <v/>
      </c>
      <c r="M57" s="15">
        <f>IF(L57="○",A57,"")</f>
        <v/>
      </c>
      <c r="N57" s="15">
        <f>IF(OR(J57="",L57&lt;&gt;"○"),"",IF(COUNTIFS(J$6:J57,J57,L$6:L57,"○")=1,"○",""))</f>
        <v/>
      </c>
    </row>
    <row r="58">
      <c r="A58" s="19" t="n"/>
      <c r="B58" s="19" t="n"/>
      <c r="C58" s="19" t="n"/>
      <c r="D58" s="19" t="n"/>
      <c r="E58" s="19" t="n"/>
      <c r="F58" s="25" t="n"/>
      <c r="G58" s="25" t="n"/>
      <c r="H58" s="19" t="n"/>
      <c r="I58" s="19" t="n"/>
      <c r="J58" s="15">
        <f>IF(A58="","",IF(B58="",A58,B58))</f>
        <v/>
      </c>
      <c r="K58" s="15">
        <f>IF(A58="","",IF(C58="","未確認",IFERROR(INDEX($Q$6:$Q$45,MATCH(C58,$P$6:$P$45,0)),"未確認")))</f>
        <v/>
      </c>
      <c r="L58" s="15">
        <f>IF(A58="","",IF(AND(OR(F58="",F58&lt;=集計!$C$5),OR(G58="",G58&gt;=集計!$C$5)),"○",""))</f>
        <v/>
      </c>
      <c r="M58" s="15">
        <f>IF(L58="○",A58,"")</f>
        <v/>
      </c>
      <c r="N58" s="15">
        <f>IF(OR(J58="",L58&lt;&gt;"○"),"",IF(COUNTIFS(J$6:J58,J58,L$6:L58,"○")=1,"○",""))</f>
        <v/>
      </c>
    </row>
    <row r="59">
      <c r="A59" s="19" t="n"/>
      <c r="B59" s="19" t="n"/>
      <c r="C59" s="19" t="n"/>
      <c r="D59" s="19" t="n"/>
      <c r="E59" s="19" t="n"/>
      <c r="F59" s="25" t="n"/>
      <c r="G59" s="25" t="n"/>
      <c r="H59" s="19" t="n"/>
      <c r="I59" s="19" t="n"/>
      <c r="J59" s="15">
        <f>IF(A59="","",IF(B59="",A59,B59))</f>
        <v/>
      </c>
      <c r="K59" s="15">
        <f>IF(A59="","",IF(C59="","未確認",IFERROR(INDEX($Q$6:$Q$45,MATCH(C59,$P$6:$P$45,0)),"未確認")))</f>
        <v/>
      </c>
      <c r="L59" s="15">
        <f>IF(A59="","",IF(AND(OR(F59="",F59&lt;=集計!$C$5),OR(G59="",G59&gt;=集計!$C$5)),"○",""))</f>
        <v/>
      </c>
      <c r="M59" s="15">
        <f>IF(L59="○",A59,"")</f>
        <v/>
      </c>
      <c r="N59" s="15">
        <f>IF(OR(J59="",L59&lt;&gt;"○"),"",IF(COUNTIFS(J$6:J59,J59,L$6:L59,"○")=1,"○",""))</f>
        <v/>
      </c>
    </row>
    <row r="60">
      <c r="A60" s="19" t="n"/>
      <c r="B60" s="19" t="n"/>
      <c r="C60" s="19" t="n"/>
      <c r="D60" s="19" t="n"/>
      <c r="E60" s="19" t="n"/>
      <c r="F60" s="25" t="n"/>
      <c r="G60" s="25" t="n"/>
      <c r="H60" s="19" t="n"/>
      <c r="I60" s="19" t="n"/>
      <c r="J60" s="15">
        <f>IF(A60="","",IF(B60="",A60,B60))</f>
        <v/>
      </c>
      <c r="K60" s="15">
        <f>IF(A60="","",IF(C60="","未確認",IFERROR(INDEX($Q$6:$Q$45,MATCH(C60,$P$6:$P$45,0)),"未確認")))</f>
        <v/>
      </c>
      <c r="L60" s="15">
        <f>IF(A60="","",IF(AND(OR(F60="",F60&lt;=集計!$C$5),OR(G60="",G60&gt;=集計!$C$5)),"○",""))</f>
        <v/>
      </c>
      <c r="M60" s="15">
        <f>IF(L60="○",A60,"")</f>
        <v/>
      </c>
      <c r="N60" s="15">
        <f>IF(OR(J60="",L60&lt;&gt;"○"),"",IF(COUNTIFS(J$6:J60,J60,L$6:L60,"○")=1,"○",""))</f>
        <v/>
      </c>
    </row>
    <row r="61">
      <c r="A61" s="19" t="n"/>
      <c r="B61" s="19" t="n"/>
      <c r="C61" s="19" t="n"/>
      <c r="D61" s="19" t="n"/>
      <c r="E61" s="19" t="n"/>
      <c r="F61" s="25" t="n"/>
      <c r="G61" s="25" t="n"/>
      <c r="H61" s="19" t="n"/>
      <c r="I61" s="19" t="n"/>
      <c r="J61" s="15">
        <f>IF(A61="","",IF(B61="",A61,B61))</f>
        <v/>
      </c>
      <c r="K61" s="15">
        <f>IF(A61="","",IF(C61="","未確認",IFERROR(INDEX($Q$6:$Q$45,MATCH(C61,$P$6:$P$45,0)),"未確認")))</f>
        <v/>
      </c>
      <c r="L61" s="15">
        <f>IF(A61="","",IF(AND(OR(F61="",F61&lt;=集計!$C$5),OR(G61="",G61&gt;=集計!$C$5)),"○",""))</f>
        <v/>
      </c>
      <c r="M61" s="15">
        <f>IF(L61="○",A61,"")</f>
        <v/>
      </c>
      <c r="N61" s="15">
        <f>IF(OR(J61="",L61&lt;&gt;"○"),"",IF(COUNTIFS(J$6:J61,J61,L$6:L61,"○")=1,"○",""))</f>
        <v/>
      </c>
    </row>
    <row r="62">
      <c r="A62" s="19" t="n"/>
      <c r="B62" s="19" t="n"/>
      <c r="C62" s="19" t="n"/>
      <c r="D62" s="19" t="n"/>
      <c r="E62" s="19" t="n"/>
      <c r="F62" s="25" t="n"/>
      <c r="G62" s="25" t="n"/>
      <c r="H62" s="19" t="n"/>
      <c r="I62" s="19" t="n"/>
      <c r="J62" s="15">
        <f>IF(A62="","",IF(B62="",A62,B62))</f>
        <v/>
      </c>
      <c r="K62" s="15">
        <f>IF(A62="","",IF(C62="","未確認",IFERROR(INDEX($Q$6:$Q$45,MATCH(C62,$P$6:$P$45,0)),"未確認")))</f>
        <v/>
      </c>
      <c r="L62" s="15">
        <f>IF(A62="","",IF(AND(OR(F62="",F62&lt;=集計!$C$5),OR(G62="",G62&gt;=集計!$C$5)),"○",""))</f>
        <v/>
      </c>
      <c r="M62" s="15">
        <f>IF(L62="○",A62,"")</f>
        <v/>
      </c>
      <c r="N62" s="15">
        <f>IF(OR(J62="",L62&lt;&gt;"○"),"",IF(COUNTIFS(J$6:J62,J62,L$6:L62,"○")=1,"○",""))</f>
        <v/>
      </c>
    </row>
    <row r="63">
      <c r="A63" s="19" t="n"/>
      <c r="B63" s="19" t="n"/>
      <c r="C63" s="19" t="n"/>
      <c r="D63" s="19" t="n"/>
      <c r="E63" s="19" t="n"/>
      <c r="F63" s="25" t="n"/>
      <c r="G63" s="25" t="n"/>
      <c r="H63" s="19" t="n"/>
      <c r="I63" s="19" t="n"/>
      <c r="J63" s="15">
        <f>IF(A63="","",IF(B63="",A63,B63))</f>
        <v/>
      </c>
      <c r="K63" s="15">
        <f>IF(A63="","",IF(C63="","未確認",IFERROR(INDEX($Q$6:$Q$45,MATCH(C63,$P$6:$P$45,0)),"未確認")))</f>
        <v/>
      </c>
      <c r="L63" s="15">
        <f>IF(A63="","",IF(AND(OR(F63="",F63&lt;=集計!$C$5),OR(G63="",G63&gt;=集計!$C$5)),"○",""))</f>
        <v/>
      </c>
      <c r="M63" s="15">
        <f>IF(L63="○",A63,"")</f>
        <v/>
      </c>
      <c r="N63" s="15">
        <f>IF(OR(J63="",L63&lt;&gt;"○"),"",IF(COUNTIFS(J$6:J63,J63,L$6:L63,"○")=1,"○",""))</f>
        <v/>
      </c>
    </row>
    <row r="64">
      <c r="A64" s="19" t="n"/>
      <c r="B64" s="19" t="n"/>
      <c r="C64" s="19" t="n"/>
      <c r="D64" s="19" t="n"/>
      <c r="E64" s="19" t="n"/>
      <c r="F64" s="25" t="n"/>
      <c r="G64" s="25" t="n"/>
      <c r="H64" s="19" t="n"/>
      <c r="I64" s="19" t="n"/>
      <c r="J64" s="15">
        <f>IF(A64="","",IF(B64="",A64,B64))</f>
        <v/>
      </c>
      <c r="K64" s="15">
        <f>IF(A64="","",IF(C64="","未確認",IFERROR(INDEX($Q$6:$Q$45,MATCH(C64,$P$6:$P$45,0)),"未確認")))</f>
        <v/>
      </c>
      <c r="L64" s="15">
        <f>IF(A64="","",IF(AND(OR(F64="",F64&lt;=集計!$C$5),OR(G64="",G64&gt;=集計!$C$5)),"○",""))</f>
        <v/>
      </c>
      <c r="M64" s="15">
        <f>IF(L64="○",A64,"")</f>
        <v/>
      </c>
      <c r="N64" s="15">
        <f>IF(OR(J64="",L64&lt;&gt;"○"),"",IF(COUNTIFS(J$6:J64,J64,L$6:L64,"○")=1,"○",""))</f>
        <v/>
      </c>
    </row>
    <row r="65">
      <c r="A65" s="19" t="n"/>
      <c r="B65" s="19" t="n"/>
      <c r="C65" s="19" t="n"/>
      <c r="D65" s="19" t="n"/>
      <c r="E65" s="19" t="n"/>
      <c r="F65" s="25" t="n"/>
      <c r="G65" s="25" t="n"/>
      <c r="H65" s="19" t="n"/>
      <c r="I65" s="19" t="n"/>
      <c r="J65" s="15">
        <f>IF(A65="","",IF(B65="",A65,B65))</f>
        <v/>
      </c>
      <c r="K65" s="15">
        <f>IF(A65="","",IF(C65="","未確認",IFERROR(INDEX($Q$6:$Q$45,MATCH(C65,$P$6:$P$45,0)),"未確認")))</f>
        <v/>
      </c>
      <c r="L65" s="15">
        <f>IF(A65="","",IF(AND(OR(F65="",F65&lt;=集計!$C$5),OR(G65="",G65&gt;=集計!$C$5)),"○",""))</f>
        <v/>
      </c>
      <c r="M65" s="15">
        <f>IF(L65="○",A65,"")</f>
        <v/>
      </c>
      <c r="N65" s="15">
        <f>IF(OR(J65="",L65&lt;&gt;"○"),"",IF(COUNTIFS(J$6:J65,J65,L$6:L65,"○")=1,"○",""))</f>
        <v/>
      </c>
    </row>
    <row r="66">
      <c r="A66" s="19" t="n"/>
      <c r="B66" s="19" t="n"/>
      <c r="C66" s="19" t="n"/>
      <c r="D66" s="19" t="n"/>
      <c r="E66" s="19" t="n"/>
      <c r="F66" s="25" t="n"/>
      <c r="G66" s="25" t="n"/>
      <c r="H66" s="19" t="n"/>
      <c r="I66" s="19" t="n"/>
      <c r="J66" s="15">
        <f>IF(A66="","",IF(B66="",A66,B66))</f>
        <v/>
      </c>
      <c r="K66" s="15">
        <f>IF(A66="","",IF(C66="","未確認",IFERROR(INDEX($Q$6:$Q$45,MATCH(C66,$P$6:$P$45,0)),"未確認")))</f>
        <v/>
      </c>
      <c r="L66" s="15">
        <f>IF(A66="","",IF(AND(OR(F66="",F66&lt;=集計!$C$5),OR(G66="",G66&gt;=集計!$C$5)),"○",""))</f>
        <v/>
      </c>
      <c r="M66" s="15">
        <f>IF(L66="○",A66,"")</f>
        <v/>
      </c>
      <c r="N66" s="15">
        <f>IF(OR(J66="",L66&lt;&gt;"○"),"",IF(COUNTIFS(J$6:J66,J66,L$6:L66,"○")=1,"○",""))</f>
        <v/>
      </c>
    </row>
    <row r="67">
      <c r="A67" s="19" t="n"/>
      <c r="B67" s="19" t="n"/>
      <c r="C67" s="19" t="n"/>
      <c r="D67" s="19" t="n"/>
      <c r="E67" s="19" t="n"/>
      <c r="F67" s="25" t="n"/>
      <c r="G67" s="25" t="n"/>
      <c r="H67" s="19" t="n"/>
      <c r="I67" s="19" t="n"/>
      <c r="J67" s="15">
        <f>IF(A67="","",IF(B67="",A67,B67))</f>
        <v/>
      </c>
      <c r="K67" s="15">
        <f>IF(A67="","",IF(C67="","未確認",IFERROR(INDEX($Q$6:$Q$45,MATCH(C67,$P$6:$P$45,0)),"未確認")))</f>
        <v/>
      </c>
      <c r="L67" s="15">
        <f>IF(A67="","",IF(AND(OR(F67="",F67&lt;=集計!$C$5),OR(G67="",G67&gt;=集計!$C$5)),"○",""))</f>
        <v/>
      </c>
      <c r="M67" s="15">
        <f>IF(L67="○",A67,"")</f>
        <v/>
      </c>
      <c r="N67" s="15">
        <f>IF(OR(J67="",L67&lt;&gt;"○"),"",IF(COUNTIFS(J$6:J67,J67,L$6:L67,"○")=1,"○",""))</f>
        <v/>
      </c>
    </row>
    <row r="68">
      <c r="A68" s="19" t="n"/>
      <c r="B68" s="19" t="n"/>
      <c r="C68" s="19" t="n"/>
      <c r="D68" s="19" t="n"/>
      <c r="E68" s="19" t="n"/>
      <c r="F68" s="25" t="n"/>
      <c r="G68" s="25" t="n"/>
      <c r="H68" s="19" t="n"/>
      <c r="I68" s="19" t="n"/>
      <c r="J68" s="15">
        <f>IF(A68="","",IF(B68="",A68,B68))</f>
        <v/>
      </c>
      <c r="K68" s="15">
        <f>IF(A68="","",IF(C68="","未確認",IFERROR(INDEX($Q$6:$Q$45,MATCH(C68,$P$6:$P$45,0)),"未確認")))</f>
        <v/>
      </c>
      <c r="L68" s="15">
        <f>IF(A68="","",IF(AND(OR(F68="",F68&lt;=集計!$C$5),OR(G68="",G68&gt;=集計!$C$5)),"○",""))</f>
        <v/>
      </c>
      <c r="M68" s="15">
        <f>IF(L68="○",A68,"")</f>
        <v/>
      </c>
      <c r="N68" s="15">
        <f>IF(OR(J68="",L68&lt;&gt;"○"),"",IF(COUNTIFS(J$6:J68,J68,L$6:L68,"○")=1,"○",""))</f>
        <v/>
      </c>
    </row>
    <row r="69">
      <c r="A69" s="19" t="n"/>
      <c r="B69" s="19" t="n"/>
      <c r="C69" s="19" t="n"/>
      <c r="D69" s="19" t="n"/>
      <c r="E69" s="19" t="n"/>
      <c r="F69" s="25" t="n"/>
      <c r="G69" s="25" t="n"/>
      <c r="H69" s="19" t="n"/>
      <c r="I69" s="19" t="n"/>
      <c r="J69" s="15">
        <f>IF(A69="","",IF(B69="",A69,B69))</f>
        <v/>
      </c>
      <c r="K69" s="15">
        <f>IF(A69="","",IF(C69="","未確認",IFERROR(INDEX($Q$6:$Q$45,MATCH(C69,$P$6:$P$45,0)),"未確認")))</f>
        <v/>
      </c>
      <c r="L69" s="15">
        <f>IF(A69="","",IF(AND(OR(F69="",F69&lt;=集計!$C$5),OR(G69="",G69&gt;=集計!$C$5)),"○",""))</f>
        <v/>
      </c>
      <c r="M69" s="15">
        <f>IF(L69="○",A69,"")</f>
        <v/>
      </c>
      <c r="N69" s="15">
        <f>IF(OR(J69="",L69&lt;&gt;"○"),"",IF(COUNTIFS(J$6:J69,J69,L$6:L69,"○")=1,"○",""))</f>
        <v/>
      </c>
    </row>
    <row r="70">
      <c r="A70" s="19" t="n"/>
      <c r="B70" s="19" t="n"/>
      <c r="C70" s="19" t="n"/>
      <c r="D70" s="19" t="n"/>
      <c r="E70" s="19" t="n"/>
      <c r="F70" s="25" t="n"/>
      <c r="G70" s="25" t="n"/>
      <c r="H70" s="19" t="n"/>
      <c r="I70" s="19" t="n"/>
      <c r="J70" s="15">
        <f>IF(A70="","",IF(B70="",A70,B70))</f>
        <v/>
      </c>
      <c r="K70" s="15">
        <f>IF(A70="","",IF(C70="","未確認",IFERROR(INDEX($Q$6:$Q$45,MATCH(C70,$P$6:$P$45,0)),"未確認")))</f>
        <v/>
      </c>
      <c r="L70" s="15">
        <f>IF(A70="","",IF(AND(OR(F70="",F70&lt;=集計!$C$5),OR(G70="",G70&gt;=集計!$C$5)),"○",""))</f>
        <v/>
      </c>
      <c r="M70" s="15">
        <f>IF(L70="○",A70,"")</f>
        <v/>
      </c>
      <c r="N70" s="15">
        <f>IF(OR(J70="",L70&lt;&gt;"○"),"",IF(COUNTIFS(J$6:J70,J70,L$6:L70,"○")=1,"○",""))</f>
        <v/>
      </c>
    </row>
    <row r="71">
      <c r="A71" s="19" t="n"/>
      <c r="B71" s="19" t="n"/>
      <c r="C71" s="19" t="n"/>
      <c r="D71" s="19" t="n"/>
      <c r="E71" s="19" t="n"/>
      <c r="F71" s="25" t="n"/>
      <c r="G71" s="25" t="n"/>
      <c r="H71" s="19" t="n"/>
      <c r="I71" s="19" t="n"/>
      <c r="J71" s="15">
        <f>IF(A71="","",IF(B71="",A71,B71))</f>
        <v/>
      </c>
      <c r="K71" s="15">
        <f>IF(A71="","",IF(C71="","未確認",IFERROR(INDEX($Q$6:$Q$45,MATCH(C71,$P$6:$P$45,0)),"未確認")))</f>
        <v/>
      </c>
      <c r="L71" s="15">
        <f>IF(A71="","",IF(AND(OR(F71="",F71&lt;=集計!$C$5),OR(G71="",G71&gt;=集計!$C$5)),"○",""))</f>
        <v/>
      </c>
      <c r="M71" s="15">
        <f>IF(L71="○",A71,"")</f>
        <v/>
      </c>
      <c r="N71" s="15">
        <f>IF(OR(J71="",L71&lt;&gt;"○"),"",IF(COUNTIFS(J$6:J71,J71,L$6:L71,"○")=1,"○",""))</f>
        <v/>
      </c>
    </row>
    <row r="72">
      <c r="A72" s="19" t="n"/>
      <c r="B72" s="19" t="n"/>
      <c r="C72" s="19" t="n"/>
      <c r="D72" s="19" t="n"/>
      <c r="E72" s="19" t="n"/>
      <c r="F72" s="25" t="n"/>
      <c r="G72" s="25" t="n"/>
      <c r="H72" s="19" t="n"/>
      <c r="I72" s="19" t="n"/>
      <c r="J72" s="15">
        <f>IF(A72="","",IF(B72="",A72,B72))</f>
        <v/>
      </c>
      <c r="K72" s="15">
        <f>IF(A72="","",IF(C72="","未確認",IFERROR(INDEX($Q$6:$Q$45,MATCH(C72,$P$6:$P$45,0)),"未確認")))</f>
        <v/>
      </c>
      <c r="L72" s="15">
        <f>IF(A72="","",IF(AND(OR(F72="",F72&lt;=集計!$C$5),OR(G72="",G72&gt;=集計!$C$5)),"○",""))</f>
        <v/>
      </c>
      <c r="M72" s="15">
        <f>IF(L72="○",A72,"")</f>
        <v/>
      </c>
      <c r="N72" s="15">
        <f>IF(OR(J72="",L72&lt;&gt;"○"),"",IF(COUNTIFS(J$6:J72,J72,L$6:L72,"○")=1,"○",""))</f>
        <v/>
      </c>
    </row>
    <row r="73">
      <c r="A73" s="19" t="n"/>
      <c r="B73" s="19" t="n"/>
      <c r="C73" s="19" t="n"/>
      <c r="D73" s="19" t="n"/>
      <c r="E73" s="19" t="n"/>
      <c r="F73" s="25" t="n"/>
      <c r="G73" s="25" t="n"/>
      <c r="H73" s="19" t="n"/>
      <c r="I73" s="19" t="n"/>
      <c r="J73" s="15">
        <f>IF(A73="","",IF(B73="",A73,B73))</f>
        <v/>
      </c>
      <c r="K73" s="15">
        <f>IF(A73="","",IF(C73="","未確認",IFERROR(INDEX($Q$6:$Q$45,MATCH(C73,$P$6:$P$45,0)),"未確認")))</f>
        <v/>
      </c>
      <c r="L73" s="15">
        <f>IF(A73="","",IF(AND(OR(F73="",F73&lt;=集計!$C$5),OR(G73="",G73&gt;=集計!$C$5)),"○",""))</f>
        <v/>
      </c>
      <c r="M73" s="15">
        <f>IF(L73="○",A73,"")</f>
        <v/>
      </c>
      <c r="N73" s="15">
        <f>IF(OR(J73="",L73&lt;&gt;"○"),"",IF(COUNTIFS(J$6:J73,J73,L$6:L73,"○")=1,"○",""))</f>
        <v/>
      </c>
    </row>
    <row r="74">
      <c r="A74" s="19" t="n"/>
      <c r="B74" s="19" t="n"/>
      <c r="C74" s="19" t="n"/>
      <c r="D74" s="19" t="n"/>
      <c r="E74" s="19" t="n"/>
      <c r="F74" s="25" t="n"/>
      <c r="G74" s="25" t="n"/>
      <c r="H74" s="19" t="n"/>
      <c r="I74" s="19" t="n"/>
      <c r="J74" s="15">
        <f>IF(A74="","",IF(B74="",A74,B74))</f>
        <v/>
      </c>
      <c r="K74" s="15">
        <f>IF(A74="","",IF(C74="","未確認",IFERROR(INDEX($Q$6:$Q$45,MATCH(C74,$P$6:$P$45,0)),"未確認")))</f>
        <v/>
      </c>
      <c r="L74" s="15">
        <f>IF(A74="","",IF(AND(OR(F74="",F74&lt;=集計!$C$5),OR(G74="",G74&gt;=集計!$C$5)),"○",""))</f>
        <v/>
      </c>
      <c r="M74" s="15">
        <f>IF(L74="○",A74,"")</f>
        <v/>
      </c>
      <c r="N74" s="15">
        <f>IF(OR(J74="",L74&lt;&gt;"○"),"",IF(COUNTIFS(J$6:J74,J74,L$6:L74,"○")=1,"○",""))</f>
        <v/>
      </c>
    </row>
    <row r="75">
      <c r="A75" s="19" t="n"/>
      <c r="B75" s="19" t="n"/>
      <c r="C75" s="19" t="n"/>
      <c r="D75" s="19" t="n"/>
      <c r="E75" s="19" t="n"/>
      <c r="F75" s="25" t="n"/>
      <c r="G75" s="25" t="n"/>
      <c r="H75" s="19" t="n"/>
      <c r="I75" s="19" t="n"/>
      <c r="J75" s="15">
        <f>IF(A75="","",IF(B75="",A75,B75))</f>
        <v/>
      </c>
      <c r="K75" s="15">
        <f>IF(A75="","",IF(C75="","未確認",IFERROR(INDEX($Q$6:$Q$45,MATCH(C75,$P$6:$P$45,0)),"未確認")))</f>
        <v/>
      </c>
      <c r="L75" s="15">
        <f>IF(A75="","",IF(AND(OR(F75="",F75&lt;=集計!$C$5),OR(G75="",G75&gt;=集計!$C$5)),"○",""))</f>
        <v/>
      </c>
      <c r="M75" s="15">
        <f>IF(L75="○",A75,"")</f>
        <v/>
      </c>
      <c r="N75" s="15">
        <f>IF(OR(J75="",L75&lt;&gt;"○"),"",IF(COUNTIFS(J$6:J75,J75,L$6:L75,"○")=1,"○",""))</f>
        <v/>
      </c>
    </row>
    <row r="76">
      <c r="A76" s="19" t="n"/>
      <c r="B76" s="19" t="n"/>
      <c r="C76" s="19" t="n"/>
      <c r="D76" s="19" t="n"/>
      <c r="E76" s="19" t="n"/>
      <c r="F76" s="25" t="n"/>
      <c r="G76" s="25" t="n"/>
      <c r="H76" s="19" t="n"/>
      <c r="I76" s="19" t="n"/>
      <c r="J76" s="15">
        <f>IF(A76="","",IF(B76="",A76,B76))</f>
        <v/>
      </c>
      <c r="K76" s="15">
        <f>IF(A76="","",IF(C76="","未確認",IFERROR(INDEX($Q$6:$Q$45,MATCH(C76,$P$6:$P$45,0)),"未確認")))</f>
        <v/>
      </c>
      <c r="L76" s="15">
        <f>IF(A76="","",IF(AND(OR(F76="",F76&lt;=集計!$C$5),OR(G76="",G76&gt;=集計!$C$5)),"○",""))</f>
        <v/>
      </c>
      <c r="M76" s="15">
        <f>IF(L76="○",A76,"")</f>
        <v/>
      </c>
      <c r="N76" s="15">
        <f>IF(OR(J76="",L76&lt;&gt;"○"),"",IF(COUNTIFS(J$6:J76,J76,L$6:L76,"○")=1,"○",""))</f>
        <v/>
      </c>
    </row>
    <row r="77">
      <c r="A77" s="19" t="n"/>
      <c r="B77" s="19" t="n"/>
      <c r="C77" s="19" t="n"/>
      <c r="D77" s="19" t="n"/>
      <c r="E77" s="19" t="n"/>
      <c r="F77" s="25" t="n"/>
      <c r="G77" s="25" t="n"/>
      <c r="H77" s="19" t="n"/>
      <c r="I77" s="19" t="n"/>
      <c r="J77" s="15">
        <f>IF(A77="","",IF(B77="",A77,B77))</f>
        <v/>
      </c>
      <c r="K77" s="15">
        <f>IF(A77="","",IF(C77="","未確認",IFERROR(INDEX($Q$6:$Q$45,MATCH(C77,$P$6:$P$45,0)),"未確認")))</f>
        <v/>
      </c>
      <c r="L77" s="15">
        <f>IF(A77="","",IF(AND(OR(F77="",F77&lt;=集計!$C$5),OR(G77="",G77&gt;=集計!$C$5)),"○",""))</f>
        <v/>
      </c>
      <c r="M77" s="15">
        <f>IF(L77="○",A77,"")</f>
        <v/>
      </c>
      <c r="N77" s="15">
        <f>IF(OR(J77="",L77&lt;&gt;"○"),"",IF(COUNTIFS(J$6:J77,J77,L$6:L77,"○")=1,"○",""))</f>
        <v/>
      </c>
    </row>
    <row r="78">
      <c r="A78" s="19" t="n"/>
      <c r="B78" s="19" t="n"/>
      <c r="C78" s="19" t="n"/>
      <c r="D78" s="19" t="n"/>
      <c r="E78" s="19" t="n"/>
      <c r="F78" s="25" t="n"/>
      <c r="G78" s="25" t="n"/>
      <c r="H78" s="19" t="n"/>
      <c r="I78" s="19" t="n"/>
      <c r="J78" s="15">
        <f>IF(A78="","",IF(B78="",A78,B78))</f>
        <v/>
      </c>
      <c r="K78" s="15">
        <f>IF(A78="","",IF(C78="","未確認",IFERROR(INDEX($Q$6:$Q$45,MATCH(C78,$P$6:$P$45,0)),"未確認")))</f>
        <v/>
      </c>
      <c r="L78" s="15">
        <f>IF(A78="","",IF(AND(OR(F78="",F78&lt;=集計!$C$5),OR(G78="",G78&gt;=集計!$C$5)),"○",""))</f>
        <v/>
      </c>
      <c r="M78" s="15">
        <f>IF(L78="○",A78,"")</f>
        <v/>
      </c>
      <c r="N78" s="15">
        <f>IF(OR(J78="",L78&lt;&gt;"○"),"",IF(COUNTIFS(J$6:J78,J78,L$6:L78,"○")=1,"○",""))</f>
        <v/>
      </c>
    </row>
    <row r="79">
      <c r="A79" s="19" t="n"/>
      <c r="B79" s="19" t="n"/>
      <c r="C79" s="19" t="n"/>
      <c r="D79" s="19" t="n"/>
      <c r="E79" s="19" t="n"/>
      <c r="F79" s="25" t="n"/>
      <c r="G79" s="25" t="n"/>
      <c r="H79" s="19" t="n"/>
      <c r="I79" s="19" t="n"/>
      <c r="J79" s="15">
        <f>IF(A79="","",IF(B79="",A79,B79))</f>
        <v/>
      </c>
      <c r="K79" s="15">
        <f>IF(A79="","",IF(C79="","未確認",IFERROR(INDEX($Q$6:$Q$45,MATCH(C79,$P$6:$P$45,0)),"未確認")))</f>
        <v/>
      </c>
      <c r="L79" s="15">
        <f>IF(A79="","",IF(AND(OR(F79="",F79&lt;=集計!$C$5),OR(G79="",G79&gt;=集計!$C$5)),"○",""))</f>
        <v/>
      </c>
      <c r="M79" s="15">
        <f>IF(L79="○",A79,"")</f>
        <v/>
      </c>
      <c r="N79" s="15">
        <f>IF(OR(J79="",L79&lt;&gt;"○"),"",IF(COUNTIFS(J$6:J79,J79,L$6:L79,"○")=1,"○",""))</f>
        <v/>
      </c>
    </row>
    <row r="80">
      <c r="A80" s="19" t="n"/>
      <c r="B80" s="19" t="n"/>
      <c r="C80" s="19" t="n"/>
      <c r="D80" s="19" t="n"/>
      <c r="E80" s="19" t="n"/>
      <c r="F80" s="25" t="n"/>
      <c r="G80" s="25" t="n"/>
      <c r="H80" s="19" t="n"/>
      <c r="I80" s="19" t="n"/>
      <c r="J80" s="15">
        <f>IF(A80="","",IF(B80="",A80,B80))</f>
        <v/>
      </c>
      <c r="K80" s="15">
        <f>IF(A80="","",IF(C80="","未確認",IFERROR(INDEX($Q$6:$Q$45,MATCH(C80,$P$6:$P$45,0)),"未確認")))</f>
        <v/>
      </c>
      <c r="L80" s="15">
        <f>IF(A80="","",IF(AND(OR(F80="",F80&lt;=集計!$C$5),OR(G80="",G80&gt;=集計!$C$5)),"○",""))</f>
        <v/>
      </c>
      <c r="M80" s="15">
        <f>IF(L80="○",A80,"")</f>
        <v/>
      </c>
      <c r="N80" s="15">
        <f>IF(OR(J80="",L80&lt;&gt;"○"),"",IF(COUNTIFS(J$6:J80,J80,L$6:L80,"○")=1,"○",""))</f>
        <v/>
      </c>
    </row>
    <row r="81">
      <c r="A81" s="19" t="n"/>
      <c r="B81" s="19" t="n"/>
      <c r="C81" s="19" t="n"/>
      <c r="D81" s="19" t="n"/>
      <c r="E81" s="19" t="n"/>
      <c r="F81" s="25" t="n"/>
      <c r="G81" s="25" t="n"/>
      <c r="H81" s="19" t="n"/>
      <c r="I81" s="19" t="n"/>
      <c r="J81" s="15">
        <f>IF(A81="","",IF(B81="",A81,B81))</f>
        <v/>
      </c>
      <c r="K81" s="15">
        <f>IF(A81="","",IF(C81="","未確認",IFERROR(INDEX($Q$6:$Q$45,MATCH(C81,$P$6:$P$45,0)),"未確認")))</f>
        <v/>
      </c>
      <c r="L81" s="15">
        <f>IF(A81="","",IF(AND(OR(F81="",F81&lt;=集計!$C$5),OR(G81="",G81&gt;=集計!$C$5)),"○",""))</f>
        <v/>
      </c>
      <c r="M81" s="15">
        <f>IF(L81="○",A81,"")</f>
        <v/>
      </c>
      <c r="N81" s="15">
        <f>IF(OR(J81="",L81&lt;&gt;"○"),"",IF(COUNTIFS(J$6:J81,J81,L$6:L81,"○")=1,"○",""))</f>
        <v/>
      </c>
    </row>
    <row r="82">
      <c r="A82" s="19" t="n"/>
      <c r="B82" s="19" t="n"/>
      <c r="C82" s="19" t="n"/>
      <c r="D82" s="19" t="n"/>
      <c r="E82" s="19" t="n"/>
      <c r="F82" s="25" t="n"/>
      <c r="G82" s="25" t="n"/>
      <c r="H82" s="19" t="n"/>
      <c r="I82" s="19" t="n"/>
      <c r="J82" s="15">
        <f>IF(A82="","",IF(B82="",A82,B82))</f>
        <v/>
      </c>
      <c r="K82" s="15">
        <f>IF(A82="","",IF(C82="","未確認",IFERROR(INDEX($Q$6:$Q$45,MATCH(C82,$P$6:$P$45,0)),"未確認")))</f>
        <v/>
      </c>
      <c r="L82" s="15">
        <f>IF(A82="","",IF(AND(OR(F82="",F82&lt;=集計!$C$5),OR(G82="",G82&gt;=集計!$C$5)),"○",""))</f>
        <v/>
      </c>
      <c r="M82" s="15">
        <f>IF(L82="○",A82,"")</f>
        <v/>
      </c>
      <c r="N82" s="15">
        <f>IF(OR(J82="",L82&lt;&gt;"○"),"",IF(COUNTIFS(J$6:J82,J82,L$6:L82,"○")=1,"○",""))</f>
        <v/>
      </c>
    </row>
    <row r="83">
      <c r="A83" s="19" t="n"/>
      <c r="B83" s="19" t="n"/>
      <c r="C83" s="19" t="n"/>
      <c r="D83" s="19" t="n"/>
      <c r="E83" s="19" t="n"/>
      <c r="F83" s="25" t="n"/>
      <c r="G83" s="25" t="n"/>
      <c r="H83" s="19" t="n"/>
      <c r="I83" s="19" t="n"/>
      <c r="J83" s="15">
        <f>IF(A83="","",IF(B83="",A83,B83))</f>
        <v/>
      </c>
      <c r="K83" s="15">
        <f>IF(A83="","",IF(C83="","未確認",IFERROR(INDEX($Q$6:$Q$45,MATCH(C83,$P$6:$P$45,0)),"未確認")))</f>
        <v/>
      </c>
      <c r="L83" s="15">
        <f>IF(A83="","",IF(AND(OR(F83="",F83&lt;=集計!$C$5),OR(G83="",G83&gt;=集計!$C$5)),"○",""))</f>
        <v/>
      </c>
      <c r="M83" s="15">
        <f>IF(L83="○",A83,"")</f>
        <v/>
      </c>
      <c r="N83" s="15">
        <f>IF(OR(J83="",L83&lt;&gt;"○"),"",IF(COUNTIFS(J$6:J83,J83,L$6:L83,"○")=1,"○",""))</f>
        <v/>
      </c>
    </row>
    <row r="84">
      <c r="A84" s="19" t="n"/>
      <c r="B84" s="19" t="n"/>
      <c r="C84" s="19" t="n"/>
      <c r="D84" s="19" t="n"/>
      <c r="E84" s="19" t="n"/>
      <c r="F84" s="25" t="n"/>
      <c r="G84" s="25" t="n"/>
      <c r="H84" s="19" t="n"/>
      <c r="I84" s="19" t="n"/>
      <c r="J84" s="15">
        <f>IF(A84="","",IF(B84="",A84,B84))</f>
        <v/>
      </c>
      <c r="K84" s="15">
        <f>IF(A84="","",IF(C84="","未確認",IFERROR(INDEX($Q$6:$Q$45,MATCH(C84,$P$6:$P$45,0)),"未確認")))</f>
        <v/>
      </c>
      <c r="L84" s="15">
        <f>IF(A84="","",IF(AND(OR(F84="",F84&lt;=集計!$C$5),OR(G84="",G84&gt;=集計!$C$5)),"○",""))</f>
        <v/>
      </c>
      <c r="M84" s="15">
        <f>IF(L84="○",A84,"")</f>
        <v/>
      </c>
      <c r="N84" s="15">
        <f>IF(OR(J84="",L84&lt;&gt;"○"),"",IF(COUNTIFS(J$6:J84,J84,L$6:L84,"○")=1,"○",""))</f>
        <v/>
      </c>
    </row>
    <row r="85">
      <c r="A85" s="19" t="n"/>
      <c r="B85" s="19" t="n"/>
      <c r="C85" s="19" t="n"/>
      <c r="D85" s="19" t="n"/>
      <c r="E85" s="19" t="n"/>
      <c r="F85" s="25" t="n"/>
      <c r="G85" s="25" t="n"/>
      <c r="H85" s="19" t="n"/>
      <c r="I85" s="19" t="n"/>
      <c r="J85" s="15">
        <f>IF(A85="","",IF(B85="",A85,B85))</f>
        <v/>
      </c>
      <c r="K85" s="15">
        <f>IF(A85="","",IF(C85="","未確認",IFERROR(INDEX($Q$6:$Q$45,MATCH(C85,$P$6:$P$45,0)),"未確認")))</f>
        <v/>
      </c>
      <c r="L85" s="15">
        <f>IF(A85="","",IF(AND(OR(F85="",F85&lt;=集計!$C$5),OR(G85="",G85&gt;=集計!$C$5)),"○",""))</f>
        <v/>
      </c>
      <c r="M85" s="15">
        <f>IF(L85="○",A85,"")</f>
        <v/>
      </c>
      <c r="N85" s="15">
        <f>IF(OR(J85="",L85&lt;&gt;"○"),"",IF(COUNTIFS(J$6:J85,J85,L$6:L85,"○")=1,"○",""))</f>
        <v/>
      </c>
    </row>
    <row r="86">
      <c r="A86" s="19" t="n"/>
      <c r="B86" s="19" t="n"/>
      <c r="C86" s="19" t="n"/>
      <c r="D86" s="19" t="n"/>
      <c r="E86" s="19" t="n"/>
      <c r="F86" s="25" t="n"/>
      <c r="G86" s="25" t="n"/>
      <c r="H86" s="19" t="n"/>
      <c r="I86" s="19" t="n"/>
      <c r="J86" s="15">
        <f>IF(A86="","",IF(B86="",A86,B86))</f>
        <v/>
      </c>
      <c r="K86" s="15">
        <f>IF(A86="","",IF(C86="","未確認",IFERROR(INDEX($Q$6:$Q$45,MATCH(C86,$P$6:$P$45,0)),"未確認")))</f>
        <v/>
      </c>
      <c r="L86" s="15">
        <f>IF(A86="","",IF(AND(OR(F86="",F86&lt;=集計!$C$5),OR(G86="",G86&gt;=集計!$C$5)),"○",""))</f>
        <v/>
      </c>
      <c r="M86" s="15">
        <f>IF(L86="○",A86,"")</f>
        <v/>
      </c>
      <c r="N86" s="15">
        <f>IF(OR(J86="",L86&lt;&gt;"○"),"",IF(COUNTIFS(J$6:J86,J86,L$6:L86,"○")=1,"○",""))</f>
        <v/>
      </c>
    </row>
    <row r="87">
      <c r="A87" s="19" t="n"/>
      <c r="B87" s="19" t="n"/>
      <c r="C87" s="19" t="n"/>
      <c r="D87" s="19" t="n"/>
      <c r="E87" s="19" t="n"/>
      <c r="F87" s="25" t="n"/>
      <c r="G87" s="25" t="n"/>
      <c r="H87" s="19" t="n"/>
      <c r="I87" s="19" t="n"/>
      <c r="J87" s="15">
        <f>IF(A87="","",IF(B87="",A87,B87))</f>
        <v/>
      </c>
      <c r="K87" s="15">
        <f>IF(A87="","",IF(C87="","未確認",IFERROR(INDEX($Q$6:$Q$45,MATCH(C87,$P$6:$P$45,0)),"未確認")))</f>
        <v/>
      </c>
      <c r="L87" s="15">
        <f>IF(A87="","",IF(AND(OR(F87="",F87&lt;=集計!$C$5),OR(G87="",G87&gt;=集計!$C$5)),"○",""))</f>
        <v/>
      </c>
      <c r="M87" s="15">
        <f>IF(L87="○",A87,"")</f>
        <v/>
      </c>
      <c r="N87" s="15">
        <f>IF(OR(J87="",L87&lt;&gt;"○"),"",IF(COUNTIFS(J$6:J87,J87,L$6:L87,"○")=1,"○",""))</f>
        <v/>
      </c>
    </row>
    <row r="88">
      <c r="A88" s="19" t="n"/>
      <c r="B88" s="19" t="n"/>
      <c r="C88" s="19" t="n"/>
      <c r="D88" s="19" t="n"/>
      <c r="E88" s="19" t="n"/>
      <c r="F88" s="25" t="n"/>
      <c r="G88" s="25" t="n"/>
      <c r="H88" s="19" t="n"/>
      <c r="I88" s="19" t="n"/>
      <c r="J88" s="15">
        <f>IF(A88="","",IF(B88="",A88,B88))</f>
        <v/>
      </c>
      <c r="K88" s="15">
        <f>IF(A88="","",IF(C88="","未確認",IFERROR(INDEX($Q$6:$Q$45,MATCH(C88,$P$6:$P$45,0)),"未確認")))</f>
        <v/>
      </c>
      <c r="L88" s="15">
        <f>IF(A88="","",IF(AND(OR(F88="",F88&lt;=集計!$C$5),OR(G88="",G88&gt;=集計!$C$5)),"○",""))</f>
        <v/>
      </c>
      <c r="M88" s="15">
        <f>IF(L88="○",A88,"")</f>
        <v/>
      </c>
      <c r="N88" s="15">
        <f>IF(OR(J88="",L88&lt;&gt;"○"),"",IF(COUNTIFS(J$6:J88,J88,L$6:L88,"○")=1,"○",""))</f>
        <v/>
      </c>
    </row>
    <row r="89">
      <c r="A89" s="19" t="n"/>
      <c r="B89" s="19" t="n"/>
      <c r="C89" s="19" t="n"/>
      <c r="D89" s="19" t="n"/>
      <c r="E89" s="19" t="n"/>
      <c r="F89" s="25" t="n"/>
      <c r="G89" s="25" t="n"/>
      <c r="H89" s="19" t="n"/>
      <c r="I89" s="19" t="n"/>
      <c r="J89" s="15">
        <f>IF(A89="","",IF(B89="",A89,B89))</f>
        <v/>
      </c>
      <c r="K89" s="15">
        <f>IF(A89="","",IF(C89="","未確認",IFERROR(INDEX($Q$6:$Q$45,MATCH(C89,$P$6:$P$45,0)),"未確認")))</f>
        <v/>
      </c>
      <c r="L89" s="15">
        <f>IF(A89="","",IF(AND(OR(F89="",F89&lt;=集計!$C$5),OR(G89="",G89&gt;=集計!$C$5)),"○",""))</f>
        <v/>
      </c>
      <c r="M89" s="15">
        <f>IF(L89="○",A89,"")</f>
        <v/>
      </c>
      <c r="N89" s="15">
        <f>IF(OR(J89="",L89&lt;&gt;"○"),"",IF(COUNTIFS(J$6:J89,J89,L$6:L89,"○")=1,"○",""))</f>
        <v/>
      </c>
    </row>
    <row r="90">
      <c r="A90" s="19" t="n"/>
      <c r="B90" s="19" t="n"/>
      <c r="C90" s="19" t="n"/>
      <c r="D90" s="19" t="n"/>
      <c r="E90" s="19" t="n"/>
      <c r="F90" s="25" t="n"/>
      <c r="G90" s="25" t="n"/>
      <c r="H90" s="19" t="n"/>
      <c r="I90" s="19" t="n"/>
      <c r="J90" s="15">
        <f>IF(A90="","",IF(B90="",A90,B90))</f>
        <v/>
      </c>
      <c r="K90" s="15">
        <f>IF(A90="","",IF(C90="","未確認",IFERROR(INDEX($Q$6:$Q$45,MATCH(C90,$P$6:$P$45,0)),"未確認")))</f>
        <v/>
      </c>
      <c r="L90" s="15">
        <f>IF(A90="","",IF(AND(OR(F90="",F90&lt;=集計!$C$5),OR(G90="",G90&gt;=集計!$C$5)),"○",""))</f>
        <v/>
      </c>
      <c r="M90" s="15">
        <f>IF(L90="○",A90,"")</f>
        <v/>
      </c>
      <c r="N90" s="15">
        <f>IF(OR(J90="",L90&lt;&gt;"○"),"",IF(COUNTIFS(J$6:J90,J90,L$6:L90,"○")=1,"○",""))</f>
        <v/>
      </c>
    </row>
    <row r="91">
      <c r="A91" s="19" t="n"/>
      <c r="B91" s="19" t="n"/>
      <c r="C91" s="19" t="n"/>
      <c r="D91" s="19" t="n"/>
      <c r="E91" s="19" t="n"/>
      <c r="F91" s="25" t="n"/>
      <c r="G91" s="25" t="n"/>
      <c r="H91" s="19" t="n"/>
      <c r="I91" s="19" t="n"/>
      <c r="J91" s="15">
        <f>IF(A91="","",IF(B91="",A91,B91))</f>
        <v/>
      </c>
      <c r="K91" s="15">
        <f>IF(A91="","",IF(C91="","未確認",IFERROR(INDEX($Q$6:$Q$45,MATCH(C91,$P$6:$P$45,0)),"未確認")))</f>
        <v/>
      </c>
      <c r="L91" s="15">
        <f>IF(A91="","",IF(AND(OR(F91="",F91&lt;=集計!$C$5),OR(G91="",G91&gt;=集計!$C$5)),"○",""))</f>
        <v/>
      </c>
      <c r="M91" s="15">
        <f>IF(L91="○",A91,"")</f>
        <v/>
      </c>
      <c r="N91" s="15">
        <f>IF(OR(J91="",L91&lt;&gt;"○"),"",IF(COUNTIFS(J$6:J91,J91,L$6:L91,"○")=1,"○",""))</f>
        <v/>
      </c>
    </row>
    <row r="92">
      <c r="A92" s="19" t="n"/>
      <c r="B92" s="19" t="n"/>
      <c r="C92" s="19" t="n"/>
      <c r="D92" s="19" t="n"/>
      <c r="E92" s="19" t="n"/>
      <c r="F92" s="25" t="n"/>
      <c r="G92" s="25" t="n"/>
      <c r="H92" s="19" t="n"/>
      <c r="I92" s="19" t="n"/>
      <c r="J92" s="15">
        <f>IF(A92="","",IF(B92="",A92,B92))</f>
        <v/>
      </c>
      <c r="K92" s="15">
        <f>IF(A92="","",IF(C92="","未確認",IFERROR(INDEX($Q$6:$Q$45,MATCH(C92,$P$6:$P$45,0)),"未確認")))</f>
        <v/>
      </c>
      <c r="L92" s="15">
        <f>IF(A92="","",IF(AND(OR(F92="",F92&lt;=集計!$C$5),OR(G92="",G92&gt;=集計!$C$5)),"○",""))</f>
        <v/>
      </c>
      <c r="M92" s="15">
        <f>IF(L92="○",A92,"")</f>
        <v/>
      </c>
      <c r="N92" s="15">
        <f>IF(OR(J92="",L92&lt;&gt;"○"),"",IF(COUNTIFS(J$6:J92,J92,L$6:L92,"○")=1,"○",""))</f>
        <v/>
      </c>
    </row>
    <row r="93">
      <c r="A93" s="19" t="n"/>
      <c r="B93" s="19" t="n"/>
      <c r="C93" s="19" t="n"/>
      <c r="D93" s="19" t="n"/>
      <c r="E93" s="19" t="n"/>
      <c r="F93" s="25" t="n"/>
      <c r="G93" s="25" t="n"/>
      <c r="H93" s="19" t="n"/>
      <c r="I93" s="19" t="n"/>
      <c r="J93" s="15">
        <f>IF(A93="","",IF(B93="",A93,B93))</f>
        <v/>
      </c>
      <c r="K93" s="15">
        <f>IF(A93="","",IF(C93="","未確認",IFERROR(INDEX($Q$6:$Q$45,MATCH(C93,$P$6:$P$45,0)),"未確認")))</f>
        <v/>
      </c>
      <c r="L93" s="15">
        <f>IF(A93="","",IF(AND(OR(F93="",F93&lt;=集計!$C$5),OR(G93="",G93&gt;=集計!$C$5)),"○",""))</f>
        <v/>
      </c>
      <c r="M93" s="15">
        <f>IF(L93="○",A93,"")</f>
        <v/>
      </c>
      <c r="N93" s="15">
        <f>IF(OR(J93="",L93&lt;&gt;"○"),"",IF(COUNTIFS(J$6:J93,J93,L$6:L93,"○")=1,"○",""))</f>
        <v/>
      </c>
    </row>
    <row r="94">
      <c r="A94" s="19" t="n"/>
      <c r="B94" s="19" t="n"/>
      <c r="C94" s="19" t="n"/>
      <c r="D94" s="19" t="n"/>
      <c r="E94" s="19" t="n"/>
      <c r="F94" s="25" t="n"/>
      <c r="G94" s="25" t="n"/>
      <c r="H94" s="19" t="n"/>
      <c r="I94" s="19" t="n"/>
      <c r="J94" s="15">
        <f>IF(A94="","",IF(B94="",A94,B94))</f>
        <v/>
      </c>
      <c r="K94" s="15">
        <f>IF(A94="","",IF(C94="","未確認",IFERROR(INDEX($Q$6:$Q$45,MATCH(C94,$P$6:$P$45,0)),"未確認")))</f>
        <v/>
      </c>
      <c r="L94" s="15">
        <f>IF(A94="","",IF(AND(OR(F94="",F94&lt;=集計!$C$5),OR(G94="",G94&gt;=集計!$C$5)),"○",""))</f>
        <v/>
      </c>
      <c r="M94" s="15">
        <f>IF(L94="○",A94,"")</f>
        <v/>
      </c>
      <c r="N94" s="15">
        <f>IF(OR(J94="",L94&lt;&gt;"○"),"",IF(COUNTIFS(J$6:J94,J94,L$6:L94,"○")=1,"○",""))</f>
        <v/>
      </c>
    </row>
    <row r="95">
      <c r="A95" s="19" t="n"/>
      <c r="B95" s="19" t="n"/>
      <c r="C95" s="19" t="n"/>
      <c r="D95" s="19" t="n"/>
      <c r="E95" s="19" t="n"/>
      <c r="F95" s="25" t="n"/>
      <c r="G95" s="25" t="n"/>
      <c r="H95" s="19" t="n"/>
      <c r="I95" s="19" t="n"/>
      <c r="J95" s="15">
        <f>IF(A95="","",IF(B95="",A95,B95))</f>
        <v/>
      </c>
      <c r="K95" s="15">
        <f>IF(A95="","",IF(C95="","未確認",IFERROR(INDEX($Q$6:$Q$45,MATCH(C95,$P$6:$P$45,0)),"未確認")))</f>
        <v/>
      </c>
      <c r="L95" s="15">
        <f>IF(A95="","",IF(AND(OR(F95="",F95&lt;=集計!$C$5),OR(G95="",G95&gt;=集計!$C$5)),"○",""))</f>
        <v/>
      </c>
      <c r="M95" s="15">
        <f>IF(L95="○",A95,"")</f>
        <v/>
      </c>
      <c r="N95" s="15">
        <f>IF(OR(J95="",L95&lt;&gt;"○"),"",IF(COUNTIFS(J$6:J95,J95,L$6:L95,"○")=1,"○",""))</f>
        <v/>
      </c>
    </row>
    <row r="96">
      <c r="A96" s="19" t="n"/>
      <c r="B96" s="19" t="n"/>
      <c r="C96" s="19" t="n"/>
      <c r="D96" s="19" t="n"/>
      <c r="E96" s="19" t="n"/>
      <c r="F96" s="25" t="n"/>
      <c r="G96" s="25" t="n"/>
      <c r="H96" s="19" t="n"/>
      <c r="I96" s="19" t="n"/>
      <c r="J96" s="15">
        <f>IF(A96="","",IF(B96="",A96,B96))</f>
        <v/>
      </c>
      <c r="K96" s="15">
        <f>IF(A96="","",IF(C96="","未確認",IFERROR(INDEX($Q$6:$Q$45,MATCH(C96,$P$6:$P$45,0)),"未確認")))</f>
        <v/>
      </c>
      <c r="L96" s="15">
        <f>IF(A96="","",IF(AND(OR(F96="",F96&lt;=集計!$C$5),OR(G96="",G96&gt;=集計!$C$5)),"○",""))</f>
        <v/>
      </c>
      <c r="M96" s="15">
        <f>IF(L96="○",A96,"")</f>
        <v/>
      </c>
      <c r="N96" s="15">
        <f>IF(OR(J96="",L96&lt;&gt;"○"),"",IF(COUNTIFS(J$6:J96,J96,L$6:L96,"○")=1,"○",""))</f>
        <v/>
      </c>
    </row>
    <row r="97">
      <c r="A97" s="19" t="n"/>
      <c r="B97" s="19" t="n"/>
      <c r="C97" s="19" t="n"/>
      <c r="D97" s="19" t="n"/>
      <c r="E97" s="19" t="n"/>
      <c r="F97" s="25" t="n"/>
      <c r="G97" s="25" t="n"/>
      <c r="H97" s="19" t="n"/>
      <c r="I97" s="19" t="n"/>
      <c r="J97" s="15">
        <f>IF(A97="","",IF(B97="",A97,B97))</f>
        <v/>
      </c>
      <c r="K97" s="15">
        <f>IF(A97="","",IF(C97="","未確認",IFERROR(INDEX($Q$6:$Q$45,MATCH(C97,$P$6:$P$45,0)),"未確認")))</f>
        <v/>
      </c>
      <c r="L97" s="15">
        <f>IF(A97="","",IF(AND(OR(F97="",F97&lt;=集計!$C$5),OR(G97="",G97&gt;=集計!$C$5)),"○",""))</f>
        <v/>
      </c>
      <c r="M97" s="15">
        <f>IF(L97="○",A97,"")</f>
        <v/>
      </c>
      <c r="N97" s="15">
        <f>IF(OR(J97="",L97&lt;&gt;"○"),"",IF(COUNTIFS(J$6:J97,J97,L$6:L97,"○")=1,"○",""))</f>
        <v/>
      </c>
    </row>
    <row r="98">
      <c r="A98" s="19" t="n"/>
      <c r="B98" s="19" t="n"/>
      <c r="C98" s="19" t="n"/>
      <c r="D98" s="19" t="n"/>
      <c r="E98" s="19" t="n"/>
      <c r="F98" s="25" t="n"/>
      <c r="G98" s="25" t="n"/>
      <c r="H98" s="19" t="n"/>
      <c r="I98" s="19" t="n"/>
      <c r="J98" s="15">
        <f>IF(A98="","",IF(B98="",A98,B98))</f>
        <v/>
      </c>
      <c r="K98" s="15">
        <f>IF(A98="","",IF(C98="","未確認",IFERROR(INDEX($Q$6:$Q$45,MATCH(C98,$P$6:$P$45,0)),"未確認")))</f>
        <v/>
      </c>
      <c r="L98" s="15">
        <f>IF(A98="","",IF(AND(OR(F98="",F98&lt;=集計!$C$5),OR(G98="",G98&gt;=集計!$C$5)),"○",""))</f>
        <v/>
      </c>
      <c r="M98" s="15">
        <f>IF(L98="○",A98,"")</f>
        <v/>
      </c>
      <c r="N98" s="15">
        <f>IF(OR(J98="",L98&lt;&gt;"○"),"",IF(COUNTIFS(J$6:J98,J98,L$6:L98,"○")=1,"○",""))</f>
        <v/>
      </c>
    </row>
    <row r="99">
      <c r="A99" s="19" t="n"/>
      <c r="B99" s="19" t="n"/>
      <c r="C99" s="19" t="n"/>
      <c r="D99" s="19" t="n"/>
      <c r="E99" s="19" t="n"/>
      <c r="F99" s="25" t="n"/>
      <c r="G99" s="25" t="n"/>
      <c r="H99" s="19" t="n"/>
      <c r="I99" s="19" t="n"/>
      <c r="J99" s="15">
        <f>IF(A99="","",IF(B99="",A99,B99))</f>
        <v/>
      </c>
      <c r="K99" s="15">
        <f>IF(A99="","",IF(C99="","未確認",IFERROR(INDEX($Q$6:$Q$45,MATCH(C99,$P$6:$P$45,0)),"未確認")))</f>
        <v/>
      </c>
      <c r="L99" s="15">
        <f>IF(A99="","",IF(AND(OR(F99="",F99&lt;=集計!$C$5),OR(G99="",G99&gt;=集計!$C$5)),"○",""))</f>
        <v/>
      </c>
      <c r="M99" s="15">
        <f>IF(L99="○",A99,"")</f>
        <v/>
      </c>
      <c r="N99" s="15">
        <f>IF(OR(J99="",L99&lt;&gt;"○"),"",IF(COUNTIFS(J$6:J99,J99,L$6:L99,"○")=1,"○",""))</f>
        <v/>
      </c>
    </row>
    <row r="100">
      <c r="A100" s="19" t="n"/>
      <c r="B100" s="19" t="n"/>
      <c r="C100" s="19" t="n"/>
      <c r="D100" s="19" t="n"/>
      <c r="E100" s="19" t="n"/>
      <c r="F100" s="25" t="n"/>
      <c r="G100" s="25" t="n"/>
      <c r="H100" s="19" t="n"/>
      <c r="I100" s="19" t="n"/>
      <c r="J100" s="15">
        <f>IF(A100="","",IF(B100="",A100,B100))</f>
        <v/>
      </c>
      <c r="K100" s="15">
        <f>IF(A100="","",IF(C100="","未確認",IFERROR(INDEX($Q$6:$Q$45,MATCH(C100,$P$6:$P$45,0)),"未確認")))</f>
        <v/>
      </c>
      <c r="L100" s="15">
        <f>IF(A100="","",IF(AND(OR(F100="",F100&lt;=集計!$C$5),OR(G100="",G100&gt;=集計!$C$5)),"○",""))</f>
        <v/>
      </c>
      <c r="M100" s="15">
        <f>IF(L100="○",A100,"")</f>
        <v/>
      </c>
      <c r="N100" s="15">
        <f>IF(OR(J100="",L100&lt;&gt;"○"),"",IF(COUNTIFS(J$6:J100,J100,L$6:L100,"○")=1,"○",""))</f>
        <v/>
      </c>
    </row>
    <row r="101">
      <c r="A101" s="19" t="n"/>
      <c r="B101" s="19" t="n"/>
      <c r="C101" s="19" t="n"/>
      <c r="D101" s="19" t="n"/>
      <c r="E101" s="19" t="n"/>
      <c r="F101" s="25" t="n"/>
      <c r="G101" s="25" t="n"/>
      <c r="H101" s="19" t="n"/>
      <c r="I101" s="19" t="n"/>
      <c r="J101" s="15">
        <f>IF(A101="","",IF(B101="",A101,B101))</f>
        <v/>
      </c>
      <c r="K101" s="15">
        <f>IF(A101="","",IF(C101="","未確認",IFERROR(INDEX($Q$6:$Q$45,MATCH(C101,$P$6:$P$45,0)),"未確認")))</f>
        <v/>
      </c>
      <c r="L101" s="15">
        <f>IF(A101="","",IF(AND(OR(F101="",F101&lt;=集計!$C$5),OR(G101="",G101&gt;=集計!$C$5)),"○",""))</f>
        <v/>
      </c>
      <c r="M101" s="15">
        <f>IF(L101="○",A101,"")</f>
        <v/>
      </c>
      <c r="N101" s="15">
        <f>IF(OR(J101="",L101&lt;&gt;"○"),"",IF(COUNTIFS(J$6:J101,J101,L$6:L101,"○")=1,"○",""))</f>
        <v/>
      </c>
    </row>
    <row r="102">
      <c r="A102" s="19" t="n"/>
      <c r="B102" s="19" t="n"/>
      <c r="C102" s="19" t="n"/>
      <c r="D102" s="19" t="n"/>
      <c r="E102" s="19" t="n"/>
      <c r="F102" s="25" t="n"/>
      <c r="G102" s="25" t="n"/>
      <c r="H102" s="19" t="n"/>
      <c r="I102" s="19" t="n"/>
      <c r="J102" s="15">
        <f>IF(A102="","",IF(B102="",A102,B102))</f>
        <v/>
      </c>
      <c r="K102" s="15">
        <f>IF(A102="","",IF(C102="","未確認",IFERROR(INDEX($Q$6:$Q$45,MATCH(C102,$P$6:$P$45,0)),"未確認")))</f>
        <v/>
      </c>
      <c r="L102" s="15">
        <f>IF(A102="","",IF(AND(OR(F102="",F102&lt;=集計!$C$5),OR(G102="",G102&gt;=集計!$C$5)),"○",""))</f>
        <v/>
      </c>
      <c r="M102" s="15">
        <f>IF(L102="○",A102,"")</f>
        <v/>
      </c>
      <c r="N102" s="15">
        <f>IF(OR(J102="",L102&lt;&gt;"○"),"",IF(COUNTIFS(J$6:J102,J102,L$6:L102,"○")=1,"○",""))</f>
        <v/>
      </c>
    </row>
    <row r="103">
      <c r="A103" s="19" t="n"/>
      <c r="B103" s="19" t="n"/>
      <c r="C103" s="19" t="n"/>
      <c r="D103" s="19" t="n"/>
      <c r="E103" s="19" t="n"/>
      <c r="F103" s="25" t="n"/>
      <c r="G103" s="25" t="n"/>
      <c r="H103" s="19" t="n"/>
      <c r="I103" s="19" t="n"/>
      <c r="J103" s="15">
        <f>IF(A103="","",IF(B103="",A103,B103))</f>
        <v/>
      </c>
      <c r="K103" s="15">
        <f>IF(A103="","",IF(C103="","未確認",IFERROR(INDEX($Q$6:$Q$45,MATCH(C103,$P$6:$P$45,0)),"未確認")))</f>
        <v/>
      </c>
      <c r="L103" s="15">
        <f>IF(A103="","",IF(AND(OR(F103="",F103&lt;=集計!$C$5),OR(G103="",G103&gt;=集計!$C$5)),"○",""))</f>
        <v/>
      </c>
      <c r="M103" s="15">
        <f>IF(L103="○",A103,"")</f>
        <v/>
      </c>
      <c r="N103" s="15">
        <f>IF(OR(J103="",L103&lt;&gt;"○"),"",IF(COUNTIFS(J$6:J103,J103,L$6:L103,"○")=1,"○",""))</f>
        <v/>
      </c>
    </row>
    <row r="104">
      <c r="A104" s="19" t="n"/>
      <c r="B104" s="19" t="n"/>
      <c r="C104" s="19" t="n"/>
      <c r="D104" s="19" t="n"/>
      <c r="E104" s="19" t="n"/>
      <c r="F104" s="25" t="n"/>
      <c r="G104" s="25" t="n"/>
      <c r="H104" s="19" t="n"/>
      <c r="I104" s="19" t="n"/>
      <c r="J104" s="15">
        <f>IF(A104="","",IF(B104="",A104,B104))</f>
        <v/>
      </c>
      <c r="K104" s="15">
        <f>IF(A104="","",IF(C104="","未確認",IFERROR(INDEX($Q$6:$Q$45,MATCH(C104,$P$6:$P$45,0)),"未確認")))</f>
        <v/>
      </c>
      <c r="L104" s="15">
        <f>IF(A104="","",IF(AND(OR(F104="",F104&lt;=集計!$C$5),OR(G104="",G104&gt;=集計!$C$5)),"○",""))</f>
        <v/>
      </c>
      <c r="M104" s="15">
        <f>IF(L104="○",A104,"")</f>
        <v/>
      </c>
      <c r="N104" s="15">
        <f>IF(OR(J104="",L104&lt;&gt;"○"),"",IF(COUNTIFS(J$6:J104,J104,L$6:L104,"○")=1,"○",""))</f>
        <v/>
      </c>
    </row>
    <row r="105">
      <c r="A105" s="19" t="n"/>
      <c r="B105" s="19" t="n"/>
      <c r="C105" s="19" t="n"/>
      <c r="D105" s="19" t="n"/>
      <c r="E105" s="19" t="n"/>
      <c r="F105" s="25" t="n"/>
      <c r="G105" s="25" t="n"/>
      <c r="H105" s="19" t="n"/>
      <c r="I105" s="19" t="n"/>
      <c r="J105" s="15">
        <f>IF(A105="","",IF(B105="",A105,B105))</f>
        <v/>
      </c>
      <c r="K105" s="15">
        <f>IF(A105="","",IF(C105="","未確認",IFERROR(INDEX($Q$6:$Q$45,MATCH(C105,$P$6:$P$45,0)),"未確認")))</f>
        <v/>
      </c>
      <c r="L105" s="15">
        <f>IF(A105="","",IF(AND(OR(F105="",F105&lt;=集計!$C$5),OR(G105="",G105&gt;=集計!$C$5)),"○",""))</f>
        <v/>
      </c>
      <c r="M105" s="15">
        <f>IF(L105="○",A105,"")</f>
        <v/>
      </c>
      <c r="N105" s="15">
        <f>IF(OR(J105="",L105&lt;&gt;"○"),"",IF(COUNTIFS(J$6:J105,J105,L$6:L105,"○")=1,"○",""))</f>
        <v/>
      </c>
    </row>
    <row r="106">
      <c r="A106" s="19" t="n"/>
      <c r="B106" s="19" t="n"/>
      <c r="C106" s="19" t="n"/>
      <c r="D106" s="19" t="n"/>
      <c r="E106" s="19" t="n"/>
      <c r="F106" s="25" t="n"/>
      <c r="G106" s="25" t="n"/>
      <c r="H106" s="19" t="n"/>
      <c r="I106" s="19" t="n"/>
      <c r="J106" s="15">
        <f>IF(A106="","",IF(B106="",A106,B106))</f>
        <v/>
      </c>
      <c r="K106" s="15">
        <f>IF(A106="","",IF(C106="","未確認",IFERROR(INDEX($Q$6:$Q$45,MATCH(C106,$P$6:$P$45,0)),"未確認")))</f>
        <v/>
      </c>
      <c r="L106" s="15">
        <f>IF(A106="","",IF(AND(OR(F106="",F106&lt;=集計!$C$5),OR(G106="",G106&gt;=集計!$C$5)),"○",""))</f>
        <v/>
      </c>
      <c r="M106" s="15">
        <f>IF(L106="○",A106,"")</f>
        <v/>
      </c>
      <c r="N106" s="15">
        <f>IF(OR(J106="",L106&lt;&gt;"○"),"",IF(COUNTIFS(J$6:J106,J106,L$6:L106,"○")=1,"○",""))</f>
        <v/>
      </c>
    </row>
    <row r="107">
      <c r="A107" s="19" t="n"/>
      <c r="B107" s="19" t="n"/>
      <c r="C107" s="19" t="n"/>
      <c r="D107" s="19" t="n"/>
      <c r="E107" s="19" t="n"/>
      <c r="F107" s="25" t="n"/>
      <c r="G107" s="25" t="n"/>
      <c r="H107" s="19" t="n"/>
      <c r="I107" s="19" t="n"/>
      <c r="J107" s="15">
        <f>IF(A107="","",IF(B107="",A107,B107))</f>
        <v/>
      </c>
      <c r="K107" s="15">
        <f>IF(A107="","",IF(C107="","未確認",IFERROR(INDEX($Q$6:$Q$45,MATCH(C107,$P$6:$P$45,0)),"未確認")))</f>
        <v/>
      </c>
      <c r="L107" s="15">
        <f>IF(A107="","",IF(AND(OR(F107="",F107&lt;=集計!$C$5),OR(G107="",G107&gt;=集計!$C$5)),"○",""))</f>
        <v/>
      </c>
      <c r="M107" s="15">
        <f>IF(L107="○",A107,"")</f>
        <v/>
      </c>
      <c r="N107" s="15">
        <f>IF(OR(J107="",L107&lt;&gt;"○"),"",IF(COUNTIFS(J$6:J107,J107,L$6:L107,"○")=1,"○",""))</f>
        <v/>
      </c>
    </row>
    <row r="108">
      <c r="A108" s="19" t="n"/>
      <c r="B108" s="19" t="n"/>
      <c r="C108" s="19" t="n"/>
      <c r="D108" s="19" t="n"/>
      <c r="E108" s="19" t="n"/>
      <c r="F108" s="25" t="n"/>
      <c r="G108" s="25" t="n"/>
      <c r="H108" s="19" t="n"/>
      <c r="I108" s="19" t="n"/>
      <c r="J108" s="15">
        <f>IF(A108="","",IF(B108="",A108,B108))</f>
        <v/>
      </c>
      <c r="K108" s="15">
        <f>IF(A108="","",IF(C108="","未確認",IFERROR(INDEX($Q$6:$Q$45,MATCH(C108,$P$6:$P$45,0)),"未確認")))</f>
        <v/>
      </c>
      <c r="L108" s="15">
        <f>IF(A108="","",IF(AND(OR(F108="",F108&lt;=集計!$C$5),OR(G108="",G108&gt;=集計!$C$5)),"○",""))</f>
        <v/>
      </c>
      <c r="M108" s="15">
        <f>IF(L108="○",A108,"")</f>
        <v/>
      </c>
      <c r="N108" s="15">
        <f>IF(OR(J108="",L108&lt;&gt;"○"),"",IF(COUNTIFS(J$6:J108,J108,L$6:L108,"○")=1,"○",""))</f>
        <v/>
      </c>
    </row>
    <row r="109">
      <c r="A109" s="19" t="n"/>
      <c r="B109" s="19" t="n"/>
      <c r="C109" s="19" t="n"/>
      <c r="D109" s="19" t="n"/>
      <c r="E109" s="19" t="n"/>
      <c r="F109" s="25" t="n"/>
      <c r="G109" s="25" t="n"/>
      <c r="H109" s="19" t="n"/>
      <c r="I109" s="19" t="n"/>
      <c r="J109" s="15">
        <f>IF(A109="","",IF(B109="",A109,B109))</f>
        <v/>
      </c>
      <c r="K109" s="15">
        <f>IF(A109="","",IF(C109="","未確認",IFERROR(INDEX($Q$6:$Q$45,MATCH(C109,$P$6:$P$45,0)),"未確認")))</f>
        <v/>
      </c>
      <c r="L109" s="15">
        <f>IF(A109="","",IF(AND(OR(F109="",F109&lt;=集計!$C$5),OR(G109="",G109&gt;=集計!$C$5)),"○",""))</f>
        <v/>
      </c>
      <c r="M109" s="15">
        <f>IF(L109="○",A109,"")</f>
        <v/>
      </c>
      <c r="N109" s="15">
        <f>IF(OR(J109="",L109&lt;&gt;"○"),"",IF(COUNTIFS(J$6:J109,J109,L$6:L109,"○")=1,"○",""))</f>
        <v/>
      </c>
    </row>
    <row r="110">
      <c r="A110" s="19" t="n"/>
      <c r="B110" s="19" t="n"/>
      <c r="C110" s="19" t="n"/>
      <c r="D110" s="19" t="n"/>
      <c r="E110" s="19" t="n"/>
      <c r="F110" s="25" t="n"/>
      <c r="G110" s="25" t="n"/>
      <c r="H110" s="19" t="n"/>
      <c r="I110" s="19" t="n"/>
      <c r="J110" s="15">
        <f>IF(A110="","",IF(B110="",A110,B110))</f>
        <v/>
      </c>
      <c r="K110" s="15">
        <f>IF(A110="","",IF(C110="","未確認",IFERROR(INDEX($Q$6:$Q$45,MATCH(C110,$P$6:$P$45,0)),"未確認")))</f>
        <v/>
      </c>
      <c r="L110" s="15">
        <f>IF(A110="","",IF(AND(OR(F110="",F110&lt;=集計!$C$5),OR(G110="",G110&gt;=集計!$C$5)),"○",""))</f>
        <v/>
      </c>
      <c r="M110" s="15">
        <f>IF(L110="○",A110,"")</f>
        <v/>
      </c>
      <c r="N110" s="15">
        <f>IF(OR(J110="",L110&lt;&gt;"○"),"",IF(COUNTIFS(J$6:J110,J110,L$6:L110,"○")=1,"○",""))</f>
        <v/>
      </c>
    </row>
    <row r="111">
      <c r="A111" s="19" t="n"/>
      <c r="B111" s="19" t="n"/>
      <c r="C111" s="19" t="n"/>
      <c r="D111" s="19" t="n"/>
      <c r="E111" s="19" t="n"/>
      <c r="F111" s="25" t="n"/>
      <c r="G111" s="25" t="n"/>
      <c r="H111" s="19" t="n"/>
      <c r="I111" s="19" t="n"/>
      <c r="J111" s="15">
        <f>IF(A111="","",IF(B111="",A111,B111))</f>
        <v/>
      </c>
      <c r="K111" s="15">
        <f>IF(A111="","",IF(C111="","未確認",IFERROR(INDEX($Q$6:$Q$45,MATCH(C111,$P$6:$P$45,0)),"未確認")))</f>
        <v/>
      </c>
      <c r="L111" s="15">
        <f>IF(A111="","",IF(AND(OR(F111="",F111&lt;=集計!$C$5),OR(G111="",G111&gt;=集計!$C$5)),"○",""))</f>
        <v/>
      </c>
      <c r="M111" s="15">
        <f>IF(L111="○",A111,"")</f>
        <v/>
      </c>
      <c r="N111" s="15">
        <f>IF(OR(J111="",L111&lt;&gt;"○"),"",IF(COUNTIFS(J$6:J111,J111,L$6:L111,"○")=1,"○",""))</f>
        <v/>
      </c>
    </row>
    <row r="112">
      <c r="A112" s="19" t="n"/>
      <c r="B112" s="19" t="n"/>
      <c r="C112" s="19" t="n"/>
      <c r="D112" s="19" t="n"/>
      <c r="E112" s="19" t="n"/>
      <c r="F112" s="25" t="n"/>
      <c r="G112" s="25" t="n"/>
      <c r="H112" s="19" t="n"/>
      <c r="I112" s="19" t="n"/>
      <c r="J112" s="15">
        <f>IF(A112="","",IF(B112="",A112,B112))</f>
        <v/>
      </c>
      <c r="K112" s="15">
        <f>IF(A112="","",IF(C112="","未確認",IFERROR(INDEX($Q$6:$Q$45,MATCH(C112,$P$6:$P$45,0)),"未確認")))</f>
        <v/>
      </c>
      <c r="L112" s="15">
        <f>IF(A112="","",IF(AND(OR(F112="",F112&lt;=集計!$C$5),OR(G112="",G112&gt;=集計!$C$5)),"○",""))</f>
        <v/>
      </c>
      <c r="M112" s="15">
        <f>IF(L112="○",A112,"")</f>
        <v/>
      </c>
      <c r="N112" s="15">
        <f>IF(OR(J112="",L112&lt;&gt;"○"),"",IF(COUNTIFS(J$6:J112,J112,L$6:L112,"○")=1,"○",""))</f>
        <v/>
      </c>
    </row>
    <row r="113">
      <c r="A113" s="19" t="n"/>
      <c r="B113" s="19" t="n"/>
      <c r="C113" s="19" t="n"/>
      <c r="D113" s="19" t="n"/>
      <c r="E113" s="19" t="n"/>
      <c r="F113" s="25" t="n"/>
      <c r="G113" s="25" t="n"/>
      <c r="H113" s="19" t="n"/>
      <c r="I113" s="19" t="n"/>
      <c r="J113" s="15">
        <f>IF(A113="","",IF(B113="",A113,B113))</f>
        <v/>
      </c>
      <c r="K113" s="15">
        <f>IF(A113="","",IF(C113="","未確認",IFERROR(INDEX($Q$6:$Q$45,MATCH(C113,$P$6:$P$45,0)),"未確認")))</f>
        <v/>
      </c>
      <c r="L113" s="15">
        <f>IF(A113="","",IF(AND(OR(F113="",F113&lt;=集計!$C$5),OR(G113="",G113&gt;=集計!$C$5)),"○",""))</f>
        <v/>
      </c>
      <c r="M113" s="15">
        <f>IF(L113="○",A113,"")</f>
        <v/>
      </c>
      <c r="N113" s="15">
        <f>IF(OR(J113="",L113&lt;&gt;"○"),"",IF(COUNTIFS(J$6:J113,J113,L$6:L113,"○")=1,"○",""))</f>
        <v/>
      </c>
    </row>
    <row r="114">
      <c r="A114" s="19" t="n"/>
      <c r="B114" s="19" t="n"/>
      <c r="C114" s="19" t="n"/>
      <c r="D114" s="19" t="n"/>
      <c r="E114" s="19" t="n"/>
      <c r="F114" s="25" t="n"/>
      <c r="G114" s="25" t="n"/>
      <c r="H114" s="19" t="n"/>
      <c r="I114" s="19" t="n"/>
      <c r="J114" s="15">
        <f>IF(A114="","",IF(B114="",A114,B114))</f>
        <v/>
      </c>
      <c r="K114" s="15">
        <f>IF(A114="","",IF(C114="","未確認",IFERROR(INDEX($Q$6:$Q$45,MATCH(C114,$P$6:$P$45,0)),"未確認")))</f>
        <v/>
      </c>
      <c r="L114" s="15">
        <f>IF(A114="","",IF(AND(OR(F114="",F114&lt;=集計!$C$5),OR(G114="",G114&gt;=集計!$C$5)),"○",""))</f>
        <v/>
      </c>
      <c r="M114" s="15">
        <f>IF(L114="○",A114,"")</f>
        <v/>
      </c>
      <c r="N114" s="15">
        <f>IF(OR(J114="",L114&lt;&gt;"○"),"",IF(COUNTIFS(J$6:J114,J114,L$6:L114,"○")=1,"○",""))</f>
        <v/>
      </c>
    </row>
    <row r="115">
      <c r="A115" s="19" t="n"/>
      <c r="B115" s="19" t="n"/>
      <c r="C115" s="19" t="n"/>
      <c r="D115" s="19" t="n"/>
      <c r="E115" s="19" t="n"/>
      <c r="F115" s="25" t="n"/>
      <c r="G115" s="25" t="n"/>
      <c r="H115" s="19" t="n"/>
      <c r="I115" s="19" t="n"/>
      <c r="J115" s="15">
        <f>IF(A115="","",IF(B115="",A115,B115))</f>
        <v/>
      </c>
      <c r="K115" s="15">
        <f>IF(A115="","",IF(C115="","未確認",IFERROR(INDEX($Q$6:$Q$45,MATCH(C115,$P$6:$P$45,0)),"未確認")))</f>
        <v/>
      </c>
      <c r="L115" s="15">
        <f>IF(A115="","",IF(AND(OR(F115="",F115&lt;=集計!$C$5),OR(G115="",G115&gt;=集計!$C$5)),"○",""))</f>
        <v/>
      </c>
      <c r="M115" s="15">
        <f>IF(L115="○",A115,"")</f>
        <v/>
      </c>
      <c r="N115" s="15">
        <f>IF(OR(J115="",L115&lt;&gt;"○"),"",IF(COUNTIFS(J$6:J115,J115,L$6:L115,"○")=1,"○",""))</f>
        <v/>
      </c>
    </row>
    <row r="116">
      <c r="A116" s="19" t="n"/>
      <c r="B116" s="19" t="n"/>
      <c r="C116" s="19" t="n"/>
      <c r="D116" s="19" t="n"/>
      <c r="E116" s="19" t="n"/>
      <c r="F116" s="25" t="n"/>
      <c r="G116" s="25" t="n"/>
      <c r="H116" s="19" t="n"/>
      <c r="I116" s="19" t="n"/>
      <c r="J116" s="15">
        <f>IF(A116="","",IF(B116="",A116,B116))</f>
        <v/>
      </c>
      <c r="K116" s="15">
        <f>IF(A116="","",IF(C116="","未確認",IFERROR(INDEX($Q$6:$Q$45,MATCH(C116,$P$6:$P$45,0)),"未確認")))</f>
        <v/>
      </c>
      <c r="L116" s="15">
        <f>IF(A116="","",IF(AND(OR(F116="",F116&lt;=集計!$C$5),OR(G116="",G116&gt;=集計!$C$5)),"○",""))</f>
        <v/>
      </c>
      <c r="M116" s="15">
        <f>IF(L116="○",A116,"")</f>
        <v/>
      </c>
      <c r="N116" s="15">
        <f>IF(OR(J116="",L116&lt;&gt;"○"),"",IF(COUNTIFS(J$6:J116,J116,L$6:L116,"○")=1,"○",""))</f>
        <v/>
      </c>
    </row>
    <row r="117">
      <c r="A117" s="19" t="n"/>
      <c r="B117" s="19" t="n"/>
      <c r="C117" s="19" t="n"/>
      <c r="D117" s="19" t="n"/>
      <c r="E117" s="19" t="n"/>
      <c r="F117" s="25" t="n"/>
      <c r="G117" s="25" t="n"/>
      <c r="H117" s="19" t="n"/>
      <c r="I117" s="19" t="n"/>
      <c r="J117" s="15">
        <f>IF(A117="","",IF(B117="",A117,B117))</f>
        <v/>
      </c>
      <c r="K117" s="15">
        <f>IF(A117="","",IF(C117="","未確認",IFERROR(INDEX($Q$6:$Q$45,MATCH(C117,$P$6:$P$45,0)),"未確認")))</f>
        <v/>
      </c>
      <c r="L117" s="15">
        <f>IF(A117="","",IF(AND(OR(F117="",F117&lt;=集計!$C$5),OR(G117="",G117&gt;=集計!$C$5)),"○",""))</f>
        <v/>
      </c>
      <c r="M117" s="15">
        <f>IF(L117="○",A117,"")</f>
        <v/>
      </c>
      <c r="N117" s="15">
        <f>IF(OR(J117="",L117&lt;&gt;"○"),"",IF(COUNTIFS(J$6:J117,J117,L$6:L117,"○")=1,"○",""))</f>
        <v/>
      </c>
    </row>
    <row r="118">
      <c r="A118" s="19" t="n"/>
      <c r="B118" s="19" t="n"/>
      <c r="C118" s="19" t="n"/>
      <c r="D118" s="19" t="n"/>
      <c r="E118" s="19" t="n"/>
      <c r="F118" s="25" t="n"/>
      <c r="G118" s="25" t="n"/>
      <c r="H118" s="19" t="n"/>
      <c r="I118" s="19" t="n"/>
      <c r="J118" s="15">
        <f>IF(A118="","",IF(B118="",A118,B118))</f>
        <v/>
      </c>
      <c r="K118" s="15">
        <f>IF(A118="","",IF(C118="","未確認",IFERROR(INDEX($Q$6:$Q$45,MATCH(C118,$P$6:$P$45,0)),"未確認")))</f>
        <v/>
      </c>
      <c r="L118" s="15">
        <f>IF(A118="","",IF(AND(OR(F118="",F118&lt;=集計!$C$5),OR(G118="",G118&gt;=集計!$C$5)),"○",""))</f>
        <v/>
      </c>
      <c r="M118" s="15">
        <f>IF(L118="○",A118,"")</f>
        <v/>
      </c>
      <c r="N118" s="15">
        <f>IF(OR(J118="",L118&lt;&gt;"○"),"",IF(COUNTIFS(J$6:J118,J118,L$6:L118,"○")=1,"○",""))</f>
        <v/>
      </c>
    </row>
    <row r="119">
      <c r="A119" s="19" t="n"/>
      <c r="B119" s="19" t="n"/>
      <c r="C119" s="19" t="n"/>
      <c r="D119" s="19" t="n"/>
      <c r="E119" s="19" t="n"/>
      <c r="F119" s="25" t="n"/>
      <c r="G119" s="25" t="n"/>
      <c r="H119" s="19" t="n"/>
      <c r="I119" s="19" t="n"/>
      <c r="J119" s="15">
        <f>IF(A119="","",IF(B119="",A119,B119))</f>
        <v/>
      </c>
      <c r="K119" s="15">
        <f>IF(A119="","",IF(C119="","未確認",IFERROR(INDEX($Q$6:$Q$45,MATCH(C119,$P$6:$P$45,0)),"未確認")))</f>
        <v/>
      </c>
      <c r="L119" s="15">
        <f>IF(A119="","",IF(AND(OR(F119="",F119&lt;=集計!$C$5),OR(G119="",G119&gt;=集計!$C$5)),"○",""))</f>
        <v/>
      </c>
      <c r="M119" s="15">
        <f>IF(L119="○",A119,"")</f>
        <v/>
      </c>
      <c r="N119" s="15">
        <f>IF(OR(J119="",L119&lt;&gt;"○"),"",IF(COUNTIFS(J$6:J119,J119,L$6:L119,"○")=1,"○",""))</f>
        <v/>
      </c>
    </row>
    <row r="120">
      <c r="A120" s="19" t="n"/>
      <c r="B120" s="19" t="n"/>
      <c r="C120" s="19" t="n"/>
      <c r="D120" s="19" t="n"/>
      <c r="E120" s="19" t="n"/>
      <c r="F120" s="25" t="n"/>
      <c r="G120" s="25" t="n"/>
      <c r="H120" s="19" t="n"/>
      <c r="I120" s="19" t="n"/>
      <c r="J120" s="15">
        <f>IF(A120="","",IF(B120="",A120,B120))</f>
        <v/>
      </c>
      <c r="K120" s="15">
        <f>IF(A120="","",IF(C120="","未確認",IFERROR(INDEX($Q$6:$Q$45,MATCH(C120,$P$6:$P$45,0)),"未確認")))</f>
        <v/>
      </c>
      <c r="L120" s="15">
        <f>IF(A120="","",IF(AND(OR(F120="",F120&lt;=集計!$C$5),OR(G120="",G120&gt;=集計!$C$5)),"○",""))</f>
        <v/>
      </c>
      <c r="M120" s="15">
        <f>IF(L120="○",A120,"")</f>
        <v/>
      </c>
      <c r="N120" s="15">
        <f>IF(OR(J120="",L120&lt;&gt;"○"),"",IF(COUNTIFS(J$6:J120,J120,L$6:L120,"○")=1,"○",""))</f>
        <v/>
      </c>
    </row>
    <row r="121">
      <c r="A121" s="19" t="n"/>
      <c r="B121" s="19" t="n"/>
      <c r="C121" s="19" t="n"/>
      <c r="D121" s="19" t="n"/>
      <c r="E121" s="19" t="n"/>
      <c r="F121" s="25" t="n"/>
      <c r="G121" s="25" t="n"/>
      <c r="H121" s="19" t="n"/>
      <c r="I121" s="19" t="n"/>
      <c r="J121" s="15">
        <f>IF(A121="","",IF(B121="",A121,B121))</f>
        <v/>
      </c>
      <c r="K121" s="15">
        <f>IF(A121="","",IF(C121="","未確認",IFERROR(INDEX($Q$6:$Q$45,MATCH(C121,$P$6:$P$45,0)),"未確認")))</f>
        <v/>
      </c>
      <c r="L121" s="15">
        <f>IF(A121="","",IF(AND(OR(F121="",F121&lt;=集計!$C$5),OR(G121="",G121&gt;=集計!$C$5)),"○",""))</f>
        <v/>
      </c>
      <c r="M121" s="15">
        <f>IF(L121="○",A121,"")</f>
        <v/>
      </c>
      <c r="N121" s="15">
        <f>IF(OR(J121="",L121&lt;&gt;"○"),"",IF(COUNTIFS(J$6:J121,J121,L$6:L121,"○")=1,"○",""))</f>
        <v/>
      </c>
    </row>
    <row r="122">
      <c r="A122" s="19" t="n"/>
      <c r="B122" s="19" t="n"/>
      <c r="C122" s="19" t="n"/>
      <c r="D122" s="19" t="n"/>
      <c r="E122" s="19" t="n"/>
      <c r="F122" s="25" t="n"/>
      <c r="G122" s="25" t="n"/>
      <c r="H122" s="19" t="n"/>
      <c r="I122" s="19" t="n"/>
      <c r="J122" s="15">
        <f>IF(A122="","",IF(B122="",A122,B122))</f>
        <v/>
      </c>
      <c r="K122" s="15">
        <f>IF(A122="","",IF(C122="","未確認",IFERROR(INDEX($Q$6:$Q$45,MATCH(C122,$P$6:$P$45,0)),"未確認")))</f>
        <v/>
      </c>
      <c r="L122" s="15">
        <f>IF(A122="","",IF(AND(OR(F122="",F122&lt;=集計!$C$5),OR(G122="",G122&gt;=集計!$C$5)),"○",""))</f>
        <v/>
      </c>
      <c r="M122" s="15">
        <f>IF(L122="○",A122,"")</f>
        <v/>
      </c>
      <c r="N122" s="15">
        <f>IF(OR(J122="",L122&lt;&gt;"○"),"",IF(COUNTIFS(J$6:J122,J122,L$6:L122,"○")=1,"○",""))</f>
        <v/>
      </c>
    </row>
    <row r="123">
      <c r="A123" s="19" t="n"/>
      <c r="B123" s="19" t="n"/>
      <c r="C123" s="19" t="n"/>
      <c r="D123" s="19" t="n"/>
      <c r="E123" s="19" t="n"/>
      <c r="F123" s="25" t="n"/>
      <c r="G123" s="25" t="n"/>
      <c r="H123" s="19" t="n"/>
      <c r="I123" s="19" t="n"/>
      <c r="J123" s="15">
        <f>IF(A123="","",IF(B123="",A123,B123))</f>
        <v/>
      </c>
      <c r="K123" s="15">
        <f>IF(A123="","",IF(C123="","未確認",IFERROR(INDEX($Q$6:$Q$45,MATCH(C123,$P$6:$P$45,0)),"未確認")))</f>
        <v/>
      </c>
      <c r="L123" s="15">
        <f>IF(A123="","",IF(AND(OR(F123="",F123&lt;=集計!$C$5),OR(G123="",G123&gt;=集計!$C$5)),"○",""))</f>
        <v/>
      </c>
      <c r="M123" s="15">
        <f>IF(L123="○",A123,"")</f>
        <v/>
      </c>
      <c r="N123" s="15">
        <f>IF(OR(J123="",L123&lt;&gt;"○"),"",IF(COUNTIFS(J$6:J123,J123,L$6:L123,"○")=1,"○",""))</f>
        <v/>
      </c>
    </row>
    <row r="124">
      <c r="A124" s="19" t="n"/>
      <c r="B124" s="19" t="n"/>
      <c r="C124" s="19" t="n"/>
      <c r="D124" s="19" t="n"/>
      <c r="E124" s="19" t="n"/>
      <c r="F124" s="25" t="n"/>
      <c r="G124" s="25" t="n"/>
      <c r="H124" s="19" t="n"/>
      <c r="I124" s="19" t="n"/>
      <c r="J124" s="15">
        <f>IF(A124="","",IF(B124="",A124,B124))</f>
        <v/>
      </c>
      <c r="K124" s="15">
        <f>IF(A124="","",IF(C124="","未確認",IFERROR(INDEX($Q$6:$Q$45,MATCH(C124,$P$6:$P$45,0)),"未確認")))</f>
        <v/>
      </c>
      <c r="L124" s="15">
        <f>IF(A124="","",IF(AND(OR(F124="",F124&lt;=集計!$C$5),OR(G124="",G124&gt;=集計!$C$5)),"○",""))</f>
        <v/>
      </c>
      <c r="M124" s="15">
        <f>IF(L124="○",A124,"")</f>
        <v/>
      </c>
      <c r="N124" s="15">
        <f>IF(OR(J124="",L124&lt;&gt;"○"),"",IF(COUNTIFS(J$6:J124,J124,L$6:L124,"○")=1,"○",""))</f>
        <v/>
      </c>
    </row>
    <row r="125">
      <c r="A125" s="19" t="n"/>
      <c r="B125" s="19" t="n"/>
      <c r="C125" s="19" t="n"/>
      <c r="D125" s="19" t="n"/>
      <c r="E125" s="19" t="n"/>
      <c r="F125" s="25" t="n"/>
      <c r="G125" s="25" t="n"/>
      <c r="H125" s="19" t="n"/>
      <c r="I125" s="19" t="n"/>
      <c r="J125" s="15">
        <f>IF(A125="","",IF(B125="",A125,B125))</f>
        <v/>
      </c>
      <c r="K125" s="15">
        <f>IF(A125="","",IF(C125="","未確認",IFERROR(INDEX($Q$6:$Q$45,MATCH(C125,$P$6:$P$45,0)),"未確認")))</f>
        <v/>
      </c>
      <c r="L125" s="15">
        <f>IF(A125="","",IF(AND(OR(F125="",F125&lt;=集計!$C$5),OR(G125="",G125&gt;=集計!$C$5)),"○",""))</f>
        <v/>
      </c>
      <c r="M125" s="15">
        <f>IF(L125="○",A125,"")</f>
        <v/>
      </c>
      <c r="N125" s="15">
        <f>IF(OR(J125="",L125&lt;&gt;"○"),"",IF(COUNTIFS(J$6:J125,J125,L$6:L125,"○")=1,"○",""))</f>
        <v/>
      </c>
    </row>
  </sheetData>
  <dataValidations count="6">
    <dataValidation sqref="C6:C125" showDropDown="0" showInputMessage="0" showErrorMessage="0" allowBlank="1" errorTitle="選択してください" error="一覧から選んでください（一覧にない場合は「マスター」シートへ追加してください）" type="list">
      <formula1>=会社リスト</formula1>
    </dataValidation>
    <dataValidation sqref="D6:D125" showDropDown="0" showInputMessage="0" showErrorMessage="0" allowBlank="1" errorTitle="選択してください" error="一覧から選んでください（一覧にない場合は「マスター」シートへ追加してください）" type="list">
      <formula1>=選択_種類</formula1>
    </dataValidation>
    <dataValidation sqref="E6:E125" showDropDown="0" showInputMessage="0" showErrorMessage="0" allowBlank="1" errorTitle="選択してください" error="一覧から選んでください（一覧にない場合は「マスター」シートへ追加してください）" type="list">
      <formula1>=基地港リスト</formula1>
    </dataValidation>
    <dataValidation sqref="I6:I125" showDropDown="0" showInputMessage="0" showErrorMessage="0" allowBlank="1" errorTitle="選択してください" error="一覧から選んでください（一覧にない場合は「マスター」シートへ追加してください）" type="list">
      <formula1>=選択_確認状況</formula1>
    </dataValidation>
    <dataValidation sqref="Q6:Q45" showDropDown="0" showInputMessage="0" showErrorMessage="0" allowBlank="1" errorTitle="選択してください" error="一覧から選んでください（一覧にない場合は「マスター」シートへ追加してください）" type="list">
      <formula1>=選択_会社区分</formula1>
    </dataValidation>
    <dataValidation sqref="S6:S45" showDropDown="0" showInputMessage="0" showErrorMessage="0" allowBlank="1" errorTitle="選択してください" error="一覧から選んでください（一覧にない場合は「マスター」シートへ追加してください）" type="list">
      <formula1>=選択_確認状況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3"/>
  <sheetViews>
    <sheetView tabSelected="0" workbookViewId="0">
      <selection activeCell="C14" sqref="C14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40" customWidth="1" min="4" max="4"/>
    <col width="2" customWidth="1" min="5" max="5"/>
    <col width="7" customWidth="1" min="6" max="6"/>
    <col width="9" customWidth="1" min="7" max="7"/>
    <col width="9" customWidth="1" min="8" max="8"/>
    <col width="11" customWidth="1" min="9" max="9"/>
    <col width="9" customWidth="1" min="10" max="10"/>
    <col width="2" customWidth="1" min="11" max="11"/>
    <col width="24" customWidth="1" min="12" max="12"/>
    <col width="10" customWidth="1" min="13" max="13"/>
    <col width="9" customWidth="1" min="14" max="14"/>
    <col width="10" customWidth="1" min="15" max="15"/>
  </cols>
  <sheetData>
    <row r="1">
      <c r="A1" s="10" t="inlineStr">
        <is>
          <t>集計（自動表示・入力欄なし）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>
      <c r="A2" s="12" t="inlineStr">
        <is>
          <t>誰が：全員が見る　何を見て：各シートの入力結果　どこへ：入力欄はありません。不足情報は「未確認」の数で確認します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</row>
    <row r="3">
      <c r="A3" s="13" t="inlineStr">
        <is>
          <t>この試作は入力と集計のつながりを試すものです。3隻と4隻の比較の結論や、4隻の必要性を示すものではありません。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</row>
    <row r="5">
      <c r="B5" s="5" t="inlineStr">
        <is>
          <t>対象日</t>
        </is>
      </c>
      <c r="C5" s="16">
        <f>実績!$D$6</f>
        <v/>
      </c>
      <c r="D5" s="28" t="inlineStr">
        <is>
          <t>実績シートの先頭行の作業日</t>
        </is>
      </c>
    </row>
    <row r="6">
      <c r="B6" s="5" t="inlineStr">
        <is>
          <t>時刻の扱い</t>
        </is>
      </c>
      <c r="C6" s="15" t="inlineStr">
        <is>
          <t>候補・時刻要確認</t>
        </is>
      </c>
      <c r="D6" s="28" t="inlineStr">
        <is>
          <t>元帳の作業時間が基地発・基地着か未確認のため、同時稼働は候補</t>
        </is>
      </c>
    </row>
    <row r="8">
      <c r="B8" s="18" t="inlineStr">
        <is>
          <t>■ 実績（元帳）</t>
        </is>
      </c>
      <c r="F8" s="18" t="inlineStr">
        <is>
          <t>■ 時間帯別の最大同時稼働（候補）</t>
        </is>
      </c>
      <c r="L8" s="18" t="inlineStr">
        <is>
          <t>■ 会社別（マスターの会社一覧から自動）</t>
        </is>
      </c>
    </row>
    <row r="9">
      <c r="B9" s="5" t="inlineStr">
        <is>
          <t>作業件数</t>
        </is>
      </c>
      <c r="C9" s="15">
        <f>COUNTIF(実績!$C$6:$C$505,"○")</f>
        <v/>
      </c>
      <c r="D9" s="28" t="inlineStr">
        <is>
          <t>元帳の1作業（タグ別行ではない）</t>
        </is>
      </c>
      <c r="F9" s="14" t="inlineStr">
        <is>
          <t>時台</t>
        </is>
      </c>
      <c r="G9" s="14" t="inlineStr">
        <is>
          <t>全体【自動】</t>
        </is>
      </c>
      <c r="H9" s="14" t="inlineStr">
        <is>
          <t>本船作業数【自動】</t>
        </is>
      </c>
      <c r="I9" s="14" t="inlineStr">
        <is>
          <t>製鉄曳船（要確認）【自動】</t>
        </is>
      </c>
      <c r="J9" s="14" t="inlineStr">
        <is>
          <t>西日本海運【自動】</t>
        </is>
      </c>
      <c r="L9" s="14" t="inlineStr">
        <is>
          <t>会社【自動】</t>
        </is>
      </c>
      <c r="M9" s="14" t="inlineStr">
        <is>
          <t>会社区分【自動】</t>
        </is>
      </c>
      <c r="N9" s="14" t="inlineStr">
        <is>
          <t>延べタグ【自動】</t>
        </is>
      </c>
      <c r="O9" s="14" t="inlineStr">
        <is>
          <t>稼働した船数【自動】</t>
        </is>
      </c>
    </row>
    <row r="10">
      <c r="B10" s="5" t="inlineStr">
        <is>
          <t>延べタグ（タグ欄の行数）</t>
        </is>
      </c>
      <c r="C10" s="15">
        <f>COUNTA(実績!$R$6:$R$505)</f>
        <v/>
      </c>
      <c r="D10" s="28" t="inlineStr">
        <is>
          <t>取消し記載の行も含む</t>
        </is>
      </c>
      <c r="F10" s="15" t="inlineStr">
        <is>
          <t>0時</t>
        </is>
      </c>
      <c r="G10" s="15">
        <f>MAX(_計算!DS6:DS17)</f>
        <v/>
      </c>
      <c r="H10" s="15">
        <f>MAX(_計算!DT6:DT17)</f>
        <v/>
      </c>
      <c r="I10" s="15">
        <f>MAX(_計算!DU6:DU17)</f>
        <v/>
      </c>
      <c r="J10" s="15">
        <f>MAX(_計算!DV6:DV17)</f>
        <v/>
      </c>
      <c r="L10" s="15">
        <f>IF(マスター!$P$6="","",マスター!$P$6)</f>
        <v/>
      </c>
      <c r="M10" s="15">
        <f>IF(L10="","",マスター!$Q$6)</f>
        <v/>
      </c>
      <c r="N10" s="15">
        <f>IF(L10="","",COUNTIF(実績!$X$6:$X$505,L10))</f>
        <v/>
      </c>
      <c r="O10" s="15">
        <f>IF(L10="","",SUMIF(_計算!$C$1:$DR$1,L10,_計算!$C$4:$DR$4))</f>
        <v/>
      </c>
    </row>
    <row r="11">
      <c r="B11" s="5" t="inlineStr">
        <is>
          <t>うち取消しの記載がある行</t>
        </is>
      </c>
      <c r="C11" s="15">
        <f>COUNTIF(実績!$U$6:$U$505,"○")</f>
        <v/>
      </c>
      <c r="D11" s="28" t="inlineStr">
        <is>
          <t>同時稼働には含めない</t>
        </is>
      </c>
      <c r="F11" s="15" t="inlineStr">
        <is>
          <t>1時</t>
        </is>
      </c>
      <c r="G11" s="15">
        <f>MAX(_計算!DS18:DS29)</f>
        <v/>
      </c>
      <c r="H11" s="15">
        <f>MAX(_計算!DT18:DT29)</f>
        <v/>
      </c>
      <c r="I11" s="15">
        <f>MAX(_計算!DU18:DU29)</f>
        <v/>
      </c>
      <c r="J11" s="15">
        <f>MAX(_計算!DV18:DV29)</f>
        <v/>
      </c>
      <c r="L11" s="15">
        <f>IF(マスター!$P$7="","",マスター!$P$7)</f>
        <v/>
      </c>
      <c r="M11" s="15">
        <f>IF(L11="","",マスター!$Q$7)</f>
        <v/>
      </c>
      <c r="N11" s="15">
        <f>IF(L11="","",COUNTIF(実績!$X$6:$X$505,L11))</f>
        <v/>
      </c>
      <c r="O11" s="15">
        <f>IF(L11="","",SUMIF(_計算!$C$1:$DR$1,L11,_計算!$C$4:$DR$4))</f>
        <v/>
      </c>
    </row>
    <row r="12">
      <c r="B12" s="5" t="inlineStr">
        <is>
          <t>うち時刻がない行</t>
        </is>
      </c>
      <c r="C12" s="15">
        <f>COUNTIF(実績!$V$6:$V$505,"時刻なし*")</f>
        <v/>
      </c>
      <c r="D12" s="28" t="inlineStr">
        <is>
          <t>同時稼働には含めない</t>
        </is>
      </c>
      <c r="F12" s="15" t="inlineStr">
        <is>
          <t>2時</t>
        </is>
      </c>
      <c r="G12" s="15">
        <f>MAX(_計算!DS30:DS41)</f>
        <v/>
      </c>
      <c r="H12" s="15">
        <f>MAX(_計算!DT30:DT41)</f>
        <v/>
      </c>
      <c r="I12" s="15">
        <f>MAX(_計算!DU30:DU41)</f>
        <v/>
      </c>
      <c r="J12" s="15">
        <f>MAX(_計算!DV30:DV41)</f>
        <v/>
      </c>
      <c r="L12" s="15">
        <f>IF(マスター!$P$8="","",マスター!$P$8)</f>
        <v/>
      </c>
      <c r="M12" s="15">
        <f>IF(L12="","",マスター!$Q$8)</f>
        <v/>
      </c>
      <c r="N12" s="15">
        <f>IF(L12="","",COUNTIF(実績!$X$6:$X$505,L12))</f>
        <v/>
      </c>
      <c r="O12" s="15">
        <f>IF(L12="","",SUMIF(_計算!$C$1:$DR$1,L12,_計算!$C$4:$DR$4))</f>
        <v/>
      </c>
    </row>
    <row r="13">
      <c r="B13" s="5" t="inlineStr">
        <is>
          <t>同時稼働に含めた行</t>
        </is>
      </c>
      <c r="C13" s="15">
        <f>COUNTIF(実績!$AE$6:$AE$505,"○")</f>
        <v/>
      </c>
      <c r="D13" s="28" t="inlineStr">
        <is>
          <t>取消し・時刻なし・通船等を除く</t>
        </is>
      </c>
      <c r="F13" s="15" t="inlineStr">
        <is>
          <t>3時</t>
        </is>
      </c>
      <c r="G13" s="15">
        <f>MAX(_計算!DS42:DS53)</f>
        <v/>
      </c>
      <c r="H13" s="15">
        <f>MAX(_計算!DT42:DT53)</f>
        <v/>
      </c>
      <c r="I13" s="15">
        <f>MAX(_計算!DU42:DU53)</f>
        <v/>
      </c>
      <c r="J13" s="15">
        <f>MAX(_計算!DV42:DV53)</f>
        <v/>
      </c>
      <c r="L13" s="15">
        <f>IF(マスター!$P$9="","",マスター!$P$9)</f>
        <v/>
      </c>
      <c r="M13" s="15">
        <f>IF(L13="","",マスター!$Q$9)</f>
        <v/>
      </c>
      <c r="N13" s="15">
        <f>IF(L13="","",COUNTIF(実績!$X$6:$X$505,L13))</f>
        <v/>
      </c>
      <c r="O13" s="15">
        <f>IF(L13="","",SUMIF(_計算!$C$1:$DR$1,L13,_計算!$C$4:$DR$4))</f>
        <v/>
      </c>
    </row>
    <row r="14">
      <c r="B14" s="5" t="inlineStr">
        <is>
          <t>最大同時稼働隻数（候補）</t>
        </is>
      </c>
      <c r="C14" s="15">
        <f>MAX(_計算!$DS$6:$DS$293)</f>
        <v/>
      </c>
      <c r="D14" s="28" t="inlineStr">
        <is>
          <t>同じ船は1隻。複数本船の作業を重ねた5分刻みの最大</t>
        </is>
      </c>
      <c r="F14" s="15" t="inlineStr">
        <is>
          <t>4時</t>
        </is>
      </c>
      <c r="G14" s="15">
        <f>MAX(_計算!DS54:DS65)</f>
        <v/>
      </c>
      <c r="H14" s="15">
        <f>MAX(_計算!DT54:DT65)</f>
        <v/>
      </c>
      <c r="I14" s="15">
        <f>MAX(_計算!DU54:DU65)</f>
        <v/>
      </c>
      <c r="J14" s="15">
        <f>MAX(_計算!DV54:DV65)</f>
        <v/>
      </c>
      <c r="L14" s="15">
        <f>IF(マスター!$P$10="","",マスター!$P$10)</f>
        <v/>
      </c>
      <c r="M14" s="15">
        <f>IF(L14="","",マスター!$Q$10)</f>
        <v/>
      </c>
      <c r="N14" s="15">
        <f>IF(L14="","",COUNTIF(実績!$X$6:$X$505,L14))</f>
        <v/>
      </c>
      <c r="O14" s="15">
        <f>IF(L14="","",SUMIF(_計算!$C$1:$DR$1,L14,_計算!$C$4:$DR$4))</f>
        <v/>
      </c>
    </row>
    <row r="15">
      <c r="B15" s="5" t="inlineStr">
        <is>
          <t>最初にその隻数となった時刻</t>
        </is>
      </c>
      <c r="C15" s="17">
        <f>INDEX(_計算!$B$6:$B$293,MATCH(C14,_計算!$DS$6:$DS$293,0))</f>
        <v/>
      </c>
      <c r="F15" s="15" t="inlineStr">
        <is>
          <t>5時</t>
        </is>
      </c>
      <c r="G15" s="15">
        <f>MAX(_計算!DS66:DS77)</f>
        <v/>
      </c>
      <c r="H15" s="15">
        <f>MAX(_計算!DT66:DT77)</f>
        <v/>
      </c>
      <c r="I15" s="15">
        <f>MAX(_計算!DU66:DU77)</f>
        <v/>
      </c>
      <c r="J15" s="15">
        <f>MAX(_計算!DV66:DV77)</f>
        <v/>
      </c>
      <c r="L15" s="15">
        <f>IF(マスター!$P$11="","",マスター!$P$11)</f>
        <v/>
      </c>
      <c r="M15" s="15">
        <f>IF(L15="","",マスター!$Q$11)</f>
        <v/>
      </c>
      <c r="N15" s="15">
        <f>IF(L15="","",COUNTIF(実績!$X$6:$X$505,L15))</f>
        <v/>
      </c>
      <c r="O15" s="15">
        <f>IF(L15="","",SUMIF(_計算!$C$1:$DR$1,L15,_計算!$C$4:$DR$4))</f>
        <v/>
      </c>
    </row>
    <row r="16">
      <c r="B16" s="5" t="inlineStr">
        <is>
          <t>その時刻に作業中の本船作業数</t>
        </is>
      </c>
      <c r="C16" s="15">
        <f>INDEX(_計算!$DT$6:$DT$293,MATCH(C14,_計算!$DS$6:$DS$293,0))</f>
        <v/>
      </c>
      <c r="D16" s="28" t="inlineStr">
        <is>
          <t>1本船だけで3隻以上か、複数本船の重なりかを区別</t>
        </is>
      </c>
      <c r="F16" s="15" t="inlineStr">
        <is>
          <t>6時</t>
        </is>
      </c>
      <c r="G16" s="15">
        <f>MAX(_計算!DS78:DS89)</f>
        <v/>
      </c>
      <c r="H16" s="15">
        <f>MAX(_計算!DT78:DT89)</f>
        <v/>
      </c>
      <c r="I16" s="15">
        <f>MAX(_計算!DU78:DU89)</f>
        <v/>
      </c>
      <c r="J16" s="15">
        <f>MAX(_計算!DV78:DV89)</f>
        <v/>
      </c>
      <c r="L16" s="15">
        <f>IF(マスター!$P$12="","",マスター!$P$12)</f>
        <v/>
      </c>
      <c r="M16" s="15">
        <f>IF(L16="","",マスター!$Q$12)</f>
        <v/>
      </c>
      <c r="N16" s="15">
        <f>IF(L16="","",COUNTIF(実績!$X$6:$X$505,L16))</f>
        <v/>
      </c>
      <c r="O16" s="15">
        <f>IF(L16="","",SUMIF(_計算!$C$1:$DR$1,L16,_計算!$C$4:$DR$4))</f>
        <v/>
      </c>
    </row>
    <row r="17">
      <c r="B17" s="5" t="inlineStr">
        <is>
          <t>同時3隻以上の時間（分）</t>
        </is>
      </c>
      <c r="C17" s="15">
        <f>COUNTIF(_計算!$DS$6:$DS$293,"&gt;=3")*5</f>
        <v/>
      </c>
      <c r="F17" s="15" t="inlineStr">
        <is>
          <t>7時</t>
        </is>
      </c>
      <c r="G17" s="15">
        <f>MAX(_計算!DS90:DS101)</f>
        <v/>
      </c>
      <c r="H17" s="15">
        <f>MAX(_計算!DT90:DT101)</f>
        <v/>
      </c>
      <c r="I17" s="15">
        <f>MAX(_計算!DU90:DU101)</f>
        <v/>
      </c>
      <c r="J17" s="15">
        <f>MAX(_計算!DV90:DV101)</f>
        <v/>
      </c>
      <c r="L17" s="15">
        <f>IF(マスター!$P$13="","",マスター!$P$13)</f>
        <v/>
      </c>
      <c r="M17" s="15">
        <f>IF(L17="","",マスター!$Q$13)</f>
        <v/>
      </c>
      <c r="N17" s="15">
        <f>IF(L17="","",COUNTIF(実績!$X$6:$X$505,L17))</f>
        <v/>
      </c>
      <c r="O17" s="15">
        <f>IF(L17="","",SUMIF(_計算!$C$1:$DR$1,L17,_計算!$C$4:$DR$4))</f>
        <v/>
      </c>
    </row>
    <row r="18">
      <c r="B18" s="5" t="inlineStr">
        <is>
          <t xml:space="preserve">　うち複数本船の重なり（分）</t>
        </is>
      </c>
      <c r="C18" s="15">
        <f>SUMPRODUCT((_計算!$DS$6:$DS$293&gt;=3)*(_計算!$DT$6:$DT$293&gt;=2))*5</f>
        <v/>
      </c>
      <c r="F18" s="15" t="inlineStr">
        <is>
          <t>8時</t>
        </is>
      </c>
      <c r="G18" s="15">
        <f>MAX(_計算!DS102:DS113)</f>
        <v/>
      </c>
      <c r="H18" s="15">
        <f>MAX(_計算!DT102:DT113)</f>
        <v/>
      </c>
      <c r="I18" s="15">
        <f>MAX(_計算!DU102:DU113)</f>
        <v/>
      </c>
      <c r="J18" s="15">
        <f>MAX(_計算!DV102:DV113)</f>
        <v/>
      </c>
      <c r="L18" s="15">
        <f>IF(マスター!$P$14="","",マスター!$P$14)</f>
        <v/>
      </c>
      <c r="M18" s="15">
        <f>IF(L18="","",マスター!$Q$14)</f>
        <v/>
      </c>
      <c r="N18" s="15">
        <f>IF(L18="","",COUNTIF(実績!$X$6:$X$505,L18))</f>
        <v/>
      </c>
      <c r="O18" s="15">
        <f>IF(L18="","",SUMIF(_計算!$C$1:$DR$1,L18,_計算!$C$4:$DR$4))</f>
        <v/>
      </c>
    </row>
    <row r="19">
      <c r="B19" s="5" t="inlineStr">
        <is>
          <t xml:space="preserve">　うち1本船のみ（分）</t>
        </is>
      </c>
      <c r="C19" s="15">
        <f>SUMPRODUCT((_計算!$DS$6:$DS$293&gt;=3)*(_計算!$DT$6:$DT$293&lt;2))*5</f>
        <v/>
      </c>
      <c r="F19" s="15" t="inlineStr">
        <is>
          <t>9時</t>
        </is>
      </c>
      <c r="G19" s="15">
        <f>MAX(_計算!DS114:DS125)</f>
        <v/>
      </c>
      <c r="H19" s="15">
        <f>MAX(_計算!DT114:DT125)</f>
        <v/>
      </c>
      <c r="I19" s="15">
        <f>MAX(_計算!DU114:DU125)</f>
        <v/>
      </c>
      <c r="J19" s="15">
        <f>MAX(_計算!DV114:DV125)</f>
        <v/>
      </c>
      <c r="L19" s="15">
        <f>IF(マスター!$P$15="","",マスター!$P$15)</f>
        <v/>
      </c>
      <c r="M19" s="15">
        <f>IF(L19="","",マスター!$Q$15)</f>
        <v/>
      </c>
      <c r="N19" s="15">
        <f>IF(L19="","",COUNTIF(実績!$X$6:$X$505,L19))</f>
        <v/>
      </c>
      <c r="O19" s="15">
        <f>IF(L19="","",SUMIF(_計算!$C$1:$DR$1,L19,_計算!$C$4:$DR$4))</f>
        <v/>
      </c>
    </row>
    <row r="20">
      <c r="B20" s="5" t="inlineStr">
        <is>
          <t>同時4隻以上の時間（分）</t>
        </is>
      </c>
      <c r="C20" s="15">
        <f>COUNTIF(_計算!$DS$6:$DS$293,"&gt;=4")*5</f>
        <v/>
      </c>
      <c r="F20" s="15" t="inlineStr">
        <is>
          <t>10時</t>
        </is>
      </c>
      <c r="G20" s="15">
        <f>MAX(_計算!DS126:DS137)</f>
        <v/>
      </c>
      <c r="H20" s="15">
        <f>MAX(_計算!DT126:DT137)</f>
        <v/>
      </c>
      <c r="I20" s="15">
        <f>MAX(_計算!DU126:DU137)</f>
        <v/>
      </c>
      <c r="J20" s="15">
        <f>MAX(_計算!DV126:DV137)</f>
        <v/>
      </c>
      <c r="L20" s="15">
        <f>IF(マスター!$P$16="","",マスター!$P$16)</f>
        <v/>
      </c>
      <c r="M20" s="15">
        <f>IF(L20="","",マスター!$Q$16)</f>
        <v/>
      </c>
      <c r="N20" s="15">
        <f>IF(L20="","",COUNTIF(実績!$X$6:$X$505,L20))</f>
        <v/>
      </c>
      <c r="O20" s="15">
        <f>IF(L20="","",SUMIF(_計算!$C$1:$DR$1,L20,_計算!$C$4:$DR$4))</f>
        <v/>
      </c>
    </row>
    <row r="21">
      <c r="B21" s="5" t="inlineStr">
        <is>
          <t>同時5隻以上の時間（分）</t>
        </is>
      </c>
      <c r="C21" s="15">
        <f>COUNTIF(_計算!$DS$6:$DS$293,"&gt;=5")*5</f>
        <v/>
      </c>
      <c r="F21" s="15" t="inlineStr">
        <is>
          <t>11時</t>
        </is>
      </c>
      <c r="G21" s="15">
        <f>MAX(_計算!DS138:DS149)</f>
        <v/>
      </c>
      <c r="H21" s="15">
        <f>MAX(_計算!DT138:DT149)</f>
        <v/>
      </c>
      <c r="I21" s="15">
        <f>MAX(_計算!DU138:DU149)</f>
        <v/>
      </c>
      <c r="J21" s="15">
        <f>MAX(_計算!DV138:DV149)</f>
        <v/>
      </c>
      <c r="L21" s="15">
        <f>IF(マスター!$P$17="","",マスター!$P$17)</f>
        <v/>
      </c>
      <c r="M21" s="15">
        <f>IF(L21="","",マスター!$Q$17)</f>
        <v/>
      </c>
      <c r="N21" s="15">
        <f>IF(L21="","",COUNTIF(実績!$X$6:$X$505,L21))</f>
        <v/>
      </c>
      <c r="O21" s="15">
        <f>IF(L21="","",SUMIF(_計算!$C$1:$DR$1,L21,_計算!$C$4:$DR$4))</f>
        <v/>
      </c>
    </row>
    <row r="22">
      <c r="B22" s="5" t="inlineStr">
        <is>
          <t>製鉄曳船（会社要確認）の最大同時</t>
        </is>
      </c>
      <c r="C22" s="15">
        <f>MAX(_計算!$DU$6:$DU$293)</f>
        <v/>
      </c>
      <c r="D22" s="28" t="inlineStr">
        <is>
          <t>マスターで会社区分が「製鉄曳船」の船</t>
        </is>
      </c>
      <c r="F22" s="15" t="inlineStr">
        <is>
          <t>12時</t>
        </is>
      </c>
      <c r="G22" s="15">
        <f>MAX(_計算!DS150:DS161)</f>
        <v/>
      </c>
      <c r="H22" s="15">
        <f>MAX(_計算!DT150:DT161)</f>
        <v/>
      </c>
      <c r="I22" s="15">
        <f>MAX(_計算!DU150:DU161)</f>
        <v/>
      </c>
      <c r="J22" s="15">
        <f>MAX(_計算!DV150:DV161)</f>
        <v/>
      </c>
      <c r="L22" s="15">
        <f>IF(マスター!$P$18="","",マスター!$P$18)</f>
        <v/>
      </c>
      <c r="M22" s="15">
        <f>IF(L22="","",マスター!$Q$18)</f>
        <v/>
      </c>
      <c r="N22" s="15">
        <f>IF(L22="","",COUNTIF(実績!$X$6:$X$505,L22))</f>
        <v/>
      </c>
      <c r="O22" s="15">
        <f>IF(L22="","",SUMIF(_計算!$C$1:$DR$1,L22,_計算!$C$4:$DR$4))</f>
        <v/>
      </c>
    </row>
    <row r="23">
      <c r="B23" s="5" t="inlineStr">
        <is>
          <t>西日本海運の最大同時</t>
        </is>
      </c>
      <c r="C23" s="15">
        <f>MAX(_計算!$DV$6:$DV$293)</f>
        <v/>
      </c>
      <c r="F23" s="15" t="inlineStr">
        <is>
          <t>13時</t>
        </is>
      </c>
      <c r="G23" s="15">
        <f>MAX(_計算!DS162:DS173)</f>
        <v/>
      </c>
      <c r="H23" s="15">
        <f>MAX(_計算!DT162:DT173)</f>
        <v/>
      </c>
      <c r="I23" s="15">
        <f>MAX(_計算!DU162:DU173)</f>
        <v/>
      </c>
      <c r="J23" s="15">
        <f>MAX(_計算!DV162:DV173)</f>
        <v/>
      </c>
      <c r="L23" s="15">
        <f>IF(マスター!$P$19="","",マスター!$P$19)</f>
        <v/>
      </c>
      <c r="M23" s="15">
        <f>IF(L23="","",マスター!$Q$19)</f>
        <v/>
      </c>
      <c r="N23" s="15">
        <f>IF(L23="","",COUNTIF(実績!$X$6:$X$505,L23))</f>
        <v/>
      </c>
      <c r="O23" s="15">
        <f>IF(L23="","",SUMIF(_計算!$C$1:$DR$1,L23,_計算!$C$4:$DR$4))</f>
        <v/>
      </c>
    </row>
    <row r="24">
      <c r="B24" s="5" t="inlineStr">
        <is>
          <t>重複配船の警告がある行</t>
        </is>
      </c>
      <c r="C24" s="15">
        <f>COUNTIF(実績!$AH$6:$AH$505,"同じ*")</f>
        <v/>
      </c>
      <c r="D24" s="28" t="inlineStr">
        <is>
          <t>同じ船が同じ時間に別作業</t>
        </is>
      </c>
      <c r="F24" s="15" t="inlineStr">
        <is>
          <t>14時</t>
        </is>
      </c>
      <c r="G24" s="15">
        <f>MAX(_計算!DS174:DS185)</f>
        <v/>
      </c>
      <c r="H24" s="15">
        <f>MAX(_計算!DT174:DT185)</f>
        <v/>
      </c>
      <c r="I24" s="15">
        <f>MAX(_計算!DU174:DU185)</f>
        <v/>
      </c>
      <c r="J24" s="15">
        <f>MAX(_計算!DV174:DV185)</f>
        <v/>
      </c>
      <c r="L24" s="15">
        <f>IF(マスター!$P$20="","",マスター!$P$20)</f>
        <v/>
      </c>
      <c r="M24" s="15">
        <f>IF(L24="","",マスター!$Q$20)</f>
        <v/>
      </c>
      <c r="N24" s="15">
        <f>IF(L24="","",COUNTIF(実績!$X$6:$X$505,L24))</f>
        <v/>
      </c>
      <c r="O24" s="15">
        <f>IF(L24="","",SUMIF(_計算!$C$1:$DR$1,L24,_計算!$C$4:$DR$4))</f>
        <v/>
      </c>
    </row>
    <row r="25">
      <c r="B25" s="5" t="inlineStr">
        <is>
          <t>マスター未登録の行</t>
        </is>
      </c>
      <c r="C25" s="15">
        <f>COUNTIF(実績!$X$6:$X$505,"マスター未登録")</f>
        <v/>
      </c>
      <c r="D25" s="28" t="inlineStr">
        <is>
          <t>マスターへ追加すると解消</t>
        </is>
      </c>
      <c r="F25" s="15" t="inlineStr">
        <is>
          <t>15時</t>
        </is>
      </c>
      <c r="G25" s="15">
        <f>MAX(_計算!DS186:DS197)</f>
        <v/>
      </c>
      <c r="H25" s="15">
        <f>MAX(_計算!DT186:DT197)</f>
        <v/>
      </c>
      <c r="I25" s="15">
        <f>MAX(_計算!DU186:DU197)</f>
        <v/>
      </c>
      <c r="J25" s="15">
        <f>MAX(_計算!DV186:DV197)</f>
        <v/>
      </c>
      <c r="L25" s="15">
        <f>IF(マスター!$P$21="","",マスター!$P$21)</f>
        <v/>
      </c>
      <c r="M25" s="15">
        <f>IF(L25="","",マスター!$Q$21)</f>
        <v/>
      </c>
      <c r="N25" s="15">
        <f>IF(L25="","",COUNTIF(実績!$X$6:$X$505,L25))</f>
        <v/>
      </c>
      <c r="O25" s="15">
        <f>IF(L25="","",SUMIF(_計算!$C$1:$DR$1,L25,_計算!$C$4:$DR$4))</f>
        <v/>
      </c>
    </row>
    <row r="26">
      <c r="B26" s="5" t="inlineStr">
        <is>
          <t>船名・会社が確認済みでない行</t>
        </is>
      </c>
      <c r="C26" s="15">
        <f>COUNTA(実績!$R$6:$R$505)-COUNTIF(実績!$Z$6:$Z$505,"確認済み")</f>
        <v/>
      </c>
      <c r="D26" s="28" t="inlineStr">
        <is>
          <t>未確認として残している</t>
        </is>
      </c>
      <c r="F26" s="15" t="inlineStr">
        <is>
          <t>16時</t>
        </is>
      </c>
      <c r="G26" s="15">
        <f>MAX(_計算!DS198:DS209)</f>
        <v/>
      </c>
      <c r="H26" s="15">
        <f>MAX(_計算!DT198:DT209)</f>
        <v/>
      </c>
      <c r="I26" s="15">
        <f>MAX(_計算!DU198:DU209)</f>
        <v/>
      </c>
      <c r="J26" s="15">
        <f>MAX(_計算!DV198:DV209)</f>
        <v/>
      </c>
      <c r="L26" s="15">
        <f>IF(マスター!$P$22="","",マスター!$P$22)</f>
        <v/>
      </c>
      <c r="M26" s="15">
        <f>IF(L26="","",マスター!$Q$22)</f>
        <v/>
      </c>
      <c r="N26" s="15">
        <f>IF(L26="","",COUNTIF(実績!$X$6:$X$505,L26))</f>
        <v/>
      </c>
      <c r="O26" s="15">
        <f>IF(L26="","",SUMIF(_計算!$C$1:$DR$1,L26,_計算!$C$4:$DR$4))</f>
        <v/>
      </c>
    </row>
    <row r="27">
      <c r="F27" s="15" t="inlineStr">
        <is>
          <t>17時</t>
        </is>
      </c>
      <c r="G27" s="15">
        <f>MAX(_計算!DS210:DS221)</f>
        <v/>
      </c>
      <c r="H27" s="15">
        <f>MAX(_計算!DT210:DT221)</f>
        <v/>
      </c>
      <c r="I27" s="15">
        <f>MAX(_計算!DU210:DU221)</f>
        <v/>
      </c>
      <c r="J27" s="15">
        <f>MAX(_計算!DV210:DV221)</f>
        <v/>
      </c>
      <c r="L27" s="15">
        <f>IF(マスター!$P$23="","",マスター!$P$23)</f>
        <v/>
      </c>
      <c r="M27" s="15">
        <f>IF(L27="","",マスター!$Q$23)</f>
        <v/>
      </c>
      <c r="N27" s="15">
        <f>IF(L27="","",COUNTIF(実績!$X$6:$X$505,L27))</f>
        <v/>
      </c>
      <c r="O27" s="15">
        <f>IF(L27="","",SUMIF(_計算!$C$1:$DR$1,L27,_計算!$C$4:$DR$4))</f>
        <v/>
      </c>
    </row>
    <row r="28">
      <c r="B28" s="18" t="inlineStr">
        <is>
          <t>■ 会社区分別（実績）</t>
        </is>
      </c>
      <c r="F28" s="15" t="inlineStr">
        <is>
          <t>18時</t>
        </is>
      </c>
      <c r="G28" s="15">
        <f>MAX(_計算!DS222:DS233)</f>
        <v/>
      </c>
      <c r="H28" s="15">
        <f>MAX(_計算!DT222:DT233)</f>
        <v/>
      </c>
      <c r="I28" s="15">
        <f>MAX(_計算!DU222:DU233)</f>
        <v/>
      </c>
      <c r="J28" s="15">
        <f>MAX(_計算!DV222:DV233)</f>
        <v/>
      </c>
      <c r="L28" s="15">
        <f>IF(マスター!$P$24="","",マスター!$P$24)</f>
        <v/>
      </c>
      <c r="M28" s="15">
        <f>IF(L28="","",マスター!$Q$24)</f>
        <v/>
      </c>
      <c r="N28" s="15">
        <f>IF(L28="","",COUNTIF(実績!$X$6:$X$505,L28))</f>
        <v/>
      </c>
      <c r="O28" s="15">
        <f>IF(L28="","",SUMIF(_計算!$C$1:$DR$1,L28,_計算!$C$4:$DR$4))</f>
        <v/>
      </c>
    </row>
    <row r="29">
      <c r="B29" s="14" t="inlineStr">
        <is>
          <t>会社区分【自動】</t>
        </is>
      </c>
      <c r="C29" s="14" t="inlineStr">
        <is>
          <t>延べタグ【自動】</t>
        </is>
      </c>
      <c r="D29" s="14" t="inlineStr">
        <is>
          <t>稼働した船数【自動】</t>
        </is>
      </c>
      <c r="F29" s="15" t="inlineStr">
        <is>
          <t>19時</t>
        </is>
      </c>
      <c r="G29" s="15">
        <f>MAX(_計算!DS234:DS245)</f>
        <v/>
      </c>
      <c r="H29" s="15">
        <f>MAX(_計算!DT234:DT245)</f>
        <v/>
      </c>
      <c r="I29" s="15">
        <f>MAX(_計算!DU234:DU245)</f>
        <v/>
      </c>
      <c r="J29" s="15">
        <f>MAX(_計算!DV234:DV245)</f>
        <v/>
      </c>
      <c r="L29" s="15">
        <f>IF(マスター!$P$25="","",マスター!$P$25)</f>
        <v/>
      </c>
      <c r="M29" s="15">
        <f>IF(L29="","",マスター!$Q$25)</f>
        <v/>
      </c>
      <c r="N29" s="15">
        <f>IF(L29="","",COUNTIF(実績!$X$6:$X$505,L29))</f>
        <v/>
      </c>
      <c r="O29" s="15">
        <f>IF(L29="","",SUMIF(_計算!$C$1:$DR$1,L29,_計算!$C$4:$DR$4))</f>
        <v/>
      </c>
    </row>
    <row r="30">
      <c r="B30" s="15" t="inlineStr">
        <is>
          <t>製鉄曳船</t>
        </is>
      </c>
      <c r="C30" s="15">
        <f>COUNTIF(実績!$Y$6:$Y$505,B30)</f>
        <v/>
      </c>
      <c r="D30" s="15">
        <f>SUMIF(_計算!$C$2:$DR$2,B30,_計算!$C$4:$DR$4)</f>
        <v/>
      </c>
      <c r="F30" s="15" t="inlineStr">
        <is>
          <t>20時</t>
        </is>
      </c>
      <c r="G30" s="15">
        <f>MAX(_計算!DS246:DS257)</f>
        <v/>
      </c>
      <c r="H30" s="15">
        <f>MAX(_計算!DT246:DT257)</f>
        <v/>
      </c>
      <c r="I30" s="15">
        <f>MAX(_計算!DU246:DU257)</f>
        <v/>
      </c>
      <c r="J30" s="15">
        <f>MAX(_計算!DV246:DV257)</f>
        <v/>
      </c>
      <c r="L30" s="15">
        <f>IF(マスター!$P$26="","",マスター!$P$26)</f>
        <v/>
      </c>
      <c r="M30" s="15">
        <f>IF(L30="","",マスター!$Q$26)</f>
        <v/>
      </c>
      <c r="N30" s="15">
        <f>IF(L30="","",COUNTIF(実績!$X$6:$X$505,L30))</f>
        <v/>
      </c>
      <c r="O30" s="15">
        <f>IF(L30="","",SUMIF(_計算!$C$1:$DR$1,L30,_計算!$C$4:$DR$4))</f>
        <v/>
      </c>
    </row>
    <row r="31">
      <c r="B31" s="15" t="inlineStr">
        <is>
          <t>西日本海運</t>
        </is>
      </c>
      <c r="C31" s="15">
        <f>COUNTIF(実績!$Y$6:$Y$505,B31)</f>
        <v/>
      </c>
      <c r="D31" s="15">
        <f>SUMIF(_計算!$C$2:$DR$2,B31,_計算!$C$4:$DR$4)</f>
        <v/>
      </c>
      <c r="F31" s="15" t="inlineStr">
        <is>
          <t>21時</t>
        </is>
      </c>
      <c r="G31" s="15">
        <f>MAX(_計算!DS258:DS269)</f>
        <v/>
      </c>
      <c r="H31" s="15">
        <f>MAX(_計算!DT258:DT269)</f>
        <v/>
      </c>
      <c r="I31" s="15">
        <f>MAX(_計算!DU258:DU269)</f>
        <v/>
      </c>
      <c r="J31" s="15">
        <f>MAX(_計算!DV258:DV269)</f>
        <v/>
      </c>
      <c r="L31" s="15">
        <f>IF(マスター!$P$27="","",マスター!$P$27)</f>
        <v/>
      </c>
      <c r="M31" s="15">
        <f>IF(L31="","",マスター!$Q$27)</f>
        <v/>
      </c>
      <c r="N31" s="15">
        <f>IF(L31="","",COUNTIF(実績!$X$6:$X$505,L31))</f>
        <v/>
      </c>
      <c r="O31" s="15">
        <f>IF(L31="","",SUMIF(_計算!$C$1:$DR$1,L31,_計算!$C$4:$DR$4))</f>
        <v/>
      </c>
    </row>
    <row r="32">
      <c r="B32" s="15" t="inlineStr">
        <is>
          <t>他社</t>
        </is>
      </c>
      <c r="C32" s="15">
        <f>COUNTIF(実績!$Y$6:$Y$505,B32)</f>
        <v/>
      </c>
      <c r="D32" s="15">
        <f>SUMIF(_計算!$C$2:$DR$2,B32,_計算!$C$4:$DR$4)</f>
        <v/>
      </c>
      <c r="F32" s="15" t="inlineStr">
        <is>
          <t>22時</t>
        </is>
      </c>
      <c r="G32" s="15">
        <f>MAX(_計算!DS270:DS281)</f>
        <v/>
      </c>
      <c r="H32" s="15">
        <f>MAX(_計算!DT270:DT281)</f>
        <v/>
      </c>
      <c r="I32" s="15">
        <f>MAX(_計算!DU270:DU281)</f>
        <v/>
      </c>
      <c r="J32" s="15">
        <f>MAX(_計算!DV270:DV281)</f>
        <v/>
      </c>
      <c r="L32" s="15">
        <f>IF(マスター!$P$28="","",マスター!$P$28)</f>
        <v/>
      </c>
      <c r="M32" s="15">
        <f>IF(L32="","",マスター!$Q$28)</f>
        <v/>
      </c>
      <c r="N32" s="15">
        <f>IF(L32="","",COUNTIF(実績!$X$6:$X$505,L32))</f>
        <v/>
      </c>
      <c r="O32" s="15">
        <f>IF(L32="","",SUMIF(_計算!$C$1:$DR$1,L32,_計算!$C$4:$DR$4))</f>
        <v/>
      </c>
    </row>
    <row r="33">
      <c r="B33" s="15" t="inlineStr">
        <is>
          <t>未確認</t>
        </is>
      </c>
      <c r="C33" s="15">
        <f>COUNTIF(実績!$Y$6:$Y$505,B33)</f>
        <v/>
      </c>
      <c r="D33" s="15">
        <f>SUMIF(_計算!$C$2:$DR$2,B33,_計算!$C$4:$DR$4)</f>
        <v/>
      </c>
      <c r="F33" s="15" t="inlineStr">
        <is>
          <t>23時</t>
        </is>
      </c>
      <c r="G33" s="15">
        <f>MAX(_計算!DS282:DS293)</f>
        <v/>
      </c>
      <c r="H33" s="15">
        <f>MAX(_計算!DT282:DT293)</f>
        <v/>
      </c>
      <c r="I33" s="15">
        <f>MAX(_計算!DU282:DU293)</f>
        <v/>
      </c>
      <c r="J33" s="15">
        <f>MAX(_計算!DV282:DV293)</f>
        <v/>
      </c>
      <c r="L33" s="15">
        <f>IF(マスター!$P$29="","",マスター!$P$29)</f>
        <v/>
      </c>
      <c r="M33" s="15">
        <f>IF(L33="","",マスター!$Q$29)</f>
        <v/>
      </c>
      <c r="N33" s="15">
        <f>IF(L33="","",COUNTIF(実績!$X$6:$X$505,L33))</f>
        <v/>
      </c>
      <c r="O33" s="15">
        <f>IF(L33="","",SUMIF(_計算!$C$1:$DR$1,L33,_計算!$C$4:$DR$4))</f>
        <v/>
      </c>
    </row>
    <row r="34">
      <c r="B34" s="15" t="inlineStr">
        <is>
          <t>マスター未登録</t>
        </is>
      </c>
      <c r="C34" s="15">
        <f>COUNTIF(実績!$Y$6:$Y$505,B34)</f>
        <v/>
      </c>
      <c r="D34" s="15" t="inlineStr">
        <is>
          <t>—</t>
        </is>
      </c>
      <c r="L34" s="15">
        <f>IF(マスター!$P$30="","",マスター!$P$30)</f>
        <v/>
      </c>
      <c r="M34" s="15">
        <f>IF(L34="","",マスター!$Q$30)</f>
        <v/>
      </c>
      <c r="N34" s="15">
        <f>IF(L34="","",COUNTIF(実績!$X$6:$X$505,L34))</f>
        <v/>
      </c>
      <c r="O34" s="15">
        <f>IF(L34="","",SUMIF(_計算!$C$1:$DR$1,L34,_計算!$C$4:$DR$4))</f>
        <v/>
      </c>
    </row>
    <row r="35">
      <c r="B35" s="15" t="inlineStr">
        <is>
          <t>安瀬候補のタグ（按分配船・応援に含めない）</t>
        </is>
      </c>
      <c r="C35" s="15">
        <f>COUNTIFS(実績!$Y$6:$Y$505,"他社",実績!$AB$6:$AB$505,"安瀬*")+COUNTIFS(実績!$Y$6:$Y$505,"未確認",実績!$AB$6:$AB$505,"安瀬*")</f>
        <v/>
      </c>
      <c r="L35" s="15">
        <f>IF(マスター!$P$31="","",マスター!$P$31)</f>
        <v/>
      </c>
      <c r="M35" s="15">
        <f>IF(L35="","",マスター!$Q$31)</f>
        <v/>
      </c>
      <c r="N35" s="15">
        <f>IF(L35="","",COUNTIF(実績!$X$6:$X$505,L35))</f>
        <v/>
      </c>
      <c r="O35" s="15">
        <f>IF(L35="","",SUMIF(_計算!$C$1:$DR$1,L35,_計算!$C$4:$DR$4))</f>
        <v/>
      </c>
    </row>
    <row r="36">
      <c r="B36" s="15" t="inlineStr">
        <is>
          <t>他社・会社未確認のタグ（安瀬候補を除く）</t>
        </is>
      </c>
      <c r="C36" s="15">
        <f>COUNTIFS(実績!$Y$6:$Y$505,"他社",実績!$AB$6:$AB$505,"")+COUNTIFS(実績!$Y$6:$Y$505,"未確認",実績!$AB$6:$AB$505,"")</f>
        <v/>
      </c>
      <c r="L36" s="15">
        <f>IF(マスター!$P$32="","",マスター!$P$32)</f>
        <v/>
      </c>
      <c r="M36" s="15">
        <f>IF(L36="","",マスター!$Q$32)</f>
        <v/>
      </c>
      <c r="N36" s="15">
        <f>IF(L36="","",COUNTIF(実績!$X$6:$X$505,L36))</f>
        <v/>
      </c>
      <c r="O36" s="15">
        <f>IF(L36="","",SUMIF(_計算!$C$1:$DR$1,L36,_計算!$C$4:$DR$4))</f>
        <v/>
      </c>
    </row>
    <row r="37">
      <c r="B37" s="28" t="inlineStr">
        <is>
          <t>※ 安瀬候補は品名「支給炭」による仮の判定（要確認）。他社が実績で参加していないことを「応援不可」とは扱いません。</t>
        </is>
      </c>
      <c r="L37" s="15">
        <f>IF(マスター!$P$33="","",マスター!$P$33)</f>
        <v/>
      </c>
      <c r="M37" s="15">
        <f>IF(L37="","",マスター!$Q$33)</f>
        <v/>
      </c>
      <c r="N37" s="15">
        <f>IF(L37="","",COUNTIF(実績!$X$6:$X$505,L37))</f>
        <v/>
      </c>
      <c r="O37" s="15">
        <f>IF(L37="","",SUMIF(_計算!$C$1:$DR$1,L37,_計算!$C$4:$DR$4))</f>
        <v/>
      </c>
    </row>
    <row r="38">
      <c r="L38" s="15">
        <f>IF(マスター!$P$34="","",マスター!$P$34)</f>
        <v/>
      </c>
      <c r="M38" s="15">
        <f>IF(L38="","",マスター!$Q$34)</f>
        <v/>
      </c>
      <c r="N38" s="15">
        <f>IF(L38="","",COUNTIF(実績!$X$6:$X$505,L38))</f>
        <v/>
      </c>
      <c r="O38" s="15">
        <f>IF(L38="","",SUMIF(_計算!$C$1:$DR$1,L38,_計算!$C$4:$DR$4))</f>
        <v/>
      </c>
    </row>
    <row r="39">
      <c r="B39" s="18" t="inlineStr">
        <is>
          <t>■ 予定・出勤手配・同時稼働（それぞれ別の数値）</t>
        </is>
      </c>
      <c r="L39" s="15">
        <f>IF(マスター!$P$35="","",マスター!$P$35)</f>
        <v/>
      </c>
      <c r="M39" s="15">
        <f>IF(L39="","",マスター!$Q$35)</f>
        <v/>
      </c>
      <c r="N39" s="15">
        <f>IF(L39="","",COUNTIF(実績!$X$6:$X$505,L39))</f>
        <v/>
      </c>
      <c r="O39" s="15">
        <f>IF(L39="","",SUMIF(_計算!$C$1:$DR$1,L39,_計算!$C$4:$DR$4))</f>
        <v/>
      </c>
    </row>
    <row r="40">
      <c r="B40" s="5" t="inlineStr">
        <is>
          <t>前日確定の照合状況</t>
        </is>
      </c>
      <c r="C40" s="15">
        <f>'前日確定'!$C$10</f>
        <v/>
      </c>
      <c r="L40" s="15">
        <f>IF(マスター!$P$36="","",マスター!$P$36)</f>
        <v/>
      </c>
      <c r="M40" s="15">
        <f>IF(L40="","",マスター!$Q$36)</f>
        <v/>
      </c>
      <c r="N40" s="15">
        <f>IF(L40="","",COUNTIF(実績!$X$6:$X$505,L40))</f>
        <v/>
      </c>
      <c r="O40" s="15">
        <f>IF(L40="","",SUMIF(_計算!$C$1:$DR$1,L40,_計算!$C$4:$DR$4))</f>
        <v/>
      </c>
    </row>
    <row r="41">
      <c r="B41" s="5" t="inlineStr">
        <is>
          <t>前日最終の予定時刻を入力した作業数</t>
        </is>
      </c>
      <c r="C41" s="15">
        <f>COUNT('前日確定'!$J$26:$J$45)</f>
        <v/>
      </c>
      <c r="L41" s="15">
        <f>IF(マスター!$P$37="","",マスター!$P$37)</f>
        <v/>
      </c>
      <c r="M41" s="15">
        <f>IF(L41="","",マスター!$Q$37)</f>
        <v/>
      </c>
      <c r="N41" s="15">
        <f>IF(L41="","",COUNTIF(実績!$X$6:$X$505,L41))</f>
        <v/>
      </c>
      <c r="O41" s="15">
        <f>IF(L41="","",SUMIF(_計算!$C$1:$DR$1,L41,_計算!$C$4:$DR$4))</f>
        <v/>
      </c>
    </row>
    <row r="42">
      <c r="B42" s="5" t="inlineStr">
        <is>
          <t>予定のみ（実績なし）の作業数</t>
        </is>
      </c>
      <c r="C42" s="15">
        <f>COUNTIF('前日確定'!$A$26:$A$45,"予定のみ")</f>
        <v/>
      </c>
      <c r="L42" s="15">
        <f>IF(マスター!$P$38="","",マスター!$P$38)</f>
        <v/>
      </c>
      <c r="M42" s="15">
        <f>IF(L42="","",マスター!$Q$38)</f>
        <v/>
      </c>
      <c r="N42" s="15">
        <f>IF(L42="","",COUNTIF(実績!$X$6:$X$505,L42))</f>
        <v/>
      </c>
      <c r="O42" s="15">
        <f>IF(L42="","",SUMIF(_計算!$C$1:$DR$1,L42,_計算!$C$4:$DR$4))</f>
        <v/>
      </c>
    </row>
    <row r="43">
      <c r="B43" s="5" t="inlineStr">
        <is>
          <t>作業予定タグ数（前日確定・延べ）</t>
        </is>
      </c>
      <c r="C43" s="15">
        <f>SUM('前日確定'!$Q$26:$Q$45)</f>
        <v/>
      </c>
      <c r="L43" s="15">
        <f>IF(マスター!$P$39="","",マスター!$P$39)</f>
        <v/>
      </c>
      <c r="M43" s="15">
        <f>IF(L43="","",マスター!$Q$39)</f>
        <v/>
      </c>
      <c r="N43" s="15">
        <f>IF(L43="","",COUNTIF(実績!$X$6:$X$505,L43))</f>
        <v/>
      </c>
      <c r="O43" s="15">
        <f>IF(L43="","",SUMIF(_計算!$C$1:$DR$1,L43,_計算!$C$4:$DR$4))</f>
        <v/>
      </c>
    </row>
    <row r="44">
      <c r="B44" s="5" t="inlineStr">
        <is>
          <t>翌日の出勤手配隻数</t>
        </is>
      </c>
      <c r="C44" s="15">
        <f>'前日確定'!$C$22</f>
        <v/>
      </c>
      <c r="L44" s="15">
        <f>IF(マスター!$P$40="","",マスター!$P$40)</f>
        <v/>
      </c>
      <c r="M44" s="15">
        <f>IF(L44="","",マスター!$Q$40)</f>
        <v/>
      </c>
      <c r="N44" s="15">
        <f>IF(L44="","",COUNTIF(実績!$X$6:$X$505,L44))</f>
        <v/>
      </c>
      <c r="O44" s="15">
        <f>IF(L44="","",SUMIF(_計算!$C$1:$DR$1,L44,_計算!$C$4:$DR$4))</f>
        <v/>
      </c>
    </row>
    <row r="45">
      <c r="B45" s="5" t="inlineStr">
        <is>
          <t>実績の最大同時稼働（候補）</t>
        </is>
      </c>
      <c r="C45" s="15">
        <f>C14</f>
        <v/>
      </c>
      <c r="L45" s="15">
        <f>IF(マスター!$P$41="","",マスター!$P$41)</f>
        <v/>
      </c>
      <c r="M45" s="15">
        <f>IF(L45="","",マスター!$Q$41)</f>
        <v/>
      </c>
      <c r="N45" s="15">
        <f>IF(L45="","",COUNTIF(実績!$X$6:$X$505,L45))</f>
        <v/>
      </c>
      <c r="O45" s="15">
        <f>IF(L45="","",SUMIF(_計算!$C$1:$DR$1,L45,_計算!$C$4:$DR$4))</f>
        <v/>
      </c>
    </row>
    <row r="46">
      <c r="B46" s="5" t="inlineStr">
        <is>
          <t>同時に必要な隻数</t>
        </is>
      </c>
      <c r="C46" s="15" t="inlineStr">
        <is>
          <t>未入力（代表事例で別途確認）</t>
        </is>
      </c>
      <c r="D46" s="28" t="inlineStr">
        <is>
          <t>予定上の4隻出勤は4隻同時必要の証明ではない</t>
        </is>
      </c>
      <c r="L46" s="15">
        <f>IF(マスター!$P$42="","",マスター!$P$42)</f>
        <v/>
      </c>
      <c r="M46" s="15">
        <f>IF(L46="","",マスター!$Q$42)</f>
        <v/>
      </c>
      <c r="N46" s="15">
        <f>IF(L46="","",COUNTIF(実績!$X$6:$X$505,L46))</f>
        <v/>
      </c>
      <c r="O46" s="15">
        <f>IF(L46="","",SUMIF(_計算!$C$1:$DR$1,L46,_計算!$C$4:$DR$4))</f>
        <v/>
      </c>
    </row>
    <row r="47">
      <c r="L47" s="15">
        <f>IF(マスター!$P$43="","",マスター!$P$43)</f>
        <v/>
      </c>
      <c r="M47" s="15">
        <f>IF(L47="","",マスター!$Q$43)</f>
        <v/>
      </c>
      <c r="N47" s="15">
        <f>IF(L47="","",COUNTIF(実績!$X$6:$X$505,L47))</f>
        <v/>
      </c>
      <c r="O47" s="15">
        <f>IF(L47="","",SUMIF(_計算!$C$1:$DR$1,L47,_計算!$C$4:$DR$4))</f>
        <v/>
      </c>
    </row>
    <row r="48">
      <c r="B48" s="18" t="inlineStr">
        <is>
          <t>■ 変更・キャンセル</t>
        </is>
      </c>
      <c r="L48" s="15">
        <f>IF(マスター!$P$44="","",マスター!$P$44)</f>
        <v/>
      </c>
      <c r="M48" s="15">
        <f>IF(L48="","",マスター!$Q$44)</f>
        <v/>
      </c>
      <c r="N48" s="15">
        <f>IF(L48="","",COUNTIF(実績!$X$6:$X$505,L48))</f>
        <v/>
      </c>
      <c r="O48" s="15">
        <f>IF(L48="","",SUMIF(_計算!$C$1:$DR$1,L48,_計算!$C$4:$DR$4))</f>
        <v/>
      </c>
    </row>
    <row r="49">
      <c r="B49" s="5" t="inlineStr">
        <is>
          <t>対象日の変更確認</t>
        </is>
      </c>
      <c r="C49" s="15">
        <f>IFERROR(IF(INDEX('変更・キャンセル'!$B$7:$B$11,MATCH(C5,'変更・キャンセル'!$A$7:$A$11,0))="","未確認",INDEX('変更・キャンセル'!$B$7:$B$11,MATCH(C5,'変更・キャンセル'!$A$7:$A$11,0))),"未入力（未確認）")</f>
        <v/>
      </c>
      <c r="L49" s="15">
        <f>IF(マスター!$P$45="","",マスター!$P$45)</f>
        <v/>
      </c>
      <c r="M49" s="15">
        <f>IF(L49="","",マスター!$Q$45)</f>
        <v/>
      </c>
      <c r="N49" s="15">
        <f>IF(L49="","",COUNTIF(実績!$X$6:$X$505,L49))</f>
        <v/>
      </c>
      <c r="O49" s="15">
        <f>IF(L49="","",SUMIF(_計算!$C$1:$DR$1,L49,_計算!$C$4:$DR$4))</f>
        <v/>
      </c>
    </row>
    <row r="50">
      <c r="B50" s="5" t="inlineStr">
        <is>
          <t>全船休航</t>
        </is>
      </c>
      <c r="C50" s="15">
        <f>IFERROR(IF(INDEX('変更・キャンセル'!$C$7:$C$11,MATCH(C5,'変更・キャンセル'!$A$7:$A$11,0))="○","○",""),"")</f>
        <v/>
      </c>
      <c r="L50" s="15" t="inlineStr">
        <is>
          <t>会社未確認</t>
        </is>
      </c>
      <c r="M50" s="15" t="n"/>
      <c r="N50" s="15">
        <f>COUNTIF(実績!$X$6:$X$505,"未確認")</f>
        <v/>
      </c>
      <c r="O50" s="15">
        <f>SUMIF(_計算!$C$1:$DR$1,"未確認",_計算!$C$4:$DR$4)</f>
        <v/>
      </c>
    </row>
    <row r="51">
      <c r="B51" s="5" t="inlineStr">
        <is>
          <t>変更記録の行数</t>
        </is>
      </c>
      <c r="C51" s="15">
        <f>COUNTA('変更・キャンセル'!$A$26:$A$85)</f>
        <v/>
      </c>
    </row>
    <row r="52">
      <c r="B52" s="5" t="inlineStr">
        <is>
          <t>変更のあった作業数</t>
        </is>
      </c>
      <c r="C52" s="15">
        <f>SUMPRODUCT(('変更・キャンセル'!$B$26:$B$85&lt;&gt;"")/COUNTIF('変更・キャンセル'!$B$26:$B$85,'変更・キャンセル'!$B$26:$B$85&amp;""))</f>
        <v/>
      </c>
    </row>
    <row r="53">
      <c r="B53" s="5" t="inlineStr">
        <is>
          <t>取消しになった作業数</t>
        </is>
      </c>
      <c r="C53" s="15">
        <f>COUNTIF('前日確定'!$W$26:$W$45,"○")</f>
        <v/>
      </c>
    </row>
    <row r="54">
      <c r="B54" s="5" t="inlineStr">
        <is>
          <t>うち基地発後の取消し（記録数）</t>
        </is>
      </c>
      <c r="C54" s="15">
        <f>COUNTIFS('変更・キャンセル'!$R$26:$R$85,"○",'変更・キャンセル'!$S$26:$S$85,"当日・基地発後")</f>
        <v/>
      </c>
      <c r="D54" s="28" t="inlineStr">
        <is>
          <t>実拘束あり。実施作業へは数えない</t>
        </is>
      </c>
    </row>
    <row r="55">
      <c r="B55" s="5" t="inlineStr">
        <is>
          <t>時間調整ありの記録</t>
        </is>
      </c>
      <c r="C55" s="15">
        <f>COUNTIF('変更・キャンセル'!$V$26:$V$85,"あり")</f>
        <v/>
      </c>
    </row>
    <row r="56">
      <c r="B56" s="5" t="inlineStr">
        <is>
          <t>休船からの呼出回数（同一呼出は1回）</t>
        </is>
      </c>
      <c r="C56" s="15">
        <f>COUNTA('変更・キャンセル'!$A$15:$A$22)-COUNTIF('変更・キャンセル'!$H$15:$H$22,"同一呼出*")</f>
        <v/>
      </c>
      <c r="D56" s="28" t="inlineStr">
        <is>
          <t>呼出実績＝常駐船腹の不足とは限らない</t>
        </is>
      </c>
    </row>
    <row r="57">
      <c r="B57" s="5" t="inlineStr">
        <is>
          <t xml:space="preserve">　うち乗組員の出勤手配の不足による呼出</t>
        </is>
      </c>
      <c r="C57" s="15">
        <f>COUNTIFS('変更・キャンセル'!$E$15:$E$22,"乗組員の出勤手配の不足",'変更・キャンセル'!$H$15:$H$22,"")</f>
        <v/>
      </c>
      <c r="D57" s="28" t="inlineStr">
        <is>
          <t>船体の不足と区別</t>
        </is>
      </c>
    </row>
    <row r="58">
      <c r="B58" s="5" t="inlineStr">
        <is>
          <t>呼出の対象外の会社の記録</t>
        </is>
      </c>
      <c r="C58" s="15">
        <f>COUNTIF('変更・キャンセル'!$I$15:$I$22,"製鉄曳船*")</f>
        <v/>
      </c>
    </row>
    <row r="60">
      <c r="B60" s="18" t="inlineStr">
        <is>
          <t>■ 使えない船・拘束・他社配置（対象日）</t>
        </is>
      </c>
    </row>
    <row r="61">
      <c r="B61" s="5" t="inlineStr">
        <is>
          <t>入渠で使えない船数</t>
        </is>
      </c>
      <c r="C61" s="15">
        <f>COUNTIF(入渠!$G$6:$G$55,"○")</f>
        <v/>
      </c>
    </row>
    <row r="62">
      <c r="B62" s="5" t="inlineStr">
        <is>
          <t>他港作業で拘束された船数</t>
        </is>
      </c>
      <c r="C62" s="15">
        <f>COUNTIF(他港作業!$I$6:$I$55,"○")</f>
        <v/>
      </c>
    </row>
    <row r="63">
      <c r="B63" s="5" t="inlineStr">
        <is>
          <t>他社配置の記録数</t>
        </is>
      </c>
      <c r="C63" s="15">
        <f>COUNTIF(他社配置!$I$6:$I$55,"○")</f>
        <v/>
      </c>
      <c r="D63" s="28" t="inlineStr">
        <is>
          <t>配置の記録であり応援の確約ではない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V293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補助計算（非表示）：5分刻みで、マスターの船ごとに対象日の作業中（実績・取消しを除く・時刻のある行）なら1。同じ集計船名は1列にまとめる。</t>
        </is>
      </c>
      <c r="B1" t="inlineStr">
        <is>
          <t>会社</t>
        </is>
      </c>
      <c r="C1">
        <f>IF(マスター!$N$6&lt;&gt;"○","",IF(マスター!$C$6="","未確認",マスター!$C$6))</f>
        <v/>
      </c>
      <c r="D1">
        <f>IF(マスター!$N$7&lt;&gt;"○","",IF(マスター!$C$7="","未確認",マスター!$C$7))</f>
        <v/>
      </c>
      <c r="E1">
        <f>IF(マスター!$N$8&lt;&gt;"○","",IF(マスター!$C$8="","未確認",マスター!$C$8))</f>
        <v/>
      </c>
      <c r="F1">
        <f>IF(マスター!$N$9&lt;&gt;"○","",IF(マスター!$C$9="","未確認",マスター!$C$9))</f>
        <v/>
      </c>
      <c r="G1">
        <f>IF(マスター!$N$10&lt;&gt;"○","",IF(マスター!$C$10="","未確認",マスター!$C$10))</f>
        <v/>
      </c>
      <c r="H1">
        <f>IF(マスター!$N$11&lt;&gt;"○","",IF(マスター!$C$11="","未確認",マスター!$C$11))</f>
        <v/>
      </c>
      <c r="I1">
        <f>IF(マスター!$N$12&lt;&gt;"○","",IF(マスター!$C$12="","未確認",マスター!$C$12))</f>
        <v/>
      </c>
      <c r="J1">
        <f>IF(マスター!$N$13&lt;&gt;"○","",IF(マスター!$C$13="","未確認",マスター!$C$13))</f>
        <v/>
      </c>
      <c r="K1">
        <f>IF(マスター!$N$14&lt;&gt;"○","",IF(マスター!$C$14="","未確認",マスター!$C$14))</f>
        <v/>
      </c>
      <c r="L1">
        <f>IF(マスター!$N$15&lt;&gt;"○","",IF(マスター!$C$15="","未確認",マスター!$C$15))</f>
        <v/>
      </c>
      <c r="M1">
        <f>IF(マスター!$N$16&lt;&gt;"○","",IF(マスター!$C$16="","未確認",マスター!$C$16))</f>
        <v/>
      </c>
      <c r="N1">
        <f>IF(マスター!$N$17&lt;&gt;"○","",IF(マスター!$C$17="","未確認",マスター!$C$17))</f>
        <v/>
      </c>
      <c r="O1">
        <f>IF(マスター!$N$18&lt;&gt;"○","",IF(マスター!$C$18="","未確認",マスター!$C$18))</f>
        <v/>
      </c>
      <c r="P1">
        <f>IF(マスター!$N$19&lt;&gt;"○","",IF(マスター!$C$19="","未確認",マスター!$C$19))</f>
        <v/>
      </c>
      <c r="Q1">
        <f>IF(マスター!$N$20&lt;&gt;"○","",IF(マスター!$C$20="","未確認",マスター!$C$20))</f>
        <v/>
      </c>
      <c r="R1">
        <f>IF(マスター!$N$21&lt;&gt;"○","",IF(マスター!$C$21="","未確認",マスター!$C$21))</f>
        <v/>
      </c>
      <c r="S1">
        <f>IF(マスター!$N$22&lt;&gt;"○","",IF(マスター!$C$22="","未確認",マスター!$C$22))</f>
        <v/>
      </c>
      <c r="T1">
        <f>IF(マスター!$N$23&lt;&gt;"○","",IF(マスター!$C$23="","未確認",マスター!$C$23))</f>
        <v/>
      </c>
      <c r="U1">
        <f>IF(マスター!$N$24&lt;&gt;"○","",IF(マスター!$C$24="","未確認",マスター!$C$24))</f>
        <v/>
      </c>
      <c r="V1">
        <f>IF(マスター!$N$25&lt;&gt;"○","",IF(マスター!$C$25="","未確認",マスター!$C$25))</f>
        <v/>
      </c>
      <c r="W1">
        <f>IF(マスター!$N$26&lt;&gt;"○","",IF(マスター!$C$26="","未確認",マスター!$C$26))</f>
        <v/>
      </c>
      <c r="X1">
        <f>IF(マスター!$N$27&lt;&gt;"○","",IF(マスター!$C$27="","未確認",マスター!$C$27))</f>
        <v/>
      </c>
      <c r="Y1">
        <f>IF(マスター!$N$28&lt;&gt;"○","",IF(マスター!$C$28="","未確認",マスター!$C$28))</f>
        <v/>
      </c>
      <c r="Z1">
        <f>IF(マスター!$N$29&lt;&gt;"○","",IF(マスター!$C$29="","未確認",マスター!$C$29))</f>
        <v/>
      </c>
      <c r="AA1">
        <f>IF(マスター!$N$30&lt;&gt;"○","",IF(マスター!$C$30="","未確認",マスター!$C$30))</f>
        <v/>
      </c>
      <c r="AB1">
        <f>IF(マスター!$N$31&lt;&gt;"○","",IF(マスター!$C$31="","未確認",マスター!$C$31))</f>
        <v/>
      </c>
      <c r="AC1">
        <f>IF(マスター!$N$32&lt;&gt;"○","",IF(マスター!$C$32="","未確認",マスター!$C$32))</f>
        <v/>
      </c>
      <c r="AD1">
        <f>IF(マスター!$N$33&lt;&gt;"○","",IF(マスター!$C$33="","未確認",マスター!$C$33))</f>
        <v/>
      </c>
      <c r="AE1">
        <f>IF(マスター!$N$34&lt;&gt;"○","",IF(マスター!$C$34="","未確認",マスター!$C$34))</f>
        <v/>
      </c>
      <c r="AF1">
        <f>IF(マスター!$N$35&lt;&gt;"○","",IF(マスター!$C$35="","未確認",マスター!$C$35))</f>
        <v/>
      </c>
      <c r="AG1">
        <f>IF(マスター!$N$36&lt;&gt;"○","",IF(マスター!$C$36="","未確認",マスター!$C$36))</f>
        <v/>
      </c>
      <c r="AH1">
        <f>IF(マスター!$N$37&lt;&gt;"○","",IF(マスター!$C$37="","未確認",マスター!$C$37))</f>
        <v/>
      </c>
      <c r="AI1">
        <f>IF(マスター!$N$38&lt;&gt;"○","",IF(マスター!$C$38="","未確認",マスター!$C$38))</f>
        <v/>
      </c>
      <c r="AJ1">
        <f>IF(マスター!$N$39&lt;&gt;"○","",IF(マスター!$C$39="","未確認",マスター!$C$39))</f>
        <v/>
      </c>
      <c r="AK1">
        <f>IF(マスター!$N$40&lt;&gt;"○","",IF(マスター!$C$40="","未確認",マスター!$C$40))</f>
        <v/>
      </c>
      <c r="AL1">
        <f>IF(マスター!$N$41&lt;&gt;"○","",IF(マスター!$C$41="","未確認",マスター!$C$41))</f>
        <v/>
      </c>
      <c r="AM1">
        <f>IF(マスター!$N$42&lt;&gt;"○","",IF(マスター!$C$42="","未確認",マスター!$C$42))</f>
        <v/>
      </c>
      <c r="AN1">
        <f>IF(マスター!$N$43&lt;&gt;"○","",IF(マスター!$C$43="","未確認",マスター!$C$43))</f>
        <v/>
      </c>
      <c r="AO1">
        <f>IF(マスター!$N$44&lt;&gt;"○","",IF(マスター!$C$44="","未確認",マスター!$C$44))</f>
        <v/>
      </c>
      <c r="AP1">
        <f>IF(マスター!$N$45&lt;&gt;"○","",IF(マスター!$C$45="","未確認",マスター!$C$45))</f>
        <v/>
      </c>
      <c r="AQ1">
        <f>IF(マスター!$N$46&lt;&gt;"○","",IF(マスター!$C$46="","未確認",マスター!$C$46))</f>
        <v/>
      </c>
      <c r="AR1">
        <f>IF(マスター!$N$47&lt;&gt;"○","",IF(マスター!$C$47="","未確認",マスター!$C$47))</f>
        <v/>
      </c>
      <c r="AS1">
        <f>IF(マスター!$N$48&lt;&gt;"○","",IF(マスター!$C$48="","未確認",マスター!$C$48))</f>
        <v/>
      </c>
      <c r="AT1">
        <f>IF(マスター!$N$49&lt;&gt;"○","",IF(マスター!$C$49="","未確認",マスター!$C$49))</f>
        <v/>
      </c>
      <c r="AU1">
        <f>IF(マスター!$N$50&lt;&gt;"○","",IF(マスター!$C$50="","未確認",マスター!$C$50))</f>
        <v/>
      </c>
      <c r="AV1">
        <f>IF(マスター!$N$51&lt;&gt;"○","",IF(マスター!$C$51="","未確認",マスター!$C$51))</f>
        <v/>
      </c>
      <c r="AW1">
        <f>IF(マスター!$N$52&lt;&gt;"○","",IF(マスター!$C$52="","未確認",マスター!$C$52))</f>
        <v/>
      </c>
      <c r="AX1">
        <f>IF(マスター!$N$53&lt;&gt;"○","",IF(マスター!$C$53="","未確認",マスター!$C$53))</f>
        <v/>
      </c>
      <c r="AY1">
        <f>IF(マスター!$N$54&lt;&gt;"○","",IF(マスター!$C$54="","未確認",マスター!$C$54))</f>
        <v/>
      </c>
      <c r="AZ1">
        <f>IF(マスター!$N$55&lt;&gt;"○","",IF(マスター!$C$55="","未確認",マスター!$C$55))</f>
        <v/>
      </c>
      <c r="BA1">
        <f>IF(マスター!$N$56&lt;&gt;"○","",IF(マスター!$C$56="","未確認",マスター!$C$56))</f>
        <v/>
      </c>
      <c r="BB1">
        <f>IF(マスター!$N$57&lt;&gt;"○","",IF(マスター!$C$57="","未確認",マスター!$C$57))</f>
        <v/>
      </c>
      <c r="BC1">
        <f>IF(マスター!$N$58&lt;&gt;"○","",IF(マスター!$C$58="","未確認",マスター!$C$58))</f>
        <v/>
      </c>
      <c r="BD1">
        <f>IF(マスター!$N$59&lt;&gt;"○","",IF(マスター!$C$59="","未確認",マスター!$C$59))</f>
        <v/>
      </c>
      <c r="BE1">
        <f>IF(マスター!$N$60&lt;&gt;"○","",IF(マスター!$C$60="","未確認",マスター!$C$60))</f>
        <v/>
      </c>
      <c r="BF1">
        <f>IF(マスター!$N$61&lt;&gt;"○","",IF(マスター!$C$61="","未確認",マスター!$C$61))</f>
        <v/>
      </c>
      <c r="BG1">
        <f>IF(マスター!$N$62&lt;&gt;"○","",IF(マスター!$C$62="","未確認",マスター!$C$62))</f>
        <v/>
      </c>
      <c r="BH1">
        <f>IF(マスター!$N$63&lt;&gt;"○","",IF(マスター!$C$63="","未確認",マスター!$C$63))</f>
        <v/>
      </c>
      <c r="BI1">
        <f>IF(マスター!$N$64&lt;&gt;"○","",IF(マスター!$C$64="","未確認",マスター!$C$64))</f>
        <v/>
      </c>
      <c r="BJ1">
        <f>IF(マスター!$N$65&lt;&gt;"○","",IF(マスター!$C$65="","未確認",マスター!$C$65))</f>
        <v/>
      </c>
      <c r="BK1">
        <f>IF(マスター!$N$66&lt;&gt;"○","",IF(マスター!$C$66="","未確認",マスター!$C$66))</f>
        <v/>
      </c>
      <c r="BL1">
        <f>IF(マスター!$N$67&lt;&gt;"○","",IF(マスター!$C$67="","未確認",マスター!$C$67))</f>
        <v/>
      </c>
      <c r="BM1">
        <f>IF(マスター!$N$68&lt;&gt;"○","",IF(マスター!$C$68="","未確認",マスター!$C$68))</f>
        <v/>
      </c>
      <c r="BN1">
        <f>IF(マスター!$N$69&lt;&gt;"○","",IF(マスター!$C$69="","未確認",マスター!$C$69))</f>
        <v/>
      </c>
      <c r="BO1">
        <f>IF(マスター!$N$70&lt;&gt;"○","",IF(マスター!$C$70="","未確認",マスター!$C$70))</f>
        <v/>
      </c>
      <c r="BP1">
        <f>IF(マスター!$N$71&lt;&gt;"○","",IF(マスター!$C$71="","未確認",マスター!$C$71))</f>
        <v/>
      </c>
      <c r="BQ1">
        <f>IF(マスター!$N$72&lt;&gt;"○","",IF(マスター!$C$72="","未確認",マスター!$C$72))</f>
        <v/>
      </c>
      <c r="BR1">
        <f>IF(マスター!$N$73&lt;&gt;"○","",IF(マスター!$C$73="","未確認",マスター!$C$73))</f>
        <v/>
      </c>
      <c r="BS1">
        <f>IF(マスター!$N$74&lt;&gt;"○","",IF(マスター!$C$74="","未確認",マスター!$C$74))</f>
        <v/>
      </c>
      <c r="BT1">
        <f>IF(マスター!$N$75&lt;&gt;"○","",IF(マスター!$C$75="","未確認",マスター!$C$75))</f>
        <v/>
      </c>
      <c r="BU1">
        <f>IF(マスター!$N$76&lt;&gt;"○","",IF(マスター!$C$76="","未確認",マスター!$C$76))</f>
        <v/>
      </c>
      <c r="BV1">
        <f>IF(マスター!$N$77&lt;&gt;"○","",IF(マスター!$C$77="","未確認",マスター!$C$77))</f>
        <v/>
      </c>
      <c r="BW1">
        <f>IF(マスター!$N$78&lt;&gt;"○","",IF(マスター!$C$78="","未確認",マスター!$C$78))</f>
        <v/>
      </c>
      <c r="BX1">
        <f>IF(マスター!$N$79&lt;&gt;"○","",IF(マスター!$C$79="","未確認",マスター!$C$79))</f>
        <v/>
      </c>
      <c r="BY1">
        <f>IF(マスター!$N$80&lt;&gt;"○","",IF(マスター!$C$80="","未確認",マスター!$C$80))</f>
        <v/>
      </c>
      <c r="BZ1">
        <f>IF(マスター!$N$81&lt;&gt;"○","",IF(マスター!$C$81="","未確認",マスター!$C$81))</f>
        <v/>
      </c>
      <c r="CA1">
        <f>IF(マスター!$N$82&lt;&gt;"○","",IF(マスター!$C$82="","未確認",マスター!$C$82))</f>
        <v/>
      </c>
      <c r="CB1">
        <f>IF(マスター!$N$83&lt;&gt;"○","",IF(マスター!$C$83="","未確認",マスター!$C$83))</f>
        <v/>
      </c>
      <c r="CC1">
        <f>IF(マスター!$N$84&lt;&gt;"○","",IF(マスター!$C$84="","未確認",マスター!$C$84))</f>
        <v/>
      </c>
      <c r="CD1">
        <f>IF(マスター!$N$85&lt;&gt;"○","",IF(マスター!$C$85="","未確認",マスター!$C$85))</f>
        <v/>
      </c>
      <c r="CE1">
        <f>IF(マスター!$N$86&lt;&gt;"○","",IF(マスター!$C$86="","未確認",マスター!$C$86))</f>
        <v/>
      </c>
      <c r="CF1">
        <f>IF(マスター!$N$87&lt;&gt;"○","",IF(マスター!$C$87="","未確認",マスター!$C$87))</f>
        <v/>
      </c>
      <c r="CG1">
        <f>IF(マスター!$N$88&lt;&gt;"○","",IF(マスター!$C$88="","未確認",マスター!$C$88))</f>
        <v/>
      </c>
      <c r="CH1">
        <f>IF(マスター!$N$89&lt;&gt;"○","",IF(マスター!$C$89="","未確認",マスター!$C$89))</f>
        <v/>
      </c>
      <c r="CI1">
        <f>IF(マスター!$N$90&lt;&gt;"○","",IF(マスター!$C$90="","未確認",マスター!$C$90))</f>
        <v/>
      </c>
      <c r="CJ1">
        <f>IF(マスター!$N$91&lt;&gt;"○","",IF(マスター!$C$91="","未確認",マスター!$C$91))</f>
        <v/>
      </c>
      <c r="CK1">
        <f>IF(マスター!$N$92&lt;&gt;"○","",IF(マスター!$C$92="","未確認",マスター!$C$92))</f>
        <v/>
      </c>
      <c r="CL1">
        <f>IF(マスター!$N$93&lt;&gt;"○","",IF(マスター!$C$93="","未確認",マスター!$C$93))</f>
        <v/>
      </c>
      <c r="CM1">
        <f>IF(マスター!$N$94&lt;&gt;"○","",IF(マスター!$C$94="","未確認",マスター!$C$94))</f>
        <v/>
      </c>
      <c r="CN1">
        <f>IF(マスター!$N$95&lt;&gt;"○","",IF(マスター!$C$95="","未確認",マスター!$C$95))</f>
        <v/>
      </c>
      <c r="CO1">
        <f>IF(マスター!$N$96&lt;&gt;"○","",IF(マスター!$C$96="","未確認",マスター!$C$96))</f>
        <v/>
      </c>
      <c r="CP1">
        <f>IF(マスター!$N$97&lt;&gt;"○","",IF(マスター!$C$97="","未確認",マスター!$C$97))</f>
        <v/>
      </c>
      <c r="CQ1">
        <f>IF(マスター!$N$98&lt;&gt;"○","",IF(マスター!$C$98="","未確認",マスター!$C$98))</f>
        <v/>
      </c>
      <c r="CR1">
        <f>IF(マスター!$N$99&lt;&gt;"○","",IF(マスター!$C$99="","未確認",マスター!$C$99))</f>
        <v/>
      </c>
      <c r="CS1">
        <f>IF(マスター!$N$100&lt;&gt;"○","",IF(マスター!$C$100="","未確認",マスター!$C$100))</f>
        <v/>
      </c>
      <c r="CT1">
        <f>IF(マスター!$N$101&lt;&gt;"○","",IF(マスター!$C$101="","未確認",マスター!$C$101))</f>
        <v/>
      </c>
      <c r="CU1">
        <f>IF(マスター!$N$102&lt;&gt;"○","",IF(マスター!$C$102="","未確認",マスター!$C$102))</f>
        <v/>
      </c>
      <c r="CV1">
        <f>IF(マスター!$N$103&lt;&gt;"○","",IF(マスター!$C$103="","未確認",マスター!$C$103))</f>
        <v/>
      </c>
      <c r="CW1">
        <f>IF(マスター!$N$104&lt;&gt;"○","",IF(マスター!$C$104="","未確認",マスター!$C$104))</f>
        <v/>
      </c>
      <c r="CX1">
        <f>IF(マスター!$N$105&lt;&gt;"○","",IF(マスター!$C$105="","未確認",マスター!$C$105))</f>
        <v/>
      </c>
      <c r="CY1">
        <f>IF(マスター!$N$106&lt;&gt;"○","",IF(マスター!$C$106="","未確認",マスター!$C$106))</f>
        <v/>
      </c>
      <c r="CZ1">
        <f>IF(マスター!$N$107&lt;&gt;"○","",IF(マスター!$C$107="","未確認",マスター!$C$107))</f>
        <v/>
      </c>
      <c r="DA1">
        <f>IF(マスター!$N$108&lt;&gt;"○","",IF(マスター!$C$108="","未確認",マスター!$C$108))</f>
        <v/>
      </c>
      <c r="DB1">
        <f>IF(マスター!$N$109&lt;&gt;"○","",IF(マスター!$C$109="","未確認",マスター!$C$109))</f>
        <v/>
      </c>
      <c r="DC1">
        <f>IF(マスター!$N$110&lt;&gt;"○","",IF(マスター!$C$110="","未確認",マスター!$C$110))</f>
        <v/>
      </c>
      <c r="DD1">
        <f>IF(マスター!$N$111&lt;&gt;"○","",IF(マスター!$C$111="","未確認",マスター!$C$111))</f>
        <v/>
      </c>
      <c r="DE1">
        <f>IF(マスター!$N$112&lt;&gt;"○","",IF(マスター!$C$112="","未確認",マスター!$C$112))</f>
        <v/>
      </c>
      <c r="DF1">
        <f>IF(マスター!$N$113&lt;&gt;"○","",IF(マスター!$C$113="","未確認",マスター!$C$113))</f>
        <v/>
      </c>
      <c r="DG1">
        <f>IF(マスター!$N$114&lt;&gt;"○","",IF(マスター!$C$114="","未確認",マスター!$C$114))</f>
        <v/>
      </c>
      <c r="DH1">
        <f>IF(マスター!$N$115&lt;&gt;"○","",IF(マスター!$C$115="","未確認",マスター!$C$115))</f>
        <v/>
      </c>
      <c r="DI1">
        <f>IF(マスター!$N$116&lt;&gt;"○","",IF(マスター!$C$116="","未確認",マスター!$C$116))</f>
        <v/>
      </c>
      <c r="DJ1">
        <f>IF(マスター!$N$117&lt;&gt;"○","",IF(マスター!$C$117="","未確認",マスター!$C$117))</f>
        <v/>
      </c>
      <c r="DK1">
        <f>IF(マスター!$N$118&lt;&gt;"○","",IF(マスター!$C$118="","未確認",マスター!$C$118))</f>
        <v/>
      </c>
      <c r="DL1">
        <f>IF(マスター!$N$119&lt;&gt;"○","",IF(マスター!$C$119="","未確認",マスター!$C$119))</f>
        <v/>
      </c>
      <c r="DM1">
        <f>IF(マスター!$N$120&lt;&gt;"○","",IF(マスター!$C$120="","未確認",マスター!$C$120))</f>
        <v/>
      </c>
      <c r="DN1">
        <f>IF(マスター!$N$121&lt;&gt;"○","",IF(マスター!$C$121="","未確認",マスター!$C$121))</f>
        <v/>
      </c>
      <c r="DO1">
        <f>IF(マスター!$N$122&lt;&gt;"○","",IF(マスター!$C$122="","未確認",マスター!$C$122))</f>
        <v/>
      </c>
      <c r="DP1">
        <f>IF(マスター!$N$123&lt;&gt;"○","",IF(マスター!$C$123="","未確認",マスター!$C$123))</f>
        <v/>
      </c>
      <c r="DQ1">
        <f>IF(マスター!$N$124&lt;&gt;"○","",IF(マスター!$C$124="","未確認",マスター!$C$124))</f>
        <v/>
      </c>
      <c r="DR1">
        <f>IF(マスター!$N$125&lt;&gt;"○","",IF(マスター!$C$125="","未確認",マスター!$C$125))</f>
        <v/>
      </c>
    </row>
    <row r="2">
      <c r="A2" t="inlineStr">
        <is>
          <t>会社区分</t>
        </is>
      </c>
      <c r="C2">
        <f>IF(マスター!$N$6&lt;&gt;"○","",マスター!$K$6)</f>
        <v/>
      </c>
      <c r="D2">
        <f>IF(マスター!$N$7&lt;&gt;"○","",マスター!$K$7)</f>
        <v/>
      </c>
      <c r="E2">
        <f>IF(マスター!$N$8&lt;&gt;"○","",マスター!$K$8)</f>
        <v/>
      </c>
      <c r="F2">
        <f>IF(マスター!$N$9&lt;&gt;"○","",マスター!$K$9)</f>
        <v/>
      </c>
      <c r="G2">
        <f>IF(マスター!$N$10&lt;&gt;"○","",マスター!$K$10)</f>
        <v/>
      </c>
      <c r="H2">
        <f>IF(マスター!$N$11&lt;&gt;"○","",マスター!$K$11)</f>
        <v/>
      </c>
      <c r="I2">
        <f>IF(マスター!$N$12&lt;&gt;"○","",マスター!$K$12)</f>
        <v/>
      </c>
      <c r="J2">
        <f>IF(マスター!$N$13&lt;&gt;"○","",マスター!$K$13)</f>
        <v/>
      </c>
      <c r="K2">
        <f>IF(マスター!$N$14&lt;&gt;"○","",マスター!$K$14)</f>
        <v/>
      </c>
      <c r="L2">
        <f>IF(マスター!$N$15&lt;&gt;"○","",マスター!$K$15)</f>
        <v/>
      </c>
      <c r="M2">
        <f>IF(マスター!$N$16&lt;&gt;"○","",マスター!$K$16)</f>
        <v/>
      </c>
      <c r="N2">
        <f>IF(マスター!$N$17&lt;&gt;"○","",マスター!$K$17)</f>
        <v/>
      </c>
      <c r="O2">
        <f>IF(マスター!$N$18&lt;&gt;"○","",マスター!$K$18)</f>
        <v/>
      </c>
      <c r="P2">
        <f>IF(マスター!$N$19&lt;&gt;"○","",マスター!$K$19)</f>
        <v/>
      </c>
      <c r="Q2">
        <f>IF(マスター!$N$20&lt;&gt;"○","",マスター!$K$20)</f>
        <v/>
      </c>
      <c r="R2">
        <f>IF(マスター!$N$21&lt;&gt;"○","",マスター!$K$21)</f>
        <v/>
      </c>
      <c r="S2">
        <f>IF(マスター!$N$22&lt;&gt;"○","",マスター!$K$22)</f>
        <v/>
      </c>
      <c r="T2">
        <f>IF(マスター!$N$23&lt;&gt;"○","",マスター!$K$23)</f>
        <v/>
      </c>
      <c r="U2">
        <f>IF(マスター!$N$24&lt;&gt;"○","",マスター!$K$24)</f>
        <v/>
      </c>
      <c r="V2">
        <f>IF(マスター!$N$25&lt;&gt;"○","",マスター!$K$25)</f>
        <v/>
      </c>
      <c r="W2">
        <f>IF(マスター!$N$26&lt;&gt;"○","",マスター!$K$26)</f>
        <v/>
      </c>
      <c r="X2">
        <f>IF(マスター!$N$27&lt;&gt;"○","",マスター!$K$27)</f>
        <v/>
      </c>
      <c r="Y2">
        <f>IF(マスター!$N$28&lt;&gt;"○","",マスター!$K$28)</f>
        <v/>
      </c>
      <c r="Z2">
        <f>IF(マスター!$N$29&lt;&gt;"○","",マスター!$K$29)</f>
        <v/>
      </c>
      <c r="AA2">
        <f>IF(マスター!$N$30&lt;&gt;"○","",マスター!$K$30)</f>
        <v/>
      </c>
      <c r="AB2">
        <f>IF(マスター!$N$31&lt;&gt;"○","",マスター!$K$31)</f>
        <v/>
      </c>
      <c r="AC2">
        <f>IF(マスター!$N$32&lt;&gt;"○","",マスター!$K$32)</f>
        <v/>
      </c>
      <c r="AD2">
        <f>IF(マスター!$N$33&lt;&gt;"○","",マスター!$K$33)</f>
        <v/>
      </c>
      <c r="AE2">
        <f>IF(マスター!$N$34&lt;&gt;"○","",マスター!$K$34)</f>
        <v/>
      </c>
      <c r="AF2">
        <f>IF(マスター!$N$35&lt;&gt;"○","",マスター!$K$35)</f>
        <v/>
      </c>
      <c r="AG2">
        <f>IF(マスター!$N$36&lt;&gt;"○","",マスター!$K$36)</f>
        <v/>
      </c>
      <c r="AH2">
        <f>IF(マスター!$N$37&lt;&gt;"○","",マスター!$K$37)</f>
        <v/>
      </c>
      <c r="AI2">
        <f>IF(マスター!$N$38&lt;&gt;"○","",マスター!$K$38)</f>
        <v/>
      </c>
      <c r="AJ2">
        <f>IF(マスター!$N$39&lt;&gt;"○","",マスター!$K$39)</f>
        <v/>
      </c>
      <c r="AK2">
        <f>IF(マスター!$N$40&lt;&gt;"○","",マスター!$K$40)</f>
        <v/>
      </c>
      <c r="AL2">
        <f>IF(マスター!$N$41&lt;&gt;"○","",マスター!$K$41)</f>
        <v/>
      </c>
      <c r="AM2">
        <f>IF(マスター!$N$42&lt;&gt;"○","",マスター!$K$42)</f>
        <v/>
      </c>
      <c r="AN2">
        <f>IF(マスター!$N$43&lt;&gt;"○","",マスター!$K$43)</f>
        <v/>
      </c>
      <c r="AO2">
        <f>IF(マスター!$N$44&lt;&gt;"○","",マスター!$K$44)</f>
        <v/>
      </c>
      <c r="AP2">
        <f>IF(マスター!$N$45&lt;&gt;"○","",マスター!$K$45)</f>
        <v/>
      </c>
      <c r="AQ2">
        <f>IF(マスター!$N$46&lt;&gt;"○","",マスター!$K$46)</f>
        <v/>
      </c>
      <c r="AR2">
        <f>IF(マスター!$N$47&lt;&gt;"○","",マスター!$K$47)</f>
        <v/>
      </c>
      <c r="AS2">
        <f>IF(マスター!$N$48&lt;&gt;"○","",マスター!$K$48)</f>
        <v/>
      </c>
      <c r="AT2">
        <f>IF(マスター!$N$49&lt;&gt;"○","",マスター!$K$49)</f>
        <v/>
      </c>
      <c r="AU2">
        <f>IF(マスター!$N$50&lt;&gt;"○","",マスター!$K$50)</f>
        <v/>
      </c>
      <c r="AV2">
        <f>IF(マスター!$N$51&lt;&gt;"○","",マスター!$K$51)</f>
        <v/>
      </c>
      <c r="AW2">
        <f>IF(マスター!$N$52&lt;&gt;"○","",マスター!$K$52)</f>
        <v/>
      </c>
      <c r="AX2">
        <f>IF(マスター!$N$53&lt;&gt;"○","",マスター!$K$53)</f>
        <v/>
      </c>
      <c r="AY2">
        <f>IF(マスター!$N$54&lt;&gt;"○","",マスター!$K$54)</f>
        <v/>
      </c>
      <c r="AZ2">
        <f>IF(マスター!$N$55&lt;&gt;"○","",マスター!$K$55)</f>
        <v/>
      </c>
      <c r="BA2">
        <f>IF(マスター!$N$56&lt;&gt;"○","",マスター!$K$56)</f>
        <v/>
      </c>
      <c r="BB2">
        <f>IF(マスター!$N$57&lt;&gt;"○","",マスター!$K$57)</f>
        <v/>
      </c>
      <c r="BC2">
        <f>IF(マスター!$N$58&lt;&gt;"○","",マスター!$K$58)</f>
        <v/>
      </c>
      <c r="BD2">
        <f>IF(マスター!$N$59&lt;&gt;"○","",マスター!$K$59)</f>
        <v/>
      </c>
      <c r="BE2">
        <f>IF(マスター!$N$60&lt;&gt;"○","",マスター!$K$60)</f>
        <v/>
      </c>
      <c r="BF2">
        <f>IF(マスター!$N$61&lt;&gt;"○","",マスター!$K$61)</f>
        <v/>
      </c>
      <c r="BG2">
        <f>IF(マスター!$N$62&lt;&gt;"○","",マスター!$K$62)</f>
        <v/>
      </c>
      <c r="BH2">
        <f>IF(マスター!$N$63&lt;&gt;"○","",マスター!$K$63)</f>
        <v/>
      </c>
      <c r="BI2">
        <f>IF(マスター!$N$64&lt;&gt;"○","",マスター!$K$64)</f>
        <v/>
      </c>
      <c r="BJ2">
        <f>IF(マスター!$N$65&lt;&gt;"○","",マスター!$K$65)</f>
        <v/>
      </c>
      <c r="BK2">
        <f>IF(マスター!$N$66&lt;&gt;"○","",マスター!$K$66)</f>
        <v/>
      </c>
      <c r="BL2">
        <f>IF(マスター!$N$67&lt;&gt;"○","",マスター!$K$67)</f>
        <v/>
      </c>
      <c r="BM2">
        <f>IF(マスター!$N$68&lt;&gt;"○","",マスター!$K$68)</f>
        <v/>
      </c>
      <c r="BN2">
        <f>IF(マスター!$N$69&lt;&gt;"○","",マスター!$K$69)</f>
        <v/>
      </c>
      <c r="BO2">
        <f>IF(マスター!$N$70&lt;&gt;"○","",マスター!$K$70)</f>
        <v/>
      </c>
      <c r="BP2">
        <f>IF(マスター!$N$71&lt;&gt;"○","",マスター!$K$71)</f>
        <v/>
      </c>
      <c r="BQ2">
        <f>IF(マスター!$N$72&lt;&gt;"○","",マスター!$K$72)</f>
        <v/>
      </c>
      <c r="BR2">
        <f>IF(マスター!$N$73&lt;&gt;"○","",マスター!$K$73)</f>
        <v/>
      </c>
      <c r="BS2">
        <f>IF(マスター!$N$74&lt;&gt;"○","",マスター!$K$74)</f>
        <v/>
      </c>
      <c r="BT2">
        <f>IF(マスター!$N$75&lt;&gt;"○","",マスター!$K$75)</f>
        <v/>
      </c>
      <c r="BU2">
        <f>IF(マスター!$N$76&lt;&gt;"○","",マスター!$K$76)</f>
        <v/>
      </c>
      <c r="BV2">
        <f>IF(マスター!$N$77&lt;&gt;"○","",マスター!$K$77)</f>
        <v/>
      </c>
      <c r="BW2">
        <f>IF(マスター!$N$78&lt;&gt;"○","",マスター!$K$78)</f>
        <v/>
      </c>
      <c r="BX2">
        <f>IF(マスター!$N$79&lt;&gt;"○","",マスター!$K$79)</f>
        <v/>
      </c>
      <c r="BY2">
        <f>IF(マスター!$N$80&lt;&gt;"○","",マスター!$K$80)</f>
        <v/>
      </c>
      <c r="BZ2">
        <f>IF(マスター!$N$81&lt;&gt;"○","",マスター!$K$81)</f>
        <v/>
      </c>
      <c r="CA2">
        <f>IF(マスター!$N$82&lt;&gt;"○","",マスター!$K$82)</f>
        <v/>
      </c>
      <c r="CB2">
        <f>IF(マスター!$N$83&lt;&gt;"○","",マスター!$K$83)</f>
        <v/>
      </c>
      <c r="CC2">
        <f>IF(マスター!$N$84&lt;&gt;"○","",マスター!$K$84)</f>
        <v/>
      </c>
      <c r="CD2">
        <f>IF(マスター!$N$85&lt;&gt;"○","",マスター!$K$85)</f>
        <v/>
      </c>
      <c r="CE2">
        <f>IF(マスター!$N$86&lt;&gt;"○","",マスター!$K$86)</f>
        <v/>
      </c>
      <c r="CF2">
        <f>IF(マスター!$N$87&lt;&gt;"○","",マスター!$K$87)</f>
        <v/>
      </c>
      <c r="CG2">
        <f>IF(マスター!$N$88&lt;&gt;"○","",マスター!$K$88)</f>
        <v/>
      </c>
      <c r="CH2">
        <f>IF(マスター!$N$89&lt;&gt;"○","",マスター!$K$89)</f>
        <v/>
      </c>
      <c r="CI2">
        <f>IF(マスター!$N$90&lt;&gt;"○","",マスター!$K$90)</f>
        <v/>
      </c>
      <c r="CJ2">
        <f>IF(マスター!$N$91&lt;&gt;"○","",マスター!$K$91)</f>
        <v/>
      </c>
      <c r="CK2">
        <f>IF(マスター!$N$92&lt;&gt;"○","",マスター!$K$92)</f>
        <v/>
      </c>
      <c r="CL2">
        <f>IF(マスター!$N$93&lt;&gt;"○","",マスター!$K$93)</f>
        <v/>
      </c>
      <c r="CM2">
        <f>IF(マスター!$N$94&lt;&gt;"○","",マスター!$K$94)</f>
        <v/>
      </c>
      <c r="CN2">
        <f>IF(マスター!$N$95&lt;&gt;"○","",マスター!$K$95)</f>
        <v/>
      </c>
      <c r="CO2">
        <f>IF(マスター!$N$96&lt;&gt;"○","",マスター!$K$96)</f>
        <v/>
      </c>
      <c r="CP2">
        <f>IF(マスター!$N$97&lt;&gt;"○","",マスター!$K$97)</f>
        <v/>
      </c>
      <c r="CQ2">
        <f>IF(マスター!$N$98&lt;&gt;"○","",マスター!$K$98)</f>
        <v/>
      </c>
      <c r="CR2">
        <f>IF(マスター!$N$99&lt;&gt;"○","",マスター!$K$99)</f>
        <v/>
      </c>
      <c r="CS2">
        <f>IF(マスター!$N$100&lt;&gt;"○","",マスター!$K$100)</f>
        <v/>
      </c>
      <c r="CT2">
        <f>IF(マスター!$N$101&lt;&gt;"○","",マスター!$K$101)</f>
        <v/>
      </c>
      <c r="CU2">
        <f>IF(マスター!$N$102&lt;&gt;"○","",マスター!$K$102)</f>
        <v/>
      </c>
      <c r="CV2">
        <f>IF(マスター!$N$103&lt;&gt;"○","",マスター!$K$103)</f>
        <v/>
      </c>
      <c r="CW2">
        <f>IF(マスター!$N$104&lt;&gt;"○","",マスター!$K$104)</f>
        <v/>
      </c>
      <c r="CX2">
        <f>IF(マスター!$N$105&lt;&gt;"○","",マスター!$K$105)</f>
        <v/>
      </c>
      <c r="CY2">
        <f>IF(マスター!$N$106&lt;&gt;"○","",マスター!$K$106)</f>
        <v/>
      </c>
      <c r="CZ2">
        <f>IF(マスター!$N$107&lt;&gt;"○","",マスター!$K$107)</f>
        <v/>
      </c>
      <c r="DA2">
        <f>IF(マスター!$N$108&lt;&gt;"○","",マスター!$K$108)</f>
        <v/>
      </c>
      <c r="DB2">
        <f>IF(マスター!$N$109&lt;&gt;"○","",マスター!$K$109)</f>
        <v/>
      </c>
      <c r="DC2">
        <f>IF(マスター!$N$110&lt;&gt;"○","",マスター!$K$110)</f>
        <v/>
      </c>
      <c r="DD2">
        <f>IF(マスター!$N$111&lt;&gt;"○","",マスター!$K$111)</f>
        <v/>
      </c>
      <c r="DE2">
        <f>IF(マスター!$N$112&lt;&gt;"○","",マスター!$K$112)</f>
        <v/>
      </c>
      <c r="DF2">
        <f>IF(マスター!$N$113&lt;&gt;"○","",マスター!$K$113)</f>
        <v/>
      </c>
      <c r="DG2">
        <f>IF(マスター!$N$114&lt;&gt;"○","",マスター!$K$114)</f>
        <v/>
      </c>
      <c r="DH2">
        <f>IF(マスター!$N$115&lt;&gt;"○","",マスター!$K$115)</f>
        <v/>
      </c>
      <c r="DI2">
        <f>IF(マスター!$N$116&lt;&gt;"○","",マスター!$K$116)</f>
        <v/>
      </c>
      <c r="DJ2">
        <f>IF(マスター!$N$117&lt;&gt;"○","",マスター!$K$117)</f>
        <v/>
      </c>
      <c r="DK2">
        <f>IF(マスター!$N$118&lt;&gt;"○","",マスター!$K$118)</f>
        <v/>
      </c>
      <c r="DL2">
        <f>IF(マスター!$N$119&lt;&gt;"○","",マスター!$K$119)</f>
        <v/>
      </c>
      <c r="DM2">
        <f>IF(マスター!$N$120&lt;&gt;"○","",マスター!$K$120)</f>
        <v/>
      </c>
      <c r="DN2">
        <f>IF(マスター!$N$121&lt;&gt;"○","",マスター!$K$121)</f>
        <v/>
      </c>
      <c r="DO2">
        <f>IF(マスター!$N$122&lt;&gt;"○","",マスター!$K$122)</f>
        <v/>
      </c>
      <c r="DP2">
        <f>IF(マスター!$N$123&lt;&gt;"○","",マスター!$K$123)</f>
        <v/>
      </c>
      <c r="DQ2">
        <f>IF(マスター!$N$124&lt;&gt;"○","",マスター!$K$124)</f>
        <v/>
      </c>
      <c r="DR2">
        <f>IF(マスター!$N$125&lt;&gt;"○","",マスター!$K$125)</f>
        <v/>
      </c>
    </row>
    <row r="3">
      <c r="A3" t="inlineStr">
        <is>
          <t>集計船名</t>
        </is>
      </c>
      <c r="C3">
        <f>IF(マスター!$N$6&lt;&gt;"○","",マスター!$J$6)</f>
        <v/>
      </c>
      <c r="D3">
        <f>IF(マスター!$N$7&lt;&gt;"○","",マスター!$J$7)</f>
        <v/>
      </c>
      <c r="E3">
        <f>IF(マスター!$N$8&lt;&gt;"○","",マスター!$J$8)</f>
        <v/>
      </c>
      <c r="F3">
        <f>IF(マスター!$N$9&lt;&gt;"○","",マスター!$J$9)</f>
        <v/>
      </c>
      <c r="G3">
        <f>IF(マスター!$N$10&lt;&gt;"○","",マスター!$J$10)</f>
        <v/>
      </c>
      <c r="H3">
        <f>IF(マスター!$N$11&lt;&gt;"○","",マスター!$J$11)</f>
        <v/>
      </c>
      <c r="I3">
        <f>IF(マスター!$N$12&lt;&gt;"○","",マスター!$J$12)</f>
        <v/>
      </c>
      <c r="J3">
        <f>IF(マスター!$N$13&lt;&gt;"○","",マスター!$J$13)</f>
        <v/>
      </c>
      <c r="K3">
        <f>IF(マスター!$N$14&lt;&gt;"○","",マスター!$J$14)</f>
        <v/>
      </c>
      <c r="L3">
        <f>IF(マスター!$N$15&lt;&gt;"○","",マスター!$J$15)</f>
        <v/>
      </c>
      <c r="M3">
        <f>IF(マスター!$N$16&lt;&gt;"○","",マスター!$J$16)</f>
        <v/>
      </c>
      <c r="N3">
        <f>IF(マスター!$N$17&lt;&gt;"○","",マスター!$J$17)</f>
        <v/>
      </c>
      <c r="O3">
        <f>IF(マスター!$N$18&lt;&gt;"○","",マスター!$J$18)</f>
        <v/>
      </c>
      <c r="P3">
        <f>IF(マスター!$N$19&lt;&gt;"○","",マスター!$J$19)</f>
        <v/>
      </c>
      <c r="Q3">
        <f>IF(マスター!$N$20&lt;&gt;"○","",マスター!$J$20)</f>
        <v/>
      </c>
      <c r="R3">
        <f>IF(マスター!$N$21&lt;&gt;"○","",マスター!$J$21)</f>
        <v/>
      </c>
      <c r="S3">
        <f>IF(マスター!$N$22&lt;&gt;"○","",マスター!$J$22)</f>
        <v/>
      </c>
      <c r="T3">
        <f>IF(マスター!$N$23&lt;&gt;"○","",マスター!$J$23)</f>
        <v/>
      </c>
      <c r="U3">
        <f>IF(マスター!$N$24&lt;&gt;"○","",マスター!$J$24)</f>
        <v/>
      </c>
      <c r="V3">
        <f>IF(マスター!$N$25&lt;&gt;"○","",マスター!$J$25)</f>
        <v/>
      </c>
      <c r="W3">
        <f>IF(マスター!$N$26&lt;&gt;"○","",マスター!$J$26)</f>
        <v/>
      </c>
      <c r="X3">
        <f>IF(マスター!$N$27&lt;&gt;"○","",マスター!$J$27)</f>
        <v/>
      </c>
      <c r="Y3">
        <f>IF(マスター!$N$28&lt;&gt;"○","",マスター!$J$28)</f>
        <v/>
      </c>
      <c r="Z3">
        <f>IF(マスター!$N$29&lt;&gt;"○","",マスター!$J$29)</f>
        <v/>
      </c>
      <c r="AA3">
        <f>IF(マスター!$N$30&lt;&gt;"○","",マスター!$J$30)</f>
        <v/>
      </c>
      <c r="AB3">
        <f>IF(マスター!$N$31&lt;&gt;"○","",マスター!$J$31)</f>
        <v/>
      </c>
      <c r="AC3">
        <f>IF(マスター!$N$32&lt;&gt;"○","",マスター!$J$32)</f>
        <v/>
      </c>
      <c r="AD3">
        <f>IF(マスター!$N$33&lt;&gt;"○","",マスター!$J$33)</f>
        <v/>
      </c>
      <c r="AE3">
        <f>IF(マスター!$N$34&lt;&gt;"○","",マスター!$J$34)</f>
        <v/>
      </c>
      <c r="AF3">
        <f>IF(マスター!$N$35&lt;&gt;"○","",マスター!$J$35)</f>
        <v/>
      </c>
      <c r="AG3">
        <f>IF(マスター!$N$36&lt;&gt;"○","",マスター!$J$36)</f>
        <v/>
      </c>
      <c r="AH3">
        <f>IF(マスター!$N$37&lt;&gt;"○","",マスター!$J$37)</f>
        <v/>
      </c>
      <c r="AI3">
        <f>IF(マスター!$N$38&lt;&gt;"○","",マスター!$J$38)</f>
        <v/>
      </c>
      <c r="AJ3">
        <f>IF(マスター!$N$39&lt;&gt;"○","",マスター!$J$39)</f>
        <v/>
      </c>
      <c r="AK3">
        <f>IF(マスター!$N$40&lt;&gt;"○","",マスター!$J$40)</f>
        <v/>
      </c>
      <c r="AL3">
        <f>IF(マスター!$N$41&lt;&gt;"○","",マスター!$J$41)</f>
        <v/>
      </c>
      <c r="AM3">
        <f>IF(マスター!$N$42&lt;&gt;"○","",マスター!$J$42)</f>
        <v/>
      </c>
      <c r="AN3">
        <f>IF(マスター!$N$43&lt;&gt;"○","",マスター!$J$43)</f>
        <v/>
      </c>
      <c r="AO3">
        <f>IF(マスター!$N$44&lt;&gt;"○","",マスター!$J$44)</f>
        <v/>
      </c>
      <c r="AP3">
        <f>IF(マスター!$N$45&lt;&gt;"○","",マスター!$J$45)</f>
        <v/>
      </c>
      <c r="AQ3">
        <f>IF(マスター!$N$46&lt;&gt;"○","",マスター!$J$46)</f>
        <v/>
      </c>
      <c r="AR3">
        <f>IF(マスター!$N$47&lt;&gt;"○","",マスター!$J$47)</f>
        <v/>
      </c>
      <c r="AS3">
        <f>IF(マスター!$N$48&lt;&gt;"○","",マスター!$J$48)</f>
        <v/>
      </c>
      <c r="AT3">
        <f>IF(マスター!$N$49&lt;&gt;"○","",マスター!$J$49)</f>
        <v/>
      </c>
      <c r="AU3">
        <f>IF(マスター!$N$50&lt;&gt;"○","",マスター!$J$50)</f>
        <v/>
      </c>
      <c r="AV3">
        <f>IF(マスター!$N$51&lt;&gt;"○","",マスター!$J$51)</f>
        <v/>
      </c>
      <c r="AW3">
        <f>IF(マスター!$N$52&lt;&gt;"○","",マスター!$J$52)</f>
        <v/>
      </c>
      <c r="AX3">
        <f>IF(マスター!$N$53&lt;&gt;"○","",マスター!$J$53)</f>
        <v/>
      </c>
      <c r="AY3">
        <f>IF(マスター!$N$54&lt;&gt;"○","",マスター!$J$54)</f>
        <v/>
      </c>
      <c r="AZ3">
        <f>IF(マスター!$N$55&lt;&gt;"○","",マスター!$J$55)</f>
        <v/>
      </c>
      <c r="BA3">
        <f>IF(マスター!$N$56&lt;&gt;"○","",マスター!$J$56)</f>
        <v/>
      </c>
      <c r="BB3">
        <f>IF(マスター!$N$57&lt;&gt;"○","",マスター!$J$57)</f>
        <v/>
      </c>
      <c r="BC3">
        <f>IF(マスター!$N$58&lt;&gt;"○","",マスター!$J$58)</f>
        <v/>
      </c>
      <c r="BD3">
        <f>IF(マスター!$N$59&lt;&gt;"○","",マスター!$J$59)</f>
        <v/>
      </c>
      <c r="BE3">
        <f>IF(マスター!$N$60&lt;&gt;"○","",マスター!$J$60)</f>
        <v/>
      </c>
      <c r="BF3">
        <f>IF(マスター!$N$61&lt;&gt;"○","",マスター!$J$61)</f>
        <v/>
      </c>
      <c r="BG3">
        <f>IF(マスター!$N$62&lt;&gt;"○","",マスター!$J$62)</f>
        <v/>
      </c>
      <c r="BH3">
        <f>IF(マスター!$N$63&lt;&gt;"○","",マスター!$J$63)</f>
        <v/>
      </c>
      <c r="BI3">
        <f>IF(マスター!$N$64&lt;&gt;"○","",マスター!$J$64)</f>
        <v/>
      </c>
      <c r="BJ3">
        <f>IF(マスター!$N$65&lt;&gt;"○","",マスター!$J$65)</f>
        <v/>
      </c>
      <c r="BK3">
        <f>IF(マスター!$N$66&lt;&gt;"○","",マスター!$J$66)</f>
        <v/>
      </c>
      <c r="BL3">
        <f>IF(マスター!$N$67&lt;&gt;"○","",マスター!$J$67)</f>
        <v/>
      </c>
      <c r="BM3">
        <f>IF(マスター!$N$68&lt;&gt;"○","",マスター!$J$68)</f>
        <v/>
      </c>
      <c r="BN3">
        <f>IF(マスター!$N$69&lt;&gt;"○","",マスター!$J$69)</f>
        <v/>
      </c>
      <c r="BO3">
        <f>IF(マスター!$N$70&lt;&gt;"○","",マスター!$J$70)</f>
        <v/>
      </c>
      <c r="BP3">
        <f>IF(マスター!$N$71&lt;&gt;"○","",マスター!$J$71)</f>
        <v/>
      </c>
      <c r="BQ3">
        <f>IF(マスター!$N$72&lt;&gt;"○","",マスター!$J$72)</f>
        <v/>
      </c>
      <c r="BR3">
        <f>IF(マスター!$N$73&lt;&gt;"○","",マスター!$J$73)</f>
        <v/>
      </c>
      <c r="BS3">
        <f>IF(マスター!$N$74&lt;&gt;"○","",マスター!$J$74)</f>
        <v/>
      </c>
      <c r="BT3">
        <f>IF(マスター!$N$75&lt;&gt;"○","",マスター!$J$75)</f>
        <v/>
      </c>
      <c r="BU3">
        <f>IF(マスター!$N$76&lt;&gt;"○","",マスター!$J$76)</f>
        <v/>
      </c>
      <c r="BV3">
        <f>IF(マスター!$N$77&lt;&gt;"○","",マスター!$J$77)</f>
        <v/>
      </c>
      <c r="BW3">
        <f>IF(マスター!$N$78&lt;&gt;"○","",マスター!$J$78)</f>
        <v/>
      </c>
      <c r="BX3">
        <f>IF(マスター!$N$79&lt;&gt;"○","",マスター!$J$79)</f>
        <v/>
      </c>
      <c r="BY3">
        <f>IF(マスター!$N$80&lt;&gt;"○","",マスター!$J$80)</f>
        <v/>
      </c>
      <c r="BZ3">
        <f>IF(マスター!$N$81&lt;&gt;"○","",マスター!$J$81)</f>
        <v/>
      </c>
      <c r="CA3">
        <f>IF(マスター!$N$82&lt;&gt;"○","",マスター!$J$82)</f>
        <v/>
      </c>
      <c r="CB3">
        <f>IF(マスター!$N$83&lt;&gt;"○","",マスター!$J$83)</f>
        <v/>
      </c>
      <c r="CC3">
        <f>IF(マスター!$N$84&lt;&gt;"○","",マスター!$J$84)</f>
        <v/>
      </c>
      <c r="CD3">
        <f>IF(マスター!$N$85&lt;&gt;"○","",マスター!$J$85)</f>
        <v/>
      </c>
      <c r="CE3">
        <f>IF(マスター!$N$86&lt;&gt;"○","",マスター!$J$86)</f>
        <v/>
      </c>
      <c r="CF3">
        <f>IF(マスター!$N$87&lt;&gt;"○","",マスター!$J$87)</f>
        <v/>
      </c>
      <c r="CG3">
        <f>IF(マスター!$N$88&lt;&gt;"○","",マスター!$J$88)</f>
        <v/>
      </c>
      <c r="CH3">
        <f>IF(マスター!$N$89&lt;&gt;"○","",マスター!$J$89)</f>
        <v/>
      </c>
      <c r="CI3">
        <f>IF(マスター!$N$90&lt;&gt;"○","",マスター!$J$90)</f>
        <v/>
      </c>
      <c r="CJ3">
        <f>IF(マスター!$N$91&lt;&gt;"○","",マスター!$J$91)</f>
        <v/>
      </c>
      <c r="CK3">
        <f>IF(マスター!$N$92&lt;&gt;"○","",マスター!$J$92)</f>
        <v/>
      </c>
      <c r="CL3">
        <f>IF(マスター!$N$93&lt;&gt;"○","",マスター!$J$93)</f>
        <v/>
      </c>
      <c r="CM3">
        <f>IF(マスター!$N$94&lt;&gt;"○","",マスター!$J$94)</f>
        <v/>
      </c>
      <c r="CN3">
        <f>IF(マスター!$N$95&lt;&gt;"○","",マスター!$J$95)</f>
        <v/>
      </c>
      <c r="CO3">
        <f>IF(マスター!$N$96&lt;&gt;"○","",マスター!$J$96)</f>
        <v/>
      </c>
      <c r="CP3">
        <f>IF(マスター!$N$97&lt;&gt;"○","",マスター!$J$97)</f>
        <v/>
      </c>
      <c r="CQ3">
        <f>IF(マスター!$N$98&lt;&gt;"○","",マスター!$J$98)</f>
        <v/>
      </c>
      <c r="CR3">
        <f>IF(マスター!$N$99&lt;&gt;"○","",マスター!$J$99)</f>
        <v/>
      </c>
      <c r="CS3">
        <f>IF(マスター!$N$100&lt;&gt;"○","",マスター!$J$100)</f>
        <v/>
      </c>
      <c r="CT3">
        <f>IF(マスター!$N$101&lt;&gt;"○","",マスター!$J$101)</f>
        <v/>
      </c>
      <c r="CU3">
        <f>IF(マスター!$N$102&lt;&gt;"○","",マスター!$J$102)</f>
        <v/>
      </c>
      <c r="CV3">
        <f>IF(マスター!$N$103&lt;&gt;"○","",マスター!$J$103)</f>
        <v/>
      </c>
      <c r="CW3">
        <f>IF(マスター!$N$104&lt;&gt;"○","",マスター!$J$104)</f>
        <v/>
      </c>
      <c r="CX3">
        <f>IF(マスター!$N$105&lt;&gt;"○","",マスター!$J$105)</f>
        <v/>
      </c>
      <c r="CY3">
        <f>IF(マスター!$N$106&lt;&gt;"○","",マスター!$J$106)</f>
        <v/>
      </c>
      <c r="CZ3">
        <f>IF(マスター!$N$107&lt;&gt;"○","",マスター!$J$107)</f>
        <v/>
      </c>
      <c r="DA3">
        <f>IF(マスター!$N$108&lt;&gt;"○","",マスター!$J$108)</f>
        <v/>
      </c>
      <c r="DB3">
        <f>IF(マスター!$N$109&lt;&gt;"○","",マスター!$J$109)</f>
        <v/>
      </c>
      <c r="DC3">
        <f>IF(マスター!$N$110&lt;&gt;"○","",マスター!$J$110)</f>
        <v/>
      </c>
      <c r="DD3">
        <f>IF(マスター!$N$111&lt;&gt;"○","",マスター!$J$111)</f>
        <v/>
      </c>
      <c r="DE3">
        <f>IF(マスター!$N$112&lt;&gt;"○","",マスター!$J$112)</f>
        <v/>
      </c>
      <c r="DF3">
        <f>IF(マスター!$N$113&lt;&gt;"○","",マスター!$J$113)</f>
        <v/>
      </c>
      <c r="DG3">
        <f>IF(マスター!$N$114&lt;&gt;"○","",マスター!$J$114)</f>
        <v/>
      </c>
      <c r="DH3">
        <f>IF(マスター!$N$115&lt;&gt;"○","",マスター!$J$115)</f>
        <v/>
      </c>
      <c r="DI3">
        <f>IF(マスター!$N$116&lt;&gt;"○","",マスター!$J$116)</f>
        <v/>
      </c>
      <c r="DJ3">
        <f>IF(マスター!$N$117&lt;&gt;"○","",マスター!$J$117)</f>
        <v/>
      </c>
      <c r="DK3">
        <f>IF(マスター!$N$118&lt;&gt;"○","",マスター!$J$118)</f>
        <v/>
      </c>
      <c r="DL3">
        <f>IF(マスター!$N$119&lt;&gt;"○","",マスター!$J$119)</f>
        <v/>
      </c>
      <c r="DM3">
        <f>IF(マスター!$N$120&lt;&gt;"○","",マスター!$J$120)</f>
        <v/>
      </c>
      <c r="DN3">
        <f>IF(マスター!$N$121&lt;&gt;"○","",マスター!$J$121)</f>
        <v/>
      </c>
      <c r="DO3">
        <f>IF(マスター!$N$122&lt;&gt;"○","",マスター!$J$122)</f>
        <v/>
      </c>
      <c r="DP3">
        <f>IF(マスター!$N$123&lt;&gt;"○","",マスター!$J$123)</f>
        <v/>
      </c>
      <c r="DQ3">
        <f>IF(マスター!$N$124&lt;&gt;"○","",マスター!$J$124)</f>
        <v/>
      </c>
      <c r="DR3">
        <f>IF(マスター!$N$125&lt;&gt;"○","",マスター!$J$125)</f>
        <v/>
      </c>
    </row>
    <row r="4">
      <c r="A4" t="inlineStr">
        <is>
          <t>当日稼働</t>
        </is>
      </c>
      <c r="C4">
        <f>IF(C$3="",0,IF(COUNTIFS(実績!$W$6:$W$505,C$3,実績!$AE$6:$AE$505,"○")&gt;0,1,0))</f>
        <v/>
      </c>
      <c r="D4">
        <f>IF(D$3="",0,IF(COUNTIFS(実績!$W$6:$W$505,D$3,実績!$AE$6:$AE$505,"○")&gt;0,1,0))</f>
        <v/>
      </c>
      <c r="E4">
        <f>IF(E$3="",0,IF(COUNTIFS(実績!$W$6:$W$505,E$3,実績!$AE$6:$AE$505,"○")&gt;0,1,0))</f>
        <v/>
      </c>
      <c r="F4">
        <f>IF(F$3="",0,IF(COUNTIFS(実績!$W$6:$W$505,F$3,実績!$AE$6:$AE$505,"○")&gt;0,1,0))</f>
        <v/>
      </c>
      <c r="G4">
        <f>IF(G$3="",0,IF(COUNTIFS(実績!$W$6:$W$505,G$3,実績!$AE$6:$AE$505,"○")&gt;0,1,0))</f>
        <v/>
      </c>
      <c r="H4">
        <f>IF(H$3="",0,IF(COUNTIFS(実績!$W$6:$W$505,H$3,実績!$AE$6:$AE$505,"○")&gt;0,1,0))</f>
        <v/>
      </c>
      <c r="I4">
        <f>IF(I$3="",0,IF(COUNTIFS(実績!$W$6:$W$505,I$3,実績!$AE$6:$AE$505,"○")&gt;0,1,0))</f>
        <v/>
      </c>
      <c r="J4">
        <f>IF(J$3="",0,IF(COUNTIFS(実績!$W$6:$W$505,J$3,実績!$AE$6:$AE$505,"○")&gt;0,1,0))</f>
        <v/>
      </c>
      <c r="K4">
        <f>IF(K$3="",0,IF(COUNTIFS(実績!$W$6:$W$505,K$3,実績!$AE$6:$AE$505,"○")&gt;0,1,0))</f>
        <v/>
      </c>
      <c r="L4">
        <f>IF(L$3="",0,IF(COUNTIFS(実績!$W$6:$W$505,L$3,実績!$AE$6:$AE$505,"○")&gt;0,1,0))</f>
        <v/>
      </c>
      <c r="M4">
        <f>IF(M$3="",0,IF(COUNTIFS(実績!$W$6:$W$505,M$3,実績!$AE$6:$AE$505,"○")&gt;0,1,0))</f>
        <v/>
      </c>
      <c r="N4">
        <f>IF(N$3="",0,IF(COUNTIFS(実績!$W$6:$W$505,N$3,実績!$AE$6:$AE$505,"○")&gt;0,1,0))</f>
        <v/>
      </c>
      <c r="O4">
        <f>IF(O$3="",0,IF(COUNTIFS(実績!$W$6:$W$505,O$3,実績!$AE$6:$AE$505,"○")&gt;0,1,0))</f>
        <v/>
      </c>
      <c r="P4">
        <f>IF(P$3="",0,IF(COUNTIFS(実績!$W$6:$W$505,P$3,実績!$AE$6:$AE$505,"○")&gt;0,1,0))</f>
        <v/>
      </c>
      <c r="Q4">
        <f>IF(Q$3="",0,IF(COUNTIFS(実績!$W$6:$W$505,Q$3,実績!$AE$6:$AE$505,"○")&gt;0,1,0))</f>
        <v/>
      </c>
      <c r="R4">
        <f>IF(R$3="",0,IF(COUNTIFS(実績!$W$6:$W$505,R$3,実績!$AE$6:$AE$505,"○")&gt;0,1,0))</f>
        <v/>
      </c>
      <c r="S4">
        <f>IF(S$3="",0,IF(COUNTIFS(実績!$W$6:$W$505,S$3,実績!$AE$6:$AE$505,"○")&gt;0,1,0))</f>
        <v/>
      </c>
      <c r="T4">
        <f>IF(T$3="",0,IF(COUNTIFS(実績!$W$6:$W$505,T$3,実績!$AE$6:$AE$505,"○")&gt;0,1,0))</f>
        <v/>
      </c>
      <c r="U4">
        <f>IF(U$3="",0,IF(COUNTIFS(実績!$W$6:$W$505,U$3,実績!$AE$6:$AE$505,"○")&gt;0,1,0))</f>
        <v/>
      </c>
      <c r="V4">
        <f>IF(V$3="",0,IF(COUNTIFS(実績!$W$6:$W$505,V$3,実績!$AE$6:$AE$505,"○")&gt;0,1,0))</f>
        <v/>
      </c>
      <c r="W4">
        <f>IF(W$3="",0,IF(COUNTIFS(実績!$W$6:$W$505,W$3,実績!$AE$6:$AE$505,"○")&gt;0,1,0))</f>
        <v/>
      </c>
      <c r="X4">
        <f>IF(X$3="",0,IF(COUNTIFS(実績!$W$6:$W$505,X$3,実績!$AE$6:$AE$505,"○")&gt;0,1,0))</f>
        <v/>
      </c>
      <c r="Y4">
        <f>IF(Y$3="",0,IF(COUNTIFS(実績!$W$6:$W$505,Y$3,実績!$AE$6:$AE$505,"○")&gt;0,1,0))</f>
        <v/>
      </c>
      <c r="Z4">
        <f>IF(Z$3="",0,IF(COUNTIFS(実績!$W$6:$W$505,Z$3,実績!$AE$6:$AE$505,"○")&gt;0,1,0))</f>
        <v/>
      </c>
      <c r="AA4">
        <f>IF(AA$3="",0,IF(COUNTIFS(実績!$W$6:$W$505,AA$3,実績!$AE$6:$AE$505,"○")&gt;0,1,0))</f>
        <v/>
      </c>
      <c r="AB4">
        <f>IF(AB$3="",0,IF(COUNTIFS(実績!$W$6:$W$505,AB$3,実績!$AE$6:$AE$505,"○")&gt;0,1,0))</f>
        <v/>
      </c>
      <c r="AC4">
        <f>IF(AC$3="",0,IF(COUNTIFS(実績!$W$6:$W$505,AC$3,実績!$AE$6:$AE$505,"○")&gt;0,1,0))</f>
        <v/>
      </c>
      <c r="AD4">
        <f>IF(AD$3="",0,IF(COUNTIFS(実績!$W$6:$W$505,AD$3,実績!$AE$6:$AE$505,"○")&gt;0,1,0))</f>
        <v/>
      </c>
      <c r="AE4">
        <f>IF(AE$3="",0,IF(COUNTIFS(実績!$W$6:$W$505,AE$3,実績!$AE$6:$AE$505,"○")&gt;0,1,0))</f>
        <v/>
      </c>
      <c r="AF4">
        <f>IF(AF$3="",0,IF(COUNTIFS(実績!$W$6:$W$505,AF$3,実績!$AE$6:$AE$505,"○")&gt;0,1,0))</f>
        <v/>
      </c>
      <c r="AG4">
        <f>IF(AG$3="",0,IF(COUNTIFS(実績!$W$6:$W$505,AG$3,実績!$AE$6:$AE$505,"○")&gt;0,1,0))</f>
        <v/>
      </c>
      <c r="AH4">
        <f>IF(AH$3="",0,IF(COUNTIFS(実績!$W$6:$W$505,AH$3,実績!$AE$6:$AE$505,"○")&gt;0,1,0))</f>
        <v/>
      </c>
      <c r="AI4">
        <f>IF(AI$3="",0,IF(COUNTIFS(実績!$W$6:$W$505,AI$3,実績!$AE$6:$AE$505,"○")&gt;0,1,0))</f>
        <v/>
      </c>
      <c r="AJ4">
        <f>IF(AJ$3="",0,IF(COUNTIFS(実績!$W$6:$W$505,AJ$3,実績!$AE$6:$AE$505,"○")&gt;0,1,0))</f>
        <v/>
      </c>
      <c r="AK4">
        <f>IF(AK$3="",0,IF(COUNTIFS(実績!$W$6:$W$505,AK$3,実績!$AE$6:$AE$505,"○")&gt;0,1,0))</f>
        <v/>
      </c>
      <c r="AL4">
        <f>IF(AL$3="",0,IF(COUNTIFS(実績!$W$6:$W$505,AL$3,実績!$AE$6:$AE$505,"○")&gt;0,1,0))</f>
        <v/>
      </c>
      <c r="AM4">
        <f>IF(AM$3="",0,IF(COUNTIFS(実績!$W$6:$W$505,AM$3,実績!$AE$6:$AE$505,"○")&gt;0,1,0))</f>
        <v/>
      </c>
      <c r="AN4">
        <f>IF(AN$3="",0,IF(COUNTIFS(実績!$W$6:$W$505,AN$3,実績!$AE$6:$AE$505,"○")&gt;0,1,0))</f>
        <v/>
      </c>
      <c r="AO4">
        <f>IF(AO$3="",0,IF(COUNTIFS(実績!$W$6:$W$505,AO$3,実績!$AE$6:$AE$505,"○")&gt;0,1,0))</f>
        <v/>
      </c>
      <c r="AP4">
        <f>IF(AP$3="",0,IF(COUNTIFS(実績!$W$6:$W$505,AP$3,実績!$AE$6:$AE$505,"○")&gt;0,1,0))</f>
        <v/>
      </c>
      <c r="AQ4">
        <f>IF(AQ$3="",0,IF(COUNTIFS(実績!$W$6:$W$505,AQ$3,実績!$AE$6:$AE$505,"○")&gt;0,1,0))</f>
        <v/>
      </c>
      <c r="AR4">
        <f>IF(AR$3="",0,IF(COUNTIFS(実績!$W$6:$W$505,AR$3,実績!$AE$6:$AE$505,"○")&gt;0,1,0))</f>
        <v/>
      </c>
      <c r="AS4">
        <f>IF(AS$3="",0,IF(COUNTIFS(実績!$W$6:$W$505,AS$3,実績!$AE$6:$AE$505,"○")&gt;0,1,0))</f>
        <v/>
      </c>
      <c r="AT4">
        <f>IF(AT$3="",0,IF(COUNTIFS(実績!$W$6:$W$505,AT$3,実績!$AE$6:$AE$505,"○")&gt;0,1,0))</f>
        <v/>
      </c>
      <c r="AU4">
        <f>IF(AU$3="",0,IF(COUNTIFS(実績!$W$6:$W$505,AU$3,実績!$AE$6:$AE$505,"○")&gt;0,1,0))</f>
        <v/>
      </c>
      <c r="AV4">
        <f>IF(AV$3="",0,IF(COUNTIFS(実績!$W$6:$W$505,AV$3,実績!$AE$6:$AE$505,"○")&gt;0,1,0))</f>
        <v/>
      </c>
      <c r="AW4">
        <f>IF(AW$3="",0,IF(COUNTIFS(実績!$W$6:$W$505,AW$3,実績!$AE$6:$AE$505,"○")&gt;0,1,0))</f>
        <v/>
      </c>
      <c r="AX4">
        <f>IF(AX$3="",0,IF(COUNTIFS(実績!$W$6:$W$505,AX$3,実績!$AE$6:$AE$505,"○")&gt;0,1,0))</f>
        <v/>
      </c>
      <c r="AY4">
        <f>IF(AY$3="",0,IF(COUNTIFS(実績!$W$6:$W$505,AY$3,実績!$AE$6:$AE$505,"○")&gt;0,1,0))</f>
        <v/>
      </c>
      <c r="AZ4">
        <f>IF(AZ$3="",0,IF(COUNTIFS(実績!$W$6:$W$505,AZ$3,実績!$AE$6:$AE$505,"○")&gt;0,1,0))</f>
        <v/>
      </c>
      <c r="BA4">
        <f>IF(BA$3="",0,IF(COUNTIFS(実績!$W$6:$W$505,BA$3,実績!$AE$6:$AE$505,"○")&gt;0,1,0))</f>
        <v/>
      </c>
      <c r="BB4">
        <f>IF(BB$3="",0,IF(COUNTIFS(実績!$W$6:$W$505,BB$3,実績!$AE$6:$AE$505,"○")&gt;0,1,0))</f>
        <v/>
      </c>
      <c r="BC4">
        <f>IF(BC$3="",0,IF(COUNTIFS(実績!$W$6:$W$505,BC$3,実績!$AE$6:$AE$505,"○")&gt;0,1,0))</f>
        <v/>
      </c>
      <c r="BD4">
        <f>IF(BD$3="",0,IF(COUNTIFS(実績!$W$6:$W$505,BD$3,実績!$AE$6:$AE$505,"○")&gt;0,1,0))</f>
        <v/>
      </c>
      <c r="BE4">
        <f>IF(BE$3="",0,IF(COUNTIFS(実績!$W$6:$W$505,BE$3,実績!$AE$6:$AE$505,"○")&gt;0,1,0))</f>
        <v/>
      </c>
      <c r="BF4">
        <f>IF(BF$3="",0,IF(COUNTIFS(実績!$W$6:$W$505,BF$3,実績!$AE$6:$AE$505,"○")&gt;0,1,0))</f>
        <v/>
      </c>
      <c r="BG4">
        <f>IF(BG$3="",0,IF(COUNTIFS(実績!$W$6:$W$505,BG$3,実績!$AE$6:$AE$505,"○")&gt;0,1,0))</f>
        <v/>
      </c>
      <c r="BH4">
        <f>IF(BH$3="",0,IF(COUNTIFS(実績!$W$6:$W$505,BH$3,実績!$AE$6:$AE$505,"○")&gt;0,1,0))</f>
        <v/>
      </c>
      <c r="BI4">
        <f>IF(BI$3="",0,IF(COUNTIFS(実績!$W$6:$W$505,BI$3,実績!$AE$6:$AE$505,"○")&gt;0,1,0))</f>
        <v/>
      </c>
      <c r="BJ4">
        <f>IF(BJ$3="",0,IF(COUNTIFS(実績!$W$6:$W$505,BJ$3,実績!$AE$6:$AE$505,"○")&gt;0,1,0))</f>
        <v/>
      </c>
      <c r="BK4">
        <f>IF(BK$3="",0,IF(COUNTIFS(実績!$W$6:$W$505,BK$3,実績!$AE$6:$AE$505,"○")&gt;0,1,0))</f>
        <v/>
      </c>
      <c r="BL4">
        <f>IF(BL$3="",0,IF(COUNTIFS(実績!$W$6:$W$505,BL$3,実績!$AE$6:$AE$505,"○")&gt;0,1,0))</f>
        <v/>
      </c>
      <c r="BM4">
        <f>IF(BM$3="",0,IF(COUNTIFS(実績!$W$6:$W$505,BM$3,実績!$AE$6:$AE$505,"○")&gt;0,1,0))</f>
        <v/>
      </c>
      <c r="BN4">
        <f>IF(BN$3="",0,IF(COUNTIFS(実績!$W$6:$W$505,BN$3,実績!$AE$6:$AE$505,"○")&gt;0,1,0))</f>
        <v/>
      </c>
      <c r="BO4">
        <f>IF(BO$3="",0,IF(COUNTIFS(実績!$W$6:$W$505,BO$3,実績!$AE$6:$AE$505,"○")&gt;0,1,0))</f>
        <v/>
      </c>
      <c r="BP4">
        <f>IF(BP$3="",0,IF(COUNTIFS(実績!$W$6:$W$505,BP$3,実績!$AE$6:$AE$505,"○")&gt;0,1,0))</f>
        <v/>
      </c>
      <c r="BQ4">
        <f>IF(BQ$3="",0,IF(COUNTIFS(実績!$W$6:$W$505,BQ$3,実績!$AE$6:$AE$505,"○")&gt;0,1,0))</f>
        <v/>
      </c>
      <c r="BR4">
        <f>IF(BR$3="",0,IF(COUNTIFS(実績!$W$6:$W$505,BR$3,実績!$AE$6:$AE$505,"○")&gt;0,1,0))</f>
        <v/>
      </c>
      <c r="BS4">
        <f>IF(BS$3="",0,IF(COUNTIFS(実績!$W$6:$W$505,BS$3,実績!$AE$6:$AE$505,"○")&gt;0,1,0))</f>
        <v/>
      </c>
      <c r="BT4">
        <f>IF(BT$3="",0,IF(COUNTIFS(実績!$W$6:$W$505,BT$3,実績!$AE$6:$AE$505,"○")&gt;0,1,0))</f>
        <v/>
      </c>
      <c r="BU4">
        <f>IF(BU$3="",0,IF(COUNTIFS(実績!$W$6:$W$505,BU$3,実績!$AE$6:$AE$505,"○")&gt;0,1,0))</f>
        <v/>
      </c>
      <c r="BV4">
        <f>IF(BV$3="",0,IF(COUNTIFS(実績!$W$6:$W$505,BV$3,実績!$AE$6:$AE$505,"○")&gt;0,1,0))</f>
        <v/>
      </c>
      <c r="BW4">
        <f>IF(BW$3="",0,IF(COUNTIFS(実績!$W$6:$W$505,BW$3,実績!$AE$6:$AE$505,"○")&gt;0,1,0))</f>
        <v/>
      </c>
      <c r="BX4">
        <f>IF(BX$3="",0,IF(COUNTIFS(実績!$W$6:$W$505,BX$3,実績!$AE$6:$AE$505,"○")&gt;0,1,0))</f>
        <v/>
      </c>
      <c r="BY4">
        <f>IF(BY$3="",0,IF(COUNTIFS(実績!$W$6:$W$505,BY$3,実績!$AE$6:$AE$505,"○")&gt;0,1,0))</f>
        <v/>
      </c>
      <c r="BZ4">
        <f>IF(BZ$3="",0,IF(COUNTIFS(実績!$W$6:$W$505,BZ$3,実績!$AE$6:$AE$505,"○")&gt;0,1,0))</f>
        <v/>
      </c>
      <c r="CA4">
        <f>IF(CA$3="",0,IF(COUNTIFS(実績!$W$6:$W$505,CA$3,実績!$AE$6:$AE$505,"○")&gt;0,1,0))</f>
        <v/>
      </c>
      <c r="CB4">
        <f>IF(CB$3="",0,IF(COUNTIFS(実績!$W$6:$W$505,CB$3,実績!$AE$6:$AE$505,"○")&gt;0,1,0))</f>
        <v/>
      </c>
      <c r="CC4">
        <f>IF(CC$3="",0,IF(COUNTIFS(実績!$W$6:$W$505,CC$3,実績!$AE$6:$AE$505,"○")&gt;0,1,0))</f>
        <v/>
      </c>
      <c r="CD4">
        <f>IF(CD$3="",0,IF(COUNTIFS(実績!$W$6:$W$505,CD$3,実績!$AE$6:$AE$505,"○")&gt;0,1,0))</f>
        <v/>
      </c>
      <c r="CE4">
        <f>IF(CE$3="",0,IF(COUNTIFS(実績!$W$6:$W$505,CE$3,実績!$AE$6:$AE$505,"○")&gt;0,1,0))</f>
        <v/>
      </c>
      <c r="CF4">
        <f>IF(CF$3="",0,IF(COUNTIFS(実績!$W$6:$W$505,CF$3,実績!$AE$6:$AE$505,"○")&gt;0,1,0))</f>
        <v/>
      </c>
      <c r="CG4">
        <f>IF(CG$3="",0,IF(COUNTIFS(実績!$W$6:$W$505,CG$3,実績!$AE$6:$AE$505,"○")&gt;0,1,0))</f>
        <v/>
      </c>
      <c r="CH4">
        <f>IF(CH$3="",0,IF(COUNTIFS(実績!$W$6:$W$505,CH$3,実績!$AE$6:$AE$505,"○")&gt;0,1,0))</f>
        <v/>
      </c>
      <c r="CI4">
        <f>IF(CI$3="",0,IF(COUNTIFS(実績!$W$6:$W$505,CI$3,実績!$AE$6:$AE$505,"○")&gt;0,1,0))</f>
        <v/>
      </c>
      <c r="CJ4">
        <f>IF(CJ$3="",0,IF(COUNTIFS(実績!$W$6:$W$505,CJ$3,実績!$AE$6:$AE$505,"○")&gt;0,1,0))</f>
        <v/>
      </c>
      <c r="CK4">
        <f>IF(CK$3="",0,IF(COUNTIFS(実績!$W$6:$W$505,CK$3,実績!$AE$6:$AE$505,"○")&gt;0,1,0))</f>
        <v/>
      </c>
      <c r="CL4">
        <f>IF(CL$3="",0,IF(COUNTIFS(実績!$W$6:$W$505,CL$3,実績!$AE$6:$AE$505,"○")&gt;0,1,0))</f>
        <v/>
      </c>
      <c r="CM4">
        <f>IF(CM$3="",0,IF(COUNTIFS(実績!$W$6:$W$505,CM$3,実績!$AE$6:$AE$505,"○")&gt;0,1,0))</f>
        <v/>
      </c>
      <c r="CN4">
        <f>IF(CN$3="",0,IF(COUNTIFS(実績!$W$6:$W$505,CN$3,実績!$AE$6:$AE$505,"○")&gt;0,1,0))</f>
        <v/>
      </c>
      <c r="CO4">
        <f>IF(CO$3="",0,IF(COUNTIFS(実績!$W$6:$W$505,CO$3,実績!$AE$6:$AE$505,"○")&gt;0,1,0))</f>
        <v/>
      </c>
      <c r="CP4">
        <f>IF(CP$3="",0,IF(COUNTIFS(実績!$W$6:$W$505,CP$3,実績!$AE$6:$AE$505,"○")&gt;0,1,0))</f>
        <v/>
      </c>
      <c r="CQ4">
        <f>IF(CQ$3="",0,IF(COUNTIFS(実績!$W$6:$W$505,CQ$3,実績!$AE$6:$AE$505,"○")&gt;0,1,0))</f>
        <v/>
      </c>
      <c r="CR4">
        <f>IF(CR$3="",0,IF(COUNTIFS(実績!$W$6:$W$505,CR$3,実績!$AE$6:$AE$505,"○")&gt;0,1,0))</f>
        <v/>
      </c>
      <c r="CS4">
        <f>IF(CS$3="",0,IF(COUNTIFS(実績!$W$6:$W$505,CS$3,実績!$AE$6:$AE$505,"○")&gt;0,1,0))</f>
        <v/>
      </c>
      <c r="CT4">
        <f>IF(CT$3="",0,IF(COUNTIFS(実績!$W$6:$W$505,CT$3,実績!$AE$6:$AE$505,"○")&gt;0,1,0))</f>
        <v/>
      </c>
      <c r="CU4">
        <f>IF(CU$3="",0,IF(COUNTIFS(実績!$W$6:$W$505,CU$3,実績!$AE$6:$AE$505,"○")&gt;0,1,0))</f>
        <v/>
      </c>
      <c r="CV4">
        <f>IF(CV$3="",0,IF(COUNTIFS(実績!$W$6:$W$505,CV$3,実績!$AE$6:$AE$505,"○")&gt;0,1,0))</f>
        <v/>
      </c>
      <c r="CW4">
        <f>IF(CW$3="",0,IF(COUNTIFS(実績!$W$6:$W$505,CW$3,実績!$AE$6:$AE$505,"○")&gt;0,1,0))</f>
        <v/>
      </c>
      <c r="CX4">
        <f>IF(CX$3="",0,IF(COUNTIFS(実績!$W$6:$W$505,CX$3,実績!$AE$6:$AE$505,"○")&gt;0,1,0))</f>
        <v/>
      </c>
      <c r="CY4">
        <f>IF(CY$3="",0,IF(COUNTIFS(実績!$W$6:$W$505,CY$3,実績!$AE$6:$AE$505,"○")&gt;0,1,0))</f>
        <v/>
      </c>
      <c r="CZ4">
        <f>IF(CZ$3="",0,IF(COUNTIFS(実績!$W$6:$W$505,CZ$3,実績!$AE$6:$AE$505,"○")&gt;0,1,0))</f>
        <v/>
      </c>
      <c r="DA4">
        <f>IF(DA$3="",0,IF(COUNTIFS(実績!$W$6:$W$505,DA$3,実績!$AE$6:$AE$505,"○")&gt;0,1,0))</f>
        <v/>
      </c>
      <c r="DB4">
        <f>IF(DB$3="",0,IF(COUNTIFS(実績!$W$6:$W$505,DB$3,実績!$AE$6:$AE$505,"○")&gt;0,1,0))</f>
        <v/>
      </c>
      <c r="DC4">
        <f>IF(DC$3="",0,IF(COUNTIFS(実績!$W$6:$W$505,DC$3,実績!$AE$6:$AE$505,"○")&gt;0,1,0))</f>
        <v/>
      </c>
      <c r="DD4">
        <f>IF(DD$3="",0,IF(COUNTIFS(実績!$W$6:$W$505,DD$3,実績!$AE$6:$AE$505,"○")&gt;0,1,0))</f>
        <v/>
      </c>
      <c r="DE4">
        <f>IF(DE$3="",0,IF(COUNTIFS(実績!$W$6:$W$505,DE$3,実績!$AE$6:$AE$505,"○")&gt;0,1,0))</f>
        <v/>
      </c>
      <c r="DF4">
        <f>IF(DF$3="",0,IF(COUNTIFS(実績!$W$6:$W$505,DF$3,実績!$AE$6:$AE$505,"○")&gt;0,1,0))</f>
        <v/>
      </c>
      <c r="DG4">
        <f>IF(DG$3="",0,IF(COUNTIFS(実績!$W$6:$W$505,DG$3,実績!$AE$6:$AE$505,"○")&gt;0,1,0))</f>
        <v/>
      </c>
      <c r="DH4">
        <f>IF(DH$3="",0,IF(COUNTIFS(実績!$W$6:$W$505,DH$3,実績!$AE$6:$AE$505,"○")&gt;0,1,0))</f>
        <v/>
      </c>
      <c r="DI4">
        <f>IF(DI$3="",0,IF(COUNTIFS(実績!$W$6:$W$505,DI$3,実績!$AE$6:$AE$505,"○")&gt;0,1,0))</f>
        <v/>
      </c>
      <c r="DJ4">
        <f>IF(DJ$3="",0,IF(COUNTIFS(実績!$W$6:$W$505,DJ$3,実績!$AE$6:$AE$505,"○")&gt;0,1,0))</f>
        <v/>
      </c>
      <c r="DK4">
        <f>IF(DK$3="",0,IF(COUNTIFS(実績!$W$6:$W$505,DK$3,実績!$AE$6:$AE$505,"○")&gt;0,1,0))</f>
        <v/>
      </c>
      <c r="DL4">
        <f>IF(DL$3="",0,IF(COUNTIFS(実績!$W$6:$W$505,DL$3,実績!$AE$6:$AE$505,"○")&gt;0,1,0))</f>
        <v/>
      </c>
      <c r="DM4">
        <f>IF(DM$3="",0,IF(COUNTIFS(実績!$W$6:$W$505,DM$3,実績!$AE$6:$AE$505,"○")&gt;0,1,0))</f>
        <v/>
      </c>
      <c r="DN4">
        <f>IF(DN$3="",0,IF(COUNTIFS(実績!$W$6:$W$505,DN$3,実績!$AE$6:$AE$505,"○")&gt;0,1,0))</f>
        <v/>
      </c>
      <c r="DO4">
        <f>IF(DO$3="",0,IF(COUNTIFS(実績!$W$6:$W$505,DO$3,実績!$AE$6:$AE$505,"○")&gt;0,1,0))</f>
        <v/>
      </c>
      <c r="DP4">
        <f>IF(DP$3="",0,IF(COUNTIFS(実績!$W$6:$W$505,DP$3,実績!$AE$6:$AE$505,"○")&gt;0,1,0))</f>
        <v/>
      </c>
      <c r="DQ4">
        <f>IF(DQ$3="",0,IF(COUNTIFS(実績!$W$6:$W$505,DQ$3,実績!$AE$6:$AE$505,"○")&gt;0,1,0))</f>
        <v/>
      </c>
      <c r="DR4">
        <f>IF(DR$3="",0,IF(COUNTIFS(実績!$W$6:$W$505,DR$3,実績!$AE$6:$AE$505,"○")&gt;0,1,0))</f>
        <v/>
      </c>
    </row>
    <row r="5">
      <c r="A5" t="inlineStr">
        <is>
          <t>分</t>
        </is>
      </c>
      <c r="B5" t="inlineStr">
        <is>
          <t>時刻</t>
        </is>
      </c>
      <c r="DS5" t="inlineStr">
        <is>
          <t>全体の同時隻数</t>
        </is>
      </c>
      <c r="DT5" t="inlineStr">
        <is>
          <t>作業中の本船作業数</t>
        </is>
      </c>
      <c r="DU5" t="inlineStr">
        <is>
          <t>製鉄曳船（会社要確認）</t>
        </is>
      </c>
      <c r="DV5" t="inlineStr">
        <is>
          <t>西日本海運</t>
        </is>
      </c>
    </row>
    <row r="6">
      <c r="A6" t="n">
        <v>0</v>
      </c>
      <c r="B6" s="29">
        <f>A6/1440</f>
        <v/>
      </c>
      <c r="C6">
        <f>IF(C$4=0,0,IF(COUNTIFS(実績!$W$6:$W$505,C$3,実績!$AC$6:$AC$505,"&lt;="&amp;$A6,実績!$AD$6:$AD$505,"&gt;"&amp;$A6,実績!$AE$6:$AE$505,"○")&gt;0,1,0))</f>
        <v/>
      </c>
      <c r="D6">
        <f>IF(D$4=0,0,IF(COUNTIFS(実績!$W$6:$W$505,D$3,実績!$AC$6:$AC$505,"&lt;="&amp;$A6,実績!$AD$6:$AD$505,"&gt;"&amp;$A6,実績!$AE$6:$AE$505,"○")&gt;0,1,0))</f>
        <v/>
      </c>
      <c r="E6">
        <f>IF(E$4=0,0,IF(COUNTIFS(実績!$W$6:$W$505,E$3,実績!$AC$6:$AC$505,"&lt;="&amp;$A6,実績!$AD$6:$AD$505,"&gt;"&amp;$A6,実績!$AE$6:$AE$505,"○")&gt;0,1,0))</f>
        <v/>
      </c>
      <c r="F6">
        <f>IF(F$4=0,0,IF(COUNTIFS(実績!$W$6:$W$505,F$3,実績!$AC$6:$AC$505,"&lt;="&amp;$A6,実績!$AD$6:$AD$505,"&gt;"&amp;$A6,実績!$AE$6:$AE$505,"○")&gt;0,1,0))</f>
        <v/>
      </c>
      <c r="G6">
        <f>IF(G$4=0,0,IF(COUNTIFS(実績!$W$6:$W$505,G$3,実績!$AC$6:$AC$505,"&lt;="&amp;$A6,実績!$AD$6:$AD$505,"&gt;"&amp;$A6,実績!$AE$6:$AE$505,"○")&gt;0,1,0))</f>
        <v/>
      </c>
      <c r="H6">
        <f>IF(H$4=0,0,IF(COUNTIFS(実績!$W$6:$W$505,H$3,実績!$AC$6:$AC$505,"&lt;="&amp;$A6,実績!$AD$6:$AD$505,"&gt;"&amp;$A6,実績!$AE$6:$AE$505,"○")&gt;0,1,0))</f>
        <v/>
      </c>
      <c r="I6">
        <f>IF(I$4=0,0,IF(COUNTIFS(実績!$W$6:$W$505,I$3,実績!$AC$6:$AC$505,"&lt;="&amp;$A6,実績!$AD$6:$AD$505,"&gt;"&amp;$A6,実績!$AE$6:$AE$505,"○")&gt;0,1,0))</f>
        <v/>
      </c>
      <c r="J6">
        <f>IF(J$4=0,0,IF(COUNTIFS(実績!$W$6:$W$505,J$3,実績!$AC$6:$AC$505,"&lt;="&amp;$A6,実績!$AD$6:$AD$505,"&gt;"&amp;$A6,実績!$AE$6:$AE$505,"○")&gt;0,1,0))</f>
        <v/>
      </c>
      <c r="K6">
        <f>IF(K$4=0,0,IF(COUNTIFS(実績!$W$6:$W$505,K$3,実績!$AC$6:$AC$505,"&lt;="&amp;$A6,実績!$AD$6:$AD$505,"&gt;"&amp;$A6,実績!$AE$6:$AE$505,"○")&gt;0,1,0))</f>
        <v/>
      </c>
      <c r="L6">
        <f>IF(L$4=0,0,IF(COUNTIFS(実績!$W$6:$W$505,L$3,実績!$AC$6:$AC$505,"&lt;="&amp;$A6,実績!$AD$6:$AD$505,"&gt;"&amp;$A6,実績!$AE$6:$AE$505,"○")&gt;0,1,0))</f>
        <v/>
      </c>
      <c r="M6">
        <f>IF(M$4=0,0,IF(COUNTIFS(実績!$W$6:$W$505,M$3,実績!$AC$6:$AC$505,"&lt;="&amp;$A6,実績!$AD$6:$AD$505,"&gt;"&amp;$A6,実績!$AE$6:$AE$505,"○")&gt;0,1,0))</f>
        <v/>
      </c>
      <c r="N6">
        <f>IF(N$4=0,0,IF(COUNTIFS(実績!$W$6:$W$505,N$3,実績!$AC$6:$AC$505,"&lt;="&amp;$A6,実績!$AD$6:$AD$505,"&gt;"&amp;$A6,実績!$AE$6:$AE$505,"○")&gt;0,1,0))</f>
        <v/>
      </c>
      <c r="O6">
        <f>IF(O$4=0,0,IF(COUNTIFS(実績!$W$6:$W$505,O$3,実績!$AC$6:$AC$505,"&lt;="&amp;$A6,実績!$AD$6:$AD$505,"&gt;"&amp;$A6,実績!$AE$6:$AE$505,"○")&gt;0,1,0))</f>
        <v/>
      </c>
      <c r="P6">
        <f>IF(P$4=0,0,IF(COUNTIFS(実績!$W$6:$W$505,P$3,実績!$AC$6:$AC$505,"&lt;="&amp;$A6,実績!$AD$6:$AD$505,"&gt;"&amp;$A6,実績!$AE$6:$AE$505,"○")&gt;0,1,0))</f>
        <v/>
      </c>
      <c r="Q6">
        <f>IF(Q$4=0,0,IF(COUNTIFS(実績!$W$6:$W$505,Q$3,実績!$AC$6:$AC$505,"&lt;="&amp;$A6,実績!$AD$6:$AD$505,"&gt;"&amp;$A6,実績!$AE$6:$AE$505,"○")&gt;0,1,0))</f>
        <v/>
      </c>
      <c r="R6">
        <f>IF(R$4=0,0,IF(COUNTIFS(実績!$W$6:$W$505,R$3,実績!$AC$6:$AC$505,"&lt;="&amp;$A6,実績!$AD$6:$AD$505,"&gt;"&amp;$A6,実績!$AE$6:$AE$505,"○")&gt;0,1,0))</f>
        <v/>
      </c>
      <c r="S6">
        <f>IF(S$4=0,0,IF(COUNTIFS(実績!$W$6:$W$505,S$3,実績!$AC$6:$AC$505,"&lt;="&amp;$A6,実績!$AD$6:$AD$505,"&gt;"&amp;$A6,実績!$AE$6:$AE$505,"○")&gt;0,1,0))</f>
        <v/>
      </c>
      <c r="T6">
        <f>IF(T$4=0,0,IF(COUNTIFS(実績!$W$6:$W$505,T$3,実績!$AC$6:$AC$505,"&lt;="&amp;$A6,実績!$AD$6:$AD$505,"&gt;"&amp;$A6,実績!$AE$6:$AE$505,"○")&gt;0,1,0))</f>
        <v/>
      </c>
      <c r="U6">
        <f>IF(U$4=0,0,IF(COUNTIFS(実績!$W$6:$W$505,U$3,実績!$AC$6:$AC$505,"&lt;="&amp;$A6,実績!$AD$6:$AD$505,"&gt;"&amp;$A6,実績!$AE$6:$AE$505,"○")&gt;0,1,0))</f>
        <v/>
      </c>
      <c r="V6">
        <f>IF(V$4=0,0,IF(COUNTIFS(実績!$W$6:$W$505,V$3,実績!$AC$6:$AC$505,"&lt;="&amp;$A6,実績!$AD$6:$AD$505,"&gt;"&amp;$A6,実績!$AE$6:$AE$505,"○")&gt;0,1,0))</f>
        <v/>
      </c>
      <c r="W6">
        <f>IF(W$4=0,0,IF(COUNTIFS(実績!$W$6:$W$505,W$3,実績!$AC$6:$AC$505,"&lt;="&amp;$A6,実績!$AD$6:$AD$505,"&gt;"&amp;$A6,実績!$AE$6:$AE$505,"○")&gt;0,1,0))</f>
        <v/>
      </c>
      <c r="X6">
        <f>IF(X$4=0,0,IF(COUNTIFS(実績!$W$6:$W$505,X$3,実績!$AC$6:$AC$505,"&lt;="&amp;$A6,実績!$AD$6:$AD$505,"&gt;"&amp;$A6,実績!$AE$6:$AE$505,"○")&gt;0,1,0))</f>
        <v/>
      </c>
      <c r="Y6">
        <f>IF(Y$4=0,0,IF(COUNTIFS(実績!$W$6:$W$505,Y$3,実績!$AC$6:$AC$505,"&lt;="&amp;$A6,実績!$AD$6:$AD$505,"&gt;"&amp;$A6,実績!$AE$6:$AE$505,"○")&gt;0,1,0))</f>
        <v/>
      </c>
      <c r="Z6">
        <f>IF(Z$4=0,0,IF(COUNTIFS(実績!$W$6:$W$505,Z$3,実績!$AC$6:$AC$505,"&lt;="&amp;$A6,実績!$AD$6:$AD$505,"&gt;"&amp;$A6,実績!$AE$6:$AE$505,"○")&gt;0,1,0))</f>
        <v/>
      </c>
      <c r="AA6">
        <f>IF(AA$4=0,0,IF(COUNTIFS(実績!$W$6:$W$505,AA$3,実績!$AC$6:$AC$505,"&lt;="&amp;$A6,実績!$AD$6:$AD$505,"&gt;"&amp;$A6,実績!$AE$6:$AE$505,"○")&gt;0,1,0))</f>
        <v/>
      </c>
      <c r="AB6">
        <f>IF(AB$4=0,0,IF(COUNTIFS(実績!$W$6:$W$505,AB$3,実績!$AC$6:$AC$505,"&lt;="&amp;$A6,実績!$AD$6:$AD$505,"&gt;"&amp;$A6,実績!$AE$6:$AE$505,"○")&gt;0,1,0))</f>
        <v/>
      </c>
      <c r="AC6">
        <f>IF(AC$4=0,0,IF(COUNTIFS(実績!$W$6:$W$505,AC$3,実績!$AC$6:$AC$505,"&lt;="&amp;$A6,実績!$AD$6:$AD$505,"&gt;"&amp;$A6,実績!$AE$6:$AE$505,"○")&gt;0,1,0))</f>
        <v/>
      </c>
      <c r="AD6">
        <f>IF(AD$4=0,0,IF(COUNTIFS(実績!$W$6:$W$505,AD$3,実績!$AC$6:$AC$505,"&lt;="&amp;$A6,実績!$AD$6:$AD$505,"&gt;"&amp;$A6,実績!$AE$6:$AE$505,"○")&gt;0,1,0))</f>
        <v/>
      </c>
      <c r="AE6">
        <f>IF(AE$4=0,0,IF(COUNTIFS(実績!$W$6:$W$505,AE$3,実績!$AC$6:$AC$505,"&lt;="&amp;$A6,実績!$AD$6:$AD$505,"&gt;"&amp;$A6,実績!$AE$6:$AE$505,"○")&gt;0,1,0))</f>
        <v/>
      </c>
      <c r="AF6">
        <f>IF(AF$4=0,0,IF(COUNTIFS(実績!$W$6:$W$505,AF$3,実績!$AC$6:$AC$505,"&lt;="&amp;$A6,実績!$AD$6:$AD$505,"&gt;"&amp;$A6,実績!$AE$6:$AE$505,"○")&gt;0,1,0))</f>
        <v/>
      </c>
      <c r="AG6">
        <f>IF(AG$4=0,0,IF(COUNTIFS(実績!$W$6:$W$505,AG$3,実績!$AC$6:$AC$505,"&lt;="&amp;$A6,実績!$AD$6:$AD$505,"&gt;"&amp;$A6,実績!$AE$6:$AE$505,"○")&gt;0,1,0))</f>
        <v/>
      </c>
      <c r="AH6">
        <f>IF(AH$4=0,0,IF(COUNTIFS(実績!$W$6:$W$505,AH$3,実績!$AC$6:$AC$505,"&lt;="&amp;$A6,実績!$AD$6:$AD$505,"&gt;"&amp;$A6,実績!$AE$6:$AE$505,"○")&gt;0,1,0))</f>
        <v/>
      </c>
      <c r="AI6">
        <f>IF(AI$4=0,0,IF(COUNTIFS(実績!$W$6:$W$505,AI$3,実績!$AC$6:$AC$505,"&lt;="&amp;$A6,実績!$AD$6:$AD$505,"&gt;"&amp;$A6,実績!$AE$6:$AE$505,"○")&gt;0,1,0))</f>
        <v/>
      </c>
      <c r="AJ6">
        <f>IF(AJ$4=0,0,IF(COUNTIFS(実績!$W$6:$W$505,AJ$3,実績!$AC$6:$AC$505,"&lt;="&amp;$A6,実績!$AD$6:$AD$505,"&gt;"&amp;$A6,実績!$AE$6:$AE$505,"○")&gt;0,1,0))</f>
        <v/>
      </c>
      <c r="AK6">
        <f>IF(AK$4=0,0,IF(COUNTIFS(実績!$W$6:$W$505,AK$3,実績!$AC$6:$AC$505,"&lt;="&amp;$A6,実績!$AD$6:$AD$505,"&gt;"&amp;$A6,実績!$AE$6:$AE$505,"○")&gt;0,1,0))</f>
        <v/>
      </c>
      <c r="AL6">
        <f>IF(AL$4=0,0,IF(COUNTIFS(実績!$W$6:$W$505,AL$3,実績!$AC$6:$AC$505,"&lt;="&amp;$A6,実績!$AD$6:$AD$505,"&gt;"&amp;$A6,実績!$AE$6:$AE$505,"○")&gt;0,1,0))</f>
        <v/>
      </c>
      <c r="AM6">
        <f>IF(AM$4=0,0,IF(COUNTIFS(実績!$W$6:$W$505,AM$3,実績!$AC$6:$AC$505,"&lt;="&amp;$A6,実績!$AD$6:$AD$505,"&gt;"&amp;$A6,実績!$AE$6:$AE$505,"○")&gt;0,1,0))</f>
        <v/>
      </c>
      <c r="AN6">
        <f>IF(AN$4=0,0,IF(COUNTIFS(実績!$W$6:$W$505,AN$3,実績!$AC$6:$AC$505,"&lt;="&amp;$A6,実績!$AD$6:$AD$505,"&gt;"&amp;$A6,実績!$AE$6:$AE$505,"○")&gt;0,1,0))</f>
        <v/>
      </c>
      <c r="AO6">
        <f>IF(AO$4=0,0,IF(COUNTIFS(実績!$W$6:$W$505,AO$3,実績!$AC$6:$AC$505,"&lt;="&amp;$A6,実績!$AD$6:$AD$505,"&gt;"&amp;$A6,実績!$AE$6:$AE$505,"○")&gt;0,1,0))</f>
        <v/>
      </c>
      <c r="AP6">
        <f>IF(AP$4=0,0,IF(COUNTIFS(実績!$W$6:$W$505,AP$3,実績!$AC$6:$AC$505,"&lt;="&amp;$A6,実績!$AD$6:$AD$505,"&gt;"&amp;$A6,実績!$AE$6:$AE$505,"○")&gt;0,1,0))</f>
        <v/>
      </c>
      <c r="AQ6">
        <f>IF(AQ$4=0,0,IF(COUNTIFS(実績!$W$6:$W$505,AQ$3,実績!$AC$6:$AC$505,"&lt;="&amp;$A6,実績!$AD$6:$AD$505,"&gt;"&amp;$A6,実績!$AE$6:$AE$505,"○")&gt;0,1,0))</f>
        <v/>
      </c>
      <c r="AR6">
        <f>IF(AR$4=0,0,IF(COUNTIFS(実績!$W$6:$W$505,AR$3,実績!$AC$6:$AC$505,"&lt;="&amp;$A6,実績!$AD$6:$AD$505,"&gt;"&amp;$A6,実績!$AE$6:$AE$505,"○")&gt;0,1,0))</f>
        <v/>
      </c>
      <c r="AS6">
        <f>IF(AS$4=0,0,IF(COUNTIFS(実績!$W$6:$W$505,AS$3,実績!$AC$6:$AC$505,"&lt;="&amp;$A6,実績!$AD$6:$AD$505,"&gt;"&amp;$A6,実績!$AE$6:$AE$505,"○")&gt;0,1,0))</f>
        <v/>
      </c>
      <c r="AT6">
        <f>IF(AT$4=0,0,IF(COUNTIFS(実績!$W$6:$W$505,AT$3,実績!$AC$6:$AC$505,"&lt;="&amp;$A6,実績!$AD$6:$AD$505,"&gt;"&amp;$A6,実績!$AE$6:$AE$505,"○")&gt;0,1,0))</f>
        <v/>
      </c>
      <c r="AU6">
        <f>IF(AU$4=0,0,IF(COUNTIFS(実績!$W$6:$W$505,AU$3,実績!$AC$6:$AC$505,"&lt;="&amp;$A6,実績!$AD$6:$AD$505,"&gt;"&amp;$A6,実績!$AE$6:$AE$505,"○")&gt;0,1,0))</f>
        <v/>
      </c>
      <c r="AV6">
        <f>IF(AV$4=0,0,IF(COUNTIFS(実績!$W$6:$W$505,AV$3,実績!$AC$6:$AC$505,"&lt;="&amp;$A6,実績!$AD$6:$AD$505,"&gt;"&amp;$A6,実績!$AE$6:$AE$505,"○")&gt;0,1,0))</f>
        <v/>
      </c>
      <c r="AW6">
        <f>IF(AW$4=0,0,IF(COUNTIFS(実績!$W$6:$W$505,AW$3,実績!$AC$6:$AC$505,"&lt;="&amp;$A6,実績!$AD$6:$AD$505,"&gt;"&amp;$A6,実績!$AE$6:$AE$505,"○")&gt;0,1,0))</f>
        <v/>
      </c>
      <c r="AX6">
        <f>IF(AX$4=0,0,IF(COUNTIFS(実績!$W$6:$W$505,AX$3,実績!$AC$6:$AC$505,"&lt;="&amp;$A6,実績!$AD$6:$AD$505,"&gt;"&amp;$A6,実績!$AE$6:$AE$505,"○")&gt;0,1,0))</f>
        <v/>
      </c>
      <c r="AY6">
        <f>IF(AY$4=0,0,IF(COUNTIFS(実績!$W$6:$W$505,AY$3,実績!$AC$6:$AC$505,"&lt;="&amp;$A6,実績!$AD$6:$AD$505,"&gt;"&amp;$A6,実績!$AE$6:$AE$505,"○")&gt;0,1,0))</f>
        <v/>
      </c>
      <c r="AZ6">
        <f>IF(AZ$4=0,0,IF(COUNTIFS(実績!$W$6:$W$505,AZ$3,実績!$AC$6:$AC$505,"&lt;="&amp;$A6,実績!$AD$6:$AD$505,"&gt;"&amp;$A6,実績!$AE$6:$AE$505,"○")&gt;0,1,0))</f>
        <v/>
      </c>
      <c r="BA6">
        <f>IF(BA$4=0,0,IF(COUNTIFS(実績!$W$6:$W$505,BA$3,実績!$AC$6:$AC$505,"&lt;="&amp;$A6,実績!$AD$6:$AD$505,"&gt;"&amp;$A6,実績!$AE$6:$AE$505,"○")&gt;0,1,0))</f>
        <v/>
      </c>
      <c r="BB6">
        <f>IF(BB$4=0,0,IF(COUNTIFS(実績!$W$6:$W$505,BB$3,実績!$AC$6:$AC$505,"&lt;="&amp;$A6,実績!$AD$6:$AD$505,"&gt;"&amp;$A6,実績!$AE$6:$AE$505,"○")&gt;0,1,0))</f>
        <v/>
      </c>
      <c r="BC6">
        <f>IF(BC$4=0,0,IF(COUNTIFS(実績!$W$6:$W$505,BC$3,実績!$AC$6:$AC$505,"&lt;="&amp;$A6,実績!$AD$6:$AD$505,"&gt;"&amp;$A6,実績!$AE$6:$AE$505,"○")&gt;0,1,0))</f>
        <v/>
      </c>
      <c r="BD6">
        <f>IF(BD$4=0,0,IF(COUNTIFS(実績!$W$6:$W$505,BD$3,実績!$AC$6:$AC$505,"&lt;="&amp;$A6,実績!$AD$6:$AD$505,"&gt;"&amp;$A6,実績!$AE$6:$AE$505,"○")&gt;0,1,0))</f>
        <v/>
      </c>
      <c r="BE6">
        <f>IF(BE$4=0,0,IF(COUNTIFS(実績!$W$6:$W$505,BE$3,実績!$AC$6:$AC$505,"&lt;="&amp;$A6,実績!$AD$6:$AD$505,"&gt;"&amp;$A6,実績!$AE$6:$AE$505,"○")&gt;0,1,0))</f>
        <v/>
      </c>
      <c r="BF6">
        <f>IF(BF$4=0,0,IF(COUNTIFS(実績!$W$6:$W$505,BF$3,実績!$AC$6:$AC$505,"&lt;="&amp;$A6,実績!$AD$6:$AD$505,"&gt;"&amp;$A6,実績!$AE$6:$AE$505,"○")&gt;0,1,0))</f>
        <v/>
      </c>
      <c r="BG6">
        <f>IF(BG$4=0,0,IF(COUNTIFS(実績!$W$6:$W$505,BG$3,実績!$AC$6:$AC$505,"&lt;="&amp;$A6,実績!$AD$6:$AD$505,"&gt;"&amp;$A6,実績!$AE$6:$AE$505,"○")&gt;0,1,0))</f>
        <v/>
      </c>
      <c r="BH6">
        <f>IF(BH$4=0,0,IF(COUNTIFS(実績!$W$6:$W$505,BH$3,実績!$AC$6:$AC$505,"&lt;="&amp;$A6,実績!$AD$6:$AD$505,"&gt;"&amp;$A6,実績!$AE$6:$AE$505,"○")&gt;0,1,0))</f>
        <v/>
      </c>
      <c r="BI6">
        <f>IF(BI$4=0,0,IF(COUNTIFS(実績!$W$6:$W$505,BI$3,実績!$AC$6:$AC$505,"&lt;="&amp;$A6,実績!$AD$6:$AD$505,"&gt;"&amp;$A6,実績!$AE$6:$AE$505,"○")&gt;0,1,0))</f>
        <v/>
      </c>
      <c r="BJ6">
        <f>IF(BJ$4=0,0,IF(COUNTIFS(実績!$W$6:$W$505,BJ$3,実績!$AC$6:$AC$505,"&lt;="&amp;$A6,実績!$AD$6:$AD$505,"&gt;"&amp;$A6,実績!$AE$6:$AE$505,"○")&gt;0,1,0))</f>
        <v/>
      </c>
      <c r="BK6">
        <f>IF(BK$4=0,0,IF(COUNTIFS(実績!$W$6:$W$505,BK$3,実績!$AC$6:$AC$505,"&lt;="&amp;$A6,実績!$AD$6:$AD$505,"&gt;"&amp;$A6,実績!$AE$6:$AE$505,"○")&gt;0,1,0))</f>
        <v/>
      </c>
      <c r="BL6">
        <f>IF(BL$4=0,0,IF(COUNTIFS(実績!$W$6:$W$505,BL$3,実績!$AC$6:$AC$505,"&lt;="&amp;$A6,実績!$AD$6:$AD$505,"&gt;"&amp;$A6,実績!$AE$6:$AE$505,"○")&gt;0,1,0))</f>
        <v/>
      </c>
      <c r="BM6">
        <f>IF(BM$4=0,0,IF(COUNTIFS(実績!$W$6:$W$505,BM$3,実績!$AC$6:$AC$505,"&lt;="&amp;$A6,実績!$AD$6:$AD$505,"&gt;"&amp;$A6,実績!$AE$6:$AE$505,"○")&gt;0,1,0))</f>
        <v/>
      </c>
      <c r="BN6">
        <f>IF(BN$4=0,0,IF(COUNTIFS(実績!$W$6:$W$505,BN$3,実績!$AC$6:$AC$505,"&lt;="&amp;$A6,実績!$AD$6:$AD$505,"&gt;"&amp;$A6,実績!$AE$6:$AE$505,"○")&gt;0,1,0))</f>
        <v/>
      </c>
      <c r="BO6">
        <f>IF(BO$4=0,0,IF(COUNTIFS(実績!$W$6:$W$505,BO$3,実績!$AC$6:$AC$505,"&lt;="&amp;$A6,実績!$AD$6:$AD$505,"&gt;"&amp;$A6,実績!$AE$6:$AE$505,"○")&gt;0,1,0))</f>
        <v/>
      </c>
      <c r="BP6">
        <f>IF(BP$4=0,0,IF(COUNTIFS(実績!$W$6:$W$505,BP$3,実績!$AC$6:$AC$505,"&lt;="&amp;$A6,実績!$AD$6:$AD$505,"&gt;"&amp;$A6,実績!$AE$6:$AE$505,"○")&gt;0,1,0))</f>
        <v/>
      </c>
      <c r="BQ6">
        <f>IF(BQ$4=0,0,IF(COUNTIFS(実績!$W$6:$W$505,BQ$3,実績!$AC$6:$AC$505,"&lt;="&amp;$A6,実績!$AD$6:$AD$505,"&gt;"&amp;$A6,実績!$AE$6:$AE$505,"○")&gt;0,1,0))</f>
        <v/>
      </c>
      <c r="BR6">
        <f>IF(BR$4=0,0,IF(COUNTIFS(実績!$W$6:$W$505,BR$3,実績!$AC$6:$AC$505,"&lt;="&amp;$A6,実績!$AD$6:$AD$505,"&gt;"&amp;$A6,実績!$AE$6:$AE$505,"○")&gt;0,1,0))</f>
        <v/>
      </c>
      <c r="BS6">
        <f>IF(BS$4=0,0,IF(COUNTIFS(実績!$W$6:$W$505,BS$3,実績!$AC$6:$AC$505,"&lt;="&amp;$A6,実績!$AD$6:$AD$505,"&gt;"&amp;$A6,実績!$AE$6:$AE$505,"○")&gt;0,1,0))</f>
        <v/>
      </c>
      <c r="BT6">
        <f>IF(BT$4=0,0,IF(COUNTIFS(実績!$W$6:$W$505,BT$3,実績!$AC$6:$AC$505,"&lt;="&amp;$A6,実績!$AD$6:$AD$505,"&gt;"&amp;$A6,実績!$AE$6:$AE$505,"○")&gt;0,1,0))</f>
        <v/>
      </c>
      <c r="BU6">
        <f>IF(BU$4=0,0,IF(COUNTIFS(実績!$W$6:$W$505,BU$3,実績!$AC$6:$AC$505,"&lt;="&amp;$A6,実績!$AD$6:$AD$505,"&gt;"&amp;$A6,実績!$AE$6:$AE$505,"○")&gt;0,1,0))</f>
        <v/>
      </c>
      <c r="BV6">
        <f>IF(BV$4=0,0,IF(COUNTIFS(実績!$W$6:$W$505,BV$3,実績!$AC$6:$AC$505,"&lt;="&amp;$A6,実績!$AD$6:$AD$505,"&gt;"&amp;$A6,実績!$AE$6:$AE$505,"○")&gt;0,1,0))</f>
        <v/>
      </c>
      <c r="BW6">
        <f>IF(BW$4=0,0,IF(COUNTIFS(実績!$W$6:$W$505,BW$3,実績!$AC$6:$AC$505,"&lt;="&amp;$A6,実績!$AD$6:$AD$505,"&gt;"&amp;$A6,実績!$AE$6:$AE$505,"○")&gt;0,1,0))</f>
        <v/>
      </c>
      <c r="BX6">
        <f>IF(BX$4=0,0,IF(COUNTIFS(実績!$W$6:$W$505,BX$3,実績!$AC$6:$AC$505,"&lt;="&amp;$A6,実績!$AD$6:$AD$505,"&gt;"&amp;$A6,実績!$AE$6:$AE$505,"○")&gt;0,1,0))</f>
        <v/>
      </c>
      <c r="BY6">
        <f>IF(BY$4=0,0,IF(COUNTIFS(実績!$W$6:$W$505,BY$3,実績!$AC$6:$AC$505,"&lt;="&amp;$A6,実績!$AD$6:$AD$505,"&gt;"&amp;$A6,実績!$AE$6:$AE$505,"○")&gt;0,1,0))</f>
        <v/>
      </c>
      <c r="BZ6">
        <f>IF(BZ$4=0,0,IF(COUNTIFS(実績!$W$6:$W$505,BZ$3,実績!$AC$6:$AC$505,"&lt;="&amp;$A6,実績!$AD$6:$AD$505,"&gt;"&amp;$A6,実績!$AE$6:$AE$505,"○")&gt;0,1,0))</f>
        <v/>
      </c>
      <c r="CA6">
        <f>IF(CA$4=0,0,IF(COUNTIFS(実績!$W$6:$W$505,CA$3,実績!$AC$6:$AC$505,"&lt;="&amp;$A6,実績!$AD$6:$AD$505,"&gt;"&amp;$A6,実績!$AE$6:$AE$505,"○")&gt;0,1,0))</f>
        <v/>
      </c>
      <c r="CB6">
        <f>IF(CB$4=0,0,IF(COUNTIFS(実績!$W$6:$W$505,CB$3,実績!$AC$6:$AC$505,"&lt;="&amp;$A6,実績!$AD$6:$AD$505,"&gt;"&amp;$A6,実績!$AE$6:$AE$505,"○")&gt;0,1,0))</f>
        <v/>
      </c>
      <c r="CC6">
        <f>IF(CC$4=0,0,IF(COUNTIFS(実績!$W$6:$W$505,CC$3,実績!$AC$6:$AC$505,"&lt;="&amp;$A6,実績!$AD$6:$AD$505,"&gt;"&amp;$A6,実績!$AE$6:$AE$505,"○")&gt;0,1,0))</f>
        <v/>
      </c>
      <c r="CD6">
        <f>IF(CD$4=0,0,IF(COUNTIFS(実績!$W$6:$W$505,CD$3,実績!$AC$6:$AC$505,"&lt;="&amp;$A6,実績!$AD$6:$AD$505,"&gt;"&amp;$A6,実績!$AE$6:$AE$505,"○")&gt;0,1,0))</f>
        <v/>
      </c>
      <c r="CE6">
        <f>IF(CE$4=0,0,IF(COUNTIFS(実績!$W$6:$W$505,CE$3,実績!$AC$6:$AC$505,"&lt;="&amp;$A6,実績!$AD$6:$AD$505,"&gt;"&amp;$A6,実績!$AE$6:$AE$505,"○")&gt;0,1,0))</f>
        <v/>
      </c>
      <c r="CF6">
        <f>IF(CF$4=0,0,IF(COUNTIFS(実績!$W$6:$W$505,CF$3,実績!$AC$6:$AC$505,"&lt;="&amp;$A6,実績!$AD$6:$AD$505,"&gt;"&amp;$A6,実績!$AE$6:$AE$505,"○")&gt;0,1,0))</f>
        <v/>
      </c>
      <c r="CG6">
        <f>IF(CG$4=0,0,IF(COUNTIFS(実績!$W$6:$W$505,CG$3,実績!$AC$6:$AC$505,"&lt;="&amp;$A6,実績!$AD$6:$AD$505,"&gt;"&amp;$A6,実績!$AE$6:$AE$505,"○")&gt;0,1,0))</f>
        <v/>
      </c>
      <c r="CH6">
        <f>IF(CH$4=0,0,IF(COUNTIFS(実績!$W$6:$W$505,CH$3,実績!$AC$6:$AC$505,"&lt;="&amp;$A6,実績!$AD$6:$AD$505,"&gt;"&amp;$A6,実績!$AE$6:$AE$505,"○")&gt;0,1,0))</f>
        <v/>
      </c>
      <c r="CI6">
        <f>IF(CI$4=0,0,IF(COUNTIFS(実績!$W$6:$W$505,CI$3,実績!$AC$6:$AC$505,"&lt;="&amp;$A6,実績!$AD$6:$AD$505,"&gt;"&amp;$A6,実績!$AE$6:$AE$505,"○")&gt;0,1,0))</f>
        <v/>
      </c>
      <c r="CJ6">
        <f>IF(CJ$4=0,0,IF(COUNTIFS(実績!$W$6:$W$505,CJ$3,実績!$AC$6:$AC$505,"&lt;="&amp;$A6,実績!$AD$6:$AD$505,"&gt;"&amp;$A6,実績!$AE$6:$AE$505,"○")&gt;0,1,0))</f>
        <v/>
      </c>
      <c r="CK6">
        <f>IF(CK$4=0,0,IF(COUNTIFS(実績!$W$6:$W$505,CK$3,実績!$AC$6:$AC$505,"&lt;="&amp;$A6,実績!$AD$6:$AD$505,"&gt;"&amp;$A6,実績!$AE$6:$AE$505,"○")&gt;0,1,0))</f>
        <v/>
      </c>
      <c r="CL6">
        <f>IF(CL$4=0,0,IF(COUNTIFS(実績!$W$6:$W$505,CL$3,実績!$AC$6:$AC$505,"&lt;="&amp;$A6,実績!$AD$6:$AD$505,"&gt;"&amp;$A6,実績!$AE$6:$AE$505,"○")&gt;0,1,0))</f>
        <v/>
      </c>
      <c r="CM6">
        <f>IF(CM$4=0,0,IF(COUNTIFS(実績!$W$6:$W$505,CM$3,実績!$AC$6:$AC$505,"&lt;="&amp;$A6,実績!$AD$6:$AD$505,"&gt;"&amp;$A6,実績!$AE$6:$AE$505,"○")&gt;0,1,0))</f>
        <v/>
      </c>
      <c r="CN6">
        <f>IF(CN$4=0,0,IF(COUNTIFS(実績!$W$6:$W$505,CN$3,実績!$AC$6:$AC$505,"&lt;="&amp;$A6,実績!$AD$6:$AD$505,"&gt;"&amp;$A6,実績!$AE$6:$AE$505,"○")&gt;0,1,0))</f>
        <v/>
      </c>
      <c r="CO6">
        <f>IF(CO$4=0,0,IF(COUNTIFS(実績!$W$6:$W$505,CO$3,実績!$AC$6:$AC$505,"&lt;="&amp;$A6,実績!$AD$6:$AD$505,"&gt;"&amp;$A6,実績!$AE$6:$AE$505,"○")&gt;0,1,0))</f>
        <v/>
      </c>
      <c r="CP6">
        <f>IF(CP$4=0,0,IF(COUNTIFS(実績!$W$6:$W$505,CP$3,実績!$AC$6:$AC$505,"&lt;="&amp;$A6,実績!$AD$6:$AD$505,"&gt;"&amp;$A6,実績!$AE$6:$AE$505,"○")&gt;0,1,0))</f>
        <v/>
      </c>
      <c r="CQ6">
        <f>IF(CQ$4=0,0,IF(COUNTIFS(実績!$W$6:$W$505,CQ$3,実績!$AC$6:$AC$505,"&lt;="&amp;$A6,実績!$AD$6:$AD$505,"&gt;"&amp;$A6,実績!$AE$6:$AE$505,"○")&gt;0,1,0))</f>
        <v/>
      </c>
      <c r="CR6">
        <f>IF(CR$4=0,0,IF(COUNTIFS(実績!$W$6:$W$505,CR$3,実績!$AC$6:$AC$505,"&lt;="&amp;$A6,実績!$AD$6:$AD$505,"&gt;"&amp;$A6,実績!$AE$6:$AE$505,"○")&gt;0,1,0))</f>
        <v/>
      </c>
      <c r="CS6">
        <f>IF(CS$4=0,0,IF(COUNTIFS(実績!$W$6:$W$505,CS$3,実績!$AC$6:$AC$505,"&lt;="&amp;$A6,実績!$AD$6:$AD$505,"&gt;"&amp;$A6,実績!$AE$6:$AE$505,"○")&gt;0,1,0))</f>
        <v/>
      </c>
      <c r="CT6">
        <f>IF(CT$4=0,0,IF(COUNTIFS(実績!$W$6:$W$505,CT$3,実績!$AC$6:$AC$505,"&lt;="&amp;$A6,実績!$AD$6:$AD$505,"&gt;"&amp;$A6,実績!$AE$6:$AE$505,"○")&gt;0,1,0))</f>
        <v/>
      </c>
      <c r="CU6">
        <f>IF(CU$4=0,0,IF(COUNTIFS(実績!$W$6:$W$505,CU$3,実績!$AC$6:$AC$505,"&lt;="&amp;$A6,実績!$AD$6:$AD$505,"&gt;"&amp;$A6,実績!$AE$6:$AE$505,"○")&gt;0,1,0))</f>
        <v/>
      </c>
      <c r="CV6">
        <f>IF(CV$4=0,0,IF(COUNTIFS(実績!$W$6:$W$505,CV$3,実績!$AC$6:$AC$505,"&lt;="&amp;$A6,実績!$AD$6:$AD$505,"&gt;"&amp;$A6,実績!$AE$6:$AE$505,"○")&gt;0,1,0))</f>
        <v/>
      </c>
      <c r="CW6">
        <f>IF(CW$4=0,0,IF(COUNTIFS(実績!$W$6:$W$505,CW$3,実績!$AC$6:$AC$505,"&lt;="&amp;$A6,実績!$AD$6:$AD$505,"&gt;"&amp;$A6,実績!$AE$6:$AE$505,"○")&gt;0,1,0))</f>
        <v/>
      </c>
      <c r="CX6">
        <f>IF(CX$4=0,0,IF(COUNTIFS(実績!$W$6:$W$505,CX$3,実績!$AC$6:$AC$505,"&lt;="&amp;$A6,実績!$AD$6:$AD$505,"&gt;"&amp;$A6,実績!$AE$6:$AE$505,"○")&gt;0,1,0))</f>
        <v/>
      </c>
      <c r="CY6">
        <f>IF(CY$4=0,0,IF(COUNTIFS(実績!$W$6:$W$505,CY$3,実績!$AC$6:$AC$505,"&lt;="&amp;$A6,実績!$AD$6:$AD$505,"&gt;"&amp;$A6,実績!$AE$6:$AE$505,"○")&gt;0,1,0))</f>
        <v/>
      </c>
      <c r="CZ6">
        <f>IF(CZ$4=0,0,IF(COUNTIFS(実績!$W$6:$W$505,CZ$3,実績!$AC$6:$AC$505,"&lt;="&amp;$A6,実績!$AD$6:$AD$505,"&gt;"&amp;$A6,実績!$AE$6:$AE$505,"○")&gt;0,1,0))</f>
        <v/>
      </c>
      <c r="DA6">
        <f>IF(DA$4=0,0,IF(COUNTIFS(実績!$W$6:$W$505,DA$3,実績!$AC$6:$AC$505,"&lt;="&amp;$A6,実績!$AD$6:$AD$505,"&gt;"&amp;$A6,実績!$AE$6:$AE$505,"○")&gt;0,1,0))</f>
        <v/>
      </c>
      <c r="DB6">
        <f>IF(DB$4=0,0,IF(COUNTIFS(実績!$W$6:$W$505,DB$3,実績!$AC$6:$AC$505,"&lt;="&amp;$A6,実績!$AD$6:$AD$505,"&gt;"&amp;$A6,実績!$AE$6:$AE$505,"○")&gt;0,1,0))</f>
        <v/>
      </c>
      <c r="DC6">
        <f>IF(DC$4=0,0,IF(COUNTIFS(実績!$W$6:$W$505,DC$3,実績!$AC$6:$AC$505,"&lt;="&amp;$A6,実績!$AD$6:$AD$505,"&gt;"&amp;$A6,実績!$AE$6:$AE$505,"○")&gt;0,1,0))</f>
        <v/>
      </c>
      <c r="DD6">
        <f>IF(DD$4=0,0,IF(COUNTIFS(実績!$W$6:$W$505,DD$3,実績!$AC$6:$AC$505,"&lt;="&amp;$A6,実績!$AD$6:$AD$505,"&gt;"&amp;$A6,実績!$AE$6:$AE$505,"○")&gt;0,1,0))</f>
        <v/>
      </c>
      <c r="DE6">
        <f>IF(DE$4=0,0,IF(COUNTIFS(実績!$W$6:$W$505,DE$3,実績!$AC$6:$AC$505,"&lt;="&amp;$A6,実績!$AD$6:$AD$505,"&gt;"&amp;$A6,実績!$AE$6:$AE$505,"○")&gt;0,1,0))</f>
        <v/>
      </c>
      <c r="DF6">
        <f>IF(DF$4=0,0,IF(COUNTIFS(実績!$W$6:$W$505,DF$3,実績!$AC$6:$AC$505,"&lt;="&amp;$A6,実績!$AD$6:$AD$505,"&gt;"&amp;$A6,実績!$AE$6:$AE$505,"○")&gt;0,1,0))</f>
        <v/>
      </c>
      <c r="DG6">
        <f>IF(DG$4=0,0,IF(COUNTIFS(実績!$W$6:$W$505,DG$3,実績!$AC$6:$AC$505,"&lt;="&amp;$A6,実績!$AD$6:$AD$505,"&gt;"&amp;$A6,実績!$AE$6:$AE$505,"○")&gt;0,1,0))</f>
        <v/>
      </c>
      <c r="DH6">
        <f>IF(DH$4=0,0,IF(COUNTIFS(実績!$W$6:$W$505,DH$3,実績!$AC$6:$AC$505,"&lt;="&amp;$A6,実績!$AD$6:$AD$505,"&gt;"&amp;$A6,実績!$AE$6:$AE$505,"○")&gt;0,1,0))</f>
        <v/>
      </c>
      <c r="DI6">
        <f>IF(DI$4=0,0,IF(COUNTIFS(実績!$W$6:$W$505,DI$3,実績!$AC$6:$AC$505,"&lt;="&amp;$A6,実績!$AD$6:$AD$505,"&gt;"&amp;$A6,実績!$AE$6:$AE$505,"○")&gt;0,1,0))</f>
        <v/>
      </c>
      <c r="DJ6">
        <f>IF(DJ$4=0,0,IF(COUNTIFS(実績!$W$6:$W$505,DJ$3,実績!$AC$6:$AC$505,"&lt;="&amp;$A6,実績!$AD$6:$AD$505,"&gt;"&amp;$A6,実績!$AE$6:$AE$505,"○")&gt;0,1,0))</f>
        <v/>
      </c>
      <c r="DK6">
        <f>IF(DK$4=0,0,IF(COUNTIFS(実績!$W$6:$W$505,DK$3,実績!$AC$6:$AC$505,"&lt;="&amp;$A6,実績!$AD$6:$AD$505,"&gt;"&amp;$A6,実績!$AE$6:$AE$505,"○")&gt;0,1,0))</f>
        <v/>
      </c>
      <c r="DL6">
        <f>IF(DL$4=0,0,IF(COUNTIFS(実績!$W$6:$W$505,DL$3,実績!$AC$6:$AC$505,"&lt;="&amp;$A6,実績!$AD$6:$AD$505,"&gt;"&amp;$A6,実績!$AE$6:$AE$505,"○")&gt;0,1,0))</f>
        <v/>
      </c>
      <c r="DM6">
        <f>IF(DM$4=0,0,IF(COUNTIFS(実績!$W$6:$W$505,DM$3,実績!$AC$6:$AC$505,"&lt;="&amp;$A6,実績!$AD$6:$AD$505,"&gt;"&amp;$A6,実績!$AE$6:$AE$505,"○")&gt;0,1,0))</f>
        <v/>
      </c>
      <c r="DN6">
        <f>IF(DN$4=0,0,IF(COUNTIFS(実績!$W$6:$W$505,DN$3,実績!$AC$6:$AC$505,"&lt;="&amp;$A6,実績!$AD$6:$AD$505,"&gt;"&amp;$A6,実績!$AE$6:$AE$505,"○")&gt;0,1,0))</f>
        <v/>
      </c>
      <c r="DO6">
        <f>IF(DO$4=0,0,IF(COUNTIFS(実績!$W$6:$W$505,DO$3,実績!$AC$6:$AC$505,"&lt;="&amp;$A6,実績!$AD$6:$AD$505,"&gt;"&amp;$A6,実績!$AE$6:$AE$505,"○")&gt;0,1,0))</f>
        <v/>
      </c>
      <c r="DP6">
        <f>IF(DP$4=0,0,IF(COUNTIFS(実績!$W$6:$W$505,DP$3,実績!$AC$6:$AC$505,"&lt;="&amp;$A6,実績!$AD$6:$AD$505,"&gt;"&amp;$A6,実績!$AE$6:$AE$505,"○")&gt;0,1,0))</f>
        <v/>
      </c>
      <c r="DQ6">
        <f>IF(DQ$4=0,0,IF(COUNTIFS(実績!$W$6:$W$505,DQ$3,実績!$AC$6:$AC$505,"&lt;="&amp;$A6,実績!$AD$6:$AD$505,"&gt;"&amp;$A6,実績!$AE$6:$AE$505,"○")&gt;0,1,0))</f>
        <v/>
      </c>
      <c r="DR6">
        <f>IF(DR$4=0,0,IF(COUNTIFS(実績!$W$6:$W$505,DR$3,実績!$AC$6:$AC$505,"&lt;="&amp;$A6,実績!$AD$6:$AD$505,"&gt;"&amp;$A6,実績!$AE$6:$AE$505,"○")&gt;0,1,0))</f>
        <v/>
      </c>
      <c r="DS6">
        <f>SUM(C6:DR6)</f>
        <v/>
      </c>
      <c r="DT6">
        <f>SUMPRODUCT((実績!$C$6:$C$505="○")*ISNUMBER(実績!$AF$6:$AF$505)*(実績!$AF$6:$AF$505&lt;=$A6)*(実績!$AG$6:$AG$505&gt;$A6))</f>
        <v/>
      </c>
      <c r="DU6">
        <f>SUMIF($C$2:$DR$2,"製鉄曳船",C6:DR6)</f>
        <v/>
      </c>
      <c r="DV6">
        <f>SUMIF($C$2:$DR$2,"西日本海運",C6:DR6)</f>
        <v/>
      </c>
    </row>
    <row r="7">
      <c r="A7" t="n">
        <v>5</v>
      </c>
      <c r="B7" s="29">
        <f>A7/1440</f>
        <v/>
      </c>
      <c r="C7">
        <f>IF(C$4=0,0,IF(COUNTIFS(実績!$W$6:$W$505,C$3,実績!$AC$6:$AC$505,"&lt;="&amp;$A7,実績!$AD$6:$AD$505,"&gt;"&amp;$A7,実績!$AE$6:$AE$505,"○")&gt;0,1,0))</f>
        <v/>
      </c>
      <c r="D7">
        <f>IF(D$4=0,0,IF(COUNTIFS(実績!$W$6:$W$505,D$3,実績!$AC$6:$AC$505,"&lt;="&amp;$A7,実績!$AD$6:$AD$505,"&gt;"&amp;$A7,実績!$AE$6:$AE$505,"○")&gt;0,1,0))</f>
        <v/>
      </c>
      <c r="E7">
        <f>IF(E$4=0,0,IF(COUNTIFS(実績!$W$6:$W$505,E$3,実績!$AC$6:$AC$505,"&lt;="&amp;$A7,実績!$AD$6:$AD$505,"&gt;"&amp;$A7,実績!$AE$6:$AE$505,"○")&gt;0,1,0))</f>
        <v/>
      </c>
      <c r="F7">
        <f>IF(F$4=0,0,IF(COUNTIFS(実績!$W$6:$W$505,F$3,実績!$AC$6:$AC$505,"&lt;="&amp;$A7,実績!$AD$6:$AD$505,"&gt;"&amp;$A7,実績!$AE$6:$AE$505,"○")&gt;0,1,0))</f>
        <v/>
      </c>
      <c r="G7">
        <f>IF(G$4=0,0,IF(COUNTIFS(実績!$W$6:$W$505,G$3,実績!$AC$6:$AC$505,"&lt;="&amp;$A7,実績!$AD$6:$AD$505,"&gt;"&amp;$A7,実績!$AE$6:$AE$505,"○")&gt;0,1,0))</f>
        <v/>
      </c>
      <c r="H7">
        <f>IF(H$4=0,0,IF(COUNTIFS(実績!$W$6:$W$505,H$3,実績!$AC$6:$AC$505,"&lt;="&amp;$A7,実績!$AD$6:$AD$505,"&gt;"&amp;$A7,実績!$AE$6:$AE$505,"○")&gt;0,1,0))</f>
        <v/>
      </c>
      <c r="I7">
        <f>IF(I$4=0,0,IF(COUNTIFS(実績!$W$6:$W$505,I$3,実績!$AC$6:$AC$505,"&lt;="&amp;$A7,実績!$AD$6:$AD$505,"&gt;"&amp;$A7,実績!$AE$6:$AE$505,"○")&gt;0,1,0))</f>
        <v/>
      </c>
      <c r="J7">
        <f>IF(J$4=0,0,IF(COUNTIFS(実績!$W$6:$W$505,J$3,実績!$AC$6:$AC$505,"&lt;="&amp;$A7,実績!$AD$6:$AD$505,"&gt;"&amp;$A7,実績!$AE$6:$AE$505,"○")&gt;0,1,0))</f>
        <v/>
      </c>
      <c r="K7">
        <f>IF(K$4=0,0,IF(COUNTIFS(実績!$W$6:$W$505,K$3,実績!$AC$6:$AC$505,"&lt;="&amp;$A7,実績!$AD$6:$AD$505,"&gt;"&amp;$A7,実績!$AE$6:$AE$505,"○")&gt;0,1,0))</f>
        <v/>
      </c>
      <c r="L7">
        <f>IF(L$4=0,0,IF(COUNTIFS(実績!$W$6:$W$505,L$3,実績!$AC$6:$AC$505,"&lt;="&amp;$A7,実績!$AD$6:$AD$505,"&gt;"&amp;$A7,実績!$AE$6:$AE$505,"○")&gt;0,1,0))</f>
        <v/>
      </c>
      <c r="M7">
        <f>IF(M$4=0,0,IF(COUNTIFS(実績!$W$6:$W$505,M$3,実績!$AC$6:$AC$505,"&lt;="&amp;$A7,実績!$AD$6:$AD$505,"&gt;"&amp;$A7,実績!$AE$6:$AE$505,"○")&gt;0,1,0))</f>
        <v/>
      </c>
      <c r="N7">
        <f>IF(N$4=0,0,IF(COUNTIFS(実績!$W$6:$W$505,N$3,実績!$AC$6:$AC$505,"&lt;="&amp;$A7,実績!$AD$6:$AD$505,"&gt;"&amp;$A7,実績!$AE$6:$AE$505,"○")&gt;0,1,0))</f>
        <v/>
      </c>
      <c r="O7">
        <f>IF(O$4=0,0,IF(COUNTIFS(実績!$W$6:$W$505,O$3,実績!$AC$6:$AC$505,"&lt;="&amp;$A7,実績!$AD$6:$AD$505,"&gt;"&amp;$A7,実績!$AE$6:$AE$505,"○")&gt;0,1,0))</f>
        <v/>
      </c>
      <c r="P7">
        <f>IF(P$4=0,0,IF(COUNTIFS(実績!$W$6:$W$505,P$3,実績!$AC$6:$AC$505,"&lt;="&amp;$A7,実績!$AD$6:$AD$505,"&gt;"&amp;$A7,実績!$AE$6:$AE$505,"○")&gt;0,1,0))</f>
        <v/>
      </c>
      <c r="Q7">
        <f>IF(Q$4=0,0,IF(COUNTIFS(実績!$W$6:$W$505,Q$3,実績!$AC$6:$AC$505,"&lt;="&amp;$A7,実績!$AD$6:$AD$505,"&gt;"&amp;$A7,実績!$AE$6:$AE$505,"○")&gt;0,1,0))</f>
        <v/>
      </c>
      <c r="R7">
        <f>IF(R$4=0,0,IF(COUNTIFS(実績!$W$6:$W$505,R$3,実績!$AC$6:$AC$505,"&lt;="&amp;$A7,実績!$AD$6:$AD$505,"&gt;"&amp;$A7,実績!$AE$6:$AE$505,"○")&gt;0,1,0))</f>
        <v/>
      </c>
      <c r="S7">
        <f>IF(S$4=0,0,IF(COUNTIFS(実績!$W$6:$W$505,S$3,実績!$AC$6:$AC$505,"&lt;="&amp;$A7,実績!$AD$6:$AD$505,"&gt;"&amp;$A7,実績!$AE$6:$AE$505,"○")&gt;0,1,0))</f>
        <v/>
      </c>
      <c r="T7">
        <f>IF(T$4=0,0,IF(COUNTIFS(実績!$W$6:$W$505,T$3,実績!$AC$6:$AC$505,"&lt;="&amp;$A7,実績!$AD$6:$AD$505,"&gt;"&amp;$A7,実績!$AE$6:$AE$505,"○")&gt;0,1,0))</f>
        <v/>
      </c>
      <c r="U7">
        <f>IF(U$4=0,0,IF(COUNTIFS(実績!$W$6:$W$505,U$3,実績!$AC$6:$AC$505,"&lt;="&amp;$A7,実績!$AD$6:$AD$505,"&gt;"&amp;$A7,実績!$AE$6:$AE$505,"○")&gt;0,1,0))</f>
        <v/>
      </c>
      <c r="V7">
        <f>IF(V$4=0,0,IF(COUNTIFS(実績!$W$6:$W$505,V$3,実績!$AC$6:$AC$505,"&lt;="&amp;$A7,実績!$AD$6:$AD$505,"&gt;"&amp;$A7,実績!$AE$6:$AE$505,"○")&gt;0,1,0))</f>
        <v/>
      </c>
      <c r="W7">
        <f>IF(W$4=0,0,IF(COUNTIFS(実績!$W$6:$W$505,W$3,実績!$AC$6:$AC$505,"&lt;="&amp;$A7,実績!$AD$6:$AD$505,"&gt;"&amp;$A7,実績!$AE$6:$AE$505,"○")&gt;0,1,0))</f>
        <v/>
      </c>
      <c r="X7">
        <f>IF(X$4=0,0,IF(COUNTIFS(実績!$W$6:$W$505,X$3,実績!$AC$6:$AC$505,"&lt;="&amp;$A7,実績!$AD$6:$AD$505,"&gt;"&amp;$A7,実績!$AE$6:$AE$505,"○")&gt;0,1,0))</f>
        <v/>
      </c>
      <c r="Y7">
        <f>IF(Y$4=0,0,IF(COUNTIFS(実績!$W$6:$W$505,Y$3,実績!$AC$6:$AC$505,"&lt;="&amp;$A7,実績!$AD$6:$AD$505,"&gt;"&amp;$A7,実績!$AE$6:$AE$505,"○")&gt;0,1,0))</f>
        <v/>
      </c>
      <c r="Z7">
        <f>IF(Z$4=0,0,IF(COUNTIFS(実績!$W$6:$W$505,Z$3,実績!$AC$6:$AC$505,"&lt;="&amp;$A7,実績!$AD$6:$AD$505,"&gt;"&amp;$A7,実績!$AE$6:$AE$505,"○")&gt;0,1,0))</f>
        <v/>
      </c>
      <c r="AA7">
        <f>IF(AA$4=0,0,IF(COUNTIFS(実績!$W$6:$W$505,AA$3,実績!$AC$6:$AC$505,"&lt;="&amp;$A7,実績!$AD$6:$AD$505,"&gt;"&amp;$A7,実績!$AE$6:$AE$505,"○")&gt;0,1,0))</f>
        <v/>
      </c>
      <c r="AB7">
        <f>IF(AB$4=0,0,IF(COUNTIFS(実績!$W$6:$W$505,AB$3,実績!$AC$6:$AC$505,"&lt;="&amp;$A7,実績!$AD$6:$AD$505,"&gt;"&amp;$A7,実績!$AE$6:$AE$505,"○")&gt;0,1,0))</f>
        <v/>
      </c>
      <c r="AC7">
        <f>IF(AC$4=0,0,IF(COUNTIFS(実績!$W$6:$W$505,AC$3,実績!$AC$6:$AC$505,"&lt;="&amp;$A7,実績!$AD$6:$AD$505,"&gt;"&amp;$A7,実績!$AE$6:$AE$505,"○")&gt;0,1,0))</f>
        <v/>
      </c>
      <c r="AD7">
        <f>IF(AD$4=0,0,IF(COUNTIFS(実績!$W$6:$W$505,AD$3,実績!$AC$6:$AC$505,"&lt;="&amp;$A7,実績!$AD$6:$AD$505,"&gt;"&amp;$A7,実績!$AE$6:$AE$505,"○")&gt;0,1,0))</f>
        <v/>
      </c>
      <c r="AE7">
        <f>IF(AE$4=0,0,IF(COUNTIFS(実績!$W$6:$W$505,AE$3,実績!$AC$6:$AC$505,"&lt;="&amp;$A7,実績!$AD$6:$AD$505,"&gt;"&amp;$A7,実績!$AE$6:$AE$505,"○")&gt;0,1,0))</f>
        <v/>
      </c>
      <c r="AF7">
        <f>IF(AF$4=0,0,IF(COUNTIFS(実績!$W$6:$W$505,AF$3,実績!$AC$6:$AC$505,"&lt;="&amp;$A7,実績!$AD$6:$AD$505,"&gt;"&amp;$A7,実績!$AE$6:$AE$505,"○")&gt;0,1,0))</f>
        <v/>
      </c>
      <c r="AG7">
        <f>IF(AG$4=0,0,IF(COUNTIFS(実績!$W$6:$W$505,AG$3,実績!$AC$6:$AC$505,"&lt;="&amp;$A7,実績!$AD$6:$AD$505,"&gt;"&amp;$A7,実績!$AE$6:$AE$505,"○")&gt;0,1,0))</f>
        <v/>
      </c>
      <c r="AH7">
        <f>IF(AH$4=0,0,IF(COUNTIFS(実績!$W$6:$W$505,AH$3,実績!$AC$6:$AC$505,"&lt;="&amp;$A7,実績!$AD$6:$AD$505,"&gt;"&amp;$A7,実績!$AE$6:$AE$505,"○")&gt;0,1,0))</f>
        <v/>
      </c>
      <c r="AI7">
        <f>IF(AI$4=0,0,IF(COUNTIFS(実績!$W$6:$W$505,AI$3,実績!$AC$6:$AC$505,"&lt;="&amp;$A7,実績!$AD$6:$AD$505,"&gt;"&amp;$A7,実績!$AE$6:$AE$505,"○")&gt;0,1,0))</f>
        <v/>
      </c>
      <c r="AJ7">
        <f>IF(AJ$4=0,0,IF(COUNTIFS(実績!$W$6:$W$505,AJ$3,実績!$AC$6:$AC$505,"&lt;="&amp;$A7,実績!$AD$6:$AD$505,"&gt;"&amp;$A7,実績!$AE$6:$AE$505,"○")&gt;0,1,0))</f>
        <v/>
      </c>
      <c r="AK7">
        <f>IF(AK$4=0,0,IF(COUNTIFS(実績!$W$6:$W$505,AK$3,実績!$AC$6:$AC$505,"&lt;="&amp;$A7,実績!$AD$6:$AD$505,"&gt;"&amp;$A7,実績!$AE$6:$AE$505,"○")&gt;0,1,0))</f>
        <v/>
      </c>
      <c r="AL7">
        <f>IF(AL$4=0,0,IF(COUNTIFS(実績!$W$6:$W$505,AL$3,実績!$AC$6:$AC$505,"&lt;="&amp;$A7,実績!$AD$6:$AD$505,"&gt;"&amp;$A7,実績!$AE$6:$AE$505,"○")&gt;0,1,0))</f>
        <v/>
      </c>
      <c r="AM7">
        <f>IF(AM$4=0,0,IF(COUNTIFS(実績!$W$6:$W$505,AM$3,実績!$AC$6:$AC$505,"&lt;="&amp;$A7,実績!$AD$6:$AD$505,"&gt;"&amp;$A7,実績!$AE$6:$AE$505,"○")&gt;0,1,0))</f>
        <v/>
      </c>
      <c r="AN7">
        <f>IF(AN$4=0,0,IF(COUNTIFS(実績!$W$6:$W$505,AN$3,実績!$AC$6:$AC$505,"&lt;="&amp;$A7,実績!$AD$6:$AD$505,"&gt;"&amp;$A7,実績!$AE$6:$AE$505,"○")&gt;0,1,0))</f>
        <v/>
      </c>
      <c r="AO7">
        <f>IF(AO$4=0,0,IF(COUNTIFS(実績!$W$6:$W$505,AO$3,実績!$AC$6:$AC$505,"&lt;="&amp;$A7,実績!$AD$6:$AD$505,"&gt;"&amp;$A7,実績!$AE$6:$AE$505,"○")&gt;0,1,0))</f>
        <v/>
      </c>
      <c r="AP7">
        <f>IF(AP$4=0,0,IF(COUNTIFS(実績!$W$6:$W$505,AP$3,実績!$AC$6:$AC$505,"&lt;="&amp;$A7,実績!$AD$6:$AD$505,"&gt;"&amp;$A7,実績!$AE$6:$AE$505,"○")&gt;0,1,0))</f>
        <v/>
      </c>
      <c r="AQ7">
        <f>IF(AQ$4=0,0,IF(COUNTIFS(実績!$W$6:$W$505,AQ$3,実績!$AC$6:$AC$505,"&lt;="&amp;$A7,実績!$AD$6:$AD$505,"&gt;"&amp;$A7,実績!$AE$6:$AE$505,"○")&gt;0,1,0))</f>
        <v/>
      </c>
      <c r="AR7">
        <f>IF(AR$4=0,0,IF(COUNTIFS(実績!$W$6:$W$505,AR$3,実績!$AC$6:$AC$505,"&lt;="&amp;$A7,実績!$AD$6:$AD$505,"&gt;"&amp;$A7,実績!$AE$6:$AE$505,"○")&gt;0,1,0))</f>
        <v/>
      </c>
      <c r="AS7">
        <f>IF(AS$4=0,0,IF(COUNTIFS(実績!$W$6:$W$505,AS$3,実績!$AC$6:$AC$505,"&lt;="&amp;$A7,実績!$AD$6:$AD$505,"&gt;"&amp;$A7,実績!$AE$6:$AE$505,"○")&gt;0,1,0))</f>
        <v/>
      </c>
      <c r="AT7">
        <f>IF(AT$4=0,0,IF(COUNTIFS(実績!$W$6:$W$505,AT$3,実績!$AC$6:$AC$505,"&lt;="&amp;$A7,実績!$AD$6:$AD$505,"&gt;"&amp;$A7,実績!$AE$6:$AE$505,"○")&gt;0,1,0))</f>
        <v/>
      </c>
      <c r="AU7">
        <f>IF(AU$4=0,0,IF(COUNTIFS(実績!$W$6:$W$505,AU$3,実績!$AC$6:$AC$505,"&lt;="&amp;$A7,実績!$AD$6:$AD$505,"&gt;"&amp;$A7,実績!$AE$6:$AE$505,"○")&gt;0,1,0))</f>
        <v/>
      </c>
      <c r="AV7">
        <f>IF(AV$4=0,0,IF(COUNTIFS(実績!$W$6:$W$505,AV$3,実績!$AC$6:$AC$505,"&lt;="&amp;$A7,実績!$AD$6:$AD$505,"&gt;"&amp;$A7,実績!$AE$6:$AE$505,"○")&gt;0,1,0))</f>
        <v/>
      </c>
      <c r="AW7">
        <f>IF(AW$4=0,0,IF(COUNTIFS(実績!$W$6:$W$505,AW$3,実績!$AC$6:$AC$505,"&lt;="&amp;$A7,実績!$AD$6:$AD$505,"&gt;"&amp;$A7,実績!$AE$6:$AE$505,"○")&gt;0,1,0))</f>
        <v/>
      </c>
      <c r="AX7">
        <f>IF(AX$4=0,0,IF(COUNTIFS(実績!$W$6:$W$505,AX$3,実績!$AC$6:$AC$505,"&lt;="&amp;$A7,実績!$AD$6:$AD$505,"&gt;"&amp;$A7,実績!$AE$6:$AE$505,"○")&gt;0,1,0))</f>
        <v/>
      </c>
      <c r="AY7">
        <f>IF(AY$4=0,0,IF(COUNTIFS(実績!$W$6:$W$505,AY$3,実績!$AC$6:$AC$505,"&lt;="&amp;$A7,実績!$AD$6:$AD$505,"&gt;"&amp;$A7,実績!$AE$6:$AE$505,"○")&gt;0,1,0))</f>
        <v/>
      </c>
      <c r="AZ7">
        <f>IF(AZ$4=0,0,IF(COUNTIFS(実績!$W$6:$W$505,AZ$3,実績!$AC$6:$AC$505,"&lt;="&amp;$A7,実績!$AD$6:$AD$505,"&gt;"&amp;$A7,実績!$AE$6:$AE$505,"○")&gt;0,1,0))</f>
        <v/>
      </c>
      <c r="BA7">
        <f>IF(BA$4=0,0,IF(COUNTIFS(実績!$W$6:$W$505,BA$3,実績!$AC$6:$AC$505,"&lt;="&amp;$A7,実績!$AD$6:$AD$505,"&gt;"&amp;$A7,実績!$AE$6:$AE$505,"○")&gt;0,1,0))</f>
        <v/>
      </c>
      <c r="BB7">
        <f>IF(BB$4=0,0,IF(COUNTIFS(実績!$W$6:$W$505,BB$3,実績!$AC$6:$AC$505,"&lt;="&amp;$A7,実績!$AD$6:$AD$505,"&gt;"&amp;$A7,実績!$AE$6:$AE$505,"○")&gt;0,1,0))</f>
        <v/>
      </c>
      <c r="BC7">
        <f>IF(BC$4=0,0,IF(COUNTIFS(実績!$W$6:$W$505,BC$3,実績!$AC$6:$AC$505,"&lt;="&amp;$A7,実績!$AD$6:$AD$505,"&gt;"&amp;$A7,実績!$AE$6:$AE$505,"○")&gt;0,1,0))</f>
        <v/>
      </c>
      <c r="BD7">
        <f>IF(BD$4=0,0,IF(COUNTIFS(実績!$W$6:$W$505,BD$3,実績!$AC$6:$AC$505,"&lt;="&amp;$A7,実績!$AD$6:$AD$505,"&gt;"&amp;$A7,実績!$AE$6:$AE$505,"○")&gt;0,1,0))</f>
        <v/>
      </c>
      <c r="BE7">
        <f>IF(BE$4=0,0,IF(COUNTIFS(実績!$W$6:$W$505,BE$3,実績!$AC$6:$AC$505,"&lt;="&amp;$A7,実績!$AD$6:$AD$505,"&gt;"&amp;$A7,実績!$AE$6:$AE$505,"○")&gt;0,1,0))</f>
        <v/>
      </c>
      <c r="BF7">
        <f>IF(BF$4=0,0,IF(COUNTIFS(実績!$W$6:$W$505,BF$3,実績!$AC$6:$AC$505,"&lt;="&amp;$A7,実績!$AD$6:$AD$505,"&gt;"&amp;$A7,実績!$AE$6:$AE$505,"○")&gt;0,1,0))</f>
        <v/>
      </c>
      <c r="BG7">
        <f>IF(BG$4=0,0,IF(COUNTIFS(実績!$W$6:$W$505,BG$3,実績!$AC$6:$AC$505,"&lt;="&amp;$A7,実績!$AD$6:$AD$505,"&gt;"&amp;$A7,実績!$AE$6:$AE$505,"○")&gt;0,1,0))</f>
        <v/>
      </c>
      <c r="BH7">
        <f>IF(BH$4=0,0,IF(COUNTIFS(実績!$W$6:$W$505,BH$3,実績!$AC$6:$AC$505,"&lt;="&amp;$A7,実績!$AD$6:$AD$505,"&gt;"&amp;$A7,実績!$AE$6:$AE$505,"○")&gt;0,1,0))</f>
        <v/>
      </c>
      <c r="BI7">
        <f>IF(BI$4=0,0,IF(COUNTIFS(実績!$W$6:$W$505,BI$3,実績!$AC$6:$AC$505,"&lt;="&amp;$A7,実績!$AD$6:$AD$505,"&gt;"&amp;$A7,実績!$AE$6:$AE$505,"○")&gt;0,1,0))</f>
        <v/>
      </c>
      <c r="BJ7">
        <f>IF(BJ$4=0,0,IF(COUNTIFS(実績!$W$6:$W$505,BJ$3,実績!$AC$6:$AC$505,"&lt;="&amp;$A7,実績!$AD$6:$AD$505,"&gt;"&amp;$A7,実績!$AE$6:$AE$505,"○")&gt;0,1,0))</f>
        <v/>
      </c>
      <c r="BK7">
        <f>IF(BK$4=0,0,IF(COUNTIFS(実績!$W$6:$W$505,BK$3,実績!$AC$6:$AC$505,"&lt;="&amp;$A7,実績!$AD$6:$AD$505,"&gt;"&amp;$A7,実績!$AE$6:$AE$505,"○")&gt;0,1,0))</f>
        <v/>
      </c>
      <c r="BL7">
        <f>IF(BL$4=0,0,IF(COUNTIFS(実績!$W$6:$W$505,BL$3,実績!$AC$6:$AC$505,"&lt;="&amp;$A7,実績!$AD$6:$AD$505,"&gt;"&amp;$A7,実績!$AE$6:$AE$505,"○")&gt;0,1,0))</f>
        <v/>
      </c>
      <c r="BM7">
        <f>IF(BM$4=0,0,IF(COUNTIFS(実績!$W$6:$W$505,BM$3,実績!$AC$6:$AC$505,"&lt;="&amp;$A7,実績!$AD$6:$AD$505,"&gt;"&amp;$A7,実績!$AE$6:$AE$505,"○")&gt;0,1,0))</f>
        <v/>
      </c>
      <c r="BN7">
        <f>IF(BN$4=0,0,IF(COUNTIFS(実績!$W$6:$W$505,BN$3,実績!$AC$6:$AC$505,"&lt;="&amp;$A7,実績!$AD$6:$AD$505,"&gt;"&amp;$A7,実績!$AE$6:$AE$505,"○")&gt;0,1,0))</f>
        <v/>
      </c>
      <c r="BO7">
        <f>IF(BO$4=0,0,IF(COUNTIFS(実績!$W$6:$W$505,BO$3,実績!$AC$6:$AC$505,"&lt;="&amp;$A7,実績!$AD$6:$AD$505,"&gt;"&amp;$A7,実績!$AE$6:$AE$505,"○")&gt;0,1,0))</f>
        <v/>
      </c>
      <c r="BP7">
        <f>IF(BP$4=0,0,IF(COUNTIFS(実績!$W$6:$W$505,BP$3,実績!$AC$6:$AC$505,"&lt;="&amp;$A7,実績!$AD$6:$AD$505,"&gt;"&amp;$A7,実績!$AE$6:$AE$505,"○")&gt;0,1,0))</f>
        <v/>
      </c>
      <c r="BQ7">
        <f>IF(BQ$4=0,0,IF(COUNTIFS(実績!$W$6:$W$505,BQ$3,実績!$AC$6:$AC$505,"&lt;="&amp;$A7,実績!$AD$6:$AD$505,"&gt;"&amp;$A7,実績!$AE$6:$AE$505,"○")&gt;0,1,0))</f>
        <v/>
      </c>
      <c r="BR7">
        <f>IF(BR$4=0,0,IF(COUNTIFS(実績!$W$6:$W$505,BR$3,実績!$AC$6:$AC$505,"&lt;="&amp;$A7,実績!$AD$6:$AD$505,"&gt;"&amp;$A7,実績!$AE$6:$AE$505,"○")&gt;0,1,0))</f>
        <v/>
      </c>
      <c r="BS7">
        <f>IF(BS$4=0,0,IF(COUNTIFS(実績!$W$6:$W$505,BS$3,実績!$AC$6:$AC$505,"&lt;="&amp;$A7,実績!$AD$6:$AD$505,"&gt;"&amp;$A7,実績!$AE$6:$AE$505,"○")&gt;0,1,0))</f>
        <v/>
      </c>
      <c r="BT7">
        <f>IF(BT$4=0,0,IF(COUNTIFS(実績!$W$6:$W$505,BT$3,実績!$AC$6:$AC$505,"&lt;="&amp;$A7,実績!$AD$6:$AD$505,"&gt;"&amp;$A7,実績!$AE$6:$AE$505,"○")&gt;0,1,0))</f>
        <v/>
      </c>
      <c r="BU7">
        <f>IF(BU$4=0,0,IF(COUNTIFS(実績!$W$6:$W$505,BU$3,実績!$AC$6:$AC$505,"&lt;="&amp;$A7,実績!$AD$6:$AD$505,"&gt;"&amp;$A7,実績!$AE$6:$AE$505,"○")&gt;0,1,0))</f>
        <v/>
      </c>
      <c r="BV7">
        <f>IF(BV$4=0,0,IF(COUNTIFS(実績!$W$6:$W$505,BV$3,実績!$AC$6:$AC$505,"&lt;="&amp;$A7,実績!$AD$6:$AD$505,"&gt;"&amp;$A7,実績!$AE$6:$AE$505,"○")&gt;0,1,0))</f>
        <v/>
      </c>
      <c r="BW7">
        <f>IF(BW$4=0,0,IF(COUNTIFS(実績!$W$6:$W$505,BW$3,実績!$AC$6:$AC$505,"&lt;="&amp;$A7,実績!$AD$6:$AD$505,"&gt;"&amp;$A7,実績!$AE$6:$AE$505,"○")&gt;0,1,0))</f>
        <v/>
      </c>
      <c r="BX7">
        <f>IF(BX$4=0,0,IF(COUNTIFS(実績!$W$6:$W$505,BX$3,実績!$AC$6:$AC$505,"&lt;="&amp;$A7,実績!$AD$6:$AD$505,"&gt;"&amp;$A7,実績!$AE$6:$AE$505,"○")&gt;0,1,0))</f>
        <v/>
      </c>
      <c r="BY7">
        <f>IF(BY$4=0,0,IF(COUNTIFS(実績!$W$6:$W$505,BY$3,実績!$AC$6:$AC$505,"&lt;="&amp;$A7,実績!$AD$6:$AD$505,"&gt;"&amp;$A7,実績!$AE$6:$AE$505,"○")&gt;0,1,0))</f>
        <v/>
      </c>
      <c r="BZ7">
        <f>IF(BZ$4=0,0,IF(COUNTIFS(実績!$W$6:$W$505,BZ$3,実績!$AC$6:$AC$505,"&lt;="&amp;$A7,実績!$AD$6:$AD$505,"&gt;"&amp;$A7,実績!$AE$6:$AE$505,"○")&gt;0,1,0))</f>
        <v/>
      </c>
      <c r="CA7">
        <f>IF(CA$4=0,0,IF(COUNTIFS(実績!$W$6:$W$505,CA$3,実績!$AC$6:$AC$505,"&lt;="&amp;$A7,実績!$AD$6:$AD$505,"&gt;"&amp;$A7,実績!$AE$6:$AE$505,"○")&gt;0,1,0))</f>
        <v/>
      </c>
      <c r="CB7">
        <f>IF(CB$4=0,0,IF(COUNTIFS(実績!$W$6:$W$505,CB$3,実績!$AC$6:$AC$505,"&lt;="&amp;$A7,実績!$AD$6:$AD$505,"&gt;"&amp;$A7,実績!$AE$6:$AE$505,"○")&gt;0,1,0))</f>
        <v/>
      </c>
      <c r="CC7">
        <f>IF(CC$4=0,0,IF(COUNTIFS(実績!$W$6:$W$505,CC$3,実績!$AC$6:$AC$505,"&lt;="&amp;$A7,実績!$AD$6:$AD$505,"&gt;"&amp;$A7,実績!$AE$6:$AE$505,"○")&gt;0,1,0))</f>
        <v/>
      </c>
      <c r="CD7">
        <f>IF(CD$4=0,0,IF(COUNTIFS(実績!$W$6:$W$505,CD$3,実績!$AC$6:$AC$505,"&lt;="&amp;$A7,実績!$AD$6:$AD$505,"&gt;"&amp;$A7,実績!$AE$6:$AE$505,"○")&gt;0,1,0))</f>
        <v/>
      </c>
      <c r="CE7">
        <f>IF(CE$4=0,0,IF(COUNTIFS(実績!$W$6:$W$505,CE$3,実績!$AC$6:$AC$505,"&lt;="&amp;$A7,実績!$AD$6:$AD$505,"&gt;"&amp;$A7,実績!$AE$6:$AE$505,"○")&gt;0,1,0))</f>
        <v/>
      </c>
      <c r="CF7">
        <f>IF(CF$4=0,0,IF(COUNTIFS(実績!$W$6:$W$505,CF$3,実績!$AC$6:$AC$505,"&lt;="&amp;$A7,実績!$AD$6:$AD$505,"&gt;"&amp;$A7,実績!$AE$6:$AE$505,"○")&gt;0,1,0))</f>
        <v/>
      </c>
      <c r="CG7">
        <f>IF(CG$4=0,0,IF(COUNTIFS(実績!$W$6:$W$505,CG$3,実績!$AC$6:$AC$505,"&lt;="&amp;$A7,実績!$AD$6:$AD$505,"&gt;"&amp;$A7,実績!$AE$6:$AE$505,"○")&gt;0,1,0))</f>
        <v/>
      </c>
      <c r="CH7">
        <f>IF(CH$4=0,0,IF(COUNTIFS(実績!$W$6:$W$505,CH$3,実績!$AC$6:$AC$505,"&lt;="&amp;$A7,実績!$AD$6:$AD$505,"&gt;"&amp;$A7,実績!$AE$6:$AE$505,"○")&gt;0,1,0))</f>
        <v/>
      </c>
      <c r="CI7">
        <f>IF(CI$4=0,0,IF(COUNTIFS(実績!$W$6:$W$505,CI$3,実績!$AC$6:$AC$505,"&lt;="&amp;$A7,実績!$AD$6:$AD$505,"&gt;"&amp;$A7,実績!$AE$6:$AE$505,"○")&gt;0,1,0))</f>
        <v/>
      </c>
      <c r="CJ7">
        <f>IF(CJ$4=0,0,IF(COUNTIFS(実績!$W$6:$W$505,CJ$3,実績!$AC$6:$AC$505,"&lt;="&amp;$A7,実績!$AD$6:$AD$505,"&gt;"&amp;$A7,実績!$AE$6:$AE$505,"○")&gt;0,1,0))</f>
        <v/>
      </c>
      <c r="CK7">
        <f>IF(CK$4=0,0,IF(COUNTIFS(実績!$W$6:$W$505,CK$3,実績!$AC$6:$AC$505,"&lt;="&amp;$A7,実績!$AD$6:$AD$505,"&gt;"&amp;$A7,実績!$AE$6:$AE$505,"○")&gt;0,1,0))</f>
        <v/>
      </c>
      <c r="CL7">
        <f>IF(CL$4=0,0,IF(COUNTIFS(実績!$W$6:$W$505,CL$3,実績!$AC$6:$AC$505,"&lt;="&amp;$A7,実績!$AD$6:$AD$505,"&gt;"&amp;$A7,実績!$AE$6:$AE$505,"○")&gt;0,1,0))</f>
        <v/>
      </c>
      <c r="CM7">
        <f>IF(CM$4=0,0,IF(COUNTIFS(実績!$W$6:$W$505,CM$3,実績!$AC$6:$AC$505,"&lt;="&amp;$A7,実績!$AD$6:$AD$505,"&gt;"&amp;$A7,実績!$AE$6:$AE$505,"○")&gt;0,1,0))</f>
        <v/>
      </c>
      <c r="CN7">
        <f>IF(CN$4=0,0,IF(COUNTIFS(実績!$W$6:$W$505,CN$3,実績!$AC$6:$AC$505,"&lt;="&amp;$A7,実績!$AD$6:$AD$505,"&gt;"&amp;$A7,実績!$AE$6:$AE$505,"○")&gt;0,1,0))</f>
        <v/>
      </c>
      <c r="CO7">
        <f>IF(CO$4=0,0,IF(COUNTIFS(実績!$W$6:$W$505,CO$3,実績!$AC$6:$AC$505,"&lt;="&amp;$A7,実績!$AD$6:$AD$505,"&gt;"&amp;$A7,実績!$AE$6:$AE$505,"○")&gt;0,1,0))</f>
        <v/>
      </c>
      <c r="CP7">
        <f>IF(CP$4=0,0,IF(COUNTIFS(実績!$W$6:$W$505,CP$3,実績!$AC$6:$AC$505,"&lt;="&amp;$A7,実績!$AD$6:$AD$505,"&gt;"&amp;$A7,実績!$AE$6:$AE$505,"○")&gt;0,1,0))</f>
        <v/>
      </c>
      <c r="CQ7">
        <f>IF(CQ$4=0,0,IF(COUNTIFS(実績!$W$6:$W$505,CQ$3,実績!$AC$6:$AC$505,"&lt;="&amp;$A7,実績!$AD$6:$AD$505,"&gt;"&amp;$A7,実績!$AE$6:$AE$505,"○")&gt;0,1,0))</f>
        <v/>
      </c>
      <c r="CR7">
        <f>IF(CR$4=0,0,IF(COUNTIFS(実績!$W$6:$W$505,CR$3,実績!$AC$6:$AC$505,"&lt;="&amp;$A7,実績!$AD$6:$AD$505,"&gt;"&amp;$A7,実績!$AE$6:$AE$505,"○")&gt;0,1,0))</f>
        <v/>
      </c>
      <c r="CS7">
        <f>IF(CS$4=0,0,IF(COUNTIFS(実績!$W$6:$W$505,CS$3,実績!$AC$6:$AC$505,"&lt;="&amp;$A7,実績!$AD$6:$AD$505,"&gt;"&amp;$A7,実績!$AE$6:$AE$505,"○")&gt;0,1,0))</f>
        <v/>
      </c>
      <c r="CT7">
        <f>IF(CT$4=0,0,IF(COUNTIFS(実績!$W$6:$W$505,CT$3,実績!$AC$6:$AC$505,"&lt;="&amp;$A7,実績!$AD$6:$AD$505,"&gt;"&amp;$A7,実績!$AE$6:$AE$505,"○")&gt;0,1,0))</f>
        <v/>
      </c>
      <c r="CU7">
        <f>IF(CU$4=0,0,IF(COUNTIFS(実績!$W$6:$W$505,CU$3,実績!$AC$6:$AC$505,"&lt;="&amp;$A7,実績!$AD$6:$AD$505,"&gt;"&amp;$A7,実績!$AE$6:$AE$505,"○")&gt;0,1,0))</f>
        <v/>
      </c>
      <c r="CV7">
        <f>IF(CV$4=0,0,IF(COUNTIFS(実績!$W$6:$W$505,CV$3,実績!$AC$6:$AC$505,"&lt;="&amp;$A7,実績!$AD$6:$AD$505,"&gt;"&amp;$A7,実績!$AE$6:$AE$505,"○")&gt;0,1,0))</f>
        <v/>
      </c>
      <c r="CW7">
        <f>IF(CW$4=0,0,IF(COUNTIFS(実績!$W$6:$W$505,CW$3,実績!$AC$6:$AC$505,"&lt;="&amp;$A7,実績!$AD$6:$AD$505,"&gt;"&amp;$A7,実績!$AE$6:$AE$505,"○")&gt;0,1,0))</f>
        <v/>
      </c>
      <c r="CX7">
        <f>IF(CX$4=0,0,IF(COUNTIFS(実績!$W$6:$W$505,CX$3,実績!$AC$6:$AC$505,"&lt;="&amp;$A7,実績!$AD$6:$AD$505,"&gt;"&amp;$A7,実績!$AE$6:$AE$505,"○")&gt;0,1,0))</f>
        <v/>
      </c>
      <c r="CY7">
        <f>IF(CY$4=0,0,IF(COUNTIFS(実績!$W$6:$W$505,CY$3,実績!$AC$6:$AC$505,"&lt;="&amp;$A7,実績!$AD$6:$AD$505,"&gt;"&amp;$A7,実績!$AE$6:$AE$505,"○")&gt;0,1,0))</f>
        <v/>
      </c>
      <c r="CZ7">
        <f>IF(CZ$4=0,0,IF(COUNTIFS(実績!$W$6:$W$505,CZ$3,実績!$AC$6:$AC$505,"&lt;="&amp;$A7,実績!$AD$6:$AD$505,"&gt;"&amp;$A7,実績!$AE$6:$AE$505,"○")&gt;0,1,0))</f>
        <v/>
      </c>
      <c r="DA7">
        <f>IF(DA$4=0,0,IF(COUNTIFS(実績!$W$6:$W$505,DA$3,実績!$AC$6:$AC$505,"&lt;="&amp;$A7,実績!$AD$6:$AD$505,"&gt;"&amp;$A7,実績!$AE$6:$AE$505,"○")&gt;0,1,0))</f>
        <v/>
      </c>
      <c r="DB7">
        <f>IF(DB$4=0,0,IF(COUNTIFS(実績!$W$6:$W$505,DB$3,実績!$AC$6:$AC$505,"&lt;="&amp;$A7,実績!$AD$6:$AD$505,"&gt;"&amp;$A7,実績!$AE$6:$AE$505,"○")&gt;0,1,0))</f>
        <v/>
      </c>
      <c r="DC7">
        <f>IF(DC$4=0,0,IF(COUNTIFS(実績!$W$6:$W$505,DC$3,実績!$AC$6:$AC$505,"&lt;="&amp;$A7,実績!$AD$6:$AD$505,"&gt;"&amp;$A7,実績!$AE$6:$AE$505,"○")&gt;0,1,0))</f>
        <v/>
      </c>
      <c r="DD7">
        <f>IF(DD$4=0,0,IF(COUNTIFS(実績!$W$6:$W$505,DD$3,実績!$AC$6:$AC$505,"&lt;="&amp;$A7,実績!$AD$6:$AD$505,"&gt;"&amp;$A7,実績!$AE$6:$AE$505,"○")&gt;0,1,0))</f>
        <v/>
      </c>
      <c r="DE7">
        <f>IF(DE$4=0,0,IF(COUNTIFS(実績!$W$6:$W$505,DE$3,実績!$AC$6:$AC$505,"&lt;="&amp;$A7,実績!$AD$6:$AD$505,"&gt;"&amp;$A7,実績!$AE$6:$AE$505,"○")&gt;0,1,0))</f>
        <v/>
      </c>
      <c r="DF7">
        <f>IF(DF$4=0,0,IF(COUNTIFS(実績!$W$6:$W$505,DF$3,実績!$AC$6:$AC$505,"&lt;="&amp;$A7,実績!$AD$6:$AD$505,"&gt;"&amp;$A7,実績!$AE$6:$AE$505,"○")&gt;0,1,0))</f>
        <v/>
      </c>
      <c r="DG7">
        <f>IF(DG$4=0,0,IF(COUNTIFS(実績!$W$6:$W$505,DG$3,実績!$AC$6:$AC$505,"&lt;="&amp;$A7,実績!$AD$6:$AD$505,"&gt;"&amp;$A7,実績!$AE$6:$AE$505,"○")&gt;0,1,0))</f>
        <v/>
      </c>
      <c r="DH7">
        <f>IF(DH$4=0,0,IF(COUNTIFS(実績!$W$6:$W$505,DH$3,実績!$AC$6:$AC$505,"&lt;="&amp;$A7,実績!$AD$6:$AD$505,"&gt;"&amp;$A7,実績!$AE$6:$AE$505,"○")&gt;0,1,0))</f>
        <v/>
      </c>
      <c r="DI7">
        <f>IF(DI$4=0,0,IF(COUNTIFS(実績!$W$6:$W$505,DI$3,実績!$AC$6:$AC$505,"&lt;="&amp;$A7,実績!$AD$6:$AD$505,"&gt;"&amp;$A7,実績!$AE$6:$AE$505,"○")&gt;0,1,0))</f>
        <v/>
      </c>
      <c r="DJ7">
        <f>IF(DJ$4=0,0,IF(COUNTIFS(実績!$W$6:$W$505,DJ$3,実績!$AC$6:$AC$505,"&lt;="&amp;$A7,実績!$AD$6:$AD$505,"&gt;"&amp;$A7,実績!$AE$6:$AE$505,"○")&gt;0,1,0))</f>
        <v/>
      </c>
      <c r="DK7">
        <f>IF(DK$4=0,0,IF(COUNTIFS(実績!$W$6:$W$505,DK$3,実績!$AC$6:$AC$505,"&lt;="&amp;$A7,実績!$AD$6:$AD$505,"&gt;"&amp;$A7,実績!$AE$6:$AE$505,"○")&gt;0,1,0))</f>
        <v/>
      </c>
      <c r="DL7">
        <f>IF(DL$4=0,0,IF(COUNTIFS(実績!$W$6:$W$505,DL$3,実績!$AC$6:$AC$505,"&lt;="&amp;$A7,実績!$AD$6:$AD$505,"&gt;"&amp;$A7,実績!$AE$6:$AE$505,"○")&gt;0,1,0))</f>
        <v/>
      </c>
      <c r="DM7">
        <f>IF(DM$4=0,0,IF(COUNTIFS(実績!$W$6:$W$505,DM$3,実績!$AC$6:$AC$505,"&lt;="&amp;$A7,実績!$AD$6:$AD$505,"&gt;"&amp;$A7,実績!$AE$6:$AE$505,"○")&gt;0,1,0))</f>
        <v/>
      </c>
      <c r="DN7">
        <f>IF(DN$4=0,0,IF(COUNTIFS(実績!$W$6:$W$505,DN$3,実績!$AC$6:$AC$505,"&lt;="&amp;$A7,実績!$AD$6:$AD$505,"&gt;"&amp;$A7,実績!$AE$6:$AE$505,"○")&gt;0,1,0))</f>
        <v/>
      </c>
      <c r="DO7">
        <f>IF(DO$4=0,0,IF(COUNTIFS(実績!$W$6:$W$505,DO$3,実績!$AC$6:$AC$505,"&lt;="&amp;$A7,実績!$AD$6:$AD$505,"&gt;"&amp;$A7,実績!$AE$6:$AE$505,"○")&gt;0,1,0))</f>
        <v/>
      </c>
      <c r="DP7">
        <f>IF(DP$4=0,0,IF(COUNTIFS(実績!$W$6:$W$505,DP$3,実績!$AC$6:$AC$505,"&lt;="&amp;$A7,実績!$AD$6:$AD$505,"&gt;"&amp;$A7,実績!$AE$6:$AE$505,"○")&gt;0,1,0))</f>
        <v/>
      </c>
      <c r="DQ7">
        <f>IF(DQ$4=0,0,IF(COUNTIFS(実績!$W$6:$W$505,DQ$3,実績!$AC$6:$AC$505,"&lt;="&amp;$A7,実績!$AD$6:$AD$505,"&gt;"&amp;$A7,実績!$AE$6:$AE$505,"○")&gt;0,1,0))</f>
        <v/>
      </c>
      <c r="DR7">
        <f>IF(DR$4=0,0,IF(COUNTIFS(実績!$W$6:$W$505,DR$3,実績!$AC$6:$AC$505,"&lt;="&amp;$A7,実績!$AD$6:$AD$505,"&gt;"&amp;$A7,実績!$AE$6:$AE$505,"○")&gt;0,1,0))</f>
        <v/>
      </c>
      <c r="DS7">
        <f>SUM(C7:DR7)</f>
        <v/>
      </c>
      <c r="DT7">
        <f>SUMPRODUCT((実績!$C$6:$C$505="○")*ISNUMBER(実績!$AF$6:$AF$505)*(実績!$AF$6:$AF$505&lt;=$A7)*(実績!$AG$6:$AG$505&gt;$A7))</f>
        <v/>
      </c>
      <c r="DU7">
        <f>SUMIF($C$2:$DR$2,"製鉄曳船",C7:DR7)</f>
        <v/>
      </c>
      <c r="DV7">
        <f>SUMIF($C$2:$DR$2,"西日本海運",C7:DR7)</f>
        <v/>
      </c>
    </row>
    <row r="8">
      <c r="A8" t="n">
        <v>10</v>
      </c>
      <c r="B8" s="29">
        <f>A8/1440</f>
        <v/>
      </c>
      <c r="C8">
        <f>IF(C$4=0,0,IF(COUNTIFS(実績!$W$6:$W$505,C$3,実績!$AC$6:$AC$505,"&lt;="&amp;$A8,実績!$AD$6:$AD$505,"&gt;"&amp;$A8,実績!$AE$6:$AE$505,"○")&gt;0,1,0))</f>
        <v/>
      </c>
      <c r="D8">
        <f>IF(D$4=0,0,IF(COUNTIFS(実績!$W$6:$W$505,D$3,実績!$AC$6:$AC$505,"&lt;="&amp;$A8,実績!$AD$6:$AD$505,"&gt;"&amp;$A8,実績!$AE$6:$AE$505,"○")&gt;0,1,0))</f>
        <v/>
      </c>
      <c r="E8">
        <f>IF(E$4=0,0,IF(COUNTIFS(実績!$W$6:$W$505,E$3,実績!$AC$6:$AC$505,"&lt;="&amp;$A8,実績!$AD$6:$AD$505,"&gt;"&amp;$A8,実績!$AE$6:$AE$505,"○")&gt;0,1,0))</f>
        <v/>
      </c>
      <c r="F8">
        <f>IF(F$4=0,0,IF(COUNTIFS(実績!$W$6:$W$505,F$3,実績!$AC$6:$AC$505,"&lt;="&amp;$A8,実績!$AD$6:$AD$505,"&gt;"&amp;$A8,実績!$AE$6:$AE$505,"○")&gt;0,1,0))</f>
        <v/>
      </c>
      <c r="G8">
        <f>IF(G$4=0,0,IF(COUNTIFS(実績!$W$6:$W$505,G$3,実績!$AC$6:$AC$505,"&lt;="&amp;$A8,実績!$AD$6:$AD$505,"&gt;"&amp;$A8,実績!$AE$6:$AE$505,"○")&gt;0,1,0))</f>
        <v/>
      </c>
      <c r="H8">
        <f>IF(H$4=0,0,IF(COUNTIFS(実績!$W$6:$W$505,H$3,実績!$AC$6:$AC$505,"&lt;="&amp;$A8,実績!$AD$6:$AD$505,"&gt;"&amp;$A8,実績!$AE$6:$AE$505,"○")&gt;0,1,0))</f>
        <v/>
      </c>
      <c r="I8">
        <f>IF(I$4=0,0,IF(COUNTIFS(実績!$W$6:$W$505,I$3,実績!$AC$6:$AC$505,"&lt;="&amp;$A8,実績!$AD$6:$AD$505,"&gt;"&amp;$A8,実績!$AE$6:$AE$505,"○")&gt;0,1,0))</f>
        <v/>
      </c>
      <c r="J8">
        <f>IF(J$4=0,0,IF(COUNTIFS(実績!$W$6:$W$505,J$3,実績!$AC$6:$AC$505,"&lt;="&amp;$A8,実績!$AD$6:$AD$505,"&gt;"&amp;$A8,実績!$AE$6:$AE$505,"○")&gt;0,1,0))</f>
        <v/>
      </c>
      <c r="K8">
        <f>IF(K$4=0,0,IF(COUNTIFS(実績!$W$6:$W$505,K$3,実績!$AC$6:$AC$505,"&lt;="&amp;$A8,実績!$AD$6:$AD$505,"&gt;"&amp;$A8,実績!$AE$6:$AE$505,"○")&gt;0,1,0))</f>
        <v/>
      </c>
      <c r="L8">
        <f>IF(L$4=0,0,IF(COUNTIFS(実績!$W$6:$W$505,L$3,実績!$AC$6:$AC$505,"&lt;="&amp;$A8,実績!$AD$6:$AD$505,"&gt;"&amp;$A8,実績!$AE$6:$AE$505,"○")&gt;0,1,0))</f>
        <v/>
      </c>
      <c r="M8">
        <f>IF(M$4=0,0,IF(COUNTIFS(実績!$W$6:$W$505,M$3,実績!$AC$6:$AC$505,"&lt;="&amp;$A8,実績!$AD$6:$AD$505,"&gt;"&amp;$A8,実績!$AE$6:$AE$505,"○")&gt;0,1,0))</f>
        <v/>
      </c>
      <c r="N8">
        <f>IF(N$4=0,0,IF(COUNTIFS(実績!$W$6:$W$505,N$3,実績!$AC$6:$AC$505,"&lt;="&amp;$A8,実績!$AD$6:$AD$505,"&gt;"&amp;$A8,実績!$AE$6:$AE$505,"○")&gt;0,1,0))</f>
        <v/>
      </c>
      <c r="O8">
        <f>IF(O$4=0,0,IF(COUNTIFS(実績!$W$6:$W$505,O$3,実績!$AC$6:$AC$505,"&lt;="&amp;$A8,実績!$AD$6:$AD$505,"&gt;"&amp;$A8,実績!$AE$6:$AE$505,"○")&gt;0,1,0))</f>
        <v/>
      </c>
      <c r="P8">
        <f>IF(P$4=0,0,IF(COUNTIFS(実績!$W$6:$W$505,P$3,実績!$AC$6:$AC$505,"&lt;="&amp;$A8,実績!$AD$6:$AD$505,"&gt;"&amp;$A8,実績!$AE$6:$AE$505,"○")&gt;0,1,0))</f>
        <v/>
      </c>
      <c r="Q8">
        <f>IF(Q$4=0,0,IF(COUNTIFS(実績!$W$6:$W$505,Q$3,実績!$AC$6:$AC$505,"&lt;="&amp;$A8,実績!$AD$6:$AD$505,"&gt;"&amp;$A8,実績!$AE$6:$AE$505,"○")&gt;0,1,0))</f>
        <v/>
      </c>
      <c r="R8">
        <f>IF(R$4=0,0,IF(COUNTIFS(実績!$W$6:$W$505,R$3,実績!$AC$6:$AC$505,"&lt;="&amp;$A8,実績!$AD$6:$AD$505,"&gt;"&amp;$A8,実績!$AE$6:$AE$505,"○")&gt;0,1,0))</f>
        <v/>
      </c>
      <c r="S8">
        <f>IF(S$4=0,0,IF(COUNTIFS(実績!$W$6:$W$505,S$3,実績!$AC$6:$AC$505,"&lt;="&amp;$A8,実績!$AD$6:$AD$505,"&gt;"&amp;$A8,実績!$AE$6:$AE$505,"○")&gt;0,1,0))</f>
        <v/>
      </c>
      <c r="T8">
        <f>IF(T$4=0,0,IF(COUNTIFS(実績!$W$6:$W$505,T$3,実績!$AC$6:$AC$505,"&lt;="&amp;$A8,実績!$AD$6:$AD$505,"&gt;"&amp;$A8,実績!$AE$6:$AE$505,"○")&gt;0,1,0))</f>
        <v/>
      </c>
      <c r="U8">
        <f>IF(U$4=0,0,IF(COUNTIFS(実績!$W$6:$W$505,U$3,実績!$AC$6:$AC$505,"&lt;="&amp;$A8,実績!$AD$6:$AD$505,"&gt;"&amp;$A8,実績!$AE$6:$AE$505,"○")&gt;0,1,0))</f>
        <v/>
      </c>
      <c r="V8">
        <f>IF(V$4=0,0,IF(COUNTIFS(実績!$W$6:$W$505,V$3,実績!$AC$6:$AC$505,"&lt;="&amp;$A8,実績!$AD$6:$AD$505,"&gt;"&amp;$A8,実績!$AE$6:$AE$505,"○")&gt;0,1,0))</f>
        <v/>
      </c>
      <c r="W8">
        <f>IF(W$4=0,0,IF(COUNTIFS(実績!$W$6:$W$505,W$3,実績!$AC$6:$AC$505,"&lt;="&amp;$A8,実績!$AD$6:$AD$505,"&gt;"&amp;$A8,実績!$AE$6:$AE$505,"○")&gt;0,1,0))</f>
        <v/>
      </c>
      <c r="X8">
        <f>IF(X$4=0,0,IF(COUNTIFS(実績!$W$6:$W$505,X$3,実績!$AC$6:$AC$505,"&lt;="&amp;$A8,実績!$AD$6:$AD$505,"&gt;"&amp;$A8,実績!$AE$6:$AE$505,"○")&gt;0,1,0))</f>
        <v/>
      </c>
      <c r="Y8">
        <f>IF(Y$4=0,0,IF(COUNTIFS(実績!$W$6:$W$505,Y$3,実績!$AC$6:$AC$505,"&lt;="&amp;$A8,実績!$AD$6:$AD$505,"&gt;"&amp;$A8,実績!$AE$6:$AE$505,"○")&gt;0,1,0))</f>
        <v/>
      </c>
      <c r="Z8">
        <f>IF(Z$4=0,0,IF(COUNTIFS(実績!$W$6:$W$505,Z$3,実績!$AC$6:$AC$505,"&lt;="&amp;$A8,実績!$AD$6:$AD$505,"&gt;"&amp;$A8,実績!$AE$6:$AE$505,"○")&gt;0,1,0))</f>
        <v/>
      </c>
      <c r="AA8">
        <f>IF(AA$4=0,0,IF(COUNTIFS(実績!$W$6:$W$505,AA$3,実績!$AC$6:$AC$505,"&lt;="&amp;$A8,実績!$AD$6:$AD$505,"&gt;"&amp;$A8,実績!$AE$6:$AE$505,"○")&gt;0,1,0))</f>
        <v/>
      </c>
      <c r="AB8">
        <f>IF(AB$4=0,0,IF(COUNTIFS(実績!$W$6:$W$505,AB$3,実績!$AC$6:$AC$505,"&lt;="&amp;$A8,実績!$AD$6:$AD$505,"&gt;"&amp;$A8,実績!$AE$6:$AE$505,"○")&gt;0,1,0))</f>
        <v/>
      </c>
      <c r="AC8">
        <f>IF(AC$4=0,0,IF(COUNTIFS(実績!$W$6:$W$505,AC$3,実績!$AC$6:$AC$505,"&lt;="&amp;$A8,実績!$AD$6:$AD$505,"&gt;"&amp;$A8,実績!$AE$6:$AE$505,"○")&gt;0,1,0))</f>
        <v/>
      </c>
      <c r="AD8">
        <f>IF(AD$4=0,0,IF(COUNTIFS(実績!$W$6:$W$505,AD$3,実績!$AC$6:$AC$505,"&lt;="&amp;$A8,実績!$AD$6:$AD$505,"&gt;"&amp;$A8,実績!$AE$6:$AE$505,"○")&gt;0,1,0))</f>
        <v/>
      </c>
      <c r="AE8">
        <f>IF(AE$4=0,0,IF(COUNTIFS(実績!$W$6:$W$505,AE$3,実績!$AC$6:$AC$505,"&lt;="&amp;$A8,実績!$AD$6:$AD$505,"&gt;"&amp;$A8,実績!$AE$6:$AE$505,"○")&gt;0,1,0))</f>
        <v/>
      </c>
      <c r="AF8">
        <f>IF(AF$4=0,0,IF(COUNTIFS(実績!$W$6:$W$505,AF$3,実績!$AC$6:$AC$505,"&lt;="&amp;$A8,実績!$AD$6:$AD$505,"&gt;"&amp;$A8,実績!$AE$6:$AE$505,"○")&gt;0,1,0))</f>
        <v/>
      </c>
      <c r="AG8">
        <f>IF(AG$4=0,0,IF(COUNTIFS(実績!$W$6:$W$505,AG$3,実績!$AC$6:$AC$505,"&lt;="&amp;$A8,実績!$AD$6:$AD$505,"&gt;"&amp;$A8,実績!$AE$6:$AE$505,"○")&gt;0,1,0))</f>
        <v/>
      </c>
      <c r="AH8">
        <f>IF(AH$4=0,0,IF(COUNTIFS(実績!$W$6:$W$505,AH$3,実績!$AC$6:$AC$505,"&lt;="&amp;$A8,実績!$AD$6:$AD$505,"&gt;"&amp;$A8,実績!$AE$6:$AE$505,"○")&gt;0,1,0))</f>
        <v/>
      </c>
      <c r="AI8">
        <f>IF(AI$4=0,0,IF(COUNTIFS(実績!$W$6:$W$505,AI$3,実績!$AC$6:$AC$505,"&lt;="&amp;$A8,実績!$AD$6:$AD$505,"&gt;"&amp;$A8,実績!$AE$6:$AE$505,"○")&gt;0,1,0))</f>
        <v/>
      </c>
      <c r="AJ8">
        <f>IF(AJ$4=0,0,IF(COUNTIFS(実績!$W$6:$W$505,AJ$3,実績!$AC$6:$AC$505,"&lt;="&amp;$A8,実績!$AD$6:$AD$505,"&gt;"&amp;$A8,実績!$AE$6:$AE$505,"○")&gt;0,1,0))</f>
        <v/>
      </c>
      <c r="AK8">
        <f>IF(AK$4=0,0,IF(COUNTIFS(実績!$W$6:$W$505,AK$3,実績!$AC$6:$AC$505,"&lt;="&amp;$A8,実績!$AD$6:$AD$505,"&gt;"&amp;$A8,実績!$AE$6:$AE$505,"○")&gt;0,1,0))</f>
        <v/>
      </c>
      <c r="AL8">
        <f>IF(AL$4=0,0,IF(COUNTIFS(実績!$W$6:$W$505,AL$3,実績!$AC$6:$AC$505,"&lt;="&amp;$A8,実績!$AD$6:$AD$505,"&gt;"&amp;$A8,実績!$AE$6:$AE$505,"○")&gt;0,1,0))</f>
        <v/>
      </c>
      <c r="AM8">
        <f>IF(AM$4=0,0,IF(COUNTIFS(実績!$W$6:$W$505,AM$3,実績!$AC$6:$AC$505,"&lt;="&amp;$A8,実績!$AD$6:$AD$505,"&gt;"&amp;$A8,実績!$AE$6:$AE$505,"○")&gt;0,1,0))</f>
        <v/>
      </c>
      <c r="AN8">
        <f>IF(AN$4=0,0,IF(COUNTIFS(実績!$W$6:$W$505,AN$3,実績!$AC$6:$AC$505,"&lt;="&amp;$A8,実績!$AD$6:$AD$505,"&gt;"&amp;$A8,実績!$AE$6:$AE$505,"○")&gt;0,1,0))</f>
        <v/>
      </c>
      <c r="AO8">
        <f>IF(AO$4=0,0,IF(COUNTIFS(実績!$W$6:$W$505,AO$3,実績!$AC$6:$AC$505,"&lt;="&amp;$A8,実績!$AD$6:$AD$505,"&gt;"&amp;$A8,実績!$AE$6:$AE$505,"○")&gt;0,1,0))</f>
        <v/>
      </c>
      <c r="AP8">
        <f>IF(AP$4=0,0,IF(COUNTIFS(実績!$W$6:$W$505,AP$3,実績!$AC$6:$AC$505,"&lt;="&amp;$A8,実績!$AD$6:$AD$505,"&gt;"&amp;$A8,実績!$AE$6:$AE$505,"○")&gt;0,1,0))</f>
        <v/>
      </c>
      <c r="AQ8">
        <f>IF(AQ$4=0,0,IF(COUNTIFS(実績!$W$6:$W$505,AQ$3,実績!$AC$6:$AC$505,"&lt;="&amp;$A8,実績!$AD$6:$AD$505,"&gt;"&amp;$A8,実績!$AE$6:$AE$505,"○")&gt;0,1,0))</f>
        <v/>
      </c>
      <c r="AR8">
        <f>IF(AR$4=0,0,IF(COUNTIFS(実績!$W$6:$W$505,AR$3,実績!$AC$6:$AC$505,"&lt;="&amp;$A8,実績!$AD$6:$AD$505,"&gt;"&amp;$A8,実績!$AE$6:$AE$505,"○")&gt;0,1,0))</f>
        <v/>
      </c>
      <c r="AS8">
        <f>IF(AS$4=0,0,IF(COUNTIFS(実績!$W$6:$W$505,AS$3,実績!$AC$6:$AC$505,"&lt;="&amp;$A8,実績!$AD$6:$AD$505,"&gt;"&amp;$A8,実績!$AE$6:$AE$505,"○")&gt;0,1,0))</f>
        <v/>
      </c>
      <c r="AT8">
        <f>IF(AT$4=0,0,IF(COUNTIFS(実績!$W$6:$W$505,AT$3,実績!$AC$6:$AC$505,"&lt;="&amp;$A8,実績!$AD$6:$AD$505,"&gt;"&amp;$A8,実績!$AE$6:$AE$505,"○")&gt;0,1,0))</f>
        <v/>
      </c>
      <c r="AU8">
        <f>IF(AU$4=0,0,IF(COUNTIFS(実績!$W$6:$W$505,AU$3,実績!$AC$6:$AC$505,"&lt;="&amp;$A8,実績!$AD$6:$AD$505,"&gt;"&amp;$A8,実績!$AE$6:$AE$505,"○")&gt;0,1,0))</f>
        <v/>
      </c>
      <c r="AV8">
        <f>IF(AV$4=0,0,IF(COUNTIFS(実績!$W$6:$W$505,AV$3,実績!$AC$6:$AC$505,"&lt;="&amp;$A8,実績!$AD$6:$AD$505,"&gt;"&amp;$A8,実績!$AE$6:$AE$505,"○")&gt;0,1,0))</f>
        <v/>
      </c>
      <c r="AW8">
        <f>IF(AW$4=0,0,IF(COUNTIFS(実績!$W$6:$W$505,AW$3,実績!$AC$6:$AC$505,"&lt;="&amp;$A8,実績!$AD$6:$AD$505,"&gt;"&amp;$A8,実績!$AE$6:$AE$505,"○")&gt;0,1,0))</f>
        <v/>
      </c>
      <c r="AX8">
        <f>IF(AX$4=0,0,IF(COUNTIFS(実績!$W$6:$W$505,AX$3,実績!$AC$6:$AC$505,"&lt;="&amp;$A8,実績!$AD$6:$AD$505,"&gt;"&amp;$A8,実績!$AE$6:$AE$505,"○")&gt;0,1,0))</f>
        <v/>
      </c>
      <c r="AY8">
        <f>IF(AY$4=0,0,IF(COUNTIFS(実績!$W$6:$W$505,AY$3,実績!$AC$6:$AC$505,"&lt;="&amp;$A8,実績!$AD$6:$AD$505,"&gt;"&amp;$A8,実績!$AE$6:$AE$505,"○")&gt;0,1,0))</f>
        <v/>
      </c>
      <c r="AZ8">
        <f>IF(AZ$4=0,0,IF(COUNTIFS(実績!$W$6:$W$505,AZ$3,実績!$AC$6:$AC$505,"&lt;="&amp;$A8,実績!$AD$6:$AD$505,"&gt;"&amp;$A8,実績!$AE$6:$AE$505,"○")&gt;0,1,0))</f>
        <v/>
      </c>
      <c r="BA8">
        <f>IF(BA$4=0,0,IF(COUNTIFS(実績!$W$6:$W$505,BA$3,実績!$AC$6:$AC$505,"&lt;="&amp;$A8,実績!$AD$6:$AD$505,"&gt;"&amp;$A8,実績!$AE$6:$AE$505,"○")&gt;0,1,0))</f>
        <v/>
      </c>
      <c r="BB8">
        <f>IF(BB$4=0,0,IF(COUNTIFS(実績!$W$6:$W$505,BB$3,実績!$AC$6:$AC$505,"&lt;="&amp;$A8,実績!$AD$6:$AD$505,"&gt;"&amp;$A8,実績!$AE$6:$AE$505,"○")&gt;0,1,0))</f>
        <v/>
      </c>
      <c r="BC8">
        <f>IF(BC$4=0,0,IF(COUNTIFS(実績!$W$6:$W$505,BC$3,実績!$AC$6:$AC$505,"&lt;="&amp;$A8,実績!$AD$6:$AD$505,"&gt;"&amp;$A8,実績!$AE$6:$AE$505,"○")&gt;0,1,0))</f>
        <v/>
      </c>
      <c r="BD8">
        <f>IF(BD$4=0,0,IF(COUNTIFS(実績!$W$6:$W$505,BD$3,実績!$AC$6:$AC$505,"&lt;="&amp;$A8,実績!$AD$6:$AD$505,"&gt;"&amp;$A8,実績!$AE$6:$AE$505,"○")&gt;0,1,0))</f>
        <v/>
      </c>
      <c r="BE8">
        <f>IF(BE$4=0,0,IF(COUNTIFS(実績!$W$6:$W$505,BE$3,実績!$AC$6:$AC$505,"&lt;="&amp;$A8,実績!$AD$6:$AD$505,"&gt;"&amp;$A8,実績!$AE$6:$AE$505,"○")&gt;0,1,0))</f>
        <v/>
      </c>
      <c r="BF8">
        <f>IF(BF$4=0,0,IF(COUNTIFS(実績!$W$6:$W$505,BF$3,実績!$AC$6:$AC$505,"&lt;="&amp;$A8,実績!$AD$6:$AD$505,"&gt;"&amp;$A8,実績!$AE$6:$AE$505,"○")&gt;0,1,0))</f>
        <v/>
      </c>
      <c r="BG8">
        <f>IF(BG$4=0,0,IF(COUNTIFS(実績!$W$6:$W$505,BG$3,実績!$AC$6:$AC$505,"&lt;="&amp;$A8,実績!$AD$6:$AD$505,"&gt;"&amp;$A8,実績!$AE$6:$AE$505,"○")&gt;0,1,0))</f>
        <v/>
      </c>
      <c r="BH8">
        <f>IF(BH$4=0,0,IF(COUNTIFS(実績!$W$6:$W$505,BH$3,実績!$AC$6:$AC$505,"&lt;="&amp;$A8,実績!$AD$6:$AD$505,"&gt;"&amp;$A8,実績!$AE$6:$AE$505,"○")&gt;0,1,0))</f>
        <v/>
      </c>
      <c r="BI8">
        <f>IF(BI$4=0,0,IF(COUNTIFS(実績!$W$6:$W$505,BI$3,実績!$AC$6:$AC$505,"&lt;="&amp;$A8,実績!$AD$6:$AD$505,"&gt;"&amp;$A8,実績!$AE$6:$AE$505,"○")&gt;0,1,0))</f>
        <v/>
      </c>
      <c r="BJ8">
        <f>IF(BJ$4=0,0,IF(COUNTIFS(実績!$W$6:$W$505,BJ$3,実績!$AC$6:$AC$505,"&lt;="&amp;$A8,実績!$AD$6:$AD$505,"&gt;"&amp;$A8,実績!$AE$6:$AE$505,"○")&gt;0,1,0))</f>
        <v/>
      </c>
      <c r="BK8">
        <f>IF(BK$4=0,0,IF(COUNTIFS(実績!$W$6:$W$505,BK$3,実績!$AC$6:$AC$505,"&lt;="&amp;$A8,実績!$AD$6:$AD$505,"&gt;"&amp;$A8,実績!$AE$6:$AE$505,"○")&gt;0,1,0))</f>
        <v/>
      </c>
      <c r="BL8">
        <f>IF(BL$4=0,0,IF(COUNTIFS(実績!$W$6:$W$505,BL$3,実績!$AC$6:$AC$505,"&lt;="&amp;$A8,実績!$AD$6:$AD$505,"&gt;"&amp;$A8,実績!$AE$6:$AE$505,"○")&gt;0,1,0))</f>
        <v/>
      </c>
      <c r="BM8">
        <f>IF(BM$4=0,0,IF(COUNTIFS(実績!$W$6:$W$505,BM$3,実績!$AC$6:$AC$505,"&lt;="&amp;$A8,実績!$AD$6:$AD$505,"&gt;"&amp;$A8,実績!$AE$6:$AE$505,"○")&gt;0,1,0))</f>
        <v/>
      </c>
      <c r="BN8">
        <f>IF(BN$4=0,0,IF(COUNTIFS(実績!$W$6:$W$505,BN$3,実績!$AC$6:$AC$505,"&lt;="&amp;$A8,実績!$AD$6:$AD$505,"&gt;"&amp;$A8,実績!$AE$6:$AE$505,"○")&gt;0,1,0))</f>
        <v/>
      </c>
      <c r="BO8">
        <f>IF(BO$4=0,0,IF(COUNTIFS(実績!$W$6:$W$505,BO$3,実績!$AC$6:$AC$505,"&lt;="&amp;$A8,実績!$AD$6:$AD$505,"&gt;"&amp;$A8,実績!$AE$6:$AE$505,"○")&gt;0,1,0))</f>
        <v/>
      </c>
      <c r="BP8">
        <f>IF(BP$4=0,0,IF(COUNTIFS(実績!$W$6:$W$505,BP$3,実績!$AC$6:$AC$505,"&lt;="&amp;$A8,実績!$AD$6:$AD$505,"&gt;"&amp;$A8,実績!$AE$6:$AE$505,"○")&gt;0,1,0))</f>
        <v/>
      </c>
      <c r="BQ8">
        <f>IF(BQ$4=0,0,IF(COUNTIFS(実績!$W$6:$W$505,BQ$3,実績!$AC$6:$AC$505,"&lt;="&amp;$A8,実績!$AD$6:$AD$505,"&gt;"&amp;$A8,実績!$AE$6:$AE$505,"○")&gt;0,1,0))</f>
        <v/>
      </c>
      <c r="BR8">
        <f>IF(BR$4=0,0,IF(COUNTIFS(実績!$W$6:$W$505,BR$3,実績!$AC$6:$AC$505,"&lt;="&amp;$A8,実績!$AD$6:$AD$505,"&gt;"&amp;$A8,実績!$AE$6:$AE$505,"○")&gt;0,1,0))</f>
        <v/>
      </c>
      <c r="BS8">
        <f>IF(BS$4=0,0,IF(COUNTIFS(実績!$W$6:$W$505,BS$3,実績!$AC$6:$AC$505,"&lt;="&amp;$A8,実績!$AD$6:$AD$505,"&gt;"&amp;$A8,実績!$AE$6:$AE$505,"○")&gt;0,1,0))</f>
        <v/>
      </c>
      <c r="BT8">
        <f>IF(BT$4=0,0,IF(COUNTIFS(実績!$W$6:$W$505,BT$3,実績!$AC$6:$AC$505,"&lt;="&amp;$A8,実績!$AD$6:$AD$505,"&gt;"&amp;$A8,実績!$AE$6:$AE$505,"○")&gt;0,1,0))</f>
        <v/>
      </c>
      <c r="BU8">
        <f>IF(BU$4=0,0,IF(COUNTIFS(実績!$W$6:$W$505,BU$3,実績!$AC$6:$AC$505,"&lt;="&amp;$A8,実績!$AD$6:$AD$505,"&gt;"&amp;$A8,実績!$AE$6:$AE$505,"○")&gt;0,1,0))</f>
        <v/>
      </c>
      <c r="BV8">
        <f>IF(BV$4=0,0,IF(COUNTIFS(実績!$W$6:$W$505,BV$3,実績!$AC$6:$AC$505,"&lt;="&amp;$A8,実績!$AD$6:$AD$505,"&gt;"&amp;$A8,実績!$AE$6:$AE$505,"○")&gt;0,1,0))</f>
        <v/>
      </c>
      <c r="BW8">
        <f>IF(BW$4=0,0,IF(COUNTIFS(実績!$W$6:$W$505,BW$3,実績!$AC$6:$AC$505,"&lt;="&amp;$A8,実績!$AD$6:$AD$505,"&gt;"&amp;$A8,実績!$AE$6:$AE$505,"○")&gt;0,1,0))</f>
        <v/>
      </c>
      <c r="BX8">
        <f>IF(BX$4=0,0,IF(COUNTIFS(実績!$W$6:$W$505,BX$3,実績!$AC$6:$AC$505,"&lt;="&amp;$A8,実績!$AD$6:$AD$505,"&gt;"&amp;$A8,実績!$AE$6:$AE$505,"○")&gt;0,1,0))</f>
        <v/>
      </c>
      <c r="BY8">
        <f>IF(BY$4=0,0,IF(COUNTIFS(実績!$W$6:$W$505,BY$3,実績!$AC$6:$AC$505,"&lt;="&amp;$A8,実績!$AD$6:$AD$505,"&gt;"&amp;$A8,実績!$AE$6:$AE$505,"○")&gt;0,1,0))</f>
        <v/>
      </c>
      <c r="BZ8">
        <f>IF(BZ$4=0,0,IF(COUNTIFS(実績!$W$6:$W$505,BZ$3,実績!$AC$6:$AC$505,"&lt;="&amp;$A8,実績!$AD$6:$AD$505,"&gt;"&amp;$A8,実績!$AE$6:$AE$505,"○")&gt;0,1,0))</f>
        <v/>
      </c>
      <c r="CA8">
        <f>IF(CA$4=0,0,IF(COUNTIFS(実績!$W$6:$W$505,CA$3,実績!$AC$6:$AC$505,"&lt;="&amp;$A8,実績!$AD$6:$AD$505,"&gt;"&amp;$A8,実績!$AE$6:$AE$505,"○")&gt;0,1,0))</f>
        <v/>
      </c>
      <c r="CB8">
        <f>IF(CB$4=0,0,IF(COUNTIFS(実績!$W$6:$W$505,CB$3,実績!$AC$6:$AC$505,"&lt;="&amp;$A8,実績!$AD$6:$AD$505,"&gt;"&amp;$A8,実績!$AE$6:$AE$505,"○")&gt;0,1,0))</f>
        <v/>
      </c>
      <c r="CC8">
        <f>IF(CC$4=0,0,IF(COUNTIFS(実績!$W$6:$W$505,CC$3,実績!$AC$6:$AC$505,"&lt;="&amp;$A8,実績!$AD$6:$AD$505,"&gt;"&amp;$A8,実績!$AE$6:$AE$505,"○")&gt;0,1,0))</f>
        <v/>
      </c>
      <c r="CD8">
        <f>IF(CD$4=0,0,IF(COUNTIFS(実績!$W$6:$W$505,CD$3,実績!$AC$6:$AC$505,"&lt;="&amp;$A8,実績!$AD$6:$AD$505,"&gt;"&amp;$A8,実績!$AE$6:$AE$505,"○")&gt;0,1,0))</f>
        <v/>
      </c>
      <c r="CE8">
        <f>IF(CE$4=0,0,IF(COUNTIFS(実績!$W$6:$W$505,CE$3,実績!$AC$6:$AC$505,"&lt;="&amp;$A8,実績!$AD$6:$AD$505,"&gt;"&amp;$A8,実績!$AE$6:$AE$505,"○")&gt;0,1,0))</f>
        <v/>
      </c>
      <c r="CF8">
        <f>IF(CF$4=0,0,IF(COUNTIFS(実績!$W$6:$W$505,CF$3,実績!$AC$6:$AC$505,"&lt;="&amp;$A8,実績!$AD$6:$AD$505,"&gt;"&amp;$A8,実績!$AE$6:$AE$505,"○")&gt;0,1,0))</f>
        <v/>
      </c>
      <c r="CG8">
        <f>IF(CG$4=0,0,IF(COUNTIFS(実績!$W$6:$W$505,CG$3,実績!$AC$6:$AC$505,"&lt;="&amp;$A8,実績!$AD$6:$AD$505,"&gt;"&amp;$A8,実績!$AE$6:$AE$505,"○")&gt;0,1,0))</f>
        <v/>
      </c>
      <c r="CH8">
        <f>IF(CH$4=0,0,IF(COUNTIFS(実績!$W$6:$W$505,CH$3,実績!$AC$6:$AC$505,"&lt;="&amp;$A8,実績!$AD$6:$AD$505,"&gt;"&amp;$A8,実績!$AE$6:$AE$505,"○")&gt;0,1,0))</f>
        <v/>
      </c>
      <c r="CI8">
        <f>IF(CI$4=0,0,IF(COUNTIFS(実績!$W$6:$W$505,CI$3,実績!$AC$6:$AC$505,"&lt;="&amp;$A8,実績!$AD$6:$AD$505,"&gt;"&amp;$A8,実績!$AE$6:$AE$505,"○")&gt;0,1,0))</f>
        <v/>
      </c>
      <c r="CJ8">
        <f>IF(CJ$4=0,0,IF(COUNTIFS(実績!$W$6:$W$505,CJ$3,実績!$AC$6:$AC$505,"&lt;="&amp;$A8,実績!$AD$6:$AD$505,"&gt;"&amp;$A8,実績!$AE$6:$AE$505,"○")&gt;0,1,0))</f>
        <v/>
      </c>
      <c r="CK8">
        <f>IF(CK$4=0,0,IF(COUNTIFS(実績!$W$6:$W$505,CK$3,実績!$AC$6:$AC$505,"&lt;="&amp;$A8,実績!$AD$6:$AD$505,"&gt;"&amp;$A8,実績!$AE$6:$AE$505,"○")&gt;0,1,0))</f>
        <v/>
      </c>
      <c r="CL8">
        <f>IF(CL$4=0,0,IF(COUNTIFS(実績!$W$6:$W$505,CL$3,実績!$AC$6:$AC$505,"&lt;="&amp;$A8,実績!$AD$6:$AD$505,"&gt;"&amp;$A8,実績!$AE$6:$AE$505,"○")&gt;0,1,0))</f>
        <v/>
      </c>
      <c r="CM8">
        <f>IF(CM$4=0,0,IF(COUNTIFS(実績!$W$6:$W$505,CM$3,実績!$AC$6:$AC$505,"&lt;="&amp;$A8,実績!$AD$6:$AD$505,"&gt;"&amp;$A8,実績!$AE$6:$AE$505,"○")&gt;0,1,0))</f>
        <v/>
      </c>
      <c r="CN8">
        <f>IF(CN$4=0,0,IF(COUNTIFS(実績!$W$6:$W$505,CN$3,実績!$AC$6:$AC$505,"&lt;="&amp;$A8,実績!$AD$6:$AD$505,"&gt;"&amp;$A8,実績!$AE$6:$AE$505,"○")&gt;0,1,0))</f>
        <v/>
      </c>
      <c r="CO8">
        <f>IF(CO$4=0,0,IF(COUNTIFS(実績!$W$6:$W$505,CO$3,実績!$AC$6:$AC$505,"&lt;="&amp;$A8,実績!$AD$6:$AD$505,"&gt;"&amp;$A8,実績!$AE$6:$AE$505,"○")&gt;0,1,0))</f>
        <v/>
      </c>
      <c r="CP8">
        <f>IF(CP$4=0,0,IF(COUNTIFS(実績!$W$6:$W$505,CP$3,実績!$AC$6:$AC$505,"&lt;="&amp;$A8,実績!$AD$6:$AD$505,"&gt;"&amp;$A8,実績!$AE$6:$AE$505,"○")&gt;0,1,0))</f>
        <v/>
      </c>
      <c r="CQ8">
        <f>IF(CQ$4=0,0,IF(COUNTIFS(実績!$W$6:$W$505,CQ$3,実績!$AC$6:$AC$505,"&lt;="&amp;$A8,実績!$AD$6:$AD$505,"&gt;"&amp;$A8,実績!$AE$6:$AE$505,"○")&gt;0,1,0))</f>
        <v/>
      </c>
      <c r="CR8">
        <f>IF(CR$4=0,0,IF(COUNTIFS(実績!$W$6:$W$505,CR$3,実績!$AC$6:$AC$505,"&lt;="&amp;$A8,実績!$AD$6:$AD$505,"&gt;"&amp;$A8,実績!$AE$6:$AE$505,"○")&gt;0,1,0))</f>
        <v/>
      </c>
      <c r="CS8">
        <f>IF(CS$4=0,0,IF(COUNTIFS(実績!$W$6:$W$505,CS$3,実績!$AC$6:$AC$505,"&lt;="&amp;$A8,実績!$AD$6:$AD$505,"&gt;"&amp;$A8,実績!$AE$6:$AE$505,"○")&gt;0,1,0))</f>
        <v/>
      </c>
      <c r="CT8">
        <f>IF(CT$4=0,0,IF(COUNTIFS(実績!$W$6:$W$505,CT$3,実績!$AC$6:$AC$505,"&lt;="&amp;$A8,実績!$AD$6:$AD$505,"&gt;"&amp;$A8,実績!$AE$6:$AE$505,"○")&gt;0,1,0))</f>
        <v/>
      </c>
      <c r="CU8">
        <f>IF(CU$4=0,0,IF(COUNTIFS(実績!$W$6:$W$505,CU$3,実績!$AC$6:$AC$505,"&lt;="&amp;$A8,実績!$AD$6:$AD$505,"&gt;"&amp;$A8,実績!$AE$6:$AE$505,"○")&gt;0,1,0))</f>
        <v/>
      </c>
      <c r="CV8">
        <f>IF(CV$4=0,0,IF(COUNTIFS(実績!$W$6:$W$505,CV$3,実績!$AC$6:$AC$505,"&lt;="&amp;$A8,実績!$AD$6:$AD$505,"&gt;"&amp;$A8,実績!$AE$6:$AE$505,"○")&gt;0,1,0))</f>
        <v/>
      </c>
      <c r="CW8">
        <f>IF(CW$4=0,0,IF(COUNTIFS(実績!$W$6:$W$505,CW$3,実績!$AC$6:$AC$505,"&lt;="&amp;$A8,実績!$AD$6:$AD$505,"&gt;"&amp;$A8,実績!$AE$6:$AE$505,"○")&gt;0,1,0))</f>
        <v/>
      </c>
      <c r="CX8">
        <f>IF(CX$4=0,0,IF(COUNTIFS(実績!$W$6:$W$505,CX$3,実績!$AC$6:$AC$505,"&lt;="&amp;$A8,実績!$AD$6:$AD$505,"&gt;"&amp;$A8,実績!$AE$6:$AE$505,"○")&gt;0,1,0))</f>
        <v/>
      </c>
      <c r="CY8">
        <f>IF(CY$4=0,0,IF(COUNTIFS(実績!$W$6:$W$505,CY$3,実績!$AC$6:$AC$505,"&lt;="&amp;$A8,実績!$AD$6:$AD$505,"&gt;"&amp;$A8,実績!$AE$6:$AE$505,"○")&gt;0,1,0))</f>
        <v/>
      </c>
      <c r="CZ8">
        <f>IF(CZ$4=0,0,IF(COUNTIFS(実績!$W$6:$W$505,CZ$3,実績!$AC$6:$AC$505,"&lt;="&amp;$A8,実績!$AD$6:$AD$505,"&gt;"&amp;$A8,実績!$AE$6:$AE$505,"○")&gt;0,1,0))</f>
        <v/>
      </c>
      <c r="DA8">
        <f>IF(DA$4=0,0,IF(COUNTIFS(実績!$W$6:$W$505,DA$3,実績!$AC$6:$AC$505,"&lt;="&amp;$A8,実績!$AD$6:$AD$505,"&gt;"&amp;$A8,実績!$AE$6:$AE$505,"○")&gt;0,1,0))</f>
        <v/>
      </c>
      <c r="DB8">
        <f>IF(DB$4=0,0,IF(COUNTIFS(実績!$W$6:$W$505,DB$3,実績!$AC$6:$AC$505,"&lt;="&amp;$A8,実績!$AD$6:$AD$505,"&gt;"&amp;$A8,実績!$AE$6:$AE$505,"○")&gt;0,1,0))</f>
        <v/>
      </c>
      <c r="DC8">
        <f>IF(DC$4=0,0,IF(COUNTIFS(実績!$W$6:$W$505,DC$3,実績!$AC$6:$AC$505,"&lt;="&amp;$A8,実績!$AD$6:$AD$505,"&gt;"&amp;$A8,実績!$AE$6:$AE$505,"○")&gt;0,1,0))</f>
        <v/>
      </c>
      <c r="DD8">
        <f>IF(DD$4=0,0,IF(COUNTIFS(実績!$W$6:$W$505,DD$3,実績!$AC$6:$AC$505,"&lt;="&amp;$A8,実績!$AD$6:$AD$505,"&gt;"&amp;$A8,実績!$AE$6:$AE$505,"○")&gt;0,1,0))</f>
        <v/>
      </c>
      <c r="DE8">
        <f>IF(DE$4=0,0,IF(COUNTIFS(実績!$W$6:$W$505,DE$3,実績!$AC$6:$AC$505,"&lt;="&amp;$A8,実績!$AD$6:$AD$505,"&gt;"&amp;$A8,実績!$AE$6:$AE$505,"○")&gt;0,1,0))</f>
        <v/>
      </c>
      <c r="DF8">
        <f>IF(DF$4=0,0,IF(COUNTIFS(実績!$W$6:$W$505,DF$3,実績!$AC$6:$AC$505,"&lt;="&amp;$A8,実績!$AD$6:$AD$505,"&gt;"&amp;$A8,実績!$AE$6:$AE$505,"○")&gt;0,1,0))</f>
        <v/>
      </c>
      <c r="DG8">
        <f>IF(DG$4=0,0,IF(COUNTIFS(実績!$W$6:$W$505,DG$3,実績!$AC$6:$AC$505,"&lt;="&amp;$A8,実績!$AD$6:$AD$505,"&gt;"&amp;$A8,実績!$AE$6:$AE$505,"○")&gt;0,1,0))</f>
        <v/>
      </c>
      <c r="DH8">
        <f>IF(DH$4=0,0,IF(COUNTIFS(実績!$W$6:$W$505,DH$3,実績!$AC$6:$AC$505,"&lt;="&amp;$A8,実績!$AD$6:$AD$505,"&gt;"&amp;$A8,実績!$AE$6:$AE$505,"○")&gt;0,1,0))</f>
        <v/>
      </c>
      <c r="DI8">
        <f>IF(DI$4=0,0,IF(COUNTIFS(実績!$W$6:$W$505,DI$3,実績!$AC$6:$AC$505,"&lt;="&amp;$A8,実績!$AD$6:$AD$505,"&gt;"&amp;$A8,実績!$AE$6:$AE$505,"○")&gt;0,1,0))</f>
        <v/>
      </c>
      <c r="DJ8">
        <f>IF(DJ$4=0,0,IF(COUNTIFS(実績!$W$6:$W$505,DJ$3,実績!$AC$6:$AC$505,"&lt;="&amp;$A8,実績!$AD$6:$AD$505,"&gt;"&amp;$A8,実績!$AE$6:$AE$505,"○")&gt;0,1,0))</f>
        <v/>
      </c>
      <c r="DK8">
        <f>IF(DK$4=0,0,IF(COUNTIFS(実績!$W$6:$W$505,DK$3,実績!$AC$6:$AC$505,"&lt;="&amp;$A8,実績!$AD$6:$AD$505,"&gt;"&amp;$A8,実績!$AE$6:$AE$505,"○")&gt;0,1,0))</f>
        <v/>
      </c>
      <c r="DL8">
        <f>IF(DL$4=0,0,IF(COUNTIFS(実績!$W$6:$W$505,DL$3,実績!$AC$6:$AC$505,"&lt;="&amp;$A8,実績!$AD$6:$AD$505,"&gt;"&amp;$A8,実績!$AE$6:$AE$505,"○")&gt;0,1,0))</f>
        <v/>
      </c>
      <c r="DM8">
        <f>IF(DM$4=0,0,IF(COUNTIFS(実績!$W$6:$W$505,DM$3,実績!$AC$6:$AC$505,"&lt;="&amp;$A8,実績!$AD$6:$AD$505,"&gt;"&amp;$A8,実績!$AE$6:$AE$505,"○")&gt;0,1,0))</f>
        <v/>
      </c>
      <c r="DN8">
        <f>IF(DN$4=0,0,IF(COUNTIFS(実績!$W$6:$W$505,DN$3,実績!$AC$6:$AC$505,"&lt;="&amp;$A8,実績!$AD$6:$AD$505,"&gt;"&amp;$A8,実績!$AE$6:$AE$505,"○")&gt;0,1,0))</f>
        <v/>
      </c>
      <c r="DO8">
        <f>IF(DO$4=0,0,IF(COUNTIFS(実績!$W$6:$W$505,DO$3,実績!$AC$6:$AC$505,"&lt;="&amp;$A8,実績!$AD$6:$AD$505,"&gt;"&amp;$A8,実績!$AE$6:$AE$505,"○")&gt;0,1,0))</f>
        <v/>
      </c>
      <c r="DP8">
        <f>IF(DP$4=0,0,IF(COUNTIFS(実績!$W$6:$W$505,DP$3,実績!$AC$6:$AC$505,"&lt;="&amp;$A8,実績!$AD$6:$AD$505,"&gt;"&amp;$A8,実績!$AE$6:$AE$505,"○")&gt;0,1,0))</f>
        <v/>
      </c>
      <c r="DQ8">
        <f>IF(DQ$4=0,0,IF(COUNTIFS(実績!$W$6:$W$505,DQ$3,実績!$AC$6:$AC$505,"&lt;="&amp;$A8,実績!$AD$6:$AD$505,"&gt;"&amp;$A8,実績!$AE$6:$AE$505,"○")&gt;0,1,0))</f>
        <v/>
      </c>
      <c r="DR8">
        <f>IF(DR$4=0,0,IF(COUNTIFS(実績!$W$6:$W$505,DR$3,実績!$AC$6:$AC$505,"&lt;="&amp;$A8,実績!$AD$6:$AD$505,"&gt;"&amp;$A8,実績!$AE$6:$AE$505,"○")&gt;0,1,0))</f>
        <v/>
      </c>
      <c r="DS8">
        <f>SUM(C8:DR8)</f>
        <v/>
      </c>
      <c r="DT8">
        <f>SUMPRODUCT((実績!$C$6:$C$505="○")*ISNUMBER(実績!$AF$6:$AF$505)*(実績!$AF$6:$AF$505&lt;=$A8)*(実績!$AG$6:$AG$505&gt;$A8))</f>
        <v/>
      </c>
      <c r="DU8">
        <f>SUMIF($C$2:$DR$2,"製鉄曳船",C8:DR8)</f>
        <v/>
      </c>
      <c r="DV8">
        <f>SUMIF($C$2:$DR$2,"西日本海運",C8:DR8)</f>
        <v/>
      </c>
    </row>
    <row r="9">
      <c r="A9" t="n">
        <v>15</v>
      </c>
      <c r="B9" s="29">
        <f>A9/1440</f>
        <v/>
      </c>
      <c r="C9">
        <f>IF(C$4=0,0,IF(COUNTIFS(実績!$W$6:$W$505,C$3,実績!$AC$6:$AC$505,"&lt;="&amp;$A9,実績!$AD$6:$AD$505,"&gt;"&amp;$A9,実績!$AE$6:$AE$505,"○")&gt;0,1,0))</f>
        <v/>
      </c>
      <c r="D9">
        <f>IF(D$4=0,0,IF(COUNTIFS(実績!$W$6:$W$505,D$3,実績!$AC$6:$AC$505,"&lt;="&amp;$A9,実績!$AD$6:$AD$505,"&gt;"&amp;$A9,実績!$AE$6:$AE$505,"○")&gt;0,1,0))</f>
        <v/>
      </c>
      <c r="E9">
        <f>IF(E$4=0,0,IF(COUNTIFS(実績!$W$6:$W$505,E$3,実績!$AC$6:$AC$505,"&lt;="&amp;$A9,実績!$AD$6:$AD$505,"&gt;"&amp;$A9,実績!$AE$6:$AE$505,"○")&gt;0,1,0))</f>
        <v/>
      </c>
      <c r="F9">
        <f>IF(F$4=0,0,IF(COUNTIFS(実績!$W$6:$W$505,F$3,実績!$AC$6:$AC$505,"&lt;="&amp;$A9,実績!$AD$6:$AD$505,"&gt;"&amp;$A9,実績!$AE$6:$AE$505,"○")&gt;0,1,0))</f>
        <v/>
      </c>
      <c r="G9">
        <f>IF(G$4=0,0,IF(COUNTIFS(実績!$W$6:$W$505,G$3,実績!$AC$6:$AC$505,"&lt;="&amp;$A9,実績!$AD$6:$AD$505,"&gt;"&amp;$A9,実績!$AE$6:$AE$505,"○")&gt;0,1,0))</f>
        <v/>
      </c>
      <c r="H9">
        <f>IF(H$4=0,0,IF(COUNTIFS(実績!$W$6:$W$505,H$3,実績!$AC$6:$AC$505,"&lt;="&amp;$A9,実績!$AD$6:$AD$505,"&gt;"&amp;$A9,実績!$AE$6:$AE$505,"○")&gt;0,1,0))</f>
        <v/>
      </c>
      <c r="I9">
        <f>IF(I$4=0,0,IF(COUNTIFS(実績!$W$6:$W$505,I$3,実績!$AC$6:$AC$505,"&lt;="&amp;$A9,実績!$AD$6:$AD$505,"&gt;"&amp;$A9,実績!$AE$6:$AE$505,"○")&gt;0,1,0))</f>
        <v/>
      </c>
      <c r="J9">
        <f>IF(J$4=0,0,IF(COUNTIFS(実績!$W$6:$W$505,J$3,実績!$AC$6:$AC$505,"&lt;="&amp;$A9,実績!$AD$6:$AD$505,"&gt;"&amp;$A9,実績!$AE$6:$AE$505,"○")&gt;0,1,0))</f>
        <v/>
      </c>
      <c r="K9">
        <f>IF(K$4=0,0,IF(COUNTIFS(実績!$W$6:$W$505,K$3,実績!$AC$6:$AC$505,"&lt;="&amp;$A9,実績!$AD$6:$AD$505,"&gt;"&amp;$A9,実績!$AE$6:$AE$505,"○")&gt;0,1,0))</f>
        <v/>
      </c>
      <c r="L9">
        <f>IF(L$4=0,0,IF(COUNTIFS(実績!$W$6:$W$505,L$3,実績!$AC$6:$AC$505,"&lt;="&amp;$A9,実績!$AD$6:$AD$505,"&gt;"&amp;$A9,実績!$AE$6:$AE$505,"○")&gt;0,1,0))</f>
        <v/>
      </c>
      <c r="M9">
        <f>IF(M$4=0,0,IF(COUNTIFS(実績!$W$6:$W$505,M$3,実績!$AC$6:$AC$505,"&lt;="&amp;$A9,実績!$AD$6:$AD$505,"&gt;"&amp;$A9,実績!$AE$6:$AE$505,"○")&gt;0,1,0))</f>
        <v/>
      </c>
      <c r="N9">
        <f>IF(N$4=0,0,IF(COUNTIFS(実績!$W$6:$W$505,N$3,実績!$AC$6:$AC$505,"&lt;="&amp;$A9,実績!$AD$6:$AD$505,"&gt;"&amp;$A9,実績!$AE$6:$AE$505,"○")&gt;0,1,0))</f>
        <v/>
      </c>
      <c r="O9">
        <f>IF(O$4=0,0,IF(COUNTIFS(実績!$W$6:$W$505,O$3,実績!$AC$6:$AC$505,"&lt;="&amp;$A9,実績!$AD$6:$AD$505,"&gt;"&amp;$A9,実績!$AE$6:$AE$505,"○")&gt;0,1,0))</f>
        <v/>
      </c>
      <c r="P9">
        <f>IF(P$4=0,0,IF(COUNTIFS(実績!$W$6:$W$505,P$3,実績!$AC$6:$AC$505,"&lt;="&amp;$A9,実績!$AD$6:$AD$505,"&gt;"&amp;$A9,実績!$AE$6:$AE$505,"○")&gt;0,1,0))</f>
        <v/>
      </c>
      <c r="Q9">
        <f>IF(Q$4=0,0,IF(COUNTIFS(実績!$W$6:$W$505,Q$3,実績!$AC$6:$AC$505,"&lt;="&amp;$A9,実績!$AD$6:$AD$505,"&gt;"&amp;$A9,実績!$AE$6:$AE$505,"○")&gt;0,1,0))</f>
        <v/>
      </c>
      <c r="R9">
        <f>IF(R$4=0,0,IF(COUNTIFS(実績!$W$6:$W$505,R$3,実績!$AC$6:$AC$505,"&lt;="&amp;$A9,実績!$AD$6:$AD$505,"&gt;"&amp;$A9,実績!$AE$6:$AE$505,"○")&gt;0,1,0))</f>
        <v/>
      </c>
      <c r="S9">
        <f>IF(S$4=0,0,IF(COUNTIFS(実績!$W$6:$W$505,S$3,実績!$AC$6:$AC$505,"&lt;="&amp;$A9,実績!$AD$6:$AD$505,"&gt;"&amp;$A9,実績!$AE$6:$AE$505,"○")&gt;0,1,0))</f>
        <v/>
      </c>
      <c r="T9">
        <f>IF(T$4=0,0,IF(COUNTIFS(実績!$W$6:$W$505,T$3,実績!$AC$6:$AC$505,"&lt;="&amp;$A9,実績!$AD$6:$AD$505,"&gt;"&amp;$A9,実績!$AE$6:$AE$505,"○")&gt;0,1,0))</f>
        <v/>
      </c>
      <c r="U9">
        <f>IF(U$4=0,0,IF(COUNTIFS(実績!$W$6:$W$505,U$3,実績!$AC$6:$AC$505,"&lt;="&amp;$A9,実績!$AD$6:$AD$505,"&gt;"&amp;$A9,実績!$AE$6:$AE$505,"○")&gt;0,1,0))</f>
        <v/>
      </c>
      <c r="V9">
        <f>IF(V$4=0,0,IF(COUNTIFS(実績!$W$6:$W$505,V$3,実績!$AC$6:$AC$505,"&lt;="&amp;$A9,実績!$AD$6:$AD$505,"&gt;"&amp;$A9,実績!$AE$6:$AE$505,"○")&gt;0,1,0))</f>
        <v/>
      </c>
      <c r="W9">
        <f>IF(W$4=0,0,IF(COUNTIFS(実績!$W$6:$W$505,W$3,実績!$AC$6:$AC$505,"&lt;="&amp;$A9,実績!$AD$6:$AD$505,"&gt;"&amp;$A9,実績!$AE$6:$AE$505,"○")&gt;0,1,0))</f>
        <v/>
      </c>
      <c r="X9">
        <f>IF(X$4=0,0,IF(COUNTIFS(実績!$W$6:$W$505,X$3,実績!$AC$6:$AC$505,"&lt;="&amp;$A9,実績!$AD$6:$AD$505,"&gt;"&amp;$A9,実績!$AE$6:$AE$505,"○")&gt;0,1,0))</f>
        <v/>
      </c>
      <c r="Y9">
        <f>IF(Y$4=0,0,IF(COUNTIFS(実績!$W$6:$W$505,Y$3,実績!$AC$6:$AC$505,"&lt;="&amp;$A9,実績!$AD$6:$AD$505,"&gt;"&amp;$A9,実績!$AE$6:$AE$505,"○")&gt;0,1,0))</f>
        <v/>
      </c>
      <c r="Z9">
        <f>IF(Z$4=0,0,IF(COUNTIFS(実績!$W$6:$W$505,Z$3,実績!$AC$6:$AC$505,"&lt;="&amp;$A9,実績!$AD$6:$AD$505,"&gt;"&amp;$A9,実績!$AE$6:$AE$505,"○")&gt;0,1,0))</f>
        <v/>
      </c>
      <c r="AA9">
        <f>IF(AA$4=0,0,IF(COUNTIFS(実績!$W$6:$W$505,AA$3,実績!$AC$6:$AC$505,"&lt;="&amp;$A9,実績!$AD$6:$AD$505,"&gt;"&amp;$A9,実績!$AE$6:$AE$505,"○")&gt;0,1,0))</f>
        <v/>
      </c>
      <c r="AB9">
        <f>IF(AB$4=0,0,IF(COUNTIFS(実績!$W$6:$W$505,AB$3,実績!$AC$6:$AC$505,"&lt;="&amp;$A9,実績!$AD$6:$AD$505,"&gt;"&amp;$A9,実績!$AE$6:$AE$505,"○")&gt;0,1,0))</f>
        <v/>
      </c>
      <c r="AC9">
        <f>IF(AC$4=0,0,IF(COUNTIFS(実績!$W$6:$W$505,AC$3,実績!$AC$6:$AC$505,"&lt;="&amp;$A9,実績!$AD$6:$AD$505,"&gt;"&amp;$A9,実績!$AE$6:$AE$505,"○")&gt;0,1,0))</f>
        <v/>
      </c>
      <c r="AD9">
        <f>IF(AD$4=0,0,IF(COUNTIFS(実績!$W$6:$W$505,AD$3,実績!$AC$6:$AC$505,"&lt;="&amp;$A9,実績!$AD$6:$AD$505,"&gt;"&amp;$A9,実績!$AE$6:$AE$505,"○")&gt;0,1,0))</f>
        <v/>
      </c>
      <c r="AE9">
        <f>IF(AE$4=0,0,IF(COUNTIFS(実績!$W$6:$W$505,AE$3,実績!$AC$6:$AC$505,"&lt;="&amp;$A9,実績!$AD$6:$AD$505,"&gt;"&amp;$A9,実績!$AE$6:$AE$505,"○")&gt;0,1,0))</f>
        <v/>
      </c>
      <c r="AF9">
        <f>IF(AF$4=0,0,IF(COUNTIFS(実績!$W$6:$W$505,AF$3,実績!$AC$6:$AC$505,"&lt;="&amp;$A9,実績!$AD$6:$AD$505,"&gt;"&amp;$A9,実績!$AE$6:$AE$505,"○")&gt;0,1,0))</f>
        <v/>
      </c>
      <c r="AG9">
        <f>IF(AG$4=0,0,IF(COUNTIFS(実績!$W$6:$W$505,AG$3,実績!$AC$6:$AC$505,"&lt;="&amp;$A9,実績!$AD$6:$AD$505,"&gt;"&amp;$A9,実績!$AE$6:$AE$505,"○")&gt;0,1,0))</f>
        <v/>
      </c>
      <c r="AH9">
        <f>IF(AH$4=0,0,IF(COUNTIFS(実績!$W$6:$W$505,AH$3,実績!$AC$6:$AC$505,"&lt;="&amp;$A9,実績!$AD$6:$AD$505,"&gt;"&amp;$A9,実績!$AE$6:$AE$505,"○")&gt;0,1,0))</f>
        <v/>
      </c>
      <c r="AI9">
        <f>IF(AI$4=0,0,IF(COUNTIFS(実績!$W$6:$W$505,AI$3,実績!$AC$6:$AC$505,"&lt;="&amp;$A9,実績!$AD$6:$AD$505,"&gt;"&amp;$A9,実績!$AE$6:$AE$505,"○")&gt;0,1,0))</f>
        <v/>
      </c>
      <c r="AJ9">
        <f>IF(AJ$4=0,0,IF(COUNTIFS(実績!$W$6:$W$505,AJ$3,実績!$AC$6:$AC$505,"&lt;="&amp;$A9,実績!$AD$6:$AD$505,"&gt;"&amp;$A9,実績!$AE$6:$AE$505,"○")&gt;0,1,0))</f>
        <v/>
      </c>
      <c r="AK9">
        <f>IF(AK$4=0,0,IF(COUNTIFS(実績!$W$6:$W$505,AK$3,実績!$AC$6:$AC$505,"&lt;="&amp;$A9,実績!$AD$6:$AD$505,"&gt;"&amp;$A9,実績!$AE$6:$AE$505,"○")&gt;0,1,0))</f>
        <v/>
      </c>
      <c r="AL9">
        <f>IF(AL$4=0,0,IF(COUNTIFS(実績!$W$6:$W$505,AL$3,実績!$AC$6:$AC$505,"&lt;="&amp;$A9,実績!$AD$6:$AD$505,"&gt;"&amp;$A9,実績!$AE$6:$AE$505,"○")&gt;0,1,0))</f>
        <v/>
      </c>
      <c r="AM9">
        <f>IF(AM$4=0,0,IF(COUNTIFS(実績!$W$6:$W$505,AM$3,実績!$AC$6:$AC$505,"&lt;="&amp;$A9,実績!$AD$6:$AD$505,"&gt;"&amp;$A9,実績!$AE$6:$AE$505,"○")&gt;0,1,0))</f>
        <v/>
      </c>
      <c r="AN9">
        <f>IF(AN$4=0,0,IF(COUNTIFS(実績!$W$6:$W$505,AN$3,実績!$AC$6:$AC$505,"&lt;="&amp;$A9,実績!$AD$6:$AD$505,"&gt;"&amp;$A9,実績!$AE$6:$AE$505,"○")&gt;0,1,0))</f>
        <v/>
      </c>
      <c r="AO9">
        <f>IF(AO$4=0,0,IF(COUNTIFS(実績!$W$6:$W$505,AO$3,実績!$AC$6:$AC$505,"&lt;="&amp;$A9,実績!$AD$6:$AD$505,"&gt;"&amp;$A9,実績!$AE$6:$AE$505,"○")&gt;0,1,0))</f>
        <v/>
      </c>
      <c r="AP9">
        <f>IF(AP$4=0,0,IF(COUNTIFS(実績!$W$6:$W$505,AP$3,実績!$AC$6:$AC$505,"&lt;="&amp;$A9,実績!$AD$6:$AD$505,"&gt;"&amp;$A9,実績!$AE$6:$AE$505,"○")&gt;0,1,0))</f>
        <v/>
      </c>
      <c r="AQ9">
        <f>IF(AQ$4=0,0,IF(COUNTIFS(実績!$W$6:$W$505,AQ$3,実績!$AC$6:$AC$505,"&lt;="&amp;$A9,実績!$AD$6:$AD$505,"&gt;"&amp;$A9,実績!$AE$6:$AE$505,"○")&gt;0,1,0))</f>
        <v/>
      </c>
      <c r="AR9">
        <f>IF(AR$4=0,0,IF(COUNTIFS(実績!$W$6:$W$505,AR$3,実績!$AC$6:$AC$505,"&lt;="&amp;$A9,実績!$AD$6:$AD$505,"&gt;"&amp;$A9,実績!$AE$6:$AE$505,"○")&gt;0,1,0))</f>
        <v/>
      </c>
      <c r="AS9">
        <f>IF(AS$4=0,0,IF(COUNTIFS(実績!$W$6:$W$505,AS$3,実績!$AC$6:$AC$505,"&lt;="&amp;$A9,実績!$AD$6:$AD$505,"&gt;"&amp;$A9,実績!$AE$6:$AE$505,"○")&gt;0,1,0))</f>
        <v/>
      </c>
      <c r="AT9">
        <f>IF(AT$4=0,0,IF(COUNTIFS(実績!$W$6:$W$505,AT$3,実績!$AC$6:$AC$505,"&lt;="&amp;$A9,実績!$AD$6:$AD$505,"&gt;"&amp;$A9,実績!$AE$6:$AE$505,"○")&gt;0,1,0))</f>
        <v/>
      </c>
      <c r="AU9">
        <f>IF(AU$4=0,0,IF(COUNTIFS(実績!$W$6:$W$505,AU$3,実績!$AC$6:$AC$505,"&lt;="&amp;$A9,実績!$AD$6:$AD$505,"&gt;"&amp;$A9,実績!$AE$6:$AE$505,"○")&gt;0,1,0))</f>
        <v/>
      </c>
      <c r="AV9">
        <f>IF(AV$4=0,0,IF(COUNTIFS(実績!$W$6:$W$505,AV$3,実績!$AC$6:$AC$505,"&lt;="&amp;$A9,実績!$AD$6:$AD$505,"&gt;"&amp;$A9,実績!$AE$6:$AE$505,"○")&gt;0,1,0))</f>
        <v/>
      </c>
      <c r="AW9">
        <f>IF(AW$4=0,0,IF(COUNTIFS(実績!$W$6:$W$505,AW$3,実績!$AC$6:$AC$505,"&lt;="&amp;$A9,実績!$AD$6:$AD$505,"&gt;"&amp;$A9,実績!$AE$6:$AE$505,"○")&gt;0,1,0))</f>
        <v/>
      </c>
      <c r="AX9">
        <f>IF(AX$4=0,0,IF(COUNTIFS(実績!$W$6:$W$505,AX$3,実績!$AC$6:$AC$505,"&lt;="&amp;$A9,実績!$AD$6:$AD$505,"&gt;"&amp;$A9,実績!$AE$6:$AE$505,"○")&gt;0,1,0))</f>
        <v/>
      </c>
      <c r="AY9">
        <f>IF(AY$4=0,0,IF(COUNTIFS(実績!$W$6:$W$505,AY$3,実績!$AC$6:$AC$505,"&lt;="&amp;$A9,実績!$AD$6:$AD$505,"&gt;"&amp;$A9,実績!$AE$6:$AE$505,"○")&gt;0,1,0))</f>
        <v/>
      </c>
      <c r="AZ9">
        <f>IF(AZ$4=0,0,IF(COUNTIFS(実績!$W$6:$W$505,AZ$3,実績!$AC$6:$AC$505,"&lt;="&amp;$A9,実績!$AD$6:$AD$505,"&gt;"&amp;$A9,実績!$AE$6:$AE$505,"○")&gt;0,1,0))</f>
        <v/>
      </c>
      <c r="BA9">
        <f>IF(BA$4=0,0,IF(COUNTIFS(実績!$W$6:$W$505,BA$3,実績!$AC$6:$AC$505,"&lt;="&amp;$A9,実績!$AD$6:$AD$505,"&gt;"&amp;$A9,実績!$AE$6:$AE$505,"○")&gt;0,1,0))</f>
        <v/>
      </c>
      <c r="BB9">
        <f>IF(BB$4=0,0,IF(COUNTIFS(実績!$W$6:$W$505,BB$3,実績!$AC$6:$AC$505,"&lt;="&amp;$A9,実績!$AD$6:$AD$505,"&gt;"&amp;$A9,実績!$AE$6:$AE$505,"○")&gt;0,1,0))</f>
        <v/>
      </c>
      <c r="BC9">
        <f>IF(BC$4=0,0,IF(COUNTIFS(実績!$W$6:$W$505,BC$3,実績!$AC$6:$AC$505,"&lt;="&amp;$A9,実績!$AD$6:$AD$505,"&gt;"&amp;$A9,実績!$AE$6:$AE$505,"○")&gt;0,1,0))</f>
        <v/>
      </c>
      <c r="BD9">
        <f>IF(BD$4=0,0,IF(COUNTIFS(実績!$W$6:$W$505,BD$3,実績!$AC$6:$AC$505,"&lt;="&amp;$A9,実績!$AD$6:$AD$505,"&gt;"&amp;$A9,実績!$AE$6:$AE$505,"○")&gt;0,1,0))</f>
        <v/>
      </c>
      <c r="BE9">
        <f>IF(BE$4=0,0,IF(COUNTIFS(実績!$W$6:$W$505,BE$3,実績!$AC$6:$AC$505,"&lt;="&amp;$A9,実績!$AD$6:$AD$505,"&gt;"&amp;$A9,実績!$AE$6:$AE$505,"○")&gt;0,1,0))</f>
        <v/>
      </c>
      <c r="BF9">
        <f>IF(BF$4=0,0,IF(COUNTIFS(実績!$W$6:$W$505,BF$3,実績!$AC$6:$AC$505,"&lt;="&amp;$A9,実績!$AD$6:$AD$505,"&gt;"&amp;$A9,実績!$AE$6:$AE$505,"○")&gt;0,1,0))</f>
        <v/>
      </c>
      <c r="BG9">
        <f>IF(BG$4=0,0,IF(COUNTIFS(実績!$W$6:$W$505,BG$3,実績!$AC$6:$AC$505,"&lt;="&amp;$A9,実績!$AD$6:$AD$505,"&gt;"&amp;$A9,実績!$AE$6:$AE$505,"○")&gt;0,1,0))</f>
        <v/>
      </c>
      <c r="BH9">
        <f>IF(BH$4=0,0,IF(COUNTIFS(実績!$W$6:$W$505,BH$3,実績!$AC$6:$AC$505,"&lt;="&amp;$A9,実績!$AD$6:$AD$505,"&gt;"&amp;$A9,実績!$AE$6:$AE$505,"○")&gt;0,1,0))</f>
        <v/>
      </c>
      <c r="BI9">
        <f>IF(BI$4=0,0,IF(COUNTIFS(実績!$W$6:$W$505,BI$3,実績!$AC$6:$AC$505,"&lt;="&amp;$A9,実績!$AD$6:$AD$505,"&gt;"&amp;$A9,実績!$AE$6:$AE$505,"○")&gt;0,1,0))</f>
        <v/>
      </c>
      <c r="BJ9">
        <f>IF(BJ$4=0,0,IF(COUNTIFS(実績!$W$6:$W$505,BJ$3,実績!$AC$6:$AC$505,"&lt;="&amp;$A9,実績!$AD$6:$AD$505,"&gt;"&amp;$A9,実績!$AE$6:$AE$505,"○")&gt;0,1,0))</f>
        <v/>
      </c>
      <c r="BK9">
        <f>IF(BK$4=0,0,IF(COUNTIFS(実績!$W$6:$W$505,BK$3,実績!$AC$6:$AC$505,"&lt;="&amp;$A9,実績!$AD$6:$AD$505,"&gt;"&amp;$A9,実績!$AE$6:$AE$505,"○")&gt;0,1,0))</f>
        <v/>
      </c>
      <c r="BL9">
        <f>IF(BL$4=0,0,IF(COUNTIFS(実績!$W$6:$W$505,BL$3,実績!$AC$6:$AC$505,"&lt;="&amp;$A9,実績!$AD$6:$AD$505,"&gt;"&amp;$A9,実績!$AE$6:$AE$505,"○")&gt;0,1,0))</f>
        <v/>
      </c>
      <c r="BM9">
        <f>IF(BM$4=0,0,IF(COUNTIFS(実績!$W$6:$W$505,BM$3,実績!$AC$6:$AC$505,"&lt;="&amp;$A9,実績!$AD$6:$AD$505,"&gt;"&amp;$A9,実績!$AE$6:$AE$505,"○")&gt;0,1,0))</f>
        <v/>
      </c>
      <c r="BN9">
        <f>IF(BN$4=0,0,IF(COUNTIFS(実績!$W$6:$W$505,BN$3,実績!$AC$6:$AC$505,"&lt;="&amp;$A9,実績!$AD$6:$AD$505,"&gt;"&amp;$A9,実績!$AE$6:$AE$505,"○")&gt;0,1,0))</f>
        <v/>
      </c>
      <c r="BO9">
        <f>IF(BO$4=0,0,IF(COUNTIFS(実績!$W$6:$W$505,BO$3,実績!$AC$6:$AC$505,"&lt;="&amp;$A9,実績!$AD$6:$AD$505,"&gt;"&amp;$A9,実績!$AE$6:$AE$505,"○")&gt;0,1,0))</f>
        <v/>
      </c>
      <c r="BP9">
        <f>IF(BP$4=0,0,IF(COUNTIFS(実績!$W$6:$W$505,BP$3,実績!$AC$6:$AC$505,"&lt;="&amp;$A9,実績!$AD$6:$AD$505,"&gt;"&amp;$A9,実績!$AE$6:$AE$505,"○")&gt;0,1,0))</f>
        <v/>
      </c>
      <c r="BQ9">
        <f>IF(BQ$4=0,0,IF(COUNTIFS(実績!$W$6:$W$505,BQ$3,実績!$AC$6:$AC$505,"&lt;="&amp;$A9,実績!$AD$6:$AD$505,"&gt;"&amp;$A9,実績!$AE$6:$AE$505,"○")&gt;0,1,0))</f>
        <v/>
      </c>
      <c r="BR9">
        <f>IF(BR$4=0,0,IF(COUNTIFS(実績!$W$6:$W$505,BR$3,実績!$AC$6:$AC$505,"&lt;="&amp;$A9,実績!$AD$6:$AD$505,"&gt;"&amp;$A9,実績!$AE$6:$AE$505,"○")&gt;0,1,0))</f>
        <v/>
      </c>
      <c r="BS9">
        <f>IF(BS$4=0,0,IF(COUNTIFS(実績!$W$6:$W$505,BS$3,実績!$AC$6:$AC$505,"&lt;="&amp;$A9,実績!$AD$6:$AD$505,"&gt;"&amp;$A9,実績!$AE$6:$AE$505,"○")&gt;0,1,0))</f>
        <v/>
      </c>
      <c r="BT9">
        <f>IF(BT$4=0,0,IF(COUNTIFS(実績!$W$6:$W$505,BT$3,実績!$AC$6:$AC$505,"&lt;="&amp;$A9,実績!$AD$6:$AD$505,"&gt;"&amp;$A9,実績!$AE$6:$AE$505,"○")&gt;0,1,0))</f>
        <v/>
      </c>
      <c r="BU9">
        <f>IF(BU$4=0,0,IF(COUNTIFS(実績!$W$6:$W$505,BU$3,実績!$AC$6:$AC$505,"&lt;="&amp;$A9,実績!$AD$6:$AD$505,"&gt;"&amp;$A9,実績!$AE$6:$AE$505,"○")&gt;0,1,0))</f>
        <v/>
      </c>
      <c r="BV9">
        <f>IF(BV$4=0,0,IF(COUNTIFS(実績!$W$6:$W$505,BV$3,実績!$AC$6:$AC$505,"&lt;="&amp;$A9,実績!$AD$6:$AD$505,"&gt;"&amp;$A9,実績!$AE$6:$AE$505,"○")&gt;0,1,0))</f>
        <v/>
      </c>
      <c r="BW9">
        <f>IF(BW$4=0,0,IF(COUNTIFS(実績!$W$6:$W$505,BW$3,実績!$AC$6:$AC$505,"&lt;="&amp;$A9,実績!$AD$6:$AD$505,"&gt;"&amp;$A9,実績!$AE$6:$AE$505,"○")&gt;0,1,0))</f>
        <v/>
      </c>
      <c r="BX9">
        <f>IF(BX$4=0,0,IF(COUNTIFS(実績!$W$6:$W$505,BX$3,実績!$AC$6:$AC$505,"&lt;="&amp;$A9,実績!$AD$6:$AD$505,"&gt;"&amp;$A9,実績!$AE$6:$AE$505,"○")&gt;0,1,0))</f>
        <v/>
      </c>
      <c r="BY9">
        <f>IF(BY$4=0,0,IF(COUNTIFS(実績!$W$6:$W$505,BY$3,実績!$AC$6:$AC$505,"&lt;="&amp;$A9,実績!$AD$6:$AD$505,"&gt;"&amp;$A9,実績!$AE$6:$AE$505,"○")&gt;0,1,0))</f>
        <v/>
      </c>
      <c r="BZ9">
        <f>IF(BZ$4=0,0,IF(COUNTIFS(実績!$W$6:$W$505,BZ$3,実績!$AC$6:$AC$505,"&lt;="&amp;$A9,実績!$AD$6:$AD$505,"&gt;"&amp;$A9,実績!$AE$6:$AE$505,"○")&gt;0,1,0))</f>
        <v/>
      </c>
      <c r="CA9">
        <f>IF(CA$4=0,0,IF(COUNTIFS(実績!$W$6:$W$505,CA$3,実績!$AC$6:$AC$505,"&lt;="&amp;$A9,実績!$AD$6:$AD$505,"&gt;"&amp;$A9,実績!$AE$6:$AE$505,"○")&gt;0,1,0))</f>
        <v/>
      </c>
      <c r="CB9">
        <f>IF(CB$4=0,0,IF(COUNTIFS(実績!$W$6:$W$505,CB$3,実績!$AC$6:$AC$505,"&lt;="&amp;$A9,実績!$AD$6:$AD$505,"&gt;"&amp;$A9,実績!$AE$6:$AE$505,"○")&gt;0,1,0))</f>
        <v/>
      </c>
      <c r="CC9">
        <f>IF(CC$4=0,0,IF(COUNTIFS(実績!$W$6:$W$505,CC$3,実績!$AC$6:$AC$505,"&lt;="&amp;$A9,実績!$AD$6:$AD$505,"&gt;"&amp;$A9,実績!$AE$6:$AE$505,"○")&gt;0,1,0))</f>
        <v/>
      </c>
      <c r="CD9">
        <f>IF(CD$4=0,0,IF(COUNTIFS(実績!$W$6:$W$505,CD$3,実績!$AC$6:$AC$505,"&lt;="&amp;$A9,実績!$AD$6:$AD$505,"&gt;"&amp;$A9,実績!$AE$6:$AE$505,"○")&gt;0,1,0))</f>
        <v/>
      </c>
      <c r="CE9">
        <f>IF(CE$4=0,0,IF(COUNTIFS(実績!$W$6:$W$505,CE$3,実績!$AC$6:$AC$505,"&lt;="&amp;$A9,実績!$AD$6:$AD$505,"&gt;"&amp;$A9,実績!$AE$6:$AE$505,"○")&gt;0,1,0))</f>
        <v/>
      </c>
      <c r="CF9">
        <f>IF(CF$4=0,0,IF(COUNTIFS(実績!$W$6:$W$505,CF$3,実績!$AC$6:$AC$505,"&lt;="&amp;$A9,実績!$AD$6:$AD$505,"&gt;"&amp;$A9,実績!$AE$6:$AE$505,"○")&gt;0,1,0))</f>
        <v/>
      </c>
      <c r="CG9">
        <f>IF(CG$4=0,0,IF(COUNTIFS(実績!$W$6:$W$505,CG$3,実績!$AC$6:$AC$505,"&lt;="&amp;$A9,実績!$AD$6:$AD$505,"&gt;"&amp;$A9,実績!$AE$6:$AE$505,"○")&gt;0,1,0))</f>
        <v/>
      </c>
      <c r="CH9">
        <f>IF(CH$4=0,0,IF(COUNTIFS(実績!$W$6:$W$505,CH$3,実績!$AC$6:$AC$505,"&lt;="&amp;$A9,実績!$AD$6:$AD$505,"&gt;"&amp;$A9,実績!$AE$6:$AE$505,"○")&gt;0,1,0))</f>
        <v/>
      </c>
      <c r="CI9">
        <f>IF(CI$4=0,0,IF(COUNTIFS(実績!$W$6:$W$505,CI$3,実績!$AC$6:$AC$505,"&lt;="&amp;$A9,実績!$AD$6:$AD$505,"&gt;"&amp;$A9,実績!$AE$6:$AE$505,"○")&gt;0,1,0))</f>
        <v/>
      </c>
      <c r="CJ9">
        <f>IF(CJ$4=0,0,IF(COUNTIFS(実績!$W$6:$W$505,CJ$3,実績!$AC$6:$AC$505,"&lt;="&amp;$A9,実績!$AD$6:$AD$505,"&gt;"&amp;$A9,実績!$AE$6:$AE$505,"○")&gt;0,1,0))</f>
        <v/>
      </c>
      <c r="CK9">
        <f>IF(CK$4=0,0,IF(COUNTIFS(実績!$W$6:$W$505,CK$3,実績!$AC$6:$AC$505,"&lt;="&amp;$A9,実績!$AD$6:$AD$505,"&gt;"&amp;$A9,実績!$AE$6:$AE$505,"○")&gt;0,1,0))</f>
        <v/>
      </c>
      <c r="CL9">
        <f>IF(CL$4=0,0,IF(COUNTIFS(実績!$W$6:$W$505,CL$3,実績!$AC$6:$AC$505,"&lt;="&amp;$A9,実績!$AD$6:$AD$505,"&gt;"&amp;$A9,実績!$AE$6:$AE$505,"○")&gt;0,1,0))</f>
        <v/>
      </c>
      <c r="CM9">
        <f>IF(CM$4=0,0,IF(COUNTIFS(実績!$W$6:$W$505,CM$3,実績!$AC$6:$AC$505,"&lt;="&amp;$A9,実績!$AD$6:$AD$505,"&gt;"&amp;$A9,実績!$AE$6:$AE$505,"○")&gt;0,1,0))</f>
        <v/>
      </c>
      <c r="CN9">
        <f>IF(CN$4=0,0,IF(COUNTIFS(実績!$W$6:$W$505,CN$3,実績!$AC$6:$AC$505,"&lt;="&amp;$A9,実績!$AD$6:$AD$505,"&gt;"&amp;$A9,実績!$AE$6:$AE$505,"○")&gt;0,1,0))</f>
        <v/>
      </c>
      <c r="CO9">
        <f>IF(CO$4=0,0,IF(COUNTIFS(実績!$W$6:$W$505,CO$3,実績!$AC$6:$AC$505,"&lt;="&amp;$A9,実績!$AD$6:$AD$505,"&gt;"&amp;$A9,実績!$AE$6:$AE$505,"○")&gt;0,1,0))</f>
        <v/>
      </c>
      <c r="CP9">
        <f>IF(CP$4=0,0,IF(COUNTIFS(実績!$W$6:$W$505,CP$3,実績!$AC$6:$AC$505,"&lt;="&amp;$A9,実績!$AD$6:$AD$505,"&gt;"&amp;$A9,実績!$AE$6:$AE$505,"○")&gt;0,1,0))</f>
        <v/>
      </c>
      <c r="CQ9">
        <f>IF(CQ$4=0,0,IF(COUNTIFS(実績!$W$6:$W$505,CQ$3,実績!$AC$6:$AC$505,"&lt;="&amp;$A9,実績!$AD$6:$AD$505,"&gt;"&amp;$A9,実績!$AE$6:$AE$505,"○")&gt;0,1,0))</f>
        <v/>
      </c>
      <c r="CR9">
        <f>IF(CR$4=0,0,IF(COUNTIFS(実績!$W$6:$W$505,CR$3,実績!$AC$6:$AC$505,"&lt;="&amp;$A9,実績!$AD$6:$AD$505,"&gt;"&amp;$A9,実績!$AE$6:$AE$505,"○")&gt;0,1,0))</f>
        <v/>
      </c>
      <c r="CS9">
        <f>IF(CS$4=0,0,IF(COUNTIFS(実績!$W$6:$W$505,CS$3,実績!$AC$6:$AC$505,"&lt;="&amp;$A9,実績!$AD$6:$AD$505,"&gt;"&amp;$A9,実績!$AE$6:$AE$505,"○")&gt;0,1,0))</f>
        <v/>
      </c>
      <c r="CT9">
        <f>IF(CT$4=0,0,IF(COUNTIFS(実績!$W$6:$W$505,CT$3,実績!$AC$6:$AC$505,"&lt;="&amp;$A9,実績!$AD$6:$AD$505,"&gt;"&amp;$A9,実績!$AE$6:$AE$505,"○")&gt;0,1,0))</f>
        <v/>
      </c>
      <c r="CU9">
        <f>IF(CU$4=0,0,IF(COUNTIFS(実績!$W$6:$W$505,CU$3,実績!$AC$6:$AC$505,"&lt;="&amp;$A9,実績!$AD$6:$AD$505,"&gt;"&amp;$A9,実績!$AE$6:$AE$505,"○")&gt;0,1,0))</f>
        <v/>
      </c>
      <c r="CV9">
        <f>IF(CV$4=0,0,IF(COUNTIFS(実績!$W$6:$W$505,CV$3,実績!$AC$6:$AC$505,"&lt;="&amp;$A9,実績!$AD$6:$AD$505,"&gt;"&amp;$A9,実績!$AE$6:$AE$505,"○")&gt;0,1,0))</f>
        <v/>
      </c>
      <c r="CW9">
        <f>IF(CW$4=0,0,IF(COUNTIFS(実績!$W$6:$W$505,CW$3,実績!$AC$6:$AC$505,"&lt;="&amp;$A9,実績!$AD$6:$AD$505,"&gt;"&amp;$A9,実績!$AE$6:$AE$505,"○")&gt;0,1,0))</f>
        <v/>
      </c>
      <c r="CX9">
        <f>IF(CX$4=0,0,IF(COUNTIFS(実績!$W$6:$W$505,CX$3,実績!$AC$6:$AC$505,"&lt;="&amp;$A9,実績!$AD$6:$AD$505,"&gt;"&amp;$A9,実績!$AE$6:$AE$505,"○")&gt;0,1,0))</f>
        <v/>
      </c>
      <c r="CY9">
        <f>IF(CY$4=0,0,IF(COUNTIFS(実績!$W$6:$W$505,CY$3,実績!$AC$6:$AC$505,"&lt;="&amp;$A9,実績!$AD$6:$AD$505,"&gt;"&amp;$A9,実績!$AE$6:$AE$505,"○")&gt;0,1,0))</f>
        <v/>
      </c>
      <c r="CZ9">
        <f>IF(CZ$4=0,0,IF(COUNTIFS(実績!$W$6:$W$505,CZ$3,実績!$AC$6:$AC$505,"&lt;="&amp;$A9,実績!$AD$6:$AD$505,"&gt;"&amp;$A9,実績!$AE$6:$AE$505,"○")&gt;0,1,0))</f>
        <v/>
      </c>
      <c r="DA9">
        <f>IF(DA$4=0,0,IF(COUNTIFS(実績!$W$6:$W$505,DA$3,実績!$AC$6:$AC$505,"&lt;="&amp;$A9,実績!$AD$6:$AD$505,"&gt;"&amp;$A9,実績!$AE$6:$AE$505,"○")&gt;0,1,0))</f>
        <v/>
      </c>
      <c r="DB9">
        <f>IF(DB$4=0,0,IF(COUNTIFS(実績!$W$6:$W$505,DB$3,実績!$AC$6:$AC$505,"&lt;="&amp;$A9,実績!$AD$6:$AD$505,"&gt;"&amp;$A9,実績!$AE$6:$AE$505,"○")&gt;0,1,0))</f>
        <v/>
      </c>
      <c r="DC9">
        <f>IF(DC$4=0,0,IF(COUNTIFS(実績!$W$6:$W$505,DC$3,実績!$AC$6:$AC$505,"&lt;="&amp;$A9,実績!$AD$6:$AD$505,"&gt;"&amp;$A9,実績!$AE$6:$AE$505,"○")&gt;0,1,0))</f>
        <v/>
      </c>
      <c r="DD9">
        <f>IF(DD$4=0,0,IF(COUNTIFS(実績!$W$6:$W$505,DD$3,実績!$AC$6:$AC$505,"&lt;="&amp;$A9,実績!$AD$6:$AD$505,"&gt;"&amp;$A9,実績!$AE$6:$AE$505,"○")&gt;0,1,0))</f>
        <v/>
      </c>
      <c r="DE9">
        <f>IF(DE$4=0,0,IF(COUNTIFS(実績!$W$6:$W$505,DE$3,実績!$AC$6:$AC$505,"&lt;="&amp;$A9,実績!$AD$6:$AD$505,"&gt;"&amp;$A9,実績!$AE$6:$AE$505,"○")&gt;0,1,0))</f>
        <v/>
      </c>
      <c r="DF9">
        <f>IF(DF$4=0,0,IF(COUNTIFS(実績!$W$6:$W$505,DF$3,実績!$AC$6:$AC$505,"&lt;="&amp;$A9,実績!$AD$6:$AD$505,"&gt;"&amp;$A9,実績!$AE$6:$AE$505,"○")&gt;0,1,0))</f>
        <v/>
      </c>
      <c r="DG9">
        <f>IF(DG$4=0,0,IF(COUNTIFS(実績!$W$6:$W$505,DG$3,実績!$AC$6:$AC$505,"&lt;="&amp;$A9,実績!$AD$6:$AD$505,"&gt;"&amp;$A9,実績!$AE$6:$AE$505,"○")&gt;0,1,0))</f>
        <v/>
      </c>
      <c r="DH9">
        <f>IF(DH$4=0,0,IF(COUNTIFS(実績!$W$6:$W$505,DH$3,実績!$AC$6:$AC$505,"&lt;="&amp;$A9,実績!$AD$6:$AD$505,"&gt;"&amp;$A9,実績!$AE$6:$AE$505,"○")&gt;0,1,0))</f>
        <v/>
      </c>
      <c r="DI9">
        <f>IF(DI$4=0,0,IF(COUNTIFS(実績!$W$6:$W$505,DI$3,実績!$AC$6:$AC$505,"&lt;="&amp;$A9,実績!$AD$6:$AD$505,"&gt;"&amp;$A9,実績!$AE$6:$AE$505,"○")&gt;0,1,0))</f>
        <v/>
      </c>
      <c r="DJ9">
        <f>IF(DJ$4=0,0,IF(COUNTIFS(実績!$W$6:$W$505,DJ$3,実績!$AC$6:$AC$505,"&lt;="&amp;$A9,実績!$AD$6:$AD$505,"&gt;"&amp;$A9,実績!$AE$6:$AE$505,"○")&gt;0,1,0))</f>
        <v/>
      </c>
      <c r="DK9">
        <f>IF(DK$4=0,0,IF(COUNTIFS(実績!$W$6:$W$505,DK$3,実績!$AC$6:$AC$505,"&lt;="&amp;$A9,実績!$AD$6:$AD$505,"&gt;"&amp;$A9,実績!$AE$6:$AE$505,"○")&gt;0,1,0))</f>
        <v/>
      </c>
      <c r="DL9">
        <f>IF(DL$4=0,0,IF(COUNTIFS(実績!$W$6:$W$505,DL$3,実績!$AC$6:$AC$505,"&lt;="&amp;$A9,実績!$AD$6:$AD$505,"&gt;"&amp;$A9,実績!$AE$6:$AE$505,"○")&gt;0,1,0))</f>
        <v/>
      </c>
      <c r="DM9">
        <f>IF(DM$4=0,0,IF(COUNTIFS(実績!$W$6:$W$505,DM$3,実績!$AC$6:$AC$505,"&lt;="&amp;$A9,実績!$AD$6:$AD$505,"&gt;"&amp;$A9,実績!$AE$6:$AE$505,"○")&gt;0,1,0))</f>
        <v/>
      </c>
      <c r="DN9">
        <f>IF(DN$4=0,0,IF(COUNTIFS(実績!$W$6:$W$505,DN$3,実績!$AC$6:$AC$505,"&lt;="&amp;$A9,実績!$AD$6:$AD$505,"&gt;"&amp;$A9,実績!$AE$6:$AE$505,"○")&gt;0,1,0))</f>
        <v/>
      </c>
      <c r="DO9">
        <f>IF(DO$4=0,0,IF(COUNTIFS(実績!$W$6:$W$505,DO$3,実績!$AC$6:$AC$505,"&lt;="&amp;$A9,実績!$AD$6:$AD$505,"&gt;"&amp;$A9,実績!$AE$6:$AE$505,"○")&gt;0,1,0))</f>
        <v/>
      </c>
      <c r="DP9">
        <f>IF(DP$4=0,0,IF(COUNTIFS(実績!$W$6:$W$505,DP$3,実績!$AC$6:$AC$505,"&lt;="&amp;$A9,実績!$AD$6:$AD$505,"&gt;"&amp;$A9,実績!$AE$6:$AE$505,"○")&gt;0,1,0))</f>
        <v/>
      </c>
      <c r="DQ9">
        <f>IF(DQ$4=0,0,IF(COUNTIFS(実績!$W$6:$W$505,DQ$3,実績!$AC$6:$AC$505,"&lt;="&amp;$A9,実績!$AD$6:$AD$505,"&gt;"&amp;$A9,実績!$AE$6:$AE$505,"○")&gt;0,1,0))</f>
        <v/>
      </c>
      <c r="DR9">
        <f>IF(DR$4=0,0,IF(COUNTIFS(実績!$W$6:$W$505,DR$3,実績!$AC$6:$AC$505,"&lt;="&amp;$A9,実績!$AD$6:$AD$505,"&gt;"&amp;$A9,実績!$AE$6:$AE$505,"○")&gt;0,1,0))</f>
        <v/>
      </c>
      <c r="DS9">
        <f>SUM(C9:DR9)</f>
        <v/>
      </c>
      <c r="DT9">
        <f>SUMPRODUCT((実績!$C$6:$C$505="○")*ISNUMBER(実績!$AF$6:$AF$505)*(実績!$AF$6:$AF$505&lt;=$A9)*(実績!$AG$6:$AG$505&gt;$A9))</f>
        <v/>
      </c>
      <c r="DU9">
        <f>SUMIF($C$2:$DR$2,"製鉄曳船",C9:DR9)</f>
        <v/>
      </c>
      <c r="DV9">
        <f>SUMIF($C$2:$DR$2,"西日本海運",C9:DR9)</f>
        <v/>
      </c>
    </row>
    <row r="10">
      <c r="A10" t="n">
        <v>20</v>
      </c>
      <c r="B10" s="29">
        <f>A10/1440</f>
        <v/>
      </c>
      <c r="C10">
        <f>IF(C$4=0,0,IF(COUNTIFS(実績!$W$6:$W$505,C$3,実績!$AC$6:$AC$505,"&lt;="&amp;$A10,実績!$AD$6:$AD$505,"&gt;"&amp;$A10,実績!$AE$6:$AE$505,"○")&gt;0,1,0))</f>
        <v/>
      </c>
      <c r="D10">
        <f>IF(D$4=0,0,IF(COUNTIFS(実績!$W$6:$W$505,D$3,実績!$AC$6:$AC$505,"&lt;="&amp;$A10,実績!$AD$6:$AD$505,"&gt;"&amp;$A10,実績!$AE$6:$AE$505,"○")&gt;0,1,0))</f>
        <v/>
      </c>
      <c r="E10">
        <f>IF(E$4=0,0,IF(COUNTIFS(実績!$W$6:$W$505,E$3,実績!$AC$6:$AC$505,"&lt;="&amp;$A10,実績!$AD$6:$AD$505,"&gt;"&amp;$A10,実績!$AE$6:$AE$505,"○")&gt;0,1,0))</f>
        <v/>
      </c>
      <c r="F10">
        <f>IF(F$4=0,0,IF(COUNTIFS(実績!$W$6:$W$505,F$3,実績!$AC$6:$AC$505,"&lt;="&amp;$A10,実績!$AD$6:$AD$505,"&gt;"&amp;$A10,実績!$AE$6:$AE$505,"○")&gt;0,1,0))</f>
        <v/>
      </c>
      <c r="G10">
        <f>IF(G$4=0,0,IF(COUNTIFS(実績!$W$6:$W$505,G$3,実績!$AC$6:$AC$505,"&lt;="&amp;$A10,実績!$AD$6:$AD$505,"&gt;"&amp;$A10,実績!$AE$6:$AE$505,"○")&gt;0,1,0))</f>
        <v/>
      </c>
      <c r="H10">
        <f>IF(H$4=0,0,IF(COUNTIFS(実績!$W$6:$W$505,H$3,実績!$AC$6:$AC$505,"&lt;="&amp;$A10,実績!$AD$6:$AD$505,"&gt;"&amp;$A10,実績!$AE$6:$AE$505,"○")&gt;0,1,0))</f>
        <v/>
      </c>
      <c r="I10">
        <f>IF(I$4=0,0,IF(COUNTIFS(実績!$W$6:$W$505,I$3,実績!$AC$6:$AC$505,"&lt;="&amp;$A10,実績!$AD$6:$AD$505,"&gt;"&amp;$A10,実績!$AE$6:$AE$505,"○")&gt;0,1,0))</f>
        <v/>
      </c>
      <c r="J10">
        <f>IF(J$4=0,0,IF(COUNTIFS(実績!$W$6:$W$505,J$3,実績!$AC$6:$AC$505,"&lt;="&amp;$A10,実績!$AD$6:$AD$505,"&gt;"&amp;$A10,実績!$AE$6:$AE$505,"○")&gt;0,1,0))</f>
        <v/>
      </c>
      <c r="K10">
        <f>IF(K$4=0,0,IF(COUNTIFS(実績!$W$6:$W$505,K$3,実績!$AC$6:$AC$505,"&lt;="&amp;$A10,実績!$AD$6:$AD$505,"&gt;"&amp;$A10,実績!$AE$6:$AE$505,"○")&gt;0,1,0))</f>
        <v/>
      </c>
      <c r="L10">
        <f>IF(L$4=0,0,IF(COUNTIFS(実績!$W$6:$W$505,L$3,実績!$AC$6:$AC$505,"&lt;="&amp;$A10,実績!$AD$6:$AD$505,"&gt;"&amp;$A10,実績!$AE$6:$AE$505,"○")&gt;0,1,0))</f>
        <v/>
      </c>
      <c r="M10">
        <f>IF(M$4=0,0,IF(COUNTIFS(実績!$W$6:$W$505,M$3,実績!$AC$6:$AC$505,"&lt;="&amp;$A10,実績!$AD$6:$AD$505,"&gt;"&amp;$A10,実績!$AE$6:$AE$505,"○")&gt;0,1,0))</f>
        <v/>
      </c>
      <c r="N10">
        <f>IF(N$4=0,0,IF(COUNTIFS(実績!$W$6:$W$505,N$3,実績!$AC$6:$AC$505,"&lt;="&amp;$A10,実績!$AD$6:$AD$505,"&gt;"&amp;$A10,実績!$AE$6:$AE$505,"○")&gt;0,1,0))</f>
        <v/>
      </c>
      <c r="O10">
        <f>IF(O$4=0,0,IF(COUNTIFS(実績!$W$6:$W$505,O$3,実績!$AC$6:$AC$505,"&lt;="&amp;$A10,実績!$AD$6:$AD$505,"&gt;"&amp;$A10,実績!$AE$6:$AE$505,"○")&gt;0,1,0))</f>
        <v/>
      </c>
      <c r="P10">
        <f>IF(P$4=0,0,IF(COUNTIFS(実績!$W$6:$W$505,P$3,実績!$AC$6:$AC$505,"&lt;="&amp;$A10,実績!$AD$6:$AD$505,"&gt;"&amp;$A10,実績!$AE$6:$AE$505,"○")&gt;0,1,0))</f>
        <v/>
      </c>
      <c r="Q10">
        <f>IF(Q$4=0,0,IF(COUNTIFS(実績!$W$6:$W$505,Q$3,実績!$AC$6:$AC$505,"&lt;="&amp;$A10,実績!$AD$6:$AD$505,"&gt;"&amp;$A10,実績!$AE$6:$AE$505,"○")&gt;0,1,0))</f>
        <v/>
      </c>
      <c r="R10">
        <f>IF(R$4=0,0,IF(COUNTIFS(実績!$W$6:$W$505,R$3,実績!$AC$6:$AC$505,"&lt;="&amp;$A10,実績!$AD$6:$AD$505,"&gt;"&amp;$A10,実績!$AE$6:$AE$505,"○")&gt;0,1,0))</f>
        <v/>
      </c>
      <c r="S10">
        <f>IF(S$4=0,0,IF(COUNTIFS(実績!$W$6:$W$505,S$3,実績!$AC$6:$AC$505,"&lt;="&amp;$A10,実績!$AD$6:$AD$505,"&gt;"&amp;$A10,実績!$AE$6:$AE$505,"○")&gt;0,1,0))</f>
        <v/>
      </c>
      <c r="T10">
        <f>IF(T$4=0,0,IF(COUNTIFS(実績!$W$6:$W$505,T$3,実績!$AC$6:$AC$505,"&lt;="&amp;$A10,実績!$AD$6:$AD$505,"&gt;"&amp;$A10,実績!$AE$6:$AE$505,"○")&gt;0,1,0))</f>
        <v/>
      </c>
      <c r="U10">
        <f>IF(U$4=0,0,IF(COUNTIFS(実績!$W$6:$W$505,U$3,実績!$AC$6:$AC$505,"&lt;="&amp;$A10,実績!$AD$6:$AD$505,"&gt;"&amp;$A10,実績!$AE$6:$AE$505,"○")&gt;0,1,0))</f>
        <v/>
      </c>
      <c r="V10">
        <f>IF(V$4=0,0,IF(COUNTIFS(実績!$W$6:$W$505,V$3,実績!$AC$6:$AC$505,"&lt;="&amp;$A10,実績!$AD$6:$AD$505,"&gt;"&amp;$A10,実績!$AE$6:$AE$505,"○")&gt;0,1,0))</f>
        <v/>
      </c>
      <c r="W10">
        <f>IF(W$4=0,0,IF(COUNTIFS(実績!$W$6:$W$505,W$3,実績!$AC$6:$AC$505,"&lt;="&amp;$A10,実績!$AD$6:$AD$505,"&gt;"&amp;$A10,実績!$AE$6:$AE$505,"○")&gt;0,1,0))</f>
        <v/>
      </c>
      <c r="X10">
        <f>IF(X$4=0,0,IF(COUNTIFS(実績!$W$6:$W$505,X$3,実績!$AC$6:$AC$505,"&lt;="&amp;$A10,実績!$AD$6:$AD$505,"&gt;"&amp;$A10,実績!$AE$6:$AE$505,"○")&gt;0,1,0))</f>
        <v/>
      </c>
      <c r="Y10">
        <f>IF(Y$4=0,0,IF(COUNTIFS(実績!$W$6:$W$505,Y$3,実績!$AC$6:$AC$505,"&lt;="&amp;$A10,実績!$AD$6:$AD$505,"&gt;"&amp;$A10,実績!$AE$6:$AE$505,"○")&gt;0,1,0))</f>
        <v/>
      </c>
      <c r="Z10">
        <f>IF(Z$4=0,0,IF(COUNTIFS(実績!$W$6:$W$505,Z$3,実績!$AC$6:$AC$505,"&lt;="&amp;$A10,実績!$AD$6:$AD$505,"&gt;"&amp;$A10,実績!$AE$6:$AE$505,"○")&gt;0,1,0))</f>
        <v/>
      </c>
      <c r="AA10">
        <f>IF(AA$4=0,0,IF(COUNTIFS(実績!$W$6:$W$505,AA$3,実績!$AC$6:$AC$505,"&lt;="&amp;$A10,実績!$AD$6:$AD$505,"&gt;"&amp;$A10,実績!$AE$6:$AE$505,"○")&gt;0,1,0))</f>
        <v/>
      </c>
      <c r="AB10">
        <f>IF(AB$4=0,0,IF(COUNTIFS(実績!$W$6:$W$505,AB$3,実績!$AC$6:$AC$505,"&lt;="&amp;$A10,実績!$AD$6:$AD$505,"&gt;"&amp;$A10,実績!$AE$6:$AE$505,"○")&gt;0,1,0))</f>
        <v/>
      </c>
      <c r="AC10">
        <f>IF(AC$4=0,0,IF(COUNTIFS(実績!$W$6:$W$505,AC$3,実績!$AC$6:$AC$505,"&lt;="&amp;$A10,実績!$AD$6:$AD$505,"&gt;"&amp;$A10,実績!$AE$6:$AE$505,"○")&gt;0,1,0))</f>
        <v/>
      </c>
      <c r="AD10">
        <f>IF(AD$4=0,0,IF(COUNTIFS(実績!$W$6:$W$505,AD$3,実績!$AC$6:$AC$505,"&lt;="&amp;$A10,実績!$AD$6:$AD$505,"&gt;"&amp;$A10,実績!$AE$6:$AE$505,"○")&gt;0,1,0))</f>
        <v/>
      </c>
      <c r="AE10">
        <f>IF(AE$4=0,0,IF(COUNTIFS(実績!$W$6:$W$505,AE$3,実績!$AC$6:$AC$505,"&lt;="&amp;$A10,実績!$AD$6:$AD$505,"&gt;"&amp;$A10,実績!$AE$6:$AE$505,"○")&gt;0,1,0))</f>
        <v/>
      </c>
      <c r="AF10">
        <f>IF(AF$4=0,0,IF(COUNTIFS(実績!$W$6:$W$505,AF$3,実績!$AC$6:$AC$505,"&lt;="&amp;$A10,実績!$AD$6:$AD$505,"&gt;"&amp;$A10,実績!$AE$6:$AE$505,"○")&gt;0,1,0))</f>
        <v/>
      </c>
      <c r="AG10">
        <f>IF(AG$4=0,0,IF(COUNTIFS(実績!$W$6:$W$505,AG$3,実績!$AC$6:$AC$505,"&lt;="&amp;$A10,実績!$AD$6:$AD$505,"&gt;"&amp;$A10,実績!$AE$6:$AE$505,"○")&gt;0,1,0))</f>
        <v/>
      </c>
      <c r="AH10">
        <f>IF(AH$4=0,0,IF(COUNTIFS(実績!$W$6:$W$505,AH$3,実績!$AC$6:$AC$505,"&lt;="&amp;$A10,実績!$AD$6:$AD$505,"&gt;"&amp;$A10,実績!$AE$6:$AE$505,"○")&gt;0,1,0))</f>
        <v/>
      </c>
      <c r="AI10">
        <f>IF(AI$4=0,0,IF(COUNTIFS(実績!$W$6:$W$505,AI$3,実績!$AC$6:$AC$505,"&lt;="&amp;$A10,実績!$AD$6:$AD$505,"&gt;"&amp;$A10,実績!$AE$6:$AE$505,"○")&gt;0,1,0))</f>
        <v/>
      </c>
      <c r="AJ10">
        <f>IF(AJ$4=0,0,IF(COUNTIFS(実績!$W$6:$W$505,AJ$3,実績!$AC$6:$AC$505,"&lt;="&amp;$A10,実績!$AD$6:$AD$505,"&gt;"&amp;$A10,実績!$AE$6:$AE$505,"○")&gt;0,1,0))</f>
        <v/>
      </c>
      <c r="AK10">
        <f>IF(AK$4=0,0,IF(COUNTIFS(実績!$W$6:$W$505,AK$3,実績!$AC$6:$AC$505,"&lt;="&amp;$A10,実績!$AD$6:$AD$505,"&gt;"&amp;$A10,実績!$AE$6:$AE$505,"○")&gt;0,1,0))</f>
        <v/>
      </c>
      <c r="AL10">
        <f>IF(AL$4=0,0,IF(COUNTIFS(実績!$W$6:$W$505,AL$3,実績!$AC$6:$AC$505,"&lt;="&amp;$A10,実績!$AD$6:$AD$505,"&gt;"&amp;$A10,実績!$AE$6:$AE$505,"○")&gt;0,1,0))</f>
        <v/>
      </c>
      <c r="AM10">
        <f>IF(AM$4=0,0,IF(COUNTIFS(実績!$W$6:$W$505,AM$3,実績!$AC$6:$AC$505,"&lt;="&amp;$A10,実績!$AD$6:$AD$505,"&gt;"&amp;$A10,実績!$AE$6:$AE$505,"○")&gt;0,1,0))</f>
        <v/>
      </c>
      <c r="AN10">
        <f>IF(AN$4=0,0,IF(COUNTIFS(実績!$W$6:$W$505,AN$3,実績!$AC$6:$AC$505,"&lt;="&amp;$A10,実績!$AD$6:$AD$505,"&gt;"&amp;$A10,実績!$AE$6:$AE$505,"○")&gt;0,1,0))</f>
        <v/>
      </c>
      <c r="AO10">
        <f>IF(AO$4=0,0,IF(COUNTIFS(実績!$W$6:$W$505,AO$3,実績!$AC$6:$AC$505,"&lt;="&amp;$A10,実績!$AD$6:$AD$505,"&gt;"&amp;$A10,実績!$AE$6:$AE$505,"○")&gt;0,1,0))</f>
        <v/>
      </c>
      <c r="AP10">
        <f>IF(AP$4=0,0,IF(COUNTIFS(実績!$W$6:$W$505,AP$3,実績!$AC$6:$AC$505,"&lt;="&amp;$A10,実績!$AD$6:$AD$505,"&gt;"&amp;$A10,実績!$AE$6:$AE$505,"○")&gt;0,1,0))</f>
        <v/>
      </c>
      <c r="AQ10">
        <f>IF(AQ$4=0,0,IF(COUNTIFS(実績!$W$6:$W$505,AQ$3,実績!$AC$6:$AC$505,"&lt;="&amp;$A10,実績!$AD$6:$AD$505,"&gt;"&amp;$A10,実績!$AE$6:$AE$505,"○")&gt;0,1,0))</f>
        <v/>
      </c>
      <c r="AR10">
        <f>IF(AR$4=0,0,IF(COUNTIFS(実績!$W$6:$W$505,AR$3,実績!$AC$6:$AC$505,"&lt;="&amp;$A10,実績!$AD$6:$AD$505,"&gt;"&amp;$A10,実績!$AE$6:$AE$505,"○")&gt;0,1,0))</f>
        <v/>
      </c>
      <c r="AS10">
        <f>IF(AS$4=0,0,IF(COUNTIFS(実績!$W$6:$W$505,AS$3,実績!$AC$6:$AC$505,"&lt;="&amp;$A10,実績!$AD$6:$AD$505,"&gt;"&amp;$A10,実績!$AE$6:$AE$505,"○")&gt;0,1,0))</f>
        <v/>
      </c>
      <c r="AT10">
        <f>IF(AT$4=0,0,IF(COUNTIFS(実績!$W$6:$W$505,AT$3,実績!$AC$6:$AC$505,"&lt;="&amp;$A10,実績!$AD$6:$AD$505,"&gt;"&amp;$A10,実績!$AE$6:$AE$505,"○")&gt;0,1,0))</f>
        <v/>
      </c>
      <c r="AU10">
        <f>IF(AU$4=0,0,IF(COUNTIFS(実績!$W$6:$W$505,AU$3,実績!$AC$6:$AC$505,"&lt;="&amp;$A10,実績!$AD$6:$AD$505,"&gt;"&amp;$A10,実績!$AE$6:$AE$505,"○")&gt;0,1,0))</f>
        <v/>
      </c>
      <c r="AV10">
        <f>IF(AV$4=0,0,IF(COUNTIFS(実績!$W$6:$W$505,AV$3,実績!$AC$6:$AC$505,"&lt;="&amp;$A10,実績!$AD$6:$AD$505,"&gt;"&amp;$A10,実績!$AE$6:$AE$505,"○")&gt;0,1,0))</f>
        <v/>
      </c>
      <c r="AW10">
        <f>IF(AW$4=0,0,IF(COUNTIFS(実績!$W$6:$W$505,AW$3,実績!$AC$6:$AC$505,"&lt;="&amp;$A10,実績!$AD$6:$AD$505,"&gt;"&amp;$A10,実績!$AE$6:$AE$505,"○")&gt;0,1,0))</f>
        <v/>
      </c>
      <c r="AX10">
        <f>IF(AX$4=0,0,IF(COUNTIFS(実績!$W$6:$W$505,AX$3,実績!$AC$6:$AC$505,"&lt;="&amp;$A10,実績!$AD$6:$AD$505,"&gt;"&amp;$A10,実績!$AE$6:$AE$505,"○")&gt;0,1,0))</f>
        <v/>
      </c>
      <c r="AY10">
        <f>IF(AY$4=0,0,IF(COUNTIFS(実績!$W$6:$W$505,AY$3,実績!$AC$6:$AC$505,"&lt;="&amp;$A10,実績!$AD$6:$AD$505,"&gt;"&amp;$A10,実績!$AE$6:$AE$505,"○")&gt;0,1,0))</f>
        <v/>
      </c>
      <c r="AZ10">
        <f>IF(AZ$4=0,0,IF(COUNTIFS(実績!$W$6:$W$505,AZ$3,実績!$AC$6:$AC$505,"&lt;="&amp;$A10,実績!$AD$6:$AD$505,"&gt;"&amp;$A10,実績!$AE$6:$AE$505,"○")&gt;0,1,0))</f>
        <v/>
      </c>
      <c r="BA10">
        <f>IF(BA$4=0,0,IF(COUNTIFS(実績!$W$6:$W$505,BA$3,実績!$AC$6:$AC$505,"&lt;="&amp;$A10,実績!$AD$6:$AD$505,"&gt;"&amp;$A10,実績!$AE$6:$AE$505,"○")&gt;0,1,0))</f>
        <v/>
      </c>
      <c r="BB10">
        <f>IF(BB$4=0,0,IF(COUNTIFS(実績!$W$6:$W$505,BB$3,実績!$AC$6:$AC$505,"&lt;="&amp;$A10,実績!$AD$6:$AD$505,"&gt;"&amp;$A10,実績!$AE$6:$AE$505,"○")&gt;0,1,0))</f>
        <v/>
      </c>
      <c r="BC10">
        <f>IF(BC$4=0,0,IF(COUNTIFS(実績!$W$6:$W$505,BC$3,実績!$AC$6:$AC$505,"&lt;="&amp;$A10,実績!$AD$6:$AD$505,"&gt;"&amp;$A10,実績!$AE$6:$AE$505,"○")&gt;0,1,0))</f>
        <v/>
      </c>
      <c r="BD10">
        <f>IF(BD$4=0,0,IF(COUNTIFS(実績!$W$6:$W$505,BD$3,実績!$AC$6:$AC$505,"&lt;="&amp;$A10,実績!$AD$6:$AD$505,"&gt;"&amp;$A10,実績!$AE$6:$AE$505,"○")&gt;0,1,0))</f>
        <v/>
      </c>
      <c r="BE10">
        <f>IF(BE$4=0,0,IF(COUNTIFS(実績!$W$6:$W$505,BE$3,実績!$AC$6:$AC$505,"&lt;="&amp;$A10,実績!$AD$6:$AD$505,"&gt;"&amp;$A10,実績!$AE$6:$AE$505,"○")&gt;0,1,0))</f>
        <v/>
      </c>
      <c r="BF10">
        <f>IF(BF$4=0,0,IF(COUNTIFS(実績!$W$6:$W$505,BF$3,実績!$AC$6:$AC$505,"&lt;="&amp;$A10,実績!$AD$6:$AD$505,"&gt;"&amp;$A10,実績!$AE$6:$AE$505,"○")&gt;0,1,0))</f>
        <v/>
      </c>
      <c r="BG10">
        <f>IF(BG$4=0,0,IF(COUNTIFS(実績!$W$6:$W$505,BG$3,実績!$AC$6:$AC$505,"&lt;="&amp;$A10,実績!$AD$6:$AD$505,"&gt;"&amp;$A10,実績!$AE$6:$AE$505,"○")&gt;0,1,0))</f>
        <v/>
      </c>
      <c r="BH10">
        <f>IF(BH$4=0,0,IF(COUNTIFS(実績!$W$6:$W$505,BH$3,実績!$AC$6:$AC$505,"&lt;="&amp;$A10,実績!$AD$6:$AD$505,"&gt;"&amp;$A10,実績!$AE$6:$AE$505,"○")&gt;0,1,0))</f>
        <v/>
      </c>
      <c r="BI10">
        <f>IF(BI$4=0,0,IF(COUNTIFS(実績!$W$6:$W$505,BI$3,実績!$AC$6:$AC$505,"&lt;="&amp;$A10,実績!$AD$6:$AD$505,"&gt;"&amp;$A10,実績!$AE$6:$AE$505,"○")&gt;0,1,0))</f>
        <v/>
      </c>
      <c r="BJ10">
        <f>IF(BJ$4=0,0,IF(COUNTIFS(実績!$W$6:$W$505,BJ$3,実績!$AC$6:$AC$505,"&lt;="&amp;$A10,実績!$AD$6:$AD$505,"&gt;"&amp;$A10,実績!$AE$6:$AE$505,"○")&gt;0,1,0))</f>
        <v/>
      </c>
      <c r="BK10">
        <f>IF(BK$4=0,0,IF(COUNTIFS(実績!$W$6:$W$505,BK$3,実績!$AC$6:$AC$505,"&lt;="&amp;$A10,実績!$AD$6:$AD$505,"&gt;"&amp;$A10,実績!$AE$6:$AE$505,"○")&gt;0,1,0))</f>
        <v/>
      </c>
      <c r="BL10">
        <f>IF(BL$4=0,0,IF(COUNTIFS(実績!$W$6:$W$505,BL$3,実績!$AC$6:$AC$505,"&lt;="&amp;$A10,実績!$AD$6:$AD$505,"&gt;"&amp;$A10,実績!$AE$6:$AE$505,"○")&gt;0,1,0))</f>
        <v/>
      </c>
      <c r="BM10">
        <f>IF(BM$4=0,0,IF(COUNTIFS(実績!$W$6:$W$505,BM$3,実績!$AC$6:$AC$505,"&lt;="&amp;$A10,実績!$AD$6:$AD$505,"&gt;"&amp;$A10,実績!$AE$6:$AE$505,"○")&gt;0,1,0))</f>
        <v/>
      </c>
      <c r="BN10">
        <f>IF(BN$4=0,0,IF(COUNTIFS(実績!$W$6:$W$505,BN$3,実績!$AC$6:$AC$505,"&lt;="&amp;$A10,実績!$AD$6:$AD$505,"&gt;"&amp;$A10,実績!$AE$6:$AE$505,"○")&gt;0,1,0))</f>
        <v/>
      </c>
      <c r="BO10">
        <f>IF(BO$4=0,0,IF(COUNTIFS(実績!$W$6:$W$505,BO$3,実績!$AC$6:$AC$505,"&lt;="&amp;$A10,実績!$AD$6:$AD$505,"&gt;"&amp;$A10,実績!$AE$6:$AE$505,"○")&gt;0,1,0))</f>
        <v/>
      </c>
      <c r="BP10">
        <f>IF(BP$4=0,0,IF(COUNTIFS(実績!$W$6:$W$505,BP$3,実績!$AC$6:$AC$505,"&lt;="&amp;$A10,実績!$AD$6:$AD$505,"&gt;"&amp;$A10,実績!$AE$6:$AE$505,"○")&gt;0,1,0))</f>
        <v/>
      </c>
      <c r="BQ10">
        <f>IF(BQ$4=0,0,IF(COUNTIFS(実績!$W$6:$W$505,BQ$3,実績!$AC$6:$AC$505,"&lt;="&amp;$A10,実績!$AD$6:$AD$505,"&gt;"&amp;$A10,実績!$AE$6:$AE$505,"○")&gt;0,1,0))</f>
        <v/>
      </c>
      <c r="BR10">
        <f>IF(BR$4=0,0,IF(COUNTIFS(実績!$W$6:$W$505,BR$3,実績!$AC$6:$AC$505,"&lt;="&amp;$A10,実績!$AD$6:$AD$505,"&gt;"&amp;$A10,実績!$AE$6:$AE$505,"○")&gt;0,1,0))</f>
        <v/>
      </c>
      <c r="BS10">
        <f>IF(BS$4=0,0,IF(COUNTIFS(実績!$W$6:$W$505,BS$3,実績!$AC$6:$AC$505,"&lt;="&amp;$A10,実績!$AD$6:$AD$505,"&gt;"&amp;$A10,実績!$AE$6:$AE$505,"○")&gt;0,1,0))</f>
        <v/>
      </c>
      <c r="BT10">
        <f>IF(BT$4=0,0,IF(COUNTIFS(実績!$W$6:$W$505,BT$3,実績!$AC$6:$AC$505,"&lt;="&amp;$A10,実績!$AD$6:$AD$505,"&gt;"&amp;$A10,実績!$AE$6:$AE$505,"○")&gt;0,1,0))</f>
        <v/>
      </c>
      <c r="BU10">
        <f>IF(BU$4=0,0,IF(COUNTIFS(実績!$W$6:$W$505,BU$3,実績!$AC$6:$AC$505,"&lt;="&amp;$A10,実績!$AD$6:$AD$505,"&gt;"&amp;$A10,実績!$AE$6:$AE$505,"○")&gt;0,1,0))</f>
        <v/>
      </c>
      <c r="BV10">
        <f>IF(BV$4=0,0,IF(COUNTIFS(実績!$W$6:$W$505,BV$3,実績!$AC$6:$AC$505,"&lt;="&amp;$A10,実績!$AD$6:$AD$505,"&gt;"&amp;$A10,実績!$AE$6:$AE$505,"○")&gt;0,1,0))</f>
        <v/>
      </c>
      <c r="BW10">
        <f>IF(BW$4=0,0,IF(COUNTIFS(実績!$W$6:$W$505,BW$3,実績!$AC$6:$AC$505,"&lt;="&amp;$A10,実績!$AD$6:$AD$505,"&gt;"&amp;$A10,実績!$AE$6:$AE$505,"○")&gt;0,1,0))</f>
        <v/>
      </c>
      <c r="BX10">
        <f>IF(BX$4=0,0,IF(COUNTIFS(実績!$W$6:$W$505,BX$3,実績!$AC$6:$AC$505,"&lt;="&amp;$A10,実績!$AD$6:$AD$505,"&gt;"&amp;$A10,実績!$AE$6:$AE$505,"○")&gt;0,1,0))</f>
        <v/>
      </c>
      <c r="BY10">
        <f>IF(BY$4=0,0,IF(COUNTIFS(実績!$W$6:$W$505,BY$3,実績!$AC$6:$AC$505,"&lt;="&amp;$A10,実績!$AD$6:$AD$505,"&gt;"&amp;$A10,実績!$AE$6:$AE$505,"○")&gt;0,1,0))</f>
        <v/>
      </c>
      <c r="BZ10">
        <f>IF(BZ$4=0,0,IF(COUNTIFS(実績!$W$6:$W$505,BZ$3,実績!$AC$6:$AC$505,"&lt;="&amp;$A10,実績!$AD$6:$AD$505,"&gt;"&amp;$A10,実績!$AE$6:$AE$505,"○")&gt;0,1,0))</f>
        <v/>
      </c>
      <c r="CA10">
        <f>IF(CA$4=0,0,IF(COUNTIFS(実績!$W$6:$W$505,CA$3,実績!$AC$6:$AC$505,"&lt;="&amp;$A10,実績!$AD$6:$AD$505,"&gt;"&amp;$A10,実績!$AE$6:$AE$505,"○")&gt;0,1,0))</f>
        <v/>
      </c>
      <c r="CB10">
        <f>IF(CB$4=0,0,IF(COUNTIFS(実績!$W$6:$W$505,CB$3,実績!$AC$6:$AC$505,"&lt;="&amp;$A10,実績!$AD$6:$AD$505,"&gt;"&amp;$A10,実績!$AE$6:$AE$505,"○")&gt;0,1,0))</f>
        <v/>
      </c>
      <c r="CC10">
        <f>IF(CC$4=0,0,IF(COUNTIFS(実績!$W$6:$W$505,CC$3,実績!$AC$6:$AC$505,"&lt;="&amp;$A10,実績!$AD$6:$AD$505,"&gt;"&amp;$A10,実績!$AE$6:$AE$505,"○")&gt;0,1,0))</f>
        <v/>
      </c>
      <c r="CD10">
        <f>IF(CD$4=0,0,IF(COUNTIFS(実績!$W$6:$W$505,CD$3,実績!$AC$6:$AC$505,"&lt;="&amp;$A10,実績!$AD$6:$AD$505,"&gt;"&amp;$A10,実績!$AE$6:$AE$505,"○")&gt;0,1,0))</f>
        <v/>
      </c>
      <c r="CE10">
        <f>IF(CE$4=0,0,IF(COUNTIFS(実績!$W$6:$W$505,CE$3,実績!$AC$6:$AC$505,"&lt;="&amp;$A10,実績!$AD$6:$AD$505,"&gt;"&amp;$A10,実績!$AE$6:$AE$505,"○")&gt;0,1,0))</f>
        <v/>
      </c>
      <c r="CF10">
        <f>IF(CF$4=0,0,IF(COUNTIFS(実績!$W$6:$W$505,CF$3,実績!$AC$6:$AC$505,"&lt;="&amp;$A10,実績!$AD$6:$AD$505,"&gt;"&amp;$A10,実績!$AE$6:$AE$505,"○")&gt;0,1,0))</f>
        <v/>
      </c>
      <c r="CG10">
        <f>IF(CG$4=0,0,IF(COUNTIFS(実績!$W$6:$W$505,CG$3,実績!$AC$6:$AC$505,"&lt;="&amp;$A10,実績!$AD$6:$AD$505,"&gt;"&amp;$A10,実績!$AE$6:$AE$505,"○")&gt;0,1,0))</f>
        <v/>
      </c>
      <c r="CH10">
        <f>IF(CH$4=0,0,IF(COUNTIFS(実績!$W$6:$W$505,CH$3,実績!$AC$6:$AC$505,"&lt;="&amp;$A10,実績!$AD$6:$AD$505,"&gt;"&amp;$A10,実績!$AE$6:$AE$505,"○")&gt;0,1,0))</f>
        <v/>
      </c>
      <c r="CI10">
        <f>IF(CI$4=0,0,IF(COUNTIFS(実績!$W$6:$W$505,CI$3,実績!$AC$6:$AC$505,"&lt;="&amp;$A10,実績!$AD$6:$AD$505,"&gt;"&amp;$A10,実績!$AE$6:$AE$505,"○")&gt;0,1,0))</f>
        <v/>
      </c>
      <c r="CJ10">
        <f>IF(CJ$4=0,0,IF(COUNTIFS(実績!$W$6:$W$505,CJ$3,実績!$AC$6:$AC$505,"&lt;="&amp;$A10,実績!$AD$6:$AD$505,"&gt;"&amp;$A10,実績!$AE$6:$AE$505,"○")&gt;0,1,0))</f>
        <v/>
      </c>
      <c r="CK10">
        <f>IF(CK$4=0,0,IF(COUNTIFS(実績!$W$6:$W$505,CK$3,実績!$AC$6:$AC$505,"&lt;="&amp;$A10,実績!$AD$6:$AD$505,"&gt;"&amp;$A10,実績!$AE$6:$AE$505,"○")&gt;0,1,0))</f>
        <v/>
      </c>
      <c r="CL10">
        <f>IF(CL$4=0,0,IF(COUNTIFS(実績!$W$6:$W$505,CL$3,実績!$AC$6:$AC$505,"&lt;="&amp;$A10,実績!$AD$6:$AD$505,"&gt;"&amp;$A10,実績!$AE$6:$AE$505,"○")&gt;0,1,0))</f>
        <v/>
      </c>
      <c r="CM10">
        <f>IF(CM$4=0,0,IF(COUNTIFS(実績!$W$6:$W$505,CM$3,実績!$AC$6:$AC$505,"&lt;="&amp;$A10,実績!$AD$6:$AD$505,"&gt;"&amp;$A10,実績!$AE$6:$AE$505,"○")&gt;0,1,0))</f>
        <v/>
      </c>
      <c r="CN10">
        <f>IF(CN$4=0,0,IF(COUNTIFS(実績!$W$6:$W$505,CN$3,実績!$AC$6:$AC$505,"&lt;="&amp;$A10,実績!$AD$6:$AD$505,"&gt;"&amp;$A10,実績!$AE$6:$AE$505,"○")&gt;0,1,0))</f>
        <v/>
      </c>
      <c r="CO10">
        <f>IF(CO$4=0,0,IF(COUNTIFS(実績!$W$6:$W$505,CO$3,実績!$AC$6:$AC$505,"&lt;="&amp;$A10,実績!$AD$6:$AD$505,"&gt;"&amp;$A10,実績!$AE$6:$AE$505,"○")&gt;0,1,0))</f>
        <v/>
      </c>
      <c r="CP10">
        <f>IF(CP$4=0,0,IF(COUNTIFS(実績!$W$6:$W$505,CP$3,実績!$AC$6:$AC$505,"&lt;="&amp;$A10,実績!$AD$6:$AD$505,"&gt;"&amp;$A10,実績!$AE$6:$AE$505,"○")&gt;0,1,0))</f>
        <v/>
      </c>
      <c r="CQ10">
        <f>IF(CQ$4=0,0,IF(COUNTIFS(実績!$W$6:$W$505,CQ$3,実績!$AC$6:$AC$505,"&lt;="&amp;$A10,実績!$AD$6:$AD$505,"&gt;"&amp;$A10,実績!$AE$6:$AE$505,"○")&gt;0,1,0))</f>
        <v/>
      </c>
      <c r="CR10">
        <f>IF(CR$4=0,0,IF(COUNTIFS(実績!$W$6:$W$505,CR$3,実績!$AC$6:$AC$505,"&lt;="&amp;$A10,実績!$AD$6:$AD$505,"&gt;"&amp;$A10,実績!$AE$6:$AE$505,"○")&gt;0,1,0))</f>
        <v/>
      </c>
      <c r="CS10">
        <f>IF(CS$4=0,0,IF(COUNTIFS(実績!$W$6:$W$505,CS$3,実績!$AC$6:$AC$505,"&lt;="&amp;$A10,実績!$AD$6:$AD$505,"&gt;"&amp;$A10,実績!$AE$6:$AE$505,"○")&gt;0,1,0))</f>
        <v/>
      </c>
      <c r="CT10">
        <f>IF(CT$4=0,0,IF(COUNTIFS(実績!$W$6:$W$505,CT$3,実績!$AC$6:$AC$505,"&lt;="&amp;$A10,実績!$AD$6:$AD$505,"&gt;"&amp;$A10,実績!$AE$6:$AE$505,"○")&gt;0,1,0))</f>
        <v/>
      </c>
      <c r="CU10">
        <f>IF(CU$4=0,0,IF(COUNTIFS(実績!$W$6:$W$505,CU$3,実績!$AC$6:$AC$505,"&lt;="&amp;$A10,実績!$AD$6:$AD$505,"&gt;"&amp;$A10,実績!$AE$6:$AE$505,"○")&gt;0,1,0))</f>
        <v/>
      </c>
      <c r="CV10">
        <f>IF(CV$4=0,0,IF(COUNTIFS(実績!$W$6:$W$505,CV$3,実績!$AC$6:$AC$505,"&lt;="&amp;$A10,実績!$AD$6:$AD$505,"&gt;"&amp;$A10,実績!$AE$6:$AE$505,"○")&gt;0,1,0))</f>
        <v/>
      </c>
      <c r="CW10">
        <f>IF(CW$4=0,0,IF(COUNTIFS(実績!$W$6:$W$505,CW$3,実績!$AC$6:$AC$505,"&lt;="&amp;$A10,実績!$AD$6:$AD$505,"&gt;"&amp;$A10,実績!$AE$6:$AE$505,"○")&gt;0,1,0))</f>
        <v/>
      </c>
      <c r="CX10">
        <f>IF(CX$4=0,0,IF(COUNTIFS(実績!$W$6:$W$505,CX$3,実績!$AC$6:$AC$505,"&lt;="&amp;$A10,実績!$AD$6:$AD$505,"&gt;"&amp;$A10,実績!$AE$6:$AE$505,"○")&gt;0,1,0))</f>
        <v/>
      </c>
      <c r="CY10">
        <f>IF(CY$4=0,0,IF(COUNTIFS(実績!$W$6:$W$505,CY$3,実績!$AC$6:$AC$505,"&lt;="&amp;$A10,実績!$AD$6:$AD$505,"&gt;"&amp;$A10,実績!$AE$6:$AE$505,"○")&gt;0,1,0))</f>
        <v/>
      </c>
      <c r="CZ10">
        <f>IF(CZ$4=0,0,IF(COUNTIFS(実績!$W$6:$W$505,CZ$3,実績!$AC$6:$AC$505,"&lt;="&amp;$A10,実績!$AD$6:$AD$505,"&gt;"&amp;$A10,実績!$AE$6:$AE$505,"○")&gt;0,1,0))</f>
        <v/>
      </c>
      <c r="DA10">
        <f>IF(DA$4=0,0,IF(COUNTIFS(実績!$W$6:$W$505,DA$3,実績!$AC$6:$AC$505,"&lt;="&amp;$A10,実績!$AD$6:$AD$505,"&gt;"&amp;$A10,実績!$AE$6:$AE$505,"○")&gt;0,1,0))</f>
        <v/>
      </c>
      <c r="DB10">
        <f>IF(DB$4=0,0,IF(COUNTIFS(実績!$W$6:$W$505,DB$3,実績!$AC$6:$AC$505,"&lt;="&amp;$A10,実績!$AD$6:$AD$505,"&gt;"&amp;$A10,実績!$AE$6:$AE$505,"○")&gt;0,1,0))</f>
        <v/>
      </c>
      <c r="DC10">
        <f>IF(DC$4=0,0,IF(COUNTIFS(実績!$W$6:$W$505,DC$3,実績!$AC$6:$AC$505,"&lt;="&amp;$A10,実績!$AD$6:$AD$505,"&gt;"&amp;$A10,実績!$AE$6:$AE$505,"○")&gt;0,1,0))</f>
        <v/>
      </c>
      <c r="DD10">
        <f>IF(DD$4=0,0,IF(COUNTIFS(実績!$W$6:$W$505,DD$3,実績!$AC$6:$AC$505,"&lt;="&amp;$A10,実績!$AD$6:$AD$505,"&gt;"&amp;$A10,実績!$AE$6:$AE$505,"○")&gt;0,1,0))</f>
        <v/>
      </c>
      <c r="DE10">
        <f>IF(DE$4=0,0,IF(COUNTIFS(実績!$W$6:$W$505,DE$3,実績!$AC$6:$AC$505,"&lt;="&amp;$A10,実績!$AD$6:$AD$505,"&gt;"&amp;$A10,実績!$AE$6:$AE$505,"○")&gt;0,1,0))</f>
        <v/>
      </c>
      <c r="DF10">
        <f>IF(DF$4=0,0,IF(COUNTIFS(実績!$W$6:$W$505,DF$3,実績!$AC$6:$AC$505,"&lt;="&amp;$A10,実績!$AD$6:$AD$505,"&gt;"&amp;$A10,実績!$AE$6:$AE$505,"○")&gt;0,1,0))</f>
        <v/>
      </c>
      <c r="DG10">
        <f>IF(DG$4=0,0,IF(COUNTIFS(実績!$W$6:$W$505,DG$3,実績!$AC$6:$AC$505,"&lt;="&amp;$A10,実績!$AD$6:$AD$505,"&gt;"&amp;$A10,実績!$AE$6:$AE$505,"○")&gt;0,1,0))</f>
        <v/>
      </c>
      <c r="DH10">
        <f>IF(DH$4=0,0,IF(COUNTIFS(実績!$W$6:$W$505,DH$3,実績!$AC$6:$AC$505,"&lt;="&amp;$A10,実績!$AD$6:$AD$505,"&gt;"&amp;$A10,実績!$AE$6:$AE$505,"○")&gt;0,1,0))</f>
        <v/>
      </c>
      <c r="DI10">
        <f>IF(DI$4=0,0,IF(COUNTIFS(実績!$W$6:$W$505,DI$3,実績!$AC$6:$AC$505,"&lt;="&amp;$A10,実績!$AD$6:$AD$505,"&gt;"&amp;$A10,実績!$AE$6:$AE$505,"○")&gt;0,1,0))</f>
        <v/>
      </c>
      <c r="DJ10">
        <f>IF(DJ$4=0,0,IF(COUNTIFS(実績!$W$6:$W$505,DJ$3,実績!$AC$6:$AC$505,"&lt;="&amp;$A10,実績!$AD$6:$AD$505,"&gt;"&amp;$A10,実績!$AE$6:$AE$505,"○")&gt;0,1,0))</f>
        <v/>
      </c>
      <c r="DK10">
        <f>IF(DK$4=0,0,IF(COUNTIFS(実績!$W$6:$W$505,DK$3,実績!$AC$6:$AC$505,"&lt;="&amp;$A10,実績!$AD$6:$AD$505,"&gt;"&amp;$A10,実績!$AE$6:$AE$505,"○")&gt;0,1,0))</f>
        <v/>
      </c>
      <c r="DL10">
        <f>IF(DL$4=0,0,IF(COUNTIFS(実績!$W$6:$W$505,DL$3,実績!$AC$6:$AC$505,"&lt;="&amp;$A10,実績!$AD$6:$AD$505,"&gt;"&amp;$A10,実績!$AE$6:$AE$505,"○")&gt;0,1,0))</f>
        <v/>
      </c>
      <c r="DM10">
        <f>IF(DM$4=0,0,IF(COUNTIFS(実績!$W$6:$W$505,DM$3,実績!$AC$6:$AC$505,"&lt;="&amp;$A10,実績!$AD$6:$AD$505,"&gt;"&amp;$A10,実績!$AE$6:$AE$505,"○")&gt;0,1,0))</f>
        <v/>
      </c>
      <c r="DN10">
        <f>IF(DN$4=0,0,IF(COUNTIFS(実績!$W$6:$W$505,DN$3,実績!$AC$6:$AC$505,"&lt;="&amp;$A10,実績!$AD$6:$AD$505,"&gt;"&amp;$A10,実績!$AE$6:$AE$505,"○")&gt;0,1,0))</f>
        <v/>
      </c>
      <c r="DO10">
        <f>IF(DO$4=0,0,IF(COUNTIFS(実績!$W$6:$W$505,DO$3,実績!$AC$6:$AC$505,"&lt;="&amp;$A10,実績!$AD$6:$AD$505,"&gt;"&amp;$A10,実績!$AE$6:$AE$505,"○")&gt;0,1,0))</f>
        <v/>
      </c>
      <c r="DP10">
        <f>IF(DP$4=0,0,IF(COUNTIFS(実績!$W$6:$W$505,DP$3,実績!$AC$6:$AC$505,"&lt;="&amp;$A10,実績!$AD$6:$AD$505,"&gt;"&amp;$A10,実績!$AE$6:$AE$505,"○")&gt;0,1,0))</f>
        <v/>
      </c>
      <c r="DQ10">
        <f>IF(DQ$4=0,0,IF(COUNTIFS(実績!$W$6:$W$505,DQ$3,実績!$AC$6:$AC$505,"&lt;="&amp;$A10,実績!$AD$6:$AD$505,"&gt;"&amp;$A10,実績!$AE$6:$AE$505,"○")&gt;0,1,0))</f>
        <v/>
      </c>
      <c r="DR10">
        <f>IF(DR$4=0,0,IF(COUNTIFS(実績!$W$6:$W$505,DR$3,実績!$AC$6:$AC$505,"&lt;="&amp;$A10,実績!$AD$6:$AD$505,"&gt;"&amp;$A10,実績!$AE$6:$AE$505,"○")&gt;0,1,0))</f>
        <v/>
      </c>
      <c r="DS10">
        <f>SUM(C10:DR10)</f>
        <v/>
      </c>
      <c r="DT10">
        <f>SUMPRODUCT((実績!$C$6:$C$505="○")*ISNUMBER(実績!$AF$6:$AF$505)*(実績!$AF$6:$AF$505&lt;=$A10)*(実績!$AG$6:$AG$505&gt;$A10))</f>
        <v/>
      </c>
      <c r="DU10">
        <f>SUMIF($C$2:$DR$2,"製鉄曳船",C10:DR10)</f>
        <v/>
      </c>
      <c r="DV10">
        <f>SUMIF($C$2:$DR$2,"西日本海運",C10:DR10)</f>
        <v/>
      </c>
    </row>
    <row r="11">
      <c r="A11" t="n">
        <v>25</v>
      </c>
      <c r="B11" s="29">
        <f>A11/1440</f>
        <v/>
      </c>
      <c r="C11">
        <f>IF(C$4=0,0,IF(COUNTIFS(実績!$W$6:$W$505,C$3,実績!$AC$6:$AC$505,"&lt;="&amp;$A11,実績!$AD$6:$AD$505,"&gt;"&amp;$A11,実績!$AE$6:$AE$505,"○")&gt;0,1,0))</f>
        <v/>
      </c>
      <c r="D11">
        <f>IF(D$4=0,0,IF(COUNTIFS(実績!$W$6:$W$505,D$3,実績!$AC$6:$AC$505,"&lt;="&amp;$A11,実績!$AD$6:$AD$505,"&gt;"&amp;$A11,実績!$AE$6:$AE$505,"○")&gt;0,1,0))</f>
        <v/>
      </c>
      <c r="E11">
        <f>IF(E$4=0,0,IF(COUNTIFS(実績!$W$6:$W$505,E$3,実績!$AC$6:$AC$505,"&lt;="&amp;$A11,実績!$AD$6:$AD$505,"&gt;"&amp;$A11,実績!$AE$6:$AE$505,"○")&gt;0,1,0))</f>
        <v/>
      </c>
      <c r="F11">
        <f>IF(F$4=0,0,IF(COUNTIFS(実績!$W$6:$W$505,F$3,実績!$AC$6:$AC$505,"&lt;="&amp;$A11,実績!$AD$6:$AD$505,"&gt;"&amp;$A11,実績!$AE$6:$AE$505,"○")&gt;0,1,0))</f>
        <v/>
      </c>
      <c r="G11">
        <f>IF(G$4=0,0,IF(COUNTIFS(実績!$W$6:$W$505,G$3,実績!$AC$6:$AC$505,"&lt;="&amp;$A11,実績!$AD$6:$AD$505,"&gt;"&amp;$A11,実績!$AE$6:$AE$505,"○")&gt;0,1,0))</f>
        <v/>
      </c>
      <c r="H11">
        <f>IF(H$4=0,0,IF(COUNTIFS(実績!$W$6:$W$505,H$3,実績!$AC$6:$AC$505,"&lt;="&amp;$A11,実績!$AD$6:$AD$505,"&gt;"&amp;$A11,実績!$AE$6:$AE$505,"○")&gt;0,1,0))</f>
        <v/>
      </c>
      <c r="I11">
        <f>IF(I$4=0,0,IF(COUNTIFS(実績!$W$6:$W$505,I$3,実績!$AC$6:$AC$505,"&lt;="&amp;$A11,実績!$AD$6:$AD$505,"&gt;"&amp;$A11,実績!$AE$6:$AE$505,"○")&gt;0,1,0))</f>
        <v/>
      </c>
      <c r="J11">
        <f>IF(J$4=0,0,IF(COUNTIFS(実績!$W$6:$W$505,J$3,実績!$AC$6:$AC$505,"&lt;="&amp;$A11,実績!$AD$6:$AD$505,"&gt;"&amp;$A11,実績!$AE$6:$AE$505,"○")&gt;0,1,0))</f>
        <v/>
      </c>
      <c r="K11">
        <f>IF(K$4=0,0,IF(COUNTIFS(実績!$W$6:$W$505,K$3,実績!$AC$6:$AC$505,"&lt;="&amp;$A11,実績!$AD$6:$AD$505,"&gt;"&amp;$A11,実績!$AE$6:$AE$505,"○")&gt;0,1,0))</f>
        <v/>
      </c>
      <c r="L11">
        <f>IF(L$4=0,0,IF(COUNTIFS(実績!$W$6:$W$505,L$3,実績!$AC$6:$AC$505,"&lt;="&amp;$A11,実績!$AD$6:$AD$505,"&gt;"&amp;$A11,実績!$AE$6:$AE$505,"○")&gt;0,1,0))</f>
        <v/>
      </c>
      <c r="M11">
        <f>IF(M$4=0,0,IF(COUNTIFS(実績!$W$6:$W$505,M$3,実績!$AC$6:$AC$505,"&lt;="&amp;$A11,実績!$AD$6:$AD$505,"&gt;"&amp;$A11,実績!$AE$6:$AE$505,"○")&gt;0,1,0))</f>
        <v/>
      </c>
      <c r="N11">
        <f>IF(N$4=0,0,IF(COUNTIFS(実績!$W$6:$W$505,N$3,実績!$AC$6:$AC$505,"&lt;="&amp;$A11,実績!$AD$6:$AD$505,"&gt;"&amp;$A11,実績!$AE$6:$AE$505,"○")&gt;0,1,0))</f>
        <v/>
      </c>
      <c r="O11">
        <f>IF(O$4=0,0,IF(COUNTIFS(実績!$W$6:$W$505,O$3,実績!$AC$6:$AC$505,"&lt;="&amp;$A11,実績!$AD$6:$AD$505,"&gt;"&amp;$A11,実績!$AE$6:$AE$505,"○")&gt;0,1,0))</f>
        <v/>
      </c>
      <c r="P11">
        <f>IF(P$4=0,0,IF(COUNTIFS(実績!$W$6:$W$505,P$3,実績!$AC$6:$AC$505,"&lt;="&amp;$A11,実績!$AD$6:$AD$505,"&gt;"&amp;$A11,実績!$AE$6:$AE$505,"○")&gt;0,1,0))</f>
        <v/>
      </c>
      <c r="Q11">
        <f>IF(Q$4=0,0,IF(COUNTIFS(実績!$W$6:$W$505,Q$3,実績!$AC$6:$AC$505,"&lt;="&amp;$A11,実績!$AD$6:$AD$505,"&gt;"&amp;$A11,実績!$AE$6:$AE$505,"○")&gt;0,1,0))</f>
        <v/>
      </c>
      <c r="R11">
        <f>IF(R$4=0,0,IF(COUNTIFS(実績!$W$6:$W$505,R$3,実績!$AC$6:$AC$505,"&lt;="&amp;$A11,実績!$AD$6:$AD$505,"&gt;"&amp;$A11,実績!$AE$6:$AE$505,"○")&gt;0,1,0))</f>
        <v/>
      </c>
      <c r="S11">
        <f>IF(S$4=0,0,IF(COUNTIFS(実績!$W$6:$W$505,S$3,実績!$AC$6:$AC$505,"&lt;="&amp;$A11,実績!$AD$6:$AD$505,"&gt;"&amp;$A11,実績!$AE$6:$AE$505,"○")&gt;0,1,0))</f>
        <v/>
      </c>
      <c r="T11">
        <f>IF(T$4=0,0,IF(COUNTIFS(実績!$W$6:$W$505,T$3,実績!$AC$6:$AC$505,"&lt;="&amp;$A11,実績!$AD$6:$AD$505,"&gt;"&amp;$A11,実績!$AE$6:$AE$505,"○")&gt;0,1,0))</f>
        <v/>
      </c>
      <c r="U11">
        <f>IF(U$4=0,0,IF(COUNTIFS(実績!$W$6:$W$505,U$3,実績!$AC$6:$AC$505,"&lt;="&amp;$A11,実績!$AD$6:$AD$505,"&gt;"&amp;$A11,実績!$AE$6:$AE$505,"○")&gt;0,1,0))</f>
        <v/>
      </c>
      <c r="V11">
        <f>IF(V$4=0,0,IF(COUNTIFS(実績!$W$6:$W$505,V$3,実績!$AC$6:$AC$505,"&lt;="&amp;$A11,実績!$AD$6:$AD$505,"&gt;"&amp;$A11,実績!$AE$6:$AE$505,"○")&gt;0,1,0))</f>
        <v/>
      </c>
      <c r="W11">
        <f>IF(W$4=0,0,IF(COUNTIFS(実績!$W$6:$W$505,W$3,実績!$AC$6:$AC$505,"&lt;="&amp;$A11,実績!$AD$6:$AD$505,"&gt;"&amp;$A11,実績!$AE$6:$AE$505,"○")&gt;0,1,0))</f>
        <v/>
      </c>
      <c r="X11">
        <f>IF(X$4=0,0,IF(COUNTIFS(実績!$W$6:$W$505,X$3,実績!$AC$6:$AC$505,"&lt;="&amp;$A11,実績!$AD$6:$AD$505,"&gt;"&amp;$A11,実績!$AE$6:$AE$505,"○")&gt;0,1,0))</f>
        <v/>
      </c>
      <c r="Y11">
        <f>IF(Y$4=0,0,IF(COUNTIFS(実績!$W$6:$W$505,Y$3,実績!$AC$6:$AC$505,"&lt;="&amp;$A11,実績!$AD$6:$AD$505,"&gt;"&amp;$A11,実績!$AE$6:$AE$505,"○")&gt;0,1,0))</f>
        <v/>
      </c>
      <c r="Z11">
        <f>IF(Z$4=0,0,IF(COUNTIFS(実績!$W$6:$W$505,Z$3,実績!$AC$6:$AC$505,"&lt;="&amp;$A11,実績!$AD$6:$AD$505,"&gt;"&amp;$A11,実績!$AE$6:$AE$505,"○")&gt;0,1,0))</f>
        <v/>
      </c>
      <c r="AA11">
        <f>IF(AA$4=0,0,IF(COUNTIFS(実績!$W$6:$W$505,AA$3,実績!$AC$6:$AC$505,"&lt;="&amp;$A11,実績!$AD$6:$AD$505,"&gt;"&amp;$A11,実績!$AE$6:$AE$505,"○")&gt;0,1,0))</f>
        <v/>
      </c>
      <c r="AB11">
        <f>IF(AB$4=0,0,IF(COUNTIFS(実績!$W$6:$W$505,AB$3,実績!$AC$6:$AC$505,"&lt;="&amp;$A11,実績!$AD$6:$AD$505,"&gt;"&amp;$A11,実績!$AE$6:$AE$505,"○")&gt;0,1,0))</f>
        <v/>
      </c>
      <c r="AC11">
        <f>IF(AC$4=0,0,IF(COUNTIFS(実績!$W$6:$W$505,AC$3,実績!$AC$6:$AC$505,"&lt;="&amp;$A11,実績!$AD$6:$AD$505,"&gt;"&amp;$A11,実績!$AE$6:$AE$505,"○")&gt;0,1,0))</f>
        <v/>
      </c>
      <c r="AD11">
        <f>IF(AD$4=0,0,IF(COUNTIFS(実績!$W$6:$W$505,AD$3,実績!$AC$6:$AC$505,"&lt;="&amp;$A11,実績!$AD$6:$AD$505,"&gt;"&amp;$A11,実績!$AE$6:$AE$505,"○")&gt;0,1,0))</f>
        <v/>
      </c>
      <c r="AE11">
        <f>IF(AE$4=0,0,IF(COUNTIFS(実績!$W$6:$W$505,AE$3,実績!$AC$6:$AC$505,"&lt;="&amp;$A11,実績!$AD$6:$AD$505,"&gt;"&amp;$A11,実績!$AE$6:$AE$505,"○")&gt;0,1,0))</f>
        <v/>
      </c>
      <c r="AF11">
        <f>IF(AF$4=0,0,IF(COUNTIFS(実績!$W$6:$W$505,AF$3,実績!$AC$6:$AC$505,"&lt;="&amp;$A11,実績!$AD$6:$AD$505,"&gt;"&amp;$A11,実績!$AE$6:$AE$505,"○")&gt;0,1,0))</f>
        <v/>
      </c>
      <c r="AG11">
        <f>IF(AG$4=0,0,IF(COUNTIFS(実績!$W$6:$W$505,AG$3,実績!$AC$6:$AC$505,"&lt;="&amp;$A11,実績!$AD$6:$AD$505,"&gt;"&amp;$A11,実績!$AE$6:$AE$505,"○")&gt;0,1,0))</f>
        <v/>
      </c>
      <c r="AH11">
        <f>IF(AH$4=0,0,IF(COUNTIFS(実績!$W$6:$W$505,AH$3,実績!$AC$6:$AC$505,"&lt;="&amp;$A11,実績!$AD$6:$AD$505,"&gt;"&amp;$A11,実績!$AE$6:$AE$505,"○")&gt;0,1,0))</f>
        <v/>
      </c>
      <c r="AI11">
        <f>IF(AI$4=0,0,IF(COUNTIFS(実績!$W$6:$W$505,AI$3,実績!$AC$6:$AC$505,"&lt;="&amp;$A11,実績!$AD$6:$AD$505,"&gt;"&amp;$A11,実績!$AE$6:$AE$505,"○")&gt;0,1,0))</f>
        <v/>
      </c>
      <c r="AJ11">
        <f>IF(AJ$4=0,0,IF(COUNTIFS(実績!$W$6:$W$505,AJ$3,実績!$AC$6:$AC$505,"&lt;="&amp;$A11,実績!$AD$6:$AD$505,"&gt;"&amp;$A11,実績!$AE$6:$AE$505,"○")&gt;0,1,0))</f>
        <v/>
      </c>
      <c r="AK11">
        <f>IF(AK$4=0,0,IF(COUNTIFS(実績!$W$6:$W$505,AK$3,実績!$AC$6:$AC$505,"&lt;="&amp;$A11,実績!$AD$6:$AD$505,"&gt;"&amp;$A11,実績!$AE$6:$AE$505,"○")&gt;0,1,0))</f>
        <v/>
      </c>
      <c r="AL11">
        <f>IF(AL$4=0,0,IF(COUNTIFS(実績!$W$6:$W$505,AL$3,実績!$AC$6:$AC$505,"&lt;="&amp;$A11,実績!$AD$6:$AD$505,"&gt;"&amp;$A11,実績!$AE$6:$AE$505,"○")&gt;0,1,0))</f>
        <v/>
      </c>
      <c r="AM11">
        <f>IF(AM$4=0,0,IF(COUNTIFS(実績!$W$6:$W$505,AM$3,実績!$AC$6:$AC$505,"&lt;="&amp;$A11,実績!$AD$6:$AD$505,"&gt;"&amp;$A11,実績!$AE$6:$AE$505,"○")&gt;0,1,0))</f>
        <v/>
      </c>
      <c r="AN11">
        <f>IF(AN$4=0,0,IF(COUNTIFS(実績!$W$6:$W$505,AN$3,実績!$AC$6:$AC$505,"&lt;="&amp;$A11,実績!$AD$6:$AD$505,"&gt;"&amp;$A11,実績!$AE$6:$AE$505,"○")&gt;0,1,0))</f>
        <v/>
      </c>
      <c r="AO11">
        <f>IF(AO$4=0,0,IF(COUNTIFS(実績!$W$6:$W$505,AO$3,実績!$AC$6:$AC$505,"&lt;="&amp;$A11,実績!$AD$6:$AD$505,"&gt;"&amp;$A11,実績!$AE$6:$AE$505,"○")&gt;0,1,0))</f>
        <v/>
      </c>
      <c r="AP11">
        <f>IF(AP$4=0,0,IF(COUNTIFS(実績!$W$6:$W$505,AP$3,実績!$AC$6:$AC$505,"&lt;="&amp;$A11,実績!$AD$6:$AD$505,"&gt;"&amp;$A11,実績!$AE$6:$AE$505,"○")&gt;0,1,0))</f>
        <v/>
      </c>
      <c r="AQ11">
        <f>IF(AQ$4=0,0,IF(COUNTIFS(実績!$W$6:$W$505,AQ$3,実績!$AC$6:$AC$505,"&lt;="&amp;$A11,実績!$AD$6:$AD$505,"&gt;"&amp;$A11,実績!$AE$6:$AE$505,"○")&gt;0,1,0))</f>
        <v/>
      </c>
      <c r="AR11">
        <f>IF(AR$4=0,0,IF(COUNTIFS(実績!$W$6:$W$505,AR$3,実績!$AC$6:$AC$505,"&lt;="&amp;$A11,実績!$AD$6:$AD$505,"&gt;"&amp;$A11,実績!$AE$6:$AE$505,"○")&gt;0,1,0))</f>
        <v/>
      </c>
      <c r="AS11">
        <f>IF(AS$4=0,0,IF(COUNTIFS(実績!$W$6:$W$505,AS$3,実績!$AC$6:$AC$505,"&lt;="&amp;$A11,実績!$AD$6:$AD$505,"&gt;"&amp;$A11,実績!$AE$6:$AE$505,"○")&gt;0,1,0))</f>
        <v/>
      </c>
      <c r="AT11">
        <f>IF(AT$4=0,0,IF(COUNTIFS(実績!$W$6:$W$505,AT$3,実績!$AC$6:$AC$505,"&lt;="&amp;$A11,実績!$AD$6:$AD$505,"&gt;"&amp;$A11,実績!$AE$6:$AE$505,"○")&gt;0,1,0))</f>
        <v/>
      </c>
      <c r="AU11">
        <f>IF(AU$4=0,0,IF(COUNTIFS(実績!$W$6:$W$505,AU$3,実績!$AC$6:$AC$505,"&lt;="&amp;$A11,実績!$AD$6:$AD$505,"&gt;"&amp;$A11,実績!$AE$6:$AE$505,"○")&gt;0,1,0))</f>
        <v/>
      </c>
      <c r="AV11">
        <f>IF(AV$4=0,0,IF(COUNTIFS(実績!$W$6:$W$505,AV$3,実績!$AC$6:$AC$505,"&lt;="&amp;$A11,実績!$AD$6:$AD$505,"&gt;"&amp;$A11,実績!$AE$6:$AE$505,"○")&gt;0,1,0))</f>
        <v/>
      </c>
      <c r="AW11">
        <f>IF(AW$4=0,0,IF(COUNTIFS(実績!$W$6:$W$505,AW$3,実績!$AC$6:$AC$505,"&lt;="&amp;$A11,実績!$AD$6:$AD$505,"&gt;"&amp;$A11,実績!$AE$6:$AE$505,"○")&gt;0,1,0))</f>
        <v/>
      </c>
      <c r="AX11">
        <f>IF(AX$4=0,0,IF(COUNTIFS(実績!$W$6:$W$505,AX$3,実績!$AC$6:$AC$505,"&lt;="&amp;$A11,実績!$AD$6:$AD$505,"&gt;"&amp;$A11,実績!$AE$6:$AE$505,"○")&gt;0,1,0))</f>
        <v/>
      </c>
      <c r="AY11">
        <f>IF(AY$4=0,0,IF(COUNTIFS(実績!$W$6:$W$505,AY$3,実績!$AC$6:$AC$505,"&lt;="&amp;$A11,実績!$AD$6:$AD$505,"&gt;"&amp;$A11,実績!$AE$6:$AE$505,"○")&gt;0,1,0))</f>
        <v/>
      </c>
      <c r="AZ11">
        <f>IF(AZ$4=0,0,IF(COUNTIFS(実績!$W$6:$W$505,AZ$3,実績!$AC$6:$AC$505,"&lt;="&amp;$A11,実績!$AD$6:$AD$505,"&gt;"&amp;$A11,実績!$AE$6:$AE$505,"○")&gt;0,1,0))</f>
        <v/>
      </c>
      <c r="BA11">
        <f>IF(BA$4=0,0,IF(COUNTIFS(実績!$W$6:$W$505,BA$3,実績!$AC$6:$AC$505,"&lt;="&amp;$A11,実績!$AD$6:$AD$505,"&gt;"&amp;$A11,実績!$AE$6:$AE$505,"○")&gt;0,1,0))</f>
        <v/>
      </c>
      <c r="BB11">
        <f>IF(BB$4=0,0,IF(COUNTIFS(実績!$W$6:$W$505,BB$3,実績!$AC$6:$AC$505,"&lt;="&amp;$A11,実績!$AD$6:$AD$505,"&gt;"&amp;$A11,実績!$AE$6:$AE$505,"○")&gt;0,1,0))</f>
        <v/>
      </c>
      <c r="BC11">
        <f>IF(BC$4=0,0,IF(COUNTIFS(実績!$W$6:$W$505,BC$3,実績!$AC$6:$AC$505,"&lt;="&amp;$A11,実績!$AD$6:$AD$505,"&gt;"&amp;$A11,実績!$AE$6:$AE$505,"○")&gt;0,1,0))</f>
        <v/>
      </c>
      <c r="BD11">
        <f>IF(BD$4=0,0,IF(COUNTIFS(実績!$W$6:$W$505,BD$3,実績!$AC$6:$AC$505,"&lt;="&amp;$A11,実績!$AD$6:$AD$505,"&gt;"&amp;$A11,実績!$AE$6:$AE$505,"○")&gt;0,1,0))</f>
        <v/>
      </c>
      <c r="BE11">
        <f>IF(BE$4=0,0,IF(COUNTIFS(実績!$W$6:$W$505,BE$3,実績!$AC$6:$AC$505,"&lt;="&amp;$A11,実績!$AD$6:$AD$505,"&gt;"&amp;$A11,実績!$AE$6:$AE$505,"○")&gt;0,1,0))</f>
        <v/>
      </c>
      <c r="BF11">
        <f>IF(BF$4=0,0,IF(COUNTIFS(実績!$W$6:$W$505,BF$3,実績!$AC$6:$AC$505,"&lt;="&amp;$A11,実績!$AD$6:$AD$505,"&gt;"&amp;$A11,実績!$AE$6:$AE$505,"○")&gt;0,1,0))</f>
        <v/>
      </c>
      <c r="BG11">
        <f>IF(BG$4=0,0,IF(COUNTIFS(実績!$W$6:$W$505,BG$3,実績!$AC$6:$AC$505,"&lt;="&amp;$A11,実績!$AD$6:$AD$505,"&gt;"&amp;$A11,実績!$AE$6:$AE$505,"○")&gt;0,1,0))</f>
        <v/>
      </c>
      <c r="BH11">
        <f>IF(BH$4=0,0,IF(COUNTIFS(実績!$W$6:$W$505,BH$3,実績!$AC$6:$AC$505,"&lt;="&amp;$A11,実績!$AD$6:$AD$505,"&gt;"&amp;$A11,実績!$AE$6:$AE$505,"○")&gt;0,1,0))</f>
        <v/>
      </c>
      <c r="BI11">
        <f>IF(BI$4=0,0,IF(COUNTIFS(実績!$W$6:$W$505,BI$3,実績!$AC$6:$AC$505,"&lt;="&amp;$A11,実績!$AD$6:$AD$505,"&gt;"&amp;$A11,実績!$AE$6:$AE$505,"○")&gt;0,1,0))</f>
        <v/>
      </c>
      <c r="BJ11">
        <f>IF(BJ$4=0,0,IF(COUNTIFS(実績!$W$6:$W$505,BJ$3,実績!$AC$6:$AC$505,"&lt;="&amp;$A11,実績!$AD$6:$AD$505,"&gt;"&amp;$A11,実績!$AE$6:$AE$505,"○")&gt;0,1,0))</f>
        <v/>
      </c>
      <c r="BK11">
        <f>IF(BK$4=0,0,IF(COUNTIFS(実績!$W$6:$W$505,BK$3,実績!$AC$6:$AC$505,"&lt;="&amp;$A11,実績!$AD$6:$AD$505,"&gt;"&amp;$A11,実績!$AE$6:$AE$505,"○")&gt;0,1,0))</f>
        <v/>
      </c>
      <c r="BL11">
        <f>IF(BL$4=0,0,IF(COUNTIFS(実績!$W$6:$W$505,BL$3,実績!$AC$6:$AC$505,"&lt;="&amp;$A11,実績!$AD$6:$AD$505,"&gt;"&amp;$A11,実績!$AE$6:$AE$505,"○")&gt;0,1,0))</f>
        <v/>
      </c>
      <c r="BM11">
        <f>IF(BM$4=0,0,IF(COUNTIFS(実績!$W$6:$W$505,BM$3,実績!$AC$6:$AC$505,"&lt;="&amp;$A11,実績!$AD$6:$AD$505,"&gt;"&amp;$A11,実績!$AE$6:$AE$505,"○")&gt;0,1,0))</f>
        <v/>
      </c>
      <c r="BN11">
        <f>IF(BN$4=0,0,IF(COUNTIFS(実績!$W$6:$W$505,BN$3,実績!$AC$6:$AC$505,"&lt;="&amp;$A11,実績!$AD$6:$AD$505,"&gt;"&amp;$A11,実績!$AE$6:$AE$505,"○")&gt;0,1,0))</f>
        <v/>
      </c>
      <c r="BO11">
        <f>IF(BO$4=0,0,IF(COUNTIFS(実績!$W$6:$W$505,BO$3,実績!$AC$6:$AC$505,"&lt;="&amp;$A11,実績!$AD$6:$AD$505,"&gt;"&amp;$A11,実績!$AE$6:$AE$505,"○")&gt;0,1,0))</f>
        <v/>
      </c>
      <c r="BP11">
        <f>IF(BP$4=0,0,IF(COUNTIFS(実績!$W$6:$W$505,BP$3,実績!$AC$6:$AC$505,"&lt;="&amp;$A11,実績!$AD$6:$AD$505,"&gt;"&amp;$A11,実績!$AE$6:$AE$505,"○")&gt;0,1,0))</f>
        <v/>
      </c>
      <c r="BQ11">
        <f>IF(BQ$4=0,0,IF(COUNTIFS(実績!$W$6:$W$505,BQ$3,実績!$AC$6:$AC$505,"&lt;="&amp;$A11,実績!$AD$6:$AD$505,"&gt;"&amp;$A11,実績!$AE$6:$AE$505,"○")&gt;0,1,0))</f>
        <v/>
      </c>
      <c r="BR11">
        <f>IF(BR$4=0,0,IF(COUNTIFS(実績!$W$6:$W$505,BR$3,実績!$AC$6:$AC$505,"&lt;="&amp;$A11,実績!$AD$6:$AD$505,"&gt;"&amp;$A11,実績!$AE$6:$AE$505,"○")&gt;0,1,0))</f>
        <v/>
      </c>
      <c r="BS11">
        <f>IF(BS$4=0,0,IF(COUNTIFS(実績!$W$6:$W$505,BS$3,実績!$AC$6:$AC$505,"&lt;="&amp;$A11,実績!$AD$6:$AD$505,"&gt;"&amp;$A11,実績!$AE$6:$AE$505,"○")&gt;0,1,0))</f>
        <v/>
      </c>
      <c r="BT11">
        <f>IF(BT$4=0,0,IF(COUNTIFS(実績!$W$6:$W$505,BT$3,実績!$AC$6:$AC$505,"&lt;="&amp;$A11,実績!$AD$6:$AD$505,"&gt;"&amp;$A11,実績!$AE$6:$AE$505,"○")&gt;0,1,0))</f>
        <v/>
      </c>
      <c r="BU11">
        <f>IF(BU$4=0,0,IF(COUNTIFS(実績!$W$6:$W$505,BU$3,実績!$AC$6:$AC$505,"&lt;="&amp;$A11,実績!$AD$6:$AD$505,"&gt;"&amp;$A11,実績!$AE$6:$AE$505,"○")&gt;0,1,0))</f>
        <v/>
      </c>
      <c r="BV11">
        <f>IF(BV$4=0,0,IF(COUNTIFS(実績!$W$6:$W$505,BV$3,実績!$AC$6:$AC$505,"&lt;="&amp;$A11,実績!$AD$6:$AD$505,"&gt;"&amp;$A11,実績!$AE$6:$AE$505,"○")&gt;0,1,0))</f>
        <v/>
      </c>
      <c r="BW11">
        <f>IF(BW$4=0,0,IF(COUNTIFS(実績!$W$6:$W$505,BW$3,実績!$AC$6:$AC$505,"&lt;="&amp;$A11,実績!$AD$6:$AD$505,"&gt;"&amp;$A11,実績!$AE$6:$AE$505,"○")&gt;0,1,0))</f>
        <v/>
      </c>
      <c r="BX11">
        <f>IF(BX$4=0,0,IF(COUNTIFS(実績!$W$6:$W$505,BX$3,実績!$AC$6:$AC$505,"&lt;="&amp;$A11,実績!$AD$6:$AD$505,"&gt;"&amp;$A11,実績!$AE$6:$AE$505,"○")&gt;0,1,0))</f>
        <v/>
      </c>
      <c r="BY11">
        <f>IF(BY$4=0,0,IF(COUNTIFS(実績!$W$6:$W$505,BY$3,実績!$AC$6:$AC$505,"&lt;="&amp;$A11,実績!$AD$6:$AD$505,"&gt;"&amp;$A11,実績!$AE$6:$AE$505,"○")&gt;0,1,0))</f>
        <v/>
      </c>
      <c r="BZ11">
        <f>IF(BZ$4=0,0,IF(COUNTIFS(実績!$W$6:$W$505,BZ$3,実績!$AC$6:$AC$505,"&lt;="&amp;$A11,実績!$AD$6:$AD$505,"&gt;"&amp;$A11,実績!$AE$6:$AE$505,"○")&gt;0,1,0))</f>
        <v/>
      </c>
      <c r="CA11">
        <f>IF(CA$4=0,0,IF(COUNTIFS(実績!$W$6:$W$505,CA$3,実績!$AC$6:$AC$505,"&lt;="&amp;$A11,実績!$AD$6:$AD$505,"&gt;"&amp;$A11,実績!$AE$6:$AE$505,"○")&gt;0,1,0))</f>
        <v/>
      </c>
      <c r="CB11">
        <f>IF(CB$4=0,0,IF(COUNTIFS(実績!$W$6:$W$505,CB$3,実績!$AC$6:$AC$505,"&lt;="&amp;$A11,実績!$AD$6:$AD$505,"&gt;"&amp;$A11,実績!$AE$6:$AE$505,"○")&gt;0,1,0))</f>
        <v/>
      </c>
      <c r="CC11">
        <f>IF(CC$4=0,0,IF(COUNTIFS(実績!$W$6:$W$505,CC$3,実績!$AC$6:$AC$505,"&lt;="&amp;$A11,実績!$AD$6:$AD$505,"&gt;"&amp;$A11,実績!$AE$6:$AE$505,"○")&gt;0,1,0))</f>
        <v/>
      </c>
      <c r="CD11">
        <f>IF(CD$4=0,0,IF(COUNTIFS(実績!$W$6:$W$505,CD$3,実績!$AC$6:$AC$505,"&lt;="&amp;$A11,実績!$AD$6:$AD$505,"&gt;"&amp;$A11,実績!$AE$6:$AE$505,"○")&gt;0,1,0))</f>
        <v/>
      </c>
      <c r="CE11">
        <f>IF(CE$4=0,0,IF(COUNTIFS(実績!$W$6:$W$505,CE$3,実績!$AC$6:$AC$505,"&lt;="&amp;$A11,実績!$AD$6:$AD$505,"&gt;"&amp;$A11,実績!$AE$6:$AE$505,"○")&gt;0,1,0))</f>
        <v/>
      </c>
      <c r="CF11">
        <f>IF(CF$4=0,0,IF(COUNTIFS(実績!$W$6:$W$505,CF$3,実績!$AC$6:$AC$505,"&lt;="&amp;$A11,実績!$AD$6:$AD$505,"&gt;"&amp;$A11,実績!$AE$6:$AE$505,"○")&gt;0,1,0))</f>
        <v/>
      </c>
      <c r="CG11">
        <f>IF(CG$4=0,0,IF(COUNTIFS(実績!$W$6:$W$505,CG$3,実績!$AC$6:$AC$505,"&lt;="&amp;$A11,実績!$AD$6:$AD$505,"&gt;"&amp;$A11,実績!$AE$6:$AE$505,"○")&gt;0,1,0))</f>
        <v/>
      </c>
      <c r="CH11">
        <f>IF(CH$4=0,0,IF(COUNTIFS(実績!$W$6:$W$505,CH$3,実績!$AC$6:$AC$505,"&lt;="&amp;$A11,実績!$AD$6:$AD$505,"&gt;"&amp;$A11,実績!$AE$6:$AE$505,"○")&gt;0,1,0))</f>
        <v/>
      </c>
      <c r="CI11">
        <f>IF(CI$4=0,0,IF(COUNTIFS(実績!$W$6:$W$505,CI$3,実績!$AC$6:$AC$505,"&lt;="&amp;$A11,実績!$AD$6:$AD$505,"&gt;"&amp;$A11,実績!$AE$6:$AE$505,"○")&gt;0,1,0))</f>
        <v/>
      </c>
      <c r="CJ11">
        <f>IF(CJ$4=0,0,IF(COUNTIFS(実績!$W$6:$W$505,CJ$3,実績!$AC$6:$AC$505,"&lt;="&amp;$A11,実績!$AD$6:$AD$505,"&gt;"&amp;$A11,実績!$AE$6:$AE$505,"○")&gt;0,1,0))</f>
        <v/>
      </c>
      <c r="CK11">
        <f>IF(CK$4=0,0,IF(COUNTIFS(実績!$W$6:$W$505,CK$3,実績!$AC$6:$AC$505,"&lt;="&amp;$A11,実績!$AD$6:$AD$505,"&gt;"&amp;$A11,実績!$AE$6:$AE$505,"○")&gt;0,1,0))</f>
        <v/>
      </c>
      <c r="CL11">
        <f>IF(CL$4=0,0,IF(COUNTIFS(実績!$W$6:$W$505,CL$3,実績!$AC$6:$AC$505,"&lt;="&amp;$A11,実績!$AD$6:$AD$505,"&gt;"&amp;$A11,実績!$AE$6:$AE$505,"○")&gt;0,1,0))</f>
        <v/>
      </c>
      <c r="CM11">
        <f>IF(CM$4=0,0,IF(COUNTIFS(実績!$W$6:$W$505,CM$3,実績!$AC$6:$AC$505,"&lt;="&amp;$A11,実績!$AD$6:$AD$505,"&gt;"&amp;$A11,実績!$AE$6:$AE$505,"○")&gt;0,1,0))</f>
        <v/>
      </c>
      <c r="CN11">
        <f>IF(CN$4=0,0,IF(COUNTIFS(実績!$W$6:$W$505,CN$3,実績!$AC$6:$AC$505,"&lt;="&amp;$A11,実績!$AD$6:$AD$505,"&gt;"&amp;$A11,実績!$AE$6:$AE$505,"○")&gt;0,1,0))</f>
        <v/>
      </c>
      <c r="CO11">
        <f>IF(CO$4=0,0,IF(COUNTIFS(実績!$W$6:$W$505,CO$3,実績!$AC$6:$AC$505,"&lt;="&amp;$A11,実績!$AD$6:$AD$505,"&gt;"&amp;$A11,実績!$AE$6:$AE$505,"○")&gt;0,1,0))</f>
        <v/>
      </c>
      <c r="CP11">
        <f>IF(CP$4=0,0,IF(COUNTIFS(実績!$W$6:$W$505,CP$3,実績!$AC$6:$AC$505,"&lt;="&amp;$A11,実績!$AD$6:$AD$505,"&gt;"&amp;$A11,実績!$AE$6:$AE$505,"○")&gt;0,1,0))</f>
        <v/>
      </c>
      <c r="CQ11">
        <f>IF(CQ$4=0,0,IF(COUNTIFS(実績!$W$6:$W$505,CQ$3,実績!$AC$6:$AC$505,"&lt;="&amp;$A11,実績!$AD$6:$AD$505,"&gt;"&amp;$A11,実績!$AE$6:$AE$505,"○")&gt;0,1,0))</f>
        <v/>
      </c>
      <c r="CR11">
        <f>IF(CR$4=0,0,IF(COUNTIFS(実績!$W$6:$W$505,CR$3,実績!$AC$6:$AC$505,"&lt;="&amp;$A11,実績!$AD$6:$AD$505,"&gt;"&amp;$A11,実績!$AE$6:$AE$505,"○")&gt;0,1,0))</f>
        <v/>
      </c>
      <c r="CS11">
        <f>IF(CS$4=0,0,IF(COUNTIFS(実績!$W$6:$W$505,CS$3,実績!$AC$6:$AC$505,"&lt;="&amp;$A11,実績!$AD$6:$AD$505,"&gt;"&amp;$A11,実績!$AE$6:$AE$505,"○")&gt;0,1,0))</f>
        <v/>
      </c>
      <c r="CT11">
        <f>IF(CT$4=0,0,IF(COUNTIFS(実績!$W$6:$W$505,CT$3,実績!$AC$6:$AC$505,"&lt;="&amp;$A11,実績!$AD$6:$AD$505,"&gt;"&amp;$A11,実績!$AE$6:$AE$505,"○")&gt;0,1,0))</f>
        <v/>
      </c>
      <c r="CU11">
        <f>IF(CU$4=0,0,IF(COUNTIFS(実績!$W$6:$W$505,CU$3,実績!$AC$6:$AC$505,"&lt;="&amp;$A11,実績!$AD$6:$AD$505,"&gt;"&amp;$A11,実績!$AE$6:$AE$505,"○")&gt;0,1,0))</f>
        <v/>
      </c>
      <c r="CV11">
        <f>IF(CV$4=0,0,IF(COUNTIFS(実績!$W$6:$W$505,CV$3,実績!$AC$6:$AC$505,"&lt;="&amp;$A11,実績!$AD$6:$AD$505,"&gt;"&amp;$A11,実績!$AE$6:$AE$505,"○")&gt;0,1,0))</f>
        <v/>
      </c>
      <c r="CW11">
        <f>IF(CW$4=0,0,IF(COUNTIFS(実績!$W$6:$W$505,CW$3,実績!$AC$6:$AC$505,"&lt;="&amp;$A11,実績!$AD$6:$AD$505,"&gt;"&amp;$A11,実績!$AE$6:$AE$505,"○")&gt;0,1,0))</f>
        <v/>
      </c>
      <c r="CX11">
        <f>IF(CX$4=0,0,IF(COUNTIFS(実績!$W$6:$W$505,CX$3,実績!$AC$6:$AC$505,"&lt;="&amp;$A11,実績!$AD$6:$AD$505,"&gt;"&amp;$A11,実績!$AE$6:$AE$505,"○")&gt;0,1,0))</f>
        <v/>
      </c>
      <c r="CY11">
        <f>IF(CY$4=0,0,IF(COUNTIFS(実績!$W$6:$W$505,CY$3,実績!$AC$6:$AC$505,"&lt;="&amp;$A11,実績!$AD$6:$AD$505,"&gt;"&amp;$A11,実績!$AE$6:$AE$505,"○")&gt;0,1,0))</f>
        <v/>
      </c>
      <c r="CZ11">
        <f>IF(CZ$4=0,0,IF(COUNTIFS(実績!$W$6:$W$505,CZ$3,実績!$AC$6:$AC$505,"&lt;="&amp;$A11,実績!$AD$6:$AD$505,"&gt;"&amp;$A11,実績!$AE$6:$AE$505,"○")&gt;0,1,0))</f>
        <v/>
      </c>
      <c r="DA11">
        <f>IF(DA$4=0,0,IF(COUNTIFS(実績!$W$6:$W$505,DA$3,実績!$AC$6:$AC$505,"&lt;="&amp;$A11,実績!$AD$6:$AD$505,"&gt;"&amp;$A11,実績!$AE$6:$AE$505,"○")&gt;0,1,0))</f>
        <v/>
      </c>
      <c r="DB11">
        <f>IF(DB$4=0,0,IF(COUNTIFS(実績!$W$6:$W$505,DB$3,実績!$AC$6:$AC$505,"&lt;="&amp;$A11,実績!$AD$6:$AD$505,"&gt;"&amp;$A11,実績!$AE$6:$AE$505,"○")&gt;0,1,0))</f>
        <v/>
      </c>
      <c r="DC11">
        <f>IF(DC$4=0,0,IF(COUNTIFS(実績!$W$6:$W$505,DC$3,実績!$AC$6:$AC$505,"&lt;="&amp;$A11,実績!$AD$6:$AD$505,"&gt;"&amp;$A11,実績!$AE$6:$AE$505,"○")&gt;0,1,0))</f>
        <v/>
      </c>
      <c r="DD11">
        <f>IF(DD$4=0,0,IF(COUNTIFS(実績!$W$6:$W$505,DD$3,実績!$AC$6:$AC$505,"&lt;="&amp;$A11,実績!$AD$6:$AD$505,"&gt;"&amp;$A11,実績!$AE$6:$AE$505,"○")&gt;0,1,0))</f>
        <v/>
      </c>
      <c r="DE11">
        <f>IF(DE$4=0,0,IF(COUNTIFS(実績!$W$6:$W$505,DE$3,実績!$AC$6:$AC$505,"&lt;="&amp;$A11,実績!$AD$6:$AD$505,"&gt;"&amp;$A11,実績!$AE$6:$AE$505,"○")&gt;0,1,0))</f>
        <v/>
      </c>
      <c r="DF11">
        <f>IF(DF$4=0,0,IF(COUNTIFS(実績!$W$6:$W$505,DF$3,実績!$AC$6:$AC$505,"&lt;="&amp;$A11,実績!$AD$6:$AD$505,"&gt;"&amp;$A11,実績!$AE$6:$AE$505,"○")&gt;0,1,0))</f>
        <v/>
      </c>
      <c r="DG11">
        <f>IF(DG$4=0,0,IF(COUNTIFS(実績!$W$6:$W$505,DG$3,実績!$AC$6:$AC$505,"&lt;="&amp;$A11,実績!$AD$6:$AD$505,"&gt;"&amp;$A11,実績!$AE$6:$AE$505,"○")&gt;0,1,0))</f>
        <v/>
      </c>
      <c r="DH11">
        <f>IF(DH$4=0,0,IF(COUNTIFS(実績!$W$6:$W$505,DH$3,実績!$AC$6:$AC$505,"&lt;="&amp;$A11,実績!$AD$6:$AD$505,"&gt;"&amp;$A11,実績!$AE$6:$AE$505,"○")&gt;0,1,0))</f>
        <v/>
      </c>
      <c r="DI11">
        <f>IF(DI$4=0,0,IF(COUNTIFS(実績!$W$6:$W$505,DI$3,実績!$AC$6:$AC$505,"&lt;="&amp;$A11,実績!$AD$6:$AD$505,"&gt;"&amp;$A11,実績!$AE$6:$AE$505,"○")&gt;0,1,0))</f>
        <v/>
      </c>
      <c r="DJ11">
        <f>IF(DJ$4=0,0,IF(COUNTIFS(実績!$W$6:$W$505,DJ$3,実績!$AC$6:$AC$505,"&lt;="&amp;$A11,実績!$AD$6:$AD$505,"&gt;"&amp;$A11,実績!$AE$6:$AE$505,"○")&gt;0,1,0))</f>
        <v/>
      </c>
      <c r="DK11">
        <f>IF(DK$4=0,0,IF(COUNTIFS(実績!$W$6:$W$505,DK$3,実績!$AC$6:$AC$505,"&lt;="&amp;$A11,実績!$AD$6:$AD$505,"&gt;"&amp;$A11,実績!$AE$6:$AE$505,"○")&gt;0,1,0))</f>
        <v/>
      </c>
      <c r="DL11">
        <f>IF(DL$4=0,0,IF(COUNTIFS(実績!$W$6:$W$505,DL$3,実績!$AC$6:$AC$505,"&lt;="&amp;$A11,実績!$AD$6:$AD$505,"&gt;"&amp;$A11,実績!$AE$6:$AE$505,"○")&gt;0,1,0))</f>
        <v/>
      </c>
      <c r="DM11">
        <f>IF(DM$4=0,0,IF(COUNTIFS(実績!$W$6:$W$505,DM$3,実績!$AC$6:$AC$505,"&lt;="&amp;$A11,実績!$AD$6:$AD$505,"&gt;"&amp;$A11,実績!$AE$6:$AE$505,"○")&gt;0,1,0))</f>
        <v/>
      </c>
      <c r="DN11">
        <f>IF(DN$4=0,0,IF(COUNTIFS(実績!$W$6:$W$505,DN$3,実績!$AC$6:$AC$505,"&lt;="&amp;$A11,実績!$AD$6:$AD$505,"&gt;"&amp;$A11,実績!$AE$6:$AE$505,"○")&gt;0,1,0))</f>
        <v/>
      </c>
      <c r="DO11">
        <f>IF(DO$4=0,0,IF(COUNTIFS(実績!$W$6:$W$505,DO$3,実績!$AC$6:$AC$505,"&lt;="&amp;$A11,実績!$AD$6:$AD$505,"&gt;"&amp;$A11,実績!$AE$6:$AE$505,"○")&gt;0,1,0))</f>
        <v/>
      </c>
      <c r="DP11">
        <f>IF(DP$4=0,0,IF(COUNTIFS(実績!$W$6:$W$505,DP$3,実績!$AC$6:$AC$505,"&lt;="&amp;$A11,実績!$AD$6:$AD$505,"&gt;"&amp;$A11,実績!$AE$6:$AE$505,"○")&gt;0,1,0))</f>
        <v/>
      </c>
      <c r="DQ11">
        <f>IF(DQ$4=0,0,IF(COUNTIFS(実績!$W$6:$W$505,DQ$3,実績!$AC$6:$AC$505,"&lt;="&amp;$A11,実績!$AD$6:$AD$505,"&gt;"&amp;$A11,実績!$AE$6:$AE$505,"○")&gt;0,1,0))</f>
        <v/>
      </c>
      <c r="DR11">
        <f>IF(DR$4=0,0,IF(COUNTIFS(実績!$W$6:$W$505,DR$3,実績!$AC$6:$AC$505,"&lt;="&amp;$A11,実績!$AD$6:$AD$505,"&gt;"&amp;$A11,実績!$AE$6:$AE$505,"○")&gt;0,1,0))</f>
        <v/>
      </c>
      <c r="DS11">
        <f>SUM(C11:DR11)</f>
        <v/>
      </c>
      <c r="DT11">
        <f>SUMPRODUCT((実績!$C$6:$C$505="○")*ISNUMBER(実績!$AF$6:$AF$505)*(実績!$AF$6:$AF$505&lt;=$A11)*(実績!$AG$6:$AG$505&gt;$A11))</f>
        <v/>
      </c>
      <c r="DU11">
        <f>SUMIF($C$2:$DR$2,"製鉄曳船",C11:DR11)</f>
        <v/>
      </c>
      <c r="DV11">
        <f>SUMIF($C$2:$DR$2,"西日本海運",C11:DR11)</f>
        <v/>
      </c>
    </row>
    <row r="12">
      <c r="A12" t="n">
        <v>30</v>
      </c>
      <c r="B12" s="29">
        <f>A12/1440</f>
        <v/>
      </c>
      <c r="C12">
        <f>IF(C$4=0,0,IF(COUNTIFS(実績!$W$6:$W$505,C$3,実績!$AC$6:$AC$505,"&lt;="&amp;$A12,実績!$AD$6:$AD$505,"&gt;"&amp;$A12,実績!$AE$6:$AE$505,"○")&gt;0,1,0))</f>
        <v/>
      </c>
      <c r="D12">
        <f>IF(D$4=0,0,IF(COUNTIFS(実績!$W$6:$W$505,D$3,実績!$AC$6:$AC$505,"&lt;="&amp;$A12,実績!$AD$6:$AD$505,"&gt;"&amp;$A12,実績!$AE$6:$AE$505,"○")&gt;0,1,0))</f>
        <v/>
      </c>
      <c r="E12">
        <f>IF(E$4=0,0,IF(COUNTIFS(実績!$W$6:$W$505,E$3,実績!$AC$6:$AC$505,"&lt;="&amp;$A12,実績!$AD$6:$AD$505,"&gt;"&amp;$A12,実績!$AE$6:$AE$505,"○")&gt;0,1,0))</f>
        <v/>
      </c>
      <c r="F12">
        <f>IF(F$4=0,0,IF(COUNTIFS(実績!$W$6:$W$505,F$3,実績!$AC$6:$AC$505,"&lt;="&amp;$A12,実績!$AD$6:$AD$505,"&gt;"&amp;$A12,実績!$AE$6:$AE$505,"○")&gt;0,1,0))</f>
        <v/>
      </c>
      <c r="G12">
        <f>IF(G$4=0,0,IF(COUNTIFS(実績!$W$6:$W$505,G$3,実績!$AC$6:$AC$505,"&lt;="&amp;$A12,実績!$AD$6:$AD$505,"&gt;"&amp;$A12,実績!$AE$6:$AE$505,"○")&gt;0,1,0))</f>
        <v/>
      </c>
      <c r="H12">
        <f>IF(H$4=0,0,IF(COUNTIFS(実績!$W$6:$W$505,H$3,実績!$AC$6:$AC$505,"&lt;="&amp;$A12,実績!$AD$6:$AD$505,"&gt;"&amp;$A12,実績!$AE$6:$AE$505,"○")&gt;0,1,0))</f>
        <v/>
      </c>
      <c r="I12">
        <f>IF(I$4=0,0,IF(COUNTIFS(実績!$W$6:$W$505,I$3,実績!$AC$6:$AC$505,"&lt;="&amp;$A12,実績!$AD$6:$AD$505,"&gt;"&amp;$A12,実績!$AE$6:$AE$505,"○")&gt;0,1,0))</f>
        <v/>
      </c>
      <c r="J12">
        <f>IF(J$4=0,0,IF(COUNTIFS(実績!$W$6:$W$505,J$3,実績!$AC$6:$AC$505,"&lt;="&amp;$A12,実績!$AD$6:$AD$505,"&gt;"&amp;$A12,実績!$AE$6:$AE$505,"○")&gt;0,1,0))</f>
        <v/>
      </c>
      <c r="K12">
        <f>IF(K$4=0,0,IF(COUNTIFS(実績!$W$6:$W$505,K$3,実績!$AC$6:$AC$505,"&lt;="&amp;$A12,実績!$AD$6:$AD$505,"&gt;"&amp;$A12,実績!$AE$6:$AE$505,"○")&gt;0,1,0))</f>
        <v/>
      </c>
      <c r="L12">
        <f>IF(L$4=0,0,IF(COUNTIFS(実績!$W$6:$W$505,L$3,実績!$AC$6:$AC$505,"&lt;="&amp;$A12,実績!$AD$6:$AD$505,"&gt;"&amp;$A12,実績!$AE$6:$AE$505,"○")&gt;0,1,0))</f>
        <v/>
      </c>
      <c r="M12">
        <f>IF(M$4=0,0,IF(COUNTIFS(実績!$W$6:$W$505,M$3,実績!$AC$6:$AC$505,"&lt;="&amp;$A12,実績!$AD$6:$AD$505,"&gt;"&amp;$A12,実績!$AE$6:$AE$505,"○")&gt;0,1,0))</f>
        <v/>
      </c>
      <c r="N12">
        <f>IF(N$4=0,0,IF(COUNTIFS(実績!$W$6:$W$505,N$3,実績!$AC$6:$AC$505,"&lt;="&amp;$A12,実績!$AD$6:$AD$505,"&gt;"&amp;$A12,実績!$AE$6:$AE$505,"○")&gt;0,1,0))</f>
        <v/>
      </c>
      <c r="O12">
        <f>IF(O$4=0,0,IF(COUNTIFS(実績!$W$6:$W$505,O$3,実績!$AC$6:$AC$505,"&lt;="&amp;$A12,実績!$AD$6:$AD$505,"&gt;"&amp;$A12,実績!$AE$6:$AE$505,"○")&gt;0,1,0))</f>
        <v/>
      </c>
      <c r="P12">
        <f>IF(P$4=0,0,IF(COUNTIFS(実績!$W$6:$W$505,P$3,実績!$AC$6:$AC$505,"&lt;="&amp;$A12,実績!$AD$6:$AD$505,"&gt;"&amp;$A12,実績!$AE$6:$AE$505,"○")&gt;0,1,0))</f>
        <v/>
      </c>
      <c r="Q12">
        <f>IF(Q$4=0,0,IF(COUNTIFS(実績!$W$6:$W$505,Q$3,実績!$AC$6:$AC$505,"&lt;="&amp;$A12,実績!$AD$6:$AD$505,"&gt;"&amp;$A12,実績!$AE$6:$AE$505,"○")&gt;0,1,0))</f>
        <v/>
      </c>
      <c r="R12">
        <f>IF(R$4=0,0,IF(COUNTIFS(実績!$W$6:$W$505,R$3,実績!$AC$6:$AC$505,"&lt;="&amp;$A12,実績!$AD$6:$AD$505,"&gt;"&amp;$A12,実績!$AE$6:$AE$505,"○")&gt;0,1,0))</f>
        <v/>
      </c>
      <c r="S12">
        <f>IF(S$4=0,0,IF(COUNTIFS(実績!$W$6:$W$505,S$3,実績!$AC$6:$AC$505,"&lt;="&amp;$A12,実績!$AD$6:$AD$505,"&gt;"&amp;$A12,実績!$AE$6:$AE$505,"○")&gt;0,1,0))</f>
        <v/>
      </c>
      <c r="T12">
        <f>IF(T$4=0,0,IF(COUNTIFS(実績!$W$6:$W$505,T$3,実績!$AC$6:$AC$505,"&lt;="&amp;$A12,実績!$AD$6:$AD$505,"&gt;"&amp;$A12,実績!$AE$6:$AE$505,"○")&gt;0,1,0))</f>
        <v/>
      </c>
      <c r="U12">
        <f>IF(U$4=0,0,IF(COUNTIFS(実績!$W$6:$W$505,U$3,実績!$AC$6:$AC$505,"&lt;="&amp;$A12,実績!$AD$6:$AD$505,"&gt;"&amp;$A12,実績!$AE$6:$AE$505,"○")&gt;0,1,0))</f>
        <v/>
      </c>
      <c r="V12">
        <f>IF(V$4=0,0,IF(COUNTIFS(実績!$W$6:$W$505,V$3,実績!$AC$6:$AC$505,"&lt;="&amp;$A12,実績!$AD$6:$AD$505,"&gt;"&amp;$A12,実績!$AE$6:$AE$505,"○")&gt;0,1,0))</f>
        <v/>
      </c>
      <c r="W12">
        <f>IF(W$4=0,0,IF(COUNTIFS(実績!$W$6:$W$505,W$3,実績!$AC$6:$AC$505,"&lt;="&amp;$A12,実績!$AD$6:$AD$505,"&gt;"&amp;$A12,実績!$AE$6:$AE$505,"○")&gt;0,1,0))</f>
        <v/>
      </c>
      <c r="X12">
        <f>IF(X$4=0,0,IF(COUNTIFS(実績!$W$6:$W$505,X$3,実績!$AC$6:$AC$505,"&lt;="&amp;$A12,実績!$AD$6:$AD$505,"&gt;"&amp;$A12,実績!$AE$6:$AE$505,"○")&gt;0,1,0))</f>
        <v/>
      </c>
      <c r="Y12">
        <f>IF(Y$4=0,0,IF(COUNTIFS(実績!$W$6:$W$505,Y$3,実績!$AC$6:$AC$505,"&lt;="&amp;$A12,実績!$AD$6:$AD$505,"&gt;"&amp;$A12,実績!$AE$6:$AE$505,"○")&gt;0,1,0))</f>
        <v/>
      </c>
      <c r="Z12">
        <f>IF(Z$4=0,0,IF(COUNTIFS(実績!$W$6:$W$505,Z$3,実績!$AC$6:$AC$505,"&lt;="&amp;$A12,実績!$AD$6:$AD$505,"&gt;"&amp;$A12,実績!$AE$6:$AE$505,"○")&gt;0,1,0))</f>
        <v/>
      </c>
      <c r="AA12">
        <f>IF(AA$4=0,0,IF(COUNTIFS(実績!$W$6:$W$505,AA$3,実績!$AC$6:$AC$505,"&lt;="&amp;$A12,実績!$AD$6:$AD$505,"&gt;"&amp;$A12,実績!$AE$6:$AE$505,"○")&gt;0,1,0))</f>
        <v/>
      </c>
      <c r="AB12">
        <f>IF(AB$4=0,0,IF(COUNTIFS(実績!$W$6:$W$505,AB$3,実績!$AC$6:$AC$505,"&lt;="&amp;$A12,実績!$AD$6:$AD$505,"&gt;"&amp;$A12,実績!$AE$6:$AE$505,"○")&gt;0,1,0))</f>
        <v/>
      </c>
      <c r="AC12">
        <f>IF(AC$4=0,0,IF(COUNTIFS(実績!$W$6:$W$505,AC$3,実績!$AC$6:$AC$505,"&lt;="&amp;$A12,実績!$AD$6:$AD$505,"&gt;"&amp;$A12,実績!$AE$6:$AE$505,"○")&gt;0,1,0))</f>
        <v/>
      </c>
      <c r="AD12">
        <f>IF(AD$4=0,0,IF(COUNTIFS(実績!$W$6:$W$505,AD$3,実績!$AC$6:$AC$505,"&lt;="&amp;$A12,実績!$AD$6:$AD$505,"&gt;"&amp;$A12,実績!$AE$6:$AE$505,"○")&gt;0,1,0))</f>
        <v/>
      </c>
      <c r="AE12">
        <f>IF(AE$4=0,0,IF(COUNTIFS(実績!$W$6:$W$505,AE$3,実績!$AC$6:$AC$505,"&lt;="&amp;$A12,実績!$AD$6:$AD$505,"&gt;"&amp;$A12,実績!$AE$6:$AE$505,"○")&gt;0,1,0))</f>
        <v/>
      </c>
      <c r="AF12">
        <f>IF(AF$4=0,0,IF(COUNTIFS(実績!$W$6:$W$505,AF$3,実績!$AC$6:$AC$505,"&lt;="&amp;$A12,実績!$AD$6:$AD$505,"&gt;"&amp;$A12,実績!$AE$6:$AE$505,"○")&gt;0,1,0))</f>
        <v/>
      </c>
      <c r="AG12">
        <f>IF(AG$4=0,0,IF(COUNTIFS(実績!$W$6:$W$505,AG$3,実績!$AC$6:$AC$505,"&lt;="&amp;$A12,実績!$AD$6:$AD$505,"&gt;"&amp;$A12,実績!$AE$6:$AE$505,"○")&gt;0,1,0))</f>
        <v/>
      </c>
      <c r="AH12">
        <f>IF(AH$4=0,0,IF(COUNTIFS(実績!$W$6:$W$505,AH$3,実績!$AC$6:$AC$505,"&lt;="&amp;$A12,実績!$AD$6:$AD$505,"&gt;"&amp;$A12,実績!$AE$6:$AE$505,"○")&gt;0,1,0))</f>
        <v/>
      </c>
      <c r="AI12">
        <f>IF(AI$4=0,0,IF(COUNTIFS(実績!$W$6:$W$505,AI$3,実績!$AC$6:$AC$505,"&lt;="&amp;$A12,実績!$AD$6:$AD$505,"&gt;"&amp;$A12,実績!$AE$6:$AE$505,"○")&gt;0,1,0))</f>
        <v/>
      </c>
      <c r="AJ12">
        <f>IF(AJ$4=0,0,IF(COUNTIFS(実績!$W$6:$W$505,AJ$3,実績!$AC$6:$AC$505,"&lt;="&amp;$A12,実績!$AD$6:$AD$505,"&gt;"&amp;$A12,実績!$AE$6:$AE$505,"○")&gt;0,1,0))</f>
        <v/>
      </c>
      <c r="AK12">
        <f>IF(AK$4=0,0,IF(COUNTIFS(実績!$W$6:$W$505,AK$3,実績!$AC$6:$AC$505,"&lt;="&amp;$A12,実績!$AD$6:$AD$505,"&gt;"&amp;$A12,実績!$AE$6:$AE$505,"○")&gt;0,1,0))</f>
        <v/>
      </c>
      <c r="AL12">
        <f>IF(AL$4=0,0,IF(COUNTIFS(実績!$W$6:$W$505,AL$3,実績!$AC$6:$AC$505,"&lt;="&amp;$A12,実績!$AD$6:$AD$505,"&gt;"&amp;$A12,実績!$AE$6:$AE$505,"○")&gt;0,1,0))</f>
        <v/>
      </c>
      <c r="AM12">
        <f>IF(AM$4=0,0,IF(COUNTIFS(実績!$W$6:$W$505,AM$3,実績!$AC$6:$AC$505,"&lt;="&amp;$A12,実績!$AD$6:$AD$505,"&gt;"&amp;$A12,実績!$AE$6:$AE$505,"○")&gt;0,1,0))</f>
        <v/>
      </c>
      <c r="AN12">
        <f>IF(AN$4=0,0,IF(COUNTIFS(実績!$W$6:$W$505,AN$3,実績!$AC$6:$AC$505,"&lt;="&amp;$A12,実績!$AD$6:$AD$505,"&gt;"&amp;$A12,実績!$AE$6:$AE$505,"○")&gt;0,1,0))</f>
        <v/>
      </c>
      <c r="AO12">
        <f>IF(AO$4=0,0,IF(COUNTIFS(実績!$W$6:$W$505,AO$3,実績!$AC$6:$AC$505,"&lt;="&amp;$A12,実績!$AD$6:$AD$505,"&gt;"&amp;$A12,実績!$AE$6:$AE$505,"○")&gt;0,1,0))</f>
        <v/>
      </c>
      <c r="AP12">
        <f>IF(AP$4=0,0,IF(COUNTIFS(実績!$W$6:$W$505,AP$3,実績!$AC$6:$AC$505,"&lt;="&amp;$A12,実績!$AD$6:$AD$505,"&gt;"&amp;$A12,実績!$AE$6:$AE$505,"○")&gt;0,1,0))</f>
        <v/>
      </c>
      <c r="AQ12">
        <f>IF(AQ$4=0,0,IF(COUNTIFS(実績!$W$6:$W$505,AQ$3,実績!$AC$6:$AC$505,"&lt;="&amp;$A12,実績!$AD$6:$AD$505,"&gt;"&amp;$A12,実績!$AE$6:$AE$505,"○")&gt;0,1,0))</f>
        <v/>
      </c>
      <c r="AR12">
        <f>IF(AR$4=0,0,IF(COUNTIFS(実績!$W$6:$W$505,AR$3,実績!$AC$6:$AC$505,"&lt;="&amp;$A12,実績!$AD$6:$AD$505,"&gt;"&amp;$A12,実績!$AE$6:$AE$505,"○")&gt;0,1,0))</f>
        <v/>
      </c>
      <c r="AS12">
        <f>IF(AS$4=0,0,IF(COUNTIFS(実績!$W$6:$W$505,AS$3,実績!$AC$6:$AC$505,"&lt;="&amp;$A12,実績!$AD$6:$AD$505,"&gt;"&amp;$A12,実績!$AE$6:$AE$505,"○")&gt;0,1,0))</f>
        <v/>
      </c>
      <c r="AT12">
        <f>IF(AT$4=0,0,IF(COUNTIFS(実績!$W$6:$W$505,AT$3,実績!$AC$6:$AC$505,"&lt;="&amp;$A12,実績!$AD$6:$AD$505,"&gt;"&amp;$A12,実績!$AE$6:$AE$505,"○")&gt;0,1,0))</f>
        <v/>
      </c>
      <c r="AU12">
        <f>IF(AU$4=0,0,IF(COUNTIFS(実績!$W$6:$W$505,AU$3,実績!$AC$6:$AC$505,"&lt;="&amp;$A12,実績!$AD$6:$AD$505,"&gt;"&amp;$A12,実績!$AE$6:$AE$505,"○")&gt;0,1,0))</f>
        <v/>
      </c>
      <c r="AV12">
        <f>IF(AV$4=0,0,IF(COUNTIFS(実績!$W$6:$W$505,AV$3,実績!$AC$6:$AC$505,"&lt;="&amp;$A12,実績!$AD$6:$AD$505,"&gt;"&amp;$A12,実績!$AE$6:$AE$505,"○")&gt;0,1,0))</f>
        <v/>
      </c>
      <c r="AW12">
        <f>IF(AW$4=0,0,IF(COUNTIFS(実績!$W$6:$W$505,AW$3,実績!$AC$6:$AC$505,"&lt;="&amp;$A12,実績!$AD$6:$AD$505,"&gt;"&amp;$A12,実績!$AE$6:$AE$505,"○")&gt;0,1,0))</f>
        <v/>
      </c>
      <c r="AX12">
        <f>IF(AX$4=0,0,IF(COUNTIFS(実績!$W$6:$W$505,AX$3,実績!$AC$6:$AC$505,"&lt;="&amp;$A12,実績!$AD$6:$AD$505,"&gt;"&amp;$A12,実績!$AE$6:$AE$505,"○")&gt;0,1,0))</f>
        <v/>
      </c>
      <c r="AY12">
        <f>IF(AY$4=0,0,IF(COUNTIFS(実績!$W$6:$W$505,AY$3,実績!$AC$6:$AC$505,"&lt;="&amp;$A12,実績!$AD$6:$AD$505,"&gt;"&amp;$A12,実績!$AE$6:$AE$505,"○")&gt;0,1,0))</f>
        <v/>
      </c>
      <c r="AZ12">
        <f>IF(AZ$4=0,0,IF(COUNTIFS(実績!$W$6:$W$505,AZ$3,実績!$AC$6:$AC$505,"&lt;="&amp;$A12,実績!$AD$6:$AD$505,"&gt;"&amp;$A12,実績!$AE$6:$AE$505,"○")&gt;0,1,0))</f>
        <v/>
      </c>
      <c r="BA12">
        <f>IF(BA$4=0,0,IF(COUNTIFS(実績!$W$6:$W$505,BA$3,実績!$AC$6:$AC$505,"&lt;="&amp;$A12,実績!$AD$6:$AD$505,"&gt;"&amp;$A12,実績!$AE$6:$AE$505,"○")&gt;0,1,0))</f>
        <v/>
      </c>
      <c r="BB12">
        <f>IF(BB$4=0,0,IF(COUNTIFS(実績!$W$6:$W$505,BB$3,実績!$AC$6:$AC$505,"&lt;="&amp;$A12,実績!$AD$6:$AD$505,"&gt;"&amp;$A12,実績!$AE$6:$AE$505,"○")&gt;0,1,0))</f>
        <v/>
      </c>
      <c r="BC12">
        <f>IF(BC$4=0,0,IF(COUNTIFS(実績!$W$6:$W$505,BC$3,実績!$AC$6:$AC$505,"&lt;="&amp;$A12,実績!$AD$6:$AD$505,"&gt;"&amp;$A12,実績!$AE$6:$AE$505,"○")&gt;0,1,0))</f>
        <v/>
      </c>
      <c r="BD12">
        <f>IF(BD$4=0,0,IF(COUNTIFS(実績!$W$6:$W$505,BD$3,実績!$AC$6:$AC$505,"&lt;="&amp;$A12,実績!$AD$6:$AD$505,"&gt;"&amp;$A12,実績!$AE$6:$AE$505,"○")&gt;0,1,0))</f>
        <v/>
      </c>
      <c r="BE12">
        <f>IF(BE$4=0,0,IF(COUNTIFS(実績!$W$6:$W$505,BE$3,実績!$AC$6:$AC$505,"&lt;="&amp;$A12,実績!$AD$6:$AD$505,"&gt;"&amp;$A12,実績!$AE$6:$AE$505,"○")&gt;0,1,0))</f>
        <v/>
      </c>
      <c r="BF12">
        <f>IF(BF$4=0,0,IF(COUNTIFS(実績!$W$6:$W$505,BF$3,実績!$AC$6:$AC$505,"&lt;="&amp;$A12,実績!$AD$6:$AD$505,"&gt;"&amp;$A12,実績!$AE$6:$AE$505,"○")&gt;0,1,0))</f>
        <v/>
      </c>
      <c r="BG12">
        <f>IF(BG$4=0,0,IF(COUNTIFS(実績!$W$6:$W$505,BG$3,実績!$AC$6:$AC$505,"&lt;="&amp;$A12,実績!$AD$6:$AD$505,"&gt;"&amp;$A12,実績!$AE$6:$AE$505,"○")&gt;0,1,0))</f>
        <v/>
      </c>
      <c r="BH12">
        <f>IF(BH$4=0,0,IF(COUNTIFS(実績!$W$6:$W$505,BH$3,実績!$AC$6:$AC$505,"&lt;="&amp;$A12,実績!$AD$6:$AD$505,"&gt;"&amp;$A12,実績!$AE$6:$AE$505,"○")&gt;0,1,0))</f>
        <v/>
      </c>
      <c r="BI12">
        <f>IF(BI$4=0,0,IF(COUNTIFS(実績!$W$6:$W$505,BI$3,実績!$AC$6:$AC$505,"&lt;="&amp;$A12,実績!$AD$6:$AD$505,"&gt;"&amp;$A12,実績!$AE$6:$AE$505,"○")&gt;0,1,0))</f>
        <v/>
      </c>
      <c r="BJ12">
        <f>IF(BJ$4=0,0,IF(COUNTIFS(実績!$W$6:$W$505,BJ$3,実績!$AC$6:$AC$505,"&lt;="&amp;$A12,実績!$AD$6:$AD$505,"&gt;"&amp;$A12,実績!$AE$6:$AE$505,"○")&gt;0,1,0))</f>
        <v/>
      </c>
      <c r="BK12">
        <f>IF(BK$4=0,0,IF(COUNTIFS(実績!$W$6:$W$505,BK$3,実績!$AC$6:$AC$505,"&lt;="&amp;$A12,実績!$AD$6:$AD$505,"&gt;"&amp;$A12,実績!$AE$6:$AE$505,"○")&gt;0,1,0))</f>
        <v/>
      </c>
      <c r="BL12">
        <f>IF(BL$4=0,0,IF(COUNTIFS(実績!$W$6:$W$505,BL$3,実績!$AC$6:$AC$505,"&lt;="&amp;$A12,実績!$AD$6:$AD$505,"&gt;"&amp;$A12,実績!$AE$6:$AE$505,"○")&gt;0,1,0))</f>
        <v/>
      </c>
      <c r="BM12">
        <f>IF(BM$4=0,0,IF(COUNTIFS(実績!$W$6:$W$505,BM$3,実績!$AC$6:$AC$505,"&lt;="&amp;$A12,実績!$AD$6:$AD$505,"&gt;"&amp;$A12,実績!$AE$6:$AE$505,"○")&gt;0,1,0))</f>
        <v/>
      </c>
      <c r="BN12">
        <f>IF(BN$4=0,0,IF(COUNTIFS(実績!$W$6:$W$505,BN$3,実績!$AC$6:$AC$505,"&lt;="&amp;$A12,実績!$AD$6:$AD$505,"&gt;"&amp;$A12,実績!$AE$6:$AE$505,"○")&gt;0,1,0))</f>
        <v/>
      </c>
      <c r="BO12">
        <f>IF(BO$4=0,0,IF(COUNTIFS(実績!$W$6:$W$505,BO$3,実績!$AC$6:$AC$505,"&lt;="&amp;$A12,実績!$AD$6:$AD$505,"&gt;"&amp;$A12,実績!$AE$6:$AE$505,"○")&gt;0,1,0))</f>
        <v/>
      </c>
      <c r="BP12">
        <f>IF(BP$4=0,0,IF(COUNTIFS(実績!$W$6:$W$505,BP$3,実績!$AC$6:$AC$505,"&lt;="&amp;$A12,実績!$AD$6:$AD$505,"&gt;"&amp;$A12,実績!$AE$6:$AE$505,"○")&gt;0,1,0))</f>
        <v/>
      </c>
      <c r="BQ12">
        <f>IF(BQ$4=0,0,IF(COUNTIFS(実績!$W$6:$W$505,BQ$3,実績!$AC$6:$AC$505,"&lt;="&amp;$A12,実績!$AD$6:$AD$505,"&gt;"&amp;$A12,実績!$AE$6:$AE$505,"○")&gt;0,1,0))</f>
        <v/>
      </c>
      <c r="BR12">
        <f>IF(BR$4=0,0,IF(COUNTIFS(実績!$W$6:$W$505,BR$3,実績!$AC$6:$AC$505,"&lt;="&amp;$A12,実績!$AD$6:$AD$505,"&gt;"&amp;$A12,実績!$AE$6:$AE$505,"○")&gt;0,1,0))</f>
        <v/>
      </c>
      <c r="BS12">
        <f>IF(BS$4=0,0,IF(COUNTIFS(実績!$W$6:$W$505,BS$3,実績!$AC$6:$AC$505,"&lt;="&amp;$A12,実績!$AD$6:$AD$505,"&gt;"&amp;$A12,実績!$AE$6:$AE$505,"○")&gt;0,1,0))</f>
        <v/>
      </c>
      <c r="BT12">
        <f>IF(BT$4=0,0,IF(COUNTIFS(実績!$W$6:$W$505,BT$3,実績!$AC$6:$AC$505,"&lt;="&amp;$A12,実績!$AD$6:$AD$505,"&gt;"&amp;$A12,実績!$AE$6:$AE$505,"○")&gt;0,1,0))</f>
        <v/>
      </c>
      <c r="BU12">
        <f>IF(BU$4=0,0,IF(COUNTIFS(実績!$W$6:$W$505,BU$3,実績!$AC$6:$AC$505,"&lt;="&amp;$A12,実績!$AD$6:$AD$505,"&gt;"&amp;$A12,実績!$AE$6:$AE$505,"○")&gt;0,1,0))</f>
        <v/>
      </c>
      <c r="BV12">
        <f>IF(BV$4=0,0,IF(COUNTIFS(実績!$W$6:$W$505,BV$3,実績!$AC$6:$AC$505,"&lt;="&amp;$A12,実績!$AD$6:$AD$505,"&gt;"&amp;$A12,実績!$AE$6:$AE$505,"○")&gt;0,1,0))</f>
        <v/>
      </c>
      <c r="BW12">
        <f>IF(BW$4=0,0,IF(COUNTIFS(実績!$W$6:$W$505,BW$3,実績!$AC$6:$AC$505,"&lt;="&amp;$A12,実績!$AD$6:$AD$505,"&gt;"&amp;$A12,実績!$AE$6:$AE$505,"○")&gt;0,1,0))</f>
        <v/>
      </c>
      <c r="BX12">
        <f>IF(BX$4=0,0,IF(COUNTIFS(実績!$W$6:$W$505,BX$3,実績!$AC$6:$AC$505,"&lt;="&amp;$A12,実績!$AD$6:$AD$505,"&gt;"&amp;$A12,実績!$AE$6:$AE$505,"○")&gt;0,1,0))</f>
        <v/>
      </c>
      <c r="BY12">
        <f>IF(BY$4=0,0,IF(COUNTIFS(実績!$W$6:$W$505,BY$3,実績!$AC$6:$AC$505,"&lt;="&amp;$A12,実績!$AD$6:$AD$505,"&gt;"&amp;$A12,実績!$AE$6:$AE$505,"○")&gt;0,1,0))</f>
        <v/>
      </c>
      <c r="BZ12">
        <f>IF(BZ$4=0,0,IF(COUNTIFS(実績!$W$6:$W$505,BZ$3,実績!$AC$6:$AC$505,"&lt;="&amp;$A12,実績!$AD$6:$AD$505,"&gt;"&amp;$A12,実績!$AE$6:$AE$505,"○")&gt;0,1,0))</f>
        <v/>
      </c>
      <c r="CA12">
        <f>IF(CA$4=0,0,IF(COUNTIFS(実績!$W$6:$W$505,CA$3,実績!$AC$6:$AC$505,"&lt;="&amp;$A12,実績!$AD$6:$AD$505,"&gt;"&amp;$A12,実績!$AE$6:$AE$505,"○")&gt;0,1,0))</f>
        <v/>
      </c>
      <c r="CB12">
        <f>IF(CB$4=0,0,IF(COUNTIFS(実績!$W$6:$W$505,CB$3,実績!$AC$6:$AC$505,"&lt;="&amp;$A12,実績!$AD$6:$AD$505,"&gt;"&amp;$A12,実績!$AE$6:$AE$505,"○")&gt;0,1,0))</f>
        <v/>
      </c>
      <c r="CC12">
        <f>IF(CC$4=0,0,IF(COUNTIFS(実績!$W$6:$W$505,CC$3,実績!$AC$6:$AC$505,"&lt;="&amp;$A12,実績!$AD$6:$AD$505,"&gt;"&amp;$A12,実績!$AE$6:$AE$505,"○")&gt;0,1,0))</f>
        <v/>
      </c>
      <c r="CD12">
        <f>IF(CD$4=0,0,IF(COUNTIFS(実績!$W$6:$W$505,CD$3,実績!$AC$6:$AC$505,"&lt;="&amp;$A12,実績!$AD$6:$AD$505,"&gt;"&amp;$A12,実績!$AE$6:$AE$505,"○")&gt;0,1,0))</f>
        <v/>
      </c>
      <c r="CE12">
        <f>IF(CE$4=0,0,IF(COUNTIFS(実績!$W$6:$W$505,CE$3,実績!$AC$6:$AC$505,"&lt;="&amp;$A12,実績!$AD$6:$AD$505,"&gt;"&amp;$A12,実績!$AE$6:$AE$505,"○")&gt;0,1,0))</f>
        <v/>
      </c>
      <c r="CF12">
        <f>IF(CF$4=0,0,IF(COUNTIFS(実績!$W$6:$W$505,CF$3,実績!$AC$6:$AC$505,"&lt;="&amp;$A12,実績!$AD$6:$AD$505,"&gt;"&amp;$A12,実績!$AE$6:$AE$505,"○")&gt;0,1,0))</f>
        <v/>
      </c>
      <c r="CG12">
        <f>IF(CG$4=0,0,IF(COUNTIFS(実績!$W$6:$W$505,CG$3,実績!$AC$6:$AC$505,"&lt;="&amp;$A12,実績!$AD$6:$AD$505,"&gt;"&amp;$A12,実績!$AE$6:$AE$505,"○")&gt;0,1,0))</f>
        <v/>
      </c>
      <c r="CH12">
        <f>IF(CH$4=0,0,IF(COUNTIFS(実績!$W$6:$W$505,CH$3,実績!$AC$6:$AC$505,"&lt;="&amp;$A12,実績!$AD$6:$AD$505,"&gt;"&amp;$A12,実績!$AE$6:$AE$505,"○")&gt;0,1,0))</f>
        <v/>
      </c>
      <c r="CI12">
        <f>IF(CI$4=0,0,IF(COUNTIFS(実績!$W$6:$W$505,CI$3,実績!$AC$6:$AC$505,"&lt;="&amp;$A12,実績!$AD$6:$AD$505,"&gt;"&amp;$A12,実績!$AE$6:$AE$505,"○")&gt;0,1,0))</f>
        <v/>
      </c>
      <c r="CJ12">
        <f>IF(CJ$4=0,0,IF(COUNTIFS(実績!$W$6:$W$505,CJ$3,実績!$AC$6:$AC$505,"&lt;="&amp;$A12,実績!$AD$6:$AD$505,"&gt;"&amp;$A12,実績!$AE$6:$AE$505,"○")&gt;0,1,0))</f>
        <v/>
      </c>
      <c r="CK12">
        <f>IF(CK$4=0,0,IF(COUNTIFS(実績!$W$6:$W$505,CK$3,実績!$AC$6:$AC$505,"&lt;="&amp;$A12,実績!$AD$6:$AD$505,"&gt;"&amp;$A12,実績!$AE$6:$AE$505,"○")&gt;0,1,0))</f>
        <v/>
      </c>
      <c r="CL12">
        <f>IF(CL$4=0,0,IF(COUNTIFS(実績!$W$6:$W$505,CL$3,実績!$AC$6:$AC$505,"&lt;="&amp;$A12,実績!$AD$6:$AD$505,"&gt;"&amp;$A12,実績!$AE$6:$AE$505,"○")&gt;0,1,0))</f>
        <v/>
      </c>
      <c r="CM12">
        <f>IF(CM$4=0,0,IF(COUNTIFS(実績!$W$6:$W$505,CM$3,実績!$AC$6:$AC$505,"&lt;="&amp;$A12,実績!$AD$6:$AD$505,"&gt;"&amp;$A12,実績!$AE$6:$AE$505,"○")&gt;0,1,0))</f>
        <v/>
      </c>
      <c r="CN12">
        <f>IF(CN$4=0,0,IF(COUNTIFS(実績!$W$6:$W$505,CN$3,実績!$AC$6:$AC$505,"&lt;="&amp;$A12,実績!$AD$6:$AD$505,"&gt;"&amp;$A12,実績!$AE$6:$AE$505,"○")&gt;0,1,0))</f>
        <v/>
      </c>
      <c r="CO12">
        <f>IF(CO$4=0,0,IF(COUNTIFS(実績!$W$6:$W$505,CO$3,実績!$AC$6:$AC$505,"&lt;="&amp;$A12,実績!$AD$6:$AD$505,"&gt;"&amp;$A12,実績!$AE$6:$AE$505,"○")&gt;0,1,0))</f>
        <v/>
      </c>
      <c r="CP12">
        <f>IF(CP$4=0,0,IF(COUNTIFS(実績!$W$6:$W$505,CP$3,実績!$AC$6:$AC$505,"&lt;="&amp;$A12,実績!$AD$6:$AD$505,"&gt;"&amp;$A12,実績!$AE$6:$AE$505,"○")&gt;0,1,0))</f>
        <v/>
      </c>
      <c r="CQ12">
        <f>IF(CQ$4=0,0,IF(COUNTIFS(実績!$W$6:$W$505,CQ$3,実績!$AC$6:$AC$505,"&lt;="&amp;$A12,実績!$AD$6:$AD$505,"&gt;"&amp;$A12,実績!$AE$6:$AE$505,"○")&gt;0,1,0))</f>
        <v/>
      </c>
      <c r="CR12">
        <f>IF(CR$4=0,0,IF(COUNTIFS(実績!$W$6:$W$505,CR$3,実績!$AC$6:$AC$505,"&lt;="&amp;$A12,実績!$AD$6:$AD$505,"&gt;"&amp;$A12,実績!$AE$6:$AE$505,"○")&gt;0,1,0))</f>
        <v/>
      </c>
      <c r="CS12">
        <f>IF(CS$4=0,0,IF(COUNTIFS(実績!$W$6:$W$505,CS$3,実績!$AC$6:$AC$505,"&lt;="&amp;$A12,実績!$AD$6:$AD$505,"&gt;"&amp;$A12,実績!$AE$6:$AE$505,"○")&gt;0,1,0))</f>
        <v/>
      </c>
      <c r="CT12">
        <f>IF(CT$4=0,0,IF(COUNTIFS(実績!$W$6:$W$505,CT$3,実績!$AC$6:$AC$505,"&lt;="&amp;$A12,実績!$AD$6:$AD$505,"&gt;"&amp;$A12,実績!$AE$6:$AE$505,"○")&gt;0,1,0))</f>
        <v/>
      </c>
      <c r="CU12">
        <f>IF(CU$4=0,0,IF(COUNTIFS(実績!$W$6:$W$505,CU$3,実績!$AC$6:$AC$505,"&lt;="&amp;$A12,実績!$AD$6:$AD$505,"&gt;"&amp;$A12,実績!$AE$6:$AE$505,"○")&gt;0,1,0))</f>
        <v/>
      </c>
      <c r="CV12">
        <f>IF(CV$4=0,0,IF(COUNTIFS(実績!$W$6:$W$505,CV$3,実績!$AC$6:$AC$505,"&lt;="&amp;$A12,実績!$AD$6:$AD$505,"&gt;"&amp;$A12,実績!$AE$6:$AE$505,"○")&gt;0,1,0))</f>
        <v/>
      </c>
      <c r="CW12">
        <f>IF(CW$4=0,0,IF(COUNTIFS(実績!$W$6:$W$505,CW$3,実績!$AC$6:$AC$505,"&lt;="&amp;$A12,実績!$AD$6:$AD$505,"&gt;"&amp;$A12,実績!$AE$6:$AE$505,"○")&gt;0,1,0))</f>
        <v/>
      </c>
      <c r="CX12">
        <f>IF(CX$4=0,0,IF(COUNTIFS(実績!$W$6:$W$505,CX$3,実績!$AC$6:$AC$505,"&lt;="&amp;$A12,実績!$AD$6:$AD$505,"&gt;"&amp;$A12,実績!$AE$6:$AE$505,"○")&gt;0,1,0))</f>
        <v/>
      </c>
      <c r="CY12">
        <f>IF(CY$4=0,0,IF(COUNTIFS(実績!$W$6:$W$505,CY$3,実績!$AC$6:$AC$505,"&lt;="&amp;$A12,実績!$AD$6:$AD$505,"&gt;"&amp;$A12,実績!$AE$6:$AE$505,"○")&gt;0,1,0))</f>
        <v/>
      </c>
      <c r="CZ12">
        <f>IF(CZ$4=0,0,IF(COUNTIFS(実績!$W$6:$W$505,CZ$3,実績!$AC$6:$AC$505,"&lt;="&amp;$A12,実績!$AD$6:$AD$505,"&gt;"&amp;$A12,実績!$AE$6:$AE$505,"○")&gt;0,1,0))</f>
        <v/>
      </c>
      <c r="DA12">
        <f>IF(DA$4=0,0,IF(COUNTIFS(実績!$W$6:$W$505,DA$3,実績!$AC$6:$AC$505,"&lt;="&amp;$A12,実績!$AD$6:$AD$505,"&gt;"&amp;$A12,実績!$AE$6:$AE$505,"○")&gt;0,1,0))</f>
        <v/>
      </c>
      <c r="DB12">
        <f>IF(DB$4=0,0,IF(COUNTIFS(実績!$W$6:$W$505,DB$3,実績!$AC$6:$AC$505,"&lt;="&amp;$A12,実績!$AD$6:$AD$505,"&gt;"&amp;$A12,実績!$AE$6:$AE$505,"○")&gt;0,1,0))</f>
        <v/>
      </c>
      <c r="DC12">
        <f>IF(DC$4=0,0,IF(COUNTIFS(実績!$W$6:$W$505,DC$3,実績!$AC$6:$AC$505,"&lt;="&amp;$A12,実績!$AD$6:$AD$505,"&gt;"&amp;$A12,実績!$AE$6:$AE$505,"○")&gt;0,1,0))</f>
        <v/>
      </c>
      <c r="DD12">
        <f>IF(DD$4=0,0,IF(COUNTIFS(実績!$W$6:$W$505,DD$3,実績!$AC$6:$AC$505,"&lt;="&amp;$A12,実績!$AD$6:$AD$505,"&gt;"&amp;$A12,実績!$AE$6:$AE$505,"○")&gt;0,1,0))</f>
        <v/>
      </c>
      <c r="DE12">
        <f>IF(DE$4=0,0,IF(COUNTIFS(実績!$W$6:$W$505,DE$3,実績!$AC$6:$AC$505,"&lt;="&amp;$A12,実績!$AD$6:$AD$505,"&gt;"&amp;$A12,実績!$AE$6:$AE$505,"○")&gt;0,1,0))</f>
        <v/>
      </c>
      <c r="DF12">
        <f>IF(DF$4=0,0,IF(COUNTIFS(実績!$W$6:$W$505,DF$3,実績!$AC$6:$AC$505,"&lt;="&amp;$A12,実績!$AD$6:$AD$505,"&gt;"&amp;$A12,実績!$AE$6:$AE$505,"○")&gt;0,1,0))</f>
        <v/>
      </c>
      <c r="DG12">
        <f>IF(DG$4=0,0,IF(COUNTIFS(実績!$W$6:$W$505,DG$3,実績!$AC$6:$AC$505,"&lt;="&amp;$A12,実績!$AD$6:$AD$505,"&gt;"&amp;$A12,実績!$AE$6:$AE$505,"○")&gt;0,1,0))</f>
        <v/>
      </c>
      <c r="DH12">
        <f>IF(DH$4=0,0,IF(COUNTIFS(実績!$W$6:$W$505,DH$3,実績!$AC$6:$AC$505,"&lt;="&amp;$A12,実績!$AD$6:$AD$505,"&gt;"&amp;$A12,実績!$AE$6:$AE$505,"○")&gt;0,1,0))</f>
        <v/>
      </c>
      <c r="DI12">
        <f>IF(DI$4=0,0,IF(COUNTIFS(実績!$W$6:$W$505,DI$3,実績!$AC$6:$AC$505,"&lt;="&amp;$A12,実績!$AD$6:$AD$505,"&gt;"&amp;$A12,実績!$AE$6:$AE$505,"○")&gt;0,1,0))</f>
        <v/>
      </c>
      <c r="DJ12">
        <f>IF(DJ$4=0,0,IF(COUNTIFS(実績!$W$6:$W$505,DJ$3,実績!$AC$6:$AC$505,"&lt;="&amp;$A12,実績!$AD$6:$AD$505,"&gt;"&amp;$A12,実績!$AE$6:$AE$505,"○")&gt;0,1,0))</f>
        <v/>
      </c>
      <c r="DK12">
        <f>IF(DK$4=0,0,IF(COUNTIFS(実績!$W$6:$W$505,DK$3,実績!$AC$6:$AC$505,"&lt;="&amp;$A12,実績!$AD$6:$AD$505,"&gt;"&amp;$A12,実績!$AE$6:$AE$505,"○")&gt;0,1,0))</f>
        <v/>
      </c>
      <c r="DL12">
        <f>IF(DL$4=0,0,IF(COUNTIFS(実績!$W$6:$W$505,DL$3,実績!$AC$6:$AC$505,"&lt;="&amp;$A12,実績!$AD$6:$AD$505,"&gt;"&amp;$A12,実績!$AE$6:$AE$505,"○")&gt;0,1,0))</f>
        <v/>
      </c>
      <c r="DM12">
        <f>IF(DM$4=0,0,IF(COUNTIFS(実績!$W$6:$W$505,DM$3,実績!$AC$6:$AC$505,"&lt;="&amp;$A12,実績!$AD$6:$AD$505,"&gt;"&amp;$A12,実績!$AE$6:$AE$505,"○")&gt;0,1,0))</f>
        <v/>
      </c>
      <c r="DN12">
        <f>IF(DN$4=0,0,IF(COUNTIFS(実績!$W$6:$W$505,DN$3,実績!$AC$6:$AC$505,"&lt;="&amp;$A12,実績!$AD$6:$AD$505,"&gt;"&amp;$A12,実績!$AE$6:$AE$505,"○")&gt;0,1,0))</f>
        <v/>
      </c>
      <c r="DO12">
        <f>IF(DO$4=0,0,IF(COUNTIFS(実績!$W$6:$W$505,DO$3,実績!$AC$6:$AC$505,"&lt;="&amp;$A12,実績!$AD$6:$AD$505,"&gt;"&amp;$A12,実績!$AE$6:$AE$505,"○")&gt;0,1,0))</f>
        <v/>
      </c>
      <c r="DP12">
        <f>IF(DP$4=0,0,IF(COUNTIFS(実績!$W$6:$W$505,DP$3,実績!$AC$6:$AC$505,"&lt;="&amp;$A12,実績!$AD$6:$AD$505,"&gt;"&amp;$A12,実績!$AE$6:$AE$505,"○")&gt;0,1,0))</f>
        <v/>
      </c>
      <c r="DQ12">
        <f>IF(DQ$4=0,0,IF(COUNTIFS(実績!$W$6:$W$505,DQ$3,実績!$AC$6:$AC$505,"&lt;="&amp;$A12,実績!$AD$6:$AD$505,"&gt;"&amp;$A12,実績!$AE$6:$AE$505,"○")&gt;0,1,0))</f>
        <v/>
      </c>
      <c r="DR12">
        <f>IF(DR$4=0,0,IF(COUNTIFS(実績!$W$6:$W$505,DR$3,実績!$AC$6:$AC$505,"&lt;="&amp;$A12,実績!$AD$6:$AD$505,"&gt;"&amp;$A12,実績!$AE$6:$AE$505,"○")&gt;0,1,0))</f>
        <v/>
      </c>
      <c r="DS12">
        <f>SUM(C12:DR12)</f>
        <v/>
      </c>
      <c r="DT12">
        <f>SUMPRODUCT((実績!$C$6:$C$505="○")*ISNUMBER(実績!$AF$6:$AF$505)*(実績!$AF$6:$AF$505&lt;=$A12)*(実績!$AG$6:$AG$505&gt;$A12))</f>
        <v/>
      </c>
      <c r="DU12">
        <f>SUMIF($C$2:$DR$2,"製鉄曳船",C12:DR12)</f>
        <v/>
      </c>
      <c r="DV12">
        <f>SUMIF($C$2:$DR$2,"西日本海運",C12:DR12)</f>
        <v/>
      </c>
    </row>
    <row r="13">
      <c r="A13" t="n">
        <v>35</v>
      </c>
      <c r="B13" s="29">
        <f>A13/1440</f>
        <v/>
      </c>
      <c r="C13">
        <f>IF(C$4=0,0,IF(COUNTIFS(実績!$W$6:$W$505,C$3,実績!$AC$6:$AC$505,"&lt;="&amp;$A13,実績!$AD$6:$AD$505,"&gt;"&amp;$A13,実績!$AE$6:$AE$505,"○")&gt;0,1,0))</f>
        <v/>
      </c>
      <c r="D13">
        <f>IF(D$4=0,0,IF(COUNTIFS(実績!$W$6:$W$505,D$3,実績!$AC$6:$AC$505,"&lt;="&amp;$A13,実績!$AD$6:$AD$505,"&gt;"&amp;$A13,実績!$AE$6:$AE$505,"○")&gt;0,1,0))</f>
        <v/>
      </c>
      <c r="E13">
        <f>IF(E$4=0,0,IF(COUNTIFS(実績!$W$6:$W$505,E$3,実績!$AC$6:$AC$505,"&lt;="&amp;$A13,実績!$AD$6:$AD$505,"&gt;"&amp;$A13,実績!$AE$6:$AE$505,"○")&gt;0,1,0))</f>
        <v/>
      </c>
      <c r="F13">
        <f>IF(F$4=0,0,IF(COUNTIFS(実績!$W$6:$W$505,F$3,実績!$AC$6:$AC$505,"&lt;="&amp;$A13,実績!$AD$6:$AD$505,"&gt;"&amp;$A13,実績!$AE$6:$AE$505,"○")&gt;0,1,0))</f>
        <v/>
      </c>
      <c r="G13">
        <f>IF(G$4=0,0,IF(COUNTIFS(実績!$W$6:$W$505,G$3,実績!$AC$6:$AC$505,"&lt;="&amp;$A13,実績!$AD$6:$AD$505,"&gt;"&amp;$A13,実績!$AE$6:$AE$505,"○")&gt;0,1,0))</f>
        <v/>
      </c>
      <c r="H13">
        <f>IF(H$4=0,0,IF(COUNTIFS(実績!$W$6:$W$505,H$3,実績!$AC$6:$AC$505,"&lt;="&amp;$A13,実績!$AD$6:$AD$505,"&gt;"&amp;$A13,実績!$AE$6:$AE$505,"○")&gt;0,1,0))</f>
        <v/>
      </c>
      <c r="I13">
        <f>IF(I$4=0,0,IF(COUNTIFS(実績!$W$6:$W$505,I$3,実績!$AC$6:$AC$505,"&lt;="&amp;$A13,実績!$AD$6:$AD$505,"&gt;"&amp;$A13,実績!$AE$6:$AE$505,"○")&gt;0,1,0))</f>
        <v/>
      </c>
      <c r="J13">
        <f>IF(J$4=0,0,IF(COUNTIFS(実績!$W$6:$W$505,J$3,実績!$AC$6:$AC$505,"&lt;="&amp;$A13,実績!$AD$6:$AD$505,"&gt;"&amp;$A13,実績!$AE$6:$AE$505,"○")&gt;0,1,0))</f>
        <v/>
      </c>
      <c r="K13">
        <f>IF(K$4=0,0,IF(COUNTIFS(実績!$W$6:$W$505,K$3,実績!$AC$6:$AC$505,"&lt;="&amp;$A13,実績!$AD$6:$AD$505,"&gt;"&amp;$A13,実績!$AE$6:$AE$505,"○")&gt;0,1,0))</f>
        <v/>
      </c>
      <c r="L13">
        <f>IF(L$4=0,0,IF(COUNTIFS(実績!$W$6:$W$505,L$3,実績!$AC$6:$AC$505,"&lt;="&amp;$A13,実績!$AD$6:$AD$505,"&gt;"&amp;$A13,実績!$AE$6:$AE$505,"○")&gt;0,1,0))</f>
        <v/>
      </c>
      <c r="M13">
        <f>IF(M$4=0,0,IF(COUNTIFS(実績!$W$6:$W$505,M$3,実績!$AC$6:$AC$505,"&lt;="&amp;$A13,実績!$AD$6:$AD$505,"&gt;"&amp;$A13,実績!$AE$6:$AE$505,"○")&gt;0,1,0))</f>
        <v/>
      </c>
      <c r="N13">
        <f>IF(N$4=0,0,IF(COUNTIFS(実績!$W$6:$W$505,N$3,実績!$AC$6:$AC$505,"&lt;="&amp;$A13,実績!$AD$6:$AD$505,"&gt;"&amp;$A13,実績!$AE$6:$AE$505,"○")&gt;0,1,0))</f>
        <v/>
      </c>
      <c r="O13">
        <f>IF(O$4=0,0,IF(COUNTIFS(実績!$W$6:$W$505,O$3,実績!$AC$6:$AC$505,"&lt;="&amp;$A13,実績!$AD$6:$AD$505,"&gt;"&amp;$A13,実績!$AE$6:$AE$505,"○")&gt;0,1,0))</f>
        <v/>
      </c>
      <c r="P13">
        <f>IF(P$4=0,0,IF(COUNTIFS(実績!$W$6:$W$505,P$3,実績!$AC$6:$AC$505,"&lt;="&amp;$A13,実績!$AD$6:$AD$505,"&gt;"&amp;$A13,実績!$AE$6:$AE$505,"○")&gt;0,1,0))</f>
        <v/>
      </c>
      <c r="Q13">
        <f>IF(Q$4=0,0,IF(COUNTIFS(実績!$W$6:$W$505,Q$3,実績!$AC$6:$AC$505,"&lt;="&amp;$A13,実績!$AD$6:$AD$505,"&gt;"&amp;$A13,実績!$AE$6:$AE$505,"○")&gt;0,1,0))</f>
        <v/>
      </c>
      <c r="R13">
        <f>IF(R$4=0,0,IF(COUNTIFS(実績!$W$6:$W$505,R$3,実績!$AC$6:$AC$505,"&lt;="&amp;$A13,実績!$AD$6:$AD$505,"&gt;"&amp;$A13,実績!$AE$6:$AE$505,"○")&gt;0,1,0))</f>
        <v/>
      </c>
      <c r="S13">
        <f>IF(S$4=0,0,IF(COUNTIFS(実績!$W$6:$W$505,S$3,実績!$AC$6:$AC$505,"&lt;="&amp;$A13,実績!$AD$6:$AD$505,"&gt;"&amp;$A13,実績!$AE$6:$AE$505,"○")&gt;0,1,0))</f>
        <v/>
      </c>
      <c r="T13">
        <f>IF(T$4=0,0,IF(COUNTIFS(実績!$W$6:$W$505,T$3,実績!$AC$6:$AC$505,"&lt;="&amp;$A13,実績!$AD$6:$AD$505,"&gt;"&amp;$A13,実績!$AE$6:$AE$505,"○")&gt;0,1,0))</f>
        <v/>
      </c>
      <c r="U13">
        <f>IF(U$4=0,0,IF(COUNTIFS(実績!$W$6:$W$505,U$3,実績!$AC$6:$AC$505,"&lt;="&amp;$A13,実績!$AD$6:$AD$505,"&gt;"&amp;$A13,実績!$AE$6:$AE$505,"○")&gt;0,1,0))</f>
        <v/>
      </c>
      <c r="V13">
        <f>IF(V$4=0,0,IF(COUNTIFS(実績!$W$6:$W$505,V$3,実績!$AC$6:$AC$505,"&lt;="&amp;$A13,実績!$AD$6:$AD$505,"&gt;"&amp;$A13,実績!$AE$6:$AE$505,"○")&gt;0,1,0))</f>
        <v/>
      </c>
      <c r="W13">
        <f>IF(W$4=0,0,IF(COUNTIFS(実績!$W$6:$W$505,W$3,実績!$AC$6:$AC$505,"&lt;="&amp;$A13,実績!$AD$6:$AD$505,"&gt;"&amp;$A13,実績!$AE$6:$AE$505,"○")&gt;0,1,0))</f>
        <v/>
      </c>
      <c r="X13">
        <f>IF(X$4=0,0,IF(COUNTIFS(実績!$W$6:$W$505,X$3,実績!$AC$6:$AC$505,"&lt;="&amp;$A13,実績!$AD$6:$AD$505,"&gt;"&amp;$A13,実績!$AE$6:$AE$505,"○")&gt;0,1,0))</f>
        <v/>
      </c>
      <c r="Y13">
        <f>IF(Y$4=0,0,IF(COUNTIFS(実績!$W$6:$W$505,Y$3,実績!$AC$6:$AC$505,"&lt;="&amp;$A13,実績!$AD$6:$AD$505,"&gt;"&amp;$A13,実績!$AE$6:$AE$505,"○")&gt;0,1,0))</f>
        <v/>
      </c>
      <c r="Z13">
        <f>IF(Z$4=0,0,IF(COUNTIFS(実績!$W$6:$W$505,Z$3,実績!$AC$6:$AC$505,"&lt;="&amp;$A13,実績!$AD$6:$AD$505,"&gt;"&amp;$A13,実績!$AE$6:$AE$505,"○")&gt;0,1,0))</f>
        <v/>
      </c>
      <c r="AA13">
        <f>IF(AA$4=0,0,IF(COUNTIFS(実績!$W$6:$W$505,AA$3,実績!$AC$6:$AC$505,"&lt;="&amp;$A13,実績!$AD$6:$AD$505,"&gt;"&amp;$A13,実績!$AE$6:$AE$505,"○")&gt;0,1,0))</f>
        <v/>
      </c>
      <c r="AB13">
        <f>IF(AB$4=0,0,IF(COUNTIFS(実績!$W$6:$W$505,AB$3,実績!$AC$6:$AC$505,"&lt;="&amp;$A13,実績!$AD$6:$AD$505,"&gt;"&amp;$A13,実績!$AE$6:$AE$505,"○")&gt;0,1,0))</f>
        <v/>
      </c>
      <c r="AC13">
        <f>IF(AC$4=0,0,IF(COUNTIFS(実績!$W$6:$W$505,AC$3,実績!$AC$6:$AC$505,"&lt;="&amp;$A13,実績!$AD$6:$AD$505,"&gt;"&amp;$A13,実績!$AE$6:$AE$505,"○")&gt;0,1,0))</f>
        <v/>
      </c>
      <c r="AD13">
        <f>IF(AD$4=0,0,IF(COUNTIFS(実績!$W$6:$W$505,AD$3,実績!$AC$6:$AC$505,"&lt;="&amp;$A13,実績!$AD$6:$AD$505,"&gt;"&amp;$A13,実績!$AE$6:$AE$505,"○")&gt;0,1,0))</f>
        <v/>
      </c>
      <c r="AE13">
        <f>IF(AE$4=0,0,IF(COUNTIFS(実績!$W$6:$W$505,AE$3,実績!$AC$6:$AC$505,"&lt;="&amp;$A13,実績!$AD$6:$AD$505,"&gt;"&amp;$A13,実績!$AE$6:$AE$505,"○")&gt;0,1,0))</f>
        <v/>
      </c>
      <c r="AF13">
        <f>IF(AF$4=0,0,IF(COUNTIFS(実績!$W$6:$W$505,AF$3,実績!$AC$6:$AC$505,"&lt;="&amp;$A13,実績!$AD$6:$AD$505,"&gt;"&amp;$A13,実績!$AE$6:$AE$505,"○")&gt;0,1,0))</f>
        <v/>
      </c>
      <c r="AG13">
        <f>IF(AG$4=0,0,IF(COUNTIFS(実績!$W$6:$W$505,AG$3,実績!$AC$6:$AC$505,"&lt;="&amp;$A13,実績!$AD$6:$AD$505,"&gt;"&amp;$A13,実績!$AE$6:$AE$505,"○")&gt;0,1,0))</f>
        <v/>
      </c>
      <c r="AH13">
        <f>IF(AH$4=0,0,IF(COUNTIFS(実績!$W$6:$W$505,AH$3,実績!$AC$6:$AC$505,"&lt;="&amp;$A13,実績!$AD$6:$AD$505,"&gt;"&amp;$A13,実績!$AE$6:$AE$505,"○")&gt;0,1,0))</f>
        <v/>
      </c>
      <c r="AI13">
        <f>IF(AI$4=0,0,IF(COUNTIFS(実績!$W$6:$W$505,AI$3,実績!$AC$6:$AC$505,"&lt;="&amp;$A13,実績!$AD$6:$AD$505,"&gt;"&amp;$A13,実績!$AE$6:$AE$505,"○")&gt;0,1,0))</f>
        <v/>
      </c>
      <c r="AJ13">
        <f>IF(AJ$4=0,0,IF(COUNTIFS(実績!$W$6:$W$505,AJ$3,実績!$AC$6:$AC$505,"&lt;="&amp;$A13,実績!$AD$6:$AD$505,"&gt;"&amp;$A13,実績!$AE$6:$AE$505,"○")&gt;0,1,0))</f>
        <v/>
      </c>
      <c r="AK13">
        <f>IF(AK$4=0,0,IF(COUNTIFS(実績!$W$6:$W$505,AK$3,実績!$AC$6:$AC$505,"&lt;="&amp;$A13,実績!$AD$6:$AD$505,"&gt;"&amp;$A13,実績!$AE$6:$AE$505,"○")&gt;0,1,0))</f>
        <v/>
      </c>
      <c r="AL13">
        <f>IF(AL$4=0,0,IF(COUNTIFS(実績!$W$6:$W$505,AL$3,実績!$AC$6:$AC$505,"&lt;="&amp;$A13,実績!$AD$6:$AD$505,"&gt;"&amp;$A13,実績!$AE$6:$AE$505,"○")&gt;0,1,0))</f>
        <v/>
      </c>
      <c r="AM13">
        <f>IF(AM$4=0,0,IF(COUNTIFS(実績!$W$6:$W$505,AM$3,実績!$AC$6:$AC$505,"&lt;="&amp;$A13,実績!$AD$6:$AD$505,"&gt;"&amp;$A13,実績!$AE$6:$AE$505,"○")&gt;0,1,0))</f>
        <v/>
      </c>
      <c r="AN13">
        <f>IF(AN$4=0,0,IF(COUNTIFS(実績!$W$6:$W$505,AN$3,実績!$AC$6:$AC$505,"&lt;="&amp;$A13,実績!$AD$6:$AD$505,"&gt;"&amp;$A13,実績!$AE$6:$AE$505,"○")&gt;0,1,0))</f>
        <v/>
      </c>
      <c r="AO13">
        <f>IF(AO$4=0,0,IF(COUNTIFS(実績!$W$6:$W$505,AO$3,実績!$AC$6:$AC$505,"&lt;="&amp;$A13,実績!$AD$6:$AD$505,"&gt;"&amp;$A13,実績!$AE$6:$AE$505,"○")&gt;0,1,0))</f>
        <v/>
      </c>
      <c r="AP13">
        <f>IF(AP$4=0,0,IF(COUNTIFS(実績!$W$6:$W$505,AP$3,実績!$AC$6:$AC$505,"&lt;="&amp;$A13,実績!$AD$6:$AD$505,"&gt;"&amp;$A13,実績!$AE$6:$AE$505,"○")&gt;0,1,0))</f>
        <v/>
      </c>
      <c r="AQ13">
        <f>IF(AQ$4=0,0,IF(COUNTIFS(実績!$W$6:$W$505,AQ$3,実績!$AC$6:$AC$505,"&lt;="&amp;$A13,実績!$AD$6:$AD$505,"&gt;"&amp;$A13,実績!$AE$6:$AE$505,"○")&gt;0,1,0))</f>
        <v/>
      </c>
      <c r="AR13">
        <f>IF(AR$4=0,0,IF(COUNTIFS(実績!$W$6:$W$505,AR$3,実績!$AC$6:$AC$505,"&lt;="&amp;$A13,実績!$AD$6:$AD$505,"&gt;"&amp;$A13,実績!$AE$6:$AE$505,"○")&gt;0,1,0))</f>
        <v/>
      </c>
      <c r="AS13">
        <f>IF(AS$4=0,0,IF(COUNTIFS(実績!$W$6:$W$505,AS$3,実績!$AC$6:$AC$505,"&lt;="&amp;$A13,実績!$AD$6:$AD$505,"&gt;"&amp;$A13,実績!$AE$6:$AE$505,"○")&gt;0,1,0))</f>
        <v/>
      </c>
      <c r="AT13">
        <f>IF(AT$4=0,0,IF(COUNTIFS(実績!$W$6:$W$505,AT$3,実績!$AC$6:$AC$505,"&lt;="&amp;$A13,実績!$AD$6:$AD$505,"&gt;"&amp;$A13,実績!$AE$6:$AE$505,"○")&gt;0,1,0))</f>
        <v/>
      </c>
      <c r="AU13">
        <f>IF(AU$4=0,0,IF(COUNTIFS(実績!$W$6:$W$505,AU$3,実績!$AC$6:$AC$505,"&lt;="&amp;$A13,実績!$AD$6:$AD$505,"&gt;"&amp;$A13,実績!$AE$6:$AE$505,"○")&gt;0,1,0))</f>
        <v/>
      </c>
      <c r="AV13">
        <f>IF(AV$4=0,0,IF(COUNTIFS(実績!$W$6:$W$505,AV$3,実績!$AC$6:$AC$505,"&lt;="&amp;$A13,実績!$AD$6:$AD$505,"&gt;"&amp;$A13,実績!$AE$6:$AE$505,"○")&gt;0,1,0))</f>
        <v/>
      </c>
      <c r="AW13">
        <f>IF(AW$4=0,0,IF(COUNTIFS(実績!$W$6:$W$505,AW$3,実績!$AC$6:$AC$505,"&lt;="&amp;$A13,実績!$AD$6:$AD$505,"&gt;"&amp;$A13,実績!$AE$6:$AE$505,"○")&gt;0,1,0))</f>
        <v/>
      </c>
      <c r="AX13">
        <f>IF(AX$4=0,0,IF(COUNTIFS(実績!$W$6:$W$505,AX$3,実績!$AC$6:$AC$505,"&lt;="&amp;$A13,実績!$AD$6:$AD$505,"&gt;"&amp;$A13,実績!$AE$6:$AE$505,"○")&gt;0,1,0))</f>
        <v/>
      </c>
      <c r="AY13">
        <f>IF(AY$4=0,0,IF(COUNTIFS(実績!$W$6:$W$505,AY$3,実績!$AC$6:$AC$505,"&lt;="&amp;$A13,実績!$AD$6:$AD$505,"&gt;"&amp;$A13,実績!$AE$6:$AE$505,"○")&gt;0,1,0))</f>
        <v/>
      </c>
      <c r="AZ13">
        <f>IF(AZ$4=0,0,IF(COUNTIFS(実績!$W$6:$W$505,AZ$3,実績!$AC$6:$AC$505,"&lt;="&amp;$A13,実績!$AD$6:$AD$505,"&gt;"&amp;$A13,実績!$AE$6:$AE$505,"○")&gt;0,1,0))</f>
        <v/>
      </c>
      <c r="BA13">
        <f>IF(BA$4=0,0,IF(COUNTIFS(実績!$W$6:$W$505,BA$3,実績!$AC$6:$AC$505,"&lt;="&amp;$A13,実績!$AD$6:$AD$505,"&gt;"&amp;$A13,実績!$AE$6:$AE$505,"○")&gt;0,1,0))</f>
        <v/>
      </c>
      <c r="BB13">
        <f>IF(BB$4=0,0,IF(COUNTIFS(実績!$W$6:$W$505,BB$3,実績!$AC$6:$AC$505,"&lt;="&amp;$A13,実績!$AD$6:$AD$505,"&gt;"&amp;$A13,実績!$AE$6:$AE$505,"○")&gt;0,1,0))</f>
        <v/>
      </c>
      <c r="BC13">
        <f>IF(BC$4=0,0,IF(COUNTIFS(実績!$W$6:$W$505,BC$3,実績!$AC$6:$AC$505,"&lt;="&amp;$A13,実績!$AD$6:$AD$505,"&gt;"&amp;$A13,実績!$AE$6:$AE$505,"○")&gt;0,1,0))</f>
        <v/>
      </c>
      <c r="BD13">
        <f>IF(BD$4=0,0,IF(COUNTIFS(実績!$W$6:$W$505,BD$3,実績!$AC$6:$AC$505,"&lt;="&amp;$A13,実績!$AD$6:$AD$505,"&gt;"&amp;$A13,実績!$AE$6:$AE$505,"○")&gt;0,1,0))</f>
        <v/>
      </c>
      <c r="BE13">
        <f>IF(BE$4=0,0,IF(COUNTIFS(実績!$W$6:$W$505,BE$3,実績!$AC$6:$AC$505,"&lt;="&amp;$A13,実績!$AD$6:$AD$505,"&gt;"&amp;$A13,実績!$AE$6:$AE$505,"○")&gt;0,1,0))</f>
        <v/>
      </c>
      <c r="BF13">
        <f>IF(BF$4=0,0,IF(COUNTIFS(実績!$W$6:$W$505,BF$3,実績!$AC$6:$AC$505,"&lt;="&amp;$A13,実績!$AD$6:$AD$505,"&gt;"&amp;$A13,実績!$AE$6:$AE$505,"○")&gt;0,1,0))</f>
        <v/>
      </c>
      <c r="BG13">
        <f>IF(BG$4=0,0,IF(COUNTIFS(実績!$W$6:$W$505,BG$3,実績!$AC$6:$AC$505,"&lt;="&amp;$A13,実績!$AD$6:$AD$505,"&gt;"&amp;$A13,実績!$AE$6:$AE$505,"○")&gt;0,1,0))</f>
        <v/>
      </c>
      <c r="BH13">
        <f>IF(BH$4=0,0,IF(COUNTIFS(実績!$W$6:$W$505,BH$3,実績!$AC$6:$AC$505,"&lt;="&amp;$A13,実績!$AD$6:$AD$505,"&gt;"&amp;$A13,実績!$AE$6:$AE$505,"○")&gt;0,1,0))</f>
        <v/>
      </c>
      <c r="BI13">
        <f>IF(BI$4=0,0,IF(COUNTIFS(実績!$W$6:$W$505,BI$3,実績!$AC$6:$AC$505,"&lt;="&amp;$A13,実績!$AD$6:$AD$505,"&gt;"&amp;$A13,実績!$AE$6:$AE$505,"○")&gt;0,1,0))</f>
        <v/>
      </c>
      <c r="BJ13">
        <f>IF(BJ$4=0,0,IF(COUNTIFS(実績!$W$6:$W$505,BJ$3,実績!$AC$6:$AC$505,"&lt;="&amp;$A13,実績!$AD$6:$AD$505,"&gt;"&amp;$A13,実績!$AE$6:$AE$505,"○")&gt;0,1,0))</f>
        <v/>
      </c>
      <c r="BK13">
        <f>IF(BK$4=0,0,IF(COUNTIFS(実績!$W$6:$W$505,BK$3,実績!$AC$6:$AC$505,"&lt;="&amp;$A13,実績!$AD$6:$AD$505,"&gt;"&amp;$A13,実績!$AE$6:$AE$505,"○")&gt;0,1,0))</f>
        <v/>
      </c>
      <c r="BL13">
        <f>IF(BL$4=0,0,IF(COUNTIFS(実績!$W$6:$W$505,BL$3,実績!$AC$6:$AC$505,"&lt;="&amp;$A13,実績!$AD$6:$AD$505,"&gt;"&amp;$A13,実績!$AE$6:$AE$505,"○")&gt;0,1,0))</f>
        <v/>
      </c>
      <c r="BM13">
        <f>IF(BM$4=0,0,IF(COUNTIFS(実績!$W$6:$W$505,BM$3,実績!$AC$6:$AC$505,"&lt;="&amp;$A13,実績!$AD$6:$AD$505,"&gt;"&amp;$A13,実績!$AE$6:$AE$505,"○")&gt;0,1,0))</f>
        <v/>
      </c>
      <c r="BN13">
        <f>IF(BN$4=0,0,IF(COUNTIFS(実績!$W$6:$W$505,BN$3,実績!$AC$6:$AC$505,"&lt;="&amp;$A13,実績!$AD$6:$AD$505,"&gt;"&amp;$A13,実績!$AE$6:$AE$505,"○")&gt;0,1,0))</f>
        <v/>
      </c>
      <c r="BO13">
        <f>IF(BO$4=0,0,IF(COUNTIFS(実績!$W$6:$W$505,BO$3,実績!$AC$6:$AC$505,"&lt;="&amp;$A13,実績!$AD$6:$AD$505,"&gt;"&amp;$A13,実績!$AE$6:$AE$505,"○")&gt;0,1,0))</f>
        <v/>
      </c>
      <c r="BP13">
        <f>IF(BP$4=0,0,IF(COUNTIFS(実績!$W$6:$W$505,BP$3,実績!$AC$6:$AC$505,"&lt;="&amp;$A13,実績!$AD$6:$AD$505,"&gt;"&amp;$A13,実績!$AE$6:$AE$505,"○")&gt;0,1,0))</f>
        <v/>
      </c>
      <c r="BQ13">
        <f>IF(BQ$4=0,0,IF(COUNTIFS(実績!$W$6:$W$505,BQ$3,実績!$AC$6:$AC$505,"&lt;="&amp;$A13,実績!$AD$6:$AD$505,"&gt;"&amp;$A13,実績!$AE$6:$AE$505,"○")&gt;0,1,0))</f>
        <v/>
      </c>
      <c r="BR13">
        <f>IF(BR$4=0,0,IF(COUNTIFS(実績!$W$6:$W$505,BR$3,実績!$AC$6:$AC$505,"&lt;="&amp;$A13,実績!$AD$6:$AD$505,"&gt;"&amp;$A13,実績!$AE$6:$AE$505,"○")&gt;0,1,0))</f>
        <v/>
      </c>
      <c r="BS13">
        <f>IF(BS$4=0,0,IF(COUNTIFS(実績!$W$6:$W$505,BS$3,実績!$AC$6:$AC$505,"&lt;="&amp;$A13,実績!$AD$6:$AD$505,"&gt;"&amp;$A13,実績!$AE$6:$AE$505,"○")&gt;0,1,0))</f>
        <v/>
      </c>
      <c r="BT13">
        <f>IF(BT$4=0,0,IF(COUNTIFS(実績!$W$6:$W$505,BT$3,実績!$AC$6:$AC$505,"&lt;="&amp;$A13,実績!$AD$6:$AD$505,"&gt;"&amp;$A13,実績!$AE$6:$AE$505,"○")&gt;0,1,0))</f>
        <v/>
      </c>
      <c r="BU13">
        <f>IF(BU$4=0,0,IF(COUNTIFS(実績!$W$6:$W$505,BU$3,実績!$AC$6:$AC$505,"&lt;="&amp;$A13,実績!$AD$6:$AD$505,"&gt;"&amp;$A13,実績!$AE$6:$AE$505,"○")&gt;0,1,0))</f>
        <v/>
      </c>
      <c r="BV13">
        <f>IF(BV$4=0,0,IF(COUNTIFS(実績!$W$6:$W$505,BV$3,実績!$AC$6:$AC$505,"&lt;="&amp;$A13,実績!$AD$6:$AD$505,"&gt;"&amp;$A13,実績!$AE$6:$AE$505,"○")&gt;0,1,0))</f>
        <v/>
      </c>
      <c r="BW13">
        <f>IF(BW$4=0,0,IF(COUNTIFS(実績!$W$6:$W$505,BW$3,実績!$AC$6:$AC$505,"&lt;="&amp;$A13,実績!$AD$6:$AD$505,"&gt;"&amp;$A13,実績!$AE$6:$AE$505,"○")&gt;0,1,0))</f>
        <v/>
      </c>
      <c r="BX13">
        <f>IF(BX$4=0,0,IF(COUNTIFS(実績!$W$6:$W$505,BX$3,実績!$AC$6:$AC$505,"&lt;="&amp;$A13,実績!$AD$6:$AD$505,"&gt;"&amp;$A13,実績!$AE$6:$AE$505,"○")&gt;0,1,0))</f>
        <v/>
      </c>
      <c r="BY13">
        <f>IF(BY$4=0,0,IF(COUNTIFS(実績!$W$6:$W$505,BY$3,実績!$AC$6:$AC$505,"&lt;="&amp;$A13,実績!$AD$6:$AD$505,"&gt;"&amp;$A13,実績!$AE$6:$AE$505,"○")&gt;0,1,0))</f>
        <v/>
      </c>
      <c r="BZ13">
        <f>IF(BZ$4=0,0,IF(COUNTIFS(実績!$W$6:$W$505,BZ$3,実績!$AC$6:$AC$505,"&lt;="&amp;$A13,実績!$AD$6:$AD$505,"&gt;"&amp;$A13,実績!$AE$6:$AE$505,"○")&gt;0,1,0))</f>
        <v/>
      </c>
      <c r="CA13">
        <f>IF(CA$4=0,0,IF(COUNTIFS(実績!$W$6:$W$505,CA$3,実績!$AC$6:$AC$505,"&lt;="&amp;$A13,実績!$AD$6:$AD$505,"&gt;"&amp;$A13,実績!$AE$6:$AE$505,"○")&gt;0,1,0))</f>
        <v/>
      </c>
      <c r="CB13">
        <f>IF(CB$4=0,0,IF(COUNTIFS(実績!$W$6:$W$505,CB$3,実績!$AC$6:$AC$505,"&lt;="&amp;$A13,実績!$AD$6:$AD$505,"&gt;"&amp;$A13,実績!$AE$6:$AE$505,"○")&gt;0,1,0))</f>
        <v/>
      </c>
      <c r="CC13">
        <f>IF(CC$4=0,0,IF(COUNTIFS(実績!$W$6:$W$505,CC$3,実績!$AC$6:$AC$505,"&lt;="&amp;$A13,実績!$AD$6:$AD$505,"&gt;"&amp;$A13,実績!$AE$6:$AE$505,"○")&gt;0,1,0))</f>
        <v/>
      </c>
      <c r="CD13">
        <f>IF(CD$4=0,0,IF(COUNTIFS(実績!$W$6:$W$505,CD$3,実績!$AC$6:$AC$505,"&lt;="&amp;$A13,実績!$AD$6:$AD$505,"&gt;"&amp;$A13,実績!$AE$6:$AE$505,"○")&gt;0,1,0))</f>
        <v/>
      </c>
      <c r="CE13">
        <f>IF(CE$4=0,0,IF(COUNTIFS(実績!$W$6:$W$505,CE$3,実績!$AC$6:$AC$505,"&lt;="&amp;$A13,実績!$AD$6:$AD$505,"&gt;"&amp;$A13,実績!$AE$6:$AE$505,"○")&gt;0,1,0))</f>
        <v/>
      </c>
      <c r="CF13">
        <f>IF(CF$4=0,0,IF(COUNTIFS(実績!$W$6:$W$505,CF$3,実績!$AC$6:$AC$505,"&lt;="&amp;$A13,実績!$AD$6:$AD$505,"&gt;"&amp;$A13,実績!$AE$6:$AE$505,"○")&gt;0,1,0))</f>
        <v/>
      </c>
      <c r="CG13">
        <f>IF(CG$4=0,0,IF(COUNTIFS(実績!$W$6:$W$505,CG$3,実績!$AC$6:$AC$505,"&lt;="&amp;$A13,実績!$AD$6:$AD$505,"&gt;"&amp;$A13,実績!$AE$6:$AE$505,"○")&gt;0,1,0))</f>
        <v/>
      </c>
      <c r="CH13">
        <f>IF(CH$4=0,0,IF(COUNTIFS(実績!$W$6:$W$505,CH$3,実績!$AC$6:$AC$505,"&lt;="&amp;$A13,実績!$AD$6:$AD$505,"&gt;"&amp;$A13,実績!$AE$6:$AE$505,"○")&gt;0,1,0))</f>
        <v/>
      </c>
      <c r="CI13">
        <f>IF(CI$4=0,0,IF(COUNTIFS(実績!$W$6:$W$505,CI$3,実績!$AC$6:$AC$505,"&lt;="&amp;$A13,実績!$AD$6:$AD$505,"&gt;"&amp;$A13,実績!$AE$6:$AE$505,"○")&gt;0,1,0))</f>
        <v/>
      </c>
      <c r="CJ13">
        <f>IF(CJ$4=0,0,IF(COUNTIFS(実績!$W$6:$W$505,CJ$3,実績!$AC$6:$AC$505,"&lt;="&amp;$A13,実績!$AD$6:$AD$505,"&gt;"&amp;$A13,実績!$AE$6:$AE$505,"○")&gt;0,1,0))</f>
        <v/>
      </c>
      <c r="CK13">
        <f>IF(CK$4=0,0,IF(COUNTIFS(実績!$W$6:$W$505,CK$3,実績!$AC$6:$AC$505,"&lt;="&amp;$A13,実績!$AD$6:$AD$505,"&gt;"&amp;$A13,実績!$AE$6:$AE$505,"○")&gt;0,1,0))</f>
        <v/>
      </c>
      <c r="CL13">
        <f>IF(CL$4=0,0,IF(COUNTIFS(実績!$W$6:$W$505,CL$3,実績!$AC$6:$AC$505,"&lt;="&amp;$A13,実績!$AD$6:$AD$505,"&gt;"&amp;$A13,実績!$AE$6:$AE$505,"○")&gt;0,1,0))</f>
        <v/>
      </c>
      <c r="CM13">
        <f>IF(CM$4=0,0,IF(COUNTIFS(実績!$W$6:$W$505,CM$3,実績!$AC$6:$AC$505,"&lt;="&amp;$A13,実績!$AD$6:$AD$505,"&gt;"&amp;$A13,実績!$AE$6:$AE$505,"○")&gt;0,1,0))</f>
        <v/>
      </c>
      <c r="CN13">
        <f>IF(CN$4=0,0,IF(COUNTIFS(実績!$W$6:$W$505,CN$3,実績!$AC$6:$AC$505,"&lt;="&amp;$A13,実績!$AD$6:$AD$505,"&gt;"&amp;$A13,実績!$AE$6:$AE$505,"○")&gt;0,1,0))</f>
        <v/>
      </c>
      <c r="CO13">
        <f>IF(CO$4=0,0,IF(COUNTIFS(実績!$W$6:$W$505,CO$3,実績!$AC$6:$AC$505,"&lt;="&amp;$A13,実績!$AD$6:$AD$505,"&gt;"&amp;$A13,実績!$AE$6:$AE$505,"○")&gt;0,1,0))</f>
        <v/>
      </c>
      <c r="CP13">
        <f>IF(CP$4=0,0,IF(COUNTIFS(実績!$W$6:$W$505,CP$3,実績!$AC$6:$AC$505,"&lt;="&amp;$A13,実績!$AD$6:$AD$505,"&gt;"&amp;$A13,実績!$AE$6:$AE$505,"○")&gt;0,1,0))</f>
        <v/>
      </c>
      <c r="CQ13">
        <f>IF(CQ$4=0,0,IF(COUNTIFS(実績!$W$6:$W$505,CQ$3,実績!$AC$6:$AC$505,"&lt;="&amp;$A13,実績!$AD$6:$AD$505,"&gt;"&amp;$A13,実績!$AE$6:$AE$505,"○")&gt;0,1,0))</f>
        <v/>
      </c>
      <c r="CR13">
        <f>IF(CR$4=0,0,IF(COUNTIFS(実績!$W$6:$W$505,CR$3,実績!$AC$6:$AC$505,"&lt;="&amp;$A13,実績!$AD$6:$AD$505,"&gt;"&amp;$A13,実績!$AE$6:$AE$505,"○")&gt;0,1,0))</f>
        <v/>
      </c>
      <c r="CS13">
        <f>IF(CS$4=0,0,IF(COUNTIFS(実績!$W$6:$W$505,CS$3,実績!$AC$6:$AC$505,"&lt;="&amp;$A13,実績!$AD$6:$AD$505,"&gt;"&amp;$A13,実績!$AE$6:$AE$505,"○")&gt;0,1,0))</f>
        <v/>
      </c>
      <c r="CT13">
        <f>IF(CT$4=0,0,IF(COUNTIFS(実績!$W$6:$W$505,CT$3,実績!$AC$6:$AC$505,"&lt;="&amp;$A13,実績!$AD$6:$AD$505,"&gt;"&amp;$A13,実績!$AE$6:$AE$505,"○")&gt;0,1,0))</f>
        <v/>
      </c>
      <c r="CU13">
        <f>IF(CU$4=0,0,IF(COUNTIFS(実績!$W$6:$W$505,CU$3,実績!$AC$6:$AC$505,"&lt;="&amp;$A13,実績!$AD$6:$AD$505,"&gt;"&amp;$A13,実績!$AE$6:$AE$505,"○")&gt;0,1,0))</f>
        <v/>
      </c>
      <c r="CV13">
        <f>IF(CV$4=0,0,IF(COUNTIFS(実績!$W$6:$W$505,CV$3,実績!$AC$6:$AC$505,"&lt;="&amp;$A13,実績!$AD$6:$AD$505,"&gt;"&amp;$A13,実績!$AE$6:$AE$505,"○")&gt;0,1,0))</f>
        <v/>
      </c>
      <c r="CW13">
        <f>IF(CW$4=0,0,IF(COUNTIFS(実績!$W$6:$W$505,CW$3,実績!$AC$6:$AC$505,"&lt;="&amp;$A13,実績!$AD$6:$AD$505,"&gt;"&amp;$A13,実績!$AE$6:$AE$505,"○")&gt;0,1,0))</f>
        <v/>
      </c>
      <c r="CX13">
        <f>IF(CX$4=0,0,IF(COUNTIFS(実績!$W$6:$W$505,CX$3,実績!$AC$6:$AC$505,"&lt;="&amp;$A13,実績!$AD$6:$AD$505,"&gt;"&amp;$A13,実績!$AE$6:$AE$505,"○")&gt;0,1,0))</f>
        <v/>
      </c>
      <c r="CY13">
        <f>IF(CY$4=0,0,IF(COUNTIFS(実績!$W$6:$W$505,CY$3,実績!$AC$6:$AC$505,"&lt;="&amp;$A13,実績!$AD$6:$AD$505,"&gt;"&amp;$A13,実績!$AE$6:$AE$505,"○")&gt;0,1,0))</f>
        <v/>
      </c>
      <c r="CZ13">
        <f>IF(CZ$4=0,0,IF(COUNTIFS(実績!$W$6:$W$505,CZ$3,実績!$AC$6:$AC$505,"&lt;="&amp;$A13,実績!$AD$6:$AD$505,"&gt;"&amp;$A13,実績!$AE$6:$AE$505,"○")&gt;0,1,0))</f>
        <v/>
      </c>
      <c r="DA13">
        <f>IF(DA$4=0,0,IF(COUNTIFS(実績!$W$6:$W$505,DA$3,実績!$AC$6:$AC$505,"&lt;="&amp;$A13,実績!$AD$6:$AD$505,"&gt;"&amp;$A13,実績!$AE$6:$AE$505,"○")&gt;0,1,0))</f>
        <v/>
      </c>
      <c r="DB13">
        <f>IF(DB$4=0,0,IF(COUNTIFS(実績!$W$6:$W$505,DB$3,実績!$AC$6:$AC$505,"&lt;="&amp;$A13,実績!$AD$6:$AD$505,"&gt;"&amp;$A13,実績!$AE$6:$AE$505,"○")&gt;0,1,0))</f>
        <v/>
      </c>
      <c r="DC13">
        <f>IF(DC$4=0,0,IF(COUNTIFS(実績!$W$6:$W$505,DC$3,実績!$AC$6:$AC$505,"&lt;="&amp;$A13,実績!$AD$6:$AD$505,"&gt;"&amp;$A13,実績!$AE$6:$AE$505,"○")&gt;0,1,0))</f>
        <v/>
      </c>
      <c r="DD13">
        <f>IF(DD$4=0,0,IF(COUNTIFS(実績!$W$6:$W$505,DD$3,実績!$AC$6:$AC$505,"&lt;="&amp;$A13,実績!$AD$6:$AD$505,"&gt;"&amp;$A13,実績!$AE$6:$AE$505,"○")&gt;0,1,0))</f>
        <v/>
      </c>
      <c r="DE13">
        <f>IF(DE$4=0,0,IF(COUNTIFS(実績!$W$6:$W$505,DE$3,実績!$AC$6:$AC$505,"&lt;="&amp;$A13,実績!$AD$6:$AD$505,"&gt;"&amp;$A13,実績!$AE$6:$AE$505,"○")&gt;0,1,0))</f>
        <v/>
      </c>
      <c r="DF13">
        <f>IF(DF$4=0,0,IF(COUNTIFS(実績!$W$6:$W$505,DF$3,実績!$AC$6:$AC$505,"&lt;="&amp;$A13,実績!$AD$6:$AD$505,"&gt;"&amp;$A13,実績!$AE$6:$AE$505,"○")&gt;0,1,0))</f>
        <v/>
      </c>
      <c r="DG13">
        <f>IF(DG$4=0,0,IF(COUNTIFS(実績!$W$6:$W$505,DG$3,実績!$AC$6:$AC$505,"&lt;="&amp;$A13,実績!$AD$6:$AD$505,"&gt;"&amp;$A13,実績!$AE$6:$AE$505,"○")&gt;0,1,0))</f>
        <v/>
      </c>
      <c r="DH13">
        <f>IF(DH$4=0,0,IF(COUNTIFS(実績!$W$6:$W$505,DH$3,実績!$AC$6:$AC$505,"&lt;="&amp;$A13,実績!$AD$6:$AD$505,"&gt;"&amp;$A13,実績!$AE$6:$AE$505,"○")&gt;0,1,0))</f>
        <v/>
      </c>
      <c r="DI13">
        <f>IF(DI$4=0,0,IF(COUNTIFS(実績!$W$6:$W$505,DI$3,実績!$AC$6:$AC$505,"&lt;="&amp;$A13,実績!$AD$6:$AD$505,"&gt;"&amp;$A13,実績!$AE$6:$AE$505,"○")&gt;0,1,0))</f>
        <v/>
      </c>
      <c r="DJ13">
        <f>IF(DJ$4=0,0,IF(COUNTIFS(実績!$W$6:$W$505,DJ$3,実績!$AC$6:$AC$505,"&lt;="&amp;$A13,実績!$AD$6:$AD$505,"&gt;"&amp;$A13,実績!$AE$6:$AE$505,"○")&gt;0,1,0))</f>
        <v/>
      </c>
      <c r="DK13">
        <f>IF(DK$4=0,0,IF(COUNTIFS(実績!$W$6:$W$505,DK$3,実績!$AC$6:$AC$505,"&lt;="&amp;$A13,実績!$AD$6:$AD$505,"&gt;"&amp;$A13,実績!$AE$6:$AE$505,"○")&gt;0,1,0))</f>
        <v/>
      </c>
      <c r="DL13">
        <f>IF(DL$4=0,0,IF(COUNTIFS(実績!$W$6:$W$505,DL$3,実績!$AC$6:$AC$505,"&lt;="&amp;$A13,実績!$AD$6:$AD$505,"&gt;"&amp;$A13,実績!$AE$6:$AE$505,"○")&gt;0,1,0))</f>
        <v/>
      </c>
      <c r="DM13">
        <f>IF(DM$4=0,0,IF(COUNTIFS(実績!$W$6:$W$505,DM$3,実績!$AC$6:$AC$505,"&lt;="&amp;$A13,実績!$AD$6:$AD$505,"&gt;"&amp;$A13,実績!$AE$6:$AE$505,"○")&gt;0,1,0))</f>
        <v/>
      </c>
      <c r="DN13">
        <f>IF(DN$4=0,0,IF(COUNTIFS(実績!$W$6:$W$505,DN$3,実績!$AC$6:$AC$505,"&lt;="&amp;$A13,実績!$AD$6:$AD$505,"&gt;"&amp;$A13,実績!$AE$6:$AE$505,"○")&gt;0,1,0))</f>
        <v/>
      </c>
      <c r="DO13">
        <f>IF(DO$4=0,0,IF(COUNTIFS(実績!$W$6:$W$505,DO$3,実績!$AC$6:$AC$505,"&lt;="&amp;$A13,実績!$AD$6:$AD$505,"&gt;"&amp;$A13,実績!$AE$6:$AE$505,"○")&gt;0,1,0))</f>
        <v/>
      </c>
      <c r="DP13">
        <f>IF(DP$4=0,0,IF(COUNTIFS(実績!$W$6:$W$505,DP$3,実績!$AC$6:$AC$505,"&lt;="&amp;$A13,実績!$AD$6:$AD$505,"&gt;"&amp;$A13,実績!$AE$6:$AE$505,"○")&gt;0,1,0))</f>
        <v/>
      </c>
      <c r="DQ13">
        <f>IF(DQ$4=0,0,IF(COUNTIFS(実績!$W$6:$W$505,DQ$3,実績!$AC$6:$AC$505,"&lt;="&amp;$A13,実績!$AD$6:$AD$505,"&gt;"&amp;$A13,実績!$AE$6:$AE$505,"○")&gt;0,1,0))</f>
        <v/>
      </c>
      <c r="DR13">
        <f>IF(DR$4=0,0,IF(COUNTIFS(実績!$W$6:$W$505,DR$3,実績!$AC$6:$AC$505,"&lt;="&amp;$A13,実績!$AD$6:$AD$505,"&gt;"&amp;$A13,実績!$AE$6:$AE$505,"○")&gt;0,1,0))</f>
        <v/>
      </c>
      <c r="DS13">
        <f>SUM(C13:DR13)</f>
        <v/>
      </c>
      <c r="DT13">
        <f>SUMPRODUCT((実績!$C$6:$C$505="○")*ISNUMBER(実績!$AF$6:$AF$505)*(実績!$AF$6:$AF$505&lt;=$A13)*(実績!$AG$6:$AG$505&gt;$A13))</f>
        <v/>
      </c>
      <c r="DU13">
        <f>SUMIF($C$2:$DR$2,"製鉄曳船",C13:DR13)</f>
        <v/>
      </c>
      <c r="DV13">
        <f>SUMIF($C$2:$DR$2,"西日本海運",C13:DR13)</f>
        <v/>
      </c>
    </row>
    <row r="14">
      <c r="A14" t="n">
        <v>40</v>
      </c>
      <c r="B14" s="29">
        <f>A14/1440</f>
        <v/>
      </c>
      <c r="C14">
        <f>IF(C$4=0,0,IF(COUNTIFS(実績!$W$6:$W$505,C$3,実績!$AC$6:$AC$505,"&lt;="&amp;$A14,実績!$AD$6:$AD$505,"&gt;"&amp;$A14,実績!$AE$6:$AE$505,"○")&gt;0,1,0))</f>
        <v/>
      </c>
      <c r="D14">
        <f>IF(D$4=0,0,IF(COUNTIFS(実績!$W$6:$W$505,D$3,実績!$AC$6:$AC$505,"&lt;="&amp;$A14,実績!$AD$6:$AD$505,"&gt;"&amp;$A14,実績!$AE$6:$AE$505,"○")&gt;0,1,0))</f>
        <v/>
      </c>
      <c r="E14">
        <f>IF(E$4=0,0,IF(COUNTIFS(実績!$W$6:$W$505,E$3,実績!$AC$6:$AC$505,"&lt;="&amp;$A14,実績!$AD$6:$AD$505,"&gt;"&amp;$A14,実績!$AE$6:$AE$505,"○")&gt;0,1,0))</f>
        <v/>
      </c>
      <c r="F14">
        <f>IF(F$4=0,0,IF(COUNTIFS(実績!$W$6:$W$505,F$3,実績!$AC$6:$AC$505,"&lt;="&amp;$A14,実績!$AD$6:$AD$505,"&gt;"&amp;$A14,実績!$AE$6:$AE$505,"○")&gt;0,1,0))</f>
        <v/>
      </c>
      <c r="G14">
        <f>IF(G$4=0,0,IF(COUNTIFS(実績!$W$6:$W$505,G$3,実績!$AC$6:$AC$505,"&lt;="&amp;$A14,実績!$AD$6:$AD$505,"&gt;"&amp;$A14,実績!$AE$6:$AE$505,"○")&gt;0,1,0))</f>
        <v/>
      </c>
      <c r="H14">
        <f>IF(H$4=0,0,IF(COUNTIFS(実績!$W$6:$W$505,H$3,実績!$AC$6:$AC$505,"&lt;="&amp;$A14,実績!$AD$6:$AD$505,"&gt;"&amp;$A14,実績!$AE$6:$AE$505,"○")&gt;0,1,0))</f>
        <v/>
      </c>
      <c r="I14">
        <f>IF(I$4=0,0,IF(COUNTIFS(実績!$W$6:$W$505,I$3,実績!$AC$6:$AC$505,"&lt;="&amp;$A14,実績!$AD$6:$AD$505,"&gt;"&amp;$A14,実績!$AE$6:$AE$505,"○")&gt;0,1,0))</f>
        <v/>
      </c>
      <c r="J14">
        <f>IF(J$4=0,0,IF(COUNTIFS(実績!$W$6:$W$505,J$3,実績!$AC$6:$AC$505,"&lt;="&amp;$A14,実績!$AD$6:$AD$505,"&gt;"&amp;$A14,実績!$AE$6:$AE$505,"○")&gt;0,1,0))</f>
        <v/>
      </c>
      <c r="K14">
        <f>IF(K$4=0,0,IF(COUNTIFS(実績!$W$6:$W$505,K$3,実績!$AC$6:$AC$505,"&lt;="&amp;$A14,実績!$AD$6:$AD$505,"&gt;"&amp;$A14,実績!$AE$6:$AE$505,"○")&gt;0,1,0))</f>
        <v/>
      </c>
      <c r="L14">
        <f>IF(L$4=0,0,IF(COUNTIFS(実績!$W$6:$W$505,L$3,実績!$AC$6:$AC$505,"&lt;="&amp;$A14,実績!$AD$6:$AD$505,"&gt;"&amp;$A14,実績!$AE$6:$AE$505,"○")&gt;0,1,0))</f>
        <v/>
      </c>
      <c r="M14">
        <f>IF(M$4=0,0,IF(COUNTIFS(実績!$W$6:$W$505,M$3,実績!$AC$6:$AC$505,"&lt;="&amp;$A14,実績!$AD$6:$AD$505,"&gt;"&amp;$A14,実績!$AE$6:$AE$505,"○")&gt;0,1,0))</f>
        <v/>
      </c>
      <c r="N14">
        <f>IF(N$4=0,0,IF(COUNTIFS(実績!$W$6:$W$505,N$3,実績!$AC$6:$AC$505,"&lt;="&amp;$A14,実績!$AD$6:$AD$505,"&gt;"&amp;$A14,実績!$AE$6:$AE$505,"○")&gt;0,1,0))</f>
        <v/>
      </c>
      <c r="O14">
        <f>IF(O$4=0,0,IF(COUNTIFS(実績!$W$6:$W$505,O$3,実績!$AC$6:$AC$505,"&lt;="&amp;$A14,実績!$AD$6:$AD$505,"&gt;"&amp;$A14,実績!$AE$6:$AE$505,"○")&gt;0,1,0))</f>
        <v/>
      </c>
      <c r="P14">
        <f>IF(P$4=0,0,IF(COUNTIFS(実績!$W$6:$W$505,P$3,実績!$AC$6:$AC$505,"&lt;="&amp;$A14,実績!$AD$6:$AD$505,"&gt;"&amp;$A14,実績!$AE$6:$AE$505,"○")&gt;0,1,0))</f>
        <v/>
      </c>
      <c r="Q14">
        <f>IF(Q$4=0,0,IF(COUNTIFS(実績!$W$6:$W$505,Q$3,実績!$AC$6:$AC$505,"&lt;="&amp;$A14,実績!$AD$6:$AD$505,"&gt;"&amp;$A14,実績!$AE$6:$AE$505,"○")&gt;0,1,0))</f>
        <v/>
      </c>
      <c r="R14">
        <f>IF(R$4=0,0,IF(COUNTIFS(実績!$W$6:$W$505,R$3,実績!$AC$6:$AC$505,"&lt;="&amp;$A14,実績!$AD$6:$AD$505,"&gt;"&amp;$A14,実績!$AE$6:$AE$505,"○")&gt;0,1,0))</f>
        <v/>
      </c>
      <c r="S14">
        <f>IF(S$4=0,0,IF(COUNTIFS(実績!$W$6:$W$505,S$3,実績!$AC$6:$AC$505,"&lt;="&amp;$A14,実績!$AD$6:$AD$505,"&gt;"&amp;$A14,実績!$AE$6:$AE$505,"○")&gt;0,1,0))</f>
        <v/>
      </c>
      <c r="T14">
        <f>IF(T$4=0,0,IF(COUNTIFS(実績!$W$6:$W$505,T$3,実績!$AC$6:$AC$505,"&lt;="&amp;$A14,実績!$AD$6:$AD$505,"&gt;"&amp;$A14,実績!$AE$6:$AE$505,"○")&gt;0,1,0))</f>
        <v/>
      </c>
      <c r="U14">
        <f>IF(U$4=0,0,IF(COUNTIFS(実績!$W$6:$W$505,U$3,実績!$AC$6:$AC$505,"&lt;="&amp;$A14,実績!$AD$6:$AD$505,"&gt;"&amp;$A14,実績!$AE$6:$AE$505,"○")&gt;0,1,0))</f>
        <v/>
      </c>
      <c r="V14">
        <f>IF(V$4=0,0,IF(COUNTIFS(実績!$W$6:$W$505,V$3,実績!$AC$6:$AC$505,"&lt;="&amp;$A14,実績!$AD$6:$AD$505,"&gt;"&amp;$A14,実績!$AE$6:$AE$505,"○")&gt;0,1,0))</f>
        <v/>
      </c>
      <c r="W14">
        <f>IF(W$4=0,0,IF(COUNTIFS(実績!$W$6:$W$505,W$3,実績!$AC$6:$AC$505,"&lt;="&amp;$A14,実績!$AD$6:$AD$505,"&gt;"&amp;$A14,実績!$AE$6:$AE$505,"○")&gt;0,1,0))</f>
        <v/>
      </c>
      <c r="X14">
        <f>IF(X$4=0,0,IF(COUNTIFS(実績!$W$6:$W$505,X$3,実績!$AC$6:$AC$505,"&lt;="&amp;$A14,実績!$AD$6:$AD$505,"&gt;"&amp;$A14,実績!$AE$6:$AE$505,"○")&gt;0,1,0))</f>
        <v/>
      </c>
      <c r="Y14">
        <f>IF(Y$4=0,0,IF(COUNTIFS(実績!$W$6:$W$505,Y$3,実績!$AC$6:$AC$505,"&lt;="&amp;$A14,実績!$AD$6:$AD$505,"&gt;"&amp;$A14,実績!$AE$6:$AE$505,"○")&gt;0,1,0))</f>
        <v/>
      </c>
      <c r="Z14">
        <f>IF(Z$4=0,0,IF(COUNTIFS(実績!$W$6:$W$505,Z$3,実績!$AC$6:$AC$505,"&lt;="&amp;$A14,実績!$AD$6:$AD$505,"&gt;"&amp;$A14,実績!$AE$6:$AE$505,"○")&gt;0,1,0))</f>
        <v/>
      </c>
      <c r="AA14">
        <f>IF(AA$4=0,0,IF(COUNTIFS(実績!$W$6:$W$505,AA$3,実績!$AC$6:$AC$505,"&lt;="&amp;$A14,実績!$AD$6:$AD$505,"&gt;"&amp;$A14,実績!$AE$6:$AE$505,"○")&gt;0,1,0))</f>
        <v/>
      </c>
      <c r="AB14">
        <f>IF(AB$4=0,0,IF(COUNTIFS(実績!$W$6:$W$505,AB$3,実績!$AC$6:$AC$505,"&lt;="&amp;$A14,実績!$AD$6:$AD$505,"&gt;"&amp;$A14,実績!$AE$6:$AE$505,"○")&gt;0,1,0))</f>
        <v/>
      </c>
      <c r="AC14">
        <f>IF(AC$4=0,0,IF(COUNTIFS(実績!$W$6:$W$505,AC$3,実績!$AC$6:$AC$505,"&lt;="&amp;$A14,実績!$AD$6:$AD$505,"&gt;"&amp;$A14,実績!$AE$6:$AE$505,"○")&gt;0,1,0))</f>
        <v/>
      </c>
      <c r="AD14">
        <f>IF(AD$4=0,0,IF(COUNTIFS(実績!$W$6:$W$505,AD$3,実績!$AC$6:$AC$505,"&lt;="&amp;$A14,実績!$AD$6:$AD$505,"&gt;"&amp;$A14,実績!$AE$6:$AE$505,"○")&gt;0,1,0))</f>
        <v/>
      </c>
      <c r="AE14">
        <f>IF(AE$4=0,0,IF(COUNTIFS(実績!$W$6:$W$505,AE$3,実績!$AC$6:$AC$505,"&lt;="&amp;$A14,実績!$AD$6:$AD$505,"&gt;"&amp;$A14,実績!$AE$6:$AE$505,"○")&gt;0,1,0))</f>
        <v/>
      </c>
      <c r="AF14">
        <f>IF(AF$4=0,0,IF(COUNTIFS(実績!$W$6:$W$505,AF$3,実績!$AC$6:$AC$505,"&lt;="&amp;$A14,実績!$AD$6:$AD$505,"&gt;"&amp;$A14,実績!$AE$6:$AE$505,"○")&gt;0,1,0))</f>
        <v/>
      </c>
      <c r="AG14">
        <f>IF(AG$4=0,0,IF(COUNTIFS(実績!$W$6:$W$505,AG$3,実績!$AC$6:$AC$505,"&lt;="&amp;$A14,実績!$AD$6:$AD$505,"&gt;"&amp;$A14,実績!$AE$6:$AE$505,"○")&gt;0,1,0))</f>
        <v/>
      </c>
      <c r="AH14">
        <f>IF(AH$4=0,0,IF(COUNTIFS(実績!$W$6:$W$505,AH$3,実績!$AC$6:$AC$505,"&lt;="&amp;$A14,実績!$AD$6:$AD$505,"&gt;"&amp;$A14,実績!$AE$6:$AE$505,"○")&gt;0,1,0))</f>
        <v/>
      </c>
      <c r="AI14">
        <f>IF(AI$4=0,0,IF(COUNTIFS(実績!$W$6:$W$505,AI$3,実績!$AC$6:$AC$505,"&lt;="&amp;$A14,実績!$AD$6:$AD$505,"&gt;"&amp;$A14,実績!$AE$6:$AE$505,"○")&gt;0,1,0))</f>
        <v/>
      </c>
      <c r="AJ14">
        <f>IF(AJ$4=0,0,IF(COUNTIFS(実績!$W$6:$W$505,AJ$3,実績!$AC$6:$AC$505,"&lt;="&amp;$A14,実績!$AD$6:$AD$505,"&gt;"&amp;$A14,実績!$AE$6:$AE$505,"○")&gt;0,1,0))</f>
        <v/>
      </c>
      <c r="AK14">
        <f>IF(AK$4=0,0,IF(COUNTIFS(実績!$W$6:$W$505,AK$3,実績!$AC$6:$AC$505,"&lt;="&amp;$A14,実績!$AD$6:$AD$505,"&gt;"&amp;$A14,実績!$AE$6:$AE$505,"○")&gt;0,1,0))</f>
        <v/>
      </c>
      <c r="AL14">
        <f>IF(AL$4=0,0,IF(COUNTIFS(実績!$W$6:$W$505,AL$3,実績!$AC$6:$AC$505,"&lt;="&amp;$A14,実績!$AD$6:$AD$505,"&gt;"&amp;$A14,実績!$AE$6:$AE$505,"○")&gt;0,1,0))</f>
        <v/>
      </c>
      <c r="AM14">
        <f>IF(AM$4=0,0,IF(COUNTIFS(実績!$W$6:$W$505,AM$3,実績!$AC$6:$AC$505,"&lt;="&amp;$A14,実績!$AD$6:$AD$505,"&gt;"&amp;$A14,実績!$AE$6:$AE$505,"○")&gt;0,1,0))</f>
        <v/>
      </c>
      <c r="AN14">
        <f>IF(AN$4=0,0,IF(COUNTIFS(実績!$W$6:$W$505,AN$3,実績!$AC$6:$AC$505,"&lt;="&amp;$A14,実績!$AD$6:$AD$505,"&gt;"&amp;$A14,実績!$AE$6:$AE$505,"○")&gt;0,1,0))</f>
        <v/>
      </c>
      <c r="AO14">
        <f>IF(AO$4=0,0,IF(COUNTIFS(実績!$W$6:$W$505,AO$3,実績!$AC$6:$AC$505,"&lt;="&amp;$A14,実績!$AD$6:$AD$505,"&gt;"&amp;$A14,実績!$AE$6:$AE$505,"○")&gt;0,1,0))</f>
        <v/>
      </c>
      <c r="AP14">
        <f>IF(AP$4=0,0,IF(COUNTIFS(実績!$W$6:$W$505,AP$3,実績!$AC$6:$AC$505,"&lt;="&amp;$A14,実績!$AD$6:$AD$505,"&gt;"&amp;$A14,実績!$AE$6:$AE$505,"○")&gt;0,1,0))</f>
        <v/>
      </c>
      <c r="AQ14">
        <f>IF(AQ$4=0,0,IF(COUNTIFS(実績!$W$6:$W$505,AQ$3,実績!$AC$6:$AC$505,"&lt;="&amp;$A14,実績!$AD$6:$AD$505,"&gt;"&amp;$A14,実績!$AE$6:$AE$505,"○")&gt;0,1,0))</f>
        <v/>
      </c>
      <c r="AR14">
        <f>IF(AR$4=0,0,IF(COUNTIFS(実績!$W$6:$W$505,AR$3,実績!$AC$6:$AC$505,"&lt;="&amp;$A14,実績!$AD$6:$AD$505,"&gt;"&amp;$A14,実績!$AE$6:$AE$505,"○")&gt;0,1,0))</f>
        <v/>
      </c>
      <c r="AS14">
        <f>IF(AS$4=0,0,IF(COUNTIFS(実績!$W$6:$W$505,AS$3,実績!$AC$6:$AC$505,"&lt;="&amp;$A14,実績!$AD$6:$AD$505,"&gt;"&amp;$A14,実績!$AE$6:$AE$505,"○")&gt;0,1,0))</f>
        <v/>
      </c>
      <c r="AT14">
        <f>IF(AT$4=0,0,IF(COUNTIFS(実績!$W$6:$W$505,AT$3,実績!$AC$6:$AC$505,"&lt;="&amp;$A14,実績!$AD$6:$AD$505,"&gt;"&amp;$A14,実績!$AE$6:$AE$505,"○")&gt;0,1,0))</f>
        <v/>
      </c>
      <c r="AU14">
        <f>IF(AU$4=0,0,IF(COUNTIFS(実績!$W$6:$W$505,AU$3,実績!$AC$6:$AC$505,"&lt;="&amp;$A14,実績!$AD$6:$AD$505,"&gt;"&amp;$A14,実績!$AE$6:$AE$505,"○")&gt;0,1,0))</f>
        <v/>
      </c>
      <c r="AV14">
        <f>IF(AV$4=0,0,IF(COUNTIFS(実績!$W$6:$W$505,AV$3,実績!$AC$6:$AC$505,"&lt;="&amp;$A14,実績!$AD$6:$AD$505,"&gt;"&amp;$A14,実績!$AE$6:$AE$505,"○")&gt;0,1,0))</f>
        <v/>
      </c>
      <c r="AW14">
        <f>IF(AW$4=0,0,IF(COUNTIFS(実績!$W$6:$W$505,AW$3,実績!$AC$6:$AC$505,"&lt;="&amp;$A14,実績!$AD$6:$AD$505,"&gt;"&amp;$A14,実績!$AE$6:$AE$505,"○")&gt;0,1,0))</f>
        <v/>
      </c>
      <c r="AX14">
        <f>IF(AX$4=0,0,IF(COUNTIFS(実績!$W$6:$W$505,AX$3,実績!$AC$6:$AC$505,"&lt;="&amp;$A14,実績!$AD$6:$AD$505,"&gt;"&amp;$A14,実績!$AE$6:$AE$505,"○")&gt;0,1,0))</f>
        <v/>
      </c>
      <c r="AY14">
        <f>IF(AY$4=0,0,IF(COUNTIFS(実績!$W$6:$W$505,AY$3,実績!$AC$6:$AC$505,"&lt;="&amp;$A14,実績!$AD$6:$AD$505,"&gt;"&amp;$A14,実績!$AE$6:$AE$505,"○")&gt;0,1,0))</f>
        <v/>
      </c>
      <c r="AZ14">
        <f>IF(AZ$4=0,0,IF(COUNTIFS(実績!$W$6:$W$505,AZ$3,実績!$AC$6:$AC$505,"&lt;="&amp;$A14,実績!$AD$6:$AD$505,"&gt;"&amp;$A14,実績!$AE$6:$AE$505,"○")&gt;0,1,0))</f>
        <v/>
      </c>
      <c r="BA14">
        <f>IF(BA$4=0,0,IF(COUNTIFS(実績!$W$6:$W$505,BA$3,実績!$AC$6:$AC$505,"&lt;="&amp;$A14,実績!$AD$6:$AD$505,"&gt;"&amp;$A14,実績!$AE$6:$AE$505,"○")&gt;0,1,0))</f>
        <v/>
      </c>
      <c r="BB14">
        <f>IF(BB$4=0,0,IF(COUNTIFS(実績!$W$6:$W$505,BB$3,実績!$AC$6:$AC$505,"&lt;="&amp;$A14,実績!$AD$6:$AD$505,"&gt;"&amp;$A14,実績!$AE$6:$AE$505,"○")&gt;0,1,0))</f>
        <v/>
      </c>
      <c r="BC14">
        <f>IF(BC$4=0,0,IF(COUNTIFS(実績!$W$6:$W$505,BC$3,実績!$AC$6:$AC$505,"&lt;="&amp;$A14,実績!$AD$6:$AD$505,"&gt;"&amp;$A14,実績!$AE$6:$AE$505,"○")&gt;0,1,0))</f>
        <v/>
      </c>
      <c r="BD14">
        <f>IF(BD$4=0,0,IF(COUNTIFS(実績!$W$6:$W$505,BD$3,実績!$AC$6:$AC$505,"&lt;="&amp;$A14,実績!$AD$6:$AD$505,"&gt;"&amp;$A14,実績!$AE$6:$AE$505,"○")&gt;0,1,0))</f>
        <v/>
      </c>
      <c r="BE14">
        <f>IF(BE$4=0,0,IF(COUNTIFS(実績!$W$6:$W$505,BE$3,実績!$AC$6:$AC$505,"&lt;="&amp;$A14,実績!$AD$6:$AD$505,"&gt;"&amp;$A14,実績!$AE$6:$AE$505,"○")&gt;0,1,0))</f>
        <v/>
      </c>
      <c r="BF14">
        <f>IF(BF$4=0,0,IF(COUNTIFS(実績!$W$6:$W$505,BF$3,実績!$AC$6:$AC$505,"&lt;="&amp;$A14,実績!$AD$6:$AD$505,"&gt;"&amp;$A14,実績!$AE$6:$AE$505,"○")&gt;0,1,0))</f>
        <v/>
      </c>
      <c r="BG14">
        <f>IF(BG$4=0,0,IF(COUNTIFS(実績!$W$6:$W$505,BG$3,実績!$AC$6:$AC$505,"&lt;="&amp;$A14,実績!$AD$6:$AD$505,"&gt;"&amp;$A14,実績!$AE$6:$AE$505,"○")&gt;0,1,0))</f>
        <v/>
      </c>
      <c r="BH14">
        <f>IF(BH$4=0,0,IF(COUNTIFS(実績!$W$6:$W$505,BH$3,実績!$AC$6:$AC$505,"&lt;="&amp;$A14,実績!$AD$6:$AD$505,"&gt;"&amp;$A14,実績!$AE$6:$AE$505,"○")&gt;0,1,0))</f>
        <v/>
      </c>
      <c r="BI14">
        <f>IF(BI$4=0,0,IF(COUNTIFS(実績!$W$6:$W$505,BI$3,実績!$AC$6:$AC$505,"&lt;="&amp;$A14,実績!$AD$6:$AD$505,"&gt;"&amp;$A14,実績!$AE$6:$AE$505,"○")&gt;0,1,0))</f>
        <v/>
      </c>
      <c r="BJ14">
        <f>IF(BJ$4=0,0,IF(COUNTIFS(実績!$W$6:$W$505,BJ$3,実績!$AC$6:$AC$505,"&lt;="&amp;$A14,実績!$AD$6:$AD$505,"&gt;"&amp;$A14,実績!$AE$6:$AE$505,"○")&gt;0,1,0))</f>
        <v/>
      </c>
      <c r="BK14">
        <f>IF(BK$4=0,0,IF(COUNTIFS(実績!$W$6:$W$505,BK$3,実績!$AC$6:$AC$505,"&lt;="&amp;$A14,実績!$AD$6:$AD$505,"&gt;"&amp;$A14,実績!$AE$6:$AE$505,"○")&gt;0,1,0))</f>
        <v/>
      </c>
      <c r="BL14">
        <f>IF(BL$4=0,0,IF(COUNTIFS(実績!$W$6:$W$505,BL$3,実績!$AC$6:$AC$505,"&lt;="&amp;$A14,実績!$AD$6:$AD$505,"&gt;"&amp;$A14,実績!$AE$6:$AE$505,"○")&gt;0,1,0))</f>
        <v/>
      </c>
      <c r="BM14">
        <f>IF(BM$4=0,0,IF(COUNTIFS(実績!$W$6:$W$505,BM$3,実績!$AC$6:$AC$505,"&lt;="&amp;$A14,実績!$AD$6:$AD$505,"&gt;"&amp;$A14,実績!$AE$6:$AE$505,"○")&gt;0,1,0))</f>
        <v/>
      </c>
      <c r="BN14">
        <f>IF(BN$4=0,0,IF(COUNTIFS(実績!$W$6:$W$505,BN$3,実績!$AC$6:$AC$505,"&lt;="&amp;$A14,実績!$AD$6:$AD$505,"&gt;"&amp;$A14,実績!$AE$6:$AE$505,"○")&gt;0,1,0))</f>
        <v/>
      </c>
      <c r="BO14">
        <f>IF(BO$4=0,0,IF(COUNTIFS(実績!$W$6:$W$505,BO$3,実績!$AC$6:$AC$505,"&lt;="&amp;$A14,実績!$AD$6:$AD$505,"&gt;"&amp;$A14,実績!$AE$6:$AE$505,"○")&gt;0,1,0))</f>
        <v/>
      </c>
      <c r="BP14">
        <f>IF(BP$4=0,0,IF(COUNTIFS(実績!$W$6:$W$505,BP$3,実績!$AC$6:$AC$505,"&lt;="&amp;$A14,実績!$AD$6:$AD$505,"&gt;"&amp;$A14,実績!$AE$6:$AE$505,"○")&gt;0,1,0))</f>
        <v/>
      </c>
      <c r="BQ14">
        <f>IF(BQ$4=0,0,IF(COUNTIFS(実績!$W$6:$W$505,BQ$3,実績!$AC$6:$AC$505,"&lt;="&amp;$A14,実績!$AD$6:$AD$505,"&gt;"&amp;$A14,実績!$AE$6:$AE$505,"○")&gt;0,1,0))</f>
        <v/>
      </c>
      <c r="BR14">
        <f>IF(BR$4=0,0,IF(COUNTIFS(実績!$W$6:$W$505,BR$3,実績!$AC$6:$AC$505,"&lt;="&amp;$A14,実績!$AD$6:$AD$505,"&gt;"&amp;$A14,実績!$AE$6:$AE$505,"○")&gt;0,1,0))</f>
        <v/>
      </c>
      <c r="BS14">
        <f>IF(BS$4=0,0,IF(COUNTIFS(実績!$W$6:$W$505,BS$3,実績!$AC$6:$AC$505,"&lt;="&amp;$A14,実績!$AD$6:$AD$505,"&gt;"&amp;$A14,実績!$AE$6:$AE$505,"○")&gt;0,1,0))</f>
        <v/>
      </c>
      <c r="BT14">
        <f>IF(BT$4=0,0,IF(COUNTIFS(実績!$W$6:$W$505,BT$3,実績!$AC$6:$AC$505,"&lt;="&amp;$A14,実績!$AD$6:$AD$505,"&gt;"&amp;$A14,実績!$AE$6:$AE$505,"○")&gt;0,1,0))</f>
        <v/>
      </c>
      <c r="BU14">
        <f>IF(BU$4=0,0,IF(COUNTIFS(実績!$W$6:$W$505,BU$3,実績!$AC$6:$AC$505,"&lt;="&amp;$A14,実績!$AD$6:$AD$505,"&gt;"&amp;$A14,実績!$AE$6:$AE$505,"○")&gt;0,1,0))</f>
        <v/>
      </c>
      <c r="BV14">
        <f>IF(BV$4=0,0,IF(COUNTIFS(実績!$W$6:$W$505,BV$3,実績!$AC$6:$AC$505,"&lt;="&amp;$A14,実績!$AD$6:$AD$505,"&gt;"&amp;$A14,実績!$AE$6:$AE$505,"○")&gt;0,1,0))</f>
        <v/>
      </c>
      <c r="BW14">
        <f>IF(BW$4=0,0,IF(COUNTIFS(実績!$W$6:$W$505,BW$3,実績!$AC$6:$AC$505,"&lt;="&amp;$A14,実績!$AD$6:$AD$505,"&gt;"&amp;$A14,実績!$AE$6:$AE$505,"○")&gt;0,1,0))</f>
        <v/>
      </c>
      <c r="BX14">
        <f>IF(BX$4=0,0,IF(COUNTIFS(実績!$W$6:$W$505,BX$3,実績!$AC$6:$AC$505,"&lt;="&amp;$A14,実績!$AD$6:$AD$505,"&gt;"&amp;$A14,実績!$AE$6:$AE$505,"○")&gt;0,1,0))</f>
        <v/>
      </c>
      <c r="BY14">
        <f>IF(BY$4=0,0,IF(COUNTIFS(実績!$W$6:$W$505,BY$3,実績!$AC$6:$AC$505,"&lt;="&amp;$A14,実績!$AD$6:$AD$505,"&gt;"&amp;$A14,実績!$AE$6:$AE$505,"○")&gt;0,1,0))</f>
        <v/>
      </c>
      <c r="BZ14">
        <f>IF(BZ$4=0,0,IF(COUNTIFS(実績!$W$6:$W$505,BZ$3,実績!$AC$6:$AC$505,"&lt;="&amp;$A14,実績!$AD$6:$AD$505,"&gt;"&amp;$A14,実績!$AE$6:$AE$505,"○")&gt;0,1,0))</f>
        <v/>
      </c>
      <c r="CA14">
        <f>IF(CA$4=0,0,IF(COUNTIFS(実績!$W$6:$W$505,CA$3,実績!$AC$6:$AC$505,"&lt;="&amp;$A14,実績!$AD$6:$AD$505,"&gt;"&amp;$A14,実績!$AE$6:$AE$505,"○")&gt;0,1,0))</f>
        <v/>
      </c>
      <c r="CB14">
        <f>IF(CB$4=0,0,IF(COUNTIFS(実績!$W$6:$W$505,CB$3,実績!$AC$6:$AC$505,"&lt;="&amp;$A14,実績!$AD$6:$AD$505,"&gt;"&amp;$A14,実績!$AE$6:$AE$505,"○")&gt;0,1,0))</f>
        <v/>
      </c>
      <c r="CC14">
        <f>IF(CC$4=0,0,IF(COUNTIFS(実績!$W$6:$W$505,CC$3,実績!$AC$6:$AC$505,"&lt;="&amp;$A14,実績!$AD$6:$AD$505,"&gt;"&amp;$A14,実績!$AE$6:$AE$505,"○")&gt;0,1,0))</f>
        <v/>
      </c>
      <c r="CD14">
        <f>IF(CD$4=0,0,IF(COUNTIFS(実績!$W$6:$W$505,CD$3,実績!$AC$6:$AC$505,"&lt;="&amp;$A14,実績!$AD$6:$AD$505,"&gt;"&amp;$A14,実績!$AE$6:$AE$505,"○")&gt;0,1,0))</f>
        <v/>
      </c>
      <c r="CE14">
        <f>IF(CE$4=0,0,IF(COUNTIFS(実績!$W$6:$W$505,CE$3,実績!$AC$6:$AC$505,"&lt;="&amp;$A14,実績!$AD$6:$AD$505,"&gt;"&amp;$A14,実績!$AE$6:$AE$505,"○")&gt;0,1,0))</f>
        <v/>
      </c>
      <c r="CF14">
        <f>IF(CF$4=0,0,IF(COUNTIFS(実績!$W$6:$W$505,CF$3,実績!$AC$6:$AC$505,"&lt;="&amp;$A14,実績!$AD$6:$AD$505,"&gt;"&amp;$A14,実績!$AE$6:$AE$505,"○")&gt;0,1,0))</f>
        <v/>
      </c>
      <c r="CG14">
        <f>IF(CG$4=0,0,IF(COUNTIFS(実績!$W$6:$W$505,CG$3,実績!$AC$6:$AC$505,"&lt;="&amp;$A14,実績!$AD$6:$AD$505,"&gt;"&amp;$A14,実績!$AE$6:$AE$505,"○")&gt;0,1,0))</f>
        <v/>
      </c>
      <c r="CH14">
        <f>IF(CH$4=0,0,IF(COUNTIFS(実績!$W$6:$W$505,CH$3,実績!$AC$6:$AC$505,"&lt;="&amp;$A14,実績!$AD$6:$AD$505,"&gt;"&amp;$A14,実績!$AE$6:$AE$505,"○")&gt;0,1,0))</f>
        <v/>
      </c>
      <c r="CI14">
        <f>IF(CI$4=0,0,IF(COUNTIFS(実績!$W$6:$W$505,CI$3,実績!$AC$6:$AC$505,"&lt;="&amp;$A14,実績!$AD$6:$AD$505,"&gt;"&amp;$A14,実績!$AE$6:$AE$505,"○")&gt;0,1,0))</f>
        <v/>
      </c>
      <c r="CJ14">
        <f>IF(CJ$4=0,0,IF(COUNTIFS(実績!$W$6:$W$505,CJ$3,実績!$AC$6:$AC$505,"&lt;="&amp;$A14,実績!$AD$6:$AD$505,"&gt;"&amp;$A14,実績!$AE$6:$AE$505,"○")&gt;0,1,0))</f>
        <v/>
      </c>
      <c r="CK14">
        <f>IF(CK$4=0,0,IF(COUNTIFS(実績!$W$6:$W$505,CK$3,実績!$AC$6:$AC$505,"&lt;="&amp;$A14,実績!$AD$6:$AD$505,"&gt;"&amp;$A14,実績!$AE$6:$AE$505,"○")&gt;0,1,0))</f>
        <v/>
      </c>
      <c r="CL14">
        <f>IF(CL$4=0,0,IF(COUNTIFS(実績!$W$6:$W$505,CL$3,実績!$AC$6:$AC$505,"&lt;="&amp;$A14,実績!$AD$6:$AD$505,"&gt;"&amp;$A14,実績!$AE$6:$AE$505,"○")&gt;0,1,0))</f>
        <v/>
      </c>
      <c r="CM14">
        <f>IF(CM$4=0,0,IF(COUNTIFS(実績!$W$6:$W$505,CM$3,実績!$AC$6:$AC$505,"&lt;="&amp;$A14,実績!$AD$6:$AD$505,"&gt;"&amp;$A14,実績!$AE$6:$AE$505,"○")&gt;0,1,0))</f>
        <v/>
      </c>
      <c r="CN14">
        <f>IF(CN$4=0,0,IF(COUNTIFS(実績!$W$6:$W$505,CN$3,実績!$AC$6:$AC$505,"&lt;="&amp;$A14,実績!$AD$6:$AD$505,"&gt;"&amp;$A14,実績!$AE$6:$AE$505,"○")&gt;0,1,0))</f>
        <v/>
      </c>
      <c r="CO14">
        <f>IF(CO$4=0,0,IF(COUNTIFS(実績!$W$6:$W$505,CO$3,実績!$AC$6:$AC$505,"&lt;="&amp;$A14,実績!$AD$6:$AD$505,"&gt;"&amp;$A14,実績!$AE$6:$AE$505,"○")&gt;0,1,0))</f>
        <v/>
      </c>
      <c r="CP14">
        <f>IF(CP$4=0,0,IF(COUNTIFS(実績!$W$6:$W$505,CP$3,実績!$AC$6:$AC$505,"&lt;="&amp;$A14,実績!$AD$6:$AD$505,"&gt;"&amp;$A14,実績!$AE$6:$AE$505,"○")&gt;0,1,0))</f>
        <v/>
      </c>
      <c r="CQ14">
        <f>IF(CQ$4=0,0,IF(COUNTIFS(実績!$W$6:$W$505,CQ$3,実績!$AC$6:$AC$505,"&lt;="&amp;$A14,実績!$AD$6:$AD$505,"&gt;"&amp;$A14,実績!$AE$6:$AE$505,"○")&gt;0,1,0))</f>
        <v/>
      </c>
      <c r="CR14">
        <f>IF(CR$4=0,0,IF(COUNTIFS(実績!$W$6:$W$505,CR$3,実績!$AC$6:$AC$505,"&lt;="&amp;$A14,実績!$AD$6:$AD$505,"&gt;"&amp;$A14,実績!$AE$6:$AE$505,"○")&gt;0,1,0))</f>
        <v/>
      </c>
      <c r="CS14">
        <f>IF(CS$4=0,0,IF(COUNTIFS(実績!$W$6:$W$505,CS$3,実績!$AC$6:$AC$505,"&lt;="&amp;$A14,実績!$AD$6:$AD$505,"&gt;"&amp;$A14,実績!$AE$6:$AE$505,"○")&gt;0,1,0))</f>
        <v/>
      </c>
      <c r="CT14">
        <f>IF(CT$4=0,0,IF(COUNTIFS(実績!$W$6:$W$505,CT$3,実績!$AC$6:$AC$505,"&lt;="&amp;$A14,実績!$AD$6:$AD$505,"&gt;"&amp;$A14,実績!$AE$6:$AE$505,"○")&gt;0,1,0))</f>
        <v/>
      </c>
      <c r="CU14">
        <f>IF(CU$4=0,0,IF(COUNTIFS(実績!$W$6:$W$505,CU$3,実績!$AC$6:$AC$505,"&lt;="&amp;$A14,実績!$AD$6:$AD$505,"&gt;"&amp;$A14,実績!$AE$6:$AE$505,"○")&gt;0,1,0))</f>
        <v/>
      </c>
      <c r="CV14">
        <f>IF(CV$4=0,0,IF(COUNTIFS(実績!$W$6:$W$505,CV$3,実績!$AC$6:$AC$505,"&lt;="&amp;$A14,実績!$AD$6:$AD$505,"&gt;"&amp;$A14,実績!$AE$6:$AE$505,"○")&gt;0,1,0))</f>
        <v/>
      </c>
      <c r="CW14">
        <f>IF(CW$4=0,0,IF(COUNTIFS(実績!$W$6:$W$505,CW$3,実績!$AC$6:$AC$505,"&lt;="&amp;$A14,実績!$AD$6:$AD$505,"&gt;"&amp;$A14,実績!$AE$6:$AE$505,"○")&gt;0,1,0))</f>
        <v/>
      </c>
      <c r="CX14">
        <f>IF(CX$4=0,0,IF(COUNTIFS(実績!$W$6:$W$505,CX$3,実績!$AC$6:$AC$505,"&lt;="&amp;$A14,実績!$AD$6:$AD$505,"&gt;"&amp;$A14,実績!$AE$6:$AE$505,"○")&gt;0,1,0))</f>
        <v/>
      </c>
      <c r="CY14">
        <f>IF(CY$4=0,0,IF(COUNTIFS(実績!$W$6:$W$505,CY$3,実績!$AC$6:$AC$505,"&lt;="&amp;$A14,実績!$AD$6:$AD$505,"&gt;"&amp;$A14,実績!$AE$6:$AE$505,"○")&gt;0,1,0))</f>
        <v/>
      </c>
      <c r="CZ14">
        <f>IF(CZ$4=0,0,IF(COUNTIFS(実績!$W$6:$W$505,CZ$3,実績!$AC$6:$AC$505,"&lt;="&amp;$A14,実績!$AD$6:$AD$505,"&gt;"&amp;$A14,実績!$AE$6:$AE$505,"○")&gt;0,1,0))</f>
        <v/>
      </c>
      <c r="DA14">
        <f>IF(DA$4=0,0,IF(COUNTIFS(実績!$W$6:$W$505,DA$3,実績!$AC$6:$AC$505,"&lt;="&amp;$A14,実績!$AD$6:$AD$505,"&gt;"&amp;$A14,実績!$AE$6:$AE$505,"○")&gt;0,1,0))</f>
        <v/>
      </c>
      <c r="DB14">
        <f>IF(DB$4=0,0,IF(COUNTIFS(実績!$W$6:$W$505,DB$3,実績!$AC$6:$AC$505,"&lt;="&amp;$A14,実績!$AD$6:$AD$505,"&gt;"&amp;$A14,実績!$AE$6:$AE$505,"○")&gt;0,1,0))</f>
        <v/>
      </c>
      <c r="DC14">
        <f>IF(DC$4=0,0,IF(COUNTIFS(実績!$W$6:$W$505,DC$3,実績!$AC$6:$AC$505,"&lt;="&amp;$A14,実績!$AD$6:$AD$505,"&gt;"&amp;$A14,実績!$AE$6:$AE$505,"○")&gt;0,1,0))</f>
        <v/>
      </c>
      <c r="DD14">
        <f>IF(DD$4=0,0,IF(COUNTIFS(実績!$W$6:$W$505,DD$3,実績!$AC$6:$AC$505,"&lt;="&amp;$A14,実績!$AD$6:$AD$505,"&gt;"&amp;$A14,実績!$AE$6:$AE$505,"○")&gt;0,1,0))</f>
        <v/>
      </c>
      <c r="DE14">
        <f>IF(DE$4=0,0,IF(COUNTIFS(実績!$W$6:$W$505,DE$3,実績!$AC$6:$AC$505,"&lt;="&amp;$A14,実績!$AD$6:$AD$505,"&gt;"&amp;$A14,実績!$AE$6:$AE$505,"○")&gt;0,1,0))</f>
        <v/>
      </c>
      <c r="DF14">
        <f>IF(DF$4=0,0,IF(COUNTIFS(実績!$W$6:$W$505,DF$3,実績!$AC$6:$AC$505,"&lt;="&amp;$A14,実績!$AD$6:$AD$505,"&gt;"&amp;$A14,実績!$AE$6:$AE$505,"○")&gt;0,1,0))</f>
        <v/>
      </c>
      <c r="DG14">
        <f>IF(DG$4=0,0,IF(COUNTIFS(実績!$W$6:$W$505,DG$3,実績!$AC$6:$AC$505,"&lt;="&amp;$A14,実績!$AD$6:$AD$505,"&gt;"&amp;$A14,実績!$AE$6:$AE$505,"○")&gt;0,1,0))</f>
        <v/>
      </c>
      <c r="DH14">
        <f>IF(DH$4=0,0,IF(COUNTIFS(実績!$W$6:$W$505,DH$3,実績!$AC$6:$AC$505,"&lt;="&amp;$A14,実績!$AD$6:$AD$505,"&gt;"&amp;$A14,実績!$AE$6:$AE$505,"○")&gt;0,1,0))</f>
        <v/>
      </c>
      <c r="DI14">
        <f>IF(DI$4=0,0,IF(COUNTIFS(実績!$W$6:$W$505,DI$3,実績!$AC$6:$AC$505,"&lt;="&amp;$A14,実績!$AD$6:$AD$505,"&gt;"&amp;$A14,実績!$AE$6:$AE$505,"○")&gt;0,1,0))</f>
        <v/>
      </c>
      <c r="DJ14">
        <f>IF(DJ$4=0,0,IF(COUNTIFS(実績!$W$6:$W$505,DJ$3,実績!$AC$6:$AC$505,"&lt;="&amp;$A14,実績!$AD$6:$AD$505,"&gt;"&amp;$A14,実績!$AE$6:$AE$505,"○")&gt;0,1,0))</f>
        <v/>
      </c>
      <c r="DK14">
        <f>IF(DK$4=0,0,IF(COUNTIFS(実績!$W$6:$W$505,DK$3,実績!$AC$6:$AC$505,"&lt;="&amp;$A14,実績!$AD$6:$AD$505,"&gt;"&amp;$A14,実績!$AE$6:$AE$505,"○")&gt;0,1,0))</f>
        <v/>
      </c>
      <c r="DL14">
        <f>IF(DL$4=0,0,IF(COUNTIFS(実績!$W$6:$W$505,DL$3,実績!$AC$6:$AC$505,"&lt;="&amp;$A14,実績!$AD$6:$AD$505,"&gt;"&amp;$A14,実績!$AE$6:$AE$505,"○")&gt;0,1,0))</f>
        <v/>
      </c>
      <c r="DM14">
        <f>IF(DM$4=0,0,IF(COUNTIFS(実績!$W$6:$W$505,DM$3,実績!$AC$6:$AC$505,"&lt;="&amp;$A14,実績!$AD$6:$AD$505,"&gt;"&amp;$A14,実績!$AE$6:$AE$505,"○")&gt;0,1,0))</f>
        <v/>
      </c>
      <c r="DN14">
        <f>IF(DN$4=0,0,IF(COUNTIFS(実績!$W$6:$W$505,DN$3,実績!$AC$6:$AC$505,"&lt;="&amp;$A14,実績!$AD$6:$AD$505,"&gt;"&amp;$A14,実績!$AE$6:$AE$505,"○")&gt;0,1,0))</f>
        <v/>
      </c>
      <c r="DO14">
        <f>IF(DO$4=0,0,IF(COUNTIFS(実績!$W$6:$W$505,DO$3,実績!$AC$6:$AC$505,"&lt;="&amp;$A14,実績!$AD$6:$AD$505,"&gt;"&amp;$A14,実績!$AE$6:$AE$505,"○")&gt;0,1,0))</f>
        <v/>
      </c>
      <c r="DP14">
        <f>IF(DP$4=0,0,IF(COUNTIFS(実績!$W$6:$W$505,DP$3,実績!$AC$6:$AC$505,"&lt;="&amp;$A14,実績!$AD$6:$AD$505,"&gt;"&amp;$A14,実績!$AE$6:$AE$505,"○")&gt;0,1,0))</f>
        <v/>
      </c>
      <c r="DQ14">
        <f>IF(DQ$4=0,0,IF(COUNTIFS(実績!$W$6:$W$505,DQ$3,実績!$AC$6:$AC$505,"&lt;="&amp;$A14,実績!$AD$6:$AD$505,"&gt;"&amp;$A14,実績!$AE$6:$AE$505,"○")&gt;0,1,0))</f>
        <v/>
      </c>
      <c r="DR14">
        <f>IF(DR$4=0,0,IF(COUNTIFS(実績!$W$6:$W$505,DR$3,実績!$AC$6:$AC$505,"&lt;="&amp;$A14,実績!$AD$6:$AD$505,"&gt;"&amp;$A14,実績!$AE$6:$AE$505,"○")&gt;0,1,0))</f>
        <v/>
      </c>
      <c r="DS14">
        <f>SUM(C14:DR14)</f>
        <v/>
      </c>
      <c r="DT14">
        <f>SUMPRODUCT((実績!$C$6:$C$505="○")*ISNUMBER(実績!$AF$6:$AF$505)*(実績!$AF$6:$AF$505&lt;=$A14)*(実績!$AG$6:$AG$505&gt;$A14))</f>
        <v/>
      </c>
      <c r="DU14">
        <f>SUMIF($C$2:$DR$2,"製鉄曳船",C14:DR14)</f>
        <v/>
      </c>
      <c r="DV14">
        <f>SUMIF($C$2:$DR$2,"西日本海運",C14:DR14)</f>
        <v/>
      </c>
    </row>
    <row r="15">
      <c r="A15" t="n">
        <v>45</v>
      </c>
      <c r="B15" s="29">
        <f>A15/1440</f>
        <v/>
      </c>
      <c r="C15">
        <f>IF(C$4=0,0,IF(COUNTIFS(実績!$W$6:$W$505,C$3,実績!$AC$6:$AC$505,"&lt;="&amp;$A15,実績!$AD$6:$AD$505,"&gt;"&amp;$A15,実績!$AE$6:$AE$505,"○")&gt;0,1,0))</f>
        <v/>
      </c>
      <c r="D15">
        <f>IF(D$4=0,0,IF(COUNTIFS(実績!$W$6:$W$505,D$3,実績!$AC$6:$AC$505,"&lt;="&amp;$A15,実績!$AD$6:$AD$505,"&gt;"&amp;$A15,実績!$AE$6:$AE$505,"○")&gt;0,1,0))</f>
        <v/>
      </c>
      <c r="E15">
        <f>IF(E$4=0,0,IF(COUNTIFS(実績!$W$6:$W$505,E$3,実績!$AC$6:$AC$505,"&lt;="&amp;$A15,実績!$AD$6:$AD$505,"&gt;"&amp;$A15,実績!$AE$6:$AE$505,"○")&gt;0,1,0))</f>
        <v/>
      </c>
      <c r="F15">
        <f>IF(F$4=0,0,IF(COUNTIFS(実績!$W$6:$W$505,F$3,実績!$AC$6:$AC$505,"&lt;="&amp;$A15,実績!$AD$6:$AD$505,"&gt;"&amp;$A15,実績!$AE$6:$AE$505,"○")&gt;0,1,0))</f>
        <v/>
      </c>
      <c r="G15">
        <f>IF(G$4=0,0,IF(COUNTIFS(実績!$W$6:$W$505,G$3,実績!$AC$6:$AC$505,"&lt;="&amp;$A15,実績!$AD$6:$AD$505,"&gt;"&amp;$A15,実績!$AE$6:$AE$505,"○")&gt;0,1,0))</f>
        <v/>
      </c>
      <c r="H15">
        <f>IF(H$4=0,0,IF(COUNTIFS(実績!$W$6:$W$505,H$3,実績!$AC$6:$AC$505,"&lt;="&amp;$A15,実績!$AD$6:$AD$505,"&gt;"&amp;$A15,実績!$AE$6:$AE$505,"○")&gt;0,1,0))</f>
        <v/>
      </c>
      <c r="I15">
        <f>IF(I$4=0,0,IF(COUNTIFS(実績!$W$6:$W$505,I$3,実績!$AC$6:$AC$505,"&lt;="&amp;$A15,実績!$AD$6:$AD$505,"&gt;"&amp;$A15,実績!$AE$6:$AE$505,"○")&gt;0,1,0))</f>
        <v/>
      </c>
      <c r="J15">
        <f>IF(J$4=0,0,IF(COUNTIFS(実績!$W$6:$W$505,J$3,実績!$AC$6:$AC$505,"&lt;="&amp;$A15,実績!$AD$6:$AD$505,"&gt;"&amp;$A15,実績!$AE$6:$AE$505,"○")&gt;0,1,0))</f>
        <v/>
      </c>
      <c r="K15">
        <f>IF(K$4=0,0,IF(COUNTIFS(実績!$W$6:$W$505,K$3,実績!$AC$6:$AC$505,"&lt;="&amp;$A15,実績!$AD$6:$AD$505,"&gt;"&amp;$A15,実績!$AE$6:$AE$505,"○")&gt;0,1,0))</f>
        <v/>
      </c>
      <c r="L15">
        <f>IF(L$4=0,0,IF(COUNTIFS(実績!$W$6:$W$505,L$3,実績!$AC$6:$AC$505,"&lt;="&amp;$A15,実績!$AD$6:$AD$505,"&gt;"&amp;$A15,実績!$AE$6:$AE$505,"○")&gt;0,1,0))</f>
        <v/>
      </c>
      <c r="M15">
        <f>IF(M$4=0,0,IF(COUNTIFS(実績!$W$6:$W$505,M$3,実績!$AC$6:$AC$505,"&lt;="&amp;$A15,実績!$AD$6:$AD$505,"&gt;"&amp;$A15,実績!$AE$6:$AE$505,"○")&gt;0,1,0))</f>
        <v/>
      </c>
      <c r="N15">
        <f>IF(N$4=0,0,IF(COUNTIFS(実績!$W$6:$W$505,N$3,実績!$AC$6:$AC$505,"&lt;="&amp;$A15,実績!$AD$6:$AD$505,"&gt;"&amp;$A15,実績!$AE$6:$AE$505,"○")&gt;0,1,0))</f>
        <v/>
      </c>
      <c r="O15">
        <f>IF(O$4=0,0,IF(COUNTIFS(実績!$W$6:$W$505,O$3,実績!$AC$6:$AC$505,"&lt;="&amp;$A15,実績!$AD$6:$AD$505,"&gt;"&amp;$A15,実績!$AE$6:$AE$505,"○")&gt;0,1,0))</f>
        <v/>
      </c>
      <c r="P15">
        <f>IF(P$4=0,0,IF(COUNTIFS(実績!$W$6:$W$505,P$3,実績!$AC$6:$AC$505,"&lt;="&amp;$A15,実績!$AD$6:$AD$505,"&gt;"&amp;$A15,実績!$AE$6:$AE$505,"○")&gt;0,1,0))</f>
        <v/>
      </c>
      <c r="Q15">
        <f>IF(Q$4=0,0,IF(COUNTIFS(実績!$W$6:$W$505,Q$3,実績!$AC$6:$AC$505,"&lt;="&amp;$A15,実績!$AD$6:$AD$505,"&gt;"&amp;$A15,実績!$AE$6:$AE$505,"○")&gt;0,1,0))</f>
        <v/>
      </c>
      <c r="R15">
        <f>IF(R$4=0,0,IF(COUNTIFS(実績!$W$6:$W$505,R$3,実績!$AC$6:$AC$505,"&lt;="&amp;$A15,実績!$AD$6:$AD$505,"&gt;"&amp;$A15,実績!$AE$6:$AE$505,"○")&gt;0,1,0))</f>
        <v/>
      </c>
      <c r="S15">
        <f>IF(S$4=0,0,IF(COUNTIFS(実績!$W$6:$W$505,S$3,実績!$AC$6:$AC$505,"&lt;="&amp;$A15,実績!$AD$6:$AD$505,"&gt;"&amp;$A15,実績!$AE$6:$AE$505,"○")&gt;0,1,0))</f>
        <v/>
      </c>
      <c r="T15">
        <f>IF(T$4=0,0,IF(COUNTIFS(実績!$W$6:$W$505,T$3,実績!$AC$6:$AC$505,"&lt;="&amp;$A15,実績!$AD$6:$AD$505,"&gt;"&amp;$A15,実績!$AE$6:$AE$505,"○")&gt;0,1,0))</f>
        <v/>
      </c>
      <c r="U15">
        <f>IF(U$4=0,0,IF(COUNTIFS(実績!$W$6:$W$505,U$3,実績!$AC$6:$AC$505,"&lt;="&amp;$A15,実績!$AD$6:$AD$505,"&gt;"&amp;$A15,実績!$AE$6:$AE$505,"○")&gt;0,1,0))</f>
        <v/>
      </c>
      <c r="V15">
        <f>IF(V$4=0,0,IF(COUNTIFS(実績!$W$6:$W$505,V$3,実績!$AC$6:$AC$505,"&lt;="&amp;$A15,実績!$AD$6:$AD$505,"&gt;"&amp;$A15,実績!$AE$6:$AE$505,"○")&gt;0,1,0))</f>
        <v/>
      </c>
      <c r="W15">
        <f>IF(W$4=0,0,IF(COUNTIFS(実績!$W$6:$W$505,W$3,実績!$AC$6:$AC$505,"&lt;="&amp;$A15,実績!$AD$6:$AD$505,"&gt;"&amp;$A15,実績!$AE$6:$AE$505,"○")&gt;0,1,0))</f>
        <v/>
      </c>
      <c r="X15">
        <f>IF(X$4=0,0,IF(COUNTIFS(実績!$W$6:$W$505,X$3,実績!$AC$6:$AC$505,"&lt;="&amp;$A15,実績!$AD$6:$AD$505,"&gt;"&amp;$A15,実績!$AE$6:$AE$505,"○")&gt;0,1,0))</f>
        <v/>
      </c>
      <c r="Y15">
        <f>IF(Y$4=0,0,IF(COUNTIFS(実績!$W$6:$W$505,Y$3,実績!$AC$6:$AC$505,"&lt;="&amp;$A15,実績!$AD$6:$AD$505,"&gt;"&amp;$A15,実績!$AE$6:$AE$505,"○")&gt;0,1,0))</f>
        <v/>
      </c>
      <c r="Z15">
        <f>IF(Z$4=0,0,IF(COUNTIFS(実績!$W$6:$W$505,Z$3,実績!$AC$6:$AC$505,"&lt;="&amp;$A15,実績!$AD$6:$AD$505,"&gt;"&amp;$A15,実績!$AE$6:$AE$505,"○")&gt;0,1,0))</f>
        <v/>
      </c>
      <c r="AA15">
        <f>IF(AA$4=0,0,IF(COUNTIFS(実績!$W$6:$W$505,AA$3,実績!$AC$6:$AC$505,"&lt;="&amp;$A15,実績!$AD$6:$AD$505,"&gt;"&amp;$A15,実績!$AE$6:$AE$505,"○")&gt;0,1,0))</f>
        <v/>
      </c>
      <c r="AB15">
        <f>IF(AB$4=0,0,IF(COUNTIFS(実績!$W$6:$W$505,AB$3,実績!$AC$6:$AC$505,"&lt;="&amp;$A15,実績!$AD$6:$AD$505,"&gt;"&amp;$A15,実績!$AE$6:$AE$505,"○")&gt;0,1,0))</f>
        <v/>
      </c>
      <c r="AC15">
        <f>IF(AC$4=0,0,IF(COUNTIFS(実績!$W$6:$W$505,AC$3,実績!$AC$6:$AC$505,"&lt;="&amp;$A15,実績!$AD$6:$AD$505,"&gt;"&amp;$A15,実績!$AE$6:$AE$505,"○")&gt;0,1,0))</f>
        <v/>
      </c>
      <c r="AD15">
        <f>IF(AD$4=0,0,IF(COUNTIFS(実績!$W$6:$W$505,AD$3,実績!$AC$6:$AC$505,"&lt;="&amp;$A15,実績!$AD$6:$AD$505,"&gt;"&amp;$A15,実績!$AE$6:$AE$505,"○")&gt;0,1,0))</f>
        <v/>
      </c>
      <c r="AE15">
        <f>IF(AE$4=0,0,IF(COUNTIFS(実績!$W$6:$W$505,AE$3,実績!$AC$6:$AC$505,"&lt;="&amp;$A15,実績!$AD$6:$AD$505,"&gt;"&amp;$A15,実績!$AE$6:$AE$505,"○")&gt;0,1,0))</f>
        <v/>
      </c>
      <c r="AF15">
        <f>IF(AF$4=0,0,IF(COUNTIFS(実績!$W$6:$W$505,AF$3,実績!$AC$6:$AC$505,"&lt;="&amp;$A15,実績!$AD$6:$AD$505,"&gt;"&amp;$A15,実績!$AE$6:$AE$505,"○")&gt;0,1,0))</f>
        <v/>
      </c>
      <c r="AG15">
        <f>IF(AG$4=0,0,IF(COUNTIFS(実績!$W$6:$W$505,AG$3,実績!$AC$6:$AC$505,"&lt;="&amp;$A15,実績!$AD$6:$AD$505,"&gt;"&amp;$A15,実績!$AE$6:$AE$505,"○")&gt;0,1,0))</f>
        <v/>
      </c>
      <c r="AH15">
        <f>IF(AH$4=0,0,IF(COUNTIFS(実績!$W$6:$W$505,AH$3,実績!$AC$6:$AC$505,"&lt;="&amp;$A15,実績!$AD$6:$AD$505,"&gt;"&amp;$A15,実績!$AE$6:$AE$505,"○")&gt;0,1,0))</f>
        <v/>
      </c>
      <c r="AI15">
        <f>IF(AI$4=0,0,IF(COUNTIFS(実績!$W$6:$W$505,AI$3,実績!$AC$6:$AC$505,"&lt;="&amp;$A15,実績!$AD$6:$AD$505,"&gt;"&amp;$A15,実績!$AE$6:$AE$505,"○")&gt;0,1,0))</f>
        <v/>
      </c>
      <c r="AJ15">
        <f>IF(AJ$4=0,0,IF(COUNTIFS(実績!$W$6:$W$505,AJ$3,実績!$AC$6:$AC$505,"&lt;="&amp;$A15,実績!$AD$6:$AD$505,"&gt;"&amp;$A15,実績!$AE$6:$AE$505,"○")&gt;0,1,0))</f>
        <v/>
      </c>
      <c r="AK15">
        <f>IF(AK$4=0,0,IF(COUNTIFS(実績!$W$6:$W$505,AK$3,実績!$AC$6:$AC$505,"&lt;="&amp;$A15,実績!$AD$6:$AD$505,"&gt;"&amp;$A15,実績!$AE$6:$AE$505,"○")&gt;0,1,0))</f>
        <v/>
      </c>
      <c r="AL15">
        <f>IF(AL$4=0,0,IF(COUNTIFS(実績!$W$6:$W$505,AL$3,実績!$AC$6:$AC$505,"&lt;="&amp;$A15,実績!$AD$6:$AD$505,"&gt;"&amp;$A15,実績!$AE$6:$AE$505,"○")&gt;0,1,0))</f>
        <v/>
      </c>
      <c r="AM15">
        <f>IF(AM$4=0,0,IF(COUNTIFS(実績!$W$6:$W$505,AM$3,実績!$AC$6:$AC$505,"&lt;="&amp;$A15,実績!$AD$6:$AD$505,"&gt;"&amp;$A15,実績!$AE$6:$AE$505,"○")&gt;0,1,0))</f>
        <v/>
      </c>
      <c r="AN15">
        <f>IF(AN$4=0,0,IF(COUNTIFS(実績!$W$6:$W$505,AN$3,実績!$AC$6:$AC$505,"&lt;="&amp;$A15,実績!$AD$6:$AD$505,"&gt;"&amp;$A15,実績!$AE$6:$AE$505,"○")&gt;0,1,0))</f>
        <v/>
      </c>
      <c r="AO15">
        <f>IF(AO$4=0,0,IF(COUNTIFS(実績!$W$6:$W$505,AO$3,実績!$AC$6:$AC$505,"&lt;="&amp;$A15,実績!$AD$6:$AD$505,"&gt;"&amp;$A15,実績!$AE$6:$AE$505,"○")&gt;0,1,0))</f>
        <v/>
      </c>
      <c r="AP15">
        <f>IF(AP$4=0,0,IF(COUNTIFS(実績!$W$6:$W$505,AP$3,実績!$AC$6:$AC$505,"&lt;="&amp;$A15,実績!$AD$6:$AD$505,"&gt;"&amp;$A15,実績!$AE$6:$AE$505,"○")&gt;0,1,0))</f>
        <v/>
      </c>
      <c r="AQ15">
        <f>IF(AQ$4=0,0,IF(COUNTIFS(実績!$W$6:$W$505,AQ$3,実績!$AC$6:$AC$505,"&lt;="&amp;$A15,実績!$AD$6:$AD$505,"&gt;"&amp;$A15,実績!$AE$6:$AE$505,"○")&gt;0,1,0))</f>
        <v/>
      </c>
      <c r="AR15">
        <f>IF(AR$4=0,0,IF(COUNTIFS(実績!$W$6:$W$505,AR$3,実績!$AC$6:$AC$505,"&lt;="&amp;$A15,実績!$AD$6:$AD$505,"&gt;"&amp;$A15,実績!$AE$6:$AE$505,"○")&gt;0,1,0))</f>
        <v/>
      </c>
      <c r="AS15">
        <f>IF(AS$4=0,0,IF(COUNTIFS(実績!$W$6:$W$505,AS$3,実績!$AC$6:$AC$505,"&lt;="&amp;$A15,実績!$AD$6:$AD$505,"&gt;"&amp;$A15,実績!$AE$6:$AE$505,"○")&gt;0,1,0))</f>
        <v/>
      </c>
      <c r="AT15">
        <f>IF(AT$4=0,0,IF(COUNTIFS(実績!$W$6:$W$505,AT$3,実績!$AC$6:$AC$505,"&lt;="&amp;$A15,実績!$AD$6:$AD$505,"&gt;"&amp;$A15,実績!$AE$6:$AE$505,"○")&gt;0,1,0))</f>
        <v/>
      </c>
      <c r="AU15">
        <f>IF(AU$4=0,0,IF(COUNTIFS(実績!$W$6:$W$505,AU$3,実績!$AC$6:$AC$505,"&lt;="&amp;$A15,実績!$AD$6:$AD$505,"&gt;"&amp;$A15,実績!$AE$6:$AE$505,"○")&gt;0,1,0))</f>
        <v/>
      </c>
      <c r="AV15">
        <f>IF(AV$4=0,0,IF(COUNTIFS(実績!$W$6:$W$505,AV$3,実績!$AC$6:$AC$505,"&lt;="&amp;$A15,実績!$AD$6:$AD$505,"&gt;"&amp;$A15,実績!$AE$6:$AE$505,"○")&gt;0,1,0))</f>
        <v/>
      </c>
      <c r="AW15">
        <f>IF(AW$4=0,0,IF(COUNTIFS(実績!$W$6:$W$505,AW$3,実績!$AC$6:$AC$505,"&lt;="&amp;$A15,実績!$AD$6:$AD$505,"&gt;"&amp;$A15,実績!$AE$6:$AE$505,"○")&gt;0,1,0))</f>
        <v/>
      </c>
      <c r="AX15">
        <f>IF(AX$4=0,0,IF(COUNTIFS(実績!$W$6:$W$505,AX$3,実績!$AC$6:$AC$505,"&lt;="&amp;$A15,実績!$AD$6:$AD$505,"&gt;"&amp;$A15,実績!$AE$6:$AE$505,"○")&gt;0,1,0))</f>
        <v/>
      </c>
      <c r="AY15">
        <f>IF(AY$4=0,0,IF(COUNTIFS(実績!$W$6:$W$505,AY$3,実績!$AC$6:$AC$505,"&lt;="&amp;$A15,実績!$AD$6:$AD$505,"&gt;"&amp;$A15,実績!$AE$6:$AE$505,"○")&gt;0,1,0))</f>
        <v/>
      </c>
      <c r="AZ15">
        <f>IF(AZ$4=0,0,IF(COUNTIFS(実績!$W$6:$W$505,AZ$3,実績!$AC$6:$AC$505,"&lt;="&amp;$A15,実績!$AD$6:$AD$505,"&gt;"&amp;$A15,実績!$AE$6:$AE$505,"○")&gt;0,1,0))</f>
        <v/>
      </c>
      <c r="BA15">
        <f>IF(BA$4=0,0,IF(COUNTIFS(実績!$W$6:$W$505,BA$3,実績!$AC$6:$AC$505,"&lt;="&amp;$A15,実績!$AD$6:$AD$505,"&gt;"&amp;$A15,実績!$AE$6:$AE$505,"○")&gt;0,1,0))</f>
        <v/>
      </c>
      <c r="BB15">
        <f>IF(BB$4=0,0,IF(COUNTIFS(実績!$W$6:$W$505,BB$3,実績!$AC$6:$AC$505,"&lt;="&amp;$A15,実績!$AD$6:$AD$505,"&gt;"&amp;$A15,実績!$AE$6:$AE$505,"○")&gt;0,1,0))</f>
        <v/>
      </c>
      <c r="BC15">
        <f>IF(BC$4=0,0,IF(COUNTIFS(実績!$W$6:$W$505,BC$3,実績!$AC$6:$AC$505,"&lt;="&amp;$A15,実績!$AD$6:$AD$505,"&gt;"&amp;$A15,実績!$AE$6:$AE$505,"○")&gt;0,1,0))</f>
        <v/>
      </c>
      <c r="BD15">
        <f>IF(BD$4=0,0,IF(COUNTIFS(実績!$W$6:$W$505,BD$3,実績!$AC$6:$AC$505,"&lt;="&amp;$A15,実績!$AD$6:$AD$505,"&gt;"&amp;$A15,実績!$AE$6:$AE$505,"○")&gt;0,1,0))</f>
        <v/>
      </c>
      <c r="BE15">
        <f>IF(BE$4=0,0,IF(COUNTIFS(実績!$W$6:$W$505,BE$3,実績!$AC$6:$AC$505,"&lt;="&amp;$A15,実績!$AD$6:$AD$505,"&gt;"&amp;$A15,実績!$AE$6:$AE$505,"○")&gt;0,1,0))</f>
        <v/>
      </c>
      <c r="BF15">
        <f>IF(BF$4=0,0,IF(COUNTIFS(実績!$W$6:$W$505,BF$3,実績!$AC$6:$AC$505,"&lt;="&amp;$A15,実績!$AD$6:$AD$505,"&gt;"&amp;$A15,実績!$AE$6:$AE$505,"○")&gt;0,1,0))</f>
        <v/>
      </c>
      <c r="BG15">
        <f>IF(BG$4=0,0,IF(COUNTIFS(実績!$W$6:$W$505,BG$3,実績!$AC$6:$AC$505,"&lt;="&amp;$A15,実績!$AD$6:$AD$505,"&gt;"&amp;$A15,実績!$AE$6:$AE$505,"○")&gt;0,1,0))</f>
        <v/>
      </c>
      <c r="BH15">
        <f>IF(BH$4=0,0,IF(COUNTIFS(実績!$W$6:$W$505,BH$3,実績!$AC$6:$AC$505,"&lt;="&amp;$A15,実績!$AD$6:$AD$505,"&gt;"&amp;$A15,実績!$AE$6:$AE$505,"○")&gt;0,1,0))</f>
        <v/>
      </c>
      <c r="BI15">
        <f>IF(BI$4=0,0,IF(COUNTIFS(実績!$W$6:$W$505,BI$3,実績!$AC$6:$AC$505,"&lt;="&amp;$A15,実績!$AD$6:$AD$505,"&gt;"&amp;$A15,実績!$AE$6:$AE$505,"○")&gt;0,1,0))</f>
        <v/>
      </c>
      <c r="BJ15">
        <f>IF(BJ$4=0,0,IF(COUNTIFS(実績!$W$6:$W$505,BJ$3,実績!$AC$6:$AC$505,"&lt;="&amp;$A15,実績!$AD$6:$AD$505,"&gt;"&amp;$A15,実績!$AE$6:$AE$505,"○")&gt;0,1,0))</f>
        <v/>
      </c>
      <c r="BK15">
        <f>IF(BK$4=0,0,IF(COUNTIFS(実績!$W$6:$W$505,BK$3,実績!$AC$6:$AC$505,"&lt;="&amp;$A15,実績!$AD$6:$AD$505,"&gt;"&amp;$A15,実績!$AE$6:$AE$505,"○")&gt;0,1,0))</f>
        <v/>
      </c>
      <c r="BL15">
        <f>IF(BL$4=0,0,IF(COUNTIFS(実績!$W$6:$W$505,BL$3,実績!$AC$6:$AC$505,"&lt;="&amp;$A15,実績!$AD$6:$AD$505,"&gt;"&amp;$A15,実績!$AE$6:$AE$505,"○")&gt;0,1,0))</f>
        <v/>
      </c>
      <c r="BM15">
        <f>IF(BM$4=0,0,IF(COUNTIFS(実績!$W$6:$W$505,BM$3,実績!$AC$6:$AC$505,"&lt;="&amp;$A15,実績!$AD$6:$AD$505,"&gt;"&amp;$A15,実績!$AE$6:$AE$505,"○")&gt;0,1,0))</f>
        <v/>
      </c>
      <c r="BN15">
        <f>IF(BN$4=0,0,IF(COUNTIFS(実績!$W$6:$W$505,BN$3,実績!$AC$6:$AC$505,"&lt;="&amp;$A15,実績!$AD$6:$AD$505,"&gt;"&amp;$A15,実績!$AE$6:$AE$505,"○")&gt;0,1,0))</f>
        <v/>
      </c>
      <c r="BO15">
        <f>IF(BO$4=0,0,IF(COUNTIFS(実績!$W$6:$W$505,BO$3,実績!$AC$6:$AC$505,"&lt;="&amp;$A15,実績!$AD$6:$AD$505,"&gt;"&amp;$A15,実績!$AE$6:$AE$505,"○")&gt;0,1,0))</f>
        <v/>
      </c>
      <c r="BP15">
        <f>IF(BP$4=0,0,IF(COUNTIFS(実績!$W$6:$W$505,BP$3,実績!$AC$6:$AC$505,"&lt;="&amp;$A15,実績!$AD$6:$AD$505,"&gt;"&amp;$A15,実績!$AE$6:$AE$505,"○")&gt;0,1,0))</f>
        <v/>
      </c>
      <c r="BQ15">
        <f>IF(BQ$4=0,0,IF(COUNTIFS(実績!$W$6:$W$505,BQ$3,実績!$AC$6:$AC$505,"&lt;="&amp;$A15,実績!$AD$6:$AD$505,"&gt;"&amp;$A15,実績!$AE$6:$AE$505,"○")&gt;0,1,0))</f>
        <v/>
      </c>
      <c r="BR15">
        <f>IF(BR$4=0,0,IF(COUNTIFS(実績!$W$6:$W$505,BR$3,実績!$AC$6:$AC$505,"&lt;="&amp;$A15,実績!$AD$6:$AD$505,"&gt;"&amp;$A15,実績!$AE$6:$AE$505,"○")&gt;0,1,0))</f>
        <v/>
      </c>
      <c r="BS15">
        <f>IF(BS$4=0,0,IF(COUNTIFS(実績!$W$6:$W$505,BS$3,実績!$AC$6:$AC$505,"&lt;="&amp;$A15,実績!$AD$6:$AD$505,"&gt;"&amp;$A15,実績!$AE$6:$AE$505,"○")&gt;0,1,0))</f>
        <v/>
      </c>
      <c r="BT15">
        <f>IF(BT$4=0,0,IF(COUNTIFS(実績!$W$6:$W$505,BT$3,実績!$AC$6:$AC$505,"&lt;="&amp;$A15,実績!$AD$6:$AD$505,"&gt;"&amp;$A15,実績!$AE$6:$AE$505,"○")&gt;0,1,0))</f>
        <v/>
      </c>
      <c r="BU15">
        <f>IF(BU$4=0,0,IF(COUNTIFS(実績!$W$6:$W$505,BU$3,実績!$AC$6:$AC$505,"&lt;="&amp;$A15,実績!$AD$6:$AD$505,"&gt;"&amp;$A15,実績!$AE$6:$AE$505,"○")&gt;0,1,0))</f>
        <v/>
      </c>
      <c r="BV15">
        <f>IF(BV$4=0,0,IF(COUNTIFS(実績!$W$6:$W$505,BV$3,実績!$AC$6:$AC$505,"&lt;="&amp;$A15,実績!$AD$6:$AD$505,"&gt;"&amp;$A15,実績!$AE$6:$AE$505,"○")&gt;0,1,0))</f>
        <v/>
      </c>
      <c r="BW15">
        <f>IF(BW$4=0,0,IF(COUNTIFS(実績!$W$6:$W$505,BW$3,実績!$AC$6:$AC$505,"&lt;="&amp;$A15,実績!$AD$6:$AD$505,"&gt;"&amp;$A15,実績!$AE$6:$AE$505,"○")&gt;0,1,0))</f>
        <v/>
      </c>
      <c r="BX15">
        <f>IF(BX$4=0,0,IF(COUNTIFS(実績!$W$6:$W$505,BX$3,実績!$AC$6:$AC$505,"&lt;="&amp;$A15,実績!$AD$6:$AD$505,"&gt;"&amp;$A15,実績!$AE$6:$AE$505,"○")&gt;0,1,0))</f>
        <v/>
      </c>
      <c r="BY15">
        <f>IF(BY$4=0,0,IF(COUNTIFS(実績!$W$6:$W$505,BY$3,実績!$AC$6:$AC$505,"&lt;="&amp;$A15,実績!$AD$6:$AD$505,"&gt;"&amp;$A15,実績!$AE$6:$AE$505,"○")&gt;0,1,0))</f>
        <v/>
      </c>
      <c r="BZ15">
        <f>IF(BZ$4=0,0,IF(COUNTIFS(実績!$W$6:$W$505,BZ$3,実績!$AC$6:$AC$505,"&lt;="&amp;$A15,実績!$AD$6:$AD$505,"&gt;"&amp;$A15,実績!$AE$6:$AE$505,"○")&gt;0,1,0))</f>
        <v/>
      </c>
      <c r="CA15">
        <f>IF(CA$4=0,0,IF(COUNTIFS(実績!$W$6:$W$505,CA$3,実績!$AC$6:$AC$505,"&lt;="&amp;$A15,実績!$AD$6:$AD$505,"&gt;"&amp;$A15,実績!$AE$6:$AE$505,"○")&gt;0,1,0))</f>
        <v/>
      </c>
      <c r="CB15">
        <f>IF(CB$4=0,0,IF(COUNTIFS(実績!$W$6:$W$505,CB$3,実績!$AC$6:$AC$505,"&lt;="&amp;$A15,実績!$AD$6:$AD$505,"&gt;"&amp;$A15,実績!$AE$6:$AE$505,"○")&gt;0,1,0))</f>
        <v/>
      </c>
      <c r="CC15">
        <f>IF(CC$4=0,0,IF(COUNTIFS(実績!$W$6:$W$505,CC$3,実績!$AC$6:$AC$505,"&lt;="&amp;$A15,実績!$AD$6:$AD$505,"&gt;"&amp;$A15,実績!$AE$6:$AE$505,"○")&gt;0,1,0))</f>
        <v/>
      </c>
      <c r="CD15">
        <f>IF(CD$4=0,0,IF(COUNTIFS(実績!$W$6:$W$505,CD$3,実績!$AC$6:$AC$505,"&lt;="&amp;$A15,実績!$AD$6:$AD$505,"&gt;"&amp;$A15,実績!$AE$6:$AE$505,"○")&gt;0,1,0))</f>
        <v/>
      </c>
      <c r="CE15">
        <f>IF(CE$4=0,0,IF(COUNTIFS(実績!$W$6:$W$505,CE$3,実績!$AC$6:$AC$505,"&lt;="&amp;$A15,実績!$AD$6:$AD$505,"&gt;"&amp;$A15,実績!$AE$6:$AE$505,"○")&gt;0,1,0))</f>
        <v/>
      </c>
      <c r="CF15">
        <f>IF(CF$4=0,0,IF(COUNTIFS(実績!$W$6:$W$505,CF$3,実績!$AC$6:$AC$505,"&lt;="&amp;$A15,実績!$AD$6:$AD$505,"&gt;"&amp;$A15,実績!$AE$6:$AE$505,"○")&gt;0,1,0))</f>
        <v/>
      </c>
      <c r="CG15">
        <f>IF(CG$4=0,0,IF(COUNTIFS(実績!$W$6:$W$505,CG$3,実績!$AC$6:$AC$505,"&lt;="&amp;$A15,実績!$AD$6:$AD$505,"&gt;"&amp;$A15,実績!$AE$6:$AE$505,"○")&gt;0,1,0))</f>
        <v/>
      </c>
      <c r="CH15">
        <f>IF(CH$4=0,0,IF(COUNTIFS(実績!$W$6:$W$505,CH$3,実績!$AC$6:$AC$505,"&lt;="&amp;$A15,実績!$AD$6:$AD$505,"&gt;"&amp;$A15,実績!$AE$6:$AE$505,"○")&gt;0,1,0))</f>
        <v/>
      </c>
      <c r="CI15">
        <f>IF(CI$4=0,0,IF(COUNTIFS(実績!$W$6:$W$505,CI$3,実績!$AC$6:$AC$505,"&lt;="&amp;$A15,実績!$AD$6:$AD$505,"&gt;"&amp;$A15,実績!$AE$6:$AE$505,"○")&gt;0,1,0))</f>
        <v/>
      </c>
      <c r="CJ15">
        <f>IF(CJ$4=0,0,IF(COUNTIFS(実績!$W$6:$W$505,CJ$3,実績!$AC$6:$AC$505,"&lt;="&amp;$A15,実績!$AD$6:$AD$505,"&gt;"&amp;$A15,実績!$AE$6:$AE$505,"○")&gt;0,1,0))</f>
        <v/>
      </c>
      <c r="CK15">
        <f>IF(CK$4=0,0,IF(COUNTIFS(実績!$W$6:$W$505,CK$3,実績!$AC$6:$AC$505,"&lt;="&amp;$A15,実績!$AD$6:$AD$505,"&gt;"&amp;$A15,実績!$AE$6:$AE$505,"○")&gt;0,1,0))</f>
        <v/>
      </c>
      <c r="CL15">
        <f>IF(CL$4=0,0,IF(COUNTIFS(実績!$W$6:$W$505,CL$3,実績!$AC$6:$AC$505,"&lt;="&amp;$A15,実績!$AD$6:$AD$505,"&gt;"&amp;$A15,実績!$AE$6:$AE$505,"○")&gt;0,1,0))</f>
        <v/>
      </c>
      <c r="CM15">
        <f>IF(CM$4=0,0,IF(COUNTIFS(実績!$W$6:$W$505,CM$3,実績!$AC$6:$AC$505,"&lt;="&amp;$A15,実績!$AD$6:$AD$505,"&gt;"&amp;$A15,実績!$AE$6:$AE$505,"○")&gt;0,1,0))</f>
        <v/>
      </c>
      <c r="CN15">
        <f>IF(CN$4=0,0,IF(COUNTIFS(実績!$W$6:$W$505,CN$3,実績!$AC$6:$AC$505,"&lt;="&amp;$A15,実績!$AD$6:$AD$505,"&gt;"&amp;$A15,実績!$AE$6:$AE$505,"○")&gt;0,1,0))</f>
        <v/>
      </c>
      <c r="CO15">
        <f>IF(CO$4=0,0,IF(COUNTIFS(実績!$W$6:$W$505,CO$3,実績!$AC$6:$AC$505,"&lt;="&amp;$A15,実績!$AD$6:$AD$505,"&gt;"&amp;$A15,実績!$AE$6:$AE$505,"○")&gt;0,1,0))</f>
        <v/>
      </c>
      <c r="CP15">
        <f>IF(CP$4=0,0,IF(COUNTIFS(実績!$W$6:$W$505,CP$3,実績!$AC$6:$AC$505,"&lt;="&amp;$A15,実績!$AD$6:$AD$505,"&gt;"&amp;$A15,実績!$AE$6:$AE$505,"○")&gt;0,1,0))</f>
        <v/>
      </c>
      <c r="CQ15">
        <f>IF(CQ$4=0,0,IF(COUNTIFS(実績!$W$6:$W$505,CQ$3,実績!$AC$6:$AC$505,"&lt;="&amp;$A15,実績!$AD$6:$AD$505,"&gt;"&amp;$A15,実績!$AE$6:$AE$505,"○")&gt;0,1,0))</f>
        <v/>
      </c>
      <c r="CR15">
        <f>IF(CR$4=0,0,IF(COUNTIFS(実績!$W$6:$W$505,CR$3,実績!$AC$6:$AC$505,"&lt;="&amp;$A15,実績!$AD$6:$AD$505,"&gt;"&amp;$A15,実績!$AE$6:$AE$505,"○")&gt;0,1,0))</f>
        <v/>
      </c>
      <c r="CS15">
        <f>IF(CS$4=0,0,IF(COUNTIFS(実績!$W$6:$W$505,CS$3,実績!$AC$6:$AC$505,"&lt;="&amp;$A15,実績!$AD$6:$AD$505,"&gt;"&amp;$A15,実績!$AE$6:$AE$505,"○")&gt;0,1,0))</f>
        <v/>
      </c>
      <c r="CT15">
        <f>IF(CT$4=0,0,IF(COUNTIFS(実績!$W$6:$W$505,CT$3,実績!$AC$6:$AC$505,"&lt;="&amp;$A15,実績!$AD$6:$AD$505,"&gt;"&amp;$A15,実績!$AE$6:$AE$505,"○")&gt;0,1,0))</f>
        <v/>
      </c>
      <c r="CU15">
        <f>IF(CU$4=0,0,IF(COUNTIFS(実績!$W$6:$W$505,CU$3,実績!$AC$6:$AC$505,"&lt;="&amp;$A15,実績!$AD$6:$AD$505,"&gt;"&amp;$A15,実績!$AE$6:$AE$505,"○")&gt;0,1,0))</f>
        <v/>
      </c>
      <c r="CV15">
        <f>IF(CV$4=0,0,IF(COUNTIFS(実績!$W$6:$W$505,CV$3,実績!$AC$6:$AC$505,"&lt;="&amp;$A15,実績!$AD$6:$AD$505,"&gt;"&amp;$A15,実績!$AE$6:$AE$505,"○")&gt;0,1,0))</f>
        <v/>
      </c>
      <c r="CW15">
        <f>IF(CW$4=0,0,IF(COUNTIFS(実績!$W$6:$W$505,CW$3,実績!$AC$6:$AC$505,"&lt;="&amp;$A15,実績!$AD$6:$AD$505,"&gt;"&amp;$A15,実績!$AE$6:$AE$505,"○")&gt;0,1,0))</f>
        <v/>
      </c>
      <c r="CX15">
        <f>IF(CX$4=0,0,IF(COUNTIFS(実績!$W$6:$W$505,CX$3,実績!$AC$6:$AC$505,"&lt;="&amp;$A15,実績!$AD$6:$AD$505,"&gt;"&amp;$A15,実績!$AE$6:$AE$505,"○")&gt;0,1,0))</f>
        <v/>
      </c>
      <c r="CY15">
        <f>IF(CY$4=0,0,IF(COUNTIFS(実績!$W$6:$W$505,CY$3,実績!$AC$6:$AC$505,"&lt;="&amp;$A15,実績!$AD$6:$AD$505,"&gt;"&amp;$A15,実績!$AE$6:$AE$505,"○")&gt;0,1,0))</f>
        <v/>
      </c>
      <c r="CZ15">
        <f>IF(CZ$4=0,0,IF(COUNTIFS(実績!$W$6:$W$505,CZ$3,実績!$AC$6:$AC$505,"&lt;="&amp;$A15,実績!$AD$6:$AD$505,"&gt;"&amp;$A15,実績!$AE$6:$AE$505,"○")&gt;0,1,0))</f>
        <v/>
      </c>
      <c r="DA15">
        <f>IF(DA$4=0,0,IF(COUNTIFS(実績!$W$6:$W$505,DA$3,実績!$AC$6:$AC$505,"&lt;="&amp;$A15,実績!$AD$6:$AD$505,"&gt;"&amp;$A15,実績!$AE$6:$AE$505,"○")&gt;0,1,0))</f>
        <v/>
      </c>
      <c r="DB15">
        <f>IF(DB$4=0,0,IF(COUNTIFS(実績!$W$6:$W$505,DB$3,実績!$AC$6:$AC$505,"&lt;="&amp;$A15,実績!$AD$6:$AD$505,"&gt;"&amp;$A15,実績!$AE$6:$AE$505,"○")&gt;0,1,0))</f>
        <v/>
      </c>
      <c r="DC15">
        <f>IF(DC$4=0,0,IF(COUNTIFS(実績!$W$6:$W$505,DC$3,実績!$AC$6:$AC$505,"&lt;="&amp;$A15,実績!$AD$6:$AD$505,"&gt;"&amp;$A15,実績!$AE$6:$AE$505,"○")&gt;0,1,0))</f>
        <v/>
      </c>
      <c r="DD15">
        <f>IF(DD$4=0,0,IF(COUNTIFS(実績!$W$6:$W$505,DD$3,実績!$AC$6:$AC$505,"&lt;="&amp;$A15,実績!$AD$6:$AD$505,"&gt;"&amp;$A15,実績!$AE$6:$AE$505,"○")&gt;0,1,0))</f>
        <v/>
      </c>
      <c r="DE15">
        <f>IF(DE$4=0,0,IF(COUNTIFS(実績!$W$6:$W$505,DE$3,実績!$AC$6:$AC$505,"&lt;="&amp;$A15,実績!$AD$6:$AD$505,"&gt;"&amp;$A15,実績!$AE$6:$AE$505,"○")&gt;0,1,0))</f>
        <v/>
      </c>
      <c r="DF15">
        <f>IF(DF$4=0,0,IF(COUNTIFS(実績!$W$6:$W$505,DF$3,実績!$AC$6:$AC$505,"&lt;="&amp;$A15,実績!$AD$6:$AD$505,"&gt;"&amp;$A15,実績!$AE$6:$AE$505,"○")&gt;0,1,0))</f>
        <v/>
      </c>
      <c r="DG15">
        <f>IF(DG$4=0,0,IF(COUNTIFS(実績!$W$6:$W$505,DG$3,実績!$AC$6:$AC$505,"&lt;="&amp;$A15,実績!$AD$6:$AD$505,"&gt;"&amp;$A15,実績!$AE$6:$AE$505,"○")&gt;0,1,0))</f>
        <v/>
      </c>
      <c r="DH15">
        <f>IF(DH$4=0,0,IF(COUNTIFS(実績!$W$6:$W$505,DH$3,実績!$AC$6:$AC$505,"&lt;="&amp;$A15,実績!$AD$6:$AD$505,"&gt;"&amp;$A15,実績!$AE$6:$AE$505,"○")&gt;0,1,0))</f>
        <v/>
      </c>
      <c r="DI15">
        <f>IF(DI$4=0,0,IF(COUNTIFS(実績!$W$6:$W$505,DI$3,実績!$AC$6:$AC$505,"&lt;="&amp;$A15,実績!$AD$6:$AD$505,"&gt;"&amp;$A15,実績!$AE$6:$AE$505,"○")&gt;0,1,0))</f>
        <v/>
      </c>
      <c r="DJ15">
        <f>IF(DJ$4=0,0,IF(COUNTIFS(実績!$W$6:$W$505,DJ$3,実績!$AC$6:$AC$505,"&lt;="&amp;$A15,実績!$AD$6:$AD$505,"&gt;"&amp;$A15,実績!$AE$6:$AE$505,"○")&gt;0,1,0))</f>
        <v/>
      </c>
      <c r="DK15">
        <f>IF(DK$4=0,0,IF(COUNTIFS(実績!$W$6:$W$505,DK$3,実績!$AC$6:$AC$505,"&lt;="&amp;$A15,実績!$AD$6:$AD$505,"&gt;"&amp;$A15,実績!$AE$6:$AE$505,"○")&gt;0,1,0))</f>
        <v/>
      </c>
      <c r="DL15">
        <f>IF(DL$4=0,0,IF(COUNTIFS(実績!$W$6:$W$505,DL$3,実績!$AC$6:$AC$505,"&lt;="&amp;$A15,実績!$AD$6:$AD$505,"&gt;"&amp;$A15,実績!$AE$6:$AE$505,"○")&gt;0,1,0))</f>
        <v/>
      </c>
      <c r="DM15">
        <f>IF(DM$4=0,0,IF(COUNTIFS(実績!$W$6:$W$505,DM$3,実績!$AC$6:$AC$505,"&lt;="&amp;$A15,実績!$AD$6:$AD$505,"&gt;"&amp;$A15,実績!$AE$6:$AE$505,"○")&gt;0,1,0))</f>
        <v/>
      </c>
      <c r="DN15">
        <f>IF(DN$4=0,0,IF(COUNTIFS(実績!$W$6:$W$505,DN$3,実績!$AC$6:$AC$505,"&lt;="&amp;$A15,実績!$AD$6:$AD$505,"&gt;"&amp;$A15,実績!$AE$6:$AE$505,"○")&gt;0,1,0))</f>
        <v/>
      </c>
      <c r="DO15">
        <f>IF(DO$4=0,0,IF(COUNTIFS(実績!$W$6:$W$505,DO$3,実績!$AC$6:$AC$505,"&lt;="&amp;$A15,実績!$AD$6:$AD$505,"&gt;"&amp;$A15,実績!$AE$6:$AE$505,"○")&gt;0,1,0))</f>
        <v/>
      </c>
      <c r="DP15">
        <f>IF(DP$4=0,0,IF(COUNTIFS(実績!$W$6:$W$505,DP$3,実績!$AC$6:$AC$505,"&lt;="&amp;$A15,実績!$AD$6:$AD$505,"&gt;"&amp;$A15,実績!$AE$6:$AE$505,"○")&gt;0,1,0))</f>
        <v/>
      </c>
      <c r="DQ15">
        <f>IF(DQ$4=0,0,IF(COUNTIFS(実績!$W$6:$W$505,DQ$3,実績!$AC$6:$AC$505,"&lt;="&amp;$A15,実績!$AD$6:$AD$505,"&gt;"&amp;$A15,実績!$AE$6:$AE$505,"○")&gt;0,1,0))</f>
        <v/>
      </c>
      <c r="DR15">
        <f>IF(DR$4=0,0,IF(COUNTIFS(実績!$W$6:$W$505,DR$3,実績!$AC$6:$AC$505,"&lt;="&amp;$A15,実績!$AD$6:$AD$505,"&gt;"&amp;$A15,実績!$AE$6:$AE$505,"○")&gt;0,1,0))</f>
        <v/>
      </c>
      <c r="DS15">
        <f>SUM(C15:DR15)</f>
        <v/>
      </c>
      <c r="DT15">
        <f>SUMPRODUCT((実績!$C$6:$C$505="○")*ISNUMBER(実績!$AF$6:$AF$505)*(実績!$AF$6:$AF$505&lt;=$A15)*(実績!$AG$6:$AG$505&gt;$A15))</f>
        <v/>
      </c>
      <c r="DU15">
        <f>SUMIF($C$2:$DR$2,"製鉄曳船",C15:DR15)</f>
        <v/>
      </c>
      <c r="DV15">
        <f>SUMIF($C$2:$DR$2,"西日本海運",C15:DR15)</f>
        <v/>
      </c>
    </row>
    <row r="16">
      <c r="A16" t="n">
        <v>50</v>
      </c>
      <c r="B16" s="29">
        <f>A16/1440</f>
        <v/>
      </c>
      <c r="C16">
        <f>IF(C$4=0,0,IF(COUNTIFS(実績!$W$6:$W$505,C$3,実績!$AC$6:$AC$505,"&lt;="&amp;$A16,実績!$AD$6:$AD$505,"&gt;"&amp;$A16,実績!$AE$6:$AE$505,"○")&gt;0,1,0))</f>
        <v/>
      </c>
      <c r="D16">
        <f>IF(D$4=0,0,IF(COUNTIFS(実績!$W$6:$W$505,D$3,実績!$AC$6:$AC$505,"&lt;="&amp;$A16,実績!$AD$6:$AD$505,"&gt;"&amp;$A16,実績!$AE$6:$AE$505,"○")&gt;0,1,0))</f>
        <v/>
      </c>
      <c r="E16">
        <f>IF(E$4=0,0,IF(COUNTIFS(実績!$W$6:$W$505,E$3,実績!$AC$6:$AC$505,"&lt;="&amp;$A16,実績!$AD$6:$AD$505,"&gt;"&amp;$A16,実績!$AE$6:$AE$505,"○")&gt;0,1,0))</f>
        <v/>
      </c>
      <c r="F16">
        <f>IF(F$4=0,0,IF(COUNTIFS(実績!$W$6:$W$505,F$3,実績!$AC$6:$AC$505,"&lt;="&amp;$A16,実績!$AD$6:$AD$505,"&gt;"&amp;$A16,実績!$AE$6:$AE$505,"○")&gt;0,1,0))</f>
        <v/>
      </c>
      <c r="G16">
        <f>IF(G$4=0,0,IF(COUNTIFS(実績!$W$6:$W$505,G$3,実績!$AC$6:$AC$505,"&lt;="&amp;$A16,実績!$AD$6:$AD$505,"&gt;"&amp;$A16,実績!$AE$6:$AE$505,"○")&gt;0,1,0))</f>
        <v/>
      </c>
      <c r="H16">
        <f>IF(H$4=0,0,IF(COUNTIFS(実績!$W$6:$W$505,H$3,実績!$AC$6:$AC$505,"&lt;="&amp;$A16,実績!$AD$6:$AD$505,"&gt;"&amp;$A16,実績!$AE$6:$AE$505,"○")&gt;0,1,0))</f>
        <v/>
      </c>
      <c r="I16">
        <f>IF(I$4=0,0,IF(COUNTIFS(実績!$W$6:$W$505,I$3,実績!$AC$6:$AC$505,"&lt;="&amp;$A16,実績!$AD$6:$AD$505,"&gt;"&amp;$A16,実績!$AE$6:$AE$505,"○")&gt;0,1,0))</f>
        <v/>
      </c>
      <c r="J16">
        <f>IF(J$4=0,0,IF(COUNTIFS(実績!$W$6:$W$505,J$3,実績!$AC$6:$AC$505,"&lt;="&amp;$A16,実績!$AD$6:$AD$505,"&gt;"&amp;$A16,実績!$AE$6:$AE$505,"○")&gt;0,1,0))</f>
        <v/>
      </c>
      <c r="K16">
        <f>IF(K$4=0,0,IF(COUNTIFS(実績!$W$6:$W$505,K$3,実績!$AC$6:$AC$505,"&lt;="&amp;$A16,実績!$AD$6:$AD$505,"&gt;"&amp;$A16,実績!$AE$6:$AE$505,"○")&gt;0,1,0))</f>
        <v/>
      </c>
      <c r="L16">
        <f>IF(L$4=0,0,IF(COUNTIFS(実績!$W$6:$W$505,L$3,実績!$AC$6:$AC$505,"&lt;="&amp;$A16,実績!$AD$6:$AD$505,"&gt;"&amp;$A16,実績!$AE$6:$AE$505,"○")&gt;0,1,0))</f>
        <v/>
      </c>
      <c r="M16">
        <f>IF(M$4=0,0,IF(COUNTIFS(実績!$W$6:$W$505,M$3,実績!$AC$6:$AC$505,"&lt;="&amp;$A16,実績!$AD$6:$AD$505,"&gt;"&amp;$A16,実績!$AE$6:$AE$505,"○")&gt;0,1,0))</f>
        <v/>
      </c>
      <c r="N16">
        <f>IF(N$4=0,0,IF(COUNTIFS(実績!$W$6:$W$505,N$3,実績!$AC$6:$AC$505,"&lt;="&amp;$A16,実績!$AD$6:$AD$505,"&gt;"&amp;$A16,実績!$AE$6:$AE$505,"○")&gt;0,1,0))</f>
        <v/>
      </c>
      <c r="O16">
        <f>IF(O$4=0,0,IF(COUNTIFS(実績!$W$6:$W$505,O$3,実績!$AC$6:$AC$505,"&lt;="&amp;$A16,実績!$AD$6:$AD$505,"&gt;"&amp;$A16,実績!$AE$6:$AE$505,"○")&gt;0,1,0))</f>
        <v/>
      </c>
      <c r="P16">
        <f>IF(P$4=0,0,IF(COUNTIFS(実績!$W$6:$W$505,P$3,実績!$AC$6:$AC$505,"&lt;="&amp;$A16,実績!$AD$6:$AD$505,"&gt;"&amp;$A16,実績!$AE$6:$AE$505,"○")&gt;0,1,0))</f>
        <v/>
      </c>
      <c r="Q16">
        <f>IF(Q$4=0,0,IF(COUNTIFS(実績!$W$6:$W$505,Q$3,実績!$AC$6:$AC$505,"&lt;="&amp;$A16,実績!$AD$6:$AD$505,"&gt;"&amp;$A16,実績!$AE$6:$AE$505,"○")&gt;0,1,0))</f>
        <v/>
      </c>
      <c r="R16">
        <f>IF(R$4=0,0,IF(COUNTIFS(実績!$W$6:$W$505,R$3,実績!$AC$6:$AC$505,"&lt;="&amp;$A16,実績!$AD$6:$AD$505,"&gt;"&amp;$A16,実績!$AE$6:$AE$505,"○")&gt;0,1,0))</f>
        <v/>
      </c>
      <c r="S16">
        <f>IF(S$4=0,0,IF(COUNTIFS(実績!$W$6:$W$505,S$3,実績!$AC$6:$AC$505,"&lt;="&amp;$A16,実績!$AD$6:$AD$505,"&gt;"&amp;$A16,実績!$AE$6:$AE$505,"○")&gt;0,1,0))</f>
        <v/>
      </c>
      <c r="T16">
        <f>IF(T$4=0,0,IF(COUNTIFS(実績!$W$6:$W$505,T$3,実績!$AC$6:$AC$505,"&lt;="&amp;$A16,実績!$AD$6:$AD$505,"&gt;"&amp;$A16,実績!$AE$6:$AE$505,"○")&gt;0,1,0))</f>
        <v/>
      </c>
      <c r="U16">
        <f>IF(U$4=0,0,IF(COUNTIFS(実績!$W$6:$W$505,U$3,実績!$AC$6:$AC$505,"&lt;="&amp;$A16,実績!$AD$6:$AD$505,"&gt;"&amp;$A16,実績!$AE$6:$AE$505,"○")&gt;0,1,0))</f>
        <v/>
      </c>
      <c r="V16">
        <f>IF(V$4=0,0,IF(COUNTIFS(実績!$W$6:$W$505,V$3,実績!$AC$6:$AC$505,"&lt;="&amp;$A16,実績!$AD$6:$AD$505,"&gt;"&amp;$A16,実績!$AE$6:$AE$505,"○")&gt;0,1,0))</f>
        <v/>
      </c>
      <c r="W16">
        <f>IF(W$4=0,0,IF(COUNTIFS(実績!$W$6:$W$505,W$3,実績!$AC$6:$AC$505,"&lt;="&amp;$A16,実績!$AD$6:$AD$505,"&gt;"&amp;$A16,実績!$AE$6:$AE$505,"○")&gt;0,1,0))</f>
        <v/>
      </c>
      <c r="X16">
        <f>IF(X$4=0,0,IF(COUNTIFS(実績!$W$6:$W$505,X$3,実績!$AC$6:$AC$505,"&lt;="&amp;$A16,実績!$AD$6:$AD$505,"&gt;"&amp;$A16,実績!$AE$6:$AE$505,"○")&gt;0,1,0))</f>
        <v/>
      </c>
      <c r="Y16">
        <f>IF(Y$4=0,0,IF(COUNTIFS(実績!$W$6:$W$505,Y$3,実績!$AC$6:$AC$505,"&lt;="&amp;$A16,実績!$AD$6:$AD$505,"&gt;"&amp;$A16,実績!$AE$6:$AE$505,"○")&gt;0,1,0))</f>
        <v/>
      </c>
      <c r="Z16">
        <f>IF(Z$4=0,0,IF(COUNTIFS(実績!$W$6:$W$505,Z$3,実績!$AC$6:$AC$505,"&lt;="&amp;$A16,実績!$AD$6:$AD$505,"&gt;"&amp;$A16,実績!$AE$6:$AE$505,"○")&gt;0,1,0))</f>
        <v/>
      </c>
      <c r="AA16">
        <f>IF(AA$4=0,0,IF(COUNTIFS(実績!$W$6:$W$505,AA$3,実績!$AC$6:$AC$505,"&lt;="&amp;$A16,実績!$AD$6:$AD$505,"&gt;"&amp;$A16,実績!$AE$6:$AE$505,"○")&gt;0,1,0))</f>
        <v/>
      </c>
      <c r="AB16">
        <f>IF(AB$4=0,0,IF(COUNTIFS(実績!$W$6:$W$505,AB$3,実績!$AC$6:$AC$505,"&lt;="&amp;$A16,実績!$AD$6:$AD$505,"&gt;"&amp;$A16,実績!$AE$6:$AE$505,"○")&gt;0,1,0))</f>
        <v/>
      </c>
      <c r="AC16">
        <f>IF(AC$4=0,0,IF(COUNTIFS(実績!$W$6:$W$505,AC$3,実績!$AC$6:$AC$505,"&lt;="&amp;$A16,実績!$AD$6:$AD$505,"&gt;"&amp;$A16,実績!$AE$6:$AE$505,"○")&gt;0,1,0))</f>
        <v/>
      </c>
      <c r="AD16">
        <f>IF(AD$4=0,0,IF(COUNTIFS(実績!$W$6:$W$505,AD$3,実績!$AC$6:$AC$505,"&lt;="&amp;$A16,実績!$AD$6:$AD$505,"&gt;"&amp;$A16,実績!$AE$6:$AE$505,"○")&gt;0,1,0))</f>
        <v/>
      </c>
      <c r="AE16">
        <f>IF(AE$4=0,0,IF(COUNTIFS(実績!$W$6:$W$505,AE$3,実績!$AC$6:$AC$505,"&lt;="&amp;$A16,実績!$AD$6:$AD$505,"&gt;"&amp;$A16,実績!$AE$6:$AE$505,"○")&gt;0,1,0))</f>
        <v/>
      </c>
      <c r="AF16">
        <f>IF(AF$4=0,0,IF(COUNTIFS(実績!$W$6:$W$505,AF$3,実績!$AC$6:$AC$505,"&lt;="&amp;$A16,実績!$AD$6:$AD$505,"&gt;"&amp;$A16,実績!$AE$6:$AE$505,"○")&gt;0,1,0))</f>
        <v/>
      </c>
      <c r="AG16">
        <f>IF(AG$4=0,0,IF(COUNTIFS(実績!$W$6:$W$505,AG$3,実績!$AC$6:$AC$505,"&lt;="&amp;$A16,実績!$AD$6:$AD$505,"&gt;"&amp;$A16,実績!$AE$6:$AE$505,"○")&gt;0,1,0))</f>
        <v/>
      </c>
      <c r="AH16">
        <f>IF(AH$4=0,0,IF(COUNTIFS(実績!$W$6:$W$505,AH$3,実績!$AC$6:$AC$505,"&lt;="&amp;$A16,実績!$AD$6:$AD$505,"&gt;"&amp;$A16,実績!$AE$6:$AE$505,"○")&gt;0,1,0))</f>
        <v/>
      </c>
      <c r="AI16">
        <f>IF(AI$4=0,0,IF(COUNTIFS(実績!$W$6:$W$505,AI$3,実績!$AC$6:$AC$505,"&lt;="&amp;$A16,実績!$AD$6:$AD$505,"&gt;"&amp;$A16,実績!$AE$6:$AE$505,"○")&gt;0,1,0))</f>
        <v/>
      </c>
      <c r="AJ16">
        <f>IF(AJ$4=0,0,IF(COUNTIFS(実績!$W$6:$W$505,AJ$3,実績!$AC$6:$AC$505,"&lt;="&amp;$A16,実績!$AD$6:$AD$505,"&gt;"&amp;$A16,実績!$AE$6:$AE$505,"○")&gt;0,1,0))</f>
        <v/>
      </c>
      <c r="AK16">
        <f>IF(AK$4=0,0,IF(COUNTIFS(実績!$W$6:$W$505,AK$3,実績!$AC$6:$AC$505,"&lt;="&amp;$A16,実績!$AD$6:$AD$505,"&gt;"&amp;$A16,実績!$AE$6:$AE$505,"○")&gt;0,1,0))</f>
        <v/>
      </c>
      <c r="AL16">
        <f>IF(AL$4=0,0,IF(COUNTIFS(実績!$W$6:$W$505,AL$3,実績!$AC$6:$AC$505,"&lt;="&amp;$A16,実績!$AD$6:$AD$505,"&gt;"&amp;$A16,実績!$AE$6:$AE$505,"○")&gt;0,1,0))</f>
        <v/>
      </c>
      <c r="AM16">
        <f>IF(AM$4=0,0,IF(COUNTIFS(実績!$W$6:$W$505,AM$3,実績!$AC$6:$AC$505,"&lt;="&amp;$A16,実績!$AD$6:$AD$505,"&gt;"&amp;$A16,実績!$AE$6:$AE$505,"○")&gt;0,1,0))</f>
        <v/>
      </c>
      <c r="AN16">
        <f>IF(AN$4=0,0,IF(COUNTIFS(実績!$W$6:$W$505,AN$3,実績!$AC$6:$AC$505,"&lt;="&amp;$A16,実績!$AD$6:$AD$505,"&gt;"&amp;$A16,実績!$AE$6:$AE$505,"○")&gt;0,1,0))</f>
        <v/>
      </c>
      <c r="AO16">
        <f>IF(AO$4=0,0,IF(COUNTIFS(実績!$W$6:$W$505,AO$3,実績!$AC$6:$AC$505,"&lt;="&amp;$A16,実績!$AD$6:$AD$505,"&gt;"&amp;$A16,実績!$AE$6:$AE$505,"○")&gt;0,1,0))</f>
        <v/>
      </c>
      <c r="AP16">
        <f>IF(AP$4=0,0,IF(COUNTIFS(実績!$W$6:$W$505,AP$3,実績!$AC$6:$AC$505,"&lt;="&amp;$A16,実績!$AD$6:$AD$505,"&gt;"&amp;$A16,実績!$AE$6:$AE$505,"○")&gt;0,1,0))</f>
        <v/>
      </c>
      <c r="AQ16">
        <f>IF(AQ$4=0,0,IF(COUNTIFS(実績!$W$6:$W$505,AQ$3,実績!$AC$6:$AC$505,"&lt;="&amp;$A16,実績!$AD$6:$AD$505,"&gt;"&amp;$A16,実績!$AE$6:$AE$505,"○")&gt;0,1,0))</f>
        <v/>
      </c>
      <c r="AR16">
        <f>IF(AR$4=0,0,IF(COUNTIFS(実績!$W$6:$W$505,AR$3,実績!$AC$6:$AC$505,"&lt;="&amp;$A16,実績!$AD$6:$AD$505,"&gt;"&amp;$A16,実績!$AE$6:$AE$505,"○")&gt;0,1,0))</f>
        <v/>
      </c>
      <c r="AS16">
        <f>IF(AS$4=0,0,IF(COUNTIFS(実績!$W$6:$W$505,AS$3,実績!$AC$6:$AC$505,"&lt;="&amp;$A16,実績!$AD$6:$AD$505,"&gt;"&amp;$A16,実績!$AE$6:$AE$505,"○")&gt;0,1,0))</f>
        <v/>
      </c>
      <c r="AT16">
        <f>IF(AT$4=0,0,IF(COUNTIFS(実績!$W$6:$W$505,AT$3,実績!$AC$6:$AC$505,"&lt;="&amp;$A16,実績!$AD$6:$AD$505,"&gt;"&amp;$A16,実績!$AE$6:$AE$505,"○")&gt;0,1,0))</f>
        <v/>
      </c>
      <c r="AU16">
        <f>IF(AU$4=0,0,IF(COUNTIFS(実績!$W$6:$W$505,AU$3,実績!$AC$6:$AC$505,"&lt;="&amp;$A16,実績!$AD$6:$AD$505,"&gt;"&amp;$A16,実績!$AE$6:$AE$505,"○")&gt;0,1,0))</f>
        <v/>
      </c>
      <c r="AV16">
        <f>IF(AV$4=0,0,IF(COUNTIFS(実績!$W$6:$W$505,AV$3,実績!$AC$6:$AC$505,"&lt;="&amp;$A16,実績!$AD$6:$AD$505,"&gt;"&amp;$A16,実績!$AE$6:$AE$505,"○")&gt;0,1,0))</f>
        <v/>
      </c>
      <c r="AW16">
        <f>IF(AW$4=0,0,IF(COUNTIFS(実績!$W$6:$W$505,AW$3,実績!$AC$6:$AC$505,"&lt;="&amp;$A16,実績!$AD$6:$AD$505,"&gt;"&amp;$A16,実績!$AE$6:$AE$505,"○")&gt;0,1,0))</f>
        <v/>
      </c>
      <c r="AX16">
        <f>IF(AX$4=0,0,IF(COUNTIFS(実績!$W$6:$W$505,AX$3,実績!$AC$6:$AC$505,"&lt;="&amp;$A16,実績!$AD$6:$AD$505,"&gt;"&amp;$A16,実績!$AE$6:$AE$505,"○")&gt;0,1,0))</f>
        <v/>
      </c>
      <c r="AY16">
        <f>IF(AY$4=0,0,IF(COUNTIFS(実績!$W$6:$W$505,AY$3,実績!$AC$6:$AC$505,"&lt;="&amp;$A16,実績!$AD$6:$AD$505,"&gt;"&amp;$A16,実績!$AE$6:$AE$505,"○")&gt;0,1,0))</f>
        <v/>
      </c>
      <c r="AZ16">
        <f>IF(AZ$4=0,0,IF(COUNTIFS(実績!$W$6:$W$505,AZ$3,実績!$AC$6:$AC$505,"&lt;="&amp;$A16,実績!$AD$6:$AD$505,"&gt;"&amp;$A16,実績!$AE$6:$AE$505,"○")&gt;0,1,0))</f>
        <v/>
      </c>
      <c r="BA16">
        <f>IF(BA$4=0,0,IF(COUNTIFS(実績!$W$6:$W$505,BA$3,実績!$AC$6:$AC$505,"&lt;="&amp;$A16,実績!$AD$6:$AD$505,"&gt;"&amp;$A16,実績!$AE$6:$AE$505,"○")&gt;0,1,0))</f>
        <v/>
      </c>
      <c r="BB16">
        <f>IF(BB$4=0,0,IF(COUNTIFS(実績!$W$6:$W$505,BB$3,実績!$AC$6:$AC$505,"&lt;="&amp;$A16,実績!$AD$6:$AD$505,"&gt;"&amp;$A16,実績!$AE$6:$AE$505,"○")&gt;0,1,0))</f>
        <v/>
      </c>
      <c r="BC16">
        <f>IF(BC$4=0,0,IF(COUNTIFS(実績!$W$6:$W$505,BC$3,実績!$AC$6:$AC$505,"&lt;="&amp;$A16,実績!$AD$6:$AD$505,"&gt;"&amp;$A16,実績!$AE$6:$AE$505,"○")&gt;0,1,0))</f>
        <v/>
      </c>
      <c r="BD16">
        <f>IF(BD$4=0,0,IF(COUNTIFS(実績!$W$6:$W$505,BD$3,実績!$AC$6:$AC$505,"&lt;="&amp;$A16,実績!$AD$6:$AD$505,"&gt;"&amp;$A16,実績!$AE$6:$AE$505,"○")&gt;0,1,0))</f>
        <v/>
      </c>
      <c r="BE16">
        <f>IF(BE$4=0,0,IF(COUNTIFS(実績!$W$6:$W$505,BE$3,実績!$AC$6:$AC$505,"&lt;="&amp;$A16,実績!$AD$6:$AD$505,"&gt;"&amp;$A16,実績!$AE$6:$AE$505,"○")&gt;0,1,0))</f>
        <v/>
      </c>
      <c r="BF16">
        <f>IF(BF$4=0,0,IF(COUNTIFS(実績!$W$6:$W$505,BF$3,実績!$AC$6:$AC$505,"&lt;="&amp;$A16,実績!$AD$6:$AD$505,"&gt;"&amp;$A16,実績!$AE$6:$AE$505,"○")&gt;0,1,0))</f>
        <v/>
      </c>
      <c r="BG16">
        <f>IF(BG$4=0,0,IF(COUNTIFS(実績!$W$6:$W$505,BG$3,実績!$AC$6:$AC$505,"&lt;="&amp;$A16,実績!$AD$6:$AD$505,"&gt;"&amp;$A16,実績!$AE$6:$AE$505,"○")&gt;0,1,0))</f>
        <v/>
      </c>
      <c r="BH16">
        <f>IF(BH$4=0,0,IF(COUNTIFS(実績!$W$6:$W$505,BH$3,実績!$AC$6:$AC$505,"&lt;="&amp;$A16,実績!$AD$6:$AD$505,"&gt;"&amp;$A16,実績!$AE$6:$AE$505,"○")&gt;0,1,0))</f>
        <v/>
      </c>
      <c r="BI16">
        <f>IF(BI$4=0,0,IF(COUNTIFS(実績!$W$6:$W$505,BI$3,実績!$AC$6:$AC$505,"&lt;="&amp;$A16,実績!$AD$6:$AD$505,"&gt;"&amp;$A16,実績!$AE$6:$AE$505,"○")&gt;0,1,0))</f>
        <v/>
      </c>
      <c r="BJ16">
        <f>IF(BJ$4=0,0,IF(COUNTIFS(実績!$W$6:$W$505,BJ$3,実績!$AC$6:$AC$505,"&lt;="&amp;$A16,実績!$AD$6:$AD$505,"&gt;"&amp;$A16,実績!$AE$6:$AE$505,"○")&gt;0,1,0))</f>
        <v/>
      </c>
      <c r="BK16">
        <f>IF(BK$4=0,0,IF(COUNTIFS(実績!$W$6:$W$505,BK$3,実績!$AC$6:$AC$505,"&lt;="&amp;$A16,実績!$AD$6:$AD$505,"&gt;"&amp;$A16,実績!$AE$6:$AE$505,"○")&gt;0,1,0))</f>
        <v/>
      </c>
      <c r="BL16">
        <f>IF(BL$4=0,0,IF(COUNTIFS(実績!$W$6:$W$505,BL$3,実績!$AC$6:$AC$505,"&lt;="&amp;$A16,実績!$AD$6:$AD$505,"&gt;"&amp;$A16,実績!$AE$6:$AE$505,"○")&gt;0,1,0))</f>
        <v/>
      </c>
      <c r="BM16">
        <f>IF(BM$4=0,0,IF(COUNTIFS(実績!$W$6:$W$505,BM$3,実績!$AC$6:$AC$505,"&lt;="&amp;$A16,実績!$AD$6:$AD$505,"&gt;"&amp;$A16,実績!$AE$6:$AE$505,"○")&gt;0,1,0))</f>
        <v/>
      </c>
      <c r="BN16">
        <f>IF(BN$4=0,0,IF(COUNTIFS(実績!$W$6:$W$505,BN$3,実績!$AC$6:$AC$505,"&lt;="&amp;$A16,実績!$AD$6:$AD$505,"&gt;"&amp;$A16,実績!$AE$6:$AE$505,"○")&gt;0,1,0))</f>
        <v/>
      </c>
      <c r="BO16">
        <f>IF(BO$4=0,0,IF(COUNTIFS(実績!$W$6:$W$505,BO$3,実績!$AC$6:$AC$505,"&lt;="&amp;$A16,実績!$AD$6:$AD$505,"&gt;"&amp;$A16,実績!$AE$6:$AE$505,"○")&gt;0,1,0))</f>
        <v/>
      </c>
      <c r="BP16">
        <f>IF(BP$4=0,0,IF(COUNTIFS(実績!$W$6:$W$505,BP$3,実績!$AC$6:$AC$505,"&lt;="&amp;$A16,実績!$AD$6:$AD$505,"&gt;"&amp;$A16,実績!$AE$6:$AE$505,"○")&gt;0,1,0))</f>
        <v/>
      </c>
      <c r="BQ16">
        <f>IF(BQ$4=0,0,IF(COUNTIFS(実績!$W$6:$W$505,BQ$3,実績!$AC$6:$AC$505,"&lt;="&amp;$A16,実績!$AD$6:$AD$505,"&gt;"&amp;$A16,実績!$AE$6:$AE$505,"○")&gt;0,1,0))</f>
        <v/>
      </c>
      <c r="BR16">
        <f>IF(BR$4=0,0,IF(COUNTIFS(実績!$W$6:$W$505,BR$3,実績!$AC$6:$AC$505,"&lt;="&amp;$A16,実績!$AD$6:$AD$505,"&gt;"&amp;$A16,実績!$AE$6:$AE$505,"○")&gt;0,1,0))</f>
        <v/>
      </c>
      <c r="BS16">
        <f>IF(BS$4=0,0,IF(COUNTIFS(実績!$W$6:$W$505,BS$3,実績!$AC$6:$AC$505,"&lt;="&amp;$A16,実績!$AD$6:$AD$505,"&gt;"&amp;$A16,実績!$AE$6:$AE$505,"○")&gt;0,1,0))</f>
        <v/>
      </c>
      <c r="BT16">
        <f>IF(BT$4=0,0,IF(COUNTIFS(実績!$W$6:$W$505,BT$3,実績!$AC$6:$AC$505,"&lt;="&amp;$A16,実績!$AD$6:$AD$505,"&gt;"&amp;$A16,実績!$AE$6:$AE$505,"○")&gt;0,1,0))</f>
        <v/>
      </c>
      <c r="BU16">
        <f>IF(BU$4=0,0,IF(COUNTIFS(実績!$W$6:$W$505,BU$3,実績!$AC$6:$AC$505,"&lt;="&amp;$A16,実績!$AD$6:$AD$505,"&gt;"&amp;$A16,実績!$AE$6:$AE$505,"○")&gt;0,1,0))</f>
        <v/>
      </c>
      <c r="BV16">
        <f>IF(BV$4=0,0,IF(COUNTIFS(実績!$W$6:$W$505,BV$3,実績!$AC$6:$AC$505,"&lt;="&amp;$A16,実績!$AD$6:$AD$505,"&gt;"&amp;$A16,実績!$AE$6:$AE$505,"○")&gt;0,1,0))</f>
        <v/>
      </c>
      <c r="BW16">
        <f>IF(BW$4=0,0,IF(COUNTIFS(実績!$W$6:$W$505,BW$3,実績!$AC$6:$AC$505,"&lt;="&amp;$A16,実績!$AD$6:$AD$505,"&gt;"&amp;$A16,実績!$AE$6:$AE$505,"○")&gt;0,1,0))</f>
        <v/>
      </c>
      <c r="BX16">
        <f>IF(BX$4=0,0,IF(COUNTIFS(実績!$W$6:$W$505,BX$3,実績!$AC$6:$AC$505,"&lt;="&amp;$A16,実績!$AD$6:$AD$505,"&gt;"&amp;$A16,実績!$AE$6:$AE$505,"○")&gt;0,1,0))</f>
        <v/>
      </c>
      <c r="BY16">
        <f>IF(BY$4=0,0,IF(COUNTIFS(実績!$W$6:$W$505,BY$3,実績!$AC$6:$AC$505,"&lt;="&amp;$A16,実績!$AD$6:$AD$505,"&gt;"&amp;$A16,実績!$AE$6:$AE$505,"○")&gt;0,1,0))</f>
        <v/>
      </c>
      <c r="BZ16">
        <f>IF(BZ$4=0,0,IF(COUNTIFS(実績!$W$6:$W$505,BZ$3,実績!$AC$6:$AC$505,"&lt;="&amp;$A16,実績!$AD$6:$AD$505,"&gt;"&amp;$A16,実績!$AE$6:$AE$505,"○")&gt;0,1,0))</f>
        <v/>
      </c>
      <c r="CA16">
        <f>IF(CA$4=0,0,IF(COUNTIFS(実績!$W$6:$W$505,CA$3,実績!$AC$6:$AC$505,"&lt;="&amp;$A16,実績!$AD$6:$AD$505,"&gt;"&amp;$A16,実績!$AE$6:$AE$505,"○")&gt;0,1,0))</f>
        <v/>
      </c>
      <c r="CB16">
        <f>IF(CB$4=0,0,IF(COUNTIFS(実績!$W$6:$W$505,CB$3,実績!$AC$6:$AC$505,"&lt;="&amp;$A16,実績!$AD$6:$AD$505,"&gt;"&amp;$A16,実績!$AE$6:$AE$505,"○")&gt;0,1,0))</f>
        <v/>
      </c>
      <c r="CC16">
        <f>IF(CC$4=0,0,IF(COUNTIFS(実績!$W$6:$W$505,CC$3,実績!$AC$6:$AC$505,"&lt;="&amp;$A16,実績!$AD$6:$AD$505,"&gt;"&amp;$A16,実績!$AE$6:$AE$505,"○")&gt;0,1,0))</f>
        <v/>
      </c>
      <c r="CD16">
        <f>IF(CD$4=0,0,IF(COUNTIFS(実績!$W$6:$W$505,CD$3,実績!$AC$6:$AC$505,"&lt;="&amp;$A16,実績!$AD$6:$AD$505,"&gt;"&amp;$A16,実績!$AE$6:$AE$505,"○")&gt;0,1,0))</f>
        <v/>
      </c>
      <c r="CE16">
        <f>IF(CE$4=0,0,IF(COUNTIFS(実績!$W$6:$W$505,CE$3,実績!$AC$6:$AC$505,"&lt;="&amp;$A16,実績!$AD$6:$AD$505,"&gt;"&amp;$A16,実績!$AE$6:$AE$505,"○")&gt;0,1,0))</f>
        <v/>
      </c>
      <c r="CF16">
        <f>IF(CF$4=0,0,IF(COUNTIFS(実績!$W$6:$W$505,CF$3,実績!$AC$6:$AC$505,"&lt;="&amp;$A16,実績!$AD$6:$AD$505,"&gt;"&amp;$A16,実績!$AE$6:$AE$505,"○")&gt;0,1,0))</f>
        <v/>
      </c>
      <c r="CG16">
        <f>IF(CG$4=0,0,IF(COUNTIFS(実績!$W$6:$W$505,CG$3,実績!$AC$6:$AC$505,"&lt;="&amp;$A16,実績!$AD$6:$AD$505,"&gt;"&amp;$A16,実績!$AE$6:$AE$505,"○")&gt;0,1,0))</f>
        <v/>
      </c>
      <c r="CH16">
        <f>IF(CH$4=0,0,IF(COUNTIFS(実績!$W$6:$W$505,CH$3,実績!$AC$6:$AC$505,"&lt;="&amp;$A16,実績!$AD$6:$AD$505,"&gt;"&amp;$A16,実績!$AE$6:$AE$505,"○")&gt;0,1,0))</f>
        <v/>
      </c>
      <c r="CI16">
        <f>IF(CI$4=0,0,IF(COUNTIFS(実績!$W$6:$W$505,CI$3,実績!$AC$6:$AC$505,"&lt;="&amp;$A16,実績!$AD$6:$AD$505,"&gt;"&amp;$A16,実績!$AE$6:$AE$505,"○")&gt;0,1,0))</f>
        <v/>
      </c>
      <c r="CJ16">
        <f>IF(CJ$4=0,0,IF(COUNTIFS(実績!$W$6:$W$505,CJ$3,実績!$AC$6:$AC$505,"&lt;="&amp;$A16,実績!$AD$6:$AD$505,"&gt;"&amp;$A16,実績!$AE$6:$AE$505,"○")&gt;0,1,0))</f>
        <v/>
      </c>
      <c r="CK16">
        <f>IF(CK$4=0,0,IF(COUNTIFS(実績!$W$6:$W$505,CK$3,実績!$AC$6:$AC$505,"&lt;="&amp;$A16,実績!$AD$6:$AD$505,"&gt;"&amp;$A16,実績!$AE$6:$AE$505,"○")&gt;0,1,0))</f>
        <v/>
      </c>
      <c r="CL16">
        <f>IF(CL$4=0,0,IF(COUNTIFS(実績!$W$6:$W$505,CL$3,実績!$AC$6:$AC$505,"&lt;="&amp;$A16,実績!$AD$6:$AD$505,"&gt;"&amp;$A16,実績!$AE$6:$AE$505,"○")&gt;0,1,0))</f>
        <v/>
      </c>
      <c r="CM16">
        <f>IF(CM$4=0,0,IF(COUNTIFS(実績!$W$6:$W$505,CM$3,実績!$AC$6:$AC$505,"&lt;="&amp;$A16,実績!$AD$6:$AD$505,"&gt;"&amp;$A16,実績!$AE$6:$AE$505,"○")&gt;0,1,0))</f>
        <v/>
      </c>
      <c r="CN16">
        <f>IF(CN$4=0,0,IF(COUNTIFS(実績!$W$6:$W$505,CN$3,実績!$AC$6:$AC$505,"&lt;="&amp;$A16,実績!$AD$6:$AD$505,"&gt;"&amp;$A16,実績!$AE$6:$AE$505,"○")&gt;0,1,0))</f>
        <v/>
      </c>
      <c r="CO16">
        <f>IF(CO$4=0,0,IF(COUNTIFS(実績!$W$6:$W$505,CO$3,実績!$AC$6:$AC$505,"&lt;="&amp;$A16,実績!$AD$6:$AD$505,"&gt;"&amp;$A16,実績!$AE$6:$AE$505,"○")&gt;0,1,0))</f>
        <v/>
      </c>
      <c r="CP16">
        <f>IF(CP$4=0,0,IF(COUNTIFS(実績!$W$6:$W$505,CP$3,実績!$AC$6:$AC$505,"&lt;="&amp;$A16,実績!$AD$6:$AD$505,"&gt;"&amp;$A16,実績!$AE$6:$AE$505,"○")&gt;0,1,0))</f>
        <v/>
      </c>
      <c r="CQ16">
        <f>IF(CQ$4=0,0,IF(COUNTIFS(実績!$W$6:$W$505,CQ$3,実績!$AC$6:$AC$505,"&lt;="&amp;$A16,実績!$AD$6:$AD$505,"&gt;"&amp;$A16,実績!$AE$6:$AE$505,"○")&gt;0,1,0))</f>
        <v/>
      </c>
      <c r="CR16">
        <f>IF(CR$4=0,0,IF(COUNTIFS(実績!$W$6:$W$505,CR$3,実績!$AC$6:$AC$505,"&lt;="&amp;$A16,実績!$AD$6:$AD$505,"&gt;"&amp;$A16,実績!$AE$6:$AE$505,"○")&gt;0,1,0))</f>
        <v/>
      </c>
      <c r="CS16">
        <f>IF(CS$4=0,0,IF(COUNTIFS(実績!$W$6:$W$505,CS$3,実績!$AC$6:$AC$505,"&lt;="&amp;$A16,実績!$AD$6:$AD$505,"&gt;"&amp;$A16,実績!$AE$6:$AE$505,"○")&gt;0,1,0))</f>
        <v/>
      </c>
      <c r="CT16">
        <f>IF(CT$4=0,0,IF(COUNTIFS(実績!$W$6:$W$505,CT$3,実績!$AC$6:$AC$505,"&lt;="&amp;$A16,実績!$AD$6:$AD$505,"&gt;"&amp;$A16,実績!$AE$6:$AE$505,"○")&gt;0,1,0))</f>
        <v/>
      </c>
      <c r="CU16">
        <f>IF(CU$4=0,0,IF(COUNTIFS(実績!$W$6:$W$505,CU$3,実績!$AC$6:$AC$505,"&lt;="&amp;$A16,実績!$AD$6:$AD$505,"&gt;"&amp;$A16,実績!$AE$6:$AE$505,"○")&gt;0,1,0))</f>
        <v/>
      </c>
      <c r="CV16">
        <f>IF(CV$4=0,0,IF(COUNTIFS(実績!$W$6:$W$505,CV$3,実績!$AC$6:$AC$505,"&lt;="&amp;$A16,実績!$AD$6:$AD$505,"&gt;"&amp;$A16,実績!$AE$6:$AE$505,"○")&gt;0,1,0))</f>
        <v/>
      </c>
      <c r="CW16">
        <f>IF(CW$4=0,0,IF(COUNTIFS(実績!$W$6:$W$505,CW$3,実績!$AC$6:$AC$505,"&lt;="&amp;$A16,実績!$AD$6:$AD$505,"&gt;"&amp;$A16,実績!$AE$6:$AE$505,"○")&gt;0,1,0))</f>
        <v/>
      </c>
      <c r="CX16">
        <f>IF(CX$4=0,0,IF(COUNTIFS(実績!$W$6:$W$505,CX$3,実績!$AC$6:$AC$505,"&lt;="&amp;$A16,実績!$AD$6:$AD$505,"&gt;"&amp;$A16,実績!$AE$6:$AE$505,"○")&gt;0,1,0))</f>
        <v/>
      </c>
      <c r="CY16">
        <f>IF(CY$4=0,0,IF(COUNTIFS(実績!$W$6:$W$505,CY$3,実績!$AC$6:$AC$505,"&lt;="&amp;$A16,実績!$AD$6:$AD$505,"&gt;"&amp;$A16,実績!$AE$6:$AE$505,"○")&gt;0,1,0))</f>
        <v/>
      </c>
      <c r="CZ16">
        <f>IF(CZ$4=0,0,IF(COUNTIFS(実績!$W$6:$W$505,CZ$3,実績!$AC$6:$AC$505,"&lt;="&amp;$A16,実績!$AD$6:$AD$505,"&gt;"&amp;$A16,実績!$AE$6:$AE$505,"○")&gt;0,1,0))</f>
        <v/>
      </c>
      <c r="DA16">
        <f>IF(DA$4=0,0,IF(COUNTIFS(実績!$W$6:$W$505,DA$3,実績!$AC$6:$AC$505,"&lt;="&amp;$A16,実績!$AD$6:$AD$505,"&gt;"&amp;$A16,実績!$AE$6:$AE$505,"○")&gt;0,1,0))</f>
        <v/>
      </c>
      <c r="DB16">
        <f>IF(DB$4=0,0,IF(COUNTIFS(実績!$W$6:$W$505,DB$3,実績!$AC$6:$AC$505,"&lt;="&amp;$A16,実績!$AD$6:$AD$505,"&gt;"&amp;$A16,実績!$AE$6:$AE$505,"○")&gt;0,1,0))</f>
        <v/>
      </c>
      <c r="DC16">
        <f>IF(DC$4=0,0,IF(COUNTIFS(実績!$W$6:$W$505,DC$3,実績!$AC$6:$AC$505,"&lt;="&amp;$A16,実績!$AD$6:$AD$505,"&gt;"&amp;$A16,実績!$AE$6:$AE$505,"○")&gt;0,1,0))</f>
        <v/>
      </c>
      <c r="DD16">
        <f>IF(DD$4=0,0,IF(COUNTIFS(実績!$W$6:$W$505,DD$3,実績!$AC$6:$AC$505,"&lt;="&amp;$A16,実績!$AD$6:$AD$505,"&gt;"&amp;$A16,実績!$AE$6:$AE$505,"○")&gt;0,1,0))</f>
        <v/>
      </c>
      <c r="DE16">
        <f>IF(DE$4=0,0,IF(COUNTIFS(実績!$W$6:$W$505,DE$3,実績!$AC$6:$AC$505,"&lt;="&amp;$A16,実績!$AD$6:$AD$505,"&gt;"&amp;$A16,実績!$AE$6:$AE$505,"○")&gt;0,1,0))</f>
        <v/>
      </c>
      <c r="DF16">
        <f>IF(DF$4=0,0,IF(COUNTIFS(実績!$W$6:$W$505,DF$3,実績!$AC$6:$AC$505,"&lt;="&amp;$A16,実績!$AD$6:$AD$505,"&gt;"&amp;$A16,実績!$AE$6:$AE$505,"○")&gt;0,1,0))</f>
        <v/>
      </c>
      <c r="DG16">
        <f>IF(DG$4=0,0,IF(COUNTIFS(実績!$W$6:$W$505,DG$3,実績!$AC$6:$AC$505,"&lt;="&amp;$A16,実績!$AD$6:$AD$505,"&gt;"&amp;$A16,実績!$AE$6:$AE$505,"○")&gt;0,1,0))</f>
        <v/>
      </c>
      <c r="DH16">
        <f>IF(DH$4=0,0,IF(COUNTIFS(実績!$W$6:$W$505,DH$3,実績!$AC$6:$AC$505,"&lt;="&amp;$A16,実績!$AD$6:$AD$505,"&gt;"&amp;$A16,実績!$AE$6:$AE$505,"○")&gt;0,1,0))</f>
        <v/>
      </c>
      <c r="DI16">
        <f>IF(DI$4=0,0,IF(COUNTIFS(実績!$W$6:$W$505,DI$3,実績!$AC$6:$AC$505,"&lt;="&amp;$A16,実績!$AD$6:$AD$505,"&gt;"&amp;$A16,実績!$AE$6:$AE$505,"○")&gt;0,1,0))</f>
        <v/>
      </c>
      <c r="DJ16">
        <f>IF(DJ$4=0,0,IF(COUNTIFS(実績!$W$6:$W$505,DJ$3,実績!$AC$6:$AC$505,"&lt;="&amp;$A16,実績!$AD$6:$AD$505,"&gt;"&amp;$A16,実績!$AE$6:$AE$505,"○")&gt;0,1,0))</f>
        <v/>
      </c>
      <c r="DK16">
        <f>IF(DK$4=0,0,IF(COUNTIFS(実績!$W$6:$W$505,DK$3,実績!$AC$6:$AC$505,"&lt;="&amp;$A16,実績!$AD$6:$AD$505,"&gt;"&amp;$A16,実績!$AE$6:$AE$505,"○")&gt;0,1,0))</f>
        <v/>
      </c>
      <c r="DL16">
        <f>IF(DL$4=0,0,IF(COUNTIFS(実績!$W$6:$W$505,DL$3,実績!$AC$6:$AC$505,"&lt;="&amp;$A16,実績!$AD$6:$AD$505,"&gt;"&amp;$A16,実績!$AE$6:$AE$505,"○")&gt;0,1,0))</f>
        <v/>
      </c>
      <c r="DM16">
        <f>IF(DM$4=0,0,IF(COUNTIFS(実績!$W$6:$W$505,DM$3,実績!$AC$6:$AC$505,"&lt;="&amp;$A16,実績!$AD$6:$AD$505,"&gt;"&amp;$A16,実績!$AE$6:$AE$505,"○")&gt;0,1,0))</f>
        <v/>
      </c>
      <c r="DN16">
        <f>IF(DN$4=0,0,IF(COUNTIFS(実績!$W$6:$W$505,DN$3,実績!$AC$6:$AC$505,"&lt;="&amp;$A16,実績!$AD$6:$AD$505,"&gt;"&amp;$A16,実績!$AE$6:$AE$505,"○")&gt;0,1,0))</f>
        <v/>
      </c>
      <c r="DO16">
        <f>IF(DO$4=0,0,IF(COUNTIFS(実績!$W$6:$W$505,DO$3,実績!$AC$6:$AC$505,"&lt;="&amp;$A16,実績!$AD$6:$AD$505,"&gt;"&amp;$A16,実績!$AE$6:$AE$505,"○")&gt;0,1,0))</f>
        <v/>
      </c>
      <c r="DP16">
        <f>IF(DP$4=0,0,IF(COUNTIFS(実績!$W$6:$W$505,DP$3,実績!$AC$6:$AC$505,"&lt;="&amp;$A16,実績!$AD$6:$AD$505,"&gt;"&amp;$A16,実績!$AE$6:$AE$505,"○")&gt;0,1,0))</f>
        <v/>
      </c>
      <c r="DQ16">
        <f>IF(DQ$4=0,0,IF(COUNTIFS(実績!$W$6:$W$505,DQ$3,実績!$AC$6:$AC$505,"&lt;="&amp;$A16,実績!$AD$6:$AD$505,"&gt;"&amp;$A16,実績!$AE$6:$AE$505,"○")&gt;0,1,0))</f>
        <v/>
      </c>
      <c r="DR16">
        <f>IF(DR$4=0,0,IF(COUNTIFS(実績!$W$6:$W$505,DR$3,実績!$AC$6:$AC$505,"&lt;="&amp;$A16,実績!$AD$6:$AD$505,"&gt;"&amp;$A16,実績!$AE$6:$AE$505,"○")&gt;0,1,0))</f>
        <v/>
      </c>
      <c r="DS16">
        <f>SUM(C16:DR16)</f>
        <v/>
      </c>
      <c r="DT16">
        <f>SUMPRODUCT((実績!$C$6:$C$505="○")*ISNUMBER(実績!$AF$6:$AF$505)*(実績!$AF$6:$AF$505&lt;=$A16)*(実績!$AG$6:$AG$505&gt;$A16))</f>
        <v/>
      </c>
      <c r="DU16">
        <f>SUMIF($C$2:$DR$2,"製鉄曳船",C16:DR16)</f>
        <v/>
      </c>
      <c r="DV16">
        <f>SUMIF($C$2:$DR$2,"西日本海運",C16:DR16)</f>
        <v/>
      </c>
    </row>
    <row r="17">
      <c r="A17" t="n">
        <v>55</v>
      </c>
      <c r="B17" s="29">
        <f>A17/1440</f>
        <v/>
      </c>
      <c r="C17">
        <f>IF(C$4=0,0,IF(COUNTIFS(実績!$W$6:$W$505,C$3,実績!$AC$6:$AC$505,"&lt;="&amp;$A17,実績!$AD$6:$AD$505,"&gt;"&amp;$A17,実績!$AE$6:$AE$505,"○")&gt;0,1,0))</f>
        <v/>
      </c>
      <c r="D17">
        <f>IF(D$4=0,0,IF(COUNTIFS(実績!$W$6:$W$505,D$3,実績!$AC$6:$AC$505,"&lt;="&amp;$A17,実績!$AD$6:$AD$505,"&gt;"&amp;$A17,実績!$AE$6:$AE$505,"○")&gt;0,1,0))</f>
        <v/>
      </c>
      <c r="E17">
        <f>IF(E$4=0,0,IF(COUNTIFS(実績!$W$6:$W$505,E$3,実績!$AC$6:$AC$505,"&lt;="&amp;$A17,実績!$AD$6:$AD$505,"&gt;"&amp;$A17,実績!$AE$6:$AE$505,"○")&gt;0,1,0))</f>
        <v/>
      </c>
      <c r="F17">
        <f>IF(F$4=0,0,IF(COUNTIFS(実績!$W$6:$W$505,F$3,実績!$AC$6:$AC$505,"&lt;="&amp;$A17,実績!$AD$6:$AD$505,"&gt;"&amp;$A17,実績!$AE$6:$AE$505,"○")&gt;0,1,0))</f>
        <v/>
      </c>
      <c r="G17">
        <f>IF(G$4=0,0,IF(COUNTIFS(実績!$W$6:$W$505,G$3,実績!$AC$6:$AC$505,"&lt;="&amp;$A17,実績!$AD$6:$AD$505,"&gt;"&amp;$A17,実績!$AE$6:$AE$505,"○")&gt;0,1,0))</f>
        <v/>
      </c>
      <c r="H17">
        <f>IF(H$4=0,0,IF(COUNTIFS(実績!$W$6:$W$505,H$3,実績!$AC$6:$AC$505,"&lt;="&amp;$A17,実績!$AD$6:$AD$505,"&gt;"&amp;$A17,実績!$AE$6:$AE$505,"○")&gt;0,1,0))</f>
        <v/>
      </c>
      <c r="I17">
        <f>IF(I$4=0,0,IF(COUNTIFS(実績!$W$6:$W$505,I$3,実績!$AC$6:$AC$505,"&lt;="&amp;$A17,実績!$AD$6:$AD$505,"&gt;"&amp;$A17,実績!$AE$6:$AE$505,"○")&gt;0,1,0))</f>
        <v/>
      </c>
      <c r="J17">
        <f>IF(J$4=0,0,IF(COUNTIFS(実績!$W$6:$W$505,J$3,実績!$AC$6:$AC$505,"&lt;="&amp;$A17,実績!$AD$6:$AD$505,"&gt;"&amp;$A17,実績!$AE$6:$AE$505,"○")&gt;0,1,0))</f>
        <v/>
      </c>
      <c r="K17">
        <f>IF(K$4=0,0,IF(COUNTIFS(実績!$W$6:$W$505,K$3,実績!$AC$6:$AC$505,"&lt;="&amp;$A17,実績!$AD$6:$AD$505,"&gt;"&amp;$A17,実績!$AE$6:$AE$505,"○")&gt;0,1,0))</f>
        <v/>
      </c>
      <c r="L17">
        <f>IF(L$4=0,0,IF(COUNTIFS(実績!$W$6:$W$505,L$3,実績!$AC$6:$AC$505,"&lt;="&amp;$A17,実績!$AD$6:$AD$505,"&gt;"&amp;$A17,実績!$AE$6:$AE$505,"○")&gt;0,1,0))</f>
        <v/>
      </c>
      <c r="M17">
        <f>IF(M$4=0,0,IF(COUNTIFS(実績!$W$6:$W$505,M$3,実績!$AC$6:$AC$505,"&lt;="&amp;$A17,実績!$AD$6:$AD$505,"&gt;"&amp;$A17,実績!$AE$6:$AE$505,"○")&gt;0,1,0))</f>
        <v/>
      </c>
      <c r="N17">
        <f>IF(N$4=0,0,IF(COUNTIFS(実績!$W$6:$W$505,N$3,実績!$AC$6:$AC$505,"&lt;="&amp;$A17,実績!$AD$6:$AD$505,"&gt;"&amp;$A17,実績!$AE$6:$AE$505,"○")&gt;0,1,0))</f>
        <v/>
      </c>
      <c r="O17">
        <f>IF(O$4=0,0,IF(COUNTIFS(実績!$W$6:$W$505,O$3,実績!$AC$6:$AC$505,"&lt;="&amp;$A17,実績!$AD$6:$AD$505,"&gt;"&amp;$A17,実績!$AE$6:$AE$505,"○")&gt;0,1,0))</f>
        <v/>
      </c>
      <c r="P17">
        <f>IF(P$4=0,0,IF(COUNTIFS(実績!$W$6:$W$505,P$3,実績!$AC$6:$AC$505,"&lt;="&amp;$A17,実績!$AD$6:$AD$505,"&gt;"&amp;$A17,実績!$AE$6:$AE$505,"○")&gt;0,1,0))</f>
        <v/>
      </c>
      <c r="Q17">
        <f>IF(Q$4=0,0,IF(COUNTIFS(実績!$W$6:$W$505,Q$3,実績!$AC$6:$AC$505,"&lt;="&amp;$A17,実績!$AD$6:$AD$505,"&gt;"&amp;$A17,実績!$AE$6:$AE$505,"○")&gt;0,1,0))</f>
        <v/>
      </c>
      <c r="R17">
        <f>IF(R$4=0,0,IF(COUNTIFS(実績!$W$6:$W$505,R$3,実績!$AC$6:$AC$505,"&lt;="&amp;$A17,実績!$AD$6:$AD$505,"&gt;"&amp;$A17,実績!$AE$6:$AE$505,"○")&gt;0,1,0))</f>
        <v/>
      </c>
      <c r="S17">
        <f>IF(S$4=0,0,IF(COUNTIFS(実績!$W$6:$W$505,S$3,実績!$AC$6:$AC$505,"&lt;="&amp;$A17,実績!$AD$6:$AD$505,"&gt;"&amp;$A17,実績!$AE$6:$AE$505,"○")&gt;0,1,0))</f>
        <v/>
      </c>
      <c r="T17">
        <f>IF(T$4=0,0,IF(COUNTIFS(実績!$W$6:$W$505,T$3,実績!$AC$6:$AC$505,"&lt;="&amp;$A17,実績!$AD$6:$AD$505,"&gt;"&amp;$A17,実績!$AE$6:$AE$505,"○")&gt;0,1,0))</f>
        <v/>
      </c>
      <c r="U17">
        <f>IF(U$4=0,0,IF(COUNTIFS(実績!$W$6:$W$505,U$3,実績!$AC$6:$AC$505,"&lt;="&amp;$A17,実績!$AD$6:$AD$505,"&gt;"&amp;$A17,実績!$AE$6:$AE$505,"○")&gt;0,1,0))</f>
        <v/>
      </c>
      <c r="V17">
        <f>IF(V$4=0,0,IF(COUNTIFS(実績!$W$6:$W$505,V$3,実績!$AC$6:$AC$505,"&lt;="&amp;$A17,実績!$AD$6:$AD$505,"&gt;"&amp;$A17,実績!$AE$6:$AE$505,"○")&gt;0,1,0))</f>
        <v/>
      </c>
      <c r="W17">
        <f>IF(W$4=0,0,IF(COUNTIFS(実績!$W$6:$W$505,W$3,実績!$AC$6:$AC$505,"&lt;="&amp;$A17,実績!$AD$6:$AD$505,"&gt;"&amp;$A17,実績!$AE$6:$AE$505,"○")&gt;0,1,0))</f>
        <v/>
      </c>
      <c r="X17">
        <f>IF(X$4=0,0,IF(COUNTIFS(実績!$W$6:$W$505,X$3,実績!$AC$6:$AC$505,"&lt;="&amp;$A17,実績!$AD$6:$AD$505,"&gt;"&amp;$A17,実績!$AE$6:$AE$505,"○")&gt;0,1,0))</f>
        <v/>
      </c>
      <c r="Y17">
        <f>IF(Y$4=0,0,IF(COUNTIFS(実績!$W$6:$W$505,Y$3,実績!$AC$6:$AC$505,"&lt;="&amp;$A17,実績!$AD$6:$AD$505,"&gt;"&amp;$A17,実績!$AE$6:$AE$505,"○")&gt;0,1,0))</f>
        <v/>
      </c>
      <c r="Z17">
        <f>IF(Z$4=0,0,IF(COUNTIFS(実績!$W$6:$W$505,Z$3,実績!$AC$6:$AC$505,"&lt;="&amp;$A17,実績!$AD$6:$AD$505,"&gt;"&amp;$A17,実績!$AE$6:$AE$505,"○")&gt;0,1,0))</f>
        <v/>
      </c>
      <c r="AA17">
        <f>IF(AA$4=0,0,IF(COUNTIFS(実績!$W$6:$W$505,AA$3,実績!$AC$6:$AC$505,"&lt;="&amp;$A17,実績!$AD$6:$AD$505,"&gt;"&amp;$A17,実績!$AE$6:$AE$505,"○")&gt;0,1,0))</f>
        <v/>
      </c>
      <c r="AB17">
        <f>IF(AB$4=0,0,IF(COUNTIFS(実績!$W$6:$W$505,AB$3,実績!$AC$6:$AC$505,"&lt;="&amp;$A17,実績!$AD$6:$AD$505,"&gt;"&amp;$A17,実績!$AE$6:$AE$505,"○")&gt;0,1,0))</f>
        <v/>
      </c>
      <c r="AC17">
        <f>IF(AC$4=0,0,IF(COUNTIFS(実績!$W$6:$W$505,AC$3,実績!$AC$6:$AC$505,"&lt;="&amp;$A17,実績!$AD$6:$AD$505,"&gt;"&amp;$A17,実績!$AE$6:$AE$505,"○")&gt;0,1,0))</f>
        <v/>
      </c>
      <c r="AD17">
        <f>IF(AD$4=0,0,IF(COUNTIFS(実績!$W$6:$W$505,AD$3,実績!$AC$6:$AC$505,"&lt;="&amp;$A17,実績!$AD$6:$AD$505,"&gt;"&amp;$A17,実績!$AE$6:$AE$505,"○")&gt;0,1,0))</f>
        <v/>
      </c>
      <c r="AE17">
        <f>IF(AE$4=0,0,IF(COUNTIFS(実績!$W$6:$W$505,AE$3,実績!$AC$6:$AC$505,"&lt;="&amp;$A17,実績!$AD$6:$AD$505,"&gt;"&amp;$A17,実績!$AE$6:$AE$505,"○")&gt;0,1,0))</f>
        <v/>
      </c>
      <c r="AF17">
        <f>IF(AF$4=0,0,IF(COUNTIFS(実績!$W$6:$W$505,AF$3,実績!$AC$6:$AC$505,"&lt;="&amp;$A17,実績!$AD$6:$AD$505,"&gt;"&amp;$A17,実績!$AE$6:$AE$505,"○")&gt;0,1,0))</f>
        <v/>
      </c>
      <c r="AG17">
        <f>IF(AG$4=0,0,IF(COUNTIFS(実績!$W$6:$W$505,AG$3,実績!$AC$6:$AC$505,"&lt;="&amp;$A17,実績!$AD$6:$AD$505,"&gt;"&amp;$A17,実績!$AE$6:$AE$505,"○")&gt;0,1,0))</f>
        <v/>
      </c>
      <c r="AH17">
        <f>IF(AH$4=0,0,IF(COUNTIFS(実績!$W$6:$W$505,AH$3,実績!$AC$6:$AC$505,"&lt;="&amp;$A17,実績!$AD$6:$AD$505,"&gt;"&amp;$A17,実績!$AE$6:$AE$505,"○")&gt;0,1,0))</f>
        <v/>
      </c>
      <c r="AI17">
        <f>IF(AI$4=0,0,IF(COUNTIFS(実績!$W$6:$W$505,AI$3,実績!$AC$6:$AC$505,"&lt;="&amp;$A17,実績!$AD$6:$AD$505,"&gt;"&amp;$A17,実績!$AE$6:$AE$505,"○")&gt;0,1,0))</f>
        <v/>
      </c>
      <c r="AJ17">
        <f>IF(AJ$4=0,0,IF(COUNTIFS(実績!$W$6:$W$505,AJ$3,実績!$AC$6:$AC$505,"&lt;="&amp;$A17,実績!$AD$6:$AD$505,"&gt;"&amp;$A17,実績!$AE$6:$AE$505,"○")&gt;0,1,0))</f>
        <v/>
      </c>
      <c r="AK17">
        <f>IF(AK$4=0,0,IF(COUNTIFS(実績!$W$6:$W$505,AK$3,実績!$AC$6:$AC$505,"&lt;="&amp;$A17,実績!$AD$6:$AD$505,"&gt;"&amp;$A17,実績!$AE$6:$AE$505,"○")&gt;0,1,0))</f>
        <v/>
      </c>
      <c r="AL17">
        <f>IF(AL$4=0,0,IF(COUNTIFS(実績!$W$6:$W$505,AL$3,実績!$AC$6:$AC$505,"&lt;="&amp;$A17,実績!$AD$6:$AD$505,"&gt;"&amp;$A17,実績!$AE$6:$AE$505,"○")&gt;0,1,0))</f>
        <v/>
      </c>
      <c r="AM17">
        <f>IF(AM$4=0,0,IF(COUNTIFS(実績!$W$6:$W$505,AM$3,実績!$AC$6:$AC$505,"&lt;="&amp;$A17,実績!$AD$6:$AD$505,"&gt;"&amp;$A17,実績!$AE$6:$AE$505,"○")&gt;0,1,0))</f>
        <v/>
      </c>
      <c r="AN17">
        <f>IF(AN$4=0,0,IF(COUNTIFS(実績!$W$6:$W$505,AN$3,実績!$AC$6:$AC$505,"&lt;="&amp;$A17,実績!$AD$6:$AD$505,"&gt;"&amp;$A17,実績!$AE$6:$AE$505,"○")&gt;0,1,0))</f>
        <v/>
      </c>
      <c r="AO17">
        <f>IF(AO$4=0,0,IF(COUNTIFS(実績!$W$6:$W$505,AO$3,実績!$AC$6:$AC$505,"&lt;="&amp;$A17,実績!$AD$6:$AD$505,"&gt;"&amp;$A17,実績!$AE$6:$AE$505,"○")&gt;0,1,0))</f>
        <v/>
      </c>
      <c r="AP17">
        <f>IF(AP$4=0,0,IF(COUNTIFS(実績!$W$6:$W$505,AP$3,実績!$AC$6:$AC$505,"&lt;="&amp;$A17,実績!$AD$6:$AD$505,"&gt;"&amp;$A17,実績!$AE$6:$AE$505,"○")&gt;0,1,0))</f>
        <v/>
      </c>
      <c r="AQ17">
        <f>IF(AQ$4=0,0,IF(COUNTIFS(実績!$W$6:$W$505,AQ$3,実績!$AC$6:$AC$505,"&lt;="&amp;$A17,実績!$AD$6:$AD$505,"&gt;"&amp;$A17,実績!$AE$6:$AE$505,"○")&gt;0,1,0))</f>
        <v/>
      </c>
      <c r="AR17">
        <f>IF(AR$4=0,0,IF(COUNTIFS(実績!$W$6:$W$505,AR$3,実績!$AC$6:$AC$505,"&lt;="&amp;$A17,実績!$AD$6:$AD$505,"&gt;"&amp;$A17,実績!$AE$6:$AE$505,"○")&gt;0,1,0))</f>
        <v/>
      </c>
      <c r="AS17">
        <f>IF(AS$4=0,0,IF(COUNTIFS(実績!$W$6:$W$505,AS$3,実績!$AC$6:$AC$505,"&lt;="&amp;$A17,実績!$AD$6:$AD$505,"&gt;"&amp;$A17,実績!$AE$6:$AE$505,"○")&gt;0,1,0))</f>
        <v/>
      </c>
      <c r="AT17">
        <f>IF(AT$4=0,0,IF(COUNTIFS(実績!$W$6:$W$505,AT$3,実績!$AC$6:$AC$505,"&lt;="&amp;$A17,実績!$AD$6:$AD$505,"&gt;"&amp;$A17,実績!$AE$6:$AE$505,"○")&gt;0,1,0))</f>
        <v/>
      </c>
      <c r="AU17">
        <f>IF(AU$4=0,0,IF(COUNTIFS(実績!$W$6:$W$505,AU$3,実績!$AC$6:$AC$505,"&lt;="&amp;$A17,実績!$AD$6:$AD$505,"&gt;"&amp;$A17,実績!$AE$6:$AE$505,"○")&gt;0,1,0))</f>
        <v/>
      </c>
      <c r="AV17">
        <f>IF(AV$4=0,0,IF(COUNTIFS(実績!$W$6:$W$505,AV$3,実績!$AC$6:$AC$505,"&lt;="&amp;$A17,実績!$AD$6:$AD$505,"&gt;"&amp;$A17,実績!$AE$6:$AE$505,"○")&gt;0,1,0))</f>
        <v/>
      </c>
      <c r="AW17">
        <f>IF(AW$4=0,0,IF(COUNTIFS(実績!$W$6:$W$505,AW$3,実績!$AC$6:$AC$505,"&lt;="&amp;$A17,実績!$AD$6:$AD$505,"&gt;"&amp;$A17,実績!$AE$6:$AE$505,"○")&gt;0,1,0))</f>
        <v/>
      </c>
      <c r="AX17">
        <f>IF(AX$4=0,0,IF(COUNTIFS(実績!$W$6:$W$505,AX$3,実績!$AC$6:$AC$505,"&lt;="&amp;$A17,実績!$AD$6:$AD$505,"&gt;"&amp;$A17,実績!$AE$6:$AE$505,"○")&gt;0,1,0))</f>
        <v/>
      </c>
      <c r="AY17">
        <f>IF(AY$4=0,0,IF(COUNTIFS(実績!$W$6:$W$505,AY$3,実績!$AC$6:$AC$505,"&lt;="&amp;$A17,実績!$AD$6:$AD$505,"&gt;"&amp;$A17,実績!$AE$6:$AE$505,"○")&gt;0,1,0))</f>
        <v/>
      </c>
      <c r="AZ17">
        <f>IF(AZ$4=0,0,IF(COUNTIFS(実績!$W$6:$W$505,AZ$3,実績!$AC$6:$AC$505,"&lt;="&amp;$A17,実績!$AD$6:$AD$505,"&gt;"&amp;$A17,実績!$AE$6:$AE$505,"○")&gt;0,1,0))</f>
        <v/>
      </c>
      <c r="BA17">
        <f>IF(BA$4=0,0,IF(COUNTIFS(実績!$W$6:$W$505,BA$3,実績!$AC$6:$AC$505,"&lt;="&amp;$A17,実績!$AD$6:$AD$505,"&gt;"&amp;$A17,実績!$AE$6:$AE$505,"○")&gt;0,1,0))</f>
        <v/>
      </c>
      <c r="BB17">
        <f>IF(BB$4=0,0,IF(COUNTIFS(実績!$W$6:$W$505,BB$3,実績!$AC$6:$AC$505,"&lt;="&amp;$A17,実績!$AD$6:$AD$505,"&gt;"&amp;$A17,実績!$AE$6:$AE$505,"○")&gt;0,1,0))</f>
        <v/>
      </c>
      <c r="BC17">
        <f>IF(BC$4=0,0,IF(COUNTIFS(実績!$W$6:$W$505,BC$3,実績!$AC$6:$AC$505,"&lt;="&amp;$A17,実績!$AD$6:$AD$505,"&gt;"&amp;$A17,実績!$AE$6:$AE$505,"○")&gt;0,1,0))</f>
        <v/>
      </c>
      <c r="BD17">
        <f>IF(BD$4=0,0,IF(COUNTIFS(実績!$W$6:$W$505,BD$3,実績!$AC$6:$AC$505,"&lt;="&amp;$A17,実績!$AD$6:$AD$505,"&gt;"&amp;$A17,実績!$AE$6:$AE$505,"○")&gt;0,1,0))</f>
        <v/>
      </c>
      <c r="BE17">
        <f>IF(BE$4=0,0,IF(COUNTIFS(実績!$W$6:$W$505,BE$3,実績!$AC$6:$AC$505,"&lt;="&amp;$A17,実績!$AD$6:$AD$505,"&gt;"&amp;$A17,実績!$AE$6:$AE$505,"○")&gt;0,1,0))</f>
        <v/>
      </c>
      <c r="BF17">
        <f>IF(BF$4=0,0,IF(COUNTIFS(実績!$W$6:$W$505,BF$3,実績!$AC$6:$AC$505,"&lt;="&amp;$A17,実績!$AD$6:$AD$505,"&gt;"&amp;$A17,実績!$AE$6:$AE$505,"○")&gt;0,1,0))</f>
        <v/>
      </c>
      <c r="BG17">
        <f>IF(BG$4=0,0,IF(COUNTIFS(実績!$W$6:$W$505,BG$3,実績!$AC$6:$AC$505,"&lt;="&amp;$A17,実績!$AD$6:$AD$505,"&gt;"&amp;$A17,実績!$AE$6:$AE$505,"○")&gt;0,1,0))</f>
        <v/>
      </c>
      <c r="BH17">
        <f>IF(BH$4=0,0,IF(COUNTIFS(実績!$W$6:$W$505,BH$3,実績!$AC$6:$AC$505,"&lt;="&amp;$A17,実績!$AD$6:$AD$505,"&gt;"&amp;$A17,実績!$AE$6:$AE$505,"○")&gt;0,1,0))</f>
        <v/>
      </c>
      <c r="BI17">
        <f>IF(BI$4=0,0,IF(COUNTIFS(実績!$W$6:$W$505,BI$3,実績!$AC$6:$AC$505,"&lt;="&amp;$A17,実績!$AD$6:$AD$505,"&gt;"&amp;$A17,実績!$AE$6:$AE$505,"○")&gt;0,1,0))</f>
        <v/>
      </c>
      <c r="BJ17">
        <f>IF(BJ$4=0,0,IF(COUNTIFS(実績!$W$6:$W$505,BJ$3,実績!$AC$6:$AC$505,"&lt;="&amp;$A17,実績!$AD$6:$AD$505,"&gt;"&amp;$A17,実績!$AE$6:$AE$505,"○")&gt;0,1,0))</f>
        <v/>
      </c>
      <c r="BK17">
        <f>IF(BK$4=0,0,IF(COUNTIFS(実績!$W$6:$W$505,BK$3,実績!$AC$6:$AC$505,"&lt;="&amp;$A17,実績!$AD$6:$AD$505,"&gt;"&amp;$A17,実績!$AE$6:$AE$505,"○")&gt;0,1,0))</f>
        <v/>
      </c>
      <c r="BL17">
        <f>IF(BL$4=0,0,IF(COUNTIFS(実績!$W$6:$W$505,BL$3,実績!$AC$6:$AC$505,"&lt;="&amp;$A17,実績!$AD$6:$AD$505,"&gt;"&amp;$A17,実績!$AE$6:$AE$505,"○")&gt;0,1,0))</f>
        <v/>
      </c>
      <c r="BM17">
        <f>IF(BM$4=0,0,IF(COUNTIFS(実績!$W$6:$W$505,BM$3,実績!$AC$6:$AC$505,"&lt;="&amp;$A17,実績!$AD$6:$AD$505,"&gt;"&amp;$A17,実績!$AE$6:$AE$505,"○")&gt;0,1,0))</f>
        <v/>
      </c>
      <c r="BN17">
        <f>IF(BN$4=0,0,IF(COUNTIFS(実績!$W$6:$W$505,BN$3,実績!$AC$6:$AC$505,"&lt;="&amp;$A17,実績!$AD$6:$AD$505,"&gt;"&amp;$A17,実績!$AE$6:$AE$505,"○")&gt;0,1,0))</f>
        <v/>
      </c>
      <c r="BO17">
        <f>IF(BO$4=0,0,IF(COUNTIFS(実績!$W$6:$W$505,BO$3,実績!$AC$6:$AC$505,"&lt;="&amp;$A17,実績!$AD$6:$AD$505,"&gt;"&amp;$A17,実績!$AE$6:$AE$505,"○")&gt;0,1,0))</f>
        <v/>
      </c>
      <c r="BP17">
        <f>IF(BP$4=0,0,IF(COUNTIFS(実績!$W$6:$W$505,BP$3,実績!$AC$6:$AC$505,"&lt;="&amp;$A17,実績!$AD$6:$AD$505,"&gt;"&amp;$A17,実績!$AE$6:$AE$505,"○")&gt;0,1,0))</f>
        <v/>
      </c>
      <c r="BQ17">
        <f>IF(BQ$4=0,0,IF(COUNTIFS(実績!$W$6:$W$505,BQ$3,実績!$AC$6:$AC$505,"&lt;="&amp;$A17,実績!$AD$6:$AD$505,"&gt;"&amp;$A17,実績!$AE$6:$AE$505,"○")&gt;0,1,0))</f>
        <v/>
      </c>
      <c r="BR17">
        <f>IF(BR$4=0,0,IF(COUNTIFS(実績!$W$6:$W$505,BR$3,実績!$AC$6:$AC$505,"&lt;="&amp;$A17,実績!$AD$6:$AD$505,"&gt;"&amp;$A17,実績!$AE$6:$AE$505,"○")&gt;0,1,0))</f>
        <v/>
      </c>
      <c r="BS17">
        <f>IF(BS$4=0,0,IF(COUNTIFS(実績!$W$6:$W$505,BS$3,実績!$AC$6:$AC$505,"&lt;="&amp;$A17,実績!$AD$6:$AD$505,"&gt;"&amp;$A17,実績!$AE$6:$AE$505,"○")&gt;0,1,0))</f>
        <v/>
      </c>
      <c r="BT17">
        <f>IF(BT$4=0,0,IF(COUNTIFS(実績!$W$6:$W$505,BT$3,実績!$AC$6:$AC$505,"&lt;="&amp;$A17,実績!$AD$6:$AD$505,"&gt;"&amp;$A17,実績!$AE$6:$AE$505,"○")&gt;0,1,0))</f>
        <v/>
      </c>
      <c r="BU17">
        <f>IF(BU$4=0,0,IF(COUNTIFS(実績!$W$6:$W$505,BU$3,実績!$AC$6:$AC$505,"&lt;="&amp;$A17,実績!$AD$6:$AD$505,"&gt;"&amp;$A17,実績!$AE$6:$AE$505,"○")&gt;0,1,0))</f>
        <v/>
      </c>
      <c r="BV17">
        <f>IF(BV$4=0,0,IF(COUNTIFS(実績!$W$6:$W$505,BV$3,実績!$AC$6:$AC$505,"&lt;="&amp;$A17,実績!$AD$6:$AD$505,"&gt;"&amp;$A17,実績!$AE$6:$AE$505,"○")&gt;0,1,0))</f>
        <v/>
      </c>
      <c r="BW17">
        <f>IF(BW$4=0,0,IF(COUNTIFS(実績!$W$6:$W$505,BW$3,実績!$AC$6:$AC$505,"&lt;="&amp;$A17,実績!$AD$6:$AD$505,"&gt;"&amp;$A17,実績!$AE$6:$AE$505,"○")&gt;0,1,0))</f>
        <v/>
      </c>
      <c r="BX17">
        <f>IF(BX$4=0,0,IF(COUNTIFS(実績!$W$6:$W$505,BX$3,実績!$AC$6:$AC$505,"&lt;="&amp;$A17,実績!$AD$6:$AD$505,"&gt;"&amp;$A17,実績!$AE$6:$AE$505,"○")&gt;0,1,0))</f>
        <v/>
      </c>
      <c r="BY17">
        <f>IF(BY$4=0,0,IF(COUNTIFS(実績!$W$6:$W$505,BY$3,実績!$AC$6:$AC$505,"&lt;="&amp;$A17,実績!$AD$6:$AD$505,"&gt;"&amp;$A17,実績!$AE$6:$AE$505,"○")&gt;0,1,0))</f>
        <v/>
      </c>
      <c r="BZ17">
        <f>IF(BZ$4=0,0,IF(COUNTIFS(実績!$W$6:$W$505,BZ$3,実績!$AC$6:$AC$505,"&lt;="&amp;$A17,実績!$AD$6:$AD$505,"&gt;"&amp;$A17,実績!$AE$6:$AE$505,"○")&gt;0,1,0))</f>
        <v/>
      </c>
      <c r="CA17">
        <f>IF(CA$4=0,0,IF(COUNTIFS(実績!$W$6:$W$505,CA$3,実績!$AC$6:$AC$505,"&lt;="&amp;$A17,実績!$AD$6:$AD$505,"&gt;"&amp;$A17,実績!$AE$6:$AE$505,"○")&gt;0,1,0))</f>
        <v/>
      </c>
      <c r="CB17">
        <f>IF(CB$4=0,0,IF(COUNTIFS(実績!$W$6:$W$505,CB$3,実績!$AC$6:$AC$505,"&lt;="&amp;$A17,実績!$AD$6:$AD$505,"&gt;"&amp;$A17,実績!$AE$6:$AE$505,"○")&gt;0,1,0))</f>
        <v/>
      </c>
      <c r="CC17">
        <f>IF(CC$4=0,0,IF(COUNTIFS(実績!$W$6:$W$505,CC$3,実績!$AC$6:$AC$505,"&lt;="&amp;$A17,実績!$AD$6:$AD$505,"&gt;"&amp;$A17,実績!$AE$6:$AE$505,"○")&gt;0,1,0))</f>
        <v/>
      </c>
      <c r="CD17">
        <f>IF(CD$4=0,0,IF(COUNTIFS(実績!$W$6:$W$505,CD$3,実績!$AC$6:$AC$505,"&lt;="&amp;$A17,実績!$AD$6:$AD$505,"&gt;"&amp;$A17,実績!$AE$6:$AE$505,"○")&gt;0,1,0))</f>
        <v/>
      </c>
      <c r="CE17">
        <f>IF(CE$4=0,0,IF(COUNTIFS(実績!$W$6:$W$505,CE$3,実績!$AC$6:$AC$505,"&lt;="&amp;$A17,実績!$AD$6:$AD$505,"&gt;"&amp;$A17,実績!$AE$6:$AE$505,"○")&gt;0,1,0))</f>
        <v/>
      </c>
      <c r="CF17">
        <f>IF(CF$4=0,0,IF(COUNTIFS(実績!$W$6:$W$505,CF$3,実績!$AC$6:$AC$505,"&lt;="&amp;$A17,実績!$AD$6:$AD$505,"&gt;"&amp;$A17,実績!$AE$6:$AE$505,"○")&gt;0,1,0))</f>
        <v/>
      </c>
      <c r="CG17">
        <f>IF(CG$4=0,0,IF(COUNTIFS(実績!$W$6:$W$505,CG$3,実績!$AC$6:$AC$505,"&lt;="&amp;$A17,実績!$AD$6:$AD$505,"&gt;"&amp;$A17,実績!$AE$6:$AE$505,"○")&gt;0,1,0))</f>
        <v/>
      </c>
      <c r="CH17">
        <f>IF(CH$4=0,0,IF(COUNTIFS(実績!$W$6:$W$505,CH$3,実績!$AC$6:$AC$505,"&lt;="&amp;$A17,実績!$AD$6:$AD$505,"&gt;"&amp;$A17,実績!$AE$6:$AE$505,"○")&gt;0,1,0))</f>
        <v/>
      </c>
      <c r="CI17">
        <f>IF(CI$4=0,0,IF(COUNTIFS(実績!$W$6:$W$505,CI$3,実績!$AC$6:$AC$505,"&lt;="&amp;$A17,実績!$AD$6:$AD$505,"&gt;"&amp;$A17,実績!$AE$6:$AE$505,"○")&gt;0,1,0))</f>
        <v/>
      </c>
      <c r="CJ17">
        <f>IF(CJ$4=0,0,IF(COUNTIFS(実績!$W$6:$W$505,CJ$3,実績!$AC$6:$AC$505,"&lt;="&amp;$A17,実績!$AD$6:$AD$505,"&gt;"&amp;$A17,実績!$AE$6:$AE$505,"○")&gt;0,1,0))</f>
        <v/>
      </c>
      <c r="CK17">
        <f>IF(CK$4=0,0,IF(COUNTIFS(実績!$W$6:$W$505,CK$3,実績!$AC$6:$AC$505,"&lt;="&amp;$A17,実績!$AD$6:$AD$505,"&gt;"&amp;$A17,実績!$AE$6:$AE$505,"○")&gt;0,1,0))</f>
        <v/>
      </c>
      <c r="CL17">
        <f>IF(CL$4=0,0,IF(COUNTIFS(実績!$W$6:$W$505,CL$3,実績!$AC$6:$AC$505,"&lt;="&amp;$A17,実績!$AD$6:$AD$505,"&gt;"&amp;$A17,実績!$AE$6:$AE$505,"○")&gt;0,1,0))</f>
        <v/>
      </c>
      <c r="CM17">
        <f>IF(CM$4=0,0,IF(COUNTIFS(実績!$W$6:$W$505,CM$3,実績!$AC$6:$AC$505,"&lt;="&amp;$A17,実績!$AD$6:$AD$505,"&gt;"&amp;$A17,実績!$AE$6:$AE$505,"○")&gt;0,1,0))</f>
        <v/>
      </c>
      <c r="CN17">
        <f>IF(CN$4=0,0,IF(COUNTIFS(実績!$W$6:$W$505,CN$3,実績!$AC$6:$AC$505,"&lt;="&amp;$A17,実績!$AD$6:$AD$505,"&gt;"&amp;$A17,実績!$AE$6:$AE$505,"○")&gt;0,1,0))</f>
        <v/>
      </c>
      <c r="CO17">
        <f>IF(CO$4=0,0,IF(COUNTIFS(実績!$W$6:$W$505,CO$3,実績!$AC$6:$AC$505,"&lt;="&amp;$A17,実績!$AD$6:$AD$505,"&gt;"&amp;$A17,実績!$AE$6:$AE$505,"○")&gt;0,1,0))</f>
        <v/>
      </c>
      <c r="CP17">
        <f>IF(CP$4=0,0,IF(COUNTIFS(実績!$W$6:$W$505,CP$3,実績!$AC$6:$AC$505,"&lt;="&amp;$A17,実績!$AD$6:$AD$505,"&gt;"&amp;$A17,実績!$AE$6:$AE$505,"○")&gt;0,1,0))</f>
        <v/>
      </c>
      <c r="CQ17">
        <f>IF(CQ$4=0,0,IF(COUNTIFS(実績!$W$6:$W$505,CQ$3,実績!$AC$6:$AC$505,"&lt;="&amp;$A17,実績!$AD$6:$AD$505,"&gt;"&amp;$A17,実績!$AE$6:$AE$505,"○")&gt;0,1,0))</f>
        <v/>
      </c>
      <c r="CR17">
        <f>IF(CR$4=0,0,IF(COUNTIFS(実績!$W$6:$W$505,CR$3,実績!$AC$6:$AC$505,"&lt;="&amp;$A17,実績!$AD$6:$AD$505,"&gt;"&amp;$A17,実績!$AE$6:$AE$505,"○")&gt;0,1,0))</f>
        <v/>
      </c>
      <c r="CS17">
        <f>IF(CS$4=0,0,IF(COUNTIFS(実績!$W$6:$W$505,CS$3,実績!$AC$6:$AC$505,"&lt;="&amp;$A17,実績!$AD$6:$AD$505,"&gt;"&amp;$A17,実績!$AE$6:$AE$505,"○")&gt;0,1,0))</f>
        <v/>
      </c>
      <c r="CT17">
        <f>IF(CT$4=0,0,IF(COUNTIFS(実績!$W$6:$W$505,CT$3,実績!$AC$6:$AC$505,"&lt;="&amp;$A17,実績!$AD$6:$AD$505,"&gt;"&amp;$A17,実績!$AE$6:$AE$505,"○")&gt;0,1,0))</f>
        <v/>
      </c>
      <c r="CU17">
        <f>IF(CU$4=0,0,IF(COUNTIFS(実績!$W$6:$W$505,CU$3,実績!$AC$6:$AC$505,"&lt;="&amp;$A17,実績!$AD$6:$AD$505,"&gt;"&amp;$A17,実績!$AE$6:$AE$505,"○")&gt;0,1,0))</f>
        <v/>
      </c>
      <c r="CV17">
        <f>IF(CV$4=0,0,IF(COUNTIFS(実績!$W$6:$W$505,CV$3,実績!$AC$6:$AC$505,"&lt;="&amp;$A17,実績!$AD$6:$AD$505,"&gt;"&amp;$A17,実績!$AE$6:$AE$505,"○")&gt;0,1,0))</f>
        <v/>
      </c>
      <c r="CW17">
        <f>IF(CW$4=0,0,IF(COUNTIFS(実績!$W$6:$W$505,CW$3,実績!$AC$6:$AC$505,"&lt;="&amp;$A17,実績!$AD$6:$AD$505,"&gt;"&amp;$A17,実績!$AE$6:$AE$505,"○")&gt;0,1,0))</f>
        <v/>
      </c>
      <c r="CX17">
        <f>IF(CX$4=0,0,IF(COUNTIFS(実績!$W$6:$W$505,CX$3,実績!$AC$6:$AC$505,"&lt;="&amp;$A17,実績!$AD$6:$AD$505,"&gt;"&amp;$A17,実績!$AE$6:$AE$505,"○")&gt;0,1,0))</f>
        <v/>
      </c>
      <c r="CY17">
        <f>IF(CY$4=0,0,IF(COUNTIFS(実績!$W$6:$W$505,CY$3,実績!$AC$6:$AC$505,"&lt;="&amp;$A17,実績!$AD$6:$AD$505,"&gt;"&amp;$A17,実績!$AE$6:$AE$505,"○")&gt;0,1,0))</f>
        <v/>
      </c>
      <c r="CZ17">
        <f>IF(CZ$4=0,0,IF(COUNTIFS(実績!$W$6:$W$505,CZ$3,実績!$AC$6:$AC$505,"&lt;="&amp;$A17,実績!$AD$6:$AD$505,"&gt;"&amp;$A17,実績!$AE$6:$AE$505,"○")&gt;0,1,0))</f>
        <v/>
      </c>
      <c r="DA17">
        <f>IF(DA$4=0,0,IF(COUNTIFS(実績!$W$6:$W$505,DA$3,実績!$AC$6:$AC$505,"&lt;="&amp;$A17,実績!$AD$6:$AD$505,"&gt;"&amp;$A17,実績!$AE$6:$AE$505,"○")&gt;0,1,0))</f>
        <v/>
      </c>
      <c r="DB17">
        <f>IF(DB$4=0,0,IF(COUNTIFS(実績!$W$6:$W$505,DB$3,実績!$AC$6:$AC$505,"&lt;="&amp;$A17,実績!$AD$6:$AD$505,"&gt;"&amp;$A17,実績!$AE$6:$AE$505,"○")&gt;0,1,0))</f>
        <v/>
      </c>
      <c r="DC17">
        <f>IF(DC$4=0,0,IF(COUNTIFS(実績!$W$6:$W$505,DC$3,実績!$AC$6:$AC$505,"&lt;="&amp;$A17,実績!$AD$6:$AD$505,"&gt;"&amp;$A17,実績!$AE$6:$AE$505,"○")&gt;0,1,0))</f>
        <v/>
      </c>
      <c r="DD17">
        <f>IF(DD$4=0,0,IF(COUNTIFS(実績!$W$6:$W$505,DD$3,実績!$AC$6:$AC$505,"&lt;="&amp;$A17,実績!$AD$6:$AD$505,"&gt;"&amp;$A17,実績!$AE$6:$AE$505,"○")&gt;0,1,0))</f>
        <v/>
      </c>
      <c r="DE17">
        <f>IF(DE$4=0,0,IF(COUNTIFS(実績!$W$6:$W$505,DE$3,実績!$AC$6:$AC$505,"&lt;="&amp;$A17,実績!$AD$6:$AD$505,"&gt;"&amp;$A17,実績!$AE$6:$AE$505,"○")&gt;0,1,0))</f>
        <v/>
      </c>
      <c r="DF17">
        <f>IF(DF$4=0,0,IF(COUNTIFS(実績!$W$6:$W$505,DF$3,実績!$AC$6:$AC$505,"&lt;="&amp;$A17,実績!$AD$6:$AD$505,"&gt;"&amp;$A17,実績!$AE$6:$AE$505,"○")&gt;0,1,0))</f>
        <v/>
      </c>
      <c r="DG17">
        <f>IF(DG$4=0,0,IF(COUNTIFS(実績!$W$6:$W$505,DG$3,実績!$AC$6:$AC$505,"&lt;="&amp;$A17,実績!$AD$6:$AD$505,"&gt;"&amp;$A17,実績!$AE$6:$AE$505,"○")&gt;0,1,0))</f>
        <v/>
      </c>
      <c r="DH17">
        <f>IF(DH$4=0,0,IF(COUNTIFS(実績!$W$6:$W$505,DH$3,実績!$AC$6:$AC$505,"&lt;="&amp;$A17,実績!$AD$6:$AD$505,"&gt;"&amp;$A17,実績!$AE$6:$AE$505,"○")&gt;0,1,0))</f>
        <v/>
      </c>
      <c r="DI17">
        <f>IF(DI$4=0,0,IF(COUNTIFS(実績!$W$6:$W$505,DI$3,実績!$AC$6:$AC$505,"&lt;="&amp;$A17,実績!$AD$6:$AD$505,"&gt;"&amp;$A17,実績!$AE$6:$AE$505,"○")&gt;0,1,0))</f>
        <v/>
      </c>
      <c r="DJ17">
        <f>IF(DJ$4=0,0,IF(COUNTIFS(実績!$W$6:$W$505,DJ$3,実績!$AC$6:$AC$505,"&lt;="&amp;$A17,実績!$AD$6:$AD$505,"&gt;"&amp;$A17,実績!$AE$6:$AE$505,"○")&gt;0,1,0))</f>
        <v/>
      </c>
      <c r="DK17">
        <f>IF(DK$4=0,0,IF(COUNTIFS(実績!$W$6:$W$505,DK$3,実績!$AC$6:$AC$505,"&lt;="&amp;$A17,実績!$AD$6:$AD$505,"&gt;"&amp;$A17,実績!$AE$6:$AE$505,"○")&gt;0,1,0))</f>
        <v/>
      </c>
      <c r="DL17">
        <f>IF(DL$4=0,0,IF(COUNTIFS(実績!$W$6:$W$505,DL$3,実績!$AC$6:$AC$505,"&lt;="&amp;$A17,実績!$AD$6:$AD$505,"&gt;"&amp;$A17,実績!$AE$6:$AE$505,"○")&gt;0,1,0))</f>
        <v/>
      </c>
      <c r="DM17">
        <f>IF(DM$4=0,0,IF(COUNTIFS(実績!$W$6:$W$505,DM$3,実績!$AC$6:$AC$505,"&lt;="&amp;$A17,実績!$AD$6:$AD$505,"&gt;"&amp;$A17,実績!$AE$6:$AE$505,"○")&gt;0,1,0))</f>
        <v/>
      </c>
      <c r="DN17">
        <f>IF(DN$4=0,0,IF(COUNTIFS(実績!$W$6:$W$505,DN$3,実績!$AC$6:$AC$505,"&lt;="&amp;$A17,実績!$AD$6:$AD$505,"&gt;"&amp;$A17,実績!$AE$6:$AE$505,"○")&gt;0,1,0))</f>
        <v/>
      </c>
      <c r="DO17">
        <f>IF(DO$4=0,0,IF(COUNTIFS(実績!$W$6:$W$505,DO$3,実績!$AC$6:$AC$505,"&lt;="&amp;$A17,実績!$AD$6:$AD$505,"&gt;"&amp;$A17,実績!$AE$6:$AE$505,"○")&gt;0,1,0))</f>
        <v/>
      </c>
      <c r="DP17">
        <f>IF(DP$4=0,0,IF(COUNTIFS(実績!$W$6:$W$505,DP$3,実績!$AC$6:$AC$505,"&lt;="&amp;$A17,実績!$AD$6:$AD$505,"&gt;"&amp;$A17,実績!$AE$6:$AE$505,"○")&gt;0,1,0))</f>
        <v/>
      </c>
      <c r="DQ17">
        <f>IF(DQ$4=0,0,IF(COUNTIFS(実績!$W$6:$W$505,DQ$3,実績!$AC$6:$AC$505,"&lt;="&amp;$A17,実績!$AD$6:$AD$505,"&gt;"&amp;$A17,実績!$AE$6:$AE$505,"○")&gt;0,1,0))</f>
        <v/>
      </c>
      <c r="DR17">
        <f>IF(DR$4=0,0,IF(COUNTIFS(実績!$W$6:$W$505,DR$3,実績!$AC$6:$AC$505,"&lt;="&amp;$A17,実績!$AD$6:$AD$505,"&gt;"&amp;$A17,実績!$AE$6:$AE$505,"○")&gt;0,1,0))</f>
        <v/>
      </c>
      <c r="DS17">
        <f>SUM(C17:DR17)</f>
        <v/>
      </c>
      <c r="DT17">
        <f>SUMPRODUCT((実績!$C$6:$C$505="○")*ISNUMBER(実績!$AF$6:$AF$505)*(実績!$AF$6:$AF$505&lt;=$A17)*(実績!$AG$6:$AG$505&gt;$A17))</f>
        <v/>
      </c>
      <c r="DU17">
        <f>SUMIF($C$2:$DR$2,"製鉄曳船",C17:DR17)</f>
        <v/>
      </c>
      <c r="DV17">
        <f>SUMIF($C$2:$DR$2,"西日本海運",C17:DR17)</f>
        <v/>
      </c>
    </row>
    <row r="18">
      <c r="A18" t="n">
        <v>60</v>
      </c>
      <c r="B18" s="29">
        <f>A18/1440</f>
        <v/>
      </c>
      <c r="C18">
        <f>IF(C$4=0,0,IF(COUNTIFS(実績!$W$6:$W$505,C$3,実績!$AC$6:$AC$505,"&lt;="&amp;$A18,実績!$AD$6:$AD$505,"&gt;"&amp;$A18,実績!$AE$6:$AE$505,"○")&gt;0,1,0))</f>
        <v/>
      </c>
      <c r="D18">
        <f>IF(D$4=0,0,IF(COUNTIFS(実績!$W$6:$W$505,D$3,実績!$AC$6:$AC$505,"&lt;="&amp;$A18,実績!$AD$6:$AD$505,"&gt;"&amp;$A18,実績!$AE$6:$AE$505,"○")&gt;0,1,0))</f>
        <v/>
      </c>
      <c r="E18">
        <f>IF(E$4=0,0,IF(COUNTIFS(実績!$W$6:$W$505,E$3,実績!$AC$6:$AC$505,"&lt;="&amp;$A18,実績!$AD$6:$AD$505,"&gt;"&amp;$A18,実績!$AE$6:$AE$505,"○")&gt;0,1,0))</f>
        <v/>
      </c>
      <c r="F18">
        <f>IF(F$4=0,0,IF(COUNTIFS(実績!$W$6:$W$505,F$3,実績!$AC$6:$AC$505,"&lt;="&amp;$A18,実績!$AD$6:$AD$505,"&gt;"&amp;$A18,実績!$AE$6:$AE$505,"○")&gt;0,1,0))</f>
        <v/>
      </c>
      <c r="G18">
        <f>IF(G$4=0,0,IF(COUNTIFS(実績!$W$6:$W$505,G$3,実績!$AC$6:$AC$505,"&lt;="&amp;$A18,実績!$AD$6:$AD$505,"&gt;"&amp;$A18,実績!$AE$6:$AE$505,"○")&gt;0,1,0))</f>
        <v/>
      </c>
      <c r="H18">
        <f>IF(H$4=0,0,IF(COUNTIFS(実績!$W$6:$W$505,H$3,実績!$AC$6:$AC$505,"&lt;="&amp;$A18,実績!$AD$6:$AD$505,"&gt;"&amp;$A18,実績!$AE$6:$AE$505,"○")&gt;0,1,0))</f>
        <v/>
      </c>
      <c r="I18">
        <f>IF(I$4=0,0,IF(COUNTIFS(実績!$W$6:$W$505,I$3,実績!$AC$6:$AC$505,"&lt;="&amp;$A18,実績!$AD$6:$AD$505,"&gt;"&amp;$A18,実績!$AE$6:$AE$505,"○")&gt;0,1,0))</f>
        <v/>
      </c>
      <c r="J18">
        <f>IF(J$4=0,0,IF(COUNTIFS(実績!$W$6:$W$505,J$3,実績!$AC$6:$AC$505,"&lt;="&amp;$A18,実績!$AD$6:$AD$505,"&gt;"&amp;$A18,実績!$AE$6:$AE$505,"○")&gt;0,1,0))</f>
        <v/>
      </c>
      <c r="K18">
        <f>IF(K$4=0,0,IF(COUNTIFS(実績!$W$6:$W$505,K$3,実績!$AC$6:$AC$505,"&lt;="&amp;$A18,実績!$AD$6:$AD$505,"&gt;"&amp;$A18,実績!$AE$6:$AE$505,"○")&gt;0,1,0))</f>
        <v/>
      </c>
      <c r="L18">
        <f>IF(L$4=0,0,IF(COUNTIFS(実績!$W$6:$W$505,L$3,実績!$AC$6:$AC$505,"&lt;="&amp;$A18,実績!$AD$6:$AD$505,"&gt;"&amp;$A18,実績!$AE$6:$AE$505,"○")&gt;0,1,0))</f>
        <v/>
      </c>
      <c r="M18">
        <f>IF(M$4=0,0,IF(COUNTIFS(実績!$W$6:$W$505,M$3,実績!$AC$6:$AC$505,"&lt;="&amp;$A18,実績!$AD$6:$AD$505,"&gt;"&amp;$A18,実績!$AE$6:$AE$505,"○")&gt;0,1,0))</f>
        <v/>
      </c>
      <c r="N18">
        <f>IF(N$4=0,0,IF(COUNTIFS(実績!$W$6:$W$505,N$3,実績!$AC$6:$AC$505,"&lt;="&amp;$A18,実績!$AD$6:$AD$505,"&gt;"&amp;$A18,実績!$AE$6:$AE$505,"○")&gt;0,1,0))</f>
        <v/>
      </c>
      <c r="O18">
        <f>IF(O$4=0,0,IF(COUNTIFS(実績!$W$6:$W$505,O$3,実績!$AC$6:$AC$505,"&lt;="&amp;$A18,実績!$AD$6:$AD$505,"&gt;"&amp;$A18,実績!$AE$6:$AE$505,"○")&gt;0,1,0))</f>
        <v/>
      </c>
      <c r="P18">
        <f>IF(P$4=0,0,IF(COUNTIFS(実績!$W$6:$W$505,P$3,実績!$AC$6:$AC$505,"&lt;="&amp;$A18,実績!$AD$6:$AD$505,"&gt;"&amp;$A18,実績!$AE$6:$AE$505,"○")&gt;0,1,0))</f>
        <v/>
      </c>
      <c r="Q18">
        <f>IF(Q$4=0,0,IF(COUNTIFS(実績!$W$6:$W$505,Q$3,実績!$AC$6:$AC$505,"&lt;="&amp;$A18,実績!$AD$6:$AD$505,"&gt;"&amp;$A18,実績!$AE$6:$AE$505,"○")&gt;0,1,0))</f>
        <v/>
      </c>
      <c r="R18">
        <f>IF(R$4=0,0,IF(COUNTIFS(実績!$W$6:$W$505,R$3,実績!$AC$6:$AC$505,"&lt;="&amp;$A18,実績!$AD$6:$AD$505,"&gt;"&amp;$A18,実績!$AE$6:$AE$505,"○")&gt;0,1,0))</f>
        <v/>
      </c>
      <c r="S18">
        <f>IF(S$4=0,0,IF(COUNTIFS(実績!$W$6:$W$505,S$3,実績!$AC$6:$AC$505,"&lt;="&amp;$A18,実績!$AD$6:$AD$505,"&gt;"&amp;$A18,実績!$AE$6:$AE$505,"○")&gt;0,1,0))</f>
        <v/>
      </c>
      <c r="T18">
        <f>IF(T$4=0,0,IF(COUNTIFS(実績!$W$6:$W$505,T$3,実績!$AC$6:$AC$505,"&lt;="&amp;$A18,実績!$AD$6:$AD$505,"&gt;"&amp;$A18,実績!$AE$6:$AE$505,"○")&gt;0,1,0))</f>
        <v/>
      </c>
      <c r="U18">
        <f>IF(U$4=0,0,IF(COUNTIFS(実績!$W$6:$W$505,U$3,実績!$AC$6:$AC$505,"&lt;="&amp;$A18,実績!$AD$6:$AD$505,"&gt;"&amp;$A18,実績!$AE$6:$AE$505,"○")&gt;0,1,0))</f>
        <v/>
      </c>
      <c r="V18">
        <f>IF(V$4=0,0,IF(COUNTIFS(実績!$W$6:$W$505,V$3,実績!$AC$6:$AC$505,"&lt;="&amp;$A18,実績!$AD$6:$AD$505,"&gt;"&amp;$A18,実績!$AE$6:$AE$505,"○")&gt;0,1,0))</f>
        <v/>
      </c>
      <c r="W18">
        <f>IF(W$4=0,0,IF(COUNTIFS(実績!$W$6:$W$505,W$3,実績!$AC$6:$AC$505,"&lt;="&amp;$A18,実績!$AD$6:$AD$505,"&gt;"&amp;$A18,実績!$AE$6:$AE$505,"○")&gt;0,1,0))</f>
        <v/>
      </c>
      <c r="X18">
        <f>IF(X$4=0,0,IF(COUNTIFS(実績!$W$6:$W$505,X$3,実績!$AC$6:$AC$505,"&lt;="&amp;$A18,実績!$AD$6:$AD$505,"&gt;"&amp;$A18,実績!$AE$6:$AE$505,"○")&gt;0,1,0))</f>
        <v/>
      </c>
      <c r="Y18">
        <f>IF(Y$4=0,0,IF(COUNTIFS(実績!$W$6:$W$505,Y$3,実績!$AC$6:$AC$505,"&lt;="&amp;$A18,実績!$AD$6:$AD$505,"&gt;"&amp;$A18,実績!$AE$6:$AE$505,"○")&gt;0,1,0))</f>
        <v/>
      </c>
      <c r="Z18">
        <f>IF(Z$4=0,0,IF(COUNTIFS(実績!$W$6:$W$505,Z$3,実績!$AC$6:$AC$505,"&lt;="&amp;$A18,実績!$AD$6:$AD$505,"&gt;"&amp;$A18,実績!$AE$6:$AE$505,"○")&gt;0,1,0))</f>
        <v/>
      </c>
      <c r="AA18">
        <f>IF(AA$4=0,0,IF(COUNTIFS(実績!$W$6:$W$505,AA$3,実績!$AC$6:$AC$505,"&lt;="&amp;$A18,実績!$AD$6:$AD$505,"&gt;"&amp;$A18,実績!$AE$6:$AE$505,"○")&gt;0,1,0))</f>
        <v/>
      </c>
      <c r="AB18">
        <f>IF(AB$4=0,0,IF(COUNTIFS(実績!$W$6:$W$505,AB$3,実績!$AC$6:$AC$505,"&lt;="&amp;$A18,実績!$AD$6:$AD$505,"&gt;"&amp;$A18,実績!$AE$6:$AE$505,"○")&gt;0,1,0))</f>
        <v/>
      </c>
      <c r="AC18">
        <f>IF(AC$4=0,0,IF(COUNTIFS(実績!$W$6:$W$505,AC$3,実績!$AC$6:$AC$505,"&lt;="&amp;$A18,実績!$AD$6:$AD$505,"&gt;"&amp;$A18,実績!$AE$6:$AE$505,"○")&gt;0,1,0))</f>
        <v/>
      </c>
      <c r="AD18">
        <f>IF(AD$4=0,0,IF(COUNTIFS(実績!$W$6:$W$505,AD$3,実績!$AC$6:$AC$505,"&lt;="&amp;$A18,実績!$AD$6:$AD$505,"&gt;"&amp;$A18,実績!$AE$6:$AE$505,"○")&gt;0,1,0))</f>
        <v/>
      </c>
      <c r="AE18">
        <f>IF(AE$4=0,0,IF(COUNTIFS(実績!$W$6:$W$505,AE$3,実績!$AC$6:$AC$505,"&lt;="&amp;$A18,実績!$AD$6:$AD$505,"&gt;"&amp;$A18,実績!$AE$6:$AE$505,"○")&gt;0,1,0))</f>
        <v/>
      </c>
      <c r="AF18">
        <f>IF(AF$4=0,0,IF(COUNTIFS(実績!$W$6:$W$505,AF$3,実績!$AC$6:$AC$505,"&lt;="&amp;$A18,実績!$AD$6:$AD$505,"&gt;"&amp;$A18,実績!$AE$6:$AE$505,"○")&gt;0,1,0))</f>
        <v/>
      </c>
      <c r="AG18">
        <f>IF(AG$4=0,0,IF(COUNTIFS(実績!$W$6:$W$505,AG$3,実績!$AC$6:$AC$505,"&lt;="&amp;$A18,実績!$AD$6:$AD$505,"&gt;"&amp;$A18,実績!$AE$6:$AE$505,"○")&gt;0,1,0))</f>
        <v/>
      </c>
      <c r="AH18">
        <f>IF(AH$4=0,0,IF(COUNTIFS(実績!$W$6:$W$505,AH$3,実績!$AC$6:$AC$505,"&lt;="&amp;$A18,実績!$AD$6:$AD$505,"&gt;"&amp;$A18,実績!$AE$6:$AE$505,"○")&gt;0,1,0))</f>
        <v/>
      </c>
      <c r="AI18">
        <f>IF(AI$4=0,0,IF(COUNTIFS(実績!$W$6:$W$505,AI$3,実績!$AC$6:$AC$505,"&lt;="&amp;$A18,実績!$AD$6:$AD$505,"&gt;"&amp;$A18,実績!$AE$6:$AE$505,"○")&gt;0,1,0))</f>
        <v/>
      </c>
      <c r="AJ18">
        <f>IF(AJ$4=0,0,IF(COUNTIFS(実績!$W$6:$W$505,AJ$3,実績!$AC$6:$AC$505,"&lt;="&amp;$A18,実績!$AD$6:$AD$505,"&gt;"&amp;$A18,実績!$AE$6:$AE$505,"○")&gt;0,1,0))</f>
        <v/>
      </c>
      <c r="AK18">
        <f>IF(AK$4=0,0,IF(COUNTIFS(実績!$W$6:$W$505,AK$3,実績!$AC$6:$AC$505,"&lt;="&amp;$A18,実績!$AD$6:$AD$505,"&gt;"&amp;$A18,実績!$AE$6:$AE$505,"○")&gt;0,1,0))</f>
        <v/>
      </c>
      <c r="AL18">
        <f>IF(AL$4=0,0,IF(COUNTIFS(実績!$W$6:$W$505,AL$3,実績!$AC$6:$AC$505,"&lt;="&amp;$A18,実績!$AD$6:$AD$505,"&gt;"&amp;$A18,実績!$AE$6:$AE$505,"○")&gt;0,1,0))</f>
        <v/>
      </c>
      <c r="AM18">
        <f>IF(AM$4=0,0,IF(COUNTIFS(実績!$W$6:$W$505,AM$3,実績!$AC$6:$AC$505,"&lt;="&amp;$A18,実績!$AD$6:$AD$505,"&gt;"&amp;$A18,実績!$AE$6:$AE$505,"○")&gt;0,1,0))</f>
        <v/>
      </c>
      <c r="AN18">
        <f>IF(AN$4=0,0,IF(COUNTIFS(実績!$W$6:$W$505,AN$3,実績!$AC$6:$AC$505,"&lt;="&amp;$A18,実績!$AD$6:$AD$505,"&gt;"&amp;$A18,実績!$AE$6:$AE$505,"○")&gt;0,1,0))</f>
        <v/>
      </c>
      <c r="AO18">
        <f>IF(AO$4=0,0,IF(COUNTIFS(実績!$W$6:$W$505,AO$3,実績!$AC$6:$AC$505,"&lt;="&amp;$A18,実績!$AD$6:$AD$505,"&gt;"&amp;$A18,実績!$AE$6:$AE$505,"○")&gt;0,1,0))</f>
        <v/>
      </c>
      <c r="AP18">
        <f>IF(AP$4=0,0,IF(COUNTIFS(実績!$W$6:$W$505,AP$3,実績!$AC$6:$AC$505,"&lt;="&amp;$A18,実績!$AD$6:$AD$505,"&gt;"&amp;$A18,実績!$AE$6:$AE$505,"○")&gt;0,1,0))</f>
        <v/>
      </c>
      <c r="AQ18">
        <f>IF(AQ$4=0,0,IF(COUNTIFS(実績!$W$6:$W$505,AQ$3,実績!$AC$6:$AC$505,"&lt;="&amp;$A18,実績!$AD$6:$AD$505,"&gt;"&amp;$A18,実績!$AE$6:$AE$505,"○")&gt;0,1,0))</f>
        <v/>
      </c>
      <c r="AR18">
        <f>IF(AR$4=0,0,IF(COUNTIFS(実績!$W$6:$W$505,AR$3,実績!$AC$6:$AC$505,"&lt;="&amp;$A18,実績!$AD$6:$AD$505,"&gt;"&amp;$A18,実績!$AE$6:$AE$505,"○")&gt;0,1,0))</f>
        <v/>
      </c>
      <c r="AS18">
        <f>IF(AS$4=0,0,IF(COUNTIFS(実績!$W$6:$W$505,AS$3,実績!$AC$6:$AC$505,"&lt;="&amp;$A18,実績!$AD$6:$AD$505,"&gt;"&amp;$A18,実績!$AE$6:$AE$505,"○")&gt;0,1,0))</f>
        <v/>
      </c>
      <c r="AT18">
        <f>IF(AT$4=0,0,IF(COUNTIFS(実績!$W$6:$W$505,AT$3,実績!$AC$6:$AC$505,"&lt;="&amp;$A18,実績!$AD$6:$AD$505,"&gt;"&amp;$A18,実績!$AE$6:$AE$505,"○")&gt;0,1,0))</f>
        <v/>
      </c>
      <c r="AU18">
        <f>IF(AU$4=0,0,IF(COUNTIFS(実績!$W$6:$W$505,AU$3,実績!$AC$6:$AC$505,"&lt;="&amp;$A18,実績!$AD$6:$AD$505,"&gt;"&amp;$A18,実績!$AE$6:$AE$505,"○")&gt;0,1,0))</f>
        <v/>
      </c>
      <c r="AV18">
        <f>IF(AV$4=0,0,IF(COUNTIFS(実績!$W$6:$W$505,AV$3,実績!$AC$6:$AC$505,"&lt;="&amp;$A18,実績!$AD$6:$AD$505,"&gt;"&amp;$A18,実績!$AE$6:$AE$505,"○")&gt;0,1,0))</f>
        <v/>
      </c>
      <c r="AW18">
        <f>IF(AW$4=0,0,IF(COUNTIFS(実績!$W$6:$W$505,AW$3,実績!$AC$6:$AC$505,"&lt;="&amp;$A18,実績!$AD$6:$AD$505,"&gt;"&amp;$A18,実績!$AE$6:$AE$505,"○")&gt;0,1,0))</f>
        <v/>
      </c>
      <c r="AX18">
        <f>IF(AX$4=0,0,IF(COUNTIFS(実績!$W$6:$W$505,AX$3,実績!$AC$6:$AC$505,"&lt;="&amp;$A18,実績!$AD$6:$AD$505,"&gt;"&amp;$A18,実績!$AE$6:$AE$505,"○")&gt;0,1,0))</f>
        <v/>
      </c>
      <c r="AY18">
        <f>IF(AY$4=0,0,IF(COUNTIFS(実績!$W$6:$W$505,AY$3,実績!$AC$6:$AC$505,"&lt;="&amp;$A18,実績!$AD$6:$AD$505,"&gt;"&amp;$A18,実績!$AE$6:$AE$505,"○")&gt;0,1,0))</f>
        <v/>
      </c>
      <c r="AZ18">
        <f>IF(AZ$4=0,0,IF(COUNTIFS(実績!$W$6:$W$505,AZ$3,実績!$AC$6:$AC$505,"&lt;="&amp;$A18,実績!$AD$6:$AD$505,"&gt;"&amp;$A18,実績!$AE$6:$AE$505,"○")&gt;0,1,0))</f>
        <v/>
      </c>
      <c r="BA18">
        <f>IF(BA$4=0,0,IF(COUNTIFS(実績!$W$6:$W$505,BA$3,実績!$AC$6:$AC$505,"&lt;="&amp;$A18,実績!$AD$6:$AD$505,"&gt;"&amp;$A18,実績!$AE$6:$AE$505,"○")&gt;0,1,0))</f>
        <v/>
      </c>
      <c r="BB18">
        <f>IF(BB$4=0,0,IF(COUNTIFS(実績!$W$6:$W$505,BB$3,実績!$AC$6:$AC$505,"&lt;="&amp;$A18,実績!$AD$6:$AD$505,"&gt;"&amp;$A18,実績!$AE$6:$AE$505,"○")&gt;0,1,0))</f>
        <v/>
      </c>
      <c r="BC18">
        <f>IF(BC$4=0,0,IF(COUNTIFS(実績!$W$6:$W$505,BC$3,実績!$AC$6:$AC$505,"&lt;="&amp;$A18,実績!$AD$6:$AD$505,"&gt;"&amp;$A18,実績!$AE$6:$AE$505,"○")&gt;0,1,0))</f>
        <v/>
      </c>
      <c r="BD18">
        <f>IF(BD$4=0,0,IF(COUNTIFS(実績!$W$6:$W$505,BD$3,実績!$AC$6:$AC$505,"&lt;="&amp;$A18,実績!$AD$6:$AD$505,"&gt;"&amp;$A18,実績!$AE$6:$AE$505,"○")&gt;0,1,0))</f>
        <v/>
      </c>
      <c r="BE18">
        <f>IF(BE$4=0,0,IF(COUNTIFS(実績!$W$6:$W$505,BE$3,実績!$AC$6:$AC$505,"&lt;="&amp;$A18,実績!$AD$6:$AD$505,"&gt;"&amp;$A18,実績!$AE$6:$AE$505,"○")&gt;0,1,0))</f>
        <v/>
      </c>
      <c r="BF18">
        <f>IF(BF$4=0,0,IF(COUNTIFS(実績!$W$6:$W$505,BF$3,実績!$AC$6:$AC$505,"&lt;="&amp;$A18,実績!$AD$6:$AD$505,"&gt;"&amp;$A18,実績!$AE$6:$AE$505,"○")&gt;0,1,0))</f>
        <v/>
      </c>
      <c r="BG18">
        <f>IF(BG$4=0,0,IF(COUNTIFS(実績!$W$6:$W$505,BG$3,実績!$AC$6:$AC$505,"&lt;="&amp;$A18,実績!$AD$6:$AD$505,"&gt;"&amp;$A18,実績!$AE$6:$AE$505,"○")&gt;0,1,0))</f>
        <v/>
      </c>
      <c r="BH18">
        <f>IF(BH$4=0,0,IF(COUNTIFS(実績!$W$6:$W$505,BH$3,実績!$AC$6:$AC$505,"&lt;="&amp;$A18,実績!$AD$6:$AD$505,"&gt;"&amp;$A18,実績!$AE$6:$AE$505,"○")&gt;0,1,0))</f>
        <v/>
      </c>
      <c r="BI18">
        <f>IF(BI$4=0,0,IF(COUNTIFS(実績!$W$6:$W$505,BI$3,実績!$AC$6:$AC$505,"&lt;="&amp;$A18,実績!$AD$6:$AD$505,"&gt;"&amp;$A18,実績!$AE$6:$AE$505,"○")&gt;0,1,0))</f>
        <v/>
      </c>
      <c r="BJ18">
        <f>IF(BJ$4=0,0,IF(COUNTIFS(実績!$W$6:$W$505,BJ$3,実績!$AC$6:$AC$505,"&lt;="&amp;$A18,実績!$AD$6:$AD$505,"&gt;"&amp;$A18,実績!$AE$6:$AE$505,"○")&gt;0,1,0))</f>
        <v/>
      </c>
      <c r="BK18">
        <f>IF(BK$4=0,0,IF(COUNTIFS(実績!$W$6:$W$505,BK$3,実績!$AC$6:$AC$505,"&lt;="&amp;$A18,実績!$AD$6:$AD$505,"&gt;"&amp;$A18,実績!$AE$6:$AE$505,"○")&gt;0,1,0))</f>
        <v/>
      </c>
      <c r="BL18">
        <f>IF(BL$4=0,0,IF(COUNTIFS(実績!$W$6:$W$505,BL$3,実績!$AC$6:$AC$505,"&lt;="&amp;$A18,実績!$AD$6:$AD$505,"&gt;"&amp;$A18,実績!$AE$6:$AE$505,"○")&gt;0,1,0))</f>
        <v/>
      </c>
      <c r="BM18">
        <f>IF(BM$4=0,0,IF(COUNTIFS(実績!$W$6:$W$505,BM$3,実績!$AC$6:$AC$505,"&lt;="&amp;$A18,実績!$AD$6:$AD$505,"&gt;"&amp;$A18,実績!$AE$6:$AE$505,"○")&gt;0,1,0))</f>
        <v/>
      </c>
      <c r="BN18">
        <f>IF(BN$4=0,0,IF(COUNTIFS(実績!$W$6:$W$505,BN$3,実績!$AC$6:$AC$505,"&lt;="&amp;$A18,実績!$AD$6:$AD$505,"&gt;"&amp;$A18,実績!$AE$6:$AE$505,"○")&gt;0,1,0))</f>
        <v/>
      </c>
      <c r="BO18">
        <f>IF(BO$4=0,0,IF(COUNTIFS(実績!$W$6:$W$505,BO$3,実績!$AC$6:$AC$505,"&lt;="&amp;$A18,実績!$AD$6:$AD$505,"&gt;"&amp;$A18,実績!$AE$6:$AE$505,"○")&gt;0,1,0))</f>
        <v/>
      </c>
      <c r="BP18">
        <f>IF(BP$4=0,0,IF(COUNTIFS(実績!$W$6:$W$505,BP$3,実績!$AC$6:$AC$505,"&lt;="&amp;$A18,実績!$AD$6:$AD$505,"&gt;"&amp;$A18,実績!$AE$6:$AE$505,"○")&gt;0,1,0))</f>
        <v/>
      </c>
      <c r="BQ18">
        <f>IF(BQ$4=0,0,IF(COUNTIFS(実績!$W$6:$W$505,BQ$3,実績!$AC$6:$AC$505,"&lt;="&amp;$A18,実績!$AD$6:$AD$505,"&gt;"&amp;$A18,実績!$AE$6:$AE$505,"○")&gt;0,1,0))</f>
        <v/>
      </c>
      <c r="BR18">
        <f>IF(BR$4=0,0,IF(COUNTIFS(実績!$W$6:$W$505,BR$3,実績!$AC$6:$AC$505,"&lt;="&amp;$A18,実績!$AD$6:$AD$505,"&gt;"&amp;$A18,実績!$AE$6:$AE$505,"○")&gt;0,1,0))</f>
        <v/>
      </c>
      <c r="BS18">
        <f>IF(BS$4=0,0,IF(COUNTIFS(実績!$W$6:$W$505,BS$3,実績!$AC$6:$AC$505,"&lt;="&amp;$A18,実績!$AD$6:$AD$505,"&gt;"&amp;$A18,実績!$AE$6:$AE$505,"○")&gt;0,1,0))</f>
        <v/>
      </c>
      <c r="BT18">
        <f>IF(BT$4=0,0,IF(COUNTIFS(実績!$W$6:$W$505,BT$3,実績!$AC$6:$AC$505,"&lt;="&amp;$A18,実績!$AD$6:$AD$505,"&gt;"&amp;$A18,実績!$AE$6:$AE$505,"○")&gt;0,1,0))</f>
        <v/>
      </c>
      <c r="BU18">
        <f>IF(BU$4=0,0,IF(COUNTIFS(実績!$W$6:$W$505,BU$3,実績!$AC$6:$AC$505,"&lt;="&amp;$A18,実績!$AD$6:$AD$505,"&gt;"&amp;$A18,実績!$AE$6:$AE$505,"○")&gt;0,1,0))</f>
        <v/>
      </c>
      <c r="BV18">
        <f>IF(BV$4=0,0,IF(COUNTIFS(実績!$W$6:$W$505,BV$3,実績!$AC$6:$AC$505,"&lt;="&amp;$A18,実績!$AD$6:$AD$505,"&gt;"&amp;$A18,実績!$AE$6:$AE$505,"○")&gt;0,1,0))</f>
        <v/>
      </c>
      <c r="BW18">
        <f>IF(BW$4=0,0,IF(COUNTIFS(実績!$W$6:$W$505,BW$3,実績!$AC$6:$AC$505,"&lt;="&amp;$A18,実績!$AD$6:$AD$505,"&gt;"&amp;$A18,実績!$AE$6:$AE$505,"○")&gt;0,1,0))</f>
        <v/>
      </c>
      <c r="BX18">
        <f>IF(BX$4=0,0,IF(COUNTIFS(実績!$W$6:$W$505,BX$3,実績!$AC$6:$AC$505,"&lt;="&amp;$A18,実績!$AD$6:$AD$505,"&gt;"&amp;$A18,実績!$AE$6:$AE$505,"○")&gt;0,1,0))</f>
        <v/>
      </c>
      <c r="BY18">
        <f>IF(BY$4=0,0,IF(COUNTIFS(実績!$W$6:$W$505,BY$3,実績!$AC$6:$AC$505,"&lt;="&amp;$A18,実績!$AD$6:$AD$505,"&gt;"&amp;$A18,実績!$AE$6:$AE$505,"○")&gt;0,1,0))</f>
        <v/>
      </c>
      <c r="BZ18">
        <f>IF(BZ$4=0,0,IF(COUNTIFS(実績!$W$6:$W$505,BZ$3,実績!$AC$6:$AC$505,"&lt;="&amp;$A18,実績!$AD$6:$AD$505,"&gt;"&amp;$A18,実績!$AE$6:$AE$505,"○")&gt;0,1,0))</f>
        <v/>
      </c>
      <c r="CA18">
        <f>IF(CA$4=0,0,IF(COUNTIFS(実績!$W$6:$W$505,CA$3,実績!$AC$6:$AC$505,"&lt;="&amp;$A18,実績!$AD$6:$AD$505,"&gt;"&amp;$A18,実績!$AE$6:$AE$505,"○")&gt;0,1,0))</f>
        <v/>
      </c>
      <c r="CB18">
        <f>IF(CB$4=0,0,IF(COUNTIFS(実績!$W$6:$W$505,CB$3,実績!$AC$6:$AC$505,"&lt;="&amp;$A18,実績!$AD$6:$AD$505,"&gt;"&amp;$A18,実績!$AE$6:$AE$505,"○")&gt;0,1,0))</f>
        <v/>
      </c>
      <c r="CC18">
        <f>IF(CC$4=0,0,IF(COUNTIFS(実績!$W$6:$W$505,CC$3,実績!$AC$6:$AC$505,"&lt;="&amp;$A18,実績!$AD$6:$AD$505,"&gt;"&amp;$A18,実績!$AE$6:$AE$505,"○")&gt;0,1,0))</f>
        <v/>
      </c>
      <c r="CD18">
        <f>IF(CD$4=0,0,IF(COUNTIFS(実績!$W$6:$W$505,CD$3,実績!$AC$6:$AC$505,"&lt;="&amp;$A18,実績!$AD$6:$AD$505,"&gt;"&amp;$A18,実績!$AE$6:$AE$505,"○")&gt;0,1,0))</f>
        <v/>
      </c>
      <c r="CE18">
        <f>IF(CE$4=0,0,IF(COUNTIFS(実績!$W$6:$W$505,CE$3,実績!$AC$6:$AC$505,"&lt;="&amp;$A18,実績!$AD$6:$AD$505,"&gt;"&amp;$A18,実績!$AE$6:$AE$505,"○")&gt;0,1,0))</f>
        <v/>
      </c>
      <c r="CF18">
        <f>IF(CF$4=0,0,IF(COUNTIFS(実績!$W$6:$W$505,CF$3,実績!$AC$6:$AC$505,"&lt;="&amp;$A18,実績!$AD$6:$AD$505,"&gt;"&amp;$A18,実績!$AE$6:$AE$505,"○")&gt;0,1,0))</f>
        <v/>
      </c>
      <c r="CG18">
        <f>IF(CG$4=0,0,IF(COUNTIFS(実績!$W$6:$W$505,CG$3,実績!$AC$6:$AC$505,"&lt;="&amp;$A18,実績!$AD$6:$AD$505,"&gt;"&amp;$A18,実績!$AE$6:$AE$505,"○")&gt;0,1,0))</f>
        <v/>
      </c>
      <c r="CH18">
        <f>IF(CH$4=0,0,IF(COUNTIFS(実績!$W$6:$W$505,CH$3,実績!$AC$6:$AC$505,"&lt;="&amp;$A18,実績!$AD$6:$AD$505,"&gt;"&amp;$A18,実績!$AE$6:$AE$505,"○")&gt;0,1,0))</f>
        <v/>
      </c>
      <c r="CI18">
        <f>IF(CI$4=0,0,IF(COUNTIFS(実績!$W$6:$W$505,CI$3,実績!$AC$6:$AC$505,"&lt;="&amp;$A18,実績!$AD$6:$AD$505,"&gt;"&amp;$A18,実績!$AE$6:$AE$505,"○")&gt;0,1,0))</f>
        <v/>
      </c>
      <c r="CJ18">
        <f>IF(CJ$4=0,0,IF(COUNTIFS(実績!$W$6:$W$505,CJ$3,実績!$AC$6:$AC$505,"&lt;="&amp;$A18,実績!$AD$6:$AD$505,"&gt;"&amp;$A18,実績!$AE$6:$AE$505,"○")&gt;0,1,0))</f>
        <v/>
      </c>
      <c r="CK18">
        <f>IF(CK$4=0,0,IF(COUNTIFS(実績!$W$6:$W$505,CK$3,実績!$AC$6:$AC$505,"&lt;="&amp;$A18,実績!$AD$6:$AD$505,"&gt;"&amp;$A18,実績!$AE$6:$AE$505,"○")&gt;0,1,0))</f>
        <v/>
      </c>
      <c r="CL18">
        <f>IF(CL$4=0,0,IF(COUNTIFS(実績!$W$6:$W$505,CL$3,実績!$AC$6:$AC$505,"&lt;="&amp;$A18,実績!$AD$6:$AD$505,"&gt;"&amp;$A18,実績!$AE$6:$AE$505,"○")&gt;0,1,0))</f>
        <v/>
      </c>
      <c r="CM18">
        <f>IF(CM$4=0,0,IF(COUNTIFS(実績!$W$6:$W$505,CM$3,実績!$AC$6:$AC$505,"&lt;="&amp;$A18,実績!$AD$6:$AD$505,"&gt;"&amp;$A18,実績!$AE$6:$AE$505,"○")&gt;0,1,0))</f>
        <v/>
      </c>
      <c r="CN18">
        <f>IF(CN$4=0,0,IF(COUNTIFS(実績!$W$6:$W$505,CN$3,実績!$AC$6:$AC$505,"&lt;="&amp;$A18,実績!$AD$6:$AD$505,"&gt;"&amp;$A18,実績!$AE$6:$AE$505,"○")&gt;0,1,0))</f>
        <v/>
      </c>
      <c r="CO18">
        <f>IF(CO$4=0,0,IF(COUNTIFS(実績!$W$6:$W$505,CO$3,実績!$AC$6:$AC$505,"&lt;="&amp;$A18,実績!$AD$6:$AD$505,"&gt;"&amp;$A18,実績!$AE$6:$AE$505,"○")&gt;0,1,0))</f>
        <v/>
      </c>
      <c r="CP18">
        <f>IF(CP$4=0,0,IF(COUNTIFS(実績!$W$6:$W$505,CP$3,実績!$AC$6:$AC$505,"&lt;="&amp;$A18,実績!$AD$6:$AD$505,"&gt;"&amp;$A18,実績!$AE$6:$AE$505,"○")&gt;0,1,0))</f>
        <v/>
      </c>
      <c r="CQ18">
        <f>IF(CQ$4=0,0,IF(COUNTIFS(実績!$W$6:$W$505,CQ$3,実績!$AC$6:$AC$505,"&lt;="&amp;$A18,実績!$AD$6:$AD$505,"&gt;"&amp;$A18,実績!$AE$6:$AE$505,"○")&gt;0,1,0))</f>
        <v/>
      </c>
      <c r="CR18">
        <f>IF(CR$4=0,0,IF(COUNTIFS(実績!$W$6:$W$505,CR$3,実績!$AC$6:$AC$505,"&lt;="&amp;$A18,実績!$AD$6:$AD$505,"&gt;"&amp;$A18,実績!$AE$6:$AE$505,"○")&gt;0,1,0))</f>
        <v/>
      </c>
      <c r="CS18">
        <f>IF(CS$4=0,0,IF(COUNTIFS(実績!$W$6:$W$505,CS$3,実績!$AC$6:$AC$505,"&lt;="&amp;$A18,実績!$AD$6:$AD$505,"&gt;"&amp;$A18,実績!$AE$6:$AE$505,"○")&gt;0,1,0))</f>
        <v/>
      </c>
      <c r="CT18">
        <f>IF(CT$4=0,0,IF(COUNTIFS(実績!$W$6:$W$505,CT$3,実績!$AC$6:$AC$505,"&lt;="&amp;$A18,実績!$AD$6:$AD$505,"&gt;"&amp;$A18,実績!$AE$6:$AE$505,"○")&gt;0,1,0))</f>
        <v/>
      </c>
      <c r="CU18">
        <f>IF(CU$4=0,0,IF(COUNTIFS(実績!$W$6:$W$505,CU$3,実績!$AC$6:$AC$505,"&lt;="&amp;$A18,実績!$AD$6:$AD$505,"&gt;"&amp;$A18,実績!$AE$6:$AE$505,"○")&gt;0,1,0))</f>
        <v/>
      </c>
      <c r="CV18">
        <f>IF(CV$4=0,0,IF(COUNTIFS(実績!$W$6:$W$505,CV$3,実績!$AC$6:$AC$505,"&lt;="&amp;$A18,実績!$AD$6:$AD$505,"&gt;"&amp;$A18,実績!$AE$6:$AE$505,"○")&gt;0,1,0))</f>
        <v/>
      </c>
      <c r="CW18">
        <f>IF(CW$4=0,0,IF(COUNTIFS(実績!$W$6:$W$505,CW$3,実績!$AC$6:$AC$505,"&lt;="&amp;$A18,実績!$AD$6:$AD$505,"&gt;"&amp;$A18,実績!$AE$6:$AE$505,"○")&gt;0,1,0))</f>
        <v/>
      </c>
      <c r="CX18">
        <f>IF(CX$4=0,0,IF(COUNTIFS(実績!$W$6:$W$505,CX$3,実績!$AC$6:$AC$505,"&lt;="&amp;$A18,実績!$AD$6:$AD$505,"&gt;"&amp;$A18,実績!$AE$6:$AE$505,"○")&gt;0,1,0))</f>
        <v/>
      </c>
      <c r="CY18">
        <f>IF(CY$4=0,0,IF(COUNTIFS(実績!$W$6:$W$505,CY$3,実績!$AC$6:$AC$505,"&lt;="&amp;$A18,実績!$AD$6:$AD$505,"&gt;"&amp;$A18,実績!$AE$6:$AE$505,"○")&gt;0,1,0))</f>
        <v/>
      </c>
      <c r="CZ18">
        <f>IF(CZ$4=0,0,IF(COUNTIFS(実績!$W$6:$W$505,CZ$3,実績!$AC$6:$AC$505,"&lt;="&amp;$A18,実績!$AD$6:$AD$505,"&gt;"&amp;$A18,実績!$AE$6:$AE$505,"○")&gt;0,1,0))</f>
        <v/>
      </c>
      <c r="DA18">
        <f>IF(DA$4=0,0,IF(COUNTIFS(実績!$W$6:$W$505,DA$3,実績!$AC$6:$AC$505,"&lt;="&amp;$A18,実績!$AD$6:$AD$505,"&gt;"&amp;$A18,実績!$AE$6:$AE$505,"○")&gt;0,1,0))</f>
        <v/>
      </c>
      <c r="DB18">
        <f>IF(DB$4=0,0,IF(COUNTIFS(実績!$W$6:$W$505,DB$3,実績!$AC$6:$AC$505,"&lt;="&amp;$A18,実績!$AD$6:$AD$505,"&gt;"&amp;$A18,実績!$AE$6:$AE$505,"○")&gt;0,1,0))</f>
        <v/>
      </c>
      <c r="DC18">
        <f>IF(DC$4=0,0,IF(COUNTIFS(実績!$W$6:$W$505,DC$3,実績!$AC$6:$AC$505,"&lt;="&amp;$A18,実績!$AD$6:$AD$505,"&gt;"&amp;$A18,実績!$AE$6:$AE$505,"○")&gt;0,1,0))</f>
        <v/>
      </c>
      <c r="DD18">
        <f>IF(DD$4=0,0,IF(COUNTIFS(実績!$W$6:$W$505,DD$3,実績!$AC$6:$AC$505,"&lt;="&amp;$A18,実績!$AD$6:$AD$505,"&gt;"&amp;$A18,実績!$AE$6:$AE$505,"○")&gt;0,1,0))</f>
        <v/>
      </c>
      <c r="DE18">
        <f>IF(DE$4=0,0,IF(COUNTIFS(実績!$W$6:$W$505,DE$3,実績!$AC$6:$AC$505,"&lt;="&amp;$A18,実績!$AD$6:$AD$505,"&gt;"&amp;$A18,実績!$AE$6:$AE$505,"○")&gt;0,1,0))</f>
        <v/>
      </c>
      <c r="DF18">
        <f>IF(DF$4=0,0,IF(COUNTIFS(実績!$W$6:$W$505,DF$3,実績!$AC$6:$AC$505,"&lt;="&amp;$A18,実績!$AD$6:$AD$505,"&gt;"&amp;$A18,実績!$AE$6:$AE$505,"○")&gt;0,1,0))</f>
        <v/>
      </c>
      <c r="DG18">
        <f>IF(DG$4=0,0,IF(COUNTIFS(実績!$W$6:$W$505,DG$3,実績!$AC$6:$AC$505,"&lt;="&amp;$A18,実績!$AD$6:$AD$505,"&gt;"&amp;$A18,実績!$AE$6:$AE$505,"○")&gt;0,1,0))</f>
        <v/>
      </c>
      <c r="DH18">
        <f>IF(DH$4=0,0,IF(COUNTIFS(実績!$W$6:$W$505,DH$3,実績!$AC$6:$AC$505,"&lt;="&amp;$A18,実績!$AD$6:$AD$505,"&gt;"&amp;$A18,実績!$AE$6:$AE$505,"○")&gt;0,1,0))</f>
        <v/>
      </c>
      <c r="DI18">
        <f>IF(DI$4=0,0,IF(COUNTIFS(実績!$W$6:$W$505,DI$3,実績!$AC$6:$AC$505,"&lt;="&amp;$A18,実績!$AD$6:$AD$505,"&gt;"&amp;$A18,実績!$AE$6:$AE$505,"○")&gt;0,1,0))</f>
        <v/>
      </c>
      <c r="DJ18">
        <f>IF(DJ$4=0,0,IF(COUNTIFS(実績!$W$6:$W$505,DJ$3,実績!$AC$6:$AC$505,"&lt;="&amp;$A18,実績!$AD$6:$AD$505,"&gt;"&amp;$A18,実績!$AE$6:$AE$505,"○")&gt;0,1,0))</f>
        <v/>
      </c>
      <c r="DK18">
        <f>IF(DK$4=0,0,IF(COUNTIFS(実績!$W$6:$W$505,DK$3,実績!$AC$6:$AC$505,"&lt;="&amp;$A18,実績!$AD$6:$AD$505,"&gt;"&amp;$A18,実績!$AE$6:$AE$505,"○")&gt;0,1,0))</f>
        <v/>
      </c>
      <c r="DL18">
        <f>IF(DL$4=0,0,IF(COUNTIFS(実績!$W$6:$W$505,DL$3,実績!$AC$6:$AC$505,"&lt;="&amp;$A18,実績!$AD$6:$AD$505,"&gt;"&amp;$A18,実績!$AE$6:$AE$505,"○")&gt;0,1,0))</f>
        <v/>
      </c>
      <c r="DM18">
        <f>IF(DM$4=0,0,IF(COUNTIFS(実績!$W$6:$W$505,DM$3,実績!$AC$6:$AC$505,"&lt;="&amp;$A18,実績!$AD$6:$AD$505,"&gt;"&amp;$A18,実績!$AE$6:$AE$505,"○")&gt;0,1,0))</f>
        <v/>
      </c>
      <c r="DN18">
        <f>IF(DN$4=0,0,IF(COUNTIFS(実績!$W$6:$W$505,DN$3,実績!$AC$6:$AC$505,"&lt;="&amp;$A18,実績!$AD$6:$AD$505,"&gt;"&amp;$A18,実績!$AE$6:$AE$505,"○")&gt;0,1,0))</f>
        <v/>
      </c>
      <c r="DO18">
        <f>IF(DO$4=0,0,IF(COUNTIFS(実績!$W$6:$W$505,DO$3,実績!$AC$6:$AC$505,"&lt;="&amp;$A18,実績!$AD$6:$AD$505,"&gt;"&amp;$A18,実績!$AE$6:$AE$505,"○")&gt;0,1,0))</f>
        <v/>
      </c>
      <c r="DP18">
        <f>IF(DP$4=0,0,IF(COUNTIFS(実績!$W$6:$W$505,DP$3,実績!$AC$6:$AC$505,"&lt;="&amp;$A18,実績!$AD$6:$AD$505,"&gt;"&amp;$A18,実績!$AE$6:$AE$505,"○")&gt;0,1,0))</f>
        <v/>
      </c>
      <c r="DQ18">
        <f>IF(DQ$4=0,0,IF(COUNTIFS(実績!$W$6:$W$505,DQ$3,実績!$AC$6:$AC$505,"&lt;="&amp;$A18,実績!$AD$6:$AD$505,"&gt;"&amp;$A18,実績!$AE$6:$AE$505,"○")&gt;0,1,0))</f>
        <v/>
      </c>
      <c r="DR18">
        <f>IF(DR$4=0,0,IF(COUNTIFS(実績!$W$6:$W$505,DR$3,実績!$AC$6:$AC$505,"&lt;="&amp;$A18,実績!$AD$6:$AD$505,"&gt;"&amp;$A18,実績!$AE$6:$AE$505,"○")&gt;0,1,0))</f>
        <v/>
      </c>
      <c r="DS18">
        <f>SUM(C18:DR18)</f>
        <v/>
      </c>
      <c r="DT18">
        <f>SUMPRODUCT((実績!$C$6:$C$505="○")*ISNUMBER(実績!$AF$6:$AF$505)*(実績!$AF$6:$AF$505&lt;=$A18)*(実績!$AG$6:$AG$505&gt;$A18))</f>
        <v/>
      </c>
      <c r="DU18">
        <f>SUMIF($C$2:$DR$2,"製鉄曳船",C18:DR18)</f>
        <v/>
      </c>
      <c r="DV18">
        <f>SUMIF($C$2:$DR$2,"西日本海運",C18:DR18)</f>
        <v/>
      </c>
    </row>
    <row r="19">
      <c r="A19" t="n">
        <v>65</v>
      </c>
      <c r="B19" s="29">
        <f>A19/1440</f>
        <v/>
      </c>
      <c r="C19">
        <f>IF(C$4=0,0,IF(COUNTIFS(実績!$W$6:$W$505,C$3,実績!$AC$6:$AC$505,"&lt;="&amp;$A19,実績!$AD$6:$AD$505,"&gt;"&amp;$A19,実績!$AE$6:$AE$505,"○")&gt;0,1,0))</f>
        <v/>
      </c>
      <c r="D19">
        <f>IF(D$4=0,0,IF(COUNTIFS(実績!$W$6:$W$505,D$3,実績!$AC$6:$AC$505,"&lt;="&amp;$A19,実績!$AD$6:$AD$505,"&gt;"&amp;$A19,実績!$AE$6:$AE$505,"○")&gt;0,1,0))</f>
        <v/>
      </c>
      <c r="E19">
        <f>IF(E$4=0,0,IF(COUNTIFS(実績!$W$6:$W$505,E$3,実績!$AC$6:$AC$505,"&lt;="&amp;$A19,実績!$AD$6:$AD$505,"&gt;"&amp;$A19,実績!$AE$6:$AE$505,"○")&gt;0,1,0))</f>
        <v/>
      </c>
      <c r="F19">
        <f>IF(F$4=0,0,IF(COUNTIFS(実績!$W$6:$W$505,F$3,実績!$AC$6:$AC$505,"&lt;="&amp;$A19,実績!$AD$6:$AD$505,"&gt;"&amp;$A19,実績!$AE$6:$AE$505,"○")&gt;0,1,0))</f>
        <v/>
      </c>
      <c r="G19">
        <f>IF(G$4=0,0,IF(COUNTIFS(実績!$W$6:$W$505,G$3,実績!$AC$6:$AC$505,"&lt;="&amp;$A19,実績!$AD$6:$AD$505,"&gt;"&amp;$A19,実績!$AE$6:$AE$505,"○")&gt;0,1,0))</f>
        <v/>
      </c>
      <c r="H19">
        <f>IF(H$4=0,0,IF(COUNTIFS(実績!$W$6:$W$505,H$3,実績!$AC$6:$AC$505,"&lt;="&amp;$A19,実績!$AD$6:$AD$505,"&gt;"&amp;$A19,実績!$AE$6:$AE$505,"○")&gt;0,1,0))</f>
        <v/>
      </c>
      <c r="I19">
        <f>IF(I$4=0,0,IF(COUNTIFS(実績!$W$6:$W$505,I$3,実績!$AC$6:$AC$505,"&lt;="&amp;$A19,実績!$AD$6:$AD$505,"&gt;"&amp;$A19,実績!$AE$6:$AE$505,"○")&gt;0,1,0))</f>
        <v/>
      </c>
      <c r="J19">
        <f>IF(J$4=0,0,IF(COUNTIFS(実績!$W$6:$W$505,J$3,実績!$AC$6:$AC$505,"&lt;="&amp;$A19,実績!$AD$6:$AD$505,"&gt;"&amp;$A19,実績!$AE$6:$AE$505,"○")&gt;0,1,0))</f>
        <v/>
      </c>
      <c r="K19">
        <f>IF(K$4=0,0,IF(COUNTIFS(実績!$W$6:$W$505,K$3,実績!$AC$6:$AC$505,"&lt;="&amp;$A19,実績!$AD$6:$AD$505,"&gt;"&amp;$A19,実績!$AE$6:$AE$505,"○")&gt;0,1,0))</f>
        <v/>
      </c>
      <c r="L19">
        <f>IF(L$4=0,0,IF(COUNTIFS(実績!$W$6:$W$505,L$3,実績!$AC$6:$AC$505,"&lt;="&amp;$A19,実績!$AD$6:$AD$505,"&gt;"&amp;$A19,実績!$AE$6:$AE$505,"○")&gt;0,1,0))</f>
        <v/>
      </c>
      <c r="M19">
        <f>IF(M$4=0,0,IF(COUNTIFS(実績!$W$6:$W$505,M$3,実績!$AC$6:$AC$505,"&lt;="&amp;$A19,実績!$AD$6:$AD$505,"&gt;"&amp;$A19,実績!$AE$6:$AE$505,"○")&gt;0,1,0))</f>
        <v/>
      </c>
      <c r="N19">
        <f>IF(N$4=0,0,IF(COUNTIFS(実績!$W$6:$W$505,N$3,実績!$AC$6:$AC$505,"&lt;="&amp;$A19,実績!$AD$6:$AD$505,"&gt;"&amp;$A19,実績!$AE$6:$AE$505,"○")&gt;0,1,0))</f>
        <v/>
      </c>
      <c r="O19">
        <f>IF(O$4=0,0,IF(COUNTIFS(実績!$W$6:$W$505,O$3,実績!$AC$6:$AC$505,"&lt;="&amp;$A19,実績!$AD$6:$AD$505,"&gt;"&amp;$A19,実績!$AE$6:$AE$505,"○")&gt;0,1,0))</f>
        <v/>
      </c>
      <c r="P19">
        <f>IF(P$4=0,0,IF(COUNTIFS(実績!$W$6:$W$505,P$3,実績!$AC$6:$AC$505,"&lt;="&amp;$A19,実績!$AD$6:$AD$505,"&gt;"&amp;$A19,実績!$AE$6:$AE$505,"○")&gt;0,1,0))</f>
        <v/>
      </c>
      <c r="Q19">
        <f>IF(Q$4=0,0,IF(COUNTIFS(実績!$W$6:$W$505,Q$3,実績!$AC$6:$AC$505,"&lt;="&amp;$A19,実績!$AD$6:$AD$505,"&gt;"&amp;$A19,実績!$AE$6:$AE$505,"○")&gt;0,1,0))</f>
        <v/>
      </c>
      <c r="R19">
        <f>IF(R$4=0,0,IF(COUNTIFS(実績!$W$6:$W$505,R$3,実績!$AC$6:$AC$505,"&lt;="&amp;$A19,実績!$AD$6:$AD$505,"&gt;"&amp;$A19,実績!$AE$6:$AE$505,"○")&gt;0,1,0))</f>
        <v/>
      </c>
      <c r="S19">
        <f>IF(S$4=0,0,IF(COUNTIFS(実績!$W$6:$W$505,S$3,実績!$AC$6:$AC$505,"&lt;="&amp;$A19,実績!$AD$6:$AD$505,"&gt;"&amp;$A19,実績!$AE$6:$AE$505,"○")&gt;0,1,0))</f>
        <v/>
      </c>
      <c r="T19">
        <f>IF(T$4=0,0,IF(COUNTIFS(実績!$W$6:$W$505,T$3,実績!$AC$6:$AC$505,"&lt;="&amp;$A19,実績!$AD$6:$AD$505,"&gt;"&amp;$A19,実績!$AE$6:$AE$505,"○")&gt;0,1,0))</f>
        <v/>
      </c>
      <c r="U19">
        <f>IF(U$4=0,0,IF(COUNTIFS(実績!$W$6:$W$505,U$3,実績!$AC$6:$AC$505,"&lt;="&amp;$A19,実績!$AD$6:$AD$505,"&gt;"&amp;$A19,実績!$AE$6:$AE$505,"○")&gt;0,1,0))</f>
        <v/>
      </c>
      <c r="V19">
        <f>IF(V$4=0,0,IF(COUNTIFS(実績!$W$6:$W$505,V$3,実績!$AC$6:$AC$505,"&lt;="&amp;$A19,実績!$AD$6:$AD$505,"&gt;"&amp;$A19,実績!$AE$6:$AE$505,"○")&gt;0,1,0))</f>
        <v/>
      </c>
      <c r="W19">
        <f>IF(W$4=0,0,IF(COUNTIFS(実績!$W$6:$W$505,W$3,実績!$AC$6:$AC$505,"&lt;="&amp;$A19,実績!$AD$6:$AD$505,"&gt;"&amp;$A19,実績!$AE$6:$AE$505,"○")&gt;0,1,0))</f>
        <v/>
      </c>
      <c r="X19">
        <f>IF(X$4=0,0,IF(COUNTIFS(実績!$W$6:$W$505,X$3,実績!$AC$6:$AC$505,"&lt;="&amp;$A19,実績!$AD$6:$AD$505,"&gt;"&amp;$A19,実績!$AE$6:$AE$505,"○")&gt;0,1,0))</f>
        <v/>
      </c>
      <c r="Y19">
        <f>IF(Y$4=0,0,IF(COUNTIFS(実績!$W$6:$W$505,Y$3,実績!$AC$6:$AC$505,"&lt;="&amp;$A19,実績!$AD$6:$AD$505,"&gt;"&amp;$A19,実績!$AE$6:$AE$505,"○")&gt;0,1,0))</f>
        <v/>
      </c>
      <c r="Z19">
        <f>IF(Z$4=0,0,IF(COUNTIFS(実績!$W$6:$W$505,Z$3,実績!$AC$6:$AC$505,"&lt;="&amp;$A19,実績!$AD$6:$AD$505,"&gt;"&amp;$A19,実績!$AE$6:$AE$505,"○")&gt;0,1,0))</f>
        <v/>
      </c>
      <c r="AA19">
        <f>IF(AA$4=0,0,IF(COUNTIFS(実績!$W$6:$W$505,AA$3,実績!$AC$6:$AC$505,"&lt;="&amp;$A19,実績!$AD$6:$AD$505,"&gt;"&amp;$A19,実績!$AE$6:$AE$505,"○")&gt;0,1,0))</f>
        <v/>
      </c>
      <c r="AB19">
        <f>IF(AB$4=0,0,IF(COUNTIFS(実績!$W$6:$W$505,AB$3,実績!$AC$6:$AC$505,"&lt;="&amp;$A19,実績!$AD$6:$AD$505,"&gt;"&amp;$A19,実績!$AE$6:$AE$505,"○")&gt;0,1,0))</f>
        <v/>
      </c>
      <c r="AC19">
        <f>IF(AC$4=0,0,IF(COUNTIFS(実績!$W$6:$W$505,AC$3,実績!$AC$6:$AC$505,"&lt;="&amp;$A19,実績!$AD$6:$AD$505,"&gt;"&amp;$A19,実績!$AE$6:$AE$505,"○")&gt;0,1,0))</f>
        <v/>
      </c>
      <c r="AD19">
        <f>IF(AD$4=0,0,IF(COUNTIFS(実績!$W$6:$W$505,AD$3,実績!$AC$6:$AC$505,"&lt;="&amp;$A19,実績!$AD$6:$AD$505,"&gt;"&amp;$A19,実績!$AE$6:$AE$505,"○")&gt;0,1,0))</f>
        <v/>
      </c>
      <c r="AE19">
        <f>IF(AE$4=0,0,IF(COUNTIFS(実績!$W$6:$W$505,AE$3,実績!$AC$6:$AC$505,"&lt;="&amp;$A19,実績!$AD$6:$AD$505,"&gt;"&amp;$A19,実績!$AE$6:$AE$505,"○")&gt;0,1,0))</f>
        <v/>
      </c>
      <c r="AF19">
        <f>IF(AF$4=0,0,IF(COUNTIFS(実績!$W$6:$W$505,AF$3,実績!$AC$6:$AC$505,"&lt;="&amp;$A19,実績!$AD$6:$AD$505,"&gt;"&amp;$A19,実績!$AE$6:$AE$505,"○")&gt;0,1,0))</f>
        <v/>
      </c>
      <c r="AG19">
        <f>IF(AG$4=0,0,IF(COUNTIFS(実績!$W$6:$W$505,AG$3,実績!$AC$6:$AC$505,"&lt;="&amp;$A19,実績!$AD$6:$AD$505,"&gt;"&amp;$A19,実績!$AE$6:$AE$505,"○")&gt;0,1,0))</f>
        <v/>
      </c>
      <c r="AH19">
        <f>IF(AH$4=0,0,IF(COUNTIFS(実績!$W$6:$W$505,AH$3,実績!$AC$6:$AC$505,"&lt;="&amp;$A19,実績!$AD$6:$AD$505,"&gt;"&amp;$A19,実績!$AE$6:$AE$505,"○")&gt;0,1,0))</f>
        <v/>
      </c>
      <c r="AI19">
        <f>IF(AI$4=0,0,IF(COUNTIFS(実績!$W$6:$W$505,AI$3,実績!$AC$6:$AC$505,"&lt;="&amp;$A19,実績!$AD$6:$AD$505,"&gt;"&amp;$A19,実績!$AE$6:$AE$505,"○")&gt;0,1,0))</f>
        <v/>
      </c>
      <c r="AJ19">
        <f>IF(AJ$4=0,0,IF(COUNTIFS(実績!$W$6:$W$505,AJ$3,実績!$AC$6:$AC$505,"&lt;="&amp;$A19,実績!$AD$6:$AD$505,"&gt;"&amp;$A19,実績!$AE$6:$AE$505,"○")&gt;0,1,0))</f>
        <v/>
      </c>
      <c r="AK19">
        <f>IF(AK$4=0,0,IF(COUNTIFS(実績!$W$6:$W$505,AK$3,実績!$AC$6:$AC$505,"&lt;="&amp;$A19,実績!$AD$6:$AD$505,"&gt;"&amp;$A19,実績!$AE$6:$AE$505,"○")&gt;0,1,0))</f>
        <v/>
      </c>
      <c r="AL19">
        <f>IF(AL$4=0,0,IF(COUNTIFS(実績!$W$6:$W$505,AL$3,実績!$AC$6:$AC$505,"&lt;="&amp;$A19,実績!$AD$6:$AD$505,"&gt;"&amp;$A19,実績!$AE$6:$AE$505,"○")&gt;0,1,0))</f>
        <v/>
      </c>
      <c r="AM19">
        <f>IF(AM$4=0,0,IF(COUNTIFS(実績!$W$6:$W$505,AM$3,実績!$AC$6:$AC$505,"&lt;="&amp;$A19,実績!$AD$6:$AD$505,"&gt;"&amp;$A19,実績!$AE$6:$AE$505,"○")&gt;0,1,0))</f>
        <v/>
      </c>
      <c r="AN19">
        <f>IF(AN$4=0,0,IF(COUNTIFS(実績!$W$6:$W$505,AN$3,実績!$AC$6:$AC$505,"&lt;="&amp;$A19,実績!$AD$6:$AD$505,"&gt;"&amp;$A19,実績!$AE$6:$AE$505,"○")&gt;0,1,0))</f>
        <v/>
      </c>
      <c r="AO19">
        <f>IF(AO$4=0,0,IF(COUNTIFS(実績!$W$6:$W$505,AO$3,実績!$AC$6:$AC$505,"&lt;="&amp;$A19,実績!$AD$6:$AD$505,"&gt;"&amp;$A19,実績!$AE$6:$AE$505,"○")&gt;0,1,0))</f>
        <v/>
      </c>
      <c r="AP19">
        <f>IF(AP$4=0,0,IF(COUNTIFS(実績!$W$6:$W$505,AP$3,実績!$AC$6:$AC$505,"&lt;="&amp;$A19,実績!$AD$6:$AD$505,"&gt;"&amp;$A19,実績!$AE$6:$AE$505,"○")&gt;0,1,0))</f>
        <v/>
      </c>
      <c r="AQ19">
        <f>IF(AQ$4=0,0,IF(COUNTIFS(実績!$W$6:$W$505,AQ$3,実績!$AC$6:$AC$505,"&lt;="&amp;$A19,実績!$AD$6:$AD$505,"&gt;"&amp;$A19,実績!$AE$6:$AE$505,"○")&gt;0,1,0))</f>
        <v/>
      </c>
      <c r="AR19">
        <f>IF(AR$4=0,0,IF(COUNTIFS(実績!$W$6:$W$505,AR$3,実績!$AC$6:$AC$505,"&lt;="&amp;$A19,実績!$AD$6:$AD$505,"&gt;"&amp;$A19,実績!$AE$6:$AE$505,"○")&gt;0,1,0))</f>
        <v/>
      </c>
      <c r="AS19">
        <f>IF(AS$4=0,0,IF(COUNTIFS(実績!$W$6:$W$505,AS$3,実績!$AC$6:$AC$505,"&lt;="&amp;$A19,実績!$AD$6:$AD$505,"&gt;"&amp;$A19,実績!$AE$6:$AE$505,"○")&gt;0,1,0))</f>
        <v/>
      </c>
      <c r="AT19">
        <f>IF(AT$4=0,0,IF(COUNTIFS(実績!$W$6:$W$505,AT$3,実績!$AC$6:$AC$505,"&lt;="&amp;$A19,実績!$AD$6:$AD$505,"&gt;"&amp;$A19,実績!$AE$6:$AE$505,"○")&gt;0,1,0))</f>
        <v/>
      </c>
      <c r="AU19">
        <f>IF(AU$4=0,0,IF(COUNTIFS(実績!$W$6:$W$505,AU$3,実績!$AC$6:$AC$505,"&lt;="&amp;$A19,実績!$AD$6:$AD$505,"&gt;"&amp;$A19,実績!$AE$6:$AE$505,"○")&gt;0,1,0))</f>
        <v/>
      </c>
      <c r="AV19">
        <f>IF(AV$4=0,0,IF(COUNTIFS(実績!$W$6:$W$505,AV$3,実績!$AC$6:$AC$505,"&lt;="&amp;$A19,実績!$AD$6:$AD$505,"&gt;"&amp;$A19,実績!$AE$6:$AE$505,"○")&gt;0,1,0))</f>
        <v/>
      </c>
      <c r="AW19">
        <f>IF(AW$4=0,0,IF(COUNTIFS(実績!$W$6:$W$505,AW$3,実績!$AC$6:$AC$505,"&lt;="&amp;$A19,実績!$AD$6:$AD$505,"&gt;"&amp;$A19,実績!$AE$6:$AE$505,"○")&gt;0,1,0))</f>
        <v/>
      </c>
      <c r="AX19">
        <f>IF(AX$4=0,0,IF(COUNTIFS(実績!$W$6:$W$505,AX$3,実績!$AC$6:$AC$505,"&lt;="&amp;$A19,実績!$AD$6:$AD$505,"&gt;"&amp;$A19,実績!$AE$6:$AE$505,"○")&gt;0,1,0))</f>
        <v/>
      </c>
      <c r="AY19">
        <f>IF(AY$4=0,0,IF(COUNTIFS(実績!$W$6:$W$505,AY$3,実績!$AC$6:$AC$505,"&lt;="&amp;$A19,実績!$AD$6:$AD$505,"&gt;"&amp;$A19,実績!$AE$6:$AE$505,"○")&gt;0,1,0))</f>
        <v/>
      </c>
      <c r="AZ19">
        <f>IF(AZ$4=0,0,IF(COUNTIFS(実績!$W$6:$W$505,AZ$3,実績!$AC$6:$AC$505,"&lt;="&amp;$A19,実績!$AD$6:$AD$505,"&gt;"&amp;$A19,実績!$AE$6:$AE$505,"○")&gt;0,1,0))</f>
        <v/>
      </c>
      <c r="BA19">
        <f>IF(BA$4=0,0,IF(COUNTIFS(実績!$W$6:$W$505,BA$3,実績!$AC$6:$AC$505,"&lt;="&amp;$A19,実績!$AD$6:$AD$505,"&gt;"&amp;$A19,実績!$AE$6:$AE$505,"○")&gt;0,1,0))</f>
        <v/>
      </c>
      <c r="BB19">
        <f>IF(BB$4=0,0,IF(COUNTIFS(実績!$W$6:$W$505,BB$3,実績!$AC$6:$AC$505,"&lt;="&amp;$A19,実績!$AD$6:$AD$505,"&gt;"&amp;$A19,実績!$AE$6:$AE$505,"○")&gt;0,1,0))</f>
        <v/>
      </c>
      <c r="BC19">
        <f>IF(BC$4=0,0,IF(COUNTIFS(実績!$W$6:$W$505,BC$3,実績!$AC$6:$AC$505,"&lt;="&amp;$A19,実績!$AD$6:$AD$505,"&gt;"&amp;$A19,実績!$AE$6:$AE$505,"○")&gt;0,1,0))</f>
        <v/>
      </c>
      <c r="BD19">
        <f>IF(BD$4=0,0,IF(COUNTIFS(実績!$W$6:$W$505,BD$3,実績!$AC$6:$AC$505,"&lt;="&amp;$A19,実績!$AD$6:$AD$505,"&gt;"&amp;$A19,実績!$AE$6:$AE$505,"○")&gt;0,1,0))</f>
        <v/>
      </c>
      <c r="BE19">
        <f>IF(BE$4=0,0,IF(COUNTIFS(実績!$W$6:$W$505,BE$3,実績!$AC$6:$AC$505,"&lt;="&amp;$A19,実績!$AD$6:$AD$505,"&gt;"&amp;$A19,実績!$AE$6:$AE$505,"○")&gt;0,1,0))</f>
        <v/>
      </c>
      <c r="BF19">
        <f>IF(BF$4=0,0,IF(COUNTIFS(実績!$W$6:$W$505,BF$3,実績!$AC$6:$AC$505,"&lt;="&amp;$A19,実績!$AD$6:$AD$505,"&gt;"&amp;$A19,実績!$AE$6:$AE$505,"○")&gt;0,1,0))</f>
        <v/>
      </c>
      <c r="BG19">
        <f>IF(BG$4=0,0,IF(COUNTIFS(実績!$W$6:$W$505,BG$3,実績!$AC$6:$AC$505,"&lt;="&amp;$A19,実績!$AD$6:$AD$505,"&gt;"&amp;$A19,実績!$AE$6:$AE$505,"○")&gt;0,1,0))</f>
        <v/>
      </c>
      <c r="BH19">
        <f>IF(BH$4=0,0,IF(COUNTIFS(実績!$W$6:$W$505,BH$3,実績!$AC$6:$AC$505,"&lt;="&amp;$A19,実績!$AD$6:$AD$505,"&gt;"&amp;$A19,実績!$AE$6:$AE$505,"○")&gt;0,1,0))</f>
        <v/>
      </c>
      <c r="BI19">
        <f>IF(BI$4=0,0,IF(COUNTIFS(実績!$W$6:$W$505,BI$3,実績!$AC$6:$AC$505,"&lt;="&amp;$A19,実績!$AD$6:$AD$505,"&gt;"&amp;$A19,実績!$AE$6:$AE$505,"○")&gt;0,1,0))</f>
        <v/>
      </c>
      <c r="BJ19">
        <f>IF(BJ$4=0,0,IF(COUNTIFS(実績!$W$6:$W$505,BJ$3,実績!$AC$6:$AC$505,"&lt;="&amp;$A19,実績!$AD$6:$AD$505,"&gt;"&amp;$A19,実績!$AE$6:$AE$505,"○")&gt;0,1,0))</f>
        <v/>
      </c>
      <c r="BK19">
        <f>IF(BK$4=0,0,IF(COUNTIFS(実績!$W$6:$W$505,BK$3,実績!$AC$6:$AC$505,"&lt;="&amp;$A19,実績!$AD$6:$AD$505,"&gt;"&amp;$A19,実績!$AE$6:$AE$505,"○")&gt;0,1,0))</f>
        <v/>
      </c>
      <c r="BL19">
        <f>IF(BL$4=0,0,IF(COUNTIFS(実績!$W$6:$W$505,BL$3,実績!$AC$6:$AC$505,"&lt;="&amp;$A19,実績!$AD$6:$AD$505,"&gt;"&amp;$A19,実績!$AE$6:$AE$505,"○")&gt;0,1,0))</f>
        <v/>
      </c>
      <c r="BM19">
        <f>IF(BM$4=0,0,IF(COUNTIFS(実績!$W$6:$W$505,BM$3,実績!$AC$6:$AC$505,"&lt;="&amp;$A19,実績!$AD$6:$AD$505,"&gt;"&amp;$A19,実績!$AE$6:$AE$505,"○")&gt;0,1,0))</f>
        <v/>
      </c>
      <c r="BN19">
        <f>IF(BN$4=0,0,IF(COUNTIFS(実績!$W$6:$W$505,BN$3,実績!$AC$6:$AC$505,"&lt;="&amp;$A19,実績!$AD$6:$AD$505,"&gt;"&amp;$A19,実績!$AE$6:$AE$505,"○")&gt;0,1,0))</f>
        <v/>
      </c>
      <c r="BO19">
        <f>IF(BO$4=0,0,IF(COUNTIFS(実績!$W$6:$W$505,BO$3,実績!$AC$6:$AC$505,"&lt;="&amp;$A19,実績!$AD$6:$AD$505,"&gt;"&amp;$A19,実績!$AE$6:$AE$505,"○")&gt;0,1,0))</f>
        <v/>
      </c>
      <c r="BP19">
        <f>IF(BP$4=0,0,IF(COUNTIFS(実績!$W$6:$W$505,BP$3,実績!$AC$6:$AC$505,"&lt;="&amp;$A19,実績!$AD$6:$AD$505,"&gt;"&amp;$A19,実績!$AE$6:$AE$505,"○")&gt;0,1,0))</f>
        <v/>
      </c>
      <c r="BQ19">
        <f>IF(BQ$4=0,0,IF(COUNTIFS(実績!$W$6:$W$505,BQ$3,実績!$AC$6:$AC$505,"&lt;="&amp;$A19,実績!$AD$6:$AD$505,"&gt;"&amp;$A19,実績!$AE$6:$AE$505,"○")&gt;0,1,0))</f>
        <v/>
      </c>
      <c r="BR19">
        <f>IF(BR$4=0,0,IF(COUNTIFS(実績!$W$6:$W$505,BR$3,実績!$AC$6:$AC$505,"&lt;="&amp;$A19,実績!$AD$6:$AD$505,"&gt;"&amp;$A19,実績!$AE$6:$AE$505,"○")&gt;0,1,0))</f>
        <v/>
      </c>
      <c r="BS19">
        <f>IF(BS$4=0,0,IF(COUNTIFS(実績!$W$6:$W$505,BS$3,実績!$AC$6:$AC$505,"&lt;="&amp;$A19,実績!$AD$6:$AD$505,"&gt;"&amp;$A19,実績!$AE$6:$AE$505,"○")&gt;0,1,0))</f>
        <v/>
      </c>
      <c r="BT19">
        <f>IF(BT$4=0,0,IF(COUNTIFS(実績!$W$6:$W$505,BT$3,実績!$AC$6:$AC$505,"&lt;="&amp;$A19,実績!$AD$6:$AD$505,"&gt;"&amp;$A19,実績!$AE$6:$AE$505,"○")&gt;0,1,0))</f>
        <v/>
      </c>
      <c r="BU19">
        <f>IF(BU$4=0,0,IF(COUNTIFS(実績!$W$6:$W$505,BU$3,実績!$AC$6:$AC$505,"&lt;="&amp;$A19,実績!$AD$6:$AD$505,"&gt;"&amp;$A19,実績!$AE$6:$AE$505,"○")&gt;0,1,0))</f>
        <v/>
      </c>
      <c r="BV19">
        <f>IF(BV$4=0,0,IF(COUNTIFS(実績!$W$6:$W$505,BV$3,実績!$AC$6:$AC$505,"&lt;="&amp;$A19,実績!$AD$6:$AD$505,"&gt;"&amp;$A19,実績!$AE$6:$AE$505,"○")&gt;0,1,0))</f>
        <v/>
      </c>
      <c r="BW19">
        <f>IF(BW$4=0,0,IF(COUNTIFS(実績!$W$6:$W$505,BW$3,実績!$AC$6:$AC$505,"&lt;="&amp;$A19,実績!$AD$6:$AD$505,"&gt;"&amp;$A19,実績!$AE$6:$AE$505,"○")&gt;0,1,0))</f>
        <v/>
      </c>
      <c r="BX19">
        <f>IF(BX$4=0,0,IF(COUNTIFS(実績!$W$6:$W$505,BX$3,実績!$AC$6:$AC$505,"&lt;="&amp;$A19,実績!$AD$6:$AD$505,"&gt;"&amp;$A19,実績!$AE$6:$AE$505,"○")&gt;0,1,0))</f>
        <v/>
      </c>
      <c r="BY19">
        <f>IF(BY$4=0,0,IF(COUNTIFS(実績!$W$6:$W$505,BY$3,実績!$AC$6:$AC$505,"&lt;="&amp;$A19,実績!$AD$6:$AD$505,"&gt;"&amp;$A19,実績!$AE$6:$AE$505,"○")&gt;0,1,0))</f>
        <v/>
      </c>
      <c r="BZ19">
        <f>IF(BZ$4=0,0,IF(COUNTIFS(実績!$W$6:$W$505,BZ$3,実績!$AC$6:$AC$505,"&lt;="&amp;$A19,実績!$AD$6:$AD$505,"&gt;"&amp;$A19,実績!$AE$6:$AE$505,"○")&gt;0,1,0))</f>
        <v/>
      </c>
      <c r="CA19">
        <f>IF(CA$4=0,0,IF(COUNTIFS(実績!$W$6:$W$505,CA$3,実績!$AC$6:$AC$505,"&lt;="&amp;$A19,実績!$AD$6:$AD$505,"&gt;"&amp;$A19,実績!$AE$6:$AE$505,"○")&gt;0,1,0))</f>
        <v/>
      </c>
      <c r="CB19">
        <f>IF(CB$4=0,0,IF(COUNTIFS(実績!$W$6:$W$505,CB$3,実績!$AC$6:$AC$505,"&lt;="&amp;$A19,実績!$AD$6:$AD$505,"&gt;"&amp;$A19,実績!$AE$6:$AE$505,"○")&gt;0,1,0))</f>
        <v/>
      </c>
      <c r="CC19">
        <f>IF(CC$4=0,0,IF(COUNTIFS(実績!$W$6:$W$505,CC$3,実績!$AC$6:$AC$505,"&lt;="&amp;$A19,実績!$AD$6:$AD$505,"&gt;"&amp;$A19,実績!$AE$6:$AE$505,"○")&gt;0,1,0))</f>
        <v/>
      </c>
      <c r="CD19">
        <f>IF(CD$4=0,0,IF(COUNTIFS(実績!$W$6:$W$505,CD$3,実績!$AC$6:$AC$505,"&lt;="&amp;$A19,実績!$AD$6:$AD$505,"&gt;"&amp;$A19,実績!$AE$6:$AE$505,"○")&gt;0,1,0))</f>
        <v/>
      </c>
      <c r="CE19">
        <f>IF(CE$4=0,0,IF(COUNTIFS(実績!$W$6:$W$505,CE$3,実績!$AC$6:$AC$505,"&lt;="&amp;$A19,実績!$AD$6:$AD$505,"&gt;"&amp;$A19,実績!$AE$6:$AE$505,"○")&gt;0,1,0))</f>
        <v/>
      </c>
      <c r="CF19">
        <f>IF(CF$4=0,0,IF(COUNTIFS(実績!$W$6:$W$505,CF$3,実績!$AC$6:$AC$505,"&lt;="&amp;$A19,実績!$AD$6:$AD$505,"&gt;"&amp;$A19,実績!$AE$6:$AE$505,"○")&gt;0,1,0))</f>
        <v/>
      </c>
      <c r="CG19">
        <f>IF(CG$4=0,0,IF(COUNTIFS(実績!$W$6:$W$505,CG$3,実績!$AC$6:$AC$505,"&lt;="&amp;$A19,実績!$AD$6:$AD$505,"&gt;"&amp;$A19,実績!$AE$6:$AE$505,"○")&gt;0,1,0))</f>
        <v/>
      </c>
      <c r="CH19">
        <f>IF(CH$4=0,0,IF(COUNTIFS(実績!$W$6:$W$505,CH$3,実績!$AC$6:$AC$505,"&lt;="&amp;$A19,実績!$AD$6:$AD$505,"&gt;"&amp;$A19,実績!$AE$6:$AE$505,"○")&gt;0,1,0))</f>
        <v/>
      </c>
      <c r="CI19">
        <f>IF(CI$4=0,0,IF(COUNTIFS(実績!$W$6:$W$505,CI$3,実績!$AC$6:$AC$505,"&lt;="&amp;$A19,実績!$AD$6:$AD$505,"&gt;"&amp;$A19,実績!$AE$6:$AE$505,"○")&gt;0,1,0))</f>
        <v/>
      </c>
      <c r="CJ19">
        <f>IF(CJ$4=0,0,IF(COUNTIFS(実績!$W$6:$W$505,CJ$3,実績!$AC$6:$AC$505,"&lt;="&amp;$A19,実績!$AD$6:$AD$505,"&gt;"&amp;$A19,実績!$AE$6:$AE$505,"○")&gt;0,1,0))</f>
        <v/>
      </c>
      <c r="CK19">
        <f>IF(CK$4=0,0,IF(COUNTIFS(実績!$W$6:$W$505,CK$3,実績!$AC$6:$AC$505,"&lt;="&amp;$A19,実績!$AD$6:$AD$505,"&gt;"&amp;$A19,実績!$AE$6:$AE$505,"○")&gt;0,1,0))</f>
        <v/>
      </c>
      <c r="CL19">
        <f>IF(CL$4=0,0,IF(COUNTIFS(実績!$W$6:$W$505,CL$3,実績!$AC$6:$AC$505,"&lt;="&amp;$A19,実績!$AD$6:$AD$505,"&gt;"&amp;$A19,実績!$AE$6:$AE$505,"○")&gt;0,1,0))</f>
        <v/>
      </c>
      <c r="CM19">
        <f>IF(CM$4=0,0,IF(COUNTIFS(実績!$W$6:$W$505,CM$3,実績!$AC$6:$AC$505,"&lt;="&amp;$A19,実績!$AD$6:$AD$505,"&gt;"&amp;$A19,実績!$AE$6:$AE$505,"○")&gt;0,1,0))</f>
        <v/>
      </c>
      <c r="CN19">
        <f>IF(CN$4=0,0,IF(COUNTIFS(実績!$W$6:$W$505,CN$3,実績!$AC$6:$AC$505,"&lt;="&amp;$A19,実績!$AD$6:$AD$505,"&gt;"&amp;$A19,実績!$AE$6:$AE$505,"○")&gt;0,1,0))</f>
        <v/>
      </c>
      <c r="CO19">
        <f>IF(CO$4=0,0,IF(COUNTIFS(実績!$W$6:$W$505,CO$3,実績!$AC$6:$AC$505,"&lt;="&amp;$A19,実績!$AD$6:$AD$505,"&gt;"&amp;$A19,実績!$AE$6:$AE$505,"○")&gt;0,1,0))</f>
        <v/>
      </c>
      <c r="CP19">
        <f>IF(CP$4=0,0,IF(COUNTIFS(実績!$W$6:$W$505,CP$3,実績!$AC$6:$AC$505,"&lt;="&amp;$A19,実績!$AD$6:$AD$505,"&gt;"&amp;$A19,実績!$AE$6:$AE$505,"○")&gt;0,1,0))</f>
        <v/>
      </c>
      <c r="CQ19">
        <f>IF(CQ$4=0,0,IF(COUNTIFS(実績!$W$6:$W$505,CQ$3,実績!$AC$6:$AC$505,"&lt;="&amp;$A19,実績!$AD$6:$AD$505,"&gt;"&amp;$A19,実績!$AE$6:$AE$505,"○")&gt;0,1,0))</f>
        <v/>
      </c>
      <c r="CR19">
        <f>IF(CR$4=0,0,IF(COUNTIFS(実績!$W$6:$W$505,CR$3,実績!$AC$6:$AC$505,"&lt;="&amp;$A19,実績!$AD$6:$AD$505,"&gt;"&amp;$A19,実績!$AE$6:$AE$505,"○")&gt;0,1,0))</f>
        <v/>
      </c>
      <c r="CS19">
        <f>IF(CS$4=0,0,IF(COUNTIFS(実績!$W$6:$W$505,CS$3,実績!$AC$6:$AC$505,"&lt;="&amp;$A19,実績!$AD$6:$AD$505,"&gt;"&amp;$A19,実績!$AE$6:$AE$505,"○")&gt;0,1,0))</f>
        <v/>
      </c>
      <c r="CT19">
        <f>IF(CT$4=0,0,IF(COUNTIFS(実績!$W$6:$W$505,CT$3,実績!$AC$6:$AC$505,"&lt;="&amp;$A19,実績!$AD$6:$AD$505,"&gt;"&amp;$A19,実績!$AE$6:$AE$505,"○")&gt;0,1,0))</f>
        <v/>
      </c>
      <c r="CU19">
        <f>IF(CU$4=0,0,IF(COUNTIFS(実績!$W$6:$W$505,CU$3,実績!$AC$6:$AC$505,"&lt;="&amp;$A19,実績!$AD$6:$AD$505,"&gt;"&amp;$A19,実績!$AE$6:$AE$505,"○")&gt;0,1,0))</f>
        <v/>
      </c>
      <c r="CV19">
        <f>IF(CV$4=0,0,IF(COUNTIFS(実績!$W$6:$W$505,CV$3,実績!$AC$6:$AC$505,"&lt;="&amp;$A19,実績!$AD$6:$AD$505,"&gt;"&amp;$A19,実績!$AE$6:$AE$505,"○")&gt;0,1,0))</f>
        <v/>
      </c>
      <c r="CW19">
        <f>IF(CW$4=0,0,IF(COUNTIFS(実績!$W$6:$W$505,CW$3,実績!$AC$6:$AC$505,"&lt;="&amp;$A19,実績!$AD$6:$AD$505,"&gt;"&amp;$A19,実績!$AE$6:$AE$505,"○")&gt;0,1,0))</f>
        <v/>
      </c>
      <c r="CX19">
        <f>IF(CX$4=0,0,IF(COUNTIFS(実績!$W$6:$W$505,CX$3,実績!$AC$6:$AC$505,"&lt;="&amp;$A19,実績!$AD$6:$AD$505,"&gt;"&amp;$A19,実績!$AE$6:$AE$505,"○")&gt;0,1,0))</f>
        <v/>
      </c>
      <c r="CY19">
        <f>IF(CY$4=0,0,IF(COUNTIFS(実績!$W$6:$W$505,CY$3,実績!$AC$6:$AC$505,"&lt;="&amp;$A19,実績!$AD$6:$AD$505,"&gt;"&amp;$A19,実績!$AE$6:$AE$505,"○")&gt;0,1,0))</f>
        <v/>
      </c>
      <c r="CZ19">
        <f>IF(CZ$4=0,0,IF(COUNTIFS(実績!$W$6:$W$505,CZ$3,実績!$AC$6:$AC$505,"&lt;="&amp;$A19,実績!$AD$6:$AD$505,"&gt;"&amp;$A19,実績!$AE$6:$AE$505,"○")&gt;0,1,0))</f>
        <v/>
      </c>
      <c r="DA19">
        <f>IF(DA$4=0,0,IF(COUNTIFS(実績!$W$6:$W$505,DA$3,実績!$AC$6:$AC$505,"&lt;="&amp;$A19,実績!$AD$6:$AD$505,"&gt;"&amp;$A19,実績!$AE$6:$AE$505,"○")&gt;0,1,0))</f>
        <v/>
      </c>
      <c r="DB19">
        <f>IF(DB$4=0,0,IF(COUNTIFS(実績!$W$6:$W$505,DB$3,実績!$AC$6:$AC$505,"&lt;="&amp;$A19,実績!$AD$6:$AD$505,"&gt;"&amp;$A19,実績!$AE$6:$AE$505,"○")&gt;0,1,0))</f>
        <v/>
      </c>
      <c r="DC19">
        <f>IF(DC$4=0,0,IF(COUNTIFS(実績!$W$6:$W$505,DC$3,実績!$AC$6:$AC$505,"&lt;="&amp;$A19,実績!$AD$6:$AD$505,"&gt;"&amp;$A19,実績!$AE$6:$AE$505,"○")&gt;0,1,0))</f>
        <v/>
      </c>
      <c r="DD19">
        <f>IF(DD$4=0,0,IF(COUNTIFS(実績!$W$6:$W$505,DD$3,実績!$AC$6:$AC$505,"&lt;="&amp;$A19,実績!$AD$6:$AD$505,"&gt;"&amp;$A19,実績!$AE$6:$AE$505,"○")&gt;0,1,0))</f>
        <v/>
      </c>
      <c r="DE19">
        <f>IF(DE$4=0,0,IF(COUNTIFS(実績!$W$6:$W$505,DE$3,実績!$AC$6:$AC$505,"&lt;="&amp;$A19,実績!$AD$6:$AD$505,"&gt;"&amp;$A19,実績!$AE$6:$AE$505,"○")&gt;0,1,0))</f>
        <v/>
      </c>
      <c r="DF19">
        <f>IF(DF$4=0,0,IF(COUNTIFS(実績!$W$6:$W$505,DF$3,実績!$AC$6:$AC$505,"&lt;="&amp;$A19,実績!$AD$6:$AD$505,"&gt;"&amp;$A19,実績!$AE$6:$AE$505,"○")&gt;0,1,0))</f>
        <v/>
      </c>
      <c r="DG19">
        <f>IF(DG$4=0,0,IF(COUNTIFS(実績!$W$6:$W$505,DG$3,実績!$AC$6:$AC$505,"&lt;="&amp;$A19,実績!$AD$6:$AD$505,"&gt;"&amp;$A19,実績!$AE$6:$AE$505,"○")&gt;0,1,0))</f>
        <v/>
      </c>
      <c r="DH19">
        <f>IF(DH$4=0,0,IF(COUNTIFS(実績!$W$6:$W$505,DH$3,実績!$AC$6:$AC$505,"&lt;="&amp;$A19,実績!$AD$6:$AD$505,"&gt;"&amp;$A19,実績!$AE$6:$AE$505,"○")&gt;0,1,0))</f>
        <v/>
      </c>
      <c r="DI19">
        <f>IF(DI$4=0,0,IF(COUNTIFS(実績!$W$6:$W$505,DI$3,実績!$AC$6:$AC$505,"&lt;="&amp;$A19,実績!$AD$6:$AD$505,"&gt;"&amp;$A19,実績!$AE$6:$AE$505,"○")&gt;0,1,0))</f>
        <v/>
      </c>
      <c r="DJ19">
        <f>IF(DJ$4=0,0,IF(COUNTIFS(実績!$W$6:$W$505,DJ$3,実績!$AC$6:$AC$505,"&lt;="&amp;$A19,実績!$AD$6:$AD$505,"&gt;"&amp;$A19,実績!$AE$6:$AE$505,"○")&gt;0,1,0))</f>
        <v/>
      </c>
      <c r="DK19">
        <f>IF(DK$4=0,0,IF(COUNTIFS(実績!$W$6:$W$505,DK$3,実績!$AC$6:$AC$505,"&lt;="&amp;$A19,実績!$AD$6:$AD$505,"&gt;"&amp;$A19,実績!$AE$6:$AE$505,"○")&gt;0,1,0))</f>
        <v/>
      </c>
      <c r="DL19">
        <f>IF(DL$4=0,0,IF(COUNTIFS(実績!$W$6:$W$505,DL$3,実績!$AC$6:$AC$505,"&lt;="&amp;$A19,実績!$AD$6:$AD$505,"&gt;"&amp;$A19,実績!$AE$6:$AE$505,"○")&gt;0,1,0))</f>
        <v/>
      </c>
      <c r="DM19">
        <f>IF(DM$4=0,0,IF(COUNTIFS(実績!$W$6:$W$505,DM$3,実績!$AC$6:$AC$505,"&lt;="&amp;$A19,実績!$AD$6:$AD$505,"&gt;"&amp;$A19,実績!$AE$6:$AE$505,"○")&gt;0,1,0))</f>
        <v/>
      </c>
      <c r="DN19">
        <f>IF(DN$4=0,0,IF(COUNTIFS(実績!$W$6:$W$505,DN$3,実績!$AC$6:$AC$505,"&lt;="&amp;$A19,実績!$AD$6:$AD$505,"&gt;"&amp;$A19,実績!$AE$6:$AE$505,"○")&gt;0,1,0))</f>
        <v/>
      </c>
      <c r="DO19">
        <f>IF(DO$4=0,0,IF(COUNTIFS(実績!$W$6:$W$505,DO$3,実績!$AC$6:$AC$505,"&lt;="&amp;$A19,実績!$AD$6:$AD$505,"&gt;"&amp;$A19,実績!$AE$6:$AE$505,"○")&gt;0,1,0))</f>
        <v/>
      </c>
      <c r="DP19">
        <f>IF(DP$4=0,0,IF(COUNTIFS(実績!$W$6:$W$505,DP$3,実績!$AC$6:$AC$505,"&lt;="&amp;$A19,実績!$AD$6:$AD$505,"&gt;"&amp;$A19,実績!$AE$6:$AE$505,"○")&gt;0,1,0))</f>
        <v/>
      </c>
      <c r="DQ19">
        <f>IF(DQ$4=0,0,IF(COUNTIFS(実績!$W$6:$W$505,DQ$3,実績!$AC$6:$AC$505,"&lt;="&amp;$A19,実績!$AD$6:$AD$505,"&gt;"&amp;$A19,実績!$AE$6:$AE$505,"○")&gt;0,1,0))</f>
        <v/>
      </c>
      <c r="DR19">
        <f>IF(DR$4=0,0,IF(COUNTIFS(実績!$W$6:$W$505,DR$3,実績!$AC$6:$AC$505,"&lt;="&amp;$A19,実績!$AD$6:$AD$505,"&gt;"&amp;$A19,実績!$AE$6:$AE$505,"○")&gt;0,1,0))</f>
        <v/>
      </c>
      <c r="DS19">
        <f>SUM(C19:DR19)</f>
        <v/>
      </c>
      <c r="DT19">
        <f>SUMPRODUCT((実績!$C$6:$C$505="○")*ISNUMBER(実績!$AF$6:$AF$505)*(実績!$AF$6:$AF$505&lt;=$A19)*(実績!$AG$6:$AG$505&gt;$A19))</f>
        <v/>
      </c>
      <c r="DU19">
        <f>SUMIF($C$2:$DR$2,"製鉄曳船",C19:DR19)</f>
        <v/>
      </c>
      <c r="DV19">
        <f>SUMIF($C$2:$DR$2,"西日本海運",C19:DR19)</f>
        <v/>
      </c>
    </row>
    <row r="20">
      <c r="A20" t="n">
        <v>70</v>
      </c>
      <c r="B20" s="29">
        <f>A20/1440</f>
        <v/>
      </c>
      <c r="C20">
        <f>IF(C$4=0,0,IF(COUNTIFS(実績!$W$6:$W$505,C$3,実績!$AC$6:$AC$505,"&lt;="&amp;$A20,実績!$AD$6:$AD$505,"&gt;"&amp;$A20,実績!$AE$6:$AE$505,"○")&gt;0,1,0))</f>
        <v/>
      </c>
      <c r="D20">
        <f>IF(D$4=0,0,IF(COUNTIFS(実績!$W$6:$W$505,D$3,実績!$AC$6:$AC$505,"&lt;="&amp;$A20,実績!$AD$6:$AD$505,"&gt;"&amp;$A20,実績!$AE$6:$AE$505,"○")&gt;0,1,0))</f>
        <v/>
      </c>
      <c r="E20">
        <f>IF(E$4=0,0,IF(COUNTIFS(実績!$W$6:$W$505,E$3,実績!$AC$6:$AC$505,"&lt;="&amp;$A20,実績!$AD$6:$AD$505,"&gt;"&amp;$A20,実績!$AE$6:$AE$505,"○")&gt;0,1,0))</f>
        <v/>
      </c>
      <c r="F20">
        <f>IF(F$4=0,0,IF(COUNTIFS(実績!$W$6:$W$505,F$3,実績!$AC$6:$AC$505,"&lt;="&amp;$A20,実績!$AD$6:$AD$505,"&gt;"&amp;$A20,実績!$AE$6:$AE$505,"○")&gt;0,1,0))</f>
        <v/>
      </c>
      <c r="G20">
        <f>IF(G$4=0,0,IF(COUNTIFS(実績!$W$6:$W$505,G$3,実績!$AC$6:$AC$505,"&lt;="&amp;$A20,実績!$AD$6:$AD$505,"&gt;"&amp;$A20,実績!$AE$6:$AE$505,"○")&gt;0,1,0))</f>
        <v/>
      </c>
      <c r="H20">
        <f>IF(H$4=0,0,IF(COUNTIFS(実績!$W$6:$W$505,H$3,実績!$AC$6:$AC$505,"&lt;="&amp;$A20,実績!$AD$6:$AD$505,"&gt;"&amp;$A20,実績!$AE$6:$AE$505,"○")&gt;0,1,0))</f>
        <v/>
      </c>
      <c r="I20">
        <f>IF(I$4=0,0,IF(COUNTIFS(実績!$W$6:$W$505,I$3,実績!$AC$6:$AC$505,"&lt;="&amp;$A20,実績!$AD$6:$AD$505,"&gt;"&amp;$A20,実績!$AE$6:$AE$505,"○")&gt;0,1,0))</f>
        <v/>
      </c>
      <c r="J20">
        <f>IF(J$4=0,0,IF(COUNTIFS(実績!$W$6:$W$505,J$3,実績!$AC$6:$AC$505,"&lt;="&amp;$A20,実績!$AD$6:$AD$505,"&gt;"&amp;$A20,実績!$AE$6:$AE$505,"○")&gt;0,1,0))</f>
        <v/>
      </c>
      <c r="K20">
        <f>IF(K$4=0,0,IF(COUNTIFS(実績!$W$6:$W$505,K$3,実績!$AC$6:$AC$505,"&lt;="&amp;$A20,実績!$AD$6:$AD$505,"&gt;"&amp;$A20,実績!$AE$6:$AE$505,"○")&gt;0,1,0))</f>
        <v/>
      </c>
      <c r="L20">
        <f>IF(L$4=0,0,IF(COUNTIFS(実績!$W$6:$W$505,L$3,実績!$AC$6:$AC$505,"&lt;="&amp;$A20,実績!$AD$6:$AD$505,"&gt;"&amp;$A20,実績!$AE$6:$AE$505,"○")&gt;0,1,0))</f>
        <v/>
      </c>
      <c r="M20">
        <f>IF(M$4=0,0,IF(COUNTIFS(実績!$W$6:$W$505,M$3,実績!$AC$6:$AC$505,"&lt;="&amp;$A20,実績!$AD$6:$AD$505,"&gt;"&amp;$A20,実績!$AE$6:$AE$505,"○")&gt;0,1,0))</f>
        <v/>
      </c>
      <c r="N20">
        <f>IF(N$4=0,0,IF(COUNTIFS(実績!$W$6:$W$505,N$3,実績!$AC$6:$AC$505,"&lt;="&amp;$A20,実績!$AD$6:$AD$505,"&gt;"&amp;$A20,実績!$AE$6:$AE$505,"○")&gt;0,1,0))</f>
        <v/>
      </c>
      <c r="O20">
        <f>IF(O$4=0,0,IF(COUNTIFS(実績!$W$6:$W$505,O$3,実績!$AC$6:$AC$505,"&lt;="&amp;$A20,実績!$AD$6:$AD$505,"&gt;"&amp;$A20,実績!$AE$6:$AE$505,"○")&gt;0,1,0))</f>
        <v/>
      </c>
      <c r="P20">
        <f>IF(P$4=0,0,IF(COUNTIFS(実績!$W$6:$W$505,P$3,実績!$AC$6:$AC$505,"&lt;="&amp;$A20,実績!$AD$6:$AD$505,"&gt;"&amp;$A20,実績!$AE$6:$AE$505,"○")&gt;0,1,0))</f>
        <v/>
      </c>
      <c r="Q20">
        <f>IF(Q$4=0,0,IF(COUNTIFS(実績!$W$6:$W$505,Q$3,実績!$AC$6:$AC$505,"&lt;="&amp;$A20,実績!$AD$6:$AD$505,"&gt;"&amp;$A20,実績!$AE$6:$AE$505,"○")&gt;0,1,0))</f>
        <v/>
      </c>
      <c r="R20">
        <f>IF(R$4=0,0,IF(COUNTIFS(実績!$W$6:$W$505,R$3,実績!$AC$6:$AC$505,"&lt;="&amp;$A20,実績!$AD$6:$AD$505,"&gt;"&amp;$A20,実績!$AE$6:$AE$505,"○")&gt;0,1,0))</f>
        <v/>
      </c>
      <c r="S20">
        <f>IF(S$4=0,0,IF(COUNTIFS(実績!$W$6:$W$505,S$3,実績!$AC$6:$AC$505,"&lt;="&amp;$A20,実績!$AD$6:$AD$505,"&gt;"&amp;$A20,実績!$AE$6:$AE$505,"○")&gt;0,1,0))</f>
        <v/>
      </c>
      <c r="T20">
        <f>IF(T$4=0,0,IF(COUNTIFS(実績!$W$6:$W$505,T$3,実績!$AC$6:$AC$505,"&lt;="&amp;$A20,実績!$AD$6:$AD$505,"&gt;"&amp;$A20,実績!$AE$6:$AE$505,"○")&gt;0,1,0))</f>
        <v/>
      </c>
      <c r="U20">
        <f>IF(U$4=0,0,IF(COUNTIFS(実績!$W$6:$W$505,U$3,実績!$AC$6:$AC$505,"&lt;="&amp;$A20,実績!$AD$6:$AD$505,"&gt;"&amp;$A20,実績!$AE$6:$AE$505,"○")&gt;0,1,0))</f>
        <v/>
      </c>
      <c r="V20">
        <f>IF(V$4=0,0,IF(COUNTIFS(実績!$W$6:$W$505,V$3,実績!$AC$6:$AC$505,"&lt;="&amp;$A20,実績!$AD$6:$AD$505,"&gt;"&amp;$A20,実績!$AE$6:$AE$505,"○")&gt;0,1,0))</f>
        <v/>
      </c>
      <c r="W20">
        <f>IF(W$4=0,0,IF(COUNTIFS(実績!$W$6:$W$505,W$3,実績!$AC$6:$AC$505,"&lt;="&amp;$A20,実績!$AD$6:$AD$505,"&gt;"&amp;$A20,実績!$AE$6:$AE$505,"○")&gt;0,1,0))</f>
        <v/>
      </c>
      <c r="X20">
        <f>IF(X$4=0,0,IF(COUNTIFS(実績!$W$6:$W$505,X$3,実績!$AC$6:$AC$505,"&lt;="&amp;$A20,実績!$AD$6:$AD$505,"&gt;"&amp;$A20,実績!$AE$6:$AE$505,"○")&gt;0,1,0))</f>
        <v/>
      </c>
      <c r="Y20">
        <f>IF(Y$4=0,0,IF(COUNTIFS(実績!$W$6:$W$505,Y$3,実績!$AC$6:$AC$505,"&lt;="&amp;$A20,実績!$AD$6:$AD$505,"&gt;"&amp;$A20,実績!$AE$6:$AE$505,"○")&gt;0,1,0))</f>
        <v/>
      </c>
      <c r="Z20">
        <f>IF(Z$4=0,0,IF(COUNTIFS(実績!$W$6:$W$505,Z$3,実績!$AC$6:$AC$505,"&lt;="&amp;$A20,実績!$AD$6:$AD$505,"&gt;"&amp;$A20,実績!$AE$6:$AE$505,"○")&gt;0,1,0))</f>
        <v/>
      </c>
      <c r="AA20">
        <f>IF(AA$4=0,0,IF(COUNTIFS(実績!$W$6:$W$505,AA$3,実績!$AC$6:$AC$505,"&lt;="&amp;$A20,実績!$AD$6:$AD$505,"&gt;"&amp;$A20,実績!$AE$6:$AE$505,"○")&gt;0,1,0))</f>
        <v/>
      </c>
      <c r="AB20">
        <f>IF(AB$4=0,0,IF(COUNTIFS(実績!$W$6:$W$505,AB$3,実績!$AC$6:$AC$505,"&lt;="&amp;$A20,実績!$AD$6:$AD$505,"&gt;"&amp;$A20,実績!$AE$6:$AE$505,"○")&gt;0,1,0))</f>
        <v/>
      </c>
      <c r="AC20">
        <f>IF(AC$4=0,0,IF(COUNTIFS(実績!$W$6:$W$505,AC$3,実績!$AC$6:$AC$505,"&lt;="&amp;$A20,実績!$AD$6:$AD$505,"&gt;"&amp;$A20,実績!$AE$6:$AE$505,"○")&gt;0,1,0))</f>
        <v/>
      </c>
      <c r="AD20">
        <f>IF(AD$4=0,0,IF(COUNTIFS(実績!$W$6:$W$505,AD$3,実績!$AC$6:$AC$505,"&lt;="&amp;$A20,実績!$AD$6:$AD$505,"&gt;"&amp;$A20,実績!$AE$6:$AE$505,"○")&gt;0,1,0))</f>
        <v/>
      </c>
      <c r="AE20">
        <f>IF(AE$4=0,0,IF(COUNTIFS(実績!$W$6:$W$505,AE$3,実績!$AC$6:$AC$505,"&lt;="&amp;$A20,実績!$AD$6:$AD$505,"&gt;"&amp;$A20,実績!$AE$6:$AE$505,"○")&gt;0,1,0))</f>
        <v/>
      </c>
      <c r="AF20">
        <f>IF(AF$4=0,0,IF(COUNTIFS(実績!$W$6:$W$505,AF$3,実績!$AC$6:$AC$505,"&lt;="&amp;$A20,実績!$AD$6:$AD$505,"&gt;"&amp;$A20,実績!$AE$6:$AE$505,"○")&gt;0,1,0))</f>
        <v/>
      </c>
      <c r="AG20">
        <f>IF(AG$4=0,0,IF(COUNTIFS(実績!$W$6:$W$505,AG$3,実績!$AC$6:$AC$505,"&lt;="&amp;$A20,実績!$AD$6:$AD$505,"&gt;"&amp;$A20,実績!$AE$6:$AE$505,"○")&gt;0,1,0))</f>
        <v/>
      </c>
      <c r="AH20">
        <f>IF(AH$4=0,0,IF(COUNTIFS(実績!$W$6:$W$505,AH$3,実績!$AC$6:$AC$505,"&lt;="&amp;$A20,実績!$AD$6:$AD$505,"&gt;"&amp;$A20,実績!$AE$6:$AE$505,"○")&gt;0,1,0))</f>
        <v/>
      </c>
      <c r="AI20">
        <f>IF(AI$4=0,0,IF(COUNTIFS(実績!$W$6:$W$505,AI$3,実績!$AC$6:$AC$505,"&lt;="&amp;$A20,実績!$AD$6:$AD$505,"&gt;"&amp;$A20,実績!$AE$6:$AE$505,"○")&gt;0,1,0))</f>
        <v/>
      </c>
      <c r="AJ20">
        <f>IF(AJ$4=0,0,IF(COUNTIFS(実績!$W$6:$W$505,AJ$3,実績!$AC$6:$AC$505,"&lt;="&amp;$A20,実績!$AD$6:$AD$505,"&gt;"&amp;$A20,実績!$AE$6:$AE$505,"○")&gt;0,1,0))</f>
        <v/>
      </c>
      <c r="AK20">
        <f>IF(AK$4=0,0,IF(COUNTIFS(実績!$W$6:$W$505,AK$3,実績!$AC$6:$AC$505,"&lt;="&amp;$A20,実績!$AD$6:$AD$505,"&gt;"&amp;$A20,実績!$AE$6:$AE$505,"○")&gt;0,1,0))</f>
        <v/>
      </c>
      <c r="AL20">
        <f>IF(AL$4=0,0,IF(COUNTIFS(実績!$W$6:$W$505,AL$3,実績!$AC$6:$AC$505,"&lt;="&amp;$A20,実績!$AD$6:$AD$505,"&gt;"&amp;$A20,実績!$AE$6:$AE$505,"○")&gt;0,1,0))</f>
        <v/>
      </c>
      <c r="AM20">
        <f>IF(AM$4=0,0,IF(COUNTIFS(実績!$W$6:$W$505,AM$3,実績!$AC$6:$AC$505,"&lt;="&amp;$A20,実績!$AD$6:$AD$505,"&gt;"&amp;$A20,実績!$AE$6:$AE$505,"○")&gt;0,1,0))</f>
        <v/>
      </c>
      <c r="AN20">
        <f>IF(AN$4=0,0,IF(COUNTIFS(実績!$W$6:$W$505,AN$3,実績!$AC$6:$AC$505,"&lt;="&amp;$A20,実績!$AD$6:$AD$505,"&gt;"&amp;$A20,実績!$AE$6:$AE$505,"○")&gt;0,1,0))</f>
        <v/>
      </c>
      <c r="AO20">
        <f>IF(AO$4=0,0,IF(COUNTIFS(実績!$W$6:$W$505,AO$3,実績!$AC$6:$AC$505,"&lt;="&amp;$A20,実績!$AD$6:$AD$505,"&gt;"&amp;$A20,実績!$AE$6:$AE$505,"○")&gt;0,1,0))</f>
        <v/>
      </c>
      <c r="AP20">
        <f>IF(AP$4=0,0,IF(COUNTIFS(実績!$W$6:$W$505,AP$3,実績!$AC$6:$AC$505,"&lt;="&amp;$A20,実績!$AD$6:$AD$505,"&gt;"&amp;$A20,実績!$AE$6:$AE$505,"○")&gt;0,1,0))</f>
        <v/>
      </c>
      <c r="AQ20">
        <f>IF(AQ$4=0,0,IF(COUNTIFS(実績!$W$6:$W$505,AQ$3,実績!$AC$6:$AC$505,"&lt;="&amp;$A20,実績!$AD$6:$AD$505,"&gt;"&amp;$A20,実績!$AE$6:$AE$505,"○")&gt;0,1,0))</f>
        <v/>
      </c>
      <c r="AR20">
        <f>IF(AR$4=0,0,IF(COUNTIFS(実績!$W$6:$W$505,AR$3,実績!$AC$6:$AC$505,"&lt;="&amp;$A20,実績!$AD$6:$AD$505,"&gt;"&amp;$A20,実績!$AE$6:$AE$505,"○")&gt;0,1,0))</f>
        <v/>
      </c>
      <c r="AS20">
        <f>IF(AS$4=0,0,IF(COUNTIFS(実績!$W$6:$W$505,AS$3,実績!$AC$6:$AC$505,"&lt;="&amp;$A20,実績!$AD$6:$AD$505,"&gt;"&amp;$A20,実績!$AE$6:$AE$505,"○")&gt;0,1,0))</f>
        <v/>
      </c>
      <c r="AT20">
        <f>IF(AT$4=0,0,IF(COUNTIFS(実績!$W$6:$W$505,AT$3,実績!$AC$6:$AC$505,"&lt;="&amp;$A20,実績!$AD$6:$AD$505,"&gt;"&amp;$A20,実績!$AE$6:$AE$505,"○")&gt;0,1,0))</f>
        <v/>
      </c>
      <c r="AU20">
        <f>IF(AU$4=0,0,IF(COUNTIFS(実績!$W$6:$W$505,AU$3,実績!$AC$6:$AC$505,"&lt;="&amp;$A20,実績!$AD$6:$AD$505,"&gt;"&amp;$A20,実績!$AE$6:$AE$505,"○")&gt;0,1,0))</f>
        <v/>
      </c>
      <c r="AV20">
        <f>IF(AV$4=0,0,IF(COUNTIFS(実績!$W$6:$W$505,AV$3,実績!$AC$6:$AC$505,"&lt;="&amp;$A20,実績!$AD$6:$AD$505,"&gt;"&amp;$A20,実績!$AE$6:$AE$505,"○")&gt;0,1,0))</f>
        <v/>
      </c>
      <c r="AW20">
        <f>IF(AW$4=0,0,IF(COUNTIFS(実績!$W$6:$W$505,AW$3,実績!$AC$6:$AC$505,"&lt;="&amp;$A20,実績!$AD$6:$AD$505,"&gt;"&amp;$A20,実績!$AE$6:$AE$505,"○")&gt;0,1,0))</f>
        <v/>
      </c>
      <c r="AX20">
        <f>IF(AX$4=0,0,IF(COUNTIFS(実績!$W$6:$W$505,AX$3,実績!$AC$6:$AC$505,"&lt;="&amp;$A20,実績!$AD$6:$AD$505,"&gt;"&amp;$A20,実績!$AE$6:$AE$505,"○")&gt;0,1,0))</f>
        <v/>
      </c>
      <c r="AY20">
        <f>IF(AY$4=0,0,IF(COUNTIFS(実績!$W$6:$W$505,AY$3,実績!$AC$6:$AC$505,"&lt;="&amp;$A20,実績!$AD$6:$AD$505,"&gt;"&amp;$A20,実績!$AE$6:$AE$505,"○")&gt;0,1,0))</f>
        <v/>
      </c>
      <c r="AZ20">
        <f>IF(AZ$4=0,0,IF(COUNTIFS(実績!$W$6:$W$505,AZ$3,実績!$AC$6:$AC$505,"&lt;="&amp;$A20,実績!$AD$6:$AD$505,"&gt;"&amp;$A20,実績!$AE$6:$AE$505,"○")&gt;0,1,0))</f>
        <v/>
      </c>
      <c r="BA20">
        <f>IF(BA$4=0,0,IF(COUNTIFS(実績!$W$6:$W$505,BA$3,実績!$AC$6:$AC$505,"&lt;="&amp;$A20,実績!$AD$6:$AD$505,"&gt;"&amp;$A20,実績!$AE$6:$AE$505,"○")&gt;0,1,0))</f>
        <v/>
      </c>
      <c r="BB20">
        <f>IF(BB$4=0,0,IF(COUNTIFS(実績!$W$6:$W$505,BB$3,実績!$AC$6:$AC$505,"&lt;="&amp;$A20,実績!$AD$6:$AD$505,"&gt;"&amp;$A20,実績!$AE$6:$AE$505,"○")&gt;0,1,0))</f>
        <v/>
      </c>
      <c r="BC20">
        <f>IF(BC$4=0,0,IF(COUNTIFS(実績!$W$6:$W$505,BC$3,実績!$AC$6:$AC$505,"&lt;="&amp;$A20,実績!$AD$6:$AD$505,"&gt;"&amp;$A20,実績!$AE$6:$AE$505,"○")&gt;0,1,0))</f>
        <v/>
      </c>
      <c r="BD20">
        <f>IF(BD$4=0,0,IF(COUNTIFS(実績!$W$6:$W$505,BD$3,実績!$AC$6:$AC$505,"&lt;="&amp;$A20,実績!$AD$6:$AD$505,"&gt;"&amp;$A20,実績!$AE$6:$AE$505,"○")&gt;0,1,0))</f>
        <v/>
      </c>
      <c r="BE20">
        <f>IF(BE$4=0,0,IF(COUNTIFS(実績!$W$6:$W$505,BE$3,実績!$AC$6:$AC$505,"&lt;="&amp;$A20,実績!$AD$6:$AD$505,"&gt;"&amp;$A20,実績!$AE$6:$AE$505,"○")&gt;0,1,0))</f>
        <v/>
      </c>
      <c r="BF20">
        <f>IF(BF$4=0,0,IF(COUNTIFS(実績!$W$6:$W$505,BF$3,実績!$AC$6:$AC$505,"&lt;="&amp;$A20,実績!$AD$6:$AD$505,"&gt;"&amp;$A20,実績!$AE$6:$AE$505,"○")&gt;0,1,0))</f>
        <v/>
      </c>
      <c r="BG20">
        <f>IF(BG$4=0,0,IF(COUNTIFS(実績!$W$6:$W$505,BG$3,実績!$AC$6:$AC$505,"&lt;="&amp;$A20,実績!$AD$6:$AD$505,"&gt;"&amp;$A20,実績!$AE$6:$AE$505,"○")&gt;0,1,0))</f>
        <v/>
      </c>
      <c r="BH20">
        <f>IF(BH$4=0,0,IF(COUNTIFS(実績!$W$6:$W$505,BH$3,実績!$AC$6:$AC$505,"&lt;="&amp;$A20,実績!$AD$6:$AD$505,"&gt;"&amp;$A20,実績!$AE$6:$AE$505,"○")&gt;0,1,0))</f>
        <v/>
      </c>
      <c r="BI20">
        <f>IF(BI$4=0,0,IF(COUNTIFS(実績!$W$6:$W$505,BI$3,実績!$AC$6:$AC$505,"&lt;="&amp;$A20,実績!$AD$6:$AD$505,"&gt;"&amp;$A20,実績!$AE$6:$AE$505,"○")&gt;0,1,0))</f>
        <v/>
      </c>
      <c r="BJ20">
        <f>IF(BJ$4=0,0,IF(COUNTIFS(実績!$W$6:$W$505,BJ$3,実績!$AC$6:$AC$505,"&lt;="&amp;$A20,実績!$AD$6:$AD$505,"&gt;"&amp;$A20,実績!$AE$6:$AE$505,"○")&gt;0,1,0))</f>
        <v/>
      </c>
      <c r="BK20">
        <f>IF(BK$4=0,0,IF(COUNTIFS(実績!$W$6:$W$505,BK$3,実績!$AC$6:$AC$505,"&lt;="&amp;$A20,実績!$AD$6:$AD$505,"&gt;"&amp;$A20,実績!$AE$6:$AE$505,"○")&gt;0,1,0))</f>
        <v/>
      </c>
      <c r="BL20">
        <f>IF(BL$4=0,0,IF(COUNTIFS(実績!$W$6:$W$505,BL$3,実績!$AC$6:$AC$505,"&lt;="&amp;$A20,実績!$AD$6:$AD$505,"&gt;"&amp;$A20,実績!$AE$6:$AE$505,"○")&gt;0,1,0))</f>
        <v/>
      </c>
      <c r="BM20">
        <f>IF(BM$4=0,0,IF(COUNTIFS(実績!$W$6:$W$505,BM$3,実績!$AC$6:$AC$505,"&lt;="&amp;$A20,実績!$AD$6:$AD$505,"&gt;"&amp;$A20,実績!$AE$6:$AE$505,"○")&gt;0,1,0))</f>
        <v/>
      </c>
      <c r="BN20">
        <f>IF(BN$4=0,0,IF(COUNTIFS(実績!$W$6:$W$505,BN$3,実績!$AC$6:$AC$505,"&lt;="&amp;$A20,実績!$AD$6:$AD$505,"&gt;"&amp;$A20,実績!$AE$6:$AE$505,"○")&gt;0,1,0))</f>
        <v/>
      </c>
      <c r="BO20">
        <f>IF(BO$4=0,0,IF(COUNTIFS(実績!$W$6:$W$505,BO$3,実績!$AC$6:$AC$505,"&lt;="&amp;$A20,実績!$AD$6:$AD$505,"&gt;"&amp;$A20,実績!$AE$6:$AE$505,"○")&gt;0,1,0))</f>
        <v/>
      </c>
      <c r="BP20">
        <f>IF(BP$4=0,0,IF(COUNTIFS(実績!$W$6:$W$505,BP$3,実績!$AC$6:$AC$505,"&lt;="&amp;$A20,実績!$AD$6:$AD$505,"&gt;"&amp;$A20,実績!$AE$6:$AE$505,"○")&gt;0,1,0))</f>
        <v/>
      </c>
      <c r="BQ20">
        <f>IF(BQ$4=0,0,IF(COUNTIFS(実績!$W$6:$W$505,BQ$3,実績!$AC$6:$AC$505,"&lt;="&amp;$A20,実績!$AD$6:$AD$505,"&gt;"&amp;$A20,実績!$AE$6:$AE$505,"○")&gt;0,1,0))</f>
        <v/>
      </c>
      <c r="BR20">
        <f>IF(BR$4=0,0,IF(COUNTIFS(実績!$W$6:$W$505,BR$3,実績!$AC$6:$AC$505,"&lt;="&amp;$A20,実績!$AD$6:$AD$505,"&gt;"&amp;$A20,実績!$AE$6:$AE$505,"○")&gt;0,1,0))</f>
        <v/>
      </c>
      <c r="BS20">
        <f>IF(BS$4=0,0,IF(COUNTIFS(実績!$W$6:$W$505,BS$3,実績!$AC$6:$AC$505,"&lt;="&amp;$A20,実績!$AD$6:$AD$505,"&gt;"&amp;$A20,実績!$AE$6:$AE$505,"○")&gt;0,1,0))</f>
        <v/>
      </c>
      <c r="BT20">
        <f>IF(BT$4=0,0,IF(COUNTIFS(実績!$W$6:$W$505,BT$3,実績!$AC$6:$AC$505,"&lt;="&amp;$A20,実績!$AD$6:$AD$505,"&gt;"&amp;$A20,実績!$AE$6:$AE$505,"○")&gt;0,1,0))</f>
        <v/>
      </c>
      <c r="BU20">
        <f>IF(BU$4=0,0,IF(COUNTIFS(実績!$W$6:$W$505,BU$3,実績!$AC$6:$AC$505,"&lt;="&amp;$A20,実績!$AD$6:$AD$505,"&gt;"&amp;$A20,実績!$AE$6:$AE$505,"○")&gt;0,1,0))</f>
        <v/>
      </c>
      <c r="BV20">
        <f>IF(BV$4=0,0,IF(COUNTIFS(実績!$W$6:$W$505,BV$3,実績!$AC$6:$AC$505,"&lt;="&amp;$A20,実績!$AD$6:$AD$505,"&gt;"&amp;$A20,実績!$AE$6:$AE$505,"○")&gt;0,1,0))</f>
        <v/>
      </c>
      <c r="BW20">
        <f>IF(BW$4=0,0,IF(COUNTIFS(実績!$W$6:$W$505,BW$3,実績!$AC$6:$AC$505,"&lt;="&amp;$A20,実績!$AD$6:$AD$505,"&gt;"&amp;$A20,実績!$AE$6:$AE$505,"○")&gt;0,1,0))</f>
        <v/>
      </c>
      <c r="BX20">
        <f>IF(BX$4=0,0,IF(COUNTIFS(実績!$W$6:$W$505,BX$3,実績!$AC$6:$AC$505,"&lt;="&amp;$A20,実績!$AD$6:$AD$505,"&gt;"&amp;$A20,実績!$AE$6:$AE$505,"○")&gt;0,1,0))</f>
        <v/>
      </c>
      <c r="BY20">
        <f>IF(BY$4=0,0,IF(COUNTIFS(実績!$W$6:$W$505,BY$3,実績!$AC$6:$AC$505,"&lt;="&amp;$A20,実績!$AD$6:$AD$505,"&gt;"&amp;$A20,実績!$AE$6:$AE$505,"○")&gt;0,1,0))</f>
        <v/>
      </c>
      <c r="BZ20">
        <f>IF(BZ$4=0,0,IF(COUNTIFS(実績!$W$6:$W$505,BZ$3,実績!$AC$6:$AC$505,"&lt;="&amp;$A20,実績!$AD$6:$AD$505,"&gt;"&amp;$A20,実績!$AE$6:$AE$505,"○")&gt;0,1,0))</f>
        <v/>
      </c>
      <c r="CA20">
        <f>IF(CA$4=0,0,IF(COUNTIFS(実績!$W$6:$W$505,CA$3,実績!$AC$6:$AC$505,"&lt;="&amp;$A20,実績!$AD$6:$AD$505,"&gt;"&amp;$A20,実績!$AE$6:$AE$505,"○")&gt;0,1,0))</f>
        <v/>
      </c>
      <c r="CB20">
        <f>IF(CB$4=0,0,IF(COUNTIFS(実績!$W$6:$W$505,CB$3,実績!$AC$6:$AC$505,"&lt;="&amp;$A20,実績!$AD$6:$AD$505,"&gt;"&amp;$A20,実績!$AE$6:$AE$505,"○")&gt;0,1,0))</f>
        <v/>
      </c>
      <c r="CC20">
        <f>IF(CC$4=0,0,IF(COUNTIFS(実績!$W$6:$W$505,CC$3,実績!$AC$6:$AC$505,"&lt;="&amp;$A20,実績!$AD$6:$AD$505,"&gt;"&amp;$A20,実績!$AE$6:$AE$505,"○")&gt;0,1,0))</f>
        <v/>
      </c>
      <c r="CD20">
        <f>IF(CD$4=0,0,IF(COUNTIFS(実績!$W$6:$W$505,CD$3,実績!$AC$6:$AC$505,"&lt;="&amp;$A20,実績!$AD$6:$AD$505,"&gt;"&amp;$A20,実績!$AE$6:$AE$505,"○")&gt;0,1,0))</f>
        <v/>
      </c>
      <c r="CE20">
        <f>IF(CE$4=0,0,IF(COUNTIFS(実績!$W$6:$W$505,CE$3,実績!$AC$6:$AC$505,"&lt;="&amp;$A20,実績!$AD$6:$AD$505,"&gt;"&amp;$A20,実績!$AE$6:$AE$505,"○")&gt;0,1,0))</f>
        <v/>
      </c>
      <c r="CF20">
        <f>IF(CF$4=0,0,IF(COUNTIFS(実績!$W$6:$W$505,CF$3,実績!$AC$6:$AC$505,"&lt;="&amp;$A20,実績!$AD$6:$AD$505,"&gt;"&amp;$A20,実績!$AE$6:$AE$505,"○")&gt;0,1,0))</f>
        <v/>
      </c>
      <c r="CG20">
        <f>IF(CG$4=0,0,IF(COUNTIFS(実績!$W$6:$W$505,CG$3,実績!$AC$6:$AC$505,"&lt;="&amp;$A20,実績!$AD$6:$AD$505,"&gt;"&amp;$A20,実績!$AE$6:$AE$505,"○")&gt;0,1,0))</f>
        <v/>
      </c>
      <c r="CH20">
        <f>IF(CH$4=0,0,IF(COUNTIFS(実績!$W$6:$W$505,CH$3,実績!$AC$6:$AC$505,"&lt;="&amp;$A20,実績!$AD$6:$AD$505,"&gt;"&amp;$A20,実績!$AE$6:$AE$505,"○")&gt;0,1,0))</f>
        <v/>
      </c>
      <c r="CI20">
        <f>IF(CI$4=0,0,IF(COUNTIFS(実績!$W$6:$W$505,CI$3,実績!$AC$6:$AC$505,"&lt;="&amp;$A20,実績!$AD$6:$AD$505,"&gt;"&amp;$A20,実績!$AE$6:$AE$505,"○")&gt;0,1,0))</f>
        <v/>
      </c>
      <c r="CJ20">
        <f>IF(CJ$4=0,0,IF(COUNTIFS(実績!$W$6:$W$505,CJ$3,実績!$AC$6:$AC$505,"&lt;="&amp;$A20,実績!$AD$6:$AD$505,"&gt;"&amp;$A20,実績!$AE$6:$AE$505,"○")&gt;0,1,0))</f>
        <v/>
      </c>
      <c r="CK20">
        <f>IF(CK$4=0,0,IF(COUNTIFS(実績!$W$6:$W$505,CK$3,実績!$AC$6:$AC$505,"&lt;="&amp;$A20,実績!$AD$6:$AD$505,"&gt;"&amp;$A20,実績!$AE$6:$AE$505,"○")&gt;0,1,0))</f>
        <v/>
      </c>
      <c r="CL20">
        <f>IF(CL$4=0,0,IF(COUNTIFS(実績!$W$6:$W$505,CL$3,実績!$AC$6:$AC$505,"&lt;="&amp;$A20,実績!$AD$6:$AD$505,"&gt;"&amp;$A20,実績!$AE$6:$AE$505,"○")&gt;0,1,0))</f>
        <v/>
      </c>
      <c r="CM20">
        <f>IF(CM$4=0,0,IF(COUNTIFS(実績!$W$6:$W$505,CM$3,実績!$AC$6:$AC$505,"&lt;="&amp;$A20,実績!$AD$6:$AD$505,"&gt;"&amp;$A20,実績!$AE$6:$AE$505,"○")&gt;0,1,0))</f>
        <v/>
      </c>
      <c r="CN20">
        <f>IF(CN$4=0,0,IF(COUNTIFS(実績!$W$6:$W$505,CN$3,実績!$AC$6:$AC$505,"&lt;="&amp;$A20,実績!$AD$6:$AD$505,"&gt;"&amp;$A20,実績!$AE$6:$AE$505,"○")&gt;0,1,0))</f>
        <v/>
      </c>
      <c r="CO20">
        <f>IF(CO$4=0,0,IF(COUNTIFS(実績!$W$6:$W$505,CO$3,実績!$AC$6:$AC$505,"&lt;="&amp;$A20,実績!$AD$6:$AD$505,"&gt;"&amp;$A20,実績!$AE$6:$AE$505,"○")&gt;0,1,0))</f>
        <v/>
      </c>
      <c r="CP20">
        <f>IF(CP$4=0,0,IF(COUNTIFS(実績!$W$6:$W$505,CP$3,実績!$AC$6:$AC$505,"&lt;="&amp;$A20,実績!$AD$6:$AD$505,"&gt;"&amp;$A20,実績!$AE$6:$AE$505,"○")&gt;0,1,0))</f>
        <v/>
      </c>
      <c r="CQ20">
        <f>IF(CQ$4=0,0,IF(COUNTIFS(実績!$W$6:$W$505,CQ$3,実績!$AC$6:$AC$505,"&lt;="&amp;$A20,実績!$AD$6:$AD$505,"&gt;"&amp;$A20,実績!$AE$6:$AE$505,"○")&gt;0,1,0))</f>
        <v/>
      </c>
      <c r="CR20">
        <f>IF(CR$4=0,0,IF(COUNTIFS(実績!$W$6:$W$505,CR$3,実績!$AC$6:$AC$505,"&lt;="&amp;$A20,実績!$AD$6:$AD$505,"&gt;"&amp;$A20,実績!$AE$6:$AE$505,"○")&gt;0,1,0))</f>
        <v/>
      </c>
      <c r="CS20">
        <f>IF(CS$4=0,0,IF(COUNTIFS(実績!$W$6:$W$505,CS$3,実績!$AC$6:$AC$505,"&lt;="&amp;$A20,実績!$AD$6:$AD$505,"&gt;"&amp;$A20,実績!$AE$6:$AE$505,"○")&gt;0,1,0))</f>
        <v/>
      </c>
      <c r="CT20">
        <f>IF(CT$4=0,0,IF(COUNTIFS(実績!$W$6:$W$505,CT$3,実績!$AC$6:$AC$505,"&lt;="&amp;$A20,実績!$AD$6:$AD$505,"&gt;"&amp;$A20,実績!$AE$6:$AE$505,"○")&gt;0,1,0))</f>
        <v/>
      </c>
      <c r="CU20">
        <f>IF(CU$4=0,0,IF(COUNTIFS(実績!$W$6:$W$505,CU$3,実績!$AC$6:$AC$505,"&lt;="&amp;$A20,実績!$AD$6:$AD$505,"&gt;"&amp;$A20,実績!$AE$6:$AE$505,"○")&gt;0,1,0))</f>
        <v/>
      </c>
      <c r="CV20">
        <f>IF(CV$4=0,0,IF(COUNTIFS(実績!$W$6:$W$505,CV$3,実績!$AC$6:$AC$505,"&lt;="&amp;$A20,実績!$AD$6:$AD$505,"&gt;"&amp;$A20,実績!$AE$6:$AE$505,"○")&gt;0,1,0))</f>
        <v/>
      </c>
      <c r="CW20">
        <f>IF(CW$4=0,0,IF(COUNTIFS(実績!$W$6:$W$505,CW$3,実績!$AC$6:$AC$505,"&lt;="&amp;$A20,実績!$AD$6:$AD$505,"&gt;"&amp;$A20,実績!$AE$6:$AE$505,"○")&gt;0,1,0))</f>
        <v/>
      </c>
      <c r="CX20">
        <f>IF(CX$4=0,0,IF(COUNTIFS(実績!$W$6:$W$505,CX$3,実績!$AC$6:$AC$505,"&lt;="&amp;$A20,実績!$AD$6:$AD$505,"&gt;"&amp;$A20,実績!$AE$6:$AE$505,"○")&gt;0,1,0))</f>
        <v/>
      </c>
      <c r="CY20">
        <f>IF(CY$4=0,0,IF(COUNTIFS(実績!$W$6:$W$505,CY$3,実績!$AC$6:$AC$505,"&lt;="&amp;$A20,実績!$AD$6:$AD$505,"&gt;"&amp;$A20,実績!$AE$6:$AE$505,"○")&gt;0,1,0))</f>
        <v/>
      </c>
      <c r="CZ20">
        <f>IF(CZ$4=0,0,IF(COUNTIFS(実績!$W$6:$W$505,CZ$3,実績!$AC$6:$AC$505,"&lt;="&amp;$A20,実績!$AD$6:$AD$505,"&gt;"&amp;$A20,実績!$AE$6:$AE$505,"○")&gt;0,1,0))</f>
        <v/>
      </c>
      <c r="DA20">
        <f>IF(DA$4=0,0,IF(COUNTIFS(実績!$W$6:$W$505,DA$3,実績!$AC$6:$AC$505,"&lt;="&amp;$A20,実績!$AD$6:$AD$505,"&gt;"&amp;$A20,実績!$AE$6:$AE$505,"○")&gt;0,1,0))</f>
        <v/>
      </c>
      <c r="DB20">
        <f>IF(DB$4=0,0,IF(COUNTIFS(実績!$W$6:$W$505,DB$3,実績!$AC$6:$AC$505,"&lt;="&amp;$A20,実績!$AD$6:$AD$505,"&gt;"&amp;$A20,実績!$AE$6:$AE$505,"○")&gt;0,1,0))</f>
        <v/>
      </c>
      <c r="DC20">
        <f>IF(DC$4=0,0,IF(COUNTIFS(実績!$W$6:$W$505,DC$3,実績!$AC$6:$AC$505,"&lt;="&amp;$A20,実績!$AD$6:$AD$505,"&gt;"&amp;$A20,実績!$AE$6:$AE$505,"○")&gt;0,1,0))</f>
        <v/>
      </c>
      <c r="DD20">
        <f>IF(DD$4=0,0,IF(COUNTIFS(実績!$W$6:$W$505,DD$3,実績!$AC$6:$AC$505,"&lt;="&amp;$A20,実績!$AD$6:$AD$505,"&gt;"&amp;$A20,実績!$AE$6:$AE$505,"○")&gt;0,1,0))</f>
        <v/>
      </c>
      <c r="DE20">
        <f>IF(DE$4=0,0,IF(COUNTIFS(実績!$W$6:$W$505,DE$3,実績!$AC$6:$AC$505,"&lt;="&amp;$A20,実績!$AD$6:$AD$505,"&gt;"&amp;$A20,実績!$AE$6:$AE$505,"○")&gt;0,1,0))</f>
        <v/>
      </c>
      <c r="DF20">
        <f>IF(DF$4=0,0,IF(COUNTIFS(実績!$W$6:$W$505,DF$3,実績!$AC$6:$AC$505,"&lt;="&amp;$A20,実績!$AD$6:$AD$505,"&gt;"&amp;$A20,実績!$AE$6:$AE$505,"○")&gt;0,1,0))</f>
        <v/>
      </c>
      <c r="DG20">
        <f>IF(DG$4=0,0,IF(COUNTIFS(実績!$W$6:$W$505,DG$3,実績!$AC$6:$AC$505,"&lt;="&amp;$A20,実績!$AD$6:$AD$505,"&gt;"&amp;$A20,実績!$AE$6:$AE$505,"○")&gt;0,1,0))</f>
        <v/>
      </c>
      <c r="DH20">
        <f>IF(DH$4=0,0,IF(COUNTIFS(実績!$W$6:$W$505,DH$3,実績!$AC$6:$AC$505,"&lt;="&amp;$A20,実績!$AD$6:$AD$505,"&gt;"&amp;$A20,実績!$AE$6:$AE$505,"○")&gt;0,1,0))</f>
        <v/>
      </c>
      <c r="DI20">
        <f>IF(DI$4=0,0,IF(COUNTIFS(実績!$W$6:$W$505,DI$3,実績!$AC$6:$AC$505,"&lt;="&amp;$A20,実績!$AD$6:$AD$505,"&gt;"&amp;$A20,実績!$AE$6:$AE$505,"○")&gt;0,1,0))</f>
        <v/>
      </c>
      <c r="DJ20">
        <f>IF(DJ$4=0,0,IF(COUNTIFS(実績!$W$6:$W$505,DJ$3,実績!$AC$6:$AC$505,"&lt;="&amp;$A20,実績!$AD$6:$AD$505,"&gt;"&amp;$A20,実績!$AE$6:$AE$505,"○")&gt;0,1,0))</f>
        <v/>
      </c>
      <c r="DK20">
        <f>IF(DK$4=0,0,IF(COUNTIFS(実績!$W$6:$W$505,DK$3,実績!$AC$6:$AC$505,"&lt;="&amp;$A20,実績!$AD$6:$AD$505,"&gt;"&amp;$A20,実績!$AE$6:$AE$505,"○")&gt;0,1,0))</f>
        <v/>
      </c>
      <c r="DL20">
        <f>IF(DL$4=0,0,IF(COUNTIFS(実績!$W$6:$W$505,DL$3,実績!$AC$6:$AC$505,"&lt;="&amp;$A20,実績!$AD$6:$AD$505,"&gt;"&amp;$A20,実績!$AE$6:$AE$505,"○")&gt;0,1,0))</f>
        <v/>
      </c>
      <c r="DM20">
        <f>IF(DM$4=0,0,IF(COUNTIFS(実績!$W$6:$W$505,DM$3,実績!$AC$6:$AC$505,"&lt;="&amp;$A20,実績!$AD$6:$AD$505,"&gt;"&amp;$A20,実績!$AE$6:$AE$505,"○")&gt;0,1,0))</f>
        <v/>
      </c>
      <c r="DN20">
        <f>IF(DN$4=0,0,IF(COUNTIFS(実績!$W$6:$W$505,DN$3,実績!$AC$6:$AC$505,"&lt;="&amp;$A20,実績!$AD$6:$AD$505,"&gt;"&amp;$A20,実績!$AE$6:$AE$505,"○")&gt;0,1,0))</f>
        <v/>
      </c>
      <c r="DO20">
        <f>IF(DO$4=0,0,IF(COUNTIFS(実績!$W$6:$W$505,DO$3,実績!$AC$6:$AC$505,"&lt;="&amp;$A20,実績!$AD$6:$AD$505,"&gt;"&amp;$A20,実績!$AE$6:$AE$505,"○")&gt;0,1,0))</f>
        <v/>
      </c>
      <c r="DP20">
        <f>IF(DP$4=0,0,IF(COUNTIFS(実績!$W$6:$W$505,DP$3,実績!$AC$6:$AC$505,"&lt;="&amp;$A20,実績!$AD$6:$AD$505,"&gt;"&amp;$A20,実績!$AE$6:$AE$505,"○")&gt;0,1,0))</f>
        <v/>
      </c>
      <c r="DQ20">
        <f>IF(DQ$4=0,0,IF(COUNTIFS(実績!$W$6:$W$505,DQ$3,実績!$AC$6:$AC$505,"&lt;="&amp;$A20,実績!$AD$6:$AD$505,"&gt;"&amp;$A20,実績!$AE$6:$AE$505,"○")&gt;0,1,0))</f>
        <v/>
      </c>
      <c r="DR20">
        <f>IF(DR$4=0,0,IF(COUNTIFS(実績!$W$6:$W$505,DR$3,実績!$AC$6:$AC$505,"&lt;="&amp;$A20,実績!$AD$6:$AD$505,"&gt;"&amp;$A20,実績!$AE$6:$AE$505,"○")&gt;0,1,0))</f>
        <v/>
      </c>
      <c r="DS20">
        <f>SUM(C20:DR20)</f>
        <v/>
      </c>
      <c r="DT20">
        <f>SUMPRODUCT((実績!$C$6:$C$505="○")*ISNUMBER(実績!$AF$6:$AF$505)*(実績!$AF$6:$AF$505&lt;=$A20)*(実績!$AG$6:$AG$505&gt;$A20))</f>
        <v/>
      </c>
      <c r="DU20">
        <f>SUMIF($C$2:$DR$2,"製鉄曳船",C20:DR20)</f>
        <v/>
      </c>
      <c r="DV20">
        <f>SUMIF($C$2:$DR$2,"西日本海運",C20:DR20)</f>
        <v/>
      </c>
    </row>
    <row r="21">
      <c r="A21" t="n">
        <v>75</v>
      </c>
      <c r="B21" s="29">
        <f>A21/1440</f>
        <v/>
      </c>
      <c r="C21">
        <f>IF(C$4=0,0,IF(COUNTIFS(実績!$W$6:$W$505,C$3,実績!$AC$6:$AC$505,"&lt;="&amp;$A21,実績!$AD$6:$AD$505,"&gt;"&amp;$A21,実績!$AE$6:$AE$505,"○")&gt;0,1,0))</f>
        <v/>
      </c>
      <c r="D21">
        <f>IF(D$4=0,0,IF(COUNTIFS(実績!$W$6:$W$505,D$3,実績!$AC$6:$AC$505,"&lt;="&amp;$A21,実績!$AD$6:$AD$505,"&gt;"&amp;$A21,実績!$AE$6:$AE$505,"○")&gt;0,1,0))</f>
        <v/>
      </c>
      <c r="E21">
        <f>IF(E$4=0,0,IF(COUNTIFS(実績!$W$6:$W$505,E$3,実績!$AC$6:$AC$505,"&lt;="&amp;$A21,実績!$AD$6:$AD$505,"&gt;"&amp;$A21,実績!$AE$6:$AE$505,"○")&gt;0,1,0))</f>
        <v/>
      </c>
      <c r="F21">
        <f>IF(F$4=0,0,IF(COUNTIFS(実績!$W$6:$W$505,F$3,実績!$AC$6:$AC$505,"&lt;="&amp;$A21,実績!$AD$6:$AD$505,"&gt;"&amp;$A21,実績!$AE$6:$AE$505,"○")&gt;0,1,0))</f>
        <v/>
      </c>
      <c r="G21">
        <f>IF(G$4=0,0,IF(COUNTIFS(実績!$W$6:$W$505,G$3,実績!$AC$6:$AC$505,"&lt;="&amp;$A21,実績!$AD$6:$AD$505,"&gt;"&amp;$A21,実績!$AE$6:$AE$505,"○")&gt;0,1,0))</f>
        <v/>
      </c>
      <c r="H21">
        <f>IF(H$4=0,0,IF(COUNTIFS(実績!$W$6:$W$505,H$3,実績!$AC$6:$AC$505,"&lt;="&amp;$A21,実績!$AD$6:$AD$505,"&gt;"&amp;$A21,実績!$AE$6:$AE$505,"○")&gt;0,1,0))</f>
        <v/>
      </c>
      <c r="I21">
        <f>IF(I$4=0,0,IF(COUNTIFS(実績!$W$6:$W$505,I$3,実績!$AC$6:$AC$505,"&lt;="&amp;$A21,実績!$AD$6:$AD$505,"&gt;"&amp;$A21,実績!$AE$6:$AE$505,"○")&gt;0,1,0))</f>
        <v/>
      </c>
      <c r="J21">
        <f>IF(J$4=0,0,IF(COUNTIFS(実績!$W$6:$W$505,J$3,実績!$AC$6:$AC$505,"&lt;="&amp;$A21,実績!$AD$6:$AD$505,"&gt;"&amp;$A21,実績!$AE$6:$AE$505,"○")&gt;0,1,0))</f>
        <v/>
      </c>
      <c r="K21">
        <f>IF(K$4=0,0,IF(COUNTIFS(実績!$W$6:$W$505,K$3,実績!$AC$6:$AC$505,"&lt;="&amp;$A21,実績!$AD$6:$AD$505,"&gt;"&amp;$A21,実績!$AE$6:$AE$505,"○")&gt;0,1,0))</f>
        <v/>
      </c>
      <c r="L21">
        <f>IF(L$4=0,0,IF(COUNTIFS(実績!$W$6:$W$505,L$3,実績!$AC$6:$AC$505,"&lt;="&amp;$A21,実績!$AD$6:$AD$505,"&gt;"&amp;$A21,実績!$AE$6:$AE$505,"○")&gt;0,1,0))</f>
        <v/>
      </c>
      <c r="M21">
        <f>IF(M$4=0,0,IF(COUNTIFS(実績!$W$6:$W$505,M$3,実績!$AC$6:$AC$505,"&lt;="&amp;$A21,実績!$AD$6:$AD$505,"&gt;"&amp;$A21,実績!$AE$6:$AE$505,"○")&gt;0,1,0))</f>
        <v/>
      </c>
      <c r="N21">
        <f>IF(N$4=0,0,IF(COUNTIFS(実績!$W$6:$W$505,N$3,実績!$AC$6:$AC$505,"&lt;="&amp;$A21,実績!$AD$6:$AD$505,"&gt;"&amp;$A21,実績!$AE$6:$AE$505,"○")&gt;0,1,0))</f>
        <v/>
      </c>
      <c r="O21">
        <f>IF(O$4=0,0,IF(COUNTIFS(実績!$W$6:$W$505,O$3,実績!$AC$6:$AC$505,"&lt;="&amp;$A21,実績!$AD$6:$AD$505,"&gt;"&amp;$A21,実績!$AE$6:$AE$505,"○")&gt;0,1,0))</f>
        <v/>
      </c>
      <c r="P21">
        <f>IF(P$4=0,0,IF(COUNTIFS(実績!$W$6:$W$505,P$3,実績!$AC$6:$AC$505,"&lt;="&amp;$A21,実績!$AD$6:$AD$505,"&gt;"&amp;$A21,実績!$AE$6:$AE$505,"○")&gt;0,1,0))</f>
        <v/>
      </c>
      <c r="Q21">
        <f>IF(Q$4=0,0,IF(COUNTIFS(実績!$W$6:$W$505,Q$3,実績!$AC$6:$AC$505,"&lt;="&amp;$A21,実績!$AD$6:$AD$505,"&gt;"&amp;$A21,実績!$AE$6:$AE$505,"○")&gt;0,1,0))</f>
        <v/>
      </c>
      <c r="R21">
        <f>IF(R$4=0,0,IF(COUNTIFS(実績!$W$6:$W$505,R$3,実績!$AC$6:$AC$505,"&lt;="&amp;$A21,実績!$AD$6:$AD$505,"&gt;"&amp;$A21,実績!$AE$6:$AE$505,"○")&gt;0,1,0))</f>
        <v/>
      </c>
      <c r="S21">
        <f>IF(S$4=0,0,IF(COUNTIFS(実績!$W$6:$W$505,S$3,実績!$AC$6:$AC$505,"&lt;="&amp;$A21,実績!$AD$6:$AD$505,"&gt;"&amp;$A21,実績!$AE$6:$AE$505,"○")&gt;0,1,0))</f>
        <v/>
      </c>
      <c r="T21">
        <f>IF(T$4=0,0,IF(COUNTIFS(実績!$W$6:$W$505,T$3,実績!$AC$6:$AC$505,"&lt;="&amp;$A21,実績!$AD$6:$AD$505,"&gt;"&amp;$A21,実績!$AE$6:$AE$505,"○")&gt;0,1,0))</f>
        <v/>
      </c>
      <c r="U21">
        <f>IF(U$4=0,0,IF(COUNTIFS(実績!$W$6:$W$505,U$3,実績!$AC$6:$AC$505,"&lt;="&amp;$A21,実績!$AD$6:$AD$505,"&gt;"&amp;$A21,実績!$AE$6:$AE$505,"○")&gt;0,1,0))</f>
        <v/>
      </c>
      <c r="V21">
        <f>IF(V$4=0,0,IF(COUNTIFS(実績!$W$6:$W$505,V$3,実績!$AC$6:$AC$505,"&lt;="&amp;$A21,実績!$AD$6:$AD$505,"&gt;"&amp;$A21,実績!$AE$6:$AE$505,"○")&gt;0,1,0))</f>
        <v/>
      </c>
      <c r="W21">
        <f>IF(W$4=0,0,IF(COUNTIFS(実績!$W$6:$W$505,W$3,実績!$AC$6:$AC$505,"&lt;="&amp;$A21,実績!$AD$6:$AD$505,"&gt;"&amp;$A21,実績!$AE$6:$AE$505,"○")&gt;0,1,0))</f>
        <v/>
      </c>
      <c r="X21">
        <f>IF(X$4=0,0,IF(COUNTIFS(実績!$W$6:$W$505,X$3,実績!$AC$6:$AC$505,"&lt;="&amp;$A21,実績!$AD$6:$AD$505,"&gt;"&amp;$A21,実績!$AE$6:$AE$505,"○")&gt;0,1,0))</f>
        <v/>
      </c>
      <c r="Y21">
        <f>IF(Y$4=0,0,IF(COUNTIFS(実績!$W$6:$W$505,Y$3,実績!$AC$6:$AC$505,"&lt;="&amp;$A21,実績!$AD$6:$AD$505,"&gt;"&amp;$A21,実績!$AE$6:$AE$505,"○")&gt;0,1,0))</f>
        <v/>
      </c>
      <c r="Z21">
        <f>IF(Z$4=0,0,IF(COUNTIFS(実績!$W$6:$W$505,Z$3,実績!$AC$6:$AC$505,"&lt;="&amp;$A21,実績!$AD$6:$AD$505,"&gt;"&amp;$A21,実績!$AE$6:$AE$505,"○")&gt;0,1,0))</f>
        <v/>
      </c>
      <c r="AA21">
        <f>IF(AA$4=0,0,IF(COUNTIFS(実績!$W$6:$W$505,AA$3,実績!$AC$6:$AC$505,"&lt;="&amp;$A21,実績!$AD$6:$AD$505,"&gt;"&amp;$A21,実績!$AE$6:$AE$505,"○")&gt;0,1,0))</f>
        <v/>
      </c>
      <c r="AB21">
        <f>IF(AB$4=0,0,IF(COUNTIFS(実績!$W$6:$W$505,AB$3,実績!$AC$6:$AC$505,"&lt;="&amp;$A21,実績!$AD$6:$AD$505,"&gt;"&amp;$A21,実績!$AE$6:$AE$505,"○")&gt;0,1,0))</f>
        <v/>
      </c>
      <c r="AC21">
        <f>IF(AC$4=0,0,IF(COUNTIFS(実績!$W$6:$W$505,AC$3,実績!$AC$6:$AC$505,"&lt;="&amp;$A21,実績!$AD$6:$AD$505,"&gt;"&amp;$A21,実績!$AE$6:$AE$505,"○")&gt;0,1,0))</f>
        <v/>
      </c>
      <c r="AD21">
        <f>IF(AD$4=0,0,IF(COUNTIFS(実績!$W$6:$W$505,AD$3,実績!$AC$6:$AC$505,"&lt;="&amp;$A21,実績!$AD$6:$AD$505,"&gt;"&amp;$A21,実績!$AE$6:$AE$505,"○")&gt;0,1,0))</f>
        <v/>
      </c>
      <c r="AE21">
        <f>IF(AE$4=0,0,IF(COUNTIFS(実績!$W$6:$W$505,AE$3,実績!$AC$6:$AC$505,"&lt;="&amp;$A21,実績!$AD$6:$AD$505,"&gt;"&amp;$A21,実績!$AE$6:$AE$505,"○")&gt;0,1,0))</f>
        <v/>
      </c>
      <c r="AF21">
        <f>IF(AF$4=0,0,IF(COUNTIFS(実績!$W$6:$W$505,AF$3,実績!$AC$6:$AC$505,"&lt;="&amp;$A21,実績!$AD$6:$AD$505,"&gt;"&amp;$A21,実績!$AE$6:$AE$505,"○")&gt;0,1,0))</f>
        <v/>
      </c>
      <c r="AG21">
        <f>IF(AG$4=0,0,IF(COUNTIFS(実績!$W$6:$W$505,AG$3,実績!$AC$6:$AC$505,"&lt;="&amp;$A21,実績!$AD$6:$AD$505,"&gt;"&amp;$A21,実績!$AE$6:$AE$505,"○")&gt;0,1,0))</f>
        <v/>
      </c>
      <c r="AH21">
        <f>IF(AH$4=0,0,IF(COUNTIFS(実績!$W$6:$W$505,AH$3,実績!$AC$6:$AC$505,"&lt;="&amp;$A21,実績!$AD$6:$AD$505,"&gt;"&amp;$A21,実績!$AE$6:$AE$505,"○")&gt;0,1,0))</f>
        <v/>
      </c>
      <c r="AI21">
        <f>IF(AI$4=0,0,IF(COUNTIFS(実績!$W$6:$W$505,AI$3,実績!$AC$6:$AC$505,"&lt;="&amp;$A21,実績!$AD$6:$AD$505,"&gt;"&amp;$A21,実績!$AE$6:$AE$505,"○")&gt;0,1,0))</f>
        <v/>
      </c>
      <c r="AJ21">
        <f>IF(AJ$4=0,0,IF(COUNTIFS(実績!$W$6:$W$505,AJ$3,実績!$AC$6:$AC$505,"&lt;="&amp;$A21,実績!$AD$6:$AD$505,"&gt;"&amp;$A21,実績!$AE$6:$AE$505,"○")&gt;0,1,0))</f>
        <v/>
      </c>
      <c r="AK21">
        <f>IF(AK$4=0,0,IF(COUNTIFS(実績!$W$6:$W$505,AK$3,実績!$AC$6:$AC$505,"&lt;="&amp;$A21,実績!$AD$6:$AD$505,"&gt;"&amp;$A21,実績!$AE$6:$AE$505,"○")&gt;0,1,0))</f>
        <v/>
      </c>
      <c r="AL21">
        <f>IF(AL$4=0,0,IF(COUNTIFS(実績!$W$6:$W$505,AL$3,実績!$AC$6:$AC$505,"&lt;="&amp;$A21,実績!$AD$6:$AD$505,"&gt;"&amp;$A21,実績!$AE$6:$AE$505,"○")&gt;0,1,0))</f>
        <v/>
      </c>
      <c r="AM21">
        <f>IF(AM$4=0,0,IF(COUNTIFS(実績!$W$6:$W$505,AM$3,実績!$AC$6:$AC$505,"&lt;="&amp;$A21,実績!$AD$6:$AD$505,"&gt;"&amp;$A21,実績!$AE$6:$AE$505,"○")&gt;0,1,0))</f>
        <v/>
      </c>
      <c r="AN21">
        <f>IF(AN$4=0,0,IF(COUNTIFS(実績!$W$6:$W$505,AN$3,実績!$AC$6:$AC$505,"&lt;="&amp;$A21,実績!$AD$6:$AD$505,"&gt;"&amp;$A21,実績!$AE$6:$AE$505,"○")&gt;0,1,0))</f>
        <v/>
      </c>
      <c r="AO21">
        <f>IF(AO$4=0,0,IF(COUNTIFS(実績!$W$6:$W$505,AO$3,実績!$AC$6:$AC$505,"&lt;="&amp;$A21,実績!$AD$6:$AD$505,"&gt;"&amp;$A21,実績!$AE$6:$AE$505,"○")&gt;0,1,0))</f>
        <v/>
      </c>
      <c r="AP21">
        <f>IF(AP$4=0,0,IF(COUNTIFS(実績!$W$6:$W$505,AP$3,実績!$AC$6:$AC$505,"&lt;="&amp;$A21,実績!$AD$6:$AD$505,"&gt;"&amp;$A21,実績!$AE$6:$AE$505,"○")&gt;0,1,0))</f>
        <v/>
      </c>
      <c r="AQ21">
        <f>IF(AQ$4=0,0,IF(COUNTIFS(実績!$W$6:$W$505,AQ$3,実績!$AC$6:$AC$505,"&lt;="&amp;$A21,実績!$AD$6:$AD$505,"&gt;"&amp;$A21,実績!$AE$6:$AE$505,"○")&gt;0,1,0))</f>
        <v/>
      </c>
      <c r="AR21">
        <f>IF(AR$4=0,0,IF(COUNTIFS(実績!$W$6:$W$505,AR$3,実績!$AC$6:$AC$505,"&lt;="&amp;$A21,実績!$AD$6:$AD$505,"&gt;"&amp;$A21,実績!$AE$6:$AE$505,"○")&gt;0,1,0))</f>
        <v/>
      </c>
      <c r="AS21">
        <f>IF(AS$4=0,0,IF(COUNTIFS(実績!$W$6:$W$505,AS$3,実績!$AC$6:$AC$505,"&lt;="&amp;$A21,実績!$AD$6:$AD$505,"&gt;"&amp;$A21,実績!$AE$6:$AE$505,"○")&gt;0,1,0))</f>
        <v/>
      </c>
      <c r="AT21">
        <f>IF(AT$4=0,0,IF(COUNTIFS(実績!$W$6:$W$505,AT$3,実績!$AC$6:$AC$505,"&lt;="&amp;$A21,実績!$AD$6:$AD$505,"&gt;"&amp;$A21,実績!$AE$6:$AE$505,"○")&gt;0,1,0))</f>
        <v/>
      </c>
      <c r="AU21">
        <f>IF(AU$4=0,0,IF(COUNTIFS(実績!$W$6:$W$505,AU$3,実績!$AC$6:$AC$505,"&lt;="&amp;$A21,実績!$AD$6:$AD$505,"&gt;"&amp;$A21,実績!$AE$6:$AE$505,"○")&gt;0,1,0))</f>
        <v/>
      </c>
      <c r="AV21">
        <f>IF(AV$4=0,0,IF(COUNTIFS(実績!$W$6:$W$505,AV$3,実績!$AC$6:$AC$505,"&lt;="&amp;$A21,実績!$AD$6:$AD$505,"&gt;"&amp;$A21,実績!$AE$6:$AE$505,"○")&gt;0,1,0))</f>
        <v/>
      </c>
      <c r="AW21">
        <f>IF(AW$4=0,0,IF(COUNTIFS(実績!$W$6:$W$505,AW$3,実績!$AC$6:$AC$505,"&lt;="&amp;$A21,実績!$AD$6:$AD$505,"&gt;"&amp;$A21,実績!$AE$6:$AE$505,"○")&gt;0,1,0))</f>
        <v/>
      </c>
      <c r="AX21">
        <f>IF(AX$4=0,0,IF(COUNTIFS(実績!$W$6:$W$505,AX$3,実績!$AC$6:$AC$505,"&lt;="&amp;$A21,実績!$AD$6:$AD$505,"&gt;"&amp;$A21,実績!$AE$6:$AE$505,"○")&gt;0,1,0))</f>
        <v/>
      </c>
      <c r="AY21">
        <f>IF(AY$4=0,0,IF(COUNTIFS(実績!$W$6:$W$505,AY$3,実績!$AC$6:$AC$505,"&lt;="&amp;$A21,実績!$AD$6:$AD$505,"&gt;"&amp;$A21,実績!$AE$6:$AE$505,"○")&gt;0,1,0))</f>
        <v/>
      </c>
      <c r="AZ21">
        <f>IF(AZ$4=0,0,IF(COUNTIFS(実績!$W$6:$W$505,AZ$3,実績!$AC$6:$AC$505,"&lt;="&amp;$A21,実績!$AD$6:$AD$505,"&gt;"&amp;$A21,実績!$AE$6:$AE$505,"○")&gt;0,1,0))</f>
        <v/>
      </c>
      <c r="BA21">
        <f>IF(BA$4=0,0,IF(COUNTIFS(実績!$W$6:$W$505,BA$3,実績!$AC$6:$AC$505,"&lt;="&amp;$A21,実績!$AD$6:$AD$505,"&gt;"&amp;$A21,実績!$AE$6:$AE$505,"○")&gt;0,1,0))</f>
        <v/>
      </c>
      <c r="BB21">
        <f>IF(BB$4=0,0,IF(COUNTIFS(実績!$W$6:$W$505,BB$3,実績!$AC$6:$AC$505,"&lt;="&amp;$A21,実績!$AD$6:$AD$505,"&gt;"&amp;$A21,実績!$AE$6:$AE$505,"○")&gt;0,1,0))</f>
        <v/>
      </c>
      <c r="BC21">
        <f>IF(BC$4=0,0,IF(COUNTIFS(実績!$W$6:$W$505,BC$3,実績!$AC$6:$AC$505,"&lt;="&amp;$A21,実績!$AD$6:$AD$505,"&gt;"&amp;$A21,実績!$AE$6:$AE$505,"○")&gt;0,1,0))</f>
        <v/>
      </c>
      <c r="BD21">
        <f>IF(BD$4=0,0,IF(COUNTIFS(実績!$W$6:$W$505,BD$3,実績!$AC$6:$AC$505,"&lt;="&amp;$A21,実績!$AD$6:$AD$505,"&gt;"&amp;$A21,実績!$AE$6:$AE$505,"○")&gt;0,1,0))</f>
        <v/>
      </c>
      <c r="BE21">
        <f>IF(BE$4=0,0,IF(COUNTIFS(実績!$W$6:$W$505,BE$3,実績!$AC$6:$AC$505,"&lt;="&amp;$A21,実績!$AD$6:$AD$505,"&gt;"&amp;$A21,実績!$AE$6:$AE$505,"○")&gt;0,1,0))</f>
        <v/>
      </c>
      <c r="BF21">
        <f>IF(BF$4=0,0,IF(COUNTIFS(実績!$W$6:$W$505,BF$3,実績!$AC$6:$AC$505,"&lt;="&amp;$A21,実績!$AD$6:$AD$505,"&gt;"&amp;$A21,実績!$AE$6:$AE$505,"○")&gt;0,1,0))</f>
        <v/>
      </c>
      <c r="BG21">
        <f>IF(BG$4=0,0,IF(COUNTIFS(実績!$W$6:$W$505,BG$3,実績!$AC$6:$AC$505,"&lt;="&amp;$A21,実績!$AD$6:$AD$505,"&gt;"&amp;$A21,実績!$AE$6:$AE$505,"○")&gt;0,1,0))</f>
        <v/>
      </c>
      <c r="BH21">
        <f>IF(BH$4=0,0,IF(COUNTIFS(実績!$W$6:$W$505,BH$3,実績!$AC$6:$AC$505,"&lt;="&amp;$A21,実績!$AD$6:$AD$505,"&gt;"&amp;$A21,実績!$AE$6:$AE$505,"○")&gt;0,1,0))</f>
        <v/>
      </c>
      <c r="BI21">
        <f>IF(BI$4=0,0,IF(COUNTIFS(実績!$W$6:$W$505,BI$3,実績!$AC$6:$AC$505,"&lt;="&amp;$A21,実績!$AD$6:$AD$505,"&gt;"&amp;$A21,実績!$AE$6:$AE$505,"○")&gt;0,1,0))</f>
        <v/>
      </c>
      <c r="BJ21">
        <f>IF(BJ$4=0,0,IF(COUNTIFS(実績!$W$6:$W$505,BJ$3,実績!$AC$6:$AC$505,"&lt;="&amp;$A21,実績!$AD$6:$AD$505,"&gt;"&amp;$A21,実績!$AE$6:$AE$505,"○")&gt;0,1,0))</f>
        <v/>
      </c>
      <c r="BK21">
        <f>IF(BK$4=0,0,IF(COUNTIFS(実績!$W$6:$W$505,BK$3,実績!$AC$6:$AC$505,"&lt;="&amp;$A21,実績!$AD$6:$AD$505,"&gt;"&amp;$A21,実績!$AE$6:$AE$505,"○")&gt;0,1,0))</f>
        <v/>
      </c>
      <c r="BL21">
        <f>IF(BL$4=0,0,IF(COUNTIFS(実績!$W$6:$W$505,BL$3,実績!$AC$6:$AC$505,"&lt;="&amp;$A21,実績!$AD$6:$AD$505,"&gt;"&amp;$A21,実績!$AE$6:$AE$505,"○")&gt;0,1,0))</f>
        <v/>
      </c>
      <c r="BM21">
        <f>IF(BM$4=0,0,IF(COUNTIFS(実績!$W$6:$W$505,BM$3,実績!$AC$6:$AC$505,"&lt;="&amp;$A21,実績!$AD$6:$AD$505,"&gt;"&amp;$A21,実績!$AE$6:$AE$505,"○")&gt;0,1,0))</f>
        <v/>
      </c>
      <c r="BN21">
        <f>IF(BN$4=0,0,IF(COUNTIFS(実績!$W$6:$W$505,BN$3,実績!$AC$6:$AC$505,"&lt;="&amp;$A21,実績!$AD$6:$AD$505,"&gt;"&amp;$A21,実績!$AE$6:$AE$505,"○")&gt;0,1,0))</f>
        <v/>
      </c>
      <c r="BO21">
        <f>IF(BO$4=0,0,IF(COUNTIFS(実績!$W$6:$W$505,BO$3,実績!$AC$6:$AC$505,"&lt;="&amp;$A21,実績!$AD$6:$AD$505,"&gt;"&amp;$A21,実績!$AE$6:$AE$505,"○")&gt;0,1,0))</f>
        <v/>
      </c>
      <c r="BP21">
        <f>IF(BP$4=0,0,IF(COUNTIFS(実績!$W$6:$W$505,BP$3,実績!$AC$6:$AC$505,"&lt;="&amp;$A21,実績!$AD$6:$AD$505,"&gt;"&amp;$A21,実績!$AE$6:$AE$505,"○")&gt;0,1,0))</f>
        <v/>
      </c>
      <c r="BQ21">
        <f>IF(BQ$4=0,0,IF(COUNTIFS(実績!$W$6:$W$505,BQ$3,実績!$AC$6:$AC$505,"&lt;="&amp;$A21,実績!$AD$6:$AD$505,"&gt;"&amp;$A21,実績!$AE$6:$AE$505,"○")&gt;0,1,0))</f>
        <v/>
      </c>
      <c r="BR21">
        <f>IF(BR$4=0,0,IF(COUNTIFS(実績!$W$6:$W$505,BR$3,実績!$AC$6:$AC$505,"&lt;="&amp;$A21,実績!$AD$6:$AD$505,"&gt;"&amp;$A21,実績!$AE$6:$AE$505,"○")&gt;0,1,0))</f>
        <v/>
      </c>
      <c r="BS21">
        <f>IF(BS$4=0,0,IF(COUNTIFS(実績!$W$6:$W$505,BS$3,実績!$AC$6:$AC$505,"&lt;="&amp;$A21,実績!$AD$6:$AD$505,"&gt;"&amp;$A21,実績!$AE$6:$AE$505,"○")&gt;0,1,0))</f>
        <v/>
      </c>
      <c r="BT21">
        <f>IF(BT$4=0,0,IF(COUNTIFS(実績!$W$6:$W$505,BT$3,実績!$AC$6:$AC$505,"&lt;="&amp;$A21,実績!$AD$6:$AD$505,"&gt;"&amp;$A21,実績!$AE$6:$AE$505,"○")&gt;0,1,0))</f>
        <v/>
      </c>
      <c r="BU21">
        <f>IF(BU$4=0,0,IF(COUNTIFS(実績!$W$6:$W$505,BU$3,実績!$AC$6:$AC$505,"&lt;="&amp;$A21,実績!$AD$6:$AD$505,"&gt;"&amp;$A21,実績!$AE$6:$AE$505,"○")&gt;0,1,0))</f>
        <v/>
      </c>
      <c r="BV21">
        <f>IF(BV$4=0,0,IF(COUNTIFS(実績!$W$6:$W$505,BV$3,実績!$AC$6:$AC$505,"&lt;="&amp;$A21,実績!$AD$6:$AD$505,"&gt;"&amp;$A21,実績!$AE$6:$AE$505,"○")&gt;0,1,0))</f>
        <v/>
      </c>
      <c r="BW21">
        <f>IF(BW$4=0,0,IF(COUNTIFS(実績!$W$6:$W$505,BW$3,実績!$AC$6:$AC$505,"&lt;="&amp;$A21,実績!$AD$6:$AD$505,"&gt;"&amp;$A21,実績!$AE$6:$AE$505,"○")&gt;0,1,0))</f>
        <v/>
      </c>
      <c r="BX21">
        <f>IF(BX$4=0,0,IF(COUNTIFS(実績!$W$6:$W$505,BX$3,実績!$AC$6:$AC$505,"&lt;="&amp;$A21,実績!$AD$6:$AD$505,"&gt;"&amp;$A21,実績!$AE$6:$AE$505,"○")&gt;0,1,0))</f>
        <v/>
      </c>
      <c r="BY21">
        <f>IF(BY$4=0,0,IF(COUNTIFS(実績!$W$6:$W$505,BY$3,実績!$AC$6:$AC$505,"&lt;="&amp;$A21,実績!$AD$6:$AD$505,"&gt;"&amp;$A21,実績!$AE$6:$AE$505,"○")&gt;0,1,0))</f>
        <v/>
      </c>
      <c r="BZ21">
        <f>IF(BZ$4=0,0,IF(COUNTIFS(実績!$W$6:$W$505,BZ$3,実績!$AC$6:$AC$505,"&lt;="&amp;$A21,実績!$AD$6:$AD$505,"&gt;"&amp;$A21,実績!$AE$6:$AE$505,"○")&gt;0,1,0))</f>
        <v/>
      </c>
      <c r="CA21">
        <f>IF(CA$4=0,0,IF(COUNTIFS(実績!$W$6:$W$505,CA$3,実績!$AC$6:$AC$505,"&lt;="&amp;$A21,実績!$AD$6:$AD$505,"&gt;"&amp;$A21,実績!$AE$6:$AE$505,"○")&gt;0,1,0))</f>
        <v/>
      </c>
      <c r="CB21">
        <f>IF(CB$4=0,0,IF(COUNTIFS(実績!$W$6:$W$505,CB$3,実績!$AC$6:$AC$505,"&lt;="&amp;$A21,実績!$AD$6:$AD$505,"&gt;"&amp;$A21,実績!$AE$6:$AE$505,"○")&gt;0,1,0))</f>
        <v/>
      </c>
      <c r="CC21">
        <f>IF(CC$4=0,0,IF(COUNTIFS(実績!$W$6:$W$505,CC$3,実績!$AC$6:$AC$505,"&lt;="&amp;$A21,実績!$AD$6:$AD$505,"&gt;"&amp;$A21,実績!$AE$6:$AE$505,"○")&gt;0,1,0))</f>
        <v/>
      </c>
      <c r="CD21">
        <f>IF(CD$4=0,0,IF(COUNTIFS(実績!$W$6:$W$505,CD$3,実績!$AC$6:$AC$505,"&lt;="&amp;$A21,実績!$AD$6:$AD$505,"&gt;"&amp;$A21,実績!$AE$6:$AE$505,"○")&gt;0,1,0))</f>
        <v/>
      </c>
      <c r="CE21">
        <f>IF(CE$4=0,0,IF(COUNTIFS(実績!$W$6:$W$505,CE$3,実績!$AC$6:$AC$505,"&lt;="&amp;$A21,実績!$AD$6:$AD$505,"&gt;"&amp;$A21,実績!$AE$6:$AE$505,"○")&gt;0,1,0))</f>
        <v/>
      </c>
      <c r="CF21">
        <f>IF(CF$4=0,0,IF(COUNTIFS(実績!$W$6:$W$505,CF$3,実績!$AC$6:$AC$505,"&lt;="&amp;$A21,実績!$AD$6:$AD$505,"&gt;"&amp;$A21,実績!$AE$6:$AE$505,"○")&gt;0,1,0))</f>
        <v/>
      </c>
      <c r="CG21">
        <f>IF(CG$4=0,0,IF(COUNTIFS(実績!$W$6:$W$505,CG$3,実績!$AC$6:$AC$505,"&lt;="&amp;$A21,実績!$AD$6:$AD$505,"&gt;"&amp;$A21,実績!$AE$6:$AE$505,"○")&gt;0,1,0))</f>
        <v/>
      </c>
      <c r="CH21">
        <f>IF(CH$4=0,0,IF(COUNTIFS(実績!$W$6:$W$505,CH$3,実績!$AC$6:$AC$505,"&lt;="&amp;$A21,実績!$AD$6:$AD$505,"&gt;"&amp;$A21,実績!$AE$6:$AE$505,"○")&gt;0,1,0))</f>
        <v/>
      </c>
      <c r="CI21">
        <f>IF(CI$4=0,0,IF(COUNTIFS(実績!$W$6:$W$505,CI$3,実績!$AC$6:$AC$505,"&lt;="&amp;$A21,実績!$AD$6:$AD$505,"&gt;"&amp;$A21,実績!$AE$6:$AE$505,"○")&gt;0,1,0))</f>
        <v/>
      </c>
      <c r="CJ21">
        <f>IF(CJ$4=0,0,IF(COUNTIFS(実績!$W$6:$W$505,CJ$3,実績!$AC$6:$AC$505,"&lt;="&amp;$A21,実績!$AD$6:$AD$505,"&gt;"&amp;$A21,実績!$AE$6:$AE$505,"○")&gt;0,1,0))</f>
        <v/>
      </c>
      <c r="CK21">
        <f>IF(CK$4=0,0,IF(COUNTIFS(実績!$W$6:$W$505,CK$3,実績!$AC$6:$AC$505,"&lt;="&amp;$A21,実績!$AD$6:$AD$505,"&gt;"&amp;$A21,実績!$AE$6:$AE$505,"○")&gt;0,1,0))</f>
        <v/>
      </c>
      <c r="CL21">
        <f>IF(CL$4=0,0,IF(COUNTIFS(実績!$W$6:$W$505,CL$3,実績!$AC$6:$AC$505,"&lt;="&amp;$A21,実績!$AD$6:$AD$505,"&gt;"&amp;$A21,実績!$AE$6:$AE$505,"○")&gt;0,1,0))</f>
        <v/>
      </c>
      <c r="CM21">
        <f>IF(CM$4=0,0,IF(COUNTIFS(実績!$W$6:$W$505,CM$3,実績!$AC$6:$AC$505,"&lt;="&amp;$A21,実績!$AD$6:$AD$505,"&gt;"&amp;$A21,実績!$AE$6:$AE$505,"○")&gt;0,1,0))</f>
        <v/>
      </c>
      <c r="CN21">
        <f>IF(CN$4=0,0,IF(COUNTIFS(実績!$W$6:$W$505,CN$3,実績!$AC$6:$AC$505,"&lt;="&amp;$A21,実績!$AD$6:$AD$505,"&gt;"&amp;$A21,実績!$AE$6:$AE$505,"○")&gt;0,1,0))</f>
        <v/>
      </c>
      <c r="CO21">
        <f>IF(CO$4=0,0,IF(COUNTIFS(実績!$W$6:$W$505,CO$3,実績!$AC$6:$AC$505,"&lt;="&amp;$A21,実績!$AD$6:$AD$505,"&gt;"&amp;$A21,実績!$AE$6:$AE$505,"○")&gt;0,1,0))</f>
        <v/>
      </c>
      <c r="CP21">
        <f>IF(CP$4=0,0,IF(COUNTIFS(実績!$W$6:$W$505,CP$3,実績!$AC$6:$AC$505,"&lt;="&amp;$A21,実績!$AD$6:$AD$505,"&gt;"&amp;$A21,実績!$AE$6:$AE$505,"○")&gt;0,1,0))</f>
        <v/>
      </c>
      <c r="CQ21">
        <f>IF(CQ$4=0,0,IF(COUNTIFS(実績!$W$6:$W$505,CQ$3,実績!$AC$6:$AC$505,"&lt;="&amp;$A21,実績!$AD$6:$AD$505,"&gt;"&amp;$A21,実績!$AE$6:$AE$505,"○")&gt;0,1,0))</f>
        <v/>
      </c>
      <c r="CR21">
        <f>IF(CR$4=0,0,IF(COUNTIFS(実績!$W$6:$W$505,CR$3,実績!$AC$6:$AC$505,"&lt;="&amp;$A21,実績!$AD$6:$AD$505,"&gt;"&amp;$A21,実績!$AE$6:$AE$505,"○")&gt;0,1,0))</f>
        <v/>
      </c>
      <c r="CS21">
        <f>IF(CS$4=0,0,IF(COUNTIFS(実績!$W$6:$W$505,CS$3,実績!$AC$6:$AC$505,"&lt;="&amp;$A21,実績!$AD$6:$AD$505,"&gt;"&amp;$A21,実績!$AE$6:$AE$505,"○")&gt;0,1,0))</f>
        <v/>
      </c>
      <c r="CT21">
        <f>IF(CT$4=0,0,IF(COUNTIFS(実績!$W$6:$W$505,CT$3,実績!$AC$6:$AC$505,"&lt;="&amp;$A21,実績!$AD$6:$AD$505,"&gt;"&amp;$A21,実績!$AE$6:$AE$505,"○")&gt;0,1,0))</f>
        <v/>
      </c>
      <c r="CU21">
        <f>IF(CU$4=0,0,IF(COUNTIFS(実績!$W$6:$W$505,CU$3,実績!$AC$6:$AC$505,"&lt;="&amp;$A21,実績!$AD$6:$AD$505,"&gt;"&amp;$A21,実績!$AE$6:$AE$505,"○")&gt;0,1,0))</f>
        <v/>
      </c>
      <c r="CV21">
        <f>IF(CV$4=0,0,IF(COUNTIFS(実績!$W$6:$W$505,CV$3,実績!$AC$6:$AC$505,"&lt;="&amp;$A21,実績!$AD$6:$AD$505,"&gt;"&amp;$A21,実績!$AE$6:$AE$505,"○")&gt;0,1,0))</f>
        <v/>
      </c>
      <c r="CW21">
        <f>IF(CW$4=0,0,IF(COUNTIFS(実績!$W$6:$W$505,CW$3,実績!$AC$6:$AC$505,"&lt;="&amp;$A21,実績!$AD$6:$AD$505,"&gt;"&amp;$A21,実績!$AE$6:$AE$505,"○")&gt;0,1,0))</f>
        <v/>
      </c>
      <c r="CX21">
        <f>IF(CX$4=0,0,IF(COUNTIFS(実績!$W$6:$W$505,CX$3,実績!$AC$6:$AC$505,"&lt;="&amp;$A21,実績!$AD$6:$AD$505,"&gt;"&amp;$A21,実績!$AE$6:$AE$505,"○")&gt;0,1,0))</f>
        <v/>
      </c>
      <c r="CY21">
        <f>IF(CY$4=0,0,IF(COUNTIFS(実績!$W$6:$W$505,CY$3,実績!$AC$6:$AC$505,"&lt;="&amp;$A21,実績!$AD$6:$AD$505,"&gt;"&amp;$A21,実績!$AE$6:$AE$505,"○")&gt;0,1,0))</f>
        <v/>
      </c>
      <c r="CZ21">
        <f>IF(CZ$4=0,0,IF(COUNTIFS(実績!$W$6:$W$505,CZ$3,実績!$AC$6:$AC$505,"&lt;="&amp;$A21,実績!$AD$6:$AD$505,"&gt;"&amp;$A21,実績!$AE$6:$AE$505,"○")&gt;0,1,0))</f>
        <v/>
      </c>
      <c r="DA21">
        <f>IF(DA$4=0,0,IF(COUNTIFS(実績!$W$6:$W$505,DA$3,実績!$AC$6:$AC$505,"&lt;="&amp;$A21,実績!$AD$6:$AD$505,"&gt;"&amp;$A21,実績!$AE$6:$AE$505,"○")&gt;0,1,0))</f>
        <v/>
      </c>
      <c r="DB21">
        <f>IF(DB$4=0,0,IF(COUNTIFS(実績!$W$6:$W$505,DB$3,実績!$AC$6:$AC$505,"&lt;="&amp;$A21,実績!$AD$6:$AD$505,"&gt;"&amp;$A21,実績!$AE$6:$AE$505,"○")&gt;0,1,0))</f>
        <v/>
      </c>
      <c r="DC21">
        <f>IF(DC$4=0,0,IF(COUNTIFS(実績!$W$6:$W$505,DC$3,実績!$AC$6:$AC$505,"&lt;="&amp;$A21,実績!$AD$6:$AD$505,"&gt;"&amp;$A21,実績!$AE$6:$AE$505,"○")&gt;0,1,0))</f>
        <v/>
      </c>
      <c r="DD21">
        <f>IF(DD$4=0,0,IF(COUNTIFS(実績!$W$6:$W$505,DD$3,実績!$AC$6:$AC$505,"&lt;="&amp;$A21,実績!$AD$6:$AD$505,"&gt;"&amp;$A21,実績!$AE$6:$AE$505,"○")&gt;0,1,0))</f>
        <v/>
      </c>
      <c r="DE21">
        <f>IF(DE$4=0,0,IF(COUNTIFS(実績!$W$6:$W$505,DE$3,実績!$AC$6:$AC$505,"&lt;="&amp;$A21,実績!$AD$6:$AD$505,"&gt;"&amp;$A21,実績!$AE$6:$AE$505,"○")&gt;0,1,0))</f>
        <v/>
      </c>
      <c r="DF21">
        <f>IF(DF$4=0,0,IF(COUNTIFS(実績!$W$6:$W$505,DF$3,実績!$AC$6:$AC$505,"&lt;="&amp;$A21,実績!$AD$6:$AD$505,"&gt;"&amp;$A21,実績!$AE$6:$AE$505,"○")&gt;0,1,0))</f>
        <v/>
      </c>
      <c r="DG21">
        <f>IF(DG$4=0,0,IF(COUNTIFS(実績!$W$6:$W$505,DG$3,実績!$AC$6:$AC$505,"&lt;="&amp;$A21,実績!$AD$6:$AD$505,"&gt;"&amp;$A21,実績!$AE$6:$AE$505,"○")&gt;0,1,0))</f>
        <v/>
      </c>
      <c r="DH21">
        <f>IF(DH$4=0,0,IF(COUNTIFS(実績!$W$6:$W$505,DH$3,実績!$AC$6:$AC$505,"&lt;="&amp;$A21,実績!$AD$6:$AD$505,"&gt;"&amp;$A21,実績!$AE$6:$AE$505,"○")&gt;0,1,0))</f>
        <v/>
      </c>
      <c r="DI21">
        <f>IF(DI$4=0,0,IF(COUNTIFS(実績!$W$6:$W$505,DI$3,実績!$AC$6:$AC$505,"&lt;="&amp;$A21,実績!$AD$6:$AD$505,"&gt;"&amp;$A21,実績!$AE$6:$AE$505,"○")&gt;0,1,0))</f>
        <v/>
      </c>
      <c r="DJ21">
        <f>IF(DJ$4=0,0,IF(COUNTIFS(実績!$W$6:$W$505,DJ$3,実績!$AC$6:$AC$505,"&lt;="&amp;$A21,実績!$AD$6:$AD$505,"&gt;"&amp;$A21,実績!$AE$6:$AE$505,"○")&gt;0,1,0))</f>
        <v/>
      </c>
      <c r="DK21">
        <f>IF(DK$4=0,0,IF(COUNTIFS(実績!$W$6:$W$505,DK$3,実績!$AC$6:$AC$505,"&lt;="&amp;$A21,実績!$AD$6:$AD$505,"&gt;"&amp;$A21,実績!$AE$6:$AE$505,"○")&gt;0,1,0))</f>
        <v/>
      </c>
      <c r="DL21">
        <f>IF(DL$4=0,0,IF(COUNTIFS(実績!$W$6:$W$505,DL$3,実績!$AC$6:$AC$505,"&lt;="&amp;$A21,実績!$AD$6:$AD$505,"&gt;"&amp;$A21,実績!$AE$6:$AE$505,"○")&gt;0,1,0))</f>
        <v/>
      </c>
      <c r="DM21">
        <f>IF(DM$4=0,0,IF(COUNTIFS(実績!$W$6:$W$505,DM$3,実績!$AC$6:$AC$505,"&lt;="&amp;$A21,実績!$AD$6:$AD$505,"&gt;"&amp;$A21,実績!$AE$6:$AE$505,"○")&gt;0,1,0))</f>
        <v/>
      </c>
      <c r="DN21">
        <f>IF(DN$4=0,0,IF(COUNTIFS(実績!$W$6:$W$505,DN$3,実績!$AC$6:$AC$505,"&lt;="&amp;$A21,実績!$AD$6:$AD$505,"&gt;"&amp;$A21,実績!$AE$6:$AE$505,"○")&gt;0,1,0))</f>
        <v/>
      </c>
      <c r="DO21">
        <f>IF(DO$4=0,0,IF(COUNTIFS(実績!$W$6:$W$505,DO$3,実績!$AC$6:$AC$505,"&lt;="&amp;$A21,実績!$AD$6:$AD$505,"&gt;"&amp;$A21,実績!$AE$6:$AE$505,"○")&gt;0,1,0))</f>
        <v/>
      </c>
      <c r="DP21">
        <f>IF(DP$4=0,0,IF(COUNTIFS(実績!$W$6:$W$505,DP$3,実績!$AC$6:$AC$505,"&lt;="&amp;$A21,実績!$AD$6:$AD$505,"&gt;"&amp;$A21,実績!$AE$6:$AE$505,"○")&gt;0,1,0))</f>
        <v/>
      </c>
      <c r="DQ21">
        <f>IF(DQ$4=0,0,IF(COUNTIFS(実績!$W$6:$W$505,DQ$3,実績!$AC$6:$AC$505,"&lt;="&amp;$A21,実績!$AD$6:$AD$505,"&gt;"&amp;$A21,実績!$AE$6:$AE$505,"○")&gt;0,1,0))</f>
        <v/>
      </c>
      <c r="DR21">
        <f>IF(DR$4=0,0,IF(COUNTIFS(実績!$W$6:$W$505,DR$3,実績!$AC$6:$AC$505,"&lt;="&amp;$A21,実績!$AD$6:$AD$505,"&gt;"&amp;$A21,実績!$AE$6:$AE$505,"○")&gt;0,1,0))</f>
        <v/>
      </c>
      <c r="DS21">
        <f>SUM(C21:DR21)</f>
        <v/>
      </c>
      <c r="DT21">
        <f>SUMPRODUCT((実績!$C$6:$C$505="○")*ISNUMBER(実績!$AF$6:$AF$505)*(実績!$AF$6:$AF$505&lt;=$A21)*(実績!$AG$6:$AG$505&gt;$A21))</f>
        <v/>
      </c>
      <c r="DU21">
        <f>SUMIF($C$2:$DR$2,"製鉄曳船",C21:DR21)</f>
        <v/>
      </c>
      <c r="DV21">
        <f>SUMIF($C$2:$DR$2,"西日本海運",C21:DR21)</f>
        <v/>
      </c>
    </row>
    <row r="22">
      <c r="A22" t="n">
        <v>80</v>
      </c>
      <c r="B22" s="29">
        <f>A22/1440</f>
        <v/>
      </c>
      <c r="C22">
        <f>IF(C$4=0,0,IF(COUNTIFS(実績!$W$6:$W$505,C$3,実績!$AC$6:$AC$505,"&lt;="&amp;$A22,実績!$AD$6:$AD$505,"&gt;"&amp;$A22,実績!$AE$6:$AE$505,"○")&gt;0,1,0))</f>
        <v/>
      </c>
      <c r="D22">
        <f>IF(D$4=0,0,IF(COUNTIFS(実績!$W$6:$W$505,D$3,実績!$AC$6:$AC$505,"&lt;="&amp;$A22,実績!$AD$6:$AD$505,"&gt;"&amp;$A22,実績!$AE$6:$AE$505,"○")&gt;0,1,0))</f>
        <v/>
      </c>
      <c r="E22">
        <f>IF(E$4=0,0,IF(COUNTIFS(実績!$W$6:$W$505,E$3,実績!$AC$6:$AC$505,"&lt;="&amp;$A22,実績!$AD$6:$AD$505,"&gt;"&amp;$A22,実績!$AE$6:$AE$505,"○")&gt;0,1,0))</f>
        <v/>
      </c>
      <c r="F22">
        <f>IF(F$4=0,0,IF(COUNTIFS(実績!$W$6:$W$505,F$3,実績!$AC$6:$AC$505,"&lt;="&amp;$A22,実績!$AD$6:$AD$505,"&gt;"&amp;$A22,実績!$AE$6:$AE$505,"○")&gt;0,1,0))</f>
        <v/>
      </c>
      <c r="G22">
        <f>IF(G$4=0,0,IF(COUNTIFS(実績!$W$6:$W$505,G$3,実績!$AC$6:$AC$505,"&lt;="&amp;$A22,実績!$AD$6:$AD$505,"&gt;"&amp;$A22,実績!$AE$6:$AE$505,"○")&gt;0,1,0))</f>
        <v/>
      </c>
      <c r="H22">
        <f>IF(H$4=0,0,IF(COUNTIFS(実績!$W$6:$W$505,H$3,実績!$AC$6:$AC$505,"&lt;="&amp;$A22,実績!$AD$6:$AD$505,"&gt;"&amp;$A22,実績!$AE$6:$AE$505,"○")&gt;0,1,0))</f>
        <v/>
      </c>
      <c r="I22">
        <f>IF(I$4=0,0,IF(COUNTIFS(実績!$W$6:$W$505,I$3,実績!$AC$6:$AC$505,"&lt;="&amp;$A22,実績!$AD$6:$AD$505,"&gt;"&amp;$A22,実績!$AE$6:$AE$505,"○")&gt;0,1,0))</f>
        <v/>
      </c>
      <c r="J22">
        <f>IF(J$4=0,0,IF(COUNTIFS(実績!$W$6:$W$505,J$3,実績!$AC$6:$AC$505,"&lt;="&amp;$A22,実績!$AD$6:$AD$505,"&gt;"&amp;$A22,実績!$AE$6:$AE$505,"○")&gt;0,1,0))</f>
        <v/>
      </c>
      <c r="K22">
        <f>IF(K$4=0,0,IF(COUNTIFS(実績!$W$6:$W$505,K$3,実績!$AC$6:$AC$505,"&lt;="&amp;$A22,実績!$AD$6:$AD$505,"&gt;"&amp;$A22,実績!$AE$6:$AE$505,"○")&gt;0,1,0))</f>
        <v/>
      </c>
      <c r="L22">
        <f>IF(L$4=0,0,IF(COUNTIFS(実績!$W$6:$W$505,L$3,実績!$AC$6:$AC$505,"&lt;="&amp;$A22,実績!$AD$6:$AD$505,"&gt;"&amp;$A22,実績!$AE$6:$AE$505,"○")&gt;0,1,0))</f>
        <v/>
      </c>
      <c r="M22">
        <f>IF(M$4=0,0,IF(COUNTIFS(実績!$W$6:$W$505,M$3,実績!$AC$6:$AC$505,"&lt;="&amp;$A22,実績!$AD$6:$AD$505,"&gt;"&amp;$A22,実績!$AE$6:$AE$505,"○")&gt;0,1,0))</f>
        <v/>
      </c>
      <c r="N22">
        <f>IF(N$4=0,0,IF(COUNTIFS(実績!$W$6:$W$505,N$3,実績!$AC$6:$AC$505,"&lt;="&amp;$A22,実績!$AD$6:$AD$505,"&gt;"&amp;$A22,実績!$AE$6:$AE$505,"○")&gt;0,1,0))</f>
        <v/>
      </c>
      <c r="O22">
        <f>IF(O$4=0,0,IF(COUNTIFS(実績!$W$6:$W$505,O$3,実績!$AC$6:$AC$505,"&lt;="&amp;$A22,実績!$AD$6:$AD$505,"&gt;"&amp;$A22,実績!$AE$6:$AE$505,"○")&gt;0,1,0))</f>
        <v/>
      </c>
      <c r="P22">
        <f>IF(P$4=0,0,IF(COUNTIFS(実績!$W$6:$W$505,P$3,実績!$AC$6:$AC$505,"&lt;="&amp;$A22,実績!$AD$6:$AD$505,"&gt;"&amp;$A22,実績!$AE$6:$AE$505,"○")&gt;0,1,0))</f>
        <v/>
      </c>
      <c r="Q22">
        <f>IF(Q$4=0,0,IF(COUNTIFS(実績!$W$6:$W$505,Q$3,実績!$AC$6:$AC$505,"&lt;="&amp;$A22,実績!$AD$6:$AD$505,"&gt;"&amp;$A22,実績!$AE$6:$AE$505,"○")&gt;0,1,0))</f>
        <v/>
      </c>
      <c r="R22">
        <f>IF(R$4=0,0,IF(COUNTIFS(実績!$W$6:$W$505,R$3,実績!$AC$6:$AC$505,"&lt;="&amp;$A22,実績!$AD$6:$AD$505,"&gt;"&amp;$A22,実績!$AE$6:$AE$505,"○")&gt;0,1,0))</f>
        <v/>
      </c>
      <c r="S22">
        <f>IF(S$4=0,0,IF(COUNTIFS(実績!$W$6:$W$505,S$3,実績!$AC$6:$AC$505,"&lt;="&amp;$A22,実績!$AD$6:$AD$505,"&gt;"&amp;$A22,実績!$AE$6:$AE$505,"○")&gt;0,1,0))</f>
        <v/>
      </c>
      <c r="T22">
        <f>IF(T$4=0,0,IF(COUNTIFS(実績!$W$6:$W$505,T$3,実績!$AC$6:$AC$505,"&lt;="&amp;$A22,実績!$AD$6:$AD$505,"&gt;"&amp;$A22,実績!$AE$6:$AE$505,"○")&gt;0,1,0))</f>
        <v/>
      </c>
      <c r="U22">
        <f>IF(U$4=0,0,IF(COUNTIFS(実績!$W$6:$W$505,U$3,実績!$AC$6:$AC$505,"&lt;="&amp;$A22,実績!$AD$6:$AD$505,"&gt;"&amp;$A22,実績!$AE$6:$AE$505,"○")&gt;0,1,0))</f>
        <v/>
      </c>
      <c r="V22">
        <f>IF(V$4=0,0,IF(COUNTIFS(実績!$W$6:$W$505,V$3,実績!$AC$6:$AC$505,"&lt;="&amp;$A22,実績!$AD$6:$AD$505,"&gt;"&amp;$A22,実績!$AE$6:$AE$505,"○")&gt;0,1,0))</f>
        <v/>
      </c>
      <c r="W22">
        <f>IF(W$4=0,0,IF(COUNTIFS(実績!$W$6:$W$505,W$3,実績!$AC$6:$AC$505,"&lt;="&amp;$A22,実績!$AD$6:$AD$505,"&gt;"&amp;$A22,実績!$AE$6:$AE$505,"○")&gt;0,1,0))</f>
        <v/>
      </c>
      <c r="X22">
        <f>IF(X$4=0,0,IF(COUNTIFS(実績!$W$6:$W$505,X$3,実績!$AC$6:$AC$505,"&lt;="&amp;$A22,実績!$AD$6:$AD$505,"&gt;"&amp;$A22,実績!$AE$6:$AE$505,"○")&gt;0,1,0))</f>
        <v/>
      </c>
      <c r="Y22">
        <f>IF(Y$4=0,0,IF(COUNTIFS(実績!$W$6:$W$505,Y$3,実績!$AC$6:$AC$505,"&lt;="&amp;$A22,実績!$AD$6:$AD$505,"&gt;"&amp;$A22,実績!$AE$6:$AE$505,"○")&gt;0,1,0))</f>
        <v/>
      </c>
      <c r="Z22">
        <f>IF(Z$4=0,0,IF(COUNTIFS(実績!$W$6:$W$505,Z$3,実績!$AC$6:$AC$505,"&lt;="&amp;$A22,実績!$AD$6:$AD$505,"&gt;"&amp;$A22,実績!$AE$6:$AE$505,"○")&gt;0,1,0))</f>
        <v/>
      </c>
      <c r="AA22">
        <f>IF(AA$4=0,0,IF(COUNTIFS(実績!$W$6:$W$505,AA$3,実績!$AC$6:$AC$505,"&lt;="&amp;$A22,実績!$AD$6:$AD$505,"&gt;"&amp;$A22,実績!$AE$6:$AE$505,"○")&gt;0,1,0))</f>
        <v/>
      </c>
      <c r="AB22">
        <f>IF(AB$4=0,0,IF(COUNTIFS(実績!$W$6:$W$505,AB$3,実績!$AC$6:$AC$505,"&lt;="&amp;$A22,実績!$AD$6:$AD$505,"&gt;"&amp;$A22,実績!$AE$6:$AE$505,"○")&gt;0,1,0))</f>
        <v/>
      </c>
      <c r="AC22">
        <f>IF(AC$4=0,0,IF(COUNTIFS(実績!$W$6:$W$505,AC$3,実績!$AC$6:$AC$505,"&lt;="&amp;$A22,実績!$AD$6:$AD$505,"&gt;"&amp;$A22,実績!$AE$6:$AE$505,"○")&gt;0,1,0))</f>
        <v/>
      </c>
      <c r="AD22">
        <f>IF(AD$4=0,0,IF(COUNTIFS(実績!$W$6:$W$505,AD$3,実績!$AC$6:$AC$505,"&lt;="&amp;$A22,実績!$AD$6:$AD$505,"&gt;"&amp;$A22,実績!$AE$6:$AE$505,"○")&gt;0,1,0))</f>
        <v/>
      </c>
      <c r="AE22">
        <f>IF(AE$4=0,0,IF(COUNTIFS(実績!$W$6:$W$505,AE$3,実績!$AC$6:$AC$505,"&lt;="&amp;$A22,実績!$AD$6:$AD$505,"&gt;"&amp;$A22,実績!$AE$6:$AE$505,"○")&gt;0,1,0))</f>
        <v/>
      </c>
      <c r="AF22">
        <f>IF(AF$4=0,0,IF(COUNTIFS(実績!$W$6:$W$505,AF$3,実績!$AC$6:$AC$505,"&lt;="&amp;$A22,実績!$AD$6:$AD$505,"&gt;"&amp;$A22,実績!$AE$6:$AE$505,"○")&gt;0,1,0))</f>
        <v/>
      </c>
      <c r="AG22">
        <f>IF(AG$4=0,0,IF(COUNTIFS(実績!$W$6:$W$505,AG$3,実績!$AC$6:$AC$505,"&lt;="&amp;$A22,実績!$AD$6:$AD$505,"&gt;"&amp;$A22,実績!$AE$6:$AE$505,"○")&gt;0,1,0))</f>
        <v/>
      </c>
      <c r="AH22">
        <f>IF(AH$4=0,0,IF(COUNTIFS(実績!$W$6:$W$505,AH$3,実績!$AC$6:$AC$505,"&lt;="&amp;$A22,実績!$AD$6:$AD$505,"&gt;"&amp;$A22,実績!$AE$6:$AE$505,"○")&gt;0,1,0))</f>
        <v/>
      </c>
      <c r="AI22">
        <f>IF(AI$4=0,0,IF(COUNTIFS(実績!$W$6:$W$505,AI$3,実績!$AC$6:$AC$505,"&lt;="&amp;$A22,実績!$AD$6:$AD$505,"&gt;"&amp;$A22,実績!$AE$6:$AE$505,"○")&gt;0,1,0))</f>
        <v/>
      </c>
      <c r="AJ22">
        <f>IF(AJ$4=0,0,IF(COUNTIFS(実績!$W$6:$W$505,AJ$3,実績!$AC$6:$AC$505,"&lt;="&amp;$A22,実績!$AD$6:$AD$505,"&gt;"&amp;$A22,実績!$AE$6:$AE$505,"○")&gt;0,1,0))</f>
        <v/>
      </c>
      <c r="AK22">
        <f>IF(AK$4=0,0,IF(COUNTIFS(実績!$W$6:$W$505,AK$3,実績!$AC$6:$AC$505,"&lt;="&amp;$A22,実績!$AD$6:$AD$505,"&gt;"&amp;$A22,実績!$AE$6:$AE$505,"○")&gt;0,1,0))</f>
        <v/>
      </c>
      <c r="AL22">
        <f>IF(AL$4=0,0,IF(COUNTIFS(実績!$W$6:$W$505,AL$3,実績!$AC$6:$AC$505,"&lt;="&amp;$A22,実績!$AD$6:$AD$505,"&gt;"&amp;$A22,実績!$AE$6:$AE$505,"○")&gt;0,1,0))</f>
        <v/>
      </c>
      <c r="AM22">
        <f>IF(AM$4=0,0,IF(COUNTIFS(実績!$W$6:$W$505,AM$3,実績!$AC$6:$AC$505,"&lt;="&amp;$A22,実績!$AD$6:$AD$505,"&gt;"&amp;$A22,実績!$AE$6:$AE$505,"○")&gt;0,1,0))</f>
        <v/>
      </c>
      <c r="AN22">
        <f>IF(AN$4=0,0,IF(COUNTIFS(実績!$W$6:$W$505,AN$3,実績!$AC$6:$AC$505,"&lt;="&amp;$A22,実績!$AD$6:$AD$505,"&gt;"&amp;$A22,実績!$AE$6:$AE$505,"○")&gt;0,1,0))</f>
        <v/>
      </c>
      <c r="AO22">
        <f>IF(AO$4=0,0,IF(COUNTIFS(実績!$W$6:$W$505,AO$3,実績!$AC$6:$AC$505,"&lt;="&amp;$A22,実績!$AD$6:$AD$505,"&gt;"&amp;$A22,実績!$AE$6:$AE$505,"○")&gt;0,1,0))</f>
        <v/>
      </c>
      <c r="AP22">
        <f>IF(AP$4=0,0,IF(COUNTIFS(実績!$W$6:$W$505,AP$3,実績!$AC$6:$AC$505,"&lt;="&amp;$A22,実績!$AD$6:$AD$505,"&gt;"&amp;$A22,実績!$AE$6:$AE$505,"○")&gt;0,1,0))</f>
        <v/>
      </c>
      <c r="AQ22">
        <f>IF(AQ$4=0,0,IF(COUNTIFS(実績!$W$6:$W$505,AQ$3,実績!$AC$6:$AC$505,"&lt;="&amp;$A22,実績!$AD$6:$AD$505,"&gt;"&amp;$A22,実績!$AE$6:$AE$505,"○")&gt;0,1,0))</f>
        <v/>
      </c>
      <c r="AR22">
        <f>IF(AR$4=0,0,IF(COUNTIFS(実績!$W$6:$W$505,AR$3,実績!$AC$6:$AC$505,"&lt;="&amp;$A22,実績!$AD$6:$AD$505,"&gt;"&amp;$A22,実績!$AE$6:$AE$505,"○")&gt;0,1,0))</f>
        <v/>
      </c>
      <c r="AS22">
        <f>IF(AS$4=0,0,IF(COUNTIFS(実績!$W$6:$W$505,AS$3,実績!$AC$6:$AC$505,"&lt;="&amp;$A22,実績!$AD$6:$AD$505,"&gt;"&amp;$A22,実績!$AE$6:$AE$505,"○")&gt;0,1,0))</f>
        <v/>
      </c>
      <c r="AT22">
        <f>IF(AT$4=0,0,IF(COUNTIFS(実績!$W$6:$W$505,AT$3,実績!$AC$6:$AC$505,"&lt;="&amp;$A22,実績!$AD$6:$AD$505,"&gt;"&amp;$A22,実績!$AE$6:$AE$505,"○")&gt;0,1,0))</f>
        <v/>
      </c>
      <c r="AU22">
        <f>IF(AU$4=0,0,IF(COUNTIFS(実績!$W$6:$W$505,AU$3,実績!$AC$6:$AC$505,"&lt;="&amp;$A22,実績!$AD$6:$AD$505,"&gt;"&amp;$A22,実績!$AE$6:$AE$505,"○")&gt;0,1,0))</f>
        <v/>
      </c>
      <c r="AV22">
        <f>IF(AV$4=0,0,IF(COUNTIFS(実績!$W$6:$W$505,AV$3,実績!$AC$6:$AC$505,"&lt;="&amp;$A22,実績!$AD$6:$AD$505,"&gt;"&amp;$A22,実績!$AE$6:$AE$505,"○")&gt;0,1,0))</f>
        <v/>
      </c>
      <c r="AW22">
        <f>IF(AW$4=0,0,IF(COUNTIFS(実績!$W$6:$W$505,AW$3,実績!$AC$6:$AC$505,"&lt;="&amp;$A22,実績!$AD$6:$AD$505,"&gt;"&amp;$A22,実績!$AE$6:$AE$505,"○")&gt;0,1,0))</f>
        <v/>
      </c>
      <c r="AX22">
        <f>IF(AX$4=0,0,IF(COUNTIFS(実績!$W$6:$W$505,AX$3,実績!$AC$6:$AC$505,"&lt;="&amp;$A22,実績!$AD$6:$AD$505,"&gt;"&amp;$A22,実績!$AE$6:$AE$505,"○")&gt;0,1,0))</f>
        <v/>
      </c>
      <c r="AY22">
        <f>IF(AY$4=0,0,IF(COUNTIFS(実績!$W$6:$W$505,AY$3,実績!$AC$6:$AC$505,"&lt;="&amp;$A22,実績!$AD$6:$AD$505,"&gt;"&amp;$A22,実績!$AE$6:$AE$505,"○")&gt;0,1,0))</f>
        <v/>
      </c>
      <c r="AZ22">
        <f>IF(AZ$4=0,0,IF(COUNTIFS(実績!$W$6:$W$505,AZ$3,実績!$AC$6:$AC$505,"&lt;="&amp;$A22,実績!$AD$6:$AD$505,"&gt;"&amp;$A22,実績!$AE$6:$AE$505,"○")&gt;0,1,0))</f>
        <v/>
      </c>
      <c r="BA22">
        <f>IF(BA$4=0,0,IF(COUNTIFS(実績!$W$6:$W$505,BA$3,実績!$AC$6:$AC$505,"&lt;="&amp;$A22,実績!$AD$6:$AD$505,"&gt;"&amp;$A22,実績!$AE$6:$AE$505,"○")&gt;0,1,0))</f>
        <v/>
      </c>
      <c r="BB22">
        <f>IF(BB$4=0,0,IF(COUNTIFS(実績!$W$6:$W$505,BB$3,実績!$AC$6:$AC$505,"&lt;="&amp;$A22,実績!$AD$6:$AD$505,"&gt;"&amp;$A22,実績!$AE$6:$AE$505,"○")&gt;0,1,0))</f>
        <v/>
      </c>
      <c r="BC22">
        <f>IF(BC$4=0,0,IF(COUNTIFS(実績!$W$6:$W$505,BC$3,実績!$AC$6:$AC$505,"&lt;="&amp;$A22,実績!$AD$6:$AD$505,"&gt;"&amp;$A22,実績!$AE$6:$AE$505,"○")&gt;0,1,0))</f>
        <v/>
      </c>
      <c r="BD22">
        <f>IF(BD$4=0,0,IF(COUNTIFS(実績!$W$6:$W$505,BD$3,実績!$AC$6:$AC$505,"&lt;="&amp;$A22,実績!$AD$6:$AD$505,"&gt;"&amp;$A22,実績!$AE$6:$AE$505,"○")&gt;0,1,0))</f>
        <v/>
      </c>
      <c r="BE22">
        <f>IF(BE$4=0,0,IF(COUNTIFS(実績!$W$6:$W$505,BE$3,実績!$AC$6:$AC$505,"&lt;="&amp;$A22,実績!$AD$6:$AD$505,"&gt;"&amp;$A22,実績!$AE$6:$AE$505,"○")&gt;0,1,0))</f>
        <v/>
      </c>
      <c r="BF22">
        <f>IF(BF$4=0,0,IF(COUNTIFS(実績!$W$6:$W$505,BF$3,実績!$AC$6:$AC$505,"&lt;="&amp;$A22,実績!$AD$6:$AD$505,"&gt;"&amp;$A22,実績!$AE$6:$AE$505,"○")&gt;0,1,0))</f>
        <v/>
      </c>
      <c r="BG22">
        <f>IF(BG$4=0,0,IF(COUNTIFS(実績!$W$6:$W$505,BG$3,実績!$AC$6:$AC$505,"&lt;="&amp;$A22,実績!$AD$6:$AD$505,"&gt;"&amp;$A22,実績!$AE$6:$AE$505,"○")&gt;0,1,0))</f>
        <v/>
      </c>
      <c r="BH22">
        <f>IF(BH$4=0,0,IF(COUNTIFS(実績!$W$6:$W$505,BH$3,実績!$AC$6:$AC$505,"&lt;="&amp;$A22,実績!$AD$6:$AD$505,"&gt;"&amp;$A22,実績!$AE$6:$AE$505,"○")&gt;0,1,0))</f>
        <v/>
      </c>
      <c r="BI22">
        <f>IF(BI$4=0,0,IF(COUNTIFS(実績!$W$6:$W$505,BI$3,実績!$AC$6:$AC$505,"&lt;="&amp;$A22,実績!$AD$6:$AD$505,"&gt;"&amp;$A22,実績!$AE$6:$AE$505,"○")&gt;0,1,0))</f>
        <v/>
      </c>
      <c r="BJ22">
        <f>IF(BJ$4=0,0,IF(COUNTIFS(実績!$W$6:$W$505,BJ$3,実績!$AC$6:$AC$505,"&lt;="&amp;$A22,実績!$AD$6:$AD$505,"&gt;"&amp;$A22,実績!$AE$6:$AE$505,"○")&gt;0,1,0))</f>
        <v/>
      </c>
      <c r="BK22">
        <f>IF(BK$4=0,0,IF(COUNTIFS(実績!$W$6:$W$505,BK$3,実績!$AC$6:$AC$505,"&lt;="&amp;$A22,実績!$AD$6:$AD$505,"&gt;"&amp;$A22,実績!$AE$6:$AE$505,"○")&gt;0,1,0))</f>
        <v/>
      </c>
      <c r="BL22">
        <f>IF(BL$4=0,0,IF(COUNTIFS(実績!$W$6:$W$505,BL$3,実績!$AC$6:$AC$505,"&lt;="&amp;$A22,実績!$AD$6:$AD$505,"&gt;"&amp;$A22,実績!$AE$6:$AE$505,"○")&gt;0,1,0))</f>
        <v/>
      </c>
      <c r="BM22">
        <f>IF(BM$4=0,0,IF(COUNTIFS(実績!$W$6:$W$505,BM$3,実績!$AC$6:$AC$505,"&lt;="&amp;$A22,実績!$AD$6:$AD$505,"&gt;"&amp;$A22,実績!$AE$6:$AE$505,"○")&gt;0,1,0))</f>
        <v/>
      </c>
      <c r="BN22">
        <f>IF(BN$4=0,0,IF(COUNTIFS(実績!$W$6:$W$505,BN$3,実績!$AC$6:$AC$505,"&lt;="&amp;$A22,実績!$AD$6:$AD$505,"&gt;"&amp;$A22,実績!$AE$6:$AE$505,"○")&gt;0,1,0))</f>
        <v/>
      </c>
      <c r="BO22">
        <f>IF(BO$4=0,0,IF(COUNTIFS(実績!$W$6:$W$505,BO$3,実績!$AC$6:$AC$505,"&lt;="&amp;$A22,実績!$AD$6:$AD$505,"&gt;"&amp;$A22,実績!$AE$6:$AE$505,"○")&gt;0,1,0))</f>
        <v/>
      </c>
      <c r="BP22">
        <f>IF(BP$4=0,0,IF(COUNTIFS(実績!$W$6:$W$505,BP$3,実績!$AC$6:$AC$505,"&lt;="&amp;$A22,実績!$AD$6:$AD$505,"&gt;"&amp;$A22,実績!$AE$6:$AE$505,"○")&gt;0,1,0))</f>
        <v/>
      </c>
      <c r="BQ22">
        <f>IF(BQ$4=0,0,IF(COUNTIFS(実績!$W$6:$W$505,BQ$3,実績!$AC$6:$AC$505,"&lt;="&amp;$A22,実績!$AD$6:$AD$505,"&gt;"&amp;$A22,実績!$AE$6:$AE$505,"○")&gt;0,1,0))</f>
        <v/>
      </c>
      <c r="BR22">
        <f>IF(BR$4=0,0,IF(COUNTIFS(実績!$W$6:$W$505,BR$3,実績!$AC$6:$AC$505,"&lt;="&amp;$A22,実績!$AD$6:$AD$505,"&gt;"&amp;$A22,実績!$AE$6:$AE$505,"○")&gt;0,1,0))</f>
        <v/>
      </c>
      <c r="BS22">
        <f>IF(BS$4=0,0,IF(COUNTIFS(実績!$W$6:$W$505,BS$3,実績!$AC$6:$AC$505,"&lt;="&amp;$A22,実績!$AD$6:$AD$505,"&gt;"&amp;$A22,実績!$AE$6:$AE$505,"○")&gt;0,1,0))</f>
        <v/>
      </c>
      <c r="BT22">
        <f>IF(BT$4=0,0,IF(COUNTIFS(実績!$W$6:$W$505,BT$3,実績!$AC$6:$AC$505,"&lt;="&amp;$A22,実績!$AD$6:$AD$505,"&gt;"&amp;$A22,実績!$AE$6:$AE$505,"○")&gt;0,1,0))</f>
        <v/>
      </c>
      <c r="BU22">
        <f>IF(BU$4=0,0,IF(COUNTIFS(実績!$W$6:$W$505,BU$3,実績!$AC$6:$AC$505,"&lt;="&amp;$A22,実績!$AD$6:$AD$505,"&gt;"&amp;$A22,実績!$AE$6:$AE$505,"○")&gt;0,1,0))</f>
        <v/>
      </c>
      <c r="BV22">
        <f>IF(BV$4=0,0,IF(COUNTIFS(実績!$W$6:$W$505,BV$3,実績!$AC$6:$AC$505,"&lt;="&amp;$A22,実績!$AD$6:$AD$505,"&gt;"&amp;$A22,実績!$AE$6:$AE$505,"○")&gt;0,1,0))</f>
        <v/>
      </c>
      <c r="BW22">
        <f>IF(BW$4=0,0,IF(COUNTIFS(実績!$W$6:$W$505,BW$3,実績!$AC$6:$AC$505,"&lt;="&amp;$A22,実績!$AD$6:$AD$505,"&gt;"&amp;$A22,実績!$AE$6:$AE$505,"○")&gt;0,1,0))</f>
        <v/>
      </c>
      <c r="BX22">
        <f>IF(BX$4=0,0,IF(COUNTIFS(実績!$W$6:$W$505,BX$3,実績!$AC$6:$AC$505,"&lt;="&amp;$A22,実績!$AD$6:$AD$505,"&gt;"&amp;$A22,実績!$AE$6:$AE$505,"○")&gt;0,1,0))</f>
        <v/>
      </c>
      <c r="BY22">
        <f>IF(BY$4=0,0,IF(COUNTIFS(実績!$W$6:$W$505,BY$3,実績!$AC$6:$AC$505,"&lt;="&amp;$A22,実績!$AD$6:$AD$505,"&gt;"&amp;$A22,実績!$AE$6:$AE$505,"○")&gt;0,1,0))</f>
        <v/>
      </c>
      <c r="BZ22">
        <f>IF(BZ$4=0,0,IF(COUNTIFS(実績!$W$6:$W$505,BZ$3,実績!$AC$6:$AC$505,"&lt;="&amp;$A22,実績!$AD$6:$AD$505,"&gt;"&amp;$A22,実績!$AE$6:$AE$505,"○")&gt;0,1,0))</f>
        <v/>
      </c>
      <c r="CA22">
        <f>IF(CA$4=0,0,IF(COUNTIFS(実績!$W$6:$W$505,CA$3,実績!$AC$6:$AC$505,"&lt;="&amp;$A22,実績!$AD$6:$AD$505,"&gt;"&amp;$A22,実績!$AE$6:$AE$505,"○")&gt;0,1,0))</f>
        <v/>
      </c>
      <c r="CB22">
        <f>IF(CB$4=0,0,IF(COUNTIFS(実績!$W$6:$W$505,CB$3,実績!$AC$6:$AC$505,"&lt;="&amp;$A22,実績!$AD$6:$AD$505,"&gt;"&amp;$A22,実績!$AE$6:$AE$505,"○")&gt;0,1,0))</f>
        <v/>
      </c>
      <c r="CC22">
        <f>IF(CC$4=0,0,IF(COUNTIFS(実績!$W$6:$W$505,CC$3,実績!$AC$6:$AC$505,"&lt;="&amp;$A22,実績!$AD$6:$AD$505,"&gt;"&amp;$A22,実績!$AE$6:$AE$505,"○")&gt;0,1,0))</f>
        <v/>
      </c>
      <c r="CD22">
        <f>IF(CD$4=0,0,IF(COUNTIFS(実績!$W$6:$W$505,CD$3,実績!$AC$6:$AC$505,"&lt;="&amp;$A22,実績!$AD$6:$AD$505,"&gt;"&amp;$A22,実績!$AE$6:$AE$505,"○")&gt;0,1,0))</f>
        <v/>
      </c>
      <c r="CE22">
        <f>IF(CE$4=0,0,IF(COUNTIFS(実績!$W$6:$W$505,CE$3,実績!$AC$6:$AC$505,"&lt;="&amp;$A22,実績!$AD$6:$AD$505,"&gt;"&amp;$A22,実績!$AE$6:$AE$505,"○")&gt;0,1,0))</f>
        <v/>
      </c>
      <c r="CF22">
        <f>IF(CF$4=0,0,IF(COUNTIFS(実績!$W$6:$W$505,CF$3,実績!$AC$6:$AC$505,"&lt;="&amp;$A22,実績!$AD$6:$AD$505,"&gt;"&amp;$A22,実績!$AE$6:$AE$505,"○")&gt;0,1,0))</f>
        <v/>
      </c>
      <c r="CG22">
        <f>IF(CG$4=0,0,IF(COUNTIFS(実績!$W$6:$W$505,CG$3,実績!$AC$6:$AC$505,"&lt;="&amp;$A22,実績!$AD$6:$AD$505,"&gt;"&amp;$A22,実績!$AE$6:$AE$505,"○")&gt;0,1,0))</f>
        <v/>
      </c>
      <c r="CH22">
        <f>IF(CH$4=0,0,IF(COUNTIFS(実績!$W$6:$W$505,CH$3,実績!$AC$6:$AC$505,"&lt;="&amp;$A22,実績!$AD$6:$AD$505,"&gt;"&amp;$A22,実績!$AE$6:$AE$505,"○")&gt;0,1,0))</f>
        <v/>
      </c>
      <c r="CI22">
        <f>IF(CI$4=0,0,IF(COUNTIFS(実績!$W$6:$W$505,CI$3,実績!$AC$6:$AC$505,"&lt;="&amp;$A22,実績!$AD$6:$AD$505,"&gt;"&amp;$A22,実績!$AE$6:$AE$505,"○")&gt;0,1,0))</f>
        <v/>
      </c>
      <c r="CJ22">
        <f>IF(CJ$4=0,0,IF(COUNTIFS(実績!$W$6:$W$505,CJ$3,実績!$AC$6:$AC$505,"&lt;="&amp;$A22,実績!$AD$6:$AD$505,"&gt;"&amp;$A22,実績!$AE$6:$AE$505,"○")&gt;0,1,0))</f>
        <v/>
      </c>
      <c r="CK22">
        <f>IF(CK$4=0,0,IF(COUNTIFS(実績!$W$6:$W$505,CK$3,実績!$AC$6:$AC$505,"&lt;="&amp;$A22,実績!$AD$6:$AD$505,"&gt;"&amp;$A22,実績!$AE$6:$AE$505,"○")&gt;0,1,0))</f>
        <v/>
      </c>
      <c r="CL22">
        <f>IF(CL$4=0,0,IF(COUNTIFS(実績!$W$6:$W$505,CL$3,実績!$AC$6:$AC$505,"&lt;="&amp;$A22,実績!$AD$6:$AD$505,"&gt;"&amp;$A22,実績!$AE$6:$AE$505,"○")&gt;0,1,0))</f>
        <v/>
      </c>
      <c r="CM22">
        <f>IF(CM$4=0,0,IF(COUNTIFS(実績!$W$6:$W$505,CM$3,実績!$AC$6:$AC$505,"&lt;="&amp;$A22,実績!$AD$6:$AD$505,"&gt;"&amp;$A22,実績!$AE$6:$AE$505,"○")&gt;0,1,0))</f>
        <v/>
      </c>
      <c r="CN22">
        <f>IF(CN$4=0,0,IF(COUNTIFS(実績!$W$6:$W$505,CN$3,実績!$AC$6:$AC$505,"&lt;="&amp;$A22,実績!$AD$6:$AD$505,"&gt;"&amp;$A22,実績!$AE$6:$AE$505,"○")&gt;0,1,0))</f>
        <v/>
      </c>
      <c r="CO22">
        <f>IF(CO$4=0,0,IF(COUNTIFS(実績!$W$6:$W$505,CO$3,実績!$AC$6:$AC$505,"&lt;="&amp;$A22,実績!$AD$6:$AD$505,"&gt;"&amp;$A22,実績!$AE$6:$AE$505,"○")&gt;0,1,0))</f>
        <v/>
      </c>
      <c r="CP22">
        <f>IF(CP$4=0,0,IF(COUNTIFS(実績!$W$6:$W$505,CP$3,実績!$AC$6:$AC$505,"&lt;="&amp;$A22,実績!$AD$6:$AD$505,"&gt;"&amp;$A22,実績!$AE$6:$AE$505,"○")&gt;0,1,0))</f>
        <v/>
      </c>
      <c r="CQ22">
        <f>IF(CQ$4=0,0,IF(COUNTIFS(実績!$W$6:$W$505,CQ$3,実績!$AC$6:$AC$505,"&lt;="&amp;$A22,実績!$AD$6:$AD$505,"&gt;"&amp;$A22,実績!$AE$6:$AE$505,"○")&gt;0,1,0))</f>
        <v/>
      </c>
      <c r="CR22">
        <f>IF(CR$4=0,0,IF(COUNTIFS(実績!$W$6:$W$505,CR$3,実績!$AC$6:$AC$505,"&lt;="&amp;$A22,実績!$AD$6:$AD$505,"&gt;"&amp;$A22,実績!$AE$6:$AE$505,"○")&gt;0,1,0))</f>
        <v/>
      </c>
      <c r="CS22">
        <f>IF(CS$4=0,0,IF(COUNTIFS(実績!$W$6:$W$505,CS$3,実績!$AC$6:$AC$505,"&lt;="&amp;$A22,実績!$AD$6:$AD$505,"&gt;"&amp;$A22,実績!$AE$6:$AE$505,"○")&gt;0,1,0))</f>
        <v/>
      </c>
      <c r="CT22">
        <f>IF(CT$4=0,0,IF(COUNTIFS(実績!$W$6:$W$505,CT$3,実績!$AC$6:$AC$505,"&lt;="&amp;$A22,実績!$AD$6:$AD$505,"&gt;"&amp;$A22,実績!$AE$6:$AE$505,"○")&gt;0,1,0))</f>
        <v/>
      </c>
      <c r="CU22">
        <f>IF(CU$4=0,0,IF(COUNTIFS(実績!$W$6:$W$505,CU$3,実績!$AC$6:$AC$505,"&lt;="&amp;$A22,実績!$AD$6:$AD$505,"&gt;"&amp;$A22,実績!$AE$6:$AE$505,"○")&gt;0,1,0))</f>
        <v/>
      </c>
      <c r="CV22">
        <f>IF(CV$4=0,0,IF(COUNTIFS(実績!$W$6:$W$505,CV$3,実績!$AC$6:$AC$505,"&lt;="&amp;$A22,実績!$AD$6:$AD$505,"&gt;"&amp;$A22,実績!$AE$6:$AE$505,"○")&gt;0,1,0))</f>
        <v/>
      </c>
      <c r="CW22">
        <f>IF(CW$4=0,0,IF(COUNTIFS(実績!$W$6:$W$505,CW$3,実績!$AC$6:$AC$505,"&lt;="&amp;$A22,実績!$AD$6:$AD$505,"&gt;"&amp;$A22,実績!$AE$6:$AE$505,"○")&gt;0,1,0))</f>
        <v/>
      </c>
      <c r="CX22">
        <f>IF(CX$4=0,0,IF(COUNTIFS(実績!$W$6:$W$505,CX$3,実績!$AC$6:$AC$505,"&lt;="&amp;$A22,実績!$AD$6:$AD$505,"&gt;"&amp;$A22,実績!$AE$6:$AE$505,"○")&gt;0,1,0))</f>
        <v/>
      </c>
      <c r="CY22">
        <f>IF(CY$4=0,0,IF(COUNTIFS(実績!$W$6:$W$505,CY$3,実績!$AC$6:$AC$505,"&lt;="&amp;$A22,実績!$AD$6:$AD$505,"&gt;"&amp;$A22,実績!$AE$6:$AE$505,"○")&gt;0,1,0))</f>
        <v/>
      </c>
      <c r="CZ22">
        <f>IF(CZ$4=0,0,IF(COUNTIFS(実績!$W$6:$W$505,CZ$3,実績!$AC$6:$AC$505,"&lt;="&amp;$A22,実績!$AD$6:$AD$505,"&gt;"&amp;$A22,実績!$AE$6:$AE$505,"○")&gt;0,1,0))</f>
        <v/>
      </c>
      <c r="DA22">
        <f>IF(DA$4=0,0,IF(COUNTIFS(実績!$W$6:$W$505,DA$3,実績!$AC$6:$AC$505,"&lt;="&amp;$A22,実績!$AD$6:$AD$505,"&gt;"&amp;$A22,実績!$AE$6:$AE$505,"○")&gt;0,1,0))</f>
        <v/>
      </c>
      <c r="DB22">
        <f>IF(DB$4=0,0,IF(COUNTIFS(実績!$W$6:$W$505,DB$3,実績!$AC$6:$AC$505,"&lt;="&amp;$A22,実績!$AD$6:$AD$505,"&gt;"&amp;$A22,実績!$AE$6:$AE$505,"○")&gt;0,1,0))</f>
        <v/>
      </c>
      <c r="DC22">
        <f>IF(DC$4=0,0,IF(COUNTIFS(実績!$W$6:$W$505,DC$3,実績!$AC$6:$AC$505,"&lt;="&amp;$A22,実績!$AD$6:$AD$505,"&gt;"&amp;$A22,実績!$AE$6:$AE$505,"○")&gt;0,1,0))</f>
        <v/>
      </c>
      <c r="DD22">
        <f>IF(DD$4=0,0,IF(COUNTIFS(実績!$W$6:$W$505,DD$3,実績!$AC$6:$AC$505,"&lt;="&amp;$A22,実績!$AD$6:$AD$505,"&gt;"&amp;$A22,実績!$AE$6:$AE$505,"○")&gt;0,1,0))</f>
        <v/>
      </c>
      <c r="DE22">
        <f>IF(DE$4=0,0,IF(COUNTIFS(実績!$W$6:$W$505,DE$3,実績!$AC$6:$AC$505,"&lt;="&amp;$A22,実績!$AD$6:$AD$505,"&gt;"&amp;$A22,実績!$AE$6:$AE$505,"○")&gt;0,1,0))</f>
        <v/>
      </c>
      <c r="DF22">
        <f>IF(DF$4=0,0,IF(COUNTIFS(実績!$W$6:$W$505,DF$3,実績!$AC$6:$AC$505,"&lt;="&amp;$A22,実績!$AD$6:$AD$505,"&gt;"&amp;$A22,実績!$AE$6:$AE$505,"○")&gt;0,1,0))</f>
        <v/>
      </c>
      <c r="DG22">
        <f>IF(DG$4=0,0,IF(COUNTIFS(実績!$W$6:$W$505,DG$3,実績!$AC$6:$AC$505,"&lt;="&amp;$A22,実績!$AD$6:$AD$505,"&gt;"&amp;$A22,実績!$AE$6:$AE$505,"○")&gt;0,1,0))</f>
        <v/>
      </c>
      <c r="DH22">
        <f>IF(DH$4=0,0,IF(COUNTIFS(実績!$W$6:$W$505,DH$3,実績!$AC$6:$AC$505,"&lt;="&amp;$A22,実績!$AD$6:$AD$505,"&gt;"&amp;$A22,実績!$AE$6:$AE$505,"○")&gt;0,1,0))</f>
        <v/>
      </c>
      <c r="DI22">
        <f>IF(DI$4=0,0,IF(COUNTIFS(実績!$W$6:$W$505,DI$3,実績!$AC$6:$AC$505,"&lt;="&amp;$A22,実績!$AD$6:$AD$505,"&gt;"&amp;$A22,実績!$AE$6:$AE$505,"○")&gt;0,1,0))</f>
        <v/>
      </c>
      <c r="DJ22">
        <f>IF(DJ$4=0,0,IF(COUNTIFS(実績!$W$6:$W$505,DJ$3,実績!$AC$6:$AC$505,"&lt;="&amp;$A22,実績!$AD$6:$AD$505,"&gt;"&amp;$A22,実績!$AE$6:$AE$505,"○")&gt;0,1,0))</f>
        <v/>
      </c>
      <c r="DK22">
        <f>IF(DK$4=0,0,IF(COUNTIFS(実績!$W$6:$W$505,DK$3,実績!$AC$6:$AC$505,"&lt;="&amp;$A22,実績!$AD$6:$AD$505,"&gt;"&amp;$A22,実績!$AE$6:$AE$505,"○")&gt;0,1,0))</f>
        <v/>
      </c>
      <c r="DL22">
        <f>IF(DL$4=0,0,IF(COUNTIFS(実績!$W$6:$W$505,DL$3,実績!$AC$6:$AC$505,"&lt;="&amp;$A22,実績!$AD$6:$AD$505,"&gt;"&amp;$A22,実績!$AE$6:$AE$505,"○")&gt;0,1,0))</f>
        <v/>
      </c>
      <c r="DM22">
        <f>IF(DM$4=0,0,IF(COUNTIFS(実績!$W$6:$W$505,DM$3,実績!$AC$6:$AC$505,"&lt;="&amp;$A22,実績!$AD$6:$AD$505,"&gt;"&amp;$A22,実績!$AE$6:$AE$505,"○")&gt;0,1,0))</f>
        <v/>
      </c>
      <c r="DN22">
        <f>IF(DN$4=0,0,IF(COUNTIFS(実績!$W$6:$W$505,DN$3,実績!$AC$6:$AC$505,"&lt;="&amp;$A22,実績!$AD$6:$AD$505,"&gt;"&amp;$A22,実績!$AE$6:$AE$505,"○")&gt;0,1,0))</f>
        <v/>
      </c>
      <c r="DO22">
        <f>IF(DO$4=0,0,IF(COUNTIFS(実績!$W$6:$W$505,DO$3,実績!$AC$6:$AC$505,"&lt;="&amp;$A22,実績!$AD$6:$AD$505,"&gt;"&amp;$A22,実績!$AE$6:$AE$505,"○")&gt;0,1,0))</f>
        <v/>
      </c>
      <c r="DP22">
        <f>IF(DP$4=0,0,IF(COUNTIFS(実績!$W$6:$W$505,DP$3,実績!$AC$6:$AC$505,"&lt;="&amp;$A22,実績!$AD$6:$AD$505,"&gt;"&amp;$A22,実績!$AE$6:$AE$505,"○")&gt;0,1,0))</f>
        <v/>
      </c>
      <c r="DQ22">
        <f>IF(DQ$4=0,0,IF(COUNTIFS(実績!$W$6:$W$505,DQ$3,実績!$AC$6:$AC$505,"&lt;="&amp;$A22,実績!$AD$6:$AD$505,"&gt;"&amp;$A22,実績!$AE$6:$AE$505,"○")&gt;0,1,0))</f>
        <v/>
      </c>
      <c r="DR22">
        <f>IF(DR$4=0,0,IF(COUNTIFS(実績!$W$6:$W$505,DR$3,実績!$AC$6:$AC$505,"&lt;="&amp;$A22,実績!$AD$6:$AD$505,"&gt;"&amp;$A22,実績!$AE$6:$AE$505,"○")&gt;0,1,0))</f>
        <v/>
      </c>
      <c r="DS22">
        <f>SUM(C22:DR22)</f>
        <v/>
      </c>
      <c r="DT22">
        <f>SUMPRODUCT((実績!$C$6:$C$505="○")*ISNUMBER(実績!$AF$6:$AF$505)*(実績!$AF$6:$AF$505&lt;=$A22)*(実績!$AG$6:$AG$505&gt;$A22))</f>
        <v/>
      </c>
      <c r="DU22">
        <f>SUMIF($C$2:$DR$2,"製鉄曳船",C22:DR22)</f>
        <v/>
      </c>
      <c r="DV22">
        <f>SUMIF($C$2:$DR$2,"西日本海運",C22:DR22)</f>
        <v/>
      </c>
    </row>
    <row r="23">
      <c r="A23" t="n">
        <v>85</v>
      </c>
      <c r="B23" s="29">
        <f>A23/1440</f>
        <v/>
      </c>
      <c r="C23">
        <f>IF(C$4=0,0,IF(COUNTIFS(実績!$W$6:$W$505,C$3,実績!$AC$6:$AC$505,"&lt;="&amp;$A23,実績!$AD$6:$AD$505,"&gt;"&amp;$A23,実績!$AE$6:$AE$505,"○")&gt;0,1,0))</f>
        <v/>
      </c>
      <c r="D23">
        <f>IF(D$4=0,0,IF(COUNTIFS(実績!$W$6:$W$505,D$3,実績!$AC$6:$AC$505,"&lt;="&amp;$A23,実績!$AD$6:$AD$505,"&gt;"&amp;$A23,実績!$AE$6:$AE$505,"○")&gt;0,1,0))</f>
        <v/>
      </c>
      <c r="E23">
        <f>IF(E$4=0,0,IF(COUNTIFS(実績!$W$6:$W$505,E$3,実績!$AC$6:$AC$505,"&lt;="&amp;$A23,実績!$AD$6:$AD$505,"&gt;"&amp;$A23,実績!$AE$6:$AE$505,"○")&gt;0,1,0))</f>
        <v/>
      </c>
      <c r="F23">
        <f>IF(F$4=0,0,IF(COUNTIFS(実績!$W$6:$W$505,F$3,実績!$AC$6:$AC$505,"&lt;="&amp;$A23,実績!$AD$6:$AD$505,"&gt;"&amp;$A23,実績!$AE$6:$AE$505,"○")&gt;0,1,0))</f>
        <v/>
      </c>
      <c r="G23">
        <f>IF(G$4=0,0,IF(COUNTIFS(実績!$W$6:$W$505,G$3,実績!$AC$6:$AC$505,"&lt;="&amp;$A23,実績!$AD$6:$AD$505,"&gt;"&amp;$A23,実績!$AE$6:$AE$505,"○")&gt;0,1,0))</f>
        <v/>
      </c>
      <c r="H23">
        <f>IF(H$4=0,0,IF(COUNTIFS(実績!$W$6:$W$505,H$3,実績!$AC$6:$AC$505,"&lt;="&amp;$A23,実績!$AD$6:$AD$505,"&gt;"&amp;$A23,実績!$AE$6:$AE$505,"○")&gt;0,1,0))</f>
        <v/>
      </c>
      <c r="I23">
        <f>IF(I$4=0,0,IF(COUNTIFS(実績!$W$6:$W$505,I$3,実績!$AC$6:$AC$505,"&lt;="&amp;$A23,実績!$AD$6:$AD$505,"&gt;"&amp;$A23,実績!$AE$6:$AE$505,"○")&gt;0,1,0))</f>
        <v/>
      </c>
      <c r="J23">
        <f>IF(J$4=0,0,IF(COUNTIFS(実績!$W$6:$W$505,J$3,実績!$AC$6:$AC$505,"&lt;="&amp;$A23,実績!$AD$6:$AD$505,"&gt;"&amp;$A23,実績!$AE$6:$AE$505,"○")&gt;0,1,0))</f>
        <v/>
      </c>
      <c r="K23">
        <f>IF(K$4=0,0,IF(COUNTIFS(実績!$W$6:$W$505,K$3,実績!$AC$6:$AC$505,"&lt;="&amp;$A23,実績!$AD$6:$AD$505,"&gt;"&amp;$A23,実績!$AE$6:$AE$505,"○")&gt;0,1,0))</f>
        <v/>
      </c>
      <c r="L23">
        <f>IF(L$4=0,0,IF(COUNTIFS(実績!$W$6:$W$505,L$3,実績!$AC$6:$AC$505,"&lt;="&amp;$A23,実績!$AD$6:$AD$505,"&gt;"&amp;$A23,実績!$AE$6:$AE$505,"○")&gt;0,1,0))</f>
        <v/>
      </c>
      <c r="M23">
        <f>IF(M$4=0,0,IF(COUNTIFS(実績!$W$6:$W$505,M$3,実績!$AC$6:$AC$505,"&lt;="&amp;$A23,実績!$AD$6:$AD$505,"&gt;"&amp;$A23,実績!$AE$6:$AE$505,"○")&gt;0,1,0))</f>
        <v/>
      </c>
      <c r="N23">
        <f>IF(N$4=0,0,IF(COUNTIFS(実績!$W$6:$W$505,N$3,実績!$AC$6:$AC$505,"&lt;="&amp;$A23,実績!$AD$6:$AD$505,"&gt;"&amp;$A23,実績!$AE$6:$AE$505,"○")&gt;0,1,0))</f>
        <v/>
      </c>
      <c r="O23">
        <f>IF(O$4=0,0,IF(COUNTIFS(実績!$W$6:$W$505,O$3,実績!$AC$6:$AC$505,"&lt;="&amp;$A23,実績!$AD$6:$AD$505,"&gt;"&amp;$A23,実績!$AE$6:$AE$505,"○")&gt;0,1,0))</f>
        <v/>
      </c>
      <c r="P23">
        <f>IF(P$4=0,0,IF(COUNTIFS(実績!$W$6:$W$505,P$3,実績!$AC$6:$AC$505,"&lt;="&amp;$A23,実績!$AD$6:$AD$505,"&gt;"&amp;$A23,実績!$AE$6:$AE$505,"○")&gt;0,1,0))</f>
        <v/>
      </c>
      <c r="Q23">
        <f>IF(Q$4=0,0,IF(COUNTIFS(実績!$W$6:$W$505,Q$3,実績!$AC$6:$AC$505,"&lt;="&amp;$A23,実績!$AD$6:$AD$505,"&gt;"&amp;$A23,実績!$AE$6:$AE$505,"○")&gt;0,1,0))</f>
        <v/>
      </c>
      <c r="R23">
        <f>IF(R$4=0,0,IF(COUNTIFS(実績!$W$6:$W$505,R$3,実績!$AC$6:$AC$505,"&lt;="&amp;$A23,実績!$AD$6:$AD$505,"&gt;"&amp;$A23,実績!$AE$6:$AE$505,"○")&gt;0,1,0))</f>
        <v/>
      </c>
      <c r="S23">
        <f>IF(S$4=0,0,IF(COUNTIFS(実績!$W$6:$W$505,S$3,実績!$AC$6:$AC$505,"&lt;="&amp;$A23,実績!$AD$6:$AD$505,"&gt;"&amp;$A23,実績!$AE$6:$AE$505,"○")&gt;0,1,0))</f>
        <v/>
      </c>
      <c r="T23">
        <f>IF(T$4=0,0,IF(COUNTIFS(実績!$W$6:$W$505,T$3,実績!$AC$6:$AC$505,"&lt;="&amp;$A23,実績!$AD$6:$AD$505,"&gt;"&amp;$A23,実績!$AE$6:$AE$505,"○")&gt;0,1,0))</f>
        <v/>
      </c>
      <c r="U23">
        <f>IF(U$4=0,0,IF(COUNTIFS(実績!$W$6:$W$505,U$3,実績!$AC$6:$AC$505,"&lt;="&amp;$A23,実績!$AD$6:$AD$505,"&gt;"&amp;$A23,実績!$AE$6:$AE$505,"○")&gt;0,1,0))</f>
        <v/>
      </c>
      <c r="V23">
        <f>IF(V$4=0,0,IF(COUNTIFS(実績!$W$6:$W$505,V$3,実績!$AC$6:$AC$505,"&lt;="&amp;$A23,実績!$AD$6:$AD$505,"&gt;"&amp;$A23,実績!$AE$6:$AE$505,"○")&gt;0,1,0))</f>
        <v/>
      </c>
      <c r="W23">
        <f>IF(W$4=0,0,IF(COUNTIFS(実績!$W$6:$W$505,W$3,実績!$AC$6:$AC$505,"&lt;="&amp;$A23,実績!$AD$6:$AD$505,"&gt;"&amp;$A23,実績!$AE$6:$AE$505,"○")&gt;0,1,0))</f>
        <v/>
      </c>
      <c r="X23">
        <f>IF(X$4=0,0,IF(COUNTIFS(実績!$W$6:$W$505,X$3,実績!$AC$6:$AC$505,"&lt;="&amp;$A23,実績!$AD$6:$AD$505,"&gt;"&amp;$A23,実績!$AE$6:$AE$505,"○")&gt;0,1,0))</f>
        <v/>
      </c>
      <c r="Y23">
        <f>IF(Y$4=0,0,IF(COUNTIFS(実績!$W$6:$W$505,Y$3,実績!$AC$6:$AC$505,"&lt;="&amp;$A23,実績!$AD$6:$AD$505,"&gt;"&amp;$A23,実績!$AE$6:$AE$505,"○")&gt;0,1,0))</f>
        <v/>
      </c>
      <c r="Z23">
        <f>IF(Z$4=0,0,IF(COUNTIFS(実績!$W$6:$W$505,Z$3,実績!$AC$6:$AC$505,"&lt;="&amp;$A23,実績!$AD$6:$AD$505,"&gt;"&amp;$A23,実績!$AE$6:$AE$505,"○")&gt;0,1,0))</f>
        <v/>
      </c>
      <c r="AA23">
        <f>IF(AA$4=0,0,IF(COUNTIFS(実績!$W$6:$W$505,AA$3,実績!$AC$6:$AC$505,"&lt;="&amp;$A23,実績!$AD$6:$AD$505,"&gt;"&amp;$A23,実績!$AE$6:$AE$505,"○")&gt;0,1,0))</f>
        <v/>
      </c>
      <c r="AB23">
        <f>IF(AB$4=0,0,IF(COUNTIFS(実績!$W$6:$W$505,AB$3,実績!$AC$6:$AC$505,"&lt;="&amp;$A23,実績!$AD$6:$AD$505,"&gt;"&amp;$A23,実績!$AE$6:$AE$505,"○")&gt;0,1,0))</f>
        <v/>
      </c>
      <c r="AC23">
        <f>IF(AC$4=0,0,IF(COUNTIFS(実績!$W$6:$W$505,AC$3,実績!$AC$6:$AC$505,"&lt;="&amp;$A23,実績!$AD$6:$AD$505,"&gt;"&amp;$A23,実績!$AE$6:$AE$505,"○")&gt;0,1,0))</f>
        <v/>
      </c>
      <c r="AD23">
        <f>IF(AD$4=0,0,IF(COUNTIFS(実績!$W$6:$W$505,AD$3,実績!$AC$6:$AC$505,"&lt;="&amp;$A23,実績!$AD$6:$AD$505,"&gt;"&amp;$A23,実績!$AE$6:$AE$505,"○")&gt;0,1,0))</f>
        <v/>
      </c>
      <c r="AE23">
        <f>IF(AE$4=0,0,IF(COUNTIFS(実績!$W$6:$W$505,AE$3,実績!$AC$6:$AC$505,"&lt;="&amp;$A23,実績!$AD$6:$AD$505,"&gt;"&amp;$A23,実績!$AE$6:$AE$505,"○")&gt;0,1,0))</f>
        <v/>
      </c>
      <c r="AF23">
        <f>IF(AF$4=0,0,IF(COUNTIFS(実績!$W$6:$W$505,AF$3,実績!$AC$6:$AC$505,"&lt;="&amp;$A23,実績!$AD$6:$AD$505,"&gt;"&amp;$A23,実績!$AE$6:$AE$505,"○")&gt;0,1,0))</f>
        <v/>
      </c>
      <c r="AG23">
        <f>IF(AG$4=0,0,IF(COUNTIFS(実績!$W$6:$W$505,AG$3,実績!$AC$6:$AC$505,"&lt;="&amp;$A23,実績!$AD$6:$AD$505,"&gt;"&amp;$A23,実績!$AE$6:$AE$505,"○")&gt;0,1,0))</f>
        <v/>
      </c>
      <c r="AH23">
        <f>IF(AH$4=0,0,IF(COUNTIFS(実績!$W$6:$W$505,AH$3,実績!$AC$6:$AC$505,"&lt;="&amp;$A23,実績!$AD$6:$AD$505,"&gt;"&amp;$A23,実績!$AE$6:$AE$505,"○")&gt;0,1,0))</f>
        <v/>
      </c>
      <c r="AI23">
        <f>IF(AI$4=0,0,IF(COUNTIFS(実績!$W$6:$W$505,AI$3,実績!$AC$6:$AC$505,"&lt;="&amp;$A23,実績!$AD$6:$AD$505,"&gt;"&amp;$A23,実績!$AE$6:$AE$505,"○")&gt;0,1,0))</f>
        <v/>
      </c>
      <c r="AJ23">
        <f>IF(AJ$4=0,0,IF(COUNTIFS(実績!$W$6:$W$505,AJ$3,実績!$AC$6:$AC$505,"&lt;="&amp;$A23,実績!$AD$6:$AD$505,"&gt;"&amp;$A23,実績!$AE$6:$AE$505,"○")&gt;0,1,0))</f>
        <v/>
      </c>
      <c r="AK23">
        <f>IF(AK$4=0,0,IF(COUNTIFS(実績!$W$6:$W$505,AK$3,実績!$AC$6:$AC$505,"&lt;="&amp;$A23,実績!$AD$6:$AD$505,"&gt;"&amp;$A23,実績!$AE$6:$AE$505,"○")&gt;0,1,0))</f>
        <v/>
      </c>
      <c r="AL23">
        <f>IF(AL$4=0,0,IF(COUNTIFS(実績!$W$6:$W$505,AL$3,実績!$AC$6:$AC$505,"&lt;="&amp;$A23,実績!$AD$6:$AD$505,"&gt;"&amp;$A23,実績!$AE$6:$AE$505,"○")&gt;0,1,0))</f>
        <v/>
      </c>
      <c r="AM23">
        <f>IF(AM$4=0,0,IF(COUNTIFS(実績!$W$6:$W$505,AM$3,実績!$AC$6:$AC$505,"&lt;="&amp;$A23,実績!$AD$6:$AD$505,"&gt;"&amp;$A23,実績!$AE$6:$AE$505,"○")&gt;0,1,0))</f>
        <v/>
      </c>
      <c r="AN23">
        <f>IF(AN$4=0,0,IF(COUNTIFS(実績!$W$6:$W$505,AN$3,実績!$AC$6:$AC$505,"&lt;="&amp;$A23,実績!$AD$6:$AD$505,"&gt;"&amp;$A23,実績!$AE$6:$AE$505,"○")&gt;0,1,0))</f>
        <v/>
      </c>
      <c r="AO23">
        <f>IF(AO$4=0,0,IF(COUNTIFS(実績!$W$6:$W$505,AO$3,実績!$AC$6:$AC$505,"&lt;="&amp;$A23,実績!$AD$6:$AD$505,"&gt;"&amp;$A23,実績!$AE$6:$AE$505,"○")&gt;0,1,0))</f>
        <v/>
      </c>
      <c r="AP23">
        <f>IF(AP$4=0,0,IF(COUNTIFS(実績!$W$6:$W$505,AP$3,実績!$AC$6:$AC$505,"&lt;="&amp;$A23,実績!$AD$6:$AD$505,"&gt;"&amp;$A23,実績!$AE$6:$AE$505,"○")&gt;0,1,0))</f>
        <v/>
      </c>
      <c r="AQ23">
        <f>IF(AQ$4=0,0,IF(COUNTIFS(実績!$W$6:$W$505,AQ$3,実績!$AC$6:$AC$505,"&lt;="&amp;$A23,実績!$AD$6:$AD$505,"&gt;"&amp;$A23,実績!$AE$6:$AE$505,"○")&gt;0,1,0))</f>
        <v/>
      </c>
      <c r="AR23">
        <f>IF(AR$4=0,0,IF(COUNTIFS(実績!$W$6:$W$505,AR$3,実績!$AC$6:$AC$505,"&lt;="&amp;$A23,実績!$AD$6:$AD$505,"&gt;"&amp;$A23,実績!$AE$6:$AE$505,"○")&gt;0,1,0))</f>
        <v/>
      </c>
      <c r="AS23">
        <f>IF(AS$4=0,0,IF(COUNTIFS(実績!$W$6:$W$505,AS$3,実績!$AC$6:$AC$505,"&lt;="&amp;$A23,実績!$AD$6:$AD$505,"&gt;"&amp;$A23,実績!$AE$6:$AE$505,"○")&gt;0,1,0))</f>
        <v/>
      </c>
      <c r="AT23">
        <f>IF(AT$4=0,0,IF(COUNTIFS(実績!$W$6:$W$505,AT$3,実績!$AC$6:$AC$505,"&lt;="&amp;$A23,実績!$AD$6:$AD$505,"&gt;"&amp;$A23,実績!$AE$6:$AE$505,"○")&gt;0,1,0))</f>
        <v/>
      </c>
      <c r="AU23">
        <f>IF(AU$4=0,0,IF(COUNTIFS(実績!$W$6:$W$505,AU$3,実績!$AC$6:$AC$505,"&lt;="&amp;$A23,実績!$AD$6:$AD$505,"&gt;"&amp;$A23,実績!$AE$6:$AE$505,"○")&gt;0,1,0))</f>
        <v/>
      </c>
      <c r="AV23">
        <f>IF(AV$4=0,0,IF(COUNTIFS(実績!$W$6:$W$505,AV$3,実績!$AC$6:$AC$505,"&lt;="&amp;$A23,実績!$AD$6:$AD$505,"&gt;"&amp;$A23,実績!$AE$6:$AE$505,"○")&gt;0,1,0))</f>
        <v/>
      </c>
      <c r="AW23">
        <f>IF(AW$4=0,0,IF(COUNTIFS(実績!$W$6:$W$505,AW$3,実績!$AC$6:$AC$505,"&lt;="&amp;$A23,実績!$AD$6:$AD$505,"&gt;"&amp;$A23,実績!$AE$6:$AE$505,"○")&gt;0,1,0))</f>
        <v/>
      </c>
      <c r="AX23">
        <f>IF(AX$4=0,0,IF(COUNTIFS(実績!$W$6:$W$505,AX$3,実績!$AC$6:$AC$505,"&lt;="&amp;$A23,実績!$AD$6:$AD$505,"&gt;"&amp;$A23,実績!$AE$6:$AE$505,"○")&gt;0,1,0))</f>
        <v/>
      </c>
      <c r="AY23">
        <f>IF(AY$4=0,0,IF(COUNTIFS(実績!$W$6:$W$505,AY$3,実績!$AC$6:$AC$505,"&lt;="&amp;$A23,実績!$AD$6:$AD$505,"&gt;"&amp;$A23,実績!$AE$6:$AE$505,"○")&gt;0,1,0))</f>
        <v/>
      </c>
      <c r="AZ23">
        <f>IF(AZ$4=0,0,IF(COUNTIFS(実績!$W$6:$W$505,AZ$3,実績!$AC$6:$AC$505,"&lt;="&amp;$A23,実績!$AD$6:$AD$505,"&gt;"&amp;$A23,実績!$AE$6:$AE$505,"○")&gt;0,1,0))</f>
        <v/>
      </c>
      <c r="BA23">
        <f>IF(BA$4=0,0,IF(COUNTIFS(実績!$W$6:$W$505,BA$3,実績!$AC$6:$AC$505,"&lt;="&amp;$A23,実績!$AD$6:$AD$505,"&gt;"&amp;$A23,実績!$AE$6:$AE$505,"○")&gt;0,1,0))</f>
        <v/>
      </c>
      <c r="BB23">
        <f>IF(BB$4=0,0,IF(COUNTIFS(実績!$W$6:$W$505,BB$3,実績!$AC$6:$AC$505,"&lt;="&amp;$A23,実績!$AD$6:$AD$505,"&gt;"&amp;$A23,実績!$AE$6:$AE$505,"○")&gt;0,1,0))</f>
        <v/>
      </c>
      <c r="BC23">
        <f>IF(BC$4=0,0,IF(COUNTIFS(実績!$W$6:$W$505,BC$3,実績!$AC$6:$AC$505,"&lt;="&amp;$A23,実績!$AD$6:$AD$505,"&gt;"&amp;$A23,実績!$AE$6:$AE$505,"○")&gt;0,1,0))</f>
        <v/>
      </c>
      <c r="BD23">
        <f>IF(BD$4=0,0,IF(COUNTIFS(実績!$W$6:$W$505,BD$3,実績!$AC$6:$AC$505,"&lt;="&amp;$A23,実績!$AD$6:$AD$505,"&gt;"&amp;$A23,実績!$AE$6:$AE$505,"○")&gt;0,1,0))</f>
        <v/>
      </c>
      <c r="BE23">
        <f>IF(BE$4=0,0,IF(COUNTIFS(実績!$W$6:$W$505,BE$3,実績!$AC$6:$AC$505,"&lt;="&amp;$A23,実績!$AD$6:$AD$505,"&gt;"&amp;$A23,実績!$AE$6:$AE$505,"○")&gt;0,1,0))</f>
        <v/>
      </c>
      <c r="BF23">
        <f>IF(BF$4=0,0,IF(COUNTIFS(実績!$W$6:$W$505,BF$3,実績!$AC$6:$AC$505,"&lt;="&amp;$A23,実績!$AD$6:$AD$505,"&gt;"&amp;$A23,実績!$AE$6:$AE$505,"○")&gt;0,1,0))</f>
        <v/>
      </c>
      <c r="BG23">
        <f>IF(BG$4=0,0,IF(COUNTIFS(実績!$W$6:$W$505,BG$3,実績!$AC$6:$AC$505,"&lt;="&amp;$A23,実績!$AD$6:$AD$505,"&gt;"&amp;$A23,実績!$AE$6:$AE$505,"○")&gt;0,1,0))</f>
        <v/>
      </c>
      <c r="BH23">
        <f>IF(BH$4=0,0,IF(COUNTIFS(実績!$W$6:$W$505,BH$3,実績!$AC$6:$AC$505,"&lt;="&amp;$A23,実績!$AD$6:$AD$505,"&gt;"&amp;$A23,実績!$AE$6:$AE$505,"○")&gt;0,1,0))</f>
        <v/>
      </c>
      <c r="BI23">
        <f>IF(BI$4=0,0,IF(COUNTIFS(実績!$W$6:$W$505,BI$3,実績!$AC$6:$AC$505,"&lt;="&amp;$A23,実績!$AD$6:$AD$505,"&gt;"&amp;$A23,実績!$AE$6:$AE$505,"○")&gt;0,1,0))</f>
        <v/>
      </c>
      <c r="BJ23">
        <f>IF(BJ$4=0,0,IF(COUNTIFS(実績!$W$6:$W$505,BJ$3,実績!$AC$6:$AC$505,"&lt;="&amp;$A23,実績!$AD$6:$AD$505,"&gt;"&amp;$A23,実績!$AE$6:$AE$505,"○")&gt;0,1,0))</f>
        <v/>
      </c>
      <c r="BK23">
        <f>IF(BK$4=0,0,IF(COUNTIFS(実績!$W$6:$W$505,BK$3,実績!$AC$6:$AC$505,"&lt;="&amp;$A23,実績!$AD$6:$AD$505,"&gt;"&amp;$A23,実績!$AE$6:$AE$505,"○")&gt;0,1,0))</f>
        <v/>
      </c>
      <c r="BL23">
        <f>IF(BL$4=0,0,IF(COUNTIFS(実績!$W$6:$W$505,BL$3,実績!$AC$6:$AC$505,"&lt;="&amp;$A23,実績!$AD$6:$AD$505,"&gt;"&amp;$A23,実績!$AE$6:$AE$505,"○")&gt;0,1,0))</f>
        <v/>
      </c>
      <c r="BM23">
        <f>IF(BM$4=0,0,IF(COUNTIFS(実績!$W$6:$W$505,BM$3,実績!$AC$6:$AC$505,"&lt;="&amp;$A23,実績!$AD$6:$AD$505,"&gt;"&amp;$A23,実績!$AE$6:$AE$505,"○")&gt;0,1,0))</f>
        <v/>
      </c>
      <c r="BN23">
        <f>IF(BN$4=0,0,IF(COUNTIFS(実績!$W$6:$W$505,BN$3,実績!$AC$6:$AC$505,"&lt;="&amp;$A23,実績!$AD$6:$AD$505,"&gt;"&amp;$A23,実績!$AE$6:$AE$505,"○")&gt;0,1,0))</f>
        <v/>
      </c>
      <c r="BO23">
        <f>IF(BO$4=0,0,IF(COUNTIFS(実績!$W$6:$W$505,BO$3,実績!$AC$6:$AC$505,"&lt;="&amp;$A23,実績!$AD$6:$AD$505,"&gt;"&amp;$A23,実績!$AE$6:$AE$505,"○")&gt;0,1,0))</f>
        <v/>
      </c>
      <c r="BP23">
        <f>IF(BP$4=0,0,IF(COUNTIFS(実績!$W$6:$W$505,BP$3,実績!$AC$6:$AC$505,"&lt;="&amp;$A23,実績!$AD$6:$AD$505,"&gt;"&amp;$A23,実績!$AE$6:$AE$505,"○")&gt;0,1,0))</f>
        <v/>
      </c>
      <c r="BQ23">
        <f>IF(BQ$4=0,0,IF(COUNTIFS(実績!$W$6:$W$505,BQ$3,実績!$AC$6:$AC$505,"&lt;="&amp;$A23,実績!$AD$6:$AD$505,"&gt;"&amp;$A23,実績!$AE$6:$AE$505,"○")&gt;0,1,0))</f>
        <v/>
      </c>
      <c r="BR23">
        <f>IF(BR$4=0,0,IF(COUNTIFS(実績!$W$6:$W$505,BR$3,実績!$AC$6:$AC$505,"&lt;="&amp;$A23,実績!$AD$6:$AD$505,"&gt;"&amp;$A23,実績!$AE$6:$AE$505,"○")&gt;0,1,0))</f>
        <v/>
      </c>
      <c r="BS23">
        <f>IF(BS$4=0,0,IF(COUNTIFS(実績!$W$6:$W$505,BS$3,実績!$AC$6:$AC$505,"&lt;="&amp;$A23,実績!$AD$6:$AD$505,"&gt;"&amp;$A23,実績!$AE$6:$AE$505,"○")&gt;0,1,0))</f>
        <v/>
      </c>
      <c r="BT23">
        <f>IF(BT$4=0,0,IF(COUNTIFS(実績!$W$6:$W$505,BT$3,実績!$AC$6:$AC$505,"&lt;="&amp;$A23,実績!$AD$6:$AD$505,"&gt;"&amp;$A23,実績!$AE$6:$AE$505,"○")&gt;0,1,0))</f>
        <v/>
      </c>
      <c r="BU23">
        <f>IF(BU$4=0,0,IF(COUNTIFS(実績!$W$6:$W$505,BU$3,実績!$AC$6:$AC$505,"&lt;="&amp;$A23,実績!$AD$6:$AD$505,"&gt;"&amp;$A23,実績!$AE$6:$AE$505,"○")&gt;0,1,0))</f>
        <v/>
      </c>
      <c r="BV23">
        <f>IF(BV$4=0,0,IF(COUNTIFS(実績!$W$6:$W$505,BV$3,実績!$AC$6:$AC$505,"&lt;="&amp;$A23,実績!$AD$6:$AD$505,"&gt;"&amp;$A23,実績!$AE$6:$AE$505,"○")&gt;0,1,0))</f>
        <v/>
      </c>
      <c r="BW23">
        <f>IF(BW$4=0,0,IF(COUNTIFS(実績!$W$6:$W$505,BW$3,実績!$AC$6:$AC$505,"&lt;="&amp;$A23,実績!$AD$6:$AD$505,"&gt;"&amp;$A23,実績!$AE$6:$AE$505,"○")&gt;0,1,0))</f>
        <v/>
      </c>
      <c r="BX23">
        <f>IF(BX$4=0,0,IF(COUNTIFS(実績!$W$6:$W$505,BX$3,実績!$AC$6:$AC$505,"&lt;="&amp;$A23,実績!$AD$6:$AD$505,"&gt;"&amp;$A23,実績!$AE$6:$AE$505,"○")&gt;0,1,0))</f>
        <v/>
      </c>
      <c r="BY23">
        <f>IF(BY$4=0,0,IF(COUNTIFS(実績!$W$6:$W$505,BY$3,実績!$AC$6:$AC$505,"&lt;="&amp;$A23,実績!$AD$6:$AD$505,"&gt;"&amp;$A23,実績!$AE$6:$AE$505,"○")&gt;0,1,0))</f>
        <v/>
      </c>
      <c r="BZ23">
        <f>IF(BZ$4=0,0,IF(COUNTIFS(実績!$W$6:$W$505,BZ$3,実績!$AC$6:$AC$505,"&lt;="&amp;$A23,実績!$AD$6:$AD$505,"&gt;"&amp;$A23,実績!$AE$6:$AE$505,"○")&gt;0,1,0))</f>
        <v/>
      </c>
      <c r="CA23">
        <f>IF(CA$4=0,0,IF(COUNTIFS(実績!$W$6:$W$505,CA$3,実績!$AC$6:$AC$505,"&lt;="&amp;$A23,実績!$AD$6:$AD$505,"&gt;"&amp;$A23,実績!$AE$6:$AE$505,"○")&gt;0,1,0))</f>
        <v/>
      </c>
      <c r="CB23">
        <f>IF(CB$4=0,0,IF(COUNTIFS(実績!$W$6:$W$505,CB$3,実績!$AC$6:$AC$505,"&lt;="&amp;$A23,実績!$AD$6:$AD$505,"&gt;"&amp;$A23,実績!$AE$6:$AE$505,"○")&gt;0,1,0))</f>
        <v/>
      </c>
      <c r="CC23">
        <f>IF(CC$4=0,0,IF(COUNTIFS(実績!$W$6:$W$505,CC$3,実績!$AC$6:$AC$505,"&lt;="&amp;$A23,実績!$AD$6:$AD$505,"&gt;"&amp;$A23,実績!$AE$6:$AE$505,"○")&gt;0,1,0))</f>
        <v/>
      </c>
      <c r="CD23">
        <f>IF(CD$4=0,0,IF(COUNTIFS(実績!$W$6:$W$505,CD$3,実績!$AC$6:$AC$505,"&lt;="&amp;$A23,実績!$AD$6:$AD$505,"&gt;"&amp;$A23,実績!$AE$6:$AE$505,"○")&gt;0,1,0))</f>
        <v/>
      </c>
      <c r="CE23">
        <f>IF(CE$4=0,0,IF(COUNTIFS(実績!$W$6:$W$505,CE$3,実績!$AC$6:$AC$505,"&lt;="&amp;$A23,実績!$AD$6:$AD$505,"&gt;"&amp;$A23,実績!$AE$6:$AE$505,"○")&gt;0,1,0))</f>
        <v/>
      </c>
      <c r="CF23">
        <f>IF(CF$4=0,0,IF(COUNTIFS(実績!$W$6:$W$505,CF$3,実績!$AC$6:$AC$505,"&lt;="&amp;$A23,実績!$AD$6:$AD$505,"&gt;"&amp;$A23,実績!$AE$6:$AE$505,"○")&gt;0,1,0))</f>
        <v/>
      </c>
      <c r="CG23">
        <f>IF(CG$4=0,0,IF(COUNTIFS(実績!$W$6:$W$505,CG$3,実績!$AC$6:$AC$505,"&lt;="&amp;$A23,実績!$AD$6:$AD$505,"&gt;"&amp;$A23,実績!$AE$6:$AE$505,"○")&gt;0,1,0))</f>
        <v/>
      </c>
      <c r="CH23">
        <f>IF(CH$4=0,0,IF(COUNTIFS(実績!$W$6:$W$505,CH$3,実績!$AC$6:$AC$505,"&lt;="&amp;$A23,実績!$AD$6:$AD$505,"&gt;"&amp;$A23,実績!$AE$6:$AE$505,"○")&gt;0,1,0))</f>
        <v/>
      </c>
      <c r="CI23">
        <f>IF(CI$4=0,0,IF(COUNTIFS(実績!$W$6:$W$505,CI$3,実績!$AC$6:$AC$505,"&lt;="&amp;$A23,実績!$AD$6:$AD$505,"&gt;"&amp;$A23,実績!$AE$6:$AE$505,"○")&gt;0,1,0))</f>
        <v/>
      </c>
      <c r="CJ23">
        <f>IF(CJ$4=0,0,IF(COUNTIFS(実績!$W$6:$W$505,CJ$3,実績!$AC$6:$AC$505,"&lt;="&amp;$A23,実績!$AD$6:$AD$505,"&gt;"&amp;$A23,実績!$AE$6:$AE$505,"○")&gt;0,1,0))</f>
        <v/>
      </c>
      <c r="CK23">
        <f>IF(CK$4=0,0,IF(COUNTIFS(実績!$W$6:$W$505,CK$3,実績!$AC$6:$AC$505,"&lt;="&amp;$A23,実績!$AD$6:$AD$505,"&gt;"&amp;$A23,実績!$AE$6:$AE$505,"○")&gt;0,1,0))</f>
        <v/>
      </c>
      <c r="CL23">
        <f>IF(CL$4=0,0,IF(COUNTIFS(実績!$W$6:$W$505,CL$3,実績!$AC$6:$AC$505,"&lt;="&amp;$A23,実績!$AD$6:$AD$505,"&gt;"&amp;$A23,実績!$AE$6:$AE$505,"○")&gt;0,1,0))</f>
        <v/>
      </c>
      <c r="CM23">
        <f>IF(CM$4=0,0,IF(COUNTIFS(実績!$W$6:$W$505,CM$3,実績!$AC$6:$AC$505,"&lt;="&amp;$A23,実績!$AD$6:$AD$505,"&gt;"&amp;$A23,実績!$AE$6:$AE$505,"○")&gt;0,1,0))</f>
        <v/>
      </c>
      <c r="CN23">
        <f>IF(CN$4=0,0,IF(COUNTIFS(実績!$W$6:$W$505,CN$3,実績!$AC$6:$AC$505,"&lt;="&amp;$A23,実績!$AD$6:$AD$505,"&gt;"&amp;$A23,実績!$AE$6:$AE$505,"○")&gt;0,1,0))</f>
        <v/>
      </c>
      <c r="CO23">
        <f>IF(CO$4=0,0,IF(COUNTIFS(実績!$W$6:$W$505,CO$3,実績!$AC$6:$AC$505,"&lt;="&amp;$A23,実績!$AD$6:$AD$505,"&gt;"&amp;$A23,実績!$AE$6:$AE$505,"○")&gt;0,1,0))</f>
        <v/>
      </c>
      <c r="CP23">
        <f>IF(CP$4=0,0,IF(COUNTIFS(実績!$W$6:$W$505,CP$3,実績!$AC$6:$AC$505,"&lt;="&amp;$A23,実績!$AD$6:$AD$505,"&gt;"&amp;$A23,実績!$AE$6:$AE$505,"○")&gt;0,1,0))</f>
        <v/>
      </c>
      <c r="CQ23">
        <f>IF(CQ$4=0,0,IF(COUNTIFS(実績!$W$6:$W$505,CQ$3,実績!$AC$6:$AC$505,"&lt;="&amp;$A23,実績!$AD$6:$AD$505,"&gt;"&amp;$A23,実績!$AE$6:$AE$505,"○")&gt;0,1,0))</f>
        <v/>
      </c>
      <c r="CR23">
        <f>IF(CR$4=0,0,IF(COUNTIFS(実績!$W$6:$W$505,CR$3,実績!$AC$6:$AC$505,"&lt;="&amp;$A23,実績!$AD$6:$AD$505,"&gt;"&amp;$A23,実績!$AE$6:$AE$505,"○")&gt;0,1,0))</f>
        <v/>
      </c>
      <c r="CS23">
        <f>IF(CS$4=0,0,IF(COUNTIFS(実績!$W$6:$W$505,CS$3,実績!$AC$6:$AC$505,"&lt;="&amp;$A23,実績!$AD$6:$AD$505,"&gt;"&amp;$A23,実績!$AE$6:$AE$505,"○")&gt;0,1,0))</f>
        <v/>
      </c>
      <c r="CT23">
        <f>IF(CT$4=0,0,IF(COUNTIFS(実績!$W$6:$W$505,CT$3,実績!$AC$6:$AC$505,"&lt;="&amp;$A23,実績!$AD$6:$AD$505,"&gt;"&amp;$A23,実績!$AE$6:$AE$505,"○")&gt;0,1,0))</f>
        <v/>
      </c>
      <c r="CU23">
        <f>IF(CU$4=0,0,IF(COUNTIFS(実績!$W$6:$W$505,CU$3,実績!$AC$6:$AC$505,"&lt;="&amp;$A23,実績!$AD$6:$AD$505,"&gt;"&amp;$A23,実績!$AE$6:$AE$505,"○")&gt;0,1,0))</f>
        <v/>
      </c>
      <c r="CV23">
        <f>IF(CV$4=0,0,IF(COUNTIFS(実績!$W$6:$W$505,CV$3,実績!$AC$6:$AC$505,"&lt;="&amp;$A23,実績!$AD$6:$AD$505,"&gt;"&amp;$A23,実績!$AE$6:$AE$505,"○")&gt;0,1,0))</f>
        <v/>
      </c>
      <c r="CW23">
        <f>IF(CW$4=0,0,IF(COUNTIFS(実績!$W$6:$W$505,CW$3,実績!$AC$6:$AC$505,"&lt;="&amp;$A23,実績!$AD$6:$AD$505,"&gt;"&amp;$A23,実績!$AE$6:$AE$505,"○")&gt;0,1,0))</f>
        <v/>
      </c>
      <c r="CX23">
        <f>IF(CX$4=0,0,IF(COUNTIFS(実績!$W$6:$W$505,CX$3,実績!$AC$6:$AC$505,"&lt;="&amp;$A23,実績!$AD$6:$AD$505,"&gt;"&amp;$A23,実績!$AE$6:$AE$505,"○")&gt;0,1,0))</f>
        <v/>
      </c>
      <c r="CY23">
        <f>IF(CY$4=0,0,IF(COUNTIFS(実績!$W$6:$W$505,CY$3,実績!$AC$6:$AC$505,"&lt;="&amp;$A23,実績!$AD$6:$AD$505,"&gt;"&amp;$A23,実績!$AE$6:$AE$505,"○")&gt;0,1,0))</f>
        <v/>
      </c>
      <c r="CZ23">
        <f>IF(CZ$4=0,0,IF(COUNTIFS(実績!$W$6:$W$505,CZ$3,実績!$AC$6:$AC$505,"&lt;="&amp;$A23,実績!$AD$6:$AD$505,"&gt;"&amp;$A23,実績!$AE$6:$AE$505,"○")&gt;0,1,0))</f>
        <v/>
      </c>
      <c r="DA23">
        <f>IF(DA$4=0,0,IF(COUNTIFS(実績!$W$6:$W$505,DA$3,実績!$AC$6:$AC$505,"&lt;="&amp;$A23,実績!$AD$6:$AD$505,"&gt;"&amp;$A23,実績!$AE$6:$AE$505,"○")&gt;0,1,0))</f>
        <v/>
      </c>
      <c r="DB23">
        <f>IF(DB$4=0,0,IF(COUNTIFS(実績!$W$6:$W$505,DB$3,実績!$AC$6:$AC$505,"&lt;="&amp;$A23,実績!$AD$6:$AD$505,"&gt;"&amp;$A23,実績!$AE$6:$AE$505,"○")&gt;0,1,0))</f>
        <v/>
      </c>
      <c r="DC23">
        <f>IF(DC$4=0,0,IF(COUNTIFS(実績!$W$6:$W$505,DC$3,実績!$AC$6:$AC$505,"&lt;="&amp;$A23,実績!$AD$6:$AD$505,"&gt;"&amp;$A23,実績!$AE$6:$AE$505,"○")&gt;0,1,0))</f>
        <v/>
      </c>
      <c r="DD23">
        <f>IF(DD$4=0,0,IF(COUNTIFS(実績!$W$6:$W$505,DD$3,実績!$AC$6:$AC$505,"&lt;="&amp;$A23,実績!$AD$6:$AD$505,"&gt;"&amp;$A23,実績!$AE$6:$AE$505,"○")&gt;0,1,0))</f>
        <v/>
      </c>
      <c r="DE23">
        <f>IF(DE$4=0,0,IF(COUNTIFS(実績!$W$6:$W$505,DE$3,実績!$AC$6:$AC$505,"&lt;="&amp;$A23,実績!$AD$6:$AD$505,"&gt;"&amp;$A23,実績!$AE$6:$AE$505,"○")&gt;0,1,0))</f>
        <v/>
      </c>
      <c r="DF23">
        <f>IF(DF$4=0,0,IF(COUNTIFS(実績!$W$6:$W$505,DF$3,実績!$AC$6:$AC$505,"&lt;="&amp;$A23,実績!$AD$6:$AD$505,"&gt;"&amp;$A23,実績!$AE$6:$AE$505,"○")&gt;0,1,0))</f>
        <v/>
      </c>
      <c r="DG23">
        <f>IF(DG$4=0,0,IF(COUNTIFS(実績!$W$6:$W$505,DG$3,実績!$AC$6:$AC$505,"&lt;="&amp;$A23,実績!$AD$6:$AD$505,"&gt;"&amp;$A23,実績!$AE$6:$AE$505,"○")&gt;0,1,0))</f>
        <v/>
      </c>
      <c r="DH23">
        <f>IF(DH$4=0,0,IF(COUNTIFS(実績!$W$6:$W$505,DH$3,実績!$AC$6:$AC$505,"&lt;="&amp;$A23,実績!$AD$6:$AD$505,"&gt;"&amp;$A23,実績!$AE$6:$AE$505,"○")&gt;0,1,0))</f>
        <v/>
      </c>
      <c r="DI23">
        <f>IF(DI$4=0,0,IF(COUNTIFS(実績!$W$6:$W$505,DI$3,実績!$AC$6:$AC$505,"&lt;="&amp;$A23,実績!$AD$6:$AD$505,"&gt;"&amp;$A23,実績!$AE$6:$AE$505,"○")&gt;0,1,0))</f>
        <v/>
      </c>
      <c r="DJ23">
        <f>IF(DJ$4=0,0,IF(COUNTIFS(実績!$W$6:$W$505,DJ$3,実績!$AC$6:$AC$505,"&lt;="&amp;$A23,実績!$AD$6:$AD$505,"&gt;"&amp;$A23,実績!$AE$6:$AE$505,"○")&gt;0,1,0))</f>
        <v/>
      </c>
      <c r="DK23">
        <f>IF(DK$4=0,0,IF(COUNTIFS(実績!$W$6:$W$505,DK$3,実績!$AC$6:$AC$505,"&lt;="&amp;$A23,実績!$AD$6:$AD$505,"&gt;"&amp;$A23,実績!$AE$6:$AE$505,"○")&gt;0,1,0))</f>
        <v/>
      </c>
      <c r="DL23">
        <f>IF(DL$4=0,0,IF(COUNTIFS(実績!$W$6:$W$505,DL$3,実績!$AC$6:$AC$505,"&lt;="&amp;$A23,実績!$AD$6:$AD$505,"&gt;"&amp;$A23,実績!$AE$6:$AE$505,"○")&gt;0,1,0))</f>
        <v/>
      </c>
      <c r="DM23">
        <f>IF(DM$4=0,0,IF(COUNTIFS(実績!$W$6:$W$505,DM$3,実績!$AC$6:$AC$505,"&lt;="&amp;$A23,実績!$AD$6:$AD$505,"&gt;"&amp;$A23,実績!$AE$6:$AE$505,"○")&gt;0,1,0))</f>
        <v/>
      </c>
      <c r="DN23">
        <f>IF(DN$4=0,0,IF(COUNTIFS(実績!$W$6:$W$505,DN$3,実績!$AC$6:$AC$505,"&lt;="&amp;$A23,実績!$AD$6:$AD$505,"&gt;"&amp;$A23,実績!$AE$6:$AE$505,"○")&gt;0,1,0))</f>
        <v/>
      </c>
      <c r="DO23">
        <f>IF(DO$4=0,0,IF(COUNTIFS(実績!$W$6:$W$505,DO$3,実績!$AC$6:$AC$505,"&lt;="&amp;$A23,実績!$AD$6:$AD$505,"&gt;"&amp;$A23,実績!$AE$6:$AE$505,"○")&gt;0,1,0))</f>
        <v/>
      </c>
      <c r="DP23">
        <f>IF(DP$4=0,0,IF(COUNTIFS(実績!$W$6:$W$505,DP$3,実績!$AC$6:$AC$505,"&lt;="&amp;$A23,実績!$AD$6:$AD$505,"&gt;"&amp;$A23,実績!$AE$6:$AE$505,"○")&gt;0,1,0))</f>
        <v/>
      </c>
      <c r="DQ23">
        <f>IF(DQ$4=0,0,IF(COUNTIFS(実績!$W$6:$W$505,DQ$3,実績!$AC$6:$AC$505,"&lt;="&amp;$A23,実績!$AD$6:$AD$505,"&gt;"&amp;$A23,実績!$AE$6:$AE$505,"○")&gt;0,1,0))</f>
        <v/>
      </c>
      <c r="DR23">
        <f>IF(DR$4=0,0,IF(COUNTIFS(実績!$W$6:$W$505,DR$3,実績!$AC$6:$AC$505,"&lt;="&amp;$A23,実績!$AD$6:$AD$505,"&gt;"&amp;$A23,実績!$AE$6:$AE$505,"○")&gt;0,1,0))</f>
        <v/>
      </c>
      <c r="DS23">
        <f>SUM(C23:DR23)</f>
        <v/>
      </c>
      <c r="DT23">
        <f>SUMPRODUCT((実績!$C$6:$C$505="○")*ISNUMBER(実績!$AF$6:$AF$505)*(実績!$AF$6:$AF$505&lt;=$A23)*(実績!$AG$6:$AG$505&gt;$A23))</f>
        <v/>
      </c>
      <c r="DU23">
        <f>SUMIF($C$2:$DR$2,"製鉄曳船",C23:DR23)</f>
        <v/>
      </c>
      <c r="DV23">
        <f>SUMIF($C$2:$DR$2,"西日本海運",C23:DR23)</f>
        <v/>
      </c>
    </row>
    <row r="24">
      <c r="A24" t="n">
        <v>90</v>
      </c>
      <c r="B24" s="29">
        <f>A24/1440</f>
        <v/>
      </c>
      <c r="C24">
        <f>IF(C$4=0,0,IF(COUNTIFS(実績!$W$6:$W$505,C$3,実績!$AC$6:$AC$505,"&lt;="&amp;$A24,実績!$AD$6:$AD$505,"&gt;"&amp;$A24,実績!$AE$6:$AE$505,"○")&gt;0,1,0))</f>
        <v/>
      </c>
      <c r="D24">
        <f>IF(D$4=0,0,IF(COUNTIFS(実績!$W$6:$W$505,D$3,実績!$AC$6:$AC$505,"&lt;="&amp;$A24,実績!$AD$6:$AD$505,"&gt;"&amp;$A24,実績!$AE$6:$AE$505,"○")&gt;0,1,0))</f>
        <v/>
      </c>
      <c r="E24">
        <f>IF(E$4=0,0,IF(COUNTIFS(実績!$W$6:$W$505,E$3,実績!$AC$6:$AC$505,"&lt;="&amp;$A24,実績!$AD$6:$AD$505,"&gt;"&amp;$A24,実績!$AE$6:$AE$505,"○")&gt;0,1,0))</f>
        <v/>
      </c>
      <c r="F24">
        <f>IF(F$4=0,0,IF(COUNTIFS(実績!$W$6:$W$505,F$3,実績!$AC$6:$AC$505,"&lt;="&amp;$A24,実績!$AD$6:$AD$505,"&gt;"&amp;$A24,実績!$AE$6:$AE$505,"○")&gt;0,1,0))</f>
        <v/>
      </c>
      <c r="G24">
        <f>IF(G$4=0,0,IF(COUNTIFS(実績!$W$6:$W$505,G$3,実績!$AC$6:$AC$505,"&lt;="&amp;$A24,実績!$AD$6:$AD$505,"&gt;"&amp;$A24,実績!$AE$6:$AE$505,"○")&gt;0,1,0))</f>
        <v/>
      </c>
      <c r="H24">
        <f>IF(H$4=0,0,IF(COUNTIFS(実績!$W$6:$W$505,H$3,実績!$AC$6:$AC$505,"&lt;="&amp;$A24,実績!$AD$6:$AD$505,"&gt;"&amp;$A24,実績!$AE$6:$AE$505,"○")&gt;0,1,0))</f>
        <v/>
      </c>
      <c r="I24">
        <f>IF(I$4=0,0,IF(COUNTIFS(実績!$W$6:$W$505,I$3,実績!$AC$6:$AC$505,"&lt;="&amp;$A24,実績!$AD$6:$AD$505,"&gt;"&amp;$A24,実績!$AE$6:$AE$505,"○")&gt;0,1,0))</f>
        <v/>
      </c>
      <c r="J24">
        <f>IF(J$4=0,0,IF(COUNTIFS(実績!$W$6:$W$505,J$3,実績!$AC$6:$AC$505,"&lt;="&amp;$A24,実績!$AD$6:$AD$505,"&gt;"&amp;$A24,実績!$AE$6:$AE$505,"○")&gt;0,1,0))</f>
        <v/>
      </c>
      <c r="K24">
        <f>IF(K$4=0,0,IF(COUNTIFS(実績!$W$6:$W$505,K$3,実績!$AC$6:$AC$505,"&lt;="&amp;$A24,実績!$AD$6:$AD$505,"&gt;"&amp;$A24,実績!$AE$6:$AE$505,"○")&gt;0,1,0))</f>
        <v/>
      </c>
      <c r="L24">
        <f>IF(L$4=0,0,IF(COUNTIFS(実績!$W$6:$W$505,L$3,実績!$AC$6:$AC$505,"&lt;="&amp;$A24,実績!$AD$6:$AD$505,"&gt;"&amp;$A24,実績!$AE$6:$AE$505,"○")&gt;0,1,0))</f>
        <v/>
      </c>
      <c r="M24">
        <f>IF(M$4=0,0,IF(COUNTIFS(実績!$W$6:$W$505,M$3,実績!$AC$6:$AC$505,"&lt;="&amp;$A24,実績!$AD$6:$AD$505,"&gt;"&amp;$A24,実績!$AE$6:$AE$505,"○")&gt;0,1,0))</f>
        <v/>
      </c>
      <c r="N24">
        <f>IF(N$4=0,0,IF(COUNTIFS(実績!$W$6:$W$505,N$3,実績!$AC$6:$AC$505,"&lt;="&amp;$A24,実績!$AD$6:$AD$505,"&gt;"&amp;$A24,実績!$AE$6:$AE$505,"○")&gt;0,1,0))</f>
        <v/>
      </c>
      <c r="O24">
        <f>IF(O$4=0,0,IF(COUNTIFS(実績!$W$6:$W$505,O$3,実績!$AC$6:$AC$505,"&lt;="&amp;$A24,実績!$AD$6:$AD$505,"&gt;"&amp;$A24,実績!$AE$6:$AE$505,"○")&gt;0,1,0))</f>
        <v/>
      </c>
      <c r="P24">
        <f>IF(P$4=0,0,IF(COUNTIFS(実績!$W$6:$W$505,P$3,実績!$AC$6:$AC$505,"&lt;="&amp;$A24,実績!$AD$6:$AD$505,"&gt;"&amp;$A24,実績!$AE$6:$AE$505,"○")&gt;0,1,0))</f>
        <v/>
      </c>
      <c r="Q24">
        <f>IF(Q$4=0,0,IF(COUNTIFS(実績!$W$6:$W$505,Q$3,実績!$AC$6:$AC$505,"&lt;="&amp;$A24,実績!$AD$6:$AD$505,"&gt;"&amp;$A24,実績!$AE$6:$AE$505,"○")&gt;0,1,0))</f>
        <v/>
      </c>
      <c r="R24">
        <f>IF(R$4=0,0,IF(COUNTIFS(実績!$W$6:$W$505,R$3,実績!$AC$6:$AC$505,"&lt;="&amp;$A24,実績!$AD$6:$AD$505,"&gt;"&amp;$A24,実績!$AE$6:$AE$505,"○")&gt;0,1,0))</f>
        <v/>
      </c>
      <c r="S24">
        <f>IF(S$4=0,0,IF(COUNTIFS(実績!$W$6:$W$505,S$3,実績!$AC$6:$AC$505,"&lt;="&amp;$A24,実績!$AD$6:$AD$505,"&gt;"&amp;$A24,実績!$AE$6:$AE$505,"○")&gt;0,1,0))</f>
        <v/>
      </c>
      <c r="T24">
        <f>IF(T$4=0,0,IF(COUNTIFS(実績!$W$6:$W$505,T$3,実績!$AC$6:$AC$505,"&lt;="&amp;$A24,実績!$AD$6:$AD$505,"&gt;"&amp;$A24,実績!$AE$6:$AE$505,"○")&gt;0,1,0))</f>
        <v/>
      </c>
      <c r="U24">
        <f>IF(U$4=0,0,IF(COUNTIFS(実績!$W$6:$W$505,U$3,実績!$AC$6:$AC$505,"&lt;="&amp;$A24,実績!$AD$6:$AD$505,"&gt;"&amp;$A24,実績!$AE$6:$AE$505,"○")&gt;0,1,0))</f>
        <v/>
      </c>
      <c r="V24">
        <f>IF(V$4=0,0,IF(COUNTIFS(実績!$W$6:$W$505,V$3,実績!$AC$6:$AC$505,"&lt;="&amp;$A24,実績!$AD$6:$AD$505,"&gt;"&amp;$A24,実績!$AE$6:$AE$505,"○")&gt;0,1,0))</f>
        <v/>
      </c>
      <c r="W24">
        <f>IF(W$4=0,0,IF(COUNTIFS(実績!$W$6:$W$505,W$3,実績!$AC$6:$AC$505,"&lt;="&amp;$A24,実績!$AD$6:$AD$505,"&gt;"&amp;$A24,実績!$AE$6:$AE$505,"○")&gt;0,1,0))</f>
        <v/>
      </c>
      <c r="X24">
        <f>IF(X$4=0,0,IF(COUNTIFS(実績!$W$6:$W$505,X$3,実績!$AC$6:$AC$505,"&lt;="&amp;$A24,実績!$AD$6:$AD$505,"&gt;"&amp;$A24,実績!$AE$6:$AE$505,"○")&gt;0,1,0))</f>
        <v/>
      </c>
      <c r="Y24">
        <f>IF(Y$4=0,0,IF(COUNTIFS(実績!$W$6:$W$505,Y$3,実績!$AC$6:$AC$505,"&lt;="&amp;$A24,実績!$AD$6:$AD$505,"&gt;"&amp;$A24,実績!$AE$6:$AE$505,"○")&gt;0,1,0))</f>
        <v/>
      </c>
      <c r="Z24">
        <f>IF(Z$4=0,0,IF(COUNTIFS(実績!$W$6:$W$505,Z$3,実績!$AC$6:$AC$505,"&lt;="&amp;$A24,実績!$AD$6:$AD$505,"&gt;"&amp;$A24,実績!$AE$6:$AE$505,"○")&gt;0,1,0))</f>
        <v/>
      </c>
      <c r="AA24">
        <f>IF(AA$4=0,0,IF(COUNTIFS(実績!$W$6:$W$505,AA$3,実績!$AC$6:$AC$505,"&lt;="&amp;$A24,実績!$AD$6:$AD$505,"&gt;"&amp;$A24,実績!$AE$6:$AE$505,"○")&gt;0,1,0))</f>
        <v/>
      </c>
      <c r="AB24">
        <f>IF(AB$4=0,0,IF(COUNTIFS(実績!$W$6:$W$505,AB$3,実績!$AC$6:$AC$505,"&lt;="&amp;$A24,実績!$AD$6:$AD$505,"&gt;"&amp;$A24,実績!$AE$6:$AE$505,"○")&gt;0,1,0))</f>
        <v/>
      </c>
      <c r="AC24">
        <f>IF(AC$4=0,0,IF(COUNTIFS(実績!$W$6:$W$505,AC$3,実績!$AC$6:$AC$505,"&lt;="&amp;$A24,実績!$AD$6:$AD$505,"&gt;"&amp;$A24,実績!$AE$6:$AE$505,"○")&gt;0,1,0))</f>
        <v/>
      </c>
      <c r="AD24">
        <f>IF(AD$4=0,0,IF(COUNTIFS(実績!$W$6:$W$505,AD$3,実績!$AC$6:$AC$505,"&lt;="&amp;$A24,実績!$AD$6:$AD$505,"&gt;"&amp;$A24,実績!$AE$6:$AE$505,"○")&gt;0,1,0))</f>
        <v/>
      </c>
      <c r="AE24">
        <f>IF(AE$4=0,0,IF(COUNTIFS(実績!$W$6:$W$505,AE$3,実績!$AC$6:$AC$505,"&lt;="&amp;$A24,実績!$AD$6:$AD$505,"&gt;"&amp;$A24,実績!$AE$6:$AE$505,"○")&gt;0,1,0))</f>
        <v/>
      </c>
      <c r="AF24">
        <f>IF(AF$4=0,0,IF(COUNTIFS(実績!$W$6:$W$505,AF$3,実績!$AC$6:$AC$505,"&lt;="&amp;$A24,実績!$AD$6:$AD$505,"&gt;"&amp;$A24,実績!$AE$6:$AE$505,"○")&gt;0,1,0))</f>
        <v/>
      </c>
      <c r="AG24">
        <f>IF(AG$4=0,0,IF(COUNTIFS(実績!$W$6:$W$505,AG$3,実績!$AC$6:$AC$505,"&lt;="&amp;$A24,実績!$AD$6:$AD$505,"&gt;"&amp;$A24,実績!$AE$6:$AE$505,"○")&gt;0,1,0))</f>
        <v/>
      </c>
      <c r="AH24">
        <f>IF(AH$4=0,0,IF(COUNTIFS(実績!$W$6:$W$505,AH$3,実績!$AC$6:$AC$505,"&lt;="&amp;$A24,実績!$AD$6:$AD$505,"&gt;"&amp;$A24,実績!$AE$6:$AE$505,"○")&gt;0,1,0))</f>
        <v/>
      </c>
      <c r="AI24">
        <f>IF(AI$4=0,0,IF(COUNTIFS(実績!$W$6:$W$505,AI$3,実績!$AC$6:$AC$505,"&lt;="&amp;$A24,実績!$AD$6:$AD$505,"&gt;"&amp;$A24,実績!$AE$6:$AE$505,"○")&gt;0,1,0))</f>
        <v/>
      </c>
      <c r="AJ24">
        <f>IF(AJ$4=0,0,IF(COUNTIFS(実績!$W$6:$W$505,AJ$3,実績!$AC$6:$AC$505,"&lt;="&amp;$A24,実績!$AD$6:$AD$505,"&gt;"&amp;$A24,実績!$AE$6:$AE$505,"○")&gt;0,1,0))</f>
        <v/>
      </c>
      <c r="AK24">
        <f>IF(AK$4=0,0,IF(COUNTIFS(実績!$W$6:$W$505,AK$3,実績!$AC$6:$AC$505,"&lt;="&amp;$A24,実績!$AD$6:$AD$505,"&gt;"&amp;$A24,実績!$AE$6:$AE$505,"○")&gt;0,1,0))</f>
        <v/>
      </c>
      <c r="AL24">
        <f>IF(AL$4=0,0,IF(COUNTIFS(実績!$W$6:$W$505,AL$3,実績!$AC$6:$AC$505,"&lt;="&amp;$A24,実績!$AD$6:$AD$505,"&gt;"&amp;$A24,実績!$AE$6:$AE$505,"○")&gt;0,1,0))</f>
        <v/>
      </c>
      <c r="AM24">
        <f>IF(AM$4=0,0,IF(COUNTIFS(実績!$W$6:$W$505,AM$3,実績!$AC$6:$AC$505,"&lt;="&amp;$A24,実績!$AD$6:$AD$505,"&gt;"&amp;$A24,実績!$AE$6:$AE$505,"○")&gt;0,1,0))</f>
        <v/>
      </c>
      <c r="AN24">
        <f>IF(AN$4=0,0,IF(COUNTIFS(実績!$W$6:$W$505,AN$3,実績!$AC$6:$AC$505,"&lt;="&amp;$A24,実績!$AD$6:$AD$505,"&gt;"&amp;$A24,実績!$AE$6:$AE$505,"○")&gt;0,1,0))</f>
        <v/>
      </c>
      <c r="AO24">
        <f>IF(AO$4=0,0,IF(COUNTIFS(実績!$W$6:$W$505,AO$3,実績!$AC$6:$AC$505,"&lt;="&amp;$A24,実績!$AD$6:$AD$505,"&gt;"&amp;$A24,実績!$AE$6:$AE$505,"○")&gt;0,1,0))</f>
        <v/>
      </c>
      <c r="AP24">
        <f>IF(AP$4=0,0,IF(COUNTIFS(実績!$W$6:$W$505,AP$3,実績!$AC$6:$AC$505,"&lt;="&amp;$A24,実績!$AD$6:$AD$505,"&gt;"&amp;$A24,実績!$AE$6:$AE$505,"○")&gt;0,1,0))</f>
        <v/>
      </c>
      <c r="AQ24">
        <f>IF(AQ$4=0,0,IF(COUNTIFS(実績!$W$6:$W$505,AQ$3,実績!$AC$6:$AC$505,"&lt;="&amp;$A24,実績!$AD$6:$AD$505,"&gt;"&amp;$A24,実績!$AE$6:$AE$505,"○")&gt;0,1,0))</f>
        <v/>
      </c>
      <c r="AR24">
        <f>IF(AR$4=0,0,IF(COUNTIFS(実績!$W$6:$W$505,AR$3,実績!$AC$6:$AC$505,"&lt;="&amp;$A24,実績!$AD$6:$AD$505,"&gt;"&amp;$A24,実績!$AE$6:$AE$505,"○")&gt;0,1,0))</f>
        <v/>
      </c>
      <c r="AS24">
        <f>IF(AS$4=0,0,IF(COUNTIFS(実績!$W$6:$W$505,AS$3,実績!$AC$6:$AC$505,"&lt;="&amp;$A24,実績!$AD$6:$AD$505,"&gt;"&amp;$A24,実績!$AE$6:$AE$505,"○")&gt;0,1,0))</f>
        <v/>
      </c>
      <c r="AT24">
        <f>IF(AT$4=0,0,IF(COUNTIFS(実績!$W$6:$W$505,AT$3,実績!$AC$6:$AC$505,"&lt;="&amp;$A24,実績!$AD$6:$AD$505,"&gt;"&amp;$A24,実績!$AE$6:$AE$505,"○")&gt;0,1,0))</f>
        <v/>
      </c>
      <c r="AU24">
        <f>IF(AU$4=0,0,IF(COUNTIFS(実績!$W$6:$W$505,AU$3,実績!$AC$6:$AC$505,"&lt;="&amp;$A24,実績!$AD$6:$AD$505,"&gt;"&amp;$A24,実績!$AE$6:$AE$505,"○")&gt;0,1,0))</f>
        <v/>
      </c>
      <c r="AV24">
        <f>IF(AV$4=0,0,IF(COUNTIFS(実績!$W$6:$W$505,AV$3,実績!$AC$6:$AC$505,"&lt;="&amp;$A24,実績!$AD$6:$AD$505,"&gt;"&amp;$A24,実績!$AE$6:$AE$505,"○")&gt;0,1,0))</f>
        <v/>
      </c>
      <c r="AW24">
        <f>IF(AW$4=0,0,IF(COUNTIFS(実績!$W$6:$W$505,AW$3,実績!$AC$6:$AC$505,"&lt;="&amp;$A24,実績!$AD$6:$AD$505,"&gt;"&amp;$A24,実績!$AE$6:$AE$505,"○")&gt;0,1,0))</f>
        <v/>
      </c>
      <c r="AX24">
        <f>IF(AX$4=0,0,IF(COUNTIFS(実績!$W$6:$W$505,AX$3,実績!$AC$6:$AC$505,"&lt;="&amp;$A24,実績!$AD$6:$AD$505,"&gt;"&amp;$A24,実績!$AE$6:$AE$505,"○")&gt;0,1,0))</f>
        <v/>
      </c>
      <c r="AY24">
        <f>IF(AY$4=0,0,IF(COUNTIFS(実績!$W$6:$W$505,AY$3,実績!$AC$6:$AC$505,"&lt;="&amp;$A24,実績!$AD$6:$AD$505,"&gt;"&amp;$A24,実績!$AE$6:$AE$505,"○")&gt;0,1,0))</f>
        <v/>
      </c>
      <c r="AZ24">
        <f>IF(AZ$4=0,0,IF(COUNTIFS(実績!$W$6:$W$505,AZ$3,実績!$AC$6:$AC$505,"&lt;="&amp;$A24,実績!$AD$6:$AD$505,"&gt;"&amp;$A24,実績!$AE$6:$AE$505,"○")&gt;0,1,0))</f>
        <v/>
      </c>
      <c r="BA24">
        <f>IF(BA$4=0,0,IF(COUNTIFS(実績!$W$6:$W$505,BA$3,実績!$AC$6:$AC$505,"&lt;="&amp;$A24,実績!$AD$6:$AD$505,"&gt;"&amp;$A24,実績!$AE$6:$AE$505,"○")&gt;0,1,0))</f>
        <v/>
      </c>
      <c r="BB24">
        <f>IF(BB$4=0,0,IF(COUNTIFS(実績!$W$6:$W$505,BB$3,実績!$AC$6:$AC$505,"&lt;="&amp;$A24,実績!$AD$6:$AD$505,"&gt;"&amp;$A24,実績!$AE$6:$AE$505,"○")&gt;0,1,0))</f>
        <v/>
      </c>
      <c r="BC24">
        <f>IF(BC$4=0,0,IF(COUNTIFS(実績!$W$6:$W$505,BC$3,実績!$AC$6:$AC$505,"&lt;="&amp;$A24,実績!$AD$6:$AD$505,"&gt;"&amp;$A24,実績!$AE$6:$AE$505,"○")&gt;0,1,0))</f>
        <v/>
      </c>
      <c r="BD24">
        <f>IF(BD$4=0,0,IF(COUNTIFS(実績!$W$6:$W$505,BD$3,実績!$AC$6:$AC$505,"&lt;="&amp;$A24,実績!$AD$6:$AD$505,"&gt;"&amp;$A24,実績!$AE$6:$AE$505,"○")&gt;0,1,0))</f>
        <v/>
      </c>
      <c r="BE24">
        <f>IF(BE$4=0,0,IF(COUNTIFS(実績!$W$6:$W$505,BE$3,実績!$AC$6:$AC$505,"&lt;="&amp;$A24,実績!$AD$6:$AD$505,"&gt;"&amp;$A24,実績!$AE$6:$AE$505,"○")&gt;0,1,0))</f>
        <v/>
      </c>
      <c r="BF24">
        <f>IF(BF$4=0,0,IF(COUNTIFS(実績!$W$6:$W$505,BF$3,実績!$AC$6:$AC$505,"&lt;="&amp;$A24,実績!$AD$6:$AD$505,"&gt;"&amp;$A24,実績!$AE$6:$AE$505,"○")&gt;0,1,0))</f>
        <v/>
      </c>
      <c r="BG24">
        <f>IF(BG$4=0,0,IF(COUNTIFS(実績!$W$6:$W$505,BG$3,実績!$AC$6:$AC$505,"&lt;="&amp;$A24,実績!$AD$6:$AD$505,"&gt;"&amp;$A24,実績!$AE$6:$AE$505,"○")&gt;0,1,0))</f>
        <v/>
      </c>
      <c r="BH24">
        <f>IF(BH$4=0,0,IF(COUNTIFS(実績!$W$6:$W$505,BH$3,実績!$AC$6:$AC$505,"&lt;="&amp;$A24,実績!$AD$6:$AD$505,"&gt;"&amp;$A24,実績!$AE$6:$AE$505,"○")&gt;0,1,0))</f>
        <v/>
      </c>
      <c r="BI24">
        <f>IF(BI$4=0,0,IF(COUNTIFS(実績!$W$6:$W$505,BI$3,実績!$AC$6:$AC$505,"&lt;="&amp;$A24,実績!$AD$6:$AD$505,"&gt;"&amp;$A24,実績!$AE$6:$AE$505,"○")&gt;0,1,0))</f>
        <v/>
      </c>
      <c r="BJ24">
        <f>IF(BJ$4=0,0,IF(COUNTIFS(実績!$W$6:$W$505,BJ$3,実績!$AC$6:$AC$505,"&lt;="&amp;$A24,実績!$AD$6:$AD$505,"&gt;"&amp;$A24,実績!$AE$6:$AE$505,"○")&gt;0,1,0))</f>
        <v/>
      </c>
      <c r="BK24">
        <f>IF(BK$4=0,0,IF(COUNTIFS(実績!$W$6:$W$505,BK$3,実績!$AC$6:$AC$505,"&lt;="&amp;$A24,実績!$AD$6:$AD$505,"&gt;"&amp;$A24,実績!$AE$6:$AE$505,"○")&gt;0,1,0))</f>
        <v/>
      </c>
      <c r="BL24">
        <f>IF(BL$4=0,0,IF(COUNTIFS(実績!$W$6:$W$505,BL$3,実績!$AC$6:$AC$505,"&lt;="&amp;$A24,実績!$AD$6:$AD$505,"&gt;"&amp;$A24,実績!$AE$6:$AE$505,"○")&gt;0,1,0))</f>
        <v/>
      </c>
      <c r="BM24">
        <f>IF(BM$4=0,0,IF(COUNTIFS(実績!$W$6:$W$505,BM$3,実績!$AC$6:$AC$505,"&lt;="&amp;$A24,実績!$AD$6:$AD$505,"&gt;"&amp;$A24,実績!$AE$6:$AE$505,"○")&gt;0,1,0))</f>
        <v/>
      </c>
      <c r="BN24">
        <f>IF(BN$4=0,0,IF(COUNTIFS(実績!$W$6:$W$505,BN$3,実績!$AC$6:$AC$505,"&lt;="&amp;$A24,実績!$AD$6:$AD$505,"&gt;"&amp;$A24,実績!$AE$6:$AE$505,"○")&gt;0,1,0))</f>
        <v/>
      </c>
      <c r="BO24">
        <f>IF(BO$4=0,0,IF(COUNTIFS(実績!$W$6:$W$505,BO$3,実績!$AC$6:$AC$505,"&lt;="&amp;$A24,実績!$AD$6:$AD$505,"&gt;"&amp;$A24,実績!$AE$6:$AE$505,"○")&gt;0,1,0))</f>
        <v/>
      </c>
      <c r="BP24">
        <f>IF(BP$4=0,0,IF(COUNTIFS(実績!$W$6:$W$505,BP$3,実績!$AC$6:$AC$505,"&lt;="&amp;$A24,実績!$AD$6:$AD$505,"&gt;"&amp;$A24,実績!$AE$6:$AE$505,"○")&gt;0,1,0))</f>
        <v/>
      </c>
      <c r="BQ24">
        <f>IF(BQ$4=0,0,IF(COUNTIFS(実績!$W$6:$W$505,BQ$3,実績!$AC$6:$AC$505,"&lt;="&amp;$A24,実績!$AD$6:$AD$505,"&gt;"&amp;$A24,実績!$AE$6:$AE$505,"○")&gt;0,1,0))</f>
        <v/>
      </c>
      <c r="BR24">
        <f>IF(BR$4=0,0,IF(COUNTIFS(実績!$W$6:$W$505,BR$3,実績!$AC$6:$AC$505,"&lt;="&amp;$A24,実績!$AD$6:$AD$505,"&gt;"&amp;$A24,実績!$AE$6:$AE$505,"○")&gt;0,1,0))</f>
        <v/>
      </c>
      <c r="BS24">
        <f>IF(BS$4=0,0,IF(COUNTIFS(実績!$W$6:$W$505,BS$3,実績!$AC$6:$AC$505,"&lt;="&amp;$A24,実績!$AD$6:$AD$505,"&gt;"&amp;$A24,実績!$AE$6:$AE$505,"○")&gt;0,1,0))</f>
        <v/>
      </c>
      <c r="BT24">
        <f>IF(BT$4=0,0,IF(COUNTIFS(実績!$W$6:$W$505,BT$3,実績!$AC$6:$AC$505,"&lt;="&amp;$A24,実績!$AD$6:$AD$505,"&gt;"&amp;$A24,実績!$AE$6:$AE$505,"○")&gt;0,1,0))</f>
        <v/>
      </c>
      <c r="BU24">
        <f>IF(BU$4=0,0,IF(COUNTIFS(実績!$W$6:$W$505,BU$3,実績!$AC$6:$AC$505,"&lt;="&amp;$A24,実績!$AD$6:$AD$505,"&gt;"&amp;$A24,実績!$AE$6:$AE$505,"○")&gt;0,1,0))</f>
        <v/>
      </c>
      <c r="BV24">
        <f>IF(BV$4=0,0,IF(COUNTIFS(実績!$W$6:$W$505,BV$3,実績!$AC$6:$AC$505,"&lt;="&amp;$A24,実績!$AD$6:$AD$505,"&gt;"&amp;$A24,実績!$AE$6:$AE$505,"○")&gt;0,1,0))</f>
        <v/>
      </c>
      <c r="BW24">
        <f>IF(BW$4=0,0,IF(COUNTIFS(実績!$W$6:$W$505,BW$3,実績!$AC$6:$AC$505,"&lt;="&amp;$A24,実績!$AD$6:$AD$505,"&gt;"&amp;$A24,実績!$AE$6:$AE$505,"○")&gt;0,1,0))</f>
        <v/>
      </c>
      <c r="BX24">
        <f>IF(BX$4=0,0,IF(COUNTIFS(実績!$W$6:$W$505,BX$3,実績!$AC$6:$AC$505,"&lt;="&amp;$A24,実績!$AD$6:$AD$505,"&gt;"&amp;$A24,実績!$AE$6:$AE$505,"○")&gt;0,1,0))</f>
        <v/>
      </c>
      <c r="BY24">
        <f>IF(BY$4=0,0,IF(COUNTIFS(実績!$W$6:$W$505,BY$3,実績!$AC$6:$AC$505,"&lt;="&amp;$A24,実績!$AD$6:$AD$505,"&gt;"&amp;$A24,実績!$AE$6:$AE$505,"○")&gt;0,1,0))</f>
        <v/>
      </c>
      <c r="BZ24">
        <f>IF(BZ$4=0,0,IF(COUNTIFS(実績!$W$6:$W$505,BZ$3,実績!$AC$6:$AC$505,"&lt;="&amp;$A24,実績!$AD$6:$AD$505,"&gt;"&amp;$A24,実績!$AE$6:$AE$505,"○")&gt;0,1,0))</f>
        <v/>
      </c>
      <c r="CA24">
        <f>IF(CA$4=0,0,IF(COUNTIFS(実績!$W$6:$W$505,CA$3,実績!$AC$6:$AC$505,"&lt;="&amp;$A24,実績!$AD$6:$AD$505,"&gt;"&amp;$A24,実績!$AE$6:$AE$505,"○")&gt;0,1,0))</f>
        <v/>
      </c>
      <c r="CB24">
        <f>IF(CB$4=0,0,IF(COUNTIFS(実績!$W$6:$W$505,CB$3,実績!$AC$6:$AC$505,"&lt;="&amp;$A24,実績!$AD$6:$AD$505,"&gt;"&amp;$A24,実績!$AE$6:$AE$505,"○")&gt;0,1,0))</f>
        <v/>
      </c>
      <c r="CC24">
        <f>IF(CC$4=0,0,IF(COUNTIFS(実績!$W$6:$W$505,CC$3,実績!$AC$6:$AC$505,"&lt;="&amp;$A24,実績!$AD$6:$AD$505,"&gt;"&amp;$A24,実績!$AE$6:$AE$505,"○")&gt;0,1,0))</f>
        <v/>
      </c>
      <c r="CD24">
        <f>IF(CD$4=0,0,IF(COUNTIFS(実績!$W$6:$W$505,CD$3,実績!$AC$6:$AC$505,"&lt;="&amp;$A24,実績!$AD$6:$AD$505,"&gt;"&amp;$A24,実績!$AE$6:$AE$505,"○")&gt;0,1,0))</f>
        <v/>
      </c>
      <c r="CE24">
        <f>IF(CE$4=0,0,IF(COUNTIFS(実績!$W$6:$W$505,CE$3,実績!$AC$6:$AC$505,"&lt;="&amp;$A24,実績!$AD$6:$AD$505,"&gt;"&amp;$A24,実績!$AE$6:$AE$505,"○")&gt;0,1,0))</f>
        <v/>
      </c>
      <c r="CF24">
        <f>IF(CF$4=0,0,IF(COUNTIFS(実績!$W$6:$W$505,CF$3,実績!$AC$6:$AC$505,"&lt;="&amp;$A24,実績!$AD$6:$AD$505,"&gt;"&amp;$A24,実績!$AE$6:$AE$505,"○")&gt;0,1,0))</f>
        <v/>
      </c>
      <c r="CG24">
        <f>IF(CG$4=0,0,IF(COUNTIFS(実績!$W$6:$W$505,CG$3,実績!$AC$6:$AC$505,"&lt;="&amp;$A24,実績!$AD$6:$AD$505,"&gt;"&amp;$A24,実績!$AE$6:$AE$505,"○")&gt;0,1,0))</f>
        <v/>
      </c>
      <c r="CH24">
        <f>IF(CH$4=0,0,IF(COUNTIFS(実績!$W$6:$W$505,CH$3,実績!$AC$6:$AC$505,"&lt;="&amp;$A24,実績!$AD$6:$AD$505,"&gt;"&amp;$A24,実績!$AE$6:$AE$505,"○")&gt;0,1,0))</f>
        <v/>
      </c>
      <c r="CI24">
        <f>IF(CI$4=0,0,IF(COUNTIFS(実績!$W$6:$W$505,CI$3,実績!$AC$6:$AC$505,"&lt;="&amp;$A24,実績!$AD$6:$AD$505,"&gt;"&amp;$A24,実績!$AE$6:$AE$505,"○")&gt;0,1,0))</f>
        <v/>
      </c>
      <c r="CJ24">
        <f>IF(CJ$4=0,0,IF(COUNTIFS(実績!$W$6:$W$505,CJ$3,実績!$AC$6:$AC$505,"&lt;="&amp;$A24,実績!$AD$6:$AD$505,"&gt;"&amp;$A24,実績!$AE$6:$AE$505,"○")&gt;0,1,0))</f>
        <v/>
      </c>
      <c r="CK24">
        <f>IF(CK$4=0,0,IF(COUNTIFS(実績!$W$6:$W$505,CK$3,実績!$AC$6:$AC$505,"&lt;="&amp;$A24,実績!$AD$6:$AD$505,"&gt;"&amp;$A24,実績!$AE$6:$AE$505,"○")&gt;0,1,0))</f>
        <v/>
      </c>
      <c r="CL24">
        <f>IF(CL$4=0,0,IF(COUNTIFS(実績!$W$6:$W$505,CL$3,実績!$AC$6:$AC$505,"&lt;="&amp;$A24,実績!$AD$6:$AD$505,"&gt;"&amp;$A24,実績!$AE$6:$AE$505,"○")&gt;0,1,0))</f>
        <v/>
      </c>
      <c r="CM24">
        <f>IF(CM$4=0,0,IF(COUNTIFS(実績!$W$6:$W$505,CM$3,実績!$AC$6:$AC$505,"&lt;="&amp;$A24,実績!$AD$6:$AD$505,"&gt;"&amp;$A24,実績!$AE$6:$AE$505,"○")&gt;0,1,0))</f>
        <v/>
      </c>
      <c r="CN24">
        <f>IF(CN$4=0,0,IF(COUNTIFS(実績!$W$6:$W$505,CN$3,実績!$AC$6:$AC$505,"&lt;="&amp;$A24,実績!$AD$6:$AD$505,"&gt;"&amp;$A24,実績!$AE$6:$AE$505,"○")&gt;0,1,0))</f>
        <v/>
      </c>
      <c r="CO24">
        <f>IF(CO$4=0,0,IF(COUNTIFS(実績!$W$6:$W$505,CO$3,実績!$AC$6:$AC$505,"&lt;="&amp;$A24,実績!$AD$6:$AD$505,"&gt;"&amp;$A24,実績!$AE$6:$AE$505,"○")&gt;0,1,0))</f>
        <v/>
      </c>
      <c r="CP24">
        <f>IF(CP$4=0,0,IF(COUNTIFS(実績!$W$6:$W$505,CP$3,実績!$AC$6:$AC$505,"&lt;="&amp;$A24,実績!$AD$6:$AD$505,"&gt;"&amp;$A24,実績!$AE$6:$AE$505,"○")&gt;0,1,0))</f>
        <v/>
      </c>
      <c r="CQ24">
        <f>IF(CQ$4=0,0,IF(COUNTIFS(実績!$W$6:$W$505,CQ$3,実績!$AC$6:$AC$505,"&lt;="&amp;$A24,実績!$AD$6:$AD$505,"&gt;"&amp;$A24,実績!$AE$6:$AE$505,"○")&gt;0,1,0))</f>
        <v/>
      </c>
      <c r="CR24">
        <f>IF(CR$4=0,0,IF(COUNTIFS(実績!$W$6:$W$505,CR$3,実績!$AC$6:$AC$505,"&lt;="&amp;$A24,実績!$AD$6:$AD$505,"&gt;"&amp;$A24,実績!$AE$6:$AE$505,"○")&gt;0,1,0))</f>
        <v/>
      </c>
      <c r="CS24">
        <f>IF(CS$4=0,0,IF(COUNTIFS(実績!$W$6:$W$505,CS$3,実績!$AC$6:$AC$505,"&lt;="&amp;$A24,実績!$AD$6:$AD$505,"&gt;"&amp;$A24,実績!$AE$6:$AE$505,"○")&gt;0,1,0))</f>
        <v/>
      </c>
      <c r="CT24">
        <f>IF(CT$4=0,0,IF(COUNTIFS(実績!$W$6:$W$505,CT$3,実績!$AC$6:$AC$505,"&lt;="&amp;$A24,実績!$AD$6:$AD$505,"&gt;"&amp;$A24,実績!$AE$6:$AE$505,"○")&gt;0,1,0))</f>
        <v/>
      </c>
      <c r="CU24">
        <f>IF(CU$4=0,0,IF(COUNTIFS(実績!$W$6:$W$505,CU$3,実績!$AC$6:$AC$505,"&lt;="&amp;$A24,実績!$AD$6:$AD$505,"&gt;"&amp;$A24,実績!$AE$6:$AE$505,"○")&gt;0,1,0))</f>
        <v/>
      </c>
      <c r="CV24">
        <f>IF(CV$4=0,0,IF(COUNTIFS(実績!$W$6:$W$505,CV$3,実績!$AC$6:$AC$505,"&lt;="&amp;$A24,実績!$AD$6:$AD$505,"&gt;"&amp;$A24,実績!$AE$6:$AE$505,"○")&gt;0,1,0))</f>
        <v/>
      </c>
      <c r="CW24">
        <f>IF(CW$4=0,0,IF(COUNTIFS(実績!$W$6:$W$505,CW$3,実績!$AC$6:$AC$505,"&lt;="&amp;$A24,実績!$AD$6:$AD$505,"&gt;"&amp;$A24,実績!$AE$6:$AE$505,"○")&gt;0,1,0))</f>
        <v/>
      </c>
      <c r="CX24">
        <f>IF(CX$4=0,0,IF(COUNTIFS(実績!$W$6:$W$505,CX$3,実績!$AC$6:$AC$505,"&lt;="&amp;$A24,実績!$AD$6:$AD$505,"&gt;"&amp;$A24,実績!$AE$6:$AE$505,"○")&gt;0,1,0))</f>
        <v/>
      </c>
      <c r="CY24">
        <f>IF(CY$4=0,0,IF(COUNTIFS(実績!$W$6:$W$505,CY$3,実績!$AC$6:$AC$505,"&lt;="&amp;$A24,実績!$AD$6:$AD$505,"&gt;"&amp;$A24,実績!$AE$6:$AE$505,"○")&gt;0,1,0))</f>
        <v/>
      </c>
      <c r="CZ24">
        <f>IF(CZ$4=0,0,IF(COUNTIFS(実績!$W$6:$W$505,CZ$3,実績!$AC$6:$AC$505,"&lt;="&amp;$A24,実績!$AD$6:$AD$505,"&gt;"&amp;$A24,実績!$AE$6:$AE$505,"○")&gt;0,1,0))</f>
        <v/>
      </c>
      <c r="DA24">
        <f>IF(DA$4=0,0,IF(COUNTIFS(実績!$W$6:$W$505,DA$3,実績!$AC$6:$AC$505,"&lt;="&amp;$A24,実績!$AD$6:$AD$505,"&gt;"&amp;$A24,実績!$AE$6:$AE$505,"○")&gt;0,1,0))</f>
        <v/>
      </c>
      <c r="DB24">
        <f>IF(DB$4=0,0,IF(COUNTIFS(実績!$W$6:$W$505,DB$3,実績!$AC$6:$AC$505,"&lt;="&amp;$A24,実績!$AD$6:$AD$505,"&gt;"&amp;$A24,実績!$AE$6:$AE$505,"○")&gt;0,1,0))</f>
        <v/>
      </c>
      <c r="DC24">
        <f>IF(DC$4=0,0,IF(COUNTIFS(実績!$W$6:$W$505,DC$3,実績!$AC$6:$AC$505,"&lt;="&amp;$A24,実績!$AD$6:$AD$505,"&gt;"&amp;$A24,実績!$AE$6:$AE$505,"○")&gt;0,1,0))</f>
        <v/>
      </c>
      <c r="DD24">
        <f>IF(DD$4=0,0,IF(COUNTIFS(実績!$W$6:$W$505,DD$3,実績!$AC$6:$AC$505,"&lt;="&amp;$A24,実績!$AD$6:$AD$505,"&gt;"&amp;$A24,実績!$AE$6:$AE$505,"○")&gt;0,1,0))</f>
        <v/>
      </c>
      <c r="DE24">
        <f>IF(DE$4=0,0,IF(COUNTIFS(実績!$W$6:$W$505,DE$3,実績!$AC$6:$AC$505,"&lt;="&amp;$A24,実績!$AD$6:$AD$505,"&gt;"&amp;$A24,実績!$AE$6:$AE$505,"○")&gt;0,1,0))</f>
        <v/>
      </c>
      <c r="DF24">
        <f>IF(DF$4=0,0,IF(COUNTIFS(実績!$W$6:$W$505,DF$3,実績!$AC$6:$AC$505,"&lt;="&amp;$A24,実績!$AD$6:$AD$505,"&gt;"&amp;$A24,実績!$AE$6:$AE$505,"○")&gt;0,1,0))</f>
        <v/>
      </c>
      <c r="DG24">
        <f>IF(DG$4=0,0,IF(COUNTIFS(実績!$W$6:$W$505,DG$3,実績!$AC$6:$AC$505,"&lt;="&amp;$A24,実績!$AD$6:$AD$505,"&gt;"&amp;$A24,実績!$AE$6:$AE$505,"○")&gt;0,1,0))</f>
        <v/>
      </c>
      <c r="DH24">
        <f>IF(DH$4=0,0,IF(COUNTIFS(実績!$W$6:$W$505,DH$3,実績!$AC$6:$AC$505,"&lt;="&amp;$A24,実績!$AD$6:$AD$505,"&gt;"&amp;$A24,実績!$AE$6:$AE$505,"○")&gt;0,1,0))</f>
        <v/>
      </c>
      <c r="DI24">
        <f>IF(DI$4=0,0,IF(COUNTIFS(実績!$W$6:$W$505,DI$3,実績!$AC$6:$AC$505,"&lt;="&amp;$A24,実績!$AD$6:$AD$505,"&gt;"&amp;$A24,実績!$AE$6:$AE$505,"○")&gt;0,1,0))</f>
        <v/>
      </c>
      <c r="DJ24">
        <f>IF(DJ$4=0,0,IF(COUNTIFS(実績!$W$6:$W$505,DJ$3,実績!$AC$6:$AC$505,"&lt;="&amp;$A24,実績!$AD$6:$AD$505,"&gt;"&amp;$A24,実績!$AE$6:$AE$505,"○")&gt;0,1,0))</f>
        <v/>
      </c>
      <c r="DK24">
        <f>IF(DK$4=0,0,IF(COUNTIFS(実績!$W$6:$W$505,DK$3,実績!$AC$6:$AC$505,"&lt;="&amp;$A24,実績!$AD$6:$AD$505,"&gt;"&amp;$A24,実績!$AE$6:$AE$505,"○")&gt;0,1,0))</f>
        <v/>
      </c>
      <c r="DL24">
        <f>IF(DL$4=0,0,IF(COUNTIFS(実績!$W$6:$W$505,DL$3,実績!$AC$6:$AC$505,"&lt;="&amp;$A24,実績!$AD$6:$AD$505,"&gt;"&amp;$A24,実績!$AE$6:$AE$505,"○")&gt;0,1,0))</f>
        <v/>
      </c>
      <c r="DM24">
        <f>IF(DM$4=0,0,IF(COUNTIFS(実績!$W$6:$W$505,DM$3,実績!$AC$6:$AC$505,"&lt;="&amp;$A24,実績!$AD$6:$AD$505,"&gt;"&amp;$A24,実績!$AE$6:$AE$505,"○")&gt;0,1,0))</f>
        <v/>
      </c>
      <c r="DN24">
        <f>IF(DN$4=0,0,IF(COUNTIFS(実績!$W$6:$W$505,DN$3,実績!$AC$6:$AC$505,"&lt;="&amp;$A24,実績!$AD$6:$AD$505,"&gt;"&amp;$A24,実績!$AE$6:$AE$505,"○")&gt;0,1,0))</f>
        <v/>
      </c>
      <c r="DO24">
        <f>IF(DO$4=0,0,IF(COUNTIFS(実績!$W$6:$W$505,DO$3,実績!$AC$6:$AC$505,"&lt;="&amp;$A24,実績!$AD$6:$AD$505,"&gt;"&amp;$A24,実績!$AE$6:$AE$505,"○")&gt;0,1,0))</f>
        <v/>
      </c>
      <c r="DP24">
        <f>IF(DP$4=0,0,IF(COUNTIFS(実績!$W$6:$W$505,DP$3,実績!$AC$6:$AC$505,"&lt;="&amp;$A24,実績!$AD$6:$AD$505,"&gt;"&amp;$A24,実績!$AE$6:$AE$505,"○")&gt;0,1,0))</f>
        <v/>
      </c>
      <c r="DQ24">
        <f>IF(DQ$4=0,0,IF(COUNTIFS(実績!$W$6:$W$505,DQ$3,実績!$AC$6:$AC$505,"&lt;="&amp;$A24,実績!$AD$6:$AD$505,"&gt;"&amp;$A24,実績!$AE$6:$AE$505,"○")&gt;0,1,0))</f>
        <v/>
      </c>
      <c r="DR24">
        <f>IF(DR$4=0,0,IF(COUNTIFS(実績!$W$6:$W$505,DR$3,実績!$AC$6:$AC$505,"&lt;="&amp;$A24,実績!$AD$6:$AD$505,"&gt;"&amp;$A24,実績!$AE$6:$AE$505,"○")&gt;0,1,0))</f>
        <v/>
      </c>
      <c r="DS24">
        <f>SUM(C24:DR24)</f>
        <v/>
      </c>
      <c r="DT24">
        <f>SUMPRODUCT((実績!$C$6:$C$505="○")*ISNUMBER(実績!$AF$6:$AF$505)*(実績!$AF$6:$AF$505&lt;=$A24)*(実績!$AG$6:$AG$505&gt;$A24))</f>
        <v/>
      </c>
      <c r="DU24">
        <f>SUMIF($C$2:$DR$2,"製鉄曳船",C24:DR24)</f>
        <v/>
      </c>
      <c r="DV24">
        <f>SUMIF($C$2:$DR$2,"西日本海運",C24:DR24)</f>
        <v/>
      </c>
    </row>
    <row r="25">
      <c r="A25" t="n">
        <v>95</v>
      </c>
      <c r="B25" s="29">
        <f>A25/1440</f>
        <v/>
      </c>
      <c r="C25">
        <f>IF(C$4=0,0,IF(COUNTIFS(実績!$W$6:$W$505,C$3,実績!$AC$6:$AC$505,"&lt;="&amp;$A25,実績!$AD$6:$AD$505,"&gt;"&amp;$A25,実績!$AE$6:$AE$505,"○")&gt;0,1,0))</f>
        <v/>
      </c>
      <c r="D25">
        <f>IF(D$4=0,0,IF(COUNTIFS(実績!$W$6:$W$505,D$3,実績!$AC$6:$AC$505,"&lt;="&amp;$A25,実績!$AD$6:$AD$505,"&gt;"&amp;$A25,実績!$AE$6:$AE$505,"○")&gt;0,1,0))</f>
        <v/>
      </c>
      <c r="E25">
        <f>IF(E$4=0,0,IF(COUNTIFS(実績!$W$6:$W$505,E$3,実績!$AC$6:$AC$505,"&lt;="&amp;$A25,実績!$AD$6:$AD$505,"&gt;"&amp;$A25,実績!$AE$6:$AE$505,"○")&gt;0,1,0))</f>
        <v/>
      </c>
      <c r="F25">
        <f>IF(F$4=0,0,IF(COUNTIFS(実績!$W$6:$W$505,F$3,実績!$AC$6:$AC$505,"&lt;="&amp;$A25,実績!$AD$6:$AD$505,"&gt;"&amp;$A25,実績!$AE$6:$AE$505,"○")&gt;0,1,0))</f>
        <v/>
      </c>
      <c r="G25">
        <f>IF(G$4=0,0,IF(COUNTIFS(実績!$W$6:$W$505,G$3,実績!$AC$6:$AC$505,"&lt;="&amp;$A25,実績!$AD$6:$AD$505,"&gt;"&amp;$A25,実績!$AE$6:$AE$505,"○")&gt;0,1,0))</f>
        <v/>
      </c>
      <c r="H25">
        <f>IF(H$4=0,0,IF(COUNTIFS(実績!$W$6:$W$505,H$3,実績!$AC$6:$AC$505,"&lt;="&amp;$A25,実績!$AD$6:$AD$505,"&gt;"&amp;$A25,実績!$AE$6:$AE$505,"○")&gt;0,1,0))</f>
        <v/>
      </c>
      <c r="I25">
        <f>IF(I$4=0,0,IF(COUNTIFS(実績!$W$6:$W$505,I$3,実績!$AC$6:$AC$505,"&lt;="&amp;$A25,実績!$AD$6:$AD$505,"&gt;"&amp;$A25,実績!$AE$6:$AE$505,"○")&gt;0,1,0))</f>
        <v/>
      </c>
      <c r="J25">
        <f>IF(J$4=0,0,IF(COUNTIFS(実績!$W$6:$W$505,J$3,実績!$AC$6:$AC$505,"&lt;="&amp;$A25,実績!$AD$6:$AD$505,"&gt;"&amp;$A25,実績!$AE$6:$AE$505,"○")&gt;0,1,0))</f>
        <v/>
      </c>
      <c r="K25">
        <f>IF(K$4=0,0,IF(COUNTIFS(実績!$W$6:$W$505,K$3,実績!$AC$6:$AC$505,"&lt;="&amp;$A25,実績!$AD$6:$AD$505,"&gt;"&amp;$A25,実績!$AE$6:$AE$505,"○")&gt;0,1,0))</f>
        <v/>
      </c>
      <c r="L25">
        <f>IF(L$4=0,0,IF(COUNTIFS(実績!$W$6:$W$505,L$3,実績!$AC$6:$AC$505,"&lt;="&amp;$A25,実績!$AD$6:$AD$505,"&gt;"&amp;$A25,実績!$AE$6:$AE$505,"○")&gt;0,1,0))</f>
        <v/>
      </c>
      <c r="M25">
        <f>IF(M$4=0,0,IF(COUNTIFS(実績!$W$6:$W$505,M$3,実績!$AC$6:$AC$505,"&lt;="&amp;$A25,実績!$AD$6:$AD$505,"&gt;"&amp;$A25,実績!$AE$6:$AE$505,"○")&gt;0,1,0))</f>
        <v/>
      </c>
      <c r="N25">
        <f>IF(N$4=0,0,IF(COUNTIFS(実績!$W$6:$W$505,N$3,実績!$AC$6:$AC$505,"&lt;="&amp;$A25,実績!$AD$6:$AD$505,"&gt;"&amp;$A25,実績!$AE$6:$AE$505,"○")&gt;0,1,0))</f>
        <v/>
      </c>
      <c r="O25">
        <f>IF(O$4=0,0,IF(COUNTIFS(実績!$W$6:$W$505,O$3,実績!$AC$6:$AC$505,"&lt;="&amp;$A25,実績!$AD$6:$AD$505,"&gt;"&amp;$A25,実績!$AE$6:$AE$505,"○")&gt;0,1,0))</f>
        <v/>
      </c>
      <c r="P25">
        <f>IF(P$4=0,0,IF(COUNTIFS(実績!$W$6:$W$505,P$3,実績!$AC$6:$AC$505,"&lt;="&amp;$A25,実績!$AD$6:$AD$505,"&gt;"&amp;$A25,実績!$AE$6:$AE$505,"○")&gt;0,1,0))</f>
        <v/>
      </c>
      <c r="Q25">
        <f>IF(Q$4=0,0,IF(COUNTIFS(実績!$W$6:$W$505,Q$3,実績!$AC$6:$AC$505,"&lt;="&amp;$A25,実績!$AD$6:$AD$505,"&gt;"&amp;$A25,実績!$AE$6:$AE$505,"○")&gt;0,1,0))</f>
        <v/>
      </c>
      <c r="R25">
        <f>IF(R$4=0,0,IF(COUNTIFS(実績!$W$6:$W$505,R$3,実績!$AC$6:$AC$505,"&lt;="&amp;$A25,実績!$AD$6:$AD$505,"&gt;"&amp;$A25,実績!$AE$6:$AE$505,"○")&gt;0,1,0))</f>
        <v/>
      </c>
      <c r="S25">
        <f>IF(S$4=0,0,IF(COUNTIFS(実績!$W$6:$W$505,S$3,実績!$AC$6:$AC$505,"&lt;="&amp;$A25,実績!$AD$6:$AD$505,"&gt;"&amp;$A25,実績!$AE$6:$AE$505,"○")&gt;0,1,0))</f>
        <v/>
      </c>
      <c r="T25">
        <f>IF(T$4=0,0,IF(COUNTIFS(実績!$W$6:$W$505,T$3,実績!$AC$6:$AC$505,"&lt;="&amp;$A25,実績!$AD$6:$AD$505,"&gt;"&amp;$A25,実績!$AE$6:$AE$505,"○")&gt;0,1,0))</f>
        <v/>
      </c>
      <c r="U25">
        <f>IF(U$4=0,0,IF(COUNTIFS(実績!$W$6:$W$505,U$3,実績!$AC$6:$AC$505,"&lt;="&amp;$A25,実績!$AD$6:$AD$505,"&gt;"&amp;$A25,実績!$AE$6:$AE$505,"○")&gt;0,1,0))</f>
        <v/>
      </c>
      <c r="V25">
        <f>IF(V$4=0,0,IF(COUNTIFS(実績!$W$6:$W$505,V$3,実績!$AC$6:$AC$505,"&lt;="&amp;$A25,実績!$AD$6:$AD$505,"&gt;"&amp;$A25,実績!$AE$6:$AE$505,"○")&gt;0,1,0))</f>
        <v/>
      </c>
      <c r="W25">
        <f>IF(W$4=0,0,IF(COUNTIFS(実績!$W$6:$W$505,W$3,実績!$AC$6:$AC$505,"&lt;="&amp;$A25,実績!$AD$6:$AD$505,"&gt;"&amp;$A25,実績!$AE$6:$AE$505,"○")&gt;0,1,0))</f>
        <v/>
      </c>
      <c r="X25">
        <f>IF(X$4=0,0,IF(COUNTIFS(実績!$W$6:$W$505,X$3,実績!$AC$6:$AC$505,"&lt;="&amp;$A25,実績!$AD$6:$AD$505,"&gt;"&amp;$A25,実績!$AE$6:$AE$505,"○")&gt;0,1,0))</f>
        <v/>
      </c>
      <c r="Y25">
        <f>IF(Y$4=0,0,IF(COUNTIFS(実績!$W$6:$W$505,Y$3,実績!$AC$6:$AC$505,"&lt;="&amp;$A25,実績!$AD$6:$AD$505,"&gt;"&amp;$A25,実績!$AE$6:$AE$505,"○")&gt;0,1,0))</f>
        <v/>
      </c>
      <c r="Z25">
        <f>IF(Z$4=0,0,IF(COUNTIFS(実績!$W$6:$W$505,Z$3,実績!$AC$6:$AC$505,"&lt;="&amp;$A25,実績!$AD$6:$AD$505,"&gt;"&amp;$A25,実績!$AE$6:$AE$505,"○")&gt;0,1,0))</f>
        <v/>
      </c>
      <c r="AA25">
        <f>IF(AA$4=0,0,IF(COUNTIFS(実績!$W$6:$W$505,AA$3,実績!$AC$6:$AC$505,"&lt;="&amp;$A25,実績!$AD$6:$AD$505,"&gt;"&amp;$A25,実績!$AE$6:$AE$505,"○")&gt;0,1,0))</f>
        <v/>
      </c>
      <c r="AB25">
        <f>IF(AB$4=0,0,IF(COUNTIFS(実績!$W$6:$W$505,AB$3,実績!$AC$6:$AC$505,"&lt;="&amp;$A25,実績!$AD$6:$AD$505,"&gt;"&amp;$A25,実績!$AE$6:$AE$505,"○")&gt;0,1,0))</f>
        <v/>
      </c>
      <c r="AC25">
        <f>IF(AC$4=0,0,IF(COUNTIFS(実績!$W$6:$W$505,AC$3,実績!$AC$6:$AC$505,"&lt;="&amp;$A25,実績!$AD$6:$AD$505,"&gt;"&amp;$A25,実績!$AE$6:$AE$505,"○")&gt;0,1,0))</f>
        <v/>
      </c>
      <c r="AD25">
        <f>IF(AD$4=0,0,IF(COUNTIFS(実績!$W$6:$W$505,AD$3,実績!$AC$6:$AC$505,"&lt;="&amp;$A25,実績!$AD$6:$AD$505,"&gt;"&amp;$A25,実績!$AE$6:$AE$505,"○")&gt;0,1,0))</f>
        <v/>
      </c>
      <c r="AE25">
        <f>IF(AE$4=0,0,IF(COUNTIFS(実績!$W$6:$W$505,AE$3,実績!$AC$6:$AC$505,"&lt;="&amp;$A25,実績!$AD$6:$AD$505,"&gt;"&amp;$A25,実績!$AE$6:$AE$505,"○")&gt;0,1,0))</f>
        <v/>
      </c>
      <c r="AF25">
        <f>IF(AF$4=0,0,IF(COUNTIFS(実績!$W$6:$W$505,AF$3,実績!$AC$6:$AC$505,"&lt;="&amp;$A25,実績!$AD$6:$AD$505,"&gt;"&amp;$A25,実績!$AE$6:$AE$505,"○")&gt;0,1,0))</f>
        <v/>
      </c>
      <c r="AG25">
        <f>IF(AG$4=0,0,IF(COUNTIFS(実績!$W$6:$W$505,AG$3,実績!$AC$6:$AC$505,"&lt;="&amp;$A25,実績!$AD$6:$AD$505,"&gt;"&amp;$A25,実績!$AE$6:$AE$505,"○")&gt;0,1,0))</f>
        <v/>
      </c>
      <c r="AH25">
        <f>IF(AH$4=0,0,IF(COUNTIFS(実績!$W$6:$W$505,AH$3,実績!$AC$6:$AC$505,"&lt;="&amp;$A25,実績!$AD$6:$AD$505,"&gt;"&amp;$A25,実績!$AE$6:$AE$505,"○")&gt;0,1,0))</f>
        <v/>
      </c>
      <c r="AI25">
        <f>IF(AI$4=0,0,IF(COUNTIFS(実績!$W$6:$W$505,AI$3,実績!$AC$6:$AC$505,"&lt;="&amp;$A25,実績!$AD$6:$AD$505,"&gt;"&amp;$A25,実績!$AE$6:$AE$505,"○")&gt;0,1,0))</f>
        <v/>
      </c>
      <c r="AJ25">
        <f>IF(AJ$4=0,0,IF(COUNTIFS(実績!$W$6:$W$505,AJ$3,実績!$AC$6:$AC$505,"&lt;="&amp;$A25,実績!$AD$6:$AD$505,"&gt;"&amp;$A25,実績!$AE$6:$AE$505,"○")&gt;0,1,0))</f>
        <v/>
      </c>
      <c r="AK25">
        <f>IF(AK$4=0,0,IF(COUNTIFS(実績!$W$6:$W$505,AK$3,実績!$AC$6:$AC$505,"&lt;="&amp;$A25,実績!$AD$6:$AD$505,"&gt;"&amp;$A25,実績!$AE$6:$AE$505,"○")&gt;0,1,0))</f>
        <v/>
      </c>
      <c r="AL25">
        <f>IF(AL$4=0,0,IF(COUNTIFS(実績!$W$6:$W$505,AL$3,実績!$AC$6:$AC$505,"&lt;="&amp;$A25,実績!$AD$6:$AD$505,"&gt;"&amp;$A25,実績!$AE$6:$AE$505,"○")&gt;0,1,0))</f>
        <v/>
      </c>
      <c r="AM25">
        <f>IF(AM$4=0,0,IF(COUNTIFS(実績!$W$6:$W$505,AM$3,実績!$AC$6:$AC$505,"&lt;="&amp;$A25,実績!$AD$6:$AD$505,"&gt;"&amp;$A25,実績!$AE$6:$AE$505,"○")&gt;0,1,0))</f>
        <v/>
      </c>
      <c r="AN25">
        <f>IF(AN$4=0,0,IF(COUNTIFS(実績!$W$6:$W$505,AN$3,実績!$AC$6:$AC$505,"&lt;="&amp;$A25,実績!$AD$6:$AD$505,"&gt;"&amp;$A25,実績!$AE$6:$AE$505,"○")&gt;0,1,0))</f>
        <v/>
      </c>
      <c r="AO25">
        <f>IF(AO$4=0,0,IF(COUNTIFS(実績!$W$6:$W$505,AO$3,実績!$AC$6:$AC$505,"&lt;="&amp;$A25,実績!$AD$6:$AD$505,"&gt;"&amp;$A25,実績!$AE$6:$AE$505,"○")&gt;0,1,0))</f>
        <v/>
      </c>
      <c r="AP25">
        <f>IF(AP$4=0,0,IF(COUNTIFS(実績!$W$6:$W$505,AP$3,実績!$AC$6:$AC$505,"&lt;="&amp;$A25,実績!$AD$6:$AD$505,"&gt;"&amp;$A25,実績!$AE$6:$AE$505,"○")&gt;0,1,0))</f>
        <v/>
      </c>
      <c r="AQ25">
        <f>IF(AQ$4=0,0,IF(COUNTIFS(実績!$W$6:$W$505,AQ$3,実績!$AC$6:$AC$505,"&lt;="&amp;$A25,実績!$AD$6:$AD$505,"&gt;"&amp;$A25,実績!$AE$6:$AE$505,"○")&gt;0,1,0))</f>
        <v/>
      </c>
      <c r="AR25">
        <f>IF(AR$4=0,0,IF(COUNTIFS(実績!$W$6:$W$505,AR$3,実績!$AC$6:$AC$505,"&lt;="&amp;$A25,実績!$AD$6:$AD$505,"&gt;"&amp;$A25,実績!$AE$6:$AE$505,"○")&gt;0,1,0))</f>
        <v/>
      </c>
      <c r="AS25">
        <f>IF(AS$4=0,0,IF(COUNTIFS(実績!$W$6:$W$505,AS$3,実績!$AC$6:$AC$505,"&lt;="&amp;$A25,実績!$AD$6:$AD$505,"&gt;"&amp;$A25,実績!$AE$6:$AE$505,"○")&gt;0,1,0))</f>
        <v/>
      </c>
      <c r="AT25">
        <f>IF(AT$4=0,0,IF(COUNTIFS(実績!$W$6:$W$505,AT$3,実績!$AC$6:$AC$505,"&lt;="&amp;$A25,実績!$AD$6:$AD$505,"&gt;"&amp;$A25,実績!$AE$6:$AE$505,"○")&gt;0,1,0))</f>
        <v/>
      </c>
      <c r="AU25">
        <f>IF(AU$4=0,0,IF(COUNTIFS(実績!$W$6:$W$505,AU$3,実績!$AC$6:$AC$505,"&lt;="&amp;$A25,実績!$AD$6:$AD$505,"&gt;"&amp;$A25,実績!$AE$6:$AE$505,"○")&gt;0,1,0))</f>
        <v/>
      </c>
      <c r="AV25">
        <f>IF(AV$4=0,0,IF(COUNTIFS(実績!$W$6:$W$505,AV$3,実績!$AC$6:$AC$505,"&lt;="&amp;$A25,実績!$AD$6:$AD$505,"&gt;"&amp;$A25,実績!$AE$6:$AE$505,"○")&gt;0,1,0))</f>
        <v/>
      </c>
      <c r="AW25">
        <f>IF(AW$4=0,0,IF(COUNTIFS(実績!$W$6:$W$505,AW$3,実績!$AC$6:$AC$505,"&lt;="&amp;$A25,実績!$AD$6:$AD$505,"&gt;"&amp;$A25,実績!$AE$6:$AE$505,"○")&gt;0,1,0))</f>
        <v/>
      </c>
      <c r="AX25">
        <f>IF(AX$4=0,0,IF(COUNTIFS(実績!$W$6:$W$505,AX$3,実績!$AC$6:$AC$505,"&lt;="&amp;$A25,実績!$AD$6:$AD$505,"&gt;"&amp;$A25,実績!$AE$6:$AE$505,"○")&gt;0,1,0))</f>
        <v/>
      </c>
      <c r="AY25">
        <f>IF(AY$4=0,0,IF(COUNTIFS(実績!$W$6:$W$505,AY$3,実績!$AC$6:$AC$505,"&lt;="&amp;$A25,実績!$AD$6:$AD$505,"&gt;"&amp;$A25,実績!$AE$6:$AE$505,"○")&gt;0,1,0))</f>
        <v/>
      </c>
      <c r="AZ25">
        <f>IF(AZ$4=0,0,IF(COUNTIFS(実績!$W$6:$W$505,AZ$3,実績!$AC$6:$AC$505,"&lt;="&amp;$A25,実績!$AD$6:$AD$505,"&gt;"&amp;$A25,実績!$AE$6:$AE$505,"○")&gt;0,1,0))</f>
        <v/>
      </c>
      <c r="BA25">
        <f>IF(BA$4=0,0,IF(COUNTIFS(実績!$W$6:$W$505,BA$3,実績!$AC$6:$AC$505,"&lt;="&amp;$A25,実績!$AD$6:$AD$505,"&gt;"&amp;$A25,実績!$AE$6:$AE$505,"○")&gt;0,1,0))</f>
        <v/>
      </c>
      <c r="BB25">
        <f>IF(BB$4=0,0,IF(COUNTIFS(実績!$W$6:$W$505,BB$3,実績!$AC$6:$AC$505,"&lt;="&amp;$A25,実績!$AD$6:$AD$505,"&gt;"&amp;$A25,実績!$AE$6:$AE$505,"○")&gt;0,1,0))</f>
        <v/>
      </c>
      <c r="BC25">
        <f>IF(BC$4=0,0,IF(COUNTIFS(実績!$W$6:$W$505,BC$3,実績!$AC$6:$AC$505,"&lt;="&amp;$A25,実績!$AD$6:$AD$505,"&gt;"&amp;$A25,実績!$AE$6:$AE$505,"○")&gt;0,1,0))</f>
        <v/>
      </c>
      <c r="BD25">
        <f>IF(BD$4=0,0,IF(COUNTIFS(実績!$W$6:$W$505,BD$3,実績!$AC$6:$AC$505,"&lt;="&amp;$A25,実績!$AD$6:$AD$505,"&gt;"&amp;$A25,実績!$AE$6:$AE$505,"○")&gt;0,1,0))</f>
        <v/>
      </c>
      <c r="BE25">
        <f>IF(BE$4=0,0,IF(COUNTIFS(実績!$W$6:$W$505,BE$3,実績!$AC$6:$AC$505,"&lt;="&amp;$A25,実績!$AD$6:$AD$505,"&gt;"&amp;$A25,実績!$AE$6:$AE$505,"○")&gt;0,1,0))</f>
        <v/>
      </c>
      <c r="BF25">
        <f>IF(BF$4=0,0,IF(COUNTIFS(実績!$W$6:$W$505,BF$3,実績!$AC$6:$AC$505,"&lt;="&amp;$A25,実績!$AD$6:$AD$505,"&gt;"&amp;$A25,実績!$AE$6:$AE$505,"○")&gt;0,1,0))</f>
        <v/>
      </c>
      <c r="BG25">
        <f>IF(BG$4=0,0,IF(COUNTIFS(実績!$W$6:$W$505,BG$3,実績!$AC$6:$AC$505,"&lt;="&amp;$A25,実績!$AD$6:$AD$505,"&gt;"&amp;$A25,実績!$AE$6:$AE$505,"○")&gt;0,1,0))</f>
        <v/>
      </c>
      <c r="BH25">
        <f>IF(BH$4=0,0,IF(COUNTIFS(実績!$W$6:$W$505,BH$3,実績!$AC$6:$AC$505,"&lt;="&amp;$A25,実績!$AD$6:$AD$505,"&gt;"&amp;$A25,実績!$AE$6:$AE$505,"○")&gt;0,1,0))</f>
        <v/>
      </c>
      <c r="BI25">
        <f>IF(BI$4=0,0,IF(COUNTIFS(実績!$W$6:$W$505,BI$3,実績!$AC$6:$AC$505,"&lt;="&amp;$A25,実績!$AD$6:$AD$505,"&gt;"&amp;$A25,実績!$AE$6:$AE$505,"○")&gt;0,1,0))</f>
        <v/>
      </c>
      <c r="BJ25">
        <f>IF(BJ$4=0,0,IF(COUNTIFS(実績!$W$6:$W$505,BJ$3,実績!$AC$6:$AC$505,"&lt;="&amp;$A25,実績!$AD$6:$AD$505,"&gt;"&amp;$A25,実績!$AE$6:$AE$505,"○")&gt;0,1,0))</f>
        <v/>
      </c>
      <c r="BK25">
        <f>IF(BK$4=0,0,IF(COUNTIFS(実績!$W$6:$W$505,BK$3,実績!$AC$6:$AC$505,"&lt;="&amp;$A25,実績!$AD$6:$AD$505,"&gt;"&amp;$A25,実績!$AE$6:$AE$505,"○")&gt;0,1,0))</f>
        <v/>
      </c>
      <c r="BL25">
        <f>IF(BL$4=0,0,IF(COUNTIFS(実績!$W$6:$W$505,BL$3,実績!$AC$6:$AC$505,"&lt;="&amp;$A25,実績!$AD$6:$AD$505,"&gt;"&amp;$A25,実績!$AE$6:$AE$505,"○")&gt;0,1,0))</f>
        <v/>
      </c>
      <c r="BM25">
        <f>IF(BM$4=0,0,IF(COUNTIFS(実績!$W$6:$W$505,BM$3,実績!$AC$6:$AC$505,"&lt;="&amp;$A25,実績!$AD$6:$AD$505,"&gt;"&amp;$A25,実績!$AE$6:$AE$505,"○")&gt;0,1,0))</f>
        <v/>
      </c>
      <c r="BN25">
        <f>IF(BN$4=0,0,IF(COUNTIFS(実績!$W$6:$W$505,BN$3,実績!$AC$6:$AC$505,"&lt;="&amp;$A25,実績!$AD$6:$AD$505,"&gt;"&amp;$A25,実績!$AE$6:$AE$505,"○")&gt;0,1,0))</f>
        <v/>
      </c>
      <c r="BO25">
        <f>IF(BO$4=0,0,IF(COUNTIFS(実績!$W$6:$W$505,BO$3,実績!$AC$6:$AC$505,"&lt;="&amp;$A25,実績!$AD$6:$AD$505,"&gt;"&amp;$A25,実績!$AE$6:$AE$505,"○")&gt;0,1,0))</f>
        <v/>
      </c>
      <c r="BP25">
        <f>IF(BP$4=0,0,IF(COUNTIFS(実績!$W$6:$W$505,BP$3,実績!$AC$6:$AC$505,"&lt;="&amp;$A25,実績!$AD$6:$AD$505,"&gt;"&amp;$A25,実績!$AE$6:$AE$505,"○")&gt;0,1,0))</f>
        <v/>
      </c>
      <c r="BQ25">
        <f>IF(BQ$4=0,0,IF(COUNTIFS(実績!$W$6:$W$505,BQ$3,実績!$AC$6:$AC$505,"&lt;="&amp;$A25,実績!$AD$6:$AD$505,"&gt;"&amp;$A25,実績!$AE$6:$AE$505,"○")&gt;0,1,0))</f>
        <v/>
      </c>
      <c r="BR25">
        <f>IF(BR$4=0,0,IF(COUNTIFS(実績!$W$6:$W$505,BR$3,実績!$AC$6:$AC$505,"&lt;="&amp;$A25,実績!$AD$6:$AD$505,"&gt;"&amp;$A25,実績!$AE$6:$AE$505,"○")&gt;0,1,0))</f>
        <v/>
      </c>
      <c r="BS25">
        <f>IF(BS$4=0,0,IF(COUNTIFS(実績!$W$6:$W$505,BS$3,実績!$AC$6:$AC$505,"&lt;="&amp;$A25,実績!$AD$6:$AD$505,"&gt;"&amp;$A25,実績!$AE$6:$AE$505,"○")&gt;0,1,0))</f>
        <v/>
      </c>
      <c r="BT25">
        <f>IF(BT$4=0,0,IF(COUNTIFS(実績!$W$6:$W$505,BT$3,実績!$AC$6:$AC$505,"&lt;="&amp;$A25,実績!$AD$6:$AD$505,"&gt;"&amp;$A25,実績!$AE$6:$AE$505,"○")&gt;0,1,0))</f>
        <v/>
      </c>
      <c r="BU25">
        <f>IF(BU$4=0,0,IF(COUNTIFS(実績!$W$6:$W$505,BU$3,実績!$AC$6:$AC$505,"&lt;="&amp;$A25,実績!$AD$6:$AD$505,"&gt;"&amp;$A25,実績!$AE$6:$AE$505,"○")&gt;0,1,0))</f>
        <v/>
      </c>
      <c r="BV25">
        <f>IF(BV$4=0,0,IF(COUNTIFS(実績!$W$6:$W$505,BV$3,実績!$AC$6:$AC$505,"&lt;="&amp;$A25,実績!$AD$6:$AD$505,"&gt;"&amp;$A25,実績!$AE$6:$AE$505,"○")&gt;0,1,0))</f>
        <v/>
      </c>
      <c r="BW25">
        <f>IF(BW$4=0,0,IF(COUNTIFS(実績!$W$6:$W$505,BW$3,実績!$AC$6:$AC$505,"&lt;="&amp;$A25,実績!$AD$6:$AD$505,"&gt;"&amp;$A25,実績!$AE$6:$AE$505,"○")&gt;0,1,0))</f>
        <v/>
      </c>
      <c r="BX25">
        <f>IF(BX$4=0,0,IF(COUNTIFS(実績!$W$6:$W$505,BX$3,実績!$AC$6:$AC$505,"&lt;="&amp;$A25,実績!$AD$6:$AD$505,"&gt;"&amp;$A25,実績!$AE$6:$AE$505,"○")&gt;0,1,0))</f>
        <v/>
      </c>
      <c r="BY25">
        <f>IF(BY$4=0,0,IF(COUNTIFS(実績!$W$6:$W$505,BY$3,実績!$AC$6:$AC$505,"&lt;="&amp;$A25,実績!$AD$6:$AD$505,"&gt;"&amp;$A25,実績!$AE$6:$AE$505,"○")&gt;0,1,0))</f>
        <v/>
      </c>
      <c r="BZ25">
        <f>IF(BZ$4=0,0,IF(COUNTIFS(実績!$W$6:$W$505,BZ$3,実績!$AC$6:$AC$505,"&lt;="&amp;$A25,実績!$AD$6:$AD$505,"&gt;"&amp;$A25,実績!$AE$6:$AE$505,"○")&gt;0,1,0))</f>
        <v/>
      </c>
      <c r="CA25">
        <f>IF(CA$4=0,0,IF(COUNTIFS(実績!$W$6:$W$505,CA$3,実績!$AC$6:$AC$505,"&lt;="&amp;$A25,実績!$AD$6:$AD$505,"&gt;"&amp;$A25,実績!$AE$6:$AE$505,"○")&gt;0,1,0))</f>
        <v/>
      </c>
      <c r="CB25">
        <f>IF(CB$4=0,0,IF(COUNTIFS(実績!$W$6:$W$505,CB$3,実績!$AC$6:$AC$505,"&lt;="&amp;$A25,実績!$AD$6:$AD$505,"&gt;"&amp;$A25,実績!$AE$6:$AE$505,"○")&gt;0,1,0))</f>
        <v/>
      </c>
      <c r="CC25">
        <f>IF(CC$4=0,0,IF(COUNTIFS(実績!$W$6:$W$505,CC$3,実績!$AC$6:$AC$505,"&lt;="&amp;$A25,実績!$AD$6:$AD$505,"&gt;"&amp;$A25,実績!$AE$6:$AE$505,"○")&gt;0,1,0))</f>
        <v/>
      </c>
      <c r="CD25">
        <f>IF(CD$4=0,0,IF(COUNTIFS(実績!$W$6:$W$505,CD$3,実績!$AC$6:$AC$505,"&lt;="&amp;$A25,実績!$AD$6:$AD$505,"&gt;"&amp;$A25,実績!$AE$6:$AE$505,"○")&gt;0,1,0))</f>
        <v/>
      </c>
      <c r="CE25">
        <f>IF(CE$4=0,0,IF(COUNTIFS(実績!$W$6:$W$505,CE$3,実績!$AC$6:$AC$505,"&lt;="&amp;$A25,実績!$AD$6:$AD$505,"&gt;"&amp;$A25,実績!$AE$6:$AE$505,"○")&gt;0,1,0))</f>
        <v/>
      </c>
      <c r="CF25">
        <f>IF(CF$4=0,0,IF(COUNTIFS(実績!$W$6:$W$505,CF$3,実績!$AC$6:$AC$505,"&lt;="&amp;$A25,実績!$AD$6:$AD$505,"&gt;"&amp;$A25,実績!$AE$6:$AE$505,"○")&gt;0,1,0))</f>
        <v/>
      </c>
      <c r="CG25">
        <f>IF(CG$4=0,0,IF(COUNTIFS(実績!$W$6:$W$505,CG$3,実績!$AC$6:$AC$505,"&lt;="&amp;$A25,実績!$AD$6:$AD$505,"&gt;"&amp;$A25,実績!$AE$6:$AE$505,"○")&gt;0,1,0))</f>
        <v/>
      </c>
      <c r="CH25">
        <f>IF(CH$4=0,0,IF(COUNTIFS(実績!$W$6:$W$505,CH$3,実績!$AC$6:$AC$505,"&lt;="&amp;$A25,実績!$AD$6:$AD$505,"&gt;"&amp;$A25,実績!$AE$6:$AE$505,"○")&gt;0,1,0))</f>
        <v/>
      </c>
      <c r="CI25">
        <f>IF(CI$4=0,0,IF(COUNTIFS(実績!$W$6:$W$505,CI$3,実績!$AC$6:$AC$505,"&lt;="&amp;$A25,実績!$AD$6:$AD$505,"&gt;"&amp;$A25,実績!$AE$6:$AE$505,"○")&gt;0,1,0))</f>
        <v/>
      </c>
      <c r="CJ25">
        <f>IF(CJ$4=0,0,IF(COUNTIFS(実績!$W$6:$W$505,CJ$3,実績!$AC$6:$AC$505,"&lt;="&amp;$A25,実績!$AD$6:$AD$505,"&gt;"&amp;$A25,実績!$AE$6:$AE$505,"○")&gt;0,1,0))</f>
        <v/>
      </c>
      <c r="CK25">
        <f>IF(CK$4=0,0,IF(COUNTIFS(実績!$W$6:$W$505,CK$3,実績!$AC$6:$AC$505,"&lt;="&amp;$A25,実績!$AD$6:$AD$505,"&gt;"&amp;$A25,実績!$AE$6:$AE$505,"○")&gt;0,1,0))</f>
        <v/>
      </c>
      <c r="CL25">
        <f>IF(CL$4=0,0,IF(COUNTIFS(実績!$W$6:$W$505,CL$3,実績!$AC$6:$AC$505,"&lt;="&amp;$A25,実績!$AD$6:$AD$505,"&gt;"&amp;$A25,実績!$AE$6:$AE$505,"○")&gt;0,1,0))</f>
        <v/>
      </c>
      <c r="CM25">
        <f>IF(CM$4=0,0,IF(COUNTIFS(実績!$W$6:$W$505,CM$3,実績!$AC$6:$AC$505,"&lt;="&amp;$A25,実績!$AD$6:$AD$505,"&gt;"&amp;$A25,実績!$AE$6:$AE$505,"○")&gt;0,1,0))</f>
        <v/>
      </c>
      <c r="CN25">
        <f>IF(CN$4=0,0,IF(COUNTIFS(実績!$W$6:$W$505,CN$3,実績!$AC$6:$AC$505,"&lt;="&amp;$A25,実績!$AD$6:$AD$505,"&gt;"&amp;$A25,実績!$AE$6:$AE$505,"○")&gt;0,1,0))</f>
        <v/>
      </c>
      <c r="CO25">
        <f>IF(CO$4=0,0,IF(COUNTIFS(実績!$W$6:$W$505,CO$3,実績!$AC$6:$AC$505,"&lt;="&amp;$A25,実績!$AD$6:$AD$505,"&gt;"&amp;$A25,実績!$AE$6:$AE$505,"○")&gt;0,1,0))</f>
        <v/>
      </c>
      <c r="CP25">
        <f>IF(CP$4=0,0,IF(COUNTIFS(実績!$W$6:$W$505,CP$3,実績!$AC$6:$AC$505,"&lt;="&amp;$A25,実績!$AD$6:$AD$505,"&gt;"&amp;$A25,実績!$AE$6:$AE$505,"○")&gt;0,1,0))</f>
        <v/>
      </c>
      <c r="CQ25">
        <f>IF(CQ$4=0,0,IF(COUNTIFS(実績!$W$6:$W$505,CQ$3,実績!$AC$6:$AC$505,"&lt;="&amp;$A25,実績!$AD$6:$AD$505,"&gt;"&amp;$A25,実績!$AE$6:$AE$505,"○")&gt;0,1,0))</f>
        <v/>
      </c>
      <c r="CR25">
        <f>IF(CR$4=0,0,IF(COUNTIFS(実績!$W$6:$W$505,CR$3,実績!$AC$6:$AC$505,"&lt;="&amp;$A25,実績!$AD$6:$AD$505,"&gt;"&amp;$A25,実績!$AE$6:$AE$505,"○")&gt;0,1,0))</f>
        <v/>
      </c>
      <c r="CS25">
        <f>IF(CS$4=0,0,IF(COUNTIFS(実績!$W$6:$W$505,CS$3,実績!$AC$6:$AC$505,"&lt;="&amp;$A25,実績!$AD$6:$AD$505,"&gt;"&amp;$A25,実績!$AE$6:$AE$505,"○")&gt;0,1,0))</f>
        <v/>
      </c>
      <c r="CT25">
        <f>IF(CT$4=0,0,IF(COUNTIFS(実績!$W$6:$W$505,CT$3,実績!$AC$6:$AC$505,"&lt;="&amp;$A25,実績!$AD$6:$AD$505,"&gt;"&amp;$A25,実績!$AE$6:$AE$505,"○")&gt;0,1,0))</f>
        <v/>
      </c>
      <c r="CU25">
        <f>IF(CU$4=0,0,IF(COUNTIFS(実績!$W$6:$W$505,CU$3,実績!$AC$6:$AC$505,"&lt;="&amp;$A25,実績!$AD$6:$AD$505,"&gt;"&amp;$A25,実績!$AE$6:$AE$505,"○")&gt;0,1,0))</f>
        <v/>
      </c>
      <c r="CV25">
        <f>IF(CV$4=0,0,IF(COUNTIFS(実績!$W$6:$W$505,CV$3,実績!$AC$6:$AC$505,"&lt;="&amp;$A25,実績!$AD$6:$AD$505,"&gt;"&amp;$A25,実績!$AE$6:$AE$505,"○")&gt;0,1,0))</f>
        <v/>
      </c>
      <c r="CW25">
        <f>IF(CW$4=0,0,IF(COUNTIFS(実績!$W$6:$W$505,CW$3,実績!$AC$6:$AC$505,"&lt;="&amp;$A25,実績!$AD$6:$AD$505,"&gt;"&amp;$A25,実績!$AE$6:$AE$505,"○")&gt;0,1,0))</f>
        <v/>
      </c>
      <c r="CX25">
        <f>IF(CX$4=0,0,IF(COUNTIFS(実績!$W$6:$W$505,CX$3,実績!$AC$6:$AC$505,"&lt;="&amp;$A25,実績!$AD$6:$AD$505,"&gt;"&amp;$A25,実績!$AE$6:$AE$505,"○")&gt;0,1,0))</f>
        <v/>
      </c>
      <c r="CY25">
        <f>IF(CY$4=0,0,IF(COUNTIFS(実績!$W$6:$W$505,CY$3,実績!$AC$6:$AC$505,"&lt;="&amp;$A25,実績!$AD$6:$AD$505,"&gt;"&amp;$A25,実績!$AE$6:$AE$505,"○")&gt;0,1,0))</f>
        <v/>
      </c>
      <c r="CZ25">
        <f>IF(CZ$4=0,0,IF(COUNTIFS(実績!$W$6:$W$505,CZ$3,実績!$AC$6:$AC$505,"&lt;="&amp;$A25,実績!$AD$6:$AD$505,"&gt;"&amp;$A25,実績!$AE$6:$AE$505,"○")&gt;0,1,0))</f>
        <v/>
      </c>
      <c r="DA25">
        <f>IF(DA$4=0,0,IF(COUNTIFS(実績!$W$6:$W$505,DA$3,実績!$AC$6:$AC$505,"&lt;="&amp;$A25,実績!$AD$6:$AD$505,"&gt;"&amp;$A25,実績!$AE$6:$AE$505,"○")&gt;0,1,0))</f>
        <v/>
      </c>
      <c r="DB25">
        <f>IF(DB$4=0,0,IF(COUNTIFS(実績!$W$6:$W$505,DB$3,実績!$AC$6:$AC$505,"&lt;="&amp;$A25,実績!$AD$6:$AD$505,"&gt;"&amp;$A25,実績!$AE$6:$AE$505,"○")&gt;0,1,0))</f>
        <v/>
      </c>
      <c r="DC25">
        <f>IF(DC$4=0,0,IF(COUNTIFS(実績!$W$6:$W$505,DC$3,実績!$AC$6:$AC$505,"&lt;="&amp;$A25,実績!$AD$6:$AD$505,"&gt;"&amp;$A25,実績!$AE$6:$AE$505,"○")&gt;0,1,0))</f>
        <v/>
      </c>
      <c r="DD25">
        <f>IF(DD$4=0,0,IF(COUNTIFS(実績!$W$6:$W$505,DD$3,実績!$AC$6:$AC$505,"&lt;="&amp;$A25,実績!$AD$6:$AD$505,"&gt;"&amp;$A25,実績!$AE$6:$AE$505,"○")&gt;0,1,0))</f>
        <v/>
      </c>
      <c r="DE25">
        <f>IF(DE$4=0,0,IF(COUNTIFS(実績!$W$6:$W$505,DE$3,実績!$AC$6:$AC$505,"&lt;="&amp;$A25,実績!$AD$6:$AD$505,"&gt;"&amp;$A25,実績!$AE$6:$AE$505,"○")&gt;0,1,0))</f>
        <v/>
      </c>
      <c r="DF25">
        <f>IF(DF$4=0,0,IF(COUNTIFS(実績!$W$6:$W$505,DF$3,実績!$AC$6:$AC$505,"&lt;="&amp;$A25,実績!$AD$6:$AD$505,"&gt;"&amp;$A25,実績!$AE$6:$AE$505,"○")&gt;0,1,0))</f>
        <v/>
      </c>
      <c r="DG25">
        <f>IF(DG$4=0,0,IF(COUNTIFS(実績!$W$6:$W$505,DG$3,実績!$AC$6:$AC$505,"&lt;="&amp;$A25,実績!$AD$6:$AD$505,"&gt;"&amp;$A25,実績!$AE$6:$AE$505,"○")&gt;0,1,0))</f>
        <v/>
      </c>
      <c r="DH25">
        <f>IF(DH$4=0,0,IF(COUNTIFS(実績!$W$6:$W$505,DH$3,実績!$AC$6:$AC$505,"&lt;="&amp;$A25,実績!$AD$6:$AD$505,"&gt;"&amp;$A25,実績!$AE$6:$AE$505,"○")&gt;0,1,0))</f>
        <v/>
      </c>
      <c r="DI25">
        <f>IF(DI$4=0,0,IF(COUNTIFS(実績!$W$6:$W$505,DI$3,実績!$AC$6:$AC$505,"&lt;="&amp;$A25,実績!$AD$6:$AD$505,"&gt;"&amp;$A25,実績!$AE$6:$AE$505,"○")&gt;0,1,0))</f>
        <v/>
      </c>
      <c r="DJ25">
        <f>IF(DJ$4=0,0,IF(COUNTIFS(実績!$W$6:$W$505,DJ$3,実績!$AC$6:$AC$505,"&lt;="&amp;$A25,実績!$AD$6:$AD$505,"&gt;"&amp;$A25,実績!$AE$6:$AE$505,"○")&gt;0,1,0))</f>
        <v/>
      </c>
      <c r="DK25">
        <f>IF(DK$4=0,0,IF(COUNTIFS(実績!$W$6:$W$505,DK$3,実績!$AC$6:$AC$505,"&lt;="&amp;$A25,実績!$AD$6:$AD$505,"&gt;"&amp;$A25,実績!$AE$6:$AE$505,"○")&gt;0,1,0))</f>
        <v/>
      </c>
      <c r="DL25">
        <f>IF(DL$4=0,0,IF(COUNTIFS(実績!$W$6:$W$505,DL$3,実績!$AC$6:$AC$505,"&lt;="&amp;$A25,実績!$AD$6:$AD$505,"&gt;"&amp;$A25,実績!$AE$6:$AE$505,"○")&gt;0,1,0))</f>
        <v/>
      </c>
      <c r="DM25">
        <f>IF(DM$4=0,0,IF(COUNTIFS(実績!$W$6:$W$505,DM$3,実績!$AC$6:$AC$505,"&lt;="&amp;$A25,実績!$AD$6:$AD$505,"&gt;"&amp;$A25,実績!$AE$6:$AE$505,"○")&gt;0,1,0))</f>
        <v/>
      </c>
      <c r="DN25">
        <f>IF(DN$4=0,0,IF(COUNTIFS(実績!$W$6:$W$505,DN$3,実績!$AC$6:$AC$505,"&lt;="&amp;$A25,実績!$AD$6:$AD$505,"&gt;"&amp;$A25,実績!$AE$6:$AE$505,"○")&gt;0,1,0))</f>
        <v/>
      </c>
      <c r="DO25">
        <f>IF(DO$4=0,0,IF(COUNTIFS(実績!$W$6:$W$505,DO$3,実績!$AC$6:$AC$505,"&lt;="&amp;$A25,実績!$AD$6:$AD$505,"&gt;"&amp;$A25,実績!$AE$6:$AE$505,"○")&gt;0,1,0))</f>
        <v/>
      </c>
      <c r="DP25">
        <f>IF(DP$4=0,0,IF(COUNTIFS(実績!$W$6:$W$505,DP$3,実績!$AC$6:$AC$505,"&lt;="&amp;$A25,実績!$AD$6:$AD$505,"&gt;"&amp;$A25,実績!$AE$6:$AE$505,"○")&gt;0,1,0))</f>
        <v/>
      </c>
      <c r="DQ25">
        <f>IF(DQ$4=0,0,IF(COUNTIFS(実績!$W$6:$W$505,DQ$3,実績!$AC$6:$AC$505,"&lt;="&amp;$A25,実績!$AD$6:$AD$505,"&gt;"&amp;$A25,実績!$AE$6:$AE$505,"○")&gt;0,1,0))</f>
        <v/>
      </c>
      <c r="DR25">
        <f>IF(DR$4=0,0,IF(COUNTIFS(実績!$W$6:$W$505,DR$3,実績!$AC$6:$AC$505,"&lt;="&amp;$A25,実績!$AD$6:$AD$505,"&gt;"&amp;$A25,実績!$AE$6:$AE$505,"○")&gt;0,1,0))</f>
        <v/>
      </c>
      <c r="DS25">
        <f>SUM(C25:DR25)</f>
        <v/>
      </c>
      <c r="DT25">
        <f>SUMPRODUCT((実績!$C$6:$C$505="○")*ISNUMBER(実績!$AF$6:$AF$505)*(実績!$AF$6:$AF$505&lt;=$A25)*(実績!$AG$6:$AG$505&gt;$A25))</f>
        <v/>
      </c>
      <c r="DU25">
        <f>SUMIF($C$2:$DR$2,"製鉄曳船",C25:DR25)</f>
        <v/>
      </c>
      <c r="DV25">
        <f>SUMIF($C$2:$DR$2,"西日本海運",C25:DR25)</f>
        <v/>
      </c>
    </row>
    <row r="26">
      <c r="A26" t="n">
        <v>100</v>
      </c>
      <c r="B26" s="29">
        <f>A26/1440</f>
        <v/>
      </c>
      <c r="C26">
        <f>IF(C$4=0,0,IF(COUNTIFS(実績!$W$6:$W$505,C$3,実績!$AC$6:$AC$505,"&lt;="&amp;$A26,実績!$AD$6:$AD$505,"&gt;"&amp;$A26,実績!$AE$6:$AE$505,"○")&gt;0,1,0))</f>
        <v/>
      </c>
      <c r="D26">
        <f>IF(D$4=0,0,IF(COUNTIFS(実績!$W$6:$W$505,D$3,実績!$AC$6:$AC$505,"&lt;="&amp;$A26,実績!$AD$6:$AD$505,"&gt;"&amp;$A26,実績!$AE$6:$AE$505,"○")&gt;0,1,0))</f>
        <v/>
      </c>
      <c r="E26">
        <f>IF(E$4=0,0,IF(COUNTIFS(実績!$W$6:$W$505,E$3,実績!$AC$6:$AC$505,"&lt;="&amp;$A26,実績!$AD$6:$AD$505,"&gt;"&amp;$A26,実績!$AE$6:$AE$505,"○")&gt;0,1,0))</f>
        <v/>
      </c>
      <c r="F26">
        <f>IF(F$4=0,0,IF(COUNTIFS(実績!$W$6:$W$505,F$3,実績!$AC$6:$AC$505,"&lt;="&amp;$A26,実績!$AD$6:$AD$505,"&gt;"&amp;$A26,実績!$AE$6:$AE$505,"○")&gt;0,1,0))</f>
        <v/>
      </c>
      <c r="G26">
        <f>IF(G$4=0,0,IF(COUNTIFS(実績!$W$6:$W$505,G$3,実績!$AC$6:$AC$505,"&lt;="&amp;$A26,実績!$AD$6:$AD$505,"&gt;"&amp;$A26,実績!$AE$6:$AE$505,"○")&gt;0,1,0))</f>
        <v/>
      </c>
      <c r="H26">
        <f>IF(H$4=0,0,IF(COUNTIFS(実績!$W$6:$W$505,H$3,実績!$AC$6:$AC$505,"&lt;="&amp;$A26,実績!$AD$6:$AD$505,"&gt;"&amp;$A26,実績!$AE$6:$AE$505,"○")&gt;0,1,0))</f>
        <v/>
      </c>
      <c r="I26">
        <f>IF(I$4=0,0,IF(COUNTIFS(実績!$W$6:$W$505,I$3,実績!$AC$6:$AC$505,"&lt;="&amp;$A26,実績!$AD$6:$AD$505,"&gt;"&amp;$A26,実績!$AE$6:$AE$505,"○")&gt;0,1,0))</f>
        <v/>
      </c>
      <c r="J26">
        <f>IF(J$4=0,0,IF(COUNTIFS(実績!$W$6:$W$505,J$3,実績!$AC$6:$AC$505,"&lt;="&amp;$A26,実績!$AD$6:$AD$505,"&gt;"&amp;$A26,実績!$AE$6:$AE$505,"○")&gt;0,1,0))</f>
        <v/>
      </c>
      <c r="K26">
        <f>IF(K$4=0,0,IF(COUNTIFS(実績!$W$6:$W$505,K$3,実績!$AC$6:$AC$505,"&lt;="&amp;$A26,実績!$AD$6:$AD$505,"&gt;"&amp;$A26,実績!$AE$6:$AE$505,"○")&gt;0,1,0))</f>
        <v/>
      </c>
      <c r="L26">
        <f>IF(L$4=0,0,IF(COUNTIFS(実績!$W$6:$W$505,L$3,実績!$AC$6:$AC$505,"&lt;="&amp;$A26,実績!$AD$6:$AD$505,"&gt;"&amp;$A26,実績!$AE$6:$AE$505,"○")&gt;0,1,0))</f>
        <v/>
      </c>
      <c r="M26">
        <f>IF(M$4=0,0,IF(COUNTIFS(実績!$W$6:$W$505,M$3,実績!$AC$6:$AC$505,"&lt;="&amp;$A26,実績!$AD$6:$AD$505,"&gt;"&amp;$A26,実績!$AE$6:$AE$505,"○")&gt;0,1,0))</f>
        <v/>
      </c>
      <c r="N26">
        <f>IF(N$4=0,0,IF(COUNTIFS(実績!$W$6:$W$505,N$3,実績!$AC$6:$AC$505,"&lt;="&amp;$A26,実績!$AD$6:$AD$505,"&gt;"&amp;$A26,実績!$AE$6:$AE$505,"○")&gt;0,1,0))</f>
        <v/>
      </c>
      <c r="O26">
        <f>IF(O$4=0,0,IF(COUNTIFS(実績!$W$6:$W$505,O$3,実績!$AC$6:$AC$505,"&lt;="&amp;$A26,実績!$AD$6:$AD$505,"&gt;"&amp;$A26,実績!$AE$6:$AE$505,"○")&gt;0,1,0))</f>
        <v/>
      </c>
      <c r="P26">
        <f>IF(P$4=0,0,IF(COUNTIFS(実績!$W$6:$W$505,P$3,実績!$AC$6:$AC$505,"&lt;="&amp;$A26,実績!$AD$6:$AD$505,"&gt;"&amp;$A26,実績!$AE$6:$AE$505,"○")&gt;0,1,0))</f>
        <v/>
      </c>
      <c r="Q26">
        <f>IF(Q$4=0,0,IF(COUNTIFS(実績!$W$6:$W$505,Q$3,実績!$AC$6:$AC$505,"&lt;="&amp;$A26,実績!$AD$6:$AD$505,"&gt;"&amp;$A26,実績!$AE$6:$AE$505,"○")&gt;0,1,0))</f>
        <v/>
      </c>
      <c r="R26">
        <f>IF(R$4=0,0,IF(COUNTIFS(実績!$W$6:$W$505,R$3,実績!$AC$6:$AC$505,"&lt;="&amp;$A26,実績!$AD$6:$AD$505,"&gt;"&amp;$A26,実績!$AE$6:$AE$505,"○")&gt;0,1,0))</f>
        <v/>
      </c>
      <c r="S26">
        <f>IF(S$4=0,0,IF(COUNTIFS(実績!$W$6:$W$505,S$3,実績!$AC$6:$AC$505,"&lt;="&amp;$A26,実績!$AD$6:$AD$505,"&gt;"&amp;$A26,実績!$AE$6:$AE$505,"○")&gt;0,1,0))</f>
        <v/>
      </c>
      <c r="T26">
        <f>IF(T$4=0,0,IF(COUNTIFS(実績!$W$6:$W$505,T$3,実績!$AC$6:$AC$505,"&lt;="&amp;$A26,実績!$AD$6:$AD$505,"&gt;"&amp;$A26,実績!$AE$6:$AE$505,"○")&gt;0,1,0))</f>
        <v/>
      </c>
      <c r="U26">
        <f>IF(U$4=0,0,IF(COUNTIFS(実績!$W$6:$W$505,U$3,実績!$AC$6:$AC$505,"&lt;="&amp;$A26,実績!$AD$6:$AD$505,"&gt;"&amp;$A26,実績!$AE$6:$AE$505,"○")&gt;0,1,0))</f>
        <v/>
      </c>
      <c r="V26">
        <f>IF(V$4=0,0,IF(COUNTIFS(実績!$W$6:$W$505,V$3,実績!$AC$6:$AC$505,"&lt;="&amp;$A26,実績!$AD$6:$AD$505,"&gt;"&amp;$A26,実績!$AE$6:$AE$505,"○")&gt;0,1,0))</f>
        <v/>
      </c>
      <c r="W26">
        <f>IF(W$4=0,0,IF(COUNTIFS(実績!$W$6:$W$505,W$3,実績!$AC$6:$AC$505,"&lt;="&amp;$A26,実績!$AD$6:$AD$505,"&gt;"&amp;$A26,実績!$AE$6:$AE$505,"○")&gt;0,1,0))</f>
        <v/>
      </c>
      <c r="X26">
        <f>IF(X$4=0,0,IF(COUNTIFS(実績!$W$6:$W$505,X$3,実績!$AC$6:$AC$505,"&lt;="&amp;$A26,実績!$AD$6:$AD$505,"&gt;"&amp;$A26,実績!$AE$6:$AE$505,"○")&gt;0,1,0))</f>
        <v/>
      </c>
      <c r="Y26">
        <f>IF(Y$4=0,0,IF(COUNTIFS(実績!$W$6:$W$505,Y$3,実績!$AC$6:$AC$505,"&lt;="&amp;$A26,実績!$AD$6:$AD$505,"&gt;"&amp;$A26,実績!$AE$6:$AE$505,"○")&gt;0,1,0))</f>
        <v/>
      </c>
      <c r="Z26">
        <f>IF(Z$4=0,0,IF(COUNTIFS(実績!$W$6:$W$505,Z$3,実績!$AC$6:$AC$505,"&lt;="&amp;$A26,実績!$AD$6:$AD$505,"&gt;"&amp;$A26,実績!$AE$6:$AE$505,"○")&gt;0,1,0))</f>
        <v/>
      </c>
      <c r="AA26">
        <f>IF(AA$4=0,0,IF(COUNTIFS(実績!$W$6:$W$505,AA$3,実績!$AC$6:$AC$505,"&lt;="&amp;$A26,実績!$AD$6:$AD$505,"&gt;"&amp;$A26,実績!$AE$6:$AE$505,"○")&gt;0,1,0))</f>
        <v/>
      </c>
      <c r="AB26">
        <f>IF(AB$4=0,0,IF(COUNTIFS(実績!$W$6:$W$505,AB$3,実績!$AC$6:$AC$505,"&lt;="&amp;$A26,実績!$AD$6:$AD$505,"&gt;"&amp;$A26,実績!$AE$6:$AE$505,"○")&gt;0,1,0))</f>
        <v/>
      </c>
      <c r="AC26">
        <f>IF(AC$4=0,0,IF(COUNTIFS(実績!$W$6:$W$505,AC$3,実績!$AC$6:$AC$505,"&lt;="&amp;$A26,実績!$AD$6:$AD$505,"&gt;"&amp;$A26,実績!$AE$6:$AE$505,"○")&gt;0,1,0))</f>
        <v/>
      </c>
      <c r="AD26">
        <f>IF(AD$4=0,0,IF(COUNTIFS(実績!$W$6:$W$505,AD$3,実績!$AC$6:$AC$505,"&lt;="&amp;$A26,実績!$AD$6:$AD$505,"&gt;"&amp;$A26,実績!$AE$6:$AE$505,"○")&gt;0,1,0))</f>
        <v/>
      </c>
      <c r="AE26">
        <f>IF(AE$4=0,0,IF(COUNTIFS(実績!$W$6:$W$505,AE$3,実績!$AC$6:$AC$505,"&lt;="&amp;$A26,実績!$AD$6:$AD$505,"&gt;"&amp;$A26,実績!$AE$6:$AE$505,"○")&gt;0,1,0))</f>
        <v/>
      </c>
      <c r="AF26">
        <f>IF(AF$4=0,0,IF(COUNTIFS(実績!$W$6:$W$505,AF$3,実績!$AC$6:$AC$505,"&lt;="&amp;$A26,実績!$AD$6:$AD$505,"&gt;"&amp;$A26,実績!$AE$6:$AE$505,"○")&gt;0,1,0))</f>
        <v/>
      </c>
      <c r="AG26">
        <f>IF(AG$4=0,0,IF(COUNTIFS(実績!$W$6:$W$505,AG$3,実績!$AC$6:$AC$505,"&lt;="&amp;$A26,実績!$AD$6:$AD$505,"&gt;"&amp;$A26,実績!$AE$6:$AE$505,"○")&gt;0,1,0))</f>
        <v/>
      </c>
      <c r="AH26">
        <f>IF(AH$4=0,0,IF(COUNTIFS(実績!$W$6:$W$505,AH$3,実績!$AC$6:$AC$505,"&lt;="&amp;$A26,実績!$AD$6:$AD$505,"&gt;"&amp;$A26,実績!$AE$6:$AE$505,"○")&gt;0,1,0))</f>
        <v/>
      </c>
      <c r="AI26">
        <f>IF(AI$4=0,0,IF(COUNTIFS(実績!$W$6:$W$505,AI$3,実績!$AC$6:$AC$505,"&lt;="&amp;$A26,実績!$AD$6:$AD$505,"&gt;"&amp;$A26,実績!$AE$6:$AE$505,"○")&gt;0,1,0))</f>
        <v/>
      </c>
      <c r="AJ26">
        <f>IF(AJ$4=0,0,IF(COUNTIFS(実績!$W$6:$W$505,AJ$3,実績!$AC$6:$AC$505,"&lt;="&amp;$A26,実績!$AD$6:$AD$505,"&gt;"&amp;$A26,実績!$AE$6:$AE$505,"○")&gt;0,1,0))</f>
        <v/>
      </c>
      <c r="AK26">
        <f>IF(AK$4=0,0,IF(COUNTIFS(実績!$W$6:$W$505,AK$3,実績!$AC$6:$AC$505,"&lt;="&amp;$A26,実績!$AD$6:$AD$505,"&gt;"&amp;$A26,実績!$AE$6:$AE$505,"○")&gt;0,1,0))</f>
        <v/>
      </c>
      <c r="AL26">
        <f>IF(AL$4=0,0,IF(COUNTIFS(実績!$W$6:$W$505,AL$3,実績!$AC$6:$AC$505,"&lt;="&amp;$A26,実績!$AD$6:$AD$505,"&gt;"&amp;$A26,実績!$AE$6:$AE$505,"○")&gt;0,1,0))</f>
        <v/>
      </c>
      <c r="AM26">
        <f>IF(AM$4=0,0,IF(COUNTIFS(実績!$W$6:$W$505,AM$3,実績!$AC$6:$AC$505,"&lt;="&amp;$A26,実績!$AD$6:$AD$505,"&gt;"&amp;$A26,実績!$AE$6:$AE$505,"○")&gt;0,1,0))</f>
        <v/>
      </c>
      <c r="AN26">
        <f>IF(AN$4=0,0,IF(COUNTIFS(実績!$W$6:$W$505,AN$3,実績!$AC$6:$AC$505,"&lt;="&amp;$A26,実績!$AD$6:$AD$505,"&gt;"&amp;$A26,実績!$AE$6:$AE$505,"○")&gt;0,1,0))</f>
        <v/>
      </c>
      <c r="AO26">
        <f>IF(AO$4=0,0,IF(COUNTIFS(実績!$W$6:$W$505,AO$3,実績!$AC$6:$AC$505,"&lt;="&amp;$A26,実績!$AD$6:$AD$505,"&gt;"&amp;$A26,実績!$AE$6:$AE$505,"○")&gt;0,1,0))</f>
        <v/>
      </c>
      <c r="AP26">
        <f>IF(AP$4=0,0,IF(COUNTIFS(実績!$W$6:$W$505,AP$3,実績!$AC$6:$AC$505,"&lt;="&amp;$A26,実績!$AD$6:$AD$505,"&gt;"&amp;$A26,実績!$AE$6:$AE$505,"○")&gt;0,1,0))</f>
        <v/>
      </c>
      <c r="AQ26">
        <f>IF(AQ$4=0,0,IF(COUNTIFS(実績!$W$6:$W$505,AQ$3,実績!$AC$6:$AC$505,"&lt;="&amp;$A26,実績!$AD$6:$AD$505,"&gt;"&amp;$A26,実績!$AE$6:$AE$505,"○")&gt;0,1,0))</f>
        <v/>
      </c>
      <c r="AR26">
        <f>IF(AR$4=0,0,IF(COUNTIFS(実績!$W$6:$W$505,AR$3,実績!$AC$6:$AC$505,"&lt;="&amp;$A26,実績!$AD$6:$AD$505,"&gt;"&amp;$A26,実績!$AE$6:$AE$505,"○")&gt;0,1,0))</f>
        <v/>
      </c>
      <c r="AS26">
        <f>IF(AS$4=0,0,IF(COUNTIFS(実績!$W$6:$W$505,AS$3,実績!$AC$6:$AC$505,"&lt;="&amp;$A26,実績!$AD$6:$AD$505,"&gt;"&amp;$A26,実績!$AE$6:$AE$505,"○")&gt;0,1,0))</f>
        <v/>
      </c>
      <c r="AT26">
        <f>IF(AT$4=0,0,IF(COUNTIFS(実績!$W$6:$W$505,AT$3,実績!$AC$6:$AC$505,"&lt;="&amp;$A26,実績!$AD$6:$AD$505,"&gt;"&amp;$A26,実績!$AE$6:$AE$505,"○")&gt;0,1,0))</f>
        <v/>
      </c>
      <c r="AU26">
        <f>IF(AU$4=0,0,IF(COUNTIFS(実績!$W$6:$W$505,AU$3,実績!$AC$6:$AC$505,"&lt;="&amp;$A26,実績!$AD$6:$AD$505,"&gt;"&amp;$A26,実績!$AE$6:$AE$505,"○")&gt;0,1,0))</f>
        <v/>
      </c>
      <c r="AV26">
        <f>IF(AV$4=0,0,IF(COUNTIFS(実績!$W$6:$W$505,AV$3,実績!$AC$6:$AC$505,"&lt;="&amp;$A26,実績!$AD$6:$AD$505,"&gt;"&amp;$A26,実績!$AE$6:$AE$505,"○")&gt;0,1,0))</f>
        <v/>
      </c>
      <c r="AW26">
        <f>IF(AW$4=0,0,IF(COUNTIFS(実績!$W$6:$W$505,AW$3,実績!$AC$6:$AC$505,"&lt;="&amp;$A26,実績!$AD$6:$AD$505,"&gt;"&amp;$A26,実績!$AE$6:$AE$505,"○")&gt;0,1,0))</f>
        <v/>
      </c>
      <c r="AX26">
        <f>IF(AX$4=0,0,IF(COUNTIFS(実績!$W$6:$W$505,AX$3,実績!$AC$6:$AC$505,"&lt;="&amp;$A26,実績!$AD$6:$AD$505,"&gt;"&amp;$A26,実績!$AE$6:$AE$505,"○")&gt;0,1,0))</f>
        <v/>
      </c>
      <c r="AY26">
        <f>IF(AY$4=0,0,IF(COUNTIFS(実績!$W$6:$W$505,AY$3,実績!$AC$6:$AC$505,"&lt;="&amp;$A26,実績!$AD$6:$AD$505,"&gt;"&amp;$A26,実績!$AE$6:$AE$505,"○")&gt;0,1,0))</f>
        <v/>
      </c>
      <c r="AZ26">
        <f>IF(AZ$4=0,0,IF(COUNTIFS(実績!$W$6:$W$505,AZ$3,実績!$AC$6:$AC$505,"&lt;="&amp;$A26,実績!$AD$6:$AD$505,"&gt;"&amp;$A26,実績!$AE$6:$AE$505,"○")&gt;0,1,0))</f>
        <v/>
      </c>
      <c r="BA26">
        <f>IF(BA$4=0,0,IF(COUNTIFS(実績!$W$6:$W$505,BA$3,実績!$AC$6:$AC$505,"&lt;="&amp;$A26,実績!$AD$6:$AD$505,"&gt;"&amp;$A26,実績!$AE$6:$AE$505,"○")&gt;0,1,0))</f>
        <v/>
      </c>
      <c r="BB26">
        <f>IF(BB$4=0,0,IF(COUNTIFS(実績!$W$6:$W$505,BB$3,実績!$AC$6:$AC$505,"&lt;="&amp;$A26,実績!$AD$6:$AD$505,"&gt;"&amp;$A26,実績!$AE$6:$AE$505,"○")&gt;0,1,0))</f>
        <v/>
      </c>
      <c r="BC26">
        <f>IF(BC$4=0,0,IF(COUNTIFS(実績!$W$6:$W$505,BC$3,実績!$AC$6:$AC$505,"&lt;="&amp;$A26,実績!$AD$6:$AD$505,"&gt;"&amp;$A26,実績!$AE$6:$AE$505,"○")&gt;0,1,0))</f>
        <v/>
      </c>
      <c r="BD26">
        <f>IF(BD$4=0,0,IF(COUNTIFS(実績!$W$6:$W$505,BD$3,実績!$AC$6:$AC$505,"&lt;="&amp;$A26,実績!$AD$6:$AD$505,"&gt;"&amp;$A26,実績!$AE$6:$AE$505,"○")&gt;0,1,0))</f>
        <v/>
      </c>
      <c r="BE26">
        <f>IF(BE$4=0,0,IF(COUNTIFS(実績!$W$6:$W$505,BE$3,実績!$AC$6:$AC$505,"&lt;="&amp;$A26,実績!$AD$6:$AD$505,"&gt;"&amp;$A26,実績!$AE$6:$AE$505,"○")&gt;0,1,0))</f>
        <v/>
      </c>
      <c r="BF26">
        <f>IF(BF$4=0,0,IF(COUNTIFS(実績!$W$6:$W$505,BF$3,実績!$AC$6:$AC$505,"&lt;="&amp;$A26,実績!$AD$6:$AD$505,"&gt;"&amp;$A26,実績!$AE$6:$AE$505,"○")&gt;0,1,0))</f>
        <v/>
      </c>
      <c r="BG26">
        <f>IF(BG$4=0,0,IF(COUNTIFS(実績!$W$6:$W$505,BG$3,実績!$AC$6:$AC$505,"&lt;="&amp;$A26,実績!$AD$6:$AD$505,"&gt;"&amp;$A26,実績!$AE$6:$AE$505,"○")&gt;0,1,0))</f>
        <v/>
      </c>
      <c r="BH26">
        <f>IF(BH$4=0,0,IF(COUNTIFS(実績!$W$6:$W$505,BH$3,実績!$AC$6:$AC$505,"&lt;="&amp;$A26,実績!$AD$6:$AD$505,"&gt;"&amp;$A26,実績!$AE$6:$AE$505,"○")&gt;0,1,0))</f>
        <v/>
      </c>
      <c r="BI26">
        <f>IF(BI$4=0,0,IF(COUNTIFS(実績!$W$6:$W$505,BI$3,実績!$AC$6:$AC$505,"&lt;="&amp;$A26,実績!$AD$6:$AD$505,"&gt;"&amp;$A26,実績!$AE$6:$AE$505,"○")&gt;0,1,0))</f>
        <v/>
      </c>
      <c r="BJ26">
        <f>IF(BJ$4=0,0,IF(COUNTIFS(実績!$W$6:$W$505,BJ$3,実績!$AC$6:$AC$505,"&lt;="&amp;$A26,実績!$AD$6:$AD$505,"&gt;"&amp;$A26,実績!$AE$6:$AE$505,"○")&gt;0,1,0))</f>
        <v/>
      </c>
      <c r="BK26">
        <f>IF(BK$4=0,0,IF(COUNTIFS(実績!$W$6:$W$505,BK$3,実績!$AC$6:$AC$505,"&lt;="&amp;$A26,実績!$AD$6:$AD$505,"&gt;"&amp;$A26,実績!$AE$6:$AE$505,"○")&gt;0,1,0))</f>
        <v/>
      </c>
      <c r="BL26">
        <f>IF(BL$4=0,0,IF(COUNTIFS(実績!$W$6:$W$505,BL$3,実績!$AC$6:$AC$505,"&lt;="&amp;$A26,実績!$AD$6:$AD$505,"&gt;"&amp;$A26,実績!$AE$6:$AE$505,"○")&gt;0,1,0))</f>
        <v/>
      </c>
      <c r="BM26">
        <f>IF(BM$4=0,0,IF(COUNTIFS(実績!$W$6:$W$505,BM$3,実績!$AC$6:$AC$505,"&lt;="&amp;$A26,実績!$AD$6:$AD$505,"&gt;"&amp;$A26,実績!$AE$6:$AE$505,"○")&gt;0,1,0))</f>
        <v/>
      </c>
      <c r="BN26">
        <f>IF(BN$4=0,0,IF(COUNTIFS(実績!$W$6:$W$505,BN$3,実績!$AC$6:$AC$505,"&lt;="&amp;$A26,実績!$AD$6:$AD$505,"&gt;"&amp;$A26,実績!$AE$6:$AE$505,"○")&gt;0,1,0))</f>
        <v/>
      </c>
      <c r="BO26">
        <f>IF(BO$4=0,0,IF(COUNTIFS(実績!$W$6:$W$505,BO$3,実績!$AC$6:$AC$505,"&lt;="&amp;$A26,実績!$AD$6:$AD$505,"&gt;"&amp;$A26,実績!$AE$6:$AE$505,"○")&gt;0,1,0))</f>
        <v/>
      </c>
      <c r="BP26">
        <f>IF(BP$4=0,0,IF(COUNTIFS(実績!$W$6:$W$505,BP$3,実績!$AC$6:$AC$505,"&lt;="&amp;$A26,実績!$AD$6:$AD$505,"&gt;"&amp;$A26,実績!$AE$6:$AE$505,"○")&gt;0,1,0))</f>
        <v/>
      </c>
      <c r="BQ26">
        <f>IF(BQ$4=0,0,IF(COUNTIFS(実績!$W$6:$W$505,BQ$3,実績!$AC$6:$AC$505,"&lt;="&amp;$A26,実績!$AD$6:$AD$505,"&gt;"&amp;$A26,実績!$AE$6:$AE$505,"○")&gt;0,1,0))</f>
        <v/>
      </c>
      <c r="BR26">
        <f>IF(BR$4=0,0,IF(COUNTIFS(実績!$W$6:$W$505,BR$3,実績!$AC$6:$AC$505,"&lt;="&amp;$A26,実績!$AD$6:$AD$505,"&gt;"&amp;$A26,実績!$AE$6:$AE$505,"○")&gt;0,1,0))</f>
        <v/>
      </c>
      <c r="BS26">
        <f>IF(BS$4=0,0,IF(COUNTIFS(実績!$W$6:$W$505,BS$3,実績!$AC$6:$AC$505,"&lt;="&amp;$A26,実績!$AD$6:$AD$505,"&gt;"&amp;$A26,実績!$AE$6:$AE$505,"○")&gt;0,1,0))</f>
        <v/>
      </c>
      <c r="BT26">
        <f>IF(BT$4=0,0,IF(COUNTIFS(実績!$W$6:$W$505,BT$3,実績!$AC$6:$AC$505,"&lt;="&amp;$A26,実績!$AD$6:$AD$505,"&gt;"&amp;$A26,実績!$AE$6:$AE$505,"○")&gt;0,1,0))</f>
        <v/>
      </c>
      <c r="BU26">
        <f>IF(BU$4=0,0,IF(COUNTIFS(実績!$W$6:$W$505,BU$3,実績!$AC$6:$AC$505,"&lt;="&amp;$A26,実績!$AD$6:$AD$505,"&gt;"&amp;$A26,実績!$AE$6:$AE$505,"○")&gt;0,1,0))</f>
        <v/>
      </c>
      <c r="BV26">
        <f>IF(BV$4=0,0,IF(COUNTIFS(実績!$W$6:$W$505,BV$3,実績!$AC$6:$AC$505,"&lt;="&amp;$A26,実績!$AD$6:$AD$505,"&gt;"&amp;$A26,実績!$AE$6:$AE$505,"○")&gt;0,1,0))</f>
        <v/>
      </c>
      <c r="BW26">
        <f>IF(BW$4=0,0,IF(COUNTIFS(実績!$W$6:$W$505,BW$3,実績!$AC$6:$AC$505,"&lt;="&amp;$A26,実績!$AD$6:$AD$505,"&gt;"&amp;$A26,実績!$AE$6:$AE$505,"○")&gt;0,1,0))</f>
        <v/>
      </c>
      <c r="BX26">
        <f>IF(BX$4=0,0,IF(COUNTIFS(実績!$W$6:$W$505,BX$3,実績!$AC$6:$AC$505,"&lt;="&amp;$A26,実績!$AD$6:$AD$505,"&gt;"&amp;$A26,実績!$AE$6:$AE$505,"○")&gt;0,1,0))</f>
        <v/>
      </c>
      <c r="BY26">
        <f>IF(BY$4=0,0,IF(COUNTIFS(実績!$W$6:$W$505,BY$3,実績!$AC$6:$AC$505,"&lt;="&amp;$A26,実績!$AD$6:$AD$505,"&gt;"&amp;$A26,実績!$AE$6:$AE$505,"○")&gt;0,1,0))</f>
        <v/>
      </c>
      <c r="BZ26">
        <f>IF(BZ$4=0,0,IF(COUNTIFS(実績!$W$6:$W$505,BZ$3,実績!$AC$6:$AC$505,"&lt;="&amp;$A26,実績!$AD$6:$AD$505,"&gt;"&amp;$A26,実績!$AE$6:$AE$505,"○")&gt;0,1,0))</f>
        <v/>
      </c>
      <c r="CA26">
        <f>IF(CA$4=0,0,IF(COUNTIFS(実績!$W$6:$W$505,CA$3,実績!$AC$6:$AC$505,"&lt;="&amp;$A26,実績!$AD$6:$AD$505,"&gt;"&amp;$A26,実績!$AE$6:$AE$505,"○")&gt;0,1,0))</f>
        <v/>
      </c>
      <c r="CB26">
        <f>IF(CB$4=0,0,IF(COUNTIFS(実績!$W$6:$W$505,CB$3,実績!$AC$6:$AC$505,"&lt;="&amp;$A26,実績!$AD$6:$AD$505,"&gt;"&amp;$A26,実績!$AE$6:$AE$505,"○")&gt;0,1,0))</f>
        <v/>
      </c>
      <c r="CC26">
        <f>IF(CC$4=0,0,IF(COUNTIFS(実績!$W$6:$W$505,CC$3,実績!$AC$6:$AC$505,"&lt;="&amp;$A26,実績!$AD$6:$AD$505,"&gt;"&amp;$A26,実績!$AE$6:$AE$505,"○")&gt;0,1,0))</f>
        <v/>
      </c>
      <c r="CD26">
        <f>IF(CD$4=0,0,IF(COUNTIFS(実績!$W$6:$W$505,CD$3,実績!$AC$6:$AC$505,"&lt;="&amp;$A26,実績!$AD$6:$AD$505,"&gt;"&amp;$A26,実績!$AE$6:$AE$505,"○")&gt;0,1,0))</f>
        <v/>
      </c>
      <c r="CE26">
        <f>IF(CE$4=0,0,IF(COUNTIFS(実績!$W$6:$W$505,CE$3,実績!$AC$6:$AC$505,"&lt;="&amp;$A26,実績!$AD$6:$AD$505,"&gt;"&amp;$A26,実績!$AE$6:$AE$505,"○")&gt;0,1,0))</f>
        <v/>
      </c>
      <c r="CF26">
        <f>IF(CF$4=0,0,IF(COUNTIFS(実績!$W$6:$W$505,CF$3,実績!$AC$6:$AC$505,"&lt;="&amp;$A26,実績!$AD$6:$AD$505,"&gt;"&amp;$A26,実績!$AE$6:$AE$505,"○")&gt;0,1,0))</f>
        <v/>
      </c>
      <c r="CG26">
        <f>IF(CG$4=0,0,IF(COUNTIFS(実績!$W$6:$W$505,CG$3,実績!$AC$6:$AC$505,"&lt;="&amp;$A26,実績!$AD$6:$AD$505,"&gt;"&amp;$A26,実績!$AE$6:$AE$505,"○")&gt;0,1,0))</f>
        <v/>
      </c>
      <c r="CH26">
        <f>IF(CH$4=0,0,IF(COUNTIFS(実績!$W$6:$W$505,CH$3,実績!$AC$6:$AC$505,"&lt;="&amp;$A26,実績!$AD$6:$AD$505,"&gt;"&amp;$A26,実績!$AE$6:$AE$505,"○")&gt;0,1,0))</f>
        <v/>
      </c>
      <c r="CI26">
        <f>IF(CI$4=0,0,IF(COUNTIFS(実績!$W$6:$W$505,CI$3,実績!$AC$6:$AC$505,"&lt;="&amp;$A26,実績!$AD$6:$AD$505,"&gt;"&amp;$A26,実績!$AE$6:$AE$505,"○")&gt;0,1,0))</f>
        <v/>
      </c>
      <c r="CJ26">
        <f>IF(CJ$4=0,0,IF(COUNTIFS(実績!$W$6:$W$505,CJ$3,実績!$AC$6:$AC$505,"&lt;="&amp;$A26,実績!$AD$6:$AD$505,"&gt;"&amp;$A26,実績!$AE$6:$AE$505,"○")&gt;0,1,0))</f>
        <v/>
      </c>
      <c r="CK26">
        <f>IF(CK$4=0,0,IF(COUNTIFS(実績!$W$6:$W$505,CK$3,実績!$AC$6:$AC$505,"&lt;="&amp;$A26,実績!$AD$6:$AD$505,"&gt;"&amp;$A26,実績!$AE$6:$AE$505,"○")&gt;0,1,0))</f>
        <v/>
      </c>
      <c r="CL26">
        <f>IF(CL$4=0,0,IF(COUNTIFS(実績!$W$6:$W$505,CL$3,実績!$AC$6:$AC$505,"&lt;="&amp;$A26,実績!$AD$6:$AD$505,"&gt;"&amp;$A26,実績!$AE$6:$AE$505,"○")&gt;0,1,0))</f>
        <v/>
      </c>
      <c r="CM26">
        <f>IF(CM$4=0,0,IF(COUNTIFS(実績!$W$6:$W$505,CM$3,実績!$AC$6:$AC$505,"&lt;="&amp;$A26,実績!$AD$6:$AD$505,"&gt;"&amp;$A26,実績!$AE$6:$AE$505,"○")&gt;0,1,0))</f>
        <v/>
      </c>
      <c r="CN26">
        <f>IF(CN$4=0,0,IF(COUNTIFS(実績!$W$6:$W$505,CN$3,実績!$AC$6:$AC$505,"&lt;="&amp;$A26,実績!$AD$6:$AD$505,"&gt;"&amp;$A26,実績!$AE$6:$AE$505,"○")&gt;0,1,0))</f>
        <v/>
      </c>
      <c r="CO26">
        <f>IF(CO$4=0,0,IF(COUNTIFS(実績!$W$6:$W$505,CO$3,実績!$AC$6:$AC$505,"&lt;="&amp;$A26,実績!$AD$6:$AD$505,"&gt;"&amp;$A26,実績!$AE$6:$AE$505,"○")&gt;0,1,0))</f>
        <v/>
      </c>
      <c r="CP26">
        <f>IF(CP$4=0,0,IF(COUNTIFS(実績!$W$6:$W$505,CP$3,実績!$AC$6:$AC$505,"&lt;="&amp;$A26,実績!$AD$6:$AD$505,"&gt;"&amp;$A26,実績!$AE$6:$AE$505,"○")&gt;0,1,0))</f>
        <v/>
      </c>
      <c r="CQ26">
        <f>IF(CQ$4=0,0,IF(COUNTIFS(実績!$W$6:$W$505,CQ$3,実績!$AC$6:$AC$505,"&lt;="&amp;$A26,実績!$AD$6:$AD$505,"&gt;"&amp;$A26,実績!$AE$6:$AE$505,"○")&gt;0,1,0))</f>
        <v/>
      </c>
      <c r="CR26">
        <f>IF(CR$4=0,0,IF(COUNTIFS(実績!$W$6:$W$505,CR$3,実績!$AC$6:$AC$505,"&lt;="&amp;$A26,実績!$AD$6:$AD$505,"&gt;"&amp;$A26,実績!$AE$6:$AE$505,"○")&gt;0,1,0))</f>
        <v/>
      </c>
      <c r="CS26">
        <f>IF(CS$4=0,0,IF(COUNTIFS(実績!$W$6:$W$505,CS$3,実績!$AC$6:$AC$505,"&lt;="&amp;$A26,実績!$AD$6:$AD$505,"&gt;"&amp;$A26,実績!$AE$6:$AE$505,"○")&gt;0,1,0))</f>
        <v/>
      </c>
      <c r="CT26">
        <f>IF(CT$4=0,0,IF(COUNTIFS(実績!$W$6:$W$505,CT$3,実績!$AC$6:$AC$505,"&lt;="&amp;$A26,実績!$AD$6:$AD$505,"&gt;"&amp;$A26,実績!$AE$6:$AE$505,"○")&gt;0,1,0))</f>
        <v/>
      </c>
      <c r="CU26">
        <f>IF(CU$4=0,0,IF(COUNTIFS(実績!$W$6:$W$505,CU$3,実績!$AC$6:$AC$505,"&lt;="&amp;$A26,実績!$AD$6:$AD$505,"&gt;"&amp;$A26,実績!$AE$6:$AE$505,"○")&gt;0,1,0))</f>
        <v/>
      </c>
      <c r="CV26">
        <f>IF(CV$4=0,0,IF(COUNTIFS(実績!$W$6:$W$505,CV$3,実績!$AC$6:$AC$505,"&lt;="&amp;$A26,実績!$AD$6:$AD$505,"&gt;"&amp;$A26,実績!$AE$6:$AE$505,"○")&gt;0,1,0))</f>
        <v/>
      </c>
      <c r="CW26">
        <f>IF(CW$4=0,0,IF(COUNTIFS(実績!$W$6:$W$505,CW$3,実績!$AC$6:$AC$505,"&lt;="&amp;$A26,実績!$AD$6:$AD$505,"&gt;"&amp;$A26,実績!$AE$6:$AE$505,"○")&gt;0,1,0))</f>
        <v/>
      </c>
      <c r="CX26">
        <f>IF(CX$4=0,0,IF(COUNTIFS(実績!$W$6:$W$505,CX$3,実績!$AC$6:$AC$505,"&lt;="&amp;$A26,実績!$AD$6:$AD$505,"&gt;"&amp;$A26,実績!$AE$6:$AE$505,"○")&gt;0,1,0))</f>
        <v/>
      </c>
      <c r="CY26">
        <f>IF(CY$4=0,0,IF(COUNTIFS(実績!$W$6:$W$505,CY$3,実績!$AC$6:$AC$505,"&lt;="&amp;$A26,実績!$AD$6:$AD$505,"&gt;"&amp;$A26,実績!$AE$6:$AE$505,"○")&gt;0,1,0))</f>
        <v/>
      </c>
      <c r="CZ26">
        <f>IF(CZ$4=0,0,IF(COUNTIFS(実績!$W$6:$W$505,CZ$3,実績!$AC$6:$AC$505,"&lt;="&amp;$A26,実績!$AD$6:$AD$505,"&gt;"&amp;$A26,実績!$AE$6:$AE$505,"○")&gt;0,1,0))</f>
        <v/>
      </c>
      <c r="DA26">
        <f>IF(DA$4=0,0,IF(COUNTIFS(実績!$W$6:$W$505,DA$3,実績!$AC$6:$AC$505,"&lt;="&amp;$A26,実績!$AD$6:$AD$505,"&gt;"&amp;$A26,実績!$AE$6:$AE$505,"○")&gt;0,1,0))</f>
        <v/>
      </c>
      <c r="DB26">
        <f>IF(DB$4=0,0,IF(COUNTIFS(実績!$W$6:$W$505,DB$3,実績!$AC$6:$AC$505,"&lt;="&amp;$A26,実績!$AD$6:$AD$505,"&gt;"&amp;$A26,実績!$AE$6:$AE$505,"○")&gt;0,1,0))</f>
        <v/>
      </c>
      <c r="DC26">
        <f>IF(DC$4=0,0,IF(COUNTIFS(実績!$W$6:$W$505,DC$3,実績!$AC$6:$AC$505,"&lt;="&amp;$A26,実績!$AD$6:$AD$505,"&gt;"&amp;$A26,実績!$AE$6:$AE$505,"○")&gt;0,1,0))</f>
        <v/>
      </c>
      <c r="DD26">
        <f>IF(DD$4=0,0,IF(COUNTIFS(実績!$W$6:$W$505,DD$3,実績!$AC$6:$AC$505,"&lt;="&amp;$A26,実績!$AD$6:$AD$505,"&gt;"&amp;$A26,実績!$AE$6:$AE$505,"○")&gt;0,1,0))</f>
        <v/>
      </c>
      <c r="DE26">
        <f>IF(DE$4=0,0,IF(COUNTIFS(実績!$W$6:$W$505,DE$3,実績!$AC$6:$AC$505,"&lt;="&amp;$A26,実績!$AD$6:$AD$505,"&gt;"&amp;$A26,実績!$AE$6:$AE$505,"○")&gt;0,1,0))</f>
        <v/>
      </c>
      <c r="DF26">
        <f>IF(DF$4=0,0,IF(COUNTIFS(実績!$W$6:$W$505,DF$3,実績!$AC$6:$AC$505,"&lt;="&amp;$A26,実績!$AD$6:$AD$505,"&gt;"&amp;$A26,実績!$AE$6:$AE$505,"○")&gt;0,1,0))</f>
        <v/>
      </c>
      <c r="DG26">
        <f>IF(DG$4=0,0,IF(COUNTIFS(実績!$W$6:$W$505,DG$3,実績!$AC$6:$AC$505,"&lt;="&amp;$A26,実績!$AD$6:$AD$505,"&gt;"&amp;$A26,実績!$AE$6:$AE$505,"○")&gt;0,1,0))</f>
        <v/>
      </c>
      <c r="DH26">
        <f>IF(DH$4=0,0,IF(COUNTIFS(実績!$W$6:$W$505,DH$3,実績!$AC$6:$AC$505,"&lt;="&amp;$A26,実績!$AD$6:$AD$505,"&gt;"&amp;$A26,実績!$AE$6:$AE$505,"○")&gt;0,1,0))</f>
        <v/>
      </c>
      <c r="DI26">
        <f>IF(DI$4=0,0,IF(COUNTIFS(実績!$W$6:$W$505,DI$3,実績!$AC$6:$AC$505,"&lt;="&amp;$A26,実績!$AD$6:$AD$505,"&gt;"&amp;$A26,実績!$AE$6:$AE$505,"○")&gt;0,1,0))</f>
        <v/>
      </c>
      <c r="DJ26">
        <f>IF(DJ$4=0,0,IF(COUNTIFS(実績!$W$6:$W$505,DJ$3,実績!$AC$6:$AC$505,"&lt;="&amp;$A26,実績!$AD$6:$AD$505,"&gt;"&amp;$A26,実績!$AE$6:$AE$505,"○")&gt;0,1,0))</f>
        <v/>
      </c>
      <c r="DK26">
        <f>IF(DK$4=0,0,IF(COUNTIFS(実績!$W$6:$W$505,DK$3,実績!$AC$6:$AC$505,"&lt;="&amp;$A26,実績!$AD$6:$AD$505,"&gt;"&amp;$A26,実績!$AE$6:$AE$505,"○")&gt;0,1,0))</f>
        <v/>
      </c>
      <c r="DL26">
        <f>IF(DL$4=0,0,IF(COUNTIFS(実績!$W$6:$W$505,DL$3,実績!$AC$6:$AC$505,"&lt;="&amp;$A26,実績!$AD$6:$AD$505,"&gt;"&amp;$A26,実績!$AE$6:$AE$505,"○")&gt;0,1,0))</f>
        <v/>
      </c>
      <c r="DM26">
        <f>IF(DM$4=0,0,IF(COUNTIFS(実績!$W$6:$W$505,DM$3,実績!$AC$6:$AC$505,"&lt;="&amp;$A26,実績!$AD$6:$AD$505,"&gt;"&amp;$A26,実績!$AE$6:$AE$505,"○")&gt;0,1,0))</f>
        <v/>
      </c>
      <c r="DN26">
        <f>IF(DN$4=0,0,IF(COUNTIFS(実績!$W$6:$W$505,DN$3,実績!$AC$6:$AC$505,"&lt;="&amp;$A26,実績!$AD$6:$AD$505,"&gt;"&amp;$A26,実績!$AE$6:$AE$505,"○")&gt;0,1,0))</f>
        <v/>
      </c>
      <c r="DO26">
        <f>IF(DO$4=0,0,IF(COUNTIFS(実績!$W$6:$W$505,DO$3,実績!$AC$6:$AC$505,"&lt;="&amp;$A26,実績!$AD$6:$AD$505,"&gt;"&amp;$A26,実績!$AE$6:$AE$505,"○")&gt;0,1,0))</f>
        <v/>
      </c>
      <c r="DP26">
        <f>IF(DP$4=0,0,IF(COUNTIFS(実績!$W$6:$W$505,DP$3,実績!$AC$6:$AC$505,"&lt;="&amp;$A26,実績!$AD$6:$AD$505,"&gt;"&amp;$A26,実績!$AE$6:$AE$505,"○")&gt;0,1,0))</f>
        <v/>
      </c>
      <c r="DQ26">
        <f>IF(DQ$4=0,0,IF(COUNTIFS(実績!$W$6:$W$505,DQ$3,実績!$AC$6:$AC$505,"&lt;="&amp;$A26,実績!$AD$6:$AD$505,"&gt;"&amp;$A26,実績!$AE$6:$AE$505,"○")&gt;0,1,0))</f>
        <v/>
      </c>
      <c r="DR26">
        <f>IF(DR$4=0,0,IF(COUNTIFS(実績!$W$6:$W$505,DR$3,実績!$AC$6:$AC$505,"&lt;="&amp;$A26,実績!$AD$6:$AD$505,"&gt;"&amp;$A26,実績!$AE$6:$AE$505,"○")&gt;0,1,0))</f>
        <v/>
      </c>
      <c r="DS26">
        <f>SUM(C26:DR26)</f>
        <v/>
      </c>
      <c r="DT26">
        <f>SUMPRODUCT((実績!$C$6:$C$505="○")*ISNUMBER(実績!$AF$6:$AF$505)*(実績!$AF$6:$AF$505&lt;=$A26)*(実績!$AG$6:$AG$505&gt;$A26))</f>
        <v/>
      </c>
      <c r="DU26">
        <f>SUMIF($C$2:$DR$2,"製鉄曳船",C26:DR26)</f>
        <v/>
      </c>
      <c r="DV26">
        <f>SUMIF($C$2:$DR$2,"西日本海運",C26:DR26)</f>
        <v/>
      </c>
    </row>
    <row r="27">
      <c r="A27" t="n">
        <v>105</v>
      </c>
      <c r="B27" s="29">
        <f>A27/1440</f>
        <v/>
      </c>
      <c r="C27">
        <f>IF(C$4=0,0,IF(COUNTIFS(実績!$W$6:$W$505,C$3,実績!$AC$6:$AC$505,"&lt;="&amp;$A27,実績!$AD$6:$AD$505,"&gt;"&amp;$A27,実績!$AE$6:$AE$505,"○")&gt;0,1,0))</f>
        <v/>
      </c>
      <c r="D27">
        <f>IF(D$4=0,0,IF(COUNTIFS(実績!$W$6:$W$505,D$3,実績!$AC$6:$AC$505,"&lt;="&amp;$A27,実績!$AD$6:$AD$505,"&gt;"&amp;$A27,実績!$AE$6:$AE$505,"○")&gt;0,1,0))</f>
        <v/>
      </c>
      <c r="E27">
        <f>IF(E$4=0,0,IF(COUNTIFS(実績!$W$6:$W$505,E$3,実績!$AC$6:$AC$505,"&lt;="&amp;$A27,実績!$AD$6:$AD$505,"&gt;"&amp;$A27,実績!$AE$6:$AE$505,"○")&gt;0,1,0))</f>
        <v/>
      </c>
      <c r="F27">
        <f>IF(F$4=0,0,IF(COUNTIFS(実績!$W$6:$W$505,F$3,実績!$AC$6:$AC$505,"&lt;="&amp;$A27,実績!$AD$6:$AD$505,"&gt;"&amp;$A27,実績!$AE$6:$AE$505,"○")&gt;0,1,0))</f>
        <v/>
      </c>
      <c r="G27">
        <f>IF(G$4=0,0,IF(COUNTIFS(実績!$W$6:$W$505,G$3,実績!$AC$6:$AC$505,"&lt;="&amp;$A27,実績!$AD$6:$AD$505,"&gt;"&amp;$A27,実績!$AE$6:$AE$505,"○")&gt;0,1,0))</f>
        <v/>
      </c>
      <c r="H27">
        <f>IF(H$4=0,0,IF(COUNTIFS(実績!$W$6:$W$505,H$3,実績!$AC$6:$AC$505,"&lt;="&amp;$A27,実績!$AD$6:$AD$505,"&gt;"&amp;$A27,実績!$AE$6:$AE$505,"○")&gt;0,1,0))</f>
        <v/>
      </c>
      <c r="I27">
        <f>IF(I$4=0,0,IF(COUNTIFS(実績!$W$6:$W$505,I$3,実績!$AC$6:$AC$505,"&lt;="&amp;$A27,実績!$AD$6:$AD$505,"&gt;"&amp;$A27,実績!$AE$6:$AE$505,"○")&gt;0,1,0))</f>
        <v/>
      </c>
      <c r="J27">
        <f>IF(J$4=0,0,IF(COUNTIFS(実績!$W$6:$W$505,J$3,実績!$AC$6:$AC$505,"&lt;="&amp;$A27,実績!$AD$6:$AD$505,"&gt;"&amp;$A27,実績!$AE$6:$AE$505,"○")&gt;0,1,0))</f>
        <v/>
      </c>
      <c r="K27">
        <f>IF(K$4=0,0,IF(COUNTIFS(実績!$W$6:$W$505,K$3,実績!$AC$6:$AC$505,"&lt;="&amp;$A27,実績!$AD$6:$AD$505,"&gt;"&amp;$A27,実績!$AE$6:$AE$505,"○")&gt;0,1,0))</f>
        <v/>
      </c>
      <c r="L27">
        <f>IF(L$4=0,0,IF(COUNTIFS(実績!$W$6:$W$505,L$3,実績!$AC$6:$AC$505,"&lt;="&amp;$A27,実績!$AD$6:$AD$505,"&gt;"&amp;$A27,実績!$AE$6:$AE$505,"○")&gt;0,1,0))</f>
        <v/>
      </c>
      <c r="M27">
        <f>IF(M$4=0,0,IF(COUNTIFS(実績!$W$6:$W$505,M$3,実績!$AC$6:$AC$505,"&lt;="&amp;$A27,実績!$AD$6:$AD$505,"&gt;"&amp;$A27,実績!$AE$6:$AE$505,"○")&gt;0,1,0))</f>
        <v/>
      </c>
      <c r="N27">
        <f>IF(N$4=0,0,IF(COUNTIFS(実績!$W$6:$W$505,N$3,実績!$AC$6:$AC$505,"&lt;="&amp;$A27,実績!$AD$6:$AD$505,"&gt;"&amp;$A27,実績!$AE$6:$AE$505,"○")&gt;0,1,0))</f>
        <v/>
      </c>
      <c r="O27">
        <f>IF(O$4=0,0,IF(COUNTIFS(実績!$W$6:$W$505,O$3,実績!$AC$6:$AC$505,"&lt;="&amp;$A27,実績!$AD$6:$AD$505,"&gt;"&amp;$A27,実績!$AE$6:$AE$505,"○")&gt;0,1,0))</f>
        <v/>
      </c>
      <c r="P27">
        <f>IF(P$4=0,0,IF(COUNTIFS(実績!$W$6:$W$505,P$3,実績!$AC$6:$AC$505,"&lt;="&amp;$A27,実績!$AD$6:$AD$505,"&gt;"&amp;$A27,実績!$AE$6:$AE$505,"○")&gt;0,1,0))</f>
        <v/>
      </c>
      <c r="Q27">
        <f>IF(Q$4=0,0,IF(COUNTIFS(実績!$W$6:$W$505,Q$3,実績!$AC$6:$AC$505,"&lt;="&amp;$A27,実績!$AD$6:$AD$505,"&gt;"&amp;$A27,実績!$AE$6:$AE$505,"○")&gt;0,1,0))</f>
        <v/>
      </c>
      <c r="R27">
        <f>IF(R$4=0,0,IF(COUNTIFS(実績!$W$6:$W$505,R$3,実績!$AC$6:$AC$505,"&lt;="&amp;$A27,実績!$AD$6:$AD$505,"&gt;"&amp;$A27,実績!$AE$6:$AE$505,"○")&gt;0,1,0))</f>
        <v/>
      </c>
      <c r="S27">
        <f>IF(S$4=0,0,IF(COUNTIFS(実績!$W$6:$W$505,S$3,実績!$AC$6:$AC$505,"&lt;="&amp;$A27,実績!$AD$6:$AD$505,"&gt;"&amp;$A27,実績!$AE$6:$AE$505,"○")&gt;0,1,0))</f>
        <v/>
      </c>
      <c r="T27">
        <f>IF(T$4=0,0,IF(COUNTIFS(実績!$W$6:$W$505,T$3,実績!$AC$6:$AC$505,"&lt;="&amp;$A27,実績!$AD$6:$AD$505,"&gt;"&amp;$A27,実績!$AE$6:$AE$505,"○")&gt;0,1,0))</f>
        <v/>
      </c>
      <c r="U27">
        <f>IF(U$4=0,0,IF(COUNTIFS(実績!$W$6:$W$505,U$3,実績!$AC$6:$AC$505,"&lt;="&amp;$A27,実績!$AD$6:$AD$505,"&gt;"&amp;$A27,実績!$AE$6:$AE$505,"○")&gt;0,1,0))</f>
        <v/>
      </c>
      <c r="V27">
        <f>IF(V$4=0,0,IF(COUNTIFS(実績!$W$6:$W$505,V$3,実績!$AC$6:$AC$505,"&lt;="&amp;$A27,実績!$AD$6:$AD$505,"&gt;"&amp;$A27,実績!$AE$6:$AE$505,"○")&gt;0,1,0))</f>
        <v/>
      </c>
      <c r="W27">
        <f>IF(W$4=0,0,IF(COUNTIFS(実績!$W$6:$W$505,W$3,実績!$AC$6:$AC$505,"&lt;="&amp;$A27,実績!$AD$6:$AD$505,"&gt;"&amp;$A27,実績!$AE$6:$AE$505,"○")&gt;0,1,0))</f>
        <v/>
      </c>
      <c r="X27">
        <f>IF(X$4=0,0,IF(COUNTIFS(実績!$W$6:$W$505,X$3,実績!$AC$6:$AC$505,"&lt;="&amp;$A27,実績!$AD$6:$AD$505,"&gt;"&amp;$A27,実績!$AE$6:$AE$505,"○")&gt;0,1,0))</f>
        <v/>
      </c>
      <c r="Y27">
        <f>IF(Y$4=0,0,IF(COUNTIFS(実績!$W$6:$W$505,Y$3,実績!$AC$6:$AC$505,"&lt;="&amp;$A27,実績!$AD$6:$AD$505,"&gt;"&amp;$A27,実績!$AE$6:$AE$505,"○")&gt;0,1,0))</f>
        <v/>
      </c>
      <c r="Z27">
        <f>IF(Z$4=0,0,IF(COUNTIFS(実績!$W$6:$W$505,Z$3,実績!$AC$6:$AC$505,"&lt;="&amp;$A27,実績!$AD$6:$AD$505,"&gt;"&amp;$A27,実績!$AE$6:$AE$505,"○")&gt;0,1,0))</f>
        <v/>
      </c>
      <c r="AA27">
        <f>IF(AA$4=0,0,IF(COUNTIFS(実績!$W$6:$W$505,AA$3,実績!$AC$6:$AC$505,"&lt;="&amp;$A27,実績!$AD$6:$AD$505,"&gt;"&amp;$A27,実績!$AE$6:$AE$505,"○")&gt;0,1,0))</f>
        <v/>
      </c>
      <c r="AB27">
        <f>IF(AB$4=0,0,IF(COUNTIFS(実績!$W$6:$W$505,AB$3,実績!$AC$6:$AC$505,"&lt;="&amp;$A27,実績!$AD$6:$AD$505,"&gt;"&amp;$A27,実績!$AE$6:$AE$505,"○")&gt;0,1,0))</f>
        <v/>
      </c>
      <c r="AC27">
        <f>IF(AC$4=0,0,IF(COUNTIFS(実績!$W$6:$W$505,AC$3,実績!$AC$6:$AC$505,"&lt;="&amp;$A27,実績!$AD$6:$AD$505,"&gt;"&amp;$A27,実績!$AE$6:$AE$505,"○")&gt;0,1,0))</f>
        <v/>
      </c>
      <c r="AD27">
        <f>IF(AD$4=0,0,IF(COUNTIFS(実績!$W$6:$W$505,AD$3,実績!$AC$6:$AC$505,"&lt;="&amp;$A27,実績!$AD$6:$AD$505,"&gt;"&amp;$A27,実績!$AE$6:$AE$505,"○")&gt;0,1,0))</f>
        <v/>
      </c>
      <c r="AE27">
        <f>IF(AE$4=0,0,IF(COUNTIFS(実績!$W$6:$W$505,AE$3,実績!$AC$6:$AC$505,"&lt;="&amp;$A27,実績!$AD$6:$AD$505,"&gt;"&amp;$A27,実績!$AE$6:$AE$505,"○")&gt;0,1,0))</f>
        <v/>
      </c>
      <c r="AF27">
        <f>IF(AF$4=0,0,IF(COUNTIFS(実績!$W$6:$W$505,AF$3,実績!$AC$6:$AC$505,"&lt;="&amp;$A27,実績!$AD$6:$AD$505,"&gt;"&amp;$A27,実績!$AE$6:$AE$505,"○")&gt;0,1,0))</f>
        <v/>
      </c>
      <c r="AG27">
        <f>IF(AG$4=0,0,IF(COUNTIFS(実績!$W$6:$W$505,AG$3,実績!$AC$6:$AC$505,"&lt;="&amp;$A27,実績!$AD$6:$AD$505,"&gt;"&amp;$A27,実績!$AE$6:$AE$505,"○")&gt;0,1,0))</f>
        <v/>
      </c>
      <c r="AH27">
        <f>IF(AH$4=0,0,IF(COUNTIFS(実績!$W$6:$W$505,AH$3,実績!$AC$6:$AC$505,"&lt;="&amp;$A27,実績!$AD$6:$AD$505,"&gt;"&amp;$A27,実績!$AE$6:$AE$505,"○")&gt;0,1,0))</f>
        <v/>
      </c>
      <c r="AI27">
        <f>IF(AI$4=0,0,IF(COUNTIFS(実績!$W$6:$W$505,AI$3,実績!$AC$6:$AC$505,"&lt;="&amp;$A27,実績!$AD$6:$AD$505,"&gt;"&amp;$A27,実績!$AE$6:$AE$505,"○")&gt;0,1,0))</f>
        <v/>
      </c>
      <c r="AJ27">
        <f>IF(AJ$4=0,0,IF(COUNTIFS(実績!$W$6:$W$505,AJ$3,実績!$AC$6:$AC$505,"&lt;="&amp;$A27,実績!$AD$6:$AD$505,"&gt;"&amp;$A27,実績!$AE$6:$AE$505,"○")&gt;0,1,0))</f>
        <v/>
      </c>
      <c r="AK27">
        <f>IF(AK$4=0,0,IF(COUNTIFS(実績!$W$6:$W$505,AK$3,実績!$AC$6:$AC$505,"&lt;="&amp;$A27,実績!$AD$6:$AD$505,"&gt;"&amp;$A27,実績!$AE$6:$AE$505,"○")&gt;0,1,0))</f>
        <v/>
      </c>
      <c r="AL27">
        <f>IF(AL$4=0,0,IF(COUNTIFS(実績!$W$6:$W$505,AL$3,実績!$AC$6:$AC$505,"&lt;="&amp;$A27,実績!$AD$6:$AD$505,"&gt;"&amp;$A27,実績!$AE$6:$AE$505,"○")&gt;0,1,0))</f>
        <v/>
      </c>
      <c r="AM27">
        <f>IF(AM$4=0,0,IF(COUNTIFS(実績!$W$6:$W$505,AM$3,実績!$AC$6:$AC$505,"&lt;="&amp;$A27,実績!$AD$6:$AD$505,"&gt;"&amp;$A27,実績!$AE$6:$AE$505,"○")&gt;0,1,0))</f>
        <v/>
      </c>
      <c r="AN27">
        <f>IF(AN$4=0,0,IF(COUNTIFS(実績!$W$6:$W$505,AN$3,実績!$AC$6:$AC$505,"&lt;="&amp;$A27,実績!$AD$6:$AD$505,"&gt;"&amp;$A27,実績!$AE$6:$AE$505,"○")&gt;0,1,0))</f>
        <v/>
      </c>
      <c r="AO27">
        <f>IF(AO$4=0,0,IF(COUNTIFS(実績!$W$6:$W$505,AO$3,実績!$AC$6:$AC$505,"&lt;="&amp;$A27,実績!$AD$6:$AD$505,"&gt;"&amp;$A27,実績!$AE$6:$AE$505,"○")&gt;0,1,0))</f>
        <v/>
      </c>
      <c r="AP27">
        <f>IF(AP$4=0,0,IF(COUNTIFS(実績!$W$6:$W$505,AP$3,実績!$AC$6:$AC$505,"&lt;="&amp;$A27,実績!$AD$6:$AD$505,"&gt;"&amp;$A27,実績!$AE$6:$AE$505,"○")&gt;0,1,0))</f>
        <v/>
      </c>
      <c r="AQ27">
        <f>IF(AQ$4=0,0,IF(COUNTIFS(実績!$W$6:$W$505,AQ$3,実績!$AC$6:$AC$505,"&lt;="&amp;$A27,実績!$AD$6:$AD$505,"&gt;"&amp;$A27,実績!$AE$6:$AE$505,"○")&gt;0,1,0))</f>
        <v/>
      </c>
      <c r="AR27">
        <f>IF(AR$4=0,0,IF(COUNTIFS(実績!$W$6:$W$505,AR$3,実績!$AC$6:$AC$505,"&lt;="&amp;$A27,実績!$AD$6:$AD$505,"&gt;"&amp;$A27,実績!$AE$6:$AE$505,"○")&gt;0,1,0))</f>
        <v/>
      </c>
      <c r="AS27">
        <f>IF(AS$4=0,0,IF(COUNTIFS(実績!$W$6:$W$505,AS$3,実績!$AC$6:$AC$505,"&lt;="&amp;$A27,実績!$AD$6:$AD$505,"&gt;"&amp;$A27,実績!$AE$6:$AE$505,"○")&gt;0,1,0))</f>
        <v/>
      </c>
      <c r="AT27">
        <f>IF(AT$4=0,0,IF(COUNTIFS(実績!$W$6:$W$505,AT$3,実績!$AC$6:$AC$505,"&lt;="&amp;$A27,実績!$AD$6:$AD$505,"&gt;"&amp;$A27,実績!$AE$6:$AE$505,"○")&gt;0,1,0))</f>
        <v/>
      </c>
      <c r="AU27">
        <f>IF(AU$4=0,0,IF(COUNTIFS(実績!$W$6:$W$505,AU$3,実績!$AC$6:$AC$505,"&lt;="&amp;$A27,実績!$AD$6:$AD$505,"&gt;"&amp;$A27,実績!$AE$6:$AE$505,"○")&gt;0,1,0))</f>
        <v/>
      </c>
      <c r="AV27">
        <f>IF(AV$4=0,0,IF(COUNTIFS(実績!$W$6:$W$505,AV$3,実績!$AC$6:$AC$505,"&lt;="&amp;$A27,実績!$AD$6:$AD$505,"&gt;"&amp;$A27,実績!$AE$6:$AE$505,"○")&gt;0,1,0))</f>
        <v/>
      </c>
      <c r="AW27">
        <f>IF(AW$4=0,0,IF(COUNTIFS(実績!$W$6:$W$505,AW$3,実績!$AC$6:$AC$505,"&lt;="&amp;$A27,実績!$AD$6:$AD$505,"&gt;"&amp;$A27,実績!$AE$6:$AE$505,"○")&gt;0,1,0))</f>
        <v/>
      </c>
      <c r="AX27">
        <f>IF(AX$4=0,0,IF(COUNTIFS(実績!$W$6:$W$505,AX$3,実績!$AC$6:$AC$505,"&lt;="&amp;$A27,実績!$AD$6:$AD$505,"&gt;"&amp;$A27,実績!$AE$6:$AE$505,"○")&gt;0,1,0))</f>
        <v/>
      </c>
      <c r="AY27">
        <f>IF(AY$4=0,0,IF(COUNTIFS(実績!$W$6:$W$505,AY$3,実績!$AC$6:$AC$505,"&lt;="&amp;$A27,実績!$AD$6:$AD$505,"&gt;"&amp;$A27,実績!$AE$6:$AE$505,"○")&gt;0,1,0))</f>
        <v/>
      </c>
      <c r="AZ27">
        <f>IF(AZ$4=0,0,IF(COUNTIFS(実績!$W$6:$W$505,AZ$3,実績!$AC$6:$AC$505,"&lt;="&amp;$A27,実績!$AD$6:$AD$505,"&gt;"&amp;$A27,実績!$AE$6:$AE$505,"○")&gt;0,1,0))</f>
        <v/>
      </c>
      <c r="BA27">
        <f>IF(BA$4=0,0,IF(COUNTIFS(実績!$W$6:$W$505,BA$3,実績!$AC$6:$AC$505,"&lt;="&amp;$A27,実績!$AD$6:$AD$505,"&gt;"&amp;$A27,実績!$AE$6:$AE$505,"○")&gt;0,1,0))</f>
        <v/>
      </c>
      <c r="BB27">
        <f>IF(BB$4=0,0,IF(COUNTIFS(実績!$W$6:$W$505,BB$3,実績!$AC$6:$AC$505,"&lt;="&amp;$A27,実績!$AD$6:$AD$505,"&gt;"&amp;$A27,実績!$AE$6:$AE$505,"○")&gt;0,1,0))</f>
        <v/>
      </c>
      <c r="BC27">
        <f>IF(BC$4=0,0,IF(COUNTIFS(実績!$W$6:$W$505,BC$3,実績!$AC$6:$AC$505,"&lt;="&amp;$A27,実績!$AD$6:$AD$505,"&gt;"&amp;$A27,実績!$AE$6:$AE$505,"○")&gt;0,1,0))</f>
        <v/>
      </c>
      <c r="BD27">
        <f>IF(BD$4=0,0,IF(COUNTIFS(実績!$W$6:$W$505,BD$3,実績!$AC$6:$AC$505,"&lt;="&amp;$A27,実績!$AD$6:$AD$505,"&gt;"&amp;$A27,実績!$AE$6:$AE$505,"○")&gt;0,1,0))</f>
        <v/>
      </c>
      <c r="BE27">
        <f>IF(BE$4=0,0,IF(COUNTIFS(実績!$W$6:$W$505,BE$3,実績!$AC$6:$AC$505,"&lt;="&amp;$A27,実績!$AD$6:$AD$505,"&gt;"&amp;$A27,実績!$AE$6:$AE$505,"○")&gt;0,1,0))</f>
        <v/>
      </c>
      <c r="BF27">
        <f>IF(BF$4=0,0,IF(COUNTIFS(実績!$W$6:$W$505,BF$3,実績!$AC$6:$AC$505,"&lt;="&amp;$A27,実績!$AD$6:$AD$505,"&gt;"&amp;$A27,実績!$AE$6:$AE$505,"○")&gt;0,1,0))</f>
        <v/>
      </c>
      <c r="BG27">
        <f>IF(BG$4=0,0,IF(COUNTIFS(実績!$W$6:$W$505,BG$3,実績!$AC$6:$AC$505,"&lt;="&amp;$A27,実績!$AD$6:$AD$505,"&gt;"&amp;$A27,実績!$AE$6:$AE$505,"○")&gt;0,1,0))</f>
        <v/>
      </c>
      <c r="BH27">
        <f>IF(BH$4=0,0,IF(COUNTIFS(実績!$W$6:$W$505,BH$3,実績!$AC$6:$AC$505,"&lt;="&amp;$A27,実績!$AD$6:$AD$505,"&gt;"&amp;$A27,実績!$AE$6:$AE$505,"○")&gt;0,1,0))</f>
        <v/>
      </c>
      <c r="BI27">
        <f>IF(BI$4=0,0,IF(COUNTIFS(実績!$W$6:$W$505,BI$3,実績!$AC$6:$AC$505,"&lt;="&amp;$A27,実績!$AD$6:$AD$505,"&gt;"&amp;$A27,実績!$AE$6:$AE$505,"○")&gt;0,1,0))</f>
        <v/>
      </c>
      <c r="BJ27">
        <f>IF(BJ$4=0,0,IF(COUNTIFS(実績!$W$6:$W$505,BJ$3,実績!$AC$6:$AC$505,"&lt;="&amp;$A27,実績!$AD$6:$AD$505,"&gt;"&amp;$A27,実績!$AE$6:$AE$505,"○")&gt;0,1,0))</f>
        <v/>
      </c>
      <c r="BK27">
        <f>IF(BK$4=0,0,IF(COUNTIFS(実績!$W$6:$W$505,BK$3,実績!$AC$6:$AC$505,"&lt;="&amp;$A27,実績!$AD$6:$AD$505,"&gt;"&amp;$A27,実績!$AE$6:$AE$505,"○")&gt;0,1,0))</f>
        <v/>
      </c>
      <c r="BL27">
        <f>IF(BL$4=0,0,IF(COUNTIFS(実績!$W$6:$W$505,BL$3,実績!$AC$6:$AC$505,"&lt;="&amp;$A27,実績!$AD$6:$AD$505,"&gt;"&amp;$A27,実績!$AE$6:$AE$505,"○")&gt;0,1,0))</f>
        <v/>
      </c>
      <c r="BM27">
        <f>IF(BM$4=0,0,IF(COUNTIFS(実績!$W$6:$W$505,BM$3,実績!$AC$6:$AC$505,"&lt;="&amp;$A27,実績!$AD$6:$AD$505,"&gt;"&amp;$A27,実績!$AE$6:$AE$505,"○")&gt;0,1,0))</f>
        <v/>
      </c>
      <c r="BN27">
        <f>IF(BN$4=0,0,IF(COUNTIFS(実績!$W$6:$W$505,BN$3,実績!$AC$6:$AC$505,"&lt;="&amp;$A27,実績!$AD$6:$AD$505,"&gt;"&amp;$A27,実績!$AE$6:$AE$505,"○")&gt;0,1,0))</f>
        <v/>
      </c>
      <c r="BO27">
        <f>IF(BO$4=0,0,IF(COUNTIFS(実績!$W$6:$W$505,BO$3,実績!$AC$6:$AC$505,"&lt;="&amp;$A27,実績!$AD$6:$AD$505,"&gt;"&amp;$A27,実績!$AE$6:$AE$505,"○")&gt;0,1,0))</f>
        <v/>
      </c>
      <c r="BP27">
        <f>IF(BP$4=0,0,IF(COUNTIFS(実績!$W$6:$W$505,BP$3,実績!$AC$6:$AC$505,"&lt;="&amp;$A27,実績!$AD$6:$AD$505,"&gt;"&amp;$A27,実績!$AE$6:$AE$505,"○")&gt;0,1,0))</f>
        <v/>
      </c>
      <c r="BQ27">
        <f>IF(BQ$4=0,0,IF(COUNTIFS(実績!$W$6:$W$505,BQ$3,実績!$AC$6:$AC$505,"&lt;="&amp;$A27,実績!$AD$6:$AD$505,"&gt;"&amp;$A27,実績!$AE$6:$AE$505,"○")&gt;0,1,0))</f>
        <v/>
      </c>
      <c r="BR27">
        <f>IF(BR$4=0,0,IF(COUNTIFS(実績!$W$6:$W$505,BR$3,実績!$AC$6:$AC$505,"&lt;="&amp;$A27,実績!$AD$6:$AD$505,"&gt;"&amp;$A27,実績!$AE$6:$AE$505,"○")&gt;0,1,0))</f>
        <v/>
      </c>
      <c r="BS27">
        <f>IF(BS$4=0,0,IF(COUNTIFS(実績!$W$6:$W$505,BS$3,実績!$AC$6:$AC$505,"&lt;="&amp;$A27,実績!$AD$6:$AD$505,"&gt;"&amp;$A27,実績!$AE$6:$AE$505,"○")&gt;0,1,0))</f>
        <v/>
      </c>
      <c r="BT27">
        <f>IF(BT$4=0,0,IF(COUNTIFS(実績!$W$6:$W$505,BT$3,実績!$AC$6:$AC$505,"&lt;="&amp;$A27,実績!$AD$6:$AD$505,"&gt;"&amp;$A27,実績!$AE$6:$AE$505,"○")&gt;0,1,0))</f>
        <v/>
      </c>
      <c r="BU27">
        <f>IF(BU$4=0,0,IF(COUNTIFS(実績!$W$6:$W$505,BU$3,実績!$AC$6:$AC$505,"&lt;="&amp;$A27,実績!$AD$6:$AD$505,"&gt;"&amp;$A27,実績!$AE$6:$AE$505,"○")&gt;0,1,0))</f>
        <v/>
      </c>
      <c r="BV27">
        <f>IF(BV$4=0,0,IF(COUNTIFS(実績!$W$6:$W$505,BV$3,実績!$AC$6:$AC$505,"&lt;="&amp;$A27,実績!$AD$6:$AD$505,"&gt;"&amp;$A27,実績!$AE$6:$AE$505,"○")&gt;0,1,0))</f>
        <v/>
      </c>
      <c r="BW27">
        <f>IF(BW$4=0,0,IF(COUNTIFS(実績!$W$6:$W$505,BW$3,実績!$AC$6:$AC$505,"&lt;="&amp;$A27,実績!$AD$6:$AD$505,"&gt;"&amp;$A27,実績!$AE$6:$AE$505,"○")&gt;0,1,0))</f>
        <v/>
      </c>
      <c r="BX27">
        <f>IF(BX$4=0,0,IF(COUNTIFS(実績!$W$6:$W$505,BX$3,実績!$AC$6:$AC$505,"&lt;="&amp;$A27,実績!$AD$6:$AD$505,"&gt;"&amp;$A27,実績!$AE$6:$AE$505,"○")&gt;0,1,0))</f>
        <v/>
      </c>
      <c r="BY27">
        <f>IF(BY$4=0,0,IF(COUNTIFS(実績!$W$6:$W$505,BY$3,実績!$AC$6:$AC$505,"&lt;="&amp;$A27,実績!$AD$6:$AD$505,"&gt;"&amp;$A27,実績!$AE$6:$AE$505,"○")&gt;0,1,0))</f>
        <v/>
      </c>
      <c r="BZ27">
        <f>IF(BZ$4=0,0,IF(COUNTIFS(実績!$W$6:$W$505,BZ$3,実績!$AC$6:$AC$505,"&lt;="&amp;$A27,実績!$AD$6:$AD$505,"&gt;"&amp;$A27,実績!$AE$6:$AE$505,"○")&gt;0,1,0))</f>
        <v/>
      </c>
      <c r="CA27">
        <f>IF(CA$4=0,0,IF(COUNTIFS(実績!$W$6:$W$505,CA$3,実績!$AC$6:$AC$505,"&lt;="&amp;$A27,実績!$AD$6:$AD$505,"&gt;"&amp;$A27,実績!$AE$6:$AE$505,"○")&gt;0,1,0))</f>
        <v/>
      </c>
      <c r="CB27">
        <f>IF(CB$4=0,0,IF(COUNTIFS(実績!$W$6:$W$505,CB$3,実績!$AC$6:$AC$505,"&lt;="&amp;$A27,実績!$AD$6:$AD$505,"&gt;"&amp;$A27,実績!$AE$6:$AE$505,"○")&gt;0,1,0))</f>
        <v/>
      </c>
      <c r="CC27">
        <f>IF(CC$4=0,0,IF(COUNTIFS(実績!$W$6:$W$505,CC$3,実績!$AC$6:$AC$505,"&lt;="&amp;$A27,実績!$AD$6:$AD$505,"&gt;"&amp;$A27,実績!$AE$6:$AE$505,"○")&gt;0,1,0))</f>
        <v/>
      </c>
      <c r="CD27">
        <f>IF(CD$4=0,0,IF(COUNTIFS(実績!$W$6:$W$505,CD$3,実績!$AC$6:$AC$505,"&lt;="&amp;$A27,実績!$AD$6:$AD$505,"&gt;"&amp;$A27,実績!$AE$6:$AE$505,"○")&gt;0,1,0))</f>
        <v/>
      </c>
      <c r="CE27">
        <f>IF(CE$4=0,0,IF(COUNTIFS(実績!$W$6:$W$505,CE$3,実績!$AC$6:$AC$505,"&lt;="&amp;$A27,実績!$AD$6:$AD$505,"&gt;"&amp;$A27,実績!$AE$6:$AE$505,"○")&gt;0,1,0))</f>
        <v/>
      </c>
      <c r="CF27">
        <f>IF(CF$4=0,0,IF(COUNTIFS(実績!$W$6:$W$505,CF$3,実績!$AC$6:$AC$505,"&lt;="&amp;$A27,実績!$AD$6:$AD$505,"&gt;"&amp;$A27,実績!$AE$6:$AE$505,"○")&gt;0,1,0))</f>
        <v/>
      </c>
      <c r="CG27">
        <f>IF(CG$4=0,0,IF(COUNTIFS(実績!$W$6:$W$505,CG$3,実績!$AC$6:$AC$505,"&lt;="&amp;$A27,実績!$AD$6:$AD$505,"&gt;"&amp;$A27,実績!$AE$6:$AE$505,"○")&gt;0,1,0))</f>
        <v/>
      </c>
      <c r="CH27">
        <f>IF(CH$4=0,0,IF(COUNTIFS(実績!$W$6:$W$505,CH$3,実績!$AC$6:$AC$505,"&lt;="&amp;$A27,実績!$AD$6:$AD$505,"&gt;"&amp;$A27,実績!$AE$6:$AE$505,"○")&gt;0,1,0))</f>
        <v/>
      </c>
      <c r="CI27">
        <f>IF(CI$4=0,0,IF(COUNTIFS(実績!$W$6:$W$505,CI$3,実績!$AC$6:$AC$505,"&lt;="&amp;$A27,実績!$AD$6:$AD$505,"&gt;"&amp;$A27,実績!$AE$6:$AE$505,"○")&gt;0,1,0))</f>
        <v/>
      </c>
      <c r="CJ27">
        <f>IF(CJ$4=0,0,IF(COUNTIFS(実績!$W$6:$W$505,CJ$3,実績!$AC$6:$AC$505,"&lt;="&amp;$A27,実績!$AD$6:$AD$505,"&gt;"&amp;$A27,実績!$AE$6:$AE$505,"○")&gt;0,1,0))</f>
        <v/>
      </c>
      <c r="CK27">
        <f>IF(CK$4=0,0,IF(COUNTIFS(実績!$W$6:$W$505,CK$3,実績!$AC$6:$AC$505,"&lt;="&amp;$A27,実績!$AD$6:$AD$505,"&gt;"&amp;$A27,実績!$AE$6:$AE$505,"○")&gt;0,1,0))</f>
        <v/>
      </c>
      <c r="CL27">
        <f>IF(CL$4=0,0,IF(COUNTIFS(実績!$W$6:$W$505,CL$3,実績!$AC$6:$AC$505,"&lt;="&amp;$A27,実績!$AD$6:$AD$505,"&gt;"&amp;$A27,実績!$AE$6:$AE$505,"○")&gt;0,1,0))</f>
        <v/>
      </c>
      <c r="CM27">
        <f>IF(CM$4=0,0,IF(COUNTIFS(実績!$W$6:$W$505,CM$3,実績!$AC$6:$AC$505,"&lt;="&amp;$A27,実績!$AD$6:$AD$505,"&gt;"&amp;$A27,実績!$AE$6:$AE$505,"○")&gt;0,1,0))</f>
        <v/>
      </c>
      <c r="CN27">
        <f>IF(CN$4=0,0,IF(COUNTIFS(実績!$W$6:$W$505,CN$3,実績!$AC$6:$AC$505,"&lt;="&amp;$A27,実績!$AD$6:$AD$505,"&gt;"&amp;$A27,実績!$AE$6:$AE$505,"○")&gt;0,1,0))</f>
        <v/>
      </c>
      <c r="CO27">
        <f>IF(CO$4=0,0,IF(COUNTIFS(実績!$W$6:$W$505,CO$3,実績!$AC$6:$AC$505,"&lt;="&amp;$A27,実績!$AD$6:$AD$505,"&gt;"&amp;$A27,実績!$AE$6:$AE$505,"○")&gt;0,1,0))</f>
        <v/>
      </c>
      <c r="CP27">
        <f>IF(CP$4=0,0,IF(COUNTIFS(実績!$W$6:$W$505,CP$3,実績!$AC$6:$AC$505,"&lt;="&amp;$A27,実績!$AD$6:$AD$505,"&gt;"&amp;$A27,実績!$AE$6:$AE$505,"○")&gt;0,1,0))</f>
        <v/>
      </c>
      <c r="CQ27">
        <f>IF(CQ$4=0,0,IF(COUNTIFS(実績!$W$6:$W$505,CQ$3,実績!$AC$6:$AC$505,"&lt;="&amp;$A27,実績!$AD$6:$AD$505,"&gt;"&amp;$A27,実績!$AE$6:$AE$505,"○")&gt;0,1,0))</f>
        <v/>
      </c>
      <c r="CR27">
        <f>IF(CR$4=0,0,IF(COUNTIFS(実績!$W$6:$W$505,CR$3,実績!$AC$6:$AC$505,"&lt;="&amp;$A27,実績!$AD$6:$AD$505,"&gt;"&amp;$A27,実績!$AE$6:$AE$505,"○")&gt;0,1,0))</f>
        <v/>
      </c>
      <c r="CS27">
        <f>IF(CS$4=0,0,IF(COUNTIFS(実績!$W$6:$W$505,CS$3,実績!$AC$6:$AC$505,"&lt;="&amp;$A27,実績!$AD$6:$AD$505,"&gt;"&amp;$A27,実績!$AE$6:$AE$505,"○")&gt;0,1,0))</f>
        <v/>
      </c>
      <c r="CT27">
        <f>IF(CT$4=0,0,IF(COUNTIFS(実績!$W$6:$W$505,CT$3,実績!$AC$6:$AC$505,"&lt;="&amp;$A27,実績!$AD$6:$AD$505,"&gt;"&amp;$A27,実績!$AE$6:$AE$505,"○")&gt;0,1,0))</f>
        <v/>
      </c>
      <c r="CU27">
        <f>IF(CU$4=0,0,IF(COUNTIFS(実績!$W$6:$W$505,CU$3,実績!$AC$6:$AC$505,"&lt;="&amp;$A27,実績!$AD$6:$AD$505,"&gt;"&amp;$A27,実績!$AE$6:$AE$505,"○")&gt;0,1,0))</f>
        <v/>
      </c>
      <c r="CV27">
        <f>IF(CV$4=0,0,IF(COUNTIFS(実績!$W$6:$W$505,CV$3,実績!$AC$6:$AC$505,"&lt;="&amp;$A27,実績!$AD$6:$AD$505,"&gt;"&amp;$A27,実績!$AE$6:$AE$505,"○")&gt;0,1,0))</f>
        <v/>
      </c>
      <c r="CW27">
        <f>IF(CW$4=0,0,IF(COUNTIFS(実績!$W$6:$W$505,CW$3,実績!$AC$6:$AC$505,"&lt;="&amp;$A27,実績!$AD$6:$AD$505,"&gt;"&amp;$A27,実績!$AE$6:$AE$505,"○")&gt;0,1,0))</f>
        <v/>
      </c>
      <c r="CX27">
        <f>IF(CX$4=0,0,IF(COUNTIFS(実績!$W$6:$W$505,CX$3,実績!$AC$6:$AC$505,"&lt;="&amp;$A27,実績!$AD$6:$AD$505,"&gt;"&amp;$A27,実績!$AE$6:$AE$505,"○")&gt;0,1,0))</f>
        <v/>
      </c>
      <c r="CY27">
        <f>IF(CY$4=0,0,IF(COUNTIFS(実績!$W$6:$W$505,CY$3,実績!$AC$6:$AC$505,"&lt;="&amp;$A27,実績!$AD$6:$AD$505,"&gt;"&amp;$A27,実績!$AE$6:$AE$505,"○")&gt;0,1,0))</f>
        <v/>
      </c>
      <c r="CZ27">
        <f>IF(CZ$4=0,0,IF(COUNTIFS(実績!$W$6:$W$505,CZ$3,実績!$AC$6:$AC$505,"&lt;="&amp;$A27,実績!$AD$6:$AD$505,"&gt;"&amp;$A27,実績!$AE$6:$AE$505,"○")&gt;0,1,0))</f>
        <v/>
      </c>
      <c r="DA27">
        <f>IF(DA$4=0,0,IF(COUNTIFS(実績!$W$6:$W$505,DA$3,実績!$AC$6:$AC$505,"&lt;="&amp;$A27,実績!$AD$6:$AD$505,"&gt;"&amp;$A27,実績!$AE$6:$AE$505,"○")&gt;0,1,0))</f>
        <v/>
      </c>
      <c r="DB27">
        <f>IF(DB$4=0,0,IF(COUNTIFS(実績!$W$6:$W$505,DB$3,実績!$AC$6:$AC$505,"&lt;="&amp;$A27,実績!$AD$6:$AD$505,"&gt;"&amp;$A27,実績!$AE$6:$AE$505,"○")&gt;0,1,0))</f>
        <v/>
      </c>
      <c r="DC27">
        <f>IF(DC$4=0,0,IF(COUNTIFS(実績!$W$6:$W$505,DC$3,実績!$AC$6:$AC$505,"&lt;="&amp;$A27,実績!$AD$6:$AD$505,"&gt;"&amp;$A27,実績!$AE$6:$AE$505,"○")&gt;0,1,0))</f>
        <v/>
      </c>
      <c r="DD27">
        <f>IF(DD$4=0,0,IF(COUNTIFS(実績!$W$6:$W$505,DD$3,実績!$AC$6:$AC$505,"&lt;="&amp;$A27,実績!$AD$6:$AD$505,"&gt;"&amp;$A27,実績!$AE$6:$AE$505,"○")&gt;0,1,0))</f>
        <v/>
      </c>
      <c r="DE27">
        <f>IF(DE$4=0,0,IF(COUNTIFS(実績!$W$6:$W$505,DE$3,実績!$AC$6:$AC$505,"&lt;="&amp;$A27,実績!$AD$6:$AD$505,"&gt;"&amp;$A27,実績!$AE$6:$AE$505,"○")&gt;0,1,0))</f>
        <v/>
      </c>
      <c r="DF27">
        <f>IF(DF$4=0,0,IF(COUNTIFS(実績!$W$6:$W$505,DF$3,実績!$AC$6:$AC$505,"&lt;="&amp;$A27,実績!$AD$6:$AD$505,"&gt;"&amp;$A27,実績!$AE$6:$AE$505,"○")&gt;0,1,0))</f>
        <v/>
      </c>
      <c r="DG27">
        <f>IF(DG$4=0,0,IF(COUNTIFS(実績!$W$6:$W$505,DG$3,実績!$AC$6:$AC$505,"&lt;="&amp;$A27,実績!$AD$6:$AD$505,"&gt;"&amp;$A27,実績!$AE$6:$AE$505,"○")&gt;0,1,0))</f>
        <v/>
      </c>
      <c r="DH27">
        <f>IF(DH$4=0,0,IF(COUNTIFS(実績!$W$6:$W$505,DH$3,実績!$AC$6:$AC$505,"&lt;="&amp;$A27,実績!$AD$6:$AD$505,"&gt;"&amp;$A27,実績!$AE$6:$AE$505,"○")&gt;0,1,0))</f>
        <v/>
      </c>
      <c r="DI27">
        <f>IF(DI$4=0,0,IF(COUNTIFS(実績!$W$6:$W$505,DI$3,実績!$AC$6:$AC$505,"&lt;="&amp;$A27,実績!$AD$6:$AD$505,"&gt;"&amp;$A27,実績!$AE$6:$AE$505,"○")&gt;0,1,0))</f>
        <v/>
      </c>
      <c r="DJ27">
        <f>IF(DJ$4=0,0,IF(COUNTIFS(実績!$W$6:$W$505,DJ$3,実績!$AC$6:$AC$505,"&lt;="&amp;$A27,実績!$AD$6:$AD$505,"&gt;"&amp;$A27,実績!$AE$6:$AE$505,"○")&gt;0,1,0))</f>
        <v/>
      </c>
      <c r="DK27">
        <f>IF(DK$4=0,0,IF(COUNTIFS(実績!$W$6:$W$505,DK$3,実績!$AC$6:$AC$505,"&lt;="&amp;$A27,実績!$AD$6:$AD$505,"&gt;"&amp;$A27,実績!$AE$6:$AE$505,"○")&gt;0,1,0))</f>
        <v/>
      </c>
      <c r="DL27">
        <f>IF(DL$4=0,0,IF(COUNTIFS(実績!$W$6:$W$505,DL$3,実績!$AC$6:$AC$505,"&lt;="&amp;$A27,実績!$AD$6:$AD$505,"&gt;"&amp;$A27,実績!$AE$6:$AE$505,"○")&gt;0,1,0))</f>
        <v/>
      </c>
      <c r="DM27">
        <f>IF(DM$4=0,0,IF(COUNTIFS(実績!$W$6:$W$505,DM$3,実績!$AC$6:$AC$505,"&lt;="&amp;$A27,実績!$AD$6:$AD$505,"&gt;"&amp;$A27,実績!$AE$6:$AE$505,"○")&gt;0,1,0))</f>
        <v/>
      </c>
      <c r="DN27">
        <f>IF(DN$4=0,0,IF(COUNTIFS(実績!$W$6:$W$505,DN$3,実績!$AC$6:$AC$505,"&lt;="&amp;$A27,実績!$AD$6:$AD$505,"&gt;"&amp;$A27,実績!$AE$6:$AE$505,"○")&gt;0,1,0))</f>
        <v/>
      </c>
      <c r="DO27">
        <f>IF(DO$4=0,0,IF(COUNTIFS(実績!$W$6:$W$505,DO$3,実績!$AC$6:$AC$505,"&lt;="&amp;$A27,実績!$AD$6:$AD$505,"&gt;"&amp;$A27,実績!$AE$6:$AE$505,"○")&gt;0,1,0))</f>
        <v/>
      </c>
      <c r="DP27">
        <f>IF(DP$4=0,0,IF(COUNTIFS(実績!$W$6:$W$505,DP$3,実績!$AC$6:$AC$505,"&lt;="&amp;$A27,実績!$AD$6:$AD$505,"&gt;"&amp;$A27,実績!$AE$6:$AE$505,"○")&gt;0,1,0))</f>
        <v/>
      </c>
      <c r="DQ27">
        <f>IF(DQ$4=0,0,IF(COUNTIFS(実績!$W$6:$W$505,DQ$3,実績!$AC$6:$AC$505,"&lt;="&amp;$A27,実績!$AD$6:$AD$505,"&gt;"&amp;$A27,実績!$AE$6:$AE$505,"○")&gt;0,1,0))</f>
        <v/>
      </c>
      <c r="DR27">
        <f>IF(DR$4=0,0,IF(COUNTIFS(実績!$W$6:$W$505,DR$3,実績!$AC$6:$AC$505,"&lt;="&amp;$A27,実績!$AD$6:$AD$505,"&gt;"&amp;$A27,実績!$AE$6:$AE$505,"○")&gt;0,1,0))</f>
        <v/>
      </c>
      <c r="DS27">
        <f>SUM(C27:DR27)</f>
        <v/>
      </c>
      <c r="DT27">
        <f>SUMPRODUCT((実績!$C$6:$C$505="○")*ISNUMBER(実績!$AF$6:$AF$505)*(実績!$AF$6:$AF$505&lt;=$A27)*(実績!$AG$6:$AG$505&gt;$A27))</f>
        <v/>
      </c>
      <c r="DU27">
        <f>SUMIF($C$2:$DR$2,"製鉄曳船",C27:DR27)</f>
        <v/>
      </c>
      <c r="DV27">
        <f>SUMIF($C$2:$DR$2,"西日本海運",C27:DR27)</f>
        <v/>
      </c>
    </row>
    <row r="28">
      <c r="A28" t="n">
        <v>110</v>
      </c>
      <c r="B28" s="29">
        <f>A28/1440</f>
        <v/>
      </c>
      <c r="C28">
        <f>IF(C$4=0,0,IF(COUNTIFS(実績!$W$6:$W$505,C$3,実績!$AC$6:$AC$505,"&lt;="&amp;$A28,実績!$AD$6:$AD$505,"&gt;"&amp;$A28,実績!$AE$6:$AE$505,"○")&gt;0,1,0))</f>
        <v/>
      </c>
      <c r="D28">
        <f>IF(D$4=0,0,IF(COUNTIFS(実績!$W$6:$W$505,D$3,実績!$AC$6:$AC$505,"&lt;="&amp;$A28,実績!$AD$6:$AD$505,"&gt;"&amp;$A28,実績!$AE$6:$AE$505,"○")&gt;0,1,0))</f>
        <v/>
      </c>
      <c r="E28">
        <f>IF(E$4=0,0,IF(COUNTIFS(実績!$W$6:$W$505,E$3,実績!$AC$6:$AC$505,"&lt;="&amp;$A28,実績!$AD$6:$AD$505,"&gt;"&amp;$A28,実績!$AE$6:$AE$505,"○")&gt;0,1,0))</f>
        <v/>
      </c>
      <c r="F28">
        <f>IF(F$4=0,0,IF(COUNTIFS(実績!$W$6:$W$505,F$3,実績!$AC$6:$AC$505,"&lt;="&amp;$A28,実績!$AD$6:$AD$505,"&gt;"&amp;$A28,実績!$AE$6:$AE$505,"○")&gt;0,1,0))</f>
        <v/>
      </c>
      <c r="G28">
        <f>IF(G$4=0,0,IF(COUNTIFS(実績!$W$6:$W$505,G$3,実績!$AC$6:$AC$505,"&lt;="&amp;$A28,実績!$AD$6:$AD$505,"&gt;"&amp;$A28,実績!$AE$6:$AE$505,"○")&gt;0,1,0))</f>
        <v/>
      </c>
      <c r="H28">
        <f>IF(H$4=0,0,IF(COUNTIFS(実績!$W$6:$W$505,H$3,実績!$AC$6:$AC$505,"&lt;="&amp;$A28,実績!$AD$6:$AD$505,"&gt;"&amp;$A28,実績!$AE$6:$AE$505,"○")&gt;0,1,0))</f>
        <v/>
      </c>
      <c r="I28">
        <f>IF(I$4=0,0,IF(COUNTIFS(実績!$W$6:$W$505,I$3,実績!$AC$6:$AC$505,"&lt;="&amp;$A28,実績!$AD$6:$AD$505,"&gt;"&amp;$A28,実績!$AE$6:$AE$505,"○")&gt;0,1,0))</f>
        <v/>
      </c>
      <c r="J28">
        <f>IF(J$4=0,0,IF(COUNTIFS(実績!$W$6:$W$505,J$3,実績!$AC$6:$AC$505,"&lt;="&amp;$A28,実績!$AD$6:$AD$505,"&gt;"&amp;$A28,実績!$AE$6:$AE$505,"○")&gt;0,1,0))</f>
        <v/>
      </c>
      <c r="K28">
        <f>IF(K$4=0,0,IF(COUNTIFS(実績!$W$6:$W$505,K$3,実績!$AC$6:$AC$505,"&lt;="&amp;$A28,実績!$AD$6:$AD$505,"&gt;"&amp;$A28,実績!$AE$6:$AE$505,"○")&gt;0,1,0))</f>
        <v/>
      </c>
      <c r="L28">
        <f>IF(L$4=0,0,IF(COUNTIFS(実績!$W$6:$W$505,L$3,実績!$AC$6:$AC$505,"&lt;="&amp;$A28,実績!$AD$6:$AD$505,"&gt;"&amp;$A28,実績!$AE$6:$AE$505,"○")&gt;0,1,0))</f>
        <v/>
      </c>
      <c r="M28">
        <f>IF(M$4=0,0,IF(COUNTIFS(実績!$W$6:$W$505,M$3,実績!$AC$6:$AC$505,"&lt;="&amp;$A28,実績!$AD$6:$AD$505,"&gt;"&amp;$A28,実績!$AE$6:$AE$505,"○")&gt;0,1,0))</f>
        <v/>
      </c>
      <c r="N28">
        <f>IF(N$4=0,0,IF(COUNTIFS(実績!$W$6:$W$505,N$3,実績!$AC$6:$AC$505,"&lt;="&amp;$A28,実績!$AD$6:$AD$505,"&gt;"&amp;$A28,実績!$AE$6:$AE$505,"○")&gt;0,1,0))</f>
        <v/>
      </c>
      <c r="O28">
        <f>IF(O$4=0,0,IF(COUNTIFS(実績!$W$6:$W$505,O$3,実績!$AC$6:$AC$505,"&lt;="&amp;$A28,実績!$AD$6:$AD$505,"&gt;"&amp;$A28,実績!$AE$6:$AE$505,"○")&gt;0,1,0))</f>
        <v/>
      </c>
      <c r="P28">
        <f>IF(P$4=0,0,IF(COUNTIFS(実績!$W$6:$W$505,P$3,実績!$AC$6:$AC$505,"&lt;="&amp;$A28,実績!$AD$6:$AD$505,"&gt;"&amp;$A28,実績!$AE$6:$AE$505,"○")&gt;0,1,0))</f>
        <v/>
      </c>
      <c r="Q28">
        <f>IF(Q$4=0,0,IF(COUNTIFS(実績!$W$6:$W$505,Q$3,実績!$AC$6:$AC$505,"&lt;="&amp;$A28,実績!$AD$6:$AD$505,"&gt;"&amp;$A28,実績!$AE$6:$AE$505,"○")&gt;0,1,0))</f>
        <v/>
      </c>
      <c r="R28">
        <f>IF(R$4=0,0,IF(COUNTIFS(実績!$W$6:$W$505,R$3,実績!$AC$6:$AC$505,"&lt;="&amp;$A28,実績!$AD$6:$AD$505,"&gt;"&amp;$A28,実績!$AE$6:$AE$505,"○")&gt;0,1,0))</f>
        <v/>
      </c>
      <c r="S28">
        <f>IF(S$4=0,0,IF(COUNTIFS(実績!$W$6:$W$505,S$3,実績!$AC$6:$AC$505,"&lt;="&amp;$A28,実績!$AD$6:$AD$505,"&gt;"&amp;$A28,実績!$AE$6:$AE$505,"○")&gt;0,1,0))</f>
        <v/>
      </c>
      <c r="T28">
        <f>IF(T$4=0,0,IF(COUNTIFS(実績!$W$6:$W$505,T$3,実績!$AC$6:$AC$505,"&lt;="&amp;$A28,実績!$AD$6:$AD$505,"&gt;"&amp;$A28,実績!$AE$6:$AE$505,"○")&gt;0,1,0))</f>
        <v/>
      </c>
      <c r="U28">
        <f>IF(U$4=0,0,IF(COUNTIFS(実績!$W$6:$W$505,U$3,実績!$AC$6:$AC$505,"&lt;="&amp;$A28,実績!$AD$6:$AD$505,"&gt;"&amp;$A28,実績!$AE$6:$AE$505,"○")&gt;0,1,0))</f>
        <v/>
      </c>
      <c r="V28">
        <f>IF(V$4=0,0,IF(COUNTIFS(実績!$W$6:$W$505,V$3,実績!$AC$6:$AC$505,"&lt;="&amp;$A28,実績!$AD$6:$AD$505,"&gt;"&amp;$A28,実績!$AE$6:$AE$505,"○")&gt;0,1,0))</f>
        <v/>
      </c>
      <c r="W28">
        <f>IF(W$4=0,0,IF(COUNTIFS(実績!$W$6:$W$505,W$3,実績!$AC$6:$AC$505,"&lt;="&amp;$A28,実績!$AD$6:$AD$505,"&gt;"&amp;$A28,実績!$AE$6:$AE$505,"○")&gt;0,1,0))</f>
        <v/>
      </c>
      <c r="X28">
        <f>IF(X$4=0,0,IF(COUNTIFS(実績!$W$6:$W$505,X$3,実績!$AC$6:$AC$505,"&lt;="&amp;$A28,実績!$AD$6:$AD$505,"&gt;"&amp;$A28,実績!$AE$6:$AE$505,"○")&gt;0,1,0))</f>
        <v/>
      </c>
      <c r="Y28">
        <f>IF(Y$4=0,0,IF(COUNTIFS(実績!$W$6:$W$505,Y$3,実績!$AC$6:$AC$505,"&lt;="&amp;$A28,実績!$AD$6:$AD$505,"&gt;"&amp;$A28,実績!$AE$6:$AE$505,"○")&gt;0,1,0))</f>
        <v/>
      </c>
      <c r="Z28">
        <f>IF(Z$4=0,0,IF(COUNTIFS(実績!$W$6:$W$505,Z$3,実績!$AC$6:$AC$505,"&lt;="&amp;$A28,実績!$AD$6:$AD$505,"&gt;"&amp;$A28,実績!$AE$6:$AE$505,"○")&gt;0,1,0))</f>
        <v/>
      </c>
      <c r="AA28">
        <f>IF(AA$4=0,0,IF(COUNTIFS(実績!$W$6:$W$505,AA$3,実績!$AC$6:$AC$505,"&lt;="&amp;$A28,実績!$AD$6:$AD$505,"&gt;"&amp;$A28,実績!$AE$6:$AE$505,"○")&gt;0,1,0))</f>
        <v/>
      </c>
      <c r="AB28">
        <f>IF(AB$4=0,0,IF(COUNTIFS(実績!$W$6:$W$505,AB$3,実績!$AC$6:$AC$505,"&lt;="&amp;$A28,実績!$AD$6:$AD$505,"&gt;"&amp;$A28,実績!$AE$6:$AE$505,"○")&gt;0,1,0))</f>
        <v/>
      </c>
      <c r="AC28">
        <f>IF(AC$4=0,0,IF(COUNTIFS(実績!$W$6:$W$505,AC$3,実績!$AC$6:$AC$505,"&lt;="&amp;$A28,実績!$AD$6:$AD$505,"&gt;"&amp;$A28,実績!$AE$6:$AE$505,"○")&gt;0,1,0))</f>
        <v/>
      </c>
      <c r="AD28">
        <f>IF(AD$4=0,0,IF(COUNTIFS(実績!$W$6:$W$505,AD$3,実績!$AC$6:$AC$505,"&lt;="&amp;$A28,実績!$AD$6:$AD$505,"&gt;"&amp;$A28,実績!$AE$6:$AE$505,"○")&gt;0,1,0))</f>
        <v/>
      </c>
      <c r="AE28">
        <f>IF(AE$4=0,0,IF(COUNTIFS(実績!$W$6:$W$505,AE$3,実績!$AC$6:$AC$505,"&lt;="&amp;$A28,実績!$AD$6:$AD$505,"&gt;"&amp;$A28,実績!$AE$6:$AE$505,"○")&gt;0,1,0))</f>
        <v/>
      </c>
      <c r="AF28">
        <f>IF(AF$4=0,0,IF(COUNTIFS(実績!$W$6:$W$505,AF$3,実績!$AC$6:$AC$505,"&lt;="&amp;$A28,実績!$AD$6:$AD$505,"&gt;"&amp;$A28,実績!$AE$6:$AE$505,"○")&gt;0,1,0))</f>
        <v/>
      </c>
      <c r="AG28">
        <f>IF(AG$4=0,0,IF(COUNTIFS(実績!$W$6:$W$505,AG$3,実績!$AC$6:$AC$505,"&lt;="&amp;$A28,実績!$AD$6:$AD$505,"&gt;"&amp;$A28,実績!$AE$6:$AE$505,"○")&gt;0,1,0))</f>
        <v/>
      </c>
      <c r="AH28">
        <f>IF(AH$4=0,0,IF(COUNTIFS(実績!$W$6:$W$505,AH$3,実績!$AC$6:$AC$505,"&lt;="&amp;$A28,実績!$AD$6:$AD$505,"&gt;"&amp;$A28,実績!$AE$6:$AE$505,"○")&gt;0,1,0))</f>
        <v/>
      </c>
      <c r="AI28">
        <f>IF(AI$4=0,0,IF(COUNTIFS(実績!$W$6:$W$505,AI$3,実績!$AC$6:$AC$505,"&lt;="&amp;$A28,実績!$AD$6:$AD$505,"&gt;"&amp;$A28,実績!$AE$6:$AE$505,"○")&gt;0,1,0))</f>
        <v/>
      </c>
      <c r="AJ28">
        <f>IF(AJ$4=0,0,IF(COUNTIFS(実績!$W$6:$W$505,AJ$3,実績!$AC$6:$AC$505,"&lt;="&amp;$A28,実績!$AD$6:$AD$505,"&gt;"&amp;$A28,実績!$AE$6:$AE$505,"○")&gt;0,1,0))</f>
        <v/>
      </c>
      <c r="AK28">
        <f>IF(AK$4=0,0,IF(COUNTIFS(実績!$W$6:$W$505,AK$3,実績!$AC$6:$AC$505,"&lt;="&amp;$A28,実績!$AD$6:$AD$505,"&gt;"&amp;$A28,実績!$AE$6:$AE$505,"○")&gt;0,1,0))</f>
        <v/>
      </c>
      <c r="AL28">
        <f>IF(AL$4=0,0,IF(COUNTIFS(実績!$W$6:$W$505,AL$3,実績!$AC$6:$AC$505,"&lt;="&amp;$A28,実績!$AD$6:$AD$505,"&gt;"&amp;$A28,実績!$AE$6:$AE$505,"○")&gt;0,1,0))</f>
        <v/>
      </c>
      <c r="AM28">
        <f>IF(AM$4=0,0,IF(COUNTIFS(実績!$W$6:$W$505,AM$3,実績!$AC$6:$AC$505,"&lt;="&amp;$A28,実績!$AD$6:$AD$505,"&gt;"&amp;$A28,実績!$AE$6:$AE$505,"○")&gt;0,1,0))</f>
        <v/>
      </c>
      <c r="AN28">
        <f>IF(AN$4=0,0,IF(COUNTIFS(実績!$W$6:$W$505,AN$3,実績!$AC$6:$AC$505,"&lt;="&amp;$A28,実績!$AD$6:$AD$505,"&gt;"&amp;$A28,実績!$AE$6:$AE$505,"○")&gt;0,1,0))</f>
        <v/>
      </c>
      <c r="AO28">
        <f>IF(AO$4=0,0,IF(COUNTIFS(実績!$W$6:$W$505,AO$3,実績!$AC$6:$AC$505,"&lt;="&amp;$A28,実績!$AD$6:$AD$505,"&gt;"&amp;$A28,実績!$AE$6:$AE$505,"○")&gt;0,1,0))</f>
        <v/>
      </c>
      <c r="AP28">
        <f>IF(AP$4=0,0,IF(COUNTIFS(実績!$W$6:$W$505,AP$3,実績!$AC$6:$AC$505,"&lt;="&amp;$A28,実績!$AD$6:$AD$505,"&gt;"&amp;$A28,実績!$AE$6:$AE$505,"○")&gt;0,1,0))</f>
        <v/>
      </c>
      <c r="AQ28">
        <f>IF(AQ$4=0,0,IF(COUNTIFS(実績!$W$6:$W$505,AQ$3,実績!$AC$6:$AC$505,"&lt;="&amp;$A28,実績!$AD$6:$AD$505,"&gt;"&amp;$A28,実績!$AE$6:$AE$505,"○")&gt;0,1,0))</f>
        <v/>
      </c>
      <c r="AR28">
        <f>IF(AR$4=0,0,IF(COUNTIFS(実績!$W$6:$W$505,AR$3,実績!$AC$6:$AC$505,"&lt;="&amp;$A28,実績!$AD$6:$AD$505,"&gt;"&amp;$A28,実績!$AE$6:$AE$505,"○")&gt;0,1,0))</f>
        <v/>
      </c>
      <c r="AS28">
        <f>IF(AS$4=0,0,IF(COUNTIFS(実績!$W$6:$W$505,AS$3,実績!$AC$6:$AC$505,"&lt;="&amp;$A28,実績!$AD$6:$AD$505,"&gt;"&amp;$A28,実績!$AE$6:$AE$505,"○")&gt;0,1,0))</f>
        <v/>
      </c>
      <c r="AT28">
        <f>IF(AT$4=0,0,IF(COUNTIFS(実績!$W$6:$W$505,AT$3,実績!$AC$6:$AC$505,"&lt;="&amp;$A28,実績!$AD$6:$AD$505,"&gt;"&amp;$A28,実績!$AE$6:$AE$505,"○")&gt;0,1,0))</f>
        <v/>
      </c>
      <c r="AU28">
        <f>IF(AU$4=0,0,IF(COUNTIFS(実績!$W$6:$W$505,AU$3,実績!$AC$6:$AC$505,"&lt;="&amp;$A28,実績!$AD$6:$AD$505,"&gt;"&amp;$A28,実績!$AE$6:$AE$505,"○")&gt;0,1,0))</f>
        <v/>
      </c>
      <c r="AV28">
        <f>IF(AV$4=0,0,IF(COUNTIFS(実績!$W$6:$W$505,AV$3,実績!$AC$6:$AC$505,"&lt;="&amp;$A28,実績!$AD$6:$AD$505,"&gt;"&amp;$A28,実績!$AE$6:$AE$505,"○")&gt;0,1,0))</f>
        <v/>
      </c>
      <c r="AW28">
        <f>IF(AW$4=0,0,IF(COUNTIFS(実績!$W$6:$W$505,AW$3,実績!$AC$6:$AC$505,"&lt;="&amp;$A28,実績!$AD$6:$AD$505,"&gt;"&amp;$A28,実績!$AE$6:$AE$505,"○")&gt;0,1,0))</f>
        <v/>
      </c>
      <c r="AX28">
        <f>IF(AX$4=0,0,IF(COUNTIFS(実績!$W$6:$W$505,AX$3,実績!$AC$6:$AC$505,"&lt;="&amp;$A28,実績!$AD$6:$AD$505,"&gt;"&amp;$A28,実績!$AE$6:$AE$505,"○")&gt;0,1,0))</f>
        <v/>
      </c>
      <c r="AY28">
        <f>IF(AY$4=0,0,IF(COUNTIFS(実績!$W$6:$W$505,AY$3,実績!$AC$6:$AC$505,"&lt;="&amp;$A28,実績!$AD$6:$AD$505,"&gt;"&amp;$A28,実績!$AE$6:$AE$505,"○")&gt;0,1,0))</f>
        <v/>
      </c>
      <c r="AZ28">
        <f>IF(AZ$4=0,0,IF(COUNTIFS(実績!$W$6:$W$505,AZ$3,実績!$AC$6:$AC$505,"&lt;="&amp;$A28,実績!$AD$6:$AD$505,"&gt;"&amp;$A28,実績!$AE$6:$AE$505,"○")&gt;0,1,0))</f>
        <v/>
      </c>
      <c r="BA28">
        <f>IF(BA$4=0,0,IF(COUNTIFS(実績!$W$6:$W$505,BA$3,実績!$AC$6:$AC$505,"&lt;="&amp;$A28,実績!$AD$6:$AD$505,"&gt;"&amp;$A28,実績!$AE$6:$AE$505,"○")&gt;0,1,0))</f>
        <v/>
      </c>
      <c r="BB28">
        <f>IF(BB$4=0,0,IF(COUNTIFS(実績!$W$6:$W$505,BB$3,実績!$AC$6:$AC$505,"&lt;="&amp;$A28,実績!$AD$6:$AD$505,"&gt;"&amp;$A28,実績!$AE$6:$AE$505,"○")&gt;0,1,0))</f>
        <v/>
      </c>
      <c r="BC28">
        <f>IF(BC$4=0,0,IF(COUNTIFS(実績!$W$6:$W$505,BC$3,実績!$AC$6:$AC$505,"&lt;="&amp;$A28,実績!$AD$6:$AD$505,"&gt;"&amp;$A28,実績!$AE$6:$AE$505,"○")&gt;0,1,0))</f>
        <v/>
      </c>
      <c r="BD28">
        <f>IF(BD$4=0,0,IF(COUNTIFS(実績!$W$6:$W$505,BD$3,実績!$AC$6:$AC$505,"&lt;="&amp;$A28,実績!$AD$6:$AD$505,"&gt;"&amp;$A28,実績!$AE$6:$AE$505,"○")&gt;0,1,0))</f>
        <v/>
      </c>
      <c r="BE28">
        <f>IF(BE$4=0,0,IF(COUNTIFS(実績!$W$6:$W$505,BE$3,実績!$AC$6:$AC$505,"&lt;="&amp;$A28,実績!$AD$6:$AD$505,"&gt;"&amp;$A28,実績!$AE$6:$AE$505,"○")&gt;0,1,0))</f>
        <v/>
      </c>
      <c r="BF28">
        <f>IF(BF$4=0,0,IF(COUNTIFS(実績!$W$6:$W$505,BF$3,実績!$AC$6:$AC$505,"&lt;="&amp;$A28,実績!$AD$6:$AD$505,"&gt;"&amp;$A28,実績!$AE$6:$AE$505,"○")&gt;0,1,0))</f>
        <v/>
      </c>
      <c r="BG28">
        <f>IF(BG$4=0,0,IF(COUNTIFS(実績!$W$6:$W$505,BG$3,実績!$AC$6:$AC$505,"&lt;="&amp;$A28,実績!$AD$6:$AD$505,"&gt;"&amp;$A28,実績!$AE$6:$AE$505,"○")&gt;0,1,0))</f>
        <v/>
      </c>
      <c r="BH28">
        <f>IF(BH$4=0,0,IF(COUNTIFS(実績!$W$6:$W$505,BH$3,実績!$AC$6:$AC$505,"&lt;="&amp;$A28,実績!$AD$6:$AD$505,"&gt;"&amp;$A28,実績!$AE$6:$AE$505,"○")&gt;0,1,0))</f>
        <v/>
      </c>
      <c r="BI28">
        <f>IF(BI$4=0,0,IF(COUNTIFS(実績!$W$6:$W$505,BI$3,実績!$AC$6:$AC$505,"&lt;="&amp;$A28,実績!$AD$6:$AD$505,"&gt;"&amp;$A28,実績!$AE$6:$AE$505,"○")&gt;0,1,0))</f>
        <v/>
      </c>
      <c r="BJ28">
        <f>IF(BJ$4=0,0,IF(COUNTIFS(実績!$W$6:$W$505,BJ$3,実績!$AC$6:$AC$505,"&lt;="&amp;$A28,実績!$AD$6:$AD$505,"&gt;"&amp;$A28,実績!$AE$6:$AE$505,"○")&gt;0,1,0))</f>
        <v/>
      </c>
      <c r="BK28">
        <f>IF(BK$4=0,0,IF(COUNTIFS(実績!$W$6:$W$505,BK$3,実績!$AC$6:$AC$505,"&lt;="&amp;$A28,実績!$AD$6:$AD$505,"&gt;"&amp;$A28,実績!$AE$6:$AE$505,"○")&gt;0,1,0))</f>
        <v/>
      </c>
      <c r="BL28">
        <f>IF(BL$4=0,0,IF(COUNTIFS(実績!$W$6:$W$505,BL$3,実績!$AC$6:$AC$505,"&lt;="&amp;$A28,実績!$AD$6:$AD$505,"&gt;"&amp;$A28,実績!$AE$6:$AE$505,"○")&gt;0,1,0))</f>
        <v/>
      </c>
      <c r="BM28">
        <f>IF(BM$4=0,0,IF(COUNTIFS(実績!$W$6:$W$505,BM$3,実績!$AC$6:$AC$505,"&lt;="&amp;$A28,実績!$AD$6:$AD$505,"&gt;"&amp;$A28,実績!$AE$6:$AE$505,"○")&gt;0,1,0))</f>
        <v/>
      </c>
      <c r="BN28">
        <f>IF(BN$4=0,0,IF(COUNTIFS(実績!$W$6:$W$505,BN$3,実績!$AC$6:$AC$505,"&lt;="&amp;$A28,実績!$AD$6:$AD$505,"&gt;"&amp;$A28,実績!$AE$6:$AE$505,"○")&gt;0,1,0))</f>
        <v/>
      </c>
      <c r="BO28">
        <f>IF(BO$4=0,0,IF(COUNTIFS(実績!$W$6:$W$505,BO$3,実績!$AC$6:$AC$505,"&lt;="&amp;$A28,実績!$AD$6:$AD$505,"&gt;"&amp;$A28,実績!$AE$6:$AE$505,"○")&gt;0,1,0))</f>
        <v/>
      </c>
      <c r="BP28">
        <f>IF(BP$4=0,0,IF(COUNTIFS(実績!$W$6:$W$505,BP$3,実績!$AC$6:$AC$505,"&lt;="&amp;$A28,実績!$AD$6:$AD$505,"&gt;"&amp;$A28,実績!$AE$6:$AE$505,"○")&gt;0,1,0))</f>
        <v/>
      </c>
      <c r="BQ28">
        <f>IF(BQ$4=0,0,IF(COUNTIFS(実績!$W$6:$W$505,BQ$3,実績!$AC$6:$AC$505,"&lt;="&amp;$A28,実績!$AD$6:$AD$505,"&gt;"&amp;$A28,実績!$AE$6:$AE$505,"○")&gt;0,1,0))</f>
        <v/>
      </c>
      <c r="BR28">
        <f>IF(BR$4=0,0,IF(COUNTIFS(実績!$W$6:$W$505,BR$3,実績!$AC$6:$AC$505,"&lt;="&amp;$A28,実績!$AD$6:$AD$505,"&gt;"&amp;$A28,実績!$AE$6:$AE$505,"○")&gt;0,1,0))</f>
        <v/>
      </c>
      <c r="BS28">
        <f>IF(BS$4=0,0,IF(COUNTIFS(実績!$W$6:$W$505,BS$3,実績!$AC$6:$AC$505,"&lt;="&amp;$A28,実績!$AD$6:$AD$505,"&gt;"&amp;$A28,実績!$AE$6:$AE$505,"○")&gt;0,1,0))</f>
        <v/>
      </c>
      <c r="BT28">
        <f>IF(BT$4=0,0,IF(COUNTIFS(実績!$W$6:$W$505,BT$3,実績!$AC$6:$AC$505,"&lt;="&amp;$A28,実績!$AD$6:$AD$505,"&gt;"&amp;$A28,実績!$AE$6:$AE$505,"○")&gt;0,1,0))</f>
        <v/>
      </c>
      <c r="BU28">
        <f>IF(BU$4=0,0,IF(COUNTIFS(実績!$W$6:$W$505,BU$3,実績!$AC$6:$AC$505,"&lt;="&amp;$A28,実績!$AD$6:$AD$505,"&gt;"&amp;$A28,実績!$AE$6:$AE$505,"○")&gt;0,1,0))</f>
        <v/>
      </c>
      <c r="BV28">
        <f>IF(BV$4=0,0,IF(COUNTIFS(実績!$W$6:$W$505,BV$3,実績!$AC$6:$AC$505,"&lt;="&amp;$A28,実績!$AD$6:$AD$505,"&gt;"&amp;$A28,実績!$AE$6:$AE$505,"○")&gt;0,1,0))</f>
        <v/>
      </c>
      <c r="BW28">
        <f>IF(BW$4=0,0,IF(COUNTIFS(実績!$W$6:$W$505,BW$3,実績!$AC$6:$AC$505,"&lt;="&amp;$A28,実績!$AD$6:$AD$505,"&gt;"&amp;$A28,実績!$AE$6:$AE$505,"○")&gt;0,1,0))</f>
        <v/>
      </c>
      <c r="BX28">
        <f>IF(BX$4=0,0,IF(COUNTIFS(実績!$W$6:$W$505,BX$3,実績!$AC$6:$AC$505,"&lt;="&amp;$A28,実績!$AD$6:$AD$505,"&gt;"&amp;$A28,実績!$AE$6:$AE$505,"○")&gt;0,1,0))</f>
        <v/>
      </c>
      <c r="BY28">
        <f>IF(BY$4=0,0,IF(COUNTIFS(実績!$W$6:$W$505,BY$3,実績!$AC$6:$AC$505,"&lt;="&amp;$A28,実績!$AD$6:$AD$505,"&gt;"&amp;$A28,実績!$AE$6:$AE$505,"○")&gt;0,1,0))</f>
        <v/>
      </c>
      <c r="BZ28">
        <f>IF(BZ$4=0,0,IF(COUNTIFS(実績!$W$6:$W$505,BZ$3,実績!$AC$6:$AC$505,"&lt;="&amp;$A28,実績!$AD$6:$AD$505,"&gt;"&amp;$A28,実績!$AE$6:$AE$505,"○")&gt;0,1,0))</f>
        <v/>
      </c>
      <c r="CA28">
        <f>IF(CA$4=0,0,IF(COUNTIFS(実績!$W$6:$W$505,CA$3,実績!$AC$6:$AC$505,"&lt;="&amp;$A28,実績!$AD$6:$AD$505,"&gt;"&amp;$A28,実績!$AE$6:$AE$505,"○")&gt;0,1,0))</f>
        <v/>
      </c>
      <c r="CB28">
        <f>IF(CB$4=0,0,IF(COUNTIFS(実績!$W$6:$W$505,CB$3,実績!$AC$6:$AC$505,"&lt;="&amp;$A28,実績!$AD$6:$AD$505,"&gt;"&amp;$A28,実績!$AE$6:$AE$505,"○")&gt;0,1,0))</f>
        <v/>
      </c>
      <c r="CC28">
        <f>IF(CC$4=0,0,IF(COUNTIFS(実績!$W$6:$W$505,CC$3,実績!$AC$6:$AC$505,"&lt;="&amp;$A28,実績!$AD$6:$AD$505,"&gt;"&amp;$A28,実績!$AE$6:$AE$505,"○")&gt;0,1,0))</f>
        <v/>
      </c>
      <c r="CD28">
        <f>IF(CD$4=0,0,IF(COUNTIFS(実績!$W$6:$W$505,CD$3,実績!$AC$6:$AC$505,"&lt;="&amp;$A28,実績!$AD$6:$AD$505,"&gt;"&amp;$A28,実績!$AE$6:$AE$505,"○")&gt;0,1,0))</f>
        <v/>
      </c>
      <c r="CE28">
        <f>IF(CE$4=0,0,IF(COUNTIFS(実績!$W$6:$W$505,CE$3,実績!$AC$6:$AC$505,"&lt;="&amp;$A28,実績!$AD$6:$AD$505,"&gt;"&amp;$A28,実績!$AE$6:$AE$505,"○")&gt;0,1,0))</f>
        <v/>
      </c>
      <c r="CF28">
        <f>IF(CF$4=0,0,IF(COUNTIFS(実績!$W$6:$W$505,CF$3,実績!$AC$6:$AC$505,"&lt;="&amp;$A28,実績!$AD$6:$AD$505,"&gt;"&amp;$A28,実績!$AE$6:$AE$505,"○")&gt;0,1,0))</f>
        <v/>
      </c>
      <c r="CG28">
        <f>IF(CG$4=0,0,IF(COUNTIFS(実績!$W$6:$W$505,CG$3,実績!$AC$6:$AC$505,"&lt;="&amp;$A28,実績!$AD$6:$AD$505,"&gt;"&amp;$A28,実績!$AE$6:$AE$505,"○")&gt;0,1,0))</f>
        <v/>
      </c>
      <c r="CH28">
        <f>IF(CH$4=0,0,IF(COUNTIFS(実績!$W$6:$W$505,CH$3,実績!$AC$6:$AC$505,"&lt;="&amp;$A28,実績!$AD$6:$AD$505,"&gt;"&amp;$A28,実績!$AE$6:$AE$505,"○")&gt;0,1,0))</f>
        <v/>
      </c>
      <c r="CI28">
        <f>IF(CI$4=0,0,IF(COUNTIFS(実績!$W$6:$W$505,CI$3,実績!$AC$6:$AC$505,"&lt;="&amp;$A28,実績!$AD$6:$AD$505,"&gt;"&amp;$A28,実績!$AE$6:$AE$505,"○")&gt;0,1,0))</f>
        <v/>
      </c>
      <c r="CJ28">
        <f>IF(CJ$4=0,0,IF(COUNTIFS(実績!$W$6:$W$505,CJ$3,実績!$AC$6:$AC$505,"&lt;="&amp;$A28,実績!$AD$6:$AD$505,"&gt;"&amp;$A28,実績!$AE$6:$AE$505,"○")&gt;0,1,0))</f>
        <v/>
      </c>
      <c r="CK28">
        <f>IF(CK$4=0,0,IF(COUNTIFS(実績!$W$6:$W$505,CK$3,実績!$AC$6:$AC$505,"&lt;="&amp;$A28,実績!$AD$6:$AD$505,"&gt;"&amp;$A28,実績!$AE$6:$AE$505,"○")&gt;0,1,0))</f>
        <v/>
      </c>
      <c r="CL28">
        <f>IF(CL$4=0,0,IF(COUNTIFS(実績!$W$6:$W$505,CL$3,実績!$AC$6:$AC$505,"&lt;="&amp;$A28,実績!$AD$6:$AD$505,"&gt;"&amp;$A28,実績!$AE$6:$AE$505,"○")&gt;0,1,0))</f>
        <v/>
      </c>
      <c r="CM28">
        <f>IF(CM$4=0,0,IF(COUNTIFS(実績!$W$6:$W$505,CM$3,実績!$AC$6:$AC$505,"&lt;="&amp;$A28,実績!$AD$6:$AD$505,"&gt;"&amp;$A28,実績!$AE$6:$AE$505,"○")&gt;0,1,0))</f>
        <v/>
      </c>
      <c r="CN28">
        <f>IF(CN$4=0,0,IF(COUNTIFS(実績!$W$6:$W$505,CN$3,実績!$AC$6:$AC$505,"&lt;="&amp;$A28,実績!$AD$6:$AD$505,"&gt;"&amp;$A28,実績!$AE$6:$AE$505,"○")&gt;0,1,0))</f>
        <v/>
      </c>
      <c r="CO28">
        <f>IF(CO$4=0,0,IF(COUNTIFS(実績!$W$6:$W$505,CO$3,実績!$AC$6:$AC$505,"&lt;="&amp;$A28,実績!$AD$6:$AD$505,"&gt;"&amp;$A28,実績!$AE$6:$AE$505,"○")&gt;0,1,0))</f>
        <v/>
      </c>
      <c r="CP28">
        <f>IF(CP$4=0,0,IF(COUNTIFS(実績!$W$6:$W$505,CP$3,実績!$AC$6:$AC$505,"&lt;="&amp;$A28,実績!$AD$6:$AD$505,"&gt;"&amp;$A28,実績!$AE$6:$AE$505,"○")&gt;0,1,0))</f>
        <v/>
      </c>
      <c r="CQ28">
        <f>IF(CQ$4=0,0,IF(COUNTIFS(実績!$W$6:$W$505,CQ$3,実績!$AC$6:$AC$505,"&lt;="&amp;$A28,実績!$AD$6:$AD$505,"&gt;"&amp;$A28,実績!$AE$6:$AE$505,"○")&gt;0,1,0))</f>
        <v/>
      </c>
      <c r="CR28">
        <f>IF(CR$4=0,0,IF(COUNTIFS(実績!$W$6:$W$505,CR$3,実績!$AC$6:$AC$505,"&lt;="&amp;$A28,実績!$AD$6:$AD$505,"&gt;"&amp;$A28,実績!$AE$6:$AE$505,"○")&gt;0,1,0))</f>
        <v/>
      </c>
      <c r="CS28">
        <f>IF(CS$4=0,0,IF(COUNTIFS(実績!$W$6:$W$505,CS$3,実績!$AC$6:$AC$505,"&lt;="&amp;$A28,実績!$AD$6:$AD$505,"&gt;"&amp;$A28,実績!$AE$6:$AE$505,"○")&gt;0,1,0))</f>
        <v/>
      </c>
      <c r="CT28">
        <f>IF(CT$4=0,0,IF(COUNTIFS(実績!$W$6:$W$505,CT$3,実績!$AC$6:$AC$505,"&lt;="&amp;$A28,実績!$AD$6:$AD$505,"&gt;"&amp;$A28,実績!$AE$6:$AE$505,"○")&gt;0,1,0))</f>
        <v/>
      </c>
      <c r="CU28">
        <f>IF(CU$4=0,0,IF(COUNTIFS(実績!$W$6:$W$505,CU$3,実績!$AC$6:$AC$505,"&lt;="&amp;$A28,実績!$AD$6:$AD$505,"&gt;"&amp;$A28,実績!$AE$6:$AE$505,"○")&gt;0,1,0))</f>
        <v/>
      </c>
      <c r="CV28">
        <f>IF(CV$4=0,0,IF(COUNTIFS(実績!$W$6:$W$505,CV$3,実績!$AC$6:$AC$505,"&lt;="&amp;$A28,実績!$AD$6:$AD$505,"&gt;"&amp;$A28,実績!$AE$6:$AE$505,"○")&gt;0,1,0))</f>
        <v/>
      </c>
      <c r="CW28">
        <f>IF(CW$4=0,0,IF(COUNTIFS(実績!$W$6:$W$505,CW$3,実績!$AC$6:$AC$505,"&lt;="&amp;$A28,実績!$AD$6:$AD$505,"&gt;"&amp;$A28,実績!$AE$6:$AE$505,"○")&gt;0,1,0))</f>
        <v/>
      </c>
      <c r="CX28">
        <f>IF(CX$4=0,0,IF(COUNTIFS(実績!$W$6:$W$505,CX$3,実績!$AC$6:$AC$505,"&lt;="&amp;$A28,実績!$AD$6:$AD$505,"&gt;"&amp;$A28,実績!$AE$6:$AE$505,"○")&gt;0,1,0))</f>
        <v/>
      </c>
      <c r="CY28">
        <f>IF(CY$4=0,0,IF(COUNTIFS(実績!$W$6:$W$505,CY$3,実績!$AC$6:$AC$505,"&lt;="&amp;$A28,実績!$AD$6:$AD$505,"&gt;"&amp;$A28,実績!$AE$6:$AE$505,"○")&gt;0,1,0))</f>
        <v/>
      </c>
      <c r="CZ28">
        <f>IF(CZ$4=0,0,IF(COUNTIFS(実績!$W$6:$W$505,CZ$3,実績!$AC$6:$AC$505,"&lt;="&amp;$A28,実績!$AD$6:$AD$505,"&gt;"&amp;$A28,実績!$AE$6:$AE$505,"○")&gt;0,1,0))</f>
        <v/>
      </c>
      <c r="DA28">
        <f>IF(DA$4=0,0,IF(COUNTIFS(実績!$W$6:$W$505,DA$3,実績!$AC$6:$AC$505,"&lt;="&amp;$A28,実績!$AD$6:$AD$505,"&gt;"&amp;$A28,実績!$AE$6:$AE$505,"○")&gt;0,1,0))</f>
        <v/>
      </c>
      <c r="DB28">
        <f>IF(DB$4=0,0,IF(COUNTIFS(実績!$W$6:$W$505,DB$3,実績!$AC$6:$AC$505,"&lt;="&amp;$A28,実績!$AD$6:$AD$505,"&gt;"&amp;$A28,実績!$AE$6:$AE$505,"○")&gt;0,1,0))</f>
        <v/>
      </c>
      <c r="DC28">
        <f>IF(DC$4=0,0,IF(COUNTIFS(実績!$W$6:$W$505,DC$3,実績!$AC$6:$AC$505,"&lt;="&amp;$A28,実績!$AD$6:$AD$505,"&gt;"&amp;$A28,実績!$AE$6:$AE$505,"○")&gt;0,1,0))</f>
        <v/>
      </c>
      <c r="DD28">
        <f>IF(DD$4=0,0,IF(COUNTIFS(実績!$W$6:$W$505,DD$3,実績!$AC$6:$AC$505,"&lt;="&amp;$A28,実績!$AD$6:$AD$505,"&gt;"&amp;$A28,実績!$AE$6:$AE$505,"○")&gt;0,1,0))</f>
        <v/>
      </c>
      <c r="DE28">
        <f>IF(DE$4=0,0,IF(COUNTIFS(実績!$W$6:$W$505,DE$3,実績!$AC$6:$AC$505,"&lt;="&amp;$A28,実績!$AD$6:$AD$505,"&gt;"&amp;$A28,実績!$AE$6:$AE$505,"○")&gt;0,1,0))</f>
        <v/>
      </c>
      <c r="DF28">
        <f>IF(DF$4=0,0,IF(COUNTIFS(実績!$W$6:$W$505,DF$3,実績!$AC$6:$AC$505,"&lt;="&amp;$A28,実績!$AD$6:$AD$505,"&gt;"&amp;$A28,実績!$AE$6:$AE$505,"○")&gt;0,1,0))</f>
        <v/>
      </c>
      <c r="DG28">
        <f>IF(DG$4=0,0,IF(COUNTIFS(実績!$W$6:$W$505,DG$3,実績!$AC$6:$AC$505,"&lt;="&amp;$A28,実績!$AD$6:$AD$505,"&gt;"&amp;$A28,実績!$AE$6:$AE$505,"○")&gt;0,1,0))</f>
        <v/>
      </c>
      <c r="DH28">
        <f>IF(DH$4=0,0,IF(COUNTIFS(実績!$W$6:$W$505,DH$3,実績!$AC$6:$AC$505,"&lt;="&amp;$A28,実績!$AD$6:$AD$505,"&gt;"&amp;$A28,実績!$AE$6:$AE$505,"○")&gt;0,1,0))</f>
        <v/>
      </c>
      <c r="DI28">
        <f>IF(DI$4=0,0,IF(COUNTIFS(実績!$W$6:$W$505,DI$3,実績!$AC$6:$AC$505,"&lt;="&amp;$A28,実績!$AD$6:$AD$505,"&gt;"&amp;$A28,実績!$AE$6:$AE$505,"○")&gt;0,1,0))</f>
        <v/>
      </c>
      <c r="DJ28">
        <f>IF(DJ$4=0,0,IF(COUNTIFS(実績!$W$6:$W$505,DJ$3,実績!$AC$6:$AC$505,"&lt;="&amp;$A28,実績!$AD$6:$AD$505,"&gt;"&amp;$A28,実績!$AE$6:$AE$505,"○")&gt;0,1,0))</f>
        <v/>
      </c>
      <c r="DK28">
        <f>IF(DK$4=0,0,IF(COUNTIFS(実績!$W$6:$W$505,DK$3,実績!$AC$6:$AC$505,"&lt;="&amp;$A28,実績!$AD$6:$AD$505,"&gt;"&amp;$A28,実績!$AE$6:$AE$505,"○")&gt;0,1,0))</f>
        <v/>
      </c>
      <c r="DL28">
        <f>IF(DL$4=0,0,IF(COUNTIFS(実績!$W$6:$W$505,DL$3,実績!$AC$6:$AC$505,"&lt;="&amp;$A28,実績!$AD$6:$AD$505,"&gt;"&amp;$A28,実績!$AE$6:$AE$505,"○")&gt;0,1,0))</f>
        <v/>
      </c>
      <c r="DM28">
        <f>IF(DM$4=0,0,IF(COUNTIFS(実績!$W$6:$W$505,DM$3,実績!$AC$6:$AC$505,"&lt;="&amp;$A28,実績!$AD$6:$AD$505,"&gt;"&amp;$A28,実績!$AE$6:$AE$505,"○")&gt;0,1,0))</f>
        <v/>
      </c>
      <c r="DN28">
        <f>IF(DN$4=0,0,IF(COUNTIFS(実績!$W$6:$W$505,DN$3,実績!$AC$6:$AC$505,"&lt;="&amp;$A28,実績!$AD$6:$AD$505,"&gt;"&amp;$A28,実績!$AE$6:$AE$505,"○")&gt;0,1,0))</f>
        <v/>
      </c>
      <c r="DO28">
        <f>IF(DO$4=0,0,IF(COUNTIFS(実績!$W$6:$W$505,DO$3,実績!$AC$6:$AC$505,"&lt;="&amp;$A28,実績!$AD$6:$AD$505,"&gt;"&amp;$A28,実績!$AE$6:$AE$505,"○")&gt;0,1,0))</f>
        <v/>
      </c>
      <c r="DP28">
        <f>IF(DP$4=0,0,IF(COUNTIFS(実績!$W$6:$W$505,DP$3,実績!$AC$6:$AC$505,"&lt;="&amp;$A28,実績!$AD$6:$AD$505,"&gt;"&amp;$A28,実績!$AE$6:$AE$505,"○")&gt;0,1,0))</f>
        <v/>
      </c>
      <c r="DQ28">
        <f>IF(DQ$4=0,0,IF(COUNTIFS(実績!$W$6:$W$505,DQ$3,実績!$AC$6:$AC$505,"&lt;="&amp;$A28,実績!$AD$6:$AD$505,"&gt;"&amp;$A28,実績!$AE$6:$AE$505,"○")&gt;0,1,0))</f>
        <v/>
      </c>
      <c r="DR28">
        <f>IF(DR$4=0,0,IF(COUNTIFS(実績!$W$6:$W$505,DR$3,実績!$AC$6:$AC$505,"&lt;="&amp;$A28,実績!$AD$6:$AD$505,"&gt;"&amp;$A28,実績!$AE$6:$AE$505,"○")&gt;0,1,0))</f>
        <v/>
      </c>
      <c r="DS28">
        <f>SUM(C28:DR28)</f>
        <v/>
      </c>
      <c r="DT28">
        <f>SUMPRODUCT((実績!$C$6:$C$505="○")*ISNUMBER(実績!$AF$6:$AF$505)*(実績!$AF$6:$AF$505&lt;=$A28)*(実績!$AG$6:$AG$505&gt;$A28))</f>
        <v/>
      </c>
      <c r="DU28">
        <f>SUMIF($C$2:$DR$2,"製鉄曳船",C28:DR28)</f>
        <v/>
      </c>
      <c r="DV28">
        <f>SUMIF($C$2:$DR$2,"西日本海運",C28:DR28)</f>
        <v/>
      </c>
    </row>
    <row r="29">
      <c r="A29" t="n">
        <v>115</v>
      </c>
      <c r="B29" s="29">
        <f>A29/1440</f>
        <v/>
      </c>
      <c r="C29">
        <f>IF(C$4=0,0,IF(COUNTIFS(実績!$W$6:$W$505,C$3,実績!$AC$6:$AC$505,"&lt;="&amp;$A29,実績!$AD$6:$AD$505,"&gt;"&amp;$A29,実績!$AE$6:$AE$505,"○")&gt;0,1,0))</f>
        <v/>
      </c>
      <c r="D29">
        <f>IF(D$4=0,0,IF(COUNTIFS(実績!$W$6:$W$505,D$3,実績!$AC$6:$AC$505,"&lt;="&amp;$A29,実績!$AD$6:$AD$505,"&gt;"&amp;$A29,実績!$AE$6:$AE$505,"○")&gt;0,1,0))</f>
        <v/>
      </c>
      <c r="E29">
        <f>IF(E$4=0,0,IF(COUNTIFS(実績!$W$6:$W$505,E$3,実績!$AC$6:$AC$505,"&lt;="&amp;$A29,実績!$AD$6:$AD$505,"&gt;"&amp;$A29,実績!$AE$6:$AE$505,"○")&gt;0,1,0))</f>
        <v/>
      </c>
      <c r="F29">
        <f>IF(F$4=0,0,IF(COUNTIFS(実績!$W$6:$W$505,F$3,実績!$AC$6:$AC$505,"&lt;="&amp;$A29,実績!$AD$6:$AD$505,"&gt;"&amp;$A29,実績!$AE$6:$AE$505,"○")&gt;0,1,0))</f>
        <v/>
      </c>
      <c r="G29">
        <f>IF(G$4=0,0,IF(COUNTIFS(実績!$W$6:$W$505,G$3,実績!$AC$6:$AC$505,"&lt;="&amp;$A29,実績!$AD$6:$AD$505,"&gt;"&amp;$A29,実績!$AE$6:$AE$505,"○")&gt;0,1,0))</f>
        <v/>
      </c>
      <c r="H29">
        <f>IF(H$4=0,0,IF(COUNTIFS(実績!$W$6:$W$505,H$3,実績!$AC$6:$AC$505,"&lt;="&amp;$A29,実績!$AD$6:$AD$505,"&gt;"&amp;$A29,実績!$AE$6:$AE$505,"○")&gt;0,1,0))</f>
        <v/>
      </c>
      <c r="I29">
        <f>IF(I$4=0,0,IF(COUNTIFS(実績!$W$6:$W$505,I$3,実績!$AC$6:$AC$505,"&lt;="&amp;$A29,実績!$AD$6:$AD$505,"&gt;"&amp;$A29,実績!$AE$6:$AE$505,"○")&gt;0,1,0))</f>
        <v/>
      </c>
      <c r="J29">
        <f>IF(J$4=0,0,IF(COUNTIFS(実績!$W$6:$W$505,J$3,実績!$AC$6:$AC$505,"&lt;="&amp;$A29,実績!$AD$6:$AD$505,"&gt;"&amp;$A29,実績!$AE$6:$AE$505,"○")&gt;0,1,0))</f>
        <v/>
      </c>
      <c r="K29">
        <f>IF(K$4=0,0,IF(COUNTIFS(実績!$W$6:$W$505,K$3,実績!$AC$6:$AC$505,"&lt;="&amp;$A29,実績!$AD$6:$AD$505,"&gt;"&amp;$A29,実績!$AE$6:$AE$505,"○")&gt;0,1,0))</f>
        <v/>
      </c>
      <c r="L29">
        <f>IF(L$4=0,0,IF(COUNTIFS(実績!$W$6:$W$505,L$3,実績!$AC$6:$AC$505,"&lt;="&amp;$A29,実績!$AD$6:$AD$505,"&gt;"&amp;$A29,実績!$AE$6:$AE$505,"○")&gt;0,1,0))</f>
        <v/>
      </c>
      <c r="M29">
        <f>IF(M$4=0,0,IF(COUNTIFS(実績!$W$6:$W$505,M$3,実績!$AC$6:$AC$505,"&lt;="&amp;$A29,実績!$AD$6:$AD$505,"&gt;"&amp;$A29,実績!$AE$6:$AE$505,"○")&gt;0,1,0))</f>
        <v/>
      </c>
      <c r="N29">
        <f>IF(N$4=0,0,IF(COUNTIFS(実績!$W$6:$W$505,N$3,実績!$AC$6:$AC$505,"&lt;="&amp;$A29,実績!$AD$6:$AD$505,"&gt;"&amp;$A29,実績!$AE$6:$AE$505,"○")&gt;0,1,0))</f>
        <v/>
      </c>
      <c r="O29">
        <f>IF(O$4=0,0,IF(COUNTIFS(実績!$W$6:$W$505,O$3,実績!$AC$6:$AC$505,"&lt;="&amp;$A29,実績!$AD$6:$AD$505,"&gt;"&amp;$A29,実績!$AE$6:$AE$505,"○")&gt;0,1,0))</f>
        <v/>
      </c>
      <c r="P29">
        <f>IF(P$4=0,0,IF(COUNTIFS(実績!$W$6:$W$505,P$3,実績!$AC$6:$AC$505,"&lt;="&amp;$A29,実績!$AD$6:$AD$505,"&gt;"&amp;$A29,実績!$AE$6:$AE$505,"○")&gt;0,1,0))</f>
        <v/>
      </c>
      <c r="Q29">
        <f>IF(Q$4=0,0,IF(COUNTIFS(実績!$W$6:$W$505,Q$3,実績!$AC$6:$AC$505,"&lt;="&amp;$A29,実績!$AD$6:$AD$505,"&gt;"&amp;$A29,実績!$AE$6:$AE$505,"○")&gt;0,1,0))</f>
        <v/>
      </c>
      <c r="R29">
        <f>IF(R$4=0,0,IF(COUNTIFS(実績!$W$6:$W$505,R$3,実績!$AC$6:$AC$505,"&lt;="&amp;$A29,実績!$AD$6:$AD$505,"&gt;"&amp;$A29,実績!$AE$6:$AE$505,"○")&gt;0,1,0))</f>
        <v/>
      </c>
      <c r="S29">
        <f>IF(S$4=0,0,IF(COUNTIFS(実績!$W$6:$W$505,S$3,実績!$AC$6:$AC$505,"&lt;="&amp;$A29,実績!$AD$6:$AD$505,"&gt;"&amp;$A29,実績!$AE$6:$AE$505,"○")&gt;0,1,0))</f>
        <v/>
      </c>
      <c r="T29">
        <f>IF(T$4=0,0,IF(COUNTIFS(実績!$W$6:$W$505,T$3,実績!$AC$6:$AC$505,"&lt;="&amp;$A29,実績!$AD$6:$AD$505,"&gt;"&amp;$A29,実績!$AE$6:$AE$505,"○")&gt;0,1,0))</f>
        <v/>
      </c>
      <c r="U29">
        <f>IF(U$4=0,0,IF(COUNTIFS(実績!$W$6:$W$505,U$3,実績!$AC$6:$AC$505,"&lt;="&amp;$A29,実績!$AD$6:$AD$505,"&gt;"&amp;$A29,実績!$AE$6:$AE$505,"○")&gt;0,1,0))</f>
        <v/>
      </c>
      <c r="V29">
        <f>IF(V$4=0,0,IF(COUNTIFS(実績!$W$6:$W$505,V$3,実績!$AC$6:$AC$505,"&lt;="&amp;$A29,実績!$AD$6:$AD$505,"&gt;"&amp;$A29,実績!$AE$6:$AE$505,"○")&gt;0,1,0))</f>
        <v/>
      </c>
      <c r="W29">
        <f>IF(W$4=0,0,IF(COUNTIFS(実績!$W$6:$W$505,W$3,実績!$AC$6:$AC$505,"&lt;="&amp;$A29,実績!$AD$6:$AD$505,"&gt;"&amp;$A29,実績!$AE$6:$AE$505,"○")&gt;0,1,0))</f>
        <v/>
      </c>
      <c r="X29">
        <f>IF(X$4=0,0,IF(COUNTIFS(実績!$W$6:$W$505,X$3,実績!$AC$6:$AC$505,"&lt;="&amp;$A29,実績!$AD$6:$AD$505,"&gt;"&amp;$A29,実績!$AE$6:$AE$505,"○")&gt;0,1,0))</f>
        <v/>
      </c>
      <c r="Y29">
        <f>IF(Y$4=0,0,IF(COUNTIFS(実績!$W$6:$W$505,Y$3,実績!$AC$6:$AC$505,"&lt;="&amp;$A29,実績!$AD$6:$AD$505,"&gt;"&amp;$A29,実績!$AE$6:$AE$505,"○")&gt;0,1,0))</f>
        <v/>
      </c>
      <c r="Z29">
        <f>IF(Z$4=0,0,IF(COUNTIFS(実績!$W$6:$W$505,Z$3,実績!$AC$6:$AC$505,"&lt;="&amp;$A29,実績!$AD$6:$AD$505,"&gt;"&amp;$A29,実績!$AE$6:$AE$505,"○")&gt;0,1,0))</f>
        <v/>
      </c>
      <c r="AA29">
        <f>IF(AA$4=0,0,IF(COUNTIFS(実績!$W$6:$W$505,AA$3,実績!$AC$6:$AC$505,"&lt;="&amp;$A29,実績!$AD$6:$AD$505,"&gt;"&amp;$A29,実績!$AE$6:$AE$505,"○")&gt;0,1,0))</f>
        <v/>
      </c>
      <c r="AB29">
        <f>IF(AB$4=0,0,IF(COUNTIFS(実績!$W$6:$W$505,AB$3,実績!$AC$6:$AC$505,"&lt;="&amp;$A29,実績!$AD$6:$AD$505,"&gt;"&amp;$A29,実績!$AE$6:$AE$505,"○")&gt;0,1,0))</f>
        <v/>
      </c>
      <c r="AC29">
        <f>IF(AC$4=0,0,IF(COUNTIFS(実績!$W$6:$W$505,AC$3,実績!$AC$6:$AC$505,"&lt;="&amp;$A29,実績!$AD$6:$AD$505,"&gt;"&amp;$A29,実績!$AE$6:$AE$505,"○")&gt;0,1,0))</f>
        <v/>
      </c>
      <c r="AD29">
        <f>IF(AD$4=0,0,IF(COUNTIFS(実績!$W$6:$W$505,AD$3,実績!$AC$6:$AC$505,"&lt;="&amp;$A29,実績!$AD$6:$AD$505,"&gt;"&amp;$A29,実績!$AE$6:$AE$505,"○")&gt;0,1,0))</f>
        <v/>
      </c>
      <c r="AE29">
        <f>IF(AE$4=0,0,IF(COUNTIFS(実績!$W$6:$W$505,AE$3,実績!$AC$6:$AC$505,"&lt;="&amp;$A29,実績!$AD$6:$AD$505,"&gt;"&amp;$A29,実績!$AE$6:$AE$505,"○")&gt;0,1,0))</f>
        <v/>
      </c>
      <c r="AF29">
        <f>IF(AF$4=0,0,IF(COUNTIFS(実績!$W$6:$W$505,AF$3,実績!$AC$6:$AC$505,"&lt;="&amp;$A29,実績!$AD$6:$AD$505,"&gt;"&amp;$A29,実績!$AE$6:$AE$505,"○")&gt;0,1,0))</f>
        <v/>
      </c>
      <c r="AG29">
        <f>IF(AG$4=0,0,IF(COUNTIFS(実績!$W$6:$W$505,AG$3,実績!$AC$6:$AC$505,"&lt;="&amp;$A29,実績!$AD$6:$AD$505,"&gt;"&amp;$A29,実績!$AE$6:$AE$505,"○")&gt;0,1,0))</f>
        <v/>
      </c>
      <c r="AH29">
        <f>IF(AH$4=0,0,IF(COUNTIFS(実績!$W$6:$W$505,AH$3,実績!$AC$6:$AC$505,"&lt;="&amp;$A29,実績!$AD$6:$AD$505,"&gt;"&amp;$A29,実績!$AE$6:$AE$505,"○")&gt;0,1,0))</f>
        <v/>
      </c>
      <c r="AI29">
        <f>IF(AI$4=0,0,IF(COUNTIFS(実績!$W$6:$W$505,AI$3,実績!$AC$6:$AC$505,"&lt;="&amp;$A29,実績!$AD$6:$AD$505,"&gt;"&amp;$A29,実績!$AE$6:$AE$505,"○")&gt;0,1,0))</f>
        <v/>
      </c>
      <c r="AJ29">
        <f>IF(AJ$4=0,0,IF(COUNTIFS(実績!$W$6:$W$505,AJ$3,実績!$AC$6:$AC$505,"&lt;="&amp;$A29,実績!$AD$6:$AD$505,"&gt;"&amp;$A29,実績!$AE$6:$AE$505,"○")&gt;0,1,0))</f>
        <v/>
      </c>
      <c r="AK29">
        <f>IF(AK$4=0,0,IF(COUNTIFS(実績!$W$6:$W$505,AK$3,実績!$AC$6:$AC$505,"&lt;="&amp;$A29,実績!$AD$6:$AD$505,"&gt;"&amp;$A29,実績!$AE$6:$AE$505,"○")&gt;0,1,0))</f>
        <v/>
      </c>
      <c r="AL29">
        <f>IF(AL$4=0,0,IF(COUNTIFS(実績!$W$6:$W$505,AL$3,実績!$AC$6:$AC$505,"&lt;="&amp;$A29,実績!$AD$6:$AD$505,"&gt;"&amp;$A29,実績!$AE$6:$AE$505,"○")&gt;0,1,0))</f>
        <v/>
      </c>
      <c r="AM29">
        <f>IF(AM$4=0,0,IF(COUNTIFS(実績!$W$6:$W$505,AM$3,実績!$AC$6:$AC$505,"&lt;="&amp;$A29,実績!$AD$6:$AD$505,"&gt;"&amp;$A29,実績!$AE$6:$AE$505,"○")&gt;0,1,0))</f>
        <v/>
      </c>
      <c r="AN29">
        <f>IF(AN$4=0,0,IF(COUNTIFS(実績!$W$6:$W$505,AN$3,実績!$AC$6:$AC$505,"&lt;="&amp;$A29,実績!$AD$6:$AD$505,"&gt;"&amp;$A29,実績!$AE$6:$AE$505,"○")&gt;0,1,0))</f>
        <v/>
      </c>
      <c r="AO29">
        <f>IF(AO$4=0,0,IF(COUNTIFS(実績!$W$6:$W$505,AO$3,実績!$AC$6:$AC$505,"&lt;="&amp;$A29,実績!$AD$6:$AD$505,"&gt;"&amp;$A29,実績!$AE$6:$AE$505,"○")&gt;0,1,0))</f>
        <v/>
      </c>
      <c r="AP29">
        <f>IF(AP$4=0,0,IF(COUNTIFS(実績!$W$6:$W$505,AP$3,実績!$AC$6:$AC$505,"&lt;="&amp;$A29,実績!$AD$6:$AD$505,"&gt;"&amp;$A29,実績!$AE$6:$AE$505,"○")&gt;0,1,0))</f>
        <v/>
      </c>
      <c r="AQ29">
        <f>IF(AQ$4=0,0,IF(COUNTIFS(実績!$W$6:$W$505,AQ$3,実績!$AC$6:$AC$505,"&lt;="&amp;$A29,実績!$AD$6:$AD$505,"&gt;"&amp;$A29,実績!$AE$6:$AE$505,"○")&gt;0,1,0))</f>
        <v/>
      </c>
      <c r="AR29">
        <f>IF(AR$4=0,0,IF(COUNTIFS(実績!$W$6:$W$505,AR$3,実績!$AC$6:$AC$505,"&lt;="&amp;$A29,実績!$AD$6:$AD$505,"&gt;"&amp;$A29,実績!$AE$6:$AE$505,"○")&gt;0,1,0))</f>
        <v/>
      </c>
      <c r="AS29">
        <f>IF(AS$4=0,0,IF(COUNTIFS(実績!$W$6:$W$505,AS$3,実績!$AC$6:$AC$505,"&lt;="&amp;$A29,実績!$AD$6:$AD$505,"&gt;"&amp;$A29,実績!$AE$6:$AE$505,"○")&gt;0,1,0))</f>
        <v/>
      </c>
      <c r="AT29">
        <f>IF(AT$4=0,0,IF(COUNTIFS(実績!$W$6:$W$505,AT$3,実績!$AC$6:$AC$505,"&lt;="&amp;$A29,実績!$AD$6:$AD$505,"&gt;"&amp;$A29,実績!$AE$6:$AE$505,"○")&gt;0,1,0))</f>
        <v/>
      </c>
      <c r="AU29">
        <f>IF(AU$4=0,0,IF(COUNTIFS(実績!$W$6:$W$505,AU$3,実績!$AC$6:$AC$505,"&lt;="&amp;$A29,実績!$AD$6:$AD$505,"&gt;"&amp;$A29,実績!$AE$6:$AE$505,"○")&gt;0,1,0))</f>
        <v/>
      </c>
      <c r="AV29">
        <f>IF(AV$4=0,0,IF(COUNTIFS(実績!$W$6:$W$505,AV$3,実績!$AC$6:$AC$505,"&lt;="&amp;$A29,実績!$AD$6:$AD$505,"&gt;"&amp;$A29,実績!$AE$6:$AE$505,"○")&gt;0,1,0))</f>
        <v/>
      </c>
      <c r="AW29">
        <f>IF(AW$4=0,0,IF(COUNTIFS(実績!$W$6:$W$505,AW$3,実績!$AC$6:$AC$505,"&lt;="&amp;$A29,実績!$AD$6:$AD$505,"&gt;"&amp;$A29,実績!$AE$6:$AE$505,"○")&gt;0,1,0))</f>
        <v/>
      </c>
      <c r="AX29">
        <f>IF(AX$4=0,0,IF(COUNTIFS(実績!$W$6:$W$505,AX$3,実績!$AC$6:$AC$505,"&lt;="&amp;$A29,実績!$AD$6:$AD$505,"&gt;"&amp;$A29,実績!$AE$6:$AE$505,"○")&gt;0,1,0))</f>
        <v/>
      </c>
      <c r="AY29">
        <f>IF(AY$4=0,0,IF(COUNTIFS(実績!$W$6:$W$505,AY$3,実績!$AC$6:$AC$505,"&lt;="&amp;$A29,実績!$AD$6:$AD$505,"&gt;"&amp;$A29,実績!$AE$6:$AE$505,"○")&gt;0,1,0))</f>
        <v/>
      </c>
      <c r="AZ29">
        <f>IF(AZ$4=0,0,IF(COUNTIFS(実績!$W$6:$W$505,AZ$3,実績!$AC$6:$AC$505,"&lt;="&amp;$A29,実績!$AD$6:$AD$505,"&gt;"&amp;$A29,実績!$AE$6:$AE$505,"○")&gt;0,1,0))</f>
        <v/>
      </c>
      <c r="BA29">
        <f>IF(BA$4=0,0,IF(COUNTIFS(実績!$W$6:$W$505,BA$3,実績!$AC$6:$AC$505,"&lt;="&amp;$A29,実績!$AD$6:$AD$505,"&gt;"&amp;$A29,実績!$AE$6:$AE$505,"○")&gt;0,1,0))</f>
        <v/>
      </c>
      <c r="BB29">
        <f>IF(BB$4=0,0,IF(COUNTIFS(実績!$W$6:$W$505,BB$3,実績!$AC$6:$AC$505,"&lt;="&amp;$A29,実績!$AD$6:$AD$505,"&gt;"&amp;$A29,実績!$AE$6:$AE$505,"○")&gt;0,1,0))</f>
        <v/>
      </c>
      <c r="BC29">
        <f>IF(BC$4=0,0,IF(COUNTIFS(実績!$W$6:$W$505,BC$3,実績!$AC$6:$AC$505,"&lt;="&amp;$A29,実績!$AD$6:$AD$505,"&gt;"&amp;$A29,実績!$AE$6:$AE$505,"○")&gt;0,1,0))</f>
        <v/>
      </c>
      <c r="BD29">
        <f>IF(BD$4=0,0,IF(COUNTIFS(実績!$W$6:$W$505,BD$3,実績!$AC$6:$AC$505,"&lt;="&amp;$A29,実績!$AD$6:$AD$505,"&gt;"&amp;$A29,実績!$AE$6:$AE$505,"○")&gt;0,1,0))</f>
        <v/>
      </c>
      <c r="BE29">
        <f>IF(BE$4=0,0,IF(COUNTIFS(実績!$W$6:$W$505,BE$3,実績!$AC$6:$AC$505,"&lt;="&amp;$A29,実績!$AD$6:$AD$505,"&gt;"&amp;$A29,実績!$AE$6:$AE$505,"○")&gt;0,1,0))</f>
        <v/>
      </c>
      <c r="BF29">
        <f>IF(BF$4=0,0,IF(COUNTIFS(実績!$W$6:$W$505,BF$3,実績!$AC$6:$AC$505,"&lt;="&amp;$A29,実績!$AD$6:$AD$505,"&gt;"&amp;$A29,実績!$AE$6:$AE$505,"○")&gt;0,1,0))</f>
        <v/>
      </c>
      <c r="BG29">
        <f>IF(BG$4=0,0,IF(COUNTIFS(実績!$W$6:$W$505,BG$3,実績!$AC$6:$AC$505,"&lt;="&amp;$A29,実績!$AD$6:$AD$505,"&gt;"&amp;$A29,実績!$AE$6:$AE$505,"○")&gt;0,1,0))</f>
        <v/>
      </c>
      <c r="BH29">
        <f>IF(BH$4=0,0,IF(COUNTIFS(実績!$W$6:$W$505,BH$3,実績!$AC$6:$AC$505,"&lt;="&amp;$A29,実績!$AD$6:$AD$505,"&gt;"&amp;$A29,実績!$AE$6:$AE$505,"○")&gt;0,1,0))</f>
        <v/>
      </c>
      <c r="BI29">
        <f>IF(BI$4=0,0,IF(COUNTIFS(実績!$W$6:$W$505,BI$3,実績!$AC$6:$AC$505,"&lt;="&amp;$A29,実績!$AD$6:$AD$505,"&gt;"&amp;$A29,実績!$AE$6:$AE$505,"○")&gt;0,1,0))</f>
        <v/>
      </c>
      <c r="BJ29">
        <f>IF(BJ$4=0,0,IF(COUNTIFS(実績!$W$6:$W$505,BJ$3,実績!$AC$6:$AC$505,"&lt;="&amp;$A29,実績!$AD$6:$AD$505,"&gt;"&amp;$A29,実績!$AE$6:$AE$505,"○")&gt;0,1,0))</f>
        <v/>
      </c>
      <c r="BK29">
        <f>IF(BK$4=0,0,IF(COUNTIFS(実績!$W$6:$W$505,BK$3,実績!$AC$6:$AC$505,"&lt;="&amp;$A29,実績!$AD$6:$AD$505,"&gt;"&amp;$A29,実績!$AE$6:$AE$505,"○")&gt;0,1,0))</f>
        <v/>
      </c>
      <c r="BL29">
        <f>IF(BL$4=0,0,IF(COUNTIFS(実績!$W$6:$W$505,BL$3,実績!$AC$6:$AC$505,"&lt;="&amp;$A29,実績!$AD$6:$AD$505,"&gt;"&amp;$A29,実績!$AE$6:$AE$505,"○")&gt;0,1,0))</f>
        <v/>
      </c>
      <c r="BM29">
        <f>IF(BM$4=0,0,IF(COUNTIFS(実績!$W$6:$W$505,BM$3,実績!$AC$6:$AC$505,"&lt;="&amp;$A29,実績!$AD$6:$AD$505,"&gt;"&amp;$A29,実績!$AE$6:$AE$505,"○")&gt;0,1,0))</f>
        <v/>
      </c>
      <c r="BN29">
        <f>IF(BN$4=0,0,IF(COUNTIFS(実績!$W$6:$W$505,BN$3,実績!$AC$6:$AC$505,"&lt;="&amp;$A29,実績!$AD$6:$AD$505,"&gt;"&amp;$A29,実績!$AE$6:$AE$505,"○")&gt;0,1,0))</f>
        <v/>
      </c>
      <c r="BO29">
        <f>IF(BO$4=0,0,IF(COUNTIFS(実績!$W$6:$W$505,BO$3,実績!$AC$6:$AC$505,"&lt;="&amp;$A29,実績!$AD$6:$AD$505,"&gt;"&amp;$A29,実績!$AE$6:$AE$505,"○")&gt;0,1,0))</f>
        <v/>
      </c>
      <c r="BP29">
        <f>IF(BP$4=0,0,IF(COUNTIFS(実績!$W$6:$W$505,BP$3,実績!$AC$6:$AC$505,"&lt;="&amp;$A29,実績!$AD$6:$AD$505,"&gt;"&amp;$A29,実績!$AE$6:$AE$505,"○")&gt;0,1,0))</f>
        <v/>
      </c>
      <c r="BQ29">
        <f>IF(BQ$4=0,0,IF(COUNTIFS(実績!$W$6:$W$505,BQ$3,実績!$AC$6:$AC$505,"&lt;="&amp;$A29,実績!$AD$6:$AD$505,"&gt;"&amp;$A29,実績!$AE$6:$AE$505,"○")&gt;0,1,0))</f>
        <v/>
      </c>
      <c r="BR29">
        <f>IF(BR$4=0,0,IF(COUNTIFS(実績!$W$6:$W$505,BR$3,実績!$AC$6:$AC$505,"&lt;="&amp;$A29,実績!$AD$6:$AD$505,"&gt;"&amp;$A29,実績!$AE$6:$AE$505,"○")&gt;0,1,0))</f>
        <v/>
      </c>
      <c r="BS29">
        <f>IF(BS$4=0,0,IF(COUNTIFS(実績!$W$6:$W$505,BS$3,実績!$AC$6:$AC$505,"&lt;="&amp;$A29,実績!$AD$6:$AD$505,"&gt;"&amp;$A29,実績!$AE$6:$AE$505,"○")&gt;0,1,0))</f>
        <v/>
      </c>
      <c r="BT29">
        <f>IF(BT$4=0,0,IF(COUNTIFS(実績!$W$6:$W$505,BT$3,実績!$AC$6:$AC$505,"&lt;="&amp;$A29,実績!$AD$6:$AD$505,"&gt;"&amp;$A29,実績!$AE$6:$AE$505,"○")&gt;0,1,0))</f>
        <v/>
      </c>
      <c r="BU29">
        <f>IF(BU$4=0,0,IF(COUNTIFS(実績!$W$6:$W$505,BU$3,実績!$AC$6:$AC$505,"&lt;="&amp;$A29,実績!$AD$6:$AD$505,"&gt;"&amp;$A29,実績!$AE$6:$AE$505,"○")&gt;0,1,0))</f>
        <v/>
      </c>
      <c r="BV29">
        <f>IF(BV$4=0,0,IF(COUNTIFS(実績!$W$6:$W$505,BV$3,実績!$AC$6:$AC$505,"&lt;="&amp;$A29,実績!$AD$6:$AD$505,"&gt;"&amp;$A29,実績!$AE$6:$AE$505,"○")&gt;0,1,0))</f>
        <v/>
      </c>
      <c r="BW29">
        <f>IF(BW$4=0,0,IF(COUNTIFS(実績!$W$6:$W$505,BW$3,実績!$AC$6:$AC$505,"&lt;="&amp;$A29,実績!$AD$6:$AD$505,"&gt;"&amp;$A29,実績!$AE$6:$AE$505,"○")&gt;0,1,0))</f>
        <v/>
      </c>
      <c r="BX29">
        <f>IF(BX$4=0,0,IF(COUNTIFS(実績!$W$6:$W$505,BX$3,実績!$AC$6:$AC$505,"&lt;="&amp;$A29,実績!$AD$6:$AD$505,"&gt;"&amp;$A29,実績!$AE$6:$AE$505,"○")&gt;0,1,0))</f>
        <v/>
      </c>
      <c r="BY29">
        <f>IF(BY$4=0,0,IF(COUNTIFS(実績!$W$6:$W$505,BY$3,実績!$AC$6:$AC$505,"&lt;="&amp;$A29,実績!$AD$6:$AD$505,"&gt;"&amp;$A29,実績!$AE$6:$AE$505,"○")&gt;0,1,0))</f>
        <v/>
      </c>
      <c r="BZ29">
        <f>IF(BZ$4=0,0,IF(COUNTIFS(実績!$W$6:$W$505,BZ$3,実績!$AC$6:$AC$505,"&lt;="&amp;$A29,実績!$AD$6:$AD$505,"&gt;"&amp;$A29,実績!$AE$6:$AE$505,"○")&gt;0,1,0))</f>
        <v/>
      </c>
      <c r="CA29">
        <f>IF(CA$4=0,0,IF(COUNTIFS(実績!$W$6:$W$505,CA$3,実績!$AC$6:$AC$505,"&lt;="&amp;$A29,実績!$AD$6:$AD$505,"&gt;"&amp;$A29,実績!$AE$6:$AE$505,"○")&gt;0,1,0))</f>
        <v/>
      </c>
      <c r="CB29">
        <f>IF(CB$4=0,0,IF(COUNTIFS(実績!$W$6:$W$505,CB$3,実績!$AC$6:$AC$505,"&lt;="&amp;$A29,実績!$AD$6:$AD$505,"&gt;"&amp;$A29,実績!$AE$6:$AE$505,"○")&gt;0,1,0))</f>
        <v/>
      </c>
      <c r="CC29">
        <f>IF(CC$4=0,0,IF(COUNTIFS(実績!$W$6:$W$505,CC$3,実績!$AC$6:$AC$505,"&lt;="&amp;$A29,実績!$AD$6:$AD$505,"&gt;"&amp;$A29,実績!$AE$6:$AE$505,"○")&gt;0,1,0))</f>
        <v/>
      </c>
      <c r="CD29">
        <f>IF(CD$4=0,0,IF(COUNTIFS(実績!$W$6:$W$505,CD$3,実績!$AC$6:$AC$505,"&lt;="&amp;$A29,実績!$AD$6:$AD$505,"&gt;"&amp;$A29,実績!$AE$6:$AE$505,"○")&gt;0,1,0))</f>
        <v/>
      </c>
      <c r="CE29">
        <f>IF(CE$4=0,0,IF(COUNTIFS(実績!$W$6:$W$505,CE$3,実績!$AC$6:$AC$505,"&lt;="&amp;$A29,実績!$AD$6:$AD$505,"&gt;"&amp;$A29,実績!$AE$6:$AE$505,"○")&gt;0,1,0))</f>
        <v/>
      </c>
      <c r="CF29">
        <f>IF(CF$4=0,0,IF(COUNTIFS(実績!$W$6:$W$505,CF$3,実績!$AC$6:$AC$505,"&lt;="&amp;$A29,実績!$AD$6:$AD$505,"&gt;"&amp;$A29,実績!$AE$6:$AE$505,"○")&gt;0,1,0))</f>
        <v/>
      </c>
      <c r="CG29">
        <f>IF(CG$4=0,0,IF(COUNTIFS(実績!$W$6:$W$505,CG$3,実績!$AC$6:$AC$505,"&lt;="&amp;$A29,実績!$AD$6:$AD$505,"&gt;"&amp;$A29,実績!$AE$6:$AE$505,"○")&gt;0,1,0))</f>
        <v/>
      </c>
      <c r="CH29">
        <f>IF(CH$4=0,0,IF(COUNTIFS(実績!$W$6:$W$505,CH$3,実績!$AC$6:$AC$505,"&lt;="&amp;$A29,実績!$AD$6:$AD$505,"&gt;"&amp;$A29,実績!$AE$6:$AE$505,"○")&gt;0,1,0))</f>
        <v/>
      </c>
      <c r="CI29">
        <f>IF(CI$4=0,0,IF(COUNTIFS(実績!$W$6:$W$505,CI$3,実績!$AC$6:$AC$505,"&lt;="&amp;$A29,実績!$AD$6:$AD$505,"&gt;"&amp;$A29,実績!$AE$6:$AE$505,"○")&gt;0,1,0))</f>
        <v/>
      </c>
      <c r="CJ29">
        <f>IF(CJ$4=0,0,IF(COUNTIFS(実績!$W$6:$W$505,CJ$3,実績!$AC$6:$AC$505,"&lt;="&amp;$A29,実績!$AD$6:$AD$505,"&gt;"&amp;$A29,実績!$AE$6:$AE$505,"○")&gt;0,1,0))</f>
        <v/>
      </c>
      <c r="CK29">
        <f>IF(CK$4=0,0,IF(COUNTIFS(実績!$W$6:$W$505,CK$3,実績!$AC$6:$AC$505,"&lt;="&amp;$A29,実績!$AD$6:$AD$505,"&gt;"&amp;$A29,実績!$AE$6:$AE$505,"○")&gt;0,1,0))</f>
        <v/>
      </c>
      <c r="CL29">
        <f>IF(CL$4=0,0,IF(COUNTIFS(実績!$W$6:$W$505,CL$3,実績!$AC$6:$AC$505,"&lt;="&amp;$A29,実績!$AD$6:$AD$505,"&gt;"&amp;$A29,実績!$AE$6:$AE$505,"○")&gt;0,1,0))</f>
        <v/>
      </c>
      <c r="CM29">
        <f>IF(CM$4=0,0,IF(COUNTIFS(実績!$W$6:$W$505,CM$3,実績!$AC$6:$AC$505,"&lt;="&amp;$A29,実績!$AD$6:$AD$505,"&gt;"&amp;$A29,実績!$AE$6:$AE$505,"○")&gt;0,1,0))</f>
        <v/>
      </c>
      <c r="CN29">
        <f>IF(CN$4=0,0,IF(COUNTIFS(実績!$W$6:$W$505,CN$3,実績!$AC$6:$AC$505,"&lt;="&amp;$A29,実績!$AD$6:$AD$505,"&gt;"&amp;$A29,実績!$AE$6:$AE$505,"○")&gt;0,1,0))</f>
        <v/>
      </c>
      <c r="CO29">
        <f>IF(CO$4=0,0,IF(COUNTIFS(実績!$W$6:$W$505,CO$3,実績!$AC$6:$AC$505,"&lt;="&amp;$A29,実績!$AD$6:$AD$505,"&gt;"&amp;$A29,実績!$AE$6:$AE$505,"○")&gt;0,1,0))</f>
        <v/>
      </c>
      <c r="CP29">
        <f>IF(CP$4=0,0,IF(COUNTIFS(実績!$W$6:$W$505,CP$3,実績!$AC$6:$AC$505,"&lt;="&amp;$A29,実績!$AD$6:$AD$505,"&gt;"&amp;$A29,実績!$AE$6:$AE$505,"○")&gt;0,1,0))</f>
        <v/>
      </c>
      <c r="CQ29">
        <f>IF(CQ$4=0,0,IF(COUNTIFS(実績!$W$6:$W$505,CQ$3,実績!$AC$6:$AC$505,"&lt;="&amp;$A29,実績!$AD$6:$AD$505,"&gt;"&amp;$A29,実績!$AE$6:$AE$505,"○")&gt;0,1,0))</f>
        <v/>
      </c>
      <c r="CR29">
        <f>IF(CR$4=0,0,IF(COUNTIFS(実績!$W$6:$W$505,CR$3,実績!$AC$6:$AC$505,"&lt;="&amp;$A29,実績!$AD$6:$AD$505,"&gt;"&amp;$A29,実績!$AE$6:$AE$505,"○")&gt;0,1,0))</f>
        <v/>
      </c>
      <c r="CS29">
        <f>IF(CS$4=0,0,IF(COUNTIFS(実績!$W$6:$W$505,CS$3,実績!$AC$6:$AC$505,"&lt;="&amp;$A29,実績!$AD$6:$AD$505,"&gt;"&amp;$A29,実績!$AE$6:$AE$505,"○")&gt;0,1,0))</f>
        <v/>
      </c>
      <c r="CT29">
        <f>IF(CT$4=0,0,IF(COUNTIFS(実績!$W$6:$W$505,CT$3,実績!$AC$6:$AC$505,"&lt;="&amp;$A29,実績!$AD$6:$AD$505,"&gt;"&amp;$A29,実績!$AE$6:$AE$505,"○")&gt;0,1,0))</f>
        <v/>
      </c>
      <c r="CU29">
        <f>IF(CU$4=0,0,IF(COUNTIFS(実績!$W$6:$W$505,CU$3,実績!$AC$6:$AC$505,"&lt;="&amp;$A29,実績!$AD$6:$AD$505,"&gt;"&amp;$A29,実績!$AE$6:$AE$505,"○")&gt;0,1,0))</f>
        <v/>
      </c>
      <c r="CV29">
        <f>IF(CV$4=0,0,IF(COUNTIFS(実績!$W$6:$W$505,CV$3,実績!$AC$6:$AC$505,"&lt;="&amp;$A29,実績!$AD$6:$AD$505,"&gt;"&amp;$A29,実績!$AE$6:$AE$505,"○")&gt;0,1,0))</f>
        <v/>
      </c>
      <c r="CW29">
        <f>IF(CW$4=0,0,IF(COUNTIFS(実績!$W$6:$W$505,CW$3,実績!$AC$6:$AC$505,"&lt;="&amp;$A29,実績!$AD$6:$AD$505,"&gt;"&amp;$A29,実績!$AE$6:$AE$505,"○")&gt;0,1,0))</f>
        <v/>
      </c>
      <c r="CX29">
        <f>IF(CX$4=0,0,IF(COUNTIFS(実績!$W$6:$W$505,CX$3,実績!$AC$6:$AC$505,"&lt;="&amp;$A29,実績!$AD$6:$AD$505,"&gt;"&amp;$A29,実績!$AE$6:$AE$505,"○")&gt;0,1,0))</f>
        <v/>
      </c>
      <c r="CY29">
        <f>IF(CY$4=0,0,IF(COUNTIFS(実績!$W$6:$W$505,CY$3,実績!$AC$6:$AC$505,"&lt;="&amp;$A29,実績!$AD$6:$AD$505,"&gt;"&amp;$A29,実績!$AE$6:$AE$505,"○")&gt;0,1,0))</f>
        <v/>
      </c>
      <c r="CZ29">
        <f>IF(CZ$4=0,0,IF(COUNTIFS(実績!$W$6:$W$505,CZ$3,実績!$AC$6:$AC$505,"&lt;="&amp;$A29,実績!$AD$6:$AD$505,"&gt;"&amp;$A29,実績!$AE$6:$AE$505,"○")&gt;0,1,0))</f>
        <v/>
      </c>
      <c r="DA29">
        <f>IF(DA$4=0,0,IF(COUNTIFS(実績!$W$6:$W$505,DA$3,実績!$AC$6:$AC$505,"&lt;="&amp;$A29,実績!$AD$6:$AD$505,"&gt;"&amp;$A29,実績!$AE$6:$AE$505,"○")&gt;0,1,0))</f>
        <v/>
      </c>
      <c r="DB29">
        <f>IF(DB$4=0,0,IF(COUNTIFS(実績!$W$6:$W$505,DB$3,実績!$AC$6:$AC$505,"&lt;="&amp;$A29,実績!$AD$6:$AD$505,"&gt;"&amp;$A29,実績!$AE$6:$AE$505,"○")&gt;0,1,0))</f>
        <v/>
      </c>
      <c r="DC29">
        <f>IF(DC$4=0,0,IF(COUNTIFS(実績!$W$6:$W$505,DC$3,実績!$AC$6:$AC$505,"&lt;="&amp;$A29,実績!$AD$6:$AD$505,"&gt;"&amp;$A29,実績!$AE$6:$AE$505,"○")&gt;0,1,0))</f>
        <v/>
      </c>
      <c r="DD29">
        <f>IF(DD$4=0,0,IF(COUNTIFS(実績!$W$6:$W$505,DD$3,実績!$AC$6:$AC$505,"&lt;="&amp;$A29,実績!$AD$6:$AD$505,"&gt;"&amp;$A29,実績!$AE$6:$AE$505,"○")&gt;0,1,0))</f>
        <v/>
      </c>
      <c r="DE29">
        <f>IF(DE$4=0,0,IF(COUNTIFS(実績!$W$6:$W$505,DE$3,実績!$AC$6:$AC$505,"&lt;="&amp;$A29,実績!$AD$6:$AD$505,"&gt;"&amp;$A29,実績!$AE$6:$AE$505,"○")&gt;0,1,0))</f>
        <v/>
      </c>
      <c r="DF29">
        <f>IF(DF$4=0,0,IF(COUNTIFS(実績!$W$6:$W$505,DF$3,実績!$AC$6:$AC$505,"&lt;="&amp;$A29,実績!$AD$6:$AD$505,"&gt;"&amp;$A29,実績!$AE$6:$AE$505,"○")&gt;0,1,0))</f>
        <v/>
      </c>
      <c r="DG29">
        <f>IF(DG$4=0,0,IF(COUNTIFS(実績!$W$6:$W$505,DG$3,実績!$AC$6:$AC$505,"&lt;="&amp;$A29,実績!$AD$6:$AD$505,"&gt;"&amp;$A29,実績!$AE$6:$AE$505,"○")&gt;0,1,0))</f>
        <v/>
      </c>
      <c r="DH29">
        <f>IF(DH$4=0,0,IF(COUNTIFS(実績!$W$6:$W$505,DH$3,実績!$AC$6:$AC$505,"&lt;="&amp;$A29,実績!$AD$6:$AD$505,"&gt;"&amp;$A29,実績!$AE$6:$AE$505,"○")&gt;0,1,0))</f>
        <v/>
      </c>
      <c r="DI29">
        <f>IF(DI$4=0,0,IF(COUNTIFS(実績!$W$6:$W$505,DI$3,実績!$AC$6:$AC$505,"&lt;="&amp;$A29,実績!$AD$6:$AD$505,"&gt;"&amp;$A29,実績!$AE$6:$AE$505,"○")&gt;0,1,0))</f>
        <v/>
      </c>
      <c r="DJ29">
        <f>IF(DJ$4=0,0,IF(COUNTIFS(実績!$W$6:$W$505,DJ$3,実績!$AC$6:$AC$505,"&lt;="&amp;$A29,実績!$AD$6:$AD$505,"&gt;"&amp;$A29,実績!$AE$6:$AE$505,"○")&gt;0,1,0))</f>
        <v/>
      </c>
      <c r="DK29">
        <f>IF(DK$4=0,0,IF(COUNTIFS(実績!$W$6:$W$505,DK$3,実績!$AC$6:$AC$505,"&lt;="&amp;$A29,実績!$AD$6:$AD$505,"&gt;"&amp;$A29,実績!$AE$6:$AE$505,"○")&gt;0,1,0))</f>
        <v/>
      </c>
      <c r="DL29">
        <f>IF(DL$4=0,0,IF(COUNTIFS(実績!$W$6:$W$505,DL$3,実績!$AC$6:$AC$505,"&lt;="&amp;$A29,実績!$AD$6:$AD$505,"&gt;"&amp;$A29,実績!$AE$6:$AE$505,"○")&gt;0,1,0))</f>
        <v/>
      </c>
      <c r="DM29">
        <f>IF(DM$4=0,0,IF(COUNTIFS(実績!$W$6:$W$505,DM$3,実績!$AC$6:$AC$505,"&lt;="&amp;$A29,実績!$AD$6:$AD$505,"&gt;"&amp;$A29,実績!$AE$6:$AE$505,"○")&gt;0,1,0))</f>
        <v/>
      </c>
      <c r="DN29">
        <f>IF(DN$4=0,0,IF(COUNTIFS(実績!$W$6:$W$505,DN$3,実績!$AC$6:$AC$505,"&lt;="&amp;$A29,実績!$AD$6:$AD$505,"&gt;"&amp;$A29,実績!$AE$6:$AE$505,"○")&gt;0,1,0))</f>
        <v/>
      </c>
      <c r="DO29">
        <f>IF(DO$4=0,0,IF(COUNTIFS(実績!$W$6:$W$505,DO$3,実績!$AC$6:$AC$505,"&lt;="&amp;$A29,実績!$AD$6:$AD$505,"&gt;"&amp;$A29,実績!$AE$6:$AE$505,"○")&gt;0,1,0))</f>
        <v/>
      </c>
      <c r="DP29">
        <f>IF(DP$4=0,0,IF(COUNTIFS(実績!$W$6:$W$505,DP$3,実績!$AC$6:$AC$505,"&lt;="&amp;$A29,実績!$AD$6:$AD$505,"&gt;"&amp;$A29,実績!$AE$6:$AE$505,"○")&gt;0,1,0))</f>
        <v/>
      </c>
      <c r="DQ29">
        <f>IF(DQ$4=0,0,IF(COUNTIFS(実績!$W$6:$W$505,DQ$3,実績!$AC$6:$AC$505,"&lt;="&amp;$A29,実績!$AD$6:$AD$505,"&gt;"&amp;$A29,実績!$AE$6:$AE$505,"○")&gt;0,1,0))</f>
        <v/>
      </c>
      <c r="DR29">
        <f>IF(DR$4=0,0,IF(COUNTIFS(実績!$W$6:$W$505,DR$3,実績!$AC$6:$AC$505,"&lt;="&amp;$A29,実績!$AD$6:$AD$505,"&gt;"&amp;$A29,実績!$AE$6:$AE$505,"○")&gt;0,1,0))</f>
        <v/>
      </c>
      <c r="DS29">
        <f>SUM(C29:DR29)</f>
        <v/>
      </c>
      <c r="DT29">
        <f>SUMPRODUCT((実績!$C$6:$C$505="○")*ISNUMBER(実績!$AF$6:$AF$505)*(実績!$AF$6:$AF$505&lt;=$A29)*(実績!$AG$6:$AG$505&gt;$A29))</f>
        <v/>
      </c>
      <c r="DU29">
        <f>SUMIF($C$2:$DR$2,"製鉄曳船",C29:DR29)</f>
        <v/>
      </c>
      <c r="DV29">
        <f>SUMIF($C$2:$DR$2,"西日本海運",C29:DR29)</f>
        <v/>
      </c>
    </row>
    <row r="30">
      <c r="A30" t="n">
        <v>120</v>
      </c>
      <c r="B30" s="29">
        <f>A30/1440</f>
        <v/>
      </c>
      <c r="C30">
        <f>IF(C$4=0,0,IF(COUNTIFS(実績!$W$6:$W$505,C$3,実績!$AC$6:$AC$505,"&lt;="&amp;$A30,実績!$AD$6:$AD$505,"&gt;"&amp;$A30,実績!$AE$6:$AE$505,"○")&gt;0,1,0))</f>
        <v/>
      </c>
      <c r="D30">
        <f>IF(D$4=0,0,IF(COUNTIFS(実績!$W$6:$W$505,D$3,実績!$AC$6:$AC$505,"&lt;="&amp;$A30,実績!$AD$6:$AD$505,"&gt;"&amp;$A30,実績!$AE$6:$AE$505,"○")&gt;0,1,0))</f>
        <v/>
      </c>
      <c r="E30">
        <f>IF(E$4=0,0,IF(COUNTIFS(実績!$W$6:$W$505,E$3,実績!$AC$6:$AC$505,"&lt;="&amp;$A30,実績!$AD$6:$AD$505,"&gt;"&amp;$A30,実績!$AE$6:$AE$505,"○")&gt;0,1,0))</f>
        <v/>
      </c>
      <c r="F30">
        <f>IF(F$4=0,0,IF(COUNTIFS(実績!$W$6:$W$505,F$3,実績!$AC$6:$AC$505,"&lt;="&amp;$A30,実績!$AD$6:$AD$505,"&gt;"&amp;$A30,実績!$AE$6:$AE$505,"○")&gt;0,1,0))</f>
        <v/>
      </c>
      <c r="G30">
        <f>IF(G$4=0,0,IF(COUNTIFS(実績!$W$6:$W$505,G$3,実績!$AC$6:$AC$505,"&lt;="&amp;$A30,実績!$AD$6:$AD$505,"&gt;"&amp;$A30,実績!$AE$6:$AE$505,"○")&gt;0,1,0))</f>
        <v/>
      </c>
      <c r="H30">
        <f>IF(H$4=0,0,IF(COUNTIFS(実績!$W$6:$W$505,H$3,実績!$AC$6:$AC$505,"&lt;="&amp;$A30,実績!$AD$6:$AD$505,"&gt;"&amp;$A30,実績!$AE$6:$AE$505,"○")&gt;0,1,0))</f>
        <v/>
      </c>
      <c r="I30">
        <f>IF(I$4=0,0,IF(COUNTIFS(実績!$W$6:$W$505,I$3,実績!$AC$6:$AC$505,"&lt;="&amp;$A30,実績!$AD$6:$AD$505,"&gt;"&amp;$A30,実績!$AE$6:$AE$505,"○")&gt;0,1,0))</f>
        <v/>
      </c>
      <c r="J30">
        <f>IF(J$4=0,0,IF(COUNTIFS(実績!$W$6:$W$505,J$3,実績!$AC$6:$AC$505,"&lt;="&amp;$A30,実績!$AD$6:$AD$505,"&gt;"&amp;$A30,実績!$AE$6:$AE$505,"○")&gt;0,1,0))</f>
        <v/>
      </c>
      <c r="K30">
        <f>IF(K$4=0,0,IF(COUNTIFS(実績!$W$6:$W$505,K$3,実績!$AC$6:$AC$505,"&lt;="&amp;$A30,実績!$AD$6:$AD$505,"&gt;"&amp;$A30,実績!$AE$6:$AE$505,"○")&gt;0,1,0))</f>
        <v/>
      </c>
      <c r="L30">
        <f>IF(L$4=0,0,IF(COUNTIFS(実績!$W$6:$W$505,L$3,実績!$AC$6:$AC$505,"&lt;="&amp;$A30,実績!$AD$6:$AD$505,"&gt;"&amp;$A30,実績!$AE$6:$AE$505,"○")&gt;0,1,0))</f>
        <v/>
      </c>
      <c r="M30">
        <f>IF(M$4=0,0,IF(COUNTIFS(実績!$W$6:$W$505,M$3,実績!$AC$6:$AC$505,"&lt;="&amp;$A30,実績!$AD$6:$AD$505,"&gt;"&amp;$A30,実績!$AE$6:$AE$505,"○")&gt;0,1,0))</f>
        <v/>
      </c>
      <c r="N30">
        <f>IF(N$4=0,0,IF(COUNTIFS(実績!$W$6:$W$505,N$3,実績!$AC$6:$AC$505,"&lt;="&amp;$A30,実績!$AD$6:$AD$505,"&gt;"&amp;$A30,実績!$AE$6:$AE$505,"○")&gt;0,1,0))</f>
        <v/>
      </c>
      <c r="O30">
        <f>IF(O$4=0,0,IF(COUNTIFS(実績!$W$6:$W$505,O$3,実績!$AC$6:$AC$505,"&lt;="&amp;$A30,実績!$AD$6:$AD$505,"&gt;"&amp;$A30,実績!$AE$6:$AE$505,"○")&gt;0,1,0))</f>
        <v/>
      </c>
      <c r="P30">
        <f>IF(P$4=0,0,IF(COUNTIFS(実績!$W$6:$W$505,P$3,実績!$AC$6:$AC$505,"&lt;="&amp;$A30,実績!$AD$6:$AD$505,"&gt;"&amp;$A30,実績!$AE$6:$AE$505,"○")&gt;0,1,0))</f>
        <v/>
      </c>
      <c r="Q30">
        <f>IF(Q$4=0,0,IF(COUNTIFS(実績!$W$6:$W$505,Q$3,実績!$AC$6:$AC$505,"&lt;="&amp;$A30,実績!$AD$6:$AD$505,"&gt;"&amp;$A30,実績!$AE$6:$AE$505,"○")&gt;0,1,0))</f>
        <v/>
      </c>
      <c r="R30">
        <f>IF(R$4=0,0,IF(COUNTIFS(実績!$W$6:$W$505,R$3,実績!$AC$6:$AC$505,"&lt;="&amp;$A30,実績!$AD$6:$AD$505,"&gt;"&amp;$A30,実績!$AE$6:$AE$505,"○")&gt;0,1,0))</f>
        <v/>
      </c>
      <c r="S30">
        <f>IF(S$4=0,0,IF(COUNTIFS(実績!$W$6:$W$505,S$3,実績!$AC$6:$AC$505,"&lt;="&amp;$A30,実績!$AD$6:$AD$505,"&gt;"&amp;$A30,実績!$AE$6:$AE$505,"○")&gt;0,1,0))</f>
        <v/>
      </c>
      <c r="T30">
        <f>IF(T$4=0,0,IF(COUNTIFS(実績!$W$6:$W$505,T$3,実績!$AC$6:$AC$505,"&lt;="&amp;$A30,実績!$AD$6:$AD$505,"&gt;"&amp;$A30,実績!$AE$6:$AE$505,"○")&gt;0,1,0))</f>
        <v/>
      </c>
      <c r="U30">
        <f>IF(U$4=0,0,IF(COUNTIFS(実績!$W$6:$W$505,U$3,実績!$AC$6:$AC$505,"&lt;="&amp;$A30,実績!$AD$6:$AD$505,"&gt;"&amp;$A30,実績!$AE$6:$AE$505,"○")&gt;0,1,0))</f>
        <v/>
      </c>
      <c r="V30">
        <f>IF(V$4=0,0,IF(COUNTIFS(実績!$W$6:$W$505,V$3,実績!$AC$6:$AC$505,"&lt;="&amp;$A30,実績!$AD$6:$AD$505,"&gt;"&amp;$A30,実績!$AE$6:$AE$505,"○")&gt;0,1,0))</f>
        <v/>
      </c>
      <c r="W30">
        <f>IF(W$4=0,0,IF(COUNTIFS(実績!$W$6:$W$505,W$3,実績!$AC$6:$AC$505,"&lt;="&amp;$A30,実績!$AD$6:$AD$505,"&gt;"&amp;$A30,実績!$AE$6:$AE$505,"○")&gt;0,1,0))</f>
        <v/>
      </c>
      <c r="X30">
        <f>IF(X$4=0,0,IF(COUNTIFS(実績!$W$6:$W$505,X$3,実績!$AC$6:$AC$505,"&lt;="&amp;$A30,実績!$AD$6:$AD$505,"&gt;"&amp;$A30,実績!$AE$6:$AE$505,"○")&gt;0,1,0))</f>
        <v/>
      </c>
      <c r="Y30">
        <f>IF(Y$4=0,0,IF(COUNTIFS(実績!$W$6:$W$505,Y$3,実績!$AC$6:$AC$505,"&lt;="&amp;$A30,実績!$AD$6:$AD$505,"&gt;"&amp;$A30,実績!$AE$6:$AE$505,"○")&gt;0,1,0))</f>
        <v/>
      </c>
      <c r="Z30">
        <f>IF(Z$4=0,0,IF(COUNTIFS(実績!$W$6:$W$505,Z$3,実績!$AC$6:$AC$505,"&lt;="&amp;$A30,実績!$AD$6:$AD$505,"&gt;"&amp;$A30,実績!$AE$6:$AE$505,"○")&gt;0,1,0))</f>
        <v/>
      </c>
      <c r="AA30">
        <f>IF(AA$4=0,0,IF(COUNTIFS(実績!$W$6:$W$505,AA$3,実績!$AC$6:$AC$505,"&lt;="&amp;$A30,実績!$AD$6:$AD$505,"&gt;"&amp;$A30,実績!$AE$6:$AE$505,"○")&gt;0,1,0))</f>
        <v/>
      </c>
      <c r="AB30">
        <f>IF(AB$4=0,0,IF(COUNTIFS(実績!$W$6:$W$505,AB$3,実績!$AC$6:$AC$505,"&lt;="&amp;$A30,実績!$AD$6:$AD$505,"&gt;"&amp;$A30,実績!$AE$6:$AE$505,"○")&gt;0,1,0))</f>
        <v/>
      </c>
      <c r="AC30">
        <f>IF(AC$4=0,0,IF(COUNTIFS(実績!$W$6:$W$505,AC$3,実績!$AC$6:$AC$505,"&lt;="&amp;$A30,実績!$AD$6:$AD$505,"&gt;"&amp;$A30,実績!$AE$6:$AE$505,"○")&gt;0,1,0))</f>
        <v/>
      </c>
      <c r="AD30">
        <f>IF(AD$4=0,0,IF(COUNTIFS(実績!$W$6:$W$505,AD$3,実績!$AC$6:$AC$505,"&lt;="&amp;$A30,実績!$AD$6:$AD$505,"&gt;"&amp;$A30,実績!$AE$6:$AE$505,"○")&gt;0,1,0))</f>
        <v/>
      </c>
      <c r="AE30">
        <f>IF(AE$4=0,0,IF(COUNTIFS(実績!$W$6:$W$505,AE$3,実績!$AC$6:$AC$505,"&lt;="&amp;$A30,実績!$AD$6:$AD$505,"&gt;"&amp;$A30,実績!$AE$6:$AE$505,"○")&gt;0,1,0))</f>
        <v/>
      </c>
      <c r="AF30">
        <f>IF(AF$4=0,0,IF(COUNTIFS(実績!$W$6:$W$505,AF$3,実績!$AC$6:$AC$505,"&lt;="&amp;$A30,実績!$AD$6:$AD$505,"&gt;"&amp;$A30,実績!$AE$6:$AE$505,"○")&gt;0,1,0))</f>
        <v/>
      </c>
      <c r="AG30">
        <f>IF(AG$4=0,0,IF(COUNTIFS(実績!$W$6:$W$505,AG$3,実績!$AC$6:$AC$505,"&lt;="&amp;$A30,実績!$AD$6:$AD$505,"&gt;"&amp;$A30,実績!$AE$6:$AE$505,"○")&gt;0,1,0))</f>
        <v/>
      </c>
      <c r="AH30">
        <f>IF(AH$4=0,0,IF(COUNTIFS(実績!$W$6:$W$505,AH$3,実績!$AC$6:$AC$505,"&lt;="&amp;$A30,実績!$AD$6:$AD$505,"&gt;"&amp;$A30,実績!$AE$6:$AE$505,"○")&gt;0,1,0))</f>
        <v/>
      </c>
      <c r="AI30">
        <f>IF(AI$4=0,0,IF(COUNTIFS(実績!$W$6:$W$505,AI$3,実績!$AC$6:$AC$505,"&lt;="&amp;$A30,実績!$AD$6:$AD$505,"&gt;"&amp;$A30,実績!$AE$6:$AE$505,"○")&gt;0,1,0))</f>
        <v/>
      </c>
      <c r="AJ30">
        <f>IF(AJ$4=0,0,IF(COUNTIFS(実績!$W$6:$W$505,AJ$3,実績!$AC$6:$AC$505,"&lt;="&amp;$A30,実績!$AD$6:$AD$505,"&gt;"&amp;$A30,実績!$AE$6:$AE$505,"○")&gt;0,1,0))</f>
        <v/>
      </c>
      <c r="AK30">
        <f>IF(AK$4=0,0,IF(COUNTIFS(実績!$W$6:$W$505,AK$3,実績!$AC$6:$AC$505,"&lt;="&amp;$A30,実績!$AD$6:$AD$505,"&gt;"&amp;$A30,実績!$AE$6:$AE$505,"○")&gt;0,1,0))</f>
        <v/>
      </c>
      <c r="AL30">
        <f>IF(AL$4=0,0,IF(COUNTIFS(実績!$W$6:$W$505,AL$3,実績!$AC$6:$AC$505,"&lt;="&amp;$A30,実績!$AD$6:$AD$505,"&gt;"&amp;$A30,実績!$AE$6:$AE$505,"○")&gt;0,1,0))</f>
        <v/>
      </c>
      <c r="AM30">
        <f>IF(AM$4=0,0,IF(COUNTIFS(実績!$W$6:$W$505,AM$3,実績!$AC$6:$AC$505,"&lt;="&amp;$A30,実績!$AD$6:$AD$505,"&gt;"&amp;$A30,実績!$AE$6:$AE$505,"○")&gt;0,1,0))</f>
        <v/>
      </c>
      <c r="AN30">
        <f>IF(AN$4=0,0,IF(COUNTIFS(実績!$W$6:$W$505,AN$3,実績!$AC$6:$AC$505,"&lt;="&amp;$A30,実績!$AD$6:$AD$505,"&gt;"&amp;$A30,実績!$AE$6:$AE$505,"○")&gt;0,1,0))</f>
        <v/>
      </c>
      <c r="AO30">
        <f>IF(AO$4=0,0,IF(COUNTIFS(実績!$W$6:$W$505,AO$3,実績!$AC$6:$AC$505,"&lt;="&amp;$A30,実績!$AD$6:$AD$505,"&gt;"&amp;$A30,実績!$AE$6:$AE$505,"○")&gt;0,1,0))</f>
        <v/>
      </c>
      <c r="AP30">
        <f>IF(AP$4=0,0,IF(COUNTIFS(実績!$W$6:$W$505,AP$3,実績!$AC$6:$AC$505,"&lt;="&amp;$A30,実績!$AD$6:$AD$505,"&gt;"&amp;$A30,実績!$AE$6:$AE$505,"○")&gt;0,1,0))</f>
        <v/>
      </c>
      <c r="AQ30">
        <f>IF(AQ$4=0,0,IF(COUNTIFS(実績!$W$6:$W$505,AQ$3,実績!$AC$6:$AC$505,"&lt;="&amp;$A30,実績!$AD$6:$AD$505,"&gt;"&amp;$A30,実績!$AE$6:$AE$505,"○")&gt;0,1,0))</f>
        <v/>
      </c>
      <c r="AR30">
        <f>IF(AR$4=0,0,IF(COUNTIFS(実績!$W$6:$W$505,AR$3,実績!$AC$6:$AC$505,"&lt;="&amp;$A30,実績!$AD$6:$AD$505,"&gt;"&amp;$A30,実績!$AE$6:$AE$505,"○")&gt;0,1,0))</f>
        <v/>
      </c>
      <c r="AS30">
        <f>IF(AS$4=0,0,IF(COUNTIFS(実績!$W$6:$W$505,AS$3,実績!$AC$6:$AC$505,"&lt;="&amp;$A30,実績!$AD$6:$AD$505,"&gt;"&amp;$A30,実績!$AE$6:$AE$505,"○")&gt;0,1,0))</f>
        <v/>
      </c>
      <c r="AT30">
        <f>IF(AT$4=0,0,IF(COUNTIFS(実績!$W$6:$W$505,AT$3,実績!$AC$6:$AC$505,"&lt;="&amp;$A30,実績!$AD$6:$AD$505,"&gt;"&amp;$A30,実績!$AE$6:$AE$505,"○")&gt;0,1,0))</f>
        <v/>
      </c>
      <c r="AU30">
        <f>IF(AU$4=0,0,IF(COUNTIFS(実績!$W$6:$W$505,AU$3,実績!$AC$6:$AC$505,"&lt;="&amp;$A30,実績!$AD$6:$AD$505,"&gt;"&amp;$A30,実績!$AE$6:$AE$505,"○")&gt;0,1,0))</f>
        <v/>
      </c>
      <c r="AV30">
        <f>IF(AV$4=0,0,IF(COUNTIFS(実績!$W$6:$W$505,AV$3,実績!$AC$6:$AC$505,"&lt;="&amp;$A30,実績!$AD$6:$AD$505,"&gt;"&amp;$A30,実績!$AE$6:$AE$505,"○")&gt;0,1,0))</f>
        <v/>
      </c>
      <c r="AW30">
        <f>IF(AW$4=0,0,IF(COUNTIFS(実績!$W$6:$W$505,AW$3,実績!$AC$6:$AC$505,"&lt;="&amp;$A30,実績!$AD$6:$AD$505,"&gt;"&amp;$A30,実績!$AE$6:$AE$505,"○")&gt;0,1,0))</f>
        <v/>
      </c>
      <c r="AX30">
        <f>IF(AX$4=0,0,IF(COUNTIFS(実績!$W$6:$W$505,AX$3,実績!$AC$6:$AC$505,"&lt;="&amp;$A30,実績!$AD$6:$AD$505,"&gt;"&amp;$A30,実績!$AE$6:$AE$505,"○")&gt;0,1,0))</f>
        <v/>
      </c>
      <c r="AY30">
        <f>IF(AY$4=0,0,IF(COUNTIFS(実績!$W$6:$W$505,AY$3,実績!$AC$6:$AC$505,"&lt;="&amp;$A30,実績!$AD$6:$AD$505,"&gt;"&amp;$A30,実績!$AE$6:$AE$505,"○")&gt;0,1,0))</f>
        <v/>
      </c>
      <c r="AZ30">
        <f>IF(AZ$4=0,0,IF(COUNTIFS(実績!$W$6:$W$505,AZ$3,実績!$AC$6:$AC$505,"&lt;="&amp;$A30,実績!$AD$6:$AD$505,"&gt;"&amp;$A30,実績!$AE$6:$AE$505,"○")&gt;0,1,0))</f>
        <v/>
      </c>
      <c r="BA30">
        <f>IF(BA$4=0,0,IF(COUNTIFS(実績!$W$6:$W$505,BA$3,実績!$AC$6:$AC$505,"&lt;="&amp;$A30,実績!$AD$6:$AD$505,"&gt;"&amp;$A30,実績!$AE$6:$AE$505,"○")&gt;0,1,0))</f>
        <v/>
      </c>
      <c r="BB30">
        <f>IF(BB$4=0,0,IF(COUNTIFS(実績!$W$6:$W$505,BB$3,実績!$AC$6:$AC$505,"&lt;="&amp;$A30,実績!$AD$6:$AD$505,"&gt;"&amp;$A30,実績!$AE$6:$AE$505,"○")&gt;0,1,0))</f>
        <v/>
      </c>
      <c r="BC30">
        <f>IF(BC$4=0,0,IF(COUNTIFS(実績!$W$6:$W$505,BC$3,実績!$AC$6:$AC$505,"&lt;="&amp;$A30,実績!$AD$6:$AD$505,"&gt;"&amp;$A30,実績!$AE$6:$AE$505,"○")&gt;0,1,0))</f>
        <v/>
      </c>
      <c r="BD30">
        <f>IF(BD$4=0,0,IF(COUNTIFS(実績!$W$6:$W$505,BD$3,実績!$AC$6:$AC$505,"&lt;="&amp;$A30,実績!$AD$6:$AD$505,"&gt;"&amp;$A30,実績!$AE$6:$AE$505,"○")&gt;0,1,0))</f>
        <v/>
      </c>
      <c r="BE30">
        <f>IF(BE$4=0,0,IF(COUNTIFS(実績!$W$6:$W$505,BE$3,実績!$AC$6:$AC$505,"&lt;="&amp;$A30,実績!$AD$6:$AD$505,"&gt;"&amp;$A30,実績!$AE$6:$AE$505,"○")&gt;0,1,0))</f>
        <v/>
      </c>
      <c r="BF30">
        <f>IF(BF$4=0,0,IF(COUNTIFS(実績!$W$6:$W$505,BF$3,実績!$AC$6:$AC$505,"&lt;="&amp;$A30,実績!$AD$6:$AD$505,"&gt;"&amp;$A30,実績!$AE$6:$AE$505,"○")&gt;0,1,0))</f>
        <v/>
      </c>
      <c r="BG30">
        <f>IF(BG$4=0,0,IF(COUNTIFS(実績!$W$6:$W$505,BG$3,実績!$AC$6:$AC$505,"&lt;="&amp;$A30,実績!$AD$6:$AD$505,"&gt;"&amp;$A30,実績!$AE$6:$AE$505,"○")&gt;0,1,0))</f>
        <v/>
      </c>
      <c r="BH30">
        <f>IF(BH$4=0,0,IF(COUNTIFS(実績!$W$6:$W$505,BH$3,実績!$AC$6:$AC$505,"&lt;="&amp;$A30,実績!$AD$6:$AD$505,"&gt;"&amp;$A30,実績!$AE$6:$AE$505,"○")&gt;0,1,0))</f>
        <v/>
      </c>
      <c r="BI30">
        <f>IF(BI$4=0,0,IF(COUNTIFS(実績!$W$6:$W$505,BI$3,実績!$AC$6:$AC$505,"&lt;="&amp;$A30,実績!$AD$6:$AD$505,"&gt;"&amp;$A30,実績!$AE$6:$AE$505,"○")&gt;0,1,0))</f>
        <v/>
      </c>
      <c r="BJ30">
        <f>IF(BJ$4=0,0,IF(COUNTIFS(実績!$W$6:$W$505,BJ$3,実績!$AC$6:$AC$505,"&lt;="&amp;$A30,実績!$AD$6:$AD$505,"&gt;"&amp;$A30,実績!$AE$6:$AE$505,"○")&gt;0,1,0))</f>
        <v/>
      </c>
      <c r="BK30">
        <f>IF(BK$4=0,0,IF(COUNTIFS(実績!$W$6:$W$505,BK$3,実績!$AC$6:$AC$505,"&lt;="&amp;$A30,実績!$AD$6:$AD$505,"&gt;"&amp;$A30,実績!$AE$6:$AE$505,"○")&gt;0,1,0))</f>
        <v/>
      </c>
      <c r="BL30">
        <f>IF(BL$4=0,0,IF(COUNTIFS(実績!$W$6:$W$505,BL$3,実績!$AC$6:$AC$505,"&lt;="&amp;$A30,実績!$AD$6:$AD$505,"&gt;"&amp;$A30,実績!$AE$6:$AE$505,"○")&gt;0,1,0))</f>
        <v/>
      </c>
      <c r="BM30">
        <f>IF(BM$4=0,0,IF(COUNTIFS(実績!$W$6:$W$505,BM$3,実績!$AC$6:$AC$505,"&lt;="&amp;$A30,実績!$AD$6:$AD$505,"&gt;"&amp;$A30,実績!$AE$6:$AE$505,"○")&gt;0,1,0))</f>
        <v/>
      </c>
      <c r="BN30">
        <f>IF(BN$4=0,0,IF(COUNTIFS(実績!$W$6:$W$505,BN$3,実績!$AC$6:$AC$505,"&lt;="&amp;$A30,実績!$AD$6:$AD$505,"&gt;"&amp;$A30,実績!$AE$6:$AE$505,"○")&gt;0,1,0))</f>
        <v/>
      </c>
      <c r="BO30">
        <f>IF(BO$4=0,0,IF(COUNTIFS(実績!$W$6:$W$505,BO$3,実績!$AC$6:$AC$505,"&lt;="&amp;$A30,実績!$AD$6:$AD$505,"&gt;"&amp;$A30,実績!$AE$6:$AE$505,"○")&gt;0,1,0))</f>
        <v/>
      </c>
      <c r="BP30">
        <f>IF(BP$4=0,0,IF(COUNTIFS(実績!$W$6:$W$505,BP$3,実績!$AC$6:$AC$505,"&lt;="&amp;$A30,実績!$AD$6:$AD$505,"&gt;"&amp;$A30,実績!$AE$6:$AE$505,"○")&gt;0,1,0))</f>
        <v/>
      </c>
      <c r="BQ30">
        <f>IF(BQ$4=0,0,IF(COUNTIFS(実績!$W$6:$W$505,BQ$3,実績!$AC$6:$AC$505,"&lt;="&amp;$A30,実績!$AD$6:$AD$505,"&gt;"&amp;$A30,実績!$AE$6:$AE$505,"○")&gt;0,1,0))</f>
        <v/>
      </c>
      <c r="BR30">
        <f>IF(BR$4=0,0,IF(COUNTIFS(実績!$W$6:$W$505,BR$3,実績!$AC$6:$AC$505,"&lt;="&amp;$A30,実績!$AD$6:$AD$505,"&gt;"&amp;$A30,実績!$AE$6:$AE$505,"○")&gt;0,1,0))</f>
        <v/>
      </c>
      <c r="BS30">
        <f>IF(BS$4=0,0,IF(COUNTIFS(実績!$W$6:$W$505,BS$3,実績!$AC$6:$AC$505,"&lt;="&amp;$A30,実績!$AD$6:$AD$505,"&gt;"&amp;$A30,実績!$AE$6:$AE$505,"○")&gt;0,1,0))</f>
        <v/>
      </c>
      <c r="BT30">
        <f>IF(BT$4=0,0,IF(COUNTIFS(実績!$W$6:$W$505,BT$3,実績!$AC$6:$AC$505,"&lt;="&amp;$A30,実績!$AD$6:$AD$505,"&gt;"&amp;$A30,実績!$AE$6:$AE$505,"○")&gt;0,1,0))</f>
        <v/>
      </c>
      <c r="BU30">
        <f>IF(BU$4=0,0,IF(COUNTIFS(実績!$W$6:$W$505,BU$3,実績!$AC$6:$AC$505,"&lt;="&amp;$A30,実績!$AD$6:$AD$505,"&gt;"&amp;$A30,実績!$AE$6:$AE$505,"○")&gt;0,1,0))</f>
        <v/>
      </c>
      <c r="BV30">
        <f>IF(BV$4=0,0,IF(COUNTIFS(実績!$W$6:$W$505,BV$3,実績!$AC$6:$AC$505,"&lt;="&amp;$A30,実績!$AD$6:$AD$505,"&gt;"&amp;$A30,実績!$AE$6:$AE$505,"○")&gt;0,1,0))</f>
        <v/>
      </c>
      <c r="BW30">
        <f>IF(BW$4=0,0,IF(COUNTIFS(実績!$W$6:$W$505,BW$3,実績!$AC$6:$AC$505,"&lt;="&amp;$A30,実績!$AD$6:$AD$505,"&gt;"&amp;$A30,実績!$AE$6:$AE$505,"○")&gt;0,1,0))</f>
        <v/>
      </c>
      <c r="BX30">
        <f>IF(BX$4=0,0,IF(COUNTIFS(実績!$W$6:$W$505,BX$3,実績!$AC$6:$AC$505,"&lt;="&amp;$A30,実績!$AD$6:$AD$505,"&gt;"&amp;$A30,実績!$AE$6:$AE$505,"○")&gt;0,1,0))</f>
        <v/>
      </c>
      <c r="BY30">
        <f>IF(BY$4=0,0,IF(COUNTIFS(実績!$W$6:$W$505,BY$3,実績!$AC$6:$AC$505,"&lt;="&amp;$A30,実績!$AD$6:$AD$505,"&gt;"&amp;$A30,実績!$AE$6:$AE$505,"○")&gt;0,1,0))</f>
        <v/>
      </c>
      <c r="BZ30">
        <f>IF(BZ$4=0,0,IF(COUNTIFS(実績!$W$6:$W$505,BZ$3,実績!$AC$6:$AC$505,"&lt;="&amp;$A30,実績!$AD$6:$AD$505,"&gt;"&amp;$A30,実績!$AE$6:$AE$505,"○")&gt;0,1,0))</f>
        <v/>
      </c>
      <c r="CA30">
        <f>IF(CA$4=0,0,IF(COUNTIFS(実績!$W$6:$W$505,CA$3,実績!$AC$6:$AC$505,"&lt;="&amp;$A30,実績!$AD$6:$AD$505,"&gt;"&amp;$A30,実績!$AE$6:$AE$505,"○")&gt;0,1,0))</f>
        <v/>
      </c>
      <c r="CB30">
        <f>IF(CB$4=0,0,IF(COUNTIFS(実績!$W$6:$W$505,CB$3,実績!$AC$6:$AC$505,"&lt;="&amp;$A30,実績!$AD$6:$AD$505,"&gt;"&amp;$A30,実績!$AE$6:$AE$505,"○")&gt;0,1,0))</f>
        <v/>
      </c>
      <c r="CC30">
        <f>IF(CC$4=0,0,IF(COUNTIFS(実績!$W$6:$W$505,CC$3,実績!$AC$6:$AC$505,"&lt;="&amp;$A30,実績!$AD$6:$AD$505,"&gt;"&amp;$A30,実績!$AE$6:$AE$505,"○")&gt;0,1,0))</f>
        <v/>
      </c>
      <c r="CD30">
        <f>IF(CD$4=0,0,IF(COUNTIFS(実績!$W$6:$W$505,CD$3,実績!$AC$6:$AC$505,"&lt;="&amp;$A30,実績!$AD$6:$AD$505,"&gt;"&amp;$A30,実績!$AE$6:$AE$505,"○")&gt;0,1,0))</f>
        <v/>
      </c>
      <c r="CE30">
        <f>IF(CE$4=0,0,IF(COUNTIFS(実績!$W$6:$W$505,CE$3,実績!$AC$6:$AC$505,"&lt;="&amp;$A30,実績!$AD$6:$AD$505,"&gt;"&amp;$A30,実績!$AE$6:$AE$505,"○")&gt;0,1,0))</f>
        <v/>
      </c>
      <c r="CF30">
        <f>IF(CF$4=0,0,IF(COUNTIFS(実績!$W$6:$W$505,CF$3,実績!$AC$6:$AC$505,"&lt;="&amp;$A30,実績!$AD$6:$AD$505,"&gt;"&amp;$A30,実績!$AE$6:$AE$505,"○")&gt;0,1,0))</f>
        <v/>
      </c>
      <c r="CG30">
        <f>IF(CG$4=0,0,IF(COUNTIFS(実績!$W$6:$W$505,CG$3,実績!$AC$6:$AC$505,"&lt;="&amp;$A30,実績!$AD$6:$AD$505,"&gt;"&amp;$A30,実績!$AE$6:$AE$505,"○")&gt;0,1,0))</f>
        <v/>
      </c>
      <c r="CH30">
        <f>IF(CH$4=0,0,IF(COUNTIFS(実績!$W$6:$W$505,CH$3,実績!$AC$6:$AC$505,"&lt;="&amp;$A30,実績!$AD$6:$AD$505,"&gt;"&amp;$A30,実績!$AE$6:$AE$505,"○")&gt;0,1,0))</f>
        <v/>
      </c>
      <c r="CI30">
        <f>IF(CI$4=0,0,IF(COUNTIFS(実績!$W$6:$W$505,CI$3,実績!$AC$6:$AC$505,"&lt;="&amp;$A30,実績!$AD$6:$AD$505,"&gt;"&amp;$A30,実績!$AE$6:$AE$505,"○")&gt;0,1,0))</f>
        <v/>
      </c>
      <c r="CJ30">
        <f>IF(CJ$4=0,0,IF(COUNTIFS(実績!$W$6:$W$505,CJ$3,実績!$AC$6:$AC$505,"&lt;="&amp;$A30,実績!$AD$6:$AD$505,"&gt;"&amp;$A30,実績!$AE$6:$AE$505,"○")&gt;0,1,0))</f>
        <v/>
      </c>
      <c r="CK30">
        <f>IF(CK$4=0,0,IF(COUNTIFS(実績!$W$6:$W$505,CK$3,実績!$AC$6:$AC$505,"&lt;="&amp;$A30,実績!$AD$6:$AD$505,"&gt;"&amp;$A30,実績!$AE$6:$AE$505,"○")&gt;0,1,0))</f>
        <v/>
      </c>
      <c r="CL30">
        <f>IF(CL$4=0,0,IF(COUNTIFS(実績!$W$6:$W$505,CL$3,実績!$AC$6:$AC$505,"&lt;="&amp;$A30,実績!$AD$6:$AD$505,"&gt;"&amp;$A30,実績!$AE$6:$AE$505,"○")&gt;0,1,0))</f>
        <v/>
      </c>
      <c r="CM30">
        <f>IF(CM$4=0,0,IF(COUNTIFS(実績!$W$6:$W$505,CM$3,実績!$AC$6:$AC$505,"&lt;="&amp;$A30,実績!$AD$6:$AD$505,"&gt;"&amp;$A30,実績!$AE$6:$AE$505,"○")&gt;0,1,0))</f>
        <v/>
      </c>
      <c r="CN30">
        <f>IF(CN$4=0,0,IF(COUNTIFS(実績!$W$6:$W$505,CN$3,実績!$AC$6:$AC$505,"&lt;="&amp;$A30,実績!$AD$6:$AD$505,"&gt;"&amp;$A30,実績!$AE$6:$AE$505,"○")&gt;0,1,0))</f>
        <v/>
      </c>
      <c r="CO30">
        <f>IF(CO$4=0,0,IF(COUNTIFS(実績!$W$6:$W$505,CO$3,実績!$AC$6:$AC$505,"&lt;="&amp;$A30,実績!$AD$6:$AD$505,"&gt;"&amp;$A30,実績!$AE$6:$AE$505,"○")&gt;0,1,0))</f>
        <v/>
      </c>
      <c r="CP30">
        <f>IF(CP$4=0,0,IF(COUNTIFS(実績!$W$6:$W$505,CP$3,実績!$AC$6:$AC$505,"&lt;="&amp;$A30,実績!$AD$6:$AD$505,"&gt;"&amp;$A30,実績!$AE$6:$AE$505,"○")&gt;0,1,0))</f>
        <v/>
      </c>
      <c r="CQ30">
        <f>IF(CQ$4=0,0,IF(COUNTIFS(実績!$W$6:$W$505,CQ$3,実績!$AC$6:$AC$505,"&lt;="&amp;$A30,実績!$AD$6:$AD$505,"&gt;"&amp;$A30,実績!$AE$6:$AE$505,"○")&gt;0,1,0))</f>
        <v/>
      </c>
      <c r="CR30">
        <f>IF(CR$4=0,0,IF(COUNTIFS(実績!$W$6:$W$505,CR$3,実績!$AC$6:$AC$505,"&lt;="&amp;$A30,実績!$AD$6:$AD$505,"&gt;"&amp;$A30,実績!$AE$6:$AE$505,"○")&gt;0,1,0))</f>
        <v/>
      </c>
      <c r="CS30">
        <f>IF(CS$4=0,0,IF(COUNTIFS(実績!$W$6:$W$505,CS$3,実績!$AC$6:$AC$505,"&lt;="&amp;$A30,実績!$AD$6:$AD$505,"&gt;"&amp;$A30,実績!$AE$6:$AE$505,"○")&gt;0,1,0))</f>
        <v/>
      </c>
      <c r="CT30">
        <f>IF(CT$4=0,0,IF(COUNTIFS(実績!$W$6:$W$505,CT$3,実績!$AC$6:$AC$505,"&lt;="&amp;$A30,実績!$AD$6:$AD$505,"&gt;"&amp;$A30,実績!$AE$6:$AE$505,"○")&gt;0,1,0))</f>
        <v/>
      </c>
      <c r="CU30">
        <f>IF(CU$4=0,0,IF(COUNTIFS(実績!$W$6:$W$505,CU$3,実績!$AC$6:$AC$505,"&lt;="&amp;$A30,実績!$AD$6:$AD$505,"&gt;"&amp;$A30,実績!$AE$6:$AE$505,"○")&gt;0,1,0))</f>
        <v/>
      </c>
      <c r="CV30">
        <f>IF(CV$4=0,0,IF(COUNTIFS(実績!$W$6:$W$505,CV$3,実績!$AC$6:$AC$505,"&lt;="&amp;$A30,実績!$AD$6:$AD$505,"&gt;"&amp;$A30,実績!$AE$6:$AE$505,"○")&gt;0,1,0))</f>
        <v/>
      </c>
      <c r="CW30">
        <f>IF(CW$4=0,0,IF(COUNTIFS(実績!$W$6:$W$505,CW$3,実績!$AC$6:$AC$505,"&lt;="&amp;$A30,実績!$AD$6:$AD$505,"&gt;"&amp;$A30,実績!$AE$6:$AE$505,"○")&gt;0,1,0))</f>
        <v/>
      </c>
      <c r="CX30">
        <f>IF(CX$4=0,0,IF(COUNTIFS(実績!$W$6:$W$505,CX$3,実績!$AC$6:$AC$505,"&lt;="&amp;$A30,実績!$AD$6:$AD$505,"&gt;"&amp;$A30,実績!$AE$6:$AE$505,"○")&gt;0,1,0))</f>
        <v/>
      </c>
      <c r="CY30">
        <f>IF(CY$4=0,0,IF(COUNTIFS(実績!$W$6:$W$505,CY$3,実績!$AC$6:$AC$505,"&lt;="&amp;$A30,実績!$AD$6:$AD$505,"&gt;"&amp;$A30,実績!$AE$6:$AE$505,"○")&gt;0,1,0))</f>
        <v/>
      </c>
      <c r="CZ30">
        <f>IF(CZ$4=0,0,IF(COUNTIFS(実績!$W$6:$W$505,CZ$3,実績!$AC$6:$AC$505,"&lt;="&amp;$A30,実績!$AD$6:$AD$505,"&gt;"&amp;$A30,実績!$AE$6:$AE$505,"○")&gt;0,1,0))</f>
        <v/>
      </c>
      <c r="DA30">
        <f>IF(DA$4=0,0,IF(COUNTIFS(実績!$W$6:$W$505,DA$3,実績!$AC$6:$AC$505,"&lt;="&amp;$A30,実績!$AD$6:$AD$505,"&gt;"&amp;$A30,実績!$AE$6:$AE$505,"○")&gt;0,1,0))</f>
        <v/>
      </c>
      <c r="DB30">
        <f>IF(DB$4=0,0,IF(COUNTIFS(実績!$W$6:$W$505,DB$3,実績!$AC$6:$AC$505,"&lt;="&amp;$A30,実績!$AD$6:$AD$505,"&gt;"&amp;$A30,実績!$AE$6:$AE$505,"○")&gt;0,1,0))</f>
        <v/>
      </c>
      <c r="DC30">
        <f>IF(DC$4=0,0,IF(COUNTIFS(実績!$W$6:$W$505,DC$3,実績!$AC$6:$AC$505,"&lt;="&amp;$A30,実績!$AD$6:$AD$505,"&gt;"&amp;$A30,実績!$AE$6:$AE$505,"○")&gt;0,1,0))</f>
        <v/>
      </c>
      <c r="DD30">
        <f>IF(DD$4=0,0,IF(COUNTIFS(実績!$W$6:$W$505,DD$3,実績!$AC$6:$AC$505,"&lt;="&amp;$A30,実績!$AD$6:$AD$505,"&gt;"&amp;$A30,実績!$AE$6:$AE$505,"○")&gt;0,1,0))</f>
        <v/>
      </c>
      <c r="DE30">
        <f>IF(DE$4=0,0,IF(COUNTIFS(実績!$W$6:$W$505,DE$3,実績!$AC$6:$AC$505,"&lt;="&amp;$A30,実績!$AD$6:$AD$505,"&gt;"&amp;$A30,実績!$AE$6:$AE$505,"○")&gt;0,1,0))</f>
        <v/>
      </c>
      <c r="DF30">
        <f>IF(DF$4=0,0,IF(COUNTIFS(実績!$W$6:$W$505,DF$3,実績!$AC$6:$AC$505,"&lt;="&amp;$A30,実績!$AD$6:$AD$505,"&gt;"&amp;$A30,実績!$AE$6:$AE$505,"○")&gt;0,1,0))</f>
        <v/>
      </c>
      <c r="DG30">
        <f>IF(DG$4=0,0,IF(COUNTIFS(実績!$W$6:$W$505,DG$3,実績!$AC$6:$AC$505,"&lt;="&amp;$A30,実績!$AD$6:$AD$505,"&gt;"&amp;$A30,実績!$AE$6:$AE$505,"○")&gt;0,1,0))</f>
        <v/>
      </c>
      <c r="DH30">
        <f>IF(DH$4=0,0,IF(COUNTIFS(実績!$W$6:$W$505,DH$3,実績!$AC$6:$AC$505,"&lt;="&amp;$A30,実績!$AD$6:$AD$505,"&gt;"&amp;$A30,実績!$AE$6:$AE$505,"○")&gt;0,1,0))</f>
        <v/>
      </c>
      <c r="DI30">
        <f>IF(DI$4=0,0,IF(COUNTIFS(実績!$W$6:$W$505,DI$3,実績!$AC$6:$AC$505,"&lt;="&amp;$A30,実績!$AD$6:$AD$505,"&gt;"&amp;$A30,実績!$AE$6:$AE$505,"○")&gt;0,1,0))</f>
        <v/>
      </c>
      <c r="DJ30">
        <f>IF(DJ$4=0,0,IF(COUNTIFS(実績!$W$6:$W$505,DJ$3,実績!$AC$6:$AC$505,"&lt;="&amp;$A30,実績!$AD$6:$AD$505,"&gt;"&amp;$A30,実績!$AE$6:$AE$505,"○")&gt;0,1,0))</f>
        <v/>
      </c>
      <c r="DK30">
        <f>IF(DK$4=0,0,IF(COUNTIFS(実績!$W$6:$W$505,DK$3,実績!$AC$6:$AC$505,"&lt;="&amp;$A30,実績!$AD$6:$AD$505,"&gt;"&amp;$A30,実績!$AE$6:$AE$505,"○")&gt;0,1,0))</f>
        <v/>
      </c>
      <c r="DL30">
        <f>IF(DL$4=0,0,IF(COUNTIFS(実績!$W$6:$W$505,DL$3,実績!$AC$6:$AC$505,"&lt;="&amp;$A30,実績!$AD$6:$AD$505,"&gt;"&amp;$A30,実績!$AE$6:$AE$505,"○")&gt;0,1,0))</f>
        <v/>
      </c>
      <c r="DM30">
        <f>IF(DM$4=0,0,IF(COUNTIFS(実績!$W$6:$W$505,DM$3,実績!$AC$6:$AC$505,"&lt;="&amp;$A30,実績!$AD$6:$AD$505,"&gt;"&amp;$A30,実績!$AE$6:$AE$505,"○")&gt;0,1,0))</f>
        <v/>
      </c>
      <c r="DN30">
        <f>IF(DN$4=0,0,IF(COUNTIFS(実績!$W$6:$W$505,DN$3,実績!$AC$6:$AC$505,"&lt;="&amp;$A30,実績!$AD$6:$AD$505,"&gt;"&amp;$A30,実績!$AE$6:$AE$505,"○")&gt;0,1,0))</f>
        <v/>
      </c>
      <c r="DO30">
        <f>IF(DO$4=0,0,IF(COUNTIFS(実績!$W$6:$W$505,DO$3,実績!$AC$6:$AC$505,"&lt;="&amp;$A30,実績!$AD$6:$AD$505,"&gt;"&amp;$A30,実績!$AE$6:$AE$505,"○")&gt;0,1,0))</f>
        <v/>
      </c>
      <c r="DP30">
        <f>IF(DP$4=0,0,IF(COUNTIFS(実績!$W$6:$W$505,DP$3,実績!$AC$6:$AC$505,"&lt;="&amp;$A30,実績!$AD$6:$AD$505,"&gt;"&amp;$A30,実績!$AE$6:$AE$505,"○")&gt;0,1,0))</f>
        <v/>
      </c>
      <c r="DQ30">
        <f>IF(DQ$4=0,0,IF(COUNTIFS(実績!$W$6:$W$505,DQ$3,実績!$AC$6:$AC$505,"&lt;="&amp;$A30,実績!$AD$6:$AD$505,"&gt;"&amp;$A30,実績!$AE$6:$AE$505,"○")&gt;0,1,0))</f>
        <v/>
      </c>
      <c r="DR30">
        <f>IF(DR$4=0,0,IF(COUNTIFS(実績!$W$6:$W$505,DR$3,実績!$AC$6:$AC$505,"&lt;="&amp;$A30,実績!$AD$6:$AD$505,"&gt;"&amp;$A30,実績!$AE$6:$AE$505,"○")&gt;0,1,0))</f>
        <v/>
      </c>
      <c r="DS30">
        <f>SUM(C30:DR30)</f>
        <v/>
      </c>
      <c r="DT30">
        <f>SUMPRODUCT((実績!$C$6:$C$505="○")*ISNUMBER(実績!$AF$6:$AF$505)*(実績!$AF$6:$AF$505&lt;=$A30)*(実績!$AG$6:$AG$505&gt;$A30))</f>
        <v/>
      </c>
      <c r="DU30">
        <f>SUMIF($C$2:$DR$2,"製鉄曳船",C30:DR30)</f>
        <v/>
      </c>
      <c r="DV30">
        <f>SUMIF($C$2:$DR$2,"西日本海運",C30:DR30)</f>
        <v/>
      </c>
    </row>
    <row r="31">
      <c r="A31" t="n">
        <v>125</v>
      </c>
      <c r="B31" s="29">
        <f>A31/1440</f>
        <v/>
      </c>
      <c r="C31">
        <f>IF(C$4=0,0,IF(COUNTIFS(実績!$W$6:$W$505,C$3,実績!$AC$6:$AC$505,"&lt;="&amp;$A31,実績!$AD$6:$AD$505,"&gt;"&amp;$A31,実績!$AE$6:$AE$505,"○")&gt;0,1,0))</f>
        <v/>
      </c>
      <c r="D31">
        <f>IF(D$4=0,0,IF(COUNTIFS(実績!$W$6:$W$505,D$3,実績!$AC$6:$AC$505,"&lt;="&amp;$A31,実績!$AD$6:$AD$505,"&gt;"&amp;$A31,実績!$AE$6:$AE$505,"○")&gt;0,1,0))</f>
        <v/>
      </c>
      <c r="E31">
        <f>IF(E$4=0,0,IF(COUNTIFS(実績!$W$6:$W$505,E$3,実績!$AC$6:$AC$505,"&lt;="&amp;$A31,実績!$AD$6:$AD$505,"&gt;"&amp;$A31,実績!$AE$6:$AE$505,"○")&gt;0,1,0))</f>
        <v/>
      </c>
      <c r="F31">
        <f>IF(F$4=0,0,IF(COUNTIFS(実績!$W$6:$W$505,F$3,実績!$AC$6:$AC$505,"&lt;="&amp;$A31,実績!$AD$6:$AD$505,"&gt;"&amp;$A31,実績!$AE$6:$AE$505,"○")&gt;0,1,0))</f>
        <v/>
      </c>
      <c r="G31">
        <f>IF(G$4=0,0,IF(COUNTIFS(実績!$W$6:$W$505,G$3,実績!$AC$6:$AC$505,"&lt;="&amp;$A31,実績!$AD$6:$AD$505,"&gt;"&amp;$A31,実績!$AE$6:$AE$505,"○")&gt;0,1,0))</f>
        <v/>
      </c>
      <c r="H31">
        <f>IF(H$4=0,0,IF(COUNTIFS(実績!$W$6:$W$505,H$3,実績!$AC$6:$AC$505,"&lt;="&amp;$A31,実績!$AD$6:$AD$505,"&gt;"&amp;$A31,実績!$AE$6:$AE$505,"○")&gt;0,1,0))</f>
        <v/>
      </c>
      <c r="I31">
        <f>IF(I$4=0,0,IF(COUNTIFS(実績!$W$6:$W$505,I$3,実績!$AC$6:$AC$505,"&lt;="&amp;$A31,実績!$AD$6:$AD$505,"&gt;"&amp;$A31,実績!$AE$6:$AE$505,"○")&gt;0,1,0))</f>
        <v/>
      </c>
      <c r="J31">
        <f>IF(J$4=0,0,IF(COUNTIFS(実績!$W$6:$W$505,J$3,実績!$AC$6:$AC$505,"&lt;="&amp;$A31,実績!$AD$6:$AD$505,"&gt;"&amp;$A31,実績!$AE$6:$AE$505,"○")&gt;0,1,0))</f>
        <v/>
      </c>
      <c r="K31">
        <f>IF(K$4=0,0,IF(COUNTIFS(実績!$W$6:$W$505,K$3,実績!$AC$6:$AC$505,"&lt;="&amp;$A31,実績!$AD$6:$AD$505,"&gt;"&amp;$A31,実績!$AE$6:$AE$505,"○")&gt;0,1,0))</f>
        <v/>
      </c>
      <c r="L31">
        <f>IF(L$4=0,0,IF(COUNTIFS(実績!$W$6:$W$505,L$3,実績!$AC$6:$AC$505,"&lt;="&amp;$A31,実績!$AD$6:$AD$505,"&gt;"&amp;$A31,実績!$AE$6:$AE$505,"○")&gt;0,1,0))</f>
        <v/>
      </c>
      <c r="M31">
        <f>IF(M$4=0,0,IF(COUNTIFS(実績!$W$6:$W$505,M$3,実績!$AC$6:$AC$505,"&lt;="&amp;$A31,実績!$AD$6:$AD$505,"&gt;"&amp;$A31,実績!$AE$6:$AE$505,"○")&gt;0,1,0))</f>
        <v/>
      </c>
      <c r="N31">
        <f>IF(N$4=0,0,IF(COUNTIFS(実績!$W$6:$W$505,N$3,実績!$AC$6:$AC$505,"&lt;="&amp;$A31,実績!$AD$6:$AD$505,"&gt;"&amp;$A31,実績!$AE$6:$AE$505,"○")&gt;0,1,0))</f>
        <v/>
      </c>
      <c r="O31">
        <f>IF(O$4=0,0,IF(COUNTIFS(実績!$W$6:$W$505,O$3,実績!$AC$6:$AC$505,"&lt;="&amp;$A31,実績!$AD$6:$AD$505,"&gt;"&amp;$A31,実績!$AE$6:$AE$505,"○")&gt;0,1,0))</f>
        <v/>
      </c>
      <c r="P31">
        <f>IF(P$4=0,0,IF(COUNTIFS(実績!$W$6:$W$505,P$3,実績!$AC$6:$AC$505,"&lt;="&amp;$A31,実績!$AD$6:$AD$505,"&gt;"&amp;$A31,実績!$AE$6:$AE$505,"○")&gt;0,1,0))</f>
        <v/>
      </c>
      <c r="Q31">
        <f>IF(Q$4=0,0,IF(COUNTIFS(実績!$W$6:$W$505,Q$3,実績!$AC$6:$AC$505,"&lt;="&amp;$A31,実績!$AD$6:$AD$505,"&gt;"&amp;$A31,実績!$AE$6:$AE$505,"○")&gt;0,1,0))</f>
        <v/>
      </c>
      <c r="R31">
        <f>IF(R$4=0,0,IF(COUNTIFS(実績!$W$6:$W$505,R$3,実績!$AC$6:$AC$505,"&lt;="&amp;$A31,実績!$AD$6:$AD$505,"&gt;"&amp;$A31,実績!$AE$6:$AE$505,"○")&gt;0,1,0))</f>
        <v/>
      </c>
      <c r="S31">
        <f>IF(S$4=0,0,IF(COUNTIFS(実績!$W$6:$W$505,S$3,実績!$AC$6:$AC$505,"&lt;="&amp;$A31,実績!$AD$6:$AD$505,"&gt;"&amp;$A31,実績!$AE$6:$AE$505,"○")&gt;0,1,0))</f>
        <v/>
      </c>
      <c r="T31">
        <f>IF(T$4=0,0,IF(COUNTIFS(実績!$W$6:$W$505,T$3,実績!$AC$6:$AC$505,"&lt;="&amp;$A31,実績!$AD$6:$AD$505,"&gt;"&amp;$A31,実績!$AE$6:$AE$505,"○")&gt;0,1,0))</f>
        <v/>
      </c>
      <c r="U31">
        <f>IF(U$4=0,0,IF(COUNTIFS(実績!$W$6:$W$505,U$3,実績!$AC$6:$AC$505,"&lt;="&amp;$A31,実績!$AD$6:$AD$505,"&gt;"&amp;$A31,実績!$AE$6:$AE$505,"○")&gt;0,1,0))</f>
        <v/>
      </c>
      <c r="V31">
        <f>IF(V$4=0,0,IF(COUNTIFS(実績!$W$6:$W$505,V$3,実績!$AC$6:$AC$505,"&lt;="&amp;$A31,実績!$AD$6:$AD$505,"&gt;"&amp;$A31,実績!$AE$6:$AE$505,"○")&gt;0,1,0))</f>
        <v/>
      </c>
      <c r="W31">
        <f>IF(W$4=0,0,IF(COUNTIFS(実績!$W$6:$W$505,W$3,実績!$AC$6:$AC$505,"&lt;="&amp;$A31,実績!$AD$6:$AD$505,"&gt;"&amp;$A31,実績!$AE$6:$AE$505,"○")&gt;0,1,0))</f>
        <v/>
      </c>
      <c r="X31">
        <f>IF(X$4=0,0,IF(COUNTIFS(実績!$W$6:$W$505,X$3,実績!$AC$6:$AC$505,"&lt;="&amp;$A31,実績!$AD$6:$AD$505,"&gt;"&amp;$A31,実績!$AE$6:$AE$505,"○")&gt;0,1,0))</f>
        <v/>
      </c>
      <c r="Y31">
        <f>IF(Y$4=0,0,IF(COUNTIFS(実績!$W$6:$W$505,Y$3,実績!$AC$6:$AC$505,"&lt;="&amp;$A31,実績!$AD$6:$AD$505,"&gt;"&amp;$A31,実績!$AE$6:$AE$505,"○")&gt;0,1,0))</f>
        <v/>
      </c>
      <c r="Z31">
        <f>IF(Z$4=0,0,IF(COUNTIFS(実績!$W$6:$W$505,Z$3,実績!$AC$6:$AC$505,"&lt;="&amp;$A31,実績!$AD$6:$AD$505,"&gt;"&amp;$A31,実績!$AE$6:$AE$505,"○")&gt;0,1,0))</f>
        <v/>
      </c>
      <c r="AA31">
        <f>IF(AA$4=0,0,IF(COUNTIFS(実績!$W$6:$W$505,AA$3,実績!$AC$6:$AC$505,"&lt;="&amp;$A31,実績!$AD$6:$AD$505,"&gt;"&amp;$A31,実績!$AE$6:$AE$505,"○")&gt;0,1,0))</f>
        <v/>
      </c>
      <c r="AB31">
        <f>IF(AB$4=0,0,IF(COUNTIFS(実績!$W$6:$W$505,AB$3,実績!$AC$6:$AC$505,"&lt;="&amp;$A31,実績!$AD$6:$AD$505,"&gt;"&amp;$A31,実績!$AE$6:$AE$505,"○")&gt;0,1,0))</f>
        <v/>
      </c>
      <c r="AC31">
        <f>IF(AC$4=0,0,IF(COUNTIFS(実績!$W$6:$W$505,AC$3,実績!$AC$6:$AC$505,"&lt;="&amp;$A31,実績!$AD$6:$AD$505,"&gt;"&amp;$A31,実績!$AE$6:$AE$505,"○")&gt;0,1,0))</f>
        <v/>
      </c>
      <c r="AD31">
        <f>IF(AD$4=0,0,IF(COUNTIFS(実績!$W$6:$W$505,AD$3,実績!$AC$6:$AC$505,"&lt;="&amp;$A31,実績!$AD$6:$AD$505,"&gt;"&amp;$A31,実績!$AE$6:$AE$505,"○")&gt;0,1,0))</f>
        <v/>
      </c>
      <c r="AE31">
        <f>IF(AE$4=0,0,IF(COUNTIFS(実績!$W$6:$W$505,AE$3,実績!$AC$6:$AC$505,"&lt;="&amp;$A31,実績!$AD$6:$AD$505,"&gt;"&amp;$A31,実績!$AE$6:$AE$505,"○")&gt;0,1,0))</f>
        <v/>
      </c>
      <c r="AF31">
        <f>IF(AF$4=0,0,IF(COUNTIFS(実績!$W$6:$W$505,AF$3,実績!$AC$6:$AC$505,"&lt;="&amp;$A31,実績!$AD$6:$AD$505,"&gt;"&amp;$A31,実績!$AE$6:$AE$505,"○")&gt;0,1,0))</f>
        <v/>
      </c>
      <c r="AG31">
        <f>IF(AG$4=0,0,IF(COUNTIFS(実績!$W$6:$W$505,AG$3,実績!$AC$6:$AC$505,"&lt;="&amp;$A31,実績!$AD$6:$AD$505,"&gt;"&amp;$A31,実績!$AE$6:$AE$505,"○")&gt;0,1,0))</f>
        <v/>
      </c>
      <c r="AH31">
        <f>IF(AH$4=0,0,IF(COUNTIFS(実績!$W$6:$W$505,AH$3,実績!$AC$6:$AC$505,"&lt;="&amp;$A31,実績!$AD$6:$AD$505,"&gt;"&amp;$A31,実績!$AE$6:$AE$505,"○")&gt;0,1,0))</f>
        <v/>
      </c>
      <c r="AI31">
        <f>IF(AI$4=0,0,IF(COUNTIFS(実績!$W$6:$W$505,AI$3,実績!$AC$6:$AC$505,"&lt;="&amp;$A31,実績!$AD$6:$AD$505,"&gt;"&amp;$A31,実績!$AE$6:$AE$505,"○")&gt;0,1,0))</f>
        <v/>
      </c>
      <c r="AJ31">
        <f>IF(AJ$4=0,0,IF(COUNTIFS(実績!$W$6:$W$505,AJ$3,実績!$AC$6:$AC$505,"&lt;="&amp;$A31,実績!$AD$6:$AD$505,"&gt;"&amp;$A31,実績!$AE$6:$AE$505,"○")&gt;0,1,0))</f>
        <v/>
      </c>
      <c r="AK31">
        <f>IF(AK$4=0,0,IF(COUNTIFS(実績!$W$6:$W$505,AK$3,実績!$AC$6:$AC$505,"&lt;="&amp;$A31,実績!$AD$6:$AD$505,"&gt;"&amp;$A31,実績!$AE$6:$AE$505,"○")&gt;0,1,0))</f>
        <v/>
      </c>
      <c r="AL31">
        <f>IF(AL$4=0,0,IF(COUNTIFS(実績!$W$6:$W$505,AL$3,実績!$AC$6:$AC$505,"&lt;="&amp;$A31,実績!$AD$6:$AD$505,"&gt;"&amp;$A31,実績!$AE$6:$AE$505,"○")&gt;0,1,0))</f>
        <v/>
      </c>
      <c r="AM31">
        <f>IF(AM$4=0,0,IF(COUNTIFS(実績!$W$6:$W$505,AM$3,実績!$AC$6:$AC$505,"&lt;="&amp;$A31,実績!$AD$6:$AD$505,"&gt;"&amp;$A31,実績!$AE$6:$AE$505,"○")&gt;0,1,0))</f>
        <v/>
      </c>
      <c r="AN31">
        <f>IF(AN$4=0,0,IF(COUNTIFS(実績!$W$6:$W$505,AN$3,実績!$AC$6:$AC$505,"&lt;="&amp;$A31,実績!$AD$6:$AD$505,"&gt;"&amp;$A31,実績!$AE$6:$AE$505,"○")&gt;0,1,0))</f>
        <v/>
      </c>
      <c r="AO31">
        <f>IF(AO$4=0,0,IF(COUNTIFS(実績!$W$6:$W$505,AO$3,実績!$AC$6:$AC$505,"&lt;="&amp;$A31,実績!$AD$6:$AD$505,"&gt;"&amp;$A31,実績!$AE$6:$AE$505,"○")&gt;0,1,0))</f>
        <v/>
      </c>
      <c r="AP31">
        <f>IF(AP$4=0,0,IF(COUNTIFS(実績!$W$6:$W$505,AP$3,実績!$AC$6:$AC$505,"&lt;="&amp;$A31,実績!$AD$6:$AD$505,"&gt;"&amp;$A31,実績!$AE$6:$AE$505,"○")&gt;0,1,0))</f>
        <v/>
      </c>
      <c r="AQ31">
        <f>IF(AQ$4=0,0,IF(COUNTIFS(実績!$W$6:$W$505,AQ$3,実績!$AC$6:$AC$505,"&lt;="&amp;$A31,実績!$AD$6:$AD$505,"&gt;"&amp;$A31,実績!$AE$6:$AE$505,"○")&gt;0,1,0))</f>
        <v/>
      </c>
      <c r="AR31">
        <f>IF(AR$4=0,0,IF(COUNTIFS(実績!$W$6:$W$505,AR$3,実績!$AC$6:$AC$505,"&lt;="&amp;$A31,実績!$AD$6:$AD$505,"&gt;"&amp;$A31,実績!$AE$6:$AE$505,"○")&gt;0,1,0))</f>
        <v/>
      </c>
      <c r="AS31">
        <f>IF(AS$4=0,0,IF(COUNTIFS(実績!$W$6:$W$505,AS$3,実績!$AC$6:$AC$505,"&lt;="&amp;$A31,実績!$AD$6:$AD$505,"&gt;"&amp;$A31,実績!$AE$6:$AE$505,"○")&gt;0,1,0))</f>
        <v/>
      </c>
      <c r="AT31">
        <f>IF(AT$4=0,0,IF(COUNTIFS(実績!$W$6:$W$505,AT$3,実績!$AC$6:$AC$505,"&lt;="&amp;$A31,実績!$AD$6:$AD$505,"&gt;"&amp;$A31,実績!$AE$6:$AE$505,"○")&gt;0,1,0))</f>
        <v/>
      </c>
      <c r="AU31">
        <f>IF(AU$4=0,0,IF(COUNTIFS(実績!$W$6:$W$505,AU$3,実績!$AC$6:$AC$505,"&lt;="&amp;$A31,実績!$AD$6:$AD$505,"&gt;"&amp;$A31,実績!$AE$6:$AE$505,"○")&gt;0,1,0))</f>
        <v/>
      </c>
      <c r="AV31">
        <f>IF(AV$4=0,0,IF(COUNTIFS(実績!$W$6:$W$505,AV$3,実績!$AC$6:$AC$505,"&lt;="&amp;$A31,実績!$AD$6:$AD$505,"&gt;"&amp;$A31,実績!$AE$6:$AE$505,"○")&gt;0,1,0))</f>
        <v/>
      </c>
      <c r="AW31">
        <f>IF(AW$4=0,0,IF(COUNTIFS(実績!$W$6:$W$505,AW$3,実績!$AC$6:$AC$505,"&lt;="&amp;$A31,実績!$AD$6:$AD$505,"&gt;"&amp;$A31,実績!$AE$6:$AE$505,"○")&gt;0,1,0))</f>
        <v/>
      </c>
      <c r="AX31">
        <f>IF(AX$4=0,0,IF(COUNTIFS(実績!$W$6:$W$505,AX$3,実績!$AC$6:$AC$505,"&lt;="&amp;$A31,実績!$AD$6:$AD$505,"&gt;"&amp;$A31,実績!$AE$6:$AE$505,"○")&gt;0,1,0))</f>
        <v/>
      </c>
      <c r="AY31">
        <f>IF(AY$4=0,0,IF(COUNTIFS(実績!$W$6:$W$505,AY$3,実績!$AC$6:$AC$505,"&lt;="&amp;$A31,実績!$AD$6:$AD$505,"&gt;"&amp;$A31,実績!$AE$6:$AE$505,"○")&gt;0,1,0))</f>
        <v/>
      </c>
      <c r="AZ31">
        <f>IF(AZ$4=0,0,IF(COUNTIFS(実績!$W$6:$W$505,AZ$3,実績!$AC$6:$AC$505,"&lt;="&amp;$A31,実績!$AD$6:$AD$505,"&gt;"&amp;$A31,実績!$AE$6:$AE$505,"○")&gt;0,1,0))</f>
        <v/>
      </c>
      <c r="BA31">
        <f>IF(BA$4=0,0,IF(COUNTIFS(実績!$W$6:$W$505,BA$3,実績!$AC$6:$AC$505,"&lt;="&amp;$A31,実績!$AD$6:$AD$505,"&gt;"&amp;$A31,実績!$AE$6:$AE$505,"○")&gt;0,1,0))</f>
        <v/>
      </c>
      <c r="BB31">
        <f>IF(BB$4=0,0,IF(COUNTIFS(実績!$W$6:$W$505,BB$3,実績!$AC$6:$AC$505,"&lt;="&amp;$A31,実績!$AD$6:$AD$505,"&gt;"&amp;$A31,実績!$AE$6:$AE$505,"○")&gt;0,1,0))</f>
        <v/>
      </c>
      <c r="BC31">
        <f>IF(BC$4=0,0,IF(COUNTIFS(実績!$W$6:$W$505,BC$3,実績!$AC$6:$AC$505,"&lt;="&amp;$A31,実績!$AD$6:$AD$505,"&gt;"&amp;$A31,実績!$AE$6:$AE$505,"○")&gt;0,1,0))</f>
        <v/>
      </c>
      <c r="BD31">
        <f>IF(BD$4=0,0,IF(COUNTIFS(実績!$W$6:$W$505,BD$3,実績!$AC$6:$AC$505,"&lt;="&amp;$A31,実績!$AD$6:$AD$505,"&gt;"&amp;$A31,実績!$AE$6:$AE$505,"○")&gt;0,1,0))</f>
        <v/>
      </c>
      <c r="BE31">
        <f>IF(BE$4=0,0,IF(COUNTIFS(実績!$W$6:$W$505,BE$3,実績!$AC$6:$AC$505,"&lt;="&amp;$A31,実績!$AD$6:$AD$505,"&gt;"&amp;$A31,実績!$AE$6:$AE$505,"○")&gt;0,1,0))</f>
        <v/>
      </c>
      <c r="BF31">
        <f>IF(BF$4=0,0,IF(COUNTIFS(実績!$W$6:$W$505,BF$3,実績!$AC$6:$AC$505,"&lt;="&amp;$A31,実績!$AD$6:$AD$505,"&gt;"&amp;$A31,実績!$AE$6:$AE$505,"○")&gt;0,1,0))</f>
        <v/>
      </c>
      <c r="BG31">
        <f>IF(BG$4=0,0,IF(COUNTIFS(実績!$W$6:$W$505,BG$3,実績!$AC$6:$AC$505,"&lt;="&amp;$A31,実績!$AD$6:$AD$505,"&gt;"&amp;$A31,実績!$AE$6:$AE$505,"○")&gt;0,1,0))</f>
        <v/>
      </c>
      <c r="BH31">
        <f>IF(BH$4=0,0,IF(COUNTIFS(実績!$W$6:$W$505,BH$3,実績!$AC$6:$AC$505,"&lt;="&amp;$A31,実績!$AD$6:$AD$505,"&gt;"&amp;$A31,実績!$AE$6:$AE$505,"○")&gt;0,1,0))</f>
        <v/>
      </c>
      <c r="BI31">
        <f>IF(BI$4=0,0,IF(COUNTIFS(実績!$W$6:$W$505,BI$3,実績!$AC$6:$AC$505,"&lt;="&amp;$A31,実績!$AD$6:$AD$505,"&gt;"&amp;$A31,実績!$AE$6:$AE$505,"○")&gt;0,1,0))</f>
        <v/>
      </c>
      <c r="BJ31">
        <f>IF(BJ$4=0,0,IF(COUNTIFS(実績!$W$6:$W$505,BJ$3,実績!$AC$6:$AC$505,"&lt;="&amp;$A31,実績!$AD$6:$AD$505,"&gt;"&amp;$A31,実績!$AE$6:$AE$505,"○")&gt;0,1,0))</f>
        <v/>
      </c>
      <c r="BK31">
        <f>IF(BK$4=0,0,IF(COUNTIFS(実績!$W$6:$W$505,BK$3,実績!$AC$6:$AC$505,"&lt;="&amp;$A31,実績!$AD$6:$AD$505,"&gt;"&amp;$A31,実績!$AE$6:$AE$505,"○")&gt;0,1,0))</f>
        <v/>
      </c>
      <c r="BL31">
        <f>IF(BL$4=0,0,IF(COUNTIFS(実績!$W$6:$W$505,BL$3,実績!$AC$6:$AC$505,"&lt;="&amp;$A31,実績!$AD$6:$AD$505,"&gt;"&amp;$A31,実績!$AE$6:$AE$505,"○")&gt;0,1,0))</f>
        <v/>
      </c>
      <c r="BM31">
        <f>IF(BM$4=0,0,IF(COUNTIFS(実績!$W$6:$W$505,BM$3,実績!$AC$6:$AC$505,"&lt;="&amp;$A31,実績!$AD$6:$AD$505,"&gt;"&amp;$A31,実績!$AE$6:$AE$505,"○")&gt;0,1,0))</f>
        <v/>
      </c>
      <c r="BN31">
        <f>IF(BN$4=0,0,IF(COUNTIFS(実績!$W$6:$W$505,BN$3,実績!$AC$6:$AC$505,"&lt;="&amp;$A31,実績!$AD$6:$AD$505,"&gt;"&amp;$A31,実績!$AE$6:$AE$505,"○")&gt;0,1,0))</f>
        <v/>
      </c>
      <c r="BO31">
        <f>IF(BO$4=0,0,IF(COUNTIFS(実績!$W$6:$W$505,BO$3,実績!$AC$6:$AC$505,"&lt;="&amp;$A31,実績!$AD$6:$AD$505,"&gt;"&amp;$A31,実績!$AE$6:$AE$505,"○")&gt;0,1,0))</f>
        <v/>
      </c>
      <c r="BP31">
        <f>IF(BP$4=0,0,IF(COUNTIFS(実績!$W$6:$W$505,BP$3,実績!$AC$6:$AC$505,"&lt;="&amp;$A31,実績!$AD$6:$AD$505,"&gt;"&amp;$A31,実績!$AE$6:$AE$505,"○")&gt;0,1,0))</f>
        <v/>
      </c>
      <c r="BQ31">
        <f>IF(BQ$4=0,0,IF(COUNTIFS(実績!$W$6:$W$505,BQ$3,実績!$AC$6:$AC$505,"&lt;="&amp;$A31,実績!$AD$6:$AD$505,"&gt;"&amp;$A31,実績!$AE$6:$AE$505,"○")&gt;0,1,0))</f>
        <v/>
      </c>
      <c r="BR31">
        <f>IF(BR$4=0,0,IF(COUNTIFS(実績!$W$6:$W$505,BR$3,実績!$AC$6:$AC$505,"&lt;="&amp;$A31,実績!$AD$6:$AD$505,"&gt;"&amp;$A31,実績!$AE$6:$AE$505,"○")&gt;0,1,0))</f>
        <v/>
      </c>
      <c r="BS31">
        <f>IF(BS$4=0,0,IF(COUNTIFS(実績!$W$6:$W$505,BS$3,実績!$AC$6:$AC$505,"&lt;="&amp;$A31,実績!$AD$6:$AD$505,"&gt;"&amp;$A31,実績!$AE$6:$AE$505,"○")&gt;0,1,0))</f>
        <v/>
      </c>
      <c r="BT31">
        <f>IF(BT$4=0,0,IF(COUNTIFS(実績!$W$6:$W$505,BT$3,実績!$AC$6:$AC$505,"&lt;="&amp;$A31,実績!$AD$6:$AD$505,"&gt;"&amp;$A31,実績!$AE$6:$AE$505,"○")&gt;0,1,0))</f>
        <v/>
      </c>
      <c r="BU31">
        <f>IF(BU$4=0,0,IF(COUNTIFS(実績!$W$6:$W$505,BU$3,実績!$AC$6:$AC$505,"&lt;="&amp;$A31,実績!$AD$6:$AD$505,"&gt;"&amp;$A31,実績!$AE$6:$AE$505,"○")&gt;0,1,0))</f>
        <v/>
      </c>
      <c r="BV31">
        <f>IF(BV$4=0,0,IF(COUNTIFS(実績!$W$6:$W$505,BV$3,実績!$AC$6:$AC$505,"&lt;="&amp;$A31,実績!$AD$6:$AD$505,"&gt;"&amp;$A31,実績!$AE$6:$AE$505,"○")&gt;0,1,0))</f>
        <v/>
      </c>
      <c r="BW31">
        <f>IF(BW$4=0,0,IF(COUNTIFS(実績!$W$6:$W$505,BW$3,実績!$AC$6:$AC$505,"&lt;="&amp;$A31,実績!$AD$6:$AD$505,"&gt;"&amp;$A31,実績!$AE$6:$AE$505,"○")&gt;0,1,0))</f>
        <v/>
      </c>
      <c r="BX31">
        <f>IF(BX$4=0,0,IF(COUNTIFS(実績!$W$6:$W$505,BX$3,実績!$AC$6:$AC$505,"&lt;="&amp;$A31,実績!$AD$6:$AD$505,"&gt;"&amp;$A31,実績!$AE$6:$AE$505,"○")&gt;0,1,0))</f>
        <v/>
      </c>
      <c r="BY31">
        <f>IF(BY$4=0,0,IF(COUNTIFS(実績!$W$6:$W$505,BY$3,実績!$AC$6:$AC$505,"&lt;="&amp;$A31,実績!$AD$6:$AD$505,"&gt;"&amp;$A31,実績!$AE$6:$AE$505,"○")&gt;0,1,0))</f>
        <v/>
      </c>
      <c r="BZ31">
        <f>IF(BZ$4=0,0,IF(COUNTIFS(実績!$W$6:$W$505,BZ$3,実績!$AC$6:$AC$505,"&lt;="&amp;$A31,実績!$AD$6:$AD$505,"&gt;"&amp;$A31,実績!$AE$6:$AE$505,"○")&gt;0,1,0))</f>
        <v/>
      </c>
      <c r="CA31">
        <f>IF(CA$4=0,0,IF(COUNTIFS(実績!$W$6:$W$505,CA$3,実績!$AC$6:$AC$505,"&lt;="&amp;$A31,実績!$AD$6:$AD$505,"&gt;"&amp;$A31,実績!$AE$6:$AE$505,"○")&gt;0,1,0))</f>
        <v/>
      </c>
      <c r="CB31">
        <f>IF(CB$4=0,0,IF(COUNTIFS(実績!$W$6:$W$505,CB$3,実績!$AC$6:$AC$505,"&lt;="&amp;$A31,実績!$AD$6:$AD$505,"&gt;"&amp;$A31,実績!$AE$6:$AE$505,"○")&gt;0,1,0))</f>
        <v/>
      </c>
      <c r="CC31">
        <f>IF(CC$4=0,0,IF(COUNTIFS(実績!$W$6:$W$505,CC$3,実績!$AC$6:$AC$505,"&lt;="&amp;$A31,実績!$AD$6:$AD$505,"&gt;"&amp;$A31,実績!$AE$6:$AE$505,"○")&gt;0,1,0))</f>
        <v/>
      </c>
      <c r="CD31">
        <f>IF(CD$4=0,0,IF(COUNTIFS(実績!$W$6:$W$505,CD$3,実績!$AC$6:$AC$505,"&lt;="&amp;$A31,実績!$AD$6:$AD$505,"&gt;"&amp;$A31,実績!$AE$6:$AE$505,"○")&gt;0,1,0))</f>
        <v/>
      </c>
      <c r="CE31">
        <f>IF(CE$4=0,0,IF(COUNTIFS(実績!$W$6:$W$505,CE$3,実績!$AC$6:$AC$505,"&lt;="&amp;$A31,実績!$AD$6:$AD$505,"&gt;"&amp;$A31,実績!$AE$6:$AE$505,"○")&gt;0,1,0))</f>
        <v/>
      </c>
      <c r="CF31">
        <f>IF(CF$4=0,0,IF(COUNTIFS(実績!$W$6:$W$505,CF$3,実績!$AC$6:$AC$505,"&lt;="&amp;$A31,実績!$AD$6:$AD$505,"&gt;"&amp;$A31,実績!$AE$6:$AE$505,"○")&gt;0,1,0))</f>
        <v/>
      </c>
      <c r="CG31">
        <f>IF(CG$4=0,0,IF(COUNTIFS(実績!$W$6:$W$505,CG$3,実績!$AC$6:$AC$505,"&lt;="&amp;$A31,実績!$AD$6:$AD$505,"&gt;"&amp;$A31,実績!$AE$6:$AE$505,"○")&gt;0,1,0))</f>
        <v/>
      </c>
      <c r="CH31">
        <f>IF(CH$4=0,0,IF(COUNTIFS(実績!$W$6:$W$505,CH$3,実績!$AC$6:$AC$505,"&lt;="&amp;$A31,実績!$AD$6:$AD$505,"&gt;"&amp;$A31,実績!$AE$6:$AE$505,"○")&gt;0,1,0))</f>
        <v/>
      </c>
      <c r="CI31">
        <f>IF(CI$4=0,0,IF(COUNTIFS(実績!$W$6:$W$505,CI$3,実績!$AC$6:$AC$505,"&lt;="&amp;$A31,実績!$AD$6:$AD$505,"&gt;"&amp;$A31,実績!$AE$6:$AE$505,"○")&gt;0,1,0))</f>
        <v/>
      </c>
      <c r="CJ31">
        <f>IF(CJ$4=0,0,IF(COUNTIFS(実績!$W$6:$W$505,CJ$3,実績!$AC$6:$AC$505,"&lt;="&amp;$A31,実績!$AD$6:$AD$505,"&gt;"&amp;$A31,実績!$AE$6:$AE$505,"○")&gt;0,1,0))</f>
        <v/>
      </c>
      <c r="CK31">
        <f>IF(CK$4=0,0,IF(COUNTIFS(実績!$W$6:$W$505,CK$3,実績!$AC$6:$AC$505,"&lt;="&amp;$A31,実績!$AD$6:$AD$505,"&gt;"&amp;$A31,実績!$AE$6:$AE$505,"○")&gt;0,1,0))</f>
        <v/>
      </c>
      <c r="CL31">
        <f>IF(CL$4=0,0,IF(COUNTIFS(実績!$W$6:$W$505,CL$3,実績!$AC$6:$AC$505,"&lt;="&amp;$A31,実績!$AD$6:$AD$505,"&gt;"&amp;$A31,実績!$AE$6:$AE$505,"○")&gt;0,1,0))</f>
        <v/>
      </c>
      <c r="CM31">
        <f>IF(CM$4=0,0,IF(COUNTIFS(実績!$W$6:$W$505,CM$3,実績!$AC$6:$AC$505,"&lt;="&amp;$A31,実績!$AD$6:$AD$505,"&gt;"&amp;$A31,実績!$AE$6:$AE$505,"○")&gt;0,1,0))</f>
        <v/>
      </c>
      <c r="CN31">
        <f>IF(CN$4=0,0,IF(COUNTIFS(実績!$W$6:$W$505,CN$3,実績!$AC$6:$AC$505,"&lt;="&amp;$A31,実績!$AD$6:$AD$505,"&gt;"&amp;$A31,実績!$AE$6:$AE$505,"○")&gt;0,1,0))</f>
        <v/>
      </c>
      <c r="CO31">
        <f>IF(CO$4=0,0,IF(COUNTIFS(実績!$W$6:$W$505,CO$3,実績!$AC$6:$AC$505,"&lt;="&amp;$A31,実績!$AD$6:$AD$505,"&gt;"&amp;$A31,実績!$AE$6:$AE$505,"○")&gt;0,1,0))</f>
        <v/>
      </c>
      <c r="CP31">
        <f>IF(CP$4=0,0,IF(COUNTIFS(実績!$W$6:$W$505,CP$3,実績!$AC$6:$AC$505,"&lt;="&amp;$A31,実績!$AD$6:$AD$505,"&gt;"&amp;$A31,実績!$AE$6:$AE$505,"○")&gt;0,1,0))</f>
        <v/>
      </c>
      <c r="CQ31">
        <f>IF(CQ$4=0,0,IF(COUNTIFS(実績!$W$6:$W$505,CQ$3,実績!$AC$6:$AC$505,"&lt;="&amp;$A31,実績!$AD$6:$AD$505,"&gt;"&amp;$A31,実績!$AE$6:$AE$505,"○")&gt;0,1,0))</f>
        <v/>
      </c>
      <c r="CR31">
        <f>IF(CR$4=0,0,IF(COUNTIFS(実績!$W$6:$W$505,CR$3,実績!$AC$6:$AC$505,"&lt;="&amp;$A31,実績!$AD$6:$AD$505,"&gt;"&amp;$A31,実績!$AE$6:$AE$505,"○")&gt;0,1,0))</f>
        <v/>
      </c>
      <c r="CS31">
        <f>IF(CS$4=0,0,IF(COUNTIFS(実績!$W$6:$W$505,CS$3,実績!$AC$6:$AC$505,"&lt;="&amp;$A31,実績!$AD$6:$AD$505,"&gt;"&amp;$A31,実績!$AE$6:$AE$505,"○")&gt;0,1,0))</f>
        <v/>
      </c>
      <c r="CT31">
        <f>IF(CT$4=0,0,IF(COUNTIFS(実績!$W$6:$W$505,CT$3,実績!$AC$6:$AC$505,"&lt;="&amp;$A31,実績!$AD$6:$AD$505,"&gt;"&amp;$A31,実績!$AE$6:$AE$505,"○")&gt;0,1,0))</f>
        <v/>
      </c>
      <c r="CU31">
        <f>IF(CU$4=0,0,IF(COUNTIFS(実績!$W$6:$W$505,CU$3,実績!$AC$6:$AC$505,"&lt;="&amp;$A31,実績!$AD$6:$AD$505,"&gt;"&amp;$A31,実績!$AE$6:$AE$505,"○")&gt;0,1,0))</f>
        <v/>
      </c>
      <c r="CV31">
        <f>IF(CV$4=0,0,IF(COUNTIFS(実績!$W$6:$W$505,CV$3,実績!$AC$6:$AC$505,"&lt;="&amp;$A31,実績!$AD$6:$AD$505,"&gt;"&amp;$A31,実績!$AE$6:$AE$505,"○")&gt;0,1,0))</f>
        <v/>
      </c>
      <c r="CW31">
        <f>IF(CW$4=0,0,IF(COUNTIFS(実績!$W$6:$W$505,CW$3,実績!$AC$6:$AC$505,"&lt;="&amp;$A31,実績!$AD$6:$AD$505,"&gt;"&amp;$A31,実績!$AE$6:$AE$505,"○")&gt;0,1,0))</f>
        <v/>
      </c>
      <c r="CX31">
        <f>IF(CX$4=0,0,IF(COUNTIFS(実績!$W$6:$W$505,CX$3,実績!$AC$6:$AC$505,"&lt;="&amp;$A31,実績!$AD$6:$AD$505,"&gt;"&amp;$A31,実績!$AE$6:$AE$505,"○")&gt;0,1,0))</f>
        <v/>
      </c>
      <c r="CY31">
        <f>IF(CY$4=0,0,IF(COUNTIFS(実績!$W$6:$W$505,CY$3,実績!$AC$6:$AC$505,"&lt;="&amp;$A31,実績!$AD$6:$AD$505,"&gt;"&amp;$A31,実績!$AE$6:$AE$505,"○")&gt;0,1,0))</f>
        <v/>
      </c>
      <c r="CZ31">
        <f>IF(CZ$4=0,0,IF(COUNTIFS(実績!$W$6:$W$505,CZ$3,実績!$AC$6:$AC$505,"&lt;="&amp;$A31,実績!$AD$6:$AD$505,"&gt;"&amp;$A31,実績!$AE$6:$AE$505,"○")&gt;0,1,0))</f>
        <v/>
      </c>
      <c r="DA31">
        <f>IF(DA$4=0,0,IF(COUNTIFS(実績!$W$6:$W$505,DA$3,実績!$AC$6:$AC$505,"&lt;="&amp;$A31,実績!$AD$6:$AD$505,"&gt;"&amp;$A31,実績!$AE$6:$AE$505,"○")&gt;0,1,0))</f>
        <v/>
      </c>
      <c r="DB31">
        <f>IF(DB$4=0,0,IF(COUNTIFS(実績!$W$6:$W$505,DB$3,実績!$AC$6:$AC$505,"&lt;="&amp;$A31,実績!$AD$6:$AD$505,"&gt;"&amp;$A31,実績!$AE$6:$AE$505,"○")&gt;0,1,0))</f>
        <v/>
      </c>
      <c r="DC31">
        <f>IF(DC$4=0,0,IF(COUNTIFS(実績!$W$6:$W$505,DC$3,実績!$AC$6:$AC$505,"&lt;="&amp;$A31,実績!$AD$6:$AD$505,"&gt;"&amp;$A31,実績!$AE$6:$AE$505,"○")&gt;0,1,0))</f>
        <v/>
      </c>
      <c r="DD31">
        <f>IF(DD$4=0,0,IF(COUNTIFS(実績!$W$6:$W$505,DD$3,実績!$AC$6:$AC$505,"&lt;="&amp;$A31,実績!$AD$6:$AD$505,"&gt;"&amp;$A31,実績!$AE$6:$AE$505,"○")&gt;0,1,0))</f>
        <v/>
      </c>
      <c r="DE31">
        <f>IF(DE$4=0,0,IF(COUNTIFS(実績!$W$6:$W$505,DE$3,実績!$AC$6:$AC$505,"&lt;="&amp;$A31,実績!$AD$6:$AD$505,"&gt;"&amp;$A31,実績!$AE$6:$AE$505,"○")&gt;0,1,0))</f>
        <v/>
      </c>
      <c r="DF31">
        <f>IF(DF$4=0,0,IF(COUNTIFS(実績!$W$6:$W$505,DF$3,実績!$AC$6:$AC$505,"&lt;="&amp;$A31,実績!$AD$6:$AD$505,"&gt;"&amp;$A31,実績!$AE$6:$AE$505,"○")&gt;0,1,0))</f>
        <v/>
      </c>
      <c r="DG31">
        <f>IF(DG$4=0,0,IF(COUNTIFS(実績!$W$6:$W$505,DG$3,実績!$AC$6:$AC$505,"&lt;="&amp;$A31,実績!$AD$6:$AD$505,"&gt;"&amp;$A31,実績!$AE$6:$AE$505,"○")&gt;0,1,0))</f>
        <v/>
      </c>
      <c r="DH31">
        <f>IF(DH$4=0,0,IF(COUNTIFS(実績!$W$6:$W$505,DH$3,実績!$AC$6:$AC$505,"&lt;="&amp;$A31,実績!$AD$6:$AD$505,"&gt;"&amp;$A31,実績!$AE$6:$AE$505,"○")&gt;0,1,0))</f>
        <v/>
      </c>
      <c r="DI31">
        <f>IF(DI$4=0,0,IF(COUNTIFS(実績!$W$6:$W$505,DI$3,実績!$AC$6:$AC$505,"&lt;="&amp;$A31,実績!$AD$6:$AD$505,"&gt;"&amp;$A31,実績!$AE$6:$AE$505,"○")&gt;0,1,0))</f>
        <v/>
      </c>
      <c r="DJ31">
        <f>IF(DJ$4=0,0,IF(COUNTIFS(実績!$W$6:$W$505,DJ$3,実績!$AC$6:$AC$505,"&lt;="&amp;$A31,実績!$AD$6:$AD$505,"&gt;"&amp;$A31,実績!$AE$6:$AE$505,"○")&gt;0,1,0))</f>
        <v/>
      </c>
      <c r="DK31">
        <f>IF(DK$4=0,0,IF(COUNTIFS(実績!$W$6:$W$505,DK$3,実績!$AC$6:$AC$505,"&lt;="&amp;$A31,実績!$AD$6:$AD$505,"&gt;"&amp;$A31,実績!$AE$6:$AE$505,"○")&gt;0,1,0))</f>
        <v/>
      </c>
      <c r="DL31">
        <f>IF(DL$4=0,0,IF(COUNTIFS(実績!$W$6:$W$505,DL$3,実績!$AC$6:$AC$505,"&lt;="&amp;$A31,実績!$AD$6:$AD$505,"&gt;"&amp;$A31,実績!$AE$6:$AE$505,"○")&gt;0,1,0))</f>
        <v/>
      </c>
      <c r="DM31">
        <f>IF(DM$4=0,0,IF(COUNTIFS(実績!$W$6:$W$505,DM$3,実績!$AC$6:$AC$505,"&lt;="&amp;$A31,実績!$AD$6:$AD$505,"&gt;"&amp;$A31,実績!$AE$6:$AE$505,"○")&gt;0,1,0))</f>
        <v/>
      </c>
      <c r="DN31">
        <f>IF(DN$4=0,0,IF(COUNTIFS(実績!$W$6:$W$505,DN$3,実績!$AC$6:$AC$505,"&lt;="&amp;$A31,実績!$AD$6:$AD$505,"&gt;"&amp;$A31,実績!$AE$6:$AE$505,"○")&gt;0,1,0))</f>
        <v/>
      </c>
      <c r="DO31">
        <f>IF(DO$4=0,0,IF(COUNTIFS(実績!$W$6:$W$505,DO$3,実績!$AC$6:$AC$505,"&lt;="&amp;$A31,実績!$AD$6:$AD$505,"&gt;"&amp;$A31,実績!$AE$6:$AE$505,"○")&gt;0,1,0))</f>
        <v/>
      </c>
      <c r="DP31">
        <f>IF(DP$4=0,0,IF(COUNTIFS(実績!$W$6:$W$505,DP$3,実績!$AC$6:$AC$505,"&lt;="&amp;$A31,実績!$AD$6:$AD$505,"&gt;"&amp;$A31,実績!$AE$6:$AE$505,"○")&gt;0,1,0))</f>
        <v/>
      </c>
      <c r="DQ31">
        <f>IF(DQ$4=0,0,IF(COUNTIFS(実績!$W$6:$W$505,DQ$3,実績!$AC$6:$AC$505,"&lt;="&amp;$A31,実績!$AD$6:$AD$505,"&gt;"&amp;$A31,実績!$AE$6:$AE$505,"○")&gt;0,1,0))</f>
        <v/>
      </c>
      <c r="DR31">
        <f>IF(DR$4=0,0,IF(COUNTIFS(実績!$W$6:$W$505,DR$3,実績!$AC$6:$AC$505,"&lt;="&amp;$A31,実績!$AD$6:$AD$505,"&gt;"&amp;$A31,実績!$AE$6:$AE$505,"○")&gt;0,1,0))</f>
        <v/>
      </c>
      <c r="DS31">
        <f>SUM(C31:DR31)</f>
        <v/>
      </c>
      <c r="DT31">
        <f>SUMPRODUCT((実績!$C$6:$C$505="○")*ISNUMBER(実績!$AF$6:$AF$505)*(実績!$AF$6:$AF$505&lt;=$A31)*(実績!$AG$6:$AG$505&gt;$A31))</f>
        <v/>
      </c>
      <c r="DU31">
        <f>SUMIF($C$2:$DR$2,"製鉄曳船",C31:DR31)</f>
        <v/>
      </c>
      <c r="DV31">
        <f>SUMIF($C$2:$DR$2,"西日本海運",C31:DR31)</f>
        <v/>
      </c>
    </row>
    <row r="32">
      <c r="A32" t="n">
        <v>130</v>
      </c>
      <c r="B32" s="29">
        <f>A32/1440</f>
        <v/>
      </c>
      <c r="C32">
        <f>IF(C$4=0,0,IF(COUNTIFS(実績!$W$6:$W$505,C$3,実績!$AC$6:$AC$505,"&lt;="&amp;$A32,実績!$AD$6:$AD$505,"&gt;"&amp;$A32,実績!$AE$6:$AE$505,"○")&gt;0,1,0))</f>
        <v/>
      </c>
      <c r="D32">
        <f>IF(D$4=0,0,IF(COUNTIFS(実績!$W$6:$W$505,D$3,実績!$AC$6:$AC$505,"&lt;="&amp;$A32,実績!$AD$6:$AD$505,"&gt;"&amp;$A32,実績!$AE$6:$AE$505,"○")&gt;0,1,0))</f>
        <v/>
      </c>
      <c r="E32">
        <f>IF(E$4=0,0,IF(COUNTIFS(実績!$W$6:$W$505,E$3,実績!$AC$6:$AC$505,"&lt;="&amp;$A32,実績!$AD$6:$AD$505,"&gt;"&amp;$A32,実績!$AE$6:$AE$505,"○")&gt;0,1,0))</f>
        <v/>
      </c>
      <c r="F32">
        <f>IF(F$4=0,0,IF(COUNTIFS(実績!$W$6:$W$505,F$3,実績!$AC$6:$AC$505,"&lt;="&amp;$A32,実績!$AD$6:$AD$505,"&gt;"&amp;$A32,実績!$AE$6:$AE$505,"○")&gt;0,1,0))</f>
        <v/>
      </c>
      <c r="G32">
        <f>IF(G$4=0,0,IF(COUNTIFS(実績!$W$6:$W$505,G$3,実績!$AC$6:$AC$505,"&lt;="&amp;$A32,実績!$AD$6:$AD$505,"&gt;"&amp;$A32,実績!$AE$6:$AE$505,"○")&gt;0,1,0))</f>
        <v/>
      </c>
      <c r="H32">
        <f>IF(H$4=0,0,IF(COUNTIFS(実績!$W$6:$W$505,H$3,実績!$AC$6:$AC$505,"&lt;="&amp;$A32,実績!$AD$6:$AD$505,"&gt;"&amp;$A32,実績!$AE$6:$AE$505,"○")&gt;0,1,0))</f>
        <v/>
      </c>
      <c r="I32">
        <f>IF(I$4=0,0,IF(COUNTIFS(実績!$W$6:$W$505,I$3,実績!$AC$6:$AC$505,"&lt;="&amp;$A32,実績!$AD$6:$AD$505,"&gt;"&amp;$A32,実績!$AE$6:$AE$505,"○")&gt;0,1,0))</f>
        <v/>
      </c>
      <c r="J32">
        <f>IF(J$4=0,0,IF(COUNTIFS(実績!$W$6:$W$505,J$3,実績!$AC$6:$AC$505,"&lt;="&amp;$A32,実績!$AD$6:$AD$505,"&gt;"&amp;$A32,実績!$AE$6:$AE$505,"○")&gt;0,1,0))</f>
        <v/>
      </c>
      <c r="K32">
        <f>IF(K$4=0,0,IF(COUNTIFS(実績!$W$6:$W$505,K$3,実績!$AC$6:$AC$505,"&lt;="&amp;$A32,実績!$AD$6:$AD$505,"&gt;"&amp;$A32,実績!$AE$6:$AE$505,"○")&gt;0,1,0))</f>
        <v/>
      </c>
      <c r="L32">
        <f>IF(L$4=0,0,IF(COUNTIFS(実績!$W$6:$W$505,L$3,実績!$AC$6:$AC$505,"&lt;="&amp;$A32,実績!$AD$6:$AD$505,"&gt;"&amp;$A32,実績!$AE$6:$AE$505,"○")&gt;0,1,0))</f>
        <v/>
      </c>
      <c r="M32">
        <f>IF(M$4=0,0,IF(COUNTIFS(実績!$W$6:$W$505,M$3,実績!$AC$6:$AC$505,"&lt;="&amp;$A32,実績!$AD$6:$AD$505,"&gt;"&amp;$A32,実績!$AE$6:$AE$505,"○")&gt;0,1,0))</f>
        <v/>
      </c>
      <c r="N32">
        <f>IF(N$4=0,0,IF(COUNTIFS(実績!$W$6:$W$505,N$3,実績!$AC$6:$AC$505,"&lt;="&amp;$A32,実績!$AD$6:$AD$505,"&gt;"&amp;$A32,実績!$AE$6:$AE$505,"○")&gt;0,1,0))</f>
        <v/>
      </c>
      <c r="O32">
        <f>IF(O$4=0,0,IF(COUNTIFS(実績!$W$6:$W$505,O$3,実績!$AC$6:$AC$505,"&lt;="&amp;$A32,実績!$AD$6:$AD$505,"&gt;"&amp;$A32,実績!$AE$6:$AE$505,"○")&gt;0,1,0))</f>
        <v/>
      </c>
      <c r="P32">
        <f>IF(P$4=0,0,IF(COUNTIFS(実績!$W$6:$W$505,P$3,実績!$AC$6:$AC$505,"&lt;="&amp;$A32,実績!$AD$6:$AD$505,"&gt;"&amp;$A32,実績!$AE$6:$AE$505,"○")&gt;0,1,0))</f>
        <v/>
      </c>
      <c r="Q32">
        <f>IF(Q$4=0,0,IF(COUNTIFS(実績!$W$6:$W$505,Q$3,実績!$AC$6:$AC$505,"&lt;="&amp;$A32,実績!$AD$6:$AD$505,"&gt;"&amp;$A32,実績!$AE$6:$AE$505,"○")&gt;0,1,0))</f>
        <v/>
      </c>
      <c r="R32">
        <f>IF(R$4=0,0,IF(COUNTIFS(実績!$W$6:$W$505,R$3,実績!$AC$6:$AC$505,"&lt;="&amp;$A32,実績!$AD$6:$AD$505,"&gt;"&amp;$A32,実績!$AE$6:$AE$505,"○")&gt;0,1,0))</f>
        <v/>
      </c>
      <c r="S32">
        <f>IF(S$4=0,0,IF(COUNTIFS(実績!$W$6:$W$505,S$3,実績!$AC$6:$AC$505,"&lt;="&amp;$A32,実績!$AD$6:$AD$505,"&gt;"&amp;$A32,実績!$AE$6:$AE$505,"○")&gt;0,1,0))</f>
        <v/>
      </c>
      <c r="T32">
        <f>IF(T$4=0,0,IF(COUNTIFS(実績!$W$6:$W$505,T$3,実績!$AC$6:$AC$505,"&lt;="&amp;$A32,実績!$AD$6:$AD$505,"&gt;"&amp;$A32,実績!$AE$6:$AE$505,"○")&gt;0,1,0))</f>
        <v/>
      </c>
      <c r="U32">
        <f>IF(U$4=0,0,IF(COUNTIFS(実績!$W$6:$W$505,U$3,実績!$AC$6:$AC$505,"&lt;="&amp;$A32,実績!$AD$6:$AD$505,"&gt;"&amp;$A32,実績!$AE$6:$AE$505,"○")&gt;0,1,0))</f>
        <v/>
      </c>
      <c r="V32">
        <f>IF(V$4=0,0,IF(COUNTIFS(実績!$W$6:$W$505,V$3,実績!$AC$6:$AC$505,"&lt;="&amp;$A32,実績!$AD$6:$AD$505,"&gt;"&amp;$A32,実績!$AE$6:$AE$505,"○")&gt;0,1,0))</f>
        <v/>
      </c>
      <c r="W32">
        <f>IF(W$4=0,0,IF(COUNTIFS(実績!$W$6:$W$505,W$3,実績!$AC$6:$AC$505,"&lt;="&amp;$A32,実績!$AD$6:$AD$505,"&gt;"&amp;$A32,実績!$AE$6:$AE$505,"○")&gt;0,1,0))</f>
        <v/>
      </c>
      <c r="X32">
        <f>IF(X$4=0,0,IF(COUNTIFS(実績!$W$6:$W$505,X$3,実績!$AC$6:$AC$505,"&lt;="&amp;$A32,実績!$AD$6:$AD$505,"&gt;"&amp;$A32,実績!$AE$6:$AE$505,"○")&gt;0,1,0))</f>
        <v/>
      </c>
      <c r="Y32">
        <f>IF(Y$4=0,0,IF(COUNTIFS(実績!$W$6:$W$505,Y$3,実績!$AC$6:$AC$505,"&lt;="&amp;$A32,実績!$AD$6:$AD$505,"&gt;"&amp;$A32,実績!$AE$6:$AE$505,"○")&gt;0,1,0))</f>
        <v/>
      </c>
      <c r="Z32">
        <f>IF(Z$4=0,0,IF(COUNTIFS(実績!$W$6:$W$505,Z$3,実績!$AC$6:$AC$505,"&lt;="&amp;$A32,実績!$AD$6:$AD$505,"&gt;"&amp;$A32,実績!$AE$6:$AE$505,"○")&gt;0,1,0))</f>
        <v/>
      </c>
      <c r="AA32">
        <f>IF(AA$4=0,0,IF(COUNTIFS(実績!$W$6:$W$505,AA$3,実績!$AC$6:$AC$505,"&lt;="&amp;$A32,実績!$AD$6:$AD$505,"&gt;"&amp;$A32,実績!$AE$6:$AE$505,"○")&gt;0,1,0))</f>
        <v/>
      </c>
      <c r="AB32">
        <f>IF(AB$4=0,0,IF(COUNTIFS(実績!$W$6:$W$505,AB$3,実績!$AC$6:$AC$505,"&lt;="&amp;$A32,実績!$AD$6:$AD$505,"&gt;"&amp;$A32,実績!$AE$6:$AE$505,"○")&gt;0,1,0))</f>
        <v/>
      </c>
      <c r="AC32">
        <f>IF(AC$4=0,0,IF(COUNTIFS(実績!$W$6:$W$505,AC$3,実績!$AC$6:$AC$505,"&lt;="&amp;$A32,実績!$AD$6:$AD$505,"&gt;"&amp;$A32,実績!$AE$6:$AE$505,"○")&gt;0,1,0))</f>
        <v/>
      </c>
      <c r="AD32">
        <f>IF(AD$4=0,0,IF(COUNTIFS(実績!$W$6:$W$505,AD$3,実績!$AC$6:$AC$505,"&lt;="&amp;$A32,実績!$AD$6:$AD$505,"&gt;"&amp;$A32,実績!$AE$6:$AE$505,"○")&gt;0,1,0))</f>
        <v/>
      </c>
      <c r="AE32">
        <f>IF(AE$4=0,0,IF(COUNTIFS(実績!$W$6:$W$505,AE$3,実績!$AC$6:$AC$505,"&lt;="&amp;$A32,実績!$AD$6:$AD$505,"&gt;"&amp;$A32,実績!$AE$6:$AE$505,"○")&gt;0,1,0))</f>
        <v/>
      </c>
      <c r="AF32">
        <f>IF(AF$4=0,0,IF(COUNTIFS(実績!$W$6:$W$505,AF$3,実績!$AC$6:$AC$505,"&lt;="&amp;$A32,実績!$AD$6:$AD$505,"&gt;"&amp;$A32,実績!$AE$6:$AE$505,"○")&gt;0,1,0))</f>
        <v/>
      </c>
      <c r="AG32">
        <f>IF(AG$4=0,0,IF(COUNTIFS(実績!$W$6:$W$505,AG$3,実績!$AC$6:$AC$505,"&lt;="&amp;$A32,実績!$AD$6:$AD$505,"&gt;"&amp;$A32,実績!$AE$6:$AE$505,"○")&gt;0,1,0))</f>
        <v/>
      </c>
      <c r="AH32">
        <f>IF(AH$4=0,0,IF(COUNTIFS(実績!$W$6:$W$505,AH$3,実績!$AC$6:$AC$505,"&lt;="&amp;$A32,実績!$AD$6:$AD$505,"&gt;"&amp;$A32,実績!$AE$6:$AE$505,"○")&gt;0,1,0))</f>
        <v/>
      </c>
      <c r="AI32">
        <f>IF(AI$4=0,0,IF(COUNTIFS(実績!$W$6:$W$505,AI$3,実績!$AC$6:$AC$505,"&lt;="&amp;$A32,実績!$AD$6:$AD$505,"&gt;"&amp;$A32,実績!$AE$6:$AE$505,"○")&gt;0,1,0))</f>
        <v/>
      </c>
      <c r="AJ32">
        <f>IF(AJ$4=0,0,IF(COUNTIFS(実績!$W$6:$W$505,AJ$3,実績!$AC$6:$AC$505,"&lt;="&amp;$A32,実績!$AD$6:$AD$505,"&gt;"&amp;$A32,実績!$AE$6:$AE$505,"○")&gt;0,1,0))</f>
        <v/>
      </c>
      <c r="AK32">
        <f>IF(AK$4=0,0,IF(COUNTIFS(実績!$W$6:$W$505,AK$3,実績!$AC$6:$AC$505,"&lt;="&amp;$A32,実績!$AD$6:$AD$505,"&gt;"&amp;$A32,実績!$AE$6:$AE$505,"○")&gt;0,1,0))</f>
        <v/>
      </c>
      <c r="AL32">
        <f>IF(AL$4=0,0,IF(COUNTIFS(実績!$W$6:$W$505,AL$3,実績!$AC$6:$AC$505,"&lt;="&amp;$A32,実績!$AD$6:$AD$505,"&gt;"&amp;$A32,実績!$AE$6:$AE$505,"○")&gt;0,1,0))</f>
        <v/>
      </c>
      <c r="AM32">
        <f>IF(AM$4=0,0,IF(COUNTIFS(実績!$W$6:$W$505,AM$3,実績!$AC$6:$AC$505,"&lt;="&amp;$A32,実績!$AD$6:$AD$505,"&gt;"&amp;$A32,実績!$AE$6:$AE$505,"○")&gt;0,1,0))</f>
        <v/>
      </c>
      <c r="AN32">
        <f>IF(AN$4=0,0,IF(COUNTIFS(実績!$W$6:$W$505,AN$3,実績!$AC$6:$AC$505,"&lt;="&amp;$A32,実績!$AD$6:$AD$505,"&gt;"&amp;$A32,実績!$AE$6:$AE$505,"○")&gt;0,1,0))</f>
        <v/>
      </c>
      <c r="AO32">
        <f>IF(AO$4=0,0,IF(COUNTIFS(実績!$W$6:$W$505,AO$3,実績!$AC$6:$AC$505,"&lt;="&amp;$A32,実績!$AD$6:$AD$505,"&gt;"&amp;$A32,実績!$AE$6:$AE$505,"○")&gt;0,1,0))</f>
        <v/>
      </c>
      <c r="AP32">
        <f>IF(AP$4=0,0,IF(COUNTIFS(実績!$W$6:$W$505,AP$3,実績!$AC$6:$AC$505,"&lt;="&amp;$A32,実績!$AD$6:$AD$505,"&gt;"&amp;$A32,実績!$AE$6:$AE$505,"○")&gt;0,1,0))</f>
        <v/>
      </c>
      <c r="AQ32">
        <f>IF(AQ$4=0,0,IF(COUNTIFS(実績!$W$6:$W$505,AQ$3,実績!$AC$6:$AC$505,"&lt;="&amp;$A32,実績!$AD$6:$AD$505,"&gt;"&amp;$A32,実績!$AE$6:$AE$505,"○")&gt;0,1,0))</f>
        <v/>
      </c>
      <c r="AR32">
        <f>IF(AR$4=0,0,IF(COUNTIFS(実績!$W$6:$W$505,AR$3,実績!$AC$6:$AC$505,"&lt;="&amp;$A32,実績!$AD$6:$AD$505,"&gt;"&amp;$A32,実績!$AE$6:$AE$505,"○")&gt;0,1,0))</f>
        <v/>
      </c>
      <c r="AS32">
        <f>IF(AS$4=0,0,IF(COUNTIFS(実績!$W$6:$W$505,AS$3,実績!$AC$6:$AC$505,"&lt;="&amp;$A32,実績!$AD$6:$AD$505,"&gt;"&amp;$A32,実績!$AE$6:$AE$505,"○")&gt;0,1,0))</f>
        <v/>
      </c>
      <c r="AT32">
        <f>IF(AT$4=0,0,IF(COUNTIFS(実績!$W$6:$W$505,AT$3,実績!$AC$6:$AC$505,"&lt;="&amp;$A32,実績!$AD$6:$AD$505,"&gt;"&amp;$A32,実績!$AE$6:$AE$505,"○")&gt;0,1,0))</f>
        <v/>
      </c>
      <c r="AU32">
        <f>IF(AU$4=0,0,IF(COUNTIFS(実績!$W$6:$W$505,AU$3,実績!$AC$6:$AC$505,"&lt;="&amp;$A32,実績!$AD$6:$AD$505,"&gt;"&amp;$A32,実績!$AE$6:$AE$505,"○")&gt;0,1,0))</f>
        <v/>
      </c>
      <c r="AV32">
        <f>IF(AV$4=0,0,IF(COUNTIFS(実績!$W$6:$W$505,AV$3,実績!$AC$6:$AC$505,"&lt;="&amp;$A32,実績!$AD$6:$AD$505,"&gt;"&amp;$A32,実績!$AE$6:$AE$505,"○")&gt;0,1,0))</f>
        <v/>
      </c>
      <c r="AW32">
        <f>IF(AW$4=0,0,IF(COUNTIFS(実績!$W$6:$W$505,AW$3,実績!$AC$6:$AC$505,"&lt;="&amp;$A32,実績!$AD$6:$AD$505,"&gt;"&amp;$A32,実績!$AE$6:$AE$505,"○")&gt;0,1,0))</f>
        <v/>
      </c>
      <c r="AX32">
        <f>IF(AX$4=0,0,IF(COUNTIFS(実績!$W$6:$W$505,AX$3,実績!$AC$6:$AC$505,"&lt;="&amp;$A32,実績!$AD$6:$AD$505,"&gt;"&amp;$A32,実績!$AE$6:$AE$505,"○")&gt;0,1,0))</f>
        <v/>
      </c>
      <c r="AY32">
        <f>IF(AY$4=0,0,IF(COUNTIFS(実績!$W$6:$W$505,AY$3,実績!$AC$6:$AC$505,"&lt;="&amp;$A32,実績!$AD$6:$AD$505,"&gt;"&amp;$A32,実績!$AE$6:$AE$505,"○")&gt;0,1,0))</f>
        <v/>
      </c>
      <c r="AZ32">
        <f>IF(AZ$4=0,0,IF(COUNTIFS(実績!$W$6:$W$505,AZ$3,実績!$AC$6:$AC$505,"&lt;="&amp;$A32,実績!$AD$6:$AD$505,"&gt;"&amp;$A32,実績!$AE$6:$AE$505,"○")&gt;0,1,0))</f>
        <v/>
      </c>
      <c r="BA32">
        <f>IF(BA$4=0,0,IF(COUNTIFS(実績!$W$6:$W$505,BA$3,実績!$AC$6:$AC$505,"&lt;="&amp;$A32,実績!$AD$6:$AD$505,"&gt;"&amp;$A32,実績!$AE$6:$AE$505,"○")&gt;0,1,0))</f>
        <v/>
      </c>
      <c r="BB32">
        <f>IF(BB$4=0,0,IF(COUNTIFS(実績!$W$6:$W$505,BB$3,実績!$AC$6:$AC$505,"&lt;="&amp;$A32,実績!$AD$6:$AD$505,"&gt;"&amp;$A32,実績!$AE$6:$AE$505,"○")&gt;0,1,0))</f>
        <v/>
      </c>
      <c r="BC32">
        <f>IF(BC$4=0,0,IF(COUNTIFS(実績!$W$6:$W$505,BC$3,実績!$AC$6:$AC$505,"&lt;="&amp;$A32,実績!$AD$6:$AD$505,"&gt;"&amp;$A32,実績!$AE$6:$AE$505,"○")&gt;0,1,0))</f>
        <v/>
      </c>
      <c r="BD32">
        <f>IF(BD$4=0,0,IF(COUNTIFS(実績!$W$6:$W$505,BD$3,実績!$AC$6:$AC$505,"&lt;="&amp;$A32,実績!$AD$6:$AD$505,"&gt;"&amp;$A32,実績!$AE$6:$AE$505,"○")&gt;0,1,0))</f>
        <v/>
      </c>
      <c r="BE32">
        <f>IF(BE$4=0,0,IF(COUNTIFS(実績!$W$6:$W$505,BE$3,実績!$AC$6:$AC$505,"&lt;="&amp;$A32,実績!$AD$6:$AD$505,"&gt;"&amp;$A32,実績!$AE$6:$AE$505,"○")&gt;0,1,0))</f>
        <v/>
      </c>
      <c r="BF32">
        <f>IF(BF$4=0,0,IF(COUNTIFS(実績!$W$6:$W$505,BF$3,実績!$AC$6:$AC$505,"&lt;="&amp;$A32,実績!$AD$6:$AD$505,"&gt;"&amp;$A32,実績!$AE$6:$AE$505,"○")&gt;0,1,0))</f>
        <v/>
      </c>
      <c r="BG32">
        <f>IF(BG$4=0,0,IF(COUNTIFS(実績!$W$6:$W$505,BG$3,実績!$AC$6:$AC$505,"&lt;="&amp;$A32,実績!$AD$6:$AD$505,"&gt;"&amp;$A32,実績!$AE$6:$AE$505,"○")&gt;0,1,0))</f>
        <v/>
      </c>
      <c r="BH32">
        <f>IF(BH$4=0,0,IF(COUNTIFS(実績!$W$6:$W$505,BH$3,実績!$AC$6:$AC$505,"&lt;="&amp;$A32,実績!$AD$6:$AD$505,"&gt;"&amp;$A32,実績!$AE$6:$AE$505,"○")&gt;0,1,0))</f>
        <v/>
      </c>
      <c r="BI32">
        <f>IF(BI$4=0,0,IF(COUNTIFS(実績!$W$6:$W$505,BI$3,実績!$AC$6:$AC$505,"&lt;="&amp;$A32,実績!$AD$6:$AD$505,"&gt;"&amp;$A32,実績!$AE$6:$AE$505,"○")&gt;0,1,0))</f>
        <v/>
      </c>
      <c r="BJ32">
        <f>IF(BJ$4=0,0,IF(COUNTIFS(実績!$W$6:$W$505,BJ$3,実績!$AC$6:$AC$505,"&lt;="&amp;$A32,実績!$AD$6:$AD$505,"&gt;"&amp;$A32,実績!$AE$6:$AE$505,"○")&gt;0,1,0))</f>
        <v/>
      </c>
      <c r="BK32">
        <f>IF(BK$4=0,0,IF(COUNTIFS(実績!$W$6:$W$505,BK$3,実績!$AC$6:$AC$505,"&lt;="&amp;$A32,実績!$AD$6:$AD$505,"&gt;"&amp;$A32,実績!$AE$6:$AE$505,"○")&gt;0,1,0))</f>
        <v/>
      </c>
      <c r="BL32">
        <f>IF(BL$4=0,0,IF(COUNTIFS(実績!$W$6:$W$505,BL$3,実績!$AC$6:$AC$505,"&lt;="&amp;$A32,実績!$AD$6:$AD$505,"&gt;"&amp;$A32,実績!$AE$6:$AE$505,"○")&gt;0,1,0))</f>
        <v/>
      </c>
      <c r="BM32">
        <f>IF(BM$4=0,0,IF(COUNTIFS(実績!$W$6:$W$505,BM$3,実績!$AC$6:$AC$505,"&lt;="&amp;$A32,実績!$AD$6:$AD$505,"&gt;"&amp;$A32,実績!$AE$6:$AE$505,"○")&gt;0,1,0))</f>
        <v/>
      </c>
      <c r="BN32">
        <f>IF(BN$4=0,0,IF(COUNTIFS(実績!$W$6:$W$505,BN$3,実績!$AC$6:$AC$505,"&lt;="&amp;$A32,実績!$AD$6:$AD$505,"&gt;"&amp;$A32,実績!$AE$6:$AE$505,"○")&gt;0,1,0))</f>
        <v/>
      </c>
      <c r="BO32">
        <f>IF(BO$4=0,0,IF(COUNTIFS(実績!$W$6:$W$505,BO$3,実績!$AC$6:$AC$505,"&lt;="&amp;$A32,実績!$AD$6:$AD$505,"&gt;"&amp;$A32,実績!$AE$6:$AE$505,"○")&gt;0,1,0))</f>
        <v/>
      </c>
      <c r="BP32">
        <f>IF(BP$4=0,0,IF(COUNTIFS(実績!$W$6:$W$505,BP$3,実績!$AC$6:$AC$505,"&lt;="&amp;$A32,実績!$AD$6:$AD$505,"&gt;"&amp;$A32,実績!$AE$6:$AE$505,"○")&gt;0,1,0))</f>
        <v/>
      </c>
      <c r="BQ32">
        <f>IF(BQ$4=0,0,IF(COUNTIFS(実績!$W$6:$W$505,BQ$3,実績!$AC$6:$AC$505,"&lt;="&amp;$A32,実績!$AD$6:$AD$505,"&gt;"&amp;$A32,実績!$AE$6:$AE$505,"○")&gt;0,1,0))</f>
        <v/>
      </c>
      <c r="BR32">
        <f>IF(BR$4=0,0,IF(COUNTIFS(実績!$W$6:$W$505,BR$3,実績!$AC$6:$AC$505,"&lt;="&amp;$A32,実績!$AD$6:$AD$505,"&gt;"&amp;$A32,実績!$AE$6:$AE$505,"○")&gt;0,1,0))</f>
        <v/>
      </c>
      <c r="BS32">
        <f>IF(BS$4=0,0,IF(COUNTIFS(実績!$W$6:$W$505,BS$3,実績!$AC$6:$AC$505,"&lt;="&amp;$A32,実績!$AD$6:$AD$505,"&gt;"&amp;$A32,実績!$AE$6:$AE$505,"○")&gt;0,1,0))</f>
        <v/>
      </c>
      <c r="BT32">
        <f>IF(BT$4=0,0,IF(COUNTIFS(実績!$W$6:$W$505,BT$3,実績!$AC$6:$AC$505,"&lt;="&amp;$A32,実績!$AD$6:$AD$505,"&gt;"&amp;$A32,実績!$AE$6:$AE$505,"○")&gt;0,1,0))</f>
        <v/>
      </c>
      <c r="BU32">
        <f>IF(BU$4=0,0,IF(COUNTIFS(実績!$W$6:$W$505,BU$3,実績!$AC$6:$AC$505,"&lt;="&amp;$A32,実績!$AD$6:$AD$505,"&gt;"&amp;$A32,実績!$AE$6:$AE$505,"○")&gt;0,1,0))</f>
        <v/>
      </c>
      <c r="BV32">
        <f>IF(BV$4=0,0,IF(COUNTIFS(実績!$W$6:$W$505,BV$3,実績!$AC$6:$AC$505,"&lt;="&amp;$A32,実績!$AD$6:$AD$505,"&gt;"&amp;$A32,実績!$AE$6:$AE$505,"○")&gt;0,1,0))</f>
        <v/>
      </c>
      <c r="BW32">
        <f>IF(BW$4=0,0,IF(COUNTIFS(実績!$W$6:$W$505,BW$3,実績!$AC$6:$AC$505,"&lt;="&amp;$A32,実績!$AD$6:$AD$505,"&gt;"&amp;$A32,実績!$AE$6:$AE$505,"○")&gt;0,1,0))</f>
        <v/>
      </c>
      <c r="BX32">
        <f>IF(BX$4=0,0,IF(COUNTIFS(実績!$W$6:$W$505,BX$3,実績!$AC$6:$AC$505,"&lt;="&amp;$A32,実績!$AD$6:$AD$505,"&gt;"&amp;$A32,実績!$AE$6:$AE$505,"○")&gt;0,1,0))</f>
        <v/>
      </c>
      <c r="BY32">
        <f>IF(BY$4=0,0,IF(COUNTIFS(実績!$W$6:$W$505,BY$3,実績!$AC$6:$AC$505,"&lt;="&amp;$A32,実績!$AD$6:$AD$505,"&gt;"&amp;$A32,実績!$AE$6:$AE$505,"○")&gt;0,1,0))</f>
        <v/>
      </c>
      <c r="BZ32">
        <f>IF(BZ$4=0,0,IF(COUNTIFS(実績!$W$6:$W$505,BZ$3,実績!$AC$6:$AC$505,"&lt;="&amp;$A32,実績!$AD$6:$AD$505,"&gt;"&amp;$A32,実績!$AE$6:$AE$505,"○")&gt;0,1,0))</f>
        <v/>
      </c>
      <c r="CA32">
        <f>IF(CA$4=0,0,IF(COUNTIFS(実績!$W$6:$W$505,CA$3,実績!$AC$6:$AC$505,"&lt;="&amp;$A32,実績!$AD$6:$AD$505,"&gt;"&amp;$A32,実績!$AE$6:$AE$505,"○")&gt;0,1,0))</f>
        <v/>
      </c>
      <c r="CB32">
        <f>IF(CB$4=0,0,IF(COUNTIFS(実績!$W$6:$W$505,CB$3,実績!$AC$6:$AC$505,"&lt;="&amp;$A32,実績!$AD$6:$AD$505,"&gt;"&amp;$A32,実績!$AE$6:$AE$505,"○")&gt;0,1,0))</f>
        <v/>
      </c>
      <c r="CC32">
        <f>IF(CC$4=0,0,IF(COUNTIFS(実績!$W$6:$W$505,CC$3,実績!$AC$6:$AC$505,"&lt;="&amp;$A32,実績!$AD$6:$AD$505,"&gt;"&amp;$A32,実績!$AE$6:$AE$505,"○")&gt;0,1,0))</f>
        <v/>
      </c>
      <c r="CD32">
        <f>IF(CD$4=0,0,IF(COUNTIFS(実績!$W$6:$W$505,CD$3,実績!$AC$6:$AC$505,"&lt;="&amp;$A32,実績!$AD$6:$AD$505,"&gt;"&amp;$A32,実績!$AE$6:$AE$505,"○")&gt;0,1,0))</f>
        <v/>
      </c>
      <c r="CE32">
        <f>IF(CE$4=0,0,IF(COUNTIFS(実績!$W$6:$W$505,CE$3,実績!$AC$6:$AC$505,"&lt;="&amp;$A32,実績!$AD$6:$AD$505,"&gt;"&amp;$A32,実績!$AE$6:$AE$505,"○")&gt;0,1,0))</f>
        <v/>
      </c>
      <c r="CF32">
        <f>IF(CF$4=0,0,IF(COUNTIFS(実績!$W$6:$W$505,CF$3,実績!$AC$6:$AC$505,"&lt;="&amp;$A32,実績!$AD$6:$AD$505,"&gt;"&amp;$A32,実績!$AE$6:$AE$505,"○")&gt;0,1,0))</f>
        <v/>
      </c>
      <c r="CG32">
        <f>IF(CG$4=0,0,IF(COUNTIFS(実績!$W$6:$W$505,CG$3,実績!$AC$6:$AC$505,"&lt;="&amp;$A32,実績!$AD$6:$AD$505,"&gt;"&amp;$A32,実績!$AE$6:$AE$505,"○")&gt;0,1,0))</f>
        <v/>
      </c>
      <c r="CH32">
        <f>IF(CH$4=0,0,IF(COUNTIFS(実績!$W$6:$W$505,CH$3,実績!$AC$6:$AC$505,"&lt;="&amp;$A32,実績!$AD$6:$AD$505,"&gt;"&amp;$A32,実績!$AE$6:$AE$505,"○")&gt;0,1,0))</f>
        <v/>
      </c>
      <c r="CI32">
        <f>IF(CI$4=0,0,IF(COUNTIFS(実績!$W$6:$W$505,CI$3,実績!$AC$6:$AC$505,"&lt;="&amp;$A32,実績!$AD$6:$AD$505,"&gt;"&amp;$A32,実績!$AE$6:$AE$505,"○")&gt;0,1,0))</f>
        <v/>
      </c>
      <c r="CJ32">
        <f>IF(CJ$4=0,0,IF(COUNTIFS(実績!$W$6:$W$505,CJ$3,実績!$AC$6:$AC$505,"&lt;="&amp;$A32,実績!$AD$6:$AD$505,"&gt;"&amp;$A32,実績!$AE$6:$AE$505,"○")&gt;0,1,0))</f>
        <v/>
      </c>
      <c r="CK32">
        <f>IF(CK$4=0,0,IF(COUNTIFS(実績!$W$6:$W$505,CK$3,実績!$AC$6:$AC$505,"&lt;="&amp;$A32,実績!$AD$6:$AD$505,"&gt;"&amp;$A32,実績!$AE$6:$AE$505,"○")&gt;0,1,0))</f>
        <v/>
      </c>
      <c r="CL32">
        <f>IF(CL$4=0,0,IF(COUNTIFS(実績!$W$6:$W$505,CL$3,実績!$AC$6:$AC$505,"&lt;="&amp;$A32,実績!$AD$6:$AD$505,"&gt;"&amp;$A32,実績!$AE$6:$AE$505,"○")&gt;0,1,0))</f>
        <v/>
      </c>
      <c r="CM32">
        <f>IF(CM$4=0,0,IF(COUNTIFS(実績!$W$6:$W$505,CM$3,実績!$AC$6:$AC$505,"&lt;="&amp;$A32,実績!$AD$6:$AD$505,"&gt;"&amp;$A32,実績!$AE$6:$AE$505,"○")&gt;0,1,0))</f>
        <v/>
      </c>
      <c r="CN32">
        <f>IF(CN$4=0,0,IF(COUNTIFS(実績!$W$6:$W$505,CN$3,実績!$AC$6:$AC$505,"&lt;="&amp;$A32,実績!$AD$6:$AD$505,"&gt;"&amp;$A32,実績!$AE$6:$AE$505,"○")&gt;0,1,0))</f>
        <v/>
      </c>
      <c r="CO32">
        <f>IF(CO$4=0,0,IF(COUNTIFS(実績!$W$6:$W$505,CO$3,実績!$AC$6:$AC$505,"&lt;="&amp;$A32,実績!$AD$6:$AD$505,"&gt;"&amp;$A32,実績!$AE$6:$AE$505,"○")&gt;0,1,0))</f>
        <v/>
      </c>
      <c r="CP32">
        <f>IF(CP$4=0,0,IF(COUNTIFS(実績!$W$6:$W$505,CP$3,実績!$AC$6:$AC$505,"&lt;="&amp;$A32,実績!$AD$6:$AD$505,"&gt;"&amp;$A32,実績!$AE$6:$AE$505,"○")&gt;0,1,0))</f>
        <v/>
      </c>
      <c r="CQ32">
        <f>IF(CQ$4=0,0,IF(COUNTIFS(実績!$W$6:$W$505,CQ$3,実績!$AC$6:$AC$505,"&lt;="&amp;$A32,実績!$AD$6:$AD$505,"&gt;"&amp;$A32,実績!$AE$6:$AE$505,"○")&gt;0,1,0))</f>
        <v/>
      </c>
      <c r="CR32">
        <f>IF(CR$4=0,0,IF(COUNTIFS(実績!$W$6:$W$505,CR$3,実績!$AC$6:$AC$505,"&lt;="&amp;$A32,実績!$AD$6:$AD$505,"&gt;"&amp;$A32,実績!$AE$6:$AE$505,"○")&gt;0,1,0))</f>
        <v/>
      </c>
      <c r="CS32">
        <f>IF(CS$4=0,0,IF(COUNTIFS(実績!$W$6:$W$505,CS$3,実績!$AC$6:$AC$505,"&lt;="&amp;$A32,実績!$AD$6:$AD$505,"&gt;"&amp;$A32,実績!$AE$6:$AE$505,"○")&gt;0,1,0))</f>
        <v/>
      </c>
      <c r="CT32">
        <f>IF(CT$4=0,0,IF(COUNTIFS(実績!$W$6:$W$505,CT$3,実績!$AC$6:$AC$505,"&lt;="&amp;$A32,実績!$AD$6:$AD$505,"&gt;"&amp;$A32,実績!$AE$6:$AE$505,"○")&gt;0,1,0))</f>
        <v/>
      </c>
      <c r="CU32">
        <f>IF(CU$4=0,0,IF(COUNTIFS(実績!$W$6:$W$505,CU$3,実績!$AC$6:$AC$505,"&lt;="&amp;$A32,実績!$AD$6:$AD$505,"&gt;"&amp;$A32,実績!$AE$6:$AE$505,"○")&gt;0,1,0))</f>
        <v/>
      </c>
      <c r="CV32">
        <f>IF(CV$4=0,0,IF(COUNTIFS(実績!$W$6:$W$505,CV$3,実績!$AC$6:$AC$505,"&lt;="&amp;$A32,実績!$AD$6:$AD$505,"&gt;"&amp;$A32,実績!$AE$6:$AE$505,"○")&gt;0,1,0))</f>
        <v/>
      </c>
      <c r="CW32">
        <f>IF(CW$4=0,0,IF(COUNTIFS(実績!$W$6:$W$505,CW$3,実績!$AC$6:$AC$505,"&lt;="&amp;$A32,実績!$AD$6:$AD$505,"&gt;"&amp;$A32,実績!$AE$6:$AE$505,"○")&gt;0,1,0))</f>
        <v/>
      </c>
      <c r="CX32">
        <f>IF(CX$4=0,0,IF(COUNTIFS(実績!$W$6:$W$505,CX$3,実績!$AC$6:$AC$505,"&lt;="&amp;$A32,実績!$AD$6:$AD$505,"&gt;"&amp;$A32,実績!$AE$6:$AE$505,"○")&gt;0,1,0))</f>
        <v/>
      </c>
      <c r="CY32">
        <f>IF(CY$4=0,0,IF(COUNTIFS(実績!$W$6:$W$505,CY$3,実績!$AC$6:$AC$505,"&lt;="&amp;$A32,実績!$AD$6:$AD$505,"&gt;"&amp;$A32,実績!$AE$6:$AE$505,"○")&gt;0,1,0))</f>
        <v/>
      </c>
      <c r="CZ32">
        <f>IF(CZ$4=0,0,IF(COUNTIFS(実績!$W$6:$W$505,CZ$3,実績!$AC$6:$AC$505,"&lt;="&amp;$A32,実績!$AD$6:$AD$505,"&gt;"&amp;$A32,実績!$AE$6:$AE$505,"○")&gt;0,1,0))</f>
        <v/>
      </c>
      <c r="DA32">
        <f>IF(DA$4=0,0,IF(COUNTIFS(実績!$W$6:$W$505,DA$3,実績!$AC$6:$AC$505,"&lt;="&amp;$A32,実績!$AD$6:$AD$505,"&gt;"&amp;$A32,実績!$AE$6:$AE$505,"○")&gt;0,1,0))</f>
        <v/>
      </c>
      <c r="DB32">
        <f>IF(DB$4=0,0,IF(COUNTIFS(実績!$W$6:$W$505,DB$3,実績!$AC$6:$AC$505,"&lt;="&amp;$A32,実績!$AD$6:$AD$505,"&gt;"&amp;$A32,実績!$AE$6:$AE$505,"○")&gt;0,1,0))</f>
        <v/>
      </c>
      <c r="DC32">
        <f>IF(DC$4=0,0,IF(COUNTIFS(実績!$W$6:$W$505,DC$3,実績!$AC$6:$AC$505,"&lt;="&amp;$A32,実績!$AD$6:$AD$505,"&gt;"&amp;$A32,実績!$AE$6:$AE$505,"○")&gt;0,1,0))</f>
        <v/>
      </c>
      <c r="DD32">
        <f>IF(DD$4=0,0,IF(COUNTIFS(実績!$W$6:$W$505,DD$3,実績!$AC$6:$AC$505,"&lt;="&amp;$A32,実績!$AD$6:$AD$505,"&gt;"&amp;$A32,実績!$AE$6:$AE$505,"○")&gt;0,1,0))</f>
        <v/>
      </c>
      <c r="DE32">
        <f>IF(DE$4=0,0,IF(COUNTIFS(実績!$W$6:$W$505,DE$3,実績!$AC$6:$AC$505,"&lt;="&amp;$A32,実績!$AD$6:$AD$505,"&gt;"&amp;$A32,実績!$AE$6:$AE$505,"○")&gt;0,1,0))</f>
        <v/>
      </c>
      <c r="DF32">
        <f>IF(DF$4=0,0,IF(COUNTIFS(実績!$W$6:$W$505,DF$3,実績!$AC$6:$AC$505,"&lt;="&amp;$A32,実績!$AD$6:$AD$505,"&gt;"&amp;$A32,実績!$AE$6:$AE$505,"○")&gt;0,1,0))</f>
        <v/>
      </c>
      <c r="DG32">
        <f>IF(DG$4=0,0,IF(COUNTIFS(実績!$W$6:$W$505,DG$3,実績!$AC$6:$AC$505,"&lt;="&amp;$A32,実績!$AD$6:$AD$505,"&gt;"&amp;$A32,実績!$AE$6:$AE$505,"○")&gt;0,1,0))</f>
        <v/>
      </c>
      <c r="DH32">
        <f>IF(DH$4=0,0,IF(COUNTIFS(実績!$W$6:$W$505,DH$3,実績!$AC$6:$AC$505,"&lt;="&amp;$A32,実績!$AD$6:$AD$505,"&gt;"&amp;$A32,実績!$AE$6:$AE$505,"○")&gt;0,1,0))</f>
        <v/>
      </c>
      <c r="DI32">
        <f>IF(DI$4=0,0,IF(COUNTIFS(実績!$W$6:$W$505,DI$3,実績!$AC$6:$AC$505,"&lt;="&amp;$A32,実績!$AD$6:$AD$505,"&gt;"&amp;$A32,実績!$AE$6:$AE$505,"○")&gt;0,1,0))</f>
        <v/>
      </c>
      <c r="DJ32">
        <f>IF(DJ$4=0,0,IF(COUNTIFS(実績!$W$6:$W$505,DJ$3,実績!$AC$6:$AC$505,"&lt;="&amp;$A32,実績!$AD$6:$AD$505,"&gt;"&amp;$A32,実績!$AE$6:$AE$505,"○")&gt;0,1,0))</f>
        <v/>
      </c>
      <c r="DK32">
        <f>IF(DK$4=0,0,IF(COUNTIFS(実績!$W$6:$W$505,DK$3,実績!$AC$6:$AC$505,"&lt;="&amp;$A32,実績!$AD$6:$AD$505,"&gt;"&amp;$A32,実績!$AE$6:$AE$505,"○")&gt;0,1,0))</f>
        <v/>
      </c>
      <c r="DL32">
        <f>IF(DL$4=0,0,IF(COUNTIFS(実績!$W$6:$W$505,DL$3,実績!$AC$6:$AC$505,"&lt;="&amp;$A32,実績!$AD$6:$AD$505,"&gt;"&amp;$A32,実績!$AE$6:$AE$505,"○")&gt;0,1,0))</f>
        <v/>
      </c>
      <c r="DM32">
        <f>IF(DM$4=0,0,IF(COUNTIFS(実績!$W$6:$W$505,DM$3,実績!$AC$6:$AC$505,"&lt;="&amp;$A32,実績!$AD$6:$AD$505,"&gt;"&amp;$A32,実績!$AE$6:$AE$505,"○")&gt;0,1,0))</f>
        <v/>
      </c>
      <c r="DN32">
        <f>IF(DN$4=0,0,IF(COUNTIFS(実績!$W$6:$W$505,DN$3,実績!$AC$6:$AC$505,"&lt;="&amp;$A32,実績!$AD$6:$AD$505,"&gt;"&amp;$A32,実績!$AE$6:$AE$505,"○")&gt;0,1,0))</f>
        <v/>
      </c>
      <c r="DO32">
        <f>IF(DO$4=0,0,IF(COUNTIFS(実績!$W$6:$W$505,DO$3,実績!$AC$6:$AC$505,"&lt;="&amp;$A32,実績!$AD$6:$AD$505,"&gt;"&amp;$A32,実績!$AE$6:$AE$505,"○")&gt;0,1,0))</f>
        <v/>
      </c>
      <c r="DP32">
        <f>IF(DP$4=0,0,IF(COUNTIFS(実績!$W$6:$W$505,DP$3,実績!$AC$6:$AC$505,"&lt;="&amp;$A32,実績!$AD$6:$AD$505,"&gt;"&amp;$A32,実績!$AE$6:$AE$505,"○")&gt;0,1,0))</f>
        <v/>
      </c>
      <c r="DQ32">
        <f>IF(DQ$4=0,0,IF(COUNTIFS(実績!$W$6:$W$505,DQ$3,実績!$AC$6:$AC$505,"&lt;="&amp;$A32,実績!$AD$6:$AD$505,"&gt;"&amp;$A32,実績!$AE$6:$AE$505,"○")&gt;0,1,0))</f>
        <v/>
      </c>
      <c r="DR32">
        <f>IF(DR$4=0,0,IF(COUNTIFS(実績!$W$6:$W$505,DR$3,実績!$AC$6:$AC$505,"&lt;="&amp;$A32,実績!$AD$6:$AD$505,"&gt;"&amp;$A32,実績!$AE$6:$AE$505,"○")&gt;0,1,0))</f>
        <v/>
      </c>
      <c r="DS32">
        <f>SUM(C32:DR32)</f>
        <v/>
      </c>
      <c r="DT32">
        <f>SUMPRODUCT((実績!$C$6:$C$505="○")*ISNUMBER(実績!$AF$6:$AF$505)*(実績!$AF$6:$AF$505&lt;=$A32)*(実績!$AG$6:$AG$505&gt;$A32))</f>
        <v/>
      </c>
      <c r="DU32">
        <f>SUMIF($C$2:$DR$2,"製鉄曳船",C32:DR32)</f>
        <v/>
      </c>
      <c r="DV32">
        <f>SUMIF($C$2:$DR$2,"西日本海運",C32:DR32)</f>
        <v/>
      </c>
    </row>
    <row r="33">
      <c r="A33" t="n">
        <v>135</v>
      </c>
      <c r="B33" s="29">
        <f>A33/1440</f>
        <v/>
      </c>
      <c r="C33">
        <f>IF(C$4=0,0,IF(COUNTIFS(実績!$W$6:$W$505,C$3,実績!$AC$6:$AC$505,"&lt;="&amp;$A33,実績!$AD$6:$AD$505,"&gt;"&amp;$A33,実績!$AE$6:$AE$505,"○")&gt;0,1,0))</f>
        <v/>
      </c>
      <c r="D33">
        <f>IF(D$4=0,0,IF(COUNTIFS(実績!$W$6:$W$505,D$3,実績!$AC$6:$AC$505,"&lt;="&amp;$A33,実績!$AD$6:$AD$505,"&gt;"&amp;$A33,実績!$AE$6:$AE$505,"○")&gt;0,1,0))</f>
        <v/>
      </c>
      <c r="E33">
        <f>IF(E$4=0,0,IF(COUNTIFS(実績!$W$6:$W$505,E$3,実績!$AC$6:$AC$505,"&lt;="&amp;$A33,実績!$AD$6:$AD$505,"&gt;"&amp;$A33,実績!$AE$6:$AE$505,"○")&gt;0,1,0))</f>
        <v/>
      </c>
      <c r="F33">
        <f>IF(F$4=0,0,IF(COUNTIFS(実績!$W$6:$W$505,F$3,実績!$AC$6:$AC$505,"&lt;="&amp;$A33,実績!$AD$6:$AD$505,"&gt;"&amp;$A33,実績!$AE$6:$AE$505,"○")&gt;0,1,0))</f>
        <v/>
      </c>
      <c r="G33">
        <f>IF(G$4=0,0,IF(COUNTIFS(実績!$W$6:$W$505,G$3,実績!$AC$6:$AC$505,"&lt;="&amp;$A33,実績!$AD$6:$AD$505,"&gt;"&amp;$A33,実績!$AE$6:$AE$505,"○")&gt;0,1,0))</f>
        <v/>
      </c>
      <c r="H33">
        <f>IF(H$4=0,0,IF(COUNTIFS(実績!$W$6:$W$505,H$3,実績!$AC$6:$AC$505,"&lt;="&amp;$A33,実績!$AD$6:$AD$505,"&gt;"&amp;$A33,実績!$AE$6:$AE$505,"○")&gt;0,1,0))</f>
        <v/>
      </c>
      <c r="I33">
        <f>IF(I$4=0,0,IF(COUNTIFS(実績!$W$6:$W$505,I$3,実績!$AC$6:$AC$505,"&lt;="&amp;$A33,実績!$AD$6:$AD$505,"&gt;"&amp;$A33,実績!$AE$6:$AE$505,"○")&gt;0,1,0))</f>
        <v/>
      </c>
      <c r="J33">
        <f>IF(J$4=0,0,IF(COUNTIFS(実績!$W$6:$W$505,J$3,実績!$AC$6:$AC$505,"&lt;="&amp;$A33,実績!$AD$6:$AD$505,"&gt;"&amp;$A33,実績!$AE$6:$AE$505,"○")&gt;0,1,0))</f>
        <v/>
      </c>
      <c r="K33">
        <f>IF(K$4=0,0,IF(COUNTIFS(実績!$W$6:$W$505,K$3,実績!$AC$6:$AC$505,"&lt;="&amp;$A33,実績!$AD$6:$AD$505,"&gt;"&amp;$A33,実績!$AE$6:$AE$505,"○")&gt;0,1,0))</f>
        <v/>
      </c>
      <c r="L33">
        <f>IF(L$4=0,0,IF(COUNTIFS(実績!$W$6:$W$505,L$3,実績!$AC$6:$AC$505,"&lt;="&amp;$A33,実績!$AD$6:$AD$505,"&gt;"&amp;$A33,実績!$AE$6:$AE$505,"○")&gt;0,1,0))</f>
        <v/>
      </c>
      <c r="M33">
        <f>IF(M$4=0,0,IF(COUNTIFS(実績!$W$6:$W$505,M$3,実績!$AC$6:$AC$505,"&lt;="&amp;$A33,実績!$AD$6:$AD$505,"&gt;"&amp;$A33,実績!$AE$6:$AE$505,"○")&gt;0,1,0))</f>
        <v/>
      </c>
      <c r="N33">
        <f>IF(N$4=0,0,IF(COUNTIFS(実績!$W$6:$W$505,N$3,実績!$AC$6:$AC$505,"&lt;="&amp;$A33,実績!$AD$6:$AD$505,"&gt;"&amp;$A33,実績!$AE$6:$AE$505,"○")&gt;0,1,0))</f>
        <v/>
      </c>
      <c r="O33">
        <f>IF(O$4=0,0,IF(COUNTIFS(実績!$W$6:$W$505,O$3,実績!$AC$6:$AC$505,"&lt;="&amp;$A33,実績!$AD$6:$AD$505,"&gt;"&amp;$A33,実績!$AE$6:$AE$505,"○")&gt;0,1,0))</f>
        <v/>
      </c>
      <c r="P33">
        <f>IF(P$4=0,0,IF(COUNTIFS(実績!$W$6:$W$505,P$3,実績!$AC$6:$AC$505,"&lt;="&amp;$A33,実績!$AD$6:$AD$505,"&gt;"&amp;$A33,実績!$AE$6:$AE$505,"○")&gt;0,1,0))</f>
        <v/>
      </c>
      <c r="Q33">
        <f>IF(Q$4=0,0,IF(COUNTIFS(実績!$W$6:$W$505,Q$3,実績!$AC$6:$AC$505,"&lt;="&amp;$A33,実績!$AD$6:$AD$505,"&gt;"&amp;$A33,実績!$AE$6:$AE$505,"○")&gt;0,1,0))</f>
        <v/>
      </c>
      <c r="R33">
        <f>IF(R$4=0,0,IF(COUNTIFS(実績!$W$6:$W$505,R$3,実績!$AC$6:$AC$505,"&lt;="&amp;$A33,実績!$AD$6:$AD$505,"&gt;"&amp;$A33,実績!$AE$6:$AE$505,"○")&gt;0,1,0))</f>
        <v/>
      </c>
      <c r="S33">
        <f>IF(S$4=0,0,IF(COUNTIFS(実績!$W$6:$W$505,S$3,実績!$AC$6:$AC$505,"&lt;="&amp;$A33,実績!$AD$6:$AD$505,"&gt;"&amp;$A33,実績!$AE$6:$AE$505,"○")&gt;0,1,0))</f>
        <v/>
      </c>
      <c r="T33">
        <f>IF(T$4=0,0,IF(COUNTIFS(実績!$W$6:$W$505,T$3,実績!$AC$6:$AC$505,"&lt;="&amp;$A33,実績!$AD$6:$AD$505,"&gt;"&amp;$A33,実績!$AE$6:$AE$505,"○")&gt;0,1,0))</f>
        <v/>
      </c>
      <c r="U33">
        <f>IF(U$4=0,0,IF(COUNTIFS(実績!$W$6:$W$505,U$3,実績!$AC$6:$AC$505,"&lt;="&amp;$A33,実績!$AD$6:$AD$505,"&gt;"&amp;$A33,実績!$AE$6:$AE$505,"○")&gt;0,1,0))</f>
        <v/>
      </c>
      <c r="V33">
        <f>IF(V$4=0,0,IF(COUNTIFS(実績!$W$6:$W$505,V$3,実績!$AC$6:$AC$505,"&lt;="&amp;$A33,実績!$AD$6:$AD$505,"&gt;"&amp;$A33,実績!$AE$6:$AE$505,"○")&gt;0,1,0))</f>
        <v/>
      </c>
      <c r="W33">
        <f>IF(W$4=0,0,IF(COUNTIFS(実績!$W$6:$W$505,W$3,実績!$AC$6:$AC$505,"&lt;="&amp;$A33,実績!$AD$6:$AD$505,"&gt;"&amp;$A33,実績!$AE$6:$AE$505,"○")&gt;0,1,0))</f>
        <v/>
      </c>
      <c r="X33">
        <f>IF(X$4=0,0,IF(COUNTIFS(実績!$W$6:$W$505,X$3,実績!$AC$6:$AC$505,"&lt;="&amp;$A33,実績!$AD$6:$AD$505,"&gt;"&amp;$A33,実績!$AE$6:$AE$505,"○")&gt;0,1,0))</f>
        <v/>
      </c>
      <c r="Y33">
        <f>IF(Y$4=0,0,IF(COUNTIFS(実績!$W$6:$W$505,Y$3,実績!$AC$6:$AC$505,"&lt;="&amp;$A33,実績!$AD$6:$AD$505,"&gt;"&amp;$A33,実績!$AE$6:$AE$505,"○")&gt;0,1,0))</f>
        <v/>
      </c>
      <c r="Z33">
        <f>IF(Z$4=0,0,IF(COUNTIFS(実績!$W$6:$W$505,Z$3,実績!$AC$6:$AC$505,"&lt;="&amp;$A33,実績!$AD$6:$AD$505,"&gt;"&amp;$A33,実績!$AE$6:$AE$505,"○")&gt;0,1,0))</f>
        <v/>
      </c>
      <c r="AA33">
        <f>IF(AA$4=0,0,IF(COUNTIFS(実績!$W$6:$W$505,AA$3,実績!$AC$6:$AC$505,"&lt;="&amp;$A33,実績!$AD$6:$AD$505,"&gt;"&amp;$A33,実績!$AE$6:$AE$505,"○")&gt;0,1,0))</f>
        <v/>
      </c>
      <c r="AB33">
        <f>IF(AB$4=0,0,IF(COUNTIFS(実績!$W$6:$W$505,AB$3,実績!$AC$6:$AC$505,"&lt;="&amp;$A33,実績!$AD$6:$AD$505,"&gt;"&amp;$A33,実績!$AE$6:$AE$505,"○")&gt;0,1,0))</f>
        <v/>
      </c>
      <c r="AC33">
        <f>IF(AC$4=0,0,IF(COUNTIFS(実績!$W$6:$W$505,AC$3,実績!$AC$6:$AC$505,"&lt;="&amp;$A33,実績!$AD$6:$AD$505,"&gt;"&amp;$A33,実績!$AE$6:$AE$505,"○")&gt;0,1,0))</f>
        <v/>
      </c>
      <c r="AD33">
        <f>IF(AD$4=0,0,IF(COUNTIFS(実績!$W$6:$W$505,AD$3,実績!$AC$6:$AC$505,"&lt;="&amp;$A33,実績!$AD$6:$AD$505,"&gt;"&amp;$A33,実績!$AE$6:$AE$505,"○")&gt;0,1,0))</f>
        <v/>
      </c>
      <c r="AE33">
        <f>IF(AE$4=0,0,IF(COUNTIFS(実績!$W$6:$W$505,AE$3,実績!$AC$6:$AC$505,"&lt;="&amp;$A33,実績!$AD$6:$AD$505,"&gt;"&amp;$A33,実績!$AE$6:$AE$505,"○")&gt;0,1,0))</f>
        <v/>
      </c>
      <c r="AF33">
        <f>IF(AF$4=0,0,IF(COUNTIFS(実績!$W$6:$W$505,AF$3,実績!$AC$6:$AC$505,"&lt;="&amp;$A33,実績!$AD$6:$AD$505,"&gt;"&amp;$A33,実績!$AE$6:$AE$505,"○")&gt;0,1,0))</f>
        <v/>
      </c>
      <c r="AG33">
        <f>IF(AG$4=0,0,IF(COUNTIFS(実績!$W$6:$W$505,AG$3,実績!$AC$6:$AC$505,"&lt;="&amp;$A33,実績!$AD$6:$AD$505,"&gt;"&amp;$A33,実績!$AE$6:$AE$505,"○")&gt;0,1,0))</f>
        <v/>
      </c>
      <c r="AH33">
        <f>IF(AH$4=0,0,IF(COUNTIFS(実績!$W$6:$W$505,AH$3,実績!$AC$6:$AC$505,"&lt;="&amp;$A33,実績!$AD$6:$AD$505,"&gt;"&amp;$A33,実績!$AE$6:$AE$505,"○")&gt;0,1,0))</f>
        <v/>
      </c>
      <c r="AI33">
        <f>IF(AI$4=0,0,IF(COUNTIFS(実績!$W$6:$W$505,AI$3,実績!$AC$6:$AC$505,"&lt;="&amp;$A33,実績!$AD$6:$AD$505,"&gt;"&amp;$A33,実績!$AE$6:$AE$505,"○")&gt;0,1,0))</f>
        <v/>
      </c>
      <c r="AJ33">
        <f>IF(AJ$4=0,0,IF(COUNTIFS(実績!$W$6:$W$505,AJ$3,実績!$AC$6:$AC$505,"&lt;="&amp;$A33,実績!$AD$6:$AD$505,"&gt;"&amp;$A33,実績!$AE$6:$AE$505,"○")&gt;0,1,0))</f>
        <v/>
      </c>
      <c r="AK33">
        <f>IF(AK$4=0,0,IF(COUNTIFS(実績!$W$6:$W$505,AK$3,実績!$AC$6:$AC$505,"&lt;="&amp;$A33,実績!$AD$6:$AD$505,"&gt;"&amp;$A33,実績!$AE$6:$AE$505,"○")&gt;0,1,0))</f>
        <v/>
      </c>
      <c r="AL33">
        <f>IF(AL$4=0,0,IF(COUNTIFS(実績!$W$6:$W$505,AL$3,実績!$AC$6:$AC$505,"&lt;="&amp;$A33,実績!$AD$6:$AD$505,"&gt;"&amp;$A33,実績!$AE$6:$AE$505,"○")&gt;0,1,0))</f>
        <v/>
      </c>
      <c r="AM33">
        <f>IF(AM$4=0,0,IF(COUNTIFS(実績!$W$6:$W$505,AM$3,実績!$AC$6:$AC$505,"&lt;="&amp;$A33,実績!$AD$6:$AD$505,"&gt;"&amp;$A33,実績!$AE$6:$AE$505,"○")&gt;0,1,0))</f>
        <v/>
      </c>
      <c r="AN33">
        <f>IF(AN$4=0,0,IF(COUNTIFS(実績!$W$6:$W$505,AN$3,実績!$AC$6:$AC$505,"&lt;="&amp;$A33,実績!$AD$6:$AD$505,"&gt;"&amp;$A33,実績!$AE$6:$AE$505,"○")&gt;0,1,0))</f>
        <v/>
      </c>
      <c r="AO33">
        <f>IF(AO$4=0,0,IF(COUNTIFS(実績!$W$6:$W$505,AO$3,実績!$AC$6:$AC$505,"&lt;="&amp;$A33,実績!$AD$6:$AD$505,"&gt;"&amp;$A33,実績!$AE$6:$AE$505,"○")&gt;0,1,0))</f>
        <v/>
      </c>
      <c r="AP33">
        <f>IF(AP$4=0,0,IF(COUNTIFS(実績!$W$6:$W$505,AP$3,実績!$AC$6:$AC$505,"&lt;="&amp;$A33,実績!$AD$6:$AD$505,"&gt;"&amp;$A33,実績!$AE$6:$AE$505,"○")&gt;0,1,0))</f>
        <v/>
      </c>
      <c r="AQ33">
        <f>IF(AQ$4=0,0,IF(COUNTIFS(実績!$W$6:$W$505,AQ$3,実績!$AC$6:$AC$505,"&lt;="&amp;$A33,実績!$AD$6:$AD$505,"&gt;"&amp;$A33,実績!$AE$6:$AE$505,"○")&gt;0,1,0))</f>
        <v/>
      </c>
      <c r="AR33">
        <f>IF(AR$4=0,0,IF(COUNTIFS(実績!$W$6:$W$505,AR$3,実績!$AC$6:$AC$505,"&lt;="&amp;$A33,実績!$AD$6:$AD$505,"&gt;"&amp;$A33,実績!$AE$6:$AE$505,"○")&gt;0,1,0))</f>
        <v/>
      </c>
      <c r="AS33">
        <f>IF(AS$4=0,0,IF(COUNTIFS(実績!$W$6:$W$505,AS$3,実績!$AC$6:$AC$505,"&lt;="&amp;$A33,実績!$AD$6:$AD$505,"&gt;"&amp;$A33,実績!$AE$6:$AE$505,"○")&gt;0,1,0))</f>
        <v/>
      </c>
      <c r="AT33">
        <f>IF(AT$4=0,0,IF(COUNTIFS(実績!$W$6:$W$505,AT$3,実績!$AC$6:$AC$505,"&lt;="&amp;$A33,実績!$AD$6:$AD$505,"&gt;"&amp;$A33,実績!$AE$6:$AE$505,"○")&gt;0,1,0))</f>
        <v/>
      </c>
      <c r="AU33">
        <f>IF(AU$4=0,0,IF(COUNTIFS(実績!$W$6:$W$505,AU$3,実績!$AC$6:$AC$505,"&lt;="&amp;$A33,実績!$AD$6:$AD$505,"&gt;"&amp;$A33,実績!$AE$6:$AE$505,"○")&gt;0,1,0))</f>
        <v/>
      </c>
      <c r="AV33">
        <f>IF(AV$4=0,0,IF(COUNTIFS(実績!$W$6:$W$505,AV$3,実績!$AC$6:$AC$505,"&lt;="&amp;$A33,実績!$AD$6:$AD$505,"&gt;"&amp;$A33,実績!$AE$6:$AE$505,"○")&gt;0,1,0))</f>
        <v/>
      </c>
      <c r="AW33">
        <f>IF(AW$4=0,0,IF(COUNTIFS(実績!$W$6:$W$505,AW$3,実績!$AC$6:$AC$505,"&lt;="&amp;$A33,実績!$AD$6:$AD$505,"&gt;"&amp;$A33,実績!$AE$6:$AE$505,"○")&gt;0,1,0))</f>
        <v/>
      </c>
      <c r="AX33">
        <f>IF(AX$4=0,0,IF(COUNTIFS(実績!$W$6:$W$505,AX$3,実績!$AC$6:$AC$505,"&lt;="&amp;$A33,実績!$AD$6:$AD$505,"&gt;"&amp;$A33,実績!$AE$6:$AE$505,"○")&gt;0,1,0))</f>
        <v/>
      </c>
      <c r="AY33">
        <f>IF(AY$4=0,0,IF(COUNTIFS(実績!$W$6:$W$505,AY$3,実績!$AC$6:$AC$505,"&lt;="&amp;$A33,実績!$AD$6:$AD$505,"&gt;"&amp;$A33,実績!$AE$6:$AE$505,"○")&gt;0,1,0))</f>
        <v/>
      </c>
      <c r="AZ33">
        <f>IF(AZ$4=0,0,IF(COUNTIFS(実績!$W$6:$W$505,AZ$3,実績!$AC$6:$AC$505,"&lt;="&amp;$A33,実績!$AD$6:$AD$505,"&gt;"&amp;$A33,実績!$AE$6:$AE$505,"○")&gt;0,1,0))</f>
        <v/>
      </c>
      <c r="BA33">
        <f>IF(BA$4=0,0,IF(COUNTIFS(実績!$W$6:$W$505,BA$3,実績!$AC$6:$AC$505,"&lt;="&amp;$A33,実績!$AD$6:$AD$505,"&gt;"&amp;$A33,実績!$AE$6:$AE$505,"○")&gt;0,1,0))</f>
        <v/>
      </c>
      <c r="BB33">
        <f>IF(BB$4=0,0,IF(COUNTIFS(実績!$W$6:$W$505,BB$3,実績!$AC$6:$AC$505,"&lt;="&amp;$A33,実績!$AD$6:$AD$505,"&gt;"&amp;$A33,実績!$AE$6:$AE$505,"○")&gt;0,1,0))</f>
        <v/>
      </c>
      <c r="BC33">
        <f>IF(BC$4=0,0,IF(COUNTIFS(実績!$W$6:$W$505,BC$3,実績!$AC$6:$AC$505,"&lt;="&amp;$A33,実績!$AD$6:$AD$505,"&gt;"&amp;$A33,実績!$AE$6:$AE$505,"○")&gt;0,1,0))</f>
        <v/>
      </c>
      <c r="BD33">
        <f>IF(BD$4=0,0,IF(COUNTIFS(実績!$W$6:$W$505,BD$3,実績!$AC$6:$AC$505,"&lt;="&amp;$A33,実績!$AD$6:$AD$505,"&gt;"&amp;$A33,実績!$AE$6:$AE$505,"○")&gt;0,1,0))</f>
        <v/>
      </c>
      <c r="BE33">
        <f>IF(BE$4=0,0,IF(COUNTIFS(実績!$W$6:$W$505,BE$3,実績!$AC$6:$AC$505,"&lt;="&amp;$A33,実績!$AD$6:$AD$505,"&gt;"&amp;$A33,実績!$AE$6:$AE$505,"○")&gt;0,1,0))</f>
        <v/>
      </c>
      <c r="BF33">
        <f>IF(BF$4=0,0,IF(COUNTIFS(実績!$W$6:$W$505,BF$3,実績!$AC$6:$AC$505,"&lt;="&amp;$A33,実績!$AD$6:$AD$505,"&gt;"&amp;$A33,実績!$AE$6:$AE$505,"○")&gt;0,1,0))</f>
        <v/>
      </c>
      <c r="BG33">
        <f>IF(BG$4=0,0,IF(COUNTIFS(実績!$W$6:$W$505,BG$3,実績!$AC$6:$AC$505,"&lt;="&amp;$A33,実績!$AD$6:$AD$505,"&gt;"&amp;$A33,実績!$AE$6:$AE$505,"○")&gt;0,1,0))</f>
        <v/>
      </c>
      <c r="BH33">
        <f>IF(BH$4=0,0,IF(COUNTIFS(実績!$W$6:$W$505,BH$3,実績!$AC$6:$AC$505,"&lt;="&amp;$A33,実績!$AD$6:$AD$505,"&gt;"&amp;$A33,実績!$AE$6:$AE$505,"○")&gt;0,1,0))</f>
        <v/>
      </c>
      <c r="BI33">
        <f>IF(BI$4=0,0,IF(COUNTIFS(実績!$W$6:$W$505,BI$3,実績!$AC$6:$AC$505,"&lt;="&amp;$A33,実績!$AD$6:$AD$505,"&gt;"&amp;$A33,実績!$AE$6:$AE$505,"○")&gt;0,1,0))</f>
        <v/>
      </c>
      <c r="BJ33">
        <f>IF(BJ$4=0,0,IF(COUNTIFS(実績!$W$6:$W$505,BJ$3,実績!$AC$6:$AC$505,"&lt;="&amp;$A33,実績!$AD$6:$AD$505,"&gt;"&amp;$A33,実績!$AE$6:$AE$505,"○")&gt;0,1,0))</f>
        <v/>
      </c>
      <c r="BK33">
        <f>IF(BK$4=0,0,IF(COUNTIFS(実績!$W$6:$W$505,BK$3,実績!$AC$6:$AC$505,"&lt;="&amp;$A33,実績!$AD$6:$AD$505,"&gt;"&amp;$A33,実績!$AE$6:$AE$505,"○")&gt;0,1,0))</f>
        <v/>
      </c>
      <c r="BL33">
        <f>IF(BL$4=0,0,IF(COUNTIFS(実績!$W$6:$W$505,BL$3,実績!$AC$6:$AC$505,"&lt;="&amp;$A33,実績!$AD$6:$AD$505,"&gt;"&amp;$A33,実績!$AE$6:$AE$505,"○")&gt;0,1,0))</f>
        <v/>
      </c>
      <c r="BM33">
        <f>IF(BM$4=0,0,IF(COUNTIFS(実績!$W$6:$W$505,BM$3,実績!$AC$6:$AC$505,"&lt;="&amp;$A33,実績!$AD$6:$AD$505,"&gt;"&amp;$A33,実績!$AE$6:$AE$505,"○")&gt;0,1,0))</f>
        <v/>
      </c>
      <c r="BN33">
        <f>IF(BN$4=0,0,IF(COUNTIFS(実績!$W$6:$W$505,BN$3,実績!$AC$6:$AC$505,"&lt;="&amp;$A33,実績!$AD$6:$AD$505,"&gt;"&amp;$A33,実績!$AE$6:$AE$505,"○")&gt;0,1,0))</f>
        <v/>
      </c>
      <c r="BO33">
        <f>IF(BO$4=0,0,IF(COUNTIFS(実績!$W$6:$W$505,BO$3,実績!$AC$6:$AC$505,"&lt;="&amp;$A33,実績!$AD$6:$AD$505,"&gt;"&amp;$A33,実績!$AE$6:$AE$505,"○")&gt;0,1,0))</f>
        <v/>
      </c>
      <c r="BP33">
        <f>IF(BP$4=0,0,IF(COUNTIFS(実績!$W$6:$W$505,BP$3,実績!$AC$6:$AC$505,"&lt;="&amp;$A33,実績!$AD$6:$AD$505,"&gt;"&amp;$A33,実績!$AE$6:$AE$505,"○")&gt;0,1,0))</f>
        <v/>
      </c>
      <c r="BQ33">
        <f>IF(BQ$4=0,0,IF(COUNTIFS(実績!$W$6:$W$505,BQ$3,実績!$AC$6:$AC$505,"&lt;="&amp;$A33,実績!$AD$6:$AD$505,"&gt;"&amp;$A33,実績!$AE$6:$AE$505,"○")&gt;0,1,0))</f>
        <v/>
      </c>
      <c r="BR33">
        <f>IF(BR$4=0,0,IF(COUNTIFS(実績!$W$6:$W$505,BR$3,実績!$AC$6:$AC$505,"&lt;="&amp;$A33,実績!$AD$6:$AD$505,"&gt;"&amp;$A33,実績!$AE$6:$AE$505,"○")&gt;0,1,0))</f>
        <v/>
      </c>
      <c r="BS33">
        <f>IF(BS$4=0,0,IF(COUNTIFS(実績!$W$6:$W$505,BS$3,実績!$AC$6:$AC$505,"&lt;="&amp;$A33,実績!$AD$6:$AD$505,"&gt;"&amp;$A33,実績!$AE$6:$AE$505,"○")&gt;0,1,0))</f>
        <v/>
      </c>
      <c r="BT33">
        <f>IF(BT$4=0,0,IF(COUNTIFS(実績!$W$6:$W$505,BT$3,実績!$AC$6:$AC$505,"&lt;="&amp;$A33,実績!$AD$6:$AD$505,"&gt;"&amp;$A33,実績!$AE$6:$AE$505,"○")&gt;0,1,0))</f>
        <v/>
      </c>
      <c r="BU33">
        <f>IF(BU$4=0,0,IF(COUNTIFS(実績!$W$6:$W$505,BU$3,実績!$AC$6:$AC$505,"&lt;="&amp;$A33,実績!$AD$6:$AD$505,"&gt;"&amp;$A33,実績!$AE$6:$AE$505,"○")&gt;0,1,0))</f>
        <v/>
      </c>
      <c r="BV33">
        <f>IF(BV$4=0,0,IF(COUNTIFS(実績!$W$6:$W$505,BV$3,実績!$AC$6:$AC$505,"&lt;="&amp;$A33,実績!$AD$6:$AD$505,"&gt;"&amp;$A33,実績!$AE$6:$AE$505,"○")&gt;0,1,0))</f>
        <v/>
      </c>
      <c r="BW33">
        <f>IF(BW$4=0,0,IF(COUNTIFS(実績!$W$6:$W$505,BW$3,実績!$AC$6:$AC$505,"&lt;="&amp;$A33,実績!$AD$6:$AD$505,"&gt;"&amp;$A33,実績!$AE$6:$AE$505,"○")&gt;0,1,0))</f>
        <v/>
      </c>
      <c r="BX33">
        <f>IF(BX$4=0,0,IF(COUNTIFS(実績!$W$6:$W$505,BX$3,実績!$AC$6:$AC$505,"&lt;="&amp;$A33,実績!$AD$6:$AD$505,"&gt;"&amp;$A33,実績!$AE$6:$AE$505,"○")&gt;0,1,0))</f>
        <v/>
      </c>
      <c r="BY33">
        <f>IF(BY$4=0,0,IF(COUNTIFS(実績!$W$6:$W$505,BY$3,実績!$AC$6:$AC$505,"&lt;="&amp;$A33,実績!$AD$6:$AD$505,"&gt;"&amp;$A33,実績!$AE$6:$AE$505,"○")&gt;0,1,0))</f>
        <v/>
      </c>
      <c r="BZ33">
        <f>IF(BZ$4=0,0,IF(COUNTIFS(実績!$W$6:$W$505,BZ$3,実績!$AC$6:$AC$505,"&lt;="&amp;$A33,実績!$AD$6:$AD$505,"&gt;"&amp;$A33,実績!$AE$6:$AE$505,"○")&gt;0,1,0))</f>
        <v/>
      </c>
      <c r="CA33">
        <f>IF(CA$4=0,0,IF(COUNTIFS(実績!$W$6:$W$505,CA$3,実績!$AC$6:$AC$505,"&lt;="&amp;$A33,実績!$AD$6:$AD$505,"&gt;"&amp;$A33,実績!$AE$6:$AE$505,"○")&gt;0,1,0))</f>
        <v/>
      </c>
      <c r="CB33">
        <f>IF(CB$4=0,0,IF(COUNTIFS(実績!$W$6:$W$505,CB$3,実績!$AC$6:$AC$505,"&lt;="&amp;$A33,実績!$AD$6:$AD$505,"&gt;"&amp;$A33,実績!$AE$6:$AE$505,"○")&gt;0,1,0))</f>
        <v/>
      </c>
      <c r="CC33">
        <f>IF(CC$4=0,0,IF(COUNTIFS(実績!$W$6:$W$505,CC$3,実績!$AC$6:$AC$505,"&lt;="&amp;$A33,実績!$AD$6:$AD$505,"&gt;"&amp;$A33,実績!$AE$6:$AE$505,"○")&gt;0,1,0))</f>
        <v/>
      </c>
      <c r="CD33">
        <f>IF(CD$4=0,0,IF(COUNTIFS(実績!$W$6:$W$505,CD$3,実績!$AC$6:$AC$505,"&lt;="&amp;$A33,実績!$AD$6:$AD$505,"&gt;"&amp;$A33,実績!$AE$6:$AE$505,"○")&gt;0,1,0))</f>
        <v/>
      </c>
      <c r="CE33">
        <f>IF(CE$4=0,0,IF(COUNTIFS(実績!$W$6:$W$505,CE$3,実績!$AC$6:$AC$505,"&lt;="&amp;$A33,実績!$AD$6:$AD$505,"&gt;"&amp;$A33,実績!$AE$6:$AE$505,"○")&gt;0,1,0))</f>
        <v/>
      </c>
      <c r="CF33">
        <f>IF(CF$4=0,0,IF(COUNTIFS(実績!$W$6:$W$505,CF$3,実績!$AC$6:$AC$505,"&lt;="&amp;$A33,実績!$AD$6:$AD$505,"&gt;"&amp;$A33,実績!$AE$6:$AE$505,"○")&gt;0,1,0))</f>
        <v/>
      </c>
      <c r="CG33">
        <f>IF(CG$4=0,0,IF(COUNTIFS(実績!$W$6:$W$505,CG$3,実績!$AC$6:$AC$505,"&lt;="&amp;$A33,実績!$AD$6:$AD$505,"&gt;"&amp;$A33,実績!$AE$6:$AE$505,"○")&gt;0,1,0))</f>
        <v/>
      </c>
      <c r="CH33">
        <f>IF(CH$4=0,0,IF(COUNTIFS(実績!$W$6:$W$505,CH$3,実績!$AC$6:$AC$505,"&lt;="&amp;$A33,実績!$AD$6:$AD$505,"&gt;"&amp;$A33,実績!$AE$6:$AE$505,"○")&gt;0,1,0))</f>
        <v/>
      </c>
      <c r="CI33">
        <f>IF(CI$4=0,0,IF(COUNTIFS(実績!$W$6:$W$505,CI$3,実績!$AC$6:$AC$505,"&lt;="&amp;$A33,実績!$AD$6:$AD$505,"&gt;"&amp;$A33,実績!$AE$6:$AE$505,"○")&gt;0,1,0))</f>
        <v/>
      </c>
      <c r="CJ33">
        <f>IF(CJ$4=0,0,IF(COUNTIFS(実績!$W$6:$W$505,CJ$3,実績!$AC$6:$AC$505,"&lt;="&amp;$A33,実績!$AD$6:$AD$505,"&gt;"&amp;$A33,実績!$AE$6:$AE$505,"○")&gt;0,1,0))</f>
        <v/>
      </c>
      <c r="CK33">
        <f>IF(CK$4=0,0,IF(COUNTIFS(実績!$W$6:$W$505,CK$3,実績!$AC$6:$AC$505,"&lt;="&amp;$A33,実績!$AD$6:$AD$505,"&gt;"&amp;$A33,実績!$AE$6:$AE$505,"○")&gt;0,1,0))</f>
        <v/>
      </c>
      <c r="CL33">
        <f>IF(CL$4=0,0,IF(COUNTIFS(実績!$W$6:$W$505,CL$3,実績!$AC$6:$AC$505,"&lt;="&amp;$A33,実績!$AD$6:$AD$505,"&gt;"&amp;$A33,実績!$AE$6:$AE$505,"○")&gt;0,1,0))</f>
        <v/>
      </c>
      <c r="CM33">
        <f>IF(CM$4=0,0,IF(COUNTIFS(実績!$W$6:$W$505,CM$3,実績!$AC$6:$AC$505,"&lt;="&amp;$A33,実績!$AD$6:$AD$505,"&gt;"&amp;$A33,実績!$AE$6:$AE$505,"○")&gt;0,1,0))</f>
        <v/>
      </c>
      <c r="CN33">
        <f>IF(CN$4=0,0,IF(COUNTIFS(実績!$W$6:$W$505,CN$3,実績!$AC$6:$AC$505,"&lt;="&amp;$A33,実績!$AD$6:$AD$505,"&gt;"&amp;$A33,実績!$AE$6:$AE$505,"○")&gt;0,1,0))</f>
        <v/>
      </c>
      <c r="CO33">
        <f>IF(CO$4=0,0,IF(COUNTIFS(実績!$W$6:$W$505,CO$3,実績!$AC$6:$AC$505,"&lt;="&amp;$A33,実績!$AD$6:$AD$505,"&gt;"&amp;$A33,実績!$AE$6:$AE$505,"○")&gt;0,1,0))</f>
        <v/>
      </c>
      <c r="CP33">
        <f>IF(CP$4=0,0,IF(COUNTIFS(実績!$W$6:$W$505,CP$3,実績!$AC$6:$AC$505,"&lt;="&amp;$A33,実績!$AD$6:$AD$505,"&gt;"&amp;$A33,実績!$AE$6:$AE$505,"○")&gt;0,1,0))</f>
        <v/>
      </c>
      <c r="CQ33">
        <f>IF(CQ$4=0,0,IF(COUNTIFS(実績!$W$6:$W$505,CQ$3,実績!$AC$6:$AC$505,"&lt;="&amp;$A33,実績!$AD$6:$AD$505,"&gt;"&amp;$A33,実績!$AE$6:$AE$505,"○")&gt;0,1,0))</f>
        <v/>
      </c>
      <c r="CR33">
        <f>IF(CR$4=0,0,IF(COUNTIFS(実績!$W$6:$W$505,CR$3,実績!$AC$6:$AC$505,"&lt;="&amp;$A33,実績!$AD$6:$AD$505,"&gt;"&amp;$A33,実績!$AE$6:$AE$505,"○")&gt;0,1,0))</f>
        <v/>
      </c>
      <c r="CS33">
        <f>IF(CS$4=0,0,IF(COUNTIFS(実績!$W$6:$W$505,CS$3,実績!$AC$6:$AC$505,"&lt;="&amp;$A33,実績!$AD$6:$AD$505,"&gt;"&amp;$A33,実績!$AE$6:$AE$505,"○")&gt;0,1,0))</f>
        <v/>
      </c>
      <c r="CT33">
        <f>IF(CT$4=0,0,IF(COUNTIFS(実績!$W$6:$W$505,CT$3,実績!$AC$6:$AC$505,"&lt;="&amp;$A33,実績!$AD$6:$AD$505,"&gt;"&amp;$A33,実績!$AE$6:$AE$505,"○")&gt;0,1,0))</f>
        <v/>
      </c>
      <c r="CU33">
        <f>IF(CU$4=0,0,IF(COUNTIFS(実績!$W$6:$W$505,CU$3,実績!$AC$6:$AC$505,"&lt;="&amp;$A33,実績!$AD$6:$AD$505,"&gt;"&amp;$A33,実績!$AE$6:$AE$505,"○")&gt;0,1,0))</f>
        <v/>
      </c>
      <c r="CV33">
        <f>IF(CV$4=0,0,IF(COUNTIFS(実績!$W$6:$W$505,CV$3,実績!$AC$6:$AC$505,"&lt;="&amp;$A33,実績!$AD$6:$AD$505,"&gt;"&amp;$A33,実績!$AE$6:$AE$505,"○")&gt;0,1,0))</f>
        <v/>
      </c>
      <c r="CW33">
        <f>IF(CW$4=0,0,IF(COUNTIFS(実績!$W$6:$W$505,CW$3,実績!$AC$6:$AC$505,"&lt;="&amp;$A33,実績!$AD$6:$AD$505,"&gt;"&amp;$A33,実績!$AE$6:$AE$505,"○")&gt;0,1,0))</f>
        <v/>
      </c>
      <c r="CX33">
        <f>IF(CX$4=0,0,IF(COUNTIFS(実績!$W$6:$W$505,CX$3,実績!$AC$6:$AC$505,"&lt;="&amp;$A33,実績!$AD$6:$AD$505,"&gt;"&amp;$A33,実績!$AE$6:$AE$505,"○")&gt;0,1,0))</f>
        <v/>
      </c>
      <c r="CY33">
        <f>IF(CY$4=0,0,IF(COUNTIFS(実績!$W$6:$W$505,CY$3,実績!$AC$6:$AC$505,"&lt;="&amp;$A33,実績!$AD$6:$AD$505,"&gt;"&amp;$A33,実績!$AE$6:$AE$505,"○")&gt;0,1,0))</f>
        <v/>
      </c>
      <c r="CZ33">
        <f>IF(CZ$4=0,0,IF(COUNTIFS(実績!$W$6:$W$505,CZ$3,実績!$AC$6:$AC$505,"&lt;="&amp;$A33,実績!$AD$6:$AD$505,"&gt;"&amp;$A33,実績!$AE$6:$AE$505,"○")&gt;0,1,0))</f>
        <v/>
      </c>
      <c r="DA33">
        <f>IF(DA$4=0,0,IF(COUNTIFS(実績!$W$6:$W$505,DA$3,実績!$AC$6:$AC$505,"&lt;="&amp;$A33,実績!$AD$6:$AD$505,"&gt;"&amp;$A33,実績!$AE$6:$AE$505,"○")&gt;0,1,0))</f>
        <v/>
      </c>
      <c r="DB33">
        <f>IF(DB$4=0,0,IF(COUNTIFS(実績!$W$6:$W$505,DB$3,実績!$AC$6:$AC$505,"&lt;="&amp;$A33,実績!$AD$6:$AD$505,"&gt;"&amp;$A33,実績!$AE$6:$AE$505,"○")&gt;0,1,0))</f>
        <v/>
      </c>
      <c r="DC33">
        <f>IF(DC$4=0,0,IF(COUNTIFS(実績!$W$6:$W$505,DC$3,実績!$AC$6:$AC$505,"&lt;="&amp;$A33,実績!$AD$6:$AD$505,"&gt;"&amp;$A33,実績!$AE$6:$AE$505,"○")&gt;0,1,0))</f>
        <v/>
      </c>
      <c r="DD33">
        <f>IF(DD$4=0,0,IF(COUNTIFS(実績!$W$6:$W$505,DD$3,実績!$AC$6:$AC$505,"&lt;="&amp;$A33,実績!$AD$6:$AD$505,"&gt;"&amp;$A33,実績!$AE$6:$AE$505,"○")&gt;0,1,0))</f>
        <v/>
      </c>
      <c r="DE33">
        <f>IF(DE$4=0,0,IF(COUNTIFS(実績!$W$6:$W$505,DE$3,実績!$AC$6:$AC$505,"&lt;="&amp;$A33,実績!$AD$6:$AD$505,"&gt;"&amp;$A33,実績!$AE$6:$AE$505,"○")&gt;0,1,0))</f>
        <v/>
      </c>
      <c r="DF33">
        <f>IF(DF$4=0,0,IF(COUNTIFS(実績!$W$6:$W$505,DF$3,実績!$AC$6:$AC$505,"&lt;="&amp;$A33,実績!$AD$6:$AD$505,"&gt;"&amp;$A33,実績!$AE$6:$AE$505,"○")&gt;0,1,0))</f>
        <v/>
      </c>
      <c r="DG33">
        <f>IF(DG$4=0,0,IF(COUNTIFS(実績!$W$6:$W$505,DG$3,実績!$AC$6:$AC$505,"&lt;="&amp;$A33,実績!$AD$6:$AD$505,"&gt;"&amp;$A33,実績!$AE$6:$AE$505,"○")&gt;0,1,0))</f>
        <v/>
      </c>
      <c r="DH33">
        <f>IF(DH$4=0,0,IF(COUNTIFS(実績!$W$6:$W$505,DH$3,実績!$AC$6:$AC$505,"&lt;="&amp;$A33,実績!$AD$6:$AD$505,"&gt;"&amp;$A33,実績!$AE$6:$AE$505,"○")&gt;0,1,0))</f>
        <v/>
      </c>
      <c r="DI33">
        <f>IF(DI$4=0,0,IF(COUNTIFS(実績!$W$6:$W$505,DI$3,実績!$AC$6:$AC$505,"&lt;="&amp;$A33,実績!$AD$6:$AD$505,"&gt;"&amp;$A33,実績!$AE$6:$AE$505,"○")&gt;0,1,0))</f>
        <v/>
      </c>
      <c r="DJ33">
        <f>IF(DJ$4=0,0,IF(COUNTIFS(実績!$W$6:$W$505,DJ$3,実績!$AC$6:$AC$505,"&lt;="&amp;$A33,実績!$AD$6:$AD$505,"&gt;"&amp;$A33,実績!$AE$6:$AE$505,"○")&gt;0,1,0))</f>
        <v/>
      </c>
      <c r="DK33">
        <f>IF(DK$4=0,0,IF(COUNTIFS(実績!$W$6:$W$505,DK$3,実績!$AC$6:$AC$505,"&lt;="&amp;$A33,実績!$AD$6:$AD$505,"&gt;"&amp;$A33,実績!$AE$6:$AE$505,"○")&gt;0,1,0))</f>
        <v/>
      </c>
      <c r="DL33">
        <f>IF(DL$4=0,0,IF(COUNTIFS(実績!$W$6:$W$505,DL$3,実績!$AC$6:$AC$505,"&lt;="&amp;$A33,実績!$AD$6:$AD$505,"&gt;"&amp;$A33,実績!$AE$6:$AE$505,"○")&gt;0,1,0))</f>
        <v/>
      </c>
      <c r="DM33">
        <f>IF(DM$4=0,0,IF(COUNTIFS(実績!$W$6:$W$505,DM$3,実績!$AC$6:$AC$505,"&lt;="&amp;$A33,実績!$AD$6:$AD$505,"&gt;"&amp;$A33,実績!$AE$6:$AE$505,"○")&gt;0,1,0))</f>
        <v/>
      </c>
      <c r="DN33">
        <f>IF(DN$4=0,0,IF(COUNTIFS(実績!$W$6:$W$505,DN$3,実績!$AC$6:$AC$505,"&lt;="&amp;$A33,実績!$AD$6:$AD$505,"&gt;"&amp;$A33,実績!$AE$6:$AE$505,"○")&gt;0,1,0))</f>
        <v/>
      </c>
      <c r="DO33">
        <f>IF(DO$4=0,0,IF(COUNTIFS(実績!$W$6:$W$505,DO$3,実績!$AC$6:$AC$505,"&lt;="&amp;$A33,実績!$AD$6:$AD$505,"&gt;"&amp;$A33,実績!$AE$6:$AE$505,"○")&gt;0,1,0))</f>
        <v/>
      </c>
      <c r="DP33">
        <f>IF(DP$4=0,0,IF(COUNTIFS(実績!$W$6:$W$505,DP$3,実績!$AC$6:$AC$505,"&lt;="&amp;$A33,実績!$AD$6:$AD$505,"&gt;"&amp;$A33,実績!$AE$6:$AE$505,"○")&gt;0,1,0))</f>
        <v/>
      </c>
      <c r="DQ33">
        <f>IF(DQ$4=0,0,IF(COUNTIFS(実績!$W$6:$W$505,DQ$3,実績!$AC$6:$AC$505,"&lt;="&amp;$A33,実績!$AD$6:$AD$505,"&gt;"&amp;$A33,実績!$AE$6:$AE$505,"○")&gt;0,1,0))</f>
        <v/>
      </c>
      <c r="DR33">
        <f>IF(DR$4=0,0,IF(COUNTIFS(実績!$W$6:$W$505,DR$3,実績!$AC$6:$AC$505,"&lt;="&amp;$A33,実績!$AD$6:$AD$505,"&gt;"&amp;$A33,実績!$AE$6:$AE$505,"○")&gt;0,1,0))</f>
        <v/>
      </c>
      <c r="DS33">
        <f>SUM(C33:DR33)</f>
        <v/>
      </c>
      <c r="DT33">
        <f>SUMPRODUCT((実績!$C$6:$C$505="○")*ISNUMBER(実績!$AF$6:$AF$505)*(実績!$AF$6:$AF$505&lt;=$A33)*(実績!$AG$6:$AG$505&gt;$A33))</f>
        <v/>
      </c>
      <c r="DU33">
        <f>SUMIF($C$2:$DR$2,"製鉄曳船",C33:DR33)</f>
        <v/>
      </c>
      <c r="DV33">
        <f>SUMIF($C$2:$DR$2,"西日本海運",C33:DR33)</f>
        <v/>
      </c>
    </row>
    <row r="34">
      <c r="A34" t="n">
        <v>140</v>
      </c>
      <c r="B34" s="29">
        <f>A34/1440</f>
        <v/>
      </c>
      <c r="C34">
        <f>IF(C$4=0,0,IF(COUNTIFS(実績!$W$6:$W$505,C$3,実績!$AC$6:$AC$505,"&lt;="&amp;$A34,実績!$AD$6:$AD$505,"&gt;"&amp;$A34,実績!$AE$6:$AE$505,"○")&gt;0,1,0))</f>
        <v/>
      </c>
      <c r="D34">
        <f>IF(D$4=0,0,IF(COUNTIFS(実績!$W$6:$W$505,D$3,実績!$AC$6:$AC$505,"&lt;="&amp;$A34,実績!$AD$6:$AD$505,"&gt;"&amp;$A34,実績!$AE$6:$AE$505,"○")&gt;0,1,0))</f>
        <v/>
      </c>
      <c r="E34">
        <f>IF(E$4=0,0,IF(COUNTIFS(実績!$W$6:$W$505,E$3,実績!$AC$6:$AC$505,"&lt;="&amp;$A34,実績!$AD$6:$AD$505,"&gt;"&amp;$A34,実績!$AE$6:$AE$505,"○")&gt;0,1,0))</f>
        <v/>
      </c>
      <c r="F34">
        <f>IF(F$4=0,0,IF(COUNTIFS(実績!$W$6:$W$505,F$3,実績!$AC$6:$AC$505,"&lt;="&amp;$A34,実績!$AD$6:$AD$505,"&gt;"&amp;$A34,実績!$AE$6:$AE$505,"○")&gt;0,1,0))</f>
        <v/>
      </c>
      <c r="G34">
        <f>IF(G$4=0,0,IF(COUNTIFS(実績!$W$6:$W$505,G$3,実績!$AC$6:$AC$505,"&lt;="&amp;$A34,実績!$AD$6:$AD$505,"&gt;"&amp;$A34,実績!$AE$6:$AE$505,"○")&gt;0,1,0))</f>
        <v/>
      </c>
      <c r="H34">
        <f>IF(H$4=0,0,IF(COUNTIFS(実績!$W$6:$W$505,H$3,実績!$AC$6:$AC$505,"&lt;="&amp;$A34,実績!$AD$6:$AD$505,"&gt;"&amp;$A34,実績!$AE$6:$AE$505,"○")&gt;0,1,0))</f>
        <v/>
      </c>
      <c r="I34">
        <f>IF(I$4=0,0,IF(COUNTIFS(実績!$W$6:$W$505,I$3,実績!$AC$6:$AC$505,"&lt;="&amp;$A34,実績!$AD$6:$AD$505,"&gt;"&amp;$A34,実績!$AE$6:$AE$505,"○")&gt;0,1,0))</f>
        <v/>
      </c>
      <c r="J34">
        <f>IF(J$4=0,0,IF(COUNTIFS(実績!$W$6:$W$505,J$3,実績!$AC$6:$AC$505,"&lt;="&amp;$A34,実績!$AD$6:$AD$505,"&gt;"&amp;$A34,実績!$AE$6:$AE$505,"○")&gt;0,1,0))</f>
        <v/>
      </c>
      <c r="K34">
        <f>IF(K$4=0,0,IF(COUNTIFS(実績!$W$6:$W$505,K$3,実績!$AC$6:$AC$505,"&lt;="&amp;$A34,実績!$AD$6:$AD$505,"&gt;"&amp;$A34,実績!$AE$6:$AE$505,"○")&gt;0,1,0))</f>
        <v/>
      </c>
      <c r="L34">
        <f>IF(L$4=0,0,IF(COUNTIFS(実績!$W$6:$W$505,L$3,実績!$AC$6:$AC$505,"&lt;="&amp;$A34,実績!$AD$6:$AD$505,"&gt;"&amp;$A34,実績!$AE$6:$AE$505,"○")&gt;0,1,0))</f>
        <v/>
      </c>
      <c r="M34">
        <f>IF(M$4=0,0,IF(COUNTIFS(実績!$W$6:$W$505,M$3,実績!$AC$6:$AC$505,"&lt;="&amp;$A34,実績!$AD$6:$AD$505,"&gt;"&amp;$A34,実績!$AE$6:$AE$505,"○")&gt;0,1,0))</f>
        <v/>
      </c>
      <c r="N34">
        <f>IF(N$4=0,0,IF(COUNTIFS(実績!$W$6:$W$505,N$3,実績!$AC$6:$AC$505,"&lt;="&amp;$A34,実績!$AD$6:$AD$505,"&gt;"&amp;$A34,実績!$AE$6:$AE$505,"○")&gt;0,1,0))</f>
        <v/>
      </c>
      <c r="O34">
        <f>IF(O$4=0,0,IF(COUNTIFS(実績!$W$6:$W$505,O$3,実績!$AC$6:$AC$505,"&lt;="&amp;$A34,実績!$AD$6:$AD$505,"&gt;"&amp;$A34,実績!$AE$6:$AE$505,"○")&gt;0,1,0))</f>
        <v/>
      </c>
      <c r="P34">
        <f>IF(P$4=0,0,IF(COUNTIFS(実績!$W$6:$W$505,P$3,実績!$AC$6:$AC$505,"&lt;="&amp;$A34,実績!$AD$6:$AD$505,"&gt;"&amp;$A34,実績!$AE$6:$AE$505,"○")&gt;0,1,0))</f>
        <v/>
      </c>
      <c r="Q34">
        <f>IF(Q$4=0,0,IF(COUNTIFS(実績!$W$6:$W$505,Q$3,実績!$AC$6:$AC$505,"&lt;="&amp;$A34,実績!$AD$6:$AD$505,"&gt;"&amp;$A34,実績!$AE$6:$AE$505,"○")&gt;0,1,0))</f>
        <v/>
      </c>
      <c r="R34">
        <f>IF(R$4=0,0,IF(COUNTIFS(実績!$W$6:$W$505,R$3,実績!$AC$6:$AC$505,"&lt;="&amp;$A34,実績!$AD$6:$AD$505,"&gt;"&amp;$A34,実績!$AE$6:$AE$505,"○")&gt;0,1,0))</f>
        <v/>
      </c>
      <c r="S34">
        <f>IF(S$4=0,0,IF(COUNTIFS(実績!$W$6:$W$505,S$3,実績!$AC$6:$AC$505,"&lt;="&amp;$A34,実績!$AD$6:$AD$505,"&gt;"&amp;$A34,実績!$AE$6:$AE$505,"○")&gt;0,1,0))</f>
        <v/>
      </c>
      <c r="T34">
        <f>IF(T$4=0,0,IF(COUNTIFS(実績!$W$6:$W$505,T$3,実績!$AC$6:$AC$505,"&lt;="&amp;$A34,実績!$AD$6:$AD$505,"&gt;"&amp;$A34,実績!$AE$6:$AE$505,"○")&gt;0,1,0))</f>
        <v/>
      </c>
      <c r="U34">
        <f>IF(U$4=0,0,IF(COUNTIFS(実績!$W$6:$W$505,U$3,実績!$AC$6:$AC$505,"&lt;="&amp;$A34,実績!$AD$6:$AD$505,"&gt;"&amp;$A34,実績!$AE$6:$AE$505,"○")&gt;0,1,0))</f>
        <v/>
      </c>
      <c r="V34">
        <f>IF(V$4=0,0,IF(COUNTIFS(実績!$W$6:$W$505,V$3,実績!$AC$6:$AC$505,"&lt;="&amp;$A34,実績!$AD$6:$AD$505,"&gt;"&amp;$A34,実績!$AE$6:$AE$505,"○")&gt;0,1,0))</f>
        <v/>
      </c>
      <c r="W34">
        <f>IF(W$4=0,0,IF(COUNTIFS(実績!$W$6:$W$505,W$3,実績!$AC$6:$AC$505,"&lt;="&amp;$A34,実績!$AD$6:$AD$505,"&gt;"&amp;$A34,実績!$AE$6:$AE$505,"○")&gt;0,1,0))</f>
        <v/>
      </c>
      <c r="X34">
        <f>IF(X$4=0,0,IF(COUNTIFS(実績!$W$6:$W$505,X$3,実績!$AC$6:$AC$505,"&lt;="&amp;$A34,実績!$AD$6:$AD$505,"&gt;"&amp;$A34,実績!$AE$6:$AE$505,"○")&gt;0,1,0))</f>
        <v/>
      </c>
      <c r="Y34">
        <f>IF(Y$4=0,0,IF(COUNTIFS(実績!$W$6:$W$505,Y$3,実績!$AC$6:$AC$505,"&lt;="&amp;$A34,実績!$AD$6:$AD$505,"&gt;"&amp;$A34,実績!$AE$6:$AE$505,"○")&gt;0,1,0))</f>
        <v/>
      </c>
      <c r="Z34">
        <f>IF(Z$4=0,0,IF(COUNTIFS(実績!$W$6:$W$505,Z$3,実績!$AC$6:$AC$505,"&lt;="&amp;$A34,実績!$AD$6:$AD$505,"&gt;"&amp;$A34,実績!$AE$6:$AE$505,"○")&gt;0,1,0))</f>
        <v/>
      </c>
      <c r="AA34">
        <f>IF(AA$4=0,0,IF(COUNTIFS(実績!$W$6:$W$505,AA$3,実績!$AC$6:$AC$505,"&lt;="&amp;$A34,実績!$AD$6:$AD$505,"&gt;"&amp;$A34,実績!$AE$6:$AE$505,"○")&gt;0,1,0))</f>
        <v/>
      </c>
      <c r="AB34">
        <f>IF(AB$4=0,0,IF(COUNTIFS(実績!$W$6:$W$505,AB$3,実績!$AC$6:$AC$505,"&lt;="&amp;$A34,実績!$AD$6:$AD$505,"&gt;"&amp;$A34,実績!$AE$6:$AE$505,"○")&gt;0,1,0))</f>
        <v/>
      </c>
      <c r="AC34">
        <f>IF(AC$4=0,0,IF(COUNTIFS(実績!$W$6:$W$505,AC$3,実績!$AC$6:$AC$505,"&lt;="&amp;$A34,実績!$AD$6:$AD$505,"&gt;"&amp;$A34,実績!$AE$6:$AE$505,"○")&gt;0,1,0))</f>
        <v/>
      </c>
      <c r="AD34">
        <f>IF(AD$4=0,0,IF(COUNTIFS(実績!$W$6:$W$505,AD$3,実績!$AC$6:$AC$505,"&lt;="&amp;$A34,実績!$AD$6:$AD$505,"&gt;"&amp;$A34,実績!$AE$6:$AE$505,"○")&gt;0,1,0))</f>
        <v/>
      </c>
      <c r="AE34">
        <f>IF(AE$4=0,0,IF(COUNTIFS(実績!$W$6:$W$505,AE$3,実績!$AC$6:$AC$505,"&lt;="&amp;$A34,実績!$AD$6:$AD$505,"&gt;"&amp;$A34,実績!$AE$6:$AE$505,"○")&gt;0,1,0))</f>
        <v/>
      </c>
      <c r="AF34">
        <f>IF(AF$4=0,0,IF(COUNTIFS(実績!$W$6:$W$505,AF$3,実績!$AC$6:$AC$505,"&lt;="&amp;$A34,実績!$AD$6:$AD$505,"&gt;"&amp;$A34,実績!$AE$6:$AE$505,"○")&gt;0,1,0))</f>
        <v/>
      </c>
      <c r="AG34">
        <f>IF(AG$4=0,0,IF(COUNTIFS(実績!$W$6:$W$505,AG$3,実績!$AC$6:$AC$505,"&lt;="&amp;$A34,実績!$AD$6:$AD$505,"&gt;"&amp;$A34,実績!$AE$6:$AE$505,"○")&gt;0,1,0))</f>
        <v/>
      </c>
      <c r="AH34">
        <f>IF(AH$4=0,0,IF(COUNTIFS(実績!$W$6:$W$505,AH$3,実績!$AC$6:$AC$505,"&lt;="&amp;$A34,実績!$AD$6:$AD$505,"&gt;"&amp;$A34,実績!$AE$6:$AE$505,"○")&gt;0,1,0))</f>
        <v/>
      </c>
      <c r="AI34">
        <f>IF(AI$4=0,0,IF(COUNTIFS(実績!$W$6:$W$505,AI$3,実績!$AC$6:$AC$505,"&lt;="&amp;$A34,実績!$AD$6:$AD$505,"&gt;"&amp;$A34,実績!$AE$6:$AE$505,"○")&gt;0,1,0))</f>
        <v/>
      </c>
      <c r="AJ34">
        <f>IF(AJ$4=0,0,IF(COUNTIFS(実績!$W$6:$W$505,AJ$3,実績!$AC$6:$AC$505,"&lt;="&amp;$A34,実績!$AD$6:$AD$505,"&gt;"&amp;$A34,実績!$AE$6:$AE$505,"○")&gt;0,1,0))</f>
        <v/>
      </c>
      <c r="AK34">
        <f>IF(AK$4=0,0,IF(COUNTIFS(実績!$W$6:$W$505,AK$3,実績!$AC$6:$AC$505,"&lt;="&amp;$A34,実績!$AD$6:$AD$505,"&gt;"&amp;$A34,実績!$AE$6:$AE$505,"○")&gt;0,1,0))</f>
        <v/>
      </c>
      <c r="AL34">
        <f>IF(AL$4=0,0,IF(COUNTIFS(実績!$W$6:$W$505,AL$3,実績!$AC$6:$AC$505,"&lt;="&amp;$A34,実績!$AD$6:$AD$505,"&gt;"&amp;$A34,実績!$AE$6:$AE$505,"○")&gt;0,1,0))</f>
        <v/>
      </c>
      <c r="AM34">
        <f>IF(AM$4=0,0,IF(COUNTIFS(実績!$W$6:$W$505,AM$3,実績!$AC$6:$AC$505,"&lt;="&amp;$A34,実績!$AD$6:$AD$505,"&gt;"&amp;$A34,実績!$AE$6:$AE$505,"○")&gt;0,1,0))</f>
        <v/>
      </c>
      <c r="AN34">
        <f>IF(AN$4=0,0,IF(COUNTIFS(実績!$W$6:$W$505,AN$3,実績!$AC$6:$AC$505,"&lt;="&amp;$A34,実績!$AD$6:$AD$505,"&gt;"&amp;$A34,実績!$AE$6:$AE$505,"○")&gt;0,1,0))</f>
        <v/>
      </c>
      <c r="AO34">
        <f>IF(AO$4=0,0,IF(COUNTIFS(実績!$W$6:$W$505,AO$3,実績!$AC$6:$AC$505,"&lt;="&amp;$A34,実績!$AD$6:$AD$505,"&gt;"&amp;$A34,実績!$AE$6:$AE$505,"○")&gt;0,1,0))</f>
        <v/>
      </c>
      <c r="AP34">
        <f>IF(AP$4=0,0,IF(COUNTIFS(実績!$W$6:$W$505,AP$3,実績!$AC$6:$AC$505,"&lt;="&amp;$A34,実績!$AD$6:$AD$505,"&gt;"&amp;$A34,実績!$AE$6:$AE$505,"○")&gt;0,1,0))</f>
        <v/>
      </c>
      <c r="AQ34">
        <f>IF(AQ$4=0,0,IF(COUNTIFS(実績!$W$6:$W$505,AQ$3,実績!$AC$6:$AC$505,"&lt;="&amp;$A34,実績!$AD$6:$AD$505,"&gt;"&amp;$A34,実績!$AE$6:$AE$505,"○")&gt;0,1,0))</f>
        <v/>
      </c>
      <c r="AR34">
        <f>IF(AR$4=0,0,IF(COUNTIFS(実績!$W$6:$W$505,AR$3,実績!$AC$6:$AC$505,"&lt;="&amp;$A34,実績!$AD$6:$AD$505,"&gt;"&amp;$A34,実績!$AE$6:$AE$505,"○")&gt;0,1,0))</f>
        <v/>
      </c>
      <c r="AS34">
        <f>IF(AS$4=0,0,IF(COUNTIFS(実績!$W$6:$W$505,AS$3,実績!$AC$6:$AC$505,"&lt;="&amp;$A34,実績!$AD$6:$AD$505,"&gt;"&amp;$A34,実績!$AE$6:$AE$505,"○")&gt;0,1,0))</f>
        <v/>
      </c>
      <c r="AT34">
        <f>IF(AT$4=0,0,IF(COUNTIFS(実績!$W$6:$W$505,AT$3,実績!$AC$6:$AC$505,"&lt;="&amp;$A34,実績!$AD$6:$AD$505,"&gt;"&amp;$A34,実績!$AE$6:$AE$505,"○")&gt;0,1,0))</f>
        <v/>
      </c>
      <c r="AU34">
        <f>IF(AU$4=0,0,IF(COUNTIFS(実績!$W$6:$W$505,AU$3,実績!$AC$6:$AC$505,"&lt;="&amp;$A34,実績!$AD$6:$AD$505,"&gt;"&amp;$A34,実績!$AE$6:$AE$505,"○")&gt;0,1,0))</f>
        <v/>
      </c>
      <c r="AV34">
        <f>IF(AV$4=0,0,IF(COUNTIFS(実績!$W$6:$W$505,AV$3,実績!$AC$6:$AC$505,"&lt;="&amp;$A34,実績!$AD$6:$AD$505,"&gt;"&amp;$A34,実績!$AE$6:$AE$505,"○")&gt;0,1,0))</f>
        <v/>
      </c>
      <c r="AW34">
        <f>IF(AW$4=0,0,IF(COUNTIFS(実績!$W$6:$W$505,AW$3,実績!$AC$6:$AC$505,"&lt;="&amp;$A34,実績!$AD$6:$AD$505,"&gt;"&amp;$A34,実績!$AE$6:$AE$505,"○")&gt;0,1,0))</f>
        <v/>
      </c>
      <c r="AX34">
        <f>IF(AX$4=0,0,IF(COUNTIFS(実績!$W$6:$W$505,AX$3,実績!$AC$6:$AC$505,"&lt;="&amp;$A34,実績!$AD$6:$AD$505,"&gt;"&amp;$A34,実績!$AE$6:$AE$505,"○")&gt;0,1,0))</f>
        <v/>
      </c>
      <c r="AY34">
        <f>IF(AY$4=0,0,IF(COUNTIFS(実績!$W$6:$W$505,AY$3,実績!$AC$6:$AC$505,"&lt;="&amp;$A34,実績!$AD$6:$AD$505,"&gt;"&amp;$A34,実績!$AE$6:$AE$505,"○")&gt;0,1,0))</f>
        <v/>
      </c>
      <c r="AZ34">
        <f>IF(AZ$4=0,0,IF(COUNTIFS(実績!$W$6:$W$505,AZ$3,実績!$AC$6:$AC$505,"&lt;="&amp;$A34,実績!$AD$6:$AD$505,"&gt;"&amp;$A34,実績!$AE$6:$AE$505,"○")&gt;0,1,0))</f>
        <v/>
      </c>
      <c r="BA34">
        <f>IF(BA$4=0,0,IF(COUNTIFS(実績!$W$6:$W$505,BA$3,実績!$AC$6:$AC$505,"&lt;="&amp;$A34,実績!$AD$6:$AD$505,"&gt;"&amp;$A34,実績!$AE$6:$AE$505,"○")&gt;0,1,0))</f>
        <v/>
      </c>
      <c r="BB34">
        <f>IF(BB$4=0,0,IF(COUNTIFS(実績!$W$6:$W$505,BB$3,実績!$AC$6:$AC$505,"&lt;="&amp;$A34,実績!$AD$6:$AD$505,"&gt;"&amp;$A34,実績!$AE$6:$AE$505,"○")&gt;0,1,0))</f>
        <v/>
      </c>
      <c r="BC34">
        <f>IF(BC$4=0,0,IF(COUNTIFS(実績!$W$6:$W$505,BC$3,実績!$AC$6:$AC$505,"&lt;="&amp;$A34,実績!$AD$6:$AD$505,"&gt;"&amp;$A34,実績!$AE$6:$AE$505,"○")&gt;0,1,0))</f>
        <v/>
      </c>
      <c r="BD34">
        <f>IF(BD$4=0,0,IF(COUNTIFS(実績!$W$6:$W$505,BD$3,実績!$AC$6:$AC$505,"&lt;="&amp;$A34,実績!$AD$6:$AD$505,"&gt;"&amp;$A34,実績!$AE$6:$AE$505,"○")&gt;0,1,0))</f>
        <v/>
      </c>
      <c r="BE34">
        <f>IF(BE$4=0,0,IF(COUNTIFS(実績!$W$6:$W$505,BE$3,実績!$AC$6:$AC$505,"&lt;="&amp;$A34,実績!$AD$6:$AD$505,"&gt;"&amp;$A34,実績!$AE$6:$AE$505,"○")&gt;0,1,0))</f>
        <v/>
      </c>
      <c r="BF34">
        <f>IF(BF$4=0,0,IF(COUNTIFS(実績!$W$6:$W$505,BF$3,実績!$AC$6:$AC$505,"&lt;="&amp;$A34,実績!$AD$6:$AD$505,"&gt;"&amp;$A34,実績!$AE$6:$AE$505,"○")&gt;0,1,0))</f>
        <v/>
      </c>
      <c r="BG34">
        <f>IF(BG$4=0,0,IF(COUNTIFS(実績!$W$6:$W$505,BG$3,実績!$AC$6:$AC$505,"&lt;="&amp;$A34,実績!$AD$6:$AD$505,"&gt;"&amp;$A34,実績!$AE$6:$AE$505,"○")&gt;0,1,0))</f>
        <v/>
      </c>
      <c r="BH34">
        <f>IF(BH$4=0,0,IF(COUNTIFS(実績!$W$6:$W$505,BH$3,実績!$AC$6:$AC$505,"&lt;="&amp;$A34,実績!$AD$6:$AD$505,"&gt;"&amp;$A34,実績!$AE$6:$AE$505,"○")&gt;0,1,0))</f>
        <v/>
      </c>
      <c r="BI34">
        <f>IF(BI$4=0,0,IF(COUNTIFS(実績!$W$6:$W$505,BI$3,実績!$AC$6:$AC$505,"&lt;="&amp;$A34,実績!$AD$6:$AD$505,"&gt;"&amp;$A34,実績!$AE$6:$AE$505,"○")&gt;0,1,0))</f>
        <v/>
      </c>
      <c r="BJ34">
        <f>IF(BJ$4=0,0,IF(COUNTIFS(実績!$W$6:$W$505,BJ$3,実績!$AC$6:$AC$505,"&lt;="&amp;$A34,実績!$AD$6:$AD$505,"&gt;"&amp;$A34,実績!$AE$6:$AE$505,"○")&gt;0,1,0))</f>
        <v/>
      </c>
      <c r="BK34">
        <f>IF(BK$4=0,0,IF(COUNTIFS(実績!$W$6:$W$505,BK$3,実績!$AC$6:$AC$505,"&lt;="&amp;$A34,実績!$AD$6:$AD$505,"&gt;"&amp;$A34,実績!$AE$6:$AE$505,"○")&gt;0,1,0))</f>
        <v/>
      </c>
      <c r="BL34">
        <f>IF(BL$4=0,0,IF(COUNTIFS(実績!$W$6:$W$505,BL$3,実績!$AC$6:$AC$505,"&lt;="&amp;$A34,実績!$AD$6:$AD$505,"&gt;"&amp;$A34,実績!$AE$6:$AE$505,"○")&gt;0,1,0))</f>
        <v/>
      </c>
      <c r="BM34">
        <f>IF(BM$4=0,0,IF(COUNTIFS(実績!$W$6:$W$505,BM$3,実績!$AC$6:$AC$505,"&lt;="&amp;$A34,実績!$AD$6:$AD$505,"&gt;"&amp;$A34,実績!$AE$6:$AE$505,"○")&gt;0,1,0))</f>
        <v/>
      </c>
      <c r="BN34">
        <f>IF(BN$4=0,0,IF(COUNTIFS(実績!$W$6:$W$505,BN$3,実績!$AC$6:$AC$505,"&lt;="&amp;$A34,実績!$AD$6:$AD$505,"&gt;"&amp;$A34,実績!$AE$6:$AE$505,"○")&gt;0,1,0))</f>
        <v/>
      </c>
      <c r="BO34">
        <f>IF(BO$4=0,0,IF(COUNTIFS(実績!$W$6:$W$505,BO$3,実績!$AC$6:$AC$505,"&lt;="&amp;$A34,実績!$AD$6:$AD$505,"&gt;"&amp;$A34,実績!$AE$6:$AE$505,"○")&gt;0,1,0))</f>
        <v/>
      </c>
      <c r="BP34">
        <f>IF(BP$4=0,0,IF(COUNTIFS(実績!$W$6:$W$505,BP$3,実績!$AC$6:$AC$505,"&lt;="&amp;$A34,実績!$AD$6:$AD$505,"&gt;"&amp;$A34,実績!$AE$6:$AE$505,"○")&gt;0,1,0))</f>
        <v/>
      </c>
      <c r="BQ34">
        <f>IF(BQ$4=0,0,IF(COUNTIFS(実績!$W$6:$W$505,BQ$3,実績!$AC$6:$AC$505,"&lt;="&amp;$A34,実績!$AD$6:$AD$505,"&gt;"&amp;$A34,実績!$AE$6:$AE$505,"○")&gt;0,1,0))</f>
        <v/>
      </c>
      <c r="BR34">
        <f>IF(BR$4=0,0,IF(COUNTIFS(実績!$W$6:$W$505,BR$3,実績!$AC$6:$AC$505,"&lt;="&amp;$A34,実績!$AD$6:$AD$505,"&gt;"&amp;$A34,実績!$AE$6:$AE$505,"○")&gt;0,1,0))</f>
        <v/>
      </c>
      <c r="BS34">
        <f>IF(BS$4=0,0,IF(COUNTIFS(実績!$W$6:$W$505,BS$3,実績!$AC$6:$AC$505,"&lt;="&amp;$A34,実績!$AD$6:$AD$505,"&gt;"&amp;$A34,実績!$AE$6:$AE$505,"○")&gt;0,1,0))</f>
        <v/>
      </c>
      <c r="BT34">
        <f>IF(BT$4=0,0,IF(COUNTIFS(実績!$W$6:$W$505,BT$3,実績!$AC$6:$AC$505,"&lt;="&amp;$A34,実績!$AD$6:$AD$505,"&gt;"&amp;$A34,実績!$AE$6:$AE$505,"○")&gt;0,1,0))</f>
        <v/>
      </c>
      <c r="BU34">
        <f>IF(BU$4=0,0,IF(COUNTIFS(実績!$W$6:$W$505,BU$3,実績!$AC$6:$AC$505,"&lt;="&amp;$A34,実績!$AD$6:$AD$505,"&gt;"&amp;$A34,実績!$AE$6:$AE$505,"○")&gt;0,1,0))</f>
        <v/>
      </c>
      <c r="BV34">
        <f>IF(BV$4=0,0,IF(COUNTIFS(実績!$W$6:$W$505,BV$3,実績!$AC$6:$AC$505,"&lt;="&amp;$A34,実績!$AD$6:$AD$505,"&gt;"&amp;$A34,実績!$AE$6:$AE$505,"○")&gt;0,1,0))</f>
        <v/>
      </c>
      <c r="BW34">
        <f>IF(BW$4=0,0,IF(COUNTIFS(実績!$W$6:$W$505,BW$3,実績!$AC$6:$AC$505,"&lt;="&amp;$A34,実績!$AD$6:$AD$505,"&gt;"&amp;$A34,実績!$AE$6:$AE$505,"○")&gt;0,1,0))</f>
        <v/>
      </c>
      <c r="BX34">
        <f>IF(BX$4=0,0,IF(COUNTIFS(実績!$W$6:$W$505,BX$3,実績!$AC$6:$AC$505,"&lt;="&amp;$A34,実績!$AD$6:$AD$505,"&gt;"&amp;$A34,実績!$AE$6:$AE$505,"○")&gt;0,1,0))</f>
        <v/>
      </c>
      <c r="BY34">
        <f>IF(BY$4=0,0,IF(COUNTIFS(実績!$W$6:$W$505,BY$3,実績!$AC$6:$AC$505,"&lt;="&amp;$A34,実績!$AD$6:$AD$505,"&gt;"&amp;$A34,実績!$AE$6:$AE$505,"○")&gt;0,1,0))</f>
        <v/>
      </c>
      <c r="BZ34">
        <f>IF(BZ$4=0,0,IF(COUNTIFS(実績!$W$6:$W$505,BZ$3,実績!$AC$6:$AC$505,"&lt;="&amp;$A34,実績!$AD$6:$AD$505,"&gt;"&amp;$A34,実績!$AE$6:$AE$505,"○")&gt;0,1,0))</f>
        <v/>
      </c>
      <c r="CA34">
        <f>IF(CA$4=0,0,IF(COUNTIFS(実績!$W$6:$W$505,CA$3,実績!$AC$6:$AC$505,"&lt;="&amp;$A34,実績!$AD$6:$AD$505,"&gt;"&amp;$A34,実績!$AE$6:$AE$505,"○")&gt;0,1,0))</f>
        <v/>
      </c>
      <c r="CB34">
        <f>IF(CB$4=0,0,IF(COUNTIFS(実績!$W$6:$W$505,CB$3,実績!$AC$6:$AC$505,"&lt;="&amp;$A34,実績!$AD$6:$AD$505,"&gt;"&amp;$A34,実績!$AE$6:$AE$505,"○")&gt;0,1,0))</f>
        <v/>
      </c>
      <c r="CC34">
        <f>IF(CC$4=0,0,IF(COUNTIFS(実績!$W$6:$W$505,CC$3,実績!$AC$6:$AC$505,"&lt;="&amp;$A34,実績!$AD$6:$AD$505,"&gt;"&amp;$A34,実績!$AE$6:$AE$505,"○")&gt;0,1,0))</f>
        <v/>
      </c>
      <c r="CD34">
        <f>IF(CD$4=0,0,IF(COUNTIFS(実績!$W$6:$W$505,CD$3,実績!$AC$6:$AC$505,"&lt;="&amp;$A34,実績!$AD$6:$AD$505,"&gt;"&amp;$A34,実績!$AE$6:$AE$505,"○")&gt;0,1,0))</f>
        <v/>
      </c>
      <c r="CE34">
        <f>IF(CE$4=0,0,IF(COUNTIFS(実績!$W$6:$W$505,CE$3,実績!$AC$6:$AC$505,"&lt;="&amp;$A34,実績!$AD$6:$AD$505,"&gt;"&amp;$A34,実績!$AE$6:$AE$505,"○")&gt;0,1,0))</f>
        <v/>
      </c>
      <c r="CF34">
        <f>IF(CF$4=0,0,IF(COUNTIFS(実績!$W$6:$W$505,CF$3,実績!$AC$6:$AC$505,"&lt;="&amp;$A34,実績!$AD$6:$AD$505,"&gt;"&amp;$A34,実績!$AE$6:$AE$505,"○")&gt;0,1,0))</f>
        <v/>
      </c>
      <c r="CG34">
        <f>IF(CG$4=0,0,IF(COUNTIFS(実績!$W$6:$W$505,CG$3,実績!$AC$6:$AC$505,"&lt;="&amp;$A34,実績!$AD$6:$AD$505,"&gt;"&amp;$A34,実績!$AE$6:$AE$505,"○")&gt;0,1,0))</f>
        <v/>
      </c>
      <c r="CH34">
        <f>IF(CH$4=0,0,IF(COUNTIFS(実績!$W$6:$W$505,CH$3,実績!$AC$6:$AC$505,"&lt;="&amp;$A34,実績!$AD$6:$AD$505,"&gt;"&amp;$A34,実績!$AE$6:$AE$505,"○")&gt;0,1,0))</f>
        <v/>
      </c>
      <c r="CI34">
        <f>IF(CI$4=0,0,IF(COUNTIFS(実績!$W$6:$W$505,CI$3,実績!$AC$6:$AC$505,"&lt;="&amp;$A34,実績!$AD$6:$AD$505,"&gt;"&amp;$A34,実績!$AE$6:$AE$505,"○")&gt;0,1,0))</f>
        <v/>
      </c>
      <c r="CJ34">
        <f>IF(CJ$4=0,0,IF(COUNTIFS(実績!$W$6:$W$505,CJ$3,実績!$AC$6:$AC$505,"&lt;="&amp;$A34,実績!$AD$6:$AD$505,"&gt;"&amp;$A34,実績!$AE$6:$AE$505,"○")&gt;0,1,0))</f>
        <v/>
      </c>
      <c r="CK34">
        <f>IF(CK$4=0,0,IF(COUNTIFS(実績!$W$6:$W$505,CK$3,実績!$AC$6:$AC$505,"&lt;="&amp;$A34,実績!$AD$6:$AD$505,"&gt;"&amp;$A34,実績!$AE$6:$AE$505,"○")&gt;0,1,0))</f>
        <v/>
      </c>
      <c r="CL34">
        <f>IF(CL$4=0,0,IF(COUNTIFS(実績!$W$6:$W$505,CL$3,実績!$AC$6:$AC$505,"&lt;="&amp;$A34,実績!$AD$6:$AD$505,"&gt;"&amp;$A34,実績!$AE$6:$AE$505,"○")&gt;0,1,0))</f>
        <v/>
      </c>
      <c r="CM34">
        <f>IF(CM$4=0,0,IF(COUNTIFS(実績!$W$6:$W$505,CM$3,実績!$AC$6:$AC$505,"&lt;="&amp;$A34,実績!$AD$6:$AD$505,"&gt;"&amp;$A34,実績!$AE$6:$AE$505,"○")&gt;0,1,0))</f>
        <v/>
      </c>
      <c r="CN34">
        <f>IF(CN$4=0,0,IF(COUNTIFS(実績!$W$6:$W$505,CN$3,実績!$AC$6:$AC$505,"&lt;="&amp;$A34,実績!$AD$6:$AD$505,"&gt;"&amp;$A34,実績!$AE$6:$AE$505,"○")&gt;0,1,0))</f>
        <v/>
      </c>
      <c r="CO34">
        <f>IF(CO$4=0,0,IF(COUNTIFS(実績!$W$6:$W$505,CO$3,実績!$AC$6:$AC$505,"&lt;="&amp;$A34,実績!$AD$6:$AD$505,"&gt;"&amp;$A34,実績!$AE$6:$AE$505,"○")&gt;0,1,0))</f>
        <v/>
      </c>
      <c r="CP34">
        <f>IF(CP$4=0,0,IF(COUNTIFS(実績!$W$6:$W$505,CP$3,実績!$AC$6:$AC$505,"&lt;="&amp;$A34,実績!$AD$6:$AD$505,"&gt;"&amp;$A34,実績!$AE$6:$AE$505,"○")&gt;0,1,0))</f>
        <v/>
      </c>
      <c r="CQ34">
        <f>IF(CQ$4=0,0,IF(COUNTIFS(実績!$W$6:$W$505,CQ$3,実績!$AC$6:$AC$505,"&lt;="&amp;$A34,実績!$AD$6:$AD$505,"&gt;"&amp;$A34,実績!$AE$6:$AE$505,"○")&gt;0,1,0))</f>
        <v/>
      </c>
      <c r="CR34">
        <f>IF(CR$4=0,0,IF(COUNTIFS(実績!$W$6:$W$505,CR$3,実績!$AC$6:$AC$505,"&lt;="&amp;$A34,実績!$AD$6:$AD$505,"&gt;"&amp;$A34,実績!$AE$6:$AE$505,"○")&gt;0,1,0))</f>
        <v/>
      </c>
      <c r="CS34">
        <f>IF(CS$4=0,0,IF(COUNTIFS(実績!$W$6:$W$505,CS$3,実績!$AC$6:$AC$505,"&lt;="&amp;$A34,実績!$AD$6:$AD$505,"&gt;"&amp;$A34,実績!$AE$6:$AE$505,"○")&gt;0,1,0))</f>
        <v/>
      </c>
      <c r="CT34">
        <f>IF(CT$4=0,0,IF(COUNTIFS(実績!$W$6:$W$505,CT$3,実績!$AC$6:$AC$505,"&lt;="&amp;$A34,実績!$AD$6:$AD$505,"&gt;"&amp;$A34,実績!$AE$6:$AE$505,"○")&gt;0,1,0))</f>
        <v/>
      </c>
      <c r="CU34">
        <f>IF(CU$4=0,0,IF(COUNTIFS(実績!$W$6:$W$505,CU$3,実績!$AC$6:$AC$505,"&lt;="&amp;$A34,実績!$AD$6:$AD$505,"&gt;"&amp;$A34,実績!$AE$6:$AE$505,"○")&gt;0,1,0))</f>
        <v/>
      </c>
      <c r="CV34">
        <f>IF(CV$4=0,0,IF(COUNTIFS(実績!$W$6:$W$505,CV$3,実績!$AC$6:$AC$505,"&lt;="&amp;$A34,実績!$AD$6:$AD$505,"&gt;"&amp;$A34,実績!$AE$6:$AE$505,"○")&gt;0,1,0))</f>
        <v/>
      </c>
      <c r="CW34">
        <f>IF(CW$4=0,0,IF(COUNTIFS(実績!$W$6:$W$505,CW$3,実績!$AC$6:$AC$505,"&lt;="&amp;$A34,実績!$AD$6:$AD$505,"&gt;"&amp;$A34,実績!$AE$6:$AE$505,"○")&gt;0,1,0))</f>
        <v/>
      </c>
      <c r="CX34">
        <f>IF(CX$4=0,0,IF(COUNTIFS(実績!$W$6:$W$505,CX$3,実績!$AC$6:$AC$505,"&lt;="&amp;$A34,実績!$AD$6:$AD$505,"&gt;"&amp;$A34,実績!$AE$6:$AE$505,"○")&gt;0,1,0))</f>
        <v/>
      </c>
      <c r="CY34">
        <f>IF(CY$4=0,0,IF(COUNTIFS(実績!$W$6:$W$505,CY$3,実績!$AC$6:$AC$505,"&lt;="&amp;$A34,実績!$AD$6:$AD$505,"&gt;"&amp;$A34,実績!$AE$6:$AE$505,"○")&gt;0,1,0))</f>
        <v/>
      </c>
      <c r="CZ34">
        <f>IF(CZ$4=0,0,IF(COUNTIFS(実績!$W$6:$W$505,CZ$3,実績!$AC$6:$AC$505,"&lt;="&amp;$A34,実績!$AD$6:$AD$505,"&gt;"&amp;$A34,実績!$AE$6:$AE$505,"○")&gt;0,1,0))</f>
        <v/>
      </c>
      <c r="DA34">
        <f>IF(DA$4=0,0,IF(COUNTIFS(実績!$W$6:$W$505,DA$3,実績!$AC$6:$AC$505,"&lt;="&amp;$A34,実績!$AD$6:$AD$505,"&gt;"&amp;$A34,実績!$AE$6:$AE$505,"○")&gt;0,1,0))</f>
        <v/>
      </c>
      <c r="DB34">
        <f>IF(DB$4=0,0,IF(COUNTIFS(実績!$W$6:$W$505,DB$3,実績!$AC$6:$AC$505,"&lt;="&amp;$A34,実績!$AD$6:$AD$505,"&gt;"&amp;$A34,実績!$AE$6:$AE$505,"○")&gt;0,1,0))</f>
        <v/>
      </c>
      <c r="DC34">
        <f>IF(DC$4=0,0,IF(COUNTIFS(実績!$W$6:$W$505,DC$3,実績!$AC$6:$AC$505,"&lt;="&amp;$A34,実績!$AD$6:$AD$505,"&gt;"&amp;$A34,実績!$AE$6:$AE$505,"○")&gt;0,1,0))</f>
        <v/>
      </c>
      <c r="DD34">
        <f>IF(DD$4=0,0,IF(COUNTIFS(実績!$W$6:$W$505,DD$3,実績!$AC$6:$AC$505,"&lt;="&amp;$A34,実績!$AD$6:$AD$505,"&gt;"&amp;$A34,実績!$AE$6:$AE$505,"○")&gt;0,1,0))</f>
        <v/>
      </c>
      <c r="DE34">
        <f>IF(DE$4=0,0,IF(COUNTIFS(実績!$W$6:$W$505,DE$3,実績!$AC$6:$AC$505,"&lt;="&amp;$A34,実績!$AD$6:$AD$505,"&gt;"&amp;$A34,実績!$AE$6:$AE$505,"○")&gt;0,1,0))</f>
        <v/>
      </c>
      <c r="DF34">
        <f>IF(DF$4=0,0,IF(COUNTIFS(実績!$W$6:$W$505,DF$3,実績!$AC$6:$AC$505,"&lt;="&amp;$A34,実績!$AD$6:$AD$505,"&gt;"&amp;$A34,実績!$AE$6:$AE$505,"○")&gt;0,1,0))</f>
        <v/>
      </c>
      <c r="DG34">
        <f>IF(DG$4=0,0,IF(COUNTIFS(実績!$W$6:$W$505,DG$3,実績!$AC$6:$AC$505,"&lt;="&amp;$A34,実績!$AD$6:$AD$505,"&gt;"&amp;$A34,実績!$AE$6:$AE$505,"○")&gt;0,1,0))</f>
        <v/>
      </c>
      <c r="DH34">
        <f>IF(DH$4=0,0,IF(COUNTIFS(実績!$W$6:$W$505,DH$3,実績!$AC$6:$AC$505,"&lt;="&amp;$A34,実績!$AD$6:$AD$505,"&gt;"&amp;$A34,実績!$AE$6:$AE$505,"○")&gt;0,1,0))</f>
        <v/>
      </c>
      <c r="DI34">
        <f>IF(DI$4=0,0,IF(COUNTIFS(実績!$W$6:$W$505,DI$3,実績!$AC$6:$AC$505,"&lt;="&amp;$A34,実績!$AD$6:$AD$505,"&gt;"&amp;$A34,実績!$AE$6:$AE$505,"○")&gt;0,1,0))</f>
        <v/>
      </c>
      <c r="DJ34">
        <f>IF(DJ$4=0,0,IF(COUNTIFS(実績!$W$6:$W$505,DJ$3,実績!$AC$6:$AC$505,"&lt;="&amp;$A34,実績!$AD$6:$AD$505,"&gt;"&amp;$A34,実績!$AE$6:$AE$505,"○")&gt;0,1,0))</f>
        <v/>
      </c>
      <c r="DK34">
        <f>IF(DK$4=0,0,IF(COUNTIFS(実績!$W$6:$W$505,DK$3,実績!$AC$6:$AC$505,"&lt;="&amp;$A34,実績!$AD$6:$AD$505,"&gt;"&amp;$A34,実績!$AE$6:$AE$505,"○")&gt;0,1,0))</f>
        <v/>
      </c>
      <c r="DL34">
        <f>IF(DL$4=0,0,IF(COUNTIFS(実績!$W$6:$W$505,DL$3,実績!$AC$6:$AC$505,"&lt;="&amp;$A34,実績!$AD$6:$AD$505,"&gt;"&amp;$A34,実績!$AE$6:$AE$505,"○")&gt;0,1,0))</f>
        <v/>
      </c>
      <c r="DM34">
        <f>IF(DM$4=0,0,IF(COUNTIFS(実績!$W$6:$W$505,DM$3,実績!$AC$6:$AC$505,"&lt;="&amp;$A34,実績!$AD$6:$AD$505,"&gt;"&amp;$A34,実績!$AE$6:$AE$505,"○")&gt;0,1,0))</f>
        <v/>
      </c>
      <c r="DN34">
        <f>IF(DN$4=0,0,IF(COUNTIFS(実績!$W$6:$W$505,DN$3,実績!$AC$6:$AC$505,"&lt;="&amp;$A34,実績!$AD$6:$AD$505,"&gt;"&amp;$A34,実績!$AE$6:$AE$505,"○")&gt;0,1,0))</f>
        <v/>
      </c>
      <c r="DO34">
        <f>IF(DO$4=0,0,IF(COUNTIFS(実績!$W$6:$W$505,DO$3,実績!$AC$6:$AC$505,"&lt;="&amp;$A34,実績!$AD$6:$AD$505,"&gt;"&amp;$A34,実績!$AE$6:$AE$505,"○")&gt;0,1,0))</f>
        <v/>
      </c>
      <c r="DP34">
        <f>IF(DP$4=0,0,IF(COUNTIFS(実績!$W$6:$W$505,DP$3,実績!$AC$6:$AC$505,"&lt;="&amp;$A34,実績!$AD$6:$AD$505,"&gt;"&amp;$A34,実績!$AE$6:$AE$505,"○")&gt;0,1,0))</f>
        <v/>
      </c>
      <c r="DQ34">
        <f>IF(DQ$4=0,0,IF(COUNTIFS(実績!$W$6:$W$505,DQ$3,実績!$AC$6:$AC$505,"&lt;="&amp;$A34,実績!$AD$6:$AD$505,"&gt;"&amp;$A34,実績!$AE$6:$AE$505,"○")&gt;0,1,0))</f>
        <v/>
      </c>
      <c r="DR34">
        <f>IF(DR$4=0,0,IF(COUNTIFS(実績!$W$6:$W$505,DR$3,実績!$AC$6:$AC$505,"&lt;="&amp;$A34,実績!$AD$6:$AD$505,"&gt;"&amp;$A34,実績!$AE$6:$AE$505,"○")&gt;0,1,0))</f>
        <v/>
      </c>
      <c r="DS34">
        <f>SUM(C34:DR34)</f>
        <v/>
      </c>
      <c r="DT34">
        <f>SUMPRODUCT((実績!$C$6:$C$505="○")*ISNUMBER(実績!$AF$6:$AF$505)*(実績!$AF$6:$AF$505&lt;=$A34)*(実績!$AG$6:$AG$505&gt;$A34))</f>
        <v/>
      </c>
      <c r="DU34">
        <f>SUMIF($C$2:$DR$2,"製鉄曳船",C34:DR34)</f>
        <v/>
      </c>
      <c r="DV34">
        <f>SUMIF($C$2:$DR$2,"西日本海運",C34:DR34)</f>
        <v/>
      </c>
    </row>
    <row r="35">
      <c r="A35" t="n">
        <v>145</v>
      </c>
      <c r="B35" s="29">
        <f>A35/1440</f>
        <v/>
      </c>
      <c r="C35">
        <f>IF(C$4=0,0,IF(COUNTIFS(実績!$W$6:$W$505,C$3,実績!$AC$6:$AC$505,"&lt;="&amp;$A35,実績!$AD$6:$AD$505,"&gt;"&amp;$A35,実績!$AE$6:$AE$505,"○")&gt;0,1,0))</f>
        <v/>
      </c>
      <c r="D35">
        <f>IF(D$4=0,0,IF(COUNTIFS(実績!$W$6:$W$505,D$3,実績!$AC$6:$AC$505,"&lt;="&amp;$A35,実績!$AD$6:$AD$505,"&gt;"&amp;$A35,実績!$AE$6:$AE$505,"○")&gt;0,1,0))</f>
        <v/>
      </c>
      <c r="E35">
        <f>IF(E$4=0,0,IF(COUNTIFS(実績!$W$6:$W$505,E$3,実績!$AC$6:$AC$505,"&lt;="&amp;$A35,実績!$AD$6:$AD$505,"&gt;"&amp;$A35,実績!$AE$6:$AE$505,"○")&gt;0,1,0))</f>
        <v/>
      </c>
      <c r="F35">
        <f>IF(F$4=0,0,IF(COUNTIFS(実績!$W$6:$W$505,F$3,実績!$AC$6:$AC$505,"&lt;="&amp;$A35,実績!$AD$6:$AD$505,"&gt;"&amp;$A35,実績!$AE$6:$AE$505,"○")&gt;0,1,0))</f>
        <v/>
      </c>
      <c r="G35">
        <f>IF(G$4=0,0,IF(COUNTIFS(実績!$W$6:$W$505,G$3,実績!$AC$6:$AC$505,"&lt;="&amp;$A35,実績!$AD$6:$AD$505,"&gt;"&amp;$A35,実績!$AE$6:$AE$505,"○")&gt;0,1,0))</f>
        <v/>
      </c>
      <c r="H35">
        <f>IF(H$4=0,0,IF(COUNTIFS(実績!$W$6:$W$505,H$3,実績!$AC$6:$AC$505,"&lt;="&amp;$A35,実績!$AD$6:$AD$505,"&gt;"&amp;$A35,実績!$AE$6:$AE$505,"○")&gt;0,1,0))</f>
        <v/>
      </c>
      <c r="I35">
        <f>IF(I$4=0,0,IF(COUNTIFS(実績!$W$6:$W$505,I$3,実績!$AC$6:$AC$505,"&lt;="&amp;$A35,実績!$AD$6:$AD$505,"&gt;"&amp;$A35,実績!$AE$6:$AE$505,"○")&gt;0,1,0))</f>
        <v/>
      </c>
      <c r="J35">
        <f>IF(J$4=0,0,IF(COUNTIFS(実績!$W$6:$W$505,J$3,実績!$AC$6:$AC$505,"&lt;="&amp;$A35,実績!$AD$6:$AD$505,"&gt;"&amp;$A35,実績!$AE$6:$AE$505,"○")&gt;0,1,0))</f>
        <v/>
      </c>
      <c r="K35">
        <f>IF(K$4=0,0,IF(COUNTIFS(実績!$W$6:$W$505,K$3,実績!$AC$6:$AC$505,"&lt;="&amp;$A35,実績!$AD$6:$AD$505,"&gt;"&amp;$A35,実績!$AE$6:$AE$505,"○")&gt;0,1,0))</f>
        <v/>
      </c>
      <c r="L35">
        <f>IF(L$4=0,0,IF(COUNTIFS(実績!$W$6:$W$505,L$3,実績!$AC$6:$AC$505,"&lt;="&amp;$A35,実績!$AD$6:$AD$505,"&gt;"&amp;$A35,実績!$AE$6:$AE$505,"○")&gt;0,1,0))</f>
        <v/>
      </c>
      <c r="M35">
        <f>IF(M$4=0,0,IF(COUNTIFS(実績!$W$6:$W$505,M$3,実績!$AC$6:$AC$505,"&lt;="&amp;$A35,実績!$AD$6:$AD$505,"&gt;"&amp;$A35,実績!$AE$6:$AE$505,"○")&gt;0,1,0))</f>
        <v/>
      </c>
      <c r="N35">
        <f>IF(N$4=0,0,IF(COUNTIFS(実績!$W$6:$W$505,N$3,実績!$AC$6:$AC$505,"&lt;="&amp;$A35,実績!$AD$6:$AD$505,"&gt;"&amp;$A35,実績!$AE$6:$AE$505,"○")&gt;0,1,0))</f>
        <v/>
      </c>
      <c r="O35">
        <f>IF(O$4=0,0,IF(COUNTIFS(実績!$W$6:$W$505,O$3,実績!$AC$6:$AC$505,"&lt;="&amp;$A35,実績!$AD$6:$AD$505,"&gt;"&amp;$A35,実績!$AE$6:$AE$505,"○")&gt;0,1,0))</f>
        <v/>
      </c>
      <c r="P35">
        <f>IF(P$4=0,0,IF(COUNTIFS(実績!$W$6:$W$505,P$3,実績!$AC$6:$AC$505,"&lt;="&amp;$A35,実績!$AD$6:$AD$505,"&gt;"&amp;$A35,実績!$AE$6:$AE$505,"○")&gt;0,1,0))</f>
        <v/>
      </c>
      <c r="Q35">
        <f>IF(Q$4=0,0,IF(COUNTIFS(実績!$W$6:$W$505,Q$3,実績!$AC$6:$AC$505,"&lt;="&amp;$A35,実績!$AD$6:$AD$505,"&gt;"&amp;$A35,実績!$AE$6:$AE$505,"○")&gt;0,1,0))</f>
        <v/>
      </c>
      <c r="R35">
        <f>IF(R$4=0,0,IF(COUNTIFS(実績!$W$6:$W$505,R$3,実績!$AC$6:$AC$505,"&lt;="&amp;$A35,実績!$AD$6:$AD$505,"&gt;"&amp;$A35,実績!$AE$6:$AE$505,"○")&gt;0,1,0))</f>
        <v/>
      </c>
      <c r="S35">
        <f>IF(S$4=0,0,IF(COUNTIFS(実績!$W$6:$W$505,S$3,実績!$AC$6:$AC$505,"&lt;="&amp;$A35,実績!$AD$6:$AD$505,"&gt;"&amp;$A35,実績!$AE$6:$AE$505,"○")&gt;0,1,0))</f>
        <v/>
      </c>
      <c r="T35">
        <f>IF(T$4=0,0,IF(COUNTIFS(実績!$W$6:$W$505,T$3,実績!$AC$6:$AC$505,"&lt;="&amp;$A35,実績!$AD$6:$AD$505,"&gt;"&amp;$A35,実績!$AE$6:$AE$505,"○")&gt;0,1,0))</f>
        <v/>
      </c>
      <c r="U35">
        <f>IF(U$4=0,0,IF(COUNTIFS(実績!$W$6:$W$505,U$3,実績!$AC$6:$AC$505,"&lt;="&amp;$A35,実績!$AD$6:$AD$505,"&gt;"&amp;$A35,実績!$AE$6:$AE$505,"○")&gt;0,1,0))</f>
        <v/>
      </c>
      <c r="V35">
        <f>IF(V$4=0,0,IF(COUNTIFS(実績!$W$6:$W$505,V$3,実績!$AC$6:$AC$505,"&lt;="&amp;$A35,実績!$AD$6:$AD$505,"&gt;"&amp;$A35,実績!$AE$6:$AE$505,"○")&gt;0,1,0))</f>
        <v/>
      </c>
      <c r="W35">
        <f>IF(W$4=0,0,IF(COUNTIFS(実績!$W$6:$W$505,W$3,実績!$AC$6:$AC$505,"&lt;="&amp;$A35,実績!$AD$6:$AD$505,"&gt;"&amp;$A35,実績!$AE$6:$AE$505,"○")&gt;0,1,0))</f>
        <v/>
      </c>
      <c r="X35">
        <f>IF(X$4=0,0,IF(COUNTIFS(実績!$W$6:$W$505,X$3,実績!$AC$6:$AC$505,"&lt;="&amp;$A35,実績!$AD$6:$AD$505,"&gt;"&amp;$A35,実績!$AE$6:$AE$505,"○")&gt;0,1,0))</f>
        <v/>
      </c>
      <c r="Y35">
        <f>IF(Y$4=0,0,IF(COUNTIFS(実績!$W$6:$W$505,Y$3,実績!$AC$6:$AC$505,"&lt;="&amp;$A35,実績!$AD$6:$AD$505,"&gt;"&amp;$A35,実績!$AE$6:$AE$505,"○")&gt;0,1,0))</f>
        <v/>
      </c>
      <c r="Z35">
        <f>IF(Z$4=0,0,IF(COUNTIFS(実績!$W$6:$W$505,Z$3,実績!$AC$6:$AC$505,"&lt;="&amp;$A35,実績!$AD$6:$AD$505,"&gt;"&amp;$A35,実績!$AE$6:$AE$505,"○")&gt;0,1,0))</f>
        <v/>
      </c>
      <c r="AA35">
        <f>IF(AA$4=0,0,IF(COUNTIFS(実績!$W$6:$W$505,AA$3,実績!$AC$6:$AC$505,"&lt;="&amp;$A35,実績!$AD$6:$AD$505,"&gt;"&amp;$A35,実績!$AE$6:$AE$505,"○")&gt;0,1,0))</f>
        <v/>
      </c>
      <c r="AB35">
        <f>IF(AB$4=0,0,IF(COUNTIFS(実績!$W$6:$W$505,AB$3,実績!$AC$6:$AC$505,"&lt;="&amp;$A35,実績!$AD$6:$AD$505,"&gt;"&amp;$A35,実績!$AE$6:$AE$505,"○")&gt;0,1,0))</f>
        <v/>
      </c>
      <c r="AC35">
        <f>IF(AC$4=0,0,IF(COUNTIFS(実績!$W$6:$W$505,AC$3,実績!$AC$6:$AC$505,"&lt;="&amp;$A35,実績!$AD$6:$AD$505,"&gt;"&amp;$A35,実績!$AE$6:$AE$505,"○")&gt;0,1,0))</f>
        <v/>
      </c>
      <c r="AD35">
        <f>IF(AD$4=0,0,IF(COUNTIFS(実績!$W$6:$W$505,AD$3,実績!$AC$6:$AC$505,"&lt;="&amp;$A35,実績!$AD$6:$AD$505,"&gt;"&amp;$A35,実績!$AE$6:$AE$505,"○")&gt;0,1,0))</f>
        <v/>
      </c>
      <c r="AE35">
        <f>IF(AE$4=0,0,IF(COUNTIFS(実績!$W$6:$W$505,AE$3,実績!$AC$6:$AC$505,"&lt;="&amp;$A35,実績!$AD$6:$AD$505,"&gt;"&amp;$A35,実績!$AE$6:$AE$505,"○")&gt;0,1,0))</f>
        <v/>
      </c>
      <c r="AF35">
        <f>IF(AF$4=0,0,IF(COUNTIFS(実績!$W$6:$W$505,AF$3,実績!$AC$6:$AC$505,"&lt;="&amp;$A35,実績!$AD$6:$AD$505,"&gt;"&amp;$A35,実績!$AE$6:$AE$505,"○")&gt;0,1,0))</f>
        <v/>
      </c>
      <c r="AG35">
        <f>IF(AG$4=0,0,IF(COUNTIFS(実績!$W$6:$W$505,AG$3,実績!$AC$6:$AC$505,"&lt;="&amp;$A35,実績!$AD$6:$AD$505,"&gt;"&amp;$A35,実績!$AE$6:$AE$505,"○")&gt;0,1,0))</f>
        <v/>
      </c>
      <c r="AH35">
        <f>IF(AH$4=0,0,IF(COUNTIFS(実績!$W$6:$W$505,AH$3,実績!$AC$6:$AC$505,"&lt;="&amp;$A35,実績!$AD$6:$AD$505,"&gt;"&amp;$A35,実績!$AE$6:$AE$505,"○")&gt;0,1,0))</f>
        <v/>
      </c>
      <c r="AI35">
        <f>IF(AI$4=0,0,IF(COUNTIFS(実績!$W$6:$W$505,AI$3,実績!$AC$6:$AC$505,"&lt;="&amp;$A35,実績!$AD$6:$AD$505,"&gt;"&amp;$A35,実績!$AE$6:$AE$505,"○")&gt;0,1,0))</f>
        <v/>
      </c>
      <c r="AJ35">
        <f>IF(AJ$4=0,0,IF(COUNTIFS(実績!$W$6:$W$505,AJ$3,実績!$AC$6:$AC$505,"&lt;="&amp;$A35,実績!$AD$6:$AD$505,"&gt;"&amp;$A35,実績!$AE$6:$AE$505,"○")&gt;0,1,0))</f>
        <v/>
      </c>
      <c r="AK35">
        <f>IF(AK$4=0,0,IF(COUNTIFS(実績!$W$6:$W$505,AK$3,実績!$AC$6:$AC$505,"&lt;="&amp;$A35,実績!$AD$6:$AD$505,"&gt;"&amp;$A35,実績!$AE$6:$AE$505,"○")&gt;0,1,0))</f>
        <v/>
      </c>
      <c r="AL35">
        <f>IF(AL$4=0,0,IF(COUNTIFS(実績!$W$6:$W$505,AL$3,実績!$AC$6:$AC$505,"&lt;="&amp;$A35,実績!$AD$6:$AD$505,"&gt;"&amp;$A35,実績!$AE$6:$AE$505,"○")&gt;0,1,0))</f>
        <v/>
      </c>
      <c r="AM35">
        <f>IF(AM$4=0,0,IF(COUNTIFS(実績!$W$6:$W$505,AM$3,実績!$AC$6:$AC$505,"&lt;="&amp;$A35,実績!$AD$6:$AD$505,"&gt;"&amp;$A35,実績!$AE$6:$AE$505,"○")&gt;0,1,0))</f>
        <v/>
      </c>
      <c r="AN35">
        <f>IF(AN$4=0,0,IF(COUNTIFS(実績!$W$6:$W$505,AN$3,実績!$AC$6:$AC$505,"&lt;="&amp;$A35,実績!$AD$6:$AD$505,"&gt;"&amp;$A35,実績!$AE$6:$AE$505,"○")&gt;0,1,0))</f>
        <v/>
      </c>
      <c r="AO35">
        <f>IF(AO$4=0,0,IF(COUNTIFS(実績!$W$6:$W$505,AO$3,実績!$AC$6:$AC$505,"&lt;="&amp;$A35,実績!$AD$6:$AD$505,"&gt;"&amp;$A35,実績!$AE$6:$AE$505,"○")&gt;0,1,0))</f>
        <v/>
      </c>
      <c r="AP35">
        <f>IF(AP$4=0,0,IF(COUNTIFS(実績!$W$6:$W$505,AP$3,実績!$AC$6:$AC$505,"&lt;="&amp;$A35,実績!$AD$6:$AD$505,"&gt;"&amp;$A35,実績!$AE$6:$AE$505,"○")&gt;0,1,0))</f>
        <v/>
      </c>
      <c r="AQ35">
        <f>IF(AQ$4=0,0,IF(COUNTIFS(実績!$W$6:$W$505,AQ$3,実績!$AC$6:$AC$505,"&lt;="&amp;$A35,実績!$AD$6:$AD$505,"&gt;"&amp;$A35,実績!$AE$6:$AE$505,"○")&gt;0,1,0))</f>
        <v/>
      </c>
      <c r="AR35">
        <f>IF(AR$4=0,0,IF(COUNTIFS(実績!$W$6:$W$505,AR$3,実績!$AC$6:$AC$505,"&lt;="&amp;$A35,実績!$AD$6:$AD$505,"&gt;"&amp;$A35,実績!$AE$6:$AE$505,"○")&gt;0,1,0))</f>
        <v/>
      </c>
      <c r="AS35">
        <f>IF(AS$4=0,0,IF(COUNTIFS(実績!$W$6:$W$505,AS$3,実績!$AC$6:$AC$505,"&lt;="&amp;$A35,実績!$AD$6:$AD$505,"&gt;"&amp;$A35,実績!$AE$6:$AE$505,"○")&gt;0,1,0))</f>
        <v/>
      </c>
      <c r="AT35">
        <f>IF(AT$4=0,0,IF(COUNTIFS(実績!$W$6:$W$505,AT$3,実績!$AC$6:$AC$505,"&lt;="&amp;$A35,実績!$AD$6:$AD$505,"&gt;"&amp;$A35,実績!$AE$6:$AE$505,"○")&gt;0,1,0))</f>
        <v/>
      </c>
      <c r="AU35">
        <f>IF(AU$4=0,0,IF(COUNTIFS(実績!$W$6:$W$505,AU$3,実績!$AC$6:$AC$505,"&lt;="&amp;$A35,実績!$AD$6:$AD$505,"&gt;"&amp;$A35,実績!$AE$6:$AE$505,"○")&gt;0,1,0))</f>
        <v/>
      </c>
      <c r="AV35">
        <f>IF(AV$4=0,0,IF(COUNTIFS(実績!$W$6:$W$505,AV$3,実績!$AC$6:$AC$505,"&lt;="&amp;$A35,実績!$AD$6:$AD$505,"&gt;"&amp;$A35,実績!$AE$6:$AE$505,"○")&gt;0,1,0))</f>
        <v/>
      </c>
      <c r="AW35">
        <f>IF(AW$4=0,0,IF(COUNTIFS(実績!$W$6:$W$505,AW$3,実績!$AC$6:$AC$505,"&lt;="&amp;$A35,実績!$AD$6:$AD$505,"&gt;"&amp;$A35,実績!$AE$6:$AE$505,"○")&gt;0,1,0))</f>
        <v/>
      </c>
      <c r="AX35">
        <f>IF(AX$4=0,0,IF(COUNTIFS(実績!$W$6:$W$505,AX$3,実績!$AC$6:$AC$505,"&lt;="&amp;$A35,実績!$AD$6:$AD$505,"&gt;"&amp;$A35,実績!$AE$6:$AE$505,"○")&gt;0,1,0))</f>
        <v/>
      </c>
      <c r="AY35">
        <f>IF(AY$4=0,0,IF(COUNTIFS(実績!$W$6:$W$505,AY$3,実績!$AC$6:$AC$505,"&lt;="&amp;$A35,実績!$AD$6:$AD$505,"&gt;"&amp;$A35,実績!$AE$6:$AE$505,"○")&gt;0,1,0))</f>
        <v/>
      </c>
      <c r="AZ35">
        <f>IF(AZ$4=0,0,IF(COUNTIFS(実績!$W$6:$W$505,AZ$3,実績!$AC$6:$AC$505,"&lt;="&amp;$A35,実績!$AD$6:$AD$505,"&gt;"&amp;$A35,実績!$AE$6:$AE$505,"○")&gt;0,1,0))</f>
        <v/>
      </c>
      <c r="BA35">
        <f>IF(BA$4=0,0,IF(COUNTIFS(実績!$W$6:$W$505,BA$3,実績!$AC$6:$AC$505,"&lt;="&amp;$A35,実績!$AD$6:$AD$505,"&gt;"&amp;$A35,実績!$AE$6:$AE$505,"○")&gt;0,1,0))</f>
        <v/>
      </c>
      <c r="BB35">
        <f>IF(BB$4=0,0,IF(COUNTIFS(実績!$W$6:$W$505,BB$3,実績!$AC$6:$AC$505,"&lt;="&amp;$A35,実績!$AD$6:$AD$505,"&gt;"&amp;$A35,実績!$AE$6:$AE$505,"○")&gt;0,1,0))</f>
        <v/>
      </c>
      <c r="BC35">
        <f>IF(BC$4=0,0,IF(COUNTIFS(実績!$W$6:$W$505,BC$3,実績!$AC$6:$AC$505,"&lt;="&amp;$A35,実績!$AD$6:$AD$505,"&gt;"&amp;$A35,実績!$AE$6:$AE$505,"○")&gt;0,1,0))</f>
        <v/>
      </c>
      <c r="BD35">
        <f>IF(BD$4=0,0,IF(COUNTIFS(実績!$W$6:$W$505,BD$3,実績!$AC$6:$AC$505,"&lt;="&amp;$A35,実績!$AD$6:$AD$505,"&gt;"&amp;$A35,実績!$AE$6:$AE$505,"○")&gt;0,1,0))</f>
        <v/>
      </c>
      <c r="BE35">
        <f>IF(BE$4=0,0,IF(COUNTIFS(実績!$W$6:$W$505,BE$3,実績!$AC$6:$AC$505,"&lt;="&amp;$A35,実績!$AD$6:$AD$505,"&gt;"&amp;$A35,実績!$AE$6:$AE$505,"○")&gt;0,1,0))</f>
        <v/>
      </c>
      <c r="BF35">
        <f>IF(BF$4=0,0,IF(COUNTIFS(実績!$W$6:$W$505,BF$3,実績!$AC$6:$AC$505,"&lt;="&amp;$A35,実績!$AD$6:$AD$505,"&gt;"&amp;$A35,実績!$AE$6:$AE$505,"○")&gt;0,1,0))</f>
        <v/>
      </c>
      <c r="BG35">
        <f>IF(BG$4=0,0,IF(COUNTIFS(実績!$W$6:$W$505,BG$3,実績!$AC$6:$AC$505,"&lt;="&amp;$A35,実績!$AD$6:$AD$505,"&gt;"&amp;$A35,実績!$AE$6:$AE$505,"○")&gt;0,1,0))</f>
        <v/>
      </c>
      <c r="BH35">
        <f>IF(BH$4=0,0,IF(COUNTIFS(実績!$W$6:$W$505,BH$3,実績!$AC$6:$AC$505,"&lt;="&amp;$A35,実績!$AD$6:$AD$505,"&gt;"&amp;$A35,実績!$AE$6:$AE$505,"○")&gt;0,1,0))</f>
        <v/>
      </c>
      <c r="BI35">
        <f>IF(BI$4=0,0,IF(COUNTIFS(実績!$W$6:$W$505,BI$3,実績!$AC$6:$AC$505,"&lt;="&amp;$A35,実績!$AD$6:$AD$505,"&gt;"&amp;$A35,実績!$AE$6:$AE$505,"○")&gt;0,1,0))</f>
        <v/>
      </c>
      <c r="BJ35">
        <f>IF(BJ$4=0,0,IF(COUNTIFS(実績!$W$6:$W$505,BJ$3,実績!$AC$6:$AC$505,"&lt;="&amp;$A35,実績!$AD$6:$AD$505,"&gt;"&amp;$A35,実績!$AE$6:$AE$505,"○")&gt;0,1,0))</f>
        <v/>
      </c>
      <c r="BK35">
        <f>IF(BK$4=0,0,IF(COUNTIFS(実績!$W$6:$W$505,BK$3,実績!$AC$6:$AC$505,"&lt;="&amp;$A35,実績!$AD$6:$AD$505,"&gt;"&amp;$A35,実績!$AE$6:$AE$505,"○")&gt;0,1,0))</f>
        <v/>
      </c>
      <c r="BL35">
        <f>IF(BL$4=0,0,IF(COUNTIFS(実績!$W$6:$W$505,BL$3,実績!$AC$6:$AC$505,"&lt;="&amp;$A35,実績!$AD$6:$AD$505,"&gt;"&amp;$A35,実績!$AE$6:$AE$505,"○")&gt;0,1,0))</f>
        <v/>
      </c>
      <c r="BM35">
        <f>IF(BM$4=0,0,IF(COUNTIFS(実績!$W$6:$W$505,BM$3,実績!$AC$6:$AC$505,"&lt;="&amp;$A35,実績!$AD$6:$AD$505,"&gt;"&amp;$A35,実績!$AE$6:$AE$505,"○")&gt;0,1,0))</f>
        <v/>
      </c>
      <c r="BN35">
        <f>IF(BN$4=0,0,IF(COUNTIFS(実績!$W$6:$W$505,BN$3,実績!$AC$6:$AC$505,"&lt;="&amp;$A35,実績!$AD$6:$AD$505,"&gt;"&amp;$A35,実績!$AE$6:$AE$505,"○")&gt;0,1,0))</f>
        <v/>
      </c>
      <c r="BO35">
        <f>IF(BO$4=0,0,IF(COUNTIFS(実績!$W$6:$W$505,BO$3,実績!$AC$6:$AC$505,"&lt;="&amp;$A35,実績!$AD$6:$AD$505,"&gt;"&amp;$A35,実績!$AE$6:$AE$505,"○")&gt;0,1,0))</f>
        <v/>
      </c>
      <c r="BP35">
        <f>IF(BP$4=0,0,IF(COUNTIFS(実績!$W$6:$W$505,BP$3,実績!$AC$6:$AC$505,"&lt;="&amp;$A35,実績!$AD$6:$AD$505,"&gt;"&amp;$A35,実績!$AE$6:$AE$505,"○")&gt;0,1,0))</f>
        <v/>
      </c>
      <c r="BQ35">
        <f>IF(BQ$4=0,0,IF(COUNTIFS(実績!$W$6:$W$505,BQ$3,実績!$AC$6:$AC$505,"&lt;="&amp;$A35,実績!$AD$6:$AD$505,"&gt;"&amp;$A35,実績!$AE$6:$AE$505,"○")&gt;0,1,0))</f>
        <v/>
      </c>
      <c r="BR35">
        <f>IF(BR$4=0,0,IF(COUNTIFS(実績!$W$6:$W$505,BR$3,実績!$AC$6:$AC$505,"&lt;="&amp;$A35,実績!$AD$6:$AD$505,"&gt;"&amp;$A35,実績!$AE$6:$AE$505,"○")&gt;0,1,0))</f>
        <v/>
      </c>
      <c r="BS35">
        <f>IF(BS$4=0,0,IF(COUNTIFS(実績!$W$6:$W$505,BS$3,実績!$AC$6:$AC$505,"&lt;="&amp;$A35,実績!$AD$6:$AD$505,"&gt;"&amp;$A35,実績!$AE$6:$AE$505,"○")&gt;0,1,0))</f>
        <v/>
      </c>
      <c r="BT35">
        <f>IF(BT$4=0,0,IF(COUNTIFS(実績!$W$6:$W$505,BT$3,実績!$AC$6:$AC$505,"&lt;="&amp;$A35,実績!$AD$6:$AD$505,"&gt;"&amp;$A35,実績!$AE$6:$AE$505,"○")&gt;0,1,0))</f>
        <v/>
      </c>
      <c r="BU35">
        <f>IF(BU$4=0,0,IF(COUNTIFS(実績!$W$6:$W$505,BU$3,実績!$AC$6:$AC$505,"&lt;="&amp;$A35,実績!$AD$6:$AD$505,"&gt;"&amp;$A35,実績!$AE$6:$AE$505,"○")&gt;0,1,0))</f>
        <v/>
      </c>
      <c r="BV35">
        <f>IF(BV$4=0,0,IF(COUNTIFS(実績!$W$6:$W$505,BV$3,実績!$AC$6:$AC$505,"&lt;="&amp;$A35,実績!$AD$6:$AD$505,"&gt;"&amp;$A35,実績!$AE$6:$AE$505,"○")&gt;0,1,0))</f>
        <v/>
      </c>
      <c r="BW35">
        <f>IF(BW$4=0,0,IF(COUNTIFS(実績!$W$6:$W$505,BW$3,実績!$AC$6:$AC$505,"&lt;="&amp;$A35,実績!$AD$6:$AD$505,"&gt;"&amp;$A35,実績!$AE$6:$AE$505,"○")&gt;0,1,0))</f>
        <v/>
      </c>
      <c r="BX35">
        <f>IF(BX$4=0,0,IF(COUNTIFS(実績!$W$6:$W$505,BX$3,実績!$AC$6:$AC$505,"&lt;="&amp;$A35,実績!$AD$6:$AD$505,"&gt;"&amp;$A35,実績!$AE$6:$AE$505,"○")&gt;0,1,0))</f>
        <v/>
      </c>
      <c r="BY35">
        <f>IF(BY$4=0,0,IF(COUNTIFS(実績!$W$6:$W$505,BY$3,実績!$AC$6:$AC$505,"&lt;="&amp;$A35,実績!$AD$6:$AD$505,"&gt;"&amp;$A35,実績!$AE$6:$AE$505,"○")&gt;0,1,0))</f>
        <v/>
      </c>
      <c r="BZ35">
        <f>IF(BZ$4=0,0,IF(COUNTIFS(実績!$W$6:$W$505,BZ$3,実績!$AC$6:$AC$505,"&lt;="&amp;$A35,実績!$AD$6:$AD$505,"&gt;"&amp;$A35,実績!$AE$6:$AE$505,"○")&gt;0,1,0))</f>
        <v/>
      </c>
      <c r="CA35">
        <f>IF(CA$4=0,0,IF(COUNTIFS(実績!$W$6:$W$505,CA$3,実績!$AC$6:$AC$505,"&lt;="&amp;$A35,実績!$AD$6:$AD$505,"&gt;"&amp;$A35,実績!$AE$6:$AE$505,"○")&gt;0,1,0))</f>
        <v/>
      </c>
      <c r="CB35">
        <f>IF(CB$4=0,0,IF(COUNTIFS(実績!$W$6:$W$505,CB$3,実績!$AC$6:$AC$505,"&lt;="&amp;$A35,実績!$AD$6:$AD$505,"&gt;"&amp;$A35,実績!$AE$6:$AE$505,"○")&gt;0,1,0))</f>
        <v/>
      </c>
      <c r="CC35">
        <f>IF(CC$4=0,0,IF(COUNTIFS(実績!$W$6:$W$505,CC$3,実績!$AC$6:$AC$505,"&lt;="&amp;$A35,実績!$AD$6:$AD$505,"&gt;"&amp;$A35,実績!$AE$6:$AE$505,"○")&gt;0,1,0))</f>
        <v/>
      </c>
      <c r="CD35">
        <f>IF(CD$4=0,0,IF(COUNTIFS(実績!$W$6:$W$505,CD$3,実績!$AC$6:$AC$505,"&lt;="&amp;$A35,実績!$AD$6:$AD$505,"&gt;"&amp;$A35,実績!$AE$6:$AE$505,"○")&gt;0,1,0))</f>
        <v/>
      </c>
      <c r="CE35">
        <f>IF(CE$4=0,0,IF(COUNTIFS(実績!$W$6:$W$505,CE$3,実績!$AC$6:$AC$505,"&lt;="&amp;$A35,実績!$AD$6:$AD$505,"&gt;"&amp;$A35,実績!$AE$6:$AE$505,"○")&gt;0,1,0))</f>
        <v/>
      </c>
      <c r="CF35">
        <f>IF(CF$4=0,0,IF(COUNTIFS(実績!$W$6:$W$505,CF$3,実績!$AC$6:$AC$505,"&lt;="&amp;$A35,実績!$AD$6:$AD$505,"&gt;"&amp;$A35,実績!$AE$6:$AE$505,"○")&gt;0,1,0))</f>
        <v/>
      </c>
      <c r="CG35">
        <f>IF(CG$4=0,0,IF(COUNTIFS(実績!$W$6:$W$505,CG$3,実績!$AC$6:$AC$505,"&lt;="&amp;$A35,実績!$AD$6:$AD$505,"&gt;"&amp;$A35,実績!$AE$6:$AE$505,"○")&gt;0,1,0))</f>
        <v/>
      </c>
      <c r="CH35">
        <f>IF(CH$4=0,0,IF(COUNTIFS(実績!$W$6:$W$505,CH$3,実績!$AC$6:$AC$505,"&lt;="&amp;$A35,実績!$AD$6:$AD$505,"&gt;"&amp;$A35,実績!$AE$6:$AE$505,"○")&gt;0,1,0))</f>
        <v/>
      </c>
      <c r="CI35">
        <f>IF(CI$4=0,0,IF(COUNTIFS(実績!$W$6:$W$505,CI$3,実績!$AC$6:$AC$505,"&lt;="&amp;$A35,実績!$AD$6:$AD$505,"&gt;"&amp;$A35,実績!$AE$6:$AE$505,"○")&gt;0,1,0))</f>
        <v/>
      </c>
      <c r="CJ35">
        <f>IF(CJ$4=0,0,IF(COUNTIFS(実績!$W$6:$W$505,CJ$3,実績!$AC$6:$AC$505,"&lt;="&amp;$A35,実績!$AD$6:$AD$505,"&gt;"&amp;$A35,実績!$AE$6:$AE$505,"○")&gt;0,1,0))</f>
        <v/>
      </c>
      <c r="CK35">
        <f>IF(CK$4=0,0,IF(COUNTIFS(実績!$W$6:$W$505,CK$3,実績!$AC$6:$AC$505,"&lt;="&amp;$A35,実績!$AD$6:$AD$505,"&gt;"&amp;$A35,実績!$AE$6:$AE$505,"○")&gt;0,1,0))</f>
        <v/>
      </c>
      <c r="CL35">
        <f>IF(CL$4=0,0,IF(COUNTIFS(実績!$W$6:$W$505,CL$3,実績!$AC$6:$AC$505,"&lt;="&amp;$A35,実績!$AD$6:$AD$505,"&gt;"&amp;$A35,実績!$AE$6:$AE$505,"○")&gt;0,1,0))</f>
        <v/>
      </c>
      <c r="CM35">
        <f>IF(CM$4=0,0,IF(COUNTIFS(実績!$W$6:$W$505,CM$3,実績!$AC$6:$AC$505,"&lt;="&amp;$A35,実績!$AD$6:$AD$505,"&gt;"&amp;$A35,実績!$AE$6:$AE$505,"○")&gt;0,1,0))</f>
        <v/>
      </c>
      <c r="CN35">
        <f>IF(CN$4=0,0,IF(COUNTIFS(実績!$W$6:$W$505,CN$3,実績!$AC$6:$AC$505,"&lt;="&amp;$A35,実績!$AD$6:$AD$505,"&gt;"&amp;$A35,実績!$AE$6:$AE$505,"○")&gt;0,1,0))</f>
        <v/>
      </c>
      <c r="CO35">
        <f>IF(CO$4=0,0,IF(COUNTIFS(実績!$W$6:$W$505,CO$3,実績!$AC$6:$AC$505,"&lt;="&amp;$A35,実績!$AD$6:$AD$505,"&gt;"&amp;$A35,実績!$AE$6:$AE$505,"○")&gt;0,1,0))</f>
        <v/>
      </c>
      <c r="CP35">
        <f>IF(CP$4=0,0,IF(COUNTIFS(実績!$W$6:$W$505,CP$3,実績!$AC$6:$AC$505,"&lt;="&amp;$A35,実績!$AD$6:$AD$505,"&gt;"&amp;$A35,実績!$AE$6:$AE$505,"○")&gt;0,1,0))</f>
        <v/>
      </c>
      <c r="CQ35">
        <f>IF(CQ$4=0,0,IF(COUNTIFS(実績!$W$6:$W$505,CQ$3,実績!$AC$6:$AC$505,"&lt;="&amp;$A35,実績!$AD$6:$AD$505,"&gt;"&amp;$A35,実績!$AE$6:$AE$505,"○")&gt;0,1,0))</f>
        <v/>
      </c>
      <c r="CR35">
        <f>IF(CR$4=0,0,IF(COUNTIFS(実績!$W$6:$W$505,CR$3,実績!$AC$6:$AC$505,"&lt;="&amp;$A35,実績!$AD$6:$AD$505,"&gt;"&amp;$A35,実績!$AE$6:$AE$505,"○")&gt;0,1,0))</f>
        <v/>
      </c>
      <c r="CS35">
        <f>IF(CS$4=0,0,IF(COUNTIFS(実績!$W$6:$W$505,CS$3,実績!$AC$6:$AC$505,"&lt;="&amp;$A35,実績!$AD$6:$AD$505,"&gt;"&amp;$A35,実績!$AE$6:$AE$505,"○")&gt;0,1,0))</f>
        <v/>
      </c>
      <c r="CT35">
        <f>IF(CT$4=0,0,IF(COUNTIFS(実績!$W$6:$W$505,CT$3,実績!$AC$6:$AC$505,"&lt;="&amp;$A35,実績!$AD$6:$AD$505,"&gt;"&amp;$A35,実績!$AE$6:$AE$505,"○")&gt;0,1,0))</f>
        <v/>
      </c>
      <c r="CU35">
        <f>IF(CU$4=0,0,IF(COUNTIFS(実績!$W$6:$W$505,CU$3,実績!$AC$6:$AC$505,"&lt;="&amp;$A35,実績!$AD$6:$AD$505,"&gt;"&amp;$A35,実績!$AE$6:$AE$505,"○")&gt;0,1,0))</f>
        <v/>
      </c>
      <c r="CV35">
        <f>IF(CV$4=0,0,IF(COUNTIFS(実績!$W$6:$W$505,CV$3,実績!$AC$6:$AC$505,"&lt;="&amp;$A35,実績!$AD$6:$AD$505,"&gt;"&amp;$A35,実績!$AE$6:$AE$505,"○")&gt;0,1,0))</f>
        <v/>
      </c>
      <c r="CW35">
        <f>IF(CW$4=0,0,IF(COUNTIFS(実績!$W$6:$W$505,CW$3,実績!$AC$6:$AC$505,"&lt;="&amp;$A35,実績!$AD$6:$AD$505,"&gt;"&amp;$A35,実績!$AE$6:$AE$505,"○")&gt;0,1,0))</f>
        <v/>
      </c>
      <c r="CX35">
        <f>IF(CX$4=0,0,IF(COUNTIFS(実績!$W$6:$W$505,CX$3,実績!$AC$6:$AC$505,"&lt;="&amp;$A35,実績!$AD$6:$AD$505,"&gt;"&amp;$A35,実績!$AE$6:$AE$505,"○")&gt;0,1,0))</f>
        <v/>
      </c>
      <c r="CY35">
        <f>IF(CY$4=0,0,IF(COUNTIFS(実績!$W$6:$W$505,CY$3,実績!$AC$6:$AC$505,"&lt;="&amp;$A35,実績!$AD$6:$AD$505,"&gt;"&amp;$A35,実績!$AE$6:$AE$505,"○")&gt;0,1,0))</f>
        <v/>
      </c>
      <c r="CZ35">
        <f>IF(CZ$4=0,0,IF(COUNTIFS(実績!$W$6:$W$505,CZ$3,実績!$AC$6:$AC$505,"&lt;="&amp;$A35,実績!$AD$6:$AD$505,"&gt;"&amp;$A35,実績!$AE$6:$AE$505,"○")&gt;0,1,0))</f>
        <v/>
      </c>
      <c r="DA35">
        <f>IF(DA$4=0,0,IF(COUNTIFS(実績!$W$6:$W$505,DA$3,実績!$AC$6:$AC$505,"&lt;="&amp;$A35,実績!$AD$6:$AD$505,"&gt;"&amp;$A35,実績!$AE$6:$AE$505,"○")&gt;0,1,0))</f>
        <v/>
      </c>
      <c r="DB35">
        <f>IF(DB$4=0,0,IF(COUNTIFS(実績!$W$6:$W$505,DB$3,実績!$AC$6:$AC$505,"&lt;="&amp;$A35,実績!$AD$6:$AD$505,"&gt;"&amp;$A35,実績!$AE$6:$AE$505,"○")&gt;0,1,0))</f>
        <v/>
      </c>
      <c r="DC35">
        <f>IF(DC$4=0,0,IF(COUNTIFS(実績!$W$6:$W$505,DC$3,実績!$AC$6:$AC$505,"&lt;="&amp;$A35,実績!$AD$6:$AD$505,"&gt;"&amp;$A35,実績!$AE$6:$AE$505,"○")&gt;0,1,0))</f>
        <v/>
      </c>
      <c r="DD35">
        <f>IF(DD$4=0,0,IF(COUNTIFS(実績!$W$6:$W$505,DD$3,実績!$AC$6:$AC$505,"&lt;="&amp;$A35,実績!$AD$6:$AD$505,"&gt;"&amp;$A35,実績!$AE$6:$AE$505,"○")&gt;0,1,0))</f>
        <v/>
      </c>
      <c r="DE35">
        <f>IF(DE$4=0,0,IF(COUNTIFS(実績!$W$6:$W$505,DE$3,実績!$AC$6:$AC$505,"&lt;="&amp;$A35,実績!$AD$6:$AD$505,"&gt;"&amp;$A35,実績!$AE$6:$AE$505,"○")&gt;0,1,0))</f>
        <v/>
      </c>
      <c r="DF35">
        <f>IF(DF$4=0,0,IF(COUNTIFS(実績!$W$6:$W$505,DF$3,実績!$AC$6:$AC$505,"&lt;="&amp;$A35,実績!$AD$6:$AD$505,"&gt;"&amp;$A35,実績!$AE$6:$AE$505,"○")&gt;0,1,0))</f>
        <v/>
      </c>
      <c r="DG35">
        <f>IF(DG$4=0,0,IF(COUNTIFS(実績!$W$6:$W$505,DG$3,実績!$AC$6:$AC$505,"&lt;="&amp;$A35,実績!$AD$6:$AD$505,"&gt;"&amp;$A35,実績!$AE$6:$AE$505,"○")&gt;0,1,0))</f>
        <v/>
      </c>
      <c r="DH35">
        <f>IF(DH$4=0,0,IF(COUNTIFS(実績!$W$6:$W$505,DH$3,実績!$AC$6:$AC$505,"&lt;="&amp;$A35,実績!$AD$6:$AD$505,"&gt;"&amp;$A35,実績!$AE$6:$AE$505,"○")&gt;0,1,0))</f>
        <v/>
      </c>
      <c r="DI35">
        <f>IF(DI$4=0,0,IF(COUNTIFS(実績!$W$6:$W$505,DI$3,実績!$AC$6:$AC$505,"&lt;="&amp;$A35,実績!$AD$6:$AD$505,"&gt;"&amp;$A35,実績!$AE$6:$AE$505,"○")&gt;0,1,0))</f>
        <v/>
      </c>
      <c r="DJ35">
        <f>IF(DJ$4=0,0,IF(COUNTIFS(実績!$W$6:$W$505,DJ$3,実績!$AC$6:$AC$505,"&lt;="&amp;$A35,実績!$AD$6:$AD$505,"&gt;"&amp;$A35,実績!$AE$6:$AE$505,"○")&gt;0,1,0))</f>
        <v/>
      </c>
      <c r="DK35">
        <f>IF(DK$4=0,0,IF(COUNTIFS(実績!$W$6:$W$505,DK$3,実績!$AC$6:$AC$505,"&lt;="&amp;$A35,実績!$AD$6:$AD$505,"&gt;"&amp;$A35,実績!$AE$6:$AE$505,"○")&gt;0,1,0))</f>
        <v/>
      </c>
      <c r="DL35">
        <f>IF(DL$4=0,0,IF(COUNTIFS(実績!$W$6:$W$505,DL$3,実績!$AC$6:$AC$505,"&lt;="&amp;$A35,実績!$AD$6:$AD$505,"&gt;"&amp;$A35,実績!$AE$6:$AE$505,"○")&gt;0,1,0))</f>
        <v/>
      </c>
      <c r="DM35">
        <f>IF(DM$4=0,0,IF(COUNTIFS(実績!$W$6:$W$505,DM$3,実績!$AC$6:$AC$505,"&lt;="&amp;$A35,実績!$AD$6:$AD$505,"&gt;"&amp;$A35,実績!$AE$6:$AE$505,"○")&gt;0,1,0))</f>
        <v/>
      </c>
      <c r="DN35">
        <f>IF(DN$4=0,0,IF(COUNTIFS(実績!$W$6:$W$505,DN$3,実績!$AC$6:$AC$505,"&lt;="&amp;$A35,実績!$AD$6:$AD$505,"&gt;"&amp;$A35,実績!$AE$6:$AE$505,"○")&gt;0,1,0))</f>
        <v/>
      </c>
      <c r="DO35">
        <f>IF(DO$4=0,0,IF(COUNTIFS(実績!$W$6:$W$505,DO$3,実績!$AC$6:$AC$505,"&lt;="&amp;$A35,実績!$AD$6:$AD$505,"&gt;"&amp;$A35,実績!$AE$6:$AE$505,"○")&gt;0,1,0))</f>
        <v/>
      </c>
      <c r="DP35">
        <f>IF(DP$4=0,0,IF(COUNTIFS(実績!$W$6:$W$505,DP$3,実績!$AC$6:$AC$505,"&lt;="&amp;$A35,実績!$AD$6:$AD$505,"&gt;"&amp;$A35,実績!$AE$6:$AE$505,"○")&gt;0,1,0))</f>
        <v/>
      </c>
      <c r="DQ35">
        <f>IF(DQ$4=0,0,IF(COUNTIFS(実績!$W$6:$W$505,DQ$3,実績!$AC$6:$AC$505,"&lt;="&amp;$A35,実績!$AD$6:$AD$505,"&gt;"&amp;$A35,実績!$AE$6:$AE$505,"○")&gt;0,1,0))</f>
        <v/>
      </c>
      <c r="DR35">
        <f>IF(DR$4=0,0,IF(COUNTIFS(実績!$W$6:$W$505,DR$3,実績!$AC$6:$AC$505,"&lt;="&amp;$A35,実績!$AD$6:$AD$505,"&gt;"&amp;$A35,実績!$AE$6:$AE$505,"○")&gt;0,1,0))</f>
        <v/>
      </c>
      <c r="DS35">
        <f>SUM(C35:DR35)</f>
        <v/>
      </c>
      <c r="DT35">
        <f>SUMPRODUCT((実績!$C$6:$C$505="○")*ISNUMBER(実績!$AF$6:$AF$505)*(実績!$AF$6:$AF$505&lt;=$A35)*(実績!$AG$6:$AG$505&gt;$A35))</f>
        <v/>
      </c>
      <c r="DU35">
        <f>SUMIF($C$2:$DR$2,"製鉄曳船",C35:DR35)</f>
        <v/>
      </c>
      <c r="DV35">
        <f>SUMIF($C$2:$DR$2,"西日本海運",C35:DR35)</f>
        <v/>
      </c>
    </row>
    <row r="36">
      <c r="A36" t="n">
        <v>150</v>
      </c>
      <c r="B36" s="29">
        <f>A36/1440</f>
        <v/>
      </c>
      <c r="C36">
        <f>IF(C$4=0,0,IF(COUNTIFS(実績!$W$6:$W$505,C$3,実績!$AC$6:$AC$505,"&lt;="&amp;$A36,実績!$AD$6:$AD$505,"&gt;"&amp;$A36,実績!$AE$6:$AE$505,"○")&gt;0,1,0))</f>
        <v/>
      </c>
      <c r="D36">
        <f>IF(D$4=0,0,IF(COUNTIFS(実績!$W$6:$W$505,D$3,実績!$AC$6:$AC$505,"&lt;="&amp;$A36,実績!$AD$6:$AD$505,"&gt;"&amp;$A36,実績!$AE$6:$AE$505,"○")&gt;0,1,0))</f>
        <v/>
      </c>
      <c r="E36">
        <f>IF(E$4=0,0,IF(COUNTIFS(実績!$W$6:$W$505,E$3,実績!$AC$6:$AC$505,"&lt;="&amp;$A36,実績!$AD$6:$AD$505,"&gt;"&amp;$A36,実績!$AE$6:$AE$505,"○")&gt;0,1,0))</f>
        <v/>
      </c>
      <c r="F36">
        <f>IF(F$4=0,0,IF(COUNTIFS(実績!$W$6:$W$505,F$3,実績!$AC$6:$AC$505,"&lt;="&amp;$A36,実績!$AD$6:$AD$505,"&gt;"&amp;$A36,実績!$AE$6:$AE$505,"○")&gt;0,1,0))</f>
        <v/>
      </c>
      <c r="G36">
        <f>IF(G$4=0,0,IF(COUNTIFS(実績!$W$6:$W$505,G$3,実績!$AC$6:$AC$505,"&lt;="&amp;$A36,実績!$AD$6:$AD$505,"&gt;"&amp;$A36,実績!$AE$6:$AE$505,"○")&gt;0,1,0))</f>
        <v/>
      </c>
      <c r="H36">
        <f>IF(H$4=0,0,IF(COUNTIFS(実績!$W$6:$W$505,H$3,実績!$AC$6:$AC$505,"&lt;="&amp;$A36,実績!$AD$6:$AD$505,"&gt;"&amp;$A36,実績!$AE$6:$AE$505,"○")&gt;0,1,0))</f>
        <v/>
      </c>
      <c r="I36">
        <f>IF(I$4=0,0,IF(COUNTIFS(実績!$W$6:$W$505,I$3,実績!$AC$6:$AC$505,"&lt;="&amp;$A36,実績!$AD$6:$AD$505,"&gt;"&amp;$A36,実績!$AE$6:$AE$505,"○")&gt;0,1,0))</f>
        <v/>
      </c>
      <c r="J36">
        <f>IF(J$4=0,0,IF(COUNTIFS(実績!$W$6:$W$505,J$3,実績!$AC$6:$AC$505,"&lt;="&amp;$A36,実績!$AD$6:$AD$505,"&gt;"&amp;$A36,実績!$AE$6:$AE$505,"○")&gt;0,1,0))</f>
        <v/>
      </c>
      <c r="K36">
        <f>IF(K$4=0,0,IF(COUNTIFS(実績!$W$6:$W$505,K$3,実績!$AC$6:$AC$505,"&lt;="&amp;$A36,実績!$AD$6:$AD$505,"&gt;"&amp;$A36,実績!$AE$6:$AE$505,"○")&gt;0,1,0))</f>
        <v/>
      </c>
      <c r="L36">
        <f>IF(L$4=0,0,IF(COUNTIFS(実績!$W$6:$W$505,L$3,実績!$AC$6:$AC$505,"&lt;="&amp;$A36,実績!$AD$6:$AD$505,"&gt;"&amp;$A36,実績!$AE$6:$AE$505,"○")&gt;0,1,0))</f>
        <v/>
      </c>
      <c r="M36">
        <f>IF(M$4=0,0,IF(COUNTIFS(実績!$W$6:$W$505,M$3,実績!$AC$6:$AC$505,"&lt;="&amp;$A36,実績!$AD$6:$AD$505,"&gt;"&amp;$A36,実績!$AE$6:$AE$505,"○")&gt;0,1,0))</f>
        <v/>
      </c>
      <c r="N36">
        <f>IF(N$4=0,0,IF(COUNTIFS(実績!$W$6:$W$505,N$3,実績!$AC$6:$AC$505,"&lt;="&amp;$A36,実績!$AD$6:$AD$505,"&gt;"&amp;$A36,実績!$AE$6:$AE$505,"○")&gt;0,1,0))</f>
        <v/>
      </c>
      <c r="O36">
        <f>IF(O$4=0,0,IF(COUNTIFS(実績!$W$6:$W$505,O$3,実績!$AC$6:$AC$505,"&lt;="&amp;$A36,実績!$AD$6:$AD$505,"&gt;"&amp;$A36,実績!$AE$6:$AE$505,"○")&gt;0,1,0))</f>
        <v/>
      </c>
      <c r="P36">
        <f>IF(P$4=0,0,IF(COUNTIFS(実績!$W$6:$W$505,P$3,実績!$AC$6:$AC$505,"&lt;="&amp;$A36,実績!$AD$6:$AD$505,"&gt;"&amp;$A36,実績!$AE$6:$AE$505,"○")&gt;0,1,0))</f>
        <v/>
      </c>
      <c r="Q36">
        <f>IF(Q$4=0,0,IF(COUNTIFS(実績!$W$6:$W$505,Q$3,実績!$AC$6:$AC$505,"&lt;="&amp;$A36,実績!$AD$6:$AD$505,"&gt;"&amp;$A36,実績!$AE$6:$AE$505,"○")&gt;0,1,0))</f>
        <v/>
      </c>
      <c r="R36">
        <f>IF(R$4=0,0,IF(COUNTIFS(実績!$W$6:$W$505,R$3,実績!$AC$6:$AC$505,"&lt;="&amp;$A36,実績!$AD$6:$AD$505,"&gt;"&amp;$A36,実績!$AE$6:$AE$505,"○")&gt;0,1,0))</f>
        <v/>
      </c>
      <c r="S36">
        <f>IF(S$4=0,0,IF(COUNTIFS(実績!$W$6:$W$505,S$3,実績!$AC$6:$AC$505,"&lt;="&amp;$A36,実績!$AD$6:$AD$505,"&gt;"&amp;$A36,実績!$AE$6:$AE$505,"○")&gt;0,1,0))</f>
        <v/>
      </c>
      <c r="T36">
        <f>IF(T$4=0,0,IF(COUNTIFS(実績!$W$6:$W$505,T$3,実績!$AC$6:$AC$505,"&lt;="&amp;$A36,実績!$AD$6:$AD$505,"&gt;"&amp;$A36,実績!$AE$6:$AE$505,"○")&gt;0,1,0))</f>
        <v/>
      </c>
      <c r="U36">
        <f>IF(U$4=0,0,IF(COUNTIFS(実績!$W$6:$W$505,U$3,実績!$AC$6:$AC$505,"&lt;="&amp;$A36,実績!$AD$6:$AD$505,"&gt;"&amp;$A36,実績!$AE$6:$AE$505,"○")&gt;0,1,0))</f>
        <v/>
      </c>
      <c r="V36">
        <f>IF(V$4=0,0,IF(COUNTIFS(実績!$W$6:$W$505,V$3,実績!$AC$6:$AC$505,"&lt;="&amp;$A36,実績!$AD$6:$AD$505,"&gt;"&amp;$A36,実績!$AE$6:$AE$505,"○")&gt;0,1,0))</f>
        <v/>
      </c>
      <c r="W36">
        <f>IF(W$4=0,0,IF(COUNTIFS(実績!$W$6:$W$505,W$3,実績!$AC$6:$AC$505,"&lt;="&amp;$A36,実績!$AD$6:$AD$505,"&gt;"&amp;$A36,実績!$AE$6:$AE$505,"○")&gt;0,1,0))</f>
        <v/>
      </c>
      <c r="X36">
        <f>IF(X$4=0,0,IF(COUNTIFS(実績!$W$6:$W$505,X$3,実績!$AC$6:$AC$505,"&lt;="&amp;$A36,実績!$AD$6:$AD$505,"&gt;"&amp;$A36,実績!$AE$6:$AE$505,"○")&gt;0,1,0))</f>
        <v/>
      </c>
      <c r="Y36">
        <f>IF(Y$4=0,0,IF(COUNTIFS(実績!$W$6:$W$505,Y$3,実績!$AC$6:$AC$505,"&lt;="&amp;$A36,実績!$AD$6:$AD$505,"&gt;"&amp;$A36,実績!$AE$6:$AE$505,"○")&gt;0,1,0))</f>
        <v/>
      </c>
      <c r="Z36">
        <f>IF(Z$4=0,0,IF(COUNTIFS(実績!$W$6:$W$505,Z$3,実績!$AC$6:$AC$505,"&lt;="&amp;$A36,実績!$AD$6:$AD$505,"&gt;"&amp;$A36,実績!$AE$6:$AE$505,"○")&gt;0,1,0))</f>
        <v/>
      </c>
      <c r="AA36">
        <f>IF(AA$4=0,0,IF(COUNTIFS(実績!$W$6:$W$505,AA$3,実績!$AC$6:$AC$505,"&lt;="&amp;$A36,実績!$AD$6:$AD$505,"&gt;"&amp;$A36,実績!$AE$6:$AE$505,"○")&gt;0,1,0))</f>
        <v/>
      </c>
      <c r="AB36">
        <f>IF(AB$4=0,0,IF(COUNTIFS(実績!$W$6:$W$505,AB$3,実績!$AC$6:$AC$505,"&lt;="&amp;$A36,実績!$AD$6:$AD$505,"&gt;"&amp;$A36,実績!$AE$6:$AE$505,"○")&gt;0,1,0))</f>
        <v/>
      </c>
      <c r="AC36">
        <f>IF(AC$4=0,0,IF(COUNTIFS(実績!$W$6:$W$505,AC$3,実績!$AC$6:$AC$505,"&lt;="&amp;$A36,実績!$AD$6:$AD$505,"&gt;"&amp;$A36,実績!$AE$6:$AE$505,"○")&gt;0,1,0))</f>
        <v/>
      </c>
      <c r="AD36">
        <f>IF(AD$4=0,0,IF(COUNTIFS(実績!$W$6:$W$505,AD$3,実績!$AC$6:$AC$505,"&lt;="&amp;$A36,実績!$AD$6:$AD$505,"&gt;"&amp;$A36,実績!$AE$6:$AE$505,"○")&gt;0,1,0))</f>
        <v/>
      </c>
      <c r="AE36">
        <f>IF(AE$4=0,0,IF(COUNTIFS(実績!$W$6:$W$505,AE$3,実績!$AC$6:$AC$505,"&lt;="&amp;$A36,実績!$AD$6:$AD$505,"&gt;"&amp;$A36,実績!$AE$6:$AE$505,"○")&gt;0,1,0))</f>
        <v/>
      </c>
      <c r="AF36">
        <f>IF(AF$4=0,0,IF(COUNTIFS(実績!$W$6:$W$505,AF$3,実績!$AC$6:$AC$505,"&lt;="&amp;$A36,実績!$AD$6:$AD$505,"&gt;"&amp;$A36,実績!$AE$6:$AE$505,"○")&gt;0,1,0))</f>
        <v/>
      </c>
      <c r="AG36">
        <f>IF(AG$4=0,0,IF(COUNTIFS(実績!$W$6:$W$505,AG$3,実績!$AC$6:$AC$505,"&lt;="&amp;$A36,実績!$AD$6:$AD$505,"&gt;"&amp;$A36,実績!$AE$6:$AE$505,"○")&gt;0,1,0))</f>
        <v/>
      </c>
      <c r="AH36">
        <f>IF(AH$4=0,0,IF(COUNTIFS(実績!$W$6:$W$505,AH$3,実績!$AC$6:$AC$505,"&lt;="&amp;$A36,実績!$AD$6:$AD$505,"&gt;"&amp;$A36,実績!$AE$6:$AE$505,"○")&gt;0,1,0))</f>
        <v/>
      </c>
      <c r="AI36">
        <f>IF(AI$4=0,0,IF(COUNTIFS(実績!$W$6:$W$505,AI$3,実績!$AC$6:$AC$505,"&lt;="&amp;$A36,実績!$AD$6:$AD$505,"&gt;"&amp;$A36,実績!$AE$6:$AE$505,"○")&gt;0,1,0))</f>
        <v/>
      </c>
      <c r="AJ36">
        <f>IF(AJ$4=0,0,IF(COUNTIFS(実績!$W$6:$W$505,AJ$3,実績!$AC$6:$AC$505,"&lt;="&amp;$A36,実績!$AD$6:$AD$505,"&gt;"&amp;$A36,実績!$AE$6:$AE$505,"○")&gt;0,1,0))</f>
        <v/>
      </c>
      <c r="AK36">
        <f>IF(AK$4=0,0,IF(COUNTIFS(実績!$W$6:$W$505,AK$3,実績!$AC$6:$AC$505,"&lt;="&amp;$A36,実績!$AD$6:$AD$505,"&gt;"&amp;$A36,実績!$AE$6:$AE$505,"○")&gt;0,1,0))</f>
        <v/>
      </c>
      <c r="AL36">
        <f>IF(AL$4=0,0,IF(COUNTIFS(実績!$W$6:$W$505,AL$3,実績!$AC$6:$AC$505,"&lt;="&amp;$A36,実績!$AD$6:$AD$505,"&gt;"&amp;$A36,実績!$AE$6:$AE$505,"○")&gt;0,1,0))</f>
        <v/>
      </c>
      <c r="AM36">
        <f>IF(AM$4=0,0,IF(COUNTIFS(実績!$W$6:$W$505,AM$3,実績!$AC$6:$AC$505,"&lt;="&amp;$A36,実績!$AD$6:$AD$505,"&gt;"&amp;$A36,実績!$AE$6:$AE$505,"○")&gt;0,1,0))</f>
        <v/>
      </c>
      <c r="AN36">
        <f>IF(AN$4=0,0,IF(COUNTIFS(実績!$W$6:$W$505,AN$3,実績!$AC$6:$AC$505,"&lt;="&amp;$A36,実績!$AD$6:$AD$505,"&gt;"&amp;$A36,実績!$AE$6:$AE$505,"○")&gt;0,1,0))</f>
        <v/>
      </c>
      <c r="AO36">
        <f>IF(AO$4=0,0,IF(COUNTIFS(実績!$W$6:$W$505,AO$3,実績!$AC$6:$AC$505,"&lt;="&amp;$A36,実績!$AD$6:$AD$505,"&gt;"&amp;$A36,実績!$AE$6:$AE$505,"○")&gt;0,1,0))</f>
        <v/>
      </c>
      <c r="AP36">
        <f>IF(AP$4=0,0,IF(COUNTIFS(実績!$W$6:$W$505,AP$3,実績!$AC$6:$AC$505,"&lt;="&amp;$A36,実績!$AD$6:$AD$505,"&gt;"&amp;$A36,実績!$AE$6:$AE$505,"○")&gt;0,1,0))</f>
        <v/>
      </c>
      <c r="AQ36">
        <f>IF(AQ$4=0,0,IF(COUNTIFS(実績!$W$6:$W$505,AQ$3,実績!$AC$6:$AC$505,"&lt;="&amp;$A36,実績!$AD$6:$AD$505,"&gt;"&amp;$A36,実績!$AE$6:$AE$505,"○")&gt;0,1,0))</f>
        <v/>
      </c>
      <c r="AR36">
        <f>IF(AR$4=0,0,IF(COUNTIFS(実績!$W$6:$W$505,AR$3,実績!$AC$6:$AC$505,"&lt;="&amp;$A36,実績!$AD$6:$AD$505,"&gt;"&amp;$A36,実績!$AE$6:$AE$505,"○")&gt;0,1,0))</f>
        <v/>
      </c>
      <c r="AS36">
        <f>IF(AS$4=0,0,IF(COUNTIFS(実績!$W$6:$W$505,AS$3,実績!$AC$6:$AC$505,"&lt;="&amp;$A36,実績!$AD$6:$AD$505,"&gt;"&amp;$A36,実績!$AE$6:$AE$505,"○")&gt;0,1,0))</f>
        <v/>
      </c>
      <c r="AT36">
        <f>IF(AT$4=0,0,IF(COUNTIFS(実績!$W$6:$W$505,AT$3,実績!$AC$6:$AC$505,"&lt;="&amp;$A36,実績!$AD$6:$AD$505,"&gt;"&amp;$A36,実績!$AE$6:$AE$505,"○")&gt;0,1,0))</f>
        <v/>
      </c>
      <c r="AU36">
        <f>IF(AU$4=0,0,IF(COUNTIFS(実績!$W$6:$W$505,AU$3,実績!$AC$6:$AC$505,"&lt;="&amp;$A36,実績!$AD$6:$AD$505,"&gt;"&amp;$A36,実績!$AE$6:$AE$505,"○")&gt;0,1,0))</f>
        <v/>
      </c>
      <c r="AV36">
        <f>IF(AV$4=0,0,IF(COUNTIFS(実績!$W$6:$W$505,AV$3,実績!$AC$6:$AC$505,"&lt;="&amp;$A36,実績!$AD$6:$AD$505,"&gt;"&amp;$A36,実績!$AE$6:$AE$505,"○")&gt;0,1,0))</f>
        <v/>
      </c>
      <c r="AW36">
        <f>IF(AW$4=0,0,IF(COUNTIFS(実績!$W$6:$W$505,AW$3,実績!$AC$6:$AC$505,"&lt;="&amp;$A36,実績!$AD$6:$AD$505,"&gt;"&amp;$A36,実績!$AE$6:$AE$505,"○")&gt;0,1,0))</f>
        <v/>
      </c>
      <c r="AX36">
        <f>IF(AX$4=0,0,IF(COUNTIFS(実績!$W$6:$W$505,AX$3,実績!$AC$6:$AC$505,"&lt;="&amp;$A36,実績!$AD$6:$AD$505,"&gt;"&amp;$A36,実績!$AE$6:$AE$505,"○")&gt;0,1,0))</f>
        <v/>
      </c>
      <c r="AY36">
        <f>IF(AY$4=0,0,IF(COUNTIFS(実績!$W$6:$W$505,AY$3,実績!$AC$6:$AC$505,"&lt;="&amp;$A36,実績!$AD$6:$AD$505,"&gt;"&amp;$A36,実績!$AE$6:$AE$505,"○")&gt;0,1,0))</f>
        <v/>
      </c>
      <c r="AZ36">
        <f>IF(AZ$4=0,0,IF(COUNTIFS(実績!$W$6:$W$505,AZ$3,実績!$AC$6:$AC$505,"&lt;="&amp;$A36,実績!$AD$6:$AD$505,"&gt;"&amp;$A36,実績!$AE$6:$AE$505,"○")&gt;0,1,0))</f>
        <v/>
      </c>
      <c r="BA36">
        <f>IF(BA$4=0,0,IF(COUNTIFS(実績!$W$6:$W$505,BA$3,実績!$AC$6:$AC$505,"&lt;="&amp;$A36,実績!$AD$6:$AD$505,"&gt;"&amp;$A36,実績!$AE$6:$AE$505,"○")&gt;0,1,0))</f>
        <v/>
      </c>
      <c r="BB36">
        <f>IF(BB$4=0,0,IF(COUNTIFS(実績!$W$6:$W$505,BB$3,実績!$AC$6:$AC$505,"&lt;="&amp;$A36,実績!$AD$6:$AD$505,"&gt;"&amp;$A36,実績!$AE$6:$AE$505,"○")&gt;0,1,0))</f>
        <v/>
      </c>
      <c r="BC36">
        <f>IF(BC$4=0,0,IF(COUNTIFS(実績!$W$6:$W$505,BC$3,実績!$AC$6:$AC$505,"&lt;="&amp;$A36,実績!$AD$6:$AD$505,"&gt;"&amp;$A36,実績!$AE$6:$AE$505,"○")&gt;0,1,0))</f>
        <v/>
      </c>
      <c r="BD36">
        <f>IF(BD$4=0,0,IF(COUNTIFS(実績!$W$6:$W$505,BD$3,実績!$AC$6:$AC$505,"&lt;="&amp;$A36,実績!$AD$6:$AD$505,"&gt;"&amp;$A36,実績!$AE$6:$AE$505,"○")&gt;0,1,0))</f>
        <v/>
      </c>
      <c r="BE36">
        <f>IF(BE$4=0,0,IF(COUNTIFS(実績!$W$6:$W$505,BE$3,実績!$AC$6:$AC$505,"&lt;="&amp;$A36,実績!$AD$6:$AD$505,"&gt;"&amp;$A36,実績!$AE$6:$AE$505,"○")&gt;0,1,0))</f>
        <v/>
      </c>
      <c r="BF36">
        <f>IF(BF$4=0,0,IF(COUNTIFS(実績!$W$6:$W$505,BF$3,実績!$AC$6:$AC$505,"&lt;="&amp;$A36,実績!$AD$6:$AD$505,"&gt;"&amp;$A36,実績!$AE$6:$AE$505,"○")&gt;0,1,0))</f>
        <v/>
      </c>
      <c r="BG36">
        <f>IF(BG$4=0,0,IF(COUNTIFS(実績!$W$6:$W$505,BG$3,実績!$AC$6:$AC$505,"&lt;="&amp;$A36,実績!$AD$6:$AD$505,"&gt;"&amp;$A36,実績!$AE$6:$AE$505,"○")&gt;0,1,0))</f>
        <v/>
      </c>
      <c r="BH36">
        <f>IF(BH$4=0,0,IF(COUNTIFS(実績!$W$6:$W$505,BH$3,実績!$AC$6:$AC$505,"&lt;="&amp;$A36,実績!$AD$6:$AD$505,"&gt;"&amp;$A36,実績!$AE$6:$AE$505,"○")&gt;0,1,0))</f>
        <v/>
      </c>
      <c r="BI36">
        <f>IF(BI$4=0,0,IF(COUNTIFS(実績!$W$6:$W$505,BI$3,実績!$AC$6:$AC$505,"&lt;="&amp;$A36,実績!$AD$6:$AD$505,"&gt;"&amp;$A36,実績!$AE$6:$AE$505,"○")&gt;0,1,0))</f>
        <v/>
      </c>
      <c r="BJ36">
        <f>IF(BJ$4=0,0,IF(COUNTIFS(実績!$W$6:$W$505,BJ$3,実績!$AC$6:$AC$505,"&lt;="&amp;$A36,実績!$AD$6:$AD$505,"&gt;"&amp;$A36,実績!$AE$6:$AE$505,"○")&gt;0,1,0))</f>
        <v/>
      </c>
      <c r="BK36">
        <f>IF(BK$4=0,0,IF(COUNTIFS(実績!$W$6:$W$505,BK$3,実績!$AC$6:$AC$505,"&lt;="&amp;$A36,実績!$AD$6:$AD$505,"&gt;"&amp;$A36,実績!$AE$6:$AE$505,"○")&gt;0,1,0))</f>
        <v/>
      </c>
      <c r="BL36">
        <f>IF(BL$4=0,0,IF(COUNTIFS(実績!$W$6:$W$505,BL$3,実績!$AC$6:$AC$505,"&lt;="&amp;$A36,実績!$AD$6:$AD$505,"&gt;"&amp;$A36,実績!$AE$6:$AE$505,"○")&gt;0,1,0))</f>
        <v/>
      </c>
      <c r="BM36">
        <f>IF(BM$4=0,0,IF(COUNTIFS(実績!$W$6:$W$505,BM$3,実績!$AC$6:$AC$505,"&lt;="&amp;$A36,実績!$AD$6:$AD$505,"&gt;"&amp;$A36,実績!$AE$6:$AE$505,"○")&gt;0,1,0))</f>
        <v/>
      </c>
      <c r="BN36">
        <f>IF(BN$4=0,0,IF(COUNTIFS(実績!$W$6:$W$505,BN$3,実績!$AC$6:$AC$505,"&lt;="&amp;$A36,実績!$AD$6:$AD$505,"&gt;"&amp;$A36,実績!$AE$6:$AE$505,"○")&gt;0,1,0))</f>
        <v/>
      </c>
      <c r="BO36">
        <f>IF(BO$4=0,0,IF(COUNTIFS(実績!$W$6:$W$505,BO$3,実績!$AC$6:$AC$505,"&lt;="&amp;$A36,実績!$AD$6:$AD$505,"&gt;"&amp;$A36,実績!$AE$6:$AE$505,"○")&gt;0,1,0))</f>
        <v/>
      </c>
      <c r="BP36">
        <f>IF(BP$4=0,0,IF(COUNTIFS(実績!$W$6:$W$505,BP$3,実績!$AC$6:$AC$505,"&lt;="&amp;$A36,実績!$AD$6:$AD$505,"&gt;"&amp;$A36,実績!$AE$6:$AE$505,"○")&gt;0,1,0))</f>
        <v/>
      </c>
      <c r="BQ36">
        <f>IF(BQ$4=0,0,IF(COUNTIFS(実績!$W$6:$W$505,BQ$3,実績!$AC$6:$AC$505,"&lt;="&amp;$A36,実績!$AD$6:$AD$505,"&gt;"&amp;$A36,実績!$AE$6:$AE$505,"○")&gt;0,1,0))</f>
        <v/>
      </c>
      <c r="BR36">
        <f>IF(BR$4=0,0,IF(COUNTIFS(実績!$W$6:$W$505,BR$3,実績!$AC$6:$AC$505,"&lt;="&amp;$A36,実績!$AD$6:$AD$505,"&gt;"&amp;$A36,実績!$AE$6:$AE$505,"○")&gt;0,1,0))</f>
        <v/>
      </c>
      <c r="BS36">
        <f>IF(BS$4=0,0,IF(COUNTIFS(実績!$W$6:$W$505,BS$3,実績!$AC$6:$AC$505,"&lt;="&amp;$A36,実績!$AD$6:$AD$505,"&gt;"&amp;$A36,実績!$AE$6:$AE$505,"○")&gt;0,1,0))</f>
        <v/>
      </c>
      <c r="BT36">
        <f>IF(BT$4=0,0,IF(COUNTIFS(実績!$W$6:$W$505,BT$3,実績!$AC$6:$AC$505,"&lt;="&amp;$A36,実績!$AD$6:$AD$505,"&gt;"&amp;$A36,実績!$AE$6:$AE$505,"○")&gt;0,1,0))</f>
        <v/>
      </c>
      <c r="BU36">
        <f>IF(BU$4=0,0,IF(COUNTIFS(実績!$W$6:$W$505,BU$3,実績!$AC$6:$AC$505,"&lt;="&amp;$A36,実績!$AD$6:$AD$505,"&gt;"&amp;$A36,実績!$AE$6:$AE$505,"○")&gt;0,1,0))</f>
        <v/>
      </c>
      <c r="BV36">
        <f>IF(BV$4=0,0,IF(COUNTIFS(実績!$W$6:$W$505,BV$3,実績!$AC$6:$AC$505,"&lt;="&amp;$A36,実績!$AD$6:$AD$505,"&gt;"&amp;$A36,実績!$AE$6:$AE$505,"○")&gt;0,1,0))</f>
        <v/>
      </c>
      <c r="BW36">
        <f>IF(BW$4=0,0,IF(COUNTIFS(実績!$W$6:$W$505,BW$3,実績!$AC$6:$AC$505,"&lt;="&amp;$A36,実績!$AD$6:$AD$505,"&gt;"&amp;$A36,実績!$AE$6:$AE$505,"○")&gt;0,1,0))</f>
        <v/>
      </c>
      <c r="BX36">
        <f>IF(BX$4=0,0,IF(COUNTIFS(実績!$W$6:$W$505,BX$3,実績!$AC$6:$AC$505,"&lt;="&amp;$A36,実績!$AD$6:$AD$505,"&gt;"&amp;$A36,実績!$AE$6:$AE$505,"○")&gt;0,1,0))</f>
        <v/>
      </c>
      <c r="BY36">
        <f>IF(BY$4=0,0,IF(COUNTIFS(実績!$W$6:$W$505,BY$3,実績!$AC$6:$AC$505,"&lt;="&amp;$A36,実績!$AD$6:$AD$505,"&gt;"&amp;$A36,実績!$AE$6:$AE$505,"○")&gt;0,1,0))</f>
        <v/>
      </c>
      <c r="BZ36">
        <f>IF(BZ$4=0,0,IF(COUNTIFS(実績!$W$6:$W$505,BZ$3,実績!$AC$6:$AC$505,"&lt;="&amp;$A36,実績!$AD$6:$AD$505,"&gt;"&amp;$A36,実績!$AE$6:$AE$505,"○")&gt;0,1,0))</f>
        <v/>
      </c>
      <c r="CA36">
        <f>IF(CA$4=0,0,IF(COUNTIFS(実績!$W$6:$W$505,CA$3,実績!$AC$6:$AC$505,"&lt;="&amp;$A36,実績!$AD$6:$AD$505,"&gt;"&amp;$A36,実績!$AE$6:$AE$505,"○")&gt;0,1,0))</f>
        <v/>
      </c>
      <c r="CB36">
        <f>IF(CB$4=0,0,IF(COUNTIFS(実績!$W$6:$W$505,CB$3,実績!$AC$6:$AC$505,"&lt;="&amp;$A36,実績!$AD$6:$AD$505,"&gt;"&amp;$A36,実績!$AE$6:$AE$505,"○")&gt;0,1,0))</f>
        <v/>
      </c>
      <c r="CC36">
        <f>IF(CC$4=0,0,IF(COUNTIFS(実績!$W$6:$W$505,CC$3,実績!$AC$6:$AC$505,"&lt;="&amp;$A36,実績!$AD$6:$AD$505,"&gt;"&amp;$A36,実績!$AE$6:$AE$505,"○")&gt;0,1,0))</f>
        <v/>
      </c>
      <c r="CD36">
        <f>IF(CD$4=0,0,IF(COUNTIFS(実績!$W$6:$W$505,CD$3,実績!$AC$6:$AC$505,"&lt;="&amp;$A36,実績!$AD$6:$AD$505,"&gt;"&amp;$A36,実績!$AE$6:$AE$505,"○")&gt;0,1,0))</f>
        <v/>
      </c>
      <c r="CE36">
        <f>IF(CE$4=0,0,IF(COUNTIFS(実績!$W$6:$W$505,CE$3,実績!$AC$6:$AC$505,"&lt;="&amp;$A36,実績!$AD$6:$AD$505,"&gt;"&amp;$A36,実績!$AE$6:$AE$505,"○")&gt;0,1,0))</f>
        <v/>
      </c>
      <c r="CF36">
        <f>IF(CF$4=0,0,IF(COUNTIFS(実績!$W$6:$W$505,CF$3,実績!$AC$6:$AC$505,"&lt;="&amp;$A36,実績!$AD$6:$AD$505,"&gt;"&amp;$A36,実績!$AE$6:$AE$505,"○")&gt;0,1,0))</f>
        <v/>
      </c>
      <c r="CG36">
        <f>IF(CG$4=0,0,IF(COUNTIFS(実績!$W$6:$W$505,CG$3,実績!$AC$6:$AC$505,"&lt;="&amp;$A36,実績!$AD$6:$AD$505,"&gt;"&amp;$A36,実績!$AE$6:$AE$505,"○")&gt;0,1,0))</f>
        <v/>
      </c>
      <c r="CH36">
        <f>IF(CH$4=0,0,IF(COUNTIFS(実績!$W$6:$W$505,CH$3,実績!$AC$6:$AC$505,"&lt;="&amp;$A36,実績!$AD$6:$AD$505,"&gt;"&amp;$A36,実績!$AE$6:$AE$505,"○")&gt;0,1,0))</f>
        <v/>
      </c>
      <c r="CI36">
        <f>IF(CI$4=0,0,IF(COUNTIFS(実績!$W$6:$W$505,CI$3,実績!$AC$6:$AC$505,"&lt;="&amp;$A36,実績!$AD$6:$AD$505,"&gt;"&amp;$A36,実績!$AE$6:$AE$505,"○")&gt;0,1,0))</f>
        <v/>
      </c>
      <c r="CJ36">
        <f>IF(CJ$4=0,0,IF(COUNTIFS(実績!$W$6:$W$505,CJ$3,実績!$AC$6:$AC$505,"&lt;="&amp;$A36,実績!$AD$6:$AD$505,"&gt;"&amp;$A36,実績!$AE$6:$AE$505,"○")&gt;0,1,0))</f>
        <v/>
      </c>
      <c r="CK36">
        <f>IF(CK$4=0,0,IF(COUNTIFS(実績!$W$6:$W$505,CK$3,実績!$AC$6:$AC$505,"&lt;="&amp;$A36,実績!$AD$6:$AD$505,"&gt;"&amp;$A36,実績!$AE$6:$AE$505,"○")&gt;0,1,0))</f>
        <v/>
      </c>
      <c r="CL36">
        <f>IF(CL$4=0,0,IF(COUNTIFS(実績!$W$6:$W$505,CL$3,実績!$AC$6:$AC$505,"&lt;="&amp;$A36,実績!$AD$6:$AD$505,"&gt;"&amp;$A36,実績!$AE$6:$AE$505,"○")&gt;0,1,0))</f>
        <v/>
      </c>
      <c r="CM36">
        <f>IF(CM$4=0,0,IF(COUNTIFS(実績!$W$6:$W$505,CM$3,実績!$AC$6:$AC$505,"&lt;="&amp;$A36,実績!$AD$6:$AD$505,"&gt;"&amp;$A36,実績!$AE$6:$AE$505,"○")&gt;0,1,0))</f>
        <v/>
      </c>
      <c r="CN36">
        <f>IF(CN$4=0,0,IF(COUNTIFS(実績!$W$6:$W$505,CN$3,実績!$AC$6:$AC$505,"&lt;="&amp;$A36,実績!$AD$6:$AD$505,"&gt;"&amp;$A36,実績!$AE$6:$AE$505,"○")&gt;0,1,0))</f>
        <v/>
      </c>
      <c r="CO36">
        <f>IF(CO$4=0,0,IF(COUNTIFS(実績!$W$6:$W$505,CO$3,実績!$AC$6:$AC$505,"&lt;="&amp;$A36,実績!$AD$6:$AD$505,"&gt;"&amp;$A36,実績!$AE$6:$AE$505,"○")&gt;0,1,0))</f>
        <v/>
      </c>
      <c r="CP36">
        <f>IF(CP$4=0,0,IF(COUNTIFS(実績!$W$6:$W$505,CP$3,実績!$AC$6:$AC$505,"&lt;="&amp;$A36,実績!$AD$6:$AD$505,"&gt;"&amp;$A36,実績!$AE$6:$AE$505,"○")&gt;0,1,0))</f>
        <v/>
      </c>
      <c r="CQ36">
        <f>IF(CQ$4=0,0,IF(COUNTIFS(実績!$W$6:$W$505,CQ$3,実績!$AC$6:$AC$505,"&lt;="&amp;$A36,実績!$AD$6:$AD$505,"&gt;"&amp;$A36,実績!$AE$6:$AE$505,"○")&gt;0,1,0))</f>
        <v/>
      </c>
      <c r="CR36">
        <f>IF(CR$4=0,0,IF(COUNTIFS(実績!$W$6:$W$505,CR$3,実績!$AC$6:$AC$505,"&lt;="&amp;$A36,実績!$AD$6:$AD$505,"&gt;"&amp;$A36,実績!$AE$6:$AE$505,"○")&gt;0,1,0))</f>
        <v/>
      </c>
      <c r="CS36">
        <f>IF(CS$4=0,0,IF(COUNTIFS(実績!$W$6:$W$505,CS$3,実績!$AC$6:$AC$505,"&lt;="&amp;$A36,実績!$AD$6:$AD$505,"&gt;"&amp;$A36,実績!$AE$6:$AE$505,"○")&gt;0,1,0))</f>
        <v/>
      </c>
      <c r="CT36">
        <f>IF(CT$4=0,0,IF(COUNTIFS(実績!$W$6:$W$505,CT$3,実績!$AC$6:$AC$505,"&lt;="&amp;$A36,実績!$AD$6:$AD$505,"&gt;"&amp;$A36,実績!$AE$6:$AE$505,"○")&gt;0,1,0))</f>
        <v/>
      </c>
      <c r="CU36">
        <f>IF(CU$4=0,0,IF(COUNTIFS(実績!$W$6:$W$505,CU$3,実績!$AC$6:$AC$505,"&lt;="&amp;$A36,実績!$AD$6:$AD$505,"&gt;"&amp;$A36,実績!$AE$6:$AE$505,"○")&gt;0,1,0))</f>
        <v/>
      </c>
      <c r="CV36">
        <f>IF(CV$4=0,0,IF(COUNTIFS(実績!$W$6:$W$505,CV$3,実績!$AC$6:$AC$505,"&lt;="&amp;$A36,実績!$AD$6:$AD$505,"&gt;"&amp;$A36,実績!$AE$6:$AE$505,"○")&gt;0,1,0))</f>
        <v/>
      </c>
      <c r="CW36">
        <f>IF(CW$4=0,0,IF(COUNTIFS(実績!$W$6:$W$505,CW$3,実績!$AC$6:$AC$505,"&lt;="&amp;$A36,実績!$AD$6:$AD$505,"&gt;"&amp;$A36,実績!$AE$6:$AE$505,"○")&gt;0,1,0))</f>
        <v/>
      </c>
      <c r="CX36">
        <f>IF(CX$4=0,0,IF(COUNTIFS(実績!$W$6:$W$505,CX$3,実績!$AC$6:$AC$505,"&lt;="&amp;$A36,実績!$AD$6:$AD$505,"&gt;"&amp;$A36,実績!$AE$6:$AE$505,"○")&gt;0,1,0))</f>
        <v/>
      </c>
      <c r="CY36">
        <f>IF(CY$4=0,0,IF(COUNTIFS(実績!$W$6:$W$505,CY$3,実績!$AC$6:$AC$505,"&lt;="&amp;$A36,実績!$AD$6:$AD$505,"&gt;"&amp;$A36,実績!$AE$6:$AE$505,"○")&gt;0,1,0))</f>
        <v/>
      </c>
      <c r="CZ36">
        <f>IF(CZ$4=0,0,IF(COUNTIFS(実績!$W$6:$W$505,CZ$3,実績!$AC$6:$AC$505,"&lt;="&amp;$A36,実績!$AD$6:$AD$505,"&gt;"&amp;$A36,実績!$AE$6:$AE$505,"○")&gt;0,1,0))</f>
        <v/>
      </c>
      <c r="DA36">
        <f>IF(DA$4=0,0,IF(COUNTIFS(実績!$W$6:$W$505,DA$3,実績!$AC$6:$AC$505,"&lt;="&amp;$A36,実績!$AD$6:$AD$505,"&gt;"&amp;$A36,実績!$AE$6:$AE$505,"○")&gt;0,1,0))</f>
        <v/>
      </c>
      <c r="DB36">
        <f>IF(DB$4=0,0,IF(COUNTIFS(実績!$W$6:$W$505,DB$3,実績!$AC$6:$AC$505,"&lt;="&amp;$A36,実績!$AD$6:$AD$505,"&gt;"&amp;$A36,実績!$AE$6:$AE$505,"○")&gt;0,1,0))</f>
        <v/>
      </c>
      <c r="DC36">
        <f>IF(DC$4=0,0,IF(COUNTIFS(実績!$W$6:$W$505,DC$3,実績!$AC$6:$AC$505,"&lt;="&amp;$A36,実績!$AD$6:$AD$505,"&gt;"&amp;$A36,実績!$AE$6:$AE$505,"○")&gt;0,1,0))</f>
        <v/>
      </c>
      <c r="DD36">
        <f>IF(DD$4=0,0,IF(COUNTIFS(実績!$W$6:$W$505,DD$3,実績!$AC$6:$AC$505,"&lt;="&amp;$A36,実績!$AD$6:$AD$505,"&gt;"&amp;$A36,実績!$AE$6:$AE$505,"○")&gt;0,1,0))</f>
        <v/>
      </c>
      <c r="DE36">
        <f>IF(DE$4=0,0,IF(COUNTIFS(実績!$W$6:$W$505,DE$3,実績!$AC$6:$AC$505,"&lt;="&amp;$A36,実績!$AD$6:$AD$505,"&gt;"&amp;$A36,実績!$AE$6:$AE$505,"○")&gt;0,1,0))</f>
        <v/>
      </c>
      <c r="DF36">
        <f>IF(DF$4=0,0,IF(COUNTIFS(実績!$W$6:$W$505,DF$3,実績!$AC$6:$AC$505,"&lt;="&amp;$A36,実績!$AD$6:$AD$505,"&gt;"&amp;$A36,実績!$AE$6:$AE$505,"○")&gt;0,1,0))</f>
        <v/>
      </c>
      <c r="DG36">
        <f>IF(DG$4=0,0,IF(COUNTIFS(実績!$W$6:$W$505,DG$3,実績!$AC$6:$AC$505,"&lt;="&amp;$A36,実績!$AD$6:$AD$505,"&gt;"&amp;$A36,実績!$AE$6:$AE$505,"○")&gt;0,1,0))</f>
        <v/>
      </c>
      <c r="DH36">
        <f>IF(DH$4=0,0,IF(COUNTIFS(実績!$W$6:$W$505,DH$3,実績!$AC$6:$AC$505,"&lt;="&amp;$A36,実績!$AD$6:$AD$505,"&gt;"&amp;$A36,実績!$AE$6:$AE$505,"○")&gt;0,1,0))</f>
        <v/>
      </c>
      <c r="DI36">
        <f>IF(DI$4=0,0,IF(COUNTIFS(実績!$W$6:$W$505,DI$3,実績!$AC$6:$AC$505,"&lt;="&amp;$A36,実績!$AD$6:$AD$505,"&gt;"&amp;$A36,実績!$AE$6:$AE$505,"○")&gt;0,1,0))</f>
        <v/>
      </c>
      <c r="DJ36">
        <f>IF(DJ$4=0,0,IF(COUNTIFS(実績!$W$6:$W$505,DJ$3,実績!$AC$6:$AC$505,"&lt;="&amp;$A36,実績!$AD$6:$AD$505,"&gt;"&amp;$A36,実績!$AE$6:$AE$505,"○")&gt;0,1,0))</f>
        <v/>
      </c>
      <c r="DK36">
        <f>IF(DK$4=0,0,IF(COUNTIFS(実績!$W$6:$W$505,DK$3,実績!$AC$6:$AC$505,"&lt;="&amp;$A36,実績!$AD$6:$AD$505,"&gt;"&amp;$A36,実績!$AE$6:$AE$505,"○")&gt;0,1,0))</f>
        <v/>
      </c>
      <c r="DL36">
        <f>IF(DL$4=0,0,IF(COUNTIFS(実績!$W$6:$W$505,DL$3,実績!$AC$6:$AC$505,"&lt;="&amp;$A36,実績!$AD$6:$AD$505,"&gt;"&amp;$A36,実績!$AE$6:$AE$505,"○")&gt;0,1,0))</f>
        <v/>
      </c>
      <c r="DM36">
        <f>IF(DM$4=0,0,IF(COUNTIFS(実績!$W$6:$W$505,DM$3,実績!$AC$6:$AC$505,"&lt;="&amp;$A36,実績!$AD$6:$AD$505,"&gt;"&amp;$A36,実績!$AE$6:$AE$505,"○")&gt;0,1,0))</f>
        <v/>
      </c>
      <c r="DN36">
        <f>IF(DN$4=0,0,IF(COUNTIFS(実績!$W$6:$W$505,DN$3,実績!$AC$6:$AC$505,"&lt;="&amp;$A36,実績!$AD$6:$AD$505,"&gt;"&amp;$A36,実績!$AE$6:$AE$505,"○")&gt;0,1,0))</f>
        <v/>
      </c>
      <c r="DO36">
        <f>IF(DO$4=0,0,IF(COUNTIFS(実績!$W$6:$W$505,DO$3,実績!$AC$6:$AC$505,"&lt;="&amp;$A36,実績!$AD$6:$AD$505,"&gt;"&amp;$A36,実績!$AE$6:$AE$505,"○")&gt;0,1,0))</f>
        <v/>
      </c>
      <c r="DP36">
        <f>IF(DP$4=0,0,IF(COUNTIFS(実績!$W$6:$W$505,DP$3,実績!$AC$6:$AC$505,"&lt;="&amp;$A36,実績!$AD$6:$AD$505,"&gt;"&amp;$A36,実績!$AE$6:$AE$505,"○")&gt;0,1,0))</f>
        <v/>
      </c>
      <c r="DQ36">
        <f>IF(DQ$4=0,0,IF(COUNTIFS(実績!$W$6:$W$505,DQ$3,実績!$AC$6:$AC$505,"&lt;="&amp;$A36,実績!$AD$6:$AD$505,"&gt;"&amp;$A36,実績!$AE$6:$AE$505,"○")&gt;0,1,0))</f>
        <v/>
      </c>
      <c r="DR36">
        <f>IF(DR$4=0,0,IF(COUNTIFS(実績!$W$6:$W$505,DR$3,実績!$AC$6:$AC$505,"&lt;="&amp;$A36,実績!$AD$6:$AD$505,"&gt;"&amp;$A36,実績!$AE$6:$AE$505,"○")&gt;0,1,0))</f>
        <v/>
      </c>
      <c r="DS36">
        <f>SUM(C36:DR36)</f>
        <v/>
      </c>
      <c r="DT36">
        <f>SUMPRODUCT((実績!$C$6:$C$505="○")*ISNUMBER(実績!$AF$6:$AF$505)*(実績!$AF$6:$AF$505&lt;=$A36)*(実績!$AG$6:$AG$505&gt;$A36))</f>
        <v/>
      </c>
      <c r="DU36">
        <f>SUMIF($C$2:$DR$2,"製鉄曳船",C36:DR36)</f>
        <v/>
      </c>
      <c r="DV36">
        <f>SUMIF($C$2:$DR$2,"西日本海運",C36:DR36)</f>
        <v/>
      </c>
    </row>
    <row r="37">
      <c r="A37" t="n">
        <v>155</v>
      </c>
      <c r="B37" s="29">
        <f>A37/1440</f>
        <v/>
      </c>
      <c r="C37">
        <f>IF(C$4=0,0,IF(COUNTIFS(実績!$W$6:$W$505,C$3,実績!$AC$6:$AC$505,"&lt;="&amp;$A37,実績!$AD$6:$AD$505,"&gt;"&amp;$A37,実績!$AE$6:$AE$505,"○")&gt;0,1,0))</f>
        <v/>
      </c>
      <c r="D37">
        <f>IF(D$4=0,0,IF(COUNTIFS(実績!$W$6:$W$505,D$3,実績!$AC$6:$AC$505,"&lt;="&amp;$A37,実績!$AD$6:$AD$505,"&gt;"&amp;$A37,実績!$AE$6:$AE$505,"○")&gt;0,1,0))</f>
        <v/>
      </c>
      <c r="E37">
        <f>IF(E$4=0,0,IF(COUNTIFS(実績!$W$6:$W$505,E$3,実績!$AC$6:$AC$505,"&lt;="&amp;$A37,実績!$AD$6:$AD$505,"&gt;"&amp;$A37,実績!$AE$6:$AE$505,"○")&gt;0,1,0))</f>
        <v/>
      </c>
      <c r="F37">
        <f>IF(F$4=0,0,IF(COUNTIFS(実績!$W$6:$W$505,F$3,実績!$AC$6:$AC$505,"&lt;="&amp;$A37,実績!$AD$6:$AD$505,"&gt;"&amp;$A37,実績!$AE$6:$AE$505,"○")&gt;0,1,0))</f>
        <v/>
      </c>
      <c r="G37">
        <f>IF(G$4=0,0,IF(COUNTIFS(実績!$W$6:$W$505,G$3,実績!$AC$6:$AC$505,"&lt;="&amp;$A37,実績!$AD$6:$AD$505,"&gt;"&amp;$A37,実績!$AE$6:$AE$505,"○")&gt;0,1,0))</f>
        <v/>
      </c>
      <c r="H37">
        <f>IF(H$4=0,0,IF(COUNTIFS(実績!$W$6:$W$505,H$3,実績!$AC$6:$AC$505,"&lt;="&amp;$A37,実績!$AD$6:$AD$505,"&gt;"&amp;$A37,実績!$AE$6:$AE$505,"○")&gt;0,1,0))</f>
        <v/>
      </c>
      <c r="I37">
        <f>IF(I$4=0,0,IF(COUNTIFS(実績!$W$6:$W$505,I$3,実績!$AC$6:$AC$505,"&lt;="&amp;$A37,実績!$AD$6:$AD$505,"&gt;"&amp;$A37,実績!$AE$6:$AE$505,"○")&gt;0,1,0))</f>
        <v/>
      </c>
      <c r="J37">
        <f>IF(J$4=0,0,IF(COUNTIFS(実績!$W$6:$W$505,J$3,実績!$AC$6:$AC$505,"&lt;="&amp;$A37,実績!$AD$6:$AD$505,"&gt;"&amp;$A37,実績!$AE$6:$AE$505,"○")&gt;0,1,0))</f>
        <v/>
      </c>
      <c r="K37">
        <f>IF(K$4=0,0,IF(COUNTIFS(実績!$W$6:$W$505,K$3,実績!$AC$6:$AC$505,"&lt;="&amp;$A37,実績!$AD$6:$AD$505,"&gt;"&amp;$A37,実績!$AE$6:$AE$505,"○")&gt;0,1,0))</f>
        <v/>
      </c>
      <c r="L37">
        <f>IF(L$4=0,0,IF(COUNTIFS(実績!$W$6:$W$505,L$3,実績!$AC$6:$AC$505,"&lt;="&amp;$A37,実績!$AD$6:$AD$505,"&gt;"&amp;$A37,実績!$AE$6:$AE$505,"○")&gt;0,1,0))</f>
        <v/>
      </c>
      <c r="M37">
        <f>IF(M$4=0,0,IF(COUNTIFS(実績!$W$6:$W$505,M$3,実績!$AC$6:$AC$505,"&lt;="&amp;$A37,実績!$AD$6:$AD$505,"&gt;"&amp;$A37,実績!$AE$6:$AE$505,"○")&gt;0,1,0))</f>
        <v/>
      </c>
      <c r="N37">
        <f>IF(N$4=0,0,IF(COUNTIFS(実績!$W$6:$W$505,N$3,実績!$AC$6:$AC$505,"&lt;="&amp;$A37,実績!$AD$6:$AD$505,"&gt;"&amp;$A37,実績!$AE$6:$AE$505,"○")&gt;0,1,0))</f>
        <v/>
      </c>
      <c r="O37">
        <f>IF(O$4=0,0,IF(COUNTIFS(実績!$W$6:$W$505,O$3,実績!$AC$6:$AC$505,"&lt;="&amp;$A37,実績!$AD$6:$AD$505,"&gt;"&amp;$A37,実績!$AE$6:$AE$505,"○")&gt;0,1,0))</f>
        <v/>
      </c>
      <c r="P37">
        <f>IF(P$4=0,0,IF(COUNTIFS(実績!$W$6:$W$505,P$3,実績!$AC$6:$AC$505,"&lt;="&amp;$A37,実績!$AD$6:$AD$505,"&gt;"&amp;$A37,実績!$AE$6:$AE$505,"○")&gt;0,1,0))</f>
        <v/>
      </c>
      <c r="Q37">
        <f>IF(Q$4=0,0,IF(COUNTIFS(実績!$W$6:$W$505,Q$3,実績!$AC$6:$AC$505,"&lt;="&amp;$A37,実績!$AD$6:$AD$505,"&gt;"&amp;$A37,実績!$AE$6:$AE$505,"○")&gt;0,1,0))</f>
        <v/>
      </c>
      <c r="R37">
        <f>IF(R$4=0,0,IF(COUNTIFS(実績!$W$6:$W$505,R$3,実績!$AC$6:$AC$505,"&lt;="&amp;$A37,実績!$AD$6:$AD$505,"&gt;"&amp;$A37,実績!$AE$6:$AE$505,"○")&gt;0,1,0))</f>
        <v/>
      </c>
      <c r="S37">
        <f>IF(S$4=0,0,IF(COUNTIFS(実績!$W$6:$W$505,S$3,実績!$AC$6:$AC$505,"&lt;="&amp;$A37,実績!$AD$6:$AD$505,"&gt;"&amp;$A37,実績!$AE$6:$AE$505,"○")&gt;0,1,0))</f>
        <v/>
      </c>
      <c r="T37">
        <f>IF(T$4=0,0,IF(COUNTIFS(実績!$W$6:$W$505,T$3,実績!$AC$6:$AC$505,"&lt;="&amp;$A37,実績!$AD$6:$AD$505,"&gt;"&amp;$A37,実績!$AE$6:$AE$505,"○")&gt;0,1,0))</f>
        <v/>
      </c>
      <c r="U37">
        <f>IF(U$4=0,0,IF(COUNTIFS(実績!$W$6:$W$505,U$3,実績!$AC$6:$AC$505,"&lt;="&amp;$A37,実績!$AD$6:$AD$505,"&gt;"&amp;$A37,実績!$AE$6:$AE$505,"○")&gt;0,1,0))</f>
        <v/>
      </c>
      <c r="V37">
        <f>IF(V$4=0,0,IF(COUNTIFS(実績!$W$6:$W$505,V$3,実績!$AC$6:$AC$505,"&lt;="&amp;$A37,実績!$AD$6:$AD$505,"&gt;"&amp;$A37,実績!$AE$6:$AE$505,"○")&gt;0,1,0))</f>
        <v/>
      </c>
      <c r="W37">
        <f>IF(W$4=0,0,IF(COUNTIFS(実績!$W$6:$W$505,W$3,実績!$AC$6:$AC$505,"&lt;="&amp;$A37,実績!$AD$6:$AD$505,"&gt;"&amp;$A37,実績!$AE$6:$AE$505,"○")&gt;0,1,0))</f>
        <v/>
      </c>
      <c r="X37">
        <f>IF(X$4=0,0,IF(COUNTIFS(実績!$W$6:$W$505,X$3,実績!$AC$6:$AC$505,"&lt;="&amp;$A37,実績!$AD$6:$AD$505,"&gt;"&amp;$A37,実績!$AE$6:$AE$505,"○")&gt;0,1,0))</f>
        <v/>
      </c>
      <c r="Y37">
        <f>IF(Y$4=0,0,IF(COUNTIFS(実績!$W$6:$W$505,Y$3,実績!$AC$6:$AC$505,"&lt;="&amp;$A37,実績!$AD$6:$AD$505,"&gt;"&amp;$A37,実績!$AE$6:$AE$505,"○")&gt;0,1,0))</f>
        <v/>
      </c>
      <c r="Z37">
        <f>IF(Z$4=0,0,IF(COUNTIFS(実績!$W$6:$W$505,Z$3,実績!$AC$6:$AC$505,"&lt;="&amp;$A37,実績!$AD$6:$AD$505,"&gt;"&amp;$A37,実績!$AE$6:$AE$505,"○")&gt;0,1,0))</f>
        <v/>
      </c>
      <c r="AA37">
        <f>IF(AA$4=0,0,IF(COUNTIFS(実績!$W$6:$W$505,AA$3,実績!$AC$6:$AC$505,"&lt;="&amp;$A37,実績!$AD$6:$AD$505,"&gt;"&amp;$A37,実績!$AE$6:$AE$505,"○")&gt;0,1,0))</f>
        <v/>
      </c>
      <c r="AB37">
        <f>IF(AB$4=0,0,IF(COUNTIFS(実績!$W$6:$W$505,AB$3,実績!$AC$6:$AC$505,"&lt;="&amp;$A37,実績!$AD$6:$AD$505,"&gt;"&amp;$A37,実績!$AE$6:$AE$505,"○")&gt;0,1,0))</f>
        <v/>
      </c>
      <c r="AC37">
        <f>IF(AC$4=0,0,IF(COUNTIFS(実績!$W$6:$W$505,AC$3,実績!$AC$6:$AC$505,"&lt;="&amp;$A37,実績!$AD$6:$AD$505,"&gt;"&amp;$A37,実績!$AE$6:$AE$505,"○")&gt;0,1,0))</f>
        <v/>
      </c>
      <c r="AD37">
        <f>IF(AD$4=0,0,IF(COUNTIFS(実績!$W$6:$W$505,AD$3,実績!$AC$6:$AC$505,"&lt;="&amp;$A37,実績!$AD$6:$AD$505,"&gt;"&amp;$A37,実績!$AE$6:$AE$505,"○")&gt;0,1,0))</f>
        <v/>
      </c>
      <c r="AE37">
        <f>IF(AE$4=0,0,IF(COUNTIFS(実績!$W$6:$W$505,AE$3,実績!$AC$6:$AC$505,"&lt;="&amp;$A37,実績!$AD$6:$AD$505,"&gt;"&amp;$A37,実績!$AE$6:$AE$505,"○")&gt;0,1,0))</f>
        <v/>
      </c>
      <c r="AF37">
        <f>IF(AF$4=0,0,IF(COUNTIFS(実績!$W$6:$W$505,AF$3,実績!$AC$6:$AC$505,"&lt;="&amp;$A37,実績!$AD$6:$AD$505,"&gt;"&amp;$A37,実績!$AE$6:$AE$505,"○")&gt;0,1,0))</f>
        <v/>
      </c>
      <c r="AG37">
        <f>IF(AG$4=0,0,IF(COUNTIFS(実績!$W$6:$W$505,AG$3,実績!$AC$6:$AC$505,"&lt;="&amp;$A37,実績!$AD$6:$AD$505,"&gt;"&amp;$A37,実績!$AE$6:$AE$505,"○")&gt;0,1,0))</f>
        <v/>
      </c>
      <c r="AH37">
        <f>IF(AH$4=0,0,IF(COUNTIFS(実績!$W$6:$W$505,AH$3,実績!$AC$6:$AC$505,"&lt;="&amp;$A37,実績!$AD$6:$AD$505,"&gt;"&amp;$A37,実績!$AE$6:$AE$505,"○")&gt;0,1,0))</f>
        <v/>
      </c>
      <c r="AI37">
        <f>IF(AI$4=0,0,IF(COUNTIFS(実績!$W$6:$W$505,AI$3,実績!$AC$6:$AC$505,"&lt;="&amp;$A37,実績!$AD$6:$AD$505,"&gt;"&amp;$A37,実績!$AE$6:$AE$505,"○")&gt;0,1,0))</f>
        <v/>
      </c>
      <c r="AJ37">
        <f>IF(AJ$4=0,0,IF(COUNTIFS(実績!$W$6:$W$505,AJ$3,実績!$AC$6:$AC$505,"&lt;="&amp;$A37,実績!$AD$6:$AD$505,"&gt;"&amp;$A37,実績!$AE$6:$AE$505,"○")&gt;0,1,0))</f>
        <v/>
      </c>
      <c r="AK37">
        <f>IF(AK$4=0,0,IF(COUNTIFS(実績!$W$6:$W$505,AK$3,実績!$AC$6:$AC$505,"&lt;="&amp;$A37,実績!$AD$6:$AD$505,"&gt;"&amp;$A37,実績!$AE$6:$AE$505,"○")&gt;0,1,0))</f>
        <v/>
      </c>
      <c r="AL37">
        <f>IF(AL$4=0,0,IF(COUNTIFS(実績!$W$6:$W$505,AL$3,実績!$AC$6:$AC$505,"&lt;="&amp;$A37,実績!$AD$6:$AD$505,"&gt;"&amp;$A37,実績!$AE$6:$AE$505,"○")&gt;0,1,0))</f>
        <v/>
      </c>
      <c r="AM37">
        <f>IF(AM$4=0,0,IF(COUNTIFS(実績!$W$6:$W$505,AM$3,実績!$AC$6:$AC$505,"&lt;="&amp;$A37,実績!$AD$6:$AD$505,"&gt;"&amp;$A37,実績!$AE$6:$AE$505,"○")&gt;0,1,0))</f>
        <v/>
      </c>
      <c r="AN37">
        <f>IF(AN$4=0,0,IF(COUNTIFS(実績!$W$6:$W$505,AN$3,実績!$AC$6:$AC$505,"&lt;="&amp;$A37,実績!$AD$6:$AD$505,"&gt;"&amp;$A37,実績!$AE$6:$AE$505,"○")&gt;0,1,0))</f>
        <v/>
      </c>
      <c r="AO37">
        <f>IF(AO$4=0,0,IF(COUNTIFS(実績!$W$6:$W$505,AO$3,実績!$AC$6:$AC$505,"&lt;="&amp;$A37,実績!$AD$6:$AD$505,"&gt;"&amp;$A37,実績!$AE$6:$AE$505,"○")&gt;0,1,0))</f>
        <v/>
      </c>
      <c r="AP37">
        <f>IF(AP$4=0,0,IF(COUNTIFS(実績!$W$6:$W$505,AP$3,実績!$AC$6:$AC$505,"&lt;="&amp;$A37,実績!$AD$6:$AD$505,"&gt;"&amp;$A37,実績!$AE$6:$AE$505,"○")&gt;0,1,0))</f>
        <v/>
      </c>
      <c r="AQ37">
        <f>IF(AQ$4=0,0,IF(COUNTIFS(実績!$W$6:$W$505,AQ$3,実績!$AC$6:$AC$505,"&lt;="&amp;$A37,実績!$AD$6:$AD$505,"&gt;"&amp;$A37,実績!$AE$6:$AE$505,"○")&gt;0,1,0))</f>
        <v/>
      </c>
      <c r="AR37">
        <f>IF(AR$4=0,0,IF(COUNTIFS(実績!$W$6:$W$505,AR$3,実績!$AC$6:$AC$505,"&lt;="&amp;$A37,実績!$AD$6:$AD$505,"&gt;"&amp;$A37,実績!$AE$6:$AE$505,"○")&gt;0,1,0))</f>
        <v/>
      </c>
      <c r="AS37">
        <f>IF(AS$4=0,0,IF(COUNTIFS(実績!$W$6:$W$505,AS$3,実績!$AC$6:$AC$505,"&lt;="&amp;$A37,実績!$AD$6:$AD$505,"&gt;"&amp;$A37,実績!$AE$6:$AE$505,"○")&gt;0,1,0))</f>
        <v/>
      </c>
      <c r="AT37">
        <f>IF(AT$4=0,0,IF(COUNTIFS(実績!$W$6:$W$505,AT$3,実績!$AC$6:$AC$505,"&lt;="&amp;$A37,実績!$AD$6:$AD$505,"&gt;"&amp;$A37,実績!$AE$6:$AE$505,"○")&gt;0,1,0))</f>
        <v/>
      </c>
      <c r="AU37">
        <f>IF(AU$4=0,0,IF(COUNTIFS(実績!$W$6:$W$505,AU$3,実績!$AC$6:$AC$505,"&lt;="&amp;$A37,実績!$AD$6:$AD$505,"&gt;"&amp;$A37,実績!$AE$6:$AE$505,"○")&gt;0,1,0))</f>
        <v/>
      </c>
      <c r="AV37">
        <f>IF(AV$4=0,0,IF(COUNTIFS(実績!$W$6:$W$505,AV$3,実績!$AC$6:$AC$505,"&lt;="&amp;$A37,実績!$AD$6:$AD$505,"&gt;"&amp;$A37,実績!$AE$6:$AE$505,"○")&gt;0,1,0))</f>
        <v/>
      </c>
      <c r="AW37">
        <f>IF(AW$4=0,0,IF(COUNTIFS(実績!$W$6:$W$505,AW$3,実績!$AC$6:$AC$505,"&lt;="&amp;$A37,実績!$AD$6:$AD$505,"&gt;"&amp;$A37,実績!$AE$6:$AE$505,"○")&gt;0,1,0))</f>
        <v/>
      </c>
      <c r="AX37">
        <f>IF(AX$4=0,0,IF(COUNTIFS(実績!$W$6:$W$505,AX$3,実績!$AC$6:$AC$505,"&lt;="&amp;$A37,実績!$AD$6:$AD$505,"&gt;"&amp;$A37,実績!$AE$6:$AE$505,"○")&gt;0,1,0))</f>
        <v/>
      </c>
      <c r="AY37">
        <f>IF(AY$4=0,0,IF(COUNTIFS(実績!$W$6:$W$505,AY$3,実績!$AC$6:$AC$505,"&lt;="&amp;$A37,実績!$AD$6:$AD$505,"&gt;"&amp;$A37,実績!$AE$6:$AE$505,"○")&gt;0,1,0))</f>
        <v/>
      </c>
      <c r="AZ37">
        <f>IF(AZ$4=0,0,IF(COUNTIFS(実績!$W$6:$W$505,AZ$3,実績!$AC$6:$AC$505,"&lt;="&amp;$A37,実績!$AD$6:$AD$505,"&gt;"&amp;$A37,実績!$AE$6:$AE$505,"○")&gt;0,1,0))</f>
        <v/>
      </c>
      <c r="BA37">
        <f>IF(BA$4=0,0,IF(COUNTIFS(実績!$W$6:$W$505,BA$3,実績!$AC$6:$AC$505,"&lt;="&amp;$A37,実績!$AD$6:$AD$505,"&gt;"&amp;$A37,実績!$AE$6:$AE$505,"○")&gt;0,1,0))</f>
        <v/>
      </c>
      <c r="BB37">
        <f>IF(BB$4=0,0,IF(COUNTIFS(実績!$W$6:$W$505,BB$3,実績!$AC$6:$AC$505,"&lt;="&amp;$A37,実績!$AD$6:$AD$505,"&gt;"&amp;$A37,実績!$AE$6:$AE$505,"○")&gt;0,1,0))</f>
        <v/>
      </c>
      <c r="BC37">
        <f>IF(BC$4=0,0,IF(COUNTIFS(実績!$W$6:$W$505,BC$3,実績!$AC$6:$AC$505,"&lt;="&amp;$A37,実績!$AD$6:$AD$505,"&gt;"&amp;$A37,実績!$AE$6:$AE$505,"○")&gt;0,1,0))</f>
        <v/>
      </c>
      <c r="BD37">
        <f>IF(BD$4=0,0,IF(COUNTIFS(実績!$W$6:$W$505,BD$3,実績!$AC$6:$AC$505,"&lt;="&amp;$A37,実績!$AD$6:$AD$505,"&gt;"&amp;$A37,実績!$AE$6:$AE$505,"○")&gt;0,1,0))</f>
        <v/>
      </c>
      <c r="BE37">
        <f>IF(BE$4=0,0,IF(COUNTIFS(実績!$W$6:$W$505,BE$3,実績!$AC$6:$AC$505,"&lt;="&amp;$A37,実績!$AD$6:$AD$505,"&gt;"&amp;$A37,実績!$AE$6:$AE$505,"○")&gt;0,1,0))</f>
        <v/>
      </c>
      <c r="BF37">
        <f>IF(BF$4=0,0,IF(COUNTIFS(実績!$W$6:$W$505,BF$3,実績!$AC$6:$AC$505,"&lt;="&amp;$A37,実績!$AD$6:$AD$505,"&gt;"&amp;$A37,実績!$AE$6:$AE$505,"○")&gt;0,1,0))</f>
        <v/>
      </c>
      <c r="BG37">
        <f>IF(BG$4=0,0,IF(COUNTIFS(実績!$W$6:$W$505,BG$3,実績!$AC$6:$AC$505,"&lt;="&amp;$A37,実績!$AD$6:$AD$505,"&gt;"&amp;$A37,実績!$AE$6:$AE$505,"○")&gt;0,1,0))</f>
        <v/>
      </c>
      <c r="BH37">
        <f>IF(BH$4=0,0,IF(COUNTIFS(実績!$W$6:$W$505,BH$3,実績!$AC$6:$AC$505,"&lt;="&amp;$A37,実績!$AD$6:$AD$505,"&gt;"&amp;$A37,実績!$AE$6:$AE$505,"○")&gt;0,1,0))</f>
        <v/>
      </c>
      <c r="BI37">
        <f>IF(BI$4=0,0,IF(COUNTIFS(実績!$W$6:$W$505,BI$3,実績!$AC$6:$AC$505,"&lt;="&amp;$A37,実績!$AD$6:$AD$505,"&gt;"&amp;$A37,実績!$AE$6:$AE$505,"○")&gt;0,1,0))</f>
        <v/>
      </c>
      <c r="BJ37">
        <f>IF(BJ$4=0,0,IF(COUNTIFS(実績!$W$6:$W$505,BJ$3,実績!$AC$6:$AC$505,"&lt;="&amp;$A37,実績!$AD$6:$AD$505,"&gt;"&amp;$A37,実績!$AE$6:$AE$505,"○")&gt;0,1,0))</f>
        <v/>
      </c>
      <c r="BK37">
        <f>IF(BK$4=0,0,IF(COUNTIFS(実績!$W$6:$W$505,BK$3,実績!$AC$6:$AC$505,"&lt;="&amp;$A37,実績!$AD$6:$AD$505,"&gt;"&amp;$A37,実績!$AE$6:$AE$505,"○")&gt;0,1,0))</f>
        <v/>
      </c>
      <c r="BL37">
        <f>IF(BL$4=0,0,IF(COUNTIFS(実績!$W$6:$W$505,BL$3,実績!$AC$6:$AC$505,"&lt;="&amp;$A37,実績!$AD$6:$AD$505,"&gt;"&amp;$A37,実績!$AE$6:$AE$505,"○")&gt;0,1,0))</f>
        <v/>
      </c>
      <c r="BM37">
        <f>IF(BM$4=0,0,IF(COUNTIFS(実績!$W$6:$W$505,BM$3,実績!$AC$6:$AC$505,"&lt;="&amp;$A37,実績!$AD$6:$AD$505,"&gt;"&amp;$A37,実績!$AE$6:$AE$505,"○")&gt;0,1,0))</f>
        <v/>
      </c>
      <c r="BN37">
        <f>IF(BN$4=0,0,IF(COUNTIFS(実績!$W$6:$W$505,BN$3,実績!$AC$6:$AC$505,"&lt;="&amp;$A37,実績!$AD$6:$AD$505,"&gt;"&amp;$A37,実績!$AE$6:$AE$505,"○")&gt;0,1,0))</f>
        <v/>
      </c>
      <c r="BO37">
        <f>IF(BO$4=0,0,IF(COUNTIFS(実績!$W$6:$W$505,BO$3,実績!$AC$6:$AC$505,"&lt;="&amp;$A37,実績!$AD$6:$AD$505,"&gt;"&amp;$A37,実績!$AE$6:$AE$505,"○")&gt;0,1,0))</f>
        <v/>
      </c>
      <c r="BP37">
        <f>IF(BP$4=0,0,IF(COUNTIFS(実績!$W$6:$W$505,BP$3,実績!$AC$6:$AC$505,"&lt;="&amp;$A37,実績!$AD$6:$AD$505,"&gt;"&amp;$A37,実績!$AE$6:$AE$505,"○")&gt;0,1,0))</f>
        <v/>
      </c>
      <c r="BQ37">
        <f>IF(BQ$4=0,0,IF(COUNTIFS(実績!$W$6:$W$505,BQ$3,実績!$AC$6:$AC$505,"&lt;="&amp;$A37,実績!$AD$6:$AD$505,"&gt;"&amp;$A37,実績!$AE$6:$AE$505,"○")&gt;0,1,0))</f>
        <v/>
      </c>
      <c r="BR37">
        <f>IF(BR$4=0,0,IF(COUNTIFS(実績!$W$6:$W$505,BR$3,実績!$AC$6:$AC$505,"&lt;="&amp;$A37,実績!$AD$6:$AD$505,"&gt;"&amp;$A37,実績!$AE$6:$AE$505,"○")&gt;0,1,0))</f>
        <v/>
      </c>
      <c r="BS37">
        <f>IF(BS$4=0,0,IF(COUNTIFS(実績!$W$6:$W$505,BS$3,実績!$AC$6:$AC$505,"&lt;="&amp;$A37,実績!$AD$6:$AD$505,"&gt;"&amp;$A37,実績!$AE$6:$AE$505,"○")&gt;0,1,0))</f>
        <v/>
      </c>
      <c r="BT37">
        <f>IF(BT$4=0,0,IF(COUNTIFS(実績!$W$6:$W$505,BT$3,実績!$AC$6:$AC$505,"&lt;="&amp;$A37,実績!$AD$6:$AD$505,"&gt;"&amp;$A37,実績!$AE$6:$AE$505,"○")&gt;0,1,0))</f>
        <v/>
      </c>
      <c r="BU37">
        <f>IF(BU$4=0,0,IF(COUNTIFS(実績!$W$6:$W$505,BU$3,実績!$AC$6:$AC$505,"&lt;="&amp;$A37,実績!$AD$6:$AD$505,"&gt;"&amp;$A37,実績!$AE$6:$AE$505,"○")&gt;0,1,0))</f>
        <v/>
      </c>
      <c r="BV37">
        <f>IF(BV$4=0,0,IF(COUNTIFS(実績!$W$6:$W$505,BV$3,実績!$AC$6:$AC$505,"&lt;="&amp;$A37,実績!$AD$6:$AD$505,"&gt;"&amp;$A37,実績!$AE$6:$AE$505,"○")&gt;0,1,0))</f>
        <v/>
      </c>
      <c r="BW37">
        <f>IF(BW$4=0,0,IF(COUNTIFS(実績!$W$6:$W$505,BW$3,実績!$AC$6:$AC$505,"&lt;="&amp;$A37,実績!$AD$6:$AD$505,"&gt;"&amp;$A37,実績!$AE$6:$AE$505,"○")&gt;0,1,0))</f>
        <v/>
      </c>
      <c r="BX37">
        <f>IF(BX$4=0,0,IF(COUNTIFS(実績!$W$6:$W$505,BX$3,実績!$AC$6:$AC$505,"&lt;="&amp;$A37,実績!$AD$6:$AD$505,"&gt;"&amp;$A37,実績!$AE$6:$AE$505,"○")&gt;0,1,0))</f>
        <v/>
      </c>
      <c r="BY37">
        <f>IF(BY$4=0,0,IF(COUNTIFS(実績!$W$6:$W$505,BY$3,実績!$AC$6:$AC$505,"&lt;="&amp;$A37,実績!$AD$6:$AD$505,"&gt;"&amp;$A37,実績!$AE$6:$AE$505,"○")&gt;0,1,0))</f>
        <v/>
      </c>
      <c r="BZ37">
        <f>IF(BZ$4=0,0,IF(COUNTIFS(実績!$W$6:$W$505,BZ$3,実績!$AC$6:$AC$505,"&lt;="&amp;$A37,実績!$AD$6:$AD$505,"&gt;"&amp;$A37,実績!$AE$6:$AE$505,"○")&gt;0,1,0))</f>
        <v/>
      </c>
      <c r="CA37">
        <f>IF(CA$4=0,0,IF(COUNTIFS(実績!$W$6:$W$505,CA$3,実績!$AC$6:$AC$505,"&lt;="&amp;$A37,実績!$AD$6:$AD$505,"&gt;"&amp;$A37,実績!$AE$6:$AE$505,"○")&gt;0,1,0))</f>
        <v/>
      </c>
      <c r="CB37">
        <f>IF(CB$4=0,0,IF(COUNTIFS(実績!$W$6:$W$505,CB$3,実績!$AC$6:$AC$505,"&lt;="&amp;$A37,実績!$AD$6:$AD$505,"&gt;"&amp;$A37,実績!$AE$6:$AE$505,"○")&gt;0,1,0))</f>
        <v/>
      </c>
      <c r="CC37">
        <f>IF(CC$4=0,0,IF(COUNTIFS(実績!$W$6:$W$505,CC$3,実績!$AC$6:$AC$505,"&lt;="&amp;$A37,実績!$AD$6:$AD$505,"&gt;"&amp;$A37,実績!$AE$6:$AE$505,"○")&gt;0,1,0))</f>
        <v/>
      </c>
      <c r="CD37">
        <f>IF(CD$4=0,0,IF(COUNTIFS(実績!$W$6:$W$505,CD$3,実績!$AC$6:$AC$505,"&lt;="&amp;$A37,実績!$AD$6:$AD$505,"&gt;"&amp;$A37,実績!$AE$6:$AE$505,"○")&gt;0,1,0))</f>
        <v/>
      </c>
      <c r="CE37">
        <f>IF(CE$4=0,0,IF(COUNTIFS(実績!$W$6:$W$505,CE$3,実績!$AC$6:$AC$505,"&lt;="&amp;$A37,実績!$AD$6:$AD$505,"&gt;"&amp;$A37,実績!$AE$6:$AE$505,"○")&gt;0,1,0))</f>
        <v/>
      </c>
      <c r="CF37">
        <f>IF(CF$4=0,0,IF(COUNTIFS(実績!$W$6:$W$505,CF$3,実績!$AC$6:$AC$505,"&lt;="&amp;$A37,実績!$AD$6:$AD$505,"&gt;"&amp;$A37,実績!$AE$6:$AE$505,"○")&gt;0,1,0))</f>
        <v/>
      </c>
      <c r="CG37">
        <f>IF(CG$4=0,0,IF(COUNTIFS(実績!$W$6:$W$505,CG$3,実績!$AC$6:$AC$505,"&lt;="&amp;$A37,実績!$AD$6:$AD$505,"&gt;"&amp;$A37,実績!$AE$6:$AE$505,"○")&gt;0,1,0))</f>
        <v/>
      </c>
      <c r="CH37">
        <f>IF(CH$4=0,0,IF(COUNTIFS(実績!$W$6:$W$505,CH$3,実績!$AC$6:$AC$505,"&lt;="&amp;$A37,実績!$AD$6:$AD$505,"&gt;"&amp;$A37,実績!$AE$6:$AE$505,"○")&gt;0,1,0))</f>
        <v/>
      </c>
      <c r="CI37">
        <f>IF(CI$4=0,0,IF(COUNTIFS(実績!$W$6:$W$505,CI$3,実績!$AC$6:$AC$505,"&lt;="&amp;$A37,実績!$AD$6:$AD$505,"&gt;"&amp;$A37,実績!$AE$6:$AE$505,"○")&gt;0,1,0))</f>
        <v/>
      </c>
      <c r="CJ37">
        <f>IF(CJ$4=0,0,IF(COUNTIFS(実績!$W$6:$W$505,CJ$3,実績!$AC$6:$AC$505,"&lt;="&amp;$A37,実績!$AD$6:$AD$505,"&gt;"&amp;$A37,実績!$AE$6:$AE$505,"○")&gt;0,1,0))</f>
        <v/>
      </c>
      <c r="CK37">
        <f>IF(CK$4=0,0,IF(COUNTIFS(実績!$W$6:$W$505,CK$3,実績!$AC$6:$AC$505,"&lt;="&amp;$A37,実績!$AD$6:$AD$505,"&gt;"&amp;$A37,実績!$AE$6:$AE$505,"○")&gt;0,1,0))</f>
        <v/>
      </c>
      <c r="CL37">
        <f>IF(CL$4=0,0,IF(COUNTIFS(実績!$W$6:$W$505,CL$3,実績!$AC$6:$AC$505,"&lt;="&amp;$A37,実績!$AD$6:$AD$505,"&gt;"&amp;$A37,実績!$AE$6:$AE$505,"○")&gt;0,1,0))</f>
        <v/>
      </c>
      <c r="CM37">
        <f>IF(CM$4=0,0,IF(COUNTIFS(実績!$W$6:$W$505,CM$3,実績!$AC$6:$AC$505,"&lt;="&amp;$A37,実績!$AD$6:$AD$505,"&gt;"&amp;$A37,実績!$AE$6:$AE$505,"○")&gt;0,1,0))</f>
        <v/>
      </c>
      <c r="CN37">
        <f>IF(CN$4=0,0,IF(COUNTIFS(実績!$W$6:$W$505,CN$3,実績!$AC$6:$AC$505,"&lt;="&amp;$A37,実績!$AD$6:$AD$505,"&gt;"&amp;$A37,実績!$AE$6:$AE$505,"○")&gt;0,1,0))</f>
        <v/>
      </c>
      <c r="CO37">
        <f>IF(CO$4=0,0,IF(COUNTIFS(実績!$W$6:$W$505,CO$3,実績!$AC$6:$AC$505,"&lt;="&amp;$A37,実績!$AD$6:$AD$505,"&gt;"&amp;$A37,実績!$AE$6:$AE$505,"○")&gt;0,1,0))</f>
        <v/>
      </c>
      <c r="CP37">
        <f>IF(CP$4=0,0,IF(COUNTIFS(実績!$W$6:$W$505,CP$3,実績!$AC$6:$AC$505,"&lt;="&amp;$A37,実績!$AD$6:$AD$505,"&gt;"&amp;$A37,実績!$AE$6:$AE$505,"○")&gt;0,1,0))</f>
        <v/>
      </c>
      <c r="CQ37">
        <f>IF(CQ$4=0,0,IF(COUNTIFS(実績!$W$6:$W$505,CQ$3,実績!$AC$6:$AC$505,"&lt;="&amp;$A37,実績!$AD$6:$AD$505,"&gt;"&amp;$A37,実績!$AE$6:$AE$505,"○")&gt;0,1,0))</f>
        <v/>
      </c>
      <c r="CR37">
        <f>IF(CR$4=0,0,IF(COUNTIFS(実績!$W$6:$W$505,CR$3,実績!$AC$6:$AC$505,"&lt;="&amp;$A37,実績!$AD$6:$AD$505,"&gt;"&amp;$A37,実績!$AE$6:$AE$505,"○")&gt;0,1,0))</f>
        <v/>
      </c>
      <c r="CS37">
        <f>IF(CS$4=0,0,IF(COUNTIFS(実績!$W$6:$W$505,CS$3,実績!$AC$6:$AC$505,"&lt;="&amp;$A37,実績!$AD$6:$AD$505,"&gt;"&amp;$A37,実績!$AE$6:$AE$505,"○")&gt;0,1,0))</f>
        <v/>
      </c>
      <c r="CT37">
        <f>IF(CT$4=0,0,IF(COUNTIFS(実績!$W$6:$W$505,CT$3,実績!$AC$6:$AC$505,"&lt;="&amp;$A37,実績!$AD$6:$AD$505,"&gt;"&amp;$A37,実績!$AE$6:$AE$505,"○")&gt;0,1,0))</f>
        <v/>
      </c>
      <c r="CU37">
        <f>IF(CU$4=0,0,IF(COUNTIFS(実績!$W$6:$W$505,CU$3,実績!$AC$6:$AC$505,"&lt;="&amp;$A37,実績!$AD$6:$AD$505,"&gt;"&amp;$A37,実績!$AE$6:$AE$505,"○")&gt;0,1,0))</f>
        <v/>
      </c>
      <c r="CV37">
        <f>IF(CV$4=0,0,IF(COUNTIFS(実績!$W$6:$W$505,CV$3,実績!$AC$6:$AC$505,"&lt;="&amp;$A37,実績!$AD$6:$AD$505,"&gt;"&amp;$A37,実績!$AE$6:$AE$505,"○")&gt;0,1,0))</f>
        <v/>
      </c>
      <c r="CW37">
        <f>IF(CW$4=0,0,IF(COUNTIFS(実績!$W$6:$W$505,CW$3,実績!$AC$6:$AC$505,"&lt;="&amp;$A37,実績!$AD$6:$AD$505,"&gt;"&amp;$A37,実績!$AE$6:$AE$505,"○")&gt;0,1,0))</f>
        <v/>
      </c>
      <c r="CX37">
        <f>IF(CX$4=0,0,IF(COUNTIFS(実績!$W$6:$W$505,CX$3,実績!$AC$6:$AC$505,"&lt;="&amp;$A37,実績!$AD$6:$AD$505,"&gt;"&amp;$A37,実績!$AE$6:$AE$505,"○")&gt;0,1,0))</f>
        <v/>
      </c>
      <c r="CY37">
        <f>IF(CY$4=0,0,IF(COUNTIFS(実績!$W$6:$W$505,CY$3,実績!$AC$6:$AC$505,"&lt;="&amp;$A37,実績!$AD$6:$AD$505,"&gt;"&amp;$A37,実績!$AE$6:$AE$505,"○")&gt;0,1,0))</f>
        <v/>
      </c>
      <c r="CZ37">
        <f>IF(CZ$4=0,0,IF(COUNTIFS(実績!$W$6:$W$505,CZ$3,実績!$AC$6:$AC$505,"&lt;="&amp;$A37,実績!$AD$6:$AD$505,"&gt;"&amp;$A37,実績!$AE$6:$AE$505,"○")&gt;0,1,0))</f>
        <v/>
      </c>
      <c r="DA37">
        <f>IF(DA$4=0,0,IF(COUNTIFS(実績!$W$6:$W$505,DA$3,実績!$AC$6:$AC$505,"&lt;="&amp;$A37,実績!$AD$6:$AD$505,"&gt;"&amp;$A37,実績!$AE$6:$AE$505,"○")&gt;0,1,0))</f>
        <v/>
      </c>
      <c r="DB37">
        <f>IF(DB$4=0,0,IF(COUNTIFS(実績!$W$6:$W$505,DB$3,実績!$AC$6:$AC$505,"&lt;="&amp;$A37,実績!$AD$6:$AD$505,"&gt;"&amp;$A37,実績!$AE$6:$AE$505,"○")&gt;0,1,0))</f>
        <v/>
      </c>
      <c r="DC37">
        <f>IF(DC$4=0,0,IF(COUNTIFS(実績!$W$6:$W$505,DC$3,実績!$AC$6:$AC$505,"&lt;="&amp;$A37,実績!$AD$6:$AD$505,"&gt;"&amp;$A37,実績!$AE$6:$AE$505,"○")&gt;0,1,0))</f>
        <v/>
      </c>
      <c r="DD37">
        <f>IF(DD$4=0,0,IF(COUNTIFS(実績!$W$6:$W$505,DD$3,実績!$AC$6:$AC$505,"&lt;="&amp;$A37,実績!$AD$6:$AD$505,"&gt;"&amp;$A37,実績!$AE$6:$AE$505,"○")&gt;0,1,0))</f>
        <v/>
      </c>
      <c r="DE37">
        <f>IF(DE$4=0,0,IF(COUNTIFS(実績!$W$6:$W$505,DE$3,実績!$AC$6:$AC$505,"&lt;="&amp;$A37,実績!$AD$6:$AD$505,"&gt;"&amp;$A37,実績!$AE$6:$AE$505,"○")&gt;0,1,0))</f>
        <v/>
      </c>
      <c r="DF37">
        <f>IF(DF$4=0,0,IF(COUNTIFS(実績!$W$6:$W$505,DF$3,実績!$AC$6:$AC$505,"&lt;="&amp;$A37,実績!$AD$6:$AD$505,"&gt;"&amp;$A37,実績!$AE$6:$AE$505,"○")&gt;0,1,0))</f>
        <v/>
      </c>
      <c r="DG37">
        <f>IF(DG$4=0,0,IF(COUNTIFS(実績!$W$6:$W$505,DG$3,実績!$AC$6:$AC$505,"&lt;="&amp;$A37,実績!$AD$6:$AD$505,"&gt;"&amp;$A37,実績!$AE$6:$AE$505,"○")&gt;0,1,0))</f>
        <v/>
      </c>
      <c r="DH37">
        <f>IF(DH$4=0,0,IF(COUNTIFS(実績!$W$6:$W$505,DH$3,実績!$AC$6:$AC$505,"&lt;="&amp;$A37,実績!$AD$6:$AD$505,"&gt;"&amp;$A37,実績!$AE$6:$AE$505,"○")&gt;0,1,0))</f>
        <v/>
      </c>
      <c r="DI37">
        <f>IF(DI$4=0,0,IF(COUNTIFS(実績!$W$6:$W$505,DI$3,実績!$AC$6:$AC$505,"&lt;="&amp;$A37,実績!$AD$6:$AD$505,"&gt;"&amp;$A37,実績!$AE$6:$AE$505,"○")&gt;0,1,0))</f>
        <v/>
      </c>
      <c r="DJ37">
        <f>IF(DJ$4=0,0,IF(COUNTIFS(実績!$W$6:$W$505,DJ$3,実績!$AC$6:$AC$505,"&lt;="&amp;$A37,実績!$AD$6:$AD$505,"&gt;"&amp;$A37,実績!$AE$6:$AE$505,"○")&gt;0,1,0))</f>
        <v/>
      </c>
      <c r="DK37">
        <f>IF(DK$4=0,0,IF(COUNTIFS(実績!$W$6:$W$505,DK$3,実績!$AC$6:$AC$505,"&lt;="&amp;$A37,実績!$AD$6:$AD$505,"&gt;"&amp;$A37,実績!$AE$6:$AE$505,"○")&gt;0,1,0))</f>
        <v/>
      </c>
      <c r="DL37">
        <f>IF(DL$4=0,0,IF(COUNTIFS(実績!$W$6:$W$505,DL$3,実績!$AC$6:$AC$505,"&lt;="&amp;$A37,実績!$AD$6:$AD$505,"&gt;"&amp;$A37,実績!$AE$6:$AE$505,"○")&gt;0,1,0))</f>
        <v/>
      </c>
      <c r="DM37">
        <f>IF(DM$4=0,0,IF(COUNTIFS(実績!$W$6:$W$505,DM$3,実績!$AC$6:$AC$505,"&lt;="&amp;$A37,実績!$AD$6:$AD$505,"&gt;"&amp;$A37,実績!$AE$6:$AE$505,"○")&gt;0,1,0))</f>
        <v/>
      </c>
      <c r="DN37">
        <f>IF(DN$4=0,0,IF(COUNTIFS(実績!$W$6:$W$505,DN$3,実績!$AC$6:$AC$505,"&lt;="&amp;$A37,実績!$AD$6:$AD$505,"&gt;"&amp;$A37,実績!$AE$6:$AE$505,"○")&gt;0,1,0))</f>
        <v/>
      </c>
      <c r="DO37">
        <f>IF(DO$4=0,0,IF(COUNTIFS(実績!$W$6:$W$505,DO$3,実績!$AC$6:$AC$505,"&lt;="&amp;$A37,実績!$AD$6:$AD$505,"&gt;"&amp;$A37,実績!$AE$6:$AE$505,"○")&gt;0,1,0))</f>
        <v/>
      </c>
      <c r="DP37">
        <f>IF(DP$4=0,0,IF(COUNTIFS(実績!$W$6:$W$505,DP$3,実績!$AC$6:$AC$505,"&lt;="&amp;$A37,実績!$AD$6:$AD$505,"&gt;"&amp;$A37,実績!$AE$6:$AE$505,"○")&gt;0,1,0))</f>
        <v/>
      </c>
      <c r="DQ37">
        <f>IF(DQ$4=0,0,IF(COUNTIFS(実績!$W$6:$W$505,DQ$3,実績!$AC$6:$AC$505,"&lt;="&amp;$A37,実績!$AD$6:$AD$505,"&gt;"&amp;$A37,実績!$AE$6:$AE$505,"○")&gt;0,1,0))</f>
        <v/>
      </c>
      <c r="DR37">
        <f>IF(DR$4=0,0,IF(COUNTIFS(実績!$W$6:$W$505,DR$3,実績!$AC$6:$AC$505,"&lt;="&amp;$A37,実績!$AD$6:$AD$505,"&gt;"&amp;$A37,実績!$AE$6:$AE$505,"○")&gt;0,1,0))</f>
        <v/>
      </c>
      <c r="DS37">
        <f>SUM(C37:DR37)</f>
        <v/>
      </c>
      <c r="DT37">
        <f>SUMPRODUCT((実績!$C$6:$C$505="○")*ISNUMBER(実績!$AF$6:$AF$505)*(実績!$AF$6:$AF$505&lt;=$A37)*(実績!$AG$6:$AG$505&gt;$A37))</f>
        <v/>
      </c>
      <c r="DU37">
        <f>SUMIF($C$2:$DR$2,"製鉄曳船",C37:DR37)</f>
        <v/>
      </c>
      <c r="DV37">
        <f>SUMIF($C$2:$DR$2,"西日本海運",C37:DR37)</f>
        <v/>
      </c>
    </row>
    <row r="38">
      <c r="A38" t="n">
        <v>160</v>
      </c>
      <c r="B38" s="29">
        <f>A38/1440</f>
        <v/>
      </c>
      <c r="C38">
        <f>IF(C$4=0,0,IF(COUNTIFS(実績!$W$6:$W$505,C$3,実績!$AC$6:$AC$505,"&lt;="&amp;$A38,実績!$AD$6:$AD$505,"&gt;"&amp;$A38,実績!$AE$6:$AE$505,"○")&gt;0,1,0))</f>
        <v/>
      </c>
      <c r="D38">
        <f>IF(D$4=0,0,IF(COUNTIFS(実績!$W$6:$W$505,D$3,実績!$AC$6:$AC$505,"&lt;="&amp;$A38,実績!$AD$6:$AD$505,"&gt;"&amp;$A38,実績!$AE$6:$AE$505,"○")&gt;0,1,0))</f>
        <v/>
      </c>
      <c r="E38">
        <f>IF(E$4=0,0,IF(COUNTIFS(実績!$W$6:$W$505,E$3,実績!$AC$6:$AC$505,"&lt;="&amp;$A38,実績!$AD$6:$AD$505,"&gt;"&amp;$A38,実績!$AE$6:$AE$505,"○")&gt;0,1,0))</f>
        <v/>
      </c>
      <c r="F38">
        <f>IF(F$4=0,0,IF(COUNTIFS(実績!$W$6:$W$505,F$3,実績!$AC$6:$AC$505,"&lt;="&amp;$A38,実績!$AD$6:$AD$505,"&gt;"&amp;$A38,実績!$AE$6:$AE$505,"○")&gt;0,1,0))</f>
        <v/>
      </c>
      <c r="G38">
        <f>IF(G$4=0,0,IF(COUNTIFS(実績!$W$6:$W$505,G$3,実績!$AC$6:$AC$505,"&lt;="&amp;$A38,実績!$AD$6:$AD$505,"&gt;"&amp;$A38,実績!$AE$6:$AE$505,"○")&gt;0,1,0))</f>
        <v/>
      </c>
      <c r="H38">
        <f>IF(H$4=0,0,IF(COUNTIFS(実績!$W$6:$W$505,H$3,実績!$AC$6:$AC$505,"&lt;="&amp;$A38,実績!$AD$6:$AD$505,"&gt;"&amp;$A38,実績!$AE$6:$AE$505,"○")&gt;0,1,0))</f>
        <v/>
      </c>
      <c r="I38">
        <f>IF(I$4=0,0,IF(COUNTIFS(実績!$W$6:$W$505,I$3,実績!$AC$6:$AC$505,"&lt;="&amp;$A38,実績!$AD$6:$AD$505,"&gt;"&amp;$A38,実績!$AE$6:$AE$505,"○")&gt;0,1,0))</f>
        <v/>
      </c>
      <c r="J38">
        <f>IF(J$4=0,0,IF(COUNTIFS(実績!$W$6:$W$505,J$3,実績!$AC$6:$AC$505,"&lt;="&amp;$A38,実績!$AD$6:$AD$505,"&gt;"&amp;$A38,実績!$AE$6:$AE$505,"○")&gt;0,1,0))</f>
        <v/>
      </c>
      <c r="K38">
        <f>IF(K$4=0,0,IF(COUNTIFS(実績!$W$6:$W$505,K$3,実績!$AC$6:$AC$505,"&lt;="&amp;$A38,実績!$AD$6:$AD$505,"&gt;"&amp;$A38,実績!$AE$6:$AE$505,"○")&gt;0,1,0))</f>
        <v/>
      </c>
      <c r="L38">
        <f>IF(L$4=0,0,IF(COUNTIFS(実績!$W$6:$W$505,L$3,実績!$AC$6:$AC$505,"&lt;="&amp;$A38,実績!$AD$6:$AD$505,"&gt;"&amp;$A38,実績!$AE$6:$AE$505,"○")&gt;0,1,0))</f>
        <v/>
      </c>
      <c r="M38">
        <f>IF(M$4=0,0,IF(COUNTIFS(実績!$W$6:$W$505,M$3,実績!$AC$6:$AC$505,"&lt;="&amp;$A38,実績!$AD$6:$AD$505,"&gt;"&amp;$A38,実績!$AE$6:$AE$505,"○")&gt;0,1,0))</f>
        <v/>
      </c>
      <c r="N38">
        <f>IF(N$4=0,0,IF(COUNTIFS(実績!$W$6:$W$505,N$3,実績!$AC$6:$AC$505,"&lt;="&amp;$A38,実績!$AD$6:$AD$505,"&gt;"&amp;$A38,実績!$AE$6:$AE$505,"○")&gt;0,1,0))</f>
        <v/>
      </c>
      <c r="O38">
        <f>IF(O$4=0,0,IF(COUNTIFS(実績!$W$6:$W$505,O$3,実績!$AC$6:$AC$505,"&lt;="&amp;$A38,実績!$AD$6:$AD$505,"&gt;"&amp;$A38,実績!$AE$6:$AE$505,"○")&gt;0,1,0))</f>
        <v/>
      </c>
      <c r="P38">
        <f>IF(P$4=0,0,IF(COUNTIFS(実績!$W$6:$W$505,P$3,実績!$AC$6:$AC$505,"&lt;="&amp;$A38,実績!$AD$6:$AD$505,"&gt;"&amp;$A38,実績!$AE$6:$AE$505,"○")&gt;0,1,0))</f>
        <v/>
      </c>
      <c r="Q38">
        <f>IF(Q$4=0,0,IF(COUNTIFS(実績!$W$6:$W$505,Q$3,実績!$AC$6:$AC$505,"&lt;="&amp;$A38,実績!$AD$6:$AD$505,"&gt;"&amp;$A38,実績!$AE$6:$AE$505,"○")&gt;0,1,0))</f>
        <v/>
      </c>
      <c r="R38">
        <f>IF(R$4=0,0,IF(COUNTIFS(実績!$W$6:$W$505,R$3,実績!$AC$6:$AC$505,"&lt;="&amp;$A38,実績!$AD$6:$AD$505,"&gt;"&amp;$A38,実績!$AE$6:$AE$505,"○")&gt;0,1,0))</f>
        <v/>
      </c>
      <c r="S38">
        <f>IF(S$4=0,0,IF(COUNTIFS(実績!$W$6:$W$505,S$3,実績!$AC$6:$AC$505,"&lt;="&amp;$A38,実績!$AD$6:$AD$505,"&gt;"&amp;$A38,実績!$AE$6:$AE$505,"○")&gt;0,1,0))</f>
        <v/>
      </c>
      <c r="T38">
        <f>IF(T$4=0,0,IF(COUNTIFS(実績!$W$6:$W$505,T$3,実績!$AC$6:$AC$505,"&lt;="&amp;$A38,実績!$AD$6:$AD$505,"&gt;"&amp;$A38,実績!$AE$6:$AE$505,"○")&gt;0,1,0))</f>
        <v/>
      </c>
      <c r="U38">
        <f>IF(U$4=0,0,IF(COUNTIFS(実績!$W$6:$W$505,U$3,実績!$AC$6:$AC$505,"&lt;="&amp;$A38,実績!$AD$6:$AD$505,"&gt;"&amp;$A38,実績!$AE$6:$AE$505,"○")&gt;0,1,0))</f>
        <v/>
      </c>
      <c r="V38">
        <f>IF(V$4=0,0,IF(COUNTIFS(実績!$W$6:$W$505,V$3,実績!$AC$6:$AC$505,"&lt;="&amp;$A38,実績!$AD$6:$AD$505,"&gt;"&amp;$A38,実績!$AE$6:$AE$505,"○")&gt;0,1,0))</f>
        <v/>
      </c>
      <c r="W38">
        <f>IF(W$4=0,0,IF(COUNTIFS(実績!$W$6:$W$505,W$3,実績!$AC$6:$AC$505,"&lt;="&amp;$A38,実績!$AD$6:$AD$505,"&gt;"&amp;$A38,実績!$AE$6:$AE$505,"○")&gt;0,1,0))</f>
        <v/>
      </c>
      <c r="X38">
        <f>IF(X$4=0,0,IF(COUNTIFS(実績!$W$6:$W$505,X$3,実績!$AC$6:$AC$505,"&lt;="&amp;$A38,実績!$AD$6:$AD$505,"&gt;"&amp;$A38,実績!$AE$6:$AE$505,"○")&gt;0,1,0))</f>
        <v/>
      </c>
      <c r="Y38">
        <f>IF(Y$4=0,0,IF(COUNTIFS(実績!$W$6:$W$505,Y$3,実績!$AC$6:$AC$505,"&lt;="&amp;$A38,実績!$AD$6:$AD$505,"&gt;"&amp;$A38,実績!$AE$6:$AE$505,"○")&gt;0,1,0))</f>
        <v/>
      </c>
      <c r="Z38">
        <f>IF(Z$4=0,0,IF(COUNTIFS(実績!$W$6:$W$505,Z$3,実績!$AC$6:$AC$505,"&lt;="&amp;$A38,実績!$AD$6:$AD$505,"&gt;"&amp;$A38,実績!$AE$6:$AE$505,"○")&gt;0,1,0))</f>
        <v/>
      </c>
      <c r="AA38">
        <f>IF(AA$4=0,0,IF(COUNTIFS(実績!$W$6:$W$505,AA$3,実績!$AC$6:$AC$505,"&lt;="&amp;$A38,実績!$AD$6:$AD$505,"&gt;"&amp;$A38,実績!$AE$6:$AE$505,"○")&gt;0,1,0))</f>
        <v/>
      </c>
      <c r="AB38">
        <f>IF(AB$4=0,0,IF(COUNTIFS(実績!$W$6:$W$505,AB$3,実績!$AC$6:$AC$505,"&lt;="&amp;$A38,実績!$AD$6:$AD$505,"&gt;"&amp;$A38,実績!$AE$6:$AE$505,"○")&gt;0,1,0))</f>
        <v/>
      </c>
      <c r="AC38">
        <f>IF(AC$4=0,0,IF(COUNTIFS(実績!$W$6:$W$505,AC$3,実績!$AC$6:$AC$505,"&lt;="&amp;$A38,実績!$AD$6:$AD$505,"&gt;"&amp;$A38,実績!$AE$6:$AE$505,"○")&gt;0,1,0))</f>
        <v/>
      </c>
      <c r="AD38">
        <f>IF(AD$4=0,0,IF(COUNTIFS(実績!$W$6:$W$505,AD$3,実績!$AC$6:$AC$505,"&lt;="&amp;$A38,実績!$AD$6:$AD$505,"&gt;"&amp;$A38,実績!$AE$6:$AE$505,"○")&gt;0,1,0))</f>
        <v/>
      </c>
      <c r="AE38">
        <f>IF(AE$4=0,0,IF(COUNTIFS(実績!$W$6:$W$505,AE$3,実績!$AC$6:$AC$505,"&lt;="&amp;$A38,実績!$AD$6:$AD$505,"&gt;"&amp;$A38,実績!$AE$6:$AE$505,"○")&gt;0,1,0))</f>
        <v/>
      </c>
      <c r="AF38">
        <f>IF(AF$4=0,0,IF(COUNTIFS(実績!$W$6:$W$505,AF$3,実績!$AC$6:$AC$505,"&lt;="&amp;$A38,実績!$AD$6:$AD$505,"&gt;"&amp;$A38,実績!$AE$6:$AE$505,"○")&gt;0,1,0))</f>
        <v/>
      </c>
      <c r="AG38">
        <f>IF(AG$4=0,0,IF(COUNTIFS(実績!$W$6:$W$505,AG$3,実績!$AC$6:$AC$505,"&lt;="&amp;$A38,実績!$AD$6:$AD$505,"&gt;"&amp;$A38,実績!$AE$6:$AE$505,"○")&gt;0,1,0))</f>
        <v/>
      </c>
      <c r="AH38">
        <f>IF(AH$4=0,0,IF(COUNTIFS(実績!$W$6:$W$505,AH$3,実績!$AC$6:$AC$505,"&lt;="&amp;$A38,実績!$AD$6:$AD$505,"&gt;"&amp;$A38,実績!$AE$6:$AE$505,"○")&gt;0,1,0))</f>
        <v/>
      </c>
      <c r="AI38">
        <f>IF(AI$4=0,0,IF(COUNTIFS(実績!$W$6:$W$505,AI$3,実績!$AC$6:$AC$505,"&lt;="&amp;$A38,実績!$AD$6:$AD$505,"&gt;"&amp;$A38,実績!$AE$6:$AE$505,"○")&gt;0,1,0))</f>
        <v/>
      </c>
      <c r="AJ38">
        <f>IF(AJ$4=0,0,IF(COUNTIFS(実績!$W$6:$W$505,AJ$3,実績!$AC$6:$AC$505,"&lt;="&amp;$A38,実績!$AD$6:$AD$505,"&gt;"&amp;$A38,実績!$AE$6:$AE$505,"○")&gt;0,1,0))</f>
        <v/>
      </c>
      <c r="AK38">
        <f>IF(AK$4=0,0,IF(COUNTIFS(実績!$W$6:$W$505,AK$3,実績!$AC$6:$AC$505,"&lt;="&amp;$A38,実績!$AD$6:$AD$505,"&gt;"&amp;$A38,実績!$AE$6:$AE$505,"○")&gt;0,1,0))</f>
        <v/>
      </c>
      <c r="AL38">
        <f>IF(AL$4=0,0,IF(COUNTIFS(実績!$W$6:$W$505,AL$3,実績!$AC$6:$AC$505,"&lt;="&amp;$A38,実績!$AD$6:$AD$505,"&gt;"&amp;$A38,実績!$AE$6:$AE$505,"○")&gt;0,1,0))</f>
        <v/>
      </c>
      <c r="AM38">
        <f>IF(AM$4=0,0,IF(COUNTIFS(実績!$W$6:$W$505,AM$3,実績!$AC$6:$AC$505,"&lt;="&amp;$A38,実績!$AD$6:$AD$505,"&gt;"&amp;$A38,実績!$AE$6:$AE$505,"○")&gt;0,1,0))</f>
        <v/>
      </c>
      <c r="AN38">
        <f>IF(AN$4=0,0,IF(COUNTIFS(実績!$W$6:$W$505,AN$3,実績!$AC$6:$AC$505,"&lt;="&amp;$A38,実績!$AD$6:$AD$505,"&gt;"&amp;$A38,実績!$AE$6:$AE$505,"○")&gt;0,1,0))</f>
        <v/>
      </c>
      <c r="AO38">
        <f>IF(AO$4=0,0,IF(COUNTIFS(実績!$W$6:$W$505,AO$3,実績!$AC$6:$AC$505,"&lt;="&amp;$A38,実績!$AD$6:$AD$505,"&gt;"&amp;$A38,実績!$AE$6:$AE$505,"○")&gt;0,1,0))</f>
        <v/>
      </c>
      <c r="AP38">
        <f>IF(AP$4=0,0,IF(COUNTIFS(実績!$W$6:$W$505,AP$3,実績!$AC$6:$AC$505,"&lt;="&amp;$A38,実績!$AD$6:$AD$505,"&gt;"&amp;$A38,実績!$AE$6:$AE$505,"○")&gt;0,1,0))</f>
        <v/>
      </c>
      <c r="AQ38">
        <f>IF(AQ$4=0,0,IF(COUNTIFS(実績!$W$6:$W$505,AQ$3,実績!$AC$6:$AC$505,"&lt;="&amp;$A38,実績!$AD$6:$AD$505,"&gt;"&amp;$A38,実績!$AE$6:$AE$505,"○")&gt;0,1,0))</f>
        <v/>
      </c>
      <c r="AR38">
        <f>IF(AR$4=0,0,IF(COUNTIFS(実績!$W$6:$W$505,AR$3,実績!$AC$6:$AC$505,"&lt;="&amp;$A38,実績!$AD$6:$AD$505,"&gt;"&amp;$A38,実績!$AE$6:$AE$505,"○")&gt;0,1,0))</f>
        <v/>
      </c>
      <c r="AS38">
        <f>IF(AS$4=0,0,IF(COUNTIFS(実績!$W$6:$W$505,AS$3,実績!$AC$6:$AC$505,"&lt;="&amp;$A38,実績!$AD$6:$AD$505,"&gt;"&amp;$A38,実績!$AE$6:$AE$505,"○")&gt;0,1,0))</f>
        <v/>
      </c>
      <c r="AT38">
        <f>IF(AT$4=0,0,IF(COUNTIFS(実績!$W$6:$W$505,AT$3,実績!$AC$6:$AC$505,"&lt;="&amp;$A38,実績!$AD$6:$AD$505,"&gt;"&amp;$A38,実績!$AE$6:$AE$505,"○")&gt;0,1,0))</f>
        <v/>
      </c>
      <c r="AU38">
        <f>IF(AU$4=0,0,IF(COUNTIFS(実績!$W$6:$W$505,AU$3,実績!$AC$6:$AC$505,"&lt;="&amp;$A38,実績!$AD$6:$AD$505,"&gt;"&amp;$A38,実績!$AE$6:$AE$505,"○")&gt;0,1,0))</f>
        <v/>
      </c>
      <c r="AV38">
        <f>IF(AV$4=0,0,IF(COUNTIFS(実績!$W$6:$W$505,AV$3,実績!$AC$6:$AC$505,"&lt;="&amp;$A38,実績!$AD$6:$AD$505,"&gt;"&amp;$A38,実績!$AE$6:$AE$505,"○")&gt;0,1,0))</f>
        <v/>
      </c>
      <c r="AW38">
        <f>IF(AW$4=0,0,IF(COUNTIFS(実績!$W$6:$W$505,AW$3,実績!$AC$6:$AC$505,"&lt;="&amp;$A38,実績!$AD$6:$AD$505,"&gt;"&amp;$A38,実績!$AE$6:$AE$505,"○")&gt;0,1,0))</f>
        <v/>
      </c>
      <c r="AX38">
        <f>IF(AX$4=0,0,IF(COUNTIFS(実績!$W$6:$W$505,AX$3,実績!$AC$6:$AC$505,"&lt;="&amp;$A38,実績!$AD$6:$AD$505,"&gt;"&amp;$A38,実績!$AE$6:$AE$505,"○")&gt;0,1,0))</f>
        <v/>
      </c>
      <c r="AY38">
        <f>IF(AY$4=0,0,IF(COUNTIFS(実績!$W$6:$W$505,AY$3,実績!$AC$6:$AC$505,"&lt;="&amp;$A38,実績!$AD$6:$AD$505,"&gt;"&amp;$A38,実績!$AE$6:$AE$505,"○")&gt;0,1,0))</f>
        <v/>
      </c>
      <c r="AZ38">
        <f>IF(AZ$4=0,0,IF(COUNTIFS(実績!$W$6:$W$505,AZ$3,実績!$AC$6:$AC$505,"&lt;="&amp;$A38,実績!$AD$6:$AD$505,"&gt;"&amp;$A38,実績!$AE$6:$AE$505,"○")&gt;0,1,0))</f>
        <v/>
      </c>
      <c r="BA38">
        <f>IF(BA$4=0,0,IF(COUNTIFS(実績!$W$6:$W$505,BA$3,実績!$AC$6:$AC$505,"&lt;="&amp;$A38,実績!$AD$6:$AD$505,"&gt;"&amp;$A38,実績!$AE$6:$AE$505,"○")&gt;0,1,0))</f>
        <v/>
      </c>
      <c r="BB38">
        <f>IF(BB$4=0,0,IF(COUNTIFS(実績!$W$6:$W$505,BB$3,実績!$AC$6:$AC$505,"&lt;="&amp;$A38,実績!$AD$6:$AD$505,"&gt;"&amp;$A38,実績!$AE$6:$AE$505,"○")&gt;0,1,0))</f>
        <v/>
      </c>
      <c r="BC38">
        <f>IF(BC$4=0,0,IF(COUNTIFS(実績!$W$6:$W$505,BC$3,実績!$AC$6:$AC$505,"&lt;="&amp;$A38,実績!$AD$6:$AD$505,"&gt;"&amp;$A38,実績!$AE$6:$AE$505,"○")&gt;0,1,0))</f>
        <v/>
      </c>
      <c r="BD38">
        <f>IF(BD$4=0,0,IF(COUNTIFS(実績!$W$6:$W$505,BD$3,実績!$AC$6:$AC$505,"&lt;="&amp;$A38,実績!$AD$6:$AD$505,"&gt;"&amp;$A38,実績!$AE$6:$AE$505,"○")&gt;0,1,0))</f>
        <v/>
      </c>
      <c r="BE38">
        <f>IF(BE$4=0,0,IF(COUNTIFS(実績!$W$6:$W$505,BE$3,実績!$AC$6:$AC$505,"&lt;="&amp;$A38,実績!$AD$6:$AD$505,"&gt;"&amp;$A38,実績!$AE$6:$AE$505,"○")&gt;0,1,0))</f>
        <v/>
      </c>
      <c r="BF38">
        <f>IF(BF$4=0,0,IF(COUNTIFS(実績!$W$6:$W$505,BF$3,実績!$AC$6:$AC$505,"&lt;="&amp;$A38,実績!$AD$6:$AD$505,"&gt;"&amp;$A38,実績!$AE$6:$AE$505,"○")&gt;0,1,0))</f>
        <v/>
      </c>
      <c r="BG38">
        <f>IF(BG$4=0,0,IF(COUNTIFS(実績!$W$6:$W$505,BG$3,実績!$AC$6:$AC$505,"&lt;="&amp;$A38,実績!$AD$6:$AD$505,"&gt;"&amp;$A38,実績!$AE$6:$AE$505,"○")&gt;0,1,0))</f>
        <v/>
      </c>
      <c r="BH38">
        <f>IF(BH$4=0,0,IF(COUNTIFS(実績!$W$6:$W$505,BH$3,実績!$AC$6:$AC$505,"&lt;="&amp;$A38,実績!$AD$6:$AD$505,"&gt;"&amp;$A38,実績!$AE$6:$AE$505,"○")&gt;0,1,0))</f>
        <v/>
      </c>
      <c r="BI38">
        <f>IF(BI$4=0,0,IF(COUNTIFS(実績!$W$6:$W$505,BI$3,実績!$AC$6:$AC$505,"&lt;="&amp;$A38,実績!$AD$6:$AD$505,"&gt;"&amp;$A38,実績!$AE$6:$AE$505,"○")&gt;0,1,0))</f>
        <v/>
      </c>
      <c r="BJ38">
        <f>IF(BJ$4=0,0,IF(COUNTIFS(実績!$W$6:$W$505,BJ$3,実績!$AC$6:$AC$505,"&lt;="&amp;$A38,実績!$AD$6:$AD$505,"&gt;"&amp;$A38,実績!$AE$6:$AE$505,"○")&gt;0,1,0))</f>
        <v/>
      </c>
      <c r="BK38">
        <f>IF(BK$4=0,0,IF(COUNTIFS(実績!$W$6:$W$505,BK$3,実績!$AC$6:$AC$505,"&lt;="&amp;$A38,実績!$AD$6:$AD$505,"&gt;"&amp;$A38,実績!$AE$6:$AE$505,"○")&gt;0,1,0))</f>
        <v/>
      </c>
      <c r="BL38">
        <f>IF(BL$4=0,0,IF(COUNTIFS(実績!$W$6:$W$505,BL$3,実績!$AC$6:$AC$505,"&lt;="&amp;$A38,実績!$AD$6:$AD$505,"&gt;"&amp;$A38,実績!$AE$6:$AE$505,"○")&gt;0,1,0))</f>
        <v/>
      </c>
      <c r="BM38">
        <f>IF(BM$4=0,0,IF(COUNTIFS(実績!$W$6:$W$505,BM$3,実績!$AC$6:$AC$505,"&lt;="&amp;$A38,実績!$AD$6:$AD$505,"&gt;"&amp;$A38,実績!$AE$6:$AE$505,"○")&gt;0,1,0))</f>
        <v/>
      </c>
      <c r="BN38">
        <f>IF(BN$4=0,0,IF(COUNTIFS(実績!$W$6:$W$505,BN$3,実績!$AC$6:$AC$505,"&lt;="&amp;$A38,実績!$AD$6:$AD$505,"&gt;"&amp;$A38,実績!$AE$6:$AE$505,"○")&gt;0,1,0))</f>
        <v/>
      </c>
      <c r="BO38">
        <f>IF(BO$4=0,0,IF(COUNTIFS(実績!$W$6:$W$505,BO$3,実績!$AC$6:$AC$505,"&lt;="&amp;$A38,実績!$AD$6:$AD$505,"&gt;"&amp;$A38,実績!$AE$6:$AE$505,"○")&gt;0,1,0))</f>
        <v/>
      </c>
      <c r="BP38">
        <f>IF(BP$4=0,0,IF(COUNTIFS(実績!$W$6:$W$505,BP$3,実績!$AC$6:$AC$505,"&lt;="&amp;$A38,実績!$AD$6:$AD$505,"&gt;"&amp;$A38,実績!$AE$6:$AE$505,"○")&gt;0,1,0))</f>
        <v/>
      </c>
      <c r="BQ38">
        <f>IF(BQ$4=0,0,IF(COUNTIFS(実績!$W$6:$W$505,BQ$3,実績!$AC$6:$AC$505,"&lt;="&amp;$A38,実績!$AD$6:$AD$505,"&gt;"&amp;$A38,実績!$AE$6:$AE$505,"○")&gt;0,1,0))</f>
        <v/>
      </c>
      <c r="BR38">
        <f>IF(BR$4=0,0,IF(COUNTIFS(実績!$W$6:$W$505,BR$3,実績!$AC$6:$AC$505,"&lt;="&amp;$A38,実績!$AD$6:$AD$505,"&gt;"&amp;$A38,実績!$AE$6:$AE$505,"○")&gt;0,1,0))</f>
        <v/>
      </c>
      <c r="BS38">
        <f>IF(BS$4=0,0,IF(COUNTIFS(実績!$W$6:$W$505,BS$3,実績!$AC$6:$AC$505,"&lt;="&amp;$A38,実績!$AD$6:$AD$505,"&gt;"&amp;$A38,実績!$AE$6:$AE$505,"○")&gt;0,1,0))</f>
        <v/>
      </c>
      <c r="BT38">
        <f>IF(BT$4=0,0,IF(COUNTIFS(実績!$W$6:$W$505,BT$3,実績!$AC$6:$AC$505,"&lt;="&amp;$A38,実績!$AD$6:$AD$505,"&gt;"&amp;$A38,実績!$AE$6:$AE$505,"○")&gt;0,1,0))</f>
        <v/>
      </c>
      <c r="BU38">
        <f>IF(BU$4=0,0,IF(COUNTIFS(実績!$W$6:$W$505,BU$3,実績!$AC$6:$AC$505,"&lt;="&amp;$A38,実績!$AD$6:$AD$505,"&gt;"&amp;$A38,実績!$AE$6:$AE$505,"○")&gt;0,1,0))</f>
        <v/>
      </c>
      <c r="BV38">
        <f>IF(BV$4=0,0,IF(COUNTIFS(実績!$W$6:$W$505,BV$3,実績!$AC$6:$AC$505,"&lt;="&amp;$A38,実績!$AD$6:$AD$505,"&gt;"&amp;$A38,実績!$AE$6:$AE$505,"○")&gt;0,1,0))</f>
        <v/>
      </c>
      <c r="BW38">
        <f>IF(BW$4=0,0,IF(COUNTIFS(実績!$W$6:$W$505,BW$3,実績!$AC$6:$AC$505,"&lt;="&amp;$A38,実績!$AD$6:$AD$505,"&gt;"&amp;$A38,実績!$AE$6:$AE$505,"○")&gt;0,1,0))</f>
        <v/>
      </c>
      <c r="BX38">
        <f>IF(BX$4=0,0,IF(COUNTIFS(実績!$W$6:$W$505,BX$3,実績!$AC$6:$AC$505,"&lt;="&amp;$A38,実績!$AD$6:$AD$505,"&gt;"&amp;$A38,実績!$AE$6:$AE$505,"○")&gt;0,1,0))</f>
        <v/>
      </c>
      <c r="BY38">
        <f>IF(BY$4=0,0,IF(COUNTIFS(実績!$W$6:$W$505,BY$3,実績!$AC$6:$AC$505,"&lt;="&amp;$A38,実績!$AD$6:$AD$505,"&gt;"&amp;$A38,実績!$AE$6:$AE$505,"○")&gt;0,1,0))</f>
        <v/>
      </c>
      <c r="BZ38">
        <f>IF(BZ$4=0,0,IF(COUNTIFS(実績!$W$6:$W$505,BZ$3,実績!$AC$6:$AC$505,"&lt;="&amp;$A38,実績!$AD$6:$AD$505,"&gt;"&amp;$A38,実績!$AE$6:$AE$505,"○")&gt;0,1,0))</f>
        <v/>
      </c>
      <c r="CA38">
        <f>IF(CA$4=0,0,IF(COUNTIFS(実績!$W$6:$W$505,CA$3,実績!$AC$6:$AC$505,"&lt;="&amp;$A38,実績!$AD$6:$AD$505,"&gt;"&amp;$A38,実績!$AE$6:$AE$505,"○")&gt;0,1,0))</f>
        <v/>
      </c>
      <c r="CB38">
        <f>IF(CB$4=0,0,IF(COUNTIFS(実績!$W$6:$W$505,CB$3,実績!$AC$6:$AC$505,"&lt;="&amp;$A38,実績!$AD$6:$AD$505,"&gt;"&amp;$A38,実績!$AE$6:$AE$505,"○")&gt;0,1,0))</f>
        <v/>
      </c>
      <c r="CC38">
        <f>IF(CC$4=0,0,IF(COUNTIFS(実績!$W$6:$W$505,CC$3,実績!$AC$6:$AC$505,"&lt;="&amp;$A38,実績!$AD$6:$AD$505,"&gt;"&amp;$A38,実績!$AE$6:$AE$505,"○")&gt;0,1,0))</f>
        <v/>
      </c>
      <c r="CD38">
        <f>IF(CD$4=0,0,IF(COUNTIFS(実績!$W$6:$W$505,CD$3,実績!$AC$6:$AC$505,"&lt;="&amp;$A38,実績!$AD$6:$AD$505,"&gt;"&amp;$A38,実績!$AE$6:$AE$505,"○")&gt;0,1,0))</f>
        <v/>
      </c>
      <c r="CE38">
        <f>IF(CE$4=0,0,IF(COUNTIFS(実績!$W$6:$W$505,CE$3,実績!$AC$6:$AC$505,"&lt;="&amp;$A38,実績!$AD$6:$AD$505,"&gt;"&amp;$A38,実績!$AE$6:$AE$505,"○")&gt;0,1,0))</f>
        <v/>
      </c>
      <c r="CF38">
        <f>IF(CF$4=0,0,IF(COUNTIFS(実績!$W$6:$W$505,CF$3,実績!$AC$6:$AC$505,"&lt;="&amp;$A38,実績!$AD$6:$AD$505,"&gt;"&amp;$A38,実績!$AE$6:$AE$505,"○")&gt;0,1,0))</f>
        <v/>
      </c>
      <c r="CG38">
        <f>IF(CG$4=0,0,IF(COUNTIFS(実績!$W$6:$W$505,CG$3,実績!$AC$6:$AC$505,"&lt;="&amp;$A38,実績!$AD$6:$AD$505,"&gt;"&amp;$A38,実績!$AE$6:$AE$505,"○")&gt;0,1,0))</f>
        <v/>
      </c>
      <c r="CH38">
        <f>IF(CH$4=0,0,IF(COUNTIFS(実績!$W$6:$W$505,CH$3,実績!$AC$6:$AC$505,"&lt;="&amp;$A38,実績!$AD$6:$AD$505,"&gt;"&amp;$A38,実績!$AE$6:$AE$505,"○")&gt;0,1,0))</f>
        <v/>
      </c>
      <c r="CI38">
        <f>IF(CI$4=0,0,IF(COUNTIFS(実績!$W$6:$W$505,CI$3,実績!$AC$6:$AC$505,"&lt;="&amp;$A38,実績!$AD$6:$AD$505,"&gt;"&amp;$A38,実績!$AE$6:$AE$505,"○")&gt;0,1,0))</f>
        <v/>
      </c>
      <c r="CJ38">
        <f>IF(CJ$4=0,0,IF(COUNTIFS(実績!$W$6:$W$505,CJ$3,実績!$AC$6:$AC$505,"&lt;="&amp;$A38,実績!$AD$6:$AD$505,"&gt;"&amp;$A38,実績!$AE$6:$AE$505,"○")&gt;0,1,0))</f>
        <v/>
      </c>
      <c r="CK38">
        <f>IF(CK$4=0,0,IF(COUNTIFS(実績!$W$6:$W$505,CK$3,実績!$AC$6:$AC$505,"&lt;="&amp;$A38,実績!$AD$6:$AD$505,"&gt;"&amp;$A38,実績!$AE$6:$AE$505,"○")&gt;0,1,0))</f>
        <v/>
      </c>
      <c r="CL38">
        <f>IF(CL$4=0,0,IF(COUNTIFS(実績!$W$6:$W$505,CL$3,実績!$AC$6:$AC$505,"&lt;="&amp;$A38,実績!$AD$6:$AD$505,"&gt;"&amp;$A38,実績!$AE$6:$AE$505,"○")&gt;0,1,0))</f>
        <v/>
      </c>
      <c r="CM38">
        <f>IF(CM$4=0,0,IF(COUNTIFS(実績!$W$6:$W$505,CM$3,実績!$AC$6:$AC$505,"&lt;="&amp;$A38,実績!$AD$6:$AD$505,"&gt;"&amp;$A38,実績!$AE$6:$AE$505,"○")&gt;0,1,0))</f>
        <v/>
      </c>
      <c r="CN38">
        <f>IF(CN$4=0,0,IF(COUNTIFS(実績!$W$6:$W$505,CN$3,実績!$AC$6:$AC$505,"&lt;="&amp;$A38,実績!$AD$6:$AD$505,"&gt;"&amp;$A38,実績!$AE$6:$AE$505,"○")&gt;0,1,0))</f>
        <v/>
      </c>
      <c r="CO38">
        <f>IF(CO$4=0,0,IF(COUNTIFS(実績!$W$6:$W$505,CO$3,実績!$AC$6:$AC$505,"&lt;="&amp;$A38,実績!$AD$6:$AD$505,"&gt;"&amp;$A38,実績!$AE$6:$AE$505,"○")&gt;0,1,0))</f>
        <v/>
      </c>
      <c r="CP38">
        <f>IF(CP$4=0,0,IF(COUNTIFS(実績!$W$6:$W$505,CP$3,実績!$AC$6:$AC$505,"&lt;="&amp;$A38,実績!$AD$6:$AD$505,"&gt;"&amp;$A38,実績!$AE$6:$AE$505,"○")&gt;0,1,0))</f>
        <v/>
      </c>
      <c r="CQ38">
        <f>IF(CQ$4=0,0,IF(COUNTIFS(実績!$W$6:$W$505,CQ$3,実績!$AC$6:$AC$505,"&lt;="&amp;$A38,実績!$AD$6:$AD$505,"&gt;"&amp;$A38,実績!$AE$6:$AE$505,"○")&gt;0,1,0))</f>
        <v/>
      </c>
      <c r="CR38">
        <f>IF(CR$4=0,0,IF(COUNTIFS(実績!$W$6:$W$505,CR$3,実績!$AC$6:$AC$505,"&lt;="&amp;$A38,実績!$AD$6:$AD$505,"&gt;"&amp;$A38,実績!$AE$6:$AE$505,"○")&gt;0,1,0))</f>
        <v/>
      </c>
      <c r="CS38">
        <f>IF(CS$4=0,0,IF(COUNTIFS(実績!$W$6:$W$505,CS$3,実績!$AC$6:$AC$505,"&lt;="&amp;$A38,実績!$AD$6:$AD$505,"&gt;"&amp;$A38,実績!$AE$6:$AE$505,"○")&gt;0,1,0))</f>
        <v/>
      </c>
      <c r="CT38">
        <f>IF(CT$4=0,0,IF(COUNTIFS(実績!$W$6:$W$505,CT$3,実績!$AC$6:$AC$505,"&lt;="&amp;$A38,実績!$AD$6:$AD$505,"&gt;"&amp;$A38,実績!$AE$6:$AE$505,"○")&gt;0,1,0))</f>
        <v/>
      </c>
      <c r="CU38">
        <f>IF(CU$4=0,0,IF(COUNTIFS(実績!$W$6:$W$505,CU$3,実績!$AC$6:$AC$505,"&lt;="&amp;$A38,実績!$AD$6:$AD$505,"&gt;"&amp;$A38,実績!$AE$6:$AE$505,"○")&gt;0,1,0))</f>
        <v/>
      </c>
      <c r="CV38">
        <f>IF(CV$4=0,0,IF(COUNTIFS(実績!$W$6:$W$505,CV$3,実績!$AC$6:$AC$505,"&lt;="&amp;$A38,実績!$AD$6:$AD$505,"&gt;"&amp;$A38,実績!$AE$6:$AE$505,"○")&gt;0,1,0))</f>
        <v/>
      </c>
      <c r="CW38">
        <f>IF(CW$4=0,0,IF(COUNTIFS(実績!$W$6:$W$505,CW$3,実績!$AC$6:$AC$505,"&lt;="&amp;$A38,実績!$AD$6:$AD$505,"&gt;"&amp;$A38,実績!$AE$6:$AE$505,"○")&gt;0,1,0))</f>
        <v/>
      </c>
      <c r="CX38">
        <f>IF(CX$4=0,0,IF(COUNTIFS(実績!$W$6:$W$505,CX$3,実績!$AC$6:$AC$505,"&lt;="&amp;$A38,実績!$AD$6:$AD$505,"&gt;"&amp;$A38,実績!$AE$6:$AE$505,"○")&gt;0,1,0))</f>
        <v/>
      </c>
      <c r="CY38">
        <f>IF(CY$4=0,0,IF(COUNTIFS(実績!$W$6:$W$505,CY$3,実績!$AC$6:$AC$505,"&lt;="&amp;$A38,実績!$AD$6:$AD$505,"&gt;"&amp;$A38,実績!$AE$6:$AE$505,"○")&gt;0,1,0))</f>
        <v/>
      </c>
      <c r="CZ38">
        <f>IF(CZ$4=0,0,IF(COUNTIFS(実績!$W$6:$W$505,CZ$3,実績!$AC$6:$AC$505,"&lt;="&amp;$A38,実績!$AD$6:$AD$505,"&gt;"&amp;$A38,実績!$AE$6:$AE$505,"○")&gt;0,1,0))</f>
        <v/>
      </c>
      <c r="DA38">
        <f>IF(DA$4=0,0,IF(COUNTIFS(実績!$W$6:$W$505,DA$3,実績!$AC$6:$AC$505,"&lt;="&amp;$A38,実績!$AD$6:$AD$505,"&gt;"&amp;$A38,実績!$AE$6:$AE$505,"○")&gt;0,1,0))</f>
        <v/>
      </c>
      <c r="DB38">
        <f>IF(DB$4=0,0,IF(COUNTIFS(実績!$W$6:$W$505,DB$3,実績!$AC$6:$AC$505,"&lt;="&amp;$A38,実績!$AD$6:$AD$505,"&gt;"&amp;$A38,実績!$AE$6:$AE$505,"○")&gt;0,1,0))</f>
        <v/>
      </c>
      <c r="DC38">
        <f>IF(DC$4=0,0,IF(COUNTIFS(実績!$W$6:$W$505,DC$3,実績!$AC$6:$AC$505,"&lt;="&amp;$A38,実績!$AD$6:$AD$505,"&gt;"&amp;$A38,実績!$AE$6:$AE$505,"○")&gt;0,1,0))</f>
        <v/>
      </c>
      <c r="DD38">
        <f>IF(DD$4=0,0,IF(COUNTIFS(実績!$W$6:$W$505,DD$3,実績!$AC$6:$AC$505,"&lt;="&amp;$A38,実績!$AD$6:$AD$505,"&gt;"&amp;$A38,実績!$AE$6:$AE$505,"○")&gt;0,1,0))</f>
        <v/>
      </c>
      <c r="DE38">
        <f>IF(DE$4=0,0,IF(COUNTIFS(実績!$W$6:$W$505,DE$3,実績!$AC$6:$AC$505,"&lt;="&amp;$A38,実績!$AD$6:$AD$505,"&gt;"&amp;$A38,実績!$AE$6:$AE$505,"○")&gt;0,1,0))</f>
        <v/>
      </c>
      <c r="DF38">
        <f>IF(DF$4=0,0,IF(COUNTIFS(実績!$W$6:$W$505,DF$3,実績!$AC$6:$AC$505,"&lt;="&amp;$A38,実績!$AD$6:$AD$505,"&gt;"&amp;$A38,実績!$AE$6:$AE$505,"○")&gt;0,1,0))</f>
        <v/>
      </c>
      <c r="DG38">
        <f>IF(DG$4=0,0,IF(COUNTIFS(実績!$W$6:$W$505,DG$3,実績!$AC$6:$AC$505,"&lt;="&amp;$A38,実績!$AD$6:$AD$505,"&gt;"&amp;$A38,実績!$AE$6:$AE$505,"○")&gt;0,1,0))</f>
        <v/>
      </c>
      <c r="DH38">
        <f>IF(DH$4=0,0,IF(COUNTIFS(実績!$W$6:$W$505,DH$3,実績!$AC$6:$AC$505,"&lt;="&amp;$A38,実績!$AD$6:$AD$505,"&gt;"&amp;$A38,実績!$AE$6:$AE$505,"○")&gt;0,1,0))</f>
        <v/>
      </c>
      <c r="DI38">
        <f>IF(DI$4=0,0,IF(COUNTIFS(実績!$W$6:$W$505,DI$3,実績!$AC$6:$AC$505,"&lt;="&amp;$A38,実績!$AD$6:$AD$505,"&gt;"&amp;$A38,実績!$AE$6:$AE$505,"○")&gt;0,1,0))</f>
        <v/>
      </c>
      <c r="DJ38">
        <f>IF(DJ$4=0,0,IF(COUNTIFS(実績!$W$6:$W$505,DJ$3,実績!$AC$6:$AC$505,"&lt;="&amp;$A38,実績!$AD$6:$AD$505,"&gt;"&amp;$A38,実績!$AE$6:$AE$505,"○")&gt;0,1,0))</f>
        <v/>
      </c>
      <c r="DK38">
        <f>IF(DK$4=0,0,IF(COUNTIFS(実績!$W$6:$W$505,DK$3,実績!$AC$6:$AC$505,"&lt;="&amp;$A38,実績!$AD$6:$AD$505,"&gt;"&amp;$A38,実績!$AE$6:$AE$505,"○")&gt;0,1,0))</f>
        <v/>
      </c>
      <c r="DL38">
        <f>IF(DL$4=0,0,IF(COUNTIFS(実績!$W$6:$W$505,DL$3,実績!$AC$6:$AC$505,"&lt;="&amp;$A38,実績!$AD$6:$AD$505,"&gt;"&amp;$A38,実績!$AE$6:$AE$505,"○")&gt;0,1,0))</f>
        <v/>
      </c>
      <c r="DM38">
        <f>IF(DM$4=0,0,IF(COUNTIFS(実績!$W$6:$W$505,DM$3,実績!$AC$6:$AC$505,"&lt;="&amp;$A38,実績!$AD$6:$AD$505,"&gt;"&amp;$A38,実績!$AE$6:$AE$505,"○")&gt;0,1,0))</f>
        <v/>
      </c>
      <c r="DN38">
        <f>IF(DN$4=0,0,IF(COUNTIFS(実績!$W$6:$W$505,DN$3,実績!$AC$6:$AC$505,"&lt;="&amp;$A38,実績!$AD$6:$AD$505,"&gt;"&amp;$A38,実績!$AE$6:$AE$505,"○")&gt;0,1,0))</f>
        <v/>
      </c>
      <c r="DO38">
        <f>IF(DO$4=0,0,IF(COUNTIFS(実績!$W$6:$W$505,DO$3,実績!$AC$6:$AC$505,"&lt;="&amp;$A38,実績!$AD$6:$AD$505,"&gt;"&amp;$A38,実績!$AE$6:$AE$505,"○")&gt;0,1,0))</f>
        <v/>
      </c>
      <c r="DP38">
        <f>IF(DP$4=0,0,IF(COUNTIFS(実績!$W$6:$W$505,DP$3,実績!$AC$6:$AC$505,"&lt;="&amp;$A38,実績!$AD$6:$AD$505,"&gt;"&amp;$A38,実績!$AE$6:$AE$505,"○")&gt;0,1,0))</f>
        <v/>
      </c>
      <c r="DQ38">
        <f>IF(DQ$4=0,0,IF(COUNTIFS(実績!$W$6:$W$505,DQ$3,実績!$AC$6:$AC$505,"&lt;="&amp;$A38,実績!$AD$6:$AD$505,"&gt;"&amp;$A38,実績!$AE$6:$AE$505,"○")&gt;0,1,0))</f>
        <v/>
      </c>
      <c r="DR38">
        <f>IF(DR$4=0,0,IF(COUNTIFS(実績!$W$6:$W$505,DR$3,実績!$AC$6:$AC$505,"&lt;="&amp;$A38,実績!$AD$6:$AD$505,"&gt;"&amp;$A38,実績!$AE$6:$AE$505,"○")&gt;0,1,0))</f>
        <v/>
      </c>
      <c r="DS38">
        <f>SUM(C38:DR38)</f>
        <v/>
      </c>
      <c r="DT38">
        <f>SUMPRODUCT((実績!$C$6:$C$505="○")*ISNUMBER(実績!$AF$6:$AF$505)*(実績!$AF$6:$AF$505&lt;=$A38)*(実績!$AG$6:$AG$505&gt;$A38))</f>
        <v/>
      </c>
      <c r="DU38">
        <f>SUMIF($C$2:$DR$2,"製鉄曳船",C38:DR38)</f>
        <v/>
      </c>
      <c r="DV38">
        <f>SUMIF($C$2:$DR$2,"西日本海運",C38:DR38)</f>
        <v/>
      </c>
    </row>
    <row r="39">
      <c r="A39" t="n">
        <v>165</v>
      </c>
      <c r="B39" s="29">
        <f>A39/1440</f>
        <v/>
      </c>
      <c r="C39">
        <f>IF(C$4=0,0,IF(COUNTIFS(実績!$W$6:$W$505,C$3,実績!$AC$6:$AC$505,"&lt;="&amp;$A39,実績!$AD$6:$AD$505,"&gt;"&amp;$A39,実績!$AE$6:$AE$505,"○")&gt;0,1,0))</f>
        <v/>
      </c>
      <c r="D39">
        <f>IF(D$4=0,0,IF(COUNTIFS(実績!$W$6:$W$505,D$3,実績!$AC$6:$AC$505,"&lt;="&amp;$A39,実績!$AD$6:$AD$505,"&gt;"&amp;$A39,実績!$AE$6:$AE$505,"○")&gt;0,1,0))</f>
        <v/>
      </c>
      <c r="E39">
        <f>IF(E$4=0,0,IF(COUNTIFS(実績!$W$6:$W$505,E$3,実績!$AC$6:$AC$505,"&lt;="&amp;$A39,実績!$AD$6:$AD$505,"&gt;"&amp;$A39,実績!$AE$6:$AE$505,"○")&gt;0,1,0))</f>
        <v/>
      </c>
      <c r="F39">
        <f>IF(F$4=0,0,IF(COUNTIFS(実績!$W$6:$W$505,F$3,実績!$AC$6:$AC$505,"&lt;="&amp;$A39,実績!$AD$6:$AD$505,"&gt;"&amp;$A39,実績!$AE$6:$AE$505,"○")&gt;0,1,0))</f>
        <v/>
      </c>
      <c r="G39">
        <f>IF(G$4=0,0,IF(COUNTIFS(実績!$W$6:$W$505,G$3,実績!$AC$6:$AC$505,"&lt;="&amp;$A39,実績!$AD$6:$AD$505,"&gt;"&amp;$A39,実績!$AE$6:$AE$505,"○")&gt;0,1,0))</f>
        <v/>
      </c>
      <c r="H39">
        <f>IF(H$4=0,0,IF(COUNTIFS(実績!$W$6:$W$505,H$3,実績!$AC$6:$AC$505,"&lt;="&amp;$A39,実績!$AD$6:$AD$505,"&gt;"&amp;$A39,実績!$AE$6:$AE$505,"○")&gt;0,1,0))</f>
        <v/>
      </c>
      <c r="I39">
        <f>IF(I$4=0,0,IF(COUNTIFS(実績!$W$6:$W$505,I$3,実績!$AC$6:$AC$505,"&lt;="&amp;$A39,実績!$AD$6:$AD$505,"&gt;"&amp;$A39,実績!$AE$6:$AE$505,"○")&gt;0,1,0))</f>
        <v/>
      </c>
      <c r="J39">
        <f>IF(J$4=0,0,IF(COUNTIFS(実績!$W$6:$W$505,J$3,実績!$AC$6:$AC$505,"&lt;="&amp;$A39,実績!$AD$6:$AD$505,"&gt;"&amp;$A39,実績!$AE$6:$AE$505,"○")&gt;0,1,0))</f>
        <v/>
      </c>
      <c r="K39">
        <f>IF(K$4=0,0,IF(COUNTIFS(実績!$W$6:$W$505,K$3,実績!$AC$6:$AC$505,"&lt;="&amp;$A39,実績!$AD$6:$AD$505,"&gt;"&amp;$A39,実績!$AE$6:$AE$505,"○")&gt;0,1,0))</f>
        <v/>
      </c>
      <c r="L39">
        <f>IF(L$4=0,0,IF(COUNTIFS(実績!$W$6:$W$505,L$3,実績!$AC$6:$AC$505,"&lt;="&amp;$A39,実績!$AD$6:$AD$505,"&gt;"&amp;$A39,実績!$AE$6:$AE$505,"○")&gt;0,1,0))</f>
        <v/>
      </c>
      <c r="M39">
        <f>IF(M$4=0,0,IF(COUNTIFS(実績!$W$6:$W$505,M$3,実績!$AC$6:$AC$505,"&lt;="&amp;$A39,実績!$AD$6:$AD$505,"&gt;"&amp;$A39,実績!$AE$6:$AE$505,"○")&gt;0,1,0))</f>
        <v/>
      </c>
      <c r="N39">
        <f>IF(N$4=0,0,IF(COUNTIFS(実績!$W$6:$W$505,N$3,実績!$AC$6:$AC$505,"&lt;="&amp;$A39,実績!$AD$6:$AD$505,"&gt;"&amp;$A39,実績!$AE$6:$AE$505,"○")&gt;0,1,0))</f>
        <v/>
      </c>
      <c r="O39">
        <f>IF(O$4=0,0,IF(COUNTIFS(実績!$W$6:$W$505,O$3,実績!$AC$6:$AC$505,"&lt;="&amp;$A39,実績!$AD$6:$AD$505,"&gt;"&amp;$A39,実績!$AE$6:$AE$505,"○")&gt;0,1,0))</f>
        <v/>
      </c>
      <c r="P39">
        <f>IF(P$4=0,0,IF(COUNTIFS(実績!$W$6:$W$505,P$3,実績!$AC$6:$AC$505,"&lt;="&amp;$A39,実績!$AD$6:$AD$505,"&gt;"&amp;$A39,実績!$AE$6:$AE$505,"○")&gt;0,1,0))</f>
        <v/>
      </c>
      <c r="Q39">
        <f>IF(Q$4=0,0,IF(COUNTIFS(実績!$W$6:$W$505,Q$3,実績!$AC$6:$AC$505,"&lt;="&amp;$A39,実績!$AD$6:$AD$505,"&gt;"&amp;$A39,実績!$AE$6:$AE$505,"○")&gt;0,1,0))</f>
        <v/>
      </c>
      <c r="R39">
        <f>IF(R$4=0,0,IF(COUNTIFS(実績!$W$6:$W$505,R$3,実績!$AC$6:$AC$505,"&lt;="&amp;$A39,実績!$AD$6:$AD$505,"&gt;"&amp;$A39,実績!$AE$6:$AE$505,"○")&gt;0,1,0))</f>
        <v/>
      </c>
      <c r="S39">
        <f>IF(S$4=0,0,IF(COUNTIFS(実績!$W$6:$W$505,S$3,実績!$AC$6:$AC$505,"&lt;="&amp;$A39,実績!$AD$6:$AD$505,"&gt;"&amp;$A39,実績!$AE$6:$AE$505,"○")&gt;0,1,0))</f>
        <v/>
      </c>
      <c r="T39">
        <f>IF(T$4=0,0,IF(COUNTIFS(実績!$W$6:$W$505,T$3,実績!$AC$6:$AC$505,"&lt;="&amp;$A39,実績!$AD$6:$AD$505,"&gt;"&amp;$A39,実績!$AE$6:$AE$505,"○")&gt;0,1,0))</f>
        <v/>
      </c>
      <c r="U39">
        <f>IF(U$4=0,0,IF(COUNTIFS(実績!$W$6:$W$505,U$3,実績!$AC$6:$AC$505,"&lt;="&amp;$A39,実績!$AD$6:$AD$505,"&gt;"&amp;$A39,実績!$AE$6:$AE$505,"○")&gt;0,1,0))</f>
        <v/>
      </c>
      <c r="V39">
        <f>IF(V$4=0,0,IF(COUNTIFS(実績!$W$6:$W$505,V$3,実績!$AC$6:$AC$505,"&lt;="&amp;$A39,実績!$AD$6:$AD$505,"&gt;"&amp;$A39,実績!$AE$6:$AE$505,"○")&gt;0,1,0))</f>
        <v/>
      </c>
      <c r="W39">
        <f>IF(W$4=0,0,IF(COUNTIFS(実績!$W$6:$W$505,W$3,実績!$AC$6:$AC$505,"&lt;="&amp;$A39,実績!$AD$6:$AD$505,"&gt;"&amp;$A39,実績!$AE$6:$AE$505,"○")&gt;0,1,0))</f>
        <v/>
      </c>
      <c r="X39">
        <f>IF(X$4=0,0,IF(COUNTIFS(実績!$W$6:$W$505,X$3,実績!$AC$6:$AC$505,"&lt;="&amp;$A39,実績!$AD$6:$AD$505,"&gt;"&amp;$A39,実績!$AE$6:$AE$505,"○")&gt;0,1,0))</f>
        <v/>
      </c>
      <c r="Y39">
        <f>IF(Y$4=0,0,IF(COUNTIFS(実績!$W$6:$W$505,Y$3,実績!$AC$6:$AC$505,"&lt;="&amp;$A39,実績!$AD$6:$AD$505,"&gt;"&amp;$A39,実績!$AE$6:$AE$505,"○")&gt;0,1,0))</f>
        <v/>
      </c>
      <c r="Z39">
        <f>IF(Z$4=0,0,IF(COUNTIFS(実績!$W$6:$W$505,Z$3,実績!$AC$6:$AC$505,"&lt;="&amp;$A39,実績!$AD$6:$AD$505,"&gt;"&amp;$A39,実績!$AE$6:$AE$505,"○")&gt;0,1,0))</f>
        <v/>
      </c>
      <c r="AA39">
        <f>IF(AA$4=0,0,IF(COUNTIFS(実績!$W$6:$W$505,AA$3,実績!$AC$6:$AC$505,"&lt;="&amp;$A39,実績!$AD$6:$AD$505,"&gt;"&amp;$A39,実績!$AE$6:$AE$505,"○")&gt;0,1,0))</f>
        <v/>
      </c>
      <c r="AB39">
        <f>IF(AB$4=0,0,IF(COUNTIFS(実績!$W$6:$W$505,AB$3,実績!$AC$6:$AC$505,"&lt;="&amp;$A39,実績!$AD$6:$AD$505,"&gt;"&amp;$A39,実績!$AE$6:$AE$505,"○")&gt;0,1,0))</f>
        <v/>
      </c>
      <c r="AC39">
        <f>IF(AC$4=0,0,IF(COUNTIFS(実績!$W$6:$W$505,AC$3,実績!$AC$6:$AC$505,"&lt;="&amp;$A39,実績!$AD$6:$AD$505,"&gt;"&amp;$A39,実績!$AE$6:$AE$505,"○")&gt;0,1,0))</f>
        <v/>
      </c>
      <c r="AD39">
        <f>IF(AD$4=0,0,IF(COUNTIFS(実績!$W$6:$W$505,AD$3,実績!$AC$6:$AC$505,"&lt;="&amp;$A39,実績!$AD$6:$AD$505,"&gt;"&amp;$A39,実績!$AE$6:$AE$505,"○")&gt;0,1,0))</f>
        <v/>
      </c>
      <c r="AE39">
        <f>IF(AE$4=0,0,IF(COUNTIFS(実績!$W$6:$W$505,AE$3,実績!$AC$6:$AC$505,"&lt;="&amp;$A39,実績!$AD$6:$AD$505,"&gt;"&amp;$A39,実績!$AE$6:$AE$505,"○")&gt;0,1,0))</f>
        <v/>
      </c>
      <c r="AF39">
        <f>IF(AF$4=0,0,IF(COUNTIFS(実績!$W$6:$W$505,AF$3,実績!$AC$6:$AC$505,"&lt;="&amp;$A39,実績!$AD$6:$AD$505,"&gt;"&amp;$A39,実績!$AE$6:$AE$505,"○")&gt;0,1,0))</f>
        <v/>
      </c>
      <c r="AG39">
        <f>IF(AG$4=0,0,IF(COUNTIFS(実績!$W$6:$W$505,AG$3,実績!$AC$6:$AC$505,"&lt;="&amp;$A39,実績!$AD$6:$AD$505,"&gt;"&amp;$A39,実績!$AE$6:$AE$505,"○")&gt;0,1,0))</f>
        <v/>
      </c>
      <c r="AH39">
        <f>IF(AH$4=0,0,IF(COUNTIFS(実績!$W$6:$W$505,AH$3,実績!$AC$6:$AC$505,"&lt;="&amp;$A39,実績!$AD$6:$AD$505,"&gt;"&amp;$A39,実績!$AE$6:$AE$505,"○")&gt;0,1,0))</f>
        <v/>
      </c>
      <c r="AI39">
        <f>IF(AI$4=0,0,IF(COUNTIFS(実績!$W$6:$W$505,AI$3,実績!$AC$6:$AC$505,"&lt;="&amp;$A39,実績!$AD$6:$AD$505,"&gt;"&amp;$A39,実績!$AE$6:$AE$505,"○")&gt;0,1,0))</f>
        <v/>
      </c>
      <c r="AJ39">
        <f>IF(AJ$4=0,0,IF(COUNTIFS(実績!$W$6:$W$505,AJ$3,実績!$AC$6:$AC$505,"&lt;="&amp;$A39,実績!$AD$6:$AD$505,"&gt;"&amp;$A39,実績!$AE$6:$AE$505,"○")&gt;0,1,0))</f>
        <v/>
      </c>
      <c r="AK39">
        <f>IF(AK$4=0,0,IF(COUNTIFS(実績!$W$6:$W$505,AK$3,実績!$AC$6:$AC$505,"&lt;="&amp;$A39,実績!$AD$6:$AD$505,"&gt;"&amp;$A39,実績!$AE$6:$AE$505,"○")&gt;0,1,0))</f>
        <v/>
      </c>
      <c r="AL39">
        <f>IF(AL$4=0,0,IF(COUNTIFS(実績!$W$6:$W$505,AL$3,実績!$AC$6:$AC$505,"&lt;="&amp;$A39,実績!$AD$6:$AD$505,"&gt;"&amp;$A39,実績!$AE$6:$AE$505,"○")&gt;0,1,0))</f>
        <v/>
      </c>
      <c r="AM39">
        <f>IF(AM$4=0,0,IF(COUNTIFS(実績!$W$6:$W$505,AM$3,実績!$AC$6:$AC$505,"&lt;="&amp;$A39,実績!$AD$6:$AD$505,"&gt;"&amp;$A39,実績!$AE$6:$AE$505,"○")&gt;0,1,0))</f>
        <v/>
      </c>
      <c r="AN39">
        <f>IF(AN$4=0,0,IF(COUNTIFS(実績!$W$6:$W$505,AN$3,実績!$AC$6:$AC$505,"&lt;="&amp;$A39,実績!$AD$6:$AD$505,"&gt;"&amp;$A39,実績!$AE$6:$AE$505,"○")&gt;0,1,0))</f>
        <v/>
      </c>
      <c r="AO39">
        <f>IF(AO$4=0,0,IF(COUNTIFS(実績!$W$6:$W$505,AO$3,実績!$AC$6:$AC$505,"&lt;="&amp;$A39,実績!$AD$6:$AD$505,"&gt;"&amp;$A39,実績!$AE$6:$AE$505,"○")&gt;0,1,0))</f>
        <v/>
      </c>
      <c r="AP39">
        <f>IF(AP$4=0,0,IF(COUNTIFS(実績!$W$6:$W$505,AP$3,実績!$AC$6:$AC$505,"&lt;="&amp;$A39,実績!$AD$6:$AD$505,"&gt;"&amp;$A39,実績!$AE$6:$AE$505,"○")&gt;0,1,0))</f>
        <v/>
      </c>
      <c r="AQ39">
        <f>IF(AQ$4=0,0,IF(COUNTIFS(実績!$W$6:$W$505,AQ$3,実績!$AC$6:$AC$505,"&lt;="&amp;$A39,実績!$AD$6:$AD$505,"&gt;"&amp;$A39,実績!$AE$6:$AE$505,"○")&gt;0,1,0))</f>
        <v/>
      </c>
      <c r="AR39">
        <f>IF(AR$4=0,0,IF(COUNTIFS(実績!$W$6:$W$505,AR$3,実績!$AC$6:$AC$505,"&lt;="&amp;$A39,実績!$AD$6:$AD$505,"&gt;"&amp;$A39,実績!$AE$6:$AE$505,"○")&gt;0,1,0))</f>
        <v/>
      </c>
      <c r="AS39">
        <f>IF(AS$4=0,0,IF(COUNTIFS(実績!$W$6:$W$505,AS$3,実績!$AC$6:$AC$505,"&lt;="&amp;$A39,実績!$AD$6:$AD$505,"&gt;"&amp;$A39,実績!$AE$6:$AE$505,"○")&gt;0,1,0))</f>
        <v/>
      </c>
      <c r="AT39">
        <f>IF(AT$4=0,0,IF(COUNTIFS(実績!$W$6:$W$505,AT$3,実績!$AC$6:$AC$505,"&lt;="&amp;$A39,実績!$AD$6:$AD$505,"&gt;"&amp;$A39,実績!$AE$6:$AE$505,"○")&gt;0,1,0))</f>
        <v/>
      </c>
      <c r="AU39">
        <f>IF(AU$4=0,0,IF(COUNTIFS(実績!$W$6:$W$505,AU$3,実績!$AC$6:$AC$505,"&lt;="&amp;$A39,実績!$AD$6:$AD$505,"&gt;"&amp;$A39,実績!$AE$6:$AE$505,"○")&gt;0,1,0))</f>
        <v/>
      </c>
      <c r="AV39">
        <f>IF(AV$4=0,0,IF(COUNTIFS(実績!$W$6:$W$505,AV$3,実績!$AC$6:$AC$505,"&lt;="&amp;$A39,実績!$AD$6:$AD$505,"&gt;"&amp;$A39,実績!$AE$6:$AE$505,"○")&gt;0,1,0))</f>
        <v/>
      </c>
      <c r="AW39">
        <f>IF(AW$4=0,0,IF(COUNTIFS(実績!$W$6:$W$505,AW$3,実績!$AC$6:$AC$505,"&lt;="&amp;$A39,実績!$AD$6:$AD$505,"&gt;"&amp;$A39,実績!$AE$6:$AE$505,"○")&gt;0,1,0))</f>
        <v/>
      </c>
      <c r="AX39">
        <f>IF(AX$4=0,0,IF(COUNTIFS(実績!$W$6:$W$505,AX$3,実績!$AC$6:$AC$505,"&lt;="&amp;$A39,実績!$AD$6:$AD$505,"&gt;"&amp;$A39,実績!$AE$6:$AE$505,"○")&gt;0,1,0))</f>
        <v/>
      </c>
      <c r="AY39">
        <f>IF(AY$4=0,0,IF(COUNTIFS(実績!$W$6:$W$505,AY$3,実績!$AC$6:$AC$505,"&lt;="&amp;$A39,実績!$AD$6:$AD$505,"&gt;"&amp;$A39,実績!$AE$6:$AE$505,"○")&gt;0,1,0))</f>
        <v/>
      </c>
      <c r="AZ39">
        <f>IF(AZ$4=0,0,IF(COUNTIFS(実績!$W$6:$W$505,AZ$3,実績!$AC$6:$AC$505,"&lt;="&amp;$A39,実績!$AD$6:$AD$505,"&gt;"&amp;$A39,実績!$AE$6:$AE$505,"○")&gt;0,1,0))</f>
        <v/>
      </c>
      <c r="BA39">
        <f>IF(BA$4=0,0,IF(COUNTIFS(実績!$W$6:$W$505,BA$3,実績!$AC$6:$AC$505,"&lt;="&amp;$A39,実績!$AD$6:$AD$505,"&gt;"&amp;$A39,実績!$AE$6:$AE$505,"○")&gt;0,1,0))</f>
        <v/>
      </c>
      <c r="BB39">
        <f>IF(BB$4=0,0,IF(COUNTIFS(実績!$W$6:$W$505,BB$3,実績!$AC$6:$AC$505,"&lt;="&amp;$A39,実績!$AD$6:$AD$505,"&gt;"&amp;$A39,実績!$AE$6:$AE$505,"○")&gt;0,1,0))</f>
        <v/>
      </c>
      <c r="BC39">
        <f>IF(BC$4=0,0,IF(COUNTIFS(実績!$W$6:$W$505,BC$3,実績!$AC$6:$AC$505,"&lt;="&amp;$A39,実績!$AD$6:$AD$505,"&gt;"&amp;$A39,実績!$AE$6:$AE$505,"○")&gt;0,1,0))</f>
        <v/>
      </c>
      <c r="BD39">
        <f>IF(BD$4=0,0,IF(COUNTIFS(実績!$W$6:$W$505,BD$3,実績!$AC$6:$AC$505,"&lt;="&amp;$A39,実績!$AD$6:$AD$505,"&gt;"&amp;$A39,実績!$AE$6:$AE$505,"○")&gt;0,1,0))</f>
        <v/>
      </c>
      <c r="BE39">
        <f>IF(BE$4=0,0,IF(COUNTIFS(実績!$W$6:$W$505,BE$3,実績!$AC$6:$AC$505,"&lt;="&amp;$A39,実績!$AD$6:$AD$505,"&gt;"&amp;$A39,実績!$AE$6:$AE$505,"○")&gt;0,1,0))</f>
        <v/>
      </c>
      <c r="BF39">
        <f>IF(BF$4=0,0,IF(COUNTIFS(実績!$W$6:$W$505,BF$3,実績!$AC$6:$AC$505,"&lt;="&amp;$A39,実績!$AD$6:$AD$505,"&gt;"&amp;$A39,実績!$AE$6:$AE$505,"○")&gt;0,1,0))</f>
        <v/>
      </c>
      <c r="BG39">
        <f>IF(BG$4=0,0,IF(COUNTIFS(実績!$W$6:$W$505,BG$3,実績!$AC$6:$AC$505,"&lt;="&amp;$A39,実績!$AD$6:$AD$505,"&gt;"&amp;$A39,実績!$AE$6:$AE$505,"○")&gt;0,1,0))</f>
        <v/>
      </c>
      <c r="BH39">
        <f>IF(BH$4=0,0,IF(COUNTIFS(実績!$W$6:$W$505,BH$3,実績!$AC$6:$AC$505,"&lt;="&amp;$A39,実績!$AD$6:$AD$505,"&gt;"&amp;$A39,実績!$AE$6:$AE$505,"○")&gt;0,1,0))</f>
        <v/>
      </c>
      <c r="BI39">
        <f>IF(BI$4=0,0,IF(COUNTIFS(実績!$W$6:$W$505,BI$3,実績!$AC$6:$AC$505,"&lt;="&amp;$A39,実績!$AD$6:$AD$505,"&gt;"&amp;$A39,実績!$AE$6:$AE$505,"○")&gt;0,1,0))</f>
        <v/>
      </c>
      <c r="BJ39">
        <f>IF(BJ$4=0,0,IF(COUNTIFS(実績!$W$6:$W$505,BJ$3,実績!$AC$6:$AC$505,"&lt;="&amp;$A39,実績!$AD$6:$AD$505,"&gt;"&amp;$A39,実績!$AE$6:$AE$505,"○")&gt;0,1,0))</f>
        <v/>
      </c>
      <c r="BK39">
        <f>IF(BK$4=0,0,IF(COUNTIFS(実績!$W$6:$W$505,BK$3,実績!$AC$6:$AC$505,"&lt;="&amp;$A39,実績!$AD$6:$AD$505,"&gt;"&amp;$A39,実績!$AE$6:$AE$505,"○")&gt;0,1,0))</f>
        <v/>
      </c>
      <c r="BL39">
        <f>IF(BL$4=0,0,IF(COUNTIFS(実績!$W$6:$W$505,BL$3,実績!$AC$6:$AC$505,"&lt;="&amp;$A39,実績!$AD$6:$AD$505,"&gt;"&amp;$A39,実績!$AE$6:$AE$505,"○")&gt;0,1,0))</f>
        <v/>
      </c>
      <c r="BM39">
        <f>IF(BM$4=0,0,IF(COUNTIFS(実績!$W$6:$W$505,BM$3,実績!$AC$6:$AC$505,"&lt;="&amp;$A39,実績!$AD$6:$AD$505,"&gt;"&amp;$A39,実績!$AE$6:$AE$505,"○")&gt;0,1,0))</f>
        <v/>
      </c>
      <c r="BN39">
        <f>IF(BN$4=0,0,IF(COUNTIFS(実績!$W$6:$W$505,BN$3,実績!$AC$6:$AC$505,"&lt;="&amp;$A39,実績!$AD$6:$AD$505,"&gt;"&amp;$A39,実績!$AE$6:$AE$505,"○")&gt;0,1,0))</f>
        <v/>
      </c>
      <c r="BO39">
        <f>IF(BO$4=0,0,IF(COUNTIFS(実績!$W$6:$W$505,BO$3,実績!$AC$6:$AC$505,"&lt;="&amp;$A39,実績!$AD$6:$AD$505,"&gt;"&amp;$A39,実績!$AE$6:$AE$505,"○")&gt;0,1,0))</f>
        <v/>
      </c>
      <c r="BP39">
        <f>IF(BP$4=0,0,IF(COUNTIFS(実績!$W$6:$W$505,BP$3,実績!$AC$6:$AC$505,"&lt;="&amp;$A39,実績!$AD$6:$AD$505,"&gt;"&amp;$A39,実績!$AE$6:$AE$505,"○")&gt;0,1,0))</f>
        <v/>
      </c>
      <c r="BQ39">
        <f>IF(BQ$4=0,0,IF(COUNTIFS(実績!$W$6:$W$505,BQ$3,実績!$AC$6:$AC$505,"&lt;="&amp;$A39,実績!$AD$6:$AD$505,"&gt;"&amp;$A39,実績!$AE$6:$AE$505,"○")&gt;0,1,0))</f>
        <v/>
      </c>
      <c r="BR39">
        <f>IF(BR$4=0,0,IF(COUNTIFS(実績!$W$6:$W$505,BR$3,実績!$AC$6:$AC$505,"&lt;="&amp;$A39,実績!$AD$6:$AD$505,"&gt;"&amp;$A39,実績!$AE$6:$AE$505,"○")&gt;0,1,0))</f>
        <v/>
      </c>
      <c r="BS39">
        <f>IF(BS$4=0,0,IF(COUNTIFS(実績!$W$6:$W$505,BS$3,実績!$AC$6:$AC$505,"&lt;="&amp;$A39,実績!$AD$6:$AD$505,"&gt;"&amp;$A39,実績!$AE$6:$AE$505,"○")&gt;0,1,0))</f>
        <v/>
      </c>
      <c r="BT39">
        <f>IF(BT$4=0,0,IF(COUNTIFS(実績!$W$6:$W$505,BT$3,実績!$AC$6:$AC$505,"&lt;="&amp;$A39,実績!$AD$6:$AD$505,"&gt;"&amp;$A39,実績!$AE$6:$AE$505,"○")&gt;0,1,0))</f>
        <v/>
      </c>
      <c r="BU39">
        <f>IF(BU$4=0,0,IF(COUNTIFS(実績!$W$6:$W$505,BU$3,実績!$AC$6:$AC$505,"&lt;="&amp;$A39,実績!$AD$6:$AD$505,"&gt;"&amp;$A39,実績!$AE$6:$AE$505,"○")&gt;0,1,0))</f>
        <v/>
      </c>
      <c r="BV39">
        <f>IF(BV$4=0,0,IF(COUNTIFS(実績!$W$6:$W$505,BV$3,実績!$AC$6:$AC$505,"&lt;="&amp;$A39,実績!$AD$6:$AD$505,"&gt;"&amp;$A39,実績!$AE$6:$AE$505,"○")&gt;0,1,0))</f>
        <v/>
      </c>
      <c r="BW39">
        <f>IF(BW$4=0,0,IF(COUNTIFS(実績!$W$6:$W$505,BW$3,実績!$AC$6:$AC$505,"&lt;="&amp;$A39,実績!$AD$6:$AD$505,"&gt;"&amp;$A39,実績!$AE$6:$AE$505,"○")&gt;0,1,0))</f>
        <v/>
      </c>
      <c r="BX39">
        <f>IF(BX$4=0,0,IF(COUNTIFS(実績!$W$6:$W$505,BX$3,実績!$AC$6:$AC$505,"&lt;="&amp;$A39,実績!$AD$6:$AD$505,"&gt;"&amp;$A39,実績!$AE$6:$AE$505,"○")&gt;0,1,0))</f>
        <v/>
      </c>
      <c r="BY39">
        <f>IF(BY$4=0,0,IF(COUNTIFS(実績!$W$6:$W$505,BY$3,実績!$AC$6:$AC$505,"&lt;="&amp;$A39,実績!$AD$6:$AD$505,"&gt;"&amp;$A39,実績!$AE$6:$AE$505,"○")&gt;0,1,0))</f>
        <v/>
      </c>
      <c r="BZ39">
        <f>IF(BZ$4=0,0,IF(COUNTIFS(実績!$W$6:$W$505,BZ$3,実績!$AC$6:$AC$505,"&lt;="&amp;$A39,実績!$AD$6:$AD$505,"&gt;"&amp;$A39,実績!$AE$6:$AE$505,"○")&gt;0,1,0))</f>
        <v/>
      </c>
      <c r="CA39">
        <f>IF(CA$4=0,0,IF(COUNTIFS(実績!$W$6:$W$505,CA$3,実績!$AC$6:$AC$505,"&lt;="&amp;$A39,実績!$AD$6:$AD$505,"&gt;"&amp;$A39,実績!$AE$6:$AE$505,"○")&gt;0,1,0))</f>
        <v/>
      </c>
      <c r="CB39">
        <f>IF(CB$4=0,0,IF(COUNTIFS(実績!$W$6:$W$505,CB$3,実績!$AC$6:$AC$505,"&lt;="&amp;$A39,実績!$AD$6:$AD$505,"&gt;"&amp;$A39,実績!$AE$6:$AE$505,"○")&gt;0,1,0))</f>
        <v/>
      </c>
      <c r="CC39">
        <f>IF(CC$4=0,0,IF(COUNTIFS(実績!$W$6:$W$505,CC$3,実績!$AC$6:$AC$505,"&lt;="&amp;$A39,実績!$AD$6:$AD$505,"&gt;"&amp;$A39,実績!$AE$6:$AE$505,"○")&gt;0,1,0))</f>
        <v/>
      </c>
      <c r="CD39">
        <f>IF(CD$4=0,0,IF(COUNTIFS(実績!$W$6:$W$505,CD$3,実績!$AC$6:$AC$505,"&lt;="&amp;$A39,実績!$AD$6:$AD$505,"&gt;"&amp;$A39,実績!$AE$6:$AE$505,"○")&gt;0,1,0))</f>
        <v/>
      </c>
      <c r="CE39">
        <f>IF(CE$4=0,0,IF(COUNTIFS(実績!$W$6:$W$505,CE$3,実績!$AC$6:$AC$505,"&lt;="&amp;$A39,実績!$AD$6:$AD$505,"&gt;"&amp;$A39,実績!$AE$6:$AE$505,"○")&gt;0,1,0))</f>
        <v/>
      </c>
      <c r="CF39">
        <f>IF(CF$4=0,0,IF(COUNTIFS(実績!$W$6:$W$505,CF$3,実績!$AC$6:$AC$505,"&lt;="&amp;$A39,実績!$AD$6:$AD$505,"&gt;"&amp;$A39,実績!$AE$6:$AE$505,"○")&gt;0,1,0))</f>
        <v/>
      </c>
      <c r="CG39">
        <f>IF(CG$4=0,0,IF(COUNTIFS(実績!$W$6:$W$505,CG$3,実績!$AC$6:$AC$505,"&lt;="&amp;$A39,実績!$AD$6:$AD$505,"&gt;"&amp;$A39,実績!$AE$6:$AE$505,"○")&gt;0,1,0))</f>
        <v/>
      </c>
      <c r="CH39">
        <f>IF(CH$4=0,0,IF(COUNTIFS(実績!$W$6:$W$505,CH$3,実績!$AC$6:$AC$505,"&lt;="&amp;$A39,実績!$AD$6:$AD$505,"&gt;"&amp;$A39,実績!$AE$6:$AE$505,"○")&gt;0,1,0))</f>
        <v/>
      </c>
      <c r="CI39">
        <f>IF(CI$4=0,0,IF(COUNTIFS(実績!$W$6:$W$505,CI$3,実績!$AC$6:$AC$505,"&lt;="&amp;$A39,実績!$AD$6:$AD$505,"&gt;"&amp;$A39,実績!$AE$6:$AE$505,"○")&gt;0,1,0))</f>
        <v/>
      </c>
      <c r="CJ39">
        <f>IF(CJ$4=0,0,IF(COUNTIFS(実績!$W$6:$W$505,CJ$3,実績!$AC$6:$AC$505,"&lt;="&amp;$A39,実績!$AD$6:$AD$505,"&gt;"&amp;$A39,実績!$AE$6:$AE$505,"○")&gt;0,1,0))</f>
        <v/>
      </c>
      <c r="CK39">
        <f>IF(CK$4=0,0,IF(COUNTIFS(実績!$W$6:$W$505,CK$3,実績!$AC$6:$AC$505,"&lt;="&amp;$A39,実績!$AD$6:$AD$505,"&gt;"&amp;$A39,実績!$AE$6:$AE$505,"○")&gt;0,1,0))</f>
        <v/>
      </c>
      <c r="CL39">
        <f>IF(CL$4=0,0,IF(COUNTIFS(実績!$W$6:$W$505,CL$3,実績!$AC$6:$AC$505,"&lt;="&amp;$A39,実績!$AD$6:$AD$505,"&gt;"&amp;$A39,実績!$AE$6:$AE$505,"○")&gt;0,1,0))</f>
        <v/>
      </c>
      <c r="CM39">
        <f>IF(CM$4=0,0,IF(COUNTIFS(実績!$W$6:$W$505,CM$3,実績!$AC$6:$AC$505,"&lt;="&amp;$A39,実績!$AD$6:$AD$505,"&gt;"&amp;$A39,実績!$AE$6:$AE$505,"○")&gt;0,1,0))</f>
        <v/>
      </c>
      <c r="CN39">
        <f>IF(CN$4=0,0,IF(COUNTIFS(実績!$W$6:$W$505,CN$3,実績!$AC$6:$AC$505,"&lt;="&amp;$A39,実績!$AD$6:$AD$505,"&gt;"&amp;$A39,実績!$AE$6:$AE$505,"○")&gt;0,1,0))</f>
        <v/>
      </c>
      <c r="CO39">
        <f>IF(CO$4=0,0,IF(COUNTIFS(実績!$W$6:$W$505,CO$3,実績!$AC$6:$AC$505,"&lt;="&amp;$A39,実績!$AD$6:$AD$505,"&gt;"&amp;$A39,実績!$AE$6:$AE$505,"○")&gt;0,1,0))</f>
        <v/>
      </c>
      <c r="CP39">
        <f>IF(CP$4=0,0,IF(COUNTIFS(実績!$W$6:$W$505,CP$3,実績!$AC$6:$AC$505,"&lt;="&amp;$A39,実績!$AD$6:$AD$505,"&gt;"&amp;$A39,実績!$AE$6:$AE$505,"○")&gt;0,1,0))</f>
        <v/>
      </c>
      <c r="CQ39">
        <f>IF(CQ$4=0,0,IF(COUNTIFS(実績!$W$6:$W$505,CQ$3,実績!$AC$6:$AC$505,"&lt;="&amp;$A39,実績!$AD$6:$AD$505,"&gt;"&amp;$A39,実績!$AE$6:$AE$505,"○")&gt;0,1,0))</f>
        <v/>
      </c>
      <c r="CR39">
        <f>IF(CR$4=0,0,IF(COUNTIFS(実績!$W$6:$W$505,CR$3,実績!$AC$6:$AC$505,"&lt;="&amp;$A39,実績!$AD$6:$AD$505,"&gt;"&amp;$A39,実績!$AE$6:$AE$505,"○")&gt;0,1,0))</f>
        <v/>
      </c>
      <c r="CS39">
        <f>IF(CS$4=0,0,IF(COUNTIFS(実績!$W$6:$W$505,CS$3,実績!$AC$6:$AC$505,"&lt;="&amp;$A39,実績!$AD$6:$AD$505,"&gt;"&amp;$A39,実績!$AE$6:$AE$505,"○")&gt;0,1,0))</f>
        <v/>
      </c>
      <c r="CT39">
        <f>IF(CT$4=0,0,IF(COUNTIFS(実績!$W$6:$W$505,CT$3,実績!$AC$6:$AC$505,"&lt;="&amp;$A39,実績!$AD$6:$AD$505,"&gt;"&amp;$A39,実績!$AE$6:$AE$505,"○")&gt;0,1,0))</f>
        <v/>
      </c>
      <c r="CU39">
        <f>IF(CU$4=0,0,IF(COUNTIFS(実績!$W$6:$W$505,CU$3,実績!$AC$6:$AC$505,"&lt;="&amp;$A39,実績!$AD$6:$AD$505,"&gt;"&amp;$A39,実績!$AE$6:$AE$505,"○")&gt;0,1,0))</f>
        <v/>
      </c>
      <c r="CV39">
        <f>IF(CV$4=0,0,IF(COUNTIFS(実績!$W$6:$W$505,CV$3,実績!$AC$6:$AC$505,"&lt;="&amp;$A39,実績!$AD$6:$AD$505,"&gt;"&amp;$A39,実績!$AE$6:$AE$505,"○")&gt;0,1,0))</f>
        <v/>
      </c>
      <c r="CW39">
        <f>IF(CW$4=0,0,IF(COUNTIFS(実績!$W$6:$W$505,CW$3,実績!$AC$6:$AC$505,"&lt;="&amp;$A39,実績!$AD$6:$AD$505,"&gt;"&amp;$A39,実績!$AE$6:$AE$505,"○")&gt;0,1,0))</f>
        <v/>
      </c>
      <c r="CX39">
        <f>IF(CX$4=0,0,IF(COUNTIFS(実績!$W$6:$W$505,CX$3,実績!$AC$6:$AC$505,"&lt;="&amp;$A39,実績!$AD$6:$AD$505,"&gt;"&amp;$A39,実績!$AE$6:$AE$505,"○")&gt;0,1,0))</f>
        <v/>
      </c>
      <c r="CY39">
        <f>IF(CY$4=0,0,IF(COUNTIFS(実績!$W$6:$W$505,CY$3,実績!$AC$6:$AC$505,"&lt;="&amp;$A39,実績!$AD$6:$AD$505,"&gt;"&amp;$A39,実績!$AE$6:$AE$505,"○")&gt;0,1,0))</f>
        <v/>
      </c>
      <c r="CZ39">
        <f>IF(CZ$4=0,0,IF(COUNTIFS(実績!$W$6:$W$505,CZ$3,実績!$AC$6:$AC$505,"&lt;="&amp;$A39,実績!$AD$6:$AD$505,"&gt;"&amp;$A39,実績!$AE$6:$AE$505,"○")&gt;0,1,0))</f>
        <v/>
      </c>
      <c r="DA39">
        <f>IF(DA$4=0,0,IF(COUNTIFS(実績!$W$6:$W$505,DA$3,実績!$AC$6:$AC$505,"&lt;="&amp;$A39,実績!$AD$6:$AD$505,"&gt;"&amp;$A39,実績!$AE$6:$AE$505,"○")&gt;0,1,0))</f>
        <v/>
      </c>
      <c r="DB39">
        <f>IF(DB$4=0,0,IF(COUNTIFS(実績!$W$6:$W$505,DB$3,実績!$AC$6:$AC$505,"&lt;="&amp;$A39,実績!$AD$6:$AD$505,"&gt;"&amp;$A39,実績!$AE$6:$AE$505,"○")&gt;0,1,0))</f>
        <v/>
      </c>
      <c r="DC39">
        <f>IF(DC$4=0,0,IF(COUNTIFS(実績!$W$6:$W$505,DC$3,実績!$AC$6:$AC$505,"&lt;="&amp;$A39,実績!$AD$6:$AD$505,"&gt;"&amp;$A39,実績!$AE$6:$AE$505,"○")&gt;0,1,0))</f>
        <v/>
      </c>
      <c r="DD39">
        <f>IF(DD$4=0,0,IF(COUNTIFS(実績!$W$6:$W$505,DD$3,実績!$AC$6:$AC$505,"&lt;="&amp;$A39,実績!$AD$6:$AD$505,"&gt;"&amp;$A39,実績!$AE$6:$AE$505,"○")&gt;0,1,0))</f>
        <v/>
      </c>
      <c r="DE39">
        <f>IF(DE$4=0,0,IF(COUNTIFS(実績!$W$6:$W$505,DE$3,実績!$AC$6:$AC$505,"&lt;="&amp;$A39,実績!$AD$6:$AD$505,"&gt;"&amp;$A39,実績!$AE$6:$AE$505,"○")&gt;0,1,0))</f>
        <v/>
      </c>
      <c r="DF39">
        <f>IF(DF$4=0,0,IF(COUNTIFS(実績!$W$6:$W$505,DF$3,実績!$AC$6:$AC$505,"&lt;="&amp;$A39,実績!$AD$6:$AD$505,"&gt;"&amp;$A39,実績!$AE$6:$AE$505,"○")&gt;0,1,0))</f>
        <v/>
      </c>
      <c r="DG39">
        <f>IF(DG$4=0,0,IF(COUNTIFS(実績!$W$6:$W$505,DG$3,実績!$AC$6:$AC$505,"&lt;="&amp;$A39,実績!$AD$6:$AD$505,"&gt;"&amp;$A39,実績!$AE$6:$AE$505,"○")&gt;0,1,0))</f>
        <v/>
      </c>
      <c r="DH39">
        <f>IF(DH$4=0,0,IF(COUNTIFS(実績!$W$6:$W$505,DH$3,実績!$AC$6:$AC$505,"&lt;="&amp;$A39,実績!$AD$6:$AD$505,"&gt;"&amp;$A39,実績!$AE$6:$AE$505,"○")&gt;0,1,0))</f>
        <v/>
      </c>
      <c r="DI39">
        <f>IF(DI$4=0,0,IF(COUNTIFS(実績!$W$6:$W$505,DI$3,実績!$AC$6:$AC$505,"&lt;="&amp;$A39,実績!$AD$6:$AD$505,"&gt;"&amp;$A39,実績!$AE$6:$AE$505,"○")&gt;0,1,0))</f>
        <v/>
      </c>
      <c r="DJ39">
        <f>IF(DJ$4=0,0,IF(COUNTIFS(実績!$W$6:$W$505,DJ$3,実績!$AC$6:$AC$505,"&lt;="&amp;$A39,実績!$AD$6:$AD$505,"&gt;"&amp;$A39,実績!$AE$6:$AE$505,"○")&gt;0,1,0))</f>
        <v/>
      </c>
      <c r="DK39">
        <f>IF(DK$4=0,0,IF(COUNTIFS(実績!$W$6:$W$505,DK$3,実績!$AC$6:$AC$505,"&lt;="&amp;$A39,実績!$AD$6:$AD$505,"&gt;"&amp;$A39,実績!$AE$6:$AE$505,"○")&gt;0,1,0))</f>
        <v/>
      </c>
      <c r="DL39">
        <f>IF(DL$4=0,0,IF(COUNTIFS(実績!$W$6:$W$505,DL$3,実績!$AC$6:$AC$505,"&lt;="&amp;$A39,実績!$AD$6:$AD$505,"&gt;"&amp;$A39,実績!$AE$6:$AE$505,"○")&gt;0,1,0))</f>
        <v/>
      </c>
      <c r="DM39">
        <f>IF(DM$4=0,0,IF(COUNTIFS(実績!$W$6:$W$505,DM$3,実績!$AC$6:$AC$505,"&lt;="&amp;$A39,実績!$AD$6:$AD$505,"&gt;"&amp;$A39,実績!$AE$6:$AE$505,"○")&gt;0,1,0))</f>
        <v/>
      </c>
      <c r="DN39">
        <f>IF(DN$4=0,0,IF(COUNTIFS(実績!$W$6:$W$505,DN$3,実績!$AC$6:$AC$505,"&lt;="&amp;$A39,実績!$AD$6:$AD$505,"&gt;"&amp;$A39,実績!$AE$6:$AE$505,"○")&gt;0,1,0))</f>
        <v/>
      </c>
      <c r="DO39">
        <f>IF(DO$4=0,0,IF(COUNTIFS(実績!$W$6:$W$505,DO$3,実績!$AC$6:$AC$505,"&lt;="&amp;$A39,実績!$AD$6:$AD$505,"&gt;"&amp;$A39,実績!$AE$6:$AE$505,"○")&gt;0,1,0))</f>
        <v/>
      </c>
      <c r="DP39">
        <f>IF(DP$4=0,0,IF(COUNTIFS(実績!$W$6:$W$505,DP$3,実績!$AC$6:$AC$505,"&lt;="&amp;$A39,実績!$AD$6:$AD$505,"&gt;"&amp;$A39,実績!$AE$6:$AE$505,"○")&gt;0,1,0))</f>
        <v/>
      </c>
      <c r="DQ39">
        <f>IF(DQ$4=0,0,IF(COUNTIFS(実績!$W$6:$W$505,DQ$3,実績!$AC$6:$AC$505,"&lt;="&amp;$A39,実績!$AD$6:$AD$505,"&gt;"&amp;$A39,実績!$AE$6:$AE$505,"○")&gt;0,1,0))</f>
        <v/>
      </c>
      <c r="DR39">
        <f>IF(DR$4=0,0,IF(COUNTIFS(実績!$W$6:$W$505,DR$3,実績!$AC$6:$AC$505,"&lt;="&amp;$A39,実績!$AD$6:$AD$505,"&gt;"&amp;$A39,実績!$AE$6:$AE$505,"○")&gt;0,1,0))</f>
        <v/>
      </c>
      <c r="DS39">
        <f>SUM(C39:DR39)</f>
        <v/>
      </c>
      <c r="DT39">
        <f>SUMPRODUCT((実績!$C$6:$C$505="○")*ISNUMBER(実績!$AF$6:$AF$505)*(実績!$AF$6:$AF$505&lt;=$A39)*(実績!$AG$6:$AG$505&gt;$A39))</f>
        <v/>
      </c>
      <c r="DU39">
        <f>SUMIF($C$2:$DR$2,"製鉄曳船",C39:DR39)</f>
        <v/>
      </c>
      <c r="DV39">
        <f>SUMIF($C$2:$DR$2,"西日本海運",C39:DR39)</f>
        <v/>
      </c>
    </row>
    <row r="40">
      <c r="A40" t="n">
        <v>170</v>
      </c>
      <c r="B40" s="29">
        <f>A40/1440</f>
        <v/>
      </c>
      <c r="C40">
        <f>IF(C$4=0,0,IF(COUNTIFS(実績!$W$6:$W$505,C$3,実績!$AC$6:$AC$505,"&lt;="&amp;$A40,実績!$AD$6:$AD$505,"&gt;"&amp;$A40,実績!$AE$6:$AE$505,"○")&gt;0,1,0))</f>
        <v/>
      </c>
      <c r="D40">
        <f>IF(D$4=0,0,IF(COUNTIFS(実績!$W$6:$W$505,D$3,実績!$AC$6:$AC$505,"&lt;="&amp;$A40,実績!$AD$6:$AD$505,"&gt;"&amp;$A40,実績!$AE$6:$AE$505,"○")&gt;0,1,0))</f>
        <v/>
      </c>
      <c r="E40">
        <f>IF(E$4=0,0,IF(COUNTIFS(実績!$W$6:$W$505,E$3,実績!$AC$6:$AC$505,"&lt;="&amp;$A40,実績!$AD$6:$AD$505,"&gt;"&amp;$A40,実績!$AE$6:$AE$505,"○")&gt;0,1,0))</f>
        <v/>
      </c>
      <c r="F40">
        <f>IF(F$4=0,0,IF(COUNTIFS(実績!$W$6:$W$505,F$3,実績!$AC$6:$AC$505,"&lt;="&amp;$A40,実績!$AD$6:$AD$505,"&gt;"&amp;$A40,実績!$AE$6:$AE$505,"○")&gt;0,1,0))</f>
        <v/>
      </c>
      <c r="G40">
        <f>IF(G$4=0,0,IF(COUNTIFS(実績!$W$6:$W$505,G$3,実績!$AC$6:$AC$505,"&lt;="&amp;$A40,実績!$AD$6:$AD$505,"&gt;"&amp;$A40,実績!$AE$6:$AE$505,"○")&gt;0,1,0))</f>
        <v/>
      </c>
      <c r="H40">
        <f>IF(H$4=0,0,IF(COUNTIFS(実績!$W$6:$W$505,H$3,実績!$AC$6:$AC$505,"&lt;="&amp;$A40,実績!$AD$6:$AD$505,"&gt;"&amp;$A40,実績!$AE$6:$AE$505,"○")&gt;0,1,0))</f>
        <v/>
      </c>
      <c r="I40">
        <f>IF(I$4=0,0,IF(COUNTIFS(実績!$W$6:$W$505,I$3,実績!$AC$6:$AC$505,"&lt;="&amp;$A40,実績!$AD$6:$AD$505,"&gt;"&amp;$A40,実績!$AE$6:$AE$505,"○")&gt;0,1,0))</f>
        <v/>
      </c>
      <c r="J40">
        <f>IF(J$4=0,0,IF(COUNTIFS(実績!$W$6:$W$505,J$3,実績!$AC$6:$AC$505,"&lt;="&amp;$A40,実績!$AD$6:$AD$505,"&gt;"&amp;$A40,実績!$AE$6:$AE$505,"○")&gt;0,1,0))</f>
        <v/>
      </c>
      <c r="K40">
        <f>IF(K$4=0,0,IF(COUNTIFS(実績!$W$6:$W$505,K$3,実績!$AC$6:$AC$505,"&lt;="&amp;$A40,実績!$AD$6:$AD$505,"&gt;"&amp;$A40,実績!$AE$6:$AE$505,"○")&gt;0,1,0))</f>
        <v/>
      </c>
      <c r="L40">
        <f>IF(L$4=0,0,IF(COUNTIFS(実績!$W$6:$W$505,L$3,実績!$AC$6:$AC$505,"&lt;="&amp;$A40,実績!$AD$6:$AD$505,"&gt;"&amp;$A40,実績!$AE$6:$AE$505,"○")&gt;0,1,0))</f>
        <v/>
      </c>
      <c r="M40">
        <f>IF(M$4=0,0,IF(COUNTIFS(実績!$W$6:$W$505,M$3,実績!$AC$6:$AC$505,"&lt;="&amp;$A40,実績!$AD$6:$AD$505,"&gt;"&amp;$A40,実績!$AE$6:$AE$505,"○")&gt;0,1,0))</f>
        <v/>
      </c>
      <c r="N40">
        <f>IF(N$4=0,0,IF(COUNTIFS(実績!$W$6:$W$505,N$3,実績!$AC$6:$AC$505,"&lt;="&amp;$A40,実績!$AD$6:$AD$505,"&gt;"&amp;$A40,実績!$AE$6:$AE$505,"○")&gt;0,1,0))</f>
        <v/>
      </c>
      <c r="O40">
        <f>IF(O$4=0,0,IF(COUNTIFS(実績!$W$6:$W$505,O$3,実績!$AC$6:$AC$505,"&lt;="&amp;$A40,実績!$AD$6:$AD$505,"&gt;"&amp;$A40,実績!$AE$6:$AE$505,"○")&gt;0,1,0))</f>
        <v/>
      </c>
      <c r="P40">
        <f>IF(P$4=0,0,IF(COUNTIFS(実績!$W$6:$W$505,P$3,実績!$AC$6:$AC$505,"&lt;="&amp;$A40,実績!$AD$6:$AD$505,"&gt;"&amp;$A40,実績!$AE$6:$AE$505,"○")&gt;0,1,0))</f>
        <v/>
      </c>
      <c r="Q40">
        <f>IF(Q$4=0,0,IF(COUNTIFS(実績!$W$6:$W$505,Q$3,実績!$AC$6:$AC$505,"&lt;="&amp;$A40,実績!$AD$6:$AD$505,"&gt;"&amp;$A40,実績!$AE$6:$AE$505,"○")&gt;0,1,0))</f>
        <v/>
      </c>
      <c r="R40">
        <f>IF(R$4=0,0,IF(COUNTIFS(実績!$W$6:$W$505,R$3,実績!$AC$6:$AC$505,"&lt;="&amp;$A40,実績!$AD$6:$AD$505,"&gt;"&amp;$A40,実績!$AE$6:$AE$505,"○")&gt;0,1,0))</f>
        <v/>
      </c>
      <c r="S40">
        <f>IF(S$4=0,0,IF(COUNTIFS(実績!$W$6:$W$505,S$3,実績!$AC$6:$AC$505,"&lt;="&amp;$A40,実績!$AD$6:$AD$505,"&gt;"&amp;$A40,実績!$AE$6:$AE$505,"○")&gt;0,1,0))</f>
        <v/>
      </c>
      <c r="T40">
        <f>IF(T$4=0,0,IF(COUNTIFS(実績!$W$6:$W$505,T$3,実績!$AC$6:$AC$505,"&lt;="&amp;$A40,実績!$AD$6:$AD$505,"&gt;"&amp;$A40,実績!$AE$6:$AE$505,"○")&gt;0,1,0))</f>
        <v/>
      </c>
      <c r="U40">
        <f>IF(U$4=0,0,IF(COUNTIFS(実績!$W$6:$W$505,U$3,実績!$AC$6:$AC$505,"&lt;="&amp;$A40,実績!$AD$6:$AD$505,"&gt;"&amp;$A40,実績!$AE$6:$AE$505,"○")&gt;0,1,0))</f>
        <v/>
      </c>
      <c r="V40">
        <f>IF(V$4=0,0,IF(COUNTIFS(実績!$W$6:$W$505,V$3,実績!$AC$6:$AC$505,"&lt;="&amp;$A40,実績!$AD$6:$AD$505,"&gt;"&amp;$A40,実績!$AE$6:$AE$505,"○")&gt;0,1,0))</f>
        <v/>
      </c>
      <c r="W40">
        <f>IF(W$4=0,0,IF(COUNTIFS(実績!$W$6:$W$505,W$3,実績!$AC$6:$AC$505,"&lt;="&amp;$A40,実績!$AD$6:$AD$505,"&gt;"&amp;$A40,実績!$AE$6:$AE$505,"○")&gt;0,1,0))</f>
        <v/>
      </c>
      <c r="X40">
        <f>IF(X$4=0,0,IF(COUNTIFS(実績!$W$6:$W$505,X$3,実績!$AC$6:$AC$505,"&lt;="&amp;$A40,実績!$AD$6:$AD$505,"&gt;"&amp;$A40,実績!$AE$6:$AE$505,"○")&gt;0,1,0))</f>
        <v/>
      </c>
      <c r="Y40">
        <f>IF(Y$4=0,0,IF(COUNTIFS(実績!$W$6:$W$505,Y$3,実績!$AC$6:$AC$505,"&lt;="&amp;$A40,実績!$AD$6:$AD$505,"&gt;"&amp;$A40,実績!$AE$6:$AE$505,"○")&gt;0,1,0))</f>
        <v/>
      </c>
      <c r="Z40">
        <f>IF(Z$4=0,0,IF(COUNTIFS(実績!$W$6:$W$505,Z$3,実績!$AC$6:$AC$505,"&lt;="&amp;$A40,実績!$AD$6:$AD$505,"&gt;"&amp;$A40,実績!$AE$6:$AE$505,"○")&gt;0,1,0))</f>
        <v/>
      </c>
      <c r="AA40">
        <f>IF(AA$4=0,0,IF(COUNTIFS(実績!$W$6:$W$505,AA$3,実績!$AC$6:$AC$505,"&lt;="&amp;$A40,実績!$AD$6:$AD$505,"&gt;"&amp;$A40,実績!$AE$6:$AE$505,"○")&gt;0,1,0))</f>
        <v/>
      </c>
      <c r="AB40">
        <f>IF(AB$4=0,0,IF(COUNTIFS(実績!$W$6:$W$505,AB$3,実績!$AC$6:$AC$505,"&lt;="&amp;$A40,実績!$AD$6:$AD$505,"&gt;"&amp;$A40,実績!$AE$6:$AE$505,"○")&gt;0,1,0))</f>
        <v/>
      </c>
      <c r="AC40">
        <f>IF(AC$4=0,0,IF(COUNTIFS(実績!$W$6:$W$505,AC$3,実績!$AC$6:$AC$505,"&lt;="&amp;$A40,実績!$AD$6:$AD$505,"&gt;"&amp;$A40,実績!$AE$6:$AE$505,"○")&gt;0,1,0))</f>
        <v/>
      </c>
      <c r="AD40">
        <f>IF(AD$4=0,0,IF(COUNTIFS(実績!$W$6:$W$505,AD$3,実績!$AC$6:$AC$505,"&lt;="&amp;$A40,実績!$AD$6:$AD$505,"&gt;"&amp;$A40,実績!$AE$6:$AE$505,"○")&gt;0,1,0))</f>
        <v/>
      </c>
      <c r="AE40">
        <f>IF(AE$4=0,0,IF(COUNTIFS(実績!$W$6:$W$505,AE$3,実績!$AC$6:$AC$505,"&lt;="&amp;$A40,実績!$AD$6:$AD$505,"&gt;"&amp;$A40,実績!$AE$6:$AE$505,"○")&gt;0,1,0))</f>
        <v/>
      </c>
      <c r="AF40">
        <f>IF(AF$4=0,0,IF(COUNTIFS(実績!$W$6:$W$505,AF$3,実績!$AC$6:$AC$505,"&lt;="&amp;$A40,実績!$AD$6:$AD$505,"&gt;"&amp;$A40,実績!$AE$6:$AE$505,"○")&gt;0,1,0))</f>
        <v/>
      </c>
      <c r="AG40">
        <f>IF(AG$4=0,0,IF(COUNTIFS(実績!$W$6:$W$505,AG$3,実績!$AC$6:$AC$505,"&lt;="&amp;$A40,実績!$AD$6:$AD$505,"&gt;"&amp;$A40,実績!$AE$6:$AE$505,"○")&gt;0,1,0))</f>
        <v/>
      </c>
      <c r="AH40">
        <f>IF(AH$4=0,0,IF(COUNTIFS(実績!$W$6:$W$505,AH$3,実績!$AC$6:$AC$505,"&lt;="&amp;$A40,実績!$AD$6:$AD$505,"&gt;"&amp;$A40,実績!$AE$6:$AE$505,"○")&gt;0,1,0))</f>
        <v/>
      </c>
      <c r="AI40">
        <f>IF(AI$4=0,0,IF(COUNTIFS(実績!$W$6:$W$505,AI$3,実績!$AC$6:$AC$505,"&lt;="&amp;$A40,実績!$AD$6:$AD$505,"&gt;"&amp;$A40,実績!$AE$6:$AE$505,"○")&gt;0,1,0))</f>
        <v/>
      </c>
      <c r="AJ40">
        <f>IF(AJ$4=0,0,IF(COUNTIFS(実績!$W$6:$W$505,AJ$3,実績!$AC$6:$AC$505,"&lt;="&amp;$A40,実績!$AD$6:$AD$505,"&gt;"&amp;$A40,実績!$AE$6:$AE$505,"○")&gt;0,1,0))</f>
        <v/>
      </c>
      <c r="AK40">
        <f>IF(AK$4=0,0,IF(COUNTIFS(実績!$W$6:$W$505,AK$3,実績!$AC$6:$AC$505,"&lt;="&amp;$A40,実績!$AD$6:$AD$505,"&gt;"&amp;$A40,実績!$AE$6:$AE$505,"○")&gt;0,1,0))</f>
        <v/>
      </c>
      <c r="AL40">
        <f>IF(AL$4=0,0,IF(COUNTIFS(実績!$W$6:$W$505,AL$3,実績!$AC$6:$AC$505,"&lt;="&amp;$A40,実績!$AD$6:$AD$505,"&gt;"&amp;$A40,実績!$AE$6:$AE$505,"○")&gt;0,1,0))</f>
        <v/>
      </c>
      <c r="AM40">
        <f>IF(AM$4=0,0,IF(COUNTIFS(実績!$W$6:$W$505,AM$3,実績!$AC$6:$AC$505,"&lt;="&amp;$A40,実績!$AD$6:$AD$505,"&gt;"&amp;$A40,実績!$AE$6:$AE$505,"○")&gt;0,1,0))</f>
        <v/>
      </c>
      <c r="AN40">
        <f>IF(AN$4=0,0,IF(COUNTIFS(実績!$W$6:$W$505,AN$3,実績!$AC$6:$AC$505,"&lt;="&amp;$A40,実績!$AD$6:$AD$505,"&gt;"&amp;$A40,実績!$AE$6:$AE$505,"○")&gt;0,1,0))</f>
        <v/>
      </c>
      <c r="AO40">
        <f>IF(AO$4=0,0,IF(COUNTIFS(実績!$W$6:$W$505,AO$3,実績!$AC$6:$AC$505,"&lt;="&amp;$A40,実績!$AD$6:$AD$505,"&gt;"&amp;$A40,実績!$AE$6:$AE$505,"○")&gt;0,1,0))</f>
        <v/>
      </c>
      <c r="AP40">
        <f>IF(AP$4=0,0,IF(COUNTIFS(実績!$W$6:$W$505,AP$3,実績!$AC$6:$AC$505,"&lt;="&amp;$A40,実績!$AD$6:$AD$505,"&gt;"&amp;$A40,実績!$AE$6:$AE$505,"○")&gt;0,1,0))</f>
        <v/>
      </c>
      <c r="AQ40">
        <f>IF(AQ$4=0,0,IF(COUNTIFS(実績!$W$6:$W$505,AQ$3,実績!$AC$6:$AC$505,"&lt;="&amp;$A40,実績!$AD$6:$AD$505,"&gt;"&amp;$A40,実績!$AE$6:$AE$505,"○")&gt;0,1,0))</f>
        <v/>
      </c>
      <c r="AR40">
        <f>IF(AR$4=0,0,IF(COUNTIFS(実績!$W$6:$W$505,AR$3,実績!$AC$6:$AC$505,"&lt;="&amp;$A40,実績!$AD$6:$AD$505,"&gt;"&amp;$A40,実績!$AE$6:$AE$505,"○")&gt;0,1,0))</f>
        <v/>
      </c>
      <c r="AS40">
        <f>IF(AS$4=0,0,IF(COUNTIFS(実績!$W$6:$W$505,AS$3,実績!$AC$6:$AC$505,"&lt;="&amp;$A40,実績!$AD$6:$AD$505,"&gt;"&amp;$A40,実績!$AE$6:$AE$505,"○")&gt;0,1,0))</f>
        <v/>
      </c>
      <c r="AT40">
        <f>IF(AT$4=0,0,IF(COUNTIFS(実績!$W$6:$W$505,AT$3,実績!$AC$6:$AC$505,"&lt;="&amp;$A40,実績!$AD$6:$AD$505,"&gt;"&amp;$A40,実績!$AE$6:$AE$505,"○")&gt;0,1,0))</f>
        <v/>
      </c>
      <c r="AU40">
        <f>IF(AU$4=0,0,IF(COUNTIFS(実績!$W$6:$W$505,AU$3,実績!$AC$6:$AC$505,"&lt;="&amp;$A40,実績!$AD$6:$AD$505,"&gt;"&amp;$A40,実績!$AE$6:$AE$505,"○")&gt;0,1,0))</f>
        <v/>
      </c>
      <c r="AV40">
        <f>IF(AV$4=0,0,IF(COUNTIFS(実績!$W$6:$W$505,AV$3,実績!$AC$6:$AC$505,"&lt;="&amp;$A40,実績!$AD$6:$AD$505,"&gt;"&amp;$A40,実績!$AE$6:$AE$505,"○")&gt;0,1,0))</f>
        <v/>
      </c>
      <c r="AW40">
        <f>IF(AW$4=0,0,IF(COUNTIFS(実績!$W$6:$W$505,AW$3,実績!$AC$6:$AC$505,"&lt;="&amp;$A40,実績!$AD$6:$AD$505,"&gt;"&amp;$A40,実績!$AE$6:$AE$505,"○")&gt;0,1,0))</f>
        <v/>
      </c>
      <c r="AX40">
        <f>IF(AX$4=0,0,IF(COUNTIFS(実績!$W$6:$W$505,AX$3,実績!$AC$6:$AC$505,"&lt;="&amp;$A40,実績!$AD$6:$AD$505,"&gt;"&amp;$A40,実績!$AE$6:$AE$505,"○")&gt;0,1,0))</f>
        <v/>
      </c>
      <c r="AY40">
        <f>IF(AY$4=0,0,IF(COUNTIFS(実績!$W$6:$W$505,AY$3,実績!$AC$6:$AC$505,"&lt;="&amp;$A40,実績!$AD$6:$AD$505,"&gt;"&amp;$A40,実績!$AE$6:$AE$505,"○")&gt;0,1,0))</f>
        <v/>
      </c>
      <c r="AZ40">
        <f>IF(AZ$4=0,0,IF(COUNTIFS(実績!$W$6:$W$505,AZ$3,実績!$AC$6:$AC$505,"&lt;="&amp;$A40,実績!$AD$6:$AD$505,"&gt;"&amp;$A40,実績!$AE$6:$AE$505,"○")&gt;0,1,0))</f>
        <v/>
      </c>
      <c r="BA40">
        <f>IF(BA$4=0,0,IF(COUNTIFS(実績!$W$6:$W$505,BA$3,実績!$AC$6:$AC$505,"&lt;="&amp;$A40,実績!$AD$6:$AD$505,"&gt;"&amp;$A40,実績!$AE$6:$AE$505,"○")&gt;0,1,0))</f>
        <v/>
      </c>
      <c r="BB40">
        <f>IF(BB$4=0,0,IF(COUNTIFS(実績!$W$6:$W$505,BB$3,実績!$AC$6:$AC$505,"&lt;="&amp;$A40,実績!$AD$6:$AD$505,"&gt;"&amp;$A40,実績!$AE$6:$AE$505,"○")&gt;0,1,0))</f>
        <v/>
      </c>
      <c r="BC40">
        <f>IF(BC$4=0,0,IF(COUNTIFS(実績!$W$6:$W$505,BC$3,実績!$AC$6:$AC$505,"&lt;="&amp;$A40,実績!$AD$6:$AD$505,"&gt;"&amp;$A40,実績!$AE$6:$AE$505,"○")&gt;0,1,0))</f>
        <v/>
      </c>
      <c r="BD40">
        <f>IF(BD$4=0,0,IF(COUNTIFS(実績!$W$6:$W$505,BD$3,実績!$AC$6:$AC$505,"&lt;="&amp;$A40,実績!$AD$6:$AD$505,"&gt;"&amp;$A40,実績!$AE$6:$AE$505,"○")&gt;0,1,0))</f>
        <v/>
      </c>
      <c r="BE40">
        <f>IF(BE$4=0,0,IF(COUNTIFS(実績!$W$6:$W$505,BE$3,実績!$AC$6:$AC$505,"&lt;="&amp;$A40,実績!$AD$6:$AD$505,"&gt;"&amp;$A40,実績!$AE$6:$AE$505,"○")&gt;0,1,0))</f>
        <v/>
      </c>
      <c r="BF40">
        <f>IF(BF$4=0,0,IF(COUNTIFS(実績!$W$6:$W$505,BF$3,実績!$AC$6:$AC$505,"&lt;="&amp;$A40,実績!$AD$6:$AD$505,"&gt;"&amp;$A40,実績!$AE$6:$AE$505,"○")&gt;0,1,0))</f>
        <v/>
      </c>
      <c r="BG40">
        <f>IF(BG$4=0,0,IF(COUNTIFS(実績!$W$6:$W$505,BG$3,実績!$AC$6:$AC$505,"&lt;="&amp;$A40,実績!$AD$6:$AD$505,"&gt;"&amp;$A40,実績!$AE$6:$AE$505,"○")&gt;0,1,0))</f>
        <v/>
      </c>
      <c r="BH40">
        <f>IF(BH$4=0,0,IF(COUNTIFS(実績!$W$6:$W$505,BH$3,実績!$AC$6:$AC$505,"&lt;="&amp;$A40,実績!$AD$6:$AD$505,"&gt;"&amp;$A40,実績!$AE$6:$AE$505,"○")&gt;0,1,0))</f>
        <v/>
      </c>
      <c r="BI40">
        <f>IF(BI$4=0,0,IF(COUNTIFS(実績!$W$6:$W$505,BI$3,実績!$AC$6:$AC$505,"&lt;="&amp;$A40,実績!$AD$6:$AD$505,"&gt;"&amp;$A40,実績!$AE$6:$AE$505,"○")&gt;0,1,0))</f>
        <v/>
      </c>
      <c r="BJ40">
        <f>IF(BJ$4=0,0,IF(COUNTIFS(実績!$W$6:$W$505,BJ$3,実績!$AC$6:$AC$505,"&lt;="&amp;$A40,実績!$AD$6:$AD$505,"&gt;"&amp;$A40,実績!$AE$6:$AE$505,"○")&gt;0,1,0))</f>
        <v/>
      </c>
      <c r="BK40">
        <f>IF(BK$4=0,0,IF(COUNTIFS(実績!$W$6:$W$505,BK$3,実績!$AC$6:$AC$505,"&lt;="&amp;$A40,実績!$AD$6:$AD$505,"&gt;"&amp;$A40,実績!$AE$6:$AE$505,"○")&gt;0,1,0))</f>
        <v/>
      </c>
      <c r="BL40">
        <f>IF(BL$4=0,0,IF(COUNTIFS(実績!$W$6:$W$505,BL$3,実績!$AC$6:$AC$505,"&lt;="&amp;$A40,実績!$AD$6:$AD$505,"&gt;"&amp;$A40,実績!$AE$6:$AE$505,"○")&gt;0,1,0))</f>
        <v/>
      </c>
      <c r="BM40">
        <f>IF(BM$4=0,0,IF(COUNTIFS(実績!$W$6:$W$505,BM$3,実績!$AC$6:$AC$505,"&lt;="&amp;$A40,実績!$AD$6:$AD$505,"&gt;"&amp;$A40,実績!$AE$6:$AE$505,"○")&gt;0,1,0))</f>
        <v/>
      </c>
      <c r="BN40">
        <f>IF(BN$4=0,0,IF(COUNTIFS(実績!$W$6:$W$505,BN$3,実績!$AC$6:$AC$505,"&lt;="&amp;$A40,実績!$AD$6:$AD$505,"&gt;"&amp;$A40,実績!$AE$6:$AE$505,"○")&gt;0,1,0))</f>
        <v/>
      </c>
      <c r="BO40">
        <f>IF(BO$4=0,0,IF(COUNTIFS(実績!$W$6:$W$505,BO$3,実績!$AC$6:$AC$505,"&lt;="&amp;$A40,実績!$AD$6:$AD$505,"&gt;"&amp;$A40,実績!$AE$6:$AE$505,"○")&gt;0,1,0))</f>
        <v/>
      </c>
      <c r="BP40">
        <f>IF(BP$4=0,0,IF(COUNTIFS(実績!$W$6:$W$505,BP$3,実績!$AC$6:$AC$505,"&lt;="&amp;$A40,実績!$AD$6:$AD$505,"&gt;"&amp;$A40,実績!$AE$6:$AE$505,"○")&gt;0,1,0))</f>
        <v/>
      </c>
      <c r="BQ40">
        <f>IF(BQ$4=0,0,IF(COUNTIFS(実績!$W$6:$W$505,BQ$3,実績!$AC$6:$AC$505,"&lt;="&amp;$A40,実績!$AD$6:$AD$505,"&gt;"&amp;$A40,実績!$AE$6:$AE$505,"○")&gt;0,1,0))</f>
        <v/>
      </c>
      <c r="BR40">
        <f>IF(BR$4=0,0,IF(COUNTIFS(実績!$W$6:$W$505,BR$3,実績!$AC$6:$AC$505,"&lt;="&amp;$A40,実績!$AD$6:$AD$505,"&gt;"&amp;$A40,実績!$AE$6:$AE$505,"○")&gt;0,1,0))</f>
        <v/>
      </c>
      <c r="BS40">
        <f>IF(BS$4=0,0,IF(COUNTIFS(実績!$W$6:$W$505,BS$3,実績!$AC$6:$AC$505,"&lt;="&amp;$A40,実績!$AD$6:$AD$505,"&gt;"&amp;$A40,実績!$AE$6:$AE$505,"○")&gt;0,1,0))</f>
        <v/>
      </c>
      <c r="BT40">
        <f>IF(BT$4=0,0,IF(COUNTIFS(実績!$W$6:$W$505,BT$3,実績!$AC$6:$AC$505,"&lt;="&amp;$A40,実績!$AD$6:$AD$505,"&gt;"&amp;$A40,実績!$AE$6:$AE$505,"○")&gt;0,1,0))</f>
        <v/>
      </c>
      <c r="BU40">
        <f>IF(BU$4=0,0,IF(COUNTIFS(実績!$W$6:$W$505,BU$3,実績!$AC$6:$AC$505,"&lt;="&amp;$A40,実績!$AD$6:$AD$505,"&gt;"&amp;$A40,実績!$AE$6:$AE$505,"○")&gt;0,1,0))</f>
        <v/>
      </c>
      <c r="BV40">
        <f>IF(BV$4=0,0,IF(COUNTIFS(実績!$W$6:$W$505,BV$3,実績!$AC$6:$AC$505,"&lt;="&amp;$A40,実績!$AD$6:$AD$505,"&gt;"&amp;$A40,実績!$AE$6:$AE$505,"○")&gt;0,1,0))</f>
        <v/>
      </c>
      <c r="BW40">
        <f>IF(BW$4=0,0,IF(COUNTIFS(実績!$W$6:$W$505,BW$3,実績!$AC$6:$AC$505,"&lt;="&amp;$A40,実績!$AD$6:$AD$505,"&gt;"&amp;$A40,実績!$AE$6:$AE$505,"○")&gt;0,1,0))</f>
        <v/>
      </c>
      <c r="BX40">
        <f>IF(BX$4=0,0,IF(COUNTIFS(実績!$W$6:$W$505,BX$3,実績!$AC$6:$AC$505,"&lt;="&amp;$A40,実績!$AD$6:$AD$505,"&gt;"&amp;$A40,実績!$AE$6:$AE$505,"○")&gt;0,1,0))</f>
        <v/>
      </c>
      <c r="BY40">
        <f>IF(BY$4=0,0,IF(COUNTIFS(実績!$W$6:$W$505,BY$3,実績!$AC$6:$AC$505,"&lt;="&amp;$A40,実績!$AD$6:$AD$505,"&gt;"&amp;$A40,実績!$AE$6:$AE$505,"○")&gt;0,1,0))</f>
        <v/>
      </c>
      <c r="BZ40">
        <f>IF(BZ$4=0,0,IF(COUNTIFS(実績!$W$6:$W$505,BZ$3,実績!$AC$6:$AC$505,"&lt;="&amp;$A40,実績!$AD$6:$AD$505,"&gt;"&amp;$A40,実績!$AE$6:$AE$505,"○")&gt;0,1,0))</f>
        <v/>
      </c>
      <c r="CA40">
        <f>IF(CA$4=0,0,IF(COUNTIFS(実績!$W$6:$W$505,CA$3,実績!$AC$6:$AC$505,"&lt;="&amp;$A40,実績!$AD$6:$AD$505,"&gt;"&amp;$A40,実績!$AE$6:$AE$505,"○")&gt;0,1,0))</f>
        <v/>
      </c>
      <c r="CB40">
        <f>IF(CB$4=0,0,IF(COUNTIFS(実績!$W$6:$W$505,CB$3,実績!$AC$6:$AC$505,"&lt;="&amp;$A40,実績!$AD$6:$AD$505,"&gt;"&amp;$A40,実績!$AE$6:$AE$505,"○")&gt;0,1,0))</f>
        <v/>
      </c>
      <c r="CC40">
        <f>IF(CC$4=0,0,IF(COUNTIFS(実績!$W$6:$W$505,CC$3,実績!$AC$6:$AC$505,"&lt;="&amp;$A40,実績!$AD$6:$AD$505,"&gt;"&amp;$A40,実績!$AE$6:$AE$505,"○")&gt;0,1,0))</f>
        <v/>
      </c>
      <c r="CD40">
        <f>IF(CD$4=0,0,IF(COUNTIFS(実績!$W$6:$W$505,CD$3,実績!$AC$6:$AC$505,"&lt;="&amp;$A40,実績!$AD$6:$AD$505,"&gt;"&amp;$A40,実績!$AE$6:$AE$505,"○")&gt;0,1,0))</f>
        <v/>
      </c>
      <c r="CE40">
        <f>IF(CE$4=0,0,IF(COUNTIFS(実績!$W$6:$W$505,CE$3,実績!$AC$6:$AC$505,"&lt;="&amp;$A40,実績!$AD$6:$AD$505,"&gt;"&amp;$A40,実績!$AE$6:$AE$505,"○")&gt;0,1,0))</f>
        <v/>
      </c>
      <c r="CF40">
        <f>IF(CF$4=0,0,IF(COUNTIFS(実績!$W$6:$W$505,CF$3,実績!$AC$6:$AC$505,"&lt;="&amp;$A40,実績!$AD$6:$AD$505,"&gt;"&amp;$A40,実績!$AE$6:$AE$505,"○")&gt;0,1,0))</f>
        <v/>
      </c>
      <c r="CG40">
        <f>IF(CG$4=0,0,IF(COUNTIFS(実績!$W$6:$W$505,CG$3,実績!$AC$6:$AC$505,"&lt;="&amp;$A40,実績!$AD$6:$AD$505,"&gt;"&amp;$A40,実績!$AE$6:$AE$505,"○")&gt;0,1,0))</f>
        <v/>
      </c>
      <c r="CH40">
        <f>IF(CH$4=0,0,IF(COUNTIFS(実績!$W$6:$W$505,CH$3,実績!$AC$6:$AC$505,"&lt;="&amp;$A40,実績!$AD$6:$AD$505,"&gt;"&amp;$A40,実績!$AE$6:$AE$505,"○")&gt;0,1,0))</f>
        <v/>
      </c>
      <c r="CI40">
        <f>IF(CI$4=0,0,IF(COUNTIFS(実績!$W$6:$W$505,CI$3,実績!$AC$6:$AC$505,"&lt;="&amp;$A40,実績!$AD$6:$AD$505,"&gt;"&amp;$A40,実績!$AE$6:$AE$505,"○")&gt;0,1,0))</f>
        <v/>
      </c>
      <c r="CJ40">
        <f>IF(CJ$4=0,0,IF(COUNTIFS(実績!$W$6:$W$505,CJ$3,実績!$AC$6:$AC$505,"&lt;="&amp;$A40,実績!$AD$6:$AD$505,"&gt;"&amp;$A40,実績!$AE$6:$AE$505,"○")&gt;0,1,0))</f>
        <v/>
      </c>
      <c r="CK40">
        <f>IF(CK$4=0,0,IF(COUNTIFS(実績!$W$6:$W$505,CK$3,実績!$AC$6:$AC$505,"&lt;="&amp;$A40,実績!$AD$6:$AD$505,"&gt;"&amp;$A40,実績!$AE$6:$AE$505,"○")&gt;0,1,0))</f>
        <v/>
      </c>
      <c r="CL40">
        <f>IF(CL$4=0,0,IF(COUNTIFS(実績!$W$6:$W$505,CL$3,実績!$AC$6:$AC$505,"&lt;="&amp;$A40,実績!$AD$6:$AD$505,"&gt;"&amp;$A40,実績!$AE$6:$AE$505,"○")&gt;0,1,0))</f>
        <v/>
      </c>
      <c r="CM40">
        <f>IF(CM$4=0,0,IF(COUNTIFS(実績!$W$6:$W$505,CM$3,実績!$AC$6:$AC$505,"&lt;="&amp;$A40,実績!$AD$6:$AD$505,"&gt;"&amp;$A40,実績!$AE$6:$AE$505,"○")&gt;0,1,0))</f>
        <v/>
      </c>
      <c r="CN40">
        <f>IF(CN$4=0,0,IF(COUNTIFS(実績!$W$6:$W$505,CN$3,実績!$AC$6:$AC$505,"&lt;="&amp;$A40,実績!$AD$6:$AD$505,"&gt;"&amp;$A40,実績!$AE$6:$AE$505,"○")&gt;0,1,0))</f>
        <v/>
      </c>
      <c r="CO40">
        <f>IF(CO$4=0,0,IF(COUNTIFS(実績!$W$6:$W$505,CO$3,実績!$AC$6:$AC$505,"&lt;="&amp;$A40,実績!$AD$6:$AD$505,"&gt;"&amp;$A40,実績!$AE$6:$AE$505,"○")&gt;0,1,0))</f>
        <v/>
      </c>
      <c r="CP40">
        <f>IF(CP$4=0,0,IF(COUNTIFS(実績!$W$6:$W$505,CP$3,実績!$AC$6:$AC$505,"&lt;="&amp;$A40,実績!$AD$6:$AD$505,"&gt;"&amp;$A40,実績!$AE$6:$AE$505,"○")&gt;0,1,0))</f>
        <v/>
      </c>
      <c r="CQ40">
        <f>IF(CQ$4=0,0,IF(COUNTIFS(実績!$W$6:$W$505,CQ$3,実績!$AC$6:$AC$505,"&lt;="&amp;$A40,実績!$AD$6:$AD$505,"&gt;"&amp;$A40,実績!$AE$6:$AE$505,"○")&gt;0,1,0))</f>
        <v/>
      </c>
      <c r="CR40">
        <f>IF(CR$4=0,0,IF(COUNTIFS(実績!$W$6:$W$505,CR$3,実績!$AC$6:$AC$505,"&lt;="&amp;$A40,実績!$AD$6:$AD$505,"&gt;"&amp;$A40,実績!$AE$6:$AE$505,"○")&gt;0,1,0))</f>
        <v/>
      </c>
      <c r="CS40">
        <f>IF(CS$4=0,0,IF(COUNTIFS(実績!$W$6:$W$505,CS$3,実績!$AC$6:$AC$505,"&lt;="&amp;$A40,実績!$AD$6:$AD$505,"&gt;"&amp;$A40,実績!$AE$6:$AE$505,"○")&gt;0,1,0))</f>
        <v/>
      </c>
      <c r="CT40">
        <f>IF(CT$4=0,0,IF(COUNTIFS(実績!$W$6:$W$505,CT$3,実績!$AC$6:$AC$505,"&lt;="&amp;$A40,実績!$AD$6:$AD$505,"&gt;"&amp;$A40,実績!$AE$6:$AE$505,"○")&gt;0,1,0))</f>
        <v/>
      </c>
      <c r="CU40">
        <f>IF(CU$4=0,0,IF(COUNTIFS(実績!$W$6:$W$505,CU$3,実績!$AC$6:$AC$505,"&lt;="&amp;$A40,実績!$AD$6:$AD$505,"&gt;"&amp;$A40,実績!$AE$6:$AE$505,"○")&gt;0,1,0))</f>
        <v/>
      </c>
      <c r="CV40">
        <f>IF(CV$4=0,0,IF(COUNTIFS(実績!$W$6:$W$505,CV$3,実績!$AC$6:$AC$505,"&lt;="&amp;$A40,実績!$AD$6:$AD$505,"&gt;"&amp;$A40,実績!$AE$6:$AE$505,"○")&gt;0,1,0))</f>
        <v/>
      </c>
      <c r="CW40">
        <f>IF(CW$4=0,0,IF(COUNTIFS(実績!$W$6:$W$505,CW$3,実績!$AC$6:$AC$505,"&lt;="&amp;$A40,実績!$AD$6:$AD$505,"&gt;"&amp;$A40,実績!$AE$6:$AE$505,"○")&gt;0,1,0))</f>
        <v/>
      </c>
      <c r="CX40">
        <f>IF(CX$4=0,0,IF(COUNTIFS(実績!$W$6:$W$505,CX$3,実績!$AC$6:$AC$505,"&lt;="&amp;$A40,実績!$AD$6:$AD$505,"&gt;"&amp;$A40,実績!$AE$6:$AE$505,"○")&gt;0,1,0))</f>
        <v/>
      </c>
      <c r="CY40">
        <f>IF(CY$4=0,0,IF(COUNTIFS(実績!$W$6:$W$505,CY$3,実績!$AC$6:$AC$505,"&lt;="&amp;$A40,実績!$AD$6:$AD$505,"&gt;"&amp;$A40,実績!$AE$6:$AE$505,"○")&gt;0,1,0))</f>
        <v/>
      </c>
      <c r="CZ40">
        <f>IF(CZ$4=0,0,IF(COUNTIFS(実績!$W$6:$W$505,CZ$3,実績!$AC$6:$AC$505,"&lt;="&amp;$A40,実績!$AD$6:$AD$505,"&gt;"&amp;$A40,実績!$AE$6:$AE$505,"○")&gt;0,1,0))</f>
        <v/>
      </c>
      <c r="DA40">
        <f>IF(DA$4=0,0,IF(COUNTIFS(実績!$W$6:$W$505,DA$3,実績!$AC$6:$AC$505,"&lt;="&amp;$A40,実績!$AD$6:$AD$505,"&gt;"&amp;$A40,実績!$AE$6:$AE$505,"○")&gt;0,1,0))</f>
        <v/>
      </c>
      <c r="DB40">
        <f>IF(DB$4=0,0,IF(COUNTIFS(実績!$W$6:$W$505,DB$3,実績!$AC$6:$AC$505,"&lt;="&amp;$A40,実績!$AD$6:$AD$505,"&gt;"&amp;$A40,実績!$AE$6:$AE$505,"○")&gt;0,1,0))</f>
        <v/>
      </c>
      <c r="DC40">
        <f>IF(DC$4=0,0,IF(COUNTIFS(実績!$W$6:$W$505,DC$3,実績!$AC$6:$AC$505,"&lt;="&amp;$A40,実績!$AD$6:$AD$505,"&gt;"&amp;$A40,実績!$AE$6:$AE$505,"○")&gt;0,1,0))</f>
        <v/>
      </c>
      <c r="DD40">
        <f>IF(DD$4=0,0,IF(COUNTIFS(実績!$W$6:$W$505,DD$3,実績!$AC$6:$AC$505,"&lt;="&amp;$A40,実績!$AD$6:$AD$505,"&gt;"&amp;$A40,実績!$AE$6:$AE$505,"○")&gt;0,1,0))</f>
        <v/>
      </c>
      <c r="DE40">
        <f>IF(DE$4=0,0,IF(COUNTIFS(実績!$W$6:$W$505,DE$3,実績!$AC$6:$AC$505,"&lt;="&amp;$A40,実績!$AD$6:$AD$505,"&gt;"&amp;$A40,実績!$AE$6:$AE$505,"○")&gt;0,1,0))</f>
        <v/>
      </c>
      <c r="DF40">
        <f>IF(DF$4=0,0,IF(COUNTIFS(実績!$W$6:$W$505,DF$3,実績!$AC$6:$AC$505,"&lt;="&amp;$A40,実績!$AD$6:$AD$505,"&gt;"&amp;$A40,実績!$AE$6:$AE$505,"○")&gt;0,1,0))</f>
        <v/>
      </c>
      <c r="DG40">
        <f>IF(DG$4=0,0,IF(COUNTIFS(実績!$W$6:$W$505,DG$3,実績!$AC$6:$AC$505,"&lt;="&amp;$A40,実績!$AD$6:$AD$505,"&gt;"&amp;$A40,実績!$AE$6:$AE$505,"○")&gt;0,1,0))</f>
        <v/>
      </c>
      <c r="DH40">
        <f>IF(DH$4=0,0,IF(COUNTIFS(実績!$W$6:$W$505,DH$3,実績!$AC$6:$AC$505,"&lt;="&amp;$A40,実績!$AD$6:$AD$505,"&gt;"&amp;$A40,実績!$AE$6:$AE$505,"○")&gt;0,1,0))</f>
        <v/>
      </c>
      <c r="DI40">
        <f>IF(DI$4=0,0,IF(COUNTIFS(実績!$W$6:$W$505,DI$3,実績!$AC$6:$AC$505,"&lt;="&amp;$A40,実績!$AD$6:$AD$505,"&gt;"&amp;$A40,実績!$AE$6:$AE$505,"○")&gt;0,1,0))</f>
        <v/>
      </c>
      <c r="DJ40">
        <f>IF(DJ$4=0,0,IF(COUNTIFS(実績!$W$6:$W$505,DJ$3,実績!$AC$6:$AC$505,"&lt;="&amp;$A40,実績!$AD$6:$AD$505,"&gt;"&amp;$A40,実績!$AE$6:$AE$505,"○")&gt;0,1,0))</f>
        <v/>
      </c>
      <c r="DK40">
        <f>IF(DK$4=0,0,IF(COUNTIFS(実績!$W$6:$W$505,DK$3,実績!$AC$6:$AC$505,"&lt;="&amp;$A40,実績!$AD$6:$AD$505,"&gt;"&amp;$A40,実績!$AE$6:$AE$505,"○")&gt;0,1,0))</f>
        <v/>
      </c>
      <c r="DL40">
        <f>IF(DL$4=0,0,IF(COUNTIFS(実績!$W$6:$W$505,DL$3,実績!$AC$6:$AC$505,"&lt;="&amp;$A40,実績!$AD$6:$AD$505,"&gt;"&amp;$A40,実績!$AE$6:$AE$505,"○")&gt;0,1,0))</f>
        <v/>
      </c>
      <c r="DM40">
        <f>IF(DM$4=0,0,IF(COUNTIFS(実績!$W$6:$W$505,DM$3,実績!$AC$6:$AC$505,"&lt;="&amp;$A40,実績!$AD$6:$AD$505,"&gt;"&amp;$A40,実績!$AE$6:$AE$505,"○")&gt;0,1,0))</f>
        <v/>
      </c>
      <c r="DN40">
        <f>IF(DN$4=0,0,IF(COUNTIFS(実績!$W$6:$W$505,DN$3,実績!$AC$6:$AC$505,"&lt;="&amp;$A40,実績!$AD$6:$AD$505,"&gt;"&amp;$A40,実績!$AE$6:$AE$505,"○")&gt;0,1,0))</f>
        <v/>
      </c>
      <c r="DO40">
        <f>IF(DO$4=0,0,IF(COUNTIFS(実績!$W$6:$W$505,DO$3,実績!$AC$6:$AC$505,"&lt;="&amp;$A40,実績!$AD$6:$AD$505,"&gt;"&amp;$A40,実績!$AE$6:$AE$505,"○")&gt;0,1,0))</f>
        <v/>
      </c>
      <c r="DP40">
        <f>IF(DP$4=0,0,IF(COUNTIFS(実績!$W$6:$W$505,DP$3,実績!$AC$6:$AC$505,"&lt;="&amp;$A40,実績!$AD$6:$AD$505,"&gt;"&amp;$A40,実績!$AE$6:$AE$505,"○")&gt;0,1,0))</f>
        <v/>
      </c>
      <c r="DQ40">
        <f>IF(DQ$4=0,0,IF(COUNTIFS(実績!$W$6:$W$505,DQ$3,実績!$AC$6:$AC$505,"&lt;="&amp;$A40,実績!$AD$6:$AD$505,"&gt;"&amp;$A40,実績!$AE$6:$AE$505,"○")&gt;0,1,0))</f>
        <v/>
      </c>
      <c r="DR40">
        <f>IF(DR$4=0,0,IF(COUNTIFS(実績!$W$6:$W$505,DR$3,実績!$AC$6:$AC$505,"&lt;="&amp;$A40,実績!$AD$6:$AD$505,"&gt;"&amp;$A40,実績!$AE$6:$AE$505,"○")&gt;0,1,0))</f>
        <v/>
      </c>
      <c r="DS40">
        <f>SUM(C40:DR40)</f>
        <v/>
      </c>
      <c r="DT40">
        <f>SUMPRODUCT((実績!$C$6:$C$505="○")*ISNUMBER(実績!$AF$6:$AF$505)*(実績!$AF$6:$AF$505&lt;=$A40)*(実績!$AG$6:$AG$505&gt;$A40))</f>
        <v/>
      </c>
      <c r="DU40">
        <f>SUMIF($C$2:$DR$2,"製鉄曳船",C40:DR40)</f>
        <v/>
      </c>
      <c r="DV40">
        <f>SUMIF($C$2:$DR$2,"西日本海運",C40:DR40)</f>
        <v/>
      </c>
    </row>
    <row r="41">
      <c r="A41" t="n">
        <v>175</v>
      </c>
      <c r="B41" s="29">
        <f>A41/1440</f>
        <v/>
      </c>
      <c r="C41">
        <f>IF(C$4=0,0,IF(COUNTIFS(実績!$W$6:$W$505,C$3,実績!$AC$6:$AC$505,"&lt;="&amp;$A41,実績!$AD$6:$AD$505,"&gt;"&amp;$A41,実績!$AE$6:$AE$505,"○")&gt;0,1,0))</f>
        <v/>
      </c>
      <c r="D41">
        <f>IF(D$4=0,0,IF(COUNTIFS(実績!$W$6:$W$505,D$3,実績!$AC$6:$AC$505,"&lt;="&amp;$A41,実績!$AD$6:$AD$505,"&gt;"&amp;$A41,実績!$AE$6:$AE$505,"○")&gt;0,1,0))</f>
        <v/>
      </c>
      <c r="E41">
        <f>IF(E$4=0,0,IF(COUNTIFS(実績!$W$6:$W$505,E$3,実績!$AC$6:$AC$505,"&lt;="&amp;$A41,実績!$AD$6:$AD$505,"&gt;"&amp;$A41,実績!$AE$6:$AE$505,"○")&gt;0,1,0))</f>
        <v/>
      </c>
      <c r="F41">
        <f>IF(F$4=0,0,IF(COUNTIFS(実績!$W$6:$W$505,F$3,実績!$AC$6:$AC$505,"&lt;="&amp;$A41,実績!$AD$6:$AD$505,"&gt;"&amp;$A41,実績!$AE$6:$AE$505,"○")&gt;0,1,0))</f>
        <v/>
      </c>
      <c r="G41">
        <f>IF(G$4=0,0,IF(COUNTIFS(実績!$W$6:$W$505,G$3,実績!$AC$6:$AC$505,"&lt;="&amp;$A41,実績!$AD$6:$AD$505,"&gt;"&amp;$A41,実績!$AE$6:$AE$505,"○")&gt;0,1,0))</f>
        <v/>
      </c>
      <c r="H41">
        <f>IF(H$4=0,0,IF(COUNTIFS(実績!$W$6:$W$505,H$3,実績!$AC$6:$AC$505,"&lt;="&amp;$A41,実績!$AD$6:$AD$505,"&gt;"&amp;$A41,実績!$AE$6:$AE$505,"○")&gt;0,1,0))</f>
        <v/>
      </c>
      <c r="I41">
        <f>IF(I$4=0,0,IF(COUNTIFS(実績!$W$6:$W$505,I$3,実績!$AC$6:$AC$505,"&lt;="&amp;$A41,実績!$AD$6:$AD$505,"&gt;"&amp;$A41,実績!$AE$6:$AE$505,"○")&gt;0,1,0))</f>
        <v/>
      </c>
      <c r="J41">
        <f>IF(J$4=0,0,IF(COUNTIFS(実績!$W$6:$W$505,J$3,実績!$AC$6:$AC$505,"&lt;="&amp;$A41,実績!$AD$6:$AD$505,"&gt;"&amp;$A41,実績!$AE$6:$AE$505,"○")&gt;0,1,0))</f>
        <v/>
      </c>
      <c r="K41">
        <f>IF(K$4=0,0,IF(COUNTIFS(実績!$W$6:$W$505,K$3,実績!$AC$6:$AC$505,"&lt;="&amp;$A41,実績!$AD$6:$AD$505,"&gt;"&amp;$A41,実績!$AE$6:$AE$505,"○")&gt;0,1,0))</f>
        <v/>
      </c>
      <c r="L41">
        <f>IF(L$4=0,0,IF(COUNTIFS(実績!$W$6:$W$505,L$3,実績!$AC$6:$AC$505,"&lt;="&amp;$A41,実績!$AD$6:$AD$505,"&gt;"&amp;$A41,実績!$AE$6:$AE$505,"○")&gt;0,1,0))</f>
        <v/>
      </c>
      <c r="M41">
        <f>IF(M$4=0,0,IF(COUNTIFS(実績!$W$6:$W$505,M$3,実績!$AC$6:$AC$505,"&lt;="&amp;$A41,実績!$AD$6:$AD$505,"&gt;"&amp;$A41,実績!$AE$6:$AE$505,"○")&gt;0,1,0))</f>
        <v/>
      </c>
      <c r="N41">
        <f>IF(N$4=0,0,IF(COUNTIFS(実績!$W$6:$W$505,N$3,実績!$AC$6:$AC$505,"&lt;="&amp;$A41,実績!$AD$6:$AD$505,"&gt;"&amp;$A41,実績!$AE$6:$AE$505,"○")&gt;0,1,0))</f>
        <v/>
      </c>
      <c r="O41">
        <f>IF(O$4=0,0,IF(COUNTIFS(実績!$W$6:$W$505,O$3,実績!$AC$6:$AC$505,"&lt;="&amp;$A41,実績!$AD$6:$AD$505,"&gt;"&amp;$A41,実績!$AE$6:$AE$505,"○")&gt;0,1,0))</f>
        <v/>
      </c>
      <c r="P41">
        <f>IF(P$4=0,0,IF(COUNTIFS(実績!$W$6:$W$505,P$3,実績!$AC$6:$AC$505,"&lt;="&amp;$A41,実績!$AD$6:$AD$505,"&gt;"&amp;$A41,実績!$AE$6:$AE$505,"○")&gt;0,1,0))</f>
        <v/>
      </c>
      <c r="Q41">
        <f>IF(Q$4=0,0,IF(COUNTIFS(実績!$W$6:$W$505,Q$3,実績!$AC$6:$AC$505,"&lt;="&amp;$A41,実績!$AD$6:$AD$505,"&gt;"&amp;$A41,実績!$AE$6:$AE$505,"○")&gt;0,1,0))</f>
        <v/>
      </c>
      <c r="R41">
        <f>IF(R$4=0,0,IF(COUNTIFS(実績!$W$6:$W$505,R$3,実績!$AC$6:$AC$505,"&lt;="&amp;$A41,実績!$AD$6:$AD$505,"&gt;"&amp;$A41,実績!$AE$6:$AE$505,"○")&gt;0,1,0))</f>
        <v/>
      </c>
      <c r="S41">
        <f>IF(S$4=0,0,IF(COUNTIFS(実績!$W$6:$W$505,S$3,実績!$AC$6:$AC$505,"&lt;="&amp;$A41,実績!$AD$6:$AD$505,"&gt;"&amp;$A41,実績!$AE$6:$AE$505,"○")&gt;0,1,0))</f>
        <v/>
      </c>
      <c r="T41">
        <f>IF(T$4=0,0,IF(COUNTIFS(実績!$W$6:$W$505,T$3,実績!$AC$6:$AC$505,"&lt;="&amp;$A41,実績!$AD$6:$AD$505,"&gt;"&amp;$A41,実績!$AE$6:$AE$505,"○")&gt;0,1,0))</f>
        <v/>
      </c>
      <c r="U41">
        <f>IF(U$4=0,0,IF(COUNTIFS(実績!$W$6:$W$505,U$3,実績!$AC$6:$AC$505,"&lt;="&amp;$A41,実績!$AD$6:$AD$505,"&gt;"&amp;$A41,実績!$AE$6:$AE$505,"○")&gt;0,1,0))</f>
        <v/>
      </c>
      <c r="V41">
        <f>IF(V$4=0,0,IF(COUNTIFS(実績!$W$6:$W$505,V$3,実績!$AC$6:$AC$505,"&lt;="&amp;$A41,実績!$AD$6:$AD$505,"&gt;"&amp;$A41,実績!$AE$6:$AE$505,"○")&gt;0,1,0))</f>
        <v/>
      </c>
      <c r="W41">
        <f>IF(W$4=0,0,IF(COUNTIFS(実績!$W$6:$W$505,W$3,実績!$AC$6:$AC$505,"&lt;="&amp;$A41,実績!$AD$6:$AD$505,"&gt;"&amp;$A41,実績!$AE$6:$AE$505,"○")&gt;0,1,0))</f>
        <v/>
      </c>
      <c r="X41">
        <f>IF(X$4=0,0,IF(COUNTIFS(実績!$W$6:$W$505,X$3,実績!$AC$6:$AC$505,"&lt;="&amp;$A41,実績!$AD$6:$AD$505,"&gt;"&amp;$A41,実績!$AE$6:$AE$505,"○")&gt;0,1,0))</f>
        <v/>
      </c>
      <c r="Y41">
        <f>IF(Y$4=0,0,IF(COUNTIFS(実績!$W$6:$W$505,Y$3,実績!$AC$6:$AC$505,"&lt;="&amp;$A41,実績!$AD$6:$AD$505,"&gt;"&amp;$A41,実績!$AE$6:$AE$505,"○")&gt;0,1,0))</f>
        <v/>
      </c>
      <c r="Z41">
        <f>IF(Z$4=0,0,IF(COUNTIFS(実績!$W$6:$W$505,Z$3,実績!$AC$6:$AC$505,"&lt;="&amp;$A41,実績!$AD$6:$AD$505,"&gt;"&amp;$A41,実績!$AE$6:$AE$505,"○")&gt;0,1,0))</f>
        <v/>
      </c>
      <c r="AA41">
        <f>IF(AA$4=0,0,IF(COUNTIFS(実績!$W$6:$W$505,AA$3,実績!$AC$6:$AC$505,"&lt;="&amp;$A41,実績!$AD$6:$AD$505,"&gt;"&amp;$A41,実績!$AE$6:$AE$505,"○")&gt;0,1,0))</f>
        <v/>
      </c>
      <c r="AB41">
        <f>IF(AB$4=0,0,IF(COUNTIFS(実績!$W$6:$W$505,AB$3,実績!$AC$6:$AC$505,"&lt;="&amp;$A41,実績!$AD$6:$AD$505,"&gt;"&amp;$A41,実績!$AE$6:$AE$505,"○")&gt;0,1,0))</f>
        <v/>
      </c>
      <c r="AC41">
        <f>IF(AC$4=0,0,IF(COUNTIFS(実績!$W$6:$W$505,AC$3,実績!$AC$6:$AC$505,"&lt;="&amp;$A41,実績!$AD$6:$AD$505,"&gt;"&amp;$A41,実績!$AE$6:$AE$505,"○")&gt;0,1,0))</f>
        <v/>
      </c>
      <c r="AD41">
        <f>IF(AD$4=0,0,IF(COUNTIFS(実績!$W$6:$W$505,AD$3,実績!$AC$6:$AC$505,"&lt;="&amp;$A41,実績!$AD$6:$AD$505,"&gt;"&amp;$A41,実績!$AE$6:$AE$505,"○")&gt;0,1,0))</f>
        <v/>
      </c>
      <c r="AE41">
        <f>IF(AE$4=0,0,IF(COUNTIFS(実績!$W$6:$W$505,AE$3,実績!$AC$6:$AC$505,"&lt;="&amp;$A41,実績!$AD$6:$AD$505,"&gt;"&amp;$A41,実績!$AE$6:$AE$505,"○")&gt;0,1,0))</f>
        <v/>
      </c>
      <c r="AF41">
        <f>IF(AF$4=0,0,IF(COUNTIFS(実績!$W$6:$W$505,AF$3,実績!$AC$6:$AC$505,"&lt;="&amp;$A41,実績!$AD$6:$AD$505,"&gt;"&amp;$A41,実績!$AE$6:$AE$505,"○")&gt;0,1,0))</f>
        <v/>
      </c>
      <c r="AG41">
        <f>IF(AG$4=0,0,IF(COUNTIFS(実績!$W$6:$W$505,AG$3,実績!$AC$6:$AC$505,"&lt;="&amp;$A41,実績!$AD$6:$AD$505,"&gt;"&amp;$A41,実績!$AE$6:$AE$505,"○")&gt;0,1,0))</f>
        <v/>
      </c>
      <c r="AH41">
        <f>IF(AH$4=0,0,IF(COUNTIFS(実績!$W$6:$W$505,AH$3,実績!$AC$6:$AC$505,"&lt;="&amp;$A41,実績!$AD$6:$AD$505,"&gt;"&amp;$A41,実績!$AE$6:$AE$505,"○")&gt;0,1,0))</f>
        <v/>
      </c>
      <c r="AI41">
        <f>IF(AI$4=0,0,IF(COUNTIFS(実績!$W$6:$W$505,AI$3,実績!$AC$6:$AC$505,"&lt;="&amp;$A41,実績!$AD$6:$AD$505,"&gt;"&amp;$A41,実績!$AE$6:$AE$505,"○")&gt;0,1,0))</f>
        <v/>
      </c>
      <c r="AJ41">
        <f>IF(AJ$4=0,0,IF(COUNTIFS(実績!$W$6:$W$505,AJ$3,実績!$AC$6:$AC$505,"&lt;="&amp;$A41,実績!$AD$6:$AD$505,"&gt;"&amp;$A41,実績!$AE$6:$AE$505,"○")&gt;0,1,0))</f>
        <v/>
      </c>
      <c r="AK41">
        <f>IF(AK$4=0,0,IF(COUNTIFS(実績!$W$6:$W$505,AK$3,実績!$AC$6:$AC$505,"&lt;="&amp;$A41,実績!$AD$6:$AD$505,"&gt;"&amp;$A41,実績!$AE$6:$AE$505,"○")&gt;0,1,0))</f>
        <v/>
      </c>
      <c r="AL41">
        <f>IF(AL$4=0,0,IF(COUNTIFS(実績!$W$6:$W$505,AL$3,実績!$AC$6:$AC$505,"&lt;="&amp;$A41,実績!$AD$6:$AD$505,"&gt;"&amp;$A41,実績!$AE$6:$AE$505,"○")&gt;0,1,0))</f>
        <v/>
      </c>
      <c r="AM41">
        <f>IF(AM$4=0,0,IF(COUNTIFS(実績!$W$6:$W$505,AM$3,実績!$AC$6:$AC$505,"&lt;="&amp;$A41,実績!$AD$6:$AD$505,"&gt;"&amp;$A41,実績!$AE$6:$AE$505,"○")&gt;0,1,0))</f>
        <v/>
      </c>
      <c r="AN41">
        <f>IF(AN$4=0,0,IF(COUNTIFS(実績!$W$6:$W$505,AN$3,実績!$AC$6:$AC$505,"&lt;="&amp;$A41,実績!$AD$6:$AD$505,"&gt;"&amp;$A41,実績!$AE$6:$AE$505,"○")&gt;0,1,0))</f>
        <v/>
      </c>
      <c r="AO41">
        <f>IF(AO$4=0,0,IF(COUNTIFS(実績!$W$6:$W$505,AO$3,実績!$AC$6:$AC$505,"&lt;="&amp;$A41,実績!$AD$6:$AD$505,"&gt;"&amp;$A41,実績!$AE$6:$AE$505,"○")&gt;0,1,0))</f>
        <v/>
      </c>
      <c r="AP41">
        <f>IF(AP$4=0,0,IF(COUNTIFS(実績!$W$6:$W$505,AP$3,実績!$AC$6:$AC$505,"&lt;="&amp;$A41,実績!$AD$6:$AD$505,"&gt;"&amp;$A41,実績!$AE$6:$AE$505,"○")&gt;0,1,0))</f>
        <v/>
      </c>
      <c r="AQ41">
        <f>IF(AQ$4=0,0,IF(COUNTIFS(実績!$W$6:$W$505,AQ$3,実績!$AC$6:$AC$505,"&lt;="&amp;$A41,実績!$AD$6:$AD$505,"&gt;"&amp;$A41,実績!$AE$6:$AE$505,"○")&gt;0,1,0))</f>
        <v/>
      </c>
      <c r="AR41">
        <f>IF(AR$4=0,0,IF(COUNTIFS(実績!$W$6:$W$505,AR$3,実績!$AC$6:$AC$505,"&lt;="&amp;$A41,実績!$AD$6:$AD$505,"&gt;"&amp;$A41,実績!$AE$6:$AE$505,"○")&gt;0,1,0))</f>
        <v/>
      </c>
      <c r="AS41">
        <f>IF(AS$4=0,0,IF(COUNTIFS(実績!$W$6:$W$505,AS$3,実績!$AC$6:$AC$505,"&lt;="&amp;$A41,実績!$AD$6:$AD$505,"&gt;"&amp;$A41,実績!$AE$6:$AE$505,"○")&gt;0,1,0))</f>
        <v/>
      </c>
      <c r="AT41">
        <f>IF(AT$4=0,0,IF(COUNTIFS(実績!$W$6:$W$505,AT$3,実績!$AC$6:$AC$505,"&lt;="&amp;$A41,実績!$AD$6:$AD$505,"&gt;"&amp;$A41,実績!$AE$6:$AE$505,"○")&gt;0,1,0))</f>
        <v/>
      </c>
      <c r="AU41">
        <f>IF(AU$4=0,0,IF(COUNTIFS(実績!$W$6:$W$505,AU$3,実績!$AC$6:$AC$505,"&lt;="&amp;$A41,実績!$AD$6:$AD$505,"&gt;"&amp;$A41,実績!$AE$6:$AE$505,"○")&gt;0,1,0))</f>
        <v/>
      </c>
      <c r="AV41">
        <f>IF(AV$4=0,0,IF(COUNTIFS(実績!$W$6:$W$505,AV$3,実績!$AC$6:$AC$505,"&lt;="&amp;$A41,実績!$AD$6:$AD$505,"&gt;"&amp;$A41,実績!$AE$6:$AE$505,"○")&gt;0,1,0))</f>
        <v/>
      </c>
      <c r="AW41">
        <f>IF(AW$4=0,0,IF(COUNTIFS(実績!$W$6:$W$505,AW$3,実績!$AC$6:$AC$505,"&lt;="&amp;$A41,実績!$AD$6:$AD$505,"&gt;"&amp;$A41,実績!$AE$6:$AE$505,"○")&gt;0,1,0))</f>
        <v/>
      </c>
      <c r="AX41">
        <f>IF(AX$4=0,0,IF(COUNTIFS(実績!$W$6:$W$505,AX$3,実績!$AC$6:$AC$505,"&lt;="&amp;$A41,実績!$AD$6:$AD$505,"&gt;"&amp;$A41,実績!$AE$6:$AE$505,"○")&gt;0,1,0))</f>
        <v/>
      </c>
      <c r="AY41">
        <f>IF(AY$4=0,0,IF(COUNTIFS(実績!$W$6:$W$505,AY$3,実績!$AC$6:$AC$505,"&lt;="&amp;$A41,実績!$AD$6:$AD$505,"&gt;"&amp;$A41,実績!$AE$6:$AE$505,"○")&gt;0,1,0))</f>
        <v/>
      </c>
      <c r="AZ41">
        <f>IF(AZ$4=0,0,IF(COUNTIFS(実績!$W$6:$W$505,AZ$3,実績!$AC$6:$AC$505,"&lt;="&amp;$A41,実績!$AD$6:$AD$505,"&gt;"&amp;$A41,実績!$AE$6:$AE$505,"○")&gt;0,1,0))</f>
        <v/>
      </c>
      <c r="BA41">
        <f>IF(BA$4=0,0,IF(COUNTIFS(実績!$W$6:$W$505,BA$3,実績!$AC$6:$AC$505,"&lt;="&amp;$A41,実績!$AD$6:$AD$505,"&gt;"&amp;$A41,実績!$AE$6:$AE$505,"○")&gt;0,1,0))</f>
        <v/>
      </c>
      <c r="BB41">
        <f>IF(BB$4=0,0,IF(COUNTIFS(実績!$W$6:$W$505,BB$3,実績!$AC$6:$AC$505,"&lt;="&amp;$A41,実績!$AD$6:$AD$505,"&gt;"&amp;$A41,実績!$AE$6:$AE$505,"○")&gt;0,1,0))</f>
        <v/>
      </c>
      <c r="BC41">
        <f>IF(BC$4=0,0,IF(COUNTIFS(実績!$W$6:$W$505,BC$3,実績!$AC$6:$AC$505,"&lt;="&amp;$A41,実績!$AD$6:$AD$505,"&gt;"&amp;$A41,実績!$AE$6:$AE$505,"○")&gt;0,1,0))</f>
        <v/>
      </c>
      <c r="BD41">
        <f>IF(BD$4=0,0,IF(COUNTIFS(実績!$W$6:$W$505,BD$3,実績!$AC$6:$AC$505,"&lt;="&amp;$A41,実績!$AD$6:$AD$505,"&gt;"&amp;$A41,実績!$AE$6:$AE$505,"○")&gt;0,1,0))</f>
        <v/>
      </c>
      <c r="BE41">
        <f>IF(BE$4=0,0,IF(COUNTIFS(実績!$W$6:$W$505,BE$3,実績!$AC$6:$AC$505,"&lt;="&amp;$A41,実績!$AD$6:$AD$505,"&gt;"&amp;$A41,実績!$AE$6:$AE$505,"○")&gt;0,1,0))</f>
        <v/>
      </c>
      <c r="BF41">
        <f>IF(BF$4=0,0,IF(COUNTIFS(実績!$W$6:$W$505,BF$3,実績!$AC$6:$AC$505,"&lt;="&amp;$A41,実績!$AD$6:$AD$505,"&gt;"&amp;$A41,実績!$AE$6:$AE$505,"○")&gt;0,1,0))</f>
        <v/>
      </c>
      <c r="BG41">
        <f>IF(BG$4=0,0,IF(COUNTIFS(実績!$W$6:$W$505,BG$3,実績!$AC$6:$AC$505,"&lt;="&amp;$A41,実績!$AD$6:$AD$505,"&gt;"&amp;$A41,実績!$AE$6:$AE$505,"○")&gt;0,1,0))</f>
        <v/>
      </c>
      <c r="BH41">
        <f>IF(BH$4=0,0,IF(COUNTIFS(実績!$W$6:$W$505,BH$3,実績!$AC$6:$AC$505,"&lt;="&amp;$A41,実績!$AD$6:$AD$505,"&gt;"&amp;$A41,実績!$AE$6:$AE$505,"○")&gt;0,1,0))</f>
        <v/>
      </c>
      <c r="BI41">
        <f>IF(BI$4=0,0,IF(COUNTIFS(実績!$W$6:$W$505,BI$3,実績!$AC$6:$AC$505,"&lt;="&amp;$A41,実績!$AD$6:$AD$505,"&gt;"&amp;$A41,実績!$AE$6:$AE$505,"○")&gt;0,1,0))</f>
        <v/>
      </c>
      <c r="BJ41">
        <f>IF(BJ$4=0,0,IF(COUNTIFS(実績!$W$6:$W$505,BJ$3,実績!$AC$6:$AC$505,"&lt;="&amp;$A41,実績!$AD$6:$AD$505,"&gt;"&amp;$A41,実績!$AE$6:$AE$505,"○")&gt;0,1,0))</f>
        <v/>
      </c>
      <c r="BK41">
        <f>IF(BK$4=0,0,IF(COUNTIFS(実績!$W$6:$W$505,BK$3,実績!$AC$6:$AC$505,"&lt;="&amp;$A41,実績!$AD$6:$AD$505,"&gt;"&amp;$A41,実績!$AE$6:$AE$505,"○")&gt;0,1,0))</f>
        <v/>
      </c>
      <c r="BL41">
        <f>IF(BL$4=0,0,IF(COUNTIFS(実績!$W$6:$W$505,BL$3,実績!$AC$6:$AC$505,"&lt;="&amp;$A41,実績!$AD$6:$AD$505,"&gt;"&amp;$A41,実績!$AE$6:$AE$505,"○")&gt;0,1,0))</f>
        <v/>
      </c>
      <c r="BM41">
        <f>IF(BM$4=0,0,IF(COUNTIFS(実績!$W$6:$W$505,BM$3,実績!$AC$6:$AC$505,"&lt;="&amp;$A41,実績!$AD$6:$AD$505,"&gt;"&amp;$A41,実績!$AE$6:$AE$505,"○")&gt;0,1,0))</f>
        <v/>
      </c>
      <c r="BN41">
        <f>IF(BN$4=0,0,IF(COUNTIFS(実績!$W$6:$W$505,BN$3,実績!$AC$6:$AC$505,"&lt;="&amp;$A41,実績!$AD$6:$AD$505,"&gt;"&amp;$A41,実績!$AE$6:$AE$505,"○")&gt;0,1,0))</f>
        <v/>
      </c>
      <c r="BO41">
        <f>IF(BO$4=0,0,IF(COUNTIFS(実績!$W$6:$W$505,BO$3,実績!$AC$6:$AC$505,"&lt;="&amp;$A41,実績!$AD$6:$AD$505,"&gt;"&amp;$A41,実績!$AE$6:$AE$505,"○")&gt;0,1,0))</f>
        <v/>
      </c>
      <c r="BP41">
        <f>IF(BP$4=0,0,IF(COUNTIFS(実績!$W$6:$W$505,BP$3,実績!$AC$6:$AC$505,"&lt;="&amp;$A41,実績!$AD$6:$AD$505,"&gt;"&amp;$A41,実績!$AE$6:$AE$505,"○")&gt;0,1,0))</f>
        <v/>
      </c>
      <c r="BQ41">
        <f>IF(BQ$4=0,0,IF(COUNTIFS(実績!$W$6:$W$505,BQ$3,実績!$AC$6:$AC$505,"&lt;="&amp;$A41,実績!$AD$6:$AD$505,"&gt;"&amp;$A41,実績!$AE$6:$AE$505,"○")&gt;0,1,0))</f>
        <v/>
      </c>
      <c r="BR41">
        <f>IF(BR$4=0,0,IF(COUNTIFS(実績!$W$6:$W$505,BR$3,実績!$AC$6:$AC$505,"&lt;="&amp;$A41,実績!$AD$6:$AD$505,"&gt;"&amp;$A41,実績!$AE$6:$AE$505,"○")&gt;0,1,0))</f>
        <v/>
      </c>
      <c r="BS41">
        <f>IF(BS$4=0,0,IF(COUNTIFS(実績!$W$6:$W$505,BS$3,実績!$AC$6:$AC$505,"&lt;="&amp;$A41,実績!$AD$6:$AD$505,"&gt;"&amp;$A41,実績!$AE$6:$AE$505,"○")&gt;0,1,0))</f>
        <v/>
      </c>
      <c r="BT41">
        <f>IF(BT$4=0,0,IF(COUNTIFS(実績!$W$6:$W$505,BT$3,実績!$AC$6:$AC$505,"&lt;="&amp;$A41,実績!$AD$6:$AD$505,"&gt;"&amp;$A41,実績!$AE$6:$AE$505,"○")&gt;0,1,0))</f>
        <v/>
      </c>
      <c r="BU41">
        <f>IF(BU$4=0,0,IF(COUNTIFS(実績!$W$6:$W$505,BU$3,実績!$AC$6:$AC$505,"&lt;="&amp;$A41,実績!$AD$6:$AD$505,"&gt;"&amp;$A41,実績!$AE$6:$AE$505,"○")&gt;0,1,0))</f>
        <v/>
      </c>
      <c r="BV41">
        <f>IF(BV$4=0,0,IF(COUNTIFS(実績!$W$6:$W$505,BV$3,実績!$AC$6:$AC$505,"&lt;="&amp;$A41,実績!$AD$6:$AD$505,"&gt;"&amp;$A41,実績!$AE$6:$AE$505,"○")&gt;0,1,0))</f>
        <v/>
      </c>
      <c r="BW41">
        <f>IF(BW$4=0,0,IF(COUNTIFS(実績!$W$6:$W$505,BW$3,実績!$AC$6:$AC$505,"&lt;="&amp;$A41,実績!$AD$6:$AD$505,"&gt;"&amp;$A41,実績!$AE$6:$AE$505,"○")&gt;0,1,0))</f>
        <v/>
      </c>
      <c r="BX41">
        <f>IF(BX$4=0,0,IF(COUNTIFS(実績!$W$6:$W$505,BX$3,実績!$AC$6:$AC$505,"&lt;="&amp;$A41,実績!$AD$6:$AD$505,"&gt;"&amp;$A41,実績!$AE$6:$AE$505,"○")&gt;0,1,0))</f>
        <v/>
      </c>
      <c r="BY41">
        <f>IF(BY$4=0,0,IF(COUNTIFS(実績!$W$6:$W$505,BY$3,実績!$AC$6:$AC$505,"&lt;="&amp;$A41,実績!$AD$6:$AD$505,"&gt;"&amp;$A41,実績!$AE$6:$AE$505,"○")&gt;0,1,0))</f>
        <v/>
      </c>
      <c r="BZ41">
        <f>IF(BZ$4=0,0,IF(COUNTIFS(実績!$W$6:$W$505,BZ$3,実績!$AC$6:$AC$505,"&lt;="&amp;$A41,実績!$AD$6:$AD$505,"&gt;"&amp;$A41,実績!$AE$6:$AE$505,"○")&gt;0,1,0))</f>
        <v/>
      </c>
      <c r="CA41">
        <f>IF(CA$4=0,0,IF(COUNTIFS(実績!$W$6:$W$505,CA$3,実績!$AC$6:$AC$505,"&lt;="&amp;$A41,実績!$AD$6:$AD$505,"&gt;"&amp;$A41,実績!$AE$6:$AE$505,"○")&gt;0,1,0))</f>
        <v/>
      </c>
      <c r="CB41">
        <f>IF(CB$4=0,0,IF(COUNTIFS(実績!$W$6:$W$505,CB$3,実績!$AC$6:$AC$505,"&lt;="&amp;$A41,実績!$AD$6:$AD$505,"&gt;"&amp;$A41,実績!$AE$6:$AE$505,"○")&gt;0,1,0))</f>
        <v/>
      </c>
      <c r="CC41">
        <f>IF(CC$4=0,0,IF(COUNTIFS(実績!$W$6:$W$505,CC$3,実績!$AC$6:$AC$505,"&lt;="&amp;$A41,実績!$AD$6:$AD$505,"&gt;"&amp;$A41,実績!$AE$6:$AE$505,"○")&gt;0,1,0))</f>
        <v/>
      </c>
      <c r="CD41">
        <f>IF(CD$4=0,0,IF(COUNTIFS(実績!$W$6:$W$505,CD$3,実績!$AC$6:$AC$505,"&lt;="&amp;$A41,実績!$AD$6:$AD$505,"&gt;"&amp;$A41,実績!$AE$6:$AE$505,"○")&gt;0,1,0))</f>
        <v/>
      </c>
      <c r="CE41">
        <f>IF(CE$4=0,0,IF(COUNTIFS(実績!$W$6:$W$505,CE$3,実績!$AC$6:$AC$505,"&lt;="&amp;$A41,実績!$AD$6:$AD$505,"&gt;"&amp;$A41,実績!$AE$6:$AE$505,"○")&gt;0,1,0))</f>
        <v/>
      </c>
      <c r="CF41">
        <f>IF(CF$4=0,0,IF(COUNTIFS(実績!$W$6:$W$505,CF$3,実績!$AC$6:$AC$505,"&lt;="&amp;$A41,実績!$AD$6:$AD$505,"&gt;"&amp;$A41,実績!$AE$6:$AE$505,"○")&gt;0,1,0))</f>
        <v/>
      </c>
      <c r="CG41">
        <f>IF(CG$4=0,0,IF(COUNTIFS(実績!$W$6:$W$505,CG$3,実績!$AC$6:$AC$505,"&lt;="&amp;$A41,実績!$AD$6:$AD$505,"&gt;"&amp;$A41,実績!$AE$6:$AE$505,"○")&gt;0,1,0))</f>
        <v/>
      </c>
      <c r="CH41">
        <f>IF(CH$4=0,0,IF(COUNTIFS(実績!$W$6:$W$505,CH$3,実績!$AC$6:$AC$505,"&lt;="&amp;$A41,実績!$AD$6:$AD$505,"&gt;"&amp;$A41,実績!$AE$6:$AE$505,"○")&gt;0,1,0))</f>
        <v/>
      </c>
      <c r="CI41">
        <f>IF(CI$4=0,0,IF(COUNTIFS(実績!$W$6:$W$505,CI$3,実績!$AC$6:$AC$505,"&lt;="&amp;$A41,実績!$AD$6:$AD$505,"&gt;"&amp;$A41,実績!$AE$6:$AE$505,"○")&gt;0,1,0))</f>
        <v/>
      </c>
      <c r="CJ41">
        <f>IF(CJ$4=0,0,IF(COUNTIFS(実績!$W$6:$W$505,CJ$3,実績!$AC$6:$AC$505,"&lt;="&amp;$A41,実績!$AD$6:$AD$505,"&gt;"&amp;$A41,実績!$AE$6:$AE$505,"○")&gt;0,1,0))</f>
        <v/>
      </c>
      <c r="CK41">
        <f>IF(CK$4=0,0,IF(COUNTIFS(実績!$W$6:$W$505,CK$3,実績!$AC$6:$AC$505,"&lt;="&amp;$A41,実績!$AD$6:$AD$505,"&gt;"&amp;$A41,実績!$AE$6:$AE$505,"○")&gt;0,1,0))</f>
        <v/>
      </c>
      <c r="CL41">
        <f>IF(CL$4=0,0,IF(COUNTIFS(実績!$W$6:$W$505,CL$3,実績!$AC$6:$AC$505,"&lt;="&amp;$A41,実績!$AD$6:$AD$505,"&gt;"&amp;$A41,実績!$AE$6:$AE$505,"○")&gt;0,1,0))</f>
        <v/>
      </c>
      <c r="CM41">
        <f>IF(CM$4=0,0,IF(COUNTIFS(実績!$W$6:$W$505,CM$3,実績!$AC$6:$AC$505,"&lt;="&amp;$A41,実績!$AD$6:$AD$505,"&gt;"&amp;$A41,実績!$AE$6:$AE$505,"○")&gt;0,1,0))</f>
        <v/>
      </c>
      <c r="CN41">
        <f>IF(CN$4=0,0,IF(COUNTIFS(実績!$W$6:$W$505,CN$3,実績!$AC$6:$AC$505,"&lt;="&amp;$A41,実績!$AD$6:$AD$505,"&gt;"&amp;$A41,実績!$AE$6:$AE$505,"○")&gt;0,1,0))</f>
        <v/>
      </c>
      <c r="CO41">
        <f>IF(CO$4=0,0,IF(COUNTIFS(実績!$W$6:$W$505,CO$3,実績!$AC$6:$AC$505,"&lt;="&amp;$A41,実績!$AD$6:$AD$505,"&gt;"&amp;$A41,実績!$AE$6:$AE$505,"○")&gt;0,1,0))</f>
        <v/>
      </c>
      <c r="CP41">
        <f>IF(CP$4=0,0,IF(COUNTIFS(実績!$W$6:$W$505,CP$3,実績!$AC$6:$AC$505,"&lt;="&amp;$A41,実績!$AD$6:$AD$505,"&gt;"&amp;$A41,実績!$AE$6:$AE$505,"○")&gt;0,1,0))</f>
        <v/>
      </c>
      <c r="CQ41">
        <f>IF(CQ$4=0,0,IF(COUNTIFS(実績!$W$6:$W$505,CQ$3,実績!$AC$6:$AC$505,"&lt;="&amp;$A41,実績!$AD$6:$AD$505,"&gt;"&amp;$A41,実績!$AE$6:$AE$505,"○")&gt;0,1,0))</f>
        <v/>
      </c>
      <c r="CR41">
        <f>IF(CR$4=0,0,IF(COUNTIFS(実績!$W$6:$W$505,CR$3,実績!$AC$6:$AC$505,"&lt;="&amp;$A41,実績!$AD$6:$AD$505,"&gt;"&amp;$A41,実績!$AE$6:$AE$505,"○")&gt;0,1,0))</f>
        <v/>
      </c>
      <c r="CS41">
        <f>IF(CS$4=0,0,IF(COUNTIFS(実績!$W$6:$W$505,CS$3,実績!$AC$6:$AC$505,"&lt;="&amp;$A41,実績!$AD$6:$AD$505,"&gt;"&amp;$A41,実績!$AE$6:$AE$505,"○")&gt;0,1,0))</f>
        <v/>
      </c>
      <c r="CT41">
        <f>IF(CT$4=0,0,IF(COUNTIFS(実績!$W$6:$W$505,CT$3,実績!$AC$6:$AC$505,"&lt;="&amp;$A41,実績!$AD$6:$AD$505,"&gt;"&amp;$A41,実績!$AE$6:$AE$505,"○")&gt;0,1,0))</f>
        <v/>
      </c>
      <c r="CU41">
        <f>IF(CU$4=0,0,IF(COUNTIFS(実績!$W$6:$W$505,CU$3,実績!$AC$6:$AC$505,"&lt;="&amp;$A41,実績!$AD$6:$AD$505,"&gt;"&amp;$A41,実績!$AE$6:$AE$505,"○")&gt;0,1,0))</f>
        <v/>
      </c>
      <c r="CV41">
        <f>IF(CV$4=0,0,IF(COUNTIFS(実績!$W$6:$W$505,CV$3,実績!$AC$6:$AC$505,"&lt;="&amp;$A41,実績!$AD$6:$AD$505,"&gt;"&amp;$A41,実績!$AE$6:$AE$505,"○")&gt;0,1,0))</f>
        <v/>
      </c>
      <c r="CW41">
        <f>IF(CW$4=0,0,IF(COUNTIFS(実績!$W$6:$W$505,CW$3,実績!$AC$6:$AC$505,"&lt;="&amp;$A41,実績!$AD$6:$AD$505,"&gt;"&amp;$A41,実績!$AE$6:$AE$505,"○")&gt;0,1,0))</f>
        <v/>
      </c>
      <c r="CX41">
        <f>IF(CX$4=0,0,IF(COUNTIFS(実績!$W$6:$W$505,CX$3,実績!$AC$6:$AC$505,"&lt;="&amp;$A41,実績!$AD$6:$AD$505,"&gt;"&amp;$A41,実績!$AE$6:$AE$505,"○")&gt;0,1,0))</f>
        <v/>
      </c>
      <c r="CY41">
        <f>IF(CY$4=0,0,IF(COUNTIFS(実績!$W$6:$W$505,CY$3,実績!$AC$6:$AC$505,"&lt;="&amp;$A41,実績!$AD$6:$AD$505,"&gt;"&amp;$A41,実績!$AE$6:$AE$505,"○")&gt;0,1,0))</f>
        <v/>
      </c>
      <c r="CZ41">
        <f>IF(CZ$4=0,0,IF(COUNTIFS(実績!$W$6:$W$505,CZ$3,実績!$AC$6:$AC$505,"&lt;="&amp;$A41,実績!$AD$6:$AD$505,"&gt;"&amp;$A41,実績!$AE$6:$AE$505,"○")&gt;0,1,0))</f>
        <v/>
      </c>
      <c r="DA41">
        <f>IF(DA$4=0,0,IF(COUNTIFS(実績!$W$6:$W$505,DA$3,実績!$AC$6:$AC$505,"&lt;="&amp;$A41,実績!$AD$6:$AD$505,"&gt;"&amp;$A41,実績!$AE$6:$AE$505,"○")&gt;0,1,0))</f>
        <v/>
      </c>
      <c r="DB41">
        <f>IF(DB$4=0,0,IF(COUNTIFS(実績!$W$6:$W$505,DB$3,実績!$AC$6:$AC$505,"&lt;="&amp;$A41,実績!$AD$6:$AD$505,"&gt;"&amp;$A41,実績!$AE$6:$AE$505,"○")&gt;0,1,0))</f>
        <v/>
      </c>
      <c r="DC41">
        <f>IF(DC$4=0,0,IF(COUNTIFS(実績!$W$6:$W$505,DC$3,実績!$AC$6:$AC$505,"&lt;="&amp;$A41,実績!$AD$6:$AD$505,"&gt;"&amp;$A41,実績!$AE$6:$AE$505,"○")&gt;0,1,0))</f>
        <v/>
      </c>
      <c r="DD41">
        <f>IF(DD$4=0,0,IF(COUNTIFS(実績!$W$6:$W$505,DD$3,実績!$AC$6:$AC$505,"&lt;="&amp;$A41,実績!$AD$6:$AD$505,"&gt;"&amp;$A41,実績!$AE$6:$AE$505,"○")&gt;0,1,0))</f>
        <v/>
      </c>
      <c r="DE41">
        <f>IF(DE$4=0,0,IF(COUNTIFS(実績!$W$6:$W$505,DE$3,実績!$AC$6:$AC$505,"&lt;="&amp;$A41,実績!$AD$6:$AD$505,"&gt;"&amp;$A41,実績!$AE$6:$AE$505,"○")&gt;0,1,0))</f>
        <v/>
      </c>
      <c r="DF41">
        <f>IF(DF$4=0,0,IF(COUNTIFS(実績!$W$6:$W$505,DF$3,実績!$AC$6:$AC$505,"&lt;="&amp;$A41,実績!$AD$6:$AD$505,"&gt;"&amp;$A41,実績!$AE$6:$AE$505,"○")&gt;0,1,0))</f>
        <v/>
      </c>
      <c r="DG41">
        <f>IF(DG$4=0,0,IF(COUNTIFS(実績!$W$6:$W$505,DG$3,実績!$AC$6:$AC$505,"&lt;="&amp;$A41,実績!$AD$6:$AD$505,"&gt;"&amp;$A41,実績!$AE$6:$AE$505,"○")&gt;0,1,0))</f>
        <v/>
      </c>
      <c r="DH41">
        <f>IF(DH$4=0,0,IF(COUNTIFS(実績!$W$6:$W$505,DH$3,実績!$AC$6:$AC$505,"&lt;="&amp;$A41,実績!$AD$6:$AD$505,"&gt;"&amp;$A41,実績!$AE$6:$AE$505,"○")&gt;0,1,0))</f>
        <v/>
      </c>
      <c r="DI41">
        <f>IF(DI$4=0,0,IF(COUNTIFS(実績!$W$6:$W$505,DI$3,実績!$AC$6:$AC$505,"&lt;="&amp;$A41,実績!$AD$6:$AD$505,"&gt;"&amp;$A41,実績!$AE$6:$AE$505,"○")&gt;0,1,0))</f>
        <v/>
      </c>
      <c r="DJ41">
        <f>IF(DJ$4=0,0,IF(COUNTIFS(実績!$W$6:$W$505,DJ$3,実績!$AC$6:$AC$505,"&lt;="&amp;$A41,実績!$AD$6:$AD$505,"&gt;"&amp;$A41,実績!$AE$6:$AE$505,"○")&gt;0,1,0))</f>
        <v/>
      </c>
      <c r="DK41">
        <f>IF(DK$4=0,0,IF(COUNTIFS(実績!$W$6:$W$505,DK$3,実績!$AC$6:$AC$505,"&lt;="&amp;$A41,実績!$AD$6:$AD$505,"&gt;"&amp;$A41,実績!$AE$6:$AE$505,"○")&gt;0,1,0))</f>
        <v/>
      </c>
      <c r="DL41">
        <f>IF(DL$4=0,0,IF(COUNTIFS(実績!$W$6:$W$505,DL$3,実績!$AC$6:$AC$505,"&lt;="&amp;$A41,実績!$AD$6:$AD$505,"&gt;"&amp;$A41,実績!$AE$6:$AE$505,"○")&gt;0,1,0))</f>
        <v/>
      </c>
      <c r="DM41">
        <f>IF(DM$4=0,0,IF(COUNTIFS(実績!$W$6:$W$505,DM$3,実績!$AC$6:$AC$505,"&lt;="&amp;$A41,実績!$AD$6:$AD$505,"&gt;"&amp;$A41,実績!$AE$6:$AE$505,"○")&gt;0,1,0))</f>
        <v/>
      </c>
      <c r="DN41">
        <f>IF(DN$4=0,0,IF(COUNTIFS(実績!$W$6:$W$505,DN$3,実績!$AC$6:$AC$505,"&lt;="&amp;$A41,実績!$AD$6:$AD$505,"&gt;"&amp;$A41,実績!$AE$6:$AE$505,"○")&gt;0,1,0))</f>
        <v/>
      </c>
      <c r="DO41">
        <f>IF(DO$4=0,0,IF(COUNTIFS(実績!$W$6:$W$505,DO$3,実績!$AC$6:$AC$505,"&lt;="&amp;$A41,実績!$AD$6:$AD$505,"&gt;"&amp;$A41,実績!$AE$6:$AE$505,"○")&gt;0,1,0))</f>
        <v/>
      </c>
      <c r="DP41">
        <f>IF(DP$4=0,0,IF(COUNTIFS(実績!$W$6:$W$505,DP$3,実績!$AC$6:$AC$505,"&lt;="&amp;$A41,実績!$AD$6:$AD$505,"&gt;"&amp;$A41,実績!$AE$6:$AE$505,"○")&gt;0,1,0))</f>
        <v/>
      </c>
      <c r="DQ41">
        <f>IF(DQ$4=0,0,IF(COUNTIFS(実績!$W$6:$W$505,DQ$3,実績!$AC$6:$AC$505,"&lt;="&amp;$A41,実績!$AD$6:$AD$505,"&gt;"&amp;$A41,実績!$AE$6:$AE$505,"○")&gt;0,1,0))</f>
        <v/>
      </c>
      <c r="DR41">
        <f>IF(DR$4=0,0,IF(COUNTIFS(実績!$W$6:$W$505,DR$3,実績!$AC$6:$AC$505,"&lt;="&amp;$A41,実績!$AD$6:$AD$505,"&gt;"&amp;$A41,実績!$AE$6:$AE$505,"○")&gt;0,1,0))</f>
        <v/>
      </c>
      <c r="DS41">
        <f>SUM(C41:DR41)</f>
        <v/>
      </c>
      <c r="DT41">
        <f>SUMPRODUCT((実績!$C$6:$C$505="○")*ISNUMBER(実績!$AF$6:$AF$505)*(実績!$AF$6:$AF$505&lt;=$A41)*(実績!$AG$6:$AG$505&gt;$A41))</f>
        <v/>
      </c>
      <c r="DU41">
        <f>SUMIF($C$2:$DR$2,"製鉄曳船",C41:DR41)</f>
        <v/>
      </c>
      <c r="DV41">
        <f>SUMIF($C$2:$DR$2,"西日本海運",C41:DR41)</f>
        <v/>
      </c>
    </row>
    <row r="42">
      <c r="A42" t="n">
        <v>180</v>
      </c>
      <c r="B42" s="29">
        <f>A42/1440</f>
        <v/>
      </c>
      <c r="C42">
        <f>IF(C$4=0,0,IF(COUNTIFS(実績!$W$6:$W$505,C$3,実績!$AC$6:$AC$505,"&lt;="&amp;$A42,実績!$AD$6:$AD$505,"&gt;"&amp;$A42,実績!$AE$6:$AE$505,"○")&gt;0,1,0))</f>
        <v/>
      </c>
      <c r="D42">
        <f>IF(D$4=0,0,IF(COUNTIFS(実績!$W$6:$W$505,D$3,実績!$AC$6:$AC$505,"&lt;="&amp;$A42,実績!$AD$6:$AD$505,"&gt;"&amp;$A42,実績!$AE$6:$AE$505,"○")&gt;0,1,0))</f>
        <v/>
      </c>
      <c r="E42">
        <f>IF(E$4=0,0,IF(COUNTIFS(実績!$W$6:$W$505,E$3,実績!$AC$6:$AC$505,"&lt;="&amp;$A42,実績!$AD$6:$AD$505,"&gt;"&amp;$A42,実績!$AE$6:$AE$505,"○")&gt;0,1,0))</f>
        <v/>
      </c>
      <c r="F42">
        <f>IF(F$4=0,0,IF(COUNTIFS(実績!$W$6:$W$505,F$3,実績!$AC$6:$AC$505,"&lt;="&amp;$A42,実績!$AD$6:$AD$505,"&gt;"&amp;$A42,実績!$AE$6:$AE$505,"○")&gt;0,1,0))</f>
        <v/>
      </c>
      <c r="G42">
        <f>IF(G$4=0,0,IF(COUNTIFS(実績!$W$6:$W$505,G$3,実績!$AC$6:$AC$505,"&lt;="&amp;$A42,実績!$AD$6:$AD$505,"&gt;"&amp;$A42,実績!$AE$6:$AE$505,"○")&gt;0,1,0))</f>
        <v/>
      </c>
      <c r="H42">
        <f>IF(H$4=0,0,IF(COUNTIFS(実績!$W$6:$W$505,H$3,実績!$AC$6:$AC$505,"&lt;="&amp;$A42,実績!$AD$6:$AD$505,"&gt;"&amp;$A42,実績!$AE$6:$AE$505,"○")&gt;0,1,0))</f>
        <v/>
      </c>
      <c r="I42">
        <f>IF(I$4=0,0,IF(COUNTIFS(実績!$W$6:$W$505,I$3,実績!$AC$6:$AC$505,"&lt;="&amp;$A42,実績!$AD$6:$AD$505,"&gt;"&amp;$A42,実績!$AE$6:$AE$505,"○")&gt;0,1,0))</f>
        <v/>
      </c>
      <c r="J42">
        <f>IF(J$4=0,0,IF(COUNTIFS(実績!$W$6:$W$505,J$3,実績!$AC$6:$AC$505,"&lt;="&amp;$A42,実績!$AD$6:$AD$505,"&gt;"&amp;$A42,実績!$AE$6:$AE$505,"○")&gt;0,1,0))</f>
        <v/>
      </c>
      <c r="K42">
        <f>IF(K$4=0,0,IF(COUNTIFS(実績!$W$6:$W$505,K$3,実績!$AC$6:$AC$505,"&lt;="&amp;$A42,実績!$AD$6:$AD$505,"&gt;"&amp;$A42,実績!$AE$6:$AE$505,"○")&gt;0,1,0))</f>
        <v/>
      </c>
      <c r="L42">
        <f>IF(L$4=0,0,IF(COUNTIFS(実績!$W$6:$W$505,L$3,実績!$AC$6:$AC$505,"&lt;="&amp;$A42,実績!$AD$6:$AD$505,"&gt;"&amp;$A42,実績!$AE$6:$AE$505,"○")&gt;0,1,0))</f>
        <v/>
      </c>
      <c r="M42">
        <f>IF(M$4=0,0,IF(COUNTIFS(実績!$W$6:$W$505,M$3,実績!$AC$6:$AC$505,"&lt;="&amp;$A42,実績!$AD$6:$AD$505,"&gt;"&amp;$A42,実績!$AE$6:$AE$505,"○")&gt;0,1,0))</f>
        <v/>
      </c>
      <c r="N42">
        <f>IF(N$4=0,0,IF(COUNTIFS(実績!$W$6:$W$505,N$3,実績!$AC$6:$AC$505,"&lt;="&amp;$A42,実績!$AD$6:$AD$505,"&gt;"&amp;$A42,実績!$AE$6:$AE$505,"○")&gt;0,1,0))</f>
        <v/>
      </c>
      <c r="O42">
        <f>IF(O$4=0,0,IF(COUNTIFS(実績!$W$6:$W$505,O$3,実績!$AC$6:$AC$505,"&lt;="&amp;$A42,実績!$AD$6:$AD$505,"&gt;"&amp;$A42,実績!$AE$6:$AE$505,"○")&gt;0,1,0))</f>
        <v/>
      </c>
      <c r="P42">
        <f>IF(P$4=0,0,IF(COUNTIFS(実績!$W$6:$W$505,P$3,実績!$AC$6:$AC$505,"&lt;="&amp;$A42,実績!$AD$6:$AD$505,"&gt;"&amp;$A42,実績!$AE$6:$AE$505,"○")&gt;0,1,0))</f>
        <v/>
      </c>
      <c r="Q42">
        <f>IF(Q$4=0,0,IF(COUNTIFS(実績!$W$6:$W$505,Q$3,実績!$AC$6:$AC$505,"&lt;="&amp;$A42,実績!$AD$6:$AD$505,"&gt;"&amp;$A42,実績!$AE$6:$AE$505,"○")&gt;0,1,0))</f>
        <v/>
      </c>
      <c r="R42">
        <f>IF(R$4=0,0,IF(COUNTIFS(実績!$W$6:$W$505,R$3,実績!$AC$6:$AC$505,"&lt;="&amp;$A42,実績!$AD$6:$AD$505,"&gt;"&amp;$A42,実績!$AE$6:$AE$505,"○")&gt;0,1,0))</f>
        <v/>
      </c>
      <c r="S42">
        <f>IF(S$4=0,0,IF(COUNTIFS(実績!$W$6:$W$505,S$3,実績!$AC$6:$AC$505,"&lt;="&amp;$A42,実績!$AD$6:$AD$505,"&gt;"&amp;$A42,実績!$AE$6:$AE$505,"○")&gt;0,1,0))</f>
        <v/>
      </c>
      <c r="T42">
        <f>IF(T$4=0,0,IF(COUNTIFS(実績!$W$6:$W$505,T$3,実績!$AC$6:$AC$505,"&lt;="&amp;$A42,実績!$AD$6:$AD$505,"&gt;"&amp;$A42,実績!$AE$6:$AE$505,"○")&gt;0,1,0))</f>
        <v/>
      </c>
      <c r="U42">
        <f>IF(U$4=0,0,IF(COUNTIFS(実績!$W$6:$W$505,U$3,実績!$AC$6:$AC$505,"&lt;="&amp;$A42,実績!$AD$6:$AD$505,"&gt;"&amp;$A42,実績!$AE$6:$AE$505,"○")&gt;0,1,0))</f>
        <v/>
      </c>
      <c r="V42">
        <f>IF(V$4=0,0,IF(COUNTIFS(実績!$W$6:$W$505,V$3,実績!$AC$6:$AC$505,"&lt;="&amp;$A42,実績!$AD$6:$AD$505,"&gt;"&amp;$A42,実績!$AE$6:$AE$505,"○")&gt;0,1,0))</f>
        <v/>
      </c>
      <c r="W42">
        <f>IF(W$4=0,0,IF(COUNTIFS(実績!$W$6:$W$505,W$3,実績!$AC$6:$AC$505,"&lt;="&amp;$A42,実績!$AD$6:$AD$505,"&gt;"&amp;$A42,実績!$AE$6:$AE$505,"○")&gt;0,1,0))</f>
        <v/>
      </c>
      <c r="X42">
        <f>IF(X$4=0,0,IF(COUNTIFS(実績!$W$6:$W$505,X$3,実績!$AC$6:$AC$505,"&lt;="&amp;$A42,実績!$AD$6:$AD$505,"&gt;"&amp;$A42,実績!$AE$6:$AE$505,"○")&gt;0,1,0))</f>
        <v/>
      </c>
      <c r="Y42">
        <f>IF(Y$4=0,0,IF(COUNTIFS(実績!$W$6:$W$505,Y$3,実績!$AC$6:$AC$505,"&lt;="&amp;$A42,実績!$AD$6:$AD$505,"&gt;"&amp;$A42,実績!$AE$6:$AE$505,"○")&gt;0,1,0))</f>
        <v/>
      </c>
      <c r="Z42">
        <f>IF(Z$4=0,0,IF(COUNTIFS(実績!$W$6:$W$505,Z$3,実績!$AC$6:$AC$505,"&lt;="&amp;$A42,実績!$AD$6:$AD$505,"&gt;"&amp;$A42,実績!$AE$6:$AE$505,"○")&gt;0,1,0))</f>
        <v/>
      </c>
      <c r="AA42">
        <f>IF(AA$4=0,0,IF(COUNTIFS(実績!$W$6:$W$505,AA$3,実績!$AC$6:$AC$505,"&lt;="&amp;$A42,実績!$AD$6:$AD$505,"&gt;"&amp;$A42,実績!$AE$6:$AE$505,"○")&gt;0,1,0))</f>
        <v/>
      </c>
      <c r="AB42">
        <f>IF(AB$4=0,0,IF(COUNTIFS(実績!$W$6:$W$505,AB$3,実績!$AC$6:$AC$505,"&lt;="&amp;$A42,実績!$AD$6:$AD$505,"&gt;"&amp;$A42,実績!$AE$6:$AE$505,"○")&gt;0,1,0))</f>
        <v/>
      </c>
      <c r="AC42">
        <f>IF(AC$4=0,0,IF(COUNTIFS(実績!$W$6:$W$505,AC$3,実績!$AC$6:$AC$505,"&lt;="&amp;$A42,実績!$AD$6:$AD$505,"&gt;"&amp;$A42,実績!$AE$6:$AE$505,"○")&gt;0,1,0))</f>
        <v/>
      </c>
      <c r="AD42">
        <f>IF(AD$4=0,0,IF(COUNTIFS(実績!$W$6:$W$505,AD$3,実績!$AC$6:$AC$505,"&lt;="&amp;$A42,実績!$AD$6:$AD$505,"&gt;"&amp;$A42,実績!$AE$6:$AE$505,"○")&gt;0,1,0))</f>
        <v/>
      </c>
      <c r="AE42">
        <f>IF(AE$4=0,0,IF(COUNTIFS(実績!$W$6:$W$505,AE$3,実績!$AC$6:$AC$505,"&lt;="&amp;$A42,実績!$AD$6:$AD$505,"&gt;"&amp;$A42,実績!$AE$6:$AE$505,"○")&gt;0,1,0))</f>
        <v/>
      </c>
      <c r="AF42">
        <f>IF(AF$4=0,0,IF(COUNTIFS(実績!$W$6:$W$505,AF$3,実績!$AC$6:$AC$505,"&lt;="&amp;$A42,実績!$AD$6:$AD$505,"&gt;"&amp;$A42,実績!$AE$6:$AE$505,"○")&gt;0,1,0))</f>
        <v/>
      </c>
      <c r="AG42">
        <f>IF(AG$4=0,0,IF(COUNTIFS(実績!$W$6:$W$505,AG$3,実績!$AC$6:$AC$505,"&lt;="&amp;$A42,実績!$AD$6:$AD$505,"&gt;"&amp;$A42,実績!$AE$6:$AE$505,"○")&gt;0,1,0))</f>
        <v/>
      </c>
      <c r="AH42">
        <f>IF(AH$4=0,0,IF(COUNTIFS(実績!$W$6:$W$505,AH$3,実績!$AC$6:$AC$505,"&lt;="&amp;$A42,実績!$AD$6:$AD$505,"&gt;"&amp;$A42,実績!$AE$6:$AE$505,"○")&gt;0,1,0))</f>
        <v/>
      </c>
      <c r="AI42">
        <f>IF(AI$4=0,0,IF(COUNTIFS(実績!$W$6:$W$505,AI$3,実績!$AC$6:$AC$505,"&lt;="&amp;$A42,実績!$AD$6:$AD$505,"&gt;"&amp;$A42,実績!$AE$6:$AE$505,"○")&gt;0,1,0))</f>
        <v/>
      </c>
      <c r="AJ42">
        <f>IF(AJ$4=0,0,IF(COUNTIFS(実績!$W$6:$W$505,AJ$3,実績!$AC$6:$AC$505,"&lt;="&amp;$A42,実績!$AD$6:$AD$505,"&gt;"&amp;$A42,実績!$AE$6:$AE$505,"○")&gt;0,1,0))</f>
        <v/>
      </c>
      <c r="AK42">
        <f>IF(AK$4=0,0,IF(COUNTIFS(実績!$W$6:$W$505,AK$3,実績!$AC$6:$AC$505,"&lt;="&amp;$A42,実績!$AD$6:$AD$505,"&gt;"&amp;$A42,実績!$AE$6:$AE$505,"○")&gt;0,1,0))</f>
        <v/>
      </c>
      <c r="AL42">
        <f>IF(AL$4=0,0,IF(COUNTIFS(実績!$W$6:$W$505,AL$3,実績!$AC$6:$AC$505,"&lt;="&amp;$A42,実績!$AD$6:$AD$505,"&gt;"&amp;$A42,実績!$AE$6:$AE$505,"○")&gt;0,1,0))</f>
        <v/>
      </c>
      <c r="AM42">
        <f>IF(AM$4=0,0,IF(COUNTIFS(実績!$W$6:$W$505,AM$3,実績!$AC$6:$AC$505,"&lt;="&amp;$A42,実績!$AD$6:$AD$505,"&gt;"&amp;$A42,実績!$AE$6:$AE$505,"○")&gt;0,1,0))</f>
        <v/>
      </c>
      <c r="AN42">
        <f>IF(AN$4=0,0,IF(COUNTIFS(実績!$W$6:$W$505,AN$3,実績!$AC$6:$AC$505,"&lt;="&amp;$A42,実績!$AD$6:$AD$505,"&gt;"&amp;$A42,実績!$AE$6:$AE$505,"○")&gt;0,1,0))</f>
        <v/>
      </c>
      <c r="AO42">
        <f>IF(AO$4=0,0,IF(COUNTIFS(実績!$W$6:$W$505,AO$3,実績!$AC$6:$AC$505,"&lt;="&amp;$A42,実績!$AD$6:$AD$505,"&gt;"&amp;$A42,実績!$AE$6:$AE$505,"○")&gt;0,1,0))</f>
        <v/>
      </c>
      <c r="AP42">
        <f>IF(AP$4=0,0,IF(COUNTIFS(実績!$W$6:$W$505,AP$3,実績!$AC$6:$AC$505,"&lt;="&amp;$A42,実績!$AD$6:$AD$505,"&gt;"&amp;$A42,実績!$AE$6:$AE$505,"○")&gt;0,1,0))</f>
        <v/>
      </c>
      <c r="AQ42">
        <f>IF(AQ$4=0,0,IF(COUNTIFS(実績!$W$6:$W$505,AQ$3,実績!$AC$6:$AC$505,"&lt;="&amp;$A42,実績!$AD$6:$AD$505,"&gt;"&amp;$A42,実績!$AE$6:$AE$505,"○")&gt;0,1,0))</f>
        <v/>
      </c>
      <c r="AR42">
        <f>IF(AR$4=0,0,IF(COUNTIFS(実績!$W$6:$W$505,AR$3,実績!$AC$6:$AC$505,"&lt;="&amp;$A42,実績!$AD$6:$AD$505,"&gt;"&amp;$A42,実績!$AE$6:$AE$505,"○")&gt;0,1,0))</f>
        <v/>
      </c>
      <c r="AS42">
        <f>IF(AS$4=0,0,IF(COUNTIFS(実績!$W$6:$W$505,AS$3,実績!$AC$6:$AC$505,"&lt;="&amp;$A42,実績!$AD$6:$AD$505,"&gt;"&amp;$A42,実績!$AE$6:$AE$505,"○")&gt;0,1,0))</f>
        <v/>
      </c>
      <c r="AT42">
        <f>IF(AT$4=0,0,IF(COUNTIFS(実績!$W$6:$W$505,AT$3,実績!$AC$6:$AC$505,"&lt;="&amp;$A42,実績!$AD$6:$AD$505,"&gt;"&amp;$A42,実績!$AE$6:$AE$505,"○")&gt;0,1,0))</f>
        <v/>
      </c>
      <c r="AU42">
        <f>IF(AU$4=0,0,IF(COUNTIFS(実績!$W$6:$W$505,AU$3,実績!$AC$6:$AC$505,"&lt;="&amp;$A42,実績!$AD$6:$AD$505,"&gt;"&amp;$A42,実績!$AE$6:$AE$505,"○")&gt;0,1,0))</f>
        <v/>
      </c>
      <c r="AV42">
        <f>IF(AV$4=0,0,IF(COUNTIFS(実績!$W$6:$W$505,AV$3,実績!$AC$6:$AC$505,"&lt;="&amp;$A42,実績!$AD$6:$AD$505,"&gt;"&amp;$A42,実績!$AE$6:$AE$505,"○")&gt;0,1,0))</f>
        <v/>
      </c>
      <c r="AW42">
        <f>IF(AW$4=0,0,IF(COUNTIFS(実績!$W$6:$W$505,AW$3,実績!$AC$6:$AC$505,"&lt;="&amp;$A42,実績!$AD$6:$AD$505,"&gt;"&amp;$A42,実績!$AE$6:$AE$505,"○")&gt;0,1,0))</f>
        <v/>
      </c>
      <c r="AX42">
        <f>IF(AX$4=0,0,IF(COUNTIFS(実績!$W$6:$W$505,AX$3,実績!$AC$6:$AC$505,"&lt;="&amp;$A42,実績!$AD$6:$AD$505,"&gt;"&amp;$A42,実績!$AE$6:$AE$505,"○")&gt;0,1,0))</f>
        <v/>
      </c>
      <c r="AY42">
        <f>IF(AY$4=0,0,IF(COUNTIFS(実績!$W$6:$W$505,AY$3,実績!$AC$6:$AC$505,"&lt;="&amp;$A42,実績!$AD$6:$AD$505,"&gt;"&amp;$A42,実績!$AE$6:$AE$505,"○")&gt;0,1,0))</f>
        <v/>
      </c>
      <c r="AZ42">
        <f>IF(AZ$4=0,0,IF(COUNTIFS(実績!$W$6:$W$505,AZ$3,実績!$AC$6:$AC$505,"&lt;="&amp;$A42,実績!$AD$6:$AD$505,"&gt;"&amp;$A42,実績!$AE$6:$AE$505,"○")&gt;0,1,0))</f>
        <v/>
      </c>
      <c r="BA42">
        <f>IF(BA$4=0,0,IF(COUNTIFS(実績!$W$6:$W$505,BA$3,実績!$AC$6:$AC$505,"&lt;="&amp;$A42,実績!$AD$6:$AD$505,"&gt;"&amp;$A42,実績!$AE$6:$AE$505,"○")&gt;0,1,0))</f>
        <v/>
      </c>
      <c r="BB42">
        <f>IF(BB$4=0,0,IF(COUNTIFS(実績!$W$6:$W$505,BB$3,実績!$AC$6:$AC$505,"&lt;="&amp;$A42,実績!$AD$6:$AD$505,"&gt;"&amp;$A42,実績!$AE$6:$AE$505,"○")&gt;0,1,0))</f>
        <v/>
      </c>
      <c r="BC42">
        <f>IF(BC$4=0,0,IF(COUNTIFS(実績!$W$6:$W$505,BC$3,実績!$AC$6:$AC$505,"&lt;="&amp;$A42,実績!$AD$6:$AD$505,"&gt;"&amp;$A42,実績!$AE$6:$AE$505,"○")&gt;0,1,0))</f>
        <v/>
      </c>
      <c r="BD42">
        <f>IF(BD$4=0,0,IF(COUNTIFS(実績!$W$6:$W$505,BD$3,実績!$AC$6:$AC$505,"&lt;="&amp;$A42,実績!$AD$6:$AD$505,"&gt;"&amp;$A42,実績!$AE$6:$AE$505,"○")&gt;0,1,0))</f>
        <v/>
      </c>
      <c r="BE42">
        <f>IF(BE$4=0,0,IF(COUNTIFS(実績!$W$6:$W$505,BE$3,実績!$AC$6:$AC$505,"&lt;="&amp;$A42,実績!$AD$6:$AD$505,"&gt;"&amp;$A42,実績!$AE$6:$AE$505,"○")&gt;0,1,0))</f>
        <v/>
      </c>
      <c r="BF42">
        <f>IF(BF$4=0,0,IF(COUNTIFS(実績!$W$6:$W$505,BF$3,実績!$AC$6:$AC$505,"&lt;="&amp;$A42,実績!$AD$6:$AD$505,"&gt;"&amp;$A42,実績!$AE$6:$AE$505,"○")&gt;0,1,0))</f>
        <v/>
      </c>
      <c r="BG42">
        <f>IF(BG$4=0,0,IF(COUNTIFS(実績!$W$6:$W$505,BG$3,実績!$AC$6:$AC$505,"&lt;="&amp;$A42,実績!$AD$6:$AD$505,"&gt;"&amp;$A42,実績!$AE$6:$AE$505,"○")&gt;0,1,0))</f>
        <v/>
      </c>
      <c r="BH42">
        <f>IF(BH$4=0,0,IF(COUNTIFS(実績!$W$6:$W$505,BH$3,実績!$AC$6:$AC$505,"&lt;="&amp;$A42,実績!$AD$6:$AD$505,"&gt;"&amp;$A42,実績!$AE$6:$AE$505,"○")&gt;0,1,0))</f>
        <v/>
      </c>
      <c r="BI42">
        <f>IF(BI$4=0,0,IF(COUNTIFS(実績!$W$6:$W$505,BI$3,実績!$AC$6:$AC$505,"&lt;="&amp;$A42,実績!$AD$6:$AD$505,"&gt;"&amp;$A42,実績!$AE$6:$AE$505,"○")&gt;0,1,0))</f>
        <v/>
      </c>
      <c r="BJ42">
        <f>IF(BJ$4=0,0,IF(COUNTIFS(実績!$W$6:$W$505,BJ$3,実績!$AC$6:$AC$505,"&lt;="&amp;$A42,実績!$AD$6:$AD$505,"&gt;"&amp;$A42,実績!$AE$6:$AE$505,"○")&gt;0,1,0))</f>
        <v/>
      </c>
      <c r="BK42">
        <f>IF(BK$4=0,0,IF(COUNTIFS(実績!$W$6:$W$505,BK$3,実績!$AC$6:$AC$505,"&lt;="&amp;$A42,実績!$AD$6:$AD$505,"&gt;"&amp;$A42,実績!$AE$6:$AE$505,"○")&gt;0,1,0))</f>
        <v/>
      </c>
      <c r="BL42">
        <f>IF(BL$4=0,0,IF(COUNTIFS(実績!$W$6:$W$505,BL$3,実績!$AC$6:$AC$505,"&lt;="&amp;$A42,実績!$AD$6:$AD$505,"&gt;"&amp;$A42,実績!$AE$6:$AE$505,"○")&gt;0,1,0))</f>
        <v/>
      </c>
      <c r="BM42">
        <f>IF(BM$4=0,0,IF(COUNTIFS(実績!$W$6:$W$505,BM$3,実績!$AC$6:$AC$505,"&lt;="&amp;$A42,実績!$AD$6:$AD$505,"&gt;"&amp;$A42,実績!$AE$6:$AE$505,"○")&gt;0,1,0))</f>
        <v/>
      </c>
      <c r="BN42">
        <f>IF(BN$4=0,0,IF(COUNTIFS(実績!$W$6:$W$505,BN$3,実績!$AC$6:$AC$505,"&lt;="&amp;$A42,実績!$AD$6:$AD$505,"&gt;"&amp;$A42,実績!$AE$6:$AE$505,"○")&gt;0,1,0))</f>
        <v/>
      </c>
      <c r="BO42">
        <f>IF(BO$4=0,0,IF(COUNTIFS(実績!$W$6:$W$505,BO$3,実績!$AC$6:$AC$505,"&lt;="&amp;$A42,実績!$AD$6:$AD$505,"&gt;"&amp;$A42,実績!$AE$6:$AE$505,"○")&gt;0,1,0))</f>
        <v/>
      </c>
      <c r="BP42">
        <f>IF(BP$4=0,0,IF(COUNTIFS(実績!$W$6:$W$505,BP$3,実績!$AC$6:$AC$505,"&lt;="&amp;$A42,実績!$AD$6:$AD$505,"&gt;"&amp;$A42,実績!$AE$6:$AE$505,"○")&gt;0,1,0))</f>
        <v/>
      </c>
      <c r="BQ42">
        <f>IF(BQ$4=0,0,IF(COUNTIFS(実績!$W$6:$W$505,BQ$3,実績!$AC$6:$AC$505,"&lt;="&amp;$A42,実績!$AD$6:$AD$505,"&gt;"&amp;$A42,実績!$AE$6:$AE$505,"○")&gt;0,1,0))</f>
        <v/>
      </c>
      <c r="BR42">
        <f>IF(BR$4=0,0,IF(COUNTIFS(実績!$W$6:$W$505,BR$3,実績!$AC$6:$AC$505,"&lt;="&amp;$A42,実績!$AD$6:$AD$505,"&gt;"&amp;$A42,実績!$AE$6:$AE$505,"○")&gt;0,1,0))</f>
        <v/>
      </c>
      <c r="BS42">
        <f>IF(BS$4=0,0,IF(COUNTIFS(実績!$W$6:$W$505,BS$3,実績!$AC$6:$AC$505,"&lt;="&amp;$A42,実績!$AD$6:$AD$505,"&gt;"&amp;$A42,実績!$AE$6:$AE$505,"○")&gt;0,1,0))</f>
        <v/>
      </c>
      <c r="BT42">
        <f>IF(BT$4=0,0,IF(COUNTIFS(実績!$W$6:$W$505,BT$3,実績!$AC$6:$AC$505,"&lt;="&amp;$A42,実績!$AD$6:$AD$505,"&gt;"&amp;$A42,実績!$AE$6:$AE$505,"○")&gt;0,1,0))</f>
        <v/>
      </c>
      <c r="BU42">
        <f>IF(BU$4=0,0,IF(COUNTIFS(実績!$W$6:$W$505,BU$3,実績!$AC$6:$AC$505,"&lt;="&amp;$A42,実績!$AD$6:$AD$505,"&gt;"&amp;$A42,実績!$AE$6:$AE$505,"○")&gt;0,1,0))</f>
        <v/>
      </c>
      <c r="BV42">
        <f>IF(BV$4=0,0,IF(COUNTIFS(実績!$W$6:$W$505,BV$3,実績!$AC$6:$AC$505,"&lt;="&amp;$A42,実績!$AD$6:$AD$505,"&gt;"&amp;$A42,実績!$AE$6:$AE$505,"○")&gt;0,1,0))</f>
        <v/>
      </c>
      <c r="BW42">
        <f>IF(BW$4=0,0,IF(COUNTIFS(実績!$W$6:$W$505,BW$3,実績!$AC$6:$AC$505,"&lt;="&amp;$A42,実績!$AD$6:$AD$505,"&gt;"&amp;$A42,実績!$AE$6:$AE$505,"○")&gt;0,1,0))</f>
        <v/>
      </c>
      <c r="BX42">
        <f>IF(BX$4=0,0,IF(COUNTIFS(実績!$W$6:$W$505,BX$3,実績!$AC$6:$AC$505,"&lt;="&amp;$A42,実績!$AD$6:$AD$505,"&gt;"&amp;$A42,実績!$AE$6:$AE$505,"○")&gt;0,1,0))</f>
        <v/>
      </c>
      <c r="BY42">
        <f>IF(BY$4=0,0,IF(COUNTIFS(実績!$W$6:$W$505,BY$3,実績!$AC$6:$AC$505,"&lt;="&amp;$A42,実績!$AD$6:$AD$505,"&gt;"&amp;$A42,実績!$AE$6:$AE$505,"○")&gt;0,1,0))</f>
        <v/>
      </c>
      <c r="BZ42">
        <f>IF(BZ$4=0,0,IF(COUNTIFS(実績!$W$6:$W$505,BZ$3,実績!$AC$6:$AC$505,"&lt;="&amp;$A42,実績!$AD$6:$AD$505,"&gt;"&amp;$A42,実績!$AE$6:$AE$505,"○")&gt;0,1,0))</f>
        <v/>
      </c>
      <c r="CA42">
        <f>IF(CA$4=0,0,IF(COUNTIFS(実績!$W$6:$W$505,CA$3,実績!$AC$6:$AC$505,"&lt;="&amp;$A42,実績!$AD$6:$AD$505,"&gt;"&amp;$A42,実績!$AE$6:$AE$505,"○")&gt;0,1,0))</f>
        <v/>
      </c>
      <c r="CB42">
        <f>IF(CB$4=0,0,IF(COUNTIFS(実績!$W$6:$W$505,CB$3,実績!$AC$6:$AC$505,"&lt;="&amp;$A42,実績!$AD$6:$AD$505,"&gt;"&amp;$A42,実績!$AE$6:$AE$505,"○")&gt;0,1,0))</f>
        <v/>
      </c>
      <c r="CC42">
        <f>IF(CC$4=0,0,IF(COUNTIFS(実績!$W$6:$W$505,CC$3,実績!$AC$6:$AC$505,"&lt;="&amp;$A42,実績!$AD$6:$AD$505,"&gt;"&amp;$A42,実績!$AE$6:$AE$505,"○")&gt;0,1,0))</f>
        <v/>
      </c>
      <c r="CD42">
        <f>IF(CD$4=0,0,IF(COUNTIFS(実績!$W$6:$W$505,CD$3,実績!$AC$6:$AC$505,"&lt;="&amp;$A42,実績!$AD$6:$AD$505,"&gt;"&amp;$A42,実績!$AE$6:$AE$505,"○")&gt;0,1,0))</f>
        <v/>
      </c>
      <c r="CE42">
        <f>IF(CE$4=0,0,IF(COUNTIFS(実績!$W$6:$W$505,CE$3,実績!$AC$6:$AC$505,"&lt;="&amp;$A42,実績!$AD$6:$AD$505,"&gt;"&amp;$A42,実績!$AE$6:$AE$505,"○")&gt;0,1,0))</f>
        <v/>
      </c>
      <c r="CF42">
        <f>IF(CF$4=0,0,IF(COUNTIFS(実績!$W$6:$W$505,CF$3,実績!$AC$6:$AC$505,"&lt;="&amp;$A42,実績!$AD$6:$AD$505,"&gt;"&amp;$A42,実績!$AE$6:$AE$505,"○")&gt;0,1,0))</f>
        <v/>
      </c>
      <c r="CG42">
        <f>IF(CG$4=0,0,IF(COUNTIFS(実績!$W$6:$W$505,CG$3,実績!$AC$6:$AC$505,"&lt;="&amp;$A42,実績!$AD$6:$AD$505,"&gt;"&amp;$A42,実績!$AE$6:$AE$505,"○")&gt;0,1,0))</f>
        <v/>
      </c>
      <c r="CH42">
        <f>IF(CH$4=0,0,IF(COUNTIFS(実績!$W$6:$W$505,CH$3,実績!$AC$6:$AC$505,"&lt;="&amp;$A42,実績!$AD$6:$AD$505,"&gt;"&amp;$A42,実績!$AE$6:$AE$505,"○")&gt;0,1,0))</f>
        <v/>
      </c>
      <c r="CI42">
        <f>IF(CI$4=0,0,IF(COUNTIFS(実績!$W$6:$W$505,CI$3,実績!$AC$6:$AC$505,"&lt;="&amp;$A42,実績!$AD$6:$AD$505,"&gt;"&amp;$A42,実績!$AE$6:$AE$505,"○")&gt;0,1,0))</f>
        <v/>
      </c>
      <c r="CJ42">
        <f>IF(CJ$4=0,0,IF(COUNTIFS(実績!$W$6:$W$505,CJ$3,実績!$AC$6:$AC$505,"&lt;="&amp;$A42,実績!$AD$6:$AD$505,"&gt;"&amp;$A42,実績!$AE$6:$AE$505,"○")&gt;0,1,0))</f>
        <v/>
      </c>
      <c r="CK42">
        <f>IF(CK$4=0,0,IF(COUNTIFS(実績!$W$6:$W$505,CK$3,実績!$AC$6:$AC$505,"&lt;="&amp;$A42,実績!$AD$6:$AD$505,"&gt;"&amp;$A42,実績!$AE$6:$AE$505,"○")&gt;0,1,0))</f>
        <v/>
      </c>
      <c r="CL42">
        <f>IF(CL$4=0,0,IF(COUNTIFS(実績!$W$6:$W$505,CL$3,実績!$AC$6:$AC$505,"&lt;="&amp;$A42,実績!$AD$6:$AD$505,"&gt;"&amp;$A42,実績!$AE$6:$AE$505,"○")&gt;0,1,0))</f>
        <v/>
      </c>
      <c r="CM42">
        <f>IF(CM$4=0,0,IF(COUNTIFS(実績!$W$6:$W$505,CM$3,実績!$AC$6:$AC$505,"&lt;="&amp;$A42,実績!$AD$6:$AD$505,"&gt;"&amp;$A42,実績!$AE$6:$AE$505,"○")&gt;0,1,0))</f>
        <v/>
      </c>
      <c r="CN42">
        <f>IF(CN$4=0,0,IF(COUNTIFS(実績!$W$6:$W$505,CN$3,実績!$AC$6:$AC$505,"&lt;="&amp;$A42,実績!$AD$6:$AD$505,"&gt;"&amp;$A42,実績!$AE$6:$AE$505,"○")&gt;0,1,0))</f>
        <v/>
      </c>
      <c r="CO42">
        <f>IF(CO$4=0,0,IF(COUNTIFS(実績!$W$6:$W$505,CO$3,実績!$AC$6:$AC$505,"&lt;="&amp;$A42,実績!$AD$6:$AD$505,"&gt;"&amp;$A42,実績!$AE$6:$AE$505,"○")&gt;0,1,0))</f>
        <v/>
      </c>
      <c r="CP42">
        <f>IF(CP$4=0,0,IF(COUNTIFS(実績!$W$6:$W$505,CP$3,実績!$AC$6:$AC$505,"&lt;="&amp;$A42,実績!$AD$6:$AD$505,"&gt;"&amp;$A42,実績!$AE$6:$AE$505,"○")&gt;0,1,0))</f>
        <v/>
      </c>
      <c r="CQ42">
        <f>IF(CQ$4=0,0,IF(COUNTIFS(実績!$W$6:$W$505,CQ$3,実績!$AC$6:$AC$505,"&lt;="&amp;$A42,実績!$AD$6:$AD$505,"&gt;"&amp;$A42,実績!$AE$6:$AE$505,"○")&gt;0,1,0))</f>
        <v/>
      </c>
      <c r="CR42">
        <f>IF(CR$4=0,0,IF(COUNTIFS(実績!$W$6:$W$505,CR$3,実績!$AC$6:$AC$505,"&lt;="&amp;$A42,実績!$AD$6:$AD$505,"&gt;"&amp;$A42,実績!$AE$6:$AE$505,"○")&gt;0,1,0))</f>
        <v/>
      </c>
      <c r="CS42">
        <f>IF(CS$4=0,0,IF(COUNTIFS(実績!$W$6:$W$505,CS$3,実績!$AC$6:$AC$505,"&lt;="&amp;$A42,実績!$AD$6:$AD$505,"&gt;"&amp;$A42,実績!$AE$6:$AE$505,"○")&gt;0,1,0))</f>
        <v/>
      </c>
      <c r="CT42">
        <f>IF(CT$4=0,0,IF(COUNTIFS(実績!$W$6:$W$505,CT$3,実績!$AC$6:$AC$505,"&lt;="&amp;$A42,実績!$AD$6:$AD$505,"&gt;"&amp;$A42,実績!$AE$6:$AE$505,"○")&gt;0,1,0))</f>
        <v/>
      </c>
      <c r="CU42">
        <f>IF(CU$4=0,0,IF(COUNTIFS(実績!$W$6:$W$505,CU$3,実績!$AC$6:$AC$505,"&lt;="&amp;$A42,実績!$AD$6:$AD$505,"&gt;"&amp;$A42,実績!$AE$6:$AE$505,"○")&gt;0,1,0))</f>
        <v/>
      </c>
      <c r="CV42">
        <f>IF(CV$4=0,0,IF(COUNTIFS(実績!$W$6:$W$505,CV$3,実績!$AC$6:$AC$505,"&lt;="&amp;$A42,実績!$AD$6:$AD$505,"&gt;"&amp;$A42,実績!$AE$6:$AE$505,"○")&gt;0,1,0))</f>
        <v/>
      </c>
      <c r="CW42">
        <f>IF(CW$4=0,0,IF(COUNTIFS(実績!$W$6:$W$505,CW$3,実績!$AC$6:$AC$505,"&lt;="&amp;$A42,実績!$AD$6:$AD$505,"&gt;"&amp;$A42,実績!$AE$6:$AE$505,"○")&gt;0,1,0))</f>
        <v/>
      </c>
      <c r="CX42">
        <f>IF(CX$4=0,0,IF(COUNTIFS(実績!$W$6:$W$505,CX$3,実績!$AC$6:$AC$505,"&lt;="&amp;$A42,実績!$AD$6:$AD$505,"&gt;"&amp;$A42,実績!$AE$6:$AE$505,"○")&gt;0,1,0))</f>
        <v/>
      </c>
      <c r="CY42">
        <f>IF(CY$4=0,0,IF(COUNTIFS(実績!$W$6:$W$505,CY$3,実績!$AC$6:$AC$505,"&lt;="&amp;$A42,実績!$AD$6:$AD$505,"&gt;"&amp;$A42,実績!$AE$6:$AE$505,"○")&gt;0,1,0))</f>
        <v/>
      </c>
      <c r="CZ42">
        <f>IF(CZ$4=0,0,IF(COUNTIFS(実績!$W$6:$W$505,CZ$3,実績!$AC$6:$AC$505,"&lt;="&amp;$A42,実績!$AD$6:$AD$505,"&gt;"&amp;$A42,実績!$AE$6:$AE$505,"○")&gt;0,1,0))</f>
        <v/>
      </c>
      <c r="DA42">
        <f>IF(DA$4=0,0,IF(COUNTIFS(実績!$W$6:$W$505,DA$3,実績!$AC$6:$AC$505,"&lt;="&amp;$A42,実績!$AD$6:$AD$505,"&gt;"&amp;$A42,実績!$AE$6:$AE$505,"○")&gt;0,1,0))</f>
        <v/>
      </c>
      <c r="DB42">
        <f>IF(DB$4=0,0,IF(COUNTIFS(実績!$W$6:$W$505,DB$3,実績!$AC$6:$AC$505,"&lt;="&amp;$A42,実績!$AD$6:$AD$505,"&gt;"&amp;$A42,実績!$AE$6:$AE$505,"○")&gt;0,1,0))</f>
        <v/>
      </c>
      <c r="DC42">
        <f>IF(DC$4=0,0,IF(COUNTIFS(実績!$W$6:$W$505,DC$3,実績!$AC$6:$AC$505,"&lt;="&amp;$A42,実績!$AD$6:$AD$505,"&gt;"&amp;$A42,実績!$AE$6:$AE$505,"○")&gt;0,1,0))</f>
        <v/>
      </c>
      <c r="DD42">
        <f>IF(DD$4=0,0,IF(COUNTIFS(実績!$W$6:$W$505,DD$3,実績!$AC$6:$AC$505,"&lt;="&amp;$A42,実績!$AD$6:$AD$505,"&gt;"&amp;$A42,実績!$AE$6:$AE$505,"○")&gt;0,1,0))</f>
        <v/>
      </c>
      <c r="DE42">
        <f>IF(DE$4=0,0,IF(COUNTIFS(実績!$W$6:$W$505,DE$3,実績!$AC$6:$AC$505,"&lt;="&amp;$A42,実績!$AD$6:$AD$505,"&gt;"&amp;$A42,実績!$AE$6:$AE$505,"○")&gt;0,1,0))</f>
        <v/>
      </c>
      <c r="DF42">
        <f>IF(DF$4=0,0,IF(COUNTIFS(実績!$W$6:$W$505,DF$3,実績!$AC$6:$AC$505,"&lt;="&amp;$A42,実績!$AD$6:$AD$505,"&gt;"&amp;$A42,実績!$AE$6:$AE$505,"○")&gt;0,1,0))</f>
        <v/>
      </c>
      <c r="DG42">
        <f>IF(DG$4=0,0,IF(COUNTIFS(実績!$W$6:$W$505,DG$3,実績!$AC$6:$AC$505,"&lt;="&amp;$A42,実績!$AD$6:$AD$505,"&gt;"&amp;$A42,実績!$AE$6:$AE$505,"○")&gt;0,1,0))</f>
        <v/>
      </c>
      <c r="DH42">
        <f>IF(DH$4=0,0,IF(COUNTIFS(実績!$W$6:$W$505,DH$3,実績!$AC$6:$AC$505,"&lt;="&amp;$A42,実績!$AD$6:$AD$505,"&gt;"&amp;$A42,実績!$AE$6:$AE$505,"○")&gt;0,1,0))</f>
        <v/>
      </c>
      <c r="DI42">
        <f>IF(DI$4=0,0,IF(COUNTIFS(実績!$W$6:$W$505,DI$3,実績!$AC$6:$AC$505,"&lt;="&amp;$A42,実績!$AD$6:$AD$505,"&gt;"&amp;$A42,実績!$AE$6:$AE$505,"○")&gt;0,1,0))</f>
        <v/>
      </c>
      <c r="DJ42">
        <f>IF(DJ$4=0,0,IF(COUNTIFS(実績!$W$6:$W$505,DJ$3,実績!$AC$6:$AC$505,"&lt;="&amp;$A42,実績!$AD$6:$AD$505,"&gt;"&amp;$A42,実績!$AE$6:$AE$505,"○")&gt;0,1,0))</f>
        <v/>
      </c>
      <c r="DK42">
        <f>IF(DK$4=0,0,IF(COUNTIFS(実績!$W$6:$W$505,DK$3,実績!$AC$6:$AC$505,"&lt;="&amp;$A42,実績!$AD$6:$AD$505,"&gt;"&amp;$A42,実績!$AE$6:$AE$505,"○")&gt;0,1,0))</f>
        <v/>
      </c>
      <c r="DL42">
        <f>IF(DL$4=0,0,IF(COUNTIFS(実績!$W$6:$W$505,DL$3,実績!$AC$6:$AC$505,"&lt;="&amp;$A42,実績!$AD$6:$AD$505,"&gt;"&amp;$A42,実績!$AE$6:$AE$505,"○")&gt;0,1,0))</f>
        <v/>
      </c>
      <c r="DM42">
        <f>IF(DM$4=0,0,IF(COUNTIFS(実績!$W$6:$W$505,DM$3,実績!$AC$6:$AC$505,"&lt;="&amp;$A42,実績!$AD$6:$AD$505,"&gt;"&amp;$A42,実績!$AE$6:$AE$505,"○")&gt;0,1,0))</f>
        <v/>
      </c>
      <c r="DN42">
        <f>IF(DN$4=0,0,IF(COUNTIFS(実績!$W$6:$W$505,DN$3,実績!$AC$6:$AC$505,"&lt;="&amp;$A42,実績!$AD$6:$AD$505,"&gt;"&amp;$A42,実績!$AE$6:$AE$505,"○")&gt;0,1,0))</f>
        <v/>
      </c>
      <c r="DO42">
        <f>IF(DO$4=0,0,IF(COUNTIFS(実績!$W$6:$W$505,DO$3,実績!$AC$6:$AC$505,"&lt;="&amp;$A42,実績!$AD$6:$AD$505,"&gt;"&amp;$A42,実績!$AE$6:$AE$505,"○")&gt;0,1,0))</f>
        <v/>
      </c>
      <c r="DP42">
        <f>IF(DP$4=0,0,IF(COUNTIFS(実績!$W$6:$W$505,DP$3,実績!$AC$6:$AC$505,"&lt;="&amp;$A42,実績!$AD$6:$AD$505,"&gt;"&amp;$A42,実績!$AE$6:$AE$505,"○")&gt;0,1,0))</f>
        <v/>
      </c>
      <c r="DQ42">
        <f>IF(DQ$4=0,0,IF(COUNTIFS(実績!$W$6:$W$505,DQ$3,実績!$AC$6:$AC$505,"&lt;="&amp;$A42,実績!$AD$6:$AD$505,"&gt;"&amp;$A42,実績!$AE$6:$AE$505,"○")&gt;0,1,0))</f>
        <v/>
      </c>
      <c r="DR42">
        <f>IF(DR$4=0,0,IF(COUNTIFS(実績!$W$6:$W$505,DR$3,実績!$AC$6:$AC$505,"&lt;="&amp;$A42,実績!$AD$6:$AD$505,"&gt;"&amp;$A42,実績!$AE$6:$AE$505,"○")&gt;0,1,0))</f>
        <v/>
      </c>
      <c r="DS42">
        <f>SUM(C42:DR42)</f>
        <v/>
      </c>
      <c r="DT42">
        <f>SUMPRODUCT((実績!$C$6:$C$505="○")*ISNUMBER(実績!$AF$6:$AF$505)*(実績!$AF$6:$AF$505&lt;=$A42)*(実績!$AG$6:$AG$505&gt;$A42))</f>
        <v/>
      </c>
      <c r="DU42">
        <f>SUMIF($C$2:$DR$2,"製鉄曳船",C42:DR42)</f>
        <v/>
      </c>
      <c r="DV42">
        <f>SUMIF($C$2:$DR$2,"西日本海運",C42:DR42)</f>
        <v/>
      </c>
    </row>
    <row r="43">
      <c r="A43" t="n">
        <v>185</v>
      </c>
      <c r="B43" s="29">
        <f>A43/1440</f>
        <v/>
      </c>
      <c r="C43">
        <f>IF(C$4=0,0,IF(COUNTIFS(実績!$W$6:$W$505,C$3,実績!$AC$6:$AC$505,"&lt;="&amp;$A43,実績!$AD$6:$AD$505,"&gt;"&amp;$A43,実績!$AE$6:$AE$505,"○")&gt;0,1,0))</f>
        <v/>
      </c>
      <c r="D43">
        <f>IF(D$4=0,0,IF(COUNTIFS(実績!$W$6:$W$505,D$3,実績!$AC$6:$AC$505,"&lt;="&amp;$A43,実績!$AD$6:$AD$505,"&gt;"&amp;$A43,実績!$AE$6:$AE$505,"○")&gt;0,1,0))</f>
        <v/>
      </c>
      <c r="E43">
        <f>IF(E$4=0,0,IF(COUNTIFS(実績!$W$6:$W$505,E$3,実績!$AC$6:$AC$505,"&lt;="&amp;$A43,実績!$AD$6:$AD$505,"&gt;"&amp;$A43,実績!$AE$6:$AE$505,"○")&gt;0,1,0))</f>
        <v/>
      </c>
      <c r="F43">
        <f>IF(F$4=0,0,IF(COUNTIFS(実績!$W$6:$W$505,F$3,実績!$AC$6:$AC$505,"&lt;="&amp;$A43,実績!$AD$6:$AD$505,"&gt;"&amp;$A43,実績!$AE$6:$AE$505,"○")&gt;0,1,0))</f>
        <v/>
      </c>
      <c r="G43">
        <f>IF(G$4=0,0,IF(COUNTIFS(実績!$W$6:$W$505,G$3,実績!$AC$6:$AC$505,"&lt;="&amp;$A43,実績!$AD$6:$AD$505,"&gt;"&amp;$A43,実績!$AE$6:$AE$505,"○")&gt;0,1,0))</f>
        <v/>
      </c>
      <c r="H43">
        <f>IF(H$4=0,0,IF(COUNTIFS(実績!$W$6:$W$505,H$3,実績!$AC$6:$AC$505,"&lt;="&amp;$A43,実績!$AD$6:$AD$505,"&gt;"&amp;$A43,実績!$AE$6:$AE$505,"○")&gt;0,1,0))</f>
        <v/>
      </c>
      <c r="I43">
        <f>IF(I$4=0,0,IF(COUNTIFS(実績!$W$6:$W$505,I$3,実績!$AC$6:$AC$505,"&lt;="&amp;$A43,実績!$AD$6:$AD$505,"&gt;"&amp;$A43,実績!$AE$6:$AE$505,"○")&gt;0,1,0))</f>
        <v/>
      </c>
      <c r="J43">
        <f>IF(J$4=0,0,IF(COUNTIFS(実績!$W$6:$W$505,J$3,実績!$AC$6:$AC$505,"&lt;="&amp;$A43,実績!$AD$6:$AD$505,"&gt;"&amp;$A43,実績!$AE$6:$AE$505,"○")&gt;0,1,0))</f>
        <v/>
      </c>
      <c r="K43">
        <f>IF(K$4=0,0,IF(COUNTIFS(実績!$W$6:$W$505,K$3,実績!$AC$6:$AC$505,"&lt;="&amp;$A43,実績!$AD$6:$AD$505,"&gt;"&amp;$A43,実績!$AE$6:$AE$505,"○")&gt;0,1,0))</f>
        <v/>
      </c>
      <c r="L43">
        <f>IF(L$4=0,0,IF(COUNTIFS(実績!$W$6:$W$505,L$3,実績!$AC$6:$AC$505,"&lt;="&amp;$A43,実績!$AD$6:$AD$505,"&gt;"&amp;$A43,実績!$AE$6:$AE$505,"○")&gt;0,1,0))</f>
        <v/>
      </c>
      <c r="M43">
        <f>IF(M$4=0,0,IF(COUNTIFS(実績!$W$6:$W$505,M$3,実績!$AC$6:$AC$505,"&lt;="&amp;$A43,実績!$AD$6:$AD$505,"&gt;"&amp;$A43,実績!$AE$6:$AE$505,"○")&gt;0,1,0))</f>
        <v/>
      </c>
      <c r="N43">
        <f>IF(N$4=0,0,IF(COUNTIFS(実績!$W$6:$W$505,N$3,実績!$AC$6:$AC$505,"&lt;="&amp;$A43,実績!$AD$6:$AD$505,"&gt;"&amp;$A43,実績!$AE$6:$AE$505,"○")&gt;0,1,0))</f>
        <v/>
      </c>
      <c r="O43">
        <f>IF(O$4=0,0,IF(COUNTIFS(実績!$W$6:$W$505,O$3,実績!$AC$6:$AC$505,"&lt;="&amp;$A43,実績!$AD$6:$AD$505,"&gt;"&amp;$A43,実績!$AE$6:$AE$505,"○")&gt;0,1,0))</f>
        <v/>
      </c>
      <c r="P43">
        <f>IF(P$4=0,0,IF(COUNTIFS(実績!$W$6:$W$505,P$3,実績!$AC$6:$AC$505,"&lt;="&amp;$A43,実績!$AD$6:$AD$505,"&gt;"&amp;$A43,実績!$AE$6:$AE$505,"○")&gt;0,1,0))</f>
        <v/>
      </c>
      <c r="Q43">
        <f>IF(Q$4=0,0,IF(COUNTIFS(実績!$W$6:$W$505,Q$3,実績!$AC$6:$AC$505,"&lt;="&amp;$A43,実績!$AD$6:$AD$505,"&gt;"&amp;$A43,実績!$AE$6:$AE$505,"○")&gt;0,1,0))</f>
        <v/>
      </c>
      <c r="R43">
        <f>IF(R$4=0,0,IF(COUNTIFS(実績!$W$6:$W$505,R$3,実績!$AC$6:$AC$505,"&lt;="&amp;$A43,実績!$AD$6:$AD$505,"&gt;"&amp;$A43,実績!$AE$6:$AE$505,"○")&gt;0,1,0))</f>
        <v/>
      </c>
      <c r="S43">
        <f>IF(S$4=0,0,IF(COUNTIFS(実績!$W$6:$W$505,S$3,実績!$AC$6:$AC$505,"&lt;="&amp;$A43,実績!$AD$6:$AD$505,"&gt;"&amp;$A43,実績!$AE$6:$AE$505,"○")&gt;0,1,0))</f>
        <v/>
      </c>
      <c r="T43">
        <f>IF(T$4=0,0,IF(COUNTIFS(実績!$W$6:$W$505,T$3,実績!$AC$6:$AC$505,"&lt;="&amp;$A43,実績!$AD$6:$AD$505,"&gt;"&amp;$A43,実績!$AE$6:$AE$505,"○")&gt;0,1,0))</f>
        <v/>
      </c>
      <c r="U43">
        <f>IF(U$4=0,0,IF(COUNTIFS(実績!$W$6:$W$505,U$3,実績!$AC$6:$AC$505,"&lt;="&amp;$A43,実績!$AD$6:$AD$505,"&gt;"&amp;$A43,実績!$AE$6:$AE$505,"○")&gt;0,1,0))</f>
        <v/>
      </c>
      <c r="V43">
        <f>IF(V$4=0,0,IF(COUNTIFS(実績!$W$6:$W$505,V$3,実績!$AC$6:$AC$505,"&lt;="&amp;$A43,実績!$AD$6:$AD$505,"&gt;"&amp;$A43,実績!$AE$6:$AE$505,"○")&gt;0,1,0))</f>
        <v/>
      </c>
      <c r="W43">
        <f>IF(W$4=0,0,IF(COUNTIFS(実績!$W$6:$W$505,W$3,実績!$AC$6:$AC$505,"&lt;="&amp;$A43,実績!$AD$6:$AD$505,"&gt;"&amp;$A43,実績!$AE$6:$AE$505,"○")&gt;0,1,0))</f>
        <v/>
      </c>
      <c r="X43">
        <f>IF(X$4=0,0,IF(COUNTIFS(実績!$W$6:$W$505,X$3,実績!$AC$6:$AC$505,"&lt;="&amp;$A43,実績!$AD$6:$AD$505,"&gt;"&amp;$A43,実績!$AE$6:$AE$505,"○")&gt;0,1,0))</f>
        <v/>
      </c>
      <c r="Y43">
        <f>IF(Y$4=0,0,IF(COUNTIFS(実績!$W$6:$W$505,Y$3,実績!$AC$6:$AC$505,"&lt;="&amp;$A43,実績!$AD$6:$AD$505,"&gt;"&amp;$A43,実績!$AE$6:$AE$505,"○")&gt;0,1,0))</f>
        <v/>
      </c>
      <c r="Z43">
        <f>IF(Z$4=0,0,IF(COUNTIFS(実績!$W$6:$W$505,Z$3,実績!$AC$6:$AC$505,"&lt;="&amp;$A43,実績!$AD$6:$AD$505,"&gt;"&amp;$A43,実績!$AE$6:$AE$505,"○")&gt;0,1,0))</f>
        <v/>
      </c>
      <c r="AA43">
        <f>IF(AA$4=0,0,IF(COUNTIFS(実績!$W$6:$W$505,AA$3,実績!$AC$6:$AC$505,"&lt;="&amp;$A43,実績!$AD$6:$AD$505,"&gt;"&amp;$A43,実績!$AE$6:$AE$505,"○")&gt;0,1,0))</f>
        <v/>
      </c>
      <c r="AB43">
        <f>IF(AB$4=0,0,IF(COUNTIFS(実績!$W$6:$W$505,AB$3,実績!$AC$6:$AC$505,"&lt;="&amp;$A43,実績!$AD$6:$AD$505,"&gt;"&amp;$A43,実績!$AE$6:$AE$505,"○")&gt;0,1,0))</f>
        <v/>
      </c>
      <c r="AC43">
        <f>IF(AC$4=0,0,IF(COUNTIFS(実績!$W$6:$W$505,AC$3,実績!$AC$6:$AC$505,"&lt;="&amp;$A43,実績!$AD$6:$AD$505,"&gt;"&amp;$A43,実績!$AE$6:$AE$505,"○")&gt;0,1,0))</f>
        <v/>
      </c>
      <c r="AD43">
        <f>IF(AD$4=0,0,IF(COUNTIFS(実績!$W$6:$W$505,AD$3,実績!$AC$6:$AC$505,"&lt;="&amp;$A43,実績!$AD$6:$AD$505,"&gt;"&amp;$A43,実績!$AE$6:$AE$505,"○")&gt;0,1,0))</f>
        <v/>
      </c>
      <c r="AE43">
        <f>IF(AE$4=0,0,IF(COUNTIFS(実績!$W$6:$W$505,AE$3,実績!$AC$6:$AC$505,"&lt;="&amp;$A43,実績!$AD$6:$AD$505,"&gt;"&amp;$A43,実績!$AE$6:$AE$505,"○")&gt;0,1,0))</f>
        <v/>
      </c>
      <c r="AF43">
        <f>IF(AF$4=0,0,IF(COUNTIFS(実績!$W$6:$W$505,AF$3,実績!$AC$6:$AC$505,"&lt;="&amp;$A43,実績!$AD$6:$AD$505,"&gt;"&amp;$A43,実績!$AE$6:$AE$505,"○")&gt;0,1,0))</f>
        <v/>
      </c>
      <c r="AG43">
        <f>IF(AG$4=0,0,IF(COUNTIFS(実績!$W$6:$W$505,AG$3,実績!$AC$6:$AC$505,"&lt;="&amp;$A43,実績!$AD$6:$AD$505,"&gt;"&amp;$A43,実績!$AE$6:$AE$505,"○")&gt;0,1,0))</f>
        <v/>
      </c>
      <c r="AH43">
        <f>IF(AH$4=0,0,IF(COUNTIFS(実績!$W$6:$W$505,AH$3,実績!$AC$6:$AC$505,"&lt;="&amp;$A43,実績!$AD$6:$AD$505,"&gt;"&amp;$A43,実績!$AE$6:$AE$505,"○")&gt;0,1,0))</f>
        <v/>
      </c>
      <c r="AI43">
        <f>IF(AI$4=0,0,IF(COUNTIFS(実績!$W$6:$W$505,AI$3,実績!$AC$6:$AC$505,"&lt;="&amp;$A43,実績!$AD$6:$AD$505,"&gt;"&amp;$A43,実績!$AE$6:$AE$505,"○")&gt;0,1,0))</f>
        <v/>
      </c>
      <c r="AJ43">
        <f>IF(AJ$4=0,0,IF(COUNTIFS(実績!$W$6:$W$505,AJ$3,実績!$AC$6:$AC$505,"&lt;="&amp;$A43,実績!$AD$6:$AD$505,"&gt;"&amp;$A43,実績!$AE$6:$AE$505,"○")&gt;0,1,0))</f>
        <v/>
      </c>
      <c r="AK43">
        <f>IF(AK$4=0,0,IF(COUNTIFS(実績!$W$6:$W$505,AK$3,実績!$AC$6:$AC$505,"&lt;="&amp;$A43,実績!$AD$6:$AD$505,"&gt;"&amp;$A43,実績!$AE$6:$AE$505,"○")&gt;0,1,0))</f>
        <v/>
      </c>
      <c r="AL43">
        <f>IF(AL$4=0,0,IF(COUNTIFS(実績!$W$6:$W$505,AL$3,実績!$AC$6:$AC$505,"&lt;="&amp;$A43,実績!$AD$6:$AD$505,"&gt;"&amp;$A43,実績!$AE$6:$AE$505,"○")&gt;0,1,0))</f>
        <v/>
      </c>
      <c r="AM43">
        <f>IF(AM$4=0,0,IF(COUNTIFS(実績!$W$6:$W$505,AM$3,実績!$AC$6:$AC$505,"&lt;="&amp;$A43,実績!$AD$6:$AD$505,"&gt;"&amp;$A43,実績!$AE$6:$AE$505,"○")&gt;0,1,0))</f>
        <v/>
      </c>
      <c r="AN43">
        <f>IF(AN$4=0,0,IF(COUNTIFS(実績!$W$6:$W$505,AN$3,実績!$AC$6:$AC$505,"&lt;="&amp;$A43,実績!$AD$6:$AD$505,"&gt;"&amp;$A43,実績!$AE$6:$AE$505,"○")&gt;0,1,0))</f>
        <v/>
      </c>
      <c r="AO43">
        <f>IF(AO$4=0,0,IF(COUNTIFS(実績!$W$6:$W$505,AO$3,実績!$AC$6:$AC$505,"&lt;="&amp;$A43,実績!$AD$6:$AD$505,"&gt;"&amp;$A43,実績!$AE$6:$AE$505,"○")&gt;0,1,0))</f>
        <v/>
      </c>
      <c r="AP43">
        <f>IF(AP$4=0,0,IF(COUNTIFS(実績!$W$6:$W$505,AP$3,実績!$AC$6:$AC$505,"&lt;="&amp;$A43,実績!$AD$6:$AD$505,"&gt;"&amp;$A43,実績!$AE$6:$AE$505,"○")&gt;0,1,0))</f>
        <v/>
      </c>
      <c r="AQ43">
        <f>IF(AQ$4=0,0,IF(COUNTIFS(実績!$W$6:$W$505,AQ$3,実績!$AC$6:$AC$505,"&lt;="&amp;$A43,実績!$AD$6:$AD$505,"&gt;"&amp;$A43,実績!$AE$6:$AE$505,"○")&gt;0,1,0))</f>
        <v/>
      </c>
      <c r="AR43">
        <f>IF(AR$4=0,0,IF(COUNTIFS(実績!$W$6:$W$505,AR$3,実績!$AC$6:$AC$505,"&lt;="&amp;$A43,実績!$AD$6:$AD$505,"&gt;"&amp;$A43,実績!$AE$6:$AE$505,"○")&gt;0,1,0))</f>
        <v/>
      </c>
      <c r="AS43">
        <f>IF(AS$4=0,0,IF(COUNTIFS(実績!$W$6:$W$505,AS$3,実績!$AC$6:$AC$505,"&lt;="&amp;$A43,実績!$AD$6:$AD$505,"&gt;"&amp;$A43,実績!$AE$6:$AE$505,"○")&gt;0,1,0))</f>
        <v/>
      </c>
      <c r="AT43">
        <f>IF(AT$4=0,0,IF(COUNTIFS(実績!$W$6:$W$505,AT$3,実績!$AC$6:$AC$505,"&lt;="&amp;$A43,実績!$AD$6:$AD$505,"&gt;"&amp;$A43,実績!$AE$6:$AE$505,"○")&gt;0,1,0))</f>
        <v/>
      </c>
      <c r="AU43">
        <f>IF(AU$4=0,0,IF(COUNTIFS(実績!$W$6:$W$505,AU$3,実績!$AC$6:$AC$505,"&lt;="&amp;$A43,実績!$AD$6:$AD$505,"&gt;"&amp;$A43,実績!$AE$6:$AE$505,"○")&gt;0,1,0))</f>
        <v/>
      </c>
      <c r="AV43">
        <f>IF(AV$4=0,0,IF(COUNTIFS(実績!$W$6:$W$505,AV$3,実績!$AC$6:$AC$505,"&lt;="&amp;$A43,実績!$AD$6:$AD$505,"&gt;"&amp;$A43,実績!$AE$6:$AE$505,"○")&gt;0,1,0))</f>
        <v/>
      </c>
      <c r="AW43">
        <f>IF(AW$4=0,0,IF(COUNTIFS(実績!$W$6:$W$505,AW$3,実績!$AC$6:$AC$505,"&lt;="&amp;$A43,実績!$AD$6:$AD$505,"&gt;"&amp;$A43,実績!$AE$6:$AE$505,"○")&gt;0,1,0))</f>
        <v/>
      </c>
      <c r="AX43">
        <f>IF(AX$4=0,0,IF(COUNTIFS(実績!$W$6:$W$505,AX$3,実績!$AC$6:$AC$505,"&lt;="&amp;$A43,実績!$AD$6:$AD$505,"&gt;"&amp;$A43,実績!$AE$6:$AE$505,"○")&gt;0,1,0))</f>
        <v/>
      </c>
      <c r="AY43">
        <f>IF(AY$4=0,0,IF(COUNTIFS(実績!$W$6:$W$505,AY$3,実績!$AC$6:$AC$505,"&lt;="&amp;$A43,実績!$AD$6:$AD$505,"&gt;"&amp;$A43,実績!$AE$6:$AE$505,"○")&gt;0,1,0))</f>
        <v/>
      </c>
      <c r="AZ43">
        <f>IF(AZ$4=0,0,IF(COUNTIFS(実績!$W$6:$W$505,AZ$3,実績!$AC$6:$AC$505,"&lt;="&amp;$A43,実績!$AD$6:$AD$505,"&gt;"&amp;$A43,実績!$AE$6:$AE$505,"○")&gt;0,1,0))</f>
        <v/>
      </c>
      <c r="BA43">
        <f>IF(BA$4=0,0,IF(COUNTIFS(実績!$W$6:$W$505,BA$3,実績!$AC$6:$AC$505,"&lt;="&amp;$A43,実績!$AD$6:$AD$505,"&gt;"&amp;$A43,実績!$AE$6:$AE$505,"○")&gt;0,1,0))</f>
        <v/>
      </c>
      <c r="BB43">
        <f>IF(BB$4=0,0,IF(COUNTIFS(実績!$W$6:$W$505,BB$3,実績!$AC$6:$AC$505,"&lt;="&amp;$A43,実績!$AD$6:$AD$505,"&gt;"&amp;$A43,実績!$AE$6:$AE$505,"○")&gt;0,1,0))</f>
        <v/>
      </c>
      <c r="BC43">
        <f>IF(BC$4=0,0,IF(COUNTIFS(実績!$W$6:$W$505,BC$3,実績!$AC$6:$AC$505,"&lt;="&amp;$A43,実績!$AD$6:$AD$505,"&gt;"&amp;$A43,実績!$AE$6:$AE$505,"○")&gt;0,1,0))</f>
        <v/>
      </c>
      <c r="BD43">
        <f>IF(BD$4=0,0,IF(COUNTIFS(実績!$W$6:$W$505,BD$3,実績!$AC$6:$AC$505,"&lt;="&amp;$A43,実績!$AD$6:$AD$505,"&gt;"&amp;$A43,実績!$AE$6:$AE$505,"○")&gt;0,1,0))</f>
        <v/>
      </c>
      <c r="BE43">
        <f>IF(BE$4=0,0,IF(COUNTIFS(実績!$W$6:$W$505,BE$3,実績!$AC$6:$AC$505,"&lt;="&amp;$A43,実績!$AD$6:$AD$505,"&gt;"&amp;$A43,実績!$AE$6:$AE$505,"○")&gt;0,1,0))</f>
        <v/>
      </c>
      <c r="BF43">
        <f>IF(BF$4=0,0,IF(COUNTIFS(実績!$W$6:$W$505,BF$3,実績!$AC$6:$AC$505,"&lt;="&amp;$A43,実績!$AD$6:$AD$505,"&gt;"&amp;$A43,実績!$AE$6:$AE$505,"○")&gt;0,1,0))</f>
        <v/>
      </c>
      <c r="BG43">
        <f>IF(BG$4=0,0,IF(COUNTIFS(実績!$W$6:$W$505,BG$3,実績!$AC$6:$AC$505,"&lt;="&amp;$A43,実績!$AD$6:$AD$505,"&gt;"&amp;$A43,実績!$AE$6:$AE$505,"○")&gt;0,1,0))</f>
        <v/>
      </c>
      <c r="BH43">
        <f>IF(BH$4=0,0,IF(COUNTIFS(実績!$W$6:$W$505,BH$3,実績!$AC$6:$AC$505,"&lt;="&amp;$A43,実績!$AD$6:$AD$505,"&gt;"&amp;$A43,実績!$AE$6:$AE$505,"○")&gt;0,1,0))</f>
        <v/>
      </c>
      <c r="BI43">
        <f>IF(BI$4=0,0,IF(COUNTIFS(実績!$W$6:$W$505,BI$3,実績!$AC$6:$AC$505,"&lt;="&amp;$A43,実績!$AD$6:$AD$505,"&gt;"&amp;$A43,実績!$AE$6:$AE$505,"○")&gt;0,1,0))</f>
        <v/>
      </c>
      <c r="BJ43">
        <f>IF(BJ$4=0,0,IF(COUNTIFS(実績!$W$6:$W$505,BJ$3,実績!$AC$6:$AC$505,"&lt;="&amp;$A43,実績!$AD$6:$AD$505,"&gt;"&amp;$A43,実績!$AE$6:$AE$505,"○")&gt;0,1,0))</f>
        <v/>
      </c>
      <c r="BK43">
        <f>IF(BK$4=0,0,IF(COUNTIFS(実績!$W$6:$W$505,BK$3,実績!$AC$6:$AC$505,"&lt;="&amp;$A43,実績!$AD$6:$AD$505,"&gt;"&amp;$A43,実績!$AE$6:$AE$505,"○")&gt;0,1,0))</f>
        <v/>
      </c>
      <c r="BL43">
        <f>IF(BL$4=0,0,IF(COUNTIFS(実績!$W$6:$W$505,BL$3,実績!$AC$6:$AC$505,"&lt;="&amp;$A43,実績!$AD$6:$AD$505,"&gt;"&amp;$A43,実績!$AE$6:$AE$505,"○")&gt;0,1,0))</f>
        <v/>
      </c>
      <c r="BM43">
        <f>IF(BM$4=0,0,IF(COUNTIFS(実績!$W$6:$W$505,BM$3,実績!$AC$6:$AC$505,"&lt;="&amp;$A43,実績!$AD$6:$AD$505,"&gt;"&amp;$A43,実績!$AE$6:$AE$505,"○")&gt;0,1,0))</f>
        <v/>
      </c>
      <c r="BN43">
        <f>IF(BN$4=0,0,IF(COUNTIFS(実績!$W$6:$W$505,BN$3,実績!$AC$6:$AC$505,"&lt;="&amp;$A43,実績!$AD$6:$AD$505,"&gt;"&amp;$A43,実績!$AE$6:$AE$505,"○")&gt;0,1,0))</f>
        <v/>
      </c>
      <c r="BO43">
        <f>IF(BO$4=0,0,IF(COUNTIFS(実績!$W$6:$W$505,BO$3,実績!$AC$6:$AC$505,"&lt;="&amp;$A43,実績!$AD$6:$AD$505,"&gt;"&amp;$A43,実績!$AE$6:$AE$505,"○")&gt;0,1,0))</f>
        <v/>
      </c>
      <c r="BP43">
        <f>IF(BP$4=0,0,IF(COUNTIFS(実績!$W$6:$W$505,BP$3,実績!$AC$6:$AC$505,"&lt;="&amp;$A43,実績!$AD$6:$AD$505,"&gt;"&amp;$A43,実績!$AE$6:$AE$505,"○")&gt;0,1,0))</f>
        <v/>
      </c>
      <c r="BQ43">
        <f>IF(BQ$4=0,0,IF(COUNTIFS(実績!$W$6:$W$505,BQ$3,実績!$AC$6:$AC$505,"&lt;="&amp;$A43,実績!$AD$6:$AD$505,"&gt;"&amp;$A43,実績!$AE$6:$AE$505,"○")&gt;0,1,0))</f>
        <v/>
      </c>
      <c r="BR43">
        <f>IF(BR$4=0,0,IF(COUNTIFS(実績!$W$6:$W$505,BR$3,実績!$AC$6:$AC$505,"&lt;="&amp;$A43,実績!$AD$6:$AD$505,"&gt;"&amp;$A43,実績!$AE$6:$AE$505,"○")&gt;0,1,0))</f>
        <v/>
      </c>
      <c r="BS43">
        <f>IF(BS$4=0,0,IF(COUNTIFS(実績!$W$6:$W$505,BS$3,実績!$AC$6:$AC$505,"&lt;="&amp;$A43,実績!$AD$6:$AD$505,"&gt;"&amp;$A43,実績!$AE$6:$AE$505,"○")&gt;0,1,0))</f>
        <v/>
      </c>
      <c r="BT43">
        <f>IF(BT$4=0,0,IF(COUNTIFS(実績!$W$6:$W$505,BT$3,実績!$AC$6:$AC$505,"&lt;="&amp;$A43,実績!$AD$6:$AD$505,"&gt;"&amp;$A43,実績!$AE$6:$AE$505,"○")&gt;0,1,0))</f>
        <v/>
      </c>
      <c r="BU43">
        <f>IF(BU$4=0,0,IF(COUNTIFS(実績!$W$6:$W$505,BU$3,実績!$AC$6:$AC$505,"&lt;="&amp;$A43,実績!$AD$6:$AD$505,"&gt;"&amp;$A43,実績!$AE$6:$AE$505,"○")&gt;0,1,0))</f>
        <v/>
      </c>
      <c r="BV43">
        <f>IF(BV$4=0,0,IF(COUNTIFS(実績!$W$6:$W$505,BV$3,実績!$AC$6:$AC$505,"&lt;="&amp;$A43,実績!$AD$6:$AD$505,"&gt;"&amp;$A43,実績!$AE$6:$AE$505,"○")&gt;0,1,0))</f>
        <v/>
      </c>
      <c r="BW43">
        <f>IF(BW$4=0,0,IF(COUNTIFS(実績!$W$6:$W$505,BW$3,実績!$AC$6:$AC$505,"&lt;="&amp;$A43,実績!$AD$6:$AD$505,"&gt;"&amp;$A43,実績!$AE$6:$AE$505,"○")&gt;0,1,0))</f>
        <v/>
      </c>
      <c r="BX43">
        <f>IF(BX$4=0,0,IF(COUNTIFS(実績!$W$6:$W$505,BX$3,実績!$AC$6:$AC$505,"&lt;="&amp;$A43,実績!$AD$6:$AD$505,"&gt;"&amp;$A43,実績!$AE$6:$AE$505,"○")&gt;0,1,0))</f>
        <v/>
      </c>
      <c r="BY43">
        <f>IF(BY$4=0,0,IF(COUNTIFS(実績!$W$6:$W$505,BY$3,実績!$AC$6:$AC$505,"&lt;="&amp;$A43,実績!$AD$6:$AD$505,"&gt;"&amp;$A43,実績!$AE$6:$AE$505,"○")&gt;0,1,0))</f>
        <v/>
      </c>
      <c r="BZ43">
        <f>IF(BZ$4=0,0,IF(COUNTIFS(実績!$W$6:$W$505,BZ$3,実績!$AC$6:$AC$505,"&lt;="&amp;$A43,実績!$AD$6:$AD$505,"&gt;"&amp;$A43,実績!$AE$6:$AE$505,"○")&gt;0,1,0))</f>
        <v/>
      </c>
      <c r="CA43">
        <f>IF(CA$4=0,0,IF(COUNTIFS(実績!$W$6:$W$505,CA$3,実績!$AC$6:$AC$505,"&lt;="&amp;$A43,実績!$AD$6:$AD$505,"&gt;"&amp;$A43,実績!$AE$6:$AE$505,"○")&gt;0,1,0))</f>
        <v/>
      </c>
      <c r="CB43">
        <f>IF(CB$4=0,0,IF(COUNTIFS(実績!$W$6:$W$505,CB$3,実績!$AC$6:$AC$505,"&lt;="&amp;$A43,実績!$AD$6:$AD$505,"&gt;"&amp;$A43,実績!$AE$6:$AE$505,"○")&gt;0,1,0))</f>
        <v/>
      </c>
      <c r="CC43">
        <f>IF(CC$4=0,0,IF(COUNTIFS(実績!$W$6:$W$505,CC$3,実績!$AC$6:$AC$505,"&lt;="&amp;$A43,実績!$AD$6:$AD$505,"&gt;"&amp;$A43,実績!$AE$6:$AE$505,"○")&gt;0,1,0))</f>
        <v/>
      </c>
      <c r="CD43">
        <f>IF(CD$4=0,0,IF(COUNTIFS(実績!$W$6:$W$505,CD$3,実績!$AC$6:$AC$505,"&lt;="&amp;$A43,実績!$AD$6:$AD$505,"&gt;"&amp;$A43,実績!$AE$6:$AE$505,"○")&gt;0,1,0))</f>
        <v/>
      </c>
      <c r="CE43">
        <f>IF(CE$4=0,0,IF(COUNTIFS(実績!$W$6:$W$505,CE$3,実績!$AC$6:$AC$505,"&lt;="&amp;$A43,実績!$AD$6:$AD$505,"&gt;"&amp;$A43,実績!$AE$6:$AE$505,"○")&gt;0,1,0))</f>
        <v/>
      </c>
      <c r="CF43">
        <f>IF(CF$4=0,0,IF(COUNTIFS(実績!$W$6:$W$505,CF$3,実績!$AC$6:$AC$505,"&lt;="&amp;$A43,実績!$AD$6:$AD$505,"&gt;"&amp;$A43,実績!$AE$6:$AE$505,"○")&gt;0,1,0))</f>
        <v/>
      </c>
      <c r="CG43">
        <f>IF(CG$4=0,0,IF(COUNTIFS(実績!$W$6:$W$505,CG$3,実績!$AC$6:$AC$505,"&lt;="&amp;$A43,実績!$AD$6:$AD$505,"&gt;"&amp;$A43,実績!$AE$6:$AE$505,"○")&gt;0,1,0))</f>
        <v/>
      </c>
      <c r="CH43">
        <f>IF(CH$4=0,0,IF(COUNTIFS(実績!$W$6:$W$505,CH$3,実績!$AC$6:$AC$505,"&lt;="&amp;$A43,実績!$AD$6:$AD$505,"&gt;"&amp;$A43,実績!$AE$6:$AE$505,"○")&gt;0,1,0))</f>
        <v/>
      </c>
      <c r="CI43">
        <f>IF(CI$4=0,0,IF(COUNTIFS(実績!$W$6:$W$505,CI$3,実績!$AC$6:$AC$505,"&lt;="&amp;$A43,実績!$AD$6:$AD$505,"&gt;"&amp;$A43,実績!$AE$6:$AE$505,"○")&gt;0,1,0))</f>
        <v/>
      </c>
      <c r="CJ43">
        <f>IF(CJ$4=0,0,IF(COUNTIFS(実績!$W$6:$W$505,CJ$3,実績!$AC$6:$AC$505,"&lt;="&amp;$A43,実績!$AD$6:$AD$505,"&gt;"&amp;$A43,実績!$AE$6:$AE$505,"○")&gt;0,1,0))</f>
        <v/>
      </c>
      <c r="CK43">
        <f>IF(CK$4=0,0,IF(COUNTIFS(実績!$W$6:$W$505,CK$3,実績!$AC$6:$AC$505,"&lt;="&amp;$A43,実績!$AD$6:$AD$505,"&gt;"&amp;$A43,実績!$AE$6:$AE$505,"○")&gt;0,1,0))</f>
        <v/>
      </c>
      <c r="CL43">
        <f>IF(CL$4=0,0,IF(COUNTIFS(実績!$W$6:$W$505,CL$3,実績!$AC$6:$AC$505,"&lt;="&amp;$A43,実績!$AD$6:$AD$505,"&gt;"&amp;$A43,実績!$AE$6:$AE$505,"○")&gt;0,1,0))</f>
        <v/>
      </c>
      <c r="CM43">
        <f>IF(CM$4=0,0,IF(COUNTIFS(実績!$W$6:$W$505,CM$3,実績!$AC$6:$AC$505,"&lt;="&amp;$A43,実績!$AD$6:$AD$505,"&gt;"&amp;$A43,実績!$AE$6:$AE$505,"○")&gt;0,1,0))</f>
        <v/>
      </c>
      <c r="CN43">
        <f>IF(CN$4=0,0,IF(COUNTIFS(実績!$W$6:$W$505,CN$3,実績!$AC$6:$AC$505,"&lt;="&amp;$A43,実績!$AD$6:$AD$505,"&gt;"&amp;$A43,実績!$AE$6:$AE$505,"○")&gt;0,1,0))</f>
        <v/>
      </c>
      <c r="CO43">
        <f>IF(CO$4=0,0,IF(COUNTIFS(実績!$W$6:$W$505,CO$3,実績!$AC$6:$AC$505,"&lt;="&amp;$A43,実績!$AD$6:$AD$505,"&gt;"&amp;$A43,実績!$AE$6:$AE$505,"○")&gt;0,1,0))</f>
        <v/>
      </c>
      <c r="CP43">
        <f>IF(CP$4=0,0,IF(COUNTIFS(実績!$W$6:$W$505,CP$3,実績!$AC$6:$AC$505,"&lt;="&amp;$A43,実績!$AD$6:$AD$505,"&gt;"&amp;$A43,実績!$AE$6:$AE$505,"○")&gt;0,1,0))</f>
        <v/>
      </c>
      <c r="CQ43">
        <f>IF(CQ$4=0,0,IF(COUNTIFS(実績!$W$6:$W$505,CQ$3,実績!$AC$6:$AC$505,"&lt;="&amp;$A43,実績!$AD$6:$AD$505,"&gt;"&amp;$A43,実績!$AE$6:$AE$505,"○")&gt;0,1,0))</f>
        <v/>
      </c>
      <c r="CR43">
        <f>IF(CR$4=0,0,IF(COUNTIFS(実績!$W$6:$W$505,CR$3,実績!$AC$6:$AC$505,"&lt;="&amp;$A43,実績!$AD$6:$AD$505,"&gt;"&amp;$A43,実績!$AE$6:$AE$505,"○")&gt;0,1,0))</f>
        <v/>
      </c>
      <c r="CS43">
        <f>IF(CS$4=0,0,IF(COUNTIFS(実績!$W$6:$W$505,CS$3,実績!$AC$6:$AC$505,"&lt;="&amp;$A43,実績!$AD$6:$AD$505,"&gt;"&amp;$A43,実績!$AE$6:$AE$505,"○")&gt;0,1,0))</f>
        <v/>
      </c>
      <c r="CT43">
        <f>IF(CT$4=0,0,IF(COUNTIFS(実績!$W$6:$W$505,CT$3,実績!$AC$6:$AC$505,"&lt;="&amp;$A43,実績!$AD$6:$AD$505,"&gt;"&amp;$A43,実績!$AE$6:$AE$505,"○")&gt;0,1,0))</f>
        <v/>
      </c>
      <c r="CU43">
        <f>IF(CU$4=0,0,IF(COUNTIFS(実績!$W$6:$W$505,CU$3,実績!$AC$6:$AC$505,"&lt;="&amp;$A43,実績!$AD$6:$AD$505,"&gt;"&amp;$A43,実績!$AE$6:$AE$505,"○")&gt;0,1,0))</f>
        <v/>
      </c>
      <c r="CV43">
        <f>IF(CV$4=0,0,IF(COUNTIFS(実績!$W$6:$W$505,CV$3,実績!$AC$6:$AC$505,"&lt;="&amp;$A43,実績!$AD$6:$AD$505,"&gt;"&amp;$A43,実績!$AE$6:$AE$505,"○")&gt;0,1,0))</f>
        <v/>
      </c>
      <c r="CW43">
        <f>IF(CW$4=0,0,IF(COUNTIFS(実績!$W$6:$W$505,CW$3,実績!$AC$6:$AC$505,"&lt;="&amp;$A43,実績!$AD$6:$AD$505,"&gt;"&amp;$A43,実績!$AE$6:$AE$505,"○")&gt;0,1,0))</f>
        <v/>
      </c>
      <c r="CX43">
        <f>IF(CX$4=0,0,IF(COUNTIFS(実績!$W$6:$W$505,CX$3,実績!$AC$6:$AC$505,"&lt;="&amp;$A43,実績!$AD$6:$AD$505,"&gt;"&amp;$A43,実績!$AE$6:$AE$505,"○")&gt;0,1,0))</f>
        <v/>
      </c>
      <c r="CY43">
        <f>IF(CY$4=0,0,IF(COUNTIFS(実績!$W$6:$W$505,CY$3,実績!$AC$6:$AC$505,"&lt;="&amp;$A43,実績!$AD$6:$AD$505,"&gt;"&amp;$A43,実績!$AE$6:$AE$505,"○")&gt;0,1,0))</f>
        <v/>
      </c>
      <c r="CZ43">
        <f>IF(CZ$4=0,0,IF(COUNTIFS(実績!$W$6:$W$505,CZ$3,実績!$AC$6:$AC$505,"&lt;="&amp;$A43,実績!$AD$6:$AD$505,"&gt;"&amp;$A43,実績!$AE$6:$AE$505,"○")&gt;0,1,0))</f>
        <v/>
      </c>
      <c r="DA43">
        <f>IF(DA$4=0,0,IF(COUNTIFS(実績!$W$6:$W$505,DA$3,実績!$AC$6:$AC$505,"&lt;="&amp;$A43,実績!$AD$6:$AD$505,"&gt;"&amp;$A43,実績!$AE$6:$AE$505,"○")&gt;0,1,0))</f>
        <v/>
      </c>
      <c r="DB43">
        <f>IF(DB$4=0,0,IF(COUNTIFS(実績!$W$6:$W$505,DB$3,実績!$AC$6:$AC$505,"&lt;="&amp;$A43,実績!$AD$6:$AD$505,"&gt;"&amp;$A43,実績!$AE$6:$AE$505,"○")&gt;0,1,0))</f>
        <v/>
      </c>
      <c r="DC43">
        <f>IF(DC$4=0,0,IF(COUNTIFS(実績!$W$6:$W$505,DC$3,実績!$AC$6:$AC$505,"&lt;="&amp;$A43,実績!$AD$6:$AD$505,"&gt;"&amp;$A43,実績!$AE$6:$AE$505,"○")&gt;0,1,0))</f>
        <v/>
      </c>
      <c r="DD43">
        <f>IF(DD$4=0,0,IF(COUNTIFS(実績!$W$6:$W$505,DD$3,実績!$AC$6:$AC$505,"&lt;="&amp;$A43,実績!$AD$6:$AD$505,"&gt;"&amp;$A43,実績!$AE$6:$AE$505,"○")&gt;0,1,0))</f>
        <v/>
      </c>
      <c r="DE43">
        <f>IF(DE$4=0,0,IF(COUNTIFS(実績!$W$6:$W$505,DE$3,実績!$AC$6:$AC$505,"&lt;="&amp;$A43,実績!$AD$6:$AD$505,"&gt;"&amp;$A43,実績!$AE$6:$AE$505,"○")&gt;0,1,0))</f>
        <v/>
      </c>
      <c r="DF43">
        <f>IF(DF$4=0,0,IF(COUNTIFS(実績!$W$6:$W$505,DF$3,実績!$AC$6:$AC$505,"&lt;="&amp;$A43,実績!$AD$6:$AD$505,"&gt;"&amp;$A43,実績!$AE$6:$AE$505,"○")&gt;0,1,0))</f>
        <v/>
      </c>
      <c r="DG43">
        <f>IF(DG$4=0,0,IF(COUNTIFS(実績!$W$6:$W$505,DG$3,実績!$AC$6:$AC$505,"&lt;="&amp;$A43,実績!$AD$6:$AD$505,"&gt;"&amp;$A43,実績!$AE$6:$AE$505,"○")&gt;0,1,0))</f>
        <v/>
      </c>
      <c r="DH43">
        <f>IF(DH$4=0,0,IF(COUNTIFS(実績!$W$6:$W$505,DH$3,実績!$AC$6:$AC$505,"&lt;="&amp;$A43,実績!$AD$6:$AD$505,"&gt;"&amp;$A43,実績!$AE$6:$AE$505,"○")&gt;0,1,0))</f>
        <v/>
      </c>
      <c r="DI43">
        <f>IF(DI$4=0,0,IF(COUNTIFS(実績!$W$6:$W$505,DI$3,実績!$AC$6:$AC$505,"&lt;="&amp;$A43,実績!$AD$6:$AD$505,"&gt;"&amp;$A43,実績!$AE$6:$AE$505,"○")&gt;0,1,0))</f>
        <v/>
      </c>
      <c r="DJ43">
        <f>IF(DJ$4=0,0,IF(COUNTIFS(実績!$W$6:$W$505,DJ$3,実績!$AC$6:$AC$505,"&lt;="&amp;$A43,実績!$AD$6:$AD$505,"&gt;"&amp;$A43,実績!$AE$6:$AE$505,"○")&gt;0,1,0))</f>
        <v/>
      </c>
      <c r="DK43">
        <f>IF(DK$4=0,0,IF(COUNTIFS(実績!$W$6:$W$505,DK$3,実績!$AC$6:$AC$505,"&lt;="&amp;$A43,実績!$AD$6:$AD$505,"&gt;"&amp;$A43,実績!$AE$6:$AE$505,"○")&gt;0,1,0))</f>
        <v/>
      </c>
      <c r="DL43">
        <f>IF(DL$4=0,0,IF(COUNTIFS(実績!$W$6:$W$505,DL$3,実績!$AC$6:$AC$505,"&lt;="&amp;$A43,実績!$AD$6:$AD$505,"&gt;"&amp;$A43,実績!$AE$6:$AE$505,"○")&gt;0,1,0))</f>
        <v/>
      </c>
      <c r="DM43">
        <f>IF(DM$4=0,0,IF(COUNTIFS(実績!$W$6:$W$505,DM$3,実績!$AC$6:$AC$505,"&lt;="&amp;$A43,実績!$AD$6:$AD$505,"&gt;"&amp;$A43,実績!$AE$6:$AE$505,"○")&gt;0,1,0))</f>
        <v/>
      </c>
      <c r="DN43">
        <f>IF(DN$4=0,0,IF(COUNTIFS(実績!$W$6:$W$505,DN$3,実績!$AC$6:$AC$505,"&lt;="&amp;$A43,実績!$AD$6:$AD$505,"&gt;"&amp;$A43,実績!$AE$6:$AE$505,"○")&gt;0,1,0))</f>
        <v/>
      </c>
      <c r="DO43">
        <f>IF(DO$4=0,0,IF(COUNTIFS(実績!$W$6:$W$505,DO$3,実績!$AC$6:$AC$505,"&lt;="&amp;$A43,実績!$AD$6:$AD$505,"&gt;"&amp;$A43,実績!$AE$6:$AE$505,"○")&gt;0,1,0))</f>
        <v/>
      </c>
      <c r="DP43">
        <f>IF(DP$4=0,0,IF(COUNTIFS(実績!$W$6:$W$505,DP$3,実績!$AC$6:$AC$505,"&lt;="&amp;$A43,実績!$AD$6:$AD$505,"&gt;"&amp;$A43,実績!$AE$6:$AE$505,"○")&gt;0,1,0))</f>
        <v/>
      </c>
      <c r="DQ43">
        <f>IF(DQ$4=0,0,IF(COUNTIFS(実績!$W$6:$W$505,DQ$3,実績!$AC$6:$AC$505,"&lt;="&amp;$A43,実績!$AD$6:$AD$505,"&gt;"&amp;$A43,実績!$AE$6:$AE$505,"○")&gt;0,1,0))</f>
        <v/>
      </c>
      <c r="DR43">
        <f>IF(DR$4=0,0,IF(COUNTIFS(実績!$W$6:$W$505,DR$3,実績!$AC$6:$AC$505,"&lt;="&amp;$A43,実績!$AD$6:$AD$505,"&gt;"&amp;$A43,実績!$AE$6:$AE$505,"○")&gt;0,1,0))</f>
        <v/>
      </c>
      <c r="DS43">
        <f>SUM(C43:DR43)</f>
        <v/>
      </c>
      <c r="DT43">
        <f>SUMPRODUCT((実績!$C$6:$C$505="○")*ISNUMBER(実績!$AF$6:$AF$505)*(実績!$AF$6:$AF$505&lt;=$A43)*(実績!$AG$6:$AG$505&gt;$A43))</f>
        <v/>
      </c>
      <c r="DU43">
        <f>SUMIF($C$2:$DR$2,"製鉄曳船",C43:DR43)</f>
        <v/>
      </c>
      <c r="DV43">
        <f>SUMIF($C$2:$DR$2,"西日本海運",C43:DR43)</f>
        <v/>
      </c>
    </row>
    <row r="44">
      <c r="A44" t="n">
        <v>190</v>
      </c>
      <c r="B44" s="29">
        <f>A44/1440</f>
        <v/>
      </c>
      <c r="C44">
        <f>IF(C$4=0,0,IF(COUNTIFS(実績!$W$6:$W$505,C$3,実績!$AC$6:$AC$505,"&lt;="&amp;$A44,実績!$AD$6:$AD$505,"&gt;"&amp;$A44,実績!$AE$6:$AE$505,"○")&gt;0,1,0))</f>
        <v/>
      </c>
      <c r="D44">
        <f>IF(D$4=0,0,IF(COUNTIFS(実績!$W$6:$W$505,D$3,実績!$AC$6:$AC$505,"&lt;="&amp;$A44,実績!$AD$6:$AD$505,"&gt;"&amp;$A44,実績!$AE$6:$AE$505,"○")&gt;0,1,0))</f>
        <v/>
      </c>
      <c r="E44">
        <f>IF(E$4=0,0,IF(COUNTIFS(実績!$W$6:$W$505,E$3,実績!$AC$6:$AC$505,"&lt;="&amp;$A44,実績!$AD$6:$AD$505,"&gt;"&amp;$A44,実績!$AE$6:$AE$505,"○")&gt;0,1,0))</f>
        <v/>
      </c>
      <c r="F44">
        <f>IF(F$4=0,0,IF(COUNTIFS(実績!$W$6:$W$505,F$3,実績!$AC$6:$AC$505,"&lt;="&amp;$A44,実績!$AD$6:$AD$505,"&gt;"&amp;$A44,実績!$AE$6:$AE$505,"○")&gt;0,1,0))</f>
        <v/>
      </c>
      <c r="G44">
        <f>IF(G$4=0,0,IF(COUNTIFS(実績!$W$6:$W$505,G$3,実績!$AC$6:$AC$505,"&lt;="&amp;$A44,実績!$AD$6:$AD$505,"&gt;"&amp;$A44,実績!$AE$6:$AE$505,"○")&gt;0,1,0))</f>
        <v/>
      </c>
      <c r="H44">
        <f>IF(H$4=0,0,IF(COUNTIFS(実績!$W$6:$W$505,H$3,実績!$AC$6:$AC$505,"&lt;="&amp;$A44,実績!$AD$6:$AD$505,"&gt;"&amp;$A44,実績!$AE$6:$AE$505,"○")&gt;0,1,0))</f>
        <v/>
      </c>
      <c r="I44">
        <f>IF(I$4=0,0,IF(COUNTIFS(実績!$W$6:$W$505,I$3,実績!$AC$6:$AC$505,"&lt;="&amp;$A44,実績!$AD$6:$AD$505,"&gt;"&amp;$A44,実績!$AE$6:$AE$505,"○")&gt;0,1,0))</f>
        <v/>
      </c>
      <c r="J44">
        <f>IF(J$4=0,0,IF(COUNTIFS(実績!$W$6:$W$505,J$3,実績!$AC$6:$AC$505,"&lt;="&amp;$A44,実績!$AD$6:$AD$505,"&gt;"&amp;$A44,実績!$AE$6:$AE$505,"○")&gt;0,1,0))</f>
        <v/>
      </c>
      <c r="K44">
        <f>IF(K$4=0,0,IF(COUNTIFS(実績!$W$6:$W$505,K$3,実績!$AC$6:$AC$505,"&lt;="&amp;$A44,実績!$AD$6:$AD$505,"&gt;"&amp;$A44,実績!$AE$6:$AE$505,"○")&gt;0,1,0))</f>
        <v/>
      </c>
      <c r="L44">
        <f>IF(L$4=0,0,IF(COUNTIFS(実績!$W$6:$W$505,L$3,実績!$AC$6:$AC$505,"&lt;="&amp;$A44,実績!$AD$6:$AD$505,"&gt;"&amp;$A44,実績!$AE$6:$AE$505,"○")&gt;0,1,0))</f>
        <v/>
      </c>
      <c r="M44">
        <f>IF(M$4=0,0,IF(COUNTIFS(実績!$W$6:$W$505,M$3,実績!$AC$6:$AC$505,"&lt;="&amp;$A44,実績!$AD$6:$AD$505,"&gt;"&amp;$A44,実績!$AE$6:$AE$505,"○")&gt;0,1,0))</f>
        <v/>
      </c>
      <c r="N44">
        <f>IF(N$4=0,0,IF(COUNTIFS(実績!$W$6:$W$505,N$3,実績!$AC$6:$AC$505,"&lt;="&amp;$A44,実績!$AD$6:$AD$505,"&gt;"&amp;$A44,実績!$AE$6:$AE$505,"○")&gt;0,1,0))</f>
        <v/>
      </c>
      <c r="O44">
        <f>IF(O$4=0,0,IF(COUNTIFS(実績!$W$6:$W$505,O$3,実績!$AC$6:$AC$505,"&lt;="&amp;$A44,実績!$AD$6:$AD$505,"&gt;"&amp;$A44,実績!$AE$6:$AE$505,"○")&gt;0,1,0))</f>
        <v/>
      </c>
      <c r="P44">
        <f>IF(P$4=0,0,IF(COUNTIFS(実績!$W$6:$W$505,P$3,実績!$AC$6:$AC$505,"&lt;="&amp;$A44,実績!$AD$6:$AD$505,"&gt;"&amp;$A44,実績!$AE$6:$AE$505,"○")&gt;0,1,0))</f>
        <v/>
      </c>
      <c r="Q44">
        <f>IF(Q$4=0,0,IF(COUNTIFS(実績!$W$6:$W$505,Q$3,実績!$AC$6:$AC$505,"&lt;="&amp;$A44,実績!$AD$6:$AD$505,"&gt;"&amp;$A44,実績!$AE$6:$AE$505,"○")&gt;0,1,0))</f>
        <v/>
      </c>
      <c r="R44">
        <f>IF(R$4=0,0,IF(COUNTIFS(実績!$W$6:$W$505,R$3,実績!$AC$6:$AC$505,"&lt;="&amp;$A44,実績!$AD$6:$AD$505,"&gt;"&amp;$A44,実績!$AE$6:$AE$505,"○")&gt;0,1,0))</f>
        <v/>
      </c>
      <c r="S44">
        <f>IF(S$4=0,0,IF(COUNTIFS(実績!$W$6:$W$505,S$3,実績!$AC$6:$AC$505,"&lt;="&amp;$A44,実績!$AD$6:$AD$505,"&gt;"&amp;$A44,実績!$AE$6:$AE$505,"○")&gt;0,1,0))</f>
        <v/>
      </c>
      <c r="T44">
        <f>IF(T$4=0,0,IF(COUNTIFS(実績!$W$6:$W$505,T$3,実績!$AC$6:$AC$505,"&lt;="&amp;$A44,実績!$AD$6:$AD$505,"&gt;"&amp;$A44,実績!$AE$6:$AE$505,"○")&gt;0,1,0))</f>
        <v/>
      </c>
      <c r="U44">
        <f>IF(U$4=0,0,IF(COUNTIFS(実績!$W$6:$W$505,U$3,実績!$AC$6:$AC$505,"&lt;="&amp;$A44,実績!$AD$6:$AD$505,"&gt;"&amp;$A44,実績!$AE$6:$AE$505,"○")&gt;0,1,0))</f>
        <v/>
      </c>
      <c r="V44">
        <f>IF(V$4=0,0,IF(COUNTIFS(実績!$W$6:$W$505,V$3,実績!$AC$6:$AC$505,"&lt;="&amp;$A44,実績!$AD$6:$AD$505,"&gt;"&amp;$A44,実績!$AE$6:$AE$505,"○")&gt;0,1,0))</f>
        <v/>
      </c>
      <c r="W44">
        <f>IF(W$4=0,0,IF(COUNTIFS(実績!$W$6:$W$505,W$3,実績!$AC$6:$AC$505,"&lt;="&amp;$A44,実績!$AD$6:$AD$505,"&gt;"&amp;$A44,実績!$AE$6:$AE$505,"○")&gt;0,1,0))</f>
        <v/>
      </c>
      <c r="X44">
        <f>IF(X$4=0,0,IF(COUNTIFS(実績!$W$6:$W$505,X$3,実績!$AC$6:$AC$505,"&lt;="&amp;$A44,実績!$AD$6:$AD$505,"&gt;"&amp;$A44,実績!$AE$6:$AE$505,"○")&gt;0,1,0))</f>
        <v/>
      </c>
      <c r="Y44">
        <f>IF(Y$4=0,0,IF(COUNTIFS(実績!$W$6:$W$505,Y$3,実績!$AC$6:$AC$505,"&lt;="&amp;$A44,実績!$AD$6:$AD$505,"&gt;"&amp;$A44,実績!$AE$6:$AE$505,"○")&gt;0,1,0))</f>
        <v/>
      </c>
      <c r="Z44">
        <f>IF(Z$4=0,0,IF(COUNTIFS(実績!$W$6:$W$505,Z$3,実績!$AC$6:$AC$505,"&lt;="&amp;$A44,実績!$AD$6:$AD$505,"&gt;"&amp;$A44,実績!$AE$6:$AE$505,"○")&gt;0,1,0))</f>
        <v/>
      </c>
      <c r="AA44">
        <f>IF(AA$4=0,0,IF(COUNTIFS(実績!$W$6:$W$505,AA$3,実績!$AC$6:$AC$505,"&lt;="&amp;$A44,実績!$AD$6:$AD$505,"&gt;"&amp;$A44,実績!$AE$6:$AE$505,"○")&gt;0,1,0))</f>
        <v/>
      </c>
      <c r="AB44">
        <f>IF(AB$4=0,0,IF(COUNTIFS(実績!$W$6:$W$505,AB$3,実績!$AC$6:$AC$505,"&lt;="&amp;$A44,実績!$AD$6:$AD$505,"&gt;"&amp;$A44,実績!$AE$6:$AE$505,"○")&gt;0,1,0))</f>
        <v/>
      </c>
      <c r="AC44">
        <f>IF(AC$4=0,0,IF(COUNTIFS(実績!$W$6:$W$505,AC$3,実績!$AC$6:$AC$505,"&lt;="&amp;$A44,実績!$AD$6:$AD$505,"&gt;"&amp;$A44,実績!$AE$6:$AE$505,"○")&gt;0,1,0))</f>
        <v/>
      </c>
      <c r="AD44">
        <f>IF(AD$4=0,0,IF(COUNTIFS(実績!$W$6:$W$505,AD$3,実績!$AC$6:$AC$505,"&lt;="&amp;$A44,実績!$AD$6:$AD$505,"&gt;"&amp;$A44,実績!$AE$6:$AE$505,"○")&gt;0,1,0))</f>
        <v/>
      </c>
      <c r="AE44">
        <f>IF(AE$4=0,0,IF(COUNTIFS(実績!$W$6:$W$505,AE$3,実績!$AC$6:$AC$505,"&lt;="&amp;$A44,実績!$AD$6:$AD$505,"&gt;"&amp;$A44,実績!$AE$6:$AE$505,"○")&gt;0,1,0))</f>
        <v/>
      </c>
      <c r="AF44">
        <f>IF(AF$4=0,0,IF(COUNTIFS(実績!$W$6:$W$505,AF$3,実績!$AC$6:$AC$505,"&lt;="&amp;$A44,実績!$AD$6:$AD$505,"&gt;"&amp;$A44,実績!$AE$6:$AE$505,"○")&gt;0,1,0))</f>
        <v/>
      </c>
      <c r="AG44">
        <f>IF(AG$4=0,0,IF(COUNTIFS(実績!$W$6:$W$505,AG$3,実績!$AC$6:$AC$505,"&lt;="&amp;$A44,実績!$AD$6:$AD$505,"&gt;"&amp;$A44,実績!$AE$6:$AE$505,"○")&gt;0,1,0))</f>
        <v/>
      </c>
      <c r="AH44">
        <f>IF(AH$4=0,0,IF(COUNTIFS(実績!$W$6:$W$505,AH$3,実績!$AC$6:$AC$505,"&lt;="&amp;$A44,実績!$AD$6:$AD$505,"&gt;"&amp;$A44,実績!$AE$6:$AE$505,"○")&gt;0,1,0))</f>
        <v/>
      </c>
      <c r="AI44">
        <f>IF(AI$4=0,0,IF(COUNTIFS(実績!$W$6:$W$505,AI$3,実績!$AC$6:$AC$505,"&lt;="&amp;$A44,実績!$AD$6:$AD$505,"&gt;"&amp;$A44,実績!$AE$6:$AE$505,"○")&gt;0,1,0))</f>
        <v/>
      </c>
      <c r="AJ44">
        <f>IF(AJ$4=0,0,IF(COUNTIFS(実績!$W$6:$W$505,AJ$3,実績!$AC$6:$AC$505,"&lt;="&amp;$A44,実績!$AD$6:$AD$505,"&gt;"&amp;$A44,実績!$AE$6:$AE$505,"○")&gt;0,1,0))</f>
        <v/>
      </c>
      <c r="AK44">
        <f>IF(AK$4=0,0,IF(COUNTIFS(実績!$W$6:$W$505,AK$3,実績!$AC$6:$AC$505,"&lt;="&amp;$A44,実績!$AD$6:$AD$505,"&gt;"&amp;$A44,実績!$AE$6:$AE$505,"○")&gt;0,1,0))</f>
        <v/>
      </c>
      <c r="AL44">
        <f>IF(AL$4=0,0,IF(COUNTIFS(実績!$W$6:$W$505,AL$3,実績!$AC$6:$AC$505,"&lt;="&amp;$A44,実績!$AD$6:$AD$505,"&gt;"&amp;$A44,実績!$AE$6:$AE$505,"○")&gt;0,1,0))</f>
        <v/>
      </c>
      <c r="AM44">
        <f>IF(AM$4=0,0,IF(COUNTIFS(実績!$W$6:$W$505,AM$3,実績!$AC$6:$AC$505,"&lt;="&amp;$A44,実績!$AD$6:$AD$505,"&gt;"&amp;$A44,実績!$AE$6:$AE$505,"○")&gt;0,1,0))</f>
        <v/>
      </c>
      <c r="AN44">
        <f>IF(AN$4=0,0,IF(COUNTIFS(実績!$W$6:$W$505,AN$3,実績!$AC$6:$AC$505,"&lt;="&amp;$A44,実績!$AD$6:$AD$505,"&gt;"&amp;$A44,実績!$AE$6:$AE$505,"○")&gt;0,1,0))</f>
        <v/>
      </c>
      <c r="AO44">
        <f>IF(AO$4=0,0,IF(COUNTIFS(実績!$W$6:$W$505,AO$3,実績!$AC$6:$AC$505,"&lt;="&amp;$A44,実績!$AD$6:$AD$505,"&gt;"&amp;$A44,実績!$AE$6:$AE$505,"○")&gt;0,1,0))</f>
        <v/>
      </c>
      <c r="AP44">
        <f>IF(AP$4=0,0,IF(COUNTIFS(実績!$W$6:$W$505,AP$3,実績!$AC$6:$AC$505,"&lt;="&amp;$A44,実績!$AD$6:$AD$505,"&gt;"&amp;$A44,実績!$AE$6:$AE$505,"○")&gt;0,1,0))</f>
        <v/>
      </c>
      <c r="AQ44">
        <f>IF(AQ$4=0,0,IF(COUNTIFS(実績!$W$6:$W$505,AQ$3,実績!$AC$6:$AC$505,"&lt;="&amp;$A44,実績!$AD$6:$AD$505,"&gt;"&amp;$A44,実績!$AE$6:$AE$505,"○")&gt;0,1,0))</f>
        <v/>
      </c>
      <c r="AR44">
        <f>IF(AR$4=0,0,IF(COUNTIFS(実績!$W$6:$W$505,AR$3,実績!$AC$6:$AC$505,"&lt;="&amp;$A44,実績!$AD$6:$AD$505,"&gt;"&amp;$A44,実績!$AE$6:$AE$505,"○")&gt;0,1,0))</f>
        <v/>
      </c>
      <c r="AS44">
        <f>IF(AS$4=0,0,IF(COUNTIFS(実績!$W$6:$W$505,AS$3,実績!$AC$6:$AC$505,"&lt;="&amp;$A44,実績!$AD$6:$AD$505,"&gt;"&amp;$A44,実績!$AE$6:$AE$505,"○")&gt;0,1,0))</f>
        <v/>
      </c>
      <c r="AT44">
        <f>IF(AT$4=0,0,IF(COUNTIFS(実績!$W$6:$W$505,AT$3,実績!$AC$6:$AC$505,"&lt;="&amp;$A44,実績!$AD$6:$AD$505,"&gt;"&amp;$A44,実績!$AE$6:$AE$505,"○")&gt;0,1,0))</f>
        <v/>
      </c>
      <c r="AU44">
        <f>IF(AU$4=0,0,IF(COUNTIFS(実績!$W$6:$W$505,AU$3,実績!$AC$6:$AC$505,"&lt;="&amp;$A44,実績!$AD$6:$AD$505,"&gt;"&amp;$A44,実績!$AE$6:$AE$505,"○")&gt;0,1,0))</f>
        <v/>
      </c>
      <c r="AV44">
        <f>IF(AV$4=0,0,IF(COUNTIFS(実績!$W$6:$W$505,AV$3,実績!$AC$6:$AC$505,"&lt;="&amp;$A44,実績!$AD$6:$AD$505,"&gt;"&amp;$A44,実績!$AE$6:$AE$505,"○")&gt;0,1,0))</f>
        <v/>
      </c>
      <c r="AW44">
        <f>IF(AW$4=0,0,IF(COUNTIFS(実績!$W$6:$W$505,AW$3,実績!$AC$6:$AC$505,"&lt;="&amp;$A44,実績!$AD$6:$AD$505,"&gt;"&amp;$A44,実績!$AE$6:$AE$505,"○")&gt;0,1,0))</f>
        <v/>
      </c>
      <c r="AX44">
        <f>IF(AX$4=0,0,IF(COUNTIFS(実績!$W$6:$W$505,AX$3,実績!$AC$6:$AC$505,"&lt;="&amp;$A44,実績!$AD$6:$AD$505,"&gt;"&amp;$A44,実績!$AE$6:$AE$505,"○")&gt;0,1,0))</f>
        <v/>
      </c>
      <c r="AY44">
        <f>IF(AY$4=0,0,IF(COUNTIFS(実績!$W$6:$W$505,AY$3,実績!$AC$6:$AC$505,"&lt;="&amp;$A44,実績!$AD$6:$AD$505,"&gt;"&amp;$A44,実績!$AE$6:$AE$505,"○")&gt;0,1,0))</f>
        <v/>
      </c>
      <c r="AZ44">
        <f>IF(AZ$4=0,0,IF(COUNTIFS(実績!$W$6:$W$505,AZ$3,実績!$AC$6:$AC$505,"&lt;="&amp;$A44,実績!$AD$6:$AD$505,"&gt;"&amp;$A44,実績!$AE$6:$AE$505,"○")&gt;0,1,0))</f>
        <v/>
      </c>
      <c r="BA44">
        <f>IF(BA$4=0,0,IF(COUNTIFS(実績!$W$6:$W$505,BA$3,実績!$AC$6:$AC$505,"&lt;="&amp;$A44,実績!$AD$6:$AD$505,"&gt;"&amp;$A44,実績!$AE$6:$AE$505,"○")&gt;0,1,0))</f>
        <v/>
      </c>
      <c r="BB44">
        <f>IF(BB$4=0,0,IF(COUNTIFS(実績!$W$6:$W$505,BB$3,実績!$AC$6:$AC$505,"&lt;="&amp;$A44,実績!$AD$6:$AD$505,"&gt;"&amp;$A44,実績!$AE$6:$AE$505,"○")&gt;0,1,0))</f>
        <v/>
      </c>
      <c r="BC44">
        <f>IF(BC$4=0,0,IF(COUNTIFS(実績!$W$6:$W$505,BC$3,実績!$AC$6:$AC$505,"&lt;="&amp;$A44,実績!$AD$6:$AD$505,"&gt;"&amp;$A44,実績!$AE$6:$AE$505,"○")&gt;0,1,0))</f>
        <v/>
      </c>
      <c r="BD44">
        <f>IF(BD$4=0,0,IF(COUNTIFS(実績!$W$6:$W$505,BD$3,実績!$AC$6:$AC$505,"&lt;="&amp;$A44,実績!$AD$6:$AD$505,"&gt;"&amp;$A44,実績!$AE$6:$AE$505,"○")&gt;0,1,0))</f>
        <v/>
      </c>
      <c r="BE44">
        <f>IF(BE$4=0,0,IF(COUNTIFS(実績!$W$6:$W$505,BE$3,実績!$AC$6:$AC$505,"&lt;="&amp;$A44,実績!$AD$6:$AD$505,"&gt;"&amp;$A44,実績!$AE$6:$AE$505,"○")&gt;0,1,0))</f>
        <v/>
      </c>
      <c r="BF44">
        <f>IF(BF$4=0,0,IF(COUNTIFS(実績!$W$6:$W$505,BF$3,実績!$AC$6:$AC$505,"&lt;="&amp;$A44,実績!$AD$6:$AD$505,"&gt;"&amp;$A44,実績!$AE$6:$AE$505,"○")&gt;0,1,0))</f>
        <v/>
      </c>
      <c r="BG44">
        <f>IF(BG$4=0,0,IF(COUNTIFS(実績!$W$6:$W$505,BG$3,実績!$AC$6:$AC$505,"&lt;="&amp;$A44,実績!$AD$6:$AD$505,"&gt;"&amp;$A44,実績!$AE$6:$AE$505,"○")&gt;0,1,0))</f>
        <v/>
      </c>
      <c r="BH44">
        <f>IF(BH$4=0,0,IF(COUNTIFS(実績!$W$6:$W$505,BH$3,実績!$AC$6:$AC$505,"&lt;="&amp;$A44,実績!$AD$6:$AD$505,"&gt;"&amp;$A44,実績!$AE$6:$AE$505,"○")&gt;0,1,0))</f>
        <v/>
      </c>
      <c r="BI44">
        <f>IF(BI$4=0,0,IF(COUNTIFS(実績!$W$6:$W$505,BI$3,実績!$AC$6:$AC$505,"&lt;="&amp;$A44,実績!$AD$6:$AD$505,"&gt;"&amp;$A44,実績!$AE$6:$AE$505,"○")&gt;0,1,0))</f>
        <v/>
      </c>
      <c r="BJ44">
        <f>IF(BJ$4=0,0,IF(COUNTIFS(実績!$W$6:$W$505,BJ$3,実績!$AC$6:$AC$505,"&lt;="&amp;$A44,実績!$AD$6:$AD$505,"&gt;"&amp;$A44,実績!$AE$6:$AE$505,"○")&gt;0,1,0))</f>
        <v/>
      </c>
      <c r="BK44">
        <f>IF(BK$4=0,0,IF(COUNTIFS(実績!$W$6:$W$505,BK$3,実績!$AC$6:$AC$505,"&lt;="&amp;$A44,実績!$AD$6:$AD$505,"&gt;"&amp;$A44,実績!$AE$6:$AE$505,"○")&gt;0,1,0))</f>
        <v/>
      </c>
      <c r="BL44">
        <f>IF(BL$4=0,0,IF(COUNTIFS(実績!$W$6:$W$505,BL$3,実績!$AC$6:$AC$505,"&lt;="&amp;$A44,実績!$AD$6:$AD$505,"&gt;"&amp;$A44,実績!$AE$6:$AE$505,"○")&gt;0,1,0))</f>
        <v/>
      </c>
      <c r="BM44">
        <f>IF(BM$4=0,0,IF(COUNTIFS(実績!$W$6:$W$505,BM$3,実績!$AC$6:$AC$505,"&lt;="&amp;$A44,実績!$AD$6:$AD$505,"&gt;"&amp;$A44,実績!$AE$6:$AE$505,"○")&gt;0,1,0))</f>
        <v/>
      </c>
      <c r="BN44">
        <f>IF(BN$4=0,0,IF(COUNTIFS(実績!$W$6:$W$505,BN$3,実績!$AC$6:$AC$505,"&lt;="&amp;$A44,実績!$AD$6:$AD$505,"&gt;"&amp;$A44,実績!$AE$6:$AE$505,"○")&gt;0,1,0))</f>
        <v/>
      </c>
      <c r="BO44">
        <f>IF(BO$4=0,0,IF(COUNTIFS(実績!$W$6:$W$505,BO$3,実績!$AC$6:$AC$505,"&lt;="&amp;$A44,実績!$AD$6:$AD$505,"&gt;"&amp;$A44,実績!$AE$6:$AE$505,"○")&gt;0,1,0))</f>
        <v/>
      </c>
      <c r="BP44">
        <f>IF(BP$4=0,0,IF(COUNTIFS(実績!$W$6:$W$505,BP$3,実績!$AC$6:$AC$505,"&lt;="&amp;$A44,実績!$AD$6:$AD$505,"&gt;"&amp;$A44,実績!$AE$6:$AE$505,"○")&gt;0,1,0))</f>
        <v/>
      </c>
      <c r="BQ44">
        <f>IF(BQ$4=0,0,IF(COUNTIFS(実績!$W$6:$W$505,BQ$3,実績!$AC$6:$AC$505,"&lt;="&amp;$A44,実績!$AD$6:$AD$505,"&gt;"&amp;$A44,実績!$AE$6:$AE$505,"○")&gt;0,1,0))</f>
        <v/>
      </c>
      <c r="BR44">
        <f>IF(BR$4=0,0,IF(COUNTIFS(実績!$W$6:$W$505,BR$3,実績!$AC$6:$AC$505,"&lt;="&amp;$A44,実績!$AD$6:$AD$505,"&gt;"&amp;$A44,実績!$AE$6:$AE$505,"○")&gt;0,1,0))</f>
        <v/>
      </c>
      <c r="BS44">
        <f>IF(BS$4=0,0,IF(COUNTIFS(実績!$W$6:$W$505,BS$3,実績!$AC$6:$AC$505,"&lt;="&amp;$A44,実績!$AD$6:$AD$505,"&gt;"&amp;$A44,実績!$AE$6:$AE$505,"○")&gt;0,1,0))</f>
        <v/>
      </c>
      <c r="BT44">
        <f>IF(BT$4=0,0,IF(COUNTIFS(実績!$W$6:$W$505,BT$3,実績!$AC$6:$AC$505,"&lt;="&amp;$A44,実績!$AD$6:$AD$505,"&gt;"&amp;$A44,実績!$AE$6:$AE$505,"○")&gt;0,1,0))</f>
        <v/>
      </c>
      <c r="BU44">
        <f>IF(BU$4=0,0,IF(COUNTIFS(実績!$W$6:$W$505,BU$3,実績!$AC$6:$AC$505,"&lt;="&amp;$A44,実績!$AD$6:$AD$505,"&gt;"&amp;$A44,実績!$AE$6:$AE$505,"○")&gt;0,1,0))</f>
        <v/>
      </c>
      <c r="BV44">
        <f>IF(BV$4=0,0,IF(COUNTIFS(実績!$W$6:$W$505,BV$3,実績!$AC$6:$AC$505,"&lt;="&amp;$A44,実績!$AD$6:$AD$505,"&gt;"&amp;$A44,実績!$AE$6:$AE$505,"○")&gt;0,1,0))</f>
        <v/>
      </c>
      <c r="BW44">
        <f>IF(BW$4=0,0,IF(COUNTIFS(実績!$W$6:$W$505,BW$3,実績!$AC$6:$AC$505,"&lt;="&amp;$A44,実績!$AD$6:$AD$505,"&gt;"&amp;$A44,実績!$AE$6:$AE$505,"○")&gt;0,1,0))</f>
        <v/>
      </c>
      <c r="BX44">
        <f>IF(BX$4=0,0,IF(COUNTIFS(実績!$W$6:$W$505,BX$3,実績!$AC$6:$AC$505,"&lt;="&amp;$A44,実績!$AD$6:$AD$505,"&gt;"&amp;$A44,実績!$AE$6:$AE$505,"○")&gt;0,1,0))</f>
        <v/>
      </c>
      <c r="BY44">
        <f>IF(BY$4=0,0,IF(COUNTIFS(実績!$W$6:$W$505,BY$3,実績!$AC$6:$AC$505,"&lt;="&amp;$A44,実績!$AD$6:$AD$505,"&gt;"&amp;$A44,実績!$AE$6:$AE$505,"○")&gt;0,1,0))</f>
        <v/>
      </c>
      <c r="BZ44">
        <f>IF(BZ$4=0,0,IF(COUNTIFS(実績!$W$6:$W$505,BZ$3,実績!$AC$6:$AC$505,"&lt;="&amp;$A44,実績!$AD$6:$AD$505,"&gt;"&amp;$A44,実績!$AE$6:$AE$505,"○")&gt;0,1,0))</f>
        <v/>
      </c>
      <c r="CA44">
        <f>IF(CA$4=0,0,IF(COUNTIFS(実績!$W$6:$W$505,CA$3,実績!$AC$6:$AC$505,"&lt;="&amp;$A44,実績!$AD$6:$AD$505,"&gt;"&amp;$A44,実績!$AE$6:$AE$505,"○")&gt;0,1,0))</f>
        <v/>
      </c>
      <c r="CB44">
        <f>IF(CB$4=0,0,IF(COUNTIFS(実績!$W$6:$W$505,CB$3,実績!$AC$6:$AC$505,"&lt;="&amp;$A44,実績!$AD$6:$AD$505,"&gt;"&amp;$A44,実績!$AE$6:$AE$505,"○")&gt;0,1,0))</f>
        <v/>
      </c>
      <c r="CC44">
        <f>IF(CC$4=0,0,IF(COUNTIFS(実績!$W$6:$W$505,CC$3,実績!$AC$6:$AC$505,"&lt;="&amp;$A44,実績!$AD$6:$AD$505,"&gt;"&amp;$A44,実績!$AE$6:$AE$505,"○")&gt;0,1,0))</f>
        <v/>
      </c>
      <c r="CD44">
        <f>IF(CD$4=0,0,IF(COUNTIFS(実績!$W$6:$W$505,CD$3,実績!$AC$6:$AC$505,"&lt;="&amp;$A44,実績!$AD$6:$AD$505,"&gt;"&amp;$A44,実績!$AE$6:$AE$505,"○")&gt;0,1,0))</f>
        <v/>
      </c>
      <c r="CE44">
        <f>IF(CE$4=0,0,IF(COUNTIFS(実績!$W$6:$W$505,CE$3,実績!$AC$6:$AC$505,"&lt;="&amp;$A44,実績!$AD$6:$AD$505,"&gt;"&amp;$A44,実績!$AE$6:$AE$505,"○")&gt;0,1,0))</f>
        <v/>
      </c>
      <c r="CF44">
        <f>IF(CF$4=0,0,IF(COUNTIFS(実績!$W$6:$W$505,CF$3,実績!$AC$6:$AC$505,"&lt;="&amp;$A44,実績!$AD$6:$AD$505,"&gt;"&amp;$A44,実績!$AE$6:$AE$505,"○")&gt;0,1,0))</f>
        <v/>
      </c>
      <c r="CG44">
        <f>IF(CG$4=0,0,IF(COUNTIFS(実績!$W$6:$W$505,CG$3,実績!$AC$6:$AC$505,"&lt;="&amp;$A44,実績!$AD$6:$AD$505,"&gt;"&amp;$A44,実績!$AE$6:$AE$505,"○")&gt;0,1,0))</f>
        <v/>
      </c>
      <c r="CH44">
        <f>IF(CH$4=0,0,IF(COUNTIFS(実績!$W$6:$W$505,CH$3,実績!$AC$6:$AC$505,"&lt;="&amp;$A44,実績!$AD$6:$AD$505,"&gt;"&amp;$A44,実績!$AE$6:$AE$505,"○")&gt;0,1,0))</f>
        <v/>
      </c>
      <c r="CI44">
        <f>IF(CI$4=0,0,IF(COUNTIFS(実績!$W$6:$W$505,CI$3,実績!$AC$6:$AC$505,"&lt;="&amp;$A44,実績!$AD$6:$AD$505,"&gt;"&amp;$A44,実績!$AE$6:$AE$505,"○")&gt;0,1,0))</f>
        <v/>
      </c>
      <c r="CJ44">
        <f>IF(CJ$4=0,0,IF(COUNTIFS(実績!$W$6:$W$505,CJ$3,実績!$AC$6:$AC$505,"&lt;="&amp;$A44,実績!$AD$6:$AD$505,"&gt;"&amp;$A44,実績!$AE$6:$AE$505,"○")&gt;0,1,0))</f>
        <v/>
      </c>
      <c r="CK44">
        <f>IF(CK$4=0,0,IF(COUNTIFS(実績!$W$6:$W$505,CK$3,実績!$AC$6:$AC$505,"&lt;="&amp;$A44,実績!$AD$6:$AD$505,"&gt;"&amp;$A44,実績!$AE$6:$AE$505,"○")&gt;0,1,0))</f>
        <v/>
      </c>
      <c r="CL44">
        <f>IF(CL$4=0,0,IF(COUNTIFS(実績!$W$6:$W$505,CL$3,実績!$AC$6:$AC$505,"&lt;="&amp;$A44,実績!$AD$6:$AD$505,"&gt;"&amp;$A44,実績!$AE$6:$AE$505,"○")&gt;0,1,0))</f>
        <v/>
      </c>
      <c r="CM44">
        <f>IF(CM$4=0,0,IF(COUNTIFS(実績!$W$6:$W$505,CM$3,実績!$AC$6:$AC$505,"&lt;="&amp;$A44,実績!$AD$6:$AD$505,"&gt;"&amp;$A44,実績!$AE$6:$AE$505,"○")&gt;0,1,0))</f>
        <v/>
      </c>
      <c r="CN44">
        <f>IF(CN$4=0,0,IF(COUNTIFS(実績!$W$6:$W$505,CN$3,実績!$AC$6:$AC$505,"&lt;="&amp;$A44,実績!$AD$6:$AD$505,"&gt;"&amp;$A44,実績!$AE$6:$AE$505,"○")&gt;0,1,0))</f>
        <v/>
      </c>
      <c r="CO44">
        <f>IF(CO$4=0,0,IF(COUNTIFS(実績!$W$6:$W$505,CO$3,実績!$AC$6:$AC$505,"&lt;="&amp;$A44,実績!$AD$6:$AD$505,"&gt;"&amp;$A44,実績!$AE$6:$AE$505,"○")&gt;0,1,0))</f>
        <v/>
      </c>
      <c r="CP44">
        <f>IF(CP$4=0,0,IF(COUNTIFS(実績!$W$6:$W$505,CP$3,実績!$AC$6:$AC$505,"&lt;="&amp;$A44,実績!$AD$6:$AD$505,"&gt;"&amp;$A44,実績!$AE$6:$AE$505,"○")&gt;0,1,0))</f>
        <v/>
      </c>
      <c r="CQ44">
        <f>IF(CQ$4=0,0,IF(COUNTIFS(実績!$W$6:$W$505,CQ$3,実績!$AC$6:$AC$505,"&lt;="&amp;$A44,実績!$AD$6:$AD$505,"&gt;"&amp;$A44,実績!$AE$6:$AE$505,"○")&gt;0,1,0))</f>
        <v/>
      </c>
      <c r="CR44">
        <f>IF(CR$4=0,0,IF(COUNTIFS(実績!$W$6:$W$505,CR$3,実績!$AC$6:$AC$505,"&lt;="&amp;$A44,実績!$AD$6:$AD$505,"&gt;"&amp;$A44,実績!$AE$6:$AE$505,"○")&gt;0,1,0))</f>
        <v/>
      </c>
      <c r="CS44">
        <f>IF(CS$4=0,0,IF(COUNTIFS(実績!$W$6:$W$505,CS$3,実績!$AC$6:$AC$505,"&lt;="&amp;$A44,実績!$AD$6:$AD$505,"&gt;"&amp;$A44,実績!$AE$6:$AE$505,"○")&gt;0,1,0))</f>
        <v/>
      </c>
      <c r="CT44">
        <f>IF(CT$4=0,0,IF(COUNTIFS(実績!$W$6:$W$505,CT$3,実績!$AC$6:$AC$505,"&lt;="&amp;$A44,実績!$AD$6:$AD$505,"&gt;"&amp;$A44,実績!$AE$6:$AE$505,"○")&gt;0,1,0))</f>
        <v/>
      </c>
      <c r="CU44">
        <f>IF(CU$4=0,0,IF(COUNTIFS(実績!$W$6:$W$505,CU$3,実績!$AC$6:$AC$505,"&lt;="&amp;$A44,実績!$AD$6:$AD$505,"&gt;"&amp;$A44,実績!$AE$6:$AE$505,"○")&gt;0,1,0))</f>
        <v/>
      </c>
      <c r="CV44">
        <f>IF(CV$4=0,0,IF(COUNTIFS(実績!$W$6:$W$505,CV$3,実績!$AC$6:$AC$505,"&lt;="&amp;$A44,実績!$AD$6:$AD$505,"&gt;"&amp;$A44,実績!$AE$6:$AE$505,"○")&gt;0,1,0))</f>
        <v/>
      </c>
      <c r="CW44">
        <f>IF(CW$4=0,0,IF(COUNTIFS(実績!$W$6:$W$505,CW$3,実績!$AC$6:$AC$505,"&lt;="&amp;$A44,実績!$AD$6:$AD$505,"&gt;"&amp;$A44,実績!$AE$6:$AE$505,"○")&gt;0,1,0))</f>
        <v/>
      </c>
      <c r="CX44">
        <f>IF(CX$4=0,0,IF(COUNTIFS(実績!$W$6:$W$505,CX$3,実績!$AC$6:$AC$505,"&lt;="&amp;$A44,実績!$AD$6:$AD$505,"&gt;"&amp;$A44,実績!$AE$6:$AE$505,"○")&gt;0,1,0))</f>
        <v/>
      </c>
      <c r="CY44">
        <f>IF(CY$4=0,0,IF(COUNTIFS(実績!$W$6:$W$505,CY$3,実績!$AC$6:$AC$505,"&lt;="&amp;$A44,実績!$AD$6:$AD$505,"&gt;"&amp;$A44,実績!$AE$6:$AE$505,"○")&gt;0,1,0))</f>
        <v/>
      </c>
      <c r="CZ44">
        <f>IF(CZ$4=0,0,IF(COUNTIFS(実績!$W$6:$W$505,CZ$3,実績!$AC$6:$AC$505,"&lt;="&amp;$A44,実績!$AD$6:$AD$505,"&gt;"&amp;$A44,実績!$AE$6:$AE$505,"○")&gt;0,1,0))</f>
        <v/>
      </c>
      <c r="DA44">
        <f>IF(DA$4=0,0,IF(COUNTIFS(実績!$W$6:$W$505,DA$3,実績!$AC$6:$AC$505,"&lt;="&amp;$A44,実績!$AD$6:$AD$505,"&gt;"&amp;$A44,実績!$AE$6:$AE$505,"○")&gt;0,1,0))</f>
        <v/>
      </c>
      <c r="DB44">
        <f>IF(DB$4=0,0,IF(COUNTIFS(実績!$W$6:$W$505,DB$3,実績!$AC$6:$AC$505,"&lt;="&amp;$A44,実績!$AD$6:$AD$505,"&gt;"&amp;$A44,実績!$AE$6:$AE$505,"○")&gt;0,1,0))</f>
        <v/>
      </c>
      <c r="DC44">
        <f>IF(DC$4=0,0,IF(COUNTIFS(実績!$W$6:$W$505,DC$3,実績!$AC$6:$AC$505,"&lt;="&amp;$A44,実績!$AD$6:$AD$505,"&gt;"&amp;$A44,実績!$AE$6:$AE$505,"○")&gt;0,1,0))</f>
        <v/>
      </c>
      <c r="DD44">
        <f>IF(DD$4=0,0,IF(COUNTIFS(実績!$W$6:$W$505,DD$3,実績!$AC$6:$AC$505,"&lt;="&amp;$A44,実績!$AD$6:$AD$505,"&gt;"&amp;$A44,実績!$AE$6:$AE$505,"○")&gt;0,1,0))</f>
        <v/>
      </c>
      <c r="DE44">
        <f>IF(DE$4=0,0,IF(COUNTIFS(実績!$W$6:$W$505,DE$3,実績!$AC$6:$AC$505,"&lt;="&amp;$A44,実績!$AD$6:$AD$505,"&gt;"&amp;$A44,実績!$AE$6:$AE$505,"○")&gt;0,1,0))</f>
        <v/>
      </c>
      <c r="DF44">
        <f>IF(DF$4=0,0,IF(COUNTIFS(実績!$W$6:$W$505,DF$3,実績!$AC$6:$AC$505,"&lt;="&amp;$A44,実績!$AD$6:$AD$505,"&gt;"&amp;$A44,実績!$AE$6:$AE$505,"○")&gt;0,1,0))</f>
        <v/>
      </c>
      <c r="DG44">
        <f>IF(DG$4=0,0,IF(COUNTIFS(実績!$W$6:$W$505,DG$3,実績!$AC$6:$AC$505,"&lt;="&amp;$A44,実績!$AD$6:$AD$505,"&gt;"&amp;$A44,実績!$AE$6:$AE$505,"○")&gt;0,1,0))</f>
        <v/>
      </c>
      <c r="DH44">
        <f>IF(DH$4=0,0,IF(COUNTIFS(実績!$W$6:$W$505,DH$3,実績!$AC$6:$AC$505,"&lt;="&amp;$A44,実績!$AD$6:$AD$505,"&gt;"&amp;$A44,実績!$AE$6:$AE$505,"○")&gt;0,1,0))</f>
        <v/>
      </c>
      <c r="DI44">
        <f>IF(DI$4=0,0,IF(COUNTIFS(実績!$W$6:$W$505,DI$3,実績!$AC$6:$AC$505,"&lt;="&amp;$A44,実績!$AD$6:$AD$505,"&gt;"&amp;$A44,実績!$AE$6:$AE$505,"○")&gt;0,1,0))</f>
        <v/>
      </c>
      <c r="DJ44">
        <f>IF(DJ$4=0,0,IF(COUNTIFS(実績!$W$6:$W$505,DJ$3,実績!$AC$6:$AC$505,"&lt;="&amp;$A44,実績!$AD$6:$AD$505,"&gt;"&amp;$A44,実績!$AE$6:$AE$505,"○")&gt;0,1,0))</f>
        <v/>
      </c>
      <c r="DK44">
        <f>IF(DK$4=0,0,IF(COUNTIFS(実績!$W$6:$W$505,DK$3,実績!$AC$6:$AC$505,"&lt;="&amp;$A44,実績!$AD$6:$AD$505,"&gt;"&amp;$A44,実績!$AE$6:$AE$505,"○")&gt;0,1,0))</f>
        <v/>
      </c>
      <c r="DL44">
        <f>IF(DL$4=0,0,IF(COUNTIFS(実績!$W$6:$W$505,DL$3,実績!$AC$6:$AC$505,"&lt;="&amp;$A44,実績!$AD$6:$AD$505,"&gt;"&amp;$A44,実績!$AE$6:$AE$505,"○")&gt;0,1,0))</f>
        <v/>
      </c>
      <c r="DM44">
        <f>IF(DM$4=0,0,IF(COUNTIFS(実績!$W$6:$W$505,DM$3,実績!$AC$6:$AC$505,"&lt;="&amp;$A44,実績!$AD$6:$AD$505,"&gt;"&amp;$A44,実績!$AE$6:$AE$505,"○")&gt;0,1,0))</f>
        <v/>
      </c>
      <c r="DN44">
        <f>IF(DN$4=0,0,IF(COUNTIFS(実績!$W$6:$W$505,DN$3,実績!$AC$6:$AC$505,"&lt;="&amp;$A44,実績!$AD$6:$AD$505,"&gt;"&amp;$A44,実績!$AE$6:$AE$505,"○")&gt;0,1,0))</f>
        <v/>
      </c>
      <c r="DO44">
        <f>IF(DO$4=0,0,IF(COUNTIFS(実績!$W$6:$W$505,DO$3,実績!$AC$6:$AC$505,"&lt;="&amp;$A44,実績!$AD$6:$AD$505,"&gt;"&amp;$A44,実績!$AE$6:$AE$505,"○")&gt;0,1,0))</f>
        <v/>
      </c>
      <c r="DP44">
        <f>IF(DP$4=0,0,IF(COUNTIFS(実績!$W$6:$W$505,DP$3,実績!$AC$6:$AC$505,"&lt;="&amp;$A44,実績!$AD$6:$AD$505,"&gt;"&amp;$A44,実績!$AE$6:$AE$505,"○")&gt;0,1,0))</f>
        <v/>
      </c>
      <c r="DQ44">
        <f>IF(DQ$4=0,0,IF(COUNTIFS(実績!$W$6:$W$505,DQ$3,実績!$AC$6:$AC$505,"&lt;="&amp;$A44,実績!$AD$6:$AD$505,"&gt;"&amp;$A44,実績!$AE$6:$AE$505,"○")&gt;0,1,0))</f>
        <v/>
      </c>
      <c r="DR44">
        <f>IF(DR$4=0,0,IF(COUNTIFS(実績!$W$6:$W$505,DR$3,実績!$AC$6:$AC$505,"&lt;="&amp;$A44,実績!$AD$6:$AD$505,"&gt;"&amp;$A44,実績!$AE$6:$AE$505,"○")&gt;0,1,0))</f>
        <v/>
      </c>
      <c r="DS44">
        <f>SUM(C44:DR44)</f>
        <v/>
      </c>
      <c r="DT44">
        <f>SUMPRODUCT((実績!$C$6:$C$505="○")*ISNUMBER(実績!$AF$6:$AF$505)*(実績!$AF$6:$AF$505&lt;=$A44)*(実績!$AG$6:$AG$505&gt;$A44))</f>
        <v/>
      </c>
      <c r="DU44">
        <f>SUMIF($C$2:$DR$2,"製鉄曳船",C44:DR44)</f>
        <v/>
      </c>
      <c r="DV44">
        <f>SUMIF($C$2:$DR$2,"西日本海運",C44:DR44)</f>
        <v/>
      </c>
    </row>
    <row r="45">
      <c r="A45" t="n">
        <v>195</v>
      </c>
      <c r="B45" s="29">
        <f>A45/1440</f>
        <v/>
      </c>
      <c r="C45">
        <f>IF(C$4=0,0,IF(COUNTIFS(実績!$W$6:$W$505,C$3,実績!$AC$6:$AC$505,"&lt;="&amp;$A45,実績!$AD$6:$AD$505,"&gt;"&amp;$A45,実績!$AE$6:$AE$505,"○")&gt;0,1,0))</f>
        <v/>
      </c>
      <c r="D45">
        <f>IF(D$4=0,0,IF(COUNTIFS(実績!$W$6:$W$505,D$3,実績!$AC$6:$AC$505,"&lt;="&amp;$A45,実績!$AD$6:$AD$505,"&gt;"&amp;$A45,実績!$AE$6:$AE$505,"○")&gt;0,1,0))</f>
        <v/>
      </c>
      <c r="E45">
        <f>IF(E$4=0,0,IF(COUNTIFS(実績!$W$6:$W$505,E$3,実績!$AC$6:$AC$505,"&lt;="&amp;$A45,実績!$AD$6:$AD$505,"&gt;"&amp;$A45,実績!$AE$6:$AE$505,"○")&gt;0,1,0))</f>
        <v/>
      </c>
      <c r="F45">
        <f>IF(F$4=0,0,IF(COUNTIFS(実績!$W$6:$W$505,F$3,実績!$AC$6:$AC$505,"&lt;="&amp;$A45,実績!$AD$6:$AD$505,"&gt;"&amp;$A45,実績!$AE$6:$AE$505,"○")&gt;0,1,0))</f>
        <v/>
      </c>
      <c r="G45">
        <f>IF(G$4=0,0,IF(COUNTIFS(実績!$W$6:$W$505,G$3,実績!$AC$6:$AC$505,"&lt;="&amp;$A45,実績!$AD$6:$AD$505,"&gt;"&amp;$A45,実績!$AE$6:$AE$505,"○")&gt;0,1,0))</f>
        <v/>
      </c>
      <c r="H45">
        <f>IF(H$4=0,0,IF(COUNTIFS(実績!$W$6:$W$505,H$3,実績!$AC$6:$AC$505,"&lt;="&amp;$A45,実績!$AD$6:$AD$505,"&gt;"&amp;$A45,実績!$AE$6:$AE$505,"○")&gt;0,1,0))</f>
        <v/>
      </c>
      <c r="I45">
        <f>IF(I$4=0,0,IF(COUNTIFS(実績!$W$6:$W$505,I$3,実績!$AC$6:$AC$505,"&lt;="&amp;$A45,実績!$AD$6:$AD$505,"&gt;"&amp;$A45,実績!$AE$6:$AE$505,"○")&gt;0,1,0))</f>
        <v/>
      </c>
      <c r="J45">
        <f>IF(J$4=0,0,IF(COUNTIFS(実績!$W$6:$W$505,J$3,実績!$AC$6:$AC$505,"&lt;="&amp;$A45,実績!$AD$6:$AD$505,"&gt;"&amp;$A45,実績!$AE$6:$AE$505,"○")&gt;0,1,0))</f>
        <v/>
      </c>
      <c r="K45">
        <f>IF(K$4=0,0,IF(COUNTIFS(実績!$W$6:$W$505,K$3,実績!$AC$6:$AC$505,"&lt;="&amp;$A45,実績!$AD$6:$AD$505,"&gt;"&amp;$A45,実績!$AE$6:$AE$505,"○")&gt;0,1,0))</f>
        <v/>
      </c>
      <c r="L45">
        <f>IF(L$4=0,0,IF(COUNTIFS(実績!$W$6:$W$505,L$3,実績!$AC$6:$AC$505,"&lt;="&amp;$A45,実績!$AD$6:$AD$505,"&gt;"&amp;$A45,実績!$AE$6:$AE$505,"○")&gt;0,1,0))</f>
        <v/>
      </c>
      <c r="M45">
        <f>IF(M$4=0,0,IF(COUNTIFS(実績!$W$6:$W$505,M$3,実績!$AC$6:$AC$505,"&lt;="&amp;$A45,実績!$AD$6:$AD$505,"&gt;"&amp;$A45,実績!$AE$6:$AE$505,"○")&gt;0,1,0))</f>
        <v/>
      </c>
      <c r="N45">
        <f>IF(N$4=0,0,IF(COUNTIFS(実績!$W$6:$W$505,N$3,実績!$AC$6:$AC$505,"&lt;="&amp;$A45,実績!$AD$6:$AD$505,"&gt;"&amp;$A45,実績!$AE$6:$AE$505,"○")&gt;0,1,0))</f>
        <v/>
      </c>
      <c r="O45">
        <f>IF(O$4=0,0,IF(COUNTIFS(実績!$W$6:$W$505,O$3,実績!$AC$6:$AC$505,"&lt;="&amp;$A45,実績!$AD$6:$AD$505,"&gt;"&amp;$A45,実績!$AE$6:$AE$505,"○")&gt;0,1,0))</f>
        <v/>
      </c>
      <c r="P45">
        <f>IF(P$4=0,0,IF(COUNTIFS(実績!$W$6:$W$505,P$3,実績!$AC$6:$AC$505,"&lt;="&amp;$A45,実績!$AD$6:$AD$505,"&gt;"&amp;$A45,実績!$AE$6:$AE$505,"○")&gt;0,1,0))</f>
        <v/>
      </c>
      <c r="Q45">
        <f>IF(Q$4=0,0,IF(COUNTIFS(実績!$W$6:$W$505,Q$3,実績!$AC$6:$AC$505,"&lt;="&amp;$A45,実績!$AD$6:$AD$505,"&gt;"&amp;$A45,実績!$AE$6:$AE$505,"○")&gt;0,1,0))</f>
        <v/>
      </c>
      <c r="R45">
        <f>IF(R$4=0,0,IF(COUNTIFS(実績!$W$6:$W$505,R$3,実績!$AC$6:$AC$505,"&lt;="&amp;$A45,実績!$AD$6:$AD$505,"&gt;"&amp;$A45,実績!$AE$6:$AE$505,"○")&gt;0,1,0))</f>
        <v/>
      </c>
      <c r="S45">
        <f>IF(S$4=0,0,IF(COUNTIFS(実績!$W$6:$W$505,S$3,実績!$AC$6:$AC$505,"&lt;="&amp;$A45,実績!$AD$6:$AD$505,"&gt;"&amp;$A45,実績!$AE$6:$AE$505,"○")&gt;0,1,0))</f>
        <v/>
      </c>
      <c r="T45">
        <f>IF(T$4=0,0,IF(COUNTIFS(実績!$W$6:$W$505,T$3,実績!$AC$6:$AC$505,"&lt;="&amp;$A45,実績!$AD$6:$AD$505,"&gt;"&amp;$A45,実績!$AE$6:$AE$505,"○")&gt;0,1,0))</f>
        <v/>
      </c>
      <c r="U45">
        <f>IF(U$4=0,0,IF(COUNTIFS(実績!$W$6:$W$505,U$3,実績!$AC$6:$AC$505,"&lt;="&amp;$A45,実績!$AD$6:$AD$505,"&gt;"&amp;$A45,実績!$AE$6:$AE$505,"○")&gt;0,1,0))</f>
        <v/>
      </c>
      <c r="V45">
        <f>IF(V$4=0,0,IF(COUNTIFS(実績!$W$6:$W$505,V$3,実績!$AC$6:$AC$505,"&lt;="&amp;$A45,実績!$AD$6:$AD$505,"&gt;"&amp;$A45,実績!$AE$6:$AE$505,"○")&gt;0,1,0))</f>
        <v/>
      </c>
      <c r="W45">
        <f>IF(W$4=0,0,IF(COUNTIFS(実績!$W$6:$W$505,W$3,実績!$AC$6:$AC$505,"&lt;="&amp;$A45,実績!$AD$6:$AD$505,"&gt;"&amp;$A45,実績!$AE$6:$AE$505,"○")&gt;0,1,0))</f>
        <v/>
      </c>
      <c r="X45">
        <f>IF(X$4=0,0,IF(COUNTIFS(実績!$W$6:$W$505,X$3,実績!$AC$6:$AC$505,"&lt;="&amp;$A45,実績!$AD$6:$AD$505,"&gt;"&amp;$A45,実績!$AE$6:$AE$505,"○")&gt;0,1,0))</f>
        <v/>
      </c>
      <c r="Y45">
        <f>IF(Y$4=0,0,IF(COUNTIFS(実績!$W$6:$W$505,Y$3,実績!$AC$6:$AC$505,"&lt;="&amp;$A45,実績!$AD$6:$AD$505,"&gt;"&amp;$A45,実績!$AE$6:$AE$505,"○")&gt;0,1,0))</f>
        <v/>
      </c>
      <c r="Z45">
        <f>IF(Z$4=0,0,IF(COUNTIFS(実績!$W$6:$W$505,Z$3,実績!$AC$6:$AC$505,"&lt;="&amp;$A45,実績!$AD$6:$AD$505,"&gt;"&amp;$A45,実績!$AE$6:$AE$505,"○")&gt;0,1,0))</f>
        <v/>
      </c>
      <c r="AA45">
        <f>IF(AA$4=0,0,IF(COUNTIFS(実績!$W$6:$W$505,AA$3,実績!$AC$6:$AC$505,"&lt;="&amp;$A45,実績!$AD$6:$AD$505,"&gt;"&amp;$A45,実績!$AE$6:$AE$505,"○")&gt;0,1,0))</f>
        <v/>
      </c>
      <c r="AB45">
        <f>IF(AB$4=0,0,IF(COUNTIFS(実績!$W$6:$W$505,AB$3,実績!$AC$6:$AC$505,"&lt;="&amp;$A45,実績!$AD$6:$AD$505,"&gt;"&amp;$A45,実績!$AE$6:$AE$505,"○")&gt;0,1,0))</f>
        <v/>
      </c>
      <c r="AC45">
        <f>IF(AC$4=0,0,IF(COUNTIFS(実績!$W$6:$W$505,AC$3,実績!$AC$6:$AC$505,"&lt;="&amp;$A45,実績!$AD$6:$AD$505,"&gt;"&amp;$A45,実績!$AE$6:$AE$505,"○")&gt;0,1,0))</f>
        <v/>
      </c>
      <c r="AD45">
        <f>IF(AD$4=0,0,IF(COUNTIFS(実績!$W$6:$W$505,AD$3,実績!$AC$6:$AC$505,"&lt;="&amp;$A45,実績!$AD$6:$AD$505,"&gt;"&amp;$A45,実績!$AE$6:$AE$505,"○")&gt;0,1,0))</f>
        <v/>
      </c>
      <c r="AE45">
        <f>IF(AE$4=0,0,IF(COUNTIFS(実績!$W$6:$W$505,AE$3,実績!$AC$6:$AC$505,"&lt;="&amp;$A45,実績!$AD$6:$AD$505,"&gt;"&amp;$A45,実績!$AE$6:$AE$505,"○")&gt;0,1,0))</f>
        <v/>
      </c>
      <c r="AF45">
        <f>IF(AF$4=0,0,IF(COUNTIFS(実績!$W$6:$W$505,AF$3,実績!$AC$6:$AC$505,"&lt;="&amp;$A45,実績!$AD$6:$AD$505,"&gt;"&amp;$A45,実績!$AE$6:$AE$505,"○")&gt;0,1,0))</f>
        <v/>
      </c>
      <c r="AG45">
        <f>IF(AG$4=0,0,IF(COUNTIFS(実績!$W$6:$W$505,AG$3,実績!$AC$6:$AC$505,"&lt;="&amp;$A45,実績!$AD$6:$AD$505,"&gt;"&amp;$A45,実績!$AE$6:$AE$505,"○")&gt;0,1,0))</f>
        <v/>
      </c>
      <c r="AH45">
        <f>IF(AH$4=0,0,IF(COUNTIFS(実績!$W$6:$W$505,AH$3,実績!$AC$6:$AC$505,"&lt;="&amp;$A45,実績!$AD$6:$AD$505,"&gt;"&amp;$A45,実績!$AE$6:$AE$505,"○")&gt;0,1,0))</f>
        <v/>
      </c>
      <c r="AI45">
        <f>IF(AI$4=0,0,IF(COUNTIFS(実績!$W$6:$W$505,AI$3,実績!$AC$6:$AC$505,"&lt;="&amp;$A45,実績!$AD$6:$AD$505,"&gt;"&amp;$A45,実績!$AE$6:$AE$505,"○")&gt;0,1,0))</f>
        <v/>
      </c>
      <c r="AJ45">
        <f>IF(AJ$4=0,0,IF(COUNTIFS(実績!$W$6:$W$505,AJ$3,実績!$AC$6:$AC$505,"&lt;="&amp;$A45,実績!$AD$6:$AD$505,"&gt;"&amp;$A45,実績!$AE$6:$AE$505,"○")&gt;0,1,0))</f>
        <v/>
      </c>
      <c r="AK45">
        <f>IF(AK$4=0,0,IF(COUNTIFS(実績!$W$6:$W$505,AK$3,実績!$AC$6:$AC$505,"&lt;="&amp;$A45,実績!$AD$6:$AD$505,"&gt;"&amp;$A45,実績!$AE$6:$AE$505,"○")&gt;0,1,0))</f>
        <v/>
      </c>
      <c r="AL45">
        <f>IF(AL$4=0,0,IF(COUNTIFS(実績!$W$6:$W$505,AL$3,実績!$AC$6:$AC$505,"&lt;="&amp;$A45,実績!$AD$6:$AD$505,"&gt;"&amp;$A45,実績!$AE$6:$AE$505,"○")&gt;0,1,0))</f>
        <v/>
      </c>
      <c r="AM45">
        <f>IF(AM$4=0,0,IF(COUNTIFS(実績!$W$6:$W$505,AM$3,実績!$AC$6:$AC$505,"&lt;="&amp;$A45,実績!$AD$6:$AD$505,"&gt;"&amp;$A45,実績!$AE$6:$AE$505,"○")&gt;0,1,0))</f>
        <v/>
      </c>
      <c r="AN45">
        <f>IF(AN$4=0,0,IF(COUNTIFS(実績!$W$6:$W$505,AN$3,実績!$AC$6:$AC$505,"&lt;="&amp;$A45,実績!$AD$6:$AD$505,"&gt;"&amp;$A45,実績!$AE$6:$AE$505,"○")&gt;0,1,0))</f>
        <v/>
      </c>
      <c r="AO45">
        <f>IF(AO$4=0,0,IF(COUNTIFS(実績!$W$6:$W$505,AO$3,実績!$AC$6:$AC$505,"&lt;="&amp;$A45,実績!$AD$6:$AD$505,"&gt;"&amp;$A45,実績!$AE$6:$AE$505,"○")&gt;0,1,0))</f>
        <v/>
      </c>
      <c r="AP45">
        <f>IF(AP$4=0,0,IF(COUNTIFS(実績!$W$6:$W$505,AP$3,実績!$AC$6:$AC$505,"&lt;="&amp;$A45,実績!$AD$6:$AD$505,"&gt;"&amp;$A45,実績!$AE$6:$AE$505,"○")&gt;0,1,0))</f>
        <v/>
      </c>
      <c r="AQ45">
        <f>IF(AQ$4=0,0,IF(COUNTIFS(実績!$W$6:$W$505,AQ$3,実績!$AC$6:$AC$505,"&lt;="&amp;$A45,実績!$AD$6:$AD$505,"&gt;"&amp;$A45,実績!$AE$6:$AE$505,"○")&gt;0,1,0))</f>
        <v/>
      </c>
      <c r="AR45">
        <f>IF(AR$4=0,0,IF(COUNTIFS(実績!$W$6:$W$505,AR$3,実績!$AC$6:$AC$505,"&lt;="&amp;$A45,実績!$AD$6:$AD$505,"&gt;"&amp;$A45,実績!$AE$6:$AE$505,"○")&gt;0,1,0))</f>
        <v/>
      </c>
      <c r="AS45">
        <f>IF(AS$4=0,0,IF(COUNTIFS(実績!$W$6:$W$505,AS$3,実績!$AC$6:$AC$505,"&lt;="&amp;$A45,実績!$AD$6:$AD$505,"&gt;"&amp;$A45,実績!$AE$6:$AE$505,"○")&gt;0,1,0))</f>
        <v/>
      </c>
      <c r="AT45">
        <f>IF(AT$4=0,0,IF(COUNTIFS(実績!$W$6:$W$505,AT$3,実績!$AC$6:$AC$505,"&lt;="&amp;$A45,実績!$AD$6:$AD$505,"&gt;"&amp;$A45,実績!$AE$6:$AE$505,"○")&gt;0,1,0))</f>
        <v/>
      </c>
      <c r="AU45">
        <f>IF(AU$4=0,0,IF(COUNTIFS(実績!$W$6:$W$505,AU$3,実績!$AC$6:$AC$505,"&lt;="&amp;$A45,実績!$AD$6:$AD$505,"&gt;"&amp;$A45,実績!$AE$6:$AE$505,"○")&gt;0,1,0))</f>
        <v/>
      </c>
      <c r="AV45">
        <f>IF(AV$4=0,0,IF(COUNTIFS(実績!$W$6:$W$505,AV$3,実績!$AC$6:$AC$505,"&lt;="&amp;$A45,実績!$AD$6:$AD$505,"&gt;"&amp;$A45,実績!$AE$6:$AE$505,"○")&gt;0,1,0))</f>
        <v/>
      </c>
      <c r="AW45">
        <f>IF(AW$4=0,0,IF(COUNTIFS(実績!$W$6:$W$505,AW$3,実績!$AC$6:$AC$505,"&lt;="&amp;$A45,実績!$AD$6:$AD$505,"&gt;"&amp;$A45,実績!$AE$6:$AE$505,"○")&gt;0,1,0))</f>
        <v/>
      </c>
      <c r="AX45">
        <f>IF(AX$4=0,0,IF(COUNTIFS(実績!$W$6:$W$505,AX$3,実績!$AC$6:$AC$505,"&lt;="&amp;$A45,実績!$AD$6:$AD$505,"&gt;"&amp;$A45,実績!$AE$6:$AE$505,"○")&gt;0,1,0))</f>
        <v/>
      </c>
      <c r="AY45">
        <f>IF(AY$4=0,0,IF(COUNTIFS(実績!$W$6:$W$505,AY$3,実績!$AC$6:$AC$505,"&lt;="&amp;$A45,実績!$AD$6:$AD$505,"&gt;"&amp;$A45,実績!$AE$6:$AE$505,"○")&gt;0,1,0))</f>
        <v/>
      </c>
      <c r="AZ45">
        <f>IF(AZ$4=0,0,IF(COUNTIFS(実績!$W$6:$W$505,AZ$3,実績!$AC$6:$AC$505,"&lt;="&amp;$A45,実績!$AD$6:$AD$505,"&gt;"&amp;$A45,実績!$AE$6:$AE$505,"○")&gt;0,1,0))</f>
        <v/>
      </c>
      <c r="BA45">
        <f>IF(BA$4=0,0,IF(COUNTIFS(実績!$W$6:$W$505,BA$3,実績!$AC$6:$AC$505,"&lt;="&amp;$A45,実績!$AD$6:$AD$505,"&gt;"&amp;$A45,実績!$AE$6:$AE$505,"○")&gt;0,1,0))</f>
        <v/>
      </c>
      <c r="BB45">
        <f>IF(BB$4=0,0,IF(COUNTIFS(実績!$W$6:$W$505,BB$3,実績!$AC$6:$AC$505,"&lt;="&amp;$A45,実績!$AD$6:$AD$505,"&gt;"&amp;$A45,実績!$AE$6:$AE$505,"○")&gt;0,1,0))</f>
        <v/>
      </c>
      <c r="BC45">
        <f>IF(BC$4=0,0,IF(COUNTIFS(実績!$W$6:$W$505,BC$3,実績!$AC$6:$AC$505,"&lt;="&amp;$A45,実績!$AD$6:$AD$505,"&gt;"&amp;$A45,実績!$AE$6:$AE$505,"○")&gt;0,1,0))</f>
        <v/>
      </c>
      <c r="BD45">
        <f>IF(BD$4=0,0,IF(COUNTIFS(実績!$W$6:$W$505,BD$3,実績!$AC$6:$AC$505,"&lt;="&amp;$A45,実績!$AD$6:$AD$505,"&gt;"&amp;$A45,実績!$AE$6:$AE$505,"○")&gt;0,1,0))</f>
        <v/>
      </c>
      <c r="BE45">
        <f>IF(BE$4=0,0,IF(COUNTIFS(実績!$W$6:$W$505,BE$3,実績!$AC$6:$AC$505,"&lt;="&amp;$A45,実績!$AD$6:$AD$505,"&gt;"&amp;$A45,実績!$AE$6:$AE$505,"○")&gt;0,1,0))</f>
        <v/>
      </c>
      <c r="BF45">
        <f>IF(BF$4=0,0,IF(COUNTIFS(実績!$W$6:$W$505,BF$3,実績!$AC$6:$AC$505,"&lt;="&amp;$A45,実績!$AD$6:$AD$505,"&gt;"&amp;$A45,実績!$AE$6:$AE$505,"○")&gt;0,1,0))</f>
        <v/>
      </c>
      <c r="BG45">
        <f>IF(BG$4=0,0,IF(COUNTIFS(実績!$W$6:$W$505,BG$3,実績!$AC$6:$AC$505,"&lt;="&amp;$A45,実績!$AD$6:$AD$505,"&gt;"&amp;$A45,実績!$AE$6:$AE$505,"○")&gt;0,1,0))</f>
        <v/>
      </c>
      <c r="BH45">
        <f>IF(BH$4=0,0,IF(COUNTIFS(実績!$W$6:$W$505,BH$3,実績!$AC$6:$AC$505,"&lt;="&amp;$A45,実績!$AD$6:$AD$505,"&gt;"&amp;$A45,実績!$AE$6:$AE$505,"○")&gt;0,1,0))</f>
        <v/>
      </c>
      <c r="BI45">
        <f>IF(BI$4=0,0,IF(COUNTIFS(実績!$W$6:$W$505,BI$3,実績!$AC$6:$AC$505,"&lt;="&amp;$A45,実績!$AD$6:$AD$505,"&gt;"&amp;$A45,実績!$AE$6:$AE$505,"○")&gt;0,1,0))</f>
        <v/>
      </c>
      <c r="BJ45">
        <f>IF(BJ$4=0,0,IF(COUNTIFS(実績!$W$6:$W$505,BJ$3,実績!$AC$6:$AC$505,"&lt;="&amp;$A45,実績!$AD$6:$AD$505,"&gt;"&amp;$A45,実績!$AE$6:$AE$505,"○")&gt;0,1,0))</f>
        <v/>
      </c>
      <c r="BK45">
        <f>IF(BK$4=0,0,IF(COUNTIFS(実績!$W$6:$W$505,BK$3,実績!$AC$6:$AC$505,"&lt;="&amp;$A45,実績!$AD$6:$AD$505,"&gt;"&amp;$A45,実績!$AE$6:$AE$505,"○")&gt;0,1,0))</f>
        <v/>
      </c>
      <c r="BL45">
        <f>IF(BL$4=0,0,IF(COUNTIFS(実績!$W$6:$W$505,BL$3,実績!$AC$6:$AC$505,"&lt;="&amp;$A45,実績!$AD$6:$AD$505,"&gt;"&amp;$A45,実績!$AE$6:$AE$505,"○")&gt;0,1,0))</f>
        <v/>
      </c>
      <c r="BM45">
        <f>IF(BM$4=0,0,IF(COUNTIFS(実績!$W$6:$W$505,BM$3,実績!$AC$6:$AC$505,"&lt;="&amp;$A45,実績!$AD$6:$AD$505,"&gt;"&amp;$A45,実績!$AE$6:$AE$505,"○")&gt;0,1,0))</f>
        <v/>
      </c>
      <c r="BN45">
        <f>IF(BN$4=0,0,IF(COUNTIFS(実績!$W$6:$W$505,BN$3,実績!$AC$6:$AC$505,"&lt;="&amp;$A45,実績!$AD$6:$AD$505,"&gt;"&amp;$A45,実績!$AE$6:$AE$505,"○")&gt;0,1,0))</f>
        <v/>
      </c>
      <c r="BO45">
        <f>IF(BO$4=0,0,IF(COUNTIFS(実績!$W$6:$W$505,BO$3,実績!$AC$6:$AC$505,"&lt;="&amp;$A45,実績!$AD$6:$AD$505,"&gt;"&amp;$A45,実績!$AE$6:$AE$505,"○")&gt;0,1,0))</f>
        <v/>
      </c>
      <c r="BP45">
        <f>IF(BP$4=0,0,IF(COUNTIFS(実績!$W$6:$W$505,BP$3,実績!$AC$6:$AC$505,"&lt;="&amp;$A45,実績!$AD$6:$AD$505,"&gt;"&amp;$A45,実績!$AE$6:$AE$505,"○")&gt;0,1,0))</f>
        <v/>
      </c>
      <c r="BQ45">
        <f>IF(BQ$4=0,0,IF(COUNTIFS(実績!$W$6:$W$505,BQ$3,実績!$AC$6:$AC$505,"&lt;="&amp;$A45,実績!$AD$6:$AD$505,"&gt;"&amp;$A45,実績!$AE$6:$AE$505,"○")&gt;0,1,0))</f>
        <v/>
      </c>
      <c r="BR45">
        <f>IF(BR$4=0,0,IF(COUNTIFS(実績!$W$6:$W$505,BR$3,実績!$AC$6:$AC$505,"&lt;="&amp;$A45,実績!$AD$6:$AD$505,"&gt;"&amp;$A45,実績!$AE$6:$AE$505,"○")&gt;0,1,0))</f>
        <v/>
      </c>
      <c r="BS45">
        <f>IF(BS$4=0,0,IF(COUNTIFS(実績!$W$6:$W$505,BS$3,実績!$AC$6:$AC$505,"&lt;="&amp;$A45,実績!$AD$6:$AD$505,"&gt;"&amp;$A45,実績!$AE$6:$AE$505,"○")&gt;0,1,0))</f>
        <v/>
      </c>
      <c r="BT45">
        <f>IF(BT$4=0,0,IF(COUNTIFS(実績!$W$6:$W$505,BT$3,実績!$AC$6:$AC$505,"&lt;="&amp;$A45,実績!$AD$6:$AD$505,"&gt;"&amp;$A45,実績!$AE$6:$AE$505,"○")&gt;0,1,0))</f>
        <v/>
      </c>
      <c r="BU45">
        <f>IF(BU$4=0,0,IF(COUNTIFS(実績!$W$6:$W$505,BU$3,実績!$AC$6:$AC$505,"&lt;="&amp;$A45,実績!$AD$6:$AD$505,"&gt;"&amp;$A45,実績!$AE$6:$AE$505,"○")&gt;0,1,0))</f>
        <v/>
      </c>
      <c r="BV45">
        <f>IF(BV$4=0,0,IF(COUNTIFS(実績!$W$6:$W$505,BV$3,実績!$AC$6:$AC$505,"&lt;="&amp;$A45,実績!$AD$6:$AD$505,"&gt;"&amp;$A45,実績!$AE$6:$AE$505,"○")&gt;0,1,0))</f>
        <v/>
      </c>
      <c r="BW45">
        <f>IF(BW$4=0,0,IF(COUNTIFS(実績!$W$6:$W$505,BW$3,実績!$AC$6:$AC$505,"&lt;="&amp;$A45,実績!$AD$6:$AD$505,"&gt;"&amp;$A45,実績!$AE$6:$AE$505,"○")&gt;0,1,0))</f>
        <v/>
      </c>
      <c r="BX45">
        <f>IF(BX$4=0,0,IF(COUNTIFS(実績!$W$6:$W$505,BX$3,実績!$AC$6:$AC$505,"&lt;="&amp;$A45,実績!$AD$6:$AD$505,"&gt;"&amp;$A45,実績!$AE$6:$AE$505,"○")&gt;0,1,0))</f>
        <v/>
      </c>
      <c r="BY45">
        <f>IF(BY$4=0,0,IF(COUNTIFS(実績!$W$6:$W$505,BY$3,実績!$AC$6:$AC$505,"&lt;="&amp;$A45,実績!$AD$6:$AD$505,"&gt;"&amp;$A45,実績!$AE$6:$AE$505,"○")&gt;0,1,0))</f>
        <v/>
      </c>
      <c r="BZ45">
        <f>IF(BZ$4=0,0,IF(COUNTIFS(実績!$W$6:$W$505,BZ$3,実績!$AC$6:$AC$505,"&lt;="&amp;$A45,実績!$AD$6:$AD$505,"&gt;"&amp;$A45,実績!$AE$6:$AE$505,"○")&gt;0,1,0))</f>
        <v/>
      </c>
      <c r="CA45">
        <f>IF(CA$4=0,0,IF(COUNTIFS(実績!$W$6:$W$505,CA$3,実績!$AC$6:$AC$505,"&lt;="&amp;$A45,実績!$AD$6:$AD$505,"&gt;"&amp;$A45,実績!$AE$6:$AE$505,"○")&gt;0,1,0))</f>
        <v/>
      </c>
      <c r="CB45">
        <f>IF(CB$4=0,0,IF(COUNTIFS(実績!$W$6:$W$505,CB$3,実績!$AC$6:$AC$505,"&lt;="&amp;$A45,実績!$AD$6:$AD$505,"&gt;"&amp;$A45,実績!$AE$6:$AE$505,"○")&gt;0,1,0))</f>
        <v/>
      </c>
      <c r="CC45">
        <f>IF(CC$4=0,0,IF(COUNTIFS(実績!$W$6:$W$505,CC$3,実績!$AC$6:$AC$505,"&lt;="&amp;$A45,実績!$AD$6:$AD$505,"&gt;"&amp;$A45,実績!$AE$6:$AE$505,"○")&gt;0,1,0))</f>
        <v/>
      </c>
      <c r="CD45">
        <f>IF(CD$4=0,0,IF(COUNTIFS(実績!$W$6:$W$505,CD$3,実績!$AC$6:$AC$505,"&lt;="&amp;$A45,実績!$AD$6:$AD$505,"&gt;"&amp;$A45,実績!$AE$6:$AE$505,"○")&gt;0,1,0))</f>
        <v/>
      </c>
      <c r="CE45">
        <f>IF(CE$4=0,0,IF(COUNTIFS(実績!$W$6:$W$505,CE$3,実績!$AC$6:$AC$505,"&lt;="&amp;$A45,実績!$AD$6:$AD$505,"&gt;"&amp;$A45,実績!$AE$6:$AE$505,"○")&gt;0,1,0))</f>
        <v/>
      </c>
      <c r="CF45">
        <f>IF(CF$4=0,0,IF(COUNTIFS(実績!$W$6:$W$505,CF$3,実績!$AC$6:$AC$505,"&lt;="&amp;$A45,実績!$AD$6:$AD$505,"&gt;"&amp;$A45,実績!$AE$6:$AE$505,"○")&gt;0,1,0))</f>
        <v/>
      </c>
      <c r="CG45">
        <f>IF(CG$4=0,0,IF(COUNTIFS(実績!$W$6:$W$505,CG$3,実績!$AC$6:$AC$505,"&lt;="&amp;$A45,実績!$AD$6:$AD$505,"&gt;"&amp;$A45,実績!$AE$6:$AE$505,"○")&gt;0,1,0))</f>
        <v/>
      </c>
      <c r="CH45">
        <f>IF(CH$4=0,0,IF(COUNTIFS(実績!$W$6:$W$505,CH$3,実績!$AC$6:$AC$505,"&lt;="&amp;$A45,実績!$AD$6:$AD$505,"&gt;"&amp;$A45,実績!$AE$6:$AE$505,"○")&gt;0,1,0))</f>
        <v/>
      </c>
      <c r="CI45">
        <f>IF(CI$4=0,0,IF(COUNTIFS(実績!$W$6:$W$505,CI$3,実績!$AC$6:$AC$505,"&lt;="&amp;$A45,実績!$AD$6:$AD$505,"&gt;"&amp;$A45,実績!$AE$6:$AE$505,"○")&gt;0,1,0))</f>
        <v/>
      </c>
      <c r="CJ45">
        <f>IF(CJ$4=0,0,IF(COUNTIFS(実績!$W$6:$W$505,CJ$3,実績!$AC$6:$AC$505,"&lt;="&amp;$A45,実績!$AD$6:$AD$505,"&gt;"&amp;$A45,実績!$AE$6:$AE$505,"○")&gt;0,1,0))</f>
        <v/>
      </c>
      <c r="CK45">
        <f>IF(CK$4=0,0,IF(COUNTIFS(実績!$W$6:$W$505,CK$3,実績!$AC$6:$AC$505,"&lt;="&amp;$A45,実績!$AD$6:$AD$505,"&gt;"&amp;$A45,実績!$AE$6:$AE$505,"○")&gt;0,1,0))</f>
        <v/>
      </c>
      <c r="CL45">
        <f>IF(CL$4=0,0,IF(COUNTIFS(実績!$W$6:$W$505,CL$3,実績!$AC$6:$AC$505,"&lt;="&amp;$A45,実績!$AD$6:$AD$505,"&gt;"&amp;$A45,実績!$AE$6:$AE$505,"○")&gt;0,1,0))</f>
        <v/>
      </c>
      <c r="CM45">
        <f>IF(CM$4=0,0,IF(COUNTIFS(実績!$W$6:$W$505,CM$3,実績!$AC$6:$AC$505,"&lt;="&amp;$A45,実績!$AD$6:$AD$505,"&gt;"&amp;$A45,実績!$AE$6:$AE$505,"○")&gt;0,1,0))</f>
        <v/>
      </c>
      <c r="CN45">
        <f>IF(CN$4=0,0,IF(COUNTIFS(実績!$W$6:$W$505,CN$3,実績!$AC$6:$AC$505,"&lt;="&amp;$A45,実績!$AD$6:$AD$505,"&gt;"&amp;$A45,実績!$AE$6:$AE$505,"○")&gt;0,1,0))</f>
        <v/>
      </c>
      <c r="CO45">
        <f>IF(CO$4=0,0,IF(COUNTIFS(実績!$W$6:$W$505,CO$3,実績!$AC$6:$AC$505,"&lt;="&amp;$A45,実績!$AD$6:$AD$505,"&gt;"&amp;$A45,実績!$AE$6:$AE$505,"○")&gt;0,1,0))</f>
        <v/>
      </c>
      <c r="CP45">
        <f>IF(CP$4=0,0,IF(COUNTIFS(実績!$W$6:$W$505,CP$3,実績!$AC$6:$AC$505,"&lt;="&amp;$A45,実績!$AD$6:$AD$505,"&gt;"&amp;$A45,実績!$AE$6:$AE$505,"○")&gt;0,1,0))</f>
        <v/>
      </c>
      <c r="CQ45">
        <f>IF(CQ$4=0,0,IF(COUNTIFS(実績!$W$6:$W$505,CQ$3,実績!$AC$6:$AC$505,"&lt;="&amp;$A45,実績!$AD$6:$AD$505,"&gt;"&amp;$A45,実績!$AE$6:$AE$505,"○")&gt;0,1,0))</f>
        <v/>
      </c>
      <c r="CR45">
        <f>IF(CR$4=0,0,IF(COUNTIFS(実績!$W$6:$W$505,CR$3,実績!$AC$6:$AC$505,"&lt;="&amp;$A45,実績!$AD$6:$AD$505,"&gt;"&amp;$A45,実績!$AE$6:$AE$505,"○")&gt;0,1,0))</f>
        <v/>
      </c>
      <c r="CS45">
        <f>IF(CS$4=0,0,IF(COUNTIFS(実績!$W$6:$W$505,CS$3,実績!$AC$6:$AC$505,"&lt;="&amp;$A45,実績!$AD$6:$AD$505,"&gt;"&amp;$A45,実績!$AE$6:$AE$505,"○")&gt;0,1,0))</f>
        <v/>
      </c>
      <c r="CT45">
        <f>IF(CT$4=0,0,IF(COUNTIFS(実績!$W$6:$W$505,CT$3,実績!$AC$6:$AC$505,"&lt;="&amp;$A45,実績!$AD$6:$AD$505,"&gt;"&amp;$A45,実績!$AE$6:$AE$505,"○")&gt;0,1,0))</f>
        <v/>
      </c>
      <c r="CU45">
        <f>IF(CU$4=0,0,IF(COUNTIFS(実績!$W$6:$W$505,CU$3,実績!$AC$6:$AC$505,"&lt;="&amp;$A45,実績!$AD$6:$AD$505,"&gt;"&amp;$A45,実績!$AE$6:$AE$505,"○")&gt;0,1,0))</f>
        <v/>
      </c>
      <c r="CV45">
        <f>IF(CV$4=0,0,IF(COUNTIFS(実績!$W$6:$W$505,CV$3,実績!$AC$6:$AC$505,"&lt;="&amp;$A45,実績!$AD$6:$AD$505,"&gt;"&amp;$A45,実績!$AE$6:$AE$505,"○")&gt;0,1,0))</f>
        <v/>
      </c>
      <c r="CW45">
        <f>IF(CW$4=0,0,IF(COUNTIFS(実績!$W$6:$W$505,CW$3,実績!$AC$6:$AC$505,"&lt;="&amp;$A45,実績!$AD$6:$AD$505,"&gt;"&amp;$A45,実績!$AE$6:$AE$505,"○")&gt;0,1,0))</f>
        <v/>
      </c>
      <c r="CX45">
        <f>IF(CX$4=0,0,IF(COUNTIFS(実績!$W$6:$W$505,CX$3,実績!$AC$6:$AC$505,"&lt;="&amp;$A45,実績!$AD$6:$AD$505,"&gt;"&amp;$A45,実績!$AE$6:$AE$505,"○")&gt;0,1,0))</f>
        <v/>
      </c>
      <c r="CY45">
        <f>IF(CY$4=0,0,IF(COUNTIFS(実績!$W$6:$W$505,CY$3,実績!$AC$6:$AC$505,"&lt;="&amp;$A45,実績!$AD$6:$AD$505,"&gt;"&amp;$A45,実績!$AE$6:$AE$505,"○")&gt;0,1,0))</f>
        <v/>
      </c>
      <c r="CZ45">
        <f>IF(CZ$4=0,0,IF(COUNTIFS(実績!$W$6:$W$505,CZ$3,実績!$AC$6:$AC$505,"&lt;="&amp;$A45,実績!$AD$6:$AD$505,"&gt;"&amp;$A45,実績!$AE$6:$AE$505,"○")&gt;0,1,0))</f>
        <v/>
      </c>
      <c r="DA45">
        <f>IF(DA$4=0,0,IF(COUNTIFS(実績!$W$6:$W$505,DA$3,実績!$AC$6:$AC$505,"&lt;="&amp;$A45,実績!$AD$6:$AD$505,"&gt;"&amp;$A45,実績!$AE$6:$AE$505,"○")&gt;0,1,0))</f>
        <v/>
      </c>
      <c r="DB45">
        <f>IF(DB$4=0,0,IF(COUNTIFS(実績!$W$6:$W$505,DB$3,実績!$AC$6:$AC$505,"&lt;="&amp;$A45,実績!$AD$6:$AD$505,"&gt;"&amp;$A45,実績!$AE$6:$AE$505,"○")&gt;0,1,0))</f>
        <v/>
      </c>
      <c r="DC45">
        <f>IF(DC$4=0,0,IF(COUNTIFS(実績!$W$6:$W$505,DC$3,実績!$AC$6:$AC$505,"&lt;="&amp;$A45,実績!$AD$6:$AD$505,"&gt;"&amp;$A45,実績!$AE$6:$AE$505,"○")&gt;0,1,0))</f>
        <v/>
      </c>
      <c r="DD45">
        <f>IF(DD$4=0,0,IF(COUNTIFS(実績!$W$6:$W$505,DD$3,実績!$AC$6:$AC$505,"&lt;="&amp;$A45,実績!$AD$6:$AD$505,"&gt;"&amp;$A45,実績!$AE$6:$AE$505,"○")&gt;0,1,0))</f>
        <v/>
      </c>
      <c r="DE45">
        <f>IF(DE$4=0,0,IF(COUNTIFS(実績!$W$6:$W$505,DE$3,実績!$AC$6:$AC$505,"&lt;="&amp;$A45,実績!$AD$6:$AD$505,"&gt;"&amp;$A45,実績!$AE$6:$AE$505,"○")&gt;0,1,0))</f>
        <v/>
      </c>
      <c r="DF45">
        <f>IF(DF$4=0,0,IF(COUNTIFS(実績!$W$6:$W$505,DF$3,実績!$AC$6:$AC$505,"&lt;="&amp;$A45,実績!$AD$6:$AD$505,"&gt;"&amp;$A45,実績!$AE$6:$AE$505,"○")&gt;0,1,0))</f>
        <v/>
      </c>
      <c r="DG45">
        <f>IF(DG$4=0,0,IF(COUNTIFS(実績!$W$6:$W$505,DG$3,実績!$AC$6:$AC$505,"&lt;="&amp;$A45,実績!$AD$6:$AD$505,"&gt;"&amp;$A45,実績!$AE$6:$AE$505,"○")&gt;0,1,0))</f>
        <v/>
      </c>
      <c r="DH45">
        <f>IF(DH$4=0,0,IF(COUNTIFS(実績!$W$6:$W$505,DH$3,実績!$AC$6:$AC$505,"&lt;="&amp;$A45,実績!$AD$6:$AD$505,"&gt;"&amp;$A45,実績!$AE$6:$AE$505,"○")&gt;0,1,0))</f>
        <v/>
      </c>
      <c r="DI45">
        <f>IF(DI$4=0,0,IF(COUNTIFS(実績!$W$6:$W$505,DI$3,実績!$AC$6:$AC$505,"&lt;="&amp;$A45,実績!$AD$6:$AD$505,"&gt;"&amp;$A45,実績!$AE$6:$AE$505,"○")&gt;0,1,0))</f>
        <v/>
      </c>
      <c r="DJ45">
        <f>IF(DJ$4=0,0,IF(COUNTIFS(実績!$W$6:$W$505,DJ$3,実績!$AC$6:$AC$505,"&lt;="&amp;$A45,実績!$AD$6:$AD$505,"&gt;"&amp;$A45,実績!$AE$6:$AE$505,"○")&gt;0,1,0))</f>
        <v/>
      </c>
      <c r="DK45">
        <f>IF(DK$4=0,0,IF(COUNTIFS(実績!$W$6:$W$505,DK$3,実績!$AC$6:$AC$505,"&lt;="&amp;$A45,実績!$AD$6:$AD$505,"&gt;"&amp;$A45,実績!$AE$6:$AE$505,"○")&gt;0,1,0))</f>
        <v/>
      </c>
      <c r="DL45">
        <f>IF(DL$4=0,0,IF(COUNTIFS(実績!$W$6:$W$505,DL$3,実績!$AC$6:$AC$505,"&lt;="&amp;$A45,実績!$AD$6:$AD$505,"&gt;"&amp;$A45,実績!$AE$6:$AE$505,"○")&gt;0,1,0))</f>
        <v/>
      </c>
      <c r="DM45">
        <f>IF(DM$4=0,0,IF(COUNTIFS(実績!$W$6:$W$505,DM$3,実績!$AC$6:$AC$505,"&lt;="&amp;$A45,実績!$AD$6:$AD$505,"&gt;"&amp;$A45,実績!$AE$6:$AE$505,"○")&gt;0,1,0))</f>
        <v/>
      </c>
      <c r="DN45">
        <f>IF(DN$4=0,0,IF(COUNTIFS(実績!$W$6:$W$505,DN$3,実績!$AC$6:$AC$505,"&lt;="&amp;$A45,実績!$AD$6:$AD$505,"&gt;"&amp;$A45,実績!$AE$6:$AE$505,"○")&gt;0,1,0))</f>
        <v/>
      </c>
      <c r="DO45">
        <f>IF(DO$4=0,0,IF(COUNTIFS(実績!$W$6:$W$505,DO$3,実績!$AC$6:$AC$505,"&lt;="&amp;$A45,実績!$AD$6:$AD$505,"&gt;"&amp;$A45,実績!$AE$6:$AE$505,"○")&gt;0,1,0))</f>
        <v/>
      </c>
      <c r="DP45">
        <f>IF(DP$4=0,0,IF(COUNTIFS(実績!$W$6:$W$505,DP$3,実績!$AC$6:$AC$505,"&lt;="&amp;$A45,実績!$AD$6:$AD$505,"&gt;"&amp;$A45,実績!$AE$6:$AE$505,"○")&gt;0,1,0))</f>
        <v/>
      </c>
      <c r="DQ45">
        <f>IF(DQ$4=0,0,IF(COUNTIFS(実績!$W$6:$W$505,DQ$3,実績!$AC$6:$AC$505,"&lt;="&amp;$A45,実績!$AD$6:$AD$505,"&gt;"&amp;$A45,実績!$AE$6:$AE$505,"○")&gt;0,1,0))</f>
        <v/>
      </c>
      <c r="DR45">
        <f>IF(DR$4=0,0,IF(COUNTIFS(実績!$W$6:$W$505,DR$3,実績!$AC$6:$AC$505,"&lt;="&amp;$A45,実績!$AD$6:$AD$505,"&gt;"&amp;$A45,実績!$AE$6:$AE$505,"○")&gt;0,1,0))</f>
        <v/>
      </c>
      <c r="DS45">
        <f>SUM(C45:DR45)</f>
        <v/>
      </c>
      <c r="DT45">
        <f>SUMPRODUCT((実績!$C$6:$C$505="○")*ISNUMBER(実績!$AF$6:$AF$505)*(実績!$AF$6:$AF$505&lt;=$A45)*(実績!$AG$6:$AG$505&gt;$A45))</f>
        <v/>
      </c>
      <c r="DU45">
        <f>SUMIF($C$2:$DR$2,"製鉄曳船",C45:DR45)</f>
        <v/>
      </c>
      <c r="DV45">
        <f>SUMIF($C$2:$DR$2,"西日本海運",C45:DR45)</f>
        <v/>
      </c>
    </row>
    <row r="46">
      <c r="A46" t="n">
        <v>200</v>
      </c>
      <c r="B46" s="29">
        <f>A46/1440</f>
        <v/>
      </c>
      <c r="C46">
        <f>IF(C$4=0,0,IF(COUNTIFS(実績!$W$6:$W$505,C$3,実績!$AC$6:$AC$505,"&lt;="&amp;$A46,実績!$AD$6:$AD$505,"&gt;"&amp;$A46,実績!$AE$6:$AE$505,"○")&gt;0,1,0))</f>
        <v/>
      </c>
      <c r="D46">
        <f>IF(D$4=0,0,IF(COUNTIFS(実績!$W$6:$W$505,D$3,実績!$AC$6:$AC$505,"&lt;="&amp;$A46,実績!$AD$6:$AD$505,"&gt;"&amp;$A46,実績!$AE$6:$AE$505,"○")&gt;0,1,0))</f>
        <v/>
      </c>
      <c r="E46">
        <f>IF(E$4=0,0,IF(COUNTIFS(実績!$W$6:$W$505,E$3,実績!$AC$6:$AC$505,"&lt;="&amp;$A46,実績!$AD$6:$AD$505,"&gt;"&amp;$A46,実績!$AE$6:$AE$505,"○")&gt;0,1,0))</f>
        <v/>
      </c>
      <c r="F46">
        <f>IF(F$4=0,0,IF(COUNTIFS(実績!$W$6:$W$505,F$3,実績!$AC$6:$AC$505,"&lt;="&amp;$A46,実績!$AD$6:$AD$505,"&gt;"&amp;$A46,実績!$AE$6:$AE$505,"○")&gt;0,1,0))</f>
        <v/>
      </c>
      <c r="G46">
        <f>IF(G$4=0,0,IF(COUNTIFS(実績!$W$6:$W$505,G$3,実績!$AC$6:$AC$505,"&lt;="&amp;$A46,実績!$AD$6:$AD$505,"&gt;"&amp;$A46,実績!$AE$6:$AE$505,"○")&gt;0,1,0))</f>
        <v/>
      </c>
      <c r="H46">
        <f>IF(H$4=0,0,IF(COUNTIFS(実績!$W$6:$W$505,H$3,実績!$AC$6:$AC$505,"&lt;="&amp;$A46,実績!$AD$6:$AD$505,"&gt;"&amp;$A46,実績!$AE$6:$AE$505,"○")&gt;0,1,0))</f>
        <v/>
      </c>
      <c r="I46">
        <f>IF(I$4=0,0,IF(COUNTIFS(実績!$W$6:$W$505,I$3,実績!$AC$6:$AC$505,"&lt;="&amp;$A46,実績!$AD$6:$AD$505,"&gt;"&amp;$A46,実績!$AE$6:$AE$505,"○")&gt;0,1,0))</f>
        <v/>
      </c>
      <c r="J46">
        <f>IF(J$4=0,0,IF(COUNTIFS(実績!$W$6:$W$505,J$3,実績!$AC$6:$AC$505,"&lt;="&amp;$A46,実績!$AD$6:$AD$505,"&gt;"&amp;$A46,実績!$AE$6:$AE$505,"○")&gt;0,1,0))</f>
        <v/>
      </c>
      <c r="K46">
        <f>IF(K$4=0,0,IF(COUNTIFS(実績!$W$6:$W$505,K$3,実績!$AC$6:$AC$505,"&lt;="&amp;$A46,実績!$AD$6:$AD$505,"&gt;"&amp;$A46,実績!$AE$6:$AE$505,"○")&gt;0,1,0))</f>
        <v/>
      </c>
      <c r="L46">
        <f>IF(L$4=0,0,IF(COUNTIFS(実績!$W$6:$W$505,L$3,実績!$AC$6:$AC$505,"&lt;="&amp;$A46,実績!$AD$6:$AD$505,"&gt;"&amp;$A46,実績!$AE$6:$AE$505,"○")&gt;0,1,0))</f>
        <v/>
      </c>
      <c r="M46">
        <f>IF(M$4=0,0,IF(COUNTIFS(実績!$W$6:$W$505,M$3,実績!$AC$6:$AC$505,"&lt;="&amp;$A46,実績!$AD$6:$AD$505,"&gt;"&amp;$A46,実績!$AE$6:$AE$505,"○")&gt;0,1,0))</f>
        <v/>
      </c>
      <c r="N46">
        <f>IF(N$4=0,0,IF(COUNTIFS(実績!$W$6:$W$505,N$3,実績!$AC$6:$AC$505,"&lt;="&amp;$A46,実績!$AD$6:$AD$505,"&gt;"&amp;$A46,実績!$AE$6:$AE$505,"○")&gt;0,1,0))</f>
        <v/>
      </c>
      <c r="O46">
        <f>IF(O$4=0,0,IF(COUNTIFS(実績!$W$6:$W$505,O$3,実績!$AC$6:$AC$505,"&lt;="&amp;$A46,実績!$AD$6:$AD$505,"&gt;"&amp;$A46,実績!$AE$6:$AE$505,"○")&gt;0,1,0))</f>
        <v/>
      </c>
      <c r="P46">
        <f>IF(P$4=0,0,IF(COUNTIFS(実績!$W$6:$W$505,P$3,実績!$AC$6:$AC$505,"&lt;="&amp;$A46,実績!$AD$6:$AD$505,"&gt;"&amp;$A46,実績!$AE$6:$AE$505,"○")&gt;0,1,0))</f>
        <v/>
      </c>
      <c r="Q46">
        <f>IF(Q$4=0,0,IF(COUNTIFS(実績!$W$6:$W$505,Q$3,実績!$AC$6:$AC$505,"&lt;="&amp;$A46,実績!$AD$6:$AD$505,"&gt;"&amp;$A46,実績!$AE$6:$AE$505,"○")&gt;0,1,0))</f>
        <v/>
      </c>
      <c r="R46">
        <f>IF(R$4=0,0,IF(COUNTIFS(実績!$W$6:$W$505,R$3,実績!$AC$6:$AC$505,"&lt;="&amp;$A46,実績!$AD$6:$AD$505,"&gt;"&amp;$A46,実績!$AE$6:$AE$505,"○")&gt;0,1,0))</f>
        <v/>
      </c>
      <c r="S46">
        <f>IF(S$4=0,0,IF(COUNTIFS(実績!$W$6:$W$505,S$3,実績!$AC$6:$AC$505,"&lt;="&amp;$A46,実績!$AD$6:$AD$505,"&gt;"&amp;$A46,実績!$AE$6:$AE$505,"○")&gt;0,1,0))</f>
        <v/>
      </c>
      <c r="T46">
        <f>IF(T$4=0,0,IF(COUNTIFS(実績!$W$6:$W$505,T$3,実績!$AC$6:$AC$505,"&lt;="&amp;$A46,実績!$AD$6:$AD$505,"&gt;"&amp;$A46,実績!$AE$6:$AE$505,"○")&gt;0,1,0))</f>
        <v/>
      </c>
      <c r="U46">
        <f>IF(U$4=0,0,IF(COUNTIFS(実績!$W$6:$W$505,U$3,実績!$AC$6:$AC$505,"&lt;="&amp;$A46,実績!$AD$6:$AD$505,"&gt;"&amp;$A46,実績!$AE$6:$AE$505,"○")&gt;0,1,0))</f>
        <v/>
      </c>
      <c r="V46">
        <f>IF(V$4=0,0,IF(COUNTIFS(実績!$W$6:$W$505,V$3,実績!$AC$6:$AC$505,"&lt;="&amp;$A46,実績!$AD$6:$AD$505,"&gt;"&amp;$A46,実績!$AE$6:$AE$505,"○")&gt;0,1,0))</f>
        <v/>
      </c>
      <c r="W46">
        <f>IF(W$4=0,0,IF(COUNTIFS(実績!$W$6:$W$505,W$3,実績!$AC$6:$AC$505,"&lt;="&amp;$A46,実績!$AD$6:$AD$505,"&gt;"&amp;$A46,実績!$AE$6:$AE$505,"○")&gt;0,1,0))</f>
        <v/>
      </c>
      <c r="X46">
        <f>IF(X$4=0,0,IF(COUNTIFS(実績!$W$6:$W$505,X$3,実績!$AC$6:$AC$505,"&lt;="&amp;$A46,実績!$AD$6:$AD$505,"&gt;"&amp;$A46,実績!$AE$6:$AE$505,"○")&gt;0,1,0))</f>
        <v/>
      </c>
      <c r="Y46">
        <f>IF(Y$4=0,0,IF(COUNTIFS(実績!$W$6:$W$505,Y$3,実績!$AC$6:$AC$505,"&lt;="&amp;$A46,実績!$AD$6:$AD$505,"&gt;"&amp;$A46,実績!$AE$6:$AE$505,"○")&gt;0,1,0))</f>
        <v/>
      </c>
      <c r="Z46">
        <f>IF(Z$4=0,0,IF(COUNTIFS(実績!$W$6:$W$505,Z$3,実績!$AC$6:$AC$505,"&lt;="&amp;$A46,実績!$AD$6:$AD$505,"&gt;"&amp;$A46,実績!$AE$6:$AE$505,"○")&gt;0,1,0))</f>
        <v/>
      </c>
      <c r="AA46">
        <f>IF(AA$4=0,0,IF(COUNTIFS(実績!$W$6:$W$505,AA$3,実績!$AC$6:$AC$505,"&lt;="&amp;$A46,実績!$AD$6:$AD$505,"&gt;"&amp;$A46,実績!$AE$6:$AE$505,"○")&gt;0,1,0))</f>
        <v/>
      </c>
      <c r="AB46">
        <f>IF(AB$4=0,0,IF(COUNTIFS(実績!$W$6:$W$505,AB$3,実績!$AC$6:$AC$505,"&lt;="&amp;$A46,実績!$AD$6:$AD$505,"&gt;"&amp;$A46,実績!$AE$6:$AE$505,"○")&gt;0,1,0))</f>
        <v/>
      </c>
      <c r="AC46">
        <f>IF(AC$4=0,0,IF(COUNTIFS(実績!$W$6:$W$505,AC$3,実績!$AC$6:$AC$505,"&lt;="&amp;$A46,実績!$AD$6:$AD$505,"&gt;"&amp;$A46,実績!$AE$6:$AE$505,"○")&gt;0,1,0))</f>
        <v/>
      </c>
      <c r="AD46">
        <f>IF(AD$4=0,0,IF(COUNTIFS(実績!$W$6:$W$505,AD$3,実績!$AC$6:$AC$505,"&lt;="&amp;$A46,実績!$AD$6:$AD$505,"&gt;"&amp;$A46,実績!$AE$6:$AE$505,"○")&gt;0,1,0))</f>
        <v/>
      </c>
      <c r="AE46">
        <f>IF(AE$4=0,0,IF(COUNTIFS(実績!$W$6:$W$505,AE$3,実績!$AC$6:$AC$505,"&lt;="&amp;$A46,実績!$AD$6:$AD$505,"&gt;"&amp;$A46,実績!$AE$6:$AE$505,"○")&gt;0,1,0))</f>
        <v/>
      </c>
      <c r="AF46">
        <f>IF(AF$4=0,0,IF(COUNTIFS(実績!$W$6:$W$505,AF$3,実績!$AC$6:$AC$505,"&lt;="&amp;$A46,実績!$AD$6:$AD$505,"&gt;"&amp;$A46,実績!$AE$6:$AE$505,"○")&gt;0,1,0))</f>
        <v/>
      </c>
      <c r="AG46">
        <f>IF(AG$4=0,0,IF(COUNTIFS(実績!$W$6:$W$505,AG$3,実績!$AC$6:$AC$505,"&lt;="&amp;$A46,実績!$AD$6:$AD$505,"&gt;"&amp;$A46,実績!$AE$6:$AE$505,"○")&gt;0,1,0))</f>
        <v/>
      </c>
      <c r="AH46">
        <f>IF(AH$4=0,0,IF(COUNTIFS(実績!$W$6:$W$505,AH$3,実績!$AC$6:$AC$505,"&lt;="&amp;$A46,実績!$AD$6:$AD$505,"&gt;"&amp;$A46,実績!$AE$6:$AE$505,"○")&gt;0,1,0))</f>
        <v/>
      </c>
      <c r="AI46">
        <f>IF(AI$4=0,0,IF(COUNTIFS(実績!$W$6:$W$505,AI$3,実績!$AC$6:$AC$505,"&lt;="&amp;$A46,実績!$AD$6:$AD$505,"&gt;"&amp;$A46,実績!$AE$6:$AE$505,"○")&gt;0,1,0))</f>
        <v/>
      </c>
      <c r="AJ46">
        <f>IF(AJ$4=0,0,IF(COUNTIFS(実績!$W$6:$W$505,AJ$3,実績!$AC$6:$AC$505,"&lt;="&amp;$A46,実績!$AD$6:$AD$505,"&gt;"&amp;$A46,実績!$AE$6:$AE$505,"○")&gt;0,1,0))</f>
        <v/>
      </c>
      <c r="AK46">
        <f>IF(AK$4=0,0,IF(COUNTIFS(実績!$W$6:$W$505,AK$3,実績!$AC$6:$AC$505,"&lt;="&amp;$A46,実績!$AD$6:$AD$505,"&gt;"&amp;$A46,実績!$AE$6:$AE$505,"○")&gt;0,1,0))</f>
        <v/>
      </c>
      <c r="AL46">
        <f>IF(AL$4=0,0,IF(COUNTIFS(実績!$W$6:$W$505,AL$3,実績!$AC$6:$AC$505,"&lt;="&amp;$A46,実績!$AD$6:$AD$505,"&gt;"&amp;$A46,実績!$AE$6:$AE$505,"○")&gt;0,1,0))</f>
        <v/>
      </c>
      <c r="AM46">
        <f>IF(AM$4=0,0,IF(COUNTIFS(実績!$W$6:$W$505,AM$3,実績!$AC$6:$AC$505,"&lt;="&amp;$A46,実績!$AD$6:$AD$505,"&gt;"&amp;$A46,実績!$AE$6:$AE$505,"○")&gt;0,1,0))</f>
        <v/>
      </c>
      <c r="AN46">
        <f>IF(AN$4=0,0,IF(COUNTIFS(実績!$W$6:$W$505,AN$3,実績!$AC$6:$AC$505,"&lt;="&amp;$A46,実績!$AD$6:$AD$505,"&gt;"&amp;$A46,実績!$AE$6:$AE$505,"○")&gt;0,1,0))</f>
        <v/>
      </c>
      <c r="AO46">
        <f>IF(AO$4=0,0,IF(COUNTIFS(実績!$W$6:$W$505,AO$3,実績!$AC$6:$AC$505,"&lt;="&amp;$A46,実績!$AD$6:$AD$505,"&gt;"&amp;$A46,実績!$AE$6:$AE$505,"○")&gt;0,1,0))</f>
        <v/>
      </c>
      <c r="AP46">
        <f>IF(AP$4=0,0,IF(COUNTIFS(実績!$W$6:$W$505,AP$3,実績!$AC$6:$AC$505,"&lt;="&amp;$A46,実績!$AD$6:$AD$505,"&gt;"&amp;$A46,実績!$AE$6:$AE$505,"○")&gt;0,1,0))</f>
        <v/>
      </c>
      <c r="AQ46">
        <f>IF(AQ$4=0,0,IF(COUNTIFS(実績!$W$6:$W$505,AQ$3,実績!$AC$6:$AC$505,"&lt;="&amp;$A46,実績!$AD$6:$AD$505,"&gt;"&amp;$A46,実績!$AE$6:$AE$505,"○")&gt;0,1,0))</f>
        <v/>
      </c>
      <c r="AR46">
        <f>IF(AR$4=0,0,IF(COUNTIFS(実績!$W$6:$W$505,AR$3,実績!$AC$6:$AC$505,"&lt;="&amp;$A46,実績!$AD$6:$AD$505,"&gt;"&amp;$A46,実績!$AE$6:$AE$505,"○")&gt;0,1,0))</f>
        <v/>
      </c>
      <c r="AS46">
        <f>IF(AS$4=0,0,IF(COUNTIFS(実績!$W$6:$W$505,AS$3,実績!$AC$6:$AC$505,"&lt;="&amp;$A46,実績!$AD$6:$AD$505,"&gt;"&amp;$A46,実績!$AE$6:$AE$505,"○")&gt;0,1,0))</f>
        <v/>
      </c>
      <c r="AT46">
        <f>IF(AT$4=0,0,IF(COUNTIFS(実績!$W$6:$W$505,AT$3,実績!$AC$6:$AC$505,"&lt;="&amp;$A46,実績!$AD$6:$AD$505,"&gt;"&amp;$A46,実績!$AE$6:$AE$505,"○")&gt;0,1,0))</f>
        <v/>
      </c>
      <c r="AU46">
        <f>IF(AU$4=0,0,IF(COUNTIFS(実績!$W$6:$W$505,AU$3,実績!$AC$6:$AC$505,"&lt;="&amp;$A46,実績!$AD$6:$AD$505,"&gt;"&amp;$A46,実績!$AE$6:$AE$505,"○")&gt;0,1,0))</f>
        <v/>
      </c>
      <c r="AV46">
        <f>IF(AV$4=0,0,IF(COUNTIFS(実績!$W$6:$W$505,AV$3,実績!$AC$6:$AC$505,"&lt;="&amp;$A46,実績!$AD$6:$AD$505,"&gt;"&amp;$A46,実績!$AE$6:$AE$505,"○")&gt;0,1,0))</f>
        <v/>
      </c>
      <c r="AW46">
        <f>IF(AW$4=0,0,IF(COUNTIFS(実績!$W$6:$W$505,AW$3,実績!$AC$6:$AC$505,"&lt;="&amp;$A46,実績!$AD$6:$AD$505,"&gt;"&amp;$A46,実績!$AE$6:$AE$505,"○")&gt;0,1,0))</f>
        <v/>
      </c>
      <c r="AX46">
        <f>IF(AX$4=0,0,IF(COUNTIFS(実績!$W$6:$W$505,AX$3,実績!$AC$6:$AC$505,"&lt;="&amp;$A46,実績!$AD$6:$AD$505,"&gt;"&amp;$A46,実績!$AE$6:$AE$505,"○")&gt;0,1,0))</f>
        <v/>
      </c>
      <c r="AY46">
        <f>IF(AY$4=0,0,IF(COUNTIFS(実績!$W$6:$W$505,AY$3,実績!$AC$6:$AC$505,"&lt;="&amp;$A46,実績!$AD$6:$AD$505,"&gt;"&amp;$A46,実績!$AE$6:$AE$505,"○")&gt;0,1,0))</f>
        <v/>
      </c>
      <c r="AZ46">
        <f>IF(AZ$4=0,0,IF(COUNTIFS(実績!$W$6:$W$505,AZ$3,実績!$AC$6:$AC$505,"&lt;="&amp;$A46,実績!$AD$6:$AD$505,"&gt;"&amp;$A46,実績!$AE$6:$AE$505,"○")&gt;0,1,0))</f>
        <v/>
      </c>
      <c r="BA46">
        <f>IF(BA$4=0,0,IF(COUNTIFS(実績!$W$6:$W$505,BA$3,実績!$AC$6:$AC$505,"&lt;="&amp;$A46,実績!$AD$6:$AD$505,"&gt;"&amp;$A46,実績!$AE$6:$AE$505,"○")&gt;0,1,0))</f>
        <v/>
      </c>
      <c r="BB46">
        <f>IF(BB$4=0,0,IF(COUNTIFS(実績!$W$6:$W$505,BB$3,実績!$AC$6:$AC$505,"&lt;="&amp;$A46,実績!$AD$6:$AD$505,"&gt;"&amp;$A46,実績!$AE$6:$AE$505,"○")&gt;0,1,0))</f>
        <v/>
      </c>
      <c r="BC46">
        <f>IF(BC$4=0,0,IF(COUNTIFS(実績!$W$6:$W$505,BC$3,実績!$AC$6:$AC$505,"&lt;="&amp;$A46,実績!$AD$6:$AD$505,"&gt;"&amp;$A46,実績!$AE$6:$AE$505,"○")&gt;0,1,0))</f>
        <v/>
      </c>
      <c r="BD46">
        <f>IF(BD$4=0,0,IF(COUNTIFS(実績!$W$6:$W$505,BD$3,実績!$AC$6:$AC$505,"&lt;="&amp;$A46,実績!$AD$6:$AD$505,"&gt;"&amp;$A46,実績!$AE$6:$AE$505,"○")&gt;0,1,0))</f>
        <v/>
      </c>
      <c r="BE46">
        <f>IF(BE$4=0,0,IF(COUNTIFS(実績!$W$6:$W$505,BE$3,実績!$AC$6:$AC$505,"&lt;="&amp;$A46,実績!$AD$6:$AD$505,"&gt;"&amp;$A46,実績!$AE$6:$AE$505,"○")&gt;0,1,0))</f>
        <v/>
      </c>
      <c r="BF46">
        <f>IF(BF$4=0,0,IF(COUNTIFS(実績!$W$6:$W$505,BF$3,実績!$AC$6:$AC$505,"&lt;="&amp;$A46,実績!$AD$6:$AD$505,"&gt;"&amp;$A46,実績!$AE$6:$AE$505,"○")&gt;0,1,0))</f>
        <v/>
      </c>
      <c r="BG46">
        <f>IF(BG$4=0,0,IF(COUNTIFS(実績!$W$6:$W$505,BG$3,実績!$AC$6:$AC$505,"&lt;="&amp;$A46,実績!$AD$6:$AD$505,"&gt;"&amp;$A46,実績!$AE$6:$AE$505,"○")&gt;0,1,0))</f>
        <v/>
      </c>
      <c r="BH46">
        <f>IF(BH$4=0,0,IF(COUNTIFS(実績!$W$6:$W$505,BH$3,実績!$AC$6:$AC$505,"&lt;="&amp;$A46,実績!$AD$6:$AD$505,"&gt;"&amp;$A46,実績!$AE$6:$AE$505,"○")&gt;0,1,0))</f>
        <v/>
      </c>
      <c r="BI46">
        <f>IF(BI$4=0,0,IF(COUNTIFS(実績!$W$6:$W$505,BI$3,実績!$AC$6:$AC$505,"&lt;="&amp;$A46,実績!$AD$6:$AD$505,"&gt;"&amp;$A46,実績!$AE$6:$AE$505,"○")&gt;0,1,0))</f>
        <v/>
      </c>
      <c r="BJ46">
        <f>IF(BJ$4=0,0,IF(COUNTIFS(実績!$W$6:$W$505,BJ$3,実績!$AC$6:$AC$505,"&lt;="&amp;$A46,実績!$AD$6:$AD$505,"&gt;"&amp;$A46,実績!$AE$6:$AE$505,"○")&gt;0,1,0))</f>
        <v/>
      </c>
      <c r="BK46">
        <f>IF(BK$4=0,0,IF(COUNTIFS(実績!$W$6:$W$505,BK$3,実績!$AC$6:$AC$505,"&lt;="&amp;$A46,実績!$AD$6:$AD$505,"&gt;"&amp;$A46,実績!$AE$6:$AE$505,"○")&gt;0,1,0))</f>
        <v/>
      </c>
      <c r="BL46">
        <f>IF(BL$4=0,0,IF(COUNTIFS(実績!$W$6:$W$505,BL$3,実績!$AC$6:$AC$505,"&lt;="&amp;$A46,実績!$AD$6:$AD$505,"&gt;"&amp;$A46,実績!$AE$6:$AE$505,"○")&gt;0,1,0))</f>
        <v/>
      </c>
      <c r="BM46">
        <f>IF(BM$4=0,0,IF(COUNTIFS(実績!$W$6:$W$505,BM$3,実績!$AC$6:$AC$505,"&lt;="&amp;$A46,実績!$AD$6:$AD$505,"&gt;"&amp;$A46,実績!$AE$6:$AE$505,"○")&gt;0,1,0))</f>
        <v/>
      </c>
      <c r="BN46">
        <f>IF(BN$4=0,0,IF(COUNTIFS(実績!$W$6:$W$505,BN$3,実績!$AC$6:$AC$505,"&lt;="&amp;$A46,実績!$AD$6:$AD$505,"&gt;"&amp;$A46,実績!$AE$6:$AE$505,"○")&gt;0,1,0))</f>
        <v/>
      </c>
      <c r="BO46">
        <f>IF(BO$4=0,0,IF(COUNTIFS(実績!$W$6:$W$505,BO$3,実績!$AC$6:$AC$505,"&lt;="&amp;$A46,実績!$AD$6:$AD$505,"&gt;"&amp;$A46,実績!$AE$6:$AE$505,"○")&gt;0,1,0))</f>
        <v/>
      </c>
      <c r="BP46">
        <f>IF(BP$4=0,0,IF(COUNTIFS(実績!$W$6:$W$505,BP$3,実績!$AC$6:$AC$505,"&lt;="&amp;$A46,実績!$AD$6:$AD$505,"&gt;"&amp;$A46,実績!$AE$6:$AE$505,"○")&gt;0,1,0))</f>
        <v/>
      </c>
      <c r="BQ46">
        <f>IF(BQ$4=0,0,IF(COUNTIFS(実績!$W$6:$W$505,BQ$3,実績!$AC$6:$AC$505,"&lt;="&amp;$A46,実績!$AD$6:$AD$505,"&gt;"&amp;$A46,実績!$AE$6:$AE$505,"○")&gt;0,1,0))</f>
        <v/>
      </c>
      <c r="BR46">
        <f>IF(BR$4=0,0,IF(COUNTIFS(実績!$W$6:$W$505,BR$3,実績!$AC$6:$AC$505,"&lt;="&amp;$A46,実績!$AD$6:$AD$505,"&gt;"&amp;$A46,実績!$AE$6:$AE$505,"○")&gt;0,1,0))</f>
        <v/>
      </c>
      <c r="BS46">
        <f>IF(BS$4=0,0,IF(COUNTIFS(実績!$W$6:$W$505,BS$3,実績!$AC$6:$AC$505,"&lt;="&amp;$A46,実績!$AD$6:$AD$505,"&gt;"&amp;$A46,実績!$AE$6:$AE$505,"○")&gt;0,1,0))</f>
        <v/>
      </c>
      <c r="BT46">
        <f>IF(BT$4=0,0,IF(COUNTIFS(実績!$W$6:$W$505,BT$3,実績!$AC$6:$AC$505,"&lt;="&amp;$A46,実績!$AD$6:$AD$505,"&gt;"&amp;$A46,実績!$AE$6:$AE$505,"○")&gt;0,1,0))</f>
        <v/>
      </c>
      <c r="BU46">
        <f>IF(BU$4=0,0,IF(COUNTIFS(実績!$W$6:$W$505,BU$3,実績!$AC$6:$AC$505,"&lt;="&amp;$A46,実績!$AD$6:$AD$505,"&gt;"&amp;$A46,実績!$AE$6:$AE$505,"○")&gt;0,1,0))</f>
        <v/>
      </c>
      <c r="BV46">
        <f>IF(BV$4=0,0,IF(COUNTIFS(実績!$W$6:$W$505,BV$3,実績!$AC$6:$AC$505,"&lt;="&amp;$A46,実績!$AD$6:$AD$505,"&gt;"&amp;$A46,実績!$AE$6:$AE$505,"○")&gt;0,1,0))</f>
        <v/>
      </c>
      <c r="BW46">
        <f>IF(BW$4=0,0,IF(COUNTIFS(実績!$W$6:$W$505,BW$3,実績!$AC$6:$AC$505,"&lt;="&amp;$A46,実績!$AD$6:$AD$505,"&gt;"&amp;$A46,実績!$AE$6:$AE$505,"○")&gt;0,1,0))</f>
        <v/>
      </c>
      <c r="BX46">
        <f>IF(BX$4=0,0,IF(COUNTIFS(実績!$W$6:$W$505,BX$3,実績!$AC$6:$AC$505,"&lt;="&amp;$A46,実績!$AD$6:$AD$505,"&gt;"&amp;$A46,実績!$AE$6:$AE$505,"○")&gt;0,1,0))</f>
        <v/>
      </c>
      <c r="BY46">
        <f>IF(BY$4=0,0,IF(COUNTIFS(実績!$W$6:$W$505,BY$3,実績!$AC$6:$AC$505,"&lt;="&amp;$A46,実績!$AD$6:$AD$505,"&gt;"&amp;$A46,実績!$AE$6:$AE$505,"○")&gt;0,1,0))</f>
        <v/>
      </c>
      <c r="BZ46">
        <f>IF(BZ$4=0,0,IF(COUNTIFS(実績!$W$6:$W$505,BZ$3,実績!$AC$6:$AC$505,"&lt;="&amp;$A46,実績!$AD$6:$AD$505,"&gt;"&amp;$A46,実績!$AE$6:$AE$505,"○")&gt;0,1,0))</f>
        <v/>
      </c>
      <c r="CA46">
        <f>IF(CA$4=0,0,IF(COUNTIFS(実績!$W$6:$W$505,CA$3,実績!$AC$6:$AC$505,"&lt;="&amp;$A46,実績!$AD$6:$AD$505,"&gt;"&amp;$A46,実績!$AE$6:$AE$505,"○")&gt;0,1,0))</f>
        <v/>
      </c>
      <c r="CB46">
        <f>IF(CB$4=0,0,IF(COUNTIFS(実績!$W$6:$W$505,CB$3,実績!$AC$6:$AC$505,"&lt;="&amp;$A46,実績!$AD$6:$AD$505,"&gt;"&amp;$A46,実績!$AE$6:$AE$505,"○")&gt;0,1,0))</f>
        <v/>
      </c>
      <c r="CC46">
        <f>IF(CC$4=0,0,IF(COUNTIFS(実績!$W$6:$W$505,CC$3,実績!$AC$6:$AC$505,"&lt;="&amp;$A46,実績!$AD$6:$AD$505,"&gt;"&amp;$A46,実績!$AE$6:$AE$505,"○")&gt;0,1,0))</f>
        <v/>
      </c>
      <c r="CD46">
        <f>IF(CD$4=0,0,IF(COUNTIFS(実績!$W$6:$W$505,CD$3,実績!$AC$6:$AC$505,"&lt;="&amp;$A46,実績!$AD$6:$AD$505,"&gt;"&amp;$A46,実績!$AE$6:$AE$505,"○")&gt;0,1,0))</f>
        <v/>
      </c>
      <c r="CE46">
        <f>IF(CE$4=0,0,IF(COUNTIFS(実績!$W$6:$W$505,CE$3,実績!$AC$6:$AC$505,"&lt;="&amp;$A46,実績!$AD$6:$AD$505,"&gt;"&amp;$A46,実績!$AE$6:$AE$505,"○")&gt;0,1,0))</f>
        <v/>
      </c>
      <c r="CF46">
        <f>IF(CF$4=0,0,IF(COUNTIFS(実績!$W$6:$W$505,CF$3,実績!$AC$6:$AC$505,"&lt;="&amp;$A46,実績!$AD$6:$AD$505,"&gt;"&amp;$A46,実績!$AE$6:$AE$505,"○")&gt;0,1,0))</f>
        <v/>
      </c>
      <c r="CG46">
        <f>IF(CG$4=0,0,IF(COUNTIFS(実績!$W$6:$W$505,CG$3,実績!$AC$6:$AC$505,"&lt;="&amp;$A46,実績!$AD$6:$AD$505,"&gt;"&amp;$A46,実績!$AE$6:$AE$505,"○")&gt;0,1,0))</f>
        <v/>
      </c>
      <c r="CH46">
        <f>IF(CH$4=0,0,IF(COUNTIFS(実績!$W$6:$W$505,CH$3,実績!$AC$6:$AC$505,"&lt;="&amp;$A46,実績!$AD$6:$AD$505,"&gt;"&amp;$A46,実績!$AE$6:$AE$505,"○")&gt;0,1,0))</f>
        <v/>
      </c>
      <c r="CI46">
        <f>IF(CI$4=0,0,IF(COUNTIFS(実績!$W$6:$W$505,CI$3,実績!$AC$6:$AC$505,"&lt;="&amp;$A46,実績!$AD$6:$AD$505,"&gt;"&amp;$A46,実績!$AE$6:$AE$505,"○")&gt;0,1,0))</f>
        <v/>
      </c>
      <c r="CJ46">
        <f>IF(CJ$4=0,0,IF(COUNTIFS(実績!$W$6:$W$505,CJ$3,実績!$AC$6:$AC$505,"&lt;="&amp;$A46,実績!$AD$6:$AD$505,"&gt;"&amp;$A46,実績!$AE$6:$AE$505,"○")&gt;0,1,0))</f>
        <v/>
      </c>
      <c r="CK46">
        <f>IF(CK$4=0,0,IF(COUNTIFS(実績!$W$6:$W$505,CK$3,実績!$AC$6:$AC$505,"&lt;="&amp;$A46,実績!$AD$6:$AD$505,"&gt;"&amp;$A46,実績!$AE$6:$AE$505,"○")&gt;0,1,0))</f>
        <v/>
      </c>
      <c r="CL46">
        <f>IF(CL$4=0,0,IF(COUNTIFS(実績!$W$6:$W$505,CL$3,実績!$AC$6:$AC$505,"&lt;="&amp;$A46,実績!$AD$6:$AD$505,"&gt;"&amp;$A46,実績!$AE$6:$AE$505,"○")&gt;0,1,0))</f>
        <v/>
      </c>
      <c r="CM46">
        <f>IF(CM$4=0,0,IF(COUNTIFS(実績!$W$6:$W$505,CM$3,実績!$AC$6:$AC$505,"&lt;="&amp;$A46,実績!$AD$6:$AD$505,"&gt;"&amp;$A46,実績!$AE$6:$AE$505,"○")&gt;0,1,0))</f>
        <v/>
      </c>
      <c r="CN46">
        <f>IF(CN$4=0,0,IF(COUNTIFS(実績!$W$6:$W$505,CN$3,実績!$AC$6:$AC$505,"&lt;="&amp;$A46,実績!$AD$6:$AD$505,"&gt;"&amp;$A46,実績!$AE$6:$AE$505,"○")&gt;0,1,0))</f>
        <v/>
      </c>
      <c r="CO46">
        <f>IF(CO$4=0,0,IF(COUNTIFS(実績!$W$6:$W$505,CO$3,実績!$AC$6:$AC$505,"&lt;="&amp;$A46,実績!$AD$6:$AD$505,"&gt;"&amp;$A46,実績!$AE$6:$AE$505,"○")&gt;0,1,0))</f>
        <v/>
      </c>
      <c r="CP46">
        <f>IF(CP$4=0,0,IF(COUNTIFS(実績!$W$6:$W$505,CP$3,実績!$AC$6:$AC$505,"&lt;="&amp;$A46,実績!$AD$6:$AD$505,"&gt;"&amp;$A46,実績!$AE$6:$AE$505,"○")&gt;0,1,0))</f>
        <v/>
      </c>
      <c r="CQ46">
        <f>IF(CQ$4=0,0,IF(COUNTIFS(実績!$W$6:$W$505,CQ$3,実績!$AC$6:$AC$505,"&lt;="&amp;$A46,実績!$AD$6:$AD$505,"&gt;"&amp;$A46,実績!$AE$6:$AE$505,"○")&gt;0,1,0))</f>
        <v/>
      </c>
      <c r="CR46">
        <f>IF(CR$4=0,0,IF(COUNTIFS(実績!$W$6:$W$505,CR$3,実績!$AC$6:$AC$505,"&lt;="&amp;$A46,実績!$AD$6:$AD$505,"&gt;"&amp;$A46,実績!$AE$6:$AE$505,"○")&gt;0,1,0))</f>
        <v/>
      </c>
      <c r="CS46">
        <f>IF(CS$4=0,0,IF(COUNTIFS(実績!$W$6:$W$505,CS$3,実績!$AC$6:$AC$505,"&lt;="&amp;$A46,実績!$AD$6:$AD$505,"&gt;"&amp;$A46,実績!$AE$6:$AE$505,"○")&gt;0,1,0))</f>
        <v/>
      </c>
      <c r="CT46">
        <f>IF(CT$4=0,0,IF(COUNTIFS(実績!$W$6:$W$505,CT$3,実績!$AC$6:$AC$505,"&lt;="&amp;$A46,実績!$AD$6:$AD$505,"&gt;"&amp;$A46,実績!$AE$6:$AE$505,"○")&gt;0,1,0))</f>
        <v/>
      </c>
      <c r="CU46">
        <f>IF(CU$4=0,0,IF(COUNTIFS(実績!$W$6:$W$505,CU$3,実績!$AC$6:$AC$505,"&lt;="&amp;$A46,実績!$AD$6:$AD$505,"&gt;"&amp;$A46,実績!$AE$6:$AE$505,"○")&gt;0,1,0))</f>
        <v/>
      </c>
      <c r="CV46">
        <f>IF(CV$4=0,0,IF(COUNTIFS(実績!$W$6:$W$505,CV$3,実績!$AC$6:$AC$505,"&lt;="&amp;$A46,実績!$AD$6:$AD$505,"&gt;"&amp;$A46,実績!$AE$6:$AE$505,"○")&gt;0,1,0))</f>
        <v/>
      </c>
      <c r="CW46">
        <f>IF(CW$4=0,0,IF(COUNTIFS(実績!$W$6:$W$505,CW$3,実績!$AC$6:$AC$505,"&lt;="&amp;$A46,実績!$AD$6:$AD$505,"&gt;"&amp;$A46,実績!$AE$6:$AE$505,"○")&gt;0,1,0))</f>
        <v/>
      </c>
      <c r="CX46">
        <f>IF(CX$4=0,0,IF(COUNTIFS(実績!$W$6:$W$505,CX$3,実績!$AC$6:$AC$505,"&lt;="&amp;$A46,実績!$AD$6:$AD$505,"&gt;"&amp;$A46,実績!$AE$6:$AE$505,"○")&gt;0,1,0))</f>
        <v/>
      </c>
      <c r="CY46">
        <f>IF(CY$4=0,0,IF(COUNTIFS(実績!$W$6:$W$505,CY$3,実績!$AC$6:$AC$505,"&lt;="&amp;$A46,実績!$AD$6:$AD$505,"&gt;"&amp;$A46,実績!$AE$6:$AE$505,"○")&gt;0,1,0))</f>
        <v/>
      </c>
      <c r="CZ46">
        <f>IF(CZ$4=0,0,IF(COUNTIFS(実績!$W$6:$W$505,CZ$3,実績!$AC$6:$AC$505,"&lt;="&amp;$A46,実績!$AD$6:$AD$505,"&gt;"&amp;$A46,実績!$AE$6:$AE$505,"○")&gt;0,1,0))</f>
        <v/>
      </c>
      <c r="DA46">
        <f>IF(DA$4=0,0,IF(COUNTIFS(実績!$W$6:$W$505,DA$3,実績!$AC$6:$AC$505,"&lt;="&amp;$A46,実績!$AD$6:$AD$505,"&gt;"&amp;$A46,実績!$AE$6:$AE$505,"○")&gt;0,1,0))</f>
        <v/>
      </c>
      <c r="DB46">
        <f>IF(DB$4=0,0,IF(COUNTIFS(実績!$W$6:$W$505,DB$3,実績!$AC$6:$AC$505,"&lt;="&amp;$A46,実績!$AD$6:$AD$505,"&gt;"&amp;$A46,実績!$AE$6:$AE$505,"○")&gt;0,1,0))</f>
        <v/>
      </c>
      <c r="DC46">
        <f>IF(DC$4=0,0,IF(COUNTIFS(実績!$W$6:$W$505,DC$3,実績!$AC$6:$AC$505,"&lt;="&amp;$A46,実績!$AD$6:$AD$505,"&gt;"&amp;$A46,実績!$AE$6:$AE$505,"○")&gt;0,1,0))</f>
        <v/>
      </c>
      <c r="DD46">
        <f>IF(DD$4=0,0,IF(COUNTIFS(実績!$W$6:$W$505,DD$3,実績!$AC$6:$AC$505,"&lt;="&amp;$A46,実績!$AD$6:$AD$505,"&gt;"&amp;$A46,実績!$AE$6:$AE$505,"○")&gt;0,1,0))</f>
        <v/>
      </c>
      <c r="DE46">
        <f>IF(DE$4=0,0,IF(COUNTIFS(実績!$W$6:$W$505,DE$3,実績!$AC$6:$AC$505,"&lt;="&amp;$A46,実績!$AD$6:$AD$505,"&gt;"&amp;$A46,実績!$AE$6:$AE$505,"○")&gt;0,1,0))</f>
        <v/>
      </c>
      <c r="DF46">
        <f>IF(DF$4=0,0,IF(COUNTIFS(実績!$W$6:$W$505,DF$3,実績!$AC$6:$AC$505,"&lt;="&amp;$A46,実績!$AD$6:$AD$505,"&gt;"&amp;$A46,実績!$AE$6:$AE$505,"○")&gt;0,1,0))</f>
        <v/>
      </c>
      <c r="DG46">
        <f>IF(DG$4=0,0,IF(COUNTIFS(実績!$W$6:$W$505,DG$3,実績!$AC$6:$AC$505,"&lt;="&amp;$A46,実績!$AD$6:$AD$505,"&gt;"&amp;$A46,実績!$AE$6:$AE$505,"○")&gt;0,1,0))</f>
        <v/>
      </c>
      <c r="DH46">
        <f>IF(DH$4=0,0,IF(COUNTIFS(実績!$W$6:$W$505,DH$3,実績!$AC$6:$AC$505,"&lt;="&amp;$A46,実績!$AD$6:$AD$505,"&gt;"&amp;$A46,実績!$AE$6:$AE$505,"○")&gt;0,1,0))</f>
        <v/>
      </c>
      <c r="DI46">
        <f>IF(DI$4=0,0,IF(COUNTIFS(実績!$W$6:$W$505,DI$3,実績!$AC$6:$AC$505,"&lt;="&amp;$A46,実績!$AD$6:$AD$505,"&gt;"&amp;$A46,実績!$AE$6:$AE$505,"○")&gt;0,1,0))</f>
        <v/>
      </c>
      <c r="DJ46">
        <f>IF(DJ$4=0,0,IF(COUNTIFS(実績!$W$6:$W$505,DJ$3,実績!$AC$6:$AC$505,"&lt;="&amp;$A46,実績!$AD$6:$AD$505,"&gt;"&amp;$A46,実績!$AE$6:$AE$505,"○")&gt;0,1,0))</f>
        <v/>
      </c>
      <c r="DK46">
        <f>IF(DK$4=0,0,IF(COUNTIFS(実績!$W$6:$W$505,DK$3,実績!$AC$6:$AC$505,"&lt;="&amp;$A46,実績!$AD$6:$AD$505,"&gt;"&amp;$A46,実績!$AE$6:$AE$505,"○")&gt;0,1,0))</f>
        <v/>
      </c>
      <c r="DL46">
        <f>IF(DL$4=0,0,IF(COUNTIFS(実績!$W$6:$W$505,DL$3,実績!$AC$6:$AC$505,"&lt;="&amp;$A46,実績!$AD$6:$AD$505,"&gt;"&amp;$A46,実績!$AE$6:$AE$505,"○")&gt;0,1,0))</f>
        <v/>
      </c>
      <c r="DM46">
        <f>IF(DM$4=0,0,IF(COUNTIFS(実績!$W$6:$W$505,DM$3,実績!$AC$6:$AC$505,"&lt;="&amp;$A46,実績!$AD$6:$AD$505,"&gt;"&amp;$A46,実績!$AE$6:$AE$505,"○")&gt;0,1,0))</f>
        <v/>
      </c>
      <c r="DN46">
        <f>IF(DN$4=0,0,IF(COUNTIFS(実績!$W$6:$W$505,DN$3,実績!$AC$6:$AC$505,"&lt;="&amp;$A46,実績!$AD$6:$AD$505,"&gt;"&amp;$A46,実績!$AE$6:$AE$505,"○")&gt;0,1,0))</f>
        <v/>
      </c>
      <c r="DO46">
        <f>IF(DO$4=0,0,IF(COUNTIFS(実績!$W$6:$W$505,DO$3,実績!$AC$6:$AC$505,"&lt;="&amp;$A46,実績!$AD$6:$AD$505,"&gt;"&amp;$A46,実績!$AE$6:$AE$505,"○")&gt;0,1,0))</f>
        <v/>
      </c>
      <c r="DP46">
        <f>IF(DP$4=0,0,IF(COUNTIFS(実績!$W$6:$W$505,DP$3,実績!$AC$6:$AC$505,"&lt;="&amp;$A46,実績!$AD$6:$AD$505,"&gt;"&amp;$A46,実績!$AE$6:$AE$505,"○")&gt;0,1,0))</f>
        <v/>
      </c>
      <c r="DQ46">
        <f>IF(DQ$4=0,0,IF(COUNTIFS(実績!$W$6:$W$505,DQ$3,実績!$AC$6:$AC$505,"&lt;="&amp;$A46,実績!$AD$6:$AD$505,"&gt;"&amp;$A46,実績!$AE$6:$AE$505,"○")&gt;0,1,0))</f>
        <v/>
      </c>
      <c r="DR46">
        <f>IF(DR$4=0,0,IF(COUNTIFS(実績!$W$6:$W$505,DR$3,実績!$AC$6:$AC$505,"&lt;="&amp;$A46,実績!$AD$6:$AD$505,"&gt;"&amp;$A46,実績!$AE$6:$AE$505,"○")&gt;0,1,0))</f>
        <v/>
      </c>
      <c r="DS46">
        <f>SUM(C46:DR46)</f>
        <v/>
      </c>
      <c r="DT46">
        <f>SUMPRODUCT((実績!$C$6:$C$505="○")*ISNUMBER(実績!$AF$6:$AF$505)*(実績!$AF$6:$AF$505&lt;=$A46)*(実績!$AG$6:$AG$505&gt;$A46))</f>
        <v/>
      </c>
      <c r="DU46">
        <f>SUMIF($C$2:$DR$2,"製鉄曳船",C46:DR46)</f>
        <v/>
      </c>
      <c r="DV46">
        <f>SUMIF($C$2:$DR$2,"西日本海運",C46:DR46)</f>
        <v/>
      </c>
    </row>
    <row r="47">
      <c r="A47" t="n">
        <v>205</v>
      </c>
      <c r="B47" s="29">
        <f>A47/1440</f>
        <v/>
      </c>
      <c r="C47">
        <f>IF(C$4=0,0,IF(COUNTIFS(実績!$W$6:$W$505,C$3,実績!$AC$6:$AC$505,"&lt;="&amp;$A47,実績!$AD$6:$AD$505,"&gt;"&amp;$A47,実績!$AE$6:$AE$505,"○")&gt;0,1,0))</f>
        <v/>
      </c>
      <c r="D47">
        <f>IF(D$4=0,0,IF(COUNTIFS(実績!$W$6:$W$505,D$3,実績!$AC$6:$AC$505,"&lt;="&amp;$A47,実績!$AD$6:$AD$505,"&gt;"&amp;$A47,実績!$AE$6:$AE$505,"○")&gt;0,1,0))</f>
        <v/>
      </c>
      <c r="E47">
        <f>IF(E$4=0,0,IF(COUNTIFS(実績!$W$6:$W$505,E$3,実績!$AC$6:$AC$505,"&lt;="&amp;$A47,実績!$AD$6:$AD$505,"&gt;"&amp;$A47,実績!$AE$6:$AE$505,"○")&gt;0,1,0))</f>
        <v/>
      </c>
      <c r="F47">
        <f>IF(F$4=0,0,IF(COUNTIFS(実績!$W$6:$W$505,F$3,実績!$AC$6:$AC$505,"&lt;="&amp;$A47,実績!$AD$6:$AD$505,"&gt;"&amp;$A47,実績!$AE$6:$AE$505,"○")&gt;0,1,0))</f>
        <v/>
      </c>
      <c r="G47">
        <f>IF(G$4=0,0,IF(COUNTIFS(実績!$W$6:$W$505,G$3,実績!$AC$6:$AC$505,"&lt;="&amp;$A47,実績!$AD$6:$AD$505,"&gt;"&amp;$A47,実績!$AE$6:$AE$505,"○")&gt;0,1,0))</f>
        <v/>
      </c>
      <c r="H47">
        <f>IF(H$4=0,0,IF(COUNTIFS(実績!$W$6:$W$505,H$3,実績!$AC$6:$AC$505,"&lt;="&amp;$A47,実績!$AD$6:$AD$505,"&gt;"&amp;$A47,実績!$AE$6:$AE$505,"○")&gt;0,1,0))</f>
        <v/>
      </c>
      <c r="I47">
        <f>IF(I$4=0,0,IF(COUNTIFS(実績!$W$6:$W$505,I$3,実績!$AC$6:$AC$505,"&lt;="&amp;$A47,実績!$AD$6:$AD$505,"&gt;"&amp;$A47,実績!$AE$6:$AE$505,"○")&gt;0,1,0))</f>
        <v/>
      </c>
      <c r="J47">
        <f>IF(J$4=0,0,IF(COUNTIFS(実績!$W$6:$W$505,J$3,実績!$AC$6:$AC$505,"&lt;="&amp;$A47,実績!$AD$6:$AD$505,"&gt;"&amp;$A47,実績!$AE$6:$AE$505,"○")&gt;0,1,0))</f>
        <v/>
      </c>
      <c r="K47">
        <f>IF(K$4=0,0,IF(COUNTIFS(実績!$W$6:$W$505,K$3,実績!$AC$6:$AC$505,"&lt;="&amp;$A47,実績!$AD$6:$AD$505,"&gt;"&amp;$A47,実績!$AE$6:$AE$505,"○")&gt;0,1,0))</f>
        <v/>
      </c>
      <c r="L47">
        <f>IF(L$4=0,0,IF(COUNTIFS(実績!$W$6:$W$505,L$3,実績!$AC$6:$AC$505,"&lt;="&amp;$A47,実績!$AD$6:$AD$505,"&gt;"&amp;$A47,実績!$AE$6:$AE$505,"○")&gt;0,1,0))</f>
        <v/>
      </c>
      <c r="M47">
        <f>IF(M$4=0,0,IF(COUNTIFS(実績!$W$6:$W$505,M$3,実績!$AC$6:$AC$505,"&lt;="&amp;$A47,実績!$AD$6:$AD$505,"&gt;"&amp;$A47,実績!$AE$6:$AE$505,"○")&gt;0,1,0))</f>
        <v/>
      </c>
      <c r="N47">
        <f>IF(N$4=0,0,IF(COUNTIFS(実績!$W$6:$W$505,N$3,実績!$AC$6:$AC$505,"&lt;="&amp;$A47,実績!$AD$6:$AD$505,"&gt;"&amp;$A47,実績!$AE$6:$AE$505,"○")&gt;0,1,0))</f>
        <v/>
      </c>
      <c r="O47">
        <f>IF(O$4=0,0,IF(COUNTIFS(実績!$W$6:$W$505,O$3,実績!$AC$6:$AC$505,"&lt;="&amp;$A47,実績!$AD$6:$AD$505,"&gt;"&amp;$A47,実績!$AE$6:$AE$505,"○")&gt;0,1,0))</f>
        <v/>
      </c>
      <c r="P47">
        <f>IF(P$4=0,0,IF(COUNTIFS(実績!$W$6:$W$505,P$3,実績!$AC$6:$AC$505,"&lt;="&amp;$A47,実績!$AD$6:$AD$505,"&gt;"&amp;$A47,実績!$AE$6:$AE$505,"○")&gt;0,1,0))</f>
        <v/>
      </c>
      <c r="Q47">
        <f>IF(Q$4=0,0,IF(COUNTIFS(実績!$W$6:$W$505,Q$3,実績!$AC$6:$AC$505,"&lt;="&amp;$A47,実績!$AD$6:$AD$505,"&gt;"&amp;$A47,実績!$AE$6:$AE$505,"○")&gt;0,1,0))</f>
        <v/>
      </c>
      <c r="R47">
        <f>IF(R$4=0,0,IF(COUNTIFS(実績!$W$6:$W$505,R$3,実績!$AC$6:$AC$505,"&lt;="&amp;$A47,実績!$AD$6:$AD$505,"&gt;"&amp;$A47,実績!$AE$6:$AE$505,"○")&gt;0,1,0))</f>
        <v/>
      </c>
      <c r="S47">
        <f>IF(S$4=0,0,IF(COUNTIFS(実績!$W$6:$W$505,S$3,実績!$AC$6:$AC$505,"&lt;="&amp;$A47,実績!$AD$6:$AD$505,"&gt;"&amp;$A47,実績!$AE$6:$AE$505,"○")&gt;0,1,0))</f>
        <v/>
      </c>
      <c r="T47">
        <f>IF(T$4=0,0,IF(COUNTIFS(実績!$W$6:$W$505,T$3,実績!$AC$6:$AC$505,"&lt;="&amp;$A47,実績!$AD$6:$AD$505,"&gt;"&amp;$A47,実績!$AE$6:$AE$505,"○")&gt;0,1,0))</f>
        <v/>
      </c>
      <c r="U47">
        <f>IF(U$4=0,0,IF(COUNTIFS(実績!$W$6:$W$505,U$3,実績!$AC$6:$AC$505,"&lt;="&amp;$A47,実績!$AD$6:$AD$505,"&gt;"&amp;$A47,実績!$AE$6:$AE$505,"○")&gt;0,1,0))</f>
        <v/>
      </c>
      <c r="V47">
        <f>IF(V$4=0,0,IF(COUNTIFS(実績!$W$6:$W$505,V$3,実績!$AC$6:$AC$505,"&lt;="&amp;$A47,実績!$AD$6:$AD$505,"&gt;"&amp;$A47,実績!$AE$6:$AE$505,"○")&gt;0,1,0))</f>
        <v/>
      </c>
      <c r="W47">
        <f>IF(W$4=0,0,IF(COUNTIFS(実績!$W$6:$W$505,W$3,実績!$AC$6:$AC$505,"&lt;="&amp;$A47,実績!$AD$6:$AD$505,"&gt;"&amp;$A47,実績!$AE$6:$AE$505,"○")&gt;0,1,0))</f>
        <v/>
      </c>
      <c r="X47">
        <f>IF(X$4=0,0,IF(COUNTIFS(実績!$W$6:$W$505,X$3,実績!$AC$6:$AC$505,"&lt;="&amp;$A47,実績!$AD$6:$AD$505,"&gt;"&amp;$A47,実績!$AE$6:$AE$505,"○")&gt;0,1,0))</f>
        <v/>
      </c>
      <c r="Y47">
        <f>IF(Y$4=0,0,IF(COUNTIFS(実績!$W$6:$W$505,Y$3,実績!$AC$6:$AC$505,"&lt;="&amp;$A47,実績!$AD$6:$AD$505,"&gt;"&amp;$A47,実績!$AE$6:$AE$505,"○")&gt;0,1,0))</f>
        <v/>
      </c>
      <c r="Z47">
        <f>IF(Z$4=0,0,IF(COUNTIFS(実績!$W$6:$W$505,Z$3,実績!$AC$6:$AC$505,"&lt;="&amp;$A47,実績!$AD$6:$AD$505,"&gt;"&amp;$A47,実績!$AE$6:$AE$505,"○")&gt;0,1,0))</f>
        <v/>
      </c>
      <c r="AA47">
        <f>IF(AA$4=0,0,IF(COUNTIFS(実績!$W$6:$W$505,AA$3,実績!$AC$6:$AC$505,"&lt;="&amp;$A47,実績!$AD$6:$AD$505,"&gt;"&amp;$A47,実績!$AE$6:$AE$505,"○")&gt;0,1,0))</f>
        <v/>
      </c>
      <c r="AB47">
        <f>IF(AB$4=0,0,IF(COUNTIFS(実績!$W$6:$W$505,AB$3,実績!$AC$6:$AC$505,"&lt;="&amp;$A47,実績!$AD$6:$AD$505,"&gt;"&amp;$A47,実績!$AE$6:$AE$505,"○")&gt;0,1,0))</f>
        <v/>
      </c>
      <c r="AC47">
        <f>IF(AC$4=0,0,IF(COUNTIFS(実績!$W$6:$W$505,AC$3,実績!$AC$6:$AC$505,"&lt;="&amp;$A47,実績!$AD$6:$AD$505,"&gt;"&amp;$A47,実績!$AE$6:$AE$505,"○")&gt;0,1,0))</f>
        <v/>
      </c>
      <c r="AD47">
        <f>IF(AD$4=0,0,IF(COUNTIFS(実績!$W$6:$W$505,AD$3,実績!$AC$6:$AC$505,"&lt;="&amp;$A47,実績!$AD$6:$AD$505,"&gt;"&amp;$A47,実績!$AE$6:$AE$505,"○")&gt;0,1,0))</f>
        <v/>
      </c>
      <c r="AE47">
        <f>IF(AE$4=0,0,IF(COUNTIFS(実績!$W$6:$W$505,AE$3,実績!$AC$6:$AC$505,"&lt;="&amp;$A47,実績!$AD$6:$AD$505,"&gt;"&amp;$A47,実績!$AE$6:$AE$505,"○")&gt;0,1,0))</f>
        <v/>
      </c>
      <c r="AF47">
        <f>IF(AF$4=0,0,IF(COUNTIFS(実績!$W$6:$W$505,AF$3,実績!$AC$6:$AC$505,"&lt;="&amp;$A47,実績!$AD$6:$AD$505,"&gt;"&amp;$A47,実績!$AE$6:$AE$505,"○")&gt;0,1,0))</f>
        <v/>
      </c>
      <c r="AG47">
        <f>IF(AG$4=0,0,IF(COUNTIFS(実績!$W$6:$W$505,AG$3,実績!$AC$6:$AC$505,"&lt;="&amp;$A47,実績!$AD$6:$AD$505,"&gt;"&amp;$A47,実績!$AE$6:$AE$505,"○")&gt;0,1,0))</f>
        <v/>
      </c>
      <c r="AH47">
        <f>IF(AH$4=0,0,IF(COUNTIFS(実績!$W$6:$W$505,AH$3,実績!$AC$6:$AC$505,"&lt;="&amp;$A47,実績!$AD$6:$AD$505,"&gt;"&amp;$A47,実績!$AE$6:$AE$505,"○")&gt;0,1,0))</f>
        <v/>
      </c>
      <c r="AI47">
        <f>IF(AI$4=0,0,IF(COUNTIFS(実績!$W$6:$W$505,AI$3,実績!$AC$6:$AC$505,"&lt;="&amp;$A47,実績!$AD$6:$AD$505,"&gt;"&amp;$A47,実績!$AE$6:$AE$505,"○")&gt;0,1,0))</f>
        <v/>
      </c>
      <c r="AJ47">
        <f>IF(AJ$4=0,0,IF(COUNTIFS(実績!$W$6:$W$505,AJ$3,実績!$AC$6:$AC$505,"&lt;="&amp;$A47,実績!$AD$6:$AD$505,"&gt;"&amp;$A47,実績!$AE$6:$AE$505,"○")&gt;0,1,0))</f>
        <v/>
      </c>
      <c r="AK47">
        <f>IF(AK$4=0,0,IF(COUNTIFS(実績!$W$6:$W$505,AK$3,実績!$AC$6:$AC$505,"&lt;="&amp;$A47,実績!$AD$6:$AD$505,"&gt;"&amp;$A47,実績!$AE$6:$AE$505,"○")&gt;0,1,0))</f>
        <v/>
      </c>
      <c r="AL47">
        <f>IF(AL$4=0,0,IF(COUNTIFS(実績!$W$6:$W$505,AL$3,実績!$AC$6:$AC$505,"&lt;="&amp;$A47,実績!$AD$6:$AD$505,"&gt;"&amp;$A47,実績!$AE$6:$AE$505,"○")&gt;0,1,0))</f>
        <v/>
      </c>
      <c r="AM47">
        <f>IF(AM$4=0,0,IF(COUNTIFS(実績!$W$6:$W$505,AM$3,実績!$AC$6:$AC$505,"&lt;="&amp;$A47,実績!$AD$6:$AD$505,"&gt;"&amp;$A47,実績!$AE$6:$AE$505,"○")&gt;0,1,0))</f>
        <v/>
      </c>
      <c r="AN47">
        <f>IF(AN$4=0,0,IF(COUNTIFS(実績!$W$6:$W$505,AN$3,実績!$AC$6:$AC$505,"&lt;="&amp;$A47,実績!$AD$6:$AD$505,"&gt;"&amp;$A47,実績!$AE$6:$AE$505,"○")&gt;0,1,0))</f>
        <v/>
      </c>
      <c r="AO47">
        <f>IF(AO$4=0,0,IF(COUNTIFS(実績!$W$6:$W$505,AO$3,実績!$AC$6:$AC$505,"&lt;="&amp;$A47,実績!$AD$6:$AD$505,"&gt;"&amp;$A47,実績!$AE$6:$AE$505,"○")&gt;0,1,0))</f>
        <v/>
      </c>
      <c r="AP47">
        <f>IF(AP$4=0,0,IF(COUNTIFS(実績!$W$6:$W$505,AP$3,実績!$AC$6:$AC$505,"&lt;="&amp;$A47,実績!$AD$6:$AD$505,"&gt;"&amp;$A47,実績!$AE$6:$AE$505,"○")&gt;0,1,0))</f>
        <v/>
      </c>
      <c r="AQ47">
        <f>IF(AQ$4=0,0,IF(COUNTIFS(実績!$W$6:$W$505,AQ$3,実績!$AC$6:$AC$505,"&lt;="&amp;$A47,実績!$AD$6:$AD$505,"&gt;"&amp;$A47,実績!$AE$6:$AE$505,"○")&gt;0,1,0))</f>
        <v/>
      </c>
      <c r="AR47">
        <f>IF(AR$4=0,0,IF(COUNTIFS(実績!$W$6:$W$505,AR$3,実績!$AC$6:$AC$505,"&lt;="&amp;$A47,実績!$AD$6:$AD$505,"&gt;"&amp;$A47,実績!$AE$6:$AE$505,"○")&gt;0,1,0))</f>
        <v/>
      </c>
      <c r="AS47">
        <f>IF(AS$4=0,0,IF(COUNTIFS(実績!$W$6:$W$505,AS$3,実績!$AC$6:$AC$505,"&lt;="&amp;$A47,実績!$AD$6:$AD$505,"&gt;"&amp;$A47,実績!$AE$6:$AE$505,"○")&gt;0,1,0))</f>
        <v/>
      </c>
      <c r="AT47">
        <f>IF(AT$4=0,0,IF(COUNTIFS(実績!$W$6:$W$505,AT$3,実績!$AC$6:$AC$505,"&lt;="&amp;$A47,実績!$AD$6:$AD$505,"&gt;"&amp;$A47,実績!$AE$6:$AE$505,"○")&gt;0,1,0))</f>
        <v/>
      </c>
      <c r="AU47">
        <f>IF(AU$4=0,0,IF(COUNTIFS(実績!$W$6:$W$505,AU$3,実績!$AC$6:$AC$505,"&lt;="&amp;$A47,実績!$AD$6:$AD$505,"&gt;"&amp;$A47,実績!$AE$6:$AE$505,"○")&gt;0,1,0))</f>
        <v/>
      </c>
      <c r="AV47">
        <f>IF(AV$4=0,0,IF(COUNTIFS(実績!$W$6:$W$505,AV$3,実績!$AC$6:$AC$505,"&lt;="&amp;$A47,実績!$AD$6:$AD$505,"&gt;"&amp;$A47,実績!$AE$6:$AE$505,"○")&gt;0,1,0))</f>
        <v/>
      </c>
      <c r="AW47">
        <f>IF(AW$4=0,0,IF(COUNTIFS(実績!$W$6:$W$505,AW$3,実績!$AC$6:$AC$505,"&lt;="&amp;$A47,実績!$AD$6:$AD$505,"&gt;"&amp;$A47,実績!$AE$6:$AE$505,"○")&gt;0,1,0))</f>
        <v/>
      </c>
      <c r="AX47">
        <f>IF(AX$4=0,0,IF(COUNTIFS(実績!$W$6:$W$505,AX$3,実績!$AC$6:$AC$505,"&lt;="&amp;$A47,実績!$AD$6:$AD$505,"&gt;"&amp;$A47,実績!$AE$6:$AE$505,"○")&gt;0,1,0))</f>
        <v/>
      </c>
      <c r="AY47">
        <f>IF(AY$4=0,0,IF(COUNTIFS(実績!$W$6:$W$505,AY$3,実績!$AC$6:$AC$505,"&lt;="&amp;$A47,実績!$AD$6:$AD$505,"&gt;"&amp;$A47,実績!$AE$6:$AE$505,"○")&gt;0,1,0))</f>
        <v/>
      </c>
      <c r="AZ47">
        <f>IF(AZ$4=0,0,IF(COUNTIFS(実績!$W$6:$W$505,AZ$3,実績!$AC$6:$AC$505,"&lt;="&amp;$A47,実績!$AD$6:$AD$505,"&gt;"&amp;$A47,実績!$AE$6:$AE$505,"○")&gt;0,1,0))</f>
        <v/>
      </c>
      <c r="BA47">
        <f>IF(BA$4=0,0,IF(COUNTIFS(実績!$W$6:$W$505,BA$3,実績!$AC$6:$AC$505,"&lt;="&amp;$A47,実績!$AD$6:$AD$505,"&gt;"&amp;$A47,実績!$AE$6:$AE$505,"○")&gt;0,1,0))</f>
        <v/>
      </c>
      <c r="BB47">
        <f>IF(BB$4=0,0,IF(COUNTIFS(実績!$W$6:$W$505,BB$3,実績!$AC$6:$AC$505,"&lt;="&amp;$A47,実績!$AD$6:$AD$505,"&gt;"&amp;$A47,実績!$AE$6:$AE$505,"○")&gt;0,1,0))</f>
        <v/>
      </c>
      <c r="BC47">
        <f>IF(BC$4=0,0,IF(COUNTIFS(実績!$W$6:$W$505,BC$3,実績!$AC$6:$AC$505,"&lt;="&amp;$A47,実績!$AD$6:$AD$505,"&gt;"&amp;$A47,実績!$AE$6:$AE$505,"○")&gt;0,1,0))</f>
        <v/>
      </c>
      <c r="BD47">
        <f>IF(BD$4=0,0,IF(COUNTIFS(実績!$W$6:$W$505,BD$3,実績!$AC$6:$AC$505,"&lt;="&amp;$A47,実績!$AD$6:$AD$505,"&gt;"&amp;$A47,実績!$AE$6:$AE$505,"○")&gt;0,1,0))</f>
        <v/>
      </c>
      <c r="BE47">
        <f>IF(BE$4=0,0,IF(COUNTIFS(実績!$W$6:$W$505,BE$3,実績!$AC$6:$AC$505,"&lt;="&amp;$A47,実績!$AD$6:$AD$505,"&gt;"&amp;$A47,実績!$AE$6:$AE$505,"○")&gt;0,1,0))</f>
        <v/>
      </c>
      <c r="BF47">
        <f>IF(BF$4=0,0,IF(COUNTIFS(実績!$W$6:$W$505,BF$3,実績!$AC$6:$AC$505,"&lt;="&amp;$A47,実績!$AD$6:$AD$505,"&gt;"&amp;$A47,実績!$AE$6:$AE$505,"○")&gt;0,1,0))</f>
        <v/>
      </c>
      <c r="BG47">
        <f>IF(BG$4=0,0,IF(COUNTIFS(実績!$W$6:$W$505,BG$3,実績!$AC$6:$AC$505,"&lt;="&amp;$A47,実績!$AD$6:$AD$505,"&gt;"&amp;$A47,実績!$AE$6:$AE$505,"○")&gt;0,1,0))</f>
        <v/>
      </c>
      <c r="BH47">
        <f>IF(BH$4=0,0,IF(COUNTIFS(実績!$W$6:$W$505,BH$3,実績!$AC$6:$AC$505,"&lt;="&amp;$A47,実績!$AD$6:$AD$505,"&gt;"&amp;$A47,実績!$AE$6:$AE$505,"○")&gt;0,1,0))</f>
        <v/>
      </c>
      <c r="BI47">
        <f>IF(BI$4=0,0,IF(COUNTIFS(実績!$W$6:$W$505,BI$3,実績!$AC$6:$AC$505,"&lt;="&amp;$A47,実績!$AD$6:$AD$505,"&gt;"&amp;$A47,実績!$AE$6:$AE$505,"○")&gt;0,1,0))</f>
        <v/>
      </c>
      <c r="BJ47">
        <f>IF(BJ$4=0,0,IF(COUNTIFS(実績!$W$6:$W$505,BJ$3,実績!$AC$6:$AC$505,"&lt;="&amp;$A47,実績!$AD$6:$AD$505,"&gt;"&amp;$A47,実績!$AE$6:$AE$505,"○")&gt;0,1,0))</f>
        <v/>
      </c>
      <c r="BK47">
        <f>IF(BK$4=0,0,IF(COUNTIFS(実績!$W$6:$W$505,BK$3,実績!$AC$6:$AC$505,"&lt;="&amp;$A47,実績!$AD$6:$AD$505,"&gt;"&amp;$A47,実績!$AE$6:$AE$505,"○")&gt;0,1,0))</f>
        <v/>
      </c>
      <c r="BL47">
        <f>IF(BL$4=0,0,IF(COUNTIFS(実績!$W$6:$W$505,BL$3,実績!$AC$6:$AC$505,"&lt;="&amp;$A47,実績!$AD$6:$AD$505,"&gt;"&amp;$A47,実績!$AE$6:$AE$505,"○")&gt;0,1,0))</f>
        <v/>
      </c>
      <c r="BM47">
        <f>IF(BM$4=0,0,IF(COUNTIFS(実績!$W$6:$W$505,BM$3,実績!$AC$6:$AC$505,"&lt;="&amp;$A47,実績!$AD$6:$AD$505,"&gt;"&amp;$A47,実績!$AE$6:$AE$505,"○")&gt;0,1,0))</f>
        <v/>
      </c>
      <c r="BN47">
        <f>IF(BN$4=0,0,IF(COUNTIFS(実績!$W$6:$W$505,BN$3,実績!$AC$6:$AC$505,"&lt;="&amp;$A47,実績!$AD$6:$AD$505,"&gt;"&amp;$A47,実績!$AE$6:$AE$505,"○")&gt;0,1,0))</f>
        <v/>
      </c>
      <c r="BO47">
        <f>IF(BO$4=0,0,IF(COUNTIFS(実績!$W$6:$W$505,BO$3,実績!$AC$6:$AC$505,"&lt;="&amp;$A47,実績!$AD$6:$AD$505,"&gt;"&amp;$A47,実績!$AE$6:$AE$505,"○")&gt;0,1,0))</f>
        <v/>
      </c>
      <c r="BP47">
        <f>IF(BP$4=0,0,IF(COUNTIFS(実績!$W$6:$W$505,BP$3,実績!$AC$6:$AC$505,"&lt;="&amp;$A47,実績!$AD$6:$AD$505,"&gt;"&amp;$A47,実績!$AE$6:$AE$505,"○")&gt;0,1,0))</f>
        <v/>
      </c>
      <c r="BQ47">
        <f>IF(BQ$4=0,0,IF(COUNTIFS(実績!$W$6:$W$505,BQ$3,実績!$AC$6:$AC$505,"&lt;="&amp;$A47,実績!$AD$6:$AD$505,"&gt;"&amp;$A47,実績!$AE$6:$AE$505,"○")&gt;0,1,0))</f>
        <v/>
      </c>
      <c r="BR47">
        <f>IF(BR$4=0,0,IF(COUNTIFS(実績!$W$6:$W$505,BR$3,実績!$AC$6:$AC$505,"&lt;="&amp;$A47,実績!$AD$6:$AD$505,"&gt;"&amp;$A47,実績!$AE$6:$AE$505,"○")&gt;0,1,0))</f>
        <v/>
      </c>
      <c r="BS47">
        <f>IF(BS$4=0,0,IF(COUNTIFS(実績!$W$6:$W$505,BS$3,実績!$AC$6:$AC$505,"&lt;="&amp;$A47,実績!$AD$6:$AD$505,"&gt;"&amp;$A47,実績!$AE$6:$AE$505,"○")&gt;0,1,0))</f>
        <v/>
      </c>
      <c r="BT47">
        <f>IF(BT$4=0,0,IF(COUNTIFS(実績!$W$6:$W$505,BT$3,実績!$AC$6:$AC$505,"&lt;="&amp;$A47,実績!$AD$6:$AD$505,"&gt;"&amp;$A47,実績!$AE$6:$AE$505,"○")&gt;0,1,0))</f>
        <v/>
      </c>
      <c r="BU47">
        <f>IF(BU$4=0,0,IF(COUNTIFS(実績!$W$6:$W$505,BU$3,実績!$AC$6:$AC$505,"&lt;="&amp;$A47,実績!$AD$6:$AD$505,"&gt;"&amp;$A47,実績!$AE$6:$AE$505,"○")&gt;0,1,0))</f>
        <v/>
      </c>
      <c r="BV47">
        <f>IF(BV$4=0,0,IF(COUNTIFS(実績!$W$6:$W$505,BV$3,実績!$AC$6:$AC$505,"&lt;="&amp;$A47,実績!$AD$6:$AD$505,"&gt;"&amp;$A47,実績!$AE$6:$AE$505,"○")&gt;0,1,0))</f>
        <v/>
      </c>
      <c r="BW47">
        <f>IF(BW$4=0,0,IF(COUNTIFS(実績!$W$6:$W$505,BW$3,実績!$AC$6:$AC$505,"&lt;="&amp;$A47,実績!$AD$6:$AD$505,"&gt;"&amp;$A47,実績!$AE$6:$AE$505,"○")&gt;0,1,0))</f>
        <v/>
      </c>
      <c r="BX47">
        <f>IF(BX$4=0,0,IF(COUNTIFS(実績!$W$6:$W$505,BX$3,実績!$AC$6:$AC$505,"&lt;="&amp;$A47,実績!$AD$6:$AD$505,"&gt;"&amp;$A47,実績!$AE$6:$AE$505,"○")&gt;0,1,0))</f>
        <v/>
      </c>
      <c r="BY47">
        <f>IF(BY$4=0,0,IF(COUNTIFS(実績!$W$6:$W$505,BY$3,実績!$AC$6:$AC$505,"&lt;="&amp;$A47,実績!$AD$6:$AD$505,"&gt;"&amp;$A47,実績!$AE$6:$AE$505,"○")&gt;0,1,0))</f>
        <v/>
      </c>
      <c r="BZ47">
        <f>IF(BZ$4=0,0,IF(COUNTIFS(実績!$W$6:$W$505,BZ$3,実績!$AC$6:$AC$505,"&lt;="&amp;$A47,実績!$AD$6:$AD$505,"&gt;"&amp;$A47,実績!$AE$6:$AE$505,"○")&gt;0,1,0))</f>
        <v/>
      </c>
      <c r="CA47">
        <f>IF(CA$4=0,0,IF(COUNTIFS(実績!$W$6:$W$505,CA$3,実績!$AC$6:$AC$505,"&lt;="&amp;$A47,実績!$AD$6:$AD$505,"&gt;"&amp;$A47,実績!$AE$6:$AE$505,"○")&gt;0,1,0))</f>
        <v/>
      </c>
      <c r="CB47">
        <f>IF(CB$4=0,0,IF(COUNTIFS(実績!$W$6:$W$505,CB$3,実績!$AC$6:$AC$505,"&lt;="&amp;$A47,実績!$AD$6:$AD$505,"&gt;"&amp;$A47,実績!$AE$6:$AE$505,"○")&gt;0,1,0))</f>
        <v/>
      </c>
      <c r="CC47">
        <f>IF(CC$4=0,0,IF(COUNTIFS(実績!$W$6:$W$505,CC$3,実績!$AC$6:$AC$505,"&lt;="&amp;$A47,実績!$AD$6:$AD$505,"&gt;"&amp;$A47,実績!$AE$6:$AE$505,"○")&gt;0,1,0))</f>
        <v/>
      </c>
      <c r="CD47">
        <f>IF(CD$4=0,0,IF(COUNTIFS(実績!$W$6:$W$505,CD$3,実績!$AC$6:$AC$505,"&lt;="&amp;$A47,実績!$AD$6:$AD$505,"&gt;"&amp;$A47,実績!$AE$6:$AE$505,"○")&gt;0,1,0))</f>
        <v/>
      </c>
      <c r="CE47">
        <f>IF(CE$4=0,0,IF(COUNTIFS(実績!$W$6:$W$505,CE$3,実績!$AC$6:$AC$505,"&lt;="&amp;$A47,実績!$AD$6:$AD$505,"&gt;"&amp;$A47,実績!$AE$6:$AE$505,"○")&gt;0,1,0))</f>
        <v/>
      </c>
      <c r="CF47">
        <f>IF(CF$4=0,0,IF(COUNTIFS(実績!$W$6:$W$505,CF$3,実績!$AC$6:$AC$505,"&lt;="&amp;$A47,実績!$AD$6:$AD$505,"&gt;"&amp;$A47,実績!$AE$6:$AE$505,"○")&gt;0,1,0))</f>
        <v/>
      </c>
      <c r="CG47">
        <f>IF(CG$4=0,0,IF(COUNTIFS(実績!$W$6:$W$505,CG$3,実績!$AC$6:$AC$505,"&lt;="&amp;$A47,実績!$AD$6:$AD$505,"&gt;"&amp;$A47,実績!$AE$6:$AE$505,"○")&gt;0,1,0))</f>
        <v/>
      </c>
      <c r="CH47">
        <f>IF(CH$4=0,0,IF(COUNTIFS(実績!$W$6:$W$505,CH$3,実績!$AC$6:$AC$505,"&lt;="&amp;$A47,実績!$AD$6:$AD$505,"&gt;"&amp;$A47,実績!$AE$6:$AE$505,"○")&gt;0,1,0))</f>
        <v/>
      </c>
      <c r="CI47">
        <f>IF(CI$4=0,0,IF(COUNTIFS(実績!$W$6:$W$505,CI$3,実績!$AC$6:$AC$505,"&lt;="&amp;$A47,実績!$AD$6:$AD$505,"&gt;"&amp;$A47,実績!$AE$6:$AE$505,"○")&gt;0,1,0))</f>
        <v/>
      </c>
      <c r="CJ47">
        <f>IF(CJ$4=0,0,IF(COUNTIFS(実績!$W$6:$W$505,CJ$3,実績!$AC$6:$AC$505,"&lt;="&amp;$A47,実績!$AD$6:$AD$505,"&gt;"&amp;$A47,実績!$AE$6:$AE$505,"○")&gt;0,1,0))</f>
        <v/>
      </c>
      <c r="CK47">
        <f>IF(CK$4=0,0,IF(COUNTIFS(実績!$W$6:$W$505,CK$3,実績!$AC$6:$AC$505,"&lt;="&amp;$A47,実績!$AD$6:$AD$505,"&gt;"&amp;$A47,実績!$AE$6:$AE$505,"○")&gt;0,1,0))</f>
        <v/>
      </c>
      <c r="CL47">
        <f>IF(CL$4=0,0,IF(COUNTIFS(実績!$W$6:$W$505,CL$3,実績!$AC$6:$AC$505,"&lt;="&amp;$A47,実績!$AD$6:$AD$505,"&gt;"&amp;$A47,実績!$AE$6:$AE$505,"○")&gt;0,1,0))</f>
        <v/>
      </c>
      <c r="CM47">
        <f>IF(CM$4=0,0,IF(COUNTIFS(実績!$W$6:$W$505,CM$3,実績!$AC$6:$AC$505,"&lt;="&amp;$A47,実績!$AD$6:$AD$505,"&gt;"&amp;$A47,実績!$AE$6:$AE$505,"○")&gt;0,1,0))</f>
        <v/>
      </c>
      <c r="CN47">
        <f>IF(CN$4=0,0,IF(COUNTIFS(実績!$W$6:$W$505,CN$3,実績!$AC$6:$AC$505,"&lt;="&amp;$A47,実績!$AD$6:$AD$505,"&gt;"&amp;$A47,実績!$AE$6:$AE$505,"○")&gt;0,1,0))</f>
        <v/>
      </c>
      <c r="CO47">
        <f>IF(CO$4=0,0,IF(COUNTIFS(実績!$W$6:$W$505,CO$3,実績!$AC$6:$AC$505,"&lt;="&amp;$A47,実績!$AD$6:$AD$505,"&gt;"&amp;$A47,実績!$AE$6:$AE$505,"○")&gt;0,1,0))</f>
        <v/>
      </c>
      <c r="CP47">
        <f>IF(CP$4=0,0,IF(COUNTIFS(実績!$W$6:$W$505,CP$3,実績!$AC$6:$AC$505,"&lt;="&amp;$A47,実績!$AD$6:$AD$505,"&gt;"&amp;$A47,実績!$AE$6:$AE$505,"○")&gt;0,1,0))</f>
        <v/>
      </c>
      <c r="CQ47">
        <f>IF(CQ$4=0,0,IF(COUNTIFS(実績!$W$6:$W$505,CQ$3,実績!$AC$6:$AC$505,"&lt;="&amp;$A47,実績!$AD$6:$AD$505,"&gt;"&amp;$A47,実績!$AE$6:$AE$505,"○")&gt;0,1,0))</f>
        <v/>
      </c>
      <c r="CR47">
        <f>IF(CR$4=0,0,IF(COUNTIFS(実績!$W$6:$W$505,CR$3,実績!$AC$6:$AC$505,"&lt;="&amp;$A47,実績!$AD$6:$AD$505,"&gt;"&amp;$A47,実績!$AE$6:$AE$505,"○")&gt;0,1,0))</f>
        <v/>
      </c>
      <c r="CS47">
        <f>IF(CS$4=0,0,IF(COUNTIFS(実績!$W$6:$W$505,CS$3,実績!$AC$6:$AC$505,"&lt;="&amp;$A47,実績!$AD$6:$AD$505,"&gt;"&amp;$A47,実績!$AE$6:$AE$505,"○")&gt;0,1,0))</f>
        <v/>
      </c>
      <c r="CT47">
        <f>IF(CT$4=0,0,IF(COUNTIFS(実績!$W$6:$W$505,CT$3,実績!$AC$6:$AC$505,"&lt;="&amp;$A47,実績!$AD$6:$AD$505,"&gt;"&amp;$A47,実績!$AE$6:$AE$505,"○")&gt;0,1,0))</f>
        <v/>
      </c>
      <c r="CU47">
        <f>IF(CU$4=0,0,IF(COUNTIFS(実績!$W$6:$W$505,CU$3,実績!$AC$6:$AC$505,"&lt;="&amp;$A47,実績!$AD$6:$AD$505,"&gt;"&amp;$A47,実績!$AE$6:$AE$505,"○")&gt;0,1,0))</f>
        <v/>
      </c>
      <c r="CV47">
        <f>IF(CV$4=0,0,IF(COUNTIFS(実績!$W$6:$W$505,CV$3,実績!$AC$6:$AC$505,"&lt;="&amp;$A47,実績!$AD$6:$AD$505,"&gt;"&amp;$A47,実績!$AE$6:$AE$505,"○")&gt;0,1,0))</f>
        <v/>
      </c>
      <c r="CW47">
        <f>IF(CW$4=0,0,IF(COUNTIFS(実績!$W$6:$W$505,CW$3,実績!$AC$6:$AC$505,"&lt;="&amp;$A47,実績!$AD$6:$AD$505,"&gt;"&amp;$A47,実績!$AE$6:$AE$505,"○")&gt;0,1,0))</f>
        <v/>
      </c>
      <c r="CX47">
        <f>IF(CX$4=0,0,IF(COUNTIFS(実績!$W$6:$W$505,CX$3,実績!$AC$6:$AC$505,"&lt;="&amp;$A47,実績!$AD$6:$AD$505,"&gt;"&amp;$A47,実績!$AE$6:$AE$505,"○")&gt;0,1,0))</f>
        <v/>
      </c>
      <c r="CY47">
        <f>IF(CY$4=0,0,IF(COUNTIFS(実績!$W$6:$W$505,CY$3,実績!$AC$6:$AC$505,"&lt;="&amp;$A47,実績!$AD$6:$AD$505,"&gt;"&amp;$A47,実績!$AE$6:$AE$505,"○")&gt;0,1,0))</f>
        <v/>
      </c>
      <c r="CZ47">
        <f>IF(CZ$4=0,0,IF(COUNTIFS(実績!$W$6:$W$505,CZ$3,実績!$AC$6:$AC$505,"&lt;="&amp;$A47,実績!$AD$6:$AD$505,"&gt;"&amp;$A47,実績!$AE$6:$AE$505,"○")&gt;0,1,0))</f>
        <v/>
      </c>
      <c r="DA47">
        <f>IF(DA$4=0,0,IF(COUNTIFS(実績!$W$6:$W$505,DA$3,実績!$AC$6:$AC$505,"&lt;="&amp;$A47,実績!$AD$6:$AD$505,"&gt;"&amp;$A47,実績!$AE$6:$AE$505,"○")&gt;0,1,0))</f>
        <v/>
      </c>
      <c r="DB47">
        <f>IF(DB$4=0,0,IF(COUNTIFS(実績!$W$6:$W$505,DB$3,実績!$AC$6:$AC$505,"&lt;="&amp;$A47,実績!$AD$6:$AD$505,"&gt;"&amp;$A47,実績!$AE$6:$AE$505,"○")&gt;0,1,0))</f>
        <v/>
      </c>
      <c r="DC47">
        <f>IF(DC$4=0,0,IF(COUNTIFS(実績!$W$6:$W$505,DC$3,実績!$AC$6:$AC$505,"&lt;="&amp;$A47,実績!$AD$6:$AD$505,"&gt;"&amp;$A47,実績!$AE$6:$AE$505,"○")&gt;0,1,0))</f>
        <v/>
      </c>
      <c r="DD47">
        <f>IF(DD$4=0,0,IF(COUNTIFS(実績!$W$6:$W$505,DD$3,実績!$AC$6:$AC$505,"&lt;="&amp;$A47,実績!$AD$6:$AD$505,"&gt;"&amp;$A47,実績!$AE$6:$AE$505,"○")&gt;0,1,0))</f>
        <v/>
      </c>
      <c r="DE47">
        <f>IF(DE$4=0,0,IF(COUNTIFS(実績!$W$6:$W$505,DE$3,実績!$AC$6:$AC$505,"&lt;="&amp;$A47,実績!$AD$6:$AD$505,"&gt;"&amp;$A47,実績!$AE$6:$AE$505,"○")&gt;0,1,0))</f>
        <v/>
      </c>
      <c r="DF47">
        <f>IF(DF$4=0,0,IF(COUNTIFS(実績!$W$6:$W$505,DF$3,実績!$AC$6:$AC$505,"&lt;="&amp;$A47,実績!$AD$6:$AD$505,"&gt;"&amp;$A47,実績!$AE$6:$AE$505,"○")&gt;0,1,0))</f>
        <v/>
      </c>
      <c r="DG47">
        <f>IF(DG$4=0,0,IF(COUNTIFS(実績!$W$6:$W$505,DG$3,実績!$AC$6:$AC$505,"&lt;="&amp;$A47,実績!$AD$6:$AD$505,"&gt;"&amp;$A47,実績!$AE$6:$AE$505,"○")&gt;0,1,0))</f>
        <v/>
      </c>
      <c r="DH47">
        <f>IF(DH$4=0,0,IF(COUNTIFS(実績!$W$6:$W$505,DH$3,実績!$AC$6:$AC$505,"&lt;="&amp;$A47,実績!$AD$6:$AD$505,"&gt;"&amp;$A47,実績!$AE$6:$AE$505,"○")&gt;0,1,0))</f>
        <v/>
      </c>
      <c r="DI47">
        <f>IF(DI$4=0,0,IF(COUNTIFS(実績!$W$6:$W$505,DI$3,実績!$AC$6:$AC$505,"&lt;="&amp;$A47,実績!$AD$6:$AD$505,"&gt;"&amp;$A47,実績!$AE$6:$AE$505,"○")&gt;0,1,0))</f>
        <v/>
      </c>
      <c r="DJ47">
        <f>IF(DJ$4=0,0,IF(COUNTIFS(実績!$W$6:$W$505,DJ$3,実績!$AC$6:$AC$505,"&lt;="&amp;$A47,実績!$AD$6:$AD$505,"&gt;"&amp;$A47,実績!$AE$6:$AE$505,"○")&gt;0,1,0))</f>
        <v/>
      </c>
      <c r="DK47">
        <f>IF(DK$4=0,0,IF(COUNTIFS(実績!$W$6:$W$505,DK$3,実績!$AC$6:$AC$505,"&lt;="&amp;$A47,実績!$AD$6:$AD$505,"&gt;"&amp;$A47,実績!$AE$6:$AE$505,"○")&gt;0,1,0))</f>
        <v/>
      </c>
      <c r="DL47">
        <f>IF(DL$4=0,0,IF(COUNTIFS(実績!$W$6:$W$505,DL$3,実績!$AC$6:$AC$505,"&lt;="&amp;$A47,実績!$AD$6:$AD$505,"&gt;"&amp;$A47,実績!$AE$6:$AE$505,"○")&gt;0,1,0))</f>
        <v/>
      </c>
      <c r="DM47">
        <f>IF(DM$4=0,0,IF(COUNTIFS(実績!$W$6:$W$505,DM$3,実績!$AC$6:$AC$505,"&lt;="&amp;$A47,実績!$AD$6:$AD$505,"&gt;"&amp;$A47,実績!$AE$6:$AE$505,"○")&gt;0,1,0))</f>
        <v/>
      </c>
      <c r="DN47">
        <f>IF(DN$4=0,0,IF(COUNTIFS(実績!$W$6:$W$505,DN$3,実績!$AC$6:$AC$505,"&lt;="&amp;$A47,実績!$AD$6:$AD$505,"&gt;"&amp;$A47,実績!$AE$6:$AE$505,"○")&gt;0,1,0))</f>
        <v/>
      </c>
      <c r="DO47">
        <f>IF(DO$4=0,0,IF(COUNTIFS(実績!$W$6:$W$505,DO$3,実績!$AC$6:$AC$505,"&lt;="&amp;$A47,実績!$AD$6:$AD$505,"&gt;"&amp;$A47,実績!$AE$6:$AE$505,"○")&gt;0,1,0))</f>
        <v/>
      </c>
      <c r="DP47">
        <f>IF(DP$4=0,0,IF(COUNTIFS(実績!$W$6:$W$505,DP$3,実績!$AC$6:$AC$505,"&lt;="&amp;$A47,実績!$AD$6:$AD$505,"&gt;"&amp;$A47,実績!$AE$6:$AE$505,"○")&gt;0,1,0))</f>
        <v/>
      </c>
      <c r="DQ47">
        <f>IF(DQ$4=0,0,IF(COUNTIFS(実績!$W$6:$W$505,DQ$3,実績!$AC$6:$AC$505,"&lt;="&amp;$A47,実績!$AD$6:$AD$505,"&gt;"&amp;$A47,実績!$AE$6:$AE$505,"○")&gt;0,1,0))</f>
        <v/>
      </c>
      <c r="DR47">
        <f>IF(DR$4=0,0,IF(COUNTIFS(実績!$W$6:$W$505,DR$3,実績!$AC$6:$AC$505,"&lt;="&amp;$A47,実績!$AD$6:$AD$505,"&gt;"&amp;$A47,実績!$AE$6:$AE$505,"○")&gt;0,1,0))</f>
        <v/>
      </c>
      <c r="DS47">
        <f>SUM(C47:DR47)</f>
        <v/>
      </c>
      <c r="DT47">
        <f>SUMPRODUCT((実績!$C$6:$C$505="○")*ISNUMBER(実績!$AF$6:$AF$505)*(実績!$AF$6:$AF$505&lt;=$A47)*(実績!$AG$6:$AG$505&gt;$A47))</f>
        <v/>
      </c>
      <c r="DU47">
        <f>SUMIF($C$2:$DR$2,"製鉄曳船",C47:DR47)</f>
        <v/>
      </c>
      <c r="DV47">
        <f>SUMIF($C$2:$DR$2,"西日本海運",C47:DR47)</f>
        <v/>
      </c>
    </row>
    <row r="48">
      <c r="A48" t="n">
        <v>210</v>
      </c>
      <c r="B48" s="29">
        <f>A48/1440</f>
        <v/>
      </c>
      <c r="C48">
        <f>IF(C$4=0,0,IF(COUNTIFS(実績!$W$6:$W$505,C$3,実績!$AC$6:$AC$505,"&lt;="&amp;$A48,実績!$AD$6:$AD$505,"&gt;"&amp;$A48,実績!$AE$6:$AE$505,"○")&gt;0,1,0))</f>
        <v/>
      </c>
      <c r="D48">
        <f>IF(D$4=0,0,IF(COUNTIFS(実績!$W$6:$W$505,D$3,実績!$AC$6:$AC$505,"&lt;="&amp;$A48,実績!$AD$6:$AD$505,"&gt;"&amp;$A48,実績!$AE$6:$AE$505,"○")&gt;0,1,0))</f>
        <v/>
      </c>
      <c r="E48">
        <f>IF(E$4=0,0,IF(COUNTIFS(実績!$W$6:$W$505,E$3,実績!$AC$6:$AC$505,"&lt;="&amp;$A48,実績!$AD$6:$AD$505,"&gt;"&amp;$A48,実績!$AE$6:$AE$505,"○")&gt;0,1,0))</f>
        <v/>
      </c>
      <c r="F48">
        <f>IF(F$4=0,0,IF(COUNTIFS(実績!$W$6:$W$505,F$3,実績!$AC$6:$AC$505,"&lt;="&amp;$A48,実績!$AD$6:$AD$505,"&gt;"&amp;$A48,実績!$AE$6:$AE$505,"○")&gt;0,1,0))</f>
        <v/>
      </c>
      <c r="G48">
        <f>IF(G$4=0,0,IF(COUNTIFS(実績!$W$6:$W$505,G$3,実績!$AC$6:$AC$505,"&lt;="&amp;$A48,実績!$AD$6:$AD$505,"&gt;"&amp;$A48,実績!$AE$6:$AE$505,"○")&gt;0,1,0))</f>
        <v/>
      </c>
      <c r="H48">
        <f>IF(H$4=0,0,IF(COUNTIFS(実績!$W$6:$W$505,H$3,実績!$AC$6:$AC$505,"&lt;="&amp;$A48,実績!$AD$6:$AD$505,"&gt;"&amp;$A48,実績!$AE$6:$AE$505,"○")&gt;0,1,0))</f>
        <v/>
      </c>
      <c r="I48">
        <f>IF(I$4=0,0,IF(COUNTIFS(実績!$W$6:$W$505,I$3,実績!$AC$6:$AC$505,"&lt;="&amp;$A48,実績!$AD$6:$AD$505,"&gt;"&amp;$A48,実績!$AE$6:$AE$505,"○")&gt;0,1,0))</f>
        <v/>
      </c>
      <c r="J48">
        <f>IF(J$4=0,0,IF(COUNTIFS(実績!$W$6:$W$505,J$3,実績!$AC$6:$AC$505,"&lt;="&amp;$A48,実績!$AD$6:$AD$505,"&gt;"&amp;$A48,実績!$AE$6:$AE$505,"○")&gt;0,1,0))</f>
        <v/>
      </c>
      <c r="K48">
        <f>IF(K$4=0,0,IF(COUNTIFS(実績!$W$6:$W$505,K$3,実績!$AC$6:$AC$505,"&lt;="&amp;$A48,実績!$AD$6:$AD$505,"&gt;"&amp;$A48,実績!$AE$6:$AE$505,"○")&gt;0,1,0))</f>
        <v/>
      </c>
      <c r="L48">
        <f>IF(L$4=0,0,IF(COUNTIFS(実績!$W$6:$W$505,L$3,実績!$AC$6:$AC$505,"&lt;="&amp;$A48,実績!$AD$6:$AD$505,"&gt;"&amp;$A48,実績!$AE$6:$AE$505,"○")&gt;0,1,0))</f>
        <v/>
      </c>
      <c r="M48">
        <f>IF(M$4=0,0,IF(COUNTIFS(実績!$W$6:$W$505,M$3,実績!$AC$6:$AC$505,"&lt;="&amp;$A48,実績!$AD$6:$AD$505,"&gt;"&amp;$A48,実績!$AE$6:$AE$505,"○")&gt;0,1,0))</f>
        <v/>
      </c>
      <c r="N48">
        <f>IF(N$4=0,0,IF(COUNTIFS(実績!$W$6:$W$505,N$3,実績!$AC$6:$AC$505,"&lt;="&amp;$A48,実績!$AD$6:$AD$505,"&gt;"&amp;$A48,実績!$AE$6:$AE$505,"○")&gt;0,1,0))</f>
        <v/>
      </c>
      <c r="O48">
        <f>IF(O$4=0,0,IF(COUNTIFS(実績!$W$6:$W$505,O$3,実績!$AC$6:$AC$505,"&lt;="&amp;$A48,実績!$AD$6:$AD$505,"&gt;"&amp;$A48,実績!$AE$6:$AE$505,"○")&gt;0,1,0))</f>
        <v/>
      </c>
      <c r="P48">
        <f>IF(P$4=0,0,IF(COUNTIFS(実績!$W$6:$W$505,P$3,実績!$AC$6:$AC$505,"&lt;="&amp;$A48,実績!$AD$6:$AD$505,"&gt;"&amp;$A48,実績!$AE$6:$AE$505,"○")&gt;0,1,0))</f>
        <v/>
      </c>
      <c r="Q48">
        <f>IF(Q$4=0,0,IF(COUNTIFS(実績!$W$6:$W$505,Q$3,実績!$AC$6:$AC$505,"&lt;="&amp;$A48,実績!$AD$6:$AD$505,"&gt;"&amp;$A48,実績!$AE$6:$AE$505,"○")&gt;0,1,0))</f>
        <v/>
      </c>
      <c r="R48">
        <f>IF(R$4=0,0,IF(COUNTIFS(実績!$W$6:$W$505,R$3,実績!$AC$6:$AC$505,"&lt;="&amp;$A48,実績!$AD$6:$AD$505,"&gt;"&amp;$A48,実績!$AE$6:$AE$505,"○")&gt;0,1,0))</f>
        <v/>
      </c>
      <c r="S48">
        <f>IF(S$4=0,0,IF(COUNTIFS(実績!$W$6:$W$505,S$3,実績!$AC$6:$AC$505,"&lt;="&amp;$A48,実績!$AD$6:$AD$505,"&gt;"&amp;$A48,実績!$AE$6:$AE$505,"○")&gt;0,1,0))</f>
        <v/>
      </c>
      <c r="T48">
        <f>IF(T$4=0,0,IF(COUNTIFS(実績!$W$6:$W$505,T$3,実績!$AC$6:$AC$505,"&lt;="&amp;$A48,実績!$AD$6:$AD$505,"&gt;"&amp;$A48,実績!$AE$6:$AE$505,"○")&gt;0,1,0))</f>
        <v/>
      </c>
      <c r="U48">
        <f>IF(U$4=0,0,IF(COUNTIFS(実績!$W$6:$W$505,U$3,実績!$AC$6:$AC$505,"&lt;="&amp;$A48,実績!$AD$6:$AD$505,"&gt;"&amp;$A48,実績!$AE$6:$AE$505,"○")&gt;0,1,0))</f>
        <v/>
      </c>
      <c r="V48">
        <f>IF(V$4=0,0,IF(COUNTIFS(実績!$W$6:$W$505,V$3,実績!$AC$6:$AC$505,"&lt;="&amp;$A48,実績!$AD$6:$AD$505,"&gt;"&amp;$A48,実績!$AE$6:$AE$505,"○")&gt;0,1,0))</f>
        <v/>
      </c>
      <c r="W48">
        <f>IF(W$4=0,0,IF(COUNTIFS(実績!$W$6:$W$505,W$3,実績!$AC$6:$AC$505,"&lt;="&amp;$A48,実績!$AD$6:$AD$505,"&gt;"&amp;$A48,実績!$AE$6:$AE$505,"○")&gt;0,1,0))</f>
        <v/>
      </c>
      <c r="X48">
        <f>IF(X$4=0,0,IF(COUNTIFS(実績!$W$6:$W$505,X$3,実績!$AC$6:$AC$505,"&lt;="&amp;$A48,実績!$AD$6:$AD$505,"&gt;"&amp;$A48,実績!$AE$6:$AE$505,"○")&gt;0,1,0))</f>
        <v/>
      </c>
      <c r="Y48">
        <f>IF(Y$4=0,0,IF(COUNTIFS(実績!$W$6:$W$505,Y$3,実績!$AC$6:$AC$505,"&lt;="&amp;$A48,実績!$AD$6:$AD$505,"&gt;"&amp;$A48,実績!$AE$6:$AE$505,"○")&gt;0,1,0))</f>
        <v/>
      </c>
      <c r="Z48">
        <f>IF(Z$4=0,0,IF(COUNTIFS(実績!$W$6:$W$505,Z$3,実績!$AC$6:$AC$505,"&lt;="&amp;$A48,実績!$AD$6:$AD$505,"&gt;"&amp;$A48,実績!$AE$6:$AE$505,"○")&gt;0,1,0))</f>
        <v/>
      </c>
      <c r="AA48">
        <f>IF(AA$4=0,0,IF(COUNTIFS(実績!$W$6:$W$505,AA$3,実績!$AC$6:$AC$505,"&lt;="&amp;$A48,実績!$AD$6:$AD$505,"&gt;"&amp;$A48,実績!$AE$6:$AE$505,"○")&gt;0,1,0))</f>
        <v/>
      </c>
      <c r="AB48">
        <f>IF(AB$4=0,0,IF(COUNTIFS(実績!$W$6:$W$505,AB$3,実績!$AC$6:$AC$505,"&lt;="&amp;$A48,実績!$AD$6:$AD$505,"&gt;"&amp;$A48,実績!$AE$6:$AE$505,"○")&gt;0,1,0))</f>
        <v/>
      </c>
      <c r="AC48">
        <f>IF(AC$4=0,0,IF(COUNTIFS(実績!$W$6:$W$505,AC$3,実績!$AC$6:$AC$505,"&lt;="&amp;$A48,実績!$AD$6:$AD$505,"&gt;"&amp;$A48,実績!$AE$6:$AE$505,"○")&gt;0,1,0))</f>
        <v/>
      </c>
      <c r="AD48">
        <f>IF(AD$4=0,0,IF(COUNTIFS(実績!$W$6:$W$505,AD$3,実績!$AC$6:$AC$505,"&lt;="&amp;$A48,実績!$AD$6:$AD$505,"&gt;"&amp;$A48,実績!$AE$6:$AE$505,"○")&gt;0,1,0))</f>
        <v/>
      </c>
      <c r="AE48">
        <f>IF(AE$4=0,0,IF(COUNTIFS(実績!$W$6:$W$505,AE$3,実績!$AC$6:$AC$505,"&lt;="&amp;$A48,実績!$AD$6:$AD$505,"&gt;"&amp;$A48,実績!$AE$6:$AE$505,"○")&gt;0,1,0))</f>
        <v/>
      </c>
      <c r="AF48">
        <f>IF(AF$4=0,0,IF(COUNTIFS(実績!$W$6:$W$505,AF$3,実績!$AC$6:$AC$505,"&lt;="&amp;$A48,実績!$AD$6:$AD$505,"&gt;"&amp;$A48,実績!$AE$6:$AE$505,"○")&gt;0,1,0))</f>
        <v/>
      </c>
      <c r="AG48">
        <f>IF(AG$4=0,0,IF(COUNTIFS(実績!$W$6:$W$505,AG$3,実績!$AC$6:$AC$505,"&lt;="&amp;$A48,実績!$AD$6:$AD$505,"&gt;"&amp;$A48,実績!$AE$6:$AE$505,"○")&gt;0,1,0))</f>
        <v/>
      </c>
      <c r="AH48">
        <f>IF(AH$4=0,0,IF(COUNTIFS(実績!$W$6:$W$505,AH$3,実績!$AC$6:$AC$505,"&lt;="&amp;$A48,実績!$AD$6:$AD$505,"&gt;"&amp;$A48,実績!$AE$6:$AE$505,"○")&gt;0,1,0))</f>
        <v/>
      </c>
      <c r="AI48">
        <f>IF(AI$4=0,0,IF(COUNTIFS(実績!$W$6:$W$505,AI$3,実績!$AC$6:$AC$505,"&lt;="&amp;$A48,実績!$AD$6:$AD$505,"&gt;"&amp;$A48,実績!$AE$6:$AE$505,"○")&gt;0,1,0))</f>
        <v/>
      </c>
      <c r="AJ48">
        <f>IF(AJ$4=0,0,IF(COUNTIFS(実績!$W$6:$W$505,AJ$3,実績!$AC$6:$AC$505,"&lt;="&amp;$A48,実績!$AD$6:$AD$505,"&gt;"&amp;$A48,実績!$AE$6:$AE$505,"○")&gt;0,1,0))</f>
        <v/>
      </c>
      <c r="AK48">
        <f>IF(AK$4=0,0,IF(COUNTIFS(実績!$W$6:$W$505,AK$3,実績!$AC$6:$AC$505,"&lt;="&amp;$A48,実績!$AD$6:$AD$505,"&gt;"&amp;$A48,実績!$AE$6:$AE$505,"○")&gt;0,1,0))</f>
        <v/>
      </c>
      <c r="AL48">
        <f>IF(AL$4=0,0,IF(COUNTIFS(実績!$W$6:$W$505,AL$3,実績!$AC$6:$AC$505,"&lt;="&amp;$A48,実績!$AD$6:$AD$505,"&gt;"&amp;$A48,実績!$AE$6:$AE$505,"○")&gt;0,1,0))</f>
        <v/>
      </c>
      <c r="AM48">
        <f>IF(AM$4=0,0,IF(COUNTIFS(実績!$W$6:$W$505,AM$3,実績!$AC$6:$AC$505,"&lt;="&amp;$A48,実績!$AD$6:$AD$505,"&gt;"&amp;$A48,実績!$AE$6:$AE$505,"○")&gt;0,1,0))</f>
        <v/>
      </c>
      <c r="AN48">
        <f>IF(AN$4=0,0,IF(COUNTIFS(実績!$W$6:$W$505,AN$3,実績!$AC$6:$AC$505,"&lt;="&amp;$A48,実績!$AD$6:$AD$505,"&gt;"&amp;$A48,実績!$AE$6:$AE$505,"○")&gt;0,1,0))</f>
        <v/>
      </c>
      <c r="AO48">
        <f>IF(AO$4=0,0,IF(COUNTIFS(実績!$W$6:$W$505,AO$3,実績!$AC$6:$AC$505,"&lt;="&amp;$A48,実績!$AD$6:$AD$505,"&gt;"&amp;$A48,実績!$AE$6:$AE$505,"○")&gt;0,1,0))</f>
        <v/>
      </c>
      <c r="AP48">
        <f>IF(AP$4=0,0,IF(COUNTIFS(実績!$W$6:$W$505,AP$3,実績!$AC$6:$AC$505,"&lt;="&amp;$A48,実績!$AD$6:$AD$505,"&gt;"&amp;$A48,実績!$AE$6:$AE$505,"○")&gt;0,1,0))</f>
        <v/>
      </c>
      <c r="AQ48">
        <f>IF(AQ$4=0,0,IF(COUNTIFS(実績!$W$6:$W$505,AQ$3,実績!$AC$6:$AC$505,"&lt;="&amp;$A48,実績!$AD$6:$AD$505,"&gt;"&amp;$A48,実績!$AE$6:$AE$505,"○")&gt;0,1,0))</f>
        <v/>
      </c>
      <c r="AR48">
        <f>IF(AR$4=0,0,IF(COUNTIFS(実績!$W$6:$W$505,AR$3,実績!$AC$6:$AC$505,"&lt;="&amp;$A48,実績!$AD$6:$AD$505,"&gt;"&amp;$A48,実績!$AE$6:$AE$505,"○")&gt;0,1,0))</f>
        <v/>
      </c>
      <c r="AS48">
        <f>IF(AS$4=0,0,IF(COUNTIFS(実績!$W$6:$W$505,AS$3,実績!$AC$6:$AC$505,"&lt;="&amp;$A48,実績!$AD$6:$AD$505,"&gt;"&amp;$A48,実績!$AE$6:$AE$505,"○")&gt;0,1,0))</f>
        <v/>
      </c>
      <c r="AT48">
        <f>IF(AT$4=0,0,IF(COUNTIFS(実績!$W$6:$W$505,AT$3,実績!$AC$6:$AC$505,"&lt;="&amp;$A48,実績!$AD$6:$AD$505,"&gt;"&amp;$A48,実績!$AE$6:$AE$505,"○")&gt;0,1,0))</f>
        <v/>
      </c>
      <c r="AU48">
        <f>IF(AU$4=0,0,IF(COUNTIFS(実績!$W$6:$W$505,AU$3,実績!$AC$6:$AC$505,"&lt;="&amp;$A48,実績!$AD$6:$AD$505,"&gt;"&amp;$A48,実績!$AE$6:$AE$505,"○")&gt;0,1,0))</f>
        <v/>
      </c>
      <c r="AV48">
        <f>IF(AV$4=0,0,IF(COUNTIFS(実績!$W$6:$W$505,AV$3,実績!$AC$6:$AC$505,"&lt;="&amp;$A48,実績!$AD$6:$AD$505,"&gt;"&amp;$A48,実績!$AE$6:$AE$505,"○")&gt;0,1,0))</f>
        <v/>
      </c>
      <c r="AW48">
        <f>IF(AW$4=0,0,IF(COUNTIFS(実績!$W$6:$W$505,AW$3,実績!$AC$6:$AC$505,"&lt;="&amp;$A48,実績!$AD$6:$AD$505,"&gt;"&amp;$A48,実績!$AE$6:$AE$505,"○")&gt;0,1,0))</f>
        <v/>
      </c>
      <c r="AX48">
        <f>IF(AX$4=0,0,IF(COUNTIFS(実績!$W$6:$W$505,AX$3,実績!$AC$6:$AC$505,"&lt;="&amp;$A48,実績!$AD$6:$AD$505,"&gt;"&amp;$A48,実績!$AE$6:$AE$505,"○")&gt;0,1,0))</f>
        <v/>
      </c>
      <c r="AY48">
        <f>IF(AY$4=0,0,IF(COUNTIFS(実績!$W$6:$W$505,AY$3,実績!$AC$6:$AC$505,"&lt;="&amp;$A48,実績!$AD$6:$AD$505,"&gt;"&amp;$A48,実績!$AE$6:$AE$505,"○")&gt;0,1,0))</f>
        <v/>
      </c>
      <c r="AZ48">
        <f>IF(AZ$4=0,0,IF(COUNTIFS(実績!$W$6:$W$505,AZ$3,実績!$AC$6:$AC$505,"&lt;="&amp;$A48,実績!$AD$6:$AD$505,"&gt;"&amp;$A48,実績!$AE$6:$AE$505,"○")&gt;0,1,0))</f>
        <v/>
      </c>
      <c r="BA48">
        <f>IF(BA$4=0,0,IF(COUNTIFS(実績!$W$6:$W$505,BA$3,実績!$AC$6:$AC$505,"&lt;="&amp;$A48,実績!$AD$6:$AD$505,"&gt;"&amp;$A48,実績!$AE$6:$AE$505,"○")&gt;0,1,0))</f>
        <v/>
      </c>
      <c r="BB48">
        <f>IF(BB$4=0,0,IF(COUNTIFS(実績!$W$6:$W$505,BB$3,実績!$AC$6:$AC$505,"&lt;="&amp;$A48,実績!$AD$6:$AD$505,"&gt;"&amp;$A48,実績!$AE$6:$AE$505,"○")&gt;0,1,0))</f>
        <v/>
      </c>
      <c r="BC48">
        <f>IF(BC$4=0,0,IF(COUNTIFS(実績!$W$6:$W$505,BC$3,実績!$AC$6:$AC$505,"&lt;="&amp;$A48,実績!$AD$6:$AD$505,"&gt;"&amp;$A48,実績!$AE$6:$AE$505,"○")&gt;0,1,0))</f>
        <v/>
      </c>
      <c r="BD48">
        <f>IF(BD$4=0,0,IF(COUNTIFS(実績!$W$6:$W$505,BD$3,実績!$AC$6:$AC$505,"&lt;="&amp;$A48,実績!$AD$6:$AD$505,"&gt;"&amp;$A48,実績!$AE$6:$AE$505,"○")&gt;0,1,0))</f>
        <v/>
      </c>
      <c r="BE48">
        <f>IF(BE$4=0,0,IF(COUNTIFS(実績!$W$6:$W$505,BE$3,実績!$AC$6:$AC$505,"&lt;="&amp;$A48,実績!$AD$6:$AD$505,"&gt;"&amp;$A48,実績!$AE$6:$AE$505,"○")&gt;0,1,0))</f>
        <v/>
      </c>
      <c r="BF48">
        <f>IF(BF$4=0,0,IF(COUNTIFS(実績!$W$6:$W$505,BF$3,実績!$AC$6:$AC$505,"&lt;="&amp;$A48,実績!$AD$6:$AD$505,"&gt;"&amp;$A48,実績!$AE$6:$AE$505,"○")&gt;0,1,0))</f>
        <v/>
      </c>
      <c r="BG48">
        <f>IF(BG$4=0,0,IF(COUNTIFS(実績!$W$6:$W$505,BG$3,実績!$AC$6:$AC$505,"&lt;="&amp;$A48,実績!$AD$6:$AD$505,"&gt;"&amp;$A48,実績!$AE$6:$AE$505,"○")&gt;0,1,0))</f>
        <v/>
      </c>
      <c r="BH48">
        <f>IF(BH$4=0,0,IF(COUNTIFS(実績!$W$6:$W$505,BH$3,実績!$AC$6:$AC$505,"&lt;="&amp;$A48,実績!$AD$6:$AD$505,"&gt;"&amp;$A48,実績!$AE$6:$AE$505,"○")&gt;0,1,0))</f>
        <v/>
      </c>
      <c r="BI48">
        <f>IF(BI$4=0,0,IF(COUNTIFS(実績!$W$6:$W$505,BI$3,実績!$AC$6:$AC$505,"&lt;="&amp;$A48,実績!$AD$6:$AD$505,"&gt;"&amp;$A48,実績!$AE$6:$AE$505,"○")&gt;0,1,0))</f>
        <v/>
      </c>
      <c r="BJ48">
        <f>IF(BJ$4=0,0,IF(COUNTIFS(実績!$W$6:$W$505,BJ$3,実績!$AC$6:$AC$505,"&lt;="&amp;$A48,実績!$AD$6:$AD$505,"&gt;"&amp;$A48,実績!$AE$6:$AE$505,"○")&gt;0,1,0))</f>
        <v/>
      </c>
      <c r="BK48">
        <f>IF(BK$4=0,0,IF(COUNTIFS(実績!$W$6:$W$505,BK$3,実績!$AC$6:$AC$505,"&lt;="&amp;$A48,実績!$AD$6:$AD$505,"&gt;"&amp;$A48,実績!$AE$6:$AE$505,"○")&gt;0,1,0))</f>
        <v/>
      </c>
      <c r="BL48">
        <f>IF(BL$4=0,0,IF(COUNTIFS(実績!$W$6:$W$505,BL$3,実績!$AC$6:$AC$505,"&lt;="&amp;$A48,実績!$AD$6:$AD$505,"&gt;"&amp;$A48,実績!$AE$6:$AE$505,"○")&gt;0,1,0))</f>
        <v/>
      </c>
      <c r="BM48">
        <f>IF(BM$4=0,0,IF(COUNTIFS(実績!$W$6:$W$505,BM$3,実績!$AC$6:$AC$505,"&lt;="&amp;$A48,実績!$AD$6:$AD$505,"&gt;"&amp;$A48,実績!$AE$6:$AE$505,"○")&gt;0,1,0))</f>
        <v/>
      </c>
      <c r="BN48">
        <f>IF(BN$4=0,0,IF(COUNTIFS(実績!$W$6:$W$505,BN$3,実績!$AC$6:$AC$505,"&lt;="&amp;$A48,実績!$AD$6:$AD$505,"&gt;"&amp;$A48,実績!$AE$6:$AE$505,"○")&gt;0,1,0))</f>
        <v/>
      </c>
      <c r="BO48">
        <f>IF(BO$4=0,0,IF(COUNTIFS(実績!$W$6:$W$505,BO$3,実績!$AC$6:$AC$505,"&lt;="&amp;$A48,実績!$AD$6:$AD$505,"&gt;"&amp;$A48,実績!$AE$6:$AE$505,"○")&gt;0,1,0))</f>
        <v/>
      </c>
      <c r="BP48">
        <f>IF(BP$4=0,0,IF(COUNTIFS(実績!$W$6:$W$505,BP$3,実績!$AC$6:$AC$505,"&lt;="&amp;$A48,実績!$AD$6:$AD$505,"&gt;"&amp;$A48,実績!$AE$6:$AE$505,"○")&gt;0,1,0))</f>
        <v/>
      </c>
      <c r="BQ48">
        <f>IF(BQ$4=0,0,IF(COUNTIFS(実績!$W$6:$W$505,BQ$3,実績!$AC$6:$AC$505,"&lt;="&amp;$A48,実績!$AD$6:$AD$505,"&gt;"&amp;$A48,実績!$AE$6:$AE$505,"○")&gt;0,1,0))</f>
        <v/>
      </c>
      <c r="BR48">
        <f>IF(BR$4=0,0,IF(COUNTIFS(実績!$W$6:$W$505,BR$3,実績!$AC$6:$AC$505,"&lt;="&amp;$A48,実績!$AD$6:$AD$505,"&gt;"&amp;$A48,実績!$AE$6:$AE$505,"○")&gt;0,1,0))</f>
        <v/>
      </c>
      <c r="BS48">
        <f>IF(BS$4=0,0,IF(COUNTIFS(実績!$W$6:$W$505,BS$3,実績!$AC$6:$AC$505,"&lt;="&amp;$A48,実績!$AD$6:$AD$505,"&gt;"&amp;$A48,実績!$AE$6:$AE$505,"○")&gt;0,1,0))</f>
        <v/>
      </c>
      <c r="BT48">
        <f>IF(BT$4=0,0,IF(COUNTIFS(実績!$W$6:$W$505,BT$3,実績!$AC$6:$AC$505,"&lt;="&amp;$A48,実績!$AD$6:$AD$505,"&gt;"&amp;$A48,実績!$AE$6:$AE$505,"○")&gt;0,1,0))</f>
        <v/>
      </c>
      <c r="BU48">
        <f>IF(BU$4=0,0,IF(COUNTIFS(実績!$W$6:$W$505,BU$3,実績!$AC$6:$AC$505,"&lt;="&amp;$A48,実績!$AD$6:$AD$505,"&gt;"&amp;$A48,実績!$AE$6:$AE$505,"○")&gt;0,1,0))</f>
        <v/>
      </c>
      <c r="BV48">
        <f>IF(BV$4=0,0,IF(COUNTIFS(実績!$W$6:$W$505,BV$3,実績!$AC$6:$AC$505,"&lt;="&amp;$A48,実績!$AD$6:$AD$505,"&gt;"&amp;$A48,実績!$AE$6:$AE$505,"○")&gt;0,1,0))</f>
        <v/>
      </c>
      <c r="BW48">
        <f>IF(BW$4=0,0,IF(COUNTIFS(実績!$W$6:$W$505,BW$3,実績!$AC$6:$AC$505,"&lt;="&amp;$A48,実績!$AD$6:$AD$505,"&gt;"&amp;$A48,実績!$AE$6:$AE$505,"○")&gt;0,1,0))</f>
        <v/>
      </c>
      <c r="BX48">
        <f>IF(BX$4=0,0,IF(COUNTIFS(実績!$W$6:$W$505,BX$3,実績!$AC$6:$AC$505,"&lt;="&amp;$A48,実績!$AD$6:$AD$505,"&gt;"&amp;$A48,実績!$AE$6:$AE$505,"○")&gt;0,1,0))</f>
        <v/>
      </c>
      <c r="BY48">
        <f>IF(BY$4=0,0,IF(COUNTIFS(実績!$W$6:$W$505,BY$3,実績!$AC$6:$AC$505,"&lt;="&amp;$A48,実績!$AD$6:$AD$505,"&gt;"&amp;$A48,実績!$AE$6:$AE$505,"○")&gt;0,1,0))</f>
        <v/>
      </c>
      <c r="BZ48">
        <f>IF(BZ$4=0,0,IF(COUNTIFS(実績!$W$6:$W$505,BZ$3,実績!$AC$6:$AC$505,"&lt;="&amp;$A48,実績!$AD$6:$AD$505,"&gt;"&amp;$A48,実績!$AE$6:$AE$505,"○")&gt;0,1,0))</f>
        <v/>
      </c>
      <c r="CA48">
        <f>IF(CA$4=0,0,IF(COUNTIFS(実績!$W$6:$W$505,CA$3,実績!$AC$6:$AC$505,"&lt;="&amp;$A48,実績!$AD$6:$AD$505,"&gt;"&amp;$A48,実績!$AE$6:$AE$505,"○")&gt;0,1,0))</f>
        <v/>
      </c>
      <c r="CB48">
        <f>IF(CB$4=0,0,IF(COUNTIFS(実績!$W$6:$W$505,CB$3,実績!$AC$6:$AC$505,"&lt;="&amp;$A48,実績!$AD$6:$AD$505,"&gt;"&amp;$A48,実績!$AE$6:$AE$505,"○")&gt;0,1,0))</f>
        <v/>
      </c>
      <c r="CC48">
        <f>IF(CC$4=0,0,IF(COUNTIFS(実績!$W$6:$W$505,CC$3,実績!$AC$6:$AC$505,"&lt;="&amp;$A48,実績!$AD$6:$AD$505,"&gt;"&amp;$A48,実績!$AE$6:$AE$505,"○")&gt;0,1,0))</f>
        <v/>
      </c>
      <c r="CD48">
        <f>IF(CD$4=0,0,IF(COUNTIFS(実績!$W$6:$W$505,CD$3,実績!$AC$6:$AC$505,"&lt;="&amp;$A48,実績!$AD$6:$AD$505,"&gt;"&amp;$A48,実績!$AE$6:$AE$505,"○")&gt;0,1,0))</f>
        <v/>
      </c>
      <c r="CE48">
        <f>IF(CE$4=0,0,IF(COUNTIFS(実績!$W$6:$W$505,CE$3,実績!$AC$6:$AC$505,"&lt;="&amp;$A48,実績!$AD$6:$AD$505,"&gt;"&amp;$A48,実績!$AE$6:$AE$505,"○")&gt;0,1,0))</f>
        <v/>
      </c>
      <c r="CF48">
        <f>IF(CF$4=0,0,IF(COUNTIFS(実績!$W$6:$W$505,CF$3,実績!$AC$6:$AC$505,"&lt;="&amp;$A48,実績!$AD$6:$AD$505,"&gt;"&amp;$A48,実績!$AE$6:$AE$505,"○")&gt;0,1,0))</f>
        <v/>
      </c>
      <c r="CG48">
        <f>IF(CG$4=0,0,IF(COUNTIFS(実績!$W$6:$W$505,CG$3,実績!$AC$6:$AC$505,"&lt;="&amp;$A48,実績!$AD$6:$AD$505,"&gt;"&amp;$A48,実績!$AE$6:$AE$505,"○")&gt;0,1,0))</f>
        <v/>
      </c>
      <c r="CH48">
        <f>IF(CH$4=0,0,IF(COUNTIFS(実績!$W$6:$W$505,CH$3,実績!$AC$6:$AC$505,"&lt;="&amp;$A48,実績!$AD$6:$AD$505,"&gt;"&amp;$A48,実績!$AE$6:$AE$505,"○")&gt;0,1,0))</f>
        <v/>
      </c>
      <c r="CI48">
        <f>IF(CI$4=0,0,IF(COUNTIFS(実績!$W$6:$W$505,CI$3,実績!$AC$6:$AC$505,"&lt;="&amp;$A48,実績!$AD$6:$AD$505,"&gt;"&amp;$A48,実績!$AE$6:$AE$505,"○")&gt;0,1,0))</f>
        <v/>
      </c>
      <c r="CJ48">
        <f>IF(CJ$4=0,0,IF(COUNTIFS(実績!$W$6:$W$505,CJ$3,実績!$AC$6:$AC$505,"&lt;="&amp;$A48,実績!$AD$6:$AD$505,"&gt;"&amp;$A48,実績!$AE$6:$AE$505,"○")&gt;0,1,0))</f>
        <v/>
      </c>
      <c r="CK48">
        <f>IF(CK$4=0,0,IF(COUNTIFS(実績!$W$6:$W$505,CK$3,実績!$AC$6:$AC$505,"&lt;="&amp;$A48,実績!$AD$6:$AD$505,"&gt;"&amp;$A48,実績!$AE$6:$AE$505,"○")&gt;0,1,0))</f>
        <v/>
      </c>
      <c r="CL48">
        <f>IF(CL$4=0,0,IF(COUNTIFS(実績!$W$6:$W$505,CL$3,実績!$AC$6:$AC$505,"&lt;="&amp;$A48,実績!$AD$6:$AD$505,"&gt;"&amp;$A48,実績!$AE$6:$AE$505,"○")&gt;0,1,0))</f>
        <v/>
      </c>
      <c r="CM48">
        <f>IF(CM$4=0,0,IF(COUNTIFS(実績!$W$6:$W$505,CM$3,実績!$AC$6:$AC$505,"&lt;="&amp;$A48,実績!$AD$6:$AD$505,"&gt;"&amp;$A48,実績!$AE$6:$AE$505,"○")&gt;0,1,0))</f>
        <v/>
      </c>
      <c r="CN48">
        <f>IF(CN$4=0,0,IF(COUNTIFS(実績!$W$6:$W$505,CN$3,実績!$AC$6:$AC$505,"&lt;="&amp;$A48,実績!$AD$6:$AD$505,"&gt;"&amp;$A48,実績!$AE$6:$AE$505,"○")&gt;0,1,0))</f>
        <v/>
      </c>
      <c r="CO48">
        <f>IF(CO$4=0,0,IF(COUNTIFS(実績!$W$6:$W$505,CO$3,実績!$AC$6:$AC$505,"&lt;="&amp;$A48,実績!$AD$6:$AD$505,"&gt;"&amp;$A48,実績!$AE$6:$AE$505,"○")&gt;0,1,0))</f>
        <v/>
      </c>
      <c r="CP48">
        <f>IF(CP$4=0,0,IF(COUNTIFS(実績!$W$6:$W$505,CP$3,実績!$AC$6:$AC$505,"&lt;="&amp;$A48,実績!$AD$6:$AD$505,"&gt;"&amp;$A48,実績!$AE$6:$AE$505,"○")&gt;0,1,0))</f>
        <v/>
      </c>
      <c r="CQ48">
        <f>IF(CQ$4=0,0,IF(COUNTIFS(実績!$W$6:$W$505,CQ$3,実績!$AC$6:$AC$505,"&lt;="&amp;$A48,実績!$AD$6:$AD$505,"&gt;"&amp;$A48,実績!$AE$6:$AE$505,"○")&gt;0,1,0))</f>
        <v/>
      </c>
      <c r="CR48">
        <f>IF(CR$4=0,0,IF(COUNTIFS(実績!$W$6:$W$505,CR$3,実績!$AC$6:$AC$505,"&lt;="&amp;$A48,実績!$AD$6:$AD$505,"&gt;"&amp;$A48,実績!$AE$6:$AE$505,"○")&gt;0,1,0))</f>
        <v/>
      </c>
      <c r="CS48">
        <f>IF(CS$4=0,0,IF(COUNTIFS(実績!$W$6:$W$505,CS$3,実績!$AC$6:$AC$505,"&lt;="&amp;$A48,実績!$AD$6:$AD$505,"&gt;"&amp;$A48,実績!$AE$6:$AE$505,"○")&gt;0,1,0))</f>
        <v/>
      </c>
      <c r="CT48">
        <f>IF(CT$4=0,0,IF(COUNTIFS(実績!$W$6:$W$505,CT$3,実績!$AC$6:$AC$505,"&lt;="&amp;$A48,実績!$AD$6:$AD$505,"&gt;"&amp;$A48,実績!$AE$6:$AE$505,"○")&gt;0,1,0))</f>
        <v/>
      </c>
      <c r="CU48">
        <f>IF(CU$4=0,0,IF(COUNTIFS(実績!$W$6:$W$505,CU$3,実績!$AC$6:$AC$505,"&lt;="&amp;$A48,実績!$AD$6:$AD$505,"&gt;"&amp;$A48,実績!$AE$6:$AE$505,"○")&gt;0,1,0))</f>
        <v/>
      </c>
      <c r="CV48">
        <f>IF(CV$4=0,0,IF(COUNTIFS(実績!$W$6:$W$505,CV$3,実績!$AC$6:$AC$505,"&lt;="&amp;$A48,実績!$AD$6:$AD$505,"&gt;"&amp;$A48,実績!$AE$6:$AE$505,"○")&gt;0,1,0))</f>
        <v/>
      </c>
      <c r="CW48">
        <f>IF(CW$4=0,0,IF(COUNTIFS(実績!$W$6:$W$505,CW$3,実績!$AC$6:$AC$505,"&lt;="&amp;$A48,実績!$AD$6:$AD$505,"&gt;"&amp;$A48,実績!$AE$6:$AE$505,"○")&gt;0,1,0))</f>
        <v/>
      </c>
      <c r="CX48">
        <f>IF(CX$4=0,0,IF(COUNTIFS(実績!$W$6:$W$505,CX$3,実績!$AC$6:$AC$505,"&lt;="&amp;$A48,実績!$AD$6:$AD$505,"&gt;"&amp;$A48,実績!$AE$6:$AE$505,"○")&gt;0,1,0))</f>
        <v/>
      </c>
      <c r="CY48">
        <f>IF(CY$4=0,0,IF(COUNTIFS(実績!$W$6:$W$505,CY$3,実績!$AC$6:$AC$505,"&lt;="&amp;$A48,実績!$AD$6:$AD$505,"&gt;"&amp;$A48,実績!$AE$6:$AE$505,"○")&gt;0,1,0))</f>
        <v/>
      </c>
      <c r="CZ48">
        <f>IF(CZ$4=0,0,IF(COUNTIFS(実績!$W$6:$W$505,CZ$3,実績!$AC$6:$AC$505,"&lt;="&amp;$A48,実績!$AD$6:$AD$505,"&gt;"&amp;$A48,実績!$AE$6:$AE$505,"○")&gt;0,1,0))</f>
        <v/>
      </c>
      <c r="DA48">
        <f>IF(DA$4=0,0,IF(COUNTIFS(実績!$W$6:$W$505,DA$3,実績!$AC$6:$AC$505,"&lt;="&amp;$A48,実績!$AD$6:$AD$505,"&gt;"&amp;$A48,実績!$AE$6:$AE$505,"○")&gt;0,1,0))</f>
        <v/>
      </c>
      <c r="DB48">
        <f>IF(DB$4=0,0,IF(COUNTIFS(実績!$W$6:$W$505,DB$3,実績!$AC$6:$AC$505,"&lt;="&amp;$A48,実績!$AD$6:$AD$505,"&gt;"&amp;$A48,実績!$AE$6:$AE$505,"○")&gt;0,1,0))</f>
        <v/>
      </c>
      <c r="DC48">
        <f>IF(DC$4=0,0,IF(COUNTIFS(実績!$W$6:$W$505,DC$3,実績!$AC$6:$AC$505,"&lt;="&amp;$A48,実績!$AD$6:$AD$505,"&gt;"&amp;$A48,実績!$AE$6:$AE$505,"○")&gt;0,1,0))</f>
        <v/>
      </c>
      <c r="DD48">
        <f>IF(DD$4=0,0,IF(COUNTIFS(実績!$W$6:$W$505,DD$3,実績!$AC$6:$AC$505,"&lt;="&amp;$A48,実績!$AD$6:$AD$505,"&gt;"&amp;$A48,実績!$AE$6:$AE$505,"○")&gt;0,1,0))</f>
        <v/>
      </c>
      <c r="DE48">
        <f>IF(DE$4=0,0,IF(COUNTIFS(実績!$W$6:$W$505,DE$3,実績!$AC$6:$AC$505,"&lt;="&amp;$A48,実績!$AD$6:$AD$505,"&gt;"&amp;$A48,実績!$AE$6:$AE$505,"○")&gt;0,1,0))</f>
        <v/>
      </c>
      <c r="DF48">
        <f>IF(DF$4=0,0,IF(COUNTIFS(実績!$W$6:$W$505,DF$3,実績!$AC$6:$AC$505,"&lt;="&amp;$A48,実績!$AD$6:$AD$505,"&gt;"&amp;$A48,実績!$AE$6:$AE$505,"○")&gt;0,1,0))</f>
        <v/>
      </c>
      <c r="DG48">
        <f>IF(DG$4=0,0,IF(COUNTIFS(実績!$W$6:$W$505,DG$3,実績!$AC$6:$AC$505,"&lt;="&amp;$A48,実績!$AD$6:$AD$505,"&gt;"&amp;$A48,実績!$AE$6:$AE$505,"○")&gt;0,1,0))</f>
        <v/>
      </c>
      <c r="DH48">
        <f>IF(DH$4=0,0,IF(COUNTIFS(実績!$W$6:$W$505,DH$3,実績!$AC$6:$AC$505,"&lt;="&amp;$A48,実績!$AD$6:$AD$505,"&gt;"&amp;$A48,実績!$AE$6:$AE$505,"○")&gt;0,1,0))</f>
        <v/>
      </c>
      <c r="DI48">
        <f>IF(DI$4=0,0,IF(COUNTIFS(実績!$W$6:$W$505,DI$3,実績!$AC$6:$AC$505,"&lt;="&amp;$A48,実績!$AD$6:$AD$505,"&gt;"&amp;$A48,実績!$AE$6:$AE$505,"○")&gt;0,1,0))</f>
        <v/>
      </c>
      <c r="DJ48">
        <f>IF(DJ$4=0,0,IF(COUNTIFS(実績!$W$6:$W$505,DJ$3,実績!$AC$6:$AC$505,"&lt;="&amp;$A48,実績!$AD$6:$AD$505,"&gt;"&amp;$A48,実績!$AE$6:$AE$505,"○")&gt;0,1,0))</f>
        <v/>
      </c>
      <c r="DK48">
        <f>IF(DK$4=0,0,IF(COUNTIFS(実績!$W$6:$W$505,DK$3,実績!$AC$6:$AC$505,"&lt;="&amp;$A48,実績!$AD$6:$AD$505,"&gt;"&amp;$A48,実績!$AE$6:$AE$505,"○")&gt;0,1,0))</f>
        <v/>
      </c>
      <c r="DL48">
        <f>IF(DL$4=0,0,IF(COUNTIFS(実績!$W$6:$W$505,DL$3,実績!$AC$6:$AC$505,"&lt;="&amp;$A48,実績!$AD$6:$AD$505,"&gt;"&amp;$A48,実績!$AE$6:$AE$505,"○")&gt;0,1,0))</f>
        <v/>
      </c>
      <c r="DM48">
        <f>IF(DM$4=0,0,IF(COUNTIFS(実績!$W$6:$W$505,DM$3,実績!$AC$6:$AC$505,"&lt;="&amp;$A48,実績!$AD$6:$AD$505,"&gt;"&amp;$A48,実績!$AE$6:$AE$505,"○")&gt;0,1,0))</f>
        <v/>
      </c>
      <c r="DN48">
        <f>IF(DN$4=0,0,IF(COUNTIFS(実績!$W$6:$W$505,DN$3,実績!$AC$6:$AC$505,"&lt;="&amp;$A48,実績!$AD$6:$AD$505,"&gt;"&amp;$A48,実績!$AE$6:$AE$505,"○")&gt;0,1,0))</f>
        <v/>
      </c>
      <c r="DO48">
        <f>IF(DO$4=0,0,IF(COUNTIFS(実績!$W$6:$W$505,DO$3,実績!$AC$6:$AC$505,"&lt;="&amp;$A48,実績!$AD$6:$AD$505,"&gt;"&amp;$A48,実績!$AE$6:$AE$505,"○")&gt;0,1,0))</f>
        <v/>
      </c>
      <c r="DP48">
        <f>IF(DP$4=0,0,IF(COUNTIFS(実績!$W$6:$W$505,DP$3,実績!$AC$6:$AC$505,"&lt;="&amp;$A48,実績!$AD$6:$AD$505,"&gt;"&amp;$A48,実績!$AE$6:$AE$505,"○")&gt;0,1,0))</f>
        <v/>
      </c>
      <c r="DQ48">
        <f>IF(DQ$4=0,0,IF(COUNTIFS(実績!$W$6:$W$505,DQ$3,実績!$AC$6:$AC$505,"&lt;="&amp;$A48,実績!$AD$6:$AD$505,"&gt;"&amp;$A48,実績!$AE$6:$AE$505,"○")&gt;0,1,0))</f>
        <v/>
      </c>
      <c r="DR48">
        <f>IF(DR$4=0,0,IF(COUNTIFS(実績!$W$6:$W$505,DR$3,実績!$AC$6:$AC$505,"&lt;="&amp;$A48,実績!$AD$6:$AD$505,"&gt;"&amp;$A48,実績!$AE$6:$AE$505,"○")&gt;0,1,0))</f>
        <v/>
      </c>
      <c r="DS48">
        <f>SUM(C48:DR48)</f>
        <v/>
      </c>
      <c r="DT48">
        <f>SUMPRODUCT((実績!$C$6:$C$505="○")*ISNUMBER(実績!$AF$6:$AF$505)*(実績!$AF$6:$AF$505&lt;=$A48)*(実績!$AG$6:$AG$505&gt;$A48))</f>
        <v/>
      </c>
      <c r="DU48">
        <f>SUMIF($C$2:$DR$2,"製鉄曳船",C48:DR48)</f>
        <v/>
      </c>
      <c r="DV48">
        <f>SUMIF($C$2:$DR$2,"西日本海運",C48:DR48)</f>
        <v/>
      </c>
    </row>
    <row r="49">
      <c r="A49" t="n">
        <v>215</v>
      </c>
      <c r="B49" s="29">
        <f>A49/1440</f>
        <v/>
      </c>
      <c r="C49">
        <f>IF(C$4=0,0,IF(COUNTIFS(実績!$W$6:$W$505,C$3,実績!$AC$6:$AC$505,"&lt;="&amp;$A49,実績!$AD$6:$AD$505,"&gt;"&amp;$A49,実績!$AE$6:$AE$505,"○")&gt;0,1,0))</f>
        <v/>
      </c>
      <c r="D49">
        <f>IF(D$4=0,0,IF(COUNTIFS(実績!$W$6:$W$505,D$3,実績!$AC$6:$AC$505,"&lt;="&amp;$A49,実績!$AD$6:$AD$505,"&gt;"&amp;$A49,実績!$AE$6:$AE$505,"○")&gt;0,1,0))</f>
        <v/>
      </c>
      <c r="E49">
        <f>IF(E$4=0,0,IF(COUNTIFS(実績!$W$6:$W$505,E$3,実績!$AC$6:$AC$505,"&lt;="&amp;$A49,実績!$AD$6:$AD$505,"&gt;"&amp;$A49,実績!$AE$6:$AE$505,"○")&gt;0,1,0))</f>
        <v/>
      </c>
      <c r="F49">
        <f>IF(F$4=0,0,IF(COUNTIFS(実績!$W$6:$W$505,F$3,実績!$AC$6:$AC$505,"&lt;="&amp;$A49,実績!$AD$6:$AD$505,"&gt;"&amp;$A49,実績!$AE$6:$AE$505,"○")&gt;0,1,0))</f>
        <v/>
      </c>
      <c r="G49">
        <f>IF(G$4=0,0,IF(COUNTIFS(実績!$W$6:$W$505,G$3,実績!$AC$6:$AC$505,"&lt;="&amp;$A49,実績!$AD$6:$AD$505,"&gt;"&amp;$A49,実績!$AE$6:$AE$505,"○")&gt;0,1,0))</f>
        <v/>
      </c>
      <c r="H49">
        <f>IF(H$4=0,0,IF(COUNTIFS(実績!$W$6:$W$505,H$3,実績!$AC$6:$AC$505,"&lt;="&amp;$A49,実績!$AD$6:$AD$505,"&gt;"&amp;$A49,実績!$AE$6:$AE$505,"○")&gt;0,1,0))</f>
        <v/>
      </c>
      <c r="I49">
        <f>IF(I$4=0,0,IF(COUNTIFS(実績!$W$6:$W$505,I$3,実績!$AC$6:$AC$505,"&lt;="&amp;$A49,実績!$AD$6:$AD$505,"&gt;"&amp;$A49,実績!$AE$6:$AE$505,"○")&gt;0,1,0))</f>
        <v/>
      </c>
      <c r="J49">
        <f>IF(J$4=0,0,IF(COUNTIFS(実績!$W$6:$W$505,J$3,実績!$AC$6:$AC$505,"&lt;="&amp;$A49,実績!$AD$6:$AD$505,"&gt;"&amp;$A49,実績!$AE$6:$AE$505,"○")&gt;0,1,0))</f>
        <v/>
      </c>
      <c r="K49">
        <f>IF(K$4=0,0,IF(COUNTIFS(実績!$W$6:$W$505,K$3,実績!$AC$6:$AC$505,"&lt;="&amp;$A49,実績!$AD$6:$AD$505,"&gt;"&amp;$A49,実績!$AE$6:$AE$505,"○")&gt;0,1,0))</f>
        <v/>
      </c>
      <c r="L49">
        <f>IF(L$4=0,0,IF(COUNTIFS(実績!$W$6:$W$505,L$3,実績!$AC$6:$AC$505,"&lt;="&amp;$A49,実績!$AD$6:$AD$505,"&gt;"&amp;$A49,実績!$AE$6:$AE$505,"○")&gt;0,1,0))</f>
        <v/>
      </c>
      <c r="M49">
        <f>IF(M$4=0,0,IF(COUNTIFS(実績!$W$6:$W$505,M$3,実績!$AC$6:$AC$505,"&lt;="&amp;$A49,実績!$AD$6:$AD$505,"&gt;"&amp;$A49,実績!$AE$6:$AE$505,"○")&gt;0,1,0))</f>
        <v/>
      </c>
      <c r="N49">
        <f>IF(N$4=0,0,IF(COUNTIFS(実績!$W$6:$W$505,N$3,実績!$AC$6:$AC$505,"&lt;="&amp;$A49,実績!$AD$6:$AD$505,"&gt;"&amp;$A49,実績!$AE$6:$AE$505,"○")&gt;0,1,0))</f>
        <v/>
      </c>
      <c r="O49">
        <f>IF(O$4=0,0,IF(COUNTIFS(実績!$W$6:$W$505,O$3,実績!$AC$6:$AC$505,"&lt;="&amp;$A49,実績!$AD$6:$AD$505,"&gt;"&amp;$A49,実績!$AE$6:$AE$505,"○")&gt;0,1,0))</f>
        <v/>
      </c>
      <c r="P49">
        <f>IF(P$4=0,0,IF(COUNTIFS(実績!$W$6:$W$505,P$3,実績!$AC$6:$AC$505,"&lt;="&amp;$A49,実績!$AD$6:$AD$505,"&gt;"&amp;$A49,実績!$AE$6:$AE$505,"○")&gt;0,1,0))</f>
        <v/>
      </c>
      <c r="Q49">
        <f>IF(Q$4=0,0,IF(COUNTIFS(実績!$W$6:$W$505,Q$3,実績!$AC$6:$AC$505,"&lt;="&amp;$A49,実績!$AD$6:$AD$505,"&gt;"&amp;$A49,実績!$AE$6:$AE$505,"○")&gt;0,1,0))</f>
        <v/>
      </c>
      <c r="R49">
        <f>IF(R$4=0,0,IF(COUNTIFS(実績!$W$6:$W$505,R$3,実績!$AC$6:$AC$505,"&lt;="&amp;$A49,実績!$AD$6:$AD$505,"&gt;"&amp;$A49,実績!$AE$6:$AE$505,"○")&gt;0,1,0))</f>
        <v/>
      </c>
      <c r="S49">
        <f>IF(S$4=0,0,IF(COUNTIFS(実績!$W$6:$W$505,S$3,実績!$AC$6:$AC$505,"&lt;="&amp;$A49,実績!$AD$6:$AD$505,"&gt;"&amp;$A49,実績!$AE$6:$AE$505,"○")&gt;0,1,0))</f>
        <v/>
      </c>
      <c r="T49">
        <f>IF(T$4=0,0,IF(COUNTIFS(実績!$W$6:$W$505,T$3,実績!$AC$6:$AC$505,"&lt;="&amp;$A49,実績!$AD$6:$AD$505,"&gt;"&amp;$A49,実績!$AE$6:$AE$505,"○")&gt;0,1,0))</f>
        <v/>
      </c>
      <c r="U49">
        <f>IF(U$4=0,0,IF(COUNTIFS(実績!$W$6:$W$505,U$3,実績!$AC$6:$AC$505,"&lt;="&amp;$A49,実績!$AD$6:$AD$505,"&gt;"&amp;$A49,実績!$AE$6:$AE$505,"○")&gt;0,1,0))</f>
        <v/>
      </c>
      <c r="V49">
        <f>IF(V$4=0,0,IF(COUNTIFS(実績!$W$6:$W$505,V$3,実績!$AC$6:$AC$505,"&lt;="&amp;$A49,実績!$AD$6:$AD$505,"&gt;"&amp;$A49,実績!$AE$6:$AE$505,"○")&gt;0,1,0))</f>
        <v/>
      </c>
      <c r="W49">
        <f>IF(W$4=0,0,IF(COUNTIFS(実績!$W$6:$W$505,W$3,実績!$AC$6:$AC$505,"&lt;="&amp;$A49,実績!$AD$6:$AD$505,"&gt;"&amp;$A49,実績!$AE$6:$AE$505,"○")&gt;0,1,0))</f>
        <v/>
      </c>
      <c r="X49">
        <f>IF(X$4=0,0,IF(COUNTIFS(実績!$W$6:$W$505,X$3,実績!$AC$6:$AC$505,"&lt;="&amp;$A49,実績!$AD$6:$AD$505,"&gt;"&amp;$A49,実績!$AE$6:$AE$505,"○")&gt;0,1,0))</f>
        <v/>
      </c>
      <c r="Y49">
        <f>IF(Y$4=0,0,IF(COUNTIFS(実績!$W$6:$W$505,Y$3,実績!$AC$6:$AC$505,"&lt;="&amp;$A49,実績!$AD$6:$AD$505,"&gt;"&amp;$A49,実績!$AE$6:$AE$505,"○")&gt;0,1,0))</f>
        <v/>
      </c>
      <c r="Z49">
        <f>IF(Z$4=0,0,IF(COUNTIFS(実績!$W$6:$W$505,Z$3,実績!$AC$6:$AC$505,"&lt;="&amp;$A49,実績!$AD$6:$AD$505,"&gt;"&amp;$A49,実績!$AE$6:$AE$505,"○")&gt;0,1,0))</f>
        <v/>
      </c>
      <c r="AA49">
        <f>IF(AA$4=0,0,IF(COUNTIFS(実績!$W$6:$W$505,AA$3,実績!$AC$6:$AC$505,"&lt;="&amp;$A49,実績!$AD$6:$AD$505,"&gt;"&amp;$A49,実績!$AE$6:$AE$505,"○")&gt;0,1,0))</f>
        <v/>
      </c>
      <c r="AB49">
        <f>IF(AB$4=0,0,IF(COUNTIFS(実績!$W$6:$W$505,AB$3,実績!$AC$6:$AC$505,"&lt;="&amp;$A49,実績!$AD$6:$AD$505,"&gt;"&amp;$A49,実績!$AE$6:$AE$505,"○")&gt;0,1,0))</f>
        <v/>
      </c>
      <c r="AC49">
        <f>IF(AC$4=0,0,IF(COUNTIFS(実績!$W$6:$W$505,AC$3,実績!$AC$6:$AC$505,"&lt;="&amp;$A49,実績!$AD$6:$AD$505,"&gt;"&amp;$A49,実績!$AE$6:$AE$505,"○")&gt;0,1,0))</f>
        <v/>
      </c>
      <c r="AD49">
        <f>IF(AD$4=0,0,IF(COUNTIFS(実績!$W$6:$W$505,AD$3,実績!$AC$6:$AC$505,"&lt;="&amp;$A49,実績!$AD$6:$AD$505,"&gt;"&amp;$A49,実績!$AE$6:$AE$505,"○")&gt;0,1,0))</f>
        <v/>
      </c>
      <c r="AE49">
        <f>IF(AE$4=0,0,IF(COUNTIFS(実績!$W$6:$W$505,AE$3,実績!$AC$6:$AC$505,"&lt;="&amp;$A49,実績!$AD$6:$AD$505,"&gt;"&amp;$A49,実績!$AE$6:$AE$505,"○")&gt;0,1,0))</f>
        <v/>
      </c>
      <c r="AF49">
        <f>IF(AF$4=0,0,IF(COUNTIFS(実績!$W$6:$W$505,AF$3,実績!$AC$6:$AC$505,"&lt;="&amp;$A49,実績!$AD$6:$AD$505,"&gt;"&amp;$A49,実績!$AE$6:$AE$505,"○")&gt;0,1,0))</f>
        <v/>
      </c>
      <c r="AG49">
        <f>IF(AG$4=0,0,IF(COUNTIFS(実績!$W$6:$W$505,AG$3,実績!$AC$6:$AC$505,"&lt;="&amp;$A49,実績!$AD$6:$AD$505,"&gt;"&amp;$A49,実績!$AE$6:$AE$505,"○")&gt;0,1,0))</f>
        <v/>
      </c>
      <c r="AH49">
        <f>IF(AH$4=0,0,IF(COUNTIFS(実績!$W$6:$W$505,AH$3,実績!$AC$6:$AC$505,"&lt;="&amp;$A49,実績!$AD$6:$AD$505,"&gt;"&amp;$A49,実績!$AE$6:$AE$505,"○")&gt;0,1,0))</f>
        <v/>
      </c>
      <c r="AI49">
        <f>IF(AI$4=0,0,IF(COUNTIFS(実績!$W$6:$W$505,AI$3,実績!$AC$6:$AC$505,"&lt;="&amp;$A49,実績!$AD$6:$AD$505,"&gt;"&amp;$A49,実績!$AE$6:$AE$505,"○")&gt;0,1,0))</f>
        <v/>
      </c>
      <c r="AJ49">
        <f>IF(AJ$4=0,0,IF(COUNTIFS(実績!$W$6:$W$505,AJ$3,実績!$AC$6:$AC$505,"&lt;="&amp;$A49,実績!$AD$6:$AD$505,"&gt;"&amp;$A49,実績!$AE$6:$AE$505,"○")&gt;0,1,0))</f>
        <v/>
      </c>
      <c r="AK49">
        <f>IF(AK$4=0,0,IF(COUNTIFS(実績!$W$6:$W$505,AK$3,実績!$AC$6:$AC$505,"&lt;="&amp;$A49,実績!$AD$6:$AD$505,"&gt;"&amp;$A49,実績!$AE$6:$AE$505,"○")&gt;0,1,0))</f>
        <v/>
      </c>
      <c r="AL49">
        <f>IF(AL$4=0,0,IF(COUNTIFS(実績!$W$6:$W$505,AL$3,実績!$AC$6:$AC$505,"&lt;="&amp;$A49,実績!$AD$6:$AD$505,"&gt;"&amp;$A49,実績!$AE$6:$AE$505,"○")&gt;0,1,0))</f>
        <v/>
      </c>
      <c r="AM49">
        <f>IF(AM$4=0,0,IF(COUNTIFS(実績!$W$6:$W$505,AM$3,実績!$AC$6:$AC$505,"&lt;="&amp;$A49,実績!$AD$6:$AD$505,"&gt;"&amp;$A49,実績!$AE$6:$AE$505,"○")&gt;0,1,0))</f>
        <v/>
      </c>
      <c r="AN49">
        <f>IF(AN$4=0,0,IF(COUNTIFS(実績!$W$6:$W$505,AN$3,実績!$AC$6:$AC$505,"&lt;="&amp;$A49,実績!$AD$6:$AD$505,"&gt;"&amp;$A49,実績!$AE$6:$AE$505,"○")&gt;0,1,0))</f>
        <v/>
      </c>
      <c r="AO49">
        <f>IF(AO$4=0,0,IF(COUNTIFS(実績!$W$6:$W$505,AO$3,実績!$AC$6:$AC$505,"&lt;="&amp;$A49,実績!$AD$6:$AD$505,"&gt;"&amp;$A49,実績!$AE$6:$AE$505,"○")&gt;0,1,0))</f>
        <v/>
      </c>
      <c r="AP49">
        <f>IF(AP$4=0,0,IF(COUNTIFS(実績!$W$6:$W$505,AP$3,実績!$AC$6:$AC$505,"&lt;="&amp;$A49,実績!$AD$6:$AD$505,"&gt;"&amp;$A49,実績!$AE$6:$AE$505,"○")&gt;0,1,0))</f>
        <v/>
      </c>
      <c r="AQ49">
        <f>IF(AQ$4=0,0,IF(COUNTIFS(実績!$W$6:$W$505,AQ$3,実績!$AC$6:$AC$505,"&lt;="&amp;$A49,実績!$AD$6:$AD$505,"&gt;"&amp;$A49,実績!$AE$6:$AE$505,"○")&gt;0,1,0))</f>
        <v/>
      </c>
      <c r="AR49">
        <f>IF(AR$4=0,0,IF(COUNTIFS(実績!$W$6:$W$505,AR$3,実績!$AC$6:$AC$505,"&lt;="&amp;$A49,実績!$AD$6:$AD$505,"&gt;"&amp;$A49,実績!$AE$6:$AE$505,"○")&gt;0,1,0))</f>
        <v/>
      </c>
      <c r="AS49">
        <f>IF(AS$4=0,0,IF(COUNTIFS(実績!$W$6:$W$505,AS$3,実績!$AC$6:$AC$505,"&lt;="&amp;$A49,実績!$AD$6:$AD$505,"&gt;"&amp;$A49,実績!$AE$6:$AE$505,"○")&gt;0,1,0))</f>
        <v/>
      </c>
      <c r="AT49">
        <f>IF(AT$4=0,0,IF(COUNTIFS(実績!$W$6:$W$505,AT$3,実績!$AC$6:$AC$505,"&lt;="&amp;$A49,実績!$AD$6:$AD$505,"&gt;"&amp;$A49,実績!$AE$6:$AE$505,"○")&gt;0,1,0))</f>
        <v/>
      </c>
      <c r="AU49">
        <f>IF(AU$4=0,0,IF(COUNTIFS(実績!$W$6:$W$505,AU$3,実績!$AC$6:$AC$505,"&lt;="&amp;$A49,実績!$AD$6:$AD$505,"&gt;"&amp;$A49,実績!$AE$6:$AE$505,"○")&gt;0,1,0))</f>
        <v/>
      </c>
      <c r="AV49">
        <f>IF(AV$4=0,0,IF(COUNTIFS(実績!$W$6:$W$505,AV$3,実績!$AC$6:$AC$505,"&lt;="&amp;$A49,実績!$AD$6:$AD$505,"&gt;"&amp;$A49,実績!$AE$6:$AE$505,"○")&gt;0,1,0))</f>
        <v/>
      </c>
      <c r="AW49">
        <f>IF(AW$4=0,0,IF(COUNTIFS(実績!$W$6:$W$505,AW$3,実績!$AC$6:$AC$505,"&lt;="&amp;$A49,実績!$AD$6:$AD$505,"&gt;"&amp;$A49,実績!$AE$6:$AE$505,"○")&gt;0,1,0))</f>
        <v/>
      </c>
      <c r="AX49">
        <f>IF(AX$4=0,0,IF(COUNTIFS(実績!$W$6:$W$505,AX$3,実績!$AC$6:$AC$505,"&lt;="&amp;$A49,実績!$AD$6:$AD$505,"&gt;"&amp;$A49,実績!$AE$6:$AE$505,"○")&gt;0,1,0))</f>
        <v/>
      </c>
      <c r="AY49">
        <f>IF(AY$4=0,0,IF(COUNTIFS(実績!$W$6:$W$505,AY$3,実績!$AC$6:$AC$505,"&lt;="&amp;$A49,実績!$AD$6:$AD$505,"&gt;"&amp;$A49,実績!$AE$6:$AE$505,"○")&gt;0,1,0))</f>
        <v/>
      </c>
      <c r="AZ49">
        <f>IF(AZ$4=0,0,IF(COUNTIFS(実績!$W$6:$W$505,AZ$3,実績!$AC$6:$AC$505,"&lt;="&amp;$A49,実績!$AD$6:$AD$505,"&gt;"&amp;$A49,実績!$AE$6:$AE$505,"○")&gt;0,1,0))</f>
        <v/>
      </c>
      <c r="BA49">
        <f>IF(BA$4=0,0,IF(COUNTIFS(実績!$W$6:$W$505,BA$3,実績!$AC$6:$AC$505,"&lt;="&amp;$A49,実績!$AD$6:$AD$505,"&gt;"&amp;$A49,実績!$AE$6:$AE$505,"○")&gt;0,1,0))</f>
        <v/>
      </c>
      <c r="BB49">
        <f>IF(BB$4=0,0,IF(COUNTIFS(実績!$W$6:$W$505,BB$3,実績!$AC$6:$AC$505,"&lt;="&amp;$A49,実績!$AD$6:$AD$505,"&gt;"&amp;$A49,実績!$AE$6:$AE$505,"○")&gt;0,1,0))</f>
        <v/>
      </c>
      <c r="BC49">
        <f>IF(BC$4=0,0,IF(COUNTIFS(実績!$W$6:$W$505,BC$3,実績!$AC$6:$AC$505,"&lt;="&amp;$A49,実績!$AD$6:$AD$505,"&gt;"&amp;$A49,実績!$AE$6:$AE$505,"○")&gt;0,1,0))</f>
        <v/>
      </c>
      <c r="BD49">
        <f>IF(BD$4=0,0,IF(COUNTIFS(実績!$W$6:$W$505,BD$3,実績!$AC$6:$AC$505,"&lt;="&amp;$A49,実績!$AD$6:$AD$505,"&gt;"&amp;$A49,実績!$AE$6:$AE$505,"○")&gt;0,1,0))</f>
        <v/>
      </c>
      <c r="BE49">
        <f>IF(BE$4=0,0,IF(COUNTIFS(実績!$W$6:$W$505,BE$3,実績!$AC$6:$AC$505,"&lt;="&amp;$A49,実績!$AD$6:$AD$505,"&gt;"&amp;$A49,実績!$AE$6:$AE$505,"○")&gt;0,1,0))</f>
        <v/>
      </c>
      <c r="BF49">
        <f>IF(BF$4=0,0,IF(COUNTIFS(実績!$W$6:$W$505,BF$3,実績!$AC$6:$AC$505,"&lt;="&amp;$A49,実績!$AD$6:$AD$505,"&gt;"&amp;$A49,実績!$AE$6:$AE$505,"○")&gt;0,1,0))</f>
        <v/>
      </c>
      <c r="BG49">
        <f>IF(BG$4=0,0,IF(COUNTIFS(実績!$W$6:$W$505,BG$3,実績!$AC$6:$AC$505,"&lt;="&amp;$A49,実績!$AD$6:$AD$505,"&gt;"&amp;$A49,実績!$AE$6:$AE$505,"○")&gt;0,1,0))</f>
        <v/>
      </c>
      <c r="BH49">
        <f>IF(BH$4=0,0,IF(COUNTIFS(実績!$W$6:$W$505,BH$3,実績!$AC$6:$AC$505,"&lt;="&amp;$A49,実績!$AD$6:$AD$505,"&gt;"&amp;$A49,実績!$AE$6:$AE$505,"○")&gt;0,1,0))</f>
        <v/>
      </c>
      <c r="BI49">
        <f>IF(BI$4=0,0,IF(COUNTIFS(実績!$W$6:$W$505,BI$3,実績!$AC$6:$AC$505,"&lt;="&amp;$A49,実績!$AD$6:$AD$505,"&gt;"&amp;$A49,実績!$AE$6:$AE$505,"○")&gt;0,1,0))</f>
        <v/>
      </c>
      <c r="BJ49">
        <f>IF(BJ$4=0,0,IF(COUNTIFS(実績!$W$6:$W$505,BJ$3,実績!$AC$6:$AC$505,"&lt;="&amp;$A49,実績!$AD$6:$AD$505,"&gt;"&amp;$A49,実績!$AE$6:$AE$505,"○")&gt;0,1,0))</f>
        <v/>
      </c>
      <c r="BK49">
        <f>IF(BK$4=0,0,IF(COUNTIFS(実績!$W$6:$W$505,BK$3,実績!$AC$6:$AC$505,"&lt;="&amp;$A49,実績!$AD$6:$AD$505,"&gt;"&amp;$A49,実績!$AE$6:$AE$505,"○")&gt;0,1,0))</f>
        <v/>
      </c>
      <c r="BL49">
        <f>IF(BL$4=0,0,IF(COUNTIFS(実績!$W$6:$W$505,BL$3,実績!$AC$6:$AC$505,"&lt;="&amp;$A49,実績!$AD$6:$AD$505,"&gt;"&amp;$A49,実績!$AE$6:$AE$505,"○")&gt;0,1,0))</f>
        <v/>
      </c>
      <c r="BM49">
        <f>IF(BM$4=0,0,IF(COUNTIFS(実績!$W$6:$W$505,BM$3,実績!$AC$6:$AC$505,"&lt;="&amp;$A49,実績!$AD$6:$AD$505,"&gt;"&amp;$A49,実績!$AE$6:$AE$505,"○")&gt;0,1,0))</f>
        <v/>
      </c>
      <c r="BN49">
        <f>IF(BN$4=0,0,IF(COUNTIFS(実績!$W$6:$W$505,BN$3,実績!$AC$6:$AC$505,"&lt;="&amp;$A49,実績!$AD$6:$AD$505,"&gt;"&amp;$A49,実績!$AE$6:$AE$505,"○")&gt;0,1,0))</f>
        <v/>
      </c>
      <c r="BO49">
        <f>IF(BO$4=0,0,IF(COUNTIFS(実績!$W$6:$W$505,BO$3,実績!$AC$6:$AC$505,"&lt;="&amp;$A49,実績!$AD$6:$AD$505,"&gt;"&amp;$A49,実績!$AE$6:$AE$505,"○")&gt;0,1,0))</f>
        <v/>
      </c>
      <c r="BP49">
        <f>IF(BP$4=0,0,IF(COUNTIFS(実績!$W$6:$W$505,BP$3,実績!$AC$6:$AC$505,"&lt;="&amp;$A49,実績!$AD$6:$AD$505,"&gt;"&amp;$A49,実績!$AE$6:$AE$505,"○")&gt;0,1,0))</f>
        <v/>
      </c>
      <c r="BQ49">
        <f>IF(BQ$4=0,0,IF(COUNTIFS(実績!$W$6:$W$505,BQ$3,実績!$AC$6:$AC$505,"&lt;="&amp;$A49,実績!$AD$6:$AD$505,"&gt;"&amp;$A49,実績!$AE$6:$AE$505,"○")&gt;0,1,0))</f>
        <v/>
      </c>
      <c r="BR49">
        <f>IF(BR$4=0,0,IF(COUNTIFS(実績!$W$6:$W$505,BR$3,実績!$AC$6:$AC$505,"&lt;="&amp;$A49,実績!$AD$6:$AD$505,"&gt;"&amp;$A49,実績!$AE$6:$AE$505,"○")&gt;0,1,0))</f>
        <v/>
      </c>
      <c r="BS49">
        <f>IF(BS$4=0,0,IF(COUNTIFS(実績!$W$6:$W$505,BS$3,実績!$AC$6:$AC$505,"&lt;="&amp;$A49,実績!$AD$6:$AD$505,"&gt;"&amp;$A49,実績!$AE$6:$AE$505,"○")&gt;0,1,0))</f>
        <v/>
      </c>
      <c r="BT49">
        <f>IF(BT$4=0,0,IF(COUNTIFS(実績!$W$6:$W$505,BT$3,実績!$AC$6:$AC$505,"&lt;="&amp;$A49,実績!$AD$6:$AD$505,"&gt;"&amp;$A49,実績!$AE$6:$AE$505,"○")&gt;0,1,0))</f>
        <v/>
      </c>
      <c r="BU49">
        <f>IF(BU$4=0,0,IF(COUNTIFS(実績!$W$6:$W$505,BU$3,実績!$AC$6:$AC$505,"&lt;="&amp;$A49,実績!$AD$6:$AD$505,"&gt;"&amp;$A49,実績!$AE$6:$AE$505,"○")&gt;0,1,0))</f>
        <v/>
      </c>
      <c r="BV49">
        <f>IF(BV$4=0,0,IF(COUNTIFS(実績!$W$6:$W$505,BV$3,実績!$AC$6:$AC$505,"&lt;="&amp;$A49,実績!$AD$6:$AD$505,"&gt;"&amp;$A49,実績!$AE$6:$AE$505,"○")&gt;0,1,0))</f>
        <v/>
      </c>
      <c r="BW49">
        <f>IF(BW$4=0,0,IF(COUNTIFS(実績!$W$6:$W$505,BW$3,実績!$AC$6:$AC$505,"&lt;="&amp;$A49,実績!$AD$6:$AD$505,"&gt;"&amp;$A49,実績!$AE$6:$AE$505,"○")&gt;0,1,0))</f>
        <v/>
      </c>
      <c r="BX49">
        <f>IF(BX$4=0,0,IF(COUNTIFS(実績!$W$6:$W$505,BX$3,実績!$AC$6:$AC$505,"&lt;="&amp;$A49,実績!$AD$6:$AD$505,"&gt;"&amp;$A49,実績!$AE$6:$AE$505,"○")&gt;0,1,0))</f>
        <v/>
      </c>
      <c r="BY49">
        <f>IF(BY$4=0,0,IF(COUNTIFS(実績!$W$6:$W$505,BY$3,実績!$AC$6:$AC$505,"&lt;="&amp;$A49,実績!$AD$6:$AD$505,"&gt;"&amp;$A49,実績!$AE$6:$AE$505,"○")&gt;0,1,0))</f>
        <v/>
      </c>
      <c r="BZ49">
        <f>IF(BZ$4=0,0,IF(COUNTIFS(実績!$W$6:$W$505,BZ$3,実績!$AC$6:$AC$505,"&lt;="&amp;$A49,実績!$AD$6:$AD$505,"&gt;"&amp;$A49,実績!$AE$6:$AE$505,"○")&gt;0,1,0))</f>
        <v/>
      </c>
      <c r="CA49">
        <f>IF(CA$4=0,0,IF(COUNTIFS(実績!$W$6:$W$505,CA$3,実績!$AC$6:$AC$505,"&lt;="&amp;$A49,実績!$AD$6:$AD$505,"&gt;"&amp;$A49,実績!$AE$6:$AE$505,"○")&gt;0,1,0))</f>
        <v/>
      </c>
      <c r="CB49">
        <f>IF(CB$4=0,0,IF(COUNTIFS(実績!$W$6:$W$505,CB$3,実績!$AC$6:$AC$505,"&lt;="&amp;$A49,実績!$AD$6:$AD$505,"&gt;"&amp;$A49,実績!$AE$6:$AE$505,"○")&gt;0,1,0))</f>
        <v/>
      </c>
      <c r="CC49">
        <f>IF(CC$4=0,0,IF(COUNTIFS(実績!$W$6:$W$505,CC$3,実績!$AC$6:$AC$505,"&lt;="&amp;$A49,実績!$AD$6:$AD$505,"&gt;"&amp;$A49,実績!$AE$6:$AE$505,"○")&gt;0,1,0))</f>
        <v/>
      </c>
      <c r="CD49">
        <f>IF(CD$4=0,0,IF(COUNTIFS(実績!$W$6:$W$505,CD$3,実績!$AC$6:$AC$505,"&lt;="&amp;$A49,実績!$AD$6:$AD$505,"&gt;"&amp;$A49,実績!$AE$6:$AE$505,"○")&gt;0,1,0))</f>
        <v/>
      </c>
      <c r="CE49">
        <f>IF(CE$4=0,0,IF(COUNTIFS(実績!$W$6:$W$505,CE$3,実績!$AC$6:$AC$505,"&lt;="&amp;$A49,実績!$AD$6:$AD$505,"&gt;"&amp;$A49,実績!$AE$6:$AE$505,"○")&gt;0,1,0))</f>
        <v/>
      </c>
      <c r="CF49">
        <f>IF(CF$4=0,0,IF(COUNTIFS(実績!$W$6:$W$505,CF$3,実績!$AC$6:$AC$505,"&lt;="&amp;$A49,実績!$AD$6:$AD$505,"&gt;"&amp;$A49,実績!$AE$6:$AE$505,"○")&gt;0,1,0))</f>
        <v/>
      </c>
      <c r="CG49">
        <f>IF(CG$4=0,0,IF(COUNTIFS(実績!$W$6:$W$505,CG$3,実績!$AC$6:$AC$505,"&lt;="&amp;$A49,実績!$AD$6:$AD$505,"&gt;"&amp;$A49,実績!$AE$6:$AE$505,"○")&gt;0,1,0))</f>
        <v/>
      </c>
      <c r="CH49">
        <f>IF(CH$4=0,0,IF(COUNTIFS(実績!$W$6:$W$505,CH$3,実績!$AC$6:$AC$505,"&lt;="&amp;$A49,実績!$AD$6:$AD$505,"&gt;"&amp;$A49,実績!$AE$6:$AE$505,"○")&gt;0,1,0))</f>
        <v/>
      </c>
      <c r="CI49">
        <f>IF(CI$4=0,0,IF(COUNTIFS(実績!$W$6:$W$505,CI$3,実績!$AC$6:$AC$505,"&lt;="&amp;$A49,実績!$AD$6:$AD$505,"&gt;"&amp;$A49,実績!$AE$6:$AE$505,"○")&gt;0,1,0))</f>
        <v/>
      </c>
      <c r="CJ49">
        <f>IF(CJ$4=0,0,IF(COUNTIFS(実績!$W$6:$W$505,CJ$3,実績!$AC$6:$AC$505,"&lt;="&amp;$A49,実績!$AD$6:$AD$505,"&gt;"&amp;$A49,実績!$AE$6:$AE$505,"○")&gt;0,1,0))</f>
        <v/>
      </c>
      <c r="CK49">
        <f>IF(CK$4=0,0,IF(COUNTIFS(実績!$W$6:$W$505,CK$3,実績!$AC$6:$AC$505,"&lt;="&amp;$A49,実績!$AD$6:$AD$505,"&gt;"&amp;$A49,実績!$AE$6:$AE$505,"○")&gt;0,1,0))</f>
        <v/>
      </c>
      <c r="CL49">
        <f>IF(CL$4=0,0,IF(COUNTIFS(実績!$W$6:$W$505,CL$3,実績!$AC$6:$AC$505,"&lt;="&amp;$A49,実績!$AD$6:$AD$505,"&gt;"&amp;$A49,実績!$AE$6:$AE$505,"○")&gt;0,1,0))</f>
        <v/>
      </c>
      <c r="CM49">
        <f>IF(CM$4=0,0,IF(COUNTIFS(実績!$W$6:$W$505,CM$3,実績!$AC$6:$AC$505,"&lt;="&amp;$A49,実績!$AD$6:$AD$505,"&gt;"&amp;$A49,実績!$AE$6:$AE$505,"○")&gt;0,1,0))</f>
        <v/>
      </c>
      <c r="CN49">
        <f>IF(CN$4=0,0,IF(COUNTIFS(実績!$W$6:$W$505,CN$3,実績!$AC$6:$AC$505,"&lt;="&amp;$A49,実績!$AD$6:$AD$505,"&gt;"&amp;$A49,実績!$AE$6:$AE$505,"○")&gt;0,1,0))</f>
        <v/>
      </c>
      <c r="CO49">
        <f>IF(CO$4=0,0,IF(COUNTIFS(実績!$W$6:$W$505,CO$3,実績!$AC$6:$AC$505,"&lt;="&amp;$A49,実績!$AD$6:$AD$505,"&gt;"&amp;$A49,実績!$AE$6:$AE$505,"○")&gt;0,1,0))</f>
        <v/>
      </c>
      <c r="CP49">
        <f>IF(CP$4=0,0,IF(COUNTIFS(実績!$W$6:$W$505,CP$3,実績!$AC$6:$AC$505,"&lt;="&amp;$A49,実績!$AD$6:$AD$505,"&gt;"&amp;$A49,実績!$AE$6:$AE$505,"○")&gt;0,1,0))</f>
        <v/>
      </c>
      <c r="CQ49">
        <f>IF(CQ$4=0,0,IF(COUNTIFS(実績!$W$6:$W$505,CQ$3,実績!$AC$6:$AC$505,"&lt;="&amp;$A49,実績!$AD$6:$AD$505,"&gt;"&amp;$A49,実績!$AE$6:$AE$505,"○")&gt;0,1,0))</f>
        <v/>
      </c>
      <c r="CR49">
        <f>IF(CR$4=0,0,IF(COUNTIFS(実績!$W$6:$W$505,CR$3,実績!$AC$6:$AC$505,"&lt;="&amp;$A49,実績!$AD$6:$AD$505,"&gt;"&amp;$A49,実績!$AE$6:$AE$505,"○")&gt;0,1,0))</f>
        <v/>
      </c>
      <c r="CS49">
        <f>IF(CS$4=0,0,IF(COUNTIFS(実績!$W$6:$W$505,CS$3,実績!$AC$6:$AC$505,"&lt;="&amp;$A49,実績!$AD$6:$AD$505,"&gt;"&amp;$A49,実績!$AE$6:$AE$505,"○")&gt;0,1,0))</f>
        <v/>
      </c>
      <c r="CT49">
        <f>IF(CT$4=0,0,IF(COUNTIFS(実績!$W$6:$W$505,CT$3,実績!$AC$6:$AC$505,"&lt;="&amp;$A49,実績!$AD$6:$AD$505,"&gt;"&amp;$A49,実績!$AE$6:$AE$505,"○")&gt;0,1,0))</f>
        <v/>
      </c>
      <c r="CU49">
        <f>IF(CU$4=0,0,IF(COUNTIFS(実績!$W$6:$W$505,CU$3,実績!$AC$6:$AC$505,"&lt;="&amp;$A49,実績!$AD$6:$AD$505,"&gt;"&amp;$A49,実績!$AE$6:$AE$505,"○")&gt;0,1,0))</f>
        <v/>
      </c>
      <c r="CV49">
        <f>IF(CV$4=0,0,IF(COUNTIFS(実績!$W$6:$W$505,CV$3,実績!$AC$6:$AC$505,"&lt;="&amp;$A49,実績!$AD$6:$AD$505,"&gt;"&amp;$A49,実績!$AE$6:$AE$505,"○")&gt;0,1,0))</f>
        <v/>
      </c>
      <c r="CW49">
        <f>IF(CW$4=0,0,IF(COUNTIFS(実績!$W$6:$W$505,CW$3,実績!$AC$6:$AC$505,"&lt;="&amp;$A49,実績!$AD$6:$AD$505,"&gt;"&amp;$A49,実績!$AE$6:$AE$505,"○")&gt;0,1,0))</f>
        <v/>
      </c>
      <c r="CX49">
        <f>IF(CX$4=0,0,IF(COUNTIFS(実績!$W$6:$W$505,CX$3,実績!$AC$6:$AC$505,"&lt;="&amp;$A49,実績!$AD$6:$AD$505,"&gt;"&amp;$A49,実績!$AE$6:$AE$505,"○")&gt;0,1,0))</f>
        <v/>
      </c>
      <c r="CY49">
        <f>IF(CY$4=0,0,IF(COUNTIFS(実績!$W$6:$W$505,CY$3,実績!$AC$6:$AC$505,"&lt;="&amp;$A49,実績!$AD$6:$AD$505,"&gt;"&amp;$A49,実績!$AE$6:$AE$505,"○")&gt;0,1,0))</f>
        <v/>
      </c>
      <c r="CZ49">
        <f>IF(CZ$4=0,0,IF(COUNTIFS(実績!$W$6:$W$505,CZ$3,実績!$AC$6:$AC$505,"&lt;="&amp;$A49,実績!$AD$6:$AD$505,"&gt;"&amp;$A49,実績!$AE$6:$AE$505,"○")&gt;0,1,0))</f>
        <v/>
      </c>
      <c r="DA49">
        <f>IF(DA$4=0,0,IF(COUNTIFS(実績!$W$6:$W$505,DA$3,実績!$AC$6:$AC$505,"&lt;="&amp;$A49,実績!$AD$6:$AD$505,"&gt;"&amp;$A49,実績!$AE$6:$AE$505,"○")&gt;0,1,0))</f>
        <v/>
      </c>
      <c r="DB49">
        <f>IF(DB$4=0,0,IF(COUNTIFS(実績!$W$6:$W$505,DB$3,実績!$AC$6:$AC$505,"&lt;="&amp;$A49,実績!$AD$6:$AD$505,"&gt;"&amp;$A49,実績!$AE$6:$AE$505,"○")&gt;0,1,0))</f>
        <v/>
      </c>
      <c r="DC49">
        <f>IF(DC$4=0,0,IF(COUNTIFS(実績!$W$6:$W$505,DC$3,実績!$AC$6:$AC$505,"&lt;="&amp;$A49,実績!$AD$6:$AD$505,"&gt;"&amp;$A49,実績!$AE$6:$AE$505,"○")&gt;0,1,0))</f>
        <v/>
      </c>
      <c r="DD49">
        <f>IF(DD$4=0,0,IF(COUNTIFS(実績!$W$6:$W$505,DD$3,実績!$AC$6:$AC$505,"&lt;="&amp;$A49,実績!$AD$6:$AD$505,"&gt;"&amp;$A49,実績!$AE$6:$AE$505,"○")&gt;0,1,0))</f>
        <v/>
      </c>
      <c r="DE49">
        <f>IF(DE$4=0,0,IF(COUNTIFS(実績!$W$6:$W$505,DE$3,実績!$AC$6:$AC$505,"&lt;="&amp;$A49,実績!$AD$6:$AD$505,"&gt;"&amp;$A49,実績!$AE$6:$AE$505,"○")&gt;0,1,0))</f>
        <v/>
      </c>
      <c r="DF49">
        <f>IF(DF$4=0,0,IF(COUNTIFS(実績!$W$6:$W$505,DF$3,実績!$AC$6:$AC$505,"&lt;="&amp;$A49,実績!$AD$6:$AD$505,"&gt;"&amp;$A49,実績!$AE$6:$AE$505,"○")&gt;0,1,0))</f>
        <v/>
      </c>
      <c r="DG49">
        <f>IF(DG$4=0,0,IF(COUNTIFS(実績!$W$6:$W$505,DG$3,実績!$AC$6:$AC$505,"&lt;="&amp;$A49,実績!$AD$6:$AD$505,"&gt;"&amp;$A49,実績!$AE$6:$AE$505,"○")&gt;0,1,0))</f>
        <v/>
      </c>
      <c r="DH49">
        <f>IF(DH$4=0,0,IF(COUNTIFS(実績!$W$6:$W$505,DH$3,実績!$AC$6:$AC$505,"&lt;="&amp;$A49,実績!$AD$6:$AD$505,"&gt;"&amp;$A49,実績!$AE$6:$AE$505,"○")&gt;0,1,0))</f>
        <v/>
      </c>
      <c r="DI49">
        <f>IF(DI$4=0,0,IF(COUNTIFS(実績!$W$6:$W$505,DI$3,実績!$AC$6:$AC$505,"&lt;="&amp;$A49,実績!$AD$6:$AD$505,"&gt;"&amp;$A49,実績!$AE$6:$AE$505,"○")&gt;0,1,0))</f>
        <v/>
      </c>
      <c r="DJ49">
        <f>IF(DJ$4=0,0,IF(COUNTIFS(実績!$W$6:$W$505,DJ$3,実績!$AC$6:$AC$505,"&lt;="&amp;$A49,実績!$AD$6:$AD$505,"&gt;"&amp;$A49,実績!$AE$6:$AE$505,"○")&gt;0,1,0))</f>
        <v/>
      </c>
      <c r="DK49">
        <f>IF(DK$4=0,0,IF(COUNTIFS(実績!$W$6:$W$505,DK$3,実績!$AC$6:$AC$505,"&lt;="&amp;$A49,実績!$AD$6:$AD$505,"&gt;"&amp;$A49,実績!$AE$6:$AE$505,"○")&gt;0,1,0))</f>
        <v/>
      </c>
      <c r="DL49">
        <f>IF(DL$4=0,0,IF(COUNTIFS(実績!$W$6:$W$505,DL$3,実績!$AC$6:$AC$505,"&lt;="&amp;$A49,実績!$AD$6:$AD$505,"&gt;"&amp;$A49,実績!$AE$6:$AE$505,"○")&gt;0,1,0))</f>
        <v/>
      </c>
      <c r="DM49">
        <f>IF(DM$4=0,0,IF(COUNTIFS(実績!$W$6:$W$505,DM$3,実績!$AC$6:$AC$505,"&lt;="&amp;$A49,実績!$AD$6:$AD$505,"&gt;"&amp;$A49,実績!$AE$6:$AE$505,"○")&gt;0,1,0))</f>
        <v/>
      </c>
      <c r="DN49">
        <f>IF(DN$4=0,0,IF(COUNTIFS(実績!$W$6:$W$505,DN$3,実績!$AC$6:$AC$505,"&lt;="&amp;$A49,実績!$AD$6:$AD$505,"&gt;"&amp;$A49,実績!$AE$6:$AE$505,"○")&gt;0,1,0))</f>
        <v/>
      </c>
      <c r="DO49">
        <f>IF(DO$4=0,0,IF(COUNTIFS(実績!$W$6:$W$505,DO$3,実績!$AC$6:$AC$505,"&lt;="&amp;$A49,実績!$AD$6:$AD$505,"&gt;"&amp;$A49,実績!$AE$6:$AE$505,"○")&gt;0,1,0))</f>
        <v/>
      </c>
      <c r="DP49">
        <f>IF(DP$4=0,0,IF(COUNTIFS(実績!$W$6:$W$505,DP$3,実績!$AC$6:$AC$505,"&lt;="&amp;$A49,実績!$AD$6:$AD$505,"&gt;"&amp;$A49,実績!$AE$6:$AE$505,"○")&gt;0,1,0))</f>
        <v/>
      </c>
      <c r="DQ49">
        <f>IF(DQ$4=0,0,IF(COUNTIFS(実績!$W$6:$W$505,DQ$3,実績!$AC$6:$AC$505,"&lt;="&amp;$A49,実績!$AD$6:$AD$505,"&gt;"&amp;$A49,実績!$AE$6:$AE$505,"○")&gt;0,1,0))</f>
        <v/>
      </c>
      <c r="DR49">
        <f>IF(DR$4=0,0,IF(COUNTIFS(実績!$W$6:$W$505,DR$3,実績!$AC$6:$AC$505,"&lt;="&amp;$A49,実績!$AD$6:$AD$505,"&gt;"&amp;$A49,実績!$AE$6:$AE$505,"○")&gt;0,1,0))</f>
        <v/>
      </c>
      <c r="DS49">
        <f>SUM(C49:DR49)</f>
        <v/>
      </c>
      <c r="DT49">
        <f>SUMPRODUCT((実績!$C$6:$C$505="○")*ISNUMBER(実績!$AF$6:$AF$505)*(実績!$AF$6:$AF$505&lt;=$A49)*(実績!$AG$6:$AG$505&gt;$A49))</f>
        <v/>
      </c>
      <c r="DU49">
        <f>SUMIF($C$2:$DR$2,"製鉄曳船",C49:DR49)</f>
        <v/>
      </c>
      <c r="DV49">
        <f>SUMIF($C$2:$DR$2,"西日本海運",C49:DR49)</f>
        <v/>
      </c>
    </row>
    <row r="50">
      <c r="A50" t="n">
        <v>220</v>
      </c>
      <c r="B50" s="29">
        <f>A50/1440</f>
        <v/>
      </c>
      <c r="C50">
        <f>IF(C$4=0,0,IF(COUNTIFS(実績!$W$6:$W$505,C$3,実績!$AC$6:$AC$505,"&lt;="&amp;$A50,実績!$AD$6:$AD$505,"&gt;"&amp;$A50,実績!$AE$6:$AE$505,"○")&gt;0,1,0))</f>
        <v/>
      </c>
      <c r="D50">
        <f>IF(D$4=0,0,IF(COUNTIFS(実績!$W$6:$W$505,D$3,実績!$AC$6:$AC$505,"&lt;="&amp;$A50,実績!$AD$6:$AD$505,"&gt;"&amp;$A50,実績!$AE$6:$AE$505,"○")&gt;0,1,0))</f>
        <v/>
      </c>
      <c r="E50">
        <f>IF(E$4=0,0,IF(COUNTIFS(実績!$W$6:$W$505,E$3,実績!$AC$6:$AC$505,"&lt;="&amp;$A50,実績!$AD$6:$AD$505,"&gt;"&amp;$A50,実績!$AE$6:$AE$505,"○")&gt;0,1,0))</f>
        <v/>
      </c>
      <c r="F50">
        <f>IF(F$4=0,0,IF(COUNTIFS(実績!$W$6:$W$505,F$3,実績!$AC$6:$AC$505,"&lt;="&amp;$A50,実績!$AD$6:$AD$505,"&gt;"&amp;$A50,実績!$AE$6:$AE$505,"○")&gt;0,1,0))</f>
        <v/>
      </c>
      <c r="G50">
        <f>IF(G$4=0,0,IF(COUNTIFS(実績!$W$6:$W$505,G$3,実績!$AC$6:$AC$505,"&lt;="&amp;$A50,実績!$AD$6:$AD$505,"&gt;"&amp;$A50,実績!$AE$6:$AE$505,"○")&gt;0,1,0))</f>
        <v/>
      </c>
      <c r="H50">
        <f>IF(H$4=0,0,IF(COUNTIFS(実績!$W$6:$W$505,H$3,実績!$AC$6:$AC$505,"&lt;="&amp;$A50,実績!$AD$6:$AD$505,"&gt;"&amp;$A50,実績!$AE$6:$AE$505,"○")&gt;0,1,0))</f>
        <v/>
      </c>
      <c r="I50">
        <f>IF(I$4=0,0,IF(COUNTIFS(実績!$W$6:$W$505,I$3,実績!$AC$6:$AC$505,"&lt;="&amp;$A50,実績!$AD$6:$AD$505,"&gt;"&amp;$A50,実績!$AE$6:$AE$505,"○")&gt;0,1,0))</f>
        <v/>
      </c>
      <c r="J50">
        <f>IF(J$4=0,0,IF(COUNTIFS(実績!$W$6:$W$505,J$3,実績!$AC$6:$AC$505,"&lt;="&amp;$A50,実績!$AD$6:$AD$505,"&gt;"&amp;$A50,実績!$AE$6:$AE$505,"○")&gt;0,1,0))</f>
        <v/>
      </c>
      <c r="K50">
        <f>IF(K$4=0,0,IF(COUNTIFS(実績!$W$6:$W$505,K$3,実績!$AC$6:$AC$505,"&lt;="&amp;$A50,実績!$AD$6:$AD$505,"&gt;"&amp;$A50,実績!$AE$6:$AE$505,"○")&gt;0,1,0))</f>
        <v/>
      </c>
      <c r="L50">
        <f>IF(L$4=0,0,IF(COUNTIFS(実績!$W$6:$W$505,L$3,実績!$AC$6:$AC$505,"&lt;="&amp;$A50,実績!$AD$6:$AD$505,"&gt;"&amp;$A50,実績!$AE$6:$AE$505,"○")&gt;0,1,0))</f>
        <v/>
      </c>
      <c r="M50">
        <f>IF(M$4=0,0,IF(COUNTIFS(実績!$W$6:$W$505,M$3,実績!$AC$6:$AC$505,"&lt;="&amp;$A50,実績!$AD$6:$AD$505,"&gt;"&amp;$A50,実績!$AE$6:$AE$505,"○")&gt;0,1,0))</f>
        <v/>
      </c>
      <c r="N50">
        <f>IF(N$4=0,0,IF(COUNTIFS(実績!$W$6:$W$505,N$3,実績!$AC$6:$AC$505,"&lt;="&amp;$A50,実績!$AD$6:$AD$505,"&gt;"&amp;$A50,実績!$AE$6:$AE$505,"○")&gt;0,1,0))</f>
        <v/>
      </c>
      <c r="O50">
        <f>IF(O$4=0,0,IF(COUNTIFS(実績!$W$6:$W$505,O$3,実績!$AC$6:$AC$505,"&lt;="&amp;$A50,実績!$AD$6:$AD$505,"&gt;"&amp;$A50,実績!$AE$6:$AE$505,"○")&gt;0,1,0))</f>
        <v/>
      </c>
      <c r="P50">
        <f>IF(P$4=0,0,IF(COUNTIFS(実績!$W$6:$W$505,P$3,実績!$AC$6:$AC$505,"&lt;="&amp;$A50,実績!$AD$6:$AD$505,"&gt;"&amp;$A50,実績!$AE$6:$AE$505,"○")&gt;0,1,0))</f>
        <v/>
      </c>
      <c r="Q50">
        <f>IF(Q$4=0,0,IF(COUNTIFS(実績!$W$6:$W$505,Q$3,実績!$AC$6:$AC$505,"&lt;="&amp;$A50,実績!$AD$6:$AD$505,"&gt;"&amp;$A50,実績!$AE$6:$AE$505,"○")&gt;0,1,0))</f>
        <v/>
      </c>
      <c r="R50">
        <f>IF(R$4=0,0,IF(COUNTIFS(実績!$W$6:$W$505,R$3,実績!$AC$6:$AC$505,"&lt;="&amp;$A50,実績!$AD$6:$AD$505,"&gt;"&amp;$A50,実績!$AE$6:$AE$505,"○")&gt;0,1,0))</f>
        <v/>
      </c>
      <c r="S50">
        <f>IF(S$4=0,0,IF(COUNTIFS(実績!$W$6:$W$505,S$3,実績!$AC$6:$AC$505,"&lt;="&amp;$A50,実績!$AD$6:$AD$505,"&gt;"&amp;$A50,実績!$AE$6:$AE$505,"○")&gt;0,1,0))</f>
        <v/>
      </c>
      <c r="T50">
        <f>IF(T$4=0,0,IF(COUNTIFS(実績!$W$6:$W$505,T$3,実績!$AC$6:$AC$505,"&lt;="&amp;$A50,実績!$AD$6:$AD$505,"&gt;"&amp;$A50,実績!$AE$6:$AE$505,"○")&gt;0,1,0))</f>
        <v/>
      </c>
      <c r="U50">
        <f>IF(U$4=0,0,IF(COUNTIFS(実績!$W$6:$W$505,U$3,実績!$AC$6:$AC$505,"&lt;="&amp;$A50,実績!$AD$6:$AD$505,"&gt;"&amp;$A50,実績!$AE$6:$AE$505,"○")&gt;0,1,0))</f>
        <v/>
      </c>
      <c r="V50">
        <f>IF(V$4=0,0,IF(COUNTIFS(実績!$W$6:$W$505,V$3,実績!$AC$6:$AC$505,"&lt;="&amp;$A50,実績!$AD$6:$AD$505,"&gt;"&amp;$A50,実績!$AE$6:$AE$505,"○")&gt;0,1,0))</f>
        <v/>
      </c>
      <c r="W50">
        <f>IF(W$4=0,0,IF(COUNTIFS(実績!$W$6:$W$505,W$3,実績!$AC$6:$AC$505,"&lt;="&amp;$A50,実績!$AD$6:$AD$505,"&gt;"&amp;$A50,実績!$AE$6:$AE$505,"○")&gt;0,1,0))</f>
        <v/>
      </c>
      <c r="X50">
        <f>IF(X$4=0,0,IF(COUNTIFS(実績!$W$6:$W$505,X$3,実績!$AC$6:$AC$505,"&lt;="&amp;$A50,実績!$AD$6:$AD$505,"&gt;"&amp;$A50,実績!$AE$6:$AE$505,"○")&gt;0,1,0))</f>
        <v/>
      </c>
      <c r="Y50">
        <f>IF(Y$4=0,0,IF(COUNTIFS(実績!$W$6:$W$505,Y$3,実績!$AC$6:$AC$505,"&lt;="&amp;$A50,実績!$AD$6:$AD$505,"&gt;"&amp;$A50,実績!$AE$6:$AE$505,"○")&gt;0,1,0))</f>
        <v/>
      </c>
      <c r="Z50">
        <f>IF(Z$4=0,0,IF(COUNTIFS(実績!$W$6:$W$505,Z$3,実績!$AC$6:$AC$505,"&lt;="&amp;$A50,実績!$AD$6:$AD$505,"&gt;"&amp;$A50,実績!$AE$6:$AE$505,"○")&gt;0,1,0))</f>
        <v/>
      </c>
      <c r="AA50">
        <f>IF(AA$4=0,0,IF(COUNTIFS(実績!$W$6:$W$505,AA$3,実績!$AC$6:$AC$505,"&lt;="&amp;$A50,実績!$AD$6:$AD$505,"&gt;"&amp;$A50,実績!$AE$6:$AE$505,"○")&gt;0,1,0))</f>
        <v/>
      </c>
      <c r="AB50">
        <f>IF(AB$4=0,0,IF(COUNTIFS(実績!$W$6:$W$505,AB$3,実績!$AC$6:$AC$505,"&lt;="&amp;$A50,実績!$AD$6:$AD$505,"&gt;"&amp;$A50,実績!$AE$6:$AE$505,"○")&gt;0,1,0))</f>
        <v/>
      </c>
      <c r="AC50">
        <f>IF(AC$4=0,0,IF(COUNTIFS(実績!$W$6:$W$505,AC$3,実績!$AC$6:$AC$505,"&lt;="&amp;$A50,実績!$AD$6:$AD$505,"&gt;"&amp;$A50,実績!$AE$6:$AE$505,"○")&gt;0,1,0))</f>
        <v/>
      </c>
      <c r="AD50">
        <f>IF(AD$4=0,0,IF(COUNTIFS(実績!$W$6:$W$505,AD$3,実績!$AC$6:$AC$505,"&lt;="&amp;$A50,実績!$AD$6:$AD$505,"&gt;"&amp;$A50,実績!$AE$6:$AE$505,"○")&gt;0,1,0))</f>
        <v/>
      </c>
      <c r="AE50">
        <f>IF(AE$4=0,0,IF(COUNTIFS(実績!$W$6:$W$505,AE$3,実績!$AC$6:$AC$505,"&lt;="&amp;$A50,実績!$AD$6:$AD$505,"&gt;"&amp;$A50,実績!$AE$6:$AE$505,"○")&gt;0,1,0))</f>
        <v/>
      </c>
      <c r="AF50">
        <f>IF(AF$4=0,0,IF(COUNTIFS(実績!$W$6:$W$505,AF$3,実績!$AC$6:$AC$505,"&lt;="&amp;$A50,実績!$AD$6:$AD$505,"&gt;"&amp;$A50,実績!$AE$6:$AE$505,"○")&gt;0,1,0))</f>
        <v/>
      </c>
      <c r="AG50">
        <f>IF(AG$4=0,0,IF(COUNTIFS(実績!$W$6:$W$505,AG$3,実績!$AC$6:$AC$505,"&lt;="&amp;$A50,実績!$AD$6:$AD$505,"&gt;"&amp;$A50,実績!$AE$6:$AE$505,"○")&gt;0,1,0))</f>
        <v/>
      </c>
      <c r="AH50">
        <f>IF(AH$4=0,0,IF(COUNTIFS(実績!$W$6:$W$505,AH$3,実績!$AC$6:$AC$505,"&lt;="&amp;$A50,実績!$AD$6:$AD$505,"&gt;"&amp;$A50,実績!$AE$6:$AE$505,"○")&gt;0,1,0))</f>
        <v/>
      </c>
      <c r="AI50">
        <f>IF(AI$4=0,0,IF(COUNTIFS(実績!$W$6:$W$505,AI$3,実績!$AC$6:$AC$505,"&lt;="&amp;$A50,実績!$AD$6:$AD$505,"&gt;"&amp;$A50,実績!$AE$6:$AE$505,"○")&gt;0,1,0))</f>
        <v/>
      </c>
      <c r="AJ50">
        <f>IF(AJ$4=0,0,IF(COUNTIFS(実績!$W$6:$W$505,AJ$3,実績!$AC$6:$AC$505,"&lt;="&amp;$A50,実績!$AD$6:$AD$505,"&gt;"&amp;$A50,実績!$AE$6:$AE$505,"○")&gt;0,1,0))</f>
        <v/>
      </c>
      <c r="AK50">
        <f>IF(AK$4=0,0,IF(COUNTIFS(実績!$W$6:$W$505,AK$3,実績!$AC$6:$AC$505,"&lt;="&amp;$A50,実績!$AD$6:$AD$505,"&gt;"&amp;$A50,実績!$AE$6:$AE$505,"○")&gt;0,1,0))</f>
        <v/>
      </c>
      <c r="AL50">
        <f>IF(AL$4=0,0,IF(COUNTIFS(実績!$W$6:$W$505,AL$3,実績!$AC$6:$AC$505,"&lt;="&amp;$A50,実績!$AD$6:$AD$505,"&gt;"&amp;$A50,実績!$AE$6:$AE$505,"○")&gt;0,1,0))</f>
        <v/>
      </c>
      <c r="AM50">
        <f>IF(AM$4=0,0,IF(COUNTIFS(実績!$W$6:$W$505,AM$3,実績!$AC$6:$AC$505,"&lt;="&amp;$A50,実績!$AD$6:$AD$505,"&gt;"&amp;$A50,実績!$AE$6:$AE$505,"○")&gt;0,1,0))</f>
        <v/>
      </c>
      <c r="AN50">
        <f>IF(AN$4=0,0,IF(COUNTIFS(実績!$W$6:$W$505,AN$3,実績!$AC$6:$AC$505,"&lt;="&amp;$A50,実績!$AD$6:$AD$505,"&gt;"&amp;$A50,実績!$AE$6:$AE$505,"○")&gt;0,1,0))</f>
        <v/>
      </c>
      <c r="AO50">
        <f>IF(AO$4=0,0,IF(COUNTIFS(実績!$W$6:$W$505,AO$3,実績!$AC$6:$AC$505,"&lt;="&amp;$A50,実績!$AD$6:$AD$505,"&gt;"&amp;$A50,実績!$AE$6:$AE$505,"○")&gt;0,1,0))</f>
        <v/>
      </c>
      <c r="AP50">
        <f>IF(AP$4=0,0,IF(COUNTIFS(実績!$W$6:$W$505,AP$3,実績!$AC$6:$AC$505,"&lt;="&amp;$A50,実績!$AD$6:$AD$505,"&gt;"&amp;$A50,実績!$AE$6:$AE$505,"○")&gt;0,1,0))</f>
        <v/>
      </c>
      <c r="AQ50">
        <f>IF(AQ$4=0,0,IF(COUNTIFS(実績!$W$6:$W$505,AQ$3,実績!$AC$6:$AC$505,"&lt;="&amp;$A50,実績!$AD$6:$AD$505,"&gt;"&amp;$A50,実績!$AE$6:$AE$505,"○")&gt;0,1,0))</f>
        <v/>
      </c>
      <c r="AR50">
        <f>IF(AR$4=0,0,IF(COUNTIFS(実績!$W$6:$W$505,AR$3,実績!$AC$6:$AC$505,"&lt;="&amp;$A50,実績!$AD$6:$AD$505,"&gt;"&amp;$A50,実績!$AE$6:$AE$505,"○")&gt;0,1,0))</f>
        <v/>
      </c>
      <c r="AS50">
        <f>IF(AS$4=0,0,IF(COUNTIFS(実績!$W$6:$W$505,AS$3,実績!$AC$6:$AC$505,"&lt;="&amp;$A50,実績!$AD$6:$AD$505,"&gt;"&amp;$A50,実績!$AE$6:$AE$505,"○")&gt;0,1,0))</f>
        <v/>
      </c>
      <c r="AT50">
        <f>IF(AT$4=0,0,IF(COUNTIFS(実績!$W$6:$W$505,AT$3,実績!$AC$6:$AC$505,"&lt;="&amp;$A50,実績!$AD$6:$AD$505,"&gt;"&amp;$A50,実績!$AE$6:$AE$505,"○")&gt;0,1,0))</f>
        <v/>
      </c>
      <c r="AU50">
        <f>IF(AU$4=0,0,IF(COUNTIFS(実績!$W$6:$W$505,AU$3,実績!$AC$6:$AC$505,"&lt;="&amp;$A50,実績!$AD$6:$AD$505,"&gt;"&amp;$A50,実績!$AE$6:$AE$505,"○")&gt;0,1,0))</f>
        <v/>
      </c>
      <c r="AV50">
        <f>IF(AV$4=0,0,IF(COUNTIFS(実績!$W$6:$W$505,AV$3,実績!$AC$6:$AC$505,"&lt;="&amp;$A50,実績!$AD$6:$AD$505,"&gt;"&amp;$A50,実績!$AE$6:$AE$505,"○")&gt;0,1,0))</f>
        <v/>
      </c>
      <c r="AW50">
        <f>IF(AW$4=0,0,IF(COUNTIFS(実績!$W$6:$W$505,AW$3,実績!$AC$6:$AC$505,"&lt;="&amp;$A50,実績!$AD$6:$AD$505,"&gt;"&amp;$A50,実績!$AE$6:$AE$505,"○")&gt;0,1,0))</f>
        <v/>
      </c>
      <c r="AX50">
        <f>IF(AX$4=0,0,IF(COUNTIFS(実績!$W$6:$W$505,AX$3,実績!$AC$6:$AC$505,"&lt;="&amp;$A50,実績!$AD$6:$AD$505,"&gt;"&amp;$A50,実績!$AE$6:$AE$505,"○")&gt;0,1,0))</f>
        <v/>
      </c>
      <c r="AY50">
        <f>IF(AY$4=0,0,IF(COUNTIFS(実績!$W$6:$W$505,AY$3,実績!$AC$6:$AC$505,"&lt;="&amp;$A50,実績!$AD$6:$AD$505,"&gt;"&amp;$A50,実績!$AE$6:$AE$505,"○")&gt;0,1,0))</f>
        <v/>
      </c>
      <c r="AZ50">
        <f>IF(AZ$4=0,0,IF(COUNTIFS(実績!$W$6:$W$505,AZ$3,実績!$AC$6:$AC$505,"&lt;="&amp;$A50,実績!$AD$6:$AD$505,"&gt;"&amp;$A50,実績!$AE$6:$AE$505,"○")&gt;0,1,0))</f>
        <v/>
      </c>
      <c r="BA50">
        <f>IF(BA$4=0,0,IF(COUNTIFS(実績!$W$6:$W$505,BA$3,実績!$AC$6:$AC$505,"&lt;="&amp;$A50,実績!$AD$6:$AD$505,"&gt;"&amp;$A50,実績!$AE$6:$AE$505,"○")&gt;0,1,0))</f>
        <v/>
      </c>
      <c r="BB50">
        <f>IF(BB$4=0,0,IF(COUNTIFS(実績!$W$6:$W$505,BB$3,実績!$AC$6:$AC$505,"&lt;="&amp;$A50,実績!$AD$6:$AD$505,"&gt;"&amp;$A50,実績!$AE$6:$AE$505,"○")&gt;0,1,0))</f>
        <v/>
      </c>
      <c r="BC50">
        <f>IF(BC$4=0,0,IF(COUNTIFS(実績!$W$6:$W$505,BC$3,実績!$AC$6:$AC$505,"&lt;="&amp;$A50,実績!$AD$6:$AD$505,"&gt;"&amp;$A50,実績!$AE$6:$AE$505,"○")&gt;0,1,0))</f>
        <v/>
      </c>
      <c r="BD50">
        <f>IF(BD$4=0,0,IF(COUNTIFS(実績!$W$6:$W$505,BD$3,実績!$AC$6:$AC$505,"&lt;="&amp;$A50,実績!$AD$6:$AD$505,"&gt;"&amp;$A50,実績!$AE$6:$AE$505,"○")&gt;0,1,0))</f>
        <v/>
      </c>
      <c r="BE50">
        <f>IF(BE$4=0,0,IF(COUNTIFS(実績!$W$6:$W$505,BE$3,実績!$AC$6:$AC$505,"&lt;="&amp;$A50,実績!$AD$6:$AD$505,"&gt;"&amp;$A50,実績!$AE$6:$AE$505,"○")&gt;0,1,0))</f>
        <v/>
      </c>
      <c r="BF50">
        <f>IF(BF$4=0,0,IF(COUNTIFS(実績!$W$6:$W$505,BF$3,実績!$AC$6:$AC$505,"&lt;="&amp;$A50,実績!$AD$6:$AD$505,"&gt;"&amp;$A50,実績!$AE$6:$AE$505,"○")&gt;0,1,0))</f>
        <v/>
      </c>
      <c r="BG50">
        <f>IF(BG$4=0,0,IF(COUNTIFS(実績!$W$6:$W$505,BG$3,実績!$AC$6:$AC$505,"&lt;="&amp;$A50,実績!$AD$6:$AD$505,"&gt;"&amp;$A50,実績!$AE$6:$AE$505,"○")&gt;0,1,0))</f>
        <v/>
      </c>
      <c r="BH50">
        <f>IF(BH$4=0,0,IF(COUNTIFS(実績!$W$6:$W$505,BH$3,実績!$AC$6:$AC$505,"&lt;="&amp;$A50,実績!$AD$6:$AD$505,"&gt;"&amp;$A50,実績!$AE$6:$AE$505,"○")&gt;0,1,0))</f>
        <v/>
      </c>
      <c r="BI50">
        <f>IF(BI$4=0,0,IF(COUNTIFS(実績!$W$6:$W$505,BI$3,実績!$AC$6:$AC$505,"&lt;="&amp;$A50,実績!$AD$6:$AD$505,"&gt;"&amp;$A50,実績!$AE$6:$AE$505,"○")&gt;0,1,0))</f>
        <v/>
      </c>
      <c r="BJ50">
        <f>IF(BJ$4=0,0,IF(COUNTIFS(実績!$W$6:$W$505,BJ$3,実績!$AC$6:$AC$505,"&lt;="&amp;$A50,実績!$AD$6:$AD$505,"&gt;"&amp;$A50,実績!$AE$6:$AE$505,"○")&gt;0,1,0))</f>
        <v/>
      </c>
      <c r="BK50">
        <f>IF(BK$4=0,0,IF(COUNTIFS(実績!$W$6:$W$505,BK$3,実績!$AC$6:$AC$505,"&lt;="&amp;$A50,実績!$AD$6:$AD$505,"&gt;"&amp;$A50,実績!$AE$6:$AE$505,"○")&gt;0,1,0))</f>
        <v/>
      </c>
      <c r="BL50">
        <f>IF(BL$4=0,0,IF(COUNTIFS(実績!$W$6:$W$505,BL$3,実績!$AC$6:$AC$505,"&lt;="&amp;$A50,実績!$AD$6:$AD$505,"&gt;"&amp;$A50,実績!$AE$6:$AE$505,"○")&gt;0,1,0))</f>
        <v/>
      </c>
      <c r="BM50">
        <f>IF(BM$4=0,0,IF(COUNTIFS(実績!$W$6:$W$505,BM$3,実績!$AC$6:$AC$505,"&lt;="&amp;$A50,実績!$AD$6:$AD$505,"&gt;"&amp;$A50,実績!$AE$6:$AE$505,"○")&gt;0,1,0))</f>
        <v/>
      </c>
      <c r="BN50">
        <f>IF(BN$4=0,0,IF(COUNTIFS(実績!$W$6:$W$505,BN$3,実績!$AC$6:$AC$505,"&lt;="&amp;$A50,実績!$AD$6:$AD$505,"&gt;"&amp;$A50,実績!$AE$6:$AE$505,"○")&gt;0,1,0))</f>
        <v/>
      </c>
      <c r="BO50">
        <f>IF(BO$4=0,0,IF(COUNTIFS(実績!$W$6:$W$505,BO$3,実績!$AC$6:$AC$505,"&lt;="&amp;$A50,実績!$AD$6:$AD$505,"&gt;"&amp;$A50,実績!$AE$6:$AE$505,"○")&gt;0,1,0))</f>
        <v/>
      </c>
      <c r="BP50">
        <f>IF(BP$4=0,0,IF(COUNTIFS(実績!$W$6:$W$505,BP$3,実績!$AC$6:$AC$505,"&lt;="&amp;$A50,実績!$AD$6:$AD$505,"&gt;"&amp;$A50,実績!$AE$6:$AE$505,"○")&gt;0,1,0))</f>
        <v/>
      </c>
      <c r="BQ50">
        <f>IF(BQ$4=0,0,IF(COUNTIFS(実績!$W$6:$W$505,BQ$3,実績!$AC$6:$AC$505,"&lt;="&amp;$A50,実績!$AD$6:$AD$505,"&gt;"&amp;$A50,実績!$AE$6:$AE$505,"○")&gt;0,1,0))</f>
        <v/>
      </c>
      <c r="BR50">
        <f>IF(BR$4=0,0,IF(COUNTIFS(実績!$W$6:$W$505,BR$3,実績!$AC$6:$AC$505,"&lt;="&amp;$A50,実績!$AD$6:$AD$505,"&gt;"&amp;$A50,実績!$AE$6:$AE$505,"○")&gt;0,1,0))</f>
        <v/>
      </c>
      <c r="BS50">
        <f>IF(BS$4=0,0,IF(COUNTIFS(実績!$W$6:$W$505,BS$3,実績!$AC$6:$AC$505,"&lt;="&amp;$A50,実績!$AD$6:$AD$505,"&gt;"&amp;$A50,実績!$AE$6:$AE$505,"○")&gt;0,1,0))</f>
        <v/>
      </c>
      <c r="BT50">
        <f>IF(BT$4=0,0,IF(COUNTIFS(実績!$W$6:$W$505,BT$3,実績!$AC$6:$AC$505,"&lt;="&amp;$A50,実績!$AD$6:$AD$505,"&gt;"&amp;$A50,実績!$AE$6:$AE$505,"○")&gt;0,1,0))</f>
        <v/>
      </c>
      <c r="BU50">
        <f>IF(BU$4=0,0,IF(COUNTIFS(実績!$W$6:$W$505,BU$3,実績!$AC$6:$AC$505,"&lt;="&amp;$A50,実績!$AD$6:$AD$505,"&gt;"&amp;$A50,実績!$AE$6:$AE$505,"○")&gt;0,1,0))</f>
        <v/>
      </c>
      <c r="BV50">
        <f>IF(BV$4=0,0,IF(COUNTIFS(実績!$W$6:$W$505,BV$3,実績!$AC$6:$AC$505,"&lt;="&amp;$A50,実績!$AD$6:$AD$505,"&gt;"&amp;$A50,実績!$AE$6:$AE$505,"○")&gt;0,1,0))</f>
        <v/>
      </c>
      <c r="BW50">
        <f>IF(BW$4=0,0,IF(COUNTIFS(実績!$W$6:$W$505,BW$3,実績!$AC$6:$AC$505,"&lt;="&amp;$A50,実績!$AD$6:$AD$505,"&gt;"&amp;$A50,実績!$AE$6:$AE$505,"○")&gt;0,1,0))</f>
        <v/>
      </c>
      <c r="BX50">
        <f>IF(BX$4=0,0,IF(COUNTIFS(実績!$W$6:$W$505,BX$3,実績!$AC$6:$AC$505,"&lt;="&amp;$A50,実績!$AD$6:$AD$505,"&gt;"&amp;$A50,実績!$AE$6:$AE$505,"○")&gt;0,1,0))</f>
        <v/>
      </c>
      <c r="BY50">
        <f>IF(BY$4=0,0,IF(COUNTIFS(実績!$W$6:$W$505,BY$3,実績!$AC$6:$AC$505,"&lt;="&amp;$A50,実績!$AD$6:$AD$505,"&gt;"&amp;$A50,実績!$AE$6:$AE$505,"○")&gt;0,1,0))</f>
        <v/>
      </c>
      <c r="BZ50">
        <f>IF(BZ$4=0,0,IF(COUNTIFS(実績!$W$6:$W$505,BZ$3,実績!$AC$6:$AC$505,"&lt;="&amp;$A50,実績!$AD$6:$AD$505,"&gt;"&amp;$A50,実績!$AE$6:$AE$505,"○")&gt;0,1,0))</f>
        <v/>
      </c>
      <c r="CA50">
        <f>IF(CA$4=0,0,IF(COUNTIFS(実績!$W$6:$W$505,CA$3,実績!$AC$6:$AC$505,"&lt;="&amp;$A50,実績!$AD$6:$AD$505,"&gt;"&amp;$A50,実績!$AE$6:$AE$505,"○")&gt;0,1,0))</f>
        <v/>
      </c>
      <c r="CB50">
        <f>IF(CB$4=0,0,IF(COUNTIFS(実績!$W$6:$W$505,CB$3,実績!$AC$6:$AC$505,"&lt;="&amp;$A50,実績!$AD$6:$AD$505,"&gt;"&amp;$A50,実績!$AE$6:$AE$505,"○")&gt;0,1,0))</f>
        <v/>
      </c>
      <c r="CC50">
        <f>IF(CC$4=0,0,IF(COUNTIFS(実績!$W$6:$W$505,CC$3,実績!$AC$6:$AC$505,"&lt;="&amp;$A50,実績!$AD$6:$AD$505,"&gt;"&amp;$A50,実績!$AE$6:$AE$505,"○")&gt;0,1,0))</f>
        <v/>
      </c>
      <c r="CD50">
        <f>IF(CD$4=0,0,IF(COUNTIFS(実績!$W$6:$W$505,CD$3,実績!$AC$6:$AC$505,"&lt;="&amp;$A50,実績!$AD$6:$AD$505,"&gt;"&amp;$A50,実績!$AE$6:$AE$505,"○")&gt;0,1,0))</f>
        <v/>
      </c>
      <c r="CE50">
        <f>IF(CE$4=0,0,IF(COUNTIFS(実績!$W$6:$W$505,CE$3,実績!$AC$6:$AC$505,"&lt;="&amp;$A50,実績!$AD$6:$AD$505,"&gt;"&amp;$A50,実績!$AE$6:$AE$505,"○")&gt;0,1,0))</f>
        <v/>
      </c>
      <c r="CF50">
        <f>IF(CF$4=0,0,IF(COUNTIFS(実績!$W$6:$W$505,CF$3,実績!$AC$6:$AC$505,"&lt;="&amp;$A50,実績!$AD$6:$AD$505,"&gt;"&amp;$A50,実績!$AE$6:$AE$505,"○")&gt;0,1,0))</f>
        <v/>
      </c>
      <c r="CG50">
        <f>IF(CG$4=0,0,IF(COUNTIFS(実績!$W$6:$W$505,CG$3,実績!$AC$6:$AC$505,"&lt;="&amp;$A50,実績!$AD$6:$AD$505,"&gt;"&amp;$A50,実績!$AE$6:$AE$505,"○")&gt;0,1,0))</f>
        <v/>
      </c>
      <c r="CH50">
        <f>IF(CH$4=0,0,IF(COUNTIFS(実績!$W$6:$W$505,CH$3,実績!$AC$6:$AC$505,"&lt;="&amp;$A50,実績!$AD$6:$AD$505,"&gt;"&amp;$A50,実績!$AE$6:$AE$505,"○")&gt;0,1,0))</f>
        <v/>
      </c>
      <c r="CI50">
        <f>IF(CI$4=0,0,IF(COUNTIFS(実績!$W$6:$W$505,CI$3,実績!$AC$6:$AC$505,"&lt;="&amp;$A50,実績!$AD$6:$AD$505,"&gt;"&amp;$A50,実績!$AE$6:$AE$505,"○")&gt;0,1,0))</f>
        <v/>
      </c>
      <c r="CJ50">
        <f>IF(CJ$4=0,0,IF(COUNTIFS(実績!$W$6:$W$505,CJ$3,実績!$AC$6:$AC$505,"&lt;="&amp;$A50,実績!$AD$6:$AD$505,"&gt;"&amp;$A50,実績!$AE$6:$AE$505,"○")&gt;0,1,0))</f>
        <v/>
      </c>
      <c r="CK50">
        <f>IF(CK$4=0,0,IF(COUNTIFS(実績!$W$6:$W$505,CK$3,実績!$AC$6:$AC$505,"&lt;="&amp;$A50,実績!$AD$6:$AD$505,"&gt;"&amp;$A50,実績!$AE$6:$AE$505,"○")&gt;0,1,0))</f>
        <v/>
      </c>
      <c r="CL50">
        <f>IF(CL$4=0,0,IF(COUNTIFS(実績!$W$6:$W$505,CL$3,実績!$AC$6:$AC$505,"&lt;="&amp;$A50,実績!$AD$6:$AD$505,"&gt;"&amp;$A50,実績!$AE$6:$AE$505,"○")&gt;0,1,0))</f>
        <v/>
      </c>
      <c r="CM50">
        <f>IF(CM$4=0,0,IF(COUNTIFS(実績!$W$6:$W$505,CM$3,実績!$AC$6:$AC$505,"&lt;="&amp;$A50,実績!$AD$6:$AD$505,"&gt;"&amp;$A50,実績!$AE$6:$AE$505,"○")&gt;0,1,0))</f>
        <v/>
      </c>
      <c r="CN50">
        <f>IF(CN$4=0,0,IF(COUNTIFS(実績!$W$6:$W$505,CN$3,実績!$AC$6:$AC$505,"&lt;="&amp;$A50,実績!$AD$6:$AD$505,"&gt;"&amp;$A50,実績!$AE$6:$AE$505,"○")&gt;0,1,0))</f>
        <v/>
      </c>
      <c r="CO50">
        <f>IF(CO$4=0,0,IF(COUNTIFS(実績!$W$6:$W$505,CO$3,実績!$AC$6:$AC$505,"&lt;="&amp;$A50,実績!$AD$6:$AD$505,"&gt;"&amp;$A50,実績!$AE$6:$AE$505,"○")&gt;0,1,0))</f>
        <v/>
      </c>
      <c r="CP50">
        <f>IF(CP$4=0,0,IF(COUNTIFS(実績!$W$6:$W$505,CP$3,実績!$AC$6:$AC$505,"&lt;="&amp;$A50,実績!$AD$6:$AD$505,"&gt;"&amp;$A50,実績!$AE$6:$AE$505,"○")&gt;0,1,0))</f>
        <v/>
      </c>
      <c r="CQ50">
        <f>IF(CQ$4=0,0,IF(COUNTIFS(実績!$W$6:$W$505,CQ$3,実績!$AC$6:$AC$505,"&lt;="&amp;$A50,実績!$AD$6:$AD$505,"&gt;"&amp;$A50,実績!$AE$6:$AE$505,"○")&gt;0,1,0))</f>
        <v/>
      </c>
      <c r="CR50">
        <f>IF(CR$4=0,0,IF(COUNTIFS(実績!$W$6:$W$505,CR$3,実績!$AC$6:$AC$505,"&lt;="&amp;$A50,実績!$AD$6:$AD$505,"&gt;"&amp;$A50,実績!$AE$6:$AE$505,"○")&gt;0,1,0))</f>
        <v/>
      </c>
      <c r="CS50">
        <f>IF(CS$4=0,0,IF(COUNTIFS(実績!$W$6:$W$505,CS$3,実績!$AC$6:$AC$505,"&lt;="&amp;$A50,実績!$AD$6:$AD$505,"&gt;"&amp;$A50,実績!$AE$6:$AE$505,"○")&gt;0,1,0))</f>
        <v/>
      </c>
      <c r="CT50">
        <f>IF(CT$4=0,0,IF(COUNTIFS(実績!$W$6:$W$505,CT$3,実績!$AC$6:$AC$505,"&lt;="&amp;$A50,実績!$AD$6:$AD$505,"&gt;"&amp;$A50,実績!$AE$6:$AE$505,"○")&gt;0,1,0))</f>
        <v/>
      </c>
      <c r="CU50">
        <f>IF(CU$4=0,0,IF(COUNTIFS(実績!$W$6:$W$505,CU$3,実績!$AC$6:$AC$505,"&lt;="&amp;$A50,実績!$AD$6:$AD$505,"&gt;"&amp;$A50,実績!$AE$6:$AE$505,"○")&gt;0,1,0))</f>
        <v/>
      </c>
      <c r="CV50">
        <f>IF(CV$4=0,0,IF(COUNTIFS(実績!$W$6:$W$505,CV$3,実績!$AC$6:$AC$505,"&lt;="&amp;$A50,実績!$AD$6:$AD$505,"&gt;"&amp;$A50,実績!$AE$6:$AE$505,"○")&gt;0,1,0))</f>
        <v/>
      </c>
      <c r="CW50">
        <f>IF(CW$4=0,0,IF(COUNTIFS(実績!$W$6:$W$505,CW$3,実績!$AC$6:$AC$505,"&lt;="&amp;$A50,実績!$AD$6:$AD$505,"&gt;"&amp;$A50,実績!$AE$6:$AE$505,"○")&gt;0,1,0))</f>
        <v/>
      </c>
      <c r="CX50">
        <f>IF(CX$4=0,0,IF(COUNTIFS(実績!$W$6:$W$505,CX$3,実績!$AC$6:$AC$505,"&lt;="&amp;$A50,実績!$AD$6:$AD$505,"&gt;"&amp;$A50,実績!$AE$6:$AE$505,"○")&gt;0,1,0))</f>
        <v/>
      </c>
      <c r="CY50">
        <f>IF(CY$4=0,0,IF(COUNTIFS(実績!$W$6:$W$505,CY$3,実績!$AC$6:$AC$505,"&lt;="&amp;$A50,実績!$AD$6:$AD$505,"&gt;"&amp;$A50,実績!$AE$6:$AE$505,"○")&gt;0,1,0))</f>
        <v/>
      </c>
      <c r="CZ50">
        <f>IF(CZ$4=0,0,IF(COUNTIFS(実績!$W$6:$W$505,CZ$3,実績!$AC$6:$AC$505,"&lt;="&amp;$A50,実績!$AD$6:$AD$505,"&gt;"&amp;$A50,実績!$AE$6:$AE$505,"○")&gt;0,1,0))</f>
        <v/>
      </c>
      <c r="DA50">
        <f>IF(DA$4=0,0,IF(COUNTIFS(実績!$W$6:$W$505,DA$3,実績!$AC$6:$AC$505,"&lt;="&amp;$A50,実績!$AD$6:$AD$505,"&gt;"&amp;$A50,実績!$AE$6:$AE$505,"○")&gt;0,1,0))</f>
        <v/>
      </c>
      <c r="DB50">
        <f>IF(DB$4=0,0,IF(COUNTIFS(実績!$W$6:$W$505,DB$3,実績!$AC$6:$AC$505,"&lt;="&amp;$A50,実績!$AD$6:$AD$505,"&gt;"&amp;$A50,実績!$AE$6:$AE$505,"○")&gt;0,1,0))</f>
        <v/>
      </c>
      <c r="DC50">
        <f>IF(DC$4=0,0,IF(COUNTIFS(実績!$W$6:$W$505,DC$3,実績!$AC$6:$AC$505,"&lt;="&amp;$A50,実績!$AD$6:$AD$505,"&gt;"&amp;$A50,実績!$AE$6:$AE$505,"○")&gt;0,1,0))</f>
        <v/>
      </c>
      <c r="DD50">
        <f>IF(DD$4=0,0,IF(COUNTIFS(実績!$W$6:$W$505,DD$3,実績!$AC$6:$AC$505,"&lt;="&amp;$A50,実績!$AD$6:$AD$505,"&gt;"&amp;$A50,実績!$AE$6:$AE$505,"○")&gt;0,1,0))</f>
        <v/>
      </c>
      <c r="DE50">
        <f>IF(DE$4=0,0,IF(COUNTIFS(実績!$W$6:$W$505,DE$3,実績!$AC$6:$AC$505,"&lt;="&amp;$A50,実績!$AD$6:$AD$505,"&gt;"&amp;$A50,実績!$AE$6:$AE$505,"○")&gt;0,1,0))</f>
        <v/>
      </c>
      <c r="DF50">
        <f>IF(DF$4=0,0,IF(COUNTIFS(実績!$W$6:$W$505,DF$3,実績!$AC$6:$AC$505,"&lt;="&amp;$A50,実績!$AD$6:$AD$505,"&gt;"&amp;$A50,実績!$AE$6:$AE$505,"○")&gt;0,1,0))</f>
        <v/>
      </c>
      <c r="DG50">
        <f>IF(DG$4=0,0,IF(COUNTIFS(実績!$W$6:$W$505,DG$3,実績!$AC$6:$AC$505,"&lt;="&amp;$A50,実績!$AD$6:$AD$505,"&gt;"&amp;$A50,実績!$AE$6:$AE$505,"○")&gt;0,1,0))</f>
        <v/>
      </c>
      <c r="DH50">
        <f>IF(DH$4=0,0,IF(COUNTIFS(実績!$W$6:$W$505,DH$3,実績!$AC$6:$AC$505,"&lt;="&amp;$A50,実績!$AD$6:$AD$505,"&gt;"&amp;$A50,実績!$AE$6:$AE$505,"○")&gt;0,1,0))</f>
        <v/>
      </c>
      <c r="DI50">
        <f>IF(DI$4=0,0,IF(COUNTIFS(実績!$W$6:$W$505,DI$3,実績!$AC$6:$AC$505,"&lt;="&amp;$A50,実績!$AD$6:$AD$505,"&gt;"&amp;$A50,実績!$AE$6:$AE$505,"○")&gt;0,1,0))</f>
        <v/>
      </c>
      <c r="DJ50">
        <f>IF(DJ$4=0,0,IF(COUNTIFS(実績!$W$6:$W$505,DJ$3,実績!$AC$6:$AC$505,"&lt;="&amp;$A50,実績!$AD$6:$AD$505,"&gt;"&amp;$A50,実績!$AE$6:$AE$505,"○")&gt;0,1,0))</f>
        <v/>
      </c>
      <c r="DK50">
        <f>IF(DK$4=0,0,IF(COUNTIFS(実績!$W$6:$W$505,DK$3,実績!$AC$6:$AC$505,"&lt;="&amp;$A50,実績!$AD$6:$AD$505,"&gt;"&amp;$A50,実績!$AE$6:$AE$505,"○")&gt;0,1,0))</f>
        <v/>
      </c>
      <c r="DL50">
        <f>IF(DL$4=0,0,IF(COUNTIFS(実績!$W$6:$W$505,DL$3,実績!$AC$6:$AC$505,"&lt;="&amp;$A50,実績!$AD$6:$AD$505,"&gt;"&amp;$A50,実績!$AE$6:$AE$505,"○")&gt;0,1,0))</f>
        <v/>
      </c>
      <c r="DM50">
        <f>IF(DM$4=0,0,IF(COUNTIFS(実績!$W$6:$W$505,DM$3,実績!$AC$6:$AC$505,"&lt;="&amp;$A50,実績!$AD$6:$AD$505,"&gt;"&amp;$A50,実績!$AE$6:$AE$505,"○")&gt;0,1,0))</f>
        <v/>
      </c>
      <c r="DN50">
        <f>IF(DN$4=0,0,IF(COUNTIFS(実績!$W$6:$W$505,DN$3,実績!$AC$6:$AC$505,"&lt;="&amp;$A50,実績!$AD$6:$AD$505,"&gt;"&amp;$A50,実績!$AE$6:$AE$505,"○")&gt;0,1,0))</f>
        <v/>
      </c>
      <c r="DO50">
        <f>IF(DO$4=0,0,IF(COUNTIFS(実績!$W$6:$W$505,DO$3,実績!$AC$6:$AC$505,"&lt;="&amp;$A50,実績!$AD$6:$AD$505,"&gt;"&amp;$A50,実績!$AE$6:$AE$505,"○")&gt;0,1,0))</f>
        <v/>
      </c>
      <c r="DP50">
        <f>IF(DP$4=0,0,IF(COUNTIFS(実績!$W$6:$W$505,DP$3,実績!$AC$6:$AC$505,"&lt;="&amp;$A50,実績!$AD$6:$AD$505,"&gt;"&amp;$A50,実績!$AE$6:$AE$505,"○")&gt;0,1,0))</f>
        <v/>
      </c>
      <c r="DQ50">
        <f>IF(DQ$4=0,0,IF(COUNTIFS(実績!$W$6:$W$505,DQ$3,実績!$AC$6:$AC$505,"&lt;="&amp;$A50,実績!$AD$6:$AD$505,"&gt;"&amp;$A50,実績!$AE$6:$AE$505,"○")&gt;0,1,0))</f>
        <v/>
      </c>
      <c r="DR50">
        <f>IF(DR$4=0,0,IF(COUNTIFS(実績!$W$6:$W$505,DR$3,実績!$AC$6:$AC$505,"&lt;="&amp;$A50,実績!$AD$6:$AD$505,"&gt;"&amp;$A50,実績!$AE$6:$AE$505,"○")&gt;0,1,0))</f>
        <v/>
      </c>
      <c r="DS50">
        <f>SUM(C50:DR50)</f>
        <v/>
      </c>
      <c r="DT50">
        <f>SUMPRODUCT((実績!$C$6:$C$505="○")*ISNUMBER(実績!$AF$6:$AF$505)*(実績!$AF$6:$AF$505&lt;=$A50)*(実績!$AG$6:$AG$505&gt;$A50))</f>
        <v/>
      </c>
      <c r="DU50">
        <f>SUMIF($C$2:$DR$2,"製鉄曳船",C50:DR50)</f>
        <v/>
      </c>
      <c r="DV50">
        <f>SUMIF($C$2:$DR$2,"西日本海運",C50:DR50)</f>
        <v/>
      </c>
    </row>
    <row r="51">
      <c r="A51" t="n">
        <v>225</v>
      </c>
      <c r="B51" s="29">
        <f>A51/1440</f>
        <v/>
      </c>
      <c r="C51">
        <f>IF(C$4=0,0,IF(COUNTIFS(実績!$W$6:$W$505,C$3,実績!$AC$6:$AC$505,"&lt;="&amp;$A51,実績!$AD$6:$AD$505,"&gt;"&amp;$A51,実績!$AE$6:$AE$505,"○")&gt;0,1,0))</f>
        <v/>
      </c>
      <c r="D51">
        <f>IF(D$4=0,0,IF(COUNTIFS(実績!$W$6:$W$505,D$3,実績!$AC$6:$AC$505,"&lt;="&amp;$A51,実績!$AD$6:$AD$505,"&gt;"&amp;$A51,実績!$AE$6:$AE$505,"○")&gt;0,1,0))</f>
        <v/>
      </c>
      <c r="E51">
        <f>IF(E$4=0,0,IF(COUNTIFS(実績!$W$6:$W$505,E$3,実績!$AC$6:$AC$505,"&lt;="&amp;$A51,実績!$AD$6:$AD$505,"&gt;"&amp;$A51,実績!$AE$6:$AE$505,"○")&gt;0,1,0))</f>
        <v/>
      </c>
      <c r="F51">
        <f>IF(F$4=0,0,IF(COUNTIFS(実績!$W$6:$W$505,F$3,実績!$AC$6:$AC$505,"&lt;="&amp;$A51,実績!$AD$6:$AD$505,"&gt;"&amp;$A51,実績!$AE$6:$AE$505,"○")&gt;0,1,0))</f>
        <v/>
      </c>
      <c r="G51">
        <f>IF(G$4=0,0,IF(COUNTIFS(実績!$W$6:$W$505,G$3,実績!$AC$6:$AC$505,"&lt;="&amp;$A51,実績!$AD$6:$AD$505,"&gt;"&amp;$A51,実績!$AE$6:$AE$505,"○")&gt;0,1,0))</f>
        <v/>
      </c>
      <c r="H51">
        <f>IF(H$4=0,0,IF(COUNTIFS(実績!$W$6:$W$505,H$3,実績!$AC$6:$AC$505,"&lt;="&amp;$A51,実績!$AD$6:$AD$505,"&gt;"&amp;$A51,実績!$AE$6:$AE$505,"○")&gt;0,1,0))</f>
        <v/>
      </c>
      <c r="I51">
        <f>IF(I$4=0,0,IF(COUNTIFS(実績!$W$6:$W$505,I$3,実績!$AC$6:$AC$505,"&lt;="&amp;$A51,実績!$AD$6:$AD$505,"&gt;"&amp;$A51,実績!$AE$6:$AE$505,"○")&gt;0,1,0))</f>
        <v/>
      </c>
      <c r="J51">
        <f>IF(J$4=0,0,IF(COUNTIFS(実績!$W$6:$W$505,J$3,実績!$AC$6:$AC$505,"&lt;="&amp;$A51,実績!$AD$6:$AD$505,"&gt;"&amp;$A51,実績!$AE$6:$AE$505,"○")&gt;0,1,0))</f>
        <v/>
      </c>
      <c r="K51">
        <f>IF(K$4=0,0,IF(COUNTIFS(実績!$W$6:$W$505,K$3,実績!$AC$6:$AC$505,"&lt;="&amp;$A51,実績!$AD$6:$AD$505,"&gt;"&amp;$A51,実績!$AE$6:$AE$505,"○")&gt;0,1,0))</f>
        <v/>
      </c>
      <c r="L51">
        <f>IF(L$4=0,0,IF(COUNTIFS(実績!$W$6:$W$505,L$3,実績!$AC$6:$AC$505,"&lt;="&amp;$A51,実績!$AD$6:$AD$505,"&gt;"&amp;$A51,実績!$AE$6:$AE$505,"○")&gt;0,1,0))</f>
        <v/>
      </c>
      <c r="M51">
        <f>IF(M$4=0,0,IF(COUNTIFS(実績!$W$6:$W$505,M$3,実績!$AC$6:$AC$505,"&lt;="&amp;$A51,実績!$AD$6:$AD$505,"&gt;"&amp;$A51,実績!$AE$6:$AE$505,"○")&gt;0,1,0))</f>
        <v/>
      </c>
      <c r="N51">
        <f>IF(N$4=0,0,IF(COUNTIFS(実績!$W$6:$W$505,N$3,実績!$AC$6:$AC$505,"&lt;="&amp;$A51,実績!$AD$6:$AD$505,"&gt;"&amp;$A51,実績!$AE$6:$AE$505,"○")&gt;0,1,0))</f>
        <v/>
      </c>
      <c r="O51">
        <f>IF(O$4=0,0,IF(COUNTIFS(実績!$W$6:$W$505,O$3,実績!$AC$6:$AC$505,"&lt;="&amp;$A51,実績!$AD$6:$AD$505,"&gt;"&amp;$A51,実績!$AE$6:$AE$505,"○")&gt;0,1,0))</f>
        <v/>
      </c>
      <c r="P51">
        <f>IF(P$4=0,0,IF(COUNTIFS(実績!$W$6:$W$505,P$3,実績!$AC$6:$AC$505,"&lt;="&amp;$A51,実績!$AD$6:$AD$505,"&gt;"&amp;$A51,実績!$AE$6:$AE$505,"○")&gt;0,1,0))</f>
        <v/>
      </c>
      <c r="Q51">
        <f>IF(Q$4=0,0,IF(COUNTIFS(実績!$W$6:$W$505,Q$3,実績!$AC$6:$AC$505,"&lt;="&amp;$A51,実績!$AD$6:$AD$505,"&gt;"&amp;$A51,実績!$AE$6:$AE$505,"○")&gt;0,1,0))</f>
        <v/>
      </c>
      <c r="R51">
        <f>IF(R$4=0,0,IF(COUNTIFS(実績!$W$6:$W$505,R$3,実績!$AC$6:$AC$505,"&lt;="&amp;$A51,実績!$AD$6:$AD$505,"&gt;"&amp;$A51,実績!$AE$6:$AE$505,"○")&gt;0,1,0))</f>
        <v/>
      </c>
      <c r="S51">
        <f>IF(S$4=0,0,IF(COUNTIFS(実績!$W$6:$W$505,S$3,実績!$AC$6:$AC$505,"&lt;="&amp;$A51,実績!$AD$6:$AD$505,"&gt;"&amp;$A51,実績!$AE$6:$AE$505,"○")&gt;0,1,0))</f>
        <v/>
      </c>
      <c r="T51">
        <f>IF(T$4=0,0,IF(COUNTIFS(実績!$W$6:$W$505,T$3,実績!$AC$6:$AC$505,"&lt;="&amp;$A51,実績!$AD$6:$AD$505,"&gt;"&amp;$A51,実績!$AE$6:$AE$505,"○")&gt;0,1,0))</f>
        <v/>
      </c>
      <c r="U51">
        <f>IF(U$4=0,0,IF(COUNTIFS(実績!$W$6:$W$505,U$3,実績!$AC$6:$AC$505,"&lt;="&amp;$A51,実績!$AD$6:$AD$505,"&gt;"&amp;$A51,実績!$AE$6:$AE$505,"○")&gt;0,1,0))</f>
        <v/>
      </c>
      <c r="V51">
        <f>IF(V$4=0,0,IF(COUNTIFS(実績!$W$6:$W$505,V$3,実績!$AC$6:$AC$505,"&lt;="&amp;$A51,実績!$AD$6:$AD$505,"&gt;"&amp;$A51,実績!$AE$6:$AE$505,"○")&gt;0,1,0))</f>
        <v/>
      </c>
      <c r="W51">
        <f>IF(W$4=0,0,IF(COUNTIFS(実績!$W$6:$W$505,W$3,実績!$AC$6:$AC$505,"&lt;="&amp;$A51,実績!$AD$6:$AD$505,"&gt;"&amp;$A51,実績!$AE$6:$AE$505,"○")&gt;0,1,0))</f>
        <v/>
      </c>
      <c r="X51">
        <f>IF(X$4=0,0,IF(COUNTIFS(実績!$W$6:$W$505,X$3,実績!$AC$6:$AC$505,"&lt;="&amp;$A51,実績!$AD$6:$AD$505,"&gt;"&amp;$A51,実績!$AE$6:$AE$505,"○")&gt;0,1,0))</f>
        <v/>
      </c>
      <c r="Y51">
        <f>IF(Y$4=0,0,IF(COUNTIFS(実績!$W$6:$W$505,Y$3,実績!$AC$6:$AC$505,"&lt;="&amp;$A51,実績!$AD$6:$AD$505,"&gt;"&amp;$A51,実績!$AE$6:$AE$505,"○")&gt;0,1,0))</f>
        <v/>
      </c>
      <c r="Z51">
        <f>IF(Z$4=0,0,IF(COUNTIFS(実績!$W$6:$W$505,Z$3,実績!$AC$6:$AC$505,"&lt;="&amp;$A51,実績!$AD$6:$AD$505,"&gt;"&amp;$A51,実績!$AE$6:$AE$505,"○")&gt;0,1,0))</f>
        <v/>
      </c>
      <c r="AA51">
        <f>IF(AA$4=0,0,IF(COUNTIFS(実績!$W$6:$W$505,AA$3,実績!$AC$6:$AC$505,"&lt;="&amp;$A51,実績!$AD$6:$AD$505,"&gt;"&amp;$A51,実績!$AE$6:$AE$505,"○")&gt;0,1,0))</f>
        <v/>
      </c>
      <c r="AB51">
        <f>IF(AB$4=0,0,IF(COUNTIFS(実績!$W$6:$W$505,AB$3,実績!$AC$6:$AC$505,"&lt;="&amp;$A51,実績!$AD$6:$AD$505,"&gt;"&amp;$A51,実績!$AE$6:$AE$505,"○")&gt;0,1,0))</f>
        <v/>
      </c>
      <c r="AC51">
        <f>IF(AC$4=0,0,IF(COUNTIFS(実績!$W$6:$W$505,AC$3,実績!$AC$6:$AC$505,"&lt;="&amp;$A51,実績!$AD$6:$AD$505,"&gt;"&amp;$A51,実績!$AE$6:$AE$505,"○")&gt;0,1,0))</f>
        <v/>
      </c>
      <c r="AD51">
        <f>IF(AD$4=0,0,IF(COUNTIFS(実績!$W$6:$W$505,AD$3,実績!$AC$6:$AC$505,"&lt;="&amp;$A51,実績!$AD$6:$AD$505,"&gt;"&amp;$A51,実績!$AE$6:$AE$505,"○")&gt;0,1,0))</f>
        <v/>
      </c>
      <c r="AE51">
        <f>IF(AE$4=0,0,IF(COUNTIFS(実績!$W$6:$W$505,AE$3,実績!$AC$6:$AC$505,"&lt;="&amp;$A51,実績!$AD$6:$AD$505,"&gt;"&amp;$A51,実績!$AE$6:$AE$505,"○")&gt;0,1,0))</f>
        <v/>
      </c>
      <c r="AF51">
        <f>IF(AF$4=0,0,IF(COUNTIFS(実績!$W$6:$W$505,AF$3,実績!$AC$6:$AC$505,"&lt;="&amp;$A51,実績!$AD$6:$AD$505,"&gt;"&amp;$A51,実績!$AE$6:$AE$505,"○")&gt;0,1,0))</f>
        <v/>
      </c>
      <c r="AG51">
        <f>IF(AG$4=0,0,IF(COUNTIFS(実績!$W$6:$W$505,AG$3,実績!$AC$6:$AC$505,"&lt;="&amp;$A51,実績!$AD$6:$AD$505,"&gt;"&amp;$A51,実績!$AE$6:$AE$505,"○")&gt;0,1,0))</f>
        <v/>
      </c>
      <c r="AH51">
        <f>IF(AH$4=0,0,IF(COUNTIFS(実績!$W$6:$W$505,AH$3,実績!$AC$6:$AC$505,"&lt;="&amp;$A51,実績!$AD$6:$AD$505,"&gt;"&amp;$A51,実績!$AE$6:$AE$505,"○")&gt;0,1,0))</f>
        <v/>
      </c>
      <c r="AI51">
        <f>IF(AI$4=0,0,IF(COUNTIFS(実績!$W$6:$W$505,AI$3,実績!$AC$6:$AC$505,"&lt;="&amp;$A51,実績!$AD$6:$AD$505,"&gt;"&amp;$A51,実績!$AE$6:$AE$505,"○")&gt;0,1,0))</f>
        <v/>
      </c>
      <c r="AJ51">
        <f>IF(AJ$4=0,0,IF(COUNTIFS(実績!$W$6:$W$505,AJ$3,実績!$AC$6:$AC$505,"&lt;="&amp;$A51,実績!$AD$6:$AD$505,"&gt;"&amp;$A51,実績!$AE$6:$AE$505,"○")&gt;0,1,0))</f>
        <v/>
      </c>
      <c r="AK51">
        <f>IF(AK$4=0,0,IF(COUNTIFS(実績!$W$6:$W$505,AK$3,実績!$AC$6:$AC$505,"&lt;="&amp;$A51,実績!$AD$6:$AD$505,"&gt;"&amp;$A51,実績!$AE$6:$AE$505,"○")&gt;0,1,0))</f>
        <v/>
      </c>
      <c r="AL51">
        <f>IF(AL$4=0,0,IF(COUNTIFS(実績!$W$6:$W$505,AL$3,実績!$AC$6:$AC$505,"&lt;="&amp;$A51,実績!$AD$6:$AD$505,"&gt;"&amp;$A51,実績!$AE$6:$AE$505,"○")&gt;0,1,0))</f>
        <v/>
      </c>
      <c r="AM51">
        <f>IF(AM$4=0,0,IF(COUNTIFS(実績!$W$6:$W$505,AM$3,実績!$AC$6:$AC$505,"&lt;="&amp;$A51,実績!$AD$6:$AD$505,"&gt;"&amp;$A51,実績!$AE$6:$AE$505,"○")&gt;0,1,0))</f>
        <v/>
      </c>
      <c r="AN51">
        <f>IF(AN$4=0,0,IF(COUNTIFS(実績!$W$6:$W$505,AN$3,実績!$AC$6:$AC$505,"&lt;="&amp;$A51,実績!$AD$6:$AD$505,"&gt;"&amp;$A51,実績!$AE$6:$AE$505,"○")&gt;0,1,0))</f>
        <v/>
      </c>
      <c r="AO51">
        <f>IF(AO$4=0,0,IF(COUNTIFS(実績!$W$6:$W$505,AO$3,実績!$AC$6:$AC$505,"&lt;="&amp;$A51,実績!$AD$6:$AD$505,"&gt;"&amp;$A51,実績!$AE$6:$AE$505,"○")&gt;0,1,0))</f>
        <v/>
      </c>
      <c r="AP51">
        <f>IF(AP$4=0,0,IF(COUNTIFS(実績!$W$6:$W$505,AP$3,実績!$AC$6:$AC$505,"&lt;="&amp;$A51,実績!$AD$6:$AD$505,"&gt;"&amp;$A51,実績!$AE$6:$AE$505,"○")&gt;0,1,0))</f>
        <v/>
      </c>
      <c r="AQ51">
        <f>IF(AQ$4=0,0,IF(COUNTIFS(実績!$W$6:$W$505,AQ$3,実績!$AC$6:$AC$505,"&lt;="&amp;$A51,実績!$AD$6:$AD$505,"&gt;"&amp;$A51,実績!$AE$6:$AE$505,"○")&gt;0,1,0))</f>
        <v/>
      </c>
      <c r="AR51">
        <f>IF(AR$4=0,0,IF(COUNTIFS(実績!$W$6:$W$505,AR$3,実績!$AC$6:$AC$505,"&lt;="&amp;$A51,実績!$AD$6:$AD$505,"&gt;"&amp;$A51,実績!$AE$6:$AE$505,"○")&gt;0,1,0))</f>
        <v/>
      </c>
      <c r="AS51">
        <f>IF(AS$4=0,0,IF(COUNTIFS(実績!$W$6:$W$505,AS$3,実績!$AC$6:$AC$505,"&lt;="&amp;$A51,実績!$AD$6:$AD$505,"&gt;"&amp;$A51,実績!$AE$6:$AE$505,"○")&gt;0,1,0))</f>
        <v/>
      </c>
      <c r="AT51">
        <f>IF(AT$4=0,0,IF(COUNTIFS(実績!$W$6:$W$505,AT$3,実績!$AC$6:$AC$505,"&lt;="&amp;$A51,実績!$AD$6:$AD$505,"&gt;"&amp;$A51,実績!$AE$6:$AE$505,"○")&gt;0,1,0))</f>
        <v/>
      </c>
      <c r="AU51">
        <f>IF(AU$4=0,0,IF(COUNTIFS(実績!$W$6:$W$505,AU$3,実績!$AC$6:$AC$505,"&lt;="&amp;$A51,実績!$AD$6:$AD$505,"&gt;"&amp;$A51,実績!$AE$6:$AE$505,"○")&gt;0,1,0))</f>
        <v/>
      </c>
      <c r="AV51">
        <f>IF(AV$4=0,0,IF(COUNTIFS(実績!$W$6:$W$505,AV$3,実績!$AC$6:$AC$505,"&lt;="&amp;$A51,実績!$AD$6:$AD$505,"&gt;"&amp;$A51,実績!$AE$6:$AE$505,"○")&gt;0,1,0))</f>
        <v/>
      </c>
      <c r="AW51">
        <f>IF(AW$4=0,0,IF(COUNTIFS(実績!$W$6:$W$505,AW$3,実績!$AC$6:$AC$505,"&lt;="&amp;$A51,実績!$AD$6:$AD$505,"&gt;"&amp;$A51,実績!$AE$6:$AE$505,"○")&gt;0,1,0))</f>
        <v/>
      </c>
      <c r="AX51">
        <f>IF(AX$4=0,0,IF(COUNTIFS(実績!$W$6:$W$505,AX$3,実績!$AC$6:$AC$505,"&lt;="&amp;$A51,実績!$AD$6:$AD$505,"&gt;"&amp;$A51,実績!$AE$6:$AE$505,"○")&gt;0,1,0))</f>
        <v/>
      </c>
      <c r="AY51">
        <f>IF(AY$4=0,0,IF(COUNTIFS(実績!$W$6:$W$505,AY$3,実績!$AC$6:$AC$505,"&lt;="&amp;$A51,実績!$AD$6:$AD$505,"&gt;"&amp;$A51,実績!$AE$6:$AE$505,"○")&gt;0,1,0))</f>
        <v/>
      </c>
      <c r="AZ51">
        <f>IF(AZ$4=0,0,IF(COUNTIFS(実績!$W$6:$W$505,AZ$3,実績!$AC$6:$AC$505,"&lt;="&amp;$A51,実績!$AD$6:$AD$505,"&gt;"&amp;$A51,実績!$AE$6:$AE$505,"○")&gt;0,1,0))</f>
        <v/>
      </c>
      <c r="BA51">
        <f>IF(BA$4=0,0,IF(COUNTIFS(実績!$W$6:$W$505,BA$3,実績!$AC$6:$AC$505,"&lt;="&amp;$A51,実績!$AD$6:$AD$505,"&gt;"&amp;$A51,実績!$AE$6:$AE$505,"○")&gt;0,1,0))</f>
        <v/>
      </c>
      <c r="BB51">
        <f>IF(BB$4=0,0,IF(COUNTIFS(実績!$W$6:$W$505,BB$3,実績!$AC$6:$AC$505,"&lt;="&amp;$A51,実績!$AD$6:$AD$505,"&gt;"&amp;$A51,実績!$AE$6:$AE$505,"○")&gt;0,1,0))</f>
        <v/>
      </c>
      <c r="BC51">
        <f>IF(BC$4=0,0,IF(COUNTIFS(実績!$W$6:$W$505,BC$3,実績!$AC$6:$AC$505,"&lt;="&amp;$A51,実績!$AD$6:$AD$505,"&gt;"&amp;$A51,実績!$AE$6:$AE$505,"○")&gt;0,1,0))</f>
        <v/>
      </c>
      <c r="BD51">
        <f>IF(BD$4=0,0,IF(COUNTIFS(実績!$W$6:$W$505,BD$3,実績!$AC$6:$AC$505,"&lt;="&amp;$A51,実績!$AD$6:$AD$505,"&gt;"&amp;$A51,実績!$AE$6:$AE$505,"○")&gt;0,1,0))</f>
        <v/>
      </c>
      <c r="BE51">
        <f>IF(BE$4=0,0,IF(COUNTIFS(実績!$W$6:$W$505,BE$3,実績!$AC$6:$AC$505,"&lt;="&amp;$A51,実績!$AD$6:$AD$505,"&gt;"&amp;$A51,実績!$AE$6:$AE$505,"○")&gt;0,1,0))</f>
        <v/>
      </c>
      <c r="BF51">
        <f>IF(BF$4=0,0,IF(COUNTIFS(実績!$W$6:$W$505,BF$3,実績!$AC$6:$AC$505,"&lt;="&amp;$A51,実績!$AD$6:$AD$505,"&gt;"&amp;$A51,実績!$AE$6:$AE$505,"○")&gt;0,1,0))</f>
        <v/>
      </c>
      <c r="BG51">
        <f>IF(BG$4=0,0,IF(COUNTIFS(実績!$W$6:$W$505,BG$3,実績!$AC$6:$AC$505,"&lt;="&amp;$A51,実績!$AD$6:$AD$505,"&gt;"&amp;$A51,実績!$AE$6:$AE$505,"○")&gt;0,1,0))</f>
        <v/>
      </c>
      <c r="BH51">
        <f>IF(BH$4=0,0,IF(COUNTIFS(実績!$W$6:$W$505,BH$3,実績!$AC$6:$AC$505,"&lt;="&amp;$A51,実績!$AD$6:$AD$505,"&gt;"&amp;$A51,実績!$AE$6:$AE$505,"○")&gt;0,1,0))</f>
        <v/>
      </c>
      <c r="BI51">
        <f>IF(BI$4=0,0,IF(COUNTIFS(実績!$W$6:$W$505,BI$3,実績!$AC$6:$AC$505,"&lt;="&amp;$A51,実績!$AD$6:$AD$505,"&gt;"&amp;$A51,実績!$AE$6:$AE$505,"○")&gt;0,1,0))</f>
        <v/>
      </c>
      <c r="BJ51">
        <f>IF(BJ$4=0,0,IF(COUNTIFS(実績!$W$6:$W$505,BJ$3,実績!$AC$6:$AC$505,"&lt;="&amp;$A51,実績!$AD$6:$AD$505,"&gt;"&amp;$A51,実績!$AE$6:$AE$505,"○")&gt;0,1,0))</f>
        <v/>
      </c>
      <c r="BK51">
        <f>IF(BK$4=0,0,IF(COUNTIFS(実績!$W$6:$W$505,BK$3,実績!$AC$6:$AC$505,"&lt;="&amp;$A51,実績!$AD$6:$AD$505,"&gt;"&amp;$A51,実績!$AE$6:$AE$505,"○")&gt;0,1,0))</f>
        <v/>
      </c>
      <c r="BL51">
        <f>IF(BL$4=0,0,IF(COUNTIFS(実績!$W$6:$W$505,BL$3,実績!$AC$6:$AC$505,"&lt;="&amp;$A51,実績!$AD$6:$AD$505,"&gt;"&amp;$A51,実績!$AE$6:$AE$505,"○")&gt;0,1,0))</f>
        <v/>
      </c>
      <c r="BM51">
        <f>IF(BM$4=0,0,IF(COUNTIFS(実績!$W$6:$W$505,BM$3,実績!$AC$6:$AC$505,"&lt;="&amp;$A51,実績!$AD$6:$AD$505,"&gt;"&amp;$A51,実績!$AE$6:$AE$505,"○")&gt;0,1,0))</f>
        <v/>
      </c>
      <c r="BN51">
        <f>IF(BN$4=0,0,IF(COUNTIFS(実績!$W$6:$W$505,BN$3,実績!$AC$6:$AC$505,"&lt;="&amp;$A51,実績!$AD$6:$AD$505,"&gt;"&amp;$A51,実績!$AE$6:$AE$505,"○")&gt;0,1,0))</f>
        <v/>
      </c>
      <c r="BO51">
        <f>IF(BO$4=0,0,IF(COUNTIFS(実績!$W$6:$W$505,BO$3,実績!$AC$6:$AC$505,"&lt;="&amp;$A51,実績!$AD$6:$AD$505,"&gt;"&amp;$A51,実績!$AE$6:$AE$505,"○")&gt;0,1,0))</f>
        <v/>
      </c>
      <c r="BP51">
        <f>IF(BP$4=0,0,IF(COUNTIFS(実績!$W$6:$W$505,BP$3,実績!$AC$6:$AC$505,"&lt;="&amp;$A51,実績!$AD$6:$AD$505,"&gt;"&amp;$A51,実績!$AE$6:$AE$505,"○")&gt;0,1,0))</f>
        <v/>
      </c>
      <c r="BQ51">
        <f>IF(BQ$4=0,0,IF(COUNTIFS(実績!$W$6:$W$505,BQ$3,実績!$AC$6:$AC$505,"&lt;="&amp;$A51,実績!$AD$6:$AD$505,"&gt;"&amp;$A51,実績!$AE$6:$AE$505,"○")&gt;0,1,0))</f>
        <v/>
      </c>
      <c r="BR51">
        <f>IF(BR$4=0,0,IF(COUNTIFS(実績!$W$6:$W$505,BR$3,実績!$AC$6:$AC$505,"&lt;="&amp;$A51,実績!$AD$6:$AD$505,"&gt;"&amp;$A51,実績!$AE$6:$AE$505,"○")&gt;0,1,0))</f>
        <v/>
      </c>
      <c r="BS51">
        <f>IF(BS$4=0,0,IF(COUNTIFS(実績!$W$6:$W$505,BS$3,実績!$AC$6:$AC$505,"&lt;="&amp;$A51,実績!$AD$6:$AD$505,"&gt;"&amp;$A51,実績!$AE$6:$AE$505,"○")&gt;0,1,0))</f>
        <v/>
      </c>
      <c r="BT51">
        <f>IF(BT$4=0,0,IF(COUNTIFS(実績!$W$6:$W$505,BT$3,実績!$AC$6:$AC$505,"&lt;="&amp;$A51,実績!$AD$6:$AD$505,"&gt;"&amp;$A51,実績!$AE$6:$AE$505,"○")&gt;0,1,0))</f>
        <v/>
      </c>
      <c r="BU51">
        <f>IF(BU$4=0,0,IF(COUNTIFS(実績!$W$6:$W$505,BU$3,実績!$AC$6:$AC$505,"&lt;="&amp;$A51,実績!$AD$6:$AD$505,"&gt;"&amp;$A51,実績!$AE$6:$AE$505,"○")&gt;0,1,0))</f>
        <v/>
      </c>
      <c r="BV51">
        <f>IF(BV$4=0,0,IF(COUNTIFS(実績!$W$6:$W$505,BV$3,実績!$AC$6:$AC$505,"&lt;="&amp;$A51,実績!$AD$6:$AD$505,"&gt;"&amp;$A51,実績!$AE$6:$AE$505,"○")&gt;0,1,0))</f>
        <v/>
      </c>
      <c r="BW51">
        <f>IF(BW$4=0,0,IF(COUNTIFS(実績!$W$6:$W$505,BW$3,実績!$AC$6:$AC$505,"&lt;="&amp;$A51,実績!$AD$6:$AD$505,"&gt;"&amp;$A51,実績!$AE$6:$AE$505,"○")&gt;0,1,0))</f>
        <v/>
      </c>
      <c r="BX51">
        <f>IF(BX$4=0,0,IF(COUNTIFS(実績!$W$6:$W$505,BX$3,実績!$AC$6:$AC$505,"&lt;="&amp;$A51,実績!$AD$6:$AD$505,"&gt;"&amp;$A51,実績!$AE$6:$AE$505,"○")&gt;0,1,0))</f>
        <v/>
      </c>
      <c r="BY51">
        <f>IF(BY$4=0,0,IF(COUNTIFS(実績!$W$6:$W$505,BY$3,実績!$AC$6:$AC$505,"&lt;="&amp;$A51,実績!$AD$6:$AD$505,"&gt;"&amp;$A51,実績!$AE$6:$AE$505,"○")&gt;0,1,0))</f>
        <v/>
      </c>
      <c r="BZ51">
        <f>IF(BZ$4=0,0,IF(COUNTIFS(実績!$W$6:$W$505,BZ$3,実績!$AC$6:$AC$505,"&lt;="&amp;$A51,実績!$AD$6:$AD$505,"&gt;"&amp;$A51,実績!$AE$6:$AE$505,"○")&gt;0,1,0))</f>
        <v/>
      </c>
      <c r="CA51">
        <f>IF(CA$4=0,0,IF(COUNTIFS(実績!$W$6:$W$505,CA$3,実績!$AC$6:$AC$505,"&lt;="&amp;$A51,実績!$AD$6:$AD$505,"&gt;"&amp;$A51,実績!$AE$6:$AE$505,"○")&gt;0,1,0))</f>
        <v/>
      </c>
      <c r="CB51">
        <f>IF(CB$4=0,0,IF(COUNTIFS(実績!$W$6:$W$505,CB$3,実績!$AC$6:$AC$505,"&lt;="&amp;$A51,実績!$AD$6:$AD$505,"&gt;"&amp;$A51,実績!$AE$6:$AE$505,"○")&gt;0,1,0))</f>
        <v/>
      </c>
      <c r="CC51">
        <f>IF(CC$4=0,0,IF(COUNTIFS(実績!$W$6:$W$505,CC$3,実績!$AC$6:$AC$505,"&lt;="&amp;$A51,実績!$AD$6:$AD$505,"&gt;"&amp;$A51,実績!$AE$6:$AE$505,"○")&gt;0,1,0))</f>
        <v/>
      </c>
      <c r="CD51">
        <f>IF(CD$4=0,0,IF(COUNTIFS(実績!$W$6:$W$505,CD$3,実績!$AC$6:$AC$505,"&lt;="&amp;$A51,実績!$AD$6:$AD$505,"&gt;"&amp;$A51,実績!$AE$6:$AE$505,"○")&gt;0,1,0))</f>
        <v/>
      </c>
      <c r="CE51">
        <f>IF(CE$4=0,0,IF(COUNTIFS(実績!$W$6:$W$505,CE$3,実績!$AC$6:$AC$505,"&lt;="&amp;$A51,実績!$AD$6:$AD$505,"&gt;"&amp;$A51,実績!$AE$6:$AE$505,"○")&gt;0,1,0))</f>
        <v/>
      </c>
      <c r="CF51">
        <f>IF(CF$4=0,0,IF(COUNTIFS(実績!$W$6:$W$505,CF$3,実績!$AC$6:$AC$505,"&lt;="&amp;$A51,実績!$AD$6:$AD$505,"&gt;"&amp;$A51,実績!$AE$6:$AE$505,"○")&gt;0,1,0))</f>
        <v/>
      </c>
      <c r="CG51">
        <f>IF(CG$4=0,0,IF(COUNTIFS(実績!$W$6:$W$505,CG$3,実績!$AC$6:$AC$505,"&lt;="&amp;$A51,実績!$AD$6:$AD$505,"&gt;"&amp;$A51,実績!$AE$6:$AE$505,"○")&gt;0,1,0))</f>
        <v/>
      </c>
      <c r="CH51">
        <f>IF(CH$4=0,0,IF(COUNTIFS(実績!$W$6:$W$505,CH$3,実績!$AC$6:$AC$505,"&lt;="&amp;$A51,実績!$AD$6:$AD$505,"&gt;"&amp;$A51,実績!$AE$6:$AE$505,"○")&gt;0,1,0))</f>
        <v/>
      </c>
      <c r="CI51">
        <f>IF(CI$4=0,0,IF(COUNTIFS(実績!$W$6:$W$505,CI$3,実績!$AC$6:$AC$505,"&lt;="&amp;$A51,実績!$AD$6:$AD$505,"&gt;"&amp;$A51,実績!$AE$6:$AE$505,"○")&gt;0,1,0))</f>
        <v/>
      </c>
      <c r="CJ51">
        <f>IF(CJ$4=0,0,IF(COUNTIFS(実績!$W$6:$W$505,CJ$3,実績!$AC$6:$AC$505,"&lt;="&amp;$A51,実績!$AD$6:$AD$505,"&gt;"&amp;$A51,実績!$AE$6:$AE$505,"○")&gt;0,1,0))</f>
        <v/>
      </c>
      <c r="CK51">
        <f>IF(CK$4=0,0,IF(COUNTIFS(実績!$W$6:$W$505,CK$3,実績!$AC$6:$AC$505,"&lt;="&amp;$A51,実績!$AD$6:$AD$505,"&gt;"&amp;$A51,実績!$AE$6:$AE$505,"○")&gt;0,1,0))</f>
        <v/>
      </c>
      <c r="CL51">
        <f>IF(CL$4=0,0,IF(COUNTIFS(実績!$W$6:$W$505,CL$3,実績!$AC$6:$AC$505,"&lt;="&amp;$A51,実績!$AD$6:$AD$505,"&gt;"&amp;$A51,実績!$AE$6:$AE$505,"○")&gt;0,1,0))</f>
        <v/>
      </c>
      <c r="CM51">
        <f>IF(CM$4=0,0,IF(COUNTIFS(実績!$W$6:$W$505,CM$3,実績!$AC$6:$AC$505,"&lt;="&amp;$A51,実績!$AD$6:$AD$505,"&gt;"&amp;$A51,実績!$AE$6:$AE$505,"○")&gt;0,1,0))</f>
        <v/>
      </c>
      <c r="CN51">
        <f>IF(CN$4=0,0,IF(COUNTIFS(実績!$W$6:$W$505,CN$3,実績!$AC$6:$AC$505,"&lt;="&amp;$A51,実績!$AD$6:$AD$505,"&gt;"&amp;$A51,実績!$AE$6:$AE$505,"○")&gt;0,1,0))</f>
        <v/>
      </c>
      <c r="CO51">
        <f>IF(CO$4=0,0,IF(COUNTIFS(実績!$W$6:$W$505,CO$3,実績!$AC$6:$AC$505,"&lt;="&amp;$A51,実績!$AD$6:$AD$505,"&gt;"&amp;$A51,実績!$AE$6:$AE$505,"○")&gt;0,1,0))</f>
        <v/>
      </c>
      <c r="CP51">
        <f>IF(CP$4=0,0,IF(COUNTIFS(実績!$W$6:$W$505,CP$3,実績!$AC$6:$AC$505,"&lt;="&amp;$A51,実績!$AD$6:$AD$505,"&gt;"&amp;$A51,実績!$AE$6:$AE$505,"○")&gt;0,1,0))</f>
        <v/>
      </c>
      <c r="CQ51">
        <f>IF(CQ$4=0,0,IF(COUNTIFS(実績!$W$6:$W$505,CQ$3,実績!$AC$6:$AC$505,"&lt;="&amp;$A51,実績!$AD$6:$AD$505,"&gt;"&amp;$A51,実績!$AE$6:$AE$505,"○")&gt;0,1,0))</f>
        <v/>
      </c>
      <c r="CR51">
        <f>IF(CR$4=0,0,IF(COUNTIFS(実績!$W$6:$W$505,CR$3,実績!$AC$6:$AC$505,"&lt;="&amp;$A51,実績!$AD$6:$AD$505,"&gt;"&amp;$A51,実績!$AE$6:$AE$505,"○")&gt;0,1,0))</f>
        <v/>
      </c>
      <c r="CS51">
        <f>IF(CS$4=0,0,IF(COUNTIFS(実績!$W$6:$W$505,CS$3,実績!$AC$6:$AC$505,"&lt;="&amp;$A51,実績!$AD$6:$AD$505,"&gt;"&amp;$A51,実績!$AE$6:$AE$505,"○")&gt;0,1,0))</f>
        <v/>
      </c>
      <c r="CT51">
        <f>IF(CT$4=0,0,IF(COUNTIFS(実績!$W$6:$W$505,CT$3,実績!$AC$6:$AC$505,"&lt;="&amp;$A51,実績!$AD$6:$AD$505,"&gt;"&amp;$A51,実績!$AE$6:$AE$505,"○")&gt;0,1,0))</f>
        <v/>
      </c>
      <c r="CU51">
        <f>IF(CU$4=0,0,IF(COUNTIFS(実績!$W$6:$W$505,CU$3,実績!$AC$6:$AC$505,"&lt;="&amp;$A51,実績!$AD$6:$AD$505,"&gt;"&amp;$A51,実績!$AE$6:$AE$505,"○")&gt;0,1,0))</f>
        <v/>
      </c>
      <c r="CV51">
        <f>IF(CV$4=0,0,IF(COUNTIFS(実績!$W$6:$W$505,CV$3,実績!$AC$6:$AC$505,"&lt;="&amp;$A51,実績!$AD$6:$AD$505,"&gt;"&amp;$A51,実績!$AE$6:$AE$505,"○")&gt;0,1,0))</f>
        <v/>
      </c>
      <c r="CW51">
        <f>IF(CW$4=0,0,IF(COUNTIFS(実績!$W$6:$W$505,CW$3,実績!$AC$6:$AC$505,"&lt;="&amp;$A51,実績!$AD$6:$AD$505,"&gt;"&amp;$A51,実績!$AE$6:$AE$505,"○")&gt;0,1,0))</f>
        <v/>
      </c>
      <c r="CX51">
        <f>IF(CX$4=0,0,IF(COUNTIFS(実績!$W$6:$W$505,CX$3,実績!$AC$6:$AC$505,"&lt;="&amp;$A51,実績!$AD$6:$AD$505,"&gt;"&amp;$A51,実績!$AE$6:$AE$505,"○")&gt;0,1,0))</f>
        <v/>
      </c>
      <c r="CY51">
        <f>IF(CY$4=0,0,IF(COUNTIFS(実績!$W$6:$W$505,CY$3,実績!$AC$6:$AC$505,"&lt;="&amp;$A51,実績!$AD$6:$AD$505,"&gt;"&amp;$A51,実績!$AE$6:$AE$505,"○")&gt;0,1,0))</f>
        <v/>
      </c>
      <c r="CZ51">
        <f>IF(CZ$4=0,0,IF(COUNTIFS(実績!$W$6:$W$505,CZ$3,実績!$AC$6:$AC$505,"&lt;="&amp;$A51,実績!$AD$6:$AD$505,"&gt;"&amp;$A51,実績!$AE$6:$AE$505,"○")&gt;0,1,0))</f>
        <v/>
      </c>
      <c r="DA51">
        <f>IF(DA$4=0,0,IF(COUNTIFS(実績!$W$6:$W$505,DA$3,実績!$AC$6:$AC$505,"&lt;="&amp;$A51,実績!$AD$6:$AD$505,"&gt;"&amp;$A51,実績!$AE$6:$AE$505,"○")&gt;0,1,0))</f>
        <v/>
      </c>
      <c r="DB51">
        <f>IF(DB$4=0,0,IF(COUNTIFS(実績!$W$6:$W$505,DB$3,実績!$AC$6:$AC$505,"&lt;="&amp;$A51,実績!$AD$6:$AD$505,"&gt;"&amp;$A51,実績!$AE$6:$AE$505,"○")&gt;0,1,0))</f>
        <v/>
      </c>
      <c r="DC51">
        <f>IF(DC$4=0,0,IF(COUNTIFS(実績!$W$6:$W$505,DC$3,実績!$AC$6:$AC$505,"&lt;="&amp;$A51,実績!$AD$6:$AD$505,"&gt;"&amp;$A51,実績!$AE$6:$AE$505,"○")&gt;0,1,0))</f>
        <v/>
      </c>
      <c r="DD51">
        <f>IF(DD$4=0,0,IF(COUNTIFS(実績!$W$6:$W$505,DD$3,実績!$AC$6:$AC$505,"&lt;="&amp;$A51,実績!$AD$6:$AD$505,"&gt;"&amp;$A51,実績!$AE$6:$AE$505,"○")&gt;0,1,0))</f>
        <v/>
      </c>
      <c r="DE51">
        <f>IF(DE$4=0,0,IF(COUNTIFS(実績!$W$6:$W$505,DE$3,実績!$AC$6:$AC$505,"&lt;="&amp;$A51,実績!$AD$6:$AD$505,"&gt;"&amp;$A51,実績!$AE$6:$AE$505,"○")&gt;0,1,0))</f>
        <v/>
      </c>
      <c r="DF51">
        <f>IF(DF$4=0,0,IF(COUNTIFS(実績!$W$6:$W$505,DF$3,実績!$AC$6:$AC$505,"&lt;="&amp;$A51,実績!$AD$6:$AD$505,"&gt;"&amp;$A51,実績!$AE$6:$AE$505,"○")&gt;0,1,0))</f>
        <v/>
      </c>
      <c r="DG51">
        <f>IF(DG$4=0,0,IF(COUNTIFS(実績!$W$6:$W$505,DG$3,実績!$AC$6:$AC$505,"&lt;="&amp;$A51,実績!$AD$6:$AD$505,"&gt;"&amp;$A51,実績!$AE$6:$AE$505,"○")&gt;0,1,0))</f>
        <v/>
      </c>
      <c r="DH51">
        <f>IF(DH$4=0,0,IF(COUNTIFS(実績!$W$6:$W$505,DH$3,実績!$AC$6:$AC$505,"&lt;="&amp;$A51,実績!$AD$6:$AD$505,"&gt;"&amp;$A51,実績!$AE$6:$AE$505,"○")&gt;0,1,0))</f>
        <v/>
      </c>
      <c r="DI51">
        <f>IF(DI$4=0,0,IF(COUNTIFS(実績!$W$6:$W$505,DI$3,実績!$AC$6:$AC$505,"&lt;="&amp;$A51,実績!$AD$6:$AD$505,"&gt;"&amp;$A51,実績!$AE$6:$AE$505,"○")&gt;0,1,0))</f>
        <v/>
      </c>
      <c r="DJ51">
        <f>IF(DJ$4=0,0,IF(COUNTIFS(実績!$W$6:$W$505,DJ$3,実績!$AC$6:$AC$505,"&lt;="&amp;$A51,実績!$AD$6:$AD$505,"&gt;"&amp;$A51,実績!$AE$6:$AE$505,"○")&gt;0,1,0))</f>
        <v/>
      </c>
      <c r="DK51">
        <f>IF(DK$4=0,0,IF(COUNTIFS(実績!$W$6:$W$505,DK$3,実績!$AC$6:$AC$505,"&lt;="&amp;$A51,実績!$AD$6:$AD$505,"&gt;"&amp;$A51,実績!$AE$6:$AE$505,"○")&gt;0,1,0))</f>
        <v/>
      </c>
      <c r="DL51">
        <f>IF(DL$4=0,0,IF(COUNTIFS(実績!$W$6:$W$505,DL$3,実績!$AC$6:$AC$505,"&lt;="&amp;$A51,実績!$AD$6:$AD$505,"&gt;"&amp;$A51,実績!$AE$6:$AE$505,"○")&gt;0,1,0))</f>
        <v/>
      </c>
      <c r="DM51">
        <f>IF(DM$4=0,0,IF(COUNTIFS(実績!$W$6:$W$505,DM$3,実績!$AC$6:$AC$505,"&lt;="&amp;$A51,実績!$AD$6:$AD$505,"&gt;"&amp;$A51,実績!$AE$6:$AE$505,"○")&gt;0,1,0))</f>
        <v/>
      </c>
      <c r="DN51">
        <f>IF(DN$4=0,0,IF(COUNTIFS(実績!$W$6:$W$505,DN$3,実績!$AC$6:$AC$505,"&lt;="&amp;$A51,実績!$AD$6:$AD$505,"&gt;"&amp;$A51,実績!$AE$6:$AE$505,"○")&gt;0,1,0))</f>
        <v/>
      </c>
      <c r="DO51">
        <f>IF(DO$4=0,0,IF(COUNTIFS(実績!$W$6:$W$505,DO$3,実績!$AC$6:$AC$505,"&lt;="&amp;$A51,実績!$AD$6:$AD$505,"&gt;"&amp;$A51,実績!$AE$6:$AE$505,"○")&gt;0,1,0))</f>
        <v/>
      </c>
      <c r="DP51">
        <f>IF(DP$4=0,0,IF(COUNTIFS(実績!$W$6:$W$505,DP$3,実績!$AC$6:$AC$505,"&lt;="&amp;$A51,実績!$AD$6:$AD$505,"&gt;"&amp;$A51,実績!$AE$6:$AE$505,"○")&gt;0,1,0))</f>
        <v/>
      </c>
      <c r="DQ51">
        <f>IF(DQ$4=0,0,IF(COUNTIFS(実績!$W$6:$W$505,DQ$3,実績!$AC$6:$AC$505,"&lt;="&amp;$A51,実績!$AD$6:$AD$505,"&gt;"&amp;$A51,実績!$AE$6:$AE$505,"○")&gt;0,1,0))</f>
        <v/>
      </c>
      <c r="DR51">
        <f>IF(DR$4=0,0,IF(COUNTIFS(実績!$W$6:$W$505,DR$3,実績!$AC$6:$AC$505,"&lt;="&amp;$A51,実績!$AD$6:$AD$505,"&gt;"&amp;$A51,実績!$AE$6:$AE$505,"○")&gt;0,1,0))</f>
        <v/>
      </c>
      <c r="DS51">
        <f>SUM(C51:DR51)</f>
        <v/>
      </c>
      <c r="DT51">
        <f>SUMPRODUCT((実績!$C$6:$C$505="○")*ISNUMBER(実績!$AF$6:$AF$505)*(実績!$AF$6:$AF$505&lt;=$A51)*(実績!$AG$6:$AG$505&gt;$A51))</f>
        <v/>
      </c>
      <c r="DU51">
        <f>SUMIF($C$2:$DR$2,"製鉄曳船",C51:DR51)</f>
        <v/>
      </c>
      <c r="DV51">
        <f>SUMIF($C$2:$DR$2,"西日本海運",C51:DR51)</f>
        <v/>
      </c>
    </row>
    <row r="52">
      <c r="A52" t="n">
        <v>230</v>
      </c>
      <c r="B52" s="29">
        <f>A52/1440</f>
        <v/>
      </c>
      <c r="C52">
        <f>IF(C$4=0,0,IF(COUNTIFS(実績!$W$6:$W$505,C$3,実績!$AC$6:$AC$505,"&lt;="&amp;$A52,実績!$AD$6:$AD$505,"&gt;"&amp;$A52,実績!$AE$6:$AE$505,"○")&gt;0,1,0))</f>
        <v/>
      </c>
      <c r="D52">
        <f>IF(D$4=0,0,IF(COUNTIFS(実績!$W$6:$W$505,D$3,実績!$AC$6:$AC$505,"&lt;="&amp;$A52,実績!$AD$6:$AD$505,"&gt;"&amp;$A52,実績!$AE$6:$AE$505,"○")&gt;0,1,0))</f>
        <v/>
      </c>
      <c r="E52">
        <f>IF(E$4=0,0,IF(COUNTIFS(実績!$W$6:$W$505,E$3,実績!$AC$6:$AC$505,"&lt;="&amp;$A52,実績!$AD$6:$AD$505,"&gt;"&amp;$A52,実績!$AE$6:$AE$505,"○")&gt;0,1,0))</f>
        <v/>
      </c>
      <c r="F52">
        <f>IF(F$4=0,0,IF(COUNTIFS(実績!$W$6:$W$505,F$3,実績!$AC$6:$AC$505,"&lt;="&amp;$A52,実績!$AD$6:$AD$505,"&gt;"&amp;$A52,実績!$AE$6:$AE$505,"○")&gt;0,1,0))</f>
        <v/>
      </c>
      <c r="G52">
        <f>IF(G$4=0,0,IF(COUNTIFS(実績!$W$6:$W$505,G$3,実績!$AC$6:$AC$505,"&lt;="&amp;$A52,実績!$AD$6:$AD$505,"&gt;"&amp;$A52,実績!$AE$6:$AE$505,"○")&gt;0,1,0))</f>
        <v/>
      </c>
      <c r="H52">
        <f>IF(H$4=0,0,IF(COUNTIFS(実績!$W$6:$W$505,H$3,実績!$AC$6:$AC$505,"&lt;="&amp;$A52,実績!$AD$6:$AD$505,"&gt;"&amp;$A52,実績!$AE$6:$AE$505,"○")&gt;0,1,0))</f>
        <v/>
      </c>
      <c r="I52">
        <f>IF(I$4=0,0,IF(COUNTIFS(実績!$W$6:$W$505,I$3,実績!$AC$6:$AC$505,"&lt;="&amp;$A52,実績!$AD$6:$AD$505,"&gt;"&amp;$A52,実績!$AE$6:$AE$505,"○")&gt;0,1,0))</f>
        <v/>
      </c>
      <c r="J52">
        <f>IF(J$4=0,0,IF(COUNTIFS(実績!$W$6:$W$505,J$3,実績!$AC$6:$AC$505,"&lt;="&amp;$A52,実績!$AD$6:$AD$505,"&gt;"&amp;$A52,実績!$AE$6:$AE$505,"○")&gt;0,1,0))</f>
        <v/>
      </c>
      <c r="K52">
        <f>IF(K$4=0,0,IF(COUNTIFS(実績!$W$6:$W$505,K$3,実績!$AC$6:$AC$505,"&lt;="&amp;$A52,実績!$AD$6:$AD$505,"&gt;"&amp;$A52,実績!$AE$6:$AE$505,"○")&gt;0,1,0))</f>
        <v/>
      </c>
      <c r="L52">
        <f>IF(L$4=0,0,IF(COUNTIFS(実績!$W$6:$W$505,L$3,実績!$AC$6:$AC$505,"&lt;="&amp;$A52,実績!$AD$6:$AD$505,"&gt;"&amp;$A52,実績!$AE$6:$AE$505,"○")&gt;0,1,0))</f>
        <v/>
      </c>
      <c r="M52">
        <f>IF(M$4=0,0,IF(COUNTIFS(実績!$W$6:$W$505,M$3,実績!$AC$6:$AC$505,"&lt;="&amp;$A52,実績!$AD$6:$AD$505,"&gt;"&amp;$A52,実績!$AE$6:$AE$505,"○")&gt;0,1,0))</f>
        <v/>
      </c>
      <c r="N52">
        <f>IF(N$4=0,0,IF(COUNTIFS(実績!$W$6:$W$505,N$3,実績!$AC$6:$AC$505,"&lt;="&amp;$A52,実績!$AD$6:$AD$505,"&gt;"&amp;$A52,実績!$AE$6:$AE$505,"○")&gt;0,1,0))</f>
        <v/>
      </c>
      <c r="O52">
        <f>IF(O$4=0,0,IF(COUNTIFS(実績!$W$6:$W$505,O$3,実績!$AC$6:$AC$505,"&lt;="&amp;$A52,実績!$AD$6:$AD$505,"&gt;"&amp;$A52,実績!$AE$6:$AE$505,"○")&gt;0,1,0))</f>
        <v/>
      </c>
      <c r="P52">
        <f>IF(P$4=0,0,IF(COUNTIFS(実績!$W$6:$W$505,P$3,実績!$AC$6:$AC$505,"&lt;="&amp;$A52,実績!$AD$6:$AD$505,"&gt;"&amp;$A52,実績!$AE$6:$AE$505,"○")&gt;0,1,0))</f>
        <v/>
      </c>
      <c r="Q52">
        <f>IF(Q$4=0,0,IF(COUNTIFS(実績!$W$6:$W$505,Q$3,実績!$AC$6:$AC$505,"&lt;="&amp;$A52,実績!$AD$6:$AD$505,"&gt;"&amp;$A52,実績!$AE$6:$AE$505,"○")&gt;0,1,0))</f>
        <v/>
      </c>
      <c r="R52">
        <f>IF(R$4=0,0,IF(COUNTIFS(実績!$W$6:$W$505,R$3,実績!$AC$6:$AC$505,"&lt;="&amp;$A52,実績!$AD$6:$AD$505,"&gt;"&amp;$A52,実績!$AE$6:$AE$505,"○")&gt;0,1,0))</f>
        <v/>
      </c>
      <c r="S52">
        <f>IF(S$4=0,0,IF(COUNTIFS(実績!$W$6:$W$505,S$3,実績!$AC$6:$AC$505,"&lt;="&amp;$A52,実績!$AD$6:$AD$505,"&gt;"&amp;$A52,実績!$AE$6:$AE$505,"○")&gt;0,1,0))</f>
        <v/>
      </c>
      <c r="T52">
        <f>IF(T$4=0,0,IF(COUNTIFS(実績!$W$6:$W$505,T$3,実績!$AC$6:$AC$505,"&lt;="&amp;$A52,実績!$AD$6:$AD$505,"&gt;"&amp;$A52,実績!$AE$6:$AE$505,"○")&gt;0,1,0))</f>
        <v/>
      </c>
      <c r="U52">
        <f>IF(U$4=0,0,IF(COUNTIFS(実績!$W$6:$W$505,U$3,実績!$AC$6:$AC$505,"&lt;="&amp;$A52,実績!$AD$6:$AD$505,"&gt;"&amp;$A52,実績!$AE$6:$AE$505,"○")&gt;0,1,0))</f>
        <v/>
      </c>
      <c r="V52">
        <f>IF(V$4=0,0,IF(COUNTIFS(実績!$W$6:$W$505,V$3,実績!$AC$6:$AC$505,"&lt;="&amp;$A52,実績!$AD$6:$AD$505,"&gt;"&amp;$A52,実績!$AE$6:$AE$505,"○")&gt;0,1,0))</f>
        <v/>
      </c>
      <c r="W52">
        <f>IF(W$4=0,0,IF(COUNTIFS(実績!$W$6:$W$505,W$3,実績!$AC$6:$AC$505,"&lt;="&amp;$A52,実績!$AD$6:$AD$505,"&gt;"&amp;$A52,実績!$AE$6:$AE$505,"○")&gt;0,1,0))</f>
        <v/>
      </c>
      <c r="X52">
        <f>IF(X$4=0,0,IF(COUNTIFS(実績!$W$6:$W$505,X$3,実績!$AC$6:$AC$505,"&lt;="&amp;$A52,実績!$AD$6:$AD$505,"&gt;"&amp;$A52,実績!$AE$6:$AE$505,"○")&gt;0,1,0))</f>
        <v/>
      </c>
      <c r="Y52">
        <f>IF(Y$4=0,0,IF(COUNTIFS(実績!$W$6:$W$505,Y$3,実績!$AC$6:$AC$505,"&lt;="&amp;$A52,実績!$AD$6:$AD$505,"&gt;"&amp;$A52,実績!$AE$6:$AE$505,"○")&gt;0,1,0))</f>
        <v/>
      </c>
      <c r="Z52">
        <f>IF(Z$4=0,0,IF(COUNTIFS(実績!$W$6:$W$505,Z$3,実績!$AC$6:$AC$505,"&lt;="&amp;$A52,実績!$AD$6:$AD$505,"&gt;"&amp;$A52,実績!$AE$6:$AE$505,"○")&gt;0,1,0))</f>
        <v/>
      </c>
      <c r="AA52">
        <f>IF(AA$4=0,0,IF(COUNTIFS(実績!$W$6:$W$505,AA$3,実績!$AC$6:$AC$505,"&lt;="&amp;$A52,実績!$AD$6:$AD$505,"&gt;"&amp;$A52,実績!$AE$6:$AE$505,"○")&gt;0,1,0))</f>
        <v/>
      </c>
      <c r="AB52">
        <f>IF(AB$4=0,0,IF(COUNTIFS(実績!$W$6:$W$505,AB$3,実績!$AC$6:$AC$505,"&lt;="&amp;$A52,実績!$AD$6:$AD$505,"&gt;"&amp;$A52,実績!$AE$6:$AE$505,"○")&gt;0,1,0))</f>
        <v/>
      </c>
      <c r="AC52">
        <f>IF(AC$4=0,0,IF(COUNTIFS(実績!$W$6:$W$505,AC$3,実績!$AC$6:$AC$505,"&lt;="&amp;$A52,実績!$AD$6:$AD$505,"&gt;"&amp;$A52,実績!$AE$6:$AE$505,"○")&gt;0,1,0))</f>
        <v/>
      </c>
      <c r="AD52">
        <f>IF(AD$4=0,0,IF(COUNTIFS(実績!$W$6:$W$505,AD$3,実績!$AC$6:$AC$505,"&lt;="&amp;$A52,実績!$AD$6:$AD$505,"&gt;"&amp;$A52,実績!$AE$6:$AE$505,"○")&gt;0,1,0))</f>
        <v/>
      </c>
      <c r="AE52">
        <f>IF(AE$4=0,0,IF(COUNTIFS(実績!$W$6:$W$505,AE$3,実績!$AC$6:$AC$505,"&lt;="&amp;$A52,実績!$AD$6:$AD$505,"&gt;"&amp;$A52,実績!$AE$6:$AE$505,"○")&gt;0,1,0))</f>
        <v/>
      </c>
      <c r="AF52">
        <f>IF(AF$4=0,0,IF(COUNTIFS(実績!$W$6:$W$505,AF$3,実績!$AC$6:$AC$505,"&lt;="&amp;$A52,実績!$AD$6:$AD$505,"&gt;"&amp;$A52,実績!$AE$6:$AE$505,"○")&gt;0,1,0))</f>
        <v/>
      </c>
      <c r="AG52">
        <f>IF(AG$4=0,0,IF(COUNTIFS(実績!$W$6:$W$505,AG$3,実績!$AC$6:$AC$505,"&lt;="&amp;$A52,実績!$AD$6:$AD$505,"&gt;"&amp;$A52,実績!$AE$6:$AE$505,"○")&gt;0,1,0))</f>
        <v/>
      </c>
      <c r="AH52">
        <f>IF(AH$4=0,0,IF(COUNTIFS(実績!$W$6:$W$505,AH$3,実績!$AC$6:$AC$505,"&lt;="&amp;$A52,実績!$AD$6:$AD$505,"&gt;"&amp;$A52,実績!$AE$6:$AE$505,"○")&gt;0,1,0))</f>
        <v/>
      </c>
      <c r="AI52">
        <f>IF(AI$4=0,0,IF(COUNTIFS(実績!$W$6:$W$505,AI$3,実績!$AC$6:$AC$505,"&lt;="&amp;$A52,実績!$AD$6:$AD$505,"&gt;"&amp;$A52,実績!$AE$6:$AE$505,"○")&gt;0,1,0))</f>
        <v/>
      </c>
      <c r="AJ52">
        <f>IF(AJ$4=0,0,IF(COUNTIFS(実績!$W$6:$W$505,AJ$3,実績!$AC$6:$AC$505,"&lt;="&amp;$A52,実績!$AD$6:$AD$505,"&gt;"&amp;$A52,実績!$AE$6:$AE$505,"○")&gt;0,1,0))</f>
        <v/>
      </c>
      <c r="AK52">
        <f>IF(AK$4=0,0,IF(COUNTIFS(実績!$W$6:$W$505,AK$3,実績!$AC$6:$AC$505,"&lt;="&amp;$A52,実績!$AD$6:$AD$505,"&gt;"&amp;$A52,実績!$AE$6:$AE$505,"○")&gt;0,1,0))</f>
        <v/>
      </c>
      <c r="AL52">
        <f>IF(AL$4=0,0,IF(COUNTIFS(実績!$W$6:$W$505,AL$3,実績!$AC$6:$AC$505,"&lt;="&amp;$A52,実績!$AD$6:$AD$505,"&gt;"&amp;$A52,実績!$AE$6:$AE$505,"○")&gt;0,1,0))</f>
        <v/>
      </c>
      <c r="AM52">
        <f>IF(AM$4=0,0,IF(COUNTIFS(実績!$W$6:$W$505,AM$3,実績!$AC$6:$AC$505,"&lt;="&amp;$A52,実績!$AD$6:$AD$505,"&gt;"&amp;$A52,実績!$AE$6:$AE$505,"○")&gt;0,1,0))</f>
        <v/>
      </c>
      <c r="AN52">
        <f>IF(AN$4=0,0,IF(COUNTIFS(実績!$W$6:$W$505,AN$3,実績!$AC$6:$AC$505,"&lt;="&amp;$A52,実績!$AD$6:$AD$505,"&gt;"&amp;$A52,実績!$AE$6:$AE$505,"○")&gt;0,1,0))</f>
        <v/>
      </c>
      <c r="AO52">
        <f>IF(AO$4=0,0,IF(COUNTIFS(実績!$W$6:$W$505,AO$3,実績!$AC$6:$AC$505,"&lt;="&amp;$A52,実績!$AD$6:$AD$505,"&gt;"&amp;$A52,実績!$AE$6:$AE$505,"○")&gt;0,1,0))</f>
        <v/>
      </c>
      <c r="AP52">
        <f>IF(AP$4=0,0,IF(COUNTIFS(実績!$W$6:$W$505,AP$3,実績!$AC$6:$AC$505,"&lt;="&amp;$A52,実績!$AD$6:$AD$505,"&gt;"&amp;$A52,実績!$AE$6:$AE$505,"○")&gt;0,1,0))</f>
        <v/>
      </c>
      <c r="AQ52">
        <f>IF(AQ$4=0,0,IF(COUNTIFS(実績!$W$6:$W$505,AQ$3,実績!$AC$6:$AC$505,"&lt;="&amp;$A52,実績!$AD$6:$AD$505,"&gt;"&amp;$A52,実績!$AE$6:$AE$505,"○")&gt;0,1,0))</f>
        <v/>
      </c>
      <c r="AR52">
        <f>IF(AR$4=0,0,IF(COUNTIFS(実績!$W$6:$W$505,AR$3,実績!$AC$6:$AC$505,"&lt;="&amp;$A52,実績!$AD$6:$AD$505,"&gt;"&amp;$A52,実績!$AE$6:$AE$505,"○")&gt;0,1,0))</f>
        <v/>
      </c>
      <c r="AS52">
        <f>IF(AS$4=0,0,IF(COUNTIFS(実績!$W$6:$W$505,AS$3,実績!$AC$6:$AC$505,"&lt;="&amp;$A52,実績!$AD$6:$AD$505,"&gt;"&amp;$A52,実績!$AE$6:$AE$505,"○")&gt;0,1,0))</f>
        <v/>
      </c>
      <c r="AT52">
        <f>IF(AT$4=0,0,IF(COUNTIFS(実績!$W$6:$W$505,AT$3,実績!$AC$6:$AC$505,"&lt;="&amp;$A52,実績!$AD$6:$AD$505,"&gt;"&amp;$A52,実績!$AE$6:$AE$505,"○")&gt;0,1,0))</f>
        <v/>
      </c>
      <c r="AU52">
        <f>IF(AU$4=0,0,IF(COUNTIFS(実績!$W$6:$W$505,AU$3,実績!$AC$6:$AC$505,"&lt;="&amp;$A52,実績!$AD$6:$AD$505,"&gt;"&amp;$A52,実績!$AE$6:$AE$505,"○")&gt;0,1,0))</f>
        <v/>
      </c>
      <c r="AV52">
        <f>IF(AV$4=0,0,IF(COUNTIFS(実績!$W$6:$W$505,AV$3,実績!$AC$6:$AC$505,"&lt;="&amp;$A52,実績!$AD$6:$AD$505,"&gt;"&amp;$A52,実績!$AE$6:$AE$505,"○")&gt;0,1,0))</f>
        <v/>
      </c>
      <c r="AW52">
        <f>IF(AW$4=0,0,IF(COUNTIFS(実績!$W$6:$W$505,AW$3,実績!$AC$6:$AC$505,"&lt;="&amp;$A52,実績!$AD$6:$AD$505,"&gt;"&amp;$A52,実績!$AE$6:$AE$505,"○")&gt;0,1,0))</f>
        <v/>
      </c>
      <c r="AX52">
        <f>IF(AX$4=0,0,IF(COUNTIFS(実績!$W$6:$W$505,AX$3,実績!$AC$6:$AC$505,"&lt;="&amp;$A52,実績!$AD$6:$AD$505,"&gt;"&amp;$A52,実績!$AE$6:$AE$505,"○")&gt;0,1,0))</f>
        <v/>
      </c>
      <c r="AY52">
        <f>IF(AY$4=0,0,IF(COUNTIFS(実績!$W$6:$W$505,AY$3,実績!$AC$6:$AC$505,"&lt;="&amp;$A52,実績!$AD$6:$AD$505,"&gt;"&amp;$A52,実績!$AE$6:$AE$505,"○")&gt;0,1,0))</f>
        <v/>
      </c>
      <c r="AZ52">
        <f>IF(AZ$4=0,0,IF(COUNTIFS(実績!$W$6:$W$505,AZ$3,実績!$AC$6:$AC$505,"&lt;="&amp;$A52,実績!$AD$6:$AD$505,"&gt;"&amp;$A52,実績!$AE$6:$AE$505,"○")&gt;0,1,0))</f>
        <v/>
      </c>
      <c r="BA52">
        <f>IF(BA$4=0,0,IF(COUNTIFS(実績!$W$6:$W$505,BA$3,実績!$AC$6:$AC$505,"&lt;="&amp;$A52,実績!$AD$6:$AD$505,"&gt;"&amp;$A52,実績!$AE$6:$AE$505,"○")&gt;0,1,0))</f>
        <v/>
      </c>
      <c r="BB52">
        <f>IF(BB$4=0,0,IF(COUNTIFS(実績!$W$6:$W$505,BB$3,実績!$AC$6:$AC$505,"&lt;="&amp;$A52,実績!$AD$6:$AD$505,"&gt;"&amp;$A52,実績!$AE$6:$AE$505,"○")&gt;0,1,0))</f>
        <v/>
      </c>
      <c r="BC52">
        <f>IF(BC$4=0,0,IF(COUNTIFS(実績!$W$6:$W$505,BC$3,実績!$AC$6:$AC$505,"&lt;="&amp;$A52,実績!$AD$6:$AD$505,"&gt;"&amp;$A52,実績!$AE$6:$AE$505,"○")&gt;0,1,0))</f>
        <v/>
      </c>
      <c r="BD52">
        <f>IF(BD$4=0,0,IF(COUNTIFS(実績!$W$6:$W$505,BD$3,実績!$AC$6:$AC$505,"&lt;="&amp;$A52,実績!$AD$6:$AD$505,"&gt;"&amp;$A52,実績!$AE$6:$AE$505,"○")&gt;0,1,0))</f>
        <v/>
      </c>
      <c r="BE52">
        <f>IF(BE$4=0,0,IF(COUNTIFS(実績!$W$6:$W$505,BE$3,実績!$AC$6:$AC$505,"&lt;="&amp;$A52,実績!$AD$6:$AD$505,"&gt;"&amp;$A52,実績!$AE$6:$AE$505,"○")&gt;0,1,0))</f>
        <v/>
      </c>
      <c r="BF52">
        <f>IF(BF$4=0,0,IF(COUNTIFS(実績!$W$6:$W$505,BF$3,実績!$AC$6:$AC$505,"&lt;="&amp;$A52,実績!$AD$6:$AD$505,"&gt;"&amp;$A52,実績!$AE$6:$AE$505,"○")&gt;0,1,0))</f>
        <v/>
      </c>
      <c r="BG52">
        <f>IF(BG$4=0,0,IF(COUNTIFS(実績!$W$6:$W$505,BG$3,実績!$AC$6:$AC$505,"&lt;="&amp;$A52,実績!$AD$6:$AD$505,"&gt;"&amp;$A52,実績!$AE$6:$AE$505,"○")&gt;0,1,0))</f>
        <v/>
      </c>
      <c r="BH52">
        <f>IF(BH$4=0,0,IF(COUNTIFS(実績!$W$6:$W$505,BH$3,実績!$AC$6:$AC$505,"&lt;="&amp;$A52,実績!$AD$6:$AD$505,"&gt;"&amp;$A52,実績!$AE$6:$AE$505,"○")&gt;0,1,0))</f>
        <v/>
      </c>
      <c r="BI52">
        <f>IF(BI$4=0,0,IF(COUNTIFS(実績!$W$6:$W$505,BI$3,実績!$AC$6:$AC$505,"&lt;="&amp;$A52,実績!$AD$6:$AD$505,"&gt;"&amp;$A52,実績!$AE$6:$AE$505,"○")&gt;0,1,0))</f>
        <v/>
      </c>
      <c r="BJ52">
        <f>IF(BJ$4=0,0,IF(COUNTIFS(実績!$W$6:$W$505,BJ$3,実績!$AC$6:$AC$505,"&lt;="&amp;$A52,実績!$AD$6:$AD$505,"&gt;"&amp;$A52,実績!$AE$6:$AE$505,"○")&gt;0,1,0))</f>
        <v/>
      </c>
      <c r="BK52">
        <f>IF(BK$4=0,0,IF(COUNTIFS(実績!$W$6:$W$505,BK$3,実績!$AC$6:$AC$505,"&lt;="&amp;$A52,実績!$AD$6:$AD$505,"&gt;"&amp;$A52,実績!$AE$6:$AE$505,"○")&gt;0,1,0))</f>
        <v/>
      </c>
      <c r="BL52">
        <f>IF(BL$4=0,0,IF(COUNTIFS(実績!$W$6:$W$505,BL$3,実績!$AC$6:$AC$505,"&lt;="&amp;$A52,実績!$AD$6:$AD$505,"&gt;"&amp;$A52,実績!$AE$6:$AE$505,"○")&gt;0,1,0))</f>
        <v/>
      </c>
      <c r="BM52">
        <f>IF(BM$4=0,0,IF(COUNTIFS(実績!$W$6:$W$505,BM$3,実績!$AC$6:$AC$505,"&lt;="&amp;$A52,実績!$AD$6:$AD$505,"&gt;"&amp;$A52,実績!$AE$6:$AE$505,"○")&gt;0,1,0))</f>
        <v/>
      </c>
      <c r="BN52">
        <f>IF(BN$4=0,0,IF(COUNTIFS(実績!$W$6:$W$505,BN$3,実績!$AC$6:$AC$505,"&lt;="&amp;$A52,実績!$AD$6:$AD$505,"&gt;"&amp;$A52,実績!$AE$6:$AE$505,"○")&gt;0,1,0))</f>
        <v/>
      </c>
      <c r="BO52">
        <f>IF(BO$4=0,0,IF(COUNTIFS(実績!$W$6:$W$505,BO$3,実績!$AC$6:$AC$505,"&lt;="&amp;$A52,実績!$AD$6:$AD$505,"&gt;"&amp;$A52,実績!$AE$6:$AE$505,"○")&gt;0,1,0))</f>
        <v/>
      </c>
      <c r="BP52">
        <f>IF(BP$4=0,0,IF(COUNTIFS(実績!$W$6:$W$505,BP$3,実績!$AC$6:$AC$505,"&lt;="&amp;$A52,実績!$AD$6:$AD$505,"&gt;"&amp;$A52,実績!$AE$6:$AE$505,"○")&gt;0,1,0))</f>
        <v/>
      </c>
      <c r="BQ52">
        <f>IF(BQ$4=0,0,IF(COUNTIFS(実績!$W$6:$W$505,BQ$3,実績!$AC$6:$AC$505,"&lt;="&amp;$A52,実績!$AD$6:$AD$505,"&gt;"&amp;$A52,実績!$AE$6:$AE$505,"○")&gt;0,1,0))</f>
        <v/>
      </c>
      <c r="BR52">
        <f>IF(BR$4=0,0,IF(COUNTIFS(実績!$W$6:$W$505,BR$3,実績!$AC$6:$AC$505,"&lt;="&amp;$A52,実績!$AD$6:$AD$505,"&gt;"&amp;$A52,実績!$AE$6:$AE$505,"○")&gt;0,1,0))</f>
        <v/>
      </c>
      <c r="BS52">
        <f>IF(BS$4=0,0,IF(COUNTIFS(実績!$W$6:$W$505,BS$3,実績!$AC$6:$AC$505,"&lt;="&amp;$A52,実績!$AD$6:$AD$505,"&gt;"&amp;$A52,実績!$AE$6:$AE$505,"○")&gt;0,1,0))</f>
        <v/>
      </c>
      <c r="BT52">
        <f>IF(BT$4=0,0,IF(COUNTIFS(実績!$W$6:$W$505,BT$3,実績!$AC$6:$AC$505,"&lt;="&amp;$A52,実績!$AD$6:$AD$505,"&gt;"&amp;$A52,実績!$AE$6:$AE$505,"○")&gt;0,1,0))</f>
        <v/>
      </c>
      <c r="BU52">
        <f>IF(BU$4=0,0,IF(COUNTIFS(実績!$W$6:$W$505,BU$3,実績!$AC$6:$AC$505,"&lt;="&amp;$A52,実績!$AD$6:$AD$505,"&gt;"&amp;$A52,実績!$AE$6:$AE$505,"○")&gt;0,1,0))</f>
        <v/>
      </c>
      <c r="BV52">
        <f>IF(BV$4=0,0,IF(COUNTIFS(実績!$W$6:$W$505,BV$3,実績!$AC$6:$AC$505,"&lt;="&amp;$A52,実績!$AD$6:$AD$505,"&gt;"&amp;$A52,実績!$AE$6:$AE$505,"○")&gt;0,1,0))</f>
        <v/>
      </c>
      <c r="BW52">
        <f>IF(BW$4=0,0,IF(COUNTIFS(実績!$W$6:$W$505,BW$3,実績!$AC$6:$AC$505,"&lt;="&amp;$A52,実績!$AD$6:$AD$505,"&gt;"&amp;$A52,実績!$AE$6:$AE$505,"○")&gt;0,1,0))</f>
        <v/>
      </c>
      <c r="BX52">
        <f>IF(BX$4=0,0,IF(COUNTIFS(実績!$W$6:$W$505,BX$3,実績!$AC$6:$AC$505,"&lt;="&amp;$A52,実績!$AD$6:$AD$505,"&gt;"&amp;$A52,実績!$AE$6:$AE$505,"○")&gt;0,1,0))</f>
        <v/>
      </c>
      <c r="BY52">
        <f>IF(BY$4=0,0,IF(COUNTIFS(実績!$W$6:$W$505,BY$3,実績!$AC$6:$AC$505,"&lt;="&amp;$A52,実績!$AD$6:$AD$505,"&gt;"&amp;$A52,実績!$AE$6:$AE$505,"○")&gt;0,1,0))</f>
        <v/>
      </c>
      <c r="BZ52">
        <f>IF(BZ$4=0,0,IF(COUNTIFS(実績!$W$6:$W$505,BZ$3,実績!$AC$6:$AC$505,"&lt;="&amp;$A52,実績!$AD$6:$AD$505,"&gt;"&amp;$A52,実績!$AE$6:$AE$505,"○")&gt;0,1,0))</f>
        <v/>
      </c>
      <c r="CA52">
        <f>IF(CA$4=0,0,IF(COUNTIFS(実績!$W$6:$W$505,CA$3,実績!$AC$6:$AC$505,"&lt;="&amp;$A52,実績!$AD$6:$AD$505,"&gt;"&amp;$A52,実績!$AE$6:$AE$505,"○")&gt;0,1,0))</f>
        <v/>
      </c>
      <c r="CB52">
        <f>IF(CB$4=0,0,IF(COUNTIFS(実績!$W$6:$W$505,CB$3,実績!$AC$6:$AC$505,"&lt;="&amp;$A52,実績!$AD$6:$AD$505,"&gt;"&amp;$A52,実績!$AE$6:$AE$505,"○")&gt;0,1,0))</f>
        <v/>
      </c>
      <c r="CC52">
        <f>IF(CC$4=0,0,IF(COUNTIFS(実績!$W$6:$W$505,CC$3,実績!$AC$6:$AC$505,"&lt;="&amp;$A52,実績!$AD$6:$AD$505,"&gt;"&amp;$A52,実績!$AE$6:$AE$505,"○")&gt;0,1,0))</f>
        <v/>
      </c>
      <c r="CD52">
        <f>IF(CD$4=0,0,IF(COUNTIFS(実績!$W$6:$W$505,CD$3,実績!$AC$6:$AC$505,"&lt;="&amp;$A52,実績!$AD$6:$AD$505,"&gt;"&amp;$A52,実績!$AE$6:$AE$505,"○")&gt;0,1,0))</f>
        <v/>
      </c>
      <c r="CE52">
        <f>IF(CE$4=0,0,IF(COUNTIFS(実績!$W$6:$W$505,CE$3,実績!$AC$6:$AC$505,"&lt;="&amp;$A52,実績!$AD$6:$AD$505,"&gt;"&amp;$A52,実績!$AE$6:$AE$505,"○")&gt;0,1,0))</f>
        <v/>
      </c>
      <c r="CF52">
        <f>IF(CF$4=0,0,IF(COUNTIFS(実績!$W$6:$W$505,CF$3,実績!$AC$6:$AC$505,"&lt;="&amp;$A52,実績!$AD$6:$AD$505,"&gt;"&amp;$A52,実績!$AE$6:$AE$505,"○")&gt;0,1,0))</f>
        <v/>
      </c>
      <c r="CG52">
        <f>IF(CG$4=0,0,IF(COUNTIFS(実績!$W$6:$W$505,CG$3,実績!$AC$6:$AC$505,"&lt;="&amp;$A52,実績!$AD$6:$AD$505,"&gt;"&amp;$A52,実績!$AE$6:$AE$505,"○")&gt;0,1,0))</f>
        <v/>
      </c>
      <c r="CH52">
        <f>IF(CH$4=0,0,IF(COUNTIFS(実績!$W$6:$W$505,CH$3,実績!$AC$6:$AC$505,"&lt;="&amp;$A52,実績!$AD$6:$AD$505,"&gt;"&amp;$A52,実績!$AE$6:$AE$505,"○")&gt;0,1,0))</f>
        <v/>
      </c>
      <c r="CI52">
        <f>IF(CI$4=0,0,IF(COUNTIFS(実績!$W$6:$W$505,CI$3,実績!$AC$6:$AC$505,"&lt;="&amp;$A52,実績!$AD$6:$AD$505,"&gt;"&amp;$A52,実績!$AE$6:$AE$505,"○")&gt;0,1,0))</f>
        <v/>
      </c>
      <c r="CJ52">
        <f>IF(CJ$4=0,0,IF(COUNTIFS(実績!$W$6:$W$505,CJ$3,実績!$AC$6:$AC$505,"&lt;="&amp;$A52,実績!$AD$6:$AD$505,"&gt;"&amp;$A52,実績!$AE$6:$AE$505,"○")&gt;0,1,0))</f>
        <v/>
      </c>
      <c r="CK52">
        <f>IF(CK$4=0,0,IF(COUNTIFS(実績!$W$6:$W$505,CK$3,実績!$AC$6:$AC$505,"&lt;="&amp;$A52,実績!$AD$6:$AD$505,"&gt;"&amp;$A52,実績!$AE$6:$AE$505,"○")&gt;0,1,0))</f>
        <v/>
      </c>
      <c r="CL52">
        <f>IF(CL$4=0,0,IF(COUNTIFS(実績!$W$6:$W$505,CL$3,実績!$AC$6:$AC$505,"&lt;="&amp;$A52,実績!$AD$6:$AD$505,"&gt;"&amp;$A52,実績!$AE$6:$AE$505,"○")&gt;0,1,0))</f>
        <v/>
      </c>
      <c r="CM52">
        <f>IF(CM$4=0,0,IF(COUNTIFS(実績!$W$6:$W$505,CM$3,実績!$AC$6:$AC$505,"&lt;="&amp;$A52,実績!$AD$6:$AD$505,"&gt;"&amp;$A52,実績!$AE$6:$AE$505,"○")&gt;0,1,0))</f>
        <v/>
      </c>
      <c r="CN52">
        <f>IF(CN$4=0,0,IF(COUNTIFS(実績!$W$6:$W$505,CN$3,実績!$AC$6:$AC$505,"&lt;="&amp;$A52,実績!$AD$6:$AD$505,"&gt;"&amp;$A52,実績!$AE$6:$AE$505,"○")&gt;0,1,0))</f>
        <v/>
      </c>
      <c r="CO52">
        <f>IF(CO$4=0,0,IF(COUNTIFS(実績!$W$6:$W$505,CO$3,実績!$AC$6:$AC$505,"&lt;="&amp;$A52,実績!$AD$6:$AD$505,"&gt;"&amp;$A52,実績!$AE$6:$AE$505,"○")&gt;0,1,0))</f>
        <v/>
      </c>
      <c r="CP52">
        <f>IF(CP$4=0,0,IF(COUNTIFS(実績!$W$6:$W$505,CP$3,実績!$AC$6:$AC$505,"&lt;="&amp;$A52,実績!$AD$6:$AD$505,"&gt;"&amp;$A52,実績!$AE$6:$AE$505,"○")&gt;0,1,0))</f>
        <v/>
      </c>
      <c r="CQ52">
        <f>IF(CQ$4=0,0,IF(COUNTIFS(実績!$W$6:$W$505,CQ$3,実績!$AC$6:$AC$505,"&lt;="&amp;$A52,実績!$AD$6:$AD$505,"&gt;"&amp;$A52,実績!$AE$6:$AE$505,"○")&gt;0,1,0))</f>
        <v/>
      </c>
      <c r="CR52">
        <f>IF(CR$4=0,0,IF(COUNTIFS(実績!$W$6:$W$505,CR$3,実績!$AC$6:$AC$505,"&lt;="&amp;$A52,実績!$AD$6:$AD$505,"&gt;"&amp;$A52,実績!$AE$6:$AE$505,"○")&gt;0,1,0))</f>
        <v/>
      </c>
      <c r="CS52">
        <f>IF(CS$4=0,0,IF(COUNTIFS(実績!$W$6:$W$505,CS$3,実績!$AC$6:$AC$505,"&lt;="&amp;$A52,実績!$AD$6:$AD$505,"&gt;"&amp;$A52,実績!$AE$6:$AE$505,"○")&gt;0,1,0))</f>
        <v/>
      </c>
      <c r="CT52">
        <f>IF(CT$4=0,0,IF(COUNTIFS(実績!$W$6:$W$505,CT$3,実績!$AC$6:$AC$505,"&lt;="&amp;$A52,実績!$AD$6:$AD$505,"&gt;"&amp;$A52,実績!$AE$6:$AE$505,"○")&gt;0,1,0))</f>
        <v/>
      </c>
      <c r="CU52">
        <f>IF(CU$4=0,0,IF(COUNTIFS(実績!$W$6:$W$505,CU$3,実績!$AC$6:$AC$505,"&lt;="&amp;$A52,実績!$AD$6:$AD$505,"&gt;"&amp;$A52,実績!$AE$6:$AE$505,"○")&gt;0,1,0))</f>
        <v/>
      </c>
      <c r="CV52">
        <f>IF(CV$4=0,0,IF(COUNTIFS(実績!$W$6:$W$505,CV$3,実績!$AC$6:$AC$505,"&lt;="&amp;$A52,実績!$AD$6:$AD$505,"&gt;"&amp;$A52,実績!$AE$6:$AE$505,"○")&gt;0,1,0))</f>
        <v/>
      </c>
      <c r="CW52">
        <f>IF(CW$4=0,0,IF(COUNTIFS(実績!$W$6:$W$505,CW$3,実績!$AC$6:$AC$505,"&lt;="&amp;$A52,実績!$AD$6:$AD$505,"&gt;"&amp;$A52,実績!$AE$6:$AE$505,"○")&gt;0,1,0))</f>
        <v/>
      </c>
      <c r="CX52">
        <f>IF(CX$4=0,0,IF(COUNTIFS(実績!$W$6:$W$505,CX$3,実績!$AC$6:$AC$505,"&lt;="&amp;$A52,実績!$AD$6:$AD$505,"&gt;"&amp;$A52,実績!$AE$6:$AE$505,"○")&gt;0,1,0))</f>
        <v/>
      </c>
      <c r="CY52">
        <f>IF(CY$4=0,0,IF(COUNTIFS(実績!$W$6:$W$505,CY$3,実績!$AC$6:$AC$505,"&lt;="&amp;$A52,実績!$AD$6:$AD$505,"&gt;"&amp;$A52,実績!$AE$6:$AE$505,"○")&gt;0,1,0))</f>
        <v/>
      </c>
      <c r="CZ52">
        <f>IF(CZ$4=0,0,IF(COUNTIFS(実績!$W$6:$W$505,CZ$3,実績!$AC$6:$AC$505,"&lt;="&amp;$A52,実績!$AD$6:$AD$505,"&gt;"&amp;$A52,実績!$AE$6:$AE$505,"○")&gt;0,1,0))</f>
        <v/>
      </c>
      <c r="DA52">
        <f>IF(DA$4=0,0,IF(COUNTIFS(実績!$W$6:$W$505,DA$3,実績!$AC$6:$AC$505,"&lt;="&amp;$A52,実績!$AD$6:$AD$505,"&gt;"&amp;$A52,実績!$AE$6:$AE$505,"○")&gt;0,1,0))</f>
        <v/>
      </c>
      <c r="DB52">
        <f>IF(DB$4=0,0,IF(COUNTIFS(実績!$W$6:$W$505,DB$3,実績!$AC$6:$AC$505,"&lt;="&amp;$A52,実績!$AD$6:$AD$505,"&gt;"&amp;$A52,実績!$AE$6:$AE$505,"○")&gt;0,1,0))</f>
        <v/>
      </c>
      <c r="DC52">
        <f>IF(DC$4=0,0,IF(COUNTIFS(実績!$W$6:$W$505,DC$3,実績!$AC$6:$AC$505,"&lt;="&amp;$A52,実績!$AD$6:$AD$505,"&gt;"&amp;$A52,実績!$AE$6:$AE$505,"○")&gt;0,1,0))</f>
        <v/>
      </c>
      <c r="DD52">
        <f>IF(DD$4=0,0,IF(COUNTIFS(実績!$W$6:$W$505,DD$3,実績!$AC$6:$AC$505,"&lt;="&amp;$A52,実績!$AD$6:$AD$505,"&gt;"&amp;$A52,実績!$AE$6:$AE$505,"○")&gt;0,1,0))</f>
        <v/>
      </c>
      <c r="DE52">
        <f>IF(DE$4=0,0,IF(COUNTIFS(実績!$W$6:$W$505,DE$3,実績!$AC$6:$AC$505,"&lt;="&amp;$A52,実績!$AD$6:$AD$505,"&gt;"&amp;$A52,実績!$AE$6:$AE$505,"○")&gt;0,1,0))</f>
        <v/>
      </c>
      <c r="DF52">
        <f>IF(DF$4=0,0,IF(COUNTIFS(実績!$W$6:$W$505,DF$3,実績!$AC$6:$AC$505,"&lt;="&amp;$A52,実績!$AD$6:$AD$505,"&gt;"&amp;$A52,実績!$AE$6:$AE$505,"○")&gt;0,1,0))</f>
        <v/>
      </c>
      <c r="DG52">
        <f>IF(DG$4=0,0,IF(COUNTIFS(実績!$W$6:$W$505,DG$3,実績!$AC$6:$AC$505,"&lt;="&amp;$A52,実績!$AD$6:$AD$505,"&gt;"&amp;$A52,実績!$AE$6:$AE$505,"○")&gt;0,1,0))</f>
        <v/>
      </c>
      <c r="DH52">
        <f>IF(DH$4=0,0,IF(COUNTIFS(実績!$W$6:$W$505,DH$3,実績!$AC$6:$AC$505,"&lt;="&amp;$A52,実績!$AD$6:$AD$505,"&gt;"&amp;$A52,実績!$AE$6:$AE$505,"○")&gt;0,1,0))</f>
        <v/>
      </c>
      <c r="DI52">
        <f>IF(DI$4=0,0,IF(COUNTIFS(実績!$W$6:$W$505,DI$3,実績!$AC$6:$AC$505,"&lt;="&amp;$A52,実績!$AD$6:$AD$505,"&gt;"&amp;$A52,実績!$AE$6:$AE$505,"○")&gt;0,1,0))</f>
        <v/>
      </c>
      <c r="DJ52">
        <f>IF(DJ$4=0,0,IF(COUNTIFS(実績!$W$6:$W$505,DJ$3,実績!$AC$6:$AC$505,"&lt;="&amp;$A52,実績!$AD$6:$AD$505,"&gt;"&amp;$A52,実績!$AE$6:$AE$505,"○")&gt;0,1,0))</f>
        <v/>
      </c>
      <c r="DK52">
        <f>IF(DK$4=0,0,IF(COUNTIFS(実績!$W$6:$W$505,DK$3,実績!$AC$6:$AC$505,"&lt;="&amp;$A52,実績!$AD$6:$AD$505,"&gt;"&amp;$A52,実績!$AE$6:$AE$505,"○")&gt;0,1,0))</f>
        <v/>
      </c>
      <c r="DL52">
        <f>IF(DL$4=0,0,IF(COUNTIFS(実績!$W$6:$W$505,DL$3,実績!$AC$6:$AC$505,"&lt;="&amp;$A52,実績!$AD$6:$AD$505,"&gt;"&amp;$A52,実績!$AE$6:$AE$505,"○")&gt;0,1,0))</f>
        <v/>
      </c>
      <c r="DM52">
        <f>IF(DM$4=0,0,IF(COUNTIFS(実績!$W$6:$W$505,DM$3,実績!$AC$6:$AC$505,"&lt;="&amp;$A52,実績!$AD$6:$AD$505,"&gt;"&amp;$A52,実績!$AE$6:$AE$505,"○")&gt;0,1,0))</f>
        <v/>
      </c>
      <c r="DN52">
        <f>IF(DN$4=0,0,IF(COUNTIFS(実績!$W$6:$W$505,DN$3,実績!$AC$6:$AC$505,"&lt;="&amp;$A52,実績!$AD$6:$AD$505,"&gt;"&amp;$A52,実績!$AE$6:$AE$505,"○")&gt;0,1,0))</f>
        <v/>
      </c>
      <c r="DO52">
        <f>IF(DO$4=0,0,IF(COUNTIFS(実績!$W$6:$W$505,DO$3,実績!$AC$6:$AC$505,"&lt;="&amp;$A52,実績!$AD$6:$AD$505,"&gt;"&amp;$A52,実績!$AE$6:$AE$505,"○")&gt;0,1,0))</f>
        <v/>
      </c>
      <c r="DP52">
        <f>IF(DP$4=0,0,IF(COUNTIFS(実績!$W$6:$W$505,DP$3,実績!$AC$6:$AC$505,"&lt;="&amp;$A52,実績!$AD$6:$AD$505,"&gt;"&amp;$A52,実績!$AE$6:$AE$505,"○")&gt;0,1,0))</f>
        <v/>
      </c>
      <c r="DQ52">
        <f>IF(DQ$4=0,0,IF(COUNTIFS(実績!$W$6:$W$505,DQ$3,実績!$AC$6:$AC$505,"&lt;="&amp;$A52,実績!$AD$6:$AD$505,"&gt;"&amp;$A52,実績!$AE$6:$AE$505,"○")&gt;0,1,0))</f>
        <v/>
      </c>
      <c r="DR52">
        <f>IF(DR$4=0,0,IF(COUNTIFS(実績!$W$6:$W$505,DR$3,実績!$AC$6:$AC$505,"&lt;="&amp;$A52,実績!$AD$6:$AD$505,"&gt;"&amp;$A52,実績!$AE$6:$AE$505,"○")&gt;0,1,0))</f>
        <v/>
      </c>
      <c r="DS52">
        <f>SUM(C52:DR52)</f>
        <v/>
      </c>
      <c r="DT52">
        <f>SUMPRODUCT((実績!$C$6:$C$505="○")*ISNUMBER(実績!$AF$6:$AF$505)*(実績!$AF$6:$AF$505&lt;=$A52)*(実績!$AG$6:$AG$505&gt;$A52))</f>
        <v/>
      </c>
      <c r="DU52">
        <f>SUMIF($C$2:$DR$2,"製鉄曳船",C52:DR52)</f>
        <v/>
      </c>
      <c r="DV52">
        <f>SUMIF($C$2:$DR$2,"西日本海運",C52:DR52)</f>
        <v/>
      </c>
    </row>
    <row r="53">
      <c r="A53" t="n">
        <v>235</v>
      </c>
      <c r="B53" s="29">
        <f>A53/1440</f>
        <v/>
      </c>
      <c r="C53">
        <f>IF(C$4=0,0,IF(COUNTIFS(実績!$W$6:$W$505,C$3,実績!$AC$6:$AC$505,"&lt;="&amp;$A53,実績!$AD$6:$AD$505,"&gt;"&amp;$A53,実績!$AE$6:$AE$505,"○")&gt;0,1,0))</f>
        <v/>
      </c>
      <c r="D53">
        <f>IF(D$4=0,0,IF(COUNTIFS(実績!$W$6:$W$505,D$3,実績!$AC$6:$AC$505,"&lt;="&amp;$A53,実績!$AD$6:$AD$505,"&gt;"&amp;$A53,実績!$AE$6:$AE$505,"○")&gt;0,1,0))</f>
        <v/>
      </c>
      <c r="E53">
        <f>IF(E$4=0,0,IF(COUNTIFS(実績!$W$6:$W$505,E$3,実績!$AC$6:$AC$505,"&lt;="&amp;$A53,実績!$AD$6:$AD$505,"&gt;"&amp;$A53,実績!$AE$6:$AE$505,"○")&gt;0,1,0))</f>
        <v/>
      </c>
      <c r="F53">
        <f>IF(F$4=0,0,IF(COUNTIFS(実績!$W$6:$W$505,F$3,実績!$AC$6:$AC$505,"&lt;="&amp;$A53,実績!$AD$6:$AD$505,"&gt;"&amp;$A53,実績!$AE$6:$AE$505,"○")&gt;0,1,0))</f>
        <v/>
      </c>
      <c r="G53">
        <f>IF(G$4=0,0,IF(COUNTIFS(実績!$W$6:$W$505,G$3,実績!$AC$6:$AC$505,"&lt;="&amp;$A53,実績!$AD$6:$AD$505,"&gt;"&amp;$A53,実績!$AE$6:$AE$505,"○")&gt;0,1,0))</f>
        <v/>
      </c>
      <c r="H53">
        <f>IF(H$4=0,0,IF(COUNTIFS(実績!$W$6:$W$505,H$3,実績!$AC$6:$AC$505,"&lt;="&amp;$A53,実績!$AD$6:$AD$505,"&gt;"&amp;$A53,実績!$AE$6:$AE$505,"○")&gt;0,1,0))</f>
        <v/>
      </c>
      <c r="I53">
        <f>IF(I$4=0,0,IF(COUNTIFS(実績!$W$6:$W$505,I$3,実績!$AC$6:$AC$505,"&lt;="&amp;$A53,実績!$AD$6:$AD$505,"&gt;"&amp;$A53,実績!$AE$6:$AE$505,"○")&gt;0,1,0))</f>
        <v/>
      </c>
      <c r="J53">
        <f>IF(J$4=0,0,IF(COUNTIFS(実績!$W$6:$W$505,J$3,実績!$AC$6:$AC$505,"&lt;="&amp;$A53,実績!$AD$6:$AD$505,"&gt;"&amp;$A53,実績!$AE$6:$AE$505,"○")&gt;0,1,0))</f>
        <v/>
      </c>
      <c r="K53">
        <f>IF(K$4=0,0,IF(COUNTIFS(実績!$W$6:$W$505,K$3,実績!$AC$6:$AC$505,"&lt;="&amp;$A53,実績!$AD$6:$AD$505,"&gt;"&amp;$A53,実績!$AE$6:$AE$505,"○")&gt;0,1,0))</f>
        <v/>
      </c>
      <c r="L53">
        <f>IF(L$4=0,0,IF(COUNTIFS(実績!$W$6:$W$505,L$3,実績!$AC$6:$AC$505,"&lt;="&amp;$A53,実績!$AD$6:$AD$505,"&gt;"&amp;$A53,実績!$AE$6:$AE$505,"○")&gt;0,1,0))</f>
        <v/>
      </c>
      <c r="M53">
        <f>IF(M$4=0,0,IF(COUNTIFS(実績!$W$6:$W$505,M$3,実績!$AC$6:$AC$505,"&lt;="&amp;$A53,実績!$AD$6:$AD$505,"&gt;"&amp;$A53,実績!$AE$6:$AE$505,"○")&gt;0,1,0))</f>
        <v/>
      </c>
      <c r="N53">
        <f>IF(N$4=0,0,IF(COUNTIFS(実績!$W$6:$W$505,N$3,実績!$AC$6:$AC$505,"&lt;="&amp;$A53,実績!$AD$6:$AD$505,"&gt;"&amp;$A53,実績!$AE$6:$AE$505,"○")&gt;0,1,0))</f>
        <v/>
      </c>
      <c r="O53">
        <f>IF(O$4=0,0,IF(COUNTIFS(実績!$W$6:$W$505,O$3,実績!$AC$6:$AC$505,"&lt;="&amp;$A53,実績!$AD$6:$AD$505,"&gt;"&amp;$A53,実績!$AE$6:$AE$505,"○")&gt;0,1,0))</f>
        <v/>
      </c>
      <c r="P53">
        <f>IF(P$4=0,0,IF(COUNTIFS(実績!$W$6:$W$505,P$3,実績!$AC$6:$AC$505,"&lt;="&amp;$A53,実績!$AD$6:$AD$505,"&gt;"&amp;$A53,実績!$AE$6:$AE$505,"○")&gt;0,1,0))</f>
        <v/>
      </c>
      <c r="Q53">
        <f>IF(Q$4=0,0,IF(COUNTIFS(実績!$W$6:$W$505,Q$3,実績!$AC$6:$AC$505,"&lt;="&amp;$A53,実績!$AD$6:$AD$505,"&gt;"&amp;$A53,実績!$AE$6:$AE$505,"○")&gt;0,1,0))</f>
        <v/>
      </c>
      <c r="R53">
        <f>IF(R$4=0,0,IF(COUNTIFS(実績!$W$6:$W$505,R$3,実績!$AC$6:$AC$505,"&lt;="&amp;$A53,実績!$AD$6:$AD$505,"&gt;"&amp;$A53,実績!$AE$6:$AE$505,"○")&gt;0,1,0))</f>
        <v/>
      </c>
      <c r="S53">
        <f>IF(S$4=0,0,IF(COUNTIFS(実績!$W$6:$W$505,S$3,実績!$AC$6:$AC$505,"&lt;="&amp;$A53,実績!$AD$6:$AD$505,"&gt;"&amp;$A53,実績!$AE$6:$AE$505,"○")&gt;0,1,0))</f>
        <v/>
      </c>
      <c r="T53">
        <f>IF(T$4=0,0,IF(COUNTIFS(実績!$W$6:$W$505,T$3,実績!$AC$6:$AC$505,"&lt;="&amp;$A53,実績!$AD$6:$AD$505,"&gt;"&amp;$A53,実績!$AE$6:$AE$505,"○")&gt;0,1,0))</f>
        <v/>
      </c>
      <c r="U53">
        <f>IF(U$4=0,0,IF(COUNTIFS(実績!$W$6:$W$505,U$3,実績!$AC$6:$AC$505,"&lt;="&amp;$A53,実績!$AD$6:$AD$505,"&gt;"&amp;$A53,実績!$AE$6:$AE$505,"○")&gt;0,1,0))</f>
        <v/>
      </c>
      <c r="V53">
        <f>IF(V$4=0,0,IF(COUNTIFS(実績!$W$6:$W$505,V$3,実績!$AC$6:$AC$505,"&lt;="&amp;$A53,実績!$AD$6:$AD$505,"&gt;"&amp;$A53,実績!$AE$6:$AE$505,"○")&gt;0,1,0))</f>
        <v/>
      </c>
      <c r="W53">
        <f>IF(W$4=0,0,IF(COUNTIFS(実績!$W$6:$W$505,W$3,実績!$AC$6:$AC$505,"&lt;="&amp;$A53,実績!$AD$6:$AD$505,"&gt;"&amp;$A53,実績!$AE$6:$AE$505,"○")&gt;0,1,0))</f>
        <v/>
      </c>
      <c r="X53">
        <f>IF(X$4=0,0,IF(COUNTIFS(実績!$W$6:$W$505,X$3,実績!$AC$6:$AC$505,"&lt;="&amp;$A53,実績!$AD$6:$AD$505,"&gt;"&amp;$A53,実績!$AE$6:$AE$505,"○")&gt;0,1,0))</f>
        <v/>
      </c>
      <c r="Y53">
        <f>IF(Y$4=0,0,IF(COUNTIFS(実績!$W$6:$W$505,Y$3,実績!$AC$6:$AC$505,"&lt;="&amp;$A53,実績!$AD$6:$AD$505,"&gt;"&amp;$A53,実績!$AE$6:$AE$505,"○")&gt;0,1,0))</f>
        <v/>
      </c>
      <c r="Z53">
        <f>IF(Z$4=0,0,IF(COUNTIFS(実績!$W$6:$W$505,Z$3,実績!$AC$6:$AC$505,"&lt;="&amp;$A53,実績!$AD$6:$AD$505,"&gt;"&amp;$A53,実績!$AE$6:$AE$505,"○")&gt;0,1,0))</f>
        <v/>
      </c>
      <c r="AA53">
        <f>IF(AA$4=0,0,IF(COUNTIFS(実績!$W$6:$W$505,AA$3,実績!$AC$6:$AC$505,"&lt;="&amp;$A53,実績!$AD$6:$AD$505,"&gt;"&amp;$A53,実績!$AE$6:$AE$505,"○")&gt;0,1,0))</f>
        <v/>
      </c>
      <c r="AB53">
        <f>IF(AB$4=0,0,IF(COUNTIFS(実績!$W$6:$W$505,AB$3,実績!$AC$6:$AC$505,"&lt;="&amp;$A53,実績!$AD$6:$AD$505,"&gt;"&amp;$A53,実績!$AE$6:$AE$505,"○")&gt;0,1,0))</f>
        <v/>
      </c>
      <c r="AC53">
        <f>IF(AC$4=0,0,IF(COUNTIFS(実績!$W$6:$W$505,AC$3,実績!$AC$6:$AC$505,"&lt;="&amp;$A53,実績!$AD$6:$AD$505,"&gt;"&amp;$A53,実績!$AE$6:$AE$505,"○")&gt;0,1,0))</f>
        <v/>
      </c>
      <c r="AD53">
        <f>IF(AD$4=0,0,IF(COUNTIFS(実績!$W$6:$W$505,AD$3,実績!$AC$6:$AC$505,"&lt;="&amp;$A53,実績!$AD$6:$AD$505,"&gt;"&amp;$A53,実績!$AE$6:$AE$505,"○")&gt;0,1,0))</f>
        <v/>
      </c>
      <c r="AE53">
        <f>IF(AE$4=0,0,IF(COUNTIFS(実績!$W$6:$W$505,AE$3,実績!$AC$6:$AC$505,"&lt;="&amp;$A53,実績!$AD$6:$AD$505,"&gt;"&amp;$A53,実績!$AE$6:$AE$505,"○")&gt;0,1,0))</f>
        <v/>
      </c>
      <c r="AF53">
        <f>IF(AF$4=0,0,IF(COUNTIFS(実績!$W$6:$W$505,AF$3,実績!$AC$6:$AC$505,"&lt;="&amp;$A53,実績!$AD$6:$AD$505,"&gt;"&amp;$A53,実績!$AE$6:$AE$505,"○")&gt;0,1,0))</f>
        <v/>
      </c>
      <c r="AG53">
        <f>IF(AG$4=0,0,IF(COUNTIFS(実績!$W$6:$W$505,AG$3,実績!$AC$6:$AC$505,"&lt;="&amp;$A53,実績!$AD$6:$AD$505,"&gt;"&amp;$A53,実績!$AE$6:$AE$505,"○")&gt;0,1,0))</f>
        <v/>
      </c>
      <c r="AH53">
        <f>IF(AH$4=0,0,IF(COUNTIFS(実績!$W$6:$W$505,AH$3,実績!$AC$6:$AC$505,"&lt;="&amp;$A53,実績!$AD$6:$AD$505,"&gt;"&amp;$A53,実績!$AE$6:$AE$505,"○")&gt;0,1,0))</f>
        <v/>
      </c>
      <c r="AI53">
        <f>IF(AI$4=0,0,IF(COUNTIFS(実績!$W$6:$W$505,AI$3,実績!$AC$6:$AC$505,"&lt;="&amp;$A53,実績!$AD$6:$AD$505,"&gt;"&amp;$A53,実績!$AE$6:$AE$505,"○")&gt;0,1,0))</f>
        <v/>
      </c>
      <c r="AJ53">
        <f>IF(AJ$4=0,0,IF(COUNTIFS(実績!$W$6:$W$505,AJ$3,実績!$AC$6:$AC$505,"&lt;="&amp;$A53,実績!$AD$6:$AD$505,"&gt;"&amp;$A53,実績!$AE$6:$AE$505,"○")&gt;0,1,0))</f>
        <v/>
      </c>
      <c r="AK53">
        <f>IF(AK$4=0,0,IF(COUNTIFS(実績!$W$6:$W$505,AK$3,実績!$AC$6:$AC$505,"&lt;="&amp;$A53,実績!$AD$6:$AD$505,"&gt;"&amp;$A53,実績!$AE$6:$AE$505,"○")&gt;0,1,0))</f>
        <v/>
      </c>
      <c r="AL53">
        <f>IF(AL$4=0,0,IF(COUNTIFS(実績!$W$6:$W$505,AL$3,実績!$AC$6:$AC$505,"&lt;="&amp;$A53,実績!$AD$6:$AD$505,"&gt;"&amp;$A53,実績!$AE$6:$AE$505,"○")&gt;0,1,0))</f>
        <v/>
      </c>
      <c r="AM53">
        <f>IF(AM$4=0,0,IF(COUNTIFS(実績!$W$6:$W$505,AM$3,実績!$AC$6:$AC$505,"&lt;="&amp;$A53,実績!$AD$6:$AD$505,"&gt;"&amp;$A53,実績!$AE$6:$AE$505,"○")&gt;0,1,0))</f>
        <v/>
      </c>
      <c r="AN53">
        <f>IF(AN$4=0,0,IF(COUNTIFS(実績!$W$6:$W$505,AN$3,実績!$AC$6:$AC$505,"&lt;="&amp;$A53,実績!$AD$6:$AD$505,"&gt;"&amp;$A53,実績!$AE$6:$AE$505,"○")&gt;0,1,0))</f>
        <v/>
      </c>
      <c r="AO53">
        <f>IF(AO$4=0,0,IF(COUNTIFS(実績!$W$6:$W$505,AO$3,実績!$AC$6:$AC$505,"&lt;="&amp;$A53,実績!$AD$6:$AD$505,"&gt;"&amp;$A53,実績!$AE$6:$AE$505,"○")&gt;0,1,0))</f>
        <v/>
      </c>
      <c r="AP53">
        <f>IF(AP$4=0,0,IF(COUNTIFS(実績!$W$6:$W$505,AP$3,実績!$AC$6:$AC$505,"&lt;="&amp;$A53,実績!$AD$6:$AD$505,"&gt;"&amp;$A53,実績!$AE$6:$AE$505,"○")&gt;0,1,0))</f>
        <v/>
      </c>
      <c r="AQ53">
        <f>IF(AQ$4=0,0,IF(COUNTIFS(実績!$W$6:$W$505,AQ$3,実績!$AC$6:$AC$505,"&lt;="&amp;$A53,実績!$AD$6:$AD$505,"&gt;"&amp;$A53,実績!$AE$6:$AE$505,"○")&gt;0,1,0))</f>
        <v/>
      </c>
      <c r="AR53">
        <f>IF(AR$4=0,0,IF(COUNTIFS(実績!$W$6:$W$505,AR$3,実績!$AC$6:$AC$505,"&lt;="&amp;$A53,実績!$AD$6:$AD$505,"&gt;"&amp;$A53,実績!$AE$6:$AE$505,"○")&gt;0,1,0))</f>
        <v/>
      </c>
      <c r="AS53">
        <f>IF(AS$4=0,0,IF(COUNTIFS(実績!$W$6:$W$505,AS$3,実績!$AC$6:$AC$505,"&lt;="&amp;$A53,実績!$AD$6:$AD$505,"&gt;"&amp;$A53,実績!$AE$6:$AE$505,"○")&gt;0,1,0))</f>
        <v/>
      </c>
      <c r="AT53">
        <f>IF(AT$4=0,0,IF(COUNTIFS(実績!$W$6:$W$505,AT$3,実績!$AC$6:$AC$505,"&lt;="&amp;$A53,実績!$AD$6:$AD$505,"&gt;"&amp;$A53,実績!$AE$6:$AE$505,"○")&gt;0,1,0))</f>
        <v/>
      </c>
      <c r="AU53">
        <f>IF(AU$4=0,0,IF(COUNTIFS(実績!$W$6:$W$505,AU$3,実績!$AC$6:$AC$505,"&lt;="&amp;$A53,実績!$AD$6:$AD$505,"&gt;"&amp;$A53,実績!$AE$6:$AE$505,"○")&gt;0,1,0))</f>
        <v/>
      </c>
      <c r="AV53">
        <f>IF(AV$4=0,0,IF(COUNTIFS(実績!$W$6:$W$505,AV$3,実績!$AC$6:$AC$505,"&lt;="&amp;$A53,実績!$AD$6:$AD$505,"&gt;"&amp;$A53,実績!$AE$6:$AE$505,"○")&gt;0,1,0))</f>
        <v/>
      </c>
      <c r="AW53">
        <f>IF(AW$4=0,0,IF(COUNTIFS(実績!$W$6:$W$505,AW$3,実績!$AC$6:$AC$505,"&lt;="&amp;$A53,実績!$AD$6:$AD$505,"&gt;"&amp;$A53,実績!$AE$6:$AE$505,"○")&gt;0,1,0))</f>
        <v/>
      </c>
      <c r="AX53">
        <f>IF(AX$4=0,0,IF(COUNTIFS(実績!$W$6:$W$505,AX$3,実績!$AC$6:$AC$505,"&lt;="&amp;$A53,実績!$AD$6:$AD$505,"&gt;"&amp;$A53,実績!$AE$6:$AE$505,"○")&gt;0,1,0))</f>
        <v/>
      </c>
      <c r="AY53">
        <f>IF(AY$4=0,0,IF(COUNTIFS(実績!$W$6:$W$505,AY$3,実績!$AC$6:$AC$505,"&lt;="&amp;$A53,実績!$AD$6:$AD$505,"&gt;"&amp;$A53,実績!$AE$6:$AE$505,"○")&gt;0,1,0))</f>
        <v/>
      </c>
      <c r="AZ53">
        <f>IF(AZ$4=0,0,IF(COUNTIFS(実績!$W$6:$W$505,AZ$3,実績!$AC$6:$AC$505,"&lt;="&amp;$A53,実績!$AD$6:$AD$505,"&gt;"&amp;$A53,実績!$AE$6:$AE$505,"○")&gt;0,1,0))</f>
        <v/>
      </c>
      <c r="BA53">
        <f>IF(BA$4=0,0,IF(COUNTIFS(実績!$W$6:$W$505,BA$3,実績!$AC$6:$AC$505,"&lt;="&amp;$A53,実績!$AD$6:$AD$505,"&gt;"&amp;$A53,実績!$AE$6:$AE$505,"○")&gt;0,1,0))</f>
        <v/>
      </c>
      <c r="BB53">
        <f>IF(BB$4=0,0,IF(COUNTIFS(実績!$W$6:$W$505,BB$3,実績!$AC$6:$AC$505,"&lt;="&amp;$A53,実績!$AD$6:$AD$505,"&gt;"&amp;$A53,実績!$AE$6:$AE$505,"○")&gt;0,1,0))</f>
        <v/>
      </c>
      <c r="BC53">
        <f>IF(BC$4=0,0,IF(COUNTIFS(実績!$W$6:$W$505,BC$3,実績!$AC$6:$AC$505,"&lt;="&amp;$A53,実績!$AD$6:$AD$505,"&gt;"&amp;$A53,実績!$AE$6:$AE$505,"○")&gt;0,1,0))</f>
        <v/>
      </c>
      <c r="BD53">
        <f>IF(BD$4=0,0,IF(COUNTIFS(実績!$W$6:$W$505,BD$3,実績!$AC$6:$AC$505,"&lt;="&amp;$A53,実績!$AD$6:$AD$505,"&gt;"&amp;$A53,実績!$AE$6:$AE$505,"○")&gt;0,1,0))</f>
        <v/>
      </c>
      <c r="BE53">
        <f>IF(BE$4=0,0,IF(COUNTIFS(実績!$W$6:$W$505,BE$3,実績!$AC$6:$AC$505,"&lt;="&amp;$A53,実績!$AD$6:$AD$505,"&gt;"&amp;$A53,実績!$AE$6:$AE$505,"○")&gt;0,1,0))</f>
        <v/>
      </c>
      <c r="BF53">
        <f>IF(BF$4=0,0,IF(COUNTIFS(実績!$W$6:$W$505,BF$3,実績!$AC$6:$AC$505,"&lt;="&amp;$A53,実績!$AD$6:$AD$505,"&gt;"&amp;$A53,実績!$AE$6:$AE$505,"○")&gt;0,1,0))</f>
        <v/>
      </c>
      <c r="BG53">
        <f>IF(BG$4=0,0,IF(COUNTIFS(実績!$W$6:$W$505,BG$3,実績!$AC$6:$AC$505,"&lt;="&amp;$A53,実績!$AD$6:$AD$505,"&gt;"&amp;$A53,実績!$AE$6:$AE$505,"○")&gt;0,1,0))</f>
        <v/>
      </c>
      <c r="BH53">
        <f>IF(BH$4=0,0,IF(COUNTIFS(実績!$W$6:$W$505,BH$3,実績!$AC$6:$AC$505,"&lt;="&amp;$A53,実績!$AD$6:$AD$505,"&gt;"&amp;$A53,実績!$AE$6:$AE$505,"○")&gt;0,1,0))</f>
        <v/>
      </c>
      <c r="BI53">
        <f>IF(BI$4=0,0,IF(COUNTIFS(実績!$W$6:$W$505,BI$3,実績!$AC$6:$AC$505,"&lt;="&amp;$A53,実績!$AD$6:$AD$505,"&gt;"&amp;$A53,実績!$AE$6:$AE$505,"○")&gt;0,1,0))</f>
        <v/>
      </c>
      <c r="BJ53">
        <f>IF(BJ$4=0,0,IF(COUNTIFS(実績!$W$6:$W$505,BJ$3,実績!$AC$6:$AC$505,"&lt;="&amp;$A53,実績!$AD$6:$AD$505,"&gt;"&amp;$A53,実績!$AE$6:$AE$505,"○")&gt;0,1,0))</f>
        <v/>
      </c>
      <c r="BK53">
        <f>IF(BK$4=0,0,IF(COUNTIFS(実績!$W$6:$W$505,BK$3,実績!$AC$6:$AC$505,"&lt;="&amp;$A53,実績!$AD$6:$AD$505,"&gt;"&amp;$A53,実績!$AE$6:$AE$505,"○")&gt;0,1,0))</f>
        <v/>
      </c>
      <c r="BL53">
        <f>IF(BL$4=0,0,IF(COUNTIFS(実績!$W$6:$W$505,BL$3,実績!$AC$6:$AC$505,"&lt;="&amp;$A53,実績!$AD$6:$AD$505,"&gt;"&amp;$A53,実績!$AE$6:$AE$505,"○")&gt;0,1,0))</f>
        <v/>
      </c>
      <c r="BM53">
        <f>IF(BM$4=0,0,IF(COUNTIFS(実績!$W$6:$W$505,BM$3,実績!$AC$6:$AC$505,"&lt;="&amp;$A53,実績!$AD$6:$AD$505,"&gt;"&amp;$A53,実績!$AE$6:$AE$505,"○")&gt;0,1,0))</f>
        <v/>
      </c>
      <c r="BN53">
        <f>IF(BN$4=0,0,IF(COUNTIFS(実績!$W$6:$W$505,BN$3,実績!$AC$6:$AC$505,"&lt;="&amp;$A53,実績!$AD$6:$AD$505,"&gt;"&amp;$A53,実績!$AE$6:$AE$505,"○")&gt;0,1,0))</f>
        <v/>
      </c>
      <c r="BO53">
        <f>IF(BO$4=0,0,IF(COUNTIFS(実績!$W$6:$W$505,BO$3,実績!$AC$6:$AC$505,"&lt;="&amp;$A53,実績!$AD$6:$AD$505,"&gt;"&amp;$A53,実績!$AE$6:$AE$505,"○")&gt;0,1,0))</f>
        <v/>
      </c>
      <c r="BP53">
        <f>IF(BP$4=0,0,IF(COUNTIFS(実績!$W$6:$W$505,BP$3,実績!$AC$6:$AC$505,"&lt;="&amp;$A53,実績!$AD$6:$AD$505,"&gt;"&amp;$A53,実績!$AE$6:$AE$505,"○")&gt;0,1,0))</f>
        <v/>
      </c>
      <c r="BQ53">
        <f>IF(BQ$4=0,0,IF(COUNTIFS(実績!$W$6:$W$505,BQ$3,実績!$AC$6:$AC$505,"&lt;="&amp;$A53,実績!$AD$6:$AD$505,"&gt;"&amp;$A53,実績!$AE$6:$AE$505,"○")&gt;0,1,0))</f>
        <v/>
      </c>
      <c r="BR53">
        <f>IF(BR$4=0,0,IF(COUNTIFS(実績!$W$6:$W$505,BR$3,実績!$AC$6:$AC$505,"&lt;="&amp;$A53,実績!$AD$6:$AD$505,"&gt;"&amp;$A53,実績!$AE$6:$AE$505,"○")&gt;0,1,0))</f>
        <v/>
      </c>
      <c r="BS53">
        <f>IF(BS$4=0,0,IF(COUNTIFS(実績!$W$6:$W$505,BS$3,実績!$AC$6:$AC$505,"&lt;="&amp;$A53,実績!$AD$6:$AD$505,"&gt;"&amp;$A53,実績!$AE$6:$AE$505,"○")&gt;0,1,0))</f>
        <v/>
      </c>
      <c r="BT53">
        <f>IF(BT$4=0,0,IF(COUNTIFS(実績!$W$6:$W$505,BT$3,実績!$AC$6:$AC$505,"&lt;="&amp;$A53,実績!$AD$6:$AD$505,"&gt;"&amp;$A53,実績!$AE$6:$AE$505,"○")&gt;0,1,0))</f>
        <v/>
      </c>
      <c r="BU53">
        <f>IF(BU$4=0,0,IF(COUNTIFS(実績!$W$6:$W$505,BU$3,実績!$AC$6:$AC$505,"&lt;="&amp;$A53,実績!$AD$6:$AD$505,"&gt;"&amp;$A53,実績!$AE$6:$AE$505,"○")&gt;0,1,0))</f>
        <v/>
      </c>
      <c r="BV53">
        <f>IF(BV$4=0,0,IF(COUNTIFS(実績!$W$6:$W$505,BV$3,実績!$AC$6:$AC$505,"&lt;="&amp;$A53,実績!$AD$6:$AD$505,"&gt;"&amp;$A53,実績!$AE$6:$AE$505,"○")&gt;0,1,0))</f>
        <v/>
      </c>
      <c r="BW53">
        <f>IF(BW$4=0,0,IF(COUNTIFS(実績!$W$6:$W$505,BW$3,実績!$AC$6:$AC$505,"&lt;="&amp;$A53,実績!$AD$6:$AD$505,"&gt;"&amp;$A53,実績!$AE$6:$AE$505,"○")&gt;0,1,0))</f>
        <v/>
      </c>
      <c r="BX53">
        <f>IF(BX$4=0,0,IF(COUNTIFS(実績!$W$6:$W$505,BX$3,実績!$AC$6:$AC$505,"&lt;="&amp;$A53,実績!$AD$6:$AD$505,"&gt;"&amp;$A53,実績!$AE$6:$AE$505,"○")&gt;0,1,0))</f>
        <v/>
      </c>
      <c r="BY53">
        <f>IF(BY$4=0,0,IF(COUNTIFS(実績!$W$6:$W$505,BY$3,実績!$AC$6:$AC$505,"&lt;="&amp;$A53,実績!$AD$6:$AD$505,"&gt;"&amp;$A53,実績!$AE$6:$AE$505,"○")&gt;0,1,0))</f>
        <v/>
      </c>
      <c r="BZ53">
        <f>IF(BZ$4=0,0,IF(COUNTIFS(実績!$W$6:$W$505,BZ$3,実績!$AC$6:$AC$505,"&lt;="&amp;$A53,実績!$AD$6:$AD$505,"&gt;"&amp;$A53,実績!$AE$6:$AE$505,"○")&gt;0,1,0))</f>
        <v/>
      </c>
      <c r="CA53">
        <f>IF(CA$4=0,0,IF(COUNTIFS(実績!$W$6:$W$505,CA$3,実績!$AC$6:$AC$505,"&lt;="&amp;$A53,実績!$AD$6:$AD$505,"&gt;"&amp;$A53,実績!$AE$6:$AE$505,"○")&gt;0,1,0))</f>
        <v/>
      </c>
      <c r="CB53">
        <f>IF(CB$4=0,0,IF(COUNTIFS(実績!$W$6:$W$505,CB$3,実績!$AC$6:$AC$505,"&lt;="&amp;$A53,実績!$AD$6:$AD$505,"&gt;"&amp;$A53,実績!$AE$6:$AE$505,"○")&gt;0,1,0))</f>
        <v/>
      </c>
      <c r="CC53">
        <f>IF(CC$4=0,0,IF(COUNTIFS(実績!$W$6:$W$505,CC$3,実績!$AC$6:$AC$505,"&lt;="&amp;$A53,実績!$AD$6:$AD$505,"&gt;"&amp;$A53,実績!$AE$6:$AE$505,"○")&gt;0,1,0))</f>
        <v/>
      </c>
      <c r="CD53">
        <f>IF(CD$4=0,0,IF(COUNTIFS(実績!$W$6:$W$505,CD$3,実績!$AC$6:$AC$505,"&lt;="&amp;$A53,実績!$AD$6:$AD$505,"&gt;"&amp;$A53,実績!$AE$6:$AE$505,"○")&gt;0,1,0))</f>
        <v/>
      </c>
      <c r="CE53">
        <f>IF(CE$4=0,0,IF(COUNTIFS(実績!$W$6:$W$505,CE$3,実績!$AC$6:$AC$505,"&lt;="&amp;$A53,実績!$AD$6:$AD$505,"&gt;"&amp;$A53,実績!$AE$6:$AE$505,"○")&gt;0,1,0))</f>
        <v/>
      </c>
      <c r="CF53">
        <f>IF(CF$4=0,0,IF(COUNTIFS(実績!$W$6:$W$505,CF$3,実績!$AC$6:$AC$505,"&lt;="&amp;$A53,実績!$AD$6:$AD$505,"&gt;"&amp;$A53,実績!$AE$6:$AE$505,"○")&gt;0,1,0))</f>
        <v/>
      </c>
      <c r="CG53">
        <f>IF(CG$4=0,0,IF(COUNTIFS(実績!$W$6:$W$505,CG$3,実績!$AC$6:$AC$505,"&lt;="&amp;$A53,実績!$AD$6:$AD$505,"&gt;"&amp;$A53,実績!$AE$6:$AE$505,"○")&gt;0,1,0))</f>
        <v/>
      </c>
      <c r="CH53">
        <f>IF(CH$4=0,0,IF(COUNTIFS(実績!$W$6:$W$505,CH$3,実績!$AC$6:$AC$505,"&lt;="&amp;$A53,実績!$AD$6:$AD$505,"&gt;"&amp;$A53,実績!$AE$6:$AE$505,"○")&gt;0,1,0))</f>
        <v/>
      </c>
      <c r="CI53">
        <f>IF(CI$4=0,0,IF(COUNTIFS(実績!$W$6:$W$505,CI$3,実績!$AC$6:$AC$505,"&lt;="&amp;$A53,実績!$AD$6:$AD$505,"&gt;"&amp;$A53,実績!$AE$6:$AE$505,"○")&gt;0,1,0))</f>
        <v/>
      </c>
      <c r="CJ53">
        <f>IF(CJ$4=0,0,IF(COUNTIFS(実績!$W$6:$W$505,CJ$3,実績!$AC$6:$AC$505,"&lt;="&amp;$A53,実績!$AD$6:$AD$505,"&gt;"&amp;$A53,実績!$AE$6:$AE$505,"○")&gt;0,1,0))</f>
        <v/>
      </c>
      <c r="CK53">
        <f>IF(CK$4=0,0,IF(COUNTIFS(実績!$W$6:$W$505,CK$3,実績!$AC$6:$AC$505,"&lt;="&amp;$A53,実績!$AD$6:$AD$505,"&gt;"&amp;$A53,実績!$AE$6:$AE$505,"○")&gt;0,1,0))</f>
        <v/>
      </c>
      <c r="CL53">
        <f>IF(CL$4=0,0,IF(COUNTIFS(実績!$W$6:$W$505,CL$3,実績!$AC$6:$AC$505,"&lt;="&amp;$A53,実績!$AD$6:$AD$505,"&gt;"&amp;$A53,実績!$AE$6:$AE$505,"○")&gt;0,1,0))</f>
        <v/>
      </c>
      <c r="CM53">
        <f>IF(CM$4=0,0,IF(COUNTIFS(実績!$W$6:$W$505,CM$3,実績!$AC$6:$AC$505,"&lt;="&amp;$A53,実績!$AD$6:$AD$505,"&gt;"&amp;$A53,実績!$AE$6:$AE$505,"○")&gt;0,1,0))</f>
        <v/>
      </c>
      <c r="CN53">
        <f>IF(CN$4=0,0,IF(COUNTIFS(実績!$W$6:$W$505,CN$3,実績!$AC$6:$AC$505,"&lt;="&amp;$A53,実績!$AD$6:$AD$505,"&gt;"&amp;$A53,実績!$AE$6:$AE$505,"○")&gt;0,1,0))</f>
        <v/>
      </c>
      <c r="CO53">
        <f>IF(CO$4=0,0,IF(COUNTIFS(実績!$W$6:$W$505,CO$3,実績!$AC$6:$AC$505,"&lt;="&amp;$A53,実績!$AD$6:$AD$505,"&gt;"&amp;$A53,実績!$AE$6:$AE$505,"○")&gt;0,1,0))</f>
        <v/>
      </c>
      <c r="CP53">
        <f>IF(CP$4=0,0,IF(COUNTIFS(実績!$W$6:$W$505,CP$3,実績!$AC$6:$AC$505,"&lt;="&amp;$A53,実績!$AD$6:$AD$505,"&gt;"&amp;$A53,実績!$AE$6:$AE$505,"○")&gt;0,1,0))</f>
        <v/>
      </c>
      <c r="CQ53">
        <f>IF(CQ$4=0,0,IF(COUNTIFS(実績!$W$6:$W$505,CQ$3,実績!$AC$6:$AC$505,"&lt;="&amp;$A53,実績!$AD$6:$AD$505,"&gt;"&amp;$A53,実績!$AE$6:$AE$505,"○")&gt;0,1,0))</f>
        <v/>
      </c>
      <c r="CR53">
        <f>IF(CR$4=0,0,IF(COUNTIFS(実績!$W$6:$W$505,CR$3,実績!$AC$6:$AC$505,"&lt;="&amp;$A53,実績!$AD$6:$AD$505,"&gt;"&amp;$A53,実績!$AE$6:$AE$505,"○")&gt;0,1,0))</f>
        <v/>
      </c>
      <c r="CS53">
        <f>IF(CS$4=0,0,IF(COUNTIFS(実績!$W$6:$W$505,CS$3,実績!$AC$6:$AC$505,"&lt;="&amp;$A53,実績!$AD$6:$AD$505,"&gt;"&amp;$A53,実績!$AE$6:$AE$505,"○")&gt;0,1,0))</f>
        <v/>
      </c>
      <c r="CT53">
        <f>IF(CT$4=0,0,IF(COUNTIFS(実績!$W$6:$W$505,CT$3,実績!$AC$6:$AC$505,"&lt;="&amp;$A53,実績!$AD$6:$AD$505,"&gt;"&amp;$A53,実績!$AE$6:$AE$505,"○")&gt;0,1,0))</f>
        <v/>
      </c>
      <c r="CU53">
        <f>IF(CU$4=0,0,IF(COUNTIFS(実績!$W$6:$W$505,CU$3,実績!$AC$6:$AC$505,"&lt;="&amp;$A53,実績!$AD$6:$AD$505,"&gt;"&amp;$A53,実績!$AE$6:$AE$505,"○")&gt;0,1,0))</f>
        <v/>
      </c>
      <c r="CV53">
        <f>IF(CV$4=0,0,IF(COUNTIFS(実績!$W$6:$W$505,CV$3,実績!$AC$6:$AC$505,"&lt;="&amp;$A53,実績!$AD$6:$AD$505,"&gt;"&amp;$A53,実績!$AE$6:$AE$505,"○")&gt;0,1,0))</f>
        <v/>
      </c>
      <c r="CW53">
        <f>IF(CW$4=0,0,IF(COUNTIFS(実績!$W$6:$W$505,CW$3,実績!$AC$6:$AC$505,"&lt;="&amp;$A53,実績!$AD$6:$AD$505,"&gt;"&amp;$A53,実績!$AE$6:$AE$505,"○")&gt;0,1,0))</f>
        <v/>
      </c>
      <c r="CX53">
        <f>IF(CX$4=0,0,IF(COUNTIFS(実績!$W$6:$W$505,CX$3,実績!$AC$6:$AC$505,"&lt;="&amp;$A53,実績!$AD$6:$AD$505,"&gt;"&amp;$A53,実績!$AE$6:$AE$505,"○")&gt;0,1,0))</f>
        <v/>
      </c>
      <c r="CY53">
        <f>IF(CY$4=0,0,IF(COUNTIFS(実績!$W$6:$W$505,CY$3,実績!$AC$6:$AC$505,"&lt;="&amp;$A53,実績!$AD$6:$AD$505,"&gt;"&amp;$A53,実績!$AE$6:$AE$505,"○")&gt;0,1,0))</f>
        <v/>
      </c>
      <c r="CZ53">
        <f>IF(CZ$4=0,0,IF(COUNTIFS(実績!$W$6:$W$505,CZ$3,実績!$AC$6:$AC$505,"&lt;="&amp;$A53,実績!$AD$6:$AD$505,"&gt;"&amp;$A53,実績!$AE$6:$AE$505,"○")&gt;0,1,0))</f>
        <v/>
      </c>
      <c r="DA53">
        <f>IF(DA$4=0,0,IF(COUNTIFS(実績!$W$6:$W$505,DA$3,実績!$AC$6:$AC$505,"&lt;="&amp;$A53,実績!$AD$6:$AD$505,"&gt;"&amp;$A53,実績!$AE$6:$AE$505,"○")&gt;0,1,0))</f>
        <v/>
      </c>
      <c r="DB53">
        <f>IF(DB$4=0,0,IF(COUNTIFS(実績!$W$6:$W$505,DB$3,実績!$AC$6:$AC$505,"&lt;="&amp;$A53,実績!$AD$6:$AD$505,"&gt;"&amp;$A53,実績!$AE$6:$AE$505,"○")&gt;0,1,0))</f>
        <v/>
      </c>
      <c r="DC53">
        <f>IF(DC$4=0,0,IF(COUNTIFS(実績!$W$6:$W$505,DC$3,実績!$AC$6:$AC$505,"&lt;="&amp;$A53,実績!$AD$6:$AD$505,"&gt;"&amp;$A53,実績!$AE$6:$AE$505,"○")&gt;0,1,0))</f>
        <v/>
      </c>
      <c r="DD53">
        <f>IF(DD$4=0,0,IF(COUNTIFS(実績!$W$6:$W$505,DD$3,実績!$AC$6:$AC$505,"&lt;="&amp;$A53,実績!$AD$6:$AD$505,"&gt;"&amp;$A53,実績!$AE$6:$AE$505,"○")&gt;0,1,0))</f>
        <v/>
      </c>
      <c r="DE53">
        <f>IF(DE$4=0,0,IF(COUNTIFS(実績!$W$6:$W$505,DE$3,実績!$AC$6:$AC$505,"&lt;="&amp;$A53,実績!$AD$6:$AD$505,"&gt;"&amp;$A53,実績!$AE$6:$AE$505,"○")&gt;0,1,0))</f>
        <v/>
      </c>
      <c r="DF53">
        <f>IF(DF$4=0,0,IF(COUNTIFS(実績!$W$6:$W$505,DF$3,実績!$AC$6:$AC$505,"&lt;="&amp;$A53,実績!$AD$6:$AD$505,"&gt;"&amp;$A53,実績!$AE$6:$AE$505,"○")&gt;0,1,0))</f>
        <v/>
      </c>
      <c r="DG53">
        <f>IF(DG$4=0,0,IF(COUNTIFS(実績!$W$6:$W$505,DG$3,実績!$AC$6:$AC$505,"&lt;="&amp;$A53,実績!$AD$6:$AD$505,"&gt;"&amp;$A53,実績!$AE$6:$AE$505,"○")&gt;0,1,0))</f>
        <v/>
      </c>
      <c r="DH53">
        <f>IF(DH$4=0,0,IF(COUNTIFS(実績!$W$6:$W$505,DH$3,実績!$AC$6:$AC$505,"&lt;="&amp;$A53,実績!$AD$6:$AD$505,"&gt;"&amp;$A53,実績!$AE$6:$AE$505,"○")&gt;0,1,0))</f>
        <v/>
      </c>
      <c r="DI53">
        <f>IF(DI$4=0,0,IF(COUNTIFS(実績!$W$6:$W$505,DI$3,実績!$AC$6:$AC$505,"&lt;="&amp;$A53,実績!$AD$6:$AD$505,"&gt;"&amp;$A53,実績!$AE$6:$AE$505,"○")&gt;0,1,0))</f>
        <v/>
      </c>
      <c r="DJ53">
        <f>IF(DJ$4=0,0,IF(COUNTIFS(実績!$W$6:$W$505,DJ$3,実績!$AC$6:$AC$505,"&lt;="&amp;$A53,実績!$AD$6:$AD$505,"&gt;"&amp;$A53,実績!$AE$6:$AE$505,"○")&gt;0,1,0))</f>
        <v/>
      </c>
      <c r="DK53">
        <f>IF(DK$4=0,0,IF(COUNTIFS(実績!$W$6:$W$505,DK$3,実績!$AC$6:$AC$505,"&lt;="&amp;$A53,実績!$AD$6:$AD$505,"&gt;"&amp;$A53,実績!$AE$6:$AE$505,"○")&gt;0,1,0))</f>
        <v/>
      </c>
      <c r="DL53">
        <f>IF(DL$4=0,0,IF(COUNTIFS(実績!$W$6:$W$505,DL$3,実績!$AC$6:$AC$505,"&lt;="&amp;$A53,実績!$AD$6:$AD$505,"&gt;"&amp;$A53,実績!$AE$6:$AE$505,"○")&gt;0,1,0))</f>
        <v/>
      </c>
      <c r="DM53">
        <f>IF(DM$4=0,0,IF(COUNTIFS(実績!$W$6:$W$505,DM$3,実績!$AC$6:$AC$505,"&lt;="&amp;$A53,実績!$AD$6:$AD$505,"&gt;"&amp;$A53,実績!$AE$6:$AE$505,"○")&gt;0,1,0))</f>
        <v/>
      </c>
      <c r="DN53">
        <f>IF(DN$4=0,0,IF(COUNTIFS(実績!$W$6:$W$505,DN$3,実績!$AC$6:$AC$505,"&lt;="&amp;$A53,実績!$AD$6:$AD$505,"&gt;"&amp;$A53,実績!$AE$6:$AE$505,"○")&gt;0,1,0))</f>
        <v/>
      </c>
      <c r="DO53">
        <f>IF(DO$4=0,0,IF(COUNTIFS(実績!$W$6:$W$505,DO$3,実績!$AC$6:$AC$505,"&lt;="&amp;$A53,実績!$AD$6:$AD$505,"&gt;"&amp;$A53,実績!$AE$6:$AE$505,"○")&gt;0,1,0))</f>
        <v/>
      </c>
      <c r="DP53">
        <f>IF(DP$4=0,0,IF(COUNTIFS(実績!$W$6:$W$505,DP$3,実績!$AC$6:$AC$505,"&lt;="&amp;$A53,実績!$AD$6:$AD$505,"&gt;"&amp;$A53,実績!$AE$6:$AE$505,"○")&gt;0,1,0))</f>
        <v/>
      </c>
      <c r="DQ53">
        <f>IF(DQ$4=0,0,IF(COUNTIFS(実績!$W$6:$W$505,DQ$3,実績!$AC$6:$AC$505,"&lt;="&amp;$A53,実績!$AD$6:$AD$505,"&gt;"&amp;$A53,実績!$AE$6:$AE$505,"○")&gt;0,1,0))</f>
        <v/>
      </c>
      <c r="DR53">
        <f>IF(DR$4=0,0,IF(COUNTIFS(実績!$W$6:$W$505,DR$3,実績!$AC$6:$AC$505,"&lt;="&amp;$A53,実績!$AD$6:$AD$505,"&gt;"&amp;$A53,実績!$AE$6:$AE$505,"○")&gt;0,1,0))</f>
        <v/>
      </c>
      <c r="DS53">
        <f>SUM(C53:DR53)</f>
        <v/>
      </c>
      <c r="DT53">
        <f>SUMPRODUCT((実績!$C$6:$C$505="○")*ISNUMBER(実績!$AF$6:$AF$505)*(実績!$AF$6:$AF$505&lt;=$A53)*(実績!$AG$6:$AG$505&gt;$A53))</f>
        <v/>
      </c>
      <c r="DU53">
        <f>SUMIF($C$2:$DR$2,"製鉄曳船",C53:DR53)</f>
        <v/>
      </c>
      <c r="DV53">
        <f>SUMIF($C$2:$DR$2,"西日本海運",C53:DR53)</f>
        <v/>
      </c>
    </row>
    <row r="54">
      <c r="A54" t="n">
        <v>240</v>
      </c>
      <c r="B54" s="29">
        <f>A54/1440</f>
        <v/>
      </c>
      <c r="C54">
        <f>IF(C$4=0,0,IF(COUNTIFS(実績!$W$6:$W$505,C$3,実績!$AC$6:$AC$505,"&lt;="&amp;$A54,実績!$AD$6:$AD$505,"&gt;"&amp;$A54,実績!$AE$6:$AE$505,"○")&gt;0,1,0))</f>
        <v/>
      </c>
      <c r="D54">
        <f>IF(D$4=0,0,IF(COUNTIFS(実績!$W$6:$W$505,D$3,実績!$AC$6:$AC$505,"&lt;="&amp;$A54,実績!$AD$6:$AD$505,"&gt;"&amp;$A54,実績!$AE$6:$AE$505,"○")&gt;0,1,0))</f>
        <v/>
      </c>
      <c r="E54">
        <f>IF(E$4=0,0,IF(COUNTIFS(実績!$W$6:$W$505,E$3,実績!$AC$6:$AC$505,"&lt;="&amp;$A54,実績!$AD$6:$AD$505,"&gt;"&amp;$A54,実績!$AE$6:$AE$505,"○")&gt;0,1,0))</f>
        <v/>
      </c>
      <c r="F54">
        <f>IF(F$4=0,0,IF(COUNTIFS(実績!$W$6:$W$505,F$3,実績!$AC$6:$AC$505,"&lt;="&amp;$A54,実績!$AD$6:$AD$505,"&gt;"&amp;$A54,実績!$AE$6:$AE$505,"○")&gt;0,1,0))</f>
        <v/>
      </c>
      <c r="G54">
        <f>IF(G$4=0,0,IF(COUNTIFS(実績!$W$6:$W$505,G$3,実績!$AC$6:$AC$505,"&lt;="&amp;$A54,実績!$AD$6:$AD$505,"&gt;"&amp;$A54,実績!$AE$6:$AE$505,"○")&gt;0,1,0))</f>
        <v/>
      </c>
      <c r="H54">
        <f>IF(H$4=0,0,IF(COUNTIFS(実績!$W$6:$W$505,H$3,実績!$AC$6:$AC$505,"&lt;="&amp;$A54,実績!$AD$6:$AD$505,"&gt;"&amp;$A54,実績!$AE$6:$AE$505,"○")&gt;0,1,0))</f>
        <v/>
      </c>
      <c r="I54">
        <f>IF(I$4=0,0,IF(COUNTIFS(実績!$W$6:$W$505,I$3,実績!$AC$6:$AC$505,"&lt;="&amp;$A54,実績!$AD$6:$AD$505,"&gt;"&amp;$A54,実績!$AE$6:$AE$505,"○")&gt;0,1,0))</f>
        <v/>
      </c>
      <c r="J54">
        <f>IF(J$4=0,0,IF(COUNTIFS(実績!$W$6:$W$505,J$3,実績!$AC$6:$AC$505,"&lt;="&amp;$A54,実績!$AD$6:$AD$505,"&gt;"&amp;$A54,実績!$AE$6:$AE$505,"○")&gt;0,1,0))</f>
        <v/>
      </c>
      <c r="K54">
        <f>IF(K$4=0,0,IF(COUNTIFS(実績!$W$6:$W$505,K$3,実績!$AC$6:$AC$505,"&lt;="&amp;$A54,実績!$AD$6:$AD$505,"&gt;"&amp;$A54,実績!$AE$6:$AE$505,"○")&gt;0,1,0))</f>
        <v/>
      </c>
      <c r="L54">
        <f>IF(L$4=0,0,IF(COUNTIFS(実績!$W$6:$W$505,L$3,実績!$AC$6:$AC$505,"&lt;="&amp;$A54,実績!$AD$6:$AD$505,"&gt;"&amp;$A54,実績!$AE$6:$AE$505,"○")&gt;0,1,0))</f>
        <v/>
      </c>
      <c r="M54">
        <f>IF(M$4=0,0,IF(COUNTIFS(実績!$W$6:$W$505,M$3,実績!$AC$6:$AC$505,"&lt;="&amp;$A54,実績!$AD$6:$AD$505,"&gt;"&amp;$A54,実績!$AE$6:$AE$505,"○")&gt;0,1,0))</f>
        <v/>
      </c>
      <c r="N54">
        <f>IF(N$4=0,0,IF(COUNTIFS(実績!$W$6:$W$505,N$3,実績!$AC$6:$AC$505,"&lt;="&amp;$A54,実績!$AD$6:$AD$505,"&gt;"&amp;$A54,実績!$AE$6:$AE$505,"○")&gt;0,1,0))</f>
        <v/>
      </c>
      <c r="O54">
        <f>IF(O$4=0,0,IF(COUNTIFS(実績!$W$6:$W$505,O$3,実績!$AC$6:$AC$505,"&lt;="&amp;$A54,実績!$AD$6:$AD$505,"&gt;"&amp;$A54,実績!$AE$6:$AE$505,"○")&gt;0,1,0))</f>
        <v/>
      </c>
      <c r="P54">
        <f>IF(P$4=0,0,IF(COUNTIFS(実績!$W$6:$W$505,P$3,実績!$AC$6:$AC$505,"&lt;="&amp;$A54,実績!$AD$6:$AD$505,"&gt;"&amp;$A54,実績!$AE$6:$AE$505,"○")&gt;0,1,0))</f>
        <v/>
      </c>
      <c r="Q54">
        <f>IF(Q$4=0,0,IF(COUNTIFS(実績!$W$6:$W$505,Q$3,実績!$AC$6:$AC$505,"&lt;="&amp;$A54,実績!$AD$6:$AD$505,"&gt;"&amp;$A54,実績!$AE$6:$AE$505,"○")&gt;0,1,0))</f>
        <v/>
      </c>
      <c r="R54">
        <f>IF(R$4=0,0,IF(COUNTIFS(実績!$W$6:$W$505,R$3,実績!$AC$6:$AC$505,"&lt;="&amp;$A54,実績!$AD$6:$AD$505,"&gt;"&amp;$A54,実績!$AE$6:$AE$505,"○")&gt;0,1,0))</f>
        <v/>
      </c>
      <c r="S54">
        <f>IF(S$4=0,0,IF(COUNTIFS(実績!$W$6:$W$505,S$3,実績!$AC$6:$AC$505,"&lt;="&amp;$A54,実績!$AD$6:$AD$505,"&gt;"&amp;$A54,実績!$AE$6:$AE$505,"○")&gt;0,1,0))</f>
        <v/>
      </c>
      <c r="T54">
        <f>IF(T$4=0,0,IF(COUNTIFS(実績!$W$6:$W$505,T$3,実績!$AC$6:$AC$505,"&lt;="&amp;$A54,実績!$AD$6:$AD$505,"&gt;"&amp;$A54,実績!$AE$6:$AE$505,"○")&gt;0,1,0))</f>
        <v/>
      </c>
      <c r="U54">
        <f>IF(U$4=0,0,IF(COUNTIFS(実績!$W$6:$W$505,U$3,実績!$AC$6:$AC$505,"&lt;="&amp;$A54,実績!$AD$6:$AD$505,"&gt;"&amp;$A54,実績!$AE$6:$AE$505,"○")&gt;0,1,0))</f>
        <v/>
      </c>
      <c r="V54">
        <f>IF(V$4=0,0,IF(COUNTIFS(実績!$W$6:$W$505,V$3,実績!$AC$6:$AC$505,"&lt;="&amp;$A54,実績!$AD$6:$AD$505,"&gt;"&amp;$A54,実績!$AE$6:$AE$505,"○")&gt;0,1,0))</f>
        <v/>
      </c>
      <c r="W54">
        <f>IF(W$4=0,0,IF(COUNTIFS(実績!$W$6:$W$505,W$3,実績!$AC$6:$AC$505,"&lt;="&amp;$A54,実績!$AD$6:$AD$505,"&gt;"&amp;$A54,実績!$AE$6:$AE$505,"○")&gt;0,1,0))</f>
        <v/>
      </c>
      <c r="X54">
        <f>IF(X$4=0,0,IF(COUNTIFS(実績!$W$6:$W$505,X$3,実績!$AC$6:$AC$505,"&lt;="&amp;$A54,実績!$AD$6:$AD$505,"&gt;"&amp;$A54,実績!$AE$6:$AE$505,"○")&gt;0,1,0))</f>
        <v/>
      </c>
      <c r="Y54">
        <f>IF(Y$4=0,0,IF(COUNTIFS(実績!$W$6:$W$505,Y$3,実績!$AC$6:$AC$505,"&lt;="&amp;$A54,実績!$AD$6:$AD$505,"&gt;"&amp;$A54,実績!$AE$6:$AE$505,"○")&gt;0,1,0))</f>
        <v/>
      </c>
      <c r="Z54">
        <f>IF(Z$4=0,0,IF(COUNTIFS(実績!$W$6:$W$505,Z$3,実績!$AC$6:$AC$505,"&lt;="&amp;$A54,実績!$AD$6:$AD$505,"&gt;"&amp;$A54,実績!$AE$6:$AE$505,"○")&gt;0,1,0))</f>
        <v/>
      </c>
      <c r="AA54">
        <f>IF(AA$4=0,0,IF(COUNTIFS(実績!$W$6:$W$505,AA$3,実績!$AC$6:$AC$505,"&lt;="&amp;$A54,実績!$AD$6:$AD$505,"&gt;"&amp;$A54,実績!$AE$6:$AE$505,"○")&gt;0,1,0))</f>
        <v/>
      </c>
      <c r="AB54">
        <f>IF(AB$4=0,0,IF(COUNTIFS(実績!$W$6:$W$505,AB$3,実績!$AC$6:$AC$505,"&lt;="&amp;$A54,実績!$AD$6:$AD$505,"&gt;"&amp;$A54,実績!$AE$6:$AE$505,"○")&gt;0,1,0))</f>
        <v/>
      </c>
      <c r="AC54">
        <f>IF(AC$4=0,0,IF(COUNTIFS(実績!$W$6:$W$505,AC$3,実績!$AC$6:$AC$505,"&lt;="&amp;$A54,実績!$AD$6:$AD$505,"&gt;"&amp;$A54,実績!$AE$6:$AE$505,"○")&gt;0,1,0))</f>
        <v/>
      </c>
      <c r="AD54">
        <f>IF(AD$4=0,0,IF(COUNTIFS(実績!$W$6:$W$505,AD$3,実績!$AC$6:$AC$505,"&lt;="&amp;$A54,実績!$AD$6:$AD$505,"&gt;"&amp;$A54,実績!$AE$6:$AE$505,"○")&gt;0,1,0))</f>
        <v/>
      </c>
      <c r="AE54">
        <f>IF(AE$4=0,0,IF(COUNTIFS(実績!$W$6:$W$505,AE$3,実績!$AC$6:$AC$505,"&lt;="&amp;$A54,実績!$AD$6:$AD$505,"&gt;"&amp;$A54,実績!$AE$6:$AE$505,"○")&gt;0,1,0))</f>
        <v/>
      </c>
      <c r="AF54">
        <f>IF(AF$4=0,0,IF(COUNTIFS(実績!$W$6:$W$505,AF$3,実績!$AC$6:$AC$505,"&lt;="&amp;$A54,実績!$AD$6:$AD$505,"&gt;"&amp;$A54,実績!$AE$6:$AE$505,"○")&gt;0,1,0))</f>
        <v/>
      </c>
      <c r="AG54">
        <f>IF(AG$4=0,0,IF(COUNTIFS(実績!$W$6:$W$505,AG$3,実績!$AC$6:$AC$505,"&lt;="&amp;$A54,実績!$AD$6:$AD$505,"&gt;"&amp;$A54,実績!$AE$6:$AE$505,"○")&gt;0,1,0))</f>
        <v/>
      </c>
      <c r="AH54">
        <f>IF(AH$4=0,0,IF(COUNTIFS(実績!$W$6:$W$505,AH$3,実績!$AC$6:$AC$505,"&lt;="&amp;$A54,実績!$AD$6:$AD$505,"&gt;"&amp;$A54,実績!$AE$6:$AE$505,"○")&gt;0,1,0))</f>
        <v/>
      </c>
      <c r="AI54">
        <f>IF(AI$4=0,0,IF(COUNTIFS(実績!$W$6:$W$505,AI$3,実績!$AC$6:$AC$505,"&lt;="&amp;$A54,実績!$AD$6:$AD$505,"&gt;"&amp;$A54,実績!$AE$6:$AE$505,"○")&gt;0,1,0))</f>
        <v/>
      </c>
      <c r="AJ54">
        <f>IF(AJ$4=0,0,IF(COUNTIFS(実績!$W$6:$W$505,AJ$3,実績!$AC$6:$AC$505,"&lt;="&amp;$A54,実績!$AD$6:$AD$505,"&gt;"&amp;$A54,実績!$AE$6:$AE$505,"○")&gt;0,1,0))</f>
        <v/>
      </c>
      <c r="AK54">
        <f>IF(AK$4=0,0,IF(COUNTIFS(実績!$W$6:$W$505,AK$3,実績!$AC$6:$AC$505,"&lt;="&amp;$A54,実績!$AD$6:$AD$505,"&gt;"&amp;$A54,実績!$AE$6:$AE$505,"○")&gt;0,1,0))</f>
        <v/>
      </c>
      <c r="AL54">
        <f>IF(AL$4=0,0,IF(COUNTIFS(実績!$W$6:$W$505,AL$3,実績!$AC$6:$AC$505,"&lt;="&amp;$A54,実績!$AD$6:$AD$505,"&gt;"&amp;$A54,実績!$AE$6:$AE$505,"○")&gt;0,1,0))</f>
        <v/>
      </c>
      <c r="AM54">
        <f>IF(AM$4=0,0,IF(COUNTIFS(実績!$W$6:$W$505,AM$3,実績!$AC$6:$AC$505,"&lt;="&amp;$A54,実績!$AD$6:$AD$505,"&gt;"&amp;$A54,実績!$AE$6:$AE$505,"○")&gt;0,1,0))</f>
        <v/>
      </c>
      <c r="AN54">
        <f>IF(AN$4=0,0,IF(COUNTIFS(実績!$W$6:$W$505,AN$3,実績!$AC$6:$AC$505,"&lt;="&amp;$A54,実績!$AD$6:$AD$505,"&gt;"&amp;$A54,実績!$AE$6:$AE$505,"○")&gt;0,1,0))</f>
        <v/>
      </c>
      <c r="AO54">
        <f>IF(AO$4=0,0,IF(COUNTIFS(実績!$W$6:$W$505,AO$3,実績!$AC$6:$AC$505,"&lt;="&amp;$A54,実績!$AD$6:$AD$505,"&gt;"&amp;$A54,実績!$AE$6:$AE$505,"○")&gt;0,1,0))</f>
        <v/>
      </c>
      <c r="AP54">
        <f>IF(AP$4=0,0,IF(COUNTIFS(実績!$W$6:$W$505,AP$3,実績!$AC$6:$AC$505,"&lt;="&amp;$A54,実績!$AD$6:$AD$505,"&gt;"&amp;$A54,実績!$AE$6:$AE$505,"○")&gt;0,1,0))</f>
        <v/>
      </c>
      <c r="AQ54">
        <f>IF(AQ$4=0,0,IF(COUNTIFS(実績!$W$6:$W$505,AQ$3,実績!$AC$6:$AC$505,"&lt;="&amp;$A54,実績!$AD$6:$AD$505,"&gt;"&amp;$A54,実績!$AE$6:$AE$505,"○")&gt;0,1,0))</f>
        <v/>
      </c>
      <c r="AR54">
        <f>IF(AR$4=0,0,IF(COUNTIFS(実績!$W$6:$W$505,AR$3,実績!$AC$6:$AC$505,"&lt;="&amp;$A54,実績!$AD$6:$AD$505,"&gt;"&amp;$A54,実績!$AE$6:$AE$505,"○")&gt;0,1,0))</f>
        <v/>
      </c>
      <c r="AS54">
        <f>IF(AS$4=0,0,IF(COUNTIFS(実績!$W$6:$W$505,AS$3,実績!$AC$6:$AC$505,"&lt;="&amp;$A54,実績!$AD$6:$AD$505,"&gt;"&amp;$A54,実績!$AE$6:$AE$505,"○")&gt;0,1,0))</f>
        <v/>
      </c>
      <c r="AT54">
        <f>IF(AT$4=0,0,IF(COUNTIFS(実績!$W$6:$W$505,AT$3,実績!$AC$6:$AC$505,"&lt;="&amp;$A54,実績!$AD$6:$AD$505,"&gt;"&amp;$A54,実績!$AE$6:$AE$505,"○")&gt;0,1,0))</f>
        <v/>
      </c>
      <c r="AU54">
        <f>IF(AU$4=0,0,IF(COUNTIFS(実績!$W$6:$W$505,AU$3,実績!$AC$6:$AC$505,"&lt;="&amp;$A54,実績!$AD$6:$AD$505,"&gt;"&amp;$A54,実績!$AE$6:$AE$505,"○")&gt;0,1,0))</f>
        <v/>
      </c>
      <c r="AV54">
        <f>IF(AV$4=0,0,IF(COUNTIFS(実績!$W$6:$W$505,AV$3,実績!$AC$6:$AC$505,"&lt;="&amp;$A54,実績!$AD$6:$AD$505,"&gt;"&amp;$A54,実績!$AE$6:$AE$505,"○")&gt;0,1,0))</f>
        <v/>
      </c>
      <c r="AW54">
        <f>IF(AW$4=0,0,IF(COUNTIFS(実績!$W$6:$W$505,AW$3,実績!$AC$6:$AC$505,"&lt;="&amp;$A54,実績!$AD$6:$AD$505,"&gt;"&amp;$A54,実績!$AE$6:$AE$505,"○")&gt;0,1,0))</f>
        <v/>
      </c>
      <c r="AX54">
        <f>IF(AX$4=0,0,IF(COUNTIFS(実績!$W$6:$W$505,AX$3,実績!$AC$6:$AC$505,"&lt;="&amp;$A54,実績!$AD$6:$AD$505,"&gt;"&amp;$A54,実績!$AE$6:$AE$505,"○")&gt;0,1,0))</f>
        <v/>
      </c>
      <c r="AY54">
        <f>IF(AY$4=0,0,IF(COUNTIFS(実績!$W$6:$W$505,AY$3,実績!$AC$6:$AC$505,"&lt;="&amp;$A54,実績!$AD$6:$AD$505,"&gt;"&amp;$A54,実績!$AE$6:$AE$505,"○")&gt;0,1,0))</f>
        <v/>
      </c>
      <c r="AZ54">
        <f>IF(AZ$4=0,0,IF(COUNTIFS(実績!$W$6:$W$505,AZ$3,実績!$AC$6:$AC$505,"&lt;="&amp;$A54,実績!$AD$6:$AD$505,"&gt;"&amp;$A54,実績!$AE$6:$AE$505,"○")&gt;0,1,0))</f>
        <v/>
      </c>
      <c r="BA54">
        <f>IF(BA$4=0,0,IF(COUNTIFS(実績!$W$6:$W$505,BA$3,実績!$AC$6:$AC$505,"&lt;="&amp;$A54,実績!$AD$6:$AD$505,"&gt;"&amp;$A54,実績!$AE$6:$AE$505,"○")&gt;0,1,0))</f>
        <v/>
      </c>
      <c r="BB54">
        <f>IF(BB$4=0,0,IF(COUNTIFS(実績!$W$6:$W$505,BB$3,実績!$AC$6:$AC$505,"&lt;="&amp;$A54,実績!$AD$6:$AD$505,"&gt;"&amp;$A54,実績!$AE$6:$AE$505,"○")&gt;0,1,0))</f>
        <v/>
      </c>
      <c r="BC54">
        <f>IF(BC$4=0,0,IF(COUNTIFS(実績!$W$6:$W$505,BC$3,実績!$AC$6:$AC$505,"&lt;="&amp;$A54,実績!$AD$6:$AD$505,"&gt;"&amp;$A54,実績!$AE$6:$AE$505,"○")&gt;0,1,0))</f>
        <v/>
      </c>
      <c r="BD54">
        <f>IF(BD$4=0,0,IF(COUNTIFS(実績!$W$6:$W$505,BD$3,実績!$AC$6:$AC$505,"&lt;="&amp;$A54,実績!$AD$6:$AD$505,"&gt;"&amp;$A54,実績!$AE$6:$AE$505,"○")&gt;0,1,0))</f>
        <v/>
      </c>
      <c r="BE54">
        <f>IF(BE$4=0,0,IF(COUNTIFS(実績!$W$6:$W$505,BE$3,実績!$AC$6:$AC$505,"&lt;="&amp;$A54,実績!$AD$6:$AD$505,"&gt;"&amp;$A54,実績!$AE$6:$AE$505,"○")&gt;0,1,0))</f>
        <v/>
      </c>
      <c r="BF54">
        <f>IF(BF$4=0,0,IF(COUNTIFS(実績!$W$6:$W$505,BF$3,実績!$AC$6:$AC$505,"&lt;="&amp;$A54,実績!$AD$6:$AD$505,"&gt;"&amp;$A54,実績!$AE$6:$AE$505,"○")&gt;0,1,0))</f>
        <v/>
      </c>
      <c r="BG54">
        <f>IF(BG$4=0,0,IF(COUNTIFS(実績!$W$6:$W$505,BG$3,実績!$AC$6:$AC$505,"&lt;="&amp;$A54,実績!$AD$6:$AD$505,"&gt;"&amp;$A54,実績!$AE$6:$AE$505,"○")&gt;0,1,0))</f>
        <v/>
      </c>
      <c r="BH54">
        <f>IF(BH$4=0,0,IF(COUNTIFS(実績!$W$6:$W$505,BH$3,実績!$AC$6:$AC$505,"&lt;="&amp;$A54,実績!$AD$6:$AD$505,"&gt;"&amp;$A54,実績!$AE$6:$AE$505,"○")&gt;0,1,0))</f>
        <v/>
      </c>
      <c r="BI54">
        <f>IF(BI$4=0,0,IF(COUNTIFS(実績!$W$6:$W$505,BI$3,実績!$AC$6:$AC$505,"&lt;="&amp;$A54,実績!$AD$6:$AD$505,"&gt;"&amp;$A54,実績!$AE$6:$AE$505,"○")&gt;0,1,0))</f>
        <v/>
      </c>
      <c r="BJ54">
        <f>IF(BJ$4=0,0,IF(COUNTIFS(実績!$W$6:$W$505,BJ$3,実績!$AC$6:$AC$505,"&lt;="&amp;$A54,実績!$AD$6:$AD$505,"&gt;"&amp;$A54,実績!$AE$6:$AE$505,"○")&gt;0,1,0))</f>
        <v/>
      </c>
      <c r="BK54">
        <f>IF(BK$4=0,0,IF(COUNTIFS(実績!$W$6:$W$505,BK$3,実績!$AC$6:$AC$505,"&lt;="&amp;$A54,実績!$AD$6:$AD$505,"&gt;"&amp;$A54,実績!$AE$6:$AE$505,"○")&gt;0,1,0))</f>
        <v/>
      </c>
      <c r="BL54">
        <f>IF(BL$4=0,0,IF(COUNTIFS(実績!$W$6:$W$505,BL$3,実績!$AC$6:$AC$505,"&lt;="&amp;$A54,実績!$AD$6:$AD$505,"&gt;"&amp;$A54,実績!$AE$6:$AE$505,"○")&gt;0,1,0))</f>
        <v/>
      </c>
      <c r="BM54">
        <f>IF(BM$4=0,0,IF(COUNTIFS(実績!$W$6:$W$505,BM$3,実績!$AC$6:$AC$505,"&lt;="&amp;$A54,実績!$AD$6:$AD$505,"&gt;"&amp;$A54,実績!$AE$6:$AE$505,"○")&gt;0,1,0))</f>
        <v/>
      </c>
      <c r="BN54">
        <f>IF(BN$4=0,0,IF(COUNTIFS(実績!$W$6:$W$505,BN$3,実績!$AC$6:$AC$505,"&lt;="&amp;$A54,実績!$AD$6:$AD$505,"&gt;"&amp;$A54,実績!$AE$6:$AE$505,"○")&gt;0,1,0))</f>
        <v/>
      </c>
      <c r="BO54">
        <f>IF(BO$4=0,0,IF(COUNTIFS(実績!$W$6:$W$505,BO$3,実績!$AC$6:$AC$505,"&lt;="&amp;$A54,実績!$AD$6:$AD$505,"&gt;"&amp;$A54,実績!$AE$6:$AE$505,"○")&gt;0,1,0))</f>
        <v/>
      </c>
      <c r="BP54">
        <f>IF(BP$4=0,0,IF(COUNTIFS(実績!$W$6:$W$505,BP$3,実績!$AC$6:$AC$505,"&lt;="&amp;$A54,実績!$AD$6:$AD$505,"&gt;"&amp;$A54,実績!$AE$6:$AE$505,"○")&gt;0,1,0))</f>
        <v/>
      </c>
      <c r="BQ54">
        <f>IF(BQ$4=0,0,IF(COUNTIFS(実績!$W$6:$W$505,BQ$3,実績!$AC$6:$AC$505,"&lt;="&amp;$A54,実績!$AD$6:$AD$505,"&gt;"&amp;$A54,実績!$AE$6:$AE$505,"○")&gt;0,1,0))</f>
        <v/>
      </c>
      <c r="BR54">
        <f>IF(BR$4=0,0,IF(COUNTIFS(実績!$W$6:$W$505,BR$3,実績!$AC$6:$AC$505,"&lt;="&amp;$A54,実績!$AD$6:$AD$505,"&gt;"&amp;$A54,実績!$AE$6:$AE$505,"○")&gt;0,1,0))</f>
        <v/>
      </c>
      <c r="BS54">
        <f>IF(BS$4=0,0,IF(COUNTIFS(実績!$W$6:$W$505,BS$3,実績!$AC$6:$AC$505,"&lt;="&amp;$A54,実績!$AD$6:$AD$505,"&gt;"&amp;$A54,実績!$AE$6:$AE$505,"○")&gt;0,1,0))</f>
        <v/>
      </c>
      <c r="BT54">
        <f>IF(BT$4=0,0,IF(COUNTIFS(実績!$W$6:$W$505,BT$3,実績!$AC$6:$AC$505,"&lt;="&amp;$A54,実績!$AD$6:$AD$505,"&gt;"&amp;$A54,実績!$AE$6:$AE$505,"○")&gt;0,1,0))</f>
        <v/>
      </c>
      <c r="BU54">
        <f>IF(BU$4=0,0,IF(COUNTIFS(実績!$W$6:$W$505,BU$3,実績!$AC$6:$AC$505,"&lt;="&amp;$A54,実績!$AD$6:$AD$505,"&gt;"&amp;$A54,実績!$AE$6:$AE$505,"○")&gt;0,1,0))</f>
        <v/>
      </c>
      <c r="BV54">
        <f>IF(BV$4=0,0,IF(COUNTIFS(実績!$W$6:$W$505,BV$3,実績!$AC$6:$AC$505,"&lt;="&amp;$A54,実績!$AD$6:$AD$505,"&gt;"&amp;$A54,実績!$AE$6:$AE$505,"○")&gt;0,1,0))</f>
        <v/>
      </c>
      <c r="BW54">
        <f>IF(BW$4=0,0,IF(COUNTIFS(実績!$W$6:$W$505,BW$3,実績!$AC$6:$AC$505,"&lt;="&amp;$A54,実績!$AD$6:$AD$505,"&gt;"&amp;$A54,実績!$AE$6:$AE$505,"○")&gt;0,1,0))</f>
        <v/>
      </c>
      <c r="BX54">
        <f>IF(BX$4=0,0,IF(COUNTIFS(実績!$W$6:$W$505,BX$3,実績!$AC$6:$AC$505,"&lt;="&amp;$A54,実績!$AD$6:$AD$505,"&gt;"&amp;$A54,実績!$AE$6:$AE$505,"○")&gt;0,1,0))</f>
        <v/>
      </c>
      <c r="BY54">
        <f>IF(BY$4=0,0,IF(COUNTIFS(実績!$W$6:$W$505,BY$3,実績!$AC$6:$AC$505,"&lt;="&amp;$A54,実績!$AD$6:$AD$505,"&gt;"&amp;$A54,実績!$AE$6:$AE$505,"○")&gt;0,1,0))</f>
        <v/>
      </c>
      <c r="BZ54">
        <f>IF(BZ$4=0,0,IF(COUNTIFS(実績!$W$6:$W$505,BZ$3,実績!$AC$6:$AC$505,"&lt;="&amp;$A54,実績!$AD$6:$AD$505,"&gt;"&amp;$A54,実績!$AE$6:$AE$505,"○")&gt;0,1,0))</f>
        <v/>
      </c>
      <c r="CA54">
        <f>IF(CA$4=0,0,IF(COUNTIFS(実績!$W$6:$W$505,CA$3,実績!$AC$6:$AC$505,"&lt;="&amp;$A54,実績!$AD$6:$AD$505,"&gt;"&amp;$A54,実績!$AE$6:$AE$505,"○")&gt;0,1,0))</f>
        <v/>
      </c>
      <c r="CB54">
        <f>IF(CB$4=0,0,IF(COUNTIFS(実績!$W$6:$W$505,CB$3,実績!$AC$6:$AC$505,"&lt;="&amp;$A54,実績!$AD$6:$AD$505,"&gt;"&amp;$A54,実績!$AE$6:$AE$505,"○")&gt;0,1,0))</f>
        <v/>
      </c>
      <c r="CC54">
        <f>IF(CC$4=0,0,IF(COUNTIFS(実績!$W$6:$W$505,CC$3,実績!$AC$6:$AC$505,"&lt;="&amp;$A54,実績!$AD$6:$AD$505,"&gt;"&amp;$A54,実績!$AE$6:$AE$505,"○")&gt;0,1,0))</f>
        <v/>
      </c>
      <c r="CD54">
        <f>IF(CD$4=0,0,IF(COUNTIFS(実績!$W$6:$W$505,CD$3,実績!$AC$6:$AC$505,"&lt;="&amp;$A54,実績!$AD$6:$AD$505,"&gt;"&amp;$A54,実績!$AE$6:$AE$505,"○")&gt;0,1,0))</f>
        <v/>
      </c>
      <c r="CE54">
        <f>IF(CE$4=0,0,IF(COUNTIFS(実績!$W$6:$W$505,CE$3,実績!$AC$6:$AC$505,"&lt;="&amp;$A54,実績!$AD$6:$AD$505,"&gt;"&amp;$A54,実績!$AE$6:$AE$505,"○")&gt;0,1,0))</f>
        <v/>
      </c>
      <c r="CF54">
        <f>IF(CF$4=0,0,IF(COUNTIFS(実績!$W$6:$W$505,CF$3,実績!$AC$6:$AC$505,"&lt;="&amp;$A54,実績!$AD$6:$AD$505,"&gt;"&amp;$A54,実績!$AE$6:$AE$505,"○")&gt;0,1,0))</f>
        <v/>
      </c>
      <c r="CG54">
        <f>IF(CG$4=0,0,IF(COUNTIFS(実績!$W$6:$W$505,CG$3,実績!$AC$6:$AC$505,"&lt;="&amp;$A54,実績!$AD$6:$AD$505,"&gt;"&amp;$A54,実績!$AE$6:$AE$505,"○")&gt;0,1,0))</f>
        <v/>
      </c>
      <c r="CH54">
        <f>IF(CH$4=0,0,IF(COUNTIFS(実績!$W$6:$W$505,CH$3,実績!$AC$6:$AC$505,"&lt;="&amp;$A54,実績!$AD$6:$AD$505,"&gt;"&amp;$A54,実績!$AE$6:$AE$505,"○")&gt;0,1,0))</f>
        <v/>
      </c>
      <c r="CI54">
        <f>IF(CI$4=0,0,IF(COUNTIFS(実績!$W$6:$W$505,CI$3,実績!$AC$6:$AC$505,"&lt;="&amp;$A54,実績!$AD$6:$AD$505,"&gt;"&amp;$A54,実績!$AE$6:$AE$505,"○")&gt;0,1,0))</f>
        <v/>
      </c>
      <c r="CJ54">
        <f>IF(CJ$4=0,0,IF(COUNTIFS(実績!$W$6:$W$505,CJ$3,実績!$AC$6:$AC$505,"&lt;="&amp;$A54,実績!$AD$6:$AD$505,"&gt;"&amp;$A54,実績!$AE$6:$AE$505,"○")&gt;0,1,0))</f>
        <v/>
      </c>
      <c r="CK54">
        <f>IF(CK$4=0,0,IF(COUNTIFS(実績!$W$6:$W$505,CK$3,実績!$AC$6:$AC$505,"&lt;="&amp;$A54,実績!$AD$6:$AD$505,"&gt;"&amp;$A54,実績!$AE$6:$AE$505,"○")&gt;0,1,0))</f>
        <v/>
      </c>
      <c r="CL54">
        <f>IF(CL$4=0,0,IF(COUNTIFS(実績!$W$6:$W$505,CL$3,実績!$AC$6:$AC$505,"&lt;="&amp;$A54,実績!$AD$6:$AD$505,"&gt;"&amp;$A54,実績!$AE$6:$AE$505,"○")&gt;0,1,0))</f>
        <v/>
      </c>
      <c r="CM54">
        <f>IF(CM$4=0,0,IF(COUNTIFS(実績!$W$6:$W$505,CM$3,実績!$AC$6:$AC$505,"&lt;="&amp;$A54,実績!$AD$6:$AD$505,"&gt;"&amp;$A54,実績!$AE$6:$AE$505,"○")&gt;0,1,0))</f>
        <v/>
      </c>
      <c r="CN54">
        <f>IF(CN$4=0,0,IF(COUNTIFS(実績!$W$6:$W$505,CN$3,実績!$AC$6:$AC$505,"&lt;="&amp;$A54,実績!$AD$6:$AD$505,"&gt;"&amp;$A54,実績!$AE$6:$AE$505,"○")&gt;0,1,0))</f>
        <v/>
      </c>
      <c r="CO54">
        <f>IF(CO$4=0,0,IF(COUNTIFS(実績!$W$6:$W$505,CO$3,実績!$AC$6:$AC$505,"&lt;="&amp;$A54,実績!$AD$6:$AD$505,"&gt;"&amp;$A54,実績!$AE$6:$AE$505,"○")&gt;0,1,0))</f>
        <v/>
      </c>
      <c r="CP54">
        <f>IF(CP$4=0,0,IF(COUNTIFS(実績!$W$6:$W$505,CP$3,実績!$AC$6:$AC$505,"&lt;="&amp;$A54,実績!$AD$6:$AD$505,"&gt;"&amp;$A54,実績!$AE$6:$AE$505,"○")&gt;0,1,0))</f>
        <v/>
      </c>
      <c r="CQ54">
        <f>IF(CQ$4=0,0,IF(COUNTIFS(実績!$W$6:$W$505,CQ$3,実績!$AC$6:$AC$505,"&lt;="&amp;$A54,実績!$AD$6:$AD$505,"&gt;"&amp;$A54,実績!$AE$6:$AE$505,"○")&gt;0,1,0))</f>
        <v/>
      </c>
      <c r="CR54">
        <f>IF(CR$4=0,0,IF(COUNTIFS(実績!$W$6:$W$505,CR$3,実績!$AC$6:$AC$505,"&lt;="&amp;$A54,実績!$AD$6:$AD$505,"&gt;"&amp;$A54,実績!$AE$6:$AE$505,"○")&gt;0,1,0))</f>
        <v/>
      </c>
      <c r="CS54">
        <f>IF(CS$4=0,0,IF(COUNTIFS(実績!$W$6:$W$505,CS$3,実績!$AC$6:$AC$505,"&lt;="&amp;$A54,実績!$AD$6:$AD$505,"&gt;"&amp;$A54,実績!$AE$6:$AE$505,"○")&gt;0,1,0))</f>
        <v/>
      </c>
      <c r="CT54">
        <f>IF(CT$4=0,0,IF(COUNTIFS(実績!$W$6:$W$505,CT$3,実績!$AC$6:$AC$505,"&lt;="&amp;$A54,実績!$AD$6:$AD$505,"&gt;"&amp;$A54,実績!$AE$6:$AE$505,"○")&gt;0,1,0))</f>
        <v/>
      </c>
      <c r="CU54">
        <f>IF(CU$4=0,0,IF(COUNTIFS(実績!$W$6:$W$505,CU$3,実績!$AC$6:$AC$505,"&lt;="&amp;$A54,実績!$AD$6:$AD$505,"&gt;"&amp;$A54,実績!$AE$6:$AE$505,"○")&gt;0,1,0))</f>
        <v/>
      </c>
      <c r="CV54">
        <f>IF(CV$4=0,0,IF(COUNTIFS(実績!$W$6:$W$505,CV$3,実績!$AC$6:$AC$505,"&lt;="&amp;$A54,実績!$AD$6:$AD$505,"&gt;"&amp;$A54,実績!$AE$6:$AE$505,"○")&gt;0,1,0))</f>
        <v/>
      </c>
      <c r="CW54">
        <f>IF(CW$4=0,0,IF(COUNTIFS(実績!$W$6:$W$505,CW$3,実績!$AC$6:$AC$505,"&lt;="&amp;$A54,実績!$AD$6:$AD$505,"&gt;"&amp;$A54,実績!$AE$6:$AE$505,"○")&gt;0,1,0))</f>
        <v/>
      </c>
      <c r="CX54">
        <f>IF(CX$4=0,0,IF(COUNTIFS(実績!$W$6:$W$505,CX$3,実績!$AC$6:$AC$505,"&lt;="&amp;$A54,実績!$AD$6:$AD$505,"&gt;"&amp;$A54,実績!$AE$6:$AE$505,"○")&gt;0,1,0))</f>
        <v/>
      </c>
      <c r="CY54">
        <f>IF(CY$4=0,0,IF(COUNTIFS(実績!$W$6:$W$505,CY$3,実績!$AC$6:$AC$505,"&lt;="&amp;$A54,実績!$AD$6:$AD$505,"&gt;"&amp;$A54,実績!$AE$6:$AE$505,"○")&gt;0,1,0))</f>
        <v/>
      </c>
      <c r="CZ54">
        <f>IF(CZ$4=0,0,IF(COUNTIFS(実績!$W$6:$W$505,CZ$3,実績!$AC$6:$AC$505,"&lt;="&amp;$A54,実績!$AD$6:$AD$505,"&gt;"&amp;$A54,実績!$AE$6:$AE$505,"○")&gt;0,1,0))</f>
        <v/>
      </c>
      <c r="DA54">
        <f>IF(DA$4=0,0,IF(COUNTIFS(実績!$W$6:$W$505,DA$3,実績!$AC$6:$AC$505,"&lt;="&amp;$A54,実績!$AD$6:$AD$505,"&gt;"&amp;$A54,実績!$AE$6:$AE$505,"○")&gt;0,1,0))</f>
        <v/>
      </c>
      <c r="DB54">
        <f>IF(DB$4=0,0,IF(COUNTIFS(実績!$W$6:$W$505,DB$3,実績!$AC$6:$AC$505,"&lt;="&amp;$A54,実績!$AD$6:$AD$505,"&gt;"&amp;$A54,実績!$AE$6:$AE$505,"○")&gt;0,1,0))</f>
        <v/>
      </c>
      <c r="DC54">
        <f>IF(DC$4=0,0,IF(COUNTIFS(実績!$W$6:$W$505,DC$3,実績!$AC$6:$AC$505,"&lt;="&amp;$A54,実績!$AD$6:$AD$505,"&gt;"&amp;$A54,実績!$AE$6:$AE$505,"○")&gt;0,1,0))</f>
        <v/>
      </c>
      <c r="DD54">
        <f>IF(DD$4=0,0,IF(COUNTIFS(実績!$W$6:$W$505,DD$3,実績!$AC$6:$AC$505,"&lt;="&amp;$A54,実績!$AD$6:$AD$505,"&gt;"&amp;$A54,実績!$AE$6:$AE$505,"○")&gt;0,1,0))</f>
        <v/>
      </c>
      <c r="DE54">
        <f>IF(DE$4=0,0,IF(COUNTIFS(実績!$W$6:$W$505,DE$3,実績!$AC$6:$AC$505,"&lt;="&amp;$A54,実績!$AD$6:$AD$505,"&gt;"&amp;$A54,実績!$AE$6:$AE$505,"○")&gt;0,1,0))</f>
        <v/>
      </c>
      <c r="DF54">
        <f>IF(DF$4=0,0,IF(COUNTIFS(実績!$W$6:$W$505,DF$3,実績!$AC$6:$AC$505,"&lt;="&amp;$A54,実績!$AD$6:$AD$505,"&gt;"&amp;$A54,実績!$AE$6:$AE$505,"○")&gt;0,1,0))</f>
        <v/>
      </c>
      <c r="DG54">
        <f>IF(DG$4=0,0,IF(COUNTIFS(実績!$W$6:$W$505,DG$3,実績!$AC$6:$AC$505,"&lt;="&amp;$A54,実績!$AD$6:$AD$505,"&gt;"&amp;$A54,実績!$AE$6:$AE$505,"○")&gt;0,1,0))</f>
        <v/>
      </c>
      <c r="DH54">
        <f>IF(DH$4=0,0,IF(COUNTIFS(実績!$W$6:$W$505,DH$3,実績!$AC$6:$AC$505,"&lt;="&amp;$A54,実績!$AD$6:$AD$505,"&gt;"&amp;$A54,実績!$AE$6:$AE$505,"○")&gt;0,1,0))</f>
        <v/>
      </c>
      <c r="DI54">
        <f>IF(DI$4=0,0,IF(COUNTIFS(実績!$W$6:$W$505,DI$3,実績!$AC$6:$AC$505,"&lt;="&amp;$A54,実績!$AD$6:$AD$505,"&gt;"&amp;$A54,実績!$AE$6:$AE$505,"○")&gt;0,1,0))</f>
        <v/>
      </c>
      <c r="DJ54">
        <f>IF(DJ$4=0,0,IF(COUNTIFS(実績!$W$6:$W$505,DJ$3,実績!$AC$6:$AC$505,"&lt;="&amp;$A54,実績!$AD$6:$AD$505,"&gt;"&amp;$A54,実績!$AE$6:$AE$505,"○")&gt;0,1,0))</f>
        <v/>
      </c>
      <c r="DK54">
        <f>IF(DK$4=0,0,IF(COUNTIFS(実績!$W$6:$W$505,DK$3,実績!$AC$6:$AC$505,"&lt;="&amp;$A54,実績!$AD$6:$AD$505,"&gt;"&amp;$A54,実績!$AE$6:$AE$505,"○")&gt;0,1,0))</f>
        <v/>
      </c>
      <c r="DL54">
        <f>IF(DL$4=0,0,IF(COUNTIFS(実績!$W$6:$W$505,DL$3,実績!$AC$6:$AC$505,"&lt;="&amp;$A54,実績!$AD$6:$AD$505,"&gt;"&amp;$A54,実績!$AE$6:$AE$505,"○")&gt;0,1,0))</f>
        <v/>
      </c>
      <c r="DM54">
        <f>IF(DM$4=0,0,IF(COUNTIFS(実績!$W$6:$W$505,DM$3,実績!$AC$6:$AC$505,"&lt;="&amp;$A54,実績!$AD$6:$AD$505,"&gt;"&amp;$A54,実績!$AE$6:$AE$505,"○")&gt;0,1,0))</f>
        <v/>
      </c>
      <c r="DN54">
        <f>IF(DN$4=0,0,IF(COUNTIFS(実績!$W$6:$W$505,DN$3,実績!$AC$6:$AC$505,"&lt;="&amp;$A54,実績!$AD$6:$AD$505,"&gt;"&amp;$A54,実績!$AE$6:$AE$505,"○")&gt;0,1,0))</f>
        <v/>
      </c>
      <c r="DO54">
        <f>IF(DO$4=0,0,IF(COUNTIFS(実績!$W$6:$W$505,DO$3,実績!$AC$6:$AC$505,"&lt;="&amp;$A54,実績!$AD$6:$AD$505,"&gt;"&amp;$A54,実績!$AE$6:$AE$505,"○")&gt;0,1,0))</f>
        <v/>
      </c>
      <c r="DP54">
        <f>IF(DP$4=0,0,IF(COUNTIFS(実績!$W$6:$W$505,DP$3,実績!$AC$6:$AC$505,"&lt;="&amp;$A54,実績!$AD$6:$AD$505,"&gt;"&amp;$A54,実績!$AE$6:$AE$505,"○")&gt;0,1,0))</f>
        <v/>
      </c>
      <c r="DQ54">
        <f>IF(DQ$4=0,0,IF(COUNTIFS(実績!$W$6:$W$505,DQ$3,実績!$AC$6:$AC$505,"&lt;="&amp;$A54,実績!$AD$6:$AD$505,"&gt;"&amp;$A54,実績!$AE$6:$AE$505,"○")&gt;0,1,0))</f>
        <v/>
      </c>
      <c r="DR54">
        <f>IF(DR$4=0,0,IF(COUNTIFS(実績!$W$6:$W$505,DR$3,実績!$AC$6:$AC$505,"&lt;="&amp;$A54,実績!$AD$6:$AD$505,"&gt;"&amp;$A54,実績!$AE$6:$AE$505,"○")&gt;0,1,0))</f>
        <v/>
      </c>
      <c r="DS54">
        <f>SUM(C54:DR54)</f>
        <v/>
      </c>
      <c r="DT54">
        <f>SUMPRODUCT((実績!$C$6:$C$505="○")*ISNUMBER(実績!$AF$6:$AF$505)*(実績!$AF$6:$AF$505&lt;=$A54)*(実績!$AG$6:$AG$505&gt;$A54))</f>
        <v/>
      </c>
      <c r="DU54">
        <f>SUMIF($C$2:$DR$2,"製鉄曳船",C54:DR54)</f>
        <v/>
      </c>
      <c r="DV54">
        <f>SUMIF($C$2:$DR$2,"西日本海運",C54:DR54)</f>
        <v/>
      </c>
    </row>
    <row r="55">
      <c r="A55" t="n">
        <v>245</v>
      </c>
      <c r="B55" s="29">
        <f>A55/1440</f>
        <v/>
      </c>
      <c r="C55">
        <f>IF(C$4=0,0,IF(COUNTIFS(実績!$W$6:$W$505,C$3,実績!$AC$6:$AC$505,"&lt;="&amp;$A55,実績!$AD$6:$AD$505,"&gt;"&amp;$A55,実績!$AE$6:$AE$505,"○")&gt;0,1,0))</f>
        <v/>
      </c>
      <c r="D55">
        <f>IF(D$4=0,0,IF(COUNTIFS(実績!$W$6:$W$505,D$3,実績!$AC$6:$AC$505,"&lt;="&amp;$A55,実績!$AD$6:$AD$505,"&gt;"&amp;$A55,実績!$AE$6:$AE$505,"○")&gt;0,1,0))</f>
        <v/>
      </c>
      <c r="E55">
        <f>IF(E$4=0,0,IF(COUNTIFS(実績!$W$6:$W$505,E$3,実績!$AC$6:$AC$505,"&lt;="&amp;$A55,実績!$AD$6:$AD$505,"&gt;"&amp;$A55,実績!$AE$6:$AE$505,"○")&gt;0,1,0))</f>
        <v/>
      </c>
      <c r="F55">
        <f>IF(F$4=0,0,IF(COUNTIFS(実績!$W$6:$W$505,F$3,実績!$AC$6:$AC$505,"&lt;="&amp;$A55,実績!$AD$6:$AD$505,"&gt;"&amp;$A55,実績!$AE$6:$AE$505,"○")&gt;0,1,0))</f>
        <v/>
      </c>
      <c r="G55">
        <f>IF(G$4=0,0,IF(COUNTIFS(実績!$W$6:$W$505,G$3,実績!$AC$6:$AC$505,"&lt;="&amp;$A55,実績!$AD$6:$AD$505,"&gt;"&amp;$A55,実績!$AE$6:$AE$505,"○")&gt;0,1,0))</f>
        <v/>
      </c>
      <c r="H55">
        <f>IF(H$4=0,0,IF(COUNTIFS(実績!$W$6:$W$505,H$3,実績!$AC$6:$AC$505,"&lt;="&amp;$A55,実績!$AD$6:$AD$505,"&gt;"&amp;$A55,実績!$AE$6:$AE$505,"○")&gt;0,1,0))</f>
        <v/>
      </c>
      <c r="I55">
        <f>IF(I$4=0,0,IF(COUNTIFS(実績!$W$6:$W$505,I$3,実績!$AC$6:$AC$505,"&lt;="&amp;$A55,実績!$AD$6:$AD$505,"&gt;"&amp;$A55,実績!$AE$6:$AE$505,"○")&gt;0,1,0))</f>
        <v/>
      </c>
      <c r="J55">
        <f>IF(J$4=0,0,IF(COUNTIFS(実績!$W$6:$W$505,J$3,実績!$AC$6:$AC$505,"&lt;="&amp;$A55,実績!$AD$6:$AD$505,"&gt;"&amp;$A55,実績!$AE$6:$AE$505,"○")&gt;0,1,0))</f>
        <v/>
      </c>
      <c r="K55">
        <f>IF(K$4=0,0,IF(COUNTIFS(実績!$W$6:$W$505,K$3,実績!$AC$6:$AC$505,"&lt;="&amp;$A55,実績!$AD$6:$AD$505,"&gt;"&amp;$A55,実績!$AE$6:$AE$505,"○")&gt;0,1,0))</f>
        <v/>
      </c>
      <c r="L55">
        <f>IF(L$4=0,0,IF(COUNTIFS(実績!$W$6:$W$505,L$3,実績!$AC$6:$AC$505,"&lt;="&amp;$A55,実績!$AD$6:$AD$505,"&gt;"&amp;$A55,実績!$AE$6:$AE$505,"○")&gt;0,1,0))</f>
        <v/>
      </c>
      <c r="M55">
        <f>IF(M$4=0,0,IF(COUNTIFS(実績!$W$6:$W$505,M$3,実績!$AC$6:$AC$505,"&lt;="&amp;$A55,実績!$AD$6:$AD$505,"&gt;"&amp;$A55,実績!$AE$6:$AE$505,"○")&gt;0,1,0))</f>
        <v/>
      </c>
      <c r="N55">
        <f>IF(N$4=0,0,IF(COUNTIFS(実績!$W$6:$W$505,N$3,実績!$AC$6:$AC$505,"&lt;="&amp;$A55,実績!$AD$6:$AD$505,"&gt;"&amp;$A55,実績!$AE$6:$AE$505,"○")&gt;0,1,0))</f>
        <v/>
      </c>
      <c r="O55">
        <f>IF(O$4=0,0,IF(COUNTIFS(実績!$W$6:$W$505,O$3,実績!$AC$6:$AC$505,"&lt;="&amp;$A55,実績!$AD$6:$AD$505,"&gt;"&amp;$A55,実績!$AE$6:$AE$505,"○")&gt;0,1,0))</f>
        <v/>
      </c>
      <c r="P55">
        <f>IF(P$4=0,0,IF(COUNTIFS(実績!$W$6:$W$505,P$3,実績!$AC$6:$AC$505,"&lt;="&amp;$A55,実績!$AD$6:$AD$505,"&gt;"&amp;$A55,実績!$AE$6:$AE$505,"○")&gt;0,1,0))</f>
        <v/>
      </c>
      <c r="Q55">
        <f>IF(Q$4=0,0,IF(COUNTIFS(実績!$W$6:$W$505,Q$3,実績!$AC$6:$AC$505,"&lt;="&amp;$A55,実績!$AD$6:$AD$505,"&gt;"&amp;$A55,実績!$AE$6:$AE$505,"○")&gt;0,1,0))</f>
        <v/>
      </c>
      <c r="R55">
        <f>IF(R$4=0,0,IF(COUNTIFS(実績!$W$6:$W$505,R$3,実績!$AC$6:$AC$505,"&lt;="&amp;$A55,実績!$AD$6:$AD$505,"&gt;"&amp;$A55,実績!$AE$6:$AE$505,"○")&gt;0,1,0))</f>
        <v/>
      </c>
      <c r="S55">
        <f>IF(S$4=0,0,IF(COUNTIFS(実績!$W$6:$W$505,S$3,実績!$AC$6:$AC$505,"&lt;="&amp;$A55,実績!$AD$6:$AD$505,"&gt;"&amp;$A55,実績!$AE$6:$AE$505,"○")&gt;0,1,0))</f>
        <v/>
      </c>
      <c r="T55">
        <f>IF(T$4=0,0,IF(COUNTIFS(実績!$W$6:$W$505,T$3,実績!$AC$6:$AC$505,"&lt;="&amp;$A55,実績!$AD$6:$AD$505,"&gt;"&amp;$A55,実績!$AE$6:$AE$505,"○")&gt;0,1,0))</f>
        <v/>
      </c>
      <c r="U55">
        <f>IF(U$4=0,0,IF(COUNTIFS(実績!$W$6:$W$505,U$3,実績!$AC$6:$AC$505,"&lt;="&amp;$A55,実績!$AD$6:$AD$505,"&gt;"&amp;$A55,実績!$AE$6:$AE$505,"○")&gt;0,1,0))</f>
        <v/>
      </c>
      <c r="V55">
        <f>IF(V$4=0,0,IF(COUNTIFS(実績!$W$6:$W$505,V$3,実績!$AC$6:$AC$505,"&lt;="&amp;$A55,実績!$AD$6:$AD$505,"&gt;"&amp;$A55,実績!$AE$6:$AE$505,"○")&gt;0,1,0))</f>
        <v/>
      </c>
      <c r="W55">
        <f>IF(W$4=0,0,IF(COUNTIFS(実績!$W$6:$W$505,W$3,実績!$AC$6:$AC$505,"&lt;="&amp;$A55,実績!$AD$6:$AD$505,"&gt;"&amp;$A55,実績!$AE$6:$AE$505,"○")&gt;0,1,0))</f>
        <v/>
      </c>
      <c r="X55">
        <f>IF(X$4=0,0,IF(COUNTIFS(実績!$W$6:$W$505,X$3,実績!$AC$6:$AC$505,"&lt;="&amp;$A55,実績!$AD$6:$AD$505,"&gt;"&amp;$A55,実績!$AE$6:$AE$505,"○")&gt;0,1,0))</f>
        <v/>
      </c>
      <c r="Y55">
        <f>IF(Y$4=0,0,IF(COUNTIFS(実績!$W$6:$W$505,Y$3,実績!$AC$6:$AC$505,"&lt;="&amp;$A55,実績!$AD$6:$AD$505,"&gt;"&amp;$A55,実績!$AE$6:$AE$505,"○")&gt;0,1,0))</f>
        <v/>
      </c>
      <c r="Z55">
        <f>IF(Z$4=0,0,IF(COUNTIFS(実績!$W$6:$W$505,Z$3,実績!$AC$6:$AC$505,"&lt;="&amp;$A55,実績!$AD$6:$AD$505,"&gt;"&amp;$A55,実績!$AE$6:$AE$505,"○")&gt;0,1,0))</f>
        <v/>
      </c>
      <c r="AA55">
        <f>IF(AA$4=0,0,IF(COUNTIFS(実績!$W$6:$W$505,AA$3,実績!$AC$6:$AC$505,"&lt;="&amp;$A55,実績!$AD$6:$AD$505,"&gt;"&amp;$A55,実績!$AE$6:$AE$505,"○")&gt;0,1,0))</f>
        <v/>
      </c>
      <c r="AB55">
        <f>IF(AB$4=0,0,IF(COUNTIFS(実績!$W$6:$W$505,AB$3,実績!$AC$6:$AC$505,"&lt;="&amp;$A55,実績!$AD$6:$AD$505,"&gt;"&amp;$A55,実績!$AE$6:$AE$505,"○")&gt;0,1,0))</f>
        <v/>
      </c>
      <c r="AC55">
        <f>IF(AC$4=0,0,IF(COUNTIFS(実績!$W$6:$W$505,AC$3,実績!$AC$6:$AC$505,"&lt;="&amp;$A55,実績!$AD$6:$AD$505,"&gt;"&amp;$A55,実績!$AE$6:$AE$505,"○")&gt;0,1,0))</f>
        <v/>
      </c>
      <c r="AD55">
        <f>IF(AD$4=0,0,IF(COUNTIFS(実績!$W$6:$W$505,AD$3,実績!$AC$6:$AC$505,"&lt;="&amp;$A55,実績!$AD$6:$AD$505,"&gt;"&amp;$A55,実績!$AE$6:$AE$505,"○")&gt;0,1,0))</f>
        <v/>
      </c>
      <c r="AE55">
        <f>IF(AE$4=0,0,IF(COUNTIFS(実績!$W$6:$W$505,AE$3,実績!$AC$6:$AC$505,"&lt;="&amp;$A55,実績!$AD$6:$AD$505,"&gt;"&amp;$A55,実績!$AE$6:$AE$505,"○")&gt;0,1,0))</f>
        <v/>
      </c>
      <c r="AF55">
        <f>IF(AF$4=0,0,IF(COUNTIFS(実績!$W$6:$W$505,AF$3,実績!$AC$6:$AC$505,"&lt;="&amp;$A55,実績!$AD$6:$AD$505,"&gt;"&amp;$A55,実績!$AE$6:$AE$505,"○")&gt;0,1,0))</f>
        <v/>
      </c>
      <c r="AG55">
        <f>IF(AG$4=0,0,IF(COUNTIFS(実績!$W$6:$W$505,AG$3,実績!$AC$6:$AC$505,"&lt;="&amp;$A55,実績!$AD$6:$AD$505,"&gt;"&amp;$A55,実績!$AE$6:$AE$505,"○")&gt;0,1,0))</f>
        <v/>
      </c>
      <c r="AH55">
        <f>IF(AH$4=0,0,IF(COUNTIFS(実績!$W$6:$W$505,AH$3,実績!$AC$6:$AC$505,"&lt;="&amp;$A55,実績!$AD$6:$AD$505,"&gt;"&amp;$A55,実績!$AE$6:$AE$505,"○")&gt;0,1,0))</f>
        <v/>
      </c>
      <c r="AI55">
        <f>IF(AI$4=0,0,IF(COUNTIFS(実績!$W$6:$W$505,AI$3,実績!$AC$6:$AC$505,"&lt;="&amp;$A55,実績!$AD$6:$AD$505,"&gt;"&amp;$A55,実績!$AE$6:$AE$505,"○")&gt;0,1,0))</f>
        <v/>
      </c>
      <c r="AJ55">
        <f>IF(AJ$4=0,0,IF(COUNTIFS(実績!$W$6:$W$505,AJ$3,実績!$AC$6:$AC$505,"&lt;="&amp;$A55,実績!$AD$6:$AD$505,"&gt;"&amp;$A55,実績!$AE$6:$AE$505,"○")&gt;0,1,0))</f>
        <v/>
      </c>
      <c r="AK55">
        <f>IF(AK$4=0,0,IF(COUNTIFS(実績!$W$6:$W$505,AK$3,実績!$AC$6:$AC$505,"&lt;="&amp;$A55,実績!$AD$6:$AD$505,"&gt;"&amp;$A55,実績!$AE$6:$AE$505,"○")&gt;0,1,0))</f>
        <v/>
      </c>
      <c r="AL55">
        <f>IF(AL$4=0,0,IF(COUNTIFS(実績!$W$6:$W$505,AL$3,実績!$AC$6:$AC$505,"&lt;="&amp;$A55,実績!$AD$6:$AD$505,"&gt;"&amp;$A55,実績!$AE$6:$AE$505,"○")&gt;0,1,0))</f>
        <v/>
      </c>
      <c r="AM55">
        <f>IF(AM$4=0,0,IF(COUNTIFS(実績!$W$6:$W$505,AM$3,実績!$AC$6:$AC$505,"&lt;="&amp;$A55,実績!$AD$6:$AD$505,"&gt;"&amp;$A55,実績!$AE$6:$AE$505,"○")&gt;0,1,0))</f>
        <v/>
      </c>
      <c r="AN55">
        <f>IF(AN$4=0,0,IF(COUNTIFS(実績!$W$6:$W$505,AN$3,実績!$AC$6:$AC$505,"&lt;="&amp;$A55,実績!$AD$6:$AD$505,"&gt;"&amp;$A55,実績!$AE$6:$AE$505,"○")&gt;0,1,0))</f>
        <v/>
      </c>
      <c r="AO55">
        <f>IF(AO$4=0,0,IF(COUNTIFS(実績!$W$6:$W$505,AO$3,実績!$AC$6:$AC$505,"&lt;="&amp;$A55,実績!$AD$6:$AD$505,"&gt;"&amp;$A55,実績!$AE$6:$AE$505,"○")&gt;0,1,0))</f>
        <v/>
      </c>
      <c r="AP55">
        <f>IF(AP$4=0,0,IF(COUNTIFS(実績!$W$6:$W$505,AP$3,実績!$AC$6:$AC$505,"&lt;="&amp;$A55,実績!$AD$6:$AD$505,"&gt;"&amp;$A55,実績!$AE$6:$AE$505,"○")&gt;0,1,0))</f>
        <v/>
      </c>
      <c r="AQ55">
        <f>IF(AQ$4=0,0,IF(COUNTIFS(実績!$W$6:$W$505,AQ$3,実績!$AC$6:$AC$505,"&lt;="&amp;$A55,実績!$AD$6:$AD$505,"&gt;"&amp;$A55,実績!$AE$6:$AE$505,"○")&gt;0,1,0))</f>
        <v/>
      </c>
      <c r="AR55">
        <f>IF(AR$4=0,0,IF(COUNTIFS(実績!$W$6:$W$505,AR$3,実績!$AC$6:$AC$505,"&lt;="&amp;$A55,実績!$AD$6:$AD$505,"&gt;"&amp;$A55,実績!$AE$6:$AE$505,"○")&gt;0,1,0))</f>
        <v/>
      </c>
      <c r="AS55">
        <f>IF(AS$4=0,0,IF(COUNTIFS(実績!$W$6:$W$505,AS$3,実績!$AC$6:$AC$505,"&lt;="&amp;$A55,実績!$AD$6:$AD$505,"&gt;"&amp;$A55,実績!$AE$6:$AE$505,"○")&gt;0,1,0))</f>
        <v/>
      </c>
      <c r="AT55">
        <f>IF(AT$4=0,0,IF(COUNTIFS(実績!$W$6:$W$505,AT$3,実績!$AC$6:$AC$505,"&lt;="&amp;$A55,実績!$AD$6:$AD$505,"&gt;"&amp;$A55,実績!$AE$6:$AE$505,"○")&gt;0,1,0))</f>
        <v/>
      </c>
      <c r="AU55">
        <f>IF(AU$4=0,0,IF(COUNTIFS(実績!$W$6:$W$505,AU$3,実績!$AC$6:$AC$505,"&lt;="&amp;$A55,実績!$AD$6:$AD$505,"&gt;"&amp;$A55,実績!$AE$6:$AE$505,"○")&gt;0,1,0))</f>
        <v/>
      </c>
      <c r="AV55">
        <f>IF(AV$4=0,0,IF(COUNTIFS(実績!$W$6:$W$505,AV$3,実績!$AC$6:$AC$505,"&lt;="&amp;$A55,実績!$AD$6:$AD$505,"&gt;"&amp;$A55,実績!$AE$6:$AE$505,"○")&gt;0,1,0))</f>
        <v/>
      </c>
      <c r="AW55">
        <f>IF(AW$4=0,0,IF(COUNTIFS(実績!$W$6:$W$505,AW$3,実績!$AC$6:$AC$505,"&lt;="&amp;$A55,実績!$AD$6:$AD$505,"&gt;"&amp;$A55,実績!$AE$6:$AE$505,"○")&gt;0,1,0))</f>
        <v/>
      </c>
      <c r="AX55">
        <f>IF(AX$4=0,0,IF(COUNTIFS(実績!$W$6:$W$505,AX$3,実績!$AC$6:$AC$505,"&lt;="&amp;$A55,実績!$AD$6:$AD$505,"&gt;"&amp;$A55,実績!$AE$6:$AE$505,"○")&gt;0,1,0))</f>
        <v/>
      </c>
      <c r="AY55">
        <f>IF(AY$4=0,0,IF(COUNTIFS(実績!$W$6:$W$505,AY$3,実績!$AC$6:$AC$505,"&lt;="&amp;$A55,実績!$AD$6:$AD$505,"&gt;"&amp;$A55,実績!$AE$6:$AE$505,"○")&gt;0,1,0))</f>
        <v/>
      </c>
      <c r="AZ55">
        <f>IF(AZ$4=0,0,IF(COUNTIFS(実績!$W$6:$W$505,AZ$3,実績!$AC$6:$AC$505,"&lt;="&amp;$A55,実績!$AD$6:$AD$505,"&gt;"&amp;$A55,実績!$AE$6:$AE$505,"○")&gt;0,1,0))</f>
        <v/>
      </c>
      <c r="BA55">
        <f>IF(BA$4=0,0,IF(COUNTIFS(実績!$W$6:$W$505,BA$3,実績!$AC$6:$AC$505,"&lt;="&amp;$A55,実績!$AD$6:$AD$505,"&gt;"&amp;$A55,実績!$AE$6:$AE$505,"○")&gt;0,1,0))</f>
        <v/>
      </c>
      <c r="BB55">
        <f>IF(BB$4=0,0,IF(COUNTIFS(実績!$W$6:$W$505,BB$3,実績!$AC$6:$AC$505,"&lt;="&amp;$A55,実績!$AD$6:$AD$505,"&gt;"&amp;$A55,実績!$AE$6:$AE$505,"○")&gt;0,1,0))</f>
        <v/>
      </c>
      <c r="BC55">
        <f>IF(BC$4=0,0,IF(COUNTIFS(実績!$W$6:$W$505,BC$3,実績!$AC$6:$AC$505,"&lt;="&amp;$A55,実績!$AD$6:$AD$505,"&gt;"&amp;$A55,実績!$AE$6:$AE$505,"○")&gt;0,1,0))</f>
        <v/>
      </c>
      <c r="BD55">
        <f>IF(BD$4=0,0,IF(COUNTIFS(実績!$W$6:$W$505,BD$3,実績!$AC$6:$AC$505,"&lt;="&amp;$A55,実績!$AD$6:$AD$505,"&gt;"&amp;$A55,実績!$AE$6:$AE$505,"○")&gt;0,1,0))</f>
        <v/>
      </c>
      <c r="BE55">
        <f>IF(BE$4=0,0,IF(COUNTIFS(実績!$W$6:$W$505,BE$3,実績!$AC$6:$AC$505,"&lt;="&amp;$A55,実績!$AD$6:$AD$505,"&gt;"&amp;$A55,実績!$AE$6:$AE$505,"○")&gt;0,1,0))</f>
        <v/>
      </c>
      <c r="BF55">
        <f>IF(BF$4=0,0,IF(COUNTIFS(実績!$W$6:$W$505,BF$3,実績!$AC$6:$AC$505,"&lt;="&amp;$A55,実績!$AD$6:$AD$505,"&gt;"&amp;$A55,実績!$AE$6:$AE$505,"○")&gt;0,1,0))</f>
        <v/>
      </c>
      <c r="BG55">
        <f>IF(BG$4=0,0,IF(COUNTIFS(実績!$W$6:$W$505,BG$3,実績!$AC$6:$AC$505,"&lt;="&amp;$A55,実績!$AD$6:$AD$505,"&gt;"&amp;$A55,実績!$AE$6:$AE$505,"○")&gt;0,1,0))</f>
        <v/>
      </c>
      <c r="BH55">
        <f>IF(BH$4=0,0,IF(COUNTIFS(実績!$W$6:$W$505,BH$3,実績!$AC$6:$AC$505,"&lt;="&amp;$A55,実績!$AD$6:$AD$505,"&gt;"&amp;$A55,実績!$AE$6:$AE$505,"○")&gt;0,1,0))</f>
        <v/>
      </c>
      <c r="BI55">
        <f>IF(BI$4=0,0,IF(COUNTIFS(実績!$W$6:$W$505,BI$3,実績!$AC$6:$AC$505,"&lt;="&amp;$A55,実績!$AD$6:$AD$505,"&gt;"&amp;$A55,実績!$AE$6:$AE$505,"○")&gt;0,1,0))</f>
        <v/>
      </c>
      <c r="BJ55">
        <f>IF(BJ$4=0,0,IF(COUNTIFS(実績!$W$6:$W$505,BJ$3,実績!$AC$6:$AC$505,"&lt;="&amp;$A55,実績!$AD$6:$AD$505,"&gt;"&amp;$A55,実績!$AE$6:$AE$505,"○")&gt;0,1,0))</f>
        <v/>
      </c>
      <c r="BK55">
        <f>IF(BK$4=0,0,IF(COUNTIFS(実績!$W$6:$W$505,BK$3,実績!$AC$6:$AC$505,"&lt;="&amp;$A55,実績!$AD$6:$AD$505,"&gt;"&amp;$A55,実績!$AE$6:$AE$505,"○")&gt;0,1,0))</f>
        <v/>
      </c>
      <c r="BL55">
        <f>IF(BL$4=0,0,IF(COUNTIFS(実績!$W$6:$W$505,BL$3,実績!$AC$6:$AC$505,"&lt;="&amp;$A55,実績!$AD$6:$AD$505,"&gt;"&amp;$A55,実績!$AE$6:$AE$505,"○")&gt;0,1,0))</f>
        <v/>
      </c>
      <c r="BM55">
        <f>IF(BM$4=0,0,IF(COUNTIFS(実績!$W$6:$W$505,BM$3,実績!$AC$6:$AC$505,"&lt;="&amp;$A55,実績!$AD$6:$AD$505,"&gt;"&amp;$A55,実績!$AE$6:$AE$505,"○")&gt;0,1,0))</f>
        <v/>
      </c>
      <c r="BN55">
        <f>IF(BN$4=0,0,IF(COUNTIFS(実績!$W$6:$W$505,BN$3,実績!$AC$6:$AC$505,"&lt;="&amp;$A55,実績!$AD$6:$AD$505,"&gt;"&amp;$A55,実績!$AE$6:$AE$505,"○")&gt;0,1,0))</f>
        <v/>
      </c>
      <c r="BO55">
        <f>IF(BO$4=0,0,IF(COUNTIFS(実績!$W$6:$W$505,BO$3,実績!$AC$6:$AC$505,"&lt;="&amp;$A55,実績!$AD$6:$AD$505,"&gt;"&amp;$A55,実績!$AE$6:$AE$505,"○")&gt;0,1,0))</f>
        <v/>
      </c>
      <c r="BP55">
        <f>IF(BP$4=0,0,IF(COUNTIFS(実績!$W$6:$W$505,BP$3,実績!$AC$6:$AC$505,"&lt;="&amp;$A55,実績!$AD$6:$AD$505,"&gt;"&amp;$A55,実績!$AE$6:$AE$505,"○")&gt;0,1,0))</f>
        <v/>
      </c>
      <c r="BQ55">
        <f>IF(BQ$4=0,0,IF(COUNTIFS(実績!$W$6:$W$505,BQ$3,実績!$AC$6:$AC$505,"&lt;="&amp;$A55,実績!$AD$6:$AD$505,"&gt;"&amp;$A55,実績!$AE$6:$AE$505,"○")&gt;0,1,0))</f>
        <v/>
      </c>
      <c r="BR55">
        <f>IF(BR$4=0,0,IF(COUNTIFS(実績!$W$6:$W$505,BR$3,実績!$AC$6:$AC$505,"&lt;="&amp;$A55,実績!$AD$6:$AD$505,"&gt;"&amp;$A55,実績!$AE$6:$AE$505,"○")&gt;0,1,0))</f>
        <v/>
      </c>
      <c r="BS55">
        <f>IF(BS$4=0,0,IF(COUNTIFS(実績!$W$6:$W$505,BS$3,実績!$AC$6:$AC$505,"&lt;="&amp;$A55,実績!$AD$6:$AD$505,"&gt;"&amp;$A55,実績!$AE$6:$AE$505,"○")&gt;0,1,0))</f>
        <v/>
      </c>
      <c r="BT55">
        <f>IF(BT$4=0,0,IF(COUNTIFS(実績!$W$6:$W$505,BT$3,実績!$AC$6:$AC$505,"&lt;="&amp;$A55,実績!$AD$6:$AD$505,"&gt;"&amp;$A55,実績!$AE$6:$AE$505,"○")&gt;0,1,0))</f>
        <v/>
      </c>
      <c r="BU55">
        <f>IF(BU$4=0,0,IF(COUNTIFS(実績!$W$6:$W$505,BU$3,実績!$AC$6:$AC$505,"&lt;="&amp;$A55,実績!$AD$6:$AD$505,"&gt;"&amp;$A55,実績!$AE$6:$AE$505,"○")&gt;0,1,0))</f>
        <v/>
      </c>
      <c r="BV55">
        <f>IF(BV$4=0,0,IF(COUNTIFS(実績!$W$6:$W$505,BV$3,実績!$AC$6:$AC$505,"&lt;="&amp;$A55,実績!$AD$6:$AD$505,"&gt;"&amp;$A55,実績!$AE$6:$AE$505,"○")&gt;0,1,0))</f>
        <v/>
      </c>
      <c r="BW55">
        <f>IF(BW$4=0,0,IF(COUNTIFS(実績!$W$6:$W$505,BW$3,実績!$AC$6:$AC$505,"&lt;="&amp;$A55,実績!$AD$6:$AD$505,"&gt;"&amp;$A55,実績!$AE$6:$AE$505,"○")&gt;0,1,0))</f>
        <v/>
      </c>
      <c r="BX55">
        <f>IF(BX$4=0,0,IF(COUNTIFS(実績!$W$6:$W$505,BX$3,実績!$AC$6:$AC$505,"&lt;="&amp;$A55,実績!$AD$6:$AD$505,"&gt;"&amp;$A55,実績!$AE$6:$AE$505,"○")&gt;0,1,0))</f>
        <v/>
      </c>
      <c r="BY55">
        <f>IF(BY$4=0,0,IF(COUNTIFS(実績!$W$6:$W$505,BY$3,実績!$AC$6:$AC$505,"&lt;="&amp;$A55,実績!$AD$6:$AD$505,"&gt;"&amp;$A55,実績!$AE$6:$AE$505,"○")&gt;0,1,0))</f>
        <v/>
      </c>
      <c r="BZ55">
        <f>IF(BZ$4=0,0,IF(COUNTIFS(実績!$W$6:$W$505,BZ$3,実績!$AC$6:$AC$505,"&lt;="&amp;$A55,実績!$AD$6:$AD$505,"&gt;"&amp;$A55,実績!$AE$6:$AE$505,"○")&gt;0,1,0))</f>
        <v/>
      </c>
      <c r="CA55">
        <f>IF(CA$4=0,0,IF(COUNTIFS(実績!$W$6:$W$505,CA$3,実績!$AC$6:$AC$505,"&lt;="&amp;$A55,実績!$AD$6:$AD$505,"&gt;"&amp;$A55,実績!$AE$6:$AE$505,"○")&gt;0,1,0))</f>
        <v/>
      </c>
      <c r="CB55">
        <f>IF(CB$4=0,0,IF(COUNTIFS(実績!$W$6:$W$505,CB$3,実績!$AC$6:$AC$505,"&lt;="&amp;$A55,実績!$AD$6:$AD$505,"&gt;"&amp;$A55,実績!$AE$6:$AE$505,"○")&gt;0,1,0))</f>
        <v/>
      </c>
      <c r="CC55">
        <f>IF(CC$4=0,0,IF(COUNTIFS(実績!$W$6:$W$505,CC$3,実績!$AC$6:$AC$505,"&lt;="&amp;$A55,実績!$AD$6:$AD$505,"&gt;"&amp;$A55,実績!$AE$6:$AE$505,"○")&gt;0,1,0))</f>
        <v/>
      </c>
      <c r="CD55">
        <f>IF(CD$4=0,0,IF(COUNTIFS(実績!$W$6:$W$505,CD$3,実績!$AC$6:$AC$505,"&lt;="&amp;$A55,実績!$AD$6:$AD$505,"&gt;"&amp;$A55,実績!$AE$6:$AE$505,"○")&gt;0,1,0))</f>
        <v/>
      </c>
      <c r="CE55">
        <f>IF(CE$4=0,0,IF(COUNTIFS(実績!$W$6:$W$505,CE$3,実績!$AC$6:$AC$505,"&lt;="&amp;$A55,実績!$AD$6:$AD$505,"&gt;"&amp;$A55,実績!$AE$6:$AE$505,"○")&gt;0,1,0))</f>
        <v/>
      </c>
      <c r="CF55">
        <f>IF(CF$4=0,0,IF(COUNTIFS(実績!$W$6:$W$505,CF$3,実績!$AC$6:$AC$505,"&lt;="&amp;$A55,実績!$AD$6:$AD$505,"&gt;"&amp;$A55,実績!$AE$6:$AE$505,"○")&gt;0,1,0))</f>
        <v/>
      </c>
      <c r="CG55">
        <f>IF(CG$4=0,0,IF(COUNTIFS(実績!$W$6:$W$505,CG$3,実績!$AC$6:$AC$505,"&lt;="&amp;$A55,実績!$AD$6:$AD$505,"&gt;"&amp;$A55,実績!$AE$6:$AE$505,"○")&gt;0,1,0))</f>
        <v/>
      </c>
      <c r="CH55">
        <f>IF(CH$4=0,0,IF(COUNTIFS(実績!$W$6:$W$505,CH$3,実績!$AC$6:$AC$505,"&lt;="&amp;$A55,実績!$AD$6:$AD$505,"&gt;"&amp;$A55,実績!$AE$6:$AE$505,"○")&gt;0,1,0))</f>
        <v/>
      </c>
      <c r="CI55">
        <f>IF(CI$4=0,0,IF(COUNTIFS(実績!$W$6:$W$505,CI$3,実績!$AC$6:$AC$505,"&lt;="&amp;$A55,実績!$AD$6:$AD$505,"&gt;"&amp;$A55,実績!$AE$6:$AE$505,"○")&gt;0,1,0))</f>
        <v/>
      </c>
      <c r="CJ55">
        <f>IF(CJ$4=0,0,IF(COUNTIFS(実績!$W$6:$W$505,CJ$3,実績!$AC$6:$AC$505,"&lt;="&amp;$A55,実績!$AD$6:$AD$505,"&gt;"&amp;$A55,実績!$AE$6:$AE$505,"○")&gt;0,1,0))</f>
        <v/>
      </c>
      <c r="CK55">
        <f>IF(CK$4=0,0,IF(COUNTIFS(実績!$W$6:$W$505,CK$3,実績!$AC$6:$AC$505,"&lt;="&amp;$A55,実績!$AD$6:$AD$505,"&gt;"&amp;$A55,実績!$AE$6:$AE$505,"○")&gt;0,1,0))</f>
        <v/>
      </c>
      <c r="CL55">
        <f>IF(CL$4=0,0,IF(COUNTIFS(実績!$W$6:$W$505,CL$3,実績!$AC$6:$AC$505,"&lt;="&amp;$A55,実績!$AD$6:$AD$505,"&gt;"&amp;$A55,実績!$AE$6:$AE$505,"○")&gt;0,1,0))</f>
        <v/>
      </c>
      <c r="CM55">
        <f>IF(CM$4=0,0,IF(COUNTIFS(実績!$W$6:$W$505,CM$3,実績!$AC$6:$AC$505,"&lt;="&amp;$A55,実績!$AD$6:$AD$505,"&gt;"&amp;$A55,実績!$AE$6:$AE$505,"○")&gt;0,1,0))</f>
        <v/>
      </c>
      <c r="CN55">
        <f>IF(CN$4=0,0,IF(COUNTIFS(実績!$W$6:$W$505,CN$3,実績!$AC$6:$AC$505,"&lt;="&amp;$A55,実績!$AD$6:$AD$505,"&gt;"&amp;$A55,実績!$AE$6:$AE$505,"○")&gt;0,1,0))</f>
        <v/>
      </c>
      <c r="CO55">
        <f>IF(CO$4=0,0,IF(COUNTIFS(実績!$W$6:$W$505,CO$3,実績!$AC$6:$AC$505,"&lt;="&amp;$A55,実績!$AD$6:$AD$505,"&gt;"&amp;$A55,実績!$AE$6:$AE$505,"○")&gt;0,1,0))</f>
        <v/>
      </c>
      <c r="CP55">
        <f>IF(CP$4=0,0,IF(COUNTIFS(実績!$W$6:$W$505,CP$3,実績!$AC$6:$AC$505,"&lt;="&amp;$A55,実績!$AD$6:$AD$505,"&gt;"&amp;$A55,実績!$AE$6:$AE$505,"○")&gt;0,1,0))</f>
        <v/>
      </c>
      <c r="CQ55">
        <f>IF(CQ$4=0,0,IF(COUNTIFS(実績!$W$6:$W$505,CQ$3,実績!$AC$6:$AC$505,"&lt;="&amp;$A55,実績!$AD$6:$AD$505,"&gt;"&amp;$A55,実績!$AE$6:$AE$505,"○")&gt;0,1,0))</f>
        <v/>
      </c>
      <c r="CR55">
        <f>IF(CR$4=0,0,IF(COUNTIFS(実績!$W$6:$W$505,CR$3,実績!$AC$6:$AC$505,"&lt;="&amp;$A55,実績!$AD$6:$AD$505,"&gt;"&amp;$A55,実績!$AE$6:$AE$505,"○")&gt;0,1,0))</f>
        <v/>
      </c>
      <c r="CS55">
        <f>IF(CS$4=0,0,IF(COUNTIFS(実績!$W$6:$W$505,CS$3,実績!$AC$6:$AC$505,"&lt;="&amp;$A55,実績!$AD$6:$AD$505,"&gt;"&amp;$A55,実績!$AE$6:$AE$505,"○")&gt;0,1,0))</f>
        <v/>
      </c>
      <c r="CT55">
        <f>IF(CT$4=0,0,IF(COUNTIFS(実績!$W$6:$W$505,CT$3,実績!$AC$6:$AC$505,"&lt;="&amp;$A55,実績!$AD$6:$AD$505,"&gt;"&amp;$A55,実績!$AE$6:$AE$505,"○")&gt;0,1,0))</f>
        <v/>
      </c>
      <c r="CU55">
        <f>IF(CU$4=0,0,IF(COUNTIFS(実績!$W$6:$W$505,CU$3,実績!$AC$6:$AC$505,"&lt;="&amp;$A55,実績!$AD$6:$AD$505,"&gt;"&amp;$A55,実績!$AE$6:$AE$505,"○")&gt;0,1,0))</f>
        <v/>
      </c>
      <c r="CV55">
        <f>IF(CV$4=0,0,IF(COUNTIFS(実績!$W$6:$W$505,CV$3,実績!$AC$6:$AC$505,"&lt;="&amp;$A55,実績!$AD$6:$AD$505,"&gt;"&amp;$A55,実績!$AE$6:$AE$505,"○")&gt;0,1,0))</f>
        <v/>
      </c>
      <c r="CW55">
        <f>IF(CW$4=0,0,IF(COUNTIFS(実績!$W$6:$W$505,CW$3,実績!$AC$6:$AC$505,"&lt;="&amp;$A55,実績!$AD$6:$AD$505,"&gt;"&amp;$A55,実績!$AE$6:$AE$505,"○")&gt;0,1,0))</f>
        <v/>
      </c>
      <c r="CX55">
        <f>IF(CX$4=0,0,IF(COUNTIFS(実績!$W$6:$W$505,CX$3,実績!$AC$6:$AC$505,"&lt;="&amp;$A55,実績!$AD$6:$AD$505,"&gt;"&amp;$A55,実績!$AE$6:$AE$505,"○")&gt;0,1,0))</f>
        <v/>
      </c>
      <c r="CY55">
        <f>IF(CY$4=0,0,IF(COUNTIFS(実績!$W$6:$W$505,CY$3,実績!$AC$6:$AC$505,"&lt;="&amp;$A55,実績!$AD$6:$AD$505,"&gt;"&amp;$A55,実績!$AE$6:$AE$505,"○")&gt;0,1,0))</f>
        <v/>
      </c>
      <c r="CZ55">
        <f>IF(CZ$4=0,0,IF(COUNTIFS(実績!$W$6:$W$505,CZ$3,実績!$AC$6:$AC$505,"&lt;="&amp;$A55,実績!$AD$6:$AD$505,"&gt;"&amp;$A55,実績!$AE$6:$AE$505,"○")&gt;0,1,0))</f>
        <v/>
      </c>
      <c r="DA55">
        <f>IF(DA$4=0,0,IF(COUNTIFS(実績!$W$6:$W$505,DA$3,実績!$AC$6:$AC$505,"&lt;="&amp;$A55,実績!$AD$6:$AD$505,"&gt;"&amp;$A55,実績!$AE$6:$AE$505,"○")&gt;0,1,0))</f>
        <v/>
      </c>
      <c r="DB55">
        <f>IF(DB$4=0,0,IF(COUNTIFS(実績!$W$6:$W$505,DB$3,実績!$AC$6:$AC$505,"&lt;="&amp;$A55,実績!$AD$6:$AD$505,"&gt;"&amp;$A55,実績!$AE$6:$AE$505,"○")&gt;0,1,0))</f>
        <v/>
      </c>
      <c r="DC55">
        <f>IF(DC$4=0,0,IF(COUNTIFS(実績!$W$6:$W$505,DC$3,実績!$AC$6:$AC$505,"&lt;="&amp;$A55,実績!$AD$6:$AD$505,"&gt;"&amp;$A55,実績!$AE$6:$AE$505,"○")&gt;0,1,0))</f>
        <v/>
      </c>
      <c r="DD55">
        <f>IF(DD$4=0,0,IF(COUNTIFS(実績!$W$6:$W$505,DD$3,実績!$AC$6:$AC$505,"&lt;="&amp;$A55,実績!$AD$6:$AD$505,"&gt;"&amp;$A55,実績!$AE$6:$AE$505,"○")&gt;0,1,0))</f>
        <v/>
      </c>
      <c r="DE55">
        <f>IF(DE$4=0,0,IF(COUNTIFS(実績!$W$6:$W$505,DE$3,実績!$AC$6:$AC$505,"&lt;="&amp;$A55,実績!$AD$6:$AD$505,"&gt;"&amp;$A55,実績!$AE$6:$AE$505,"○")&gt;0,1,0))</f>
        <v/>
      </c>
      <c r="DF55">
        <f>IF(DF$4=0,0,IF(COUNTIFS(実績!$W$6:$W$505,DF$3,実績!$AC$6:$AC$505,"&lt;="&amp;$A55,実績!$AD$6:$AD$505,"&gt;"&amp;$A55,実績!$AE$6:$AE$505,"○")&gt;0,1,0))</f>
        <v/>
      </c>
      <c r="DG55">
        <f>IF(DG$4=0,0,IF(COUNTIFS(実績!$W$6:$W$505,DG$3,実績!$AC$6:$AC$505,"&lt;="&amp;$A55,実績!$AD$6:$AD$505,"&gt;"&amp;$A55,実績!$AE$6:$AE$505,"○")&gt;0,1,0))</f>
        <v/>
      </c>
      <c r="DH55">
        <f>IF(DH$4=0,0,IF(COUNTIFS(実績!$W$6:$W$505,DH$3,実績!$AC$6:$AC$505,"&lt;="&amp;$A55,実績!$AD$6:$AD$505,"&gt;"&amp;$A55,実績!$AE$6:$AE$505,"○")&gt;0,1,0))</f>
        <v/>
      </c>
      <c r="DI55">
        <f>IF(DI$4=0,0,IF(COUNTIFS(実績!$W$6:$W$505,DI$3,実績!$AC$6:$AC$505,"&lt;="&amp;$A55,実績!$AD$6:$AD$505,"&gt;"&amp;$A55,実績!$AE$6:$AE$505,"○")&gt;0,1,0))</f>
        <v/>
      </c>
      <c r="DJ55">
        <f>IF(DJ$4=0,0,IF(COUNTIFS(実績!$W$6:$W$505,DJ$3,実績!$AC$6:$AC$505,"&lt;="&amp;$A55,実績!$AD$6:$AD$505,"&gt;"&amp;$A55,実績!$AE$6:$AE$505,"○")&gt;0,1,0))</f>
        <v/>
      </c>
      <c r="DK55">
        <f>IF(DK$4=0,0,IF(COUNTIFS(実績!$W$6:$W$505,DK$3,実績!$AC$6:$AC$505,"&lt;="&amp;$A55,実績!$AD$6:$AD$505,"&gt;"&amp;$A55,実績!$AE$6:$AE$505,"○")&gt;0,1,0))</f>
        <v/>
      </c>
      <c r="DL55">
        <f>IF(DL$4=0,0,IF(COUNTIFS(実績!$W$6:$W$505,DL$3,実績!$AC$6:$AC$505,"&lt;="&amp;$A55,実績!$AD$6:$AD$505,"&gt;"&amp;$A55,実績!$AE$6:$AE$505,"○")&gt;0,1,0))</f>
        <v/>
      </c>
      <c r="DM55">
        <f>IF(DM$4=0,0,IF(COUNTIFS(実績!$W$6:$W$505,DM$3,実績!$AC$6:$AC$505,"&lt;="&amp;$A55,実績!$AD$6:$AD$505,"&gt;"&amp;$A55,実績!$AE$6:$AE$505,"○")&gt;0,1,0))</f>
        <v/>
      </c>
      <c r="DN55">
        <f>IF(DN$4=0,0,IF(COUNTIFS(実績!$W$6:$W$505,DN$3,実績!$AC$6:$AC$505,"&lt;="&amp;$A55,実績!$AD$6:$AD$505,"&gt;"&amp;$A55,実績!$AE$6:$AE$505,"○")&gt;0,1,0))</f>
        <v/>
      </c>
      <c r="DO55">
        <f>IF(DO$4=0,0,IF(COUNTIFS(実績!$W$6:$W$505,DO$3,実績!$AC$6:$AC$505,"&lt;="&amp;$A55,実績!$AD$6:$AD$505,"&gt;"&amp;$A55,実績!$AE$6:$AE$505,"○")&gt;0,1,0))</f>
        <v/>
      </c>
      <c r="DP55">
        <f>IF(DP$4=0,0,IF(COUNTIFS(実績!$W$6:$W$505,DP$3,実績!$AC$6:$AC$505,"&lt;="&amp;$A55,実績!$AD$6:$AD$505,"&gt;"&amp;$A55,実績!$AE$6:$AE$505,"○")&gt;0,1,0))</f>
        <v/>
      </c>
      <c r="DQ55">
        <f>IF(DQ$4=0,0,IF(COUNTIFS(実績!$W$6:$W$505,DQ$3,実績!$AC$6:$AC$505,"&lt;="&amp;$A55,実績!$AD$6:$AD$505,"&gt;"&amp;$A55,実績!$AE$6:$AE$505,"○")&gt;0,1,0))</f>
        <v/>
      </c>
      <c r="DR55">
        <f>IF(DR$4=0,0,IF(COUNTIFS(実績!$W$6:$W$505,DR$3,実績!$AC$6:$AC$505,"&lt;="&amp;$A55,実績!$AD$6:$AD$505,"&gt;"&amp;$A55,実績!$AE$6:$AE$505,"○")&gt;0,1,0))</f>
        <v/>
      </c>
      <c r="DS55">
        <f>SUM(C55:DR55)</f>
        <v/>
      </c>
      <c r="DT55">
        <f>SUMPRODUCT((実績!$C$6:$C$505="○")*ISNUMBER(実績!$AF$6:$AF$505)*(実績!$AF$6:$AF$505&lt;=$A55)*(実績!$AG$6:$AG$505&gt;$A55))</f>
        <v/>
      </c>
      <c r="DU55">
        <f>SUMIF($C$2:$DR$2,"製鉄曳船",C55:DR55)</f>
        <v/>
      </c>
      <c r="DV55">
        <f>SUMIF($C$2:$DR$2,"西日本海運",C55:DR55)</f>
        <v/>
      </c>
    </row>
    <row r="56">
      <c r="A56" t="n">
        <v>250</v>
      </c>
      <c r="B56" s="29">
        <f>A56/1440</f>
        <v/>
      </c>
      <c r="C56">
        <f>IF(C$4=0,0,IF(COUNTIFS(実績!$W$6:$W$505,C$3,実績!$AC$6:$AC$505,"&lt;="&amp;$A56,実績!$AD$6:$AD$505,"&gt;"&amp;$A56,実績!$AE$6:$AE$505,"○")&gt;0,1,0))</f>
        <v/>
      </c>
      <c r="D56">
        <f>IF(D$4=0,0,IF(COUNTIFS(実績!$W$6:$W$505,D$3,実績!$AC$6:$AC$505,"&lt;="&amp;$A56,実績!$AD$6:$AD$505,"&gt;"&amp;$A56,実績!$AE$6:$AE$505,"○")&gt;0,1,0))</f>
        <v/>
      </c>
      <c r="E56">
        <f>IF(E$4=0,0,IF(COUNTIFS(実績!$W$6:$W$505,E$3,実績!$AC$6:$AC$505,"&lt;="&amp;$A56,実績!$AD$6:$AD$505,"&gt;"&amp;$A56,実績!$AE$6:$AE$505,"○")&gt;0,1,0))</f>
        <v/>
      </c>
      <c r="F56">
        <f>IF(F$4=0,0,IF(COUNTIFS(実績!$W$6:$W$505,F$3,実績!$AC$6:$AC$505,"&lt;="&amp;$A56,実績!$AD$6:$AD$505,"&gt;"&amp;$A56,実績!$AE$6:$AE$505,"○")&gt;0,1,0))</f>
        <v/>
      </c>
      <c r="G56">
        <f>IF(G$4=0,0,IF(COUNTIFS(実績!$W$6:$W$505,G$3,実績!$AC$6:$AC$505,"&lt;="&amp;$A56,実績!$AD$6:$AD$505,"&gt;"&amp;$A56,実績!$AE$6:$AE$505,"○")&gt;0,1,0))</f>
        <v/>
      </c>
      <c r="H56">
        <f>IF(H$4=0,0,IF(COUNTIFS(実績!$W$6:$W$505,H$3,実績!$AC$6:$AC$505,"&lt;="&amp;$A56,実績!$AD$6:$AD$505,"&gt;"&amp;$A56,実績!$AE$6:$AE$505,"○")&gt;0,1,0))</f>
        <v/>
      </c>
      <c r="I56">
        <f>IF(I$4=0,0,IF(COUNTIFS(実績!$W$6:$W$505,I$3,実績!$AC$6:$AC$505,"&lt;="&amp;$A56,実績!$AD$6:$AD$505,"&gt;"&amp;$A56,実績!$AE$6:$AE$505,"○")&gt;0,1,0))</f>
        <v/>
      </c>
      <c r="J56">
        <f>IF(J$4=0,0,IF(COUNTIFS(実績!$W$6:$W$505,J$3,実績!$AC$6:$AC$505,"&lt;="&amp;$A56,実績!$AD$6:$AD$505,"&gt;"&amp;$A56,実績!$AE$6:$AE$505,"○")&gt;0,1,0))</f>
        <v/>
      </c>
      <c r="K56">
        <f>IF(K$4=0,0,IF(COUNTIFS(実績!$W$6:$W$505,K$3,実績!$AC$6:$AC$505,"&lt;="&amp;$A56,実績!$AD$6:$AD$505,"&gt;"&amp;$A56,実績!$AE$6:$AE$505,"○")&gt;0,1,0))</f>
        <v/>
      </c>
      <c r="L56">
        <f>IF(L$4=0,0,IF(COUNTIFS(実績!$W$6:$W$505,L$3,実績!$AC$6:$AC$505,"&lt;="&amp;$A56,実績!$AD$6:$AD$505,"&gt;"&amp;$A56,実績!$AE$6:$AE$505,"○")&gt;0,1,0))</f>
        <v/>
      </c>
      <c r="M56">
        <f>IF(M$4=0,0,IF(COUNTIFS(実績!$W$6:$W$505,M$3,実績!$AC$6:$AC$505,"&lt;="&amp;$A56,実績!$AD$6:$AD$505,"&gt;"&amp;$A56,実績!$AE$6:$AE$505,"○")&gt;0,1,0))</f>
        <v/>
      </c>
      <c r="N56">
        <f>IF(N$4=0,0,IF(COUNTIFS(実績!$W$6:$W$505,N$3,実績!$AC$6:$AC$505,"&lt;="&amp;$A56,実績!$AD$6:$AD$505,"&gt;"&amp;$A56,実績!$AE$6:$AE$505,"○")&gt;0,1,0))</f>
        <v/>
      </c>
      <c r="O56">
        <f>IF(O$4=0,0,IF(COUNTIFS(実績!$W$6:$W$505,O$3,実績!$AC$6:$AC$505,"&lt;="&amp;$A56,実績!$AD$6:$AD$505,"&gt;"&amp;$A56,実績!$AE$6:$AE$505,"○")&gt;0,1,0))</f>
        <v/>
      </c>
      <c r="P56">
        <f>IF(P$4=0,0,IF(COUNTIFS(実績!$W$6:$W$505,P$3,実績!$AC$6:$AC$505,"&lt;="&amp;$A56,実績!$AD$6:$AD$505,"&gt;"&amp;$A56,実績!$AE$6:$AE$505,"○")&gt;0,1,0))</f>
        <v/>
      </c>
      <c r="Q56">
        <f>IF(Q$4=0,0,IF(COUNTIFS(実績!$W$6:$W$505,Q$3,実績!$AC$6:$AC$505,"&lt;="&amp;$A56,実績!$AD$6:$AD$505,"&gt;"&amp;$A56,実績!$AE$6:$AE$505,"○")&gt;0,1,0))</f>
        <v/>
      </c>
      <c r="R56">
        <f>IF(R$4=0,0,IF(COUNTIFS(実績!$W$6:$W$505,R$3,実績!$AC$6:$AC$505,"&lt;="&amp;$A56,実績!$AD$6:$AD$505,"&gt;"&amp;$A56,実績!$AE$6:$AE$505,"○")&gt;0,1,0))</f>
        <v/>
      </c>
      <c r="S56">
        <f>IF(S$4=0,0,IF(COUNTIFS(実績!$W$6:$W$505,S$3,実績!$AC$6:$AC$505,"&lt;="&amp;$A56,実績!$AD$6:$AD$505,"&gt;"&amp;$A56,実績!$AE$6:$AE$505,"○")&gt;0,1,0))</f>
        <v/>
      </c>
      <c r="T56">
        <f>IF(T$4=0,0,IF(COUNTIFS(実績!$W$6:$W$505,T$3,実績!$AC$6:$AC$505,"&lt;="&amp;$A56,実績!$AD$6:$AD$505,"&gt;"&amp;$A56,実績!$AE$6:$AE$505,"○")&gt;0,1,0))</f>
        <v/>
      </c>
      <c r="U56">
        <f>IF(U$4=0,0,IF(COUNTIFS(実績!$W$6:$W$505,U$3,実績!$AC$6:$AC$505,"&lt;="&amp;$A56,実績!$AD$6:$AD$505,"&gt;"&amp;$A56,実績!$AE$6:$AE$505,"○")&gt;0,1,0))</f>
        <v/>
      </c>
      <c r="V56">
        <f>IF(V$4=0,0,IF(COUNTIFS(実績!$W$6:$W$505,V$3,実績!$AC$6:$AC$505,"&lt;="&amp;$A56,実績!$AD$6:$AD$505,"&gt;"&amp;$A56,実績!$AE$6:$AE$505,"○")&gt;0,1,0))</f>
        <v/>
      </c>
      <c r="W56">
        <f>IF(W$4=0,0,IF(COUNTIFS(実績!$W$6:$W$505,W$3,実績!$AC$6:$AC$505,"&lt;="&amp;$A56,実績!$AD$6:$AD$505,"&gt;"&amp;$A56,実績!$AE$6:$AE$505,"○")&gt;0,1,0))</f>
        <v/>
      </c>
      <c r="X56">
        <f>IF(X$4=0,0,IF(COUNTIFS(実績!$W$6:$W$505,X$3,実績!$AC$6:$AC$505,"&lt;="&amp;$A56,実績!$AD$6:$AD$505,"&gt;"&amp;$A56,実績!$AE$6:$AE$505,"○")&gt;0,1,0))</f>
        <v/>
      </c>
      <c r="Y56">
        <f>IF(Y$4=0,0,IF(COUNTIFS(実績!$W$6:$W$505,Y$3,実績!$AC$6:$AC$505,"&lt;="&amp;$A56,実績!$AD$6:$AD$505,"&gt;"&amp;$A56,実績!$AE$6:$AE$505,"○")&gt;0,1,0))</f>
        <v/>
      </c>
      <c r="Z56">
        <f>IF(Z$4=0,0,IF(COUNTIFS(実績!$W$6:$W$505,Z$3,実績!$AC$6:$AC$505,"&lt;="&amp;$A56,実績!$AD$6:$AD$505,"&gt;"&amp;$A56,実績!$AE$6:$AE$505,"○")&gt;0,1,0))</f>
        <v/>
      </c>
      <c r="AA56">
        <f>IF(AA$4=0,0,IF(COUNTIFS(実績!$W$6:$W$505,AA$3,実績!$AC$6:$AC$505,"&lt;="&amp;$A56,実績!$AD$6:$AD$505,"&gt;"&amp;$A56,実績!$AE$6:$AE$505,"○")&gt;0,1,0))</f>
        <v/>
      </c>
      <c r="AB56">
        <f>IF(AB$4=0,0,IF(COUNTIFS(実績!$W$6:$W$505,AB$3,実績!$AC$6:$AC$505,"&lt;="&amp;$A56,実績!$AD$6:$AD$505,"&gt;"&amp;$A56,実績!$AE$6:$AE$505,"○")&gt;0,1,0))</f>
        <v/>
      </c>
      <c r="AC56">
        <f>IF(AC$4=0,0,IF(COUNTIFS(実績!$W$6:$W$505,AC$3,実績!$AC$6:$AC$505,"&lt;="&amp;$A56,実績!$AD$6:$AD$505,"&gt;"&amp;$A56,実績!$AE$6:$AE$505,"○")&gt;0,1,0))</f>
        <v/>
      </c>
      <c r="AD56">
        <f>IF(AD$4=0,0,IF(COUNTIFS(実績!$W$6:$W$505,AD$3,実績!$AC$6:$AC$505,"&lt;="&amp;$A56,実績!$AD$6:$AD$505,"&gt;"&amp;$A56,実績!$AE$6:$AE$505,"○")&gt;0,1,0))</f>
        <v/>
      </c>
      <c r="AE56">
        <f>IF(AE$4=0,0,IF(COUNTIFS(実績!$W$6:$W$505,AE$3,実績!$AC$6:$AC$505,"&lt;="&amp;$A56,実績!$AD$6:$AD$505,"&gt;"&amp;$A56,実績!$AE$6:$AE$505,"○")&gt;0,1,0))</f>
        <v/>
      </c>
      <c r="AF56">
        <f>IF(AF$4=0,0,IF(COUNTIFS(実績!$W$6:$W$505,AF$3,実績!$AC$6:$AC$505,"&lt;="&amp;$A56,実績!$AD$6:$AD$505,"&gt;"&amp;$A56,実績!$AE$6:$AE$505,"○")&gt;0,1,0))</f>
        <v/>
      </c>
      <c r="AG56">
        <f>IF(AG$4=0,0,IF(COUNTIFS(実績!$W$6:$W$505,AG$3,実績!$AC$6:$AC$505,"&lt;="&amp;$A56,実績!$AD$6:$AD$505,"&gt;"&amp;$A56,実績!$AE$6:$AE$505,"○")&gt;0,1,0))</f>
        <v/>
      </c>
      <c r="AH56">
        <f>IF(AH$4=0,0,IF(COUNTIFS(実績!$W$6:$W$505,AH$3,実績!$AC$6:$AC$505,"&lt;="&amp;$A56,実績!$AD$6:$AD$505,"&gt;"&amp;$A56,実績!$AE$6:$AE$505,"○")&gt;0,1,0))</f>
        <v/>
      </c>
      <c r="AI56">
        <f>IF(AI$4=0,0,IF(COUNTIFS(実績!$W$6:$W$505,AI$3,実績!$AC$6:$AC$505,"&lt;="&amp;$A56,実績!$AD$6:$AD$505,"&gt;"&amp;$A56,実績!$AE$6:$AE$505,"○")&gt;0,1,0))</f>
        <v/>
      </c>
      <c r="AJ56">
        <f>IF(AJ$4=0,0,IF(COUNTIFS(実績!$W$6:$W$505,AJ$3,実績!$AC$6:$AC$505,"&lt;="&amp;$A56,実績!$AD$6:$AD$505,"&gt;"&amp;$A56,実績!$AE$6:$AE$505,"○")&gt;0,1,0))</f>
        <v/>
      </c>
      <c r="AK56">
        <f>IF(AK$4=0,0,IF(COUNTIFS(実績!$W$6:$W$505,AK$3,実績!$AC$6:$AC$505,"&lt;="&amp;$A56,実績!$AD$6:$AD$505,"&gt;"&amp;$A56,実績!$AE$6:$AE$505,"○")&gt;0,1,0))</f>
        <v/>
      </c>
      <c r="AL56">
        <f>IF(AL$4=0,0,IF(COUNTIFS(実績!$W$6:$W$505,AL$3,実績!$AC$6:$AC$505,"&lt;="&amp;$A56,実績!$AD$6:$AD$505,"&gt;"&amp;$A56,実績!$AE$6:$AE$505,"○")&gt;0,1,0))</f>
        <v/>
      </c>
      <c r="AM56">
        <f>IF(AM$4=0,0,IF(COUNTIFS(実績!$W$6:$W$505,AM$3,実績!$AC$6:$AC$505,"&lt;="&amp;$A56,実績!$AD$6:$AD$505,"&gt;"&amp;$A56,実績!$AE$6:$AE$505,"○")&gt;0,1,0))</f>
        <v/>
      </c>
      <c r="AN56">
        <f>IF(AN$4=0,0,IF(COUNTIFS(実績!$W$6:$W$505,AN$3,実績!$AC$6:$AC$505,"&lt;="&amp;$A56,実績!$AD$6:$AD$505,"&gt;"&amp;$A56,実績!$AE$6:$AE$505,"○")&gt;0,1,0))</f>
        <v/>
      </c>
      <c r="AO56">
        <f>IF(AO$4=0,0,IF(COUNTIFS(実績!$W$6:$W$505,AO$3,実績!$AC$6:$AC$505,"&lt;="&amp;$A56,実績!$AD$6:$AD$505,"&gt;"&amp;$A56,実績!$AE$6:$AE$505,"○")&gt;0,1,0))</f>
        <v/>
      </c>
      <c r="AP56">
        <f>IF(AP$4=0,0,IF(COUNTIFS(実績!$W$6:$W$505,AP$3,実績!$AC$6:$AC$505,"&lt;="&amp;$A56,実績!$AD$6:$AD$505,"&gt;"&amp;$A56,実績!$AE$6:$AE$505,"○")&gt;0,1,0))</f>
        <v/>
      </c>
      <c r="AQ56">
        <f>IF(AQ$4=0,0,IF(COUNTIFS(実績!$W$6:$W$505,AQ$3,実績!$AC$6:$AC$505,"&lt;="&amp;$A56,実績!$AD$6:$AD$505,"&gt;"&amp;$A56,実績!$AE$6:$AE$505,"○")&gt;0,1,0))</f>
        <v/>
      </c>
      <c r="AR56">
        <f>IF(AR$4=0,0,IF(COUNTIFS(実績!$W$6:$W$505,AR$3,実績!$AC$6:$AC$505,"&lt;="&amp;$A56,実績!$AD$6:$AD$505,"&gt;"&amp;$A56,実績!$AE$6:$AE$505,"○")&gt;0,1,0))</f>
        <v/>
      </c>
      <c r="AS56">
        <f>IF(AS$4=0,0,IF(COUNTIFS(実績!$W$6:$W$505,AS$3,実績!$AC$6:$AC$505,"&lt;="&amp;$A56,実績!$AD$6:$AD$505,"&gt;"&amp;$A56,実績!$AE$6:$AE$505,"○")&gt;0,1,0))</f>
        <v/>
      </c>
      <c r="AT56">
        <f>IF(AT$4=0,0,IF(COUNTIFS(実績!$W$6:$W$505,AT$3,実績!$AC$6:$AC$505,"&lt;="&amp;$A56,実績!$AD$6:$AD$505,"&gt;"&amp;$A56,実績!$AE$6:$AE$505,"○")&gt;0,1,0))</f>
        <v/>
      </c>
      <c r="AU56">
        <f>IF(AU$4=0,0,IF(COUNTIFS(実績!$W$6:$W$505,AU$3,実績!$AC$6:$AC$505,"&lt;="&amp;$A56,実績!$AD$6:$AD$505,"&gt;"&amp;$A56,実績!$AE$6:$AE$505,"○")&gt;0,1,0))</f>
        <v/>
      </c>
      <c r="AV56">
        <f>IF(AV$4=0,0,IF(COUNTIFS(実績!$W$6:$W$505,AV$3,実績!$AC$6:$AC$505,"&lt;="&amp;$A56,実績!$AD$6:$AD$505,"&gt;"&amp;$A56,実績!$AE$6:$AE$505,"○")&gt;0,1,0))</f>
        <v/>
      </c>
      <c r="AW56">
        <f>IF(AW$4=0,0,IF(COUNTIFS(実績!$W$6:$W$505,AW$3,実績!$AC$6:$AC$505,"&lt;="&amp;$A56,実績!$AD$6:$AD$505,"&gt;"&amp;$A56,実績!$AE$6:$AE$505,"○")&gt;0,1,0))</f>
        <v/>
      </c>
      <c r="AX56">
        <f>IF(AX$4=0,0,IF(COUNTIFS(実績!$W$6:$W$505,AX$3,実績!$AC$6:$AC$505,"&lt;="&amp;$A56,実績!$AD$6:$AD$505,"&gt;"&amp;$A56,実績!$AE$6:$AE$505,"○")&gt;0,1,0))</f>
        <v/>
      </c>
      <c r="AY56">
        <f>IF(AY$4=0,0,IF(COUNTIFS(実績!$W$6:$W$505,AY$3,実績!$AC$6:$AC$505,"&lt;="&amp;$A56,実績!$AD$6:$AD$505,"&gt;"&amp;$A56,実績!$AE$6:$AE$505,"○")&gt;0,1,0))</f>
        <v/>
      </c>
      <c r="AZ56">
        <f>IF(AZ$4=0,0,IF(COUNTIFS(実績!$W$6:$W$505,AZ$3,実績!$AC$6:$AC$505,"&lt;="&amp;$A56,実績!$AD$6:$AD$505,"&gt;"&amp;$A56,実績!$AE$6:$AE$505,"○")&gt;0,1,0))</f>
        <v/>
      </c>
      <c r="BA56">
        <f>IF(BA$4=0,0,IF(COUNTIFS(実績!$W$6:$W$505,BA$3,実績!$AC$6:$AC$505,"&lt;="&amp;$A56,実績!$AD$6:$AD$505,"&gt;"&amp;$A56,実績!$AE$6:$AE$505,"○")&gt;0,1,0))</f>
        <v/>
      </c>
      <c r="BB56">
        <f>IF(BB$4=0,0,IF(COUNTIFS(実績!$W$6:$W$505,BB$3,実績!$AC$6:$AC$505,"&lt;="&amp;$A56,実績!$AD$6:$AD$505,"&gt;"&amp;$A56,実績!$AE$6:$AE$505,"○")&gt;0,1,0))</f>
        <v/>
      </c>
      <c r="BC56">
        <f>IF(BC$4=0,0,IF(COUNTIFS(実績!$W$6:$W$505,BC$3,実績!$AC$6:$AC$505,"&lt;="&amp;$A56,実績!$AD$6:$AD$505,"&gt;"&amp;$A56,実績!$AE$6:$AE$505,"○")&gt;0,1,0))</f>
        <v/>
      </c>
      <c r="BD56">
        <f>IF(BD$4=0,0,IF(COUNTIFS(実績!$W$6:$W$505,BD$3,実績!$AC$6:$AC$505,"&lt;="&amp;$A56,実績!$AD$6:$AD$505,"&gt;"&amp;$A56,実績!$AE$6:$AE$505,"○")&gt;0,1,0))</f>
        <v/>
      </c>
      <c r="BE56">
        <f>IF(BE$4=0,0,IF(COUNTIFS(実績!$W$6:$W$505,BE$3,実績!$AC$6:$AC$505,"&lt;="&amp;$A56,実績!$AD$6:$AD$505,"&gt;"&amp;$A56,実績!$AE$6:$AE$505,"○")&gt;0,1,0))</f>
        <v/>
      </c>
      <c r="BF56">
        <f>IF(BF$4=0,0,IF(COUNTIFS(実績!$W$6:$W$505,BF$3,実績!$AC$6:$AC$505,"&lt;="&amp;$A56,実績!$AD$6:$AD$505,"&gt;"&amp;$A56,実績!$AE$6:$AE$505,"○")&gt;0,1,0))</f>
        <v/>
      </c>
      <c r="BG56">
        <f>IF(BG$4=0,0,IF(COUNTIFS(実績!$W$6:$W$505,BG$3,実績!$AC$6:$AC$505,"&lt;="&amp;$A56,実績!$AD$6:$AD$505,"&gt;"&amp;$A56,実績!$AE$6:$AE$505,"○")&gt;0,1,0))</f>
        <v/>
      </c>
      <c r="BH56">
        <f>IF(BH$4=0,0,IF(COUNTIFS(実績!$W$6:$W$505,BH$3,実績!$AC$6:$AC$505,"&lt;="&amp;$A56,実績!$AD$6:$AD$505,"&gt;"&amp;$A56,実績!$AE$6:$AE$505,"○")&gt;0,1,0))</f>
        <v/>
      </c>
      <c r="BI56">
        <f>IF(BI$4=0,0,IF(COUNTIFS(実績!$W$6:$W$505,BI$3,実績!$AC$6:$AC$505,"&lt;="&amp;$A56,実績!$AD$6:$AD$505,"&gt;"&amp;$A56,実績!$AE$6:$AE$505,"○")&gt;0,1,0))</f>
        <v/>
      </c>
      <c r="BJ56">
        <f>IF(BJ$4=0,0,IF(COUNTIFS(実績!$W$6:$W$505,BJ$3,実績!$AC$6:$AC$505,"&lt;="&amp;$A56,実績!$AD$6:$AD$505,"&gt;"&amp;$A56,実績!$AE$6:$AE$505,"○")&gt;0,1,0))</f>
        <v/>
      </c>
      <c r="BK56">
        <f>IF(BK$4=0,0,IF(COUNTIFS(実績!$W$6:$W$505,BK$3,実績!$AC$6:$AC$505,"&lt;="&amp;$A56,実績!$AD$6:$AD$505,"&gt;"&amp;$A56,実績!$AE$6:$AE$505,"○")&gt;0,1,0))</f>
        <v/>
      </c>
      <c r="BL56">
        <f>IF(BL$4=0,0,IF(COUNTIFS(実績!$W$6:$W$505,BL$3,実績!$AC$6:$AC$505,"&lt;="&amp;$A56,実績!$AD$6:$AD$505,"&gt;"&amp;$A56,実績!$AE$6:$AE$505,"○")&gt;0,1,0))</f>
        <v/>
      </c>
      <c r="BM56">
        <f>IF(BM$4=0,0,IF(COUNTIFS(実績!$W$6:$W$505,BM$3,実績!$AC$6:$AC$505,"&lt;="&amp;$A56,実績!$AD$6:$AD$505,"&gt;"&amp;$A56,実績!$AE$6:$AE$505,"○")&gt;0,1,0))</f>
        <v/>
      </c>
      <c r="BN56">
        <f>IF(BN$4=0,0,IF(COUNTIFS(実績!$W$6:$W$505,BN$3,実績!$AC$6:$AC$505,"&lt;="&amp;$A56,実績!$AD$6:$AD$505,"&gt;"&amp;$A56,実績!$AE$6:$AE$505,"○")&gt;0,1,0))</f>
        <v/>
      </c>
      <c r="BO56">
        <f>IF(BO$4=0,0,IF(COUNTIFS(実績!$W$6:$W$505,BO$3,実績!$AC$6:$AC$505,"&lt;="&amp;$A56,実績!$AD$6:$AD$505,"&gt;"&amp;$A56,実績!$AE$6:$AE$505,"○")&gt;0,1,0))</f>
        <v/>
      </c>
      <c r="BP56">
        <f>IF(BP$4=0,0,IF(COUNTIFS(実績!$W$6:$W$505,BP$3,実績!$AC$6:$AC$505,"&lt;="&amp;$A56,実績!$AD$6:$AD$505,"&gt;"&amp;$A56,実績!$AE$6:$AE$505,"○")&gt;0,1,0))</f>
        <v/>
      </c>
      <c r="BQ56">
        <f>IF(BQ$4=0,0,IF(COUNTIFS(実績!$W$6:$W$505,BQ$3,実績!$AC$6:$AC$505,"&lt;="&amp;$A56,実績!$AD$6:$AD$505,"&gt;"&amp;$A56,実績!$AE$6:$AE$505,"○")&gt;0,1,0))</f>
        <v/>
      </c>
      <c r="BR56">
        <f>IF(BR$4=0,0,IF(COUNTIFS(実績!$W$6:$W$505,BR$3,実績!$AC$6:$AC$505,"&lt;="&amp;$A56,実績!$AD$6:$AD$505,"&gt;"&amp;$A56,実績!$AE$6:$AE$505,"○")&gt;0,1,0))</f>
        <v/>
      </c>
      <c r="BS56">
        <f>IF(BS$4=0,0,IF(COUNTIFS(実績!$W$6:$W$505,BS$3,実績!$AC$6:$AC$505,"&lt;="&amp;$A56,実績!$AD$6:$AD$505,"&gt;"&amp;$A56,実績!$AE$6:$AE$505,"○")&gt;0,1,0))</f>
        <v/>
      </c>
      <c r="BT56">
        <f>IF(BT$4=0,0,IF(COUNTIFS(実績!$W$6:$W$505,BT$3,実績!$AC$6:$AC$505,"&lt;="&amp;$A56,実績!$AD$6:$AD$505,"&gt;"&amp;$A56,実績!$AE$6:$AE$505,"○")&gt;0,1,0))</f>
        <v/>
      </c>
      <c r="BU56">
        <f>IF(BU$4=0,0,IF(COUNTIFS(実績!$W$6:$W$505,BU$3,実績!$AC$6:$AC$505,"&lt;="&amp;$A56,実績!$AD$6:$AD$505,"&gt;"&amp;$A56,実績!$AE$6:$AE$505,"○")&gt;0,1,0))</f>
        <v/>
      </c>
      <c r="BV56">
        <f>IF(BV$4=0,0,IF(COUNTIFS(実績!$W$6:$W$505,BV$3,実績!$AC$6:$AC$505,"&lt;="&amp;$A56,実績!$AD$6:$AD$505,"&gt;"&amp;$A56,実績!$AE$6:$AE$505,"○")&gt;0,1,0))</f>
        <v/>
      </c>
      <c r="BW56">
        <f>IF(BW$4=0,0,IF(COUNTIFS(実績!$W$6:$W$505,BW$3,実績!$AC$6:$AC$505,"&lt;="&amp;$A56,実績!$AD$6:$AD$505,"&gt;"&amp;$A56,実績!$AE$6:$AE$505,"○")&gt;0,1,0))</f>
        <v/>
      </c>
      <c r="BX56">
        <f>IF(BX$4=0,0,IF(COUNTIFS(実績!$W$6:$W$505,BX$3,実績!$AC$6:$AC$505,"&lt;="&amp;$A56,実績!$AD$6:$AD$505,"&gt;"&amp;$A56,実績!$AE$6:$AE$505,"○")&gt;0,1,0))</f>
        <v/>
      </c>
      <c r="BY56">
        <f>IF(BY$4=0,0,IF(COUNTIFS(実績!$W$6:$W$505,BY$3,実績!$AC$6:$AC$505,"&lt;="&amp;$A56,実績!$AD$6:$AD$505,"&gt;"&amp;$A56,実績!$AE$6:$AE$505,"○")&gt;0,1,0))</f>
        <v/>
      </c>
      <c r="BZ56">
        <f>IF(BZ$4=0,0,IF(COUNTIFS(実績!$W$6:$W$505,BZ$3,実績!$AC$6:$AC$505,"&lt;="&amp;$A56,実績!$AD$6:$AD$505,"&gt;"&amp;$A56,実績!$AE$6:$AE$505,"○")&gt;0,1,0))</f>
        <v/>
      </c>
      <c r="CA56">
        <f>IF(CA$4=0,0,IF(COUNTIFS(実績!$W$6:$W$505,CA$3,実績!$AC$6:$AC$505,"&lt;="&amp;$A56,実績!$AD$6:$AD$505,"&gt;"&amp;$A56,実績!$AE$6:$AE$505,"○")&gt;0,1,0))</f>
        <v/>
      </c>
      <c r="CB56">
        <f>IF(CB$4=0,0,IF(COUNTIFS(実績!$W$6:$W$505,CB$3,実績!$AC$6:$AC$505,"&lt;="&amp;$A56,実績!$AD$6:$AD$505,"&gt;"&amp;$A56,実績!$AE$6:$AE$505,"○")&gt;0,1,0))</f>
        <v/>
      </c>
      <c r="CC56">
        <f>IF(CC$4=0,0,IF(COUNTIFS(実績!$W$6:$W$505,CC$3,実績!$AC$6:$AC$505,"&lt;="&amp;$A56,実績!$AD$6:$AD$505,"&gt;"&amp;$A56,実績!$AE$6:$AE$505,"○")&gt;0,1,0))</f>
        <v/>
      </c>
      <c r="CD56">
        <f>IF(CD$4=0,0,IF(COUNTIFS(実績!$W$6:$W$505,CD$3,実績!$AC$6:$AC$505,"&lt;="&amp;$A56,実績!$AD$6:$AD$505,"&gt;"&amp;$A56,実績!$AE$6:$AE$505,"○")&gt;0,1,0))</f>
        <v/>
      </c>
      <c r="CE56">
        <f>IF(CE$4=0,0,IF(COUNTIFS(実績!$W$6:$W$505,CE$3,実績!$AC$6:$AC$505,"&lt;="&amp;$A56,実績!$AD$6:$AD$505,"&gt;"&amp;$A56,実績!$AE$6:$AE$505,"○")&gt;0,1,0))</f>
        <v/>
      </c>
      <c r="CF56">
        <f>IF(CF$4=0,0,IF(COUNTIFS(実績!$W$6:$W$505,CF$3,実績!$AC$6:$AC$505,"&lt;="&amp;$A56,実績!$AD$6:$AD$505,"&gt;"&amp;$A56,実績!$AE$6:$AE$505,"○")&gt;0,1,0))</f>
        <v/>
      </c>
      <c r="CG56">
        <f>IF(CG$4=0,0,IF(COUNTIFS(実績!$W$6:$W$505,CG$3,実績!$AC$6:$AC$505,"&lt;="&amp;$A56,実績!$AD$6:$AD$505,"&gt;"&amp;$A56,実績!$AE$6:$AE$505,"○")&gt;0,1,0))</f>
        <v/>
      </c>
      <c r="CH56">
        <f>IF(CH$4=0,0,IF(COUNTIFS(実績!$W$6:$W$505,CH$3,実績!$AC$6:$AC$505,"&lt;="&amp;$A56,実績!$AD$6:$AD$505,"&gt;"&amp;$A56,実績!$AE$6:$AE$505,"○")&gt;0,1,0))</f>
        <v/>
      </c>
      <c r="CI56">
        <f>IF(CI$4=0,0,IF(COUNTIFS(実績!$W$6:$W$505,CI$3,実績!$AC$6:$AC$505,"&lt;="&amp;$A56,実績!$AD$6:$AD$505,"&gt;"&amp;$A56,実績!$AE$6:$AE$505,"○")&gt;0,1,0))</f>
        <v/>
      </c>
      <c r="CJ56">
        <f>IF(CJ$4=0,0,IF(COUNTIFS(実績!$W$6:$W$505,CJ$3,実績!$AC$6:$AC$505,"&lt;="&amp;$A56,実績!$AD$6:$AD$505,"&gt;"&amp;$A56,実績!$AE$6:$AE$505,"○")&gt;0,1,0))</f>
        <v/>
      </c>
      <c r="CK56">
        <f>IF(CK$4=0,0,IF(COUNTIFS(実績!$W$6:$W$505,CK$3,実績!$AC$6:$AC$505,"&lt;="&amp;$A56,実績!$AD$6:$AD$505,"&gt;"&amp;$A56,実績!$AE$6:$AE$505,"○")&gt;0,1,0))</f>
        <v/>
      </c>
      <c r="CL56">
        <f>IF(CL$4=0,0,IF(COUNTIFS(実績!$W$6:$W$505,CL$3,実績!$AC$6:$AC$505,"&lt;="&amp;$A56,実績!$AD$6:$AD$505,"&gt;"&amp;$A56,実績!$AE$6:$AE$505,"○")&gt;0,1,0))</f>
        <v/>
      </c>
      <c r="CM56">
        <f>IF(CM$4=0,0,IF(COUNTIFS(実績!$W$6:$W$505,CM$3,実績!$AC$6:$AC$505,"&lt;="&amp;$A56,実績!$AD$6:$AD$505,"&gt;"&amp;$A56,実績!$AE$6:$AE$505,"○")&gt;0,1,0))</f>
        <v/>
      </c>
      <c r="CN56">
        <f>IF(CN$4=0,0,IF(COUNTIFS(実績!$W$6:$W$505,CN$3,実績!$AC$6:$AC$505,"&lt;="&amp;$A56,実績!$AD$6:$AD$505,"&gt;"&amp;$A56,実績!$AE$6:$AE$505,"○")&gt;0,1,0))</f>
        <v/>
      </c>
      <c r="CO56">
        <f>IF(CO$4=0,0,IF(COUNTIFS(実績!$W$6:$W$505,CO$3,実績!$AC$6:$AC$505,"&lt;="&amp;$A56,実績!$AD$6:$AD$505,"&gt;"&amp;$A56,実績!$AE$6:$AE$505,"○")&gt;0,1,0))</f>
        <v/>
      </c>
      <c r="CP56">
        <f>IF(CP$4=0,0,IF(COUNTIFS(実績!$W$6:$W$505,CP$3,実績!$AC$6:$AC$505,"&lt;="&amp;$A56,実績!$AD$6:$AD$505,"&gt;"&amp;$A56,実績!$AE$6:$AE$505,"○")&gt;0,1,0))</f>
        <v/>
      </c>
      <c r="CQ56">
        <f>IF(CQ$4=0,0,IF(COUNTIFS(実績!$W$6:$W$505,CQ$3,実績!$AC$6:$AC$505,"&lt;="&amp;$A56,実績!$AD$6:$AD$505,"&gt;"&amp;$A56,実績!$AE$6:$AE$505,"○")&gt;0,1,0))</f>
        <v/>
      </c>
      <c r="CR56">
        <f>IF(CR$4=0,0,IF(COUNTIFS(実績!$W$6:$W$505,CR$3,実績!$AC$6:$AC$505,"&lt;="&amp;$A56,実績!$AD$6:$AD$505,"&gt;"&amp;$A56,実績!$AE$6:$AE$505,"○")&gt;0,1,0))</f>
        <v/>
      </c>
      <c r="CS56">
        <f>IF(CS$4=0,0,IF(COUNTIFS(実績!$W$6:$W$505,CS$3,実績!$AC$6:$AC$505,"&lt;="&amp;$A56,実績!$AD$6:$AD$505,"&gt;"&amp;$A56,実績!$AE$6:$AE$505,"○")&gt;0,1,0))</f>
        <v/>
      </c>
      <c r="CT56">
        <f>IF(CT$4=0,0,IF(COUNTIFS(実績!$W$6:$W$505,CT$3,実績!$AC$6:$AC$505,"&lt;="&amp;$A56,実績!$AD$6:$AD$505,"&gt;"&amp;$A56,実績!$AE$6:$AE$505,"○")&gt;0,1,0))</f>
        <v/>
      </c>
      <c r="CU56">
        <f>IF(CU$4=0,0,IF(COUNTIFS(実績!$W$6:$W$505,CU$3,実績!$AC$6:$AC$505,"&lt;="&amp;$A56,実績!$AD$6:$AD$505,"&gt;"&amp;$A56,実績!$AE$6:$AE$505,"○")&gt;0,1,0))</f>
        <v/>
      </c>
      <c r="CV56">
        <f>IF(CV$4=0,0,IF(COUNTIFS(実績!$W$6:$W$505,CV$3,実績!$AC$6:$AC$505,"&lt;="&amp;$A56,実績!$AD$6:$AD$505,"&gt;"&amp;$A56,実績!$AE$6:$AE$505,"○")&gt;0,1,0))</f>
        <v/>
      </c>
      <c r="CW56">
        <f>IF(CW$4=0,0,IF(COUNTIFS(実績!$W$6:$W$505,CW$3,実績!$AC$6:$AC$505,"&lt;="&amp;$A56,実績!$AD$6:$AD$505,"&gt;"&amp;$A56,実績!$AE$6:$AE$505,"○")&gt;0,1,0))</f>
        <v/>
      </c>
      <c r="CX56">
        <f>IF(CX$4=0,0,IF(COUNTIFS(実績!$W$6:$W$505,CX$3,実績!$AC$6:$AC$505,"&lt;="&amp;$A56,実績!$AD$6:$AD$505,"&gt;"&amp;$A56,実績!$AE$6:$AE$505,"○")&gt;0,1,0))</f>
        <v/>
      </c>
      <c r="CY56">
        <f>IF(CY$4=0,0,IF(COUNTIFS(実績!$W$6:$W$505,CY$3,実績!$AC$6:$AC$505,"&lt;="&amp;$A56,実績!$AD$6:$AD$505,"&gt;"&amp;$A56,実績!$AE$6:$AE$505,"○")&gt;0,1,0))</f>
        <v/>
      </c>
      <c r="CZ56">
        <f>IF(CZ$4=0,0,IF(COUNTIFS(実績!$W$6:$W$505,CZ$3,実績!$AC$6:$AC$505,"&lt;="&amp;$A56,実績!$AD$6:$AD$505,"&gt;"&amp;$A56,実績!$AE$6:$AE$505,"○")&gt;0,1,0))</f>
        <v/>
      </c>
      <c r="DA56">
        <f>IF(DA$4=0,0,IF(COUNTIFS(実績!$W$6:$W$505,DA$3,実績!$AC$6:$AC$505,"&lt;="&amp;$A56,実績!$AD$6:$AD$505,"&gt;"&amp;$A56,実績!$AE$6:$AE$505,"○")&gt;0,1,0))</f>
        <v/>
      </c>
      <c r="DB56">
        <f>IF(DB$4=0,0,IF(COUNTIFS(実績!$W$6:$W$505,DB$3,実績!$AC$6:$AC$505,"&lt;="&amp;$A56,実績!$AD$6:$AD$505,"&gt;"&amp;$A56,実績!$AE$6:$AE$505,"○")&gt;0,1,0))</f>
        <v/>
      </c>
      <c r="DC56">
        <f>IF(DC$4=0,0,IF(COUNTIFS(実績!$W$6:$W$505,DC$3,実績!$AC$6:$AC$505,"&lt;="&amp;$A56,実績!$AD$6:$AD$505,"&gt;"&amp;$A56,実績!$AE$6:$AE$505,"○")&gt;0,1,0))</f>
        <v/>
      </c>
      <c r="DD56">
        <f>IF(DD$4=0,0,IF(COUNTIFS(実績!$W$6:$W$505,DD$3,実績!$AC$6:$AC$505,"&lt;="&amp;$A56,実績!$AD$6:$AD$505,"&gt;"&amp;$A56,実績!$AE$6:$AE$505,"○")&gt;0,1,0))</f>
        <v/>
      </c>
      <c r="DE56">
        <f>IF(DE$4=0,0,IF(COUNTIFS(実績!$W$6:$W$505,DE$3,実績!$AC$6:$AC$505,"&lt;="&amp;$A56,実績!$AD$6:$AD$505,"&gt;"&amp;$A56,実績!$AE$6:$AE$505,"○")&gt;0,1,0))</f>
        <v/>
      </c>
      <c r="DF56">
        <f>IF(DF$4=0,0,IF(COUNTIFS(実績!$W$6:$W$505,DF$3,実績!$AC$6:$AC$505,"&lt;="&amp;$A56,実績!$AD$6:$AD$505,"&gt;"&amp;$A56,実績!$AE$6:$AE$505,"○")&gt;0,1,0))</f>
        <v/>
      </c>
      <c r="DG56">
        <f>IF(DG$4=0,0,IF(COUNTIFS(実績!$W$6:$W$505,DG$3,実績!$AC$6:$AC$505,"&lt;="&amp;$A56,実績!$AD$6:$AD$505,"&gt;"&amp;$A56,実績!$AE$6:$AE$505,"○")&gt;0,1,0))</f>
        <v/>
      </c>
      <c r="DH56">
        <f>IF(DH$4=0,0,IF(COUNTIFS(実績!$W$6:$W$505,DH$3,実績!$AC$6:$AC$505,"&lt;="&amp;$A56,実績!$AD$6:$AD$505,"&gt;"&amp;$A56,実績!$AE$6:$AE$505,"○")&gt;0,1,0))</f>
        <v/>
      </c>
      <c r="DI56">
        <f>IF(DI$4=0,0,IF(COUNTIFS(実績!$W$6:$W$505,DI$3,実績!$AC$6:$AC$505,"&lt;="&amp;$A56,実績!$AD$6:$AD$505,"&gt;"&amp;$A56,実績!$AE$6:$AE$505,"○")&gt;0,1,0))</f>
        <v/>
      </c>
      <c r="DJ56">
        <f>IF(DJ$4=0,0,IF(COUNTIFS(実績!$W$6:$W$505,DJ$3,実績!$AC$6:$AC$505,"&lt;="&amp;$A56,実績!$AD$6:$AD$505,"&gt;"&amp;$A56,実績!$AE$6:$AE$505,"○")&gt;0,1,0))</f>
        <v/>
      </c>
      <c r="DK56">
        <f>IF(DK$4=0,0,IF(COUNTIFS(実績!$W$6:$W$505,DK$3,実績!$AC$6:$AC$505,"&lt;="&amp;$A56,実績!$AD$6:$AD$505,"&gt;"&amp;$A56,実績!$AE$6:$AE$505,"○")&gt;0,1,0))</f>
        <v/>
      </c>
      <c r="DL56">
        <f>IF(DL$4=0,0,IF(COUNTIFS(実績!$W$6:$W$505,DL$3,実績!$AC$6:$AC$505,"&lt;="&amp;$A56,実績!$AD$6:$AD$505,"&gt;"&amp;$A56,実績!$AE$6:$AE$505,"○")&gt;0,1,0))</f>
        <v/>
      </c>
      <c r="DM56">
        <f>IF(DM$4=0,0,IF(COUNTIFS(実績!$W$6:$W$505,DM$3,実績!$AC$6:$AC$505,"&lt;="&amp;$A56,実績!$AD$6:$AD$505,"&gt;"&amp;$A56,実績!$AE$6:$AE$505,"○")&gt;0,1,0))</f>
        <v/>
      </c>
      <c r="DN56">
        <f>IF(DN$4=0,0,IF(COUNTIFS(実績!$W$6:$W$505,DN$3,実績!$AC$6:$AC$505,"&lt;="&amp;$A56,実績!$AD$6:$AD$505,"&gt;"&amp;$A56,実績!$AE$6:$AE$505,"○")&gt;0,1,0))</f>
        <v/>
      </c>
      <c r="DO56">
        <f>IF(DO$4=0,0,IF(COUNTIFS(実績!$W$6:$W$505,DO$3,実績!$AC$6:$AC$505,"&lt;="&amp;$A56,実績!$AD$6:$AD$505,"&gt;"&amp;$A56,実績!$AE$6:$AE$505,"○")&gt;0,1,0))</f>
        <v/>
      </c>
      <c r="DP56">
        <f>IF(DP$4=0,0,IF(COUNTIFS(実績!$W$6:$W$505,DP$3,実績!$AC$6:$AC$505,"&lt;="&amp;$A56,実績!$AD$6:$AD$505,"&gt;"&amp;$A56,実績!$AE$6:$AE$505,"○")&gt;0,1,0))</f>
        <v/>
      </c>
      <c r="DQ56">
        <f>IF(DQ$4=0,0,IF(COUNTIFS(実績!$W$6:$W$505,DQ$3,実績!$AC$6:$AC$505,"&lt;="&amp;$A56,実績!$AD$6:$AD$505,"&gt;"&amp;$A56,実績!$AE$6:$AE$505,"○")&gt;0,1,0))</f>
        <v/>
      </c>
      <c r="DR56">
        <f>IF(DR$4=0,0,IF(COUNTIFS(実績!$W$6:$W$505,DR$3,実績!$AC$6:$AC$505,"&lt;="&amp;$A56,実績!$AD$6:$AD$505,"&gt;"&amp;$A56,実績!$AE$6:$AE$505,"○")&gt;0,1,0))</f>
        <v/>
      </c>
      <c r="DS56">
        <f>SUM(C56:DR56)</f>
        <v/>
      </c>
      <c r="DT56">
        <f>SUMPRODUCT((実績!$C$6:$C$505="○")*ISNUMBER(実績!$AF$6:$AF$505)*(実績!$AF$6:$AF$505&lt;=$A56)*(実績!$AG$6:$AG$505&gt;$A56))</f>
        <v/>
      </c>
      <c r="DU56">
        <f>SUMIF($C$2:$DR$2,"製鉄曳船",C56:DR56)</f>
        <v/>
      </c>
      <c r="DV56">
        <f>SUMIF($C$2:$DR$2,"西日本海運",C56:DR56)</f>
        <v/>
      </c>
    </row>
    <row r="57">
      <c r="A57" t="n">
        <v>255</v>
      </c>
      <c r="B57" s="29">
        <f>A57/1440</f>
        <v/>
      </c>
      <c r="C57">
        <f>IF(C$4=0,0,IF(COUNTIFS(実績!$W$6:$W$505,C$3,実績!$AC$6:$AC$505,"&lt;="&amp;$A57,実績!$AD$6:$AD$505,"&gt;"&amp;$A57,実績!$AE$6:$AE$505,"○")&gt;0,1,0))</f>
        <v/>
      </c>
      <c r="D57">
        <f>IF(D$4=0,0,IF(COUNTIFS(実績!$W$6:$W$505,D$3,実績!$AC$6:$AC$505,"&lt;="&amp;$A57,実績!$AD$6:$AD$505,"&gt;"&amp;$A57,実績!$AE$6:$AE$505,"○")&gt;0,1,0))</f>
        <v/>
      </c>
      <c r="E57">
        <f>IF(E$4=0,0,IF(COUNTIFS(実績!$W$6:$W$505,E$3,実績!$AC$6:$AC$505,"&lt;="&amp;$A57,実績!$AD$6:$AD$505,"&gt;"&amp;$A57,実績!$AE$6:$AE$505,"○")&gt;0,1,0))</f>
        <v/>
      </c>
      <c r="F57">
        <f>IF(F$4=0,0,IF(COUNTIFS(実績!$W$6:$W$505,F$3,実績!$AC$6:$AC$505,"&lt;="&amp;$A57,実績!$AD$6:$AD$505,"&gt;"&amp;$A57,実績!$AE$6:$AE$505,"○")&gt;0,1,0))</f>
        <v/>
      </c>
      <c r="G57">
        <f>IF(G$4=0,0,IF(COUNTIFS(実績!$W$6:$W$505,G$3,実績!$AC$6:$AC$505,"&lt;="&amp;$A57,実績!$AD$6:$AD$505,"&gt;"&amp;$A57,実績!$AE$6:$AE$505,"○")&gt;0,1,0))</f>
        <v/>
      </c>
      <c r="H57">
        <f>IF(H$4=0,0,IF(COUNTIFS(実績!$W$6:$W$505,H$3,実績!$AC$6:$AC$505,"&lt;="&amp;$A57,実績!$AD$6:$AD$505,"&gt;"&amp;$A57,実績!$AE$6:$AE$505,"○")&gt;0,1,0))</f>
        <v/>
      </c>
      <c r="I57">
        <f>IF(I$4=0,0,IF(COUNTIFS(実績!$W$6:$W$505,I$3,実績!$AC$6:$AC$505,"&lt;="&amp;$A57,実績!$AD$6:$AD$505,"&gt;"&amp;$A57,実績!$AE$6:$AE$505,"○")&gt;0,1,0))</f>
        <v/>
      </c>
      <c r="J57">
        <f>IF(J$4=0,0,IF(COUNTIFS(実績!$W$6:$W$505,J$3,実績!$AC$6:$AC$505,"&lt;="&amp;$A57,実績!$AD$6:$AD$505,"&gt;"&amp;$A57,実績!$AE$6:$AE$505,"○")&gt;0,1,0))</f>
        <v/>
      </c>
      <c r="K57">
        <f>IF(K$4=0,0,IF(COUNTIFS(実績!$W$6:$W$505,K$3,実績!$AC$6:$AC$505,"&lt;="&amp;$A57,実績!$AD$6:$AD$505,"&gt;"&amp;$A57,実績!$AE$6:$AE$505,"○")&gt;0,1,0))</f>
        <v/>
      </c>
      <c r="L57">
        <f>IF(L$4=0,0,IF(COUNTIFS(実績!$W$6:$W$505,L$3,実績!$AC$6:$AC$505,"&lt;="&amp;$A57,実績!$AD$6:$AD$505,"&gt;"&amp;$A57,実績!$AE$6:$AE$505,"○")&gt;0,1,0))</f>
        <v/>
      </c>
      <c r="M57">
        <f>IF(M$4=0,0,IF(COUNTIFS(実績!$W$6:$W$505,M$3,実績!$AC$6:$AC$505,"&lt;="&amp;$A57,実績!$AD$6:$AD$505,"&gt;"&amp;$A57,実績!$AE$6:$AE$505,"○")&gt;0,1,0))</f>
        <v/>
      </c>
      <c r="N57">
        <f>IF(N$4=0,0,IF(COUNTIFS(実績!$W$6:$W$505,N$3,実績!$AC$6:$AC$505,"&lt;="&amp;$A57,実績!$AD$6:$AD$505,"&gt;"&amp;$A57,実績!$AE$6:$AE$505,"○")&gt;0,1,0))</f>
        <v/>
      </c>
      <c r="O57">
        <f>IF(O$4=0,0,IF(COUNTIFS(実績!$W$6:$W$505,O$3,実績!$AC$6:$AC$505,"&lt;="&amp;$A57,実績!$AD$6:$AD$505,"&gt;"&amp;$A57,実績!$AE$6:$AE$505,"○")&gt;0,1,0))</f>
        <v/>
      </c>
      <c r="P57">
        <f>IF(P$4=0,0,IF(COUNTIFS(実績!$W$6:$W$505,P$3,実績!$AC$6:$AC$505,"&lt;="&amp;$A57,実績!$AD$6:$AD$505,"&gt;"&amp;$A57,実績!$AE$6:$AE$505,"○")&gt;0,1,0))</f>
        <v/>
      </c>
      <c r="Q57">
        <f>IF(Q$4=0,0,IF(COUNTIFS(実績!$W$6:$W$505,Q$3,実績!$AC$6:$AC$505,"&lt;="&amp;$A57,実績!$AD$6:$AD$505,"&gt;"&amp;$A57,実績!$AE$6:$AE$505,"○")&gt;0,1,0))</f>
        <v/>
      </c>
      <c r="R57">
        <f>IF(R$4=0,0,IF(COUNTIFS(実績!$W$6:$W$505,R$3,実績!$AC$6:$AC$505,"&lt;="&amp;$A57,実績!$AD$6:$AD$505,"&gt;"&amp;$A57,実績!$AE$6:$AE$505,"○")&gt;0,1,0))</f>
        <v/>
      </c>
      <c r="S57">
        <f>IF(S$4=0,0,IF(COUNTIFS(実績!$W$6:$W$505,S$3,実績!$AC$6:$AC$505,"&lt;="&amp;$A57,実績!$AD$6:$AD$505,"&gt;"&amp;$A57,実績!$AE$6:$AE$505,"○")&gt;0,1,0))</f>
        <v/>
      </c>
      <c r="T57">
        <f>IF(T$4=0,0,IF(COUNTIFS(実績!$W$6:$W$505,T$3,実績!$AC$6:$AC$505,"&lt;="&amp;$A57,実績!$AD$6:$AD$505,"&gt;"&amp;$A57,実績!$AE$6:$AE$505,"○")&gt;0,1,0))</f>
        <v/>
      </c>
      <c r="U57">
        <f>IF(U$4=0,0,IF(COUNTIFS(実績!$W$6:$W$505,U$3,実績!$AC$6:$AC$505,"&lt;="&amp;$A57,実績!$AD$6:$AD$505,"&gt;"&amp;$A57,実績!$AE$6:$AE$505,"○")&gt;0,1,0))</f>
        <v/>
      </c>
      <c r="V57">
        <f>IF(V$4=0,0,IF(COUNTIFS(実績!$W$6:$W$505,V$3,実績!$AC$6:$AC$505,"&lt;="&amp;$A57,実績!$AD$6:$AD$505,"&gt;"&amp;$A57,実績!$AE$6:$AE$505,"○")&gt;0,1,0))</f>
        <v/>
      </c>
      <c r="W57">
        <f>IF(W$4=0,0,IF(COUNTIFS(実績!$W$6:$W$505,W$3,実績!$AC$6:$AC$505,"&lt;="&amp;$A57,実績!$AD$6:$AD$505,"&gt;"&amp;$A57,実績!$AE$6:$AE$505,"○")&gt;0,1,0))</f>
        <v/>
      </c>
      <c r="X57">
        <f>IF(X$4=0,0,IF(COUNTIFS(実績!$W$6:$W$505,X$3,実績!$AC$6:$AC$505,"&lt;="&amp;$A57,実績!$AD$6:$AD$505,"&gt;"&amp;$A57,実績!$AE$6:$AE$505,"○")&gt;0,1,0))</f>
        <v/>
      </c>
      <c r="Y57">
        <f>IF(Y$4=0,0,IF(COUNTIFS(実績!$W$6:$W$505,Y$3,実績!$AC$6:$AC$505,"&lt;="&amp;$A57,実績!$AD$6:$AD$505,"&gt;"&amp;$A57,実績!$AE$6:$AE$505,"○")&gt;0,1,0))</f>
        <v/>
      </c>
      <c r="Z57">
        <f>IF(Z$4=0,0,IF(COUNTIFS(実績!$W$6:$W$505,Z$3,実績!$AC$6:$AC$505,"&lt;="&amp;$A57,実績!$AD$6:$AD$505,"&gt;"&amp;$A57,実績!$AE$6:$AE$505,"○")&gt;0,1,0))</f>
        <v/>
      </c>
      <c r="AA57">
        <f>IF(AA$4=0,0,IF(COUNTIFS(実績!$W$6:$W$505,AA$3,実績!$AC$6:$AC$505,"&lt;="&amp;$A57,実績!$AD$6:$AD$505,"&gt;"&amp;$A57,実績!$AE$6:$AE$505,"○")&gt;0,1,0))</f>
        <v/>
      </c>
      <c r="AB57">
        <f>IF(AB$4=0,0,IF(COUNTIFS(実績!$W$6:$W$505,AB$3,実績!$AC$6:$AC$505,"&lt;="&amp;$A57,実績!$AD$6:$AD$505,"&gt;"&amp;$A57,実績!$AE$6:$AE$505,"○")&gt;0,1,0))</f>
        <v/>
      </c>
      <c r="AC57">
        <f>IF(AC$4=0,0,IF(COUNTIFS(実績!$W$6:$W$505,AC$3,実績!$AC$6:$AC$505,"&lt;="&amp;$A57,実績!$AD$6:$AD$505,"&gt;"&amp;$A57,実績!$AE$6:$AE$505,"○")&gt;0,1,0))</f>
        <v/>
      </c>
      <c r="AD57">
        <f>IF(AD$4=0,0,IF(COUNTIFS(実績!$W$6:$W$505,AD$3,実績!$AC$6:$AC$505,"&lt;="&amp;$A57,実績!$AD$6:$AD$505,"&gt;"&amp;$A57,実績!$AE$6:$AE$505,"○")&gt;0,1,0))</f>
        <v/>
      </c>
      <c r="AE57">
        <f>IF(AE$4=0,0,IF(COUNTIFS(実績!$W$6:$W$505,AE$3,実績!$AC$6:$AC$505,"&lt;="&amp;$A57,実績!$AD$6:$AD$505,"&gt;"&amp;$A57,実績!$AE$6:$AE$505,"○")&gt;0,1,0))</f>
        <v/>
      </c>
      <c r="AF57">
        <f>IF(AF$4=0,0,IF(COUNTIFS(実績!$W$6:$W$505,AF$3,実績!$AC$6:$AC$505,"&lt;="&amp;$A57,実績!$AD$6:$AD$505,"&gt;"&amp;$A57,実績!$AE$6:$AE$505,"○")&gt;0,1,0))</f>
        <v/>
      </c>
      <c r="AG57">
        <f>IF(AG$4=0,0,IF(COUNTIFS(実績!$W$6:$W$505,AG$3,実績!$AC$6:$AC$505,"&lt;="&amp;$A57,実績!$AD$6:$AD$505,"&gt;"&amp;$A57,実績!$AE$6:$AE$505,"○")&gt;0,1,0))</f>
        <v/>
      </c>
      <c r="AH57">
        <f>IF(AH$4=0,0,IF(COUNTIFS(実績!$W$6:$W$505,AH$3,実績!$AC$6:$AC$505,"&lt;="&amp;$A57,実績!$AD$6:$AD$505,"&gt;"&amp;$A57,実績!$AE$6:$AE$505,"○")&gt;0,1,0))</f>
        <v/>
      </c>
      <c r="AI57">
        <f>IF(AI$4=0,0,IF(COUNTIFS(実績!$W$6:$W$505,AI$3,実績!$AC$6:$AC$505,"&lt;="&amp;$A57,実績!$AD$6:$AD$505,"&gt;"&amp;$A57,実績!$AE$6:$AE$505,"○")&gt;0,1,0))</f>
        <v/>
      </c>
      <c r="AJ57">
        <f>IF(AJ$4=0,0,IF(COUNTIFS(実績!$W$6:$W$505,AJ$3,実績!$AC$6:$AC$505,"&lt;="&amp;$A57,実績!$AD$6:$AD$505,"&gt;"&amp;$A57,実績!$AE$6:$AE$505,"○")&gt;0,1,0))</f>
        <v/>
      </c>
      <c r="AK57">
        <f>IF(AK$4=0,0,IF(COUNTIFS(実績!$W$6:$W$505,AK$3,実績!$AC$6:$AC$505,"&lt;="&amp;$A57,実績!$AD$6:$AD$505,"&gt;"&amp;$A57,実績!$AE$6:$AE$505,"○")&gt;0,1,0))</f>
        <v/>
      </c>
      <c r="AL57">
        <f>IF(AL$4=0,0,IF(COUNTIFS(実績!$W$6:$W$505,AL$3,実績!$AC$6:$AC$505,"&lt;="&amp;$A57,実績!$AD$6:$AD$505,"&gt;"&amp;$A57,実績!$AE$6:$AE$505,"○")&gt;0,1,0))</f>
        <v/>
      </c>
      <c r="AM57">
        <f>IF(AM$4=0,0,IF(COUNTIFS(実績!$W$6:$W$505,AM$3,実績!$AC$6:$AC$505,"&lt;="&amp;$A57,実績!$AD$6:$AD$505,"&gt;"&amp;$A57,実績!$AE$6:$AE$505,"○")&gt;0,1,0))</f>
        <v/>
      </c>
      <c r="AN57">
        <f>IF(AN$4=0,0,IF(COUNTIFS(実績!$W$6:$W$505,AN$3,実績!$AC$6:$AC$505,"&lt;="&amp;$A57,実績!$AD$6:$AD$505,"&gt;"&amp;$A57,実績!$AE$6:$AE$505,"○")&gt;0,1,0))</f>
        <v/>
      </c>
      <c r="AO57">
        <f>IF(AO$4=0,0,IF(COUNTIFS(実績!$W$6:$W$505,AO$3,実績!$AC$6:$AC$505,"&lt;="&amp;$A57,実績!$AD$6:$AD$505,"&gt;"&amp;$A57,実績!$AE$6:$AE$505,"○")&gt;0,1,0))</f>
        <v/>
      </c>
      <c r="AP57">
        <f>IF(AP$4=0,0,IF(COUNTIFS(実績!$W$6:$W$505,AP$3,実績!$AC$6:$AC$505,"&lt;="&amp;$A57,実績!$AD$6:$AD$505,"&gt;"&amp;$A57,実績!$AE$6:$AE$505,"○")&gt;0,1,0))</f>
        <v/>
      </c>
      <c r="AQ57">
        <f>IF(AQ$4=0,0,IF(COUNTIFS(実績!$W$6:$W$505,AQ$3,実績!$AC$6:$AC$505,"&lt;="&amp;$A57,実績!$AD$6:$AD$505,"&gt;"&amp;$A57,実績!$AE$6:$AE$505,"○")&gt;0,1,0))</f>
        <v/>
      </c>
      <c r="AR57">
        <f>IF(AR$4=0,0,IF(COUNTIFS(実績!$W$6:$W$505,AR$3,実績!$AC$6:$AC$505,"&lt;="&amp;$A57,実績!$AD$6:$AD$505,"&gt;"&amp;$A57,実績!$AE$6:$AE$505,"○")&gt;0,1,0))</f>
        <v/>
      </c>
      <c r="AS57">
        <f>IF(AS$4=0,0,IF(COUNTIFS(実績!$W$6:$W$505,AS$3,実績!$AC$6:$AC$505,"&lt;="&amp;$A57,実績!$AD$6:$AD$505,"&gt;"&amp;$A57,実績!$AE$6:$AE$505,"○")&gt;0,1,0))</f>
        <v/>
      </c>
      <c r="AT57">
        <f>IF(AT$4=0,0,IF(COUNTIFS(実績!$W$6:$W$505,AT$3,実績!$AC$6:$AC$505,"&lt;="&amp;$A57,実績!$AD$6:$AD$505,"&gt;"&amp;$A57,実績!$AE$6:$AE$505,"○")&gt;0,1,0))</f>
        <v/>
      </c>
      <c r="AU57">
        <f>IF(AU$4=0,0,IF(COUNTIFS(実績!$W$6:$W$505,AU$3,実績!$AC$6:$AC$505,"&lt;="&amp;$A57,実績!$AD$6:$AD$505,"&gt;"&amp;$A57,実績!$AE$6:$AE$505,"○")&gt;0,1,0))</f>
        <v/>
      </c>
      <c r="AV57">
        <f>IF(AV$4=0,0,IF(COUNTIFS(実績!$W$6:$W$505,AV$3,実績!$AC$6:$AC$505,"&lt;="&amp;$A57,実績!$AD$6:$AD$505,"&gt;"&amp;$A57,実績!$AE$6:$AE$505,"○")&gt;0,1,0))</f>
        <v/>
      </c>
      <c r="AW57">
        <f>IF(AW$4=0,0,IF(COUNTIFS(実績!$W$6:$W$505,AW$3,実績!$AC$6:$AC$505,"&lt;="&amp;$A57,実績!$AD$6:$AD$505,"&gt;"&amp;$A57,実績!$AE$6:$AE$505,"○")&gt;0,1,0))</f>
        <v/>
      </c>
      <c r="AX57">
        <f>IF(AX$4=0,0,IF(COUNTIFS(実績!$W$6:$W$505,AX$3,実績!$AC$6:$AC$505,"&lt;="&amp;$A57,実績!$AD$6:$AD$505,"&gt;"&amp;$A57,実績!$AE$6:$AE$505,"○")&gt;0,1,0))</f>
        <v/>
      </c>
      <c r="AY57">
        <f>IF(AY$4=0,0,IF(COUNTIFS(実績!$W$6:$W$505,AY$3,実績!$AC$6:$AC$505,"&lt;="&amp;$A57,実績!$AD$6:$AD$505,"&gt;"&amp;$A57,実績!$AE$6:$AE$505,"○")&gt;0,1,0))</f>
        <v/>
      </c>
      <c r="AZ57">
        <f>IF(AZ$4=0,0,IF(COUNTIFS(実績!$W$6:$W$505,AZ$3,実績!$AC$6:$AC$505,"&lt;="&amp;$A57,実績!$AD$6:$AD$505,"&gt;"&amp;$A57,実績!$AE$6:$AE$505,"○")&gt;0,1,0))</f>
        <v/>
      </c>
      <c r="BA57">
        <f>IF(BA$4=0,0,IF(COUNTIFS(実績!$W$6:$W$505,BA$3,実績!$AC$6:$AC$505,"&lt;="&amp;$A57,実績!$AD$6:$AD$505,"&gt;"&amp;$A57,実績!$AE$6:$AE$505,"○")&gt;0,1,0))</f>
        <v/>
      </c>
      <c r="BB57">
        <f>IF(BB$4=0,0,IF(COUNTIFS(実績!$W$6:$W$505,BB$3,実績!$AC$6:$AC$505,"&lt;="&amp;$A57,実績!$AD$6:$AD$505,"&gt;"&amp;$A57,実績!$AE$6:$AE$505,"○")&gt;0,1,0))</f>
        <v/>
      </c>
      <c r="BC57">
        <f>IF(BC$4=0,0,IF(COUNTIFS(実績!$W$6:$W$505,BC$3,実績!$AC$6:$AC$505,"&lt;="&amp;$A57,実績!$AD$6:$AD$505,"&gt;"&amp;$A57,実績!$AE$6:$AE$505,"○")&gt;0,1,0))</f>
        <v/>
      </c>
      <c r="BD57">
        <f>IF(BD$4=0,0,IF(COUNTIFS(実績!$W$6:$W$505,BD$3,実績!$AC$6:$AC$505,"&lt;="&amp;$A57,実績!$AD$6:$AD$505,"&gt;"&amp;$A57,実績!$AE$6:$AE$505,"○")&gt;0,1,0))</f>
        <v/>
      </c>
      <c r="BE57">
        <f>IF(BE$4=0,0,IF(COUNTIFS(実績!$W$6:$W$505,BE$3,実績!$AC$6:$AC$505,"&lt;="&amp;$A57,実績!$AD$6:$AD$505,"&gt;"&amp;$A57,実績!$AE$6:$AE$505,"○")&gt;0,1,0))</f>
        <v/>
      </c>
      <c r="BF57">
        <f>IF(BF$4=0,0,IF(COUNTIFS(実績!$W$6:$W$505,BF$3,実績!$AC$6:$AC$505,"&lt;="&amp;$A57,実績!$AD$6:$AD$505,"&gt;"&amp;$A57,実績!$AE$6:$AE$505,"○")&gt;0,1,0))</f>
        <v/>
      </c>
      <c r="BG57">
        <f>IF(BG$4=0,0,IF(COUNTIFS(実績!$W$6:$W$505,BG$3,実績!$AC$6:$AC$505,"&lt;="&amp;$A57,実績!$AD$6:$AD$505,"&gt;"&amp;$A57,実績!$AE$6:$AE$505,"○")&gt;0,1,0))</f>
        <v/>
      </c>
      <c r="BH57">
        <f>IF(BH$4=0,0,IF(COUNTIFS(実績!$W$6:$W$505,BH$3,実績!$AC$6:$AC$505,"&lt;="&amp;$A57,実績!$AD$6:$AD$505,"&gt;"&amp;$A57,実績!$AE$6:$AE$505,"○")&gt;0,1,0))</f>
        <v/>
      </c>
      <c r="BI57">
        <f>IF(BI$4=0,0,IF(COUNTIFS(実績!$W$6:$W$505,BI$3,実績!$AC$6:$AC$505,"&lt;="&amp;$A57,実績!$AD$6:$AD$505,"&gt;"&amp;$A57,実績!$AE$6:$AE$505,"○")&gt;0,1,0))</f>
        <v/>
      </c>
      <c r="BJ57">
        <f>IF(BJ$4=0,0,IF(COUNTIFS(実績!$W$6:$W$505,BJ$3,実績!$AC$6:$AC$505,"&lt;="&amp;$A57,実績!$AD$6:$AD$505,"&gt;"&amp;$A57,実績!$AE$6:$AE$505,"○")&gt;0,1,0))</f>
        <v/>
      </c>
      <c r="BK57">
        <f>IF(BK$4=0,0,IF(COUNTIFS(実績!$W$6:$W$505,BK$3,実績!$AC$6:$AC$505,"&lt;="&amp;$A57,実績!$AD$6:$AD$505,"&gt;"&amp;$A57,実績!$AE$6:$AE$505,"○")&gt;0,1,0))</f>
        <v/>
      </c>
      <c r="BL57">
        <f>IF(BL$4=0,0,IF(COUNTIFS(実績!$W$6:$W$505,BL$3,実績!$AC$6:$AC$505,"&lt;="&amp;$A57,実績!$AD$6:$AD$505,"&gt;"&amp;$A57,実績!$AE$6:$AE$505,"○")&gt;0,1,0))</f>
        <v/>
      </c>
      <c r="BM57">
        <f>IF(BM$4=0,0,IF(COUNTIFS(実績!$W$6:$W$505,BM$3,実績!$AC$6:$AC$505,"&lt;="&amp;$A57,実績!$AD$6:$AD$505,"&gt;"&amp;$A57,実績!$AE$6:$AE$505,"○")&gt;0,1,0))</f>
        <v/>
      </c>
      <c r="BN57">
        <f>IF(BN$4=0,0,IF(COUNTIFS(実績!$W$6:$W$505,BN$3,実績!$AC$6:$AC$505,"&lt;="&amp;$A57,実績!$AD$6:$AD$505,"&gt;"&amp;$A57,実績!$AE$6:$AE$505,"○")&gt;0,1,0))</f>
        <v/>
      </c>
      <c r="BO57">
        <f>IF(BO$4=0,0,IF(COUNTIFS(実績!$W$6:$W$505,BO$3,実績!$AC$6:$AC$505,"&lt;="&amp;$A57,実績!$AD$6:$AD$505,"&gt;"&amp;$A57,実績!$AE$6:$AE$505,"○")&gt;0,1,0))</f>
        <v/>
      </c>
      <c r="BP57">
        <f>IF(BP$4=0,0,IF(COUNTIFS(実績!$W$6:$W$505,BP$3,実績!$AC$6:$AC$505,"&lt;="&amp;$A57,実績!$AD$6:$AD$505,"&gt;"&amp;$A57,実績!$AE$6:$AE$505,"○")&gt;0,1,0))</f>
        <v/>
      </c>
      <c r="BQ57">
        <f>IF(BQ$4=0,0,IF(COUNTIFS(実績!$W$6:$W$505,BQ$3,実績!$AC$6:$AC$505,"&lt;="&amp;$A57,実績!$AD$6:$AD$505,"&gt;"&amp;$A57,実績!$AE$6:$AE$505,"○")&gt;0,1,0))</f>
        <v/>
      </c>
      <c r="BR57">
        <f>IF(BR$4=0,0,IF(COUNTIFS(実績!$W$6:$W$505,BR$3,実績!$AC$6:$AC$505,"&lt;="&amp;$A57,実績!$AD$6:$AD$505,"&gt;"&amp;$A57,実績!$AE$6:$AE$505,"○")&gt;0,1,0))</f>
        <v/>
      </c>
      <c r="BS57">
        <f>IF(BS$4=0,0,IF(COUNTIFS(実績!$W$6:$W$505,BS$3,実績!$AC$6:$AC$505,"&lt;="&amp;$A57,実績!$AD$6:$AD$505,"&gt;"&amp;$A57,実績!$AE$6:$AE$505,"○")&gt;0,1,0))</f>
        <v/>
      </c>
      <c r="BT57">
        <f>IF(BT$4=0,0,IF(COUNTIFS(実績!$W$6:$W$505,BT$3,実績!$AC$6:$AC$505,"&lt;="&amp;$A57,実績!$AD$6:$AD$505,"&gt;"&amp;$A57,実績!$AE$6:$AE$505,"○")&gt;0,1,0))</f>
        <v/>
      </c>
      <c r="BU57">
        <f>IF(BU$4=0,0,IF(COUNTIFS(実績!$W$6:$W$505,BU$3,実績!$AC$6:$AC$505,"&lt;="&amp;$A57,実績!$AD$6:$AD$505,"&gt;"&amp;$A57,実績!$AE$6:$AE$505,"○")&gt;0,1,0))</f>
        <v/>
      </c>
      <c r="BV57">
        <f>IF(BV$4=0,0,IF(COUNTIFS(実績!$W$6:$W$505,BV$3,実績!$AC$6:$AC$505,"&lt;="&amp;$A57,実績!$AD$6:$AD$505,"&gt;"&amp;$A57,実績!$AE$6:$AE$505,"○")&gt;0,1,0))</f>
        <v/>
      </c>
      <c r="BW57">
        <f>IF(BW$4=0,0,IF(COUNTIFS(実績!$W$6:$W$505,BW$3,実績!$AC$6:$AC$505,"&lt;="&amp;$A57,実績!$AD$6:$AD$505,"&gt;"&amp;$A57,実績!$AE$6:$AE$505,"○")&gt;0,1,0))</f>
        <v/>
      </c>
      <c r="BX57">
        <f>IF(BX$4=0,0,IF(COUNTIFS(実績!$W$6:$W$505,BX$3,実績!$AC$6:$AC$505,"&lt;="&amp;$A57,実績!$AD$6:$AD$505,"&gt;"&amp;$A57,実績!$AE$6:$AE$505,"○")&gt;0,1,0))</f>
        <v/>
      </c>
      <c r="BY57">
        <f>IF(BY$4=0,0,IF(COUNTIFS(実績!$W$6:$W$505,BY$3,実績!$AC$6:$AC$505,"&lt;="&amp;$A57,実績!$AD$6:$AD$505,"&gt;"&amp;$A57,実績!$AE$6:$AE$505,"○")&gt;0,1,0))</f>
        <v/>
      </c>
      <c r="BZ57">
        <f>IF(BZ$4=0,0,IF(COUNTIFS(実績!$W$6:$W$505,BZ$3,実績!$AC$6:$AC$505,"&lt;="&amp;$A57,実績!$AD$6:$AD$505,"&gt;"&amp;$A57,実績!$AE$6:$AE$505,"○")&gt;0,1,0))</f>
        <v/>
      </c>
      <c r="CA57">
        <f>IF(CA$4=0,0,IF(COUNTIFS(実績!$W$6:$W$505,CA$3,実績!$AC$6:$AC$505,"&lt;="&amp;$A57,実績!$AD$6:$AD$505,"&gt;"&amp;$A57,実績!$AE$6:$AE$505,"○")&gt;0,1,0))</f>
        <v/>
      </c>
      <c r="CB57">
        <f>IF(CB$4=0,0,IF(COUNTIFS(実績!$W$6:$W$505,CB$3,実績!$AC$6:$AC$505,"&lt;="&amp;$A57,実績!$AD$6:$AD$505,"&gt;"&amp;$A57,実績!$AE$6:$AE$505,"○")&gt;0,1,0))</f>
        <v/>
      </c>
      <c r="CC57">
        <f>IF(CC$4=0,0,IF(COUNTIFS(実績!$W$6:$W$505,CC$3,実績!$AC$6:$AC$505,"&lt;="&amp;$A57,実績!$AD$6:$AD$505,"&gt;"&amp;$A57,実績!$AE$6:$AE$505,"○")&gt;0,1,0))</f>
        <v/>
      </c>
      <c r="CD57">
        <f>IF(CD$4=0,0,IF(COUNTIFS(実績!$W$6:$W$505,CD$3,実績!$AC$6:$AC$505,"&lt;="&amp;$A57,実績!$AD$6:$AD$505,"&gt;"&amp;$A57,実績!$AE$6:$AE$505,"○")&gt;0,1,0))</f>
        <v/>
      </c>
      <c r="CE57">
        <f>IF(CE$4=0,0,IF(COUNTIFS(実績!$W$6:$W$505,CE$3,実績!$AC$6:$AC$505,"&lt;="&amp;$A57,実績!$AD$6:$AD$505,"&gt;"&amp;$A57,実績!$AE$6:$AE$505,"○")&gt;0,1,0))</f>
        <v/>
      </c>
      <c r="CF57">
        <f>IF(CF$4=0,0,IF(COUNTIFS(実績!$W$6:$W$505,CF$3,実績!$AC$6:$AC$505,"&lt;="&amp;$A57,実績!$AD$6:$AD$505,"&gt;"&amp;$A57,実績!$AE$6:$AE$505,"○")&gt;0,1,0))</f>
        <v/>
      </c>
      <c r="CG57">
        <f>IF(CG$4=0,0,IF(COUNTIFS(実績!$W$6:$W$505,CG$3,実績!$AC$6:$AC$505,"&lt;="&amp;$A57,実績!$AD$6:$AD$505,"&gt;"&amp;$A57,実績!$AE$6:$AE$505,"○")&gt;0,1,0))</f>
        <v/>
      </c>
      <c r="CH57">
        <f>IF(CH$4=0,0,IF(COUNTIFS(実績!$W$6:$W$505,CH$3,実績!$AC$6:$AC$505,"&lt;="&amp;$A57,実績!$AD$6:$AD$505,"&gt;"&amp;$A57,実績!$AE$6:$AE$505,"○")&gt;0,1,0))</f>
        <v/>
      </c>
      <c r="CI57">
        <f>IF(CI$4=0,0,IF(COUNTIFS(実績!$W$6:$W$505,CI$3,実績!$AC$6:$AC$505,"&lt;="&amp;$A57,実績!$AD$6:$AD$505,"&gt;"&amp;$A57,実績!$AE$6:$AE$505,"○")&gt;0,1,0))</f>
        <v/>
      </c>
      <c r="CJ57">
        <f>IF(CJ$4=0,0,IF(COUNTIFS(実績!$W$6:$W$505,CJ$3,実績!$AC$6:$AC$505,"&lt;="&amp;$A57,実績!$AD$6:$AD$505,"&gt;"&amp;$A57,実績!$AE$6:$AE$505,"○")&gt;0,1,0))</f>
        <v/>
      </c>
      <c r="CK57">
        <f>IF(CK$4=0,0,IF(COUNTIFS(実績!$W$6:$W$505,CK$3,実績!$AC$6:$AC$505,"&lt;="&amp;$A57,実績!$AD$6:$AD$505,"&gt;"&amp;$A57,実績!$AE$6:$AE$505,"○")&gt;0,1,0))</f>
        <v/>
      </c>
      <c r="CL57">
        <f>IF(CL$4=0,0,IF(COUNTIFS(実績!$W$6:$W$505,CL$3,実績!$AC$6:$AC$505,"&lt;="&amp;$A57,実績!$AD$6:$AD$505,"&gt;"&amp;$A57,実績!$AE$6:$AE$505,"○")&gt;0,1,0))</f>
        <v/>
      </c>
      <c r="CM57">
        <f>IF(CM$4=0,0,IF(COUNTIFS(実績!$W$6:$W$505,CM$3,実績!$AC$6:$AC$505,"&lt;="&amp;$A57,実績!$AD$6:$AD$505,"&gt;"&amp;$A57,実績!$AE$6:$AE$505,"○")&gt;0,1,0))</f>
        <v/>
      </c>
      <c r="CN57">
        <f>IF(CN$4=0,0,IF(COUNTIFS(実績!$W$6:$W$505,CN$3,実績!$AC$6:$AC$505,"&lt;="&amp;$A57,実績!$AD$6:$AD$505,"&gt;"&amp;$A57,実績!$AE$6:$AE$505,"○")&gt;0,1,0))</f>
        <v/>
      </c>
      <c r="CO57">
        <f>IF(CO$4=0,0,IF(COUNTIFS(実績!$W$6:$W$505,CO$3,実績!$AC$6:$AC$505,"&lt;="&amp;$A57,実績!$AD$6:$AD$505,"&gt;"&amp;$A57,実績!$AE$6:$AE$505,"○")&gt;0,1,0))</f>
        <v/>
      </c>
      <c r="CP57">
        <f>IF(CP$4=0,0,IF(COUNTIFS(実績!$W$6:$W$505,CP$3,実績!$AC$6:$AC$505,"&lt;="&amp;$A57,実績!$AD$6:$AD$505,"&gt;"&amp;$A57,実績!$AE$6:$AE$505,"○")&gt;0,1,0))</f>
        <v/>
      </c>
      <c r="CQ57">
        <f>IF(CQ$4=0,0,IF(COUNTIFS(実績!$W$6:$W$505,CQ$3,実績!$AC$6:$AC$505,"&lt;="&amp;$A57,実績!$AD$6:$AD$505,"&gt;"&amp;$A57,実績!$AE$6:$AE$505,"○")&gt;0,1,0))</f>
        <v/>
      </c>
      <c r="CR57">
        <f>IF(CR$4=0,0,IF(COUNTIFS(実績!$W$6:$W$505,CR$3,実績!$AC$6:$AC$505,"&lt;="&amp;$A57,実績!$AD$6:$AD$505,"&gt;"&amp;$A57,実績!$AE$6:$AE$505,"○")&gt;0,1,0))</f>
        <v/>
      </c>
      <c r="CS57">
        <f>IF(CS$4=0,0,IF(COUNTIFS(実績!$W$6:$W$505,CS$3,実績!$AC$6:$AC$505,"&lt;="&amp;$A57,実績!$AD$6:$AD$505,"&gt;"&amp;$A57,実績!$AE$6:$AE$505,"○")&gt;0,1,0))</f>
        <v/>
      </c>
      <c r="CT57">
        <f>IF(CT$4=0,0,IF(COUNTIFS(実績!$W$6:$W$505,CT$3,実績!$AC$6:$AC$505,"&lt;="&amp;$A57,実績!$AD$6:$AD$505,"&gt;"&amp;$A57,実績!$AE$6:$AE$505,"○")&gt;0,1,0))</f>
        <v/>
      </c>
      <c r="CU57">
        <f>IF(CU$4=0,0,IF(COUNTIFS(実績!$W$6:$W$505,CU$3,実績!$AC$6:$AC$505,"&lt;="&amp;$A57,実績!$AD$6:$AD$505,"&gt;"&amp;$A57,実績!$AE$6:$AE$505,"○")&gt;0,1,0))</f>
        <v/>
      </c>
      <c r="CV57">
        <f>IF(CV$4=0,0,IF(COUNTIFS(実績!$W$6:$W$505,CV$3,実績!$AC$6:$AC$505,"&lt;="&amp;$A57,実績!$AD$6:$AD$505,"&gt;"&amp;$A57,実績!$AE$6:$AE$505,"○")&gt;0,1,0))</f>
        <v/>
      </c>
      <c r="CW57">
        <f>IF(CW$4=0,0,IF(COUNTIFS(実績!$W$6:$W$505,CW$3,実績!$AC$6:$AC$505,"&lt;="&amp;$A57,実績!$AD$6:$AD$505,"&gt;"&amp;$A57,実績!$AE$6:$AE$505,"○")&gt;0,1,0))</f>
        <v/>
      </c>
      <c r="CX57">
        <f>IF(CX$4=0,0,IF(COUNTIFS(実績!$W$6:$W$505,CX$3,実績!$AC$6:$AC$505,"&lt;="&amp;$A57,実績!$AD$6:$AD$505,"&gt;"&amp;$A57,実績!$AE$6:$AE$505,"○")&gt;0,1,0))</f>
        <v/>
      </c>
      <c r="CY57">
        <f>IF(CY$4=0,0,IF(COUNTIFS(実績!$W$6:$W$505,CY$3,実績!$AC$6:$AC$505,"&lt;="&amp;$A57,実績!$AD$6:$AD$505,"&gt;"&amp;$A57,実績!$AE$6:$AE$505,"○")&gt;0,1,0))</f>
        <v/>
      </c>
      <c r="CZ57">
        <f>IF(CZ$4=0,0,IF(COUNTIFS(実績!$W$6:$W$505,CZ$3,実績!$AC$6:$AC$505,"&lt;="&amp;$A57,実績!$AD$6:$AD$505,"&gt;"&amp;$A57,実績!$AE$6:$AE$505,"○")&gt;0,1,0))</f>
        <v/>
      </c>
      <c r="DA57">
        <f>IF(DA$4=0,0,IF(COUNTIFS(実績!$W$6:$W$505,DA$3,実績!$AC$6:$AC$505,"&lt;="&amp;$A57,実績!$AD$6:$AD$505,"&gt;"&amp;$A57,実績!$AE$6:$AE$505,"○")&gt;0,1,0))</f>
        <v/>
      </c>
      <c r="DB57">
        <f>IF(DB$4=0,0,IF(COUNTIFS(実績!$W$6:$W$505,DB$3,実績!$AC$6:$AC$505,"&lt;="&amp;$A57,実績!$AD$6:$AD$505,"&gt;"&amp;$A57,実績!$AE$6:$AE$505,"○")&gt;0,1,0))</f>
        <v/>
      </c>
      <c r="DC57">
        <f>IF(DC$4=0,0,IF(COUNTIFS(実績!$W$6:$W$505,DC$3,実績!$AC$6:$AC$505,"&lt;="&amp;$A57,実績!$AD$6:$AD$505,"&gt;"&amp;$A57,実績!$AE$6:$AE$505,"○")&gt;0,1,0))</f>
        <v/>
      </c>
      <c r="DD57">
        <f>IF(DD$4=0,0,IF(COUNTIFS(実績!$W$6:$W$505,DD$3,実績!$AC$6:$AC$505,"&lt;="&amp;$A57,実績!$AD$6:$AD$505,"&gt;"&amp;$A57,実績!$AE$6:$AE$505,"○")&gt;0,1,0))</f>
        <v/>
      </c>
      <c r="DE57">
        <f>IF(DE$4=0,0,IF(COUNTIFS(実績!$W$6:$W$505,DE$3,実績!$AC$6:$AC$505,"&lt;="&amp;$A57,実績!$AD$6:$AD$505,"&gt;"&amp;$A57,実績!$AE$6:$AE$505,"○")&gt;0,1,0))</f>
        <v/>
      </c>
      <c r="DF57">
        <f>IF(DF$4=0,0,IF(COUNTIFS(実績!$W$6:$W$505,DF$3,実績!$AC$6:$AC$505,"&lt;="&amp;$A57,実績!$AD$6:$AD$505,"&gt;"&amp;$A57,実績!$AE$6:$AE$505,"○")&gt;0,1,0))</f>
        <v/>
      </c>
      <c r="DG57">
        <f>IF(DG$4=0,0,IF(COUNTIFS(実績!$W$6:$W$505,DG$3,実績!$AC$6:$AC$505,"&lt;="&amp;$A57,実績!$AD$6:$AD$505,"&gt;"&amp;$A57,実績!$AE$6:$AE$505,"○")&gt;0,1,0))</f>
        <v/>
      </c>
      <c r="DH57">
        <f>IF(DH$4=0,0,IF(COUNTIFS(実績!$W$6:$W$505,DH$3,実績!$AC$6:$AC$505,"&lt;="&amp;$A57,実績!$AD$6:$AD$505,"&gt;"&amp;$A57,実績!$AE$6:$AE$505,"○")&gt;0,1,0))</f>
        <v/>
      </c>
      <c r="DI57">
        <f>IF(DI$4=0,0,IF(COUNTIFS(実績!$W$6:$W$505,DI$3,実績!$AC$6:$AC$505,"&lt;="&amp;$A57,実績!$AD$6:$AD$505,"&gt;"&amp;$A57,実績!$AE$6:$AE$505,"○")&gt;0,1,0))</f>
        <v/>
      </c>
      <c r="DJ57">
        <f>IF(DJ$4=0,0,IF(COUNTIFS(実績!$W$6:$W$505,DJ$3,実績!$AC$6:$AC$505,"&lt;="&amp;$A57,実績!$AD$6:$AD$505,"&gt;"&amp;$A57,実績!$AE$6:$AE$505,"○")&gt;0,1,0))</f>
        <v/>
      </c>
      <c r="DK57">
        <f>IF(DK$4=0,0,IF(COUNTIFS(実績!$W$6:$W$505,DK$3,実績!$AC$6:$AC$505,"&lt;="&amp;$A57,実績!$AD$6:$AD$505,"&gt;"&amp;$A57,実績!$AE$6:$AE$505,"○")&gt;0,1,0))</f>
        <v/>
      </c>
      <c r="DL57">
        <f>IF(DL$4=0,0,IF(COUNTIFS(実績!$W$6:$W$505,DL$3,実績!$AC$6:$AC$505,"&lt;="&amp;$A57,実績!$AD$6:$AD$505,"&gt;"&amp;$A57,実績!$AE$6:$AE$505,"○")&gt;0,1,0))</f>
        <v/>
      </c>
      <c r="DM57">
        <f>IF(DM$4=0,0,IF(COUNTIFS(実績!$W$6:$W$505,DM$3,実績!$AC$6:$AC$505,"&lt;="&amp;$A57,実績!$AD$6:$AD$505,"&gt;"&amp;$A57,実績!$AE$6:$AE$505,"○")&gt;0,1,0))</f>
        <v/>
      </c>
      <c r="DN57">
        <f>IF(DN$4=0,0,IF(COUNTIFS(実績!$W$6:$W$505,DN$3,実績!$AC$6:$AC$505,"&lt;="&amp;$A57,実績!$AD$6:$AD$505,"&gt;"&amp;$A57,実績!$AE$6:$AE$505,"○")&gt;0,1,0))</f>
        <v/>
      </c>
      <c r="DO57">
        <f>IF(DO$4=0,0,IF(COUNTIFS(実績!$W$6:$W$505,DO$3,実績!$AC$6:$AC$505,"&lt;="&amp;$A57,実績!$AD$6:$AD$505,"&gt;"&amp;$A57,実績!$AE$6:$AE$505,"○")&gt;0,1,0))</f>
        <v/>
      </c>
      <c r="DP57">
        <f>IF(DP$4=0,0,IF(COUNTIFS(実績!$W$6:$W$505,DP$3,実績!$AC$6:$AC$505,"&lt;="&amp;$A57,実績!$AD$6:$AD$505,"&gt;"&amp;$A57,実績!$AE$6:$AE$505,"○")&gt;0,1,0))</f>
        <v/>
      </c>
      <c r="DQ57">
        <f>IF(DQ$4=0,0,IF(COUNTIFS(実績!$W$6:$W$505,DQ$3,実績!$AC$6:$AC$505,"&lt;="&amp;$A57,実績!$AD$6:$AD$505,"&gt;"&amp;$A57,実績!$AE$6:$AE$505,"○")&gt;0,1,0))</f>
        <v/>
      </c>
      <c r="DR57">
        <f>IF(DR$4=0,0,IF(COUNTIFS(実績!$W$6:$W$505,DR$3,実績!$AC$6:$AC$505,"&lt;="&amp;$A57,実績!$AD$6:$AD$505,"&gt;"&amp;$A57,実績!$AE$6:$AE$505,"○")&gt;0,1,0))</f>
        <v/>
      </c>
      <c r="DS57">
        <f>SUM(C57:DR57)</f>
        <v/>
      </c>
      <c r="DT57">
        <f>SUMPRODUCT((実績!$C$6:$C$505="○")*ISNUMBER(実績!$AF$6:$AF$505)*(実績!$AF$6:$AF$505&lt;=$A57)*(実績!$AG$6:$AG$505&gt;$A57))</f>
        <v/>
      </c>
      <c r="DU57">
        <f>SUMIF($C$2:$DR$2,"製鉄曳船",C57:DR57)</f>
        <v/>
      </c>
      <c r="DV57">
        <f>SUMIF($C$2:$DR$2,"西日本海運",C57:DR57)</f>
        <v/>
      </c>
    </row>
    <row r="58">
      <c r="A58" t="n">
        <v>260</v>
      </c>
      <c r="B58" s="29">
        <f>A58/1440</f>
        <v/>
      </c>
      <c r="C58">
        <f>IF(C$4=0,0,IF(COUNTIFS(実績!$W$6:$W$505,C$3,実績!$AC$6:$AC$505,"&lt;="&amp;$A58,実績!$AD$6:$AD$505,"&gt;"&amp;$A58,実績!$AE$6:$AE$505,"○")&gt;0,1,0))</f>
        <v/>
      </c>
      <c r="D58">
        <f>IF(D$4=0,0,IF(COUNTIFS(実績!$W$6:$W$505,D$3,実績!$AC$6:$AC$505,"&lt;="&amp;$A58,実績!$AD$6:$AD$505,"&gt;"&amp;$A58,実績!$AE$6:$AE$505,"○")&gt;0,1,0))</f>
        <v/>
      </c>
      <c r="E58">
        <f>IF(E$4=0,0,IF(COUNTIFS(実績!$W$6:$W$505,E$3,実績!$AC$6:$AC$505,"&lt;="&amp;$A58,実績!$AD$6:$AD$505,"&gt;"&amp;$A58,実績!$AE$6:$AE$505,"○")&gt;0,1,0))</f>
        <v/>
      </c>
      <c r="F58">
        <f>IF(F$4=0,0,IF(COUNTIFS(実績!$W$6:$W$505,F$3,実績!$AC$6:$AC$505,"&lt;="&amp;$A58,実績!$AD$6:$AD$505,"&gt;"&amp;$A58,実績!$AE$6:$AE$505,"○")&gt;0,1,0))</f>
        <v/>
      </c>
      <c r="G58">
        <f>IF(G$4=0,0,IF(COUNTIFS(実績!$W$6:$W$505,G$3,実績!$AC$6:$AC$505,"&lt;="&amp;$A58,実績!$AD$6:$AD$505,"&gt;"&amp;$A58,実績!$AE$6:$AE$505,"○")&gt;0,1,0))</f>
        <v/>
      </c>
      <c r="H58">
        <f>IF(H$4=0,0,IF(COUNTIFS(実績!$W$6:$W$505,H$3,実績!$AC$6:$AC$505,"&lt;="&amp;$A58,実績!$AD$6:$AD$505,"&gt;"&amp;$A58,実績!$AE$6:$AE$505,"○")&gt;0,1,0))</f>
        <v/>
      </c>
      <c r="I58">
        <f>IF(I$4=0,0,IF(COUNTIFS(実績!$W$6:$W$505,I$3,実績!$AC$6:$AC$505,"&lt;="&amp;$A58,実績!$AD$6:$AD$505,"&gt;"&amp;$A58,実績!$AE$6:$AE$505,"○")&gt;0,1,0))</f>
        <v/>
      </c>
      <c r="J58">
        <f>IF(J$4=0,0,IF(COUNTIFS(実績!$W$6:$W$505,J$3,実績!$AC$6:$AC$505,"&lt;="&amp;$A58,実績!$AD$6:$AD$505,"&gt;"&amp;$A58,実績!$AE$6:$AE$505,"○")&gt;0,1,0))</f>
        <v/>
      </c>
      <c r="K58">
        <f>IF(K$4=0,0,IF(COUNTIFS(実績!$W$6:$W$505,K$3,実績!$AC$6:$AC$505,"&lt;="&amp;$A58,実績!$AD$6:$AD$505,"&gt;"&amp;$A58,実績!$AE$6:$AE$505,"○")&gt;0,1,0))</f>
        <v/>
      </c>
      <c r="L58">
        <f>IF(L$4=0,0,IF(COUNTIFS(実績!$W$6:$W$505,L$3,実績!$AC$6:$AC$505,"&lt;="&amp;$A58,実績!$AD$6:$AD$505,"&gt;"&amp;$A58,実績!$AE$6:$AE$505,"○")&gt;0,1,0))</f>
        <v/>
      </c>
      <c r="M58">
        <f>IF(M$4=0,0,IF(COUNTIFS(実績!$W$6:$W$505,M$3,実績!$AC$6:$AC$505,"&lt;="&amp;$A58,実績!$AD$6:$AD$505,"&gt;"&amp;$A58,実績!$AE$6:$AE$505,"○")&gt;0,1,0))</f>
        <v/>
      </c>
      <c r="N58">
        <f>IF(N$4=0,0,IF(COUNTIFS(実績!$W$6:$W$505,N$3,実績!$AC$6:$AC$505,"&lt;="&amp;$A58,実績!$AD$6:$AD$505,"&gt;"&amp;$A58,実績!$AE$6:$AE$505,"○")&gt;0,1,0))</f>
        <v/>
      </c>
      <c r="O58">
        <f>IF(O$4=0,0,IF(COUNTIFS(実績!$W$6:$W$505,O$3,実績!$AC$6:$AC$505,"&lt;="&amp;$A58,実績!$AD$6:$AD$505,"&gt;"&amp;$A58,実績!$AE$6:$AE$505,"○")&gt;0,1,0))</f>
        <v/>
      </c>
      <c r="P58">
        <f>IF(P$4=0,0,IF(COUNTIFS(実績!$W$6:$W$505,P$3,実績!$AC$6:$AC$505,"&lt;="&amp;$A58,実績!$AD$6:$AD$505,"&gt;"&amp;$A58,実績!$AE$6:$AE$505,"○")&gt;0,1,0))</f>
        <v/>
      </c>
      <c r="Q58">
        <f>IF(Q$4=0,0,IF(COUNTIFS(実績!$W$6:$W$505,Q$3,実績!$AC$6:$AC$505,"&lt;="&amp;$A58,実績!$AD$6:$AD$505,"&gt;"&amp;$A58,実績!$AE$6:$AE$505,"○")&gt;0,1,0))</f>
        <v/>
      </c>
      <c r="R58">
        <f>IF(R$4=0,0,IF(COUNTIFS(実績!$W$6:$W$505,R$3,実績!$AC$6:$AC$505,"&lt;="&amp;$A58,実績!$AD$6:$AD$505,"&gt;"&amp;$A58,実績!$AE$6:$AE$505,"○")&gt;0,1,0))</f>
        <v/>
      </c>
      <c r="S58">
        <f>IF(S$4=0,0,IF(COUNTIFS(実績!$W$6:$W$505,S$3,実績!$AC$6:$AC$505,"&lt;="&amp;$A58,実績!$AD$6:$AD$505,"&gt;"&amp;$A58,実績!$AE$6:$AE$505,"○")&gt;0,1,0))</f>
        <v/>
      </c>
      <c r="T58">
        <f>IF(T$4=0,0,IF(COUNTIFS(実績!$W$6:$W$505,T$3,実績!$AC$6:$AC$505,"&lt;="&amp;$A58,実績!$AD$6:$AD$505,"&gt;"&amp;$A58,実績!$AE$6:$AE$505,"○")&gt;0,1,0))</f>
        <v/>
      </c>
      <c r="U58">
        <f>IF(U$4=0,0,IF(COUNTIFS(実績!$W$6:$W$505,U$3,実績!$AC$6:$AC$505,"&lt;="&amp;$A58,実績!$AD$6:$AD$505,"&gt;"&amp;$A58,実績!$AE$6:$AE$505,"○")&gt;0,1,0))</f>
        <v/>
      </c>
      <c r="V58">
        <f>IF(V$4=0,0,IF(COUNTIFS(実績!$W$6:$W$505,V$3,実績!$AC$6:$AC$505,"&lt;="&amp;$A58,実績!$AD$6:$AD$505,"&gt;"&amp;$A58,実績!$AE$6:$AE$505,"○")&gt;0,1,0))</f>
        <v/>
      </c>
      <c r="W58">
        <f>IF(W$4=0,0,IF(COUNTIFS(実績!$W$6:$W$505,W$3,実績!$AC$6:$AC$505,"&lt;="&amp;$A58,実績!$AD$6:$AD$505,"&gt;"&amp;$A58,実績!$AE$6:$AE$505,"○")&gt;0,1,0))</f>
        <v/>
      </c>
      <c r="X58">
        <f>IF(X$4=0,0,IF(COUNTIFS(実績!$W$6:$W$505,X$3,実績!$AC$6:$AC$505,"&lt;="&amp;$A58,実績!$AD$6:$AD$505,"&gt;"&amp;$A58,実績!$AE$6:$AE$505,"○")&gt;0,1,0))</f>
        <v/>
      </c>
      <c r="Y58">
        <f>IF(Y$4=0,0,IF(COUNTIFS(実績!$W$6:$W$505,Y$3,実績!$AC$6:$AC$505,"&lt;="&amp;$A58,実績!$AD$6:$AD$505,"&gt;"&amp;$A58,実績!$AE$6:$AE$505,"○")&gt;0,1,0))</f>
        <v/>
      </c>
      <c r="Z58">
        <f>IF(Z$4=0,0,IF(COUNTIFS(実績!$W$6:$W$505,Z$3,実績!$AC$6:$AC$505,"&lt;="&amp;$A58,実績!$AD$6:$AD$505,"&gt;"&amp;$A58,実績!$AE$6:$AE$505,"○")&gt;0,1,0))</f>
        <v/>
      </c>
      <c r="AA58">
        <f>IF(AA$4=0,0,IF(COUNTIFS(実績!$W$6:$W$505,AA$3,実績!$AC$6:$AC$505,"&lt;="&amp;$A58,実績!$AD$6:$AD$505,"&gt;"&amp;$A58,実績!$AE$6:$AE$505,"○")&gt;0,1,0))</f>
        <v/>
      </c>
      <c r="AB58">
        <f>IF(AB$4=0,0,IF(COUNTIFS(実績!$W$6:$W$505,AB$3,実績!$AC$6:$AC$505,"&lt;="&amp;$A58,実績!$AD$6:$AD$505,"&gt;"&amp;$A58,実績!$AE$6:$AE$505,"○")&gt;0,1,0))</f>
        <v/>
      </c>
      <c r="AC58">
        <f>IF(AC$4=0,0,IF(COUNTIFS(実績!$W$6:$W$505,AC$3,実績!$AC$6:$AC$505,"&lt;="&amp;$A58,実績!$AD$6:$AD$505,"&gt;"&amp;$A58,実績!$AE$6:$AE$505,"○")&gt;0,1,0))</f>
        <v/>
      </c>
      <c r="AD58">
        <f>IF(AD$4=0,0,IF(COUNTIFS(実績!$W$6:$W$505,AD$3,実績!$AC$6:$AC$505,"&lt;="&amp;$A58,実績!$AD$6:$AD$505,"&gt;"&amp;$A58,実績!$AE$6:$AE$505,"○")&gt;0,1,0))</f>
        <v/>
      </c>
      <c r="AE58">
        <f>IF(AE$4=0,0,IF(COUNTIFS(実績!$W$6:$W$505,AE$3,実績!$AC$6:$AC$505,"&lt;="&amp;$A58,実績!$AD$6:$AD$505,"&gt;"&amp;$A58,実績!$AE$6:$AE$505,"○")&gt;0,1,0))</f>
        <v/>
      </c>
      <c r="AF58">
        <f>IF(AF$4=0,0,IF(COUNTIFS(実績!$W$6:$W$505,AF$3,実績!$AC$6:$AC$505,"&lt;="&amp;$A58,実績!$AD$6:$AD$505,"&gt;"&amp;$A58,実績!$AE$6:$AE$505,"○")&gt;0,1,0))</f>
        <v/>
      </c>
      <c r="AG58">
        <f>IF(AG$4=0,0,IF(COUNTIFS(実績!$W$6:$W$505,AG$3,実績!$AC$6:$AC$505,"&lt;="&amp;$A58,実績!$AD$6:$AD$505,"&gt;"&amp;$A58,実績!$AE$6:$AE$505,"○")&gt;0,1,0))</f>
        <v/>
      </c>
      <c r="AH58">
        <f>IF(AH$4=0,0,IF(COUNTIFS(実績!$W$6:$W$505,AH$3,実績!$AC$6:$AC$505,"&lt;="&amp;$A58,実績!$AD$6:$AD$505,"&gt;"&amp;$A58,実績!$AE$6:$AE$505,"○")&gt;0,1,0))</f>
        <v/>
      </c>
      <c r="AI58">
        <f>IF(AI$4=0,0,IF(COUNTIFS(実績!$W$6:$W$505,AI$3,実績!$AC$6:$AC$505,"&lt;="&amp;$A58,実績!$AD$6:$AD$505,"&gt;"&amp;$A58,実績!$AE$6:$AE$505,"○")&gt;0,1,0))</f>
        <v/>
      </c>
      <c r="AJ58">
        <f>IF(AJ$4=0,0,IF(COUNTIFS(実績!$W$6:$W$505,AJ$3,実績!$AC$6:$AC$505,"&lt;="&amp;$A58,実績!$AD$6:$AD$505,"&gt;"&amp;$A58,実績!$AE$6:$AE$505,"○")&gt;0,1,0))</f>
        <v/>
      </c>
      <c r="AK58">
        <f>IF(AK$4=0,0,IF(COUNTIFS(実績!$W$6:$W$505,AK$3,実績!$AC$6:$AC$505,"&lt;="&amp;$A58,実績!$AD$6:$AD$505,"&gt;"&amp;$A58,実績!$AE$6:$AE$505,"○")&gt;0,1,0))</f>
        <v/>
      </c>
      <c r="AL58">
        <f>IF(AL$4=0,0,IF(COUNTIFS(実績!$W$6:$W$505,AL$3,実績!$AC$6:$AC$505,"&lt;="&amp;$A58,実績!$AD$6:$AD$505,"&gt;"&amp;$A58,実績!$AE$6:$AE$505,"○")&gt;0,1,0))</f>
        <v/>
      </c>
      <c r="AM58">
        <f>IF(AM$4=0,0,IF(COUNTIFS(実績!$W$6:$W$505,AM$3,実績!$AC$6:$AC$505,"&lt;="&amp;$A58,実績!$AD$6:$AD$505,"&gt;"&amp;$A58,実績!$AE$6:$AE$505,"○")&gt;0,1,0))</f>
        <v/>
      </c>
      <c r="AN58">
        <f>IF(AN$4=0,0,IF(COUNTIFS(実績!$W$6:$W$505,AN$3,実績!$AC$6:$AC$505,"&lt;="&amp;$A58,実績!$AD$6:$AD$505,"&gt;"&amp;$A58,実績!$AE$6:$AE$505,"○")&gt;0,1,0))</f>
        <v/>
      </c>
      <c r="AO58">
        <f>IF(AO$4=0,0,IF(COUNTIFS(実績!$W$6:$W$505,AO$3,実績!$AC$6:$AC$505,"&lt;="&amp;$A58,実績!$AD$6:$AD$505,"&gt;"&amp;$A58,実績!$AE$6:$AE$505,"○")&gt;0,1,0))</f>
        <v/>
      </c>
      <c r="AP58">
        <f>IF(AP$4=0,0,IF(COUNTIFS(実績!$W$6:$W$505,AP$3,実績!$AC$6:$AC$505,"&lt;="&amp;$A58,実績!$AD$6:$AD$505,"&gt;"&amp;$A58,実績!$AE$6:$AE$505,"○")&gt;0,1,0))</f>
        <v/>
      </c>
      <c r="AQ58">
        <f>IF(AQ$4=0,0,IF(COUNTIFS(実績!$W$6:$W$505,AQ$3,実績!$AC$6:$AC$505,"&lt;="&amp;$A58,実績!$AD$6:$AD$505,"&gt;"&amp;$A58,実績!$AE$6:$AE$505,"○")&gt;0,1,0))</f>
        <v/>
      </c>
      <c r="AR58">
        <f>IF(AR$4=0,0,IF(COUNTIFS(実績!$W$6:$W$505,AR$3,実績!$AC$6:$AC$505,"&lt;="&amp;$A58,実績!$AD$6:$AD$505,"&gt;"&amp;$A58,実績!$AE$6:$AE$505,"○")&gt;0,1,0))</f>
        <v/>
      </c>
      <c r="AS58">
        <f>IF(AS$4=0,0,IF(COUNTIFS(実績!$W$6:$W$505,AS$3,実績!$AC$6:$AC$505,"&lt;="&amp;$A58,実績!$AD$6:$AD$505,"&gt;"&amp;$A58,実績!$AE$6:$AE$505,"○")&gt;0,1,0))</f>
        <v/>
      </c>
      <c r="AT58">
        <f>IF(AT$4=0,0,IF(COUNTIFS(実績!$W$6:$W$505,AT$3,実績!$AC$6:$AC$505,"&lt;="&amp;$A58,実績!$AD$6:$AD$505,"&gt;"&amp;$A58,実績!$AE$6:$AE$505,"○")&gt;0,1,0))</f>
        <v/>
      </c>
      <c r="AU58">
        <f>IF(AU$4=0,0,IF(COUNTIFS(実績!$W$6:$W$505,AU$3,実績!$AC$6:$AC$505,"&lt;="&amp;$A58,実績!$AD$6:$AD$505,"&gt;"&amp;$A58,実績!$AE$6:$AE$505,"○")&gt;0,1,0))</f>
        <v/>
      </c>
      <c r="AV58">
        <f>IF(AV$4=0,0,IF(COUNTIFS(実績!$W$6:$W$505,AV$3,実績!$AC$6:$AC$505,"&lt;="&amp;$A58,実績!$AD$6:$AD$505,"&gt;"&amp;$A58,実績!$AE$6:$AE$505,"○")&gt;0,1,0))</f>
        <v/>
      </c>
      <c r="AW58">
        <f>IF(AW$4=0,0,IF(COUNTIFS(実績!$W$6:$W$505,AW$3,実績!$AC$6:$AC$505,"&lt;="&amp;$A58,実績!$AD$6:$AD$505,"&gt;"&amp;$A58,実績!$AE$6:$AE$505,"○")&gt;0,1,0))</f>
        <v/>
      </c>
      <c r="AX58">
        <f>IF(AX$4=0,0,IF(COUNTIFS(実績!$W$6:$W$505,AX$3,実績!$AC$6:$AC$505,"&lt;="&amp;$A58,実績!$AD$6:$AD$505,"&gt;"&amp;$A58,実績!$AE$6:$AE$505,"○")&gt;0,1,0))</f>
        <v/>
      </c>
      <c r="AY58">
        <f>IF(AY$4=0,0,IF(COUNTIFS(実績!$W$6:$W$505,AY$3,実績!$AC$6:$AC$505,"&lt;="&amp;$A58,実績!$AD$6:$AD$505,"&gt;"&amp;$A58,実績!$AE$6:$AE$505,"○")&gt;0,1,0))</f>
        <v/>
      </c>
      <c r="AZ58">
        <f>IF(AZ$4=0,0,IF(COUNTIFS(実績!$W$6:$W$505,AZ$3,実績!$AC$6:$AC$505,"&lt;="&amp;$A58,実績!$AD$6:$AD$505,"&gt;"&amp;$A58,実績!$AE$6:$AE$505,"○")&gt;0,1,0))</f>
        <v/>
      </c>
      <c r="BA58">
        <f>IF(BA$4=0,0,IF(COUNTIFS(実績!$W$6:$W$505,BA$3,実績!$AC$6:$AC$505,"&lt;="&amp;$A58,実績!$AD$6:$AD$505,"&gt;"&amp;$A58,実績!$AE$6:$AE$505,"○")&gt;0,1,0))</f>
        <v/>
      </c>
      <c r="BB58">
        <f>IF(BB$4=0,0,IF(COUNTIFS(実績!$W$6:$W$505,BB$3,実績!$AC$6:$AC$505,"&lt;="&amp;$A58,実績!$AD$6:$AD$505,"&gt;"&amp;$A58,実績!$AE$6:$AE$505,"○")&gt;0,1,0))</f>
        <v/>
      </c>
      <c r="BC58">
        <f>IF(BC$4=0,0,IF(COUNTIFS(実績!$W$6:$W$505,BC$3,実績!$AC$6:$AC$505,"&lt;="&amp;$A58,実績!$AD$6:$AD$505,"&gt;"&amp;$A58,実績!$AE$6:$AE$505,"○")&gt;0,1,0))</f>
        <v/>
      </c>
      <c r="BD58">
        <f>IF(BD$4=0,0,IF(COUNTIFS(実績!$W$6:$W$505,BD$3,実績!$AC$6:$AC$505,"&lt;="&amp;$A58,実績!$AD$6:$AD$505,"&gt;"&amp;$A58,実績!$AE$6:$AE$505,"○")&gt;0,1,0))</f>
        <v/>
      </c>
      <c r="BE58">
        <f>IF(BE$4=0,0,IF(COUNTIFS(実績!$W$6:$W$505,BE$3,実績!$AC$6:$AC$505,"&lt;="&amp;$A58,実績!$AD$6:$AD$505,"&gt;"&amp;$A58,実績!$AE$6:$AE$505,"○")&gt;0,1,0))</f>
        <v/>
      </c>
      <c r="BF58">
        <f>IF(BF$4=0,0,IF(COUNTIFS(実績!$W$6:$W$505,BF$3,実績!$AC$6:$AC$505,"&lt;="&amp;$A58,実績!$AD$6:$AD$505,"&gt;"&amp;$A58,実績!$AE$6:$AE$505,"○")&gt;0,1,0))</f>
        <v/>
      </c>
      <c r="BG58">
        <f>IF(BG$4=0,0,IF(COUNTIFS(実績!$W$6:$W$505,BG$3,実績!$AC$6:$AC$505,"&lt;="&amp;$A58,実績!$AD$6:$AD$505,"&gt;"&amp;$A58,実績!$AE$6:$AE$505,"○")&gt;0,1,0))</f>
        <v/>
      </c>
      <c r="BH58">
        <f>IF(BH$4=0,0,IF(COUNTIFS(実績!$W$6:$W$505,BH$3,実績!$AC$6:$AC$505,"&lt;="&amp;$A58,実績!$AD$6:$AD$505,"&gt;"&amp;$A58,実績!$AE$6:$AE$505,"○")&gt;0,1,0))</f>
        <v/>
      </c>
      <c r="BI58">
        <f>IF(BI$4=0,0,IF(COUNTIFS(実績!$W$6:$W$505,BI$3,実績!$AC$6:$AC$505,"&lt;="&amp;$A58,実績!$AD$6:$AD$505,"&gt;"&amp;$A58,実績!$AE$6:$AE$505,"○")&gt;0,1,0))</f>
        <v/>
      </c>
      <c r="BJ58">
        <f>IF(BJ$4=0,0,IF(COUNTIFS(実績!$W$6:$W$505,BJ$3,実績!$AC$6:$AC$505,"&lt;="&amp;$A58,実績!$AD$6:$AD$505,"&gt;"&amp;$A58,実績!$AE$6:$AE$505,"○")&gt;0,1,0))</f>
        <v/>
      </c>
      <c r="BK58">
        <f>IF(BK$4=0,0,IF(COUNTIFS(実績!$W$6:$W$505,BK$3,実績!$AC$6:$AC$505,"&lt;="&amp;$A58,実績!$AD$6:$AD$505,"&gt;"&amp;$A58,実績!$AE$6:$AE$505,"○")&gt;0,1,0))</f>
        <v/>
      </c>
      <c r="BL58">
        <f>IF(BL$4=0,0,IF(COUNTIFS(実績!$W$6:$W$505,BL$3,実績!$AC$6:$AC$505,"&lt;="&amp;$A58,実績!$AD$6:$AD$505,"&gt;"&amp;$A58,実績!$AE$6:$AE$505,"○")&gt;0,1,0))</f>
        <v/>
      </c>
      <c r="BM58">
        <f>IF(BM$4=0,0,IF(COUNTIFS(実績!$W$6:$W$505,BM$3,実績!$AC$6:$AC$505,"&lt;="&amp;$A58,実績!$AD$6:$AD$505,"&gt;"&amp;$A58,実績!$AE$6:$AE$505,"○")&gt;0,1,0))</f>
        <v/>
      </c>
      <c r="BN58">
        <f>IF(BN$4=0,0,IF(COUNTIFS(実績!$W$6:$W$505,BN$3,実績!$AC$6:$AC$505,"&lt;="&amp;$A58,実績!$AD$6:$AD$505,"&gt;"&amp;$A58,実績!$AE$6:$AE$505,"○")&gt;0,1,0))</f>
        <v/>
      </c>
      <c r="BO58">
        <f>IF(BO$4=0,0,IF(COUNTIFS(実績!$W$6:$W$505,BO$3,実績!$AC$6:$AC$505,"&lt;="&amp;$A58,実績!$AD$6:$AD$505,"&gt;"&amp;$A58,実績!$AE$6:$AE$505,"○")&gt;0,1,0))</f>
        <v/>
      </c>
      <c r="BP58">
        <f>IF(BP$4=0,0,IF(COUNTIFS(実績!$W$6:$W$505,BP$3,実績!$AC$6:$AC$505,"&lt;="&amp;$A58,実績!$AD$6:$AD$505,"&gt;"&amp;$A58,実績!$AE$6:$AE$505,"○")&gt;0,1,0))</f>
        <v/>
      </c>
      <c r="BQ58">
        <f>IF(BQ$4=0,0,IF(COUNTIFS(実績!$W$6:$W$505,BQ$3,実績!$AC$6:$AC$505,"&lt;="&amp;$A58,実績!$AD$6:$AD$505,"&gt;"&amp;$A58,実績!$AE$6:$AE$505,"○")&gt;0,1,0))</f>
        <v/>
      </c>
      <c r="BR58">
        <f>IF(BR$4=0,0,IF(COUNTIFS(実績!$W$6:$W$505,BR$3,実績!$AC$6:$AC$505,"&lt;="&amp;$A58,実績!$AD$6:$AD$505,"&gt;"&amp;$A58,実績!$AE$6:$AE$505,"○")&gt;0,1,0))</f>
        <v/>
      </c>
      <c r="BS58">
        <f>IF(BS$4=0,0,IF(COUNTIFS(実績!$W$6:$W$505,BS$3,実績!$AC$6:$AC$505,"&lt;="&amp;$A58,実績!$AD$6:$AD$505,"&gt;"&amp;$A58,実績!$AE$6:$AE$505,"○")&gt;0,1,0))</f>
        <v/>
      </c>
      <c r="BT58">
        <f>IF(BT$4=0,0,IF(COUNTIFS(実績!$W$6:$W$505,BT$3,実績!$AC$6:$AC$505,"&lt;="&amp;$A58,実績!$AD$6:$AD$505,"&gt;"&amp;$A58,実績!$AE$6:$AE$505,"○")&gt;0,1,0))</f>
        <v/>
      </c>
      <c r="BU58">
        <f>IF(BU$4=0,0,IF(COUNTIFS(実績!$W$6:$W$505,BU$3,実績!$AC$6:$AC$505,"&lt;="&amp;$A58,実績!$AD$6:$AD$505,"&gt;"&amp;$A58,実績!$AE$6:$AE$505,"○")&gt;0,1,0))</f>
        <v/>
      </c>
      <c r="BV58">
        <f>IF(BV$4=0,0,IF(COUNTIFS(実績!$W$6:$W$505,BV$3,実績!$AC$6:$AC$505,"&lt;="&amp;$A58,実績!$AD$6:$AD$505,"&gt;"&amp;$A58,実績!$AE$6:$AE$505,"○")&gt;0,1,0))</f>
        <v/>
      </c>
      <c r="BW58">
        <f>IF(BW$4=0,0,IF(COUNTIFS(実績!$W$6:$W$505,BW$3,実績!$AC$6:$AC$505,"&lt;="&amp;$A58,実績!$AD$6:$AD$505,"&gt;"&amp;$A58,実績!$AE$6:$AE$505,"○")&gt;0,1,0))</f>
        <v/>
      </c>
      <c r="BX58">
        <f>IF(BX$4=0,0,IF(COUNTIFS(実績!$W$6:$W$505,BX$3,実績!$AC$6:$AC$505,"&lt;="&amp;$A58,実績!$AD$6:$AD$505,"&gt;"&amp;$A58,実績!$AE$6:$AE$505,"○")&gt;0,1,0))</f>
        <v/>
      </c>
      <c r="BY58">
        <f>IF(BY$4=0,0,IF(COUNTIFS(実績!$W$6:$W$505,BY$3,実績!$AC$6:$AC$505,"&lt;="&amp;$A58,実績!$AD$6:$AD$505,"&gt;"&amp;$A58,実績!$AE$6:$AE$505,"○")&gt;0,1,0))</f>
        <v/>
      </c>
      <c r="BZ58">
        <f>IF(BZ$4=0,0,IF(COUNTIFS(実績!$W$6:$W$505,BZ$3,実績!$AC$6:$AC$505,"&lt;="&amp;$A58,実績!$AD$6:$AD$505,"&gt;"&amp;$A58,実績!$AE$6:$AE$505,"○")&gt;0,1,0))</f>
        <v/>
      </c>
      <c r="CA58">
        <f>IF(CA$4=0,0,IF(COUNTIFS(実績!$W$6:$W$505,CA$3,実績!$AC$6:$AC$505,"&lt;="&amp;$A58,実績!$AD$6:$AD$505,"&gt;"&amp;$A58,実績!$AE$6:$AE$505,"○")&gt;0,1,0))</f>
        <v/>
      </c>
      <c r="CB58">
        <f>IF(CB$4=0,0,IF(COUNTIFS(実績!$W$6:$W$505,CB$3,実績!$AC$6:$AC$505,"&lt;="&amp;$A58,実績!$AD$6:$AD$505,"&gt;"&amp;$A58,実績!$AE$6:$AE$505,"○")&gt;0,1,0))</f>
        <v/>
      </c>
      <c r="CC58">
        <f>IF(CC$4=0,0,IF(COUNTIFS(実績!$W$6:$W$505,CC$3,実績!$AC$6:$AC$505,"&lt;="&amp;$A58,実績!$AD$6:$AD$505,"&gt;"&amp;$A58,実績!$AE$6:$AE$505,"○")&gt;0,1,0))</f>
        <v/>
      </c>
      <c r="CD58">
        <f>IF(CD$4=0,0,IF(COUNTIFS(実績!$W$6:$W$505,CD$3,実績!$AC$6:$AC$505,"&lt;="&amp;$A58,実績!$AD$6:$AD$505,"&gt;"&amp;$A58,実績!$AE$6:$AE$505,"○")&gt;0,1,0))</f>
        <v/>
      </c>
      <c r="CE58">
        <f>IF(CE$4=0,0,IF(COUNTIFS(実績!$W$6:$W$505,CE$3,実績!$AC$6:$AC$505,"&lt;="&amp;$A58,実績!$AD$6:$AD$505,"&gt;"&amp;$A58,実績!$AE$6:$AE$505,"○")&gt;0,1,0))</f>
        <v/>
      </c>
      <c r="CF58">
        <f>IF(CF$4=0,0,IF(COUNTIFS(実績!$W$6:$W$505,CF$3,実績!$AC$6:$AC$505,"&lt;="&amp;$A58,実績!$AD$6:$AD$505,"&gt;"&amp;$A58,実績!$AE$6:$AE$505,"○")&gt;0,1,0))</f>
        <v/>
      </c>
      <c r="CG58">
        <f>IF(CG$4=0,0,IF(COUNTIFS(実績!$W$6:$W$505,CG$3,実績!$AC$6:$AC$505,"&lt;="&amp;$A58,実績!$AD$6:$AD$505,"&gt;"&amp;$A58,実績!$AE$6:$AE$505,"○")&gt;0,1,0))</f>
        <v/>
      </c>
      <c r="CH58">
        <f>IF(CH$4=0,0,IF(COUNTIFS(実績!$W$6:$W$505,CH$3,実績!$AC$6:$AC$505,"&lt;="&amp;$A58,実績!$AD$6:$AD$505,"&gt;"&amp;$A58,実績!$AE$6:$AE$505,"○")&gt;0,1,0))</f>
        <v/>
      </c>
      <c r="CI58">
        <f>IF(CI$4=0,0,IF(COUNTIFS(実績!$W$6:$W$505,CI$3,実績!$AC$6:$AC$505,"&lt;="&amp;$A58,実績!$AD$6:$AD$505,"&gt;"&amp;$A58,実績!$AE$6:$AE$505,"○")&gt;0,1,0))</f>
        <v/>
      </c>
      <c r="CJ58">
        <f>IF(CJ$4=0,0,IF(COUNTIFS(実績!$W$6:$W$505,CJ$3,実績!$AC$6:$AC$505,"&lt;="&amp;$A58,実績!$AD$6:$AD$505,"&gt;"&amp;$A58,実績!$AE$6:$AE$505,"○")&gt;0,1,0))</f>
        <v/>
      </c>
      <c r="CK58">
        <f>IF(CK$4=0,0,IF(COUNTIFS(実績!$W$6:$W$505,CK$3,実績!$AC$6:$AC$505,"&lt;="&amp;$A58,実績!$AD$6:$AD$505,"&gt;"&amp;$A58,実績!$AE$6:$AE$505,"○")&gt;0,1,0))</f>
        <v/>
      </c>
      <c r="CL58">
        <f>IF(CL$4=0,0,IF(COUNTIFS(実績!$W$6:$W$505,CL$3,実績!$AC$6:$AC$505,"&lt;="&amp;$A58,実績!$AD$6:$AD$505,"&gt;"&amp;$A58,実績!$AE$6:$AE$505,"○")&gt;0,1,0))</f>
        <v/>
      </c>
      <c r="CM58">
        <f>IF(CM$4=0,0,IF(COUNTIFS(実績!$W$6:$W$505,CM$3,実績!$AC$6:$AC$505,"&lt;="&amp;$A58,実績!$AD$6:$AD$505,"&gt;"&amp;$A58,実績!$AE$6:$AE$505,"○")&gt;0,1,0))</f>
        <v/>
      </c>
      <c r="CN58">
        <f>IF(CN$4=0,0,IF(COUNTIFS(実績!$W$6:$W$505,CN$3,実績!$AC$6:$AC$505,"&lt;="&amp;$A58,実績!$AD$6:$AD$505,"&gt;"&amp;$A58,実績!$AE$6:$AE$505,"○")&gt;0,1,0))</f>
        <v/>
      </c>
      <c r="CO58">
        <f>IF(CO$4=0,0,IF(COUNTIFS(実績!$W$6:$W$505,CO$3,実績!$AC$6:$AC$505,"&lt;="&amp;$A58,実績!$AD$6:$AD$505,"&gt;"&amp;$A58,実績!$AE$6:$AE$505,"○")&gt;0,1,0))</f>
        <v/>
      </c>
      <c r="CP58">
        <f>IF(CP$4=0,0,IF(COUNTIFS(実績!$W$6:$W$505,CP$3,実績!$AC$6:$AC$505,"&lt;="&amp;$A58,実績!$AD$6:$AD$505,"&gt;"&amp;$A58,実績!$AE$6:$AE$505,"○")&gt;0,1,0))</f>
        <v/>
      </c>
      <c r="CQ58">
        <f>IF(CQ$4=0,0,IF(COUNTIFS(実績!$W$6:$W$505,CQ$3,実績!$AC$6:$AC$505,"&lt;="&amp;$A58,実績!$AD$6:$AD$505,"&gt;"&amp;$A58,実績!$AE$6:$AE$505,"○")&gt;0,1,0))</f>
        <v/>
      </c>
      <c r="CR58">
        <f>IF(CR$4=0,0,IF(COUNTIFS(実績!$W$6:$W$505,CR$3,実績!$AC$6:$AC$505,"&lt;="&amp;$A58,実績!$AD$6:$AD$505,"&gt;"&amp;$A58,実績!$AE$6:$AE$505,"○")&gt;0,1,0))</f>
        <v/>
      </c>
      <c r="CS58">
        <f>IF(CS$4=0,0,IF(COUNTIFS(実績!$W$6:$W$505,CS$3,実績!$AC$6:$AC$505,"&lt;="&amp;$A58,実績!$AD$6:$AD$505,"&gt;"&amp;$A58,実績!$AE$6:$AE$505,"○")&gt;0,1,0))</f>
        <v/>
      </c>
      <c r="CT58">
        <f>IF(CT$4=0,0,IF(COUNTIFS(実績!$W$6:$W$505,CT$3,実績!$AC$6:$AC$505,"&lt;="&amp;$A58,実績!$AD$6:$AD$505,"&gt;"&amp;$A58,実績!$AE$6:$AE$505,"○")&gt;0,1,0))</f>
        <v/>
      </c>
      <c r="CU58">
        <f>IF(CU$4=0,0,IF(COUNTIFS(実績!$W$6:$W$505,CU$3,実績!$AC$6:$AC$505,"&lt;="&amp;$A58,実績!$AD$6:$AD$505,"&gt;"&amp;$A58,実績!$AE$6:$AE$505,"○")&gt;0,1,0))</f>
        <v/>
      </c>
      <c r="CV58">
        <f>IF(CV$4=0,0,IF(COUNTIFS(実績!$W$6:$W$505,CV$3,実績!$AC$6:$AC$505,"&lt;="&amp;$A58,実績!$AD$6:$AD$505,"&gt;"&amp;$A58,実績!$AE$6:$AE$505,"○")&gt;0,1,0))</f>
        <v/>
      </c>
      <c r="CW58">
        <f>IF(CW$4=0,0,IF(COUNTIFS(実績!$W$6:$W$505,CW$3,実績!$AC$6:$AC$505,"&lt;="&amp;$A58,実績!$AD$6:$AD$505,"&gt;"&amp;$A58,実績!$AE$6:$AE$505,"○")&gt;0,1,0))</f>
        <v/>
      </c>
      <c r="CX58">
        <f>IF(CX$4=0,0,IF(COUNTIFS(実績!$W$6:$W$505,CX$3,実績!$AC$6:$AC$505,"&lt;="&amp;$A58,実績!$AD$6:$AD$505,"&gt;"&amp;$A58,実績!$AE$6:$AE$505,"○")&gt;0,1,0))</f>
        <v/>
      </c>
      <c r="CY58">
        <f>IF(CY$4=0,0,IF(COUNTIFS(実績!$W$6:$W$505,CY$3,実績!$AC$6:$AC$505,"&lt;="&amp;$A58,実績!$AD$6:$AD$505,"&gt;"&amp;$A58,実績!$AE$6:$AE$505,"○")&gt;0,1,0))</f>
        <v/>
      </c>
      <c r="CZ58">
        <f>IF(CZ$4=0,0,IF(COUNTIFS(実績!$W$6:$W$505,CZ$3,実績!$AC$6:$AC$505,"&lt;="&amp;$A58,実績!$AD$6:$AD$505,"&gt;"&amp;$A58,実績!$AE$6:$AE$505,"○")&gt;0,1,0))</f>
        <v/>
      </c>
      <c r="DA58">
        <f>IF(DA$4=0,0,IF(COUNTIFS(実績!$W$6:$W$505,DA$3,実績!$AC$6:$AC$505,"&lt;="&amp;$A58,実績!$AD$6:$AD$505,"&gt;"&amp;$A58,実績!$AE$6:$AE$505,"○")&gt;0,1,0))</f>
        <v/>
      </c>
      <c r="DB58">
        <f>IF(DB$4=0,0,IF(COUNTIFS(実績!$W$6:$W$505,DB$3,実績!$AC$6:$AC$505,"&lt;="&amp;$A58,実績!$AD$6:$AD$505,"&gt;"&amp;$A58,実績!$AE$6:$AE$505,"○")&gt;0,1,0))</f>
        <v/>
      </c>
      <c r="DC58">
        <f>IF(DC$4=0,0,IF(COUNTIFS(実績!$W$6:$W$505,DC$3,実績!$AC$6:$AC$505,"&lt;="&amp;$A58,実績!$AD$6:$AD$505,"&gt;"&amp;$A58,実績!$AE$6:$AE$505,"○")&gt;0,1,0))</f>
        <v/>
      </c>
      <c r="DD58">
        <f>IF(DD$4=0,0,IF(COUNTIFS(実績!$W$6:$W$505,DD$3,実績!$AC$6:$AC$505,"&lt;="&amp;$A58,実績!$AD$6:$AD$505,"&gt;"&amp;$A58,実績!$AE$6:$AE$505,"○")&gt;0,1,0))</f>
        <v/>
      </c>
      <c r="DE58">
        <f>IF(DE$4=0,0,IF(COUNTIFS(実績!$W$6:$W$505,DE$3,実績!$AC$6:$AC$505,"&lt;="&amp;$A58,実績!$AD$6:$AD$505,"&gt;"&amp;$A58,実績!$AE$6:$AE$505,"○")&gt;0,1,0))</f>
        <v/>
      </c>
      <c r="DF58">
        <f>IF(DF$4=0,0,IF(COUNTIFS(実績!$W$6:$W$505,DF$3,実績!$AC$6:$AC$505,"&lt;="&amp;$A58,実績!$AD$6:$AD$505,"&gt;"&amp;$A58,実績!$AE$6:$AE$505,"○")&gt;0,1,0))</f>
        <v/>
      </c>
      <c r="DG58">
        <f>IF(DG$4=0,0,IF(COUNTIFS(実績!$W$6:$W$505,DG$3,実績!$AC$6:$AC$505,"&lt;="&amp;$A58,実績!$AD$6:$AD$505,"&gt;"&amp;$A58,実績!$AE$6:$AE$505,"○")&gt;0,1,0))</f>
        <v/>
      </c>
      <c r="DH58">
        <f>IF(DH$4=0,0,IF(COUNTIFS(実績!$W$6:$W$505,DH$3,実績!$AC$6:$AC$505,"&lt;="&amp;$A58,実績!$AD$6:$AD$505,"&gt;"&amp;$A58,実績!$AE$6:$AE$505,"○")&gt;0,1,0))</f>
        <v/>
      </c>
      <c r="DI58">
        <f>IF(DI$4=0,0,IF(COUNTIFS(実績!$W$6:$W$505,DI$3,実績!$AC$6:$AC$505,"&lt;="&amp;$A58,実績!$AD$6:$AD$505,"&gt;"&amp;$A58,実績!$AE$6:$AE$505,"○")&gt;0,1,0))</f>
        <v/>
      </c>
      <c r="DJ58">
        <f>IF(DJ$4=0,0,IF(COUNTIFS(実績!$W$6:$W$505,DJ$3,実績!$AC$6:$AC$505,"&lt;="&amp;$A58,実績!$AD$6:$AD$505,"&gt;"&amp;$A58,実績!$AE$6:$AE$505,"○")&gt;0,1,0))</f>
        <v/>
      </c>
      <c r="DK58">
        <f>IF(DK$4=0,0,IF(COUNTIFS(実績!$W$6:$W$505,DK$3,実績!$AC$6:$AC$505,"&lt;="&amp;$A58,実績!$AD$6:$AD$505,"&gt;"&amp;$A58,実績!$AE$6:$AE$505,"○")&gt;0,1,0))</f>
        <v/>
      </c>
      <c r="DL58">
        <f>IF(DL$4=0,0,IF(COUNTIFS(実績!$W$6:$W$505,DL$3,実績!$AC$6:$AC$505,"&lt;="&amp;$A58,実績!$AD$6:$AD$505,"&gt;"&amp;$A58,実績!$AE$6:$AE$505,"○")&gt;0,1,0))</f>
        <v/>
      </c>
      <c r="DM58">
        <f>IF(DM$4=0,0,IF(COUNTIFS(実績!$W$6:$W$505,DM$3,実績!$AC$6:$AC$505,"&lt;="&amp;$A58,実績!$AD$6:$AD$505,"&gt;"&amp;$A58,実績!$AE$6:$AE$505,"○")&gt;0,1,0))</f>
        <v/>
      </c>
      <c r="DN58">
        <f>IF(DN$4=0,0,IF(COUNTIFS(実績!$W$6:$W$505,DN$3,実績!$AC$6:$AC$505,"&lt;="&amp;$A58,実績!$AD$6:$AD$505,"&gt;"&amp;$A58,実績!$AE$6:$AE$505,"○")&gt;0,1,0))</f>
        <v/>
      </c>
      <c r="DO58">
        <f>IF(DO$4=0,0,IF(COUNTIFS(実績!$W$6:$W$505,DO$3,実績!$AC$6:$AC$505,"&lt;="&amp;$A58,実績!$AD$6:$AD$505,"&gt;"&amp;$A58,実績!$AE$6:$AE$505,"○")&gt;0,1,0))</f>
        <v/>
      </c>
      <c r="DP58">
        <f>IF(DP$4=0,0,IF(COUNTIFS(実績!$W$6:$W$505,DP$3,実績!$AC$6:$AC$505,"&lt;="&amp;$A58,実績!$AD$6:$AD$505,"&gt;"&amp;$A58,実績!$AE$6:$AE$505,"○")&gt;0,1,0))</f>
        <v/>
      </c>
      <c r="DQ58">
        <f>IF(DQ$4=0,0,IF(COUNTIFS(実績!$W$6:$W$505,DQ$3,実績!$AC$6:$AC$505,"&lt;="&amp;$A58,実績!$AD$6:$AD$505,"&gt;"&amp;$A58,実績!$AE$6:$AE$505,"○")&gt;0,1,0))</f>
        <v/>
      </c>
      <c r="DR58">
        <f>IF(DR$4=0,0,IF(COUNTIFS(実績!$W$6:$W$505,DR$3,実績!$AC$6:$AC$505,"&lt;="&amp;$A58,実績!$AD$6:$AD$505,"&gt;"&amp;$A58,実績!$AE$6:$AE$505,"○")&gt;0,1,0))</f>
        <v/>
      </c>
      <c r="DS58">
        <f>SUM(C58:DR58)</f>
        <v/>
      </c>
      <c r="DT58">
        <f>SUMPRODUCT((実績!$C$6:$C$505="○")*ISNUMBER(実績!$AF$6:$AF$505)*(実績!$AF$6:$AF$505&lt;=$A58)*(実績!$AG$6:$AG$505&gt;$A58))</f>
        <v/>
      </c>
      <c r="DU58">
        <f>SUMIF($C$2:$DR$2,"製鉄曳船",C58:DR58)</f>
        <v/>
      </c>
      <c r="DV58">
        <f>SUMIF($C$2:$DR$2,"西日本海運",C58:DR58)</f>
        <v/>
      </c>
    </row>
    <row r="59">
      <c r="A59" t="n">
        <v>265</v>
      </c>
      <c r="B59" s="29">
        <f>A59/1440</f>
        <v/>
      </c>
      <c r="C59">
        <f>IF(C$4=0,0,IF(COUNTIFS(実績!$W$6:$W$505,C$3,実績!$AC$6:$AC$505,"&lt;="&amp;$A59,実績!$AD$6:$AD$505,"&gt;"&amp;$A59,実績!$AE$6:$AE$505,"○")&gt;0,1,0))</f>
        <v/>
      </c>
      <c r="D59">
        <f>IF(D$4=0,0,IF(COUNTIFS(実績!$W$6:$W$505,D$3,実績!$AC$6:$AC$505,"&lt;="&amp;$A59,実績!$AD$6:$AD$505,"&gt;"&amp;$A59,実績!$AE$6:$AE$505,"○")&gt;0,1,0))</f>
        <v/>
      </c>
      <c r="E59">
        <f>IF(E$4=0,0,IF(COUNTIFS(実績!$W$6:$W$505,E$3,実績!$AC$6:$AC$505,"&lt;="&amp;$A59,実績!$AD$6:$AD$505,"&gt;"&amp;$A59,実績!$AE$6:$AE$505,"○")&gt;0,1,0))</f>
        <v/>
      </c>
      <c r="F59">
        <f>IF(F$4=0,0,IF(COUNTIFS(実績!$W$6:$W$505,F$3,実績!$AC$6:$AC$505,"&lt;="&amp;$A59,実績!$AD$6:$AD$505,"&gt;"&amp;$A59,実績!$AE$6:$AE$505,"○")&gt;0,1,0))</f>
        <v/>
      </c>
      <c r="G59">
        <f>IF(G$4=0,0,IF(COUNTIFS(実績!$W$6:$W$505,G$3,実績!$AC$6:$AC$505,"&lt;="&amp;$A59,実績!$AD$6:$AD$505,"&gt;"&amp;$A59,実績!$AE$6:$AE$505,"○")&gt;0,1,0))</f>
        <v/>
      </c>
      <c r="H59">
        <f>IF(H$4=0,0,IF(COUNTIFS(実績!$W$6:$W$505,H$3,実績!$AC$6:$AC$505,"&lt;="&amp;$A59,実績!$AD$6:$AD$505,"&gt;"&amp;$A59,実績!$AE$6:$AE$505,"○")&gt;0,1,0))</f>
        <v/>
      </c>
      <c r="I59">
        <f>IF(I$4=0,0,IF(COUNTIFS(実績!$W$6:$W$505,I$3,実績!$AC$6:$AC$505,"&lt;="&amp;$A59,実績!$AD$6:$AD$505,"&gt;"&amp;$A59,実績!$AE$6:$AE$505,"○")&gt;0,1,0))</f>
        <v/>
      </c>
      <c r="J59">
        <f>IF(J$4=0,0,IF(COUNTIFS(実績!$W$6:$W$505,J$3,実績!$AC$6:$AC$505,"&lt;="&amp;$A59,実績!$AD$6:$AD$505,"&gt;"&amp;$A59,実績!$AE$6:$AE$505,"○")&gt;0,1,0))</f>
        <v/>
      </c>
      <c r="K59">
        <f>IF(K$4=0,0,IF(COUNTIFS(実績!$W$6:$W$505,K$3,実績!$AC$6:$AC$505,"&lt;="&amp;$A59,実績!$AD$6:$AD$505,"&gt;"&amp;$A59,実績!$AE$6:$AE$505,"○")&gt;0,1,0))</f>
        <v/>
      </c>
      <c r="L59">
        <f>IF(L$4=0,0,IF(COUNTIFS(実績!$W$6:$W$505,L$3,実績!$AC$6:$AC$505,"&lt;="&amp;$A59,実績!$AD$6:$AD$505,"&gt;"&amp;$A59,実績!$AE$6:$AE$505,"○")&gt;0,1,0))</f>
        <v/>
      </c>
      <c r="M59">
        <f>IF(M$4=0,0,IF(COUNTIFS(実績!$W$6:$W$505,M$3,実績!$AC$6:$AC$505,"&lt;="&amp;$A59,実績!$AD$6:$AD$505,"&gt;"&amp;$A59,実績!$AE$6:$AE$505,"○")&gt;0,1,0))</f>
        <v/>
      </c>
      <c r="N59">
        <f>IF(N$4=0,0,IF(COUNTIFS(実績!$W$6:$W$505,N$3,実績!$AC$6:$AC$505,"&lt;="&amp;$A59,実績!$AD$6:$AD$505,"&gt;"&amp;$A59,実績!$AE$6:$AE$505,"○")&gt;0,1,0))</f>
        <v/>
      </c>
      <c r="O59">
        <f>IF(O$4=0,0,IF(COUNTIFS(実績!$W$6:$W$505,O$3,実績!$AC$6:$AC$505,"&lt;="&amp;$A59,実績!$AD$6:$AD$505,"&gt;"&amp;$A59,実績!$AE$6:$AE$505,"○")&gt;0,1,0))</f>
        <v/>
      </c>
      <c r="P59">
        <f>IF(P$4=0,0,IF(COUNTIFS(実績!$W$6:$W$505,P$3,実績!$AC$6:$AC$505,"&lt;="&amp;$A59,実績!$AD$6:$AD$505,"&gt;"&amp;$A59,実績!$AE$6:$AE$505,"○")&gt;0,1,0))</f>
        <v/>
      </c>
      <c r="Q59">
        <f>IF(Q$4=0,0,IF(COUNTIFS(実績!$W$6:$W$505,Q$3,実績!$AC$6:$AC$505,"&lt;="&amp;$A59,実績!$AD$6:$AD$505,"&gt;"&amp;$A59,実績!$AE$6:$AE$505,"○")&gt;0,1,0))</f>
        <v/>
      </c>
      <c r="R59">
        <f>IF(R$4=0,0,IF(COUNTIFS(実績!$W$6:$W$505,R$3,実績!$AC$6:$AC$505,"&lt;="&amp;$A59,実績!$AD$6:$AD$505,"&gt;"&amp;$A59,実績!$AE$6:$AE$505,"○")&gt;0,1,0))</f>
        <v/>
      </c>
      <c r="S59">
        <f>IF(S$4=0,0,IF(COUNTIFS(実績!$W$6:$W$505,S$3,実績!$AC$6:$AC$505,"&lt;="&amp;$A59,実績!$AD$6:$AD$505,"&gt;"&amp;$A59,実績!$AE$6:$AE$505,"○")&gt;0,1,0))</f>
        <v/>
      </c>
      <c r="T59">
        <f>IF(T$4=0,0,IF(COUNTIFS(実績!$W$6:$W$505,T$3,実績!$AC$6:$AC$505,"&lt;="&amp;$A59,実績!$AD$6:$AD$505,"&gt;"&amp;$A59,実績!$AE$6:$AE$505,"○")&gt;0,1,0))</f>
        <v/>
      </c>
      <c r="U59">
        <f>IF(U$4=0,0,IF(COUNTIFS(実績!$W$6:$W$505,U$3,実績!$AC$6:$AC$505,"&lt;="&amp;$A59,実績!$AD$6:$AD$505,"&gt;"&amp;$A59,実績!$AE$6:$AE$505,"○")&gt;0,1,0))</f>
        <v/>
      </c>
      <c r="V59">
        <f>IF(V$4=0,0,IF(COUNTIFS(実績!$W$6:$W$505,V$3,実績!$AC$6:$AC$505,"&lt;="&amp;$A59,実績!$AD$6:$AD$505,"&gt;"&amp;$A59,実績!$AE$6:$AE$505,"○")&gt;0,1,0))</f>
        <v/>
      </c>
      <c r="W59">
        <f>IF(W$4=0,0,IF(COUNTIFS(実績!$W$6:$W$505,W$3,実績!$AC$6:$AC$505,"&lt;="&amp;$A59,実績!$AD$6:$AD$505,"&gt;"&amp;$A59,実績!$AE$6:$AE$505,"○")&gt;0,1,0))</f>
        <v/>
      </c>
      <c r="X59">
        <f>IF(X$4=0,0,IF(COUNTIFS(実績!$W$6:$W$505,X$3,実績!$AC$6:$AC$505,"&lt;="&amp;$A59,実績!$AD$6:$AD$505,"&gt;"&amp;$A59,実績!$AE$6:$AE$505,"○")&gt;0,1,0))</f>
        <v/>
      </c>
      <c r="Y59">
        <f>IF(Y$4=0,0,IF(COUNTIFS(実績!$W$6:$W$505,Y$3,実績!$AC$6:$AC$505,"&lt;="&amp;$A59,実績!$AD$6:$AD$505,"&gt;"&amp;$A59,実績!$AE$6:$AE$505,"○")&gt;0,1,0))</f>
        <v/>
      </c>
      <c r="Z59">
        <f>IF(Z$4=0,0,IF(COUNTIFS(実績!$W$6:$W$505,Z$3,実績!$AC$6:$AC$505,"&lt;="&amp;$A59,実績!$AD$6:$AD$505,"&gt;"&amp;$A59,実績!$AE$6:$AE$505,"○")&gt;0,1,0))</f>
        <v/>
      </c>
      <c r="AA59">
        <f>IF(AA$4=0,0,IF(COUNTIFS(実績!$W$6:$W$505,AA$3,実績!$AC$6:$AC$505,"&lt;="&amp;$A59,実績!$AD$6:$AD$505,"&gt;"&amp;$A59,実績!$AE$6:$AE$505,"○")&gt;0,1,0))</f>
        <v/>
      </c>
      <c r="AB59">
        <f>IF(AB$4=0,0,IF(COUNTIFS(実績!$W$6:$W$505,AB$3,実績!$AC$6:$AC$505,"&lt;="&amp;$A59,実績!$AD$6:$AD$505,"&gt;"&amp;$A59,実績!$AE$6:$AE$505,"○")&gt;0,1,0))</f>
        <v/>
      </c>
      <c r="AC59">
        <f>IF(AC$4=0,0,IF(COUNTIFS(実績!$W$6:$W$505,AC$3,実績!$AC$6:$AC$505,"&lt;="&amp;$A59,実績!$AD$6:$AD$505,"&gt;"&amp;$A59,実績!$AE$6:$AE$505,"○")&gt;0,1,0))</f>
        <v/>
      </c>
      <c r="AD59">
        <f>IF(AD$4=0,0,IF(COUNTIFS(実績!$W$6:$W$505,AD$3,実績!$AC$6:$AC$505,"&lt;="&amp;$A59,実績!$AD$6:$AD$505,"&gt;"&amp;$A59,実績!$AE$6:$AE$505,"○")&gt;0,1,0))</f>
        <v/>
      </c>
      <c r="AE59">
        <f>IF(AE$4=0,0,IF(COUNTIFS(実績!$W$6:$W$505,AE$3,実績!$AC$6:$AC$505,"&lt;="&amp;$A59,実績!$AD$6:$AD$505,"&gt;"&amp;$A59,実績!$AE$6:$AE$505,"○")&gt;0,1,0))</f>
        <v/>
      </c>
      <c r="AF59">
        <f>IF(AF$4=0,0,IF(COUNTIFS(実績!$W$6:$W$505,AF$3,実績!$AC$6:$AC$505,"&lt;="&amp;$A59,実績!$AD$6:$AD$505,"&gt;"&amp;$A59,実績!$AE$6:$AE$505,"○")&gt;0,1,0))</f>
        <v/>
      </c>
      <c r="AG59">
        <f>IF(AG$4=0,0,IF(COUNTIFS(実績!$W$6:$W$505,AG$3,実績!$AC$6:$AC$505,"&lt;="&amp;$A59,実績!$AD$6:$AD$505,"&gt;"&amp;$A59,実績!$AE$6:$AE$505,"○")&gt;0,1,0))</f>
        <v/>
      </c>
      <c r="AH59">
        <f>IF(AH$4=0,0,IF(COUNTIFS(実績!$W$6:$W$505,AH$3,実績!$AC$6:$AC$505,"&lt;="&amp;$A59,実績!$AD$6:$AD$505,"&gt;"&amp;$A59,実績!$AE$6:$AE$505,"○")&gt;0,1,0))</f>
        <v/>
      </c>
      <c r="AI59">
        <f>IF(AI$4=0,0,IF(COUNTIFS(実績!$W$6:$W$505,AI$3,実績!$AC$6:$AC$505,"&lt;="&amp;$A59,実績!$AD$6:$AD$505,"&gt;"&amp;$A59,実績!$AE$6:$AE$505,"○")&gt;0,1,0))</f>
        <v/>
      </c>
      <c r="AJ59">
        <f>IF(AJ$4=0,0,IF(COUNTIFS(実績!$W$6:$W$505,AJ$3,実績!$AC$6:$AC$505,"&lt;="&amp;$A59,実績!$AD$6:$AD$505,"&gt;"&amp;$A59,実績!$AE$6:$AE$505,"○")&gt;0,1,0))</f>
        <v/>
      </c>
      <c r="AK59">
        <f>IF(AK$4=0,0,IF(COUNTIFS(実績!$W$6:$W$505,AK$3,実績!$AC$6:$AC$505,"&lt;="&amp;$A59,実績!$AD$6:$AD$505,"&gt;"&amp;$A59,実績!$AE$6:$AE$505,"○")&gt;0,1,0))</f>
        <v/>
      </c>
      <c r="AL59">
        <f>IF(AL$4=0,0,IF(COUNTIFS(実績!$W$6:$W$505,AL$3,実績!$AC$6:$AC$505,"&lt;="&amp;$A59,実績!$AD$6:$AD$505,"&gt;"&amp;$A59,実績!$AE$6:$AE$505,"○")&gt;0,1,0))</f>
        <v/>
      </c>
      <c r="AM59">
        <f>IF(AM$4=0,0,IF(COUNTIFS(実績!$W$6:$W$505,AM$3,実績!$AC$6:$AC$505,"&lt;="&amp;$A59,実績!$AD$6:$AD$505,"&gt;"&amp;$A59,実績!$AE$6:$AE$505,"○")&gt;0,1,0))</f>
        <v/>
      </c>
      <c r="AN59">
        <f>IF(AN$4=0,0,IF(COUNTIFS(実績!$W$6:$W$505,AN$3,実績!$AC$6:$AC$505,"&lt;="&amp;$A59,実績!$AD$6:$AD$505,"&gt;"&amp;$A59,実績!$AE$6:$AE$505,"○")&gt;0,1,0))</f>
        <v/>
      </c>
      <c r="AO59">
        <f>IF(AO$4=0,0,IF(COUNTIFS(実績!$W$6:$W$505,AO$3,実績!$AC$6:$AC$505,"&lt;="&amp;$A59,実績!$AD$6:$AD$505,"&gt;"&amp;$A59,実績!$AE$6:$AE$505,"○")&gt;0,1,0))</f>
        <v/>
      </c>
      <c r="AP59">
        <f>IF(AP$4=0,0,IF(COUNTIFS(実績!$W$6:$W$505,AP$3,実績!$AC$6:$AC$505,"&lt;="&amp;$A59,実績!$AD$6:$AD$505,"&gt;"&amp;$A59,実績!$AE$6:$AE$505,"○")&gt;0,1,0))</f>
        <v/>
      </c>
      <c r="AQ59">
        <f>IF(AQ$4=0,0,IF(COUNTIFS(実績!$W$6:$W$505,AQ$3,実績!$AC$6:$AC$505,"&lt;="&amp;$A59,実績!$AD$6:$AD$505,"&gt;"&amp;$A59,実績!$AE$6:$AE$505,"○")&gt;0,1,0))</f>
        <v/>
      </c>
      <c r="AR59">
        <f>IF(AR$4=0,0,IF(COUNTIFS(実績!$W$6:$W$505,AR$3,実績!$AC$6:$AC$505,"&lt;="&amp;$A59,実績!$AD$6:$AD$505,"&gt;"&amp;$A59,実績!$AE$6:$AE$505,"○")&gt;0,1,0))</f>
        <v/>
      </c>
      <c r="AS59">
        <f>IF(AS$4=0,0,IF(COUNTIFS(実績!$W$6:$W$505,AS$3,実績!$AC$6:$AC$505,"&lt;="&amp;$A59,実績!$AD$6:$AD$505,"&gt;"&amp;$A59,実績!$AE$6:$AE$505,"○")&gt;0,1,0))</f>
        <v/>
      </c>
      <c r="AT59">
        <f>IF(AT$4=0,0,IF(COUNTIFS(実績!$W$6:$W$505,AT$3,実績!$AC$6:$AC$505,"&lt;="&amp;$A59,実績!$AD$6:$AD$505,"&gt;"&amp;$A59,実績!$AE$6:$AE$505,"○")&gt;0,1,0))</f>
        <v/>
      </c>
      <c r="AU59">
        <f>IF(AU$4=0,0,IF(COUNTIFS(実績!$W$6:$W$505,AU$3,実績!$AC$6:$AC$505,"&lt;="&amp;$A59,実績!$AD$6:$AD$505,"&gt;"&amp;$A59,実績!$AE$6:$AE$505,"○")&gt;0,1,0))</f>
        <v/>
      </c>
      <c r="AV59">
        <f>IF(AV$4=0,0,IF(COUNTIFS(実績!$W$6:$W$505,AV$3,実績!$AC$6:$AC$505,"&lt;="&amp;$A59,実績!$AD$6:$AD$505,"&gt;"&amp;$A59,実績!$AE$6:$AE$505,"○")&gt;0,1,0))</f>
        <v/>
      </c>
      <c r="AW59">
        <f>IF(AW$4=0,0,IF(COUNTIFS(実績!$W$6:$W$505,AW$3,実績!$AC$6:$AC$505,"&lt;="&amp;$A59,実績!$AD$6:$AD$505,"&gt;"&amp;$A59,実績!$AE$6:$AE$505,"○")&gt;0,1,0))</f>
        <v/>
      </c>
      <c r="AX59">
        <f>IF(AX$4=0,0,IF(COUNTIFS(実績!$W$6:$W$505,AX$3,実績!$AC$6:$AC$505,"&lt;="&amp;$A59,実績!$AD$6:$AD$505,"&gt;"&amp;$A59,実績!$AE$6:$AE$505,"○")&gt;0,1,0))</f>
        <v/>
      </c>
      <c r="AY59">
        <f>IF(AY$4=0,0,IF(COUNTIFS(実績!$W$6:$W$505,AY$3,実績!$AC$6:$AC$505,"&lt;="&amp;$A59,実績!$AD$6:$AD$505,"&gt;"&amp;$A59,実績!$AE$6:$AE$505,"○")&gt;0,1,0))</f>
        <v/>
      </c>
      <c r="AZ59">
        <f>IF(AZ$4=0,0,IF(COUNTIFS(実績!$W$6:$W$505,AZ$3,実績!$AC$6:$AC$505,"&lt;="&amp;$A59,実績!$AD$6:$AD$505,"&gt;"&amp;$A59,実績!$AE$6:$AE$505,"○")&gt;0,1,0))</f>
        <v/>
      </c>
      <c r="BA59">
        <f>IF(BA$4=0,0,IF(COUNTIFS(実績!$W$6:$W$505,BA$3,実績!$AC$6:$AC$505,"&lt;="&amp;$A59,実績!$AD$6:$AD$505,"&gt;"&amp;$A59,実績!$AE$6:$AE$505,"○")&gt;0,1,0))</f>
        <v/>
      </c>
      <c r="BB59">
        <f>IF(BB$4=0,0,IF(COUNTIFS(実績!$W$6:$W$505,BB$3,実績!$AC$6:$AC$505,"&lt;="&amp;$A59,実績!$AD$6:$AD$505,"&gt;"&amp;$A59,実績!$AE$6:$AE$505,"○")&gt;0,1,0))</f>
        <v/>
      </c>
      <c r="BC59">
        <f>IF(BC$4=0,0,IF(COUNTIFS(実績!$W$6:$W$505,BC$3,実績!$AC$6:$AC$505,"&lt;="&amp;$A59,実績!$AD$6:$AD$505,"&gt;"&amp;$A59,実績!$AE$6:$AE$505,"○")&gt;0,1,0))</f>
        <v/>
      </c>
      <c r="BD59">
        <f>IF(BD$4=0,0,IF(COUNTIFS(実績!$W$6:$W$505,BD$3,実績!$AC$6:$AC$505,"&lt;="&amp;$A59,実績!$AD$6:$AD$505,"&gt;"&amp;$A59,実績!$AE$6:$AE$505,"○")&gt;0,1,0))</f>
        <v/>
      </c>
      <c r="BE59">
        <f>IF(BE$4=0,0,IF(COUNTIFS(実績!$W$6:$W$505,BE$3,実績!$AC$6:$AC$505,"&lt;="&amp;$A59,実績!$AD$6:$AD$505,"&gt;"&amp;$A59,実績!$AE$6:$AE$505,"○")&gt;0,1,0))</f>
        <v/>
      </c>
      <c r="BF59">
        <f>IF(BF$4=0,0,IF(COUNTIFS(実績!$W$6:$W$505,BF$3,実績!$AC$6:$AC$505,"&lt;="&amp;$A59,実績!$AD$6:$AD$505,"&gt;"&amp;$A59,実績!$AE$6:$AE$505,"○")&gt;0,1,0))</f>
        <v/>
      </c>
      <c r="BG59">
        <f>IF(BG$4=0,0,IF(COUNTIFS(実績!$W$6:$W$505,BG$3,実績!$AC$6:$AC$505,"&lt;="&amp;$A59,実績!$AD$6:$AD$505,"&gt;"&amp;$A59,実績!$AE$6:$AE$505,"○")&gt;0,1,0))</f>
        <v/>
      </c>
      <c r="BH59">
        <f>IF(BH$4=0,0,IF(COUNTIFS(実績!$W$6:$W$505,BH$3,実績!$AC$6:$AC$505,"&lt;="&amp;$A59,実績!$AD$6:$AD$505,"&gt;"&amp;$A59,実績!$AE$6:$AE$505,"○")&gt;0,1,0))</f>
        <v/>
      </c>
      <c r="BI59">
        <f>IF(BI$4=0,0,IF(COUNTIFS(実績!$W$6:$W$505,BI$3,実績!$AC$6:$AC$505,"&lt;="&amp;$A59,実績!$AD$6:$AD$505,"&gt;"&amp;$A59,実績!$AE$6:$AE$505,"○")&gt;0,1,0))</f>
        <v/>
      </c>
      <c r="BJ59">
        <f>IF(BJ$4=0,0,IF(COUNTIFS(実績!$W$6:$W$505,BJ$3,実績!$AC$6:$AC$505,"&lt;="&amp;$A59,実績!$AD$6:$AD$505,"&gt;"&amp;$A59,実績!$AE$6:$AE$505,"○")&gt;0,1,0))</f>
        <v/>
      </c>
      <c r="BK59">
        <f>IF(BK$4=0,0,IF(COUNTIFS(実績!$W$6:$W$505,BK$3,実績!$AC$6:$AC$505,"&lt;="&amp;$A59,実績!$AD$6:$AD$505,"&gt;"&amp;$A59,実績!$AE$6:$AE$505,"○")&gt;0,1,0))</f>
        <v/>
      </c>
      <c r="BL59">
        <f>IF(BL$4=0,0,IF(COUNTIFS(実績!$W$6:$W$505,BL$3,実績!$AC$6:$AC$505,"&lt;="&amp;$A59,実績!$AD$6:$AD$505,"&gt;"&amp;$A59,実績!$AE$6:$AE$505,"○")&gt;0,1,0))</f>
        <v/>
      </c>
      <c r="BM59">
        <f>IF(BM$4=0,0,IF(COUNTIFS(実績!$W$6:$W$505,BM$3,実績!$AC$6:$AC$505,"&lt;="&amp;$A59,実績!$AD$6:$AD$505,"&gt;"&amp;$A59,実績!$AE$6:$AE$505,"○")&gt;0,1,0))</f>
        <v/>
      </c>
      <c r="BN59">
        <f>IF(BN$4=0,0,IF(COUNTIFS(実績!$W$6:$W$505,BN$3,実績!$AC$6:$AC$505,"&lt;="&amp;$A59,実績!$AD$6:$AD$505,"&gt;"&amp;$A59,実績!$AE$6:$AE$505,"○")&gt;0,1,0))</f>
        <v/>
      </c>
      <c r="BO59">
        <f>IF(BO$4=0,0,IF(COUNTIFS(実績!$W$6:$W$505,BO$3,実績!$AC$6:$AC$505,"&lt;="&amp;$A59,実績!$AD$6:$AD$505,"&gt;"&amp;$A59,実績!$AE$6:$AE$505,"○")&gt;0,1,0))</f>
        <v/>
      </c>
      <c r="BP59">
        <f>IF(BP$4=0,0,IF(COUNTIFS(実績!$W$6:$W$505,BP$3,実績!$AC$6:$AC$505,"&lt;="&amp;$A59,実績!$AD$6:$AD$505,"&gt;"&amp;$A59,実績!$AE$6:$AE$505,"○")&gt;0,1,0))</f>
        <v/>
      </c>
      <c r="BQ59">
        <f>IF(BQ$4=0,0,IF(COUNTIFS(実績!$W$6:$W$505,BQ$3,実績!$AC$6:$AC$505,"&lt;="&amp;$A59,実績!$AD$6:$AD$505,"&gt;"&amp;$A59,実績!$AE$6:$AE$505,"○")&gt;0,1,0))</f>
        <v/>
      </c>
      <c r="BR59">
        <f>IF(BR$4=0,0,IF(COUNTIFS(実績!$W$6:$W$505,BR$3,実績!$AC$6:$AC$505,"&lt;="&amp;$A59,実績!$AD$6:$AD$505,"&gt;"&amp;$A59,実績!$AE$6:$AE$505,"○")&gt;0,1,0))</f>
        <v/>
      </c>
      <c r="BS59">
        <f>IF(BS$4=0,0,IF(COUNTIFS(実績!$W$6:$W$505,BS$3,実績!$AC$6:$AC$505,"&lt;="&amp;$A59,実績!$AD$6:$AD$505,"&gt;"&amp;$A59,実績!$AE$6:$AE$505,"○")&gt;0,1,0))</f>
        <v/>
      </c>
      <c r="BT59">
        <f>IF(BT$4=0,0,IF(COUNTIFS(実績!$W$6:$W$505,BT$3,実績!$AC$6:$AC$505,"&lt;="&amp;$A59,実績!$AD$6:$AD$505,"&gt;"&amp;$A59,実績!$AE$6:$AE$505,"○")&gt;0,1,0))</f>
        <v/>
      </c>
      <c r="BU59">
        <f>IF(BU$4=0,0,IF(COUNTIFS(実績!$W$6:$W$505,BU$3,実績!$AC$6:$AC$505,"&lt;="&amp;$A59,実績!$AD$6:$AD$505,"&gt;"&amp;$A59,実績!$AE$6:$AE$505,"○")&gt;0,1,0))</f>
        <v/>
      </c>
      <c r="BV59">
        <f>IF(BV$4=0,0,IF(COUNTIFS(実績!$W$6:$W$505,BV$3,実績!$AC$6:$AC$505,"&lt;="&amp;$A59,実績!$AD$6:$AD$505,"&gt;"&amp;$A59,実績!$AE$6:$AE$505,"○")&gt;0,1,0))</f>
        <v/>
      </c>
      <c r="BW59">
        <f>IF(BW$4=0,0,IF(COUNTIFS(実績!$W$6:$W$505,BW$3,実績!$AC$6:$AC$505,"&lt;="&amp;$A59,実績!$AD$6:$AD$505,"&gt;"&amp;$A59,実績!$AE$6:$AE$505,"○")&gt;0,1,0))</f>
        <v/>
      </c>
      <c r="BX59">
        <f>IF(BX$4=0,0,IF(COUNTIFS(実績!$W$6:$W$505,BX$3,実績!$AC$6:$AC$505,"&lt;="&amp;$A59,実績!$AD$6:$AD$505,"&gt;"&amp;$A59,実績!$AE$6:$AE$505,"○")&gt;0,1,0))</f>
        <v/>
      </c>
      <c r="BY59">
        <f>IF(BY$4=0,0,IF(COUNTIFS(実績!$W$6:$W$505,BY$3,実績!$AC$6:$AC$505,"&lt;="&amp;$A59,実績!$AD$6:$AD$505,"&gt;"&amp;$A59,実績!$AE$6:$AE$505,"○")&gt;0,1,0))</f>
        <v/>
      </c>
      <c r="BZ59">
        <f>IF(BZ$4=0,0,IF(COUNTIFS(実績!$W$6:$W$505,BZ$3,実績!$AC$6:$AC$505,"&lt;="&amp;$A59,実績!$AD$6:$AD$505,"&gt;"&amp;$A59,実績!$AE$6:$AE$505,"○")&gt;0,1,0))</f>
        <v/>
      </c>
      <c r="CA59">
        <f>IF(CA$4=0,0,IF(COUNTIFS(実績!$W$6:$W$505,CA$3,実績!$AC$6:$AC$505,"&lt;="&amp;$A59,実績!$AD$6:$AD$505,"&gt;"&amp;$A59,実績!$AE$6:$AE$505,"○")&gt;0,1,0))</f>
        <v/>
      </c>
      <c r="CB59">
        <f>IF(CB$4=0,0,IF(COUNTIFS(実績!$W$6:$W$505,CB$3,実績!$AC$6:$AC$505,"&lt;="&amp;$A59,実績!$AD$6:$AD$505,"&gt;"&amp;$A59,実績!$AE$6:$AE$505,"○")&gt;0,1,0))</f>
        <v/>
      </c>
      <c r="CC59">
        <f>IF(CC$4=0,0,IF(COUNTIFS(実績!$W$6:$W$505,CC$3,実績!$AC$6:$AC$505,"&lt;="&amp;$A59,実績!$AD$6:$AD$505,"&gt;"&amp;$A59,実績!$AE$6:$AE$505,"○")&gt;0,1,0))</f>
        <v/>
      </c>
      <c r="CD59">
        <f>IF(CD$4=0,0,IF(COUNTIFS(実績!$W$6:$W$505,CD$3,実績!$AC$6:$AC$505,"&lt;="&amp;$A59,実績!$AD$6:$AD$505,"&gt;"&amp;$A59,実績!$AE$6:$AE$505,"○")&gt;0,1,0))</f>
        <v/>
      </c>
      <c r="CE59">
        <f>IF(CE$4=0,0,IF(COUNTIFS(実績!$W$6:$W$505,CE$3,実績!$AC$6:$AC$505,"&lt;="&amp;$A59,実績!$AD$6:$AD$505,"&gt;"&amp;$A59,実績!$AE$6:$AE$505,"○")&gt;0,1,0))</f>
        <v/>
      </c>
      <c r="CF59">
        <f>IF(CF$4=0,0,IF(COUNTIFS(実績!$W$6:$W$505,CF$3,実績!$AC$6:$AC$505,"&lt;="&amp;$A59,実績!$AD$6:$AD$505,"&gt;"&amp;$A59,実績!$AE$6:$AE$505,"○")&gt;0,1,0))</f>
        <v/>
      </c>
      <c r="CG59">
        <f>IF(CG$4=0,0,IF(COUNTIFS(実績!$W$6:$W$505,CG$3,実績!$AC$6:$AC$505,"&lt;="&amp;$A59,実績!$AD$6:$AD$505,"&gt;"&amp;$A59,実績!$AE$6:$AE$505,"○")&gt;0,1,0))</f>
        <v/>
      </c>
      <c r="CH59">
        <f>IF(CH$4=0,0,IF(COUNTIFS(実績!$W$6:$W$505,CH$3,実績!$AC$6:$AC$505,"&lt;="&amp;$A59,実績!$AD$6:$AD$505,"&gt;"&amp;$A59,実績!$AE$6:$AE$505,"○")&gt;0,1,0))</f>
        <v/>
      </c>
      <c r="CI59">
        <f>IF(CI$4=0,0,IF(COUNTIFS(実績!$W$6:$W$505,CI$3,実績!$AC$6:$AC$505,"&lt;="&amp;$A59,実績!$AD$6:$AD$505,"&gt;"&amp;$A59,実績!$AE$6:$AE$505,"○")&gt;0,1,0))</f>
        <v/>
      </c>
      <c r="CJ59">
        <f>IF(CJ$4=0,0,IF(COUNTIFS(実績!$W$6:$W$505,CJ$3,実績!$AC$6:$AC$505,"&lt;="&amp;$A59,実績!$AD$6:$AD$505,"&gt;"&amp;$A59,実績!$AE$6:$AE$505,"○")&gt;0,1,0))</f>
        <v/>
      </c>
      <c r="CK59">
        <f>IF(CK$4=0,0,IF(COUNTIFS(実績!$W$6:$W$505,CK$3,実績!$AC$6:$AC$505,"&lt;="&amp;$A59,実績!$AD$6:$AD$505,"&gt;"&amp;$A59,実績!$AE$6:$AE$505,"○")&gt;0,1,0))</f>
        <v/>
      </c>
      <c r="CL59">
        <f>IF(CL$4=0,0,IF(COUNTIFS(実績!$W$6:$W$505,CL$3,実績!$AC$6:$AC$505,"&lt;="&amp;$A59,実績!$AD$6:$AD$505,"&gt;"&amp;$A59,実績!$AE$6:$AE$505,"○")&gt;0,1,0))</f>
        <v/>
      </c>
      <c r="CM59">
        <f>IF(CM$4=0,0,IF(COUNTIFS(実績!$W$6:$W$505,CM$3,実績!$AC$6:$AC$505,"&lt;="&amp;$A59,実績!$AD$6:$AD$505,"&gt;"&amp;$A59,実績!$AE$6:$AE$505,"○")&gt;0,1,0))</f>
        <v/>
      </c>
      <c r="CN59">
        <f>IF(CN$4=0,0,IF(COUNTIFS(実績!$W$6:$W$505,CN$3,実績!$AC$6:$AC$505,"&lt;="&amp;$A59,実績!$AD$6:$AD$505,"&gt;"&amp;$A59,実績!$AE$6:$AE$505,"○")&gt;0,1,0))</f>
        <v/>
      </c>
      <c r="CO59">
        <f>IF(CO$4=0,0,IF(COUNTIFS(実績!$W$6:$W$505,CO$3,実績!$AC$6:$AC$505,"&lt;="&amp;$A59,実績!$AD$6:$AD$505,"&gt;"&amp;$A59,実績!$AE$6:$AE$505,"○")&gt;0,1,0))</f>
        <v/>
      </c>
      <c r="CP59">
        <f>IF(CP$4=0,0,IF(COUNTIFS(実績!$W$6:$W$505,CP$3,実績!$AC$6:$AC$505,"&lt;="&amp;$A59,実績!$AD$6:$AD$505,"&gt;"&amp;$A59,実績!$AE$6:$AE$505,"○")&gt;0,1,0))</f>
        <v/>
      </c>
      <c r="CQ59">
        <f>IF(CQ$4=0,0,IF(COUNTIFS(実績!$W$6:$W$505,CQ$3,実績!$AC$6:$AC$505,"&lt;="&amp;$A59,実績!$AD$6:$AD$505,"&gt;"&amp;$A59,実績!$AE$6:$AE$505,"○")&gt;0,1,0))</f>
        <v/>
      </c>
      <c r="CR59">
        <f>IF(CR$4=0,0,IF(COUNTIFS(実績!$W$6:$W$505,CR$3,実績!$AC$6:$AC$505,"&lt;="&amp;$A59,実績!$AD$6:$AD$505,"&gt;"&amp;$A59,実績!$AE$6:$AE$505,"○")&gt;0,1,0))</f>
        <v/>
      </c>
      <c r="CS59">
        <f>IF(CS$4=0,0,IF(COUNTIFS(実績!$W$6:$W$505,CS$3,実績!$AC$6:$AC$505,"&lt;="&amp;$A59,実績!$AD$6:$AD$505,"&gt;"&amp;$A59,実績!$AE$6:$AE$505,"○")&gt;0,1,0))</f>
        <v/>
      </c>
      <c r="CT59">
        <f>IF(CT$4=0,0,IF(COUNTIFS(実績!$W$6:$W$505,CT$3,実績!$AC$6:$AC$505,"&lt;="&amp;$A59,実績!$AD$6:$AD$505,"&gt;"&amp;$A59,実績!$AE$6:$AE$505,"○")&gt;0,1,0))</f>
        <v/>
      </c>
      <c r="CU59">
        <f>IF(CU$4=0,0,IF(COUNTIFS(実績!$W$6:$W$505,CU$3,実績!$AC$6:$AC$505,"&lt;="&amp;$A59,実績!$AD$6:$AD$505,"&gt;"&amp;$A59,実績!$AE$6:$AE$505,"○")&gt;0,1,0))</f>
        <v/>
      </c>
      <c r="CV59">
        <f>IF(CV$4=0,0,IF(COUNTIFS(実績!$W$6:$W$505,CV$3,実績!$AC$6:$AC$505,"&lt;="&amp;$A59,実績!$AD$6:$AD$505,"&gt;"&amp;$A59,実績!$AE$6:$AE$505,"○")&gt;0,1,0))</f>
        <v/>
      </c>
      <c r="CW59">
        <f>IF(CW$4=0,0,IF(COUNTIFS(実績!$W$6:$W$505,CW$3,実績!$AC$6:$AC$505,"&lt;="&amp;$A59,実績!$AD$6:$AD$505,"&gt;"&amp;$A59,実績!$AE$6:$AE$505,"○")&gt;0,1,0))</f>
        <v/>
      </c>
      <c r="CX59">
        <f>IF(CX$4=0,0,IF(COUNTIFS(実績!$W$6:$W$505,CX$3,実績!$AC$6:$AC$505,"&lt;="&amp;$A59,実績!$AD$6:$AD$505,"&gt;"&amp;$A59,実績!$AE$6:$AE$505,"○")&gt;0,1,0))</f>
        <v/>
      </c>
      <c r="CY59">
        <f>IF(CY$4=0,0,IF(COUNTIFS(実績!$W$6:$W$505,CY$3,実績!$AC$6:$AC$505,"&lt;="&amp;$A59,実績!$AD$6:$AD$505,"&gt;"&amp;$A59,実績!$AE$6:$AE$505,"○")&gt;0,1,0))</f>
        <v/>
      </c>
      <c r="CZ59">
        <f>IF(CZ$4=0,0,IF(COUNTIFS(実績!$W$6:$W$505,CZ$3,実績!$AC$6:$AC$505,"&lt;="&amp;$A59,実績!$AD$6:$AD$505,"&gt;"&amp;$A59,実績!$AE$6:$AE$505,"○")&gt;0,1,0))</f>
        <v/>
      </c>
      <c r="DA59">
        <f>IF(DA$4=0,0,IF(COUNTIFS(実績!$W$6:$W$505,DA$3,実績!$AC$6:$AC$505,"&lt;="&amp;$A59,実績!$AD$6:$AD$505,"&gt;"&amp;$A59,実績!$AE$6:$AE$505,"○")&gt;0,1,0))</f>
        <v/>
      </c>
      <c r="DB59">
        <f>IF(DB$4=0,0,IF(COUNTIFS(実績!$W$6:$W$505,DB$3,実績!$AC$6:$AC$505,"&lt;="&amp;$A59,実績!$AD$6:$AD$505,"&gt;"&amp;$A59,実績!$AE$6:$AE$505,"○")&gt;0,1,0))</f>
        <v/>
      </c>
      <c r="DC59">
        <f>IF(DC$4=0,0,IF(COUNTIFS(実績!$W$6:$W$505,DC$3,実績!$AC$6:$AC$505,"&lt;="&amp;$A59,実績!$AD$6:$AD$505,"&gt;"&amp;$A59,実績!$AE$6:$AE$505,"○")&gt;0,1,0))</f>
        <v/>
      </c>
      <c r="DD59">
        <f>IF(DD$4=0,0,IF(COUNTIFS(実績!$W$6:$W$505,DD$3,実績!$AC$6:$AC$505,"&lt;="&amp;$A59,実績!$AD$6:$AD$505,"&gt;"&amp;$A59,実績!$AE$6:$AE$505,"○")&gt;0,1,0))</f>
        <v/>
      </c>
      <c r="DE59">
        <f>IF(DE$4=0,0,IF(COUNTIFS(実績!$W$6:$W$505,DE$3,実績!$AC$6:$AC$505,"&lt;="&amp;$A59,実績!$AD$6:$AD$505,"&gt;"&amp;$A59,実績!$AE$6:$AE$505,"○")&gt;0,1,0))</f>
        <v/>
      </c>
      <c r="DF59">
        <f>IF(DF$4=0,0,IF(COUNTIFS(実績!$W$6:$W$505,DF$3,実績!$AC$6:$AC$505,"&lt;="&amp;$A59,実績!$AD$6:$AD$505,"&gt;"&amp;$A59,実績!$AE$6:$AE$505,"○")&gt;0,1,0))</f>
        <v/>
      </c>
      <c r="DG59">
        <f>IF(DG$4=0,0,IF(COUNTIFS(実績!$W$6:$W$505,DG$3,実績!$AC$6:$AC$505,"&lt;="&amp;$A59,実績!$AD$6:$AD$505,"&gt;"&amp;$A59,実績!$AE$6:$AE$505,"○")&gt;0,1,0))</f>
        <v/>
      </c>
      <c r="DH59">
        <f>IF(DH$4=0,0,IF(COUNTIFS(実績!$W$6:$W$505,DH$3,実績!$AC$6:$AC$505,"&lt;="&amp;$A59,実績!$AD$6:$AD$505,"&gt;"&amp;$A59,実績!$AE$6:$AE$505,"○")&gt;0,1,0))</f>
        <v/>
      </c>
      <c r="DI59">
        <f>IF(DI$4=0,0,IF(COUNTIFS(実績!$W$6:$W$505,DI$3,実績!$AC$6:$AC$505,"&lt;="&amp;$A59,実績!$AD$6:$AD$505,"&gt;"&amp;$A59,実績!$AE$6:$AE$505,"○")&gt;0,1,0))</f>
        <v/>
      </c>
      <c r="DJ59">
        <f>IF(DJ$4=0,0,IF(COUNTIFS(実績!$W$6:$W$505,DJ$3,実績!$AC$6:$AC$505,"&lt;="&amp;$A59,実績!$AD$6:$AD$505,"&gt;"&amp;$A59,実績!$AE$6:$AE$505,"○")&gt;0,1,0))</f>
        <v/>
      </c>
      <c r="DK59">
        <f>IF(DK$4=0,0,IF(COUNTIFS(実績!$W$6:$W$505,DK$3,実績!$AC$6:$AC$505,"&lt;="&amp;$A59,実績!$AD$6:$AD$505,"&gt;"&amp;$A59,実績!$AE$6:$AE$505,"○")&gt;0,1,0))</f>
        <v/>
      </c>
      <c r="DL59">
        <f>IF(DL$4=0,0,IF(COUNTIFS(実績!$W$6:$W$505,DL$3,実績!$AC$6:$AC$505,"&lt;="&amp;$A59,実績!$AD$6:$AD$505,"&gt;"&amp;$A59,実績!$AE$6:$AE$505,"○")&gt;0,1,0))</f>
        <v/>
      </c>
      <c r="DM59">
        <f>IF(DM$4=0,0,IF(COUNTIFS(実績!$W$6:$W$505,DM$3,実績!$AC$6:$AC$505,"&lt;="&amp;$A59,実績!$AD$6:$AD$505,"&gt;"&amp;$A59,実績!$AE$6:$AE$505,"○")&gt;0,1,0))</f>
        <v/>
      </c>
      <c r="DN59">
        <f>IF(DN$4=0,0,IF(COUNTIFS(実績!$W$6:$W$505,DN$3,実績!$AC$6:$AC$505,"&lt;="&amp;$A59,実績!$AD$6:$AD$505,"&gt;"&amp;$A59,実績!$AE$6:$AE$505,"○")&gt;0,1,0))</f>
        <v/>
      </c>
      <c r="DO59">
        <f>IF(DO$4=0,0,IF(COUNTIFS(実績!$W$6:$W$505,DO$3,実績!$AC$6:$AC$505,"&lt;="&amp;$A59,実績!$AD$6:$AD$505,"&gt;"&amp;$A59,実績!$AE$6:$AE$505,"○")&gt;0,1,0))</f>
        <v/>
      </c>
      <c r="DP59">
        <f>IF(DP$4=0,0,IF(COUNTIFS(実績!$W$6:$W$505,DP$3,実績!$AC$6:$AC$505,"&lt;="&amp;$A59,実績!$AD$6:$AD$505,"&gt;"&amp;$A59,実績!$AE$6:$AE$505,"○")&gt;0,1,0))</f>
        <v/>
      </c>
      <c r="DQ59">
        <f>IF(DQ$4=0,0,IF(COUNTIFS(実績!$W$6:$W$505,DQ$3,実績!$AC$6:$AC$505,"&lt;="&amp;$A59,実績!$AD$6:$AD$505,"&gt;"&amp;$A59,実績!$AE$6:$AE$505,"○")&gt;0,1,0))</f>
        <v/>
      </c>
      <c r="DR59">
        <f>IF(DR$4=0,0,IF(COUNTIFS(実績!$W$6:$W$505,DR$3,実績!$AC$6:$AC$505,"&lt;="&amp;$A59,実績!$AD$6:$AD$505,"&gt;"&amp;$A59,実績!$AE$6:$AE$505,"○")&gt;0,1,0))</f>
        <v/>
      </c>
      <c r="DS59">
        <f>SUM(C59:DR59)</f>
        <v/>
      </c>
      <c r="DT59">
        <f>SUMPRODUCT((実績!$C$6:$C$505="○")*ISNUMBER(実績!$AF$6:$AF$505)*(実績!$AF$6:$AF$505&lt;=$A59)*(実績!$AG$6:$AG$505&gt;$A59))</f>
        <v/>
      </c>
      <c r="DU59">
        <f>SUMIF($C$2:$DR$2,"製鉄曳船",C59:DR59)</f>
        <v/>
      </c>
      <c r="DV59">
        <f>SUMIF($C$2:$DR$2,"西日本海運",C59:DR59)</f>
        <v/>
      </c>
    </row>
    <row r="60">
      <c r="A60" t="n">
        <v>270</v>
      </c>
      <c r="B60" s="29">
        <f>A60/1440</f>
        <v/>
      </c>
      <c r="C60">
        <f>IF(C$4=0,0,IF(COUNTIFS(実績!$W$6:$W$505,C$3,実績!$AC$6:$AC$505,"&lt;="&amp;$A60,実績!$AD$6:$AD$505,"&gt;"&amp;$A60,実績!$AE$6:$AE$505,"○")&gt;0,1,0))</f>
        <v/>
      </c>
      <c r="D60">
        <f>IF(D$4=0,0,IF(COUNTIFS(実績!$W$6:$W$505,D$3,実績!$AC$6:$AC$505,"&lt;="&amp;$A60,実績!$AD$6:$AD$505,"&gt;"&amp;$A60,実績!$AE$6:$AE$505,"○")&gt;0,1,0))</f>
        <v/>
      </c>
      <c r="E60">
        <f>IF(E$4=0,0,IF(COUNTIFS(実績!$W$6:$W$505,E$3,実績!$AC$6:$AC$505,"&lt;="&amp;$A60,実績!$AD$6:$AD$505,"&gt;"&amp;$A60,実績!$AE$6:$AE$505,"○")&gt;0,1,0))</f>
        <v/>
      </c>
      <c r="F60">
        <f>IF(F$4=0,0,IF(COUNTIFS(実績!$W$6:$W$505,F$3,実績!$AC$6:$AC$505,"&lt;="&amp;$A60,実績!$AD$6:$AD$505,"&gt;"&amp;$A60,実績!$AE$6:$AE$505,"○")&gt;0,1,0))</f>
        <v/>
      </c>
      <c r="G60">
        <f>IF(G$4=0,0,IF(COUNTIFS(実績!$W$6:$W$505,G$3,実績!$AC$6:$AC$505,"&lt;="&amp;$A60,実績!$AD$6:$AD$505,"&gt;"&amp;$A60,実績!$AE$6:$AE$505,"○")&gt;0,1,0))</f>
        <v/>
      </c>
      <c r="H60">
        <f>IF(H$4=0,0,IF(COUNTIFS(実績!$W$6:$W$505,H$3,実績!$AC$6:$AC$505,"&lt;="&amp;$A60,実績!$AD$6:$AD$505,"&gt;"&amp;$A60,実績!$AE$6:$AE$505,"○")&gt;0,1,0))</f>
        <v/>
      </c>
      <c r="I60">
        <f>IF(I$4=0,0,IF(COUNTIFS(実績!$W$6:$W$505,I$3,実績!$AC$6:$AC$505,"&lt;="&amp;$A60,実績!$AD$6:$AD$505,"&gt;"&amp;$A60,実績!$AE$6:$AE$505,"○")&gt;0,1,0))</f>
        <v/>
      </c>
      <c r="J60">
        <f>IF(J$4=0,0,IF(COUNTIFS(実績!$W$6:$W$505,J$3,実績!$AC$6:$AC$505,"&lt;="&amp;$A60,実績!$AD$6:$AD$505,"&gt;"&amp;$A60,実績!$AE$6:$AE$505,"○")&gt;0,1,0))</f>
        <v/>
      </c>
      <c r="K60">
        <f>IF(K$4=0,0,IF(COUNTIFS(実績!$W$6:$W$505,K$3,実績!$AC$6:$AC$505,"&lt;="&amp;$A60,実績!$AD$6:$AD$505,"&gt;"&amp;$A60,実績!$AE$6:$AE$505,"○")&gt;0,1,0))</f>
        <v/>
      </c>
      <c r="L60">
        <f>IF(L$4=0,0,IF(COUNTIFS(実績!$W$6:$W$505,L$3,実績!$AC$6:$AC$505,"&lt;="&amp;$A60,実績!$AD$6:$AD$505,"&gt;"&amp;$A60,実績!$AE$6:$AE$505,"○")&gt;0,1,0))</f>
        <v/>
      </c>
      <c r="M60">
        <f>IF(M$4=0,0,IF(COUNTIFS(実績!$W$6:$W$505,M$3,実績!$AC$6:$AC$505,"&lt;="&amp;$A60,実績!$AD$6:$AD$505,"&gt;"&amp;$A60,実績!$AE$6:$AE$505,"○")&gt;0,1,0))</f>
        <v/>
      </c>
      <c r="N60">
        <f>IF(N$4=0,0,IF(COUNTIFS(実績!$W$6:$W$505,N$3,実績!$AC$6:$AC$505,"&lt;="&amp;$A60,実績!$AD$6:$AD$505,"&gt;"&amp;$A60,実績!$AE$6:$AE$505,"○")&gt;0,1,0))</f>
        <v/>
      </c>
      <c r="O60">
        <f>IF(O$4=0,0,IF(COUNTIFS(実績!$W$6:$W$505,O$3,実績!$AC$6:$AC$505,"&lt;="&amp;$A60,実績!$AD$6:$AD$505,"&gt;"&amp;$A60,実績!$AE$6:$AE$505,"○")&gt;0,1,0))</f>
        <v/>
      </c>
      <c r="P60">
        <f>IF(P$4=0,0,IF(COUNTIFS(実績!$W$6:$W$505,P$3,実績!$AC$6:$AC$505,"&lt;="&amp;$A60,実績!$AD$6:$AD$505,"&gt;"&amp;$A60,実績!$AE$6:$AE$505,"○")&gt;0,1,0))</f>
        <v/>
      </c>
      <c r="Q60">
        <f>IF(Q$4=0,0,IF(COUNTIFS(実績!$W$6:$W$505,Q$3,実績!$AC$6:$AC$505,"&lt;="&amp;$A60,実績!$AD$6:$AD$505,"&gt;"&amp;$A60,実績!$AE$6:$AE$505,"○")&gt;0,1,0))</f>
        <v/>
      </c>
      <c r="R60">
        <f>IF(R$4=0,0,IF(COUNTIFS(実績!$W$6:$W$505,R$3,実績!$AC$6:$AC$505,"&lt;="&amp;$A60,実績!$AD$6:$AD$505,"&gt;"&amp;$A60,実績!$AE$6:$AE$505,"○")&gt;0,1,0))</f>
        <v/>
      </c>
      <c r="S60">
        <f>IF(S$4=0,0,IF(COUNTIFS(実績!$W$6:$W$505,S$3,実績!$AC$6:$AC$505,"&lt;="&amp;$A60,実績!$AD$6:$AD$505,"&gt;"&amp;$A60,実績!$AE$6:$AE$505,"○")&gt;0,1,0))</f>
        <v/>
      </c>
      <c r="T60">
        <f>IF(T$4=0,0,IF(COUNTIFS(実績!$W$6:$W$505,T$3,実績!$AC$6:$AC$505,"&lt;="&amp;$A60,実績!$AD$6:$AD$505,"&gt;"&amp;$A60,実績!$AE$6:$AE$505,"○")&gt;0,1,0))</f>
        <v/>
      </c>
      <c r="U60">
        <f>IF(U$4=0,0,IF(COUNTIFS(実績!$W$6:$W$505,U$3,実績!$AC$6:$AC$505,"&lt;="&amp;$A60,実績!$AD$6:$AD$505,"&gt;"&amp;$A60,実績!$AE$6:$AE$505,"○")&gt;0,1,0))</f>
        <v/>
      </c>
      <c r="V60">
        <f>IF(V$4=0,0,IF(COUNTIFS(実績!$W$6:$W$505,V$3,実績!$AC$6:$AC$505,"&lt;="&amp;$A60,実績!$AD$6:$AD$505,"&gt;"&amp;$A60,実績!$AE$6:$AE$505,"○")&gt;0,1,0))</f>
        <v/>
      </c>
      <c r="W60">
        <f>IF(W$4=0,0,IF(COUNTIFS(実績!$W$6:$W$505,W$3,実績!$AC$6:$AC$505,"&lt;="&amp;$A60,実績!$AD$6:$AD$505,"&gt;"&amp;$A60,実績!$AE$6:$AE$505,"○")&gt;0,1,0))</f>
        <v/>
      </c>
      <c r="X60">
        <f>IF(X$4=0,0,IF(COUNTIFS(実績!$W$6:$W$505,X$3,実績!$AC$6:$AC$505,"&lt;="&amp;$A60,実績!$AD$6:$AD$505,"&gt;"&amp;$A60,実績!$AE$6:$AE$505,"○")&gt;0,1,0))</f>
        <v/>
      </c>
      <c r="Y60">
        <f>IF(Y$4=0,0,IF(COUNTIFS(実績!$W$6:$W$505,Y$3,実績!$AC$6:$AC$505,"&lt;="&amp;$A60,実績!$AD$6:$AD$505,"&gt;"&amp;$A60,実績!$AE$6:$AE$505,"○")&gt;0,1,0))</f>
        <v/>
      </c>
      <c r="Z60">
        <f>IF(Z$4=0,0,IF(COUNTIFS(実績!$W$6:$W$505,Z$3,実績!$AC$6:$AC$505,"&lt;="&amp;$A60,実績!$AD$6:$AD$505,"&gt;"&amp;$A60,実績!$AE$6:$AE$505,"○")&gt;0,1,0))</f>
        <v/>
      </c>
      <c r="AA60">
        <f>IF(AA$4=0,0,IF(COUNTIFS(実績!$W$6:$W$505,AA$3,実績!$AC$6:$AC$505,"&lt;="&amp;$A60,実績!$AD$6:$AD$505,"&gt;"&amp;$A60,実績!$AE$6:$AE$505,"○")&gt;0,1,0))</f>
        <v/>
      </c>
      <c r="AB60">
        <f>IF(AB$4=0,0,IF(COUNTIFS(実績!$W$6:$W$505,AB$3,実績!$AC$6:$AC$505,"&lt;="&amp;$A60,実績!$AD$6:$AD$505,"&gt;"&amp;$A60,実績!$AE$6:$AE$505,"○")&gt;0,1,0))</f>
        <v/>
      </c>
      <c r="AC60">
        <f>IF(AC$4=0,0,IF(COUNTIFS(実績!$W$6:$W$505,AC$3,実績!$AC$6:$AC$505,"&lt;="&amp;$A60,実績!$AD$6:$AD$505,"&gt;"&amp;$A60,実績!$AE$6:$AE$505,"○")&gt;0,1,0))</f>
        <v/>
      </c>
      <c r="AD60">
        <f>IF(AD$4=0,0,IF(COUNTIFS(実績!$W$6:$W$505,AD$3,実績!$AC$6:$AC$505,"&lt;="&amp;$A60,実績!$AD$6:$AD$505,"&gt;"&amp;$A60,実績!$AE$6:$AE$505,"○")&gt;0,1,0))</f>
        <v/>
      </c>
      <c r="AE60">
        <f>IF(AE$4=0,0,IF(COUNTIFS(実績!$W$6:$W$505,AE$3,実績!$AC$6:$AC$505,"&lt;="&amp;$A60,実績!$AD$6:$AD$505,"&gt;"&amp;$A60,実績!$AE$6:$AE$505,"○")&gt;0,1,0))</f>
        <v/>
      </c>
      <c r="AF60">
        <f>IF(AF$4=0,0,IF(COUNTIFS(実績!$W$6:$W$505,AF$3,実績!$AC$6:$AC$505,"&lt;="&amp;$A60,実績!$AD$6:$AD$505,"&gt;"&amp;$A60,実績!$AE$6:$AE$505,"○")&gt;0,1,0))</f>
        <v/>
      </c>
      <c r="AG60">
        <f>IF(AG$4=0,0,IF(COUNTIFS(実績!$W$6:$W$505,AG$3,実績!$AC$6:$AC$505,"&lt;="&amp;$A60,実績!$AD$6:$AD$505,"&gt;"&amp;$A60,実績!$AE$6:$AE$505,"○")&gt;0,1,0))</f>
        <v/>
      </c>
      <c r="AH60">
        <f>IF(AH$4=0,0,IF(COUNTIFS(実績!$W$6:$W$505,AH$3,実績!$AC$6:$AC$505,"&lt;="&amp;$A60,実績!$AD$6:$AD$505,"&gt;"&amp;$A60,実績!$AE$6:$AE$505,"○")&gt;0,1,0))</f>
        <v/>
      </c>
      <c r="AI60">
        <f>IF(AI$4=0,0,IF(COUNTIFS(実績!$W$6:$W$505,AI$3,実績!$AC$6:$AC$505,"&lt;="&amp;$A60,実績!$AD$6:$AD$505,"&gt;"&amp;$A60,実績!$AE$6:$AE$505,"○")&gt;0,1,0))</f>
        <v/>
      </c>
      <c r="AJ60">
        <f>IF(AJ$4=0,0,IF(COUNTIFS(実績!$W$6:$W$505,AJ$3,実績!$AC$6:$AC$505,"&lt;="&amp;$A60,実績!$AD$6:$AD$505,"&gt;"&amp;$A60,実績!$AE$6:$AE$505,"○")&gt;0,1,0))</f>
        <v/>
      </c>
      <c r="AK60">
        <f>IF(AK$4=0,0,IF(COUNTIFS(実績!$W$6:$W$505,AK$3,実績!$AC$6:$AC$505,"&lt;="&amp;$A60,実績!$AD$6:$AD$505,"&gt;"&amp;$A60,実績!$AE$6:$AE$505,"○")&gt;0,1,0))</f>
        <v/>
      </c>
      <c r="AL60">
        <f>IF(AL$4=0,0,IF(COUNTIFS(実績!$W$6:$W$505,AL$3,実績!$AC$6:$AC$505,"&lt;="&amp;$A60,実績!$AD$6:$AD$505,"&gt;"&amp;$A60,実績!$AE$6:$AE$505,"○")&gt;0,1,0))</f>
        <v/>
      </c>
      <c r="AM60">
        <f>IF(AM$4=0,0,IF(COUNTIFS(実績!$W$6:$W$505,AM$3,実績!$AC$6:$AC$505,"&lt;="&amp;$A60,実績!$AD$6:$AD$505,"&gt;"&amp;$A60,実績!$AE$6:$AE$505,"○")&gt;0,1,0))</f>
        <v/>
      </c>
      <c r="AN60">
        <f>IF(AN$4=0,0,IF(COUNTIFS(実績!$W$6:$W$505,AN$3,実績!$AC$6:$AC$505,"&lt;="&amp;$A60,実績!$AD$6:$AD$505,"&gt;"&amp;$A60,実績!$AE$6:$AE$505,"○")&gt;0,1,0))</f>
        <v/>
      </c>
      <c r="AO60">
        <f>IF(AO$4=0,0,IF(COUNTIFS(実績!$W$6:$W$505,AO$3,実績!$AC$6:$AC$505,"&lt;="&amp;$A60,実績!$AD$6:$AD$505,"&gt;"&amp;$A60,実績!$AE$6:$AE$505,"○")&gt;0,1,0))</f>
        <v/>
      </c>
      <c r="AP60">
        <f>IF(AP$4=0,0,IF(COUNTIFS(実績!$W$6:$W$505,AP$3,実績!$AC$6:$AC$505,"&lt;="&amp;$A60,実績!$AD$6:$AD$505,"&gt;"&amp;$A60,実績!$AE$6:$AE$505,"○")&gt;0,1,0))</f>
        <v/>
      </c>
      <c r="AQ60">
        <f>IF(AQ$4=0,0,IF(COUNTIFS(実績!$W$6:$W$505,AQ$3,実績!$AC$6:$AC$505,"&lt;="&amp;$A60,実績!$AD$6:$AD$505,"&gt;"&amp;$A60,実績!$AE$6:$AE$505,"○")&gt;0,1,0))</f>
        <v/>
      </c>
      <c r="AR60">
        <f>IF(AR$4=0,0,IF(COUNTIFS(実績!$W$6:$W$505,AR$3,実績!$AC$6:$AC$505,"&lt;="&amp;$A60,実績!$AD$6:$AD$505,"&gt;"&amp;$A60,実績!$AE$6:$AE$505,"○")&gt;0,1,0))</f>
        <v/>
      </c>
      <c r="AS60">
        <f>IF(AS$4=0,0,IF(COUNTIFS(実績!$W$6:$W$505,AS$3,実績!$AC$6:$AC$505,"&lt;="&amp;$A60,実績!$AD$6:$AD$505,"&gt;"&amp;$A60,実績!$AE$6:$AE$505,"○")&gt;0,1,0))</f>
        <v/>
      </c>
      <c r="AT60">
        <f>IF(AT$4=0,0,IF(COUNTIFS(実績!$W$6:$W$505,AT$3,実績!$AC$6:$AC$505,"&lt;="&amp;$A60,実績!$AD$6:$AD$505,"&gt;"&amp;$A60,実績!$AE$6:$AE$505,"○")&gt;0,1,0))</f>
        <v/>
      </c>
      <c r="AU60">
        <f>IF(AU$4=0,0,IF(COUNTIFS(実績!$W$6:$W$505,AU$3,実績!$AC$6:$AC$505,"&lt;="&amp;$A60,実績!$AD$6:$AD$505,"&gt;"&amp;$A60,実績!$AE$6:$AE$505,"○")&gt;0,1,0))</f>
        <v/>
      </c>
      <c r="AV60">
        <f>IF(AV$4=0,0,IF(COUNTIFS(実績!$W$6:$W$505,AV$3,実績!$AC$6:$AC$505,"&lt;="&amp;$A60,実績!$AD$6:$AD$505,"&gt;"&amp;$A60,実績!$AE$6:$AE$505,"○")&gt;0,1,0))</f>
        <v/>
      </c>
      <c r="AW60">
        <f>IF(AW$4=0,0,IF(COUNTIFS(実績!$W$6:$W$505,AW$3,実績!$AC$6:$AC$505,"&lt;="&amp;$A60,実績!$AD$6:$AD$505,"&gt;"&amp;$A60,実績!$AE$6:$AE$505,"○")&gt;0,1,0))</f>
        <v/>
      </c>
      <c r="AX60">
        <f>IF(AX$4=0,0,IF(COUNTIFS(実績!$W$6:$W$505,AX$3,実績!$AC$6:$AC$505,"&lt;="&amp;$A60,実績!$AD$6:$AD$505,"&gt;"&amp;$A60,実績!$AE$6:$AE$505,"○")&gt;0,1,0))</f>
        <v/>
      </c>
      <c r="AY60">
        <f>IF(AY$4=0,0,IF(COUNTIFS(実績!$W$6:$W$505,AY$3,実績!$AC$6:$AC$505,"&lt;="&amp;$A60,実績!$AD$6:$AD$505,"&gt;"&amp;$A60,実績!$AE$6:$AE$505,"○")&gt;0,1,0))</f>
        <v/>
      </c>
      <c r="AZ60">
        <f>IF(AZ$4=0,0,IF(COUNTIFS(実績!$W$6:$W$505,AZ$3,実績!$AC$6:$AC$505,"&lt;="&amp;$A60,実績!$AD$6:$AD$505,"&gt;"&amp;$A60,実績!$AE$6:$AE$505,"○")&gt;0,1,0))</f>
        <v/>
      </c>
      <c r="BA60">
        <f>IF(BA$4=0,0,IF(COUNTIFS(実績!$W$6:$W$505,BA$3,実績!$AC$6:$AC$505,"&lt;="&amp;$A60,実績!$AD$6:$AD$505,"&gt;"&amp;$A60,実績!$AE$6:$AE$505,"○")&gt;0,1,0))</f>
        <v/>
      </c>
      <c r="BB60">
        <f>IF(BB$4=0,0,IF(COUNTIFS(実績!$W$6:$W$505,BB$3,実績!$AC$6:$AC$505,"&lt;="&amp;$A60,実績!$AD$6:$AD$505,"&gt;"&amp;$A60,実績!$AE$6:$AE$505,"○")&gt;0,1,0))</f>
        <v/>
      </c>
      <c r="BC60">
        <f>IF(BC$4=0,0,IF(COUNTIFS(実績!$W$6:$W$505,BC$3,実績!$AC$6:$AC$505,"&lt;="&amp;$A60,実績!$AD$6:$AD$505,"&gt;"&amp;$A60,実績!$AE$6:$AE$505,"○")&gt;0,1,0))</f>
        <v/>
      </c>
      <c r="BD60">
        <f>IF(BD$4=0,0,IF(COUNTIFS(実績!$W$6:$W$505,BD$3,実績!$AC$6:$AC$505,"&lt;="&amp;$A60,実績!$AD$6:$AD$505,"&gt;"&amp;$A60,実績!$AE$6:$AE$505,"○")&gt;0,1,0))</f>
        <v/>
      </c>
      <c r="BE60">
        <f>IF(BE$4=0,0,IF(COUNTIFS(実績!$W$6:$W$505,BE$3,実績!$AC$6:$AC$505,"&lt;="&amp;$A60,実績!$AD$6:$AD$505,"&gt;"&amp;$A60,実績!$AE$6:$AE$505,"○")&gt;0,1,0))</f>
        <v/>
      </c>
      <c r="BF60">
        <f>IF(BF$4=0,0,IF(COUNTIFS(実績!$W$6:$W$505,BF$3,実績!$AC$6:$AC$505,"&lt;="&amp;$A60,実績!$AD$6:$AD$505,"&gt;"&amp;$A60,実績!$AE$6:$AE$505,"○")&gt;0,1,0))</f>
        <v/>
      </c>
      <c r="BG60">
        <f>IF(BG$4=0,0,IF(COUNTIFS(実績!$W$6:$W$505,BG$3,実績!$AC$6:$AC$505,"&lt;="&amp;$A60,実績!$AD$6:$AD$505,"&gt;"&amp;$A60,実績!$AE$6:$AE$505,"○")&gt;0,1,0))</f>
        <v/>
      </c>
      <c r="BH60">
        <f>IF(BH$4=0,0,IF(COUNTIFS(実績!$W$6:$W$505,BH$3,実績!$AC$6:$AC$505,"&lt;="&amp;$A60,実績!$AD$6:$AD$505,"&gt;"&amp;$A60,実績!$AE$6:$AE$505,"○")&gt;0,1,0))</f>
        <v/>
      </c>
      <c r="BI60">
        <f>IF(BI$4=0,0,IF(COUNTIFS(実績!$W$6:$W$505,BI$3,実績!$AC$6:$AC$505,"&lt;="&amp;$A60,実績!$AD$6:$AD$505,"&gt;"&amp;$A60,実績!$AE$6:$AE$505,"○")&gt;0,1,0))</f>
        <v/>
      </c>
      <c r="BJ60">
        <f>IF(BJ$4=0,0,IF(COUNTIFS(実績!$W$6:$W$505,BJ$3,実績!$AC$6:$AC$505,"&lt;="&amp;$A60,実績!$AD$6:$AD$505,"&gt;"&amp;$A60,実績!$AE$6:$AE$505,"○")&gt;0,1,0))</f>
        <v/>
      </c>
      <c r="BK60">
        <f>IF(BK$4=0,0,IF(COUNTIFS(実績!$W$6:$W$505,BK$3,実績!$AC$6:$AC$505,"&lt;="&amp;$A60,実績!$AD$6:$AD$505,"&gt;"&amp;$A60,実績!$AE$6:$AE$505,"○")&gt;0,1,0))</f>
        <v/>
      </c>
      <c r="BL60">
        <f>IF(BL$4=0,0,IF(COUNTIFS(実績!$W$6:$W$505,BL$3,実績!$AC$6:$AC$505,"&lt;="&amp;$A60,実績!$AD$6:$AD$505,"&gt;"&amp;$A60,実績!$AE$6:$AE$505,"○")&gt;0,1,0))</f>
        <v/>
      </c>
      <c r="BM60">
        <f>IF(BM$4=0,0,IF(COUNTIFS(実績!$W$6:$W$505,BM$3,実績!$AC$6:$AC$505,"&lt;="&amp;$A60,実績!$AD$6:$AD$505,"&gt;"&amp;$A60,実績!$AE$6:$AE$505,"○")&gt;0,1,0))</f>
        <v/>
      </c>
      <c r="BN60">
        <f>IF(BN$4=0,0,IF(COUNTIFS(実績!$W$6:$W$505,BN$3,実績!$AC$6:$AC$505,"&lt;="&amp;$A60,実績!$AD$6:$AD$505,"&gt;"&amp;$A60,実績!$AE$6:$AE$505,"○")&gt;0,1,0))</f>
        <v/>
      </c>
      <c r="BO60">
        <f>IF(BO$4=0,0,IF(COUNTIFS(実績!$W$6:$W$505,BO$3,実績!$AC$6:$AC$505,"&lt;="&amp;$A60,実績!$AD$6:$AD$505,"&gt;"&amp;$A60,実績!$AE$6:$AE$505,"○")&gt;0,1,0))</f>
        <v/>
      </c>
      <c r="BP60">
        <f>IF(BP$4=0,0,IF(COUNTIFS(実績!$W$6:$W$505,BP$3,実績!$AC$6:$AC$505,"&lt;="&amp;$A60,実績!$AD$6:$AD$505,"&gt;"&amp;$A60,実績!$AE$6:$AE$505,"○")&gt;0,1,0))</f>
        <v/>
      </c>
      <c r="BQ60">
        <f>IF(BQ$4=0,0,IF(COUNTIFS(実績!$W$6:$W$505,BQ$3,実績!$AC$6:$AC$505,"&lt;="&amp;$A60,実績!$AD$6:$AD$505,"&gt;"&amp;$A60,実績!$AE$6:$AE$505,"○")&gt;0,1,0))</f>
        <v/>
      </c>
      <c r="BR60">
        <f>IF(BR$4=0,0,IF(COUNTIFS(実績!$W$6:$W$505,BR$3,実績!$AC$6:$AC$505,"&lt;="&amp;$A60,実績!$AD$6:$AD$505,"&gt;"&amp;$A60,実績!$AE$6:$AE$505,"○")&gt;0,1,0))</f>
        <v/>
      </c>
      <c r="BS60">
        <f>IF(BS$4=0,0,IF(COUNTIFS(実績!$W$6:$W$505,BS$3,実績!$AC$6:$AC$505,"&lt;="&amp;$A60,実績!$AD$6:$AD$505,"&gt;"&amp;$A60,実績!$AE$6:$AE$505,"○")&gt;0,1,0))</f>
        <v/>
      </c>
      <c r="BT60">
        <f>IF(BT$4=0,0,IF(COUNTIFS(実績!$W$6:$W$505,BT$3,実績!$AC$6:$AC$505,"&lt;="&amp;$A60,実績!$AD$6:$AD$505,"&gt;"&amp;$A60,実績!$AE$6:$AE$505,"○")&gt;0,1,0))</f>
        <v/>
      </c>
      <c r="BU60">
        <f>IF(BU$4=0,0,IF(COUNTIFS(実績!$W$6:$W$505,BU$3,実績!$AC$6:$AC$505,"&lt;="&amp;$A60,実績!$AD$6:$AD$505,"&gt;"&amp;$A60,実績!$AE$6:$AE$505,"○")&gt;0,1,0))</f>
        <v/>
      </c>
      <c r="BV60">
        <f>IF(BV$4=0,0,IF(COUNTIFS(実績!$W$6:$W$505,BV$3,実績!$AC$6:$AC$505,"&lt;="&amp;$A60,実績!$AD$6:$AD$505,"&gt;"&amp;$A60,実績!$AE$6:$AE$505,"○")&gt;0,1,0))</f>
        <v/>
      </c>
      <c r="BW60">
        <f>IF(BW$4=0,0,IF(COUNTIFS(実績!$W$6:$W$505,BW$3,実績!$AC$6:$AC$505,"&lt;="&amp;$A60,実績!$AD$6:$AD$505,"&gt;"&amp;$A60,実績!$AE$6:$AE$505,"○")&gt;0,1,0))</f>
        <v/>
      </c>
      <c r="BX60">
        <f>IF(BX$4=0,0,IF(COUNTIFS(実績!$W$6:$W$505,BX$3,実績!$AC$6:$AC$505,"&lt;="&amp;$A60,実績!$AD$6:$AD$505,"&gt;"&amp;$A60,実績!$AE$6:$AE$505,"○")&gt;0,1,0))</f>
        <v/>
      </c>
      <c r="BY60">
        <f>IF(BY$4=0,0,IF(COUNTIFS(実績!$W$6:$W$505,BY$3,実績!$AC$6:$AC$505,"&lt;="&amp;$A60,実績!$AD$6:$AD$505,"&gt;"&amp;$A60,実績!$AE$6:$AE$505,"○")&gt;0,1,0))</f>
        <v/>
      </c>
      <c r="BZ60">
        <f>IF(BZ$4=0,0,IF(COUNTIFS(実績!$W$6:$W$505,BZ$3,実績!$AC$6:$AC$505,"&lt;="&amp;$A60,実績!$AD$6:$AD$505,"&gt;"&amp;$A60,実績!$AE$6:$AE$505,"○")&gt;0,1,0))</f>
        <v/>
      </c>
      <c r="CA60">
        <f>IF(CA$4=0,0,IF(COUNTIFS(実績!$W$6:$W$505,CA$3,実績!$AC$6:$AC$505,"&lt;="&amp;$A60,実績!$AD$6:$AD$505,"&gt;"&amp;$A60,実績!$AE$6:$AE$505,"○")&gt;0,1,0))</f>
        <v/>
      </c>
      <c r="CB60">
        <f>IF(CB$4=0,0,IF(COUNTIFS(実績!$W$6:$W$505,CB$3,実績!$AC$6:$AC$505,"&lt;="&amp;$A60,実績!$AD$6:$AD$505,"&gt;"&amp;$A60,実績!$AE$6:$AE$505,"○")&gt;0,1,0))</f>
        <v/>
      </c>
      <c r="CC60">
        <f>IF(CC$4=0,0,IF(COUNTIFS(実績!$W$6:$W$505,CC$3,実績!$AC$6:$AC$505,"&lt;="&amp;$A60,実績!$AD$6:$AD$505,"&gt;"&amp;$A60,実績!$AE$6:$AE$505,"○")&gt;0,1,0))</f>
        <v/>
      </c>
      <c r="CD60">
        <f>IF(CD$4=0,0,IF(COUNTIFS(実績!$W$6:$W$505,CD$3,実績!$AC$6:$AC$505,"&lt;="&amp;$A60,実績!$AD$6:$AD$505,"&gt;"&amp;$A60,実績!$AE$6:$AE$505,"○")&gt;0,1,0))</f>
        <v/>
      </c>
      <c r="CE60">
        <f>IF(CE$4=0,0,IF(COUNTIFS(実績!$W$6:$W$505,CE$3,実績!$AC$6:$AC$505,"&lt;="&amp;$A60,実績!$AD$6:$AD$505,"&gt;"&amp;$A60,実績!$AE$6:$AE$505,"○")&gt;0,1,0))</f>
        <v/>
      </c>
      <c r="CF60">
        <f>IF(CF$4=0,0,IF(COUNTIFS(実績!$W$6:$W$505,CF$3,実績!$AC$6:$AC$505,"&lt;="&amp;$A60,実績!$AD$6:$AD$505,"&gt;"&amp;$A60,実績!$AE$6:$AE$505,"○")&gt;0,1,0))</f>
        <v/>
      </c>
      <c r="CG60">
        <f>IF(CG$4=0,0,IF(COUNTIFS(実績!$W$6:$W$505,CG$3,実績!$AC$6:$AC$505,"&lt;="&amp;$A60,実績!$AD$6:$AD$505,"&gt;"&amp;$A60,実績!$AE$6:$AE$505,"○")&gt;0,1,0))</f>
        <v/>
      </c>
      <c r="CH60">
        <f>IF(CH$4=0,0,IF(COUNTIFS(実績!$W$6:$W$505,CH$3,実績!$AC$6:$AC$505,"&lt;="&amp;$A60,実績!$AD$6:$AD$505,"&gt;"&amp;$A60,実績!$AE$6:$AE$505,"○")&gt;0,1,0))</f>
        <v/>
      </c>
      <c r="CI60">
        <f>IF(CI$4=0,0,IF(COUNTIFS(実績!$W$6:$W$505,CI$3,実績!$AC$6:$AC$505,"&lt;="&amp;$A60,実績!$AD$6:$AD$505,"&gt;"&amp;$A60,実績!$AE$6:$AE$505,"○")&gt;0,1,0))</f>
        <v/>
      </c>
      <c r="CJ60">
        <f>IF(CJ$4=0,0,IF(COUNTIFS(実績!$W$6:$W$505,CJ$3,実績!$AC$6:$AC$505,"&lt;="&amp;$A60,実績!$AD$6:$AD$505,"&gt;"&amp;$A60,実績!$AE$6:$AE$505,"○")&gt;0,1,0))</f>
        <v/>
      </c>
      <c r="CK60">
        <f>IF(CK$4=0,0,IF(COUNTIFS(実績!$W$6:$W$505,CK$3,実績!$AC$6:$AC$505,"&lt;="&amp;$A60,実績!$AD$6:$AD$505,"&gt;"&amp;$A60,実績!$AE$6:$AE$505,"○")&gt;0,1,0))</f>
        <v/>
      </c>
      <c r="CL60">
        <f>IF(CL$4=0,0,IF(COUNTIFS(実績!$W$6:$W$505,CL$3,実績!$AC$6:$AC$505,"&lt;="&amp;$A60,実績!$AD$6:$AD$505,"&gt;"&amp;$A60,実績!$AE$6:$AE$505,"○")&gt;0,1,0))</f>
        <v/>
      </c>
      <c r="CM60">
        <f>IF(CM$4=0,0,IF(COUNTIFS(実績!$W$6:$W$505,CM$3,実績!$AC$6:$AC$505,"&lt;="&amp;$A60,実績!$AD$6:$AD$505,"&gt;"&amp;$A60,実績!$AE$6:$AE$505,"○")&gt;0,1,0))</f>
        <v/>
      </c>
      <c r="CN60">
        <f>IF(CN$4=0,0,IF(COUNTIFS(実績!$W$6:$W$505,CN$3,実績!$AC$6:$AC$505,"&lt;="&amp;$A60,実績!$AD$6:$AD$505,"&gt;"&amp;$A60,実績!$AE$6:$AE$505,"○")&gt;0,1,0))</f>
        <v/>
      </c>
      <c r="CO60">
        <f>IF(CO$4=0,0,IF(COUNTIFS(実績!$W$6:$W$505,CO$3,実績!$AC$6:$AC$505,"&lt;="&amp;$A60,実績!$AD$6:$AD$505,"&gt;"&amp;$A60,実績!$AE$6:$AE$505,"○")&gt;0,1,0))</f>
        <v/>
      </c>
      <c r="CP60">
        <f>IF(CP$4=0,0,IF(COUNTIFS(実績!$W$6:$W$505,CP$3,実績!$AC$6:$AC$505,"&lt;="&amp;$A60,実績!$AD$6:$AD$505,"&gt;"&amp;$A60,実績!$AE$6:$AE$505,"○")&gt;0,1,0))</f>
        <v/>
      </c>
      <c r="CQ60">
        <f>IF(CQ$4=0,0,IF(COUNTIFS(実績!$W$6:$W$505,CQ$3,実績!$AC$6:$AC$505,"&lt;="&amp;$A60,実績!$AD$6:$AD$505,"&gt;"&amp;$A60,実績!$AE$6:$AE$505,"○")&gt;0,1,0))</f>
        <v/>
      </c>
      <c r="CR60">
        <f>IF(CR$4=0,0,IF(COUNTIFS(実績!$W$6:$W$505,CR$3,実績!$AC$6:$AC$505,"&lt;="&amp;$A60,実績!$AD$6:$AD$505,"&gt;"&amp;$A60,実績!$AE$6:$AE$505,"○")&gt;0,1,0))</f>
        <v/>
      </c>
      <c r="CS60">
        <f>IF(CS$4=0,0,IF(COUNTIFS(実績!$W$6:$W$505,CS$3,実績!$AC$6:$AC$505,"&lt;="&amp;$A60,実績!$AD$6:$AD$505,"&gt;"&amp;$A60,実績!$AE$6:$AE$505,"○")&gt;0,1,0))</f>
        <v/>
      </c>
      <c r="CT60">
        <f>IF(CT$4=0,0,IF(COUNTIFS(実績!$W$6:$W$505,CT$3,実績!$AC$6:$AC$505,"&lt;="&amp;$A60,実績!$AD$6:$AD$505,"&gt;"&amp;$A60,実績!$AE$6:$AE$505,"○")&gt;0,1,0))</f>
        <v/>
      </c>
      <c r="CU60">
        <f>IF(CU$4=0,0,IF(COUNTIFS(実績!$W$6:$W$505,CU$3,実績!$AC$6:$AC$505,"&lt;="&amp;$A60,実績!$AD$6:$AD$505,"&gt;"&amp;$A60,実績!$AE$6:$AE$505,"○")&gt;0,1,0))</f>
        <v/>
      </c>
      <c r="CV60">
        <f>IF(CV$4=0,0,IF(COUNTIFS(実績!$W$6:$W$505,CV$3,実績!$AC$6:$AC$505,"&lt;="&amp;$A60,実績!$AD$6:$AD$505,"&gt;"&amp;$A60,実績!$AE$6:$AE$505,"○")&gt;0,1,0))</f>
        <v/>
      </c>
      <c r="CW60">
        <f>IF(CW$4=0,0,IF(COUNTIFS(実績!$W$6:$W$505,CW$3,実績!$AC$6:$AC$505,"&lt;="&amp;$A60,実績!$AD$6:$AD$505,"&gt;"&amp;$A60,実績!$AE$6:$AE$505,"○")&gt;0,1,0))</f>
        <v/>
      </c>
      <c r="CX60">
        <f>IF(CX$4=0,0,IF(COUNTIFS(実績!$W$6:$W$505,CX$3,実績!$AC$6:$AC$505,"&lt;="&amp;$A60,実績!$AD$6:$AD$505,"&gt;"&amp;$A60,実績!$AE$6:$AE$505,"○")&gt;0,1,0))</f>
        <v/>
      </c>
      <c r="CY60">
        <f>IF(CY$4=0,0,IF(COUNTIFS(実績!$W$6:$W$505,CY$3,実績!$AC$6:$AC$505,"&lt;="&amp;$A60,実績!$AD$6:$AD$505,"&gt;"&amp;$A60,実績!$AE$6:$AE$505,"○")&gt;0,1,0))</f>
        <v/>
      </c>
      <c r="CZ60">
        <f>IF(CZ$4=0,0,IF(COUNTIFS(実績!$W$6:$W$505,CZ$3,実績!$AC$6:$AC$505,"&lt;="&amp;$A60,実績!$AD$6:$AD$505,"&gt;"&amp;$A60,実績!$AE$6:$AE$505,"○")&gt;0,1,0))</f>
        <v/>
      </c>
      <c r="DA60">
        <f>IF(DA$4=0,0,IF(COUNTIFS(実績!$W$6:$W$505,DA$3,実績!$AC$6:$AC$505,"&lt;="&amp;$A60,実績!$AD$6:$AD$505,"&gt;"&amp;$A60,実績!$AE$6:$AE$505,"○")&gt;0,1,0))</f>
        <v/>
      </c>
      <c r="DB60">
        <f>IF(DB$4=0,0,IF(COUNTIFS(実績!$W$6:$W$505,DB$3,実績!$AC$6:$AC$505,"&lt;="&amp;$A60,実績!$AD$6:$AD$505,"&gt;"&amp;$A60,実績!$AE$6:$AE$505,"○")&gt;0,1,0))</f>
        <v/>
      </c>
      <c r="DC60">
        <f>IF(DC$4=0,0,IF(COUNTIFS(実績!$W$6:$W$505,DC$3,実績!$AC$6:$AC$505,"&lt;="&amp;$A60,実績!$AD$6:$AD$505,"&gt;"&amp;$A60,実績!$AE$6:$AE$505,"○")&gt;0,1,0))</f>
        <v/>
      </c>
      <c r="DD60">
        <f>IF(DD$4=0,0,IF(COUNTIFS(実績!$W$6:$W$505,DD$3,実績!$AC$6:$AC$505,"&lt;="&amp;$A60,実績!$AD$6:$AD$505,"&gt;"&amp;$A60,実績!$AE$6:$AE$505,"○")&gt;0,1,0))</f>
        <v/>
      </c>
      <c r="DE60">
        <f>IF(DE$4=0,0,IF(COUNTIFS(実績!$W$6:$W$505,DE$3,実績!$AC$6:$AC$505,"&lt;="&amp;$A60,実績!$AD$6:$AD$505,"&gt;"&amp;$A60,実績!$AE$6:$AE$505,"○")&gt;0,1,0))</f>
        <v/>
      </c>
      <c r="DF60">
        <f>IF(DF$4=0,0,IF(COUNTIFS(実績!$W$6:$W$505,DF$3,実績!$AC$6:$AC$505,"&lt;="&amp;$A60,実績!$AD$6:$AD$505,"&gt;"&amp;$A60,実績!$AE$6:$AE$505,"○")&gt;0,1,0))</f>
        <v/>
      </c>
      <c r="DG60">
        <f>IF(DG$4=0,0,IF(COUNTIFS(実績!$W$6:$W$505,DG$3,実績!$AC$6:$AC$505,"&lt;="&amp;$A60,実績!$AD$6:$AD$505,"&gt;"&amp;$A60,実績!$AE$6:$AE$505,"○")&gt;0,1,0))</f>
        <v/>
      </c>
      <c r="DH60">
        <f>IF(DH$4=0,0,IF(COUNTIFS(実績!$W$6:$W$505,DH$3,実績!$AC$6:$AC$505,"&lt;="&amp;$A60,実績!$AD$6:$AD$505,"&gt;"&amp;$A60,実績!$AE$6:$AE$505,"○")&gt;0,1,0))</f>
        <v/>
      </c>
      <c r="DI60">
        <f>IF(DI$4=0,0,IF(COUNTIFS(実績!$W$6:$W$505,DI$3,実績!$AC$6:$AC$505,"&lt;="&amp;$A60,実績!$AD$6:$AD$505,"&gt;"&amp;$A60,実績!$AE$6:$AE$505,"○")&gt;0,1,0))</f>
        <v/>
      </c>
      <c r="DJ60">
        <f>IF(DJ$4=0,0,IF(COUNTIFS(実績!$W$6:$W$505,DJ$3,実績!$AC$6:$AC$505,"&lt;="&amp;$A60,実績!$AD$6:$AD$505,"&gt;"&amp;$A60,実績!$AE$6:$AE$505,"○")&gt;0,1,0))</f>
        <v/>
      </c>
      <c r="DK60">
        <f>IF(DK$4=0,0,IF(COUNTIFS(実績!$W$6:$W$505,DK$3,実績!$AC$6:$AC$505,"&lt;="&amp;$A60,実績!$AD$6:$AD$505,"&gt;"&amp;$A60,実績!$AE$6:$AE$505,"○")&gt;0,1,0))</f>
        <v/>
      </c>
      <c r="DL60">
        <f>IF(DL$4=0,0,IF(COUNTIFS(実績!$W$6:$W$505,DL$3,実績!$AC$6:$AC$505,"&lt;="&amp;$A60,実績!$AD$6:$AD$505,"&gt;"&amp;$A60,実績!$AE$6:$AE$505,"○")&gt;0,1,0))</f>
        <v/>
      </c>
      <c r="DM60">
        <f>IF(DM$4=0,0,IF(COUNTIFS(実績!$W$6:$W$505,DM$3,実績!$AC$6:$AC$505,"&lt;="&amp;$A60,実績!$AD$6:$AD$505,"&gt;"&amp;$A60,実績!$AE$6:$AE$505,"○")&gt;0,1,0))</f>
        <v/>
      </c>
      <c r="DN60">
        <f>IF(DN$4=0,0,IF(COUNTIFS(実績!$W$6:$W$505,DN$3,実績!$AC$6:$AC$505,"&lt;="&amp;$A60,実績!$AD$6:$AD$505,"&gt;"&amp;$A60,実績!$AE$6:$AE$505,"○")&gt;0,1,0))</f>
        <v/>
      </c>
      <c r="DO60">
        <f>IF(DO$4=0,0,IF(COUNTIFS(実績!$W$6:$W$505,DO$3,実績!$AC$6:$AC$505,"&lt;="&amp;$A60,実績!$AD$6:$AD$505,"&gt;"&amp;$A60,実績!$AE$6:$AE$505,"○")&gt;0,1,0))</f>
        <v/>
      </c>
      <c r="DP60">
        <f>IF(DP$4=0,0,IF(COUNTIFS(実績!$W$6:$W$505,DP$3,実績!$AC$6:$AC$505,"&lt;="&amp;$A60,実績!$AD$6:$AD$505,"&gt;"&amp;$A60,実績!$AE$6:$AE$505,"○")&gt;0,1,0))</f>
        <v/>
      </c>
      <c r="DQ60">
        <f>IF(DQ$4=0,0,IF(COUNTIFS(実績!$W$6:$W$505,DQ$3,実績!$AC$6:$AC$505,"&lt;="&amp;$A60,実績!$AD$6:$AD$505,"&gt;"&amp;$A60,実績!$AE$6:$AE$505,"○")&gt;0,1,0))</f>
        <v/>
      </c>
      <c r="DR60">
        <f>IF(DR$4=0,0,IF(COUNTIFS(実績!$W$6:$W$505,DR$3,実績!$AC$6:$AC$505,"&lt;="&amp;$A60,実績!$AD$6:$AD$505,"&gt;"&amp;$A60,実績!$AE$6:$AE$505,"○")&gt;0,1,0))</f>
        <v/>
      </c>
      <c r="DS60">
        <f>SUM(C60:DR60)</f>
        <v/>
      </c>
      <c r="DT60">
        <f>SUMPRODUCT((実績!$C$6:$C$505="○")*ISNUMBER(実績!$AF$6:$AF$505)*(実績!$AF$6:$AF$505&lt;=$A60)*(実績!$AG$6:$AG$505&gt;$A60))</f>
        <v/>
      </c>
      <c r="DU60">
        <f>SUMIF($C$2:$DR$2,"製鉄曳船",C60:DR60)</f>
        <v/>
      </c>
      <c r="DV60">
        <f>SUMIF($C$2:$DR$2,"西日本海運",C60:DR60)</f>
        <v/>
      </c>
    </row>
    <row r="61">
      <c r="A61" t="n">
        <v>275</v>
      </c>
      <c r="B61" s="29">
        <f>A61/1440</f>
        <v/>
      </c>
      <c r="C61">
        <f>IF(C$4=0,0,IF(COUNTIFS(実績!$W$6:$W$505,C$3,実績!$AC$6:$AC$505,"&lt;="&amp;$A61,実績!$AD$6:$AD$505,"&gt;"&amp;$A61,実績!$AE$6:$AE$505,"○")&gt;0,1,0))</f>
        <v/>
      </c>
      <c r="D61">
        <f>IF(D$4=0,0,IF(COUNTIFS(実績!$W$6:$W$505,D$3,実績!$AC$6:$AC$505,"&lt;="&amp;$A61,実績!$AD$6:$AD$505,"&gt;"&amp;$A61,実績!$AE$6:$AE$505,"○")&gt;0,1,0))</f>
        <v/>
      </c>
      <c r="E61">
        <f>IF(E$4=0,0,IF(COUNTIFS(実績!$W$6:$W$505,E$3,実績!$AC$6:$AC$505,"&lt;="&amp;$A61,実績!$AD$6:$AD$505,"&gt;"&amp;$A61,実績!$AE$6:$AE$505,"○")&gt;0,1,0))</f>
        <v/>
      </c>
      <c r="F61">
        <f>IF(F$4=0,0,IF(COUNTIFS(実績!$W$6:$W$505,F$3,実績!$AC$6:$AC$505,"&lt;="&amp;$A61,実績!$AD$6:$AD$505,"&gt;"&amp;$A61,実績!$AE$6:$AE$505,"○")&gt;0,1,0))</f>
        <v/>
      </c>
      <c r="G61">
        <f>IF(G$4=0,0,IF(COUNTIFS(実績!$W$6:$W$505,G$3,実績!$AC$6:$AC$505,"&lt;="&amp;$A61,実績!$AD$6:$AD$505,"&gt;"&amp;$A61,実績!$AE$6:$AE$505,"○")&gt;0,1,0))</f>
        <v/>
      </c>
      <c r="H61">
        <f>IF(H$4=0,0,IF(COUNTIFS(実績!$W$6:$W$505,H$3,実績!$AC$6:$AC$505,"&lt;="&amp;$A61,実績!$AD$6:$AD$505,"&gt;"&amp;$A61,実績!$AE$6:$AE$505,"○")&gt;0,1,0))</f>
        <v/>
      </c>
      <c r="I61">
        <f>IF(I$4=0,0,IF(COUNTIFS(実績!$W$6:$W$505,I$3,実績!$AC$6:$AC$505,"&lt;="&amp;$A61,実績!$AD$6:$AD$505,"&gt;"&amp;$A61,実績!$AE$6:$AE$505,"○")&gt;0,1,0))</f>
        <v/>
      </c>
      <c r="J61">
        <f>IF(J$4=0,0,IF(COUNTIFS(実績!$W$6:$W$505,J$3,実績!$AC$6:$AC$505,"&lt;="&amp;$A61,実績!$AD$6:$AD$505,"&gt;"&amp;$A61,実績!$AE$6:$AE$505,"○")&gt;0,1,0))</f>
        <v/>
      </c>
      <c r="K61">
        <f>IF(K$4=0,0,IF(COUNTIFS(実績!$W$6:$W$505,K$3,実績!$AC$6:$AC$505,"&lt;="&amp;$A61,実績!$AD$6:$AD$505,"&gt;"&amp;$A61,実績!$AE$6:$AE$505,"○")&gt;0,1,0))</f>
        <v/>
      </c>
      <c r="L61">
        <f>IF(L$4=0,0,IF(COUNTIFS(実績!$W$6:$W$505,L$3,実績!$AC$6:$AC$505,"&lt;="&amp;$A61,実績!$AD$6:$AD$505,"&gt;"&amp;$A61,実績!$AE$6:$AE$505,"○")&gt;0,1,0))</f>
        <v/>
      </c>
      <c r="M61">
        <f>IF(M$4=0,0,IF(COUNTIFS(実績!$W$6:$W$505,M$3,実績!$AC$6:$AC$505,"&lt;="&amp;$A61,実績!$AD$6:$AD$505,"&gt;"&amp;$A61,実績!$AE$6:$AE$505,"○")&gt;0,1,0))</f>
        <v/>
      </c>
      <c r="N61">
        <f>IF(N$4=0,0,IF(COUNTIFS(実績!$W$6:$W$505,N$3,実績!$AC$6:$AC$505,"&lt;="&amp;$A61,実績!$AD$6:$AD$505,"&gt;"&amp;$A61,実績!$AE$6:$AE$505,"○")&gt;0,1,0))</f>
        <v/>
      </c>
      <c r="O61">
        <f>IF(O$4=0,0,IF(COUNTIFS(実績!$W$6:$W$505,O$3,実績!$AC$6:$AC$505,"&lt;="&amp;$A61,実績!$AD$6:$AD$505,"&gt;"&amp;$A61,実績!$AE$6:$AE$505,"○")&gt;0,1,0))</f>
        <v/>
      </c>
      <c r="P61">
        <f>IF(P$4=0,0,IF(COUNTIFS(実績!$W$6:$W$505,P$3,実績!$AC$6:$AC$505,"&lt;="&amp;$A61,実績!$AD$6:$AD$505,"&gt;"&amp;$A61,実績!$AE$6:$AE$505,"○")&gt;0,1,0))</f>
        <v/>
      </c>
      <c r="Q61">
        <f>IF(Q$4=0,0,IF(COUNTIFS(実績!$W$6:$W$505,Q$3,実績!$AC$6:$AC$505,"&lt;="&amp;$A61,実績!$AD$6:$AD$505,"&gt;"&amp;$A61,実績!$AE$6:$AE$505,"○")&gt;0,1,0))</f>
        <v/>
      </c>
      <c r="R61">
        <f>IF(R$4=0,0,IF(COUNTIFS(実績!$W$6:$W$505,R$3,実績!$AC$6:$AC$505,"&lt;="&amp;$A61,実績!$AD$6:$AD$505,"&gt;"&amp;$A61,実績!$AE$6:$AE$505,"○")&gt;0,1,0))</f>
        <v/>
      </c>
      <c r="S61">
        <f>IF(S$4=0,0,IF(COUNTIFS(実績!$W$6:$W$505,S$3,実績!$AC$6:$AC$505,"&lt;="&amp;$A61,実績!$AD$6:$AD$505,"&gt;"&amp;$A61,実績!$AE$6:$AE$505,"○")&gt;0,1,0))</f>
        <v/>
      </c>
      <c r="T61">
        <f>IF(T$4=0,0,IF(COUNTIFS(実績!$W$6:$W$505,T$3,実績!$AC$6:$AC$505,"&lt;="&amp;$A61,実績!$AD$6:$AD$505,"&gt;"&amp;$A61,実績!$AE$6:$AE$505,"○")&gt;0,1,0))</f>
        <v/>
      </c>
      <c r="U61">
        <f>IF(U$4=0,0,IF(COUNTIFS(実績!$W$6:$W$505,U$3,実績!$AC$6:$AC$505,"&lt;="&amp;$A61,実績!$AD$6:$AD$505,"&gt;"&amp;$A61,実績!$AE$6:$AE$505,"○")&gt;0,1,0))</f>
        <v/>
      </c>
      <c r="V61">
        <f>IF(V$4=0,0,IF(COUNTIFS(実績!$W$6:$W$505,V$3,実績!$AC$6:$AC$505,"&lt;="&amp;$A61,実績!$AD$6:$AD$505,"&gt;"&amp;$A61,実績!$AE$6:$AE$505,"○")&gt;0,1,0))</f>
        <v/>
      </c>
      <c r="W61">
        <f>IF(W$4=0,0,IF(COUNTIFS(実績!$W$6:$W$505,W$3,実績!$AC$6:$AC$505,"&lt;="&amp;$A61,実績!$AD$6:$AD$505,"&gt;"&amp;$A61,実績!$AE$6:$AE$505,"○")&gt;0,1,0))</f>
        <v/>
      </c>
      <c r="X61">
        <f>IF(X$4=0,0,IF(COUNTIFS(実績!$W$6:$W$505,X$3,実績!$AC$6:$AC$505,"&lt;="&amp;$A61,実績!$AD$6:$AD$505,"&gt;"&amp;$A61,実績!$AE$6:$AE$505,"○")&gt;0,1,0))</f>
        <v/>
      </c>
      <c r="Y61">
        <f>IF(Y$4=0,0,IF(COUNTIFS(実績!$W$6:$W$505,Y$3,実績!$AC$6:$AC$505,"&lt;="&amp;$A61,実績!$AD$6:$AD$505,"&gt;"&amp;$A61,実績!$AE$6:$AE$505,"○")&gt;0,1,0))</f>
        <v/>
      </c>
      <c r="Z61">
        <f>IF(Z$4=0,0,IF(COUNTIFS(実績!$W$6:$W$505,Z$3,実績!$AC$6:$AC$505,"&lt;="&amp;$A61,実績!$AD$6:$AD$505,"&gt;"&amp;$A61,実績!$AE$6:$AE$505,"○")&gt;0,1,0))</f>
        <v/>
      </c>
      <c r="AA61">
        <f>IF(AA$4=0,0,IF(COUNTIFS(実績!$W$6:$W$505,AA$3,実績!$AC$6:$AC$505,"&lt;="&amp;$A61,実績!$AD$6:$AD$505,"&gt;"&amp;$A61,実績!$AE$6:$AE$505,"○")&gt;0,1,0))</f>
        <v/>
      </c>
      <c r="AB61">
        <f>IF(AB$4=0,0,IF(COUNTIFS(実績!$W$6:$W$505,AB$3,実績!$AC$6:$AC$505,"&lt;="&amp;$A61,実績!$AD$6:$AD$505,"&gt;"&amp;$A61,実績!$AE$6:$AE$505,"○")&gt;0,1,0))</f>
        <v/>
      </c>
      <c r="AC61">
        <f>IF(AC$4=0,0,IF(COUNTIFS(実績!$W$6:$W$505,AC$3,実績!$AC$6:$AC$505,"&lt;="&amp;$A61,実績!$AD$6:$AD$505,"&gt;"&amp;$A61,実績!$AE$6:$AE$505,"○")&gt;0,1,0))</f>
        <v/>
      </c>
      <c r="AD61">
        <f>IF(AD$4=0,0,IF(COUNTIFS(実績!$W$6:$W$505,AD$3,実績!$AC$6:$AC$505,"&lt;="&amp;$A61,実績!$AD$6:$AD$505,"&gt;"&amp;$A61,実績!$AE$6:$AE$505,"○")&gt;0,1,0))</f>
        <v/>
      </c>
      <c r="AE61">
        <f>IF(AE$4=0,0,IF(COUNTIFS(実績!$W$6:$W$505,AE$3,実績!$AC$6:$AC$505,"&lt;="&amp;$A61,実績!$AD$6:$AD$505,"&gt;"&amp;$A61,実績!$AE$6:$AE$505,"○")&gt;0,1,0))</f>
        <v/>
      </c>
      <c r="AF61">
        <f>IF(AF$4=0,0,IF(COUNTIFS(実績!$W$6:$W$505,AF$3,実績!$AC$6:$AC$505,"&lt;="&amp;$A61,実績!$AD$6:$AD$505,"&gt;"&amp;$A61,実績!$AE$6:$AE$505,"○")&gt;0,1,0))</f>
        <v/>
      </c>
      <c r="AG61">
        <f>IF(AG$4=0,0,IF(COUNTIFS(実績!$W$6:$W$505,AG$3,実績!$AC$6:$AC$505,"&lt;="&amp;$A61,実績!$AD$6:$AD$505,"&gt;"&amp;$A61,実績!$AE$6:$AE$505,"○")&gt;0,1,0))</f>
        <v/>
      </c>
      <c r="AH61">
        <f>IF(AH$4=0,0,IF(COUNTIFS(実績!$W$6:$W$505,AH$3,実績!$AC$6:$AC$505,"&lt;="&amp;$A61,実績!$AD$6:$AD$505,"&gt;"&amp;$A61,実績!$AE$6:$AE$505,"○")&gt;0,1,0))</f>
        <v/>
      </c>
      <c r="AI61">
        <f>IF(AI$4=0,0,IF(COUNTIFS(実績!$W$6:$W$505,AI$3,実績!$AC$6:$AC$505,"&lt;="&amp;$A61,実績!$AD$6:$AD$505,"&gt;"&amp;$A61,実績!$AE$6:$AE$505,"○")&gt;0,1,0))</f>
        <v/>
      </c>
      <c r="AJ61">
        <f>IF(AJ$4=0,0,IF(COUNTIFS(実績!$W$6:$W$505,AJ$3,実績!$AC$6:$AC$505,"&lt;="&amp;$A61,実績!$AD$6:$AD$505,"&gt;"&amp;$A61,実績!$AE$6:$AE$505,"○")&gt;0,1,0))</f>
        <v/>
      </c>
      <c r="AK61">
        <f>IF(AK$4=0,0,IF(COUNTIFS(実績!$W$6:$W$505,AK$3,実績!$AC$6:$AC$505,"&lt;="&amp;$A61,実績!$AD$6:$AD$505,"&gt;"&amp;$A61,実績!$AE$6:$AE$505,"○")&gt;0,1,0))</f>
        <v/>
      </c>
      <c r="AL61">
        <f>IF(AL$4=0,0,IF(COUNTIFS(実績!$W$6:$W$505,AL$3,実績!$AC$6:$AC$505,"&lt;="&amp;$A61,実績!$AD$6:$AD$505,"&gt;"&amp;$A61,実績!$AE$6:$AE$505,"○")&gt;0,1,0))</f>
        <v/>
      </c>
      <c r="AM61">
        <f>IF(AM$4=0,0,IF(COUNTIFS(実績!$W$6:$W$505,AM$3,実績!$AC$6:$AC$505,"&lt;="&amp;$A61,実績!$AD$6:$AD$505,"&gt;"&amp;$A61,実績!$AE$6:$AE$505,"○")&gt;0,1,0))</f>
        <v/>
      </c>
      <c r="AN61">
        <f>IF(AN$4=0,0,IF(COUNTIFS(実績!$W$6:$W$505,AN$3,実績!$AC$6:$AC$505,"&lt;="&amp;$A61,実績!$AD$6:$AD$505,"&gt;"&amp;$A61,実績!$AE$6:$AE$505,"○")&gt;0,1,0))</f>
        <v/>
      </c>
      <c r="AO61">
        <f>IF(AO$4=0,0,IF(COUNTIFS(実績!$W$6:$W$505,AO$3,実績!$AC$6:$AC$505,"&lt;="&amp;$A61,実績!$AD$6:$AD$505,"&gt;"&amp;$A61,実績!$AE$6:$AE$505,"○")&gt;0,1,0))</f>
        <v/>
      </c>
      <c r="AP61">
        <f>IF(AP$4=0,0,IF(COUNTIFS(実績!$W$6:$W$505,AP$3,実績!$AC$6:$AC$505,"&lt;="&amp;$A61,実績!$AD$6:$AD$505,"&gt;"&amp;$A61,実績!$AE$6:$AE$505,"○")&gt;0,1,0))</f>
        <v/>
      </c>
      <c r="AQ61">
        <f>IF(AQ$4=0,0,IF(COUNTIFS(実績!$W$6:$W$505,AQ$3,実績!$AC$6:$AC$505,"&lt;="&amp;$A61,実績!$AD$6:$AD$505,"&gt;"&amp;$A61,実績!$AE$6:$AE$505,"○")&gt;0,1,0))</f>
        <v/>
      </c>
      <c r="AR61">
        <f>IF(AR$4=0,0,IF(COUNTIFS(実績!$W$6:$W$505,AR$3,実績!$AC$6:$AC$505,"&lt;="&amp;$A61,実績!$AD$6:$AD$505,"&gt;"&amp;$A61,実績!$AE$6:$AE$505,"○")&gt;0,1,0))</f>
        <v/>
      </c>
      <c r="AS61">
        <f>IF(AS$4=0,0,IF(COUNTIFS(実績!$W$6:$W$505,AS$3,実績!$AC$6:$AC$505,"&lt;="&amp;$A61,実績!$AD$6:$AD$505,"&gt;"&amp;$A61,実績!$AE$6:$AE$505,"○")&gt;0,1,0))</f>
        <v/>
      </c>
      <c r="AT61">
        <f>IF(AT$4=0,0,IF(COUNTIFS(実績!$W$6:$W$505,AT$3,実績!$AC$6:$AC$505,"&lt;="&amp;$A61,実績!$AD$6:$AD$505,"&gt;"&amp;$A61,実績!$AE$6:$AE$505,"○")&gt;0,1,0))</f>
        <v/>
      </c>
      <c r="AU61">
        <f>IF(AU$4=0,0,IF(COUNTIFS(実績!$W$6:$W$505,AU$3,実績!$AC$6:$AC$505,"&lt;="&amp;$A61,実績!$AD$6:$AD$505,"&gt;"&amp;$A61,実績!$AE$6:$AE$505,"○")&gt;0,1,0))</f>
        <v/>
      </c>
      <c r="AV61">
        <f>IF(AV$4=0,0,IF(COUNTIFS(実績!$W$6:$W$505,AV$3,実績!$AC$6:$AC$505,"&lt;="&amp;$A61,実績!$AD$6:$AD$505,"&gt;"&amp;$A61,実績!$AE$6:$AE$505,"○")&gt;0,1,0))</f>
        <v/>
      </c>
      <c r="AW61">
        <f>IF(AW$4=0,0,IF(COUNTIFS(実績!$W$6:$W$505,AW$3,実績!$AC$6:$AC$505,"&lt;="&amp;$A61,実績!$AD$6:$AD$505,"&gt;"&amp;$A61,実績!$AE$6:$AE$505,"○")&gt;0,1,0))</f>
        <v/>
      </c>
      <c r="AX61">
        <f>IF(AX$4=0,0,IF(COUNTIFS(実績!$W$6:$W$505,AX$3,実績!$AC$6:$AC$505,"&lt;="&amp;$A61,実績!$AD$6:$AD$505,"&gt;"&amp;$A61,実績!$AE$6:$AE$505,"○")&gt;0,1,0))</f>
        <v/>
      </c>
      <c r="AY61">
        <f>IF(AY$4=0,0,IF(COUNTIFS(実績!$W$6:$W$505,AY$3,実績!$AC$6:$AC$505,"&lt;="&amp;$A61,実績!$AD$6:$AD$505,"&gt;"&amp;$A61,実績!$AE$6:$AE$505,"○")&gt;0,1,0))</f>
        <v/>
      </c>
      <c r="AZ61">
        <f>IF(AZ$4=0,0,IF(COUNTIFS(実績!$W$6:$W$505,AZ$3,実績!$AC$6:$AC$505,"&lt;="&amp;$A61,実績!$AD$6:$AD$505,"&gt;"&amp;$A61,実績!$AE$6:$AE$505,"○")&gt;0,1,0))</f>
        <v/>
      </c>
      <c r="BA61">
        <f>IF(BA$4=0,0,IF(COUNTIFS(実績!$W$6:$W$505,BA$3,実績!$AC$6:$AC$505,"&lt;="&amp;$A61,実績!$AD$6:$AD$505,"&gt;"&amp;$A61,実績!$AE$6:$AE$505,"○")&gt;0,1,0))</f>
        <v/>
      </c>
      <c r="BB61">
        <f>IF(BB$4=0,0,IF(COUNTIFS(実績!$W$6:$W$505,BB$3,実績!$AC$6:$AC$505,"&lt;="&amp;$A61,実績!$AD$6:$AD$505,"&gt;"&amp;$A61,実績!$AE$6:$AE$505,"○")&gt;0,1,0))</f>
        <v/>
      </c>
      <c r="BC61">
        <f>IF(BC$4=0,0,IF(COUNTIFS(実績!$W$6:$W$505,BC$3,実績!$AC$6:$AC$505,"&lt;="&amp;$A61,実績!$AD$6:$AD$505,"&gt;"&amp;$A61,実績!$AE$6:$AE$505,"○")&gt;0,1,0))</f>
        <v/>
      </c>
      <c r="BD61">
        <f>IF(BD$4=0,0,IF(COUNTIFS(実績!$W$6:$W$505,BD$3,実績!$AC$6:$AC$505,"&lt;="&amp;$A61,実績!$AD$6:$AD$505,"&gt;"&amp;$A61,実績!$AE$6:$AE$505,"○")&gt;0,1,0))</f>
        <v/>
      </c>
      <c r="BE61">
        <f>IF(BE$4=0,0,IF(COUNTIFS(実績!$W$6:$W$505,BE$3,実績!$AC$6:$AC$505,"&lt;="&amp;$A61,実績!$AD$6:$AD$505,"&gt;"&amp;$A61,実績!$AE$6:$AE$505,"○")&gt;0,1,0))</f>
        <v/>
      </c>
      <c r="BF61">
        <f>IF(BF$4=0,0,IF(COUNTIFS(実績!$W$6:$W$505,BF$3,実績!$AC$6:$AC$505,"&lt;="&amp;$A61,実績!$AD$6:$AD$505,"&gt;"&amp;$A61,実績!$AE$6:$AE$505,"○")&gt;0,1,0))</f>
        <v/>
      </c>
      <c r="BG61">
        <f>IF(BG$4=0,0,IF(COUNTIFS(実績!$W$6:$W$505,BG$3,実績!$AC$6:$AC$505,"&lt;="&amp;$A61,実績!$AD$6:$AD$505,"&gt;"&amp;$A61,実績!$AE$6:$AE$505,"○")&gt;0,1,0))</f>
        <v/>
      </c>
      <c r="BH61">
        <f>IF(BH$4=0,0,IF(COUNTIFS(実績!$W$6:$W$505,BH$3,実績!$AC$6:$AC$505,"&lt;="&amp;$A61,実績!$AD$6:$AD$505,"&gt;"&amp;$A61,実績!$AE$6:$AE$505,"○")&gt;0,1,0))</f>
        <v/>
      </c>
      <c r="BI61">
        <f>IF(BI$4=0,0,IF(COUNTIFS(実績!$W$6:$W$505,BI$3,実績!$AC$6:$AC$505,"&lt;="&amp;$A61,実績!$AD$6:$AD$505,"&gt;"&amp;$A61,実績!$AE$6:$AE$505,"○")&gt;0,1,0))</f>
        <v/>
      </c>
      <c r="BJ61">
        <f>IF(BJ$4=0,0,IF(COUNTIFS(実績!$W$6:$W$505,BJ$3,実績!$AC$6:$AC$505,"&lt;="&amp;$A61,実績!$AD$6:$AD$505,"&gt;"&amp;$A61,実績!$AE$6:$AE$505,"○")&gt;0,1,0))</f>
        <v/>
      </c>
      <c r="BK61">
        <f>IF(BK$4=0,0,IF(COUNTIFS(実績!$W$6:$W$505,BK$3,実績!$AC$6:$AC$505,"&lt;="&amp;$A61,実績!$AD$6:$AD$505,"&gt;"&amp;$A61,実績!$AE$6:$AE$505,"○")&gt;0,1,0))</f>
        <v/>
      </c>
      <c r="BL61">
        <f>IF(BL$4=0,0,IF(COUNTIFS(実績!$W$6:$W$505,BL$3,実績!$AC$6:$AC$505,"&lt;="&amp;$A61,実績!$AD$6:$AD$505,"&gt;"&amp;$A61,実績!$AE$6:$AE$505,"○")&gt;0,1,0))</f>
        <v/>
      </c>
      <c r="BM61">
        <f>IF(BM$4=0,0,IF(COUNTIFS(実績!$W$6:$W$505,BM$3,実績!$AC$6:$AC$505,"&lt;="&amp;$A61,実績!$AD$6:$AD$505,"&gt;"&amp;$A61,実績!$AE$6:$AE$505,"○")&gt;0,1,0))</f>
        <v/>
      </c>
      <c r="BN61">
        <f>IF(BN$4=0,0,IF(COUNTIFS(実績!$W$6:$W$505,BN$3,実績!$AC$6:$AC$505,"&lt;="&amp;$A61,実績!$AD$6:$AD$505,"&gt;"&amp;$A61,実績!$AE$6:$AE$505,"○")&gt;0,1,0))</f>
        <v/>
      </c>
      <c r="BO61">
        <f>IF(BO$4=0,0,IF(COUNTIFS(実績!$W$6:$W$505,BO$3,実績!$AC$6:$AC$505,"&lt;="&amp;$A61,実績!$AD$6:$AD$505,"&gt;"&amp;$A61,実績!$AE$6:$AE$505,"○")&gt;0,1,0))</f>
        <v/>
      </c>
      <c r="BP61">
        <f>IF(BP$4=0,0,IF(COUNTIFS(実績!$W$6:$W$505,BP$3,実績!$AC$6:$AC$505,"&lt;="&amp;$A61,実績!$AD$6:$AD$505,"&gt;"&amp;$A61,実績!$AE$6:$AE$505,"○")&gt;0,1,0))</f>
        <v/>
      </c>
      <c r="BQ61">
        <f>IF(BQ$4=0,0,IF(COUNTIFS(実績!$W$6:$W$505,BQ$3,実績!$AC$6:$AC$505,"&lt;="&amp;$A61,実績!$AD$6:$AD$505,"&gt;"&amp;$A61,実績!$AE$6:$AE$505,"○")&gt;0,1,0))</f>
        <v/>
      </c>
      <c r="BR61">
        <f>IF(BR$4=0,0,IF(COUNTIFS(実績!$W$6:$W$505,BR$3,実績!$AC$6:$AC$505,"&lt;="&amp;$A61,実績!$AD$6:$AD$505,"&gt;"&amp;$A61,実績!$AE$6:$AE$505,"○")&gt;0,1,0))</f>
        <v/>
      </c>
      <c r="BS61">
        <f>IF(BS$4=0,0,IF(COUNTIFS(実績!$W$6:$W$505,BS$3,実績!$AC$6:$AC$505,"&lt;="&amp;$A61,実績!$AD$6:$AD$505,"&gt;"&amp;$A61,実績!$AE$6:$AE$505,"○")&gt;0,1,0))</f>
        <v/>
      </c>
      <c r="BT61">
        <f>IF(BT$4=0,0,IF(COUNTIFS(実績!$W$6:$W$505,BT$3,実績!$AC$6:$AC$505,"&lt;="&amp;$A61,実績!$AD$6:$AD$505,"&gt;"&amp;$A61,実績!$AE$6:$AE$505,"○")&gt;0,1,0))</f>
        <v/>
      </c>
      <c r="BU61">
        <f>IF(BU$4=0,0,IF(COUNTIFS(実績!$W$6:$W$505,BU$3,実績!$AC$6:$AC$505,"&lt;="&amp;$A61,実績!$AD$6:$AD$505,"&gt;"&amp;$A61,実績!$AE$6:$AE$505,"○")&gt;0,1,0))</f>
        <v/>
      </c>
      <c r="BV61">
        <f>IF(BV$4=0,0,IF(COUNTIFS(実績!$W$6:$W$505,BV$3,実績!$AC$6:$AC$505,"&lt;="&amp;$A61,実績!$AD$6:$AD$505,"&gt;"&amp;$A61,実績!$AE$6:$AE$505,"○")&gt;0,1,0))</f>
        <v/>
      </c>
      <c r="BW61">
        <f>IF(BW$4=0,0,IF(COUNTIFS(実績!$W$6:$W$505,BW$3,実績!$AC$6:$AC$505,"&lt;="&amp;$A61,実績!$AD$6:$AD$505,"&gt;"&amp;$A61,実績!$AE$6:$AE$505,"○")&gt;0,1,0))</f>
        <v/>
      </c>
      <c r="BX61">
        <f>IF(BX$4=0,0,IF(COUNTIFS(実績!$W$6:$W$505,BX$3,実績!$AC$6:$AC$505,"&lt;="&amp;$A61,実績!$AD$6:$AD$505,"&gt;"&amp;$A61,実績!$AE$6:$AE$505,"○")&gt;0,1,0))</f>
        <v/>
      </c>
      <c r="BY61">
        <f>IF(BY$4=0,0,IF(COUNTIFS(実績!$W$6:$W$505,BY$3,実績!$AC$6:$AC$505,"&lt;="&amp;$A61,実績!$AD$6:$AD$505,"&gt;"&amp;$A61,実績!$AE$6:$AE$505,"○")&gt;0,1,0))</f>
        <v/>
      </c>
      <c r="BZ61">
        <f>IF(BZ$4=0,0,IF(COUNTIFS(実績!$W$6:$W$505,BZ$3,実績!$AC$6:$AC$505,"&lt;="&amp;$A61,実績!$AD$6:$AD$505,"&gt;"&amp;$A61,実績!$AE$6:$AE$505,"○")&gt;0,1,0))</f>
        <v/>
      </c>
      <c r="CA61">
        <f>IF(CA$4=0,0,IF(COUNTIFS(実績!$W$6:$W$505,CA$3,実績!$AC$6:$AC$505,"&lt;="&amp;$A61,実績!$AD$6:$AD$505,"&gt;"&amp;$A61,実績!$AE$6:$AE$505,"○")&gt;0,1,0))</f>
        <v/>
      </c>
      <c r="CB61">
        <f>IF(CB$4=0,0,IF(COUNTIFS(実績!$W$6:$W$505,CB$3,実績!$AC$6:$AC$505,"&lt;="&amp;$A61,実績!$AD$6:$AD$505,"&gt;"&amp;$A61,実績!$AE$6:$AE$505,"○")&gt;0,1,0))</f>
        <v/>
      </c>
      <c r="CC61">
        <f>IF(CC$4=0,0,IF(COUNTIFS(実績!$W$6:$W$505,CC$3,実績!$AC$6:$AC$505,"&lt;="&amp;$A61,実績!$AD$6:$AD$505,"&gt;"&amp;$A61,実績!$AE$6:$AE$505,"○")&gt;0,1,0))</f>
        <v/>
      </c>
      <c r="CD61">
        <f>IF(CD$4=0,0,IF(COUNTIFS(実績!$W$6:$W$505,CD$3,実績!$AC$6:$AC$505,"&lt;="&amp;$A61,実績!$AD$6:$AD$505,"&gt;"&amp;$A61,実績!$AE$6:$AE$505,"○")&gt;0,1,0))</f>
        <v/>
      </c>
      <c r="CE61">
        <f>IF(CE$4=0,0,IF(COUNTIFS(実績!$W$6:$W$505,CE$3,実績!$AC$6:$AC$505,"&lt;="&amp;$A61,実績!$AD$6:$AD$505,"&gt;"&amp;$A61,実績!$AE$6:$AE$505,"○")&gt;0,1,0))</f>
        <v/>
      </c>
      <c r="CF61">
        <f>IF(CF$4=0,0,IF(COUNTIFS(実績!$W$6:$W$505,CF$3,実績!$AC$6:$AC$505,"&lt;="&amp;$A61,実績!$AD$6:$AD$505,"&gt;"&amp;$A61,実績!$AE$6:$AE$505,"○")&gt;0,1,0))</f>
        <v/>
      </c>
      <c r="CG61">
        <f>IF(CG$4=0,0,IF(COUNTIFS(実績!$W$6:$W$505,CG$3,実績!$AC$6:$AC$505,"&lt;="&amp;$A61,実績!$AD$6:$AD$505,"&gt;"&amp;$A61,実績!$AE$6:$AE$505,"○")&gt;0,1,0))</f>
        <v/>
      </c>
      <c r="CH61">
        <f>IF(CH$4=0,0,IF(COUNTIFS(実績!$W$6:$W$505,CH$3,実績!$AC$6:$AC$505,"&lt;="&amp;$A61,実績!$AD$6:$AD$505,"&gt;"&amp;$A61,実績!$AE$6:$AE$505,"○")&gt;0,1,0))</f>
        <v/>
      </c>
      <c r="CI61">
        <f>IF(CI$4=0,0,IF(COUNTIFS(実績!$W$6:$W$505,CI$3,実績!$AC$6:$AC$505,"&lt;="&amp;$A61,実績!$AD$6:$AD$505,"&gt;"&amp;$A61,実績!$AE$6:$AE$505,"○")&gt;0,1,0))</f>
        <v/>
      </c>
      <c r="CJ61">
        <f>IF(CJ$4=0,0,IF(COUNTIFS(実績!$W$6:$W$505,CJ$3,実績!$AC$6:$AC$505,"&lt;="&amp;$A61,実績!$AD$6:$AD$505,"&gt;"&amp;$A61,実績!$AE$6:$AE$505,"○")&gt;0,1,0))</f>
        <v/>
      </c>
      <c r="CK61">
        <f>IF(CK$4=0,0,IF(COUNTIFS(実績!$W$6:$W$505,CK$3,実績!$AC$6:$AC$505,"&lt;="&amp;$A61,実績!$AD$6:$AD$505,"&gt;"&amp;$A61,実績!$AE$6:$AE$505,"○")&gt;0,1,0))</f>
        <v/>
      </c>
      <c r="CL61">
        <f>IF(CL$4=0,0,IF(COUNTIFS(実績!$W$6:$W$505,CL$3,実績!$AC$6:$AC$505,"&lt;="&amp;$A61,実績!$AD$6:$AD$505,"&gt;"&amp;$A61,実績!$AE$6:$AE$505,"○")&gt;0,1,0))</f>
        <v/>
      </c>
      <c r="CM61">
        <f>IF(CM$4=0,0,IF(COUNTIFS(実績!$W$6:$W$505,CM$3,実績!$AC$6:$AC$505,"&lt;="&amp;$A61,実績!$AD$6:$AD$505,"&gt;"&amp;$A61,実績!$AE$6:$AE$505,"○")&gt;0,1,0))</f>
        <v/>
      </c>
      <c r="CN61">
        <f>IF(CN$4=0,0,IF(COUNTIFS(実績!$W$6:$W$505,CN$3,実績!$AC$6:$AC$505,"&lt;="&amp;$A61,実績!$AD$6:$AD$505,"&gt;"&amp;$A61,実績!$AE$6:$AE$505,"○")&gt;0,1,0))</f>
        <v/>
      </c>
      <c r="CO61">
        <f>IF(CO$4=0,0,IF(COUNTIFS(実績!$W$6:$W$505,CO$3,実績!$AC$6:$AC$505,"&lt;="&amp;$A61,実績!$AD$6:$AD$505,"&gt;"&amp;$A61,実績!$AE$6:$AE$505,"○")&gt;0,1,0))</f>
        <v/>
      </c>
      <c r="CP61">
        <f>IF(CP$4=0,0,IF(COUNTIFS(実績!$W$6:$W$505,CP$3,実績!$AC$6:$AC$505,"&lt;="&amp;$A61,実績!$AD$6:$AD$505,"&gt;"&amp;$A61,実績!$AE$6:$AE$505,"○")&gt;0,1,0))</f>
        <v/>
      </c>
      <c r="CQ61">
        <f>IF(CQ$4=0,0,IF(COUNTIFS(実績!$W$6:$W$505,CQ$3,実績!$AC$6:$AC$505,"&lt;="&amp;$A61,実績!$AD$6:$AD$505,"&gt;"&amp;$A61,実績!$AE$6:$AE$505,"○")&gt;0,1,0))</f>
        <v/>
      </c>
      <c r="CR61">
        <f>IF(CR$4=0,0,IF(COUNTIFS(実績!$W$6:$W$505,CR$3,実績!$AC$6:$AC$505,"&lt;="&amp;$A61,実績!$AD$6:$AD$505,"&gt;"&amp;$A61,実績!$AE$6:$AE$505,"○")&gt;0,1,0))</f>
        <v/>
      </c>
      <c r="CS61">
        <f>IF(CS$4=0,0,IF(COUNTIFS(実績!$W$6:$W$505,CS$3,実績!$AC$6:$AC$505,"&lt;="&amp;$A61,実績!$AD$6:$AD$505,"&gt;"&amp;$A61,実績!$AE$6:$AE$505,"○")&gt;0,1,0))</f>
        <v/>
      </c>
      <c r="CT61">
        <f>IF(CT$4=0,0,IF(COUNTIFS(実績!$W$6:$W$505,CT$3,実績!$AC$6:$AC$505,"&lt;="&amp;$A61,実績!$AD$6:$AD$505,"&gt;"&amp;$A61,実績!$AE$6:$AE$505,"○")&gt;0,1,0))</f>
        <v/>
      </c>
      <c r="CU61">
        <f>IF(CU$4=0,0,IF(COUNTIFS(実績!$W$6:$W$505,CU$3,実績!$AC$6:$AC$505,"&lt;="&amp;$A61,実績!$AD$6:$AD$505,"&gt;"&amp;$A61,実績!$AE$6:$AE$505,"○")&gt;0,1,0))</f>
        <v/>
      </c>
      <c r="CV61">
        <f>IF(CV$4=0,0,IF(COUNTIFS(実績!$W$6:$W$505,CV$3,実績!$AC$6:$AC$505,"&lt;="&amp;$A61,実績!$AD$6:$AD$505,"&gt;"&amp;$A61,実績!$AE$6:$AE$505,"○")&gt;0,1,0))</f>
        <v/>
      </c>
      <c r="CW61">
        <f>IF(CW$4=0,0,IF(COUNTIFS(実績!$W$6:$W$505,CW$3,実績!$AC$6:$AC$505,"&lt;="&amp;$A61,実績!$AD$6:$AD$505,"&gt;"&amp;$A61,実績!$AE$6:$AE$505,"○")&gt;0,1,0))</f>
        <v/>
      </c>
      <c r="CX61">
        <f>IF(CX$4=0,0,IF(COUNTIFS(実績!$W$6:$W$505,CX$3,実績!$AC$6:$AC$505,"&lt;="&amp;$A61,実績!$AD$6:$AD$505,"&gt;"&amp;$A61,実績!$AE$6:$AE$505,"○")&gt;0,1,0))</f>
        <v/>
      </c>
      <c r="CY61">
        <f>IF(CY$4=0,0,IF(COUNTIFS(実績!$W$6:$W$505,CY$3,実績!$AC$6:$AC$505,"&lt;="&amp;$A61,実績!$AD$6:$AD$505,"&gt;"&amp;$A61,実績!$AE$6:$AE$505,"○")&gt;0,1,0))</f>
        <v/>
      </c>
      <c r="CZ61">
        <f>IF(CZ$4=0,0,IF(COUNTIFS(実績!$W$6:$W$505,CZ$3,実績!$AC$6:$AC$505,"&lt;="&amp;$A61,実績!$AD$6:$AD$505,"&gt;"&amp;$A61,実績!$AE$6:$AE$505,"○")&gt;0,1,0))</f>
        <v/>
      </c>
      <c r="DA61">
        <f>IF(DA$4=0,0,IF(COUNTIFS(実績!$W$6:$W$505,DA$3,実績!$AC$6:$AC$505,"&lt;="&amp;$A61,実績!$AD$6:$AD$505,"&gt;"&amp;$A61,実績!$AE$6:$AE$505,"○")&gt;0,1,0))</f>
        <v/>
      </c>
      <c r="DB61">
        <f>IF(DB$4=0,0,IF(COUNTIFS(実績!$W$6:$W$505,DB$3,実績!$AC$6:$AC$505,"&lt;="&amp;$A61,実績!$AD$6:$AD$505,"&gt;"&amp;$A61,実績!$AE$6:$AE$505,"○")&gt;0,1,0))</f>
        <v/>
      </c>
      <c r="DC61">
        <f>IF(DC$4=0,0,IF(COUNTIFS(実績!$W$6:$W$505,DC$3,実績!$AC$6:$AC$505,"&lt;="&amp;$A61,実績!$AD$6:$AD$505,"&gt;"&amp;$A61,実績!$AE$6:$AE$505,"○")&gt;0,1,0))</f>
        <v/>
      </c>
      <c r="DD61">
        <f>IF(DD$4=0,0,IF(COUNTIFS(実績!$W$6:$W$505,DD$3,実績!$AC$6:$AC$505,"&lt;="&amp;$A61,実績!$AD$6:$AD$505,"&gt;"&amp;$A61,実績!$AE$6:$AE$505,"○")&gt;0,1,0))</f>
        <v/>
      </c>
      <c r="DE61">
        <f>IF(DE$4=0,0,IF(COUNTIFS(実績!$W$6:$W$505,DE$3,実績!$AC$6:$AC$505,"&lt;="&amp;$A61,実績!$AD$6:$AD$505,"&gt;"&amp;$A61,実績!$AE$6:$AE$505,"○")&gt;0,1,0))</f>
        <v/>
      </c>
      <c r="DF61">
        <f>IF(DF$4=0,0,IF(COUNTIFS(実績!$W$6:$W$505,DF$3,実績!$AC$6:$AC$505,"&lt;="&amp;$A61,実績!$AD$6:$AD$505,"&gt;"&amp;$A61,実績!$AE$6:$AE$505,"○")&gt;0,1,0))</f>
        <v/>
      </c>
      <c r="DG61">
        <f>IF(DG$4=0,0,IF(COUNTIFS(実績!$W$6:$W$505,DG$3,実績!$AC$6:$AC$505,"&lt;="&amp;$A61,実績!$AD$6:$AD$505,"&gt;"&amp;$A61,実績!$AE$6:$AE$505,"○")&gt;0,1,0))</f>
        <v/>
      </c>
      <c r="DH61">
        <f>IF(DH$4=0,0,IF(COUNTIFS(実績!$W$6:$W$505,DH$3,実績!$AC$6:$AC$505,"&lt;="&amp;$A61,実績!$AD$6:$AD$505,"&gt;"&amp;$A61,実績!$AE$6:$AE$505,"○")&gt;0,1,0))</f>
        <v/>
      </c>
      <c r="DI61">
        <f>IF(DI$4=0,0,IF(COUNTIFS(実績!$W$6:$W$505,DI$3,実績!$AC$6:$AC$505,"&lt;="&amp;$A61,実績!$AD$6:$AD$505,"&gt;"&amp;$A61,実績!$AE$6:$AE$505,"○")&gt;0,1,0))</f>
        <v/>
      </c>
      <c r="DJ61">
        <f>IF(DJ$4=0,0,IF(COUNTIFS(実績!$W$6:$W$505,DJ$3,実績!$AC$6:$AC$505,"&lt;="&amp;$A61,実績!$AD$6:$AD$505,"&gt;"&amp;$A61,実績!$AE$6:$AE$505,"○")&gt;0,1,0))</f>
        <v/>
      </c>
      <c r="DK61">
        <f>IF(DK$4=0,0,IF(COUNTIFS(実績!$W$6:$W$505,DK$3,実績!$AC$6:$AC$505,"&lt;="&amp;$A61,実績!$AD$6:$AD$505,"&gt;"&amp;$A61,実績!$AE$6:$AE$505,"○")&gt;0,1,0))</f>
        <v/>
      </c>
      <c r="DL61">
        <f>IF(DL$4=0,0,IF(COUNTIFS(実績!$W$6:$W$505,DL$3,実績!$AC$6:$AC$505,"&lt;="&amp;$A61,実績!$AD$6:$AD$505,"&gt;"&amp;$A61,実績!$AE$6:$AE$505,"○")&gt;0,1,0))</f>
        <v/>
      </c>
      <c r="DM61">
        <f>IF(DM$4=0,0,IF(COUNTIFS(実績!$W$6:$W$505,DM$3,実績!$AC$6:$AC$505,"&lt;="&amp;$A61,実績!$AD$6:$AD$505,"&gt;"&amp;$A61,実績!$AE$6:$AE$505,"○")&gt;0,1,0))</f>
        <v/>
      </c>
      <c r="DN61">
        <f>IF(DN$4=0,0,IF(COUNTIFS(実績!$W$6:$W$505,DN$3,実績!$AC$6:$AC$505,"&lt;="&amp;$A61,実績!$AD$6:$AD$505,"&gt;"&amp;$A61,実績!$AE$6:$AE$505,"○")&gt;0,1,0))</f>
        <v/>
      </c>
      <c r="DO61">
        <f>IF(DO$4=0,0,IF(COUNTIFS(実績!$W$6:$W$505,DO$3,実績!$AC$6:$AC$505,"&lt;="&amp;$A61,実績!$AD$6:$AD$505,"&gt;"&amp;$A61,実績!$AE$6:$AE$505,"○")&gt;0,1,0))</f>
        <v/>
      </c>
      <c r="DP61">
        <f>IF(DP$4=0,0,IF(COUNTIFS(実績!$W$6:$W$505,DP$3,実績!$AC$6:$AC$505,"&lt;="&amp;$A61,実績!$AD$6:$AD$505,"&gt;"&amp;$A61,実績!$AE$6:$AE$505,"○")&gt;0,1,0))</f>
        <v/>
      </c>
      <c r="DQ61">
        <f>IF(DQ$4=0,0,IF(COUNTIFS(実績!$W$6:$W$505,DQ$3,実績!$AC$6:$AC$505,"&lt;="&amp;$A61,実績!$AD$6:$AD$505,"&gt;"&amp;$A61,実績!$AE$6:$AE$505,"○")&gt;0,1,0))</f>
        <v/>
      </c>
      <c r="DR61">
        <f>IF(DR$4=0,0,IF(COUNTIFS(実績!$W$6:$W$505,DR$3,実績!$AC$6:$AC$505,"&lt;="&amp;$A61,実績!$AD$6:$AD$505,"&gt;"&amp;$A61,実績!$AE$6:$AE$505,"○")&gt;0,1,0))</f>
        <v/>
      </c>
      <c r="DS61">
        <f>SUM(C61:DR61)</f>
        <v/>
      </c>
      <c r="DT61">
        <f>SUMPRODUCT((実績!$C$6:$C$505="○")*ISNUMBER(実績!$AF$6:$AF$505)*(実績!$AF$6:$AF$505&lt;=$A61)*(実績!$AG$6:$AG$505&gt;$A61))</f>
        <v/>
      </c>
      <c r="DU61">
        <f>SUMIF($C$2:$DR$2,"製鉄曳船",C61:DR61)</f>
        <v/>
      </c>
      <c r="DV61">
        <f>SUMIF($C$2:$DR$2,"西日本海運",C61:DR61)</f>
        <v/>
      </c>
    </row>
    <row r="62">
      <c r="A62" t="n">
        <v>280</v>
      </c>
      <c r="B62" s="29">
        <f>A62/1440</f>
        <v/>
      </c>
      <c r="C62">
        <f>IF(C$4=0,0,IF(COUNTIFS(実績!$W$6:$W$505,C$3,実績!$AC$6:$AC$505,"&lt;="&amp;$A62,実績!$AD$6:$AD$505,"&gt;"&amp;$A62,実績!$AE$6:$AE$505,"○")&gt;0,1,0))</f>
        <v/>
      </c>
      <c r="D62">
        <f>IF(D$4=0,0,IF(COUNTIFS(実績!$W$6:$W$505,D$3,実績!$AC$6:$AC$505,"&lt;="&amp;$A62,実績!$AD$6:$AD$505,"&gt;"&amp;$A62,実績!$AE$6:$AE$505,"○")&gt;0,1,0))</f>
        <v/>
      </c>
      <c r="E62">
        <f>IF(E$4=0,0,IF(COUNTIFS(実績!$W$6:$W$505,E$3,実績!$AC$6:$AC$505,"&lt;="&amp;$A62,実績!$AD$6:$AD$505,"&gt;"&amp;$A62,実績!$AE$6:$AE$505,"○")&gt;0,1,0))</f>
        <v/>
      </c>
      <c r="F62">
        <f>IF(F$4=0,0,IF(COUNTIFS(実績!$W$6:$W$505,F$3,実績!$AC$6:$AC$505,"&lt;="&amp;$A62,実績!$AD$6:$AD$505,"&gt;"&amp;$A62,実績!$AE$6:$AE$505,"○")&gt;0,1,0))</f>
        <v/>
      </c>
      <c r="G62">
        <f>IF(G$4=0,0,IF(COUNTIFS(実績!$W$6:$W$505,G$3,実績!$AC$6:$AC$505,"&lt;="&amp;$A62,実績!$AD$6:$AD$505,"&gt;"&amp;$A62,実績!$AE$6:$AE$505,"○")&gt;0,1,0))</f>
        <v/>
      </c>
      <c r="H62">
        <f>IF(H$4=0,0,IF(COUNTIFS(実績!$W$6:$W$505,H$3,実績!$AC$6:$AC$505,"&lt;="&amp;$A62,実績!$AD$6:$AD$505,"&gt;"&amp;$A62,実績!$AE$6:$AE$505,"○")&gt;0,1,0))</f>
        <v/>
      </c>
      <c r="I62">
        <f>IF(I$4=0,0,IF(COUNTIFS(実績!$W$6:$W$505,I$3,実績!$AC$6:$AC$505,"&lt;="&amp;$A62,実績!$AD$6:$AD$505,"&gt;"&amp;$A62,実績!$AE$6:$AE$505,"○")&gt;0,1,0))</f>
        <v/>
      </c>
      <c r="J62">
        <f>IF(J$4=0,0,IF(COUNTIFS(実績!$W$6:$W$505,J$3,実績!$AC$6:$AC$505,"&lt;="&amp;$A62,実績!$AD$6:$AD$505,"&gt;"&amp;$A62,実績!$AE$6:$AE$505,"○")&gt;0,1,0))</f>
        <v/>
      </c>
      <c r="K62">
        <f>IF(K$4=0,0,IF(COUNTIFS(実績!$W$6:$W$505,K$3,実績!$AC$6:$AC$505,"&lt;="&amp;$A62,実績!$AD$6:$AD$505,"&gt;"&amp;$A62,実績!$AE$6:$AE$505,"○")&gt;0,1,0))</f>
        <v/>
      </c>
      <c r="L62">
        <f>IF(L$4=0,0,IF(COUNTIFS(実績!$W$6:$W$505,L$3,実績!$AC$6:$AC$505,"&lt;="&amp;$A62,実績!$AD$6:$AD$505,"&gt;"&amp;$A62,実績!$AE$6:$AE$505,"○")&gt;0,1,0))</f>
        <v/>
      </c>
      <c r="M62">
        <f>IF(M$4=0,0,IF(COUNTIFS(実績!$W$6:$W$505,M$3,実績!$AC$6:$AC$505,"&lt;="&amp;$A62,実績!$AD$6:$AD$505,"&gt;"&amp;$A62,実績!$AE$6:$AE$505,"○")&gt;0,1,0))</f>
        <v/>
      </c>
      <c r="N62">
        <f>IF(N$4=0,0,IF(COUNTIFS(実績!$W$6:$W$505,N$3,実績!$AC$6:$AC$505,"&lt;="&amp;$A62,実績!$AD$6:$AD$505,"&gt;"&amp;$A62,実績!$AE$6:$AE$505,"○")&gt;0,1,0))</f>
        <v/>
      </c>
      <c r="O62">
        <f>IF(O$4=0,0,IF(COUNTIFS(実績!$W$6:$W$505,O$3,実績!$AC$6:$AC$505,"&lt;="&amp;$A62,実績!$AD$6:$AD$505,"&gt;"&amp;$A62,実績!$AE$6:$AE$505,"○")&gt;0,1,0))</f>
        <v/>
      </c>
      <c r="P62">
        <f>IF(P$4=0,0,IF(COUNTIFS(実績!$W$6:$W$505,P$3,実績!$AC$6:$AC$505,"&lt;="&amp;$A62,実績!$AD$6:$AD$505,"&gt;"&amp;$A62,実績!$AE$6:$AE$505,"○")&gt;0,1,0))</f>
        <v/>
      </c>
      <c r="Q62">
        <f>IF(Q$4=0,0,IF(COUNTIFS(実績!$W$6:$W$505,Q$3,実績!$AC$6:$AC$505,"&lt;="&amp;$A62,実績!$AD$6:$AD$505,"&gt;"&amp;$A62,実績!$AE$6:$AE$505,"○")&gt;0,1,0))</f>
        <v/>
      </c>
      <c r="R62">
        <f>IF(R$4=0,0,IF(COUNTIFS(実績!$W$6:$W$505,R$3,実績!$AC$6:$AC$505,"&lt;="&amp;$A62,実績!$AD$6:$AD$505,"&gt;"&amp;$A62,実績!$AE$6:$AE$505,"○")&gt;0,1,0))</f>
        <v/>
      </c>
      <c r="S62">
        <f>IF(S$4=0,0,IF(COUNTIFS(実績!$W$6:$W$505,S$3,実績!$AC$6:$AC$505,"&lt;="&amp;$A62,実績!$AD$6:$AD$505,"&gt;"&amp;$A62,実績!$AE$6:$AE$505,"○")&gt;0,1,0))</f>
        <v/>
      </c>
      <c r="T62">
        <f>IF(T$4=0,0,IF(COUNTIFS(実績!$W$6:$W$505,T$3,実績!$AC$6:$AC$505,"&lt;="&amp;$A62,実績!$AD$6:$AD$505,"&gt;"&amp;$A62,実績!$AE$6:$AE$505,"○")&gt;0,1,0))</f>
        <v/>
      </c>
      <c r="U62">
        <f>IF(U$4=0,0,IF(COUNTIFS(実績!$W$6:$W$505,U$3,実績!$AC$6:$AC$505,"&lt;="&amp;$A62,実績!$AD$6:$AD$505,"&gt;"&amp;$A62,実績!$AE$6:$AE$505,"○")&gt;0,1,0))</f>
        <v/>
      </c>
      <c r="V62">
        <f>IF(V$4=0,0,IF(COUNTIFS(実績!$W$6:$W$505,V$3,実績!$AC$6:$AC$505,"&lt;="&amp;$A62,実績!$AD$6:$AD$505,"&gt;"&amp;$A62,実績!$AE$6:$AE$505,"○")&gt;0,1,0))</f>
        <v/>
      </c>
      <c r="W62">
        <f>IF(W$4=0,0,IF(COUNTIFS(実績!$W$6:$W$505,W$3,実績!$AC$6:$AC$505,"&lt;="&amp;$A62,実績!$AD$6:$AD$505,"&gt;"&amp;$A62,実績!$AE$6:$AE$505,"○")&gt;0,1,0))</f>
        <v/>
      </c>
      <c r="X62">
        <f>IF(X$4=0,0,IF(COUNTIFS(実績!$W$6:$W$505,X$3,実績!$AC$6:$AC$505,"&lt;="&amp;$A62,実績!$AD$6:$AD$505,"&gt;"&amp;$A62,実績!$AE$6:$AE$505,"○")&gt;0,1,0))</f>
        <v/>
      </c>
      <c r="Y62">
        <f>IF(Y$4=0,0,IF(COUNTIFS(実績!$W$6:$W$505,Y$3,実績!$AC$6:$AC$505,"&lt;="&amp;$A62,実績!$AD$6:$AD$505,"&gt;"&amp;$A62,実績!$AE$6:$AE$505,"○")&gt;0,1,0))</f>
        <v/>
      </c>
      <c r="Z62">
        <f>IF(Z$4=0,0,IF(COUNTIFS(実績!$W$6:$W$505,Z$3,実績!$AC$6:$AC$505,"&lt;="&amp;$A62,実績!$AD$6:$AD$505,"&gt;"&amp;$A62,実績!$AE$6:$AE$505,"○")&gt;0,1,0))</f>
        <v/>
      </c>
      <c r="AA62">
        <f>IF(AA$4=0,0,IF(COUNTIFS(実績!$W$6:$W$505,AA$3,実績!$AC$6:$AC$505,"&lt;="&amp;$A62,実績!$AD$6:$AD$505,"&gt;"&amp;$A62,実績!$AE$6:$AE$505,"○")&gt;0,1,0))</f>
        <v/>
      </c>
      <c r="AB62">
        <f>IF(AB$4=0,0,IF(COUNTIFS(実績!$W$6:$W$505,AB$3,実績!$AC$6:$AC$505,"&lt;="&amp;$A62,実績!$AD$6:$AD$505,"&gt;"&amp;$A62,実績!$AE$6:$AE$505,"○")&gt;0,1,0))</f>
        <v/>
      </c>
      <c r="AC62">
        <f>IF(AC$4=0,0,IF(COUNTIFS(実績!$W$6:$W$505,AC$3,実績!$AC$6:$AC$505,"&lt;="&amp;$A62,実績!$AD$6:$AD$505,"&gt;"&amp;$A62,実績!$AE$6:$AE$505,"○")&gt;0,1,0))</f>
        <v/>
      </c>
      <c r="AD62">
        <f>IF(AD$4=0,0,IF(COUNTIFS(実績!$W$6:$W$505,AD$3,実績!$AC$6:$AC$505,"&lt;="&amp;$A62,実績!$AD$6:$AD$505,"&gt;"&amp;$A62,実績!$AE$6:$AE$505,"○")&gt;0,1,0))</f>
        <v/>
      </c>
      <c r="AE62">
        <f>IF(AE$4=0,0,IF(COUNTIFS(実績!$W$6:$W$505,AE$3,実績!$AC$6:$AC$505,"&lt;="&amp;$A62,実績!$AD$6:$AD$505,"&gt;"&amp;$A62,実績!$AE$6:$AE$505,"○")&gt;0,1,0))</f>
        <v/>
      </c>
      <c r="AF62">
        <f>IF(AF$4=0,0,IF(COUNTIFS(実績!$W$6:$W$505,AF$3,実績!$AC$6:$AC$505,"&lt;="&amp;$A62,実績!$AD$6:$AD$505,"&gt;"&amp;$A62,実績!$AE$6:$AE$505,"○")&gt;0,1,0))</f>
        <v/>
      </c>
      <c r="AG62">
        <f>IF(AG$4=0,0,IF(COUNTIFS(実績!$W$6:$W$505,AG$3,実績!$AC$6:$AC$505,"&lt;="&amp;$A62,実績!$AD$6:$AD$505,"&gt;"&amp;$A62,実績!$AE$6:$AE$505,"○")&gt;0,1,0))</f>
        <v/>
      </c>
      <c r="AH62">
        <f>IF(AH$4=0,0,IF(COUNTIFS(実績!$W$6:$W$505,AH$3,実績!$AC$6:$AC$505,"&lt;="&amp;$A62,実績!$AD$6:$AD$505,"&gt;"&amp;$A62,実績!$AE$6:$AE$505,"○")&gt;0,1,0))</f>
        <v/>
      </c>
      <c r="AI62">
        <f>IF(AI$4=0,0,IF(COUNTIFS(実績!$W$6:$W$505,AI$3,実績!$AC$6:$AC$505,"&lt;="&amp;$A62,実績!$AD$6:$AD$505,"&gt;"&amp;$A62,実績!$AE$6:$AE$505,"○")&gt;0,1,0))</f>
        <v/>
      </c>
      <c r="AJ62">
        <f>IF(AJ$4=0,0,IF(COUNTIFS(実績!$W$6:$W$505,AJ$3,実績!$AC$6:$AC$505,"&lt;="&amp;$A62,実績!$AD$6:$AD$505,"&gt;"&amp;$A62,実績!$AE$6:$AE$505,"○")&gt;0,1,0))</f>
        <v/>
      </c>
      <c r="AK62">
        <f>IF(AK$4=0,0,IF(COUNTIFS(実績!$W$6:$W$505,AK$3,実績!$AC$6:$AC$505,"&lt;="&amp;$A62,実績!$AD$6:$AD$505,"&gt;"&amp;$A62,実績!$AE$6:$AE$505,"○")&gt;0,1,0))</f>
        <v/>
      </c>
      <c r="AL62">
        <f>IF(AL$4=0,0,IF(COUNTIFS(実績!$W$6:$W$505,AL$3,実績!$AC$6:$AC$505,"&lt;="&amp;$A62,実績!$AD$6:$AD$505,"&gt;"&amp;$A62,実績!$AE$6:$AE$505,"○")&gt;0,1,0))</f>
        <v/>
      </c>
      <c r="AM62">
        <f>IF(AM$4=0,0,IF(COUNTIFS(実績!$W$6:$W$505,AM$3,実績!$AC$6:$AC$505,"&lt;="&amp;$A62,実績!$AD$6:$AD$505,"&gt;"&amp;$A62,実績!$AE$6:$AE$505,"○")&gt;0,1,0))</f>
        <v/>
      </c>
      <c r="AN62">
        <f>IF(AN$4=0,0,IF(COUNTIFS(実績!$W$6:$W$505,AN$3,実績!$AC$6:$AC$505,"&lt;="&amp;$A62,実績!$AD$6:$AD$505,"&gt;"&amp;$A62,実績!$AE$6:$AE$505,"○")&gt;0,1,0))</f>
        <v/>
      </c>
      <c r="AO62">
        <f>IF(AO$4=0,0,IF(COUNTIFS(実績!$W$6:$W$505,AO$3,実績!$AC$6:$AC$505,"&lt;="&amp;$A62,実績!$AD$6:$AD$505,"&gt;"&amp;$A62,実績!$AE$6:$AE$505,"○")&gt;0,1,0))</f>
        <v/>
      </c>
      <c r="AP62">
        <f>IF(AP$4=0,0,IF(COUNTIFS(実績!$W$6:$W$505,AP$3,実績!$AC$6:$AC$505,"&lt;="&amp;$A62,実績!$AD$6:$AD$505,"&gt;"&amp;$A62,実績!$AE$6:$AE$505,"○")&gt;0,1,0))</f>
        <v/>
      </c>
      <c r="AQ62">
        <f>IF(AQ$4=0,0,IF(COUNTIFS(実績!$W$6:$W$505,AQ$3,実績!$AC$6:$AC$505,"&lt;="&amp;$A62,実績!$AD$6:$AD$505,"&gt;"&amp;$A62,実績!$AE$6:$AE$505,"○")&gt;0,1,0))</f>
        <v/>
      </c>
      <c r="AR62">
        <f>IF(AR$4=0,0,IF(COUNTIFS(実績!$W$6:$W$505,AR$3,実績!$AC$6:$AC$505,"&lt;="&amp;$A62,実績!$AD$6:$AD$505,"&gt;"&amp;$A62,実績!$AE$6:$AE$505,"○")&gt;0,1,0))</f>
        <v/>
      </c>
      <c r="AS62">
        <f>IF(AS$4=0,0,IF(COUNTIFS(実績!$W$6:$W$505,AS$3,実績!$AC$6:$AC$505,"&lt;="&amp;$A62,実績!$AD$6:$AD$505,"&gt;"&amp;$A62,実績!$AE$6:$AE$505,"○")&gt;0,1,0))</f>
        <v/>
      </c>
      <c r="AT62">
        <f>IF(AT$4=0,0,IF(COUNTIFS(実績!$W$6:$W$505,AT$3,実績!$AC$6:$AC$505,"&lt;="&amp;$A62,実績!$AD$6:$AD$505,"&gt;"&amp;$A62,実績!$AE$6:$AE$505,"○")&gt;0,1,0))</f>
        <v/>
      </c>
      <c r="AU62">
        <f>IF(AU$4=0,0,IF(COUNTIFS(実績!$W$6:$W$505,AU$3,実績!$AC$6:$AC$505,"&lt;="&amp;$A62,実績!$AD$6:$AD$505,"&gt;"&amp;$A62,実績!$AE$6:$AE$505,"○")&gt;0,1,0))</f>
        <v/>
      </c>
      <c r="AV62">
        <f>IF(AV$4=0,0,IF(COUNTIFS(実績!$W$6:$W$505,AV$3,実績!$AC$6:$AC$505,"&lt;="&amp;$A62,実績!$AD$6:$AD$505,"&gt;"&amp;$A62,実績!$AE$6:$AE$505,"○")&gt;0,1,0))</f>
        <v/>
      </c>
      <c r="AW62">
        <f>IF(AW$4=0,0,IF(COUNTIFS(実績!$W$6:$W$505,AW$3,実績!$AC$6:$AC$505,"&lt;="&amp;$A62,実績!$AD$6:$AD$505,"&gt;"&amp;$A62,実績!$AE$6:$AE$505,"○")&gt;0,1,0))</f>
        <v/>
      </c>
      <c r="AX62">
        <f>IF(AX$4=0,0,IF(COUNTIFS(実績!$W$6:$W$505,AX$3,実績!$AC$6:$AC$505,"&lt;="&amp;$A62,実績!$AD$6:$AD$505,"&gt;"&amp;$A62,実績!$AE$6:$AE$505,"○")&gt;0,1,0))</f>
        <v/>
      </c>
      <c r="AY62">
        <f>IF(AY$4=0,0,IF(COUNTIFS(実績!$W$6:$W$505,AY$3,実績!$AC$6:$AC$505,"&lt;="&amp;$A62,実績!$AD$6:$AD$505,"&gt;"&amp;$A62,実績!$AE$6:$AE$505,"○")&gt;0,1,0))</f>
        <v/>
      </c>
      <c r="AZ62">
        <f>IF(AZ$4=0,0,IF(COUNTIFS(実績!$W$6:$W$505,AZ$3,実績!$AC$6:$AC$505,"&lt;="&amp;$A62,実績!$AD$6:$AD$505,"&gt;"&amp;$A62,実績!$AE$6:$AE$505,"○")&gt;0,1,0))</f>
        <v/>
      </c>
      <c r="BA62">
        <f>IF(BA$4=0,0,IF(COUNTIFS(実績!$W$6:$W$505,BA$3,実績!$AC$6:$AC$505,"&lt;="&amp;$A62,実績!$AD$6:$AD$505,"&gt;"&amp;$A62,実績!$AE$6:$AE$505,"○")&gt;0,1,0))</f>
        <v/>
      </c>
      <c r="BB62">
        <f>IF(BB$4=0,0,IF(COUNTIFS(実績!$W$6:$W$505,BB$3,実績!$AC$6:$AC$505,"&lt;="&amp;$A62,実績!$AD$6:$AD$505,"&gt;"&amp;$A62,実績!$AE$6:$AE$505,"○")&gt;0,1,0))</f>
        <v/>
      </c>
      <c r="BC62">
        <f>IF(BC$4=0,0,IF(COUNTIFS(実績!$W$6:$W$505,BC$3,実績!$AC$6:$AC$505,"&lt;="&amp;$A62,実績!$AD$6:$AD$505,"&gt;"&amp;$A62,実績!$AE$6:$AE$505,"○")&gt;0,1,0))</f>
        <v/>
      </c>
      <c r="BD62">
        <f>IF(BD$4=0,0,IF(COUNTIFS(実績!$W$6:$W$505,BD$3,実績!$AC$6:$AC$505,"&lt;="&amp;$A62,実績!$AD$6:$AD$505,"&gt;"&amp;$A62,実績!$AE$6:$AE$505,"○")&gt;0,1,0))</f>
        <v/>
      </c>
      <c r="BE62">
        <f>IF(BE$4=0,0,IF(COUNTIFS(実績!$W$6:$W$505,BE$3,実績!$AC$6:$AC$505,"&lt;="&amp;$A62,実績!$AD$6:$AD$505,"&gt;"&amp;$A62,実績!$AE$6:$AE$505,"○")&gt;0,1,0))</f>
        <v/>
      </c>
      <c r="BF62">
        <f>IF(BF$4=0,0,IF(COUNTIFS(実績!$W$6:$W$505,BF$3,実績!$AC$6:$AC$505,"&lt;="&amp;$A62,実績!$AD$6:$AD$505,"&gt;"&amp;$A62,実績!$AE$6:$AE$505,"○")&gt;0,1,0))</f>
        <v/>
      </c>
      <c r="BG62">
        <f>IF(BG$4=0,0,IF(COUNTIFS(実績!$W$6:$W$505,BG$3,実績!$AC$6:$AC$505,"&lt;="&amp;$A62,実績!$AD$6:$AD$505,"&gt;"&amp;$A62,実績!$AE$6:$AE$505,"○")&gt;0,1,0))</f>
        <v/>
      </c>
      <c r="BH62">
        <f>IF(BH$4=0,0,IF(COUNTIFS(実績!$W$6:$W$505,BH$3,実績!$AC$6:$AC$505,"&lt;="&amp;$A62,実績!$AD$6:$AD$505,"&gt;"&amp;$A62,実績!$AE$6:$AE$505,"○")&gt;0,1,0))</f>
        <v/>
      </c>
      <c r="BI62">
        <f>IF(BI$4=0,0,IF(COUNTIFS(実績!$W$6:$W$505,BI$3,実績!$AC$6:$AC$505,"&lt;="&amp;$A62,実績!$AD$6:$AD$505,"&gt;"&amp;$A62,実績!$AE$6:$AE$505,"○")&gt;0,1,0))</f>
        <v/>
      </c>
      <c r="BJ62">
        <f>IF(BJ$4=0,0,IF(COUNTIFS(実績!$W$6:$W$505,BJ$3,実績!$AC$6:$AC$505,"&lt;="&amp;$A62,実績!$AD$6:$AD$505,"&gt;"&amp;$A62,実績!$AE$6:$AE$505,"○")&gt;0,1,0))</f>
        <v/>
      </c>
      <c r="BK62">
        <f>IF(BK$4=0,0,IF(COUNTIFS(実績!$W$6:$W$505,BK$3,実績!$AC$6:$AC$505,"&lt;="&amp;$A62,実績!$AD$6:$AD$505,"&gt;"&amp;$A62,実績!$AE$6:$AE$505,"○")&gt;0,1,0))</f>
        <v/>
      </c>
      <c r="BL62">
        <f>IF(BL$4=0,0,IF(COUNTIFS(実績!$W$6:$W$505,BL$3,実績!$AC$6:$AC$505,"&lt;="&amp;$A62,実績!$AD$6:$AD$505,"&gt;"&amp;$A62,実績!$AE$6:$AE$505,"○")&gt;0,1,0))</f>
        <v/>
      </c>
      <c r="BM62">
        <f>IF(BM$4=0,0,IF(COUNTIFS(実績!$W$6:$W$505,BM$3,実績!$AC$6:$AC$505,"&lt;="&amp;$A62,実績!$AD$6:$AD$505,"&gt;"&amp;$A62,実績!$AE$6:$AE$505,"○")&gt;0,1,0))</f>
        <v/>
      </c>
      <c r="BN62">
        <f>IF(BN$4=0,0,IF(COUNTIFS(実績!$W$6:$W$505,BN$3,実績!$AC$6:$AC$505,"&lt;="&amp;$A62,実績!$AD$6:$AD$505,"&gt;"&amp;$A62,実績!$AE$6:$AE$505,"○")&gt;0,1,0))</f>
        <v/>
      </c>
      <c r="BO62">
        <f>IF(BO$4=0,0,IF(COUNTIFS(実績!$W$6:$W$505,BO$3,実績!$AC$6:$AC$505,"&lt;="&amp;$A62,実績!$AD$6:$AD$505,"&gt;"&amp;$A62,実績!$AE$6:$AE$505,"○")&gt;0,1,0))</f>
        <v/>
      </c>
      <c r="BP62">
        <f>IF(BP$4=0,0,IF(COUNTIFS(実績!$W$6:$W$505,BP$3,実績!$AC$6:$AC$505,"&lt;="&amp;$A62,実績!$AD$6:$AD$505,"&gt;"&amp;$A62,実績!$AE$6:$AE$505,"○")&gt;0,1,0))</f>
        <v/>
      </c>
      <c r="BQ62">
        <f>IF(BQ$4=0,0,IF(COUNTIFS(実績!$W$6:$W$505,BQ$3,実績!$AC$6:$AC$505,"&lt;="&amp;$A62,実績!$AD$6:$AD$505,"&gt;"&amp;$A62,実績!$AE$6:$AE$505,"○")&gt;0,1,0))</f>
        <v/>
      </c>
      <c r="BR62">
        <f>IF(BR$4=0,0,IF(COUNTIFS(実績!$W$6:$W$505,BR$3,実績!$AC$6:$AC$505,"&lt;="&amp;$A62,実績!$AD$6:$AD$505,"&gt;"&amp;$A62,実績!$AE$6:$AE$505,"○")&gt;0,1,0))</f>
        <v/>
      </c>
      <c r="BS62">
        <f>IF(BS$4=0,0,IF(COUNTIFS(実績!$W$6:$W$505,BS$3,実績!$AC$6:$AC$505,"&lt;="&amp;$A62,実績!$AD$6:$AD$505,"&gt;"&amp;$A62,実績!$AE$6:$AE$505,"○")&gt;0,1,0))</f>
        <v/>
      </c>
      <c r="BT62">
        <f>IF(BT$4=0,0,IF(COUNTIFS(実績!$W$6:$W$505,BT$3,実績!$AC$6:$AC$505,"&lt;="&amp;$A62,実績!$AD$6:$AD$505,"&gt;"&amp;$A62,実績!$AE$6:$AE$505,"○")&gt;0,1,0))</f>
        <v/>
      </c>
      <c r="BU62">
        <f>IF(BU$4=0,0,IF(COUNTIFS(実績!$W$6:$W$505,BU$3,実績!$AC$6:$AC$505,"&lt;="&amp;$A62,実績!$AD$6:$AD$505,"&gt;"&amp;$A62,実績!$AE$6:$AE$505,"○")&gt;0,1,0))</f>
        <v/>
      </c>
      <c r="BV62">
        <f>IF(BV$4=0,0,IF(COUNTIFS(実績!$W$6:$W$505,BV$3,実績!$AC$6:$AC$505,"&lt;="&amp;$A62,実績!$AD$6:$AD$505,"&gt;"&amp;$A62,実績!$AE$6:$AE$505,"○")&gt;0,1,0))</f>
        <v/>
      </c>
      <c r="BW62">
        <f>IF(BW$4=0,0,IF(COUNTIFS(実績!$W$6:$W$505,BW$3,実績!$AC$6:$AC$505,"&lt;="&amp;$A62,実績!$AD$6:$AD$505,"&gt;"&amp;$A62,実績!$AE$6:$AE$505,"○")&gt;0,1,0))</f>
        <v/>
      </c>
      <c r="BX62">
        <f>IF(BX$4=0,0,IF(COUNTIFS(実績!$W$6:$W$505,BX$3,実績!$AC$6:$AC$505,"&lt;="&amp;$A62,実績!$AD$6:$AD$505,"&gt;"&amp;$A62,実績!$AE$6:$AE$505,"○")&gt;0,1,0))</f>
        <v/>
      </c>
      <c r="BY62">
        <f>IF(BY$4=0,0,IF(COUNTIFS(実績!$W$6:$W$505,BY$3,実績!$AC$6:$AC$505,"&lt;="&amp;$A62,実績!$AD$6:$AD$505,"&gt;"&amp;$A62,実績!$AE$6:$AE$505,"○")&gt;0,1,0))</f>
        <v/>
      </c>
      <c r="BZ62">
        <f>IF(BZ$4=0,0,IF(COUNTIFS(実績!$W$6:$W$505,BZ$3,実績!$AC$6:$AC$505,"&lt;="&amp;$A62,実績!$AD$6:$AD$505,"&gt;"&amp;$A62,実績!$AE$6:$AE$505,"○")&gt;0,1,0))</f>
        <v/>
      </c>
      <c r="CA62">
        <f>IF(CA$4=0,0,IF(COUNTIFS(実績!$W$6:$W$505,CA$3,実績!$AC$6:$AC$505,"&lt;="&amp;$A62,実績!$AD$6:$AD$505,"&gt;"&amp;$A62,実績!$AE$6:$AE$505,"○")&gt;0,1,0))</f>
        <v/>
      </c>
      <c r="CB62">
        <f>IF(CB$4=0,0,IF(COUNTIFS(実績!$W$6:$W$505,CB$3,実績!$AC$6:$AC$505,"&lt;="&amp;$A62,実績!$AD$6:$AD$505,"&gt;"&amp;$A62,実績!$AE$6:$AE$505,"○")&gt;0,1,0))</f>
        <v/>
      </c>
      <c r="CC62">
        <f>IF(CC$4=0,0,IF(COUNTIFS(実績!$W$6:$W$505,CC$3,実績!$AC$6:$AC$505,"&lt;="&amp;$A62,実績!$AD$6:$AD$505,"&gt;"&amp;$A62,実績!$AE$6:$AE$505,"○")&gt;0,1,0))</f>
        <v/>
      </c>
      <c r="CD62">
        <f>IF(CD$4=0,0,IF(COUNTIFS(実績!$W$6:$W$505,CD$3,実績!$AC$6:$AC$505,"&lt;="&amp;$A62,実績!$AD$6:$AD$505,"&gt;"&amp;$A62,実績!$AE$6:$AE$505,"○")&gt;0,1,0))</f>
        <v/>
      </c>
      <c r="CE62">
        <f>IF(CE$4=0,0,IF(COUNTIFS(実績!$W$6:$W$505,CE$3,実績!$AC$6:$AC$505,"&lt;="&amp;$A62,実績!$AD$6:$AD$505,"&gt;"&amp;$A62,実績!$AE$6:$AE$505,"○")&gt;0,1,0))</f>
        <v/>
      </c>
      <c r="CF62">
        <f>IF(CF$4=0,0,IF(COUNTIFS(実績!$W$6:$W$505,CF$3,実績!$AC$6:$AC$505,"&lt;="&amp;$A62,実績!$AD$6:$AD$505,"&gt;"&amp;$A62,実績!$AE$6:$AE$505,"○")&gt;0,1,0))</f>
        <v/>
      </c>
      <c r="CG62">
        <f>IF(CG$4=0,0,IF(COUNTIFS(実績!$W$6:$W$505,CG$3,実績!$AC$6:$AC$505,"&lt;="&amp;$A62,実績!$AD$6:$AD$505,"&gt;"&amp;$A62,実績!$AE$6:$AE$505,"○")&gt;0,1,0))</f>
        <v/>
      </c>
      <c r="CH62">
        <f>IF(CH$4=0,0,IF(COUNTIFS(実績!$W$6:$W$505,CH$3,実績!$AC$6:$AC$505,"&lt;="&amp;$A62,実績!$AD$6:$AD$505,"&gt;"&amp;$A62,実績!$AE$6:$AE$505,"○")&gt;0,1,0))</f>
        <v/>
      </c>
      <c r="CI62">
        <f>IF(CI$4=0,0,IF(COUNTIFS(実績!$W$6:$W$505,CI$3,実績!$AC$6:$AC$505,"&lt;="&amp;$A62,実績!$AD$6:$AD$505,"&gt;"&amp;$A62,実績!$AE$6:$AE$505,"○")&gt;0,1,0))</f>
        <v/>
      </c>
      <c r="CJ62">
        <f>IF(CJ$4=0,0,IF(COUNTIFS(実績!$W$6:$W$505,CJ$3,実績!$AC$6:$AC$505,"&lt;="&amp;$A62,実績!$AD$6:$AD$505,"&gt;"&amp;$A62,実績!$AE$6:$AE$505,"○")&gt;0,1,0))</f>
        <v/>
      </c>
      <c r="CK62">
        <f>IF(CK$4=0,0,IF(COUNTIFS(実績!$W$6:$W$505,CK$3,実績!$AC$6:$AC$505,"&lt;="&amp;$A62,実績!$AD$6:$AD$505,"&gt;"&amp;$A62,実績!$AE$6:$AE$505,"○")&gt;0,1,0))</f>
        <v/>
      </c>
      <c r="CL62">
        <f>IF(CL$4=0,0,IF(COUNTIFS(実績!$W$6:$W$505,CL$3,実績!$AC$6:$AC$505,"&lt;="&amp;$A62,実績!$AD$6:$AD$505,"&gt;"&amp;$A62,実績!$AE$6:$AE$505,"○")&gt;0,1,0))</f>
        <v/>
      </c>
      <c r="CM62">
        <f>IF(CM$4=0,0,IF(COUNTIFS(実績!$W$6:$W$505,CM$3,実績!$AC$6:$AC$505,"&lt;="&amp;$A62,実績!$AD$6:$AD$505,"&gt;"&amp;$A62,実績!$AE$6:$AE$505,"○")&gt;0,1,0))</f>
        <v/>
      </c>
      <c r="CN62">
        <f>IF(CN$4=0,0,IF(COUNTIFS(実績!$W$6:$W$505,CN$3,実績!$AC$6:$AC$505,"&lt;="&amp;$A62,実績!$AD$6:$AD$505,"&gt;"&amp;$A62,実績!$AE$6:$AE$505,"○")&gt;0,1,0))</f>
        <v/>
      </c>
      <c r="CO62">
        <f>IF(CO$4=0,0,IF(COUNTIFS(実績!$W$6:$W$505,CO$3,実績!$AC$6:$AC$505,"&lt;="&amp;$A62,実績!$AD$6:$AD$505,"&gt;"&amp;$A62,実績!$AE$6:$AE$505,"○")&gt;0,1,0))</f>
        <v/>
      </c>
      <c r="CP62">
        <f>IF(CP$4=0,0,IF(COUNTIFS(実績!$W$6:$W$505,CP$3,実績!$AC$6:$AC$505,"&lt;="&amp;$A62,実績!$AD$6:$AD$505,"&gt;"&amp;$A62,実績!$AE$6:$AE$505,"○")&gt;0,1,0))</f>
        <v/>
      </c>
      <c r="CQ62">
        <f>IF(CQ$4=0,0,IF(COUNTIFS(実績!$W$6:$W$505,CQ$3,実績!$AC$6:$AC$505,"&lt;="&amp;$A62,実績!$AD$6:$AD$505,"&gt;"&amp;$A62,実績!$AE$6:$AE$505,"○")&gt;0,1,0))</f>
        <v/>
      </c>
      <c r="CR62">
        <f>IF(CR$4=0,0,IF(COUNTIFS(実績!$W$6:$W$505,CR$3,実績!$AC$6:$AC$505,"&lt;="&amp;$A62,実績!$AD$6:$AD$505,"&gt;"&amp;$A62,実績!$AE$6:$AE$505,"○")&gt;0,1,0))</f>
        <v/>
      </c>
      <c r="CS62">
        <f>IF(CS$4=0,0,IF(COUNTIFS(実績!$W$6:$W$505,CS$3,実績!$AC$6:$AC$505,"&lt;="&amp;$A62,実績!$AD$6:$AD$505,"&gt;"&amp;$A62,実績!$AE$6:$AE$505,"○")&gt;0,1,0))</f>
        <v/>
      </c>
      <c r="CT62">
        <f>IF(CT$4=0,0,IF(COUNTIFS(実績!$W$6:$W$505,CT$3,実績!$AC$6:$AC$505,"&lt;="&amp;$A62,実績!$AD$6:$AD$505,"&gt;"&amp;$A62,実績!$AE$6:$AE$505,"○")&gt;0,1,0))</f>
        <v/>
      </c>
      <c r="CU62">
        <f>IF(CU$4=0,0,IF(COUNTIFS(実績!$W$6:$W$505,CU$3,実績!$AC$6:$AC$505,"&lt;="&amp;$A62,実績!$AD$6:$AD$505,"&gt;"&amp;$A62,実績!$AE$6:$AE$505,"○")&gt;0,1,0))</f>
        <v/>
      </c>
      <c r="CV62">
        <f>IF(CV$4=0,0,IF(COUNTIFS(実績!$W$6:$W$505,CV$3,実績!$AC$6:$AC$505,"&lt;="&amp;$A62,実績!$AD$6:$AD$505,"&gt;"&amp;$A62,実績!$AE$6:$AE$505,"○")&gt;0,1,0))</f>
        <v/>
      </c>
      <c r="CW62">
        <f>IF(CW$4=0,0,IF(COUNTIFS(実績!$W$6:$W$505,CW$3,実績!$AC$6:$AC$505,"&lt;="&amp;$A62,実績!$AD$6:$AD$505,"&gt;"&amp;$A62,実績!$AE$6:$AE$505,"○")&gt;0,1,0))</f>
        <v/>
      </c>
      <c r="CX62">
        <f>IF(CX$4=0,0,IF(COUNTIFS(実績!$W$6:$W$505,CX$3,実績!$AC$6:$AC$505,"&lt;="&amp;$A62,実績!$AD$6:$AD$505,"&gt;"&amp;$A62,実績!$AE$6:$AE$505,"○")&gt;0,1,0))</f>
        <v/>
      </c>
      <c r="CY62">
        <f>IF(CY$4=0,0,IF(COUNTIFS(実績!$W$6:$W$505,CY$3,実績!$AC$6:$AC$505,"&lt;="&amp;$A62,実績!$AD$6:$AD$505,"&gt;"&amp;$A62,実績!$AE$6:$AE$505,"○")&gt;0,1,0))</f>
        <v/>
      </c>
      <c r="CZ62">
        <f>IF(CZ$4=0,0,IF(COUNTIFS(実績!$W$6:$W$505,CZ$3,実績!$AC$6:$AC$505,"&lt;="&amp;$A62,実績!$AD$6:$AD$505,"&gt;"&amp;$A62,実績!$AE$6:$AE$505,"○")&gt;0,1,0))</f>
        <v/>
      </c>
      <c r="DA62">
        <f>IF(DA$4=0,0,IF(COUNTIFS(実績!$W$6:$W$505,DA$3,実績!$AC$6:$AC$505,"&lt;="&amp;$A62,実績!$AD$6:$AD$505,"&gt;"&amp;$A62,実績!$AE$6:$AE$505,"○")&gt;0,1,0))</f>
        <v/>
      </c>
      <c r="DB62">
        <f>IF(DB$4=0,0,IF(COUNTIFS(実績!$W$6:$W$505,DB$3,実績!$AC$6:$AC$505,"&lt;="&amp;$A62,実績!$AD$6:$AD$505,"&gt;"&amp;$A62,実績!$AE$6:$AE$505,"○")&gt;0,1,0))</f>
        <v/>
      </c>
      <c r="DC62">
        <f>IF(DC$4=0,0,IF(COUNTIFS(実績!$W$6:$W$505,DC$3,実績!$AC$6:$AC$505,"&lt;="&amp;$A62,実績!$AD$6:$AD$505,"&gt;"&amp;$A62,実績!$AE$6:$AE$505,"○")&gt;0,1,0))</f>
        <v/>
      </c>
      <c r="DD62">
        <f>IF(DD$4=0,0,IF(COUNTIFS(実績!$W$6:$W$505,DD$3,実績!$AC$6:$AC$505,"&lt;="&amp;$A62,実績!$AD$6:$AD$505,"&gt;"&amp;$A62,実績!$AE$6:$AE$505,"○")&gt;0,1,0))</f>
        <v/>
      </c>
      <c r="DE62">
        <f>IF(DE$4=0,0,IF(COUNTIFS(実績!$W$6:$W$505,DE$3,実績!$AC$6:$AC$505,"&lt;="&amp;$A62,実績!$AD$6:$AD$505,"&gt;"&amp;$A62,実績!$AE$6:$AE$505,"○")&gt;0,1,0))</f>
        <v/>
      </c>
      <c r="DF62">
        <f>IF(DF$4=0,0,IF(COUNTIFS(実績!$W$6:$W$505,DF$3,実績!$AC$6:$AC$505,"&lt;="&amp;$A62,実績!$AD$6:$AD$505,"&gt;"&amp;$A62,実績!$AE$6:$AE$505,"○")&gt;0,1,0))</f>
        <v/>
      </c>
      <c r="DG62">
        <f>IF(DG$4=0,0,IF(COUNTIFS(実績!$W$6:$W$505,DG$3,実績!$AC$6:$AC$505,"&lt;="&amp;$A62,実績!$AD$6:$AD$505,"&gt;"&amp;$A62,実績!$AE$6:$AE$505,"○")&gt;0,1,0))</f>
        <v/>
      </c>
      <c r="DH62">
        <f>IF(DH$4=0,0,IF(COUNTIFS(実績!$W$6:$W$505,DH$3,実績!$AC$6:$AC$505,"&lt;="&amp;$A62,実績!$AD$6:$AD$505,"&gt;"&amp;$A62,実績!$AE$6:$AE$505,"○")&gt;0,1,0))</f>
        <v/>
      </c>
      <c r="DI62">
        <f>IF(DI$4=0,0,IF(COUNTIFS(実績!$W$6:$W$505,DI$3,実績!$AC$6:$AC$505,"&lt;="&amp;$A62,実績!$AD$6:$AD$505,"&gt;"&amp;$A62,実績!$AE$6:$AE$505,"○")&gt;0,1,0))</f>
        <v/>
      </c>
      <c r="DJ62">
        <f>IF(DJ$4=0,0,IF(COUNTIFS(実績!$W$6:$W$505,DJ$3,実績!$AC$6:$AC$505,"&lt;="&amp;$A62,実績!$AD$6:$AD$505,"&gt;"&amp;$A62,実績!$AE$6:$AE$505,"○")&gt;0,1,0))</f>
        <v/>
      </c>
      <c r="DK62">
        <f>IF(DK$4=0,0,IF(COUNTIFS(実績!$W$6:$W$505,DK$3,実績!$AC$6:$AC$505,"&lt;="&amp;$A62,実績!$AD$6:$AD$505,"&gt;"&amp;$A62,実績!$AE$6:$AE$505,"○")&gt;0,1,0))</f>
        <v/>
      </c>
      <c r="DL62">
        <f>IF(DL$4=0,0,IF(COUNTIFS(実績!$W$6:$W$505,DL$3,実績!$AC$6:$AC$505,"&lt;="&amp;$A62,実績!$AD$6:$AD$505,"&gt;"&amp;$A62,実績!$AE$6:$AE$505,"○")&gt;0,1,0))</f>
        <v/>
      </c>
      <c r="DM62">
        <f>IF(DM$4=0,0,IF(COUNTIFS(実績!$W$6:$W$505,DM$3,実績!$AC$6:$AC$505,"&lt;="&amp;$A62,実績!$AD$6:$AD$505,"&gt;"&amp;$A62,実績!$AE$6:$AE$505,"○")&gt;0,1,0))</f>
        <v/>
      </c>
      <c r="DN62">
        <f>IF(DN$4=0,0,IF(COUNTIFS(実績!$W$6:$W$505,DN$3,実績!$AC$6:$AC$505,"&lt;="&amp;$A62,実績!$AD$6:$AD$505,"&gt;"&amp;$A62,実績!$AE$6:$AE$505,"○")&gt;0,1,0))</f>
        <v/>
      </c>
      <c r="DO62">
        <f>IF(DO$4=0,0,IF(COUNTIFS(実績!$W$6:$W$505,DO$3,実績!$AC$6:$AC$505,"&lt;="&amp;$A62,実績!$AD$6:$AD$505,"&gt;"&amp;$A62,実績!$AE$6:$AE$505,"○")&gt;0,1,0))</f>
        <v/>
      </c>
      <c r="DP62">
        <f>IF(DP$4=0,0,IF(COUNTIFS(実績!$W$6:$W$505,DP$3,実績!$AC$6:$AC$505,"&lt;="&amp;$A62,実績!$AD$6:$AD$505,"&gt;"&amp;$A62,実績!$AE$6:$AE$505,"○")&gt;0,1,0))</f>
        <v/>
      </c>
      <c r="DQ62">
        <f>IF(DQ$4=0,0,IF(COUNTIFS(実績!$W$6:$W$505,DQ$3,実績!$AC$6:$AC$505,"&lt;="&amp;$A62,実績!$AD$6:$AD$505,"&gt;"&amp;$A62,実績!$AE$6:$AE$505,"○")&gt;0,1,0))</f>
        <v/>
      </c>
      <c r="DR62">
        <f>IF(DR$4=0,0,IF(COUNTIFS(実績!$W$6:$W$505,DR$3,実績!$AC$6:$AC$505,"&lt;="&amp;$A62,実績!$AD$6:$AD$505,"&gt;"&amp;$A62,実績!$AE$6:$AE$505,"○")&gt;0,1,0))</f>
        <v/>
      </c>
      <c r="DS62">
        <f>SUM(C62:DR62)</f>
        <v/>
      </c>
      <c r="DT62">
        <f>SUMPRODUCT((実績!$C$6:$C$505="○")*ISNUMBER(実績!$AF$6:$AF$505)*(実績!$AF$6:$AF$505&lt;=$A62)*(実績!$AG$6:$AG$505&gt;$A62))</f>
        <v/>
      </c>
      <c r="DU62">
        <f>SUMIF($C$2:$DR$2,"製鉄曳船",C62:DR62)</f>
        <v/>
      </c>
      <c r="DV62">
        <f>SUMIF($C$2:$DR$2,"西日本海運",C62:DR62)</f>
        <v/>
      </c>
    </row>
    <row r="63">
      <c r="A63" t="n">
        <v>285</v>
      </c>
      <c r="B63" s="29">
        <f>A63/1440</f>
        <v/>
      </c>
      <c r="C63">
        <f>IF(C$4=0,0,IF(COUNTIFS(実績!$W$6:$W$505,C$3,実績!$AC$6:$AC$505,"&lt;="&amp;$A63,実績!$AD$6:$AD$505,"&gt;"&amp;$A63,実績!$AE$6:$AE$505,"○")&gt;0,1,0))</f>
        <v/>
      </c>
      <c r="D63">
        <f>IF(D$4=0,0,IF(COUNTIFS(実績!$W$6:$W$505,D$3,実績!$AC$6:$AC$505,"&lt;="&amp;$A63,実績!$AD$6:$AD$505,"&gt;"&amp;$A63,実績!$AE$6:$AE$505,"○")&gt;0,1,0))</f>
        <v/>
      </c>
      <c r="E63">
        <f>IF(E$4=0,0,IF(COUNTIFS(実績!$W$6:$W$505,E$3,実績!$AC$6:$AC$505,"&lt;="&amp;$A63,実績!$AD$6:$AD$505,"&gt;"&amp;$A63,実績!$AE$6:$AE$505,"○")&gt;0,1,0))</f>
        <v/>
      </c>
      <c r="F63">
        <f>IF(F$4=0,0,IF(COUNTIFS(実績!$W$6:$W$505,F$3,実績!$AC$6:$AC$505,"&lt;="&amp;$A63,実績!$AD$6:$AD$505,"&gt;"&amp;$A63,実績!$AE$6:$AE$505,"○")&gt;0,1,0))</f>
        <v/>
      </c>
      <c r="G63">
        <f>IF(G$4=0,0,IF(COUNTIFS(実績!$W$6:$W$505,G$3,実績!$AC$6:$AC$505,"&lt;="&amp;$A63,実績!$AD$6:$AD$505,"&gt;"&amp;$A63,実績!$AE$6:$AE$505,"○")&gt;0,1,0))</f>
        <v/>
      </c>
      <c r="H63">
        <f>IF(H$4=0,0,IF(COUNTIFS(実績!$W$6:$W$505,H$3,実績!$AC$6:$AC$505,"&lt;="&amp;$A63,実績!$AD$6:$AD$505,"&gt;"&amp;$A63,実績!$AE$6:$AE$505,"○")&gt;0,1,0))</f>
        <v/>
      </c>
      <c r="I63">
        <f>IF(I$4=0,0,IF(COUNTIFS(実績!$W$6:$W$505,I$3,実績!$AC$6:$AC$505,"&lt;="&amp;$A63,実績!$AD$6:$AD$505,"&gt;"&amp;$A63,実績!$AE$6:$AE$505,"○")&gt;0,1,0))</f>
        <v/>
      </c>
      <c r="J63">
        <f>IF(J$4=0,0,IF(COUNTIFS(実績!$W$6:$W$505,J$3,実績!$AC$6:$AC$505,"&lt;="&amp;$A63,実績!$AD$6:$AD$505,"&gt;"&amp;$A63,実績!$AE$6:$AE$505,"○")&gt;0,1,0))</f>
        <v/>
      </c>
      <c r="K63">
        <f>IF(K$4=0,0,IF(COUNTIFS(実績!$W$6:$W$505,K$3,実績!$AC$6:$AC$505,"&lt;="&amp;$A63,実績!$AD$6:$AD$505,"&gt;"&amp;$A63,実績!$AE$6:$AE$505,"○")&gt;0,1,0))</f>
        <v/>
      </c>
      <c r="L63">
        <f>IF(L$4=0,0,IF(COUNTIFS(実績!$W$6:$W$505,L$3,実績!$AC$6:$AC$505,"&lt;="&amp;$A63,実績!$AD$6:$AD$505,"&gt;"&amp;$A63,実績!$AE$6:$AE$505,"○")&gt;0,1,0))</f>
        <v/>
      </c>
      <c r="M63">
        <f>IF(M$4=0,0,IF(COUNTIFS(実績!$W$6:$W$505,M$3,実績!$AC$6:$AC$505,"&lt;="&amp;$A63,実績!$AD$6:$AD$505,"&gt;"&amp;$A63,実績!$AE$6:$AE$505,"○")&gt;0,1,0))</f>
        <v/>
      </c>
      <c r="N63">
        <f>IF(N$4=0,0,IF(COUNTIFS(実績!$W$6:$W$505,N$3,実績!$AC$6:$AC$505,"&lt;="&amp;$A63,実績!$AD$6:$AD$505,"&gt;"&amp;$A63,実績!$AE$6:$AE$505,"○")&gt;0,1,0))</f>
        <v/>
      </c>
      <c r="O63">
        <f>IF(O$4=0,0,IF(COUNTIFS(実績!$W$6:$W$505,O$3,実績!$AC$6:$AC$505,"&lt;="&amp;$A63,実績!$AD$6:$AD$505,"&gt;"&amp;$A63,実績!$AE$6:$AE$505,"○")&gt;0,1,0))</f>
        <v/>
      </c>
      <c r="P63">
        <f>IF(P$4=0,0,IF(COUNTIFS(実績!$W$6:$W$505,P$3,実績!$AC$6:$AC$505,"&lt;="&amp;$A63,実績!$AD$6:$AD$505,"&gt;"&amp;$A63,実績!$AE$6:$AE$505,"○")&gt;0,1,0))</f>
        <v/>
      </c>
      <c r="Q63">
        <f>IF(Q$4=0,0,IF(COUNTIFS(実績!$W$6:$W$505,Q$3,実績!$AC$6:$AC$505,"&lt;="&amp;$A63,実績!$AD$6:$AD$505,"&gt;"&amp;$A63,実績!$AE$6:$AE$505,"○")&gt;0,1,0))</f>
        <v/>
      </c>
      <c r="R63">
        <f>IF(R$4=0,0,IF(COUNTIFS(実績!$W$6:$W$505,R$3,実績!$AC$6:$AC$505,"&lt;="&amp;$A63,実績!$AD$6:$AD$505,"&gt;"&amp;$A63,実績!$AE$6:$AE$505,"○")&gt;0,1,0))</f>
        <v/>
      </c>
      <c r="S63">
        <f>IF(S$4=0,0,IF(COUNTIFS(実績!$W$6:$W$505,S$3,実績!$AC$6:$AC$505,"&lt;="&amp;$A63,実績!$AD$6:$AD$505,"&gt;"&amp;$A63,実績!$AE$6:$AE$505,"○")&gt;0,1,0))</f>
        <v/>
      </c>
      <c r="T63">
        <f>IF(T$4=0,0,IF(COUNTIFS(実績!$W$6:$W$505,T$3,実績!$AC$6:$AC$505,"&lt;="&amp;$A63,実績!$AD$6:$AD$505,"&gt;"&amp;$A63,実績!$AE$6:$AE$505,"○")&gt;0,1,0))</f>
        <v/>
      </c>
      <c r="U63">
        <f>IF(U$4=0,0,IF(COUNTIFS(実績!$W$6:$W$505,U$3,実績!$AC$6:$AC$505,"&lt;="&amp;$A63,実績!$AD$6:$AD$505,"&gt;"&amp;$A63,実績!$AE$6:$AE$505,"○")&gt;0,1,0))</f>
        <v/>
      </c>
      <c r="V63">
        <f>IF(V$4=0,0,IF(COUNTIFS(実績!$W$6:$W$505,V$3,実績!$AC$6:$AC$505,"&lt;="&amp;$A63,実績!$AD$6:$AD$505,"&gt;"&amp;$A63,実績!$AE$6:$AE$505,"○")&gt;0,1,0))</f>
        <v/>
      </c>
      <c r="W63">
        <f>IF(W$4=0,0,IF(COUNTIFS(実績!$W$6:$W$505,W$3,実績!$AC$6:$AC$505,"&lt;="&amp;$A63,実績!$AD$6:$AD$505,"&gt;"&amp;$A63,実績!$AE$6:$AE$505,"○")&gt;0,1,0))</f>
        <v/>
      </c>
      <c r="X63">
        <f>IF(X$4=0,0,IF(COUNTIFS(実績!$W$6:$W$505,X$3,実績!$AC$6:$AC$505,"&lt;="&amp;$A63,実績!$AD$6:$AD$505,"&gt;"&amp;$A63,実績!$AE$6:$AE$505,"○")&gt;0,1,0))</f>
        <v/>
      </c>
      <c r="Y63">
        <f>IF(Y$4=0,0,IF(COUNTIFS(実績!$W$6:$W$505,Y$3,実績!$AC$6:$AC$505,"&lt;="&amp;$A63,実績!$AD$6:$AD$505,"&gt;"&amp;$A63,実績!$AE$6:$AE$505,"○")&gt;0,1,0))</f>
        <v/>
      </c>
      <c r="Z63">
        <f>IF(Z$4=0,0,IF(COUNTIFS(実績!$W$6:$W$505,Z$3,実績!$AC$6:$AC$505,"&lt;="&amp;$A63,実績!$AD$6:$AD$505,"&gt;"&amp;$A63,実績!$AE$6:$AE$505,"○")&gt;0,1,0))</f>
        <v/>
      </c>
      <c r="AA63">
        <f>IF(AA$4=0,0,IF(COUNTIFS(実績!$W$6:$W$505,AA$3,実績!$AC$6:$AC$505,"&lt;="&amp;$A63,実績!$AD$6:$AD$505,"&gt;"&amp;$A63,実績!$AE$6:$AE$505,"○")&gt;0,1,0))</f>
        <v/>
      </c>
      <c r="AB63">
        <f>IF(AB$4=0,0,IF(COUNTIFS(実績!$W$6:$W$505,AB$3,実績!$AC$6:$AC$505,"&lt;="&amp;$A63,実績!$AD$6:$AD$505,"&gt;"&amp;$A63,実績!$AE$6:$AE$505,"○")&gt;0,1,0))</f>
        <v/>
      </c>
      <c r="AC63">
        <f>IF(AC$4=0,0,IF(COUNTIFS(実績!$W$6:$W$505,AC$3,実績!$AC$6:$AC$505,"&lt;="&amp;$A63,実績!$AD$6:$AD$505,"&gt;"&amp;$A63,実績!$AE$6:$AE$505,"○")&gt;0,1,0))</f>
        <v/>
      </c>
      <c r="AD63">
        <f>IF(AD$4=0,0,IF(COUNTIFS(実績!$W$6:$W$505,AD$3,実績!$AC$6:$AC$505,"&lt;="&amp;$A63,実績!$AD$6:$AD$505,"&gt;"&amp;$A63,実績!$AE$6:$AE$505,"○")&gt;0,1,0))</f>
        <v/>
      </c>
      <c r="AE63">
        <f>IF(AE$4=0,0,IF(COUNTIFS(実績!$W$6:$W$505,AE$3,実績!$AC$6:$AC$505,"&lt;="&amp;$A63,実績!$AD$6:$AD$505,"&gt;"&amp;$A63,実績!$AE$6:$AE$505,"○")&gt;0,1,0))</f>
        <v/>
      </c>
      <c r="AF63">
        <f>IF(AF$4=0,0,IF(COUNTIFS(実績!$W$6:$W$505,AF$3,実績!$AC$6:$AC$505,"&lt;="&amp;$A63,実績!$AD$6:$AD$505,"&gt;"&amp;$A63,実績!$AE$6:$AE$505,"○")&gt;0,1,0))</f>
        <v/>
      </c>
      <c r="AG63">
        <f>IF(AG$4=0,0,IF(COUNTIFS(実績!$W$6:$W$505,AG$3,実績!$AC$6:$AC$505,"&lt;="&amp;$A63,実績!$AD$6:$AD$505,"&gt;"&amp;$A63,実績!$AE$6:$AE$505,"○")&gt;0,1,0))</f>
        <v/>
      </c>
      <c r="AH63">
        <f>IF(AH$4=0,0,IF(COUNTIFS(実績!$W$6:$W$505,AH$3,実績!$AC$6:$AC$505,"&lt;="&amp;$A63,実績!$AD$6:$AD$505,"&gt;"&amp;$A63,実績!$AE$6:$AE$505,"○")&gt;0,1,0))</f>
        <v/>
      </c>
      <c r="AI63">
        <f>IF(AI$4=0,0,IF(COUNTIFS(実績!$W$6:$W$505,AI$3,実績!$AC$6:$AC$505,"&lt;="&amp;$A63,実績!$AD$6:$AD$505,"&gt;"&amp;$A63,実績!$AE$6:$AE$505,"○")&gt;0,1,0))</f>
        <v/>
      </c>
      <c r="AJ63">
        <f>IF(AJ$4=0,0,IF(COUNTIFS(実績!$W$6:$W$505,AJ$3,実績!$AC$6:$AC$505,"&lt;="&amp;$A63,実績!$AD$6:$AD$505,"&gt;"&amp;$A63,実績!$AE$6:$AE$505,"○")&gt;0,1,0))</f>
        <v/>
      </c>
      <c r="AK63">
        <f>IF(AK$4=0,0,IF(COUNTIFS(実績!$W$6:$W$505,AK$3,実績!$AC$6:$AC$505,"&lt;="&amp;$A63,実績!$AD$6:$AD$505,"&gt;"&amp;$A63,実績!$AE$6:$AE$505,"○")&gt;0,1,0))</f>
        <v/>
      </c>
      <c r="AL63">
        <f>IF(AL$4=0,0,IF(COUNTIFS(実績!$W$6:$W$505,AL$3,実績!$AC$6:$AC$505,"&lt;="&amp;$A63,実績!$AD$6:$AD$505,"&gt;"&amp;$A63,実績!$AE$6:$AE$505,"○")&gt;0,1,0))</f>
        <v/>
      </c>
      <c r="AM63">
        <f>IF(AM$4=0,0,IF(COUNTIFS(実績!$W$6:$W$505,AM$3,実績!$AC$6:$AC$505,"&lt;="&amp;$A63,実績!$AD$6:$AD$505,"&gt;"&amp;$A63,実績!$AE$6:$AE$505,"○")&gt;0,1,0))</f>
        <v/>
      </c>
      <c r="AN63">
        <f>IF(AN$4=0,0,IF(COUNTIFS(実績!$W$6:$W$505,AN$3,実績!$AC$6:$AC$505,"&lt;="&amp;$A63,実績!$AD$6:$AD$505,"&gt;"&amp;$A63,実績!$AE$6:$AE$505,"○")&gt;0,1,0))</f>
        <v/>
      </c>
      <c r="AO63">
        <f>IF(AO$4=0,0,IF(COUNTIFS(実績!$W$6:$W$505,AO$3,実績!$AC$6:$AC$505,"&lt;="&amp;$A63,実績!$AD$6:$AD$505,"&gt;"&amp;$A63,実績!$AE$6:$AE$505,"○")&gt;0,1,0))</f>
        <v/>
      </c>
      <c r="AP63">
        <f>IF(AP$4=0,0,IF(COUNTIFS(実績!$W$6:$W$505,AP$3,実績!$AC$6:$AC$505,"&lt;="&amp;$A63,実績!$AD$6:$AD$505,"&gt;"&amp;$A63,実績!$AE$6:$AE$505,"○")&gt;0,1,0))</f>
        <v/>
      </c>
      <c r="AQ63">
        <f>IF(AQ$4=0,0,IF(COUNTIFS(実績!$W$6:$W$505,AQ$3,実績!$AC$6:$AC$505,"&lt;="&amp;$A63,実績!$AD$6:$AD$505,"&gt;"&amp;$A63,実績!$AE$6:$AE$505,"○")&gt;0,1,0))</f>
        <v/>
      </c>
      <c r="AR63">
        <f>IF(AR$4=0,0,IF(COUNTIFS(実績!$W$6:$W$505,AR$3,実績!$AC$6:$AC$505,"&lt;="&amp;$A63,実績!$AD$6:$AD$505,"&gt;"&amp;$A63,実績!$AE$6:$AE$505,"○")&gt;0,1,0))</f>
        <v/>
      </c>
      <c r="AS63">
        <f>IF(AS$4=0,0,IF(COUNTIFS(実績!$W$6:$W$505,AS$3,実績!$AC$6:$AC$505,"&lt;="&amp;$A63,実績!$AD$6:$AD$505,"&gt;"&amp;$A63,実績!$AE$6:$AE$505,"○")&gt;0,1,0))</f>
        <v/>
      </c>
      <c r="AT63">
        <f>IF(AT$4=0,0,IF(COUNTIFS(実績!$W$6:$W$505,AT$3,実績!$AC$6:$AC$505,"&lt;="&amp;$A63,実績!$AD$6:$AD$505,"&gt;"&amp;$A63,実績!$AE$6:$AE$505,"○")&gt;0,1,0))</f>
        <v/>
      </c>
      <c r="AU63">
        <f>IF(AU$4=0,0,IF(COUNTIFS(実績!$W$6:$W$505,AU$3,実績!$AC$6:$AC$505,"&lt;="&amp;$A63,実績!$AD$6:$AD$505,"&gt;"&amp;$A63,実績!$AE$6:$AE$505,"○")&gt;0,1,0))</f>
        <v/>
      </c>
      <c r="AV63">
        <f>IF(AV$4=0,0,IF(COUNTIFS(実績!$W$6:$W$505,AV$3,実績!$AC$6:$AC$505,"&lt;="&amp;$A63,実績!$AD$6:$AD$505,"&gt;"&amp;$A63,実績!$AE$6:$AE$505,"○")&gt;0,1,0))</f>
        <v/>
      </c>
      <c r="AW63">
        <f>IF(AW$4=0,0,IF(COUNTIFS(実績!$W$6:$W$505,AW$3,実績!$AC$6:$AC$505,"&lt;="&amp;$A63,実績!$AD$6:$AD$505,"&gt;"&amp;$A63,実績!$AE$6:$AE$505,"○")&gt;0,1,0))</f>
        <v/>
      </c>
      <c r="AX63">
        <f>IF(AX$4=0,0,IF(COUNTIFS(実績!$W$6:$W$505,AX$3,実績!$AC$6:$AC$505,"&lt;="&amp;$A63,実績!$AD$6:$AD$505,"&gt;"&amp;$A63,実績!$AE$6:$AE$505,"○")&gt;0,1,0))</f>
        <v/>
      </c>
      <c r="AY63">
        <f>IF(AY$4=0,0,IF(COUNTIFS(実績!$W$6:$W$505,AY$3,実績!$AC$6:$AC$505,"&lt;="&amp;$A63,実績!$AD$6:$AD$505,"&gt;"&amp;$A63,実績!$AE$6:$AE$505,"○")&gt;0,1,0))</f>
        <v/>
      </c>
      <c r="AZ63">
        <f>IF(AZ$4=0,0,IF(COUNTIFS(実績!$W$6:$W$505,AZ$3,実績!$AC$6:$AC$505,"&lt;="&amp;$A63,実績!$AD$6:$AD$505,"&gt;"&amp;$A63,実績!$AE$6:$AE$505,"○")&gt;0,1,0))</f>
        <v/>
      </c>
      <c r="BA63">
        <f>IF(BA$4=0,0,IF(COUNTIFS(実績!$W$6:$W$505,BA$3,実績!$AC$6:$AC$505,"&lt;="&amp;$A63,実績!$AD$6:$AD$505,"&gt;"&amp;$A63,実績!$AE$6:$AE$505,"○")&gt;0,1,0))</f>
        <v/>
      </c>
      <c r="BB63">
        <f>IF(BB$4=0,0,IF(COUNTIFS(実績!$W$6:$W$505,BB$3,実績!$AC$6:$AC$505,"&lt;="&amp;$A63,実績!$AD$6:$AD$505,"&gt;"&amp;$A63,実績!$AE$6:$AE$505,"○")&gt;0,1,0))</f>
        <v/>
      </c>
      <c r="BC63">
        <f>IF(BC$4=0,0,IF(COUNTIFS(実績!$W$6:$W$505,BC$3,実績!$AC$6:$AC$505,"&lt;="&amp;$A63,実績!$AD$6:$AD$505,"&gt;"&amp;$A63,実績!$AE$6:$AE$505,"○")&gt;0,1,0))</f>
        <v/>
      </c>
      <c r="BD63">
        <f>IF(BD$4=0,0,IF(COUNTIFS(実績!$W$6:$W$505,BD$3,実績!$AC$6:$AC$505,"&lt;="&amp;$A63,実績!$AD$6:$AD$505,"&gt;"&amp;$A63,実績!$AE$6:$AE$505,"○")&gt;0,1,0))</f>
        <v/>
      </c>
      <c r="BE63">
        <f>IF(BE$4=0,0,IF(COUNTIFS(実績!$W$6:$W$505,BE$3,実績!$AC$6:$AC$505,"&lt;="&amp;$A63,実績!$AD$6:$AD$505,"&gt;"&amp;$A63,実績!$AE$6:$AE$505,"○")&gt;0,1,0))</f>
        <v/>
      </c>
      <c r="BF63">
        <f>IF(BF$4=0,0,IF(COUNTIFS(実績!$W$6:$W$505,BF$3,実績!$AC$6:$AC$505,"&lt;="&amp;$A63,実績!$AD$6:$AD$505,"&gt;"&amp;$A63,実績!$AE$6:$AE$505,"○")&gt;0,1,0))</f>
        <v/>
      </c>
      <c r="BG63">
        <f>IF(BG$4=0,0,IF(COUNTIFS(実績!$W$6:$W$505,BG$3,実績!$AC$6:$AC$505,"&lt;="&amp;$A63,実績!$AD$6:$AD$505,"&gt;"&amp;$A63,実績!$AE$6:$AE$505,"○")&gt;0,1,0))</f>
        <v/>
      </c>
      <c r="BH63">
        <f>IF(BH$4=0,0,IF(COUNTIFS(実績!$W$6:$W$505,BH$3,実績!$AC$6:$AC$505,"&lt;="&amp;$A63,実績!$AD$6:$AD$505,"&gt;"&amp;$A63,実績!$AE$6:$AE$505,"○")&gt;0,1,0))</f>
        <v/>
      </c>
      <c r="BI63">
        <f>IF(BI$4=0,0,IF(COUNTIFS(実績!$W$6:$W$505,BI$3,実績!$AC$6:$AC$505,"&lt;="&amp;$A63,実績!$AD$6:$AD$505,"&gt;"&amp;$A63,実績!$AE$6:$AE$505,"○")&gt;0,1,0))</f>
        <v/>
      </c>
      <c r="BJ63">
        <f>IF(BJ$4=0,0,IF(COUNTIFS(実績!$W$6:$W$505,BJ$3,実績!$AC$6:$AC$505,"&lt;="&amp;$A63,実績!$AD$6:$AD$505,"&gt;"&amp;$A63,実績!$AE$6:$AE$505,"○")&gt;0,1,0))</f>
        <v/>
      </c>
      <c r="BK63">
        <f>IF(BK$4=0,0,IF(COUNTIFS(実績!$W$6:$W$505,BK$3,実績!$AC$6:$AC$505,"&lt;="&amp;$A63,実績!$AD$6:$AD$505,"&gt;"&amp;$A63,実績!$AE$6:$AE$505,"○")&gt;0,1,0))</f>
        <v/>
      </c>
      <c r="BL63">
        <f>IF(BL$4=0,0,IF(COUNTIFS(実績!$W$6:$W$505,BL$3,実績!$AC$6:$AC$505,"&lt;="&amp;$A63,実績!$AD$6:$AD$505,"&gt;"&amp;$A63,実績!$AE$6:$AE$505,"○")&gt;0,1,0))</f>
        <v/>
      </c>
      <c r="BM63">
        <f>IF(BM$4=0,0,IF(COUNTIFS(実績!$W$6:$W$505,BM$3,実績!$AC$6:$AC$505,"&lt;="&amp;$A63,実績!$AD$6:$AD$505,"&gt;"&amp;$A63,実績!$AE$6:$AE$505,"○")&gt;0,1,0))</f>
        <v/>
      </c>
      <c r="BN63">
        <f>IF(BN$4=0,0,IF(COUNTIFS(実績!$W$6:$W$505,BN$3,実績!$AC$6:$AC$505,"&lt;="&amp;$A63,実績!$AD$6:$AD$505,"&gt;"&amp;$A63,実績!$AE$6:$AE$505,"○")&gt;0,1,0))</f>
        <v/>
      </c>
      <c r="BO63">
        <f>IF(BO$4=0,0,IF(COUNTIFS(実績!$W$6:$W$505,BO$3,実績!$AC$6:$AC$505,"&lt;="&amp;$A63,実績!$AD$6:$AD$505,"&gt;"&amp;$A63,実績!$AE$6:$AE$505,"○")&gt;0,1,0))</f>
        <v/>
      </c>
      <c r="BP63">
        <f>IF(BP$4=0,0,IF(COUNTIFS(実績!$W$6:$W$505,BP$3,実績!$AC$6:$AC$505,"&lt;="&amp;$A63,実績!$AD$6:$AD$505,"&gt;"&amp;$A63,実績!$AE$6:$AE$505,"○")&gt;0,1,0))</f>
        <v/>
      </c>
      <c r="BQ63">
        <f>IF(BQ$4=0,0,IF(COUNTIFS(実績!$W$6:$W$505,BQ$3,実績!$AC$6:$AC$505,"&lt;="&amp;$A63,実績!$AD$6:$AD$505,"&gt;"&amp;$A63,実績!$AE$6:$AE$505,"○")&gt;0,1,0))</f>
        <v/>
      </c>
      <c r="BR63">
        <f>IF(BR$4=0,0,IF(COUNTIFS(実績!$W$6:$W$505,BR$3,実績!$AC$6:$AC$505,"&lt;="&amp;$A63,実績!$AD$6:$AD$505,"&gt;"&amp;$A63,実績!$AE$6:$AE$505,"○")&gt;0,1,0))</f>
        <v/>
      </c>
      <c r="BS63">
        <f>IF(BS$4=0,0,IF(COUNTIFS(実績!$W$6:$W$505,BS$3,実績!$AC$6:$AC$505,"&lt;="&amp;$A63,実績!$AD$6:$AD$505,"&gt;"&amp;$A63,実績!$AE$6:$AE$505,"○")&gt;0,1,0))</f>
        <v/>
      </c>
      <c r="BT63">
        <f>IF(BT$4=0,0,IF(COUNTIFS(実績!$W$6:$W$505,BT$3,実績!$AC$6:$AC$505,"&lt;="&amp;$A63,実績!$AD$6:$AD$505,"&gt;"&amp;$A63,実績!$AE$6:$AE$505,"○")&gt;0,1,0))</f>
        <v/>
      </c>
      <c r="BU63">
        <f>IF(BU$4=0,0,IF(COUNTIFS(実績!$W$6:$W$505,BU$3,実績!$AC$6:$AC$505,"&lt;="&amp;$A63,実績!$AD$6:$AD$505,"&gt;"&amp;$A63,実績!$AE$6:$AE$505,"○")&gt;0,1,0))</f>
        <v/>
      </c>
      <c r="BV63">
        <f>IF(BV$4=0,0,IF(COUNTIFS(実績!$W$6:$W$505,BV$3,実績!$AC$6:$AC$505,"&lt;="&amp;$A63,実績!$AD$6:$AD$505,"&gt;"&amp;$A63,実績!$AE$6:$AE$505,"○")&gt;0,1,0))</f>
        <v/>
      </c>
      <c r="BW63">
        <f>IF(BW$4=0,0,IF(COUNTIFS(実績!$W$6:$W$505,BW$3,実績!$AC$6:$AC$505,"&lt;="&amp;$A63,実績!$AD$6:$AD$505,"&gt;"&amp;$A63,実績!$AE$6:$AE$505,"○")&gt;0,1,0))</f>
        <v/>
      </c>
      <c r="BX63">
        <f>IF(BX$4=0,0,IF(COUNTIFS(実績!$W$6:$W$505,BX$3,実績!$AC$6:$AC$505,"&lt;="&amp;$A63,実績!$AD$6:$AD$505,"&gt;"&amp;$A63,実績!$AE$6:$AE$505,"○")&gt;0,1,0))</f>
        <v/>
      </c>
      <c r="BY63">
        <f>IF(BY$4=0,0,IF(COUNTIFS(実績!$W$6:$W$505,BY$3,実績!$AC$6:$AC$505,"&lt;="&amp;$A63,実績!$AD$6:$AD$505,"&gt;"&amp;$A63,実績!$AE$6:$AE$505,"○")&gt;0,1,0))</f>
        <v/>
      </c>
      <c r="BZ63">
        <f>IF(BZ$4=0,0,IF(COUNTIFS(実績!$W$6:$W$505,BZ$3,実績!$AC$6:$AC$505,"&lt;="&amp;$A63,実績!$AD$6:$AD$505,"&gt;"&amp;$A63,実績!$AE$6:$AE$505,"○")&gt;0,1,0))</f>
        <v/>
      </c>
      <c r="CA63">
        <f>IF(CA$4=0,0,IF(COUNTIFS(実績!$W$6:$W$505,CA$3,実績!$AC$6:$AC$505,"&lt;="&amp;$A63,実績!$AD$6:$AD$505,"&gt;"&amp;$A63,実績!$AE$6:$AE$505,"○")&gt;0,1,0))</f>
        <v/>
      </c>
      <c r="CB63">
        <f>IF(CB$4=0,0,IF(COUNTIFS(実績!$W$6:$W$505,CB$3,実績!$AC$6:$AC$505,"&lt;="&amp;$A63,実績!$AD$6:$AD$505,"&gt;"&amp;$A63,実績!$AE$6:$AE$505,"○")&gt;0,1,0))</f>
        <v/>
      </c>
      <c r="CC63">
        <f>IF(CC$4=0,0,IF(COUNTIFS(実績!$W$6:$W$505,CC$3,実績!$AC$6:$AC$505,"&lt;="&amp;$A63,実績!$AD$6:$AD$505,"&gt;"&amp;$A63,実績!$AE$6:$AE$505,"○")&gt;0,1,0))</f>
        <v/>
      </c>
      <c r="CD63">
        <f>IF(CD$4=0,0,IF(COUNTIFS(実績!$W$6:$W$505,CD$3,実績!$AC$6:$AC$505,"&lt;="&amp;$A63,実績!$AD$6:$AD$505,"&gt;"&amp;$A63,実績!$AE$6:$AE$505,"○")&gt;0,1,0))</f>
        <v/>
      </c>
      <c r="CE63">
        <f>IF(CE$4=0,0,IF(COUNTIFS(実績!$W$6:$W$505,CE$3,実績!$AC$6:$AC$505,"&lt;="&amp;$A63,実績!$AD$6:$AD$505,"&gt;"&amp;$A63,実績!$AE$6:$AE$505,"○")&gt;0,1,0))</f>
        <v/>
      </c>
      <c r="CF63">
        <f>IF(CF$4=0,0,IF(COUNTIFS(実績!$W$6:$W$505,CF$3,実績!$AC$6:$AC$505,"&lt;="&amp;$A63,実績!$AD$6:$AD$505,"&gt;"&amp;$A63,実績!$AE$6:$AE$505,"○")&gt;0,1,0))</f>
        <v/>
      </c>
      <c r="CG63">
        <f>IF(CG$4=0,0,IF(COUNTIFS(実績!$W$6:$W$505,CG$3,実績!$AC$6:$AC$505,"&lt;="&amp;$A63,実績!$AD$6:$AD$505,"&gt;"&amp;$A63,実績!$AE$6:$AE$505,"○")&gt;0,1,0))</f>
        <v/>
      </c>
      <c r="CH63">
        <f>IF(CH$4=0,0,IF(COUNTIFS(実績!$W$6:$W$505,CH$3,実績!$AC$6:$AC$505,"&lt;="&amp;$A63,実績!$AD$6:$AD$505,"&gt;"&amp;$A63,実績!$AE$6:$AE$505,"○")&gt;0,1,0))</f>
        <v/>
      </c>
      <c r="CI63">
        <f>IF(CI$4=0,0,IF(COUNTIFS(実績!$W$6:$W$505,CI$3,実績!$AC$6:$AC$505,"&lt;="&amp;$A63,実績!$AD$6:$AD$505,"&gt;"&amp;$A63,実績!$AE$6:$AE$505,"○")&gt;0,1,0))</f>
        <v/>
      </c>
      <c r="CJ63">
        <f>IF(CJ$4=0,0,IF(COUNTIFS(実績!$W$6:$W$505,CJ$3,実績!$AC$6:$AC$505,"&lt;="&amp;$A63,実績!$AD$6:$AD$505,"&gt;"&amp;$A63,実績!$AE$6:$AE$505,"○")&gt;0,1,0))</f>
        <v/>
      </c>
      <c r="CK63">
        <f>IF(CK$4=0,0,IF(COUNTIFS(実績!$W$6:$W$505,CK$3,実績!$AC$6:$AC$505,"&lt;="&amp;$A63,実績!$AD$6:$AD$505,"&gt;"&amp;$A63,実績!$AE$6:$AE$505,"○")&gt;0,1,0))</f>
        <v/>
      </c>
      <c r="CL63">
        <f>IF(CL$4=0,0,IF(COUNTIFS(実績!$W$6:$W$505,CL$3,実績!$AC$6:$AC$505,"&lt;="&amp;$A63,実績!$AD$6:$AD$505,"&gt;"&amp;$A63,実績!$AE$6:$AE$505,"○")&gt;0,1,0))</f>
        <v/>
      </c>
      <c r="CM63">
        <f>IF(CM$4=0,0,IF(COUNTIFS(実績!$W$6:$W$505,CM$3,実績!$AC$6:$AC$505,"&lt;="&amp;$A63,実績!$AD$6:$AD$505,"&gt;"&amp;$A63,実績!$AE$6:$AE$505,"○")&gt;0,1,0))</f>
        <v/>
      </c>
      <c r="CN63">
        <f>IF(CN$4=0,0,IF(COUNTIFS(実績!$W$6:$W$505,CN$3,実績!$AC$6:$AC$505,"&lt;="&amp;$A63,実績!$AD$6:$AD$505,"&gt;"&amp;$A63,実績!$AE$6:$AE$505,"○")&gt;0,1,0))</f>
        <v/>
      </c>
      <c r="CO63">
        <f>IF(CO$4=0,0,IF(COUNTIFS(実績!$W$6:$W$505,CO$3,実績!$AC$6:$AC$505,"&lt;="&amp;$A63,実績!$AD$6:$AD$505,"&gt;"&amp;$A63,実績!$AE$6:$AE$505,"○")&gt;0,1,0))</f>
        <v/>
      </c>
      <c r="CP63">
        <f>IF(CP$4=0,0,IF(COUNTIFS(実績!$W$6:$W$505,CP$3,実績!$AC$6:$AC$505,"&lt;="&amp;$A63,実績!$AD$6:$AD$505,"&gt;"&amp;$A63,実績!$AE$6:$AE$505,"○")&gt;0,1,0))</f>
        <v/>
      </c>
      <c r="CQ63">
        <f>IF(CQ$4=0,0,IF(COUNTIFS(実績!$W$6:$W$505,CQ$3,実績!$AC$6:$AC$505,"&lt;="&amp;$A63,実績!$AD$6:$AD$505,"&gt;"&amp;$A63,実績!$AE$6:$AE$505,"○")&gt;0,1,0))</f>
        <v/>
      </c>
      <c r="CR63">
        <f>IF(CR$4=0,0,IF(COUNTIFS(実績!$W$6:$W$505,CR$3,実績!$AC$6:$AC$505,"&lt;="&amp;$A63,実績!$AD$6:$AD$505,"&gt;"&amp;$A63,実績!$AE$6:$AE$505,"○")&gt;0,1,0))</f>
        <v/>
      </c>
      <c r="CS63">
        <f>IF(CS$4=0,0,IF(COUNTIFS(実績!$W$6:$W$505,CS$3,実績!$AC$6:$AC$505,"&lt;="&amp;$A63,実績!$AD$6:$AD$505,"&gt;"&amp;$A63,実績!$AE$6:$AE$505,"○")&gt;0,1,0))</f>
        <v/>
      </c>
      <c r="CT63">
        <f>IF(CT$4=0,0,IF(COUNTIFS(実績!$W$6:$W$505,CT$3,実績!$AC$6:$AC$505,"&lt;="&amp;$A63,実績!$AD$6:$AD$505,"&gt;"&amp;$A63,実績!$AE$6:$AE$505,"○")&gt;0,1,0))</f>
        <v/>
      </c>
      <c r="CU63">
        <f>IF(CU$4=0,0,IF(COUNTIFS(実績!$W$6:$W$505,CU$3,実績!$AC$6:$AC$505,"&lt;="&amp;$A63,実績!$AD$6:$AD$505,"&gt;"&amp;$A63,実績!$AE$6:$AE$505,"○")&gt;0,1,0))</f>
        <v/>
      </c>
      <c r="CV63">
        <f>IF(CV$4=0,0,IF(COUNTIFS(実績!$W$6:$W$505,CV$3,実績!$AC$6:$AC$505,"&lt;="&amp;$A63,実績!$AD$6:$AD$505,"&gt;"&amp;$A63,実績!$AE$6:$AE$505,"○")&gt;0,1,0))</f>
        <v/>
      </c>
      <c r="CW63">
        <f>IF(CW$4=0,0,IF(COUNTIFS(実績!$W$6:$W$505,CW$3,実績!$AC$6:$AC$505,"&lt;="&amp;$A63,実績!$AD$6:$AD$505,"&gt;"&amp;$A63,実績!$AE$6:$AE$505,"○")&gt;0,1,0))</f>
        <v/>
      </c>
      <c r="CX63">
        <f>IF(CX$4=0,0,IF(COUNTIFS(実績!$W$6:$W$505,CX$3,実績!$AC$6:$AC$505,"&lt;="&amp;$A63,実績!$AD$6:$AD$505,"&gt;"&amp;$A63,実績!$AE$6:$AE$505,"○")&gt;0,1,0))</f>
        <v/>
      </c>
      <c r="CY63">
        <f>IF(CY$4=0,0,IF(COUNTIFS(実績!$W$6:$W$505,CY$3,実績!$AC$6:$AC$505,"&lt;="&amp;$A63,実績!$AD$6:$AD$505,"&gt;"&amp;$A63,実績!$AE$6:$AE$505,"○")&gt;0,1,0))</f>
        <v/>
      </c>
      <c r="CZ63">
        <f>IF(CZ$4=0,0,IF(COUNTIFS(実績!$W$6:$W$505,CZ$3,実績!$AC$6:$AC$505,"&lt;="&amp;$A63,実績!$AD$6:$AD$505,"&gt;"&amp;$A63,実績!$AE$6:$AE$505,"○")&gt;0,1,0))</f>
        <v/>
      </c>
      <c r="DA63">
        <f>IF(DA$4=0,0,IF(COUNTIFS(実績!$W$6:$W$505,DA$3,実績!$AC$6:$AC$505,"&lt;="&amp;$A63,実績!$AD$6:$AD$505,"&gt;"&amp;$A63,実績!$AE$6:$AE$505,"○")&gt;0,1,0))</f>
        <v/>
      </c>
      <c r="DB63">
        <f>IF(DB$4=0,0,IF(COUNTIFS(実績!$W$6:$W$505,DB$3,実績!$AC$6:$AC$505,"&lt;="&amp;$A63,実績!$AD$6:$AD$505,"&gt;"&amp;$A63,実績!$AE$6:$AE$505,"○")&gt;0,1,0))</f>
        <v/>
      </c>
      <c r="DC63">
        <f>IF(DC$4=0,0,IF(COUNTIFS(実績!$W$6:$W$505,DC$3,実績!$AC$6:$AC$505,"&lt;="&amp;$A63,実績!$AD$6:$AD$505,"&gt;"&amp;$A63,実績!$AE$6:$AE$505,"○")&gt;0,1,0))</f>
        <v/>
      </c>
      <c r="DD63">
        <f>IF(DD$4=0,0,IF(COUNTIFS(実績!$W$6:$W$505,DD$3,実績!$AC$6:$AC$505,"&lt;="&amp;$A63,実績!$AD$6:$AD$505,"&gt;"&amp;$A63,実績!$AE$6:$AE$505,"○")&gt;0,1,0))</f>
        <v/>
      </c>
      <c r="DE63">
        <f>IF(DE$4=0,0,IF(COUNTIFS(実績!$W$6:$W$505,DE$3,実績!$AC$6:$AC$505,"&lt;="&amp;$A63,実績!$AD$6:$AD$505,"&gt;"&amp;$A63,実績!$AE$6:$AE$505,"○")&gt;0,1,0))</f>
        <v/>
      </c>
      <c r="DF63">
        <f>IF(DF$4=0,0,IF(COUNTIFS(実績!$W$6:$W$505,DF$3,実績!$AC$6:$AC$505,"&lt;="&amp;$A63,実績!$AD$6:$AD$505,"&gt;"&amp;$A63,実績!$AE$6:$AE$505,"○")&gt;0,1,0))</f>
        <v/>
      </c>
      <c r="DG63">
        <f>IF(DG$4=0,0,IF(COUNTIFS(実績!$W$6:$W$505,DG$3,実績!$AC$6:$AC$505,"&lt;="&amp;$A63,実績!$AD$6:$AD$505,"&gt;"&amp;$A63,実績!$AE$6:$AE$505,"○")&gt;0,1,0))</f>
        <v/>
      </c>
      <c r="DH63">
        <f>IF(DH$4=0,0,IF(COUNTIFS(実績!$W$6:$W$505,DH$3,実績!$AC$6:$AC$505,"&lt;="&amp;$A63,実績!$AD$6:$AD$505,"&gt;"&amp;$A63,実績!$AE$6:$AE$505,"○")&gt;0,1,0))</f>
        <v/>
      </c>
      <c r="DI63">
        <f>IF(DI$4=0,0,IF(COUNTIFS(実績!$W$6:$W$505,DI$3,実績!$AC$6:$AC$505,"&lt;="&amp;$A63,実績!$AD$6:$AD$505,"&gt;"&amp;$A63,実績!$AE$6:$AE$505,"○")&gt;0,1,0))</f>
        <v/>
      </c>
      <c r="DJ63">
        <f>IF(DJ$4=0,0,IF(COUNTIFS(実績!$W$6:$W$505,DJ$3,実績!$AC$6:$AC$505,"&lt;="&amp;$A63,実績!$AD$6:$AD$505,"&gt;"&amp;$A63,実績!$AE$6:$AE$505,"○")&gt;0,1,0))</f>
        <v/>
      </c>
      <c r="DK63">
        <f>IF(DK$4=0,0,IF(COUNTIFS(実績!$W$6:$W$505,DK$3,実績!$AC$6:$AC$505,"&lt;="&amp;$A63,実績!$AD$6:$AD$505,"&gt;"&amp;$A63,実績!$AE$6:$AE$505,"○")&gt;0,1,0))</f>
        <v/>
      </c>
      <c r="DL63">
        <f>IF(DL$4=0,0,IF(COUNTIFS(実績!$W$6:$W$505,DL$3,実績!$AC$6:$AC$505,"&lt;="&amp;$A63,実績!$AD$6:$AD$505,"&gt;"&amp;$A63,実績!$AE$6:$AE$505,"○")&gt;0,1,0))</f>
        <v/>
      </c>
      <c r="DM63">
        <f>IF(DM$4=0,0,IF(COUNTIFS(実績!$W$6:$W$505,DM$3,実績!$AC$6:$AC$505,"&lt;="&amp;$A63,実績!$AD$6:$AD$505,"&gt;"&amp;$A63,実績!$AE$6:$AE$505,"○")&gt;0,1,0))</f>
        <v/>
      </c>
      <c r="DN63">
        <f>IF(DN$4=0,0,IF(COUNTIFS(実績!$W$6:$W$505,DN$3,実績!$AC$6:$AC$505,"&lt;="&amp;$A63,実績!$AD$6:$AD$505,"&gt;"&amp;$A63,実績!$AE$6:$AE$505,"○")&gt;0,1,0))</f>
        <v/>
      </c>
      <c r="DO63">
        <f>IF(DO$4=0,0,IF(COUNTIFS(実績!$W$6:$W$505,DO$3,実績!$AC$6:$AC$505,"&lt;="&amp;$A63,実績!$AD$6:$AD$505,"&gt;"&amp;$A63,実績!$AE$6:$AE$505,"○")&gt;0,1,0))</f>
        <v/>
      </c>
      <c r="DP63">
        <f>IF(DP$4=0,0,IF(COUNTIFS(実績!$W$6:$W$505,DP$3,実績!$AC$6:$AC$505,"&lt;="&amp;$A63,実績!$AD$6:$AD$505,"&gt;"&amp;$A63,実績!$AE$6:$AE$505,"○")&gt;0,1,0))</f>
        <v/>
      </c>
      <c r="DQ63">
        <f>IF(DQ$4=0,0,IF(COUNTIFS(実績!$W$6:$W$505,DQ$3,実績!$AC$6:$AC$505,"&lt;="&amp;$A63,実績!$AD$6:$AD$505,"&gt;"&amp;$A63,実績!$AE$6:$AE$505,"○")&gt;0,1,0))</f>
        <v/>
      </c>
      <c r="DR63">
        <f>IF(DR$4=0,0,IF(COUNTIFS(実績!$W$6:$W$505,DR$3,実績!$AC$6:$AC$505,"&lt;="&amp;$A63,実績!$AD$6:$AD$505,"&gt;"&amp;$A63,実績!$AE$6:$AE$505,"○")&gt;0,1,0))</f>
        <v/>
      </c>
      <c r="DS63">
        <f>SUM(C63:DR63)</f>
        <v/>
      </c>
      <c r="DT63">
        <f>SUMPRODUCT((実績!$C$6:$C$505="○")*ISNUMBER(実績!$AF$6:$AF$505)*(実績!$AF$6:$AF$505&lt;=$A63)*(実績!$AG$6:$AG$505&gt;$A63))</f>
        <v/>
      </c>
      <c r="DU63">
        <f>SUMIF($C$2:$DR$2,"製鉄曳船",C63:DR63)</f>
        <v/>
      </c>
      <c r="DV63">
        <f>SUMIF($C$2:$DR$2,"西日本海運",C63:DR63)</f>
        <v/>
      </c>
    </row>
    <row r="64">
      <c r="A64" t="n">
        <v>290</v>
      </c>
      <c r="B64" s="29">
        <f>A64/1440</f>
        <v/>
      </c>
      <c r="C64">
        <f>IF(C$4=0,0,IF(COUNTIFS(実績!$W$6:$W$505,C$3,実績!$AC$6:$AC$505,"&lt;="&amp;$A64,実績!$AD$6:$AD$505,"&gt;"&amp;$A64,実績!$AE$6:$AE$505,"○")&gt;0,1,0))</f>
        <v/>
      </c>
      <c r="D64">
        <f>IF(D$4=0,0,IF(COUNTIFS(実績!$W$6:$W$505,D$3,実績!$AC$6:$AC$505,"&lt;="&amp;$A64,実績!$AD$6:$AD$505,"&gt;"&amp;$A64,実績!$AE$6:$AE$505,"○")&gt;0,1,0))</f>
        <v/>
      </c>
      <c r="E64">
        <f>IF(E$4=0,0,IF(COUNTIFS(実績!$W$6:$W$505,E$3,実績!$AC$6:$AC$505,"&lt;="&amp;$A64,実績!$AD$6:$AD$505,"&gt;"&amp;$A64,実績!$AE$6:$AE$505,"○")&gt;0,1,0))</f>
        <v/>
      </c>
      <c r="F64">
        <f>IF(F$4=0,0,IF(COUNTIFS(実績!$W$6:$W$505,F$3,実績!$AC$6:$AC$505,"&lt;="&amp;$A64,実績!$AD$6:$AD$505,"&gt;"&amp;$A64,実績!$AE$6:$AE$505,"○")&gt;0,1,0))</f>
        <v/>
      </c>
      <c r="G64">
        <f>IF(G$4=0,0,IF(COUNTIFS(実績!$W$6:$W$505,G$3,実績!$AC$6:$AC$505,"&lt;="&amp;$A64,実績!$AD$6:$AD$505,"&gt;"&amp;$A64,実績!$AE$6:$AE$505,"○")&gt;0,1,0))</f>
        <v/>
      </c>
      <c r="H64">
        <f>IF(H$4=0,0,IF(COUNTIFS(実績!$W$6:$W$505,H$3,実績!$AC$6:$AC$505,"&lt;="&amp;$A64,実績!$AD$6:$AD$505,"&gt;"&amp;$A64,実績!$AE$6:$AE$505,"○")&gt;0,1,0))</f>
        <v/>
      </c>
      <c r="I64">
        <f>IF(I$4=0,0,IF(COUNTIFS(実績!$W$6:$W$505,I$3,実績!$AC$6:$AC$505,"&lt;="&amp;$A64,実績!$AD$6:$AD$505,"&gt;"&amp;$A64,実績!$AE$6:$AE$505,"○")&gt;0,1,0))</f>
        <v/>
      </c>
      <c r="J64">
        <f>IF(J$4=0,0,IF(COUNTIFS(実績!$W$6:$W$505,J$3,実績!$AC$6:$AC$505,"&lt;="&amp;$A64,実績!$AD$6:$AD$505,"&gt;"&amp;$A64,実績!$AE$6:$AE$505,"○")&gt;0,1,0))</f>
        <v/>
      </c>
      <c r="K64">
        <f>IF(K$4=0,0,IF(COUNTIFS(実績!$W$6:$W$505,K$3,実績!$AC$6:$AC$505,"&lt;="&amp;$A64,実績!$AD$6:$AD$505,"&gt;"&amp;$A64,実績!$AE$6:$AE$505,"○")&gt;0,1,0))</f>
        <v/>
      </c>
      <c r="L64">
        <f>IF(L$4=0,0,IF(COUNTIFS(実績!$W$6:$W$505,L$3,実績!$AC$6:$AC$505,"&lt;="&amp;$A64,実績!$AD$6:$AD$505,"&gt;"&amp;$A64,実績!$AE$6:$AE$505,"○")&gt;0,1,0))</f>
        <v/>
      </c>
      <c r="M64">
        <f>IF(M$4=0,0,IF(COUNTIFS(実績!$W$6:$W$505,M$3,実績!$AC$6:$AC$505,"&lt;="&amp;$A64,実績!$AD$6:$AD$505,"&gt;"&amp;$A64,実績!$AE$6:$AE$505,"○")&gt;0,1,0))</f>
        <v/>
      </c>
      <c r="N64">
        <f>IF(N$4=0,0,IF(COUNTIFS(実績!$W$6:$W$505,N$3,実績!$AC$6:$AC$505,"&lt;="&amp;$A64,実績!$AD$6:$AD$505,"&gt;"&amp;$A64,実績!$AE$6:$AE$505,"○")&gt;0,1,0))</f>
        <v/>
      </c>
      <c r="O64">
        <f>IF(O$4=0,0,IF(COUNTIFS(実績!$W$6:$W$505,O$3,実績!$AC$6:$AC$505,"&lt;="&amp;$A64,実績!$AD$6:$AD$505,"&gt;"&amp;$A64,実績!$AE$6:$AE$505,"○")&gt;0,1,0))</f>
        <v/>
      </c>
      <c r="P64">
        <f>IF(P$4=0,0,IF(COUNTIFS(実績!$W$6:$W$505,P$3,実績!$AC$6:$AC$505,"&lt;="&amp;$A64,実績!$AD$6:$AD$505,"&gt;"&amp;$A64,実績!$AE$6:$AE$505,"○")&gt;0,1,0))</f>
        <v/>
      </c>
      <c r="Q64">
        <f>IF(Q$4=0,0,IF(COUNTIFS(実績!$W$6:$W$505,Q$3,実績!$AC$6:$AC$505,"&lt;="&amp;$A64,実績!$AD$6:$AD$505,"&gt;"&amp;$A64,実績!$AE$6:$AE$505,"○")&gt;0,1,0))</f>
        <v/>
      </c>
      <c r="R64">
        <f>IF(R$4=0,0,IF(COUNTIFS(実績!$W$6:$W$505,R$3,実績!$AC$6:$AC$505,"&lt;="&amp;$A64,実績!$AD$6:$AD$505,"&gt;"&amp;$A64,実績!$AE$6:$AE$505,"○")&gt;0,1,0))</f>
        <v/>
      </c>
      <c r="S64">
        <f>IF(S$4=0,0,IF(COUNTIFS(実績!$W$6:$W$505,S$3,実績!$AC$6:$AC$505,"&lt;="&amp;$A64,実績!$AD$6:$AD$505,"&gt;"&amp;$A64,実績!$AE$6:$AE$505,"○")&gt;0,1,0))</f>
        <v/>
      </c>
      <c r="T64">
        <f>IF(T$4=0,0,IF(COUNTIFS(実績!$W$6:$W$505,T$3,実績!$AC$6:$AC$505,"&lt;="&amp;$A64,実績!$AD$6:$AD$505,"&gt;"&amp;$A64,実績!$AE$6:$AE$505,"○")&gt;0,1,0))</f>
        <v/>
      </c>
      <c r="U64">
        <f>IF(U$4=0,0,IF(COUNTIFS(実績!$W$6:$W$505,U$3,実績!$AC$6:$AC$505,"&lt;="&amp;$A64,実績!$AD$6:$AD$505,"&gt;"&amp;$A64,実績!$AE$6:$AE$505,"○")&gt;0,1,0))</f>
        <v/>
      </c>
      <c r="V64">
        <f>IF(V$4=0,0,IF(COUNTIFS(実績!$W$6:$W$505,V$3,実績!$AC$6:$AC$505,"&lt;="&amp;$A64,実績!$AD$6:$AD$505,"&gt;"&amp;$A64,実績!$AE$6:$AE$505,"○")&gt;0,1,0))</f>
        <v/>
      </c>
      <c r="W64">
        <f>IF(W$4=0,0,IF(COUNTIFS(実績!$W$6:$W$505,W$3,実績!$AC$6:$AC$505,"&lt;="&amp;$A64,実績!$AD$6:$AD$505,"&gt;"&amp;$A64,実績!$AE$6:$AE$505,"○")&gt;0,1,0))</f>
        <v/>
      </c>
      <c r="X64">
        <f>IF(X$4=0,0,IF(COUNTIFS(実績!$W$6:$W$505,X$3,実績!$AC$6:$AC$505,"&lt;="&amp;$A64,実績!$AD$6:$AD$505,"&gt;"&amp;$A64,実績!$AE$6:$AE$505,"○")&gt;0,1,0))</f>
        <v/>
      </c>
      <c r="Y64">
        <f>IF(Y$4=0,0,IF(COUNTIFS(実績!$W$6:$W$505,Y$3,実績!$AC$6:$AC$505,"&lt;="&amp;$A64,実績!$AD$6:$AD$505,"&gt;"&amp;$A64,実績!$AE$6:$AE$505,"○")&gt;0,1,0))</f>
        <v/>
      </c>
      <c r="Z64">
        <f>IF(Z$4=0,0,IF(COUNTIFS(実績!$W$6:$W$505,Z$3,実績!$AC$6:$AC$505,"&lt;="&amp;$A64,実績!$AD$6:$AD$505,"&gt;"&amp;$A64,実績!$AE$6:$AE$505,"○")&gt;0,1,0))</f>
        <v/>
      </c>
      <c r="AA64">
        <f>IF(AA$4=0,0,IF(COUNTIFS(実績!$W$6:$W$505,AA$3,実績!$AC$6:$AC$505,"&lt;="&amp;$A64,実績!$AD$6:$AD$505,"&gt;"&amp;$A64,実績!$AE$6:$AE$505,"○")&gt;0,1,0))</f>
        <v/>
      </c>
      <c r="AB64">
        <f>IF(AB$4=0,0,IF(COUNTIFS(実績!$W$6:$W$505,AB$3,実績!$AC$6:$AC$505,"&lt;="&amp;$A64,実績!$AD$6:$AD$505,"&gt;"&amp;$A64,実績!$AE$6:$AE$505,"○")&gt;0,1,0))</f>
        <v/>
      </c>
      <c r="AC64">
        <f>IF(AC$4=0,0,IF(COUNTIFS(実績!$W$6:$W$505,AC$3,実績!$AC$6:$AC$505,"&lt;="&amp;$A64,実績!$AD$6:$AD$505,"&gt;"&amp;$A64,実績!$AE$6:$AE$505,"○")&gt;0,1,0))</f>
        <v/>
      </c>
      <c r="AD64">
        <f>IF(AD$4=0,0,IF(COUNTIFS(実績!$W$6:$W$505,AD$3,実績!$AC$6:$AC$505,"&lt;="&amp;$A64,実績!$AD$6:$AD$505,"&gt;"&amp;$A64,実績!$AE$6:$AE$505,"○")&gt;0,1,0))</f>
        <v/>
      </c>
      <c r="AE64">
        <f>IF(AE$4=0,0,IF(COUNTIFS(実績!$W$6:$W$505,AE$3,実績!$AC$6:$AC$505,"&lt;="&amp;$A64,実績!$AD$6:$AD$505,"&gt;"&amp;$A64,実績!$AE$6:$AE$505,"○")&gt;0,1,0))</f>
        <v/>
      </c>
      <c r="AF64">
        <f>IF(AF$4=0,0,IF(COUNTIFS(実績!$W$6:$W$505,AF$3,実績!$AC$6:$AC$505,"&lt;="&amp;$A64,実績!$AD$6:$AD$505,"&gt;"&amp;$A64,実績!$AE$6:$AE$505,"○")&gt;0,1,0))</f>
        <v/>
      </c>
      <c r="AG64">
        <f>IF(AG$4=0,0,IF(COUNTIFS(実績!$W$6:$W$505,AG$3,実績!$AC$6:$AC$505,"&lt;="&amp;$A64,実績!$AD$6:$AD$505,"&gt;"&amp;$A64,実績!$AE$6:$AE$505,"○")&gt;0,1,0))</f>
        <v/>
      </c>
      <c r="AH64">
        <f>IF(AH$4=0,0,IF(COUNTIFS(実績!$W$6:$W$505,AH$3,実績!$AC$6:$AC$505,"&lt;="&amp;$A64,実績!$AD$6:$AD$505,"&gt;"&amp;$A64,実績!$AE$6:$AE$505,"○")&gt;0,1,0))</f>
        <v/>
      </c>
      <c r="AI64">
        <f>IF(AI$4=0,0,IF(COUNTIFS(実績!$W$6:$W$505,AI$3,実績!$AC$6:$AC$505,"&lt;="&amp;$A64,実績!$AD$6:$AD$505,"&gt;"&amp;$A64,実績!$AE$6:$AE$505,"○")&gt;0,1,0))</f>
        <v/>
      </c>
      <c r="AJ64">
        <f>IF(AJ$4=0,0,IF(COUNTIFS(実績!$W$6:$W$505,AJ$3,実績!$AC$6:$AC$505,"&lt;="&amp;$A64,実績!$AD$6:$AD$505,"&gt;"&amp;$A64,実績!$AE$6:$AE$505,"○")&gt;0,1,0))</f>
        <v/>
      </c>
      <c r="AK64">
        <f>IF(AK$4=0,0,IF(COUNTIFS(実績!$W$6:$W$505,AK$3,実績!$AC$6:$AC$505,"&lt;="&amp;$A64,実績!$AD$6:$AD$505,"&gt;"&amp;$A64,実績!$AE$6:$AE$505,"○")&gt;0,1,0))</f>
        <v/>
      </c>
      <c r="AL64">
        <f>IF(AL$4=0,0,IF(COUNTIFS(実績!$W$6:$W$505,AL$3,実績!$AC$6:$AC$505,"&lt;="&amp;$A64,実績!$AD$6:$AD$505,"&gt;"&amp;$A64,実績!$AE$6:$AE$505,"○")&gt;0,1,0))</f>
        <v/>
      </c>
      <c r="AM64">
        <f>IF(AM$4=0,0,IF(COUNTIFS(実績!$W$6:$W$505,AM$3,実績!$AC$6:$AC$505,"&lt;="&amp;$A64,実績!$AD$6:$AD$505,"&gt;"&amp;$A64,実績!$AE$6:$AE$505,"○")&gt;0,1,0))</f>
        <v/>
      </c>
      <c r="AN64">
        <f>IF(AN$4=0,0,IF(COUNTIFS(実績!$W$6:$W$505,AN$3,実績!$AC$6:$AC$505,"&lt;="&amp;$A64,実績!$AD$6:$AD$505,"&gt;"&amp;$A64,実績!$AE$6:$AE$505,"○")&gt;0,1,0))</f>
        <v/>
      </c>
      <c r="AO64">
        <f>IF(AO$4=0,0,IF(COUNTIFS(実績!$W$6:$W$505,AO$3,実績!$AC$6:$AC$505,"&lt;="&amp;$A64,実績!$AD$6:$AD$505,"&gt;"&amp;$A64,実績!$AE$6:$AE$505,"○")&gt;0,1,0))</f>
        <v/>
      </c>
      <c r="AP64">
        <f>IF(AP$4=0,0,IF(COUNTIFS(実績!$W$6:$W$505,AP$3,実績!$AC$6:$AC$505,"&lt;="&amp;$A64,実績!$AD$6:$AD$505,"&gt;"&amp;$A64,実績!$AE$6:$AE$505,"○")&gt;0,1,0))</f>
        <v/>
      </c>
      <c r="AQ64">
        <f>IF(AQ$4=0,0,IF(COUNTIFS(実績!$W$6:$W$505,AQ$3,実績!$AC$6:$AC$505,"&lt;="&amp;$A64,実績!$AD$6:$AD$505,"&gt;"&amp;$A64,実績!$AE$6:$AE$505,"○")&gt;0,1,0))</f>
        <v/>
      </c>
      <c r="AR64">
        <f>IF(AR$4=0,0,IF(COUNTIFS(実績!$W$6:$W$505,AR$3,実績!$AC$6:$AC$505,"&lt;="&amp;$A64,実績!$AD$6:$AD$505,"&gt;"&amp;$A64,実績!$AE$6:$AE$505,"○")&gt;0,1,0))</f>
        <v/>
      </c>
      <c r="AS64">
        <f>IF(AS$4=0,0,IF(COUNTIFS(実績!$W$6:$W$505,AS$3,実績!$AC$6:$AC$505,"&lt;="&amp;$A64,実績!$AD$6:$AD$505,"&gt;"&amp;$A64,実績!$AE$6:$AE$505,"○")&gt;0,1,0))</f>
        <v/>
      </c>
      <c r="AT64">
        <f>IF(AT$4=0,0,IF(COUNTIFS(実績!$W$6:$W$505,AT$3,実績!$AC$6:$AC$505,"&lt;="&amp;$A64,実績!$AD$6:$AD$505,"&gt;"&amp;$A64,実績!$AE$6:$AE$505,"○")&gt;0,1,0))</f>
        <v/>
      </c>
      <c r="AU64">
        <f>IF(AU$4=0,0,IF(COUNTIFS(実績!$W$6:$W$505,AU$3,実績!$AC$6:$AC$505,"&lt;="&amp;$A64,実績!$AD$6:$AD$505,"&gt;"&amp;$A64,実績!$AE$6:$AE$505,"○")&gt;0,1,0))</f>
        <v/>
      </c>
      <c r="AV64">
        <f>IF(AV$4=0,0,IF(COUNTIFS(実績!$W$6:$W$505,AV$3,実績!$AC$6:$AC$505,"&lt;="&amp;$A64,実績!$AD$6:$AD$505,"&gt;"&amp;$A64,実績!$AE$6:$AE$505,"○")&gt;0,1,0))</f>
        <v/>
      </c>
      <c r="AW64">
        <f>IF(AW$4=0,0,IF(COUNTIFS(実績!$W$6:$W$505,AW$3,実績!$AC$6:$AC$505,"&lt;="&amp;$A64,実績!$AD$6:$AD$505,"&gt;"&amp;$A64,実績!$AE$6:$AE$505,"○")&gt;0,1,0))</f>
        <v/>
      </c>
      <c r="AX64">
        <f>IF(AX$4=0,0,IF(COUNTIFS(実績!$W$6:$W$505,AX$3,実績!$AC$6:$AC$505,"&lt;="&amp;$A64,実績!$AD$6:$AD$505,"&gt;"&amp;$A64,実績!$AE$6:$AE$505,"○")&gt;0,1,0))</f>
        <v/>
      </c>
      <c r="AY64">
        <f>IF(AY$4=0,0,IF(COUNTIFS(実績!$W$6:$W$505,AY$3,実績!$AC$6:$AC$505,"&lt;="&amp;$A64,実績!$AD$6:$AD$505,"&gt;"&amp;$A64,実績!$AE$6:$AE$505,"○")&gt;0,1,0))</f>
        <v/>
      </c>
      <c r="AZ64">
        <f>IF(AZ$4=0,0,IF(COUNTIFS(実績!$W$6:$W$505,AZ$3,実績!$AC$6:$AC$505,"&lt;="&amp;$A64,実績!$AD$6:$AD$505,"&gt;"&amp;$A64,実績!$AE$6:$AE$505,"○")&gt;0,1,0))</f>
        <v/>
      </c>
      <c r="BA64">
        <f>IF(BA$4=0,0,IF(COUNTIFS(実績!$W$6:$W$505,BA$3,実績!$AC$6:$AC$505,"&lt;="&amp;$A64,実績!$AD$6:$AD$505,"&gt;"&amp;$A64,実績!$AE$6:$AE$505,"○")&gt;0,1,0))</f>
        <v/>
      </c>
      <c r="BB64">
        <f>IF(BB$4=0,0,IF(COUNTIFS(実績!$W$6:$W$505,BB$3,実績!$AC$6:$AC$505,"&lt;="&amp;$A64,実績!$AD$6:$AD$505,"&gt;"&amp;$A64,実績!$AE$6:$AE$505,"○")&gt;0,1,0))</f>
        <v/>
      </c>
      <c r="BC64">
        <f>IF(BC$4=0,0,IF(COUNTIFS(実績!$W$6:$W$505,BC$3,実績!$AC$6:$AC$505,"&lt;="&amp;$A64,実績!$AD$6:$AD$505,"&gt;"&amp;$A64,実績!$AE$6:$AE$505,"○")&gt;0,1,0))</f>
        <v/>
      </c>
      <c r="BD64">
        <f>IF(BD$4=0,0,IF(COUNTIFS(実績!$W$6:$W$505,BD$3,実績!$AC$6:$AC$505,"&lt;="&amp;$A64,実績!$AD$6:$AD$505,"&gt;"&amp;$A64,実績!$AE$6:$AE$505,"○")&gt;0,1,0))</f>
        <v/>
      </c>
      <c r="BE64">
        <f>IF(BE$4=0,0,IF(COUNTIFS(実績!$W$6:$W$505,BE$3,実績!$AC$6:$AC$505,"&lt;="&amp;$A64,実績!$AD$6:$AD$505,"&gt;"&amp;$A64,実績!$AE$6:$AE$505,"○")&gt;0,1,0))</f>
        <v/>
      </c>
      <c r="BF64">
        <f>IF(BF$4=0,0,IF(COUNTIFS(実績!$W$6:$W$505,BF$3,実績!$AC$6:$AC$505,"&lt;="&amp;$A64,実績!$AD$6:$AD$505,"&gt;"&amp;$A64,実績!$AE$6:$AE$505,"○")&gt;0,1,0))</f>
        <v/>
      </c>
      <c r="BG64">
        <f>IF(BG$4=0,0,IF(COUNTIFS(実績!$W$6:$W$505,BG$3,実績!$AC$6:$AC$505,"&lt;="&amp;$A64,実績!$AD$6:$AD$505,"&gt;"&amp;$A64,実績!$AE$6:$AE$505,"○")&gt;0,1,0))</f>
        <v/>
      </c>
      <c r="BH64">
        <f>IF(BH$4=0,0,IF(COUNTIFS(実績!$W$6:$W$505,BH$3,実績!$AC$6:$AC$505,"&lt;="&amp;$A64,実績!$AD$6:$AD$505,"&gt;"&amp;$A64,実績!$AE$6:$AE$505,"○")&gt;0,1,0))</f>
        <v/>
      </c>
      <c r="BI64">
        <f>IF(BI$4=0,0,IF(COUNTIFS(実績!$W$6:$W$505,BI$3,実績!$AC$6:$AC$505,"&lt;="&amp;$A64,実績!$AD$6:$AD$505,"&gt;"&amp;$A64,実績!$AE$6:$AE$505,"○")&gt;0,1,0))</f>
        <v/>
      </c>
      <c r="BJ64">
        <f>IF(BJ$4=0,0,IF(COUNTIFS(実績!$W$6:$W$505,BJ$3,実績!$AC$6:$AC$505,"&lt;="&amp;$A64,実績!$AD$6:$AD$505,"&gt;"&amp;$A64,実績!$AE$6:$AE$505,"○")&gt;0,1,0))</f>
        <v/>
      </c>
      <c r="BK64">
        <f>IF(BK$4=0,0,IF(COUNTIFS(実績!$W$6:$W$505,BK$3,実績!$AC$6:$AC$505,"&lt;="&amp;$A64,実績!$AD$6:$AD$505,"&gt;"&amp;$A64,実績!$AE$6:$AE$505,"○")&gt;0,1,0))</f>
        <v/>
      </c>
      <c r="BL64">
        <f>IF(BL$4=0,0,IF(COUNTIFS(実績!$W$6:$W$505,BL$3,実績!$AC$6:$AC$505,"&lt;="&amp;$A64,実績!$AD$6:$AD$505,"&gt;"&amp;$A64,実績!$AE$6:$AE$505,"○")&gt;0,1,0))</f>
        <v/>
      </c>
      <c r="BM64">
        <f>IF(BM$4=0,0,IF(COUNTIFS(実績!$W$6:$W$505,BM$3,実績!$AC$6:$AC$505,"&lt;="&amp;$A64,実績!$AD$6:$AD$505,"&gt;"&amp;$A64,実績!$AE$6:$AE$505,"○")&gt;0,1,0))</f>
        <v/>
      </c>
      <c r="BN64">
        <f>IF(BN$4=0,0,IF(COUNTIFS(実績!$W$6:$W$505,BN$3,実績!$AC$6:$AC$505,"&lt;="&amp;$A64,実績!$AD$6:$AD$505,"&gt;"&amp;$A64,実績!$AE$6:$AE$505,"○")&gt;0,1,0))</f>
        <v/>
      </c>
      <c r="BO64">
        <f>IF(BO$4=0,0,IF(COUNTIFS(実績!$W$6:$W$505,BO$3,実績!$AC$6:$AC$505,"&lt;="&amp;$A64,実績!$AD$6:$AD$505,"&gt;"&amp;$A64,実績!$AE$6:$AE$505,"○")&gt;0,1,0))</f>
        <v/>
      </c>
      <c r="BP64">
        <f>IF(BP$4=0,0,IF(COUNTIFS(実績!$W$6:$W$505,BP$3,実績!$AC$6:$AC$505,"&lt;="&amp;$A64,実績!$AD$6:$AD$505,"&gt;"&amp;$A64,実績!$AE$6:$AE$505,"○")&gt;0,1,0))</f>
        <v/>
      </c>
      <c r="BQ64">
        <f>IF(BQ$4=0,0,IF(COUNTIFS(実績!$W$6:$W$505,BQ$3,実績!$AC$6:$AC$505,"&lt;="&amp;$A64,実績!$AD$6:$AD$505,"&gt;"&amp;$A64,実績!$AE$6:$AE$505,"○")&gt;0,1,0))</f>
        <v/>
      </c>
      <c r="BR64">
        <f>IF(BR$4=0,0,IF(COUNTIFS(実績!$W$6:$W$505,BR$3,実績!$AC$6:$AC$505,"&lt;="&amp;$A64,実績!$AD$6:$AD$505,"&gt;"&amp;$A64,実績!$AE$6:$AE$505,"○")&gt;0,1,0))</f>
        <v/>
      </c>
      <c r="BS64">
        <f>IF(BS$4=0,0,IF(COUNTIFS(実績!$W$6:$W$505,BS$3,実績!$AC$6:$AC$505,"&lt;="&amp;$A64,実績!$AD$6:$AD$505,"&gt;"&amp;$A64,実績!$AE$6:$AE$505,"○")&gt;0,1,0))</f>
        <v/>
      </c>
      <c r="BT64">
        <f>IF(BT$4=0,0,IF(COUNTIFS(実績!$W$6:$W$505,BT$3,実績!$AC$6:$AC$505,"&lt;="&amp;$A64,実績!$AD$6:$AD$505,"&gt;"&amp;$A64,実績!$AE$6:$AE$505,"○")&gt;0,1,0))</f>
        <v/>
      </c>
      <c r="BU64">
        <f>IF(BU$4=0,0,IF(COUNTIFS(実績!$W$6:$W$505,BU$3,実績!$AC$6:$AC$505,"&lt;="&amp;$A64,実績!$AD$6:$AD$505,"&gt;"&amp;$A64,実績!$AE$6:$AE$505,"○")&gt;0,1,0))</f>
        <v/>
      </c>
      <c r="BV64">
        <f>IF(BV$4=0,0,IF(COUNTIFS(実績!$W$6:$W$505,BV$3,実績!$AC$6:$AC$505,"&lt;="&amp;$A64,実績!$AD$6:$AD$505,"&gt;"&amp;$A64,実績!$AE$6:$AE$505,"○")&gt;0,1,0))</f>
        <v/>
      </c>
      <c r="BW64">
        <f>IF(BW$4=0,0,IF(COUNTIFS(実績!$W$6:$W$505,BW$3,実績!$AC$6:$AC$505,"&lt;="&amp;$A64,実績!$AD$6:$AD$505,"&gt;"&amp;$A64,実績!$AE$6:$AE$505,"○")&gt;0,1,0))</f>
        <v/>
      </c>
      <c r="BX64">
        <f>IF(BX$4=0,0,IF(COUNTIFS(実績!$W$6:$W$505,BX$3,実績!$AC$6:$AC$505,"&lt;="&amp;$A64,実績!$AD$6:$AD$505,"&gt;"&amp;$A64,実績!$AE$6:$AE$505,"○")&gt;0,1,0))</f>
        <v/>
      </c>
      <c r="BY64">
        <f>IF(BY$4=0,0,IF(COUNTIFS(実績!$W$6:$W$505,BY$3,実績!$AC$6:$AC$505,"&lt;="&amp;$A64,実績!$AD$6:$AD$505,"&gt;"&amp;$A64,実績!$AE$6:$AE$505,"○")&gt;0,1,0))</f>
        <v/>
      </c>
      <c r="BZ64">
        <f>IF(BZ$4=0,0,IF(COUNTIFS(実績!$W$6:$W$505,BZ$3,実績!$AC$6:$AC$505,"&lt;="&amp;$A64,実績!$AD$6:$AD$505,"&gt;"&amp;$A64,実績!$AE$6:$AE$505,"○")&gt;0,1,0))</f>
        <v/>
      </c>
      <c r="CA64">
        <f>IF(CA$4=0,0,IF(COUNTIFS(実績!$W$6:$W$505,CA$3,実績!$AC$6:$AC$505,"&lt;="&amp;$A64,実績!$AD$6:$AD$505,"&gt;"&amp;$A64,実績!$AE$6:$AE$505,"○")&gt;0,1,0))</f>
        <v/>
      </c>
      <c r="CB64">
        <f>IF(CB$4=0,0,IF(COUNTIFS(実績!$W$6:$W$505,CB$3,実績!$AC$6:$AC$505,"&lt;="&amp;$A64,実績!$AD$6:$AD$505,"&gt;"&amp;$A64,実績!$AE$6:$AE$505,"○")&gt;0,1,0))</f>
        <v/>
      </c>
      <c r="CC64">
        <f>IF(CC$4=0,0,IF(COUNTIFS(実績!$W$6:$W$505,CC$3,実績!$AC$6:$AC$505,"&lt;="&amp;$A64,実績!$AD$6:$AD$505,"&gt;"&amp;$A64,実績!$AE$6:$AE$505,"○")&gt;0,1,0))</f>
        <v/>
      </c>
      <c r="CD64">
        <f>IF(CD$4=0,0,IF(COUNTIFS(実績!$W$6:$W$505,CD$3,実績!$AC$6:$AC$505,"&lt;="&amp;$A64,実績!$AD$6:$AD$505,"&gt;"&amp;$A64,実績!$AE$6:$AE$505,"○")&gt;0,1,0))</f>
        <v/>
      </c>
      <c r="CE64">
        <f>IF(CE$4=0,0,IF(COUNTIFS(実績!$W$6:$W$505,CE$3,実績!$AC$6:$AC$505,"&lt;="&amp;$A64,実績!$AD$6:$AD$505,"&gt;"&amp;$A64,実績!$AE$6:$AE$505,"○")&gt;0,1,0))</f>
        <v/>
      </c>
      <c r="CF64">
        <f>IF(CF$4=0,0,IF(COUNTIFS(実績!$W$6:$W$505,CF$3,実績!$AC$6:$AC$505,"&lt;="&amp;$A64,実績!$AD$6:$AD$505,"&gt;"&amp;$A64,実績!$AE$6:$AE$505,"○")&gt;0,1,0))</f>
        <v/>
      </c>
      <c r="CG64">
        <f>IF(CG$4=0,0,IF(COUNTIFS(実績!$W$6:$W$505,CG$3,実績!$AC$6:$AC$505,"&lt;="&amp;$A64,実績!$AD$6:$AD$505,"&gt;"&amp;$A64,実績!$AE$6:$AE$505,"○")&gt;0,1,0))</f>
        <v/>
      </c>
      <c r="CH64">
        <f>IF(CH$4=0,0,IF(COUNTIFS(実績!$W$6:$W$505,CH$3,実績!$AC$6:$AC$505,"&lt;="&amp;$A64,実績!$AD$6:$AD$505,"&gt;"&amp;$A64,実績!$AE$6:$AE$505,"○")&gt;0,1,0))</f>
        <v/>
      </c>
      <c r="CI64">
        <f>IF(CI$4=0,0,IF(COUNTIFS(実績!$W$6:$W$505,CI$3,実績!$AC$6:$AC$505,"&lt;="&amp;$A64,実績!$AD$6:$AD$505,"&gt;"&amp;$A64,実績!$AE$6:$AE$505,"○")&gt;0,1,0))</f>
        <v/>
      </c>
      <c r="CJ64">
        <f>IF(CJ$4=0,0,IF(COUNTIFS(実績!$W$6:$W$505,CJ$3,実績!$AC$6:$AC$505,"&lt;="&amp;$A64,実績!$AD$6:$AD$505,"&gt;"&amp;$A64,実績!$AE$6:$AE$505,"○")&gt;0,1,0))</f>
        <v/>
      </c>
      <c r="CK64">
        <f>IF(CK$4=0,0,IF(COUNTIFS(実績!$W$6:$W$505,CK$3,実績!$AC$6:$AC$505,"&lt;="&amp;$A64,実績!$AD$6:$AD$505,"&gt;"&amp;$A64,実績!$AE$6:$AE$505,"○")&gt;0,1,0))</f>
        <v/>
      </c>
      <c r="CL64">
        <f>IF(CL$4=0,0,IF(COUNTIFS(実績!$W$6:$W$505,CL$3,実績!$AC$6:$AC$505,"&lt;="&amp;$A64,実績!$AD$6:$AD$505,"&gt;"&amp;$A64,実績!$AE$6:$AE$505,"○")&gt;0,1,0))</f>
        <v/>
      </c>
      <c r="CM64">
        <f>IF(CM$4=0,0,IF(COUNTIFS(実績!$W$6:$W$505,CM$3,実績!$AC$6:$AC$505,"&lt;="&amp;$A64,実績!$AD$6:$AD$505,"&gt;"&amp;$A64,実績!$AE$6:$AE$505,"○")&gt;0,1,0))</f>
        <v/>
      </c>
      <c r="CN64">
        <f>IF(CN$4=0,0,IF(COUNTIFS(実績!$W$6:$W$505,CN$3,実績!$AC$6:$AC$505,"&lt;="&amp;$A64,実績!$AD$6:$AD$505,"&gt;"&amp;$A64,実績!$AE$6:$AE$505,"○")&gt;0,1,0))</f>
        <v/>
      </c>
      <c r="CO64">
        <f>IF(CO$4=0,0,IF(COUNTIFS(実績!$W$6:$W$505,CO$3,実績!$AC$6:$AC$505,"&lt;="&amp;$A64,実績!$AD$6:$AD$505,"&gt;"&amp;$A64,実績!$AE$6:$AE$505,"○")&gt;0,1,0))</f>
        <v/>
      </c>
      <c r="CP64">
        <f>IF(CP$4=0,0,IF(COUNTIFS(実績!$W$6:$W$505,CP$3,実績!$AC$6:$AC$505,"&lt;="&amp;$A64,実績!$AD$6:$AD$505,"&gt;"&amp;$A64,実績!$AE$6:$AE$505,"○")&gt;0,1,0))</f>
        <v/>
      </c>
      <c r="CQ64">
        <f>IF(CQ$4=0,0,IF(COUNTIFS(実績!$W$6:$W$505,CQ$3,実績!$AC$6:$AC$505,"&lt;="&amp;$A64,実績!$AD$6:$AD$505,"&gt;"&amp;$A64,実績!$AE$6:$AE$505,"○")&gt;0,1,0))</f>
        <v/>
      </c>
      <c r="CR64">
        <f>IF(CR$4=0,0,IF(COUNTIFS(実績!$W$6:$W$505,CR$3,実績!$AC$6:$AC$505,"&lt;="&amp;$A64,実績!$AD$6:$AD$505,"&gt;"&amp;$A64,実績!$AE$6:$AE$505,"○")&gt;0,1,0))</f>
        <v/>
      </c>
      <c r="CS64">
        <f>IF(CS$4=0,0,IF(COUNTIFS(実績!$W$6:$W$505,CS$3,実績!$AC$6:$AC$505,"&lt;="&amp;$A64,実績!$AD$6:$AD$505,"&gt;"&amp;$A64,実績!$AE$6:$AE$505,"○")&gt;0,1,0))</f>
        <v/>
      </c>
      <c r="CT64">
        <f>IF(CT$4=0,0,IF(COUNTIFS(実績!$W$6:$W$505,CT$3,実績!$AC$6:$AC$505,"&lt;="&amp;$A64,実績!$AD$6:$AD$505,"&gt;"&amp;$A64,実績!$AE$6:$AE$505,"○")&gt;0,1,0))</f>
        <v/>
      </c>
      <c r="CU64">
        <f>IF(CU$4=0,0,IF(COUNTIFS(実績!$W$6:$W$505,CU$3,実績!$AC$6:$AC$505,"&lt;="&amp;$A64,実績!$AD$6:$AD$505,"&gt;"&amp;$A64,実績!$AE$6:$AE$505,"○")&gt;0,1,0))</f>
        <v/>
      </c>
      <c r="CV64">
        <f>IF(CV$4=0,0,IF(COUNTIFS(実績!$W$6:$W$505,CV$3,実績!$AC$6:$AC$505,"&lt;="&amp;$A64,実績!$AD$6:$AD$505,"&gt;"&amp;$A64,実績!$AE$6:$AE$505,"○")&gt;0,1,0))</f>
        <v/>
      </c>
      <c r="CW64">
        <f>IF(CW$4=0,0,IF(COUNTIFS(実績!$W$6:$W$505,CW$3,実績!$AC$6:$AC$505,"&lt;="&amp;$A64,実績!$AD$6:$AD$505,"&gt;"&amp;$A64,実績!$AE$6:$AE$505,"○")&gt;0,1,0))</f>
        <v/>
      </c>
      <c r="CX64">
        <f>IF(CX$4=0,0,IF(COUNTIFS(実績!$W$6:$W$505,CX$3,実績!$AC$6:$AC$505,"&lt;="&amp;$A64,実績!$AD$6:$AD$505,"&gt;"&amp;$A64,実績!$AE$6:$AE$505,"○")&gt;0,1,0))</f>
        <v/>
      </c>
      <c r="CY64">
        <f>IF(CY$4=0,0,IF(COUNTIFS(実績!$W$6:$W$505,CY$3,実績!$AC$6:$AC$505,"&lt;="&amp;$A64,実績!$AD$6:$AD$505,"&gt;"&amp;$A64,実績!$AE$6:$AE$505,"○")&gt;0,1,0))</f>
        <v/>
      </c>
      <c r="CZ64">
        <f>IF(CZ$4=0,0,IF(COUNTIFS(実績!$W$6:$W$505,CZ$3,実績!$AC$6:$AC$505,"&lt;="&amp;$A64,実績!$AD$6:$AD$505,"&gt;"&amp;$A64,実績!$AE$6:$AE$505,"○")&gt;0,1,0))</f>
        <v/>
      </c>
      <c r="DA64">
        <f>IF(DA$4=0,0,IF(COUNTIFS(実績!$W$6:$W$505,DA$3,実績!$AC$6:$AC$505,"&lt;="&amp;$A64,実績!$AD$6:$AD$505,"&gt;"&amp;$A64,実績!$AE$6:$AE$505,"○")&gt;0,1,0))</f>
        <v/>
      </c>
      <c r="DB64">
        <f>IF(DB$4=0,0,IF(COUNTIFS(実績!$W$6:$W$505,DB$3,実績!$AC$6:$AC$505,"&lt;="&amp;$A64,実績!$AD$6:$AD$505,"&gt;"&amp;$A64,実績!$AE$6:$AE$505,"○")&gt;0,1,0))</f>
        <v/>
      </c>
      <c r="DC64">
        <f>IF(DC$4=0,0,IF(COUNTIFS(実績!$W$6:$W$505,DC$3,実績!$AC$6:$AC$505,"&lt;="&amp;$A64,実績!$AD$6:$AD$505,"&gt;"&amp;$A64,実績!$AE$6:$AE$505,"○")&gt;0,1,0))</f>
        <v/>
      </c>
      <c r="DD64">
        <f>IF(DD$4=0,0,IF(COUNTIFS(実績!$W$6:$W$505,DD$3,実績!$AC$6:$AC$505,"&lt;="&amp;$A64,実績!$AD$6:$AD$505,"&gt;"&amp;$A64,実績!$AE$6:$AE$505,"○")&gt;0,1,0))</f>
        <v/>
      </c>
      <c r="DE64">
        <f>IF(DE$4=0,0,IF(COUNTIFS(実績!$W$6:$W$505,DE$3,実績!$AC$6:$AC$505,"&lt;="&amp;$A64,実績!$AD$6:$AD$505,"&gt;"&amp;$A64,実績!$AE$6:$AE$505,"○")&gt;0,1,0))</f>
        <v/>
      </c>
      <c r="DF64">
        <f>IF(DF$4=0,0,IF(COUNTIFS(実績!$W$6:$W$505,DF$3,実績!$AC$6:$AC$505,"&lt;="&amp;$A64,実績!$AD$6:$AD$505,"&gt;"&amp;$A64,実績!$AE$6:$AE$505,"○")&gt;0,1,0))</f>
        <v/>
      </c>
      <c r="DG64">
        <f>IF(DG$4=0,0,IF(COUNTIFS(実績!$W$6:$W$505,DG$3,実績!$AC$6:$AC$505,"&lt;="&amp;$A64,実績!$AD$6:$AD$505,"&gt;"&amp;$A64,実績!$AE$6:$AE$505,"○")&gt;0,1,0))</f>
        <v/>
      </c>
      <c r="DH64">
        <f>IF(DH$4=0,0,IF(COUNTIFS(実績!$W$6:$W$505,DH$3,実績!$AC$6:$AC$505,"&lt;="&amp;$A64,実績!$AD$6:$AD$505,"&gt;"&amp;$A64,実績!$AE$6:$AE$505,"○")&gt;0,1,0))</f>
        <v/>
      </c>
      <c r="DI64">
        <f>IF(DI$4=0,0,IF(COUNTIFS(実績!$W$6:$W$505,DI$3,実績!$AC$6:$AC$505,"&lt;="&amp;$A64,実績!$AD$6:$AD$505,"&gt;"&amp;$A64,実績!$AE$6:$AE$505,"○")&gt;0,1,0))</f>
        <v/>
      </c>
      <c r="DJ64">
        <f>IF(DJ$4=0,0,IF(COUNTIFS(実績!$W$6:$W$505,DJ$3,実績!$AC$6:$AC$505,"&lt;="&amp;$A64,実績!$AD$6:$AD$505,"&gt;"&amp;$A64,実績!$AE$6:$AE$505,"○")&gt;0,1,0))</f>
        <v/>
      </c>
      <c r="DK64">
        <f>IF(DK$4=0,0,IF(COUNTIFS(実績!$W$6:$W$505,DK$3,実績!$AC$6:$AC$505,"&lt;="&amp;$A64,実績!$AD$6:$AD$505,"&gt;"&amp;$A64,実績!$AE$6:$AE$505,"○")&gt;0,1,0))</f>
        <v/>
      </c>
      <c r="DL64">
        <f>IF(DL$4=0,0,IF(COUNTIFS(実績!$W$6:$W$505,DL$3,実績!$AC$6:$AC$505,"&lt;="&amp;$A64,実績!$AD$6:$AD$505,"&gt;"&amp;$A64,実績!$AE$6:$AE$505,"○")&gt;0,1,0))</f>
        <v/>
      </c>
      <c r="DM64">
        <f>IF(DM$4=0,0,IF(COUNTIFS(実績!$W$6:$W$505,DM$3,実績!$AC$6:$AC$505,"&lt;="&amp;$A64,実績!$AD$6:$AD$505,"&gt;"&amp;$A64,実績!$AE$6:$AE$505,"○")&gt;0,1,0))</f>
        <v/>
      </c>
      <c r="DN64">
        <f>IF(DN$4=0,0,IF(COUNTIFS(実績!$W$6:$W$505,DN$3,実績!$AC$6:$AC$505,"&lt;="&amp;$A64,実績!$AD$6:$AD$505,"&gt;"&amp;$A64,実績!$AE$6:$AE$505,"○")&gt;0,1,0))</f>
        <v/>
      </c>
      <c r="DO64">
        <f>IF(DO$4=0,0,IF(COUNTIFS(実績!$W$6:$W$505,DO$3,実績!$AC$6:$AC$505,"&lt;="&amp;$A64,実績!$AD$6:$AD$505,"&gt;"&amp;$A64,実績!$AE$6:$AE$505,"○")&gt;0,1,0))</f>
        <v/>
      </c>
      <c r="DP64">
        <f>IF(DP$4=0,0,IF(COUNTIFS(実績!$W$6:$W$505,DP$3,実績!$AC$6:$AC$505,"&lt;="&amp;$A64,実績!$AD$6:$AD$505,"&gt;"&amp;$A64,実績!$AE$6:$AE$505,"○")&gt;0,1,0))</f>
        <v/>
      </c>
      <c r="DQ64">
        <f>IF(DQ$4=0,0,IF(COUNTIFS(実績!$W$6:$W$505,DQ$3,実績!$AC$6:$AC$505,"&lt;="&amp;$A64,実績!$AD$6:$AD$505,"&gt;"&amp;$A64,実績!$AE$6:$AE$505,"○")&gt;0,1,0))</f>
        <v/>
      </c>
      <c r="DR64">
        <f>IF(DR$4=0,0,IF(COUNTIFS(実績!$W$6:$W$505,DR$3,実績!$AC$6:$AC$505,"&lt;="&amp;$A64,実績!$AD$6:$AD$505,"&gt;"&amp;$A64,実績!$AE$6:$AE$505,"○")&gt;0,1,0))</f>
        <v/>
      </c>
      <c r="DS64">
        <f>SUM(C64:DR64)</f>
        <v/>
      </c>
      <c r="DT64">
        <f>SUMPRODUCT((実績!$C$6:$C$505="○")*ISNUMBER(実績!$AF$6:$AF$505)*(実績!$AF$6:$AF$505&lt;=$A64)*(実績!$AG$6:$AG$505&gt;$A64))</f>
        <v/>
      </c>
      <c r="DU64">
        <f>SUMIF($C$2:$DR$2,"製鉄曳船",C64:DR64)</f>
        <v/>
      </c>
      <c r="DV64">
        <f>SUMIF($C$2:$DR$2,"西日本海運",C64:DR64)</f>
        <v/>
      </c>
    </row>
    <row r="65">
      <c r="A65" t="n">
        <v>295</v>
      </c>
      <c r="B65" s="29">
        <f>A65/1440</f>
        <v/>
      </c>
      <c r="C65">
        <f>IF(C$4=0,0,IF(COUNTIFS(実績!$W$6:$W$505,C$3,実績!$AC$6:$AC$505,"&lt;="&amp;$A65,実績!$AD$6:$AD$505,"&gt;"&amp;$A65,実績!$AE$6:$AE$505,"○")&gt;0,1,0))</f>
        <v/>
      </c>
      <c r="D65">
        <f>IF(D$4=0,0,IF(COUNTIFS(実績!$W$6:$W$505,D$3,実績!$AC$6:$AC$505,"&lt;="&amp;$A65,実績!$AD$6:$AD$505,"&gt;"&amp;$A65,実績!$AE$6:$AE$505,"○")&gt;0,1,0))</f>
        <v/>
      </c>
      <c r="E65">
        <f>IF(E$4=0,0,IF(COUNTIFS(実績!$W$6:$W$505,E$3,実績!$AC$6:$AC$505,"&lt;="&amp;$A65,実績!$AD$6:$AD$505,"&gt;"&amp;$A65,実績!$AE$6:$AE$505,"○")&gt;0,1,0))</f>
        <v/>
      </c>
      <c r="F65">
        <f>IF(F$4=0,0,IF(COUNTIFS(実績!$W$6:$W$505,F$3,実績!$AC$6:$AC$505,"&lt;="&amp;$A65,実績!$AD$6:$AD$505,"&gt;"&amp;$A65,実績!$AE$6:$AE$505,"○")&gt;0,1,0))</f>
        <v/>
      </c>
      <c r="G65">
        <f>IF(G$4=0,0,IF(COUNTIFS(実績!$W$6:$W$505,G$3,実績!$AC$6:$AC$505,"&lt;="&amp;$A65,実績!$AD$6:$AD$505,"&gt;"&amp;$A65,実績!$AE$6:$AE$505,"○")&gt;0,1,0))</f>
        <v/>
      </c>
      <c r="H65">
        <f>IF(H$4=0,0,IF(COUNTIFS(実績!$W$6:$W$505,H$3,実績!$AC$6:$AC$505,"&lt;="&amp;$A65,実績!$AD$6:$AD$505,"&gt;"&amp;$A65,実績!$AE$6:$AE$505,"○")&gt;0,1,0))</f>
        <v/>
      </c>
      <c r="I65">
        <f>IF(I$4=0,0,IF(COUNTIFS(実績!$W$6:$W$505,I$3,実績!$AC$6:$AC$505,"&lt;="&amp;$A65,実績!$AD$6:$AD$505,"&gt;"&amp;$A65,実績!$AE$6:$AE$505,"○")&gt;0,1,0))</f>
        <v/>
      </c>
      <c r="J65">
        <f>IF(J$4=0,0,IF(COUNTIFS(実績!$W$6:$W$505,J$3,実績!$AC$6:$AC$505,"&lt;="&amp;$A65,実績!$AD$6:$AD$505,"&gt;"&amp;$A65,実績!$AE$6:$AE$505,"○")&gt;0,1,0))</f>
        <v/>
      </c>
      <c r="K65">
        <f>IF(K$4=0,0,IF(COUNTIFS(実績!$W$6:$W$505,K$3,実績!$AC$6:$AC$505,"&lt;="&amp;$A65,実績!$AD$6:$AD$505,"&gt;"&amp;$A65,実績!$AE$6:$AE$505,"○")&gt;0,1,0))</f>
        <v/>
      </c>
      <c r="L65">
        <f>IF(L$4=0,0,IF(COUNTIFS(実績!$W$6:$W$505,L$3,実績!$AC$6:$AC$505,"&lt;="&amp;$A65,実績!$AD$6:$AD$505,"&gt;"&amp;$A65,実績!$AE$6:$AE$505,"○")&gt;0,1,0))</f>
        <v/>
      </c>
      <c r="M65">
        <f>IF(M$4=0,0,IF(COUNTIFS(実績!$W$6:$W$505,M$3,実績!$AC$6:$AC$505,"&lt;="&amp;$A65,実績!$AD$6:$AD$505,"&gt;"&amp;$A65,実績!$AE$6:$AE$505,"○")&gt;0,1,0))</f>
        <v/>
      </c>
      <c r="N65">
        <f>IF(N$4=0,0,IF(COUNTIFS(実績!$W$6:$W$505,N$3,実績!$AC$6:$AC$505,"&lt;="&amp;$A65,実績!$AD$6:$AD$505,"&gt;"&amp;$A65,実績!$AE$6:$AE$505,"○")&gt;0,1,0))</f>
        <v/>
      </c>
      <c r="O65">
        <f>IF(O$4=0,0,IF(COUNTIFS(実績!$W$6:$W$505,O$3,実績!$AC$6:$AC$505,"&lt;="&amp;$A65,実績!$AD$6:$AD$505,"&gt;"&amp;$A65,実績!$AE$6:$AE$505,"○")&gt;0,1,0))</f>
        <v/>
      </c>
      <c r="P65">
        <f>IF(P$4=0,0,IF(COUNTIFS(実績!$W$6:$W$505,P$3,実績!$AC$6:$AC$505,"&lt;="&amp;$A65,実績!$AD$6:$AD$505,"&gt;"&amp;$A65,実績!$AE$6:$AE$505,"○")&gt;0,1,0))</f>
        <v/>
      </c>
      <c r="Q65">
        <f>IF(Q$4=0,0,IF(COUNTIFS(実績!$W$6:$W$505,Q$3,実績!$AC$6:$AC$505,"&lt;="&amp;$A65,実績!$AD$6:$AD$505,"&gt;"&amp;$A65,実績!$AE$6:$AE$505,"○")&gt;0,1,0))</f>
        <v/>
      </c>
      <c r="R65">
        <f>IF(R$4=0,0,IF(COUNTIFS(実績!$W$6:$W$505,R$3,実績!$AC$6:$AC$505,"&lt;="&amp;$A65,実績!$AD$6:$AD$505,"&gt;"&amp;$A65,実績!$AE$6:$AE$505,"○")&gt;0,1,0))</f>
        <v/>
      </c>
      <c r="S65">
        <f>IF(S$4=0,0,IF(COUNTIFS(実績!$W$6:$W$505,S$3,実績!$AC$6:$AC$505,"&lt;="&amp;$A65,実績!$AD$6:$AD$505,"&gt;"&amp;$A65,実績!$AE$6:$AE$505,"○")&gt;0,1,0))</f>
        <v/>
      </c>
      <c r="T65">
        <f>IF(T$4=0,0,IF(COUNTIFS(実績!$W$6:$W$505,T$3,実績!$AC$6:$AC$505,"&lt;="&amp;$A65,実績!$AD$6:$AD$505,"&gt;"&amp;$A65,実績!$AE$6:$AE$505,"○")&gt;0,1,0))</f>
        <v/>
      </c>
      <c r="U65">
        <f>IF(U$4=0,0,IF(COUNTIFS(実績!$W$6:$W$505,U$3,実績!$AC$6:$AC$505,"&lt;="&amp;$A65,実績!$AD$6:$AD$505,"&gt;"&amp;$A65,実績!$AE$6:$AE$505,"○")&gt;0,1,0))</f>
        <v/>
      </c>
      <c r="V65">
        <f>IF(V$4=0,0,IF(COUNTIFS(実績!$W$6:$W$505,V$3,実績!$AC$6:$AC$505,"&lt;="&amp;$A65,実績!$AD$6:$AD$505,"&gt;"&amp;$A65,実績!$AE$6:$AE$505,"○")&gt;0,1,0))</f>
        <v/>
      </c>
      <c r="W65">
        <f>IF(W$4=0,0,IF(COUNTIFS(実績!$W$6:$W$505,W$3,実績!$AC$6:$AC$505,"&lt;="&amp;$A65,実績!$AD$6:$AD$505,"&gt;"&amp;$A65,実績!$AE$6:$AE$505,"○")&gt;0,1,0))</f>
        <v/>
      </c>
      <c r="X65">
        <f>IF(X$4=0,0,IF(COUNTIFS(実績!$W$6:$W$505,X$3,実績!$AC$6:$AC$505,"&lt;="&amp;$A65,実績!$AD$6:$AD$505,"&gt;"&amp;$A65,実績!$AE$6:$AE$505,"○")&gt;0,1,0))</f>
        <v/>
      </c>
      <c r="Y65">
        <f>IF(Y$4=0,0,IF(COUNTIFS(実績!$W$6:$W$505,Y$3,実績!$AC$6:$AC$505,"&lt;="&amp;$A65,実績!$AD$6:$AD$505,"&gt;"&amp;$A65,実績!$AE$6:$AE$505,"○")&gt;0,1,0))</f>
        <v/>
      </c>
      <c r="Z65">
        <f>IF(Z$4=0,0,IF(COUNTIFS(実績!$W$6:$W$505,Z$3,実績!$AC$6:$AC$505,"&lt;="&amp;$A65,実績!$AD$6:$AD$505,"&gt;"&amp;$A65,実績!$AE$6:$AE$505,"○")&gt;0,1,0))</f>
        <v/>
      </c>
      <c r="AA65">
        <f>IF(AA$4=0,0,IF(COUNTIFS(実績!$W$6:$W$505,AA$3,実績!$AC$6:$AC$505,"&lt;="&amp;$A65,実績!$AD$6:$AD$505,"&gt;"&amp;$A65,実績!$AE$6:$AE$505,"○")&gt;0,1,0))</f>
        <v/>
      </c>
      <c r="AB65">
        <f>IF(AB$4=0,0,IF(COUNTIFS(実績!$W$6:$W$505,AB$3,実績!$AC$6:$AC$505,"&lt;="&amp;$A65,実績!$AD$6:$AD$505,"&gt;"&amp;$A65,実績!$AE$6:$AE$505,"○")&gt;0,1,0))</f>
        <v/>
      </c>
      <c r="AC65">
        <f>IF(AC$4=0,0,IF(COUNTIFS(実績!$W$6:$W$505,AC$3,実績!$AC$6:$AC$505,"&lt;="&amp;$A65,実績!$AD$6:$AD$505,"&gt;"&amp;$A65,実績!$AE$6:$AE$505,"○")&gt;0,1,0))</f>
        <v/>
      </c>
      <c r="AD65">
        <f>IF(AD$4=0,0,IF(COUNTIFS(実績!$W$6:$W$505,AD$3,実績!$AC$6:$AC$505,"&lt;="&amp;$A65,実績!$AD$6:$AD$505,"&gt;"&amp;$A65,実績!$AE$6:$AE$505,"○")&gt;0,1,0))</f>
        <v/>
      </c>
      <c r="AE65">
        <f>IF(AE$4=0,0,IF(COUNTIFS(実績!$W$6:$W$505,AE$3,実績!$AC$6:$AC$505,"&lt;="&amp;$A65,実績!$AD$6:$AD$505,"&gt;"&amp;$A65,実績!$AE$6:$AE$505,"○")&gt;0,1,0))</f>
        <v/>
      </c>
      <c r="AF65">
        <f>IF(AF$4=0,0,IF(COUNTIFS(実績!$W$6:$W$505,AF$3,実績!$AC$6:$AC$505,"&lt;="&amp;$A65,実績!$AD$6:$AD$505,"&gt;"&amp;$A65,実績!$AE$6:$AE$505,"○")&gt;0,1,0))</f>
        <v/>
      </c>
      <c r="AG65">
        <f>IF(AG$4=0,0,IF(COUNTIFS(実績!$W$6:$W$505,AG$3,実績!$AC$6:$AC$505,"&lt;="&amp;$A65,実績!$AD$6:$AD$505,"&gt;"&amp;$A65,実績!$AE$6:$AE$505,"○")&gt;0,1,0))</f>
        <v/>
      </c>
      <c r="AH65">
        <f>IF(AH$4=0,0,IF(COUNTIFS(実績!$W$6:$W$505,AH$3,実績!$AC$6:$AC$505,"&lt;="&amp;$A65,実績!$AD$6:$AD$505,"&gt;"&amp;$A65,実績!$AE$6:$AE$505,"○")&gt;0,1,0))</f>
        <v/>
      </c>
      <c r="AI65">
        <f>IF(AI$4=0,0,IF(COUNTIFS(実績!$W$6:$W$505,AI$3,実績!$AC$6:$AC$505,"&lt;="&amp;$A65,実績!$AD$6:$AD$505,"&gt;"&amp;$A65,実績!$AE$6:$AE$505,"○")&gt;0,1,0))</f>
        <v/>
      </c>
      <c r="AJ65">
        <f>IF(AJ$4=0,0,IF(COUNTIFS(実績!$W$6:$W$505,AJ$3,実績!$AC$6:$AC$505,"&lt;="&amp;$A65,実績!$AD$6:$AD$505,"&gt;"&amp;$A65,実績!$AE$6:$AE$505,"○")&gt;0,1,0))</f>
        <v/>
      </c>
      <c r="AK65">
        <f>IF(AK$4=0,0,IF(COUNTIFS(実績!$W$6:$W$505,AK$3,実績!$AC$6:$AC$505,"&lt;="&amp;$A65,実績!$AD$6:$AD$505,"&gt;"&amp;$A65,実績!$AE$6:$AE$505,"○")&gt;0,1,0))</f>
        <v/>
      </c>
      <c r="AL65">
        <f>IF(AL$4=0,0,IF(COUNTIFS(実績!$W$6:$W$505,AL$3,実績!$AC$6:$AC$505,"&lt;="&amp;$A65,実績!$AD$6:$AD$505,"&gt;"&amp;$A65,実績!$AE$6:$AE$505,"○")&gt;0,1,0))</f>
        <v/>
      </c>
      <c r="AM65">
        <f>IF(AM$4=0,0,IF(COUNTIFS(実績!$W$6:$W$505,AM$3,実績!$AC$6:$AC$505,"&lt;="&amp;$A65,実績!$AD$6:$AD$505,"&gt;"&amp;$A65,実績!$AE$6:$AE$505,"○")&gt;0,1,0))</f>
        <v/>
      </c>
      <c r="AN65">
        <f>IF(AN$4=0,0,IF(COUNTIFS(実績!$W$6:$W$505,AN$3,実績!$AC$6:$AC$505,"&lt;="&amp;$A65,実績!$AD$6:$AD$505,"&gt;"&amp;$A65,実績!$AE$6:$AE$505,"○")&gt;0,1,0))</f>
        <v/>
      </c>
      <c r="AO65">
        <f>IF(AO$4=0,0,IF(COUNTIFS(実績!$W$6:$W$505,AO$3,実績!$AC$6:$AC$505,"&lt;="&amp;$A65,実績!$AD$6:$AD$505,"&gt;"&amp;$A65,実績!$AE$6:$AE$505,"○")&gt;0,1,0))</f>
        <v/>
      </c>
      <c r="AP65">
        <f>IF(AP$4=0,0,IF(COUNTIFS(実績!$W$6:$W$505,AP$3,実績!$AC$6:$AC$505,"&lt;="&amp;$A65,実績!$AD$6:$AD$505,"&gt;"&amp;$A65,実績!$AE$6:$AE$505,"○")&gt;0,1,0))</f>
        <v/>
      </c>
      <c r="AQ65">
        <f>IF(AQ$4=0,0,IF(COUNTIFS(実績!$W$6:$W$505,AQ$3,実績!$AC$6:$AC$505,"&lt;="&amp;$A65,実績!$AD$6:$AD$505,"&gt;"&amp;$A65,実績!$AE$6:$AE$505,"○")&gt;0,1,0))</f>
        <v/>
      </c>
      <c r="AR65">
        <f>IF(AR$4=0,0,IF(COUNTIFS(実績!$W$6:$W$505,AR$3,実績!$AC$6:$AC$505,"&lt;="&amp;$A65,実績!$AD$6:$AD$505,"&gt;"&amp;$A65,実績!$AE$6:$AE$505,"○")&gt;0,1,0))</f>
        <v/>
      </c>
      <c r="AS65">
        <f>IF(AS$4=0,0,IF(COUNTIFS(実績!$W$6:$W$505,AS$3,実績!$AC$6:$AC$505,"&lt;="&amp;$A65,実績!$AD$6:$AD$505,"&gt;"&amp;$A65,実績!$AE$6:$AE$505,"○")&gt;0,1,0))</f>
        <v/>
      </c>
      <c r="AT65">
        <f>IF(AT$4=0,0,IF(COUNTIFS(実績!$W$6:$W$505,AT$3,実績!$AC$6:$AC$505,"&lt;="&amp;$A65,実績!$AD$6:$AD$505,"&gt;"&amp;$A65,実績!$AE$6:$AE$505,"○")&gt;0,1,0))</f>
        <v/>
      </c>
      <c r="AU65">
        <f>IF(AU$4=0,0,IF(COUNTIFS(実績!$W$6:$W$505,AU$3,実績!$AC$6:$AC$505,"&lt;="&amp;$A65,実績!$AD$6:$AD$505,"&gt;"&amp;$A65,実績!$AE$6:$AE$505,"○")&gt;0,1,0))</f>
        <v/>
      </c>
      <c r="AV65">
        <f>IF(AV$4=0,0,IF(COUNTIFS(実績!$W$6:$W$505,AV$3,実績!$AC$6:$AC$505,"&lt;="&amp;$A65,実績!$AD$6:$AD$505,"&gt;"&amp;$A65,実績!$AE$6:$AE$505,"○")&gt;0,1,0))</f>
        <v/>
      </c>
      <c r="AW65">
        <f>IF(AW$4=0,0,IF(COUNTIFS(実績!$W$6:$W$505,AW$3,実績!$AC$6:$AC$505,"&lt;="&amp;$A65,実績!$AD$6:$AD$505,"&gt;"&amp;$A65,実績!$AE$6:$AE$505,"○")&gt;0,1,0))</f>
        <v/>
      </c>
      <c r="AX65">
        <f>IF(AX$4=0,0,IF(COUNTIFS(実績!$W$6:$W$505,AX$3,実績!$AC$6:$AC$505,"&lt;="&amp;$A65,実績!$AD$6:$AD$505,"&gt;"&amp;$A65,実績!$AE$6:$AE$505,"○")&gt;0,1,0))</f>
        <v/>
      </c>
      <c r="AY65">
        <f>IF(AY$4=0,0,IF(COUNTIFS(実績!$W$6:$W$505,AY$3,実績!$AC$6:$AC$505,"&lt;="&amp;$A65,実績!$AD$6:$AD$505,"&gt;"&amp;$A65,実績!$AE$6:$AE$505,"○")&gt;0,1,0))</f>
        <v/>
      </c>
      <c r="AZ65">
        <f>IF(AZ$4=0,0,IF(COUNTIFS(実績!$W$6:$W$505,AZ$3,実績!$AC$6:$AC$505,"&lt;="&amp;$A65,実績!$AD$6:$AD$505,"&gt;"&amp;$A65,実績!$AE$6:$AE$505,"○")&gt;0,1,0))</f>
        <v/>
      </c>
      <c r="BA65">
        <f>IF(BA$4=0,0,IF(COUNTIFS(実績!$W$6:$W$505,BA$3,実績!$AC$6:$AC$505,"&lt;="&amp;$A65,実績!$AD$6:$AD$505,"&gt;"&amp;$A65,実績!$AE$6:$AE$505,"○")&gt;0,1,0))</f>
        <v/>
      </c>
      <c r="BB65">
        <f>IF(BB$4=0,0,IF(COUNTIFS(実績!$W$6:$W$505,BB$3,実績!$AC$6:$AC$505,"&lt;="&amp;$A65,実績!$AD$6:$AD$505,"&gt;"&amp;$A65,実績!$AE$6:$AE$505,"○")&gt;0,1,0))</f>
        <v/>
      </c>
      <c r="BC65">
        <f>IF(BC$4=0,0,IF(COUNTIFS(実績!$W$6:$W$505,BC$3,実績!$AC$6:$AC$505,"&lt;="&amp;$A65,実績!$AD$6:$AD$505,"&gt;"&amp;$A65,実績!$AE$6:$AE$505,"○")&gt;0,1,0))</f>
        <v/>
      </c>
      <c r="BD65">
        <f>IF(BD$4=0,0,IF(COUNTIFS(実績!$W$6:$W$505,BD$3,実績!$AC$6:$AC$505,"&lt;="&amp;$A65,実績!$AD$6:$AD$505,"&gt;"&amp;$A65,実績!$AE$6:$AE$505,"○")&gt;0,1,0))</f>
        <v/>
      </c>
      <c r="BE65">
        <f>IF(BE$4=0,0,IF(COUNTIFS(実績!$W$6:$W$505,BE$3,実績!$AC$6:$AC$505,"&lt;="&amp;$A65,実績!$AD$6:$AD$505,"&gt;"&amp;$A65,実績!$AE$6:$AE$505,"○")&gt;0,1,0))</f>
        <v/>
      </c>
      <c r="BF65">
        <f>IF(BF$4=0,0,IF(COUNTIFS(実績!$W$6:$W$505,BF$3,実績!$AC$6:$AC$505,"&lt;="&amp;$A65,実績!$AD$6:$AD$505,"&gt;"&amp;$A65,実績!$AE$6:$AE$505,"○")&gt;0,1,0))</f>
        <v/>
      </c>
      <c r="BG65">
        <f>IF(BG$4=0,0,IF(COUNTIFS(実績!$W$6:$W$505,BG$3,実績!$AC$6:$AC$505,"&lt;="&amp;$A65,実績!$AD$6:$AD$505,"&gt;"&amp;$A65,実績!$AE$6:$AE$505,"○")&gt;0,1,0))</f>
        <v/>
      </c>
      <c r="BH65">
        <f>IF(BH$4=0,0,IF(COUNTIFS(実績!$W$6:$W$505,BH$3,実績!$AC$6:$AC$505,"&lt;="&amp;$A65,実績!$AD$6:$AD$505,"&gt;"&amp;$A65,実績!$AE$6:$AE$505,"○")&gt;0,1,0))</f>
        <v/>
      </c>
      <c r="BI65">
        <f>IF(BI$4=0,0,IF(COUNTIFS(実績!$W$6:$W$505,BI$3,実績!$AC$6:$AC$505,"&lt;="&amp;$A65,実績!$AD$6:$AD$505,"&gt;"&amp;$A65,実績!$AE$6:$AE$505,"○")&gt;0,1,0))</f>
        <v/>
      </c>
      <c r="BJ65">
        <f>IF(BJ$4=0,0,IF(COUNTIFS(実績!$W$6:$W$505,BJ$3,実績!$AC$6:$AC$505,"&lt;="&amp;$A65,実績!$AD$6:$AD$505,"&gt;"&amp;$A65,実績!$AE$6:$AE$505,"○")&gt;0,1,0))</f>
        <v/>
      </c>
      <c r="BK65">
        <f>IF(BK$4=0,0,IF(COUNTIFS(実績!$W$6:$W$505,BK$3,実績!$AC$6:$AC$505,"&lt;="&amp;$A65,実績!$AD$6:$AD$505,"&gt;"&amp;$A65,実績!$AE$6:$AE$505,"○")&gt;0,1,0))</f>
        <v/>
      </c>
      <c r="BL65">
        <f>IF(BL$4=0,0,IF(COUNTIFS(実績!$W$6:$W$505,BL$3,実績!$AC$6:$AC$505,"&lt;="&amp;$A65,実績!$AD$6:$AD$505,"&gt;"&amp;$A65,実績!$AE$6:$AE$505,"○")&gt;0,1,0))</f>
        <v/>
      </c>
      <c r="BM65">
        <f>IF(BM$4=0,0,IF(COUNTIFS(実績!$W$6:$W$505,BM$3,実績!$AC$6:$AC$505,"&lt;="&amp;$A65,実績!$AD$6:$AD$505,"&gt;"&amp;$A65,実績!$AE$6:$AE$505,"○")&gt;0,1,0))</f>
        <v/>
      </c>
      <c r="BN65">
        <f>IF(BN$4=0,0,IF(COUNTIFS(実績!$W$6:$W$505,BN$3,実績!$AC$6:$AC$505,"&lt;="&amp;$A65,実績!$AD$6:$AD$505,"&gt;"&amp;$A65,実績!$AE$6:$AE$505,"○")&gt;0,1,0))</f>
        <v/>
      </c>
      <c r="BO65">
        <f>IF(BO$4=0,0,IF(COUNTIFS(実績!$W$6:$W$505,BO$3,実績!$AC$6:$AC$505,"&lt;="&amp;$A65,実績!$AD$6:$AD$505,"&gt;"&amp;$A65,実績!$AE$6:$AE$505,"○")&gt;0,1,0))</f>
        <v/>
      </c>
      <c r="BP65">
        <f>IF(BP$4=0,0,IF(COUNTIFS(実績!$W$6:$W$505,BP$3,実績!$AC$6:$AC$505,"&lt;="&amp;$A65,実績!$AD$6:$AD$505,"&gt;"&amp;$A65,実績!$AE$6:$AE$505,"○")&gt;0,1,0))</f>
        <v/>
      </c>
      <c r="BQ65">
        <f>IF(BQ$4=0,0,IF(COUNTIFS(実績!$W$6:$W$505,BQ$3,実績!$AC$6:$AC$505,"&lt;="&amp;$A65,実績!$AD$6:$AD$505,"&gt;"&amp;$A65,実績!$AE$6:$AE$505,"○")&gt;0,1,0))</f>
        <v/>
      </c>
      <c r="BR65">
        <f>IF(BR$4=0,0,IF(COUNTIFS(実績!$W$6:$W$505,BR$3,実績!$AC$6:$AC$505,"&lt;="&amp;$A65,実績!$AD$6:$AD$505,"&gt;"&amp;$A65,実績!$AE$6:$AE$505,"○")&gt;0,1,0))</f>
        <v/>
      </c>
      <c r="BS65">
        <f>IF(BS$4=0,0,IF(COUNTIFS(実績!$W$6:$W$505,BS$3,実績!$AC$6:$AC$505,"&lt;="&amp;$A65,実績!$AD$6:$AD$505,"&gt;"&amp;$A65,実績!$AE$6:$AE$505,"○")&gt;0,1,0))</f>
        <v/>
      </c>
      <c r="BT65">
        <f>IF(BT$4=0,0,IF(COUNTIFS(実績!$W$6:$W$505,BT$3,実績!$AC$6:$AC$505,"&lt;="&amp;$A65,実績!$AD$6:$AD$505,"&gt;"&amp;$A65,実績!$AE$6:$AE$505,"○")&gt;0,1,0))</f>
        <v/>
      </c>
      <c r="BU65">
        <f>IF(BU$4=0,0,IF(COUNTIFS(実績!$W$6:$W$505,BU$3,実績!$AC$6:$AC$505,"&lt;="&amp;$A65,実績!$AD$6:$AD$505,"&gt;"&amp;$A65,実績!$AE$6:$AE$505,"○")&gt;0,1,0))</f>
        <v/>
      </c>
      <c r="BV65">
        <f>IF(BV$4=0,0,IF(COUNTIFS(実績!$W$6:$W$505,BV$3,実績!$AC$6:$AC$505,"&lt;="&amp;$A65,実績!$AD$6:$AD$505,"&gt;"&amp;$A65,実績!$AE$6:$AE$505,"○")&gt;0,1,0))</f>
        <v/>
      </c>
      <c r="BW65">
        <f>IF(BW$4=0,0,IF(COUNTIFS(実績!$W$6:$W$505,BW$3,実績!$AC$6:$AC$505,"&lt;="&amp;$A65,実績!$AD$6:$AD$505,"&gt;"&amp;$A65,実績!$AE$6:$AE$505,"○")&gt;0,1,0))</f>
        <v/>
      </c>
      <c r="BX65">
        <f>IF(BX$4=0,0,IF(COUNTIFS(実績!$W$6:$W$505,BX$3,実績!$AC$6:$AC$505,"&lt;="&amp;$A65,実績!$AD$6:$AD$505,"&gt;"&amp;$A65,実績!$AE$6:$AE$505,"○")&gt;0,1,0))</f>
        <v/>
      </c>
      <c r="BY65">
        <f>IF(BY$4=0,0,IF(COUNTIFS(実績!$W$6:$W$505,BY$3,実績!$AC$6:$AC$505,"&lt;="&amp;$A65,実績!$AD$6:$AD$505,"&gt;"&amp;$A65,実績!$AE$6:$AE$505,"○")&gt;0,1,0))</f>
        <v/>
      </c>
      <c r="BZ65">
        <f>IF(BZ$4=0,0,IF(COUNTIFS(実績!$W$6:$W$505,BZ$3,実績!$AC$6:$AC$505,"&lt;="&amp;$A65,実績!$AD$6:$AD$505,"&gt;"&amp;$A65,実績!$AE$6:$AE$505,"○")&gt;0,1,0))</f>
        <v/>
      </c>
      <c r="CA65">
        <f>IF(CA$4=0,0,IF(COUNTIFS(実績!$W$6:$W$505,CA$3,実績!$AC$6:$AC$505,"&lt;="&amp;$A65,実績!$AD$6:$AD$505,"&gt;"&amp;$A65,実績!$AE$6:$AE$505,"○")&gt;0,1,0))</f>
        <v/>
      </c>
      <c r="CB65">
        <f>IF(CB$4=0,0,IF(COUNTIFS(実績!$W$6:$W$505,CB$3,実績!$AC$6:$AC$505,"&lt;="&amp;$A65,実績!$AD$6:$AD$505,"&gt;"&amp;$A65,実績!$AE$6:$AE$505,"○")&gt;0,1,0))</f>
        <v/>
      </c>
      <c r="CC65">
        <f>IF(CC$4=0,0,IF(COUNTIFS(実績!$W$6:$W$505,CC$3,実績!$AC$6:$AC$505,"&lt;="&amp;$A65,実績!$AD$6:$AD$505,"&gt;"&amp;$A65,実績!$AE$6:$AE$505,"○")&gt;0,1,0))</f>
        <v/>
      </c>
      <c r="CD65">
        <f>IF(CD$4=0,0,IF(COUNTIFS(実績!$W$6:$W$505,CD$3,実績!$AC$6:$AC$505,"&lt;="&amp;$A65,実績!$AD$6:$AD$505,"&gt;"&amp;$A65,実績!$AE$6:$AE$505,"○")&gt;0,1,0))</f>
        <v/>
      </c>
      <c r="CE65">
        <f>IF(CE$4=0,0,IF(COUNTIFS(実績!$W$6:$W$505,CE$3,実績!$AC$6:$AC$505,"&lt;="&amp;$A65,実績!$AD$6:$AD$505,"&gt;"&amp;$A65,実績!$AE$6:$AE$505,"○")&gt;0,1,0))</f>
        <v/>
      </c>
      <c r="CF65">
        <f>IF(CF$4=0,0,IF(COUNTIFS(実績!$W$6:$W$505,CF$3,実績!$AC$6:$AC$505,"&lt;="&amp;$A65,実績!$AD$6:$AD$505,"&gt;"&amp;$A65,実績!$AE$6:$AE$505,"○")&gt;0,1,0))</f>
        <v/>
      </c>
      <c r="CG65">
        <f>IF(CG$4=0,0,IF(COUNTIFS(実績!$W$6:$W$505,CG$3,実績!$AC$6:$AC$505,"&lt;="&amp;$A65,実績!$AD$6:$AD$505,"&gt;"&amp;$A65,実績!$AE$6:$AE$505,"○")&gt;0,1,0))</f>
        <v/>
      </c>
      <c r="CH65">
        <f>IF(CH$4=0,0,IF(COUNTIFS(実績!$W$6:$W$505,CH$3,実績!$AC$6:$AC$505,"&lt;="&amp;$A65,実績!$AD$6:$AD$505,"&gt;"&amp;$A65,実績!$AE$6:$AE$505,"○")&gt;0,1,0))</f>
        <v/>
      </c>
      <c r="CI65">
        <f>IF(CI$4=0,0,IF(COUNTIFS(実績!$W$6:$W$505,CI$3,実績!$AC$6:$AC$505,"&lt;="&amp;$A65,実績!$AD$6:$AD$505,"&gt;"&amp;$A65,実績!$AE$6:$AE$505,"○")&gt;0,1,0))</f>
        <v/>
      </c>
      <c r="CJ65">
        <f>IF(CJ$4=0,0,IF(COUNTIFS(実績!$W$6:$W$505,CJ$3,実績!$AC$6:$AC$505,"&lt;="&amp;$A65,実績!$AD$6:$AD$505,"&gt;"&amp;$A65,実績!$AE$6:$AE$505,"○")&gt;0,1,0))</f>
        <v/>
      </c>
      <c r="CK65">
        <f>IF(CK$4=0,0,IF(COUNTIFS(実績!$W$6:$W$505,CK$3,実績!$AC$6:$AC$505,"&lt;="&amp;$A65,実績!$AD$6:$AD$505,"&gt;"&amp;$A65,実績!$AE$6:$AE$505,"○")&gt;0,1,0))</f>
        <v/>
      </c>
      <c r="CL65">
        <f>IF(CL$4=0,0,IF(COUNTIFS(実績!$W$6:$W$505,CL$3,実績!$AC$6:$AC$505,"&lt;="&amp;$A65,実績!$AD$6:$AD$505,"&gt;"&amp;$A65,実績!$AE$6:$AE$505,"○")&gt;0,1,0))</f>
        <v/>
      </c>
      <c r="CM65">
        <f>IF(CM$4=0,0,IF(COUNTIFS(実績!$W$6:$W$505,CM$3,実績!$AC$6:$AC$505,"&lt;="&amp;$A65,実績!$AD$6:$AD$505,"&gt;"&amp;$A65,実績!$AE$6:$AE$505,"○")&gt;0,1,0))</f>
        <v/>
      </c>
      <c r="CN65">
        <f>IF(CN$4=0,0,IF(COUNTIFS(実績!$W$6:$W$505,CN$3,実績!$AC$6:$AC$505,"&lt;="&amp;$A65,実績!$AD$6:$AD$505,"&gt;"&amp;$A65,実績!$AE$6:$AE$505,"○")&gt;0,1,0))</f>
        <v/>
      </c>
      <c r="CO65">
        <f>IF(CO$4=0,0,IF(COUNTIFS(実績!$W$6:$W$505,CO$3,実績!$AC$6:$AC$505,"&lt;="&amp;$A65,実績!$AD$6:$AD$505,"&gt;"&amp;$A65,実績!$AE$6:$AE$505,"○")&gt;0,1,0))</f>
        <v/>
      </c>
      <c r="CP65">
        <f>IF(CP$4=0,0,IF(COUNTIFS(実績!$W$6:$W$505,CP$3,実績!$AC$6:$AC$505,"&lt;="&amp;$A65,実績!$AD$6:$AD$505,"&gt;"&amp;$A65,実績!$AE$6:$AE$505,"○")&gt;0,1,0))</f>
        <v/>
      </c>
      <c r="CQ65">
        <f>IF(CQ$4=0,0,IF(COUNTIFS(実績!$W$6:$W$505,CQ$3,実績!$AC$6:$AC$505,"&lt;="&amp;$A65,実績!$AD$6:$AD$505,"&gt;"&amp;$A65,実績!$AE$6:$AE$505,"○")&gt;0,1,0))</f>
        <v/>
      </c>
      <c r="CR65">
        <f>IF(CR$4=0,0,IF(COUNTIFS(実績!$W$6:$W$505,CR$3,実績!$AC$6:$AC$505,"&lt;="&amp;$A65,実績!$AD$6:$AD$505,"&gt;"&amp;$A65,実績!$AE$6:$AE$505,"○")&gt;0,1,0))</f>
        <v/>
      </c>
      <c r="CS65">
        <f>IF(CS$4=0,0,IF(COUNTIFS(実績!$W$6:$W$505,CS$3,実績!$AC$6:$AC$505,"&lt;="&amp;$A65,実績!$AD$6:$AD$505,"&gt;"&amp;$A65,実績!$AE$6:$AE$505,"○")&gt;0,1,0))</f>
        <v/>
      </c>
      <c r="CT65">
        <f>IF(CT$4=0,0,IF(COUNTIFS(実績!$W$6:$W$505,CT$3,実績!$AC$6:$AC$505,"&lt;="&amp;$A65,実績!$AD$6:$AD$505,"&gt;"&amp;$A65,実績!$AE$6:$AE$505,"○")&gt;0,1,0))</f>
        <v/>
      </c>
      <c r="CU65">
        <f>IF(CU$4=0,0,IF(COUNTIFS(実績!$W$6:$W$505,CU$3,実績!$AC$6:$AC$505,"&lt;="&amp;$A65,実績!$AD$6:$AD$505,"&gt;"&amp;$A65,実績!$AE$6:$AE$505,"○")&gt;0,1,0))</f>
        <v/>
      </c>
      <c r="CV65">
        <f>IF(CV$4=0,0,IF(COUNTIFS(実績!$W$6:$W$505,CV$3,実績!$AC$6:$AC$505,"&lt;="&amp;$A65,実績!$AD$6:$AD$505,"&gt;"&amp;$A65,実績!$AE$6:$AE$505,"○")&gt;0,1,0))</f>
        <v/>
      </c>
      <c r="CW65">
        <f>IF(CW$4=0,0,IF(COUNTIFS(実績!$W$6:$W$505,CW$3,実績!$AC$6:$AC$505,"&lt;="&amp;$A65,実績!$AD$6:$AD$505,"&gt;"&amp;$A65,実績!$AE$6:$AE$505,"○")&gt;0,1,0))</f>
        <v/>
      </c>
      <c r="CX65">
        <f>IF(CX$4=0,0,IF(COUNTIFS(実績!$W$6:$W$505,CX$3,実績!$AC$6:$AC$505,"&lt;="&amp;$A65,実績!$AD$6:$AD$505,"&gt;"&amp;$A65,実績!$AE$6:$AE$505,"○")&gt;0,1,0))</f>
        <v/>
      </c>
      <c r="CY65">
        <f>IF(CY$4=0,0,IF(COUNTIFS(実績!$W$6:$W$505,CY$3,実績!$AC$6:$AC$505,"&lt;="&amp;$A65,実績!$AD$6:$AD$505,"&gt;"&amp;$A65,実績!$AE$6:$AE$505,"○")&gt;0,1,0))</f>
        <v/>
      </c>
      <c r="CZ65">
        <f>IF(CZ$4=0,0,IF(COUNTIFS(実績!$W$6:$W$505,CZ$3,実績!$AC$6:$AC$505,"&lt;="&amp;$A65,実績!$AD$6:$AD$505,"&gt;"&amp;$A65,実績!$AE$6:$AE$505,"○")&gt;0,1,0))</f>
        <v/>
      </c>
      <c r="DA65">
        <f>IF(DA$4=0,0,IF(COUNTIFS(実績!$W$6:$W$505,DA$3,実績!$AC$6:$AC$505,"&lt;="&amp;$A65,実績!$AD$6:$AD$505,"&gt;"&amp;$A65,実績!$AE$6:$AE$505,"○")&gt;0,1,0))</f>
        <v/>
      </c>
      <c r="DB65">
        <f>IF(DB$4=0,0,IF(COUNTIFS(実績!$W$6:$W$505,DB$3,実績!$AC$6:$AC$505,"&lt;="&amp;$A65,実績!$AD$6:$AD$505,"&gt;"&amp;$A65,実績!$AE$6:$AE$505,"○")&gt;0,1,0))</f>
        <v/>
      </c>
      <c r="DC65">
        <f>IF(DC$4=0,0,IF(COUNTIFS(実績!$W$6:$W$505,DC$3,実績!$AC$6:$AC$505,"&lt;="&amp;$A65,実績!$AD$6:$AD$505,"&gt;"&amp;$A65,実績!$AE$6:$AE$505,"○")&gt;0,1,0))</f>
        <v/>
      </c>
      <c r="DD65">
        <f>IF(DD$4=0,0,IF(COUNTIFS(実績!$W$6:$W$505,DD$3,実績!$AC$6:$AC$505,"&lt;="&amp;$A65,実績!$AD$6:$AD$505,"&gt;"&amp;$A65,実績!$AE$6:$AE$505,"○")&gt;0,1,0))</f>
        <v/>
      </c>
      <c r="DE65">
        <f>IF(DE$4=0,0,IF(COUNTIFS(実績!$W$6:$W$505,DE$3,実績!$AC$6:$AC$505,"&lt;="&amp;$A65,実績!$AD$6:$AD$505,"&gt;"&amp;$A65,実績!$AE$6:$AE$505,"○")&gt;0,1,0))</f>
        <v/>
      </c>
      <c r="DF65">
        <f>IF(DF$4=0,0,IF(COUNTIFS(実績!$W$6:$W$505,DF$3,実績!$AC$6:$AC$505,"&lt;="&amp;$A65,実績!$AD$6:$AD$505,"&gt;"&amp;$A65,実績!$AE$6:$AE$505,"○")&gt;0,1,0))</f>
        <v/>
      </c>
      <c r="DG65">
        <f>IF(DG$4=0,0,IF(COUNTIFS(実績!$W$6:$W$505,DG$3,実績!$AC$6:$AC$505,"&lt;="&amp;$A65,実績!$AD$6:$AD$505,"&gt;"&amp;$A65,実績!$AE$6:$AE$505,"○")&gt;0,1,0))</f>
        <v/>
      </c>
      <c r="DH65">
        <f>IF(DH$4=0,0,IF(COUNTIFS(実績!$W$6:$W$505,DH$3,実績!$AC$6:$AC$505,"&lt;="&amp;$A65,実績!$AD$6:$AD$505,"&gt;"&amp;$A65,実績!$AE$6:$AE$505,"○")&gt;0,1,0))</f>
        <v/>
      </c>
      <c r="DI65">
        <f>IF(DI$4=0,0,IF(COUNTIFS(実績!$W$6:$W$505,DI$3,実績!$AC$6:$AC$505,"&lt;="&amp;$A65,実績!$AD$6:$AD$505,"&gt;"&amp;$A65,実績!$AE$6:$AE$505,"○")&gt;0,1,0))</f>
        <v/>
      </c>
      <c r="DJ65">
        <f>IF(DJ$4=0,0,IF(COUNTIFS(実績!$W$6:$W$505,DJ$3,実績!$AC$6:$AC$505,"&lt;="&amp;$A65,実績!$AD$6:$AD$505,"&gt;"&amp;$A65,実績!$AE$6:$AE$505,"○")&gt;0,1,0))</f>
        <v/>
      </c>
      <c r="DK65">
        <f>IF(DK$4=0,0,IF(COUNTIFS(実績!$W$6:$W$505,DK$3,実績!$AC$6:$AC$505,"&lt;="&amp;$A65,実績!$AD$6:$AD$505,"&gt;"&amp;$A65,実績!$AE$6:$AE$505,"○")&gt;0,1,0))</f>
        <v/>
      </c>
      <c r="DL65">
        <f>IF(DL$4=0,0,IF(COUNTIFS(実績!$W$6:$W$505,DL$3,実績!$AC$6:$AC$505,"&lt;="&amp;$A65,実績!$AD$6:$AD$505,"&gt;"&amp;$A65,実績!$AE$6:$AE$505,"○")&gt;0,1,0))</f>
        <v/>
      </c>
      <c r="DM65">
        <f>IF(DM$4=0,0,IF(COUNTIFS(実績!$W$6:$W$505,DM$3,実績!$AC$6:$AC$505,"&lt;="&amp;$A65,実績!$AD$6:$AD$505,"&gt;"&amp;$A65,実績!$AE$6:$AE$505,"○")&gt;0,1,0))</f>
        <v/>
      </c>
      <c r="DN65">
        <f>IF(DN$4=0,0,IF(COUNTIFS(実績!$W$6:$W$505,DN$3,実績!$AC$6:$AC$505,"&lt;="&amp;$A65,実績!$AD$6:$AD$505,"&gt;"&amp;$A65,実績!$AE$6:$AE$505,"○")&gt;0,1,0))</f>
        <v/>
      </c>
      <c r="DO65">
        <f>IF(DO$4=0,0,IF(COUNTIFS(実績!$W$6:$W$505,DO$3,実績!$AC$6:$AC$505,"&lt;="&amp;$A65,実績!$AD$6:$AD$505,"&gt;"&amp;$A65,実績!$AE$6:$AE$505,"○")&gt;0,1,0))</f>
        <v/>
      </c>
      <c r="DP65">
        <f>IF(DP$4=0,0,IF(COUNTIFS(実績!$W$6:$W$505,DP$3,実績!$AC$6:$AC$505,"&lt;="&amp;$A65,実績!$AD$6:$AD$505,"&gt;"&amp;$A65,実績!$AE$6:$AE$505,"○")&gt;0,1,0))</f>
        <v/>
      </c>
      <c r="DQ65">
        <f>IF(DQ$4=0,0,IF(COUNTIFS(実績!$W$6:$W$505,DQ$3,実績!$AC$6:$AC$505,"&lt;="&amp;$A65,実績!$AD$6:$AD$505,"&gt;"&amp;$A65,実績!$AE$6:$AE$505,"○")&gt;0,1,0))</f>
        <v/>
      </c>
      <c r="DR65">
        <f>IF(DR$4=0,0,IF(COUNTIFS(実績!$W$6:$W$505,DR$3,実績!$AC$6:$AC$505,"&lt;="&amp;$A65,実績!$AD$6:$AD$505,"&gt;"&amp;$A65,実績!$AE$6:$AE$505,"○")&gt;0,1,0))</f>
        <v/>
      </c>
      <c r="DS65">
        <f>SUM(C65:DR65)</f>
        <v/>
      </c>
      <c r="DT65">
        <f>SUMPRODUCT((実績!$C$6:$C$505="○")*ISNUMBER(実績!$AF$6:$AF$505)*(実績!$AF$6:$AF$505&lt;=$A65)*(実績!$AG$6:$AG$505&gt;$A65))</f>
        <v/>
      </c>
      <c r="DU65">
        <f>SUMIF($C$2:$DR$2,"製鉄曳船",C65:DR65)</f>
        <v/>
      </c>
      <c r="DV65">
        <f>SUMIF($C$2:$DR$2,"西日本海運",C65:DR65)</f>
        <v/>
      </c>
    </row>
    <row r="66">
      <c r="A66" t="n">
        <v>300</v>
      </c>
      <c r="B66" s="29">
        <f>A66/1440</f>
        <v/>
      </c>
      <c r="C66">
        <f>IF(C$4=0,0,IF(COUNTIFS(実績!$W$6:$W$505,C$3,実績!$AC$6:$AC$505,"&lt;="&amp;$A66,実績!$AD$6:$AD$505,"&gt;"&amp;$A66,実績!$AE$6:$AE$505,"○")&gt;0,1,0))</f>
        <v/>
      </c>
      <c r="D66">
        <f>IF(D$4=0,0,IF(COUNTIFS(実績!$W$6:$W$505,D$3,実績!$AC$6:$AC$505,"&lt;="&amp;$A66,実績!$AD$6:$AD$505,"&gt;"&amp;$A66,実績!$AE$6:$AE$505,"○")&gt;0,1,0))</f>
        <v/>
      </c>
      <c r="E66">
        <f>IF(E$4=0,0,IF(COUNTIFS(実績!$W$6:$W$505,E$3,実績!$AC$6:$AC$505,"&lt;="&amp;$A66,実績!$AD$6:$AD$505,"&gt;"&amp;$A66,実績!$AE$6:$AE$505,"○")&gt;0,1,0))</f>
        <v/>
      </c>
      <c r="F66">
        <f>IF(F$4=0,0,IF(COUNTIFS(実績!$W$6:$W$505,F$3,実績!$AC$6:$AC$505,"&lt;="&amp;$A66,実績!$AD$6:$AD$505,"&gt;"&amp;$A66,実績!$AE$6:$AE$505,"○")&gt;0,1,0))</f>
        <v/>
      </c>
      <c r="G66">
        <f>IF(G$4=0,0,IF(COUNTIFS(実績!$W$6:$W$505,G$3,実績!$AC$6:$AC$505,"&lt;="&amp;$A66,実績!$AD$6:$AD$505,"&gt;"&amp;$A66,実績!$AE$6:$AE$505,"○")&gt;0,1,0))</f>
        <v/>
      </c>
      <c r="H66">
        <f>IF(H$4=0,0,IF(COUNTIFS(実績!$W$6:$W$505,H$3,実績!$AC$6:$AC$505,"&lt;="&amp;$A66,実績!$AD$6:$AD$505,"&gt;"&amp;$A66,実績!$AE$6:$AE$505,"○")&gt;0,1,0))</f>
        <v/>
      </c>
      <c r="I66">
        <f>IF(I$4=0,0,IF(COUNTIFS(実績!$W$6:$W$505,I$3,実績!$AC$6:$AC$505,"&lt;="&amp;$A66,実績!$AD$6:$AD$505,"&gt;"&amp;$A66,実績!$AE$6:$AE$505,"○")&gt;0,1,0))</f>
        <v/>
      </c>
      <c r="J66">
        <f>IF(J$4=0,0,IF(COUNTIFS(実績!$W$6:$W$505,J$3,実績!$AC$6:$AC$505,"&lt;="&amp;$A66,実績!$AD$6:$AD$505,"&gt;"&amp;$A66,実績!$AE$6:$AE$505,"○")&gt;0,1,0))</f>
        <v/>
      </c>
      <c r="K66">
        <f>IF(K$4=0,0,IF(COUNTIFS(実績!$W$6:$W$505,K$3,実績!$AC$6:$AC$505,"&lt;="&amp;$A66,実績!$AD$6:$AD$505,"&gt;"&amp;$A66,実績!$AE$6:$AE$505,"○")&gt;0,1,0))</f>
        <v/>
      </c>
      <c r="L66">
        <f>IF(L$4=0,0,IF(COUNTIFS(実績!$W$6:$W$505,L$3,実績!$AC$6:$AC$505,"&lt;="&amp;$A66,実績!$AD$6:$AD$505,"&gt;"&amp;$A66,実績!$AE$6:$AE$505,"○")&gt;0,1,0))</f>
        <v/>
      </c>
      <c r="M66">
        <f>IF(M$4=0,0,IF(COUNTIFS(実績!$W$6:$W$505,M$3,実績!$AC$6:$AC$505,"&lt;="&amp;$A66,実績!$AD$6:$AD$505,"&gt;"&amp;$A66,実績!$AE$6:$AE$505,"○")&gt;0,1,0))</f>
        <v/>
      </c>
      <c r="N66">
        <f>IF(N$4=0,0,IF(COUNTIFS(実績!$W$6:$W$505,N$3,実績!$AC$6:$AC$505,"&lt;="&amp;$A66,実績!$AD$6:$AD$505,"&gt;"&amp;$A66,実績!$AE$6:$AE$505,"○")&gt;0,1,0))</f>
        <v/>
      </c>
      <c r="O66">
        <f>IF(O$4=0,0,IF(COUNTIFS(実績!$W$6:$W$505,O$3,実績!$AC$6:$AC$505,"&lt;="&amp;$A66,実績!$AD$6:$AD$505,"&gt;"&amp;$A66,実績!$AE$6:$AE$505,"○")&gt;0,1,0))</f>
        <v/>
      </c>
      <c r="P66">
        <f>IF(P$4=0,0,IF(COUNTIFS(実績!$W$6:$W$505,P$3,実績!$AC$6:$AC$505,"&lt;="&amp;$A66,実績!$AD$6:$AD$505,"&gt;"&amp;$A66,実績!$AE$6:$AE$505,"○")&gt;0,1,0))</f>
        <v/>
      </c>
      <c r="Q66">
        <f>IF(Q$4=0,0,IF(COUNTIFS(実績!$W$6:$W$505,Q$3,実績!$AC$6:$AC$505,"&lt;="&amp;$A66,実績!$AD$6:$AD$505,"&gt;"&amp;$A66,実績!$AE$6:$AE$505,"○")&gt;0,1,0))</f>
        <v/>
      </c>
      <c r="R66">
        <f>IF(R$4=0,0,IF(COUNTIFS(実績!$W$6:$W$505,R$3,実績!$AC$6:$AC$505,"&lt;="&amp;$A66,実績!$AD$6:$AD$505,"&gt;"&amp;$A66,実績!$AE$6:$AE$505,"○")&gt;0,1,0))</f>
        <v/>
      </c>
      <c r="S66">
        <f>IF(S$4=0,0,IF(COUNTIFS(実績!$W$6:$W$505,S$3,実績!$AC$6:$AC$505,"&lt;="&amp;$A66,実績!$AD$6:$AD$505,"&gt;"&amp;$A66,実績!$AE$6:$AE$505,"○")&gt;0,1,0))</f>
        <v/>
      </c>
      <c r="T66">
        <f>IF(T$4=0,0,IF(COUNTIFS(実績!$W$6:$W$505,T$3,実績!$AC$6:$AC$505,"&lt;="&amp;$A66,実績!$AD$6:$AD$505,"&gt;"&amp;$A66,実績!$AE$6:$AE$505,"○")&gt;0,1,0))</f>
        <v/>
      </c>
      <c r="U66">
        <f>IF(U$4=0,0,IF(COUNTIFS(実績!$W$6:$W$505,U$3,実績!$AC$6:$AC$505,"&lt;="&amp;$A66,実績!$AD$6:$AD$505,"&gt;"&amp;$A66,実績!$AE$6:$AE$505,"○")&gt;0,1,0))</f>
        <v/>
      </c>
      <c r="V66">
        <f>IF(V$4=0,0,IF(COUNTIFS(実績!$W$6:$W$505,V$3,実績!$AC$6:$AC$505,"&lt;="&amp;$A66,実績!$AD$6:$AD$505,"&gt;"&amp;$A66,実績!$AE$6:$AE$505,"○")&gt;0,1,0))</f>
        <v/>
      </c>
      <c r="W66">
        <f>IF(W$4=0,0,IF(COUNTIFS(実績!$W$6:$W$505,W$3,実績!$AC$6:$AC$505,"&lt;="&amp;$A66,実績!$AD$6:$AD$505,"&gt;"&amp;$A66,実績!$AE$6:$AE$505,"○")&gt;0,1,0))</f>
        <v/>
      </c>
      <c r="X66">
        <f>IF(X$4=0,0,IF(COUNTIFS(実績!$W$6:$W$505,X$3,実績!$AC$6:$AC$505,"&lt;="&amp;$A66,実績!$AD$6:$AD$505,"&gt;"&amp;$A66,実績!$AE$6:$AE$505,"○")&gt;0,1,0))</f>
        <v/>
      </c>
      <c r="Y66">
        <f>IF(Y$4=0,0,IF(COUNTIFS(実績!$W$6:$W$505,Y$3,実績!$AC$6:$AC$505,"&lt;="&amp;$A66,実績!$AD$6:$AD$505,"&gt;"&amp;$A66,実績!$AE$6:$AE$505,"○")&gt;0,1,0))</f>
        <v/>
      </c>
      <c r="Z66">
        <f>IF(Z$4=0,0,IF(COUNTIFS(実績!$W$6:$W$505,Z$3,実績!$AC$6:$AC$505,"&lt;="&amp;$A66,実績!$AD$6:$AD$505,"&gt;"&amp;$A66,実績!$AE$6:$AE$505,"○")&gt;0,1,0))</f>
        <v/>
      </c>
      <c r="AA66">
        <f>IF(AA$4=0,0,IF(COUNTIFS(実績!$W$6:$W$505,AA$3,実績!$AC$6:$AC$505,"&lt;="&amp;$A66,実績!$AD$6:$AD$505,"&gt;"&amp;$A66,実績!$AE$6:$AE$505,"○")&gt;0,1,0))</f>
        <v/>
      </c>
      <c r="AB66">
        <f>IF(AB$4=0,0,IF(COUNTIFS(実績!$W$6:$W$505,AB$3,実績!$AC$6:$AC$505,"&lt;="&amp;$A66,実績!$AD$6:$AD$505,"&gt;"&amp;$A66,実績!$AE$6:$AE$505,"○")&gt;0,1,0))</f>
        <v/>
      </c>
      <c r="AC66">
        <f>IF(AC$4=0,0,IF(COUNTIFS(実績!$W$6:$W$505,AC$3,実績!$AC$6:$AC$505,"&lt;="&amp;$A66,実績!$AD$6:$AD$505,"&gt;"&amp;$A66,実績!$AE$6:$AE$505,"○")&gt;0,1,0))</f>
        <v/>
      </c>
      <c r="AD66">
        <f>IF(AD$4=0,0,IF(COUNTIFS(実績!$W$6:$W$505,AD$3,実績!$AC$6:$AC$505,"&lt;="&amp;$A66,実績!$AD$6:$AD$505,"&gt;"&amp;$A66,実績!$AE$6:$AE$505,"○")&gt;0,1,0))</f>
        <v/>
      </c>
      <c r="AE66">
        <f>IF(AE$4=0,0,IF(COUNTIFS(実績!$W$6:$W$505,AE$3,実績!$AC$6:$AC$505,"&lt;="&amp;$A66,実績!$AD$6:$AD$505,"&gt;"&amp;$A66,実績!$AE$6:$AE$505,"○")&gt;0,1,0))</f>
        <v/>
      </c>
      <c r="AF66">
        <f>IF(AF$4=0,0,IF(COUNTIFS(実績!$W$6:$W$505,AF$3,実績!$AC$6:$AC$505,"&lt;="&amp;$A66,実績!$AD$6:$AD$505,"&gt;"&amp;$A66,実績!$AE$6:$AE$505,"○")&gt;0,1,0))</f>
        <v/>
      </c>
      <c r="AG66">
        <f>IF(AG$4=0,0,IF(COUNTIFS(実績!$W$6:$W$505,AG$3,実績!$AC$6:$AC$505,"&lt;="&amp;$A66,実績!$AD$6:$AD$505,"&gt;"&amp;$A66,実績!$AE$6:$AE$505,"○")&gt;0,1,0))</f>
        <v/>
      </c>
      <c r="AH66">
        <f>IF(AH$4=0,0,IF(COUNTIFS(実績!$W$6:$W$505,AH$3,実績!$AC$6:$AC$505,"&lt;="&amp;$A66,実績!$AD$6:$AD$505,"&gt;"&amp;$A66,実績!$AE$6:$AE$505,"○")&gt;0,1,0))</f>
        <v/>
      </c>
      <c r="AI66">
        <f>IF(AI$4=0,0,IF(COUNTIFS(実績!$W$6:$W$505,AI$3,実績!$AC$6:$AC$505,"&lt;="&amp;$A66,実績!$AD$6:$AD$505,"&gt;"&amp;$A66,実績!$AE$6:$AE$505,"○")&gt;0,1,0))</f>
        <v/>
      </c>
      <c r="AJ66">
        <f>IF(AJ$4=0,0,IF(COUNTIFS(実績!$W$6:$W$505,AJ$3,実績!$AC$6:$AC$505,"&lt;="&amp;$A66,実績!$AD$6:$AD$505,"&gt;"&amp;$A66,実績!$AE$6:$AE$505,"○")&gt;0,1,0))</f>
        <v/>
      </c>
      <c r="AK66">
        <f>IF(AK$4=0,0,IF(COUNTIFS(実績!$W$6:$W$505,AK$3,実績!$AC$6:$AC$505,"&lt;="&amp;$A66,実績!$AD$6:$AD$505,"&gt;"&amp;$A66,実績!$AE$6:$AE$505,"○")&gt;0,1,0))</f>
        <v/>
      </c>
      <c r="AL66">
        <f>IF(AL$4=0,0,IF(COUNTIFS(実績!$W$6:$W$505,AL$3,実績!$AC$6:$AC$505,"&lt;="&amp;$A66,実績!$AD$6:$AD$505,"&gt;"&amp;$A66,実績!$AE$6:$AE$505,"○")&gt;0,1,0))</f>
        <v/>
      </c>
      <c r="AM66">
        <f>IF(AM$4=0,0,IF(COUNTIFS(実績!$W$6:$W$505,AM$3,実績!$AC$6:$AC$505,"&lt;="&amp;$A66,実績!$AD$6:$AD$505,"&gt;"&amp;$A66,実績!$AE$6:$AE$505,"○")&gt;0,1,0))</f>
        <v/>
      </c>
      <c r="AN66">
        <f>IF(AN$4=0,0,IF(COUNTIFS(実績!$W$6:$W$505,AN$3,実績!$AC$6:$AC$505,"&lt;="&amp;$A66,実績!$AD$6:$AD$505,"&gt;"&amp;$A66,実績!$AE$6:$AE$505,"○")&gt;0,1,0))</f>
        <v/>
      </c>
      <c r="AO66">
        <f>IF(AO$4=0,0,IF(COUNTIFS(実績!$W$6:$W$505,AO$3,実績!$AC$6:$AC$505,"&lt;="&amp;$A66,実績!$AD$6:$AD$505,"&gt;"&amp;$A66,実績!$AE$6:$AE$505,"○")&gt;0,1,0))</f>
        <v/>
      </c>
      <c r="AP66">
        <f>IF(AP$4=0,0,IF(COUNTIFS(実績!$W$6:$W$505,AP$3,実績!$AC$6:$AC$505,"&lt;="&amp;$A66,実績!$AD$6:$AD$505,"&gt;"&amp;$A66,実績!$AE$6:$AE$505,"○")&gt;0,1,0))</f>
        <v/>
      </c>
      <c r="AQ66">
        <f>IF(AQ$4=0,0,IF(COUNTIFS(実績!$W$6:$W$505,AQ$3,実績!$AC$6:$AC$505,"&lt;="&amp;$A66,実績!$AD$6:$AD$505,"&gt;"&amp;$A66,実績!$AE$6:$AE$505,"○")&gt;0,1,0))</f>
        <v/>
      </c>
      <c r="AR66">
        <f>IF(AR$4=0,0,IF(COUNTIFS(実績!$W$6:$W$505,AR$3,実績!$AC$6:$AC$505,"&lt;="&amp;$A66,実績!$AD$6:$AD$505,"&gt;"&amp;$A66,実績!$AE$6:$AE$505,"○")&gt;0,1,0))</f>
        <v/>
      </c>
      <c r="AS66">
        <f>IF(AS$4=0,0,IF(COUNTIFS(実績!$W$6:$W$505,AS$3,実績!$AC$6:$AC$505,"&lt;="&amp;$A66,実績!$AD$6:$AD$505,"&gt;"&amp;$A66,実績!$AE$6:$AE$505,"○")&gt;0,1,0))</f>
        <v/>
      </c>
      <c r="AT66">
        <f>IF(AT$4=0,0,IF(COUNTIFS(実績!$W$6:$W$505,AT$3,実績!$AC$6:$AC$505,"&lt;="&amp;$A66,実績!$AD$6:$AD$505,"&gt;"&amp;$A66,実績!$AE$6:$AE$505,"○")&gt;0,1,0))</f>
        <v/>
      </c>
      <c r="AU66">
        <f>IF(AU$4=0,0,IF(COUNTIFS(実績!$W$6:$W$505,AU$3,実績!$AC$6:$AC$505,"&lt;="&amp;$A66,実績!$AD$6:$AD$505,"&gt;"&amp;$A66,実績!$AE$6:$AE$505,"○")&gt;0,1,0))</f>
        <v/>
      </c>
      <c r="AV66">
        <f>IF(AV$4=0,0,IF(COUNTIFS(実績!$W$6:$W$505,AV$3,実績!$AC$6:$AC$505,"&lt;="&amp;$A66,実績!$AD$6:$AD$505,"&gt;"&amp;$A66,実績!$AE$6:$AE$505,"○")&gt;0,1,0))</f>
        <v/>
      </c>
      <c r="AW66">
        <f>IF(AW$4=0,0,IF(COUNTIFS(実績!$W$6:$W$505,AW$3,実績!$AC$6:$AC$505,"&lt;="&amp;$A66,実績!$AD$6:$AD$505,"&gt;"&amp;$A66,実績!$AE$6:$AE$505,"○")&gt;0,1,0))</f>
        <v/>
      </c>
      <c r="AX66">
        <f>IF(AX$4=0,0,IF(COUNTIFS(実績!$W$6:$W$505,AX$3,実績!$AC$6:$AC$505,"&lt;="&amp;$A66,実績!$AD$6:$AD$505,"&gt;"&amp;$A66,実績!$AE$6:$AE$505,"○")&gt;0,1,0))</f>
        <v/>
      </c>
      <c r="AY66">
        <f>IF(AY$4=0,0,IF(COUNTIFS(実績!$W$6:$W$505,AY$3,実績!$AC$6:$AC$505,"&lt;="&amp;$A66,実績!$AD$6:$AD$505,"&gt;"&amp;$A66,実績!$AE$6:$AE$505,"○")&gt;0,1,0))</f>
        <v/>
      </c>
      <c r="AZ66">
        <f>IF(AZ$4=0,0,IF(COUNTIFS(実績!$W$6:$W$505,AZ$3,実績!$AC$6:$AC$505,"&lt;="&amp;$A66,実績!$AD$6:$AD$505,"&gt;"&amp;$A66,実績!$AE$6:$AE$505,"○")&gt;0,1,0))</f>
        <v/>
      </c>
      <c r="BA66">
        <f>IF(BA$4=0,0,IF(COUNTIFS(実績!$W$6:$W$505,BA$3,実績!$AC$6:$AC$505,"&lt;="&amp;$A66,実績!$AD$6:$AD$505,"&gt;"&amp;$A66,実績!$AE$6:$AE$505,"○")&gt;0,1,0))</f>
        <v/>
      </c>
      <c r="BB66">
        <f>IF(BB$4=0,0,IF(COUNTIFS(実績!$W$6:$W$505,BB$3,実績!$AC$6:$AC$505,"&lt;="&amp;$A66,実績!$AD$6:$AD$505,"&gt;"&amp;$A66,実績!$AE$6:$AE$505,"○")&gt;0,1,0))</f>
        <v/>
      </c>
      <c r="BC66">
        <f>IF(BC$4=0,0,IF(COUNTIFS(実績!$W$6:$W$505,BC$3,実績!$AC$6:$AC$505,"&lt;="&amp;$A66,実績!$AD$6:$AD$505,"&gt;"&amp;$A66,実績!$AE$6:$AE$505,"○")&gt;0,1,0))</f>
        <v/>
      </c>
      <c r="BD66">
        <f>IF(BD$4=0,0,IF(COUNTIFS(実績!$W$6:$W$505,BD$3,実績!$AC$6:$AC$505,"&lt;="&amp;$A66,実績!$AD$6:$AD$505,"&gt;"&amp;$A66,実績!$AE$6:$AE$505,"○")&gt;0,1,0))</f>
        <v/>
      </c>
      <c r="BE66">
        <f>IF(BE$4=0,0,IF(COUNTIFS(実績!$W$6:$W$505,BE$3,実績!$AC$6:$AC$505,"&lt;="&amp;$A66,実績!$AD$6:$AD$505,"&gt;"&amp;$A66,実績!$AE$6:$AE$505,"○")&gt;0,1,0))</f>
        <v/>
      </c>
      <c r="BF66">
        <f>IF(BF$4=0,0,IF(COUNTIFS(実績!$W$6:$W$505,BF$3,実績!$AC$6:$AC$505,"&lt;="&amp;$A66,実績!$AD$6:$AD$505,"&gt;"&amp;$A66,実績!$AE$6:$AE$505,"○")&gt;0,1,0))</f>
        <v/>
      </c>
      <c r="BG66">
        <f>IF(BG$4=0,0,IF(COUNTIFS(実績!$W$6:$W$505,BG$3,実績!$AC$6:$AC$505,"&lt;="&amp;$A66,実績!$AD$6:$AD$505,"&gt;"&amp;$A66,実績!$AE$6:$AE$505,"○")&gt;0,1,0))</f>
        <v/>
      </c>
      <c r="BH66">
        <f>IF(BH$4=0,0,IF(COUNTIFS(実績!$W$6:$W$505,BH$3,実績!$AC$6:$AC$505,"&lt;="&amp;$A66,実績!$AD$6:$AD$505,"&gt;"&amp;$A66,実績!$AE$6:$AE$505,"○")&gt;0,1,0))</f>
        <v/>
      </c>
      <c r="BI66">
        <f>IF(BI$4=0,0,IF(COUNTIFS(実績!$W$6:$W$505,BI$3,実績!$AC$6:$AC$505,"&lt;="&amp;$A66,実績!$AD$6:$AD$505,"&gt;"&amp;$A66,実績!$AE$6:$AE$505,"○")&gt;0,1,0))</f>
        <v/>
      </c>
      <c r="BJ66">
        <f>IF(BJ$4=0,0,IF(COUNTIFS(実績!$W$6:$W$505,BJ$3,実績!$AC$6:$AC$505,"&lt;="&amp;$A66,実績!$AD$6:$AD$505,"&gt;"&amp;$A66,実績!$AE$6:$AE$505,"○")&gt;0,1,0))</f>
        <v/>
      </c>
      <c r="BK66">
        <f>IF(BK$4=0,0,IF(COUNTIFS(実績!$W$6:$W$505,BK$3,実績!$AC$6:$AC$505,"&lt;="&amp;$A66,実績!$AD$6:$AD$505,"&gt;"&amp;$A66,実績!$AE$6:$AE$505,"○")&gt;0,1,0))</f>
        <v/>
      </c>
      <c r="BL66">
        <f>IF(BL$4=0,0,IF(COUNTIFS(実績!$W$6:$W$505,BL$3,実績!$AC$6:$AC$505,"&lt;="&amp;$A66,実績!$AD$6:$AD$505,"&gt;"&amp;$A66,実績!$AE$6:$AE$505,"○")&gt;0,1,0))</f>
        <v/>
      </c>
      <c r="BM66">
        <f>IF(BM$4=0,0,IF(COUNTIFS(実績!$W$6:$W$505,BM$3,実績!$AC$6:$AC$505,"&lt;="&amp;$A66,実績!$AD$6:$AD$505,"&gt;"&amp;$A66,実績!$AE$6:$AE$505,"○")&gt;0,1,0))</f>
        <v/>
      </c>
      <c r="BN66">
        <f>IF(BN$4=0,0,IF(COUNTIFS(実績!$W$6:$W$505,BN$3,実績!$AC$6:$AC$505,"&lt;="&amp;$A66,実績!$AD$6:$AD$505,"&gt;"&amp;$A66,実績!$AE$6:$AE$505,"○")&gt;0,1,0))</f>
        <v/>
      </c>
      <c r="BO66">
        <f>IF(BO$4=0,0,IF(COUNTIFS(実績!$W$6:$W$505,BO$3,実績!$AC$6:$AC$505,"&lt;="&amp;$A66,実績!$AD$6:$AD$505,"&gt;"&amp;$A66,実績!$AE$6:$AE$505,"○")&gt;0,1,0))</f>
        <v/>
      </c>
      <c r="BP66">
        <f>IF(BP$4=0,0,IF(COUNTIFS(実績!$W$6:$W$505,BP$3,実績!$AC$6:$AC$505,"&lt;="&amp;$A66,実績!$AD$6:$AD$505,"&gt;"&amp;$A66,実績!$AE$6:$AE$505,"○")&gt;0,1,0))</f>
        <v/>
      </c>
      <c r="BQ66">
        <f>IF(BQ$4=0,0,IF(COUNTIFS(実績!$W$6:$W$505,BQ$3,実績!$AC$6:$AC$505,"&lt;="&amp;$A66,実績!$AD$6:$AD$505,"&gt;"&amp;$A66,実績!$AE$6:$AE$505,"○")&gt;0,1,0))</f>
        <v/>
      </c>
      <c r="BR66">
        <f>IF(BR$4=0,0,IF(COUNTIFS(実績!$W$6:$W$505,BR$3,実績!$AC$6:$AC$505,"&lt;="&amp;$A66,実績!$AD$6:$AD$505,"&gt;"&amp;$A66,実績!$AE$6:$AE$505,"○")&gt;0,1,0))</f>
        <v/>
      </c>
      <c r="BS66">
        <f>IF(BS$4=0,0,IF(COUNTIFS(実績!$W$6:$W$505,BS$3,実績!$AC$6:$AC$505,"&lt;="&amp;$A66,実績!$AD$6:$AD$505,"&gt;"&amp;$A66,実績!$AE$6:$AE$505,"○")&gt;0,1,0))</f>
        <v/>
      </c>
      <c r="BT66">
        <f>IF(BT$4=0,0,IF(COUNTIFS(実績!$W$6:$W$505,BT$3,実績!$AC$6:$AC$505,"&lt;="&amp;$A66,実績!$AD$6:$AD$505,"&gt;"&amp;$A66,実績!$AE$6:$AE$505,"○")&gt;0,1,0))</f>
        <v/>
      </c>
      <c r="BU66">
        <f>IF(BU$4=0,0,IF(COUNTIFS(実績!$W$6:$W$505,BU$3,実績!$AC$6:$AC$505,"&lt;="&amp;$A66,実績!$AD$6:$AD$505,"&gt;"&amp;$A66,実績!$AE$6:$AE$505,"○")&gt;0,1,0))</f>
        <v/>
      </c>
      <c r="BV66">
        <f>IF(BV$4=0,0,IF(COUNTIFS(実績!$W$6:$W$505,BV$3,実績!$AC$6:$AC$505,"&lt;="&amp;$A66,実績!$AD$6:$AD$505,"&gt;"&amp;$A66,実績!$AE$6:$AE$505,"○")&gt;0,1,0))</f>
        <v/>
      </c>
      <c r="BW66">
        <f>IF(BW$4=0,0,IF(COUNTIFS(実績!$W$6:$W$505,BW$3,実績!$AC$6:$AC$505,"&lt;="&amp;$A66,実績!$AD$6:$AD$505,"&gt;"&amp;$A66,実績!$AE$6:$AE$505,"○")&gt;0,1,0))</f>
        <v/>
      </c>
      <c r="BX66">
        <f>IF(BX$4=0,0,IF(COUNTIFS(実績!$W$6:$W$505,BX$3,実績!$AC$6:$AC$505,"&lt;="&amp;$A66,実績!$AD$6:$AD$505,"&gt;"&amp;$A66,実績!$AE$6:$AE$505,"○")&gt;0,1,0))</f>
        <v/>
      </c>
      <c r="BY66">
        <f>IF(BY$4=0,0,IF(COUNTIFS(実績!$W$6:$W$505,BY$3,実績!$AC$6:$AC$505,"&lt;="&amp;$A66,実績!$AD$6:$AD$505,"&gt;"&amp;$A66,実績!$AE$6:$AE$505,"○")&gt;0,1,0))</f>
        <v/>
      </c>
      <c r="BZ66">
        <f>IF(BZ$4=0,0,IF(COUNTIFS(実績!$W$6:$W$505,BZ$3,実績!$AC$6:$AC$505,"&lt;="&amp;$A66,実績!$AD$6:$AD$505,"&gt;"&amp;$A66,実績!$AE$6:$AE$505,"○")&gt;0,1,0))</f>
        <v/>
      </c>
      <c r="CA66">
        <f>IF(CA$4=0,0,IF(COUNTIFS(実績!$W$6:$W$505,CA$3,実績!$AC$6:$AC$505,"&lt;="&amp;$A66,実績!$AD$6:$AD$505,"&gt;"&amp;$A66,実績!$AE$6:$AE$505,"○")&gt;0,1,0))</f>
        <v/>
      </c>
      <c r="CB66">
        <f>IF(CB$4=0,0,IF(COUNTIFS(実績!$W$6:$W$505,CB$3,実績!$AC$6:$AC$505,"&lt;="&amp;$A66,実績!$AD$6:$AD$505,"&gt;"&amp;$A66,実績!$AE$6:$AE$505,"○")&gt;0,1,0))</f>
        <v/>
      </c>
      <c r="CC66">
        <f>IF(CC$4=0,0,IF(COUNTIFS(実績!$W$6:$W$505,CC$3,実績!$AC$6:$AC$505,"&lt;="&amp;$A66,実績!$AD$6:$AD$505,"&gt;"&amp;$A66,実績!$AE$6:$AE$505,"○")&gt;0,1,0))</f>
        <v/>
      </c>
      <c r="CD66">
        <f>IF(CD$4=0,0,IF(COUNTIFS(実績!$W$6:$W$505,CD$3,実績!$AC$6:$AC$505,"&lt;="&amp;$A66,実績!$AD$6:$AD$505,"&gt;"&amp;$A66,実績!$AE$6:$AE$505,"○")&gt;0,1,0))</f>
        <v/>
      </c>
      <c r="CE66">
        <f>IF(CE$4=0,0,IF(COUNTIFS(実績!$W$6:$W$505,CE$3,実績!$AC$6:$AC$505,"&lt;="&amp;$A66,実績!$AD$6:$AD$505,"&gt;"&amp;$A66,実績!$AE$6:$AE$505,"○")&gt;0,1,0))</f>
        <v/>
      </c>
      <c r="CF66">
        <f>IF(CF$4=0,0,IF(COUNTIFS(実績!$W$6:$W$505,CF$3,実績!$AC$6:$AC$505,"&lt;="&amp;$A66,実績!$AD$6:$AD$505,"&gt;"&amp;$A66,実績!$AE$6:$AE$505,"○")&gt;0,1,0))</f>
        <v/>
      </c>
      <c r="CG66">
        <f>IF(CG$4=0,0,IF(COUNTIFS(実績!$W$6:$W$505,CG$3,実績!$AC$6:$AC$505,"&lt;="&amp;$A66,実績!$AD$6:$AD$505,"&gt;"&amp;$A66,実績!$AE$6:$AE$505,"○")&gt;0,1,0))</f>
        <v/>
      </c>
      <c r="CH66">
        <f>IF(CH$4=0,0,IF(COUNTIFS(実績!$W$6:$W$505,CH$3,実績!$AC$6:$AC$505,"&lt;="&amp;$A66,実績!$AD$6:$AD$505,"&gt;"&amp;$A66,実績!$AE$6:$AE$505,"○")&gt;0,1,0))</f>
        <v/>
      </c>
      <c r="CI66">
        <f>IF(CI$4=0,0,IF(COUNTIFS(実績!$W$6:$W$505,CI$3,実績!$AC$6:$AC$505,"&lt;="&amp;$A66,実績!$AD$6:$AD$505,"&gt;"&amp;$A66,実績!$AE$6:$AE$505,"○")&gt;0,1,0))</f>
        <v/>
      </c>
      <c r="CJ66">
        <f>IF(CJ$4=0,0,IF(COUNTIFS(実績!$W$6:$W$505,CJ$3,実績!$AC$6:$AC$505,"&lt;="&amp;$A66,実績!$AD$6:$AD$505,"&gt;"&amp;$A66,実績!$AE$6:$AE$505,"○")&gt;0,1,0))</f>
        <v/>
      </c>
      <c r="CK66">
        <f>IF(CK$4=0,0,IF(COUNTIFS(実績!$W$6:$W$505,CK$3,実績!$AC$6:$AC$505,"&lt;="&amp;$A66,実績!$AD$6:$AD$505,"&gt;"&amp;$A66,実績!$AE$6:$AE$505,"○")&gt;0,1,0))</f>
        <v/>
      </c>
      <c r="CL66">
        <f>IF(CL$4=0,0,IF(COUNTIFS(実績!$W$6:$W$505,CL$3,実績!$AC$6:$AC$505,"&lt;="&amp;$A66,実績!$AD$6:$AD$505,"&gt;"&amp;$A66,実績!$AE$6:$AE$505,"○")&gt;0,1,0))</f>
        <v/>
      </c>
      <c r="CM66">
        <f>IF(CM$4=0,0,IF(COUNTIFS(実績!$W$6:$W$505,CM$3,実績!$AC$6:$AC$505,"&lt;="&amp;$A66,実績!$AD$6:$AD$505,"&gt;"&amp;$A66,実績!$AE$6:$AE$505,"○")&gt;0,1,0))</f>
        <v/>
      </c>
      <c r="CN66">
        <f>IF(CN$4=0,0,IF(COUNTIFS(実績!$W$6:$W$505,CN$3,実績!$AC$6:$AC$505,"&lt;="&amp;$A66,実績!$AD$6:$AD$505,"&gt;"&amp;$A66,実績!$AE$6:$AE$505,"○")&gt;0,1,0))</f>
        <v/>
      </c>
      <c r="CO66">
        <f>IF(CO$4=0,0,IF(COUNTIFS(実績!$W$6:$W$505,CO$3,実績!$AC$6:$AC$505,"&lt;="&amp;$A66,実績!$AD$6:$AD$505,"&gt;"&amp;$A66,実績!$AE$6:$AE$505,"○")&gt;0,1,0))</f>
        <v/>
      </c>
      <c r="CP66">
        <f>IF(CP$4=0,0,IF(COUNTIFS(実績!$W$6:$W$505,CP$3,実績!$AC$6:$AC$505,"&lt;="&amp;$A66,実績!$AD$6:$AD$505,"&gt;"&amp;$A66,実績!$AE$6:$AE$505,"○")&gt;0,1,0))</f>
        <v/>
      </c>
      <c r="CQ66">
        <f>IF(CQ$4=0,0,IF(COUNTIFS(実績!$W$6:$W$505,CQ$3,実績!$AC$6:$AC$505,"&lt;="&amp;$A66,実績!$AD$6:$AD$505,"&gt;"&amp;$A66,実績!$AE$6:$AE$505,"○")&gt;0,1,0))</f>
        <v/>
      </c>
      <c r="CR66">
        <f>IF(CR$4=0,0,IF(COUNTIFS(実績!$W$6:$W$505,CR$3,実績!$AC$6:$AC$505,"&lt;="&amp;$A66,実績!$AD$6:$AD$505,"&gt;"&amp;$A66,実績!$AE$6:$AE$505,"○")&gt;0,1,0))</f>
        <v/>
      </c>
      <c r="CS66">
        <f>IF(CS$4=0,0,IF(COUNTIFS(実績!$W$6:$W$505,CS$3,実績!$AC$6:$AC$505,"&lt;="&amp;$A66,実績!$AD$6:$AD$505,"&gt;"&amp;$A66,実績!$AE$6:$AE$505,"○")&gt;0,1,0))</f>
        <v/>
      </c>
      <c r="CT66">
        <f>IF(CT$4=0,0,IF(COUNTIFS(実績!$W$6:$W$505,CT$3,実績!$AC$6:$AC$505,"&lt;="&amp;$A66,実績!$AD$6:$AD$505,"&gt;"&amp;$A66,実績!$AE$6:$AE$505,"○")&gt;0,1,0))</f>
        <v/>
      </c>
      <c r="CU66">
        <f>IF(CU$4=0,0,IF(COUNTIFS(実績!$W$6:$W$505,CU$3,実績!$AC$6:$AC$505,"&lt;="&amp;$A66,実績!$AD$6:$AD$505,"&gt;"&amp;$A66,実績!$AE$6:$AE$505,"○")&gt;0,1,0))</f>
        <v/>
      </c>
      <c r="CV66">
        <f>IF(CV$4=0,0,IF(COUNTIFS(実績!$W$6:$W$505,CV$3,実績!$AC$6:$AC$505,"&lt;="&amp;$A66,実績!$AD$6:$AD$505,"&gt;"&amp;$A66,実績!$AE$6:$AE$505,"○")&gt;0,1,0))</f>
        <v/>
      </c>
      <c r="CW66">
        <f>IF(CW$4=0,0,IF(COUNTIFS(実績!$W$6:$W$505,CW$3,実績!$AC$6:$AC$505,"&lt;="&amp;$A66,実績!$AD$6:$AD$505,"&gt;"&amp;$A66,実績!$AE$6:$AE$505,"○")&gt;0,1,0))</f>
        <v/>
      </c>
      <c r="CX66">
        <f>IF(CX$4=0,0,IF(COUNTIFS(実績!$W$6:$W$505,CX$3,実績!$AC$6:$AC$505,"&lt;="&amp;$A66,実績!$AD$6:$AD$505,"&gt;"&amp;$A66,実績!$AE$6:$AE$505,"○")&gt;0,1,0))</f>
        <v/>
      </c>
      <c r="CY66">
        <f>IF(CY$4=0,0,IF(COUNTIFS(実績!$W$6:$W$505,CY$3,実績!$AC$6:$AC$505,"&lt;="&amp;$A66,実績!$AD$6:$AD$505,"&gt;"&amp;$A66,実績!$AE$6:$AE$505,"○")&gt;0,1,0))</f>
        <v/>
      </c>
      <c r="CZ66">
        <f>IF(CZ$4=0,0,IF(COUNTIFS(実績!$W$6:$W$505,CZ$3,実績!$AC$6:$AC$505,"&lt;="&amp;$A66,実績!$AD$6:$AD$505,"&gt;"&amp;$A66,実績!$AE$6:$AE$505,"○")&gt;0,1,0))</f>
        <v/>
      </c>
      <c r="DA66">
        <f>IF(DA$4=0,0,IF(COUNTIFS(実績!$W$6:$W$505,DA$3,実績!$AC$6:$AC$505,"&lt;="&amp;$A66,実績!$AD$6:$AD$505,"&gt;"&amp;$A66,実績!$AE$6:$AE$505,"○")&gt;0,1,0))</f>
        <v/>
      </c>
      <c r="DB66">
        <f>IF(DB$4=0,0,IF(COUNTIFS(実績!$W$6:$W$505,DB$3,実績!$AC$6:$AC$505,"&lt;="&amp;$A66,実績!$AD$6:$AD$505,"&gt;"&amp;$A66,実績!$AE$6:$AE$505,"○")&gt;0,1,0))</f>
        <v/>
      </c>
      <c r="DC66">
        <f>IF(DC$4=0,0,IF(COUNTIFS(実績!$W$6:$W$505,DC$3,実績!$AC$6:$AC$505,"&lt;="&amp;$A66,実績!$AD$6:$AD$505,"&gt;"&amp;$A66,実績!$AE$6:$AE$505,"○")&gt;0,1,0))</f>
        <v/>
      </c>
      <c r="DD66">
        <f>IF(DD$4=0,0,IF(COUNTIFS(実績!$W$6:$W$505,DD$3,実績!$AC$6:$AC$505,"&lt;="&amp;$A66,実績!$AD$6:$AD$505,"&gt;"&amp;$A66,実績!$AE$6:$AE$505,"○")&gt;0,1,0))</f>
        <v/>
      </c>
      <c r="DE66">
        <f>IF(DE$4=0,0,IF(COUNTIFS(実績!$W$6:$W$505,DE$3,実績!$AC$6:$AC$505,"&lt;="&amp;$A66,実績!$AD$6:$AD$505,"&gt;"&amp;$A66,実績!$AE$6:$AE$505,"○")&gt;0,1,0))</f>
        <v/>
      </c>
      <c r="DF66">
        <f>IF(DF$4=0,0,IF(COUNTIFS(実績!$W$6:$W$505,DF$3,実績!$AC$6:$AC$505,"&lt;="&amp;$A66,実績!$AD$6:$AD$505,"&gt;"&amp;$A66,実績!$AE$6:$AE$505,"○")&gt;0,1,0))</f>
        <v/>
      </c>
      <c r="DG66">
        <f>IF(DG$4=0,0,IF(COUNTIFS(実績!$W$6:$W$505,DG$3,実績!$AC$6:$AC$505,"&lt;="&amp;$A66,実績!$AD$6:$AD$505,"&gt;"&amp;$A66,実績!$AE$6:$AE$505,"○")&gt;0,1,0))</f>
        <v/>
      </c>
      <c r="DH66">
        <f>IF(DH$4=0,0,IF(COUNTIFS(実績!$W$6:$W$505,DH$3,実績!$AC$6:$AC$505,"&lt;="&amp;$A66,実績!$AD$6:$AD$505,"&gt;"&amp;$A66,実績!$AE$6:$AE$505,"○")&gt;0,1,0))</f>
        <v/>
      </c>
      <c r="DI66">
        <f>IF(DI$4=0,0,IF(COUNTIFS(実績!$W$6:$W$505,DI$3,実績!$AC$6:$AC$505,"&lt;="&amp;$A66,実績!$AD$6:$AD$505,"&gt;"&amp;$A66,実績!$AE$6:$AE$505,"○")&gt;0,1,0))</f>
        <v/>
      </c>
      <c r="DJ66">
        <f>IF(DJ$4=0,0,IF(COUNTIFS(実績!$W$6:$W$505,DJ$3,実績!$AC$6:$AC$505,"&lt;="&amp;$A66,実績!$AD$6:$AD$505,"&gt;"&amp;$A66,実績!$AE$6:$AE$505,"○")&gt;0,1,0))</f>
        <v/>
      </c>
      <c r="DK66">
        <f>IF(DK$4=0,0,IF(COUNTIFS(実績!$W$6:$W$505,DK$3,実績!$AC$6:$AC$505,"&lt;="&amp;$A66,実績!$AD$6:$AD$505,"&gt;"&amp;$A66,実績!$AE$6:$AE$505,"○")&gt;0,1,0))</f>
        <v/>
      </c>
      <c r="DL66">
        <f>IF(DL$4=0,0,IF(COUNTIFS(実績!$W$6:$W$505,DL$3,実績!$AC$6:$AC$505,"&lt;="&amp;$A66,実績!$AD$6:$AD$505,"&gt;"&amp;$A66,実績!$AE$6:$AE$505,"○")&gt;0,1,0))</f>
        <v/>
      </c>
      <c r="DM66">
        <f>IF(DM$4=0,0,IF(COUNTIFS(実績!$W$6:$W$505,DM$3,実績!$AC$6:$AC$505,"&lt;="&amp;$A66,実績!$AD$6:$AD$505,"&gt;"&amp;$A66,実績!$AE$6:$AE$505,"○")&gt;0,1,0))</f>
        <v/>
      </c>
      <c r="DN66">
        <f>IF(DN$4=0,0,IF(COUNTIFS(実績!$W$6:$W$505,DN$3,実績!$AC$6:$AC$505,"&lt;="&amp;$A66,実績!$AD$6:$AD$505,"&gt;"&amp;$A66,実績!$AE$6:$AE$505,"○")&gt;0,1,0))</f>
        <v/>
      </c>
      <c r="DO66">
        <f>IF(DO$4=0,0,IF(COUNTIFS(実績!$W$6:$W$505,DO$3,実績!$AC$6:$AC$505,"&lt;="&amp;$A66,実績!$AD$6:$AD$505,"&gt;"&amp;$A66,実績!$AE$6:$AE$505,"○")&gt;0,1,0))</f>
        <v/>
      </c>
      <c r="DP66">
        <f>IF(DP$4=0,0,IF(COUNTIFS(実績!$W$6:$W$505,DP$3,実績!$AC$6:$AC$505,"&lt;="&amp;$A66,実績!$AD$6:$AD$505,"&gt;"&amp;$A66,実績!$AE$6:$AE$505,"○")&gt;0,1,0))</f>
        <v/>
      </c>
      <c r="DQ66">
        <f>IF(DQ$4=0,0,IF(COUNTIFS(実績!$W$6:$W$505,DQ$3,実績!$AC$6:$AC$505,"&lt;="&amp;$A66,実績!$AD$6:$AD$505,"&gt;"&amp;$A66,実績!$AE$6:$AE$505,"○")&gt;0,1,0))</f>
        <v/>
      </c>
      <c r="DR66">
        <f>IF(DR$4=0,0,IF(COUNTIFS(実績!$W$6:$W$505,DR$3,実績!$AC$6:$AC$505,"&lt;="&amp;$A66,実績!$AD$6:$AD$505,"&gt;"&amp;$A66,実績!$AE$6:$AE$505,"○")&gt;0,1,0))</f>
        <v/>
      </c>
      <c r="DS66">
        <f>SUM(C66:DR66)</f>
        <v/>
      </c>
      <c r="DT66">
        <f>SUMPRODUCT((実績!$C$6:$C$505="○")*ISNUMBER(実績!$AF$6:$AF$505)*(実績!$AF$6:$AF$505&lt;=$A66)*(実績!$AG$6:$AG$505&gt;$A66))</f>
        <v/>
      </c>
      <c r="DU66">
        <f>SUMIF($C$2:$DR$2,"製鉄曳船",C66:DR66)</f>
        <v/>
      </c>
      <c r="DV66">
        <f>SUMIF($C$2:$DR$2,"西日本海運",C66:DR66)</f>
        <v/>
      </c>
    </row>
    <row r="67">
      <c r="A67" t="n">
        <v>305</v>
      </c>
      <c r="B67" s="29">
        <f>A67/1440</f>
        <v/>
      </c>
      <c r="C67">
        <f>IF(C$4=0,0,IF(COUNTIFS(実績!$W$6:$W$505,C$3,実績!$AC$6:$AC$505,"&lt;="&amp;$A67,実績!$AD$6:$AD$505,"&gt;"&amp;$A67,実績!$AE$6:$AE$505,"○")&gt;0,1,0))</f>
        <v/>
      </c>
      <c r="D67">
        <f>IF(D$4=0,0,IF(COUNTIFS(実績!$W$6:$W$505,D$3,実績!$AC$6:$AC$505,"&lt;="&amp;$A67,実績!$AD$6:$AD$505,"&gt;"&amp;$A67,実績!$AE$6:$AE$505,"○")&gt;0,1,0))</f>
        <v/>
      </c>
      <c r="E67">
        <f>IF(E$4=0,0,IF(COUNTIFS(実績!$W$6:$W$505,E$3,実績!$AC$6:$AC$505,"&lt;="&amp;$A67,実績!$AD$6:$AD$505,"&gt;"&amp;$A67,実績!$AE$6:$AE$505,"○")&gt;0,1,0))</f>
        <v/>
      </c>
      <c r="F67">
        <f>IF(F$4=0,0,IF(COUNTIFS(実績!$W$6:$W$505,F$3,実績!$AC$6:$AC$505,"&lt;="&amp;$A67,実績!$AD$6:$AD$505,"&gt;"&amp;$A67,実績!$AE$6:$AE$505,"○")&gt;0,1,0))</f>
        <v/>
      </c>
      <c r="G67">
        <f>IF(G$4=0,0,IF(COUNTIFS(実績!$W$6:$W$505,G$3,実績!$AC$6:$AC$505,"&lt;="&amp;$A67,実績!$AD$6:$AD$505,"&gt;"&amp;$A67,実績!$AE$6:$AE$505,"○")&gt;0,1,0))</f>
        <v/>
      </c>
      <c r="H67">
        <f>IF(H$4=0,0,IF(COUNTIFS(実績!$W$6:$W$505,H$3,実績!$AC$6:$AC$505,"&lt;="&amp;$A67,実績!$AD$6:$AD$505,"&gt;"&amp;$A67,実績!$AE$6:$AE$505,"○")&gt;0,1,0))</f>
        <v/>
      </c>
      <c r="I67">
        <f>IF(I$4=0,0,IF(COUNTIFS(実績!$W$6:$W$505,I$3,実績!$AC$6:$AC$505,"&lt;="&amp;$A67,実績!$AD$6:$AD$505,"&gt;"&amp;$A67,実績!$AE$6:$AE$505,"○")&gt;0,1,0))</f>
        <v/>
      </c>
      <c r="J67">
        <f>IF(J$4=0,0,IF(COUNTIFS(実績!$W$6:$W$505,J$3,実績!$AC$6:$AC$505,"&lt;="&amp;$A67,実績!$AD$6:$AD$505,"&gt;"&amp;$A67,実績!$AE$6:$AE$505,"○")&gt;0,1,0))</f>
        <v/>
      </c>
      <c r="K67">
        <f>IF(K$4=0,0,IF(COUNTIFS(実績!$W$6:$W$505,K$3,実績!$AC$6:$AC$505,"&lt;="&amp;$A67,実績!$AD$6:$AD$505,"&gt;"&amp;$A67,実績!$AE$6:$AE$505,"○")&gt;0,1,0))</f>
        <v/>
      </c>
      <c r="L67">
        <f>IF(L$4=0,0,IF(COUNTIFS(実績!$W$6:$W$505,L$3,実績!$AC$6:$AC$505,"&lt;="&amp;$A67,実績!$AD$6:$AD$505,"&gt;"&amp;$A67,実績!$AE$6:$AE$505,"○")&gt;0,1,0))</f>
        <v/>
      </c>
      <c r="M67">
        <f>IF(M$4=0,0,IF(COUNTIFS(実績!$W$6:$W$505,M$3,実績!$AC$6:$AC$505,"&lt;="&amp;$A67,実績!$AD$6:$AD$505,"&gt;"&amp;$A67,実績!$AE$6:$AE$505,"○")&gt;0,1,0))</f>
        <v/>
      </c>
      <c r="N67">
        <f>IF(N$4=0,0,IF(COUNTIFS(実績!$W$6:$W$505,N$3,実績!$AC$6:$AC$505,"&lt;="&amp;$A67,実績!$AD$6:$AD$505,"&gt;"&amp;$A67,実績!$AE$6:$AE$505,"○")&gt;0,1,0))</f>
        <v/>
      </c>
      <c r="O67">
        <f>IF(O$4=0,0,IF(COUNTIFS(実績!$W$6:$W$505,O$3,実績!$AC$6:$AC$505,"&lt;="&amp;$A67,実績!$AD$6:$AD$505,"&gt;"&amp;$A67,実績!$AE$6:$AE$505,"○")&gt;0,1,0))</f>
        <v/>
      </c>
      <c r="P67">
        <f>IF(P$4=0,0,IF(COUNTIFS(実績!$W$6:$W$505,P$3,実績!$AC$6:$AC$505,"&lt;="&amp;$A67,実績!$AD$6:$AD$505,"&gt;"&amp;$A67,実績!$AE$6:$AE$505,"○")&gt;0,1,0))</f>
        <v/>
      </c>
      <c r="Q67">
        <f>IF(Q$4=0,0,IF(COUNTIFS(実績!$W$6:$W$505,Q$3,実績!$AC$6:$AC$505,"&lt;="&amp;$A67,実績!$AD$6:$AD$505,"&gt;"&amp;$A67,実績!$AE$6:$AE$505,"○")&gt;0,1,0))</f>
        <v/>
      </c>
      <c r="R67">
        <f>IF(R$4=0,0,IF(COUNTIFS(実績!$W$6:$W$505,R$3,実績!$AC$6:$AC$505,"&lt;="&amp;$A67,実績!$AD$6:$AD$505,"&gt;"&amp;$A67,実績!$AE$6:$AE$505,"○")&gt;0,1,0))</f>
        <v/>
      </c>
      <c r="S67">
        <f>IF(S$4=0,0,IF(COUNTIFS(実績!$W$6:$W$505,S$3,実績!$AC$6:$AC$505,"&lt;="&amp;$A67,実績!$AD$6:$AD$505,"&gt;"&amp;$A67,実績!$AE$6:$AE$505,"○")&gt;0,1,0))</f>
        <v/>
      </c>
      <c r="T67">
        <f>IF(T$4=0,0,IF(COUNTIFS(実績!$W$6:$W$505,T$3,実績!$AC$6:$AC$505,"&lt;="&amp;$A67,実績!$AD$6:$AD$505,"&gt;"&amp;$A67,実績!$AE$6:$AE$505,"○")&gt;0,1,0))</f>
        <v/>
      </c>
      <c r="U67">
        <f>IF(U$4=0,0,IF(COUNTIFS(実績!$W$6:$W$505,U$3,実績!$AC$6:$AC$505,"&lt;="&amp;$A67,実績!$AD$6:$AD$505,"&gt;"&amp;$A67,実績!$AE$6:$AE$505,"○")&gt;0,1,0))</f>
        <v/>
      </c>
      <c r="V67">
        <f>IF(V$4=0,0,IF(COUNTIFS(実績!$W$6:$W$505,V$3,実績!$AC$6:$AC$505,"&lt;="&amp;$A67,実績!$AD$6:$AD$505,"&gt;"&amp;$A67,実績!$AE$6:$AE$505,"○")&gt;0,1,0))</f>
        <v/>
      </c>
      <c r="W67">
        <f>IF(W$4=0,0,IF(COUNTIFS(実績!$W$6:$W$505,W$3,実績!$AC$6:$AC$505,"&lt;="&amp;$A67,実績!$AD$6:$AD$505,"&gt;"&amp;$A67,実績!$AE$6:$AE$505,"○")&gt;0,1,0))</f>
        <v/>
      </c>
      <c r="X67">
        <f>IF(X$4=0,0,IF(COUNTIFS(実績!$W$6:$W$505,X$3,実績!$AC$6:$AC$505,"&lt;="&amp;$A67,実績!$AD$6:$AD$505,"&gt;"&amp;$A67,実績!$AE$6:$AE$505,"○")&gt;0,1,0))</f>
        <v/>
      </c>
      <c r="Y67">
        <f>IF(Y$4=0,0,IF(COUNTIFS(実績!$W$6:$W$505,Y$3,実績!$AC$6:$AC$505,"&lt;="&amp;$A67,実績!$AD$6:$AD$505,"&gt;"&amp;$A67,実績!$AE$6:$AE$505,"○")&gt;0,1,0))</f>
        <v/>
      </c>
      <c r="Z67">
        <f>IF(Z$4=0,0,IF(COUNTIFS(実績!$W$6:$W$505,Z$3,実績!$AC$6:$AC$505,"&lt;="&amp;$A67,実績!$AD$6:$AD$505,"&gt;"&amp;$A67,実績!$AE$6:$AE$505,"○")&gt;0,1,0))</f>
        <v/>
      </c>
      <c r="AA67">
        <f>IF(AA$4=0,0,IF(COUNTIFS(実績!$W$6:$W$505,AA$3,実績!$AC$6:$AC$505,"&lt;="&amp;$A67,実績!$AD$6:$AD$505,"&gt;"&amp;$A67,実績!$AE$6:$AE$505,"○")&gt;0,1,0))</f>
        <v/>
      </c>
      <c r="AB67">
        <f>IF(AB$4=0,0,IF(COUNTIFS(実績!$W$6:$W$505,AB$3,実績!$AC$6:$AC$505,"&lt;="&amp;$A67,実績!$AD$6:$AD$505,"&gt;"&amp;$A67,実績!$AE$6:$AE$505,"○")&gt;0,1,0))</f>
        <v/>
      </c>
      <c r="AC67">
        <f>IF(AC$4=0,0,IF(COUNTIFS(実績!$W$6:$W$505,AC$3,実績!$AC$6:$AC$505,"&lt;="&amp;$A67,実績!$AD$6:$AD$505,"&gt;"&amp;$A67,実績!$AE$6:$AE$505,"○")&gt;0,1,0))</f>
        <v/>
      </c>
      <c r="AD67">
        <f>IF(AD$4=0,0,IF(COUNTIFS(実績!$W$6:$W$505,AD$3,実績!$AC$6:$AC$505,"&lt;="&amp;$A67,実績!$AD$6:$AD$505,"&gt;"&amp;$A67,実績!$AE$6:$AE$505,"○")&gt;0,1,0))</f>
        <v/>
      </c>
      <c r="AE67">
        <f>IF(AE$4=0,0,IF(COUNTIFS(実績!$W$6:$W$505,AE$3,実績!$AC$6:$AC$505,"&lt;="&amp;$A67,実績!$AD$6:$AD$505,"&gt;"&amp;$A67,実績!$AE$6:$AE$505,"○")&gt;0,1,0))</f>
        <v/>
      </c>
      <c r="AF67">
        <f>IF(AF$4=0,0,IF(COUNTIFS(実績!$W$6:$W$505,AF$3,実績!$AC$6:$AC$505,"&lt;="&amp;$A67,実績!$AD$6:$AD$505,"&gt;"&amp;$A67,実績!$AE$6:$AE$505,"○")&gt;0,1,0))</f>
        <v/>
      </c>
      <c r="AG67">
        <f>IF(AG$4=0,0,IF(COUNTIFS(実績!$W$6:$W$505,AG$3,実績!$AC$6:$AC$505,"&lt;="&amp;$A67,実績!$AD$6:$AD$505,"&gt;"&amp;$A67,実績!$AE$6:$AE$505,"○")&gt;0,1,0))</f>
        <v/>
      </c>
      <c r="AH67">
        <f>IF(AH$4=0,0,IF(COUNTIFS(実績!$W$6:$W$505,AH$3,実績!$AC$6:$AC$505,"&lt;="&amp;$A67,実績!$AD$6:$AD$505,"&gt;"&amp;$A67,実績!$AE$6:$AE$505,"○")&gt;0,1,0))</f>
        <v/>
      </c>
      <c r="AI67">
        <f>IF(AI$4=0,0,IF(COUNTIFS(実績!$W$6:$W$505,AI$3,実績!$AC$6:$AC$505,"&lt;="&amp;$A67,実績!$AD$6:$AD$505,"&gt;"&amp;$A67,実績!$AE$6:$AE$505,"○")&gt;0,1,0))</f>
        <v/>
      </c>
      <c r="AJ67">
        <f>IF(AJ$4=0,0,IF(COUNTIFS(実績!$W$6:$W$505,AJ$3,実績!$AC$6:$AC$505,"&lt;="&amp;$A67,実績!$AD$6:$AD$505,"&gt;"&amp;$A67,実績!$AE$6:$AE$505,"○")&gt;0,1,0))</f>
        <v/>
      </c>
      <c r="AK67">
        <f>IF(AK$4=0,0,IF(COUNTIFS(実績!$W$6:$W$505,AK$3,実績!$AC$6:$AC$505,"&lt;="&amp;$A67,実績!$AD$6:$AD$505,"&gt;"&amp;$A67,実績!$AE$6:$AE$505,"○")&gt;0,1,0))</f>
        <v/>
      </c>
      <c r="AL67">
        <f>IF(AL$4=0,0,IF(COUNTIFS(実績!$W$6:$W$505,AL$3,実績!$AC$6:$AC$505,"&lt;="&amp;$A67,実績!$AD$6:$AD$505,"&gt;"&amp;$A67,実績!$AE$6:$AE$505,"○")&gt;0,1,0))</f>
        <v/>
      </c>
      <c r="AM67">
        <f>IF(AM$4=0,0,IF(COUNTIFS(実績!$W$6:$W$505,AM$3,実績!$AC$6:$AC$505,"&lt;="&amp;$A67,実績!$AD$6:$AD$505,"&gt;"&amp;$A67,実績!$AE$6:$AE$505,"○")&gt;0,1,0))</f>
        <v/>
      </c>
      <c r="AN67">
        <f>IF(AN$4=0,0,IF(COUNTIFS(実績!$W$6:$W$505,AN$3,実績!$AC$6:$AC$505,"&lt;="&amp;$A67,実績!$AD$6:$AD$505,"&gt;"&amp;$A67,実績!$AE$6:$AE$505,"○")&gt;0,1,0))</f>
        <v/>
      </c>
      <c r="AO67">
        <f>IF(AO$4=0,0,IF(COUNTIFS(実績!$W$6:$W$505,AO$3,実績!$AC$6:$AC$505,"&lt;="&amp;$A67,実績!$AD$6:$AD$505,"&gt;"&amp;$A67,実績!$AE$6:$AE$505,"○")&gt;0,1,0))</f>
        <v/>
      </c>
      <c r="AP67">
        <f>IF(AP$4=0,0,IF(COUNTIFS(実績!$W$6:$W$505,AP$3,実績!$AC$6:$AC$505,"&lt;="&amp;$A67,実績!$AD$6:$AD$505,"&gt;"&amp;$A67,実績!$AE$6:$AE$505,"○")&gt;0,1,0))</f>
        <v/>
      </c>
      <c r="AQ67">
        <f>IF(AQ$4=0,0,IF(COUNTIFS(実績!$W$6:$W$505,AQ$3,実績!$AC$6:$AC$505,"&lt;="&amp;$A67,実績!$AD$6:$AD$505,"&gt;"&amp;$A67,実績!$AE$6:$AE$505,"○")&gt;0,1,0))</f>
        <v/>
      </c>
      <c r="AR67">
        <f>IF(AR$4=0,0,IF(COUNTIFS(実績!$W$6:$W$505,AR$3,実績!$AC$6:$AC$505,"&lt;="&amp;$A67,実績!$AD$6:$AD$505,"&gt;"&amp;$A67,実績!$AE$6:$AE$505,"○")&gt;0,1,0))</f>
        <v/>
      </c>
      <c r="AS67">
        <f>IF(AS$4=0,0,IF(COUNTIFS(実績!$W$6:$W$505,AS$3,実績!$AC$6:$AC$505,"&lt;="&amp;$A67,実績!$AD$6:$AD$505,"&gt;"&amp;$A67,実績!$AE$6:$AE$505,"○")&gt;0,1,0))</f>
        <v/>
      </c>
      <c r="AT67">
        <f>IF(AT$4=0,0,IF(COUNTIFS(実績!$W$6:$W$505,AT$3,実績!$AC$6:$AC$505,"&lt;="&amp;$A67,実績!$AD$6:$AD$505,"&gt;"&amp;$A67,実績!$AE$6:$AE$505,"○")&gt;0,1,0))</f>
        <v/>
      </c>
      <c r="AU67">
        <f>IF(AU$4=0,0,IF(COUNTIFS(実績!$W$6:$W$505,AU$3,実績!$AC$6:$AC$505,"&lt;="&amp;$A67,実績!$AD$6:$AD$505,"&gt;"&amp;$A67,実績!$AE$6:$AE$505,"○")&gt;0,1,0))</f>
        <v/>
      </c>
      <c r="AV67">
        <f>IF(AV$4=0,0,IF(COUNTIFS(実績!$W$6:$W$505,AV$3,実績!$AC$6:$AC$505,"&lt;="&amp;$A67,実績!$AD$6:$AD$505,"&gt;"&amp;$A67,実績!$AE$6:$AE$505,"○")&gt;0,1,0))</f>
        <v/>
      </c>
      <c r="AW67">
        <f>IF(AW$4=0,0,IF(COUNTIFS(実績!$W$6:$W$505,AW$3,実績!$AC$6:$AC$505,"&lt;="&amp;$A67,実績!$AD$6:$AD$505,"&gt;"&amp;$A67,実績!$AE$6:$AE$505,"○")&gt;0,1,0))</f>
        <v/>
      </c>
      <c r="AX67">
        <f>IF(AX$4=0,0,IF(COUNTIFS(実績!$W$6:$W$505,AX$3,実績!$AC$6:$AC$505,"&lt;="&amp;$A67,実績!$AD$6:$AD$505,"&gt;"&amp;$A67,実績!$AE$6:$AE$505,"○")&gt;0,1,0))</f>
        <v/>
      </c>
      <c r="AY67">
        <f>IF(AY$4=0,0,IF(COUNTIFS(実績!$W$6:$W$505,AY$3,実績!$AC$6:$AC$505,"&lt;="&amp;$A67,実績!$AD$6:$AD$505,"&gt;"&amp;$A67,実績!$AE$6:$AE$505,"○")&gt;0,1,0))</f>
        <v/>
      </c>
      <c r="AZ67">
        <f>IF(AZ$4=0,0,IF(COUNTIFS(実績!$W$6:$W$505,AZ$3,実績!$AC$6:$AC$505,"&lt;="&amp;$A67,実績!$AD$6:$AD$505,"&gt;"&amp;$A67,実績!$AE$6:$AE$505,"○")&gt;0,1,0))</f>
        <v/>
      </c>
      <c r="BA67">
        <f>IF(BA$4=0,0,IF(COUNTIFS(実績!$W$6:$W$505,BA$3,実績!$AC$6:$AC$505,"&lt;="&amp;$A67,実績!$AD$6:$AD$505,"&gt;"&amp;$A67,実績!$AE$6:$AE$505,"○")&gt;0,1,0))</f>
        <v/>
      </c>
      <c r="BB67">
        <f>IF(BB$4=0,0,IF(COUNTIFS(実績!$W$6:$W$505,BB$3,実績!$AC$6:$AC$505,"&lt;="&amp;$A67,実績!$AD$6:$AD$505,"&gt;"&amp;$A67,実績!$AE$6:$AE$505,"○")&gt;0,1,0))</f>
        <v/>
      </c>
      <c r="BC67">
        <f>IF(BC$4=0,0,IF(COUNTIFS(実績!$W$6:$W$505,BC$3,実績!$AC$6:$AC$505,"&lt;="&amp;$A67,実績!$AD$6:$AD$505,"&gt;"&amp;$A67,実績!$AE$6:$AE$505,"○")&gt;0,1,0))</f>
        <v/>
      </c>
      <c r="BD67">
        <f>IF(BD$4=0,0,IF(COUNTIFS(実績!$W$6:$W$505,BD$3,実績!$AC$6:$AC$505,"&lt;="&amp;$A67,実績!$AD$6:$AD$505,"&gt;"&amp;$A67,実績!$AE$6:$AE$505,"○")&gt;0,1,0))</f>
        <v/>
      </c>
      <c r="BE67">
        <f>IF(BE$4=0,0,IF(COUNTIFS(実績!$W$6:$W$505,BE$3,実績!$AC$6:$AC$505,"&lt;="&amp;$A67,実績!$AD$6:$AD$505,"&gt;"&amp;$A67,実績!$AE$6:$AE$505,"○")&gt;0,1,0))</f>
        <v/>
      </c>
      <c r="BF67">
        <f>IF(BF$4=0,0,IF(COUNTIFS(実績!$W$6:$W$505,BF$3,実績!$AC$6:$AC$505,"&lt;="&amp;$A67,実績!$AD$6:$AD$505,"&gt;"&amp;$A67,実績!$AE$6:$AE$505,"○")&gt;0,1,0))</f>
        <v/>
      </c>
      <c r="BG67">
        <f>IF(BG$4=0,0,IF(COUNTIFS(実績!$W$6:$W$505,BG$3,実績!$AC$6:$AC$505,"&lt;="&amp;$A67,実績!$AD$6:$AD$505,"&gt;"&amp;$A67,実績!$AE$6:$AE$505,"○")&gt;0,1,0))</f>
        <v/>
      </c>
      <c r="BH67">
        <f>IF(BH$4=0,0,IF(COUNTIFS(実績!$W$6:$W$505,BH$3,実績!$AC$6:$AC$505,"&lt;="&amp;$A67,実績!$AD$6:$AD$505,"&gt;"&amp;$A67,実績!$AE$6:$AE$505,"○")&gt;0,1,0))</f>
        <v/>
      </c>
      <c r="BI67">
        <f>IF(BI$4=0,0,IF(COUNTIFS(実績!$W$6:$W$505,BI$3,実績!$AC$6:$AC$505,"&lt;="&amp;$A67,実績!$AD$6:$AD$505,"&gt;"&amp;$A67,実績!$AE$6:$AE$505,"○")&gt;0,1,0))</f>
        <v/>
      </c>
      <c r="BJ67">
        <f>IF(BJ$4=0,0,IF(COUNTIFS(実績!$W$6:$W$505,BJ$3,実績!$AC$6:$AC$505,"&lt;="&amp;$A67,実績!$AD$6:$AD$505,"&gt;"&amp;$A67,実績!$AE$6:$AE$505,"○")&gt;0,1,0))</f>
        <v/>
      </c>
      <c r="BK67">
        <f>IF(BK$4=0,0,IF(COUNTIFS(実績!$W$6:$W$505,BK$3,実績!$AC$6:$AC$505,"&lt;="&amp;$A67,実績!$AD$6:$AD$505,"&gt;"&amp;$A67,実績!$AE$6:$AE$505,"○")&gt;0,1,0))</f>
        <v/>
      </c>
      <c r="BL67">
        <f>IF(BL$4=0,0,IF(COUNTIFS(実績!$W$6:$W$505,BL$3,実績!$AC$6:$AC$505,"&lt;="&amp;$A67,実績!$AD$6:$AD$505,"&gt;"&amp;$A67,実績!$AE$6:$AE$505,"○")&gt;0,1,0))</f>
        <v/>
      </c>
      <c r="BM67">
        <f>IF(BM$4=0,0,IF(COUNTIFS(実績!$W$6:$W$505,BM$3,実績!$AC$6:$AC$505,"&lt;="&amp;$A67,実績!$AD$6:$AD$505,"&gt;"&amp;$A67,実績!$AE$6:$AE$505,"○")&gt;0,1,0))</f>
        <v/>
      </c>
      <c r="BN67">
        <f>IF(BN$4=0,0,IF(COUNTIFS(実績!$W$6:$W$505,BN$3,実績!$AC$6:$AC$505,"&lt;="&amp;$A67,実績!$AD$6:$AD$505,"&gt;"&amp;$A67,実績!$AE$6:$AE$505,"○")&gt;0,1,0))</f>
        <v/>
      </c>
      <c r="BO67">
        <f>IF(BO$4=0,0,IF(COUNTIFS(実績!$W$6:$W$505,BO$3,実績!$AC$6:$AC$505,"&lt;="&amp;$A67,実績!$AD$6:$AD$505,"&gt;"&amp;$A67,実績!$AE$6:$AE$505,"○")&gt;0,1,0))</f>
        <v/>
      </c>
      <c r="BP67">
        <f>IF(BP$4=0,0,IF(COUNTIFS(実績!$W$6:$W$505,BP$3,実績!$AC$6:$AC$505,"&lt;="&amp;$A67,実績!$AD$6:$AD$505,"&gt;"&amp;$A67,実績!$AE$6:$AE$505,"○")&gt;0,1,0))</f>
        <v/>
      </c>
      <c r="BQ67">
        <f>IF(BQ$4=0,0,IF(COUNTIFS(実績!$W$6:$W$505,BQ$3,実績!$AC$6:$AC$505,"&lt;="&amp;$A67,実績!$AD$6:$AD$505,"&gt;"&amp;$A67,実績!$AE$6:$AE$505,"○")&gt;0,1,0))</f>
        <v/>
      </c>
      <c r="BR67">
        <f>IF(BR$4=0,0,IF(COUNTIFS(実績!$W$6:$W$505,BR$3,実績!$AC$6:$AC$505,"&lt;="&amp;$A67,実績!$AD$6:$AD$505,"&gt;"&amp;$A67,実績!$AE$6:$AE$505,"○")&gt;0,1,0))</f>
        <v/>
      </c>
      <c r="BS67">
        <f>IF(BS$4=0,0,IF(COUNTIFS(実績!$W$6:$W$505,BS$3,実績!$AC$6:$AC$505,"&lt;="&amp;$A67,実績!$AD$6:$AD$505,"&gt;"&amp;$A67,実績!$AE$6:$AE$505,"○")&gt;0,1,0))</f>
        <v/>
      </c>
      <c r="BT67">
        <f>IF(BT$4=0,0,IF(COUNTIFS(実績!$W$6:$W$505,BT$3,実績!$AC$6:$AC$505,"&lt;="&amp;$A67,実績!$AD$6:$AD$505,"&gt;"&amp;$A67,実績!$AE$6:$AE$505,"○")&gt;0,1,0))</f>
        <v/>
      </c>
      <c r="BU67">
        <f>IF(BU$4=0,0,IF(COUNTIFS(実績!$W$6:$W$505,BU$3,実績!$AC$6:$AC$505,"&lt;="&amp;$A67,実績!$AD$6:$AD$505,"&gt;"&amp;$A67,実績!$AE$6:$AE$505,"○")&gt;0,1,0))</f>
        <v/>
      </c>
      <c r="BV67">
        <f>IF(BV$4=0,0,IF(COUNTIFS(実績!$W$6:$W$505,BV$3,実績!$AC$6:$AC$505,"&lt;="&amp;$A67,実績!$AD$6:$AD$505,"&gt;"&amp;$A67,実績!$AE$6:$AE$505,"○")&gt;0,1,0))</f>
        <v/>
      </c>
      <c r="BW67">
        <f>IF(BW$4=0,0,IF(COUNTIFS(実績!$W$6:$W$505,BW$3,実績!$AC$6:$AC$505,"&lt;="&amp;$A67,実績!$AD$6:$AD$505,"&gt;"&amp;$A67,実績!$AE$6:$AE$505,"○")&gt;0,1,0))</f>
        <v/>
      </c>
      <c r="BX67">
        <f>IF(BX$4=0,0,IF(COUNTIFS(実績!$W$6:$W$505,BX$3,実績!$AC$6:$AC$505,"&lt;="&amp;$A67,実績!$AD$6:$AD$505,"&gt;"&amp;$A67,実績!$AE$6:$AE$505,"○")&gt;0,1,0))</f>
        <v/>
      </c>
      <c r="BY67">
        <f>IF(BY$4=0,0,IF(COUNTIFS(実績!$W$6:$W$505,BY$3,実績!$AC$6:$AC$505,"&lt;="&amp;$A67,実績!$AD$6:$AD$505,"&gt;"&amp;$A67,実績!$AE$6:$AE$505,"○")&gt;0,1,0))</f>
        <v/>
      </c>
      <c r="BZ67">
        <f>IF(BZ$4=0,0,IF(COUNTIFS(実績!$W$6:$W$505,BZ$3,実績!$AC$6:$AC$505,"&lt;="&amp;$A67,実績!$AD$6:$AD$505,"&gt;"&amp;$A67,実績!$AE$6:$AE$505,"○")&gt;0,1,0))</f>
        <v/>
      </c>
      <c r="CA67">
        <f>IF(CA$4=0,0,IF(COUNTIFS(実績!$W$6:$W$505,CA$3,実績!$AC$6:$AC$505,"&lt;="&amp;$A67,実績!$AD$6:$AD$505,"&gt;"&amp;$A67,実績!$AE$6:$AE$505,"○")&gt;0,1,0))</f>
        <v/>
      </c>
      <c r="CB67">
        <f>IF(CB$4=0,0,IF(COUNTIFS(実績!$W$6:$W$505,CB$3,実績!$AC$6:$AC$505,"&lt;="&amp;$A67,実績!$AD$6:$AD$505,"&gt;"&amp;$A67,実績!$AE$6:$AE$505,"○")&gt;0,1,0))</f>
        <v/>
      </c>
      <c r="CC67">
        <f>IF(CC$4=0,0,IF(COUNTIFS(実績!$W$6:$W$505,CC$3,実績!$AC$6:$AC$505,"&lt;="&amp;$A67,実績!$AD$6:$AD$505,"&gt;"&amp;$A67,実績!$AE$6:$AE$505,"○")&gt;0,1,0))</f>
        <v/>
      </c>
      <c r="CD67">
        <f>IF(CD$4=0,0,IF(COUNTIFS(実績!$W$6:$W$505,CD$3,実績!$AC$6:$AC$505,"&lt;="&amp;$A67,実績!$AD$6:$AD$505,"&gt;"&amp;$A67,実績!$AE$6:$AE$505,"○")&gt;0,1,0))</f>
        <v/>
      </c>
      <c r="CE67">
        <f>IF(CE$4=0,0,IF(COUNTIFS(実績!$W$6:$W$505,CE$3,実績!$AC$6:$AC$505,"&lt;="&amp;$A67,実績!$AD$6:$AD$505,"&gt;"&amp;$A67,実績!$AE$6:$AE$505,"○")&gt;0,1,0))</f>
        <v/>
      </c>
      <c r="CF67">
        <f>IF(CF$4=0,0,IF(COUNTIFS(実績!$W$6:$W$505,CF$3,実績!$AC$6:$AC$505,"&lt;="&amp;$A67,実績!$AD$6:$AD$505,"&gt;"&amp;$A67,実績!$AE$6:$AE$505,"○")&gt;0,1,0))</f>
        <v/>
      </c>
      <c r="CG67">
        <f>IF(CG$4=0,0,IF(COUNTIFS(実績!$W$6:$W$505,CG$3,実績!$AC$6:$AC$505,"&lt;="&amp;$A67,実績!$AD$6:$AD$505,"&gt;"&amp;$A67,実績!$AE$6:$AE$505,"○")&gt;0,1,0))</f>
        <v/>
      </c>
      <c r="CH67">
        <f>IF(CH$4=0,0,IF(COUNTIFS(実績!$W$6:$W$505,CH$3,実績!$AC$6:$AC$505,"&lt;="&amp;$A67,実績!$AD$6:$AD$505,"&gt;"&amp;$A67,実績!$AE$6:$AE$505,"○")&gt;0,1,0))</f>
        <v/>
      </c>
      <c r="CI67">
        <f>IF(CI$4=0,0,IF(COUNTIFS(実績!$W$6:$W$505,CI$3,実績!$AC$6:$AC$505,"&lt;="&amp;$A67,実績!$AD$6:$AD$505,"&gt;"&amp;$A67,実績!$AE$6:$AE$505,"○")&gt;0,1,0))</f>
        <v/>
      </c>
      <c r="CJ67">
        <f>IF(CJ$4=0,0,IF(COUNTIFS(実績!$W$6:$W$505,CJ$3,実績!$AC$6:$AC$505,"&lt;="&amp;$A67,実績!$AD$6:$AD$505,"&gt;"&amp;$A67,実績!$AE$6:$AE$505,"○")&gt;0,1,0))</f>
        <v/>
      </c>
      <c r="CK67">
        <f>IF(CK$4=0,0,IF(COUNTIFS(実績!$W$6:$W$505,CK$3,実績!$AC$6:$AC$505,"&lt;="&amp;$A67,実績!$AD$6:$AD$505,"&gt;"&amp;$A67,実績!$AE$6:$AE$505,"○")&gt;0,1,0))</f>
        <v/>
      </c>
      <c r="CL67">
        <f>IF(CL$4=0,0,IF(COUNTIFS(実績!$W$6:$W$505,CL$3,実績!$AC$6:$AC$505,"&lt;="&amp;$A67,実績!$AD$6:$AD$505,"&gt;"&amp;$A67,実績!$AE$6:$AE$505,"○")&gt;0,1,0))</f>
        <v/>
      </c>
      <c r="CM67">
        <f>IF(CM$4=0,0,IF(COUNTIFS(実績!$W$6:$W$505,CM$3,実績!$AC$6:$AC$505,"&lt;="&amp;$A67,実績!$AD$6:$AD$505,"&gt;"&amp;$A67,実績!$AE$6:$AE$505,"○")&gt;0,1,0))</f>
        <v/>
      </c>
      <c r="CN67">
        <f>IF(CN$4=0,0,IF(COUNTIFS(実績!$W$6:$W$505,CN$3,実績!$AC$6:$AC$505,"&lt;="&amp;$A67,実績!$AD$6:$AD$505,"&gt;"&amp;$A67,実績!$AE$6:$AE$505,"○")&gt;0,1,0))</f>
        <v/>
      </c>
      <c r="CO67">
        <f>IF(CO$4=0,0,IF(COUNTIFS(実績!$W$6:$W$505,CO$3,実績!$AC$6:$AC$505,"&lt;="&amp;$A67,実績!$AD$6:$AD$505,"&gt;"&amp;$A67,実績!$AE$6:$AE$505,"○")&gt;0,1,0))</f>
        <v/>
      </c>
      <c r="CP67">
        <f>IF(CP$4=0,0,IF(COUNTIFS(実績!$W$6:$W$505,CP$3,実績!$AC$6:$AC$505,"&lt;="&amp;$A67,実績!$AD$6:$AD$505,"&gt;"&amp;$A67,実績!$AE$6:$AE$505,"○")&gt;0,1,0))</f>
        <v/>
      </c>
      <c r="CQ67">
        <f>IF(CQ$4=0,0,IF(COUNTIFS(実績!$W$6:$W$505,CQ$3,実績!$AC$6:$AC$505,"&lt;="&amp;$A67,実績!$AD$6:$AD$505,"&gt;"&amp;$A67,実績!$AE$6:$AE$505,"○")&gt;0,1,0))</f>
        <v/>
      </c>
      <c r="CR67">
        <f>IF(CR$4=0,0,IF(COUNTIFS(実績!$W$6:$W$505,CR$3,実績!$AC$6:$AC$505,"&lt;="&amp;$A67,実績!$AD$6:$AD$505,"&gt;"&amp;$A67,実績!$AE$6:$AE$505,"○")&gt;0,1,0))</f>
        <v/>
      </c>
      <c r="CS67">
        <f>IF(CS$4=0,0,IF(COUNTIFS(実績!$W$6:$W$505,CS$3,実績!$AC$6:$AC$505,"&lt;="&amp;$A67,実績!$AD$6:$AD$505,"&gt;"&amp;$A67,実績!$AE$6:$AE$505,"○")&gt;0,1,0))</f>
        <v/>
      </c>
      <c r="CT67">
        <f>IF(CT$4=0,0,IF(COUNTIFS(実績!$W$6:$W$505,CT$3,実績!$AC$6:$AC$505,"&lt;="&amp;$A67,実績!$AD$6:$AD$505,"&gt;"&amp;$A67,実績!$AE$6:$AE$505,"○")&gt;0,1,0))</f>
        <v/>
      </c>
      <c r="CU67">
        <f>IF(CU$4=0,0,IF(COUNTIFS(実績!$W$6:$W$505,CU$3,実績!$AC$6:$AC$505,"&lt;="&amp;$A67,実績!$AD$6:$AD$505,"&gt;"&amp;$A67,実績!$AE$6:$AE$505,"○")&gt;0,1,0))</f>
        <v/>
      </c>
      <c r="CV67">
        <f>IF(CV$4=0,0,IF(COUNTIFS(実績!$W$6:$W$505,CV$3,実績!$AC$6:$AC$505,"&lt;="&amp;$A67,実績!$AD$6:$AD$505,"&gt;"&amp;$A67,実績!$AE$6:$AE$505,"○")&gt;0,1,0))</f>
        <v/>
      </c>
      <c r="CW67">
        <f>IF(CW$4=0,0,IF(COUNTIFS(実績!$W$6:$W$505,CW$3,実績!$AC$6:$AC$505,"&lt;="&amp;$A67,実績!$AD$6:$AD$505,"&gt;"&amp;$A67,実績!$AE$6:$AE$505,"○")&gt;0,1,0))</f>
        <v/>
      </c>
      <c r="CX67">
        <f>IF(CX$4=0,0,IF(COUNTIFS(実績!$W$6:$W$505,CX$3,実績!$AC$6:$AC$505,"&lt;="&amp;$A67,実績!$AD$6:$AD$505,"&gt;"&amp;$A67,実績!$AE$6:$AE$505,"○")&gt;0,1,0))</f>
        <v/>
      </c>
      <c r="CY67">
        <f>IF(CY$4=0,0,IF(COUNTIFS(実績!$W$6:$W$505,CY$3,実績!$AC$6:$AC$505,"&lt;="&amp;$A67,実績!$AD$6:$AD$505,"&gt;"&amp;$A67,実績!$AE$6:$AE$505,"○")&gt;0,1,0))</f>
        <v/>
      </c>
      <c r="CZ67">
        <f>IF(CZ$4=0,0,IF(COUNTIFS(実績!$W$6:$W$505,CZ$3,実績!$AC$6:$AC$505,"&lt;="&amp;$A67,実績!$AD$6:$AD$505,"&gt;"&amp;$A67,実績!$AE$6:$AE$505,"○")&gt;0,1,0))</f>
        <v/>
      </c>
      <c r="DA67">
        <f>IF(DA$4=0,0,IF(COUNTIFS(実績!$W$6:$W$505,DA$3,実績!$AC$6:$AC$505,"&lt;="&amp;$A67,実績!$AD$6:$AD$505,"&gt;"&amp;$A67,実績!$AE$6:$AE$505,"○")&gt;0,1,0))</f>
        <v/>
      </c>
      <c r="DB67">
        <f>IF(DB$4=0,0,IF(COUNTIFS(実績!$W$6:$W$505,DB$3,実績!$AC$6:$AC$505,"&lt;="&amp;$A67,実績!$AD$6:$AD$505,"&gt;"&amp;$A67,実績!$AE$6:$AE$505,"○")&gt;0,1,0))</f>
        <v/>
      </c>
      <c r="DC67">
        <f>IF(DC$4=0,0,IF(COUNTIFS(実績!$W$6:$W$505,DC$3,実績!$AC$6:$AC$505,"&lt;="&amp;$A67,実績!$AD$6:$AD$505,"&gt;"&amp;$A67,実績!$AE$6:$AE$505,"○")&gt;0,1,0))</f>
        <v/>
      </c>
      <c r="DD67">
        <f>IF(DD$4=0,0,IF(COUNTIFS(実績!$W$6:$W$505,DD$3,実績!$AC$6:$AC$505,"&lt;="&amp;$A67,実績!$AD$6:$AD$505,"&gt;"&amp;$A67,実績!$AE$6:$AE$505,"○")&gt;0,1,0))</f>
        <v/>
      </c>
      <c r="DE67">
        <f>IF(DE$4=0,0,IF(COUNTIFS(実績!$W$6:$W$505,DE$3,実績!$AC$6:$AC$505,"&lt;="&amp;$A67,実績!$AD$6:$AD$505,"&gt;"&amp;$A67,実績!$AE$6:$AE$505,"○")&gt;0,1,0))</f>
        <v/>
      </c>
      <c r="DF67">
        <f>IF(DF$4=0,0,IF(COUNTIFS(実績!$W$6:$W$505,DF$3,実績!$AC$6:$AC$505,"&lt;="&amp;$A67,実績!$AD$6:$AD$505,"&gt;"&amp;$A67,実績!$AE$6:$AE$505,"○")&gt;0,1,0))</f>
        <v/>
      </c>
      <c r="DG67">
        <f>IF(DG$4=0,0,IF(COUNTIFS(実績!$W$6:$W$505,DG$3,実績!$AC$6:$AC$505,"&lt;="&amp;$A67,実績!$AD$6:$AD$505,"&gt;"&amp;$A67,実績!$AE$6:$AE$505,"○")&gt;0,1,0))</f>
        <v/>
      </c>
      <c r="DH67">
        <f>IF(DH$4=0,0,IF(COUNTIFS(実績!$W$6:$W$505,DH$3,実績!$AC$6:$AC$505,"&lt;="&amp;$A67,実績!$AD$6:$AD$505,"&gt;"&amp;$A67,実績!$AE$6:$AE$505,"○")&gt;0,1,0))</f>
        <v/>
      </c>
      <c r="DI67">
        <f>IF(DI$4=0,0,IF(COUNTIFS(実績!$W$6:$W$505,DI$3,実績!$AC$6:$AC$505,"&lt;="&amp;$A67,実績!$AD$6:$AD$505,"&gt;"&amp;$A67,実績!$AE$6:$AE$505,"○")&gt;0,1,0))</f>
        <v/>
      </c>
      <c r="DJ67">
        <f>IF(DJ$4=0,0,IF(COUNTIFS(実績!$W$6:$W$505,DJ$3,実績!$AC$6:$AC$505,"&lt;="&amp;$A67,実績!$AD$6:$AD$505,"&gt;"&amp;$A67,実績!$AE$6:$AE$505,"○")&gt;0,1,0))</f>
        <v/>
      </c>
      <c r="DK67">
        <f>IF(DK$4=0,0,IF(COUNTIFS(実績!$W$6:$W$505,DK$3,実績!$AC$6:$AC$505,"&lt;="&amp;$A67,実績!$AD$6:$AD$505,"&gt;"&amp;$A67,実績!$AE$6:$AE$505,"○")&gt;0,1,0))</f>
        <v/>
      </c>
      <c r="DL67">
        <f>IF(DL$4=0,0,IF(COUNTIFS(実績!$W$6:$W$505,DL$3,実績!$AC$6:$AC$505,"&lt;="&amp;$A67,実績!$AD$6:$AD$505,"&gt;"&amp;$A67,実績!$AE$6:$AE$505,"○")&gt;0,1,0))</f>
        <v/>
      </c>
      <c r="DM67">
        <f>IF(DM$4=0,0,IF(COUNTIFS(実績!$W$6:$W$505,DM$3,実績!$AC$6:$AC$505,"&lt;="&amp;$A67,実績!$AD$6:$AD$505,"&gt;"&amp;$A67,実績!$AE$6:$AE$505,"○")&gt;0,1,0))</f>
        <v/>
      </c>
      <c r="DN67">
        <f>IF(DN$4=0,0,IF(COUNTIFS(実績!$W$6:$W$505,DN$3,実績!$AC$6:$AC$505,"&lt;="&amp;$A67,実績!$AD$6:$AD$505,"&gt;"&amp;$A67,実績!$AE$6:$AE$505,"○")&gt;0,1,0))</f>
        <v/>
      </c>
      <c r="DO67">
        <f>IF(DO$4=0,0,IF(COUNTIFS(実績!$W$6:$W$505,DO$3,実績!$AC$6:$AC$505,"&lt;="&amp;$A67,実績!$AD$6:$AD$505,"&gt;"&amp;$A67,実績!$AE$6:$AE$505,"○")&gt;0,1,0))</f>
        <v/>
      </c>
      <c r="DP67">
        <f>IF(DP$4=0,0,IF(COUNTIFS(実績!$W$6:$W$505,DP$3,実績!$AC$6:$AC$505,"&lt;="&amp;$A67,実績!$AD$6:$AD$505,"&gt;"&amp;$A67,実績!$AE$6:$AE$505,"○")&gt;0,1,0))</f>
        <v/>
      </c>
      <c r="DQ67">
        <f>IF(DQ$4=0,0,IF(COUNTIFS(実績!$W$6:$W$505,DQ$3,実績!$AC$6:$AC$505,"&lt;="&amp;$A67,実績!$AD$6:$AD$505,"&gt;"&amp;$A67,実績!$AE$6:$AE$505,"○")&gt;0,1,0))</f>
        <v/>
      </c>
      <c r="DR67">
        <f>IF(DR$4=0,0,IF(COUNTIFS(実績!$W$6:$W$505,DR$3,実績!$AC$6:$AC$505,"&lt;="&amp;$A67,実績!$AD$6:$AD$505,"&gt;"&amp;$A67,実績!$AE$6:$AE$505,"○")&gt;0,1,0))</f>
        <v/>
      </c>
      <c r="DS67">
        <f>SUM(C67:DR67)</f>
        <v/>
      </c>
      <c r="DT67">
        <f>SUMPRODUCT((実績!$C$6:$C$505="○")*ISNUMBER(実績!$AF$6:$AF$505)*(実績!$AF$6:$AF$505&lt;=$A67)*(実績!$AG$6:$AG$505&gt;$A67))</f>
        <v/>
      </c>
      <c r="DU67">
        <f>SUMIF($C$2:$DR$2,"製鉄曳船",C67:DR67)</f>
        <v/>
      </c>
      <c r="DV67">
        <f>SUMIF($C$2:$DR$2,"西日本海運",C67:DR67)</f>
        <v/>
      </c>
    </row>
    <row r="68">
      <c r="A68" t="n">
        <v>310</v>
      </c>
      <c r="B68" s="29">
        <f>A68/1440</f>
        <v/>
      </c>
      <c r="C68">
        <f>IF(C$4=0,0,IF(COUNTIFS(実績!$W$6:$W$505,C$3,実績!$AC$6:$AC$505,"&lt;="&amp;$A68,実績!$AD$6:$AD$505,"&gt;"&amp;$A68,実績!$AE$6:$AE$505,"○")&gt;0,1,0))</f>
        <v/>
      </c>
      <c r="D68">
        <f>IF(D$4=0,0,IF(COUNTIFS(実績!$W$6:$W$505,D$3,実績!$AC$6:$AC$505,"&lt;="&amp;$A68,実績!$AD$6:$AD$505,"&gt;"&amp;$A68,実績!$AE$6:$AE$505,"○")&gt;0,1,0))</f>
        <v/>
      </c>
      <c r="E68">
        <f>IF(E$4=0,0,IF(COUNTIFS(実績!$W$6:$W$505,E$3,実績!$AC$6:$AC$505,"&lt;="&amp;$A68,実績!$AD$6:$AD$505,"&gt;"&amp;$A68,実績!$AE$6:$AE$505,"○")&gt;0,1,0))</f>
        <v/>
      </c>
      <c r="F68">
        <f>IF(F$4=0,0,IF(COUNTIFS(実績!$W$6:$W$505,F$3,実績!$AC$6:$AC$505,"&lt;="&amp;$A68,実績!$AD$6:$AD$505,"&gt;"&amp;$A68,実績!$AE$6:$AE$505,"○")&gt;0,1,0))</f>
        <v/>
      </c>
      <c r="G68">
        <f>IF(G$4=0,0,IF(COUNTIFS(実績!$W$6:$W$505,G$3,実績!$AC$6:$AC$505,"&lt;="&amp;$A68,実績!$AD$6:$AD$505,"&gt;"&amp;$A68,実績!$AE$6:$AE$505,"○")&gt;0,1,0))</f>
        <v/>
      </c>
      <c r="H68">
        <f>IF(H$4=0,0,IF(COUNTIFS(実績!$W$6:$W$505,H$3,実績!$AC$6:$AC$505,"&lt;="&amp;$A68,実績!$AD$6:$AD$505,"&gt;"&amp;$A68,実績!$AE$6:$AE$505,"○")&gt;0,1,0))</f>
        <v/>
      </c>
      <c r="I68">
        <f>IF(I$4=0,0,IF(COUNTIFS(実績!$W$6:$W$505,I$3,実績!$AC$6:$AC$505,"&lt;="&amp;$A68,実績!$AD$6:$AD$505,"&gt;"&amp;$A68,実績!$AE$6:$AE$505,"○")&gt;0,1,0))</f>
        <v/>
      </c>
      <c r="J68">
        <f>IF(J$4=0,0,IF(COUNTIFS(実績!$W$6:$W$505,J$3,実績!$AC$6:$AC$505,"&lt;="&amp;$A68,実績!$AD$6:$AD$505,"&gt;"&amp;$A68,実績!$AE$6:$AE$505,"○")&gt;0,1,0))</f>
        <v/>
      </c>
      <c r="K68">
        <f>IF(K$4=0,0,IF(COUNTIFS(実績!$W$6:$W$505,K$3,実績!$AC$6:$AC$505,"&lt;="&amp;$A68,実績!$AD$6:$AD$505,"&gt;"&amp;$A68,実績!$AE$6:$AE$505,"○")&gt;0,1,0))</f>
        <v/>
      </c>
      <c r="L68">
        <f>IF(L$4=0,0,IF(COUNTIFS(実績!$W$6:$W$505,L$3,実績!$AC$6:$AC$505,"&lt;="&amp;$A68,実績!$AD$6:$AD$505,"&gt;"&amp;$A68,実績!$AE$6:$AE$505,"○")&gt;0,1,0))</f>
        <v/>
      </c>
      <c r="M68">
        <f>IF(M$4=0,0,IF(COUNTIFS(実績!$W$6:$W$505,M$3,実績!$AC$6:$AC$505,"&lt;="&amp;$A68,実績!$AD$6:$AD$505,"&gt;"&amp;$A68,実績!$AE$6:$AE$505,"○")&gt;0,1,0))</f>
        <v/>
      </c>
      <c r="N68">
        <f>IF(N$4=0,0,IF(COUNTIFS(実績!$W$6:$W$505,N$3,実績!$AC$6:$AC$505,"&lt;="&amp;$A68,実績!$AD$6:$AD$505,"&gt;"&amp;$A68,実績!$AE$6:$AE$505,"○")&gt;0,1,0))</f>
        <v/>
      </c>
      <c r="O68">
        <f>IF(O$4=0,0,IF(COUNTIFS(実績!$W$6:$W$505,O$3,実績!$AC$6:$AC$505,"&lt;="&amp;$A68,実績!$AD$6:$AD$505,"&gt;"&amp;$A68,実績!$AE$6:$AE$505,"○")&gt;0,1,0))</f>
        <v/>
      </c>
      <c r="P68">
        <f>IF(P$4=0,0,IF(COUNTIFS(実績!$W$6:$W$505,P$3,実績!$AC$6:$AC$505,"&lt;="&amp;$A68,実績!$AD$6:$AD$505,"&gt;"&amp;$A68,実績!$AE$6:$AE$505,"○")&gt;0,1,0))</f>
        <v/>
      </c>
      <c r="Q68">
        <f>IF(Q$4=0,0,IF(COUNTIFS(実績!$W$6:$W$505,Q$3,実績!$AC$6:$AC$505,"&lt;="&amp;$A68,実績!$AD$6:$AD$505,"&gt;"&amp;$A68,実績!$AE$6:$AE$505,"○")&gt;0,1,0))</f>
        <v/>
      </c>
      <c r="R68">
        <f>IF(R$4=0,0,IF(COUNTIFS(実績!$W$6:$W$505,R$3,実績!$AC$6:$AC$505,"&lt;="&amp;$A68,実績!$AD$6:$AD$505,"&gt;"&amp;$A68,実績!$AE$6:$AE$505,"○")&gt;0,1,0))</f>
        <v/>
      </c>
      <c r="S68">
        <f>IF(S$4=0,0,IF(COUNTIFS(実績!$W$6:$W$505,S$3,実績!$AC$6:$AC$505,"&lt;="&amp;$A68,実績!$AD$6:$AD$505,"&gt;"&amp;$A68,実績!$AE$6:$AE$505,"○")&gt;0,1,0))</f>
        <v/>
      </c>
      <c r="T68">
        <f>IF(T$4=0,0,IF(COUNTIFS(実績!$W$6:$W$505,T$3,実績!$AC$6:$AC$505,"&lt;="&amp;$A68,実績!$AD$6:$AD$505,"&gt;"&amp;$A68,実績!$AE$6:$AE$505,"○")&gt;0,1,0))</f>
        <v/>
      </c>
      <c r="U68">
        <f>IF(U$4=0,0,IF(COUNTIFS(実績!$W$6:$W$505,U$3,実績!$AC$6:$AC$505,"&lt;="&amp;$A68,実績!$AD$6:$AD$505,"&gt;"&amp;$A68,実績!$AE$6:$AE$505,"○")&gt;0,1,0))</f>
        <v/>
      </c>
      <c r="V68">
        <f>IF(V$4=0,0,IF(COUNTIFS(実績!$W$6:$W$505,V$3,実績!$AC$6:$AC$505,"&lt;="&amp;$A68,実績!$AD$6:$AD$505,"&gt;"&amp;$A68,実績!$AE$6:$AE$505,"○")&gt;0,1,0))</f>
        <v/>
      </c>
      <c r="W68">
        <f>IF(W$4=0,0,IF(COUNTIFS(実績!$W$6:$W$505,W$3,実績!$AC$6:$AC$505,"&lt;="&amp;$A68,実績!$AD$6:$AD$505,"&gt;"&amp;$A68,実績!$AE$6:$AE$505,"○")&gt;0,1,0))</f>
        <v/>
      </c>
      <c r="X68">
        <f>IF(X$4=0,0,IF(COUNTIFS(実績!$W$6:$W$505,X$3,実績!$AC$6:$AC$505,"&lt;="&amp;$A68,実績!$AD$6:$AD$505,"&gt;"&amp;$A68,実績!$AE$6:$AE$505,"○")&gt;0,1,0))</f>
        <v/>
      </c>
      <c r="Y68">
        <f>IF(Y$4=0,0,IF(COUNTIFS(実績!$W$6:$W$505,Y$3,実績!$AC$6:$AC$505,"&lt;="&amp;$A68,実績!$AD$6:$AD$505,"&gt;"&amp;$A68,実績!$AE$6:$AE$505,"○")&gt;0,1,0))</f>
        <v/>
      </c>
      <c r="Z68">
        <f>IF(Z$4=0,0,IF(COUNTIFS(実績!$W$6:$W$505,Z$3,実績!$AC$6:$AC$505,"&lt;="&amp;$A68,実績!$AD$6:$AD$505,"&gt;"&amp;$A68,実績!$AE$6:$AE$505,"○")&gt;0,1,0))</f>
        <v/>
      </c>
      <c r="AA68">
        <f>IF(AA$4=0,0,IF(COUNTIFS(実績!$W$6:$W$505,AA$3,実績!$AC$6:$AC$505,"&lt;="&amp;$A68,実績!$AD$6:$AD$505,"&gt;"&amp;$A68,実績!$AE$6:$AE$505,"○")&gt;0,1,0))</f>
        <v/>
      </c>
      <c r="AB68">
        <f>IF(AB$4=0,0,IF(COUNTIFS(実績!$W$6:$W$505,AB$3,実績!$AC$6:$AC$505,"&lt;="&amp;$A68,実績!$AD$6:$AD$505,"&gt;"&amp;$A68,実績!$AE$6:$AE$505,"○")&gt;0,1,0))</f>
        <v/>
      </c>
      <c r="AC68">
        <f>IF(AC$4=0,0,IF(COUNTIFS(実績!$W$6:$W$505,AC$3,実績!$AC$6:$AC$505,"&lt;="&amp;$A68,実績!$AD$6:$AD$505,"&gt;"&amp;$A68,実績!$AE$6:$AE$505,"○")&gt;0,1,0))</f>
        <v/>
      </c>
      <c r="AD68">
        <f>IF(AD$4=0,0,IF(COUNTIFS(実績!$W$6:$W$505,AD$3,実績!$AC$6:$AC$505,"&lt;="&amp;$A68,実績!$AD$6:$AD$505,"&gt;"&amp;$A68,実績!$AE$6:$AE$505,"○")&gt;0,1,0))</f>
        <v/>
      </c>
      <c r="AE68">
        <f>IF(AE$4=0,0,IF(COUNTIFS(実績!$W$6:$W$505,AE$3,実績!$AC$6:$AC$505,"&lt;="&amp;$A68,実績!$AD$6:$AD$505,"&gt;"&amp;$A68,実績!$AE$6:$AE$505,"○")&gt;0,1,0))</f>
        <v/>
      </c>
      <c r="AF68">
        <f>IF(AF$4=0,0,IF(COUNTIFS(実績!$W$6:$W$505,AF$3,実績!$AC$6:$AC$505,"&lt;="&amp;$A68,実績!$AD$6:$AD$505,"&gt;"&amp;$A68,実績!$AE$6:$AE$505,"○")&gt;0,1,0))</f>
        <v/>
      </c>
      <c r="AG68">
        <f>IF(AG$4=0,0,IF(COUNTIFS(実績!$W$6:$W$505,AG$3,実績!$AC$6:$AC$505,"&lt;="&amp;$A68,実績!$AD$6:$AD$505,"&gt;"&amp;$A68,実績!$AE$6:$AE$505,"○")&gt;0,1,0))</f>
        <v/>
      </c>
      <c r="AH68">
        <f>IF(AH$4=0,0,IF(COUNTIFS(実績!$W$6:$W$505,AH$3,実績!$AC$6:$AC$505,"&lt;="&amp;$A68,実績!$AD$6:$AD$505,"&gt;"&amp;$A68,実績!$AE$6:$AE$505,"○")&gt;0,1,0))</f>
        <v/>
      </c>
      <c r="AI68">
        <f>IF(AI$4=0,0,IF(COUNTIFS(実績!$W$6:$W$505,AI$3,実績!$AC$6:$AC$505,"&lt;="&amp;$A68,実績!$AD$6:$AD$505,"&gt;"&amp;$A68,実績!$AE$6:$AE$505,"○")&gt;0,1,0))</f>
        <v/>
      </c>
      <c r="AJ68">
        <f>IF(AJ$4=0,0,IF(COUNTIFS(実績!$W$6:$W$505,AJ$3,実績!$AC$6:$AC$505,"&lt;="&amp;$A68,実績!$AD$6:$AD$505,"&gt;"&amp;$A68,実績!$AE$6:$AE$505,"○")&gt;0,1,0))</f>
        <v/>
      </c>
      <c r="AK68">
        <f>IF(AK$4=0,0,IF(COUNTIFS(実績!$W$6:$W$505,AK$3,実績!$AC$6:$AC$505,"&lt;="&amp;$A68,実績!$AD$6:$AD$505,"&gt;"&amp;$A68,実績!$AE$6:$AE$505,"○")&gt;0,1,0))</f>
        <v/>
      </c>
      <c r="AL68">
        <f>IF(AL$4=0,0,IF(COUNTIFS(実績!$W$6:$W$505,AL$3,実績!$AC$6:$AC$505,"&lt;="&amp;$A68,実績!$AD$6:$AD$505,"&gt;"&amp;$A68,実績!$AE$6:$AE$505,"○")&gt;0,1,0))</f>
        <v/>
      </c>
      <c r="AM68">
        <f>IF(AM$4=0,0,IF(COUNTIFS(実績!$W$6:$W$505,AM$3,実績!$AC$6:$AC$505,"&lt;="&amp;$A68,実績!$AD$6:$AD$505,"&gt;"&amp;$A68,実績!$AE$6:$AE$505,"○")&gt;0,1,0))</f>
        <v/>
      </c>
      <c r="AN68">
        <f>IF(AN$4=0,0,IF(COUNTIFS(実績!$W$6:$W$505,AN$3,実績!$AC$6:$AC$505,"&lt;="&amp;$A68,実績!$AD$6:$AD$505,"&gt;"&amp;$A68,実績!$AE$6:$AE$505,"○")&gt;0,1,0))</f>
        <v/>
      </c>
      <c r="AO68">
        <f>IF(AO$4=0,0,IF(COUNTIFS(実績!$W$6:$W$505,AO$3,実績!$AC$6:$AC$505,"&lt;="&amp;$A68,実績!$AD$6:$AD$505,"&gt;"&amp;$A68,実績!$AE$6:$AE$505,"○")&gt;0,1,0))</f>
        <v/>
      </c>
      <c r="AP68">
        <f>IF(AP$4=0,0,IF(COUNTIFS(実績!$W$6:$W$505,AP$3,実績!$AC$6:$AC$505,"&lt;="&amp;$A68,実績!$AD$6:$AD$505,"&gt;"&amp;$A68,実績!$AE$6:$AE$505,"○")&gt;0,1,0))</f>
        <v/>
      </c>
      <c r="AQ68">
        <f>IF(AQ$4=0,0,IF(COUNTIFS(実績!$W$6:$W$505,AQ$3,実績!$AC$6:$AC$505,"&lt;="&amp;$A68,実績!$AD$6:$AD$505,"&gt;"&amp;$A68,実績!$AE$6:$AE$505,"○")&gt;0,1,0))</f>
        <v/>
      </c>
      <c r="AR68">
        <f>IF(AR$4=0,0,IF(COUNTIFS(実績!$W$6:$W$505,AR$3,実績!$AC$6:$AC$505,"&lt;="&amp;$A68,実績!$AD$6:$AD$505,"&gt;"&amp;$A68,実績!$AE$6:$AE$505,"○")&gt;0,1,0))</f>
        <v/>
      </c>
      <c r="AS68">
        <f>IF(AS$4=0,0,IF(COUNTIFS(実績!$W$6:$W$505,AS$3,実績!$AC$6:$AC$505,"&lt;="&amp;$A68,実績!$AD$6:$AD$505,"&gt;"&amp;$A68,実績!$AE$6:$AE$505,"○")&gt;0,1,0))</f>
        <v/>
      </c>
      <c r="AT68">
        <f>IF(AT$4=0,0,IF(COUNTIFS(実績!$W$6:$W$505,AT$3,実績!$AC$6:$AC$505,"&lt;="&amp;$A68,実績!$AD$6:$AD$505,"&gt;"&amp;$A68,実績!$AE$6:$AE$505,"○")&gt;0,1,0))</f>
        <v/>
      </c>
      <c r="AU68">
        <f>IF(AU$4=0,0,IF(COUNTIFS(実績!$W$6:$W$505,AU$3,実績!$AC$6:$AC$505,"&lt;="&amp;$A68,実績!$AD$6:$AD$505,"&gt;"&amp;$A68,実績!$AE$6:$AE$505,"○")&gt;0,1,0))</f>
        <v/>
      </c>
      <c r="AV68">
        <f>IF(AV$4=0,0,IF(COUNTIFS(実績!$W$6:$W$505,AV$3,実績!$AC$6:$AC$505,"&lt;="&amp;$A68,実績!$AD$6:$AD$505,"&gt;"&amp;$A68,実績!$AE$6:$AE$505,"○")&gt;0,1,0))</f>
        <v/>
      </c>
      <c r="AW68">
        <f>IF(AW$4=0,0,IF(COUNTIFS(実績!$W$6:$W$505,AW$3,実績!$AC$6:$AC$505,"&lt;="&amp;$A68,実績!$AD$6:$AD$505,"&gt;"&amp;$A68,実績!$AE$6:$AE$505,"○")&gt;0,1,0))</f>
        <v/>
      </c>
      <c r="AX68">
        <f>IF(AX$4=0,0,IF(COUNTIFS(実績!$W$6:$W$505,AX$3,実績!$AC$6:$AC$505,"&lt;="&amp;$A68,実績!$AD$6:$AD$505,"&gt;"&amp;$A68,実績!$AE$6:$AE$505,"○")&gt;0,1,0))</f>
        <v/>
      </c>
      <c r="AY68">
        <f>IF(AY$4=0,0,IF(COUNTIFS(実績!$W$6:$W$505,AY$3,実績!$AC$6:$AC$505,"&lt;="&amp;$A68,実績!$AD$6:$AD$505,"&gt;"&amp;$A68,実績!$AE$6:$AE$505,"○")&gt;0,1,0))</f>
        <v/>
      </c>
      <c r="AZ68">
        <f>IF(AZ$4=0,0,IF(COUNTIFS(実績!$W$6:$W$505,AZ$3,実績!$AC$6:$AC$505,"&lt;="&amp;$A68,実績!$AD$6:$AD$505,"&gt;"&amp;$A68,実績!$AE$6:$AE$505,"○")&gt;0,1,0))</f>
        <v/>
      </c>
      <c r="BA68">
        <f>IF(BA$4=0,0,IF(COUNTIFS(実績!$W$6:$W$505,BA$3,実績!$AC$6:$AC$505,"&lt;="&amp;$A68,実績!$AD$6:$AD$505,"&gt;"&amp;$A68,実績!$AE$6:$AE$505,"○")&gt;0,1,0))</f>
        <v/>
      </c>
      <c r="BB68">
        <f>IF(BB$4=0,0,IF(COUNTIFS(実績!$W$6:$W$505,BB$3,実績!$AC$6:$AC$505,"&lt;="&amp;$A68,実績!$AD$6:$AD$505,"&gt;"&amp;$A68,実績!$AE$6:$AE$505,"○")&gt;0,1,0))</f>
        <v/>
      </c>
      <c r="BC68">
        <f>IF(BC$4=0,0,IF(COUNTIFS(実績!$W$6:$W$505,BC$3,実績!$AC$6:$AC$505,"&lt;="&amp;$A68,実績!$AD$6:$AD$505,"&gt;"&amp;$A68,実績!$AE$6:$AE$505,"○")&gt;0,1,0))</f>
        <v/>
      </c>
      <c r="BD68">
        <f>IF(BD$4=0,0,IF(COUNTIFS(実績!$W$6:$W$505,BD$3,実績!$AC$6:$AC$505,"&lt;="&amp;$A68,実績!$AD$6:$AD$505,"&gt;"&amp;$A68,実績!$AE$6:$AE$505,"○")&gt;0,1,0))</f>
        <v/>
      </c>
      <c r="BE68">
        <f>IF(BE$4=0,0,IF(COUNTIFS(実績!$W$6:$W$505,BE$3,実績!$AC$6:$AC$505,"&lt;="&amp;$A68,実績!$AD$6:$AD$505,"&gt;"&amp;$A68,実績!$AE$6:$AE$505,"○")&gt;0,1,0))</f>
        <v/>
      </c>
      <c r="BF68">
        <f>IF(BF$4=0,0,IF(COUNTIFS(実績!$W$6:$W$505,BF$3,実績!$AC$6:$AC$505,"&lt;="&amp;$A68,実績!$AD$6:$AD$505,"&gt;"&amp;$A68,実績!$AE$6:$AE$505,"○")&gt;0,1,0))</f>
        <v/>
      </c>
      <c r="BG68">
        <f>IF(BG$4=0,0,IF(COUNTIFS(実績!$W$6:$W$505,BG$3,実績!$AC$6:$AC$505,"&lt;="&amp;$A68,実績!$AD$6:$AD$505,"&gt;"&amp;$A68,実績!$AE$6:$AE$505,"○")&gt;0,1,0))</f>
        <v/>
      </c>
      <c r="BH68">
        <f>IF(BH$4=0,0,IF(COUNTIFS(実績!$W$6:$W$505,BH$3,実績!$AC$6:$AC$505,"&lt;="&amp;$A68,実績!$AD$6:$AD$505,"&gt;"&amp;$A68,実績!$AE$6:$AE$505,"○")&gt;0,1,0))</f>
        <v/>
      </c>
      <c r="BI68">
        <f>IF(BI$4=0,0,IF(COUNTIFS(実績!$W$6:$W$505,BI$3,実績!$AC$6:$AC$505,"&lt;="&amp;$A68,実績!$AD$6:$AD$505,"&gt;"&amp;$A68,実績!$AE$6:$AE$505,"○")&gt;0,1,0))</f>
        <v/>
      </c>
      <c r="BJ68">
        <f>IF(BJ$4=0,0,IF(COUNTIFS(実績!$W$6:$W$505,BJ$3,実績!$AC$6:$AC$505,"&lt;="&amp;$A68,実績!$AD$6:$AD$505,"&gt;"&amp;$A68,実績!$AE$6:$AE$505,"○")&gt;0,1,0))</f>
        <v/>
      </c>
      <c r="BK68">
        <f>IF(BK$4=0,0,IF(COUNTIFS(実績!$W$6:$W$505,BK$3,実績!$AC$6:$AC$505,"&lt;="&amp;$A68,実績!$AD$6:$AD$505,"&gt;"&amp;$A68,実績!$AE$6:$AE$505,"○")&gt;0,1,0))</f>
        <v/>
      </c>
      <c r="BL68">
        <f>IF(BL$4=0,0,IF(COUNTIFS(実績!$W$6:$W$505,BL$3,実績!$AC$6:$AC$505,"&lt;="&amp;$A68,実績!$AD$6:$AD$505,"&gt;"&amp;$A68,実績!$AE$6:$AE$505,"○")&gt;0,1,0))</f>
        <v/>
      </c>
      <c r="BM68">
        <f>IF(BM$4=0,0,IF(COUNTIFS(実績!$W$6:$W$505,BM$3,実績!$AC$6:$AC$505,"&lt;="&amp;$A68,実績!$AD$6:$AD$505,"&gt;"&amp;$A68,実績!$AE$6:$AE$505,"○")&gt;0,1,0))</f>
        <v/>
      </c>
      <c r="BN68">
        <f>IF(BN$4=0,0,IF(COUNTIFS(実績!$W$6:$W$505,BN$3,実績!$AC$6:$AC$505,"&lt;="&amp;$A68,実績!$AD$6:$AD$505,"&gt;"&amp;$A68,実績!$AE$6:$AE$505,"○")&gt;0,1,0))</f>
        <v/>
      </c>
      <c r="BO68">
        <f>IF(BO$4=0,0,IF(COUNTIFS(実績!$W$6:$W$505,BO$3,実績!$AC$6:$AC$505,"&lt;="&amp;$A68,実績!$AD$6:$AD$505,"&gt;"&amp;$A68,実績!$AE$6:$AE$505,"○")&gt;0,1,0))</f>
        <v/>
      </c>
      <c r="BP68">
        <f>IF(BP$4=0,0,IF(COUNTIFS(実績!$W$6:$W$505,BP$3,実績!$AC$6:$AC$505,"&lt;="&amp;$A68,実績!$AD$6:$AD$505,"&gt;"&amp;$A68,実績!$AE$6:$AE$505,"○")&gt;0,1,0))</f>
        <v/>
      </c>
      <c r="BQ68">
        <f>IF(BQ$4=0,0,IF(COUNTIFS(実績!$W$6:$W$505,BQ$3,実績!$AC$6:$AC$505,"&lt;="&amp;$A68,実績!$AD$6:$AD$505,"&gt;"&amp;$A68,実績!$AE$6:$AE$505,"○")&gt;0,1,0))</f>
        <v/>
      </c>
      <c r="BR68">
        <f>IF(BR$4=0,0,IF(COUNTIFS(実績!$W$6:$W$505,BR$3,実績!$AC$6:$AC$505,"&lt;="&amp;$A68,実績!$AD$6:$AD$505,"&gt;"&amp;$A68,実績!$AE$6:$AE$505,"○")&gt;0,1,0))</f>
        <v/>
      </c>
      <c r="BS68">
        <f>IF(BS$4=0,0,IF(COUNTIFS(実績!$W$6:$W$505,BS$3,実績!$AC$6:$AC$505,"&lt;="&amp;$A68,実績!$AD$6:$AD$505,"&gt;"&amp;$A68,実績!$AE$6:$AE$505,"○")&gt;0,1,0))</f>
        <v/>
      </c>
      <c r="BT68">
        <f>IF(BT$4=0,0,IF(COUNTIFS(実績!$W$6:$W$505,BT$3,実績!$AC$6:$AC$505,"&lt;="&amp;$A68,実績!$AD$6:$AD$505,"&gt;"&amp;$A68,実績!$AE$6:$AE$505,"○")&gt;0,1,0))</f>
        <v/>
      </c>
      <c r="BU68">
        <f>IF(BU$4=0,0,IF(COUNTIFS(実績!$W$6:$W$505,BU$3,実績!$AC$6:$AC$505,"&lt;="&amp;$A68,実績!$AD$6:$AD$505,"&gt;"&amp;$A68,実績!$AE$6:$AE$505,"○")&gt;0,1,0))</f>
        <v/>
      </c>
      <c r="BV68">
        <f>IF(BV$4=0,0,IF(COUNTIFS(実績!$W$6:$W$505,BV$3,実績!$AC$6:$AC$505,"&lt;="&amp;$A68,実績!$AD$6:$AD$505,"&gt;"&amp;$A68,実績!$AE$6:$AE$505,"○")&gt;0,1,0))</f>
        <v/>
      </c>
      <c r="BW68">
        <f>IF(BW$4=0,0,IF(COUNTIFS(実績!$W$6:$W$505,BW$3,実績!$AC$6:$AC$505,"&lt;="&amp;$A68,実績!$AD$6:$AD$505,"&gt;"&amp;$A68,実績!$AE$6:$AE$505,"○")&gt;0,1,0))</f>
        <v/>
      </c>
      <c r="BX68">
        <f>IF(BX$4=0,0,IF(COUNTIFS(実績!$W$6:$W$505,BX$3,実績!$AC$6:$AC$505,"&lt;="&amp;$A68,実績!$AD$6:$AD$505,"&gt;"&amp;$A68,実績!$AE$6:$AE$505,"○")&gt;0,1,0))</f>
        <v/>
      </c>
      <c r="BY68">
        <f>IF(BY$4=0,0,IF(COUNTIFS(実績!$W$6:$W$505,BY$3,実績!$AC$6:$AC$505,"&lt;="&amp;$A68,実績!$AD$6:$AD$505,"&gt;"&amp;$A68,実績!$AE$6:$AE$505,"○")&gt;0,1,0))</f>
        <v/>
      </c>
      <c r="BZ68">
        <f>IF(BZ$4=0,0,IF(COUNTIFS(実績!$W$6:$W$505,BZ$3,実績!$AC$6:$AC$505,"&lt;="&amp;$A68,実績!$AD$6:$AD$505,"&gt;"&amp;$A68,実績!$AE$6:$AE$505,"○")&gt;0,1,0))</f>
        <v/>
      </c>
      <c r="CA68">
        <f>IF(CA$4=0,0,IF(COUNTIFS(実績!$W$6:$W$505,CA$3,実績!$AC$6:$AC$505,"&lt;="&amp;$A68,実績!$AD$6:$AD$505,"&gt;"&amp;$A68,実績!$AE$6:$AE$505,"○")&gt;0,1,0))</f>
        <v/>
      </c>
      <c r="CB68">
        <f>IF(CB$4=0,0,IF(COUNTIFS(実績!$W$6:$W$505,CB$3,実績!$AC$6:$AC$505,"&lt;="&amp;$A68,実績!$AD$6:$AD$505,"&gt;"&amp;$A68,実績!$AE$6:$AE$505,"○")&gt;0,1,0))</f>
        <v/>
      </c>
      <c r="CC68">
        <f>IF(CC$4=0,0,IF(COUNTIFS(実績!$W$6:$W$505,CC$3,実績!$AC$6:$AC$505,"&lt;="&amp;$A68,実績!$AD$6:$AD$505,"&gt;"&amp;$A68,実績!$AE$6:$AE$505,"○")&gt;0,1,0))</f>
        <v/>
      </c>
      <c r="CD68">
        <f>IF(CD$4=0,0,IF(COUNTIFS(実績!$W$6:$W$505,CD$3,実績!$AC$6:$AC$505,"&lt;="&amp;$A68,実績!$AD$6:$AD$505,"&gt;"&amp;$A68,実績!$AE$6:$AE$505,"○")&gt;0,1,0))</f>
        <v/>
      </c>
      <c r="CE68">
        <f>IF(CE$4=0,0,IF(COUNTIFS(実績!$W$6:$W$505,CE$3,実績!$AC$6:$AC$505,"&lt;="&amp;$A68,実績!$AD$6:$AD$505,"&gt;"&amp;$A68,実績!$AE$6:$AE$505,"○")&gt;0,1,0))</f>
        <v/>
      </c>
      <c r="CF68">
        <f>IF(CF$4=0,0,IF(COUNTIFS(実績!$W$6:$W$505,CF$3,実績!$AC$6:$AC$505,"&lt;="&amp;$A68,実績!$AD$6:$AD$505,"&gt;"&amp;$A68,実績!$AE$6:$AE$505,"○")&gt;0,1,0))</f>
        <v/>
      </c>
      <c r="CG68">
        <f>IF(CG$4=0,0,IF(COUNTIFS(実績!$W$6:$W$505,CG$3,実績!$AC$6:$AC$505,"&lt;="&amp;$A68,実績!$AD$6:$AD$505,"&gt;"&amp;$A68,実績!$AE$6:$AE$505,"○")&gt;0,1,0))</f>
        <v/>
      </c>
      <c r="CH68">
        <f>IF(CH$4=0,0,IF(COUNTIFS(実績!$W$6:$W$505,CH$3,実績!$AC$6:$AC$505,"&lt;="&amp;$A68,実績!$AD$6:$AD$505,"&gt;"&amp;$A68,実績!$AE$6:$AE$505,"○")&gt;0,1,0))</f>
        <v/>
      </c>
      <c r="CI68">
        <f>IF(CI$4=0,0,IF(COUNTIFS(実績!$W$6:$W$505,CI$3,実績!$AC$6:$AC$505,"&lt;="&amp;$A68,実績!$AD$6:$AD$505,"&gt;"&amp;$A68,実績!$AE$6:$AE$505,"○")&gt;0,1,0))</f>
        <v/>
      </c>
      <c r="CJ68">
        <f>IF(CJ$4=0,0,IF(COUNTIFS(実績!$W$6:$W$505,CJ$3,実績!$AC$6:$AC$505,"&lt;="&amp;$A68,実績!$AD$6:$AD$505,"&gt;"&amp;$A68,実績!$AE$6:$AE$505,"○")&gt;0,1,0))</f>
        <v/>
      </c>
      <c r="CK68">
        <f>IF(CK$4=0,0,IF(COUNTIFS(実績!$W$6:$W$505,CK$3,実績!$AC$6:$AC$505,"&lt;="&amp;$A68,実績!$AD$6:$AD$505,"&gt;"&amp;$A68,実績!$AE$6:$AE$505,"○")&gt;0,1,0))</f>
        <v/>
      </c>
      <c r="CL68">
        <f>IF(CL$4=0,0,IF(COUNTIFS(実績!$W$6:$W$505,CL$3,実績!$AC$6:$AC$505,"&lt;="&amp;$A68,実績!$AD$6:$AD$505,"&gt;"&amp;$A68,実績!$AE$6:$AE$505,"○")&gt;0,1,0))</f>
        <v/>
      </c>
      <c r="CM68">
        <f>IF(CM$4=0,0,IF(COUNTIFS(実績!$W$6:$W$505,CM$3,実績!$AC$6:$AC$505,"&lt;="&amp;$A68,実績!$AD$6:$AD$505,"&gt;"&amp;$A68,実績!$AE$6:$AE$505,"○")&gt;0,1,0))</f>
        <v/>
      </c>
      <c r="CN68">
        <f>IF(CN$4=0,0,IF(COUNTIFS(実績!$W$6:$W$505,CN$3,実績!$AC$6:$AC$505,"&lt;="&amp;$A68,実績!$AD$6:$AD$505,"&gt;"&amp;$A68,実績!$AE$6:$AE$505,"○")&gt;0,1,0))</f>
        <v/>
      </c>
      <c r="CO68">
        <f>IF(CO$4=0,0,IF(COUNTIFS(実績!$W$6:$W$505,CO$3,実績!$AC$6:$AC$505,"&lt;="&amp;$A68,実績!$AD$6:$AD$505,"&gt;"&amp;$A68,実績!$AE$6:$AE$505,"○")&gt;0,1,0))</f>
        <v/>
      </c>
      <c r="CP68">
        <f>IF(CP$4=0,0,IF(COUNTIFS(実績!$W$6:$W$505,CP$3,実績!$AC$6:$AC$505,"&lt;="&amp;$A68,実績!$AD$6:$AD$505,"&gt;"&amp;$A68,実績!$AE$6:$AE$505,"○")&gt;0,1,0))</f>
        <v/>
      </c>
      <c r="CQ68">
        <f>IF(CQ$4=0,0,IF(COUNTIFS(実績!$W$6:$W$505,CQ$3,実績!$AC$6:$AC$505,"&lt;="&amp;$A68,実績!$AD$6:$AD$505,"&gt;"&amp;$A68,実績!$AE$6:$AE$505,"○")&gt;0,1,0))</f>
        <v/>
      </c>
      <c r="CR68">
        <f>IF(CR$4=0,0,IF(COUNTIFS(実績!$W$6:$W$505,CR$3,実績!$AC$6:$AC$505,"&lt;="&amp;$A68,実績!$AD$6:$AD$505,"&gt;"&amp;$A68,実績!$AE$6:$AE$505,"○")&gt;0,1,0))</f>
        <v/>
      </c>
      <c r="CS68">
        <f>IF(CS$4=0,0,IF(COUNTIFS(実績!$W$6:$W$505,CS$3,実績!$AC$6:$AC$505,"&lt;="&amp;$A68,実績!$AD$6:$AD$505,"&gt;"&amp;$A68,実績!$AE$6:$AE$505,"○")&gt;0,1,0))</f>
        <v/>
      </c>
      <c r="CT68">
        <f>IF(CT$4=0,0,IF(COUNTIFS(実績!$W$6:$W$505,CT$3,実績!$AC$6:$AC$505,"&lt;="&amp;$A68,実績!$AD$6:$AD$505,"&gt;"&amp;$A68,実績!$AE$6:$AE$505,"○")&gt;0,1,0))</f>
        <v/>
      </c>
      <c r="CU68">
        <f>IF(CU$4=0,0,IF(COUNTIFS(実績!$W$6:$W$505,CU$3,実績!$AC$6:$AC$505,"&lt;="&amp;$A68,実績!$AD$6:$AD$505,"&gt;"&amp;$A68,実績!$AE$6:$AE$505,"○")&gt;0,1,0))</f>
        <v/>
      </c>
      <c r="CV68">
        <f>IF(CV$4=0,0,IF(COUNTIFS(実績!$W$6:$W$505,CV$3,実績!$AC$6:$AC$505,"&lt;="&amp;$A68,実績!$AD$6:$AD$505,"&gt;"&amp;$A68,実績!$AE$6:$AE$505,"○")&gt;0,1,0))</f>
        <v/>
      </c>
      <c r="CW68">
        <f>IF(CW$4=0,0,IF(COUNTIFS(実績!$W$6:$W$505,CW$3,実績!$AC$6:$AC$505,"&lt;="&amp;$A68,実績!$AD$6:$AD$505,"&gt;"&amp;$A68,実績!$AE$6:$AE$505,"○")&gt;0,1,0))</f>
        <v/>
      </c>
      <c r="CX68">
        <f>IF(CX$4=0,0,IF(COUNTIFS(実績!$W$6:$W$505,CX$3,実績!$AC$6:$AC$505,"&lt;="&amp;$A68,実績!$AD$6:$AD$505,"&gt;"&amp;$A68,実績!$AE$6:$AE$505,"○")&gt;0,1,0))</f>
        <v/>
      </c>
      <c r="CY68">
        <f>IF(CY$4=0,0,IF(COUNTIFS(実績!$W$6:$W$505,CY$3,実績!$AC$6:$AC$505,"&lt;="&amp;$A68,実績!$AD$6:$AD$505,"&gt;"&amp;$A68,実績!$AE$6:$AE$505,"○")&gt;0,1,0))</f>
        <v/>
      </c>
      <c r="CZ68">
        <f>IF(CZ$4=0,0,IF(COUNTIFS(実績!$W$6:$W$505,CZ$3,実績!$AC$6:$AC$505,"&lt;="&amp;$A68,実績!$AD$6:$AD$505,"&gt;"&amp;$A68,実績!$AE$6:$AE$505,"○")&gt;0,1,0))</f>
        <v/>
      </c>
      <c r="DA68">
        <f>IF(DA$4=0,0,IF(COUNTIFS(実績!$W$6:$W$505,DA$3,実績!$AC$6:$AC$505,"&lt;="&amp;$A68,実績!$AD$6:$AD$505,"&gt;"&amp;$A68,実績!$AE$6:$AE$505,"○")&gt;0,1,0))</f>
        <v/>
      </c>
      <c r="DB68">
        <f>IF(DB$4=0,0,IF(COUNTIFS(実績!$W$6:$W$505,DB$3,実績!$AC$6:$AC$505,"&lt;="&amp;$A68,実績!$AD$6:$AD$505,"&gt;"&amp;$A68,実績!$AE$6:$AE$505,"○")&gt;0,1,0))</f>
        <v/>
      </c>
      <c r="DC68">
        <f>IF(DC$4=0,0,IF(COUNTIFS(実績!$W$6:$W$505,DC$3,実績!$AC$6:$AC$505,"&lt;="&amp;$A68,実績!$AD$6:$AD$505,"&gt;"&amp;$A68,実績!$AE$6:$AE$505,"○")&gt;0,1,0))</f>
        <v/>
      </c>
      <c r="DD68">
        <f>IF(DD$4=0,0,IF(COUNTIFS(実績!$W$6:$W$505,DD$3,実績!$AC$6:$AC$505,"&lt;="&amp;$A68,実績!$AD$6:$AD$505,"&gt;"&amp;$A68,実績!$AE$6:$AE$505,"○")&gt;0,1,0))</f>
        <v/>
      </c>
      <c r="DE68">
        <f>IF(DE$4=0,0,IF(COUNTIFS(実績!$W$6:$W$505,DE$3,実績!$AC$6:$AC$505,"&lt;="&amp;$A68,実績!$AD$6:$AD$505,"&gt;"&amp;$A68,実績!$AE$6:$AE$505,"○")&gt;0,1,0))</f>
        <v/>
      </c>
      <c r="DF68">
        <f>IF(DF$4=0,0,IF(COUNTIFS(実績!$W$6:$W$505,DF$3,実績!$AC$6:$AC$505,"&lt;="&amp;$A68,実績!$AD$6:$AD$505,"&gt;"&amp;$A68,実績!$AE$6:$AE$505,"○")&gt;0,1,0))</f>
        <v/>
      </c>
      <c r="DG68">
        <f>IF(DG$4=0,0,IF(COUNTIFS(実績!$W$6:$W$505,DG$3,実績!$AC$6:$AC$505,"&lt;="&amp;$A68,実績!$AD$6:$AD$505,"&gt;"&amp;$A68,実績!$AE$6:$AE$505,"○")&gt;0,1,0))</f>
        <v/>
      </c>
      <c r="DH68">
        <f>IF(DH$4=0,0,IF(COUNTIFS(実績!$W$6:$W$505,DH$3,実績!$AC$6:$AC$505,"&lt;="&amp;$A68,実績!$AD$6:$AD$505,"&gt;"&amp;$A68,実績!$AE$6:$AE$505,"○")&gt;0,1,0))</f>
        <v/>
      </c>
      <c r="DI68">
        <f>IF(DI$4=0,0,IF(COUNTIFS(実績!$W$6:$W$505,DI$3,実績!$AC$6:$AC$505,"&lt;="&amp;$A68,実績!$AD$6:$AD$505,"&gt;"&amp;$A68,実績!$AE$6:$AE$505,"○")&gt;0,1,0))</f>
        <v/>
      </c>
      <c r="DJ68">
        <f>IF(DJ$4=0,0,IF(COUNTIFS(実績!$W$6:$W$505,DJ$3,実績!$AC$6:$AC$505,"&lt;="&amp;$A68,実績!$AD$6:$AD$505,"&gt;"&amp;$A68,実績!$AE$6:$AE$505,"○")&gt;0,1,0))</f>
        <v/>
      </c>
      <c r="DK68">
        <f>IF(DK$4=0,0,IF(COUNTIFS(実績!$W$6:$W$505,DK$3,実績!$AC$6:$AC$505,"&lt;="&amp;$A68,実績!$AD$6:$AD$505,"&gt;"&amp;$A68,実績!$AE$6:$AE$505,"○")&gt;0,1,0))</f>
        <v/>
      </c>
      <c r="DL68">
        <f>IF(DL$4=0,0,IF(COUNTIFS(実績!$W$6:$W$505,DL$3,実績!$AC$6:$AC$505,"&lt;="&amp;$A68,実績!$AD$6:$AD$505,"&gt;"&amp;$A68,実績!$AE$6:$AE$505,"○")&gt;0,1,0))</f>
        <v/>
      </c>
      <c r="DM68">
        <f>IF(DM$4=0,0,IF(COUNTIFS(実績!$W$6:$W$505,DM$3,実績!$AC$6:$AC$505,"&lt;="&amp;$A68,実績!$AD$6:$AD$505,"&gt;"&amp;$A68,実績!$AE$6:$AE$505,"○")&gt;0,1,0))</f>
        <v/>
      </c>
      <c r="DN68">
        <f>IF(DN$4=0,0,IF(COUNTIFS(実績!$W$6:$W$505,DN$3,実績!$AC$6:$AC$505,"&lt;="&amp;$A68,実績!$AD$6:$AD$505,"&gt;"&amp;$A68,実績!$AE$6:$AE$505,"○")&gt;0,1,0))</f>
        <v/>
      </c>
      <c r="DO68">
        <f>IF(DO$4=0,0,IF(COUNTIFS(実績!$W$6:$W$505,DO$3,実績!$AC$6:$AC$505,"&lt;="&amp;$A68,実績!$AD$6:$AD$505,"&gt;"&amp;$A68,実績!$AE$6:$AE$505,"○")&gt;0,1,0))</f>
        <v/>
      </c>
      <c r="DP68">
        <f>IF(DP$4=0,0,IF(COUNTIFS(実績!$W$6:$W$505,DP$3,実績!$AC$6:$AC$505,"&lt;="&amp;$A68,実績!$AD$6:$AD$505,"&gt;"&amp;$A68,実績!$AE$6:$AE$505,"○")&gt;0,1,0))</f>
        <v/>
      </c>
      <c r="DQ68">
        <f>IF(DQ$4=0,0,IF(COUNTIFS(実績!$W$6:$W$505,DQ$3,実績!$AC$6:$AC$505,"&lt;="&amp;$A68,実績!$AD$6:$AD$505,"&gt;"&amp;$A68,実績!$AE$6:$AE$505,"○")&gt;0,1,0))</f>
        <v/>
      </c>
      <c r="DR68">
        <f>IF(DR$4=0,0,IF(COUNTIFS(実績!$W$6:$W$505,DR$3,実績!$AC$6:$AC$505,"&lt;="&amp;$A68,実績!$AD$6:$AD$505,"&gt;"&amp;$A68,実績!$AE$6:$AE$505,"○")&gt;0,1,0))</f>
        <v/>
      </c>
      <c r="DS68">
        <f>SUM(C68:DR68)</f>
        <v/>
      </c>
      <c r="DT68">
        <f>SUMPRODUCT((実績!$C$6:$C$505="○")*ISNUMBER(実績!$AF$6:$AF$505)*(実績!$AF$6:$AF$505&lt;=$A68)*(実績!$AG$6:$AG$505&gt;$A68))</f>
        <v/>
      </c>
      <c r="DU68">
        <f>SUMIF($C$2:$DR$2,"製鉄曳船",C68:DR68)</f>
        <v/>
      </c>
      <c r="DV68">
        <f>SUMIF($C$2:$DR$2,"西日本海運",C68:DR68)</f>
        <v/>
      </c>
    </row>
    <row r="69">
      <c r="A69" t="n">
        <v>315</v>
      </c>
      <c r="B69" s="29">
        <f>A69/1440</f>
        <v/>
      </c>
      <c r="C69">
        <f>IF(C$4=0,0,IF(COUNTIFS(実績!$W$6:$W$505,C$3,実績!$AC$6:$AC$505,"&lt;="&amp;$A69,実績!$AD$6:$AD$505,"&gt;"&amp;$A69,実績!$AE$6:$AE$505,"○")&gt;0,1,0))</f>
        <v/>
      </c>
      <c r="D69">
        <f>IF(D$4=0,0,IF(COUNTIFS(実績!$W$6:$W$505,D$3,実績!$AC$6:$AC$505,"&lt;="&amp;$A69,実績!$AD$6:$AD$505,"&gt;"&amp;$A69,実績!$AE$6:$AE$505,"○")&gt;0,1,0))</f>
        <v/>
      </c>
      <c r="E69">
        <f>IF(E$4=0,0,IF(COUNTIFS(実績!$W$6:$W$505,E$3,実績!$AC$6:$AC$505,"&lt;="&amp;$A69,実績!$AD$6:$AD$505,"&gt;"&amp;$A69,実績!$AE$6:$AE$505,"○")&gt;0,1,0))</f>
        <v/>
      </c>
      <c r="F69">
        <f>IF(F$4=0,0,IF(COUNTIFS(実績!$W$6:$W$505,F$3,実績!$AC$6:$AC$505,"&lt;="&amp;$A69,実績!$AD$6:$AD$505,"&gt;"&amp;$A69,実績!$AE$6:$AE$505,"○")&gt;0,1,0))</f>
        <v/>
      </c>
      <c r="G69">
        <f>IF(G$4=0,0,IF(COUNTIFS(実績!$W$6:$W$505,G$3,実績!$AC$6:$AC$505,"&lt;="&amp;$A69,実績!$AD$6:$AD$505,"&gt;"&amp;$A69,実績!$AE$6:$AE$505,"○")&gt;0,1,0))</f>
        <v/>
      </c>
      <c r="H69">
        <f>IF(H$4=0,0,IF(COUNTIFS(実績!$W$6:$W$505,H$3,実績!$AC$6:$AC$505,"&lt;="&amp;$A69,実績!$AD$6:$AD$505,"&gt;"&amp;$A69,実績!$AE$6:$AE$505,"○")&gt;0,1,0))</f>
        <v/>
      </c>
      <c r="I69">
        <f>IF(I$4=0,0,IF(COUNTIFS(実績!$W$6:$W$505,I$3,実績!$AC$6:$AC$505,"&lt;="&amp;$A69,実績!$AD$6:$AD$505,"&gt;"&amp;$A69,実績!$AE$6:$AE$505,"○")&gt;0,1,0))</f>
        <v/>
      </c>
      <c r="J69">
        <f>IF(J$4=0,0,IF(COUNTIFS(実績!$W$6:$W$505,J$3,実績!$AC$6:$AC$505,"&lt;="&amp;$A69,実績!$AD$6:$AD$505,"&gt;"&amp;$A69,実績!$AE$6:$AE$505,"○")&gt;0,1,0))</f>
        <v/>
      </c>
      <c r="K69">
        <f>IF(K$4=0,0,IF(COUNTIFS(実績!$W$6:$W$505,K$3,実績!$AC$6:$AC$505,"&lt;="&amp;$A69,実績!$AD$6:$AD$505,"&gt;"&amp;$A69,実績!$AE$6:$AE$505,"○")&gt;0,1,0))</f>
        <v/>
      </c>
      <c r="L69">
        <f>IF(L$4=0,0,IF(COUNTIFS(実績!$W$6:$W$505,L$3,実績!$AC$6:$AC$505,"&lt;="&amp;$A69,実績!$AD$6:$AD$505,"&gt;"&amp;$A69,実績!$AE$6:$AE$505,"○")&gt;0,1,0))</f>
        <v/>
      </c>
      <c r="M69">
        <f>IF(M$4=0,0,IF(COUNTIFS(実績!$W$6:$W$505,M$3,実績!$AC$6:$AC$505,"&lt;="&amp;$A69,実績!$AD$6:$AD$505,"&gt;"&amp;$A69,実績!$AE$6:$AE$505,"○")&gt;0,1,0))</f>
        <v/>
      </c>
      <c r="N69">
        <f>IF(N$4=0,0,IF(COUNTIFS(実績!$W$6:$W$505,N$3,実績!$AC$6:$AC$505,"&lt;="&amp;$A69,実績!$AD$6:$AD$505,"&gt;"&amp;$A69,実績!$AE$6:$AE$505,"○")&gt;0,1,0))</f>
        <v/>
      </c>
      <c r="O69">
        <f>IF(O$4=0,0,IF(COUNTIFS(実績!$W$6:$W$505,O$3,実績!$AC$6:$AC$505,"&lt;="&amp;$A69,実績!$AD$6:$AD$505,"&gt;"&amp;$A69,実績!$AE$6:$AE$505,"○")&gt;0,1,0))</f>
        <v/>
      </c>
      <c r="P69">
        <f>IF(P$4=0,0,IF(COUNTIFS(実績!$W$6:$W$505,P$3,実績!$AC$6:$AC$505,"&lt;="&amp;$A69,実績!$AD$6:$AD$505,"&gt;"&amp;$A69,実績!$AE$6:$AE$505,"○")&gt;0,1,0))</f>
        <v/>
      </c>
      <c r="Q69">
        <f>IF(Q$4=0,0,IF(COUNTIFS(実績!$W$6:$W$505,Q$3,実績!$AC$6:$AC$505,"&lt;="&amp;$A69,実績!$AD$6:$AD$505,"&gt;"&amp;$A69,実績!$AE$6:$AE$505,"○")&gt;0,1,0))</f>
        <v/>
      </c>
      <c r="R69">
        <f>IF(R$4=0,0,IF(COUNTIFS(実績!$W$6:$W$505,R$3,実績!$AC$6:$AC$505,"&lt;="&amp;$A69,実績!$AD$6:$AD$505,"&gt;"&amp;$A69,実績!$AE$6:$AE$505,"○")&gt;0,1,0))</f>
        <v/>
      </c>
      <c r="S69">
        <f>IF(S$4=0,0,IF(COUNTIFS(実績!$W$6:$W$505,S$3,実績!$AC$6:$AC$505,"&lt;="&amp;$A69,実績!$AD$6:$AD$505,"&gt;"&amp;$A69,実績!$AE$6:$AE$505,"○")&gt;0,1,0))</f>
        <v/>
      </c>
      <c r="T69">
        <f>IF(T$4=0,0,IF(COUNTIFS(実績!$W$6:$W$505,T$3,実績!$AC$6:$AC$505,"&lt;="&amp;$A69,実績!$AD$6:$AD$505,"&gt;"&amp;$A69,実績!$AE$6:$AE$505,"○")&gt;0,1,0))</f>
        <v/>
      </c>
      <c r="U69">
        <f>IF(U$4=0,0,IF(COUNTIFS(実績!$W$6:$W$505,U$3,実績!$AC$6:$AC$505,"&lt;="&amp;$A69,実績!$AD$6:$AD$505,"&gt;"&amp;$A69,実績!$AE$6:$AE$505,"○")&gt;0,1,0))</f>
        <v/>
      </c>
      <c r="V69">
        <f>IF(V$4=0,0,IF(COUNTIFS(実績!$W$6:$W$505,V$3,実績!$AC$6:$AC$505,"&lt;="&amp;$A69,実績!$AD$6:$AD$505,"&gt;"&amp;$A69,実績!$AE$6:$AE$505,"○")&gt;0,1,0))</f>
        <v/>
      </c>
      <c r="W69">
        <f>IF(W$4=0,0,IF(COUNTIFS(実績!$W$6:$W$505,W$3,実績!$AC$6:$AC$505,"&lt;="&amp;$A69,実績!$AD$6:$AD$505,"&gt;"&amp;$A69,実績!$AE$6:$AE$505,"○")&gt;0,1,0))</f>
        <v/>
      </c>
      <c r="X69">
        <f>IF(X$4=0,0,IF(COUNTIFS(実績!$W$6:$W$505,X$3,実績!$AC$6:$AC$505,"&lt;="&amp;$A69,実績!$AD$6:$AD$505,"&gt;"&amp;$A69,実績!$AE$6:$AE$505,"○")&gt;0,1,0))</f>
        <v/>
      </c>
      <c r="Y69">
        <f>IF(Y$4=0,0,IF(COUNTIFS(実績!$W$6:$W$505,Y$3,実績!$AC$6:$AC$505,"&lt;="&amp;$A69,実績!$AD$6:$AD$505,"&gt;"&amp;$A69,実績!$AE$6:$AE$505,"○")&gt;0,1,0))</f>
        <v/>
      </c>
      <c r="Z69">
        <f>IF(Z$4=0,0,IF(COUNTIFS(実績!$W$6:$W$505,Z$3,実績!$AC$6:$AC$505,"&lt;="&amp;$A69,実績!$AD$6:$AD$505,"&gt;"&amp;$A69,実績!$AE$6:$AE$505,"○")&gt;0,1,0))</f>
        <v/>
      </c>
      <c r="AA69">
        <f>IF(AA$4=0,0,IF(COUNTIFS(実績!$W$6:$W$505,AA$3,実績!$AC$6:$AC$505,"&lt;="&amp;$A69,実績!$AD$6:$AD$505,"&gt;"&amp;$A69,実績!$AE$6:$AE$505,"○")&gt;0,1,0))</f>
        <v/>
      </c>
      <c r="AB69">
        <f>IF(AB$4=0,0,IF(COUNTIFS(実績!$W$6:$W$505,AB$3,実績!$AC$6:$AC$505,"&lt;="&amp;$A69,実績!$AD$6:$AD$505,"&gt;"&amp;$A69,実績!$AE$6:$AE$505,"○")&gt;0,1,0))</f>
        <v/>
      </c>
      <c r="AC69">
        <f>IF(AC$4=0,0,IF(COUNTIFS(実績!$W$6:$W$505,AC$3,実績!$AC$6:$AC$505,"&lt;="&amp;$A69,実績!$AD$6:$AD$505,"&gt;"&amp;$A69,実績!$AE$6:$AE$505,"○")&gt;0,1,0))</f>
        <v/>
      </c>
      <c r="AD69">
        <f>IF(AD$4=0,0,IF(COUNTIFS(実績!$W$6:$W$505,AD$3,実績!$AC$6:$AC$505,"&lt;="&amp;$A69,実績!$AD$6:$AD$505,"&gt;"&amp;$A69,実績!$AE$6:$AE$505,"○")&gt;0,1,0))</f>
        <v/>
      </c>
      <c r="AE69">
        <f>IF(AE$4=0,0,IF(COUNTIFS(実績!$W$6:$W$505,AE$3,実績!$AC$6:$AC$505,"&lt;="&amp;$A69,実績!$AD$6:$AD$505,"&gt;"&amp;$A69,実績!$AE$6:$AE$505,"○")&gt;0,1,0))</f>
        <v/>
      </c>
      <c r="AF69">
        <f>IF(AF$4=0,0,IF(COUNTIFS(実績!$W$6:$W$505,AF$3,実績!$AC$6:$AC$505,"&lt;="&amp;$A69,実績!$AD$6:$AD$505,"&gt;"&amp;$A69,実績!$AE$6:$AE$505,"○")&gt;0,1,0))</f>
        <v/>
      </c>
      <c r="AG69">
        <f>IF(AG$4=0,0,IF(COUNTIFS(実績!$W$6:$W$505,AG$3,実績!$AC$6:$AC$505,"&lt;="&amp;$A69,実績!$AD$6:$AD$505,"&gt;"&amp;$A69,実績!$AE$6:$AE$505,"○")&gt;0,1,0))</f>
        <v/>
      </c>
      <c r="AH69">
        <f>IF(AH$4=0,0,IF(COUNTIFS(実績!$W$6:$W$505,AH$3,実績!$AC$6:$AC$505,"&lt;="&amp;$A69,実績!$AD$6:$AD$505,"&gt;"&amp;$A69,実績!$AE$6:$AE$505,"○")&gt;0,1,0))</f>
        <v/>
      </c>
      <c r="AI69">
        <f>IF(AI$4=0,0,IF(COUNTIFS(実績!$W$6:$W$505,AI$3,実績!$AC$6:$AC$505,"&lt;="&amp;$A69,実績!$AD$6:$AD$505,"&gt;"&amp;$A69,実績!$AE$6:$AE$505,"○")&gt;0,1,0))</f>
        <v/>
      </c>
      <c r="AJ69">
        <f>IF(AJ$4=0,0,IF(COUNTIFS(実績!$W$6:$W$505,AJ$3,実績!$AC$6:$AC$505,"&lt;="&amp;$A69,実績!$AD$6:$AD$505,"&gt;"&amp;$A69,実績!$AE$6:$AE$505,"○")&gt;0,1,0))</f>
        <v/>
      </c>
      <c r="AK69">
        <f>IF(AK$4=0,0,IF(COUNTIFS(実績!$W$6:$W$505,AK$3,実績!$AC$6:$AC$505,"&lt;="&amp;$A69,実績!$AD$6:$AD$505,"&gt;"&amp;$A69,実績!$AE$6:$AE$505,"○")&gt;0,1,0))</f>
        <v/>
      </c>
      <c r="AL69">
        <f>IF(AL$4=0,0,IF(COUNTIFS(実績!$W$6:$W$505,AL$3,実績!$AC$6:$AC$505,"&lt;="&amp;$A69,実績!$AD$6:$AD$505,"&gt;"&amp;$A69,実績!$AE$6:$AE$505,"○")&gt;0,1,0))</f>
        <v/>
      </c>
      <c r="AM69">
        <f>IF(AM$4=0,0,IF(COUNTIFS(実績!$W$6:$W$505,AM$3,実績!$AC$6:$AC$505,"&lt;="&amp;$A69,実績!$AD$6:$AD$505,"&gt;"&amp;$A69,実績!$AE$6:$AE$505,"○")&gt;0,1,0))</f>
        <v/>
      </c>
      <c r="AN69">
        <f>IF(AN$4=0,0,IF(COUNTIFS(実績!$W$6:$W$505,AN$3,実績!$AC$6:$AC$505,"&lt;="&amp;$A69,実績!$AD$6:$AD$505,"&gt;"&amp;$A69,実績!$AE$6:$AE$505,"○")&gt;0,1,0))</f>
        <v/>
      </c>
      <c r="AO69">
        <f>IF(AO$4=0,0,IF(COUNTIFS(実績!$W$6:$W$505,AO$3,実績!$AC$6:$AC$505,"&lt;="&amp;$A69,実績!$AD$6:$AD$505,"&gt;"&amp;$A69,実績!$AE$6:$AE$505,"○")&gt;0,1,0))</f>
        <v/>
      </c>
      <c r="AP69">
        <f>IF(AP$4=0,0,IF(COUNTIFS(実績!$W$6:$W$505,AP$3,実績!$AC$6:$AC$505,"&lt;="&amp;$A69,実績!$AD$6:$AD$505,"&gt;"&amp;$A69,実績!$AE$6:$AE$505,"○")&gt;0,1,0))</f>
        <v/>
      </c>
      <c r="AQ69">
        <f>IF(AQ$4=0,0,IF(COUNTIFS(実績!$W$6:$W$505,AQ$3,実績!$AC$6:$AC$505,"&lt;="&amp;$A69,実績!$AD$6:$AD$505,"&gt;"&amp;$A69,実績!$AE$6:$AE$505,"○")&gt;0,1,0))</f>
        <v/>
      </c>
      <c r="AR69">
        <f>IF(AR$4=0,0,IF(COUNTIFS(実績!$W$6:$W$505,AR$3,実績!$AC$6:$AC$505,"&lt;="&amp;$A69,実績!$AD$6:$AD$505,"&gt;"&amp;$A69,実績!$AE$6:$AE$505,"○")&gt;0,1,0))</f>
        <v/>
      </c>
      <c r="AS69">
        <f>IF(AS$4=0,0,IF(COUNTIFS(実績!$W$6:$W$505,AS$3,実績!$AC$6:$AC$505,"&lt;="&amp;$A69,実績!$AD$6:$AD$505,"&gt;"&amp;$A69,実績!$AE$6:$AE$505,"○")&gt;0,1,0))</f>
        <v/>
      </c>
      <c r="AT69">
        <f>IF(AT$4=0,0,IF(COUNTIFS(実績!$W$6:$W$505,AT$3,実績!$AC$6:$AC$505,"&lt;="&amp;$A69,実績!$AD$6:$AD$505,"&gt;"&amp;$A69,実績!$AE$6:$AE$505,"○")&gt;0,1,0))</f>
        <v/>
      </c>
      <c r="AU69">
        <f>IF(AU$4=0,0,IF(COUNTIFS(実績!$W$6:$W$505,AU$3,実績!$AC$6:$AC$505,"&lt;="&amp;$A69,実績!$AD$6:$AD$505,"&gt;"&amp;$A69,実績!$AE$6:$AE$505,"○")&gt;0,1,0))</f>
        <v/>
      </c>
      <c r="AV69">
        <f>IF(AV$4=0,0,IF(COUNTIFS(実績!$W$6:$W$505,AV$3,実績!$AC$6:$AC$505,"&lt;="&amp;$A69,実績!$AD$6:$AD$505,"&gt;"&amp;$A69,実績!$AE$6:$AE$505,"○")&gt;0,1,0))</f>
        <v/>
      </c>
      <c r="AW69">
        <f>IF(AW$4=0,0,IF(COUNTIFS(実績!$W$6:$W$505,AW$3,実績!$AC$6:$AC$505,"&lt;="&amp;$A69,実績!$AD$6:$AD$505,"&gt;"&amp;$A69,実績!$AE$6:$AE$505,"○")&gt;0,1,0))</f>
        <v/>
      </c>
      <c r="AX69">
        <f>IF(AX$4=0,0,IF(COUNTIFS(実績!$W$6:$W$505,AX$3,実績!$AC$6:$AC$505,"&lt;="&amp;$A69,実績!$AD$6:$AD$505,"&gt;"&amp;$A69,実績!$AE$6:$AE$505,"○")&gt;0,1,0))</f>
        <v/>
      </c>
      <c r="AY69">
        <f>IF(AY$4=0,0,IF(COUNTIFS(実績!$W$6:$W$505,AY$3,実績!$AC$6:$AC$505,"&lt;="&amp;$A69,実績!$AD$6:$AD$505,"&gt;"&amp;$A69,実績!$AE$6:$AE$505,"○")&gt;0,1,0))</f>
        <v/>
      </c>
      <c r="AZ69">
        <f>IF(AZ$4=0,0,IF(COUNTIFS(実績!$W$6:$W$505,AZ$3,実績!$AC$6:$AC$505,"&lt;="&amp;$A69,実績!$AD$6:$AD$505,"&gt;"&amp;$A69,実績!$AE$6:$AE$505,"○")&gt;0,1,0))</f>
        <v/>
      </c>
      <c r="BA69">
        <f>IF(BA$4=0,0,IF(COUNTIFS(実績!$W$6:$W$505,BA$3,実績!$AC$6:$AC$505,"&lt;="&amp;$A69,実績!$AD$6:$AD$505,"&gt;"&amp;$A69,実績!$AE$6:$AE$505,"○")&gt;0,1,0))</f>
        <v/>
      </c>
      <c r="BB69">
        <f>IF(BB$4=0,0,IF(COUNTIFS(実績!$W$6:$W$505,BB$3,実績!$AC$6:$AC$505,"&lt;="&amp;$A69,実績!$AD$6:$AD$505,"&gt;"&amp;$A69,実績!$AE$6:$AE$505,"○")&gt;0,1,0))</f>
        <v/>
      </c>
      <c r="BC69">
        <f>IF(BC$4=0,0,IF(COUNTIFS(実績!$W$6:$W$505,BC$3,実績!$AC$6:$AC$505,"&lt;="&amp;$A69,実績!$AD$6:$AD$505,"&gt;"&amp;$A69,実績!$AE$6:$AE$505,"○")&gt;0,1,0))</f>
        <v/>
      </c>
      <c r="BD69">
        <f>IF(BD$4=0,0,IF(COUNTIFS(実績!$W$6:$W$505,BD$3,実績!$AC$6:$AC$505,"&lt;="&amp;$A69,実績!$AD$6:$AD$505,"&gt;"&amp;$A69,実績!$AE$6:$AE$505,"○")&gt;0,1,0))</f>
        <v/>
      </c>
      <c r="BE69">
        <f>IF(BE$4=0,0,IF(COUNTIFS(実績!$W$6:$W$505,BE$3,実績!$AC$6:$AC$505,"&lt;="&amp;$A69,実績!$AD$6:$AD$505,"&gt;"&amp;$A69,実績!$AE$6:$AE$505,"○")&gt;0,1,0))</f>
        <v/>
      </c>
      <c r="BF69">
        <f>IF(BF$4=0,0,IF(COUNTIFS(実績!$W$6:$W$505,BF$3,実績!$AC$6:$AC$505,"&lt;="&amp;$A69,実績!$AD$6:$AD$505,"&gt;"&amp;$A69,実績!$AE$6:$AE$505,"○")&gt;0,1,0))</f>
        <v/>
      </c>
      <c r="BG69">
        <f>IF(BG$4=0,0,IF(COUNTIFS(実績!$W$6:$W$505,BG$3,実績!$AC$6:$AC$505,"&lt;="&amp;$A69,実績!$AD$6:$AD$505,"&gt;"&amp;$A69,実績!$AE$6:$AE$505,"○")&gt;0,1,0))</f>
        <v/>
      </c>
      <c r="BH69">
        <f>IF(BH$4=0,0,IF(COUNTIFS(実績!$W$6:$W$505,BH$3,実績!$AC$6:$AC$505,"&lt;="&amp;$A69,実績!$AD$6:$AD$505,"&gt;"&amp;$A69,実績!$AE$6:$AE$505,"○")&gt;0,1,0))</f>
        <v/>
      </c>
      <c r="BI69">
        <f>IF(BI$4=0,0,IF(COUNTIFS(実績!$W$6:$W$505,BI$3,実績!$AC$6:$AC$505,"&lt;="&amp;$A69,実績!$AD$6:$AD$505,"&gt;"&amp;$A69,実績!$AE$6:$AE$505,"○")&gt;0,1,0))</f>
        <v/>
      </c>
      <c r="BJ69">
        <f>IF(BJ$4=0,0,IF(COUNTIFS(実績!$W$6:$W$505,BJ$3,実績!$AC$6:$AC$505,"&lt;="&amp;$A69,実績!$AD$6:$AD$505,"&gt;"&amp;$A69,実績!$AE$6:$AE$505,"○")&gt;0,1,0))</f>
        <v/>
      </c>
      <c r="BK69">
        <f>IF(BK$4=0,0,IF(COUNTIFS(実績!$W$6:$W$505,BK$3,実績!$AC$6:$AC$505,"&lt;="&amp;$A69,実績!$AD$6:$AD$505,"&gt;"&amp;$A69,実績!$AE$6:$AE$505,"○")&gt;0,1,0))</f>
        <v/>
      </c>
      <c r="BL69">
        <f>IF(BL$4=0,0,IF(COUNTIFS(実績!$W$6:$W$505,BL$3,実績!$AC$6:$AC$505,"&lt;="&amp;$A69,実績!$AD$6:$AD$505,"&gt;"&amp;$A69,実績!$AE$6:$AE$505,"○")&gt;0,1,0))</f>
        <v/>
      </c>
      <c r="BM69">
        <f>IF(BM$4=0,0,IF(COUNTIFS(実績!$W$6:$W$505,BM$3,実績!$AC$6:$AC$505,"&lt;="&amp;$A69,実績!$AD$6:$AD$505,"&gt;"&amp;$A69,実績!$AE$6:$AE$505,"○")&gt;0,1,0))</f>
        <v/>
      </c>
      <c r="BN69">
        <f>IF(BN$4=0,0,IF(COUNTIFS(実績!$W$6:$W$505,BN$3,実績!$AC$6:$AC$505,"&lt;="&amp;$A69,実績!$AD$6:$AD$505,"&gt;"&amp;$A69,実績!$AE$6:$AE$505,"○")&gt;0,1,0))</f>
        <v/>
      </c>
      <c r="BO69">
        <f>IF(BO$4=0,0,IF(COUNTIFS(実績!$W$6:$W$505,BO$3,実績!$AC$6:$AC$505,"&lt;="&amp;$A69,実績!$AD$6:$AD$505,"&gt;"&amp;$A69,実績!$AE$6:$AE$505,"○")&gt;0,1,0))</f>
        <v/>
      </c>
      <c r="BP69">
        <f>IF(BP$4=0,0,IF(COUNTIFS(実績!$W$6:$W$505,BP$3,実績!$AC$6:$AC$505,"&lt;="&amp;$A69,実績!$AD$6:$AD$505,"&gt;"&amp;$A69,実績!$AE$6:$AE$505,"○")&gt;0,1,0))</f>
        <v/>
      </c>
      <c r="BQ69">
        <f>IF(BQ$4=0,0,IF(COUNTIFS(実績!$W$6:$W$505,BQ$3,実績!$AC$6:$AC$505,"&lt;="&amp;$A69,実績!$AD$6:$AD$505,"&gt;"&amp;$A69,実績!$AE$6:$AE$505,"○")&gt;0,1,0))</f>
        <v/>
      </c>
      <c r="BR69">
        <f>IF(BR$4=0,0,IF(COUNTIFS(実績!$W$6:$W$505,BR$3,実績!$AC$6:$AC$505,"&lt;="&amp;$A69,実績!$AD$6:$AD$505,"&gt;"&amp;$A69,実績!$AE$6:$AE$505,"○")&gt;0,1,0))</f>
        <v/>
      </c>
      <c r="BS69">
        <f>IF(BS$4=0,0,IF(COUNTIFS(実績!$W$6:$W$505,BS$3,実績!$AC$6:$AC$505,"&lt;="&amp;$A69,実績!$AD$6:$AD$505,"&gt;"&amp;$A69,実績!$AE$6:$AE$505,"○")&gt;0,1,0))</f>
        <v/>
      </c>
      <c r="BT69">
        <f>IF(BT$4=0,0,IF(COUNTIFS(実績!$W$6:$W$505,BT$3,実績!$AC$6:$AC$505,"&lt;="&amp;$A69,実績!$AD$6:$AD$505,"&gt;"&amp;$A69,実績!$AE$6:$AE$505,"○")&gt;0,1,0))</f>
        <v/>
      </c>
      <c r="BU69">
        <f>IF(BU$4=0,0,IF(COUNTIFS(実績!$W$6:$W$505,BU$3,実績!$AC$6:$AC$505,"&lt;="&amp;$A69,実績!$AD$6:$AD$505,"&gt;"&amp;$A69,実績!$AE$6:$AE$505,"○")&gt;0,1,0))</f>
        <v/>
      </c>
      <c r="BV69">
        <f>IF(BV$4=0,0,IF(COUNTIFS(実績!$W$6:$W$505,BV$3,実績!$AC$6:$AC$505,"&lt;="&amp;$A69,実績!$AD$6:$AD$505,"&gt;"&amp;$A69,実績!$AE$6:$AE$505,"○")&gt;0,1,0))</f>
        <v/>
      </c>
      <c r="BW69">
        <f>IF(BW$4=0,0,IF(COUNTIFS(実績!$W$6:$W$505,BW$3,実績!$AC$6:$AC$505,"&lt;="&amp;$A69,実績!$AD$6:$AD$505,"&gt;"&amp;$A69,実績!$AE$6:$AE$505,"○")&gt;0,1,0))</f>
        <v/>
      </c>
      <c r="BX69">
        <f>IF(BX$4=0,0,IF(COUNTIFS(実績!$W$6:$W$505,BX$3,実績!$AC$6:$AC$505,"&lt;="&amp;$A69,実績!$AD$6:$AD$505,"&gt;"&amp;$A69,実績!$AE$6:$AE$505,"○")&gt;0,1,0))</f>
        <v/>
      </c>
      <c r="BY69">
        <f>IF(BY$4=0,0,IF(COUNTIFS(実績!$W$6:$W$505,BY$3,実績!$AC$6:$AC$505,"&lt;="&amp;$A69,実績!$AD$6:$AD$505,"&gt;"&amp;$A69,実績!$AE$6:$AE$505,"○")&gt;0,1,0))</f>
        <v/>
      </c>
      <c r="BZ69">
        <f>IF(BZ$4=0,0,IF(COUNTIFS(実績!$W$6:$W$505,BZ$3,実績!$AC$6:$AC$505,"&lt;="&amp;$A69,実績!$AD$6:$AD$505,"&gt;"&amp;$A69,実績!$AE$6:$AE$505,"○")&gt;0,1,0))</f>
        <v/>
      </c>
      <c r="CA69">
        <f>IF(CA$4=0,0,IF(COUNTIFS(実績!$W$6:$W$505,CA$3,実績!$AC$6:$AC$505,"&lt;="&amp;$A69,実績!$AD$6:$AD$505,"&gt;"&amp;$A69,実績!$AE$6:$AE$505,"○")&gt;0,1,0))</f>
        <v/>
      </c>
      <c r="CB69">
        <f>IF(CB$4=0,0,IF(COUNTIFS(実績!$W$6:$W$505,CB$3,実績!$AC$6:$AC$505,"&lt;="&amp;$A69,実績!$AD$6:$AD$505,"&gt;"&amp;$A69,実績!$AE$6:$AE$505,"○")&gt;0,1,0))</f>
        <v/>
      </c>
      <c r="CC69">
        <f>IF(CC$4=0,0,IF(COUNTIFS(実績!$W$6:$W$505,CC$3,実績!$AC$6:$AC$505,"&lt;="&amp;$A69,実績!$AD$6:$AD$505,"&gt;"&amp;$A69,実績!$AE$6:$AE$505,"○")&gt;0,1,0))</f>
        <v/>
      </c>
      <c r="CD69">
        <f>IF(CD$4=0,0,IF(COUNTIFS(実績!$W$6:$W$505,CD$3,実績!$AC$6:$AC$505,"&lt;="&amp;$A69,実績!$AD$6:$AD$505,"&gt;"&amp;$A69,実績!$AE$6:$AE$505,"○")&gt;0,1,0))</f>
        <v/>
      </c>
      <c r="CE69">
        <f>IF(CE$4=0,0,IF(COUNTIFS(実績!$W$6:$W$505,CE$3,実績!$AC$6:$AC$505,"&lt;="&amp;$A69,実績!$AD$6:$AD$505,"&gt;"&amp;$A69,実績!$AE$6:$AE$505,"○")&gt;0,1,0))</f>
        <v/>
      </c>
      <c r="CF69">
        <f>IF(CF$4=0,0,IF(COUNTIFS(実績!$W$6:$W$505,CF$3,実績!$AC$6:$AC$505,"&lt;="&amp;$A69,実績!$AD$6:$AD$505,"&gt;"&amp;$A69,実績!$AE$6:$AE$505,"○")&gt;0,1,0))</f>
        <v/>
      </c>
      <c r="CG69">
        <f>IF(CG$4=0,0,IF(COUNTIFS(実績!$W$6:$W$505,CG$3,実績!$AC$6:$AC$505,"&lt;="&amp;$A69,実績!$AD$6:$AD$505,"&gt;"&amp;$A69,実績!$AE$6:$AE$505,"○")&gt;0,1,0))</f>
        <v/>
      </c>
      <c r="CH69">
        <f>IF(CH$4=0,0,IF(COUNTIFS(実績!$W$6:$W$505,CH$3,実績!$AC$6:$AC$505,"&lt;="&amp;$A69,実績!$AD$6:$AD$505,"&gt;"&amp;$A69,実績!$AE$6:$AE$505,"○")&gt;0,1,0))</f>
        <v/>
      </c>
      <c r="CI69">
        <f>IF(CI$4=0,0,IF(COUNTIFS(実績!$W$6:$W$505,CI$3,実績!$AC$6:$AC$505,"&lt;="&amp;$A69,実績!$AD$6:$AD$505,"&gt;"&amp;$A69,実績!$AE$6:$AE$505,"○")&gt;0,1,0))</f>
        <v/>
      </c>
      <c r="CJ69">
        <f>IF(CJ$4=0,0,IF(COUNTIFS(実績!$W$6:$W$505,CJ$3,実績!$AC$6:$AC$505,"&lt;="&amp;$A69,実績!$AD$6:$AD$505,"&gt;"&amp;$A69,実績!$AE$6:$AE$505,"○")&gt;0,1,0))</f>
        <v/>
      </c>
      <c r="CK69">
        <f>IF(CK$4=0,0,IF(COUNTIFS(実績!$W$6:$W$505,CK$3,実績!$AC$6:$AC$505,"&lt;="&amp;$A69,実績!$AD$6:$AD$505,"&gt;"&amp;$A69,実績!$AE$6:$AE$505,"○")&gt;0,1,0))</f>
        <v/>
      </c>
      <c r="CL69">
        <f>IF(CL$4=0,0,IF(COUNTIFS(実績!$W$6:$W$505,CL$3,実績!$AC$6:$AC$505,"&lt;="&amp;$A69,実績!$AD$6:$AD$505,"&gt;"&amp;$A69,実績!$AE$6:$AE$505,"○")&gt;0,1,0))</f>
        <v/>
      </c>
      <c r="CM69">
        <f>IF(CM$4=0,0,IF(COUNTIFS(実績!$W$6:$W$505,CM$3,実績!$AC$6:$AC$505,"&lt;="&amp;$A69,実績!$AD$6:$AD$505,"&gt;"&amp;$A69,実績!$AE$6:$AE$505,"○")&gt;0,1,0))</f>
        <v/>
      </c>
      <c r="CN69">
        <f>IF(CN$4=0,0,IF(COUNTIFS(実績!$W$6:$W$505,CN$3,実績!$AC$6:$AC$505,"&lt;="&amp;$A69,実績!$AD$6:$AD$505,"&gt;"&amp;$A69,実績!$AE$6:$AE$505,"○")&gt;0,1,0))</f>
        <v/>
      </c>
      <c r="CO69">
        <f>IF(CO$4=0,0,IF(COUNTIFS(実績!$W$6:$W$505,CO$3,実績!$AC$6:$AC$505,"&lt;="&amp;$A69,実績!$AD$6:$AD$505,"&gt;"&amp;$A69,実績!$AE$6:$AE$505,"○")&gt;0,1,0))</f>
        <v/>
      </c>
      <c r="CP69">
        <f>IF(CP$4=0,0,IF(COUNTIFS(実績!$W$6:$W$505,CP$3,実績!$AC$6:$AC$505,"&lt;="&amp;$A69,実績!$AD$6:$AD$505,"&gt;"&amp;$A69,実績!$AE$6:$AE$505,"○")&gt;0,1,0))</f>
        <v/>
      </c>
      <c r="CQ69">
        <f>IF(CQ$4=0,0,IF(COUNTIFS(実績!$W$6:$W$505,CQ$3,実績!$AC$6:$AC$505,"&lt;="&amp;$A69,実績!$AD$6:$AD$505,"&gt;"&amp;$A69,実績!$AE$6:$AE$505,"○")&gt;0,1,0))</f>
        <v/>
      </c>
      <c r="CR69">
        <f>IF(CR$4=0,0,IF(COUNTIFS(実績!$W$6:$W$505,CR$3,実績!$AC$6:$AC$505,"&lt;="&amp;$A69,実績!$AD$6:$AD$505,"&gt;"&amp;$A69,実績!$AE$6:$AE$505,"○")&gt;0,1,0))</f>
        <v/>
      </c>
      <c r="CS69">
        <f>IF(CS$4=0,0,IF(COUNTIFS(実績!$W$6:$W$505,CS$3,実績!$AC$6:$AC$505,"&lt;="&amp;$A69,実績!$AD$6:$AD$505,"&gt;"&amp;$A69,実績!$AE$6:$AE$505,"○")&gt;0,1,0))</f>
        <v/>
      </c>
      <c r="CT69">
        <f>IF(CT$4=0,0,IF(COUNTIFS(実績!$W$6:$W$505,CT$3,実績!$AC$6:$AC$505,"&lt;="&amp;$A69,実績!$AD$6:$AD$505,"&gt;"&amp;$A69,実績!$AE$6:$AE$505,"○")&gt;0,1,0))</f>
        <v/>
      </c>
      <c r="CU69">
        <f>IF(CU$4=0,0,IF(COUNTIFS(実績!$W$6:$W$505,CU$3,実績!$AC$6:$AC$505,"&lt;="&amp;$A69,実績!$AD$6:$AD$505,"&gt;"&amp;$A69,実績!$AE$6:$AE$505,"○")&gt;0,1,0))</f>
        <v/>
      </c>
      <c r="CV69">
        <f>IF(CV$4=0,0,IF(COUNTIFS(実績!$W$6:$W$505,CV$3,実績!$AC$6:$AC$505,"&lt;="&amp;$A69,実績!$AD$6:$AD$505,"&gt;"&amp;$A69,実績!$AE$6:$AE$505,"○")&gt;0,1,0))</f>
        <v/>
      </c>
      <c r="CW69">
        <f>IF(CW$4=0,0,IF(COUNTIFS(実績!$W$6:$W$505,CW$3,実績!$AC$6:$AC$505,"&lt;="&amp;$A69,実績!$AD$6:$AD$505,"&gt;"&amp;$A69,実績!$AE$6:$AE$505,"○")&gt;0,1,0))</f>
        <v/>
      </c>
      <c r="CX69">
        <f>IF(CX$4=0,0,IF(COUNTIFS(実績!$W$6:$W$505,CX$3,実績!$AC$6:$AC$505,"&lt;="&amp;$A69,実績!$AD$6:$AD$505,"&gt;"&amp;$A69,実績!$AE$6:$AE$505,"○")&gt;0,1,0))</f>
        <v/>
      </c>
      <c r="CY69">
        <f>IF(CY$4=0,0,IF(COUNTIFS(実績!$W$6:$W$505,CY$3,実績!$AC$6:$AC$505,"&lt;="&amp;$A69,実績!$AD$6:$AD$505,"&gt;"&amp;$A69,実績!$AE$6:$AE$505,"○")&gt;0,1,0))</f>
        <v/>
      </c>
      <c r="CZ69">
        <f>IF(CZ$4=0,0,IF(COUNTIFS(実績!$W$6:$W$505,CZ$3,実績!$AC$6:$AC$505,"&lt;="&amp;$A69,実績!$AD$6:$AD$505,"&gt;"&amp;$A69,実績!$AE$6:$AE$505,"○")&gt;0,1,0))</f>
        <v/>
      </c>
      <c r="DA69">
        <f>IF(DA$4=0,0,IF(COUNTIFS(実績!$W$6:$W$505,DA$3,実績!$AC$6:$AC$505,"&lt;="&amp;$A69,実績!$AD$6:$AD$505,"&gt;"&amp;$A69,実績!$AE$6:$AE$505,"○")&gt;0,1,0))</f>
        <v/>
      </c>
      <c r="DB69">
        <f>IF(DB$4=0,0,IF(COUNTIFS(実績!$W$6:$W$505,DB$3,実績!$AC$6:$AC$505,"&lt;="&amp;$A69,実績!$AD$6:$AD$505,"&gt;"&amp;$A69,実績!$AE$6:$AE$505,"○")&gt;0,1,0))</f>
        <v/>
      </c>
      <c r="DC69">
        <f>IF(DC$4=0,0,IF(COUNTIFS(実績!$W$6:$W$505,DC$3,実績!$AC$6:$AC$505,"&lt;="&amp;$A69,実績!$AD$6:$AD$505,"&gt;"&amp;$A69,実績!$AE$6:$AE$505,"○")&gt;0,1,0))</f>
        <v/>
      </c>
      <c r="DD69">
        <f>IF(DD$4=0,0,IF(COUNTIFS(実績!$W$6:$W$505,DD$3,実績!$AC$6:$AC$505,"&lt;="&amp;$A69,実績!$AD$6:$AD$505,"&gt;"&amp;$A69,実績!$AE$6:$AE$505,"○")&gt;0,1,0))</f>
        <v/>
      </c>
      <c r="DE69">
        <f>IF(DE$4=0,0,IF(COUNTIFS(実績!$W$6:$W$505,DE$3,実績!$AC$6:$AC$505,"&lt;="&amp;$A69,実績!$AD$6:$AD$505,"&gt;"&amp;$A69,実績!$AE$6:$AE$505,"○")&gt;0,1,0))</f>
        <v/>
      </c>
      <c r="DF69">
        <f>IF(DF$4=0,0,IF(COUNTIFS(実績!$W$6:$W$505,DF$3,実績!$AC$6:$AC$505,"&lt;="&amp;$A69,実績!$AD$6:$AD$505,"&gt;"&amp;$A69,実績!$AE$6:$AE$505,"○")&gt;0,1,0))</f>
        <v/>
      </c>
      <c r="DG69">
        <f>IF(DG$4=0,0,IF(COUNTIFS(実績!$W$6:$W$505,DG$3,実績!$AC$6:$AC$505,"&lt;="&amp;$A69,実績!$AD$6:$AD$505,"&gt;"&amp;$A69,実績!$AE$6:$AE$505,"○")&gt;0,1,0))</f>
        <v/>
      </c>
      <c r="DH69">
        <f>IF(DH$4=0,0,IF(COUNTIFS(実績!$W$6:$W$505,DH$3,実績!$AC$6:$AC$505,"&lt;="&amp;$A69,実績!$AD$6:$AD$505,"&gt;"&amp;$A69,実績!$AE$6:$AE$505,"○")&gt;0,1,0))</f>
        <v/>
      </c>
      <c r="DI69">
        <f>IF(DI$4=0,0,IF(COUNTIFS(実績!$W$6:$W$505,DI$3,実績!$AC$6:$AC$505,"&lt;="&amp;$A69,実績!$AD$6:$AD$505,"&gt;"&amp;$A69,実績!$AE$6:$AE$505,"○")&gt;0,1,0))</f>
        <v/>
      </c>
      <c r="DJ69">
        <f>IF(DJ$4=0,0,IF(COUNTIFS(実績!$W$6:$W$505,DJ$3,実績!$AC$6:$AC$505,"&lt;="&amp;$A69,実績!$AD$6:$AD$505,"&gt;"&amp;$A69,実績!$AE$6:$AE$505,"○")&gt;0,1,0))</f>
        <v/>
      </c>
      <c r="DK69">
        <f>IF(DK$4=0,0,IF(COUNTIFS(実績!$W$6:$W$505,DK$3,実績!$AC$6:$AC$505,"&lt;="&amp;$A69,実績!$AD$6:$AD$505,"&gt;"&amp;$A69,実績!$AE$6:$AE$505,"○")&gt;0,1,0))</f>
        <v/>
      </c>
      <c r="DL69">
        <f>IF(DL$4=0,0,IF(COUNTIFS(実績!$W$6:$W$505,DL$3,実績!$AC$6:$AC$505,"&lt;="&amp;$A69,実績!$AD$6:$AD$505,"&gt;"&amp;$A69,実績!$AE$6:$AE$505,"○")&gt;0,1,0))</f>
        <v/>
      </c>
      <c r="DM69">
        <f>IF(DM$4=0,0,IF(COUNTIFS(実績!$W$6:$W$505,DM$3,実績!$AC$6:$AC$505,"&lt;="&amp;$A69,実績!$AD$6:$AD$505,"&gt;"&amp;$A69,実績!$AE$6:$AE$505,"○")&gt;0,1,0))</f>
        <v/>
      </c>
      <c r="DN69">
        <f>IF(DN$4=0,0,IF(COUNTIFS(実績!$W$6:$W$505,DN$3,実績!$AC$6:$AC$505,"&lt;="&amp;$A69,実績!$AD$6:$AD$505,"&gt;"&amp;$A69,実績!$AE$6:$AE$505,"○")&gt;0,1,0))</f>
        <v/>
      </c>
      <c r="DO69">
        <f>IF(DO$4=0,0,IF(COUNTIFS(実績!$W$6:$W$505,DO$3,実績!$AC$6:$AC$505,"&lt;="&amp;$A69,実績!$AD$6:$AD$505,"&gt;"&amp;$A69,実績!$AE$6:$AE$505,"○")&gt;0,1,0))</f>
        <v/>
      </c>
      <c r="DP69">
        <f>IF(DP$4=0,0,IF(COUNTIFS(実績!$W$6:$W$505,DP$3,実績!$AC$6:$AC$505,"&lt;="&amp;$A69,実績!$AD$6:$AD$505,"&gt;"&amp;$A69,実績!$AE$6:$AE$505,"○")&gt;0,1,0))</f>
        <v/>
      </c>
      <c r="DQ69">
        <f>IF(DQ$4=0,0,IF(COUNTIFS(実績!$W$6:$W$505,DQ$3,実績!$AC$6:$AC$505,"&lt;="&amp;$A69,実績!$AD$6:$AD$505,"&gt;"&amp;$A69,実績!$AE$6:$AE$505,"○")&gt;0,1,0))</f>
        <v/>
      </c>
      <c r="DR69">
        <f>IF(DR$4=0,0,IF(COUNTIFS(実績!$W$6:$W$505,DR$3,実績!$AC$6:$AC$505,"&lt;="&amp;$A69,実績!$AD$6:$AD$505,"&gt;"&amp;$A69,実績!$AE$6:$AE$505,"○")&gt;0,1,0))</f>
        <v/>
      </c>
      <c r="DS69">
        <f>SUM(C69:DR69)</f>
        <v/>
      </c>
      <c r="DT69">
        <f>SUMPRODUCT((実績!$C$6:$C$505="○")*ISNUMBER(実績!$AF$6:$AF$505)*(実績!$AF$6:$AF$505&lt;=$A69)*(実績!$AG$6:$AG$505&gt;$A69))</f>
        <v/>
      </c>
      <c r="DU69">
        <f>SUMIF($C$2:$DR$2,"製鉄曳船",C69:DR69)</f>
        <v/>
      </c>
      <c r="DV69">
        <f>SUMIF($C$2:$DR$2,"西日本海運",C69:DR69)</f>
        <v/>
      </c>
    </row>
    <row r="70">
      <c r="A70" t="n">
        <v>320</v>
      </c>
      <c r="B70" s="29">
        <f>A70/1440</f>
        <v/>
      </c>
      <c r="C70">
        <f>IF(C$4=0,0,IF(COUNTIFS(実績!$W$6:$W$505,C$3,実績!$AC$6:$AC$505,"&lt;="&amp;$A70,実績!$AD$6:$AD$505,"&gt;"&amp;$A70,実績!$AE$6:$AE$505,"○")&gt;0,1,0))</f>
        <v/>
      </c>
      <c r="D70">
        <f>IF(D$4=0,0,IF(COUNTIFS(実績!$W$6:$W$505,D$3,実績!$AC$6:$AC$505,"&lt;="&amp;$A70,実績!$AD$6:$AD$505,"&gt;"&amp;$A70,実績!$AE$6:$AE$505,"○")&gt;0,1,0))</f>
        <v/>
      </c>
      <c r="E70">
        <f>IF(E$4=0,0,IF(COUNTIFS(実績!$W$6:$W$505,E$3,実績!$AC$6:$AC$505,"&lt;="&amp;$A70,実績!$AD$6:$AD$505,"&gt;"&amp;$A70,実績!$AE$6:$AE$505,"○")&gt;0,1,0))</f>
        <v/>
      </c>
      <c r="F70">
        <f>IF(F$4=0,0,IF(COUNTIFS(実績!$W$6:$W$505,F$3,実績!$AC$6:$AC$505,"&lt;="&amp;$A70,実績!$AD$6:$AD$505,"&gt;"&amp;$A70,実績!$AE$6:$AE$505,"○")&gt;0,1,0))</f>
        <v/>
      </c>
      <c r="G70">
        <f>IF(G$4=0,0,IF(COUNTIFS(実績!$W$6:$W$505,G$3,実績!$AC$6:$AC$505,"&lt;="&amp;$A70,実績!$AD$6:$AD$505,"&gt;"&amp;$A70,実績!$AE$6:$AE$505,"○")&gt;0,1,0))</f>
        <v/>
      </c>
      <c r="H70">
        <f>IF(H$4=0,0,IF(COUNTIFS(実績!$W$6:$W$505,H$3,実績!$AC$6:$AC$505,"&lt;="&amp;$A70,実績!$AD$6:$AD$505,"&gt;"&amp;$A70,実績!$AE$6:$AE$505,"○")&gt;0,1,0))</f>
        <v/>
      </c>
      <c r="I70">
        <f>IF(I$4=0,0,IF(COUNTIFS(実績!$W$6:$W$505,I$3,実績!$AC$6:$AC$505,"&lt;="&amp;$A70,実績!$AD$6:$AD$505,"&gt;"&amp;$A70,実績!$AE$6:$AE$505,"○")&gt;0,1,0))</f>
        <v/>
      </c>
      <c r="J70">
        <f>IF(J$4=0,0,IF(COUNTIFS(実績!$W$6:$W$505,J$3,実績!$AC$6:$AC$505,"&lt;="&amp;$A70,実績!$AD$6:$AD$505,"&gt;"&amp;$A70,実績!$AE$6:$AE$505,"○")&gt;0,1,0))</f>
        <v/>
      </c>
      <c r="K70">
        <f>IF(K$4=0,0,IF(COUNTIFS(実績!$W$6:$W$505,K$3,実績!$AC$6:$AC$505,"&lt;="&amp;$A70,実績!$AD$6:$AD$505,"&gt;"&amp;$A70,実績!$AE$6:$AE$505,"○")&gt;0,1,0))</f>
        <v/>
      </c>
      <c r="L70">
        <f>IF(L$4=0,0,IF(COUNTIFS(実績!$W$6:$W$505,L$3,実績!$AC$6:$AC$505,"&lt;="&amp;$A70,実績!$AD$6:$AD$505,"&gt;"&amp;$A70,実績!$AE$6:$AE$505,"○")&gt;0,1,0))</f>
        <v/>
      </c>
      <c r="M70">
        <f>IF(M$4=0,0,IF(COUNTIFS(実績!$W$6:$W$505,M$3,実績!$AC$6:$AC$505,"&lt;="&amp;$A70,実績!$AD$6:$AD$505,"&gt;"&amp;$A70,実績!$AE$6:$AE$505,"○")&gt;0,1,0))</f>
        <v/>
      </c>
      <c r="N70">
        <f>IF(N$4=0,0,IF(COUNTIFS(実績!$W$6:$W$505,N$3,実績!$AC$6:$AC$505,"&lt;="&amp;$A70,実績!$AD$6:$AD$505,"&gt;"&amp;$A70,実績!$AE$6:$AE$505,"○")&gt;0,1,0))</f>
        <v/>
      </c>
      <c r="O70">
        <f>IF(O$4=0,0,IF(COUNTIFS(実績!$W$6:$W$505,O$3,実績!$AC$6:$AC$505,"&lt;="&amp;$A70,実績!$AD$6:$AD$505,"&gt;"&amp;$A70,実績!$AE$6:$AE$505,"○")&gt;0,1,0))</f>
        <v/>
      </c>
      <c r="P70">
        <f>IF(P$4=0,0,IF(COUNTIFS(実績!$W$6:$W$505,P$3,実績!$AC$6:$AC$505,"&lt;="&amp;$A70,実績!$AD$6:$AD$505,"&gt;"&amp;$A70,実績!$AE$6:$AE$505,"○")&gt;0,1,0))</f>
        <v/>
      </c>
      <c r="Q70">
        <f>IF(Q$4=0,0,IF(COUNTIFS(実績!$W$6:$W$505,Q$3,実績!$AC$6:$AC$505,"&lt;="&amp;$A70,実績!$AD$6:$AD$505,"&gt;"&amp;$A70,実績!$AE$6:$AE$505,"○")&gt;0,1,0))</f>
        <v/>
      </c>
      <c r="R70">
        <f>IF(R$4=0,0,IF(COUNTIFS(実績!$W$6:$W$505,R$3,実績!$AC$6:$AC$505,"&lt;="&amp;$A70,実績!$AD$6:$AD$505,"&gt;"&amp;$A70,実績!$AE$6:$AE$505,"○")&gt;0,1,0))</f>
        <v/>
      </c>
      <c r="S70">
        <f>IF(S$4=0,0,IF(COUNTIFS(実績!$W$6:$W$505,S$3,実績!$AC$6:$AC$505,"&lt;="&amp;$A70,実績!$AD$6:$AD$505,"&gt;"&amp;$A70,実績!$AE$6:$AE$505,"○")&gt;0,1,0))</f>
        <v/>
      </c>
      <c r="T70">
        <f>IF(T$4=0,0,IF(COUNTIFS(実績!$W$6:$W$505,T$3,実績!$AC$6:$AC$505,"&lt;="&amp;$A70,実績!$AD$6:$AD$505,"&gt;"&amp;$A70,実績!$AE$6:$AE$505,"○")&gt;0,1,0))</f>
        <v/>
      </c>
      <c r="U70">
        <f>IF(U$4=0,0,IF(COUNTIFS(実績!$W$6:$W$505,U$3,実績!$AC$6:$AC$505,"&lt;="&amp;$A70,実績!$AD$6:$AD$505,"&gt;"&amp;$A70,実績!$AE$6:$AE$505,"○")&gt;0,1,0))</f>
        <v/>
      </c>
      <c r="V70">
        <f>IF(V$4=0,0,IF(COUNTIFS(実績!$W$6:$W$505,V$3,実績!$AC$6:$AC$505,"&lt;="&amp;$A70,実績!$AD$6:$AD$505,"&gt;"&amp;$A70,実績!$AE$6:$AE$505,"○")&gt;0,1,0))</f>
        <v/>
      </c>
      <c r="W70">
        <f>IF(W$4=0,0,IF(COUNTIFS(実績!$W$6:$W$505,W$3,実績!$AC$6:$AC$505,"&lt;="&amp;$A70,実績!$AD$6:$AD$505,"&gt;"&amp;$A70,実績!$AE$6:$AE$505,"○")&gt;0,1,0))</f>
        <v/>
      </c>
      <c r="X70">
        <f>IF(X$4=0,0,IF(COUNTIFS(実績!$W$6:$W$505,X$3,実績!$AC$6:$AC$505,"&lt;="&amp;$A70,実績!$AD$6:$AD$505,"&gt;"&amp;$A70,実績!$AE$6:$AE$505,"○")&gt;0,1,0))</f>
        <v/>
      </c>
      <c r="Y70">
        <f>IF(Y$4=0,0,IF(COUNTIFS(実績!$W$6:$W$505,Y$3,実績!$AC$6:$AC$505,"&lt;="&amp;$A70,実績!$AD$6:$AD$505,"&gt;"&amp;$A70,実績!$AE$6:$AE$505,"○")&gt;0,1,0))</f>
        <v/>
      </c>
      <c r="Z70">
        <f>IF(Z$4=0,0,IF(COUNTIFS(実績!$W$6:$W$505,Z$3,実績!$AC$6:$AC$505,"&lt;="&amp;$A70,実績!$AD$6:$AD$505,"&gt;"&amp;$A70,実績!$AE$6:$AE$505,"○")&gt;0,1,0))</f>
        <v/>
      </c>
      <c r="AA70">
        <f>IF(AA$4=0,0,IF(COUNTIFS(実績!$W$6:$W$505,AA$3,実績!$AC$6:$AC$505,"&lt;="&amp;$A70,実績!$AD$6:$AD$505,"&gt;"&amp;$A70,実績!$AE$6:$AE$505,"○")&gt;0,1,0))</f>
        <v/>
      </c>
      <c r="AB70">
        <f>IF(AB$4=0,0,IF(COUNTIFS(実績!$W$6:$W$505,AB$3,実績!$AC$6:$AC$505,"&lt;="&amp;$A70,実績!$AD$6:$AD$505,"&gt;"&amp;$A70,実績!$AE$6:$AE$505,"○")&gt;0,1,0))</f>
        <v/>
      </c>
      <c r="AC70">
        <f>IF(AC$4=0,0,IF(COUNTIFS(実績!$W$6:$W$505,AC$3,実績!$AC$6:$AC$505,"&lt;="&amp;$A70,実績!$AD$6:$AD$505,"&gt;"&amp;$A70,実績!$AE$6:$AE$505,"○")&gt;0,1,0))</f>
        <v/>
      </c>
      <c r="AD70">
        <f>IF(AD$4=0,0,IF(COUNTIFS(実績!$W$6:$W$505,AD$3,実績!$AC$6:$AC$505,"&lt;="&amp;$A70,実績!$AD$6:$AD$505,"&gt;"&amp;$A70,実績!$AE$6:$AE$505,"○")&gt;0,1,0))</f>
        <v/>
      </c>
      <c r="AE70">
        <f>IF(AE$4=0,0,IF(COUNTIFS(実績!$W$6:$W$505,AE$3,実績!$AC$6:$AC$505,"&lt;="&amp;$A70,実績!$AD$6:$AD$505,"&gt;"&amp;$A70,実績!$AE$6:$AE$505,"○")&gt;0,1,0))</f>
        <v/>
      </c>
      <c r="AF70">
        <f>IF(AF$4=0,0,IF(COUNTIFS(実績!$W$6:$W$505,AF$3,実績!$AC$6:$AC$505,"&lt;="&amp;$A70,実績!$AD$6:$AD$505,"&gt;"&amp;$A70,実績!$AE$6:$AE$505,"○")&gt;0,1,0))</f>
        <v/>
      </c>
      <c r="AG70">
        <f>IF(AG$4=0,0,IF(COUNTIFS(実績!$W$6:$W$505,AG$3,実績!$AC$6:$AC$505,"&lt;="&amp;$A70,実績!$AD$6:$AD$505,"&gt;"&amp;$A70,実績!$AE$6:$AE$505,"○")&gt;0,1,0))</f>
        <v/>
      </c>
      <c r="AH70">
        <f>IF(AH$4=0,0,IF(COUNTIFS(実績!$W$6:$W$505,AH$3,実績!$AC$6:$AC$505,"&lt;="&amp;$A70,実績!$AD$6:$AD$505,"&gt;"&amp;$A70,実績!$AE$6:$AE$505,"○")&gt;0,1,0))</f>
        <v/>
      </c>
      <c r="AI70">
        <f>IF(AI$4=0,0,IF(COUNTIFS(実績!$W$6:$W$505,AI$3,実績!$AC$6:$AC$505,"&lt;="&amp;$A70,実績!$AD$6:$AD$505,"&gt;"&amp;$A70,実績!$AE$6:$AE$505,"○")&gt;0,1,0))</f>
        <v/>
      </c>
      <c r="AJ70">
        <f>IF(AJ$4=0,0,IF(COUNTIFS(実績!$W$6:$W$505,AJ$3,実績!$AC$6:$AC$505,"&lt;="&amp;$A70,実績!$AD$6:$AD$505,"&gt;"&amp;$A70,実績!$AE$6:$AE$505,"○")&gt;0,1,0))</f>
        <v/>
      </c>
      <c r="AK70">
        <f>IF(AK$4=0,0,IF(COUNTIFS(実績!$W$6:$W$505,AK$3,実績!$AC$6:$AC$505,"&lt;="&amp;$A70,実績!$AD$6:$AD$505,"&gt;"&amp;$A70,実績!$AE$6:$AE$505,"○")&gt;0,1,0))</f>
        <v/>
      </c>
      <c r="AL70">
        <f>IF(AL$4=0,0,IF(COUNTIFS(実績!$W$6:$W$505,AL$3,実績!$AC$6:$AC$505,"&lt;="&amp;$A70,実績!$AD$6:$AD$505,"&gt;"&amp;$A70,実績!$AE$6:$AE$505,"○")&gt;0,1,0))</f>
        <v/>
      </c>
      <c r="AM70">
        <f>IF(AM$4=0,0,IF(COUNTIFS(実績!$W$6:$W$505,AM$3,実績!$AC$6:$AC$505,"&lt;="&amp;$A70,実績!$AD$6:$AD$505,"&gt;"&amp;$A70,実績!$AE$6:$AE$505,"○")&gt;0,1,0))</f>
        <v/>
      </c>
      <c r="AN70">
        <f>IF(AN$4=0,0,IF(COUNTIFS(実績!$W$6:$W$505,AN$3,実績!$AC$6:$AC$505,"&lt;="&amp;$A70,実績!$AD$6:$AD$505,"&gt;"&amp;$A70,実績!$AE$6:$AE$505,"○")&gt;0,1,0))</f>
        <v/>
      </c>
      <c r="AO70">
        <f>IF(AO$4=0,0,IF(COUNTIFS(実績!$W$6:$W$505,AO$3,実績!$AC$6:$AC$505,"&lt;="&amp;$A70,実績!$AD$6:$AD$505,"&gt;"&amp;$A70,実績!$AE$6:$AE$505,"○")&gt;0,1,0))</f>
        <v/>
      </c>
      <c r="AP70">
        <f>IF(AP$4=0,0,IF(COUNTIFS(実績!$W$6:$W$505,AP$3,実績!$AC$6:$AC$505,"&lt;="&amp;$A70,実績!$AD$6:$AD$505,"&gt;"&amp;$A70,実績!$AE$6:$AE$505,"○")&gt;0,1,0))</f>
        <v/>
      </c>
      <c r="AQ70">
        <f>IF(AQ$4=0,0,IF(COUNTIFS(実績!$W$6:$W$505,AQ$3,実績!$AC$6:$AC$505,"&lt;="&amp;$A70,実績!$AD$6:$AD$505,"&gt;"&amp;$A70,実績!$AE$6:$AE$505,"○")&gt;0,1,0))</f>
        <v/>
      </c>
      <c r="AR70">
        <f>IF(AR$4=0,0,IF(COUNTIFS(実績!$W$6:$W$505,AR$3,実績!$AC$6:$AC$505,"&lt;="&amp;$A70,実績!$AD$6:$AD$505,"&gt;"&amp;$A70,実績!$AE$6:$AE$505,"○")&gt;0,1,0))</f>
        <v/>
      </c>
      <c r="AS70">
        <f>IF(AS$4=0,0,IF(COUNTIFS(実績!$W$6:$W$505,AS$3,実績!$AC$6:$AC$505,"&lt;="&amp;$A70,実績!$AD$6:$AD$505,"&gt;"&amp;$A70,実績!$AE$6:$AE$505,"○")&gt;0,1,0))</f>
        <v/>
      </c>
      <c r="AT70">
        <f>IF(AT$4=0,0,IF(COUNTIFS(実績!$W$6:$W$505,AT$3,実績!$AC$6:$AC$505,"&lt;="&amp;$A70,実績!$AD$6:$AD$505,"&gt;"&amp;$A70,実績!$AE$6:$AE$505,"○")&gt;0,1,0))</f>
        <v/>
      </c>
      <c r="AU70">
        <f>IF(AU$4=0,0,IF(COUNTIFS(実績!$W$6:$W$505,AU$3,実績!$AC$6:$AC$505,"&lt;="&amp;$A70,実績!$AD$6:$AD$505,"&gt;"&amp;$A70,実績!$AE$6:$AE$505,"○")&gt;0,1,0))</f>
        <v/>
      </c>
      <c r="AV70">
        <f>IF(AV$4=0,0,IF(COUNTIFS(実績!$W$6:$W$505,AV$3,実績!$AC$6:$AC$505,"&lt;="&amp;$A70,実績!$AD$6:$AD$505,"&gt;"&amp;$A70,実績!$AE$6:$AE$505,"○")&gt;0,1,0))</f>
        <v/>
      </c>
      <c r="AW70">
        <f>IF(AW$4=0,0,IF(COUNTIFS(実績!$W$6:$W$505,AW$3,実績!$AC$6:$AC$505,"&lt;="&amp;$A70,実績!$AD$6:$AD$505,"&gt;"&amp;$A70,実績!$AE$6:$AE$505,"○")&gt;0,1,0))</f>
        <v/>
      </c>
      <c r="AX70">
        <f>IF(AX$4=0,0,IF(COUNTIFS(実績!$W$6:$W$505,AX$3,実績!$AC$6:$AC$505,"&lt;="&amp;$A70,実績!$AD$6:$AD$505,"&gt;"&amp;$A70,実績!$AE$6:$AE$505,"○")&gt;0,1,0))</f>
        <v/>
      </c>
      <c r="AY70">
        <f>IF(AY$4=0,0,IF(COUNTIFS(実績!$W$6:$W$505,AY$3,実績!$AC$6:$AC$505,"&lt;="&amp;$A70,実績!$AD$6:$AD$505,"&gt;"&amp;$A70,実績!$AE$6:$AE$505,"○")&gt;0,1,0))</f>
        <v/>
      </c>
      <c r="AZ70">
        <f>IF(AZ$4=0,0,IF(COUNTIFS(実績!$W$6:$W$505,AZ$3,実績!$AC$6:$AC$505,"&lt;="&amp;$A70,実績!$AD$6:$AD$505,"&gt;"&amp;$A70,実績!$AE$6:$AE$505,"○")&gt;0,1,0))</f>
        <v/>
      </c>
      <c r="BA70">
        <f>IF(BA$4=0,0,IF(COUNTIFS(実績!$W$6:$W$505,BA$3,実績!$AC$6:$AC$505,"&lt;="&amp;$A70,実績!$AD$6:$AD$505,"&gt;"&amp;$A70,実績!$AE$6:$AE$505,"○")&gt;0,1,0))</f>
        <v/>
      </c>
      <c r="BB70">
        <f>IF(BB$4=0,0,IF(COUNTIFS(実績!$W$6:$W$505,BB$3,実績!$AC$6:$AC$505,"&lt;="&amp;$A70,実績!$AD$6:$AD$505,"&gt;"&amp;$A70,実績!$AE$6:$AE$505,"○")&gt;0,1,0))</f>
        <v/>
      </c>
      <c r="BC70">
        <f>IF(BC$4=0,0,IF(COUNTIFS(実績!$W$6:$W$505,BC$3,実績!$AC$6:$AC$505,"&lt;="&amp;$A70,実績!$AD$6:$AD$505,"&gt;"&amp;$A70,実績!$AE$6:$AE$505,"○")&gt;0,1,0))</f>
        <v/>
      </c>
      <c r="BD70">
        <f>IF(BD$4=0,0,IF(COUNTIFS(実績!$W$6:$W$505,BD$3,実績!$AC$6:$AC$505,"&lt;="&amp;$A70,実績!$AD$6:$AD$505,"&gt;"&amp;$A70,実績!$AE$6:$AE$505,"○")&gt;0,1,0))</f>
        <v/>
      </c>
      <c r="BE70">
        <f>IF(BE$4=0,0,IF(COUNTIFS(実績!$W$6:$W$505,BE$3,実績!$AC$6:$AC$505,"&lt;="&amp;$A70,実績!$AD$6:$AD$505,"&gt;"&amp;$A70,実績!$AE$6:$AE$505,"○")&gt;0,1,0))</f>
        <v/>
      </c>
      <c r="BF70">
        <f>IF(BF$4=0,0,IF(COUNTIFS(実績!$W$6:$W$505,BF$3,実績!$AC$6:$AC$505,"&lt;="&amp;$A70,実績!$AD$6:$AD$505,"&gt;"&amp;$A70,実績!$AE$6:$AE$505,"○")&gt;0,1,0))</f>
        <v/>
      </c>
      <c r="BG70">
        <f>IF(BG$4=0,0,IF(COUNTIFS(実績!$W$6:$W$505,BG$3,実績!$AC$6:$AC$505,"&lt;="&amp;$A70,実績!$AD$6:$AD$505,"&gt;"&amp;$A70,実績!$AE$6:$AE$505,"○")&gt;0,1,0))</f>
        <v/>
      </c>
      <c r="BH70">
        <f>IF(BH$4=0,0,IF(COUNTIFS(実績!$W$6:$W$505,BH$3,実績!$AC$6:$AC$505,"&lt;="&amp;$A70,実績!$AD$6:$AD$505,"&gt;"&amp;$A70,実績!$AE$6:$AE$505,"○")&gt;0,1,0))</f>
        <v/>
      </c>
      <c r="BI70">
        <f>IF(BI$4=0,0,IF(COUNTIFS(実績!$W$6:$W$505,BI$3,実績!$AC$6:$AC$505,"&lt;="&amp;$A70,実績!$AD$6:$AD$505,"&gt;"&amp;$A70,実績!$AE$6:$AE$505,"○")&gt;0,1,0))</f>
        <v/>
      </c>
      <c r="BJ70">
        <f>IF(BJ$4=0,0,IF(COUNTIFS(実績!$W$6:$W$505,BJ$3,実績!$AC$6:$AC$505,"&lt;="&amp;$A70,実績!$AD$6:$AD$505,"&gt;"&amp;$A70,実績!$AE$6:$AE$505,"○")&gt;0,1,0))</f>
        <v/>
      </c>
      <c r="BK70">
        <f>IF(BK$4=0,0,IF(COUNTIFS(実績!$W$6:$W$505,BK$3,実績!$AC$6:$AC$505,"&lt;="&amp;$A70,実績!$AD$6:$AD$505,"&gt;"&amp;$A70,実績!$AE$6:$AE$505,"○")&gt;0,1,0))</f>
        <v/>
      </c>
      <c r="BL70">
        <f>IF(BL$4=0,0,IF(COUNTIFS(実績!$W$6:$W$505,BL$3,実績!$AC$6:$AC$505,"&lt;="&amp;$A70,実績!$AD$6:$AD$505,"&gt;"&amp;$A70,実績!$AE$6:$AE$505,"○")&gt;0,1,0))</f>
        <v/>
      </c>
      <c r="BM70">
        <f>IF(BM$4=0,0,IF(COUNTIFS(実績!$W$6:$W$505,BM$3,実績!$AC$6:$AC$505,"&lt;="&amp;$A70,実績!$AD$6:$AD$505,"&gt;"&amp;$A70,実績!$AE$6:$AE$505,"○")&gt;0,1,0))</f>
        <v/>
      </c>
      <c r="BN70">
        <f>IF(BN$4=0,0,IF(COUNTIFS(実績!$W$6:$W$505,BN$3,実績!$AC$6:$AC$505,"&lt;="&amp;$A70,実績!$AD$6:$AD$505,"&gt;"&amp;$A70,実績!$AE$6:$AE$505,"○")&gt;0,1,0))</f>
        <v/>
      </c>
      <c r="BO70">
        <f>IF(BO$4=0,0,IF(COUNTIFS(実績!$W$6:$W$505,BO$3,実績!$AC$6:$AC$505,"&lt;="&amp;$A70,実績!$AD$6:$AD$505,"&gt;"&amp;$A70,実績!$AE$6:$AE$505,"○")&gt;0,1,0))</f>
        <v/>
      </c>
      <c r="BP70">
        <f>IF(BP$4=0,0,IF(COUNTIFS(実績!$W$6:$W$505,BP$3,実績!$AC$6:$AC$505,"&lt;="&amp;$A70,実績!$AD$6:$AD$505,"&gt;"&amp;$A70,実績!$AE$6:$AE$505,"○")&gt;0,1,0))</f>
        <v/>
      </c>
      <c r="BQ70">
        <f>IF(BQ$4=0,0,IF(COUNTIFS(実績!$W$6:$W$505,BQ$3,実績!$AC$6:$AC$505,"&lt;="&amp;$A70,実績!$AD$6:$AD$505,"&gt;"&amp;$A70,実績!$AE$6:$AE$505,"○")&gt;0,1,0))</f>
        <v/>
      </c>
      <c r="BR70">
        <f>IF(BR$4=0,0,IF(COUNTIFS(実績!$W$6:$W$505,BR$3,実績!$AC$6:$AC$505,"&lt;="&amp;$A70,実績!$AD$6:$AD$505,"&gt;"&amp;$A70,実績!$AE$6:$AE$505,"○")&gt;0,1,0))</f>
        <v/>
      </c>
      <c r="BS70">
        <f>IF(BS$4=0,0,IF(COUNTIFS(実績!$W$6:$W$505,BS$3,実績!$AC$6:$AC$505,"&lt;="&amp;$A70,実績!$AD$6:$AD$505,"&gt;"&amp;$A70,実績!$AE$6:$AE$505,"○")&gt;0,1,0))</f>
        <v/>
      </c>
      <c r="BT70">
        <f>IF(BT$4=0,0,IF(COUNTIFS(実績!$W$6:$W$505,BT$3,実績!$AC$6:$AC$505,"&lt;="&amp;$A70,実績!$AD$6:$AD$505,"&gt;"&amp;$A70,実績!$AE$6:$AE$505,"○")&gt;0,1,0))</f>
        <v/>
      </c>
      <c r="BU70">
        <f>IF(BU$4=0,0,IF(COUNTIFS(実績!$W$6:$W$505,BU$3,実績!$AC$6:$AC$505,"&lt;="&amp;$A70,実績!$AD$6:$AD$505,"&gt;"&amp;$A70,実績!$AE$6:$AE$505,"○")&gt;0,1,0))</f>
        <v/>
      </c>
      <c r="BV70">
        <f>IF(BV$4=0,0,IF(COUNTIFS(実績!$W$6:$W$505,BV$3,実績!$AC$6:$AC$505,"&lt;="&amp;$A70,実績!$AD$6:$AD$505,"&gt;"&amp;$A70,実績!$AE$6:$AE$505,"○")&gt;0,1,0))</f>
        <v/>
      </c>
      <c r="BW70">
        <f>IF(BW$4=0,0,IF(COUNTIFS(実績!$W$6:$W$505,BW$3,実績!$AC$6:$AC$505,"&lt;="&amp;$A70,実績!$AD$6:$AD$505,"&gt;"&amp;$A70,実績!$AE$6:$AE$505,"○")&gt;0,1,0))</f>
        <v/>
      </c>
      <c r="BX70">
        <f>IF(BX$4=0,0,IF(COUNTIFS(実績!$W$6:$W$505,BX$3,実績!$AC$6:$AC$505,"&lt;="&amp;$A70,実績!$AD$6:$AD$505,"&gt;"&amp;$A70,実績!$AE$6:$AE$505,"○")&gt;0,1,0))</f>
        <v/>
      </c>
      <c r="BY70">
        <f>IF(BY$4=0,0,IF(COUNTIFS(実績!$W$6:$W$505,BY$3,実績!$AC$6:$AC$505,"&lt;="&amp;$A70,実績!$AD$6:$AD$505,"&gt;"&amp;$A70,実績!$AE$6:$AE$505,"○")&gt;0,1,0))</f>
        <v/>
      </c>
      <c r="BZ70">
        <f>IF(BZ$4=0,0,IF(COUNTIFS(実績!$W$6:$W$505,BZ$3,実績!$AC$6:$AC$505,"&lt;="&amp;$A70,実績!$AD$6:$AD$505,"&gt;"&amp;$A70,実績!$AE$6:$AE$505,"○")&gt;0,1,0))</f>
        <v/>
      </c>
      <c r="CA70">
        <f>IF(CA$4=0,0,IF(COUNTIFS(実績!$W$6:$W$505,CA$3,実績!$AC$6:$AC$505,"&lt;="&amp;$A70,実績!$AD$6:$AD$505,"&gt;"&amp;$A70,実績!$AE$6:$AE$505,"○")&gt;0,1,0))</f>
        <v/>
      </c>
      <c r="CB70">
        <f>IF(CB$4=0,0,IF(COUNTIFS(実績!$W$6:$W$505,CB$3,実績!$AC$6:$AC$505,"&lt;="&amp;$A70,実績!$AD$6:$AD$505,"&gt;"&amp;$A70,実績!$AE$6:$AE$505,"○")&gt;0,1,0))</f>
        <v/>
      </c>
      <c r="CC70">
        <f>IF(CC$4=0,0,IF(COUNTIFS(実績!$W$6:$W$505,CC$3,実績!$AC$6:$AC$505,"&lt;="&amp;$A70,実績!$AD$6:$AD$505,"&gt;"&amp;$A70,実績!$AE$6:$AE$505,"○")&gt;0,1,0))</f>
        <v/>
      </c>
      <c r="CD70">
        <f>IF(CD$4=0,0,IF(COUNTIFS(実績!$W$6:$W$505,CD$3,実績!$AC$6:$AC$505,"&lt;="&amp;$A70,実績!$AD$6:$AD$505,"&gt;"&amp;$A70,実績!$AE$6:$AE$505,"○")&gt;0,1,0))</f>
        <v/>
      </c>
      <c r="CE70">
        <f>IF(CE$4=0,0,IF(COUNTIFS(実績!$W$6:$W$505,CE$3,実績!$AC$6:$AC$505,"&lt;="&amp;$A70,実績!$AD$6:$AD$505,"&gt;"&amp;$A70,実績!$AE$6:$AE$505,"○")&gt;0,1,0))</f>
        <v/>
      </c>
      <c r="CF70">
        <f>IF(CF$4=0,0,IF(COUNTIFS(実績!$W$6:$W$505,CF$3,実績!$AC$6:$AC$505,"&lt;="&amp;$A70,実績!$AD$6:$AD$505,"&gt;"&amp;$A70,実績!$AE$6:$AE$505,"○")&gt;0,1,0))</f>
        <v/>
      </c>
      <c r="CG70">
        <f>IF(CG$4=0,0,IF(COUNTIFS(実績!$W$6:$W$505,CG$3,実績!$AC$6:$AC$505,"&lt;="&amp;$A70,実績!$AD$6:$AD$505,"&gt;"&amp;$A70,実績!$AE$6:$AE$505,"○")&gt;0,1,0))</f>
        <v/>
      </c>
      <c r="CH70">
        <f>IF(CH$4=0,0,IF(COUNTIFS(実績!$W$6:$W$505,CH$3,実績!$AC$6:$AC$505,"&lt;="&amp;$A70,実績!$AD$6:$AD$505,"&gt;"&amp;$A70,実績!$AE$6:$AE$505,"○")&gt;0,1,0))</f>
        <v/>
      </c>
      <c r="CI70">
        <f>IF(CI$4=0,0,IF(COUNTIFS(実績!$W$6:$W$505,CI$3,実績!$AC$6:$AC$505,"&lt;="&amp;$A70,実績!$AD$6:$AD$505,"&gt;"&amp;$A70,実績!$AE$6:$AE$505,"○")&gt;0,1,0))</f>
        <v/>
      </c>
      <c r="CJ70">
        <f>IF(CJ$4=0,0,IF(COUNTIFS(実績!$W$6:$W$505,CJ$3,実績!$AC$6:$AC$505,"&lt;="&amp;$A70,実績!$AD$6:$AD$505,"&gt;"&amp;$A70,実績!$AE$6:$AE$505,"○")&gt;0,1,0))</f>
        <v/>
      </c>
      <c r="CK70">
        <f>IF(CK$4=0,0,IF(COUNTIFS(実績!$W$6:$W$505,CK$3,実績!$AC$6:$AC$505,"&lt;="&amp;$A70,実績!$AD$6:$AD$505,"&gt;"&amp;$A70,実績!$AE$6:$AE$505,"○")&gt;0,1,0))</f>
        <v/>
      </c>
      <c r="CL70">
        <f>IF(CL$4=0,0,IF(COUNTIFS(実績!$W$6:$W$505,CL$3,実績!$AC$6:$AC$505,"&lt;="&amp;$A70,実績!$AD$6:$AD$505,"&gt;"&amp;$A70,実績!$AE$6:$AE$505,"○")&gt;0,1,0))</f>
        <v/>
      </c>
      <c r="CM70">
        <f>IF(CM$4=0,0,IF(COUNTIFS(実績!$W$6:$W$505,CM$3,実績!$AC$6:$AC$505,"&lt;="&amp;$A70,実績!$AD$6:$AD$505,"&gt;"&amp;$A70,実績!$AE$6:$AE$505,"○")&gt;0,1,0))</f>
        <v/>
      </c>
      <c r="CN70">
        <f>IF(CN$4=0,0,IF(COUNTIFS(実績!$W$6:$W$505,CN$3,実績!$AC$6:$AC$505,"&lt;="&amp;$A70,実績!$AD$6:$AD$505,"&gt;"&amp;$A70,実績!$AE$6:$AE$505,"○")&gt;0,1,0))</f>
        <v/>
      </c>
      <c r="CO70">
        <f>IF(CO$4=0,0,IF(COUNTIFS(実績!$W$6:$W$505,CO$3,実績!$AC$6:$AC$505,"&lt;="&amp;$A70,実績!$AD$6:$AD$505,"&gt;"&amp;$A70,実績!$AE$6:$AE$505,"○")&gt;0,1,0))</f>
        <v/>
      </c>
      <c r="CP70">
        <f>IF(CP$4=0,0,IF(COUNTIFS(実績!$W$6:$W$505,CP$3,実績!$AC$6:$AC$505,"&lt;="&amp;$A70,実績!$AD$6:$AD$505,"&gt;"&amp;$A70,実績!$AE$6:$AE$505,"○")&gt;0,1,0))</f>
        <v/>
      </c>
      <c r="CQ70">
        <f>IF(CQ$4=0,0,IF(COUNTIFS(実績!$W$6:$W$505,CQ$3,実績!$AC$6:$AC$505,"&lt;="&amp;$A70,実績!$AD$6:$AD$505,"&gt;"&amp;$A70,実績!$AE$6:$AE$505,"○")&gt;0,1,0))</f>
        <v/>
      </c>
      <c r="CR70">
        <f>IF(CR$4=0,0,IF(COUNTIFS(実績!$W$6:$W$505,CR$3,実績!$AC$6:$AC$505,"&lt;="&amp;$A70,実績!$AD$6:$AD$505,"&gt;"&amp;$A70,実績!$AE$6:$AE$505,"○")&gt;0,1,0))</f>
        <v/>
      </c>
      <c r="CS70">
        <f>IF(CS$4=0,0,IF(COUNTIFS(実績!$W$6:$W$505,CS$3,実績!$AC$6:$AC$505,"&lt;="&amp;$A70,実績!$AD$6:$AD$505,"&gt;"&amp;$A70,実績!$AE$6:$AE$505,"○")&gt;0,1,0))</f>
        <v/>
      </c>
      <c r="CT70">
        <f>IF(CT$4=0,0,IF(COUNTIFS(実績!$W$6:$W$505,CT$3,実績!$AC$6:$AC$505,"&lt;="&amp;$A70,実績!$AD$6:$AD$505,"&gt;"&amp;$A70,実績!$AE$6:$AE$505,"○")&gt;0,1,0))</f>
        <v/>
      </c>
      <c r="CU70">
        <f>IF(CU$4=0,0,IF(COUNTIFS(実績!$W$6:$W$505,CU$3,実績!$AC$6:$AC$505,"&lt;="&amp;$A70,実績!$AD$6:$AD$505,"&gt;"&amp;$A70,実績!$AE$6:$AE$505,"○")&gt;0,1,0))</f>
        <v/>
      </c>
      <c r="CV70">
        <f>IF(CV$4=0,0,IF(COUNTIFS(実績!$W$6:$W$505,CV$3,実績!$AC$6:$AC$505,"&lt;="&amp;$A70,実績!$AD$6:$AD$505,"&gt;"&amp;$A70,実績!$AE$6:$AE$505,"○")&gt;0,1,0))</f>
        <v/>
      </c>
      <c r="CW70">
        <f>IF(CW$4=0,0,IF(COUNTIFS(実績!$W$6:$W$505,CW$3,実績!$AC$6:$AC$505,"&lt;="&amp;$A70,実績!$AD$6:$AD$505,"&gt;"&amp;$A70,実績!$AE$6:$AE$505,"○")&gt;0,1,0))</f>
        <v/>
      </c>
      <c r="CX70">
        <f>IF(CX$4=0,0,IF(COUNTIFS(実績!$W$6:$W$505,CX$3,実績!$AC$6:$AC$505,"&lt;="&amp;$A70,実績!$AD$6:$AD$505,"&gt;"&amp;$A70,実績!$AE$6:$AE$505,"○")&gt;0,1,0))</f>
        <v/>
      </c>
      <c r="CY70">
        <f>IF(CY$4=0,0,IF(COUNTIFS(実績!$W$6:$W$505,CY$3,実績!$AC$6:$AC$505,"&lt;="&amp;$A70,実績!$AD$6:$AD$505,"&gt;"&amp;$A70,実績!$AE$6:$AE$505,"○")&gt;0,1,0))</f>
        <v/>
      </c>
      <c r="CZ70">
        <f>IF(CZ$4=0,0,IF(COUNTIFS(実績!$W$6:$W$505,CZ$3,実績!$AC$6:$AC$505,"&lt;="&amp;$A70,実績!$AD$6:$AD$505,"&gt;"&amp;$A70,実績!$AE$6:$AE$505,"○")&gt;0,1,0))</f>
        <v/>
      </c>
      <c r="DA70">
        <f>IF(DA$4=0,0,IF(COUNTIFS(実績!$W$6:$W$505,DA$3,実績!$AC$6:$AC$505,"&lt;="&amp;$A70,実績!$AD$6:$AD$505,"&gt;"&amp;$A70,実績!$AE$6:$AE$505,"○")&gt;0,1,0))</f>
        <v/>
      </c>
      <c r="DB70">
        <f>IF(DB$4=0,0,IF(COUNTIFS(実績!$W$6:$W$505,DB$3,実績!$AC$6:$AC$505,"&lt;="&amp;$A70,実績!$AD$6:$AD$505,"&gt;"&amp;$A70,実績!$AE$6:$AE$505,"○")&gt;0,1,0))</f>
        <v/>
      </c>
      <c r="DC70">
        <f>IF(DC$4=0,0,IF(COUNTIFS(実績!$W$6:$W$505,DC$3,実績!$AC$6:$AC$505,"&lt;="&amp;$A70,実績!$AD$6:$AD$505,"&gt;"&amp;$A70,実績!$AE$6:$AE$505,"○")&gt;0,1,0))</f>
        <v/>
      </c>
      <c r="DD70">
        <f>IF(DD$4=0,0,IF(COUNTIFS(実績!$W$6:$W$505,DD$3,実績!$AC$6:$AC$505,"&lt;="&amp;$A70,実績!$AD$6:$AD$505,"&gt;"&amp;$A70,実績!$AE$6:$AE$505,"○")&gt;0,1,0))</f>
        <v/>
      </c>
      <c r="DE70">
        <f>IF(DE$4=0,0,IF(COUNTIFS(実績!$W$6:$W$505,DE$3,実績!$AC$6:$AC$505,"&lt;="&amp;$A70,実績!$AD$6:$AD$505,"&gt;"&amp;$A70,実績!$AE$6:$AE$505,"○")&gt;0,1,0))</f>
        <v/>
      </c>
      <c r="DF70">
        <f>IF(DF$4=0,0,IF(COUNTIFS(実績!$W$6:$W$505,DF$3,実績!$AC$6:$AC$505,"&lt;="&amp;$A70,実績!$AD$6:$AD$505,"&gt;"&amp;$A70,実績!$AE$6:$AE$505,"○")&gt;0,1,0))</f>
        <v/>
      </c>
      <c r="DG70">
        <f>IF(DG$4=0,0,IF(COUNTIFS(実績!$W$6:$W$505,DG$3,実績!$AC$6:$AC$505,"&lt;="&amp;$A70,実績!$AD$6:$AD$505,"&gt;"&amp;$A70,実績!$AE$6:$AE$505,"○")&gt;0,1,0))</f>
        <v/>
      </c>
      <c r="DH70">
        <f>IF(DH$4=0,0,IF(COUNTIFS(実績!$W$6:$W$505,DH$3,実績!$AC$6:$AC$505,"&lt;="&amp;$A70,実績!$AD$6:$AD$505,"&gt;"&amp;$A70,実績!$AE$6:$AE$505,"○")&gt;0,1,0))</f>
        <v/>
      </c>
      <c r="DI70">
        <f>IF(DI$4=0,0,IF(COUNTIFS(実績!$W$6:$W$505,DI$3,実績!$AC$6:$AC$505,"&lt;="&amp;$A70,実績!$AD$6:$AD$505,"&gt;"&amp;$A70,実績!$AE$6:$AE$505,"○")&gt;0,1,0))</f>
        <v/>
      </c>
      <c r="DJ70">
        <f>IF(DJ$4=0,0,IF(COUNTIFS(実績!$W$6:$W$505,DJ$3,実績!$AC$6:$AC$505,"&lt;="&amp;$A70,実績!$AD$6:$AD$505,"&gt;"&amp;$A70,実績!$AE$6:$AE$505,"○")&gt;0,1,0))</f>
        <v/>
      </c>
      <c r="DK70">
        <f>IF(DK$4=0,0,IF(COUNTIFS(実績!$W$6:$W$505,DK$3,実績!$AC$6:$AC$505,"&lt;="&amp;$A70,実績!$AD$6:$AD$505,"&gt;"&amp;$A70,実績!$AE$6:$AE$505,"○")&gt;0,1,0))</f>
        <v/>
      </c>
      <c r="DL70">
        <f>IF(DL$4=0,0,IF(COUNTIFS(実績!$W$6:$W$505,DL$3,実績!$AC$6:$AC$505,"&lt;="&amp;$A70,実績!$AD$6:$AD$505,"&gt;"&amp;$A70,実績!$AE$6:$AE$505,"○")&gt;0,1,0))</f>
        <v/>
      </c>
      <c r="DM70">
        <f>IF(DM$4=0,0,IF(COUNTIFS(実績!$W$6:$W$505,DM$3,実績!$AC$6:$AC$505,"&lt;="&amp;$A70,実績!$AD$6:$AD$505,"&gt;"&amp;$A70,実績!$AE$6:$AE$505,"○")&gt;0,1,0))</f>
        <v/>
      </c>
      <c r="DN70">
        <f>IF(DN$4=0,0,IF(COUNTIFS(実績!$W$6:$W$505,DN$3,実績!$AC$6:$AC$505,"&lt;="&amp;$A70,実績!$AD$6:$AD$505,"&gt;"&amp;$A70,実績!$AE$6:$AE$505,"○")&gt;0,1,0))</f>
        <v/>
      </c>
      <c r="DO70">
        <f>IF(DO$4=0,0,IF(COUNTIFS(実績!$W$6:$W$505,DO$3,実績!$AC$6:$AC$505,"&lt;="&amp;$A70,実績!$AD$6:$AD$505,"&gt;"&amp;$A70,実績!$AE$6:$AE$505,"○")&gt;0,1,0))</f>
        <v/>
      </c>
      <c r="DP70">
        <f>IF(DP$4=0,0,IF(COUNTIFS(実績!$W$6:$W$505,DP$3,実績!$AC$6:$AC$505,"&lt;="&amp;$A70,実績!$AD$6:$AD$505,"&gt;"&amp;$A70,実績!$AE$6:$AE$505,"○")&gt;0,1,0))</f>
        <v/>
      </c>
      <c r="DQ70">
        <f>IF(DQ$4=0,0,IF(COUNTIFS(実績!$W$6:$W$505,DQ$3,実績!$AC$6:$AC$505,"&lt;="&amp;$A70,実績!$AD$6:$AD$505,"&gt;"&amp;$A70,実績!$AE$6:$AE$505,"○")&gt;0,1,0))</f>
        <v/>
      </c>
      <c r="DR70">
        <f>IF(DR$4=0,0,IF(COUNTIFS(実績!$W$6:$W$505,DR$3,実績!$AC$6:$AC$505,"&lt;="&amp;$A70,実績!$AD$6:$AD$505,"&gt;"&amp;$A70,実績!$AE$6:$AE$505,"○")&gt;0,1,0))</f>
        <v/>
      </c>
      <c r="DS70">
        <f>SUM(C70:DR70)</f>
        <v/>
      </c>
      <c r="DT70">
        <f>SUMPRODUCT((実績!$C$6:$C$505="○")*ISNUMBER(実績!$AF$6:$AF$505)*(実績!$AF$6:$AF$505&lt;=$A70)*(実績!$AG$6:$AG$505&gt;$A70))</f>
        <v/>
      </c>
      <c r="DU70">
        <f>SUMIF($C$2:$DR$2,"製鉄曳船",C70:DR70)</f>
        <v/>
      </c>
      <c r="DV70">
        <f>SUMIF($C$2:$DR$2,"西日本海運",C70:DR70)</f>
        <v/>
      </c>
    </row>
    <row r="71">
      <c r="A71" t="n">
        <v>325</v>
      </c>
      <c r="B71" s="29">
        <f>A71/1440</f>
        <v/>
      </c>
      <c r="C71">
        <f>IF(C$4=0,0,IF(COUNTIFS(実績!$W$6:$W$505,C$3,実績!$AC$6:$AC$505,"&lt;="&amp;$A71,実績!$AD$6:$AD$505,"&gt;"&amp;$A71,実績!$AE$6:$AE$505,"○")&gt;0,1,0))</f>
        <v/>
      </c>
      <c r="D71">
        <f>IF(D$4=0,0,IF(COUNTIFS(実績!$W$6:$W$505,D$3,実績!$AC$6:$AC$505,"&lt;="&amp;$A71,実績!$AD$6:$AD$505,"&gt;"&amp;$A71,実績!$AE$6:$AE$505,"○")&gt;0,1,0))</f>
        <v/>
      </c>
      <c r="E71">
        <f>IF(E$4=0,0,IF(COUNTIFS(実績!$W$6:$W$505,E$3,実績!$AC$6:$AC$505,"&lt;="&amp;$A71,実績!$AD$6:$AD$505,"&gt;"&amp;$A71,実績!$AE$6:$AE$505,"○")&gt;0,1,0))</f>
        <v/>
      </c>
      <c r="F71">
        <f>IF(F$4=0,0,IF(COUNTIFS(実績!$W$6:$W$505,F$3,実績!$AC$6:$AC$505,"&lt;="&amp;$A71,実績!$AD$6:$AD$505,"&gt;"&amp;$A71,実績!$AE$6:$AE$505,"○")&gt;0,1,0))</f>
        <v/>
      </c>
      <c r="G71">
        <f>IF(G$4=0,0,IF(COUNTIFS(実績!$W$6:$W$505,G$3,実績!$AC$6:$AC$505,"&lt;="&amp;$A71,実績!$AD$6:$AD$505,"&gt;"&amp;$A71,実績!$AE$6:$AE$505,"○")&gt;0,1,0))</f>
        <v/>
      </c>
      <c r="H71">
        <f>IF(H$4=0,0,IF(COUNTIFS(実績!$W$6:$W$505,H$3,実績!$AC$6:$AC$505,"&lt;="&amp;$A71,実績!$AD$6:$AD$505,"&gt;"&amp;$A71,実績!$AE$6:$AE$505,"○")&gt;0,1,0))</f>
        <v/>
      </c>
      <c r="I71">
        <f>IF(I$4=0,0,IF(COUNTIFS(実績!$W$6:$W$505,I$3,実績!$AC$6:$AC$505,"&lt;="&amp;$A71,実績!$AD$6:$AD$505,"&gt;"&amp;$A71,実績!$AE$6:$AE$505,"○")&gt;0,1,0))</f>
        <v/>
      </c>
      <c r="J71">
        <f>IF(J$4=0,0,IF(COUNTIFS(実績!$W$6:$W$505,J$3,実績!$AC$6:$AC$505,"&lt;="&amp;$A71,実績!$AD$6:$AD$505,"&gt;"&amp;$A71,実績!$AE$6:$AE$505,"○")&gt;0,1,0))</f>
        <v/>
      </c>
      <c r="K71">
        <f>IF(K$4=0,0,IF(COUNTIFS(実績!$W$6:$W$505,K$3,実績!$AC$6:$AC$505,"&lt;="&amp;$A71,実績!$AD$6:$AD$505,"&gt;"&amp;$A71,実績!$AE$6:$AE$505,"○")&gt;0,1,0))</f>
        <v/>
      </c>
      <c r="L71">
        <f>IF(L$4=0,0,IF(COUNTIFS(実績!$W$6:$W$505,L$3,実績!$AC$6:$AC$505,"&lt;="&amp;$A71,実績!$AD$6:$AD$505,"&gt;"&amp;$A71,実績!$AE$6:$AE$505,"○")&gt;0,1,0))</f>
        <v/>
      </c>
      <c r="M71">
        <f>IF(M$4=0,0,IF(COUNTIFS(実績!$W$6:$W$505,M$3,実績!$AC$6:$AC$505,"&lt;="&amp;$A71,実績!$AD$6:$AD$505,"&gt;"&amp;$A71,実績!$AE$6:$AE$505,"○")&gt;0,1,0))</f>
        <v/>
      </c>
      <c r="N71">
        <f>IF(N$4=0,0,IF(COUNTIFS(実績!$W$6:$W$505,N$3,実績!$AC$6:$AC$505,"&lt;="&amp;$A71,実績!$AD$6:$AD$505,"&gt;"&amp;$A71,実績!$AE$6:$AE$505,"○")&gt;0,1,0))</f>
        <v/>
      </c>
      <c r="O71">
        <f>IF(O$4=0,0,IF(COUNTIFS(実績!$W$6:$W$505,O$3,実績!$AC$6:$AC$505,"&lt;="&amp;$A71,実績!$AD$6:$AD$505,"&gt;"&amp;$A71,実績!$AE$6:$AE$505,"○")&gt;0,1,0))</f>
        <v/>
      </c>
      <c r="P71">
        <f>IF(P$4=0,0,IF(COUNTIFS(実績!$W$6:$W$505,P$3,実績!$AC$6:$AC$505,"&lt;="&amp;$A71,実績!$AD$6:$AD$505,"&gt;"&amp;$A71,実績!$AE$6:$AE$505,"○")&gt;0,1,0))</f>
        <v/>
      </c>
      <c r="Q71">
        <f>IF(Q$4=0,0,IF(COUNTIFS(実績!$W$6:$W$505,Q$3,実績!$AC$6:$AC$505,"&lt;="&amp;$A71,実績!$AD$6:$AD$505,"&gt;"&amp;$A71,実績!$AE$6:$AE$505,"○")&gt;0,1,0))</f>
        <v/>
      </c>
      <c r="R71">
        <f>IF(R$4=0,0,IF(COUNTIFS(実績!$W$6:$W$505,R$3,実績!$AC$6:$AC$505,"&lt;="&amp;$A71,実績!$AD$6:$AD$505,"&gt;"&amp;$A71,実績!$AE$6:$AE$505,"○")&gt;0,1,0))</f>
        <v/>
      </c>
      <c r="S71">
        <f>IF(S$4=0,0,IF(COUNTIFS(実績!$W$6:$W$505,S$3,実績!$AC$6:$AC$505,"&lt;="&amp;$A71,実績!$AD$6:$AD$505,"&gt;"&amp;$A71,実績!$AE$6:$AE$505,"○")&gt;0,1,0))</f>
        <v/>
      </c>
      <c r="T71">
        <f>IF(T$4=0,0,IF(COUNTIFS(実績!$W$6:$W$505,T$3,実績!$AC$6:$AC$505,"&lt;="&amp;$A71,実績!$AD$6:$AD$505,"&gt;"&amp;$A71,実績!$AE$6:$AE$505,"○")&gt;0,1,0))</f>
        <v/>
      </c>
      <c r="U71">
        <f>IF(U$4=0,0,IF(COUNTIFS(実績!$W$6:$W$505,U$3,実績!$AC$6:$AC$505,"&lt;="&amp;$A71,実績!$AD$6:$AD$505,"&gt;"&amp;$A71,実績!$AE$6:$AE$505,"○")&gt;0,1,0))</f>
        <v/>
      </c>
      <c r="V71">
        <f>IF(V$4=0,0,IF(COUNTIFS(実績!$W$6:$W$505,V$3,実績!$AC$6:$AC$505,"&lt;="&amp;$A71,実績!$AD$6:$AD$505,"&gt;"&amp;$A71,実績!$AE$6:$AE$505,"○")&gt;0,1,0))</f>
        <v/>
      </c>
      <c r="W71">
        <f>IF(W$4=0,0,IF(COUNTIFS(実績!$W$6:$W$505,W$3,実績!$AC$6:$AC$505,"&lt;="&amp;$A71,実績!$AD$6:$AD$505,"&gt;"&amp;$A71,実績!$AE$6:$AE$505,"○")&gt;0,1,0))</f>
        <v/>
      </c>
      <c r="X71">
        <f>IF(X$4=0,0,IF(COUNTIFS(実績!$W$6:$W$505,X$3,実績!$AC$6:$AC$505,"&lt;="&amp;$A71,実績!$AD$6:$AD$505,"&gt;"&amp;$A71,実績!$AE$6:$AE$505,"○")&gt;0,1,0))</f>
        <v/>
      </c>
      <c r="Y71">
        <f>IF(Y$4=0,0,IF(COUNTIFS(実績!$W$6:$W$505,Y$3,実績!$AC$6:$AC$505,"&lt;="&amp;$A71,実績!$AD$6:$AD$505,"&gt;"&amp;$A71,実績!$AE$6:$AE$505,"○")&gt;0,1,0))</f>
        <v/>
      </c>
      <c r="Z71">
        <f>IF(Z$4=0,0,IF(COUNTIFS(実績!$W$6:$W$505,Z$3,実績!$AC$6:$AC$505,"&lt;="&amp;$A71,実績!$AD$6:$AD$505,"&gt;"&amp;$A71,実績!$AE$6:$AE$505,"○")&gt;0,1,0))</f>
        <v/>
      </c>
      <c r="AA71">
        <f>IF(AA$4=0,0,IF(COUNTIFS(実績!$W$6:$W$505,AA$3,実績!$AC$6:$AC$505,"&lt;="&amp;$A71,実績!$AD$6:$AD$505,"&gt;"&amp;$A71,実績!$AE$6:$AE$505,"○")&gt;0,1,0))</f>
        <v/>
      </c>
      <c r="AB71">
        <f>IF(AB$4=0,0,IF(COUNTIFS(実績!$W$6:$W$505,AB$3,実績!$AC$6:$AC$505,"&lt;="&amp;$A71,実績!$AD$6:$AD$505,"&gt;"&amp;$A71,実績!$AE$6:$AE$505,"○")&gt;0,1,0))</f>
        <v/>
      </c>
      <c r="AC71">
        <f>IF(AC$4=0,0,IF(COUNTIFS(実績!$W$6:$W$505,AC$3,実績!$AC$6:$AC$505,"&lt;="&amp;$A71,実績!$AD$6:$AD$505,"&gt;"&amp;$A71,実績!$AE$6:$AE$505,"○")&gt;0,1,0))</f>
        <v/>
      </c>
      <c r="AD71">
        <f>IF(AD$4=0,0,IF(COUNTIFS(実績!$W$6:$W$505,AD$3,実績!$AC$6:$AC$505,"&lt;="&amp;$A71,実績!$AD$6:$AD$505,"&gt;"&amp;$A71,実績!$AE$6:$AE$505,"○")&gt;0,1,0))</f>
        <v/>
      </c>
      <c r="AE71">
        <f>IF(AE$4=0,0,IF(COUNTIFS(実績!$W$6:$W$505,AE$3,実績!$AC$6:$AC$505,"&lt;="&amp;$A71,実績!$AD$6:$AD$505,"&gt;"&amp;$A71,実績!$AE$6:$AE$505,"○")&gt;0,1,0))</f>
        <v/>
      </c>
      <c r="AF71">
        <f>IF(AF$4=0,0,IF(COUNTIFS(実績!$W$6:$W$505,AF$3,実績!$AC$6:$AC$505,"&lt;="&amp;$A71,実績!$AD$6:$AD$505,"&gt;"&amp;$A71,実績!$AE$6:$AE$505,"○")&gt;0,1,0))</f>
        <v/>
      </c>
      <c r="AG71">
        <f>IF(AG$4=0,0,IF(COUNTIFS(実績!$W$6:$W$505,AG$3,実績!$AC$6:$AC$505,"&lt;="&amp;$A71,実績!$AD$6:$AD$505,"&gt;"&amp;$A71,実績!$AE$6:$AE$505,"○")&gt;0,1,0))</f>
        <v/>
      </c>
      <c r="AH71">
        <f>IF(AH$4=0,0,IF(COUNTIFS(実績!$W$6:$W$505,AH$3,実績!$AC$6:$AC$505,"&lt;="&amp;$A71,実績!$AD$6:$AD$505,"&gt;"&amp;$A71,実績!$AE$6:$AE$505,"○")&gt;0,1,0))</f>
        <v/>
      </c>
      <c r="AI71">
        <f>IF(AI$4=0,0,IF(COUNTIFS(実績!$W$6:$W$505,AI$3,実績!$AC$6:$AC$505,"&lt;="&amp;$A71,実績!$AD$6:$AD$505,"&gt;"&amp;$A71,実績!$AE$6:$AE$505,"○")&gt;0,1,0))</f>
        <v/>
      </c>
      <c r="AJ71">
        <f>IF(AJ$4=0,0,IF(COUNTIFS(実績!$W$6:$W$505,AJ$3,実績!$AC$6:$AC$505,"&lt;="&amp;$A71,実績!$AD$6:$AD$505,"&gt;"&amp;$A71,実績!$AE$6:$AE$505,"○")&gt;0,1,0))</f>
        <v/>
      </c>
      <c r="AK71">
        <f>IF(AK$4=0,0,IF(COUNTIFS(実績!$W$6:$W$505,AK$3,実績!$AC$6:$AC$505,"&lt;="&amp;$A71,実績!$AD$6:$AD$505,"&gt;"&amp;$A71,実績!$AE$6:$AE$505,"○")&gt;0,1,0))</f>
        <v/>
      </c>
      <c r="AL71">
        <f>IF(AL$4=0,0,IF(COUNTIFS(実績!$W$6:$W$505,AL$3,実績!$AC$6:$AC$505,"&lt;="&amp;$A71,実績!$AD$6:$AD$505,"&gt;"&amp;$A71,実績!$AE$6:$AE$505,"○")&gt;0,1,0))</f>
        <v/>
      </c>
      <c r="AM71">
        <f>IF(AM$4=0,0,IF(COUNTIFS(実績!$W$6:$W$505,AM$3,実績!$AC$6:$AC$505,"&lt;="&amp;$A71,実績!$AD$6:$AD$505,"&gt;"&amp;$A71,実績!$AE$6:$AE$505,"○")&gt;0,1,0))</f>
        <v/>
      </c>
      <c r="AN71">
        <f>IF(AN$4=0,0,IF(COUNTIFS(実績!$W$6:$W$505,AN$3,実績!$AC$6:$AC$505,"&lt;="&amp;$A71,実績!$AD$6:$AD$505,"&gt;"&amp;$A71,実績!$AE$6:$AE$505,"○")&gt;0,1,0))</f>
        <v/>
      </c>
      <c r="AO71">
        <f>IF(AO$4=0,0,IF(COUNTIFS(実績!$W$6:$W$505,AO$3,実績!$AC$6:$AC$505,"&lt;="&amp;$A71,実績!$AD$6:$AD$505,"&gt;"&amp;$A71,実績!$AE$6:$AE$505,"○")&gt;0,1,0))</f>
        <v/>
      </c>
      <c r="AP71">
        <f>IF(AP$4=0,0,IF(COUNTIFS(実績!$W$6:$W$505,AP$3,実績!$AC$6:$AC$505,"&lt;="&amp;$A71,実績!$AD$6:$AD$505,"&gt;"&amp;$A71,実績!$AE$6:$AE$505,"○")&gt;0,1,0))</f>
        <v/>
      </c>
      <c r="AQ71">
        <f>IF(AQ$4=0,0,IF(COUNTIFS(実績!$W$6:$W$505,AQ$3,実績!$AC$6:$AC$505,"&lt;="&amp;$A71,実績!$AD$6:$AD$505,"&gt;"&amp;$A71,実績!$AE$6:$AE$505,"○")&gt;0,1,0))</f>
        <v/>
      </c>
      <c r="AR71">
        <f>IF(AR$4=0,0,IF(COUNTIFS(実績!$W$6:$W$505,AR$3,実績!$AC$6:$AC$505,"&lt;="&amp;$A71,実績!$AD$6:$AD$505,"&gt;"&amp;$A71,実績!$AE$6:$AE$505,"○")&gt;0,1,0))</f>
        <v/>
      </c>
      <c r="AS71">
        <f>IF(AS$4=0,0,IF(COUNTIFS(実績!$W$6:$W$505,AS$3,実績!$AC$6:$AC$505,"&lt;="&amp;$A71,実績!$AD$6:$AD$505,"&gt;"&amp;$A71,実績!$AE$6:$AE$505,"○")&gt;0,1,0))</f>
        <v/>
      </c>
      <c r="AT71">
        <f>IF(AT$4=0,0,IF(COUNTIFS(実績!$W$6:$W$505,AT$3,実績!$AC$6:$AC$505,"&lt;="&amp;$A71,実績!$AD$6:$AD$505,"&gt;"&amp;$A71,実績!$AE$6:$AE$505,"○")&gt;0,1,0))</f>
        <v/>
      </c>
      <c r="AU71">
        <f>IF(AU$4=0,0,IF(COUNTIFS(実績!$W$6:$W$505,AU$3,実績!$AC$6:$AC$505,"&lt;="&amp;$A71,実績!$AD$6:$AD$505,"&gt;"&amp;$A71,実績!$AE$6:$AE$505,"○")&gt;0,1,0))</f>
        <v/>
      </c>
      <c r="AV71">
        <f>IF(AV$4=0,0,IF(COUNTIFS(実績!$W$6:$W$505,AV$3,実績!$AC$6:$AC$505,"&lt;="&amp;$A71,実績!$AD$6:$AD$505,"&gt;"&amp;$A71,実績!$AE$6:$AE$505,"○")&gt;0,1,0))</f>
        <v/>
      </c>
      <c r="AW71">
        <f>IF(AW$4=0,0,IF(COUNTIFS(実績!$W$6:$W$505,AW$3,実績!$AC$6:$AC$505,"&lt;="&amp;$A71,実績!$AD$6:$AD$505,"&gt;"&amp;$A71,実績!$AE$6:$AE$505,"○")&gt;0,1,0))</f>
        <v/>
      </c>
      <c r="AX71">
        <f>IF(AX$4=0,0,IF(COUNTIFS(実績!$W$6:$W$505,AX$3,実績!$AC$6:$AC$505,"&lt;="&amp;$A71,実績!$AD$6:$AD$505,"&gt;"&amp;$A71,実績!$AE$6:$AE$505,"○")&gt;0,1,0))</f>
        <v/>
      </c>
      <c r="AY71">
        <f>IF(AY$4=0,0,IF(COUNTIFS(実績!$W$6:$W$505,AY$3,実績!$AC$6:$AC$505,"&lt;="&amp;$A71,実績!$AD$6:$AD$505,"&gt;"&amp;$A71,実績!$AE$6:$AE$505,"○")&gt;0,1,0))</f>
        <v/>
      </c>
      <c r="AZ71">
        <f>IF(AZ$4=0,0,IF(COUNTIFS(実績!$W$6:$W$505,AZ$3,実績!$AC$6:$AC$505,"&lt;="&amp;$A71,実績!$AD$6:$AD$505,"&gt;"&amp;$A71,実績!$AE$6:$AE$505,"○")&gt;0,1,0))</f>
        <v/>
      </c>
      <c r="BA71">
        <f>IF(BA$4=0,0,IF(COUNTIFS(実績!$W$6:$W$505,BA$3,実績!$AC$6:$AC$505,"&lt;="&amp;$A71,実績!$AD$6:$AD$505,"&gt;"&amp;$A71,実績!$AE$6:$AE$505,"○")&gt;0,1,0))</f>
        <v/>
      </c>
      <c r="BB71">
        <f>IF(BB$4=0,0,IF(COUNTIFS(実績!$W$6:$W$505,BB$3,実績!$AC$6:$AC$505,"&lt;="&amp;$A71,実績!$AD$6:$AD$505,"&gt;"&amp;$A71,実績!$AE$6:$AE$505,"○")&gt;0,1,0))</f>
        <v/>
      </c>
      <c r="BC71">
        <f>IF(BC$4=0,0,IF(COUNTIFS(実績!$W$6:$W$505,BC$3,実績!$AC$6:$AC$505,"&lt;="&amp;$A71,実績!$AD$6:$AD$505,"&gt;"&amp;$A71,実績!$AE$6:$AE$505,"○")&gt;0,1,0))</f>
        <v/>
      </c>
      <c r="BD71">
        <f>IF(BD$4=0,0,IF(COUNTIFS(実績!$W$6:$W$505,BD$3,実績!$AC$6:$AC$505,"&lt;="&amp;$A71,実績!$AD$6:$AD$505,"&gt;"&amp;$A71,実績!$AE$6:$AE$505,"○")&gt;0,1,0))</f>
        <v/>
      </c>
      <c r="BE71">
        <f>IF(BE$4=0,0,IF(COUNTIFS(実績!$W$6:$W$505,BE$3,実績!$AC$6:$AC$505,"&lt;="&amp;$A71,実績!$AD$6:$AD$505,"&gt;"&amp;$A71,実績!$AE$6:$AE$505,"○")&gt;0,1,0))</f>
        <v/>
      </c>
      <c r="BF71">
        <f>IF(BF$4=0,0,IF(COUNTIFS(実績!$W$6:$W$505,BF$3,実績!$AC$6:$AC$505,"&lt;="&amp;$A71,実績!$AD$6:$AD$505,"&gt;"&amp;$A71,実績!$AE$6:$AE$505,"○")&gt;0,1,0))</f>
        <v/>
      </c>
      <c r="BG71">
        <f>IF(BG$4=0,0,IF(COUNTIFS(実績!$W$6:$W$505,BG$3,実績!$AC$6:$AC$505,"&lt;="&amp;$A71,実績!$AD$6:$AD$505,"&gt;"&amp;$A71,実績!$AE$6:$AE$505,"○")&gt;0,1,0))</f>
        <v/>
      </c>
      <c r="BH71">
        <f>IF(BH$4=0,0,IF(COUNTIFS(実績!$W$6:$W$505,BH$3,実績!$AC$6:$AC$505,"&lt;="&amp;$A71,実績!$AD$6:$AD$505,"&gt;"&amp;$A71,実績!$AE$6:$AE$505,"○")&gt;0,1,0))</f>
        <v/>
      </c>
      <c r="BI71">
        <f>IF(BI$4=0,0,IF(COUNTIFS(実績!$W$6:$W$505,BI$3,実績!$AC$6:$AC$505,"&lt;="&amp;$A71,実績!$AD$6:$AD$505,"&gt;"&amp;$A71,実績!$AE$6:$AE$505,"○")&gt;0,1,0))</f>
        <v/>
      </c>
      <c r="BJ71">
        <f>IF(BJ$4=0,0,IF(COUNTIFS(実績!$W$6:$W$505,BJ$3,実績!$AC$6:$AC$505,"&lt;="&amp;$A71,実績!$AD$6:$AD$505,"&gt;"&amp;$A71,実績!$AE$6:$AE$505,"○")&gt;0,1,0))</f>
        <v/>
      </c>
      <c r="BK71">
        <f>IF(BK$4=0,0,IF(COUNTIFS(実績!$W$6:$W$505,BK$3,実績!$AC$6:$AC$505,"&lt;="&amp;$A71,実績!$AD$6:$AD$505,"&gt;"&amp;$A71,実績!$AE$6:$AE$505,"○")&gt;0,1,0))</f>
        <v/>
      </c>
      <c r="BL71">
        <f>IF(BL$4=0,0,IF(COUNTIFS(実績!$W$6:$W$505,BL$3,実績!$AC$6:$AC$505,"&lt;="&amp;$A71,実績!$AD$6:$AD$505,"&gt;"&amp;$A71,実績!$AE$6:$AE$505,"○")&gt;0,1,0))</f>
        <v/>
      </c>
      <c r="BM71">
        <f>IF(BM$4=0,0,IF(COUNTIFS(実績!$W$6:$W$505,BM$3,実績!$AC$6:$AC$505,"&lt;="&amp;$A71,実績!$AD$6:$AD$505,"&gt;"&amp;$A71,実績!$AE$6:$AE$505,"○")&gt;0,1,0))</f>
        <v/>
      </c>
      <c r="BN71">
        <f>IF(BN$4=0,0,IF(COUNTIFS(実績!$W$6:$W$505,BN$3,実績!$AC$6:$AC$505,"&lt;="&amp;$A71,実績!$AD$6:$AD$505,"&gt;"&amp;$A71,実績!$AE$6:$AE$505,"○")&gt;0,1,0))</f>
        <v/>
      </c>
      <c r="BO71">
        <f>IF(BO$4=0,0,IF(COUNTIFS(実績!$W$6:$W$505,BO$3,実績!$AC$6:$AC$505,"&lt;="&amp;$A71,実績!$AD$6:$AD$505,"&gt;"&amp;$A71,実績!$AE$6:$AE$505,"○")&gt;0,1,0))</f>
        <v/>
      </c>
      <c r="BP71">
        <f>IF(BP$4=0,0,IF(COUNTIFS(実績!$W$6:$W$505,BP$3,実績!$AC$6:$AC$505,"&lt;="&amp;$A71,実績!$AD$6:$AD$505,"&gt;"&amp;$A71,実績!$AE$6:$AE$505,"○")&gt;0,1,0))</f>
        <v/>
      </c>
      <c r="BQ71">
        <f>IF(BQ$4=0,0,IF(COUNTIFS(実績!$W$6:$W$505,BQ$3,実績!$AC$6:$AC$505,"&lt;="&amp;$A71,実績!$AD$6:$AD$505,"&gt;"&amp;$A71,実績!$AE$6:$AE$505,"○")&gt;0,1,0))</f>
        <v/>
      </c>
      <c r="BR71">
        <f>IF(BR$4=0,0,IF(COUNTIFS(実績!$W$6:$W$505,BR$3,実績!$AC$6:$AC$505,"&lt;="&amp;$A71,実績!$AD$6:$AD$505,"&gt;"&amp;$A71,実績!$AE$6:$AE$505,"○")&gt;0,1,0))</f>
        <v/>
      </c>
      <c r="BS71">
        <f>IF(BS$4=0,0,IF(COUNTIFS(実績!$W$6:$W$505,BS$3,実績!$AC$6:$AC$505,"&lt;="&amp;$A71,実績!$AD$6:$AD$505,"&gt;"&amp;$A71,実績!$AE$6:$AE$505,"○")&gt;0,1,0))</f>
        <v/>
      </c>
      <c r="BT71">
        <f>IF(BT$4=0,0,IF(COUNTIFS(実績!$W$6:$W$505,BT$3,実績!$AC$6:$AC$505,"&lt;="&amp;$A71,実績!$AD$6:$AD$505,"&gt;"&amp;$A71,実績!$AE$6:$AE$505,"○")&gt;0,1,0))</f>
        <v/>
      </c>
      <c r="BU71">
        <f>IF(BU$4=0,0,IF(COUNTIFS(実績!$W$6:$W$505,BU$3,実績!$AC$6:$AC$505,"&lt;="&amp;$A71,実績!$AD$6:$AD$505,"&gt;"&amp;$A71,実績!$AE$6:$AE$505,"○")&gt;0,1,0))</f>
        <v/>
      </c>
      <c r="BV71">
        <f>IF(BV$4=0,0,IF(COUNTIFS(実績!$W$6:$W$505,BV$3,実績!$AC$6:$AC$505,"&lt;="&amp;$A71,実績!$AD$6:$AD$505,"&gt;"&amp;$A71,実績!$AE$6:$AE$505,"○")&gt;0,1,0))</f>
        <v/>
      </c>
      <c r="BW71">
        <f>IF(BW$4=0,0,IF(COUNTIFS(実績!$W$6:$W$505,BW$3,実績!$AC$6:$AC$505,"&lt;="&amp;$A71,実績!$AD$6:$AD$505,"&gt;"&amp;$A71,実績!$AE$6:$AE$505,"○")&gt;0,1,0))</f>
        <v/>
      </c>
      <c r="BX71">
        <f>IF(BX$4=0,0,IF(COUNTIFS(実績!$W$6:$W$505,BX$3,実績!$AC$6:$AC$505,"&lt;="&amp;$A71,実績!$AD$6:$AD$505,"&gt;"&amp;$A71,実績!$AE$6:$AE$505,"○")&gt;0,1,0))</f>
        <v/>
      </c>
      <c r="BY71">
        <f>IF(BY$4=0,0,IF(COUNTIFS(実績!$W$6:$W$505,BY$3,実績!$AC$6:$AC$505,"&lt;="&amp;$A71,実績!$AD$6:$AD$505,"&gt;"&amp;$A71,実績!$AE$6:$AE$505,"○")&gt;0,1,0))</f>
        <v/>
      </c>
      <c r="BZ71">
        <f>IF(BZ$4=0,0,IF(COUNTIFS(実績!$W$6:$W$505,BZ$3,実績!$AC$6:$AC$505,"&lt;="&amp;$A71,実績!$AD$6:$AD$505,"&gt;"&amp;$A71,実績!$AE$6:$AE$505,"○")&gt;0,1,0))</f>
        <v/>
      </c>
      <c r="CA71">
        <f>IF(CA$4=0,0,IF(COUNTIFS(実績!$W$6:$W$505,CA$3,実績!$AC$6:$AC$505,"&lt;="&amp;$A71,実績!$AD$6:$AD$505,"&gt;"&amp;$A71,実績!$AE$6:$AE$505,"○")&gt;0,1,0))</f>
        <v/>
      </c>
      <c r="CB71">
        <f>IF(CB$4=0,0,IF(COUNTIFS(実績!$W$6:$W$505,CB$3,実績!$AC$6:$AC$505,"&lt;="&amp;$A71,実績!$AD$6:$AD$505,"&gt;"&amp;$A71,実績!$AE$6:$AE$505,"○")&gt;0,1,0))</f>
        <v/>
      </c>
      <c r="CC71">
        <f>IF(CC$4=0,0,IF(COUNTIFS(実績!$W$6:$W$505,CC$3,実績!$AC$6:$AC$505,"&lt;="&amp;$A71,実績!$AD$6:$AD$505,"&gt;"&amp;$A71,実績!$AE$6:$AE$505,"○")&gt;0,1,0))</f>
        <v/>
      </c>
      <c r="CD71">
        <f>IF(CD$4=0,0,IF(COUNTIFS(実績!$W$6:$W$505,CD$3,実績!$AC$6:$AC$505,"&lt;="&amp;$A71,実績!$AD$6:$AD$505,"&gt;"&amp;$A71,実績!$AE$6:$AE$505,"○")&gt;0,1,0))</f>
        <v/>
      </c>
      <c r="CE71">
        <f>IF(CE$4=0,0,IF(COUNTIFS(実績!$W$6:$W$505,CE$3,実績!$AC$6:$AC$505,"&lt;="&amp;$A71,実績!$AD$6:$AD$505,"&gt;"&amp;$A71,実績!$AE$6:$AE$505,"○")&gt;0,1,0))</f>
        <v/>
      </c>
      <c r="CF71">
        <f>IF(CF$4=0,0,IF(COUNTIFS(実績!$W$6:$W$505,CF$3,実績!$AC$6:$AC$505,"&lt;="&amp;$A71,実績!$AD$6:$AD$505,"&gt;"&amp;$A71,実績!$AE$6:$AE$505,"○")&gt;0,1,0))</f>
        <v/>
      </c>
      <c r="CG71">
        <f>IF(CG$4=0,0,IF(COUNTIFS(実績!$W$6:$W$505,CG$3,実績!$AC$6:$AC$505,"&lt;="&amp;$A71,実績!$AD$6:$AD$505,"&gt;"&amp;$A71,実績!$AE$6:$AE$505,"○")&gt;0,1,0))</f>
        <v/>
      </c>
      <c r="CH71">
        <f>IF(CH$4=0,0,IF(COUNTIFS(実績!$W$6:$W$505,CH$3,実績!$AC$6:$AC$505,"&lt;="&amp;$A71,実績!$AD$6:$AD$505,"&gt;"&amp;$A71,実績!$AE$6:$AE$505,"○")&gt;0,1,0))</f>
        <v/>
      </c>
      <c r="CI71">
        <f>IF(CI$4=0,0,IF(COUNTIFS(実績!$W$6:$W$505,CI$3,実績!$AC$6:$AC$505,"&lt;="&amp;$A71,実績!$AD$6:$AD$505,"&gt;"&amp;$A71,実績!$AE$6:$AE$505,"○")&gt;0,1,0))</f>
        <v/>
      </c>
      <c r="CJ71">
        <f>IF(CJ$4=0,0,IF(COUNTIFS(実績!$W$6:$W$505,CJ$3,実績!$AC$6:$AC$505,"&lt;="&amp;$A71,実績!$AD$6:$AD$505,"&gt;"&amp;$A71,実績!$AE$6:$AE$505,"○")&gt;0,1,0))</f>
        <v/>
      </c>
      <c r="CK71">
        <f>IF(CK$4=0,0,IF(COUNTIFS(実績!$W$6:$W$505,CK$3,実績!$AC$6:$AC$505,"&lt;="&amp;$A71,実績!$AD$6:$AD$505,"&gt;"&amp;$A71,実績!$AE$6:$AE$505,"○")&gt;0,1,0))</f>
        <v/>
      </c>
      <c r="CL71">
        <f>IF(CL$4=0,0,IF(COUNTIFS(実績!$W$6:$W$505,CL$3,実績!$AC$6:$AC$505,"&lt;="&amp;$A71,実績!$AD$6:$AD$505,"&gt;"&amp;$A71,実績!$AE$6:$AE$505,"○")&gt;0,1,0))</f>
        <v/>
      </c>
      <c r="CM71">
        <f>IF(CM$4=0,0,IF(COUNTIFS(実績!$W$6:$W$505,CM$3,実績!$AC$6:$AC$505,"&lt;="&amp;$A71,実績!$AD$6:$AD$505,"&gt;"&amp;$A71,実績!$AE$6:$AE$505,"○")&gt;0,1,0))</f>
        <v/>
      </c>
      <c r="CN71">
        <f>IF(CN$4=0,0,IF(COUNTIFS(実績!$W$6:$W$505,CN$3,実績!$AC$6:$AC$505,"&lt;="&amp;$A71,実績!$AD$6:$AD$505,"&gt;"&amp;$A71,実績!$AE$6:$AE$505,"○")&gt;0,1,0))</f>
        <v/>
      </c>
      <c r="CO71">
        <f>IF(CO$4=0,0,IF(COUNTIFS(実績!$W$6:$W$505,CO$3,実績!$AC$6:$AC$505,"&lt;="&amp;$A71,実績!$AD$6:$AD$505,"&gt;"&amp;$A71,実績!$AE$6:$AE$505,"○")&gt;0,1,0))</f>
        <v/>
      </c>
      <c r="CP71">
        <f>IF(CP$4=0,0,IF(COUNTIFS(実績!$W$6:$W$505,CP$3,実績!$AC$6:$AC$505,"&lt;="&amp;$A71,実績!$AD$6:$AD$505,"&gt;"&amp;$A71,実績!$AE$6:$AE$505,"○")&gt;0,1,0))</f>
        <v/>
      </c>
      <c r="CQ71">
        <f>IF(CQ$4=0,0,IF(COUNTIFS(実績!$W$6:$W$505,CQ$3,実績!$AC$6:$AC$505,"&lt;="&amp;$A71,実績!$AD$6:$AD$505,"&gt;"&amp;$A71,実績!$AE$6:$AE$505,"○")&gt;0,1,0))</f>
        <v/>
      </c>
      <c r="CR71">
        <f>IF(CR$4=0,0,IF(COUNTIFS(実績!$W$6:$W$505,CR$3,実績!$AC$6:$AC$505,"&lt;="&amp;$A71,実績!$AD$6:$AD$505,"&gt;"&amp;$A71,実績!$AE$6:$AE$505,"○")&gt;0,1,0))</f>
        <v/>
      </c>
      <c r="CS71">
        <f>IF(CS$4=0,0,IF(COUNTIFS(実績!$W$6:$W$505,CS$3,実績!$AC$6:$AC$505,"&lt;="&amp;$A71,実績!$AD$6:$AD$505,"&gt;"&amp;$A71,実績!$AE$6:$AE$505,"○")&gt;0,1,0))</f>
        <v/>
      </c>
      <c r="CT71">
        <f>IF(CT$4=0,0,IF(COUNTIFS(実績!$W$6:$W$505,CT$3,実績!$AC$6:$AC$505,"&lt;="&amp;$A71,実績!$AD$6:$AD$505,"&gt;"&amp;$A71,実績!$AE$6:$AE$505,"○")&gt;0,1,0))</f>
        <v/>
      </c>
      <c r="CU71">
        <f>IF(CU$4=0,0,IF(COUNTIFS(実績!$W$6:$W$505,CU$3,実績!$AC$6:$AC$505,"&lt;="&amp;$A71,実績!$AD$6:$AD$505,"&gt;"&amp;$A71,実績!$AE$6:$AE$505,"○")&gt;0,1,0))</f>
        <v/>
      </c>
      <c r="CV71">
        <f>IF(CV$4=0,0,IF(COUNTIFS(実績!$W$6:$W$505,CV$3,実績!$AC$6:$AC$505,"&lt;="&amp;$A71,実績!$AD$6:$AD$505,"&gt;"&amp;$A71,実績!$AE$6:$AE$505,"○")&gt;0,1,0))</f>
        <v/>
      </c>
      <c r="CW71">
        <f>IF(CW$4=0,0,IF(COUNTIFS(実績!$W$6:$W$505,CW$3,実績!$AC$6:$AC$505,"&lt;="&amp;$A71,実績!$AD$6:$AD$505,"&gt;"&amp;$A71,実績!$AE$6:$AE$505,"○")&gt;0,1,0))</f>
        <v/>
      </c>
      <c r="CX71">
        <f>IF(CX$4=0,0,IF(COUNTIFS(実績!$W$6:$W$505,CX$3,実績!$AC$6:$AC$505,"&lt;="&amp;$A71,実績!$AD$6:$AD$505,"&gt;"&amp;$A71,実績!$AE$6:$AE$505,"○")&gt;0,1,0))</f>
        <v/>
      </c>
      <c r="CY71">
        <f>IF(CY$4=0,0,IF(COUNTIFS(実績!$W$6:$W$505,CY$3,実績!$AC$6:$AC$505,"&lt;="&amp;$A71,実績!$AD$6:$AD$505,"&gt;"&amp;$A71,実績!$AE$6:$AE$505,"○")&gt;0,1,0))</f>
        <v/>
      </c>
      <c r="CZ71">
        <f>IF(CZ$4=0,0,IF(COUNTIFS(実績!$W$6:$W$505,CZ$3,実績!$AC$6:$AC$505,"&lt;="&amp;$A71,実績!$AD$6:$AD$505,"&gt;"&amp;$A71,実績!$AE$6:$AE$505,"○")&gt;0,1,0))</f>
        <v/>
      </c>
      <c r="DA71">
        <f>IF(DA$4=0,0,IF(COUNTIFS(実績!$W$6:$W$505,DA$3,実績!$AC$6:$AC$505,"&lt;="&amp;$A71,実績!$AD$6:$AD$505,"&gt;"&amp;$A71,実績!$AE$6:$AE$505,"○")&gt;0,1,0))</f>
        <v/>
      </c>
      <c r="DB71">
        <f>IF(DB$4=0,0,IF(COUNTIFS(実績!$W$6:$W$505,DB$3,実績!$AC$6:$AC$505,"&lt;="&amp;$A71,実績!$AD$6:$AD$505,"&gt;"&amp;$A71,実績!$AE$6:$AE$505,"○")&gt;0,1,0))</f>
        <v/>
      </c>
      <c r="DC71">
        <f>IF(DC$4=0,0,IF(COUNTIFS(実績!$W$6:$W$505,DC$3,実績!$AC$6:$AC$505,"&lt;="&amp;$A71,実績!$AD$6:$AD$505,"&gt;"&amp;$A71,実績!$AE$6:$AE$505,"○")&gt;0,1,0))</f>
        <v/>
      </c>
      <c r="DD71">
        <f>IF(DD$4=0,0,IF(COUNTIFS(実績!$W$6:$W$505,DD$3,実績!$AC$6:$AC$505,"&lt;="&amp;$A71,実績!$AD$6:$AD$505,"&gt;"&amp;$A71,実績!$AE$6:$AE$505,"○")&gt;0,1,0))</f>
        <v/>
      </c>
      <c r="DE71">
        <f>IF(DE$4=0,0,IF(COUNTIFS(実績!$W$6:$W$505,DE$3,実績!$AC$6:$AC$505,"&lt;="&amp;$A71,実績!$AD$6:$AD$505,"&gt;"&amp;$A71,実績!$AE$6:$AE$505,"○")&gt;0,1,0))</f>
        <v/>
      </c>
      <c r="DF71">
        <f>IF(DF$4=0,0,IF(COUNTIFS(実績!$W$6:$W$505,DF$3,実績!$AC$6:$AC$505,"&lt;="&amp;$A71,実績!$AD$6:$AD$505,"&gt;"&amp;$A71,実績!$AE$6:$AE$505,"○")&gt;0,1,0))</f>
        <v/>
      </c>
      <c r="DG71">
        <f>IF(DG$4=0,0,IF(COUNTIFS(実績!$W$6:$W$505,DG$3,実績!$AC$6:$AC$505,"&lt;="&amp;$A71,実績!$AD$6:$AD$505,"&gt;"&amp;$A71,実績!$AE$6:$AE$505,"○")&gt;0,1,0))</f>
        <v/>
      </c>
      <c r="DH71">
        <f>IF(DH$4=0,0,IF(COUNTIFS(実績!$W$6:$W$505,DH$3,実績!$AC$6:$AC$505,"&lt;="&amp;$A71,実績!$AD$6:$AD$505,"&gt;"&amp;$A71,実績!$AE$6:$AE$505,"○")&gt;0,1,0))</f>
        <v/>
      </c>
      <c r="DI71">
        <f>IF(DI$4=0,0,IF(COUNTIFS(実績!$W$6:$W$505,DI$3,実績!$AC$6:$AC$505,"&lt;="&amp;$A71,実績!$AD$6:$AD$505,"&gt;"&amp;$A71,実績!$AE$6:$AE$505,"○")&gt;0,1,0))</f>
        <v/>
      </c>
      <c r="DJ71">
        <f>IF(DJ$4=0,0,IF(COUNTIFS(実績!$W$6:$W$505,DJ$3,実績!$AC$6:$AC$505,"&lt;="&amp;$A71,実績!$AD$6:$AD$505,"&gt;"&amp;$A71,実績!$AE$6:$AE$505,"○")&gt;0,1,0))</f>
        <v/>
      </c>
      <c r="DK71">
        <f>IF(DK$4=0,0,IF(COUNTIFS(実績!$W$6:$W$505,DK$3,実績!$AC$6:$AC$505,"&lt;="&amp;$A71,実績!$AD$6:$AD$505,"&gt;"&amp;$A71,実績!$AE$6:$AE$505,"○")&gt;0,1,0))</f>
        <v/>
      </c>
      <c r="DL71">
        <f>IF(DL$4=0,0,IF(COUNTIFS(実績!$W$6:$W$505,DL$3,実績!$AC$6:$AC$505,"&lt;="&amp;$A71,実績!$AD$6:$AD$505,"&gt;"&amp;$A71,実績!$AE$6:$AE$505,"○")&gt;0,1,0))</f>
        <v/>
      </c>
      <c r="DM71">
        <f>IF(DM$4=0,0,IF(COUNTIFS(実績!$W$6:$W$505,DM$3,実績!$AC$6:$AC$505,"&lt;="&amp;$A71,実績!$AD$6:$AD$505,"&gt;"&amp;$A71,実績!$AE$6:$AE$505,"○")&gt;0,1,0))</f>
        <v/>
      </c>
      <c r="DN71">
        <f>IF(DN$4=0,0,IF(COUNTIFS(実績!$W$6:$W$505,DN$3,実績!$AC$6:$AC$505,"&lt;="&amp;$A71,実績!$AD$6:$AD$505,"&gt;"&amp;$A71,実績!$AE$6:$AE$505,"○")&gt;0,1,0))</f>
        <v/>
      </c>
      <c r="DO71">
        <f>IF(DO$4=0,0,IF(COUNTIFS(実績!$W$6:$W$505,DO$3,実績!$AC$6:$AC$505,"&lt;="&amp;$A71,実績!$AD$6:$AD$505,"&gt;"&amp;$A71,実績!$AE$6:$AE$505,"○")&gt;0,1,0))</f>
        <v/>
      </c>
      <c r="DP71">
        <f>IF(DP$4=0,0,IF(COUNTIFS(実績!$W$6:$W$505,DP$3,実績!$AC$6:$AC$505,"&lt;="&amp;$A71,実績!$AD$6:$AD$505,"&gt;"&amp;$A71,実績!$AE$6:$AE$505,"○")&gt;0,1,0))</f>
        <v/>
      </c>
      <c r="DQ71">
        <f>IF(DQ$4=0,0,IF(COUNTIFS(実績!$W$6:$W$505,DQ$3,実績!$AC$6:$AC$505,"&lt;="&amp;$A71,実績!$AD$6:$AD$505,"&gt;"&amp;$A71,実績!$AE$6:$AE$505,"○")&gt;0,1,0))</f>
        <v/>
      </c>
      <c r="DR71">
        <f>IF(DR$4=0,0,IF(COUNTIFS(実績!$W$6:$W$505,DR$3,実績!$AC$6:$AC$505,"&lt;="&amp;$A71,実績!$AD$6:$AD$505,"&gt;"&amp;$A71,実績!$AE$6:$AE$505,"○")&gt;0,1,0))</f>
        <v/>
      </c>
      <c r="DS71">
        <f>SUM(C71:DR71)</f>
        <v/>
      </c>
      <c r="DT71">
        <f>SUMPRODUCT((実績!$C$6:$C$505="○")*ISNUMBER(実績!$AF$6:$AF$505)*(実績!$AF$6:$AF$505&lt;=$A71)*(実績!$AG$6:$AG$505&gt;$A71))</f>
        <v/>
      </c>
      <c r="DU71">
        <f>SUMIF($C$2:$DR$2,"製鉄曳船",C71:DR71)</f>
        <v/>
      </c>
      <c r="DV71">
        <f>SUMIF($C$2:$DR$2,"西日本海運",C71:DR71)</f>
        <v/>
      </c>
    </row>
    <row r="72">
      <c r="A72" t="n">
        <v>330</v>
      </c>
      <c r="B72" s="29">
        <f>A72/1440</f>
        <v/>
      </c>
      <c r="C72">
        <f>IF(C$4=0,0,IF(COUNTIFS(実績!$W$6:$W$505,C$3,実績!$AC$6:$AC$505,"&lt;="&amp;$A72,実績!$AD$6:$AD$505,"&gt;"&amp;$A72,実績!$AE$6:$AE$505,"○")&gt;0,1,0))</f>
        <v/>
      </c>
      <c r="D72">
        <f>IF(D$4=0,0,IF(COUNTIFS(実績!$W$6:$W$505,D$3,実績!$AC$6:$AC$505,"&lt;="&amp;$A72,実績!$AD$6:$AD$505,"&gt;"&amp;$A72,実績!$AE$6:$AE$505,"○")&gt;0,1,0))</f>
        <v/>
      </c>
      <c r="E72">
        <f>IF(E$4=0,0,IF(COUNTIFS(実績!$W$6:$W$505,E$3,実績!$AC$6:$AC$505,"&lt;="&amp;$A72,実績!$AD$6:$AD$505,"&gt;"&amp;$A72,実績!$AE$6:$AE$505,"○")&gt;0,1,0))</f>
        <v/>
      </c>
      <c r="F72">
        <f>IF(F$4=0,0,IF(COUNTIFS(実績!$W$6:$W$505,F$3,実績!$AC$6:$AC$505,"&lt;="&amp;$A72,実績!$AD$6:$AD$505,"&gt;"&amp;$A72,実績!$AE$6:$AE$505,"○")&gt;0,1,0))</f>
        <v/>
      </c>
      <c r="G72">
        <f>IF(G$4=0,0,IF(COUNTIFS(実績!$W$6:$W$505,G$3,実績!$AC$6:$AC$505,"&lt;="&amp;$A72,実績!$AD$6:$AD$505,"&gt;"&amp;$A72,実績!$AE$6:$AE$505,"○")&gt;0,1,0))</f>
        <v/>
      </c>
      <c r="H72">
        <f>IF(H$4=0,0,IF(COUNTIFS(実績!$W$6:$W$505,H$3,実績!$AC$6:$AC$505,"&lt;="&amp;$A72,実績!$AD$6:$AD$505,"&gt;"&amp;$A72,実績!$AE$6:$AE$505,"○")&gt;0,1,0))</f>
        <v/>
      </c>
      <c r="I72">
        <f>IF(I$4=0,0,IF(COUNTIFS(実績!$W$6:$W$505,I$3,実績!$AC$6:$AC$505,"&lt;="&amp;$A72,実績!$AD$6:$AD$505,"&gt;"&amp;$A72,実績!$AE$6:$AE$505,"○")&gt;0,1,0))</f>
        <v/>
      </c>
      <c r="J72">
        <f>IF(J$4=0,0,IF(COUNTIFS(実績!$W$6:$W$505,J$3,実績!$AC$6:$AC$505,"&lt;="&amp;$A72,実績!$AD$6:$AD$505,"&gt;"&amp;$A72,実績!$AE$6:$AE$505,"○")&gt;0,1,0))</f>
        <v/>
      </c>
      <c r="K72">
        <f>IF(K$4=0,0,IF(COUNTIFS(実績!$W$6:$W$505,K$3,実績!$AC$6:$AC$505,"&lt;="&amp;$A72,実績!$AD$6:$AD$505,"&gt;"&amp;$A72,実績!$AE$6:$AE$505,"○")&gt;0,1,0))</f>
        <v/>
      </c>
      <c r="L72">
        <f>IF(L$4=0,0,IF(COUNTIFS(実績!$W$6:$W$505,L$3,実績!$AC$6:$AC$505,"&lt;="&amp;$A72,実績!$AD$6:$AD$505,"&gt;"&amp;$A72,実績!$AE$6:$AE$505,"○")&gt;0,1,0))</f>
        <v/>
      </c>
      <c r="M72">
        <f>IF(M$4=0,0,IF(COUNTIFS(実績!$W$6:$W$505,M$3,実績!$AC$6:$AC$505,"&lt;="&amp;$A72,実績!$AD$6:$AD$505,"&gt;"&amp;$A72,実績!$AE$6:$AE$505,"○")&gt;0,1,0))</f>
        <v/>
      </c>
      <c r="N72">
        <f>IF(N$4=0,0,IF(COUNTIFS(実績!$W$6:$W$505,N$3,実績!$AC$6:$AC$505,"&lt;="&amp;$A72,実績!$AD$6:$AD$505,"&gt;"&amp;$A72,実績!$AE$6:$AE$505,"○")&gt;0,1,0))</f>
        <v/>
      </c>
      <c r="O72">
        <f>IF(O$4=0,0,IF(COUNTIFS(実績!$W$6:$W$505,O$3,実績!$AC$6:$AC$505,"&lt;="&amp;$A72,実績!$AD$6:$AD$505,"&gt;"&amp;$A72,実績!$AE$6:$AE$505,"○")&gt;0,1,0))</f>
        <v/>
      </c>
      <c r="P72">
        <f>IF(P$4=0,0,IF(COUNTIFS(実績!$W$6:$W$505,P$3,実績!$AC$6:$AC$505,"&lt;="&amp;$A72,実績!$AD$6:$AD$505,"&gt;"&amp;$A72,実績!$AE$6:$AE$505,"○")&gt;0,1,0))</f>
        <v/>
      </c>
      <c r="Q72">
        <f>IF(Q$4=0,0,IF(COUNTIFS(実績!$W$6:$W$505,Q$3,実績!$AC$6:$AC$505,"&lt;="&amp;$A72,実績!$AD$6:$AD$505,"&gt;"&amp;$A72,実績!$AE$6:$AE$505,"○")&gt;0,1,0))</f>
        <v/>
      </c>
      <c r="R72">
        <f>IF(R$4=0,0,IF(COUNTIFS(実績!$W$6:$W$505,R$3,実績!$AC$6:$AC$505,"&lt;="&amp;$A72,実績!$AD$6:$AD$505,"&gt;"&amp;$A72,実績!$AE$6:$AE$505,"○")&gt;0,1,0))</f>
        <v/>
      </c>
      <c r="S72">
        <f>IF(S$4=0,0,IF(COUNTIFS(実績!$W$6:$W$505,S$3,実績!$AC$6:$AC$505,"&lt;="&amp;$A72,実績!$AD$6:$AD$505,"&gt;"&amp;$A72,実績!$AE$6:$AE$505,"○")&gt;0,1,0))</f>
        <v/>
      </c>
      <c r="T72">
        <f>IF(T$4=0,0,IF(COUNTIFS(実績!$W$6:$W$505,T$3,実績!$AC$6:$AC$505,"&lt;="&amp;$A72,実績!$AD$6:$AD$505,"&gt;"&amp;$A72,実績!$AE$6:$AE$505,"○")&gt;0,1,0))</f>
        <v/>
      </c>
      <c r="U72">
        <f>IF(U$4=0,0,IF(COUNTIFS(実績!$W$6:$W$505,U$3,実績!$AC$6:$AC$505,"&lt;="&amp;$A72,実績!$AD$6:$AD$505,"&gt;"&amp;$A72,実績!$AE$6:$AE$505,"○")&gt;0,1,0))</f>
        <v/>
      </c>
      <c r="V72">
        <f>IF(V$4=0,0,IF(COUNTIFS(実績!$W$6:$W$505,V$3,実績!$AC$6:$AC$505,"&lt;="&amp;$A72,実績!$AD$6:$AD$505,"&gt;"&amp;$A72,実績!$AE$6:$AE$505,"○")&gt;0,1,0))</f>
        <v/>
      </c>
      <c r="W72">
        <f>IF(W$4=0,0,IF(COUNTIFS(実績!$W$6:$W$505,W$3,実績!$AC$6:$AC$505,"&lt;="&amp;$A72,実績!$AD$6:$AD$505,"&gt;"&amp;$A72,実績!$AE$6:$AE$505,"○")&gt;0,1,0))</f>
        <v/>
      </c>
      <c r="X72">
        <f>IF(X$4=0,0,IF(COUNTIFS(実績!$W$6:$W$505,X$3,実績!$AC$6:$AC$505,"&lt;="&amp;$A72,実績!$AD$6:$AD$505,"&gt;"&amp;$A72,実績!$AE$6:$AE$505,"○")&gt;0,1,0))</f>
        <v/>
      </c>
      <c r="Y72">
        <f>IF(Y$4=0,0,IF(COUNTIFS(実績!$W$6:$W$505,Y$3,実績!$AC$6:$AC$505,"&lt;="&amp;$A72,実績!$AD$6:$AD$505,"&gt;"&amp;$A72,実績!$AE$6:$AE$505,"○")&gt;0,1,0))</f>
        <v/>
      </c>
      <c r="Z72">
        <f>IF(Z$4=0,0,IF(COUNTIFS(実績!$W$6:$W$505,Z$3,実績!$AC$6:$AC$505,"&lt;="&amp;$A72,実績!$AD$6:$AD$505,"&gt;"&amp;$A72,実績!$AE$6:$AE$505,"○")&gt;0,1,0))</f>
        <v/>
      </c>
      <c r="AA72">
        <f>IF(AA$4=0,0,IF(COUNTIFS(実績!$W$6:$W$505,AA$3,実績!$AC$6:$AC$505,"&lt;="&amp;$A72,実績!$AD$6:$AD$505,"&gt;"&amp;$A72,実績!$AE$6:$AE$505,"○")&gt;0,1,0))</f>
        <v/>
      </c>
      <c r="AB72">
        <f>IF(AB$4=0,0,IF(COUNTIFS(実績!$W$6:$W$505,AB$3,実績!$AC$6:$AC$505,"&lt;="&amp;$A72,実績!$AD$6:$AD$505,"&gt;"&amp;$A72,実績!$AE$6:$AE$505,"○")&gt;0,1,0))</f>
        <v/>
      </c>
      <c r="AC72">
        <f>IF(AC$4=0,0,IF(COUNTIFS(実績!$W$6:$W$505,AC$3,実績!$AC$6:$AC$505,"&lt;="&amp;$A72,実績!$AD$6:$AD$505,"&gt;"&amp;$A72,実績!$AE$6:$AE$505,"○")&gt;0,1,0))</f>
        <v/>
      </c>
      <c r="AD72">
        <f>IF(AD$4=0,0,IF(COUNTIFS(実績!$W$6:$W$505,AD$3,実績!$AC$6:$AC$505,"&lt;="&amp;$A72,実績!$AD$6:$AD$505,"&gt;"&amp;$A72,実績!$AE$6:$AE$505,"○")&gt;0,1,0))</f>
        <v/>
      </c>
      <c r="AE72">
        <f>IF(AE$4=0,0,IF(COUNTIFS(実績!$W$6:$W$505,AE$3,実績!$AC$6:$AC$505,"&lt;="&amp;$A72,実績!$AD$6:$AD$505,"&gt;"&amp;$A72,実績!$AE$6:$AE$505,"○")&gt;0,1,0))</f>
        <v/>
      </c>
      <c r="AF72">
        <f>IF(AF$4=0,0,IF(COUNTIFS(実績!$W$6:$W$505,AF$3,実績!$AC$6:$AC$505,"&lt;="&amp;$A72,実績!$AD$6:$AD$505,"&gt;"&amp;$A72,実績!$AE$6:$AE$505,"○")&gt;0,1,0))</f>
        <v/>
      </c>
      <c r="AG72">
        <f>IF(AG$4=0,0,IF(COUNTIFS(実績!$W$6:$W$505,AG$3,実績!$AC$6:$AC$505,"&lt;="&amp;$A72,実績!$AD$6:$AD$505,"&gt;"&amp;$A72,実績!$AE$6:$AE$505,"○")&gt;0,1,0))</f>
        <v/>
      </c>
      <c r="AH72">
        <f>IF(AH$4=0,0,IF(COUNTIFS(実績!$W$6:$W$505,AH$3,実績!$AC$6:$AC$505,"&lt;="&amp;$A72,実績!$AD$6:$AD$505,"&gt;"&amp;$A72,実績!$AE$6:$AE$505,"○")&gt;0,1,0))</f>
        <v/>
      </c>
      <c r="AI72">
        <f>IF(AI$4=0,0,IF(COUNTIFS(実績!$W$6:$W$505,AI$3,実績!$AC$6:$AC$505,"&lt;="&amp;$A72,実績!$AD$6:$AD$505,"&gt;"&amp;$A72,実績!$AE$6:$AE$505,"○")&gt;0,1,0))</f>
        <v/>
      </c>
      <c r="AJ72">
        <f>IF(AJ$4=0,0,IF(COUNTIFS(実績!$W$6:$W$505,AJ$3,実績!$AC$6:$AC$505,"&lt;="&amp;$A72,実績!$AD$6:$AD$505,"&gt;"&amp;$A72,実績!$AE$6:$AE$505,"○")&gt;0,1,0))</f>
        <v/>
      </c>
      <c r="AK72">
        <f>IF(AK$4=0,0,IF(COUNTIFS(実績!$W$6:$W$505,AK$3,実績!$AC$6:$AC$505,"&lt;="&amp;$A72,実績!$AD$6:$AD$505,"&gt;"&amp;$A72,実績!$AE$6:$AE$505,"○")&gt;0,1,0))</f>
        <v/>
      </c>
      <c r="AL72">
        <f>IF(AL$4=0,0,IF(COUNTIFS(実績!$W$6:$W$505,AL$3,実績!$AC$6:$AC$505,"&lt;="&amp;$A72,実績!$AD$6:$AD$505,"&gt;"&amp;$A72,実績!$AE$6:$AE$505,"○")&gt;0,1,0))</f>
        <v/>
      </c>
      <c r="AM72">
        <f>IF(AM$4=0,0,IF(COUNTIFS(実績!$W$6:$W$505,AM$3,実績!$AC$6:$AC$505,"&lt;="&amp;$A72,実績!$AD$6:$AD$505,"&gt;"&amp;$A72,実績!$AE$6:$AE$505,"○")&gt;0,1,0))</f>
        <v/>
      </c>
      <c r="AN72">
        <f>IF(AN$4=0,0,IF(COUNTIFS(実績!$W$6:$W$505,AN$3,実績!$AC$6:$AC$505,"&lt;="&amp;$A72,実績!$AD$6:$AD$505,"&gt;"&amp;$A72,実績!$AE$6:$AE$505,"○")&gt;0,1,0))</f>
        <v/>
      </c>
      <c r="AO72">
        <f>IF(AO$4=0,0,IF(COUNTIFS(実績!$W$6:$W$505,AO$3,実績!$AC$6:$AC$505,"&lt;="&amp;$A72,実績!$AD$6:$AD$505,"&gt;"&amp;$A72,実績!$AE$6:$AE$505,"○")&gt;0,1,0))</f>
        <v/>
      </c>
      <c r="AP72">
        <f>IF(AP$4=0,0,IF(COUNTIFS(実績!$W$6:$W$505,AP$3,実績!$AC$6:$AC$505,"&lt;="&amp;$A72,実績!$AD$6:$AD$505,"&gt;"&amp;$A72,実績!$AE$6:$AE$505,"○")&gt;0,1,0))</f>
        <v/>
      </c>
      <c r="AQ72">
        <f>IF(AQ$4=0,0,IF(COUNTIFS(実績!$W$6:$W$505,AQ$3,実績!$AC$6:$AC$505,"&lt;="&amp;$A72,実績!$AD$6:$AD$505,"&gt;"&amp;$A72,実績!$AE$6:$AE$505,"○")&gt;0,1,0))</f>
        <v/>
      </c>
      <c r="AR72">
        <f>IF(AR$4=0,0,IF(COUNTIFS(実績!$W$6:$W$505,AR$3,実績!$AC$6:$AC$505,"&lt;="&amp;$A72,実績!$AD$6:$AD$505,"&gt;"&amp;$A72,実績!$AE$6:$AE$505,"○")&gt;0,1,0))</f>
        <v/>
      </c>
      <c r="AS72">
        <f>IF(AS$4=0,0,IF(COUNTIFS(実績!$W$6:$W$505,AS$3,実績!$AC$6:$AC$505,"&lt;="&amp;$A72,実績!$AD$6:$AD$505,"&gt;"&amp;$A72,実績!$AE$6:$AE$505,"○")&gt;0,1,0))</f>
        <v/>
      </c>
      <c r="AT72">
        <f>IF(AT$4=0,0,IF(COUNTIFS(実績!$W$6:$W$505,AT$3,実績!$AC$6:$AC$505,"&lt;="&amp;$A72,実績!$AD$6:$AD$505,"&gt;"&amp;$A72,実績!$AE$6:$AE$505,"○")&gt;0,1,0))</f>
        <v/>
      </c>
      <c r="AU72">
        <f>IF(AU$4=0,0,IF(COUNTIFS(実績!$W$6:$W$505,AU$3,実績!$AC$6:$AC$505,"&lt;="&amp;$A72,実績!$AD$6:$AD$505,"&gt;"&amp;$A72,実績!$AE$6:$AE$505,"○")&gt;0,1,0))</f>
        <v/>
      </c>
      <c r="AV72">
        <f>IF(AV$4=0,0,IF(COUNTIFS(実績!$W$6:$W$505,AV$3,実績!$AC$6:$AC$505,"&lt;="&amp;$A72,実績!$AD$6:$AD$505,"&gt;"&amp;$A72,実績!$AE$6:$AE$505,"○")&gt;0,1,0))</f>
        <v/>
      </c>
      <c r="AW72">
        <f>IF(AW$4=0,0,IF(COUNTIFS(実績!$W$6:$W$505,AW$3,実績!$AC$6:$AC$505,"&lt;="&amp;$A72,実績!$AD$6:$AD$505,"&gt;"&amp;$A72,実績!$AE$6:$AE$505,"○")&gt;0,1,0))</f>
        <v/>
      </c>
      <c r="AX72">
        <f>IF(AX$4=0,0,IF(COUNTIFS(実績!$W$6:$W$505,AX$3,実績!$AC$6:$AC$505,"&lt;="&amp;$A72,実績!$AD$6:$AD$505,"&gt;"&amp;$A72,実績!$AE$6:$AE$505,"○")&gt;0,1,0))</f>
        <v/>
      </c>
      <c r="AY72">
        <f>IF(AY$4=0,0,IF(COUNTIFS(実績!$W$6:$W$505,AY$3,実績!$AC$6:$AC$505,"&lt;="&amp;$A72,実績!$AD$6:$AD$505,"&gt;"&amp;$A72,実績!$AE$6:$AE$505,"○")&gt;0,1,0))</f>
        <v/>
      </c>
      <c r="AZ72">
        <f>IF(AZ$4=0,0,IF(COUNTIFS(実績!$W$6:$W$505,AZ$3,実績!$AC$6:$AC$505,"&lt;="&amp;$A72,実績!$AD$6:$AD$505,"&gt;"&amp;$A72,実績!$AE$6:$AE$505,"○")&gt;0,1,0))</f>
        <v/>
      </c>
      <c r="BA72">
        <f>IF(BA$4=0,0,IF(COUNTIFS(実績!$W$6:$W$505,BA$3,実績!$AC$6:$AC$505,"&lt;="&amp;$A72,実績!$AD$6:$AD$505,"&gt;"&amp;$A72,実績!$AE$6:$AE$505,"○")&gt;0,1,0))</f>
        <v/>
      </c>
      <c r="BB72">
        <f>IF(BB$4=0,0,IF(COUNTIFS(実績!$W$6:$W$505,BB$3,実績!$AC$6:$AC$505,"&lt;="&amp;$A72,実績!$AD$6:$AD$505,"&gt;"&amp;$A72,実績!$AE$6:$AE$505,"○")&gt;0,1,0))</f>
        <v/>
      </c>
      <c r="BC72">
        <f>IF(BC$4=0,0,IF(COUNTIFS(実績!$W$6:$W$505,BC$3,実績!$AC$6:$AC$505,"&lt;="&amp;$A72,実績!$AD$6:$AD$505,"&gt;"&amp;$A72,実績!$AE$6:$AE$505,"○")&gt;0,1,0))</f>
        <v/>
      </c>
      <c r="BD72">
        <f>IF(BD$4=0,0,IF(COUNTIFS(実績!$W$6:$W$505,BD$3,実績!$AC$6:$AC$505,"&lt;="&amp;$A72,実績!$AD$6:$AD$505,"&gt;"&amp;$A72,実績!$AE$6:$AE$505,"○")&gt;0,1,0))</f>
        <v/>
      </c>
      <c r="BE72">
        <f>IF(BE$4=0,0,IF(COUNTIFS(実績!$W$6:$W$505,BE$3,実績!$AC$6:$AC$505,"&lt;="&amp;$A72,実績!$AD$6:$AD$505,"&gt;"&amp;$A72,実績!$AE$6:$AE$505,"○")&gt;0,1,0))</f>
        <v/>
      </c>
      <c r="BF72">
        <f>IF(BF$4=0,0,IF(COUNTIFS(実績!$W$6:$W$505,BF$3,実績!$AC$6:$AC$505,"&lt;="&amp;$A72,実績!$AD$6:$AD$505,"&gt;"&amp;$A72,実績!$AE$6:$AE$505,"○")&gt;0,1,0))</f>
        <v/>
      </c>
      <c r="BG72">
        <f>IF(BG$4=0,0,IF(COUNTIFS(実績!$W$6:$W$505,BG$3,実績!$AC$6:$AC$505,"&lt;="&amp;$A72,実績!$AD$6:$AD$505,"&gt;"&amp;$A72,実績!$AE$6:$AE$505,"○")&gt;0,1,0))</f>
        <v/>
      </c>
      <c r="BH72">
        <f>IF(BH$4=0,0,IF(COUNTIFS(実績!$W$6:$W$505,BH$3,実績!$AC$6:$AC$505,"&lt;="&amp;$A72,実績!$AD$6:$AD$505,"&gt;"&amp;$A72,実績!$AE$6:$AE$505,"○")&gt;0,1,0))</f>
        <v/>
      </c>
      <c r="BI72">
        <f>IF(BI$4=0,0,IF(COUNTIFS(実績!$W$6:$W$505,BI$3,実績!$AC$6:$AC$505,"&lt;="&amp;$A72,実績!$AD$6:$AD$505,"&gt;"&amp;$A72,実績!$AE$6:$AE$505,"○")&gt;0,1,0))</f>
        <v/>
      </c>
      <c r="BJ72">
        <f>IF(BJ$4=0,0,IF(COUNTIFS(実績!$W$6:$W$505,BJ$3,実績!$AC$6:$AC$505,"&lt;="&amp;$A72,実績!$AD$6:$AD$505,"&gt;"&amp;$A72,実績!$AE$6:$AE$505,"○")&gt;0,1,0))</f>
        <v/>
      </c>
      <c r="BK72">
        <f>IF(BK$4=0,0,IF(COUNTIFS(実績!$W$6:$W$505,BK$3,実績!$AC$6:$AC$505,"&lt;="&amp;$A72,実績!$AD$6:$AD$505,"&gt;"&amp;$A72,実績!$AE$6:$AE$505,"○")&gt;0,1,0))</f>
        <v/>
      </c>
      <c r="BL72">
        <f>IF(BL$4=0,0,IF(COUNTIFS(実績!$W$6:$W$505,BL$3,実績!$AC$6:$AC$505,"&lt;="&amp;$A72,実績!$AD$6:$AD$505,"&gt;"&amp;$A72,実績!$AE$6:$AE$505,"○")&gt;0,1,0))</f>
        <v/>
      </c>
      <c r="BM72">
        <f>IF(BM$4=0,0,IF(COUNTIFS(実績!$W$6:$W$505,BM$3,実績!$AC$6:$AC$505,"&lt;="&amp;$A72,実績!$AD$6:$AD$505,"&gt;"&amp;$A72,実績!$AE$6:$AE$505,"○")&gt;0,1,0))</f>
        <v/>
      </c>
      <c r="BN72">
        <f>IF(BN$4=0,0,IF(COUNTIFS(実績!$W$6:$W$505,BN$3,実績!$AC$6:$AC$505,"&lt;="&amp;$A72,実績!$AD$6:$AD$505,"&gt;"&amp;$A72,実績!$AE$6:$AE$505,"○")&gt;0,1,0))</f>
        <v/>
      </c>
      <c r="BO72">
        <f>IF(BO$4=0,0,IF(COUNTIFS(実績!$W$6:$W$505,BO$3,実績!$AC$6:$AC$505,"&lt;="&amp;$A72,実績!$AD$6:$AD$505,"&gt;"&amp;$A72,実績!$AE$6:$AE$505,"○")&gt;0,1,0))</f>
        <v/>
      </c>
      <c r="BP72">
        <f>IF(BP$4=0,0,IF(COUNTIFS(実績!$W$6:$W$505,BP$3,実績!$AC$6:$AC$505,"&lt;="&amp;$A72,実績!$AD$6:$AD$505,"&gt;"&amp;$A72,実績!$AE$6:$AE$505,"○")&gt;0,1,0))</f>
        <v/>
      </c>
      <c r="BQ72">
        <f>IF(BQ$4=0,0,IF(COUNTIFS(実績!$W$6:$W$505,BQ$3,実績!$AC$6:$AC$505,"&lt;="&amp;$A72,実績!$AD$6:$AD$505,"&gt;"&amp;$A72,実績!$AE$6:$AE$505,"○")&gt;0,1,0))</f>
        <v/>
      </c>
      <c r="BR72">
        <f>IF(BR$4=0,0,IF(COUNTIFS(実績!$W$6:$W$505,BR$3,実績!$AC$6:$AC$505,"&lt;="&amp;$A72,実績!$AD$6:$AD$505,"&gt;"&amp;$A72,実績!$AE$6:$AE$505,"○")&gt;0,1,0))</f>
        <v/>
      </c>
      <c r="BS72">
        <f>IF(BS$4=0,0,IF(COUNTIFS(実績!$W$6:$W$505,BS$3,実績!$AC$6:$AC$505,"&lt;="&amp;$A72,実績!$AD$6:$AD$505,"&gt;"&amp;$A72,実績!$AE$6:$AE$505,"○")&gt;0,1,0))</f>
        <v/>
      </c>
      <c r="BT72">
        <f>IF(BT$4=0,0,IF(COUNTIFS(実績!$W$6:$W$505,BT$3,実績!$AC$6:$AC$505,"&lt;="&amp;$A72,実績!$AD$6:$AD$505,"&gt;"&amp;$A72,実績!$AE$6:$AE$505,"○")&gt;0,1,0))</f>
        <v/>
      </c>
      <c r="BU72">
        <f>IF(BU$4=0,0,IF(COUNTIFS(実績!$W$6:$W$505,BU$3,実績!$AC$6:$AC$505,"&lt;="&amp;$A72,実績!$AD$6:$AD$505,"&gt;"&amp;$A72,実績!$AE$6:$AE$505,"○")&gt;0,1,0))</f>
        <v/>
      </c>
      <c r="BV72">
        <f>IF(BV$4=0,0,IF(COUNTIFS(実績!$W$6:$W$505,BV$3,実績!$AC$6:$AC$505,"&lt;="&amp;$A72,実績!$AD$6:$AD$505,"&gt;"&amp;$A72,実績!$AE$6:$AE$505,"○")&gt;0,1,0))</f>
        <v/>
      </c>
      <c r="BW72">
        <f>IF(BW$4=0,0,IF(COUNTIFS(実績!$W$6:$W$505,BW$3,実績!$AC$6:$AC$505,"&lt;="&amp;$A72,実績!$AD$6:$AD$505,"&gt;"&amp;$A72,実績!$AE$6:$AE$505,"○")&gt;0,1,0))</f>
        <v/>
      </c>
      <c r="BX72">
        <f>IF(BX$4=0,0,IF(COUNTIFS(実績!$W$6:$W$505,BX$3,実績!$AC$6:$AC$505,"&lt;="&amp;$A72,実績!$AD$6:$AD$505,"&gt;"&amp;$A72,実績!$AE$6:$AE$505,"○")&gt;0,1,0))</f>
        <v/>
      </c>
      <c r="BY72">
        <f>IF(BY$4=0,0,IF(COUNTIFS(実績!$W$6:$W$505,BY$3,実績!$AC$6:$AC$505,"&lt;="&amp;$A72,実績!$AD$6:$AD$505,"&gt;"&amp;$A72,実績!$AE$6:$AE$505,"○")&gt;0,1,0))</f>
        <v/>
      </c>
      <c r="BZ72">
        <f>IF(BZ$4=0,0,IF(COUNTIFS(実績!$W$6:$W$505,BZ$3,実績!$AC$6:$AC$505,"&lt;="&amp;$A72,実績!$AD$6:$AD$505,"&gt;"&amp;$A72,実績!$AE$6:$AE$505,"○")&gt;0,1,0))</f>
        <v/>
      </c>
      <c r="CA72">
        <f>IF(CA$4=0,0,IF(COUNTIFS(実績!$W$6:$W$505,CA$3,実績!$AC$6:$AC$505,"&lt;="&amp;$A72,実績!$AD$6:$AD$505,"&gt;"&amp;$A72,実績!$AE$6:$AE$505,"○")&gt;0,1,0))</f>
        <v/>
      </c>
      <c r="CB72">
        <f>IF(CB$4=0,0,IF(COUNTIFS(実績!$W$6:$W$505,CB$3,実績!$AC$6:$AC$505,"&lt;="&amp;$A72,実績!$AD$6:$AD$505,"&gt;"&amp;$A72,実績!$AE$6:$AE$505,"○")&gt;0,1,0))</f>
        <v/>
      </c>
      <c r="CC72">
        <f>IF(CC$4=0,0,IF(COUNTIFS(実績!$W$6:$W$505,CC$3,実績!$AC$6:$AC$505,"&lt;="&amp;$A72,実績!$AD$6:$AD$505,"&gt;"&amp;$A72,実績!$AE$6:$AE$505,"○")&gt;0,1,0))</f>
        <v/>
      </c>
      <c r="CD72">
        <f>IF(CD$4=0,0,IF(COUNTIFS(実績!$W$6:$W$505,CD$3,実績!$AC$6:$AC$505,"&lt;="&amp;$A72,実績!$AD$6:$AD$505,"&gt;"&amp;$A72,実績!$AE$6:$AE$505,"○")&gt;0,1,0))</f>
        <v/>
      </c>
      <c r="CE72">
        <f>IF(CE$4=0,0,IF(COUNTIFS(実績!$W$6:$W$505,CE$3,実績!$AC$6:$AC$505,"&lt;="&amp;$A72,実績!$AD$6:$AD$505,"&gt;"&amp;$A72,実績!$AE$6:$AE$505,"○")&gt;0,1,0))</f>
        <v/>
      </c>
      <c r="CF72">
        <f>IF(CF$4=0,0,IF(COUNTIFS(実績!$W$6:$W$505,CF$3,実績!$AC$6:$AC$505,"&lt;="&amp;$A72,実績!$AD$6:$AD$505,"&gt;"&amp;$A72,実績!$AE$6:$AE$505,"○")&gt;0,1,0))</f>
        <v/>
      </c>
      <c r="CG72">
        <f>IF(CG$4=0,0,IF(COUNTIFS(実績!$W$6:$W$505,CG$3,実績!$AC$6:$AC$505,"&lt;="&amp;$A72,実績!$AD$6:$AD$505,"&gt;"&amp;$A72,実績!$AE$6:$AE$505,"○")&gt;0,1,0))</f>
        <v/>
      </c>
      <c r="CH72">
        <f>IF(CH$4=0,0,IF(COUNTIFS(実績!$W$6:$W$505,CH$3,実績!$AC$6:$AC$505,"&lt;="&amp;$A72,実績!$AD$6:$AD$505,"&gt;"&amp;$A72,実績!$AE$6:$AE$505,"○")&gt;0,1,0))</f>
        <v/>
      </c>
      <c r="CI72">
        <f>IF(CI$4=0,0,IF(COUNTIFS(実績!$W$6:$W$505,CI$3,実績!$AC$6:$AC$505,"&lt;="&amp;$A72,実績!$AD$6:$AD$505,"&gt;"&amp;$A72,実績!$AE$6:$AE$505,"○")&gt;0,1,0))</f>
        <v/>
      </c>
      <c r="CJ72">
        <f>IF(CJ$4=0,0,IF(COUNTIFS(実績!$W$6:$W$505,CJ$3,実績!$AC$6:$AC$505,"&lt;="&amp;$A72,実績!$AD$6:$AD$505,"&gt;"&amp;$A72,実績!$AE$6:$AE$505,"○")&gt;0,1,0))</f>
        <v/>
      </c>
      <c r="CK72">
        <f>IF(CK$4=0,0,IF(COUNTIFS(実績!$W$6:$W$505,CK$3,実績!$AC$6:$AC$505,"&lt;="&amp;$A72,実績!$AD$6:$AD$505,"&gt;"&amp;$A72,実績!$AE$6:$AE$505,"○")&gt;0,1,0))</f>
        <v/>
      </c>
      <c r="CL72">
        <f>IF(CL$4=0,0,IF(COUNTIFS(実績!$W$6:$W$505,CL$3,実績!$AC$6:$AC$505,"&lt;="&amp;$A72,実績!$AD$6:$AD$505,"&gt;"&amp;$A72,実績!$AE$6:$AE$505,"○")&gt;0,1,0))</f>
        <v/>
      </c>
      <c r="CM72">
        <f>IF(CM$4=0,0,IF(COUNTIFS(実績!$W$6:$W$505,CM$3,実績!$AC$6:$AC$505,"&lt;="&amp;$A72,実績!$AD$6:$AD$505,"&gt;"&amp;$A72,実績!$AE$6:$AE$505,"○")&gt;0,1,0))</f>
        <v/>
      </c>
      <c r="CN72">
        <f>IF(CN$4=0,0,IF(COUNTIFS(実績!$W$6:$W$505,CN$3,実績!$AC$6:$AC$505,"&lt;="&amp;$A72,実績!$AD$6:$AD$505,"&gt;"&amp;$A72,実績!$AE$6:$AE$505,"○")&gt;0,1,0))</f>
        <v/>
      </c>
      <c r="CO72">
        <f>IF(CO$4=0,0,IF(COUNTIFS(実績!$W$6:$W$505,CO$3,実績!$AC$6:$AC$505,"&lt;="&amp;$A72,実績!$AD$6:$AD$505,"&gt;"&amp;$A72,実績!$AE$6:$AE$505,"○")&gt;0,1,0))</f>
        <v/>
      </c>
      <c r="CP72">
        <f>IF(CP$4=0,0,IF(COUNTIFS(実績!$W$6:$W$505,CP$3,実績!$AC$6:$AC$505,"&lt;="&amp;$A72,実績!$AD$6:$AD$505,"&gt;"&amp;$A72,実績!$AE$6:$AE$505,"○")&gt;0,1,0))</f>
        <v/>
      </c>
      <c r="CQ72">
        <f>IF(CQ$4=0,0,IF(COUNTIFS(実績!$W$6:$W$505,CQ$3,実績!$AC$6:$AC$505,"&lt;="&amp;$A72,実績!$AD$6:$AD$505,"&gt;"&amp;$A72,実績!$AE$6:$AE$505,"○")&gt;0,1,0))</f>
        <v/>
      </c>
      <c r="CR72">
        <f>IF(CR$4=0,0,IF(COUNTIFS(実績!$W$6:$W$505,CR$3,実績!$AC$6:$AC$505,"&lt;="&amp;$A72,実績!$AD$6:$AD$505,"&gt;"&amp;$A72,実績!$AE$6:$AE$505,"○")&gt;0,1,0))</f>
        <v/>
      </c>
      <c r="CS72">
        <f>IF(CS$4=0,0,IF(COUNTIFS(実績!$W$6:$W$505,CS$3,実績!$AC$6:$AC$505,"&lt;="&amp;$A72,実績!$AD$6:$AD$505,"&gt;"&amp;$A72,実績!$AE$6:$AE$505,"○")&gt;0,1,0))</f>
        <v/>
      </c>
      <c r="CT72">
        <f>IF(CT$4=0,0,IF(COUNTIFS(実績!$W$6:$W$505,CT$3,実績!$AC$6:$AC$505,"&lt;="&amp;$A72,実績!$AD$6:$AD$505,"&gt;"&amp;$A72,実績!$AE$6:$AE$505,"○")&gt;0,1,0))</f>
        <v/>
      </c>
      <c r="CU72">
        <f>IF(CU$4=0,0,IF(COUNTIFS(実績!$W$6:$W$505,CU$3,実績!$AC$6:$AC$505,"&lt;="&amp;$A72,実績!$AD$6:$AD$505,"&gt;"&amp;$A72,実績!$AE$6:$AE$505,"○")&gt;0,1,0))</f>
        <v/>
      </c>
      <c r="CV72">
        <f>IF(CV$4=0,0,IF(COUNTIFS(実績!$W$6:$W$505,CV$3,実績!$AC$6:$AC$505,"&lt;="&amp;$A72,実績!$AD$6:$AD$505,"&gt;"&amp;$A72,実績!$AE$6:$AE$505,"○")&gt;0,1,0))</f>
        <v/>
      </c>
      <c r="CW72">
        <f>IF(CW$4=0,0,IF(COUNTIFS(実績!$W$6:$W$505,CW$3,実績!$AC$6:$AC$505,"&lt;="&amp;$A72,実績!$AD$6:$AD$505,"&gt;"&amp;$A72,実績!$AE$6:$AE$505,"○")&gt;0,1,0))</f>
        <v/>
      </c>
      <c r="CX72">
        <f>IF(CX$4=0,0,IF(COUNTIFS(実績!$W$6:$W$505,CX$3,実績!$AC$6:$AC$505,"&lt;="&amp;$A72,実績!$AD$6:$AD$505,"&gt;"&amp;$A72,実績!$AE$6:$AE$505,"○")&gt;0,1,0))</f>
        <v/>
      </c>
      <c r="CY72">
        <f>IF(CY$4=0,0,IF(COUNTIFS(実績!$W$6:$W$505,CY$3,実績!$AC$6:$AC$505,"&lt;="&amp;$A72,実績!$AD$6:$AD$505,"&gt;"&amp;$A72,実績!$AE$6:$AE$505,"○")&gt;0,1,0))</f>
        <v/>
      </c>
      <c r="CZ72">
        <f>IF(CZ$4=0,0,IF(COUNTIFS(実績!$W$6:$W$505,CZ$3,実績!$AC$6:$AC$505,"&lt;="&amp;$A72,実績!$AD$6:$AD$505,"&gt;"&amp;$A72,実績!$AE$6:$AE$505,"○")&gt;0,1,0))</f>
        <v/>
      </c>
      <c r="DA72">
        <f>IF(DA$4=0,0,IF(COUNTIFS(実績!$W$6:$W$505,DA$3,実績!$AC$6:$AC$505,"&lt;="&amp;$A72,実績!$AD$6:$AD$505,"&gt;"&amp;$A72,実績!$AE$6:$AE$505,"○")&gt;0,1,0))</f>
        <v/>
      </c>
      <c r="DB72">
        <f>IF(DB$4=0,0,IF(COUNTIFS(実績!$W$6:$W$505,DB$3,実績!$AC$6:$AC$505,"&lt;="&amp;$A72,実績!$AD$6:$AD$505,"&gt;"&amp;$A72,実績!$AE$6:$AE$505,"○")&gt;0,1,0))</f>
        <v/>
      </c>
      <c r="DC72">
        <f>IF(DC$4=0,0,IF(COUNTIFS(実績!$W$6:$W$505,DC$3,実績!$AC$6:$AC$505,"&lt;="&amp;$A72,実績!$AD$6:$AD$505,"&gt;"&amp;$A72,実績!$AE$6:$AE$505,"○")&gt;0,1,0))</f>
        <v/>
      </c>
      <c r="DD72">
        <f>IF(DD$4=0,0,IF(COUNTIFS(実績!$W$6:$W$505,DD$3,実績!$AC$6:$AC$505,"&lt;="&amp;$A72,実績!$AD$6:$AD$505,"&gt;"&amp;$A72,実績!$AE$6:$AE$505,"○")&gt;0,1,0))</f>
        <v/>
      </c>
      <c r="DE72">
        <f>IF(DE$4=0,0,IF(COUNTIFS(実績!$W$6:$W$505,DE$3,実績!$AC$6:$AC$505,"&lt;="&amp;$A72,実績!$AD$6:$AD$505,"&gt;"&amp;$A72,実績!$AE$6:$AE$505,"○")&gt;0,1,0))</f>
        <v/>
      </c>
      <c r="DF72">
        <f>IF(DF$4=0,0,IF(COUNTIFS(実績!$W$6:$W$505,DF$3,実績!$AC$6:$AC$505,"&lt;="&amp;$A72,実績!$AD$6:$AD$505,"&gt;"&amp;$A72,実績!$AE$6:$AE$505,"○")&gt;0,1,0))</f>
        <v/>
      </c>
      <c r="DG72">
        <f>IF(DG$4=0,0,IF(COUNTIFS(実績!$W$6:$W$505,DG$3,実績!$AC$6:$AC$505,"&lt;="&amp;$A72,実績!$AD$6:$AD$505,"&gt;"&amp;$A72,実績!$AE$6:$AE$505,"○")&gt;0,1,0))</f>
        <v/>
      </c>
      <c r="DH72">
        <f>IF(DH$4=0,0,IF(COUNTIFS(実績!$W$6:$W$505,DH$3,実績!$AC$6:$AC$505,"&lt;="&amp;$A72,実績!$AD$6:$AD$505,"&gt;"&amp;$A72,実績!$AE$6:$AE$505,"○")&gt;0,1,0))</f>
        <v/>
      </c>
      <c r="DI72">
        <f>IF(DI$4=0,0,IF(COUNTIFS(実績!$W$6:$W$505,DI$3,実績!$AC$6:$AC$505,"&lt;="&amp;$A72,実績!$AD$6:$AD$505,"&gt;"&amp;$A72,実績!$AE$6:$AE$505,"○")&gt;0,1,0))</f>
        <v/>
      </c>
      <c r="DJ72">
        <f>IF(DJ$4=0,0,IF(COUNTIFS(実績!$W$6:$W$505,DJ$3,実績!$AC$6:$AC$505,"&lt;="&amp;$A72,実績!$AD$6:$AD$505,"&gt;"&amp;$A72,実績!$AE$6:$AE$505,"○")&gt;0,1,0))</f>
        <v/>
      </c>
      <c r="DK72">
        <f>IF(DK$4=0,0,IF(COUNTIFS(実績!$W$6:$W$505,DK$3,実績!$AC$6:$AC$505,"&lt;="&amp;$A72,実績!$AD$6:$AD$505,"&gt;"&amp;$A72,実績!$AE$6:$AE$505,"○")&gt;0,1,0))</f>
        <v/>
      </c>
      <c r="DL72">
        <f>IF(DL$4=0,0,IF(COUNTIFS(実績!$W$6:$W$505,DL$3,実績!$AC$6:$AC$505,"&lt;="&amp;$A72,実績!$AD$6:$AD$505,"&gt;"&amp;$A72,実績!$AE$6:$AE$505,"○")&gt;0,1,0))</f>
        <v/>
      </c>
      <c r="DM72">
        <f>IF(DM$4=0,0,IF(COUNTIFS(実績!$W$6:$W$505,DM$3,実績!$AC$6:$AC$505,"&lt;="&amp;$A72,実績!$AD$6:$AD$505,"&gt;"&amp;$A72,実績!$AE$6:$AE$505,"○")&gt;0,1,0))</f>
        <v/>
      </c>
      <c r="DN72">
        <f>IF(DN$4=0,0,IF(COUNTIFS(実績!$W$6:$W$505,DN$3,実績!$AC$6:$AC$505,"&lt;="&amp;$A72,実績!$AD$6:$AD$505,"&gt;"&amp;$A72,実績!$AE$6:$AE$505,"○")&gt;0,1,0))</f>
        <v/>
      </c>
      <c r="DO72">
        <f>IF(DO$4=0,0,IF(COUNTIFS(実績!$W$6:$W$505,DO$3,実績!$AC$6:$AC$505,"&lt;="&amp;$A72,実績!$AD$6:$AD$505,"&gt;"&amp;$A72,実績!$AE$6:$AE$505,"○")&gt;0,1,0))</f>
        <v/>
      </c>
      <c r="DP72">
        <f>IF(DP$4=0,0,IF(COUNTIFS(実績!$W$6:$W$505,DP$3,実績!$AC$6:$AC$505,"&lt;="&amp;$A72,実績!$AD$6:$AD$505,"&gt;"&amp;$A72,実績!$AE$6:$AE$505,"○")&gt;0,1,0))</f>
        <v/>
      </c>
      <c r="DQ72">
        <f>IF(DQ$4=0,0,IF(COUNTIFS(実績!$W$6:$W$505,DQ$3,実績!$AC$6:$AC$505,"&lt;="&amp;$A72,実績!$AD$6:$AD$505,"&gt;"&amp;$A72,実績!$AE$6:$AE$505,"○")&gt;0,1,0))</f>
        <v/>
      </c>
      <c r="DR72">
        <f>IF(DR$4=0,0,IF(COUNTIFS(実績!$W$6:$W$505,DR$3,実績!$AC$6:$AC$505,"&lt;="&amp;$A72,実績!$AD$6:$AD$505,"&gt;"&amp;$A72,実績!$AE$6:$AE$505,"○")&gt;0,1,0))</f>
        <v/>
      </c>
      <c r="DS72">
        <f>SUM(C72:DR72)</f>
        <v/>
      </c>
      <c r="DT72">
        <f>SUMPRODUCT((実績!$C$6:$C$505="○")*ISNUMBER(実績!$AF$6:$AF$505)*(実績!$AF$6:$AF$505&lt;=$A72)*(実績!$AG$6:$AG$505&gt;$A72))</f>
        <v/>
      </c>
      <c r="DU72">
        <f>SUMIF($C$2:$DR$2,"製鉄曳船",C72:DR72)</f>
        <v/>
      </c>
      <c r="DV72">
        <f>SUMIF($C$2:$DR$2,"西日本海運",C72:DR72)</f>
        <v/>
      </c>
    </row>
    <row r="73">
      <c r="A73" t="n">
        <v>335</v>
      </c>
      <c r="B73" s="29">
        <f>A73/1440</f>
        <v/>
      </c>
      <c r="C73">
        <f>IF(C$4=0,0,IF(COUNTIFS(実績!$W$6:$W$505,C$3,実績!$AC$6:$AC$505,"&lt;="&amp;$A73,実績!$AD$6:$AD$505,"&gt;"&amp;$A73,実績!$AE$6:$AE$505,"○")&gt;0,1,0))</f>
        <v/>
      </c>
      <c r="D73">
        <f>IF(D$4=0,0,IF(COUNTIFS(実績!$W$6:$W$505,D$3,実績!$AC$6:$AC$505,"&lt;="&amp;$A73,実績!$AD$6:$AD$505,"&gt;"&amp;$A73,実績!$AE$6:$AE$505,"○")&gt;0,1,0))</f>
        <v/>
      </c>
      <c r="E73">
        <f>IF(E$4=0,0,IF(COUNTIFS(実績!$W$6:$W$505,E$3,実績!$AC$6:$AC$505,"&lt;="&amp;$A73,実績!$AD$6:$AD$505,"&gt;"&amp;$A73,実績!$AE$6:$AE$505,"○")&gt;0,1,0))</f>
        <v/>
      </c>
      <c r="F73">
        <f>IF(F$4=0,0,IF(COUNTIFS(実績!$W$6:$W$505,F$3,実績!$AC$6:$AC$505,"&lt;="&amp;$A73,実績!$AD$6:$AD$505,"&gt;"&amp;$A73,実績!$AE$6:$AE$505,"○")&gt;0,1,0))</f>
        <v/>
      </c>
      <c r="G73">
        <f>IF(G$4=0,0,IF(COUNTIFS(実績!$W$6:$W$505,G$3,実績!$AC$6:$AC$505,"&lt;="&amp;$A73,実績!$AD$6:$AD$505,"&gt;"&amp;$A73,実績!$AE$6:$AE$505,"○")&gt;0,1,0))</f>
        <v/>
      </c>
      <c r="H73">
        <f>IF(H$4=0,0,IF(COUNTIFS(実績!$W$6:$W$505,H$3,実績!$AC$6:$AC$505,"&lt;="&amp;$A73,実績!$AD$6:$AD$505,"&gt;"&amp;$A73,実績!$AE$6:$AE$505,"○")&gt;0,1,0))</f>
        <v/>
      </c>
      <c r="I73">
        <f>IF(I$4=0,0,IF(COUNTIFS(実績!$W$6:$W$505,I$3,実績!$AC$6:$AC$505,"&lt;="&amp;$A73,実績!$AD$6:$AD$505,"&gt;"&amp;$A73,実績!$AE$6:$AE$505,"○")&gt;0,1,0))</f>
        <v/>
      </c>
      <c r="J73">
        <f>IF(J$4=0,0,IF(COUNTIFS(実績!$W$6:$W$505,J$3,実績!$AC$6:$AC$505,"&lt;="&amp;$A73,実績!$AD$6:$AD$505,"&gt;"&amp;$A73,実績!$AE$6:$AE$505,"○")&gt;0,1,0))</f>
        <v/>
      </c>
      <c r="K73">
        <f>IF(K$4=0,0,IF(COUNTIFS(実績!$W$6:$W$505,K$3,実績!$AC$6:$AC$505,"&lt;="&amp;$A73,実績!$AD$6:$AD$505,"&gt;"&amp;$A73,実績!$AE$6:$AE$505,"○")&gt;0,1,0))</f>
        <v/>
      </c>
      <c r="L73">
        <f>IF(L$4=0,0,IF(COUNTIFS(実績!$W$6:$W$505,L$3,実績!$AC$6:$AC$505,"&lt;="&amp;$A73,実績!$AD$6:$AD$505,"&gt;"&amp;$A73,実績!$AE$6:$AE$505,"○")&gt;0,1,0))</f>
        <v/>
      </c>
      <c r="M73">
        <f>IF(M$4=0,0,IF(COUNTIFS(実績!$W$6:$W$505,M$3,実績!$AC$6:$AC$505,"&lt;="&amp;$A73,実績!$AD$6:$AD$505,"&gt;"&amp;$A73,実績!$AE$6:$AE$505,"○")&gt;0,1,0))</f>
        <v/>
      </c>
      <c r="N73">
        <f>IF(N$4=0,0,IF(COUNTIFS(実績!$W$6:$W$505,N$3,実績!$AC$6:$AC$505,"&lt;="&amp;$A73,実績!$AD$6:$AD$505,"&gt;"&amp;$A73,実績!$AE$6:$AE$505,"○")&gt;0,1,0))</f>
        <v/>
      </c>
      <c r="O73">
        <f>IF(O$4=0,0,IF(COUNTIFS(実績!$W$6:$W$505,O$3,実績!$AC$6:$AC$505,"&lt;="&amp;$A73,実績!$AD$6:$AD$505,"&gt;"&amp;$A73,実績!$AE$6:$AE$505,"○")&gt;0,1,0))</f>
        <v/>
      </c>
      <c r="P73">
        <f>IF(P$4=0,0,IF(COUNTIFS(実績!$W$6:$W$505,P$3,実績!$AC$6:$AC$505,"&lt;="&amp;$A73,実績!$AD$6:$AD$505,"&gt;"&amp;$A73,実績!$AE$6:$AE$505,"○")&gt;0,1,0))</f>
        <v/>
      </c>
      <c r="Q73">
        <f>IF(Q$4=0,0,IF(COUNTIFS(実績!$W$6:$W$505,Q$3,実績!$AC$6:$AC$505,"&lt;="&amp;$A73,実績!$AD$6:$AD$505,"&gt;"&amp;$A73,実績!$AE$6:$AE$505,"○")&gt;0,1,0))</f>
        <v/>
      </c>
      <c r="R73">
        <f>IF(R$4=0,0,IF(COUNTIFS(実績!$W$6:$W$505,R$3,実績!$AC$6:$AC$505,"&lt;="&amp;$A73,実績!$AD$6:$AD$505,"&gt;"&amp;$A73,実績!$AE$6:$AE$505,"○")&gt;0,1,0))</f>
        <v/>
      </c>
      <c r="S73">
        <f>IF(S$4=0,0,IF(COUNTIFS(実績!$W$6:$W$505,S$3,実績!$AC$6:$AC$505,"&lt;="&amp;$A73,実績!$AD$6:$AD$505,"&gt;"&amp;$A73,実績!$AE$6:$AE$505,"○")&gt;0,1,0))</f>
        <v/>
      </c>
      <c r="T73">
        <f>IF(T$4=0,0,IF(COUNTIFS(実績!$W$6:$W$505,T$3,実績!$AC$6:$AC$505,"&lt;="&amp;$A73,実績!$AD$6:$AD$505,"&gt;"&amp;$A73,実績!$AE$6:$AE$505,"○")&gt;0,1,0))</f>
        <v/>
      </c>
      <c r="U73">
        <f>IF(U$4=0,0,IF(COUNTIFS(実績!$W$6:$W$505,U$3,実績!$AC$6:$AC$505,"&lt;="&amp;$A73,実績!$AD$6:$AD$505,"&gt;"&amp;$A73,実績!$AE$6:$AE$505,"○")&gt;0,1,0))</f>
        <v/>
      </c>
      <c r="V73">
        <f>IF(V$4=0,0,IF(COUNTIFS(実績!$W$6:$W$505,V$3,実績!$AC$6:$AC$505,"&lt;="&amp;$A73,実績!$AD$6:$AD$505,"&gt;"&amp;$A73,実績!$AE$6:$AE$505,"○")&gt;0,1,0))</f>
        <v/>
      </c>
      <c r="W73">
        <f>IF(W$4=0,0,IF(COUNTIFS(実績!$W$6:$W$505,W$3,実績!$AC$6:$AC$505,"&lt;="&amp;$A73,実績!$AD$6:$AD$505,"&gt;"&amp;$A73,実績!$AE$6:$AE$505,"○")&gt;0,1,0))</f>
        <v/>
      </c>
      <c r="X73">
        <f>IF(X$4=0,0,IF(COUNTIFS(実績!$W$6:$W$505,X$3,実績!$AC$6:$AC$505,"&lt;="&amp;$A73,実績!$AD$6:$AD$505,"&gt;"&amp;$A73,実績!$AE$6:$AE$505,"○")&gt;0,1,0))</f>
        <v/>
      </c>
      <c r="Y73">
        <f>IF(Y$4=0,0,IF(COUNTIFS(実績!$W$6:$W$505,Y$3,実績!$AC$6:$AC$505,"&lt;="&amp;$A73,実績!$AD$6:$AD$505,"&gt;"&amp;$A73,実績!$AE$6:$AE$505,"○")&gt;0,1,0))</f>
        <v/>
      </c>
      <c r="Z73">
        <f>IF(Z$4=0,0,IF(COUNTIFS(実績!$W$6:$W$505,Z$3,実績!$AC$6:$AC$505,"&lt;="&amp;$A73,実績!$AD$6:$AD$505,"&gt;"&amp;$A73,実績!$AE$6:$AE$505,"○")&gt;0,1,0))</f>
        <v/>
      </c>
      <c r="AA73">
        <f>IF(AA$4=0,0,IF(COUNTIFS(実績!$W$6:$W$505,AA$3,実績!$AC$6:$AC$505,"&lt;="&amp;$A73,実績!$AD$6:$AD$505,"&gt;"&amp;$A73,実績!$AE$6:$AE$505,"○")&gt;0,1,0))</f>
        <v/>
      </c>
      <c r="AB73">
        <f>IF(AB$4=0,0,IF(COUNTIFS(実績!$W$6:$W$505,AB$3,実績!$AC$6:$AC$505,"&lt;="&amp;$A73,実績!$AD$6:$AD$505,"&gt;"&amp;$A73,実績!$AE$6:$AE$505,"○")&gt;0,1,0))</f>
        <v/>
      </c>
      <c r="AC73">
        <f>IF(AC$4=0,0,IF(COUNTIFS(実績!$W$6:$W$505,AC$3,実績!$AC$6:$AC$505,"&lt;="&amp;$A73,実績!$AD$6:$AD$505,"&gt;"&amp;$A73,実績!$AE$6:$AE$505,"○")&gt;0,1,0))</f>
        <v/>
      </c>
      <c r="AD73">
        <f>IF(AD$4=0,0,IF(COUNTIFS(実績!$W$6:$W$505,AD$3,実績!$AC$6:$AC$505,"&lt;="&amp;$A73,実績!$AD$6:$AD$505,"&gt;"&amp;$A73,実績!$AE$6:$AE$505,"○")&gt;0,1,0))</f>
        <v/>
      </c>
      <c r="AE73">
        <f>IF(AE$4=0,0,IF(COUNTIFS(実績!$W$6:$W$505,AE$3,実績!$AC$6:$AC$505,"&lt;="&amp;$A73,実績!$AD$6:$AD$505,"&gt;"&amp;$A73,実績!$AE$6:$AE$505,"○")&gt;0,1,0))</f>
        <v/>
      </c>
      <c r="AF73">
        <f>IF(AF$4=0,0,IF(COUNTIFS(実績!$W$6:$W$505,AF$3,実績!$AC$6:$AC$505,"&lt;="&amp;$A73,実績!$AD$6:$AD$505,"&gt;"&amp;$A73,実績!$AE$6:$AE$505,"○")&gt;0,1,0))</f>
        <v/>
      </c>
      <c r="AG73">
        <f>IF(AG$4=0,0,IF(COUNTIFS(実績!$W$6:$W$505,AG$3,実績!$AC$6:$AC$505,"&lt;="&amp;$A73,実績!$AD$6:$AD$505,"&gt;"&amp;$A73,実績!$AE$6:$AE$505,"○")&gt;0,1,0))</f>
        <v/>
      </c>
      <c r="AH73">
        <f>IF(AH$4=0,0,IF(COUNTIFS(実績!$W$6:$W$505,AH$3,実績!$AC$6:$AC$505,"&lt;="&amp;$A73,実績!$AD$6:$AD$505,"&gt;"&amp;$A73,実績!$AE$6:$AE$505,"○")&gt;0,1,0))</f>
        <v/>
      </c>
      <c r="AI73">
        <f>IF(AI$4=0,0,IF(COUNTIFS(実績!$W$6:$W$505,AI$3,実績!$AC$6:$AC$505,"&lt;="&amp;$A73,実績!$AD$6:$AD$505,"&gt;"&amp;$A73,実績!$AE$6:$AE$505,"○")&gt;0,1,0))</f>
        <v/>
      </c>
      <c r="AJ73">
        <f>IF(AJ$4=0,0,IF(COUNTIFS(実績!$W$6:$W$505,AJ$3,実績!$AC$6:$AC$505,"&lt;="&amp;$A73,実績!$AD$6:$AD$505,"&gt;"&amp;$A73,実績!$AE$6:$AE$505,"○")&gt;0,1,0))</f>
        <v/>
      </c>
      <c r="AK73">
        <f>IF(AK$4=0,0,IF(COUNTIFS(実績!$W$6:$W$505,AK$3,実績!$AC$6:$AC$505,"&lt;="&amp;$A73,実績!$AD$6:$AD$505,"&gt;"&amp;$A73,実績!$AE$6:$AE$505,"○")&gt;0,1,0))</f>
        <v/>
      </c>
      <c r="AL73">
        <f>IF(AL$4=0,0,IF(COUNTIFS(実績!$W$6:$W$505,AL$3,実績!$AC$6:$AC$505,"&lt;="&amp;$A73,実績!$AD$6:$AD$505,"&gt;"&amp;$A73,実績!$AE$6:$AE$505,"○")&gt;0,1,0))</f>
        <v/>
      </c>
      <c r="AM73">
        <f>IF(AM$4=0,0,IF(COUNTIFS(実績!$W$6:$W$505,AM$3,実績!$AC$6:$AC$505,"&lt;="&amp;$A73,実績!$AD$6:$AD$505,"&gt;"&amp;$A73,実績!$AE$6:$AE$505,"○")&gt;0,1,0))</f>
        <v/>
      </c>
      <c r="AN73">
        <f>IF(AN$4=0,0,IF(COUNTIFS(実績!$W$6:$W$505,AN$3,実績!$AC$6:$AC$505,"&lt;="&amp;$A73,実績!$AD$6:$AD$505,"&gt;"&amp;$A73,実績!$AE$6:$AE$505,"○")&gt;0,1,0))</f>
        <v/>
      </c>
      <c r="AO73">
        <f>IF(AO$4=0,0,IF(COUNTIFS(実績!$W$6:$W$505,AO$3,実績!$AC$6:$AC$505,"&lt;="&amp;$A73,実績!$AD$6:$AD$505,"&gt;"&amp;$A73,実績!$AE$6:$AE$505,"○")&gt;0,1,0))</f>
        <v/>
      </c>
      <c r="AP73">
        <f>IF(AP$4=0,0,IF(COUNTIFS(実績!$W$6:$W$505,AP$3,実績!$AC$6:$AC$505,"&lt;="&amp;$A73,実績!$AD$6:$AD$505,"&gt;"&amp;$A73,実績!$AE$6:$AE$505,"○")&gt;0,1,0))</f>
        <v/>
      </c>
      <c r="AQ73">
        <f>IF(AQ$4=0,0,IF(COUNTIFS(実績!$W$6:$W$505,AQ$3,実績!$AC$6:$AC$505,"&lt;="&amp;$A73,実績!$AD$6:$AD$505,"&gt;"&amp;$A73,実績!$AE$6:$AE$505,"○")&gt;0,1,0))</f>
        <v/>
      </c>
      <c r="AR73">
        <f>IF(AR$4=0,0,IF(COUNTIFS(実績!$W$6:$W$505,AR$3,実績!$AC$6:$AC$505,"&lt;="&amp;$A73,実績!$AD$6:$AD$505,"&gt;"&amp;$A73,実績!$AE$6:$AE$505,"○")&gt;0,1,0))</f>
        <v/>
      </c>
      <c r="AS73">
        <f>IF(AS$4=0,0,IF(COUNTIFS(実績!$W$6:$W$505,AS$3,実績!$AC$6:$AC$505,"&lt;="&amp;$A73,実績!$AD$6:$AD$505,"&gt;"&amp;$A73,実績!$AE$6:$AE$505,"○")&gt;0,1,0))</f>
        <v/>
      </c>
      <c r="AT73">
        <f>IF(AT$4=0,0,IF(COUNTIFS(実績!$W$6:$W$505,AT$3,実績!$AC$6:$AC$505,"&lt;="&amp;$A73,実績!$AD$6:$AD$505,"&gt;"&amp;$A73,実績!$AE$6:$AE$505,"○")&gt;0,1,0))</f>
        <v/>
      </c>
      <c r="AU73">
        <f>IF(AU$4=0,0,IF(COUNTIFS(実績!$W$6:$W$505,AU$3,実績!$AC$6:$AC$505,"&lt;="&amp;$A73,実績!$AD$6:$AD$505,"&gt;"&amp;$A73,実績!$AE$6:$AE$505,"○")&gt;0,1,0))</f>
        <v/>
      </c>
      <c r="AV73">
        <f>IF(AV$4=0,0,IF(COUNTIFS(実績!$W$6:$W$505,AV$3,実績!$AC$6:$AC$505,"&lt;="&amp;$A73,実績!$AD$6:$AD$505,"&gt;"&amp;$A73,実績!$AE$6:$AE$505,"○")&gt;0,1,0))</f>
        <v/>
      </c>
      <c r="AW73">
        <f>IF(AW$4=0,0,IF(COUNTIFS(実績!$W$6:$W$505,AW$3,実績!$AC$6:$AC$505,"&lt;="&amp;$A73,実績!$AD$6:$AD$505,"&gt;"&amp;$A73,実績!$AE$6:$AE$505,"○")&gt;0,1,0))</f>
        <v/>
      </c>
      <c r="AX73">
        <f>IF(AX$4=0,0,IF(COUNTIFS(実績!$W$6:$W$505,AX$3,実績!$AC$6:$AC$505,"&lt;="&amp;$A73,実績!$AD$6:$AD$505,"&gt;"&amp;$A73,実績!$AE$6:$AE$505,"○")&gt;0,1,0))</f>
        <v/>
      </c>
      <c r="AY73">
        <f>IF(AY$4=0,0,IF(COUNTIFS(実績!$W$6:$W$505,AY$3,実績!$AC$6:$AC$505,"&lt;="&amp;$A73,実績!$AD$6:$AD$505,"&gt;"&amp;$A73,実績!$AE$6:$AE$505,"○")&gt;0,1,0))</f>
        <v/>
      </c>
      <c r="AZ73">
        <f>IF(AZ$4=0,0,IF(COUNTIFS(実績!$W$6:$W$505,AZ$3,実績!$AC$6:$AC$505,"&lt;="&amp;$A73,実績!$AD$6:$AD$505,"&gt;"&amp;$A73,実績!$AE$6:$AE$505,"○")&gt;0,1,0))</f>
        <v/>
      </c>
      <c r="BA73">
        <f>IF(BA$4=0,0,IF(COUNTIFS(実績!$W$6:$W$505,BA$3,実績!$AC$6:$AC$505,"&lt;="&amp;$A73,実績!$AD$6:$AD$505,"&gt;"&amp;$A73,実績!$AE$6:$AE$505,"○")&gt;0,1,0))</f>
        <v/>
      </c>
      <c r="BB73">
        <f>IF(BB$4=0,0,IF(COUNTIFS(実績!$W$6:$W$505,BB$3,実績!$AC$6:$AC$505,"&lt;="&amp;$A73,実績!$AD$6:$AD$505,"&gt;"&amp;$A73,実績!$AE$6:$AE$505,"○")&gt;0,1,0))</f>
        <v/>
      </c>
      <c r="BC73">
        <f>IF(BC$4=0,0,IF(COUNTIFS(実績!$W$6:$W$505,BC$3,実績!$AC$6:$AC$505,"&lt;="&amp;$A73,実績!$AD$6:$AD$505,"&gt;"&amp;$A73,実績!$AE$6:$AE$505,"○")&gt;0,1,0))</f>
        <v/>
      </c>
      <c r="BD73">
        <f>IF(BD$4=0,0,IF(COUNTIFS(実績!$W$6:$W$505,BD$3,実績!$AC$6:$AC$505,"&lt;="&amp;$A73,実績!$AD$6:$AD$505,"&gt;"&amp;$A73,実績!$AE$6:$AE$505,"○")&gt;0,1,0))</f>
        <v/>
      </c>
      <c r="BE73">
        <f>IF(BE$4=0,0,IF(COUNTIFS(実績!$W$6:$W$505,BE$3,実績!$AC$6:$AC$505,"&lt;="&amp;$A73,実績!$AD$6:$AD$505,"&gt;"&amp;$A73,実績!$AE$6:$AE$505,"○")&gt;0,1,0))</f>
        <v/>
      </c>
      <c r="BF73">
        <f>IF(BF$4=0,0,IF(COUNTIFS(実績!$W$6:$W$505,BF$3,実績!$AC$6:$AC$505,"&lt;="&amp;$A73,実績!$AD$6:$AD$505,"&gt;"&amp;$A73,実績!$AE$6:$AE$505,"○")&gt;0,1,0))</f>
        <v/>
      </c>
      <c r="BG73">
        <f>IF(BG$4=0,0,IF(COUNTIFS(実績!$W$6:$W$505,BG$3,実績!$AC$6:$AC$505,"&lt;="&amp;$A73,実績!$AD$6:$AD$505,"&gt;"&amp;$A73,実績!$AE$6:$AE$505,"○")&gt;0,1,0))</f>
        <v/>
      </c>
      <c r="BH73">
        <f>IF(BH$4=0,0,IF(COUNTIFS(実績!$W$6:$W$505,BH$3,実績!$AC$6:$AC$505,"&lt;="&amp;$A73,実績!$AD$6:$AD$505,"&gt;"&amp;$A73,実績!$AE$6:$AE$505,"○")&gt;0,1,0))</f>
        <v/>
      </c>
      <c r="BI73">
        <f>IF(BI$4=0,0,IF(COUNTIFS(実績!$W$6:$W$505,BI$3,実績!$AC$6:$AC$505,"&lt;="&amp;$A73,実績!$AD$6:$AD$505,"&gt;"&amp;$A73,実績!$AE$6:$AE$505,"○")&gt;0,1,0))</f>
        <v/>
      </c>
      <c r="BJ73">
        <f>IF(BJ$4=0,0,IF(COUNTIFS(実績!$W$6:$W$505,BJ$3,実績!$AC$6:$AC$505,"&lt;="&amp;$A73,実績!$AD$6:$AD$505,"&gt;"&amp;$A73,実績!$AE$6:$AE$505,"○")&gt;0,1,0))</f>
        <v/>
      </c>
      <c r="BK73">
        <f>IF(BK$4=0,0,IF(COUNTIFS(実績!$W$6:$W$505,BK$3,実績!$AC$6:$AC$505,"&lt;="&amp;$A73,実績!$AD$6:$AD$505,"&gt;"&amp;$A73,実績!$AE$6:$AE$505,"○")&gt;0,1,0))</f>
        <v/>
      </c>
      <c r="BL73">
        <f>IF(BL$4=0,0,IF(COUNTIFS(実績!$W$6:$W$505,BL$3,実績!$AC$6:$AC$505,"&lt;="&amp;$A73,実績!$AD$6:$AD$505,"&gt;"&amp;$A73,実績!$AE$6:$AE$505,"○")&gt;0,1,0))</f>
        <v/>
      </c>
      <c r="BM73">
        <f>IF(BM$4=0,0,IF(COUNTIFS(実績!$W$6:$W$505,BM$3,実績!$AC$6:$AC$505,"&lt;="&amp;$A73,実績!$AD$6:$AD$505,"&gt;"&amp;$A73,実績!$AE$6:$AE$505,"○")&gt;0,1,0))</f>
        <v/>
      </c>
      <c r="BN73">
        <f>IF(BN$4=0,0,IF(COUNTIFS(実績!$W$6:$W$505,BN$3,実績!$AC$6:$AC$505,"&lt;="&amp;$A73,実績!$AD$6:$AD$505,"&gt;"&amp;$A73,実績!$AE$6:$AE$505,"○")&gt;0,1,0))</f>
        <v/>
      </c>
      <c r="BO73">
        <f>IF(BO$4=0,0,IF(COUNTIFS(実績!$W$6:$W$505,BO$3,実績!$AC$6:$AC$505,"&lt;="&amp;$A73,実績!$AD$6:$AD$505,"&gt;"&amp;$A73,実績!$AE$6:$AE$505,"○")&gt;0,1,0))</f>
        <v/>
      </c>
      <c r="BP73">
        <f>IF(BP$4=0,0,IF(COUNTIFS(実績!$W$6:$W$505,BP$3,実績!$AC$6:$AC$505,"&lt;="&amp;$A73,実績!$AD$6:$AD$505,"&gt;"&amp;$A73,実績!$AE$6:$AE$505,"○")&gt;0,1,0))</f>
        <v/>
      </c>
      <c r="BQ73">
        <f>IF(BQ$4=0,0,IF(COUNTIFS(実績!$W$6:$W$505,BQ$3,実績!$AC$6:$AC$505,"&lt;="&amp;$A73,実績!$AD$6:$AD$505,"&gt;"&amp;$A73,実績!$AE$6:$AE$505,"○")&gt;0,1,0))</f>
        <v/>
      </c>
      <c r="BR73">
        <f>IF(BR$4=0,0,IF(COUNTIFS(実績!$W$6:$W$505,BR$3,実績!$AC$6:$AC$505,"&lt;="&amp;$A73,実績!$AD$6:$AD$505,"&gt;"&amp;$A73,実績!$AE$6:$AE$505,"○")&gt;0,1,0))</f>
        <v/>
      </c>
      <c r="BS73">
        <f>IF(BS$4=0,0,IF(COUNTIFS(実績!$W$6:$W$505,BS$3,実績!$AC$6:$AC$505,"&lt;="&amp;$A73,実績!$AD$6:$AD$505,"&gt;"&amp;$A73,実績!$AE$6:$AE$505,"○")&gt;0,1,0))</f>
        <v/>
      </c>
      <c r="BT73">
        <f>IF(BT$4=0,0,IF(COUNTIFS(実績!$W$6:$W$505,BT$3,実績!$AC$6:$AC$505,"&lt;="&amp;$A73,実績!$AD$6:$AD$505,"&gt;"&amp;$A73,実績!$AE$6:$AE$505,"○")&gt;0,1,0))</f>
        <v/>
      </c>
      <c r="BU73">
        <f>IF(BU$4=0,0,IF(COUNTIFS(実績!$W$6:$W$505,BU$3,実績!$AC$6:$AC$505,"&lt;="&amp;$A73,実績!$AD$6:$AD$505,"&gt;"&amp;$A73,実績!$AE$6:$AE$505,"○")&gt;0,1,0))</f>
        <v/>
      </c>
      <c r="BV73">
        <f>IF(BV$4=0,0,IF(COUNTIFS(実績!$W$6:$W$505,BV$3,実績!$AC$6:$AC$505,"&lt;="&amp;$A73,実績!$AD$6:$AD$505,"&gt;"&amp;$A73,実績!$AE$6:$AE$505,"○")&gt;0,1,0))</f>
        <v/>
      </c>
      <c r="BW73">
        <f>IF(BW$4=0,0,IF(COUNTIFS(実績!$W$6:$W$505,BW$3,実績!$AC$6:$AC$505,"&lt;="&amp;$A73,実績!$AD$6:$AD$505,"&gt;"&amp;$A73,実績!$AE$6:$AE$505,"○")&gt;0,1,0))</f>
        <v/>
      </c>
      <c r="BX73">
        <f>IF(BX$4=0,0,IF(COUNTIFS(実績!$W$6:$W$505,BX$3,実績!$AC$6:$AC$505,"&lt;="&amp;$A73,実績!$AD$6:$AD$505,"&gt;"&amp;$A73,実績!$AE$6:$AE$505,"○")&gt;0,1,0))</f>
        <v/>
      </c>
      <c r="BY73">
        <f>IF(BY$4=0,0,IF(COUNTIFS(実績!$W$6:$W$505,BY$3,実績!$AC$6:$AC$505,"&lt;="&amp;$A73,実績!$AD$6:$AD$505,"&gt;"&amp;$A73,実績!$AE$6:$AE$505,"○")&gt;0,1,0))</f>
        <v/>
      </c>
      <c r="BZ73">
        <f>IF(BZ$4=0,0,IF(COUNTIFS(実績!$W$6:$W$505,BZ$3,実績!$AC$6:$AC$505,"&lt;="&amp;$A73,実績!$AD$6:$AD$505,"&gt;"&amp;$A73,実績!$AE$6:$AE$505,"○")&gt;0,1,0))</f>
        <v/>
      </c>
      <c r="CA73">
        <f>IF(CA$4=0,0,IF(COUNTIFS(実績!$W$6:$W$505,CA$3,実績!$AC$6:$AC$505,"&lt;="&amp;$A73,実績!$AD$6:$AD$505,"&gt;"&amp;$A73,実績!$AE$6:$AE$505,"○")&gt;0,1,0))</f>
        <v/>
      </c>
      <c r="CB73">
        <f>IF(CB$4=0,0,IF(COUNTIFS(実績!$W$6:$W$505,CB$3,実績!$AC$6:$AC$505,"&lt;="&amp;$A73,実績!$AD$6:$AD$505,"&gt;"&amp;$A73,実績!$AE$6:$AE$505,"○")&gt;0,1,0))</f>
        <v/>
      </c>
      <c r="CC73">
        <f>IF(CC$4=0,0,IF(COUNTIFS(実績!$W$6:$W$505,CC$3,実績!$AC$6:$AC$505,"&lt;="&amp;$A73,実績!$AD$6:$AD$505,"&gt;"&amp;$A73,実績!$AE$6:$AE$505,"○")&gt;0,1,0))</f>
        <v/>
      </c>
      <c r="CD73">
        <f>IF(CD$4=0,0,IF(COUNTIFS(実績!$W$6:$W$505,CD$3,実績!$AC$6:$AC$505,"&lt;="&amp;$A73,実績!$AD$6:$AD$505,"&gt;"&amp;$A73,実績!$AE$6:$AE$505,"○")&gt;0,1,0))</f>
        <v/>
      </c>
      <c r="CE73">
        <f>IF(CE$4=0,0,IF(COUNTIFS(実績!$W$6:$W$505,CE$3,実績!$AC$6:$AC$505,"&lt;="&amp;$A73,実績!$AD$6:$AD$505,"&gt;"&amp;$A73,実績!$AE$6:$AE$505,"○")&gt;0,1,0))</f>
        <v/>
      </c>
      <c r="CF73">
        <f>IF(CF$4=0,0,IF(COUNTIFS(実績!$W$6:$W$505,CF$3,実績!$AC$6:$AC$505,"&lt;="&amp;$A73,実績!$AD$6:$AD$505,"&gt;"&amp;$A73,実績!$AE$6:$AE$505,"○")&gt;0,1,0))</f>
        <v/>
      </c>
      <c r="CG73">
        <f>IF(CG$4=0,0,IF(COUNTIFS(実績!$W$6:$W$505,CG$3,実績!$AC$6:$AC$505,"&lt;="&amp;$A73,実績!$AD$6:$AD$505,"&gt;"&amp;$A73,実績!$AE$6:$AE$505,"○")&gt;0,1,0))</f>
        <v/>
      </c>
      <c r="CH73">
        <f>IF(CH$4=0,0,IF(COUNTIFS(実績!$W$6:$W$505,CH$3,実績!$AC$6:$AC$505,"&lt;="&amp;$A73,実績!$AD$6:$AD$505,"&gt;"&amp;$A73,実績!$AE$6:$AE$505,"○")&gt;0,1,0))</f>
        <v/>
      </c>
      <c r="CI73">
        <f>IF(CI$4=0,0,IF(COUNTIFS(実績!$W$6:$W$505,CI$3,実績!$AC$6:$AC$505,"&lt;="&amp;$A73,実績!$AD$6:$AD$505,"&gt;"&amp;$A73,実績!$AE$6:$AE$505,"○")&gt;0,1,0))</f>
        <v/>
      </c>
      <c r="CJ73">
        <f>IF(CJ$4=0,0,IF(COUNTIFS(実績!$W$6:$W$505,CJ$3,実績!$AC$6:$AC$505,"&lt;="&amp;$A73,実績!$AD$6:$AD$505,"&gt;"&amp;$A73,実績!$AE$6:$AE$505,"○")&gt;0,1,0))</f>
        <v/>
      </c>
      <c r="CK73">
        <f>IF(CK$4=0,0,IF(COUNTIFS(実績!$W$6:$W$505,CK$3,実績!$AC$6:$AC$505,"&lt;="&amp;$A73,実績!$AD$6:$AD$505,"&gt;"&amp;$A73,実績!$AE$6:$AE$505,"○")&gt;0,1,0))</f>
        <v/>
      </c>
      <c r="CL73">
        <f>IF(CL$4=0,0,IF(COUNTIFS(実績!$W$6:$W$505,CL$3,実績!$AC$6:$AC$505,"&lt;="&amp;$A73,実績!$AD$6:$AD$505,"&gt;"&amp;$A73,実績!$AE$6:$AE$505,"○")&gt;0,1,0))</f>
        <v/>
      </c>
      <c r="CM73">
        <f>IF(CM$4=0,0,IF(COUNTIFS(実績!$W$6:$W$505,CM$3,実績!$AC$6:$AC$505,"&lt;="&amp;$A73,実績!$AD$6:$AD$505,"&gt;"&amp;$A73,実績!$AE$6:$AE$505,"○")&gt;0,1,0))</f>
        <v/>
      </c>
      <c r="CN73">
        <f>IF(CN$4=0,0,IF(COUNTIFS(実績!$W$6:$W$505,CN$3,実績!$AC$6:$AC$505,"&lt;="&amp;$A73,実績!$AD$6:$AD$505,"&gt;"&amp;$A73,実績!$AE$6:$AE$505,"○")&gt;0,1,0))</f>
        <v/>
      </c>
      <c r="CO73">
        <f>IF(CO$4=0,0,IF(COUNTIFS(実績!$W$6:$W$505,CO$3,実績!$AC$6:$AC$505,"&lt;="&amp;$A73,実績!$AD$6:$AD$505,"&gt;"&amp;$A73,実績!$AE$6:$AE$505,"○")&gt;0,1,0))</f>
        <v/>
      </c>
      <c r="CP73">
        <f>IF(CP$4=0,0,IF(COUNTIFS(実績!$W$6:$W$505,CP$3,実績!$AC$6:$AC$505,"&lt;="&amp;$A73,実績!$AD$6:$AD$505,"&gt;"&amp;$A73,実績!$AE$6:$AE$505,"○")&gt;0,1,0))</f>
        <v/>
      </c>
      <c r="CQ73">
        <f>IF(CQ$4=0,0,IF(COUNTIFS(実績!$W$6:$W$505,CQ$3,実績!$AC$6:$AC$505,"&lt;="&amp;$A73,実績!$AD$6:$AD$505,"&gt;"&amp;$A73,実績!$AE$6:$AE$505,"○")&gt;0,1,0))</f>
        <v/>
      </c>
      <c r="CR73">
        <f>IF(CR$4=0,0,IF(COUNTIFS(実績!$W$6:$W$505,CR$3,実績!$AC$6:$AC$505,"&lt;="&amp;$A73,実績!$AD$6:$AD$505,"&gt;"&amp;$A73,実績!$AE$6:$AE$505,"○")&gt;0,1,0))</f>
        <v/>
      </c>
      <c r="CS73">
        <f>IF(CS$4=0,0,IF(COUNTIFS(実績!$W$6:$W$505,CS$3,実績!$AC$6:$AC$505,"&lt;="&amp;$A73,実績!$AD$6:$AD$505,"&gt;"&amp;$A73,実績!$AE$6:$AE$505,"○")&gt;0,1,0))</f>
        <v/>
      </c>
      <c r="CT73">
        <f>IF(CT$4=0,0,IF(COUNTIFS(実績!$W$6:$W$505,CT$3,実績!$AC$6:$AC$505,"&lt;="&amp;$A73,実績!$AD$6:$AD$505,"&gt;"&amp;$A73,実績!$AE$6:$AE$505,"○")&gt;0,1,0))</f>
        <v/>
      </c>
      <c r="CU73">
        <f>IF(CU$4=0,0,IF(COUNTIFS(実績!$W$6:$W$505,CU$3,実績!$AC$6:$AC$505,"&lt;="&amp;$A73,実績!$AD$6:$AD$505,"&gt;"&amp;$A73,実績!$AE$6:$AE$505,"○")&gt;0,1,0))</f>
        <v/>
      </c>
      <c r="CV73">
        <f>IF(CV$4=0,0,IF(COUNTIFS(実績!$W$6:$W$505,CV$3,実績!$AC$6:$AC$505,"&lt;="&amp;$A73,実績!$AD$6:$AD$505,"&gt;"&amp;$A73,実績!$AE$6:$AE$505,"○")&gt;0,1,0))</f>
        <v/>
      </c>
      <c r="CW73">
        <f>IF(CW$4=0,0,IF(COUNTIFS(実績!$W$6:$W$505,CW$3,実績!$AC$6:$AC$505,"&lt;="&amp;$A73,実績!$AD$6:$AD$505,"&gt;"&amp;$A73,実績!$AE$6:$AE$505,"○")&gt;0,1,0))</f>
        <v/>
      </c>
      <c r="CX73">
        <f>IF(CX$4=0,0,IF(COUNTIFS(実績!$W$6:$W$505,CX$3,実績!$AC$6:$AC$505,"&lt;="&amp;$A73,実績!$AD$6:$AD$505,"&gt;"&amp;$A73,実績!$AE$6:$AE$505,"○")&gt;0,1,0))</f>
        <v/>
      </c>
      <c r="CY73">
        <f>IF(CY$4=0,0,IF(COUNTIFS(実績!$W$6:$W$505,CY$3,実績!$AC$6:$AC$505,"&lt;="&amp;$A73,実績!$AD$6:$AD$505,"&gt;"&amp;$A73,実績!$AE$6:$AE$505,"○")&gt;0,1,0))</f>
        <v/>
      </c>
      <c r="CZ73">
        <f>IF(CZ$4=0,0,IF(COUNTIFS(実績!$W$6:$W$505,CZ$3,実績!$AC$6:$AC$505,"&lt;="&amp;$A73,実績!$AD$6:$AD$505,"&gt;"&amp;$A73,実績!$AE$6:$AE$505,"○")&gt;0,1,0))</f>
        <v/>
      </c>
      <c r="DA73">
        <f>IF(DA$4=0,0,IF(COUNTIFS(実績!$W$6:$W$505,DA$3,実績!$AC$6:$AC$505,"&lt;="&amp;$A73,実績!$AD$6:$AD$505,"&gt;"&amp;$A73,実績!$AE$6:$AE$505,"○")&gt;0,1,0))</f>
        <v/>
      </c>
      <c r="DB73">
        <f>IF(DB$4=0,0,IF(COUNTIFS(実績!$W$6:$W$505,DB$3,実績!$AC$6:$AC$505,"&lt;="&amp;$A73,実績!$AD$6:$AD$505,"&gt;"&amp;$A73,実績!$AE$6:$AE$505,"○")&gt;0,1,0))</f>
        <v/>
      </c>
      <c r="DC73">
        <f>IF(DC$4=0,0,IF(COUNTIFS(実績!$W$6:$W$505,DC$3,実績!$AC$6:$AC$505,"&lt;="&amp;$A73,実績!$AD$6:$AD$505,"&gt;"&amp;$A73,実績!$AE$6:$AE$505,"○")&gt;0,1,0))</f>
        <v/>
      </c>
      <c r="DD73">
        <f>IF(DD$4=0,0,IF(COUNTIFS(実績!$W$6:$W$505,DD$3,実績!$AC$6:$AC$505,"&lt;="&amp;$A73,実績!$AD$6:$AD$505,"&gt;"&amp;$A73,実績!$AE$6:$AE$505,"○")&gt;0,1,0))</f>
        <v/>
      </c>
      <c r="DE73">
        <f>IF(DE$4=0,0,IF(COUNTIFS(実績!$W$6:$W$505,DE$3,実績!$AC$6:$AC$505,"&lt;="&amp;$A73,実績!$AD$6:$AD$505,"&gt;"&amp;$A73,実績!$AE$6:$AE$505,"○")&gt;0,1,0))</f>
        <v/>
      </c>
      <c r="DF73">
        <f>IF(DF$4=0,0,IF(COUNTIFS(実績!$W$6:$W$505,DF$3,実績!$AC$6:$AC$505,"&lt;="&amp;$A73,実績!$AD$6:$AD$505,"&gt;"&amp;$A73,実績!$AE$6:$AE$505,"○")&gt;0,1,0))</f>
        <v/>
      </c>
      <c r="DG73">
        <f>IF(DG$4=0,0,IF(COUNTIFS(実績!$W$6:$W$505,DG$3,実績!$AC$6:$AC$505,"&lt;="&amp;$A73,実績!$AD$6:$AD$505,"&gt;"&amp;$A73,実績!$AE$6:$AE$505,"○")&gt;0,1,0))</f>
        <v/>
      </c>
      <c r="DH73">
        <f>IF(DH$4=0,0,IF(COUNTIFS(実績!$W$6:$W$505,DH$3,実績!$AC$6:$AC$505,"&lt;="&amp;$A73,実績!$AD$6:$AD$505,"&gt;"&amp;$A73,実績!$AE$6:$AE$505,"○")&gt;0,1,0))</f>
        <v/>
      </c>
      <c r="DI73">
        <f>IF(DI$4=0,0,IF(COUNTIFS(実績!$W$6:$W$505,DI$3,実績!$AC$6:$AC$505,"&lt;="&amp;$A73,実績!$AD$6:$AD$505,"&gt;"&amp;$A73,実績!$AE$6:$AE$505,"○")&gt;0,1,0))</f>
        <v/>
      </c>
      <c r="DJ73">
        <f>IF(DJ$4=0,0,IF(COUNTIFS(実績!$W$6:$W$505,DJ$3,実績!$AC$6:$AC$505,"&lt;="&amp;$A73,実績!$AD$6:$AD$505,"&gt;"&amp;$A73,実績!$AE$6:$AE$505,"○")&gt;0,1,0))</f>
        <v/>
      </c>
      <c r="DK73">
        <f>IF(DK$4=0,0,IF(COUNTIFS(実績!$W$6:$W$505,DK$3,実績!$AC$6:$AC$505,"&lt;="&amp;$A73,実績!$AD$6:$AD$505,"&gt;"&amp;$A73,実績!$AE$6:$AE$505,"○")&gt;0,1,0))</f>
        <v/>
      </c>
      <c r="DL73">
        <f>IF(DL$4=0,0,IF(COUNTIFS(実績!$W$6:$W$505,DL$3,実績!$AC$6:$AC$505,"&lt;="&amp;$A73,実績!$AD$6:$AD$505,"&gt;"&amp;$A73,実績!$AE$6:$AE$505,"○")&gt;0,1,0))</f>
        <v/>
      </c>
      <c r="DM73">
        <f>IF(DM$4=0,0,IF(COUNTIFS(実績!$W$6:$W$505,DM$3,実績!$AC$6:$AC$505,"&lt;="&amp;$A73,実績!$AD$6:$AD$505,"&gt;"&amp;$A73,実績!$AE$6:$AE$505,"○")&gt;0,1,0))</f>
        <v/>
      </c>
      <c r="DN73">
        <f>IF(DN$4=0,0,IF(COUNTIFS(実績!$W$6:$W$505,DN$3,実績!$AC$6:$AC$505,"&lt;="&amp;$A73,実績!$AD$6:$AD$505,"&gt;"&amp;$A73,実績!$AE$6:$AE$505,"○")&gt;0,1,0))</f>
        <v/>
      </c>
      <c r="DO73">
        <f>IF(DO$4=0,0,IF(COUNTIFS(実績!$W$6:$W$505,DO$3,実績!$AC$6:$AC$505,"&lt;="&amp;$A73,実績!$AD$6:$AD$505,"&gt;"&amp;$A73,実績!$AE$6:$AE$505,"○")&gt;0,1,0))</f>
        <v/>
      </c>
      <c r="DP73">
        <f>IF(DP$4=0,0,IF(COUNTIFS(実績!$W$6:$W$505,DP$3,実績!$AC$6:$AC$505,"&lt;="&amp;$A73,実績!$AD$6:$AD$505,"&gt;"&amp;$A73,実績!$AE$6:$AE$505,"○")&gt;0,1,0))</f>
        <v/>
      </c>
      <c r="DQ73">
        <f>IF(DQ$4=0,0,IF(COUNTIFS(実績!$W$6:$W$505,DQ$3,実績!$AC$6:$AC$505,"&lt;="&amp;$A73,実績!$AD$6:$AD$505,"&gt;"&amp;$A73,実績!$AE$6:$AE$505,"○")&gt;0,1,0))</f>
        <v/>
      </c>
      <c r="DR73">
        <f>IF(DR$4=0,0,IF(COUNTIFS(実績!$W$6:$W$505,DR$3,実績!$AC$6:$AC$505,"&lt;="&amp;$A73,実績!$AD$6:$AD$505,"&gt;"&amp;$A73,実績!$AE$6:$AE$505,"○")&gt;0,1,0))</f>
        <v/>
      </c>
      <c r="DS73">
        <f>SUM(C73:DR73)</f>
        <v/>
      </c>
      <c r="DT73">
        <f>SUMPRODUCT((実績!$C$6:$C$505="○")*ISNUMBER(実績!$AF$6:$AF$505)*(実績!$AF$6:$AF$505&lt;=$A73)*(実績!$AG$6:$AG$505&gt;$A73))</f>
        <v/>
      </c>
      <c r="DU73">
        <f>SUMIF($C$2:$DR$2,"製鉄曳船",C73:DR73)</f>
        <v/>
      </c>
      <c r="DV73">
        <f>SUMIF($C$2:$DR$2,"西日本海運",C73:DR73)</f>
        <v/>
      </c>
    </row>
    <row r="74">
      <c r="A74" t="n">
        <v>340</v>
      </c>
      <c r="B74" s="29">
        <f>A74/1440</f>
        <v/>
      </c>
      <c r="C74">
        <f>IF(C$4=0,0,IF(COUNTIFS(実績!$W$6:$W$505,C$3,実績!$AC$6:$AC$505,"&lt;="&amp;$A74,実績!$AD$6:$AD$505,"&gt;"&amp;$A74,実績!$AE$6:$AE$505,"○")&gt;0,1,0))</f>
        <v/>
      </c>
      <c r="D74">
        <f>IF(D$4=0,0,IF(COUNTIFS(実績!$W$6:$W$505,D$3,実績!$AC$6:$AC$505,"&lt;="&amp;$A74,実績!$AD$6:$AD$505,"&gt;"&amp;$A74,実績!$AE$6:$AE$505,"○")&gt;0,1,0))</f>
        <v/>
      </c>
      <c r="E74">
        <f>IF(E$4=0,0,IF(COUNTIFS(実績!$W$6:$W$505,E$3,実績!$AC$6:$AC$505,"&lt;="&amp;$A74,実績!$AD$6:$AD$505,"&gt;"&amp;$A74,実績!$AE$6:$AE$505,"○")&gt;0,1,0))</f>
        <v/>
      </c>
      <c r="F74">
        <f>IF(F$4=0,0,IF(COUNTIFS(実績!$W$6:$W$505,F$3,実績!$AC$6:$AC$505,"&lt;="&amp;$A74,実績!$AD$6:$AD$505,"&gt;"&amp;$A74,実績!$AE$6:$AE$505,"○")&gt;0,1,0))</f>
        <v/>
      </c>
      <c r="G74">
        <f>IF(G$4=0,0,IF(COUNTIFS(実績!$W$6:$W$505,G$3,実績!$AC$6:$AC$505,"&lt;="&amp;$A74,実績!$AD$6:$AD$505,"&gt;"&amp;$A74,実績!$AE$6:$AE$505,"○")&gt;0,1,0))</f>
        <v/>
      </c>
      <c r="H74">
        <f>IF(H$4=0,0,IF(COUNTIFS(実績!$W$6:$W$505,H$3,実績!$AC$6:$AC$505,"&lt;="&amp;$A74,実績!$AD$6:$AD$505,"&gt;"&amp;$A74,実績!$AE$6:$AE$505,"○")&gt;0,1,0))</f>
        <v/>
      </c>
      <c r="I74">
        <f>IF(I$4=0,0,IF(COUNTIFS(実績!$W$6:$W$505,I$3,実績!$AC$6:$AC$505,"&lt;="&amp;$A74,実績!$AD$6:$AD$505,"&gt;"&amp;$A74,実績!$AE$6:$AE$505,"○")&gt;0,1,0))</f>
        <v/>
      </c>
      <c r="J74">
        <f>IF(J$4=0,0,IF(COUNTIFS(実績!$W$6:$W$505,J$3,実績!$AC$6:$AC$505,"&lt;="&amp;$A74,実績!$AD$6:$AD$505,"&gt;"&amp;$A74,実績!$AE$6:$AE$505,"○")&gt;0,1,0))</f>
        <v/>
      </c>
      <c r="K74">
        <f>IF(K$4=0,0,IF(COUNTIFS(実績!$W$6:$W$505,K$3,実績!$AC$6:$AC$505,"&lt;="&amp;$A74,実績!$AD$6:$AD$505,"&gt;"&amp;$A74,実績!$AE$6:$AE$505,"○")&gt;0,1,0))</f>
        <v/>
      </c>
      <c r="L74">
        <f>IF(L$4=0,0,IF(COUNTIFS(実績!$W$6:$W$505,L$3,実績!$AC$6:$AC$505,"&lt;="&amp;$A74,実績!$AD$6:$AD$505,"&gt;"&amp;$A74,実績!$AE$6:$AE$505,"○")&gt;0,1,0))</f>
        <v/>
      </c>
      <c r="M74">
        <f>IF(M$4=0,0,IF(COUNTIFS(実績!$W$6:$W$505,M$3,実績!$AC$6:$AC$505,"&lt;="&amp;$A74,実績!$AD$6:$AD$505,"&gt;"&amp;$A74,実績!$AE$6:$AE$505,"○")&gt;0,1,0))</f>
        <v/>
      </c>
      <c r="N74">
        <f>IF(N$4=0,0,IF(COUNTIFS(実績!$W$6:$W$505,N$3,実績!$AC$6:$AC$505,"&lt;="&amp;$A74,実績!$AD$6:$AD$505,"&gt;"&amp;$A74,実績!$AE$6:$AE$505,"○")&gt;0,1,0))</f>
        <v/>
      </c>
      <c r="O74">
        <f>IF(O$4=0,0,IF(COUNTIFS(実績!$W$6:$W$505,O$3,実績!$AC$6:$AC$505,"&lt;="&amp;$A74,実績!$AD$6:$AD$505,"&gt;"&amp;$A74,実績!$AE$6:$AE$505,"○")&gt;0,1,0))</f>
        <v/>
      </c>
      <c r="P74">
        <f>IF(P$4=0,0,IF(COUNTIFS(実績!$W$6:$W$505,P$3,実績!$AC$6:$AC$505,"&lt;="&amp;$A74,実績!$AD$6:$AD$505,"&gt;"&amp;$A74,実績!$AE$6:$AE$505,"○")&gt;0,1,0))</f>
        <v/>
      </c>
      <c r="Q74">
        <f>IF(Q$4=0,0,IF(COUNTIFS(実績!$W$6:$W$505,Q$3,実績!$AC$6:$AC$505,"&lt;="&amp;$A74,実績!$AD$6:$AD$505,"&gt;"&amp;$A74,実績!$AE$6:$AE$505,"○")&gt;0,1,0))</f>
        <v/>
      </c>
      <c r="R74">
        <f>IF(R$4=0,0,IF(COUNTIFS(実績!$W$6:$W$505,R$3,実績!$AC$6:$AC$505,"&lt;="&amp;$A74,実績!$AD$6:$AD$505,"&gt;"&amp;$A74,実績!$AE$6:$AE$505,"○")&gt;0,1,0))</f>
        <v/>
      </c>
      <c r="S74">
        <f>IF(S$4=0,0,IF(COUNTIFS(実績!$W$6:$W$505,S$3,実績!$AC$6:$AC$505,"&lt;="&amp;$A74,実績!$AD$6:$AD$505,"&gt;"&amp;$A74,実績!$AE$6:$AE$505,"○")&gt;0,1,0))</f>
        <v/>
      </c>
      <c r="T74">
        <f>IF(T$4=0,0,IF(COUNTIFS(実績!$W$6:$W$505,T$3,実績!$AC$6:$AC$505,"&lt;="&amp;$A74,実績!$AD$6:$AD$505,"&gt;"&amp;$A74,実績!$AE$6:$AE$505,"○")&gt;0,1,0))</f>
        <v/>
      </c>
      <c r="U74">
        <f>IF(U$4=0,0,IF(COUNTIFS(実績!$W$6:$W$505,U$3,実績!$AC$6:$AC$505,"&lt;="&amp;$A74,実績!$AD$6:$AD$505,"&gt;"&amp;$A74,実績!$AE$6:$AE$505,"○")&gt;0,1,0))</f>
        <v/>
      </c>
      <c r="V74">
        <f>IF(V$4=0,0,IF(COUNTIFS(実績!$W$6:$W$505,V$3,実績!$AC$6:$AC$505,"&lt;="&amp;$A74,実績!$AD$6:$AD$505,"&gt;"&amp;$A74,実績!$AE$6:$AE$505,"○")&gt;0,1,0))</f>
        <v/>
      </c>
      <c r="W74">
        <f>IF(W$4=0,0,IF(COUNTIFS(実績!$W$6:$W$505,W$3,実績!$AC$6:$AC$505,"&lt;="&amp;$A74,実績!$AD$6:$AD$505,"&gt;"&amp;$A74,実績!$AE$6:$AE$505,"○")&gt;0,1,0))</f>
        <v/>
      </c>
      <c r="X74">
        <f>IF(X$4=0,0,IF(COUNTIFS(実績!$W$6:$W$505,X$3,実績!$AC$6:$AC$505,"&lt;="&amp;$A74,実績!$AD$6:$AD$505,"&gt;"&amp;$A74,実績!$AE$6:$AE$505,"○")&gt;0,1,0))</f>
        <v/>
      </c>
      <c r="Y74">
        <f>IF(Y$4=0,0,IF(COUNTIFS(実績!$W$6:$W$505,Y$3,実績!$AC$6:$AC$505,"&lt;="&amp;$A74,実績!$AD$6:$AD$505,"&gt;"&amp;$A74,実績!$AE$6:$AE$505,"○")&gt;0,1,0))</f>
        <v/>
      </c>
      <c r="Z74">
        <f>IF(Z$4=0,0,IF(COUNTIFS(実績!$W$6:$W$505,Z$3,実績!$AC$6:$AC$505,"&lt;="&amp;$A74,実績!$AD$6:$AD$505,"&gt;"&amp;$A74,実績!$AE$6:$AE$505,"○")&gt;0,1,0))</f>
        <v/>
      </c>
      <c r="AA74">
        <f>IF(AA$4=0,0,IF(COUNTIFS(実績!$W$6:$W$505,AA$3,実績!$AC$6:$AC$505,"&lt;="&amp;$A74,実績!$AD$6:$AD$505,"&gt;"&amp;$A74,実績!$AE$6:$AE$505,"○")&gt;0,1,0))</f>
        <v/>
      </c>
      <c r="AB74">
        <f>IF(AB$4=0,0,IF(COUNTIFS(実績!$W$6:$W$505,AB$3,実績!$AC$6:$AC$505,"&lt;="&amp;$A74,実績!$AD$6:$AD$505,"&gt;"&amp;$A74,実績!$AE$6:$AE$505,"○")&gt;0,1,0))</f>
        <v/>
      </c>
      <c r="AC74">
        <f>IF(AC$4=0,0,IF(COUNTIFS(実績!$W$6:$W$505,AC$3,実績!$AC$6:$AC$505,"&lt;="&amp;$A74,実績!$AD$6:$AD$505,"&gt;"&amp;$A74,実績!$AE$6:$AE$505,"○")&gt;0,1,0))</f>
        <v/>
      </c>
      <c r="AD74">
        <f>IF(AD$4=0,0,IF(COUNTIFS(実績!$W$6:$W$505,AD$3,実績!$AC$6:$AC$505,"&lt;="&amp;$A74,実績!$AD$6:$AD$505,"&gt;"&amp;$A74,実績!$AE$6:$AE$505,"○")&gt;0,1,0))</f>
        <v/>
      </c>
      <c r="AE74">
        <f>IF(AE$4=0,0,IF(COUNTIFS(実績!$W$6:$W$505,AE$3,実績!$AC$6:$AC$505,"&lt;="&amp;$A74,実績!$AD$6:$AD$505,"&gt;"&amp;$A74,実績!$AE$6:$AE$505,"○")&gt;0,1,0))</f>
        <v/>
      </c>
      <c r="AF74">
        <f>IF(AF$4=0,0,IF(COUNTIFS(実績!$W$6:$W$505,AF$3,実績!$AC$6:$AC$505,"&lt;="&amp;$A74,実績!$AD$6:$AD$505,"&gt;"&amp;$A74,実績!$AE$6:$AE$505,"○")&gt;0,1,0))</f>
        <v/>
      </c>
      <c r="AG74">
        <f>IF(AG$4=0,0,IF(COUNTIFS(実績!$W$6:$W$505,AG$3,実績!$AC$6:$AC$505,"&lt;="&amp;$A74,実績!$AD$6:$AD$505,"&gt;"&amp;$A74,実績!$AE$6:$AE$505,"○")&gt;0,1,0))</f>
        <v/>
      </c>
      <c r="AH74">
        <f>IF(AH$4=0,0,IF(COUNTIFS(実績!$W$6:$W$505,AH$3,実績!$AC$6:$AC$505,"&lt;="&amp;$A74,実績!$AD$6:$AD$505,"&gt;"&amp;$A74,実績!$AE$6:$AE$505,"○")&gt;0,1,0))</f>
        <v/>
      </c>
      <c r="AI74">
        <f>IF(AI$4=0,0,IF(COUNTIFS(実績!$W$6:$W$505,AI$3,実績!$AC$6:$AC$505,"&lt;="&amp;$A74,実績!$AD$6:$AD$505,"&gt;"&amp;$A74,実績!$AE$6:$AE$505,"○")&gt;0,1,0))</f>
        <v/>
      </c>
      <c r="AJ74">
        <f>IF(AJ$4=0,0,IF(COUNTIFS(実績!$W$6:$W$505,AJ$3,実績!$AC$6:$AC$505,"&lt;="&amp;$A74,実績!$AD$6:$AD$505,"&gt;"&amp;$A74,実績!$AE$6:$AE$505,"○")&gt;0,1,0))</f>
        <v/>
      </c>
      <c r="AK74">
        <f>IF(AK$4=0,0,IF(COUNTIFS(実績!$W$6:$W$505,AK$3,実績!$AC$6:$AC$505,"&lt;="&amp;$A74,実績!$AD$6:$AD$505,"&gt;"&amp;$A74,実績!$AE$6:$AE$505,"○")&gt;0,1,0))</f>
        <v/>
      </c>
      <c r="AL74">
        <f>IF(AL$4=0,0,IF(COUNTIFS(実績!$W$6:$W$505,AL$3,実績!$AC$6:$AC$505,"&lt;="&amp;$A74,実績!$AD$6:$AD$505,"&gt;"&amp;$A74,実績!$AE$6:$AE$505,"○")&gt;0,1,0))</f>
        <v/>
      </c>
      <c r="AM74">
        <f>IF(AM$4=0,0,IF(COUNTIFS(実績!$W$6:$W$505,AM$3,実績!$AC$6:$AC$505,"&lt;="&amp;$A74,実績!$AD$6:$AD$505,"&gt;"&amp;$A74,実績!$AE$6:$AE$505,"○")&gt;0,1,0))</f>
        <v/>
      </c>
      <c r="AN74">
        <f>IF(AN$4=0,0,IF(COUNTIFS(実績!$W$6:$W$505,AN$3,実績!$AC$6:$AC$505,"&lt;="&amp;$A74,実績!$AD$6:$AD$505,"&gt;"&amp;$A74,実績!$AE$6:$AE$505,"○")&gt;0,1,0))</f>
        <v/>
      </c>
      <c r="AO74">
        <f>IF(AO$4=0,0,IF(COUNTIFS(実績!$W$6:$W$505,AO$3,実績!$AC$6:$AC$505,"&lt;="&amp;$A74,実績!$AD$6:$AD$505,"&gt;"&amp;$A74,実績!$AE$6:$AE$505,"○")&gt;0,1,0))</f>
        <v/>
      </c>
      <c r="AP74">
        <f>IF(AP$4=0,0,IF(COUNTIFS(実績!$W$6:$W$505,AP$3,実績!$AC$6:$AC$505,"&lt;="&amp;$A74,実績!$AD$6:$AD$505,"&gt;"&amp;$A74,実績!$AE$6:$AE$505,"○")&gt;0,1,0))</f>
        <v/>
      </c>
      <c r="AQ74">
        <f>IF(AQ$4=0,0,IF(COUNTIFS(実績!$W$6:$W$505,AQ$3,実績!$AC$6:$AC$505,"&lt;="&amp;$A74,実績!$AD$6:$AD$505,"&gt;"&amp;$A74,実績!$AE$6:$AE$505,"○")&gt;0,1,0))</f>
        <v/>
      </c>
      <c r="AR74">
        <f>IF(AR$4=0,0,IF(COUNTIFS(実績!$W$6:$W$505,AR$3,実績!$AC$6:$AC$505,"&lt;="&amp;$A74,実績!$AD$6:$AD$505,"&gt;"&amp;$A74,実績!$AE$6:$AE$505,"○")&gt;0,1,0))</f>
        <v/>
      </c>
      <c r="AS74">
        <f>IF(AS$4=0,0,IF(COUNTIFS(実績!$W$6:$W$505,AS$3,実績!$AC$6:$AC$505,"&lt;="&amp;$A74,実績!$AD$6:$AD$505,"&gt;"&amp;$A74,実績!$AE$6:$AE$505,"○")&gt;0,1,0))</f>
        <v/>
      </c>
      <c r="AT74">
        <f>IF(AT$4=0,0,IF(COUNTIFS(実績!$W$6:$W$505,AT$3,実績!$AC$6:$AC$505,"&lt;="&amp;$A74,実績!$AD$6:$AD$505,"&gt;"&amp;$A74,実績!$AE$6:$AE$505,"○")&gt;0,1,0))</f>
        <v/>
      </c>
      <c r="AU74">
        <f>IF(AU$4=0,0,IF(COUNTIFS(実績!$W$6:$W$505,AU$3,実績!$AC$6:$AC$505,"&lt;="&amp;$A74,実績!$AD$6:$AD$505,"&gt;"&amp;$A74,実績!$AE$6:$AE$505,"○")&gt;0,1,0))</f>
        <v/>
      </c>
      <c r="AV74">
        <f>IF(AV$4=0,0,IF(COUNTIFS(実績!$W$6:$W$505,AV$3,実績!$AC$6:$AC$505,"&lt;="&amp;$A74,実績!$AD$6:$AD$505,"&gt;"&amp;$A74,実績!$AE$6:$AE$505,"○")&gt;0,1,0))</f>
        <v/>
      </c>
      <c r="AW74">
        <f>IF(AW$4=0,0,IF(COUNTIFS(実績!$W$6:$W$505,AW$3,実績!$AC$6:$AC$505,"&lt;="&amp;$A74,実績!$AD$6:$AD$505,"&gt;"&amp;$A74,実績!$AE$6:$AE$505,"○")&gt;0,1,0))</f>
        <v/>
      </c>
      <c r="AX74">
        <f>IF(AX$4=0,0,IF(COUNTIFS(実績!$W$6:$W$505,AX$3,実績!$AC$6:$AC$505,"&lt;="&amp;$A74,実績!$AD$6:$AD$505,"&gt;"&amp;$A74,実績!$AE$6:$AE$505,"○")&gt;0,1,0))</f>
        <v/>
      </c>
      <c r="AY74">
        <f>IF(AY$4=0,0,IF(COUNTIFS(実績!$W$6:$W$505,AY$3,実績!$AC$6:$AC$505,"&lt;="&amp;$A74,実績!$AD$6:$AD$505,"&gt;"&amp;$A74,実績!$AE$6:$AE$505,"○")&gt;0,1,0))</f>
        <v/>
      </c>
      <c r="AZ74">
        <f>IF(AZ$4=0,0,IF(COUNTIFS(実績!$W$6:$W$505,AZ$3,実績!$AC$6:$AC$505,"&lt;="&amp;$A74,実績!$AD$6:$AD$505,"&gt;"&amp;$A74,実績!$AE$6:$AE$505,"○")&gt;0,1,0))</f>
        <v/>
      </c>
      <c r="BA74">
        <f>IF(BA$4=0,0,IF(COUNTIFS(実績!$W$6:$W$505,BA$3,実績!$AC$6:$AC$505,"&lt;="&amp;$A74,実績!$AD$6:$AD$505,"&gt;"&amp;$A74,実績!$AE$6:$AE$505,"○")&gt;0,1,0))</f>
        <v/>
      </c>
      <c r="BB74">
        <f>IF(BB$4=0,0,IF(COUNTIFS(実績!$W$6:$W$505,BB$3,実績!$AC$6:$AC$505,"&lt;="&amp;$A74,実績!$AD$6:$AD$505,"&gt;"&amp;$A74,実績!$AE$6:$AE$505,"○")&gt;0,1,0))</f>
        <v/>
      </c>
      <c r="BC74">
        <f>IF(BC$4=0,0,IF(COUNTIFS(実績!$W$6:$W$505,BC$3,実績!$AC$6:$AC$505,"&lt;="&amp;$A74,実績!$AD$6:$AD$505,"&gt;"&amp;$A74,実績!$AE$6:$AE$505,"○")&gt;0,1,0))</f>
        <v/>
      </c>
      <c r="BD74">
        <f>IF(BD$4=0,0,IF(COUNTIFS(実績!$W$6:$W$505,BD$3,実績!$AC$6:$AC$505,"&lt;="&amp;$A74,実績!$AD$6:$AD$505,"&gt;"&amp;$A74,実績!$AE$6:$AE$505,"○")&gt;0,1,0))</f>
        <v/>
      </c>
      <c r="BE74">
        <f>IF(BE$4=0,0,IF(COUNTIFS(実績!$W$6:$W$505,BE$3,実績!$AC$6:$AC$505,"&lt;="&amp;$A74,実績!$AD$6:$AD$505,"&gt;"&amp;$A74,実績!$AE$6:$AE$505,"○")&gt;0,1,0))</f>
        <v/>
      </c>
      <c r="BF74">
        <f>IF(BF$4=0,0,IF(COUNTIFS(実績!$W$6:$W$505,BF$3,実績!$AC$6:$AC$505,"&lt;="&amp;$A74,実績!$AD$6:$AD$505,"&gt;"&amp;$A74,実績!$AE$6:$AE$505,"○")&gt;0,1,0))</f>
        <v/>
      </c>
      <c r="BG74">
        <f>IF(BG$4=0,0,IF(COUNTIFS(実績!$W$6:$W$505,BG$3,実績!$AC$6:$AC$505,"&lt;="&amp;$A74,実績!$AD$6:$AD$505,"&gt;"&amp;$A74,実績!$AE$6:$AE$505,"○")&gt;0,1,0))</f>
        <v/>
      </c>
      <c r="BH74">
        <f>IF(BH$4=0,0,IF(COUNTIFS(実績!$W$6:$W$505,BH$3,実績!$AC$6:$AC$505,"&lt;="&amp;$A74,実績!$AD$6:$AD$505,"&gt;"&amp;$A74,実績!$AE$6:$AE$505,"○")&gt;0,1,0))</f>
        <v/>
      </c>
      <c r="BI74">
        <f>IF(BI$4=0,0,IF(COUNTIFS(実績!$W$6:$W$505,BI$3,実績!$AC$6:$AC$505,"&lt;="&amp;$A74,実績!$AD$6:$AD$505,"&gt;"&amp;$A74,実績!$AE$6:$AE$505,"○")&gt;0,1,0))</f>
        <v/>
      </c>
      <c r="BJ74">
        <f>IF(BJ$4=0,0,IF(COUNTIFS(実績!$W$6:$W$505,BJ$3,実績!$AC$6:$AC$505,"&lt;="&amp;$A74,実績!$AD$6:$AD$505,"&gt;"&amp;$A74,実績!$AE$6:$AE$505,"○")&gt;0,1,0))</f>
        <v/>
      </c>
      <c r="BK74">
        <f>IF(BK$4=0,0,IF(COUNTIFS(実績!$W$6:$W$505,BK$3,実績!$AC$6:$AC$505,"&lt;="&amp;$A74,実績!$AD$6:$AD$505,"&gt;"&amp;$A74,実績!$AE$6:$AE$505,"○")&gt;0,1,0))</f>
        <v/>
      </c>
      <c r="BL74">
        <f>IF(BL$4=0,0,IF(COUNTIFS(実績!$W$6:$W$505,BL$3,実績!$AC$6:$AC$505,"&lt;="&amp;$A74,実績!$AD$6:$AD$505,"&gt;"&amp;$A74,実績!$AE$6:$AE$505,"○")&gt;0,1,0))</f>
        <v/>
      </c>
      <c r="BM74">
        <f>IF(BM$4=0,0,IF(COUNTIFS(実績!$W$6:$W$505,BM$3,実績!$AC$6:$AC$505,"&lt;="&amp;$A74,実績!$AD$6:$AD$505,"&gt;"&amp;$A74,実績!$AE$6:$AE$505,"○")&gt;0,1,0))</f>
        <v/>
      </c>
      <c r="BN74">
        <f>IF(BN$4=0,0,IF(COUNTIFS(実績!$W$6:$W$505,BN$3,実績!$AC$6:$AC$505,"&lt;="&amp;$A74,実績!$AD$6:$AD$505,"&gt;"&amp;$A74,実績!$AE$6:$AE$505,"○")&gt;0,1,0))</f>
        <v/>
      </c>
      <c r="BO74">
        <f>IF(BO$4=0,0,IF(COUNTIFS(実績!$W$6:$W$505,BO$3,実績!$AC$6:$AC$505,"&lt;="&amp;$A74,実績!$AD$6:$AD$505,"&gt;"&amp;$A74,実績!$AE$6:$AE$505,"○")&gt;0,1,0))</f>
        <v/>
      </c>
      <c r="BP74">
        <f>IF(BP$4=0,0,IF(COUNTIFS(実績!$W$6:$W$505,BP$3,実績!$AC$6:$AC$505,"&lt;="&amp;$A74,実績!$AD$6:$AD$505,"&gt;"&amp;$A74,実績!$AE$6:$AE$505,"○")&gt;0,1,0))</f>
        <v/>
      </c>
      <c r="BQ74">
        <f>IF(BQ$4=0,0,IF(COUNTIFS(実績!$W$6:$W$505,BQ$3,実績!$AC$6:$AC$505,"&lt;="&amp;$A74,実績!$AD$6:$AD$505,"&gt;"&amp;$A74,実績!$AE$6:$AE$505,"○")&gt;0,1,0))</f>
        <v/>
      </c>
      <c r="BR74">
        <f>IF(BR$4=0,0,IF(COUNTIFS(実績!$W$6:$W$505,BR$3,実績!$AC$6:$AC$505,"&lt;="&amp;$A74,実績!$AD$6:$AD$505,"&gt;"&amp;$A74,実績!$AE$6:$AE$505,"○")&gt;0,1,0))</f>
        <v/>
      </c>
      <c r="BS74">
        <f>IF(BS$4=0,0,IF(COUNTIFS(実績!$W$6:$W$505,BS$3,実績!$AC$6:$AC$505,"&lt;="&amp;$A74,実績!$AD$6:$AD$505,"&gt;"&amp;$A74,実績!$AE$6:$AE$505,"○")&gt;0,1,0))</f>
        <v/>
      </c>
      <c r="BT74">
        <f>IF(BT$4=0,0,IF(COUNTIFS(実績!$W$6:$W$505,BT$3,実績!$AC$6:$AC$505,"&lt;="&amp;$A74,実績!$AD$6:$AD$505,"&gt;"&amp;$A74,実績!$AE$6:$AE$505,"○")&gt;0,1,0))</f>
        <v/>
      </c>
      <c r="BU74">
        <f>IF(BU$4=0,0,IF(COUNTIFS(実績!$W$6:$W$505,BU$3,実績!$AC$6:$AC$505,"&lt;="&amp;$A74,実績!$AD$6:$AD$505,"&gt;"&amp;$A74,実績!$AE$6:$AE$505,"○")&gt;0,1,0))</f>
        <v/>
      </c>
      <c r="BV74">
        <f>IF(BV$4=0,0,IF(COUNTIFS(実績!$W$6:$W$505,BV$3,実績!$AC$6:$AC$505,"&lt;="&amp;$A74,実績!$AD$6:$AD$505,"&gt;"&amp;$A74,実績!$AE$6:$AE$505,"○")&gt;0,1,0))</f>
        <v/>
      </c>
      <c r="BW74">
        <f>IF(BW$4=0,0,IF(COUNTIFS(実績!$W$6:$W$505,BW$3,実績!$AC$6:$AC$505,"&lt;="&amp;$A74,実績!$AD$6:$AD$505,"&gt;"&amp;$A74,実績!$AE$6:$AE$505,"○")&gt;0,1,0))</f>
        <v/>
      </c>
      <c r="BX74">
        <f>IF(BX$4=0,0,IF(COUNTIFS(実績!$W$6:$W$505,BX$3,実績!$AC$6:$AC$505,"&lt;="&amp;$A74,実績!$AD$6:$AD$505,"&gt;"&amp;$A74,実績!$AE$6:$AE$505,"○")&gt;0,1,0))</f>
        <v/>
      </c>
      <c r="BY74">
        <f>IF(BY$4=0,0,IF(COUNTIFS(実績!$W$6:$W$505,BY$3,実績!$AC$6:$AC$505,"&lt;="&amp;$A74,実績!$AD$6:$AD$505,"&gt;"&amp;$A74,実績!$AE$6:$AE$505,"○")&gt;0,1,0))</f>
        <v/>
      </c>
      <c r="BZ74">
        <f>IF(BZ$4=0,0,IF(COUNTIFS(実績!$W$6:$W$505,BZ$3,実績!$AC$6:$AC$505,"&lt;="&amp;$A74,実績!$AD$6:$AD$505,"&gt;"&amp;$A74,実績!$AE$6:$AE$505,"○")&gt;0,1,0))</f>
        <v/>
      </c>
      <c r="CA74">
        <f>IF(CA$4=0,0,IF(COUNTIFS(実績!$W$6:$W$505,CA$3,実績!$AC$6:$AC$505,"&lt;="&amp;$A74,実績!$AD$6:$AD$505,"&gt;"&amp;$A74,実績!$AE$6:$AE$505,"○")&gt;0,1,0))</f>
        <v/>
      </c>
      <c r="CB74">
        <f>IF(CB$4=0,0,IF(COUNTIFS(実績!$W$6:$W$505,CB$3,実績!$AC$6:$AC$505,"&lt;="&amp;$A74,実績!$AD$6:$AD$505,"&gt;"&amp;$A74,実績!$AE$6:$AE$505,"○")&gt;0,1,0))</f>
        <v/>
      </c>
      <c r="CC74">
        <f>IF(CC$4=0,0,IF(COUNTIFS(実績!$W$6:$W$505,CC$3,実績!$AC$6:$AC$505,"&lt;="&amp;$A74,実績!$AD$6:$AD$505,"&gt;"&amp;$A74,実績!$AE$6:$AE$505,"○")&gt;0,1,0))</f>
        <v/>
      </c>
      <c r="CD74">
        <f>IF(CD$4=0,0,IF(COUNTIFS(実績!$W$6:$W$505,CD$3,実績!$AC$6:$AC$505,"&lt;="&amp;$A74,実績!$AD$6:$AD$505,"&gt;"&amp;$A74,実績!$AE$6:$AE$505,"○")&gt;0,1,0))</f>
        <v/>
      </c>
      <c r="CE74">
        <f>IF(CE$4=0,0,IF(COUNTIFS(実績!$W$6:$W$505,CE$3,実績!$AC$6:$AC$505,"&lt;="&amp;$A74,実績!$AD$6:$AD$505,"&gt;"&amp;$A74,実績!$AE$6:$AE$505,"○")&gt;0,1,0))</f>
        <v/>
      </c>
      <c r="CF74">
        <f>IF(CF$4=0,0,IF(COUNTIFS(実績!$W$6:$W$505,CF$3,実績!$AC$6:$AC$505,"&lt;="&amp;$A74,実績!$AD$6:$AD$505,"&gt;"&amp;$A74,実績!$AE$6:$AE$505,"○")&gt;0,1,0))</f>
        <v/>
      </c>
      <c r="CG74">
        <f>IF(CG$4=0,0,IF(COUNTIFS(実績!$W$6:$W$505,CG$3,実績!$AC$6:$AC$505,"&lt;="&amp;$A74,実績!$AD$6:$AD$505,"&gt;"&amp;$A74,実績!$AE$6:$AE$505,"○")&gt;0,1,0))</f>
        <v/>
      </c>
      <c r="CH74">
        <f>IF(CH$4=0,0,IF(COUNTIFS(実績!$W$6:$W$505,CH$3,実績!$AC$6:$AC$505,"&lt;="&amp;$A74,実績!$AD$6:$AD$505,"&gt;"&amp;$A74,実績!$AE$6:$AE$505,"○")&gt;0,1,0))</f>
        <v/>
      </c>
      <c r="CI74">
        <f>IF(CI$4=0,0,IF(COUNTIFS(実績!$W$6:$W$505,CI$3,実績!$AC$6:$AC$505,"&lt;="&amp;$A74,実績!$AD$6:$AD$505,"&gt;"&amp;$A74,実績!$AE$6:$AE$505,"○")&gt;0,1,0))</f>
        <v/>
      </c>
      <c r="CJ74">
        <f>IF(CJ$4=0,0,IF(COUNTIFS(実績!$W$6:$W$505,CJ$3,実績!$AC$6:$AC$505,"&lt;="&amp;$A74,実績!$AD$6:$AD$505,"&gt;"&amp;$A74,実績!$AE$6:$AE$505,"○")&gt;0,1,0))</f>
        <v/>
      </c>
      <c r="CK74">
        <f>IF(CK$4=0,0,IF(COUNTIFS(実績!$W$6:$W$505,CK$3,実績!$AC$6:$AC$505,"&lt;="&amp;$A74,実績!$AD$6:$AD$505,"&gt;"&amp;$A74,実績!$AE$6:$AE$505,"○")&gt;0,1,0))</f>
        <v/>
      </c>
      <c r="CL74">
        <f>IF(CL$4=0,0,IF(COUNTIFS(実績!$W$6:$W$505,CL$3,実績!$AC$6:$AC$505,"&lt;="&amp;$A74,実績!$AD$6:$AD$505,"&gt;"&amp;$A74,実績!$AE$6:$AE$505,"○")&gt;0,1,0))</f>
        <v/>
      </c>
      <c r="CM74">
        <f>IF(CM$4=0,0,IF(COUNTIFS(実績!$W$6:$W$505,CM$3,実績!$AC$6:$AC$505,"&lt;="&amp;$A74,実績!$AD$6:$AD$505,"&gt;"&amp;$A74,実績!$AE$6:$AE$505,"○")&gt;0,1,0))</f>
        <v/>
      </c>
      <c r="CN74">
        <f>IF(CN$4=0,0,IF(COUNTIFS(実績!$W$6:$W$505,CN$3,実績!$AC$6:$AC$505,"&lt;="&amp;$A74,実績!$AD$6:$AD$505,"&gt;"&amp;$A74,実績!$AE$6:$AE$505,"○")&gt;0,1,0))</f>
        <v/>
      </c>
      <c r="CO74">
        <f>IF(CO$4=0,0,IF(COUNTIFS(実績!$W$6:$W$505,CO$3,実績!$AC$6:$AC$505,"&lt;="&amp;$A74,実績!$AD$6:$AD$505,"&gt;"&amp;$A74,実績!$AE$6:$AE$505,"○")&gt;0,1,0))</f>
        <v/>
      </c>
      <c r="CP74">
        <f>IF(CP$4=0,0,IF(COUNTIFS(実績!$W$6:$W$505,CP$3,実績!$AC$6:$AC$505,"&lt;="&amp;$A74,実績!$AD$6:$AD$505,"&gt;"&amp;$A74,実績!$AE$6:$AE$505,"○")&gt;0,1,0))</f>
        <v/>
      </c>
      <c r="CQ74">
        <f>IF(CQ$4=0,0,IF(COUNTIFS(実績!$W$6:$W$505,CQ$3,実績!$AC$6:$AC$505,"&lt;="&amp;$A74,実績!$AD$6:$AD$505,"&gt;"&amp;$A74,実績!$AE$6:$AE$505,"○")&gt;0,1,0))</f>
        <v/>
      </c>
      <c r="CR74">
        <f>IF(CR$4=0,0,IF(COUNTIFS(実績!$W$6:$W$505,CR$3,実績!$AC$6:$AC$505,"&lt;="&amp;$A74,実績!$AD$6:$AD$505,"&gt;"&amp;$A74,実績!$AE$6:$AE$505,"○")&gt;0,1,0))</f>
        <v/>
      </c>
      <c r="CS74">
        <f>IF(CS$4=0,0,IF(COUNTIFS(実績!$W$6:$W$505,CS$3,実績!$AC$6:$AC$505,"&lt;="&amp;$A74,実績!$AD$6:$AD$505,"&gt;"&amp;$A74,実績!$AE$6:$AE$505,"○")&gt;0,1,0))</f>
        <v/>
      </c>
      <c r="CT74">
        <f>IF(CT$4=0,0,IF(COUNTIFS(実績!$W$6:$W$505,CT$3,実績!$AC$6:$AC$505,"&lt;="&amp;$A74,実績!$AD$6:$AD$505,"&gt;"&amp;$A74,実績!$AE$6:$AE$505,"○")&gt;0,1,0))</f>
        <v/>
      </c>
      <c r="CU74">
        <f>IF(CU$4=0,0,IF(COUNTIFS(実績!$W$6:$W$505,CU$3,実績!$AC$6:$AC$505,"&lt;="&amp;$A74,実績!$AD$6:$AD$505,"&gt;"&amp;$A74,実績!$AE$6:$AE$505,"○")&gt;0,1,0))</f>
        <v/>
      </c>
      <c r="CV74">
        <f>IF(CV$4=0,0,IF(COUNTIFS(実績!$W$6:$W$505,CV$3,実績!$AC$6:$AC$505,"&lt;="&amp;$A74,実績!$AD$6:$AD$505,"&gt;"&amp;$A74,実績!$AE$6:$AE$505,"○")&gt;0,1,0))</f>
        <v/>
      </c>
      <c r="CW74">
        <f>IF(CW$4=0,0,IF(COUNTIFS(実績!$W$6:$W$505,CW$3,実績!$AC$6:$AC$505,"&lt;="&amp;$A74,実績!$AD$6:$AD$505,"&gt;"&amp;$A74,実績!$AE$6:$AE$505,"○")&gt;0,1,0))</f>
        <v/>
      </c>
      <c r="CX74">
        <f>IF(CX$4=0,0,IF(COUNTIFS(実績!$W$6:$W$505,CX$3,実績!$AC$6:$AC$505,"&lt;="&amp;$A74,実績!$AD$6:$AD$505,"&gt;"&amp;$A74,実績!$AE$6:$AE$505,"○")&gt;0,1,0))</f>
        <v/>
      </c>
      <c r="CY74">
        <f>IF(CY$4=0,0,IF(COUNTIFS(実績!$W$6:$W$505,CY$3,実績!$AC$6:$AC$505,"&lt;="&amp;$A74,実績!$AD$6:$AD$505,"&gt;"&amp;$A74,実績!$AE$6:$AE$505,"○")&gt;0,1,0))</f>
        <v/>
      </c>
      <c r="CZ74">
        <f>IF(CZ$4=0,0,IF(COUNTIFS(実績!$W$6:$W$505,CZ$3,実績!$AC$6:$AC$505,"&lt;="&amp;$A74,実績!$AD$6:$AD$505,"&gt;"&amp;$A74,実績!$AE$6:$AE$505,"○")&gt;0,1,0))</f>
        <v/>
      </c>
      <c r="DA74">
        <f>IF(DA$4=0,0,IF(COUNTIFS(実績!$W$6:$W$505,DA$3,実績!$AC$6:$AC$505,"&lt;="&amp;$A74,実績!$AD$6:$AD$505,"&gt;"&amp;$A74,実績!$AE$6:$AE$505,"○")&gt;0,1,0))</f>
        <v/>
      </c>
      <c r="DB74">
        <f>IF(DB$4=0,0,IF(COUNTIFS(実績!$W$6:$W$505,DB$3,実績!$AC$6:$AC$505,"&lt;="&amp;$A74,実績!$AD$6:$AD$505,"&gt;"&amp;$A74,実績!$AE$6:$AE$505,"○")&gt;0,1,0))</f>
        <v/>
      </c>
      <c r="DC74">
        <f>IF(DC$4=0,0,IF(COUNTIFS(実績!$W$6:$W$505,DC$3,実績!$AC$6:$AC$505,"&lt;="&amp;$A74,実績!$AD$6:$AD$505,"&gt;"&amp;$A74,実績!$AE$6:$AE$505,"○")&gt;0,1,0))</f>
        <v/>
      </c>
      <c r="DD74">
        <f>IF(DD$4=0,0,IF(COUNTIFS(実績!$W$6:$W$505,DD$3,実績!$AC$6:$AC$505,"&lt;="&amp;$A74,実績!$AD$6:$AD$505,"&gt;"&amp;$A74,実績!$AE$6:$AE$505,"○")&gt;0,1,0))</f>
        <v/>
      </c>
      <c r="DE74">
        <f>IF(DE$4=0,0,IF(COUNTIFS(実績!$W$6:$W$505,DE$3,実績!$AC$6:$AC$505,"&lt;="&amp;$A74,実績!$AD$6:$AD$505,"&gt;"&amp;$A74,実績!$AE$6:$AE$505,"○")&gt;0,1,0))</f>
        <v/>
      </c>
      <c r="DF74">
        <f>IF(DF$4=0,0,IF(COUNTIFS(実績!$W$6:$W$505,DF$3,実績!$AC$6:$AC$505,"&lt;="&amp;$A74,実績!$AD$6:$AD$505,"&gt;"&amp;$A74,実績!$AE$6:$AE$505,"○")&gt;0,1,0))</f>
        <v/>
      </c>
      <c r="DG74">
        <f>IF(DG$4=0,0,IF(COUNTIFS(実績!$W$6:$W$505,DG$3,実績!$AC$6:$AC$505,"&lt;="&amp;$A74,実績!$AD$6:$AD$505,"&gt;"&amp;$A74,実績!$AE$6:$AE$505,"○")&gt;0,1,0))</f>
        <v/>
      </c>
      <c r="DH74">
        <f>IF(DH$4=0,0,IF(COUNTIFS(実績!$W$6:$W$505,DH$3,実績!$AC$6:$AC$505,"&lt;="&amp;$A74,実績!$AD$6:$AD$505,"&gt;"&amp;$A74,実績!$AE$6:$AE$505,"○")&gt;0,1,0))</f>
        <v/>
      </c>
      <c r="DI74">
        <f>IF(DI$4=0,0,IF(COUNTIFS(実績!$W$6:$W$505,DI$3,実績!$AC$6:$AC$505,"&lt;="&amp;$A74,実績!$AD$6:$AD$505,"&gt;"&amp;$A74,実績!$AE$6:$AE$505,"○")&gt;0,1,0))</f>
        <v/>
      </c>
      <c r="DJ74">
        <f>IF(DJ$4=0,0,IF(COUNTIFS(実績!$W$6:$W$505,DJ$3,実績!$AC$6:$AC$505,"&lt;="&amp;$A74,実績!$AD$6:$AD$505,"&gt;"&amp;$A74,実績!$AE$6:$AE$505,"○")&gt;0,1,0))</f>
        <v/>
      </c>
      <c r="DK74">
        <f>IF(DK$4=0,0,IF(COUNTIFS(実績!$W$6:$W$505,DK$3,実績!$AC$6:$AC$505,"&lt;="&amp;$A74,実績!$AD$6:$AD$505,"&gt;"&amp;$A74,実績!$AE$6:$AE$505,"○")&gt;0,1,0))</f>
        <v/>
      </c>
      <c r="DL74">
        <f>IF(DL$4=0,0,IF(COUNTIFS(実績!$W$6:$W$505,DL$3,実績!$AC$6:$AC$505,"&lt;="&amp;$A74,実績!$AD$6:$AD$505,"&gt;"&amp;$A74,実績!$AE$6:$AE$505,"○")&gt;0,1,0))</f>
        <v/>
      </c>
      <c r="DM74">
        <f>IF(DM$4=0,0,IF(COUNTIFS(実績!$W$6:$W$505,DM$3,実績!$AC$6:$AC$505,"&lt;="&amp;$A74,実績!$AD$6:$AD$505,"&gt;"&amp;$A74,実績!$AE$6:$AE$505,"○")&gt;0,1,0))</f>
        <v/>
      </c>
      <c r="DN74">
        <f>IF(DN$4=0,0,IF(COUNTIFS(実績!$W$6:$W$505,DN$3,実績!$AC$6:$AC$505,"&lt;="&amp;$A74,実績!$AD$6:$AD$505,"&gt;"&amp;$A74,実績!$AE$6:$AE$505,"○")&gt;0,1,0))</f>
        <v/>
      </c>
      <c r="DO74">
        <f>IF(DO$4=0,0,IF(COUNTIFS(実績!$W$6:$W$505,DO$3,実績!$AC$6:$AC$505,"&lt;="&amp;$A74,実績!$AD$6:$AD$505,"&gt;"&amp;$A74,実績!$AE$6:$AE$505,"○")&gt;0,1,0))</f>
        <v/>
      </c>
      <c r="DP74">
        <f>IF(DP$4=0,0,IF(COUNTIFS(実績!$W$6:$W$505,DP$3,実績!$AC$6:$AC$505,"&lt;="&amp;$A74,実績!$AD$6:$AD$505,"&gt;"&amp;$A74,実績!$AE$6:$AE$505,"○")&gt;0,1,0))</f>
        <v/>
      </c>
      <c r="DQ74">
        <f>IF(DQ$4=0,0,IF(COUNTIFS(実績!$W$6:$W$505,DQ$3,実績!$AC$6:$AC$505,"&lt;="&amp;$A74,実績!$AD$6:$AD$505,"&gt;"&amp;$A74,実績!$AE$6:$AE$505,"○")&gt;0,1,0))</f>
        <v/>
      </c>
      <c r="DR74">
        <f>IF(DR$4=0,0,IF(COUNTIFS(実績!$W$6:$W$505,DR$3,実績!$AC$6:$AC$505,"&lt;="&amp;$A74,実績!$AD$6:$AD$505,"&gt;"&amp;$A74,実績!$AE$6:$AE$505,"○")&gt;0,1,0))</f>
        <v/>
      </c>
      <c r="DS74">
        <f>SUM(C74:DR74)</f>
        <v/>
      </c>
      <c r="DT74">
        <f>SUMPRODUCT((実績!$C$6:$C$505="○")*ISNUMBER(実績!$AF$6:$AF$505)*(実績!$AF$6:$AF$505&lt;=$A74)*(実績!$AG$6:$AG$505&gt;$A74))</f>
        <v/>
      </c>
      <c r="DU74">
        <f>SUMIF($C$2:$DR$2,"製鉄曳船",C74:DR74)</f>
        <v/>
      </c>
      <c r="DV74">
        <f>SUMIF($C$2:$DR$2,"西日本海運",C74:DR74)</f>
        <v/>
      </c>
    </row>
    <row r="75">
      <c r="A75" t="n">
        <v>345</v>
      </c>
      <c r="B75" s="29">
        <f>A75/1440</f>
        <v/>
      </c>
      <c r="C75">
        <f>IF(C$4=0,0,IF(COUNTIFS(実績!$W$6:$W$505,C$3,実績!$AC$6:$AC$505,"&lt;="&amp;$A75,実績!$AD$6:$AD$505,"&gt;"&amp;$A75,実績!$AE$6:$AE$505,"○")&gt;0,1,0))</f>
        <v/>
      </c>
      <c r="D75">
        <f>IF(D$4=0,0,IF(COUNTIFS(実績!$W$6:$W$505,D$3,実績!$AC$6:$AC$505,"&lt;="&amp;$A75,実績!$AD$6:$AD$505,"&gt;"&amp;$A75,実績!$AE$6:$AE$505,"○")&gt;0,1,0))</f>
        <v/>
      </c>
      <c r="E75">
        <f>IF(E$4=0,0,IF(COUNTIFS(実績!$W$6:$W$505,E$3,実績!$AC$6:$AC$505,"&lt;="&amp;$A75,実績!$AD$6:$AD$505,"&gt;"&amp;$A75,実績!$AE$6:$AE$505,"○")&gt;0,1,0))</f>
        <v/>
      </c>
      <c r="F75">
        <f>IF(F$4=0,0,IF(COUNTIFS(実績!$W$6:$W$505,F$3,実績!$AC$6:$AC$505,"&lt;="&amp;$A75,実績!$AD$6:$AD$505,"&gt;"&amp;$A75,実績!$AE$6:$AE$505,"○")&gt;0,1,0))</f>
        <v/>
      </c>
      <c r="G75">
        <f>IF(G$4=0,0,IF(COUNTIFS(実績!$W$6:$W$505,G$3,実績!$AC$6:$AC$505,"&lt;="&amp;$A75,実績!$AD$6:$AD$505,"&gt;"&amp;$A75,実績!$AE$6:$AE$505,"○")&gt;0,1,0))</f>
        <v/>
      </c>
      <c r="H75">
        <f>IF(H$4=0,0,IF(COUNTIFS(実績!$W$6:$W$505,H$3,実績!$AC$6:$AC$505,"&lt;="&amp;$A75,実績!$AD$6:$AD$505,"&gt;"&amp;$A75,実績!$AE$6:$AE$505,"○")&gt;0,1,0))</f>
        <v/>
      </c>
      <c r="I75">
        <f>IF(I$4=0,0,IF(COUNTIFS(実績!$W$6:$W$505,I$3,実績!$AC$6:$AC$505,"&lt;="&amp;$A75,実績!$AD$6:$AD$505,"&gt;"&amp;$A75,実績!$AE$6:$AE$505,"○")&gt;0,1,0))</f>
        <v/>
      </c>
      <c r="J75">
        <f>IF(J$4=0,0,IF(COUNTIFS(実績!$W$6:$W$505,J$3,実績!$AC$6:$AC$505,"&lt;="&amp;$A75,実績!$AD$6:$AD$505,"&gt;"&amp;$A75,実績!$AE$6:$AE$505,"○")&gt;0,1,0))</f>
        <v/>
      </c>
      <c r="K75">
        <f>IF(K$4=0,0,IF(COUNTIFS(実績!$W$6:$W$505,K$3,実績!$AC$6:$AC$505,"&lt;="&amp;$A75,実績!$AD$6:$AD$505,"&gt;"&amp;$A75,実績!$AE$6:$AE$505,"○")&gt;0,1,0))</f>
        <v/>
      </c>
      <c r="L75">
        <f>IF(L$4=0,0,IF(COUNTIFS(実績!$W$6:$W$505,L$3,実績!$AC$6:$AC$505,"&lt;="&amp;$A75,実績!$AD$6:$AD$505,"&gt;"&amp;$A75,実績!$AE$6:$AE$505,"○")&gt;0,1,0))</f>
        <v/>
      </c>
      <c r="M75">
        <f>IF(M$4=0,0,IF(COUNTIFS(実績!$W$6:$W$505,M$3,実績!$AC$6:$AC$505,"&lt;="&amp;$A75,実績!$AD$6:$AD$505,"&gt;"&amp;$A75,実績!$AE$6:$AE$505,"○")&gt;0,1,0))</f>
        <v/>
      </c>
      <c r="N75">
        <f>IF(N$4=0,0,IF(COUNTIFS(実績!$W$6:$W$505,N$3,実績!$AC$6:$AC$505,"&lt;="&amp;$A75,実績!$AD$6:$AD$505,"&gt;"&amp;$A75,実績!$AE$6:$AE$505,"○")&gt;0,1,0))</f>
        <v/>
      </c>
      <c r="O75">
        <f>IF(O$4=0,0,IF(COUNTIFS(実績!$W$6:$W$505,O$3,実績!$AC$6:$AC$505,"&lt;="&amp;$A75,実績!$AD$6:$AD$505,"&gt;"&amp;$A75,実績!$AE$6:$AE$505,"○")&gt;0,1,0))</f>
        <v/>
      </c>
      <c r="P75">
        <f>IF(P$4=0,0,IF(COUNTIFS(実績!$W$6:$W$505,P$3,実績!$AC$6:$AC$505,"&lt;="&amp;$A75,実績!$AD$6:$AD$505,"&gt;"&amp;$A75,実績!$AE$6:$AE$505,"○")&gt;0,1,0))</f>
        <v/>
      </c>
      <c r="Q75">
        <f>IF(Q$4=0,0,IF(COUNTIFS(実績!$W$6:$W$505,Q$3,実績!$AC$6:$AC$505,"&lt;="&amp;$A75,実績!$AD$6:$AD$505,"&gt;"&amp;$A75,実績!$AE$6:$AE$505,"○")&gt;0,1,0))</f>
        <v/>
      </c>
      <c r="R75">
        <f>IF(R$4=0,0,IF(COUNTIFS(実績!$W$6:$W$505,R$3,実績!$AC$6:$AC$505,"&lt;="&amp;$A75,実績!$AD$6:$AD$505,"&gt;"&amp;$A75,実績!$AE$6:$AE$505,"○")&gt;0,1,0))</f>
        <v/>
      </c>
      <c r="S75">
        <f>IF(S$4=0,0,IF(COUNTIFS(実績!$W$6:$W$505,S$3,実績!$AC$6:$AC$505,"&lt;="&amp;$A75,実績!$AD$6:$AD$505,"&gt;"&amp;$A75,実績!$AE$6:$AE$505,"○")&gt;0,1,0))</f>
        <v/>
      </c>
      <c r="T75">
        <f>IF(T$4=0,0,IF(COUNTIFS(実績!$W$6:$W$505,T$3,実績!$AC$6:$AC$505,"&lt;="&amp;$A75,実績!$AD$6:$AD$505,"&gt;"&amp;$A75,実績!$AE$6:$AE$505,"○")&gt;0,1,0))</f>
        <v/>
      </c>
      <c r="U75">
        <f>IF(U$4=0,0,IF(COUNTIFS(実績!$W$6:$W$505,U$3,実績!$AC$6:$AC$505,"&lt;="&amp;$A75,実績!$AD$6:$AD$505,"&gt;"&amp;$A75,実績!$AE$6:$AE$505,"○")&gt;0,1,0))</f>
        <v/>
      </c>
      <c r="V75">
        <f>IF(V$4=0,0,IF(COUNTIFS(実績!$W$6:$W$505,V$3,実績!$AC$6:$AC$505,"&lt;="&amp;$A75,実績!$AD$6:$AD$505,"&gt;"&amp;$A75,実績!$AE$6:$AE$505,"○")&gt;0,1,0))</f>
        <v/>
      </c>
      <c r="W75">
        <f>IF(W$4=0,0,IF(COUNTIFS(実績!$W$6:$W$505,W$3,実績!$AC$6:$AC$505,"&lt;="&amp;$A75,実績!$AD$6:$AD$505,"&gt;"&amp;$A75,実績!$AE$6:$AE$505,"○")&gt;0,1,0))</f>
        <v/>
      </c>
      <c r="X75">
        <f>IF(X$4=0,0,IF(COUNTIFS(実績!$W$6:$W$505,X$3,実績!$AC$6:$AC$505,"&lt;="&amp;$A75,実績!$AD$6:$AD$505,"&gt;"&amp;$A75,実績!$AE$6:$AE$505,"○")&gt;0,1,0))</f>
        <v/>
      </c>
      <c r="Y75">
        <f>IF(Y$4=0,0,IF(COUNTIFS(実績!$W$6:$W$505,Y$3,実績!$AC$6:$AC$505,"&lt;="&amp;$A75,実績!$AD$6:$AD$505,"&gt;"&amp;$A75,実績!$AE$6:$AE$505,"○")&gt;0,1,0))</f>
        <v/>
      </c>
      <c r="Z75">
        <f>IF(Z$4=0,0,IF(COUNTIFS(実績!$W$6:$W$505,Z$3,実績!$AC$6:$AC$505,"&lt;="&amp;$A75,実績!$AD$6:$AD$505,"&gt;"&amp;$A75,実績!$AE$6:$AE$505,"○")&gt;0,1,0))</f>
        <v/>
      </c>
      <c r="AA75">
        <f>IF(AA$4=0,0,IF(COUNTIFS(実績!$W$6:$W$505,AA$3,実績!$AC$6:$AC$505,"&lt;="&amp;$A75,実績!$AD$6:$AD$505,"&gt;"&amp;$A75,実績!$AE$6:$AE$505,"○")&gt;0,1,0))</f>
        <v/>
      </c>
      <c r="AB75">
        <f>IF(AB$4=0,0,IF(COUNTIFS(実績!$W$6:$W$505,AB$3,実績!$AC$6:$AC$505,"&lt;="&amp;$A75,実績!$AD$6:$AD$505,"&gt;"&amp;$A75,実績!$AE$6:$AE$505,"○")&gt;0,1,0))</f>
        <v/>
      </c>
      <c r="AC75">
        <f>IF(AC$4=0,0,IF(COUNTIFS(実績!$W$6:$W$505,AC$3,実績!$AC$6:$AC$505,"&lt;="&amp;$A75,実績!$AD$6:$AD$505,"&gt;"&amp;$A75,実績!$AE$6:$AE$505,"○")&gt;0,1,0))</f>
        <v/>
      </c>
      <c r="AD75">
        <f>IF(AD$4=0,0,IF(COUNTIFS(実績!$W$6:$W$505,AD$3,実績!$AC$6:$AC$505,"&lt;="&amp;$A75,実績!$AD$6:$AD$505,"&gt;"&amp;$A75,実績!$AE$6:$AE$505,"○")&gt;0,1,0))</f>
        <v/>
      </c>
      <c r="AE75">
        <f>IF(AE$4=0,0,IF(COUNTIFS(実績!$W$6:$W$505,AE$3,実績!$AC$6:$AC$505,"&lt;="&amp;$A75,実績!$AD$6:$AD$505,"&gt;"&amp;$A75,実績!$AE$6:$AE$505,"○")&gt;0,1,0))</f>
        <v/>
      </c>
      <c r="AF75">
        <f>IF(AF$4=0,0,IF(COUNTIFS(実績!$W$6:$W$505,AF$3,実績!$AC$6:$AC$505,"&lt;="&amp;$A75,実績!$AD$6:$AD$505,"&gt;"&amp;$A75,実績!$AE$6:$AE$505,"○")&gt;0,1,0))</f>
        <v/>
      </c>
      <c r="AG75">
        <f>IF(AG$4=0,0,IF(COUNTIFS(実績!$W$6:$W$505,AG$3,実績!$AC$6:$AC$505,"&lt;="&amp;$A75,実績!$AD$6:$AD$505,"&gt;"&amp;$A75,実績!$AE$6:$AE$505,"○")&gt;0,1,0))</f>
        <v/>
      </c>
      <c r="AH75">
        <f>IF(AH$4=0,0,IF(COUNTIFS(実績!$W$6:$W$505,AH$3,実績!$AC$6:$AC$505,"&lt;="&amp;$A75,実績!$AD$6:$AD$505,"&gt;"&amp;$A75,実績!$AE$6:$AE$505,"○")&gt;0,1,0))</f>
        <v/>
      </c>
      <c r="AI75">
        <f>IF(AI$4=0,0,IF(COUNTIFS(実績!$W$6:$W$505,AI$3,実績!$AC$6:$AC$505,"&lt;="&amp;$A75,実績!$AD$6:$AD$505,"&gt;"&amp;$A75,実績!$AE$6:$AE$505,"○")&gt;0,1,0))</f>
        <v/>
      </c>
      <c r="AJ75">
        <f>IF(AJ$4=0,0,IF(COUNTIFS(実績!$W$6:$W$505,AJ$3,実績!$AC$6:$AC$505,"&lt;="&amp;$A75,実績!$AD$6:$AD$505,"&gt;"&amp;$A75,実績!$AE$6:$AE$505,"○")&gt;0,1,0))</f>
        <v/>
      </c>
      <c r="AK75">
        <f>IF(AK$4=0,0,IF(COUNTIFS(実績!$W$6:$W$505,AK$3,実績!$AC$6:$AC$505,"&lt;="&amp;$A75,実績!$AD$6:$AD$505,"&gt;"&amp;$A75,実績!$AE$6:$AE$505,"○")&gt;0,1,0))</f>
        <v/>
      </c>
      <c r="AL75">
        <f>IF(AL$4=0,0,IF(COUNTIFS(実績!$W$6:$W$505,AL$3,実績!$AC$6:$AC$505,"&lt;="&amp;$A75,実績!$AD$6:$AD$505,"&gt;"&amp;$A75,実績!$AE$6:$AE$505,"○")&gt;0,1,0))</f>
        <v/>
      </c>
      <c r="AM75">
        <f>IF(AM$4=0,0,IF(COUNTIFS(実績!$W$6:$W$505,AM$3,実績!$AC$6:$AC$505,"&lt;="&amp;$A75,実績!$AD$6:$AD$505,"&gt;"&amp;$A75,実績!$AE$6:$AE$505,"○")&gt;0,1,0))</f>
        <v/>
      </c>
      <c r="AN75">
        <f>IF(AN$4=0,0,IF(COUNTIFS(実績!$W$6:$W$505,AN$3,実績!$AC$6:$AC$505,"&lt;="&amp;$A75,実績!$AD$6:$AD$505,"&gt;"&amp;$A75,実績!$AE$6:$AE$505,"○")&gt;0,1,0))</f>
        <v/>
      </c>
      <c r="AO75">
        <f>IF(AO$4=0,0,IF(COUNTIFS(実績!$W$6:$W$505,AO$3,実績!$AC$6:$AC$505,"&lt;="&amp;$A75,実績!$AD$6:$AD$505,"&gt;"&amp;$A75,実績!$AE$6:$AE$505,"○")&gt;0,1,0))</f>
        <v/>
      </c>
      <c r="AP75">
        <f>IF(AP$4=0,0,IF(COUNTIFS(実績!$W$6:$W$505,AP$3,実績!$AC$6:$AC$505,"&lt;="&amp;$A75,実績!$AD$6:$AD$505,"&gt;"&amp;$A75,実績!$AE$6:$AE$505,"○")&gt;0,1,0))</f>
        <v/>
      </c>
      <c r="AQ75">
        <f>IF(AQ$4=0,0,IF(COUNTIFS(実績!$W$6:$W$505,AQ$3,実績!$AC$6:$AC$505,"&lt;="&amp;$A75,実績!$AD$6:$AD$505,"&gt;"&amp;$A75,実績!$AE$6:$AE$505,"○")&gt;0,1,0))</f>
        <v/>
      </c>
      <c r="AR75">
        <f>IF(AR$4=0,0,IF(COUNTIFS(実績!$W$6:$W$505,AR$3,実績!$AC$6:$AC$505,"&lt;="&amp;$A75,実績!$AD$6:$AD$505,"&gt;"&amp;$A75,実績!$AE$6:$AE$505,"○")&gt;0,1,0))</f>
        <v/>
      </c>
      <c r="AS75">
        <f>IF(AS$4=0,0,IF(COUNTIFS(実績!$W$6:$W$505,AS$3,実績!$AC$6:$AC$505,"&lt;="&amp;$A75,実績!$AD$6:$AD$505,"&gt;"&amp;$A75,実績!$AE$6:$AE$505,"○")&gt;0,1,0))</f>
        <v/>
      </c>
      <c r="AT75">
        <f>IF(AT$4=0,0,IF(COUNTIFS(実績!$W$6:$W$505,AT$3,実績!$AC$6:$AC$505,"&lt;="&amp;$A75,実績!$AD$6:$AD$505,"&gt;"&amp;$A75,実績!$AE$6:$AE$505,"○")&gt;0,1,0))</f>
        <v/>
      </c>
      <c r="AU75">
        <f>IF(AU$4=0,0,IF(COUNTIFS(実績!$W$6:$W$505,AU$3,実績!$AC$6:$AC$505,"&lt;="&amp;$A75,実績!$AD$6:$AD$505,"&gt;"&amp;$A75,実績!$AE$6:$AE$505,"○")&gt;0,1,0))</f>
        <v/>
      </c>
      <c r="AV75">
        <f>IF(AV$4=0,0,IF(COUNTIFS(実績!$W$6:$W$505,AV$3,実績!$AC$6:$AC$505,"&lt;="&amp;$A75,実績!$AD$6:$AD$505,"&gt;"&amp;$A75,実績!$AE$6:$AE$505,"○")&gt;0,1,0))</f>
        <v/>
      </c>
      <c r="AW75">
        <f>IF(AW$4=0,0,IF(COUNTIFS(実績!$W$6:$W$505,AW$3,実績!$AC$6:$AC$505,"&lt;="&amp;$A75,実績!$AD$6:$AD$505,"&gt;"&amp;$A75,実績!$AE$6:$AE$505,"○")&gt;0,1,0))</f>
        <v/>
      </c>
      <c r="AX75">
        <f>IF(AX$4=0,0,IF(COUNTIFS(実績!$W$6:$W$505,AX$3,実績!$AC$6:$AC$505,"&lt;="&amp;$A75,実績!$AD$6:$AD$505,"&gt;"&amp;$A75,実績!$AE$6:$AE$505,"○")&gt;0,1,0))</f>
        <v/>
      </c>
      <c r="AY75">
        <f>IF(AY$4=0,0,IF(COUNTIFS(実績!$W$6:$W$505,AY$3,実績!$AC$6:$AC$505,"&lt;="&amp;$A75,実績!$AD$6:$AD$505,"&gt;"&amp;$A75,実績!$AE$6:$AE$505,"○")&gt;0,1,0))</f>
        <v/>
      </c>
      <c r="AZ75">
        <f>IF(AZ$4=0,0,IF(COUNTIFS(実績!$W$6:$W$505,AZ$3,実績!$AC$6:$AC$505,"&lt;="&amp;$A75,実績!$AD$6:$AD$505,"&gt;"&amp;$A75,実績!$AE$6:$AE$505,"○")&gt;0,1,0))</f>
        <v/>
      </c>
      <c r="BA75">
        <f>IF(BA$4=0,0,IF(COUNTIFS(実績!$W$6:$W$505,BA$3,実績!$AC$6:$AC$505,"&lt;="&amp;$A75,実績!$AD$6:$AD$505,"&gt;"&amp;$A75,実績!$AE$6:$AE$505,"○")&gt;0,1,0))</f>
        <v/>
      </c>
      <c r="BB75">
        <f>IF(BB$4=0,0,IF(COUNTIFS(実績!$W$6:$W$505,BB$3,実績!$AC$6:$AC$505,"&lt;="&amp;$A75,実績!$AD$6:$AD$505,"&gt;"&amp;$A75,実績!$AE$6:$AE$505,"○")&gt;0,1,0))</f>
        <v/>
      </c>
      <c r="BC75">
        <f>IF(BC$4=0,0,IF(COUNTIFS(実績!$W$6:$W$505,BC$3,実績!$AC$6:$AC$505,"&lt;="&amp;$A75,実績!$AD$6:$AD$505,"&gt;"&amp;$A75,実績!$AE$6:$AE$505,"○")&gt;0,1,0))</f>
        <v/>
      </c>
      <c r="BD75">
        <f>IF(BD$4=0,0,IF(COUNTIFS(実績!$W$6:$W$505,BD$3,実績!$AC$6:$AC$505,"&lt;="&amp;$A75,実績!$AD$6:$AD$505,"&gt;"&amp;$A75,実績!$AE$6:$AE$505,"○")&gt;0,1,0))</f>
        <v/>
      </c>
      <c r="BE75">
        <f>IF(BE$4=0,0,IF(COUNTIFS(実績!$W$6:$W$505,BE$3,実績!$AC$6:$AC$505,"&lt;="&amp;$A75,実績!$AD$6:$AD$505,"&gt;"&amp;$A75,実績!$AE$6:$AE$505,"○")&gt;0,1,0))</f>
        <v/>
      </c>
      <c r="BF75">
        <f>IF(BF$4=0,0,IF(COUNTIFS(実績!$W$6:$W$505,BF$3,実績!$AC$6:$AC$505,"&lt;="&amp;$A75,実績!$AD$6:$AD$505,"&gt;"&amp;$A75,実績!$AE$6:$AE$505,"○")&gt;0,1,0))</f>
        <v/>
      </c>
      <c r="BG75">
        <f>IF(BG$4=0,0,IF(COUNTIFS(実績!$W$6:$W$505,BG$3,実績!$AC$6:$AC$505,"&lt;="&amp;$A75,実績!$AD$6:$AD$505,"&gt;"&amp;$A75,実績!$AE$6:$AE$505,"○")&gt;0,1,0))</f>
        <v/>
      </c>
      <c r="BH75">
        <f>IF(BH$4=0,0,IF(COUNTIFS(実績!$W$6:$W$505,BH$3,実績!$AC$6:$AC$505,"&lt;="&amp;$A75,実績!$AD$6:$AD$505,"&gt;"&amp;$A75,実績!$AE$6:$AE$505,"○")&gt;0,1,0))</f>
        <v/>
      </c>
      <c r="BI75">
        <f>IF(BI$4=0,0,IF(COUNTIFS(実績!$W$6:$W$505,BI$3,実績!$AC$6:$AC$505,"&lt;="&amp;$A75,実績!$AD$6:$AD$505,"&gt;"&amp;$A75,実績!$AE$6:$AE$505,"○")&gt;0,1,0))</f>
        <v/>
      </c>
      <c r="BJ75">
        <f>IF(BJ$4=0,0,IF(COUNTIFS(実績!$W$6:$W$505,BJ$3,実績!$AC$6:$AC$505,"&lt;="&amp;$A75,実績!$AD$6:$AD$505,"&gt;"&amp;$A75,実績!$AE$6:$AE$505,"○")&gt;0,1,0))</f>
        <v/>
      </c>
      <c r="BK75">
        <f>IF(BK$4=0,0,IF(COUNTIFS(実績!$W$6:$W$505,BK$3,実績!$AC$6:$AC$505,"&lt;="&amp;$A75,実績!$AD$6:$AD$505,"&gt;"&amp;$A75,実績!$AE$6:$AE$505,"○")&gt;0,1,0))</f>
        <v/>
      </c>
      <c r="BL75">
        <f>IF(BL$4=0,0,IF(COUNTIFS(実績!$W$6:$W$505,BL$3,実績!$AC$6:$AC$505,"&lt;="&amp;$A75,実績!$AD$6:$AD$505,"&gt;"&amp;$A75,実績!$AE$6:$AE$505,"○")&gt;0,1,0))</f>
        <v/>
      </c>
      <c r="BM75">
        <f>IF(BM$4=0,0,IF(COUNTIFS(実績!$W$6:$W$505,BM$3,実績!$AC$6:$AC$505,"&lt;="&amp;$A75,実績!$AD$6:$AD$505,"&gt;"&amp;$A75,実績!$AE$6:$AE$505,"○")&gt;0,1,0))</f>
        <v/>
      </c>
      <c r="BN75">
        <f>IF(BN$4=0,0,IF(COUNTIFS(実績!$W$6:$W$505,BN$3,実績!$AC$6:$AC$505,"&lt;="&amp;$A75,実績!$AD$6:$AD$505,"&gt;"&amp;$A75,実績!$AE$6:$AE$505,"○")&gt;0,1,0))</f>
        <v/>
      </c>
      <c r="BO75">
        <f>IF(BO$4=0,0,IF(COUNTIFS(実績!$W$6:$W$505,BO$3,実績!$AC$6:$AC$505,"&lt;="&amp;$A75,実績!$AD$6:$AD$505,"&gt;"&amp;$A75,実績!$AE$6:$AE$505,"○")&gt;0,1,0))</f>
        <v/>
      </c>
      <c r="BP75">
        <f>IF(BP$4=0,0,IF(COUNTIFS(実績!$W$6:$W$505,BP$3,実績!$AC$6:$AC$505,"&lt;="&amp;$A75,実績!$AD$6:$AD$505,"&gt;"&amp;$A75,実績!$AE$6:$AE$505,"○")&gt;0,1,0))</f>
        <v/>
      </c>
      <c r="BQ75">
        <f>IF(BQ$4=0,0,IF(COUNTIFS(実績!$W$6:$W$505,BQ$3,実績!$AC$6:$AC$505,"&lt;="&amp;$A75,実績!$AD$6:$AD$505,"&gt;"&amp;$A75,実績!$AE$6:$AE$505,"○")&gt;0,1,0))</f>
        <v/>
      </c>
      <c r="BR75">
        <f>IF(BR$4=0,0,IF(COUNTIFS(実績!$W$6:$W$505,BR$3,実績!$AC$6:$AC$505,"&lt;="&amp;$A75,実績!$AD$6:$AD$505,"&gt;"&amp;$A75,実績!$AE$6:$AE$505,"○")&gt;0,1,0))</f>
        <v/>
      </c>
      <c r="BS75">
        <f>IF(BS$4=0,0,IF(COUNTIFS(実績!$W$6:$W$505,BS$3,実績!$AC$6:$AC$505,"&lt;="&amp;$A75,実績!$AD$6:$AD$505,"&gt;"&amp;$A75,実績!$AE$6:$AE$505,"○")&gt;0,1,0))</f>
        <v/>
      </c>
      <c r="BT75">
        <f>IF(BT$4=0,0,IF(COUNTIFS(実績!$W$6:$W$505,BT$3,実績!$AC$6:$AC$505,"&lt;="&amp;$A75,実績!$AD$6:$AD$505,"&gt;"&amp;$A75,実績!$AE$6:$AE$505,"○")&gt;0,1,0))</f>
        <v/>
      </c>
      <c r="BU75">
        <f>IF(BU$4=0,0,IF(COUNTIFS(実績!$W$6:$W$505,BU$3,実績!$AC$6:$AC$505,"&lt;="&amp;$A75,実績!$AD$6:$AD$505,"&gt;"&amp;$A75,実績!$AE$6:$AE$505,"○")&gt;0,1,0))</f>
        <v/>
      </c>
      <c r="BV75">
        <f>IF(BV$4=0,0,IF(COUNTIFS(実績!$W$6:$W$505,BV$3,実績!$AC$6:$AC$505,"&lt;="&amp;$A75,実績!$AD$6:$AD$505,"&gt;"&amp;$A75,実績!$AE$6:$AE$505,"○")&gt;0,1,0))</f>
        <v/>
      </c>
      <c r="BW75">
        <f>IF(BW$4=0,0,IF(COUNTIFS(実績!$W$6:$W$505,BW$3,実績!$AC$6:$AC$505,"&lt;="&amp;$A75,実績!$AD$6:$AD$505,"&gt;"&amp;$A75,実績!$AE$6:$AE$505,"○")&gt;0,1,0))</f>
        <v/>
      </c>
      <c r="BX75">
        <f>IF(BX$4=0,0,IF(COUNTIFS(実績!$W$6:$W$505,BX$3,実績!$AC$6:$AC$505,"&lt;="&amp;$A75,実績!$AD$6:$AD$505,"&gt;"&amp;$A75,実績!$AE$6:$AE$505,"○")&gt;0,1,0))</f>
        <v/>
      </c>
      <c r="BY75">
        <f>IF(BY$4=0,0,IF(COUNTIFS(実績!$W$6:$W$505,BY$3,実績!$AC$6:$AC$505,"&lt;="&amp;$A75,実績!$AD$6:$AD$505,"&gt;"&amp;$A75,実績!$AE$6:$AE$505,"○")&gt;0,1,0))</f>
        <v/>
      </c>
      <c r="BZ75">
        <f>IF(BZ$4=0,0,IF(COUNTIFS(実績!$W$6:$W$505,BZ$3,実績!$AC$6:$AC$505,"&lt;="&amp;$A75,実績!$AD$6:$AD$505,"&gt;"&amp;$A75,実績!$AE$6:$AE$505,"○")&gt;0,1,0))</f>
        <v/>
      </c>
      <c r="CA75">
        <f>IF(CA$4=0,0,IF(COUNTIFS(実績!$W$6:$W$505,CA$3,実績!$AC$6:$AC$505,"&lt;="&amp;$A75,実績!$AD$6:$AD$505,"&gt;"&amp;$A75,実績!$AE$6:$AE$505,"○")&gt;0,1,0))</f>
        <v/>
      </c>
      <c r="CB75">
        <f>IF(CB$4=0,0,IF(COUNTIFS(実績!$W$6:$W$505,CB$3,実績!$AC$6:$AC$505,"&lt;="&amp;$A75,実績!$AD$6:$AD$505,"&gt;"&amp;$A75,実績!$AE$6:$AE$505,"○")&gt;0,1,0))</f>
        <v/>
      </c>
      <c r="CC75">
        <f>IF(CC$4=0,0,IF(COUNTIFS(実績!$W$6:$W$505,CC$3,実績!$AC$6:$AC$505,"&lt;="&amp;$A75,実績!$AD$6:$AD$505,"&gt;"&amp;$A75,実績!$AE$6:$AE$505,"○")&gt;0,1,0))</f>
        <v/>
      </c>
      <c r="CD75">
        <f>IF(CD$4=0,0,IF(COUNTIFS(実績!$W$6:$W$505,CD$3,実績!$AC$6:$AC$505,"&lt;="&amp;$A75,実績!$AD$6:$AD$505,"&gt;"&amp;$A75,実績!$AE$6:$AE$505,"○")&gt;0,1,0))</f>
        <v/>
      </c>
      <c r="CE75">
        <f>IF(CE$4=0,0,IF(COUNTIFS(実績!$W$6:$W$505,CE$3,実績!$AC$6:$AC$505,"&lt;="&amp;$A75,実績!$AD$6:$AD$505,"&gt;"&amp;$A75,実績!$AE$6:$AE$505,"○")&gt;0,1,0))</f>
        <v/>
      </c>
      <c r="CF75">
        <f>IF(CF$4=0,0,IF(COUNTIFS(実績!$W$6:$W$505,CF$3,実績!$AC$6:$AC$505,"&lt;="&amp;$A75,実績!$AD$6:$AD$505,"&gt;"&amp;$A75,実績!$AE$6:$AE$505,"○")&gt;0,1,0))</f>
        <v/>
      </c>
      <c r="CG75">
        <f>IF(CG$4=0,0,IF(COUNTIFS(実績!$W$6:$W$505,CG$3,実績!$AC$6:$AC$505,"&lt;="&amp;$A75,実績!$AD$6:$AD$505,"&gt;"&amp;$A75,実績!$AE$6:$AE$505,"○")&gt;0,1,0))</f>
        <v/>
      </c>
      <c r="CH75">
        <f>IF(CH$4=0,0,IF(COUNTIFS(実績!$W$6:$W$505,CH$3,実績!$AC$6:$AC$505,"&lt;="&amp;$A75,実績!$AD$6:$AD$505,"&gt;"&amp;$A75,実績!$AE$6:$AE$505,"○")&gt;0,1,0))</f>
        <v/>
      </c>
      <c r="CI75">
        <f>IF(CI$4=0,0,IF(COUNTIFS(実績!$W$6:$W$505,CI$3,実績!$AC$6:$AC$505,"&lt;="&amp;$A75,実績!$AD$6:$AD$505,"&gt;"&amp;$A75,実績!$AE$6:$AE$505,"○")&gt;0,1,0))</f>
        <v/>
      </c>
      <c r="CJ75">
        <f>IF(CJ$4=0,0,IF(COUNTIFS(実績!$W$6:$W$505,CJ$3,実績!$AC$6:$AC$505,"&lt;="&amp;$A75,実績!$AD$6:$AD$505,"&gt;"&amp;$A75,実績!$AE$6:$AE$505,"○")&gt;0,1,0))</f>
        <v/>
      </c>
      <c r="CK75">
        <f>IF(CK$4=0,0,IF(COUNTIFS(実績!$W$6:$W$505,CK$3,実績!$AC$6:$AC$505,"&lt;="&amp;$A75,実績!$AD$6:$AD$505,"&gt;"&amp;$A75,実績!$AE$6:$AE$505,"○")&gt;0,1,0))</f>
        <v/>
      </c>
      <c r="CL75">
        <f>IF(CL$4=0,0,IF(COUNTIFS(実績!$W$6:$W$505,CL$3,実績!$AC$6:$AC$505,"&lt;="&amp;$A75,実績!$AD$6:$AD$505,"&gt;"&amp;$A75,実績!$AE$6:$AE$505,"○")&gt;0,1,0))</f>
        <v/>
      </c>
      <c r="CM75">
        <f>IF(CM$4=0,0,IF(COUNTIFS(実績!$W$6:$W$505,CM$3,実績!$AC$6:$AC$505,"&lt;="&amp;$A75,実績!$AD$6:$AD$505,"&gt;"&amp;$A75,実績!$AE$6:$AE$505,"○")&gt;0,1,0))</f>
        <v/>
      </c>
      <c r="CN75">
        <f>IF(CN$4=0,0,IF(COUNTIFS(実績!$W$6:$W$505,CN$3,実績!$AC$6:$AC$505,"&lt;="&amp;$A75,実績!$AD$6:$AD$505,"&gt;"&amp;$A75,実績!$AE$6:$AE$505,"○")&gt;0,1,0))</f>
        <v/>
      </c>
      <c r="CO75">
        <f>IF(CO$4=0,0,IF(COUNTIFS(実績!$W$6:$W$505,CO$3,実績!$AC$6:$AC$505,"&lt;="&amp;$A75,実績!$AD$6:$AD$505,"&gt;"&amp;$A75,実績!$AE$6:$AE$505,"○")&gt;0,1,0))</f>
        <v/>
      </c>
      <c r="CP75">
        <f>IF(CP$4=0,0,IF(COUNTIFS(実績!$W$6:$W$505,CP$3,実績!$AC$6:$AC$505,"&lt;="&amp;$A75,実績!$AD$6:$AD$505,"&gt;"&amp;$A75,実績!$AE$6:$AE$505,"○")&gt;0,1,0))</f>
        <v/>
      </c>
      <c r="CQ75">
        <f>IF(CQ$4=0,0,IF(COUNTIFS(実績!$W$6:$W$505,CQ$3,実績!$AC$6:$AC$505,"&lt;="&amp;$A75,実績!$AD$6:$AD$505,"&gt;"&amp;$A75,実績!$AE$6:$AE$505,"○")&gt;0,1,0))</f>
        <v/>
      </c>
      <c r="CR75">
        <f>IF(CR$4=0,0,IF(COUNTIFS(実績!$W$6:$W$505,CR$3,実績!$AC$6:$AC$505,"&lt;="&amp;$A75,実績!$AD$6:$AD$505,"&gt;"&amp;$A75,実績!$AE$6:$AE$505,"○")&gt;0,1,0))</f>
        <v/>
      </c>
      <c r="CS75">
        <f>IF(CS$4=0,0,IF(COUNTIFS(実績!$W$6:$W$505,CS$3,実績!$AC$6:$AC$505,"&lt;="&amp;$A75,実績!$AD$6:$AD$505,"&gt;"&amp;$A75,実績!$AE$6:$AE$505,"○")&gt;0,1,0))</f>
        <v/>
      </c>
      <c r="CT75">
        <f>IF(CT$4=0,0,IF(COUNTIFS(実績!$W$6:$W$505,CT$3,実績!$AC$6:$AC$505,"&lt;="&amp;$A75,実績!$AD$6:$AD$505,"&gt;"&amp;$A75,実績!$AE$6:$AE$505,"○")&gt;0,1,0))</f>
        <v/>
      </c>
      <c r="CU75">
        <f>IF(CU$4=0,0,IF(COUNTIFS(実績!$W$6:$W$505,CU$3,実績!$AC$6:$AC$505,"&lt;="&amp;$A75,実績!$AD$6:$AD$505,"&gt;"&amp;$A75,実績!$AE$6:$AE$505,"○")&gt;0,1,0))</f>
        <v/>
      </c>
      <c r="CV75">
        <f>IF(CV$4=0,0,IF(COUNTIFS(実績!$W$6:$W$505,CV$3,実績!$AC$6:$AC$505,"&lt;="&amp;$A75,実績!$AD$6:$AD$505,"&gt;"&amp;$A75,実績!$AE$6:$AE$505,"○")&gt;0,1,0))</f>
        <v/>
      </c>
      <c r="CW75">
        <f>IF(CW$4=0,0,IF(COUNTIFS(実績!$W$6:$W$505,CW$3,実績!$AC$6:$AC$505,"&lt;="&amp;$A75,実績!$AD$6:$AD$505,"&gt;"&amp;$A75,実績!$AE$6:$AE$505,"○")&gt;0,1,0))</f>
        <v/>
      </c>
      <c r="CX75">
        <f>IF(CX$4=0,0,IF(COUNTIFS(実績!$W$6:$W$505,CX$3,実績!$AC$6:$AC$505,"&lt;="&amp;$A75,実績!$AD$6:$AD$505,"&gt;"&amp;$A75,実績!$AE$6:$AE$505,"○")&gt;0,1,0))</f>
        <v/>
      </c>
      <c r="CY75">
        <f>IF(CY$4=0,0,IF(COUNTIFS(実績!$W$6:$W$505,CY$3,実績!$AC$6:$AC$505,"&lt;="&amp;$A75,実績!$AD$6:$AD$505,"&gt;"&amp;$A75,実績!$AE$6:$AE$505,"○")&gt;0,1,0))</f>
        <v/>
      </c>
      <c r="CZ75">
        <f>IF(CZ$4=0,0,IF(COUNTIFS(実績!$W$6:$W$505,CZ$3,実績!$AC$6:$AC$505,"&lt;="&amp;$A75,実績!$AD$6:$AD$505,"&gt;"&amp;$A75,実績!$AE$6:$AE$505,"○")&gt;0,1,0))</f>
        <v/>
      </c>
      <c r="DA75">
        <f>IF(DA$4=0,0,IF(COUNTIFS(実績!$W$6:$W$505,DA$3,実績!$AC$6:$AC$505,"&lt;="&amp;$A75,実績!$AD$6:$AD$505,"&gt;"&amp;$A75,実績!$AE$6:$AE$505,"○")&gt;0,1,0))</f>
        <v/>
      </c>
      <c r="DB75">
        <f>IF(DB$4=0,0,IF(COUNTIFS(実績!$W$6:$W$505,DB$3,実績!$AC$6:$AC$505,"&lt;="&amp;$A75,実績!$AD$6:$AD$505,"&gt;"&amp;$A75,実績!$AE$6:$AE$505,"○")&gt;0,1,0))</f>
        <v/>
      </c>
      <c r="DC75">
        <f>IF(DC$4=0,0,IF(COUNTIFS(実績!$W$6:$W$505,DC$3,実績!$AC$6:$AC$505,"&lt;="&amp;$A75,実績!$AD$6:$AD$505,"&gt;"&amp;$A75,実績!$AE$6:$AE$505,"○")&gt;0,1,0))</f>
        <v/>
      </c>
      <c r="DD75">
        <f>IF(DD$4=0,0,IF(COUNTIFS(実績!$W$6:$W$505,DD$3,実績!$AC$6:$AC$505,"&lt;="&amp;$A75,実績!$AD$6:$AD$505,"&gt;"&amp;$A75,実績!$AE$6:$AE$505,"○")&gt;0,1,0))</f>
        <v/>
      </c>
      <c r="DE75">
        <f>IF(DE$4=0,0,IF(COUNTIFS(実績!$W$6:$W$505,DE$3,実績!$AC$6:$AC$505,"&lt;="&amp;$A75,実績!$AD$6:$AD$505,"&gt;"&amp;$A75,実績!$AE$6:$AE$505,"○")&gt;0,1,0))</f>
        <v/>
      </c>
      <c r="DF75">
        <f>IF(DF$4=0,0,IF(COUNTIFS(実績!$W$6:$W$505,DF$3,実績!$AC$6:$AC$505,"&lt;="&amp;$A75,実績!$AD$6:$AD$505,"&gt;"&amp;$A75,実績!$AE$6:$AE$505,"○")&gt;0,1,0))</f>
        <v/>
      </c>
      <c r="DG75">
        <f>IF(DG$4=0,0,IF(COUNTIFS(実績!$W$6:$W$505,DG$3,実績!$AC$6:$AC$505,"&lt;="&amp;$A75,実績!$AD$6:$AD$505,"&gt;"&amp;$A75,実績!$AE$6:$AE$505,"○")&gt;0,1,0))</f>
        <v/>
      </c>
      <c r="DH75">
        <f>IF(DH$4=0,0,IF(COUNTIFS(実績!$W$6:$W$505,DH$3,実績!$AC$6:$AC$505,"&lt;="&amp;$A75,実績!$AD$6:$AD$505,"&gt;"&amp;$A75,実績!$AE$6:$AE$505,"○")&gt;0,1,0))</f>
        <v/>
      </c>
      <c r="DI75">
        <f>IF(DI$4=0,0,IF(COUNTIFS(実績!$W$6:$W$505,DI$3,実績!$AC$6:$AC$505,"&lt;="&amp;$A75,実績!$AD$6:$AD$505,"&gt;"&amp;$A75,実績!$AE$6:$AE$505,"○")&gt;0,1,0))</f>
        <v/>
      </c>
      <c r="DJ75">
        <f>IF(DJ$4=0,0,IF(COUNTIFS(実績!$W$6:$W$505,DJ$3,実績!$AC$6:$AC$505,"&lt;="&amp;$A75,実績!$AD$6:$AD$505,"&gt;"&amp;$A75,実績!$AE$6:$AE$505,"○")&gt;0,1,0))</f>
        <v/>
      </c>
      <c r="DK75">
        <f>IF(DK$4=0,0,IF(COUNTIFS(実績!$W$6:$W$505,DK$3,実績!$AC$6:$AC$505,"&lt;="&amp;$A75,実績!$AD$6:$AD$505,"&gt;"&amp;$A75,実績!$AE$6:$AE$505,"○")&gt;0,1,0))</f>
        <v/>
      </c>
      <c r="DL75">
        <f>IF(DL$4=0,0,IF(COUNTIFS(実績!$W$6:$W$505,DL$3,実績!$AC$6:$AC$505,"&lt;="&amp;$A75,実績!$AD$6:$AD$505,"&gt;"&amp;$A75,実績!$AE$6:$AE$505,"○")&gt;0,1,0))</f>
        <v/>
      </c>
      <c r="DM75">
        <f>IF(DM$4=0,0,IF(COUNTIFS(実績!$W$6:$W$505,DM$3,実績!$AC$6:$AC$505,"&lt;="&amp;$A75,実績!$AD$6:$AD$505,"&gt;"&amp;$A75,実績!$AE$6:$AE$505,"○")&gt;0,1,0))</f>
        <v/>
      </c>
      <c r="DN75">
        <f>IF(DN$4=0,0,IF(COUNTIFS(実績!$W$6:$W$505,DN$3,実績!$AC$6:$AC$505,"&lt;="&amp;$A75,実績!$AD$6:$AD$505,"&gt;"&amp;$A75,実績!$AE$6:$AE$505,"○")&gt;0,1,0))</f>
        <v/>
      </c>
      <c r="DO75">
        <f>IF(DO$4=0,0,IF(COUNTIFS(実績!$W$6:$W$505,DO$3,実績!$AC$6:$AC$505,"&lt;="&amp;$A75,実績!$AD$6:$AD$505,"&gt;"&amp;$A75,実績!$AE$6:$AE$505,"○")&gt;0,1,0))</f>
        <v/>
      </c>
      <c r="DP75">
        <f>IF(DP$4=0,0,IF(COUNTIFS(実績!$W$6:$W$505,DP$3,実績!$AC$6:$AC$505,"&lt;="&amp;$A75,実績!$AD$6:$AD$505,"&gt;"&amp;$A75,実績!$AE$6:$AE$505,"○")&gt;0,1,0))</f>
        <v/>
      </c>
      <c r="DQ75">
        <f>IF(DQ$4=0,0,IF(COUNTIFS(実績!$W$6:$W$505,DQ$3,実績!$AC$6:$AC$505,"&lt;="&amp;$A75,実績!$AD$6:$AD$505,"&gt;"&amp;$A75,実績!$AE$6:$AE$505,"○")&gt;0,1,0))</f>
        <v/>
      </c>
      <c r="DR75">
        <f>IF(DR$4=0,0,IF(COUNTIFS(実績!$W$6:$W$505,DR$3,実績!$AC$6:$AC$505,"&lt;="&amp;$A75,実績!$AD$6:$AD$505,"&gt;"&amp;$A75,実績!$AE$6:$AE$505,"○")&gt;0,1,0))</f>
        <v/>
      </c>
      <c r="DS75">
        <f>SUM(C75:DR75)</f>
        <v/>
      </c>
      <c r="DT75">
        <f>SUMPRODUCT((実績!$C$6:$C$505="○")*ISNUMBER(実績!$AF$6:$AF$505)*(実績!$AF$6:$AF$505&lt;=$A75)*(実績!$AG$6:$AG$505&gt;$A75))</f>
        <v/>
      </c>
      <c r="DU75">
        <f>SUMIF($C$2:$DR$2,"製鉄曳船",C75:DR75)</f>
        <v/>
      </c>
      <c r="DV75">
        <f>SUMIF($C$2:$DR$2,"西日本海運",C75:DR75)</f>
        <v/>
      </c>
    </row>
    <row r="76">
      <c r="A76" t="n">
        <v>350</v>
      </c>
      <c r="B76" s="29">
        <f>A76/1440</f>
        <v/>
      </c>
      <c r="C76">
        <f>IF(C$4=0,0,IF(COUNTIFS(実績!$W$6:$W$505,C$3,実績!$AC$6:$AC$505,"&lt;="&amp;$A76,実績!$AD$6:$AD$505,"&gt;"&amp;$A76,実績!$AE$6:$AE$505,"○")&gt;0,1,0))</f>
        <v/>
      </c>
      <c r="D76">
        <f>IF(D$4=0,0,IF(COUNTIFS(実績!$W$6:$W$505,D$3,実績!$AC$6:$AC$505,"&lt;="&amp;$A76,実績!$AD$6:$AD$505,"&gt;"&amp;$A76,実績!$AE$6:$AE$505,"○")&gt;0,1,0))</f>
        <v/>
      </c>
      <c r="E76">
        <f>IF(E$4=0,0,IF(COUNTIFS(実績!$W$6:$W$505,E$3,実績!$AC$6:$AC$505,"&lt;="&amp;$A76,実績!$AD$6:$AD$505,"&gt;"&amp;$A76,実績!$AE$6:$AE$505,"○")&gt;0,1,0))</f>
        <v/>
      </c>
      <c r="F76">
        <f>IF(F$4=0,0,IF(COUNTIFS(実績!$W$6:$W$505,F$3,実績!$AC$6:$AC$505,"&lt;="&amp;$A76,実績!$AD$6:$AD$505,"&gt;"&amp;$A76,実績!$AE$6:$AE$505,"○")&gt;0,1,0))</f>
        <v/>
      </c>
      <c r="G76">
        <f>IF(G$4=0,0,IF(COUNTIFS(実績!$W$6:$W$505,G$3,実績!$AC$6:$AC$505,"&lt;="&amp;$A76,実績!$AD$6:$AD$505,"&gt;"&amp;$A76,実績!$AE$6:$AE$505,"○")&gt;0,1,0))</f>
        <v/>
      </c>
      <c r="H76">
        <f>IF(H$4=0,0,IF(COUNTIFS(実績!$W$6:$W$505,H$3,実績!$AC$6:$AC$505,"&lt;="&amp;$A76,実績!$AD$6:$AD$505,"&gt;"&amp;$A76,実績!$AE$6:$AE$505,"○")&gt;0,1,0))</f>
        <v/>
      </c>
      <c r="I76">
        <f>IF(I$4=0,0,IF(COUNTIFS(実績!$W$6:$W$505,I$3,実績!$AC$6:$AC$505,"&lt;="&amp;$A76,実績!$AD$6:$AD$505,"&gt;"&amp;$A76,実績!$AE$6:$AE$505,"○")&gt;0,1,0))</f>
        <v/>
      </c>
      <c r="J76">
        <f>IF(J$4=0,0,IF(COUNTIFS(実績!$W$6:$W$505,J$3,実績!$AC$6:$AC$505,"&lt;="&amp;$A76,実績!$AD$6:$AD$505,"&gt;"&amp;$A76,実績!$AE$6:$AE$505,"○")&gt;0,1,0))</f>
        <v/>
      </c>
      <c r="K76">
        <f>IF(K$4=0,0,IF(COUNTIFS(実績!$W$6:$W$505,K$3,実績!$AC$6:$AC$505,"&lt;="&amp;$A76,実績!$AD$6:$AD$505,"&gt;"&amp;$A76,実績!$AE$6:$AE$505,"○")&gt;0,1,0))</f>
        <v/>
      </c>
      <c r="L76">
        <f>IF(L$4=0,0,IF(COUNTIFS(実績!$W$6:$W$505,L$3,実績!$AC$6:$AC$505,"&lt;="&amp;$A76,実績!$AD$6:$AD$505,"&gt;"&amp;$A76,実績!$AE$6:$AE$505,"○")&gt;0,1,0))</f>
        <v/>
      </c>
      <c r="M76">
        <f>IF(M$4=0,0,IF(COUNTIFS(実績!$W$6:$W$505,M$3,実績!$AC$6:$AC$505,"&lt;="&amp;$A76,実績!$AD$6:$AD$505,"&gt;"&amp;$A76,実績!$AE$6:$AE$505,"○")&gt;0,1,0))</f>
        <v/>
      </c>
      <c r="N76">
        <f>IF(N$4=0,0,IF(COUNTIFS(実績!$W$6:$W$505,N$3,実績!$AC$6:$AC$505,"&lt;="&amp;$A76,実績!$AD$6:$AD$505,"&gt;"&amp;$A76,実績!$AE$6:$AE$505,"○")&gt;0,1,0))</f>
        <v/>
      </c>
      <c r="O76">
        <f>IF(O$4=0,0,IF(COUNTIFS(実績!$W$6:$W$505,O$3,実績!$AC$6:$AC$505,"&lt;="&amp;$A76,実績!$AD$6:$AD$505,"&gt;"&amp;$A76,実績!$AE$6:$AE$505,"○")&gt;0,1,0))</f>
        <v/>
      </c>
      <c r="P76">
        <f>IF(P$4=0,0,IF(COUNTIFS(実績!$W$6:$W$505,P$3,実績!$AC$6:$AC$505,"&lt;="&amp;$A76,実績!$AD$6:$AD$505,"&gt;"&amp;$A76,実績!$AE$6:$AE$505,"○")&gt;0,1,0))</f>
        <v/>
      </c>
      <c r="Q76">
        <f>IF(Q$4=0,0,IF(COUNTIFS(実績!$W$6:$W$505,Q$3,実績!$AC$6:$AC$505,"&lt;="&amp;$A76,実績!$AD$6:$AD$505,"&gt;"&amp;$A76,実績!$AE$6:$AE$505,"○")&gt;0,1,0))</f>
        <v/>
      </c>
      <c r="R76">
        <f>IF(R$4=0,0,IF(COUNTIFS(実績!$W$6:$W$505,R$3,実績!$AC$6:$AC$505,"&lt;="&amp;$A76,実績!$AD$6:$AD$505,"&gt;"&amp;$A76,実績!$AE$6:$AE$505,"○")&gt;0,1,0))</f>
        <v/>
      </c>
      <c r="S76">
        <f>IF(S$4=0,0,IF(COUNTIFS(実績!$W$6:$W$505,S$3,実績!$AC$6:$AC$505,"&lt;="&amp;$A76,実績!$AD$6:$AD$505,"&gt;"&amp;$A76,実績!$AE$6:$AE$505,"○")&gt;0,1,0))</f>
        <v/>
      </c>
      <c r="T76">
        <f>IF(T$4=0,0,IF(COUNTIFS(実績!$W$6:$W$505,T$3,実績!$AC$6:$AC$505,"&lt;="&amp;$A76,実績!$AD$6:$AD$505,"&gt;"&amp;$A76,実績!$AE$6:$AE$505,"○")&gt;0,1,0))</f>
        <v/>
      </c>
      <c r="U76">
        <f>IF(U$4=0,0,IF(COUNTIFS(実績!$W$6:$W$505,U$3,実績!$AC$6:$AC$505,"&lt;="&amp;$A76,実績!$AD$6:$AD$505,"&gt;"&amp;$A76,実績!$AE$6:$AE$505,"○")&gt;0,1,0))</f>
        <v/>
      </c>
      <c r="V76">
        <f>IF(V$4=0,0,IF(COUNTIFS(実績!$W$6:$W$505,V$3,実績!$AC$6:$AC$505,"&lt;="&amp;$A76,実績!$AD$6:$AD$505,"&gt;"&amp;$A76,実績!$AE$6:$AE$505,"○")&gt;0,1,0))</f>
        <v/>
      </c>
      <c r="W76">
        <f>IF(W$4=0,0,IF(COUNTIFS(実績!$W$6:$W$505,W$3,実績!$AC$6:$AC$505,"&lt;="&amp;$A76,実績!$AD$6:$AD$505,"&gt;"&amp;$A76,実績!$AE$6:$AE$505,"○")&gt;0,1,0))</f>
        <v/>
      </c>
      <c r="X76">
        <f>IF(X$4=0,0,IF(COUNTIFS(実績!$W$6:$W$505,X$3,実績!$AC$6:$AC$505,"&lt;="&amp;$A76,実績!$AD$6:$AD$505,"&gt;"&amp;$A76,実績!$AE$6:$AE$505,"○")&gt;0,1,0))</f>
        <v/>
      </c>
      <c r="Y76">
        <f>IF(Y$4=0,0,IF(COUNTIFS(実績!$W$6:$W$505,Y$3,実績!$AC$6:$AC$505,"&lt;="&amp;$A76,実績!$AD$6:$AD$505,"&gt;"&amp;$A76,実績!$AE$6:$AE$505,"○")&gt;0,1,0))</f>
        <v/>
      </c>
      <c r="Z76">
        <f>IF(Z$4=0,0,IF(COUNTIFS(実績!$W$6:$W$505,Z$3,実績!$AC$6:$AC$505,"&lt;="&amp;$A76,実績!$AD$6:$AD$505,"&gt;"&amp;$A76,実績!$AE$6:$AE$505,"○")&gt;0,1,0))</f>
        <v/>
      </c>
      <c r="AA76">
        <f>IF(AA$4=0,0,IF(COUNTIFS(実績!$W$6:$W$505,AA$3,実績!$AC$6:$AC$505,"&lt;="&amp;$A76,実績!$AD$6:$AD$505,"&gt;"&amp;$A76,実績!$AE$6:$AE$505,"○")&gt;0,1,0))</f>
        <v/>
      </c>
      <c r="AB76">
        <f>IF(AB$4=0,0,IF(COUNTIFS(実績!$W$6:$W$505,AB$3,実績!$AC$6:$AC$505,"&lt;="&amp;$A76,実績!$AD$6:$AD$505,"&gt;"&amp;$A76,実績!$AE$6:$AE$505,"○")&gt;0,1,0))</f>
        <v/>
      </c>
      <c r="AC76">
        <f>IF(AC$4=0,0,IF(COUNTIFS(実績!$W$6:$W$505,AC$3,実績!$AC$6:$AC$505,"&lt;="&amp;$A76,実績!$AD$6:$AD$505,"&gt;"&amp;$A76,実績!$AE$6:$AE$505,"○")&gt;0,1,0))</f>
        <v/>
      </c>
      <c r="AD76">
        <f>IF(AD$4=0,0,IF(COUNTIFS(実績!$W$6:$W$505,AD$3,実績!$AC$6:$AC$505,"&lt;="&amp;$A76,実績!$AD$6:$AD$505,"&gt;"&amp;$A76,実績!$AE$6:$AE$505,"○")&gt;0,1,0))</f>
        <v/>
      </c>
      <c r="AE76">
        <f>IF(AE$4=0,0,IF(COUNTIFS(実績!$W$6:$W$505,AE$3,実績!$AC$6:$AC$505,"&lt;="&amp;$A76,実績!$AD$6:$AD$505,"&gt;"&amp;$A76,実績!$AE$6:$AE$505,"○")&gt;0,1,0))</f>
        <v/>
      </c>
      <c r="AF76">
        <f>IF(AF$4=0,0,IF(COUNTIFS(実績!$W$6:$W$505,AF$3,実績!$AC$6:$AC$505,"&lt;="&amp;$A76,実績!$AD$6:$AD$505,"&gt;"&amp;$A76,実績!$AE$6:$AE$505,"○")&gt;0,1,0))</f>
        <v/>
      </c>
      <c r="AG76">
        <f>IF(AG$4=0,0,IF(COUNTIFS(実績!$W$6:$W$505,AG$3,実績!$AC$6:$AC$505,"&lt;="&amp;$A76,実績!$AD$6:$AD$505,"&gt;"&amp;$A76,実績!$AE$6:$AE$505,"○")&gt;0,1,0))</f>
        <v/>
      </c>
      <c r="AH76">
        <f>IF(AH$4=0,0,IF(COUNTIFS(実績!$W$6:$W$505,AH$3,実績!$AC$6:$AC$505,"&lt;="&amp;$A76,実績!$AD$6:$AD$505,"&gt;"&amp;$A76,実績!$AE$6:$AE$505,"○")&gt;0,1,0))</f>
        <v/>
      </c>
      <c r="AI76">
        <f>IF(AI$4=0,0,IF(COUNTIFS(実績!$W$6:$W$505,AI$3,実績!$AC$6:$AC$505,"&lt;="&amp;$A76,実績!$AD$6:$AD$505,"&gt;"&amp;$A76,実績!$AE$6:$AE$505,"○")&gt;0,1,0))</f>
        <v/>
      </c>
      <c r="AJ76">
        <f>IF(AJ$4=0,0,IF(COUNTIFS(実績!$W$6:$W$505,AJ$3,実績!$AC$6:$AC$505,"&lt;="&amp;$A76,実績!$AD$6:$AD$505,"&gt;"&amp;$A76,実績!$AE$6:$AE$505,"○")&gt;0,1,0))</f>
        <v/>
      </c>
      <c r="AK76">
        <f>IF(AK$4=0,0,IF(COUNTIFS(実績!$W$6:$W$505,AK$3,実績!$AC$6:$AC$505,"&lt;="&amp;$A76,実績!$AD$6:$AD$505,"&gt;"&amp;$A76,実績!$AE$6:$AE$505,"○")&gt;0,1,0))</f>
        <v/>
      </c>
      <c r="AL76">
        <f>IF(AL$4=0,0,IF(COUNTIFS(実績!$W$6:$W$505,AL$3,実績!$AC$6:$AC$505,"&lt;="&amp;$A76,実績!$AD$6:$AD$505,"&gt;"&amp;$A76,実績!$AE$6:$AE$505,"○")&gt;0,1,0))</f>
        <v/>
      </c>
      <c r="AM76">
        <f>IF(AM$4=0,0,IF(COUNTIFS(実績!$W$6:$W$505,AM$3,実績!$AC$6:$AC$505,"&lt;="&amp;$A76,実績!$AD$6:$AD$505,"&gt;"&amp;$A76,実績!$AE$6:$AE$505,"○")&gt;0,1,0))</f>
        <v/>
      </c>
      <c r="AN76">
        <f>IF(AN$4=0,0,IF(COUNTIFS(実績!$W$6:$W$505,AN$3,実績!$AC$6:$AC$505,"&lt;="&amp;$A76,実績!$AD$6:$AD$505,"&gt;"&amp;$A76,実績!$AE$6:$AE$505,"○")&gt;0,1,0))</f>
        <v/>
      </c>
      <c r="AO76">
        <f>IF(AO$4=0,0,IF(COUNTIFS(実績!$W$6:$W$505,AO$3,実績!$AC$6:$AC$505,"&lt;="&amp;$A76,実績!$AD$6:$AD$505,"&gt;"&amp;$A76,実績!$AE$6:$AE$505,"○")&gt;0,1,0))</f>
        <v/>
      </c>
      <c r="AP76">
        <f>IF(AP$4=0,0,IF(COUNTIFS(実績!$W$6:$W$505,AP$3,実績!$AC$6:$AC$505,"&lt;="&amp;$A76,実績!$AD$6:$AD$505,"&gt;"&amp;$A76,実績!$AE$6:$AE$505,"○")&gt;0,1,0))</f>
        <v/>
      </c>
      <c r="AQ76">
        <f>IF(AQ$4=0,0,IF(COUNTIFS(実績!$W$6:$W$505,AQ$3,実績!$AC$6:$AC$505,"&lt;="&amp;$A76,実績!$AD$6:$AD$505,"&gt;"&amp;$A76,実績!$AE$6:$AE$505,"○")&gt;0,1,0))</f>
        <v/>
      </c>
      <c r="AR76">
        <f>IF(AR$4=0,0,IF(COUNTIFS(実績!$W$6:$W$505,AR$3,実績!$AC$6:$AC$505,"&lt;="&amp;$A76,実績!$AD$6:$AD$505,"&gt;"&amp;$A76,実績!$AE$6:$AE$505,"○")&gt;0,1,0))</f>
        <v/>
      </c>
      <c r="AS76">
        <f>IF(AS$4=0,0,IF(COUNTIFS(実績!$W$6:$W$505,AS$3,実績!$AC$6:$AC$505,"&lt;="&amp;$A76,実績!$AD$6:$AD$505,"&gt;"&amp;$A76,実績!$AE$6:$AE$505,"○")&gt;0,1,0))</f>
        <v/>
      </c>
      <c r="AT76">
        <f>IF(AT$4=0,0,IF(COUNTIFS(実績!$W$6:$W$505,AT$3,実績!$AC$6:$AC$505,"&lt;="&amp;$A76,実績!$AD$6:$AD$505,"&gt;"&amp;$A76,実績!$AE$6:$AE$505,"○")&gt;0,1,0))</f>
        <v/>
      </c>
      <c r="AU76">
        <f>IF(AU$4=0,0,IF(COUNTIFS(実績!$W$6:$W$505,AU$3,実績!$AC$6:$AC$505,"&lt;="&amp;$A76,実績!$AD$6:$AD$505,"&gt;"&amp;$A76,実績!$AE$6:$AE$505,"○")&gt;0,1,0))</f>
        <v/>
      </c>
      <c r="AV76">
        <f>IF(AV$4=0,0,IF(COUNTIFS(実績!$W$6:$W$505,AV$3,実績!$AC$6:$AC$505,"&lt;="&amp;$A76,実績!$AD$6:$AD$505,"&gt;"&amp;$A76,実績!$AE$6:$AE$505,"○")&gt;0,1,0))</f>
        <v/>
      </c>
      <c r="AW76">
        <f>IF(AW$4=0,0,IF(COUNTIFS(実績!$W$6:$W$505,AW$3,実績!$AC$6:$AC$505,"&lt;="&amp;$A76,実績!$AD$6:$AD$505,"&gt;"&amp;$A76,実績!$AE$6:$AE$505,"○")&gt;0,1,0))</f>
        <v/>
      </c>
      <c r="AX76">
        <f>IF(AX$4=0,0,IF(COUNTIFS(実績!$W$6:$W$505,AX$3,実績!$AC$6:$AC$505,"&lt;="&amp;$A76,実績!$AD$6:$AD$505,"&gt;"&amp;$A76,実績!$AE$6:$AE$505,"○")&gt;0,1,0))</f>
        <v/>
      </c>
      <c r="AY76">
        <f>IF(AY$4=0,0,IF(COUNTIFS(実績!$W$6:$W$505,AY$3,実績!$AC$6:$AC$505,"&lt;="&amp;$A76,実績!$AD$6:$AD$505,"&gt;"&amp;$A76,実績!$AE$6:$AE$505,"○")&gt;0,1,0))</f>
        <v/>
      </c>
      <c r="AZ76">
        <f>IF(AZ$4=0,0,IF(COUNTIFS(実績!$W$6:$W$505,AZ$3,実績!$AC$6:$AC$505,"&lt;="&amp;$A76,実績!$AD$6:$AD$505,"&gt;"&amp;$A76,実績!$AE$6:$AE$505,"○")&gt;0,1,0))</f>
        <v/>
      </c>
      <c r="BA76">
        <f>IF(BA$4=0,0,IF(COUNTIFS(実績!$W$6:$W$505,BA$3,実績!$AC$6:$AC$505,"&lt;="&amp;$A76,実績!$AD$6:$AD$505,"&gt;"&amp;$A76,実績!$AE$6:$AE$505,"○")&gt;0,1,0))</f>
        <v/>
      </c>
      <c r="BB76">
        <f>IF(BB$4=0,0,IF(COUNTIFS(実績!$W$6:$W$505,BB$3,実績!$AC$6:$AC$505,"&lt;="&amp;$A76,実績!$AD$6:$AD$505,"&gt;"&amp;$A76,実績!$AE$6:$AE$505,"○")&gt;0,1,0))</f>
        <v/>
      </c>
      <c r="BC76">
        <f>IF(BC$4=0,0,IF(COUNTIFS(実績!$W$6:$W$505,BC$3,実績!$AC$6:$AC$505,"&lt;="&amp;$A76,実績!$AD$6:$AD$505,"&gt;"&amp;$A76,実績!$AE$6:$AE$505,"○")&gt;0,1,0))</f>
        <v/>
      </c>
      <c r="BD76">
        <f>IF(BD$4=0,0,IF(COUNTIFS(実績!$W$6:$W$505,BD$3,実績!$AC$6:$AC$505,"&lt;="&amp;$A76,実績!$AD$6:$AD$505,"&gt;"&amp;$A76,実績!$AE$6:$AE$505,"○")&gt;0,1,0))</f>
        <v/>
      </c>
      <c r="BE76">
        <f>IF(BE$4=0,0,IF(COUNTIFS(実績!$W$6:$W$505,BE$3,実績!$AC$6:$AC$505,"&lt;="&amp;$A76,実績!$AD$6:$AD$505,"&gt;"&amp;$A76,実績!$AE$6:$AE$505,"○")&gt;0,1,0))</f>
        <v/>
      </c>
      <c r="BF76">
        <f>IF(BF$4=0,0,IF(COUNTIFS(実績!$W$6:$W$505,BF$3,実績!$AC$6:$AC$505,"&lt;="&amp;$A76,実績!$AD$6:$AD$505,"&gt;"&amp;$A76,実績!$AE$6:$AE$505,"○")&gt;0,1,0))</f>
        <v/>
      </c>
      <c r="BG76">
        <f>IF(BG$4=0,0,IF(COUNTIFS(実績!$W$6:$W$505,BG$3,実績!$AC$6:$AC$505,"&lt;="&amp;$A76,実績!$AD$6:$AD$505,"&gt;"&amp;$A76,実績!$AE$6:$AE$505,"○")&gt;0,1,0))</f>
        <v/>
      </c>
      <c r="BH76">
        <f>IF(BH$4=0,0,IF(COUNTIFS(実績!$W$6:$W$505,BH$3,実績!$AC$6:$AC$505,"&lt;="&amp;$A76,実績!$AD$6:$AD$505,"&gt;"&amp;$A76,実績!$AE$6:$AE$505,"○")&gt;0,1,0))</f>
        <v/>
      </c>
      <c r="BI76">
        <f>IF(BI$4=0,0,IF(COUNTIFS(実績!$W$6:$W$505,BI$3,実績!$AC$6:$AC$505,"&lt;="&amp;$A76,実績!$AD$6:$AD$505,"&gt;"&amp;$A76,実績!$AE$6:$AE$505,"○")&gt;0,1,0))</f>
        <v/>
      </c>
      <c r="BJ76">
        <f>IF(BJ$4=0,0,IF(COUNTIFS(実績!$W$6:$W$505,BJ$3,実績!$AC$6:$AC$505,"&lt;="&amp;$A76,実績!$AD$6:$AD$505,"&gt;"&amp;$A76,実績!$AE$6:$AE$505,"○")&gt;0,1,0))</f>
        <v/>
      </c>
      <c r="BK76">
        <f>IF(BK$4=0,0,IF(COUNTIFS(実績!$W$6:$W$505,BK$3,実績!$AC$6:$AC$505,"&lt;="&amp;$A76,実績!$AD$6:$AD$505,"&gt;"&amp;$A76,実績!$AE$6:$AE$505,"○")&gt;0,1,0))</f>
        <v/>
      </c>
      <c r="BL76">
        <f>IF(BL$4=0,0,IF(COUNTIFS(実績!$W$6:$W$505,BL$3,実績!$AC$6:$AC$505,"&lt;="&amp;$A76,実績!$AD$6:$AD$505,"&gt;"&amp;$A76,実績!$AE$6:$AE$505,"○")&gt;0,1,0))</f>
        <v/>
      </c>
      <c r="BM76">
        <f>IF(BM$4=0,0,IF(COUNTIFS(実績!$W$6:$W$505,BM$3,実績!$AC$6:$AC$505,"&lt;="&amp;$A76,実績!$AD$6:$AD$505,"&gt;"&amp;$A76,実績!$AE$6:$AE$505,"○")&gt;0,1,0))</f>
        <v/>
      </c>
      <c r="BN76">
        <f>IF(BN$4=0,0,IF(COUNTIFS(実績!$W$6:$W$505,BN$3,実績!$AC$6:$AC$505,"&lt;="&amp;$A76,実績!$AD$6:$AD$505,"&gt;"&amp;$A76,実績!$AE$6:$AE$505,"○")&gt;0,1,0))</f>
        <v/>
      </c>
      <c r="BO76">
        <f>IF(BO$4=0,0,IF(COUNTIFS(実績!$W$6:$W$505,BO$3,実績!$AC$6:$AC$505,"&lt;="&amp;$A76,実績!$AD$6:$AD$505,"&gt;"&amp;$A76,実績!$AE$6:$AE$505,"○")&gt;0,1,0))</f>
        <v/>
      </c>
      <c r="BP76">
        <f>IF(BP$4=0,0,IF(COUNTIFS(実績!$W$6:$W$505,BP$3,実績!$AC$6:$AC$505,"&lt;="&amp;$A76,実績!$AD$6:$AD$505,"&gt;"&amp;$A76,実績!$AE$6:$AE$505,"○")&gt;0,1,0))</f>
        <v/>
      </c>
      <c r="BQ76">
        <f>IF(BQ$4=0,0,IF(COUNTIFS(実績!$W$6:$W$505,BQ$3,実績!$AC$6:$AC$505,"&lt;="&amp;$A76,実績!$AD$6:$AD$505,"&gt;"&amp;$A76,実績!$AE$6:$AE$505,"○")&gt;0,1,0))</f>
        <v/>
      </c>
      <c r="BR76">
        <f>IF(BR$4=0,0,IF(COUNTIFS(実績!$W$6:$W$505,BR$3,実績!$AC$6:$AC$505,"&lt;="&amp;$A76,実績!$AD$6:$AD$505,"&gt;"&amp;$A76,実績!$AE$6:$AE$505,"○")&gt;0,1,0))</f>
        <v/>
      </c>
      <c r="BS76">
        <f>IF(BS$4=0,0,IF(COUNTIFS(実績!$W$6:$W$505,BS$3,実績!$AC$6:$AC$505,"&lt;="&amp;$A76,実績!$AD$6:$AD$505,"&gt;"&amp;$A76,実績!$AE$6:$AE$505,"○")&gt;0,1,0))</f>
        <v/>
      </c>
      <c r="BT76">
        <f>IF(BT$4=0,0,IF(COUNTIFS(実績!$W$6:$W$505,BT$3,実績!$AC$6:$AC$505,"&lt;="&amp;$A76,実績!$AD$6:$AD$505,"&gt;"&amp;$A76,実績!$AE$6:$AE$505,"○")&gt;0,1,0))</f>
        <v/>
      </c>
      <c r="BU76">
        <f>IF(BU$4=0,0,IF(COUNTIFS(実績!$W$6:$W$505,BU$3,実績!$AC$6:$AC$505,"&lt;="&amp;$A76,実績!$AD$6:$AD$505,"&gt;"&amp;$A76,実績!$AE$6:$AE$505,"○")&gt;0,1,0))</f>
        <v/>
      </c>
      <c r="BV76">
        <f>IF(BV$4=0,0,IF(COUNTIFS(実績!$W$6:$W$505,BV$3,実績!$AC$6:$AC$505,"&lt;="&amp;$A76,実績!$AD$6:$AD$505,"&gt;"&amp;$A76,実績!$AE$6:$AE$505,"○")&gt;0,1,0))</f>
        <v/>
      </c>
      <c r="BW76">
        <f>IF(BW$4=0,0,IF(COUNTIFS(実績!$W$6:$W$505,BW$3,実績!$AC$6:$AC$505,"&lt;="&amp;$A76,実績!$AD$6:$AD$505,"&gt;"&amp;$A76,実績!$AE$6:$AE$505,"○")&gt;0,1,0))</f>
        <v/>
      </c>
      <c r="BX76">
        <f>IF(BX$4=0,0,IF(COUNTIFS(実績!$W$6:$W$505,BX$3,実績!$AC$6:$AC$505,"&lt;="&amp;$A76,実績!$AD$6:$AD$505,"&gt;"&amp;$A76,実績!$AE$6:$AE$505,"○")&gt;0,1,0))</f>
        <v/>
      </c>
      <c r="BY76">
        <f>IF(BY$4=0,0,IF(COUNTIFS(実績!$W$6:$W$505,BY$3,実績!$AC$6:$AC$505,"&lt;="&amp;$A76,実績!$AD$6:$AD$505,"&gt;"&amp;$A76,実績!$AE$6:$AE$505,"○")&gt;0,1,0))</f>
        <v/>
      </c>
      <c r="BZ76">
        <f>IF(BZ$4=0,0,IF(COUNTIFS(実績!$W$6:$W$505,BZ$3,実績!$AC$6:$AC$505,"&lt;="&amp;$A76,実績!$AD$6:$AD$505,"&gt;"&amp;$A76,実績!$AE$6:$AE$505,"○")&gt;0,1,0))</f>
        <v/>
      </c>
      <c r="CA76">
        <f>IF(CA$4=0,0,IF(COUNTIFS(実績!$W$6:$W$505,CA$3,実績!$AC$6:$AC$505,"&lt;="&amp;$A76,実績!$AD$6:$AD$505,"&gt;"&amp;$A76,実績!$AE$6:$AE$505,"○")&gt;0,1,0))</f>
        <v/>
      </c>
      <c r="CB76">
        <f>IF(CB$4=0,0,IF(COUNTIFS(実績!$W$6:$W$505,CB$3,実績!$AC$6:$AC$505,"&lt;="&amp;$A76,実績!$AD$6:$AD$505,"&gt;"&amp;$A76,実績!$AE$6:$AE$505,"○")&gt;0,1,0))</f>
        <v/>
      </c>
      <c r="CC76">
        <f>IF(CC$4=0,0,IF(COUNTIFS(実績!$W$6:$W$505,CC$3,実績!$AC$6:$AC$505,"&lt;="&amp;$A76,実績!$AD$6:$AD$505,"&gt;"&amp;$A76,実績!$AE$6:$AE$505,"○")&gt;0,1,0))</f>
        <v/>
      </c>
      <c r="CD76">
        <f>IF(CD$4=0,0,IF(COUNTIFS(実績!$W$6:$W$505,CD$3,実績!$AC$6:$AC$505,"&lt;="&amp;$A76,実績!$AD$6:$AD$505,"&gt;"&amp;$A76,実績!$AE$6:$AE$505,"○")&gt;0,1,0))</f>
        <v/>
      </c>
      <c r="CE76">
        <f>IF(CE$4=0,0,IF(COUNTIFS(実績!$W$6:$W$505,CE$3,実績!$AC$6:$AC$505,"&lt;="&amp;$A76,実績!$AD$6:$AD$505,"&gt;"&amp;$A76,実績!$AE$6:$AE$505,"○")&gt;0,1,0))</f>
        <v/>
      </c>
      <c r="CF76">
        <f>IF(CF$4=0,0,IF(COUNTIFS(実績!$W$6:$W$505,CF$3,実績!$AC$6:$AC$505,"&lt;="&amp;$A76,実績!$AD$6:$AD$505,"&gt;"&amp;$A76,実績!$AE$6:$AE$505,"○")&gt;0,1,0))</f>
        <v/>
      </c>
      <c r="CG76">
        <f>IF(CG$4=0,0,IF(COUNTIFS(実績!$W$6:$W$505,CG$3,実績!$AC$6:$AC$505,"&lt;="&amp;$A76,実績!$AD$6:$AD$505,"&gt;"&amp;$A76,実績!$AE$6:$AE$505,"○")&gt;0,1,0))</f>
        <v/>
      </c>
      <c r="CH76">
        <f>IF(CH$4=0,0,IF(COUNTIFS(実績!$W$6:$W$505,CH$3,実績!$AC$6:$AC$505,"&lt;="&amp;$A76,実績!$AD$6:$AD$505,"&gt;"&amp;$A76,実績!$AE$6:$AE$505,"○")&gt;0,1,0))</f>
        <v/>
      </c>
      <c r="CI76">
        <f>IF(CI$4=0,0,IF(COUNTIFS(実績!$W$6:$W$505,CI$3,実績!$AC$6:$AC$505,"&lt;="&amp;$A76,実績!$AD$6:$AD$505,"&gt;"&amp;$A76,実績!$AE$6:$AE$505,"○")&gt;0,1,0))</f>
        <v/>
      </c>
      <c r="CJ76">
        <f>IF(CJ$4=0,0,IF(COUNTIFS(実績!$W$6:$W$505,CJ$3,実績!$AC$6:$AC$505,"&lt;="&amp;$A76,実績!$AD$6:$AD$505,"&gt;"&amp;$A76,実績!$AE$6:$AE$505,"○")&gt;0,1,0))</f>
        <v/>
      </c>
      <c r="CK76">
        <f>IF(CK$4=0,0,IF(COUNTIFS(実績!$W$6:$W$505,CK$3,実績!$AC$6:$AC$505,"&lt;="&amp;$A76,実績!$AD$6:$AD$505,"&gt;"&amp;$A76,実績!$AE$6:$AE$505,"○")&gt;0,1,0))</f>
        <v/>
      </c>
      <c r="CL76">
        <f>IF(CL$4=0,0,IF(COUNTIFS(実績!$W$6:$W$505,CL$3,実績!$AC$6:$AC$505,"&lt;="&amp;$A76,実績!$AD$6:$AD$505,"&gt;"&amp;$A76,実績!$AE$6:$AE$505,"○")&gt;0,1,0))</f>
        <v/>
      </c>
      <c r="CM76">
        <f>IF(CM$4=0,0,IF(COUNTIFS(実績!$W$6:$W$505,CM$3,実績!$AC$6:$AC$505,"&lt;="&amp;$A76,実績!$AD$6:$AD$505,"&gt;"&amp;$A76,実績!$AE$6:$AE$505,"○")&gt;0,1,0))</f>
        <v/>
      </c>
      <c r="CN76">
        <f>IF(CN$4=0,0,IF(COUNTIFS(実績!$W$6:$W$505,CN$3,実績!$AC$6:$AC$505,"&lt;="&amp;$A76,実績!$AD$6:$AD$505,"&gt;"&amp;$A76,実績!$AE$6:$AE$505,"○")&gt;0,1,0))</f>
        <v/>
      </c>
      <c r="CO76">
        <f>IF(CO$4=0,0,IF(COUNTIFS(実績!$W$6:$W$505,CO$3,実績!$AC$6:$AC$505,"&lt;="&amp;$A76,実績!$AD$6:$AD$505,"&gt;"&amp;$A76,実績!$AE$6:$AE$505,"○")&gt;0,1,0))</f>
        <v/>
      </c>
      <c r="CP76">
        <f>IF(CP$4=0,0,IF(COUNTIFS(実績!$W$6:$W$505,CP$3,実績!$AC$6:$AC$505,"&lt;="&amp;$A76,実績!$AD$6:$AD$505,"&gt;"&amp;$A76,実績!$AE$6:$AE$505,"○")&gt;0,1,0))</f>
        <v/>
      </c>
      <c r="CQ76">
        <f>IF(CQ$4=0,0,IF(COUNTIFS(実績!$W$6:$W$505,CQ$3,実績!$AC$6:$AC$505,"&lt;="&amp;$A76,実績!$AD$6:$AD$505,"&gt;"&amp;$A76,実績!$AE$6:$AE$505,"○")&gt;0,1,0))</f>
        <v/>
      </c>
      <c r="CR76">
        <f>IF(CR$4=0,0,IF(COUNTIFS(実績!$W$6:$W$505,CR$3,実績!$AC$6:$AC$505,"&lt;="&amp;$A76,実績!$AD$6:$AD$505,"&gt;"&amp;$A76,実績!$AE$6:$AE$505,"○")&gt;0,1,0))</f>
        <v/>
      </c>
      <c r="CS76">
        <f>IF(CS$4=0,0,IF(COUNTIFS(実績!$W$6:$W$505,CS$3,実績!$AC$6:$AC$505,"&lt;="&amp;$A76,実績!$AD$6:$AD$505,"&gt;"&amp;$A76,実績!$AE$6:$AE$505,"○")&gt;0,1,0))</f>
        <v/>
      </c>
      <c r="CT76">
        <f>IF(CT$4=0,0,IF(COUNTIFS(実績!$W$6:$W$505,CT$3,実績!$AC$6:$AC$505,"&lt;="&amp;$A76,実績!$AD$6:$AD$505,"&gt;"&amp;$A76,実績!$AE$6:$AE$505,"○")&gt;0,1,0))</f>
        <v/>
      </c>
      <c r="CU76">
        <f>IF(CU$4=0,0,IF(COUNTIFS(実績!$W$6:$W$505,CU$3,実績!$AC$6:$AC$505,"&lt;="&amp;$A76,実績!$AD$6:$AD$505,"&gt;"&amp;$A76,実績!$AE$6:$AE$505,"○")&gt;0,1,0))</f>
        <v/>
      </c>
      <c r="CV76">
        <f>IF(CV$4=0,0,IF(COUNTIFS(実績!$W$6:$W$505,CV$3,実績!$AC$6:$AC$505,"&lt;="&amp;$A76,実績!$AD$6:$AD$505,"&gt;"&amp;$A76,実績!$AE$6:$AE$505,"○")&gt;0,1,0))</f>
        <v/>
      </c>
      <c r="CW76">
        <f>IF(CW$4=0,0,IF(COUNTIFS(実績!$W$6:$W$505,CW$3,実績!$AC$6:$AC$505,"&lt;="&amp;$A76,実績!$AD$6:$AD$505,"&gt;"&amp;$A76,実績!$AE$6:$AE$505,"○")&gt;0,1,0))</f>
        <v/>
      </c>
      <c r="CX76">
        <f>IF(CX$4=0,0,IF(COUNTIFS(実績!$W$6:$W$505,CX$3,実績!$AC$6:$AC$505,"&lt;="&amp;$A76,実績!$AD$6:$AD$505,"&gt;"&amp;$A76,実績!$AE$6:$AE$505,"○")&gt;0,1,0))</f>
        <v/>
      </c>
      <c r="CY76">
        <f>IF(CY$4=0,0,IF(COUNTIFS(実績!$W$6:$W$505,CY$3,実績!$AC$6:$AC$505,"&lt;="&amp;$A76,実績!$AD$6:$AD$505,"&gt;"&amp;$A76,実績!$AE$6:$AE$505,"○")&gt;0,1,0))</f>
        <v/>
      </c>
      <c r="CZ76">
        <f>IF(CZ$4=0,0,IF(COUNTIFS(実績!$W$6:$W$505,CZ$3,実績!$AC$6:$AC$505,"&lt;="&amp;$A76,実績!$AD$6:$AD$505,"&gt;"&amp;$A76,実績!$AE$6:$AE$505,"○")&gt;0,1,0))</f>
        <v/>
      </c>
      <c r="DA76">
        <f>IF(DA$4=0,0,IF(COUNTIFS(実績!$W$6:$W$505,DA$3,実績!$AC$6:$AC$505,"&lt;="&amp;$A76,実績!$AD$6:$AD$505,"&gt;"&amp;$A76,実績!$AE$6:$AE$505,"○")&gt;0,1,0))</f>
        <v/>
      </c>
      <c r="DB76">
        <f>IF(DB$4=0,0,IF(COUNTIFS(実績!$W$6:$W$505,DB$3,実績!$AC$6:$AC$505,"&lt;="&amp;$A76,実績!$AD$6:$AD$505,"&gt;"&amp;$A76,実績!$AE$6:$AE$505,"○")&gt;0,1,0))</f>
        <v/>
      </c>
      <c r="DC76">
        <f>IF(DC$4=0,0,IF(COUNTIFS(実績!$W$6:$W$505,DC$3,実績!$AC$6:$AC$505,"&lt;="&amp;$A76,実績!$AD$6:$AD$505,"&gt;"&amp;$A76,実績!$AE$6:$AE$505,"○")&gt;0,1,0))</f>
        <v/>
      </c>
      <c r="DD76">
        <f>IF(DD$4=0,0,IF(COUNTIFS(実績!$W$6:$W$505,DD$3,実績!$AC$6:$AC$505,"&lt;="&amp;$A76,実績!$AD$6:$AD$505,"&gt;"&amp;$A76,実績!$AE$6:$AE$505,"○")&gt;0,1,0))</f>
        <v/>
      </c>
      <c r="DE76">
        <f>IF(DE$4=0,0,IF(COUNTIFS(実績!$W$6:$W$505,DE$3,実績!$AC$6:$AC$505,"&lt;="&amp;$A76,実績!$AD$6:$AD$505,"&gt;"&amp;$A76,実績!$AE$6:$AE$505,"○")&gt;0,1,0))</f>
        <v/>
      </c>
      <c r="DF76">
        <f>IF(DF$4=0,0,IF(COUNTIFS(実績!$W$6:$W$505,DF$3,実績!$AC$6:$AC$505,"&lt;="&amp;$A76,実績!$AD$6:$AD$505,"&gt;"&amp;$A76,実績!$AE$6:$AE$505,"○")&gt;0,1,0))</f>
        <v/>
      </c>
      <c r="DG76">
        <f>IF(DG$4=0,0,IF(COUNTIFS(実績!$W$6:$W$505,DG$3,実績!$AC$6:$AC$505,"&lt;="&amp;$A76,実績!$AD$6:$AD$505,"&gt;"&amp;$A76,実績!$AE$6:$AE$505,"○")&gt;0,1,0))</f>
        <v/>
      </c>
      <c r="DH76">
        <f>IF(DH$4=0,0,IF(COUNTIFS(実績!$W$6:$W$505,DH$3,実績!$AC$6:$AC$505,"&lt;="&amp;$A76,実績!$AD$6:$AD$505,"&gt;"&amp;$A76,実績!$AE$6:$AE$505,"○")&gt;0,1,0))</f>
        <v/>
      </c>
      <c r="DI76">
        <f>IF(DI$4=0,0,IF(COUNTIFS(実績!$W$6:$W$505,DI$3,実績!$AC$6:$AC$505,"&lt;="&amp;$A76,実績!$AD$6:$AD$505,"&gt;"&amp;$A76,実績!$AE$6:$AE$505,"○")&gt;0,1,0))</f>
        <v/>
      </c>
      <c r="DJ76">
        <f>IF(DJ$4=0,0,IF(COUNTIFS(実績!$W$6:$W$505,DJ$3,実績!$AC$6:$AC$505,"&lt;="&amp;$A76,実績!$AD$6:$AD$505,"&gt;"&amp;$A76,実績!$AE$6:$AE$505,"○")&gt;0,1,0))</f>
        <v/>
      </c>
      <c r="DK76">
        <f>IF(DK$4=0,0,IF(COUNTIFS(実績!$W$6:$W$505,DK$3,実績!$AC$6:$AC$505,"&lt;="&amp;$A76,実績!$AD$6:$AD$505,"&gt;"&amp;$A76,実績!$AE$6:$AE$505,"○")&gt;0,1,0))</f>
        <v/>
      </c>
      <c r="DL76">
        <f>IF(DL$4=0,0,IF(COUNTIFS(実績!$W$6:$W$505,DL$3,実績!$AC$6:$AC$505,"&lt;="&amp;$A76,実績!$AD$6:$AD$505,"&gt;"&amp;$A76,実績!$AE$6:$AE$505,"○")&gt;0,1,0))</f>
        <v/>
      </c>
      <c r="DM76">
        <f>IF(DM$4=0,0,IF(COUNTIFS(実績!$W$6:$W$505,DM$3,実績!$AC$6:$AC$505,"&lt;="&amp;$A76,実績!$AD$6:$AD$505,"&gt;"&amp;$A76,実績!$AE$6:$AE$505,"○")&gt;0,1,0))</f>
        <v/>
      </c>
      <c r="DN76">
        <f>IF(DN$4=0,0,IF(COUNTIFS(実績!$W$6:$W$505,DN$3,実績!$AC$6:$AC$505,"&lt;="&amp;$A76,実績!$AD$6:$AD$505,"&gt;"&amp;$A76,実績!$AE$6:$AE$505,"○")&gt;0,1,0))</f>
        <v/>
      </c>
      <c r="DO76">
        <f>IF(DO$4=0,0,IF(COUNTIFS(実績!$W$6:$W$505,DO$3,実績!$AC$6:$AC$505,"&lt;="&amp;$A76,実績!$AD$6:$AD$505,"&gt;"&amp;$A76,実績!$AE$6:$AE$505,"○")&gt;0,1,0))</f>
        <v/>
      </c>
      <c r="DP76">
        <f>IF(DP$4=0,0,IF(COUNTIFS(実績!$W$6:$W$505,DP$3,実績!$AC$6:$AC$505,"&lt;="&amp;$A76,実績!$AD$6:$AD$505,"&gt;"&amp;$A76,実績!$AE$6:$AE$505,"○")&gt;0,1,0))</f>
        <v/>
      </c>
      <c r="DQ76">
        <f>IF(DQ$4=0,0,IF(COUNTIFS(実績!$W$6:$W$505,DQ$3,実績!$AC$6:$AC$505,"&lt;="&amp;$A76,実績!$AD$6:$AD$505,"&gt;"&amp;$A76,実績!$AE$6:$AE$505,"○")&gt;0,1,0))</f>
        <v/>
      </c>
      <c r="DR76">
        <f>IF(DR$4=0,0,IF(COUNTIFS(実績!$W$6:$W$505,DR$3,実績!$AC$6:$AC$505,"&lt;="&amp;$A76,実績!$AD$6:$AD$505,"&gt;"&amp;$A76,実績!$AE$6:$AE$505,"○")&gt;0,1,0))</f>
        <v/>
      </c>
      <c r="DS76">
        <f>SUM(C76:DR76)</f>
        <v/>
      </c>
      <c r="DT76">
        <f>SUMPRODUCT((実績!$C$6:$C$505="○")*ISNUMBER(実績!$AF$6:$AF$505)*(実績!$AF$6:$AF$505&lt;=$A76)*(実績!$AG$6:$AG$505&gt;$A76))</f>
        <v/>
      </c>
      <c r="DU76">
        <f>SUMIF($C$2:$DR$2,"製鉄曳船",C76:DR76)</f>
        <v/>
      </c>
      <c r="DV76">
        <f>SUMIF($C$2:$DR$2,"西日本海運",C76:DR76)</f>
        <v/>
      </c>
    </row>
    <row r="77">
      <c r="A77" t="n">
        <v>355</v>
      </c>
      <c r="B77" s="29">
        <f>A77/1440</f>
        <v/>
      </c>
      <c r="C77">
        <f>IF(C$4=0,0,IF(COUNTIFS(実績!$W$6:$W$505,C$3,実績!$AC$6:$AC$505,"&lt;="&amp;$A77,実績!$AD$6:$AD$505,"&gt;"&amp;$A77,実績!$AE$6:$AE$505,"○")&gt;0,1,0))</f>
        <v/>
      </c>
      <c r="D77">
        <f>IF(D$4=0,0,IF(COUNTIFS(実績!$W$6:$W$505,D$3,実績!$AC$6:$AC$505,"&lt;="&amp;$A77,実績!$AD$6:$AD$505,"&gt;"&amp;$A77,実績!$AE$6:$AE$505,"○")&gt;0,1,0))</f>
        <v/>
      </c>
      <c r="E77">
        <f>IF(E$4=0,0,IF(COUNTIFS(実績!$W$6:$W$505,E$3,実績!$AC$6:$AC$505,"&lt;="&amp;$A77,実績!$AD$6:$AD$505,"&gt;"&amp;$A77,実績!$AE$6:$AE$505,"○")&gt;0,1,0))</f>
        <v/>
      </c>
      <c r="F77">
        <f>IF(F$4=0,0,IF(COUNTIFS(実績!$W$6:$W$505,F$3,実績!$AC$6:$AC$505,"&lt;="&amp;$A77,実績!$AD$6:$AD$505,"&gt;"&amp;$A77,実績!$AE$6:$AE$505,"○")&gt;0,1,0))</f>
        <v/>
      </c>
      <c r="G77">
        <f>IF(G$4=0,0,IF(COUNTIFS(実績!$W$6:$W$505,G$3,実績!$AC$6:$AC$505,"&lt;="&amp;$A77,実績!$AD$6:$AD$505,"&gt;"&amp;$A77,実績!$AE$6:$AE$505,"○")&gt;0,1,0))</f>
        <v/>
      </c>
      <c r="H77">
        <f>IF(H$4=0,0,IF(COUNTIFS(実績!$W$6:$W$505,H$3,実績!$AC$6:$AC$505,"&lt;="&amp;$A77,実績!$AD$6:$AD$505,"&gt;"&amp;$A77,実績!$AE$6:$AE$505,"○")&gt;0,1,0))</f>
        <v/>
      </c>
      <c r="I77">
        <f>IF(I$4=0,0,IF(COUNTIFS(実績!$W$6:$W$505,I$3,実績!$AC$6:$AC$505,"&lt;="&amp;$A77,実績!$AD$6:$AD$505,"&gt;"&amp;$A77,実績!$AE$6:$AE$505,"○")&gt;0,1,0))</f>
        <v/>
      </c>
      <c r="J77">
        <f>IF(J$4=0,0,IF(COUNTIFS(実績!$W$6:$W$505,J$3,実績!$AC$6:$AC$505,"&lt;="&amp;$A77,実績!$AD$6:$AD$505,"&gt;"&amp;$A77,実績!$AE$6:$AE$505,"○")&gt;0,1,0))</f>
        <v/>
      </c>
      <c r="K77">
        <f>IF(K$4=0,0,IF(COUNTIFS(実績!$W$6:$W$505,K$3,実績!$AC$6:$AC$505,"&lt;="&amp;$A77,実績!$AD$6:$AD$505,"&gt;"&amp;$A77,実績!$AE$6:$AE$505,"○")&gt;0,1,0))</f>
        <v/>
      </c>
      <c r="L77">
        <f>IF(L$4=0,0,IF(COUNTIFS(実績!$W$6:$W$505,L$3,実績!$AC$6:$AC$505,"&lt;="&amp;$A77,実績!$AD$6:$AD$505,"&gt;"&amp;$A77,実績!$AE$6:$AE$505,"○")&gt;0,1,0))</f>
        <v/>
      </c>
      <c r="M77">
        <f>IF(M$4=0,0,IF(COUNTIFS(実績!$W$6:$W$505,M$3,実績!$AC$6:$AC$505,"&lt;="&amp;$A77,実績!$AD$6:$AD$505,"&gt;"&amp;$A77,実績!$AE$6:$AE$505,"○")&gt;0,1,0))</f>
        <v/>
      </c>
      <c r="N77">
        <f>IF(N$4=0,0,IF(COUNTIFS(実績!$W$6:$W$505,N$3,実績!$AC$6:$AC$505,"&lt;="&amp;$A77,実績!$AD$6:$AD$505,"&gt;"&amp;$A77,実績!$AE$6:$AE$505,"○")&gt;0,1,0))</f>
        <v/>
      </c>
      <c r="O77">
        <f>IF(O$4=0,0,IF(COUNTIFS(実績!$W$6:$W$505,O$3,実績!$AC$6:$AC$505,"&lt;="&amp;$A77,実績!$AD$6:$AD$505,"&gt;"&amp;$A77,実績!$AE$6:$AE$505,"○")&gt;0,1,0))</f>
        <v/>
      </c>
      <c r="P77">
        <f>IF(P$4=0,0,IF(COUNTIFS(実績!$W$6:$W$505,P$3,実績!$AC$6:$AC$505,"&lt;="&amp;$A77,実績!$AD$6:$AD$505,"&gt;"&amp;$A77,実績!$AE$6:$AE$505,"○")&gt;0,1,0))</f>
        <v/>
      </c>
      <c r="Q77">
        <f>IF(Q$4=0,0,IF(COUNTIFS(実績!$W$6:$W$505,Q$3,実績!$AC$6:$AC$505,"&lt;="&amp;$A77,実績!$AD$6:$AD$505,"&gt;"&amp;$A77,実績!$AE$6:$AE$505,"○")&gt;0,1,0))</f>
        <v/>
      </c>
      <c r="R77">
        <f>IF(R$4=0,0,IF(COUNTIFS(実績!$W$6:$W$505,R$3,実績!$AC$6:$AC$505,"&lt;="&amp;$A77,実績!$AD$6:$AD$505,"&gt;"&amp;$A77,実績!$AE$6:$AE$505,"○")&gt;0,1,0))</f>
        <v/>
      </c>
      <c r="S77">
        <f>IF(S$4=0,0,IF(COUNTIFS(実績!$W$6:$W$505,S$3,実績!$AC$6:$AC$505,"&lt;="&amp;$A77,実績!$AD$6:$AD$505,"&gt;"&amp;$A77,実績!$AE$6:$AE$505,"○")&gt;0,1,0))</f>
        <v/>
      </c>
      <c r="T77">
        <f>IF(T$4=0,0,IF(COUNTIFS(実績!$W$6:$W$505,T$3,実績!$AC$6:$AC$505,"&lt;="&amp;$A77,実績!$AD$6:$AD$505,"&gt;"&amp;$A77,実績!$AE$6:$AE$505,"○")&gt;0,1,0))</f>
        <v/>
      </c>
      <c r="U77">
        <f>IF(U$4=0,0,IF(COUNTIFS(実績!$W$6:$W$505,U$3,実績!$AC$6:$AC$505,"&lt;="&amp;$A77,実績!$AD$6:$AD$505,"&gt;"&amp;$A77,実績!$AE$6:$AE$505,"○")&gt;0,1,0))</f>
        <v/>
      </c>
      <c r="V77">
        <f>IF(V$4=0,0,IF(COUNTIFS(実績!$W$6:$W$505,V$3,実績!$AC$6:$AC$505,"&lt;="&amp;$A77,実績!$AD$6:$AD$505,"&gt;"&amp;$A77,実績!$AE$6:$AE$505,"○")&gt;0,1,0))</f>
        <v/>
      </c>
      <c r="W77">
        <f>IF(W$4=0,0,IF(COUNTIFS(実績!$W$6:$W$505,W$3,実績!$AC$6:$AC$505,"&lt;="&amp;$A77,実績!$AD$6:$AD$505,"&gt;"&amp;$A77,実績!$AE$6:$AE$505,"○")&gt;0,1,0))</f>
        <v/>
      </c>
      <c r="X77">
        <f>IF(X$4=0,0,IF(COUNTIFS(実績!$W$6:$W$505,X$3,実績!$AC$6:$AC$505,"&lt;="&amp;$A77,実績!$AD$6:$AD$505,"&gt;"&amp;$A77,実績!$AE$6:$AE$505,"○")&gt;0,1,0))</f>
        <v/>
      </c>
      <c r="Y77">
        <f>IF(Y$4=0,0,IF(COUNTIFS(実績!$W$6:$W$505,Y$3,実績!$AC$6:$AC$505,"&lt;="&amp;$A77,実績!$AD$6:$AD$505,"&gt;"&amp;$A77,実績!$AE$6:$AE$505,"○")&gt;0,1,0))</f>
        <v/>
      </c>
      <c r="Z77">
        <f>IF(Z$4=0,0,IF(COUNTIFS(実績!$W$6:$W$505,Z$3,実績!$AC$6:$AC$505,"&lt;="&amp;$A77,実績!$AD$6:$AD$505,"&gt;"&amp;$A77,実績!$AE$6:$AE$505,"○")&gt;0,1,0))</f>
        <v/>
      </c>
      <c r="AA77">
        <f>IF(AA$4=0,0,IF(COUNTIFS(実績!$W$6:$W$505,AA$3,実績!$AC$6:$AC$505,"&lt;="&amp;$A77,実績!$AD$6:$AD$505,"&gt;"&amp;$A77,実績!$AE$6:$AE$505,"○")&gt;0,1,0))</f>
        <v/>
      </c>
      <c r="AB77">
        <f>IF(AB$4=0,0,IF(COUNTIFS(実績!$W$6:$W$505,AB$3,実績!$AC$6:$AC$505,"&lt;="&amp;$A77,実績!$AD$6:$AD$505,"&gt;"&amp;$A77,実績!$AE$6:$AE$505,"○")&gt;0,1,0))</f>
        <v/>
      </c>
      <c r="AC77">
        <f>IF(AC$4=0,0,IF(COUNTIFS(実績!$W$6:$W$505,AC$3,実績!$AC$6:$AC$505,"&lt;="&amp;$A77,実績!$AD$6:$AD$505,"&gt;"&amp;$A77,実績!$AE$6:$AE$505,"○")&gt;0,1,0))</f>
        <v/>
      </c>
      <c r="AD77">
        <f>IF(AD$4=0,0,IF(COUNTIFS(実績!$W$6:$W$505,AD$3,実績!$AC$6:$AC$505,"&lt;="&amp;$A77,実績!$AD$6:$AD$505,"&gt;"&amp;$A77,実績!$AE$6:$AE$505,"○")&gt;0,1,0))</f>
        <v/>
      </c>
      <c r="AE77">
        <f>IF(AE$4=0,0,IF(COUNTIFS(実績!$W$6:$W$505,AE$3,実績!$AC$6:$AC$505,"&lt;="&amp;$A77,実績!$AD$6:$AD$505,"&gt;"&amp;$A77,実績!$AE$6:$AE$505,"○")&gt;0,1,0))</f>
        <v/>
      </c>
      <c r="AF77">
        <f>IF(AF$4=0,0,IF(COUNTIFS(実績!$W$6:$W$505,AF$3,実績!$AC$6:$AC$505,"&lt;="&amp;$A77,実績!$AD$6:$AD$505,"&gt;"&amp;$A77,実績!$AE$6:$AE$505,"○")&gt;0,1,0))</f>
        <v/>
      </c>
      <c r="AG77">
        <f>IF(AG$4=0,0,IF(COUNTIFS(実績!$W$6:$W$505,AG$3,実績!$AC$6:$AC$505,"&lt;="&amp;$A77,実績!$AD$6:$AD$505,"&gt;"&amp;$A77,実績!$AE$6:$AE$505,"○")&gt;0,1,0))</f>
        <v/>
      </c>
      <c r="AH77">
        <f>IF(AH$4=0,0,IF(COUNTIFS(実績!$W$6:$W$505,AH$3,実績!$AC$6:$AC$505,"&lt;="&amp;$A77,実績!$AD$6:$AD$505,"&gt;"&amp;$A77,実績!$AE$6:$AE$505,"○")&gt;0,1,0))</f>
        <v/>
      </c>
      <c r="AI77">
        <f>IF(AI$4=0,0,IF(COUNTIFS(実績!$W$6:$W$505,AI$3,実績!$AC$6:$AC$505,"&lt;="&amp;$A77,実績!$AD$6:$AD$505,"&gt;"&amp;$A77,実績!$AE$6:$AE$505,"○")&gt;0,1,0))</f>
        <v/>
      </c>
      <c r="AJ77">
        <f>IF(AJ$4=0,0,IF(COUNTIFS(実績!$W$6:$W$505,AJ$3,実績!$AC$6:$AC$505,"&lt;="&amp;$A77,実績!$AD$6:$AD$505,"&gt;"&amp;$A77,実績!$AE$6:$AE$505,"○")&gt;0,1,0))</f>
        <v/>
      </c>
      <c r="AK77">
        <f>IF(AK$4=0,0,IF(COUNTIFS(実績!$W$6:$W$505,AK$3,実績!$AC$6:$AC$505,"&lt;="&amp;$A77,実績!$AD$6:$AD$505,"&gt;"&amp;$A77,実績!$AE$6:$AE$505,"○")&gt;0,1,0))</f>
        <v/>
      </c>
      <c r="AL77">
        <f>IF(AL$4=0,0,IF(COUNTIFS(実績!$W$6:$W$505,AL$3,実績!$AC$6:$AC$505,"&lt;="&amp;$A77,実績!$AD$6:$AD$505,"&gt;"&amp;$A77,実績!$AE$6:$AE$505,"○")&gt;0,1,0))</f>
        <v/>
      </c>
      <c r="AM77">
        <f>IF(AM$4=0,0,IF(COUNTIFS(実績!$W$6:$W$505,AM$3,実績!$AC$6:$AC$505,"&lt;="&amp;$A77,実績!$AD$6:$AD$505,"&gt;"&amp;$A77,実績!$AE$6:$AE$505,"○")&gt;0,1,0))</f>
        <v/>
      </c>
      <c r="AN77">
        <f>IF(AN$4=0,0,IF(COUNTIFS(実績!$W$6:$W$505,AN$3,実績!$AC$6:$AC$505,"&lt;="&amp;$A77,実績!$AD$6:$AD$505,"&gt;"&amp;$A77,実績!$AE$6:$AE$505,"○")&gt;0,1,0))</f>
        <v/>
      </c>
      <c r="AO77">
        <f>IF(AO$4=0,0,IF(COUNTIFS(実績!$W$6:$W$505,AO$3,実績!$AC$6:$AC$505,"&lt;="&amp;$A77,実績!$AD$6:$AD$505,"&gt;"&amp;$A77,実績!$AE$6:$AE$505,"○")&gt;0,1,0))</f>
        <v/>
      </c>
      <c r="AP77">
        <f>IF(AP$4=0,0,IF(COUNTIFS(実績!$W$6:$W$505,AP$3,実績!$AC$6:$AC$505,"&lt;="&amp;$A77,実績!$AD$6:$AD$505,"&gt;"&amp;$A77,実績!$AE$6:$AE$505,"○")&gt;0,1,0))</f>
        <v/>
      </c>
      <c r="AQ77">
        <f>IF(AQ$4=0,0,IF(COUNTIFS(実績!$W$6:$W$505,AQ$3,実績!$AC$6:$AC$505,"&lt;="&amp;$A77,実績!$AD$6:$AD$505,"&gt;"&amp;$A77,実績!$AE$6:$AE$505,"○")&gt;0,1,0))</f>
        <v/>
      </c>
      <c r="AR77">
        <f>IF(AR$4=0,0,IF(COUNTIFS(実績!$W$6:$W$505,AR$3,実績!$AC$6:$AC$505,"&lt;="&amp;$A77,実績!$AD$6:$AD$505,"&gt;"&amp;$A77,実績!$AE$6:$AE$505,"○")&gt;0,1,0))</f>
        <v/>
      </c>
      <c r="AS77">
        <f>IF(AS$4=0,0,IF(COUNTIFS(実績!$W$6:$W$505,AS$3,実績!$AC$6:$AC$505,"&lt;="&amp;$A77,実績!$AD$6:$AD$505,"&gt;"&amp;$A77,実績!$AE$6:$AE$505,"○")&gt;0,1,0))</f>
        <v/>
      </c>
      <c r="AT77">
        <f>IF(AT$4=0,0,IF(COUNTIFS(実績!$W$6:$W$505,AT$3,実績!$AC$6:$AC$505,"&lt;="&amp;$A77,実績!$AD$6:$AD$505,"&gt;"&amp;$A77,実績!$AE$6:$AE$505,"○")&gt;0,1,0))</f>
        <v/>
      </c>
      <c r="AU77">
        <f>IF(AU$4=0,0,IF(COUNTIFS(実績!$W$6:$W$505,AU$3,実績!$AC$6:$AC$505,"&lt;="&amp;$A77,実績!$AD$6:$AD$505,"&gt;"&amp;$A77,実績!$AE$6:$AE$505,"○")&gt;0,1,0))</f>
        <v/>
      </c>
      <c r="AV77">
        <f>IF(AV$4=0,0,IF(COUNTIFS(実績!$W$6:$W$505,AV$3,実績!$AC$6:$AC$505,"&lt;="&amp;$A77,実績!$AD$6:$AD$505,"&gt;"&amp;$A77,実績!$AE$6:$AE$505,"○")&gt;0,1,0))</f>
        <v/>
      </c>
      <c r="AW77">
        <f>IF(AW$4=0,0,IF(COUNTIFS(実績!$W$6:$W$505,AW$3,実績!$AC$6:$AC$505,"&lt;="&amp;$A77,実績!$AD$6:$AD$505,"&gt;"&amp;$A77,実績!$AE$6:$AE$505,"○")&gt;0,1,0))</f>
        <v/>
      </c>
      <c r="AX77">
        <f>IF(AX$4=0,0,IF(COUNTIFS(実績!$W$6:$W$505,AX$3,実績!$AC$6:$AC$505,"&lt;="&amp;$A77,実績!$AD$6:$AD$505,"&gt;"&amp;$A77,実績!$AE$6:$AE$505,"○")&gt;0,1,0))</f>
        <v/>
      </c>
      <c r="AY77">
        <f>IF(AY$4=0,0,IF(COUNTIFS(実績!$W$6:$W$505,AY$3,実績!$AC$6:$AC$505,"&lt;="&amp;$A77,実績!$AD$6:$AD$505,"&gt;"&amp;$A77,実績!$AE$6:$AE$505,"○")&gt;0,1,0))</f>
        <v/>
      </c>
      <c r="AZ77">
        <f>IF(AZ$4=0,0,IF(COUNTIFS(実績!$W$6:$W$505,AZ$3,実績!$AC$6:$AC$505,"&lt;="&amp;$A77,実績!$AD$6:$AD$505,"&gt;"&amp;$A77,実績!$AE$6:$AE$505,"○")&gt;0,1,0))</f>
        <v/>
      </c>
      <c r="BA77">
        <f>IF(BA$4=0,0,IF(COUNTIFS(実績!$W$6:$W$505,BA$3,実績!$AC$6:$AC$505,"&lt;="&amp;$A77,実績!$AD$6:$AD$505,"&gt;"&amp;$A77,実績!$AE$6:$AE$505,"○")&gt;0,1,0))</f>
        <v/>
      </c>
      <c r="BB77">
        <f>IF(BB$4=0,0,IF(COUNTIFS(実績!$W$6:$W$505,BB$3,実績!$AC$6:$AC$505,"&lt;="&amp;$A77,実績!$AD$6:$AD$505,"&gt;"&amp;$A77,実績!$AE$6:$AE$505,"○")&gt;0,1,0))</f>
        <v/>
      </c>
      <c r="BC77">
        <f>IF(BC$4=0,0,IF(COUNTIFS(実績!$W$6:$W$505,BC$3,実績!$AC$6:$AC$505,"&lt;="&amp;$A77,実績!$AD$6:$AD$505,"&gt;"&amp;$A77,実績!$AE$6:$AE$505,"○")&gt;0,1,0))</f>
        <v/>
      </c>
      <c r="BD77">
        <f>IF(BD$4=0,0,IF(COUNTIFS(実績!$W$6:$W$505,BD$3,実績!$AC$6:$AC$505,"&lt;="&amp;$A77,実績!$AD$6:$AD$505,"&gt;"&amp;$A77,実績!$AE$6:$AE$505,"○")&gt;0,1,0))</f>
        <v/>
      </c>
      <c r="BE77">
        <f>IF(BE$4=0,0,IF(COUNTIFS(実績!$W$6:$W$505,BE$3,実績!$AC$6:$AC$505,"&lt;="&amp;$A77,実績!$AD$6:$AD$505,"&gt;"&amp;$A77,実績!$AE$6:$AE$505,"○")&gt;0,1,0))</f>
        <v/>
      </c>
      <c r="BF77">
        <f>IF(BF$4=0,0,IF(COUNTIFS(実績!$W$6:$W$505,BF$3,実績!$AC$6:$AC$505,"&lt;="&amp;$A77,実績!$AD$6:$AD$505,"&gt;"&amp;$A77,実績!$AE$6:$AE$505,"○")&gt;0,1,0))</f>
        <v/>
      </c>
      <c r="BG77">
        <f>IF(BG$4=0,0,IF(COUNTIFS(実績!$W$6:$W$505,BG$3,実績!$AC$6:$AC$505,"&lt;="&amp;$A77,実績!$AD$6:$AD$505,"&gt;"&amp;$A77,実績!$AE$6:$AE$505,"○")&gt;0,1,0))</f>
        <v/>
      </c>
      <c r="BH77">
        <f>IF(BH$4=0,0,IF(COUNTIFS(実績!$W$6:$W$505,BH$3,実績!$AC$6:$AC$505,"&lt;="&amp;$A77,実績!$AD$6:$AD$505,"&gt;"&amp;$A77,実績!$AE$6:$AE$505,"○")&gt;0,1,0))</f>
        <v/>
      </c>
      <c r="BI77">
        <f>IF(BI$4=0,0,IF(COUNTIFS(実績!$W$6:$W$505,BI$3,実績!$AC$6:$AC$505,"&lt;="&amp;$A77,実績!$AD$6:$AD$505,"&gt;"&amp;$A77,実績!$AE$6:$AE$505,"○")&gt;0,1,0))</f>
        <v/>
      </c>
      <c r="BJ77">
        <f>IF(BJ$4=0,0,IF(COUNTIFS(実績!$W$6:$W$505,BJ$3,実績!$AC$6:$AC$505,"&lt;="&amp;$A77,実績!$AD$6:$AD$505,"&gt;"&amp;$A77,実績!$AE$6:$AE$505,"○")&gt;0,1,0))</f>
        <v/>
      </c>
      <c r="BK77">
        <f>IF(BK$4=0,0,IF(COUNTIFS(実績!$W$6:$W$505,BK$3,実績!$AC$6:$AC$505,"&lt;="&amp;$A77,実績!$AD$6:$AD$505,"&gt;"&amp;$A77,実績!$AE$6:$AE$505,"○")&gt;0,1,0))</f>
        <v/>
      </c>
      <c r="BL77">
        <f>IF(BL$4=0,0,IF(COUNTIFS(実績!$W$6:$W$505,BL$3,実績!$AC$6:$AC$505,"&lt;="&amp;$A77,実績!$AD$6:$AD$505,"&gt;"&amp;$A77,実績!$AE$6:$AE$505,"○")&gt;0,1,0))</f>
        <v/>
      </c>
      <c r="BM77">
        <f>IF(BM$4=0,0,IF(COUNTIFS(実績!$W$6:$W$505,BM$3,実績!$AC$6:$AC$505,"&lt;="&amp;$A77,実績!$AD$6:$AD$505,"&gt;"&amp;$A77,実績!$AE$6:$AE$505,"○")&gt;0,1,0))</f>
        <v/>
      </c>
      <c r="BN77">
        <f>IF(BN$4=0,0,IF(COUNTIFS(実績!$W$6:$W$505,BN$3,実績!$AC$6:$AC$505,"&lt;="&amp;$A77,実績!$AD$6:$AD$505,"&gt;"&amp;$A77,実績!$AE$6:$AE$505,"○")&gt;0,1,0))</f>
        <v/>
      </c>
      <c r="BO77">
        <f>IF(BO$4=0,0,IF(COUNTIFS(実績!$W$6:$W$505,BO$3,実績!$AC$6:$AC$505,"&lt;="&amp;$A77,実績!$AD$6:$AD$505,"&gt;"&amp;$A77,実績!$AE$6:$AE$505,"○")&gt;0,1,0))</f>
        <v/>
      </c>
      <c r="BP77">
        <f>IF(BP$4=0,0,IF(COUNTIFS(実績!$W$6:$W$505,BP$3,実績!$AC$6:$AC$505,"&lt;="&amp;$A77,実績!$AD$6:$AD$505,"&gt;"&amp;$A77,実績!$AE$6:$AE$505,"○")&gt;0,1,0))</f>
        <v/>
      </c>
      <c r="BQ77">
        <f>IF(BQ$4=0,0,IF(COUNTIFS(実績!$W$6:$W$505,BQ$3,実績!$AC$6:$AC$505,"&lt;="&amp;$A77,実績!$AD$6:$AD$505,"&gt;"&amp;$A77,実績!$AE$6:$AE$505,"○")&gt;0,1,0))</f>
        <v/>
      </c>
      <c r="BR77">
        <f>IF(BR$4=0,0,IF(COUNTIFS(実績!$W$6:$W$505,BR$3,実績!$AC$6:$AC$505,"&lt;="&amp;$A77,実績!$AD$6:$AD$505,"&gt;"&amp;$A77,実績!$AE$6:$AE$505,"○")&gt;0,1,0))</f>
        <v/>
      </c>
      <c r="BS77">
        <f>IF(BS$4=0,0,IF(COUNTIFS(実績!$W$6:$W$505,BS$3,実績!$AC$6:$AC$505,"&lt;="&amp;$A77,実績!$AD$6:$AD$505,"&gt;"&amp;$A77,実績!$AE$6:$AE$505,"○")&gt;0,1,0))</f>
        <v/>
      </c>
      <c r="BT77">
        <f>IF(BT$4=0,0,IF(COUNTIFS(実績!$W$6:$W$505,BT$3,実績!$AC$6:$AC$505,"&lt;="&amp;$A77,実績!$AD$6:$AD$505,"&gt;"&amp;$A77,実績!$AE$6:$AE$505,"○")&gt;0,1,0))</f>
        <v/>
      </c>
      <c r="BU77">
        <f>IF(BU$4=0,0,IF(COUNTIFS(実績!$W$6:$W$505,BU$3,実績!$AC$6:$AC$505,"&lt;="&amp;$A77,実績!$AD$6:$AD$505,"&gt;"&amp;$A77,実績!$AE$6:$AE$505,"○")&gt;0,1,0))</f>
        <v/>
      </c>
      <c r="BV77">
        <f>IF(BV$4=0,0,IF(COUNTIFS(実績!$W$6:$W$505,BV$3,実績!$AC$6:$AC$505,"&lt;="&amp;$A77,実績!$AD$6:$AD$505,"&gt;"&amp;$A77,実績!$AE$6:$AE$505,"○")&gt;0,1,0))</f>
        <v/>
      </c>
      <c r="BW77">
        <f>IF(BW$4=0,0,IF(COUNTIFS(実績!$W$6:$W$505,BW$3,実績!$AC$6:$AC$505,"&lt;="&amp;$A77,実績!$AD$6:$AD$505,"&gt;"&amp;$A77,実績!$AE$6:$AE$505,"○")&gt;0,1,0))</f>
        <v/>
      </c>
      <c r="BX77">
        <f>IF(BX$4=0,0,IF(COUNTIFS(実績!$W$6:$W$505,BX$3,実績!$AC$6:$AC$505,"&lt;="&amp;$A77,実績!$AD$6:$AD$505,"&gt;"&amp;$A77,実績!$AE$6:$AE$505,"○")&gt;0,1,0))</f>
        <v/>
      </c>
      <c r="BY77">
        <f>IF(BY$4=0,0,IF(COUNTIFS(実績!$W$6:$W$505,BY$3,実績!$AC$6:$AC$505,"&lt;="&amp;$A77,実績!$AD$6:$AD$505,"&gt;"&amp;$A77,実績!$AE$6:$AE$505,"○")&gt;0,1,0))</f>
        <v/>
      </c>
      <c r="BZ77">
        <f>IF(BZ$4=0,0,IF(COUNTIFS(実績!$W$6:$W$505,BZ$3,実績!$AC$6:$AC$505,"&lt;="&amp;$A77,実績!$AD$6:$AD$505,"&gt;"&amp;$A77,実績!$AE$6:$AE$505,"○")&gt;0,1,0))</f>
        <v/>
      </c>
      <c r="CA77">
        <f>IF(CA$4=0,0,IF(COUNTIFS(実績!$W$6:$W$505,CA$3,実績!$AC$6:$AC$505,"&lt;="&amp;$A77,実績!$AD$6:$AD$505,"&gt;"&amp;$A77,実績!$AE$6:$AE$505,"○")&gt;0,1,0))</f>
        <v/>
      </c>
      <c r="CB77">
        <f>IF(CB$4=0,0,IF(COUNTIFS(実績!$W$6:$W$505,CB$3,実績!$AC$6:$AC$505,"&lt;="&amp;$A77,実績!$AD$6:$AD$505,"&gt;"&amp;$A77,実績!$AE$6:$AE$505,"○")&gt;0,1,0))</f>
        <v/>
      </c>
      <c r="CC77">
        <f>IF(CC$4=0,0,IF(COUNTIFS(実績!$W$6:$W$505,CC$3,実績!$AC$6:$AC$505,"&lt;="&amp;$A77,実績!$AD$6:$AD$505,"&gt;"&amp;$A77,実績!$AE$6:$AE$505,"○")&gt;0,1,0))</f>
        <v/>
      </c>
      <c r="CD77">
        <f>IF(CD$4=0,0,IF(COUNTIFS(実績!$W$6:$W$505,CD$3,実績!$AC$6:$AC$505,"&lt;="&amp;$A77,実績!$AD$6:$AD$505,"&gt;"&amp;$A77,実績!$AE$6:$AE$505,"○")&gt;0,1,0))</f>
        <v/>
      </c>
      <c r="CE77">
        <f>IF(CE$4=0,0,IF(COUNTIFS(実績!$W$6:$W$505,CE$3,実績!$AC$6:$AC$505,"&lt;="&amp;$A77,実績!$AD$6:$AD$505,"&gt;"&amp;$A77,実績!$AE$6:$AE$505,"○")&gt;0,1,0))</f>
        <v/>
      </c>
      <c r="CF77">
        <f>IF(CF$4=0,0,IF(COUNTIFS(実績!$W$6:$W$505,CF$3,実績!$AC$6:$AC$505,"&lt;="&amp;$A77,実績!$AD$6:$AD$505,"&gt;"&amp;$A77,実績!$AE$6:$AE$505,"○")&gt;0,1,0))</f>
        <v/>
      </c>
      <c r="CG77">
        <f>IF(CG$4=0,0,IF(COUNTIFS(実績!$W$6:$W$505,CG$3,実績!$AC$6:$AC$505,"&lt;="&amp;$A77,実績!$AD$6:$AD$505,"&gt;"&amp;$A77,実績!$AE$6:$AE$505,"○")&gt;0,1,0))</f>
        <v/>
      </c>
      <c r="CH77">
        <f>IF(CH$4=0,0,IF(COUNTIFS(実績!$W$6:$W$505,CH$3,実績!$AC$6:$AC$505,"&lt;="&amp;$A77,実績!$AD$6:$AD$505,"&gt;"&amp;$A77,実績!$AE$6:$AE$505,"○")&gt;0,1,0))</f>
        <v/>
      </c>
      <c r="CI77">
        <f>IF(CI$4=0,0,IF(COUNTIFS(実績!$W$6:$W$505,CI$3,実績!$AC$6:$AC$505,"&lt;="&amp;$A77,実績!$AD$6:$AD$505,"&gt;"&amp;$A77,実績!$AE$6:$AE$505,"○")&gt;0,1,0))</f>
        <v/>
      </c>
      <c r="CJ77">
        <f>IF(CJ$4=0,0,IF(COUNTIFS(実績!$W$6:$W$505,CJ$3,実績!$AC$6:$AC$505,"&lt;="&amp;$A77,実績!$AD$6:$AD$505,"&gt;"&amp;$A77,実績!$AE$6:$AE$505,"○")&gt;0,1,0))</f>
        <v/>
      </c>
      <c r="CK77">
        <f>IF(CK$4=0,0,IF(COUNTIFS(実績!$W$6:$W$505,CK$3,実績!$AC$6:$AC$505,"&lt;="&amp;$A77,実績!$AD$6:$AD$505,"&gt;"&amp;$A77,実績!$AE$6:$AE$505,"○")&gt;0,1,0))</f>
        <v/>
      </c>
      <c r="CL77">
        <f>IF(CL$4=0,0,IF(COUNTIFS(実績!$W$6:$W$505,CL$3,実績!$AC$6:$AC$505,"&lt;="&amp;$A77,実績!$AD$6:$AD$505,"&gt;"&amp;$A77,実績!$AE$6:$AE$505,"○")&gt;0,1,0))</f>
        <v/>
      </c>
      <c r="CM77">
        <f>IF(CM$4=0,0,IF(COUNTIFS(実績!$W$6:$W$505,CM$3,実績!$AC$6:$AC$505,"&lt;="&amp;$A77,実績!$AD$6:$AD$505,"&gt;"&amp;$A77,実績!$AE$6:$AE$505,"○")&gt;0,1,0))</f>
        <v/>
      </c>
      <c r="CN77">
        <f>IF(CN$4=0,0,IF(COUNTIFS(実績!$W$6:$W$505,CN$3,実績!$AC$6:$AC$505,"&lt;="&amp;$A77,実績!$AD$6:$AD$505,"&gt;"&amp;$A77,実績!$AE$6:$AE$505,"○")&gt;0,1,0))</f>
        <v/>
      </c>
      <c r="CO77">
        <f>IF(CO$4=0,0,IF(COUNTIFS(実績!$W$6:$W$505,CO$3,実績!$AC$6:$AC$505,"&lt;="&amp;$A77,実績!$AD$6:$AD$505,"&gt;"&amp;$A77,実績!$AE$6:$AE$505,"○")&gt;0,1,0))</f>
        <v/>
      </c>
      <c r="CP77">
        <f>IF(CP$4=0,0,IF(COUNTIFS(実績!$W$6:$W$505,CP$3,実績!$AC$6:$AC$505,"&lt;="&amp;$A77,実績!$AD$6:$AD$505,"&gt;"&amp;$A77,実績!$AE$6:$AE$505,"○")&gt;0,1,0))</f>
        <v/>
      </c>
      <c r="CQ77">
        <f>IF(CQ$4=0,0,IF(COUNTIFS(実績!$W$6:$W$505,CQ$3,実績!$AC$6:$AC$505,"&lt;="&amp;$A77,実績!$AD$6:$AD$505,"&gt;"&amp;$A77,実績!$AE$6:$AE$505,"○")&gt;0,1,0))</f>
        <v/>
      </c>
      <c r="CR77">
        <f>IF(CR$4=0,0,IF(COUNTIFS(実績!$W$6:$W$505,CR$3,実績!$AC$6:$AC$505,"&lt;="&amp;$A77,実績!$AD$6:$AD$505,"&gt;"&amp;$A77,実績!$AE$6:$AE$505,"○")&gt;0,1,0))</f>
        <v/>
      </c>
      <c r="CS77">
        <f>IF(CS$4=0,0,IF(COUNTIFS(実績!$W$6:$W$505,CS$3,実績!$AC$6:$AC$505,"&lt;="&amp;$A77,実績!$AD$6:$AD$505,"&gt;"&amp;$A77,実績!$AE$6:$AE$505,"○")&gt;0,1,0))</f>
        <v/>
      </c>
      <c r="CT77">
        <f>IF(CT$4=0,0,IF(COUNTIFS(実績!$W$6:$W$505,CT$3,実績!$AC$6:$AC$505,"&lt;="&amp;$A77,実績!$AD$6:$AD$505,"&gt;"&amp;$A77,実績!$AE$6:$AE$505,"○")&gt;0,1,0))</f>
        <v/>
      </c>
      <c r="CU77">
        <f>IF(CU$4=0,0,IF(COUNTIFS(実績!$W$6:$W$505,CU$3,実績!$AC$6:$AC$505,"&lt;="&amp;$A77,実績!$AD$6:$AD$505,"&gt;"&amp;$A77,実績!$AE$6:$AE$505,"○")&gt;0,1,0))</f>
        <v/>
      </c>
      <c r="CV77">
        <f>IF(CV$4=0,0,IF(COUNTIFS(実績!$W$6:$W$505,CV$3,実績!$AC$6:$AC$505,"&lt;="&amp;$A77,実績!$AD$6:$AD$505,"&gt;"&amp;$A77,実績!$AE$6:$AE$505,"○")&gt;0,1,0))</f>
        <v/>
      </c>
      <c r="CW77">
        <f>IF(CW$4=0,0,IF(COUNTIFS(実績!$W$6:$W$505,CW$3,実績!$AC$6:$AC$505,"&lt;="&amp;$A77,実績!$AD$6:$AD$505,"&gt;"&amp;$A77,実績!$AE$6:$AE$505,"○")&gt;0,1,0))</f>
        <v/>
      </c>
      <c r="CX77">
        <f>IF(CX$4=0,0,IF(COUNTIFS(実績!$W$6:$W$505,CX$3,実績!$AC$6:$AC$505,"&lt;="&amp;$A77,実績!$AD$6:$AD$505,"&gt;"&amp;$A77,実績!$AE$6:$AE$505,"○")&gt;0,1,0))</f>
        <v/>
      </c>
      <c r="CY77">
        <f>IF(CY$4=0,0,IF(COUNTIFS(実績!$W$6:$W$505,CY$3,実績!$AC$6:$AC$505,"&lt;="&amp;$A77,実績!$AD$6:$AD$505,"&gt;"&amp;$A77,実績!$AE$6:$AE$505,"○")&gt;0,1,0))</f>
        <v/>
      </c>
      <c r="CZ77">
        <f>IF(CZ$4=0,0,IF(COUNTIFS(実績!$W$6:$W$505,CZ$3,実績!$AC$6:$AC$505,"&lt;="&amp;$A77,実績!$AD$6:$AD$505,"&gt;"&amp;$A77,実績!$AE$6:$AE$505,"○")&gt;0,1,0))</f>
        <v/>
      </c>
      <c r="DA77">
        <f>IF(DA$4=0,0,IF(COUNTIFS(実績!$W$6:$W$505,DA$3,実績!$AC$6:$AC$505,"&lt;="&amp;$A77,実績!$AD$6:$AD$505,"&gt;"&amp;$A77,実績!$AE$6:$AE$505,"○")&gt;0,1,0))</f>
        <v/>
      </c>
      <c r="DB77">
        <f>IF(DB$4=0,0,IF(COUNTIFS(実績!$W$6:$W$505,DB$3,実績!$AC$6:$AC$505,"&lt;="&amp;$A77,実績!$AD$6:$AD$505,"&gt;"&amp;$A77,実績!$AE$6:$AE$505,"○")&gt;0,1,0))</f>
        <v/>
      </c>
      <c r="DC77">
        <f>IF(DC$4=0,0,IF(COUNTIFS(実績!$W$6:$W$505,DC$3,実績!$AC$6:$AC$505,"&lt;="&amp;$A77,実績!$AD$6:$AD$505,"&gt;"&amp;$A77,実績!$AE$6:$AE$505,"○")&gt;0,1,0))</f>
        <v/>
      </c>
      <c r="DD77">
        <f>IF(DD$4=0,0,IF(COUNTIFS(実績!$W$6:$W$505,DD$3,実績!$AC$6:$AC$505,"&lt;="&amp;$A77,実績!$AD$6:$AD$505,"&gt;"&amp;$A77,実績!$AE$6:$AE$505,"○")&gt;0,1,0))</f>
        <v/>
      </c>
      <c r="DE77">
        <f>IF(DE$4=0,0,IF(COUNTIFS(実績!$W$6:$W$505,DE$3,実績!$AC$6:$AC$505,"&lt;="&amp;$A77,実績!$AD$6:$AD$505,"&gt;"&amp;$A77,実績!$AE$6:$AE$505,"○")&gt;0,1,0))</f>
        <v/>
      </c>
      <c r="DF77">
        <f>IF(DF$4=0,0,IF(COUNTIFS(実績!$W$6:$W$505,DF$3,実績!$AC$6:$AC$505,"&lt;="&amp;$A77,実績!$AD$6:$AD$505,"&gt;"&amp;$A77,実績!$AE$6:$AE$505,"○")&gt;0,1,0))</f>
        <v/>
      </c>
      <c r="DG77">
        <f>IF(DG$4=0,0,IF(COUNTIFS(実績!$W$6:$W$505,DG$3,実績!$AC$6:$AC$505,"&lt;="&amp;$A77,実績!$AD$6:$AD$505,"&gt;"&amp;$A77,実績!$AE$6:$AE$505,"○")&gt;0,1,0))</f>
        <v/>
      </c>
      <c r="DH77">
        <f>IF(DH$4=0,0,IF(COUNTIFS(実績!$W$6:$W$505,DH$3,実績!$AC$6:$AC$505,"&lt;="&amp;$A77,実績!$AD$6:$AD$505,"&gt;"&amp;$A77,実績!$AE$6:$AE$505,"○")&gt;0,1,0))</f>
        <v/>
      </c>
      <c r="DI77">
        <f>IF(DI$4=0,0,IF(COUNTIFS(実績!$W$6:$W$505,DI$3,実績!$AC$6:$AC$505,"&lt;="&amp;$A77,実績!$AD$6:$AD$505,"&gt;"&amp;$A77,実績!$AE$6:$AE$505,"○")&gt;0,1,0))</f>
        <v/>
      </c>
      <c r="DJ77">
        <f>IF(DJ$4=0,0,IF(COUNTIFS(実績!$W$6:$W$505,DJ$3,実績!$AC$6:$AC$505,"&lt;="&amp;$A77,実績!$AD$6:$AD$505,"&gt;"&amp;$A77,実績!$AE$6:$AE$505,"○")&gt;0,1,0))</f>
        <v/>
      </c>
      <c r="DK77">
        <f>IF(DK$4=0,0,IF(COUNTIFS(実績!$W$6:$W$505,DK$3,実績!$AC$6:$AC$505,"&lt;="&amp;$A77,実績!$AD$6:$AD$505,"&gt;"&amp;$A77,実績!$AE$6:$AE$505,"○")&gt;0,1,0))</f>
        <v/>
      </c>
      <c r="DL77">
        <f>IF(DL$4=0,0,IF(COUNTIFS(実績!$W$6:$W$505,DL$3,実績!$AC$6:$AC$505,"&lt;="&amp;$A77,実績!$AD$6:$AD$505,"&gt;"&amp;$A77,実績!$AE$6:$AE$505,"○")&gt;0,1,0))</f>
        <v/>
      </c>
      <c r="DM77">
        <f>IF(DM$4=0,0,IF(COUNTIFS(実績!$W$6:$W$505,DM$3,実績!$AC$6:$AC$505,"&lt;="&amp;$A77,実績!$AD$6:$AD$505,"&gt;"&amp;$A77,実績!$AE$6:$AE$505,"○")&gt;0,1,0))</f>
        <v/>
      </c>
      <c r="DN77">
        <f>IF(DN$4=0,0,IF(COUNTIFS(実績!$W$6:$W$505,DN$3,実績!$AC$6:$AC$505,"&lt;="&amp;$A77,実績!$AD$6:$AD$505,"&gt;"&amp;$A77,実績!$AE$6:$AE$505,"○")&gt;0,1,0))</f>
        <v/>
      </c>
      <c r="DO77">
        <f>IF(DO$4=0,0,IF(COUNTIFS(実績!$W$6:$W$505,DO$3,実績!$AC$6:$AC$505,"&lt;="&amp;$A77,実績!$AD$6:$AD$505,"&gt;"&amp;$A77,実績!$AE$6:$AE$505,"○")&gt;0,1,0))</f>
        <v/>
      </c>
      <c r="DP77">
        <f>IF(DP$4=0,0,IF(COUNTIFS(実績!$W$6:$W$505,DP$3,実績!$AC$6:$AC$505,"&lt;="&amp;$A77,実績!$AD$6:$AD$505,"&gt;"&amp;$A77,実績!$AE$6:$AE$505,"○")&gt;0,1,0))</f>
        <v/>
      </c>
      <c r="DQ77">
        <f>IF(DQ$4=0,0,IF(COUNTIFS(実績!$W$6:$W$505,DQ$3,実績!$AC$6:$AC$505,"&lt;="&amp;$A77,実績!$AD$6:$AD$505,"&gt;"&amp;$A77,実績!$AE$6:$AE$505,"○")&gt;0,1,0))</f>
        <v/>
      </c>
      <c r="DR77">
        <f>IF(DR$4=0,0,IF(COUNTIFS(実績!$W$6:$W$505,DR$3,実績!$AC$6:$AC$505,"&lt;="&amp;$A77,実績!$AD$6:$AD$505,"&gt;"&amp;$A77,実績!$AE$6:$AE$505,"○")&gt;0,1,0))</f>
        <v/>
      </c>
      <c r="DS77">
        <f>SUM(C77:DR77)</f>
        <v/>
      </c>
      <c r="DT77">
        <f>SUMPRODUCT((実績!$C$6:$C$505="○")*ISNUMBER(実績!$AF$6:$AF$505)*(実績!$AF$6:$AF$505&lt;=$A77)*(実績!$AG$6:$AG$505&gt;$A77))</f>
        <v/>
      </c>
      <c r="DU77">
        <f>SUMIF($C$2:$DR$2,"製鉄曳船",C77:DR77)</f>
        <v/>
      </c>
      <c r="DV77">
        <f>SUMIF($C$2:$DR$2,"西日本海運",C77:DR77)</f>
        <v/>
      </c>
    </row>
    <row r="78">
      <c r="A78" t="n">
        <v>360</v>
      </c>
      <c r="B78" s="29">
        <f>A78/1440</f>
        <v/>
      </c>
      <c r="C78">
        <f>IF(C$4=0,0,IF(COUNTIFS(実績!$W$6:$W$505,C$3,実績!$AC$6:$AC$505,"&lt;="&amp;$A78,実績!$AD$6:$AD$505,"&gt;"&amp;$A78,実績!$AE$6:$AE$505,"○")&gt;0,1,0))</f>
        <v/>
      </c>
      <c r="D78">
        <f>IF(D$4=0,0,IF(COUNTIFS(実績!$W$6:$W$505,D$3,実績!$AC$6:$AC$505,"&lt;="&amp;$A78,実績!$AD$6:$AD$505,"&gt;"&amp;$A78,実績!$AE$6:$AE$505,"○")&gt;0,1,0))</f>
        <v/>
      </c>
      <c r="E78">
        <f>IF(E$4=0,0,IF(COUNTIFS(実績!$W$6:$W$505,E$3,実績!$AC$6:$AC$505,"&lt;="&amp;$A78,実績!$AD$6:$AD$505,"&gt;"&amp;$A78,実績!$AE$6:$AE$505,"○")&gt;0,1,0))</f>
        <v/>
      </c>
      <c r="F78">
        <f>IF(F$4=0,0,IF(COUNTIFS(実績!$W$6:$W$505,F$3,実績!$AC$6:$AC$505,"&lt;="&amp;$A78,実績!$AD$6:$AD$505,"&gt;"&amp;$A78,実績!$AE$6:$AE$505,"○")&gt;0,1,0))</f>
        <v/>
      </c>
      <c r="G78">
        <f>IF(G$4=0,0,IF(COUNTIFS(実績!$W$6:$W$505,G$3,実績!$AC$6:$AC$505,"&lt;="&amp;$A78,実績!$AD$6:$AD$505,"&gt;"&amp;$A78,実績!$AE$6:$AE$505,"○")&gt;0,1,0))</f>
        <v/>
      </c>
      <c r="H78">
        <f>IF(H$4=0,0,IF(COUNTIFS(実績!$W$6:$W$505,H$3,実績!$AC$6:$AC$505,"&lt;="&amp;$A78,実績!$AD$6:$AD$505,"&gt;"&amp;$A78,実績!$AE$6:$AE$505,"○")&gt;0,1,0))</f>
        <v/>
      </c>
      <c r="I78">
        <f>IF(I$4=0,0,IF(COUNTIFS(実績!$W$6:$W$505,I$3,実績!$AC$6:$AC$505,"&lt;="&amp;$A78,実績!$AD$6:$AD$505,"&gt;"&amp;$A78,実績!$AE$6:$AE$505,"○")&gt;0,1,0))</f>
        <v/>
      </c>
      <c r="J78">
        <f>IF(J$4=0,0,IF(COUNTIFS(実績!$W$6:$W$505,J$3,実績!$AC$6:$AC$505,"&lt;="&amp;$A78,実績!$AD$6:$AD$505,"&gt;"&amp;$A78,実績!$AE$6:$AE$505,"○")&gt;0,1,0))</f>
        <v/>
      </c>
      <c r="K78">
        <f>IF(K$4=0,0,IF(COUNTIFS(実績!$W$6:$W$505,K$3,実績!$AC$6:$AC$505,"&lt;="&amp;$A78,実績!$AD$6:$AD$505,"&gt;"&amp;$A78,実績!$AE$6:$AE$505,"○")&gt;0,1,0))</f>
        <v/>
      </c>
      <c r="L78">
        <f>IF(L$4=0,0,IF(COUNTIFS(実績!$W$6:$W$505,L$3,実績!$AC$6:$AC$505,"&lt;="&amp;$A78,実績!$AD$6:$AD$505,"&gt;"&amp;$A78,実績!$AE$6:$AE$505,"○")&gt;0,1,0))</f>
        <v/>
      </c>
      <c r="M78">
        <f>IF(M$4=0,0,IF(COUNTIFS(実績!$W$6:$W$505,M$3,実績!$AC$6:$AC$505,"&lt;="&amp;$A78,実績!$AD$6:$AD$505,"&gt;"&amp;$A78,実績!$AE$6:$AE$505,"○")&gt;0,1,0))</f>
        <v/>
      </c>
      <c r="N78">
        <f>IF(N$4=0,0,IF(COUNTIFS(実績!$W$6:$W$505,N$3,実績!$AC$6:$AC$505,"&lt;="&amp;$A78,実績!$AD$6:$AD$505,"&gt;"&amp;$A78,実績!$AE$6:$AE$505,"○")&gt;0,1,0))</f>
        <v/>
      </c>
      <c r="O78">
        <f>IF(O$4=0,0,IF(COUNTIFS(実績!$W$6:$W$505,O$3,実績!$AC$6:$AC$505,"&lt;="&amp;$A78,実績!$AD$6:$AD$505,"&gt;"&amp;$A78,実績!$AE$6:$AE$505,"○")&gt;0,1,0))</f>
        <v/>
      </c>
      <c r="P78">
        <f>IF(P$4=0,0,IF(COUNTIFS(実績!$W$6:$W$505,P$3,実績!$AC$6:$AC$505,"&lt;="&amp;$A78,実績!$AD$6:$AD$505,"&gt;"&amp;$A78,実績!$AE$6:$AE$505,"○")&gt;0,1,0))</f>
        <v/>
      </c>
      <c r="Q78">
        <f>IF(Q$4=0,0,IF(COUNTIFS(実績!$W$6:$W$505,Q$3,実績!$AC$6:$AC$505,"&lt;="&amp;$A78,実績!$AD$6:$AD$505,"&gt;"&amp;$A78,実績!$AE$6:$AE$505,"○")&gt;0,1,0))</f>
        <v/>
      </c>
      <c r="R78">
        <f>IF(R$4=0,0,IF(COUNTIFS(実績!$W$6:$W$505,R$3,実績!$AC$6:$AC$505,"&lt;="&amp;$A78,実績!$AD$6:$AD$505,"&gt;"&amp;$A78,実績!$AE$6:$AE$505,"○")&gt;0,1,0))</f>
        <v/>
      </c>
      <c r="S78">
        <f>IF(S$4=0,0,IF(COUNTIFS(実績!$W$6:$W$505,S$3,実績!$AC$6:$AC$505,"&lt;="&amp;$A78,実績!$AD$6:$AD$505,"&gt;"&amp;$A78,実績!$AE$6:$AE$505,"○")&gt;0,1,0))</f>
        <v/>
      </c>
      <c r="T78">
        <f>IF(T$4=0,0,IF(COUNTIFS(実績!$W$6:$W$505,T$3,実績!$AC$6:$AC$505,"&lt;="&amp;$A78,実績!$AD$6:$AD$505,"&gt;"&amp;$A78,実績!$AE$6:$AE$505,"○")&gt;0,1,0))</f>
        <v/>
      </c>
      <c r="U78">
        <f>IF(U$4=0,0,IF(COUNTIFS(実績!$W$6:$W$505,U$3,実績!$AC$6:$AC$505,"&lt;="&amp;$A78,実績!$AD$6:$AD$505,"&gt;"&amp;$A78,実績!$AE$6:$AE$505,"○")&gt;0,1,0))</f>
        <v/>
      </c>
      <c r="V78">
        <f>IF(V$4=0,0,IF(COUNTIFS(実績!$W$6:$W$505,V$3,実績!$AC$6:$AC$505,"&lt;="&amp;$A78,実績!$AD$6:$AD$505,"&gt;"&amp;$A78,実績!$AE$6:$AE$505,"○")&gt;0,1,0))</f>
        <v/>
      </c>
      <c r="W78">
        <f>IF(W$4=0,0,IF(COUNTIFS(実績!$W$6:$W$505,W$3,実績!$AC$6:$AC$505,"&lt;="&amp;$A78,実績!$AD$6:$AD$505,"&gt;"&amp;$A78,実績!$AE$6:$AE$505,"○")&gt;0,1,0))</f>
        <v/>
      </c>
      <c r="X78">
        <f>IF(X$4=0,0,IF(COUNTIFS(実績!$W$6:$W$505,X$3,実績!$AC$6:$AC$505,"&lt;="&amp;$A78,実績!$AD$6:$AD$505,"&gt;"&amp;$A78,実績!$AE$6:$AE$505,"○")&gt;0,1,0))</f>
        <v/>
      </c>
      <c r="Y78">
        <f>IF(Y$4=0,0,IF(COUNTIFS(実績!$W$6:$W$505,Y$3,実績!$AC$6:$AC$505,"&lt;="&amp;$A78,実績!$AD$6:$AD$505,"&gt;"&amp;$A78,実績!$AE$6:$AE$505,"○")&gt;0,1,0))</f>
        <v/>
      </c>
      <c r="Z78">
        <f>IF(Z$4=0,0,IF(COUNTIFS(実績!$W$6:$W$505,Z$3,実績!$AC$6:$AC$505,"&lt;="&amp;$A78,実績!$AD$6:$AD$505,"&gt;"&amp;$A78,実績!$AE$6:$AE$505,"○")&gt;0,1,0))</f>
        <v/>
      </c>
      <c r="AA78">
        <f>IF(AA$4=0,0,IF(COUNTIFS(実績!$W$6:$W$505,AA$3,実績!$AC$6:$AC$505,"&lt;="&amp;$A78,実績!$AD$6:$AD$505,"&gt;"&amp;$A78,実績!$AE$6:$AE$505,"○")&gt;0,1,0))</f>
        <v/>
      </c>
      <c r="AB78">
        <f>IF(AB$4=0,0,IF(COUNTIFS(実績!$W$6:$W$505,AB$3,実績!$AC$6:$AC$505,"&lt;="&amp;$A78,実績!$AD$6:$AD$505,"&gt;"&amp;$A78,実績!$AE$6:$AE$505,"○")&gt;0,1,0))</f>
        <v/>
      </c>
      <c r="AC78">
        <f>IF(AC$4=0,0,IF(COUNTIFS(実績!$W$6:$W$505,AC$3,実績!$AC$6:$AC$505,"&lt;="&amp;$A78,実績!$AD$6:$AD$505,"&gt;"&amp;$A78,実績!$AE$6:$AE$505,"○")&gt;0,1,0))</f>
        <v/>
      </c>
      <c r="AD78">
        <f>IF(AD$4=0,0,IF(COUNTIFS(実績!$W$6:$W$505,AD$3,実績!$AC$6:$AC$505,"&lt;="&amp;$A78,実績!$AD$6:$AD$505,"&gt;"&amp;$A78,実績!$AE$6:$AE$505,"○")&gt;0,1,0))</f>
        <v/>
      </c>
      <c r="AE78">
        <f>IF(AE$4=0,0,IF(COUNTIFS(実績!$W$6:$W$505,AE$3,実績!$AC$6:$AC$505,"&lt;="&amp;$A78,実績!$AD$6:$AD$505,"&gt;"&amp;$A78,実績!$AE$6:$AE$505,"○")&gt;0,1,0))</f>
        <v/>
      </c>
      <c r="AF78">
        <f>IF(AF$4=0,0,IF(COUNTIFS(実績!$W$6:$W$505,AF$3,実績!$AC$6:$AC$505,"&lt;="&amp;$A78,実績!$AD$6:$AD$505,"&gt;"&amp;$A78,実績!$AE$6:$AE$505,"○")&gt;0,1,0))</f>
        <v/>
      </c>
      <c r="AG78">
        <f>IF(AG$4=0,0,IF(COUNTIFS(実績!$W$6:$W$505,AG$3,実績!$AC$6:$AC$505,"&lt;="&amp;$A78,実績!$AD$6:$AD$505,"&gt;"&amp;$A78,実績!$AE$6:$AE$505,"○")&gt;0,1,0))</f>
        <v/>
      </c>
      <c r="AH78">
        <f>IF(AH$4=0,0,IF(COUNTIFS(実績!$W$6:$W$505,AH$3,実績!$AC$6:$AC$505,"&lt;="&amp;$A78,実績!$AD$6:$AD$505,"&gt;"&amp;$A78,実績!$AE$6:$AE$505,"○")&gt;0,1,0))</f>
        <v/>
      </c>
      <c r="AI78">
        <f>IF(AI$4=0,0,IF(COUNTIFS(実績!$W$6:$W$505,AI$3,実績!$AC$6:$AC$505,"&lt;="&amp;$A78,実績!$AD$6:$AD$505,"&gt;"&amp;$A78,実績!$AE$6:$AE$505,"○")&gt;0,1,0))</f>
        <v/>
      </c>
      <c r="AJ78">
        <f>IF(AJ$4=0,0,IF(COUNTIFS(実績!$W$6:$W$505,AJ$3,実績!$AC$6:$AC$505,"&lt;="&amp;$A78,実績!$AD$6:$AD$505,"&gt;"&amp;$A78,実績!$AE$6:$AE$505,"○")&gt;0,1,0))</f>
        <v/>
      </c>
      <c r="AK78">
        <f>IF(AK$4=0,0,IF(COUNTIFS(実績!$W$6:$W$505,AK$3,実績!$AC$6:$AC$505,"&lt;="&amp;$A78,実績!$AD$6:$AD$505,"&gt;"&amp;$A78,実績!$AE$6:$AE$505,"○")&gt;0,1,0))</f>
        <v/>
      </c>
      <c r="AL78">
        <f>IF(AL$4=0,0,IF(COUNTIFS(実績!$W$6:$W$505,AL$3,実績!$AC$6:$AC$505,"&lt;="&amp;$A78,実績!$AD$6:$AD$505,"&gt;"&amp;$A78,実績!$AE$6:$AE$505,"○")&gt;0,1,0))</f>
        <v/>
      </c>
      <c r="AM78">
        <f>IF(AM$4=0,0,IF(COUNTIFS(実績!$W$6:$W$505,AM$3,実績!$AC$6:$AC$505,"&lt;="&amp;$A78,実績!$AD$6:$AD$505,"&gt;"&amp;$A78,実績!$AE$6:$AE$505,"○")&gt;0,1,0))</f>
        <v/>
      </c>
      <c r="AN78">
        <f>IF(AN$4=0,0,IF(COUNTIFS(実績!$W$6:$W$505,AN$3,実績!$AC$6:$AC$505,"&lt;="&amp;$A78,実績!$AD$6:$AD$505,"&gt;"&amp;$A78,実績!$AE$6:$AE$505,"○")&gt;0,1,0))</f>
        <v/>
      </c>
      <c r="AO78">
        <f>IF(AO$4=0,0,IF(COUNTIFS(実績!$W$6:$W$505,AO$3,実績!$AC$6:$AC$505,"&lt;="&amp;$A78,実績!$AD$6:$AD$505,"&gt;"&amp;$A78,実績!$AE$6:$AE$505,"○")&gt;0,1,0))</f>
        <v/>
      </c>
      <c r="AP78">
        <f>IF(AP$4=0,0,IF(COUNTIFS(実績!$W$6:$W$505,AP$3,実績!$AC$6:$AC$505,"&lt;="&amp;$A78,実績!$AD$6:$AD$505,"&gt;"&amp;$A78,実績!$AE$6:$AE$505,"○")&gt;0,1,0))</f>
        <v/>
      </c>
      <c r="AQ78">
        <f>IF(AQ$4=0,0,IF(COUNTIFS(実績!$W$6:$W$505,AQ$3,実績!$AC$6:$AC$505,"&lt;="&amp;$A78,実績!$AD$6:$AD$505,"&gt;"&amp;$A78,実績!$AE$6:$AE$505,"○")&gt;0,1,0))</f>
        <v/>
      </c>
      <c r="AR78">
        <f>IF(AR$4=0,0,IF(COUNTIFS(実績!$W$6:$W$505,AR$3,実績!$AC$6:$AC$505,"&lt;="&amp;$A78,実績!$AD$6:$AD$505,"&gt;"&amp;$A78,実績!$AE$6:$AE$505,"○")&gt;0,1,0))</f>
        <v/>
      </c>
      <c r="AS78">
        <f>IF(AS$4=0,0,IF(COUNTIFS(実績!$W$6:$W$505,AS$3,実績!$AC$6:$AC$505,"&lt;="&amp;$A78,実績!$AD$6:$AD$505,"&gt;"&amp;$A78,実績!$AE$6:$AE$505,"○")&gt;0,1,0))</f>
        <v/>
      </c>
      <c r="AT78">
        <f>IF(AT$4=0,0,IF(COUNTIFS(実績!$W$6:$W$505,AT$3,実績!$AC$6:$AC$505,"&lt;="&amp;$A78,実績!$AD$6:$AD$505,"&gt;"&amp;$A78,実績!$AE$6:$AE$505,"○")&gt;0,1,0))</f>
        <v/>
      </c>
      <c r="AU78">
        <f>IF(AU$4=0,0,IF(COUNTIFS(実績!$W$6:$W$505,AU$3,実績!$AC$6:$AC$505,"&lt;="&amp;$A78,実績!$AD$6:$AD$505,"&gt;"&amp;$A78,実績!$AE$6:$AE$505,"○")&gt;0,1,0))</f>
        <v/>
      </c>
      <c r="AV78">
        <f>IF(AV$4=0,0,IF(COUNTIFS(実績!$W$6:$W$505,AV$3,実績!$AC$6:$AC$505,"&lt;="&amp;$A78,実績!$AD$6:$AD$505,"&gt;"&amp;$A78,実績!$AE$6:$AE$505,"○")&gt;0,1,0))</f>
        <v/>
      </c>
      <c r="AW78">
        <f>IF(AW$4=0,0,IF(COUNTIFS(実績!$W$6:$W$505,AW$3,実績!$AC$6:$AC$505,"&lt;="&amp;$A78,実績!$AD$6:$AD$505,"&gt;"&amp;$A78,実績!$AE$6:$AE$505,"○")&gt;0,1,0))</f>
        <v/>
      </c>
      <c r="AX78">
        <f>IF(AX$4=0,0,IF(COUNTIFS(実績!$W$6:$W$505,AX$3,実績!$AC$6:$AC$505,"&lt;="&amp;$A78,実績!$AD$6:$AD$505,"&gt;"&amp;$A78,実績!$AE$6:$AE$505,"○")&gt;0,1,0))</f>
        <v/>
      </c>
      <c r="AY78">
        <f>IF(AY$4=0,0,IF(COUNTIFS(実績!$W$6:$W$505,AY$3,実績!$AC$6:$AC$505,"&lt;="&amp;$A78,実績!$AD$6:$AD$505,"&gt;"&amp;$A78,実績!$AE$6:$AE$505,"○")&gt;0,1,0))</f>
        <v/>
      </c>
      <c r="AZ78">
        <f>IF(AZ$4=0,0,IF(COUNTIFS(実績!$W$6:$W$505,AZ$3,実績!$AC$6:$AC$505,"&lt;="&amp;$A78,実績!$AD$6:$AD$505,"&gt;"&amp;$A78,実績!$AE$6:$AE$505,"○")&gt;0,1,0))</f>
        <v/>
      </c>
      <c r="BA78">
        <f>IF(BA$4=0,0,IF(COUNTIFS(実績!$W$6:$W$505,BA$3,実績!$AC$6:$AC$505,"&lt;="&amp;$A78,実績!$AD$6:$AD$505,"&gt;"&amp;$A78,実績!$AE$6:$AE$505,"○")&gt;0,1,0))</f>
        <v/>
      </c>
      <c r="BB78">
        <f>IF(BB$4=0,0,IF(COUNTIFS(実績!$W$6:$W$505,BB$3,実績!$AC$6:$AC$505,"&lt;="&amp;$A78,実績!$AD$6:$AD$505,"&gt;"&amp;$A78,実績!$AE$6:$AE$505,"○")&gt;0,1,0))</f>
        <v/>
      </c>
      <c r="BC78">
        <f>IF(BC$4=0,0,IF(COUNTIFS(実績!$W$6:$W$505,BC$3,実績!$AC$6:$AC$505,"&lt;="&amp;$A78,実績!$AD$6:$AD$505,"&gt;"&amp;$A78,実績!$AE$6:$AE$505,"○")&gt;0,1,0))</f>
        <v/>
      </c>
      <c r="BD78">
        <f>IF(BD$4=0,0,IF(COUNTIFS(実績!$W$6:$W$505,BD$3,実績!$AC$6:$AC$505,"&lt;="&amp;$A78,実績!$AD$6:$AD$505,"&gt;"&amp;$A78,実績!$AE$6:$AE$505,"○")&gt;0,1,0))</f>
        <v/>
      </c>
      <c r="BE78">
        <f>IF(BE$4=0,0,IF(COUNTIFS(実績!$W$6:$W$505,BE$3,実績!$AC$6:$AC$505,"&lt;="&amp;$A78,実績!$AD$6:$AD$505,"&gt;"&amp;$A78,実績!$AE$6:$AE$505,"○")&gt;0,1,0))</f>
        <v/>
      </c>
      <c r="BF78">
        <f>IF(BF$4=0,0,IF(COUNTIFS(実績!$W$6:$W$505,BF$3,実績!$AC$6:$AC$505,"&lt;="&amp;$A78,実績!$AD$6:$AD$505,"&gt;"&amp;$A78,実績!$AE$6:$AE$505,"○")&gt;0,1,0))</f>
        <v/>
      </c>
      <c r="BG78">
        <f>IF(BG$4=0,0,IF(COUNTIFS(実績!$W$6:$W$505,BG$3,実績!$AC$6:$AC$505,"&lt;="&amp;$A78,実績!$AD$6:$AD$505,"&gt;"&amp;$A78,実績!$AE$6:$AE$505,"○")&gt;0,1,0))</f>
        <v/>
      </c>
      <c r="BH78">
        <f>IF(BH$4=0,0,IF(COUNTIFS(実績!$W$6:$W$505,BH$3,実績!$AC$6:$AC$505,"&lt;="&amp;$A78,実績!$AD$6:$AD$505,"&gt;"&amp;$A78,実績!$AE$6:$AE$505,"○")&gt;0,1,0))</f>
        <v/>
      </c>
      <c r="BI78">
        <f>IF(BI$4=0,0,IF(COUNTIFS(実績!$W$6:$W$505,BI$3,実績!$AC$6:$AC$505,"&lt;="&amp;$A78,実績!$AD$6:$AD$505,"&gt;"&amp;$A78,実績!$AE$6:$AE$505,"○")&gt;0,1,0))</f>
        <v/>
      </c>
      <c r="BJ78">
        <f>IF(BJ$4=0,0,IF(COUNTIFS(実績!$W$6:$W$505,BJ$3,実績!$AC$6:$AC$505,"&lt;="&amp;$A78,実績!$AD$6:$AD$505,"&gt;"&amp;$A78,実績!$AE$6:$AE$505,"○")&gt;0,1,0))</f>
        <v/>
      </c>
      <c r="BK78">
        <f>IF(BK$4=0,0,IF(COUNTIFS(実績!$W$6:$W$505,BK$3,実績!$AC$6:$AC$505,"&lt;="&amp;$A78,実績!$AD$6:$AD$505,"&gt;"&amp;$A78,実績!$AE$6:$AE$505,"○")&gt;0,1,0))</f>
        <v/>
      </c>
      <c r="BL78">
        <f>IF(BL$4=0,0,IF(COUNTIFS(実績!$W$6:$W$505,BL$3,実績!$AC$6:$AC$505,"&lt;="&amp;$A78,実績!$AD$6:$AD$505,"&gt;"&amp;$A78,実績!$AE$6:$AE$505,"○")&gt;0,1,0))</f>
        <v/>
      </c>
      <c r="BM78">
        <f>IF(BM$4=0,0,IF(COUNTIFS(実績!$W$6:$W$505,BM$3,実績!$AC$6:$AC$505,"&lt;="&amp;$A78,実績!$AD$6:$AD$505,"&gt;"&amp;$A78,実績!$AE$6:$AE$505,"○")&gt;0,1,0))</f>
        <v/>
      </c>
      <c r="BN78">
        <f>IF(BN$4=0,0,IF(COUNTIFS(実績!$W$6:$W$505,BN$3,実績!$AC$6:$AC$505,"&lt;="&amp;$A78,実績!$AD$6:$AD$505,"&gt;"&amp;$A78,実績!$AE$6:$AE$505,"○")&gt;0,1,0))</f>
        <v/>
      </c>
      <c r="BO78">
        <f>IF(BO$4=0,0,IF(COUNTIFS(実績!$W$6:$W$505,BO$3,実績!$AC$6:$AC$505,"&lt;="&amp;$A78,実績!$AD$6:$AD$505,"&gt;"&amp;$A78,実績!$AE$6:$AE$505,"○")&gt;0,1,0))</f>
        <v/>
      </c>
      <c r="BP78">
        <f>IF(BP$4=0,0,IF(COUNTIFS(実績!$W$6:$W$505,BP$3,実績!$AC$6:$AC$505,"&lt;="&amp;$A78,実績!$AD$6:$AD$505,"&gt;"&amp;$A78,実績!$AE$6:$AE$505,"○")&gt;0,1,0))</f>
        <v/>
      </c>
      <c r="BQ78">
        <f>IF(BQ$4=0,0,IF(COUNTIFS(実績!$W$6:$W$505,BQ$3,実績!$AC$6:$AC$505,"&lt;="&amp;$A78,実績!$AD$6:$AD$505,"&gt;"&amp;$A78,実績!$AE$6:$AE$505,"○")&gt;0,1,0))</f>
        <v/>
      </c>
      <c r="BR78">
        <f>IF(BR$4=0,0,IF(COUNTIFS(実績!$W$6:$W$505,BR$3,実績!$AC$6:$AC$505,"&lt;="&amp;$A78,実績!$AD$6:$AD$505,"&gt;"&amp;$A78,実績!$AE$6:$AE$505,"○")&gt;0,1,0))</f>
        <v/>
      </c>
      <c r="BS78">
        <f>IF(BS$4=0,0,IF(COUNTIFS(実績!$W$6:$W$505,BS$3,実績!$AC$6:$AC$505,"&lt;="&amp;$A78,実績!$AD$6:$AD$505,"&gt;"&amp;$A78,実績!$AE$6:$AE$505,"○")&gt;0,1,0))</f>
        <v/>
      </c>
      <c r="BT78">
        <f>IF(BT$4=0,0,IF(COUNTIFS(実績!$W$6:$W$505,BT$3,実績!$AC$6:$AC$505,"&lt;="&amp;$A78,実績!$AD$6:$AD$505,"&gt;"&amp;$A78,実績!$AE$6:$AE$505,"○")&gt;0,1,0))</f>
        <v/>
      </c>
      <c r="BU78">
        <f>IF(BU$4=0,0,IF(COUNTIFS(実績!$W$6:$W$505,BU$3,実績!$AC$6:$AC$505,"&lt;="&amp;$A78,実績!$AD$6:$AD$505,"&gt;"&amp;$A78,実績!$AE$6:$AE$505,"○")&gt;0,1,0))</f>
        <v/>
      </c>
      <c r="BV78">
        <f>IF(BV$4=0,0,IF(COUNTIFS(実績!$W$6:$W$505,BV$3,実績!$AC$6:$AC$505,"&lt;="&amp;$A78,実績!$AD$6:$AD$505,"&gt;"&amp;$A78,実績!$AE$6:$AE$505,"○")&gt;0,1,0))</f>
        <v/>
      </c>
      <c r="BW78">
        <f>IF(BW$4=0,0,IF(COUNTIFS(実績!$W$6:$W$505,BW$3,実績!$AC$6:$AC$505,"&lt;="&amp;$A78,実績!$AD$6:$AD$505,"&gt;"&amp;$A78,実績!$AE$6:$AE$505,"○")&gt;0,1,0))</f>
        <v/>
      </c>
      <c r="BX78">
        <f>IF(BX$4=0,0,IF(COUNTIFS(実績!$W$6:$W$505,BX$3,実績!$AC$6:$AC$505,"&lt;="&amp;$A78,実績!$AD$6:$AD$505,"&gt;"&amp;$A78,実績!$AE$6:$AE$505,"○")&gt;0,1,0))</f>
        <v/>
      </c>
      <c r="BY78">
        <f>IF(BY$4=0,0,IF(COUNTIFS(実績!$W$6:$W$505,BY$3,実績!$AC$6:$AC$505,"&lt;="&amp;$A78,実績!$AD$6:$AD$505,"&gt;"&amp;$A78,実績!$AE$6:$AE$505,"○")&gt;0,1,0))</f>
        <v/>
      </c>
      <c r="BZ78">
        <f>IF(BZ$4=0,0,IF(COUNTIFS(実績!$W$6:$W$505,BZ$3,実績!$AC$6:$AC$505,"&lt;="&amp;$A78,実績!$AD$6:$AD$505,"&gt;"&amp;$A78,実績!$AE$6:$AE$505,"○")&gt;0,1,0))</f>
        <v/>
      </c>
      <c r="CA78">
        <f>IF(CA$4=0,0,IF(COUNTIFS(実績!$W$6:$W$505,CA$3,実績!$AC$6:$AC$505,"&lt;="&amp;$A78,実績!$AD$6:$AD$505,"&gt;"&amp;$A78,実績!$AE$6:$AE$505,"○")&gt;0,1,0))</f>
        <v/>
      </c>
      <c r="CB78">
        <f>IF(CB$4=0,0,IF(COUNTIFS(実績!$W$6:$W$505,CB$3,実績!$AC$6:$AC$505,"&lt;="&amp;$A78,実績!$AD$6:$AD$505,"&gt;"&amp;$A78,実績!$AE$6:$AE$505,"○")&gt;0,1,0))</f>
        <v/>
      </c>
      <c r="CC78">
        <f>IF(CC$4=0,0,IF(COUNTIFS(実績!$W$6:$W$505,CC$3,実績!$AC$6:$AC$505,"&lt;="&amp;$A78,実績!$AD$6:$AD$505,"&gt;"&amp;$A78,実績!$AE$6:$AE$505,"○")&gt;0,1,0))</f>
        <v/>
      </c>
      <c r="CD78">
        <f>IF(CD$4=0,0,IF(COUNTIFS(実績!$W$6:$W$505,CD$3,実績!$AC$6:$AC$505,"&lt;="&amp;$A78,実績!$AD$6:$AD$505,"&gt;"&amp;$A78,実績!$AE$6:$AE$505,"○")&gt;0,1,0))</f>
        <v/>
      </c>
      <c r="CE78">
        <f>IF(CE$4=0,0,IF(COUNTIFS(実績!$W$6:$W$505,CE$3,実績!$AC$6:$AC$505,"&lt;="&amp;$A78,実績!$AD$6:$AD$505,"&gt;"&amp;$A78,実績!$AE$6:$AE$505,"○")&gt;0,1,0))</f>
        <v/>
      </c>
      <c r="CF78">
        <f>IF(CF$4=0,0,IF(COUNTIFS(実績!$W$6:$W$505,CF$3,実績!$AC$6:$AC$505,"&lt;="&amp;$A78,実績!$AD$6:$AD$505,"&gt;"&amp;$A78,実績!$AE$6:$AE$505,"○")&gt;0,1,0))</f>
        <v/>
      </c>
      <c r="CG78">
        <f>IF(CG$4=0,0,IF(COUNTIFS(実績!$W$6:$W$505,CG$3,実績!$AC$6:$AC$505,"&lt;="&amp;$A78,実績!$AD$6:$AD$505,"&gt;"&amp;$A78,実績!$AE$6:$AE$505,"○")&gt;0,1,0))</f>
        <v/>
      </c>
      <c r="CH78">
        <f>IF(CH$4=0,0,IF(COUNTIFS(実績!$W$6:$W$505,CH$3,実績!$AC$6:$AC$505,"&lt;="&amp;$A78,実績!$AD$6:$AD$505,"&gt;"&amp;$A78,実績!$AE$6:$AE$505,"○")&gt;0,1,0))</f>
        <v/>
      </c>
      <c r="CI78">
        <f>IF(CI$4=0,0,IF(COUNTIFS(実績!$W$6:$W$505,CI$3,実績!$AC$6:$AC$505,"&lt;="&amp;$A78,実績!$AD$6:$AD$505,"&gt;"&amp;$A78,実績!$AE$6:$AE$505,"○")&gt;0,1,0))</f>
        <v/>
      </c>
      <c r="CJ78">
        <f>IF(CJ$4=0,0,IF(COUNTIFS(実績!$W$6:$W$505,CJ$3,実績!$AC$6:$AC$505,"&lt;="&amp;$A78,実績!$AD$6:$AD$505,"&gt;"&amp;$A78,実績!$AE$6:$AE$505,"○")&gt;0,1,0))</f>
        <v/>
      </c>
      <c r="CK78">
        <f>IF(CK$4=0,0,IF(COUNTIFS(実績!$W$6:$W$505,CK$3,実績!$AC$6:$AC$505,"&lt;="&amp;$A78,実績!$AD$6:$AD$505,"&gt;"&amp;$A78,実績!$AE$6:$AE$505,"○")&gt;0,1,0))</f>
        <v/>
      </c>
      <c r="CL78">
        <f>IF(CL$4=0,0,IF(COUNTIFS(実績!$W$6:$W$505,CL$3,実績!$AC$6:$AC$505,"&lt;="&amp;$A78,実績!$AD$6:$AD$505,"&gt;"&amp;$A78,実績!$AE$6:$AE$505,"○")&gt;0,1,0))</f>
        <v/>
      </c>
      <c r="CM78">
        <f>IF(CM$4=0,0,IF(COUNTIFS(実績!$W$6:$W$505,CM$3,実績!$AC$6:$AC$505,"&lt;="&amp;$A78,実績!$AD$6:$AD$505,"&gt;"&amp;$A78,実績!$AE$6:$AE$505,"○")&gt;0,1,0))</f>
        <v/>
      </c>
      <c r="CN78">
        <f>IF(CN$4=0,0,IF(COUNTIFS(実績!$W$6:$W$505,CN$3,実績!$AC$6:$AC$505,"&lt;="&amp;$A78,実績!$AD$6:$AD$505,"&gt;"&amp;$A78,実績!$AE$6:$AE$505,"○")&gt;0,1,0))</f>
        <v/>
      </c>
      <c r="CO78">
        <f>IF(CO$4=0,0,IF(COUNTIFS(実績!$W$6:$W$505,CO$3,実績!$AC$6:$AC$505,"&lt;="&amp;$A78,実績!$AD$6:$AD$505,"&gt;"&amp;$A78,実績!$AE$6:$AE$505,"○")&gt;0,1,0))</f>
        <v/>
      </c>
      <c r="CP78">
        <f>IF(CP$4=0,0,IF(COUNTIFS(実績!$W$6:$W$505,CP$3,実績!$AC$6:$AC$505,"&lt;="&amp;$A78,実績!$AD$6:$AD$505,"&gt;"&amp;$A78,実績!$AE$6:$AE$505,"○")&gt;0,1,0))</f>
        <v/>
      </c>
      <c r="CQ78">
        <f>IF(CQ$4=0,0,IF(COUNTIFS(実績!$W$6:$W$505,CQ$3,実績!$AC$6:$AC$505,"&lt;="&amp;$A78,実績!$AD$6:$AD$505,"&gt;"&amp;$A78,実績!$AE$6:$AE$505,"○")&gt;0,1,0))</f>
        <v/>
      </c>
      <c r="CR78">
        <f>IF(CR$4=0,0,IF(COUNTIFS(実績!$W$6:$W$505,CR$3,実績!$AC$6:$AC$505,"&lt;="&amp;$A78,実績!$AD$6:$AD$505,"&gt;"&amp;$A78,実績!$AE$6:$AE$505,"○")&gt;0,1,0))</f>
        <v/>
      </c>
      <c r="CS78">
        <f>IF(CS$4=0,0,IF(COUNTIFS(実績!$W$6:$W$505,CS$3,実績!$AC$6:$AC$505,"&lt;="&amp;$A78,実績!$AD$6:$AD$505,"&gt;"&amp;$A78,実績!$AE$6:$AE$505,"○")&gt;0,1,0))</f>
        <v/>
      </c>
      <c r="CT78">
        <f>IF(CT$4=0,0,IF(COUNTIFS(実績!$W$6:$W$505,CT$3,実績!$AC$6:$AC$505,"&lt;="&amp;$A78,実績!$AD$6:$AD$505,"&gt;"&amp;$A78,実績!$AE$6:$AE$505,"○")&gt;0,1,0))</f>
        <v/>
      </c>
      <c r="CU78">
        <f>IF(CU$4=0,0,IF(COUNTIFS(実績!$W$6:$W$505,CU$3,実績!$AC$6:$AC$505,"&lt;="&amp;$A78,実績!$AD$6:$AD$505,"&gt;"&amp;$A78,実績!$AE$6:$AE$505,"○")&gt;0,1,0))</f>
        <v/>
      </c>
      <c r="CV78">
        <f>IF(CV$4=0,0,IF(COUNTIFS(実績!$W$6:$W$505,CV$3,実績!$AC$6:$AC$505,"&lt;="&amp;$A78,実績!$AD$6:$AD$505,"&gt;"&amp;$A78,実績!$AE$6:$AE$505,"○")&gt;0,1,0))</f>
        <v/>
      </c>
      <c r="CW78">
        <f>IF(CW$4=0,0,IF(COUNTIFS(実績!$W$6:$W$505,CW$3,実績!$AC$6:$AC$505,"&lt;="&amp;$A78,実績!$AD$6:$AD$505,"&gt;"&amp;$A78,実績!$AE$6:$AE$505,"○")&gt;0,1,0))</f>
        <v/>
      </c>
      <c r="CX78">
        <f>IF(CX$4=0,0,IF(COUNTIFS(実績!$W$6:$W$505,CX$3,実績!$AC$6:$AC$505,"&lt;="&amp;$A78,実績!$AD$6:$AD$505,"&gt;"&amp;$A78,実績!$AE$6:$AE$505,"○")&gt;0,1,0))</f>
        <v/>
      </c>
      <c r="CY78">
        <f>IF(CY$4=0,0,IF(COUNTIFS(実績!$W$6:$W$505,CY$3,実績!$AC$6:$AC$505,"&lt;="&amp;$A78,実績!$AD$6:$AD$505,"&gt;"&amp;$A78,実績!$AE$6:$AE$505,"○")&gt;0,1,0))</f>
        <v/>
      </c>
      <c r="CZ78">
        <f>IF(CZ$4=0,0,IF(COUNTIFS(実績!$W$6:$W$505,CZ$3,実績!$AC$6:$AC$505,"&lt;="&amp;$A78,実績!$AD$6:$AD$505,"&gt;"&amp;$A78,実績!$AE$6:$AE$505,"○")&gt;0,1,0))</f>
        <v/>
      </c>
      <c r="DA78">
        <f>IF(DA$4=0,0,IF(COUNTIFS(実績!$W$6:$W$505,DA$3,実績!$AC$6:$AC$505,"&lt;="&amp;$A78,実績!$AD$6:$AD$505,"&gt;"&amp;$A78,実績!$AE$6:$AE$505,"○")&gt;0,1,0))</f>
        <v/>
      </c>
      <c r="DB78">
        <f>IF(DB$4=0,0,IF(COUNTIFS(実績!$W$6:$W$505,DB$3,実績!$AC$6:$AC$505,"&lt;="&amp;$A78,実績!$AD$6:$AD$505,"&gt;"&amp;$A78,実績!$AE$6:$AE$505,"○")&gt;0,1,0))</f>
        <v/>
      </c>
      <c r="DC78">
        <f>IF(DC$4=0,0,IF(COUNTIFS(実績!$W$6:$W$505,DC$3,実績!$AC$6:$AC$505,"&lt;="&amp;$A78,実績!$AD$6:$AD$505,"&gt;"&amp;$A78,実績!$AE$6:$AE$505,"○")&gt;0,1,0))</f>
        <v/>
      </c>
      <c r="DD78">
        <f>IF(DD$4=0,0,IF(COUNTIFS(実績!$W$6:$W$505,DD$3,実績!$AC$6:$AC$505,"&lt;="&amp;$A78,実績!$AD$6:$AD$505,"&gt;"&amp;$A78,実績!$AE$6:$AE$505,"○")&gt;0,1,0))</f>
        <v/>
      </c>
      <c r="DE78">
        <f>IF(DE$4=0,0,IF(COUNTIFS(実績!$W$6:$W$505,DE$3,実績!$AC$6:$AC$505,"&lt;="&amp;$A78,実績!$AD$6:$AD$505,"&gt;"&amp;$A78,実績!$AE$6:$AE$505,"○")&gt;0,1,0))</f>
        <v/>
      </c>
      <c r="DF78">
        <f>IF(DF$4=0,0,IF(COUNTIFS(実績!$W$6:$W$505,DF$3,実績!$AC$6:$AC$505,"&lt;="&amp;$A78,実績!$AD$6:$AD$505,"&gt;"&amp;$A78,実績!$AE$6:$AE$505,"○")&gt;0,1,0))</f>
        <v/>
      </c>
      <c r="DG78">
        <f>IF(DG$4=0,0,IF(COUNTIFS(実績!$W$6:$W$505,DG$3,実績!$AC$6:$AC$505,"&lt;="&amp;$A78,実績!$AD$6:$AD$505,"&gt;"&amp;$A78,実績!$AE$6:$AE$505,"○")&gt;0,1,0))</f>
        <v/>
      </c>
      <c r="DH78">
        <f>IF(DH$4=0,0,IF(COUNTIFS(実績!$W$6:$W$505,DH$3,実績!$AC$6:$AC$505,"&lt;="&amp;$A78,実績!$AD$6:$AD$505,"&gt;"&amp;$A78,実績!$AE$6:$AE$505,"○")&gt;0,1,0))</f>
        <v/>
      </c>
      <c r="DI78">
        <f>IF(DI$4=0,0,IF(COUNTIFS(実績!$W$6:$W$505,DI$3,実績!$AC$6:$AC$505,"&lt;="&amp;$A78,実績!$AD$6:$AD$505,"&gt;"&amp;$A78,実績!$AE$6:$AE$505,"○")&gt;0,1,0))</f>
        <v/>
      </c>
      <c r="DJ78">
        <f>IF(DJ$4=0,0,IF(COUNTIFS(実績!$W$6:$W$505,DJ$3,実績!$AC$6:$AC$505,"&lt;="&amp;$A78,実績!$AD$6:$AD$505,"&gt;"&amp;$A78,実績!$AE$6:$AE$505,"○")&gt;0,1,0))</f>
        <v/>
      </c>
      <c r="DK78">
        <f>IF(DK$4=0,0,IF(COUNTIFS(実績!$W$6:$W$505,DK$3,実績!$AC$6:$AC$505,"&lt;="&amp;$A78,実績!$AD$6:$AD$505,"&gt;"&amp;$A78,実績!$AE$6:$AE$505,"○")&gt;0,1,0))</f>
        <v/>
      </c>
      <c r="DL78">
        <f>IF(DL$4=0,0,IF(COUNTIFS(実績!$W$6:$W$505,DL$3,実績!$AC$6:$AC$505,"&lt;="&amp;$A78,実績!$AD$6:$AD$505,"&gt;"&amp;$A78,実績!$AE$6:$AE$505,"○")&gt;0,1,0))</f>
        <v/>
      </c>
      <c r="DM78">
        <f>IF(DM$4=0,0,IF(COUNTIFS(実績!$W$6:$W$505,DM$3,実績!$AC$6:$AC$505,"&lt;="&amp;$A78,実績!$AD$6:$AD$505,"&gt;"&amp;$A78,実績!$AE$6:$AE$505,"○")&gt;0,1,0))</f>
        <v/>
      </c>
      <c r="DN78">
        <f>IF(DN$4=0,0,IF(COUNTIFS(実績!$W$6:$W$505,DN$3,実績!$AC$6:$AC$505,"&lt;="&amp;$A78,実績!$AD$6:$AD$505,"&gt;"&amp;$A78,実績!$AE$6:$AE$505,"○")&gt;0,1,0))</f>
        <v/>
      </c>
      <c r="DO78">
        <f>IF(DO$4=0,0,IF(COUNTIFS(実績!$W$6:$W$505,DO$3,実績!$AC$6:$AC$505,"&lt;="&amp;$A78,実績!$AD$6:$AD$505,"&gt;"&amp;$A78,実績!$AE$6:$AE$505,"○")&gt;0,1,0))</f>
        <v/>
      </c>
      <c r="DP78">
        <f>IF(DP$4=0,0,IF(COUNTIFS(実績!$W$6:$W$505,DP$3,実績!$AC$6:$AC$505,"&lt;="&amp;$A78,実績!$AD$6:$AD$505,"&gt;"&amp;$A78,実績!$AE$6:$AE$505,"○")&gt;0,1,0))</f>
        <v/>
      </c>
      <c r="DQ78">
        <f>IF(DQ$4=0,0,IF(COUNTIFS(実績!$W$6:$W$505,DQ$3,実績!$AC$6:$AC$505,"&lt;="&amp;$A78,実績!$AD$6:$AD$505,"&gt;"&amp;$A78,実績!$AE$6:$AE$505,"○")&gt;0,1,0))</f>
        <v/>
      </c>
      <c r="DR78">
        <f>IF(DR$4=0,0,IF(COUNTIFS(実績!$W$6:$W$505,DR$3,実績!$AC$6:$AC$505,"&lt;="&amp;$A78,実績!$AD$6:$AD$505,"&gt;"&amp;$A78,実績!$AE$6:$AE$505,"○")&gt;0,1,0))</f>
        <v/>
      </c>
      <c r="DS78">
        <f>SUM(C78:DR78)</f>
        <v/>
      </c>
      <c r="DT78">
        <f>SUMPRODUCT((実績!$C$6:$C$505="○")*ISNUMBER(実績!$AF$6:$AF$505)*(実績!$AF$6:$AF$505&lt;=$A78)*(実績!$AG$6:$AG$505&gt;$A78))</f>
        <v/>
      </c>
      <c r="DU78">
        <f>SUMIF($C$2:$DR$2,"製鉄曳船",C78:DR78)</f>
        <v/>
      </c>
      <c r="DV78">
        <f>SUMIF($C$2:$DR$2,"西日本海運",C78:DR78)</f>
        <v/>
      </c>
    </row>
    <row r="79">
      <c r="A79" t="n">
        <v>365</v>
      </c>
      <c r="B79" s="29">
        <f>A79/1440</f>
        <v/>
      </c>
      <c r="C79">
        <f>IF(C$4=0,0,IF(COUNTIFS(実績!$W$6:$W$505,C$3,実績!$AC$6:$AC$505,"&lt;="&amp;$A79,実績!$AD$6:$AD$505,"&gt;"&amp;$A79,実績!$AE$6:$AE$505,"○")&gt;0,1,0))</f>
        <v/>
      </c>
      <c r="D79">
        <f>IF(D$4=0,0,IF(COUNTIFS(実績!$W$6:$W$505,D$3,実績!$AC$6:$AC$505,"&lt;="&amp;$A79,実績!$AD$6:$AD$505,"&gt;"&amp;$A79,実績!$AE$6:$AE$505,"○")&gt;0,1,0))</f>
        <v/>
      </c>
      <c r="E79">
        <f>IF(E$4=0,0,IF(COUNTIFS(実績!$W$6:$W$505,E$3,実績!$AC$6:$AC$505,"&lt;="&amp;$A79,実績!$AD$6:$AD$505,"&gt;"&amp;$A79,実績!$AE$6:$AE$505,"○")&gt;0,1,0))</f>
        <v/>
      </c>
      <c r="F79">
        <f>IF(F$4=0,0,IF(COUNTIFS(実績!$W$6:$W$505,F$3,実績!$AC$6:$AC$505,"&lt;="&amp;$A79,実績!$AD$6:$AD$505,"&gt;"&amp;$A79,実績!$AE$6:$AE$505,"○")&gt;0,1,0))</f>
        <v/>
      </c>
      <c r="G79">
        <f>IF(G$4=0,0,IF(COUNTIFS(実績!$W$6:$W$505,G$3,実績!$AC$6:$AC$505,"&lt;="&amp;$A79,実績!$AD$6:$AD$505,"&gt;"&amp;$A79,実績!$AE$6:$AE$505,"○")&gt;0,1,0))</f>
        <v/>
      </c>
      <c r="H79">
        <f>IF(H$4=0,0,IF(COUNTIFS(実績!$W$6:$W$505,H$3,実績!$AC$6:$AC$505,"&lt;="&amp;$A79,実績!$AD$6:$AD$505,"&gt;"&amp;$A79,実績!$AE$6:$AE$505,"○")&gt;0,1,0))</f>
        <v/>
      </c>
      <c r="I79">
        <f>IF(I$4=0,0,IF(COUNTIFS(実績!$W$6:$W$505,I$3,実績!$AC$6:$AC$505,"&lt;="&amp;$A79,実績!$AD$6:$AD$505,"&gt;"&amp;$A79,実績!$AE$6:$AE$505,"○")&gt;0,1,0))</f>
        <v/>
      </c>
      <c r="J79">
        <f>IF(J$4=0,0,IF(COUNTIFS(実績!$W$6:$W$505,J$3,実績!$AC$6:$AC$505,"&lt;="&amp;$A79,実績!$AD$6:$AD$505,"&gt;"&amp;$A79,実績!$AE$6:$AE$505,"○")&gt;0,1,0))</f>
        <v/>
      </c>
      <c r="K79">
        <f>IF(K$4=0,0,IF(COUNTIFS(実績!$W$6:$W$505,K$3,実績!$AC$6:$AC$505,"&lt;="&amp;$A79,実績!$AD$6:$AD$505,"&gt;"&amp;$A79,実績!$AE$6:$AE$505,"○")&gt;0,1,0))</f>
        <v/>
      </c>
      <c r="L79">
        <f>IF(L$4=0,0,IF(COUNTIFS(実績!$W$6:$W$505,L$3,実績!$AC$6:$AC$505,"&lt;="&amp;$A79,実績!$AD$6:$AD$505,"&gt;"&amp;$A79,実績!$AE$6:$AE$505,"○")&gt;0,1,0))</f>
        <v/>
      </c>
      <c r="M79">
        <f>IF(M$4=0,0,IF(COUNTIFS(実績!$W$6:$W$505,M$3,実績!$AC$6:$AC$505,"&lt;="&amp;$A79,実績!$AD$6:$AD$505,"&gt;"&amp;$A79,実績!$AE$6:$AE$505,"○")&gt;0,1,0))</f>
        <v/>
      </c>
      <c r="N79">
        <f>IF(N$4=0,0,IF(COUNTIFS(実績!$W$6:$W$505,N$3,実績!$AC$6:$AC$505,"&lt;="&amp;$A79,実績!$AD$6:$AD$505,"&gt;"&amp;$A79,実績!$AE$6:$AE$505,"○")&gt;0,1,0))</f>
        <v/>
      </c>
      <c r="O79">
        <f>IF(O$4=0,0,IF(COUNTIFS(実績!$W$6:$W$505,O$3,実績!$AC$6:$AC$505,"&lt;="&amp;$A79,実績!$AD$6:$AD$505,"&gt;"&amp;$A79,実績!$AE$6:$AE$505,"○")&gt;0,1,0))</f>
        <v/>
      </c>
      <c r="P79">
        <f>IF(P$4=0,0,IF(COUNTIFS(実績!$W$6:$W$505,P$3,実績!$AC$6:$AC$505,"&lt;="&amp;$A79,実績!$AD$6:$AD$505,"&gt;"&amp;$A79,実績!$AE$6:$AE$505,"○")&gt;0,1,0))</f>
        <v/>
      </c>
      <c r="Q79">
        <f>IF(Q$4=0,0,IF(COUNTIFS(実績!$W$6:$W$505,Q$3,実績!$AC$6:$AC$505,"&lt;="&amp;$A79,実績!$AD$6:$AD$505,"&gt;"&amp;$A79,実績!$AE$6:$AE$505,"○")&gt;0,1,0))</f>
        <v/>
      </c>
      <c r="R79">
        <f>IF(R$4=0,0,IF(COUNTIFS(実績!$W$6:$W$505,R$3,実績!$AC$6:$AC$505,"&lt;="&amp;$A79,実績!$AD$6:$AD$505,"&gt;"&amp;$A79,実績!$AE$6:$AE$505,"○")&gt;0,1,0))</f>
        <v/>
      </c>
      <c r="S79">
        <f>IF(S$4=0,0,IF(COUNTIFS(実績!$W$6:$W$505,S$3,実績!$AC$6:$AC$505,"&lt;="&amp;$A79,実績!$AD$6:$AD$505,"&gt;"&amp;$A79,実績!$AE$6:$AE$505,"○")&gt;0,1,0))</f>
        <v/>
      </c>
      <c r="T79">
        <f>IF(T$4=0,0,IF(COUNTIFS(実績!$W$6:$W$505,T$3,実績!$AC$6:$AC$505,"&lt;="&amp;$A79,実績!$AD$6:$AD$505,"&gt;"&amp;$A79,実績!$AE$6:$AE$505,"○")&gt;0,1,0))</f>
        <v/>
      </c>
      <c r="U79">
        <f>IF(U$4=0,0,IF(COUNTIFS(実績!$W$6:$W$505,U$3,実績!$AC$6:$AC$505,"&lt;="&amp;$A79,実績!$AD$6:$AD$505,"&gt;"&amp;$A79,実績!$AE$6:$AE$505,"○")&gt;0,1,0))</f>
        <v/>
      </c>
      <c r="V79">
        <f>IF(V$4=0,0,IF(COUNTIFS(実績!$W$6:$W$505,V$3,実績!$AC$6:$AC$505,"&lt;="&amp;$A79,実績!$AD$6:$AD$505,"&gt;"&amp;$A79,実績!$AE$6:$AE$505,"○")&gt;0,1,0))</f>
        <v/>
      </c>
      <c r="W79">
        <f>IF(W$4=0,0,IF(COUNTIFS(実績!$W$6:$W$505,W$3,実績!$AC$6:$AC$505,"&lt;="&amp;$A79,実績!$AD$6:$AD$505,"&gt;"&amp;$A79,実績!$AE$6:$AE$505,"○")&gt;0,1,0))</f>
        <v/>
      </c>
      <c r="X79">
        <f>IF(X$4=0,0,IF(COUNTIFS(実績!$W$6:$W$505,X$3,実績!$AC$6:$AC$505,"&lt;="&amp;$A79,実績!$AD$6:$AD$505,"&gt;"&amp;$A79,実績!$AE$6:$AE$505,"○")&gt;0,1,0))</f>
        <v/>
      </c>
      <c r="Y79">
        <f>IF(Y$4=0,0,IF(COUNTIFS(実績!$W$6:$W$505,Y$3,実績!$AC$6:$AC$505,"&lt;="&amp;$A79,実績!$AD$6:$AD$505,"&gt;"&amp;$A79,実績!$AE$6:$AE$505,"○")&gt;0,1,0))</f>
        <v/>
      </c>
      <c r="Z79">
        <f>IF(Z$4=0,0,IF(COUNTIFS(実績!$W$6:$W$505,Z$3,実績!$AC$6:$AC$505,"&lt;="&amp;$A79,実績!$AD$6:$AD$505,"&gt;"&amp;$A79,実績!$AE$6:$AE$505,"○")&gt;0,1,0))</f>
        <v/>
      </c>
      <c r="AA79">
        <f>IF(AA$4=0,0,IF(COUNTIFS(実績!$W$6:$W$505,AA$3,実績!$AC$6:$AC$505,"&lt;="&amp;$A79,実績!$AD$6:$AD$505,"&gt;"&amp;$A79,実績!$AE$6:$AE$505,"○")&gt;0,1,0))</f>
        <v/>
      </c>
      <c r="AB79">
        <f>IF(AB$4=0,0,IF(COUNTIFS(実績!$W$6:$W$505,AB$3,実績!$AC$6:$AC$505,"&lt;="&amp;$A79,実績!$AD$6:$AD$505,"&gt;"&amp;$A79,実績!$AE$6:$AE$505,"○")&gt;0,1,0))</f>
        <v/>
      </c>
      <c r="AC79">
        <f>IF(AC$4=0,0,IF(COUNTIFS(実績!$W$6:$W$505,AC$3,実績!$AC$6:$AC$505,"&lt;="&amp;$A79,実績!$AD$6:$AD$505,"&gt;"&amp;$A79,実績!$AE$6:$AE$505,"○")&gt;0,1,0))</f>
        <v/>
      </c>
      <c r="AD79">
        <f>IF(AD$4=0,0,IF(COUNTIFS(実績!$W$6:$W$505,AD$3,実績!$AC$6:$AC$505,"&lt;="&amp;$A79,実績!$AD$6:$AD$505,"&gt;"&amp;$A79,実績!$AE$6:$AE$505,"○")&gt;0,1,0))</f>
        <v/>
      </c>
      <c r="AE79">
        <f>IF(AE$4=0,0,IF(COUNTIFS(実績!$W$6:$W$505,AE$3,実績!$AC$6:$AC$505,"&lt;="&amp;$A79,実績!$AD$6:$AD$505,"&gt;"&amp;$A79,実績!$AE$6:$AE$505,"○")&gt;0,1,0))</f>
        <v/>
      </c>
      <c r="AF79">
        <f>IF(AF$4=0,0,IF(COUNTIFS(実績!$W$6:$W$505,AF$3,実績!$AC$6:$AC$505,"&lt;="&amp;$A79,実績!$AD$6:$AD$505,"&gt;"&amp;$A79,実績!$AE$6:$AE$505,"○")&gt;0,1,0))</f>
        <v/>
      </c>
      <c r="AG79">
        <f>IF(AG$4=0,0,IF(COUNTIFS(実績!$W$6:$W$505,AG$3,実績!$AC$6:$AC$505,"&lt;="&amp;$A79,実績!$AD$6:$AD$505,"&gt;"&amp;$A79,実績!$AE$6:$AE$505,"○")&gt;0,1,0))</f>
        <v/>
      </c>
      <c r="AH79">
        <f>IF(AH$4=0,0,IF(COUNTIFS(実績!$W$6:$W$505,AH$3,実績!$AC$6:$AC$505,"&lt;="&amp;$A79,実績!$AD$6:$AD$505,"&gt;"&amp;$A79,実績!$AE$6:$AE$505,"○")&gt;0,1,0))</f>
        <v/>
      </c>
      <c r="AI79">
        <f>IF(AI$4=0,0,IF(COUNTIFS(実績!$W$6:$W$505,AI$3,実績!$AC$6:$AC$505,"&lt;="&amp;$A79,実績!$AD$6:$AD$505,"&gt;"&amp;$A79,実績!$AE$6:$AE$505,"○")&gt;0,1,0))</f>
        <v/>
      </c>
      <c r="AJ79">
        <f>IF(AJ$4=0,0,IF(COUNTIFS(実績!$W$6:$W$505,AJ$3,実績!$AC$6:$AC$505,"&lt;="&amp;$A79,実績!$AD$6:$AD$505,"&gt;"&amp;$A79,実績!$AE$6:$AE$505,"○")&gt;0,1,0))</f>
        <v/>
      </c>
      <c r="AK79">
        <f>IF(AK$4=0,0,IF(COUNTIFS(実績!$W$6:$W$505,AK$3,実績!$AC$6:$AC$505,"&lt;="&amp;$A79,実績!$AD$6:$AD$505,"&gt;"&amp;$A79,実績!$AE$6:$AE$505,"○")&gt;0,1,0))</f>
        <v/>
      </c>
      <c r="AL79">
        <f>IF(AL$4=0,0,IF(COUNTIFS(実績!$W$6:$W$505,AL$3,実績!$AC$6:$AC$505,"&lt;="&amp;$A79,実績!$AD$6:$AD$505,"&gt;"&amp;$A79,実績!$AE$6:$AE$505,"○")&gt;0,1,0))</f>
        <v/>
      </c>
      <c r="AM79">
        <f>IF(AM$4=0,0,IF(COUNTIFS(実績!$W$6:$W$505,AM$3,実績!$AC$6:$AC$505,"&lt;="&amp;$A79,実績!$AD$6:$AD$505,"&gt;"&amp;$A79,実績!$AE$6:$AE$505,"○")&gt;0,1,0))</f>
        <v/>
      </c>
      <c r="AN79">
        <f>IF(AN$4=0,0,IF(COUNTIFS(実績!$W$6:$W$505,AN$3,実績!$AC$6:$AC$505,"&lt;="&amp;$A79,実績!$AD$6:$AD$505,"&gt;"&amp;$A79,実績!$AE$6:$AE$505,"○")&gt;0,1,0))</f>
        <v/>
      </c>
      <c r="AO79">
        <f>IF(AO$4=0,0,IF(COUNTIFS(実績!$W$6:$W$505,AO$3,実績!$AC$6:$AC$505,"&lt;="&amp;$A79,実績!$AD$6:$AD$505,"&gt;"&amp;$A79,実績!$AE$6:$AE$505,"○")&gt;0,1,0))</f>
        <v/>
      </c>
      <c r="AP79">
        <f>IF(AP$4=0,0,IF(COUNTIFS(実績!$W$6:$W$505,AP$3,実績!$AC$6:$AC$505,"&lt;="&amp;$A79,実績!$AD$6:$AD$505,"&gt;"&amp;$A79,実績!$AE$6:$AE$505,"○")&gt;0,1,0))</f>
        <v/>
      </c>
      <c r="AQ79">
        <f>IF(AQ$4=0,0,IF(COUNTIFS(実績!$W$6:$W$505,AQ$3,実績!$AC$6:$AC$505,"&lt;="&amp;$A79,実績!$AD$6:$AD$505,"&gt;"&amp;$A79,実績!$AE$6:$AE$505,"○")&gt;0,1,0))</f>
        <v/>
      </c>
      <c r="AR79">
        <f>IF(AR$4=0,0,IF(COUNTIFS(実績!$W$6:$W$505,AR$3,実績!$AC$6:$AC$505,"&lt;="&amp;$A79,実績!$AD$6:$AD$505,"&gt;"&amp;$A79,実績!$AE$6:$AE$505,"○")&gt;0,1,0))</f>
        <v/>
      </c>
      <c r="AS79">
        <f>IF(AS$4=0,0,IF(COUNTIFS(実績!$W$6:$W$505,AS$3,実績!$AC$6:$AC$505,"&lt;="&amp;$A79,実績!$AD$6:$AD$505,"&gt;"&amp;$A79,実績!$AE$6:$AE$505,"○")&gt;0,1,0))</f>
        <v/>
      </c>
      <c r="AT79">
        <f>IF(AT$4=0,0,IF(COUNTIFS(実績!$W$6:$W$505,AT$3,実績!$AC$6:$AC$505,"&lt;="&amp;$A79,実績!$AD$6:$AD$505,"&gt;"&amp;$A79,実績!$AE$6:$AE$505,"○")&gt;0,1,0))</f>
        <v/>
      </c>
      <c r="AU79">
        <f>IF(AU$4=0,0,IF(COUNTIFS(実績!$W$6:$W$505,AU$3,実績!$AC$6:$AC$505,"&lt;="&amp;$A79,実績!$AD$6:$AD$505,"&gt;"&amp;$A79,実績!$AE$6:$AE$505,"○")&gt;0,1,0))</f>
        <v/>
      </c>
      <c r="AV79">
        <f>IF(AV$4=0,0,IF(COUNTIFS(実績!$W$6:$W$505,AV$3,実績!$AC$6:$AC$505,"&lt;="&amp;$A79,実績!$AD$6:$AD$505,"&gt;"&amp;$A79,実績!$AE$6:$AE$505,"○")&gt;0,1,0))</f>
        <v/>
      </c>
      <c r="AW79">
        <f>IF(AW$4=0,0,IF(COUNTIFS(実績!$W$6:$W$505,AW$3,実績!$AC$6:$AC$505,"&lt;="&amp;$A79,実績!$AD$6:$AD$505,"&gt;"&amp;$A79,実績!$AE$6:$AE$505,"○")&gt;0,1,0))</f>
        <v/>
      </c>
      <c r="AX79">
        <f>IF(AX$4=0,0,IF(COUNTIFS(実績!$W$6:$W$505,AX$3,実績!$AC$6:$AC$505,"&lt;="&amp;$A79,実績!$AD$6:$AD$505,"&gt;"&amp;$A79,実績!$AE$6:$AE$505,"○")&gt;0,1,0))</f>
        <v/>
      </c>
      <c r="AY79">
        <f>IF(AY$4=0,0,IF(COUNTIFS(実績!$W$6:$W$505,AY$3,実績!$AC$6:$AC$505,"&lt;="&amp;$A79,実績!$AD$6:$AD$505,"&gt;"&amp;$A79,実績!$AE$6:$AE$505,"○")&gt;0,1,0))</f>
        <v/>
      </c>
      <c r="AZ79">
        <f>IF(AZ$4=0,0,IF(COUNTIFS(実績!$W$6:$W$505,AZ$3,実績!$AC$6:$AC$505,"&lt;="&amp;$A79,実績!$AD$6:$AD$505,"&gt;"&amp;$A79,実績!$AE$6:$AE$505,"○")&gt;0,1,0))</f>
        <v/>
      </c>
      <c r="BA79">
        <f>IF(BA$4=0,0,IF(COUNTIFS(実績!$W$6:$W$505,BA$3,実績!$AC$6:$AC$505,"&lt;="&amp;$A79,実績!$AD$6:$AD$505,"&gt;"&amp;$A79,実績!$AE$6:$AE$505,"○")&gt;0,1,0))</f>
        <v/>
      </c>
      <c r="BB79">
        <f>IF(BB$4=0,0,IF(COUNTIFS(実績!$W$6:$W$505,BB$3,実績!$AC$6:$AC$505,"&lt;="&amp;$A79,実績!$AD$6:$AD$505,"&gt;"&amp;$A79,実績!$AE$6:$AE$505,"○")&gt;0,1,0))</f>
        <v/>
      </c>
      <c r="BC79">
        <f>IF(BC$4=0,0,IF(COUNTIFS(実績!$W$6:$W$505,BC$3,実績!$AC$6:$AC$505,"&lt;="&amp;$A79,実績!$AD$6:$AD$505,"&gt;"&amp;$A79,実績!$AE$6:$AE$505,"○")&gt;0,1,0))</f>
        <v/>
      </c>
      <c r="BD79">
        <f>IF(BD$4=0,0,IF(COUNTIFS(実績!$W$6:$W$505,BD$3,実績!$AC$6:$AC$505,"&lt;="&amp;$A79,実績!$AD$6:$AD$505,"&gt;"&amp;$A79,実績!$AE$6:$AE$505,"○")&gt;0,1,0))</f>
        <v/>
      </c>
      <c r="BE79">
        <f>IF(BE$4=0,0,IF(COUNTIFS(実績!$W$6:$W$505,BE$3,実績!$AC$6:$AC$505,"&lt;="&amp;$A79,実績!$AD$6:$AD$505,"&gt;"&amp;$A79,実績!$AE$6:$AE$505,"○")&gt;0,1,0))</f>
        <v/>
      </c>
      <c r="BF79">
        <f>IF(BF$4=0,0,IF(COUNTIFS(実績!$W$6:$W$505,BF$3,実績!$AC$6:$AC$505,"&lt;="&amp;$A79,実績!$AD$6:$AD$505,"&gt;"&amp;$A79,実績!$AE$6:$AE$505,"○")&gt;0,1,0))</f>
        <v/>
      </c>
      <c r="BG79">
        <f>IF(BG$4=0,0,IF(COUNTIFS(実績!$W$6:$W$505,BG$3,実績!$AC$6:$AC$505,"&lt;="&amp;$A79,実績!$AD$6:$AD$505,"&gt;"&amp;$A79,実績!$AE$6:$AE$505,"○")&gt;0,1,0))</f>
        <v/>
      </c>
      <c r="BH79">
        <f>IF(BH$4=0,0,IF(COUNTIFS(実績!$W$6:$W$505,BH$3,実績!$AC$6:$AC$505,"&lt;="&amp;$A79,実績!$AD$6:$AD$505,"&gt;"&amp;$A79,実績!$AE$6:$AE$505,"○")&gt;0,1,0))</f>
        <v/>
      </c>
      <c r="BI79">
        <f>IF(BI$4=0,0,IF(COUNTIFS(実績!$W$6:$W$505,BI$3,実績!$AC$6:$AC$505,"&lt;="&amp;$A79,実績!$AD$6:$AD$505,"&gt;"&amp;$A79,実績!$AE$6:$AE$505,"○")&gt;0,1,0))</f>
        <v/>
      </c>
      <c r="BJ79">
        <f>IF(BJ$4=0,0,IF(COUNTIFS(実績!$W$6:$W$505,BJ$3,実績!$AC$6:$AC$505,"&lt;="&amp;$A79,実績!$AD$6:$AD$505,"&gt;"&amp;$A79,実績!$AE$6:$AE$505,"○")&gt;0,1,0))</f>
        <v/>
      </c>
      <c r="BK79">
        <f>IF(BK$4=0,0,IF(COUNTIFS(実績!$W$6:$W$505,BK$3,実績!$AC$6:$AC$505,"&lt;="&amp;$A79,実績!$AD$6:$AD$505,"&gt;"&amp;$A79,実績!$AE$6:$AE$505,"○")&gt;0,1,0))</f>
        <v/>
      </c>
      <c r="BL79">
        <f>IF(BL$4=0,0,IF(COUNTIFS(実績!$W$6:$W$505,BL$3,実績!$AC$6:$AC$505,"&lt;="&amp;$A79,実績!$AD$6:$AD$505,"&gt;"&amp;$A79,実績!$AE$6:$AE$505,"○")&gt;0,1,0))</f>
        <v/>
      </c>
      <c r="BM79">
        <f>IF(BM$4=0,0,IF(COUNTIFS(実績!$W$6:$W$505,BM$3,実績!$AC$6:$AC$505,"&lt;="&amp;$A79,実績!$AD$6:$AD$505,"&gt;"&amp;$A79,実績!$AE$6:$AE$505,"○")&gt;0,1,0))</f>
        <v/>
      </c>
      <c r="BN79">
        <f>IF(BN$4=0,0,IF(COUNTIFS(実績!$W$6:$W$505,BN$3,実績!$AC$6:$AC$505,"&lt;="&amp;$A79,実績!$AD$6:$AD$505,"&gt;"&amp;$A79,実績!$AE$6:$AE$505,"○")&gt;0,1,0))</f>
        <v/>
      </c>
      <c r="BO79">
        <f>IF(BO$4=0,0,IF(COUNTIFS(実績!$W$6:$W$505,BO$3,実績!$AC$6:$AC$505,"&lt;="&amp;$A79,実績!$AD$6:$AD$505,"&gt;"&amp;$A79,実績!$AE$6:$AE$505,"○")&gt;0,1,0))</f>
        <v/>
      </c>
      <c r="BP79">
        <f>IF(BP$4=0,0,IF(COUNTIFS(実績!$W$6:$W$505,BP$3,実績!$AC$6:$AC$505,"&lt;="&amp;$A79,実績!$AD$6:$AD$505,"&gt;"&amp;$A79,実績!$AE$6:$AE$505,"○")&gt;0,1,0))</f>
        <v/>
      </c>
      <c r="BQ79">
        <f>IF(BQ$4=0,0,IF(COUNTIFS(実績!$W$6:$W$505,BQ$3,実績!$AC$6:$AC$505,"&lt;="&amp;$A79,実績!$AD$6:$AD$505,"&gt;"&amp;$A79,実績!$AE$6:$AE$505,"○")&gt;0,1,0))</f>
        <v/>
      </c>
      <c r="BR79">
        <f>IF(BR$4=0,0,IF(COUNTIFS(実績!$W$6:$W$505,BR$3,実績!$AC$6:$AC$505,"&lt;="&amp;$A79,実績!$AD$6:$AD$505,"&gt;"&amp;$A79,実績!$AE$6:$AE$505,"○")&gt;0,1,0))</f>
        <v/>
      </c>
      <c r="BS79">
        <f>IF(BS$4=0,0,IF(COUNTIFS(実績!$W$6:$W$505,BS$3,実績!$AC$6:$AC$505,"&lt;="&amp;$A79,実績!$AD$6:$AD$505,"&gt;"&amp;$A79,実績!$AE$6:$AE$505,"○")&gt;0,1,0))</f>
        <v/>
      </c>
      <c r="BT79">
        <f>IF(BT$4=0,0,IF(COUNTIFS(実績!$W$6:$W$505,BT$3,実績!$AC$6:$AC$505,"&lt;="&amp;$A79,実績!$AD$6:$AD$505,"&gt;"&amp;$A79,実績!$AE$6:$AE$505,"○")&gt;0,1,0))</f>
        <v/>
      </c>
      <c r="BU79">
        <f>IF(BU$4=0,0,IF(COUNTIFS(実績!$W$6:$W$505,BU$3,実績!$AC$6:$AC$505,"&lt;="&amp;$A79,実績!$AD$6:$AD$505,"&gt;"&amp;$A79,実績!$AE$6:$AE$505,"○")&gt;0,1,0))</f>
        <v/>
      </c>
      <c r="BV79">
        <f>IF(BV$4=0,0,IF(COUNTIFS(実績!$W$6:$W$505,BV$3,実績!$AC$6:$AC$505,"&lt;="&amp;$A79,実績!$AD$6:$AD$505,"&gt;"&amp;$A79,実績!$AE$6:$AE$505,"○")&gt;0,1,0))</f>
        <v/>
      </c>
      <c r="BW79">
        <f>IF(BW$4=0,0,IF(COUNTIFS(実績!$W$6:$W$505,BW$3,実績!$AC$6:$AC$505,"&lt;="&amp;$A79,実績!$AD$6:$AD$505,"&gt;"&amp;$A79,実績!$AE$6:$AE$505,"○")&gt;0,1,0))</f>
        <v/>
      </c>
      <c r="BX79">
        <f>IF(BX$4=0,0,IF(COUNTIFS(実績!$W$6:$W$505,BX$3,実績!$AC$6:$AC$505,"&lt;="&amp;$A79,実績!$AD$6:$AD$505,"&gt;"&amp;$A79,実績!$AE$6:$AE$505,"○")&gt;0,1,0))</f>
        <v/>
      </c>
      <c r="BY79">
        <f>IF(BY$4=0,0,IF(COUNTIFS(実績!$W$6:$W$505,BY$3,実績!$AC$6:$AC$505,"&lt;="&amp;$A79,実績!$AD$6:$AD$505,"&gt;"&amp;$A79,実績!$AE$6:$AE$505,"○")&gt;0,1,0))</f>
        <v/>
      </c>
      <c r="BZ79">
        <f>IF(BZ$4=0,0,IF(COUNTIFS(実績!$W$6:$W$505,BZ$3,実績!$AC$6:$AC$505,"&lt;="&amp;$A79,実績!$AD$6:$AD$505,"&gt;"&amp;$A79,実績!$AE$6:$AE$505,"○")&gt;0,1,0))</f>
        <v/>
      </c>
      <c r="CA79">
        <f>IF(CA$4=0,0,IF(COUNTIFS(実績!$W$6:$W$505,CA$3,実績!$AC$6:$AC$505,"&lt;="&amp;$A79,実績!$AD$6:$AD$505,"&gt;"&amp;$A79,実績!$AE$6:$AE$505,"○")&gt;0,1,0))</f>
        <v/>
      </c>
      <c r="CB79">
        <f>IF(CB$4=0,0,IF(COUNTIFS(実績!$W$6:$W$505,CB$3,実績!$AC$6:$AC$505,"&lt;="&amp;$A79,実績!$AD$6:$AD$505,"&gt;"&amp;$A79,実績!$AE$6:$AE$505,"○")&gt;0,1,0))</f>
        <v/>
      </c>
      <c r="CC79">
        <f>IF(CC$4=0,0,IF(COUNTIFS(実績!$W$6:$W$505,CC$3,実績!$AC$6:$AC$505,"&lt;="&amp;$A79,実績!$AD$6:$AD$505,"&gt;"&amp;$A79,実績!$AE$6:$AE$505,"○")&gt;0,1,0))</f>
        <v/>
      </c>
      <c r="CD79">
        <f>IF(CD$4=0,0,IF(COUNTIFS(実績!$W$6:$W$505,CD$3,実績!$AC$6:$AC$505,"&lt;="&amp;$A79,実績!$AD$6:$AD$505,"&gt;"&amp;$A79,実績!$AE$6:$AE$505,"○")&gt;0,1,0))</f>
        <v/>
      </c>
      <c r="CE79">
        <f>IF(CE$4=0,0,IF(COUNTIFS(実績!$W$6:$W$505,CE$3,実績!$AC$6:$AC$505,"&lt;="&amp;$A79,実績!$AD$6:$AD$505,"&gt;"&amp;$A79,実績!$AE$6:$AE$505,"○")&gt;0,1,0))</f>
        <v/>
      </c>
      <c r="CF79">
        <f>IF(CF$4=0,0,IF(COUNTIFS(実績!$W$6:$W$505,CF$3,実績!$AC$6:$AC$505,"&lt;="&amp;$A79,実績!$AD$6:$AD$505,"&gt;"&amp;$A79,実績!$AE$6:$AE$505,"○")&gt;0,1,0))</f>
        <v/>
      </c>
      <c r="CG79">
        <f>IF(CG$4=0,0,IF(COUNTIFS(実績!$W$6:$W$505,CG$3,実績!$AC$6:$AC$505,"&lt;="&amp;$A79,実績!$AD$6:$AD$505,"&gt;"&amp;$A79,実績!$AE$6:$AE$505,"○")&gt;0,1,0))</f>
        <v/>
      </c>
      <c r="CH79">
        <f>IF(CH$4=0,0,IF(COUNTIFS(実績!$W$6:$W$505,CH$3,実績!$AC$6:$AC$505,"&lt;="&amp;$A79,実績!$AD$6:$AD$505,"&gt;"&amp;$A79,実績!$AE$6:$AE$505,"○")&gt;0,1,0))</f>
        <v/>
      </c>
      <c r="CI79">
        <f>IF(CI$4=0,0,IF(COUNTIFS(実績!$W$6:$W$505,CI$3,実績!$AC$6:$AC$505,"&lt;="&amp;$A79,実績!$AD$6:$AD$505,"&gt;"&amp;$A79,実績!$AE$6:$AE$505,"○")&gt;0,1,0))</f>
        <v/>
      </c>
      <c r="CJ79">
        <f>IF(CJ$4=0,0,IF(COUNTIFS(実績!$W$6:$W$505,CJ$3,実績!$AC$6:$AC$505,"&lt;="&amp;$A79,実績!$AD$6:$AD$505,"&gt;"&amp;$A79,実績!$AE$6:$AE$505,"○")&gt;0,1,0))</f>
        <v/>
      </c>
      <c r="CK79">
        <f>IF(CK$4=0,0,IF(COUNTIFS(実績!$W$6:$W$505,CK$3,実績!$AC$6:$AC$505,"&lt;="&amp;$A79,実績!$AD$6:$AD$505,"&gt;"&amp;$A79,実績!$AE$6:$AE$505,"○")&gt;0,1,0))</f>
        <v/>
      </c>
      <c r="CL79">
        <f>IF(CL$4=0,0,IF(COUNTIFS(実績!$W$6:$W$505,CL$3,実績!$AC$6:$AC$505,"&lt;="&amp;$A79,実績!$AD$6:$AD$505,"&gt;"&amp;$A79,実績!$AE$6:$AE$505,"○")&gt;0,1,0))</f>
        <v/>
      </c>
      <c r="CM79">
        <f>IF(CM$4=0,0,IF(COUNTIFS(実績!$W$6:$W$505,CM$3,実績!$AC$6:$AC$505,"&lt;="&amp;$A79,実績!$AD$6:$AD$505,"&gt;"&amp;$A79,実績!$AE$6:$AE$505,"○")&gt;0,1,0))</f>
        <v/>
      </c>
      <c r="CN79">
        <f>IF(CN$4=0,0,IF(COUNTIFS(実績!$W$6:$W$505,CN$3,実績!$AC$6:$AC$505,"&lt;="&amp;$A79,実績!$AD$6:$AD$505,"&gt;"&amp;$A79,実績!$AE$6:$AE$505,"○")&gt;0,1,0))</f>
        <v/>
      </c>
      <c r="CO79">
        <f>IF(CO$4=0,0,IF(COUNTIFS(実績!$W$6:$W$505,CO$3,実績!$AC$6:$AC$505,"&lt;="&amp;$A79,実績!$AD$6:$AD$505,"&gt;"&amp;$A79,実績!$AE$6:$AE$505,"○")&gt;0,1,0))</f>
        <v/>
      </c>
      <c r="CP79">
        <f>IF(CP$4=0,0,IF(COUNTIFS(実績!$W$6:$W$505,CP$3,実績!$AC$6:$AC$505,"&lt;="&amp;$A79,実績!$AD$6:$AD$505,"&gt;"&amp;$A79,実績!$AE$6:$AE$505,"○")&gt;0,1,0))</f>
        <v/>
      </c>
      <c r="CQ79">
        <f>IF(CQ$4=0,0,IF(COUNTIFS(実績!$W$6:$W$505,CQ$3,実績!$AC$6:$AC$505,"&lt;="&amp;$A79,実績!$AD$6:$AD$505,"&gt;"&amp;$A79,実績!$AE$6:$AE$505,"○")&gt;0,1,0))</f>
        <v/>
      </c>
      <c r="CR79">
        <f>IF(CR$4=0,0,IF(COUNTIFS(実績!$W$6:$W$505,CR$3,実績!$AC$6:$AC$505,"&lt;="&amp;$A79,実績!$AD$6:$AD$505,"&gt;"&amp;$A79,実績!$AE$6:$AE$505,"○")&gt;0,1,0))</f>
        <v/>
      </c>
      <c r="CS79">
        <f>IF(CS$4=0,0,IF(COUNTIFS(実績!$W$6:$W$505,CS$3,実績!$AC$6:$AC$505,"&lt;="&amp;$A79,実績!$AD$6:$AD$505,"&gt;"&amp;$A79,実績!$AE$6:$AE$505,"○")&gt;0,1,0))</f>
        <v/>
      </c>
      <c r="CT79">
        <f>IF(CT$4=0,0,IF(COUNTIFS(実績!$W$6:$W$505,CT$3,実績!$AC$6:$AC$505,"&lt;="&amp;$A79,実績!$AD$6:$AD$505,"&gt;"&amp;$A79,実績!$AE$6:$AE$505,"○")&gt;0,1,0))</f>
        <v/>
      </c>
      <c r="CU79">
        <f>IF(CU$4=0,0,IF(COUNTIFS(実績!$W$6:$W$505,CU$3,実績!$AC$6:$AC$505,"&lt;="&amp;$A79,実績!$AD$6:$AD$505,"&gt;"&amp;$A79,実績!$AE$6:$AE$505,"○")&gt;0,1,0))</f>
        <v/>
      </c>
      <c r="CV79">
        <f>IF(CV$4=0,0,IF(COUNTIFS(実績!$W$6:$W$505,CV$3,実績!$AC$6:$AC$505,"&lt;="&amp;$A79,実績!$AD$6:$AD$505,"&gt;"&amp;$A79,実績!$AE$6:$AE$505,"○")&gt;0,1,0))</f>
        <v/>
      </c>
      <c r="CW79">
        <f>IF(CW$4=0,0,IF(COUNTIFS(実績!$W$6:$W$505,CW$3,実績!$AC$6:$AC$505,"&lt;="&amp;$A79,実績!$AD$6:$AD$505,"&gt;"&amp;$A79,実績!$AE$6:$AE$505,"○")&gt;0,1,0))</f>
        <v/>
      </c>
      <c r="CX79">
        <f>IF(CX$4=0,0,IF(COUNTIFS(実績!$W$6:$W$505,CX$3,実績!$AC$6:$AC$505,"&lt;="&amp;$A79,実績!$AD$6:$AD$505,"&gt;"&amp;$A79,実績!$AE$6:$AE$505,"○")&gt;0,1,0))</f>
        <v/>
      </c>
      <c r="CY79">
        <f>IF(CY$4=0,0,IF(COUNTIFS(実績!$W$6:$W$505,CY$3,実績!$AC$6:$AC$505,"&lt;="&amp;$A79,実績!$AD$6:$AD$505,"&gt;"&amp;$A79,実績!$AE$6:$AE$505,"○")&gt;0,1,0))</f>
        <v/>
      </c>
      <c r="CZ79">
        <f>IF(CZ$4=0,0,IF(COUNTIFS(実績!$W$6:$W$505,CZ$3,実績!$AC$6:$AC$505,"&lt;="&amp;$A79,実績!$AD$6:$AD$505,"&gt;"&amp;$A79,実績!$AE$6:$AE$505,"○")&gt;0,1,0))</f>
        <v/>
      </c>
      <c r="DA79">
        <f>IF(DA$4=0,0,IF(COUNTIFS(実績!$W$6:$W$505,DA$3,実績!$AC$6:$AC$505,"&lt;="&amp;$A79,実績!$AD$6:$AD$505,"&gt;"&amp;$A79,実績!$AE$6:$AE$505,"○")&gt;0,1,0))</f>
        <v/>
      </c>
      <c r="DB79">
        <f>IF(DB$4=0,0,IF(COUNTIFS(実績!$W$6:$W$505,DB$3,実績!$AC$6:$AC$505,"&lt;="&amp;$A79,実績!$AD$6:$AD$505,"&gt;"&amp;$A79,実績!$AE$6:$AE$505,"○")&gt;0,1,0))</f>
        <v/>
      </c>
      <c r="DC79">
        <f>IF(DC$4=0,0,IF(COUNTIFS(実績!$W$6:$W$505,DC$3,実績!$AC$6:$AC$505,"&lt;="&amp;$A79,実績!$AD$6:$AD$505,"&gt;"&amp;$A79,実績!$AE$6:$AE$505,"○")&gt;0,1,0))</f>
        <v/>
      </c>
      <c r="DD79">
        <f>IF(DD$4=0,0,IF(COUNTIFS(実績!$W$6:$W$505,DD$3,実績!$AC$6:$AC$505,"&lt;="&amp;$A79,実績!$AD$6:$AD$505,"&gt;"&amp;$A79,実績!$AE$6:$AE$505,"○")&gt;0,1,0))</f>
        <v/>
      </c>
      <c r="DE79">
        <f>IF(DE$4=0,0,IF(COUNTIFS(実績!$W$6:$W$505,DE$3,実績!$AC$6:$AC$505,"&lt;="&amp;$A79,実績!$AD$6:$AD$505,"&gt;"&amp;$A79,実績!$AE$6:$AE$505,"○")&gt;0,1,0))</f>
        <v/>
      </c>
      <c r="DF79">
        <f>IF(DF$4=0,0,IF(COUNTIFS(実績!$W$6:$W$505,DF$3,実績!$AC$6:$AC$505,"&lt;="&amp;$A79,実績!$AD$6:$AD$505,"&gt;"&amp;$A79,実績!$AE$6:$AE$505,"○")&gt;0,1,0))</f>
        <v/>
      </c>
      <c r="DG79">
        <f>IF(DG$4=0,0,IF(COUNTIFS(実績!$W$6:$W$505,DG$3,実績!$AC$6:$AC$505,"&lt;="&amp;$A79,実績!$AD$6:$AD$505,"&gt;"&amp;$A79,実績!$AE$6:$AE$505,"○")&gt;0,1,0))</f>
        <v/>
      </c>
      <c r="DH79">
        <f>IF(DH$4=0,0,IF(COUNTIFS(実績!$W$6:$W$505,DH$3,実績!$AC$6:$AC$505,"&lt;="&amp;$A79,実績!$AD$6:$AD$505,"&gt;"&amp;$A79,実績!$AE$6:$AE$505,"○")&gt;0,1,0))</f>
        <v/>
      </c>
      <c r="DI79">
        <f>IF(DI$4=0,0,IF(COUNTIFS(実績!$W$6:$W$505,DI$3,実績!$AC$6:$AC$505,"&lt;="&amp;$A79,実績!$AD$6:$AD$505,"&gt;"&amp;$A79,実績!$AE$6:$AE$505,"○")&gt;0,1,0))</f>
        <v/>
      </c>
      <c r="DJ79">
        <f>IF(DJ$4=0,0,IF(COUNTIFS(実績!$W$6:$W$505,DJ$3,実績!$AC$6:$AC$505,"&lt;="&amp;$A79,実績!$AD$6:$AD$505,"&gt;"&amp;$A79,実績!$AE$6:$AE$505,"○")&gt;0,1,0))</f>
        <v/>
      </c>
      <c r="DK79">
        <f>IF(DK$4=0,0,IF(COUNTIFS(実績!$W$6:$W$505,DK$3,実績!$AC$6:$AC$505,"&lt;="&amp;$A79,実績!$AD$6:$AD$505,"&gt;"&amp;$A79,実績!$AE$6:$AE$505,"○")&gt;0,1,0))</f>
        <v/>
      </c>
      <c r="DL79">
        <f>IF(DL$4=0,0,IF(COUNTIFS(実績!$W$6:$W$505,DL$3,実績!$AC$6:$AC$505,"&lt;="&amp;$A79,実績!$AD$6:$AD$505,"&gt;"&amp;$A79,実績!$AE$6:$AE$505,"○")&gt;0,1,0))</f>
        <v/>
      </c>
      <c r="DM79">
        <f>IF(DM$4=0,0,IF(COUNTIFS(実績!$W$6:$W$505,DM$3,実績!$AC$6:$AC$505,"&lt;="&amp;$A79,実績!$AD$6:$AD$505,"&gt;"&amp;$A79,実績!$AE$6:$AE$505,"○")&gt;0,1,0))</f>
        <v/>
      </c>
      <c r="DN79">
        <f>IF(DN$4=0,0,IF(COUNTIFS(実績!$W$6:$W$505,DN$3,実績!$AC$6:$AC$505,"&lt;="&amp;$A79,実績!$AD$6:$AD$505,"&gt;"&amp;$A79,実績!$AE$6:$AE$505,"○")&gt;0,1,0))</f>
        <v/>
      </c>
      <c r="DO79">
        <f>IF(DO$4=0,0,IF(COUNTIFS(実績!$W$6:$W$505,DO$3,実績!$AC$6:$AC$505,"&lt;="&amp;$A79,実績!$AD$6:$AD$505,"&gt;"&amp;$A79,実績!$AE$6:$AE$505,"○")&gt;0,1,0))</f>
        <v/>
      </c>
      <c r="DP79">
        <f>IF(DP$4=0,0,IF(COUNTIFS(実績!$W$6:$W$505,DP$3,実績!$AC$6:$AC$505,"&lt;="&amp;$A79,実績!$AD$6:$AD$505,"&gt;"&amp;$A79,実績!$AE$6:$AE$505,"○")&gt;0,1,0))</f>
        <v/>
      </c>
      <c r="DQ79">
        <f>IF(DQ$4=0,0,IF(COUNTIFS(実績!$W$6:$W$505,DQ$3,実績!$AC$6:$AC$505,"&lt;="&amp;$A79,実績!$AD$6:$AD$505,"&gt;"&amp;$A79,実績!$AE$6:$AE$505,"○")&gt;0,1,0))</f>
        <v/>
      </c>
      <c r="DR79">
        <f>IF(DR$4=0,0,IF(COUNTIFS(実績!$W$6:$W$505,DR$3,実績!$AC$6:$AC$505,"&lt;="&amp;$A79,実績!$AD$6:$AD$505,"&gt;"&amp;$A79,実績!$AE$6:$AE$505,"○")&gt;0,1,0))</f>
        <v/>
      </c>
      <c r="DS79">
        <f>SUM(C79:DR79)</f>
        <v/>
      </c>
      <c r="DT79">
        <f>SUMPRODUCT((実績!$C$6:$C$505="○")*ISNUMBER(実績!$AF$6:$AF$505)*(実績!$AF$6:$AF$505&lt;=$A79)*(実績!$AG$6:$AG$505&gt;$A79))</f>
        <v/>
      </c>
      <c r="DU79">
        <f>SUMIF($C$2:$DR$2,"製鉄曳船",C79:DR79)</f>
        <v/>
      </c>
      <c r="DV79">
        <f>SUMIF($C$2:$DR$2,"西日本海運",C79:DR79)</f>
        <v/>
      </c>
    </row>
    <row r="80">
      <c r="A80" t="n">
        <v>370</v>
      </c>
      <c r="B80" s="29">
        <f>A80/1440</f>
        <v/>
      </c>
      <c r="C80">
        <f>IF(C$4=0,0,IF(COUNTIFS(実績!$W$6:$W$505,C$3,実績!$AC$6:$AC$505,"&lt;="&amp;$A80,実績!$AD$6:$AD$505,"&gt;"&amp;$A80,実績!$AE$6:$AE$505,"○")&gt;0,1,0))</f>
        <v/>
      </c>
      <c r="D80">
        <f>IF(D$4=0,0,IF(COUNTIFS(実績!$W$6:$W$505,D$3,実績!$AC$6:$AC$505,"&lt;="&amp;$A80,実績!$AD$6:$AD$505,"&gt;"&amp;$A80,実績!$AE$6:$AE$505,"○")&gt;0,1,0))</f>
        <v/>
      </c>
      <c r="E80">
        <f>IF(E$4=0,0,IF(COUNTIFS(実績!$W$6:$W$505,E$3,実績!$AC$6:$AC$505,"&lt;="&amp;$A80,実績!$AD$6:$AD$505,"&gt;"&amp;$A80,実績!$AE$6:$AE$505,"○")&gt;0,1,0))</f>
        <v/>
      </c>
      <c r="F80">
        <f>IF(F$4=0,0,IF(COUNTIFS(実績!$W$6:$W$505,F$3,実績!$AC$6:$AC$505,"&lt;="&amp;$A80,実績!$AD$6:$AD$505,"&gt;"&amp;$A80,実績!$AE$6:$AE$505,"○")&gt;0,1,0))</f>
        <v/>
      </c>
      <c r="G80">
        <f>IF(G$4=0,0,IF(COUNTIFS(実績!$W$6:$W$505,G$3,実績!$AC$6:$AC$505,"&lt;="&amp;$A80,実績!$AD$6:$AD$505,"&gt;"&amp;$A80,実績!$AE$6:$AE$505,"○")&gt;0,1,0))</f>
        <v/>
      </c>
      <c r="H80">
        <f>IF(H$4=0,0,IF(COUNTIFS(実績!$W$6:$W$505,H$3,実績!$AC$6:$AC$505,"&lt;="&amp;$A80,実績!$AD$6:$AD$505,"&gt;"&amp;$A80,実績!$AE$6:$AE$505,"○")&gt;0,1,0))</f>
        <v/>
      </c>
      <c r="I80">
        <f>IF(I$4=0,0,IF(COUNTIFS(実績!$W$6:$W$505,I$3,実績!$AC$6:$AC$505,"&lt;="&amp;$A80,実績!$AD$6:$AD$505,"&gt;"&amp;$A80,実績!$AE$6:$AE$505,"○")&gt;0,1,0))</f>
        <v/>
      </c>
      <c r="J80">
        <f>IF(J$4=0,0,IF(COUNTIFS(実績!$W$6:$W$505,J$3,実績!$AC$6:$AC$505,"&lt;="&amp;$A80,実績!$AD$6:$AD$505,"&gt;"&amp;$A80,実績!$AE$6:$AE$505,"○")&gt;0,1,0))</f>
        <v/>
      </c>
      <c r="K80">
        <f>IF(K$4=0,0,IF(COUNTIFS(実績!$W$6:$W$505,K$3,実績!$AC$6:$AC$505,"&lt;="&amp;$A80,実績!$AD$6:$AD$505,"&gt;"&amp;$A80,実績!$AE$6:$AE$505,"○")&gt;0,1,0))</f>
        <v/>
      </c>
      <c r="L80">
        <f>IF(L$4=0,0,IF(COUNTIFS(実績!$W$6:$W$505,L$3,実績!$AC$6:$AC$505,"&lt;="&amp;$A80,実績!$AD$6:$AD$505,"&gt;"&amp;$A80,実績!$AE$6:$AE$505,"○")&gt;0,1,0))</f>
        <v/>
      </c>
      <c r="M80">
        <f>IF(M$4=0,0,IF(COUNTIFS(実績!$W$6:$W$505,M$3,実績!$AC$6:$AC$505,"&lt;="&amp;$A80,実績!$AD$6:$AD$505,"&gt;"&amp;$A80,実績!$AE$6:$AE$505,"○")&gt;0,1,0))</f>
        <v/>
      </c>
      <c r="N80">
        <f>IF(N$4=0,0,IF(COUNTIFS(実績!$W$6:$W$505,N$3,実績!$AC$6:$AC$505,"&lt;="&amp;$A80,実績!$AD$6:$AD$505,"&gt;"&amp;$A80,実績!$AE$6:$AE$505,"○")&gt;0,1,0))</f>
        <v/>
      </c>
      <c r="O80">
        <f>IF(O$4=0,0,IF(COUNTIFS(実績!$W$6:$W$505,O$3,実績!$AC$6:$AC$505,"&lt;="&amp;$A80,実績!$AD$6:$AD$505,"&gt;"&amp;$A80,実績!$AE$6:$AE$505,"○")&gt;0,1,0))</f>
        <v/>
      </c>
      <c r="P80">
        <f>IF(P$4=0,0,IF(COUNTIFS(実績!$W$6:$W$505,P$3,実績!$AC$6:$AC$505,"&lt;="&amp;$A80,実績!$AD$6:$AD$505,"&gt;"&amp;$A80,実績!$AE$6:$AE$505,"○")&gt;0,1,0))</f>
        <v/>
      </c>
      <c r="Q80">
        <f>IF(Q$4=0,0,IF(COUNTIFS(実績!$W$6:$W$505,Q$3,実績!$AC$6:$AC$505,"&lt;="&amp;$A80,実績!$AD$6:$AD$505,"&gt;"&amp;$A80,実績!$AE$6:$AE$505,"○")&gt;0,1,0))</f>
        <v/>
      </c>
      <c r="R80">
        <f>IF(R$4=0,0,IF(COUNTIFS(実績!$W$6:$W$505,R$3,実績!$AC$6:$AC$505,"&lt;="&amp;$A80,実績!$AD$6:$AD$505,"&gt;"&amp;$A80,実績!$AE$6:$AE$505,"○")&gt;0,1,0))</f>
        <v/>
      </c>
      <c r="S80">
        <f>IF(S$4=0,0,IF(COUNTIFS(実績!$W$6:$W$505,S$3,実績!$AC$6:$AC$505,"&lt;="&amp;$A80,実績!$AD$6:$AD$505,"&gt;"&amp;$A80,実績!$AE$6:$AE$505,"○")&gt;0,1,0))</f>
        <v/>
      </c>
      <c r="T80">
        <f>IF(T$4=0,0,IF(COUNTIFS(実績!$W$6:$W$505,T$3,実績!$AC$6:$AC$505,"&lt;="&amp;$A80,実績!$AD$6:$AD$505,"&gt;"&amp;$A80,実績!$AE$6:$AE$505,"○")&gt;0,1,0))</f>
        <v/>
      </c>
      <c r="U80">
        <f>IF(U$4=0,0,IF(COUNTIFS(実績!$W$6:$W$505,U$3,実績!$AC$6:$AC$505,"&lt;="&amp;$A80,実績!$AD$6:$AD$505,"&gt;"&amp;$A80,実績!$AE$6:$AE$505,"○")&gt;0,1,0))</f>
        <v/>
      </c>
      <c r="V80">
        <f>IF(V$4=0,0,IF(COUNTIFS(実績!$W$6:$W$505,V$3,実績!$AC$6:$AC$505,"&lt;="&amp;$A80,実績!$AD$6:$AD$505,"&gt;"&amp;$A80,実績!$AE$6:$AE$505,"○")&gt;0,1,0))</f>
        <v/>
      </c>
      <c r="W80">
        <f>IF(W$4=0,0,IF(COUNTIFS(実績!$W$6:$W$505,W$3,実績!$AC$6:$AC$505,"&lt;="&amp;$A80,実績!$AD$6:$AD$505,"&gt;"&amp;$A80,実績!$AE$6:$AE$505,"○")&gt;0,1,0))</f>
        <v/>
      </c>
      <c r="X80">
        <f>IF(X$4=0,0,IF(COUNTIFS(実績!$W$6:$W$505,X$3,実績!$AC$6:$AC$505,"&lt;="&amp;$A80,実績!$AD$6:$AD$505,"&gt;"&amp;$A80,実績!$AE$6:$AE$505,"○")&gt;0,1,0))</f>
        <v/>
      </c>
      <c r="Y80">
        <f>IF(Y$4=0,0,IF(COUNTIFS(実績!$W$6:$W$505,Y$3,実績!$AC$6:$AC$505,"&lt;="&amp;$A80,実績!$AD$6:$AD$505,"&gt;"&amp;$A80,実績!$AE$6:$AE$505,"○")&gt;0,1,0))</f>
        <v/>
      </c>
      <c r="Z80">
        <f>IF(Z$4=0,0,IF(COUNTIFS(実績!$W$6:$W$505,Z$3,実績!$AC$6:$AC$505,"&lt;="&amp;$A80,実績!$AD$6:$AD$505,"&gt;"&amp;$A80,実績!$AE$6:$AE$505,"○")&gt;0,1,0))</f>
        <v/>
      </c>
      <c r="AA80">
        <f>IF(AA$4=0,0,IF(COUNTIFS(実績!$W$6:$W$505,AA$3,実績!$AC$6:$AC$505,"&lt;="&amp;$A80,実績!$AD$6:$AD$505,"&gt;"&amp;$A80,実績!$AE$6:$AE$505,"○")&gt;0,1,0))</f>
        <v/>
      </c>
      <c r="AB80">
        <f>IF(AB$4=0,0,IF(COUNTIFS(実績!$W$6:$W$505,AB$3,実績!$AC$6:$AC$505,"&lt;="&amp;$A80,実績!$AD$6:$AD$505,"&gt;"&amp;$A80,実績!$AE$6:$AE$505,"○")&gt;0,1,0))</f>
        <v/>
      </c>
      <c r="AC80">
        <f>IF(AC$4=0,0,IF(COUNTIFS(実績!$W$6:$W$505,AC$3,実績!$AC$6:$AC$505,"&lt;="&amp;$A80,実績!$AD$6:$AD$505,"&gt;"&amp;$A80,実績!$AE$6:$AE$505,"○")&gt;0,1,0))</f>
        <v/>
      </c>
      <c r="AD80">
        <f>IF(AD$4=0,0,IF(COUNTIFS(実績!$W$6:$W$505,AD$3,実績!$AC$6:$AC$505,"&lt;="&amp;$A80,実績!$AD$6:$AD$505,"&gt;"&amp;$A80,実績!$AE$6:$AE$505,"○")&gt;0,1,0))</f>
        <v/>
      </c>
      <c r="AE80">
        <f>IF(AE$4=0,0,IF(COUNTIFS(実績!$W$6:$W$505,AE$3,実績!$AC$6:$AC$505,"&lt;="&amp;$A80,実績!$AD$6:$AD$505,"&gt;"&amp;$A80,実績!$AE$6:$AE$505,"○")&gt;0,1,0))</f>
        <v/>
      </c>
      <c r="AF80">
        <f>IF(AF$4=0,0,IF(COUNTIFS(実績!$W$6:$W$505,AF$3,実績!$AC$6:$AC$505,"&lt;="&amp;$A80,実績!$AD$6:$AD$505,"&gt;"&amp;$A80,実績!$AE$6:$AE$505,"○")&gt;0,1,0))</f>
        <v/>
      </c>
      <c r="AG80">
        <f>IF(AG$4=0,0,IF(COUNTIFS(実績!$W$6:$W$505,AG$3,実績!$AC$6:$AC$505,"&lt;="&amp;$A80,実績!$AD$6:$AD$505,"&gt;"&amp;$A80,実績!$AE$6:$AE$505,"○")&gt;0,1,0))</f>
        <v/>
      </c>
      <c r="AH80">
        <f>IF(AH$4=0,0,IF(COUNTIFS(実績!$W$6:$W$505,AH$3,実績!$AC$6:$AC$505,"&lt;="&amp;$A80,実績!$AD$6:$AD$505,"&gt;"&amp;$A80,実績!$AE$6:$AE$505,"○")&gt;0,1,0))</f>
        <v/>
      </c>
      <c r="AI80">
        <f>IF(AI$4=0,0,IF(COUNTIFS(実績!$W$6:$W$505,AI$3,実績!$AC$6:$AC$505,"&lt;="&amp;$A80,実績!$AD$6:$AD$505,"&gt;"&amp;$A80,実績!$AE$6:$AE$505,"○")&gt;0,1,0))</f>
        <v/>
      </c>
      <c r="AJ80">
        <f>IF(AJ$4=0,0,IF(COUNTIFS(実績!$W$6:$W$505,AJ$3,実績!$AC$6:$AC$505,"&lt;="&amp;$A80,実績!$AD$6:$AD$505,"&gt;"&amp;$A80,実績!$AE$6:$AE$505,"○")&gt;0,1,0))</f>
        <v/>
      </c>
      <c r="AK80">
        <f>IF(AK$4=0,0,IF(COUNTIFS(実績!$W$6:$W$505,AK$3,実績!$AC$6:$AC$505,"&lt;="&amp;$A80,実績!$AD$6:$AD$505,"&gt;"&amp;$A80,実績!$AE$6:$AE$505,"○")&gt;0,1,0))</f>
        <v/>
      </c>
      <c r="AL80">
        <f>IF(AL$4=0,0,IF(COUNTIFS(実績!$W$6:$W$505,AL$3,実績!$AC$6:$AC$505,"&lt;="&amp;$A80,実績!$AD$6:$AD$505,"&gt;"&amp;$A80,実績!$AE$6:$AE$505,"○")&gt;0,1,0))</f>
        <v/>
      </c>
      <c r="AM80">
        <f>IF(AM$4=0,0,IF(COUNTIFS(実績!$W$6:$W$505,AM$3,実績!$AC$6:$AC$505,"&lt;="&amp;$A80,実績!$AD$6:$AD$505,"&gt;"&amp;$A80,実績!$AE$6:$AE$505,"○")&gt;0,1,0))</f>
        <v/>
      </c>
      <c r="AN80">
        <f>IF(AN$4=0,0,IF(COUNTIFS(実績!$W$6:$W$505,AN$3,実績!$AC$6:$AC$505,"&lt;="&amp;$A80,実績!$AD$6:$AD$505,"&gt;"&amp;$A80,実績!$AE$6:$AE$505,"○")&gt;0,1,0))</f>
        <v/>
      </c>
      <c r="AO80">
        <f>IF(AO$4=0,0,IF(COUNTIFS(実績!$W$6:$W$505,AO$3,実績!$AC$6:$AC$505,"&lt;="&amp;$A80,実績!$AD$6:$AD$505,"&gt;"&amp;$A80,実績!$AE$6:$AE$505,"○")&gt;0,1,0))</f>
        <v/>
      </c>
      <c r="AP80">
        <f>IF(AP$4=0,0,IF(COUNTIFS(実績!$W$6:$W$505,AP$3,実績!$AC$6:$AC$505,"&lt;="&amp;$A80,実績!$AD$6:$AD$505,"&gt;"&amp;$A80,実績!$AE$6:$AE$505,"○")&gt;0,1,0))</f>
        <v/>
      </c>
      <c r="AQ80">
        <f>IF(AQ$4=0,0,IF(COUNTIFS(実績!$W$6:$W$505,AQ$3,実績!$AC$6:$AC$505,"&lt;="&amp;$A80,実績!$AD$6:$AD$505,"&gt;"&amp;$A80,実績!$AE$6:$AE$505,"○")&gt;0,1,0))</f>
        <v/>
      </c>
      <c r="AR80">
        <f>IF(AR$4=0,0,IF(COUNTIFS(実績!$W$6:$W$505,AR$3,実績!$AC$6:$AC$505,"&lt;="&amp;$A80,実績!$AD$6:$AD$505,"&gt;"&amp;$A80,実績!$AE$6:$AE$505,"○")&gt;0,1,0))</f>
        <v/>
      </c>
      <c r="AS80">
        <f>IF(AS$4=0,0,IF(COUNTIFS(実績!$W$6:$W$505,AS$3,実績!$AC$6:$AC$505,"&lt;="&amp;$A80,実績!$AD$6:$AD$505,"&gt;"&amp;$A80,実績!$AE$6:$AE$505,"○")&gt;0,1,0))</f>
        <v/>
      </c>
      <c r="AT80">
        <f>IF(AT$4=0,0,IF(COUNTIFS(実績!$W$6:$W$505,AT$3,実績!$AC$6:$AC$505,"&lt;="&amp;$A80,実績!$AD$6:$AD$505,"&gt;"&amp;$A80,実績!$AE$6:$AE$505,"○")&gt;0,1,0))</f>
        <v/>
      </c>
      <c r="AU80">
        <f>IF(AU$4=0,0,IF(COUNTIFS(実績!$W$6:$W$505,AU$3,実績!$AC$6:$AC$505,"&lt;="&amp;$A80,実績!$AD$6:$AD$505,"&gt;"&amp;$A80,実績!$AE$6:$AE$505,"○")&gt;0,1,0))</f>
        <v/>
      </c>
      <c r="AV80">
        <f>IF(AV$4=0,0,IF(COUNTIFS(実績!$W$6:$W$505,AV$3,実績!$AC$6:$AC$505,"&lt;="&amp;$A80,実績!$AD$6:$AD$505,"&gt;"&amp;$A80,実績!$AE$6:$AE$505,"○")&gt;0,1,0))</f>
        <v/>
      </c>
      <c r="AW80">
        <f>IF(AW$4=0,0,IF(COUNTIFS(実績!$W$6:$W$505,AW$3,実績!$AC$6:$AC$505,"&lt;="&amp;$A80,実績!$AD$6:$AD$505,"&gt;"&amp;$A80,実績!$AE$6:$AE$505,"○")&gt;0,1,0))</f>
        <v/>
      </c>
      <c r="AX80">
        <f>IF(AX$4=0,0,IF(COUNTIFS(実績!$W$6:$W$505,AX$3,実績!$AC$6:$AC$505,"&lt;="&amp;$A80,実績!$AD$6:$AD$505,"&gt;"&amp;$A80,実績!$AE$6:$AE$505,"○")&gt;0,1,0))</f>
        <v/>
      </c>
      <c r="AY80">
        <f>IF(AY$4=0,0,IF(COUNTIFS(実績!$W$6:$W$505,AY$3,実績!$AC$6:$AC$505,"&lt;="&amp;$A80,実績!$AD$6:$AD$505,"&gt;"&amp;$A80,実績!$AE$6:$AE$505,"○")&gt;0,1,0))</f>
        <v/>
      </c>
      <c r="AZ80">
        <f>IF(AZ$4=0,0,IF(COUNTIFS(実績!$W$6:$W$505,AZ$3,実績!$AC$6:$AC$505,"&lt;="&amp;$A80,実績!$AD$6:$AD$505,"&gt;"&amp;$A80,実績!$AE$6:$AE$505,"○")&gt;0,1,0))</f>
        <v/>
      </c>
      <c r="BA80">
        <f>IF(BA$4=0,0,IF(COUNTIFS(実績!$W$6:$W$505,BA$3,実績!$AC$6:$AC$505,"&lt;="&amp;$A80,実績!$AD$6:$AD$505,"&gt;"&amp;$A80,実績!$AE$6:$AE$505,"○")&gt;0,1,0))</f>
        <v/>
      </c>
      <c r="BB80">
        <f>IF(BB$4=0,0,IF(COUNTIFS(実績!$W$6:$W$505,BB$3,実績!$AC$6:$AC$505,"&lt;="&amp;$A80,実績!$AD$6:$AD$505,"&gt;"&amp;$A80,実績!$AE$6:$AE$505,"○")&gt;0,1,0))</f>
        <v/>
      </c>
      <c r="BC80">
        <f>IF(BC$4=0,0,IF(COUNTIFS(実績!$W$6:$W$505,BC$3,実績!$AC$6:$AC$505,"&lt;="&amp;$A80,実績!$AD$6:$AD$505,"&gt;"&amp;$A80,実績!$AE$6:$AE$505,"○")&gt;0,1,0))</f>
        <v/>
      </c>
      <c r="BD80">
        <f>IF(BD$4=0,0,IF(COUNTIFS(実績!$W$6:$W$505,BD$3,実績!$AC$6:$AC$505,"&lt;="&amp;$A80,実績!$AD$6:$AD$505,"&gt;"&amp;$A80,実績!$AE$6:$AE$505,"○")&gt;0,1,0))</f>
        <v/>
      </c>
      <c r="BE80">
        <f>IF(BE$4=0,0,IF(COUNTIFS(実績!$W$6:$W$505,BE$3,実績!$AC$6:$AC$505,"&lt;="&amp;$A80,実績!$AD$6:$AD$505,"&gt;"&amp;$A80,実績!$AE$6:$AE$505,"○")&gt;0,1,0))</f>
        <v/>
      </c>
      <c r="BF80">
        <f>IF(BF$4=0,0,IF(COUNTIFS(実績!$W$6:$W$505,BF$3,実績!$AC$6:$AC$505,"&lt;="&amp;$A80,実績!$AD$6:$AD$505,"&gt;"&amp;$A80,実績!$AE$6:$AE$505,"○")&gt;0,1,0))</f>
        <v/>
      </c>
      <c r="BG80">
        <f>IF(BG$4=0,0,IF(COUNTIFS(実績!$W$6:$W$505,BG$3,実績!$AC$6:$AC$505,"&lt;="&amp;$A80,実績!$AD$6:$AD$505,"&gt;"&amp;$A80,実績!$AE$6:$AE$505,"○")&gt;0,1,0))</f>
        <v/>
      </c>
      <c r="BH80">
        <f>IF(BH$4=0,0,IF(COUNTIFS(実績!$W$6:$W$505,BH$3,実績!$AC$6:$AC$505,"&lt;="&amp;$A80,実績!$AD$6:$AD$505,"&gt;"&amp;$A80,実績!$AE$6:$AE$505,"○")&gt;0,1,0))</f>
        <v/>
      </c>
      <c r="BI80">
        <f>IF(BI$4=0,0,IF(COUNTIFS(実績!$W$6:$W$505,BI$3,実績!$AC$6:$AC$505,"&lt;="&amp;$A80,実績!$AD$6:$AD$505,"&gt;"&amp;$A80,実績!$AE$6:$AE$505,"○")&gt;0,1,0))</f>
        <v/>
      </c>
      <c r="BJ80">
        <f>IF(BJ$4=0,0,IF(COUNTIFS(実績!$W$6:$W$505,BJ$3,実績!$AC$6:$AC$505,"&lt;="&amp;$A80,実績!$AD$6:$AD$505,"&gt;"&amp;$A80,実績!$AE$6:$AE$505,"○")&gt;0,1,0))</f>
        <v/>
      </c>
      <c r="BK80">
        <f>IF(BK$4=0,0,IF(COUNTIFS(実績!$W$6:$W$505,BK$3,実績!$AC$6:$AC$505,"&lt;="&amp;$A80,実績!$AD$6:$AD$505,"&gt;"&amp;$A80,実績!$AE$6:$AE$505,"○")&gt;0,1,0))</f>
        <v/>
      </c>
      <c r="BL80">
        <f>IF(BL$4=0,0,IF(COUNTIFS(実績!$W$6:$W$505,BL$3,実績!$AC$6:$AC$505,"&lt;="&amp;$A80,実績!$AD$6:$AD$505,"&gt;"&amp;$A80,実績!$AE$6:$AE$505,"○")&gt;0,1,0))</f>
        <v/>
      </c>
      <c r="BM80">
        <f>IF(BM$4=0,0,IF(COUNTIFS(実績!$W$6:$W$505,BM$3,実績!$AC$6:$AC$505,"&lt;="&amp;$A80,実績!$AD$6:$AD$505,"&gt;"&amp;$A80,実績!$AE$6:$AE$505,"○")&gt;0,1,0))</f>
        <v/>
      </c>
      <c r="BN80">
        <f>IF(BN$4=0,0,IF(COUNTIFS(実績!$W$6:$W$505,BN$3,実績!$AC$6:$AC$505,"&lt;="&amp;$A80,実績!$AD$6:$AD$505,"&gt;"&amp;$A80,実績!$AE$6:$AE$505,"○")&gt;0,1,0))</f>
        <v/>
      </c>
      <c r="BO80">
        <f>IF(BO$4=0,0,IF(COUNTIFS(実績!$W$6:$W$505,BO$3,実績!$AC$6:$AC$505,"&lt;="&amp;$A80,実績!$AD$6:$AD$505,"&gt;"&amp;$A80,実績!$AE$6:$AE$505,"○")&gt;0,1,0))</f>
        <v/>
      </c>
      <c r="BP80">
        <f>IF(BP$4=0,0,IF(COUNTIFS(実績!$W$6:$W$505,BP$3,実績!$AC$6:$AC$505,"&lt;="&amp;$A80,実績!$AD$6:$AD$505,"&gt;"&amp;$A80,実績!$AE$6:$AE$505,"○")&gt;0,1,0))</f>
        <v/>
      </c>
      <c r="BQ80">
        <f>IF(BQ$4=0,0,IF(COUNTIFS(実績!$W$6:$W$505,BQ$3,実績!$AC$6:$AC$505,"&lt;="&amp;$A80,実績!$AD$6:$AD$505,"&gt;"&amp;$A80,実績!$AE$6:$AE$505,"○")&gt;0,1,0))</f>
        <v/>
      </c>
      <c r="BR80">
        <f>IF(BR$4=0,0,IF(COUNTIFS(実績!$W$6:$W$505,BR$3,実績!$AC$6:$AC$505,"&lt;="&amp;$A80,実績!$AD$6:$AD$505,"&gt;"&amp;$A80,実績!$AE$6:$AE$505,"○")&gt;0,1,0))</f>
        <v/>
      </c>
      <c r="BS80">
        <f>IF(BS$4=0,0,IF(COUNTIFS(実績!$W$6:$W$505,BS$3,実績!$AC$6:$AC$505,"&lt;="&amp;$A80,実績!$AD$6:$AD$505,"&gt;"&amp;$A80,実績!$AE$6:$AE$505,"○")&gt;0,1,0))</f>
        <v/>
      </c>
      <c r="BT80">
        <f>IF(BT$4=0,0,IF(COUNTIFS(実績!$W$6:$W$505,BT$3,実績!$AC$6:$AC$505,"&lt;="&amp;$A80,実績!$AD$6:$AD$505,"&gt;"&amp;$A80,実績!$AE$6:$AE$505,"○")&gt;0,1,0))</f>
        <v/>
      </c>
      <c r="BU80">
        <f>IF(BU$4=0,0,IF(COUNTIFS(実績!$W$6:$W$505,BU$3,実績!$AC$6:$AC$505,"&lt;="&amp;$A80,実績!$AD$6:$AD$505,"&gt;"&amp;$A80,実績!$AE$6:$AE$505,"○")&gt;0,1,0))</f>
        <v/>
      </c>
      <c r="BV80">
        <f>IF(BV$4=0,0,IF(COUNTIFS(実績!$W$6:$W$505,BV$3,実績!$AC$6:$AC$505,"&lt;="&amp;$A80,実績!$AD$6:$AD$505,"&gt;"&amp;$A80,実績!$AE$6:$AE$505,"○")&gt;0,1,0))</f>
        <v/>
      </c>
      <c r="BW80">
        <f>IF(BW$4=0,0,IF(COUNTIFS(実績!$W$6:$W$505,BW$3,実績!$AC$6:$AC$505,"&lt;="&amp;$A80,実績!$AD$6:$AD$505,"&gt;"&amp;$A80,実績!$AE$6:$AE$505,"○")&gt;0,1,0))</f>
        <v/>
      </c>
      <c r="BX80">
        <f>IF(BX$4=0,0,IF(COUNTIFS(実績!$W$6:$W$505,BX$3,実績!$AC$6:$AC$505,"&lt;="&amp;$A80,実績!$AD$6:$AD$505,"&gt;"&amp;$A80,実績!$AE$6:$AE$505,"○")&gt;0,1,0))</f>
        <v/>
      </c>
      <c r="BY80">
        <f>IF(BY$4=0,0,IF(COUNTIFS(実績!$W$6:$W$505,BY$3,実績!$AC$6:$AC$505,"&lt;="&amp;$A80,実績!$AD$6:$AD$505,"&gt;"&amp;$A80,実績!$AE$6:$AE$505,"○")&gt;0,1,0))</f>
        <v/>
      </c>
      <c r="BZ80">
        <f>IF(BZ$4=0,0,IF(COUNTIFS(実績!$W$6:$W$505,BZ$3,実績!$AC$6:$AC$505,"&lt;="&amp;$A80,実績!$AD$6:$AD$505,"&gt;"&amp;$A80,実績!$AE$6:$AE$505,"○")&gt;0,1,0))</f>
        <v/>
      </c>
      <c r="CA80">
        <f>IF(CA$4=0,0,IF(COUNTIFS(実績!$W$6:$W$505,CA$3,実績!$AC$6:$AC$505,"&lt;="&amp;$A80,実績!$AD$6:$AD$505,"&gt;"&amp;$A80,実績!$AE$6:$AE$505,"○")&gt;0,1,0))</f>
        <v/>
      </c>
      <c r="CB80">
        <f>IF(CB$4=0,0,IF(COUNTIFS(実績!$W$6:$W$505,CB$3,実績!$AC$6:$AC$505,"&lt;="&amp;$A80,実績!$AD$6:$AD$505,"&gt;"&amp;$A80,実績!$AE$6:$AE$505,"○")&gt;0,1,0))</f>
        <v/>
      </c>
      <c r="CC80">
        <f>IF(CC$4=0,0,IF(COUNTIFS(実績!$W$6:$W$505,CC$3,実績!$AC$6:$AC$505,"&lt;="&amp;$A80,実績!$AD$6:$AD$505,"&gt;"&amp;$A80,実績!$AE$6:$AE$505,"○")&gt;0,1,0))</f>
        <v/>
      </c>
      <c r="CD80">
        <f>IF(CD$4=0,0,IF(COUNTIFS(実績!$W$6:$W$505,CD$3,実績!$AC$6:$AC$505,"&lt;="&amp;$A80,実績!$AD$6:$AD$505,"&gt;"&amp;$A80,実績!$AE$6:$AE$505,"○")&gt;0,1,0))</f>
        <v/>
      </c>
      <c r="CE80">
        <f>IF(CE$4=0,0,IF(COUNTIFS(実績!$W$6:$W$505,CE$3,実績!$AC$6:$AC$505,"&lt;="&amp;$A80,実績!$AD$6:$AD$505,"&gt;"&amp;$A80,実績!$AE$6:$AE$505,"○")&gt;0,1,0))</f>
        <v/>
      </c>
      <c r="CF80">
        <f>IF(CF$4=0,0,IF(COUNTIFS(実績!$W$6:$W$505,CF$3,実績!$AC$6:$AC$505,"&lt;="&amp;$A80,実績!$AD$6:$AD$505,"&gt;"&amp;$A80,実績!$AE$6:$AE$505,"○")&gt;0,1,0))</f>
        <v/>
      </c>
      <c r="CG80">
        <f>IF(CG$4=0,0,IF(COUNTIFS(実績!$W$6:$W$505,CG$3,実績!$AC$6:$AC$505,"&lt;="&amp;$A80,実績!$AD$6:$AD$505,"&gt;"&amp;$A80,実績!$AE$6:$AE$505,"○")&gt;0,1,0))</f>
        <v/>
      </c>
      <c r="CH80">
        <f>IF(CH$4=0,0,IF(COUNTIFS(実績!$W$6:$W$505,CH$3,実績!$AC$6:$AC$505,"&lt;="&amp;$A80,実績!$AD$6:$AD$505,"&gt;"&amp;$A80,実績!$AE$6:$AE$505,"○")&gt;0,1,0))</f>
        <v/>
      </c>
      <c r="CI80">
        <f>IF(CI$4=0,0,IF(COUNTIFS(実績!$W$6:$W$505,CI$3,実績!$AC$6:$AC$505,"&lt;="&amp;$A80,実績!$AD$6:$AD$505,"&gt;"&amp;$A80,実績!$AE$6:$AE$505,"○")&gt;0,1,0))</f>
        <v/>
      </c>
      <c r="CJ80">
        <f>IF(CJ$4=0,0,IF(COUNTIFS(実績!$W$6:$W$505,CJ$3,実績!$AC$6:$AC$505,"&lt;="&amp;$A80,実績!$AD$6:$AD$505,"&gt;"&amp;$A80,実績!$AE$6:$AE$505,"○")&gt;0,1,0))</f>
        <v/>
      </c>
      <c r="CK80">
        <f>IF(CK$4=0,0,IF(COUNTIFS(実績!$W$6:$W$505,CK$3,実績!$AC$6:$AC$505,"&lt;="&amp;$A80,実績!$AD$6:$AD$505,"&gt;"&amp;$A80,実績!$AE$6:$AE$505,"○")&gt;0,1,0))</f>
        <v/>
      </c>
      <c r="CL80">
        <f>IF(CL$4=0,0,IF(COUNTIFS(実績!$W$6:$W$505,CL$3,実績!$AC$6:$AC$505,"&lt;="&amp;$A80,実績!$AD$6:$AD$505,"&gt;"&amp;$A80,実績!$AE$6:$AE$505,"○")&gt;0,1,0))</f>
        <v/>
      </c>
      <c r="CM80">
        <f>IF(CM$4=0,0,IF(COUNTIFS(実績!$W$6:$W$505,CM$3,実績!$AC$6:$AC$505,"&lt;="&amp;$A80,実績!$AD$6:$AD$505,"&gt;"&amp;$A80,実績!$AE$6:$AE$505,"○")&gt;0,1,0))</f>
        <v/>
      </c>
      <c r="CN80">
        <f>IF(CN$4=0,0,IF(COUNTIFS(実績!$W$6:$W$505,CN$3,実績!$AC$6:$AC$505,"&lt;="&amp;$A80,実績!$AD$6:$AD$505,"&gt;"&amp;$A80,実績!$AE$6:$AE$505,"○")&gt;0,1,0))</f>
        <v/>
      </c>
      <c r="CO80">
        <f>IF(CO$4=0,0,IF(COUNTIFS(実績!$W$6:$W$505,CO$3,実績!$AC$6:$AC$505,"&lt;="&amp;$A80,実績!$AD$6:$AD$505,"&gt;"&amp;$A80,実績!$AE$6:$AE$505,"○")&gt;0,1,0))</f>
        <v/>
      </c>
      <c r="CP80">
        <f>IF(CP$4=0,0,IF(COUNTIFS(実績!$W$6:$W$505,CP$3,実績!$AC$6:$AC$505,"&lt;="&amp;$A80,実績!$AD$6:$AD$505,"&gt;"&amp;$A80,実績!$AE$6:$AE$505,"○")&gt;0,1,0))</f>
        <v/>
      </c>
      <c r="CQ80">
        <f>IF(CQ$4=0,0,IF(COUNTIFS(実績!$W$6:$W$505,CQ$3,実績!$AC$6:$AC$505,"&lt;="&amp;$A80,実績!$AD$6:$AD$505,"&gt;"&amp;$A80,実績!$AE$6:$AE$505,"○")&gt;0,1,0))</f>
        <v/>
      </c>
      <c r="CR80">
        <f>IF(CR$4=0,0,IF(COUNTIFS(実績!$W$6:$W$505,CR$3,実績!$AC$6:$AC$505,"&lt;="&amp;$A80,実績!$AD$6:$AD$505,"&gt;"&amp;$A80,実績!$AE$6:$AE$505,"○")&gt;0,1,0))</f>
        <v/>
      </c>
      <c r="CS80">
        <f>IF(CS$4=0,0,IF(COUNTIFS(実績!$W$6:$W$505,CS$3,実績!$AC$6:$AC$505,"&lt;="&amp;$A80,実績!$AD$6:$AD$505,"&gt;"&amp;$A80,実績!$AE$6:$AE$505,"○")&gt;0,1,0))</f>
        <v/>
      </c>
      <c r="CT80">
        <f>IF(CT$4=0,0,IF(COUNTIFS(実績!$W$6:$W$505,CT$3,実績!$AC$6:$AC$505,"&lt;="&amp;$A80,実績!$AD$6:$AD$505,"&gt;"&amp;$A80,実績!$AE$6:$AE$505,"○")&gt;0,1,0))</f>
        <v/>
      </c>
      <c r="CU80">
        <f>IF(CU$4=0,0,IF(COUNTIFS(実績!$W$6:$W$505,CU$3,実績!$AC$6:$AC$505,"&lt;="&amp;$A80,実績!$AD$6:$AD$505,"&gt;"&amp;$A80,実績!$AE$6:$AE$505,"○")&gt;0,1,0))</f>
        <v/>
      </c>
      <c r="CV80">
        <f>IF(CV$4=0,0,IF(COUNTIFS(実績!$W$6:$W$505,CV$3,実績!$AC$6:$AC$505,"&lt;="&amp;$A80,実績!$AD$6:$AD$505,"&gt;"&amp;$A80,実績!$AE$6:$AE$505,"○")&gt;0,1,0))</f>
        <v/>
      </c>
      <c r="CW80">
        <f>IF(CW$4=0,0,IF(COUNTIFS(実績!$W$6:$W$505,CW$3,実績!$AC$6:$AC$505,"&lt;="&amp;$A80,実績!$AD$6:$AD$505,"&gt;"&amp;$A80,実績!$AE$6:$AE$505,"○")&gt;0,1,0))</f>
        <v/>
      </c>
      <c r="CX80">
        <f>IF(CX$4=0,0,IF(COUNTIFS(実績!$W$6:$W$505,CX$3,実績!$AC$6:$AC$505,"&lt;="&amp;$A80,実績!$AD$6:$AD$505,"&gt;"&amp;$A80,実績!$AE$6:$AE$505,"○")&gt;0,1,0))</f>
        <v/>
      </c>
      <c r="CY80">
        <f>IF(CY$4=0,0,IF(COUNTIFS(実績!$W$6:$W$505,CY$3,実績!$AC$6:$AC$505,"&lt;="&amp;$A80,実績!$AD$6:$AD$505,"&gt;"&amp;$A80,実績!$AE$6:$AE$505,"○")&gt;0,1,0))</f>
        <v/>
      </c>
      <c r="CZ80">
        <f>IF(CZ$4=0,0,IF(COUNTIFS(実績!$W$6:$W$505,CZ$3,実績!$AC$6:$AC$505,"&lt;="&amp;$A80,実績!$AD$6:$AD$505,"&gt;"&amp;$A80,実績!$AE$6:$AE$505,"○")&gt;0,1,0))</f>
        <v/>
      </c>
      <c r="DA80">
        <f>IF(DA$4=0,0,IF(COUNTIFS(実績!$W$6:$W$505,DA$3,実績!$AC$6:$AC$505,"&lt;="&amp;$A80,実績!$AD$6:$AD$505,"&gt;"&amp;$A80,実績!$AE$6:$AE$505,"○")&gt;0,1,0))</f>
        <v/>
      </c>
      <c r="DB80">
        <f>IF(DB$4=0,0,IF(COUNTIFS(実績!$W$6:$W$505,DB$3,実績!$AC$6:$AC$505,"&lt;="&amp;$A80,実績!$AD$6:$AD$505,"&gt;"&amp;$A80,実績!$AE$6:$AE$505,"○")&gt;0,1,0))</f>
        <v/>
      </c>
      <c r="DC80">
        <f>IF(DC$4=0,0,IF(COUNTIFS(実績!$W$6:$W$505,DC$3,実績!$AC$6:$AC$505,"&lt;="&amp;$A80,実績!$AD$6:$AD$505,"&gt;"&amp;$A80,実績!$AE$6:$AE$505,"○")&gt;0,1,0))</f>
        <v/>
      </c>
      <c r="DD80">
        <f>IF(DD$4=0,0,IF(COUNTIFS(実績!$W$6:$W$505,DD$3,実績!$AC$6:$AC$505,"&lt;="&amp;$A80,実績!$AD$6:$AD$505,"&gt;"&amp;$A80,実績!$AE$6:$AE$505,"○")&gt;0,1,0))</f>
        <v/>
      </c>
      <c r="DE80">
        <f>IF(DE$4=0,0,IF(COUNTIFS(実績!$W$6:$W$505,DE$3,実績!$AC$6:$AC$505,"&lt;="&amp;$A80,実績!$AD$6:$AD$505,"&gt;"&amp;$A80,実績!$AE$6:$AE$505,"○")&gt;0,1,0))</f>
        <v/>
      </c>
      <c r="DF80">
        <f>IF(DF$4=0,0,IF(COUNTIFS(実績!$W$6:$W$505,DF$3,実績!$AC$6:$AC$505,"&lt;="&amp;$A80,実績!$AD$6:$AD$505,"&gt;"&amp;$A80,実績!$AE$6:$AE$505,"○")&gt;0,1,0))</f>
        <v/>
      </c>
      <c r="DG80">
        <f>IF(DG$4=0,0,IF(COUNTIFS(実績!$W$6:$W$505,DG$3,実績!$AC$6:$AC$505,"&lt;="&amp;$A80,実績!$AD$6:$AD$505,"&gt;"&amp;$A80,実績!$AE$6:$AE$505,"○")&gt;0,1,0))</f>
        <v/>
      </c>
      <c r="DH80">
        <f>IF(DH$4=0,0,IF(COUNTIFS(実績!$W$6:$W$505,DH$3,実績!$AC$6:$AC$505,"&lt;="&amp;$A80,実績!$AD$6:$AD$505,"&gt;"&amp;$A80,実績!$AE$6:$AE$505,"○")&gt;0,1,0))</f>
        <v/>
      </c>
      <c r="DI80">
        <f>IF(DI$4=0,0,IF(COUNTIFS(実績!$W$6:$W$505,DI$3,実績!$AC$6:$AC$505,"&lt;="&amp;$A80,実績!$AD$6:$AD$505,"&gt;"&amp;$A80,実績!$AE$6:$AE$505,"○")&gt;0,1,0))</f>
        <v/>
      </c>
      <c r="DJ80">
        <f>IF(DJ$4=0,0,IF(COUNTIFS(実績!$W$6:$W$505,DJ$3,実績!$AC$6:$AC$505,"&lt;="&amp;$A80,実績!$AD$6:$AD$505,"&gt;"&amp;$A80,実績!$AE$6:$AE$505,"○")&gt;0,1,0))</f>
        <v/>
      </c>
      <c r="DK80">
        <f>IF(DK$4=0,0,IF(COUNTIFS(実績!$W$6:$W$505,DK$3,実績!$AC$6:$AC$505,"&lt;="&amp;$A80,実績!$AD$6:$AD$505,"&gt;"&amp;$A80,実績!$AE$6:$AE$505,"○")&gt;0,1,0))</f>
        <v/>
      </c>
      <c r="DL80">
        <f>IF(DL$4=0,0,IF(COUNTIFS(実績!$W$6:$W$505,DL$3,実績!$AC$6:$AC$505,"&lt;="&amp;$A80,実績!$AD$6:$AD$505,"&gt;"&amp;$A80,実績!$AE$6:$AE$505,"○")&gt;0,1,0))</f>
        <v/>
      </c>
      <c r="DM80">
        <f>IF(DM$4=0,0,IF(COUNTIFS(実績!$W$6:$W$505,DM$3,実績!$AC$6:$AC$505,"&lt;="&amp;$A80,実績!$AD$6:$AD$505,"&gt;"&amp;$A80,実績!$AE$6:$AE$505,"○")&gt;0,1,0))</f>
        <v/>
      </c>
      <c r="DN80">
        <f>IF(DN$4=0,0,IF(COUNTIFS(実績!$W$6:$W$505,DN$3,実績!$AC$6:$AC$505,"&lt;="&amp;$A80,実績!$AD$6:$AD$505,"&gt;"&amp;$A80,実績!$AE$6:$AE$505,"○")&gt;0,1,0))</f>
        <v/>
      </c>
      <c r="DO80">
        <f>IF(DO$4=0,0,IF(COUNTIFS(実績!$W$6:$W$505,DO$3,実績!$AC$6:$AC$505,"&lt;="&amp;$A80,実績!$AD$6:$AD$505,"&gt;"&amp;$A80,実績!$AE$6:$AE$505,"○")&gt;0,1,0))</f>
        <v/>
      </c>
      <c r="DP80">
        <f>IF(DP$4=0,0,IF(COUNTIFS(実績!$W$6:$W$505,DP$3,実績!$AC$6:$AC$505,"&lt;="&amp;$A80,実績!$AD$6:$AD$505,"&gt;"&amp;$A80,実績!$AE$6:$AE$505,"○")&gt;0,1,0))</f>
        <v/>
      </c>
      <c r="DQ80">
        <f>IF(DQ$4=0,0,IF(COUNTIFS(実績!$W$6:$W$505,DQ$3,実績!$AC$6:$AC$505,"&lt;="&amp;$A80,実績!$AD$6:$AD$505,"&gt;"&amp;$A80,実績!$AE$6:$AE$505,"○")&gt;0,1,0))</f>
        <v/>
      </c>
      <c r="DR80">
        <f>IF(DR$4=0,0,IF(COUNTIFS(実績!$W$6:$W$505,DR$3,実績!$AC$6:$AC$505,"&lt;="&amp;$A80,実績!$AD$6:$AD$505,"&gt;"&amp;$A80,実績!$AE$6:$AE$505,"○")&gt;0,1,0))</f>
        <v/>
      </c>
      <c r="DS80">
        <f>SUM(C80:DR80)</f>
        <v/>
      </c>
      <c r="DT80">
        <f>SUMPRODUCT((実績!$C$6:$C$505="○")*ISNUMBER(実績!$AF$6:$AF$505)*(実績!$AF$6:$AF$505&lt;=$A80)*(実績!$AG$6:$AG$505&gt;$A80))</f>
        <v/>
      </c>
      <c r="DU80">
        <f>SUMIF($C$2:$DR$2,"製鉄曳船",C80:DR80)</f>
        <v/>
      </c>
      <c r="DV80">
        <f>SUMIF($C$2:$DR$2,"西日本海運",C80:DR80)</f>
        <v/>
      </c>
    </row>
    <row r="81">
      <c r="A81" t="n">
        <v>375</v>
      </c>
      <c r="B81" s="29">
        <f>A81/1440</f>
        <v/>
      </c>
      <c r="C81">
        <f>IF(C$4=0,0,IF(COUNTIFS(実績!$W$6:$W$505,C$3,実績!$AC$6:$AC$505,"&lt;="&amp;$A81,実績!$AD$6:$AD$505,"&gt;"&amp;$A81,実績!$AE$6:$AE$505,"○")&gt;0,1,0))</f>
        <v/>
      </c>
      <c r="D81">
        <f>IF(D$4=0,0,IF(COUNTIFS(実績!$W$6:$W$505,D$3,実績!$AC$6:$AC$505,"&lt;="&amp;$A81,実績!$AD$6:$AD$505,"&gt;"&amp;$A81,実績!$AE$6:$AE$505,"○")&gt;0,1,0))</f>
        <v/>
      </c>
      <c r="E81">
        <f>IF(E$4=0,0,IF(COUNTIFS(実績!$W$6:$W$505,E$3,実績!$AC$6:$AC$505,"&lt;="&amp;$A81,実績!$AD$6:$AD$505,"&gt;"&amp;$A81,実績!$AE$6:$AE$505,"○")&gt;0,1,0))</f>
        <v/>
      </c>
      <c r="F81">
        <f>IF(F$4=0,0,IF(COUNTIFS(実績!$W$6:$W$505,F$3,実績!$AC$6:$AC$505,"&lt;="&amp;$A81,実績!$AD$6:$AD$505,"&gt;"&amp;$A81,実績!$AE$6:$AE$505,"○")&gt;0,1,0))</f>
        <v/>
      </c>
      <c r="G81">
        <f>IF(G$4=0,0,IF(COUNTIFS(実績!$W$6:$W$505,G$3,実績!$AC$6:$AC$505,"&lt;="&amp;$A81,実績!$AD$6:$AD$505,"&gt;"&amp;$A81,実績!$AE$6:$AE$505,"○")&gt;0,1,0))</f>
        <v/>
      </c>
      <c r="H81">
        <f>IF(H$4=0,0,IF(COUNTIFS(実績!$W$6:$W$505,H$3,実績!$AC$6:$AC$505,"&lt;="&amp;$A81,実績!$AD$6:$AD$505,"&gt;"&amp;$A81,実績!$AE$6:$AE$505,"○")&gt;0,1,0))</f>
        <v/>
      </c>
      <c r="I81">
        <f>IF(I$4=0,0,IF(COUNTIFS(実績!$W$6:$W$505,I$3,実績!$AC$6:$AC$505,"&lt;="&amp;$A81,実績!$AD$6:$AD$505,"&gt;"&amp;$A81,実績!$AE$6:$AE$505,"○")&gt;0,1,0))</f>
        <v/>
      </c>
      <c r="J81">
        <f>IF(J$4=0,0,IF(COUNTIFS(実績!$W$6:$W$505,J$3,実績!$AC$6:$AC$505,"&lt;="&amp;$A81,実績!$AD$6:$AD$505,"&gt;"&amp;$A81,実績!$AE$6:$AE$505,"○")&gt;0,1,0))</f>
        <v/>
      </c>
      <c r="K81">
        <f>IF(K$4=0,0,IF(COUNTIFS(実績!$W$6:$W$505,K$3,実績!$AC$6:$AC$505,"&lt;="&amp;$A81,実績!$AD$6:$AD$505,"&gt;"&amp;$A81,実績!$AE$6:$AE$505,"○")&gt;0,1,0))</f>
        <v/>
      </c>
      <c r="L81">
        <f>IF(L$4=0,0,IF(COUNTIFS(実績!$W$6:$W$505,L$3,実績!$AC$6:$AC$505,"&lt;="&amp;$A81,実績!$AD$6:$AD$505,"&gt;"&amp;$A81,実績!$AE$6:$AE$505,"○")&gt;0,1,0))</f>
        <v/>
      </c>
      <c r="M81">
        <f>IF(M$4=0,0,IF(COUNTIFS(実績!$W$6:$W$505,M$3,実績!$AC$6:$AC$505,"&lt;="&amp;$A81,実績!$AD$6:$AD$505,"&gt;"&amp;$A81,実績!$AE$6:$AE$505,"○")&gt;0,1,0))</f>
        <v/>
      </c>
      <c r="N81">
        <f>IF(N$4=0,0,IF(COUNTIFS(実績!$W$6:$W$505,N$3,実績!$AC$6:$AC$505,"&lt;="&amp;$A81,実績!$AD$6:$AD$505,"&gt;"&amp;$A81,実績!$AE$6:$AE$505,"○")&gt;0,1,0))</f>
        <v/>
      </c>
      <c r="O81">
        <f>IF(O$4=0,0,IF(COUNTIFS(実績!$W$6:$W$505,O$3,実績!$AC$6:$AC$505,"&lt;="&amp;$A81,実績!$AD$6:$AD$505,"&gt;"&amp;$A81,実績!$AE$6:$AE$505,"○")&gt;0,1,0))</f>
        <v/>
      </c>
      <c r="P81">
        <f>IF(P$4=0,0,IF(COUNTIFS(実績!$W$6:$W$505,P$3,実績!$AC$6:$AC$505,"&lt;="&amp;$A81,実績!$AD$6:$AD$505,"&gt;"&amp;$A81,実績!$AE$6:$AE$505,"○")&gt;0,1,0))</f>
        <v/>
      </c>
      <c r="Q81">
        <f>IF(Q$4=0,0,IF(COUNTIFS(実績!$W$6:$W$505,Q$3,実績!$AC$6:$AC$505,"&lt;="&amp;$A81,実績!$AD$6:$AD$505,"&gt;"&amp;$A81,実績!$AE$6:$AE$505,"○")&gt;0,1,0))</f>
        <v/>
      </c>
      <c r="R81">
        <f>IF(R$4=0,0,IF(COUNTIFS(実績!$W$6:$W$505,R$3,実績!$AC$6:$AC$505,"&lt;="&amp;$A81,実績!$AD$6:$AD$505,"&gt;"&amp;$A81,実績!$AE$6:$AE$505,"○")&gt;0,1,0))</f>
        <v/>
      </c>
      <c r="S81">
        <f>IF(S$4=0,0,IF(COUNTIFS(実績!$W$6:$W$505,S$3,実績!$AC$6:$AC$505,"&lt;="&amp;$A81,実績!$AD$6:$AD$505,"&gt;"&amp;$A81,実績!$AE$6:$AE$505,"○")&gt;0,1,0))</f>
        <v/>
      </c>
      <c r="T81">
        <f>IF(T$4=0,0,IF(COUNTIFS(実績!$W$6:$W$505,T$3,実績!$AC$6:$AC$505,"&lt;="&amp;$A81,実績!$AD$6:$AD$505,"&gt;"&amp;$A81,実績!$AE$6:$AE$505,"○")&gt;0,1,0))</f>
        <v/>
      </c>
      <c r="U81">
        <f>IF(U$4=0,0,IF(COUNTIFS(実績!$W$6:$W$505,U$3,実績!$AC$6:$AC$505,"&lt;="&amp;$A81,実績!$AD$6:$AD$505,"&gt;"&amp;$A81,実績!$AE$6:$AE$505,"○")&gt;0,1,0))</f>
        <v/>
      </c>
      <c r="V81">
        <f>IF(V$4=0,0,IF(COUNTIFS(実績!$W$6:$W$505,V$3,実績!$AC$6:$AC$505,"&lt;="&amp;$A81,実績!$AD$6:$AD$505,"&gt;"&amp;$A81,実績!$AE$6:$AE$505,"○")&gt;0,1,0))</f>
        <v/>
      </c>
      <c r="W81">
        <f>IF(W$4=0,0,IF(COUNTIFS(実績!$W$6:$W$505,W$3,実績!$AC$6:$AC$505,"&lt;="&amp;$A81,実績!$AD$6:$AD$505,"&gt;"&amp;$A81,実績!$AE$6:$AE$505,"○")&gt;0,1,0))</f>
        <v/>
      </c>
      <c r="X81">
        <f>IF(X$4=0,0,IF(COUNTIFS(実績!$W$6:$W$505,X$3,実績!$AC$6:$AC$505,"&lt;="&amp;$A81,実績!$AD$6:$AD$505,"&gt;"&amp;$A81,実績!$AE$6:$AE$505,"○")&gt;0,1,0))</f>
        <v/>
      </c>
      <c r="Y81">
        <f>IF(Y$4=0,0,IF(COUNTIFS(実績!$W$6:$W$505,Y$3,実績!$AC$6:$AC$505,"&lt;="&amp;$A81,実績!$AD$6:$AD$505,"&gt;"&amp;$A81,実績!$AE$6:$AE$505,"○")&gt;0,1,0))</f>
        <v/>
      </c>
      <c r="Z81">
        <f>IF(Z$4=0,0,IF(COUNTIFS(実績!$W$6:$W$505,Z$3,実績!$AC$6:$AC$505,"&lt;="&amp;$A81,実績!$AD$6:$AD$505,"&gt;"&amp;$A81,実績!$AE$6:$AE$505,"○")&gt;0,1,0))</f>
        <v/>
      </c>
      <c r="AA81">
        <f>IF(AA$4=0,0,IF(COUNTIFS(実績!$W$6:$W$505,AA$3,実績!$AC$6:$AC$505,"&lt;="&amp;$A81,実績!$AD$6:$AD$505,"&gt;"&amp;$A81,実績!$AE$6:$AE$505,"○")&gt;0,1,0))</f>
        <v/>
      </c>
      <c r="AB81">
        <f>IF(AB$4=0,0,IF(COUNTIFS(実績!$W$6:$W$505,AB$3,実績!$AC$6:$AC$505,"&lt;="&amp;$A81,実績!$AD$6:$AD$505,"&gt;"&amp;$A81,実績!$AE$6:$AE$505,"○")&gt;0,1,0))</f>
        <v/>
      </c>
      <c r="AC81">
        <f>IF(AC$4=0,0,IF(COUNTIFS(実績!$W$6:$W$505,AC$3,実績!$AC$6:$AC$505,"&lt;="&amp;$A81,実績!$AD$6:$AD$505,"&gt;"&amp;$A81,実績!$AE$6:$AE$505,"○")&gt;0,1,0))</f>
        <v/>
      </c>
      <c r="AD81">
        <f>IF(AD$4=0,0,IF(COUNTIFS(実績!$W$6:$W$505,AD$3,実績!$AC$6:$AC$505,"&lt;="&amp;$A81,実績!$AD$6:$AD$505,"&gt;"&amp;$A81,実績!$AE$6:$AE$505,"○")&gt;0,1,0))</f>
        <v/>
      </c>
      <c r="AE81">
        <f>IF(AE$4=0,0,IF(COUNTIFS(実績!$W$6:$W$505,AE$3,実績!$AC$6:$AC$505,"&lt;="&amp;$A81,実績!$AD$6:$AD$505,"&gt;"&amp;$A81,実績!$AE$6:$AE$505,"○")&gt;0,1,0))</f>
        <v/>
      </c>
      <c r="AF81">
        <f>IF(AF$4=0,0,IF(COUNTIFS(実績!$W$6:$W$505,AF$3,実績!$AC$6:$AC$505,"&lt;="&amp;$A81,実績!$AD$6:$AD$505,"&gt;"&amp;$A81,実績!$AE$6:$AE$505,"○")&gt;0,1,0))</f>
        <v/>
      </c>
      <c r="AG81">
        <f>IF(AG$4=0,0,IF(COUNTIFS(実績!$W$6:$W$505,AG$3,実績!$AC$6:$AC$505,"&lt;="&amp;$A81,実績!$AD$6:$AD$505,"&gt;"&amp;$A81,実績!$AE$6:$AE$505,"○")&gt;0,1,0))</f>
        <v/>
      </c>
      <c r="AH81">
        <f>IF(AH$4=0,0,IF(COUNTIFS(実績!$W$6:$W$505,AH$3,実績!$AC$6:$AC$505,"&lt;="&amp;$A81,実績!$AD$6:$AD$505,"&gt;"&amp;$A81,実績!$AE$6:$AE$505,"○")&gt;0,1,0))</f>
        <v/>
      </c>
      <c r="AI81">
        <f>IF(AI$4=0,0,IF(COUNTIFS(実績!$W$6:$W$505,AI$3,実績!$AC$6:$AC$505,"&lt;="&amp;$A81,実績!$AD$6:$AD$505,"&gt;"&amp;$A81,実績!$AE$6:$AE$505,"○")&gt;0,1,0))</f>
        <v/>
      </c>
      <c r="AJ81">
        <f>IF(AJ$4=0,0,IF(COUNTIFS(実績!$W$6:$W$505,AJ$3,実績!$AC$6:$AC$505,"&lt;="&amp;$A81,実績!$AD$6:$AD$505,"&gt;"&amp;$A81,実績!$AE$6:$AE$505,"○")&gt;0,1,0))</f>
        <v/>
      </c>
      <c r="AK81">
        <f>IF(AK$4=0,0,IF(COUNTIFS(実績!$W$6:$W$505,AK$3,実績!$AC$6:$AC$505,"&lt;="&amp;$A81,実績!$AD$6:$AD$505,"&gt;"&amp;$A81,実績!$AE$6:$AE$505,"○")&gt;0,1,0))</f>
        <v/>
      </c>
      <c r="AL81">
        <f>IF(AL$4=0,0,IF(COUNTIFS(実績!$W$6:$W$505,AL$3,実績!$AC$6:$AC$505,"&lt;="&amp;$A81,実績!$AD$6:$AD$505,"&gt;"&amp;$A81,実績!$AE$6:$AE$505,"○")&gt;0,1,0))</f>
        <v/>
      </c>
      <c r="AM81">
        <f>IF(AM$4=0,0,IF(COUNTIFS(実績!$W$6:$W$505,AM$3,実績!$AC$6:$AC$505,"&lt;="&amp;$A81,実績!$AD$6:$AD$505,"&gt;"&amp;$A81,実績!$AE$6:$AE$505,"○")&gt;0,1,0))</f>
        <v/>
      </c>
      <c r="AN81">
        <f>IF(AN$4=0,0,IF(COUNTIFS(実績!$W$6:$W$505,AN$3,実績!$AC$6:$AC$505,"&lt;="&amp;$A81,実績!$AD$6:$AD$505,"&gt;"&amp;$A81,実績!$AE$6:$AE$505,"○")&gt;0,1,0))</f>
        <v/>
      </c>
      <c r="AO81">
        <f>IF(AO$4=0,0,IF(COUNTIFS(実績!$W$6:$W$505,AO$3,実績!$AC$6:$AC$505,"&lt;="&amp;$A81,実績!$AD$6:$AD$505,"&gt;"&amp;$A81,実績!$AE$6:$AE$505,"○")&gt;0,1,0))</f>
        <v/>
      </c>
      <c r="AP81">
        <f>IF(AP$4=0,0,IF(COUNTIFS(実績!$W$6:$W$505,AP$3,実績!$AC$6:$AC$505,"&lt;="&amp;$A81,実績!$AD$6:$AD$505,"&gt;"&amp;$A81,実績!$AE$6:$AE$505,"○")&gt;0,1,0))</f>
        <v/>
      </c>
      <c r="AQ81">
        <f>IF(AQ$4=0,0,IF(COUNTIFS(実績!$W$6:$W$505,AQ$3,実績!$AC$6:$AC$505,"&lt;="&amp;$A81,実績!$AD$6:$AD$505,"&gt;"&amp;$A81,実績!$AE$6:$AE$505,"○")&gt;0,1,0))</f>
        <v/>
      </c>
      <c r="AR81">
        <f>IF(AR$4=0,0,IF(COUNTIFS(実績!$W$6:$W$505,AR$3,実績!$AC$6:$AC$505,"&lt;="&amp;$A81,実績!$AD$6:$AD$505,"&gt;"&amp;$A81,実績!$AE$6:$AE$505,"○")&gt;0,1,0))</f>
        <v/>
      </c>
      <c r="AS81">
        <f>IF(AS$4=0,0,IF(COUNTIFS(実績!$W$6:$W$505,AS$3,実績!$AC$6:$AC$505,"&lt;="&amp;$A81,実績!$AD$6:$AD$505,"&gt;"&amp;$A81,実績!$AE$6:$AE$505,"○")&gt;0,1,0))</f>
        <v/>
      </c>
      <c r="AT81">
        <f>IF(AT$4=0,0,IF(COUNTIFS(実績!$W$6:$W$505,AT$3,実績!$AC$6:$AC$505,"&lt;="&amp;$A81,実績!$AD$6:$AD$505,"&gt;"&amp;$A81,実績!$AE$6:$AE$505,"○")&gt;0,1,0))</f>
        <v/>
      </c>
      <c r="AU81">
        <f>IF(AU$4=0,0,IF(COUNTIFS(実績!$W$6:$W$505,AU$3,実績!$AC$6:$AC$505,"&lt;="&amp;$A81,実績!$AD$6:$AD$505,"&gt;"&amp;$A81,実績!$AE$6:$AE$505,"○")&gt;0,1,0))</f>
        <v/>
      </c>
      <c r="AV81">
        <f>IF(AV$4=0,0,IF(COUNTIFS(実績!$W$6:$W$505,AV$3,実績!$AC$6:$AC$505,"&lt;="&amp;$A81,実績!$AD$6:$AD$505,"&gt;"&amp;$A81,実績!$AE$6:$AE$505,"○")&gt;0,1,0))</f>
        <v/>
      </c>
      <c r="AW81">
        <f>IF(AW$4=0,0,IF(COUNTIFS(実績!$W$6:$W$505,AW$3,実績!$AC$6:$AC$505,"&lt;="&amp;$A81,実績!$AD$6:$AD$505,"&gt;"&amp;$A81,実績!$AE$6:$AE$505,"○")&gt;0,1,0))</f>
        <v/>
      </c>
      <c r="AX81">
        <f>IF(AX$4=0,0,IF(COUNTIFS(実績!$W$6:$W$505,AX$3,実績!$AC$6:$AC$505,"&lt;="&amp;$A81,実績!$AD$6:$AD$505,"&gt;"&amp;$A81,実績!$AE$6:$AE$505,"○")&gt;0,1,0))</f>
        <v/>
      </c>
      <c r="AY81">
        <f>IF(AY$4=0,0,IF(COUNTIFS(実績!$W$6:$W$505,AY$3,実績!$AC$6:$AC$505,"&lt;="&amp;$A81,実績!$AD$6:$AD$505,"&gt;"&amp;$A81,実績!$AE$6:$AE$505,"○")&gt;0,1,0))</f>
        <v/>
      </c>
      <c r="AZ81">
        <f>IF(AZ$4=0,0,IF(COUNTIFS(実績!$W$6:$W$505,AZ$3,実績!$AC$6:$AC$505,"&lt;="&amp;$A81,実績!$AD$6:$AD$505,"&gt;"&amp;$A81,実績!$AE$6:$AE$505,"○")&gt;0,1,0))</f>
        <v/>
      </c>
      <c r="BA81">
        <f>IF(BA$4=0,0,IF(COUNTIFS(実績!$W$6:$W$505,BA$3,実績!$AC$6:$AC$505,"&lt;="&amp;$A81,実績!$AD$6:$AD$505,"&gt;"&amp;$A81,実績!$AE$6:$AE$505,"○")&gt;0,1,0))</f>
        <v/>
      </c>
      <c r="BB81">
        <f>IF(BB$4=0,0,IF(COUNTIFS(実績!$W$6:$W$505,BB$3,実績!$AC$6:$AC$505,"&lt;="&amp;$A81,実績!$AD$6:$AD$505,"&gt;"&amp;$A81,実績!$AE$6:$AE$505,"○")&gt;0,1,0))</f>
        <v/>
      </c>
      <c r="BC81">
        <f>IF(BC$4=0,0,IF(COUNTIFS(実績!$W$6:$W$505,BC$3,実績!$AC$6:$AC$505,"&lt;="&amp;$A81,実績!$AD$6:$AD$505,"&gt;"&amp;$A81,実績!$AE$6:$AE$505,"○")&gt;0,1,0))</f>
        <v/>
      </c>
      <c r="BD81">
        <f>IF(BD$4=0,0,IF(COUNTIFS(実績!$W$6:$W$505,BD$3,実績!$AC$6:$AC$505,"&lt;="&amp;$A81,実績!$AD$6:$AD$505,"&gt;"&amp;$A81,実績!$AE$6:$AE$505,"○")&gt;0,1,0))</f>
        <v/>
      </c>
      <c r="BE81">
        <f>IF(BE$4=0,0,IF(COUNTIFS(実績!$W$6:$W$505,BE$3,実績!$AC$6:$AC$505,"&lt;="&amp;$A81,実績!$AD$6:$AD$505,"&gt;"&amp;$A81,実績!$AE$6:$AE$505,"○")&gt;0,1,0))</f>
        <v/>
      </c>
      <c r="BF81">
        <f>IF(BF$4=0,0,IF(COUNTIFS(実績!$W$6:$W$505,BF$3,実績!$AC$6:$AC$505,"&lt;="&amp;$A81,実績!$AD$6:$AD$505,"&gt;"&amp;$A81,実績!$AE$6:$AE$505,"○")&gt;0,1,0))</f>
        <v/>
      </c>
      <c r="BG81">
        <f>IF(BG$4=0,0,IF(COUNTIFS(実績!$W$6:$W$505,BG$3,実績!$AC$6:$AC$505,"&lt;="&amp;$A81,実績!$AD$6:$AD$505,"&gt;"&amp;$A81,実績!$AE$6:$AE$505,"○")&gt;0,1,0))</f>
        <v/>
      </c>
      <c r="BH81">
        <f>IF(BH$4=0,0,IF(COUNTIFS(実績!$W$6:$W$505,BH$3,実績!$AC$6:$AC$505,"&lt;="&amp;$A81,実績!$AD$6:$AD$505,"&gt;"&amp;$A81,実績!$AE$6:$AE$505,"○")&gt;0,1,0))</f>
        <v/>
      </c>
      <c r="BI81">
        <f>IF(BI$4=0,0,IF(COUNTIFS(実績!$W$6:$W$505,BI$3,実績!$AC$6:$AC$505,"&lt;="&amp;$A81,実績!$AD$6:$AD$505,"&gt;"&amp;$A81,実績!$AE$6:$AE$505,"○")&gt;0,1,0))</f>
        <v/>
      </c>
      <c r="BJ81">
        <f>IF(BJ$4=0,0,IF(COUNTIFS(実績!$W$6:$W$505,BJ$3,実績!$AC$6:$AC$505,"&lt;="&amp;$A81,実績!$AD$6:$AD$505,"&gt;"&amp;$A81,実績!$AE$6:$AE$505,"○")&gt;0,1,0))</f>
        <v/>
      </c>
      <c r="BK81">
        <f>IF(BK$4=0,0,IF(COUNTIFS(実績!$W$6:$W$505,BK$3,実績!$AC$6:$AC$505,"&lt;="&amp;$A81,実績!$AD$6:$AD$505,"&gt;"&amp;$A81,実績!$AE$6:$AE$505,"○")&gt;0,1,0))</f>
        <v/>
      </c>
      <c r="BL81">
        <f>IF(BL$4=0,0,IF(COUNTIFS(実績!$W$6:$W$505,BL$3,実績!$AC$6:$AC$505,"&lt;="&amp;$A81,実績!$AD$6:$AD$505,"&gt;"&amp;$A81,実績!$AE$6:$AE$505,"○")&gt;0,1,0))</f>
        <v/>
      </c>
      <c r="BM81">
        <f>IF(BM$4=0,0,IF(COUNTIFS(実績!$W$6:$W$505,BM$3,実績!$AC$6:$AC$505,"&lt;="&amp;$A81,実績!$AD$6:$AD$505,"&gt;"&amp;$A81,実績!$AE$6:$AE$505,"○")&gt;0,1,0))</f>
        <v/>
      </c>
      <c r="BN81">
        <f>IF(BN$4=0,0,IF(COUNTIFS(実績!$W$6:$W$505,BN$3,実績!$AC$6:$AC$505,"&lt;="&amp;$A81,実績!$AD$6:$AD$505,"&gt;"&amp;$A81,実績!$AE$6:$AE$505,"○")&gt;0,1,0))</f>
        <v/>
      </c>
      <c r="BO81">
        <f>IF(BO$4=0,0,IF(COUNTIFS(実績!$W$6:$W$505,BO$3,実績!$AC$6:$AC$505,"&lt;="&amp;$A81,実績!$AD$6:$AD$505,"&gt;"&amp;$A81,実績!$AE$6:$AE$505,"○")&gt;0,1,0))</f>
        <v/>
      </c>
      <c r="BP81">
        <f>IF(BP$4=0,0,IF(COUNTIFS(実績!$W$6:$W$505,BP$3,実績!$AC$6:$AC$505,"&lt;="&amp;$A81,実績!$AD$6:$AD$505,"&gt;"&amp;$A81,実績!$AE$6:$AE$505,"○")&gt;0,1,0))</f>
        <v/>
      </c>
      <c r="BQ81">
        <f>IF(BQ$4=0,0,IF(COUNTIFS(実績!$W$6:$W$505,BQ$3,実績!$AC$6:$AC$505,"&lt;="&amp;$A81,実績!$AD$6:$AD$505,"&gt;"&amp;$A81,実績!$AE$6:$AE$505,"○")&gt;0,1,0))</f>
        <v/>
      </c>
      <c r="BR81">
        <f>IF(BR$4=0,0,IF(COUNTIFS(実績!$W$6:$W$505,BR$3,実績!$AC$6:$AC$505,"&lt;="&amp;$A81,実績!$AD$6:$AD$505,"&gt;"&amp;$A81,実績!$AE$6:$AE$505,"○")&gt;0,1,0))</f>
        <v/>
      </c>
      <c r="BS81">
        <f>IF(BS$4=0,0,IF(COUNTIFS(実績!$W$6:$W$505,BS$3,実績!$AC$6:$AC$505,"&lt;="&amp;$A81,実績!$AD$6:$AD$505,"&gt;"&amp;$A81,実績!$AE$6:$AE$505,"○")&gt;0,1,0))</f>
        <v/>
      </c>
      <c r="BT81">
        <f>IF(BT$4=0,0,IF(COUNTIFS(実績!$W$6:$W$505,BT$3,実績!$AC$6:$AC$505,"&lt;="&amp;$A81,実績!$AD$6:$AD$505,"&gt;"&amp;$A81,実績!$AE$6:$AE$505,"○")&gt;0,1,0))</f>
        <v/>
      </c>
      <c r="BU81">
        <f>IF(BU$4=0,0,IF(COUNTIFS(実績!$W$6:$W$505,BU$3,実績!$AC$6:$AC$505,"&lt;="&amp;$A81,実績!$AD$6:$AD$505,"&gt;"&amp;$A81,実績!$AE$6:$AE$505,"○")&gt;0,1,0))</f>
        <v/>
      </c>
      <c r="BV81">
        <f>IF(BV$4=0,0,IF(COUNTIFS(実績!$W$6:$W$505,BV$3,実績!$AC$6:$AC$505,"&lt;="&amp;$A81,実績!$AD$6:$AD$505,"&gt;"&amp;$A81,実績!$AE$6:$AE$505,"○")&gt;0,1,0))</f>
        <v/>
      </c>
      <c r="BW81">
        <f>IF(BW$4=0,0,IF(COUNTIFS(実績!$W$6:$W$505,BW$3,実績!$AC$6:$AC$505,"&lt;="&amp;$A81,実績!$AD$6:$AD$505,"&gt;"&amp;$A81,実績!$AE$6:$AE$505,"○")&gt;0,1,0))</f>
        <v/>
      </c>
      <c r="BX81">
        <f>IF(BX$4=0,0,IF(COUNTIFS(実績!$W$6:$W$505,BX$3,実績!$AC$6:$AC$505,"&lt;="&amp;$A81,実績!$AD$6:$AD$505,"&gt;"&amp;$A81,実績!$AE$6:$AE$505,"○")&gt;0,1,0))</f>
        <v/>
      </c>
      <c r="BY81">
        <f>IF(BY$4=0,0,IF(COUNTIFS(実績!$W$6:$W$505,BY$3,実績!$AC$6:$AC$505,"&lt;="&amp;$A81,実績!$AD$6:$AD$505,"&gt;"&amp;$A81,実績!$AE$6:$AE$505,"○")&gt;0,1,0))</f>
        <v/>
      </c>
      <c r="BZ81">
        <f>IF(BZ$4=0,0,IF(COUNTIFS(実績!$W$6:$W$505,BZ$3,実績!$AC$6:$AC$505,"&lt;="&amp;$A81,実績!$AD$6:$AD$505,"&gt;"&amp;$A81,実績!$AE$6:$AE$505,"○")&gt;0,1,0))</f>
        <v/>
      </c>
      <c r="CA81">
        <f>IF(CA$4=0,0,IF(COUNTIFS(実績!$W$6:$W$505,CA$3,実績!$AC$6:$AC$505,"&lt;="&amp;$A81,実績!$AD$6:$AD$505,"&gt;"&amp;$A81,実績!$AE$6:$AE$505,"○")&gt;0,1,0))</f>
        <v/>
      </c>
      <c r="CB81">
        <f>IF(CB$4=0,0,IF(COUNTIFS(実績!$W$6:$W$505,CB$3,実績!$AC$6:$AC$505,"&lt;="&amp;$A81,実績!$AD$6:$AD$505,"&gt;"&amp;$A81,実績!$AE$6:$AE$505,"○")&gt;0,1,0))</f>
        <v/>
      </c>
      <c r="CC81">
        <f>IF(CC$4=0,0,IF(COUNTIFS(実績!$W$6:$W$505,CC$3,実績!$AC$6:$AC$505,"&lt;="&amp;$A81,実績!$AD$6:$AD$505,"&gt;"&amp;$A81,実績!$AE$6:$AE$505,"○")&gt;0,1,0))</f>
        <v/>
      </c>
      <c r="CD81">
        <f>IF(CD$4=0,0,IF(COUNTIFS(実績!$W$6:$W$505,CD$3,実績!$AC$6:$AC$505,"&lt;="&amp;$A81,実績!$AD$6:$AD$505,"&gt;"&amp;$A81,実績!$AE$6:$AE$505,"○")&gt;0,1,0))</f>
        <v/>
      </c>
      <c r="CE81">
        <f>IF(CE$4=0,0,IF(COUNTIFS(実績!$W$6:$W$505,CE$3,実績!$AC$6:$AC$505,"&lt;="&amp;$A81,実績!$AD$6:$AD$505,"&gt;"&amp;$A81,実績!$AE$6:$AE$505,"○")&gt;0,1,0))</f>
        <v/>
      </c>
      <c r="CF81">
        <f>IF(CF$4=0,0,IF(COUNTIFS(実績!$W$6:$W$505,CF$3,実績!$AC$6:$AC$505,"&lt;="&amp;$A81,実績!$AD$6:$AD$505,"&gt;"&amp;$A81,実績!$AE$6:$AE$505,"○")&gt;0,1,0))</f>
        <v/>
      </c>
      <c r="CG81">
        <f>IF(CG$4=0,0,IF(COUNTIFS(実績!$W$6:$W$505,CG$3,実績!$AC$6:$AC$505,"&lt;="&amp;$A81,実績!$AD$6:$AD$505,"&gt;"&amp;$A81,実績!$AE$6:$AE$505,"○")&gt;0,1,0))</f>
        <v/>
      </c>
      <c r="CH81">
        <f>IF(CH$4=0,0,IF(COUNTIFS(実績!$W$6:$W$505,CH$3,実績!$AC$6:$AC$505,"&lt;="&amp;$A81,実績!$AD$6:$AD$505,"&gt;"&amp;$A81,実績!$AE$6:$AE$505,"○")&gt;0,1,0))</f>
        <v/>
      </c>
      <c r="CI81">
        <f>IF(CI$4=0,0,IF(COUNTIFS(実績!$W$6:$W$505,CI$3,実績!$AC$6:$AC$505,"&lt;="&amp;$A81,実績!$AD$6:$AD$505,"&gt;"&amp;$A81,実績!$AE$6:$AE$505,"○")&gt;0,1,0))</f>
        <v/>
      </c>
      <c r="CJ81">
        <f>IF(CJ$4=0,0,IF(COUNTIFS(実績!$W$6:$W$505,CJ$3,実績!$AC$6:$AC$505,"&lt;="&amp;$A81,実績!$AD$6:$AD$505,"&gt;"&amp;$A81,実績!$AE$6:$AE$505,"○")&gt;0,1,0))</f>
        <v/>
      </c>
      <c r="CK81">
        <f>IF(CK$4=0,0,IF(COUNTIFS(実績!$W$6:$W$505,CK$3,実績!$AC$6:$AC$505,"&lt;="&amp;$A81,実績!$AD$6:$AD$505,"&gt;"&amp;$A81,実績!$AE$6:$AE$505,"○")&gt;0,1,0))</f>
        <v/>
      </c>
      <c r="CL81">
        <f>IF(CL$4=0,0,IF(COUNTIFS(実績!$W$6:$W$505,CL$3,実績!$AC$6:$AC$505,"&lt;="&amp;$A81,実績!$AD$6:$AD$505,"&gt;"&amp;$A81,実績!$AE$6:$AE$505,"○")&gt;0,1,0))</f>
        <v/>
      </c>
      <c r="CM81">
        <f>IF(CM$4=0,0,IF(COUNTIFS(実績!$W$6:$W$505,CM$3,実績!$AC$6:$AC$505,"&lt;="&amp;$A81,実績!$AD$6:$AD$505,"&gt;"&amp;$A81,実績!$AE$6:$AE$505,"○")&gt;0,1,0))</f>
        <v/>
      </c>
      <c r="CN81">
        <f>IF(CN$4=0,0,IF(COUNTIFS(実績!$W$6:$W$505,CN$3,実績!$AC$6:$AC$505,"&lt;="&amp;$A81,実績!$AD$6:$AD$505,"&gt;"&amp;$A81,実績!$AE$6:$AE$505,"○")&gt;0,1,0))</f>
        <v/>
      </c>
      <c r="CO81">
        <f>IF(CO$4=0,0,IF(COUNTIFS(実績!$W$6:$W$505,CO$3,実績!$AC$6:$AC$505,"&lt;="&amp;$A81,実績!$AD$6:$AD$505,"&gt;"&amp;$A81,実績!$AE$6:$AE$505,"○")&gt;0,1,0))</f>
        <v/>
      </c>
      <c r="CP81">
        <f>IF(CP$4=0,0,IF(COUNTIFS(実績!$W$6:$W$505,CP$3,実績!$AC$6:$AC$505,"&lt;="&amp;$A81,実績!$AD$6:$AD$505,"&gt;"&amp;$A81,実績!$AE$6:$AE$505,"○")&gt;0,1,0))</f>
        <v/>
      </c>
      <c r="CQ81">
        <f>IF(CQ$4=0,0,IF(COUNTIFS(実績!$W$6:$W$505,CQ$3,実績!$AC$6:$AC$505,"&lt;="&amp;$A81,実績!$AD$6:$AD$505,"&gt;"&amp;$A81,実績!$AE$6:$AE$505,"○")&gt;0,1,0))</f>
        <v/>
      </c>
      <c r="CR81">
        <f>IF(CR$4=0,0,IF(COUNTIFS(実績!$W$6:$W$505,CR$3,実績!$AC$6:$AC$505,"&lt;="&amp;$A81,実績!$AD$6:$AD$505,"&gt;"&amp;$A81,実績!$AE$6:$AE$505,"○")&gt;0,1,0))</f>
        <v/>
      </c>
      <c r="CS81">
        <f>IF(CS$4=0,0,IF(COUNTIFS(実績!$W$6:$W$505,CS$3,実績!$AC$6:$AC$505,"&lt;="&amp;$A81,実績!$AD$6:$AD$505,"&gt;"&amp;$A81,実績!$AE$6:$AE$505,"○")&gt;0,1,0))</f>
        <v/>
      </c>
      <c r="CT81">
        <f>IF(CT$4=0,0,IF(COUNTIFS(実績!$W$6:$W$505,CT$3,実績!$AC$6:$AC$505,"&lt;="&amp;$A81,実績!$AD$6:$AD$505,"&gt;"&amp;$A81,実績!$AE$6:$AE$505,"○")&gt;0,1,0))</f>
        <v/>
      </c>
      <c r="CU81">
        <f>IF(CU$4=0,0,IF(COUNTIFS(実績!$W$6:$W$505,CU$3,実績!$AC$6:$AC$505,"&lt;="&amp;$A81,実績!$AD$6:$AD$505,"&gt;"&amp;$A81,実績!$AE$6:$AE$505,"○")&gt;0,1,0))</f>
        <v/>
      </c>
      <c r="CV81">
        <f>IF(CV$4=0,0,IF(COUNTIFS(実績!$W$6:$W$505,CV$3,実績!$AC$6:$AC$505,"&lt;="&amp;$A81,実績!$AD$6:$AD$505,"&gt;"&amp;$A81,実績!$AE$6:$AE$505,"○")&gt;0,1,0))</f>
        <v/>
      </c>
      <c r="CW81">
        <f>IF(CW$4=0,0,IF(COUNTIFS(実績!$W$6:$W$505,CW$3,実績!$AC$6:$AC$505,"&lt;="&amp;$A81,実績!$AD$6:$AD$505,"&gt;"&amp;$A81,実績!$AE$6:$AE$505,"○")&gt;0,1,0))</f>
        <v/>
      </c>
      <c r="CX81">
        <f>IF(CX$4=0,0,IF(COUNTIFS(実績!$W$6:$W$505,CX$3,実績!$AC$6:$AC$505,"&lt;="&amp;$A81,実績!$AD$6:$AD$505,"&gt;"&amp;$A81,実績!$AE$6:$AE$505,"○")&gt;0,1,0))</f>
        <v/>
      </c>
      <c r="CY81">
        <f>IF(CY$4=0,0,IF(COUNTIFS(実績!$W$6:$W$505,CY$3,実績!$AC$6:$AC$505,"&lt;="&amp;$A81,実績!$AD$6:$AD$505,"&gt;"&amp;$A81,実績!$AE$6:$AE$505,"○")&gt;0,1,0))</f>
        <v/>
      </c>
      <c r="CZ81">
        <f>IF(CZ$4=0,0,IF(COUNTIFS(実績!$W$6:$W$505,CZ$3,実績!$AC$6:$AC$505,"&lt;="&amp;$A81,実績!$AD$6:$AD$505,"&gt;"&amp;$A81,実績!$AE$6:$AE$505,"○")&gt;0,1,0))</f>
        <v/>
      </c>
      <c r="DA81">
        <f>IF(DA$4=0,0,IF(COUNTIFS(実績!$W$6:$W$505,DA$3,実績!$AC$6:$AC$505,"&lt;="&amp;$A81,実績!$AD$6:$AD$505,"&gt;"&amp;$A81,実績!$AE$6:$AE$505,"○")&gt;0,1,0))</f>
        <v/>
      </c>
      <c r="DB81">
        <f>IF(DB$4=0,0,IF(COUNTIFS(実績!$W$6:$W$505,DB$3,実績!$AC$6:$AC$505,"&lt;="&amp;$A81,実績!$AD$6:$AD$505,"&gt;"&amp;$A81,実績!$AE$6:$AE$505,"○")&gt;0,1,0))</f>
        <v/>
      </c>
      <c r="DC81">
        <f>IF(DC$4=0,0,IF(COUNTIFS(実績!$W$6:$W$505,DC$3,実績!$AC$6:$AC$505,"&lt;="&amp;$A81,実績!$AD$6:$AD$505,"&gt;"&amp;$A81,実績!$AE$6:$AE$505,"○")&gt;0,1,0))</f>
        <v/>
      </c>
      <c r="DD81">
        <f>IF(DD$4=0,0,IF(COUNTIFS(実績!$W$6:$W$505,DD$3,実績!$AC$6:$AC$505,"&lt;="&amp;$A81,実績!$AD$6:$AD$505,"&gt;"&amp;$A81,実績!$AE$6:$AE$505,"○")&gt;0,1,0))</f>
        <v/>
      </c>
      <c r="DE81">
        <f>IF(DE$4=0,0,IF(COUNTIFS(実績!$W$6:$W$505,DE$3,実績!$AC$6:$AC$505,"&lt;="&amp;$A81,実績!$AD$6:$AD$505,"&gt;"&amp;$A81,実績!$AE$6:$AE$505,"○")&gt;0,1,0))</f>
        <v/>
      </c>
      <c r="DF81">
        <f>IF(DF$4=0,0,IF(COUNTIFS(実績!$W$6:$W$505,DF$3,実績!$AC$6:$AC$505,"&lt;="&amp;$A81,実績!$AD$6:$AD$505,"&gt;"&amp;$A81,実績!$AE$6:$AE$505,"○")&gt;0,1,0))</f>
        <v/>
      </c>
      <c r="DG81">
        <f>IF(DG$4=0,0,IF(COUNTIFS(実績!$W$6:$W$505,DG$3,実績!$AC$6:$AC$505,"&lt;="&amp;$A81,実績!$AD$6:$AD$505,"&gt;"&amp;$A81,実績!$AE$6:$AE$505,"○")&gt;0,1,0))</f>
        <v/>
      </c>
      <c r="DH81">
        <f>IF(DH$4=0,0,IF(COUNTIFS(実績!$W$6:$W$505,DH$3,実績!$AC$6:$AC$505,"&lt;="&amp;$A81,実績!$AD$6:$AD$505,"&gt;"&amp;$A81,実績!$AE$6:$AE$505,"○")&gt;0,1,0))</f>
        <v/>
      </c>
      <c r="DI81">
        <f>IF(DI$4=0,0,IF(COUNTIFS(実績!$W$6:$W$505,DI$3,実績!$AC$6:$AC$505,"&lt;="&amp;$A81,実績!$AD$6:$AD$505,"&gt;"&amp;$A81,実績!$AE$6:$AE$505,"○")&gt;0,1,0))</f>
        <v/>
      </c>
      <c r="DJ81">
        <f>IF(DJ$4=0,0,IF(COUNTIFS(実績!$W$6:$W$505,DJ$3,実績!$AC$6:$AC$505,"&lt;="&amp;$A81,実績!$AD$6:$AD$505,"&gt;"&amp;$A81,実績!$AE$6:$AE$505,"○")&gt;0,1,0))</f>
        <v/>
      </c>
      <c r="DK81">
        <f>IF(DK$4=0,0,IF(COUNTIFS(実績!$W$6:$W$505,DK$3,実績!$AC$6:$AC$505,"&lt;="&amp;$A81,実績!$AD$6:$AD$505,"&gt;"&amp;$A81,実績!$AE$6:$AE$505,"○")&gt;0,1,0))</f>
        <v/>
      </c>
      <c r="DL81">
        <f>IF(DL$4=0,0,IF(COUNTIFS(実績!$W$6:$W$505,DL$3,実績!$AC$6:$AC$505,"&lt;="&amp;$A81,実績!$AD$6:$AD$505,"&gt;"&amp;$A81,実績!$AE$6:$AE$505,"○")&gt;0,1,0))</f>
        <v/>
      </c>
      <c r="DM81">
        <f>IF(DM$4=0,0,IF(COUNTIFS(実績!$W$6:$W$505,DM$3,実績!$AC$6:$AC$505,"&lt;="&amp;$A81,実績!$AD$6:$AD$505,"&gt;"&amp;$A81,実績!$AE$6:$AE$505,"○")&gt;0,1,0))</f>
        <v/>
      </c>
      <c r="DN81">
        <f>IF(DN$4=0,0,IF(COUNTIFS(実績!$W$6:$W$505,DN$3,実績!$AC$6:$AC$505,"&lt;="&amp;$A81,実績!$AD$6:$AD$505,"&gt;"&amp;$A81,実績!$AE$6:$AE$505,"○")&gt;0,1,0))</f>
        <v/>
      </c>
      <c r="DO81">
        <f>IF(DO$4=0,0,IF(COUNTIFS(実績!$W$6:$W$505,DO$3,実績!$AC$6:$AC$505,"&lt;="&amp;$A81,実績!$AD$6:$AD$505,"&gt;"&amp;$A81,実績!$AE$6:$AE$505,"○")&gt;0,1,0))</f>
        <v/>
      </c>
      <c r="DP81">
        <f>IF(DP$4=0,0,IF(COUNTIFS(実績!$W$6:$W$505,DP$3,実績!$AC$6:$AC$505,"&lt;="&amp;$A81,実績!$AD$6:$AD$505,"&gt;"&amp;$A81,実績!$AE$6:$AE$505,"○")&gt;0,1,0))</f>
        <v/>
      </c>
      <c r="DQ81">
        <f>IF(DQ$4=0,0,IF(COUNTIFS(実績!$W$6:$W$505,DQ$3,実績!$AC$6:$AC$505,"&lt;="&amp;$A81,実績!$AD$6:$AD$505,"&gt;"&amp;$A81,実績!$AE$6:$AE$505,"○")&gt;0,1,0))</f>
        <v/>
      </c>
      <c r="DR81">
        <f>IF(DR$4=0,0,IF(COUNTIFS(実績!$W$6:$W$505,DR$3,実績!$AC$6:$AC$505,"&lt;="&amp;$A81,実績!$AD$6:$AD$505,"&gt;"&amp;$A81,実績!$AE$6:$AE$505,"○")&gt;0,1,0))</f>
        <v/>
      </c>
      <c r="DS81">
        <f>SUM(C81:DR81)</f>
        <v/>
      </c>
      <c r="DT81">
        <f>SUMPRODUCT((実績!$C$6:$C$505="○")*ISNUMBER(実績!$AF$6:$AF$505)*(実績!$AF$6:$AF$505&lt;=$A81)*(実績!$AG$6:$AG$505&gt;$A81))</f>
        <v/>
      </c>
      <c r="DU81">
        <f>SUMIF($C$2:$DR$2,"製鉄曳船",C81:DR81)</f>
        <v/>
      </c>
      <c r="DV81">
        <f>SUMIF($C$2:$DR$2,"西日本海運",C81:DR81)</f>
        <v/>
      </c>
    </row>
    <row r="82">
      <c r="A82" t="n">
        <v>380</v>
      </c>
      <c r="B82" s="29">
        <f>A82/1440</f>
        <v/>
      </c>
      <c r="C82">
        <f>IF(C$4=0,0,IF(COUNTIFS(実績!$W$6:$W$505,C$3,実績!$AC$6:$AC$505,"&lt;="&amp;$A82,実績!$AD$6:$AD$505,"&gt;"&amp;$A82,実績!$AE$6:$AE$505,"○")&gt;0,1,0))</f>
        <v/>
      </c>
      <c r="D82">
        <f>IF(D$4=0,0,IF(COUNTIFS(実績!$W$6:$W$505,D$3,実績!$AC$6:$AC$505,"&lt;="&amp;$A82,実績!$AD$6:$AD$505,"&gt;"&amp;$A82,実績!$AE$6:$AE$505,"○")&gt;0,1,0))</f>
        <v/>
      </c>
      <c r="E82">
        <f>IF(E$4=0,0,IF(COUNTIFS(実績!$W$6:$W$505,E$3,実績!$AC$6:$AC$505,"&lt;="&amp;$A82,実績!$AD$6:$AD$505,"&gt;"&amp;$A82,実績!$AE$6:$AE$505,"○")&gt;0,1,0))</f>
        <v/>
      </c>
      <c r="F82">
        <f>IF(F$4=0,0,IF(COUNTIFS(実績!$W$6:$W$505,F$3,実績!$AC$6:$AC$505,"&lt;="&amp;$A82,実績!$AD$6:$AD$505,"&gt;"&amp;$A82,実績!$AE$6:$AE$505,"○")&gt;0,1,0))</f>
        <v/>
      </c>
      <c r="G82">
        <f>IF(G$4=0,0,IF(COUNTIFS(実績!$W$6:$W$505,G$3,実績!$AC$6:$AC$505,"&lt;="&amp;$A82,実績!$AD$6:$AD$505,"&gt;"&amp;$A82,実績!$AE$6:$AE$505,"○")&gt;0,1,0))</f>
        <v/>
      </c>
      <c r="H82">
        <f>IF(H$4=0,0,IF(COUNTIFS(実績!$W$6:$W$505,H$3,実績!$AC$6:$AC$505,"&lt;="&amp;$A82,実績!$AD$6:$AD$505,"&gt;"&amp;$A82,実績!$AE$6:$AE$505,"○")&gt;0,1,0))</f>
        <v/>
      </c>
      <c r="I82">
        <f>IF(I$4=0,0,IF(COUNTIFS(実績!$W$6:$W$505,I$3,実績!$AC$6:$AC$505,"&lt;="&amp;$A82,実績!$AD$6:$AD$505,"&gt;"&amp;$A82,実績!$AE$6:$AE$505,"○")&gt;0,1,0))</f>
        <v/>
      </c>
      <c r="J82">
        <f>IF(J$4=0,0,IF(COUNTIFS(実績!$W$6:$W$505,J$3,実績!$AC$6:$AC$505,"&lt;="&amp;$A82,実績!$AD$6:$AD$505,"&gt;"&amp;$A82,実績!$AE$6:$AE$505,"○")&gt;0,1,0))</f>
        <v/>
      </c>
      <c r="K82">
        <f>IF(K$4=0,0,IF(COUNTIFS(実績!$W$6:$W$505,K$3,実績!$AC$6:$AC$505,"&lt;="&amp;$A82,実績!$AD$6:$AD$505,"&gt;"&amp;$A82,実績!$AE$6:$AE$505,"○")&gt;0,1,0))</f>
        <v/>
      </c>
      <c r="L82">
        <f>IF(L$4=0,0,IF(COUNTIFS(実績!$W$6:$W$505,L$3,実績!$AC$6:$AC$505,"&lt;="&amp;$A82,実績!$AD$6:$AD$505,"&gt;"&amp;$A82,実績!$AE$6:$AE$505,"○")&gt;0,1,0))</f>
        <v/>
      </c>
      <c r="M82">
        <f>IF(M$4=0,0,IF(COUNTIFS(実績!$W$6:$W$505,M$3,実績!$AC$6:$AC$505,"&lt;="&amp;$A82,実績!$AD$6:$AD$505,"&gt;"&amp;$A82,実績!$AE$6:$AE$505,"○")&gt;0,1,0))</f>
        <v/>
      </c>
      <c r="N82">
        <f>IF(N$4=0,0,IF(COUNTIFS(実績!$W$6:$W$505,N$3,実績!$AC$6:$AC$505,"&lt;="&amp;$A82,実績!$AD$6:$AD$505,"&gt;"&amp;$A82,実績!$AE$6:$AE$505,"○")&gt;0,1,0))</f>
        <v/>
      </c>
      <c r="O82">
        <f>IF(O$4=0,0,IF(COUNTIFS(実績!$W$6:$W$505,O$3,実績!$AC$6:$AC$505,"&lt;="&amp;$A82,実績!$AD$6:$AD$505,"&gt;"&amp;$A82,実績!$AE$6:$AE$505,"○")&gt;0,1,0))</f>
        <v/>
      </c>
      <c r="P82">
        <f>IF(P$4=0,0,IF(COUNTIFS(実績!$W$6:$W$505,P$3,実績!$AC$6:$AC$505,"&lt;="&amp;$A82,実績!$AD$6:$AD$505,"&gt;"&amp;$A82,実績!$AE$6:$AE$505,"○")&gt;0,1,0))</f>
        <v/>
      </c>
      <c r="Q82">
        <f>IF(Q$4=0,0,IF(COUNTIFS(実績!$W$6:$W$505,Q$3,実績!$AC$6:$AC$505,"&lt;="&amp;$A82,実績!$AD$6:$AD$505,"&gt;"&amp;$A82,実績!$AE$6:$AE$505,"○")&gt;0,1,0))</f>
        <v/>
      </c>
      <c r="R82">
        <f>IF(R$4=0,0,IF(COUNTIFS(実績!$W$6:$W$505,R$3,実績!$AC$6:$AC$505,"&lt;="&amp;$A82,実績!$AD$6:$AD$505,"&gt;"&amp;$A82,実績!$AE$6:$AE$505,"○")&gt;0,1,0))</f>
        <v/>
      </c>
      <c r="S82">
        <f>IF(S$4=0,0,IF(COUNTIFS(実績!$W$6:$W$505,S$3,実績!$AC$6:$AC$505,"&lt;="&amp;$A82,実績!$AD$6:$AD$505,"&gt;"&amp;$A82,実績!$AE$6:$AE$505,"○")&gt;0,1,0))</f>
        <v/>
      </c>
      <c r="T82">
        <f>IF(T$4=0,0,IF(COUNTIFS(実績!$W$6:$W$505,T$3,実績!$AC$6:$AC$505,"&lt;="&amp;$A82,実績!$AD$6:$AD$505,"&gt;"&amp;$A82,実績!$AE$6:$AE$505,"○")&gt;0,1,0))</f>
        <v/>
      </c>
      <c r="U82">
        <f>IF(U$4=0,0,IF(COUNTIFS(実績!$W$6:$W$505,U$3,実績!$AC$6:$AC$505,"&lt;="&amp;$A82,実績!$AD$6:$AD$505,"&gt;"&amp;$A82,実績!$AE$6:$AE$505,"○")&gt;0,1,0))</f>
        <v/>
      </c>
      <c r="V82">
        <f>IF(V$4=0,0,IF(COUNTIFS(実績!$W$6:$W$505,V$3,実績!$AC$6:$AC$505,"&lt;="&amp;$A82,実績!$AD$6:$AD$505,"&gt;"&amp;$A82,実績!$AE$6:$AE$505,"○")&gt;0,1,0))</f>
        <v/>
      </c>
      <c r="W82">
        <f>IF(W$4=0,0,IF(COUNTIFS(実績!$W$6:$W$505,W$3,実績!$AC$6:$AC$505,"&lt;="&amp;$A82,実績!$AD$6:$AD$505,"&gt;"&amp;$A82,実績!$AE$6:$AE$505,"○")&gt;0,1,0))</f>
        <v/>
      </c>
      <c r="X82">
        <f>IF(X$4=0,0,IF(COUNTIFS(実績!$W$6:$W$505,X$3,実績!$AC$6:$AC$505,"&lt;="&amp;$A82,実績!$AD$6:$AD$505,"&gt;"&amp;$A82,実績!$AE$6:$AE$505,"○")&gt;0,1,0))</f>
        <v/>
      </c>
      <c r="Y82">
        <f>IF(Y$4=0,0,IF(COUNTIFS(実績!$W$6:$W$505,Y$3,実績!$AC$6:$AC$505,"&lt;="&amp;$A82,実績!$AD$6:$AD$505,"&gt;"&amp;$A82,実績!$AE$6:$AE$505,"○")&gt;0,1,0))</f>
        <v/>
      </c>
      <c r="Z82">
        <f>IF(Z$4=0,0,IF(COUNTIFS(実績!$W$6:$W$505,Z$3,実績!$AC$6:$AC$505,"&lt;="&amp;$A82,実績!$AD$6:$AD$505,"&gt;"&amp;$A82,実績!$AE$6:$AE$505,"○")&gt;0,1,0))</f>
        <v/>
      </c>
      <c r="AA82">
        <f>IF(AA$4=0,0,IF(COUNTIFS(実績!$W$6:$W$505,AA$3,実績!$AC$6:$AC$505,"&lt;="&amp;$A82,実績!$AD$6:$AD$505,"&gt;"&amp;$A82,実績!$AE$6:$AE$505,"○")&gt;0,1,0))</f>
        <v/>
      </c>
      <c r="AB82">
        <f>IF(AB$4=0,0,IF(COUNTIFS(実績!$W$6:$W$505,AB$3,実績!$AC$6:$AC$505,"&lt;="&amp;$A82,実績!$AD$6:$AD$505,"&gt;"&amp;$A82,実績!$AE$6:$AE$505,"○")&gt;0,1,0))</f>
        <v/>
      </c>
      <c r="AC82">
        <f>IF(AC$4=0,0,IF(COUNTIFS(実績!$W$6:$W$505,AC$3,実績!$AC$6:$AC$505,"&lt;="&amp;$A82,実績!$AD$6:$AD$505,"&gt;"&amp;$A82,実績!$AE$6:$AE$505,"○")&gt;0,1,0))</f>
        <v/>
      </c>
      <c r="AD82">
        <f>IF(AD$4=0,0,IF(COUNTIFS(実績!$W$6:$W$505,AD$3,実績!$AC$6:$AC$505,"&lt;="&amp;$A82,実績!$AD$6:$AD$505,"&gt;"&amp;$A82,実績!$AE$6:$AE$505,"○")&gt;0,1,0))</f>
        <v/>
      </c>
      <c r="AE82">
        <f>IF(AE$4=0,0,IF(COUNTIFS(実績!$W$6:$W$505,AE$3,実績!$AC$6:$AC$505,"&lt;="&amp;$A82,実績!$AD$6:$AD$505,"&gt;"&amp;$A82,実績!$AE$6:$AE$505,"○")&gt;0,1,0))</f>
        <v/>
      </c>
      <c r="AF82">
        <f>IF(AF$4=0,0,IF(COUNTIFS(実績!$W$6:$W$505,AF$3,実績!$AC$6:$AC$505,"&lt;="&amp;$A82,実績!$AD$6:$AD$505,"&gt;"&amp;$A82,実績!$AE$6:$AE$505,"○")&gt;0,1,0))</f>
        <v/>
      </c>
      <c r="AG82">
        <f>IF(AG$4=0,0,IF(COUNTIFS(実績!$W$6:$W$505,AG$3,実績!$AC$6:$AC$505,"&lt;="&amp;$A82,実績!$AD$6:$AD$505,"&gt;"&amp;$A82,実績!$AE$6:$AE$505,"○")&gt;0,1,0))</f>
        <v/>
      </c>
      <c r="AH82">
        <f>IF(AH$4=0,0,IF(COUNTIFS(実績!$W$6:$W$505,AH$3,実績!$AC$6:$AC$505,"&lt;="&amp;$A82,実績!$AD$6:$AD$505,"&gt;"&amp;$A82,実績!$AE$6:$AE$505,"○")&gt;0,1,0))</f>
        <v/>
      </c>
      <c r="AI82">
        <f>IF(AI$4=0,0,IF(COUNTIFS(実績!$W$6:$W$505,AI$3,実績!$AC$6:$AC$505,"&lt;="&amp;$A82,実績!$AD$6:$AD$505,"&gt;"&amp;$A82,実績!$AE$6:$AE$505,"○")&gt;0,1,0))</f>
        <v/>
      </c>
      <c r="AJ82">
        <f>IF(AJ$4=0,0,IF(COUNTIFS(実績!$W$6:$W$505,AJ$3,実績!$AC$6:$AC$505,"&lt;="&amp;$A82,実績!$AD$6:$AD$505,"&gt;"&amp;$A82,実績!$AE$6:$AE$505,"○")&gt;0,1,0))</f>
        <v/>
      </c>
      <c r="AK82">
        <f>IF(AK$4=0,0,IF(COUNTIFS(実績!$W$6:$W$505,AK$3,実績!$AC$6:$AC$505,"&lt;="&amp;$A82,実績!$AD$6:$AD$505,"&gt;"&amp;$A82,実績!$AE$6:$AE$505,"○")&gt;0,1,0))</f>
        <v/>
      </c>
      <c r="AL82">
        <f>IF(AL$4=0,0,IF(COUNTIFS(実績!$W$6:$W$505,AL$3,実績!$AC$6:$AC$505,"&lt;="&amp;$A82,実績!$AD$6:$AD$505,"&gt;"&amp;$A82,実績!$AE$6:$AE$505,"○")&gt;0,1,0))</f>
        <v/>
      </c>
      <c r="AM82">
        <f>IF(AM$4=0,0,IF(COUNTIFS(実績!$W$6:$W$505,AM$3,実績!$AC$6:$AC$505,"&lt;="&amp;$A82,実績!$AD$6:$AD$505,"&gt;"&amp;$A82,実績!$AE$6:$AE$505,"○")&gt;0,1,0))</f>
        <v/>
      </c>
      <c r="AN82">
        <f>IF(AN$4=0,0,IF(COUNTIFS(実績!$W$6:$W$505,AN$3,実績!$AC$6:$AC$505,"&lt;="&amp;$A82,実績!$AD$6:$AD$505,"&gt;"&amp;$A82,実績!$AE$6:$AE$505,"○")&gt;0,1,0))</f>
        <v/>
      </c>
      <c r="AO82">
        <f>IF(AO$4=0,0,IF(COUNTIFS(実績!$W$6:$W$505,AO$3,実績!$AC$6:$AC$505,"&lt;="&amp;$A82,実績!$AD$6:$AD$505,"&gt;"&amp;$A82,実績!$AE$6:$AE$505,"○")&gt;0,1,0))</f>
        <v/>
      </c>
      <c r="AP82">
        <f>IF(AP$4=0,0,IF(COUNTIFS(実績!$W$6:$W$505,AP$3,実績!$AC$6:$AC$505,"&lt;="&amp;$A82,実績!$AD$6:$AD$505,"&gt;"&amp;$A82,実績!$AE$6:$AE$505,"○")&gt;0,1,0))</f>
        <v/>
      </c>
      <c r="AQ82">
        <f>IF(AQ$4=0,0,IF(COUNTIFS(実績!$W$6:$W$505,AQ$3,実績!$AC$6:$AC$505,"&lt;="&amp;$A82,実績!$AD$6:$AD$505,"&gt;"&amp;$A82,実績!$AE$6:$AE$505,"○")&gt;0,1,0))</f>
        <v/>
      </c>
      <c r="AR82">
        <f>IF(AR$4=0,0,IF(COUNTIFS(実績!$W$6:$W$505,AR$3,実績!$AC$6:$AC$505,"&lt;="&amp;$A82,実績!$AD$6:$AD$505,"&gt;"&amp;$A82,実績!$AE$6:$AE$505,"○")&gt;0,1,0))</f>
        <v/>
      </c>
      <c r="AS82">
        <f>IF(AS$4=0,0,IF(COUNTIFS(実績!$W$6:$W$505,AS$3,実績!$AC$6:$AC$505,"&lt;="&amp;$A82,実績!$AD$6:$AD$505,"&gt;"&amp;$A82,実績!$AE$6:$AE$505,"○")&gt;0,1,0))</f>
        <v/>
      </c>
      <c r="AT82">
        <f>IF(AT$4=0,0,IF(COUNTIFS(実績!$W$6:$W$505,AT$3,実績!$AC$6:$AC$505,"&lt;="&amp;$A82,実績!$AD$6:$AD$505,"&gt;"&amp;$A82,実績!$AE$6:$AE$505,"○")&gt;0,1,0))</f>
        <v/>
      </c>
      <c r="AU82">
        <f>IF(AU$4=0,0,IF(COUNTIFS(実績!$W$6:$W$505,AU$3,実績!$AC$6:$AC$505,"&lt;="&amp;$A82,実績!$AD$6:$AD$505,"&gt;"&amp;$A82,実績!$AE$6:$AE$505,"○")&gt;0,1,0))</f>
        <v/>
      </c>
      <c r="AV82">
        <f>IF(AV$4=0,0,IF(COUNTIFS(実績!$W$6:$W$505,AV$3,実績!$AC$6:$AC$505,"&lt;="&amp;$A82,実績!$AD$6:$AD$505,"&gt;"&amp;$A82,実績!$AE$6:$AE$505,"○")&gt;0,1,0))</f>
        <v/>
      </c>
      <c r="AW82">
        <f>IF(AW$4=0,0,IF(COUNTIFS(実績!$W$6:$W$505,AW$3,実績!$AC$6:$AC$505,"&lt;="&amp;$A82,実績!$AD$6:$AD$505,"&gt;"&amp;$A82,実績!$AE$6:$AE$505,"○")&gt;0,1,0))</f>
        <v/>
      </c>
      <c r="AX82">
        <f>IF(AX$4=0,0,IF(COUNTIFS(実績!$W$6:$W$505,AX$3,実績!$AC$6:$AC$505,"&lt;="&amp;$A82,実績!$AD$6:$AD$505,"&gt;"&amp;$A82,実績!$AE$6:$AE$505,"○")&gt;0,1,0))</f>
        <v/>
      </c>
      <c r="AY82">
        <f>IF(AY$4=0,0,IF(COUNTIFS(実績!$W$6:$W$505,AY$3,実績!$AC$6:$AC$505,"&lt;="&amp;$A82,実績!$AD$6:$AD$505,"&gt;"&amp;$A82,実績!$AE$6:$AE$505,"○")&gt;0,1,0))</f>
        <v/>
      </c>
      <c r="AZ82">
        <f>IF(AZ$4=0,0,IF(COUNTIFS(実績!$W$6:$W$505,AZ$3,実績!$AC$6:$AC$505,"&lt;="&amp;$A82,実績!$AD$6:$AD$505,"&gt;"&amp;$A82,実績!$AE$6:$AE$505,"○")&gt;0,1,0))</f>
        <v/>
      </c>
      <c r="BA82">
        <f>IF(BA$4=0,0,IF(COUNTIFS(実績!$W$6:$W$505,BA$3,実績!$AC$6:$AC$505,"&lt;="&amp;$A82,実績!$AD$6:$AD$505,"&gt;"&amp;$A82,実績!$AE$6:$AE$505,"○")&gt;0,1,0))</f>
        <v/>
      </c>
      <c r="BB82">
        <f>IF(BB$4=0,0,IF(COUNTIFS(実績!$W$6:$W$505,BB$3,実績!$AC$6:$AC$505,"&lt;="&amp;$A82,実績!$AD$6:$AD$505,"&gt;"&amp;$A82,実績!$AE$6:$AE$505,"○")&gt;0,1,0))</f>
        <v/>
      </c>
      <c r="BC82">
        <f>IF(BC$4=0,0,IF(COUNTIFS(実績!$W$6:$W$505,BC$3,実績!$AC$6:$AC$505,"&lt;="&amp;$A82,実績!$AD$6:$AD$505,"&gt;"&amp;$A82,実績!$AE$6:$AE$505,"○")&gt;0,1,0))</f>
        <v/>
      </c>
      <c r="BD82">
        <f>IF(BD$4=0,0,IF(COUNTIFS(実績!$W$6:$W$505,BD$3,実績!$AC$6:$AC$505,"&lt;="&amp;$A82,実績!$AD$6:$AD$505,"&gt;"&amp;$A82,実績!$AE$6:$AE$505,"○")&gt;0,1,0))</f>
        <v/>
      </c>
      <c r="BE82">
        <f>IF(BE$4=0,0,IF(COUNTIFS(実績!$W$6:$W$505,BE$3,実績!$AC$6:$AC$505,"&lt;="&amp;$A82,実績!$AD$6:$AD$505,"&gt;"&amp;$A82,実績!$AE$6:$AE$505,"○")&gt;0,1,0))</f>
        <v/>
      </c>
      <c r="BF82">
        <f>IF(BF$4=0,0,IF(COUNTIFS(実績!$W$6:$W$505,BF$3,実績!$AC$6:$AC$505,"&lt;="&amp;$A82,実績!$AD$6:$AD$505,"&gt;"&amp;$A82,実績!$AE$6:$AE$505,"○")&gt;0,1,0))</f>
        <v/>
      </c>
      <c r="BG82">
        <f>IF(BG$4=0,0,IF(COUNTIFS(実績!$W$6:$W$505,BG$3,実績!$AC$6:$AC$505,"&lt;="&amp;$A82,実績!$AD$6:$AD$505,"&gt;"&amp;$A82,実績!$AE$6:$AE$505,"○")&gt;0,1,0))</f>
        <v/>
      </c>
      <c r="BH82">
        <f>IF(BH$4=0,0,IF(COUNTIFS(実績!$W$6:$W$505,BH$3,実績!$AC$6:$AC$505,"&lt;="&amp;$A82,実績!$AD$6:$AD$505,"&gt;"&amp;$A82,実績!$AE$6:$AE$505,"○")&gt;0,1,0))</f>
        <v/>
      </c>
      <c r="BI82">
        <f>IF(BI$4=0,0,IF(COUNTIFS(実績!$W$6:$W$505,BI$3,実績!$AC$6:$AC$505,"&lt;="&amp;$A82,実績!$AD$6:$AD$505,"&gt;"&amp;$A82,実績!$AE$6:$AE$505,"○")&gt;0,1,0))</f>
        <v/>
      </c>
      <c r="BJ82">
        <f>IF(BJ$4=0,0,IF(COUNTIFS(実績!$W$6:$W$505,BJ$3,実績!$AC$6:$AC$505,"&lt;="&amp;$A82,実績!$AD$6:$AD$505,"&gt;"&amp;$A82,実績!$AE$6:$AE$505,"○")&gt;0,1,0))</f>
        <v/>
      </c>
      <c r="BK82">
        <f>IF(BK$4=0,0,IF(COUNTIFS(実績!$W$6:$W$505,BK$3,実績!$AC$6:$AC$505,"&lt;="&amp;$A82,実績!$AD$6:$AD$505,"&gt;"&amp;$A82,実績!$AE$6:$AE$505,"○")&gt;0,1,0))</f>
        <v/>
      </c>
      <c r="BL82">
        <f>IF(BL$4=0,0,IF(COUNTIFS(実績!$W$6:$W$505,BL$3,実績!$AC$6:$AC$505,"&lt;="&amp;$A82,実績!$AD$6:$AD$505,"&gt;"&amp;$A82,実績!$AE$6:$AE$505,"○")&gt;0,1,0))</f>
        <v/>
      </c>
      <c r="BM82">
        <f>IF(BM$4=0,0,IF(COUNTIFS(実績!$W$6:$W$505,BM$3,実績!$AC$6:$AC$505,"&lt;="&amp;$A82,実績!$AD$6:$AD$505,"&gt;"&amp;$A82,実績!$AE$6:$AE$505,"○")&gt;0,1,0))</f>
        <v/>
      </c>
      <c r="BN82">
        <f>IF(BN$4=0,0,IF(COUNTIFS(実績!$W$6:$W$505,BN$3,実績!$AC$6:$AC$505,"&lt;="&amp;$A82,実績!$AD$6:$AD$505,"&gt;"&amp;$A82,実績!$AE$6:$AE$505,"○")&gt;0,1,0))</f>
        <v/>
      </c>
      <c r="BO82">
        <f>IF(BO$4=0,0,IF(COUNTIFS(実績!$W$6:$W$505,BO$3,実績!$AC$6:$AC$505,"&lt;="&amp;$A82,実績!$AD$6:$AD$505,"&gt;"&amp;$A82,実績!$AE$6:$AE$505,"○")&gt;0,1,0))</f>
        <v/>
      </c>
      <c r="BP82">
        <f>IF(BP$4=0,0,IF(COUNTIFS(実績!$W$6:$W$505,BP$3,実績!$AC$6:$AC$505,"&lt;="&amp;$A82,実績!$AD$6:$AD$505,"&gt;"&amp;$A82,実績!$AE$6:$AE$505,"○")&gt;0,1,0))</f>
        <v/>
      </c>
      <c r="BQ82">
        <f>IF(BQ$4=0,0,IF(COUNTIFS(実績!$W$6:$W$505,BQ$3,実績!$AC$6:$AC$505,"&lt;="&amp;$A82,実績!$AD$6:$AD$505,"&gt;"&amp;$A82,実績!$AE$6:$AE$505,"○")&gt;0,1,0))</f>
        <v/>
      </c>
      <c r="BR82">
        <f>IF(BR$4=0,0,IF(COUNTIFS(実績!$W$6:$W$505,BR$3,実績!$AC$6:$AC$505,"&lt;="&amp;$A82,実績!$AD$6:$AD$505,"&gt;"&amp;$A82,実績!$AE$6:$AE$505,"○")&gt;0,1,0))</f>
        <v/>
      </c>
      <c r="BS82">
        <f>IF(BS$4=0,0,IF(COUNTIFS(実績!$W$6:$W$505,BS$3,実績!$AC$6:$AC$505,"&lt;="&amp;$A82,実績!$AD$6:$AD$505,"&gt;"&amp;$A82,実績!$AE$6:$AE$505,"○")&gt;0,1,0))</f>
        <v/>
      </c>
      <c r="BT82">
        <f>IF(BT$4=0,0,IF(COUNTIFS(実績!$W$6:$W$505,BT$3,実績!$AC$6:$AC$505,"&lt;="&amp;$A82,実績!$AD$6:$AD$505,"&gt;"&amp;$A82,実績!$AE$6:$AE$505,"○")&gt;0,1,0))</f>
        <v/>
      </c>
      <c r="BU82">
        <f>IF(BU$4=0,0,IF(COUNTIFS(実績!$W$6:$W$505,BU$3,実績!$AC$6:$AC$505,"&lt;="&amp;$A82,実績!$AD$6:$AD$505,"&gt;"&amp;$A82,実績!$AE$6:$AE$505,"○")&gt;0,1,0))</f>
        <v/>
      </c>
      <c r="BV82">
        <f>IF(BV$4=0,0,IF(COUNTIFS(実績!$W$6:$W$505,BV$3,実績!$AC$6:$AC$505,"&lt;="&amp;$A82,実績!$AD$6:$AD$505,"&gt;"&amp;$A82,実績!$AE$6:$AE$505,"○")&gt;0,1,0))</f>
        <v/>
      </c>
      <c r="BW82">
        <f>IF(BW$4=0,0,IF(COUNTIFS(実績!$W$6:$W$505,BW$3,実績!$AC$6:$AC$505,"&lt;="&amp;$A82,実績!$AD$6:$AD$505,"&gt;"&amp;$A82,実績!$AE$6:$AE$505,"○")&gt;0,1,0))</f>
        <v/>
      </c>
      <c r="BX82">
        <f>IF(BX$4=0,0,IF(COUNTIFS(実績!$W$6:$W$505,BX$3,実績!$AC$6:$AC$505,"&lt;="&amp;$A82,実績!$AD$6:$AD$505,"&gt;"&amp;$A82,実績!$AE$6:$AE$505,"○")&gt;0,1,0))</f>
        <v/>
      </c>
      <c r="BY82">
        <f>IF(BY$4=0,0,IF(COUNTIFS(実績!$W$6:$W$505,BY$3,実績!$AC$6:$AC$505,"&lt;="&amp;$A82,実績!$AD$6:$AD$505,"&gt;"&amp;$A82,実績!$AE$6:$AE$505,"○")&gt;0,1,0))</f>
        <v/>
      </c>
      <c r="BZ82">
        <f>IF(BZ$4=0,0,IF(COUNTIFS(実績!$W$6:$W$505,BZ$3,実績!$AC$6:$AC$505,"&lt;="&amp;$A82,実績!$AD$6:$AD$505,"&gt;"&amp;$A82,実績!$AE$6:$AE$505,"○")&gt;0,1,0))</f>
        <v/>
      </c>
      <c r="CA82">
        <f>IF(CA$4=0,0,IF(COUNTIFS(実績!$W$6:$W$505,CA$3,実績!$AC$6:$AC$505,"&lt;="&amp;$A82,実績!$AD$6:$AD$505,"&gt;"&amp;$A82,実績!$AE$6:$AE$505,"○")&gt;0,1,0))</f>
        <v/>
      </c>
      <c r="CB82">
        <f>IF(CB$4=0,0,IF(COUNTIFS(実績!$W$6:$W$505,CB$3,実績!$AC$6:$AC$505,"&lt;="&amp;$A82,実績!$AD$6:$AD$505,"&gt;"&amp;$A82,実績!$AE$6:$AE$505,"○")&gt;0,1,0))</f>
        <v/>
      </c>
      <c r="CC82">
        <f>IF(CC$4=0,0,IF(COUNTIFS(実績!$W$6:$W$505,CC$3,実績!$AC$6:$AC$505,"&lt;="&amp;$A82,実績!$AD$6:$AD$505,"&gt;"&amp;$A82,実績!$AE$6:$AE$505,"○")&gt;0,1,0))</f>
        <v/>
      </c>
      <c r="CD82">
        <f>IF(CD$4=0,0,IF(COUNTIFS(実績!$W$6:$W$505,CD$3,実績!$AC$6:$AC$505,"&lt;="&amp;$A82,実績!$AD$6:$AD$505,"&gt;"&amp;$A82,実績!$AE$6:$AE$505,"○")&gt;0,1,0))</f>
        <v/>
      </c>
      <c r="CE82">
        <f>IF(CE$4=0,0,IF(COUNTIFS(実績!$W$6:$W$505,CE$3,実績!$AC$6:$AC$505,"&lt;="&amp;$A82,実績!$AD$6:$AD$505,"&gt;"&amp;$A82,実績!$AE$6:$AE$505,"○")&gt;0,1,0))</f>
        <v/>
      </c>
      <c r="CF82">
        <f>IF(CF$4=0,0,IF(COUNTIFS(実績!$W$6:$W$505,CF$3,実績!$AC$6:$AC$505,"&lt;="&amp;$A82,実績!$AD$6:$AD$505,"&gt;"&amp;$A82,実績!$AE$6:$AE$505,"○")&gt;0,1,0))</f>
        <v/>
      </c>
      <c r="CG82">
        <f>IF(CG$4=0,0,IF(COUNTIFS(実績!$W$6:$W$505,CG$3,実績!$AC$6:$AC$505,"&lt;="&amp;$A82,実績!$AD$6:$AD$505,"&gt;"&amp;$A82,実績!$AE$6:$AE$505,"○")&gt;0,1,0))</f>
        <v/>
      </c>
      <c r="CH82">
        <f>IF(CH$4=0,0,IF(COUNTIFS(実績!$W$6:$W$505,CH$3,実績!$AC$6:$AC$505,"&lt;="&amp;$A82,実績!$AD$6:$AD$505,"&gt;"&amp;$A82,実績!$AE$6:$AE$505,"○")&gt;0,1,0))</f>
        <v/>
      </c>
      <c r="CI82">
        <f>IF(CI$4=0,0,IF(COUNTIFS(実績!$W$6:$W$505,CI$3,実績!$AC$6:$AC$505,"&lt;="&amp;$A82,実績!$AD$6:$AD$505,"&gt;"&amp;$A82,実績!$AE$6:$AE$505,"○")&gt;0,1,0))</f>
        <v/>
      </c>
      <c r="CJ82">
        <f>IF(CJ$4=0,0,IF(COUNTIFS(実績!$W$6:$W$505,CJ$3,実績!$AC$6:$AC$505,"&lt;="&amp;$A82,実績!$AD$6:$AD$505,"&gt;"&amp;$A82,実績!$AE$6:$AE$505,"○")&gt;0,1,0))</f>
        <v/>
      </c>
      <c r="CK82">
        <f>IF(CK$4=0,0,IF(COUNTIFS(実績!$W$6:$W$505,CK$3,実績!$AC$6:$AC$505,"&lt;="&amp;$A82,実績!$AD$6:$AD$505,"&gt;"&amp;$A82,実績!$AE$6:$AE$505,"○")&gt;0,1,0))</f>
        <v/>
      </c>
      <c r="CL82">
        <f>IF(CL$4=0,0,IF(COUNTIFS(実績!$W$6:$W$505,CL$3,実績!$AC$6:$AC$505,"&lt;="&amp;$A82,実績!$AD$6:$AD$505,"&gt;"&amp;$A82,実績!$AE$6:$AE$505,"○")&gt;0,1,0))</f>
        <v/>
      </c>
      <c r="CM82">
        <f>IF(CM$4=0,0,IF(COUNTIFS(実績!$W$6:$W$505,CM$3,実績!$AC$6:$AC$505,"&lt;="&amp;$A82,実績!$AD$6:$AD$505,"&gt;"&amp;$A82,実績!$AE$6:$AE$505,"○")&gt;0,1,0))</f>
        <v/>
      </c>
      <c r="CN82">
        <f>IF(CN$4=0,0,IF(COUNTIFS(実績!$W$6:$W$505,CN$3,実績!$AC$6:$AC$505,"&lt;="&amp;$A82,実績!$AD$6:$AD$505,"&gt;"&amp;$A82,実績!$AE$6:$AE$505,"○")&gt;0,1,0))</f>
        <v/>
      </c>
      <c r="CO82">
        <f>IF(CO$4=0,0,IF(COUNTIFS(実績!$W$6:$W$505,CO$3,実績!$AC$6:$AC$505,"&lt;="&amp;$A82,実績!$AD$6:$AD$505,"&gt;"&amp;$A82,実績!$AE$6:$AE$505,"○")&gt;0,1,0))</f>
        <v/>
      </c>
      <c r="CP82">
        <f>IF(CP$4=0,0,IF(COUNTIFS(実績!$W$6:$W$505,CP$3,実績!$AC$6:$AC$505,"&lt;="&amp;$A82,実績!$AD$6:$AD$505,"&gt;"&amp;$A82,実績!$AE$6:$AE$505,"○")&gt;0,1,0))</f>
        <v/>
      </c>
      <c r="CQ82">
        <f>IF(CQ$4=0,0,IF(COUNTIFS(実績!$W$6:$W$505,CQ$3,実績!$AC$6:$AC$505,"&lt;="&amp;$A82,実績!$AD$6:$AD$505,"&gt;"&amp;$A82,実績!$AE$6:$AE$505,"○")&gt;0,1,0))</f>
        <v/>
      </c>
      <c r="CR82">
        <f>IF(CR$4=0,0,IF(COUNTIFS(実績!$W$6:$W$505,CR$3,実績!$AC$6:$AC$505,"&lt;="&amp;$A82,実績!$AD$6:$AD$505,"&gt;"&amp;$A82,実績!$AE$6:$AE$505,"○")&gt;0,1,0))</f>
        <v/>
      </c>
      <c r="CS82">
        <f>IF(CS$4=0,0,IF(COUNTIFS(実績!$W$6:$W$505,CS$3,実績!$AC$6:$AC$505,"&lt;="&amp;$A82,実績!$AD$6:$AD$505,"&gt;"&amp;$A82,実績!$AE$6:$AE$505,"○")&gt;0,1,0))</f>
        <v/>
      </c>
      <c r="CT82">
        <f>IF(CT$4=0,0,IF(COUNTIFS(実績!$W$6:$W$505,CT$3,実績!$AC$6:$AC$505,"&lt;="&amp;$A82,実績!$AD$6:$AD$505,"&gt;"&amp;$A82,実績!$AE$6:$AE$505,"○")&gt;0,1,0))</f>
        <v/>
      </c>
      <c r="CU82">
        <f>IF(CU$4=0,0,IF(COUNTIFS(実績!$W$6:$W$505,CU$3,実績!$AC$6:$AC$505,"&lt;="&amp;$A82,実績!$AD$6:$AD$505,"&gt;"&amp;$A82,実績!$AE$6:$AE$505,"○")&gt;0,1,0))</f>
        <v/>
      </c>
      <c r="CV82">
        <f>IF(CV$4=0,0,IF(COUNTIFS(実績!$W$6:$W$505,CV$3,実績!$AC$6:$AC$505,"&lt;="&amp;$A82,実績!$AD$6:$AD$505,"&gt;"&amp;$A82,実績!$AE$6:$AE$505,"○")&gt;0,1,0))</f>
        <v/>
      </c>
      <c r="CW82">
        <f>IF(CW$4=0,0,IF(COUNTIFS(実績!$W$6:$W$505,CW$3,実績!$AC$6:$AC$505,"&lt;="&amp;$A82,実績!$AD$6:$AD$505,"&gt;"&amp;$A82,実績!$AE$6:$AE$505,"○")&gt;0,1,0))</f>
        <v/>
      </c>
      <c r="CX82">
        <f>IF(CX$4=0,0,IF(COUNTIFS(実績!$W$6:$W$505,CX$3,実績!$AC$6:$AC$505,"&lt;="&amp;$A82,実績!$AD$6:$AD$505,"&gt;"&amp;$A82,実績!$AE$6:$AE$505,"○")&gt;0,1,0))</f>
        <v/>
      </c>
      <c r="CY82">
        <f>IF(CY$4=0,0,IF(COUNTIFS(実績!$W$6:$W$505,CY$3,実績!$AC$6:$AC$505,"&lt;="&amp;$A82,実績!$AD$6:$AD$505,"&gt;"&amp;$A82,実績!$AE$6:$AE$505,"○")&gt;0,1,0))</f>
        <v/>
      </c>
      <c r="CZ82">
        <f>IF(CZ$4=0,0,IF(COUNTIFS(実績!$W$6:$W$505,CZ$3,実績!$AC$6:$AC$505,"&lt;="&amp;$A82,実績!$AD$6:$AD$505,"&gt;"&amp;$A82,実績!$AE$6:$AE$505,"○")&gt;0,1,0))</f>
        <v/>
      </c>
      <c r="DA82">
        <f>IF(DA$4=0,0,IF(COUNTIFS(実績!$W$6:$W$505,DA$3,実績!$AC$6:$AC$505,"&lt;="&amp;$A82,実績!$AD$6:$AD$505,"&gt;"&amp;$A82,実績!$AE$6:$AE$505,"○")&gt;0,1,0))</f>
        <v/>
      </c>
      <c r="DB82">
        <f>IF(DB$4=0,0,IF(COUNTIFS(実績!$W$6:$W$505,DB$3,実績!$AC$6:$AC$505,"&lt;="&amp;$A82,実績!$AD$6:$AD$505,"&gt;"&amp;$A82,実績!$AE$6:$AE$505,"○")&gt;0,1,0))</f>
        <v/>
      </c>
      <c r="DC82">
        <f>IF(DC$4=0,0,IF(COUNTIFS(実績!$W$6:$W$505,DC$3,実績!$AC$6:$AC$505,"&lt;="&amp;$A82,実績!$AD$6:$AD$505,"&gt;"&amp;$A82,実績!$AE$6:$AE$505,"○")&gt;0,1,0))</f>
        <v/>
      </c>
      <c r="DD82">
        <f>IF(DD$4=0,0,IF(COUNTIFS(実績!$W$6:$W$505,DD$3,実績!$AC$6:$AC$505,"&lt;="&amp;$A82,実績!$AD$6:$AD$505,"&gt;"&amp;$A82,実績!$AE$6:$AE$505,"○")&gt;0,1,0))</f>
        <v/>
      </c>
      <c r="DE82">
        <f>IF(DE$4=0,0,IF(COUNTIFS(実績!$W$6:$W$505,DE$3,実績!$AC$6:$AC$505,"&lt;="&amp;$A82,実績!$AD$6:$AD$505,"&gt;"&amp;$A82,実績!$AE$6:$AE$505,"○")&gt;0,1,0))</f>
        <v/>
      </c>
      <c r="DF82">
        <f>IF(DF$4=0,0,IF(COUNTIFS(実績!$W$6:$W$505,DF$3,実績!$AC$6:$AC$505,"&lt;="&amp;$A82,実績!$AD$6:$AD$505,"&gt;"&amp;$A82,実績!$AE$6:$AE$505,"○")&gt;0,1,0))</f>
        <v/>
      </c>
      <c r="DG82">
        <f>IF(DG$4=0,0,IF(COUNTIFS(実績!$W$6:$W$505,DG$3,実績!$AC$6:$AC$505,"&lt;="&amp;$A82,実績!$AD$6:$AD$505,"&gt;"&amp;$A82,実績!$AE$6:$AE$505,"○")&gt;0,1,0))</f>
        <v/>
      </c>
      <c r="DH82">
        <f>IF(DH$4=0,0,IF(COUNTIFS(実績!$W$6:$W$505,DH$3,実績!$AC$6:$AC$505,"&lt;="&amp;$A82,実績!$AD$6:$AD$505,"&gt;"&amp;$A82,実績!$AE$6:$AE$505,"○")&gt;0,1,0))</f>
        <v/>
      </c>
      <c r="DI82">
        <f>IF(DI$4=0,0,IF(COUNTIFS(実績!$W$6:$W$505,DI$3,実績!$AC$6:$AC$505,"&lt;="&amp;$A82,実績!$AD$6:$AD$505,"&gt;"&amp;$A82,実績!$AE$6:$AE$505,"○")&gt;0,1,0))</f>
        <v/>
      </c>
      <c r="DJ82">
        <f>IF(DJ$4=0,0,IF(COUNTIFS(実績!$W$6:$W$505,DJ$3,実績!$AC$6:$AC$505,"&lt;="&amp;$A82,実績!$AD$6:$AD$505,"&gt;"&amp;$A82,実績!$AE$6:$AE$505,"○")&gt;0,1,0))</f>
        <v/>
      </c>
      <c r="DK82">
        <f>IF(DK$4=0,0,IF(COUNTIFS(実績!$W$6:$W$505,DK$3,実績!$AC$6:$AC$505,"&lt;="&amp;$A82,実績!$AD$6:$AD$505,"&gt;"&amp;$A82,実績!$AE$6:$AE$505,"○")&gt;0,1,0))</f>
        <v/>
      </c>
      <c r="DL82">
        <f>IF(DL$4=0,0,IF(COUNTIFS(実績!$W$6:$W$505,DL$3,実績!$AC$6:$AC$505,"&lt;="&amp;$A82,実績!$AD$6:$AD$505,"&gt;"&amp;$A82,実績!$AE$6:$AE$505,"○")&gt;0,1,0))</f>
        <v/>
      </c>
      <c r="DM82">
        <f>IF(DM$4=0,0,IF(COUNTIFS(実績!$W$6:$W$505,DM$3,実績!$AC$6:$AC$505,"&lt;="&amp;$A82,実績!$AD$6:$AD$505,"&gt;"&amp;$A82,実績!$AE$6:$AE$505,"○")&gt;0,1,0))</f>
        <v/>
      </c>
      <c r="DN82">
        <f>IF(DN$4=0,0,IF(COUNTIFS(実績!$W$6:$W$505,DN$3,実績!$AC$6:$AC$505,"&lt;="&amp;$A82,実績!$AD$6:$AD$505,"&gt;"&amp;$A82,実績!$AE$6:$AE$505,"○")&gt;0,1,0))</f>
        <v/>
      </c>
      <c r="DO82">
        <f>IF(DO$4=0,0,IF(COUNTIFS(実績!$W$6:$W$505,DO$3,実績!$AC$6:$AC$505,"&lt;="&amp;$A82,実績!$AD$6:$AD$505,"&gt;"&amp;$A82,実績!$AE$6:$AE$505,"○")&gt;0,1,0))</f>
        <v/>
      </c>
      <c r="DP82">
        <f>IF(DP$4=0,0,IF(COUNTIFS(実績!$W$6:$W$505,DP$3,実績!$AC$6:$AC$505,"&lt;="&amp;$A82,実績!$AD$6:$AD$505,"&gt;"&amp;$A82,実績!$AE$6:$AE$505,"○")&gt;0,1,0))</f>
        <v/>
      </c>
      <c r="DQ82">
        <f>IF(DQ$4=0,0,IF(COUNTIFS(実績!$W$6:$W$505,DQ$3,実績!$AC$6:$AC$505,"&lt;="&amp;$A82,実績!$AD$6:$AD$505,"&gt;"&amp;$A82,実績!$AE$6:$AE$505,"○")&gt;0,1,0))</f>
        <v/>
      </c>
      <c r="DR82">
        <f>IF(DR$4=0,0,IF(COUNTIFS(実績!$W$6:$W$505,DR$3,実績!$AC$6:$AC$505,"&lt;="&amp;$A82,実績!$AD$6:$AD$505,"&gt;"&amp;$A82,実績!$AE$6:$AE$505,"○")&gt;0,1,0))</f>
        <v/>
      </c>
      <c r="DS82">
        <f>SUM(C82:DR82)</f>
        <v/>
      </c>
      <c r="DT82">
        <f>SUMPRODUCT((実績!$C$6:$C$505="○")*ISNUMBER(実績!$AF$6:$AF$505)*(実績!$AF$6:$AF$505&lt;=$A82)*(実績!$AG$6:$AG$505&gt;$A82))</f>
        <v/>
      </c>
      <c r="DU82">
        <f>SUMIF($C$2:$DR$2,"製鉄曳船",C82:DR82)</f>
        <v/>
      </c>
      <c r="DV82">
        <f>SUMIF($C$2:$DR$2,"西日本海運",C82:DR82)</f>
        <v/>
      </c>
    </row>
    <row r="83">
      <c r="A83" t="n">
        <v>385</v>
      </c>
      <c r="B83" s="29">
        <f>A83/1440</f>
        <v/>
      </c>
      <c r="C83">
        <f>IF(C$4=0,0,IF(COUNTIFS(実績!$W$6:$W$505,C$3,実績!$AC$6:$AC$505,"&lt;="&amp;$A83,実績!$AD$6:$AD$505,"&gt;"&amp;$A83,実績!$AE$6:$AE$505,"○")&gt;0,1,0))</f>
        <v/>
      </c>
      <c r="D83">
        <f>IF(D$4=0,0,IF(COUNTIFS(実績!$W$6:$W$505,D$3,実績!$AC$6:$AC$505,"&lt;="&amp;$A83,実績!$AD$6:$AD$505,"&gt;"&amp;$A83,実績!$AE$6:$AE$505,"○")&gt;0,1,0))</f>
        <v/>
      </c>
      <c r="E83">
        <f>IF(E$4=0,0,IF(COUNTIFS(実績!$W$6:$W$505,E$3,実績!$AC$6:$AC$505,"&lt;="&amp;$A83,実績!$AD$6:$AD$505,"&gt;"&amp;$A83,実績!$AE$6:$AE$505,"○")&gt;0,1,0))</f>
        <v/>
      </c>
      <c r="F83">
        <f>IF(F$4=0,0,IF(COUNTIFS(実績!$W$6:$W$505,F$3,実績!$AC$6:$AC$505,"&lt;="&amp;$A83,実績!$AD$6:$AD$505,"&gt;"&amp;$A83,実績!$AE$6:$AE$505,"○")&gt;0,1,0))</f>
        <v/>
      </c>
      <c r="G83">
        <f>IF(G$4=0,0,IF(COUNTIFS(実績!$W$6:$W$505,G$3,実績!$AC$6:$AC$505,"&lt;="&amp;$A83,実績!$AD$6:$AD$505,"&gt;"&amp;$A83,実績!$AE$6:$AE$505,"○")&gt;0,1,0))</f>
        <v/>
      </c>
      <c r="H83">
        <f>IF(H$4=0,0,IF(COUNTIFS(実績!$W$6:$W$505,H$3,実績!$AC$6:$AC$505,"&lt;="&amp;$A83,実績!$AD$6:$AD$505,"&gt;"&amp;$A83,実績!$AE$6:$AE$505,"○")&gt;0,1,0))</f>
        <v/>
      </c>
      <c r="I83">
        <f>IF(I$4=0,0,IF(COUNTIFS(実績!$W$6:$W$505,I$3,実績!$AC$6:$AC$505,"&lt;="&amp;$A83,実績!$AD$6:$AD$505,"&gt;"&amp;$A83,実績!$AE$6:$AE$505,"○")&gt;0,1,0))</f>
        <v/>
      </c>
      <c r="J83">
        <f>IF(J$4=0,0,IF(COUNTIFS(実績!$W$6:$W$505,J$3,実績!$AC$6:$AC$505,"&lt;="&amp;$A83,実績!$AD$6:$AD$505,"&gt;"&amp;$A83,実績!$AE$6:$AE$505,"○")&gt;0,1,0))</f>
        <v/>
      </c>
      <c r="K83">
        <f>IF(K$4=0,0,IF(COUNTIFS(実績!$W$6:$W$505,K$3,実績!$AC$6:$AC$505,"&lt;="&amp;$A83,実績!$AD$6:$AD$505,"&gt;"&amp;$A83,実績!$AE$6:$AE$505,"○")&gt;0,1,0))</f>
        <v/>
      </c>
      <c r="L83">
        <f>IF(L$4=0,0,IF(COUNTIFS(実績!$W$6:$W$505,L$3,実績!$AC$6:$AC$505,"&lt;="&amp;$A83,実績!$AD$6:$AD$505,"&gt;"&amp;$A83,実績!$AE$6:$AE$505,"○")&gt;0,1,0))</f>
        <v/>
      </c>
      <c r="M83">
        <f>IF(M$4=0,0,IF(COUNTIFS(実績!$W$6:$W$505,M$3,実績!$AC$6:$AC$505,"&lt;="&amp;$A83,実績!$AD$6:$AD$505,"&gt;"&amp;$A83,実績!$AE$6:$AE$505,"○")&gt;0,1,0))</f>
        <v/>
      </c>
      <c r="N83">
        <f>IF(N$4=0,0,IF(COUNTIFS(実績!$W$6:$W$505,N$3,実績!$AC$6:$AC$505,"&lt;="&amp;$A83,実績!$AD$6:$AD$505,"&gt;"&amp;$A83,実績!$AE$6:$AE$505,"○")&gt;0,1,0))</f>
        <v/>
      </c>
      <c r="O83">
        <f>IF(O$4=0,0,IF(COUNTIFS(実績!$W$6:$W$505,O$3,実績!$AC$6:$AC$505,"&lt;="&amp;$A83,実績!$AD$6:$AD$505,"&gt;"&amp;$A83,実績!$AE$6:$AE$505,"○")&gt;0,1,0))</f>
        <v/>
      </c>
      <c r="P83">
        <f>IF(P$4=0,0,IF(COUNTIFS(実績!$W$6:$W$505,P$3,実績!$AC$6:$AC$505,"&lt;="&amp;$A83,実績!$AD$6:$AD$505,"&gt;"&amp;$A83,実績!$AE$6:$AE$505,"○")&gt;0,1,0))</f>
        <v/>
      </c>
      <c r="Q83">
        <f>IF(Q$4=0,0,IF(COUNTIFS(実績!$W$6:$W$505,Q$3,実績!$AC$6:$AC$505,"&lt;="&amp;$A83,実績!$AD$6:$AD$505,"&gt;"&amp;$A83,実績!$AE$6:$AE$505,"○")&gt;0,1,0))</f>
        <v/>
      </c>
      <c r="R83">
        <f>IF(R$4=0,0,IF(COUNTIFS(実績!$W$6:$W$505,R$3,実績!$AC$6:$AC$505,"&lt;="&amp;$A83,実績!$AD$6:$AD$505,"&gt;"&amp;$A83,実績!$AE$6:$AE$505,"○")&gt;0,1,0))</f>
        <v/>
      </c>
      <c r="S83">
        <f>IF(S$4=0,0,IF(COUNTIFS(実績!$W$6:$W$505,S$3,実績!$AC$6:$AC$505,"&lt;="&amp;$A83,実績!$AD$6:$AD$505,"&gt;"&amp;$A83,実績!$AE$6:$AE$505,"○")&gt;0,1,0))</f>
        <v/>
      </c>
      <c r="T83">
        <f>IF(T$4=0,0,IF(COUNTIFS(実績!$W$6:$W$505,T$3,実績!$AC$6:$AC$505,"&lt;="&amp;$A83,実績!$AD$6:$AD$505,"&gt;"&amp;$A83,実績!$AE$6:$AE$505,"○")&gt;0,1,0))</f>
        <v/>
      </c>
      <c r="U83">
        <f>IF(U$4=0,0,IF(COUNTIFS(実績!$W$6:$W$505,U$3,実績!$AC$6:$AC$505,"&lt;="&amp;$A83,実績!$AD$6:$AD$505,"&gt;"&amp;$A83,実績!$AE$6:$AE$505,"○")&gt;0,1,0))</f>
        <v/>
      </c>
      <c r="V83">
        <f>IF(V$4=0,0,IF(COUNTIFS(実績!$W$6:$W$505,V$3,実績!$AC$6:$AC$505,"&lt;="&amp;$A83,実績!$AD$6:$AD$505,"&gt;"&amp;$A83,実績!$AE$6:$AE$505,"○")&gt;0,1,0))</f>
        <v/>
      </c>
      <c r="W83">
        <f>IF(W$4=0,0,IF(COUNTIFS(実績!$W$6:$W$505,W$3,実績!$AC$6:$AC$505,"&lt;="&amp;$A83,実績!$AD$6:$AD$505,"&gt;"&amp;$A83,実績!$AE$6:$AE$505,"○")&gt;0,1,0))</f>
        <v/>
      </c>
      <c r="X83">
        <f>IF(X$4=0,0,IF(COUNTIFS(実績!$W$6:$W$505,X$3,実績!$AC$6:$AC$505,"&lt;="&amp;$A83,実績!$AD$6:$AD$505,"&gt;"&amp;$A83,実績!$AE$6:$AE$505,"○")&gt;0,1,0))</f>
        <v/>
      </c>
      <c r="Y83">
        <f>IF(Y$4=0,0,IF(COUNTIFS(実績!$W$6:$W$505,Y$3,実績!$AC$6:$AC$505,"&lt;="&amp;$A83,実績!$AD$6:$AD$505,"&gt;"&amp;$A83,実績!$AE$6:$AE$505,"○")&gt;0,1,0))</f>
        <v/>
      </c>
      <c r="Z83">
        <f>IF(Z$4=0,0,IF(COUNTIFS(実績!$W$6:$W$505,Z$3,実績!$AC$6:$AC$505,"&lt;="&amp;$A83,実績!$AD$6:$AD$505,"&gt;"&amp;$A83,実績!$AE$6:$AE$505,"○")&gt;0,1,0))</f>
        <v/>
      </c>
      <c r="AA83">
        <f>IF(AA$4=0,0,IF(COUNTIFS(実績!$W$6:$W$505,AA$3,実績!$AC$6:$AC$505,"&lt;="&amp;$A83,実績!$AD$6:$AD$505,"&gt;"&amp;$A83,実績!$AE$6:$AE$505,"○")&gt;0,1,0))</f>
        <v/>
      </c>
      <c r="AB83">
        <f>IF(AB$4=0,0,IF(COUNTIFS(実績!$W$6:$W$505,AB$3,実績!$AC$6:$AC$505,"&lt;="&amp;$A83,実績!$AD$6:$AD$505,"&gt;"&amp;$A83,実績!$AE$6:$AE$505,"○")&gt;0,1,0))</f>
        <v/>
      </c>
      <c r="AC83">
        <f>IF(AC$4=0,0,IF(COUNTIFS(実績!$W$6:$W$505,AC$3,実績!$AC$6:$AC$505,"&lt;="&amp;$A83,実績!$AD$6:$AD$505,"&gt;"&amp;$A83,実績!$AE$6:$AE$505,"○")&gt;0,1,0))</f>
        <v/>
      </c>
      <c r="AD83">
        <f>IF(AD$4=0,0,IF(COUNTIFS(実績!$W$6:$W$505,AD$3,実績!$AC$6:$AC$505,"&lt;="&amp;$A83,実績!$AD$6:$AD$505,"&gt;"&amp;$A83,実績!$AE$6:$AE$505,"○")&gt;0,1,0))</f>
        <v/>
      </c>
      <c r="AE83">
        <f>IF(AE$4=0,0,IF(COUNTIFS(実績!$W$6:$W$505,AE$3,実績!$AC$6:$AC$505,"&lt;="&amp;$A83,実績!$AD$6:$AD$505,"&gt;"&amp;$A83,実績!$AE$6:$AE$505,"○")&gt;0,1,0))</f>
        <v/>
      </c>
      <c r="AF83">
        <f>IF(AF$4=0,0,IF(COUNTIFS(実績!$W$6:$W$505,AF$3,実績!$AC$6:$AC$505,"&lt;="&amp;$A83,実績!$AD$6:$AD$505,"&gt;"&amp;$A83,実績!$AE$6:$AE$505,"○")&gt;0,1,0))</f>
        <v/>
      </c>
      <c r="AG83">
        <f>IF(AG$4=0,0,IF(COUNTIFS(実績!$W$6:$W$505,AG$3,実績!$AC$6:$AC$505,"&lt;="&amp;$A83,実績!$AD$6:$AD$505,"&gt;"&amp;$A83,実績!$AE$6:$AE$505,"○")&gt;0,1,0))</f>
        <v/>
      </c>
      <c r="AH83">
        <f>IF(AH$4=0,0,IF(COUNTIFS(実績!$W$6:$W$505,AH$3,実績!$AC$6:$AC$505,"&lt;="&amp;$A83,実績!$AD$6:$AD$505,"&gt;"&amp;$A83,実績!$AE$6:$AE$505,"○")&gt;0,1,0))</f>
        <v/>
      </c>
      <c r="AI83">
        <f>IF(AI$4=0,0,IF(COUNTIFS(実績!$W$6:$W$505,AI$3,実績!$AC$6:$AC$505,"&lt;="&amp;$A83,実績!$AD$6:$AD$505,"&gt;"&amp;$A83,実績!$AE$6:$AE$505,"○")&gt;0,1,0))</f>
        <v/>
      </c>
      <c r="AJ83">
        <f>IF(AJ$4=0,0,IF(COUNTIFS(実績!$W$6:$W$505,AJ$3,実績!$AC$6:$AC$505,"&lt;="&amp;$A83,実績!$AD$6:$AD$505,"&gt;"&amp;$A83,実績!$AE$6:$AE$505,"○")&gt;0,1,0))</f>
        <v/>
      </c>
      <c r="AK83">
        <f>IF(AK$4=0,0,IF(COUNTIFS(実績!$W$6:$W$505,AK$3,実績!$AC$6:$AC$505,"&lt;="&amp;$A83,実績!$AD$6:$AD$505,"&gt;"&amp;$A83,実績!$AE$6:$AE$505,"○")&gt;0,1,0))</f>
        <v/>
      </c>
      <c r="AL83">
        <f>IF(AL$4=0,0,IF(COUNTIFS(実績!$W$6:$W$505,AL$3,実績!$AC$6:$AC$505,"&lt;="&amp;$A83,実績!$AD$6:$AD$505,"&gt;"&amp;$A83,実績!$AE$6:$AE$505,"○")&gt;0,1,0))</f>
        <v/>
      </c>
      <c r="AM83">
        <f>IF(AM$4=0,0,IF(COUNTIFS(実績!$W$6:$W$505,AM$3,実績!$AC$6:$AC$505,"&lt;="&amp;$A83,実績!$AD$6:$AD$505,"&gt;"&amp;$A83,実績!$AE$6:$AE$505,"○")&gt;0,1,0))</f>
        <v/>
      </c>
      <c r="AN83">
        <f>IF(AN$4=0,0,IF(COUNTIFS(実績!$W$6:$W$505,AN$3,実績!$AC$6:$AC$505,"&lt;="&amp;$A83,実績!$AD$6:$AD$505,"&gt;"&amp;$A83,実績!$AE$6:$AE$505,"○")&gt;0,1,0))</f>
        <v/>
      </c>
      <c r="AO83">
        <f>IF(AO$4=0,0,IF(COUNTIFS(実績!$W$6:$W$505,AO$3,実績!$AC$6:$AC$505,"&lt;="&amp;$A83,実績!$AD$6:$AD$505,"&gt;"&amp;$A83,実績!$AE$6:$AE$505,"○")&gt;0,1,0))</f>
        <v/>
      </c>
      <c r="AP83">
        <f>IF(AP$4=0,0,IF(COUNTIFS(実績!$W$6:$W$505,AP$3,実績!$AC$6:$AC$505,"&lt;="&amp;$A83,実績!$AD$6:$AD$505,"&gt;"&amp;$A83,実績!$AE$6:$AE$505,"○")&gt;0,1,0))</f>
        <v/>
      </c>
      <c r="AQ83">
        <f>IF(AQ$4=0,0,IF(COUNTIFS(実績!$W$6:$W$505,AQ$3,実績!$AC$6:$AC$505,"&lt;="&amp;$A83,実績!$AD$6:$AD$505,"&gt;"&amp;$A83,実績!$AE$6:$AE$505,"○")&gt;0,1,0))</f>
        <v/>
      </c>
      <c r="AR83">
        <f>IF(AR$4=0,0,IF(COUNTIFS(実績!$W$6:$W$505,AR$3,実績!$AC$6:$AC$505,"&lt;="&amp;$A83,実績!$AD$6:$AD$505,"&gt;"&amp;$A83,実績!$AE$6:$AE$505,"○")&gt;0,1,0))</f>
        <v/>
      </c>
      <c r="AS83">
        <f>IF(AS$4=0,0,IF(COUNTIFS(実績!$W$6:$W$505,AS$3,実績!$AC$6:$AC$505,"&lt;="&amp;$A83,実績!$AD$6:$AD$505,"&gt;"&amp;$A83,実績!$AE$6:$AE$505,"○")&gt;0,1,0))</f>
        <v/>
      </c>
      <c r="AT83">
        <f>IF(AT$4=0,0,IF(COUNTIFS(実績!$W$6:$W$505,AT$3,実績!$AC$6:$AC$505,"&lt;="&amp;$A83,実績!$AD$6:$AD$505,"&gt;"&amp;$A83,実績!$AE$6:$AE$505,"○")&gt;0,1,0))</f>
        <v/>
      </c>
      <c r="AU83">
        <f>IF(AU$4=0,0,IF(COUNTIFS(実績!$W$6:$W$505,AU$3,実績!$AC$6:$AC$505,"&lt;="&amp;$A83,実績!$AD$6:$AD$505,"&gt;"&amp;$A83,実績!$AE$6:$AE$505,"○")&gt;0,1,0))</f>
        <v/>
      </c>
      <c r="AV83">
        <f>IF(AV$4=0,0,IF(COUNTIFS(実績!$W$6:$W$505,AV$3,実績!$AC$6:$AC$505,"&lt;="&amp;$A83,実績!$AD$6:$AD$505,"&gt;"&amp;$A83,実績!$AE$6:$AE$505,"○")&gt;0,1,0))</f>
        <v/>
      </c>
      <c r="AW83">
        <f>IF(AW$4=0,0,IF(COUNTIFS(実績!$W$6:$W$505,AW$3,実績!$AC$6:$AC$505,"&lt;="&amp;$A83,実績!$AD$6:$AD$505,"&gt;"&amp;$A83,実績!$AE$6:$AE$505,"○")&gt;0,1,0))</f>
        <v/>
      </c>
      <c r="AX83">
        <f>IF(AX$4=0,0,IF(COUNTIFS(実績!$W$6:$W$505,AX$3,実績!$AC$6:$AC$505,"&lt;="&amp;$A83,実績!$AD$6:$AD$505,"&gt;"&amp;$A83,実績!$AE$6:$AE$505,"○")&gt;0,1,0))</f>
        <v/>
      </c>
      <c r="AY83">
        <f>IF(AY$4=0,0,IF(COUNTIFS(実績!$W$6:$W$505,AY$3,実績!$AC$6:$AC$505,"&lt;="&amp;$A83,実績!$AD$6:$AD$505,"&gt;"&amp;$A83,実績!$AE$6:$AE$505,"○")&gt;0,1,0))</f>
        <v/>
      </c>
      <c r="AZ83">
        <f>IF(AZ$4=0,0,IF(COUNTIFS(実績!$W$6:$W$505,AZ$3,実績!$AC$6:$AC$505,"&lt;="&amp;$A83,実績!$AD$6:$AD$505,"&gt;"&amp;$A83,実績!$AE$6:$AE$505,"○")&gt;0,1,0))</f>
        <v/>
      </c>
      <c r="BA83">
        <f>IF(BA$4=0,0,IF(COUNTIFS(実績!$W$6:$W$505,BA$3,実績!$AC$6:$AC$505,"&lt;="&amp;$A83,実績!$AD$6:$AD$505,"&gt;"&amp;$A83,実績!$AE$6:$AE$505,"○")&gt;0,1,0))</f>
        <v/>
      </c>
      <c r="BB83">
        <f>IF(BB$4=0,0,IF(COUNTIFS(実績!$W$6:$W$505,BB$3,実績!$AC$6:$AC$505,"&lt;="&amp;$A83,実績!$AD$6:$AD$505,"&gt;"&amp;$A83,実績!$AE$6:$AE$505,"○")&gt;0,1,0))</f>
        <v/>
      </c>
      <c r="BC83">
        <f>IF(BC$4=0,0,IF(COUNTIFS(実績!$W$6:$W$505,BC$3,実績!$AC$6:$AC$505,"&lt;="&amp;$A83,実績!$AD$6:$AD$505,"&gt;"&amp;$A83,実績!$AE$6:$AE$505,"○")&gt;0,1,0))</f>
        <v/>
      </c>
      <c r="BD83">
        <f>IF(BD$4=0,0,IF(COUNTIFS(実績!$W$6:$W$505,BD$3,実績!$AC$6:$AC$505,"&lt;="&amp;$A83,実績!$AD$6:$AD$505,"&gt;"&amp;$A83,実績!$AE$6:$AE$505,"○")&gt;0,1,0))</f>
        <v/>
      </c>
      <c r="BE83">
        <f>IF(BE$4=0,0,IF(COUNTIFS(実績!$W$6:$W$505,BE$3,実績!$AC$6:$AC$505,"&lt;="&amp;$A83,実績!$AD$6:$AD$505,"&gt;"&amp;$A83,実績!$AE$6:$AE$505,"○")&gt;0,1,0))</f>
        <v/>
      </c>
      <c r="BF83">
        <f>IF(BF$4=0,0,IF(COUNTIFS(実績!$W$6:$W$505,BF$3,実績!$AC$6:$AC$505,"&lt;="&amp;$A83,実績!$AD$6:$AD$505,"&gt;"&amp;$A83,実績!$AE$6:$AE$505,"○")&gt;0,1,0))</f>
        <v/>
      </c>
      <c r="BG83">
        <f>IF(BG$4=0,0,IF(COUNTIFS(実績!$W$6:$W$505,BG$3,実績!$AC$6:$AC$505,"&lt;="&amp;$A83,実績!$AD$6:$AD$505,"&gt;"&amp;$A83,実績!$AE$6:$AE$505,"○")&gt;0,1,0))</f>
        <v/>
      </c>
      <c r="BH83">
        <f>IF(BH$4=0,0,IF(COUNTIFS(実績!$W$6:$W$505,BH$3,実績!$AC$6:$AC$505,"&lt;="&amp;$A83,実績!$AD$6:$AD$505,"&gt;"&amp;$A83,実績!$AE$6:$AE$505,"○")&gt;0,1,0))</f>
        <v/>
      </c>
      <c r="BI83">
        <f>IF(BI$4=0,0,IF(COUNTIFS(実績!$W$6:$W$505,BI$3,実績!$AC$6:$AC$505,"&lt;="&amp;$A83,実績!$AD$6:$AD$505,"&gt;"&amp;$A83,実績!$AE$6:$AE$505,"○")&gt;0,1,0))</f>
        <v/>
      </c>
      <c r="BJ83">
        <f>IF(BJ$4=0,0,IF(COUNTIFS(実績!$W$6:$W$505,BJ$3,実績!$AC$6:$AC$505,"&lt;="&amp;$A83,実績!$AD$6:$AD$505,"&gt;"&amp;$A83,実績!$AE$6:$AE$505,"○")&gt;0,1,0))</f>
        <v/>
      </c>
      <c r="BK83">
        <f>IF(BK$4=0,0,IF(COUNTIFS(実績!$W$6:$W$505,BK$3,実績!$AC$6:$AC$505,"&lt;="&amp;$A83,実績!$AD$6:$AD$505,"&gt;"&amp;$A83,実績!$AE$6:$AE$505,"○")&gt;0,1,0))</f>
        <v/>
      </c>
      <c r="BL83">
        <f>IF(BL$4=0,0,IF(COUNTIFS(実績!$W$6:$W$505,BL$3,実績!$AC$6:$AC$505,"&lt;="&amp;$A83,実績!$AD$6:$AD$505,"&gt;"&amp;$A83,実績!$AE$6:$AE$505,"○")&gt;0,1,0))</f>
        <v/>
      </c>
      <c r="BM83">
        <f>IF(BM$4=0,0,IF(COUNTIFS(実績!$W$6:$W$505,BM$3,実績!$AC$6:$AC$505,"&lt;="&amp;$A83,実績!$AD$6:$AD$505,"&gt;"&amp;$A83,実績!$AE$6:$AE$505,"○")&gt;0,1,0))</f>
        <v/>
      </c>
      <c r="BN83">
        <f>IF(BN$4=0,0,IF(COUNTIFS(実績!$W$6:$W$505,BN$3,実績!$AC$6:$AC$505,"&lt;="&amp;$A83,実績!$AD$6:$AD$505,"&gt;"&amp;$A83,実績!$AE$6:$AE$505,"○")&gt;0,1,0))</f>
        <v/>
      </c>
      <c r="BO83">
        <f>IF(BO$4=0,0,IF(COUNTIFS(実績!$W$6:$W$505,BO$3,実績!$AC$6:$AC$505,"&lt;="&amp;$A83,実績!$AD$6:$AD$505,"&gt;"&amp;$A83,実績!$AE$6:$AE$505,"○")&gt;0,1,0))</f>
        <v/>
      </c>
      <c r="BP83">
        <f>IF(BP$4=0,0,IF(COUNTIFS(実績!$W$6:$W$505,BP$3,実績!$AC$6:$AC$505,"&lt;="&amp;$A83,実績!$AD$6:$AD$505,"&gt;"&amp;$A83,実績!$AE$6:$AE$505,"○")&gt;0,1,0))</f>
        <v/>
      </c>
      <c r="BQ83">
        <f>IF(BQ$4=0,0,IF(COUNTIFS(実績!$W$6:$W$505,BQ$3,実績!$AC$6:$AC$505,"&lt;="&amp;$A83,実績!$AD$6:$AD$505,"&gt;"&amp;$A83,実績!$AE$6:$AE$505,"○")&gt;0,1,0))</f>
        <v/>
      </c>
      <c r="BR83">
        <f>IF(BR$4=0,0,IF(COUNTIFS(実績!$W$6:$W$505,BR$3,実績!$AC$6:$AC$505,"&lt;="&amp;$A83,実績!$AD$6:$AD$505,"&gt;"&amp;$A83,実績!$AE$6:$AE$505,"○")&gt;0,1,0))</f>
        <v/>
      </c>
      <c r="BS83">
        <f>IF(BS$4=0,0,IF(COUNTIFS(実績!$W$6:$W$505,BS$3,実績!$AC$6:$AC$505,"&lt;="&amp;$A83,実績!$AD$6:$AD$505,"&gt;"&amp;$A83,実績!$AE$6:$AE$505,"○")&gt;0,1,0))</f>
        <v/>
      </c>
      <c r="BT83">
        <f>IF(BT$4=0,0,IF(COUNTIFS(実績!$W$6:$W$505,BT$3,実績!$AC$6:$AC$505,"&lt;="&amp;$A83,実績!$AD$6:$AD$505,"&gt;"&amp;$A83,実績!$AE$6:$AE$505,"○")&gt;0,1,0))</f>
        <v/>
      </c>
      <c r="BU83">
        <f>IF(BU$4=0,0,IF(COUNTIFS(実績!$W$6:$W$505,BU$3,実績!$AC$6:$AC$505,"&lt;="&amp;$A83,実績!$AD$6:$AD$505,"&gt;"&amp;$A83,実績!$AE$6:$AE$505,"○")&gt;0,1,0))</f>
        <v/>
      </c>
      <c r="BV83">
        <f>IF(BV$4=0,0,IF(COUNTIFS(実績!$W$6:$W$505,BV$3,実績!$AC$6:$AC$505,"&lt;="&amp;$A83,実績!$AD$6:$AD$505,"&gt;"&amp;$A83,実績!$AE$6:$AE$505,"○")&gt;0,1,0))</f>
        <v/>
      </c>
      <c r="BW83">
        <f>IF(BW$4=0,0,IF(COUNTIFS(実績!$W$6:$W$505,BW$3,実績!$AC$6:$AC$505,"&lt;="&amp;$A83,実績!$AD$6:$AD$505,"&gt;"&amp;$A83,実績!$AE$6:$AE$505,"○")&gt;0,1,0))</f>
        <v/>
      </c>
      <c r="BX83">
        <f>IF(BX$4=0,0,IF(COUNTIFS(実績!$W$6:$W$505,BX$3,実績!$AC$6:$AC$505,"&lt;="&amp;$A83,実績!$AD$6:$AD$505,"&gt;"&amp;$A83,実績!$AE$6:$AE$505,"○")&gt;0,1,0))</f>
        <v/>
      </c>
      <c r="BY83">
        <f>IF(BY$4=0,0,IF(COUNTIFS(実績!$W$6:$W$505,BY$3,実績!$AC$6:$AC$505,"&lt;="&amp;$A83,実績!$AD$6:$AD$505,"&gt;"&amp;$A83,実績!$AE$6:$AE$505,"○")&gt;0,1,0))</f>
        <v/>
      </c>
      <c r="BZ83">
        <f>IF(BZ$4=0,0,IF(COUNTIFS(実績!$W$6:$W$505,BZ$3,実績!$AC$6:$AC$505,"&lt;="&amp;$A83,実績!$AD$6:$AD$505,"&gt;"&amp;$A83,実績!$AE$6:$AE$505,"○")&gt;0,1,0))</f>
        <v/>
      </c>
      <c r="CA83">
        <f>IF(CA$4=0,0,IF(COUNTIFS(実績!$W$6:$W$505,CA$3,実績!$AC$6:$AC$505,"&lt;="&amp;$A83,実績!$AD$6:$AD$505,"&gt;"&amp;$A83,実績!$AE$6:$AE$505,"○")&gt;0,1,0))</f>
        <v/>
      </c>
      <c r="CB83">
        <f>IF(CB$4=0,0,IF(COUNTIFS(実績!$W$6:$W$505,CB$3,実績!$AC$6:$AC$505,"&lt;="&amp;$A83,実績!$AD$6:$AD$505,"&gt;"&amp;$A83,実績!$AE$6:$AE$505,"○")&gt;0,1,0))</f>
        <v/>
      </c>
      <c r="CC83">
        <f>IF(CC$4=0,0,IF(COUNTIFS(実績!$W$6:$W$505,CC$3,実績!$AC$6:$AC$505,"&lt;="&amp;$A83,実績!$AD$6:$AD$505,"&gt;"&amp;$A83,実績!$AE$6:$AE$505,"○")&gt;0,1,0))</f>
        <v/>
      </c>
      <c r="CD83">
        <f>IF(CD$4=0,0,IF(COUNTIFS(実績!$W$6:$W$505,CD$3,実績!$AC$6:$AC$505,"&lt;="&amp;$A83,実績!$AD$6:$AD$505,"&gt;"&amp;$A83,実績!$AE$6:$AE$505,"○")&gt;0,1,0))</f>
        <v/>
      </c>
      <c r="CE83">
        <f>IF(CE$4=0,0,IF(COUNTIFS(実績!$W$6:$W$505,CE$3,実績!$AC$6:$AC$505,"&lt;="&amp;$A83,実績!$AD$6:$AD$505,"&gt;"&amp;$A83,実績!$AE$6:$AE$505,"○")&gt;0,1,0))</f>
        <v/>
      </c>
      <c r="CF83">
        <f>IF(CF$4=0,0,IF(COUNTIFS(実績!$W$6:$W$505,CF$3,実績!$AC$6:$AC$505,"&lt;="&amp;$A83,実績!$AD$6:$AD$505,"&gt;"&amp;$A83,実績!$AE$6:$AE$505,"○")&gt;0,1,0))</f>
        <v/>
      </c>
      <c r="CG83">
        <f>IF(CG$4=0,0,IF(COUNTIFS(実績!$W$6:$W$505,CG$3,実績!$AC$6:$AC$505,"&lt;="&amp;$A83,実績!$AD$6:$AD$505,"&gt;"&amp;$A83,実績!$AE$6:$AE$505,"○")&gt;0,1,0))</f>
        <v/>
      </c>
      <c r="CH83">
        <f>IF(CH$4=0,0,IF(COUNTIFS(実績!$W$6:$W$505,CH$3,実績!$AC$6:$AC$505,"&lt;="&amp;$A83,実績!$AD$6:$AD$505,"&gt;"&amp;$A83,実績!$AE$6:$AE$505,"○")&gt;0,1,0))</f>
        <v/>
      </c>
      <c r="CI83">
        <f>IF(CI$4=0,0,IF(COUNTIFS(実績!$W$6:$W$505,CI$3,実績!$AC$6:$AC$505,"&lt;="&amp;$A83,実績!$AD$6:$AD$505,"&gt;"&amp;$A83,実績!$AE$6:$AE$505,"○")&gt;0,1,0))</f>
        <v/>
      </c>
      <c r="CJ83">
        <f>IF(CJ$4=0,0,IF(COUNTIFS(実績!$W$6:$W$505,CJ$3,実績!$AC$6:$AC$505,"&lt;="&amp;$A83,実績!$AD$6:$AD$505,"&gt;"&amp;$A83,実績!$AE$6:$AE$505,"○")&gt;0,1,0))</f>
        <v/>
      </c>
      <c r="CK83">
        <f>IF(CK$4=0,0,IF(COUNTIFS(実績!$W$6:$W$505,CK$3,実績!$AC$6:$AC$505,"&lt;="&amp;$A83,実績!$AD$6:$AD$505,"&gt;"&amp;$A83,実績!$AE$6:$AE$505,"○")&gt;0,1,0))</f>
        <v/>
      </c>
      <c r="CL83">
        <f>IF(CL$4=0,0,IF(COUNTIFS(実績!$W$6:$W$505,CL$3,実績!$AC$6:$AC$505,"&lt;="&amp;$A83,実績!$AD$6:$AD$505,"&gt;"&amp;$A83,実績!$AE$6:$AE$505,"○")&gt;0,1,0))</f>
        <v/>
      </c>
      <c r="CM83">
        <f>IF(CM$4=0,0,IF(COUNTIFS(実績!$W$6:$W$505,CM$3,実績!$AC$6:$AC$505,"&lt;="&amp;$A83,実績!$AD$6:$AD$505,"&gt;"&amp;$A83,実績!$AE$6:$AE$505,"○")&gt;0,1,0))</f>
        <v/>
      </c>
      <c r="CN83">
        <f>IF(CN$4=0,0,IF(COUNTIFS(実績!$W$6:$W$505,CN$3,実績!$AC$6:$AC$505,"&lt;="&amp;$A83,実績!$AD$6:$AD$505,"&gt;"&amp;$A83,実績!$AE$6:$AE$505,"○")&gt;0,1,0))</f>
        <v/>
      </c>
      <c r="CO83">
        <f>IF(CO$4=0,0,IF(COUNTIFS(実績!$W$6:$W$505,CO$3,実績!$AC$6:$AC$505,"&lt;="&amp;$A83,実績!$AD$6:$AD$505,"&gt;"&amp;$A83,実績!$AE$6:$AE$505,"○")&gt;0,1,0))</f>
        <v/>
      </c>
      <c r="CP83">
        <f>IF(CP$4=0,0,IF(COUNTIFS(実績!$W$6:$W$505,CP$3,実績!$AC$6:$AC$505,"&lt;="&amp;$A83,実績!$AD$6:$AD$505,"&gt;"&amp;$A83,実績!$AE$6:$AE$505,"○")&gt;0,1,0))</f>
        <v/>
      </c>
      <c r="CQ83">
        <f>IF(CQ$4=0,0,IF(COUNTIFS(実績!$W$6:$W$505,CQ$3,実績!$AC$6:$AC$505,"&lt;="&amp;$A83,実績!$AD$6:$AD$505,"&gt;"&amp;$A83,実績!$AE$6:$AE$505,"○")&gt;0,1,0))</f>
        <v/>
      </c>
      <c r="CR83">
        <f>IF(CR$4=0,0,IF(COUNTIFS(実績!$W$6:$W$505,CR$3,実績!$AC$6:$AC$505,"&lt;="&amp;$A83,実績!$AD$6:$AD$505,"&gt;"&amp;$A83,実績!$AE$6:$AE$505,"○")&gt;0,1,0))</f>
        <v/>
      </c>
      <c r="CS83">
        <f>IF(CS$4=0,0,IF(COUNTIFS(実績!$W$6:$W$505,CS$3,実績!$AC$6:$AC$505,"&lt;="&amp;$A83,実績!$AD$6:$AD$505,"&gt;"&amp;$A83,実績!$AE$6:$AE$505,"○")&gt;0,1,0))</f>
        <v/>
      </c>
      <c r="CT83">
        <f>IF(CT$4=0,0,IF(COUNTIFS(実績!$W$6:$W$505,CT$3,実績!$AC$6:$AC$505,"&lt;="&amp;$A83,実績!$AD$6:$AD$505,"&gt;"&amp;$A83,実績!$AE$6:$AE$505,"○")&gt;0,1,0))</f>
        <v/>
      </c>
      <c r="CU83">
        <f>IF(CU$4=0,0,IF(COUNTIFS(実績!$W$6:$W$505,CU$3,実績!$AC$6:$AC$505,"&lt;="&amp;$A83,実績!$AD$6:$AD$505,"&gt;"&amp;$A83,実績!$AE$6:$AE$505,"○")&gt;0,1,0))</f>
        <v/>
      </c>
      <c r="CV83">
        <f>IF(CV$4=0,0,IF(COUNTIFS(実績!$W$6:$W$505,CV$3,実績!$AC$6:$AC$505,"&lt;="&amp;$A83,実績!$AD$6:$AD$505,"&gt;"&amp;$A83,実績!$AE$6:$AE$505,"○")&gt;0,1,0))</f>
        <v/>
      </c>
      <c r="CW83">
        <f>IF(CW$4=0,0,IF(COUNTIFS(実績!$W$6:$W$505,CW$3,実績!$AC$6:$AC$505,"&lt;="&amp;$A83,実績!$AD$6:$AD$505,"&gt;"&amp;$A83,実績!$AE$6:$AE$505,"○")&gt;0,1,0))</f>
        <v/>
      </c>
      <c r="CX83">
        <f>IF(CX$4=0,0,IF(COUNTIFS(実績!$W$6:$W$505,CX$3,実績!$AC$6:$AC$505,"&lt;="&amp;$A83,実績!$AD$6:$AD$505,"&gt;"&amp;$A83,実績!$AE$6:$AE$505,"○")&gt;0,1,0))</f>
        <v/>
      </c>
      <c r="CY83">
        <f>IF(CY$4=0,0,IF(COUNTIFS(実績!$W$6:$W$505,CY$3,実績!$AC$6:$AC$505,"&lt;="&amp;$A83,実績!$AD$6:$AD$505,"&gt;"&amp;$A83,実績!$AE$6:$AE$505,"○")&gt;0,1,0))</f>
        <v/>
      </c>
      <c r="CZ83">
        <f>IF(CZ$4=0,0,IF(COUNTIFS(実績!$W$6:$W$505,CZ$3,実績!$AC$6:$AC$505,"&lt;="&amp;$A83,実績!$AD$6:$AD$505,"&gt;"&amp;$A83,実績!$AE$6:$AE$505,"○")&gt;0,1,0))</f>
        <v/>
      </c>
      <c r="DA83">
        <f>IF(DA$4=0,0,IF(COUNTIFS(実績!$W$6:$W$505,DA$3,実績!$AC$6:$AC$505,"&lt;="&amp;$A83,実績!$AD$6:$AD$505,"&gt;"&amp;$A83,実績!$AE$6:$AE$505,"○")&gt;0,1,0))</f>
        <v/>
      </c>
      <c r="DB83">
        <f>IF(DB$4=0,0,IF(COUNTIFS(実績!$W$6:$W$505,DB$3,実績!$AC$6:$AC$505,"&lt;="&amp;$A83,実績!$AD$6:$AD$505,"&gt;"&amp;$A83,実績!$AE$6:$AE$505,"○")&gt;0,1,0))</f>
        <v/>
      </c>
      <c r="DC83">
        <f>IF(DC$4=0,0,IF(COUNTIFS(実績!$W$6:$W$505,DC$3,実績!$AC$6:$AC$505,"&lt;="&amp;$A83,実績!$AD$6:$AD$505,"&gt;"&amp;$A83,実績!$AE$6:$AE$505,"○")&gt;0,1,0))</f>
        <v/>
      </c>
      <c r="DD83">
        <f>IF(DD$4=0,0,IF(COUNTIFS(実績!$W$6:$W$505,DD$3,実績!$AC$6:$AC$505,"&lt;="&amp;$A83,実績!$AD$6:$AD$505,"&gt;"&amp;$A83,実績!$AE$6:$AE$505,"○")&gt;0,1,0))</f>
        <v/>
      </c>
      <c r="DE83">
        <f>IF(DE$4=0,0,IF(COUNTIFS(実績!$W$6:$W$505,DE$3,実績!$AC$6:$AC$505,"&lt;="&amp;$A83,実績!$AD$6:$AD$505,"&gt;"&amp;$A83,実績!$AE$6:$AE$505,"○")&gt;0,1,0))</f>
        <v/>
      </c>
      <c r="DF83">
        <f>IF(DF$4=0,0,IF(COUNTIFS(実績!$W$6:$W$505,DF$3,実績!$AC$6:$AC$505,"&lt;="&amp;$A83,実績!$AD$6:$AD$505,"&gt;"&amp;$A83,実績!$AE$6:$AE$505,"○")&gt;0,1,0))</f>
        <v/>
      </c>
      <c r="DG83">
        <f>IF(DG$4=0,0,IF(COUNTIFS(実績!$W$6:$W$505,DG$3,実績!$AC$6:$AC$505,"&lt;="&amp;$A83,実績!$AD$6:$AD$505,"&gt;"&amp;$A83,実績!$AE$6:$AE$505,"○")&gt;0,1,0))</f>
        <v/>
      </c>
      <c r="DH83">
        <f>IF(DH$4=0,0,IF(COUNTIFS(実績!$W$6:$W$505,DH$3,実績!$AC$6:$AC$505,"&lt;="&amp;$A83,実績!$AD$6:$AD$505,"&gt;"&amp;$A83,実績!$AE$6:$AE$505,"○")&gt;0,1,0))</f>
        <v/>
      </c>
      <c r="DI83">
        <f>IF(DI$4=0,0,IF(COUNTIFS(実績!$W$6:$W$505,DI$3,実績!$AC$6:$AC$505,"&lt;="&amp;$A83,実績!$AD$6:$AD$505,"&gt;"&amp;$A83,実績!$AE$6:$AE$505,"○")&gt;0,1,0))</f>
        <v/>
      </c>
      <c r="DJ83">
        <f>IF(DJ$4=0,0,IF(COUNTIFS(実績!$W$6:$W$505,DJ$3,実績!$AC$6:$AC$505,"&lt;="&amp;$A83,実績!$AD$6:$AD$505,"&gt;"&amp;$A83,実績!$AE$6:$AE$505,"○")&gt;0,1,0))</f>
        <v/>
      </c>
      <c r="DK83">
        <f>IF(DK$4=0,0,IF(COUNTIFS(実績!$W$6:$W$505,DK$3,実績!$AC$6:$AC$505,"&lt;="&amp;$A83,実績!$AD$6:$AD$505,"&gt;"&amp;$A83,実績!$AE$6:$AE$505,"○")&gt;0,1,0))</f>
        <v/>
      </c>
      <c r="DL83">
        <f>IF(DL$4=0,0,IF(COUNTIFS(実績!$W$6:$W$505,DL$3,実績!$AC$6:$AC$505,"&lt;="&amp;$A83,実績!$AD$6:$AD$505,"&gt;"&amp;$A83,実績!$AE$6:$AE$505,"○")&gt;0,1,0))</f>
        <v/>
      </c>
      <c r="DM83">
        <f>IF(DM$4=0,0,IF(COUNTIFS(実績!$W$6:$W$505,DM$3,実績!$AC$6:$AC$505,"&lt;="&amp;$A83,実績!$AD$6:$AD$505,"&gt;"&amp;$A83,実績!$AE$6:$AE$505,"○")&gt;0,1,0))</f>
        <v/>
      </c>
      <c r="DN83">
        <f>IF(DN$4=0,0,IF(COUNTIFS(実績!$W$6:$W$505,DN$3,実績!$AC$6:$AC$505,"&lt;="&amp;$A83,実績!$AD$6:$AD$505,"&gt;"&amp;$A83,実績!$AE$6:$AE$505,"○")&gt;0,1,0))</f>
        <v/>
      </c>
      <c r="DO83">
        <f>IF(DO$4=0,0,IF(COUNTIFS(実績!$W$6:$W$505,DO$3,実績!$AC$6:$AC$505,"&lt;="&amp;$A83,実績!$AD$6:$AD$505,"&gt;"&amp;$A83,実績!$AE$6:$AE$505,"○")&gt;0,1,0))</f>
        <v/>
      </c>
      <c r="DP83">
        <f>IF(DP$4=0,0,IF(COUNTIFS(実績!$W$6:$W$505,DP$3,実績!$AC$6:$AC$505,"&lt;="&amp;$A83,実績!$AD$6:$AD$505,"&gt;"&amp;$A83,実績!$AE$6:$AE$505,"○")&gt;0,1,0))</f>
        <v/>
      </c>
      <c r="DQ83">
        <f>IF(DQ$4=0,0,IF(COUNTIFS(実績!$W$6:$W$505,DQ$3,実績!$AC$6:$AC$505,"&lt;="&amp;$A83,実績!$AD$6:$AD$505,"&gt;"&amp;$A83,実績!$AE$6:$AE$505,"○")&gt;0,1,0))</f>
        <v/>
      </c>
      <c r="DR83">
        <f>IF(DR$4=0,0,IF(COUNTIFS(実績!$W$6:$W$505,DR$3,実績!$AC$6:$AC$505,"&lt;="&amp;$A83,実績!$AD$6:$AD$505,"&gt;"&amp;$A83,実績!$AE$6:$AE$505,"○")&gt;0,1,0))</f>
        <v/>
      </c>
      <c r="DS83">
        <f>SUM(C83:DR83)</f>
        <v/>
      </c>
      <c r="DT83">
        <f>SUMPRODUCT((実績!$C$6:$C$505="○")*ISNUMBER(実績!$AF$6:$AF$505)*(実績!$AF$6:$AF$505&lt;=$A83)*(実績!$AG$6:$AG$505&gt;$A83))</f>
        <v/>
      </c>
      <c r="DU83">
        <f>SUMIF($C$2:$DR$2,"製鉄曳船",C83:DR83)</f>
        <v/>
      </c>
      <c r="DV83">
        <f>SUMIF($C$2:$DR$2,"西日本海運",C83:DR83)</f>
        <v/>
      </c>
    </row>
    <row r="84">
      <c r="A84" t="n">
        <v>390</v>
      </c>
      <c r="B84" s="29">
        <f>A84/1440</f>
        <v/>
      </c>
      <c r="C84">
        <f>IF(C$4=0,0,IF(COUNTIFS(実績!$W$6:$W$505,C$3,実績!$AC$6:$AC$505,"&lt;="&amp;$A84,実績!$AD$6:$AD$505,"&gt;"&amp;$A84,実績!$AE$6:$AE$505,"○")&gt;0,1,0))</f>
        <v/>
      </c>
      <c r="D84">
        <f>IF(D$4=0,0,IF(COUNTIFS(実績!$W$6:$W$505,D$3,実績!$AC$6:$AC$505,"&lt;="&amp;$A84,実績!$AD$6:$AD$505,"&gt;"&amp;$A84,実績!$AE$6:$AE$505,"○")&gt;0,1,0))</f>
        <v/>
      </c>
      <c r="E84">
        <f>IF(E$4=0,0,IF(COUNTIFS(実績!$W$6:$W$505,E$3,実績!$AC$6:$AC$505,"&lt;="&amp;$A84,実績!$AD$6:$AD$505,"&gt;"&amp;$A84,実績!$AE$6:$AE$505,"○")&gt;0,1,0))</f>
        <v/>
      </c>
      <c r="F84">
        <f>IF(F$4=0,0,IF(COUNTIFS(実績!$W$6:$W$505,F$3,実績!$AC$6:$AC$505,"&lt;="&amp;$A84,実績!$AD$6:$AD$505,"&gt;"&amp;$A84,実績!$AE$6:$AE$505,"○")&gt;0,1,0))</f>
        <v/>
      </c>
      <c r="G84">
        <f>IF(G$4=0,0,IF(COUNTIFS(実績!$W$6:$W$505,G$3,実績!$AC$6:$AC$505,"&lt;="&amp;$A84,実績!$AD$6:$AD$505,"&gt;"&amp;$A84,実績!$AE$6:$AE$505,"○")&gt;0,1,0))</f>
        <v/>
      </c>
      <c r="H84">
        <f>IF(H$4=0,0,IF(COUNTIFS(実績!$W$6:$W$505,H$3,実績!$AC$6:$AC$505,"&lt;="&amp;$A84,実績!$AD$6:$AD$505,"&gt;"&amp;$A84,実績!$AE$6:$AE$505,"○")&gt;0,1,0))</f>
        <v/>
      </c>
      <c r="I84">
        <f>IF(I$4=0,0,IF(COUNTIFS(実績!$W$6:$W$505,I$3,実績!$AC$6:$AC$505,"&lt;="&amp;$A84,実績!$AD$6:$AD$505,"&gt;"&amp;$A84,実績!$AE$6:$AE$505,"○")&gt;0,1,0))</f>
        <v/>
      </c>
      <c r="J84">
        <f>IF(J$4=0,0,IF(COUNTIFS(実績!$W$6:$W$505,J$3,実績!$AC$6:$AC$505,"&lt;="&amp;$A84,実績!$AD$6:$AD$505,"&gt;"&amp;$A84,実績!$AE$6:$AE$505,"○")&gt;0,1,0))</f>
        <v/>
      </c>
      <c r="K84">
        <f>IF(K$4=0,0,IF(COUNTIFS(実績!$W$6:$W$505,K$3,実績!$AC$6:$AC$505,"&lt;="&amp;$A84,実績!$AD$6:$AD$505,"&gt;"&amp;$A84,実績!$AE$6:$AE$505,"○")&gt;0,1,0))</f>
        <v/>
      </c>
      <c r="L84">
        <f>IF(L$4=0,0,IF(COUNTIFS(実績!$W$6:$W$505,L$3,実績!$AC$6:$AC$505,"&lt;="&amp;$A84,実績!$AD$6:$AD$505,"&gt;"&amp;$A84,実績!$AE$6:$AE$505,"○")&gt;0,1,0))</f>
        <v/>
      </c>
      <c r="M84">
        <f>IF(M$4=0,0,IF(COUNTIFS(実績!$W$6:$W$505,M$3,実績!$AC$6:$AC$505,"&lt;="&amp;$A84,実績!$AD$6:$AD$505,"&gt;"&amp;$A84,実績!$AE$6:$AE$505,"○")&gt;0,1,0))</f>
        <v/>
      </c>
      <c r="N84">
        <f>IF(N$4=0,0,IF(COUNTIFS(実績!$W$6:$W$505,N$3,実績!$AC$6:$AC$505,"&lt;="&amp;$A84,実績!$AD$6:$AD$505,"&gt;"&amp;$A84,実績!$AE$6:$AE$505,"○")&gt;0,1,0))</f>
        <v/>
      </c>
      <c r="O84">
        <f>IF(O$4=0,0,IF(COUNTIFS(実績!$W$6:$W$505,O$3,実績!$AC$6:$AC$505,"&lt;="&amp;$A84,実績!$AD$6:$AD$505,"&gt;"&amp;$A84,実績!$AE$6:$AE$505,"○")&gt;0,1,0))</f>
        <v/>
      </c>
      <c r="P84">
        <f>IF(P$4=0,0,IF(COUNTIFS(実績!$W$6:$W$505,P$3,実績!$AC$6:$AC$505,"&lt;="&amp;$A84,実績!$AD$6:$AD$505,"&gt;"&amp;$A84,実績!$AE$6:$AE$505,"○")&gt;0,1,0))</f>
        <v/>
      </c>
      <c r="Q84">
        <f>IF(Q$4=0,0,IF(COUNTIFS(実績!$W$6:$W$505,Q$3,実績!$AC$6:$AC$505,"&lt;="&amp;$A84,実績!$AD$6:$AD$505,"&gt;"&amp;$A84,実績!$AE$6:$AE$505,"○")&gt;0,1,0))</f>
        <v/>
      </c>
      <c r="R84">
        <f>IF(R$4=0,0,IF(COUNTIFS(実績!$W$6:$W$505,R$3,実績!$AC$6:$AC$505,"&lt;="&amp;$A84,実績!$AD$6:$AD$505,"&gt;"&amp;$A84,実績!$AE$6:$AE$505,"○")&gt;0,1,0))</f>
        <v/>
      </c>
      <c r="S84">
        <f>IF(S$4=0,0,IF(COUNTIFS(実績!$W$6:$W$505,S$3,実績!$AC$6:$AC$505,"&lt;="&amp;$A84,実績!$AD$6:$AD$505,"&gt;"&amp;$A84,実績!$AE$6:$AE$505,"○")&gt;0,1,0))</f>
        <v/>
      </c>
      <c r="T84">
        <f>IF(T$4=0,0,IF(COUNTIFS(実績!$W$6:$W$505,T$3,実績!$AC$6:$AC$505,"&lt;="&amp;$A84,実績!$AD$6:$AD$505,"&gt;"&amp;$A84,実績!$AE$6:$AE$505,"○")&gt;0,1,0))</f>
        <v/>
      </c>
      <c r="U84">
        <f>IF(U$4=0,0,IF(COUNTIFS(実績!$W$6:$W$505,U$3,実績!$AC$6:$AC$505,"&lt;="&amp;$A84,実績!$AD$6:$AD$505,"&gt;"&amp;$A84,実績!$AE$6:$AE$505,"○")&gt;0,1,0))</f>
        <v/>
      </c>
      <c r="V84">
        <f>IF(V$4=0,0,IF(COUNTIFS(実績!$W$6:$W$505,V$3,実績!$AC$6:$AC$505,"&lt;="&amp;$A84,実績!$AD$6:$AD$505,"&gt;"&amp;$A84,実績!$AE$6:$AE$505,"○")&gt;0,1,0))</f>
        <v/>
      </c>
      <c r="W84">
        <f>IF(W$4=0,0,IF(COUNTIFS(実績!$W$6:$W$505,W$3,実績!$AC$6:$AC$505,"&lt;="&amp;$A84,実績!$AD$6:$AD$505,"&gt;"&amp;$A84,実績!$AE$6:$AE$505,"○")&gt;0,1,0))</f>
        <v/>
      </c>
      <c r="X84">
        <f>IF(X$4=0,0,IF(COUNTIFS(実績!$W$6:$W$505,X$3,実績!$AC$6:$AC$505,"&lt;="&amp;$A84,実績!$AD$6:$AD$505,"&gt;"&amp;$A84,実績!$AE$6:$AE$505,"○")&gt;0,1,0))</f>
        <v/>
      </c>
      <c r="Y84">
        <f>IF(Y$4=0,0,IF(COUNTIFS(実績!$W$6:$W$505,Y$3,実績!$AC$6:$AC$505,"&lt;="&amp;$A84,実績!$AD$6:$AD$505,"&gt;"&amp;$A84,実績!$AE$6:$AE$505,"○")&gt;0,1,0))</f>
        <v/>
      </c>
      <c r="Z84">
        <f>IF(Z$4=0,0,IF(COUNTIFS(実績!$W$6:$W$505,Z$3,実績!$AC$6:$AC$505,"&lt;="&amp;$A84,実績!$AD$6:$AD$505,"&gt;"&amp;$A84,実績!$AE$6:$AE$505,"○")&gt;0,1,0))</f>
        <v/>
      </c>
      <c r="AA84">
        <f>IF(AA$4=0,0,IF(COUNTIFS(実績!$W$6:$W$505,AA$3,実績!$AC$6:$AC$505,"&lt;="&amp;$A84,実績!$AD$6:$AD$505,"&gt;"&amp;$A84,実績!$AE$6:$AE$505,"○")&gt;0,1,0))</f>
        <v/>
      </c>
      <c r="AB84">
        <f>IF(AB$4=0,0,IF(COUNTIFS(実績!$W$6:$W$505,AB$3,実績!$AC$6:$AC$505,"&lt;="&amp;$A84,実績!$AD$6:$AD$505,"&gt;"&amp;$A84,実績!$AE$6:$AE$505,"○")&gt;0,1,0))</f>
        <v/>
      </c>
      <c r="AC84">
        <f>IF(AC$4=0,0,IF(COUNTIFS(実績!$W$6:$W$505,AC$3,実績!$AC$6:$AC$505,"&lt;="&amp;$A84,実績!$AD$6:$AD$505,"&gt;"&amp;$A84,実績!$AE$6:$AE$505,"○")&gt;0,1,0))</f>
        <v/>
      </c>
      <c r="AD84">
        <f>IF(AD$4=0,0,IF(COUNTIFS(実績!$W$6:$W$505,AD$3,実績!$AC$6:$AC$505,"&lt;="&amp;$A84,実績!$AD$6:$AD$505,"&gt;"&amp;$A84,実績!$AE$6:$AE$505,"○")&gt;0,1,0))</f>
        <v/>
      </c>
      <c r="AE84">
        <f>IF(AE$4=0,0,IF(COUNTIFS(実績!$W$6:$W$505,AE$3,実績!$AC$6:$AC$505,"&lt;="&amp;$A84,実績!$AD$6:$AD$505,"&gt;"&amp;$A84,実績!$AE$6:$AE$505,"○")&gt;0,1,0))</f>
        <v/>
      </c>
      <c r="AF84">
        <f>IF(AF$4=0,0,IF(COUNTIFS(実績!$W$6:$W$505,AF$3,実績!$AC$6:$AC$505,"&lt;="&amp;$A84,実績!$AD$6:$AD$505,"&gt;"&amp;$A84,実績!$AE$6:$AE$505,"○")&gt;0,1,0))</f>
        <v/>
      </c>
      <c r="AG84">
        <f>IF(AG$4=0,0,IF(COUNTIFS(実績!$W$6:$W$505,AG$3,実績!$AC$6:$AC$505,"&lt;="&amp;$A84,実績!$AD$6:$AD$505,"&gt;"&amp;$A84,実績!$AE$6:$AE$505,"○")&gt;0,1,0))</f>
        <v/>
      </c>
      <c r="AH84">
        <f>IF(AH$4=0,0,IF(COUNTIFS(実績!$W$6:$W$505,AH$3,実績!$AC$6:$AC$505,"&lt;="&amp;$A84,実績!$AD$6:$AD$505,"&gt;"&amp;$A84,実績!$AE$6:$AE$505,"○")&gt;0,1,0))</f>
        <v/>
      </c>
      <c r="AI84">
        <f>IF(AI$4=0,0,IF(COUNTIFS(実績!$W$6:$W$505,AI$3,実績!$AC$6:$AC$505,"&lt;="&amp;$A84,実績!$AD$6:$AD$505,"&gt;"&amp;$A84,実績!$AE$6:$AE$505,"○")&gt;0,1,0))</f>
        <v/>
      </c>
      <c r="AJ84">
        <f>IF(AJ$4=0,0,IF(COUNTIFS(実績!$W$6:$W$505,AJ$3,実績!$AC$6:$AC$505,"&lt;="&amp;$A84,実績!$AD$6:$AD$505,"&gt;"&amp;$A84,実績!$AE$6:$AE$505,"○")&gt;0,1,0))</f>
        <v/>
      </c>
      <c r="AK84">
        <f>IF(AK$4=0,0,IF(COUNTIFS(実績!$W$6:$W$505,AK$3,実績!$AC$6:$AC$505,"&lt;="&amp;$A84,実績!$AD$6:$AD$505,"&gt;"&amp;$A84,実績!$AE$6:$AE$505,"○")&gt;0,1,0))</f>
        <v/>
      </c>
      <c r="AL84">
        <f>IF(AL$4=0,0,IF(COUNTIFS(実績!$W$6:$W$505,AL$3,実績!$AC$6:$AC$505,"&lt;="&amp;$A84,実績!$AD$6:$AD$505,"&gt;"&amp;$A84,実績!$AE$6:$AE$505,"○")&gt;0,1,0))</f>
        <v/>
      </c>
      <c r="AM84">
        <f>IF(AM$4=0,0,IF(COUNTIFS(実績!$W$6:$W$505,AM$3,実績!$AC$6:$AC$505,"&lt;="&amp;$A84,実績!$AD$6:$AD$505,"&gt;"&amp;$A84,実績!$AE$6:$AE$505,"○")&gt;0,1,0))</f>
        <v/>
      </c>
      <c r="AN84">
        <f>IF(AN$4=0,0,IF(COUNTIFS(実績!$W$6:$W$505,AN$3,実績!$AC$6:$AC$505,"&lt;="&amp;$A84,実績!$AD$6:$AD$505,"&gt;"&amp;$A84,実績!$AE$6:$AE$505,"○")&gt;0,1,0))</f>
        <v/>
      </c>
      <c r="AO84">
        <f>IF(AO$4=0,0,IF(COUNTIFS(実績!$W$6:$W$505,AO$3,実績!$AC$6:$AC$505,"&lt;="&amp;$A84,実績!$AD$6:$AD$505,"&gt;"&amp;$A84,実績!$AE$6:$AE$505,"○")&gt;0,1,0))</f>
        <v/>
      </c>
      <c r="AP84">
        <f>IF(AP$4=0,0,IF(COUNTIFS(実績!$W$6:$W$505,AP$3,実績!$AC$6:$AC$505,"&lt;="&amp;$A84,実績!$AD$6:$AD$505,"&gt;"&amp;$A84,実績!$AE$6:$AE$505,"○")&gt;0,1,0))</f>
        <v/>
      </c>
      <c r="AQ84">
        <f>IF(AQ$4=0,0,IF(COUNTIFS(実績!$W$6:$W$505,AQ$3,実績!$AC$6:$AC$505,"&lt;="&amp;$A84,実績!$AD$6:$AD$505,"&gt;"&amp;$A84,実績!$AE$6:$AE$505,"○")&gt;0,1,0))</f>
        <v/>
      </c>
      <c r="AR84">
        <f>IF(AR$4=0,0,IF(COUNTIFS(実績!$W$6:$W$505,AR$3,実績!$AC$6:$AC$505,"&lt;="&amp;$A84,実績!$AD$6:$AD$505,"&gt;"&amp;$A84,実績!$AE$6:$AE$505,"○")&gt;0,1,0))</f>
        <v/>
      </c>
      <c r="AS84">
        <f>IF(AS$4=0,0,IF(COUNTIFS(実績!$W$6:$W$505,AS$3,実績!$AC$6:$AC$505,"&lt;="&amp;$A84,実績!$AD$6:$AD$505,"&gt;"&amp;$A84,実績!$AE$6:$AE$505,"○")&gt;0,1,0))</f>
        <v/>
      </c>
      <c r="AT84">
        <f>IF(AT$4=0,0,IF(COUNTIFS(実績!$W$6:$W$505,AT$3,実績!$AC$6:$AC$505,"&lt;="&amp;$A84,実績!$AD$6:$AD$505,"&gt;"&amp;$A84,実績!$AE$6:$AE$505,"○")&gt;0,1,0))</f>
        <v/>
      </c>
      <c r="AU84">
        <f>IF(AU$4=0,0,IF(COUNTIFS(実績!$W$6:$W$505,AU$3,実績!$AC$6:$AC$505,"&lt;="&amp;$A84,実績!$AD$6:$AD$505,"&gt;"&amp;$A84,実績!$AE$6:$AE$505,"○")&gt;0,1,0))</f>
        <v/>
      </c>
      <c r="AV84">
        <f>IF(AV$4=0,0,IF(COUNTIFS(実績!$W$6:$W$505,AV$3,実績!$AC$6:$AC$505,"&lt;="&amp;$A84,実績!$AD$6:$AD$505,"&gt;"&amp;$A84,実績!$AE$6:$AE$505,"○")&gt;0,1,0))</f>
        <v/>
      </c>
      <c r="AW84">
        <f>IF(AW$4=0,0,IF(COUNTIFS(実績!$W$6:$W$505,AW$3,実績!$AC$6:$AC$505,"&lt;="&amp;$A84,実績!$AD$6:$AD$505,"&gt;"&amp;$A84,実績!$AE$6:$AE$505,"○")&gt;0,1,0))</f>
        <v/>
      </c>
      <c r="AX84">
        <f>IF(AX$4=0,0,IF(COUNTIFS(実績!$W$6:$W$505,AX$3,実績!$AC$6:$AC$505,"&lt;="&amp;$A84,実績!$AD$6:$AD$505,"&gt;"&amp;$A84,実績!$AE$6:$AE$505,"○")&gt;0,1,0))</f>
        <v/>
      </c>
      <c r="AY84">
        <f>IF(AY$4=0,0,IF(COUNTIFS(実績!$W$6:$W$505,AY$3,実績!$AC$6:$AC$505,"&lt;="&amp;$A84,実績!$AD$6:$AD$505,"&gt;"&amp;$A84,実績!$AE$6:$AE$505,"○")&gt;0,1,0))</f>
        <v/>
      </c>
      <c r="AZ84">
        <f>IF(AZ$4=0,0,IF(COUNTIFS(実績!$W$6:$W$505,AZ$3,実績!$AC$6:$AC$505,"&lt;="&amp;$A84,実績!$AD$6:$AD$505,"&gt;"&amp;$A84,実績!$AE$6:$AE$505,"○")&gt;0,1,0))</f>
        <v/>
      </c>
      <c r="BA84">
        <f>IF(BA$4=0,0,IF(COUNTIFS(実績!$W$6:$W$505,BA$3,実績!$AC$6:$AC$505,"&lt;="&amp;$A84,実績!$AD$6:$AD$505,"&gt;"&amp;$A84,実績!$AE$6:$AE$505,"○")&gt;0,1,0))</f>
        <v/>
      </c>
      <c r="BB84">
        <f>IF(BB$4=0,0,IF(COUNTIFS(実績!$W$6:$W$505,BB$3,実績!$AC$6:$AC$505,"&lt;="&amp;$A84,実績!$AD$6:$AD$505,"&gt;"&amp;$A84,実績!$AE$6:$AE$505,"○")&gt;0,1,0))</f>
        <v/>
      </c>
      <c r="BC84">
        <f>IF(BC$4=0,0,IF(COUNTIFS(実績!$W$6:$W$505,BC$3,実績!$AC$6:$AC$505,"&lt;="&amp;$A84,実績!$AD$6:$AD$505,"&gt;"&amp;$A84,実績!$AE$6:$AE$505,"○")&gt;0,1,0))</f>
        <v/>
      </c>
      <c r="BD84">
        <f>IF(BD$4=0,0,IF(COUNTIFS(実績!$W$6:$W$505,BD$3,実績!$AC$6:$AC$505,"&lt;="&amp;$A84,実績!$AD$6:$AD$505,"&gt;"&amp;$A84,実績!$AE$6:$AE$505,"○")&gt;0,1,0))</f>
        <v/>
      </c>
      <c r="BE84">
        <f>IF(BE$4=0,0,IF(COUNTIFS(実績!$W$6:$W$505,BE$3,実績!$AC$6:$AC$505,"&lt;="&amp;$A84,実績!$AD$6:$AD$505,"&gt;"&amp;$A84,実績!$AE$6:$AE$505,"○")&gt;0,1,0))</f>
        <v/>
      </c>
      <c r="BF84">
        <f>IF(BF$4=0,0,IF(COUNTIFS(実績!$W$6:$W$505,BF$3,実績!$AC$6:$AC$505,"&lt;="&amp;$A84,実績!$AD$6:$AD$505,"&gt;"&amp;$A84,実績!$AE$6:$AE$505,"○")&gt;0,1,0))</f>
        <v/>
      </c>
      <c r="BG84">
        <f>IF(BG$4=0,0,IF(COUNTIFS(実績!$W$6:$W$505,BG$3,実績!$AC$6:$AC$505,"&lt;="&amp;$A84,実績!$AD$6:$AD$505,"&gt;"&amp;$A84,実績!$AE$6:$AE$505,"○")&gt;0,1,0))</f>
        <v/>
      </c>
      <c r="BH84">
        <f>IF(BH$4=0,0,IF(COUNTIFS(実績!$W$6:$W$505,BH$3,実績!$AC$6:$AC$505,"&lt;="&amp;$A84,実績!$AD$6:$AD$505,"&gt;"&amp;$A84,実績!$AE$6:$AE$505,"○")&gt;0,1,0))</f>
        <v/>
      </c>
      <c r="BI84">
        <f>IF(BI$4=0,0,IF(COUNTIFS(実績!$W$6:$W$505,BI$3,実績!$AC$6:$AC$505,"&lt;="&amp;$A84,実績!$AD$6:$AD$505,"&gt;"&amp;$A84,実績!$AE$6:$AE$505,"○")&gt;0,1,0))</f>
        <v/>
      </c>
      <c r="BJ84">
        <f>IF(BJ$4=0,0,IF(COUNTIFS(実績!$W$6:$W$505,BJ$3,実績!$AC$6:$AC$505,"&lt;="&amp;$A84,実績!$AD$6:$AD$505,"&gt;"&amp;$A84,実績!$AE$6:$AE$505,"○")&gt;0,1,0))</f>
        <v/>
      </c>
      <c r="BK84">
        <f>IF(BK$4=0,0,IF(COUNTIFS(実績!$W$6:$W$505,BK$3,実績!$AC$6:$AC$505,"&lt;="&amp;$A84,実績!$AD$6:$AD$505,"&gt;"&amp;$A84,実績!$AE$6:$AE$505,"○")&gt;0,1,0))</f>
        <v/>
      </c>
      <c r="BL84">
        <f>IF(BL$4=0,0,IF(COUNTIFS(実績!$W$6:$W$505,BL$3,実績!$AC$6:$AC$505,"&lt;="&amp;$A84,実績!$AD$6:$AD$505,"&gt;"&amp;$A84,実績!$AE$6:$AE$505,"○")&gt;0,1,0))</f>
        <v/>
      </c>
      <c r="BM84">
        <f>IF(BM$4=0,0,IF(COUNTIFS(実績!$W$6:$W$505,BM$3,実績!$AC$6:$AC$505,"&lt;="&amp;$A84,実績!$AD$6:$AD$505,"&gt;"&amp;$A84,実績!$AE$6:$AE$505,"○")&gt;0,1,0))</f>
        <v/>
      </c>
      <c r="BN84">
        <f>IF(BN$4=0,0,IF(COUNTIFS(実績!$W$6:$W$505,BN$3,実績!$AC$6:$AC$505,"&lt;="&amp;$A84,実績!$AD$6:$AD$505,"&gt;"&amp;$A84,実績!$AE$6:$AE$505,"○")&gt;0,1,0))</f>
        <v/>
      </c>
      <c r="BO84">
        <f>IF(BO$4=0,0,IF(COUNTIFS(実績!$W$6:$W$505,BO$3,実績!$AC$6:$AC$505,"&lt;="&amp;$A84,実績!$AD$6:$AD$505,"&gt;"&amp;$A84,実績!$AE$6:$AE$505,"○")&gt;0,1,0))</f>
        <v/>
      </c>
      <c r="BP84">
        <f>IF(BP$4=0,0,IF(COUNTIFS(実績!$W$6:$W$505,BP$3,実績!$AC$6:$AC$505,"&lt;="&amp;$A84,実績!$AD$6:$AD$505,"&gt;"&amp;$A84,実績!$AE$6:$AE$505,"○")&gt;0,1,0))</f>
        <v/>
      </c>
      <c r="BQ84">
        <f>IF(BQ$4=0,0,IF(COUNTIFS(実績!$W$6:$W$505,BQ$3,実績!$AC$6:$AC$505,"&lt;="&amp;$A84,実績!$AD$6:$AD$505,"&gt;"&amp;$A84,実績!$AE$6:$AE$505,"○")&gt;0,1,0))</f>
        <v/>
      </c>
      <c r="BR84">
        <f>IF(BR$4=0,0,IF(COUNTIFS(実績!$W$6:$W$505,BR$3,実績!$AC$6:$AC$505,"&lt;="&amp;$A84,実績!$AD$6:$AD$505,"&gt;"&amp;$A84,実績!$AE$6:$AE$505,"○")&gt;0,1,0))</f>
        <v/>
      </c>
      <c r="BS84">
        <f>IF(BS$4=0,0,IF(COUNTIFS(実績!$W$6:$W$505,BS$3,実績!$AC$6:$AC$505,"&lt;="&amp;$A84,実績!$AD$6:$AD$505,"&gt;"&amp;$A84,実績!$AE$6:$AE$505,"○")&gt;0,1,0))</f>
        <v/>
      </c>
      <c r="BT84">
        <f>IF(BT$4=0,0,IF(COUNTIFS(実績!$W$6:$W$505,BT$3,実績!$AC$6:$AC$505,"&lt;="&amp;$A84,実績!$AD$6:$AD$505,"&gt;"&amp;$A84,実績!$AE$6:$AE$505,"○")&gt;0,1,0))</f>
        <v/>
      </c>
      <c r="BU84">
        <f>IF(BU$4=0,0,IF(COUNTIFS(実績!$W$6:$W$505,BU$3,実績!$AC$6:$AC$505,"&lt;="&amp;$A84,実績!$AD$6:$AD$505,"&gt;"&amp;$A84,実績!$AE$6:$AE$505,"○")&gt;0,1,0))</f>
        <v/>
      </c>
      <c r="BV84">
        <f>IF(BV$4=0,0,IF(COUNTIFS(実績!$W$6:$W$505,BV$3,実績!$AC$6:$AC$505,"&lt;="&amp;$A84,実績!$AD$6:$AD$505,"&gt;"&amp;$A84,実績!$AE$6:$AE$505,"○")&gt;0,1,0))</f>
        <v/>
      </c>
      <c r="BW84">
        <f>IF(BW$4=0,0,IF(COUNTIFS(実績!$W$6:$W$505,BW$3,実績!$AC$6:$AC$505,"&lt;="&amp;$A84,実績!$AD$6:$AD$505,"&gt;"&amp;$A84,実績!$AE$6:$AE$505,"○")&gt;0,1,0))</f>
        <v/>
      </c>
      <c r="BX84">
        <f>IF(BX$4=0,0,IF(COUNTIFS(実績!$W$6:$W$505,BX$3,実績!$AC$6:$AC$505,"&lt;="&amp;$A84,実績!$AD$6:$AD$505,"&gt;"&amp;$A84,実績!$AE$6:$AE$505,"○")&gt;0,1,0))</f>
        <v/>
      </c>
      <c r="BY84">
        <f>IF(BY$4=0,0,IF(COUNTIFS(実績!$W$6:$W$505,BY$3,実績!$AC$6:$AC$505,"&lt;="&amp;$A84,実績!$AD$6:$AD$505,"&gt;"&amp;$A84,実績!$AE$6:$AE$505,"○")&gt;0,1,0))</f>
        <v/>
      </c>
      <c r="BZ84">
        <f>IF(BZ$4=0,0,IF(COUNTIFS(実績!$W$6:$W$505,BZ$3,実績!$AC$6:$AC$505,"&lt;="&amp;$A84,実績!$AD$6:$AD$505,"&gt;"&amp;$A84,実績!$AE$6:$AE$505,"○")&gt;0,1,0))</f>
        <v/>
      </c>
      <c r="CA84">
        <f>IF(CA$4=0,0,IF(COUNTIFS(実績!$W$6:$W$505,CA$3,実績!$AC$6:$AC$505,"&lt;="&amp;$A84,実績!$AD$6:$AD$505,"&gt;"&amp;$A84,実績!$AE$6:$AE$505,"○")&gt;0,1,0))</f>
        <v/>
      </c>
      <c r="CB84">
        <f>IF(CB$4=0,0,IF(COUNTIFS(実績!$W$6:$W$505,CB$3,実績!$AC$6:$AC$505,"&lt;="&amp;$A84,実績!$AD$6:$AD$505,"&gt;"&amp;$A84,実績!$AE$6:$AE$505,"○")&gt;0,1,0))</f>
        <v/>
      </c>
      <c r="CC84">
        <f>IF(CC$4=0,0,IF(COUNTIFS(実績!$W$6:$W$505,CC$3,実績!$AC$6:$AC$505,"&lt;="&amp;$A84,実績!$AD$6:$AD$505,"&gt;"&amp;$A84,実績!$AE$6:$AE$505,"○")&gt;0,1,0))</f>
        <v/>
      </c>
      <c r="CD84">
        <f>IF(CD$4=0,0,IF(COUNTIFS(実績!$W$6:$W$505,CD$3,実績!$AC$6:$AC$505,"&lt;="&amp;$A84,実績!$AD$6:$AD$505,"&gt;"&amp;$A84,実績!$AE$6:$AE$505,"○")&gt;0,1,0))</f>
        <v/>
      </c>
      <c r="CE84">
        <f>IF(CE$4=0,0,IF(COUNTIFS(実績!$W$6:$W$505,CE$3,実績!$AC$6:$AC$505,"&lt;="&amp;$A84,実績!$AD$6:$AD$505,"&gt;"&amp;$A84,実績!$AE$6:$AE$505,"○")&gt;0,1,0))</f>
        <v/>
      </c>
      <c r="CF84">
        <f>IF(CF$4=0,0,IF(COUNTIFS(実績!$W$6:$W$505,CF$3,実績!$AC$6:$AC$505,"&lt;="&amp;$A84,実績!$AD$6:$AD$505,"&gt;"&amp;$A84,実績!$AE$6:$AE$505,"○")&gt;0,1,0))</f>
        <v/>
      </c>
      <c r="CG84">
        <f>IF(CG$4=0,0,IF(COUNTIFS(実績!$W$6:$W$505,CG$3,実績!$AC$6:$AC$505,"&lt;="&amp;$A84,実績!$AD$6:$AD$505,"&gt;"&amp;$A84,実績!$AE$6:$AE$505,"○")&gt;0,1,0))</f>
        <v/>
      </c>
      <c r="CH84">
        <f>IF(CH$4=0,0,IF(COUNTIFS(実績!$W$6:$W$505,CH$3,実績!$AC$6:$AC$505,"&lt;="&amp;$A84,実績!$AD$6:$AD$505,"&gt;"&amp;$A84,実績!$AE$6:$AE$505,"○")&gt;0,1,0))</f>
        <v/>
      </c>
      <c r="CI84">
        <f>IF(CI$4=0,0,IF(COUNTIFS(実績!$W$6:$W$505,CI$3,実績!$AC$6:$AC$505,"&lt;="&amp;$A84,実績!$AD$6:$AD$505,"&gt;"&amp;$A84,実績!$AE$6:$AE$505,"○")&gt;0,1,0))</f>
        <v/>
      </c>
      <c r="CJ84">
        <f>IF(CJ$4=0,0,IF(COUNTIFS(実績!$W$6:$W$505,CJ$3,実績!$AC$6:$AC$505,"&lt;="&amp;$A84,実績!$AD$6:$AD$505,"&gt;"&amp;$A84,実績!$AE$6:$AE$505,"○")&gt;0,1,0))</f>
        <v/>
      </c>
      <c r="CK84">
        <f>IF(CK$4=0,0,IF(COUNTIFS(実績!$W$6:$W$505,CK$3,実績!$AC$6:$AC$505,"&lt;="&amp;$A84,実績!$AD$6:$AD$505,"&gt;"&amp;$A84,実績!$AE$6:$AE$505,"○")&gt;0,1,0))</f>
        <v/>
      </c>
      <c r="CL84">
        <f>IF(CL$4=0,0,IF(COUNTIFS(実績!$W$6:$W$505,CL$3,実績!$AC$6:$AC$505,"&lt;="&amp;$A84,実績!$AD$6:$AD$505,"&gt;"&amp;$A84,実績!$AE$6:$AE$505,"○")&gt;0,1,0))</f>
        <v/>
      </c>
      <c r="CM84">
        <f>IF(CM$4=0,0,IF(COUNTIFS(実績!$W$6:$W$505,CM$3,実績!$AC$6:$AC$505,"&lt;="&amp;$A84,実績!$AD$6:$AD$505,"&gt;"&amp;$A84,実績!$AE$6:$AE$505,"○")&gt;0,1,0))</f>
        <v/>
      </c>
      <c r="CN84">
        <f>IF(CN$4=0,0,IF(COUNTIFS(実績!$W$6:$W$505,CN$3,実績!$AC$6:$AC$505,"&lt;="&amp;$A84,実績!$AD$6:$AD$505,"&gt;"&amp;$A84,実績!$AE$6:$AE$505,"○")&gt;0,1,0))</f>
        <v/>
      </c>
      <c r="CO84">
        <f>IF(CO$4=0,0,IF(COUNTIFS(実績!$W$6:$W$505,CO$3,実績!$AC$6:$AC$505,"&lt;="&amp;$A84,実績!$AD$6:$AD$505,"&gt;"&amp;$A84,実績!$AE$6:$AE$505,"○")&gt;0,1,0))</f>
        <v/>
      </c>
      <c r="CP84">
        <f>IF(CP$4=0,0,IF(COUNTIFS(実績!$W$6:$W$505,CP$3,実績!$AC$6:$AC$505,"&lt;="&amp;$A84,実績!$AD$6:$AD$505,"&gt;"&amp;$A84,実績!$AE$6:$AE$505,"○")&gt;0,1,0))</f>
        <v/>
      </c>
      <c r="CQ84">
        <f>IF(CQ$4=0,0,IF(COUNTIFS(実績!$W$6:$W$505,CQ$3,実績!$AC$6:$AC$505,"&lt;="&amp;$A84,実績!$AD$6:$AD$505,"&gt;"&amp;$A84,実績!$AE$6:$AE$505,"○")&gt;0,1,0))</f>
        <v/>
      </c>
      <c r="CR84">
        <f>IF(CR$4=0,0,IF(COUNTIFS(実績!$W$6:$W$505,CR$3,実績!$AC$6:$AC$505,"&lt;="&amp;$A84,実績!$AD$6:$AD$505,"&gt;"&amp;$A84,実績!$AE$6:$AE$505,"○")&gt;0,1,0))</f>
        <v/>
      </c>
      <c r="CS84">
        <f>IF(CS$4=0,0,IF(COUNTIFS(実績!$W$6:$W$505,CS$3,実績!$AC$6:$AC$505,"&lt;="&amp;$A84,実績!$AD$6:$AD$505,"&gt;"&amp;$A84,実績!$AE$6:$AE$505,"○")&gt;0,1,0))</f>
        <v/>
      </c>
      <c r="CT84">
        <f>IF(CT$4=0,0,IF(COUNTIFS(実績!$W$6:$W$505,CT$3,実績!$AC$6:$AC$505,"&lt;="&amp;$A84,実績!$AD$6:$AD$505,"&gt;"&amp;$A84,実績!$AE$6:$AE$505,"○")&gt;0,1,0))</f>
        <v/>
      </c>
      <c r="CU84">
        <f>IF(CU$4=0,0,IF(COUNTIFS(実績!$W$6:$W$505,CU$3,実績!$AC$6:$AC$505,"&lt;="&amp;$A84,実績!$AD$6:$AD$505,"&gt;"&amp;$A84,実績!$AE$6:$AE$505,"○")&gt;0,1,0))</f>
        <v/>
      </c>
      <c r="CV84">
        <f>IF(CV$4=0,0,IF(COUNTIFS(実績!$W$6:$W$505,CV$3,実績!$AC$6:$AC$505,"&lt;="&amp;$A84,実績!$AD$6:$AD$505,"&gt;"&amp;$A84,実績!$AE$6:$AE$505,"○")&gt;0,1,0))</f>
        <v/>
      </c>
      <c r="CW84">
        <f>IF(CW$4=0,0,IF(COUNTIFS(実績!$W$6:$W$505,CW$3,実績!$AC$6:$AC$505,"&lt;="&amp;$A84,実績!$AD$6:$AD$505,"&gt;"&amp;$A84,実績!$AE$6:$AE$505,"○")&gt;0,1,0))</f>
        <v/>
      </c>
      <c r="CX84">
        <f>IF(CX$4=0,0,IF(COUNTIFS(実績!$W$6:$W$505,CX$3,実績!$AC$6:$AC$505,"&lt;="&amp;$A84,実績!$AD$6:$AD$505,"&gt;"&amp;$A84,実績!$AE$6:$AE$505,"○")&gt;0,1,0))</f>
        <v/>
      </c>
      <c r="CY84">
        <f>IF(CY$4=0,0,IF(COUNTIFS(実績!$W$6:$W$505,CY$3,実績!$AC$6:$AC$505,"&lt;="&amp;$A84,実績!$AD$6:$AD$505,"&gt;"&amp;$A84,実績!$AE$6:$AE$505,"○")&gt;0,1,0))</f>
        <v/>
      </c>
      <c r="CZ84">
        <f>IF(CZ$4=0,0,IF(COUNTIFS(実績!$W$6:$W$505,CZ$3,実績!$AC$6:$AC$505,"&lt;="&amp;$A84,実績!$AD$6:$AD$505,"&gt;"&amp;$A84,実績!$AE$6:$AE$505,"○")&gt;0,1,0))</f>
        <v/>
      </c>
      <c r="DA84">
        <f>IF(DA$4=0,0,IF(COUNTIFS(実績!$W$6:$W$505,DA$3,実績!$AC$6:$AC$505,"&lt;="&amp;$A84,実績!$AD$6:$AD$505,"&gt;"&amp;$A84,実績!$AE$6:$AE$505,"○")&gt;0,1,0))</f>
        <v/>
      </c>
      <c r="DB84">
        <f>IF(DB$4=0,0,IF(COUNTIFS(実績!$W$6:$W$505,DB$3,実績!$AC$6:$AC$505,"&lt;="&amp;$A84,実績!$AD$6:$AD$505,"&gt;"&amp;$A84,実績!$AE$6:$AE$505,"○")&gt;0,1,0))</f>
        <v/>
      </c>
      <c r="DC84">
        <f>IF(DC$4=0,0,IF(COUNTIFS(実績!$W$6:$W$505,DC$3,実績!$AC$6:$AC$505,"&lt;="&amp;$A84,実績!$AD$6:$AD$505,"&gt;"&amp;$A84,実績!$AE$6:$AE$505,"○")&gt;0,1,0))</f>
        <v/>
      </c>
      <c r="DD84">
        <f>IF(DD$4=0,0,IF(COUNTIFS(実績!$W$6:$W$505,DD$3,実績!$AC$6:$AC$505,"&lt;="&amp;$A84,実績!$AD$6:$AD$505,"&gt;"&amp;$A84,実績!$AE$6:$AE$505,"○")&gt;0,1,0))</f>
        <v/>
      </c>
      <c r="DE84">
        <f>IF(DE$4=0,0,IF(COUNTIFS(実績!$W$6:$W$505,DE$3,実績!$AC$6:$AC$505,"&lt;="&amp;$A84,実績!$AD$6:$AD$505,"&gt;"&amp;$A84,実績!$AE$6:$AE$505,"○")&gt;0,1,0))</f>
        <v/>
      </c>
      <c r="DF84">
        <f>IF(DF$4=0,0,IF(COUNTIFS(実績!$W$6:$W$505,DF$3,実績!$AC$6:$AC$505,"&lt;="&amp;$A84,実績!$AD$6:$AD$505,"&gt;"&amp;$A84,実績!$AE$6:$AE$505,"○")&gt;0,1,0))</f>
        <v/>
      </c>
      <c r="DG84">
        <f>IF(DG$4=0,0,IF(COUNTIFS(実績!$W$6:$W$505,DG$3,実績!$AC$6:$AC$505,"&lt;="&amp;$A84,実績!$AD$6:$AD$505,"&gt;"&amp;$A84,実績!$AE$6:$AE$505,"○")&gt;0,1,0))</f>
        <v/>
      </c>
      <c r="DH84">
        <f>IF(DH$4=0,0,IF(COUNTIFS(実績!$W$6:$W$505,DH$3,実績!$AC$6:$AC$505,"&lt;="&amp;$A84,実績!$AD$6:$AD$505,"&gt;"&amp;$A84,実績!$AE$6:$AE$505,"○")&gt;0,1,0))</f>
        <v/>
      </c>
      <c r="DI84">
        <f>IF(DI$4=0,0,IF(COUNTIFS(実績!$W$6:$W$505,DI$3,実績!$AC$6:$AC$505,"&lt;="&amp;$A84,実績!$AD$6:$AD$505,"&gt;"&amp;$A84,実績!$AE$6:$AE$505,"○")&gt;0,1,0))</f>
        <v/>
      </c>
      <c r="DJ84">
        <f>IF(DJ$4=0,0,IF(COUNTIFS(実績!$W$6:$W$505,DJ$3,実績!$AC$6:$AC$505,"&lt;="&amp;$A84,実績!$AD$6:$AD$505,"&gt;"&amp;$A84,実績!$AE$6:$AE$505,"○")&gt;0,1,0))</f>
        <v/>
      </c>
      <c r="DK84">
        <f>IF(DK$4=0,0,IF(COUNTIFS(実績!$W$6:$W$505,DK$3,実績!$AC$6:$AC$505,"&lt;="&amp;$A84,実績!$AD$6:$AD$505,"&gt;"&amp;$A84,実績!$AE$6:$AE$505,"○")&gt;0,1,0))</f>
        <v/>
      </c>
      <c r="DL84">
        <f>IF(DL$4=0,0,IF(COUNTIFS(実績!$W$6:$W$505,DL$3,実績!$AC$6:$AC$505,"&lt;="&amp;$A84,実績!$AD$6:$AD$505,"&gt;"&amp;$A84,実績!$AE$6:$AE$505,"○")&gt;0,1,0))</f>
        <v/>
      </c>
      <c r="DM84">
        <f>IF(DM$4=0,0,IF(COUNTIFS(実績!$W$6:$W$505,DM$3,実績!$AC$6:$AC$505,"&lt;="&amp;$A84,実績!$AD$6:$AD$505,"&gt;"&amp;$A84,実績!$AE$6:$AE$505,"○")&gt;0,1,0))</f>
        <v/>
      </c>
      <c r="DN84">
        <f>IF(DN$4=0,0,IF(COUNTIFS(実績!$W$6:$W$505,DN$3,実績!$AC$6:$AC$505,"&lt;="&amp;$A84,実績!$AD$6:$AD$505,"&gt;"&amp;$A84,実績!$AE$6:$AE$505,"○")&gt;0,1,0))</f>
        <v/>
      </c>
      <c r="DO84">
        <f>IF(DO$4=0,0,IF(COUNTIFS(実績!$W$6:$W$505,DO$3,実績!$AC$6:$AC$505,"&lt;="&amp;$A84,実績!$AD$6:$AD$505,"&gt;"&amp;$A84,実績!$AE$6:$AE$505,"○")&gt;0,1,0))</f>
        <v/>
      </c>
      <c r="DP84">
        <f>IF(DP$4=0,0,IF(COUNTIFS(実績!$W$6:$W$505,DP$3,実績!$AC$6:$AC$505,"&lt;="&amp;$A84,実績!$AD$6:$AD$505,"&gt;"&amp;$A84,実績!$AE$6:$AE$505,"○")&gt;0,1,0))</f>
        <v/>
      </c>
      <c r="DQ84">
        <f>IF(DQ$4=0,0,IF(COUNTIFS(実績!$W$6:$W$505,DQ$3,実績!$AC$6:$AC$505,"&lt;="&amp;$A84,実績!$AD$6:$AD$505,"&gt;"&amp;$A84,実績!$AE$6:$AE$505,"○")&gt;0,1,0))</f>
        <v/>
      </c>
      <c r="DR84">
        <f>IF(DR$4=0,0,IF(COUNTIFS(実績!$W$6:$W$505,DR$3,実績!$AC$6:$AC$505,"&lt;="&amp;$A84,実績!$AD$6:$AD$505,"&gt;"&amp;$A84,実績!$AE$6:$AE$505,"○")&gt;0,1,0))</f>
        <v/>
      </c>
      <c r="DS84">
        <f>SUM(C84:DR84)</f>
        <v/>
      </c>
      <c r="DT84">
        <f>SUMPRODUCT((実績!$C$6:$C$505="○")*ISNUMBER(実績!$AF$6:$AF$505)*(実績!$AF$6:$AF$505&lt;=$A84)*(実績!$AG$6:$AG$505&gt;$A84))</f>
        <v/>
      </c>
      <c r="DU84">
        <f>SUMIF($C$2:$DR$2,"製鉄曳船",C84:DR84)</f>
        <v/>
      </c>
      <c r="DV84">
        <f>SUMIF($C$2:$DR$2,"西日本海運",C84:DR84)</f>
        <v/>
      </c>
    </row>
    <row r="85">
      <c r="A85" t="n">
        <v>395</v>
      </c>
      <c r="B85" s="29">
        <f>A85/1440</f>
        <v/>
      </c>
      <c r="C85">
        <f>IF(C$4=0,0,IF(COUNTIFS(実績!$W$6:$W$505,C$3,実績!$AC$6:$AC$505,"&lt;="&amp;$A85,実績!$AD$6:$AD$505,"&gt;"&amp;$A85,実績!$AE$6:$AE$505,"○")&gt;0,1,0))</f>
        <v/>
      </c>
      <c r="D85">
        <f>IF(D$4=0,0,IF(COUNTIFS(実績!$W$6:$W$505,D$3,実績!$AC$6:$AC$505,"&lt;="&amp;$A85,実績!$AD$6:$AD$505,"&gt;"&amp;$A85,実績!$AE$6:$AE$505,"○")&gt;0,1,0))</f>
        <v/>
      </c>
      <c r="E85">
        <f>IF(E$4=0,0,IF(COUNTIFS(実績!$W$6:$W$505,E$3,実績!$AC$6:$AC$505,"&lt;="&amp;$A85,実績!$AD$6:$AD$505,"&gt;"&amp;$A85,実績!$AE$6:$AE$505,"○")&gt;0,1,0))</f>
        <v/>
      </c>
      <c r="F85">
        <f>IF(F$4=0,0,IF(COUNTIFS(実績!$W$6:$W$505,F$3,実績!$AC$6:$AC$505,"&lt;="&amp;$A85,実績!$AD$6:$AD$505,"&gt;"&amp;$A85,実績!$AE$6:$AE$505,"○")&gt;0,1,0))</f>
        <v/>
      </c>
      <c r="G85">
        <f>IF(G$4=0,0,IF(COUNTIFS(実績!$W$6:$W$505,G$3,実績!$AC$6:$AC$505,"&lt;="&amp;$A85,実績!$AD$6:$AD$505,"&gt;"&amp;$A85,実績!$AE$6:$AE$505,"○")&gt;0,1,0))</f>
        <v/>
      </c>
      <c r="H85">
        <f>IF(H$4=0,0,IF(COUNTIFS(実績!$W$6:$W$505,H$3,実績!$AC$6:$AC$505,"&lt;="&amp;$A85,実績!$AD$6:$AD$505,"&gt;"&amp;$A85,実績!$AE$6:$AE$505,"○")&gt;0,1,0))</f>
        <v/>
      </c>
      <c r="I85">
        <f>IF(I$4=0,0,IF(COUNTIFS(実績!$W$6:$W$505,I$3,実績!$AC$6:$AC$505,"&lt;="&amp;$A85,実績!$AD$6:$AD$505,"&gt;"&amp;$A85,実績!$AE$6:$AE$505,"○")&gt;0,1,0))</f>
        <v/>
      </c>
      <c r="J85">
        <f>IF(J$4=0,0,IF(COUNTIFS(実績!$W$6:$W$505,J$3,実績!$AC$6:$AC$505,"&lt;="&amp;$A85,実績!$AD$6:$AD$505,"&gt;"&amp;$A85,実績!$AE$6:$AE$505,"○")&gt;0,1,0))</f>
        <v/>
      </c>
      <c r="K85">
        <f>IF(K$4=0,0,IF(COUNTIFS(実績!$W$6:$W$505,K$3,実績!$AC$6:$AC$505,"&lt;="&amp;$A85,実績!$AD$6:$AD$505,"&gt;"&amp;$A85,実績!$AE$6:$AE$505,"○")&gt;0,1,0))</f>
        <v/>
      </c>
      <c r="L85">
        <f>IF(L$4=0,0,IF(COUNTIFS(実績!$W$6:$W$505,L$3,実績!$AC$6:$AC$505,"&lt;="&amp;$A85,実績!$AD$6:$AD$505,"&gt;"&amp;$A85,実績!$AE$6:$AE$505,"○")&gt;0,1,0))</f>
        <v/>
      </c>
      <c r="M85">
        <f>IF(M$4=0,0,IF(COUNTIFS(実績!$W$6:$W$505,M$3,実績!$AC$6:$AC$505,"&lt;="&amp;$A85,実績!$AD$6:$AD$505,"&gt;"&amp;$A85,実績!$AE$6:$AE$505,"○")&gt;0,1,0))</f>
        <v/>
      </c>
      <c r="N85">
        <f>IF(N$4=0,0,IF(COUNTIFS(実績!$W$6:$W$505,N$3,実績!$AC$6:$AC$505,"&lt;="&amp;$A85,実績!$AD$6:$AD$505,"&gt;"&amp;$A85,実績!$AE$6:$AE$505,"○")&gt;0,1,0))</f>
        <v/>
      </c>
      <c r="O85">
        <f>IF(O$4=0,0,IF(COUNTIFS(実績!$W$6:$W$505,O$3,実績!$AC$6:$AC$505,"&lt;="&amp;$A85,実績!$AD$6:$AD$505,"&gt;"&amp;$A85,実績!$AE$6:$AE$505,"○")&gt;0,1,0))</f>
        <v/>
      </c>
      <c r="P85">
        <f>IF(P$4=0,0,IF(COUNTIFS(実績!$W$6:$W$505,P$3,実績!$AC$6:$AC$505,"&lt;="&amp;$A85,実績!$AD$6:$AD$505,"&gt;"&amp;$A85,実績!$AE$6:$AE$505,"○")&gt;0,1,0))</f>
        <v/>
      </c>
      <c r="Q85">
        <f>IF(Q$4=0,0,IF(COUNTIFS(実績!$W$6:$W$505,Q$3,実績!$AC$6:$AC$505,"&lt;="&amp;$A85,実績!$AD$6:$AD$505,"&gt;"&amp;$A85,実績!$AE$6:$AE$505,"○")&gt;0,1,0))</f>
        <v/>
      </c>
      <c r="R85">
        <f>IF(R$4=0,0,IF(COUNTIFS(実績!$W$6:$W$505,R$3,実績!$AC$6:$AC$505,"&lt;="&amp;$A85,実績!$AD$6:$AD$505,"&gt;"&amp;$A85,実績!$AE$6:$AE$505,"○")&gt;0,1,0))</f>
        <v/>
      </c>
      <c r="S85">
        <f>IF(S$4=0,0,IF(COUNTIFS(実績!$W$6:$W$505,S$3,実績!$AC$6:$AC$505,"&lt;="&amp;$A85,実績!$AD$6:$AD$505,"&gt;"&amp;$A85,実績!$AE$6:$AE$505,"○")&gt;0,1,0))</f>
        <v/>
      </c>
      <c r="T85">
        <f>IF(T$4=0,0,IF(COUNTIFS(実績!$W$6:$W$505,T$3,実績!$AC$6:$AC$505,"&lt;="&amp;$A85,実績!$AD$6:$AD$505,"&gt;"&amp;$A85,実績!$AE$6:$AE$505,"○")&gt;0,1,0))</f>
        <v/>
      </c>
      <c r="U85">
        <f>IF(U$4=0,0,IF(COUNTIFS(実績!$W$6:$W$505,U$3,実績!$AC$6:$AC$505,"&lt;="&amp;$A85,実績!$AD$6:$AD$505,"&gt;"&amp;$A85,実績!$AE$6:$AE$505,"○")&gt;0,1,0))</f>
        <v/>
      </c>
      <c r="V85">
        <f>IF(V$4=0,0,IF(COUNTIFS(実績!$W$6:$W$505,V$3,実績!$AC$6:$AC$505,"&lt;="&amp;$A85,実績!$AD$6:$AD$505,"&gt;"&amp;$A85,実績!$AE$6:$AE$505,"○")&gt;0,1,0))</f>
        <v/>
      </c>
      <c r="W85">
        <f>IF(W$4=0,0,IF(COUNTIFS(実績!$W$6:$W$505,W$3,実績!$AC$6:$AC$505,"&lt;="&amp;$A85,実績!$AD$6:$AD$505,"&gt;"&amp;$A85,実績!$AE$6:$AE$505,"○")&gt;0,1,0))</f>
        <v/>
      </c>
      <c r="X85">
        <f>IF(X$4=0,0,IF(COUNTIFS(実績!$W$6:$W$505,X$3,実績!$AC$6:$AC$505,"&lt;="&amp;$A85,実績!$AD$6:$AD$505,"&gt;"&amp;$A85,実績!$AE$6:$AE$505,"○")&gt;0,1,0))</f>
        <v/>
      </c>
      <c r="Y85">
        <f>IF(Y$4=0,0,IF(COUNTIFS(実績!$W$6:$W$505,Y$3,実績!$AC$6:$AC$505,"&lt;="&amp;$A85,実績!$AD$6:$AD$505,"&gt;"&amp;$A85,実績!$AE$6:$AE$505,"○")&gt;0,1,0))</f>
        <v/>
      </c>
      <c r="Z85">
        <f>IF(Z$4=0,0,IF(COUNTIFS(実績!$W$6:$W$505,Z$3,実績!$AC$6:$AC$505,"&lt;="&amp;$A85,実績!$AD$6:$AD$505,"&gt;"&amp;$A85,実績!$AE$6:$AE$505,"○")&gt;0,1,0))</f>
        <v/>
      </c>
      <c r="AA85">
        <f>IF(AA$4=0,0,IF(COUNTIFS(実績!$W$6:$W$505,AA$3,実績!$AC$6:$AC$505,"&lt;="&amp;$A85,実績!$AD$6:$AD$505,"&gt;"&amp;$A85,実績!$AE$6:$AE$505,"○")&gt;0,1,0))</f>
        <v/>
      </c>
      <c r="AB85">
        <f>IF(AB$4=0,0,IF(COUNTIFS(実績!$W$6:$W$505,AB$3,実績!$AC$6:$AC$505,"&lt;="&amp;$A85,実績!$AD$6:$AD$505,"&gt;"&amp;$A85,実績!$AE$6:$AE$505,"○")&gt;0,1,0))</f>
        <v/>
      </c>
      <c r="AC85">
        <f>IF(AC$4=0,0,IF(COUNTIFS(実績!$W$6:$W$505,AC$3,実績!$AC$6:$AC$505,"&lt;="&amp;$A85,実績!$AD$6:$AD$505,"&gt;"&amp;$A85,実績!$AE$6:$AE$505,"○")&gt;0,1,0))</f>
        <v/>
      </c>
      <c r="AD85">
        <f>IF(AD$4=0,0,IF(COUNTIFS(実績!$W$6:$W$505,AD$3,実績!$AC$6:$AC$505,"&lt;="&amp;$A85,実績!$AD$6:$AD$505,"&gt;"&amp;$A85,実績!$AE$6:$AE$505,"○")&gt;0,1,0))</f>
        <v/>
      </c>
      <c r="AE85">
        <f>IF(AE$4=0,0,IF(COUNTIFS(実績!$W$6:$W$505,AE$3,実績!$AC$6:$AC$505,"&lt;="&amp;$A85,実績!$AD$6:$AD$505,"&gt;"&amp;$A85,実績!$AE$6:$AE$505,"○")&gt;0,1,0))</f>
        <v/>
      </c>
      <c r="AF85">
        <f>IF(AF$4=0,0,IF(COUNTIFS(実績!$W$6:$W$505,AF$3,実績!$AC$6:$AC$505,"&lt;="&amp;$A85,実績!$AD$6:$AD$505,"&gt;"&amp;$A85,実績!$AE$6:$AE$505,"○")&gt;0,1,0))</f>
        <v/>
      </c>
      <c r="AG85">
        <f>IF(AG$4=0,0,IF(COUNTIFS(実績!$W$6:$W$505,AG$3,実績!$AC$6:$AC$505,"&lt;="&amp;$A85,実績!$AD$6:$AD$505,"&gt;"&amp;$A85,実績!$AE$6:$AE$505,"○")&gt;0,1,0))</f>
        <v/>
      </c>
      <c r="AH85">
        <f>IF(AH$4=0,0,IF(COUNTIFS(実績!$W$6:$W$505,AH$3,実績!$AC$6:$AC$505,"&lt;="&amp;$A85,実績!$AD$6:$AD$505,"&gt;"&amp;$A85,実績!$AE$6:$AE$505,"○")&gt;0,1,0))</f>
        <v/>
      </c>
      <c r="AI85">
        <f>IF(AI$4=0,0,IF(COUNTIFS(実績!$W$6:$W$505,AI$3,実績!$AC$6:$AC$505,"&lt;="&amp;$A85,実績!$AD$6:$AD$505,"&gt;"&amp;$A85,実績!$AE$6:$AE$505,"○")&gt;0,1,0))</f>
        <v/>
      </c>
      <c r="AJ85">
        <f>IF(AJ$4=0,0,IF(COUNTIFS(実績!$W$6:$W$505,AJ$3,実績!$AC$6:$AC$505,"&lt;="&amp;$A85,実績!$AD$6:$AD$505,"&gt;"&amp;$A85,実績!$AE$6:$AE$505,"○")&gt;0,1,0))</f>
        <v/>
      </c>
      <c r="AK85">
        <f>IF(AK$4=0,0,IF(COUNTIFS(実績!$W$6:$W$505,AK$3,実績!$AC$6:$AC$505,"&lt;="&amp;$A85,実績!$AD$6:$AD$505,"&gt;"&amp;$A85,実績!$AE$6:$AE$505,"○")&gt;0,1,0))</f>
        <v/>
      </c>
      <c r="AL85">
        <f>IF(AL$4=0,0,IF(COUNTIFS(実績!$W$6:$W$505,AL$3,実績!$AC$6:$AC$505,"&lt;="&amp;$A85,実績!$AD$6:$AD$505,"&gt;"&amp;$A85,実績!$AE$6:$AE$505,"○")&gt;0,1,0))</f>
        <v/>
      </c>
      <c r="AM85">
        <f>IF(AM$4=0,0,IF(COUNTIFS(実績!$W$6:$W$505,AM$3,実績!$AC$6:$AC$505,"&lt;="&amp;$A85,実績!$AD$6:$AD$505,"&gt;"&amp;$A85,実績!$AE$6:$AE$505,"○")&gt;0,1,0))</f>
        <v/>
      </c>
      <c r="AN85">
        <f>IF(AN$4=0,0,IF(COUNTIFS(実績!$W$6:$W$505,AN$3,実績!$AC$6:$AC$505,"&lt;="&amp;$A85,実績!$AD$6:$AD$505,"&gt;"&amp;$A85,実績!$AE$6:$AE$505,"○")&gt;0,1,0))</f>
        <v/>
      </c>
      <c r="AO85">
        <f>IF(AO$4=0,0,IF(COUNTIFS(実績!$W$6:$W$505,AO$3,実績!$AC$6:$AC$505,"&lt;="&amp;$A85,実績!$AD$6:$AD$505,"&gt;"&amp;$A85,実績!$AE$6:$AE$505,"○")&gt;0,1,0))</f>
        <v/>
      </c>
      <c r="AP85">
        <f>IF(AP$4=0,0,IF(COUNTIFS(実績!$W$6:$W$505,AP$3,実績!$AC$6:$AC$505,"&lt;="&amp;$A85,実績!$AD$6:$AD$505,"&gt;"&amp;$A85,実績!$AE$6:$AE$505,"○")&gt;0,1,0))</f>
        <v/>
      </c>
      <c r="AQ85">
        <f>IF(AQ$4=0,0,IF(COUNTIFS(実績!$W$6:$W$505,AQ$3,実績!$AC$6:$AC$505,"&lt;="&amp;$A85,実績!$AD$6:$AD$505,"&gt;"&amp;$A85,実績!$AE$6:$AE$505,"○")&gt;0,1,0))</f>
        <v/>
      </c>
      <c r="AR85">
        <f>IF(AR$4=0,0,IF(COUNTIFS(実績!$W$6:$W$505,AR$3,実績!$AC$6:$AC$505,"&lt;="&amp;$A85,実績!$AD$6:$AD$505,"&gt;"&amp;$A85,実績!$AE$6:$AE$505,"○")&gt;0,1,0))</f>
        <v/>
      </c>
      <c r="AS85">
        <f>IF(AS$4=0,0,IF(COUNTIFS(実績!$W$6:$W$505,AS$3,実績!$AC$6:$AC$505,"&lt;="&amp;$A85,実績!$AD$6:$AD$505,"&gt;"&amp;$A85,実績!$AE$6:$AE$505,"○")&gt;0,1,0))</f>
        <v/>
      </c>
      <c r="AT85">
        <f>IF(AT$4=0,0,IF(COUNTIFS(実績!$W$6:$W$505,AT$3,実績!$AC$6:$AC$505,"&lt;="&amp;$A85,実績!$AD$6:$AD$505,"&gt;"&amp;$A85,実績!$AE$6:$AE$505,"○")&gt;0,1,0))</f>
        <v/>
      </c>
      <c r="AU85">
        <f>IF(AU$4=0,0,IF(COUNTIFS(実績!$W$6:$W$505,AU$3,実績!$AC$6:$AC$505,"&lt;="&amp;$A85,実績!$AD$6:$AD$505,"&gt;"&amp;$A85,実績!$AE$6:$AE$505,"○")&gt;0,1,0))</f>
        <v/>
      </c>
      <c r="AV85">
        <f>IF(AV$4=0,0,IF(COUNTIFS(実績!$W$6:$W$505,AV$3,実績!$AC$6:$AC$505,"&lt;="&amp;$A85,実績!$AD$6:$AD$505,"&gt;"&amp;$A85,実績!$AE$6:$AE$505,"○")&gt;0,1,0))</f>
        <v/>
      </c>
      <c r="AW85">
        <f>IF(AW$4=0,0,IF(COUNTIFS(実績!$W$6:$W$505,AW$3,実績!$AC$6:$AC$505,"&lt;="&amp;$A85,実績!$AD$6:$AD$505,"&gt;"&amp;$A85,実績!$AE$6:$AE$505,"○")&gt;0,1,0))</f>
        <v/>
      </c>
      <c r="AX85">
        <f>IF(AX$4=0,0,IF(COUNTIFS(実績!$W$6:$W$505,AX$3,実績!$AC$6:$AC$505,"&lt;="&amp;$A85,実績!$AD$6:$AD$505,"&gt;"&amp;$A85,実績!$AE$6:$AE$505,"○")&gt;0,1,0))</f>
        <v/>
      </c>
      <c r="AY85">
        <f>IF(AY$4=0,0,IF(COUNTIFS(実績!$W$6:$W$505,AY$3,実績!$AC$6:$AC$505,"&lt;="&amp;$A85,実績!$AD$6:$AD$505,"&gt;"&amp;$A85,実績!$AE$6:$AE$505,"○")&gt;0,1,0))</f>
        <v/>
      </c>
      <c r="AZ85">
        <f>IF(AZ$4=0,0,IF(COUNTIFS(実績!$W$6:$W$505,AZ$3,実績!$AC$6:$AC$505,"&lt;="&amp;$A85,実績!$AD$6:$AD$505,"&gt;"&amp;$A85,実績!$AE$6:$AE$505,"○")&gt;0,1,0))</f>
        <v/>
      </c>
      <c r="BA85">
        <f>IF(BA$4=0,0,IF(COUNTIFS(実績!$W$6:$W$505,BA$3,実績!$AC$6:$AC$505,"&lt;="&amp;$A85,実績!$AD$6:$AD$505,"&gt;"&amp;$A85,実績!$AE$6:$AE$505,"○")&gt;0,1,0))</f>
        <v/>
      </c>
      <c r="BB85">
        <f>IF(BB$4=0,0,IF(COUNTIFS(実績!$W$6:$W$505,BB$3,実績!$AC$6:$AC$505,"&lt;="&amp;$A85,実績!$AD$6:$AD$505,"&gt;"&amp;$A85,実績!$AE$6:$AE$505,"○")&gt;0,1,0))</f>
        <v/>
      </c>
      <c r="BC85">
        <f>IF(BC$4=0,0,IF(COUNTIFS(実績!$W$6:$W$505,BC$3,実績!$AC$6:$AC$505,"&lt;="&amp;$A85,実績!$AD$6:$AD$505,"&gt;"&amp;$A85,実績!$AE$6:$AE$505,"○")&gt;0,1,0))</f>
        <v/>
      </c>
      <c r="BD85">
        <f>IF(BD$4=0,0,IF(COUNTIFS(実績!$W$6:$W$505,BD$3,実績!$AC$6:$AC$505,"&lt;="&amp;$A85,実績!$AD$6:$AD$505,"&gt;"&amp;$A85,実績!$AE$6:$AE$505,"○")&gt;0,1,0))</f>
        <v/>
      </c>
      <c r="BE85">
        <f>IF(BE$4=0,0,IF(COUNTIFS(実績!$W$6:$W$505,BE$3,実績!$AC$6:$AC$505,"&lt;="&amp;$A85,実績!$AD$6:$AD$505,"&gt;"&amp;$A85,実績!$AE$6:$AE$505,"○")&gt;0,1,0))</f>
        <v/>
      </c>
      <c r="BF85">
        <f>IF(BF$4=0,0,IF(COUNTIFS(実績!$W$6:$W$505,BF$3,実績!$AC$6:$AC$505,"&lt;="&amp;$A85,実績!$AD$6:$AD$505,"&gt;"&amp;$A85,実績!$AE$6:$AE$505,"○")&gt;0,1,0))</f>
        <v/>
      </c>
      <c r="BG85">
        <f>IF(BG$4=0,0,IF(COUNTIFS(実績!$W$6:$W$505,BG$3,実績!$AC$6:$AC$505,"&lt;="&amp;$A85,実績!$AD$6:$AD$505,"&gt;"&amp;$A85,実績!$AE$6:$AE$505,"○")&gt;0,1,0))</f>
        <v/>
      </c>
      <c r="BH85">
        <f>IF(BH$4=0,0,IF(COUNTIFS(実績!$W$6:$W$505,BH$3,実績!$AC$6:$AC$505,"&lt;="&amp;$A85,実績!$AD$6:$AD$505,"&gt;"&amp;$A85,実績!$AE$6:$AE$505,"○")&gt;0,1,0))</f>
        <v/>
      </c>
      <c r="BI85">
        <f>IF(BI$4=0,0,IF(COUNTIFS(実績!$W$6:$W$505,BI$3,実績!$AC$6:$AC$505,"&lt;="&amp;$A85,実績!$AD$6:$AD$505,"&gt;"&amp;$A85,実績!$AE$6:$AE$505,"○")&gt;0,1,0))</f>
        <v/>
      </c>
      <c r="BJ85">
        <f>IF(BJ$4=0,0,IF(COUNTIFS(実績!$W$6:$W$505,BJ$3,実績!$AC$6:$AC$505,"&lt;="&amp;$A85,実績!$AD$6:$AD$505,"&gt;"&amp;$A85,実績!$AE$6:$AE$505,"○")&gt;0,1,0))</f>
        <v/>
      </c>
      <c r="BK85">
        <f>IF(BK$4=0,0,IF(COUNTIFS(実績!$W$6:$W$505,BK$3,実績!$AC$6:$AC$505,"&lt;="&amp;$A85,実績!$AD$6:$AD$505,"&gt;"&amp;$A85,実績!$AE$6:$AE$505,"○")&gt;0,1,0))</f>
        <v/>
      </c>
      <c r="BL85">
        <f>IF(BL$4=0,0,IF(COUNTIFS(実績!$W$6:$W$505,BL$3,実績!$AC$6:$AC$505,"&lt;="&amp;$A85,実績!$AD$6:$AD$505,"&gt;"&amp;$A85,実績!$AE$6:$AE$505,"○")&gt;0,1,0))</f>
        <v/>
      </c>
      <c r="BM85">
        <f>IF(BM$4=0,0,IF(COUNTIFS(実績!$W$6:$W$505,BM$3,実績!$AC$6:$AC$505,"&lt;="&amp;$A85,実績!$AD$6:$AD$505,"&gt;"&amp;$A85,実績!$AE$6:$AE$505,"○")&gt;0,1,0))</f>
        <v/>
      </c>
      <c r="BN85">
        <f>IF(BN$4=0,0,IF(COUNTIFS(実績!$W$6:$W$505,BN$3,実績!$AC$6:$AC$505,"&lt;="&amp;$A85,実績!$AD$6:$AD$505,"&gt;"&amp;$A85,実績!$AE$6:$AE$505,"○")&gt;0,1,0))</f>
        <v/>
      </c>
      <c r="BO85">
        <f>IF(BO$4=0,0,IF(COUNTIFS(実績!$W$6:$W$505,BO$3,実績!$AC$6:$AC$505,"&lt;="&amp;$A85,実績!$AD$6:$AD$505,"&gt;"&amp;$A85,実績!$AE$6:$AE$505,"○")&gt;0,1,0))</f>
        <v/>
      </c>
      <c r="BP85">
        <f>IF(BP$4=0,0,IF(COUNTIFS(実績!$W$6:$W$505,BP$3,実績!$AC$6:$AC$505,"&lt;="&amp;$A85,実績!$AD$6:$AD$505,"&gt;"&amp;$A85,実績!$AE$6:$AE$505,"○")&gt;0,1,0))</f>
        <v/>
      </c>
      <c r="BQ85">
        <f>IF(BQ$4=0,0,IF(COUNTIFS(実績!$W$6:$W$505,BQ$3,実績!$AC$6:$AC$505,"&lt;="&amp;$A85,実績!$AD$6:$AD$505,"&gt;"&amp;$A85,実績!$AE$6:$AE$505,"○")&gt;0,1,0))</f>
        <v/>
      </c>
      <c r="BR85">
        <f>IF(BR$4=0,0,IF(COUNTIFS(実績!$W$6:$W$505,BR$3,実績!$AC$6:$AC$505,"&lt;="&amp;$A85,実績!$AD$6:$AD$505,"&gt;"&amp;$A85,実績!$AE$6:$AE$505,"○")&gt;0,1,0))</f>
        <v/>
      </c>
      <c r="BS85">
        <f>IF(BS$4=0,0,IF(COUNTIFS(実績!$W$6:$W$505,BS$3,実績!$AC$6:$AC$505,"&lt;="&amp;$A85,実績!$AD$6:$AD$505,"&gt;"&amp;$A85,実績!$AE$6:$AE$505,"○")&gt;0,1,0))</f>
        <v/>
      </c>
      <c r="BT85">
        <f>IF(BT$4=0,0,IF(COUNTIFS(実績!$W$6:$W$505,BT$3,実績!$AC$6:$AC$505,"&lt;="&amp;$A85,実績!$AD$6:$AD$505,"&gt;"&amp;$A85,実績!$AE$6:$AE$505,"○")&gt;0,1,0))</f>
        <v/>
      </c>
      <c r="BU85">
        <f>IF(BU$4=0,0,IF(COUNTIFS(実績!$W$6:$W$505,BU$3,実績!$AC$6:$AC$505,"&lt;="&amp;$A85,実績!$AD$6:$AD$505,"&gt;"&amp;$A85,実績!$AE$6:$AE$505,"○")&gt;0,1,0))</f>
        <v/>
      </c>
      <c r="BV85">
        <f>IF(BV$4=0,0,IF(COUNTIFS(実績!$W$6:$W$505,BV$3,実績!$AC$6:$AC$505,"&lt;="&amp;$A85,実績!$AD$6:$AD$505,"&gt;"&amp;$A85,実績!$AE$6:$AE$505,"○")&gt;0,1,0))</f>
        <v/>
      </c>
      <c r="BW85">
        <f>IF(BW$4=0,0,IF(COUNTIFS(実績!$W$6:$W$505,BW$3,実績!$AC$6:$AC$505,"&lt;="&amp;$A85,実績!$AD$6:$AD$505,"&gt;"&amp;$A85,実績!$AE$6:$AE$505,"○")&gt;0,1,0))</f>
        <v/>
      </c>
      <c r="BX85">
        <f>IF(BX$4=0,0,IF(COUNTIFS(実績!$W$6:$W$505,BX$3,実績!$AC$6:$AC$505,"&lt;="&amp;$A85,実績!$AD$6:$AD$505,"&gt;"&amp;$A85,実績!$AE$6:$AE$505,"○")&gt;0,1,0))</f>
        <v/>
      </c>
      <c r="BY85">
        <f>IF(BY$4=0,0,IF(COUNTIFS(実績!$W$6:$W$505,BY$3,実績!$AC$6:$AC$505,"&lt;="&amp;$A85,実績!$AD$6:$AD$505,"&gt;"&amp;$A85,実績!$AE$6:$AE$505,"○")&gt;0,1,0))</f>
        <v/>
      </c>
      <c r="BZ85">
        <f>IF(BZ$4=0,0,IF(COUNTIFS(実績!$W$6:$W$505,BZ$3,実績!$AC$6:$AC$505,"&lt;="&amp;$A85,実績!$AD$6:$AD$505,"&gt;"&amp;$A85,実績!$AE$6:$AE$505,"○")&gt;0,1,0))</f>
        <v/>
      </c>
      <c r="CA85">
        <f>IF(CA$4=0,0,IF(COUNTIFS(実績!$W$6:$W$505,CA$3,実績!$AC$6:$AC$505,"&lt;="&amp;$A85,実績!$AD$6:$AD$505,"&gt;"&amp;$A85,実績!$AE$6:$AE$505,"○")&gt;0,1,0))</f>
        <v/>
      </c>
      <c r="CB85">
        <f>IF(CB$4=0,0,IF(COUNTIFS(実績!$W$6:$W$505,CB$3,実績!$AC$6:$AC$505,"&lt;="&amp;$A85,実績!$AD$6:$AD$505,"&gt;"&amp;$A85,実績!$AE$6:$AE$505,"○")&gt;0,1,0))</f>
        <v/>
      </c>
      <c r="CC85">
        <f>IF(CC$4=0,0,IF(COUNTIFS(実績!$W$6:$W$505,CC$3,実績!$AC$6:$AC$505,"&lt;="&amp;$A85,実績!$AD$6:$AD$505,"&gt;"&amp;$A85,実績!$AE$6:$AE$505,"○")&gt;0,1,0))</f>
        <v/>
      </c>
      <c r="CD85">
        <f>IF(CD$4=0,0,IF(COUNTIFS(実績!$W$6:$W$505,CD$3,実績!$AC$6:$AC$505,"&lt;="&amp;$A85,実績!$AD$6:$AD$505,"&gt;"&amp;$A85,実績!$AE$6:$AE$505,"○")&gt;0,1,0))</f>
        <v/>
      </c>
      <c r="CE85">
        <f>IF(CE$4=0,0,IF(COUNTIFS(実績!$W$6:$W$505,CE$3,実績!$AC$6:$AC$505,"&lt;="&amp;$A85,実績!$AD$6:$AD$505,"&gt;"&amp;$A85,実績!$AE$6:$AE$505,"○")&gt;0,1,0))</f>
        <v/>
      </c>
      <c r="CF85">
        <f>IF(CF$4=0,0,IF(COUNTIFS(実績!$W$6:$W$505,CF$3,実績!$AC$6:$AC$505,"&lt;="&amp;$A85,実績!$AD$6:$AD$505,"&gt;"&amp;$A85,実績!$AE$6:$AE$505,"○")&gt;0,1,0))</f>
        <v/>
      </c>
      <c r="CG85">
        <f>IF(CG$4=0,0,IF(COUNTIFS(実績!$W$6:$W$505,CG$3,実績!$AC$6:$AC$505,"&lt;="&amp;$A85,実績!$AD$6:$AD$505,"&gt;"&amp;$A85,実績!$AE$6:$AE$505,"○")&gt;0,1,0))</f>
        <v/>
      </c>
      <c r="CH85">
        <f>IF(CH$4=0,0,IF(COUNTIFS(実績!$W$6:$W$505,CH$3,実績!$AC$6:$AC$505,"&lt;="&amp;$A85,実績!$AD$6:$AD$505,"&gt;"&amp;$A85,実績!$AE$6:$AE$505,"○")&gt;0,1,0))</f>
        <v/>
      </c>
      <c r="CI85">
        <f>IF(CI$4=0,0,IF(COUNTIFS(実績!$W$6:$W$505,CI$3,実績!$AC$6:$AC$505,"&lt;="&amp;$A85,実績!$AD$6:$AD$505,"&gt;"&amp;$A85,実績!$AE$6:$AE$505,"○")&gt;0,1,0))</f>
        <v/>
      </c>
      <c r="CJ85">
        <f>IF(CJ$4=0,0,IF(COUNTIFS(実績!$W$6:$W$505,CJ$3,実績!$AC$6:$AC$505,"&lt;="&amp;$A85,実績!$AD$6:$AD$505,"&gt;"&amp;$A85,実績!$AE$6:$AE$505,"○")&gt;0,1,0))</f>
        <v/>
      </c>
      <c r="CK85">
        <f>IF(CK$4=0,0,IF(COUNTIFS(実績!$W$6:$W$505,CK$3,実績!$AC$6:$AC$505,"&lt;="&amp;$A85,実績!$AD$6:$AD$505,"&gt;"&amp;$A85,実績!$AE$6:$AE$505,"○")&gt;0,1,0))</f>
        <v/>
      </c>
      <c r="CL85">
        <f>IF(CL$4=0,0,IF(COUNTIFS(実績!$W$6:$W$505,CL$3,実績!$AC$6:$AC$505,"&lt;="&amp;$A85,実績!$AD$6:$AD$505,"&gt;"&amp;$A85,実績!$AE$6:$AE$505,"○")&gt;0,1,0))</f>
        <v/>
      </c>
      <c r="CM85">
        <f>IF(CM$4=0,0,IF(COUNTIFS(実績!$W$6:$W$505,CM$3,実績!$AC$6:$AC$505,"&lt;="&amp;$A85,実績!$AD$6:$AD$505,"&gt;"&amp;$A85,実績!$AE$6:$AE$505,"○")&gt;0,1,0))</f>
        <v/>
      </c>
      <c r="CN85">
        <f>IF(CN$4=0,0,IF(COUNTIFS(実績!$W$6:$W$505,CN$3,実績!$AC$6:$AC$505,"&lt;="&amp;$A85,実績!$AD$6:$AD$505,"&gt;"&amp;$A85,実績!$AE$6:$AE$505,"○")&gt;0,1,0))</f>
        <v/>
      </c>
      <c r="CO85">
        <f>IF(CO$4=0,0,IF(COUNTIFS(実績!$W$6:$W$505,CO$3,実績!$AC$6:$AC$505,"&lt;="&amp;$A85,実績!$AD$6:$AD$505,"&gt;"&amp;$A85,実績!$AE$6:$AE$505,"○")&gt;0,1,0))</f>
        <v/>
      </c>
      <c r="CP85">
        <f>IF(CP$4=0,0,IF(COUNTIFS(実績!$W$6:$W$505,CP$3,実績!$AC$6:$AC$505,"&lt;="&amp;$A85,実績!$AD$6:$AD$505,"&gt;"&amp;$A85,実績!$AE$6:$AE$505,"○")&gt;0,1,0))</f>
        <v/>
      </c>
      <c r="CQ85">
        <f>IF(CQ$4=0,0,IF(COUNTIFS(実績!$W$6:$W$505,CQ$3,実績!$AC$6:$AC$505,"&lt;="&amp;$A85,実績!$AD$6:$AD$505,"&gt;"&amp;$A85,実績!$AE$6:$AE$505,"○")&gt;0,1,0))</f>
        <v/>
      </c>
      <c r="CR85">
        <f>IF(CR$4=0,0,IF(COUNTIFS(実績!$W$6:$W$505,CR$3,実績!$AC$6:$AC$505,"&lt;="&amp;$A85,実績!$AD$6:$AD$505,"&gt;"&amp;$A85,実績!$AE$6:$AE$505,"○")&gt;0,1,0))</f>
        <v/>
      </c>
      <c r="CS85">
        <f>IF(CS$4=0,0,IF(COUNTIFS(実績!$W$6:$W$505,CS$3,実績!$AC$6:$AC$505,"&lt;="&amp;$A85,実績!$AD$6:$AD$505,"&gt;"&amp;$A85,実績!$AE$6:$AE$505,"○")&gt;0,1,0))</f>
        <v/>
      </c>
      <c r="CT85">
        <f>IF(CT$4=0,0,IF(COUNTIFS(実績!$W$6:$W$505,CT$3,実績!$AC$6:$AC$505,"&lt;="&amp;$A85,実績!$AD$6:$AD$505,"&gt;"&amp;$A85,実績!$AE$6:$AE$505,"○")&gt;0,1,0))</f>
        <v/>
      </c>
      <c r="CU85">
        <f>IF(CU$4=0,0,IF(COUNTIFS(実績!$W$6:$W$505,CU$3,実績!$AC$6:$AC$505,"&lt;="&amp;$A85,実績!$AD$6:$AD$505,"&gt;"&amp;$A85,実績!$AE$6:$AE$505,"○")&gt;0,1,0))</f>
        <v/>
      </c>
      <c r="CV85">
        <f>IF(CV$4=0,0,IF(COUNTIFS(実績!$W$6:$W$505,CV$3,実績!$AC$6:$AC$505,"&lt;="&amp;$A85,実績!$AD$6:$AD$505,"&gt;"&amp;$A85,実績!$AE$6:$AE$505,"○")&gt;0,1,0))</f>
        <v/>
      </c>
      <c r="CW85">
        <f>IF(CW$4=0,0,IF(COUNTIFS(実績!$W$6:$W$505,CW$3,実績!$AC$6:$AC$505,"&lt;="&amp;$A85,実績!$AD$6:$AD$505,"&gt;"&amp;$A85,実績!$AE$6:$AE$505,"○")&gt;0,1,0))</f>
        <v/>
      </c>
      <c r="CX85">
        <f>IF(CX$4=0,0,IF(COUNTIFS(実績!$W$6:$W$505,CX$3,実績!$AC$6:$AC$505,"&lt;="&amp;$A85,実績!$AD$6:$AD$505,"&gt;"&amp;$A85,実績!$AE$6:$AE$505,"○")&gt;0,1,0))</f>
        <v/>
      </c>
      <c r="CY85">
        <f>IF(CY$4=0,0,IF(COUNTIFS(実績!$W$6:$W$505,CY$3,実績!$AC$6:$AC$505,"&lt;="&amp;$A85,実績!$AD$6:$AD$505,"&gt;"&amp;$A85,実績!$AE$6:$AE$505,"○")&gt;0,1,0))</f>
        <v/>
      </c>
      <c r="CZ85">
        <f>IF(CZ$4=0,0,IF(COUNTIFS(実績!$W$6:$W$505,CZ$3,実績!$AC$6:$AC$505,"&lt;="&amp;$A85,実績!$AD$6:$AD$505,"&gt;"&amp;$A85,実績!$AE$6:$AE$505,"○")&gt;0,1,0))</f>
        <v/>
      </c>
      <c r="DA85">
        <f>IF(DA$4=0,0,IF(COUNTIFS(実績!$W$6:$W$505,DA$3,実績!$AC$6:$AC$505,"&lt;="&amp;$A85,実績!$AD$6:$AD$505,"&gt;"&amp;$A85,実績!$AE$6:$AE$505,"○")&gt;0,1,0))</f>
        <v/>
      </c>
      <c r="DB85">
        <f>IF(DB$4=0,0,IF(COUNTIFS(実績!$W$6:$W$505,DB$3,実績!$AC$6:$AC$505,"&lt;="&amp;$A85,実績!$AD$6:$AD$505,"&gt;"&amp;$A85,実績!$AE$6:$AE$505,"○")&gt;0,1,0))</f>
        <v/>
      </c>
      <c r="DC85">
        <f>IF(DC$4=0,0,IF(COUNTIFS(実績!$W$6:$W$505,DC$3,実績!$AC$6:$AC$505,"&lt;="&amp;$A85,実績!$AD$6:$AD$505,"&gt;"&amp;$A85,実績!$AE$6:$AE$505,"○")&gt;0,1,0))</f>
        <v/>
      </c>
      <c r="DD85">
        <f>IF(DD$4=0,0,IF(COUNTIFS(実績!$W$6:$W$505,DD$3,実績!$AC$6:$AC$505,"&lt;="&amp;$A85,実績!$AD$6:$AD$505,"&gt;"&amp;$A85,実績!$AE$6:$AE$505,"○")&gt;0,1,0))</f>
        <v/>
      </c>
      <c r="DE85">
        <f>IF(DE$4=0,0,IF(COUNTIFS(実績!$W$6:$W$505,DE$3,実績!$AC$6:$AC$505,"&lt;="&amp;$A85,実績!$AD$6:$AD$505,"&gt;"&amp;$A85,実績!$AE$6:$AE$505,"○")&gt;0,1,0))</f>
        <v/>
      </c>
      <c r="DF85">
        <f>IF(DF$4=0,0,IF(COUNTIFS(実績!$W$6:$W$505,DF$3,実績!$AC$6:$AC$505,"&lt;="&amp;$A85,実績!$AD$6:$AD$505,"&gt;"&amp;$A85,実績!$AE$6:$AE$505,"○")&gt;0,1,0))</f>
        <v/>
      </c>
      <c r="DG85">
        <f>IF(DG$4=0,0,IF(COUNTIFS(実績!$W$6:$W$505,DG$3,実績!$AC$6:$AC$505,"&lt;="&amp;$A85,実績!$AD$6:$AD$505,"&gt;"&amp;$A85,実績!$AE$6:$AE$505,"○")&gt;0,1,0))</f>
        <v/>
      </c>
      <c r="DH85">
        <f>IF(DH$4=0,0,IF(COUNTIFS(実績!$W$6:$W$505,DH$3,実績!$AC$6:$AC$505,"&lt;="&amp;$A85,実績!$AD$6:$AD$505,"&gt;"&amp;$A85,実績!$AE$6:$AE$505,"○")&gt;0,1,0))</f>
        <v/>
      </c>
      <c r="DI85">
        <f>IF(DI$4=0,0,IF(COUNTIFS(実績!$W$6:$W$505,DI$3,実績!$AC$6:$AC$505,"&lt;="&amp;$A85,実績!$AD$6:$AD$505,"&gt;"&amp;$A85,実績!$AE$6:$AE$505,"○")&gt;0,1,0))</f>
        <v/>
      </c>
      <c r="DJ85">
        <f>IF(DJ$4=0,0,IF(COUNTIFS(実績!$W$6:$W$505,DJ$3,実績!$AC$6:$AC$505,"&lt;="&amp;$A85,実績!$AD$6:$AD$505,"&gt;"&amp;$A85,実績!$AE$6:$AE$505,"○")&gt;0,1,0))</f>
        <v/>
      </c>
      <c r="DK85">
        <f>IF(DK$4=0,0,IF(COUNTIFS(実績!$W$6:$W$505,DK$3,実績!$AC$6:$AC$505,"&lt;="&amp;$A85,実績!$AD$6:$AD$505,"&gt;"&amp;$A85,実績!$AE$6:$AE$505,"○")&gt;0,1,0))</f>
        <v/>
      </c>
      <c r="DL85">
        <f>IF(DL$4=0,0,IF(COUNTIFS(実績!$W$6:$W$505,DL$3,実績!$AC$6:$AC$505,"&lt;="&amp;$A85,実績!$AD$6:$AD$505,"&gt;"&amp;$A85,実績!$AE$6:$AE$505,"○")&gt;0,1,0))</f>
        <v/>
      </c>
      <c r="DM85">
        <f>IF(DM$4=0,0,IF(COUNTIFS(実績!$W$6:$W$505,DM$3,実績!$AC$6:$AC$505,"&lt;="&amp;$A85,実績!$AD$6:$AD$505,"&gt;"&amp;$A85,実績!$AE$6:$AE$505,"○")&gt;0,1,0))</f>
        <v/>
      </c>
      <c r="DN85">
        <f>IF(DN$4=0,0,IF(COUNTIFS(実績!$W$6:$W$505,DN$3,実績!$AC$6:$AC$505,"&lt;="&amp;$A85,実績!$AD$6:$AD$505,"&gt;"&amp;$A85,実績!$AE$6:$AE$505,"○")&gt;0,1,0))</f>
        <v/>
      </c>
      <c r="DO85">
        <f>IF(DO$4=0,0,IF(COUNTIFS(実績!$W$6:$W$505,DO$3,実績!$AC$6:$AC$505,"&lt;="&amp;$A85,実績!$AD$6:$AD$505,"&gt;"&amp;$A85,実績!$AE$6:$AE$505,"○")&gt;0,1,0))</f>
        <v/>
      </c>
      <c r="DP85">
        <f>IF(DP$4=0,0,IF(COUNTIFS(実績!$W$6:$W$505,DP$3,実績!$AC$6:$AC$505,"&lt;="&amp;$A85,実績!$AD$6:$AD$505,"&gt;"&amp;$A85,実績!$AE$6:$AE$505,"○")&gt;0,1,0))</f>
        <v/>
      </c>
      <c r="DQ85">
        <f>IF(DQ$4=0,0,IF(COUNTIFS(実績!$W$6:$W$505,DQ$3,実績!$AC$6:$AC$505,"&lt;="&amp;$A85,実績!$AD$6:$AD$505,"&gt;"&amp;$A85,実績!$AE$6:$AE$505,"○")&gt;0,1,0))</f>
        <v/>
      </c>
      <c r="DR85">
        <f>IF(DR$4=0,0,IF(COUNTIFS(実績!$W$6:$W$505,DR$3,実績!$AC$6:$AC$505,"&lt;="&amp;$A85,実績!$AD$6:$AD$505,"&gt;"&amp;$A85,実績!$AE$6:$AE$505,"○")&gt;0,1,0))</f>
        <v/>
      </c>
      <c r="DS85">
        <f>SUM(C85:DR85)</f>
        <v/>
      </c>
      <c r="DT85">
        <f>SUMPRODUCT((実績!$C$6:$C$505="○")*ISNUMBER(実績!$AF$6:$AF$505)*(実績!$AF$6:$AF$505&lt;=$A85)*(実績!$AG$6:$AG$505&gt;$A85))</f>
        <v/>
      </c>
      <c r="DU85">
        <f>SUMIF($C$2:$DR$2,"製鉄曳船",C85:DR85)</f>
        <v/>
      </c>
      <c r="DV85">
        <f>SUMIF($C$2:$DR$2,"西日本海運",C85:DR85)</f>
        <v/>
      </c>
    </row>
    <row r="86">
      <c r="A86" t="n">
        <v>400</v>
      </c>
      <c r="B86" s="29">
        <f>A86/1440</f>
        <v/>
      </c>
      <c r="C86">
        <f>IF(C$4=0,0,IF(COUNTIFS(実績!$W$6:$W$505,C$3,実績!$AC$6:$AC$505,"&lt;="&amp;$A86,実績!$AD$6:$AD$505,"&gt;"&amp;$A86,実績!$AE$6:$AE$505,"○")&gt;0,1,0))</f>
        <v/>
      </c>
      <c r="D86">
        <f>IF(D$4=0,0,IF(COUNTIFS(実績!$W$6:$W$505,D$3,実績!$AC$6:$AC$505,"&lt;="&amp;$A86,実績!$AD$6:$AD$505,"&gt;"&amp;$A86,実績!$AE$6:$AE$505,"○")&gt;0,1,0))</f>
        <v/>
      </c>
      <c r="E86">
        <f>IF(E$4=0,0,IF(COUNTIFS(実績!$W$6:$W$505,E$3,実績!$AC$6:$AC$505,"&lt;="&amp;$A86,実績!$AD$6:$AD$505,"&gt;"&amp;$A86,実績!$AE$6:$AE$505,"○")&gt;0,1,0))</f>
        <v/>
      </c>
      <c r="F86">
        <f>IF(F$4=0,0,IF(COUNTIFS(実績!$W$6:$W$505,F$3,実績!$AC$6:$AC$505,"&lt;="&amp;$A86,実績!$AD$6:$AD$505,"&gt;"&amp;$A86,実績!$AE$6:$AE$505,"○")&gt;0,1,0))</f>
        <v/>
      </c>
      <c r="G86">
        <f>IF(G$4=0,0,IF(COUNTIFS(実績!$W$6:$W$505,G$3,実績!$AC$6:$AC$505,"&lt;="&amp;$A86,実績!$AD$6:$AD$505,"&gt;"&amp;$A86,実績!$AE$6:$AE$505,"○")&gt;0,1,0))</f>
        <v/>
      </c>
      <c r="H86">
        <f>IF(H$4=0,0,IF(COUNTIFS(実績!$W$6:$W$505,H$3,実績!$AC$6:$AC$505,"&lt;="&amp;$A86,実績!$AD$6:$AD$505,"&gt;"&amp;$A86,実績!$AE$6:$AE$505,"○")&gt;0,1,0))</f>
        <v/>
      </c>
      <c r="I86">
        <f>IF(I$4=0,0,IF(COUNTIFS(実績!$W$6:$W$505,I$3,実績!$AC$6:$AC$505,"&lt;="&amp;$A86,実績!$AD$6:$AD$505,"&gt;"&amp;$A86,実績!$AE$6:$AE$505,"○")&gt;0,1,0))</f>
        <v/>
      </c>
      <c r="J86">
        <f>IF(J$4=0,0,IF(COUNTIFS(実績!$W$6:$W$505,J$3,実績!$AC$6:$AC$505,"&lt;="&amp;$A86,実績!$AD$6:$AD$505,"&gt;"&amp;$A86,実績!$AE$6:$AE$505,"○")&gt;0,1,0))</f>
        <v/>
      </c>
      <c r="K86">
        <f>IF(K$4=0,0,IF(COUNTIFS(実績!$W$6:$W$505,K$3,実績!$AC$6:$AC$505,"&lt;="&amp;$A86,実績!$AD$6:$AD$505,"&gt;"&amp;$A86,実績!$AE$6:$AE$505,"○")&gt;0,1,0))</f>
        <v/>
      </c>
      <c r="L86">
        <f>IF(L$4=0,0,IF(COUNTIFS(実績!$W$6:$W$505,L$3,実績!$AC$6:$AC$505,"&lt;="&amp;$A86,実績!$AD$6:$AD$505,"&gt;"&amp;$A86,実績!$AE$6:$AE$505,"○")&gt;0,1,0))</f>
        <v/>
      </c>
      <c r="M86">
        <f>IF(M$4=0,0,IF(COUNTIFS(実績!$W$6:$W$505,M$3,実績!$AC$6:$AC$505,"&lt;="&amp;$A86,実績!$AD$6:$AD$505,"&gt;"&amp;$A86,実績!$AE$6:$AE$505,"○")&gt;0,1,0))</f>
        <v/>
      </c>
      <c r="N86">
        <f>IF(N$4=0,0,IF(COUNTIFS(実績!$W$6:$W$505,N$3,実績!$AC$6:$AC$505,"&lt;="&amp;$A86,実績!$AD$6:$AD$505,"&gt;"&amp;$A86,実績!$AE$6:$AE$505,"○")&gt;0,1,0))</f>
        <v/>
      </c>
      <c r="O86">
        <f>IF(O$4=0,0,IF(COUNTIFS(実績!$W$6:$W$505,O$3,実績!$AC$6:$AC$505,"&lt;="&amp;$A86,実績!$AD$6:$AD$505,"&gt;"&amp;$A86,実績!$AE$6:$AE$505,"○")&gt;0,1,0))</f>
        <v/>
      </c>
      <c r="P86">
        <f>IF(P$4=0,0,IF(COUNTIFS(実績!$W$6:$W$505,P$3,実績!$AC$6:$AC$505,"&lt;="&amp;$A86,実績!$AD$6:$AD$505,"&gt;"&amp;$A86,実績!$AE$6:$AE$505,"○")&gt;0,1,0))</f>
        <v/>
      </c>
      <c r="Q86">
        <f>IF(Q$4=0,0,IF(COUNTIFS(実績!$W$6:$W$505,Q$3,実績!$AC$6:$AC$505,"&lt;="&amp;$A86,実績!$AD$6:$AD$505,"&gt;"&amp;$A86,実績!$AE$6:$AE$505,"○")&gt;0,1,0))</f>
        <v/>
      </c>
      <c r="R86">
        <f>IF(R$4=0,0,IF(COUNTIFS(実績!$W$6:$W$505,R$3,実績!$AC$6:$AC$505,"&lt;="&amp;$A86,実績!$AD$6:$AD$505,"&gt;"&amp;$A86,実績!$AE$6:$AE$505,"○")&gt;0,1,0))</f>
        <v/>
      </c>
      <c r="S86">
        <f>IF(S$4=0,0,IF(COUNTIFS(実績!$W$6:$W$505,S$3,実績!$AC$6:$AC$505,"&lt;="&amp;$A86,実績!$AD$6:$AD$505,"&gt;"&amp;$A86,実績!$AE$6:$AE$505,"○")&gt;0,1,0))</f>
        <v/>
      </c>
      <c r="T86">
        <f>IF(T$4=0,0,IF(COUNTIFS(実績!$W$6:$W$505,T$3,実績!$AC$6:$AC$505,"&lt;="&amp;$A86,実績!$AD$6:$AD$505,"&gt;"&amp;$A86,実績!$AE$6:$AE$505,"○")&gt;0,1,0))</f>
        <v/>
      </c>
      <c r="U86">
        <f>IF(U$4=0,0,IF(COUNTIFS(実績!$W$6:$W$505,U$3,実績!$AC$6:$AC$505,"&lt;="&amp;$A86,実績!$AD$6:$AD$505,"&gt;"&amp;$A86,実績!$AE$6:$AE$505,"○")&gt;0,1,0))</f>
        <v/>
      </c>
      <c r="V86">
        <f>IF(V$4=0,0,IF(COUNTIFS(実績!$W$6:$W$505,V$3,実績!$AC$6:$AC$505,"&lt;="&amp;$A86,実績!$AD$6:$AD$505,"&gt;"&amp;$A86,実績!$AE$6:$AE$505,"○")&gt;0,1,0))</f>
        <v/>
      </c>
      <c r="W86">
        <f>IF(W$4=0,0,IF(COUNTIFS(実績!$W$6:$W$505,W$3,実績!$AC$6:$AC$505,"&lt;="&amp;$A86,実績!$AD$6:$AD$505,"&gt;"&amp;$A86,実績!$AE$6:$AE$505,"○")&gt;0,1,0))</f>
        <v/>
      </c>
      <c r="X86">
        <f>IF(X$4=0,0,IF(COUNTIFS(実績!$W$6:$W$505,X$3,実績!$AC$6:$AC$505,"&lt;="&amp;$A86,実績!$AD$6:$AD$505,"&gt;"&amp;$A86,実績!$AE$6:$AE$505,"○")&gt;0,1,0))</f>
        <v/>
      </c>
      <c r="Y86">
        <f>IF(Y$4=0,0,IF(COUNTIFS(実績!$W$6:$W$505,Y$3,実績!$AC$6:$AC$505,"&lt;="&amp;$A86,実績!$AD$6:$AD$505,"&gt;"&amp;$A86,実績!$AE$6:$AE$505,"○")&gt;0,1,0))</f>
        <v/>
      </c>
      <c r="Z86">
        <f>IF(Z$4=0,0,IF(COUNTIFS(実績!$W$6:$W$505,Z$3,実績!$AC$6:$AC$505,"&lt;="&amp;$A86,実績!$AD$6:$AD$505,"&gt;"&amp;$A86,実績!$AE$6:$AE$505,"○")&gt;0,1,0))</f>
        <v/>
      </c>
      <c r="AA86">
        <f>IF(AA$4=0,0,IF(COUNTIFS(実績!$W$6:$W$505,AA$3,実績!$AC$6:$AC$505,"&lt;="&amp;$A86,実績!$AD$6:$AD$505,"&gt;"&amp;$A86,実績!$AE$6:$AE$505,"○")&gt;0,1,0))</f>
        <v/>
      </c>
      <c r="AB86">
        <f>IF(AB$4=0,0,IF(COUNTIFS(実績!$W$6:$W$505,AB$3,実績!$AC$6:$AC$505,"&lt;="&amp;$A86,実績!$AD$6:$AD$505,"&gt;"&amp;$A86,実績!$AE$6:$AE$505,"○")&gt;0,1,0))</f>
        <v/>
      </c>
      <c r="AC86">
        <f>IF(AC$4=0,0,IF(COUNTIFS(実績!$W$6:$W$505,AC$3,実績!$AC$6:$AC$505,"&lt;="&amp;$A86,実績!$AD$6:$AD$505,"&gt;"&amp;$A86,実績!$AE$6:$AE$505,"○")&gt;0,1,0))</f>
        <v/>
      </c>
      <c r="AD86">
        <f>IF(AD$4=0,0,IF(COUNTIFS(実績!$W$6:$W$505,AD$3,実績!$AC$6:$AC$505,"&lt;="&amp;$A86,実績!$AD$6:$AD$505,"&gt;"&amp;$A86,実績!$AE$6:$AE$505,"○")&gt;0,1,0))</f>
        <v/>
      </c>
      <c r="AE86">
        <f>IF(AE$4=0,0,IF(COUNTIFS(実績!$W$6:$W$505,AE$3,実績!$AC$6:$AC$505,"&lt;="&amp;$A86,実績!$AD$6:$AD$505,"&gt;"&amp;$A86,実績!$AE$6:$AE$505,"○")&gt;0,1,0))</f>
        <v/>
      </c>
      <c r="AF86">
        <f>IF(AF$4=0,0,IF(COUNTIFS(実績!$W$6:$W$505,AF$3,実績!$AC$6:$AC$505,"&lt;="&amp;$A86,実績!$AD$6:$AD$505,"&gt;"&amp;$A86,実績!$AE$6:$AE$505,"○")&gt;0,1,0))</f>
        <v/>
      </c>
      <c r="AG86">
        <f>IF(AG$4=0,0,IF(COUNTIFS(実績!$W$6:$W$505,AG$3,実績!$AC$6:$AC$505,"&lt;="&amp;$A86,実績!$AD$6:$AD$505,"&gt;"&amp;$A86,実績!$AE$6:$AE$505,"○")&gt;0,1,0))</f>
        <v/>
      </c>
      <c r="AH86">
        <f>IF(AH$4=0,0,IF(COUNTIFS(実績!$W$6:$W$505,AH$3,実績!$AC$6:$AC$505,"&lt;="&amp;$A86,実績!$AD$6:$AD$505,"&gt;"&amp;$A86,実績!$AE$6:$AE$505,"○")&gt;0,1,0))</f>
        <v/>
      </c>
      <c r="AI86">
        <f>IF(AI$4=0,0,IF(COUNTIFS(実績!$W$6:$W$505,AI$3,実績!$AC$6:$AC$505,"&lt;="&amp;$A86,実績!$AD$6:$AD$505,"&gt;"&amp;$A86,実績!$AE$6:$AE$505,"○")&gt;0,1,0))</f>
        <v/>
      </c>
      <c r="AJ86">
        <f>IF(AJ$4=0,0,IF(COUNTIFS(実績!$W$6:$W$505,AJ$3,実績!$AC$6:$AC$505,"&lt;="&amp;$A86,実績!$AD$6:$AD$505,"&gt;"&amp;$A86,実績!$AE$6:$AE$505,"○")&gt;0,1,0))</f>
        <v/>
      </c>
      <c r="AK86">
        <f>IF(AK$4=0,0,IF(COUNTIFS(実績!$W$6:$W$505,AK$3,実績!$AC$6:$AC$505,"&lt;="&amp;$A86,実績!$AD$6:$AD$505,"&gt;"&amp;$A86,実績!$AE$6:$AE$505,"○")&gt;0,1,0))</f>
        <v/>
      </c>
      <c r="AL86">
        <f>IF(AL$4=0,0,IF(COUNTIFS(実績!$W$6:$W$505,AL$3,実績!$AC$6:$AC$505,"&lt;="&amp;$A86,実績!$AD$6:$AD$505,"&gt;"&amp;$A86,実績!$AE$6:$AE$505,"○")&gt;0,1,0))</f>
        <v/>
      </c>
      <c r="AM86">
        <f>IF(AM$4=0,0,IF(COUNTIFS(実績!$W$6:$W$505,AM$3,実績!$AC$6:$AC$505,"&lt;="&amp;$A86,実績!$AD$6:$AD$505,"&gt;"&amp;$A86,実績!$AE$6:$AE$505,"○")&gt;0,1,0))</f>
        <v/>
      </c>
      <c r="AN86">
        <f>IF(AN$4=0,0,IF(COUNTIFS(実績!$W$6:$W$505,AN$3,実績!$AC$6:$AC$505,"&lt;="&amp;$A86,実績!$AD$6:$AD$505,"&gt;"&amp;$A86,実績!$AE$6:$AE$505,"○")&gt;0,1,0))</f>
        <v/>
      </c>
      <c r="AO86">
        <f>IF(AO$4=0,0,IF(COUNTIFS(実績!$W$6:$W$505,AO$3,実績!$AC$6:$AC$505,"&lt;="&amp;$A86,実績!$AD$6:$AD$505,"&gt;"&amp;$A86,実績!$AE$6:$AE$505,"○")&gt;0,1,0))</f>
        <v/>
      </c>
      <c r="AP86">
        <f>IF(AP$4=0,0,IF(COUNTIFS(実績!$W$6:$W$505,AP$3,実績!$AC$6:$AC$505,"&lt;="&amp;$A86,実績!$AD$6:$AD$505,"&gt;"&amp;$A86,実績!$AE$6:$AE$505,"○")&gt;0,1,0))</f>
        <v/>
      </c>
      <c r="AQ86">
        <f>IF(AQ$4=0,0,IF(COUNTIFS(実績!$W$6:$W$505,AQ$3,実績!$AC$6:$AC$505,"&lt;="&amp;$A86,実績!$AD$6:$AD$505,"&gt;"&amp;$A86,実績!$AE$6:$AE$505,"○")&gt;0,1,0))</f>
        <v/>
      </c>
      <c r="AR86">
        <f>IF(AR$4=0,0,IF(COUNTIFS(実績!$W$6:$W$505,AR$3,実績!$AC$6:$AC$505,"&lt;="&amp;$A86,実績!$AD$6:$AD$505,"&gt;"&amp;$A86,実績!$AE$6:$AE$505,"○")&gt;0,1,0))</f>
        <v/>
      </c>
      <c r="AS86">
        <f>IF(AS$4=0,0,IF(COUNTIFS(実績!$W$6:$W$505,AS$3,実績!$AC$6:$AC$505,"&lt;="&amp;$A86,実績!$AD$6:$AD$505,"&gt;"&amp;$A86,実績!$AE$6:$AE$505,"○")&gt;0,1,0))</f>
        <v/>
      </c>
      <c r="AT86">
        <f>IF(AT$4=0,0,IF(COUNTIFS(実績!$W$6:$W$505,AT$3,実績!$AC$6:$AC$505,"&lt;="&amp;$A86,実績!$AD$6:$AD$505,"&gt;"&amp;$A86,実績!$AE$6:$AE$505,"○")&gt;0,1,0))</f>
        <v/>
      </c>
      <c r="AU86">
        <f>IF(AU$4=0,0,IF(COUNTIFS(実績!$W$6:$W$505,AU$3,実績!$AC$6:$AC$505,"&lt;="&amp;$A86,実績!$AD$6:$AD$505,"&gt;"&amp;$A86,実績!$AE$6:$AE$505,"○")&gt;0,1,0))</f>
        <v/>
      </c>
      <c r="AV86">
        <f>IF(AV$4=0,0,IF(COUNTIFS(実績!$W$6:$W$505,AV$3,実績!$AC$6:$AC$505,"&lt;="&amp;$A86,実績!$AD$6:$AD$505,"&gt;"&amp;$A86,実績!$AE$6:$AE$505,"○")&gt;0,1,0))</f>
        <v/>
      </c>
      <c r="AW86">
        <f>IF(AW$4=0,0,IF(COUNTIFS(実績!$W$6:$W$505,AW$3,実績!$AC$6:$AC$505,"&lt;="&amp;$A86,実績!$AD$6:$AD$505,"&gt;"&amp;$A86,実績!$AE$6:$AE$505,"○")&gt;0,1,0))</f>
        <v/>
      </c>
      <c r="AX86">
        <f>IF(AX$4=0,0,IF(COUNTIFS(実績!$W$6:$W$505,AX$3,実績!$AC$6:$AC$505,"&lt;="&amp;$A86,実績!$AD$6:$AD$505,"&gt;"&amp;$A86,実績!$AE$6:$AE$505,"○")&gt;0,1,0))</f>
        <v/>
      </c>
      <c r="AY86">
        <f>IF(AY$4=0,0,IF(COUNTIFS(実績!$W$6:$W$505,AY$3,実績!$AC$6:$AC$505,"&lt;="&amp;$A86,実績!$AD$6:$AD$505,"&gt;"&amp;$A86,実績!$AE$6:$AE$505,"○")&gt;0,1,0))</f>
        <v/>
      </c>
      <c r="AZ86">
        <f>IF(AZ$4=0,0,IF(COUNTIFS(実績!$W$6:$W$505,AZ$3,実績!$AC$6:$AC$505,"&lt;="&amp;$A86,実績!$AD$6:$AD$505,"&gt;"&amp;$A86,実績!$AE$6:$AE$505,"○")&gt;0,1,0))</f>
        <v/>
      </c>
      <c r="BA86">
        <f>IF(BA$4=0,0,IF(COUNTIFS(実績!$W$6:$W$505,BA$3,実績!$AC$6:$AC$505,"&lt;="&amp;$A86,実績!$AD$6:$AD$505,"&gt;"&amp;$A86,実績!$AE$6:$AE$505,"○")&gt;0,1,0))</f>
        <v/>
      </c>
      <c r="BB86">
        <f>IF(BB$4=0,0,IF(COUNTIFS(実績!$W$6:$W$505,BB$3,実績!$AC$6:$AC$505,"&lt;="&amp;$A86,実績!$AD$6:$AD$505,"&gt;"&amp;$A86,実績!$AE$6:$AE$505,"○")&gt;0,1,0))</f>
        <v/>
      </c>
      <c r="BC86">
        <f>IF(BC$4=0,0,IF(COUNTIFS(実績!$W$6:$W$505,BC$3,実績!$AC$6:$AC$505,"&lt;="&amp;$A86,実績!$AD$6:$AD$505,"&gt;"&amp;$A86,実績!$AE$6:$AE$505,"○")&gt;0,1,0))</f>
        <v/>
      </c>
      <c r="BD86">
        <f>IF(BD$4=0,0,IF(COUNTIFS(実績!$W$6:$W$505,BD$3,実績!$AC$6:$AC$505,"&lt;="&amp;$A86,実績!$AD$6:$AD$505,"&gt;"&amp;$A86,実績!$AE$6:$AE$505,"○")&gt;0,1,0))</f>
        <v/>
      </c>
      <c r="BE86">
        <f>IF(BE$4=0,0,IF(COUNTIFS(実績!$W$6:$W$505,BE$3,実績!$AC$6:$AC$505,"&lt;="&amp;$A86,実績!$AD$6:$AD$505,"&gt;"&amp;$A86,実績!$AE$6:$AE$505,"○")&gt;0,1,0))</f>
        <v/>
      </c>
      <c r="BF86">
        <f>IF(BF$4=0,0,IF(COUNTIFS(実績!$W$6:$W$505,BF$3,実績!$AC$6:$AC$505,"&lt;="&amp;$A86,実績!$AD$6:$AD$505,"&gt;"&amp;$A86,実績!$AE$6:$AE$505,"○")&gt;0,1,0))</f>
        <v/>
      </c>
      <c r="BG86">
        <f>IF(BG$4=0,0,IF(COUNTIFS(実績!$W$6:$W$505,BG$3,実績!$AC$6:$AC$505,"&lt;="&amp;$A86,実績!$AD$6:$AD$505,"&gt;"&amp;$A86,実績!$AE$6:$AE$505,"○")&gt;0,1,0))</f>
        <v/>
      </c>
      <c r="BH86">
        <f>IF(BH$4=0,0,IF(COUNTIFS(実績!$W$6:$W$505,BH$3,実績!$AC$6:$AC$505,"&lt;="&amp;$A86,実績!$AD$6:$AD$505,"&gt;"&amp;$A86,実績!$AE$6:$AE$505,"○")&gt;0,1,0))</f>
        <v/>
      </c>
      <c r="BI86">
        <f>IF(BI$4=0,0,IF(COUNTIFS(実績!$W$6:$W$505,BI$3,実績!$AC$6:$AC$505,"&lt;="&amp;$A86,実績!$AD$6:$AD$505,"&gt;"&amp;$A86,実績!$AE$6:$AE$505,"○")&gt;0,1,0))</f>
        <v/>
      </c>
      <c r="BJ86">
        <f>IF(BJ$4=0,0,IF(COUNTIFS(実績!$W$6:$W$505,BJ$3,実績!$AC$6:$AC$505,"&lt;="&amp;$A86,実績!$AD$6:$AD$505,"&gt;"&amp;$A86,実績!$AE$6:$AE$505,"○")&gt;0,1,0))</f>
        <v/>
      </c>
      <c r="BK86">
        <f>IF(BK$4=0,0,IF(COUNTIFS(実績!$W$6:$W$505,BK$3,実績!$AC$6:$AC$505,"&lt;="&amp;$A86,実績!$AD$6:$AD$505,"&gt;"&amp;$A86,実績!$AE$6:$AE$505,"○")&gt;0,1,0))</f>
        <v/>
      </c>
      <c r="BL86">
        <f>IF(BL$4=0,0,IF(COUNTIFS(実績!$W$6:$W$505,BL$3,実績!$AC$6:$AC$505,"&lt;="&amp;$A86,実績!$AD$6:$AD$505,"&gt;"&amp;$A86,実績!$AE$6:$AE$505,"○")&gt;0,1,0))</f>
        <v/>
      </c>
      <c r="BM86">
        <f>IF(BM$4=0,0,IF(COUNTIFS(実績!$W$6:$W$505,BM$3,実績!$AC$6:$AC$505,"&lt;="&amp;$A86,実績!$AD$6:$AD$505,"&gt;"&amp;$A86,実績!$AE$6:$AE$505,"○")&gt;0,1,0))</f>
        <v/>
      </c>
      <c r="BN86">
        <f>IF(BN$4=0,0,IF(COUNTIFS(実績!$W$6:$W$505,BN$3,実績!$AC$6:$AC$505,"&lt;="&amp;$A86,実績!$AD$6:$AD$505,"&gt;"&amp;$A86,実績!$AE$6:$AE$505,"○")&gt;0,1,0))</f>
        <v/>
      </c>
      <c r="BO86">
        <f>IF(BO$4=0,0,IF(COUNTIFS(実績!$W$6:$W$505,BO$3,実績!$AC$6:$AC$505,"&lt;="&amp;$A86,実績!$AD$6:$AD$505,"&gt;"&amp;$A86,実績!$AE$6:$AE$505,"○")&gt;0,1,0))</f>
        <v/>
      </c>
      <c r="BP86">
        <f>IF(BP$4=0,0,IF(COUNTIFS(実績!$W$6:$W$505,BP$3,実績!$AC$6:$AC$505,"&lt;="&amp;$A86,実績!$AD$6:$AD$505,"&gt;"&amp;$A86,実績!$AE$6:$AE$505,"○")&gt;0,1,0))</f>
        <v/>
      </c>
      <c r="BQ86">
        <f>IF(BQ$4=0,0,IF(COUNTIFS(実績!$W$6:$W$505,BQ$3,実績!$AC$6:$AC$505,"&lt;="&amp;$A86,実績!$AD$6:$AD$505,"&gt;"&amp;$A86,実績!$AE$6:$AE$505,"○")&gt;0,1,0))</f>
        <v/>
      </c>
      <c r="BR86">
        <f>IF(BR$4=0,0,IF(COUNTIFS(実績!$W$6:$W$505,BR$3,実績!$AC$6:$AC$505,"&lt;="&amp;$A86,実績!$AD$6:$AD$505,"&gt;"&amp;$A86,実績!$AE$6:$AE$505,"○")&gt;0,1,0))</f>
        <v/>
      </c>
      <c r="BS86">
        <f>IF(BS$4=0,0,IF(COUNTIFS(実績!$W$6:$W$505,BS$3,実績!$AC$6:$AC$505,"&lt;="&amp;$A86,実績!$AD$6:$AD$505,"&gt;"&amp;$A86,実績!$AE$6:$AE$505,"○")&gt;0,1,0))</f>
        <v/>
      </c>
      <c r="BT86">
        <f>IF(BT$4=0,0,IF(COUNTIFS(実績!$W$6:$W$505,BT$3,実績!$AC$6:$AC$505,"&lt;="&amp;$A86,実績!$AD$6:$AD$505,"&gt;"&amp;$A86,実績!$AE$6:$AE$505,"○")&gt;0,1,0))</f>
        <v/>
      </c>
      <c r="BU86">
        <f>IF(BU$4=0,0,IF(COUNTIFS(実績!$W$6:$W$505,BU$3,実績!$AC$6:$AC$505,"&lt;="&amp;$A86,実績!$AD$6:$AD$505,"&gt;"&amp;$A86,実績!$AE$6:$AE$505,"○")&gt;0,1,0))</f>
        <v/>
      </c>
      <c r="BV86">
        <f>IF(BV$4=0,0,IF(COUNTIFS(実績!$W$6:$W$505,BV$3,実績!$AC$6:$AC$505,"&lt;="&amp;$A86,実績!$AD$6:$AD$505,"&gt;"&amp;$A86,実績!$AE$6:$AE$505,"○")&gt;0,1,0))</f>
        <v/>
      </c>
      <c r="BW86">
        <f>IF(BW$4=0,0,IF(COUNTIFS(実績!$W$6:$W$505,BW$3,実績!$AC$6:$AC$505,"&lt;="&amp;$A86,実績!$AD$6:$AD$505,"&gt;"&amp;$A86,実績!$AE$6:$AE$505,"○")&gt;0,1,0))</f>
        <v/>
      </c>
      <c r="BX86">
        <f>IF(BX$4=0,0,IF(COUNTIFS(実績!$W$6:$W$505,BX$3,実績!$AC$6:$AC$505,"&lt;="&amp;$A86,実績!$AD$6:$AD$505,"&gt;"&amp;$A86,実績!$AE$6:$AE$505,"○")&gt;0,1,0))</f>
        <v/>
      </c>
      <c r="BY86">
        <f>IF(BY$4=0,0,IF(COUNTIFS(実績!$W$6:$W$505,BY$3,実績!$AC$6:$AC$505,"&lt;="&amp;$A86,実績!$AD$6:$AD$505,"&gt;"&amp;$A86,実績!$AE$6:$AE$505,"○")&gt;0,1,0))</f>
        <v/>
      </c>
      <c r="BZ86">
        <f>IF(BZ$4=0,0,IF(COUNTIFS(実績!$W$6:$W$505,BZ$3,実績!$AC$6:$AC$505,"&lt;="&amp;$A86,実績!$AD$6:$AD$505,"&gt;"&amp;$A86,実績!$AE$6:$AE$505,"○")&gt;0,1,0))</f>
        <v/>
      </c>
      <c r="CA86">
        <f>IF(CA$4=0,0,IF(COUNTIFS(実績!$W$6:$W$505,CA$3,実績!$AC$6:$AC$505,"&lt;="&amp;$A86,実績!$AD$6:$AD$505,"&gt;"&amp;$A86,実績!$AE$6:$AE$505,"○")&gt;0,1,0))</f>
        <v/>
      </c>
      <c r="CB86">
        <f>IF(CB$4=0,0,IF(COUNTIFS(実績!$W$6:$W$505,CB$3,実績!$AC$6:$AC$505,"&lt;="&amp;$A86,実績!$AD$6:$AD$505,"&gt;"&amp;$A86,実績!$AE$6:$AE$505,"○")&gt;0,1,0))</f>
        <v/>
      </c>
      <c r="CC86">
        <f>IF(CC$4=0,0,IF(COUNTIFS(実績!$W$6:$W$505,CC$3,実績!$AC$6:$AC$505,"&lt;="&amp;$A86,実績!$AD$6:$AD$505,"&gt;"&amp;$A86,実績!$AE$6:$AE$505,"○")&gt;0,1,0))</f>
        <v/>
      </c>
      <c r="CD86">
        <f>IF(CD$4=0,0,IF(COUNTIFS(実績!$W$6:$W$505,CD$3,実績!$AC$6:$AC$505,"&lt;="&amp;$A86,実績!$AD$6:$AD$505,"&gt;"&amp;$A86,実績!$AE$6:$AE$505,"○")&gt;0,1,0))</f>
        <v/>
      </c>
      <c r="CE86">
        <f>IF(CE$4=0,0,IF(COUNTIFS(実績!$W$6:$W$505,CE$3,実績!$AC$6:$AC$505,"&lt;="&amp;$A86,実績!$AD$6:$AD$505,"&gt;"&amp;$A86,実績!$AE$6:$AE$505,"○")&gt;0,1,0))</f>
        <v/>
      </c>
      <c r="CF86">
        <f>IF(CF$4=0,0,IF(COUNTIFS(実績!$W$6:$W$505,CF$3,実績!$AC$6:$AC$505,"&lt;="&amp;$A86,実績!$AD$6:$AD$505,"&gt;"&amp;$A86,実績!$AE$6:$AE$505,"○")&gt;0,1,0))</f>
        <v/>
      </c>
      <c r="CG86">
        <f>IF(CG$4=0,0,IF(COUNTIFS(実績!$W$6:$W$505,CG$3,実績!$AC$6:$AC$505,"&lt;="&amp;$A86,実績!$AD$6:$AD$505,"&gt;"&amp;$A86,実績!$AE$6:$AE$505,"○")&gt;0,1,0))</f>
        <v/>
      </c>
      <c r="CH86">
        <f>IF(CH$4=0,0,IF(COUNTIFS(実績!$W$6:$W$505,CH$3,実績!$AC$6:$AC$505,"&lt;="&amp;$A86,実績!$AD$6:$AD$505,"&gt;"&amp;$A86,実績!$AE$6:$AE$505,"○")&gt;0,1,0))</f>
        <v/>
      </c>
      <c r="CI86">
        <f>IF(CI$4=0,0,IF(COUNTIFS(実績!$W$6:$W$505,CI$3,実績!$AC$6:$AC$505,"&lt;="&amp;$A86,実績!$AD$6:$AD$505,"&gt;"&amp;$A86,実績!$AE$6:$AE$505,"○")&gt;0,1,0))</f>
        <v/>
      </c>
      <c r="CJ86">
        <f>IF(CJ$4=0,0,IF(COUNTIFS(実績!$W$6:$W$505,CJ$3,実績!$AC$6:$AC$505,"&lt;="&amp;$A86,実績!$AD$6:$AD$505,"&gt;"&amp;$A86,実績!$AE$6:$AE$505,"○")&gt;0,1,0))</f>
        <v/>
      </c>
      <c r="CK86">
        <f>IF(CK$4=0,0,IF(COUNTIFS(実績!$W$6:$W$505,CK$3,実績!$AC$6:$AC$505,"&lt;="&amp;$A86,実績!$AD$6:$AD$505,"&gt;"&amp;$A86,実績!$AE$6:$AE$505,"○")&gt;0,1,0))</f>
        <v/>
      </c>
      <c r="CL86">
        <f>IF(CL$4=0,0,IF(COUNTIFS(実績!$W$6:$W$505,CL$3,実績!$AC$6:$AC$505,"&lt;="&amp;$A86,実績!$AD$6:$AD$505,"&gt;"&amp;$A86,実績!$AE$6:$AE$505,"○")&gt;0,1,0))</f>
        <v/>
      </c>
      <c r="CM86">
        <f>IF(CM$4=0,0,IF(COUNTIFS(実績!$W$6:$W$505,CM$3,実績!$AC$6:$AC$505,"&lt;="&amp;$A86,実績!$AD$6:$AD$505,"&gt;"&amp;$A86,実績!$AE$6:$AE$505,"○")&gt;0,1,0))</f>
        <v/>
      </c>
      <c r="CN86">
        <f>IF(CN$4=0,0,IF(COUNTIFS(実績!$W$6:$W$505,CN$3,実績!$AC$6:$AC$505,"&lt;="&amp;$A86,実績!$AD$6:$AD$505,"&gt;"&amp;$A86,実績!$AE$6:$AE$505,"○")&gt;0,1,0))</f>
        <v/>
      </c>
      <c r="CO86">
        <f>IF(CO$4=0,0,IF(COUNTIFS(実績!$W$6:$W$505,CO$3,実績!$AC$6:$AC$505,"&lt;="&amp;$A86,実績!$AD$6:$AD$505,"&gt;"&amp;$A86,実績!$AE$6:$AE$505,"○")&gt;0,1,0))</f>
        <v/>
      </c>
      <c r="CP86">
        <f>IF(CP$4=0,0,IF(COUNTIFS(実績!$W$6:$W$505,CP$3,実績!$AC$6:$AC$505,"&lt;="&amp;$A86,実績!$AD$6:$AD$505,"&gt;"&amp;$A86,実績!$AE$6:$AE$505,"○")&gt;0,1,0))</f>
        <v/>
      </c>
      <c r="CQ86">
        <f>IF(CQ$4=0,0,IF(COUNTIFS(実績!$W$6:$W$505,CQ$3,実績!$AC$6:$AC$505,"&lt;="&amp;$A86,実績!$AD$6:$AD$505,"&gt;"&amp;$A86,実績!$AE$6:$AE$505,"○")&gt;0,1,0))</f>
        <v/>
      </c>
      <c r="CR86">
        <f>IF(CR$4=0,0,IF(COUNTIFS(実績!$W$6:$W$505,CR$3,実績!$AC$6:$AC$505,"&lt;="&amp;$A86,実績!$AD$6:$AD$505,"&gt;"&amp;$A86,実績!$AE$6:$AE$505,"○")&gt;0,1,0))</f>
        <v/>
      </c>
      <c r="CS86">
        <f>IF(CS$4=0,0,IF(COUNTIFS(実績!$W$6:$W$505,CS$3,実績!$AC$6:$AC$505,"&lt;="&amp;$A86,実績!$AD$6:$AD$505,"&gt;"&amp;$A86,実績!$AE$6:$AE$505,"○")&gt;0,1,0))</f>
        <v/>
      </c>
      <c r="CT86">
        <f>IF(CT$4=0,0,IF(COUNTIFS(実績!$W$6:$W$505,CT$3,実績!$AC$6:$AC$505,"&lt;="&amp;$A86,実績!$AD$6:$AD$505,"&gt;"&amp;$A86,実績!$AE$6:$AE$505,"○")&gt;0,1,0))</f>
        <v/>
      </c>
      <c r="CU86">
        <f>IF(CU$4=0,0,IF(COUNTIFS(実績!$W$6:$W$505,CU$3,実績!$AC$6:$AC$505,"&lt;="&amp;$A86,実績!$AD$6:$AD$505,"&gt;"&amp;$A86,実績!$AE$6:$AE$505,"○")&gt;0,1,0))</f>
        <v/>
      </c>
      <c r="CV86">
        <f>IF(CV$4=0,0,IF(COUNTIFS(実績!$W$6:$W$505,CV$3,実績!$AC$6:$AC$505,"&lt;="&amp;$A86,実績!$AD$6:$AD$505,"&gt;"&amp;$A86,実績!$AE$6:$AE$505,"○")&gt;0,1,0))</f>
        <v/>
      </c>
      <c r="CW86">
        <f>IF(CW$4=0,0,IF(COUNTIFS(実績!$W$6:$W$505,CW$3,実績!$AC$6:$AC$505,"&lt;="&amp;$A86,実績!$AD$6:$AD$505,"&gt;"&amp;$A86,実績!$AE$6:$AE$505,"○")&gt;0,1,0))</f>
        <v/>
      </c>
      <c r="CX86">
        <f>IF(CX$4=0,0,IF(COUNTIFS(実績!$W$6:$W$505,CX$3,実績!$AC$6:$AC$505,"&lt;="&amp;$A86,実績!$AD$6:$AD$505,"&gt;"&amp;$A86,実績!$AE$6:$AE$505,"○")&gt;0,1,0))</f>
        <v/>
      </c>
      <c r="CY86">
        <f>IF(CY$4=0,0,IF(COUNTIFS(実績!$W$6:$W$505,CY$3,実績!$AC$6:$AC$505,"&lt;="&amp;$A86,実績!$AD$6:$AD$505,"&gt;"&amp;$A86,実績!$AE$6:$AE$505,"○")&gt;0,1,0))</f>
        <v/>
      </c>
      <c r="CZ86">
        <f>IF(CZ$4=0,0,IF(COUNTIFS(実績!$W$6:$W$505,CZ$3,実績!$AC$6:$AC$505,"&lt;="&amp;$A86,実績!$AD$6:$AD$505,"&gt;"&amp;$A86,実績!$AE$6:$AE$505,"○")&gt;0,1,0))</f>
        <v/>
      </c>
      <c r="DA86">
        <f>IF(DA$4=0,0,IF(COUNTIFS(実績!$W$6:$W$505,DA$3,実績!$AC$6:$AC$505,"&lt;="&amp;$A86,実績!$AD$6:$AD$505,"&gt;"&amp;$A86,実績!$AE$6:$AE$505,"○")&gt;0,1,0))</f>
        <v/>
      </c>
      <c r="DB86">
        <f>IF(DB$4=0,0,IF(COUNTIFS(実績!$W$6:$W$505,DB$3,実績!$AC$6:$AC$505,"&lt;="&amp;$A86,実績!$AD$6:$AD$505,"&gt;"&amp;$A86,実績!$AE$6:$AE$505,"○")&gt;0,1,0))</f>
        <v/>
      </c>
      <c r="DC86">
        <f>IF(DC$4=0,0,IF(COUNTIFS(実績!$W$6:$W$505,DC$3,実績!$AC$6:$AC$505,"&lt;="&amp;$A86,実績!$AD$6:$AD$505,"&gt;"&amp;$A86,実績!$AE$6:$AE$505,"○")&gt;0,1,0))</f>
        <v/>
      </c>
      <c r="DD86">
        <f>IF(DD$4=0,0,IF(COUNTIFS(実績!$W$6:$W$505,DD$3,実績!$AC$6:$AC$505,"&lt;="&amp;$A86,実績!$AD$6:$AD$505,"&gt;"&amp;$A86,実績!$AE$6:$AE$505,"○")&gt;0,1,0))</f>
        <v/>
      </c>
      <c r="DE86">
        <f>IF(DE$4=0,0,IF(COUNTIFS(実績!$W$6:$W$505,DE$3,実績!$AC$6:$AC$505,"&lt;="&amp;$A86,実績!$AD$6:$AD$505,"&gt;"&amp;$A86,実績!$AE$6:$AE$505,"○")&gt;0,1,0))</f>
        <v/>
      </c>
      <c r="DF86">
        <f>IF(DF$4=0,0,IF(COUNTIFS(実績!$W$6:$W$505,DF$3,実績!$AC$6:$AC$505,"&lt;="&amp;$A86,実績!$AD$6:$AD$505,"&gt;"&amp;$A86,実績!$AE$6:$AE$505,"○")&gt;0,1,0))</f>
        <v/>
      </c>
      <c r="DG86">
        <f>IF(DG$4=0,0,IF(COUNTIFS(実績!$W$6:$W$505,DG$3,実績!$AC$6:$AC$505,"&lt;="&amp;$A86,実績!$AD$6:$AD$505,"&gt;"&amp;$A86,実績!$AE$6:$AE$505,"○")&gt;0,1,0))</f>
        <v/>
      </c>
      <c r="DH86">
        <f>IF(DH$4=0,0,IF(COUNTIFS(実績!$W$6:$W$505,DH$3,実績!$AC$6:$AC$505,"&lt;="&amp;$A86,実績!$AD$6:$AD$505,"&gt;"&amp;$A86,実績!$AE$6:$AE$505,"○")&gt;0,1,0))</f>
        <v/>
      </c>
      <c r="DI86">
        <f>IF(DI$4=0,0,IF(COUNTIFS(実績!$W$6:$W$505,DI$3,実績!$AC$6:$AC$505,"&lt;="&amp;$A86,実績!$AD$6:$AD$505,"&gt;"&amp;$A86,実績!$AE$6:$AE$505,"○")&gt;0,1,0))</f>
        <v/>
      </c>
      <c r="DJ86">
        <f>IF(DJ$4=0,0,IF(COUNTIFS(実績!$W$6:$W$505,DJ$3,実績!$AC$6:$AC$505,"&lt;="&amp;$A86,実績!$AD$6:$AD$505,"&gt;"&amp;$A86,実績!$AE$6:$AE$505,"○")&gt;0,1,0))</f>
        <v/>
      </c>
      <c r="DK86">
        <f>IF(DK$4=0,0,IF(COUNTIFS(実績!$W$6:$W$505,DK$3,実績!$AC$6:$AC$505,"&lt;="&amp;$A86,実績!$AD$6:$AD$505,"&gt;"&amp;$A86,実績!$AE$6:$AE$505,"○")&gt;0,1,0))</f>
        <v/>
      </c>
      <c r="DL86">
        <f>IF(DL$4=0,0,IF(COUNTIFS(実績!$W$6:$W$505,DL$3,実績!$AC$6:$AC$505,"&lt;="&amp;$A86,実績!$AD$6:$AD$505,"&gt;"&amp;$A86,実績!$AE$6:$AE$505,"○")&gt;0,1,0))</f>
        <v/>
      </c>
      <c r="DM86">
        <f>IF(DM$4=0,0,IF(COUNTIFS(実績!$W$6:$W$505,DM$3,実績!$AC$6:$AC$505,"&lt;="&amp;$A86,実績!$AD$6:$AD$505,"&gt;"&amp;$A86,実績!$AE$6:$AE$505,"○")&gt;0,1,0))</f>
        <v/>
      </c>
      <c r="DN86">
        <f>IF(DN$4=0,0,IF(COUNTIFS(実績!$W$6:$W$505,DN$3,実績!$AC$6:$AC$505,"&lt;="&amp;$A86,実績!$AD$6:$AD$505,"&gt;"&amp;$A86,実績!$AE$6:$AE$505,"○")&gt;0,1,0))</f>
        <v/>
      </c>
      <c r="DO86">
        <f>IF(DO$4=0,0,IF(COUNTIFS(実績!$W$6:$W$505,DO$3,実績!$AC$6:$AC$505,"&lt;="&amp;$A86,実績!$AD$6:$AD$505,"&gt;"&amp;$A86,実績!$AE$6:$AE$505,"○")&gt;0,1,0))</f>
        <v/>
      </c>
      <c r="DP86">
        <f>IF(DP$4=0,0,IF(COUNTIFS(実績!$W$6:$W$505,DP$3,実績!$AC$6:$AC$505,"&lt;="&amp;$A86,実績!$AD$6:$AD$505,"&gt;"&amp;$A86,実績!$AE$6:$AE$505,"○")&gt;0,1,0))</f>
        <v/>
      </c>
      <c r="DQ86">
        <f>IF(DQ$4=0,0,IF(COUNTIFS(実績!$W$6:$W$505,DQ$3,実績!$AC$6:$AC$505,"&lt;="&amp;$A86,実績!$AD$6:$AD$505,"&gt;"&amp;$A86,実績!$AE$6:$AE$505,"○")&gt;0,1,0))</f>
        <v/>
      </c>
      <c r="DR86">
        <f>IF(DR$4=0,0,IF(COUNTIFS(実績!$W$6:$W$505,DR$3,実績!$AC$6:$AC$505,"&lt;="&amp;$A86,実績!$AD$6:$AD$505,"&gt;"&amp;$A86,実績!$AE$6:$AE$505,"○")&gt;0,1,0))</f>
        <v/>
      </c>
      <c r="DS86">
        <f>SUM(C86:DR86)</f>
        <v/>
      </c>
      <c r="DT86">
        <f>SUMPRODUCT((実績!$C$6:$C$505="○")*ISNUMBER(実績!$AF$6:$AF$505)*(実績!$AF$6:$AF$505&lt;=$A86)*(実績!$AG$6:$AG$505&gt;$A86))</f>
        <v/>
      </c>
      <c r="DU86">
        <f>SUMIF($C$2:$DR$2,"製鉄曳船",C86:DR86)</f>
        <v/>
      </c>
      <c r="DV86">
        <f>SUMIF($C$2:$DR$2,"西日本海運",C86:DR86)</f>
        <v/>
      </c>
    </row>
    <row r="87">
      <c r="A87" t="n">
        <v>405</v>
      </c>
      <c r="B87" s="29">
        <f>A87/1440</f>
        <v/>
      </c>
      <c r="C87">
        <f>IF(C$4=0,0,IF(COUNTIFS(実績!$W$6:$W$505,C$3,実績!$AC$6:$AC$505,"&lt;="&amp;$A87,実績!$AD$6:$AD$505,"&gt;"&amp;$A87,実績!$AE$6:$AE$505,"○")&gt;0,1,0))</f>
        <v/>
      </c>
      <c r="D87">
        <f>IF(D$4=0,0,IF(COUNTIFS(実績!$W$6:$W$505,D$3,実績!$AC$6:$AC$505,"&lt;="&amp;$A87,実績!$AD$6:$AD$505,"&gt;"&amp;$A87,実績!$AE$6:$AE$505,"○")&gt;0,1,0))</f>
        <v/>
      </c>
      <c r="E87">
        <f>IF(E$4=0,0,IF(COUNTIFS(実績!$W$6:$W$505,E$3,実績!$AC$6:$AC$505,"&lt;="&amp;$A87,実績!$AD$6:$AD$505,"&gt;"&amp;$A87,実績!$AE$6:$AE$505,"○")&gt;0,1,0))</f>
        <v/>
      </c>
      <c r="F87">
        <f>IF(F$4=0,0,IF(COUNTIFS(実績!$W$6:$W$505,F$3,実績!$AC$6:$AC$505,"&lt;="&amp;$A87,実績!$AD$6:$AD$505,"&gt;"&amp;$A87,実績!$AE$6:$AE$505,"○")&gt;0,1,0))</f>
        <v/>
      </c>
      <c r="G87">
        <f>IF(G$4=0,0,IF(COUNTIFS(実績!$W$6:$W$505,G$3,実績!$AC$6:$AC$505,"&lt;="&amp;$A87,実績!$AD$6:$AD$505,"&gt;"&amp;$A87,実績!$AE$6:$AE$505,"○")&gt;0,1,0))</f>
        <v/>
      </c>
      <c r="H87">
        <f>IF(H$4=0,0,IF(COUNTIFS(実績!$W$6:$W$505,H$3,実績!$AC$6:$AC$505,"&lt;="&amp;$A87,実績!$AD$6:$AD$505,"&gt;"&amp;$A87,実績!$AE$6:$AE$505,"○")&gt;0,1,0))</f>
        <v/>
      </c>
      <c r="I87">
        <f>IF(I$4=0,0,IF(COUNTIFS(実績!$W$6:$W$505,I$3,実績!$AC$6:$AC$505,"&lt;="&amp;$A87,実績!$AD$6:$AD$505,"&gt;"&amp;$A87,実績!$AE$6:$AE$505,"○")&gt;0,1,0))</f>
        <v/>
      </c>
      <c r="J87">
        <f>IF(J$4=0,0,IF(COUNTIFS(実績!$W$6:$W$505,J$3,実績!$AC$6:$AC$505,"&lt;="&amp;$A87,実績!$AD$6:$AD$505,"&gt;"&amp;$A87,実績!$AE$6:$AE$505,"○")&gt;0,1,0))</f>
        <v/>
      </c>
      <c r="K87">
        <f>IF(K$4=0,0,IF(COUNTIFS(実績!$W$6:$W$505,K$3,実績!$AC$6:$AC$505,"&lt;="&amp;$A87,実績!$AD$6:$AD$505,"&gt;"&amp;$A87,実績!$AE$6:$AE$505,"○")&gt;0,1,0))</f>
        <v/>
      </c>
      <c r="L87">
        <f>IF(L$4=0,0,IF(COUNTIFS(実績!$W$6:$W$505,L$3,実績!$AC$6:$AC$505,"&lt;="&amp;$A87,実績!$AD$6:$AD$505,"&gt;"&amp;$A87,実績!$AE$6:$AE$505,"○")&gt;0,1,0))</f>
        <v/>
      </c>
      <c r="M87">
        <f>IF(M$4=0,0,IF(COUNTIFS(実績!$W$6:$W$505,M$3,実績!$AC$6:$AC$505,"&lt;="&amp;$A87,実績!$AD$6:$AD$505,"&gt;"&amp;$A87,実績!$AE$6:$AE$505,"○")&gt;0,1,0))</f>
        <v/>
      </c>
      <c r="N87">
        <f>IF(N$4=0,0,IF(COUNTIFS(実績!$W$6:$W$505,N$3,実績!$AC$6:$AC$505,"&lt;="&amp;$A87,実績!$AD$6:$AD$505,"&gt;"&amp;$A87,実績!$AE$6:$AE$505,"○")&gt;0,1,0))</f>
        <v/>
      </c>
      <c r="O87">
        <f>IF(O$4=0,0,IF(COUNTIFS(実績!$W$6:$W$505,O$3,実績!$AC$6:$AC$505,"&lt;="&amp;$A87,実績!$AD$6:$AD$505,"&gt;"&amp;$A87,実績!$AE$6:$AE$505,"○")&gt;0,1,0))</f>
        <v/>
      </c>
      <c r="P87">
        <f>IF(P$4=0,0,IF(COUNTIFS(実績!$W$6:$W$505,P$3,実績!$AC$6:$AC$505,"&lt;="&amp;$A87,実績!$AD$6:$AD$505,"&gt;"&amp;$A87,実績!$AE$6:$AE$505,"○")&gt;0,1,0))</f>
        <v/>
      </c>
      <c r="Q87">
        <f>IF(Q$4=0,0,IF(COUNTIFS(実績!$W$6:$W$505,Q$3,実績!$AC$6:$AC$505,"&lt;="&amp;$A87,実績!$AD$6:$AD$505,"&gt;"&amp;$A87,実績!$AE$6:$AE$505,"○")&gt;0,1,0))</f>
        <v/>
      </c>
      <c r="R87">
        <f>IF(R$4=0,0,IF(COUNTIFS(実績!$W$6:$W$505,R$3,実績!$AC$6:$AC$505,"&lt;="&amp;$A87,実績!$AD$6:$AD$505,"&gt;"&amp;$A87,実績!$AE$6:$AE$505,"○")&gt;0,1,0))</f>
        <v/>
      </c>
      <c r="S87">
        <f>IF(S$4=0,0,IF(COUNTIFS(実績!$W$6:$W$505,S$3,実績!$AC$6:$AC$505,"&lt;="&amp;$A87,実績!$AD$6:$AD$505,"&gt;"&amp;$A87,実績!$AE$6:$AE$505,"○")&gt;0,1,0))</f>
        <v/>
      </c>
      <c r="T87">
        <f>IF(T$4=0,0,IF(COUNTIFS(実績!$W$6:$W$505,T$3,実績!$AC$6:$AC$505,"&lt;="&amp;$A87,実績!$AD$6:$AD$505,"&gt;"&amp;$A87,実績!$AE$6:$AE$505,"○")&gt;0,1,0))</f>
        <v/>
      </c>
      <c r="U87">
        <f>IF(U$4=0,0,IF(COUNTIFS(実績!$W$6:$W$505,U$3,実績!$AC$6:$AC$505,"&lt;="&amp;$A87,実績!$AD$6:$AD$505,"&gt;"&amp;$A87,実績!$AE$6:$AE$505,"○")&gt;0,1,0))</f>
        <v/>
      </c>
      <c r="V87">
        <f>IF(V$4=0,0,IF(COUNTIFS(実績!$W$6:$W$505,V$3,実績!$AC$6:$AC$505,"&lt;="&amp;$A87,実績!$AD$6:$AD$505,"&gt;"&amp;$A87,実績!$AE$6:$AE$505,"○")&gt;0,1,0))</f>
        <v/>
      </c>
      <c r="W87">
        <f>IF(W$4=0,0,IF(COUNTIFS(実績!$W$6:$W$505,W$3,実績!$AC$6:$AC$505,"&lt;="&amp;$A87,実績!$AD$6:$AD$505,"&gt;"&amp;$A87,実績!$AE$6:$AE$505,"○")&gt;0,1,0))</f>
        <v/>
      </c>
      <c r="X87">
        <f>IF(X$4=0,0,IF(COUNTIFS(実績!$W$6:$W$505,X$3,実績!$AC$6:$AC$505,"&lt;="&amp;$A87,実績!$AD$6:$AD$505,"&gt;"&amp;$A87,実績!$AE$6:$AE$505,"○")&gt;0,1,0))</f>
        <v/>
      </c>
      <c r="Y87">
        <f>IF(Y$4=0,0,IF(COUNTIFS(実績!$W$6:$W$505,Y$3,実績!$AC$6:$AC$505,"&lt;="&amp;$A87,実績!$AD$6:$AD$505,"&gt;"&amp;$A87,実績!$AE$6:$AE$505,"○")&gt;0,1,0))</f>
        <v/>
      </c>
      <c r="Z87">
        <f>IF(Z$4=0,0,IF(COUNTIFS(実績!$W$6:$W$505,Z$3,実績!$AC$6:$AC$505,"&lt;="&amp;$A87,実績!$AD$6:$AD$505,"&gt;"&amp;$A87,実績!$AE$6:$AE$505,"○")&gt;0,1,0))</f>
        <v/>
      </c>
      <c r="AA87">
        <f>IF(AA$4=0,0,IF(COUNTIFS(実績!$W$6:$W$505,AA$3,実績!$AC$6:$AC$505,"&lt;="&amp;$A87,実績!$AD$6:$AD$505,"&gt;"&amp;$A87,実績!$AE$6:$AE$505,"○")&gt;0,1,0))</f>
        <v/>
      </c>
      <c r="AB87">
        <f>IF(AB$4=0,0,IF(COUNTIFS(実績!$W$6:$W$505,AB$3,実績!$AC$6:$AC$505,"&lt;="&amp;$A87,実績!$AD$6:$AD$505,"&gt;"&amp;$A87,実績!$AE$6:$AE$505,"○")&gt;0,1,0))</f>
        <v/>
      </c>
      <c r="AC87">
        <f>IF(AC$4=0,0,IF(COUNTIFS(実績!$W$6:$W$505,AC$3,実績!$AC$6:$AC$505,"&lt;="&amp;$A87,実績!$AD$6:$AD$505,"&gt;"&amp;$A87,実績!$AE$6:$AE$505,"○")&gt;0,1,0))</f>
        <v/>
      </c>
      <c r="AD87">
        <f>IF(AD$4=0,0,IF(COUNTIFS(実績!$W$6:$W$505,AD$3,実績!$AC$6:$AC$505,"&lt;="&amp;$A87,実績!$AD$6:$AD$505,"&gt;"&amp;$A87,実績!$AE$6:$AE$505,"○")&gt;0,1,0))</f>
        <v/>
      </c>
      <c r="AE87">
        <f>IF(AE$4=0,0,IF(COUNTIFS(実績!$W$6:$W$505,AE$3,実績!$AC$6:$AC$505,"&lt;="&amp;$A87,実績!$AD$6:$AD$505,"&gt;"&amp;$A87,実績!$AE$6:$AE$505,"○")&gt;0,1,0))</f>
        <v/>
      </c>
      <c r="AF87">
        <f>IF(AF$4=0,0,IF(COUNTIFS(実績!$W$6:$W$505,AF$3,実績!$AC$6:$AC$505,"&lt;="&amp;$A87,実績!$AD$6:$AD$505,"&gt;"&amp;$A87,実績!$AE$6:$AE$505,"○")&gt;0,1,0))</f>
        <v/>
      </c>
      <c r="AG87">
        <f>IF(AG$4=0,0,IF(COUNTIFS(実績!$W$6:$W$505,AG$3,実績!$AC$6:$AC$505,"&lt;="&amp;$A87,実績!$AD$6:$AD$505,"&gt;"&amp;$A87,実績!$AE$6:$AE$505,"○")&gt;0,1,0))</f>
        <v/>
      </c>
      <c r="AH87">
        <f>IF(AH$4=0,0,IF(COUNTIFS(実績!$W$6:$W$505,AH$3,実績!$AC$6:$AC$505,"&lt;="&amp;$A87,実績!$AD$6:$AD$505,"&gt;"&amp;$A87,実績!$AE$6:$AE$505,"○")&gt;0,1,0))</f>
        <v/>
      </c>
      <c r="AI87">
        <f>IF(AI$4=0,0,IF(COUNTIFS(実績!$W$6:$W$505,AI$3,実績!$AC$6:$AC$505,"&lt;="&amp;$A87,実績!$AD$6:$AD$505,"&gt;"&amp;$A87,実績!$AE$6:$AE$505,"○")&gt;0,1,0))</f>
        <v/>
      </c>
      <c r="AJ87">
        <f>IF(AJ$4=0,0,IF(COUNTIFS(実績!$W$6:$W$505,AJ$3,実績!$AC$6:$AC$505,"&lt;="&amp;$A87,実績!$AD$6:$AD$505,"&gt;"&amp;$A87,実績!$AE$6:$AE$505,"○")&gt;0,1,0))</f>
        <v/>
      </c>
      <c r="AK87">
        <f>IF(AK$4=0,0,IF(COUNTIFS(実績!$W$6:$W$505,AK$3,実績!$AC$6:$AC$505,"&lt;="&amp;$A87,実績!$AD$6:$AD$505,"&gt;"&amp;$A87,実績!$AE$6:$AE$505,"○")&gt;0,1,0))</f>
        <v/>
      </c>
      <c r="AL87">
        <f>IF(AL$4=0,0,IF(COUNTIFS(実績!$W$6:$W$505,AL$3,実績!$AC$6:$AC$505,"&lt;="&amp;$A87,実績!$AD$6:$AD$505,"&gt;"&amp;$A87,実績!$AE$6:$AE$505,"○")&gt;0,1,0))</f>
        <v/>
      </c>
      <c r="AM87">
        <f>IF(AM$4=0,0,IF(COUNTIFS(実績!$W$6:$W$505,AM$3,実績!$AC$6:$AC$505,"&lt;="&amp;$A87,実績!$AD$6:$AD$505,"&gt;"&amp;$A87,実績!$AE$6:$AE$505,"○")&gt;0,1,0))</f>
        <v/>
      </c>
      <c r="AN87">
        <f>IF(AN$4=0,0,IF(COUNTIFS(実績!$W$6:$W$505,AN$3,実績!$AC$6:$AC$505,"&lt;="&amp;$A87,実績!$AD$6:$AD$505,"&gt;"&amp;$A87,実績!$AE$6:$AE$505,"○")&gt;0,1,0))</f>
        <v/>
      </c>
      <c r="AO87">
        <f>IF(AO$4=0,0,IF(COUNTIFS(実績!$W$6:$W$505,AO$3,実績!$AC$6:$AC$505,"&lt;="&amp;$A87,実績!$AD$6:$AD$505,"&gt;"&amp;$A87,実績!$AE$6:$AE$505,"○")&gt;0,1,0))</f>
        <v/>
      </c>
      <c r="AP87">
        <f>IF(AP$4=0,0,IF(COUNTIFS(実績!$W$6:$W$505,AP$3,実績!$AC$6:$AC$505,"&lt;="&amp;$A87,実績!$AD$6:$AD$505,"&gt;"&amp;$A87,実績!$AE$6:$AE$505,"○")&gt;0,1,0))</f>
        <v/>
      </c>
      <c r="AQ87">
        <f>IF(AQ$4=0,0,IF(COUNTIFS(実績!$W$6:$W$505,AQ$3,実績!$AC$6:$AC$505,"&lt;="&amp;$A87,実績!$AD$6:$AD$505,"&gt;"&amp;$A87,実績!$AE$6:$AE$505,"○")&gt;0,1,0))</f>
        <v/>
      </c>
      <c r="AR87">
        <f>IF(AR$4=0,0,IF(COUNTIFS(実績!$W$6:$W$505,AR$3,実績!$AC$6:$AC$505,"&lt;="&amp;$A87,実績!$AD$6:$AD$505,"&gt;"&amp;$A87,実績!$AE$6:$AE$505,"○")&gt;0,1,0))</f>
        <v/>
      </c>
      <c r="AS87">
        <f>IF(AS$4=0,0,IF(COUNTIFS(実績!$W$6:$W$505,AS$3,実績!$AC$6:$AC$505,"&lt;="&amp;$A87,実績!$AD$6:$AD$505,"&gt;"&amp;$A87,実績!$AE$6:$AE$505,"○")&gt;0,1,0))</f>
        <v/>
      </c>
      <c r="AT87">
        <f>IF(AT$4=0,0,IF(COUNTIFS(実績!$W$6:$W$505,AT$3,実績!$AC$6:$AC$505,"&lt;="&amp;$A87,実績!$AD$6:$AD$505,"&gt;"&amp;$A87,実績!$AE$6:$AE$505,"○")&gt;0,1,0))</f>
        <v/>
      </c>
      <c r="AU87">
        <f>IF(AU$4=0,0,IF(COUNTIFS(実績!$W$6:$W$505,AU$3,実績!$AC$6:$AC$505,"&lt;="&amp;$A87,実績!$AD$6:$AD$505,"&gt;"&amp;$A87,実績!$AE$6:$AE$505,"○")&gt;0,1,0))</f>
        <v/>
      </c>
      <c r="AV87">
        <f>IF(AV$4=0,0,IF(COUNTIFS(実績!$W$6:$W$505,AV$3,実績!$AC$6:$AC$505,"&lt;="&amp;$A87,実績!$AD$6:$AD$505,"&gt;"&amp;$A87,実績!$AE$6:$AE$505,"○")&gt;0,1,0))</f>
        <v/>
      </c>
      <c r="AW87">
        <f>IF(AW$4=0,0,IF(COUNTIFS(実績!$W$6:$W$505,AW$3,実績!$AC$6:$AC$505,"&lt;="&amp;$A87,実績!$AD$6:$AD$505,"&gt;"&amp;$A87,実績!$AE$6:$AE$505,"○")&gt;0,1,0))</f>
        <v/>
      </c>
      <c r="AX87">
        <f>IF(AX$4=0,0,IF(COUNTIFS(実績!$W$6:$W$505,AX$3,実績!$AC$6:$AC$505,"&lt;="&amp;$A87,実績!$AD$6:$AD$505,"&gt;"&amp;$A87,実績!$AE$6:$AE$505,"○")&gt;0,1,0))</f>
        <v/>
      </c>
      <c r="AY87">
        <f>IF(AY$4=0,0,IF(COUNTIFS(実績!$W$6:$W$505,AY$3,実績!$AC$6:$AC$505,"&lt;="&amp;$A87,実績!$AD$6:$AD$505,"&gt;"&amp;$A87,実績!$AE$6:$AE$505,"○")&gt;0,1,0))</f>
        <v/>
      </c>
      <c r="AZ87">
        <f>IF(AZ$4=0,0,IF(COUNTIFS(実績!$W$6:$W$505,AZ$3,実績!$AC$6:$AC$505,"&lt;="&amp;$A87,実績!$AD$6:$AD$505,"&gt;"&amp;$A87,実績!$AE$6:$AE$505,"○")&gt;0,1,0))</f>
        <v/>
      </c>
      <c r="BA87">
        <f>IF(BA$4=0,0,IF(COUNTIFS(実績!$W$6:$W$505,BA$3,実績!$AC$6:$AC$505,"&lt;="&amp;$A87,実績!$AD$6:$AD$505,"&gt;"&amp;$A87,実績!$AE$6:$AE$505,"○")&gt;0,1,0))</f>
        <v/>
      </c>
      <c r="BB87">
        <f>IF(BB$4=0,0,IF(COUNTIFS(実績!$W$6:$W$505,BB$3,実績!$AC$6:$AC$505,"&lt;="&amp;$A87,実績!$AD$6:$AD$505,"&gt;"&amp;$A87,実績!$AE$6:$AE$505,"○")&gt;0,1,0))</f>
        <v/>
      </c>
      <c r="BC87">
        <f>IF(BC$4=0,0,IF(COUNTIFS(実績!$W$6:$W$505,BC$3,実績!$AC$6:$AC$505,"&lt;="&amp;$A87,実績!$AD$6:$AD$505,"&gt;"&amp;$A87,実績!$AE$6:$AE$505,"○")&gt;0,1,0))</f>
        <v/>
      </c>
      <c r="BD87">
        <f>IF(BD$4=0,0,IF(COUNTIFS(実績!$W$6:$W$505,BD$3,実績!$AC$6:$AC$505,"&lt;="&amp;$A87,実績!$AD$6:$AD$505,"&gt;"&amp;$A87,実績!$AE$6:$AE$505,"○")&gt;0,1,0))</f>
        <v/>
      </c>
      <c r="BE87">
        <f>IF(BE$4=0,0,IF(COUNTIFS(実績!$W$6:$W$505,BE$3,実績!$AC$6:$AC$505,"&lt;="&amp;$A87,実績!$AD$6:$AD$505,"&gt;"&amp;$A87,実績!$AE$6:$AE$505,"○")&gt;0,1,0))</f>
        <v/>
      </c>
      <c r="BF87">
        <f>IF(BF$4=0,0,IF(COUNTIFS(実績!$W$6:$W$505,BF$3,実績!$AC$6:$AC$505,"&lt;="&amp;$A87,実績!$AD$6:$AD$505,"&gt;"&amp;$A87,実績!$AE$6:$AE$505,"○")&gt;0,1,0))</f>
        <v/>
      </c>
      <c r="BG87">
        <f>IF(BG$4=0,0,IF(COUNTIFS(実績!$W$6:$W$505,BG$3,実績!$AC$6:$AC$505,"&lt;="&amp;$A87,実績!$AD$6:$AD$505,"&gt;"&amp;$A87,実績!$AE$6:$AE$505,"○")&gt;0,1,0))</f>
        <v/>
      </c>
      <c r="BH87">
        <f>IF(BH$4=0,0,IF(COUNTIFS(実績!$W$6:$W$505,BH$3,実績!$AC$6:$AC$505,"&lt;="&amp;$A87,実績!$AD$6:$AD$505,"&gt;"&amp;$A87,実績!$AE$6:$AE$505,"○")&gt;0,1,0))</f>
        <v/>
      </c>
      <c r="BI87">
        <f>IF(BI$4=0,0,IF(COUNTIFS(実績!$W$6:$W$505,BI$3,実績!$AC$6:$AC$505,"&lt;="&amp;$A87,実績!$AD$6:$AD$505,"&gt;"&amp;$A87,実績!$AE$6:$AE$505,"○")&gt;0,1,0))</f>
        <v/>
      </c>
      <c r="BJ87">
        <f>IF(BJ$4=0,0,IF(COUNTIFS(実績!$W$6:$W$505,BJ$3,実績!$AC$6:$AC$505,"&lt;="&amp;$A87,実績!$AD$6:$AD$505,"&gt;"&amp;$A87,実績!$AE$6:$AE$505,"○")&gt;0,1,0))</f>
        <v/>
      </c>
      <c r="BK87">
        <f>IF(BK$4=0,0,IF(COUNTIFS(実績!$W$6:$W$505,BK$3,実績!$AC$6:$AC$505,"&lt;="&amp;$A87,実績!$AD$6:$AD$505,"&gt;"&amp;$A87,実績!$AE$6:$AE$505,"○")&gt;0,1,0))</f>
        <v/>
      </c>
      <c r="BL87">
        <f>IF(BL$4=0,0,IF(COUNTIFS(実績!$W$6:$W$505,BL$3,実績!$AC$6:$AC$505,"&lt;="&amp;$A87,実績!$AD$6:$AD$505,"&gt;"&amp;$A87,実績!$AE$6:$AE$505,"○")&gt;0,1,0))</f>
        <v/>
      </c>
      <c r="BM87">
        <f>IF(BM$4=0,0,IF(COUNTIFS(実績!$W$6:$W$505,BM$3,実績!$AC$6:$AC$505,"&lt;="&amp;$A87,実績!$AD$6:$AD$505,"&gt;"&amp;$A87,実績!$AE$6:$AE$505,"○")&gt;0,1,0))</f>
        <v/>
      </c>
      <c r="BN87">
        <f>IF(BN$4=0,0,IF(COUNTIFS(実績!$W$6:$W$505,BN$3,実績!$AC$6:$AC$505,"&lt;="&amp;$A87,実績!$AD$6:$AD$505,"&gt;"&amp;$A87,実績!$AE$6:$AE$505,"○")&gt;0,1,0))</f>
        <v/>
      </c>
      <c r="BO87">
        <f>IF(BO$4=0,0,IF(COUNTIFS(実績!$W$6:$W$505,BO$3,実績!$AC$6:$AC$505,"&lt;="&amp;$A87,実績!$AD$6:$AD$505,"&gt;"&amp;$A87,実績!$AE$6:$AE$505,"○")&gt;0,1,0))</f>
        <v/>
      </c>
      <c r="BP87">
        <f>IF(BP$4=0,0,IF(COUNTIFS(実績!$W$6:$W$505,BP$3,実績!$AC$6:$AC$505,"&lt;="&amp;$A87,実績!$AD$6:$AD$505,"&gt;"&amp;$A87,実績!$AE$6:$AE$505,"○")&gt;0,1,0))</f>
        <v/>
      </c>
      <c r="BQ87">
        <f>IF(BQ$4=0,0,IF(COUNTIFS(実績!$W$6:$W$505,BQ$3,実績!$AC$6:$AC$505,"&lt;="&amp;$A87,実績!$AD$6:$AD$505,"&gt;"&amp;$A87,実績!$AE$6:$AE$505,"○")&gt;0,1,0))</f>
        <v/>
      </c>
      <c r="BR87">
        <f>IF(BR$4=0,0,IF(COUNTIFS(実績!$W$6:$W$505,BR$3,実績!$AC$6:$AC$505,"&lt;="&amp;$A87,実績!$AD$6:$AD$505,"&gt;"&amp;$A87,実績!$AE$6:$AE$505,"○")&gt;0,1,0))</f>
        <v/>
      </c>
      <c r="BS87">
        <f>IF(BS$4=0,0,IF(COUNTIFS(実績!$W$6:$W$505,BS$3,実績!$AC$6:$AC$505,"&lt;="&amp;$A87,実績!$AD$6:$AD$505,"&gt;"&amp;$A87,実績!$AE$6:$AE$505,"○")&gt;0,1,0))</f>
        <v/>
      </c>
      <c r="BT87">
        <f>IF(BT$4=0,0,IF(COUNTIFS(実績!$W$6:$W$505,BT$3,実績!$AC$6:$AC$505,"&lt;="&amp;$A87,実績!$AD$6:$AD$505,"&gt;"&amp;$A87,実績!$AE$6:$AE$505,"○")&gt;0,1,0))</f>
        <v/>
      </c>
      <c r="BU87">
        <f>IF(BU$4=0,0,IF(COUNTIFS(実績!$W$6:$W$505,BU$3,実績!$AC$6:$AC$505,"&lt;="&amp;$A87,実績!$AD$6:$AD$505,"&gt;"&amp;$A87,実績!$AE$6:$AE$505,"○")&gt;0,1,0))</f>
        <v/>
      </c>
      <c r="BV87">
        <f>IF(BV$4=0,0,IF(COUNTIFS(実績!$W$6:$W$505,BV$3,実績!$AC$6:$AC$505,"&lt;="&amp;$A87,実績!$AD$6:$AD$505,"&gt;"&amp;$A87,実績!$AE$6:$AE$505,"○")&gt;0,1,0))</f>
        <v/>
      </c>
      <c r="BW87">
        <f>IF(BW$4=0,0,IF(COUNTIFS(実績!$W$6:$W$505,BW$3,実績!$AC$6:$AC$505,"&lt;="&amp;$A87,実績!$AD$6:$AD$505,"&gt;"&amp;$A87,実績!$AE$6:$AE$505,"○")&gt;0,1,0))</f>
        <v/>
      </c>
      <c r="BX87">
        <f>IF(BX$4=0,0,IF(COUNTIFS(実績!$W$6:$W$505,BX$3,実績!$AC$6:$AC$505,"&lt;="&amp;$A87,実績!$AD$6:$AD$505,"&gt;"&amp;$A87,実績!$AE$6:$AE$505,"○")&gt;0,1,0))</f>
        <v/>
      </c>
      <c r="BY87">
        <f>IF(BY$4=0,0,IF(COUNTIFS(実績!$W$6:$W$505,BY$3,実績!$AC$6:$AC$505,"&lt;="&amp;$A87,実績!$AD$6:$AD$505,"&gt;"&amp;$A87,実績!$AE$6:$AE$505,"○")&gt;0,1,0))</f>
        <v/>
      </c>
      <c r="BZ87">
        <f>IF(BZ$4=0,0,IF(COUNTIFS(実績!$W$6:$W$505,BZ$3,実績!$AC$6:$AC$505,"&lt;="&amp;$A87,実績!$AD$6:$AD$505,"&gt;"&amp;$A87,実績!$AE$6:$AE$505,"○")&gt;0,1,0))</f>
        <v/>
      </c>
      <c r="CA87">
        <f>IF(CA$4=0,0,IF(COUNTIFS(実績!$W$6:$W$505,CA$3,実績!$AC$6:$AC$505,"&lt;="&amp;$A87,実績!$AD$6:$AD$505,"&gt;"&amp;$A87,実績!$AE$6:$AE$505,"○")&gt;0,1,0))</f>
        <v/>
      </c>
      <c r="CB87">
        <f>IF(CB$4=0,0,IF(COUNTIFS(実績!$W$6:$W$505,CB$3,実績!$AC$6:$AC$505,"&lt;="&amp;$A87,実績!$AD$6:$AD$505,"&gt;"&amp;$A87,実績!$AE$6:$AE$505,"○")&gt;0,1,0))</f>
        <v/>
      </c>
      <c r="CC87">
        <f>IF(CC$4=0,0,IF(COUNTIFS(実績!$W$6:$W$505,CC$3,実績!$AC$6:$AC$505,"&lt;="&amp;$A87,実績!$AD$6:$AD$505,"&gt;"&amp;$A87,実績!$AE$6:$AE$505,"○")&gt;0,1,0))</f>
        <v/>
      </c>
      <c r="CD87">
        <f>IF(CD$4=0,0,IF(COUNTIFS(実績!$W$6:$W$505,CD$3,実績!$AC$6:$AC$505,"&lt;="&amp;$A87,実績!$AD$6:$AD$505,"&gt;"&amp;$A87,実績!$AE$6:$AE$505,"○")&gt;0,1,0))</f>
        <v/>
      </c>
      <c r="CE87">
        <f>IF(CE$4=0,0,IF(COUNTIFS(実績!$W$6:$W$505,CE$3,実績!$AC$6:$AC$505,"&lt;="&amp;$A87,実績!$AD$6:$AD$505,"&gt;"&amp;$A87,実績!$AE$6:$AE$505,"○")&gt;0,1,0))</f>
        <v/>
      </c>
      <c r="CF87">
        <f>IF(CF$4=0,0,IF(COUNTIFS(実績!$W$6:$W$505,CF$3,実績!$AC$6:$AC$505,"&lt;="&amp;$A87,実績!$AD$6:$AD$505,"&gt;"&amp;$A87,実績!$AE$6:$AE$505,"○")&gt;0,1,0))</f>
        <v/>
      </c>
      <c r="CG87">
        <f>IF(CG$4=0,0,IF(COUNTIFS(実績!$W$6:$W$505,CG$3,実績!$AC$6:$AC$505,"&lt;="&amp;$A87,実績!$AD$6:$AD$505,"&gt;"&amp;$A87,実績!$AE$6:$AE$505,"○")&gt;0,1,0))</f>
        <v/>
      </c>
      <c r="CH87">
        <f>IF(CH$4=0,0,IF(COUNTIFS(実績!$W$6:$W$505,CH$3,実績!$AC$6:$AC$505,"&lt;="&amp;$A87,実績!$AD$6:$AD$505,"&gt;"&amp;$A87,実績!$AE$6:$AE$505,"○")&gt;0,1,0))</f>
        <v/>
      </c>
      <c r="CI87">
        <f>IF(CI$4=0,0,IF(COUNTIFS(実績!$W$6:$W$505,CI$3,実績!$AC$6:$AC$505,"&lt;="&amp;$A87,実績!$AD$6:$AD$505,"&gt;"&amp;$A87,実績!$AE$6:$AE$505,"○")&gt;0,1,0))</f>
        <v/>
      </c>
      <c r="CJ87">
        <f>IF(CJ$4=0,0,IF(COUNTIFS(実績!$W$6:$W$505,CJ$3,実績!$AC$6:$AC$505,"&lt;="&amp;$A87,実績!$AD$6:$AD$505,"&gt;"&amp;$A87,実績!$AE$6:$AE$505,"○")&gt;0,1,0))</f>
        <v/>
      </c>
      <c r="CK87">
        <f>IF(CK$4=0,0,IF(COUNTIFS(実績!$W$6:$W$505,CK$3,実績!$AC$6:$AC$505,"&lt;="&amp;$A87,実績!$AD$6:$AD$505,"&gt;"&amp;$A87,実績!$AE$6:$AE$505,"○")&gt;0,1,0))</f>
        <v/>
      </c>
      <c r="CL87">
        <f>IF(CL$4=0,0,IF(COUNTIFS(実績!$W$6:$W$505,CL$3,実績!$AC$6:$AC$505,"&lt;="&amp;$A87,実績!$AD$6:$AD$505,"&gt;"&amp;$A87,実績!$AE$6:$AE$505,"○")&gt;0,1,0))</f>
        <v/>
      </c>
      <c r="CM87">
        <f>IF(CM$4=0,0,IF(COUNTIFS(実績!$W$6:$W$505,CM$3,実績!$AC$6:$AC$505,"&lt;="&amp;$A87,実績!$AD$6:$AD$505,"&gt;"&amp;$A87,実績!$AE$6:$AE$505,"○")&gt;0,1,0))</f>
        <v/>
      </c>
      <c r="CN87">
        <f>IF(CN$4=0,0,IF(COUNTIFS(実績!$W$6:$W$505,CN$3,実績!$AC$6:$AC$505,"&lt;="&amp;$A87,実績!$AD$6:$AD$505,"&gt;"&amp;$A87,実績!$AE$6:$AE$505,"○")&gt;0,1,0))</f>
        <v/>
      </c>
      <c r="CO87">
        <f>IF(CO$4=0,0,IF(COUNTIFS(実績!$W$6:$W$505,CO$3,実績!$AC$6:$AC$505,"&lt;="&amp;$A87,実績!$AD$6:$AD$505,"&gt;"&amp;$A87,実績!$AE$6:$AE$505,"○")&gt;0,1,0))</f>
        <v/>
      </c>
      <c r="CP87">
        <f>IF(CP$4=0,0,IF(COUNTIFS(実績!$W$6:$W$505,CP$3,実績!$AC$6:$AC$505,"&lt;="&amp;$A87,実績!$AD$6:$AD$505,"&gt;"&amp;$A87,実績!$AE$6:$AE$505,"○")&gt;0,1,0))</f>
        <v/>
      </c>
      <c r="CQ87">
        <f>IF(CQ$4=0,0,IF(COUNTIFS(実績!$W$6:$W$505,CQ$3,実績!$AC$6:$AC$505,"&lt;="&amp;$A87,実績!$AD$6:$AD$505,"&gt;"&amp;$A87,実績!$AE$6:$AE$505,"○")&gt;0,1,0))</f>
        <v/>
      </c>
      <c r="CR87">
        <f>IF(CR$4=0,0,IF(COUNTIFS(実績!$W$6:$W$505,CR$3,実績!$AC$6:$AC$505,"&lt;="&amp;$A87,実績!$AD$6:$AD$505,"&gt;"&amp;$A87,実績!$AE$6:$AE$505,"○")&gt;0,1,0))</f>
        <v/>
      </c>
      <c r="CS87">
        <f>IF(CS$4=0,0,IF(COUNTIFS(実績!$W$6:$W$505,CS$3,実績!$AC$6:$AC$505,"&lt;="&amp;$A87,実績!$AD$6:$AD$505,"&gt;"&amp;$A87,実績!$AE$6:$AE$505,"○")&gt;0,1,0))</f>
        <v/>
      </c>
      <c r="CT87">
        <f>IF(CT$4=0,0,IF(COUNTIFS(実績!$W$6:$W$505,CT$3,実績!$AC$6:$AC$505,"&lt;="&amp;$A87,実績!$AD$6:$AD$505,"&gt;"&amp;$A87,実績!$AE$6:$AE$505,"○")&gt;0,1,0))</f>
        <v/>
      </c>
      <c r="CU87">
        <f>IF(CU$4=0,0,IF(COUNTIFS(実績!$W$6:$W$505,CU$3,実績!$AC$6:$AC$505,"&lt;="&amp;$A87,実績!$AD$6:$AD$505,"&gt;"&amp;$A87,実績!$AE$6:$AE$505,"○")&gt;0,1,0))</f>
        <v/>
      </c>
      <c r="CV87">
        <f>IF(CV$4=0,0,IF(COUNTIFS(実績!$W$6:$W$505,CV$3,実績!$AC$6:$AC$505,"&lt;="&amp;$A87,実績!$AD$6:$AD$505,"&gt;"&amp;$A87,実績!$AE$6:$AE$505,"○")&gt;0,1,0))</f>
        <v/>
      </c>
      <c r="CW87">
        <f>IF(CW$4=0,0,IF(COUNTIFS(実績!$W$6:$W$505,CW$3,実績!$AC$6:$AC$505,"&lt;="&amp;$A87,実績!$AD$6:$AD$505,"&gt;"&amp;$A87,実績!$AE$6:$AE$505,"○")&gt;0,1,0))</f>
        <v/>
      </c>
      <c r="CX87">
        <f>IF(CX$4=0,0,IF(COUNTIFS(実績!$W$6:$W$505,CX$3,実績!$AC$6:$AC$505,"&lt;="&amp;$A87,実績!$AD$6:$AD$505,"&gt;"&amp;$A87,実績!$AE$6:$AE$505,"○")&gt;0,1,0))</f>
        <v/>
      </c>
      <c r="CY87">
        <f>IF(CY$4=0,0,IF(COUNTIFS(実績!$W$6:$W$505,CY$3,実績!$AC$6:$AC$505,"&lt;="&amp;$A87,実績!$AD$6:$AD$505,"&gt;"&amp;$A87,実績!$AE$6:$AE$505,"○")&gt;0,1,0))</f>
        <v/>
      </c>
      <c r="CZ87">
        <f>IF(CZ$4=0,0,IF(COUNTIFS(実績!$W$6:$W$505,CZ$3,実績!$AC$6:$AC$505,"&lt;="&amp;$A87,実績!$AD$6:$AD$505,"&gt;"&amp;$A87,実績!$AE$6:$AE$505,"○")&gt;0,1,0))</f>
        <v/>
      </c>
      <c r="DA87">
        <f>IF(DA$4=0,0,IF(COUNTIFS(実績!$W$6:$W$505,DA$3,実績!$AC$6:$AC$505,"&lt;="&amp;$A87,実績!$AD$6:$AD$505,"&gt;"&amp;$A87,実績!$AE$6:$AE$505,"○")&gt;0,1,0))</f>
        <v/>
      </c>
      <c r="DB87">
        <f>IF(DB$4=0,0,IF(COUNTIFS(実績!$W$6:$W$505,DB$3,実績!$AC$6:$AC$505,"&lt;="&amp;$A87,実績!$AD$6:$AD$505,"&gt;"&amp;$A87,実績!$AE$6:$AE$505,"○")&gt;0,1,0))</f>
        <v/>
      </c>
      <c r="DC87">
        <f>IF(DC$4=0,0,IF(COUNTIFS(実績!$W$6:$W$505,DC$3,実績!$AC$6:$AC$505,"&lt;="&amp;$A87,実績!$AD$6:$AD$505,"&gt;"&amp;$A87,実績!$AE$6:$AE$505,"○")&gt;0,1,0))</f>
        <v/>
      </c>
      <c r="DD87">
        <f>IF(DD$4=0,0,IF(COUNTIFS(実績!$W$6:$W$505,DD$3,実績!$AC$6:$AC$505,"&lt;="&amp;$A87,実績!$AD$6:$AD$505,"&gt;"&amp;$A87,実績!$AE$6:$AE$505,"○")&gt;0,1,0))</f>
        <v/>
      </c>
      <c r="DE87">
        <f>IF(DE$4=0,0,IF(COUNTIFS(実績!$W$6:$W$505,DE$3,実績!$AC$6:$AC$505,"&lt;="&amp;$A87,実績!$AD$6:$AD$505,"&gt;"&amp;$A87,実績!$AE$6:$AE$505,"○")&gt;0,1,0))</f>
        <v/>
      </c>
      <c r="DF87">
        <f>IF(DF$4=0,0,IF(COUNTIFS(実績!$W$6:$W$505,DF$3,実績!$AC$6:$AC$505,"&lt;="&amp;$A87,実績!$AD$6:$AD$505,"&gt;"&amp;$A87,実績!$AE$6:$AE$505,"○")&gt;0,1,0))</f>
        <v/>
      </c>
      <c r="DG87">
        <f>IF(DG$4=0,0,IF(COUNTIFS(実績!$W$6:$W$505,DG$3,実績!$AC$6:$AC$505,"&lt;="&amp;$A87,実績!$AD$6:$AD$505,"&gt;"&amp;$A87,実績!$AE$6:$AE$505,"○")&gt;0,1,0))</f>
        <v/>
      </c>
      <c r="DH87">
        <f>IF(DH$4=0,0,IF(COUNTIFS(実績!$W$6:$W$505,DH$3,実績!$AC$6:$AC$505,"&lt;="&amp;$A87,実績!$AD$6:$AD$505,"&gt;"&amp;$A87,実績!$AE$6:$AE$505,"○")&gt;0,1,0))</f>
        <v/>
      </c>
      <c r="DI87">
        <f>IF(DI$4=0,0,IF(COUNTIFS(実績!$W$6:$W$505,DI$3,実績!$AC$6:$AC$505,"&lt;="&amp;$A87,実績!$AD$6:$AD$505,"&gt;"&amp;$A87,実績!$AE$6:$AE$505,"○")&gt;0,1,0))</f>
        <v/>
      </c>
      <c r="DJ87">
        <f>IF(DJ$4=0,0,IF(COUNTIFS(実績!$W$6:$W$505,DJ$3,実績!$AC$6:$AC$505,"&lt;="&amp;$A87,実績!$AD$6:$AD$505,"&gt;"&amp;$A87,実績!$AE$6:$AE$505,"○")&gt;0,1,0))</f>
        <v/>
      </c>
      <c r="DK87">
        <f>IF(DK$4=0,0,IF(COUNTIFS(実績!$W$6:$W$505,DK$3,実績!$AC$6:$AC$505,"&lt;="&amp;$A87,実績!$AD$6:$AD$505,"&gt;"&amp;$A87,実績!$AE$6:$AE$505,"○")&gt;0,1,0))</f>
        <v/>
      </c>
      <c r="DL87">
        <f>IF(DL$4=0,0,IF(COUNTIFS(実績!$W$6:$W$505,DL$3,実績!$AC$6:$AC$505,"&lt;="&amp;$A87,実績!$AD$6:$AD$505,"&gt;"&amp;$A87,実績!$AE$6:$AE$505,"○")&gt;0,1,0))</f>
        <v/>
      </c>
      <c r="DM87">
        <f>IF(DM$4=0,0,IF(COUNTIFS(実績!$W$6:$W$505,DM$3,実績!$AC$6:$AC$505,"&lt;="&amp;$A87,実績!$AD$6:$AD$505,"&gt;"&amp;$A87,実績!$AE$6:$AE$505,"○")&gt;0,1,0))</f>
        <v/>
      </c>
      <c r="DN87">
        <f>IF(DN$4=0,0,IF(COUNTIFS(実績!$W$6:$W$505,DN$3,実績!$AC$6:$AC$505,"&lt;="&amp;$A87,実績!$AD$6:$AD$505,"&gt;"&amp;$A87,実績!$AE$6:$AE$505,"○")&gt;0,1,0))</f>
        <v/>
      </c>
      <c r="DO87">
        <f>IF(DO$4=0,0,IF(COUNTIFS(実績!$W$6:$W$505,DO$3,実績!$AC$6:$AC$505,"&lt;="&amp;$A87,実績!$AD$6:$AD$505,"&gt;"&amp;$A87,実績!$AE$6:$AE$505,"○")&gt;0,1,0))</f>
        <v/>
      </c>
      <c r="DP87">
        <f>IF(DP$4=0,0,IF(COUNTIFS(実績!$W$6:$W$505,DP$3,実績!$AC$6:$AC$505,"&lt;="&amp;$A87,実績!$AD$6:$AD$505,"&gt;"&amp;$A87,実績!$AE$6:$AE$505,"○")&gt;0,1,0))</f>
        <v/>
      </c>
      <c r="DQ87">
        <f>IF(DQ$4=0,0,IF(COUNTIFS(実績!$W$6:$W$505,DQ$3,実績!$AC$6:$AC$505,"&lt;="&amp;$A87,実績!$AD$6:$AD$505,"&gt;"&amp;$A87,実績!$AE$6:$AE$505,"○")&gt;0,1,0))</f>
        <v/>
      </c>
      <c r="DR87">
        <f>IF(DR$4=0,0,IF(COUNTIFS(実績!$W$6:$W$505,DR$3,実績!$AC$6:$AC$505,"&lt;="&amp;$A87,実績!$AD$6:$AD$505,"&gt;"&amp;$A87,実績!$AE$6:$AE$505,"○")&gt;0,1,0))</f>
        <v/>
      </c>
      <c r="DS87">
        <f>SUM(C87:DR87)</f>
        <v/>
      </c>
      <c r="DT87">
        <f>SUMPRODUCT((実績!$C$6:$C$505="○")*ISNUMBER(実績!$AF$6:$AF$505)*(実績!$AF$6:$AF$505&lt;=$A87)*(実績!$AG$6:$AG$505&gt;$A87))</f>
        <v/>
      </c>
      <c r="DU87">
        <f>SUMIF($C$2:$DR$2,"製鉄曳船",C87:DR87)</f>
        <v/>
      </c>
      <c r="DV87">
        <f>SUMIF($C$2:$DR$2,"西日本海運",C87:DR87)</f>
        <v/>
      </c>
    </row>
    <row r="88">
      <c r="A88" t="n">
        <v>410</v>
      </c>
      <c r="B88" s="29">
        <f>A88/1440</f>
        <v/>
      </c>
      <c r="C88">
        <f>IF(C$4=0,0,IF(COUNTIFS(実績!$W$6:$W$505,C$3,実績!$AC$6:$AC$505,"&lt;="&amp;$A88,実績!$AD$6:$AD$505,"&gt;"&amp;$A88,実績!$AE$6:$AE$505,"○")&gt;0,1,0))</f>
        <v/>
      </c>
      <c r="D88">
        <f>IF(D$4=0,0,IF(COUNTIFS(実績!$W$6:$W$505,D$3,実績!$AC$6:$AC$505,"&lt;="&amp;$A88,実績!$AD$6:$AD$505,"&gt;"&amp;$A88,実績!$AE$6:$AE$505,"○")&gt;0,1,0))</f>
        <v/>
      </c>
      <c r="E88">
        <f>IF(E$4=0,0,IF(COUNTIFS(実績!$W$6:$W$505,E$3,実績!$AC$6:$AC$505,"&lt;="&amp;$A88,実績!$AD$6:$AD$505,"&gt;"&amp;$A88,実績!$AE$6:$AE$505,"○")&gt;0,1,0))</f>
        <v/>
      </c>
      <c r="F88">
        <f>IF(F$4=0,0,IF(COUNTIFS(実績!$W$6:$W$505,F$3,実績!$AC$6:$AC$505,"&lt;="&amp;$A88,実績!$AD$6:$AD$505,"&gt;"&amp;$A88,実績!$AE$6:$AE$505,"○")&gt;0,1,0))</f>
        <v/>
      </c>
      <c r="G88">
        <f>IF(G$4=0,0,IF(COUNTIFS(実績!$W$6:$W$505,G$3,実績!$AC$6:$AC$505,"&lt;="&amp;$A88,実績!$AD$6:$AD$505,"&gt;"&amp;$A88,実績!$AE$6:$AE$505,"○")&gt;0,1,0))</f>
        <v/>
      </c>
      <c r="H88">
        <f>IF(H$4=0,0,IF(COUNTIFS(実績!$W$6:$W$505,H$3,実績!$AC$6:$AC$505,"&lt;="&amp;$A88,実績!$AD$6:$AD$505,"&gt;"&amp;$A88,実績!$AE$6:$AE$505,"○")&gt;0,1,0))</f>
        <v/>
      </c>
      <c r="I88">
        <f>IF(I$4=0,0,IF(COUNTIFS(実績!$W$6:$W$505,I$3,実績!$AC$6:$AC$505,"&lt;="&amp;$A88,実績!$AD$6:$AD$505,"&gt;"&amp;$A88,実績!$AE$6:$AE$505,"○")&gt;0,1,0))</f>
        <v/>
      </c>
      <c r="J88">
        <f>IF(J$4=0,0,IF(COUNTIFS(実績!$W$6:$W$505,J$3,実績!$AC$6:$AC$505,"&lt;="&amp;$A88,実績!$AD$6:$AD$505,"&gt;"&amp;$A88,実績!$AE$6:$AE$505,"○")&gt;0,1,0))</f>
        <v/>
      </c>
      <c r="K88">
        <f>IF(K$4=0,0,IF(COUNTIFS(実績!$W$6:$W$505,K$3,実績!$AC$6:$AC$505,"&lt;="&amp;$A88,実績!$AD$6:$AD$505,"&gt;"&amp;$A88,実績!$AE$6:$AE$505,"○")&gt;0,1,0))</f>
        <v/>
      </c>
      <c r="L88">
        <f>IF(L$4=0,0,IF(COUNTIFS(実績!$W$6:$W$505,L$3,実績!$AC$6:$AC$505,"&lt;="&amp;$A88,実績!$AD$6:$AD$505,"&gt;"&amp;$A88,実績!$AE$6:$AE$505,"○")&gt;0,1,0))</f>
        <v/>
      </c>
      <c r="M88">
        <f>IF(M$4=0,0,IF(COUNTIFS(実績!$W$6:$W$505,M$3,実績!$AC$6:$AC$505,"&lt;="&amp;$A88,実績!$AD$6:$AD$505,"&gt;"&amp;$A88,実績!$AE$6:$AE$505,"○")&gt;0,1,0))</f>
        <v/>
      </c>
      <c r="N88">
        <f>IF(N$4=0,0,IF(COUNTIFS(実績!$W$6:$W$505,N$3,実績!$AC$6:$AC$505,"&lt;="&amp;$A88,実績!$AD$6:$AD$505,"&gt;"&amp;$A88,実績!$AE$6:$AE$505,"○")&gt;0,1,0))</f>
        <v/>
      </c>
      <c r="O88">
        <f>IF(O$4=0,0,IF(COUNTIFS(実績!$W$6:$W$505,O$3,実績!$AC$6:$AC$505,"&lt;="&amp;$A88,実績!$AD$6:$AD$505,"&gt;"&amp;$A88,実績!$AE$6:$AE$505,"○")&gt;0,1,0))</f>
        <v/>
      </c>
      <c r="P88">
        <f>IF(P$4=0,0,IF(COUNTIFS(実績!$W$6:$W$505,P$3,実績!$AC$6:$AC$505,"&lt;="&amp;$A88,実績!$AD$6:$AD$505,"&gt;"&amp;$A88,実績!$AE$6:$AE$505,"○")&gt;0,1,0))</f>
        <v/>
      </c>
      <c r="Q88">
        <f>IF(Q$4=0,0,IF(COUNTIFS(実績!$W$6:$W$505,Q$3,実績!$AC$6:$AC$505,"&lt;="&amp;$A88,実績!$AD$6:$AD$505,"&gt;"&amp;$A88,実績!$AE$6:$AE$505,"○")&gt;0,1,0))</f>
        <v/>
      </c>
      <c r="R88">
        <f>IF(R$4=0,0,IF(COUNTIFS(実績!$W$6:$W$505,R$3,実績!$AC$6:$AC$505,"&lt;="&amp;$A88,実績!$AD$6:$AD$505,"&gt;"&amp;$A88,実績!$AE$6:$AE$505,"○")&gt;0,1,0))</f>
        <v/>
      </c>
      <c r="S88">
        <f>IF(S$4=0,0,IF(COUNTIFS(実績!$W$6:$W$505,S$3,実績!$AC$6:$AC$505,"&lt;="&amp;$A88,実績!$AD$6:$AD$505,"&gt;"&amp;$A88,実績!$AE$6:$AE$505,"○")&gt;0,1,0))</f>
        <v/>
      </c>
      <c r="T88">
        <f>IF(T$4=0,0,IF(COUNTIFS(実績!$W$6:$W$505,T$3,実績!$AC$6:$AC$505,"&lt;="&amp;$A88,実績!$AD$6:$AD$505,"&gt;"&amp;$A88,実績!$AE$6:$AE$505,"○")&gt;0,1,0))</f>
        <v/>
      </c>
      <c r="U88">
        <f>IF(U$4=0,0,IF(COUNTIFS(実績!$W$6:$W$505,U$3,実績!$AC$6:$AC$505,"&lt;="&amp;$A88,実績!$AD$6:$AD$505,"&gt;"&amp;$A88,実績!$AE$6:$AE$505,"○")&gt;0,1,0))</f>
        <v/>
      </c>
      <c r="V88">
        <f>IF(V$4=0,0,IF(COUNTIFS(実績!$W$6:$W$505,V$3,実績!$AC$6:$AC$505,"&lt;="&amp;$A88,実績!$AD$6:$AD$505,"&gt;"&amp;$A88,実績!$AE$6:$AE$505,"○")&gt;0,1,0))</f>
        <v/>
      </c>
      <c r="W88">
        <f>IF(W$4=0,0,IF(COUNTIFS(実績!$W$6:$W$505,W$3,実績!$AC$6:$AC$505,"&lt;="&amp;$A88,実績!$AD$6:$AD$505,"&gt;"&amp;$A88,実績!$AE$6:$AE$505,"○")&gt;0,1,0))</f>
        <v/>
      </c>
      <c r="X88">
        <f>IF(X$4=0,0,IF(COUNTIFS(実績!$W$6:$W$505,X$3,実績!$AC$6:$AC$505,"&lt;="&amp;$A88,実績!$AD$6:$AD$505,"&gt;"&amp;$A88,実績!$AE$6:$AE$505,"○")&gt;0,1,0))</f>
        <v/>
      </c>
      <c r="Y88">
        <f>IF(Y$4=0,0,IF(COUNTIFS(実績!$W$6:$W$505,Y$3,実績!$AC$6:$AC$505,"&lt;="&amp;$A88,実績!$AD$6:$AD$505,"&gt;"&amp;$A88,実績!$AE$6:$AE$505,"○")&gt;0,1,0))</f>
        <v/>
      </c>
      <c r="Z88">
        <f>IF(Z$4=0,0,IF(COUNTIFS(実績!$W$6:$W$505,Z$3,実績!$AC$6:$AC$505,"&lt;="&amp;$A88,実績!$AD$6:$AD$505,"&gt;"&amp;$A88,実績!$AE$6:$AE$505,"○")&gt;0,1,0))</f>
        <v/>
      </c>
      <c r="AA88">
        <f>IF(AA$4=0,0,IF(COUNTIFS(実績!$W$6:$W$505,AA$3,実績!$AC$6:$AC$505,"&lt;="&amp;$A88,実績!$AD$6:$AD$505,"&gt;"&amp;$A88,実績!$AE$6:$AE$505,"○")&gt;0,1,0))</f>
        <v/>
      </c>
      <c r="AB88">
        <f>IF(AB$4=0,0,IF(COUNTIFS(実績!$W$6:$W$505,AB$3,実績!$AC$6:$AC$505,"&lt;="&amp;$A88,実績!$AD$6:$AD$505,"&gt;"&amp;$A88,実績!$AE$6:$AE$505,"○")&gt;0,1,0))</f>
        <v/>
      </c>
      <c r="AC88">
        <f>IF(AC$4=0,0,IF(COUNTIFS(実績!$W$6:$W$505,AC$3,実績!$AC$6:$AC$505,"&lt;="&amp;$A88,実績!$AD$6:$AD$505,"&gt;"&amp;$A88,実績!$AE$6:$AE$505,"○")&gt;0,1,0))</f>
        <v/>
      </c>
      <c r="AD88">
        <f>IF(AD$4=0,0,IF(COUNTIFS(実績!$W$6:$W$505,AD$3,実績!$AC$6:$AC$505,"&lt;="&amp;$A88,実績!$AD$6:$AD$505,"&gt;"&amp;$A88,実績!$AE$6:$AE$505,"○")&gt;0,1,0))</f>
        <v/>
      </c>
      <c r="AE88">
        <f>IF(AE$4=0,0,IF(COUNTIFS(実績!$W$6:$W$505,AE$3,実績!$AC$6:$AC$505,"&lt;="&amp;$A88,実績!$AD$6:$AD$505,"&gt;"&amp;$A88,実績!$AE$6:$AE$505,"○")&gt;0,1,0))</f>
        <v/>
      </c>
      <c r="AF88">
        <f>IF(AF$4=0,0,IF(COUNTIFS(実績!$W$6:$W$505,AF$3,実績!$AC$6:$AC$505,"&lt;="&amp;$A88,実績!$AD$6:$AD$505,"&gt;"&amp;$A88,実績!$AE$6:$AE$505,"○")&gt;0,1,0))</f>
        <v/>
      </c>
      <c r="AG88">
        <f>IF(AG$4=0,0,IF(COUNTIFS(実績!$W$6:$W$505,AG$3,実績!$AC$6:$AC$505,"&lt;="&amp;$A88,実績!$AD$6:$AD$505,"&gt;"&amp;$A88,実績!$AE$6:$AE$505,"○")&gt;0,1,0))</f>
        <v/>
      </c>
      <c r="AH88">
        <f>IF(AH$4=0,0,IF(COUNTIFS(実績!$W$6:$W$505,AH$3,実績!$AC$6:$AC$505,"&lt;="&amp;$A88,実績!$AD$6:$AD$505,"&gt;"&amp;$A88,実績!$AE$6:$AE$505,"○")&gt;0,1,0))</f>
        <v/>
      </c>
      <c r="AI88">
        <f>IF(AI$4=0,0,IF(COUNTIFS(実績!$W$6:$W$505,AI$3,実績!$AC$6:$AC$505,"&lt;="&amp;$A88,実績!$AD$6:$AD$505,"&gt;"&amp;$A88,実績!$AE$6:$AE$505,"○")&gt;0,1,0))</f>
        <v/>
      </c>
      <c r="AJ88">
        <f>IF(AJ$4=0,0,IF(COUNTIFS(実績!$W$6:$W$505,AJ$3,実績!$AC$6:$AC$505,"&lt;="&amp;$A88,実績!$AD$6:$AD$505,"&gt;"&amp;$A88,実績!$AE$6:$AE$505,"○")&gt;0,1,0))</f>
        <v/>
      </c>
      <c r="AK88">
        <f>IF(AK$4=0,0,IF(COUNTIFS(実績!$W$6:$W$505,AK$3,実績!$AC$6:$AC$505,"&lt;="&amp;$A88,実績!$AD$6:$AD$505,"&gt;"&amp;$A88,実績!$AE$6:$AE$505,"○")&gt;0,1,0))</f>
        <v/>
      </c>
      <c r="AL88">
        <f>IF(AL$4=0,0,IF(COUNTIFS(実績!$W$6:$W$505,AL$3,実績!$AC$6:$AC$505,"&lt;="&amp;$A88,実績!$AD$6:$AD$505,"&gt;"&amp;$A88,実績!$AE$6:$AE$505,"○")&gt;0,1,0))</f>
        <v/>
      </c>
      <c r="AM88">
        <f>IF(AM$4=0,0,IF(COUNTIFS(実績!$W$6:$W$505,AM$3,実績!$AC$6:$AC$505,"&lt;="&amp;$A88,実績!$AD$6:$AD$505,"&gt;"&amp;$A88,実績!$AE$6:$AE$505,"○")&gt;0,1,0))</f>
        <v/>
      </c>
      <c r="AN88">
        <f>IF(AN$4=0,0,IF(COUNTIFS(実績!$W$6:$W$505,AN$3,実績!$AC$6:$AC$505,"&lt;="&amp;$A88,実績!$AD$6:$AD$505,"&gt;"&amp;$A88,実績!$AE$6:$AE$505,"○")&gt;0,1,0))</f>
        <v/>
      </c>
      <c r="AO88">
        <f>IF(AO$4=0,0,IF(COUNTIFS(実績!$W$6:$W$505,AO$3,実績!$AC$6:$AC$505,"&lt;="&amp;$A88,実績!$AD$6:$AD$505,"&gt;"&amp;$A88,実績!$AE$6:$AE$505,"○")&gt;0,1,0))</f>
        <v/>
      </c>
      <c r="AP88">
        <f>IF(AP$4=0,0,IF(COUNTIFS(実績!$W$6:$W$505,AP$3,実績!$AC$6:$AC$505,"&lt;="&amp;$A88,実績!$AD$6:$AD$505,"&gt;"&amp;$A88,実績!$AE$6:$AE$505,"○")&gt;0,1,0))</f>
        <v/>
      </c>
      <c r="AQ88">
        <f>IF(AQ$4=0,0,IF(COUNTIFS(実績!$W$6:$W$505,AQ$3,実績!$AC$6:$AC$505,"&lt;="&amp;$A88,実績!$AD$6:$AD$505,"&gt;"&amp;$A88,実績!$AE$6:$AE$505,"○")&gt;0,1,0))</f>
        <v/>
      </c>
      <c r="AR88">
        <f>IF(AR$4=0,0,IF(COUNTIFS(実績!$W$6:$W$505,AR$3,実績!$AC$6:$AC$505,"&lt;="&amp;$A88,実績!$AD$6:$AD$505,"&gt;"&amp;$A88,実績!$AE$6:$AE$505,"○")&gt;0,1,0))</f>
        <v/>
      </c>
      <c r="AS88">
        <f>IF(AS$4=0,0,IF(COUNTIFS(実績!$W$6:$W$505,AS$3,実績!$AC$6:$AC$505,"&lt;="&amp;$A88,実績!$AD$6:$AD$505,"&gt;"&amp;$A88,実績!$AE$6:$AE$505,"○")&gt;0,1,0))</f>
        <v/>
      </c>
      <c r="AT88">
        <f>IF(AT$4=0,0,IF(COUNTIFS(実績!$W$6:$W$505,AT$3,実績!$AC$6:$AC$505,"&lt;="&amp;$A88,実績!$AD$6:$AD$505,"&gt;"&amp;$A88,実績!$AE$6:$AE$505,"○")&gt;0,1,0))</f>
        <v/>
      </c>
      <c r="AU88">
        <f>IF(AU$4=0,0,IF(COUNTIFS(実績!$W$6:$W$505,AU$3,実績!$AC$6:$AC$505,"&lt;="&amp;$A88,実績!$AD$6:$AD$505,"&gt;"&amp;$A88,実績!$AE$6:$AE$505,"○")&gt;0,1,0))</f>
        <v/>
      </c>
      <c r="AV88">
        <f>IF(AV$4=0,0,IF(COUNTIFS(実績!$W$6:$W$505,AV$3,実績!$AC$6:$AC$505,"&lt;="&amp;$A88,実績!$AD$6:$AD$505,"&gt;"&amp;$A88,実績!$AE$6:$AE$505,"○")&gt;0,1,0))</f>
        <v/>
      </c>
      <c r="AW88">
        <f>IF(AW$4=0,0,IF(COUNTIFS(実績!$W$6:$W$505,AW$3,実績!$AC$6:$AC$505,"&lt;="&amp;$A88,実績!$AD$6:$AD$505,"&gt;"&amp;$A88,実績!$AE$6:$AE$505,"○")&gt;0,1,0))</f>
        <v/>
      </c>
      <c r="AX88">
        <f>IF(AX$4=0,0,IF(COUNTIFS(実績!$W$6:$W$505,AX$3,実績!$AC$6:$AC$505,"&lt;="&amp;$A88,実績!$AD$6:$AD$505,"&gt;"&amp;$A88,実績!$AE$6:$AE$505,"○")&gt;0,1,0))</f>
        <v/>
      </c>
      <c r="AY88">
        <f>IF(AY$4=0,0,IF(COUNTIFS(実績!$W$6:$W$505,AY$3,実績!$AC$6:$AC$505,"&lt;="&amp;$A88,実績!$AD$6:$AD$505,"&gt;"&amp;$A88,実績!$AE$6:$AE$505,"○")&gt;0,1,0))</f>
        <v/>
      </c>
      <c r="AZ88">
        <f>IF(AZ$4=0,0,IF(COUNTIFS(実績!$W$6:$W$505,AZ$3,実績!$AC$6:$AC$505,"&lt;="&amp;$A88,実績!$AD$6:$AD$505,"&gt;"&amp;$A88,実績!$AE$6:$AE$505,"○")&gt;0,1,0))</f>
        <v/>
      </c>
      <c r="BA88">
        <f>IF(BA$4=0,0,IF(COUNTIFS(実績!$W$6:$W$505,BA$3,実績!$AC$6:$AC$505,"&lt;="&amp;$A88,実績!$AD$6:$AD$505,"&gt;"&amp;$A88,実績!$AE$6:$AE$505,"○")&gt;0,1,0))</f>
        <v/>
      </c>
      <c r="BB88">
        <f>IF(BB$4=0,0,IF(COUNTIFS(実績!$W$6:$W$505,BB$3,実績!$AC$6:$AC$505,"&lt;="&amp;$A88,実績!$AD$6:$AD$505,"&gt;"&amp;$A88,実績!$AE$6:$AE$505,"○")&gt;0,1,0))</f>
        <v/>
      </c>
      <c r="BC88">
        <f>IF(BC$4=0,0,IF(COUNTIFS(実績!$W$6:$W$505,BC$3,実績!$AC$6:$AC$505,"&lt;="&amp;$A88,実績!$AD$6:$AD$505,"&gt;"&amp;$A88,実績!$AE$6:$AE$505,"○")&gt;0,1,0))</f>
        <v/>
      </c>
      <c r="BD88">
        <f>IF(BD$4=0,0,IF(COUNTIFS(実績!$W$6:$W$505,BD$3,実績!$AC$6:$AC$505,"&lt;="&amp;$A88,実績!$AD$6:$AD$505,"&gt;"&amp;$A88,実績!$AE$6:$AE$505,"○")&gt;0,1,0))</f>
        <v/>
      </c>
      <c r="BE88">
        <f>IF(BE$4=0,0,IF(COUNTIFS(実績!$W$6:$W$505,BE$3,実績!$AC$6:$AC$505,"&lt;="&amp;$A88,実績!$AD$6:$AD$505,"&gt;"&amp;$A88,実績!$AE$6:$AE$505,"○")&gt;0,1,0))</f>
        <v/>
      </c>
      <c r="BF88">
        <f>IF(BF$4=0,0,IF(COUNTIFS(実績!$W$6:$W$505,BF$3,実績!$AC$6:$AC$505,"&lt;="&amp;$A88,実績!$AD$6:$AD$505,"&gt;"&amp;$A88,実績!$AE$6:$AE$505,"○")&gt;0,1,0))</f>
        <v/>
      </c>
      <c r="BG88">
        <f>IF(BG$4=0,0,IF(COUNTIFS(実績!$W$6:$W$505,BG$3,実績!$AC$6:$AC$505,"&lt;="&amp;$A88,実績!$AD$6:$AD$505,"&gt;"&amp;$A88,実績!$AE$6:$AE$505,"○")&gt;0,1,0))</f>
        <v/>
      </c>
      <c r="BH88">
        <f>IF(BH$4=0,0,IF(COUNTIFS(実績!$W$6:$W$505,BH$3,実績!$AC$6:$AC$505,"&lt;="&amp;$A88,実績!$AD$6:$AD$505,"&gt;"&amp;$A88,実績!$AE$6:$AE$505,"○")&gt;0,1,0))</f>
        <v/>
      </c>
      <c r="BI88">
        <f>IF(BI$4=0,0,IF(COUNTIFS(実績!$W$6:$W$505,BI$3,実績!$AC$6:$AC$505,"&lt;="&amp;$A88,実績!$AD$6:$AD$505,"&gt;"&amp;$A88,実績!$AE$6:$AE$505,"○")&gt;0,1,0))</f>
        <v/>
      </c>
      <c r="BJ88">
        <f>IF(BJ$4=0,0,IF(COUNTIFS(実績!$W$6:$W$505,BJ$3,実績!$AC$6:$AC$505,"&lt;="&amp;$A88,実績!$AD$6:$AD$505,"&gt;"&amp;$A88,実績!$AE$6:$AE$505,"○")&gt;0,1,0))</f>
        <v/>
      </c>
      <c r="BK88">
        <f>IF(BK$4=0,0,IF(COUNTIFS(実績!$W$6:$W$505,BK$3,実績!$AC$6:$AC$505,"&lt;="&amp;$A88,実績!$AD$6:$AD$505,"&gt;"&amp;$A88,実績!$AE$6:$AE$505,"○")&gt;0,1,0))</f>
        <v/>
      </c>
      <c r="BL88">
        <f>IF(BL$4=0,0,IF(COUNTIFS(実績!$W$6:$W$505,BL$3,実績!$AC$6:$AC$505,"&lt;="&amp;$A88,実績!$AD$6:$AD$505,"&gt;"&amp;$A88,実績!$AE$6:$AE$505,"○")&gt;0,1,0))</f>
        <v/>
      </c>
      <c r="BM88">
        <f>IF(BM$4=0,0,IF(COUNTIFS(実績!$W$6:$W$505,BM$3,実績!$AC$6:$AC$505,"&lt;="&amp;$A88,実績!$AD$6:$AD$505,"&gt;"&amp;$A88,実績!$AE$6:$AE$505,"○")&gt;0,1,0))</f>
        <v/>
      </c>
      <c r="BN88">
        <f>IF(BN$4=0,0,IF(COUNTIFS(実績!$W$6:$W$505,BN$3,実績!$AC$6:$AC$505,"&lt;="&amp;$A88,実績!$AD$6:$AD$505,"&gt;"&amp;$A88,実績!$AE$6:$AE$505,"○")&gt;0,1,0))</f>
        <v/>
      </c>
      <c r="BO88">
        <f>IF(BO$4=0,0,IF(COUNTIFS(実績!$W$6:$W$505,BO$3,実績!$AC$6:$AC$505,"&lt;="&amp;$A88,実績!$AD$6:$AD$505,"&gt;"&amp;$A88,実績!$AE$6:$AE$505,"○")&gt;0,1,0))</f>
        <v/>
      </c>
      <c r="BP88">
        <f>IF(BP$4=0,0,IF(COUNTIFS(実績!$W$6:$W$505,BP$3,実績!$AC$6:$AC$505,"&lt;="&amp;$A88,実績!$AD$6:$AD$505,"&gt;"&amp;$A88,実績!$AE$6:$AE$505,"○")&gt;0,1,0))</f>
        <v/>
      </c>
      <c r="BQ88">
        <f>IF(BQ$4=0,0,IF(COUNTIFS(実績!$W$6:$W$505,BQ$3,実績!$AC$6:$AC$505,"&lt;="&amp;$A88,実績!$AD$6:$AD$505,"&gt;"&amp;$A88,実績!$AE$6:$AE$505,"○")&gt;0,1,0))</f>
        <v/>
      </c>
      <c r="BR88">
        <f>IF(BR$4=0,0,IF(COUNTIFS(実績!$W$6:$W$505,BR$3,実績!$AC$6:$AC$505,"&lt;="&amp;$A88,実績!$AD$6:$AD$505,"&gt;"&amp;$A88,実績!$AE$6:$AE$505,"○")&gt;0,1,0))</f>
        <v/>
      </c>
      <c r="BS88">
        <f>IF(BS$4=0,0,IF(COUNTIFS(実績!$W$6:$W$505,BS$3,実績!$AC$6:$AC$505,"&lt;="&amp;$A88,実績!$AD$6:$AD$505,"&gt;"&amp;$A88,実績!$AE$6:$AE$505,"○")&gt;0,1,0))</f>
        <v/>
      </c>
      <c r="BT88">
        <f>IF(BT$4=0,0,IF(COUNTIFS(実績!$W$6:$W$505,BT$3,実績!$AC$6:$AC$505,"&lt;="&amp;$A88,実績!$AD$6:$AD$505,"&gt;"&amp;$A88,実績!$AE$6:$AE$505,"○")&gt;0,1,0))</f>
        <v/>
      </c>
      <c r="BU88">
        <f>IF(BU$4=0,0,IF(COUNTIFS(実績!$W$6:$W$505,BU$3,実績!$AC$6:$AC$505,"&lt;="&amp;$A88,実績!$AD$6:$AD$505,"&gt;"&amp;$A88,実績!$AE$6:$AE$505,"○")&gt;0,1,0))</f>
        <v/>
      </c>
      <c r="BV88">
        <f>IF(BV$4=0,0,IF(COUNTIFS(実績!$W$6:$W$505,BV$3,実績!$AC$6:$AC$505,"&lt;="&amp;$A88,実績!$AD$6:$AD$505,"&gt;"&amp;$A88,実績!$AE$6:$AE$505,"○")&gt;0,1,0))</f>
        <v/>
      </c>
      <c r="BW88">
        <f>IF(BW$4=0,0,IF(COUNTIFS(実績!$W$6:$W$505,BW$3,実績!$AC$6:$AC$505,"&lt;="&amp;$A88,実績!$AD$6:$AD$505,"&gt;"&amp;$A88,実績!$AE$6:$AE$505,"○")&gt;0,1,0))</f>
        <v/>
      </c>
      <c r="BX88">
        <f>IF(BX$4=0,0,IF(COUNTIFS(実績!$W$6:$W$505,BX$3,実績!$AC$6:$AC$505,"&lt;="&amp;$A88,実績!$AD$6:$AD$505,"&gt;"&amp;$A88,実績!$AE$6:$AE$505,"○")&gt;0,1,0))</f>
        <v/>
      </c>
      <c r="BY88">
        <f>IF(BY$4=0,0,IF(COUNTIFS(実績!$W$6:$W$505,BY$3,実績!$AC$6:$AC$505,"&lt;="&amp;$A88,実績!$AD$6:$AD$505,"&gt;"&amp;$A88,実績!$AE$6:$AE$505,"○")&gt;0,1,0))</f>
        <v/>
      </c>
      <c r="BZ88">
        <f>IF(BZ$4=0,0,IF(COUNTIFS(実績!$W$6:$W$505,BZ$3,実績!$AC$6:$AC$505,"&lt;="&amp;$A88,実績!$AD$6:$AD$505,"&gt;"&amp;$A88,実績!$AE$6:$AE$505,"○")&gt;0,1,0))</f>
        <v/>
      </c>
      <c r="CA88">
        <f>IF(CA$4=0,0,IF(COUNTIFS(実績!$W$6:$W$505,CA$3,実績!$AC$6:$AC$505,"&lt;="&amp;$A88,実績!$AD$6:$AD$505,"&gt;"&amp;$A88,実績!$AE$6:$AE$505,"○")&gt;0,1,0))</f>
        <v/>
      </c>
      <c r="CB88">
        <f>IF(CB$4=0,0,IF(COUNTIFS(実績!$W$6:$W$505,CB$3,実績!$AC$6:$AC$505,"&lt;="&amp;$A88,実績!$AD$6:$AD$505,"&gt;"&amp;$A88,実績!$AE$6:$AE$505,"○")&gt;0,1,0))</f>
        <v/>
      </c>
      <c r="CC88">
        <f>IF(CC$4=0,0,IF(COUNTIFS(実績!$W$6:$W$505,CC$3,実績!$AC$6:$AC$505,"&lt;="&amp;$A88,実績!$AD$6:$AD$505,"&gt;"&amp;$A88,実績!$AE$6:$AE$505,"○")&gt;0,1,0))</f>
        <v/>
      </c>
      <c r="CD88">
        <f>IF(CD$4=0,0,IF(COUNTIFS(実績!$W$6:$W$505,CD$3,実績!$AC$6:$AC$505,"&lt;="&amp;$A88,実績!$AD$6:$AD$505,"&gt;"&amp;$A88,実績!$AE$6:$AE$505,"○")&gt;0,1,0))</f>
        <v/>
      </c>
      <c r="CE88">
        <f>IF(CE$4=0,0,IF(COUNTIFS(実績!$W$6:$W$505,CE$3,実績!$AC$6:$AC$505,"&lt;="&amp;$A88,実績!$AD$6:$AD$505,"&gt;"&amp;$A88,実績!$AE$6:$AE$505,"○")&gt;0,1,0))</f>
        <v/>
      </c>
      <c r="CF88">
        <f>IF(CF$4=0,0,IF(COUNTIFS(実績!$W$6:$W$505,CF$3,実績!$AC$6:$AC$505,"&lt;="&amp;$A88,実績!$AD$6:$AD$505,"&gt;"&amp;$A88,実績!$AE$6:$AE$505,"○")&gt;0,1,0))</f>
        <v/>
      </c>
      <c r="CG88">
        <f>IF(CG$4=0,0,IF(COUNTIFS(実績!$W$6:$W$505,CG$3,実績!$AC$6:$AC$505,"&lt;="&amp;$A88,実績!$AD$6:$AD$505,"&gt;"&amp;$A88,実績!$AE$6:$AE$505,"○")&gt;0,1,0))</f>
        <v/>
      </c>
      <c r="CH88">
        <f>IF(CH$4=0,0,IF(COUNTIFS(実績!$W$6:$W$505,CH$3,実績!$AC$6:$AC$505,"&lt;="&amp;$A88,実績!$AD$6:$AD$505,"&gt;"&amp;$A88,実績!$AE$6:$AE$505,"○")&gt;0,1,0))</f>
        <v/>
      </c>
      <c r="CI88">
        <f>IF(CI$4=0,0,IF(COUNTIFS(実績!$W$6:$W$505,CI$3,実績!$AC$6:$AC$505,"&lt;="&amp;$A88,実績!$AD$6:$AD$505,"&gt;"&amp;$A88,実績!$AE$6:$AE$505,"○")&gt;0,1,0))</f>
        <v/>
      </c>
      <c r="CJ88">
        <f>IF(CJ$4=0,0,IF(COUNTIFS(実績!$W$6:$W$505,CJ$3,実績!$AC$6:$AC$505,"&lt;="&amp;$A88,実績!$AD$6:$AD$505,"&gt;"&amp;$A88,実績!$AE$6:$AE$505,"○")&gt;0,1,0))</f>
        <v/>
      </c>
      <c r="CK88">
        <f>IF(CK$4=0,0,IF(COUNTIFS(実績!$W$6:$W$505,CK$3,実績!$AC$6:$AC$505,"&lt;="&amp;$A88,実績!$AD$6:$AD$505,"&gt;"&amp;$A88,実績!$AE$6:$AE$505,"○")&gt;0,1,0))</f>
        <v/>
      </c>
      <c r="CL88">
        <f>IF(CL$4=0,0,IF(COUNTIFS(実績!$W$6:$W$505,CL$3,実績!$AC$6:$AC$505,"&lt;="&amp;$A88,実績!$AD$6:$AD$505,"&gt;"&amp;$A88,実績!$AE$6:$AE$505,"○")&gt;0,1,0))</f>
        <v/>
      </c>
      <c r="CM88">
        <f>IF(CM$4=0,0,IF(COUNTIFS(実績!$W$6:$W$505,CM$3,実績!$AC$6:$AC$505,"&lt;="&amp;$A88,実績!$AD$6:$AD$505,"&gt;"&amp;$A88,実績!$AE$6:$AE$505,"○")&gt;0,1,0))</f>
        <v/>
      </c>
      <c r="CN88">
        <f>IF(CN$4=0,0,IF(COUNTIFS(実績!$W$6:$W$505,CN$3,実績!$AC$6:$AC$505,"&lt;="&amp;$A88,実績!$AD$6:$AD$505,"&gt;"&amp;$A88,実績!$AE$6:$AE$505,"○")&gt;0,1,0))</f>
        <v/>
      </c>
      <c r="CO88">
        <f>IF(CO$4=0,0,IF(COUNTIFS(実績!$W$6:$W$505,CO$3,実績!$AC$6:$AC$505,"&lt;="&amp;$A88,実績!$AD$6:$AD$505,"&gt;"&amp;$A88,実績!$AE$6:$AE$505,"○")&gt;0,1,0))</f>
        <v/>
      </c>
      <c r="CP88">
        <f>IF(CP$4=0,0,IF(COUNTIFS(実績!$W$6:$W$505,CP$3,実績!$AC$6:$AC$505,"&lt;="&amp;$A88,実績!$AD$6:$AD$505,"&gt;"&amp;$A88,実績!$AE$6:$AE$505,"○")&gt;0,1,0))</f>
        <v/>
      </c>
      <c r="CQ88">
        <f>IF(CQ$4=0,0,IF(COUNTIFS(実績!$W$6:$W$505,CQ$3,実績!$AC$6:$AC$505,"&lt;="&amp;$A88,実績!$AD$6:$AD$505,"&gt;"&amp;$A88,実績!$AE$6:$AE$505,"○")&gt;0,1,0))</f>
        <v/>
      </c>
      <c r="CR88">
        <f>IF(CR$4=0,0,IF(COUNTIFS(実績!$W$6:$W$505,CR$3,実績!$AC$6:$AC$505,"&lt;="&amp;$A88,実績!$AD$6:$AD$505,"&gt;"&amp;$A88,実績!$AE$6:$AE$505,"○")&gt;0,1,0))</f>
        <v/>
      </c>
      <c r="CS88">
        <f>IF(CS$4=0,0,IF(COUNTIFS(実績!$W$6:$W$505,CS$3,実績!$AC$6:$AC$505,"&lt;="&amp;$A88,実績!$AD$6:$AD$505,"&gt;"&amp;$A88,実績!$AE$6:$AE$505,"○")&gt;0,1,0))</f>
        <v/>
      </c>
      <c r="CT88">
        <f>IF(CT$4=0,0,IF(COUNTIFS(実績!$W$6:$W$505,CT$3,実績!$AC$6:$AC$505,"&lt;="&amp;$A88,実績!$AD$6:$AD$505,"&gt;"&amp;$A88,実績!$AE$6:$AE$505,"○")&gt;0,1,0))</f>
        <v/>
      </c>
      <c r="CU88">
        <f>IF(CU$4=0,0,IF(COUNTIFS(実績!$W$6:$W$505,CU$3,実績!$AC$6:$AC$505,"&lt;="&amp;$A88,実績!$AD$6:$AD$505,"&gt;"&amp;$A88,実績!$AE$6:$AE$505,"○")&gt;0,1,0))</f>
        <v/>
      </c>
      <c r="CV88">
        <f>IF(CV$4=0,0,IF(COUNTIFS(実績!$W$6:$W$505,CV$3,実績!$AC$6:$AC$505,"&lt;="&amp;$A88,実績!$AD$6:$AD$505,"&gt;"&amp;$A88,実績!$AE$6:$AE$505,"○")&gt;0,1,0))</f>
        <v/>
      </c>
      <c r="CW88">
        <f>IF(CW$4=0,0,IF(COUNTIFS(実績!$W$6:$W$505,CW$3,実績!$AC$6:$AC$505,"&lt;="&amp;$A88,実績!$AD$6:$AD$505,"&gt;"&amp;$A88,実績!$AE$6:$AE$505,"○")&gt;0,1,0))</f>
        <v/>
      </c>
      <c r="CX88">
        <f>IF(CX$4=0,0,IF(COUNTIFS(実績!$W$6:$W$505,CX$3,実績!$AC$6:$AC$505,"&lt;="&amp;$A88,実績!$AD$6:$AD$505,"&gt;"&amp;$A88,実績!$AE$6:$AE$505,"○")&gt;0,1,0))</f>
        <v/>
      </c>
      <c r="CY88">
        <f>IF(CY$4=0,0,IF(COUNTIFS(実績!$W$6:$W$505,CY$3,実績!$AC$6:$AC$505,"&lt;="&amp;$A88,実績!$AD$6:$AD$505,"&gt;"&amp;$A88,実績!$AE$6:$AE$505,"○")&gt;0,1,0))</f>
        <v/>
      </c>
      <c r="CZ88">
        <f>IF(CZ$4=0,0,IF(COUNTIFS(実績!$W$6:$W$505,CZ$3,実績!$AC$6:$AC$505,"&lt;="&amp;$A88,実績!$AD$6:$AD$505,"&gt;"&amp;$A88,実績!$AE$6:$AE$505,"○")&gt;0,1,0))</f>
        <v/>
      </c>
      <c r="DA88">
        <f>IF(DA$4=0,0,IF(COUNTIFS(実績!$W$6:$W$505,DA$3,実績!$AC$6:$AC$505,"&lt;="&amp;$A88,実績!$AD$6:$AD$505,"&gt;"&amp;$A88,実績!$AE$6:$AE$505,"○")&gt;0,1,0))</f>
        <v/>
      </c>
      <c r="DB88">
        <f>IF(DB$4=0,0,IF(COUNTIFS(実績!$W$6:$W$505,DB$3,実績!$AC$6:$AC$505,"&lt;="&amp;$A88,実績!$AD$6:$AD$505,"&gt;"&amp;$A88,実績!$AE$6:$AE$505,"○")&gt;0,1,0))</f>
        <v/>
      </c>
      <c r="DC88">
        <f>IF(DC$4=0,0,IF(COUNTIFS(実績!$W$6:$W$505,DC$3,実績!$AC$6:$AC$505,"&lt;="&amp;$A88,実績!$AD$6:$AD$505,"&gt;"&amp;$A88,実績!$AE$6:$AE$505,"○")&gt;0,1,0))</f>
        <v/>
      </c>
      <c r="DD88">
        <f>IF(DD$4=0,0,IF(COUNTIFS(実績!$W$6:$W$505,DD$3,実績!$AC$6:$AC$505,"&lt;="&amp;$A88,実績!$AD$6:$AD$505,"&gt;"&amp;$A88,実績!$AE$6:$AE$505,"○")&gt;0,1,0))</f>
        <v/>
      </c>
      <c r="DE88">
        <f>IF(DE$4=0,0,IF(COUNTIFS(実績!$W$6:$W$505,DE$3,実績!$AC$6:$AC$505,"&lt;="&amp;$A88,実績!$AD$6:$AD$505,"&gt;"&amp;$A88,実績!$AE$6:$AE$505,"○")&gt;0,1,0))</f>
        <v/>
      </c>
      <c r="DF88">
        <f>IF(DF$4=0,0,IF(COUNTIFS(実績!$W$6:$W$505,DF$3,実績!$AC$6:$AC$505,"&lt;="&amp;$A88,実績!$AD$6:$AD$505,"&gt;"&amp;$A88,実績!$AE$6:$AE$505,"○")&gt;0,1,0))</f>
        <v/>
      </c>
      <c r="DG88">
        <f>IF(DG$4=0,0,IF(COUNTIFS(実績!$W$6:$W$505,DG$3,実績!$AC$6:$AC$505,"&lt;="&amp;$A88,実績!$AD$6:$AD$505,"&gt;"&amp;$A88,実績!$AE$6:$AE$505,"○")&gt;0,1,0))</f>
        <v/>
      </c>
      <c r="DH88">
        <f>IF(DH$4=0,0,IF(COUNTIFS(実績!$W$6:$W$505,DH$3,実績!$AC$6:$AC$505,"&lt;="&amp;$A88,実績!$AD$6:$AD$505,"&gt;"&amp;$A88,実績!$AE$6:$AE$505,"○")&gt;0,1,0))</f>
        <v/>
      </c>
      <c r="DI88">
        <f>IF(DI$4=0,0,IF(COUNTIFS(実績!$W$6:$W$505,DI$3,実績!$AC$6:$AC$505,"&lt;="&amp;$A88,実績!$AD$6:$AD$505,"&gt;"&amp;$A88,実績!$AE$6:$AE$505,"○")&gt;0,1,0))</f>
        <v/>
      </c>
      <c r="DJ88">
        <f>IF(DJ$4=0,0,IF(COUNTIFS(実績!$W$6:$W$505,DJ$3,実績!$AC$6:$AC$505,"&lt;="&amp;$A88,実績!$AD$6:$AD$505,"&gt;"&amp;$A88,実績!$AE$6:$AE$505,"○")&gt;0,1,0))</f>
        <v/>
      </c>
      <c r="DK88">
        <f>IF(DK$4=0,0,IF(COUNTIFS(実績!$W$6:$W$505,DK$3,実績!$AC$6:$AC$505,"&lt;="&amp;$A88,実績!$AD$6:$AD$505,"&gt;"&amp;$A88,実績!$AE$6:$AE$505,"○")&gt;0,1,0))</f>
        <v/>
      </c>
      <c r="DL88">
        <f>IF(DL$4=0,0,IF(COUNTIFS(実績!$W$6:$W$505,DL$3,実績!$AC$6:$AC$505,"&lt;="&amp;$A88,実績!$AD$6:$AD$505,"&gt;"&amp;$A88,実績!$AE$6:$AE$505,"○")&gt;0,1,0))</f>
        <v/>
      </c>
      <c r="DM88">
        <f>IF(DM$4=0,0,IF(COUNTIFS(実績!$W$6:$W$505,DM$3,実績!$AC$6:$AC$505,"&lt;="&amp;$A88,実績!$AD$6:$AD$505,"&gt;"&amp;$A88,実績!$AE$6:$AE$505,"○")&gt;0,1,0))</f>
        <v/>
      </c>
      <c r="DN88">
        <f>IF(DN$4=0,0,IF(COUNTIFS(実績!$W$6:$W$505,DN$3,実績!$AC$6:$AC$505,"&lt;="&amp;$A88,実績!$AD$6:$AD$505,"&gt;"&amp;$A88,実績!$AE$6:$AE$505,"○")&gt;0,1,0))</f>
        <v/>
      </c>
      <c r="DO88">
        <f>IF(DO$4=0,0,IF(COUNTIFS(実績!$W$6:$W$505,DO$3,実績!$AC$6:$AC$505,"&lt;="&amp;$A88,実績!$AD$6:$AD$505,"&gt;"&amp;$A88,実績!$AE$6:$AE$505,"○")&gt;0,1,0))</f>
        <v/>
      </c>
      <c r="DP88">
        <f>IF(DP$4=0,0,IF(COUNTIFS(実績!$W$6:$W$505,DP$3,実績!$AC$6:$AC$505,"&lt;="&amp;$A88,実績!$AD$6:$AD$505,"&gt;"&amp;$A88,実績!$AE$6:$AE$505,"○")&gt;0,1,0))</f>
        <v/>
      </c>
      <c r="DQ88">
        <f>IF(DQ$4=0,0,IF(COUNTIFS(実績!$W$6:$W$505,DQ$3,実績!$AC$6:$AC$505,"&lt;="&amp;$A88,実績!$AD$6:$AD$505,"&gt;"&amp;$A88,実績!$AE$6:$AE$505,"○")&gt;0,1,0))</f>
        <v/>
      </c>
      <c r="DR88">
        <f>IF(DR$4=0,0,IF(COUNTIFS(実績!$W$6:$W$505,DR$3,実績!$AC$6:$AC$505,"&lt;="&amp;$A88,実績!$AD$6:$AD$505,"&gt;"&amp;$A88,実績!$AE$6:$AE$505,"○")&gt;0,1,0))</f>
        <v/>
      </c>
      <c r="DS88">
        <f>SUM(C88:DR88)</f>
        <v/>
      </c>
      <c r="DT88">
        <f>SUMPRODUCT((実績!$C$6:$C$505="○")*ISNUMBER(実績!$AF$6:$AF$505)*(実績!$AF$6:$AF$505&lt;=$A88)*(実績!$AG$6:$AG$505&gt;$A88))</f>
        <v/>
      </c>
      <c r="DU88">
        <f>SUMIF($C$2:$DR$2,"製鉄曳船",C88:DR88)</f>
        <v/>
      </c>
      <c r="DV88">
        <f>SUMIF($C$2:$DR$2,"西日本海運",C88:DR88)</f>
        <v/>
      </c>
    </row>
    <row r="89">
      <c r="A89" t="n">
        <v>415</v>
      </c>
      <c r="B89" s="29">
        <f>A89/1440</f>
        <v/>
      </c>
      <c r="C89">
        <f>IF(C$4=0,0,IF(COUNTIFS(実績!$W$6:$W$505,C$3,実績!$AC$6:$AC$505,"&lt;="&amp;$A89,実績!$AD$6:$AD$505,"&gt;"&amp;$A89,実績!$AE$6:$AE$505,"○")&gt;0,1,0))</f>
        <v/>
      </c>
      <c r="D89">
        <f>IF(D$4=0,0,IF(COUNTIFS(実績!$W$6:$W$505,D$3,実績!$AC$6:$AC$505,"&lt;="&amp;$A89,実績!$AD$6:$AD$505,"&gt;"&amp;$A89,実績!$AE$6:$AE$505,"○")&gt;0,1,0))</f>
        <v/>
      </c>
      <c r="E89">
        <f>IF(E$4=0,0,IF(COUNTIFS(実績!$W$6:$W$505,E$3,実績!$AC$6:$AC$505,"&lt;="&amp;$A89,実績!$AD$6:$AD$505,"&gt;"&amp;$A89,実績!$AE$6:$AE$505,"○")&gt;0,1,0))</f>
        <v/>
      </c>
      <c r="F89">
        <f>IF(F$4=0,0,IF(COUNTIFS(実績!$W$6:$W$505,F$3,実績!$AC$6:$AC$505,"&lt;="&amp;$A89,実績!$AD$6:$AD$505,"&gt;"&amp;$A89,実績!$AE$6:$AE$505,"○")&gt;0,1,0))</f>
        <v/>
      </c>
      <c r="G89">
        <f>IF(G$4=0,0,IF(COUNTIFS(実績!$W$6:$W$505,G$3,実績!$AC$6:$AC$505,"&lt;="&amp;$A89,実績!$AD$6:$AD$505,"&gt;"&amp;$A89,実績!$AE$6:$AE$505,"○")&gt;0,1,0))</f>
        <v/>
      </c>
      <c r="H89">
        <f>IF(H$4=0,0,IF(COUNTIFS(実績!$W$6:$W$505,H$3,実績!$AC$6:$AC$505,"&lt;="&amp;$A89,実績!$AD$6:$AD$505,"&gt;"&amp;$A89,実績!$AE$6:$AE$505,"○")&gt;0,1,0))</f>
        <v/>
      </c>
      <c r="I89">
        <f>IF(I$4=0,0,IF(COUNTIFS(実績!$W$6:$W$505,I$3,実績!$AC$6:$AC$505,"&lt;="&amp;$A89,実績!$AD$6:$AD$505,"&gt;"&amp;$A89,実績!$AE$6:$AE$505,"○")&gt;0,1,0))</f>
        <v/>
      </c>
      <c r="J89">
        <f>IF(J$4=0,0,IF(COUNTIFS(実績!$W$6:$W$505,J$3,実績!$AC$6:$AC$505,"&lt;="&amp;$A89,実績!$AD$6:$AD$505,"&gt;"&amp;$A89,実績!$AE$6:$AE$505,"○")&gt;0,1,0))</f>
        <v/>
      </c>
      <c r="K89">
        <f>IF(K$4=0,0,IF(COUNTIFS(実績!$W$6:$W$505,K$3,実績!$AC$6:$AC$505,"&lt;="&amp;$A89,実績!$AD$6:$AD$505,"&gt;"&amp;$A89,実績!$AE$6:$AE$505,"○")&gt;0,1,0))</f>
        <v/>
      </c>
      <c r="L89">
        <f>IF(L$4=0,0,IF(COUNTIFS(実績!$W$6:$W$505,L$3,実績!$AC$6:$AC$505,"&lt;="&amp;$A89,実績!$AD$6:$AD$505,"&gt;"&amp;$A89,実績!$AE$6:$AE$505,"○")&gt;0,1,0))</f>
        <v/>
      </c>
      <c r="M89">
        <f>IF(M$4=0,0,IF(COUNTIFS(実績!$W$6:$W$505,M$3,実績!$AC$6:$AC$505,"&lt;="&amp;$A89,実績!$AD$6:$AD$505,"&gt;"&amp;$A89,実績!$AE$6:$AE$505,"○")&gt;0,1,0))</f>
        <v/>
      </c>
      <c r="N89">
        <f>IF(N$4=0,0,IF(COUNTIFS(実績!$W$6:$W$505,N$3,実績!$AC$6:$AC$505,"&lt;="&amp;$A89,実績!$AD$6:$AD$505,"&gt;"&amp;$A89,実績!$AE$6:$AE$505,"○")&gt;0,1,0))</f>
        <v/>
      </c>
      <c r="O89">
        <f>IF(O$4=0,0,IF(COUNTIFS(実績!$W$6:$W$505,O$3,実績!$AC$6:$AC$505,"&lt;="&amp;$A89,実績!$AD$6:$AD$505,"&gt;"&amp;$A89,実績!$AE$6:$AE$505,"○")&gt;0,1,0))</f>
        <v/>
      </c>
      <c r="P89">
        <f>IF(P$4=0,0,IF(COUNTIFS(実績!$W$6:$W$505,P$3,実績!$AC$6:$AC$505,"&lt;="&amp;$A89,実績!$AD$6:$AD$505,"&gt;"&amp;$A89,実績!$AE$6:$AE$505,"○")&gt;0,1,0))</f>
        <v/>
      </c>
      <c r="Q89">
        <f>IF(Q$4=0,0,IF(COUNTIFS(実績!$W$6:$W$505,Q$3,実績!$AC$6:$AC$505,"&lt;="&amp;$A89,実績!$AD$6:$AD$505,"&gt;"&amp;$A89,実績!$AE$6:$AE$505,"○")&gt;0,1,0))</f>
        <v/>
      </c>
      <c r="R89">
        <f>IF(R$4=0,0,IF(COUNTIFS(実績!$W$6:$W$505,R$3,実績!$AC$6:$AC$505,"&lt;="&amp;$A89,実績!$AD$6:$AD$505,"&gt;"&amp;$A89,実績!$AE$6:$AE$505,"○")&gt;0,1,0))</f>
        <v/>
      </c>
      <c r="S89">
        <f>IF(S$4=0,0,IF(COUNTIFS(実績!$W$6:$W$505,S$3,実績!$AC$6:$AC$505,"&lt;="&amp;$A89,実績!$AD$6:$AD$505,"&gt;"&amp;$A89,実績!$AE$6:$AE$505,"○")&gt;0,1,0))</f>
        <v/>
      </c>
      <c r="T89">
        <f>IF(T$4=0,0,IF(COUNTIFS(実績!$W$6:$W$505,T$3,実績!$AC$6:$AC$505,"&lt;="&amp;$A89,実績!$AD$6:$AD$505,"&gt;"&amp;$A89,実績!$AE$6:$AE$505,"○")&gt;0,1,0))</f>
        <v/>
      </c>
      <c r="U89">
        <f>IF(U$4=0,0,IF(COUNTIFS(実績!$W$6:$W$505,U$3,実績!$AC$6:$AC$505,"&lt;="&amp;$A89,実績!$AD$6:$AD$505,"&gt;"&amp;$A89,実績!$AE$6:$AE$505,"○")&gt;0,1,0))</f>
        <v/>
      </c>
      <c r="V89">
        <f>IF(V$4=0,0,IF(COUNTIFS(実績!$W$6:$W$505,V$3,実績!$AC$6:$AC$505,"&lt;="&amp;$A89,実績!$AD$6:$AD$505,"&gt;"&amp;$A89,実績!$AE$6:$AE$505,"○")&gt;0,1,0))</f>
        <v/>
      </c>
      <c r="W89">
        <f>IF(W$4=0,0,IF(COUNTIFS(実績!$W$6:$W$505,W$3,実績!$AC$6:$AC$505,"&lt;="&amp;$A89,実績!$AD$6:$AD$505,"&gt;"&amp;$A89,実績!$AE$6:$AE$505,"○")&gt;0,1,0))</f>
        <v/>
      </c>
      <c r="X89">
        <f>IF(X$4=0,0,IF(COUNTIFS(実績!$W$6:$W$505,X$3,実績!$AC$6:$AC$505,"&lt;="&amp;$A89,実績!$AD$6:$AD$505,"&gt;"&amp;$A89,実績!$AE$6:$AE$505,"○")&gt;0,1,0))</f>
        <v/>
      </c>
      <c r="Y89">
        <f>IF(Y$4=0,0,IF(COUNTIFS(実績!$W$6:$W$505,Y$3,実績!$AC$6:$AC$505,"&lt;="&amp;$A89,実績!$AD$6:$AD$505,"&gt;"&amp;$A89,実績!$AE$6:$AE$505,"○")&gt;0,1,0))</f>
        <v/>
      </c>
      <c r="Z89">
        <f>IF(Z$4=0,0,IF(COUNTIFS(実績!$W$6:$W$505,Z$3,実績!$AC$6:$AC$505,"&lt;="&amp;$A89,実績!$AD$6:$AD$505,"&gt;"&amp;$A89,実績!$AE$6:$AE$505,"○")&gt;0,1,0))</f>
        <v/>
      </c>
      <c r="AA89">
        <f>IF(AA$4=0,0,IF(COUNTIFS(実績!$W$6:$W$505,AA$3,実績!$AC$6:$AC$505,"&lt;="&amp;$A89,実績!$AD$6:$AD$505,"&gt;"&amp;$A89,実績!$AE$6:$AE$505,"○")&gt;0,1,0))</f>
        <v/>
      </c>
      <c r="AB89">
        <f>IF(AB$4=0,0,IF(COUNTIFS(実績!$W$6:$W$505,AB$3,実績!$AC$6:$AC$505,"&lt;="&amp;$A89,実績!$AD$6:$AD$505,"&gt;"&amp;$A89,実績!$AE$6:$AE$505,"○")&gt;0,1,0))</f>
        <v/>
      </c>
      <c r="AC89">
        <f>IF(AC$4=0,0,IF(COUNTIFS(実績!$W$6:$W$505,AC$3,実績!$AC$6:$AC$505,"&lt;="&amp;$A89,実績!$AD$6:$AD$505,"&gt;"&amp;$A89,実績!$AE$6:$AE$505,"○")&gt;0,1,0))</f>
        <v/>
      </c>
      <c r="AD89">
        <f>IF(AD$4=0,0,IF(COUNTIFS(実績!$W$6:$W$505,AD$3,実績!$AC$6:$AC$505,"&lt;="&amp;$A89,実績!$AD$6:$AD$505,"&gt;"&amp;$A89,実績!$AE$6:$AE$505,"○")&gt;0,1,0))</f>
        <v/>
      </c>
      <c r="AE89">
        <f>IF(AE$4=0,0,IF(COUNTIFS(実績!$W$6:$W$505,AE$3,実績!$AC$6:$AC$505,"&lt;="&amp;$A89,実績!$AD$6:$AD$505,"&gt;"&amp;$A89,実績!$AE$6:$AE$505,"○")&gt;0,1,0))</f>
        <v/>
      </c>
      <c r="AF89">
        <f>IF(AF$4=0,0,IF(COUNTIFS(実績!$W$6:$W$505,AF$3,実績!$AC$6:$AC$505,"&lt;="&amp;$A89,実績!$AD$6:$AD$505,"&gt;"&amp;$A89,実績!$AE$6:$AE$505,"○")&gt;0,1,0))</f>
        <v/>
      </c>
      <c r="AG89">
        <f>IF(AG$4=0,0,IF(COUNTIFS(実績!$W$6:$W$505,AG$3,実績!$AC$6:$AC$505,"&lt;="&amp;$A89,実績!$AD$6:$AD$505,"&gt;"&amp;$A89,実績!$AE$6:$AE$505,"○")&gt;0,1,0))</f>
        <v/>
      </c>
      <c r="AH89">
        <f>IF(AH$4=0,0,IF(COUNTIFS(実績!$W$6:$W$505,AH$3,実績!$AC$6:$AC$505,"&lt;="&amp;$A89,実績!$AD$6:$AD$505,"&gt;"&amp;$A89,実績!$AE$6:$AE$505,"○")&gt;0,1,0))</f>
        <v/>
      </c>
      <c r="AI89">
        <f>IF(AI$4=0,0,IF(COUNTIFS(実績!$W$6:$W$505,AI$3,実績!$AC$6:$AC$505,"&lt;="&amp;$A89,実績!$AD$6:$AD$505,"&gt;"&amp;$A89,実績!$AE$6:$AE$505,"○")&gt;0,1,0))</f>
        <v/>
      </c>
      <c r="AJ89">
        <f>IF(AJ$4=0,0,IF(COUNTIFS(実績!$W$6:$W$505,AJ$3,実績!$AC$6:$AC$505,"&lt;="&amp;$A89,実績!$AD$6:$AD$505,"&gt;"&amp;$A89,実績!$AE$6:$AE$505,"○")&gt;0,1,0))</f>
        <v/>
      </c>
      <c r="AK89">
        <f>IF(AK$4=0,0,IF(COUNTIFS(実績!$W$6:$W$505,AK$3,実績!$AC$6:$AC$505,"&lt;="&amp;$A89,実績!$AD$6:$AD$505,"&gt;"&amp;$A89,実績!$AE$6:$AE$505,"○")&gt;0,1,0))</f>
        <v/>
      </c>
      <c r="AL89">
        <f>IF(AL$4=0,0,IF(COUNTIFS(実績!$W$6:$W$505,AL$3,実績!$AC$6:$AC$505,"&lt;="&amp;$A89,実績!$AD$6:$AD$505,"&gt;"&amp;$A89,実績!$AE$6:$AE$505,"○")&gt;0,1,0))</f>
        <v/>
      </c>
      <c r="AM89">
        <f>IF(AM$4=0,0,IF(COUNTIFS(実績!$W$6:$W$505,AM$3,実績!$AC$6:$AC$505,"&lt;="&amp;$A89,実績!$AD$6:$AD$505,"&gt;"&amp;$A89,実績!$AE$6:$AE$505,"○")&gt;0,1,0))</f>
        <v/>
      </c>
      <c r="AN89">
        <f>IF(AN$4=0,0,IF(COUNTIFS(実績!$W$6:$W$505,AN$3,実績!$AC$6:$AC$505,"&lt;="&amp;$A89,実績!$AD$6:$AD$505,"&gt;"&amp;$A89,実績!$AE$6:$AE$505,"○")&gt;0,1,0))</f>
        <v/>
      </c>
      <c r="AO89">
        <f>IF(AO$4=0,0,IF(COUNTIFS(実績!$W$6:$W$505,AO$3,実績!$AC$6:$AC$505,"&lt;="&amp;$A89,実績!$AD$6:$AD$505,"&gt;"&amp;$A89,実績!$AE$6:$AE$505,"○")&gt;0,1,0))</f>
        <v/>
      </c>
      <c r="AP89">
        <f>IF(AP$4=0,0,IF(COUNTIFS(実績!$W$6:$W$505,AP$3,実績!$AC$6:$AC$505,"&lt;="&amp;$A89,実績!$AD$6:$AD$505,"&gt;"&amp;$A89,実績!$AE$6:$AE$505,"○")&gt;0,1,0))</f>
        <v/>
      </c>
      <c r="AQ89">
        <f>IF(AQ$4=0,0,IF(COUNTIFS(実績!$W$6:$W$505,AQ$3,実績!$AC$6:$AC$505,"&lt;="&amp;$A89,実績!$AD$6:$AD$505,"&gt;"&amp;$A89,実績!$AE$6:$AE$505,"○")&gt;0,1,0))</f>
        <v/>
      </c>
      <c r="AR89">
        <f>IF(AR$4=0,0,IF(COUNTIFS(実績!$W$6:$W$505,AR$3,実績!$AC$6:$AC$505,"&lt;="&amp;$A89,実績!$AD$6:$AD$505,"&gt;"&amp;$A89,実績!$AE$6:$AE$505,"○")&gt;0,1,0))</f>
        <v/>
      </c>
      <c r="AS89">
        <f>IF(AS$4=0,0,IF(COUNTIFS(実績!$W$6:$W$505,AS$3,実績!$AC$6:$AC$505,"&lt;="&amp;$A89,実績!$AD$6:$AD$505,"&gt;"&amp;$A89,実績!$AE$6:$AE$505,"○")&gt;0,1,0))</f>
        <v/>
      </c>
      <c r="AT89">
        <f>IF(AT$4=0,0,IF(COUNTIFS(実績!$W$6:$W$505,AT$3,実績!$AC$6:$AC$505,"&lt;="&amp;$A89,実績!$AD$6:$AD$505,"&gt;"&amp;$A89,実績!$AE$6:$AE$505,"○")&gt;0,1,0))</f>
        <v/>
      </c>
      <c r="AU89">
        <f>IF(AU$4=0,0,IF(COUNTIFS(実績!$W$6:$W$505,AU$3,実績!$AC$6:$AC$505,"&lt;="&amp;$A89,実績!$AD$6:$AD$505,"&gt;"&amp;$A89,実績!$AE$6:$AE$505,"○")&gt;0,1,0))</f>
        <v/>
      </c>
      <c r="AV89">
        <f>IF(AV$4=0,0,IF(COUNTIFS(実績!$W$6:$W$505,AV$3,実績!$AC$6:$AC$505,"&lt;="&amp;$A89,実績!$AD$6:$AD$505,"&gt;"&amp;$A89,実績!$AE$6:$AE$505,"○")&gt;0,1,0))</f>
        <v/>
      </c>
      <c r="AW89">
        <f>IF(AW$4=0,0,IF(COUNTIFS(実績!$W$6:$W$505,AW$3,実績!$AC$6:$AC$505,"&lt;="&amp;$A89,実績!$AD$6:$AD$505,"&gt;"&amp;$A89,実績!$AE$6:$AE$505,"○")&gt;0,1,0))</f>
        <v/>
      </c>
      <c r="AX89">
        <f>IF(AX$4=0,0,IF(COUNTIFS(実績!$W$6:$W$505,AX$3,実績!$AC$6:$AC$505,"&lt;="&amp;$A89,実績!$AD$6:$AD$505,"&gt;"&amp;$A89,実績!$AE$6:$AE$505,"○")&gt;0,1,0))</f>
        <v/>
      </c>
      <c r="AY89">
        <f>IF(AY$4=0,0,IF(COUNTIFS(実績!$W$6:$W$505,AY$3,実績!$AC$6:$AC$505,"&lt;="&amp;$A89,実績!$AD$6:$AD$505,"&gt;"&amp;$A89,実績!$AE$6:$AE$505,"○")&gt;0,1,0))</f>
        <v/>
      </c>
      <c r="AZ89">
        <f>IF(AZ$4=0,0,IF(COUNTIFS(実績!$W$6:$W$505,AZ$3,実績!$AC$6:$AC$505,"&lt;="&amp;$A89,実績!$AD$6:$AD$505,"&gt;"&amp;$A89,実績!$AE$6:$AE$505,"○")&gt;0,1,0))</f>
        <v/>
      </c>
      <c r="BA89">
        <f>IF(BA$4=0,0,IF(COUNTIFS(実績!$W$6:$W$505,BA$3,実績!$AC$6:$AC$505,"&lt;="&amp;$A89,実績!$AD$6:$AD$505,"&gt;"&amp;$A89,実績!$AE$6:$AE$505,"○")&gt;0,1,0))</f>
        <v/>
      </c>
      <c r="BB89">
        <f>IF(BB$4=0,0,IF(COUNTIFS(実績!$W$6:$W$505,BB$3,実績!$AC$6:$AC$505,"&lt;="&amp;$A89,実績!$AD$6:$AD$505,"&gt;"&amp;$A89,実績!$AE$6:$AE$505,"○")&gt;0,1,0))</f>
        <v/>
      </c>
      <c r="BC89">
        <f>IF(BC$4=0,0,IF(COUNTIFS(実績!$W$6:$W$505,BC$3,実績!$AC$6:$AC$505,"&lt;="&amp;$A89,実績!$AD$6:$AD$505,"&gt;"&amp;$A89,実績!$AE$6:$AE$505,"○")&gt;0,1,0))</f>
        <v/>
      </c>
      <c r="BD89">
        <f>IF(BD$4=0,0,IF(COUNTIFS(実績!$W$6:$W$505,BD$3,実績!$AC$6:$AC$505,"&lt;="&amp;$A89,実績!$AD$6:$AD$505,"&gt;"&amp;$A89,実績!$AE$6:$AE$505,"○")&gt;0,1,0))</f>
        <v/>
      </c>
      <c r="BE89">
        <f>IF(BE$4=0,0,IF(COUNTIFS(実績!$W$6:$W$505,BE$3,実績!$AC$6:$AC$505,"&lt;="&amp;$A89,実績!$AD$6:$AD$505,"&gt;"&amp;$A89,実績!$AE$6:$AE$505,"○")&gt;0,1,0))</f>
        <v/>
      </c>
      <c r="BF89">
        <f>IF(BF$4=0,0,IF(COUNTIFS(実績!$W$6:$W$505,BF$3,実績!$AC$6:$AC$505,"&lt;="&amp;$A89,実績!$AD$6:$AD$505,"&gt;"&amp;$A89,実績!$AE$6:$AE$505,"○")&gt;0,1,0))</f>
        <v/>
      </c>
      <c r="BG89">
        <f>IF(BG$4=0,0,IF(COUNTIFS(実績!$W$6:$W$505,BG$3,実績!$AC$6:$AC$505,"&lt;="&amp;$A89,実績!$AD$6:$AD$505,"&gt;"&amp;$A89,実績!$AE$6:$AE$505,"○")&gt;0,1,0))</f>
        <v/>
      </c>
      <c r="BH89">
        <f>IF(BH$4=0,0,IF(COUNTIFS(実績!$W$6:$W$505,BH$3,実績!$AC$6:$AC$505,"&lt;="&amp;$A89,実績!$AD$6:$AD$505,"&gt;"&amp;$A89,実績!$AE$6:$AE$505,"○")&gt;0,1,0))</f>
        <v/>
      </c>
      <c r="BI89">
        <f>IF(BI$4=0,0,IF(COUNTIFS(実績!$W$6:$W$505,BI$3,実績!$AC$6:$AC$505,"&lt;="&amp;$A89,実績!$AD$6:$AD$505,"&gt;"&amp;$A89,実績!$AE$6:$AE$505,"○")&gt;0,1,0))</f>
        <v/>
      </c>
      <c r="BJ89">
        <f>IF(BJ$4=0,0,IF(COUNTIFS(実績!$W$6:$W$505,BJ$3,実績!$AC$6:$AC$505,"&lt;="&amp;$A89,実績!$AD$6:$AD$505,"&gt;"&amp;$A89,実績!$AE$6:$AE$505,"○")&gt;0,1,0))</f>
        <v/>
      </c>
      <c r="BK89">
        <f>IF(BK$4=0,0,IF(COUNTIFS(実績!$W$6:$W$505,BK$3,実績!$AC$6:$AC$505,"&lt;="&amp;$A89,実績!$AD$6:$AD$505,"&gt;"&amp;$A89,実績!$AE$6:$AE$505,"○")&gt;0,1,0))</f>
        <v/>
      </c>
      <c r="BL89">
        <f>IF(BL$4=0,0,IF(COUNTIFS(実績!$W$6:$W$505,BL$3,実績!$AC$6:$AC$505,"&lt;="&amp;$A89,実績!$AD$6:$AD$505,"&gt;"&amp;$A89,実績!$AE$6:$AE$505,"○")&gt;0,1,0))</f>
        <v/>
      </c>
      <c r="BM89">
        <f>IF(BM$4=0,0,IF(COUNTIFS(実績!$W$6:$W$505,BM$3,実績!$AC$6:$AC$505,"&lt;="&amp;$A89,実績!$AD$6:$AD$505,"&gt;"&amp;$A89,実績!$AE$6:$AE$505,"○")&gt;0,1,0))</f>
        <v/>
      </c>
      <c r="BN89">
        <f>IF(BN$4=0,0,IF(COUNTIFS(実績!$W$6:$W$505,BN$3,実績!$AC$6:$AC$505,"&lt;="&amp;$A89,実績!$AD$6:$AD$505,"&gt;"&amp;$A89,実績!$AE$6:$AE$505,"○")&gt;0,1,0))</f>
        <v/>
      </c>
      <c r="BO89">
        <f>IF(BO$4=0,0,IF(COUNTIFS(実績!$W$6:$W$505,BO$3,実績!$AC$6:$AC$505,"&lt;="&amp;$A89,実績!$AD$6:$AD$505,"&gt;"&amp;$A89,実績!$AE$6:$AE$505,"○")&gt;0,1,0))</f>
        <v/>
      </c>
      <c r="BP89">
        <f>IF(BP$4=0,0,IF(COUNTIFS(実績!$W$6:$W$505,BP$3,実績!$AC$6:$AC$505,"&lt;="&amp;$A89,実績!$AD$6:$AD$505,"&gt;"&amp;$A89,実績!$AE$6:$AE$505,"○")&gt;0,1,0))</f>
        <v/>
      </c>
      <c r="BQ89">
        <f>IF(BQ$4=0,0,IF(COUNTIFS(実績!$W$6:$W$505,BQ$3,実績!$AC$6:$AC$505,"&lt;="&amp;$A89,実績!$AD$6:$AD$505,"&gt;"&amp;$A89,実績!$AE$6:$AE$505,"○")&gt;0,1,0))</f>
        <v/>
      </c>
      <c r="BR89">
        <f>IF(BR$4=0,0,IF(COUNTIFS(実績!$W$6:$W$505,BR$3,実績!$AC$6:$AC$505,"&lt;="&amp;$A89,実績!$AD$6:$AD$505,"&gt;"&amp;$A89,実績!$AE$6:$AE$505,"○")&gt;0,1,0))</f>
        <v/>
      </c>
      <c r="BS89">
        <f>IF(BS$4=0,0,IF(COUNTIFS(実績!$W$6:$W$505,BS$3,実績!$AC$6:$AC$505,"&lt;="&amp;$A89,実績!$AD$6:$AD$505,"&gt;"&amp;$A89,実績!$AE$6:$AE$505,"○")&gt;0,1,0))</f>
        <v/>
      </c>
      <c r="BT89">
        <f>IF(BT$4=0,0,IF(COUNTIFS(実績!$W$6:$W$505,BT$3,実績!$AC$6:$AC$505,"&lt;="&amp;$A89,実績!$AD$6:$AD$505,"&gt;"&amp;$A89,実績!$AE$6:$AE$505,"○")&gt;0,1,0))</f>
        <v/>
      </c>
      <c r="BU89">
        <f>IF(BU$4=0,0,IF(COUNTIFS(実績!$W$6:$W$505,BU$3,実績!$AC$6:$AC$505,"&lt;="&amp;$A89,実績!$AD$6:$AD$505,"&gt;"&amp;$A89,実績!$AE$6:$AE$505,"○")&gt;0,1,0))</f>
        <v/>
      </c>
      <c r="BV89">
        <f>IF(BV$4=0,0,IF(COUNTIFS(実績!$W$6:$W$505,BV$3,実績!$AC$6:$AC$505,"&lt;="&amp;$A89,実績!$AD$6:$AD$505,"&gt;"&amp;$A89,実績!$AE$6:$AE$505,"○")&gt;0,1,0))</f>
        <v/>
      </c>
      <c r="BW89">
        <f>IF(BW$4=0,0,IF(COUNTIFS(実績!$W$6:$W$505,BW$3,実績!$AC$6:$AC$505,"&lt;="&amp;$A89,実績!$AD$6:$AD$505,"&gt;"&amp;$A89,実績!$AE$6:$AE$505,"○")&gt;0,1,0))</f>
        <v/>
      </c>
      <c r="BX89">
        <f>IF(BX$4=0,0,IF(COUNTIFS(実績!$W$6:$W$505,BX$3,実績!$AC$6:$AC$505,"&lt;="&amp;$A89,実績!$AD$6:$AD$505,"&gt;"&amp;$A89,実績!$AE$6:$AE$505,"○")&gt;0,1,0))</f>
        <v/>
      </c>
      <c r="BY89">
        <f>IF(BY$4=0,0,IF(COUNTIFS(実績!$W$6:$W$505,BY$3,実績!$AC$6:$AC$505,"&lt;="&amp;$A89,実績!$AD$6:$AD$505,"&gt;"&amp;$A89,実績!$AE$6:$AE$505,"○")&gt;0,1,0))</f>
        <v/>
      </c>
      <c r="BZ89">
        <f>IF(BZ$4=0,0,IF(COUNTIFS(実績!$W$6:$W$505,BZ$3,実績!$AC$6:$AC$505,"&lt;="&amp;$A89,実績!$AD$6:$AD$505,"&gt;"&amp;$A89,実績!$AE$6:$AE$505,"○")&gt;0,1,0))</f>
        <v/>
      </c>
      <c r="CA89">
        <f>IF(CA$4=0,0,IF(COUNTIFS(実績!$W$6:$W$505,CA$3,実績!$AC$6:$AC$505,"&lt;="&amp;$A89,実績!$AD$6:$AD$505,"&gt;"&amp;$A89,実績!$AE$6:$AE$505,"○")&gt;0,1,0))</f>
        <v/>
      </c>
      <c r="CB89">
        <f>IF(CB$4=0,0,IF(COUNTIFS(実績!$W$6:$W$505,CB$3,実績!$AC$6:$AC$505,"&lt;="&amp;$A89,実績!$AD$6:$AD$505,"&gt;"&amp;$A89,実績!$AE$6:$AE$505,"○")&gt;0,1,0))</f>
        <v/>
      </c>
      <c r="CC89">
        <f>IF(CC$4=0,0,IF(COUNTIFS(実績!$W$6:$W$505,CC$3,実績!$AC$6:$AC$505,"&lt;="&amp;$A89,実績!$AD$6:$AD$505,"&gt;"&amp;$A89,実績!$AE$6:$AE$505,"○")&gt;0,1,0))</f>
        <v/>
      </c>
      <c r="CD89">
        <f>IF(CD$4=0,0,IF(COUNTIFS(実績!$W$6:$W$505,CD$3,実績!$AC$6:$AC$505,"&lt;="&amp;$A89,実績!$AD$6:$AD$505,"&gt;"&amp;$A89,実績!$AE$6:$AE$505,"○")&gt;0,1,0))</f>
        <v/>
      </c>
      <c r="CE89">
        <f>IF(CE$4=0,0,IF(COUNTIFS(実績!$W$6:$W$505,CE$3,実績!$AC$6:$AC$505,"&lt;="&amp;$A89,実績!$AD$6:$AD$505,"&gt;"&amp;$A89,実績!$AE$6:$AE$505,"○")&gt;0,1,0))</f>
        <v/>
      </c>
      <c r="CF89">
        <f>IF(CF$4=0,0,IF(COUNTIFS(実績!$W$6:$W$505,CF$3,実績!$AC$6:$AC$505,"&lt;="&amp;$A89,実績!$AD$6:$AD$505,"&gt;"&amp;$A89,実績!$AE$6:$AE$505,"○")&gt;0,1,0))</f>
        <v/>
      </c>
      <c r="CG89">
        <f>IF(CG$4=0,0,IF(COUNTIFS(実績!$W$6:$W$505,CG$3,実績!$AC$6:$AC$505,"&lt;="&amp;$A89,実績!$AD$6:$AD$505,"&gt;"&amp;$A89,実績!$AE$6:$AE$505,"○")&gt;0,1,0))</f>
        <v/>
      </c>
      <c r="CH89">
        <f>IF(CH$4=0,0,IF(COUNTIFS(実績!$W$6:$W$505,CH$3,実績!$AC$6:$AC$505,"&lt;="&amp;$A89,実績!$AD$6:$AD$505,"&gt;"&amp;$A89,実績!$AE$6:$AE$505,"○")&gt;0,1,0))</f>
        <v/>
      </c>
      <c r="CI89">
        <f>IF(CI$4=0,0,IF(COUNTIFS(実績!$W$6:$W$505,CI$3,実績!$AC$6:$AC$505,"&lt;="&amp;$A89,実績!$AD$6:$AD$505,"&gt;"&amp;$A89,実績!$AE$6:$AE$505,"○")&gt;0,1,0))</f>
        <v/>
      </c>
      <c r="CJ89">
        <f>IF(CJ$4=0,0,IF(COUNTIFS(実績!$W$6:$W$505,CJ$3,実績!$AC$6:$AC$505,"&lt;="&amp;$A89,実績!$AD$6:$AD$505,"&gt;"&amp;$A89,実績!$AE$6:$AE$505,"○")&gt;0,1,0))</f>
        <v/>
      </c>
      <c r="CK89">
        <f>IF(CK$4=0,0,IF(COUNTIFS(実績!$W$6:$W$505,CK$3,実績!$AC$6:$AC$505,"&lt;="&amp;$A89,実績!$AD$6:$AD$505,"&gt;"&amp;$A89,実績!$AE$6:$AE$505,"○")&gt;0,1,0))</f>
        <v/>
      </c>
      <c r="CL89">
        <f>IF(CL$4=0,0,IF(COUNTIFS(実績!$W$6:$W$505,CL$3,実績!$AC$6:$AC$505,"&lt;="&amp;$A89,実績!$AD$6:$AD$505,"&gt;"&amp;$A89,実績!$AE$6:$AE$505,"○")&gt;0,1,0))</f>
        <v/>
      </c>
      <c r="CM89">
        <f>IF(CM$4=0,0,IF(COUNTIFS(実績!$W$6:$W$505,CM$3,実績!$AC$6:$AC$505,"&lt;="&amp;$A89,実績!$AD$6:$AD$505,"&gt;"&amp;$A89,実績!$AE$6:$AE$505,"○")&gt;0,1,0))</f>
        <v/>
      </c>
      <c r="CN89">
        <f>IF(CN$4=0,0,IF(COUNTIFS(実績!$W$6:$W$505,CN$3,実績!$AC$6:$AC$505,"&lt;="&amp;$A89,実績!$AD$6:$AD$505,"&gt;"&amp;$A89,実績!$AE$6:$AE$505,"○")&gt;0,1,0))</f>
        <v/>
      </c>
      <c r="CO89">
        <f>IF(CO$4=0,0,IF(COUNTIFS(実績!$W$6:$W$505,CO$3,実績!$AC$6:$AC$505,"&lt;="&amp;$A89,実績!$AD$6:$AD$505,"&gt;"&amp;$A89,実績!$AE$6:$AE$505,"○")&gt;0,1,0))</f>
        <v/>
      </c>
      <c r="CP89">
        <f>IF(CP$4=0,0,IF(COUNTIFS(実績!$W$6:$W$505,CP$3,実績!$AC$6:$AC$505,"&lt;="&amp;$A89,実績!$AD$6:$AD$505,"&gt;"&amp;$A89,実績!$AE$6:$AE$505,"○")&gt;0,1,0))</f>
        <v/>
      </c>
      <c r="CQ89">
        <f>IF(CQ$4=0,0,IF(COUNTIFS(実績!$W$6:$W$505,CQ$3,実績!$AC$6:$AC$505,"&lt;="&amp;$A89,実績!$AD$6:$AD$505,"&gt;"&amp;$A89,実績!$AE$6:$AE$505,"○")&gt;0,1,0))</f>
        <v/>
      </c>
      <c r="CR89">
        <f>IF(CR$4=0,0,IF(COUNTIFS(実績!$W$6:$W$505,CR$3,実績!$AC$6:$AC$505,"&lt;="&amp;$A89,実績!$AD$6:$AD$505,"&gt;"&amp;$A89,実績!$AE$6:$AE$505,"○")&gt;0,1,0))</f>
        <v/>
      </c>
      <c r="CS89">
        <f>IF(CS$4=0,0,IF(COUNTIFS(実績!$W$6:$W$505,CS$3,実績!$AC$6:$AC$505,"&lt;="&amp;$A89,実績!$AD$6:$AD$505,"&gt;"&amp;$A89,実績!$AE$6:$AE$505,"○")&gt;0,1,0))</f>
        <v/>
      </c>
      <c r="CT89">
        <f>IF(CT$4=0,0,IF(COUNTIFS(実績!$W$6:$W$505,CT$3,実績!$AC$6:$AC$505,"&lt;="&amp;$A89,実績!$AD$6:$AD$505,"&gt;"&amp;$A89,実績!$AE$6:$AE$505,"○")&gt;0,1,0))</f>
        <v/>
      </c>
      <c r="CU89">
        <f>IF(CU$4=0,0,IF(COUNTIFS(実績!$W$6:$W$505,CU$3,実績!$AC$6:$AC$505,"&lt;="&amp;$A89,実績!$AD$6:$AD$505,"&gt;"&amp;$A89,実績!$AE$6:$AE$505,"○")&gt;0,1,0))</f>
        <v/>
      </c>
      <c r="CV89">
        <f>IF(CV$4=0,0,IF(COUNTIFS(実績!$W$6:$W$505,CV$3,実績!$AC$6:$AC$505,"&lt;="&amp;$A89,実績!$AD$6:$AD$505,"&gt;"&amp;$A89,実績!$AE$6:$AE$505,"○")&gt;0,1,0))</f>
        <v/>
      </c>
      <c r="CW89">
        <f>IF(CW$4=0,0,IF(COUNTIFS(実績!$W$6:$W$505,CW$3,実績!$AC$6:$AC$505,"&lt;="&amp;$A89,実績!$AD$6:$AD$505,"&gt;"&amp;$A89,実績!$AE$6:$AE$505,"○")&gt;0,1,0))</f>
        <v/>
      </c>
      <c r="CX89">
        <f>IF(CX$4=0,0,IF(COUNTIFS(実績!$W$6:$W$505,CX$3,実績!$AC$6:$AC$505,"&lt;="&amp;$A89,実績!$AD$6:$AD$505,"&gt;"&amp;$A89,実績!$AE$6:$AE$505,"○")&gt;0,1,0))</f>
        <v/>
      </c>
      <c r="CY89">
        <f>IF(CY$4=0,0,IF(COUNTIFS(実績!$W$6:$W$505,CY$3,実績!$AC$6:$AC$505,"&lt;="&amp;$A89,実績!$AD$6:$AD$505,"&gt;"&amp;$A89,実績!$AE$6:$AE$505,"○")&gt;0,1,0))</f>
        <v/>
      </c>
      <c r="CZ89">
        <f>IF(CZ$4=0,0,IF(COUNTIFS(実績!$W$6:$W$505,CZ$3,実績!$AC$6:$AC$505,"&lt;="&amp;$A89,実績!$AD$6:$AD$505,"&gt;"&amp;$A89,実績!$AE$6:$AE$505,"○")&gt;0,1,0))</f>
        <v/>
      </c>
      <c r="DA89">
        <f>IF(DA$4=0,0,IF(COUNTIFS(実績!$W$6:$W$505,DA$3,実績!$AC$6:$AC$505,"&lt;="&amp;$A89,実績!$AD$6:$AD$505,"&gt;"&amp;$A89,実績!$AE$6:$AE$505,"○")&gt;0,1,0))</f>
        <v/>
      </c>
      <c r="DB89">
        <f>IF(DB$4=0,0,IF(COUNTIFS(実績!$W$6:$W$505,DB$3,実績!$AC$6:$AC$505,"&lt;="&amp;$A89,実績!$AD$6:$AD$505,"&gt;"&amp;$A89,実績!$AE$6:$AE$505,"○")&gt;0,1,0))</f>
        <v/>
      </c>
      <c r="DC89">
        <f>IF(DC$4=0,0,IF(COUNTIFS(実績!$W$6:$W$505,DC$3,実績!$AC$6:$AC$505,"&lt;="&amp;$A89,実績!$AD$6:$AD$505,"&gt;"&amp;$A89,実績!$AE$6:$AE$505,"○")&gt;0,1,0))</f>
        <v/>
      </c>
      <c r="DD89">
        <f>IF(DD$4=0,0,IF(COUNTIFS(実績!$W$6:$W$505,DD$3,実績!$AC$6:$AC$505,"&lt;="&amp;$A89,実績!$AD$6:$AD$505,"&gt;"&amp;$A89,実績!$AE$6:$AE$505,"○")&gt;0,1,0))</f>
        <v/>
      </c>
      <c r="DE89">
        <f>IF(DE$4=0,0,IF(COUNTIFS(実績!$W$6:$W$505,DE$3,実績!$AC$6:$AC$505,"&lt;="&amp;$A89,実績!$AD$6:$AD$505,"&gt;"&amp;$A89,実績!$AE$6:$AE$505,"○")&gt;0,1,0))</f>
        <v/>
      </c>
      <c r="DF89">
        <f>IF(DF$4=0,0,IF(COUNTIFS(実績!$W$6:$W$505,DF$3,実績!$AC$6:$AC$505,"&lt;="&amp;$A89,実績!$AD$6:$AD$505,"&gt;"&amp;$A89,実績!$AE$6:$AE$505,"○")&gt;0,1,0))</f>
        <v/>
      </c>
      <c r="DG89">
        <f>IF(DG$4=0,0,IF(COUNTIFS(実績!$W$6:$W$505,DG$3,実績!$AC$6:$AC$505,"&lt;="&amp;$A89,実績!$AD$6:$AD$505,"&gt;"&amp;$A89,実績!$AE$6:$AE$505,"○")&gt;0,1,0))</f>
        <v/>
      </c>
      <c r="DH89">
        <f>IF(DH$4=0,0,IF(COUNTIFS(実績!$W$6:$W$505,DH$3,実績!$AC$6:$AC$505,"&lt;="&amp;$A89,実績!$AD$6:$AD$505,"&gt;"&amp;$A89,実績!$AE$6:$AE$505,"○")&gt;0,1,0))</f>
        <v/>
      </c>
      <c r="DI89">
        <f>IF(DI$4=0,0,IF(COUNTIFS(実績!$W$6:$W$505,DI$3,実績!$AC$6:$AC$505,"&lt;="&amp;$A89,実績!$AD$6:$AD$505,"&gt;"&amp;$A89,実績!$AE$6:$AE$505,"○")&gt;0,1,0))</f>
        <v/>
      </c>
      <c r="DJ89">
        <f>IF(DJ$4=0,0,IF(COUNTIFS(実績!$W$6:$W$505,DJ$3,実績!$AC$6:$AC$505,"&lt;="&amp;$A89,実績!$AD$6:$AD$505,"&gt;"&amp;$A89,実績!$AE$6:$AE$505,"○")&gt;0,1,0))</f>
        <v/>
      </c>
      <c r="DK89">
        <f>IF(DK$4=0,0,IF(COUNTIFS(実績!$W$6:$W$505,DK$3,実績!$AC$6:$AC$505,"&lt;="&amp;$A89,実績!$AD$6:$AD$505,"&gt;"&amp;$A89,実績!$AE$6:$AE$505,"○")&gt;0,1,0))</f>
        <v/>
      </c>
      <c r="DL89">
        <f>IF(DL$4=0,0,IF(COUNTIFS(実績!$W$6:$W$505,DL$3,実績!$AC$6:$AC$505,"&lt;="&amp;$A89,実績!$AD$6:$AD$505,"&gt;"&amp;$A89,実績!$AE$6:$AE$505,"○")&gt;0,1,0))</f>
        <v/>
      </c>
      <c r="DM89">
        <f>IF(DM$4=0,0,IF(COUNTIFS(実績!$W$6:$W$505,DM$3,実績!$AC$6:$AC$505,"&lt;="&amp;$A89,実績!$AD$6:$AD$505,"&gt;"&amp;$A89,実績!$AE$6:$AE$505,"○")&gt;0,1,0))</f>
        <v/>
      </c>
      <c r="DN89">
        <f>IF(DN$4=0,0,IF(COUNTIFS(実績!$W$6:$W$505,DN$3,実績!$AC$6:$AC$505,"&lt;="&amp;$A89,実績!$AD$6:$AD$505,"&gt;"&amp;$A89,実績!$AE$6:$AE$505,"○")&gt;0,1,0))</f>
        <v/>
      </c>
      <c r="DO89">
        <f>IF(DO$4=0,0,IF(COUNTIFS(実績!$W$6:$W$505,DO$3,実績!$AC$6:$AC$505,"&lt;="&amp;$A89,実績!$AD$6:$AD$505,"&gt;"&amp;$A89,実績!$AE$6:$AE$505,"○")&gt;0,1,0))</f>
        <v/>
      </c>
      <c r="DP89">
        <f>IF(DP$4=0,0,IF(COUNTIFS(実績!$W$6:$W$505,DP$3,実績!$AC$6:$AC$505,"&lt;="&amp;$A89,実績!$AD$6:$AD$505,"&gt;"&amp;$A89,実績!$AE$6:$AE$505,"○")&gt;0,1,0))</f>
        <v/>
      </c>
      <c r="DQ89">
        <f>IF(DQ$4=0,0,IF(COUNTIFS(実績!$W$6:$W$505,DQ$3,実績!$AC$6:$AC$505,"&lt;="&amp;$A89,実績!$AD$6:$AD$505,"&gt;"&amp;$A89,実績!$AE$6:$AE$505,"○")&gt;0,1,0))</f>
        <v/>
      </c>
      <c r="DR89">
        <f>IF(DR$4=0,0,IF(COUNTIFS(実績!$W$6:$W$505,DR$3,実績!$AC$6:$AC$505,"&lt;="&amp;$A89,実績!$AD$6:$AD$505,"&gt;"&amp;$A89,実績!$AE$6:$AE$505,"○")&gt;0,1,0))</f>
        <v/>
      </c>
      <c r="DS89">
        <f>SUM(C89:DR89)</f>
        <v/>
      </c>
      <c r="DT89">
        <f>SUMPRODUCT((実績!$C$6:$C$505="○")*ISNUMBER(実績!$AF$6:$AF$505)*(実績!$AF$6:$AF$505&lt;=$A89)*(実績!$AG$6:$AG$505&gt;$A89))</f>
        <v/>
      </c>
      <c r="DU89">
        <f>SUMIF($C$2:$DR$2,"製鉄曳船",C89:DR89)</f>
        <v/>
      </c>
      <c r="DV89">
        <f>SUMIF($C$2:$DR$2,"西日本海運",C89:DR89)</f>
        <v/>
      </c>
    </row>
    <row r="90">
      <c r="A90" t="n">
        <v>420</v>
      </c>
      <c r="B90" s="29">
        <f>A90/1440</f>
        <v/>
      </c>
      <c r="C90">
        <f>IF(C$4=0,0,IF(COUNTIFS(実績!$W$6:$W$505,C$3,実績!$AC$6:$AC$505,"&lt;="&amp;$A90,実績!$AD$6:$AD$505,"&gt;"&amp;$A90,実績!$AE$6:$AE$505,"○")&gt;0,1,0))</f>
        <v/>
      </c>
      <c r="D90">
        <f>IF(D$4=0,0,IF(COUNTIFS(実績!$W$6:$W$505,D$3,実績!$AC$6:$AC$505,"&lt;="&amp;$A90,実績!$AD$6:$AD$505,"&gt;"&amp;$A90,実績!$AE$6:$AE$505,"○")&gt;0,1,0))</f>
        <v/>
      </c>
      <c r="E90">
        <f>IF(E$4=0,0,IF(COUNTIFS(実績!$W$6:$W$505,E$3,実績!$AC$6:$AC$505,"&lt;="&amp;$A90,実績!$AD$6:$AD$505,"&gt;"&amp;$A90,実績!$AE$6:$AE$505,"○")&gt;0,1,0))</f>
        <v/>
      </c>
      <c r="F90">
        <f>IF(F$4=0,0,IF(COUNTIFS(実績!$W$6:$W$505,F$3,実績!$AC$6:$AC$505,"&lt;="&amp;$A90,実績!$AD$6:$AD$505,"&gt;"&amp;$A90,実績!$AE$6:$AE$505,"○")&gt;0,1,0))</f>
        <v/>
      </c>
      <c r="G90">
        <f>IF(G$4=0,0,IF(COUNTIFS(実績!$W$6:$W$505,G$3,実績!$AC$6:$AC$505,"&lt;="&amp;$A90,実績!$AD$6:$AD$505,"&gt;"&amp;$A90,実績!$AE$6:$AE$505,"○")&gt;0,1,0))</f>
        <v/>
      </c>
      <c r="H90">
        <f>IF(H$4=0,0,IF(COUNTIFS(実績!$W$6:$W$505,H$3,実績!$AC$6:$AC$505,"&lt;="&amp;$A90,実績!$AD$6:$AD$505,"&gt;"&amp;$A90,実績!$AE$6:$AE$505,"○")&gt;0,1,0))</f>
        <v/>
      </c>
      <c r="I90">
        <f>IF(I$4=0,0,IF(COUNTIFS(実績!$W$6:$W$505,I$3,実績!$AC$6:$AC$505,"&lt;="&amp;$A90,実績!$AD$6:$AD$505,"&gt;"&amp;$A90,実績!$AE$6:$AE$505,"○")&gt;0,1,0))</f>
        <v/>
      </c>
      <c r="J90">
        <f>IF(J$4=0,0,IF(COUNTIFS(実績!$W$6:$W$505,J$3,実績!$AC$6:$AC$505,"&lt;="&amp;$A90,実績!$AD$6:$AD$505,"&gt;"&amp;$A90,実績!$AE$6:$AE$505,"○")&gt;0,1,0))</f>
        <v/>
      </c>
      <c r="K90">
        <f>IF(K$4=0,0,IF(COUNTIFS(実績!$W$6:$W$505,K$3,実績!$AC$6:$AC$505,"&lt;="&amp;$A90,実績!$AD$6:$AD$505,"&gt;"&amp;$A90,実績!$AE$6:$AE$505,"○")&gt;0,1,0))</f>
        <v/>
      </c>
      <c r="L90">
        <f>IF(L$4=0,0,IF(COUNTIFS(実績!$W$6:$W$505,L$3,実績!$AC$6:$AC$505,"&lt;="&amp;$A90,実績!$AD$6:$AD$505,"&gt;"&amp;$A90,実績!$AE$6:$AE$505,"○")&gt;0,1,0))</f>
        <v/>
      </c>
      <c r="M90">
        <f>IF(M$4=0,0,IF(COUNTIFS(実績!$W$6:$W$505,M$3,実績!$AC$6:$AC$505,"&lt;="&amp;$A90,実績!$AD$6:$AD$505,"&gt;"&amp;$A90,実績!$AE$6:$AE$505,"○")&gt;0,1,0))</f>
        <v/>
      </c>
      <c r="N90">
        <f>IF(N$4=0,0,IF(COUNTIFS(実績!$W$6:$W$505,N$3,実績!$AC$6:$AC$505,"&lt;="&amp;$A90,実績!$AD$6:$AD$505,"&gt;"&amp;$A90,実績!$AE$6:$AE$505,"○")&gt;0,1,0))</f>
        <v/>
      </c>
      <c r="O90">
        <f>IF(O$4=0,0,IF(COUNTIFS(実績!$W$6:$W$505,O$3,実績!$AC$6:$AC$505,"&lt;="&amp;$A90,実績!$AD$6:$AD$505,"&gt;"&amp;$A90,実績!$AE$6:$AE$505,"○")&gt;0,1,0))</f>
        <v/>
      </c>
      <c r="P90">
        <f>IF(P$4=0,0,IF(COUNTIFS(実績!$W$6:$W$505,P$3,実績!$AC$6:$AC$505,"&lt;="&amp;$A90,実績!$AD$6:$AD$505,"&gt;"&amp;$A90,実績!$AE$6:$AE$505,"○")&gt;0,1,0))</f>
        <v/>
      </c>
      <c r="Q90">
        <f>IF(Q$4=0,0,IF(COUNTIFS(実績!$W$6:$W$505,Q$3,実績!$AC$6:$AC$505,"&lt;="&amp;$A90,実績!$AD$6:$AD$505,"&gt;"&amp;$A90,実績!$AE$6:$AE$505,"○")&gt;0,1,0))</f>
        <v/>
      </c>
      <c r="R90">
        <f>IF(R$4=0,0,IF(COUNTIFS(実績!$W$6:$W$505,R$3,実績!$AC$6:$AC$505,"&lt;="&amp;$A90,実績!$AD$6:$AD$505,"&gt;"&amp;$A90,実績!$AE$6:$AE$505,"○")&gt;0,1,0))</f>
        <v/>
      </c>
      <c r="S90">
        <f>IF(S$4=0,0,IF(COUNTIFS(実績!$W$6:$W$505,S$3,実績!$AC$6:$AC$505,"&lt;="&amp;$A90,実績!$AD$6:$AD$505,"&gt;"&amp;$A90,実績!$AE$6:$AE$505,"○")&gt;0,1,0))</f>
        <v/>
      </c>
      <c r="T90">
        <f>IF(T$4=0,0,IF(COUNTIFS(実績!$W$6:$W$505,T$3,実績!$AC$6:$AC$505,"&lt;="&amp;$A90,実績!$AD$6:$AD$505,"&gt;"&amp;$A90,実績!$AE$6:$AE$505,"○")&gt;0,1,0))</f>
        <v/>
      </c>
      <c r="U90">
        <f>IF(U$4=0,0,IF(COUNTIFS(実績!$W$6:$W$505,U$3,実績!$AC$6:$AC$505,"&lt;="&amp;$A90,実績!$AD$6:$AD$505,"&gt;"&amp;$A90,実績!$AE$6:$AE$505,"○")&gt;0,1,0))</f>
        <v/>
      </c>
      <c r="V90">
        <f>IF(V$4=0,0,IF(COUNTIFS(実績!$W$6:$W$505,V$3,実績!$AC$6:$AC$505,"&lt;="&amp;$A90,実績!$AD$6:$AD$505,"&gt;"&amp;$A90,実績!$AE$6:$AE$505,"○")&gt;0,1,0))</f>
        <v/>
      </c>
      <c r="W90">
        <f>IF(W$4=0,0,IF(COUNTIFS(実績!$W$6:$W$505,W$3,実績!$AC$6:$AC$505,"&lt;="&amp;$A90,実績!$AD$6:$AD$505,"&gt;"&amp;$A90,実績!$AE$6:$AE$505,"○")&gt;0,1,0))</f>
        <v/>
      </c>
      <c r="X90">
        <f>IF(X$4=0,0,IF(COUNTIFS(実績!$W$6:$W$505,X$3,実績!$AC$6:$AC$505,"&lt;="&amp;$A90,実績!$AD$6:$AD$505,"&gt;"&amp;$A90,実績!$AE$6:$AE$505,"○")&gt;0,1,0))</f>
        <v/>
      </c>
      <c r="Y90">
        <f>IF(Y$4=0,0,IF(COUNTIFS(実績!$W$6:$W$505,Y$3,実績!$AC$6:$AC$505,"&lt;="&amp;$A90,実績!$AD$6:$AD$505,"&gt;"&amp;$A90,実績!$AE$6:$AE$505,"○")&gt;0,1,0))</f>
        <v/>
      </c>
      <c r="Z90">
        <f>IF(Z$4=0,0,IF(COUNTIFS(実績!$W$6:$W$505,Z$3,実績!$AC$6:$AC$505,"&lt;="&amp;$A90,実績!$AD$6:$AD$505,"&gt;"&amp;$A90,実績!$AE$6:$AE$505,"○")&gt;0,1,0))</f>
        <v/>
      </c>
      <c r="AA90">
        <f>IF(AA$4=0,0,IF(COUNTIFS(実績!$W$6:$W$505,AA$3,実績!$AC$6:$AC$505,"&lt;="&amp;$A90,実績!$AD$6:$AD$505,"&gt;"&amp;$A90,実績!$AE$6:$AE$505,"○")&gt;0,1,0))</f>
        <v/>
      </c>
      <c r="AB90">
        <f>IF(AB$4=0,0,IF(COUNTIFS(実績!$W$6:$W$505,AB$3,実績!$AC$6:$AC$505,"&lt;="&amp;$A90,実績!$AD$6:$AD$505,"&gt;"&amp;$A90,実績!$AE$6:$AE$505,"○")&gt;0,1,0))</f>
        <v/>
      </c>
      <c r="AC90">
        <f>IF(AC$4=0,0,IF(COUNTIFS(実績!$W$6:$W$505,AC$3,実績!$AC$6:$AC$505,"&lt;="&amp;$A90,実績!$AD$6:$AD$505,"&gt;"&amp;$A90,実績!$AE$6:$AE$505,"○")&gt;0,1,0))</f>
        <v/>
      </c>
      <c r="AD90">
        <f>IF(AD$4=0,0,IF(COUNTIFS(実績!$W$6:$W$505,AD$3,実績!$AC$6:$AC$505,"&lt;="&amp;$A90,実績!$AD$6:$AD$505,"&gt;"&amp;$A90,実績!$AE$6:$AE$505,"○")&gt;0,1,0))</f>
        <v/>
      </c>
      <c r="AE90">
        <f>IF(AE$4=0,0,IF(COUNTIFS(実績!$W$6:$W$505,AE$3,実績!$AC$6:$AC$505,"&lt;="&amp;$A90,実績!$AD$6:$AD$505,"&gt;"&amp;$A90,実績!$AE$6:$AE$505,"○")&gt;0,1,0))</f>
        <v/>
      </c>
      <c r="AF90">
        <f>IF(AF$4=0,0,IF(COUNTIFS(実績!$W$6:$W$505,AF$3,実績!$AC$6:$AC$505,"&lt;="&amp;$A90,実績!$AD$6:$AD$505,"&gt;"&amp;$A90,実績!$AE$6:$AE$505,"○")&gt;0,1,0))</f>
        <v/>
      </c>
      <c r="AG90">
        <f>IF(AG$4=0,0,IF(COUNTIFS(実績!$W$6:$W$505,AG$3,実績!$AC$6:$AC$505,"&lt;="&amp;$A90,実績!$AD$6:$AD$505,"&gt;"&amp;$A90,実績!$AE$6:$AE$505,"○")&gt;0,1,0))</f>
        <v/>
      </c>
      <c r="AH90">
        <f>IF(AH$4=0,0,IF(COUNTIFS(実績!$W$6:$W$505,AH$3,実績!$AC$6:$AC$505,"&lt;="&amp;$A90,実績!$AD$6:$AD$505,"&gt;"&amp;$A90,実績!$AE$6:$AE$505,"○")&gt;0,1,0))</f>
        <v/>
      </c>
      <c r="AI90">
        <f>IF(AI$4=0,0,IF(COUNTIFS(実績!$W$6:$W$505,AI$3,実績!$AC$6:$AC$505,"&lt;="&amp;$A90,実績!$AD$6:$AD$505,"&gt;"&amp;$A90,実績!$AE$6:$AE$505,"○")&gt;0,1,0))</f>
        <v/>
      </c>
      <c r="AJ90">
        <f>IF(AJ$4=0,0,IF(COUNTIFS(実績!$W$6:$W$505,AJ$3,実績!$AC$6:$AC$505,"&lt;="&amp;$A90,実績!$AD$6:$AD$505,"&gt;"&amp;$A90,実績!$AE$6:$AE$505,"○")&gt;0,1,0))</f>
        <v/>
      </c>
      <c r="AK90">
        <f>IF(AK$4=0,0,IF(COUNTIFS(実績!$W$6:$W$505,AK$3,実績!$AC$6:$AC$505,"&lt;="&amp;$A90,実績!$AD$6:$AD$505,"&gt;"&amp;$A90,実績!$AE$6:$AE$505,"○")&gt;0,1,0))</f>
        <v/>
      </c>
      <c r="AL90">
        <f>IF(AL$4=0,0,IF(COUNTIFS(実績!$W$6:$W$505,AL$3,実績!$AC$6:$AC$505,"&lt;="&amp;$A90,実績!$AD$6:$AD$505,"&gt;"&amp;$A90,実績!$AE$6:$AE$505,"○")&gt;0,1,0))</f>
        <v/>
      </c>
      <c r="AM90">
        <f>IF(AM$4=0,0,IF(COUNTIFS(実績!$W$6:$W$505,AM$3,実績!$AC$6:$AC$505,"&lt;="&amp;$A90,実績!$AD$6:$AD$505,"&gt;"&amp;$A90,実績!$AE$6:$AE$505,"○")&gt;0,1,0))</f>
        <v/>
      </c>
      <c r="AN90">
        <f>IF(AN$4=0,0,IF(COUNTIFS(実績!$W$6:$W$505,AN$3,実績!$AC$6:$AC$505,"&lt;="&amp;$A90,実績!$AD$6:$AD$505,"&gt;"&amp;$A90,実績!$AE$6:$AE$505,"○")&gt;0,1,0))</f>
        <v/>
      </c>
      <c r="AO90">
        <f>IF(AO$4=0,0,IF(COUNTIFS(実績!$W$6:$W$505,AO$3,実績!$AC$6:$AC$505,"&lt;="&amp;$A90,実績!$AD$6:$AD$505,"&gt;"&amp;$A90,実績!$AE$6:$AE$505,"○")&gt;0,1,0))</f>
        <v/>
      </c>
      <c r="AP90">
        <f>IF(AP$4=0,0,IF(COUNTIFS(実績!$W$6:$W$505,AP$3,実績!$AC$6:$AC$505,"&lt;="&amp;$A90,実績!$AD$6:$AD$505,"&gt;"&amp;$A90,実績!$AE$6:$AE$505,"○")&gt;0,1,0))</f>
        <v/>
      </c>
      <c r="AQ90">
        <f>IF(AQ$4=0,0,IF(COUNTIFS(実績!$W$6:$W$505,AQ$3,実績!$AC$6:$AC$505,"&lt;="&amp;$A90,実績!$AD$6:$AD$505,"&gt;"&amp;$A90,実績!$AE$6:$AE$505,"○")&gt;0,1,0))</f>
        <v/>
      </c>
      <c r="AR90">
        <f>IF(AR$4=0,0,IF(COUNTIFS(実績!$W$6:$W$505,AR$3,実績!$AC$6:$AC$505,"&lt;="&amp;$A90,実績!$AD$6:$AD$505,"&gt;"&amp;$A90,実績!$AE$6:$AE$505,"○")&gt;0,1,0))</f>
        <v/>
      </c>
      <c r="AS90">
        <f>IF(AS$4=0,0,IF(COUNTIFS(実績!$W$6:$W$505,AS$3,実績!$AC$6:$AC$505,"&lt;="&amp;$A90,実績!$AD$6:$AD$505,"&gt;"&amp;$A90,実績!$AE$6:$AE$505,"○")&gt;0,1,0))</f>
        <v/>
      </c>
      <c r="AT90">
        <f>IF(AT$4=0,0,IF(COUNTIFS(実績!$W$6:$W$505,AT$3,実績!$AC$6:$AC$505,"&lt;="&amp;$A90,実績!$AD$6:$AD$505,"&gt;"&amp;$A90,実績!$AE$6:$AE$505,"○")&gt;0,1,0))</f>
        <v/>
      </c>
      <c r="AU90">
        <f>IF(AU$4=0,0,IF(COUNTIFS(実績!$W$6:$W$505,AU$3,実績!$AC$6:$AC$505,"&lt;="&amp;$A90,実績!$AD$6:$AD$505,"&gt;"&amp;$A90,実績!$AE$6:$AE$505,"○")&gt;0,1,0))</f>
        <v/>
      </c>
      <c r="AV90">
        <f>IF(AV$4=0,0,IF(COUNTIFS(実績!$W$6:$W$505,AV$3,実績!$AC$6:$AC$505,"&lt;="&amp;$A90,実績!$AD$6:$AD$505,"&gt;"&amp;$A90,実績!$AE$6:$AE$505,"○")&gt;0,1,0))</f>
        <v/>
      </c>
      <c r="AW90">
        <f>IF(AW$4=0,0,IF(COUNTIFS(実績!$W$6:$W$505,AW$3,実績!$AC$6:$AC$505,"&lt;="&amp;$A90,実績!$AD$6:$AD$505,"&gt;"&amp;$A90,実績!$AE$6:$AE$505,"○")&gt;0,1,0))</f>
        <v/>
      </c>
      <c r="AX90">
        <f>IF(AX$4=0,0,IF(COUNTIFS(実績!$W$6:$W$505,AX$3,実績!$AC$6:$AC$505,"&lt;="&amp;$A90,実績!$AD$6:$AD$505,"&gt;"&amp;$A90,実績!$AE$6:$AE$505,"○")&gt;0,1,0))</f>
        <v/>
      </c>
      <c r="AY90">
        <f>IF(AY$4=0,0,IF(COUNTIFS(実績!$W$6:$W$505,AY$3,実績!$AC$6:$AC$505,"&lt;="&amp;$A90,実績!$AD$6:$AD$505,"&gt;"&amp;$A90,実績!$AE$6:$AE$505,"○")&gt;0,1,0))</f>
        <v/>
      </c>
      <c r="AZ90">
        <f>IF(AZ$4=0,0,IF(COUNTIFS(実績!$W$6:$W$505,AZ$3,実績!$AC$6:$AC$505,"&lt;="&amp;$A90,実績!$AD$6:$AD$505,"&gt;"&amp;$A90,実績!$AE$6:$AE$505,"○")&gt;0,1,0))</f>
        <v/>
      </c>
      <c r="BA90">
        <f>IF(BA$4=0,0,IF(COUNTIFS(実績!$W$6:$W$505,BA$3,実績!$AC$6:$AC$505,"&lt;="&amp;$A90,実績!$AD$6:$AD$505,"&gt;"&amp;$A90,実績!$AE$6:$AE$505,"○")&gt;0,1,0))</f>
        <v/>
      </c>
      <c r="BB90">
        <f>IF(BB$4=0,0,IF(COUNTIFS(実績!$W$6:$W$505,BB$3,実績!$AC$6:$AC$505,"&lt;="&amp;$A90,実績!$AD$6:$AD$505,"&gt;"&amp;$A90,実績!$AE$6:$AE$505,"○")&gt;0,1,0))</f>
        <v/>
      </c>
      <c r="BC90">
        <f>IF(BC$4=0,0,IF(COUNTIFS(実績!$W$6:$W$505,BC$3,実績!$AC$6:$AC$505,"&lt;="&amp;$A90,実績!$AD$6:$AD$505,"&gt;"&amp;$A90,実績!$AE$6:$AE$505,"○")&gt;0,1,0))</f>
        <v/>
      </c>
      <c r="BD90">
        <f>IF(BD$4=0,0,IF(COUNTIFS(実績!$W$6:$W$505,BD$3,実績!$AC$6:$AC$505,"&lt;="&amp;$A90,実績!$AD$6:$AD$505,"&gt;"&amp;$A90,実績!$AE$6:$AE$505,"○")&gt;0,1,0))</f>
        <v/>
      </c>
      <c r="BE90">
        <f>IF(BE$4=0,0,IF(COUNTIFS(実績!$W$6:$W$505,BE$3,実績!$AC$6:$AC$505,"&lt;="&amp;$A90,実績!$AD$6:$AD$505,"&gt;"&amp;$A90,実績!$AE$6:$AE$505,"○")&gt;0,1,0))</f>
        <v/>
      </c>
      <c r="BF90">
        <f>IF(BF$4=0,0,IF(COUNTIFS(実績!$W$6:$W$505,BF$3,実績!$AC$6:$AC$505,"&lt;="&amp;$A90,実績!$AD$6:$AD$505,"&gt;"&amp;$A90,実績!$AE$6:$AE$505,"○")&gt;0,1,0))</f>
        <v/>
      </c>
      <c r="BG90">
        <f>IF(BG$4=0,0,IF(COUNTIFS(実績!$W$6:$W$505,BG$3,実績!$AC$6:$AC$505,"&lt;="&amp;$A90,実績!$AD$6:$AD$505,"&gt;"&amp;$A90,実績!$AE$6:$AE$505,"○")&gt;0,1,0))</f>
        <v/>
      </c>
      <c r="BH90">
        <f>IF(BH$4=0,0,IF(COUNTIFS(実績!$W$6:$W$505,BH$3,実績!$AC$6:$AC$505,"&lt;="&amp;$A90,実績!$AD$6:$AD$505,"&gt;"&amp;$A90,実績!$AE$6:$AE$505,"○")&gt;0,1,0))</f>
        <v/>
      </c>
      <c r="BI90">
        <f>IF(BI$4=0,0,IF(COUNTIFS(実績!$W$6:$W$505,BI$3,実績!$AC$6:$AC$505,"&lt;="&amp;$A90,実績!$AD$6:$AD$505,"&gt;"&amp;$A90,実績!$AE$6:$AE$505,"○")&gt;0,1,0))</f>
        <v/>
      </c>
      <c r="BJ90">
        <f>IF(BJ$4=0,0,IF(COUNTIFS(実績!$W$6:$W$505,BJ$3,実績!$AC$6:$AC$505,"&lt;="&amp;$A90,実績!$AD$6:$AD$505,"&gt;"&amp;$A90,実績!$AE$6:$AE$505,"○")&gt;0,1,0))</f>
        <v/>
      </c>
      <c r="BK90">
        <f>IF(BK$4=0,0,IF(COUNTIFS(実績!$W$6:$W$505,BK$3,実績!$AC$6:$AC$505,"&lt;="&amp;$A90,実績!$AD$6:$AD$505,"&gt;"&amp;$A90,実績!$AE$6:$AE$505,"○")&gt;0,1,0))</f>
        <v/>
      </c>
      <c r="BL90">
        <f>IF(BL$4=0,0,IF(COUNTIFS(実績!$W$6:$W$505,BL$3,実績!$AC$6:$AC$505,"&lt;="&amp;$A90,実績!$AD$6:$AD$505,"&gt;"&amp;$A90,実績!$AE$6:$AE$505,"○")&gt;0,1,0))</f>
        <v/>
      </c>
      <c r="BM90">
        <f>IF(BM$4=0,0,IF(COUNTIFS(実績!$W$6:$W$505,BM$3,実績!$AC$6:$AC$505,"&lt;="&amp;$A90,実績!$AD$6:$AD$505,"&gt;"&amp;$A90,実績!$AE$6:$AE$505,"○")&gt;0,1,0))</f>
        <v/>
      </c>
      <c r="BN90">
        <f>IF(BN$4=0,0,IF(COUNTIFS(実績!$W$6:$W$505,BN$3,実績!$AC$6:$AC$505,"&lt;="&amp;$A90,実績!$AD$6:$AD$505,"&gt;"&amp;$A90,実績!$AE$6:$AE$505,"○")&gt;0,1,0))</f>
        <v/>
      </c>
      <c r="BO90">
        <f>IF(BO$4=0,0,IF(COUNTIFS(実績!$W$6:$W$505,BO$3,実績!$AC$6:$AC$505,"&lt;="&amp;$A90,実績!$AD$6:$AD$505,"&gt;"&amp;$A90,実績!$AE$6:$AE$505,"○")&gt;0,1,0))</f>
        <v/>
      </c>
      <c r="BP90">
        <f>IF(BP$4=0,0,IF(COUNTIFS(実績!$W$6:$W$505,BP$3,実績!$AC$6:$AC$505,"&lt;="&amp;$A90,実績!$AD$6:$AD$505,"&gt;"&amp;$A90,実績!$AE$6:$AE$505,"○")&gt;0,1,0))</f>
        <v/>
      </c>
      <c r="BQ90">
        <f>IF(BQ$4=0,0,IF(COUNTIFS(実績!$W$6:$W$505,BQ$3,実績!$AC$6:$AC$505,"&lt;="&amp;$A90,実績!$AD$6:$AD$505,"&gt;"&amp;$A90,実績!$AE$6:$AE$505,"○")&gt;0,1,0))</f>
        <v/>
      </c>
      <c r="BR90">
        <f>IF(BR$4=0,0,IF(COUNTIFS(実績!$W$6:$W$505,BR$3,実績!$AC$6:$AC$505,"&lt;="&amp;$A90,実績!$AD$6:$AD$505,"&gt;"&amp;$A90,実績!$AE$6:$AE$505,"○")&gt;0,1,0))</f>
        <v/>
      </c>
      <c r="BS90">
        <f>IF(BS$4=0,0,IF(COUNTIFS(実績!$W$6:$W$505,BS$3,実績!$AC$6:$AC$505,"&lt;="&amp;$A90,実績!$AD$6:$AD$505,"&gt;"&amp;$A90,実績!$AE$6:$AE$505,"○")&gt;0,1,0))</f>
        <v/>
      </c>
      <c r="BT90">
        <f>IF(BT$4=0,0,IF(COUNTIFS(実績!$W$6:$W$505,BT$3,実績!$AC$6:$AC$505,"&lt;="&amp;$A90,実績!$AD$6:$AD$505,"&gt;"&amp;$A90,実績!$AE$6:$AE$505,"○")&gt;0,1,0))</f>
        <v/>
      </c>
      <c r="BU90">
        <f>IF(BU$4=0,0,IF(COUNTIFS(実績!$W$6:$W$505,BU$3,実績!$AC$6:$AC$505,"&lt;="&amp;$A90,実績!$AD$6:$AD$505,"&gt;"&amp;$A90,実績!$AE$6:$AE$505,"○")&gt;0,1,0))</f>
        <v/>
      </c>
      <c r="BV90">
        <f>IF(BV$4=0,0,IF(COUNTIFS(実績!$W$6:$W$505,BV$3,実績!$AC$6:$AC$505,"&lt;="&amp;$A90,実績!$AD$6:$AD$505,"&gt;"&amp;$A90,実績!$AE$6:$AE$505,"○")&gt;0,1,0))</f>
        <v/>
      </c>
      <c r="BW90">
        <f>IF(BW$4=0,0,IF(COUNTIFS(実績!$W$6:$W$505,BW$3,実績!$AC$6:$AC$505,"&lt;="&amp;$A90,実績!$AD$6:$AD$505,"&gt;"&amp;$A90,実績!$AE$6:$AE$505,"○")&gt;0,1,0))</f>
        <v/>
      </c>
      <c r="BX90">
        <f>IF(BX$4=0,0,IF(COUNTIFS(実績!$W$6:$W$505,BX$3,実績!$AC$6:$AC$505,"&lt;="&amp;$A90,実績!$AD$6:$AD$505,"&gt;"&amp;$A90,実績!$AE$6:$AE$505,"○")&gt;0,1,0))</f>
        <v/>
      </c>
      <c r="BY90">
        <f>IF(BY$4=0,0,IF(COUNTIFS(実績!$W$6:$W$505,BY$3,実績!$AC$6:$AC$505,"&lt;="&amp;$A90,実績!$AD$6:$AD$505,"&gt;"&amp;$A90,実績!$AE$6:$AE$505,"○")&gt;0,1,0))</f>
        <v/>
      </c>
      <c r="BZ90">
        <f>IF(BZ$4=0,0,IF(COUNTIFS(実績!$W$6:$W$505,BZ$3,実績!$AC$6:$AC$505,"&lt;="&amp;$A90,実績!$AD$6:$AD$505,"&gt;"&amp;$A90,実績!$AE$6:$AE$505,"○")&gt;0,1,0))</f>
        <v/>
      </c>
      <c r="CA90">
        <f>IF(CA$4=0,0,IF(COUNTIFS(実績!$W$6:$W$505,CA$3,実績!$AC$6:$AC$505,"&lt;="&amp;$A90,実績!$AD$6:$AD$505,"&gt;"&amp;$A90,実績!$AE$6:$AE$505,"○")&gt;0,1,0))</f>
        <v/>
      </c>
      <c r="CB90">
        <f>IF(CB$4=0,0,IF(COUNTIFS(実績!$W$6:$W$505,CB$3,実績!$AC$6:$AC$505,"&lt;="&amp;$A90,実績!$AD$6:$AD$505,"&gt;"&amp;$A90,実績!$AE$6:$AE$505,"○")&gt;0,1,0))</f>
        <v/>
      </c>
      <c r="CC90">
        <f>IF(CC$4=0,0,IF(COUNTIFS(実績!$W$6:$W$505,CC$3,実績!$AC$6:$AC$505,"&lt;="&amp;$A90,実績!$AD$6:$AD$505,"&gt;"&amp;$A90,実績!$AE$6:$AE$505,"○")&gt;0,1,0))</f>
        <v/>
      </c>
      <c r="CD90">
        <f>IF(CD$4=0,0,IF(COUNTIFS(実績!$W$6:$W$505,CD$3,実績!$AC$6:$AC$505,"&lt;="&amp;$A90,実績!$AD$6:$AD$505,"&gt;"&amp;$A90,実績!$AE$6:$AE$505,"○")&gt;0,1,0))</f>
        <v/>
      </c>
      <c r="CE90">
        <f>IF(CE$4=0,0,IF(COUNTIFS(実績!$W$6:$W$505,CE$3,実績!$AC$6:$AC$505,"&lt;="&amp;$A90,実績!$AD$6:$AD$505,"&gt;"&amp;$A90,実績!$AE$6:$AE$505,"○")&gt;0,1,0))</f>
        <v/>
      </c>
      <c r="CF90">
        <f>IF(CF$4=0,0,IF(COUNTIFS(実績!$W$6:$W$505,CF$3,実績!$AC$6:$AC$505,"&lt;="&amp;$A90,実績!$AD$6:$AD$505,"&gt;"&amp;$A90,実績!$AE$6:$AE$505,"○")&gt;0,1,0))</f>
        <v/>
      </c>
      <c r="CG90">
        <f>IF(CG$4=0,0,IF(COUNTIFS(実績!$W$6:$W$505,CG$3,実績!$AC$6:$AC$505,"&lt;="&amp;$A90,実績!$AD$6:$AD$505,"&gt;"&amp;$A90,実績!$AE$6:$AE$505,"○")&gt;0,1,0))</f>
        <v/>
      </c>
      <c r="CH90">
        <f>IF(CH$4=0,0,IF(COUNTIFS(実績!$W$6:$W$505,CH$3,実績!$AC$6:$AC$505,"&lt;="&amp;$A90,実績!$AD$6:$AD$505,"&gt;"&amp;$A90,実績!$AE$6:$AE$505,"○")&gt;0,1,0))</f>
        <v/>
      </c>
      <c r="CI90">
        <f>IF(CI$4=0,0,IF(COUNTIFS(実績!$W$6:$W$505,CI$3,実績!$AC$6:$AC$505,"&lt;="&amp;$A90,実績!$AD$6:$AD$505,"&gt;"&amp;$A90,実績!$AE$6:$AE$505,"○")&gt;0,1,0))</f>
        <v/>
      </c>
      <c r="CJ90">
        <f>IF(CJ$4=0,0,IF(COUNTIFS(実績!$W$6:$W$505,CJ$3,実績!$AC$6:$AC$505,"&lt;="&amp;$A90,実績!$AD$6:$AD$505,"&gt;"&amp;$A90,実績!$AE$6:$AE$505,"○")&gt;0,1,0))</f>
        <v/>
      </c>
      <c r="CK90">
        <f>IF(CK$4=0,0,IF(COUNTIFS(実績!$W$6:$W$505,CK$3,実績!$AC$6:$AC$505,"&lt;="&amp;$A90,実績!$AD$6:$AD$505,"&gt;"&amp;$A90,実績!$AE$6:$AE$505,"○")&gt;0,1,0))</f>
        <v/>
      </c>
      <c r="CL90">
        <f>IF(CL$4=0,0,IF(COUNTIFS(実績!$W$6:$W$505,CL$3,実績!$AC$6:$AC$505,"&lt;="&amp;$A90,実績!$AD$6:$AD$505,"&gt;"&amp;$A90,実績!$AE$6:$AE$505,"○")&gt;0,1,0))</f>
        <v/>
      </c>
      <c r="CM90">
        <f>IF(CM$4=0,0,IF(COUNTIFS(実績!$W$6:$W$505,CM$3,実績!$AC$6:$AC$505,"&lt;="&amp;$A90,実績!$AD$6:$AD$505,"&gt;"&amp;$A90,実績!$AE$6:$AE$505,"○")&gt;0,1,0))</f>
        <v/>
      </c>
      <c r="CN90">
        <f>IF(CN$4=0,0,IF(COUNTIFS(実績!$W$6:$W$505,CN$3,実績!$AC$6:$AC$505,"&lt;="&amp;$A90,実績!$AD$6:$AD$505,"&gt;"&amp;$A90,実績!$AE$6:$AE$505,"○")&gt;0,1,0))</f>
        <v/>
      </c>
      <c r="CO90">
        <f>IF(CO$4=0,0,IF(COUNTIFS(実績!$W$6:$W$505,CO$3,実績!$AC$6:$AC$505,"&lt;="&amp;$A90,実績!$AD$6:$AD$505,"&gt;"&amp;$A90,実績!$AE$6:$AE$505,"○")&gt;0,1,0))</f>
        <v/>
      </c>
      <c r="CP90">
        <f>IF(CP$4=0,0,IF(COUNTIFS(実績!$W$6:$W$505,CP$3,実績!$AC$6:$AC$505,"&lt;="&amp;$A90,実績!$AD$6:$AD$505,"&gt;"&amp;$A90,実績!$AE$6:$AE$505,"○")&gt;0,1,0))</f>
        <v/>
      </c>
      <c r="CQ90">
        <f>IF(CQ$4=0,0,IF(COUNTIFS(実績!$W$6:$W$505,CQ$3,実績!$AC$6:$AC$505,"&lt;="&amp;$A90,実績!$AD$6:$AD$505,"&gt;"&amp;$A90,実績!$AE$6:$AE$505,"○")&gt;0,1,0))</f>
        <v/>
      </c>
      <c r="CR90">
        <f>IF(CR$4=0,0,IF(COUNTIFS(実績!$W$6:$W$505,CR$3,実績!$AC$6:$AC$505,"&lt;="&amp;$A90,実績!$AD$6:$AD$505,"&gt;"&amp;$A90,実績!$AE$6:$AE$505,"○")&gt;0,1,0))</f>
        <v/>
      </c>
      <c r="CS90">
        <f>IF(CS$4=0,0,IF(COUNTIFS(実績!$W$6:$W$505,CS$3,実績!$AC$6:$AC$505,"&lt;="&amp;$A90,実績!$AD$6:$AD$505,"&gt;"&amp;$A90,実績!$AE$6:$AE$505,"○")&gt;0,1,0))</f>
        <v/>
      </c>
      <c r="CT90">
        <f>IF(CT$4=0,0,IF(COUNTIFS(実績!$W$6:$W$505,CT$3,実績!$AC$6:$AC$505,"&lt;="&amp;$A90,実績!$AD$6:$AD$505,"&gt;"&amp;$A90,実績!$AE$6:$AE$505,"○")&gt;0,1,0))</f>
        <v/>
      </c>
      <c r="CU90">
        <f>IF(CU$4=0,0,IF(COUNTIFS(実績!$W$6:$W$505,CU$3,実績!$AC$6:$AC$505,"&lt;="&amp;$A90,実績!$AD$6:$AD$505,"&gt;"&amp;$A90,実績!$AE$6:$AE$505,"○")&gt;0,1,0))</f>
        <v/>
      </c>
      <c r="CV90">
        <f>IF(CV$4=0,0,IF(COUNTIFS(実績!$W$6:$W$505,CV$3,実績!$AC$6:$AC$505,"&lt;="&amp;$A90,実績!$AD$6:$AD$505,"&gt;"&amp;$A90,実績!$AE$6:$AE$505,"○")&gt;0,1,0))</f>
        <v/>
      </c>
      <c r="CW90">
        <f>IF(CW$4=0,0,IF(COUNTIFS(実績!$W$6:$W$505,CW$3,実績!$AC$6:$AC$505,"&lt;="&amp;$A90,実績!$AD$6:$AD$505,"&gt;"&amp;$A90,実績!$AE$6:$AE$505,"○")&gt;0,1,0))</f>
        <v/>
      </c>
      <c r="CX90">
        <f>IF(CX$4=0,0,IF(COUNTIFS(実績!$W$6:$W$505,CX$3,実績!$AC$6:$AC$505,"&lt;="&amp;$A90,実績!$AD$6:$AD$505,"&gt;"&amp;$A90,実績!$AE$6:$AE$505,"○")&gt;0,1,0))</f>
        <v/>
      </c>
      <c r="CY90">
        <f>IF(CY$4=0,0,IF(COUNTIFS(実績!$W$6:$W$505,CY$3,実績!$AC$6:$AC$505,"&lt;="&amp;$A90,実績!$AD$6:$AD$505,"&gt;"&amp;$A90,実績!$AE$6:$AE$505,"○")&gt;0,1,0))</f>
        <v/>
      </c>
      <c r="CZ90">
        <f>IF(CZ$4=0,0,IF(COUNTIFS(実績!$W$6:$W$505,CZ$3,実績!$AC$6:$AC$505,"&lt;="&amp;$A90,実績!$AD$6:$AD$505,"&gt;"&amp;$A90,実績!$AE$6:$AE$505,"○")&gt;0,1,0))</f>
        <v/>
      </c>
      <c r="DA90">
        <f>IF(DA$4=0,0,IF(COUNTIFS(実績!$W$6:$W$505,DA$3,実績!$AC$6:$AC$505,"&lt;="&amp;$A90,実績!$AD$6:$AD$505,"&gt;"&amp;$A90,実績!$AE$6:$AE$505,"○")&gt;0,1,0))</f>
        <v/>
      </c>
      <c r="DB90">
        <f>IF(DB$4=0,0,IF(COUNTIFS(実績!$W$6:$W$505,DB$3,実績!$AC$6:$AC$505,"&lt;="&amp;$A90,実績!$AD$6:$AD$505,"&gt;"&amp;$A90,実績!$AE$6:$AE$505,"○")&gt;0,1,0))</f>
        <v/>
      </c>
      <c r="DC90">
        <f>IF(DC$4=0,0,IF(COUNTIFS(実績!$W$6:$W$505,DC$3,実績!$AC$6:$AC$505,"&lt;="&amp;$A90,実績!$AD$6:$AD$505,"&gt;"&amp;$A90,実績!$AE$6:$AE$505,"○")&gt;0,1,0))</f>
        <v/>
      </c>
      <c r="DD90">
        <f>IF(DD$4=0,0,IF(COUNTIFS(実績!$W$6:$W$505,DD$3,実績!$AC$6:$AC$505,"&lt;="&amp;$A90,実績!$AD$6:$AD$505,"&gt;"&amp;$A90,実績!$AE$6:$AE$505,"○")&gt;0,1,0))</f>
        <v/>
      </c>
      <c r="DE90">
        <f>IF(DE$4=0,0,IF(COUNTIFS(実績!$W$6:$W$505,DE$3,実績!$AC$6:$AC$505,"&lt;="&amp;$A90,実績!$AD$6:$AD$505,"&gt;"&amp;$A90,実績!$AE$6:$AE$505,"○")&gt;0,1,0))</f>
        <v/>
      </c>
      <c r="DF90">
        <f>IF(DF$4=0,0,IF(COUNTIFS(実績!$W$6:$W$505,DF$3,実績!$AC$6:$AC$505,"&lt;="&amp;$A90,実績!$AD$6:$AD$505,"&gt;"&amp;$A90,実績!$AE$6:$AE$505,"○")&gt;0,1,0))</f>
        <v/>
      </c>
      <c r="DG90">
        <f>IF(DG$4=0,0,IF(COUNTIFS(実績!$W$6:$W$505,DG$3,実績!$AC$6:$AC$505,"&lt;="&amp;$A90,実績!$AD$6:$AD$505,"&gt;"&amp;$A90,実績!$AE$6:$AE$505,"○")&gt;0,1,0))</f>
        <v/>
      </c>
      <c r="DH90">
        <f>IF(DH$4=0,0,IF(COUNTIFS(実績!$W$6:$W$505,DH$3,実績!$AC$6:$AC$505,"&lt;="&amp;$A90,実績!$AD$6:$AD$505,"&gt;"&amp;$A90,実績!$AE$6:$AE$505,"○")&gt;0,1,0))</f>
        <v/>
      </c>
      <c r="DI90">
        <f>IF(DI$4=0,0,IF(COUNTIFS(実績!$W$6:$W$505,DI$3,実績!$AC$6:$AC$505,"&lt;="&amp;$A90,実績!$AD$6:$AD$505,"&gt;"&amp;$A90,実績!$AE$6:$AE$505,"○")&gt;0,1,0))</f>
        <v/>
      </c>
      <c r="DJ90">
        <f>IF(DJ$4=0,0,IF(COUNTIFS(実績!$W$6:$W$505,DJ$3,実績!$AC$6:$AC$505,"&lt;="&amp;$A90,実績!$AD$6:$AD$505,"&gt;"&amp;$A90,実績!$AE$6:$AE$505,"○")&gt;0,1,0))</f>
        <v/>
      </c>
      <c r="DK90">
        <f>IF(DK$4=0,0,IF(COUNTIFS(実績!$W$6:$W$505,DK$3,実績!$AC$6:$AC$505,"&lt;="&amp;$A90,実績!$AD$6:$AD$505,"&gt;"&amp;$A90,実績!$AE$6:$AE$505,"○")&gt;0,1,0))</f>
        <v/>
      </c>
      <c r="DL90">
        <f>IF(DL$4=0,0,IF(COUNTIFS(実績!$W$6:$W$505,DL$3,実績!$AC$6:$AC$505,"&lt;="&amp;$A90,実績!$AD$6:$AD$505,"&gt;"&amp;$A90,実績!$AE$6:$AE$505,"○")&gt;0,1,0))</f>
        <v/>
      </c>
      <c r="DM90">
        <f>IF(DM$4=0,0,IF(COUNTIFS(実績!$W$6:$W$505,DM$3,実績!$AC$6:$AC$505,"&lt;="&amp;$A90,実績!$AD$6:$AD$505,"&gt;"&amp;$A90,実績!$AE$6:$AE$505,"○")&gt;0,1,0))</f>
        <v/>
      </c>
      <c r="DN90">
        <f>IF(DN$4=0,0,IF(COUNTIFS(実績!$W$6:$W$505,DN$3,実績!$AC$6:$AC$505,"&lt;="&amp;$A90,実績!$AD$6:$AD$505,"&gt;"&amp;$A90,実績!$AE$6:$AE$505,"○")&gt;0,1,0))</f>
        <v/>
      </c>
      <c r="DO90">
        <f>IF(DO$4=0,0,IF(COUNTIFS(実績!$W$6:$W$505,DO$3,実績!$AC$6:$AC$505,"&lt;="&amp;$A90,実績!$AD$6:$AD$505,"&gt;"&amp;$A90,実績!$AE$6:$AE$505,"○")&gt;0,1,0))</f>
        <v/>
      </c>
      <c r="DP90">
        <f>IF(DP$4=0,0,IF(COUNTIFS(実績!$W$6:$W$505,DP$3,実績!$AC$6:$AC$505,"&lt;="&amp;$A90,実績!$AD$6:$AD$505,"&gt;"&amp;$A90,実績!$AE$6:$AE$505,"○")&gt;0,1,0))</f>
        <v/>
      </c>
      <c r="DQ90">
        <f>IF(DQ$4=0,0,IF(COUNTIFS(実績!$W$6:$W$505,DQ$3,実績!$AC$6:$AC$505,"&lt;="&amp;$A90,実績!$AD$6:$AD$505,"&gt;"&amp;$A90,実績!$AE$6:$AE$505,"○")&gt;0,1,0))</f>
        <v/>
      </c>
      <c r="DR90">
        <f>IF(DR$4=0,0,IF(COUNTIFS(実績!$W$6:$W$505,DR$3,実績!$AC$6:$AC$505,"&lt;="&amp;$A90,実績!$AD$6:$AD$505,"&gt;"&amp;$A90,実績!$AE$6:$AE$505,"○")&gt;0,1,0))</f>
        <v/>
      </c>
      <c r="DS90">
        <f>SUM(C90:DR90)</f>
        <v/>
      </c>
      <c r="DT90">
        <f>SUMPRODUCT((実績!$C$6:$C$505="○")*ISNUMBER(実績!$AF$6:$AF$505)*(実績!$AF$6:$AF$505&lt;=$A90)*(実績!$AG$6:$AG$505&gt;$A90))</f>
        <v/>
      </c>
      <c r="DU90">
        <f>SUMIF($C$2:$DR$2,"製鉄曳船",C90:DR90)</f>
        <v/>
      </c>
      <c r="DV90">
        <f>SUMIF($C$2:$DR$2,"西日本海運",C90:DR90)</f>
        <v/>
      </c>
    </row>
    <row r="91">
      <c r="A91" t="n">
        <v>425</v>
      </c>
      <c r="B91" s="29">
        <f>A91/1440</f>
        <v/>
      </c>
      <c r="C91">
        <f>IF(C$4=0,0,IF(COUNTIFS(実績!$W$6:$W$505,C$3,実績!$AC$6:$AC$505,"&lt;="&amp;$A91,実績!$AD$6:$AD$505,"&gt;"&amp;$A91,実績!$AE$6:$AE$505,"○")&gt;0,1,0))</f>
        <v/>
      </c>
      <c r="D91">
        <f>IF(D$4=0,0,IF(COUNTIFS(実績!$W$6:$W$505,D$3,実績!$AC$6:$AC$505,"&lt;="&amp;$A91,実績!$AD$6:$AD$505,"&gt;"&amp;$A91,実績!$AE$6:$AE$505,"○")&gt;0,1,0))</f>
        <v/>
      </c>
      <c r="E91">
        <f>IF(E$4=0,0,IF(COUNTIFS(実績!$W$6:$W$505,E$3,実績!$AC$6:$AC$505,"&lt;="&amp;$A91,実績!$AD$6:$AD$505,"&gt;"&amp;$A91,実績!$AE$6:$AE$505,"○")&gt;0,1,0))</f>
        <v/>
      </c>
      <c r="F91">
        <f>IF(F$4=0,0,IF(COUNTIFS(実績!$W$6:$W$505,F$3,実績!$AC$6:$AC$505,"&lt;="&amp;$A91,実績!$AD$6:$AD$505,"&gt;"&amp;$A91,実績!$AE$6:$AE$505,"○")&gt;0,1,0))</f>
        <v/>
      </c>
      <c r="G91">
        <f>IF(G$4=0,0,IF(COUNTIFS(実績!$W$6:$W$505,G$3,実績!$AC$6:$AC$505,"&lt;="&amp;$A91,実績!$AD$6:$AD$505,"&gt;"&amp;$A91,実績!$AE$6:$AE$505,"○")&gt;0,1,0))</f>
        <v/>
      </c>
      <c r="H91">
        <f>IF(H$4=0,0,IF(COUNTIFS(実績!$W$6:$W$505,H$3,実績!$AC$6:$AC$505,"&lt;="&amp;$A91,実績!$AD$6:$AD$505,"&gt;"&amp;$A91,実績!$AE$6:$AE$505,"○")&gt;0,1,0))</f>
        <v/>
      </c>
      <c r="I91">
        <f>IF(I$4=0,0,IF(COUNTIFS(実績!$W$6:$W$505,I$3,実績!$AC$6:$AC$505,"&lt;="&amp;$A91,実績!$AD$6:$AD$505,"&gt;"&amp;$A91,実績!$AE$6:$AE$505,"○")&gt;0,1,0))</f>
        <v/>
      </c>
      <c r="J91">
        <f>IF(J$4=0,0,IF(COUNTIFS(実績!$W$6:$W$505,J$3,実績!$AC$6:$AC$505,"&lt;="&amp;$A91,実績!$AD$6:$AD$505,"&gt;"&amp;$A91,実績!$AE$6:$AE$505,"○")&gt;0,1,0))</f>
        <v/>
      </c>
      <c r="K91">
        <f>IF(K$4=0,0,IF(COUNTIFS(実績!$W$6:$W$505,K$3,実績!$AC$6:$AC$505,"&lt;="&amp;$A91,実績!$AD$6:$AD$505,"&gt;"&amp;$A91,実績!$AE$6:$AE$505,"○")&gt;0,1,0))</f>
        <v/>
      </c>
      <c r="L91">
        <f>IF(L$4=0,0,IF(COUNTIFS(実績!$W$6:$W$505,L$3,実績!$AC$6:$AC$505,"&lt;="&amp;$A91,実績!$AD$6:$AD$505,"&gt;"&amp;$A91,実績!$AE$6:$AE$505,"○")&gt;0,1,0))</f>
        <v/>
      </c>
      <c r="M91">
        <f>IF(M$4=0,0,IF(COUNTIFS(実績!$W$6:$W$505,M$3,実績!$AC$6:$AC$505,"&lt;="&amp;$A91,実績!$AD$6:$AD$505,"&gt;"&amp;$A91,実績!$AE$6:$AE$505,"○")&gt;0,1,0))</f>
        <v/>
      </c>
      <c r="N91">
        <f>IF(N$4=0,0,IF(COUNTIFS(実績!$W$6:$W$505,N$3,実績!$AC$6:$AC$505,"&lt;="&amp;$A91,実績!$AD$6:$AD$505,"&gt;"&amp;$A91,実績!$AE$6:$AE$505,"○")&gt;0,1,0))</f>
        <v/>
      </c>
      <c r="O91">
        <f>IF(O$4=0,0,IF(COUNTIFS(実績!$W$6:$W$505,O$3,実績!$AC$6:$AC$505,"&lt;="&amp;$A91,実績!$AD$6:$AD$505,"&gt;"&amp;$A91,実績!$AE$6:$AE$505,"○")&gt;0,1,0))</f>
        <v/>
      </c>
      <c r="P91">
        <f>IF(P$4=0,0,IF(COUNTIFS(実績!$W$6:$W$505,P$3,実績!$AC$6:$AC$505,"&lt;="&amp;$A91,実績!$AD$6:$AD$505,"&gt;"&amp;$A91,実績!$AE$6:$AE$505,"○")&gt;0,1,0))</f>
        <v/>
      </c>
      <c r="Q91">
        <f>IF(Q$4=0,0,IF(COUNTIFS(実績!$W$6:$W$505,Q$3,実績!$AC$6:$AC$505,"&lt;="&amp;$A91,実績!$AD$6:$AD$505,"&gt;"&amp;$A91,実績!$AE$6:$AE$505,"○")&gt;0,1,0))</f>
        <v/>
      </c>
      <c r="R91">
        <f>IF(R$4=0,0,IF(COUNTIFS(実績!$W$6:$W$505,R$3,実績!$AC$6:$AC$505,"&lt;="&amp;$A91,実績!$AD$6:$AD$505,"&gt;"&amp;$A91,実績!$AE$6:$AE$505,"○")&gt;0,1,0))</f>
        <v/>
      </c>
      <c r="S91">
        <f>IF(S$4=0,0,IF(COUNTIFS(実績!$W$6:$W$505,S$3,実績!$AC$6:$AC$505,"&lt;="&amp;$A91,実績!$AD$6:$AD$505,"&gt;"&amp;$A91,実績!$AE$6:$AE$505,"○")&gt;0,1,0))</f>
        <v/>
      </c>
      <c r="T91">
        <f>IF(T$4=0,0,IF(COUNTIFS(実績!$W$6:$W$505,T$3,実績!$AC$6:$AC$505,"&lt;="&amp;$A91,実績!$AD$6:$AD$505,"&gt;"&amp;$A91,実績!$AE$6:$AE$505,"○")&gt;0,1,0))</f>
        <v/>
      </c>
      <c r="U91">
        <f>IF(U$4=0,0,IF(COUNTIFS(実績!$W$6:$W$505,U$3,実績!$AC$6:$AC$505,"&lt;="&amp;$A91,実績!$AD$6:$AD$505,"&gt;"&amp;$A91,実績!$AE$6:$AE$505,"○")&gt;0,1,0))</f>
        <v/>
      </c>
      <c r="V91">
        <f>IF(V$4=0,0,IF(COUNTIFS(実績!$W$6:$W$505,V$3,実績!$AC$6:$AC$505,"&lt;="&amp;$A91,実績!$AD$6:$AD$505,"&gt;"&amp;$A91,実績!$AE$6:$AE$505,"○")&gt;0,1,0))</f>
        <v/>
      </c>
      <c r="W91">
        <f>IF(W$4=0,0,IF(COUNTIFS(実績!$W$6:$W$505,W$3,実績!$AC$6:$AC$505,"&lt;="&amp;$A91,実績!$AD$6:$AD$505,"&gt;"&amp;$A91,実績!$AE$6:$AE$505,"○")&gt;0,1,0))</f>
        <v/>
      </c>
      <c r="X91">
        <f>IF(X$4=0,0,IF(COUNTIFS(実績!$W$6:$W$505,X$3,実績!$AC$6:$AC$505,"&lt;="&amp;$A91,実績!$AD$6:$AD$505,"&gt;"&amp;$A91,実績!$AE$6:$AE$505,"○")&gt;0,1,0))</f>
        <v/>
      </c>
      <c r="Y91">
        <f>IF(Y$4=0,0,IF(COUNTIFS(実績!$W$6:$W$505,Y$3,実績!$AC$6:$AC$505,"&lt;="&amp;$A91,実績!$AD$6:$AD$505,"&gt;"&amp;$A91,実績!$AE$6:$AE$505,"○")&gt;0,1,0))</f>
        <v/>
      </c>
      <c r="Z91">
        <f>IF(Z$4=0,0,IF(COUNTIFS(実績!$W$6:$W$505,Z$3,実績!$AC$6:$AC$505,"&lt;="&amp;$A91,実績!$AD$6:$AD$505,"&gt;"&amp;$A91,実績!$AE$6:$AE$505,"○")&gt;0,1,0))</f>
        <v/>
      </c>
      <c r="AA91">
        <f>IF(AA$4=0,0,IF(COUNTIFS(実績!$W$6:$W$505,AA$3,実績!$AC$6:$AC$505,"&lt;="&amp;$A91,実績!$AD$6:$AD$505,"&gt;"&amp;$A91,実績!$AE$6:$AE$505,"○")&gt;0,1,0))</f>
        <v/>
      </c>
      <c r="AB91">
        <f>IF(AB$4=0,0,IF(COUNTIFS(実績!$W$6:$W$505,AB$3,実績!$AC$6:$AC$505,"&lt;="&amp;$A91,実績!$AD$6:$AD$505,"&gt;"&amp;$A91,実績!$AE$6:$AE$505,"○")&gt;0,1,0))</f>
        <v/>
      </c>
      <c r="AC91">
        <f>IF(AC$4=0,0,IF(COUNTIFS(実績!$W$6:$W$505,AC$3,実績!$AC$6:$AC$505,"&lt;="&amp;$A91,実績!$AD$6:$AD$505,"&gt;"&amp;$A91,実績!$AE$6:$AE$505,"○")&gt;0,1,0))</f>
        <v/>
      </c>
      <c r="AD91">
        <f>IF(AD$4=0,0,IF(COUNTIFS(実績!$W$6:$W$505,AD$3,実績!$AC$6:$AC$505,"&lt;="&amp;$A91,実績!$AD$6:$AD$505,"&gt;"&amp;$A91,実績!$AE$6:$AE$505,"○")&gt;0,1,0))</f>
        <v/>
      </c>
      <c r="AE91">
        <f>IF(AE$4=0,0,IF(COUNTIFS(実績!$W$6:$W$505,AE$3,実績!$AC$6:$AC$505,"&lt;="&amp;$A91,実績!$AD$6:$AD$505,"&gt;"&amp;$A91,実績!$AE$6:$AE$505,"○")&gt;0,1,0))</f>
        <v/>
      </c>
      <c r="AF91">
        <f>IF(AF$4=0,0,IF(COUNTIFS(実績!$W$6:$W$505,AF$3,実績!$AC$6:$AC$505,"&lt;="&amp;$A91,実績!$AD$6:$AD$505,"&gt;"&amp;$A91,実績!$AE$6:$AE$505,"○")&gt;0,1,0))</f>
        <v/>
      </c>
      <c r="AG91">
        <f>IF(AG$4=0,0,IF(COUNTIFS(実績!$W$6:$W$505,AG$3,実績!$AC$6:$AC$505,"&lt;="&amp;$A91,実績!$AD$6:$AD$505,"&gt;"&amp;$A91,実績!$AE$6:$AE$505,"○")&gt;0,1,0))</f>
        <v/>
      </c>
      <c r="AH91">
        <f>IF(AH$4=0,0,IF(COUNTIFS(実績!$W$6:$W$505,AH$3,実績!$AC$6:$AC$505,"&lt;="&amp;$A91,実績!$AD$6:$AD$505,"&gt;"&amp;$A91,実績!$AE$6:$AE$505,"○")&gt;0,1,0))</f>
        <v/>
      </c>
      <c r="AI91">
        <f>IF(AI$4=0,0,IF(COUNTIFS(実績!$W$6:$W$505,AI$3,実績!$AC$6:$AC$505,"&lt;="&amp;$A91,実績!$AD$6:$AD$505,"&gt;"&amp;$A91,実績!$AE$6:$AE$505,"○")&gt;0,1,0))</f>
        <v/>
      </c>
      <c r="AJ91">
        <f>IF(AJ$4=0,0,IF(COUNTIFS(実績!$W$6:$W$505,AJ$3,実績!$AC$6:$AC$505,"&lt;="&amp;$A91,実績!$AD$6:$AD$505,"&gt;"&amp;$A91,実績!$AE$6:$AE$505,"○")&gt;0,1,0))</f>
        <v/>
      </c>
      <c r="AK91">
        <f>IF(AK$4=0,0,IF(COUNTIFS(実績!$W$6:$W$505,AK$3,実績!$AC$6:$AC$505,"&lt;="&amp;$A91,実績!$AD$6:$AD$505,"&gt;"&amp;$A91,実績!$AE$6:$AE$505,"○")&gt;0,1,0))</f>
        <v/>
      </c>
      <c r="AL91">
        <f>IF(AL$4=0,0,IF(COUNTIFS(実績!$W$6:$W$505,AL$3,実績!$AC$6:$AC$505,"&lt;="&amp;$A91,実績!$AD$6:$AD$505,"&gt;"&amp;$A91,実績!$AE$6:$AE$505,"○")&gt;0,1,0))</f>
        <v/>
      </c>
      <c r="AM91">
        <f>IF(AM$4=0,0,IF(COUNTIFS(実績!$W$6:$W$505,AM$3,実績!$AC$6:$AC$505,"&lt;="&amp;$A91,実績!$AD$6:$AD$505,"&gt;"&amp;$A91,実績!$AE$6:$AE$505,"○")&gt;0,1,0))</f>
        <v/>
      </c>
      <c r="AN91">
        <f>IF(AN$4=0,0,IF(COUNTIFS(実績!$W$6:$W$505,AN$3,実績!$AC$6:$AC$505,"&lt;="&amp;$A91,実績!$AD$6:$AD$505,"&gt;"&amp;$A91,実績!$AE$6:$AE$505,"○")&gt;0,1,0))</f>
        <v/>
      </c>
      <c r="AO91">
        <f>IF(AO$4=0,0,IF(COUNTIFS(実績!$W$6:$W$505,AO$3,実績!$AC$6:$AC$505,"&lt;="&amp;$A91,実績!$AD$6:$AD$505,"&gt;"&amp;$A91,実績!$AE$6:$AE$505,"○")&gt;0,1,0))</f>
        <v/>
      </c>
      <c r="AP91">
        <f>IF(AP$4=0,0,IF(COUNTIFS(実績!$W$6:$W$505,AP$3,実績!$AC$6:$AC$505,"&lt;="&amp;$A91,実績!$AD$6:$AD$505,"&gt;"&amp;$A91,実績!$AE$6:$AE$505,"○")&gt;0,1,0))</f>
        <v/>
      </c>
      <c r="AQ91">
        <f>IF(AQ$4=0,0,IF(COUNTIFS(実績!$W$6:$W$505,AQ$3,実績!$AC$6:$AC$505,"&lt;="&amp;$A91,実績!$AD$6:$AD$505,"&gt;"&amp;$A91,実績!$AE$6:$AE$505,"○")&gt;0,1,0))</f>
        <v/>
      </c>
      <c r="AR91">
        <f>IF(AR$4=0,0,IF(COUNTIFS(実績!$W$6:$W$505,AR$3,実績!$AC$6:$AC$505,"&lt;="&amp;$A91,実績!$AD$6:$AD$505,"&gt;"&amp;$A91,実績!$AE$6:$AE$505,"○")&gt;0,1,0))</f>
        <v/>
      </c>
      <c r="AS91">
        <f>IF(AS$4=0,0,IF(COUNTIFS(実績!$W$6:$W$505,AS$3,実績!$AC$6:$AC$505,"&lt;="&amp;$A91,実績!$AD$6:$AD$505,"&gt;"&amp;$A91,実績!$AE$6:$AE$505,"○")&gt;0,1,0))</f>
        <v/>
      </c>
      <c r="AT91">
        <f>IF(AT$4=0,0,IF(COUNTIFS(実績!$W$6:$W$505,AT$3,実績!$AC$6:$AC$505,"&lt;="&amp;$A91,実績!$AD$6:$AD$505,"&gt;"&amp;$A91,実績!$AE$6:$AE$505,"○")&gt;0,1,0))</f>
        <v/>
      </c>
      <c r="AU91">
        <f>IF(AU$4=0,0,IF(COUNTIFS(実績!$W$6:$W$505,AU$3,実績!$AC$6:$AC$505,"&lt;="&amp;$A91,実績!$AD$6:$AD$505,"&gt;"&amp;$A91,実績!$AE$6:$AE$505,"○")&gt;0,1,0))</f>
        <v/>
      </c>
      <c r="AV91">
        <f>IF(AV$4=0,0,IF(COUNTIFS(実績!$W$6:$W$505,AV$3,実績!$AC$6:$AC$505,"&lt;="&amp;$A91,実績!$AD$6:$AD$505,"&gt;"&amp;$A91,実績!$AE$6:$AE$505,"○")&gt;0,1,0))</f>
        <v/>
      </c>
      <c r="AW91">
        <f>IF(AW$4=0,0,IF(COUNTIFS(実績!$W$6:$W$505,AW$3,実績!$AC$6:$AC$505,"&lt;="&amp;$A91,実績!$AD$6:$AD$505,"&gt;"&amp;$A91,実績!$AE$6:$AE$505,"○")&gt;0,1,0))</f>
        <v/>
      </c>
      <c r="AX91">
        <f>IF(AX$4=0,0,IF(COUNTIFS(実績!$W$6:$W$505,AX$3,実績!$AC$6:$AC$505,"&lt;="&amp;$A91,実績!$AD$6:$AD$505,"&gt;"&amp;$A91,実績!$AE$6:$AE$505,"○")&gt;0,1,0))</f>
        <v/>
      </c>
      <c r="AY91">
        <f>IF(AY$4=0,0,IF(COUNTIFS(実績!$W$6:$W$505,AY$3,実績!$AC$6:$AC$505,"&lt;="&amp;$A91,実績!$AD$6:$AD$505,"&gt;"&amp;$A91,実績!$AE$6:$AE$505,"○")&gt;0,1,0))</f>
        <v/>
      </c>
      <c r="AZ91">
        <f>IF(AZ$4=0,0,IF(COUNTIFS(実績!$W$6:$W$505,AZ$3,実績!$AC$6:$AC$505,"&lt;="&amp;$A91,実績!$AD$6:$AD$505,"&gt;"&amp;$A91,実績!$AE$6:$AE$505,"○")&gt;0,1,0))</f>
        <v/>
      </c>
      <c r="BA91">
        <f>IF(BA$4=0,0,IF(COUNTIFS(実績!$W$6:$W$505,BA$3,実績!$AC$6:$AC$505,"&lt;="&amp;$A91,実績!$AD$6:$AD$505,"&gt;"&amp;$A91,実績!$AE$6:$AE$505,"○")&gt;0,1,0))</f>
        <v/>
      </c>
      <c r="BB91">
        <f>IF(BB$4=0,0,IF(COUNTIFS(実績!$W$6:$W$505,BB$3,実績!$AC$6:$AC$505,"&lt;="&amp;$A91,実績!$AD$6:$AD$505,"&gt;"&amp;$A91,実績!$AE$6:$AE$505,"○")&gt;0,1,0))</f>
        <v/>
      </c>
      <c r="BC91">
        <f>IF(BC$4=0,0,IF(COUNTIFS(実績!$W$6:$W$505,BC$3,実績!$AC$6:$AC$505,"&lt;="&amp;$A91,実績!$AD$6:$AD$505,"&gt;"&amp;$A91,実績!$AE$6:$AE$505,"○")&gt;0,1,0))</f>
        <v/>
      </c>
      <c r="BD91">
        <f>IF(BD$4=0,0,IF(COUNTIFS(実績!$W$6:$W$505,BD$3,実績!$AC$6:$AC$505,"&lt;="&amp;$A91,実績!$AD$6:$AD$505,"&gt;"&amp;$A91,実績!$AE$6:$AE$505,"○")&gt;0,1,0))</f>
        <v/>
      </c>
      <c r="BE91">
        <f>IF(BE$4=0,0,IF(COUNTIFS(実績!$W$6:$W$505,BE$3,実績!$AC$6:$AC$505,"&lt;="&amp;$A91,実績!$AD$6:$AD$505,"&gt;"&amp;$A91,実績!$AE$6:$AE$505,"○")&gt;0,1,0))</f>
        <v/>
      </c>
      <c r="BF91">
        <f>IF(BF$4=0,0,IF(COUNTIFS(実績!$W$6:$W$505,BF$3,実績!$AC$6:$AC$505,"&lt;="&amp;$A91,実績!$AD$6:$AD$505,"&gt;"&amp;$A91,実績!$AE$6:$AE$505,"○")&gt;0,1,0))</f>
        <v/>
      </c>
      <c r="BG91">
        <f>IF(BG$4=0,0,IF(COUNTIFS(実績!$W$6:$W$505,BG$3,実績!$AC$6:$AC$505,"&lt;="&amp;$A91,実績!$AD$6:$AD$505,"&gt;"&amp;$A91,実績!$AE$6:$AE$505,"○")&gt;0,1,0))</f>
        <v/>
      </c>
      <c r="BH91">
        <f>IF(BH$4=0,0,IF(COUNTIFS(実績!$W$6:$W$505,BH$3,実績!$AC$6:$AC$505,"&lt;="&amp;$A91,実績!$AD$6:$AD$505,"&gt;"&amp;$A91,実績!$AE$6:$AE$505,"○")&gt;0,1,0))</f>
        <v/>
      </c>
      <c r="BI91">
        <f>IF(BI$4=0,0,IF(COUNTIFS(実績!$W$6:$W$505,BI$3,実績!$AC$6:$AC$505,"&lt;="&amp;$A91,実績!$AD$6:$AD$505,"&gt;"&amp;$A91,実績!$AE$6:$AE$505,"○")&gt;0,1,0))</f>
        <v/>
      </c>
      <c r="BJ91">
        <f>IF(BJ$4=0,0,IF(COUNTIFS(実績!$W$6:$W$505,BJ$3,実績!$AC$6:$AC$505,"&lt;="&amp;$A91,実績!$AD$6:$AD$505,"&gt;"&amp;$A91,実績!$AE$6:$AE$505,"○")&gt;0,1,0))</f>
        <v/>
      </c>
      <c r="BK91">
        <f>IF(BK$4=0,0,IF(COUNTIFS(実績!$W$6:$W$505,BK$3,実績!$AC$6:$AC$505,"&lt;="&amp;$A91,実績!$AD$6:$AD$505,"&gt;"&amp;$A91,実績!$AE$6:$AE$505,"○")&gt;0,1,0))</f>
        <v/>
      </c>
      <c r="BL91">
        <f>IF(BL$4=0,0,IF(COUNTIFS(実績!$W$6:$W$505,BL$3,実績!$AC$6:$AC$505,"&lt;="&amp;$A91,実績!$AD$6:$AD$505,"&gt;"&amp;$A91,実績!$AE$6:$AE$505,"○")&gt;0,1,0))</f>
        <v/>
      </c>
      <c r="BM91">
        <f>IF(BM$4=0,0,IF(COUNTIFS(実績!$W$6:$W$505,BM$3,実績!$AC$6:$AC$505,"&lt;="&amp;$A91,実績!$AD$6:$AD$505,"&gt;"&amp;$A91,実績!$AE$6:$AE$505,"○")&gt;0,1,0))</f>
        <v/>
      </c>
      <c r="BN91">
        <f>IF(BN$4=0,0,IF(COUNTIFS(実績!$W$6:$W$505,BN$3,実績!$AC$6:$AC$505,"&lt;="&amp;$A91,実績!$AD$6:$AD$505,"&gt;"&amp;$A91,実績!$AE$6:$AE$505,"○")&gt;0,1,0))</f>
        <v/>
      </c>
      <c r="BO91">
        <f>IF(BO$4=0,0,IF(COUNTIFS(実績!$W$6:$W$505,BO$3,実績!$AC$6:$AC$505,"&lt;="&amp;$A91,実績!$AD$6:$AD$505,"&gt;"&amp;$A91,実績!$AE$6:$AE$505,"○")&gt;0,1,0))</f>
        <v/>
      </c>
      <c r="BP91">
        <f>IF(BP$4=0,0,IF(COUNTIFS(実績!$W$6:$W$505,BP$3,実績!$AC$6:$AC$505,"&lt;="&amp;$A91,実績!$AD$6:$AD$505,"&gt;"&amp;$A91,実績!$AE$6:$AE$505,"○")&gt;0,1,0))</f>
        <v/>
      </c>
      <c r="BQ91">
        <f>IF(BQ$4=0,0,IF(COUNTIFS(実績!$W$6:$W$505,BQ$3,実績!$AC$6:$AC$505,"&lt;="&amp;$A91,実績!$AD$6:$AD$505,"&gt;"&amp;$A91,実績!$AE$6:$AE$505,"○")&gt;0,1,0))</f>
        <v/>
      </c>
      <c r="BR91">
        <f>IF(BR$4=0,0,IF(COUNTIFS(実績!$W$6:$W$505,BR$3,実績!$AC$6:$AC$505,"&lt;="&amp;$A91,実績!$AD$6:$AD$505,"&gt;"&amp;$A91,実績!$AE$6:$AE$505,"○")&gt;0,1,0))</f>
        <v/>
      </c>
      <c r="BS91">
        <f>IF(BS$4=0,0,IF(COUNTIFS(実績!$W$6:$W$505,BS$3,実績!$AC$6:$AC$505,"&lt;="&amp;$A91,実績!$AD$6:$AD$505,"&gt;"&amp;$A91,実績!$AE$6:$AE$505,"○")&gt;0,1,0))</f>
        <v/>
      </c>
      <c r="BT91">
        <f>IF(BT$4=0,0,IF(COUNTIFS(実績!$W$6:$W$505,BT$3,実績!$AC$6:$AC$505,"&lt;="&amp;$A91,実績!$AD$6:$AD$505,"&gt;"&amp;$A91,実績!$AE$6:$AE$505,"○")&gt;0,1,0))</f>
        <v/>
      </c>
      <c r="BU91">
        <f>IF(BU$4=0,0,IF(COUNTIFS(実績!$W$6:$W$505,BU$3,実績!$AC$6:$AC$505,"&lt;="&amp;$A91,実績!$AD$6:$AD$505,"&gt;"&amp;$A91,実績!$AE$6:$AE$505,"○")&gt;0,1,0))</f>
        <v/>
      </c>
      <c r="BV91">
        <f>IF(BV$4=0,0,IF(COUNTIFS(実績!$W$6:$W$505,BV$3,実績!$AC$6:$AC$505,"&lt;="&amp;$A91,実績!$AD$6:$AD$505,"&gt;"&amp;$A91,実績!$AE$6:$AE$505,"○")&gt;0,1,0))</f>
        <v/>
      </c>
      <c r="BW91">
        <f>IF(BW$4=0,0,IF(COUNTIFS(実績!$W$6:$W$505,BW$3,実績!$AC$6:$AC$505,"&lt;="&amp;$A91,実績!$AD$6:$AD$505,"&gt;"&amp;$A91,実績!$AE$6:$AE$505,"○")&gt;0,1,0))</f>
        <v/>
      </c>
      <c r="BX91">
        <f>IF(BX$4=0,0,IF(COUNTIFS(実績!$W$6:$W$505,BX$3,実績!$AC$6:$AC$505,"&lt;="&amp;$A91,実績!$AD$6:$AD$505,"&gt;"&amp;$A91,実績!$AE$6:$AE$505,"○")&gt;0,1,0))</f>
        <v/>
      </c>
      <c r="BY91">
        <f>IF(BY$4=0,0,IF(COUNTIFS(実績!$W$6:$W$505,BY$3,実績!$AC$6:$AC$505,"&lt;="&amp;$A91,実績!$AD$6:$AD$505,"&gt;"&amp;$A91,実績!$AE$6:$AE$505,"○")&gt;0,1,0))</f>
        <v/>
      </c>
      <c r="BZ91">
        <f>IF(BZ$4=0,0,IF(COUNTIFS(実績!$W$6:$W$505,BZ$3,実績!$AC$6:$AC$505,"&lt;="&amp;$A91,実績!$AD$6:$AD$505,"&gt;"&amp;$A91,実績!$AE$6:$AE$505,"○")&gt;0,1,0))</f>
        <v/>
      </c>
      <c r="CA91">
        <f>IF(CA$4=0,0,IF(COUNTIFS(実績!$W$6:$W$505,CA$3,実績!$AC$6:$AC$505,"&lt;="&amp;$A91,実績!$AD$6:$AD$505,"&gt;"&amp;$A91,実績!$AE$6:$AE$505,"○")&gt;0,1,0))</f>
        <v/>
      </c>
      <c r="CB91">
        <f>IF(CB$4=0,0,IF(COUNTIFS(実績!$W$6:$W$505,CB$3,実績!$AC$6:$AC$505,"&lt;="&amp;$A91,実績!$AD$6:$AD$505,"&gt;"&amp;$A91,実績!$AE$6:$AE$505,"○")&gt;0,1,0))</f>
        <v/>
      </c>
      <c r="CC91">
        <f>IF(CC$4=0,0,IF(COUNTIFS(実績!$W$6:$W$505,CC$3,実績!$AC$6:$AC$505,"&lt;="&amp;$A91,実績!$AD$6:$AD$505,"&gt;"&amp;$A91,実績!$AE$6:$AE$505,"○")&gt;0,1,0))</f>
        <v/>
      </c>
      <c r="CD91">
        <f>IF(CD$4=0,0,IF(COUNTIFS(実績!$W$6:$W$505,CD$3,実績!$AC$6:$AC$505,"&lt;="&amp;$A91,実績!$AD$6:$AD$505,"&gt;"&amp;$A91,実績!$AE$6:$AE$505,"○")&gt;0,1,0))</f>
        <v/>
      </c>
      <c r="CE91">
        <f>IF(CE$4=0,0,IF(COUNTIFS(実績!$W$6:$W$505,CE$3,実績!$AC$6:$AC$505,"&lt;="&amp;$A91,実績!$AD$6:$AD$505,"&gt;"&amp;$A91,実績!$AE$6:$AE$505,"○")&gt;0,1,0))</f>
        <v/>
      </c>
      <c r="CF91">
        <f>IF(CF$4=0,0,IF(COUNTIFS(実績!$W$6:$W$505,CF$3,実績!$AC$6:$AC$505,"&lt;="&amp;$A91,実績!$AD$6:$AD$505,"&gt;"&amp;$A91,実績!$AE$6:$AE$505,"○")&gt;0,1,0))</f>
        <v/>
      </c>
      <c r="CG91">
        <f>IF(CG$4=0,0,IF(COUNTIFS(実績!$W$6:$W$505,CG$3,実績!$AC$6:$AC$505,"&lt;="&amp;$A91,実績!$AD$6:$AD$505,"&gt;"&amp;$A91,実績!$AE$6:$AE$505,"○")&gt;0,1,0))</f>
        <v/>
      </c>
      <c r="CH91">
        <f>IF(CH$4=0,0,IF(COUNTIFS(実績!$W$6:$W$505,CH$3,実績!$AC$6:$AC$505,"&lt;="&amp;$A91,実績!$AD$6:$AD$505,"&gt;"&amp;$A91,実績!$AE$6:$AE$505,"○")&gt;0,1,0))</f>
        <v/>
      </c>
      <c r="CI91">
        <f>IF(CI$4=0,0,IF(COUNTIFS(実績!$W$6:$W$505,CI$3,実績!$AC$6:$AC$505,"&lt;="&amp;$A91,実績!$AD$6:$AD$505,"&gt;"&amp;$A91,実績!$AE$6:$AE$505,"○")&gt;0,1,0))</f>
        <v/>
      </c>
      <c r="CJ91">
        <f>IF(CJ$4=0,0,IF(COUNTIFS(実績!$W$6:$W$505,CJ$3,実績!$AC$6:$AC$505,"&lt;="&amp;$A91,実績!$AD$6:$AD$505,"&gt;"&amp;$A91,実績!$AE$6:$AE$505,"○")&gt;0,1,0))</f>
        <v/>
      </c>
      <c r="CK91">
        <f>IF(CK$4=0,0,IF(COUNTIFS(実績!$W$6:$W$505,CK$3,実績!$AC$6:$AC$505,"&lt;="&amp;$A91,実績!$AD$6:$AD$505,"&gt;"&amp;$A91,実績!$AE$6:$AE$505,"○")&gt;0,1,0))</f>
        <v/>
      </c>
      <c r="CL91">
        <f>IF(CL$4=0,0,IF(COUNTIFS(実績!$W$6:$W$505,CL$3,実績!$AC$6:$AC$505,"&lt;="&amp;$A91,実績!$AD$6:$AD$505,"&gt;"&amp;$A91,実績!$AE$6:$AE$505,"○")&gt;0,1,0))</f>
        <v/>
      </c>
      <c r="CM91">
        <f>IF(CM$4=0,0,IF(COUNTIFS(実績!$W$6:$W$505,CM$3,実績!$AC$6:$AC$505,"&lt;="&amp;$A91,実績!$AD$6:$AD$505,"&gt;"&amp;$A91,実績!$AE$6:$AE$505,"○")&gt;0,1,0))</f>
        <v/>
      </c>
      <c r="CN91">
        <f>IF(CN$4=0,0,IF(COUNTIFS(実績!$W$6:$W$505,CN$3,実績!$AC$6:$AC$505,"&lt;="&amp;$A91,実績!$AD$6:$AD$505,"&gt;"&amp;$A91,実績!$AE$6:$AE$505,"○")&gt;0,1,0))</f>
        <v/>
      </c>
      <c r="CO91">
        <f>IF(CO$4=0,0,IF(COUNTIFS(実績!$W$6:$W$505,CO$3,実績!$AC$6:$AC$505,"&lt;="&amp;$A91,実績!$AD$6:$AD$505,"&gt;"&amp;$A91,実績!$AE$6:$AE$505,"○")&gt;0,1,0))</f>
        <v/>
      </c>
      <c r="CP91">
        <f>IF(CP$4=0,0,IF(COUNTIFS(実績!$W$6:$W$505,CP$3,実績!$AC$6:$AC$505,"&lt;="&amp;$A91,実績!$AD$6:$AD$505,"&gt;"&amp;$A91,実績!$AE$6:$AE$505,"○")&gt;0,1,0))</f>
        <v/>
      </c>
      <c r="CQ91">
        <f>IF(CQ$4=0,0,IF(COUNTIFS(実績!$W$6:$W$505,CQ$3,実績!$AC$6:$AC$505,"&lt;="&amp;$A91,実績!$AD$6:$AD$505,"&gt;"&amp;$A91,実績!$AE$6:$AE$505,"○")&gt;0,1,0))</f>
        <v/>
      </c>
      <c r="CR91">
        <f>IF(CR$4=0,0,IF(COUNTIFS(実績!$W$6:$W$505,CR$3,実績!$AC$6:$AC$505,"&lt;="&amp;$A91,実績!$AD$6:$AD$505,"&gt;"&amp;$A91,実績!$AE$6:$AE$505,"○")&gt;0,1,0))</f>
        <v/>
      </c>
      <c r="CS91">
        <f>IF(CS$4=0,0,IF(COUNTIFS(実績!$W$6:$W$505,CS$3,実績!$AC$6:$AC$505,"&lt;="&amp;$A91,実績!$AD$6:$AD$505,"&gt;"&amp;$A91,実績!$AE$6:$AE$505,"○")&gt;0,1,0))</f>
        <v/>
      </c>
      <c r="CT91">
        <f>IF(CT$4=0,0,IF(COUNTIFS(実績!$W$6:$W$505,CT$3,実績!$AC$6:$AC$505,"&lt;="&amp;$A91,実績!$AD$6:$AD$505,"&gt;"&amp;$A91,実績!$AE$6:$AE$505,"○")&gt;0,1,0))</f>
        <v/>
      </c>
      <c r="CU91">
        <f>IF(CU$4=0,0,IF(COUNTIFS(実績!$W$6:$W$505,CU$3,実績!$AC$6:$AC$505,"&lt;="&amp;$A91,実績!$AD$6:$AD$505,"&gt;"&amp;$A91,実績!$AE$6:$AE$505,"○")&gt;0,1,0))</f>
        <v/>
      </c>
      <c r="CV91">
        <f>IF(CV$4=0,0,IF(COUNTIFS(実績!$W$6:$W$505,CV$3,実績!$AC$6:$AC$505,"&lt;="&amp;$A91,実績!$AD$6:$AD$505,"&gt;"&amp;$A91,実績!$AE$6:$AE$505,"○")&gt;0,1,0))</f>
        <v/>
      </c>
      <c r="CW91">
        <f>IF(CW$4=0,0,IF(COUNTIFS(実績!$W$6:$W$505,CW$3,実績!$AC$6:$AC$505,"&lt;="&amp;$A91,実績!$AD$6:$AD$505,"&gt;"&amp;$A91,実績!$AE$6:$AE$505,"○")&gt;0,1,0))</f>
        <v/>
      </c>
      <c r="CX91">
        <f>IF(CX$4=0,0,IF(COUNTIFS(実績!$W$6:$W$505,CX$3,実績!$AC$6:$AC$505,"&lt;="&amp;$A91,実績!$AD$6:$AD$505,"&gt;"&amp;$A91,実績!$AE$6:$AE$505,"○")&gt;0,1,0))</f>
        <v/>
      </c>
      <c r="CY91">
        <f>IF(CY$4=0,0,IF(COUNTIFS(実績!$W$6:$W$505,CY$3,実績!$AC$6:$AC$505,"&lt;="&amp;$A91,実績!$AD$6:$AD$505,"&gt;"&amp;$A91,実績!$AE$6:$AE$505,"○")&gt;0,1,0))</f>
        <v/>
      </c>
      <c r="CZ91">
        <f>IF(CZ$4=0,0,IF(COUNTIFS(実績!$W$6:$W$505,CZ$3,実績!$AC$6:$AC$505,"&lt;="&amp;$A91,実績!$AD$6:$AD$505,"&gt;"&amp;$A91,実績!$AE$6:$AE$505,"○")&gt;0,1,0))</f>
        <v/>
      </c>
      <c r="DA91">
        <f>IF(DA$4=0,0,IF(COUNTIFS(実績!$W$6:$W$505,DA$3,実績!$AC$6:$AC$505,"&lt;="&amp;$A91,実績!$AD$6:$AD$505,"&gt;"&amp;$A91,実績!$AE$6:$AE$505,"○")&gt;0,1,0))</f>
        <v/>
      </c>
      <c r="DB91">
        <f>IF(DB$4=0,0,IF(COUNTIFS(実績!$W$6:$W$505,DB$3,実績!$AC$6:$AC$505,"&lt;="&amp;$A91,実績!$AD$6:$AD$505,"&gt;"&amp;$A91,実績!$AE$6:$AE$505,"○")&gt;0,1,0))</f>
        <v/>
      </c>
      <c r="DC91">
        <f>IF(DC$4=0,0,IF(COUNTIFS(実績!$W$6:$W$505,DC$3,実績!$AC$6:$AC$505,"&lt;="&amp;$A91,実績!$AD$6:$AD$505,"&gt;"&amp;$A91,実績!$AE$6:$AE$505,"○")&gt;0,1,0))</f>
        <v/>
      </c>
      <c r="DD91">
        <f>IF(DD$4=0,0,IF(COUNTIFS(実績!$W$6:$W$505,DD$3,実績!$AC$6:$AC$505,"&lt;="&amp;$A91,実績!$AD$6:$AD$505,"&gt;"&amp;$A91,実績!$AE$6:$AE$505,"○")&gt;0,1,0))</f>
        <v/>
      </c>
      <c r="DE91">
        <f>IF(DE$4=0,0,IF(COUNTIFS(実績!$W$6:$W$505,DE$3,実績!$AC$6:$AC$505,"&lt;="&amp;$A91,実績!$AD$6:$AD$505,"&gt;"&amp;$A91,実績!$AE$6:$AE$505,"○")&gt;0,1,0))</f>
        <v/>
      </c>
      <c r="DF91">
        <f>IF(DF$4=0,0,IF(COUNTIFS(実績!$W$6:$W$505,DF$3,実績!$AC$6:$AC$505,"&lt;="&amp;$A91,実績!$AD$6:$AD$505,"&gt;"&amp;$A91,実績!$AE$6:$AE$505,"○")&gt;0,1,0))</f>
        <v/>
      </c>
      <c r="DG91">
        <f>IF(DG$4=0,0,IF(COUNTIFS(実績!$W$6:$W$505,DG$3,実績!$AC$6:$AC$505,"&lt;="&amp;$A91,実績!$AD$6:$AD$505,"&gt;"&amp;$A91,実績!$AE$6:$AE$505,"○")&gt;0,1,0))</f>
        <v/>
      </c>
      <c r="DH91">
        <f>IF(DH$4=0,0,IF(COUNTIFS(実績!$W$6:$W$505,DH$3,実績!$AC$6:$AC$505,"&lt;="&amp;$A91,実績!$AD$6:$AD$505,"&gt;"&amp;$A91,実績!$AE$6:$AE$505,"○")&gt;0,1,0))</f>
        <v/>
      </c>
      <c r="DI91">
        <f>IF(DI$4=0,0,IF(COUNTIFS(実績!$W$6:$W$505,DI$3,実績!$AC$6:$AC$505,"&lt;="&amp;$A91,実績!$AD$6:$AD$505,"&gt;"&amp;$A91,実績!$AE$6:$AE$505,"○")&gt;0,1,0))</f>
        <v/>
      </c>
      <c r="DJ91">
        <f>IF(DJ$4=0,0,IF(COUNTIFS(実績!$W$6:$W$505,DJ$3,実績!$AC$6:$AC$505,"&lt;="&amp;$A91,実績!$AD$6:$AD$505,"&gt;"&amp;$A91,実績!$AE$6:$AE$505,"○")&gt;0,1,0))</f>
        <v/>
      </c>
      <c r="DK91">
        <f>IF(DK$4=0,0,IF(COUNTIFS(実績!$W$6:$W$505,DK$3,実績!$AC$6:$AC$505,"&lt;="&amp;$A91,実績!$AD$6:$AD$505,"&gt;"&amp;$A91,実績!$AE$6:$AE$505,"○")&gt;0,1,0))</f>
        <v/>
      </c>
      <c r="DL91">
        <f>IF(DL$4=0,0,IF(COUNTIFS(実績!$W$6:$W$505,DL$3,実績!$AC$6:$AC$505,"&lt;="&amp;$A91,実績!$AD$6:$AD$505,"&gt;"&amp;$A91,実績!$AE$6:$AE$505,"○")&gt;0,1,0))</f>
        <v/>
      </c>
      <c r="DM91">
        <f>IF(DM$4=0,0,IF(COUNTIFS(実績!$W$6:$W$505,DM$3,実績!$AC$6:$AC$505,"&lt;="&amp;$A91,実績!$AD$6:$AD$505,"&gt;"&amp;$A91,実績!$AE$6:$AE$505,"○")&gt;0,1,0))</f>
        <v/>
      </c>
      <c r="DN91">
        <f>IF(DN$4=0,0,IF(COUNTIFS(実績!$W$6:$W$505,DN$3,実績!$AC$6:$AC$505,"&lt;="&amp;$A91,実績!$AD$6:$AD$505,"&gt;"&amp;$A91,実績!$AE$6:$AE$505,"○")&gt;0,1,0))</f>
        <v/>
      </c>
      <c r="DO91">
        <f>IF(DO$4=0,0,IF(COUNTIFS(実績!$W$6:$W$505,DO$3,実績!$AC$6:$AC$505,"&lt;="&amp;$A91,実績!$AD$6:$AD$505,"&gt;"&amp;$A91,実績!$AE$6:$AE$505,"○")&gt;0,1,0))</f>
        <v/>
      </c>
      <c r="DP91">
        <f>IF(DP$4=0,0,IF(COUNTIFS(実績!$W$6:$W$505,DP$3,実績!$AC$6:$AC$505,"&lt;="&amp;$A91,実績!$AD$6:$AD$505,"&gt;"&amp;$A91,実績!$AE$6:$AE$505,"○")&gt;0,1,0))</f>
        <v/>
      </c>
      <c r="DQ91">
        <f>IF(DQ$4=0,0,IF(COUNTIFS(実績!$W$6:$W$505,DQ$3,実績!$AC$6:$AC$505,"&lt;="&amp;$A91,実績!$AD$6:$AD$505,"&gt;"&amp;$A91,実績!$AE$6:$AE$505,"○")&gt;0,1,0))</f>
        <v/>
      </c>
      <c r="DR91">
        <f>IF(DR$4=0,0,IF(COUNTIFS(実績!$W$6:$W$505,DR$3,実績!$AC$6:$AC$505,"&lt;="&amp;$A91,実績!$AD$6:$AD$505,"&gt;"&amp;$A91,実績!$AE$6:$AE$505,"○")&gt;0,1,0))</f>
        <v/>
      </c>
      <c r="DS91">
        <f>SUM(C91:DR91)</f>
        <v/>
      </c>
      <c r="DT91">
        <f>SUMPRODUCT((実績!$C$6:$C$505="○")*ISNUMBER(実績!$AF$6:$AF$505)*(実績!$AF$6:$AF$505&lt;=$A91)*(実績!$AG$6:$AG$505&gt;$A91))</f>
        <v/>
      </c>
      <c r="DU91">
        <f>SUMIF($C$2:$DR$2,"製鉄曳船",C91:DR91)</f>
        <v/>
      </c>
      <c r="DV91">
        <f>SUMIF($C$2:$DR$2,"西日本海運",C91:DR91)</f>
        <v/>
      </c>
    </row>
    <row r="92">
      <c r="A92" t="n">
        <v>430</v>
      </c>
      <c r="B92" s="29">
        <f>A92/1440</f>
        <v/>
      </c>
      <c r="C92">
        <f>IF(C$4=0,0,IF(COUNTIFS(実績!$W$6:$W$505,C$3,実績!$AC$6:$AC$505,"&lt;="&amp;$A92,実績!$AD$6:$AD$505,"&gt;"&amp;$A92,実績!$AE$6:$AE$505,"○")&gt;0,1,0))</f>
        <v/>
      </c>
      <c r="D92">
        <f>IF(D$4=0,0,IF(COUNTIFS(実績!$W$6:$W$505,D$3,実績!$AC$6:$AC$505,"&lt;="&amp;$A92,実績!$AD$6:$AD$505,"&gt;"&amp;$A92,実績!$AE$6:$AE$505,"○")&gt;0,1,0))</f>
        <v/>
      </c>
      <c r="E92">
        <f>IF(E$4=0,0,IF(COUNTIFS(実績!$W$6:$W$505,E$3,実績!$AC$6:$AC$505,"&lt;="&amp;$A92,実績!$AD$6:$AD$505,"&gt;"&amp;$A92,実績!$AE$6:$AE$505,"○")&gt;0,1,0))</f>
        <v/>
      </c>
      <c r="F92">
        <f>IF(F$4=0,0,IF(COUNTIFS(実績!$W$6:$W$505,F$3,実績!$AC$6:$AC$505,"&lt;="&amp;$A92,実績!$AD$6:$AD$505,"&gt;"&amp;$A92,実績!$AE$6:$AE$505,"○")&gt;0,1,0))</f>
        <v/>
      </c>
      <c r="G92">
        <f>IF(G$4=0,0,IF(COUNTIFS(実績!$W$6:$W$505,G$3,実績!$AC$6:$AC$505,"&lt;="&amp;$A92,実績!$AD$6:$AD$505,"&gt;"&amp;$A92,実績!$AE$6:$AE$505,"○")&gt;0,1,0))</f>
        <v/>
      </c>
      <c r="H92">
        <f>IF(H$4=0,0,IF(COUNTIFS(実績!$W$6:$W$505,H$3,実績!$AC$6:$AC$505,"&lt;="&amp;$A92,実績!$AD$6:$AD$505,"&gt;"&amp;$A92,実績!$AE$6:$AE$505,"○")&gt;0,1,0))</f>
        <v/>
      </c>
      <c r="I92">
        <f>IF(I$4=0,0,IF(COUNTIFS(実績!$W$6:$W$505,I$3,実績!$AC$6:$AC$505,"&lt;="&amp;$A92,実績!$AD$6:$AD$505,"&gt;"&amp;$A92,実績!$AE$6:$AE$505,"○")&gt;0,1,0))</f>
        <v/>
      </c>
      <c r="J92">
        <f>IF(J$4=0,0,IF(COUNTIFS(実績!$W$6:$W$505,J$3,実績!$AC$6:$AC$505,"&lt;="&amp;$A92,実績!$AD$6:$AD$505,"&gt;"&amp;$A92,実績!$AE$6:$AE$505,"○")&gt;0,1,0))</f>
        <v/>
      </c>
      <c r="K92">
        <f>IF(K$4=0,0,IF(COUNTIFS(実績!$W$6:$W$505,K$3,実績!$AC$6:$AC$505,"&lt;="&amp;$A92,実績!$AD$6:$AD$505,"&gt;"&amp;$A92,実績!$AE$6:$AE$505,"○")&gt;0,1,0))</f>
        <v/>
      </c>
      <c r="L92">
        <f>IF(L$4=0,0,IF(COUNTIFS(実績!$W$6:$W$505,L$3,実績!$AC$6:$AC$505,"&lt;="&amp;$A92,実績!$AD$6:$AD$505,"&gt;"&amp;$A92,実績!$AE$6:$AE$505,"○")&gt;0,1,0))</f>
        <v/>
      </c>
      <c r="M92">
        <f>IF(M$4=0,0,IF(COUNTIFS(実績!$W$6:$W$505,M$3,実績!$AC$6:$AC$505,"&lt;="&amp;$A92,実績!$AD$6:$AD$505,"&gt;"&amp;$A92,実績!$AE$6:$AE$505,"○")&gt;0,1,0))</f>
        <v/>
      </c>
      <c r="N92">
        <f>IF(N$4=0,0,IF(COUNTIFS(実績!$W$6:$W$505,N$3,実績!$AC$6:$AC$505,"&lt;="&amp;$A92,実績!$AD$6:$AD$505,"&gt;"&amp;$A92,実績!$AE$6:$AE$505,"○")&gt;0,1,0))</f>
        <v/>
      </c>
      <c r="O92">
        <f>IF(O$4=0,0,IF(COUNTIFS(実績!$W$6:$W$505,O$3,実績!$AC$6:$AC$505,"&lt;="&amp;$A92,実績!$AD$6:$AD$505,"&gt;"&amp;$A92,実績!$AE$6:$AE$505,"○")&gt;0,1,0))</f>
        <v/>
      </c>
      <c r="P92">
        <f>IF(P$4=0,0,IF(COUNTIFS(実績!$W$6:$W$505,P$3,実績!$AC$6:$AC$505,"&lt;="&amp;$A92,実績!$AD$6:$AD$505,"&gt;"&amp;$A92,実績!$AE$6:$AE$505,"○")&gt;0,1,0))</f>
        <v/>
      </c>
      <c r="Q92">
        <f>IF(Q$4=0,0,IF(COUNTIFS(実績!$W$6:$W$505,Q$3,実績!$AC$6:$AC$505,"&lt;="&amp;$A92,実績!$AD$6:$AD$505,"&gt;"&amp;$A92,実績!$AE$6:$AE$505,"○")&gt;0,1,0))</f>
        <v/>
      </c>
      <c r="R92">
        <f>IF(R$4=0,0,IF(COUNTIFS(実績!$W$6:$W$505,R$3,実績!$AC$6:$AC$505,"&lt;="&amp;$A92,実績!$AD$6:$AD$505,"&gt;"&amp;$A92,実績!$AE$6:$AE$505,"○")&gt;0,1,0))</f>
        <v/>
      </c>
      <c r="S92">
        <f>IF(S$4=0,0,IF(COUNTIFS(実績!$W$6:$W$505,S$3,実績!$AC$6:$AC$505,"&lt;="&amp;$A92,実績!$AD$6:$AD$505,"&gt;"&amp;$A92,実績!$AE$6:$AE$505,"○")&gt;0,1,0))</f>
        <v/>
      </c>
      <c r="T92">
        <f>IF(T$4=0,0,IF(COUNTIFS(実績!$W$6:$W$505,T$3,実績!$AC$6:$AC$505,"&lt;="&amp;$A92,実績!$AD$6:$AD$505,"&gt;"&amp;$A92,実績!$AE$6:$AE$505,"○")&gt;0,1,0))</f>
        <v/>
      </c>
      <c r="U92">
        <f>IF(U$4=0,0,IF(COUNTIFS(実績!$W$6:$W$505,U$3,実績!$AC$6:$AC$505,"&lt;="&amp;$A92,実績!$AD$6:$AD$505,"&gt;"&amp;$A92,実績!$AE$6:$AE$505,"○")&gt;0,1,0))</f>
        <v/>
      </c>
      <c r="V92">
        <f>IF(V$4=0,0,IF(COUNTIFS(実績!$W$6:$W$505,V$3,実績!$AC$6:$AC$505,"&lt;="&amp;$A92,実績!$AD$6:$AD$505,"&gt;"&amp;$A92,実績!$AE$6:$AE$505,"○")&gt;0,1,0))</f>
        <v/>
      </c>
      <c r="W92">
        <f>IF(W$4=0,0,IF(COUNTIFS(実績!$W$6:$W$505,W$3,実績!$AC$6:$AC$505,"&lt;="&amp;$A92,実績!$AD$6:$AD$505,"&gt;"&amp;$A92,実績!$AE$6:$AE$505,"○")&gt;0,1,0))</f>
        <v/>
      </c>
      <c r="X92">
        <f>IF(X$4=0,0,IF(COUNTIFS(実績!$W$6:$W$505,X$3,実績!$AC$6:$AC$505,"&lt;="&amp;$A92,実績!$AD$6:$AD$505,"&gt;"&amp;$A92,実績!$AE$6:$AE$505,"○")&gt;0,1,0))</f>
        <v/>
      </c>
      <c r="Y92">
        <f>IF(Y$4=0,0,IF(COUNTIFS(実績!$W$6:$W$505,Y$3,実績!$AC$6:$AC$505,"&lt;="&amp;$A92,実績!$AD$6:$AD$505,"&gt;"&amp;$A92,実績!$AE$6:$AE$505,"○")&gt;0,1,0))</f>
        <v/>
      </c>
      <c r="Z92">
        <f>IF(Z$4=0,0,IF(COUNTIFS(実績!$W$6:$W$505,Z$3,実績!$AC$6:$AC$505,"&lt;="&amp;$A92,実績!$AD$6:$AD$505,"&gt;"&amp;$A92,実績!$AE$6:$AE$505,"○")&gt;0,1,0))</f>
        <v/>
      </c>
      <c r="AA92">
        <f>IF(AA$4=0,0,IF(COUNTIFS(実績!$W$6:$W$505,AA$3,実績!$AC$6:$AC$505,"&lt;="&amp;$A92,実績!$AD$6:$AD$505,"&gt;"&amp;$A92,実績!$AE$6:$AE$505,"○")&gt;0,1,0))</f>
        <v/>
      </c>
      <c r="AB92">
        <f>IF(AB$4=0,0,IF(COUNTIFS(実績!$W$6:$W$505,AB$3,実績!$AC$6:$AC$505,"&lt;="&amp;$A92,実績!$AD$6:$AD$505,"&gt;"&amp;$A92,実績!$AE$6:$AE$505,"○")&gt;0,1,0))</f>
        <v/>
      </c>
      <c r="AC92">
        <f>IF(AC$4=0,0,IF(COUNTIFS(実績!$W$6:$W$505,AC$3,実績!$AC$6:$AC$505,"&lt;="&amp;$A92,実績!$AD$6:$AD$505,"&gt;"&amp;$A92,実績!$AE$6:$AE$505,"○")&gt;0,1,0))</f>
        <v/>
      </c>
      <c r="AD92">
        <f>IF(AD$4=0,0,IF(COUNTIFS(実績!$W$6:$W$505,AD$3,実績!$AC$6:$AC$505,"&lt;="&amp;$A92,実績!$AD$6:$AD$505,"&gt;"&amp;$A92,実績!$AE$6:$AE$505,"○")&gt;0,1,0))</f>
        <v/>
      </c>
      <c r="AE92">
        <f>IF(AE$4=0,0,IF(COUNTIFS(実績!$W$6:$W$505,AE$3,実績!$AC$6:$AC$505,"&lt;="&amp;$A92,実績!$AD$6:$AD$505,"&gt;"&amp;$A92,実績!$AE$6:$AE$505,"○")&gt;0,1,0))</f>
        <v/>
      </c>
      <c r="AF92">
        <f>IF(AF$4=0,0,IF(COUNTIFS(実績!$W$6:$W$505,AF$3,実績!$AC$6:$AC$505,"&lt;="&amp;$A92,実績!$AD$6:$AD$505,"&gt;"&amp;$A92,実績!$AE$6:$AE$505,"○")&gt;0,1,0))</f>
        <v/>
      </c>
      <c r="AG92">
        <f>IF(AG$4=0,0,IF(COUNTIFS(実績!$W$6:$W$505,AG$3,実績!$AC$6:$AC$505,"&lt;="&amp;$A92,実績!$AD$6:$AD$505,"&gt;"&amp;$A92,実績!$AE$6:$AE$505,"○")&gt;0,1,0))</f>
        <v/>
      </c>
      <c r="AH92">
        <f>IF(AH$4=0,0,IF(COUNTIFS(実績!$W$6:$W$505,AH$3,実績!$AC$6:$AC$505,"&lt;="&amp;$A92,実績!$AD$6:$AD$505,"&gt;"&amp;$A92,実績!$AE$6:$AE$505,"○")&gt;0,1,0))</f>
        <v/>
      </c>
      <c r="AI92">
        <f>IF(AI$4=0,0,IF(COUNTIFS(実績!$W$6:$W$505,AI$3,実績!$AC$6:$AC$505,"&lt;="&amp;$A92,実績!$AD$6:$AD$505,"&gt;"&amp;$A92,実績!$AE$6:$AE$505,"○")&gt;0,1,0))</f>
        <v/>
      </c>
      <c r="AJ92">
        <f>IF(AJ$4=0,0,IF(COUNTIFS(実績!$W$6:$W$505,AJ$3,実績!$AC$6:$AC$505,"&lt;="&amp;$A92,実績!$AD$6:$AD$505,"&gt;"&amp;$A92,実績!$AE$6:$AE$505,"○")&gt;0,1,0))</f>
        <v/>
      </c>
      <c r="AK92">
        <f>IF(AK$4=0,0,IF(COUNTIFS(実績!$W$6:$W$505,AK$3,実績!$AC$6:$AC$505,"&lt;="&amp;$A92,実績!$AD$6:$AD$505,"&gt;"&amp;$A92,実績!$AE$6:$AE$505,"○")&gt;0,1,0))</f>
        <v/>
      </c>
      <c r="AL92">
        <f>IF(AL$4=0,0,IF(COUNTIFS(実績!$W$6:$W$505,AL$3,実績!$AC$6:$AC$505,"&lt;="&amp;$A92,実績!$AD$6:$AD$505,"&gt;"&amp;$A92,実績!$AE$6:$AE$505,"○")&gt;0,1,0))</f>
        <v/>
      </c>
      <c r="AM92">
        <f>IF(AM$4=0,0,IF(COUNTIFS(実績!$W$6:$W$505,AM$3,実績!$AC$6:$AC$505,"&lt;="&amp;$A92,実績!$AD$6:$AD$505,"&gt;"&amp;$A92,実績!$AE$6:$AE$505,"○")&gt;0,1,0))</f>
        <v/>
      </c>
      <c r="AN92">
        <f>IF(AN$4=0,0,IF(COUNTIFS(実績!$W$6:$W$505,AN$3,実績!$AC$6:$AC$505,"&lt;="&amp;$A92,実績!$AD$6:$AD$505,"&gt;"&amp;$A92,実績!$AE$6:$AE$505,"○")&gt;0,1,0))</f>
        <v/>
      </c>
      <c r="AO92">
        <f>IF(AO$4=0,0,IF(COUNTIFS(実績!$W$6:$W$505,AO$3,実績!$AC$6:$AC$505,"&lt;="&amp;$A92,実績!$AD$6:$AD$505,"&gt;"&amp;$A92,実績!$AE$6:$AE$505,"○")&gt;0,1,0))</f>
        <v/>
      </c>
      <c r="AP92">
        <f>IF(AP$4=0,0,IF(COUNTIFS(実績!$W$6:$W$505,AP$3,実績!$AC$6:$AC$505,"&lt;="&amp;$A92,実績!$AD$6:$AD$505,"&gt;"&amp;$A92,実績!$AE$6:$AE$505,"○")&gt;0,1,0))</f>
        <v/>
      </c>
      <c r="AQ92">
        <f>IF(AQ$4=0,0,IF(COUNTIFS(実績!$W$6:$W$505,AQ$3,実績!$AC$6:$AC$505,"&lt;="&amp;$A92,実績!$AD$6:$AD$505,"&gt;"&amp;$A92,実績!$AE$6:$AE$505,"○")&gt;0,1,0))</f>
        <v/>
      </c>
      <c r="AR92">
        <f>IF(AR$4=0,0,IF(COUNTIFS(実績!$W$6:$W$505,AR$3,実績!$AC$6:$AC$505,"&lt;="&amp;$A92,実績!$AD$6:$AD$505,"&gt;"&amp;$A92,実績!$AE$6:$AE$505,"○")&gt;0,1,0))</f>
        <v/>
      </c>
      <c r="AS92">
        <f>IF(AS$4=0,0,IF(COUNTIFS(実績!$W$6:$W$505,AS$3,実績!$AC$6:$AC$505,"&lt;="&amp;$A92,実績!$AD$6:$AD$505,"&gt;"&amp;$A92,実績!$AE$6:$AE$505,"○")&gt;0,1,0))</f>
        <v/>
      </c>
      <c r="AT92">
        <f>IF(AT$4=0,0,IF(COUNTIFS(実績!$W$6:$W$505,AT$3,実績!$AC$6:$AC$505,"&lt;="&amp;$A92,実績!$AD$6:$AD$505,"&gt;"&amp;$A92,実績!$AE$6:$AE$505,"○")&gt;0,1,0))</f>
        <v/>
      </c>
      <c r="AU92">
        <f>IF(AU$4=0,0,IF(COUNTIFS(実績!$W$6:$W$505,AU$3,実績!$AC$6:$AC$505,"&lt;="&amp;$A92,実績!$AD$6:$AD$505,"&gt;"&amp;$A92,実績!$AE$6:$AE$505,"○")&gt;0,1,0))</f>
        <v/>
      </c>
      <c r="AV92">
        <f>IF(AV$4=0,0,IF(COUNTIFS(実績!$W$6:$W$505,AV$3,実績!$AC$6:$AC$505,"&lt;="&amp;$A92,実績!$AD$6:$AD$505,"&gt;"&amp;$A92,実績!$AE$6:$AE$505,"○")&gt;0,1,0))</f>
        <v/>
      </c>
      <c r="AW92">
        <f>IF(AW$4=0,0,IF(COUNTIFS(実績!$W$6:$W$505,AW$3,実績!$AC$6:$AC$505,"&lt;="&amp;$A92,実績!$AD$6:$AD$505,"&gt;"&amp;$A92,実績!$AE$6:$AE$505,"○")&gt;0,1,0))</f>
        <v/>
      </c>
      <c r="AX92">
        <f>IF(AX$4=0,0,IF(COUNTIFS(実績!$W$6:$W$505,AX$3,実績!$AC$6:$AC$505,"&lt;="&amp;$A92,実績!$AD$6:$AD$505,"&gt;"&amp;$A92,実績!$AE$6:$AE$505,"○")&gt;0,1,0))</f>
        <v/>
      </c>
      <c r="AY92">
        <f>IF(AY$4=0,0,IF(COUNTIFS(実績!$W$6:$W$505,AY$3,実績!$AC$6:$AC$505,"&lt;="&amp;$A92,実績!$AD$6:$AD$505,"&gt;"&amp;$A92,実績!$AE$6:$AE$505,"○")&gt;0,1,0))</f>
        <v/>
      </c>
      <c r="AZ92">
        <f>IF(AZ$4=0,0,IF(COUNTIFS(実績!$W$6:$W$505,AZ$3,実績!$AC$6:$AC$505,"&lt;="&amp;$A92,実績!$AD$6:$AD$505,"&gt;"&amp;$A92,実績!$AE$6:$AE$505,"○")&gt;0,1,0))</f>
        <v/>
      </c>
      <c r="BA92">
        <f>IF(BA$4=0,0,IF(COUNTIFS(実績!$W$6:$W$505,BA$3,実績!$AC$6:$AC$505,"&lt;="&amp;$A92,実績!$AD$6:$AD$505,"&gt;"&amp;$A92,実績!$AE$6:$AE$505,"○")&gt;0,1,0))</f>
        <v/>
      </c>
      <c r="BB92">
        <f>IF(BB$4=0,0,IF(COUNTIFS(実績!$W$6:$W$505,BB$3,実績!$AC$6:$AC$505,"&lt;="&amp;$A92,実績!$AD$6:$AD$505,"&gt;"&amp;$A92,実績!$AE$6:$AE$505,"○")&gt;0,1,0))</f>
        <v/>
      </c>
      <c r="BC92">
        <f>IF(BC$4=0,0,IF(COUNTIFS(実績!$W$6:$W$505,BC$3,実績!$AC$6:$AC$505,"&lt;="&amp;$A92,実績!$AD$6:$AD$505,"&gt;"&amp;$A92,実績!$AE$6:$AE$505,"○")&gt;0,1,0))</f>
        <v/>
      </c>
      <c r="BD92">
        <f>IF(BD$4=0,0,IF(COUNTIFS(実績!$W$6:$W$505,BD$3,実績!$AC$6:$AC$505,"&lt;="&amp;$A92,実績!$AD$6:$AD$505,"&gt;"&amp;$A92,実績!$AE$6:$AE$505,"○")&gt;0,1,0))</f>
        <v/>
      </c>
      <c r="BE92">
        <f>IF(BE$4=0,0,IF(COUNTIFS(実績!$W$6:$W$505,BE$3,実績!$AC$6:$AC$505,"&lt;="&amp;$A92,実績!$AD$6:$AD$505,"&gt;"&amp;$A92,実績!$AE$6:$AE$505,"○")&gt;0,1,0))</f>
        <v/>
      </c>
      <c r="BF92">
        <f>IF(BF$4=0,0,IF(COUNTIFS(実績!$W$6:$W$505,BF$3,実績!$AC$6:$AC$505,"&lt;="&amp;$A92,実績!$AD$6:$AD$505,"&gt;"&amp;$A92,実績!$AE$6:$AE$505,"○")&gt;0,1,0))</f>
        <v/>
      </c>
      <c r="BG92">
        <f>IF(BG$4=0,0,IF(COUNTIFS(実績!$W$6:$W$505,BG$3,実績!$AC$6:$AC$505,"&lt;="&amp;$A92,実績!$AD$6:$AD$505,"&gt;"&amp;$A92,実績!$AE$6:$AE$505,"○")&gt;0,1,0))</f>
        <v/>
      </c>
      <c r="BH92">
        <f>IF(BH$4=0,0,IF(COUNTIFS(実績!$W$6:$W$505,BH$3,実績!$AC$6:$AC$505,"&lt;="&amp;$A92,実績!$AD$6:$AD$505,"&gt;"&amp;$A92,実績!$AE$6:$AE$505,"○")&gt;0,1,0))</f>
        <v/>
      </c>
      <c r="BI92">
        <f>IF(BI$4=0,0,IF(COUNTIFS(実績!$W$6:$W$505,BI$3,実績!$AC$6:$AC$505,"&lt;="&amp;$A92,実績!$AD$6:$AD$505,"&gt;"&amp;$A92,実績!$AE$6:$AE$505,"○")&gt;0,1,0))</f>
        <v/>
      </c>
      <c r="BJ92">
        <f>IF(BJ$4=0,0,IF(COUNTIFS(実績!$W$6:$W$505,BJ$3,実績!$AC$6:$AC$505,"&lt;="&amp;$A92,実績!$AD$6:$AD$505,"&gt;"&amp;$A92,実績!$AE$6:$AE$505,"○")&gt;0,1,0))</f>
        <v/>
      </c>
      <c r="BK92">
        <f>IF(BK$4=0,0,IF(COUNTIFS(実績!$W$6:$W$505,BK$3,実績!$AC$6:$AC$505,"&lt;="&amp;$A92,実績!$AD$6:$AD$505,"&gt;"&amp;$A92,実績!$AE$6:$AE$505,"○")&gt;0,1,0))</f>
        <v/>
      </c>
      <c r="BL92">
        <f>IF(BL$4=0,0,IF(COUNTIFS(実績!$W$6:$W$505,BL$3,実績!$AC$6:$AC$505,"&lt;="&amp;$A92,実績!$AD$6:$AD$505,"&gt;"&amp;$A92,実績!$AE$6:$AE$505,"○")&gt;0,1,0))</f>
        <v/>
      </c>
      <c r="BM92">
        <f>IF(BM$4=0,0,IF(COUNTIFS(実績!$W$6:$W$505,BM$3,実績!$AC$6:$AC$505,"&lt;="&amp;$A92,実績!$AD$6:$AD$505,"&gt;"&amp;$A92,実績!$AE$6:$AE$505,"○")&gt;0,1,0))</f>
        <v/>
      </c>
      <c r="BN92">
        <f>IF(BN$4=0,0,IF(COUNTIFS(実績!$W$6:$W$505,BN$3,実績!$AC$6:$AC$505,"&lt;="&amp;$A92,実績!$AD$6:$AD$505,"&gt;"&amp;$A92,実績!$AE$6:$AE$505,"○")&gt;0,1,0))</f>
        <v/>
      </c>
      <c r="BO92">
        <f>IF(BO$4=0,0,IF(COUNTIFS(実績!$W$6:$W$505,BO$3,実績!$AC$6:$AC$505,"&lt;="&amp;$A92,実績!$AD$6:$AD$505,"&gt;"&amp;$A92,実績!$AE$6:$AE$505,"○")&gt;0,1,0))</f>
        <v/>
      </c>
      <c r="BP92">
        <f>IF(BP$4=0,0,IF(COUNTIFS(実績!$W$6:$W$505,BP$3,実績!$AC$6:$AC$505,"&lt;="&amp;$A92,実績!$AD$6:$AD$505,"&gt;"&amp;$A92,実績!$AE$6:$AE$505,"○")&gt;0,1,0))</f>
        <v/>
      </c>
      <c r="BQ92">
        <f>IF(BQ$4=0,0,IF(COUNTIFS(実績!$W$6:$W$505,BQ$3,実績!$AC$6:$AC$505,"&lt;="&amp;$A92,実績!$AD$6:$AD$505,"&gt;"&amp;$A92,実績!$AE$6:$AE$505,"○")&gt;0,1,0))</f>
        <v/>
      </c>
      <c r="BR92">
        <f>IF(BR$4=0,0,IF(COUNTIFS(実績!$W$6:$W$505,BR$3,実績!$AC$6:$AC$505,"&lt;="&amp;$A92,実績!$AD$6:$AD$505,"&gt;"&amp;$A92,実績!$AE$6:$AE$505,"○")&gt;0,1,0))</f>
        <v/>
      </c>
      <c r="BS92">
        <f>IF(BS$4=0,0,IF(COUNTIFS(実績!$W$6:$W$505,BS$3,実績!$AC$6:$AC$505,"&lt;="&amp;$A92,実績!$AD$6:$AD$505,"&gt;"&amp;$A92,実績!$AE$6:$AE$505,"○")&gt;0,1,0))</f>
        <v/>
      </c>
      <c r="BT92">
        <f>IF(BT$4=0,0,IF(COUNTIFS(実績!$W$6:$W$505,BT$3,実績!$AC$6:$AC$505,"&lt;="&amp;$A92,実績!$AD$6:$AD$505,"&gt;"&amp;$A92,実績!$AE$6:$AE$505,"○")&gt;0,1,0))</f>
        <v/>
      </c>
      <c r="BU92">
        <f>IF(BU$4=0,0,IF(COUNTIFS(実績!$W$6:$W$505,BU$3,実績!$AC$6:$AC$505,"&lt;="&amp;$A92,実績!$AD$6:$AD$505,"&gt;"&amp;$A92,実績!$AE$6:$AE$505,"○")&gt;0,1,0))</f>
        <v/>
      </c>
      <c r="BV92">
        <f>IF(BV$4=0,0,IF(COUNTIFS(実績!$W$6:$W$505,BV$3,実績!$AC$6:$AC$505,"&lt;="&amp;$A92,実績!$AD$6:$AD$505,"&gt;"&amp;$A92,実績!$AE$6:$AE$505,"○")&gt;0,1,0))</f>
        <v/>
      </c>
      <c r="BW92">
        <f>IF(BW$4=0,0,IF(COUNTIFS(実績!$W$6:$W$505,BW$3,実績!$AC$6:$AC$505,"&lt;="&amp;$A92,実績!$AD$6:$AD$505,"&gt;"&amp;$A92,実績!$AE$6:$AE$505,"○")&gt;0,1,0))</f>
        <v/>
      </c>
      <c r="BX92">
        <f>IF(BX$4=0,0,IF(COUNTIFS(実績!$W$6:$W$505,BX$3,実績!$AC$6:$AC$505,"&lt;="&amp;$A92,実績!$AD$6:$AD$505,"&gt;"&amp;$A92,実績!$AE$6:$AE$505,"○")&gt;0,1,0))</f>
        <v/>
      </c>
      <c r="BY92">
        <f>IF(BY$4=0,0,IF(COUNTIFS(実績!$W$6:$W$505,BY$3,実績!$AC$6:$AC$505,"&lt;="&amp;$A92,実績!$AD$6:$AD$505,"&gt;"&amp;$A92,実績!$AE$6:$AE$505,"○")&gt;0,1,0))</f>
        <v/>
      </c>
      <c r="BZ92">
        <f>IF(BZ$4=0,0,IF(COUNTIFS(実績!$W$6:$W$505,BZ$3,実績!$AC$6:$AC$505,"&lt;="&amp;$A92,実績!$AD$6:$AD$505,"&gt;"&amp;$A92,実績!$AE$6:$AE$505,"○")&gt;0,1,0))</f>
        <v/>
      </c>
      <c r="CA92">
        <f>IF(CA$4=0,0,IF(COUNTIFS(実績!$W$6:$W$505,CA$3,実績!$AC$6:$AC$505,"&lt;="&amp;$A92,実績!$AD$6:$AD$505,"&gt;"&amp;$A92,実績!$AE$6:$AE$505,"○")&gt;0,1,0))</f>
        <v/>
      </c>
      <c r="CB92">
        <f>IF(CB$4=0,0,IF(COUNTIFS(実績!$W$6:$W$505,CB$3,実績!$AC$6:$AC$505,"&lt;="&amp;$A92,実績!$AD$6:$AD$505,"&gt;"&amp;$A92,実績!$AE$6:$AE$505,"○")&gt;0,1,0))</f>
        <v/>
      </c>
      <c r="CC92">
        <f>IF(CC$4=0,0,IF(COUNTIFS(実績!$W$6:$W$505,CC$3,実績!$AC$6:$AC$505,"&lt;="&amp;$A92,実績!$AD$6:$AD$505,"&gt;"&amp;$A92,実績!$AE$6:$AE$505,"○")&gt;0,1,0))</f>
        <v/>
      </c>
      <c r="CD92">
        <f>IF(CD$4=0,0,IF(COUNTIFS(実績!$W$6:$W$505,CD$3,実績!$AC$6:$AC$505,"&lt;="&amp;$A92,実績!$AD$6:$AD$505,"&gt;"&amp;$A92,実績!$AE$6:$AE$505,"○")&gt;0,1,0))</f>
        <v/>
      </c>
      <c r="CE92">
        <f>IF(CE$4=0,0,IF(COUNTIFS(実績!$W$6:$W$505,CE$3,実績!$AC$6:$AC$505,"&lt;="&amp;$A92,実績!$AD$6:$AD$505,"&gt;"&amp;$A92,実績!$AE$6:$AE$505,"○")&gt;0,1,0))</f>
        <v/>
      </c>
      <c r="CF92">
        <f>IF(CF$4=0,0,IF(COUNTIFS(実績!$W$6:$W$505,CF$3,実績!$AC$6:$AC$505,"&lt;="&amp;$A92,実績!$AD$6:$AD$505,"&gt;"&amp;$A92,実績!$AE$6:$AE$505,"○")&gt;0,1,0))</f>
        <v/>
      </c>
      <c r="CG92">
        <f>IF(CG$4=0,0,IF(COUNTIFS(実績!$W$6:$W$505,CG$3,実績!$AC$6:$AC$505,"&lt;="&amp;$A92,実績!$AD$6:$AD$505,"&gt;"&amp;$A92,実績!$AE$6:$AE$505,"○")&gt;0,1,0))</f>
        <v/>
      </c>
      <c r="CH92">
        <f>IF(CH$4=0,0,IF(COUNTIFS(実績!$W$6:$W$505,CH$3,実績!$AC$6:$AC$505,"&lt;="&amp;$A92,実績!$AD$6:$AD$505,"&gt;"&amp;$A92,実績!$AE$6:$AE$505,"○")&gt;0,1,0))</f>
        <v/>
      </c>
      <c r="CI92">
        <f>IF(CI$4=0,0,IF(COUNTIFS(実績!$W$6:$W$505,CI$3,実績!$AC$6:$AC$505,"&lt;="&amp;$A92,実績!$AD$6:$AD$505,"&gt;"&amp;$A92,実績!$AE$6:$AE$505,"○")&gt;0,1,0))</f>
        <v/>
      </c>
      <c r="CJ92">
        <f>IF(CJ$4=0,0,IF(COUNTIFS(実績!$W$6:$W$505,CJ$3,実績!$AC$6:$AC$505,"&lt;="&amp;$A92,実績!$AD$6:$AD$505,"&gt;"&amp;$A92,実績!$AE$6:$AE$505,"○")&gt;0,1,0))</f>
        <v/>
      </c>
      <c r="CK92">
        <f>IF(CK$4=0,0,IF(COUNTIFS(実績!$W$6:$W$505,CK$3,実績!$AC$6:$AC$505,"&lt;="&amp;$A92,実績!$AD$6:$AD$505,"&gt;"&amp;$A92,実績!$AE$6:$AE$505,"○")&gt;0,1,0))</f>
        <v/>
      </c>
      <c r="CL92">
        <f>IF(CL$4=0,0,IF(COUNTIFS(実績!$W$6:$W$505,CL$3,実績!$AC$6:$AC$505,"&lt;="&amp;$A92,実績!$AD$6:$AD$505,"&gt;"&amp;$A92,実績!$AE$6:$AE$505,"○")&gt;0,1,0))</f>
        <v/>
      </c>
      <c r="CM92">
        <f>IF(CM$4=0,0,IF(COUNTIFS(実績!$W$6:$W$505,CM$3,実績!$AC$6:$AC$505,"&lt;="&amp;$A92,実績!$AD$6:$AD$505,"&gt;"&amp;$A92,実績!$AE$6:$AE$505,"○")&gt;0,1,0))</f>
        <v/>
      </c>
      <c r="CN92">
        <f>IF(CN$4=0,0,IF(COUNTIFS(実績!$W$6:$W$505,CN$3,実績!$AC$6:$AC$505,"&lt;="&amp;$A92,実績!$AD$6:$AD$505,"&gt;"&amp;$A92,実績!$AE$6:$AE$505,"○")&gt;0,1,0))</f>
        <v/>
      </c>
      <c r="CO92">
        <f>IF(CO$4=0,0,IF(COUNTIFS(実績!$W$6:$W$505,CO$3,実績!$AC$6:$AC$505,"&lt;="&amp;$A92,実績!$AD$6:$AD$505,"&gt;"&amp;$A92,実績!$AE$6:$AE$505,"○")&gt;0,1,0))</f>
        <v/>
      </c>
      <c r="CP92">
        <f>IF(CP$4=0,0,IF(COUNTIFS(実績!$W$6:$W$505,CP$3,実績!$AC$6:$AC$505,"&lt;="&amp;$A92,実績!$AD$6:$AD$505,"&gt;"&amp;$A92,実績!$AE$6:$AE$505,"○")&gt;0,1,0))</f>
        <v/>
      </c>
      <c r="CQ92">
        <f>IF(CQ$4=0,0,IF(COUNTIFS(実績!$W$6:$W$505,CQ$3,実績!$AC$6:$AC$505,"&lt;="&amp;$A92,実績!$AD$6:$AD$505,"&gt;"&amp;$A92,実績!$AE$6:$AE$505,"○")&gt;0,1,0))</f>
        <v/>
      </c>
      <c r="CR92">
        <f>IF(CR$4=0,0,IF(COUNTIFS(実績!$W$6:$W$505,CR$3,実績!$AC$6:$AC$505,"&lt;="&amp;$A92,実績!$AD$6:$AD$505,"&gt;"&amp;$A92,実績!$AE$6:$AE$505,"○")&gt;0,1,0))</f>
        <v/>
      </c>
      <c r="CS92">
        <f>IF(CS$4=0,0,IF(COUNTIFS(実績!$W$6:$W$505,CS$3,実績!$AC$6:$AC$505,"&lt;="&amp;$A92,実績!$AD$6:$AD$505,"&gt;"&amp;$A92,実績!$AE$6:$AE$505,"○")&gt;0,1,0))</f>
        <v/>
      </c>
      <c r="CT92">
        <f>IF(CT$4=0,0,IF(COUNTIFS(実績!$W$6:$W$505,CT$3,実績!$AC$6:$AC$505,"&lt;="&amp;$A92,実績!$AD$6:$AD$505,"&gt;"&amp;$A92,実績!$AE$6:$AE$505,"○")&gt;0,1,0))</f>
        <v/>
      </c>
      <c r="CU92">
        <f>IF(CU$4=0,0,IF(COUNTIFS(実績!$W$6:$W$505,CU$3,実績!$AC$6:$AC$505,"&lt;="&amp;$A92,実績!$AD$6:$AD$505,"&gt;"&amp;$A92,実績!$AE$6:$AE$505,"○")&gt;0,1,0))</f>
        <v/>
      </c>
      <c r="CV92">
        <f>IF(CV$4=0,0,IF(COUNTIFS(実績!$W$6:$W$505,CV$3,実績!$AC$6:$AC$505,"&lt;="&amp;$A92,実績!$AD$6:$AD$505,"&gt;"&amp;$A92,実績!$AE$6:$AE$505,"○")&gt;0,1,0))</f>
        <v/>
      </c>
      <c r="CW92">
        <f>IF(CW$4=0,0,IF(COUNTIFS(実績!$W$6:$W$505,CW$3,実績!$AC$6:$AC$505,"&lt;="&amp;$A92,実績!$AD$6:$AD$505,"&gt;"&amp;$A92,実績!$AE$6:$AE$505,"○")&gt;0,1,0))</f>
        <v/>
      </c>
      <c r="CX92">
        <f>IF(CX$4=0,0,IF(COUNTIFS(実績!$W$6:$W$505,CX$3,実績!$AC$6:$AC$505,"&lt;="&amp;$A92,実績!$AD$6:$AD$505,"&gt;"&amp;$A92,実績!$AE$6:$AE$505,"○")&gt;0,1,0))</f>
        <v/>
      </c>
      <c r="CY92">
        <f>IF(CY$4=0,0,IF(COUNTIFS(実績!$W$6:$W$505,CY$3,実績!$AC$6:$AC$505,"&lt;="&amp;$A92,実績!$AD$6:$AD$505,"&gt;"&amp;$A92,実績!$AE$6:$AE$505,"○")&gt;0,1,0))</f>
        <v/>
      </c>
      <c r="CZ92">
        <f>IF(CZ$4=0,0,IF(COUNTIFS(実績!$W$6:$W$505,CZ$3,実績!$AC$6:$AC$505,"&lt;="&amp;$A92,実績!$AD$6:$AD$505,"&gt;"&amp;$A92,実績!$AE$6:$AE$505,"○")&gt;0,1,0))</f>
        <v/>
      </c>
      <c r="DA92">
        <f>IF(DA$4=0,0,IF(COUNTIFS(実績!$W$6:$W$505,DA$3,実績!$AC$6:$AC$505,"&lt;="&amp;$A92,実績!$AD$6:$AD$505,"&gt;"&amp;$A92,実績!$AE$6:$AE$505,"○")&gt;0,1,0))</f>
        <v/>
      </c>
      <c r="DB92">
        <f>IF(DB$4=0,0,IF(COUNTIFS(実績!$W$6:$W$505,DB$3,実績!$AC$6:$AC$505,"&lt;="&amp;$A92,実績!$AD$6:$AD$505,"&gt;"&amp;$A92,実績!$AE$6:$AE$505,"○")&gt;0,1,0))</f>
        <v/>
      </c>
      <c r="DC92">
        <f>IF(DC$4=0,0,IF(COUNTIFS(実績!$W$6:$W$505,DC$3,実績!$AC$6:$AC$505,"&lt;="&amp;$A92,実績!$AD$6:$AD$505,"&gt;"&amp;$A92,実績!$AE$6:$AE$505,"○")&gt;0,1,0))</f>
        <v/>
      </c>
      <c r="DD92">
        <f>IF(DD$4=0,0,IF(COUNTIFS(実績!$W$6:$W$505,DD$3,実績!$AC$6:$AC$505,"&lt;="&amp;$A92,実績!$AD$6:$AD$505,"&gt;"&amp;$A92,実績!$AE$6:$AE$505,"○")&gt;0,1,0))</f>
        <v/>
      </c>
      <c r="DE92">
        <f>IF(DE$4=0,0,IF(COUNTIFS(実績!$W$6:$W$505,DE$3,実績!$AC$6:$AC$505,"&lt;="&amp;$A92,実績!$AD$6:$AD$505,"&gt;"&amp;$A92,実績!$AE$6:$AE$505,"○")&gt;0,1,0))</f>
        <v/>
      </c>
      <c r="DF92">
        <f>IF(DF$4=0,0,IF(COUNTIFS(実績!$W$6:$W$505,DF$3,実績!$AC$6:$AC$505,"&lt;="&amp;$A92,実績!$AD$6:$AD$505,"&gt;"&amp;$A92,実績!$AE$6:$AE$505,"○")&gt;0,1,0))</f>
        <v/>
      </c>
      <c r="DG92">
        <f>IF(DG$4=0,0,IF(COUNTIFS(実績!$W$6:$W$505,DG$3,実績!$AC$6:$AC$505,"&lt;="&amp;$A92,実績!$AD$6:$AD$505,"&gt;"&amp;$A92,実績!$AE$6:$AE$505,"○")&gt;0,1,0))</f>
        <v/>
      </c>
      <c r="DH92">
        <f>IF(DH$4=0,0,IF(COUNTIFS(実績!$W$6:$W$505,DH$3,実績!$AC$6:$AC$505,"&lt;="&amp;$A92,実績!$AD$6:$AD$505,"&gt;"&amp;$A92,実績!$AE$6:$AE$505,"○")&gt;0,1,0))</f>
        <v/>
      </c>
      <c r="DI92">
        <f>IF(DI$4=0,0,IF(COUNTIFS(実績!$W$6:$W$505,DI$3,実績!$AC$6:$AC$505,"&lt;="&amp;$A92,実績!$AD$6:$AD$505,"&gt;"&amp;$A92,実績!$AE$6:$AE$505,"○")&gt;0,1,0))</f>
        <v/>
      </c>
      <c r="DJ92">
        <f>IF(DJ$4=0,0,IF(COUNTIFS(実績!$W$6:$W$505,DJ$3,実績!$AC$6:$AC$505,"&lt;="&amp;$A92,実績!$AD$6:$AD$505,"&gt;"&amp;$A92,実績!$AE$6:$AE$505,"○")&gt;0,1,0))</f>
        <v/>
      </c>
      <c r="DK92">
        <f>IF(DK$4=0,0,IF(COUNTIFS(実績!$W$6:$W$505,DK$3,実績!$AC$6:$AC$505,"&lt;="&amp;$A92,実績!$AD$6:$AD$505,"&gt;"&amp;$A92,実績!$AE$6:$AE$505,"○")&gt;0,1,0))</f>
        <v/>
      </c>
      <c r="DL92">
        <f>IF(DL$4=0,0,IF(COUNTIFS(実績!$W$6:$W$505,DL$3,実績!$AC$6:$AC$505,"&lt;="&amp;$A92,実績!$AD$6:$AD$505,"&gt;"&amp;$A92,実績!$AE$6:$AE$505,"○")&gt;0,1,0))</f>
        <v/>
      </c>
      <c r="DM92">
        <f>IF(DM$4=0,0,IF(COUNTIFS(実績!$W$6:$W$505,DM$3,実績!$AC$6:$AC$505,"&lt;="&amp;$A92,実績!$AD$6:$AD$505,"&gt;"&amp;$A92,実績!$AE$6:$AE$505,"○")&gt;0,1,0))</f>
        <v/>
      </c>
      <c r="DN92">
        <f>IF(DN$4=0,0,IF(COUNTIFS(実績!$W$6:$W$505,DN$3,実績!$AC$6:$AC$505,"&lt;="&amp;$A92,実績!$AD$6:$AD$505,"&gt;"&amp;$A92,実績!$AE$6:$AE$505,"○")&gt;0,1,0))</f>
        <v/>
      </c>
      <c r="DO92">
        <f>IF(DO$4=0,0,IF(COUNTIFS(実績!$W$6:$W$505,DO$3,実績!$AC$6:$AC$505,"&lt;="&amp;$A92,実績!$AD$6:$AD$505,"&gt;"&amp;$A92,実績!$AE$6:$AE$505,"○")&gt;0,1,0))</f>
        <v/>
      </c>
      <c r="DP92">
        <f>IF(DP$4=0,0,IF(COUNTIFS(実績!$W$6:$W$505,DP$3,実績!$AC$6:$AC$505,"&lt;="&amp;$A92,実績!$AD$6:$AD$505,"&gt;"&amp;$A92,実績!$AE$6:$AE$505,"○")&gt;0,1,0))</f>
        <v/>
      </c>
      <c r="DQ92">
        <f>IF(DQ$4=0,0,IF(COUNTIFS(実績!$W$6:$W$505,DQ$3,実績!$AC$6:$AC$505,"&lt;="&amp;$A92,実績!$AD$6:$AD$505,"&gt;"&amp;$A92,実績!$AE$6:$AE$505,"○")&gt;0,1,0))</f>
        <v/>
      </c>
      <c r="DR92">
        <f>IF(DR$4=0,0,IF(COUNTIFS(実績!$W$6:$W$505,DR$3,実績!$AC$6:$AC$505,"&lt;="&amp;$A92,実績!$AD$6:$AD$505,"&gt;"&amp;$A92,実績!$AE$6:$AE$505,"○")&gt;0,1,0))</f>
        <v/>
      </c>
      <c r="DS92">
        <f>SUM(C92:DR92)</f>
        <v/>
      </c>
      <c r="DT92">
        <f>SUMPRODUCT((実績!$C$6:$C$505="○")*ISNUMBER(実績!$AF$6:$AF$505)*(実績!$AF$6:$AF$505&lt;=$A92)*(実績!$AG$6:$AG$505&gt;$A92))</f>
        <v/>
      </c>
      <c r="DU92">
        <f>SUMIF($C$2:$DR$2,"製鉄曳船",C92:DR92)</f>
        <v/>
      </c>
      <c r="DV92">
        <f>SUMIF($C$2:$DR$2,"西日本海運",C92:DR92)</f>
        <v/>
      </c>
    </row>
    <row r="93">
      <c r="A93" t="n">
        <v>435</v>
      </c>
      <c r="B93" s="29">
        <f>A93/1440</f>
        <v/>
      </c>
      <c r="C93">
        <f>IF(C$4=0,0,IF(COUNTIFS(実績!$W$6:$W$505,C$3,実績!$AC$6:$AC$505,"&lt;="&amp;$A93,実績!$AD$6:$AD$505,"&gt;"&amp;$A93,実績!$AE$6:$AE$505,"○")&gt;0,1,0))</f>
        <v/>
      </c>
      <c r="D93">
        <f>IF(D$4=0,0,IF(COUNTIFS(実績!$W$6:$W$505,D$3,実績!$AC$6:$AC$505,"&lt;="&amp;$A93,実績!$AD$6:$AD$505,"&gt;"&amp;$A93,実績!$AE$6:$AE$505,"○")&gt;0,1,0))</f>
        <v/>
      </c>
      <c r="E93">
        <f>IF(E$4=0,0,IF(COUNTIFS(実績!$W$6:$W$505,E$3,実績!$AC$6:$AC$505,"&lt;="&amp;$A93,実績!$AD$6:$AD$505,"&gt;"&amp;$A93,実績!$AE$6:$AE$505,"○")&gt;0,1,0))</f>
        <v/>
      </c>
      <c r="F93">
        <f>IF(F$4=0,0,IF(COUNTIFS(実績!$W$6:$W$505,F$3,実績!$AC$6:$AC$505,"&lt;="&amp;$A93,実績!$AD$6:$AD$505,"&gt;"&amp;$A93,実績!$AE$6:$AE$505,"○")&gt;0,1,0))</f>
        <v/>
      </c>
      <c r="G93">
        <f>IF(G$4=0,0,IF(COUNTIFS(実績!$W$6:$W$505,G$3,実績!$AC$6:$AC$505,"&lt;="&amp;$A93,実績!$AD$6:$AD$505,"&gt;"&amp;$A93,実績!$AE$6:$AE$505,"○")&gt;0,1,0))</f>
        <v/>
      </c>
      <c r="H93">
        <f>IF(H$4=0,0,IF(COUNTIFS(実績!$W$6:$W$505,H$3,実績!$AC$6:$AC$505,"&lt;="&amp;$A93,実績!$AD$6:$AD$505,"&gt;"&amp;$A93,実績!$AE$6:$AE$505,"○")&gt;0,1,0))</f>
        <v/>
      </c>
      <c r="I93">
        <f>IF(I$4=0,0,IF(COUNTIFS(実績!$W$6:$W$505,I$3,実績!$AC$6:$AC$505,"&lt;="&amp;$A93,実績!$AD$6:$AD$505,"&gt;"&amp;$A93,実績!$AE$6:$AE$505,"○")&gt;0,1,0))</f>
        <v/>
      </c>
      <c r="J93">
        <f>IF(J$4=0,0,IF(COUNTIFS(実績!$W$6:$W$505,J$3,実績!$AC$6:$AC$505,"&lt;="&amp;$A93,実績!$AD$6:$AD$505,"&gt;"&amp;$A93,実績!$AE$6:$AE$505,"○")&gt;0,1,0))</f>
        <v/>
      </c>
      <c r="K93">
        <f>IF(K$4=0,0,IF(COUNTIFS(実績!$W$6:$W$505,K$3,実績!$AC$6:$AC$505,"&lt;="&amp;$A93,実績!$AD$6:$AD$505,"&gt;"&amp;$A93,実績!$AE$6:$AE$505,"○")&gt;0,1,0))</f>
        <v/>
      </c>
      <c r="L93">
        <f>IF(L$4=0,0,IF(COUNTIFS(実績!$W$6:$W$505,L$3,実績!$AC$6:$AC$505,"&lt;="&amp;$A93,実績!$AD$6:$AD$505,"&gt;"&amp;$A93,実績!$AE$6:$AE$505,"○")&gt;0,1,0))</f>
        <v/>
      </c>
      <c r="M93">
        <f>IF(M$4=0,0,IF(COUNTIFS(実績!$W$6:$W$505,M$3,実績!$AC$6:$AC$505,"&lt;="&amp;$A93,実績!$AD$6:$AD$505,"&gt;"&amp;$A93,実績!$AE$6:$AE$505,"○")&gt;0,1,0))</f>
        <v/>
      </c>
      <c r="N93">
        <f>IF(N$4=0,0,IF(COUNTIFS(実績!$W$6:$W$505,N$3,実績!$AC$6:$AC$505,"&lt;="&amp;$A93,実績!$AD$6:$AD$505,"&gt;"&amp;$A93,実績!$AE$6:$AE$505,"○")&gt;0,1,0))</f>
        <v/>
      </c>
      <c r="O93">
        <f>IF(O$4=0,0,IF(COUNTIFS(実績!$W$6:$W$505,O$3,実績!$AC$6:$AC$505,"&lt;="&amp;$A93,実績!$AD$6:$AD$505,"&gt;"&amp;$A93,実績!$AE$6:$AE$505,"○")&gt;0,1,0))</f>
        <v/>
      </c>
      <c r="P93">
        <f>IF(P$4=0,0,IF(COUNTIFS(実績!$W$6:$W$505,P$3,実績!$AC$6:$AC$505,"&lt;="&amp;$A93,実績!$AD$6:$AD$505,"&gt;"&amp;$A93,実績!$AE$6:$AE$505,"○")&gt;0,1,0))</f>
        <v/>
      </c>
      <c r="Q93">
        <f>IF(Q$4=0,0,IF(COUNTIFS(実績!$W$6:$W$505,Q$3,実績!$AC$6:$AC$505,"&lt;="&amp;$A93,実績!$AD$6:$AD$505,"&gt;"&amp;$A93,実績!$AE$6:$AE$505,"○")&gt;0,1,0))</f>
        <v/>
      </c>
      <c r="R93">
        <f>IF(R$4=0,0,IF(COUNTIFS(実績!$W$6:$W$505,R$3,実績!$AC$6:$AC$505,"&lt;="&amp;$A93,実績!$AD$6:$AD$505,"&gt;"&amp;$A93,実績!$AE$6:$AE$505,"○")&gt;0,1,0))</f>
        <v/>
      </c>
      <c r="S93">
        <f>IF(S$4=0,0,IF(COUNTIFS(実績!$W$6:$W$505,S$3,実績!$AC$6:$AC$505,"&lt;="&amp;$A93,実績!$AD$6:$AD$505,"&gt;"&amp;$A93,実績!$AE$6:$AE$505,"○")&gt;0,1,0))</f>
        <v/>
      </c>
      <c r="T93">
        <f>IF(T$4=0,0,IF(COUNTIFS(実績!$W$6:$W$505,T$3,実績!$AC$6:$AC$505,"&lt;="&amp;$A93,実績!$AD$6:$AD$505,"&gt;"&amp;$A93,実績!$AE$6:$AE$505,"○")&gt;0,1,0))</f>
        <v/>
      </c>
      <c r="U93">
        <f>IF(U$4=0,0,IF(COUNTIFS(実績!$W$6:$W$505,U$3,実績!$AC$6:$AC$505,"&lt;="&amp;$A93,実績!$AD$6:$AD$505,"&gt;"&amp;$A93,実績!$AE$6:$AE$505,"○")&gt;0,1,0))</f>
        <v/>
      </c>
      <c r="V93">
        <f>IF(V$4=0,0,IF(COUNTIFS(実績!$W$6:$W$505,V$3,実績!$AC$6:$AC$505,"&lt;="&amp;$A93,実績!$AD$6:$AD$505,"&gt;"&amp;$A93,実績!$AE$6:$AE$505,"○")&gt;0,1,0))</f>
        <v/>
      </c>
      <c r="W93">
        <f>IF(W$4=0,0,IF(COUNTIFS(実績!$W$6:$W$505,W$3,実績!$AC$6:$AC$505,"&lt;="&amp;$A93,実績!$AD$6:$AD$505,"&gt;"&amp;$A93,実績!$AE$6:$AE$505,"○")&gt;0,1,0))</f>
        <v/>
      </c>
      <c r="X93">
        <f>IF(X$4=0,0,IF(COUNTIFS(実績!$W$6:$W$505,X$3,実績!$AC$6:$AC$505,"&lt;="&amp;$A93,実績!$AD$6:$AD$505,"&gt;"&amp;$A93,実績!$AE$6:$AE$505,"○")&gt;0,1,0))</f>
        <v/>
      </c>
      <c r="Y93">
        <f>IF(Y$4=0,0,IF(COUNTIFS(実績!$W$6:$W$505,Y$3,実績!$AC$6:$AC$505,"&lt;="&amp;$A93,実績!$AD$6:$AD$505,"&gt;"&amp;$A93,実績!$AE$6:$AE$505,"○")&gt;0,1,0))</f>
        <v/>
      </c>
      <c r="Z93">
        <f>IF(Z$4=0,0,IF(COUNTIFS(実績!$W$6:$W$505,Z$3,実績!$AC$6:$AC$505,"&lt;="&amp;$A93,実績!$AD$6:$AD$505,"&gt;"&amp;$A93,実績!$AE$6:$AE$505,"○")&gt;0,1,0))</f>
        <v/>
      </c>
      <c r="AA93">
        <f>IF(AA$4=0,0,IF(COUNTIFS(実績!$W$6:$W$505,AA$3,実績!$AC$6:$AC$505,"&lt;="&amp;$A93,実績!$AD$6:$AD$505,"&gt;"&amp;$A93,実績!$AE$6:$AE$505,"○")&gt;0,1,0))</f>
        <v/>
      </c>
      <c r="AB93">
        <f>IF(AB$4=0,0,IF(COUNTIFS(実績!$W$6:$W$505,AB$3,実績!$AC$6:$AC$505,"&lt;="&amp;$A93,実績!$AD$6:$AD$505,"&gt;"&amp;$A93,実績!$AE$6:$AE$505,"○")&gt;0,1,0))</f>
        <v/>
      </c>
      <c r="AC93">
        <f>IF(AC$4=0,0,IF(COUNTIFS(実績!$W$6:$W$505,AC$3,実績!$AC$6:$AC$505,"&lt;="&amp;$A93,実績!$AD$6:$AD$505,"&gt;"&amp;$A93,実績!$AE$6:$AE$505,"○")&gt;0,1,0))</f>
        <v/>
      </c>
      <c r="AD93">
        <f>IF(AD$4=0,0,IF(COUNTIFS(実績!$W$6:$W$505,AD$3,実績!$AC$6:$AC$505,"&lt;="&amp;$A93,実績!$AD$6:$AD$505,"&gt;"&amp;$A93,実績!$AE$6:$AE$505,"○")&gt;0,1,0))</f>
        <v/>
      </c>
      <c r="AE93">
        <f>IF(AE$4=0,0,IF(COUNTIFS(実績!$W$6:$W$505,AE$3,実績!$AC$6:$AC$505,"&lt;="&amp;$A93,実績!$AD$6:$AD$505,"&gt;"&amp;$A93,実績!$AE$6:$AE$505,"○")&gt;0,1,0))</f>
        <v/>
      </c>
      <c r="AF93">
        <f>IF(AF$4=0,0,IF(COUNTIFS(実績!$W$6:$W$505,AF$3,実績!$AC$6:$AC$505,"&lt;="&amp;$A93,実績!$AD$6:$AD$505,"&gt;"&amp;$A93,実績!$AE$6:$AE$505,"○")&gt;0,1,0))</f>
        <v/>
      </c>
      <c r="AG93">
        <f>IF(AG$4=0,0,IF(COUNTIFS(実績!$W$6:$W$505,AG$3,実績!$AC$6:$AC$505,"&lt;="&amp;$A93,実績!$AD$6:$AD$505,"&gt;"&amp;$A93,実績!$AE$6:$AE$505,"○")&gt;0,1,0))</f>
        <v/>
      </c>
      <c r="AH93">
        <f>IF(AH$4=0,0,IF(COUNTIFS(実績!$W$6:$W$505,AH$3,実績!$AC$6:$AC$505,"&lt;="&amp;$A93,実績!$AD$6:$AD$505,"&gt;"&amp;$A93,実績!$AE$6:$AE$505,"○")&gt;0,1,0))</f>
        <v/>
      </c>
      <c r="AI93">
        <f>IF(AI$4=0,0,IF(COUNTIFS(実績!$W$6:$W$505,AI$3,実績!$AC$6:$AC$505,"&lt;="&amp;$A93,実績!$AD$6:$AD$505,"&gt;"&amp;$A93,実績!$AE$6:$AE$505,"○")&gt;0,1,0))</f>
        <v/>
      </c>
      <c r="AJ93">
        <f>IF(AJ$4=0,0,IF(COUNTIFS(実績!$W$6:$W$505,AJ$3,実績!$AC$6:$AC$505,"&lt;="&amp;$A93,実績!$AD$6:$AD$505,"&gt;"&amp;$A93,実績!$AE$6:$AE$505,"○")&gt;0,1,0))</f>
        <v/>
      </c>
      <c r="AK93">
        <f>IF(AK$4=0,0,IF(COUNTIFS(実績!$W$6:$W$505,AK$3,実績!$AC$6:$AC$505,"&lt;="&amp;$A93,実績!$AD$6:$AD$505,"&gt;"&amp;$A93,実績!$AE$6:$AE$505,"○")&gt;0,1,0))</f>
        <v/>
      </c>
      <c r="AL93">
        <f>IF(AL$4=0,0,IF(COUNTIFS(実績!$W$6:$W$505,AL$3,実績!$AC$6:$AC$505,"&lt;="&amp;$A93,実績!$AD$6:$AD$505,"&gt;"&amp;$A93,実績!$AE$6:$AE$505,"○")&gt;0,1,0))</f>
        <v/>
      </c>
      <c r="AM93">
        <f>IF(AM$4=0,0,IF(COUNTIFS(実績!$W$6:$W$505,AM$3,実績!$AC$6:$AC$505,"&lt;="&amp;$A93,実績!$AD$6:$AD$505,"&gt;"&amp;$A93,実績!$AE$6:$AE$505,"○")&gt;0,1,0))</f>
        <v/>
      </c>
      <c r="AN93">
        <f>IF(AN$4=0,0,IF(COUNTIFS(実績!$W$6:$W$505,AN$3,実績!$AC$6:$AC$505,"&lt;="&amp;$A93,実績!$AD$6:$AD$505,"&gt;"&amp;$A93,実績!$AE$6:$AE$505,"○")&gt;0,1,0))</f>
        <v/>
      </c>
      <c r="AO93">
        <f>IF(AO$4=0,0,IF(COUNTIFS(実績!$W$6:$W$505,AO$3,実績!$AC$6:$AC$505,"&lt;="&amp;$A93,実績!$AD$6:$AD$505,"&gt;"&amp;$A93,実績!$AE$6:$AE$505,"○")&gt;0,1,0))</f>
        <v/>
      </c>
      <c r="AP93">
        <f>IF(AP$4=0,0,IF(COUNTIFS(実績!$W$6:$W$505,AP$3,実績!$AC$6:$AC$505,"&lt;="&amp;$A93,実績!$AD$6:$AD$505,"&gt;"&amp;$A93,実績!$AE$6:$AE$505,"○")&gt;0,1,0))</f>
        <v/>
      </c>
      <c r="AQ93">
        <f>IF(AQ$4=0,0,IF(COUNTIFS(実績!$W$6:$W$505,AQ$3,実績!$AC$6:$AC$505,"&lt;="&amp;$A93,実績!$AD$6:$AD$505,"&gt;"&amp;$A93,実績!$AE$6:$AE$505,"○")&gt;0,1,0))</f>
        <v/>
      </c>
      <c r="AR93">
        <f>IF(AR$4=0,0,IF(COUNTIFS(実績!$W$6:$W$505,AR$3,実績!$AC$6:$AC$505,"&lt;="&amp;$A93,実績!$AD$6:$AD$505,"&gt;"&amp;$A93,実績!$AE$6:$AE$505,"○")&gt;0,1,0))</f>
        <v/>
      </c>
      <c r="AS93">
        <f>IF(AS$4=0,0,IF(COUNTIFS(実績!$W$6:$W$505,AS$3,実績!$AC$6:$AC$505,"&lt;="&amp;$A93,実績!$AD$6:$AD$505,"&gt;"&amp;$A93,実績!$AE$6:$AE$505,"○")&gt;0,1,0))</f>
        <v/>
      </c>
      <c r="AT93">
        <f>IF(AT$4=0,0,IF(COUNTIFS(実績!$W$6:$W$505,AT$3,実績!$AC$6:$AC$505,"&lt;="&amp;$A93,実績!$AD$6:$AD$505,"&gt;"&amp;$A93,実績!$AE$6:$AE$505,"○")&gt;0,1,0))</f>
        <v/>
      </c>
      <c r="AU93">
        <f>IF(AU$4=0,0,IF(COUNTIFS(実績!$W$6:$W$505,AU$3,実績!$AC$6:$AC$505,"&lt;="&amp;$A93,実績!$AD$6:$AD$505,"&gt;"&amp;$A93,実績!$AE$6:$AE$505,"○")&gt;0,1,0))</f>
        <v/>
      </c>
      <c r="AV93">
        <f>IF(AV$4=0,0,IF(COUNTIFS(実績!$W$6:$W$505,AV$3,実績!$AC$6:$AC$505,"&lt;="&amp;$A93,実績!$AD$6:$AD$505,"&gt;"&amp;$A93,実績!$AE$6:$AE$505,"○")&gt;0,1,0))</f>
        <v/>
      </c>
      <c r="AW93">
        <f>IF(AW$4=0,0,IF(COUNTIFS(実績!$W$6:$W$505,AW$3,実績!$AC$6:$AC$505,"&lt;="&amp;$A93,実績!$AD$6:$AD$505,"&gt;"&amp;$A93,実績!$AE$6:$AE$505,"○")&gt;0,1,0))</f>
        <v/>
      </c>
      <c r="AX93">
        <f>IF(AX$4=0,0,IF(COUNTIFS(実績!$W$6:$W$505,AX$3,実績!$AC$6:$AC$505,"&lt;="&amp;$A93,実績!$AD$6:$AD$505,"&gt;"&amp;$A93,実績!$AE$6:$AE$505,"○")&gt;0,1,0))</f>
        <v/>
      </c>
      <c r="AY93">
        <f>IF(AY$4=0,0,IF(COUNTIFS(実績!$W$6:$W$505,AY$3,実績!$AC$6:$AC$505,"&lt;="&amp;$A93,実績!$AD$6:$AD$505,"&gt;"&amp;$A93,実績!$AE$6:$AE$505,"○")&gt;0,1,0))</f>
        <v/>
      </c>
      <c r="AZ93">
        <f>IF(AZ$4=0,0,IF(COUNTIFS(実績!$W$6:$W$505,AZ$3,実績!$AC$6:$AC$505,"&lt;="&amp;$A93,実績!$AD$6:$AD$505,"&gt;"&amp;$A93,実績!$AE$6:$AE$505,"○")&gt;0,1,0))</f>
        <v/>
      </c>
      <c r="BA93">
        <f>IF(BA$4=0,0,IF(COUNTIFS(実績!$W$6:$W$505,BA$3,実績!$AC$6:$AC$505,"&lt;="&amp;$A93,実績!$AD$6:$AD$505,"&gt;"&amp;$A93,実績!$AE$6:$AE$505,"○")&gt;0,1,0))</f>
        <v/>
      </c>
      <c r="BB93">
        <f>IF(BB$4=0,0,IF(COUNTIFS(実績!$W$6:$W$505,BB$3,実績!$AC$6:$AC$505,"&lt;="&amp;$A93,実績!$AD$6:$AD$505,"&gt;"&amp;$A93,実績!$AE$6:$AE$505,"○")&gt;0,1,0))</f>
        <v/>
      </c>
      <c r="BC93">
        <f>IF(BC$4=0,0,IF(COUNTIFS(実績!$W$6:$W$505,BC$3,実績!$AC$6:$AC$505,"&lt;="&amp;$A93,実績!$AD$6:$AD$505,"&gt;"&amp;$A93,実績!$AE$6:$AE$505,"○")&gt;0,1,0))</f>
        <v/>
      </c>
      <c r="BD93">
        <f>IF(BD$4=0,0,IF(COUNTIFS(実績!$W$6:$W$505,BD$3,実績!$AC$6:$AC$505,"&lt;="&amp;$A93,実績!$AD$6:$AD$505,"&gt;"&amp;$A93,実績!$AE$6:$AE$505,"○")&gt;0,1,0))</f>
        <v/>
      </c>
      <c r="BE93">
        <f>IF(BE$4=0,0,IF(COUNTIFS(実績!$W$6:$W$505,BE$3,実績!$AC$6:$AC$505,"&lt;="&amp;$A93,実績!$AD$6:$AD$505,"&gt;"&amp;$A93,実績!$AE$6:$AE$505,"○")&gt;0,1,0))</f>
        <v/>
      </c>
      <c r="BF93">
        <f>IF(BF$4=0,0,IF(COUNTIFS(実績!$W$6:$W$505,BF$3,実績!$AC$6:$AC$505,"&lt;="&amp;$A93,実績!$AD$6:$AD$505,"&gt;"&amp;$A93,実績!$AE$6:$AE$505,"○")&gt;0,1,0))</f>
        <v/>
      </c>
      <c r="BG93">
        <f>IF(BG$4=0,0,IF(COUNTIFS(実績!$W$6:$W$505,BG$3,実績!$AC$6:$AC$505,"&lt;="&amp;$A93,実績!$AD$6:$AD$505,"&gt;"&amp;$A93,実績!$AE$6:$AE$505,"○")&gt;0,1,0))</f>
        <v/>
      </c>
      <c r="BH93">
        <f>IF(BH$4=0,0,IF(COUNTIFS(実績!$W$6:$W$505,BH$3,実績!$AC$6:$AC$505,"&lt;="&amp;$A93,実績!$AD$6:$AD$505,"&gt;"&amp;$A93,実績!$AE$6:$AE$505,"○")&gt;0,1,0))</f>
        <v/>
      </c>
      <c r="BI93">
        <f>IF(BI$4=0,0,IF(COUNTIFS(実績!$W$6:$W$505,BI$3,実績!$AC$6:$AC$505,"&lt;="&amp;$A93,実績!$AD$6:$AD$505,"&gt;"&amp;$A93,実績!$AE$6:$AE$505,"○")&gt;0,1,0))</f>
        <v/>
      </c>
      <c r="BJ93">
        <f>IF(BJ$4=0,0,IF(COUNTIFS(実績!$W$6:$W$505,BJ$3,実績!$AC$6:$AC$505,"&lt;="&amp;$A93,実績!$AD$6:$AD$505,"&gt;"&amp;$A93,実績!$AE$6:$AE$505,"○")&gt;0,1,0))</f>
        <v/>
      </c>
      <c r="BK93">
        <f>IF(BK$4=0,0,IF(COUNTIFS(実績!$W$6:$W$505,BK$3,実績!$AC$6:$AC$505,"&lt;="&amp;$A93,実績!$AD$6:$AD$505,"&gt;"&amp;$A93,実績!$AE$6:$AE$505,"○")&gt;0,1,0))</f>
        <v/>
      </c>
      <c r="BL93">
        <f>IF(BL$4=0,0,IF(COUNTIFS(実績!$W$6:$W$505,BL$3,実績!$AC$6:$AC$505,"&lt;="&amp;$A93,実績!$AD$6:$AD$505,"&gt;"&amp;$A93,実績!$AE$6:$AE$505,"○")&gt;0,1,0))</f>
        <v/>
      </c>
      <c r="BM93">
        <f>IF(BM$4=0,0,IF(COUNTIFS(実績!$W$6:$W$505,BM$3,実績!$AC$6:$AC$505,"&lt;="&amp;$A93,実績!$AD$6:$AD$505,"&gt;"&amp;$A93,実績!$AE$6:$AE$505,"○")&gt;0,1,0))</f>
        <v/>
      </c>
      <c r="BN93">
        <f>IF(BN$4=0,0,IF(COUNTIFS(実績!$W$6:$W$505,BN$3,実績!$AC$6:$AC$505,"&lt;="&amp;$A93,実績!$AD$6:$AD$505,"&gt;"&amp;$A93,実績!$AE$6:$AE$505,"○")&gt;0,1,0))</f>
        <v/>
      </c>
      <c r="BO93">
        <f>IF(BO$4=0,0,IF(COUNTIFS(実績!$W$6:$W$505,BO$3,実績!$AC$6:$AC$505,"&lt;="&amp;$A93,実績!$AD$6:$AD$505,"&gt;"&amp;$A93,実績!$AE$6:$AE$505,"○")&gt;0,1,0))</f>
        <v/>
      </c>
      <c r="BP93">
        <f>IF(BP$4=0,0,IF(COUNTIFS(実績!$W$6:$W$505,BP$3,実績!$AC$6:$AC$505,"&lt;="&amp;$A93,実績!$AD$6:$AD$505,"&gt;"&amp;$A93,実績!$AE$6:$AE$505,"○")&gt;0,1,0))</f>
        <v/>
      </c>
      <c r="BQ93">
        <f>IF(BQ$4=0,0,IF(COUNTIFS(実績!$W$6:$W$505,BQ$3,実績!$AC$6:$AC$505,"&lt;="&amp;$A93,実績!$AD$6:$AD$505,"&gt;"&amp;$A93,実績!$AE$6:$AE$505,"○")&gt;0,1,0))</f>
        <v/>
      </c>
      <c r="BR93">
        <f>IF(BR$4=0,0,IF(COUNTIFS(実績!$W$6:$W$505,BR$3,実績!$AC$6:$AC$505,"&lt;="&amp;$A93,実績!$AD$6:$AD$505,"&gt;"&amp;$A93,実績!$AE$6:$AE$505,"○")&gt;0,1,0))</f>
        <v/>
      </c>
      <c r="BS93">
        <f>IF(BS$4=0,0,IF(COUNTIFS(実績!$W$6:$W$505,BS$3,実績!$AC$6:$AC$505,"&lt;="&amp;$A93,実績!$AD$6:$AD$505,"&gt;"&amp;$A93,実績!$AE$6:$AE$505,"○")&gt;0,1,0))</f>
        <v/>
      </c>
      <c r="BT93">
        <f>IF(BT$4=0,0,IF(COUNTIFS(実績!$W$6:$W$505,BT$3,実績!$AC$6:$AC$505,"&lt;="&amp;$A93,実績!$AD$6:$AD$505,"&gt;"&amp;$A93,実績!$AE$6:$AE$505,"○")&gt;0,1,0))</f>
        <v/>
      </c>
      <c r="BU93">
        <f>IF(BU$4=0,0,IF(COUNTIFS(実績!$W$6:$W$505,BU$3,実績!$AC$6:$AC$505,"&lt;="&amp;$A93,実績!$AD$6:$AD$505,"&gt;"&amp;$A93,実績!$AE$6:$AE$505,"○")&gt;0,1,0))</f>
        <v/>
      </c>
      <c r="BV93">
        <f>IF(BV$4=0,0,IF(COUNTIFS(実績!$W$6:$W$505,BV$3,実績!$AC$6:$AC$505,"&lt;="&amp;$A93,実績!$AD$6:$AD$505,"&gt;"&amp;$A93,実績!$AE$6:$AE$505,"○")&gt;0,1,0))</f>
        <v/>
      </c>
      <c r="BW93">
        <f>IF(BW$4=0,0,IF(COUNTIFS(実績!$W$6:$W$505,BW$3,実績!$AC$6:$AC$505,"&lt;="&amp;$A93,実績!$AD$6:$AD$505,"&gt;"&amp;$A93,実績!$AE$6:$AE$505,"○")&gt;0,1,0))</f>
        <v/>
      </c>
      <c r="BX93">
        <f>IF(BX$4=0,0,IF(COUNTIFS(実績!$W$6:$W$505,BX$3,実績!$AC$6:$AC$505,"&lt;="&amp;$A93,実績!$AD$6:$AD$505,"&gt;"&amp;$A93,実績!$AE$6:$AE$505,"○")&gt;0,1,0))</f>
        <v/>
      </c>
      <c r="BY93">
        <f>IF(BY$4=0,0,IF(COUNTIFS(実績!$W$6:$W$505,BY$3,実績!$AC$6:$AC$505,"&lt;="&amp;$A93,実績!$AD$6:$AD$505,"&gt;"&amp;$A93,実績!$AE$6:$AE$505,"○")&gt;0,1,0))</f>
        <v/>
      </c>
      <c r="BZ93">
        <f>IF(BZ$4=0,0,IF(COUNTIFS(実績!$W$6:$W$505,BZ$3,実績!$AC$6:$AC$505,"&lt;="&amp;$A93,実績!$AD$6:$AD$505,"&gt;"&amp;$A93,実績!$AE$6:$AE$505,"○")&gt;0,1,0))</f>
        <v/>
      </c>
      <c r="CA93">
        <f>IF(CA$4=0,0,IF(COUNTIFS(実績!$W$6:$W$505,CA$3,実績!$AC$6:$AC$505,"&lt;="&amp;$A93,実績!$AD$6:$AD$505,"&gt;"&amp;$A93,実績!$AE$6:$AE$505,"○")&gt;0,1,0))</f>
        <v/>
      </c>
      <c r="CB93">
        <f>IF(CB$4=0,0,IF(COUNTIFS(実績!$W$6:$W$505,CB$3,実績!$AC$6:$AC$505,"&lt;="&amp;$A93,実績!$AD$6:$AD$505,"&gt;"&amp;$A93,実績!$AE$6:$AE$505,"○")&gt;0,1,0))</f>
        <v/>
      </c>
      <c r="CC93">
        <f>IF(CC$4=0,0,IF(COUNTIFS(実績!$W$6:$W$505,CC$3,実績!$AC$6:$AC$505,"&lt;="&amp;$A93,実績!$AD$6:$AD$505,"&gt;"&amp;$A93,実績!$AE$6:$AE$505,"○")&gt;0,1,0))</f>
        <v/>
      </c>
      <c r="CD93">
        <f>IF(CD$4=0,0,IF(COUNTIFS(実績!$W$6:$W$505,CD$3,実績!$AC$6:$AC$505,"&lt;="&amp;$A93,実績!$AD$6:$AD$505,"&gt;"&amp;$A93,実績!$AE$6:$AE$505,"○")&gt;0,1,0))</f>
        <v/>
      </c>
      <c r="CE93">
        <f>IF(CE$4=0,0,IF(COUNTIFS(実績!$W$6:$W$505,CE$3,実績!$AC$6:$AC$505,"&lt;="&amp;$A93,実績!$AD$6:$AD$505,"&gt;"&amp;$A93,実績!$AE$6:$AE$505,"○")&gt;0,1,0))</f>
        <v/>
      </c>
      <c r="CF93">
        <f>IF(CF$4=0,0,IF(COUNTIFS(実績!$W$6:$W$505,CF$3,実績!$AC$6:$AC$505,"&lt;="&amp;$A93,実績!$AD$6:$AD$505,"&gt;"&amp;$A93,実績!$AE$6:$AE$505,"○")&gt;0,1,0))</f>
        <v/>
      </c>
      <c r="CG93">
        <f>IF(CG$4=0,0,IF(COUNTIFS(実績!$W$6:$W$505,CG$3,実績!$AC$6:$AC$505,"&lt;="&amp;$A93,実績!$AD$6:$AD$505,"&gt;"&amp;$A93,実績!$AE$6:$AE$505,"○")&gt;0,1,0))</f>
        <v/>
      </c>
      <c r="CH93">
        <f>IF(CH$4=0,0,IF(COUNTIFS(実績!$W$6:$W$505,CH$3,実績!$AC$6:$AC$505,"&lt;="&amp;$A93,実績!$AD$6:$AD$505,"&gt;"&amp;$A93,実績!$AE$6:$AE$505,"○")&gt;0,1,0))</f>
        <v/>
      </c>
      <c r="CI93">
        <f>IF(CI$4=0,0,IF(COUNTIFS(実績!$W$6:$W$505,CI$3,実績!$AC$6:$AC$505,"&lt;="&amp;$A93,実績!$AD$6:$AD$505,"&gt;"&amp;$A93,実績!$AE$6:$AE$505,"○")&gt;0,1,0))</f>
        <v/>
      </c>
      <c r="CJ93">
        <f>IF(CJ$4=0,0,IF(COUNTIFS(実績!$W$6:$W$505,CJ$3,実績!$AC$6:$AC$505,"&lt;="&amp;$A93,実績!$AD$6:$AD$505,"&gt;"&amp;$A93,実績!$AE$6:$AE$505,"○")&gt;0,1,0))</f>
        <v/>
      </c>
      <c r="CK93">
        <f>IF(CK$4=0,0,IF(COUNTIFS(実績!$W$6:$W$505,CK$3,実績!$AC$6:$AC$505,"&lt;="&amp;$A93,実績!$AD$6:$AD$505,"&gt;"&amp;$A93,実績!$AE$6:$AE$505,"○")&gt;0,1,0))</f>
        <v/>
      </c>
      <c r="CL93">
        <f>IF(CL$4=0,0,IF(COUNTIFS(実績!$W$6:$W$505,CL$3,実績!$AC$6:$AC$505,"&lt;="&amp;$A93,実績!$AD$6:$AD$505,"&gt;"&amp;$A93,実績!$AE$6:$AE$505,"○")&gt;0,1,0))</f>
        <v/>
      </c>
      <c r="CM93">
        <f>IF(CM$4=0,0,IF(COUNTIFS(実績!$W$6:$W$505,CM$3,実績!$AC$6:$AC$505,"&lt;="&amp;$A93,実績!$AD$6:$AD$505,"&gt;"&amp;$A93,実績!$AE$6:$AE$505,"○")&gt;0,1,0))</f>
        <v/>
      </c>
      <c r="CN93">
        <f>IF(CN$4=0,0,IF(COUNTIFS(実績!$W$6:$W$505,CN$3,実績!$AC$6:$AC$505,"&lt;="&amp;$A93,実績!$AD$6:$AD$505,"&gt;"&amp;$A93,実績!$AE$6:$AE$505,"○")&gt;0,1,0))</f>
        <v/>
      </c>
      <c r="CO93">
        <f>IF(CO$4=0,0,IF(COUNTIFS(実績!$W$6:$W$505,CO$3,実績!$AC$6:$AC$505,"&lt;="&amp;$A93,実績!$AD$6:$AD$505,"&gt;"&amp;$A93,実績!$AE$6:$AE$505,"○")&gt;0,1,0))</f>
        <v/>
      </c>
      <c r="CP93">
        <f>IF(CP$4=0,0,IF(COUNTIFS(実績!$W$6:$W$505,CP$3,実績!$AC$6:$AC$505,"&lt;="&amp;$A93,実績!$AD$6:$AD$505,"&gt;"&amp;$A93,実績!$AE$6:$AE$505,"○")&gt;0,1,0))</f>
        <v/>
      </c>
      <c r="CQ93">
        <f>IF(CQ$4=0,0,IF(COUNTIFS(実績!$W$6:$W$505,CQ$3,実績!$AC$6:$AC$505,"&lt;="&amp;$A93,実績!$AD$6:$AD$505,"&gt;"&amp;$A93,実績!$AE$6:$AE$505,"○")&gt;0,1,0))</f>
        <v/>
      </c>
      <c r="CR93">
        <f>IF(CR$4=0,0,IF(COUNTIFS(実績!$W$6:$W$505,CR$3,実績!$AC$6:$AC$505,"&lt;="&amp;$A93,実績!$AD$6:$AD$505,"&gt;"&amp;$A93,実績!$AE$6:$AE$505,"○")&gt;0,1,0))</f>
        <v/>
      </c>
      <c r="CS93">
        <f>IF(CS$4=0,0,IF(COUNTIFS(実績!$W$6:$W$505,CS$3,実績!$AC$6:$AC$505,"&lt;="&amp;$A93,実績!$AD$6:$AD$505,"&gt;"&amp;$A93,実績!$AE$6:$AE$505,"○")&gt;0,1,0))</f>
        <v/>
      </c>
      <c r="CT93">
        <f>IF(CT$4=0,0,IF(COUNTIFS(実績!$W$6:$W$505,CT$3,実績!$AC$6:$AC$505,"&lt;="&amp;$A93,実績!$AD$6:$AD$505,"&gt;"&amp;$A93,実績!$AE$6:$AE$505,"○")&gt;0,1,0))</f>
        <v/>
      </c>
      <c r="CU93">
        <f>IF(CU$4=0,0,IF(COUNTIFS(実績!$W$6:$W$505,CU$3,実績!$AC$6:$AC$505,"&lt;="&amp;$A93,実績!$AD$6:$AD$505,"&gt;"&amp;$A93,実績!$AE$6:$AE$505,"○")&gt;0,1,0))</f>
        <v/>
      </c>
      <c r="CV93">
        <f>IF(CV$4=0,0,IF(COUNTIFS(実績!$W$6:$W$505,CV$3,実績!$AC$6:$AC$505,"&lt;="&amp;$A93,実績!$AD$6:$AD$505,"&gt;"&amp;$A93,実績!$AE$6:$AE$505,"○")&gt;0,1,0))</f>
        <v/>
      </c>
      <c r="CW93">
        <f>IF(CW$4=0,0,IF(COUNTIFS(実績!$W$6:$W$505,CW$3,実績!$AC$6:$AC$505,"&lt;="&amp;$A93,実績!$AD$6:$AD$505,"&gt;"&amp;$A93,実績!$AE$6:$AE$505,"○")&gt;0,1,0))</f>
        <v/>
      </c>
      <c r="CX93">
        <f>IF(CX$4=0,0,IF(COUNTIFS(実績!$W$6:$W$505,CX$3,実績!$AC$6:$AC$505,"&lt;="&amp;$A93,実績!$AD$6:$AD$505,"&gt;"&amp;$A93,実績!$AE$6:$AE$505,"○")&gt;0,1,0))</f>
        <v/>
      </c>
      <c r="CY93">
        <f>IF(CY$4=0,0,IF(COUNTIFS(実績!$W$6:$W$505,CY$3,実績!$AC$6:$AC$505,"&lt;="&amp;$A93,実績!$AD$6:$AD$505,"&gt;"&amp;$A93,実績!$AE$6:$AE$505,"○")&gt;0,1,0))</f>
        <v/>
      </c>
      <c r="CZ93">
        <f>IF(CZ$4=0,0,IF(COUNTIFS(実績!$W$6:$W$505,CZ$3,実績!$AC$6:$AC$505,"&lt;="&amp;$A93,実績!$AD$6:$AD$505,"&gt;"&amp;$A93,実績!$AE$6:$AE$505,"○")&gt;0,1,0))</f>
        <v/>
      </c>
      <c r="DA93">
        <f>IF(DA$4=0,0,IF(COUNTIFS(実績!$W$6:$W$505,DA$3,実績!$AC$6:$AC$505,"&lt;="&amp;$A93,実績!$AD$6:$AD$505,"&gt;"&amp;$A93,実績!$AE$6:$AE$505,"○")&gt;0,1,0))</f>
        <v/>
      </c>
      <c r="DB93">
        <f>IF(DB$4=0,0,IF(COUNTIFS(実績!$W$6:$W$505,DB$3,実績!$AC$6:$AC$505,"&lt;="&amp;$A93,実績!$AD$6:$AD$505,"&gt;"&amp;$A93,実績!$AE$6:$AE$505,"○")&gt;0,1,0))</f>
        <v/>
      </c>
      <c r="DC93">
        <f>IF(DC$4=0,0,IF(COUNTIFS(実績!$W$6:$W$505,DC$3,実績!$AC$6:$AC$505,"&lt;="&amp;$A93,実績!$AD$6:$AD$505,"&gt;"&amp;$A93,実績!$AE$6:$AE$505,"○")&gt;0,1,0))</f>
        <v/>
      </c>
      <c r="DD93">
        <f>IF(DD$4=0,0,IF(COUNTIFS(実績!$W$6:$W$505,DD$3,実績!$AC$6:$AC$505,"&lt;="&amp;$A93,実績!$AD$6:$AD$505,"&gt;"&amp;$A93,実績!$AE$6:$AE$505,"○")&gt;0,1,0))</f>
        <v/>
      </c>
      <c r="DE93">
        <f>IF(DE$4=0,0,IF(COUNTIFS(実績!$W$6:$W$505,DE$3,実績!$AC$6:$AC$505,"&lt;="&amp;$A93,実績!$AD$6:$AD$505,"&gt;"&amp;$A93,実績!$AE$6:$AE$505,"○")&gt;0,1,0))</f>
        <v/>
      </c>
      <c r="DF93">
        <f>IF(DF$4=0,0,IF(COUNTIFS(実績!$W$6:$W$505,DF$3,実績!$AC$6:$AC$505,"&lt;="&amp;$A93,実績!$AD$6:$AD$505,"&gt;"&amp;$A93,実績!$AE$6:$AE$505,"○")&gt;0,1,0))</f>
        <v/>
      </c>
      <c r="DG93">
        <f>IF(DG$4=0,0,IF(COUNTIFS(実績!$W$6:$W$505,DG$3,実績!$AC$6:$AC$505,"&lt;="&amp;$A93,実績!$AD$6:$AD$505,"&gt;"&amp;$A93,実績!$AE$6:$AE$505,"○")&gt;0,1,0))</f>
        <v/>
      </c>
      <c r="DH93">
        <f>IF(DH$4=0,0,IF(COUNTIFS(実績!$W$6:$W$505,DH$3,実績!$AC$6:$AC$505,"&lt;="&amp;$A93,実績!$AD$6:$AD$505,"&gt;"&amp;$A93,実績!$AE$6:$AE$505,"○")&gt;0,1,0))</f>
        <v/>
      </c>
      <c r="DI93">
        <f>IF(DI$4=0,0,IF(COUNTIFS(実績!$W$6:$W$505,DI$3,実績!$AC$6:$AC$505,"&lt;="&amp;$A93,実績!$AD$6:$AD$505,"&gt;"&amp;$A93,実績!$AE$6:$AE$505,"○")&gt;0,1,0))</f>
        <v/>
      </c>
      <c r="DJ93">
        <f>IF(DJ$4=0,0,IF(COUNTIFS(実績!$W$6:$W$505,DJ$3,実績!$AC$6:$AC$505,"&lt;="&amp;$A93,実績!$AD$6:$AD$505,"&gt;"&amp;$A93,実績!$AE$6:$AE$505,"○")&gt;0,1,0))</f>
        <v/>
      </c>
      <c r="DK93">
        <f>IF(DK$4=0,0,IF(COUNTIFS(実績!$W$6:$W$505,DK$3,実績!$AC$6:$AC$505,"&lt;="&amp;$A93,実績!$AD$6:$AD$505,"&gt;"&amp;$A93,実績!$AE$6:$AE$505,"○")&gt;0,1,0))</f>
        <v/>
      </c>
      <c r="DL93">
        <f>IF(DL$4=0,0,IF(COUNTIFS(実績!$W$6:$W$505,DL$3,実績!$AC$6:$AC$505,"&lt;="&amp;$A93,実績!$AD$6:$AD$505,"&gt;"&amp;$A93,実績!$AE$6:$AE$505,"○")&gt;0,1,0))</f>
        <v/>
      </c>
      <c r="DM93">
        <f>IF(DM$4=0,0,IF(COUNTIFS(実績!$W$6:$W$505,DM$3,実績!$AC$6:$AC$505,"&lt;="&amp;$A93,実績!$AD$6:$AD$505,"&gt;"&amp;$A93,実績!$AE$6:$AE$505,"○")&gt;0,1,0))</f>
        <v/>
      </c>
      <c r="DN93">
        <f>IF(DN$4=0,0,IF(COUNTIFS(実績!$W$6:$W$505,DN$3,実績!$AC$6:$AC$505,"&lt;="&amp;$A93,実績!$AD$6:$AD$505,"&gt;"&amp;$A93,実績!$AE$6:$AE$505,"○")&gt;0,1,0))</f>
        <v/>
      </c>
      <c r="DO93">
        <f>IF(DO$4=0,0,IF(COUNTIFS(実績!$W$6:$W$505,DO$3,実績!$AC$6:$AC$505,"&lt;="&amp;$A93,実績!$AD$6:$AD$505,"&gt;"&amp;$A93,実績!$AE$6:$AE$505,"○")&gt;0,1,0))</f>
        <v/>
      </c>
      <c r="DP93">
        <f>IF(DP$4=0,0,IF(COUNTIFS(実績!$W$6:$W$505,DP$3,実績!$AC$6:$AC$505,"&lt;="&amp;$A93,実績!$AD$6:$AD$505,"&gt;"&amp;$A93,実績!$AE$6:$AE$505,"○")&gt;0,1,0))</f>
        <v/>
      </c>
      <c r="DQ93">
        <f>IF(DQ$4=0,0,IF(COUNTIFS(実績!$W$6:$W$505,DQ$3,実績!$AC$6:$AC$505,"&lt;="&amp;$A93,実績!$AD$6:$AD$505,"&gt;"&amp;$A93,実績!$AE$6:$AE$505,"○")&gt;0,1,0))</f>
        <v/>
      </c>
      <c r="DR93">
        <f>IF(DR$4=0,0,IF(COUNTIFS(実績!$W$6:$W$505,DR$3,実績!$AC$6:$AC$505,"&lt;="&amp;$A93,実績!$AD$6:$AD$505,"&gt;"&amp;$A93,実績!$AE$6:$AE$505,"○")&gt;0,1,0))</f>
        <v/>
      </c>
      <c r="DS93">
        <f>SUM(C93:DR93)</f>
        <v/>
      </c>
      <c r="DT93">
        <f>SUMPRODUCT((実績!$C$6:$C$505="○")*ISNUMBER(実績!$AF$6:$AF$505)*(実績!$AF$6:$AF$505&lt;=$A93)*(実績!$AG$6:$AG$505&gt;$A93))</f>
        <v/>
      </c>
      <c r="DU93">
        <f>SUMIF($C$2:$DR$2,"製鉄曳船",C93:DR93)</f>
        <v/>
      </c>
      <c r="DV93">
        <f>SUMIF($C$2:$DR$2,"西日本海運",C93:DR93)</f>
        <v/>
      </c>
    </row>
    <row r="94">
      <c r="A94" t="n">
        <v>440</v>
      </c>
      <c r="B94" s="29">
        <f>A94/1440</f>
        <v/>
      </c>
      <c r="C94">
        <f>IF(C$4=0,0,IF(COUNTIFS(実績!$W$6:$W$505,C$3,実績!$AC$6:$AC$505,"&lt;="&amp;$A94,実績!$AD$6:$AD$505,"&gt;"&amp;$A94,実績!$AE$6:$AE$505,"○")&gt;0,1,0))</f>
        <v/>
      </c>
      <c r="D94">
        <f>IF(D$4=0,0,IF(COUNTIFS(実績!$W$6:$W$505,D$3,実績!$AC$6:$AC$505,"&lt;="&amp;$A94,実績!$AD$6:$AD$505,"&gt;"&amp;$A94,実績!$AE$6:$AE$505,"○")&gt;0,1,0))</f>
        <v/>
      </c>
      <c r="E94">
        <f>IF(E$4=0,0,IF(COUNTIFS(実績!$W$6:$W$505,E$3,実績!$AC$6:$AC$505,"&lt;="&amp;$A94,実績!$AD$6:$AD$505,"&gt;"&amp;$A94,実績!$AE$6:$AE$505,"○")&gt;0,1,0))</f>
        <v/>
      </c>
      <c r="F94">
        <f>IF(F$4=0,0,IF(COUNTIFS(実績!$W$6:$W$505,F$3,実績!$AC$6:$AC$505,"&lt;="&amp;$A94,実績!$AD$6:$AD$505,"&gt;"&amp;$A94,実績!$AE$6:$AE$505,"○")&gt;0,1,0))</f>
        <v/>
      </c>
      <c r="G94">
        <f>IF(G$4=0,0,IF(COUNTIFS(実績!$W$6:$W$505,G$3,実績!$AC$6:$AC$505,"&lt;="&amp;$A94,実績!$AD$6:$AD$505,"&gt;"&amp;$A94,実績!$AE$6:$AE$505,"○")&gt;0,1,0))</f>
        <v/>
      </c>
      <c r="H94">
        <f>IF(H$4=0,0,IF(COUNTIFS(実績!$W$6:$W$505,H$3,実績!$AC$6:$AC$505,"&lt;="&amp;$A94,実績!$AD$6:$AD$505,"&gt;"&amp;$A94,実績!$AE$6:$AE$505,"○")&gt;0,1,0))</f>
        <v/>
      </c>
      <c r="I94">
        <f>IF(I$4=0,0,IF(COUNTIFS(実績!$W$6:$W$505,I$3,実績!$AC$6:$AC$505,"&lt;="&amp;$A94,実績!$AD$6:$AD$505,"&gt;"&amp;$A94,実績!$AE$6:$AE$505,"○")&gt;0,1,0))</f>
        <v/>
      </c>
      <c r="J94">
        <f>IF(J$4=0,0,IF(COUNTIFS(実績!$W$6:$W$505,J$3,実績!$AC$6:$AC$505,"&lt;="&amp;$A94,実績!$AD$6:$AD$505,"&gt;"&amp;$A94,実績!$AE$6:$AE$505,"○")&gt;0,1,0))</f>
        <v/>
      </c>
      <c r="K94">
        <f>IF(K$4=0,0,IF(COUNTIFS(実績!$W$6:$W$505,K$3,実績!$AC$6:$AC$505,"&lt;="&amp;$A94,実績!$AD$6:$AD$505,"&gt;"&amp;$A94,実績!$AE$6:$AE$505,"○")&gt;0,1,0))</f>
        <v/>
      </c>
      <c r="L94">
        <f>IF(L$4=0,0,IF(COUNTIFS(実績!$W$6:$W$505,L$3,実績!$AC$6:$AC$505,"&lt;="&amp;$A94,実績!$AD$6:$AD$505,"&gt;"&amp;$A94,実績!$AE$6:$AE$505,"○")&gt;0,1,0))</f>
        <v/>
      </c>
      <c r="M94">
        <f>IF(M$4=0,0,IF(COUNTIFS(実績!$W$6:$W$505,M$3,実績!$AC$6:$AC$505,"&lt;="&amp;$A94,実績!$AD$6:$AD$505,"&gt;"&amp;$A94,実績!$AE$6:$AE$505,"○")&gt;0,1,0))</f>
        <v/>
      </c>
      <c r="N94">
        <f>IF(N$4=0,0,IF(COUNTIFS(実績!$W$6:$W$505,N$3,実績!$AC$6:$AC$505,"&lt;="&amp;$A94,実績!$AD$6:$AD$505,"&gt;"&amp;$A94,実績!$AE$6:$AE$505,"○")&gt;0,1,0))</f>
        <v/>
      </c>
      <c r="O94">
        <f>IF(O$4=0,0,IF(COUNTIFS(実績!$W$6:$W$505,O$3,実績!$AC$6:$AC$505,"&lt;="&amp;$A94,実績!$AD$6:$AD$505,"&gt;"&amp;$A94,実績!$AE$6:$AE$505,"○")&gt;0,1,0))</f>
        <v/>
      </c>
      <c r="P94">
        <f>IF(P$4=0,0,IF(COUNTIFS(実績!$W$6:$W$505,P$3,実績!$AC$6:$AC$505,"&lt;="&amp;$A94,実績!$AD$6:$AD$505,"&gt;"&amp;$A94,実績!$AE$6:$AE$505,"○")&gt;0,1,0))</f>
        <v/>
      </c>
      <c r="Q94">
        <f>IF(Q$4=0,0,IF(COUNTIFS(実績!$W$6:$W$505,Q$3,実績!$AC$6:$AC$505,"&lt;="&amp;$A94,実績!$AD$6:$AD$505,"&gt;"&amp;$A94,実績!$AE$6:$AE$505,"○")&gt;0,1,0))</f>
        <v/>
      </c>
      <c r="R94">
        <f>IF(R$4=0,0,IF(COUNTIFS(実績!$W$6:$W$505,R$3,実績!$AC$6:$AC$505,"&lt;="&amp;$A94,実績!$AD$6:$AD$505,"&gt;"&amp;$A94,実績!$AE$6:$AE$505,"○")&gt;0,1,0))</f>
        <v/>
      </c>
      <c r="S94">
        <f>IF(S$4=0,0,IF(COUNTIFS(実績!$W$6:$W$505,S$3,実績!$AC$6:$AC$505,"&lt;="&amp;$A94,実績!$AD$6:$AD$505,"&gt;"&amp;$A94,実績!$AE$6:$AE$505,"○")&gt;0,1,0))</f>
        <v/>
      </c>
      <c r="T94">
        <f>IF(T$4=0,0,IF(COUNTIFS(実績!$W$6:$W$505,T$3,実績!$AC$6:$AC$505,"&lt;="&amp;$A94,実績!$AD$6:$AD$505,"&gt;"&amp;$A94,実績!$AE$6:$AE$505,"○")&gt;0,1,0))</f>
        <v/>
      </c>
      <c r="U94">
        <f>IF(U$4=0,0,IF(COUNTIFS(実績!$W$6:$W$505,U$3,実績!$AC$6:$AC$505,"&lt;="&amp;$A94,実績!$AD$6:$AD$505,"&gt;"&amp;$A94,実績!$AE$6:$AE$505,"○")&gt;0,1,0))</f>
        <v/>
      </c>
      <c r="V94">
        <f>IF(V$4=0,0,IF(COUNTIFS(実績!$W$6:$W$505,V$3,実績!$AC$6:$AC$505,"&lt;="&amp;$A94,実績!$AD$6:$AD$505,"&gt;"&amp;$A94,実績!$AE$6:$AE$505,"○")&gt;0,1,0))</f>
        <v/>
      </c>
      <c r="W94">
        <f>IF(W$4=0,0,IF(COUNTIFS(実績!$W$6:$W$505,W$3,実績!$AC$6:$AC$505,"&lt;="&amp;$A94,実績!$AD$6:$AD$505,"&gt;"&amp;$A94,実績!$AE$6:$AE$505,"○")&gt;0,1,0))</f>
        <v/>
      </c>
      <c r="X94">
        <f>IF(X$4=0,0,IF(COUNTIFS(実績!$W$6:$W$505,X$3,実績!$AC$6:$AC$505,"&lt;="&amp;$A94,実績!$AD$6:$AD$505,"&gt;"&amp;$A94,実績!$AE$6:$AE$505,"○")&gt;0,1,0))</f>
        <v/>
      </c>
      <c r="Y94">
        <f>IF(Y$4=0,0,IF(COUNTIFS(実績!$W$6:$W$505,Y$3,実績!$AC$6:$AC$505,"&lt;="&amp;$A94,実績!$AD$6:$AD$505,"&gt;"&amp;$A94,実績!$AE$6:$AE$505,"○")&gt;0,1,0))</f>
        <v/>
      </c>
      <c r="Z94">
        <f>IF(Z$4=0,0,IF(COUNTIFS(実績!$W$6:$W$505,Z$3,実績!$AC$6:$AC$505,"&lt;="&amp;$A94,実績!$AD$6:$AD$505,"&gt;"&amp;$A94,実績!$AE$6:$AE$505,"○")&gt;0,1,0))</f>
        <v/>
      </c>
      <c r="AA94">
        <f>IF(AA$4=0,0,IF(COUNTIFS(実績!$W$6:$W$505,AA$3,実績!$AC$6:$AC$505,"&lt;="&amp;$A94,実績!$AD$6:$AD$505,"&gt;"&amp;$A94,実績!$AE$6:$AE$505,"○")&gt;0,1,0))</f>
        <v/>
      </c>
      <c r="AB94">
        <f>IF(AB$4=0,0,IF(COUNTIFS(実績!$W$6:$W$505,AB$3,実績!$AC$6:$AC$505,"&lt;="&amp;$A94,実績!$AD$6:$AD$505,"&gt;"&amp;$A94,実績!$AE$6:$AE$505,"○")&gt;0,1,0))</f>
        <v/>
      </c>
      <c r="AC94">
        <f>IF(AC$4=0,0,IF(COUNTIFS(実績!$W$6:$W$505,AC$3,実績!$AC$6:$AC$505,"&lt;="&amp;$A94,実績!$AD$6:$AD$505,"&gt;"&amp;$A94,実績!$AE$6:$AE$505,"○")&gt;0,1,0))</f>
        <v/>
      </c>
      <c r="AD94">
        <f>IF(AD$4=0,0,IF(COUNTIFS(実績!$W$6:$W$505,AD$3,実績!$AC$6:$AC$505,"&lt;="&amp;$A94,実績!$AD$6:$AD$505,"&gt;"&amp;$A94,実績!$AE$6:$AE$505,"○")&gt;0,1,0))</f>
        <v/>
      </c>
      <c r="AE94">
        <f>IF(AE$4=0,0,IF(COUNTIFS(実績!$W$6:$W$505,AE$3,実績!$AC$6:$AC$505,"&lt;="&amp;$A94,実績!$AD$6:$AD$505,"&gt;"&amp;$A94,実績!$AE$6:$AE$505,"○")&gt;0,1,0))</f>
        <v/>
      </c>
      <c r="AF94">
        <f>IF(AF$4=0,0,IF(COUNTIFS(実績!$W$6:$W$505,AF$3,実績!$AC$6:$AC$505,"&lt;="&amp;$A94,実績!$AD$6:$AD$505,"&gt;"&amp;$A94,実績!$AE$6:$AE$505,"○")&gt;0,1,0))</f>
        <v/>
      </c>
      <c r="AG94">
        <f>IF(AG$4=0,0,IF(COUNTIFS(実績!$W$6:$W$505,AG$3,実績!$AC$6:$AC$505,"&lt;="&amp;$A94,実績!$AD$6:$AD$505,"&gt;"&amp;$A94,実績!$AE$6:$AE$505,"○")&gt;0,1,0))</f>
        <v/>
      </c>
      <c r="AH94">
        <f>IF(AH$4=0,0,IF(COUNTIFS(実績!$W$6:$W$505,AH$3,実績!$AC$6:$AC$505,"&lt;="&amp;$A94,実績!$AD$6:$AD$505,"&gt;"&amp;$A94,実績!$AE$6:$AE$505,"○")&gt;0,1,0))</f>
        <v/>
      </c>
      <c r="AI94">
        <f>IF(AI$4=0,0,IF(COUNTIFS(実績!$W$6:$W$505,AI$3,実績!$AC$6:$AC$505,"&lt;="&amp;$A94,実績!$AD$6:$AD$505,"&gt;"&amp;$A94,実績!$AE$6:$AE$505,"○")&gt;0,1,0))</f>
        <v/>
      </c>
      <c r="AJ94">
        <f>IF(AJ$4=0,0,IF(COUNTIFS(実績!$W$6:$W$505,AJ$3,実績!$AC$6:$AC$505,"&lt;="&amp;$A94,実績!$AD$6:$AD$505,"&gt;"&amp;$A94,実績!$AE$6:$AE$505,"○")&gt;0,1,0))</f>
        <v/>
      </c>
      <c r="AK94">
        <f>IF(AK$4=0,0,IF(COUNTIFS(実績!$W$6:$W$505,AK$3,実績!$AC$6:$AC$505,"&lt;="&amp;$A94,実績!$AD$6:$AD$505,"&gt;"&amp;$A94,実績!$AE$6:$AE$505,"○")&gt;0,1,0))</f>
        <v/>
      </c>
      <c r="AL94">
        <f>IF(AL$4=0,0,IF(COUNTIFS(実績!$W$6:$W$505,AL$3,実績!$AC$6:$AC$505,"&lt;="&amp;$A94,実績!$AD$6:$AD$505,"&gt;"&amp;$A94,実績!$AE$6:$AE$505,"○")&gt;0,1,0))</f>
        <v/>
      </c>
      <c r="AM94">
        <f>IF(AM$4=0,0,IF(COUNTIFS(実績!$W$6:$W$505,AM$3,実績!$AC$6:$AC$505,"&lt;="&amp;$A94,実績!$AD$6:$AD$505,"&gt;"&amp;$A94,実績!$AE$6:$AE$505,"○")&gt;0,1,0))</f>
        <v/>
      </c>
      <c r="AN94">
        <f>IF(AN$4=0,0,IF(COUNTIFS(実績!$W$6:$W$505,AN$3,実績!$AC$6:$AC$505,"&lt;="&amp;$A94,実績!$AD$6:$AD$505,"&gt;"&amp;$A94,実績!$AE$6:$AE$505,"○")&gt;0,1,0))</f>
        <v/>
      </c>
      <c r="AO94">
        <f>IF(AO$4=0,0,IF(COUNTIFS(実績!$W$6:$W$505,AO$3,実績!$AC$6:$AC$505,"&lt;="&amp;$A94,実績!$AD$6:$AD$505,"&gt;"&amp;$A94,実績!$AE$6:$AE$505,"○")&gt;0,1,0))</f>
        <v/>
      </c>
      <c r="AP94">
        <f>IF(AP$4=0,0,IF(COUNTIFS(実績!$W$6:$W$505,AP$3,実績!$AC$6:$AC$505,"&lt;="&amp;$A94,実績!$AD$6:$AD$505,"&gt;"&amp;$A94,実績!$AE$6:$AE$505,"○")&gt;0,1,0))</f>
        <v/>
      </c>
      <c r="AQ94">
        <f>IF(AQ$4=0,0,IF(COUNTIFS(実績!$W$6:$W$505,AQ$3,実績!$AC$6:$AC$505,"&lt;="&amp;$A94,実績!$AD$6:$AD$505,"&gt;"&amp;$A94,実績!$AE$6:$AE$505,"○")&gt;0,1,0))</f>
        <v/>
      </c>
      <c r="AR94">
        <f>IF(AR$4=0,0,IF(COUNTIFS(実績!$W$6:$W$505,AR$3,実績!$AC$6:$AC$505,"&lt;="&amp;$A94,実績!$AD$6:$AD$505,"&gt;"&amp;$A94,実績!$AE$6:$AE$505,"○")&gt;0,1,0))</f>
        <v/>
      </c>
      <c r="AS94">
        <f>IF(AS$4=0,0,IF(COUNTIFS(実績!$W$6:$W$505,AS$3,実績!$AC$6:$AC$505,"&lt;="&amp;$A94,実績!$AD$6:$AD$505,"&gt;"&amp;$A94,実績!$AE$6:$AE$505,"○")&gt;0,1,0))</f>
        <v/>
      </c>
      <c r="AT94">
        <f>IF(AT$4=0,0,IF(COUNTIFS(実績!$W$6:$W$505,AT$3,実績!$AC$6:$AC$505,"&lt;="&amp;$A94,実績!$AD$6:$AD$505,"&gt;"&amp;$A94,実績!$AE$6:$AE$505,"○")&gt;0,1,0))</f>
        <v/>
      </c>
      <c r="AU94">
        <f>IF(AU$4=0,0,IF(COUNTIFS(実績!$W$6:$W$505,AU$3,実績!$AC$6:$AC$505,"&lt;="&amp;$A94,実績!$AD$6:$AD$505,"&gt;"&amp;$A94,実績!$AE$6:$AE$505,"○")&gt;0,1,0))</f>
        <v/>
      </c>
      <c r="AV94">
        <f>IF(AV$4=0,0,IF(COUNTIFS(実績!$W$6:$W$505,AV$3,実績!$AC$6:$AC$505,"&lt;="&amp;$A94,実績!$AD$6:$AD$505,"&gt;"&amp;$A94,実績!$AE$6:$AE$505,"○")&gt;0,1,0))</f>
        <v/>
      </c>
      <c r="AW94">
        <f>IF(AW$4=0,0,IF(COUNTIFS(実績!$W$6:$W$505,AW$3,実績!$AC$6:$AC$505,"&lt;="&amp;$A94,実績!$AD$6:$AD$505,"&gt;"&amp;$A94,実績!$AE$6:$AE$505,"○")&gt;0,1,0))</f>
        <v/>
      </c>
      <c r="AX94">
        <f>IF(AX$4=0,0,IF(COUNTIFS(実績!$W$6:$W$505,AX$3,実績!$AC$6:$AC$505,"&lt;="&amp;$A94,実績!$AD$6:$AD$505,"&gt;"&amp;$A94,実績!$AE$6:$AE$505,"○")&gt;0,1,0))</f>
        <v/>
      </c>
      <c r="AY94">
        <f>IF(AY$4=0,0,IF(COUNTIFS(実績!$W$6:$W$505,AY$3,実績!$AC$6:$AC$505,"&lt;="&amp;$A94,実績!$AD$6:$AD$505,"&gt;"&amp;$A94,実績!$AE$6:$AE$505,"○")&gt;0,1,0))</f>
        <v/>
      </c>
      <c r="AZ94">
        <f>IF(AZ$4=0,0,IF(COUNTIFS(実績!$W$6:$W$505,AZ$3,実績!$AC$6:$AC$505,"&lt;="&amp;$A94,実績!$AD$6:$AD$505,"&gt;"&amp;$A94,実績!$AE$6:$AE$505,"○")&gt;0,1,0))</f>
        <v/>
      </c>
      <c r="BA94">
        <f>IF(BA$4=0,0,IF(COUNTIFS(実績!$W$6:$W$505,BA$3,実績!$AC$6:$AC$505,"&lt;="&amp;$A94,実績!$AD$6:$AD$505,"&gt;"&amp;$A94,実績!$AE$6:$AE$505,"○")&gt;0,1,0))</f>
        <v/>
      </c>
      <c r="BB94">
        <f>IF(BB$4=0,0,IF(COUNTIFS(実績!$W$6:$W$505,BB$3,実績!$AC$6:$AC$505,"&lt;="&amp;$A94,実績!$AD$6:$AD$505,"&gt;"&amp;$A94,実績!$AE$6:$AE$505,"○")&gt;0,1,0))</f>
        <v/>
      </c>
      <c r="BC94">
        <f>IF(BC$4=0,0,IF(COUNTIFS(実績!$W$6:$W$505,BC$3,実績!$AC$6:$AC$505,"&lt;="&amp;$A94,実績!$AD$6:$AD$505,"&gt;"&amp;$A94,実績!$AE$6:$AE$505,"○")&gt;0,1,0))</f>
        <v/>
      </c>
      <c r="BD94">
        <f>IF(BD$4=0,0,IF(COUNTIFS(実績!$W$6:$W$505,BD$3,実績!$AC$6:$AC$505,"&lt;="&amp;$A94,実績!$AD$6:$AD$505,"&gt;"&amp;$A94,実績!$AE$6:$AE$505,"○")&gt;0,1,0))</f>
        <v/>
      </c>
      <c r="BE94">
        <f>IF(BE$4=0,0,IF(COUNTIFS(実績!$W$6:$W$505,BE$3,実績!$AC$6:$AC$505,"&lt;="&amp;$A94,実績!$AD$6:$AD$505,"&gt;"&amp;$A94,実績!$AE$6:$AE$505,"○")&gt;0,1,0))</f>
        <v/>
      </c>
      <c r="BF94">
        <f>IF(BF$4=0,0,IF(COUNTIFS(実績!$W$6:$W$505,BF$3,実績!$AC$6:$AC$505,"&lt;="&amp;$A94,実績!$AD$6:$AD$505,"&gt;"&amp;$A94,実績!$AE$6:$AE$505,"○")&gt;0,1,0))</f>
        <v/>
      </c>
      <c r="BG94">
        <f>IF(BG$4=0,0,IF(COUNTIFS(実績!$W$6:$W$505,BG$3,実績!$AC$6:$AC$505,"&lt;="&amp;$A94,実績!$AD$6:$AD$505,"&gt;"&amp;$A94,実績!$AE$6:$AE$505,"○")&gt;0,1,0))</f>
        <v/>
      </c>
      <c r="BH94">
        <f>IF(BH$4=0,0,IF(COUNTIFS(実績!$W$6:$W$505,BH$3,実績!$AC$6:$AC$505,"&lt;="&amp;$A94,実績!$AD$6:$AD$505,"&gt;"&amp;$A94,実績!$AE$6:$AE$505,"○")&gt;0,1,0))</f>
        <v/>
      </c>
      <c r="BI94">
        <f>IF(BI$4=0,0,IF(COUNTIFS(実績!$W$6:$W$505,BI$3,実績!$AC$6:$AC$505,"&lt;="&amp;$A94,実績!$AD$6:$AD$505,"&gt;"&amp;$A94,実績!$AE$6:$AE$505,"○")&gt;0,1,0))</f>
        <v/>
      </c>
      <c r="BJ94">
        <f>IF(BJ$4=0,0,IF(COUNTIFS(実績!$W$6:$W$505,BJ$3,実績!$AC$6:$AC$505,"&lt;="&amp;$A94,実績!$AD$6:$AD$505,"&gt;"&amp;$A94,実績!$AE$6:$AE$505,"○")&gt;0,1,0))</f>
        <v/>
      </c>
      <c r="BK94">
        <f>IF(BK$4=0,0,IF(COUNTIFS(実績!$W$6:$W$505,BK$3,実績!$AC$6:$AC$505,"&lt;="&amp;$A94,実績!$AD$6:$AD$505,"&gt;"&amp;$A94,実績!$AE$6:$AE$505,"○")&gt;0,1,0))</f>
        <v/>
      </c>
      <c r="BL94">
        <f>IF(BL$4=0,0,IF(COUNTIFS(実績!$W$6:$W$505,BL$3,実績!$AC$6:$AC$505,"&lt;="&amp;$A94,実績!$AD$6:$AD$505,"&gt;"&amp;$A94,実績!$AE$6:$AE$505,"○")&gt;0,1,0))</f>
        <v/>
      </c>
      <c r="BM94">
        <f>IF(BM$4=0,0,IF(COUNTIFS(実績!$W$6:$W$505,BM$3,実績!$AC$6:$AC$505,"&lt;="&amp;$A94,実績!$AD$6:$AD$505,"&gt;"&amp;$A94,実績!$AE$6:$AE$505,"○")&gt;0,1,0))</f>
        <v/>
      </c>
      <c r="BN94">
        <f>IF(BN$4=0,0,IF(COUNTIFS(実績!$W$6:$W$505,BN$3,実績!$AC$6:$AC$505,"&lt;="&amp;$A94,実績!$AD$6:$AD$505,"&gt;"&amp;$A94,実績!$AE$6:$AE$505,"○")&gt;0,1,0))</f>
        <v/>
      </c>
      <c r="BO94">
        <f>IF(BO$4=0,0,IF(COUNTIFS(実績!$W$6:$W$505,BO$3,実績!$AC$6:$AC$505,"&lt;="&amp;$A94,実績!$AD$6:$AD$505,"&gt;"&amp;$A94,実績!$AE$6:$AE$505,"○")&gt;0,1,0))</f>
        <v/>
      </c>
      <c r="BP94">
        <f>IF(BP$4=0,0,IF(COUNTIFS(実績!$W$6:$W$505,BP$3,実績!$AC$6:$AC$505,"&lt;="&amp;$A94,実績!$AD$6:$AD$505,"&gt;"&amp;$A94,実績!$AE$6:$AE$505,"○")&gt;0,1,0))</f>
        <v/>
      </c>
      <c r="BQ94">
        <f>IF(BQ$4=0,0,IF(COUNTIFS(実績!$W$6:$W$505,BQ$3,実績!$AC$6:$AC$505,"&lt;="&amp;$A94,実績!$AD$6:$AD$505,"&gt;"&amp;$A94,実績!$AE$6:$AE$505,"○")&gt;0,1,0))</f>
        <v/>
      </c>
      <c r="BR94">
        <f>IF(BR$4=0,0,IF(COUNTIFS(実績!$W$6:$W$505,BR$3,実績!$AC$6:$AC$505,"&lt;="&amp;$A94,実績!$AD$6:$AD$505,"&gt;"&amp;$A94,実績!$AE$6:$AE$505,"○")&gt;0,1,0))</f>
        <v/>
      </c>
      <c r="BS94">
        <f>IF(BS$4=0,0,IF(COUNTIFS(実績!$W$6:$W$505,BS$3,実績!$AC$6:$AC$505,"&lt;="&amp;$A94,実績!$AD$6:$AD$505,"&gt;"&amp;$A94,実績!$AE$6:$AE$505,"○")&gt;0,1,0))</f>
        <v/>
      </c>
      <c r="BT94">
        <f>IF(BT$4=0,0,IF(COUNTIFS(実績!$W$6:$W$505,BT$3,実績!$AC$6:$AC$505,"&lt;="&amp;$A94,実績!$AD$6:$AD$505,"&gt;"&amp;$A94,実績!$AE$6:$AE$505,"○")&gt;0,1,0))</f>
        <v/>
      </c>
      <c r="BU94">
        <f>IF(BU$4=0,0,IF(COUNTIFS(実績!$W$6:$W$505,BU$3,実績!$AC$6:$AC$505,"&lt;="&amp;$A94,実績!$AD$6:$AD$505,"&gt;"&amp;$A94,実績!$AE$6:$AE$505,"○")&gt;0,1,0))</f>
        <v/>
      </c>
      <c r="BV94">
        <f>IF(BV$4=0,0,IF(COUNTIFS(実績!$W$6:$W$505,BV$3,実績!$AC$6:$AC$505,"&lt;="&amp;$A94,実績!$AD$6:$AD$505,"&gt;"&amp;$A94,実績!$AE$6:$AE$505,"○")&gt;0,1,0))</f>
        <v/>
      </c>
      <c r="BW94">
        <f>IF(BW$4=0,0,IF(COUNTIFS(実績!$W$6:$W$505,BW$3,実績!$AC$6:$AC$505,"&lt;="&amp;$A94,実績!$AD$6:$AD$505,"&gt;"&amp;$A94,実績!$AE$6:$AE$505,"○")&gt;0,1,0))</f>
        <v/>
      </c>
      <c r="BX94">
        <f>IF(BX$4=0,0,IF(COUNTIFS(実績!$W$6:$W$505,BX$3,実績!$AC$6:$AC$505,"&lt;="&amp;$A94,実績!$AD$6:$AD$505,"&gt;"&amp;$A94,実績!$AE$6:$AE$505,"○")&gt;0,1,0))</f>
        <v/>
      </c>
      <c r="BY94">
        <f>IF(BY$4=0,0,IF(COUNTIFS(実績!$W$6:$W$505,BY$3,実績!$AC$6:$AC$505,"&lt;="&amp;$A94,実績!$AD$6:$AD$505,"&gt;"&amp;$A94,実績!$AE$6:$AE$505,"○")&gt;0,1,0))</f>
        <v/>
      </c>
      <c r="BZ94">
        <f>IF(BZ$4=0,0,IF(COUNTIFS(実績!$W$6:$W$505,BZ$3,実績!$AC$6:$AC$505,"&lt;="&amp;$A94,実績!$AD$6:$AD$505,"&gt;"&amp;$A94,実績!$AE$6:$AE$505,"○")&gt;0,1,0))</f>
        <v/>
      </c>
      <c r="CA94">
        <f>IF(CA$4=0,0,IF(COUNTIFS(実績!$W$6:$W$505,CA$3,実績!$AC$6:$AC$505,"&lt;="&amp;$A94,実績!$AD$6:$AD$505,"&gt;"&amp;$A94,実績!$AE$6:$AE$505,"○")&gt;0,1,0))</f>
        <v/>
      </c>
      <c r="CB94">
        <f>IF(CB$4=0,0,IF(COUNTIFS(実績!$W$6:$W$505,CB$3,実績!$AC$6:$AC$505,"&lt;="&amp;$A94,実績!$AD$6:$AD$505,"&gt;"&amp;$A94,実績!$AE$6:$AE$505,"○")&gt;0,1,0))</f>
        <v/>
      </c>
      <c r="CC94">
        <f>IF(CC$4=0,0,IF(COUNTIFS(実績!$W$6:$W$505,CC$3,実績!$AC$6:$AC$505,"&lt;="&amp;$A94,実績!$AD$6:$AD$505,"&gt;"&amp;$A94,実績!$AE$6:$AE$505,"○")&gt;0,1,0))</f>
        <v/>
      </c>
      <c r="CD94">
        <f>IF(CD$4=0,0,IF(COUNTIFS(実績!$W$6:$W$505,CD$3,実績!$AC$6:$AC$505,"&lt;="&amp;$A94,実績!$AD$6:$AD$505,"&gt;"&amp;$A94,実績!$AE$6:$AE$505,"○")&gt;0,1,0))</f>
        <v/>
      </c>
      <c r="CE94">
        <f>IF(CE$4=0,0,IF(COUNTIFS(実績!$W$6:$W$505,CE$3,実績!$AC$6:$AC$505,"&lt;="&amp;$A94,実績!$AD$6:$AD$505,"&gt;"&amp;$A94,実績!$AE$6:$AE$505,"○")&gt;0,1,0))</f>
        <v/>
      </c>
      <c r="CF94">
        <f>IF(CF$4=0,0,IF(COUNTIFS(実績!$W$6:$W$505,CF$3,実績!$AC$6:$AC$505,"&lt;="&amp;$A94,実績!$AD$6:$AD$505,"&gt;"&amp;$A94,実績!$AE$6:$AE$505,"○")&gt;0,1,0))</f>
        <v/>
      </c>
      <c r="CG94">
        <f>IF(CG$4=0,0,IF(COUNTIFS(実績!$W$6:$W$505,CG$3,実績!$AC$6:$AC$505,"&lt;="&amp;$A94,実績!$AD$6:$AD$505,"&gt;"&amp;$A94,実績!$AE$6:$AE$505,"○")&gt;0,1,0))</f>
        <v/>
      </c>
      <c r="CH94">
        <f>IF(CH$4=0,0,IF(COUNTIFS(実績!$W$6:$W$505,CH$3,実績!$AC$6:$AC$505,"&lt;="&amp;$A94,実績!$AD$6:$AD$505,"&gt;"&amp;$A94,実績!$AE$6:$AE$505,"○")&gt;0,1,0))</f>
        <v/>
      </c>
      <c r="CI94">
        <f>IF(CI$4=0,0,IF(COUNTIFS(実績!$W$6:$W$505,CI$3,実績!$AC$6:$AC$505,"&lt;="&amp;$A94,実績!$AD$6:$AD$505,"&gt;"&amp;$A94,実績!$AE$6:$AE$505,"○")&gt;0,1,0))</f>
        <v/>
      </c>
      <c r="CJ94">
        <f>IF(CJ$4=0,0,IF(COUNTIFS(実績!$W$6:$W$505,CJ$3,実績!$AC$6:$AC$505,"&lt;="&amp;$A94,実績!$AD$6:$AD$505,"&gt;"&amp;$A94,実績!$AE$6:$AE$505,"○")&gt;0,1,0))</f>
        <v/>
      </c>
      <c r="CK94">
        <f>IF(CK$4=0,0,IF(COUNTIFS(実績!$W$6:$W$505,CK$3,実績!$AC$6:$AC$505,"&lt;="&amp;$A94,実績!$AD$6:$AD$505,"&gt;"&amp;$A94,実績!$AE$6:$AE$505,"○")&gt;0,1,0))</f>
        <v/>
      </c>
      <c r="CL94">
        <f>IF(CL$4=0,0,IF(COUNTIFS(実績!$W$6:$W$505,CL$3,実績!$AC$6:$AC$505,"&lt;="&amp;$A94,実績!$AD$6:$AD$505,"&gt;"&amp;$A94,実績!$AE$6:$AE$505,"○")&gt;0,1,0))</f>
        <v/>
      </c>
      <c r="CM94">
        <f>IF(CM$4=0,0,IF(COUNTIFS(実績!$W$6:$W$505,CM$3,実績!$AC$6:$AC$505,"&lt;="&amp;$A94,実績!$AD$6:$AD$505,"&gt;"&amp;$A94,実績!$AE$6:$AE$505,"○")&gt;0,1,0))</f>
        <v/>
      </c>
      <c r="CN94">
        <f>IF(CN$4=0,0,IF(COUNTIFS(実績!$W$6:$W$505,CN$3,実績!$AC$6:$AC$505,"&lt;="&amp;$A94,実績!$AD$6:$AD$505,"&gt;"&amp;$A94,実績!$AE$6:$AE$505,"○")&gt;0,1,0))</f>
        <v/>
      </c>
      <c r="CO94">
        <f>IF(CO$4=0,0,IF(COUNTIFS(実績!$W$6:$W$505,CO$3,実績!$AC$6:$AC$505,"&lt;="&amp;$A94,実績!$AD$6:$AD$505,"&gt;"&amp;$A94,実績!$AE$6:$AE$505,"○")&gt;0,1,0))</f>
        <v/>
      </c>
      <c r="CP94">
        <f>IF(CP$4=0,0,IF(COUNTIFS(実績!$W$6:$W$505,CP$3,実績!$AC$6:$AC$505,"&lt;="&amp;$A94,実績!$AD$6:$AD$505,"&gt;"&amp;$A94,実績!$AE$6:$AE$505,"○")&gt;0,1,0))</f>
        <v/>
      </c>
      <c r="CQ94">
        <f>IF(CQ$4=0,0,IF(COUNTIFS(実績!$W$6:$W$505,CQ$3,実績!$AC$6:$AC$505,"&lt;="&amp;$A94,実績!$AD$6:$AD$505,"&gt;"&amp;$A94,実績!$AE$6:$AE$505,"○")&gt;0,1,0))</f>
        <v/>
      </c>
      <c r="CR94">
        <f>IF(CR$4=0,0,IF(COUNTIFS(実績!$W$6:$W$505,CR$3,実績!$AC$6:$AC$505,"&lt;="&amp;$A94,実績!$AD$6:$AD$505,"&gt;"&amp;$A94,実績!$AE$6:$AE$505,"○")&gt;0,1,0))</f>
        <v/>
      </c>
      <c r="CS94">
        <f>IF(CS$4=0,0,IF(COUNTIFS(実績!$W$6:$W$505,CS$3,実績!$AC$6:$AC$505,"&lt;="&amp;$A94,実績!$AD$6:$AD$505,"&gt;"&amp;$A94,実績!$AE$6:$AE$505,"○")&gt;0,1,0))</f>
        <v/>
      </c>
      <c r="CT94">
        <f>IF(CT$4=0,0,IF(COUNTIFS(実績!$W$6:$W$505,CT$3,実績!$AC$6:$AC$505,"&lt;="&amp;$A94,実績!$AD$6:$AD$505,"&gt;"&amp;$A94,実績!$AE$6:$AE$505,"○")&gt;0,1,0))</f>
        <v/>
      </c>
      <c r="CU94">
        <f>IF(CU$4=0,0,IF(COUNTIFS(実績!$W$6:$W$505,CU$3,実績!$AC$6:$AC$505,"&lt;="&amp;$A94,実績!$AD$6:$AD$505,"&gt;"&amp;$A94,実績!$AE$6:$AE$505,"○")&gt;0,1,0))</f>
        <v/>
      </c>
      <c r="CV94">
        <f>IF(CV$4=0,0,IF(COUNTIFS(実績!$W$6:$W$505,CV$3,実績!$AC$6:$AC$505,"&lt;="&amp;$A94,実績!$AD$6:$AD$505,"&gt;"&amp;$A94,実績!$AE$6:$AE$505,"○")&gt;0,1,0))</f>
        <v/>
      </c>
      <c r="CW94">
        <f>IF(CW$4=0,0,IF(COUNTIFS(実績!$W$6:$W$505,CW$3,実績!$AC$6:$AC$505,"&lt;="&amp;$A94,実績!$AD$6:$AD$505,"&gt;"&amp;$A94,実績!$AE$6:$AE$505,"○")&gt;0,1,0))</f>
        <v/>
      </c>
      <c r="CX94">
        <f>IF(CX$4=0,0,IF(COUNTIFS(実績!$W$6:$W$505,CX$3,実績!$AC$6:$AC$505,"&lt;="&amp;$A94,実績!$AD$6:$AD$505,"&gt;"&amp;$A94,実績!$AE$6:$AE$505,"○")&gt;0,1,0))</f>
        <v/>
      </c>
      <c r="CY94">
        <f>IF(CY$4=0,0,IF(COUNTIFS(実績!$W$6:$W$505,CY$3,実績!$AC$6:$AC$505,"&lt;="&amp;$A94,実績!$AD$6:$AD$505,"&gt;"&amp;$A94,実績!$AE$6:$AE$505,"○")&gt;0,1,0))</f>
        <v/>
      </c>
      <c r="CZ94">
        <f>IF(CZ$4=0,0,IF(COUNTIFS(実績!$W$6:$W$505,CZ$3,実績!$AC$6:$AC$505,"&lt;="&amp;$A94,実績!$AD$6:$AD$505,"&gt;"&amp;$A94,実績!$AE$6:$AE$505,"○")&gt;0,1,0))</f>
        <v/>
      </c>
      <c r="DA94">
        <f>IF(DA$4=0,0,IF(COUNTIFS(実績!$W$6:$W$505,DA$3,実績!$AC$6:$AC$505,"&lt;="&amp;$A94,実績!$AD$6:$AD$505,"&gt;"&amp;$A94,実績!$AE$6:$AE$505,"○")&gt;0,1,0))</f>
        <v/>
      </c>
      <c r="DB94">
        <f>IF(DB$4=0,0,IF(COUNTIFS(実績!$W$6:$W$505,DB$3,実績!$AC$6:$AC$505,"&lt;="&amp;$A94,実績!$AD$6:$AD$505,"&gt;"&amp;$A94,実績!$AE$6:$AE$505,"○")&gt;0,1,0))</f>
        <v/>
      </c>
      <c r="DC94">
        <f>IF(DC$4=0,0,IF(COUNTIFS(実績!$W$6:$W$505,DC$3,実績!$AC$6:$AC$505,"&lt;="&amp;$A94,実績!$AD$6:$AD$505,"&gt;"&amp;$A94,実績!$AE$6:$AE$505,"○")&gt;0,1,0))</f>
        <v/>
      </c>
      <c r="DD94">
        <f>IF(DD$4=0,0,IF(COUNTIFS(実績!$W$6:$W$505,DD$3,実績!$AC$6:$AC$505,"&lt;="&amp;$A94,実績!$AD$6:$AD$505,"&gt;"&amp;$A94,実績!$AE$6:$AE$505,"○")&gt;0,1,0))</f>
        <v/>
      </c>
      <c r="DE94">
        <f>IF(DE$4=0,0,IF(COUNTIFS(実績!$W$6:$W$505,DE$3,実績!$AC$6:$AC$505,"&lt;="&amp;$A94,実績!$AD$6:$AD$505,"&gt;"&amp;$A94,実績!$AE$6:$AE$505,"○")&gt;0,1,0))</f>
        <v/>
      </c>
      <c r="DF94">
        <f>IF(DF$4=0,0,IF(COUNTIFS(実績!$W$6:$W$505,DF$3,実績!$AC$6:$AC$505,"&lt;="&amp;$A94,実績!$AD$6:$AD$505,"&gt;"&amp;$A94,実績!$AE$6:$AE$505,"○")&gt;0,1,0))</f>
        <v/>
      </c>
      <c r="DG94">
        <f>IF(DG$4=0,0,IF(COUNTIFS(実績!$W$6:$W$505,DG$3,実績!$AC$6:$AC$505,"&lt;="&amp;$A94,実績!$AD$6:$AD$505,"&gt;"&amp;$A94,実績!$AE$6:$AE$505,"○")&gt;0,1,0))</f>
        <v/>
      </c>
      <c r="DH94">
        <f>IF(DH$4=0,0,IF(COUNTIFS(実績!$W$6:$W$505,DH$3,実績!$AC$6:$AC$505,"&lt;="&amp;$A94,実績!$AD$6:$AD$505,"&gt;"&amp;$A94,実績!$AE$6:$AE$505,"○")&gt;0,1,0))</f>
        <v/>
      </c>
      <c r="DI94">
        <f>IF(DI$4=0,0,IF(COUNTIFS(実績!$W$6:$W$505,DI$3,実績!$AC$6:$AC$505,"&lt;="&amp;$A94,実績!$AD$6:$AD$505,"&gt;"&amp;$A94,実績!$AE$6:$AE$505,"○")&gt;0,1,0))</f>
        <v/>
      </c>
      <c r="DJ94">
        <f>IF(DJ$4=0,0,IF(COUNTIFS(実績!$W$6:$W$505,DJ$3,実績!$AC$6:$AC$505,"&lt;="&amp;$A94,実績!$AD$6:$AD$505,"&gt;"&amp;$A94,実績!$AE$6:$AE$505,"○")&gt;0,1,0))</f>
        <v/>
      </c>
      <c r="DK94">
        <f>IF(DK$4=0,0,IF(COUNTIFS(実績!$W$6:$W$505,DK$3,実績!$AC$6:$AC$505,"&lt;="&amp;$A94,実績!$AD$6:$AD$505,"&gt;"&amp;$A94,実績!$AE$6:$AE$505,"○")&gt;0,1,0))</f>
        <v/>
      </c>
      <c r="DL94">
        <f>IF(DL$4=0,0,IF(COUNTIFS(実績!$W$6:$W$505,DL$3,実績!$AC$6:$AC$505,"&lt;="&amp;$A94,実績!$AD$6:$AD$505,"&gt;"&amp;$A94,実績!$AE$6:$AE$505,"○")&gt;0,1,0))</f>
        <v/>
      </c>
      <c r="DM94">
        <f>IF(DM$4=0,0,IF(COUNTIFS(実績!$W$6:$W$505,DM$3,実績!$AC$6:$AC$505,"&lt;="&amp;$A94,実績!$AD$6:$AD$505,"&gt;"&amp;$A94,実績!$AE$6:$AE$505,"○")&gt;0,1,0))</f>
        <v/>
      </c>
      <c r="DN94">
        <f>IF(DN$4=0,0,IF(COUNTIFS(実績!$W$6:$W$505,DN$3,実績!$AC$6:$AC$505,"&lt;="&amp;$A94,実績!$AD$6:$AD$505,"&gt;"&amp;$A94,実績!$AE$6:$AE$505,"○")&gt;0,1,0))</f>
        <v/>
      </c>
      <c r="DO94">
        <f>IF(DO$4=0,0,IF(COUNTIFS(実績!$W$6:$W$505,DO$3,実績!$AC$6:$AC$505,"&lt;="&amp;$A94,実績!$AD$6:$AD$505,"&gt;"&amp;$A94,実績!$AE$6:$AE$505,"○")&gt;0,1,0))</f>
        <v/>
      </c>
      <c r="DP94">
        <f>IF(DP$4=0,0,IF(COUNTIFS(実績!$W$6:$W$505,DP$3,実績!$AC$6:$AC$505,"&lt;="&amp;$A94,実績!$AD$6:$AD$505,"&gt;"&amp;$A94,実績!$AE$6:$AE$505,"○")&gt;0,1,0))</f>
        <v/>
      </c>
      <c r="DQ94">
        <f>IF(DQ$4=0,0,IF(COUNTIFS(実績!$W$6:$W$505,DQ$3,実績!$AC$6:$AC$505,"&lt;="&amp;$A94,実績!$AD$6:$AD$505,"&gt;"&amp;$A94,実績!$AE$6:$AE$505,"○")&gt;0,1,0))</f>
        <v/>
      </c>
      <c r="DR94">
        <f>IF(DR$4=0,0,IF(COUNTIFS(実績!$W$6:$W$505,DR$3,実績!$AC$6:$AC$505,"&lt;="&amp;$A94,実績!$AD$6:$AD$505,"&gt;"&amp;$A94,実績!$AE$6:$AE$505,"○")&gt;0,1,0))</f>
        <v/>
      </c>
      <c r="DS94">
        <f>SUM(C94:DR94)</f>
        <v/>
      </c>
      <c r="DT94">
        <f>SUMPRODUCT((実績!$C$6:$C$505="○")*ISNUMBER(実績!$AF$6:$AF$505)*(実績!$AF$6:$AF$505&lt;=$A94)*(実績!$AG$6:$AG$505&gt;$A94))</f>
        <v/>
      </c>
      <c r="DU94">
        <f>SUMIF($C$2:$DR$2,"製鉄曳船",C94:DR94)</f>
        <v/>
      </c>
      <c r="DV94">
        <f>SUMIF($C$2:$DR$2,"西日本海運",C94:DR94)</f>
        <v/>
      </c>
    </row>
    <row r="95">
      <c r="A95" t="n">
        <v>445</v>
      </c>
      <c r="B95" s="29">
        <f>A95/1440</f>
        <v/>
      </c>
      <c r="C95">
        <f>IF(C$4=0,0,IF(COUNTIFS(実績!$W$6:$W$505,C$3,実績!$AC$6:$AC$505,"&lt;="&amp;$A95,実績!$AD$6:$AD$505,"&gt;"&amp;$A95,実績!$AE$6:$AE$505,"○")&gt;0,1,0))</f>
        <v/>
      </c>
      <c r="D95">
        <f>IF(D$4=0,0,IF(COUNTIFS(実績!$W$6:$W$505,D$3,実績!$AC$6:$AC$505,"&lt;="&amp;$A95,実績!$AD$6:$AD$505,"&gt;"&amp;$A95,実績!$AE$6:$AE$505,"○")&gt;0,1,0))</f>
        <v/>
      </c>
      <c r="E95">
        <f>IF(E$4=0,0,IF(COUNTIFS(実績!$W$6:$W$505,E$3,実績!$AC$6:$AC$505,"&lt;="&amp;$A95,実績!$AD$6:$AD$505,"&gt;"&amp;$A95,実績!$AE$6:$AE$505,"○")&gt;0,1,0))</f>
        <v/>
      </c>
      <c r="F95">
        <f>IF(F$4=0,0,IF(COUNTIFS(実績!$W$6:$W$505,F$3,実績!$AC$6:$AC$505,"&lt;="&amp;$A95,実績!$AD$6:$AD$505,"&gt;"&amp;$A95,実績!$AE$6:$AE$505,"○")&gt;0,1,0))</f>
        <v/>
      </c>
      <c r="G95">
        <f>IF(G$4=0,0,IF(COUNTIFS(実績!$W$6:$W$505,G$3,実績!$AC$6:$AC$505,"&lt;="&amp;$A95,実績!$AD$6:$AD$505,"&gt;"&amp;$A95,実績!$AE$6:$AE$505,"○")&gt;0,1,0))</f>
        <v/>
      </c>
      <c r="H95">
        <f>IF(H$4=0,0,IF(COUNTIFS(実績!$W$6:$W$505,H$3,実績!$AC$6:$AC$505,"&lt;="&amp;$A95,実績!$AD$6:$AD$505,"&gt;"&amp;$A95,実績!$AE$6:$AE$505,"○")&gt;0,1,0))</f>
        <v/>
      </c>
      <c r="I95">
        <f>IF(I$4=0,0,IF(COUNTIFS(実績!$W$6:$W$505,I$3,実績!$AC$6:$AC$505,"&lt;="&amp;$A95,実績!$AD$6:$AD$505,"&gt;"&amp;$A95,実績!$AE$6:$AE$505,"○")&gt;0,1,0))</f>
        <v/>
      </c>
      <c r="J95">
        <f>IF(J$4=0,0,IF(COUNTIFS(実績!$W$6:$W$505,J$3,実績!$AC$6:$AC$505,"&lt;="&amp;$A95,実績!$AD$6:$AD$505,"&gt;"&amp;$A95,実績!$AE$6:$AE$505,"○")&gt;0,1,0))</f>
        <v/>
      </c>
      <c r="K95">
        <f>IF(K$4=0,0,IF(COUNTIFS(実績!$W$6:$W$505,K$3,実績!$AC$6:$AC$505,"&lt;="&amp;$A95,実績!$AD$6:$AD$505,"&gt;"&amp;$A95,実績!$AE$6:$AE$505,"○")&gt;0,1,0))</f>
        <v/>
      </c>
      <c r="L95">
        <f>IF(L$4=0,0,IF(COUNTIFS(実績!$W$6:$W$505,L$3,実績!$AC$6:$AC$505,"&lt;="&amp;$A95,実績!$AD$6:$AD$505,"&gt;"&amp;$A95,実績!$AE$6:$AE$505,"○")&gt;0,1,0))</f>
        <v/>
      </c>
      <c r="M95">
        <f>IF(M$4=0,0,IF(COUNTIFS(実績!$W$6:$W$505,M$3,実績!$AC$6:$AC$505,"&lt;="&amp;$A95,実績!$AD$6:$AD$505,"&gt;"&amp;$A95,実績!$AE$6:$AE$505,"○")&gt;0,1,0))</f>
        <v/>
      </c>
      <c r="N95">
        <f>IF(N$4=0,0,IF(COUNTIFS(実績!$W$6:$W$505,N$3,実績!$AC$6:$AC$505,"&lt;="&amp;$A95,実績!$AD$6:$AD$505,"&gt;"&amp;$A95,実績!$AE$6:$AE$505,"○")&gt;0,1,0))</f>
        <v/>
      </c>
      <c r="O95">
        <f>IF(O$4=0,0,IF(COUNTIFS(実績!$W$6:$W$505,O$3,実績!$AC$6:$AC$505,"&lt;="&amp;$A95,実績!$AD$6:$AD$505,"&gt;"&amp;$A95,実績!$AE$6:$AE$505,"○")&gt;0,1,0))</f>
        <v/>
      </c>
      <c r="P95">
        <f>IF(P$4=0,0,IF(COUNTIFS(実績!$W$6:$W$505,P$3,実績!$AC$6:$AC$505,"&lt;="&amp;$A95,実績!$AD$6:$AD$505,"&gt;"&amp;$A95,実績!$AE$6:$AE$505,"○")&gt;0,1,0))</f>
        <v/>
      </c>
      <c r="Q95">
        <f>IF(Q$4=0,0,IF(COUNTIFS(実績!$W$6:$W$505,Q$3,実績!$AC$6:$AC$505,"&lt;="&amp;$A95,実績!$AD$6:$AD$505,"&gt;"&amp;$A95,実績!$AE$6:$AE$505,"○")&gt;0,1,0))</f>
        <v/>
      </c>
      <c r="R95">
        <f>IF(R$4=0,0,IF(COUNTIFS(実績!$W$6:$W$505,R$3,実績!$AC$6:$AC$505,"&lt;="&amp;$A95,実績!$AD$6:$AD$505,"&gt;"&amp;$A95,実績!$AE$6:$AE$505,"○")&gt;0,1,0))</f>
        <v/>
      </c>
      <c r="S95">
        <f>IF(S$4=0,0,IF(COUNTIFS(実績!$W$6:$W$505,S$3,実績!$AC$6:$AC$505,"&lt;="&amp;$A95,実績!$AD$6:$AD$505,"&gt;"&amp;$A95,実績!$AE$6:$AE$505,"○")&gt;0,1,0))</f>
        <v/>
      </c>
      <c r="T95">
        <f>IF(T$4=0,0,IF(COUNTIFS(実績!$W$6:$W$505,T$3,実績!$AC$6:$AC$505,"&lt;="&amp;$A95,実績!$AD$6:$AD$505,"&gt;"&amp;$A95,実績!$AE$6:$AE$505,"○")&gt;0,1,0))</f>
        <v/>
      </c>
      <c r="U95">
        <f>IF(U$4=0,0,IF(COUNTIFS(実績!$W$6:$W$505,U$3,実績!$AC$6:$AC$505,"&lt;="&amp;$A95,実績!$AD$6:$AD$505,"&gt;"&amp;$A95,実績!$AE$6:$AE$505,"○")&gt;0,1,0))</f>
        <v/>
      </c>
      <c r="V95">
        <f>IF(V$4=0,0,IF(COUNTIFS(実績!$W$6:$W$505,V$3,実績!$AC$6:$AC$505,"&lt;="&amp;$A95,実績!$AD$6:$AD$505,"&gt;"&amp;$A95,実績!$AE$6:$AE$505,"○")&gt;0,1,0))</f>
        <v/>
      </c>
      <c r="W95">
        <f>IF(W$4=0,0,IF(COUNTIFS(実績!$W$6:$W$505,W$3,実績!$AC$6:$AC$505,"&lt;="&amp;$A95,実績!$AD$6:$AD$505,"&gt;"&amp;$A95,実績!$AE$6:$AE$505,"○")&gt;0,1,0))</f>
        <v/>
      </c>
      <c r="X95">
        <f>IF(X$4=0,0,IF(COUNTIFS(実績!$W$6:$W$505,X$3,実績!$AC$6:$AC$505,"&lt;="&amp;$A95,実績!$AD$6:$AD$505,"&gt;"&amp;$A95,実績!$AE$6:$AE$505,"○")&gt;0,1,0))</f>
        <v/>
      </c>
      <c r="Y95">
        <f>IF(Y$4=0,0,IF(COUNTIFS(実績!$W$6:$W$505,Y$3,実績!$AC$6:$AC$505,"&lt;="&amp;$A95,実績!$AD$6:$AD$505,"&gt;"&amp;$A95,実績!$AE$6:$AE$505,"○")&gt;0,1,0))</f>
        <v/>
      </c>
      <c r="Z95">
        <f>IF(Z$4=0,0,IF(COUNTIFS(実績!$W$6:$W$505,Z$3,実績!$AC$6:$AC$505,"&lt;="&amp;$A95,実績!$AD$6:$AD$505,"&gt;"&amp;$A95,実績!$AE$6:$AE$505,"○")&gt;0,1,0))</f>
        <v/>
      </c>
      <c r="AA95">
        <f>IF(AA$4=0,0,IF(COUNTIFS(実績!$W$6:$W$505,AA$3,実績!$AC$6:$AC$505,"&lt;="&amp;$A95,実績!$AD$6:$AD$505,"&gt;"&amp;$A95,実績!$AE$6:$AE$505,"○")&gt;0,1,0))</f>
        <v/>
      </c>
      <c r="AB95">
        <f>IF(AB$4=0,0,IF(COUNTIFS(実績!$W$6:$W$505,AB$3,実績!$AC$6:$AC$505,"&lt;="&amp;$A95,実績!$AD$6:$AD$505,"&gt;"&amp;$A95,実績!$AE$6:$AE$505,"○")&gt;0,1,0))</f>
        <v/>
      </c>
      <c r="AC95">
        <f>IF(AC$4=0,0,IF(COUNTIFS(実績!$W$6:$W$505,AC$3,実績!$AC$6:$AC$505,"&lt;="&amp;$A95,実績!$AD$6:$AD$505,"&gt;"&amp;$A95,実績!$AE$6:$AE$505,"○")&gt;0,1,0))</f>
        <v/>
      </c>
      <c r="AD95">
        <f>IF(AD$4=0,0,IF(COUNTIFS(実績!$W$6:$W$505,AD$3,実績!$AC$6:$AC$505,"&lt;="&amp;$A95,実績!$AD$6:$AD$505,"&gt;"&amp;$A95,実績!$AE$6:$AE$505,"○")&gt;0,1,0))</f>
        <v/>
      </c>
      <c r="AE95">
        <f>IF(AE$4=0,0,IF(COUNTIFS(実績!$W$6:$W$505,AE$3,実績!$AC$6:$AC$505,"&lt;="&amp;$A95,実績!$AD$6:$AD$505,"&gt;"&amp;$A95,実績!$AE$6:$AE$505,"○")&gt;0,1,0))</f>
        <v/>
      </c>
      <c r="AF95">
        <f>IF(AF$4=0,0,IF(COUNTIFS(実績!$W$6:$W$505,AF$3,実績!$AC$6:$AC$505,"&lt;="&amp;$A95,実績!$AD$6:$AD$505,"&gt;"&amp;$A95,実績!$AE$6:$AE$505,"○")&gt;0,1,0))</f>
        <v/>
      </c>
      <c r="AG95">
        <f>IF(AG$4=0,0,IF(COUNTIFS(実績!$W$6:$W$505,AG$3,実績!$AC$6:$AC$505,"&lt;="&amp;$A95,実績!$AD$6:$AD$505,"&gt;"&amp;$A95,実績!$AE$6:$AE$505,"○")&gt;0,1,0))</f>
        <v/>
      </c>
      <c r="AH95">
        <f>IF(AH$4=0,0,IF(COUNTIFS(実績!$W$6:$W$505,AH$3,実績!$AC$6:$AC$505,"&lt;="&amp;$A95,実績!$AD$6:$AD$505,"&gt;"&amp;$A95,実績!$AE$6:$AE$505,"○")&gt;0,1,0))</f>
        <v/>
      </c>
      <c r="AI95">
        <f>IF(AI$4=0,0,IF(COUNTIFS(実績!$W$6:$W$505,AI$3,実績!$AC$6:$AC$505,"&lt;="&amp;$A95,実績!$AD$6:$AD$505,"&gt;"&amp;$A95,実績!$AE$6:$AE$505,"○")&gt;0,1,0))</f>
        <v/>
      </c>
      <c r="AJ95">
        <f>IF(AJ$4=0,0,IF(COUNTIFS(実績!$W$6:$W$505,AJ$3,実績!$AC$6:$AC$505,"&lt;="&amp;$A95,実績!$AD$6:$AD$505,"&gt;"&amp;$A95,実績!$AE$6:$AE$505,"○")&gt;0,1,0))</f>
        <v/>
      </c>
      <c r="AK95">
        <f>IF(AK$4=0,0,IF(COUNTIFS(実績!$W$6:$W$505,AK$3,実績!$AC$6:$AC$505,"&lt;="&amp;$A95,実績!$AD$6:$AD$505,"&gt;"&amp;$A95,実績!$AE$6:$AE$505,"○")&gt;0,1,0))</f>
        <v/>
      </c>
      <c r="AL95">
        <f>IF(AL$4=0,0,IF(COUNTIFS(実績!$W$6:$W$505,AL$3,実績!$AC$6:$AC$505,"&lt;="&amp;$A95,実績!$AD$6:$AD$505,"&gt;"&amp;$A95,実績!$AE$6:$AE$505,"○")&gt;0,1,0))</f>
        <v/>
      </c>
      <c r="AM95">
        <f>IF(AM$4=0,0,IF(COUNTIFS(実績!$W$6:$W$505,AM$3,実績!$AC$6:$AC$505,"&lt;="&amp;$A95,実績!$AD$6:$AD$505,"&gt;"&amp;$A95,実績!$AE$6:$AE$505,"○")&gt;0,1,0))</f>
        <v/>
      </c>
      <c r="AN95">
        <f>IF(AN$4=0,0,IF(COUNTIFS(実績!$W$6:$W$505,AN$3,実績!$AC$6:$AC$505,"&lt;="&amp;$A95,実績!$AD$6:$AD$505,"&gt;"&amp;$A95,実績!$AE$6:$AE$505,"○")&gt;0,1,0))</f>
        <v/>
      </c>
      <c r="AO95">
        <f>IF(AO$4=0,0,IF(COUNTIFS(実績!$W$6:$W$505,AO$3,実績!$AC$6:$AC$505,"&lt;="&amp;$A95,実績!$AD$6:$AD$505,"&gt;"&amp;$A95,実績!$AE$6:$AE$505,"○")&gt;0,1,0))</f>
        <v/>
      </c>
      <c r="AP95">
        <f>IF(AP$4=0,0,IF(COUNTIFS(実績!$W$6:$W$505,AP$3,実績!$AC$6:$AC$505,"&lt;="&amp;$A95,実績!$AD$6:$AD$505,"&gt;"&amp;$A95,実績!$AE$6:$AE$505,"○")&gt;0,1,0))</f>
        <v/>
      </c>
      <c r="AQ95">
        <f>IF(AQ$4=0,0,IF(COUNTIFS(実績!$W$6:$W$505,AQ$3,実績!$AC$6:$AC$505,"&lt;="&amp;$A95,実績!$AD$6:$AD$505,"&gt;"&amp;$A95,実績!$AE$6:$AE$505,"○")&gt;0,1,0))</f>
        <v/>
      </c>
      <c r="AR95">
        <f>IF(AR$4=0,0,IF(COUNTIFS(実績!$W$6:$W$505,AR$3,実績!$AC$6:$AC$505,"&lt;="&amp;$A95,実績!$AD$6:$AD$505,"&gt;"&amp;$A95,実績!$AE$6:$AE$505,"○")&gt;0,1,0))</f>
        <v/>
      </c>
      <c r="AS95">
        <f>IF(AS$4=0,0,IF(COUNTIFS(実績!$W$6:$W$505,AS$3,実績!$AC$6:$AC$505,"&lt;="&amp;$A95,実績!$AD$6:$AD$505,"&gt;"&amp;$A95,実績!$AE$6:$AE$505,"○")&gt;0,1,0))</f>
        <v/>
      </c>
      <c r="AT95">
        <f>IF(AT$4=0,0,IF(COUNTIFS(実績!$W$6:$W$505,AT$3,実績!$AC$6:$AC$505,"&lt;="&amp;$A95,実績!$AD$6:$AD$505,"&gt;"&amp;$A95,実績!$AE$6:$AE$505,"○")&gt;0,1,0))</f>
        <v/>
      </c>
      <c r="AU95">
        <f>IF(AU$4=0,0,IF(COUNTIFS(実績!$W$6:$W$505,AU$3,実績!$AC$6:$AC$505,"&lt;="&amp;$A95,実績!$AD$6:$AD$505,"&gt;"&amp;$A95,実績!$AE$6:$AE$505,"○")&gt;0,1,0))</f>
        <v/>
      </c>
      <c r="AV95">
        <f>IF(AV$4=0,0,IF(COUNTIFS(実績!$W$6:$W$505,AV$3,実績!$AC$6:$AC$505,"&lt;="&amp;$A95,実績!$AD$6:$AD$505,"&gt;"&amp;$A95,実績!$AE$6:$AE$505,"○")&gt;0,1,0))</f>
        <v/>
      </c>
      <c r="AW95">
        <f>IF(AW$4=0,0,IF(COUNTIFS(実績!$W$6:$W$505,AW$3,実績!$AC$6:$AC$505,"&lt;="&amp;$A95,実績!$AD$6:$AD$505,"&gt;"&amp;$A95,実績!$AE$6:$AE$505,"○")&gt;0,1,0))</f>
        <v/>
      </c>
      <c r="AX95">
        <f>IF(AX$4=0,0,IF(COUNTIFS(実績!$W$6:$W$505,AX$3,実績!$AC$6:$AC$505,"&lt;="&amp;$A95,実績!$AD$6:$AD$505,"&gt;"&amp;$A95,実績!$AE$6:$AE$505,"○")&gt;0,1,0))</f>
        <v/>
      </c>
      <c r="AY95">
        <f>IF(AY$4=0,0,IF(COUNTIFS(実績!$W$6:$W$505,AY$3,実績!$AC$6:$AC$505,"&lt;="&amp;$A95,実績!$AD$6:$AD$505,"&gt;"&amp;$A95,実績!$AE$6:$AE$505,"○")&gt;0,1,0))</f>
        <v/>
      </c>
      <c r="AZ95">
        <f>IF(AZ$4=0,0,IF(COUNTIFS(実績!$W$6:$W$505,AZ$3,実績!$AC$6:$AC$505,"&lt;="&amp;$A95,実績!$AD$6:$AD$505,"&gt;"&amp;$A95,実績!$AE$6:$AE$505,"○")&gt;0,1,0))</f>
        <v/>
      </c>
      <c r="BA95">
        <f>IF(BA$4=0,0,IF(COUNTIFS(実績!$W$6:$W$505,BA$3,実績!$AC$6:$AC$505,"&lt;="&amp;$A95,実績!$AD$6:$AD$505,"&gt;"&amp;$A95,実績!$AE$6:$AE$505,"○")&gt;0,1,0))</f>
        <v/>
      </c>
      <c r="BB95">
        <f>IF(BB$4=0,0,IF(COUNTIFS(実績!$W$6:$W$505,BB$3,実績!$AC$6:$AC$505,"&lt;="&amp;$A95,実績!$AD$6:$AD$505,"&gt;"&amp;$A95,実績!$AE$6:$AE$505,"○")&gt;0,1,0))</f>
        <v/>
      </c>
      <c r="BC95">
        <f>IF(BC$4=0,0,IF(COUNTIFS(実績!$W$6:$W$505,BC$3,実績!$AC$6:$AC$505,"&lt;="&amp;$A95,実績!$AD$6:$AD$505,"&gt;"&amp;$A95,実績!$AE$6:$AE$505,"○")&gt;0,1,0))</f>
        <v/>
      </c>
      <c r="BD95">
        <f>IF(BD$4=0,0,IF(COUNTIFS(実績!$W$6:$W$505,BD$3,実績!$AC$6:$AC$505,"&lt;="&amp;$A95,実績!$AD$6:$AD$505,"&gt;"&amp;$A95,実績!$AE$6:$AE$505,"○")&gt;0,1,0))</f>
        <v/>
      </c>
      <c r="BE95">
        <f>IF(BE$4=0,0,IF(COUNTIFS(実績!$W$6:$W$505,BE$3,実績!$AC$6:$AC$505,"&lt;="&amp;$A95,実績!$AD$6:$AD$505,"&gt;"&amp;$A95,実績!$AE$6:$AE$505,"○")&gt;0,1,0))</f>
        <v/>
      </c>
      <c r="BF95">
        <f>IF(BF$4=0,0,IF(COUNTIFS(実績!$W$6:$W$505,BF$3,実績!$AC$6:$AC$505,"&lt;="&amp;$A95,実績!$AD$6:$AD$505,"&gt;"&amp;$A95,実績!$AE$6:$AE$505,"○")&gt;0,1,0))</f>
        <v/>
      </c>
      <c r="BG95">
        <f>IF(BG$4=0,0,IF(COUNTIFS(実績!$W$6:$W$505,BG$3,実績!$AC$6:$AC$505,"&lt;="&amp;$A95,実績!$AD$6:$AD$505,"&gt;"&amp;$A95,実績!$AE$6:$AE$505,"○")&gt;0,1,0))</f>
        <v/>
      </c>
      <c r="BH95">
        <f>IF(BH$4=0,0,IF(COUNTIFS(実績!$W$6:$W$505,BH$3,実績!$AC$6:$AC$505,"&lt;="&amp;$A95,実績!$AD$6:$AD$505,"&gt;"&amp;$A95,実績!$AE$6:$AE$505,"○")&gt;0,1,0))</f>
        <v/>
      </c>
      <c r="BI95">
        <f>IF(BI$4=0,0,IF(COUNTIFS(実績!$W$6:$W$505,BI$3,実績!$AC$6:$AC$505,"&lt;="&amp;$A95,実績!$AD$6:$AD$505,"&gt;"&amp;$A95,実績!$AE$6:$AE$505,"○")&gt;0,1,0))</f>
        <v/>
      </c>
      <c r="BJ95">
        <f>IF(BJ$4=0,0,IF(COUNTIFS(実績!$W$6:$W$505,BJ$3,実績!$AC$6:$AC$505,"&lt;="&amp;$A95,実績!$AD$6:$AD$505,"&gt;"&amp;$A95,実績!$AE$6:$AE$505,"○")&gt;0,1,0))</f>
        <v/>
      </c>
      <c r="BK95">
        <f>IF(BK$4=0,0,IF(COUNTIFS(実績!$W$6:$W$505,BK$3,実績!$AC$6:$AC$505,"&lt;="&amp;$A95,実績!$AD$6:$AD$505,"&gt;"&amp;$A95,実績!$AE$6:$AE$505,"○")&gt;0,1,0))</f>
        <v/>
      </c>
      <c r="BL95">
        <f>IF(BL$4=0,0,IF(COUNTIFS(実績!$W$6:$W$505,BL$3,実績!$AC$6:$AC$505,"&lt;="&amp;$A95,実績!$AD$6:$AD$505,"&gt;"&amp;$A95,実績!$AE$6:$AE$505,"○")&gt;0,1,0))</f>
        <v/>
      </c>
      <c r="BM95">
        <f>IF(BM$4=0,0,IF(COUNTIFS(実績!$W$6:$W$505,BM$3,実績!$AC$6:$AC$505,"&lt;="&amp;$A95,実績!$AD$6:$AD$505,"&gt;"&amp;$A95,実績!$AE$6:$AE$505,"○")&gt;0,1,0))</f>
        <v/>
      </c>
      <c r="BN95">
        <f>IF(BN$4=0,0,IF(COUNTIFS(実績!$W$6:$W$505,BN$3,実績!$AC$6:$AC$505,"&lt;="&amp;$A95,実績!$AD$6:$AD$505,"&gt;"&amp;$A95,実績!$AE$6:$AE$505,"○")&gt;0,1,0))</f>
        <v/>
      </c>
      <c r="BO95">
        <f>IF(BO$4=0,0,IF(COUNTIFS(実績!$W$6:$W$505,BO$3,実績!$AC$6:$AC$505,"&lt;="&amp;$A95,実績!$AD$6:$AD$505,"&gt;"&amp;$A95,実績!$AE$6:$AE$505,"○")&gt;0,1,0))</f>
        <v/>
      </c>
      <c r="BP95">
        <f>IF(BP$4=0,0,IF(COUNTIFS(実績!$W$6:$W$505,BP$3,実績!$AC$6:$AC$505,"&lt;="&amp;$A95,実績!$AD$6:$AD$505,"&gt;"&amp;$A95,実績!$AE$6:$AE$505,"○")&gt;0,1,0))</f>
        <v/>
      </c>
      <c r="BQ95">
        <f>IF(BQ$4=0,0,IF(COUNTIFS(実績!$W$6:$W$505,BQ$3,実績!$AC$6:$AC$505,"&lt;="&amp;$A95,実績!$AD$6:$AD$505,"&gt;"&amp;$A95,実績!$AE$6:$AE$505,"○")&gt;0,1,0))</f>
        <v/>
      </c>
      <c r="BR95">
        <f>IF(BR$4=0,0,IF(COUNTIFS(実績!$W$6:$W$505,BR$3,実績!$AC$6:$AC$505,"&lt;="&amp;$A95,実績!$AD$6:$AD$505,"&gt;"&amp;$A95,実績!$AE$6:$AE$505,"○")&gt;0,1,0))</f>
        <v/>
      </c>
      <c r="BS95">
        <f>IF(BS$4=0,0,IF(COUNTIFS(実績!$W$6:$W$505,BS$3,実績!$AC$6:$AC$505,"&lt;="&amp;$A95,実績!$AD$6:$AD$505,"&gt;"&amp;$A95,実績!$AE$6:$AE$505,"○")&gt;0,1,0))</f>
        <v/>
      </c>
      <c r="BT95">
        <f>IF(BT$4=0,0,IF(COUNTIFS(実績!$W$6:$W$505,BT$3,実績!$AC$6:$AC$505,"&lt;="&amp;$A95,実績!$AD$6:$AD$505,"&gt;"&amp;$A95,実績!$AE$6:$AE$505,"○")&gt;0,1,0))</f>
        <v/>
      </c>
      <c r="BU95">
        <f>IF(BU$4=0,0,IF(COUNTIFS(実績!$W$6:$W$505,BU$3,実績!$AC$6:$AC$505,"&lt;="&amp;$A95,実績!$AD$6:$AD$505,"&gt;"&amp;$A95,実績!$AE$6:$AE$505,"○")&gt;0,1,0))</f>
        <v/>
      </c>
      <c r="BV95">
        <f>IF(BV$4=0,0,IF(COUNTIFS(実績!$W$6:$W$505,BV$3,実績!$AC$6:$AC$505,"&lt;="&amp;$A95,実績!$AD$6:$AD$505,"&gt;"&amp;$A95,実績!$AE$6:$AE$505,"○")&gt;0,1,0))</f>
        <v/>
      </c>
      <c r="BW95">
        <f>IF(BW$4=0,0,IF(COUNTIFS(実績!$W$6:$W$505,BW$3,実績!$AC$6:$AC$505,"&lt;="&amp;$A95,実績!$AD$6:$AD$505,"&gt;"&amp;$A95,実績!$AE$6:$AE$505,"○")&gt;0,1,0))</f>
        <v/>
      </c>
      <c r="BX95">
        <f>IF(BX$4=0,0,IF(COUNTIFS(実績!$W$6:$W$505,BX$3,実績!$AC$6:$AC$505,"&lt;="&amp;$A95,実績!$AD$6:$AD$505,"&gt;"&amp;$A95,実績!$AE$6:$AE$505,"○")&gt;0,1,0))</f>
        <v/>
      </c>
      <c r="BY95">
        <f>IF(BY$4=0,0,IF(COUNTIFS(実績!$W$6:$W$505,BY$3,実績!$AC$6:$AC$505,"&lt;="&amp;$A95,実績!$AD$6:$AD$505,"&gt;"&amp;$A95,実績!$AE$6:$AE$505,"○")&gt;0,1,0))</f>
        <v/>
      </c>
      <c r="BZ95">
        <f>IF(BZ$4=0,0,IF(COUNTIFS(実績!$W$6:$W$505,BZ$3,実績!$AC$6:$AC$505,"&lt;="&amp;$A95,実績!$AD$6:$AD$505,"&gt;"&amp;$A95,実績!$AE$6:$AE$505,"○")&gt;0,1,0))</f>
        <v/>
      </c>
      <c r="CA95">
        <f>IF(CA$4=0,0,IF(COUNTIFS(実績!$W$6:$W$505,CA$3,実績!$AC$6:$AC$505,"&lt;="&amp;$A95,実績!$AD$6:$AD$505,"&gt;"&amp;$A95,実績!$AE$6:$AE$505,"○")&gt;0,1,0))</f>
        <v/>
      </c>
      <c r="CB95">
        <f>IF(CB$4=0,0,IF(COUNTIFS(実績!$W$6:$W$505,CB$3,実績!$AC$6:$AC$505,"&lt;="&amp;$A95,実績!$AD$6:$AD$505,"&gt;"&amp;$A95,実績!$AE$6:$AE$505,"○")&gt;0,1,0))</f>
        <v/>
      </c>
      <c r="CC95">
        <f>IF(CC$4=0,0,IF(COUNTIFS(実績!$W$6:$W$505,CC$3,実績!$AC$6:$AC$505,"&lt;="&amp;$A95,実績!$AD$6:$AD$505,"&gt;"&amp;$A95,実績!$AE$6:$AE$505,"○")&gt;0,1,0))</f>
        <v/>
      </c>
      <c r="CD95">
        <f>IF(CD$4=0,0,IF(COUNTIFS(実績!$W$6:$W$505,CD$3,実績!$AC$6:$AC$505,"&lt;="&amp;$A95,実績!$AD$6:$AD$505,"&gt;"&amp;$A95,実績!$AE$6:$AE$505,"○")&gt;0,1,0))</f>
        <v/>
      </c>
      <c r="CE95">
        <f>IF(CE$4=0,0,IF(COUNTIFS(実績!$W$6:$W$505,CE$3,実績!$AC$6:$AC$505,"&lt;="&amp;$A95,実績!$AD$6:$AD$505,"&gt;"&amp;$A95,実績!$AE$6:$AE$505,"○")&gt;0,1,0))</f>
        <v/>
      </c>
      <c r="CF95">
        <f>IF(CF$4=0,0,IF(COUNTIFS(実績!$W$6:$W$505,CF$3,実績!$AC$6:$AC$505,"&lt;="&amp;$A95,実績!$AD$6:$AD$505,"&gt;"&amp;$A95,実績!$AE$6:$AE$505,"○")&gt;0,1,0))</f>
        <v/>
      </c>
      <c r="CG95">
        <f>IF(CG$4=0,0,IF(COUNTIFS(実績!$W$6:$W$505,CG$3,実績!$AC$6:$AC$505,"&lt;="&amp;$A95,実績!$AD$6:$AD$505,"&gt;"&amp;$A95,実績!$AE$6:$AE$505,"○")&gt;0,1,0))</f>
        <v/>
      </c>
      <c r="CH95">
        <f>IF(CH$4=0,0,IF(COUNTIFS(実績!$W$6:$W$505,CH$3,実績!$AC$6:$AC$505,"&lt;="&amp;$A95,実績!$AD$6:$AD$505,"&gt;"&amp;$A95,実績!$AE$6:$AE$505,"○")&gt;0,1,0))</f>
        <v/>
      </c>
      <c r="CI95">
        <f>IF(CI$4=0,0,IF(COUNTIFS(実績!$W$6:$W$505,CI$3,実績!$AC$6:$AC$505,"&lt;="&amp;$A95,実績!$AD$6:$AD$505,"&gt;"&amp;$A95,実績!$AE$6:$AE$505,"○")&gt;0,1,0))</f>
        <v/>
      </c>
      <c r="CJ95">
        <f>IF(CJ$4=0,0,IF(COUNTIFS(実績!$W$6:$W$505,CJ$3,実績!$AC$6:$AC$505,"&lt;="&amp;$A95,実績!$AD$6:$AD$505,"&gt;"&amp;$A95,実績!$AE$6:$AE$505,"○")&gt;0,1,0))</f>
        <v/>
      </c>
      <c r="CK95">
        <f>IF(CK$4=0,0,IF(COUNTIFS(実績!$W$6:$W$505,CK$3,実績!$AC$6:$AC$505,"&lt;="&amp;$A95,実績!$AD$6:$AD$505,"&gt;"&amp;$A95,実績!$AE$6:$AE$505,"○")&gt;0,1,0))</f>
        <v/>
      </c>
      <c r="CL95">
        <f>IF(CL$4=0,0,IF(COUNTIFS(実績!$W$6:$W$505,CL$3,実績!$AC$6:$AC$505,"&lt;="&amp;$A95,実績!$AD$6:$AD$505,"&gt;"&amp;$A95,実績!$AE$6:$AE$505,"○")&gt;0,1,0))</f>
        <v/>
      </c>
      <c r="CM95">
        <f>IF(CM$4=0,0,IF(COUNTIFS(実績!$W$6:$W$505,CM$3,実績!$AC$6:$AC$505,"&lt;="&amp;$A95,実績!$AD$6:$AD$505,"&gt;"&amp;$A95,実績!$AE$6:$AE$505,"○")&gt;0,1,0))</f>
        <v/>
      </c>
      <c r="CN95">
        <f>IF(CN$4=0,0,IF(COUNTIFS(実績!$W$6:$W$505,CN$3,実績!$AC$6:$AC$505,"&lt;="&amp;$A95,実績!$AD$6:$AD$505,"&gt;"&amp;$A95,実績!$AE$6:$AE$505,"○")&gt;0,1,0))</f>
        <v/>
      </c>
      <c r="CO95">
        <f>IF(CO$4=0,0,IF(COUNTIFS(実績!$W$6:$W$505,CO$3,実績!$AC$6:$AC$505,"&lt;="&amp;$A95,実績!$AD$6:$AD$505,"&gt;"&amp;$A95,実績!$AE$6:$AE$505,"○")&gt;0,1,0))</f>
        <v/>
      </c>
      <c r="CP95">
        <f>IF(CP$4=0,0,IF(COUNTIFS(実績!$W$6:$W$505,CP$3,実績!$AC$6:$AC$505,"&lt;="&amp;$A95,実績!$AD$6:$AD$505,"&gt;"&amp;$A95,実績!$AE$6:$AE$505,"○")&gt;0,1,0))</f>
        <v/>
      </c>
      <c r="CQ95">
        <f>IF(CQ$4=0,0,IF(COUNTIFS(実績!$W$6:$W$505,CQ$3,実績!$AC$6:$AC$505,"&lt;="&amp;$A95,実績!$AD$6:$AD$505,"&gt;"&amp;$A95,実績!$AE$6:$AE$505,"○")&gt;0,1,0))</f>
        <v/>
      </c>
      <c r="CR95">
        <f>IF(CR$4=0,0,IF(COUNTIFS(実績!$W$6:$W$505,CR$3,実績!$AC$6:$AC$505,"&lt;="&amp;$A95,実績!$AD$6:$AD$505,"&gt;"&amp;$A95,実績!$AE$6:$AE$505,"○")&gt;0,1,0))</f>
        <v/>
      </c>
      <c r="CS95">
        <f>IF(CS$4=0,0,IF(COUNTIFS(実績!$W$6:$W$505,CS$3,実績!$AC$6:$AC$505,"&lt;="&amp;$A95,実績!$AD$6:$AD$505,"&gt;"&amp;$A95,実績!$AE$6:$AE$505,"○")&gt;0,1,0))</f>
        <v/>
      </c>
      <c r="CT95">
        <f>IF(CT$4=0,0,IF(COUNTIFS(実績!$W$6:$W$505,CT$3,実績!$AC$6:$AC$505,"&lt;="&amp;$A95,実績!$AD$6:$AD$505,"&gt;"&amp;$A95,実績!$AE$6:$AE$505,"○")&gt;0,1,0))</f>
        <v/>
      </c>
      <c r="CU95">
        <f>IF(CU$4=0,0,IF(COUNTIFS(実績!$W$6:$W$505,CU$3,実績!$AC$6:$AC$505,"&lt;="&amp;$A95,実績!$AD$6:$AD$505,"&gt;"&amp;$A95,実績!$AE$6:$AE$505,"○")&gt;0,1,0))</f>
        <v/>
      </c>
      <c r="CV95">
        <f>IF(CV$4=0,0,IF(COUNTIFS(実績!$W$6:$W$505,CV$3,実績!$AC$6:$AC$505,"&lt;="&amp;$A95,実績!$AD$6:$AD$505,"&gt;"&amp;$A95,実績!$AE$6:$AE$505,"○")&gt;0,1,0))</f>
        <v/>
      </c>
      <c r="CW95">
        <f>IF(CW$4=0,0,IF(COUNTIFS(実績!$W$6:$W$505,CW$3,実績!$AC$6:$AC$505,"&lt;="&amp;$A95,実績!$AD$6:$AD$505,"&gt;"&amp;$A95,実績!$AE$6:$AE$505,"○")&gt;0,1,0))</f>
        <v/>
      </c>
      <c r="CX95">
        <f>IF(CX$4=0,0,IF(COUNTIFS(実績!$W$6:$W$505,CX$3,実績!$AC$6:$AC$505,"&lt;="&amp;$A95,実績!$AD$6:$AD$505,"&gt;"&amp;$A95,実績!$AE$6:$AE$505,"○")&gt;0,1,0))</f>
        <v/>
      </c>
      <c r="CY95">
        <f>IF(CY$4=0,0,IF(COUNTIFS(実績!$W$6:$W$505,CY$3,実績!$AC$6:$AC$505,"&lt;="&amp;$A95,実績!$AD$6:$AD$505,"&gt;"&amp;$A95,実績!$AE$6:$AE$505,"○")&gt;0,1,0))</f>
        <v/>
      </c>
      <c r="CZ95">
        <f>IF(CZ$4=0,0,IF(COUNTIFS(実績!$W$6:$W$505,CZ$3,実績!$AC$6:$AC$505,"&lt;="&amp;$A95,実績!$AD$6:$AD$505,"&gt;"&amp;$A95,実績!$AE$6:$AE$505,"○")&gt;0,1,0))</f>
        <v/>
      </c>
      <c r="DA95">
        <f>IF(DA$4=0,0,IF(COUNTIFS(実績!$W$6:$W$505,DA$3,実績!$AC$6:$AC$505,"&lt;="&amp;$A95,実績!$AD$6:$AD$505,"&gt;"&amp;$A95,実績!$AE$6:$AE$505,"○")&gt;0,1,0))</f>
        <v/>
      </c>
      <c r="DB95">
        <f>IF(DB$4=0,0,IF(COUNTIFS(実績!$W$6:$W$505,DB$3,実績!$AC$6:$AC$505,"&lt;="&amp;$A95,実績!$AD$6:$AD$505,"&gt;"&amp;$A95,実績!$AE$6:$AE$505,"○")&gt;0,1,0))</f>
        <v/>
      </c>
      <c r="DC95">
        <f>IF(DC$4=0,0,IF(COUNTIFS(実績!$W$6:$W$505,DC$3,実績!$AC$6:$AC$505,"&lt;="&amp;$A95,実績!$AD$6:$AD$505,"&gt;"&amp;$A95,実績!$AE$6:$AE$505,"○")&gt;0,1,0))</f>
        <v/>
      </c>
      <c r="DD95">
        <f>IF(DD$4=0,0,IF(COUNTIFS(実績!$W$6:$W$505,DD$3,実績!$AC$6:$AC$505,"&lt;="&amp;$A95,実績!$AD$6:$AD$505,"&gt;"&amp;$A95,実績!$AE$6:$AE$505,"○")&gt;0,1,0))</f>
        <v/>
      </c>
      <c r="DE95">
        <f>IF(DE$4=0,0,IF(COUNTIFS(実績!$W$6:$W$505,DE$3,実績!$AC$6:$AC$505,"&lt;="&amp;$A95,実績!$AD$6:$AD$505,"&gt;"&amp;$A95,実績!$AE$6:$AE$505,"○")&gt;0,1,0))</f>
        <v/>
      </c>
      <c r="DF95">
        <f>IF(DF$4=0,0,IF(COUNTIFS(実績!$W$6:$W$505,DF$3,実績!$AC$6:$AC$505,"&lt;="&amp;$A95,実績!$AD$6:$AD$505,"&gt;"&amp;$A95,実績!$AE$6:$AE$505,"○")&gt;0,1,0))</f>
        <v/>
      </c>
      <c r="DG95">
        <f>IF(DG$4=0,0,IF(COUNTIFS(実績!$W$6:$W$505,DG$3,実績!$AC$6:$AC$505,"&lt;="&amp;$A95,実績!$AD$6:$AD$505,"&gt;"&amp;$A95,実績!$AE$6:$AE$505,"○")&gt;0,1,0))</f>
        <v/>
      </c>
      <c r="DH95">
        <f>IF(DH$4=0,0,IF(COUNTIFS(実績!$W$6:$W$505,DH$3,実績!$AC$6:$AC$505,"&lt;="&amp;$A95,実績!$AD$6:$AD$505,"&gt;"&amp;$A95,実績!$AE$6:$AE$505,"○")&gt;0,1,0))</f>
        <v/>
      </c>
      <c r="DI95">
        <f>IF(DI$4=0,0,IF(COUNTIFS(実績!$W$6:$W$505,DI$3,実績!$AC$6:$AC$505,"&lt;="&amp;$A95,実績!$AD$6:$AD$505,"&gt;"&amp;$A95,実績!$AE$6:$AE$505,"○")&gt;0,1,0))</f>
        <v/>
      </c>
      <c r="DJ95">
        <f>IF(DJ$4=0,0,IF(COUNTIFS(実績!$W$6:$W$505,DJ$3,実績!$AC$6:$AC$505,"&lt;="&amp;$A95,実績!$AD$6:$AD$505,"&gt;"&amp;$A95,実績!$AE$6:$AE$505,"○")&gt;0,1,0))</f>
        <v/>
      </c>
      <c r="DK95">
        <f>IF(DK$4=0,0,IF(COUNTIFS(実績!$W$6:$W$505,DK$3,実績!$AC$6:$AC$505,"&lt;="&amp;$A95,実績!$AD$6:$AD$505,"&gt;"&amp;$A95,実績!$AE$6:$AE$505,"○")&gt;0,1,0))</f>
        <v/>
      </c>
      <c r="DL95">
        <f>IF(DL$4=0,0,IF(COUNTIFS(実績!$W$6:$W$505,DL$3,実績!$AC$6:$AC$505,"&lt;="&amp;$A95,実績!$AD$6:$AD$505,"&gt;"&amp;$A95,実績!$AE$6:$AE$505,"○")&gt;0,1,0))</f>
        <v/>
      </c>
      <c r="DM95">
        <f>IF(DM$4=0,0,IF(COUNTIFS(実績!$W$6:$W$505,DM$3,実績!$AC$6:$AC$505,"&lt;="&amp;$A95,実績!$AD$6:$AD$505,"&gt;"&amp;$A95,実績!$AE$6:$AE$505,"○")&gt;0,1,0))</f>
        <v/>
      </c>
      <c r="DN95">
        <f>IF(DN$4=0,0,IF(COUNTIFS(実績!$W$6:$W$505,DN$3,実績!$AC$6:$AC$505,"&lt;="&amp;$A95,実績!$AD$6:$AD$505,"&gt;"&amp;$A95,実績!$AE$6:$AE$505,"○")&gt;0,1,0))</f>
        <v/>
      </c>
      <c r="DO95">
        <f>IF(DO$4=0,0,IF(COUNTIFS(実績!$W$6:$W$505,DO$3,実績!$AC$6:$AC$505,"&lt;="&amp;$A95,実績!$AD$6:$AD$505,"&gt;"&amp;$A95,実績!$AE$6:$AE$505,"○")&gt;0,1,0))</f>
        <v/>
      </c>
      <c r="DP95">
        <f>IF(DP$4=0,0,IF(COUNTIFS(実績!$W$6:$W$505,DP$3,実績!$AC$6:$AC$505,"&lt;="&amp;$A95,実績!$AD$6:$AD$505,"&gt;"&amp;$A95,実績!$AE$6:$AE$505,"○")&gt;0,1,0))</f>
        <v/>
      </c>
      <c r="DQ95">
        <f>IF(DQ$4=0,0,IF(COUNTIFS(実績!$W$6:$W$505,DQ$3,実績!$AC$6:$AC$505,"&lt;="&amp;$A95,実績!$AD$6:$AD$505,"&gt;"&amp;$A95,実績!$AE$6:$AE$505,"○")&gt;0,1,0))</f>
        <v/>
      </c>
      <c r="DR95">
        <f>IF(DR$4=0,0,IF(COUNTIFS(実績!$W$6:$W$505,DR$3,実績!$AC$6:$AC$505,"&lt;="&amp;$A95,実績!$AD$6:$AD$505,"&gt;"&amp;$A95,実績!$AE$6:$AE$505,"○")&gt;0,1,0))</f>
        <v/>
      </c>
      <c r="DS95">
        <f>SUM(C95:DR95)</f>
        <v/>
      </c>
      <c r="DT95">
        <f>SUMPRODUCT((実績!$C$6:$C$505="○")*ISNUMBER(実績!$AF$6:$AF$505)*(実績!$AF$6:$AF$505&lt;=$A95)*(実績!$AG$6:$AG$505&gt;$A95))</f>
        <v/>
      </c>
      <c r="DU95">
        <f>SUMIF($C$2:$DR$2,"製鉄曳船",C95:DR95)</f>
        <v/>
      </c>
      <c r="DV95">
        <f>SUMIF($C$2:$DR$2,"西日本海運",C95:DR95)</f>
        <v/>
      </c>
    </row>
    <row r="96">
      <c r="A96" t="n">
        <v>450</v>
      </c>
      <c r="B96" s="29">
        <f>A96/1440</f>
        <v/>
      </c>
      <c r="C96">
        <f>IF(C$4=0,0,IF(COUNTIFS(実績!$W$6:$W$505,C$3,実績!$AC$6:$AC$505,"&lt;="&amp;$A96,実績!$AD$6:$AD$505,"&gt;"&amp;$A96,実績!$AE$6:$AE$505,"○")&gt;0,1,0))</f>
        <v/>
      </c>
      <c r="D96">
        <f>IF(D$4=0,0,IF(COUNTIFS(実績!$W$6:$W$505,D$3,実績!$AC$6:$AC$505,"&lt;="&amp;$A96,実績!$AD$6:$AD$505,"&gt;"&amp;$A96,実績!$AE$6:$AE$505,"○")&gt;0,1,0))</f>
        <v/>
      </c>
      <c r="E96">
        <f>IF(E$4=0,0,IF(COUNTIFS(実績!$W$6:$W$505,E$3,実績!$AC$6:$AC$505,"&lt;="&amp;$A96,実績!$AD$6:$AD$505,"&gt;"&amp;$A96,実績!$AE$6:$AE$505,"○")&gt;0,1,0))</f>
        <v/>
      </c>
      <c r="F96">
        <f>IF(F$4=0,0,IF(COUNTIFS(実績!$W$6:$W$505,F$3,実績!$AC$6:$AC$505,"&lt;="&amp;$A96,実績!$AD$6:$AD$505,"&gt;"&amp;$A96,実績!$AE$6:$AE$505,"○")&gt;0,1,0))</f>
        <v/>
      </c>
      <c r="G96">
        <f>IF(G$4=0,0,IF(COUNTIFS(実績!$W$6:$W$505,G$3,実績!$AC$6:$AC$505,"&lt;="&amp;$A96,実績!$AD$6:$AD$505,"&gt;"&amp;$A96,実績!$AE$6:$AE$505,"○")&gt;0,1,0))</f>
        <v/>
      </c>
      <c r="H96">
        <f>IF(H$4=0,0,IF(COUNTIFS(実績!$W$6:$W$505,H$3,実績!$AC$6:$AC$505,"&lt;="&amp;$A96,実績!$AD$6:$AD$505,"&gt;"&amp;$A96,実績!$AE$6:$AE$505,"○")&gt;0,1,0))</f>
        <v/>
      </c>
      <c r="I96">
        <f>IF(I$4=0,0,IF(COUNTIFS(実績!$W$6:$W$505,I$3,実績!$AC$6:$AC$505,"&lt;="&amp;$A96,実績!$AD$6:$AD$505,"&gt;"&amp;$A96,実績!$AE$6:$AE$505,"○")&gt;0,1,0))</f>
        <v/>
      </c>
      <c r="J96">
        <f>IF(J$4=0,0,IF(COUNTIFS(実績!$W$6:$W$505,J$3,実績!$AC$6:$AC$505,"&lt;="&amp;$A96,実績!$AD$6:$AD$505,"&gt;"&amp;$A96,実績!$AE$6:$AE$505,"○")&gt;0,1,0))</f>
        <v/>
      </c>
      <c r="K96">
        <f>IF(K$4=0,0,IF(COUNTIFS(実績!$W$6:$W$505,K$3,実績!$AC$6:$AC$505,"&lt;="&amp;$A96,実績!$AD$6:$AD$505,"&gt;"&amp;$A96,実績!$AE$6:$AE$505,"○")&gt;0,1,0))</f>
        <v/>
      </c>
      <c r="L96">
        <f>IF(L$4=0,0,IF(COUNTIFS(実績!$W$6:$W$505,L$3,実績!$AC$6:$AC$505,"&lt;="&amp;$A96,実績!$AD$6:$AD$505,"&gt;"&amp;$A96,実績!$AE$6:$AE$505,"○")&gt;0,1,0))</f>
        <v/>
      </c>
      <c r="M96">
        <f>IF(M$4=0,0,IF(COUNTIFS(実績!$W$6:$W$505,M$3,実績!$AC$6:$AC$505,"&lt;="&amp;$A96,実績!$AD$6:$AD$505,"&gt;"&amp;$A96,実績!$AE$6:$AE$505,"○")&gt;0,1,0))</f>
        <v/>
      </c>
      <c r="N96">
        <f>IF(N$4=0,0,IF(COUNTIFS(実績!$W$6:$W$505,N$3,実績!$AC$6:$AC$505,"&lt;="&amp;$A96,実績!$AD$6:$AD$505,"&gt;"&amp;$A96,実績!$AE$6:$AE$505,"○")&gt;0,1,0))</f>
        <v/>
      </c>
      <c r="O96">
        <f>IF(O$4=0,0,IF(COUNTIFS(実績!$W$6:$W$505,O$3,実績!$AC$6:$AC$505,"&lt;="&amp;$A96,実績!$AD$6:$AD$505,"&gt;"&amp;$A96,実績!$AE$6:$AE$505,"○")&gt;0,1,0))</f>
        <v/>
      </c>
      <c r="P96">
        <f>IF(P$4=0,0,IF(COUNTIFS(実績!$W$6:$W$505,P$3,実績!$AC$6:$AC$505,"&lt;="&amp;$A96,実績!$AD$6:$AD$505,"&gt;"&amp;$A96,実績!$AE$6:$AE$505,"○")&gt;0,1,0))</f>
        <v/>
      </c>
      <c r="Q96">
        <f>IF(Q$4=0,0,IF(COUNTIFS(実績!$W$6:$W$505,Q$3,実績!$AC$6:$AC$505,"&lt;="&amp;$A96,実績!$AD$6:$AD$505,"&gt;"&amp;$A96,実績!$AE$6:$AE$505,"○")&gt;0,1,0))</f>
        <v/>
      </c>
      <c r="R96">
        <f>IF(R$4=0,0,IF(COUNTIFS(実績!$W$6:$W$505,R$3,実績!$AC$6:$AC$505,"&lt;="&amp;$A96,実績!$AD$6:$AD$505,"&gt;"&amp;$A96,実績!$AE$6:$AE$505,"○")&gt;0,1,0))</f>
        <v/>
      </c>
      <c r="S96">
        <f>IF(S$4=0,0,IF(COUNTIFS(実績!$W$6:$W$505,S$3,実績!$AC$6:$AC$505,"&lt;="&amp;$A96,実績!$AD$6:$AD$505,"&gt;"&amp;$A96,実績!$AE$6:$AE$505,"○")&gt;0,1,0))</f>
        <v/>
      </c>
      <c r="T96">
        <f>IF(T$4=0,0,IF(COUNTIFS(実績!$W$6:$W$505,T$3,実績!$AC$6:$AC$505,"&lt;="&amp;$A96,実績!$AD$6:$AD$505,"&gt;"&amp;$A96,実績!$AE$6:$AE$505,"○")&gt;0,1,0))</f>
        <v/>
      </c>
      <c r="U96">
        <f>IF(U$4=0,0,IF(COUNTIFS(実績!$W$6:$W$505,U$3,実績!$AC$6:$AC$505,"&lt;="&amp;$A96,実績!$AD$6:$AD$505,"&gt;"&amp;$A96,実績!$AE$6:$AE$505,"○")&gt;0,1,0))</f>
        <v/>
      </c>
      <c r="V96">
        <f>IF(V$4=0,0,IF(COUNTIFS(実績!$W$6:$W$505,V$3,実績!$AC$6:$AC$505,"&lt;="&amp;$A96,実績!$AD$6:$AD$505,"&gt;"&amp;$A96,実績!$AE$6:$AE$505,"○")&gt;0,1,0))</f>
        <v/>
      </c>
      <c r="W96">
        <f>IF(W$4=0,0,IF(COUNTIFS(実績!$W$6:$W$505,W$3,実績!$AC$6:$AC$505,"&lt;="&amp;$A96,実績!$AD$6:$AD$505,"&gt;"&amp;$A96,実績!$AE$6:$AE$505,"○")&gt;0,1,0))</f>
        <v/>
      </c>
      <c r="X96">
        <f>IF(X$4=0,0,IF(COUNTIFS(実績!$W$6:$W$505,X$3,実績!$AC$6:$AC$505,"&lt;="&amp;$A96,実績!$AD$6:$AD$505,"&gt;"&amp;$A96,実績!$AE$6:$AE$505,"○")&gt;0,1,0))</f>
        <v/>
      </c>
      <c r="Y96">
        <f>IF(Y$4=0,0,IF(COUNTIFS(実績!$W$6:$W$505,Y$3,実績!$AC$6:$AC$505,"&lt;="&amp;$A96,実績!$AD$6:$AD$505,"&gt;"&amp;$A96,実績!$AE$6:$AE$505,"○")&gt;0,1,0))</f>
        <v/>
      </c>
      <c r="Z96">
        <f>IF(Z$4=0,0,IF(COUNTIFS(実績!$W$6:$W$505,Z$3,実績!$AC$6:$AC$505,"&lt;="&amp;$A96,実績!$AD$6:$AD$505,"&gt;"&amp;$A96,実績!$AE$6:$AE$505,"○")&gt;0,1,0))</f>
        <v/>
      </c>
      <c r="AA96">
        <f>IF(AA$4=0,0,IF(COUNTIFS(実績!$W$6:$W$505,AA$3,実績!$AC$6:$AC$505,"&lt;="&amp;$A96,実績!$AD$6:$AD$505,"&gt;"&amp;$A96,実績!$AE$6:$AE$505,"○")&gt;0,1,0))</f>
        <v/>
      </c>
      <c r="AB96">
        <f>IF(AB$4=0,0,IF(COUNTIFS(実績!$W$6:$W$505,AB$3,実績!$AC$6:$AC$505,"&lt;="&amp;$A96,実績!$AD$6:$AD$505,"&gt;"&amp;$A96,実績!$AE$6:$AE$505,"○")&gt;0,1,0))</f>
        <v/>
      </c>
      <c r="AC96">
        <f>IF(AC$4=0,0,IF(COUNTIFS(実績!$W$6:$W$505,AC$3,実績!$AC$6:$AC$505,"&lt;="&amp;$A96,実績!$AD$6:$AD$505,"&gt;"&amp;$A96,実績!$AE$6:$AE$505,"○")&gt;0,1,0))</f>
        <v/>
      </c>
      <c r="AD96">
        <f>IF(AD$4=0,0,IF(COUNTIFS(実績!$W$6:$W$505,AD$3,実績!$AC$6:$AC$505,"&lt;="&amp;$A96,実績!$AD$6:$AD$505,"&gt;"&amp;$A96,実績!$AE$6:$AE$505,"○")&gt;0,1,0))</f>
        <v/>
      </c>
      <c r="AE96">
        <f>IF(AE$4=0,0,IF(COUNTIFS(実績!$W$6:$W$505,AE$3,実績!$AC$6:$AC$505,"&lt;="&amp;$A96,実績!$AD$6:$AD$505,"&gt;"&amp;$A96,実績!$AE$6:$AE$505,"○")&gt;0,1,0))</f>
        <v/>
      </c>
      <c r="AF96">
        <f>IF(AF$4=0,0,IF(COUNTIFS(実績!$W$6:$W$505,AF$3,実績!$AC$6:$AC$505,"&lt;="&amp;$A96,実績!$AD$6:$AD$505,"&gt;"&amp;$A96,実績!$AE$6:$AE$505,"○")&gt;0,1,0))</f>
        <v/>
      </c>
      <c r="AG96">
        <f>IF(AG$4=0,0,IF(COUNTIFS(実績!$W$6:$W$505,AG$3,実績!$AC$6:$AC$505,"&lt;="&amp;$A96,実績!$AD$6:$AD$505,"&gt;"&amp;$A96,実績!$AE$6:$AE$505,"○")&gt;0,1,0))</f>
        <v/>
      </c>
      <c r="AH96">
        <f>IF(AH$4=0,0,IF(COUNTIFS(実績!$W$6:$W$505,AH$3,実績!$AC$6:$AC$505,"&lt;="&amp;$A96,実績!$AD$6:$AD$505,"&gt;"&amp;$A96,実績!$AE$6:$AE$505,"○")&gt;0,1,0))</f>
        <v/>
      </c>
      <c r="AI96">
        <f>IF(AI$4=0,0,IF(COUNTIFS(実績!$W$6:$W$505,AI$3,実績!$AC$6:$AC$505,"&lt;="&amp;$A96,実績!$AD$6:$AD$505,"&gt;"&amp;$A96,実績!$AE$6:$AE$505,"○")&gt;0,1,0))</f>
        <v/>
      </c>
      <c r="AJ96">
        <f>IF(AJ$4=0,0,IF(COUNTIFS(実績!$W$6:$W$505,AJ$3,実績!$AC$6:$AC$505,"&lt;="&amp;$A96,実績!$AD$6:$AD$505,"&gt;"&amp;$A96,実績!$AE$6:$AE$505,"○")&gt;0,1,0))</f>
        <v/>
      </c>
      <c r="AK96">
        <f>IF(AK$4=0,0,IF(COUNTIFS(実績!$W$6:$W$505,AK$3,実績!$AC$6:$AC$505,"&lt;="&amp;$A96,実績!$AD$6:$AD$505,"&gt;"&amp;$A96,実績!$AE$6:$AE$505,"○")&gt;0,1,0))</f>
        <v/>
      </c>
      <c r="AL96">
        <f>IF(AL$4=0,0,IF(COUNTIFS(実績!$W$6:$W$505,AL$3,実績!$AC$6:$AC$505,"&lt;="&amp;$A96,実績!$AD$6:$AD$505,"&gt;"&amp;$A96,実績!$AE$6:$AE$505,"○")&gt;0,1,0))</f>
        <v/>
      </c>
      <c r="AM96">
        <f>IF(AM$4=0,0,IF(COUNTIFS(実績!$W$6:$W$505,AM$3,実績!$AC$6:$AC$505,"&lt;="&amp;$A96,実績!$AD$6:$AD$505,"&gt;"&amp;$A96,実績!$AE$6:$AE$505,"○")&gt;0,1,0))</f>
        <v/>
      </c>
      <c r="AN96">
        <f>IF(AN$4=0,0,IF(COUNTIFS(実績!$W$6:$W$505,AN$3,実績!$AC$6:$AC$505,"&lt;="&amp;$A96,実績!$AD$6:$AD$505,"&gt;"&amp;$A96,実績!$AE$6:$AE$505,"○")&gt;0,1,0))</f>
        <v/>
      </c>
      <c r="AO96">
        <f>IF(AO$4=0,0,IF(COUNTIFS(実績!$W$6:$W$505,AO$3,実績!$AC$6:$AC$505,"&lt;="&amp;$A96,実績!$AD$6:$AD$505,"&gt;"&amp;$A96,実績!$AE$6:$AE$505,"○")&gt;0,1,0))</f>
        <v/>
      </c>
      <c r="AP96">
        <f>IF(AP$4=0,0,IF(COUNTIFS(実績!$W$6:$W$505,AP$3,実績!$AC$6:$AC$505,"&lt;="&amp;$A96,実績!$AD$6:$AD$505,"&gt;"&amp;$A96,実績!$AE$6:$AE$505,"○")&gt;0,1,0))</f>
        <v/>
      </c>
      <c r="AQ96">
        <f>IF(AQ$4=0,0,IF(COUNTIFS(実績!$W$6:$W$505,AQ$3,実績!$AC$6:$AC$505,"&lt;="&amp;$A96,実績!$AD$6:$AD$505,"&gt;"&amp;$A96,実績!$AE$6:$AE$505,"○")&gt;0,1,0))</f>
        <v/>
      </c>
      <c r="AR96">
        <f>IF(AR$4=0,0,IF(COUNTIFS(実績!$W$6:$W$505,AR$3,実績!$AC$6:$AC$505,"&lt;="&amp;$A96,実績!$AD$6:$AD$505,"&gt;"&amp;$A96,実績!$AE$6:$AE$505,"○")&gt;0,1,0))</f>
        <v/>
      </c>
      <c r="AS96">
        <f>IF(AS$4=0,0,IF(COUNTIFS(実績!$W$6:$W$505,AS$3,実績!$AC$6:$AC$505,"&lt;="&amp;$A96,実績!$AD$6:$AD$505,"&gt;"&amp;$A96,実績!$AE$6:$AE$505,"○")&gt;0,1,0))</f>
        <v/>
      </c>
      <c r="AT96">
        <f>IF(AT$4=0,0,IF(COUNTIFS(実績!$W$6:$W$505,AT$3,実績!$AC$6:$AC$505,"&lt;="&amp;$A96,実績!$AD$6:$AD$505,"&gt;"&amp;$A96,実績!$AE$6:$AE$505,"○")&gt;0,1,0))</f>
        <v/>
      </c>
      <c r="AU96">
        <f>IF(AU$4=0,0,IF(COUNTIFS(実績!$W$6:$W$505,AU$3,実績!$AC$6:$AC$505,"&lt;="&amp;$A96,実績!$AD$6:$AD$505,"&gt;"&amp;$A96,実績!$AE$6:$AE$505,"○")&gt;0,1,0))</f>
        <v/>
      </c>
      <c r="AV96">
        <f>IF(AV$4=0,0,IF(COUNTIFS(実績!$W$6:$W$505,AV$3,実績!$AC$6:$AC$505,"&lt;="&amp;$A96,実績!$AD$6:$AD$505,"&gt;"&amp;$A96,実績!$AE$6:$AE$505,"○")&gt;0,1,0))</f>
        <v/>
      </c>
      <c r="AW96">
        <f>IF(AW$4=0,0,IF(COUNTIFS(実績!$W$6:$W$505,AW$3,実績!$AC$6:$AC$505,"&lt;="&amp;$A96,実績!$AD$6:$AD$505,"&gt;"&amp;$A96,実績!$AE$6:$AE$505,"○")&gt;0,1,0))</f>
        <v/>
      </c>
      <c r="AX96">
        <f>IF(AX$4=0,0,IF(COUNTIFS(実績!$W$6:$W$505,AX$3,実績!$AC$6:$AC$505,"&lt;="&amp;$A96,実績!$AD$6:$AD$505,"&gt;"&amp;$A96,実績!$AE$6:$AE$505,"○")&gt;0,1,0))</f>
        <v/>
      </c>
      <c r="AY96">
        <f>IF(AY$4=0,0,IF(COUNTIFS(実績!$W$6:$W$505,AY$3,実績!$AC$6:$AC$505,"&lt;="&amp;$A96,実績!$AD$6:$AD$505,"&gt;"&amp;$A96,実績!$AE$6:$AE$505,"○")&gt;0,1,0))</f>
        <v/>
      </c>
      <c r="AZ96">
        <f>IF(AZ$4=0,0,IF(COUNTIFS(実績!$W$6:$W$505,AZ$3,実績!$AC$6:$AC$505,"&lt;="&amp;$A96,実績!$AD$6:$AD$505,"&gt;"&amp;$A96,実績!$AE$6:$AE$505,"○")&gt;0,1,0))</f>
        <v/>
      </c>
      <c r="BA96">
        <f>IF(BA$4=0,0,IF(COUNTIFS(実績!$W$6:$W$505,BA$3,実績!$AC$6:$AC$505,"&lt;="&amp;$A96,実績!$AD$6:$AD$505,"&gt;"&amp;$A96,実績!$AE$6:$AE$505,"○")&gt;0,1,0))</f>
        <v/>
      </c>
      <c r="BB96">
        <f>IF(BB$4=0,0,IF(COUNTIFS(実績!$W$6:$W$505,BB$3,実績!$AC$6:$AC$505,"&lt;="&amp;$A96,実績!$AD$6:$AD$505,"&gt;"&amp;$A96,実績!$AE$6:$AE$505,"○")&gt;0,1,0))</f>
        <v/>
      </c>
      <c r="BC96">
        <f>IF(BC$4=0,0,IF(COUNTIFS(実績!$W$6:$W$505,BC$3,実績!$AC$6:$AC$505,"&lt;="&amp;$A96,実績!$AD$6:$AD$505,"&gt;"&amp;$A96,実績!$AE$6:$AE$505,"○")&gt;0,1,0))</f>
        <v/>
      </c>
      <c r="BD96">
        <f>IF(BD$4=0,0,IF(COUNTIFS(実績!$W$6:$W$505,BD$3,実績!$AC$6:$AC$505,"&lt;="&amp;$A96,実績!$AD$6:$AD$505,"&gt;"&amp;$A96,実績!$AE$6:$AE$505,"○")&gt;0,1,0))</f>
        <v/>
      </c>
      <c r="BE96">
        <f>IF(BE$4=0,0,IF(COUNTIFS(実績!$W$6:$W$505,BE$3,実績!$AC$6:$AC$505,"&lt;="&amp;$A96,実績!$AD$6:$AD$505,"&gt;"&amp;$A96,実績!$AE$6:$AE$505,"○")&gt;0,1,0))</f>
        <v/>
      </c>
      <c r="BF96">
        <f>IF(BF$4=0,0,IF(COUNTIFS(実績!$W$6:$W$505,BF$3,実績!$AC$6:$AC$505,"&lt;="&amp;$A96,実績!$AD$6:$AD$505,"&gt;"&amp;$A96,実績!$AE$6:$AE$505,"○")&gt;0,1,0))</f>
        <v/>
      </c>
      <c r="BG96">
        <f>IF(BG$4=0,0,IF(COUNTIFS(実績!$W$6:$W$505,BG$3,実績!$AC$6:$AC$505,"&lt;="&amp;$A96,実績!$AD$6:$AD$505,"&gt;"&amp;$A96,実績!$AE$6:$AE$505,"○")&gt;0,1,0))</f>
        <v/>
      </c>
      <c r="BH96">
        <f>IF(BH$4=0,0,IF(COUNTIFS(実績!$W$6:$W$505,BH$3,実績!$AC$6:$AC$505,"&lt;="&amp;$A96,実績!$AD$6:$AD$505,"&gt;"&amp;$A96,実績!$AE$6:$AE$505,"○")&gt;0,1,0))</f>
        <v/>
      </c>
      <c r="BI96">
        <f>IF(BI$4=0,0,IF(COUNTIFS(実績!$W$6:$W$505,BI$3,実績!$AC$6:$AC$505,"&lt;="&amp;$A96,実績!$AD$6:$AD$505,"&gt;"&amp;$A96,実績!$AE$6:$AE$505,"○")&gt;0,1,0))</f>
        <v/>
      </c>
      <c r="BJ96">
        <f>IF(BJ$4=0,0,IF(COUNTIFS(実績!$W$6:$W$505,BJ$3,実績!$AC$6:$AC$505,"&lt;="&amp;$A96,実績!$AD$6:$AD$505,"&gt;"&amp;$A96,実績!$AE$6:$AE$505,"○")&gt;0,1,0))</f>
        <v/>
      </c>
      <c r="BK96">
        <f>IF(BK$4=0,0,IF(COUNTIFS(実績!$W$6:$W$505,BK$3,実績!$AC$6:$AC$505,"&lt;="&amp;$A96,実績!$AD$6:$AD$505,"&gt;"&amp;$A96,実績!$AE$6:$AE$505,"○")&gt;0,1,0))</f>
        <v/>
      </c>
      <c r="BL96">
        <f>IF(BL$4=0,0,IF(COUNTIFS(実績!$W$6:$W$505,BL$3,実績!$AC$6:$AC$505,"&lt;="&amp;$A96,実績!$AD$6:$AD$505,"&gt;"&amp;$A96,実績!$AE$6:$AE$505,"○")&gt;0,1,0))</f>
        <v/>
      </c>
      <c r="BM96">
        <f>IF(BM$4=0,0,IF(COUNTIFS(実績!$W$6:$W$505,BM$3,実績!$AC$6:$AC$505,"&lt;="&amp;$A96,実績!$AD$6:$AD$505,"&gt;"&amp;$A96,実績!$AE$6:$AE$505,"○")&gt;0,1,0))</f>
        <v/>
      </c>
      <c r="BN96">
        <f>IF(BN$4=0,0,IF(COUNTIFS(実績!$W$6:$W$505,BN$3,実績!$AC$6:$AC$505,"&lt;="&amp;$A96,実績!$AD$6:$AD$505,"&gt;"&amp;$A96,実績!$AE$6:$AE$505,"○")&gt;0,1,0))</f>
        <v/>
      </c>
      <c r="BO96">
        <f>IF(BO$4=0,0,IF(COUNTIFS(実績!$W$6:$W$505,BO$3,実績!$AC$6:$AC$505,"&lt;="&amp;$A96,実績!$AD$6:$AD$505,"&gt;"&amp;$A96,実績!$AE$6:$AE$505,"○")&gt;0,1,0))</f>
        <v/>
      </c>
      <c r="BP96">
        <f>IF(BP$4=0,0,IF(COUNTIFS(実績!$W$6:$W$505,BP$3,実績!$AC$6:$AC$505,"&lt;="&amp;$A96,実績!$AD$6:$AD$505,"&gt;"&amp;$A96,実績!$AE$6:$AE$505,"○")&gt;0,1,0))</f>
        <v/>
      </c>
      <c r="BQ96">
        <f>IF(BQ$4=0,0,IF(COUNTIFS(実績!$W$6:$W$505,BQ$3,実績!$AC$6:$AC$505,"&lt;="&amp;$A96,実績!$AD$6:$AD$505,"&gt;"&amp;$A96,実績!$AE$6:$AE$505,"○")&gt;0,1,0))</f>
        <v/>
      </c>
      <c r="BR96">
        <f>IF(BR$4=0,0,IF(COUNTIFS(実績!$W$6:$W$505,BR$3,実績!$AC$6:$AC$505,"&lt;="&amp;$A96,実績!$AD$6:$AD$505,"&gt;"&amp;$A96,実績!$AE$6:$AE$505,"○")&gt;0,1,0))</f>
        <v/>
      </c>
      <c r="BS96">
        <f>IF(BS$4=0,0,IF(COUNTIFS(実績!$W$6:$W$505,BS$3,実績!$AC$6:$AC$505,"&lt;="&amp;$A96,実績!$AD$6:$AD$505,"&gt;"&amp;$A96,実績!$AE$6:$AE$505,"○")&gt;0,1,0))</f>
        <v/>
      </c>
      <c r="BT96">
        <f>IF(BT$4=0,0,IF(COUNTIFS(実績!$W$6:$W$505,BT$3,実績!$AC$6:$AC$505,"&lt;="&amp;$A96,実績!$AD$6:$AD$505,"&gt;"&amp;$A96,実績!$AE$6:$AE$505,"○")&gt;0,1,0))</f>
        <v/>
      </c>
      <c r="BU96">
        <f>IF(BU$4=0,0,IF(COUNTIFS(実績!$W$6:$W$505,BU$3,実績!$AC$6:$AC$505,"&lt;="&amp;$A96,実績!$AD$6:$AD$505,"&gt;"&amp;$A96,実績!$AE$6:$AE$505,"○")&gt;0,1,0))</f>
        <v/>
      </c>
      <c r="BV96">
        <f>IF(BV$4=0,0,IF(COUNTIFS(実績!$W$6:$W$505,BV$3,実績!$AC$6:$AC$505,"&lt;="&amp;$A96,実績!$AD$6:$AD$505,"&gt;"&amp;$A96,実績!$AE$6:$AE$505,"○")&gt;0,1,0))</f>
        <v/>
      </c>
      <c r="BW96">
        <f>IF(BW$4=0,0,IF(COUNTIFS(実績!$W$6:$W$505,BW$3,実績!$AC$6:$AC$505,"&lt;="&amp;$A96,実績!$AD$6:$AD$505,"&gt;"&amp;$A96,実績!$AE$6:$AE$505,"○")&gt;0,1,0))</f>
        <v/>
      </c>
      <c r="BX96">
        <f>IF(BX$4=0,0,IF(COUNTIFS(実績!$W$6:$W$505,BX$3,実績!$AC$6:$AC$505,"&lt;="&amp;$A96,実績!$AD$6:$AD$505,"&gt;"&amp;$A96,実績!$AE$6:$AE$505,"○")&gt;0,1,0))</f>
        <v/>
      </c>
      <c r="BY96">
        <f>IF(BY$4=0,0,IF(COUNTIFS(実績!$W$6:$W$505,BY$3,実績!$AC$6:$AC$505,"&lt;="&amp;$A96,実績!$AD$6:$AD$505,"&gt;"&amp;$A96,実績!$AE$6:$AE$505,"○")&gt;0,1,0))</f>
        <v/>
      </c>
      <c r="BZ96">
        <f>IF(BZ$4=0,0,IF(COUNTIFS(実績!$W$6:$W$505,BZ$3,実績!$AC$6:$AC$505,"&lt;="&amp;$A96,実績!$AD$6:$AD$505,"&gt;"&amp;$A96,実績!$AE$6:$AE$505,"○")&gt;0,1,0))</f>
        <v/>
      </c>
      <c r="CA96">
        <f>IF(CA$4=0,0,IF(COUNTIFS(実績!$W$6:$W$505,CA$3,実績!$AC$6:$AC$505,"&lt;="&amp;$A96,実績!$AD$6:$AD$505,"&gt;"&amp;$A96,実績!$AE$6:$AE$505,"○")&gt;0,1,0))</f>
        <v/>
      </c>
      <c r="CB96">
        <f>IF(CB$4=0,0,IF(COUNTIFS(実績!$W$6:$W$505,CB$3,実績!$AC$6:$AC$505,"&lt;="&amp;$A96,実績!$AD$6:$AD$505,"&gt;"&amp;$A96,実績!$AE$6:$AE$505,"○")&gt;0,1,0))</f>
        <v/>
      </c>
      <c r="CC96">
        <f>IF(CC$4=0,0,IF(COUNTIFS(実績!$W$6:$W$505,CC$3,実績!$AC$6:$AC$505,"&lt;="&amp;$A96,実績!$AD$6:$AD$505,"&gt;"&amp;$A96,実績!$AE$6:$AE$505,"○")&gt;0,1,0))</f>
        <v/>
      </c>
      <c r="CD96">
        <f>IF(CD$4=0,0,IF(COUNTIFS(実績!$W$6:$W$505,CD$3,実績!$AC$6:$AC$505,"&lt;="&amp;$A96,実績!$AD$6:$AD$505,"&gt;"&amp;$A96,実績!$AE$6:$AE$505,"○")&gt;0,1,0))</f>
        <v/>
      </c>
      <c r="CE96">
        <f>IF(CE$4=0,0,IF(COUNTIFS(実績!$W$6:$W$505,CE$3,実績!$AC$6:$AC$505,"&lt;="&amp;$A96,実績!$AD$6:$AD$505,"&gt;"&amp;$A96,実績!$AE$6:$AE$505,"○")&gt;0,1,0))</f>
        <v/>
      </c>
      <c r="CF96">
        <f>IF(CF$4=0,0,IF(COUNTIFS(実績!$W$6:$W$505,CF$3,実績!$AC$6:$AC$505,"&lt;="&amp;$A96,実績!$AD$6:$AD$505,"&gt;"&amp;$A96,実績!$AE$6:$AE$505,"○")&gt;0,1,0))</f>
        <v/>
      </c>
      <c r="CG96">
        <f>IF(CG$4=0,0,IF(COUNTIFS(実績!$W$6:$W$505,CG$3,実績!$AC$6:$AC$505,"&lt;="&amp;$A96,実績!$AD$6:$AD$505,"&gt;"&amp;$A96,実績!$AE$6:$AE$505,"○")&gt;0,1,0))</f>
        <v/>
      </c>
      <c r="CH96">
        <f>IF(CH$4=0,0,IF(COUNTIFS(実績!$W$6:$W$505,CH$3,実績!$AC$6:$AC$505,"&lt;="&amp;$A96,実績!$AD$6:$AD$505,"&gt;"&amp;$A96,実績!$AE$6:$AE$505,"○")&gt;0,1,0))</f>
        <v/>
      </c>
      <c r="CI96">
        <f>IF(CI$4=0,0,IF(COUNTIFS(実績!$W$6:$W$505,CI$3,実績!$AC$6:$AC$505,"&lt;="&amp;$A96,実績!$AD$6:$AD$505,"&gt;"&amp;$A96,実績!$AE$6:$AE$505,"○")&gt;0,1,0))</f>
        <v/>
      </c>
      <c r="CJ96">
        <f>IF(CJ$4=0,0,IF(COUNTIFS(実績!$W$6:$W$505,CJ$3,実績!$AC$6:$AC$505,"&lt;="&amp;$A96,実績!$AD$6:$AD$505,"&gt;"&amp;$A96,実績!$AE$6:$AE$505,"○")&gt;0,1,0))</f>
        <v/>
      </c>
      <c r="CK96">
        <f>IF(CK$4=0,0,IF(COUNTIFS(実績!$W$6:$W$505,CK$3,実績!$AC$6:$AC$505,"&lt;="&amp;$A96,実績!$AD$6:$AD$505,"&gt;"&amp;$A96,実績!$AE$6:$AE$505,"○")&gt;0,1,0))</f>
        <v/>
      </c>
      <c r="CL96">
        <f>IF(CL$4=0,0,IF(COUNTIFS(実績!$W$6:$W$505,CL$3,実績!$AC$6:$AC$505,"&lt;="&amp;$A96,実績!$AD$6:$AD$505,"&gt;"&amp;$A96,実績!$AE$6:$AE$505,"○")&gt;0,1,0))</f>
        <v/>
      </c>
      <c r="CM96">
        <f>IF(CM$4=0,0,IF(COUNTIFS(実績!$W$6:$W$505,CM$3,実績!$AC$6:$AC$505,"&lt;="&amp;$A96,実績!$AD$6:$AD$505,"&gt;"&amp;$A96,実績!$AE$6:$AE$505,"○")&gt;0,1,0))</f>
        <v/>
      </c>
      <c r="CN96">
        <f>IF(CN$4=0,0,IF(COUNTIFS(実績!$W$6:$W$505,CN$3,実績!$AC$6:$AC$505,"&lt;="&amp;$A96,実績!$AD$6:$AD$505,"&gt;"&amp;$A96,実績!$AE$6:$AE$505,"○")&gt;0,1,0))</f>
        <v/>
      </c>
      <c r="CO96">
        <f>IF(CO$4=0,0,IF(COUNTIFS(実績!$W$6:$W$505,CO$3,実績!$AC$6:$AC$505,"&lt;="&amp;$A96,実績!$AD$6:$AD$505,"&gt;"&amp;$A96,実績!$AE$6:$AE$505,"○")&gt;0,1,0))</f>
        <v/>
      </c>
      <c r="CP96">
        <f>IF(CP$4=0,0,IF(COUNTIFS(実績!$W$6:$W$505,CP$3,実績!$AC$6:$AC$505,"&lt;="&amp;$A96,実績!$AD$6:$AD$505,"&gt;"&amp;$A96,実績!$AE$6:$AE$505,"○")&gt;0,1,0))</f>
        <v/>
      </c>
      <c r="CQ96">
        <f>IF(CQ$4=0,0,IF(COUNTIFS(実績!$W$6:$W$505,CQ$3,実績!$AC$6:$AC$505,"&lt;="&amp;$A96,実績!$AD$6:$AD$505,"&gt;"&amp;$A96,実績!$AE$6:$AE$505,"○")&gt;0,1,0))</f>
        <v/>
      </c>
      <c r="CR96">
        <f>IF(CR$4=0,0,IF(COUNTIFS(実績!$W$6:$W$505,CR$3,実績!$AC$6:$AC$505,"&lt;="&amp;$A96,実績!$AD$6:$AD$505,"&gt;"&amp;$A96,実績!$AE$6:$AE$505,"○")&gt;0,1,0))</f>
        <v/>
      </c>
      <c r="CS96">
        <f>IF(CS$4=0,0,IF(COUNTIFS(実績!$W$6:$W$505,CS$3,実績!$AC$6:$AC$505,"&lt;="&amp;$A96,実績!$AD$6:$AD$505,"&gt;"&amp;$A96,実績!$AE$6:$AE$505,"○")&gt;0,1,0))</f>
        <v/>
      </c>
      <c r="CT96">
        <f>IF(CT$4=0,0,IF(COUNTIFS(実績!$W$6:$W$505,CT$3,実績!$AC$6:$AC$505,"&lt;="&amp;$A96,実績!$AD$6:$AD$505,"&gt;"&amp;$A96,実績!$AE$6:$AE$505,"○")&gt;0,1,0))</f>
        <v/>
      </c>
      <c r="CU96">
        <f>IF(CU$4=0,0,IF(COUNTIFS(実績!$W$6:$W$505,CU$3,実績!$AC$6:$AC$505,"&lt;="&amp;$A96,実績!$AD$6:$AD$505,"&gt;"&amp;$A96,実績!$AE$6:$AE$505,"○")&gt;0,1,0))</f>
        <v/>
      </c>
      <c r="CV96">
        <f>IF(CV$4=0,0,IF(COUNTIFS(実績!$W$6:$W$505,CV$3,実績!$AC$6:$AC$505,"&lt;="&amp;$A96,実績!$AD$6:$AD$505,"&gt;"&amp;$A96,実績!$AE$6:$AE$505,"○")&gt;0,1,0))</f>
        <v/>
      </c>
      <c r="CW96">
        <f>IF(CW$4=0,0,IF(COUNTIFS(実績!$W$6:$W$505,CW$3,実績!$AC$6:$AC$505,"&lt;="&amp;$A96,実績!$AD$6:$AD$505,"&gt;"&amp;$A96,実績!$AE$6:$AE$505,"○")&gt;0,1,0))</f>
        <v/>
      </c>
      <c r="CX96">
        <f>IF(CX$4=0,0,IF(COUNTIFS(実績!$W$6:$W$505,CX$3,実績!$AC$6:$AC$505,"&lt;="&amp;$A96,実績!$AD$6:$AD$505,"&gt;"&amp;$A96,実績!$AE$6:$AE$505,"○")&gt;0,1,0))</f>
        <v/>
      </c>
      <c r="CY96">
        <f>IF(CY$4=0,0,IF(COUNTIFS(実績!$W$6:$W$505,CY$3,実績!$AC$6:$AC$505,"&lt;="&amp;$A96,実績!$AD$6:$AD$505,"&gt;"&amp;$A96,実績!$AE$6:$AE$505,"○")&gt;0,1,0))</f>
        <v/>
      </c>
      <c r="CZ96">
        <f>IF(CZ$4=0,0,IF(COUNTIFS(実績!$W$6:$W$505,CZ$3,実績!$AC$6:$AC$505,"&lt;="&amp;$A96,実績!$AD$6:$AD$505,"&gt;"&amp;$A96,実績!$AE$6:$AE$505,"○")&gt;0,1,0))</f>
        <v/>
      </c>
      <c r="DA96">
        <f>IF(DA$4=0,0,IF(COUNTIFS(実績!$W$6:$W$505,DA$3,実績!$AC$6:$AC$505,"&lt;="&amp;$A96,実績!$AD$6:$AD$505,"&gt;"&amp;$A96,実績!$AE$6:$AE$505,"○")&gt;0,1,0))</f>
        <v/>
      </c>
      <c r="DB96">
        <f>IF(DB$4=0,0,IF(COUNTIFS(実績!$W$6:$W$505,DB$3,実績!$AC$6:$AC$505,"&lt;="&amp;$A96,実績!$AD$6:$AD$505,"&gt;"&amp;$A96,実績!$AE$6:$AE$505,"○")&gt;0,1,0))</f>
        <v/>
      </c>
      <c r="DC96">
        <f>IF(DC$4=0,0,IF(COUNTIFS(実績!$W$6:$W$505,DC$3,実績!$AC$6:$AC$505,"&lt;="&amp;$A96,実績!$AD$6:$AD$505,"&gt;"&amp;$A96,実績!$AE$6:$AE$505,"○")&gt;0,1,0))</f>
        <v/>
      </c>
      <c r="DD96">
        <f>IF(DD$4=0,0,IF(COUNTIFS(実績!$W$6:$W$505,DD$3,実績!$AC$6:$AC$505,"&lt;="&amp;$A96,実績!$AD$6:$AD$505,"&gt;"&amp;$A96,実績!$AE$6:$AE$505,"○")&gt;0,1,0))</f>
        <v/>
      </c>
      <c r="DE96">
        <f>IF(DE$4=0,0,IF(COUNTIFS(実績!$W$6:$W$505,DE$3,実績!$AC$6:$AC$505,"&lt;="&amp;$A96,実績!$AD$6:$AD$505,"&gt;"&amp;$A96,実績!$AE$6:$AE$505,"○")&gt;0,1,0))</f>
        <v/>
      </c>
      <c r="DF96">
        <f>IF(DF$4=0,0,IF(COUNTIFS(実績!$W$6:$W$505,DF$3,実績!$AC$6:$AC$505,"&lt;="&amp;$A96,実績!$AD$6:$AD$505,"&gt;"&amp;$A96,実績!$AE$6:$AE$505,"○")&gt;0,1,0))</f>
        <v/>
      </c>
      <c r="DG96">
        <f>IF(DG$4=0,0,IF(COUNTIFS(実績!$W$6:$W$505,DG$3,実績!$AC$6:$AC$505,"&lt;="&amp;$A96,実績!$AD$6:$AD$505,"&gt;"&amp;$A96,実績!$AE$6:$AE$505,"○")&gt;0,1,0))</f>
        <v/>
      </c>
      <c r="DH96">
        <f>IF(DH$4=0,0,IF(COUNTIFS(実績!$W$6:$W$505,DH$3,実績!$AC$6:$AC$505,"&lt;="&amp;$A96,実績!$AD$6:$AD$505,"&gt;"&amp;$A96,実績!$AE$6:$AE$505,"○")&gt;0,1,0))</f>
        <v/>
      </c>
      <c r="DI96">
        <f>IF(DI$4=0,0,IF(COUNTIFS(実績!$W$6:$W$505,DI$3,実績!$AC$6:$AC$505,"&lt;="&amp;$A96,実績!$AD$6:$AD$505,"&gt;"&amp;$A96,実績!$AE$6:$AE$505,"○")&gt;0,1,0))</f>
        <v/>
      </c>
      <c r="DJ96">
        <f>IF(DJ$4=0,0,IF(COUNTIFS(実績!$W$6:$W$505,DJ$3,実績!$AC$6:$AC$505,"&lt;="&amp;$A96,実績!$AD$6:$AD$505,"&gt;"&amp;$A96,実績!$AE$6:$AE$505,"○")&gt;0,1,0))</f>
        <v/>
      </c>
      <c r="DK96">
        <f>IF(DK$4=0,0,IF(COUNTIFS(実績!$W$6:$W$505,DK$3,実績!$AC$6:$AC$505,"&lt;="&amp;$A96,実績!$AD$6:$AD$505,"&gt;"&amp;$A96,実績!$AE$6:$AE$505,"○")&gt;0,1,0))</f>
        <v/>
      </c>
      <c r="DL96">
        <f>IF(DL$4=0,0,IF(COUNTIFS(実績!$W$6:$W$505,DL$3,実績!$AC$6:$AC$505,"&lt;="&amp;$A96,実績!$AD$6:$AD$505,"&gt;"&amp;$A96,実績!$AE$6:$AE$505,"○")&gt;0,1,0))</f>
        <v/>
      </c>
      <c r="DM96">
        <f>IF(DM$4=0,0,IF(COUNTIFS(実績!$W$6:$W$505,DM$3,実績!$AC$6:$AC$505,"&lt;="&amp;$A96,実績!$AD$6:$AD$505,"&gt;"&amp;$A96,実績!$AE$6:$AE$505,"○")&gt;0,1,0))</f>
        <v/>
      </c>
      <c r="DN96">
        <f>IF(DN$4=0,0,IF(COUNTIFS(実績!$W$6:$W$505,DN$3,実績!$AC$6:$AC$505,"&lt;="&amp;$A96,実績!$AD$6:$AD$505,"&gt;"&amp;$A96,実績!$AE$6:$AE$505,"○")&gt;0,1,0))</f>
        <v/>
      </c>
      <c r="DO96">
        <f>IF(DO$4=0,0,IF(COUNTIFS(実績!$W$6:$W$505,DO$3,実績!$AC$6:$AC$505,"&lt;="&amp;$A96,実績!$AD$6:$AD$505,"&gt;"&amp;$A96,実績!$AE$6:$AE$505,"○")&gt;0,1,0))</f>
        <v/>
      </c>
      <c r="DP96">
        <f>IF(DP$4=0,0,IF(COUNTIFS(実績!$W$6:$W$505,DP$3,実績!$AC$6:$AC$505,"&lt;="&amp;$A96,実績!$AD$6:$AD$505,"&gt;"&amp;$A96,実績!$AE$6:$AE$505,"○")&gt;0,1,0))</f>
        <v/>
      </c>
      <c r="DQ96">
        <f>IF(DQ$4=0,0,IF(COUNTIFS(実績!$W$6:$W$505,DQ$3,実績!$AC$6:$AC$505,"&lt;="&amp;$A96,実績!$AD$6:$AD$505,"&gt;"&amp;$A96,実績!$AE$6:$AE$505,"○")&gt;0,1,0))</f>
        <v/>
      </c>
      <c r="DR96">
        <f>IF(DR$4=0,0,IF(COUNTIFS(実績!$W$6:$W$505,DR$3,実績!$AC$6:$AC$505,"&lt;="&amp;$A96,実績!$AD$6:$AD$505,"&gt;"&amp;$A96,実績!$AE$6:$AE$505,"○")&gt;0,1,0))</f>
        <v/>
      </c>
      <c r="DS96">
        <f>SUM(C96:DR96)</f>
        <v/>
      </c>
      <c r="DT96">
        <f>SUMPRODUCT((実績!$C$6:$C$505="○")*ISNUMBER(実績!$AF$6:$AF$505)*(実績!$AF$6:$AF$505&lt;=$A96)*(実績!$AG$6:$AG$505&gt;$A96))</f>
        <v/>
      </c>
      <c r="DU96">
        <f>SUMIF($C$2:$DR$2,"製鉄曳船",C96:DR96)</f>
        <v/>
      </c>
      <c r="DV96">
        <f>SUMIF($C$2:$DR$2,"西日本海運",C96:DR96)</f>
        <v/>
      </c>
    </row>
    <row r="97">
      <c r="A97" t="n">
        <v>455</v>
      </c>
      <c r="B97" s="29">
        <f>A97/1440</f>
        <v/>
      </c>
      <c r="C97">
        <f>IF(C$4=0,0,IF(COUNTIFS(実績!$W$6:$W$505,C$3,実績!$AC$6:$AC$505,"&lt;="&amp;$A97,実績!$AD$6:$AD$505,"&gt;"&amp;$A97,実績!$AE$6:$AE$505,"○")&gt;0,1,0))</f>
        <v/>
      </c>
      <c r="D97">
        <f>IF(D$4=0,0,IF(COUNTIFS(実績!$W$6:$W$505,D$3,実績!$AC$6:$AC$505,"&lt;="&amp;$A97,実績!$AD$6:$AD$505,"&gt;"&amp;$A97,実績!$AE$6:$AE$505,"○")&gt;0,1,0))</f>
        <v/>
      </c>
      <c r="E97">
        <f>IF(E$4=0,0,IF(COUNTIFS(実績!$W$6:$W$505,E$3,実績!$AC$6:$AC$505,"&lt;="&amp;$A97,実績!$AD$6:$AD$505,"&gt;"&amp;$A97,実績!$AE$6:$AE$505,"○")&gt;0,1,0))</f>
        <v/>
      </c>
      <c r="F97">
        <f>IF(F$4=0,0,IF(COUNTIFS(実績!$W$6:$W$505,F$3,実績!$AC$6:$AC$505,"&lt;="&amp;$A97,実績!$AD$6:$AD$505,"&gt;"&amp;$A97,実績!$AE$6:$AE$505,"○")&gt;0,1,0))</f>
        <v/>
      </c>
      <c r="G97">
        <f>IF(G$4=0,0,IF(COUNTIFS(実績!$W$6:$W$505,G$3,実績!$AC$6:$AC$505,"&lt;="&amp;$A97,実績!$AD$6:$AD$505,"&gt;"&amp;$A97,実績!$AE$6:$AE$505,"○")&gt;0,1,0))</f>
        <v/>
      </c>
      <c r="H97">
        <f>IF(H$4=0,0,IF(COUNTIFS(実績!$W$6:$W$505,H$3,実績!$AC$6:$AC$505,"&lt;="&amp;$A97,実績!$AD$6:$AD$505,"&gt;"&amp;$A97,実績!$AE$6:$AE$505,"○")&gt;0,1,0))</f>
        <v/>
      </c>
      <c r="I97">
        <f>IF(I$4=0,0,IF(COUNTIFS(実績!$W$6:$W$505,I$3,実績!$AC$6:$AC$505,"&lt;="&amp;$A97,実績!$AD$6:$AD$505,"&gt;"&amp;$A97,実績!$AE$6:$AE$505,"○")&gt;0,1,0))</f>
        <v/>
      </c>
      <c r="J97">
        <f>IF(J$4=0,0,IF(COUNTIFS(実績!$W$6:$W$505,J$3,実績!$AC$6:$AC$505,"&lt;="&amp;$A97,実績!$AD$6:$AD$505,"&gt;"&amp;$A97,実績!$AE$6:$AE$505,"○")&gt;0,1,0))</f>
        <v/>
      </c>
      <c r="K97">
        <f>IF(K$4=0,0,IF(COUNTIFS(実績!$W$6:$W$505,K$3,実績!$AC$6:$AC$505,"&lt;="&amp;$A97,実績!$AD$6:$AD$505,"&gt;"&amp;$A97,実績!$AE$6:$AE$505,"○")&gt;0,1,0))</f>
        <v/>
      </c>
      <c r="L97">
        <f>IF(L$4=0,0,IF(COUNTIFS(実績!$W$6:$W$505,L$3,実績!$AC$6:$AC$505,"&lt;="&amp;$A97,実績!$AD$6:$AD$505,"&gt;"&amp;$A97,実績!$AE$6:$AE$505,"○")&gt;0,1,0))</f>
        <v/>
      </c>
      <c r="M97">
        <f>IF(M$4=0,0,IF(COUNTIFS(実績!$W$6:$W$505,M$3,実績!$AC$6:$AC$505,"&lt;="&amp;$A97,実績!$AD$6:$AD$505,"&gt;"&amp;$A97,実績!$AE$6:$AE$505,"○")&gt;0,1,0))</f>
        <v/>
      </c>
      <c r="N97">
        <f>IF(N$4=0,0,IF(COUNTIFS(実績!$W$6:$W$505,N$3,実績!$AC$6:$AC$505,"&lt;="&amp;$A97,実績!$AD$6:$AD$505,"&gt;"&amp;$A97,実績!$AE$6:$AE$505,"○")&gt;0,1,0))</f>
        <v/>
      </c>
      <c r="O97">
        <f>IF(O$4=0,0,IF(COUNTIFS(実績!$W$6:$W$505,O$3,実績!$AC$6:$AC$505,"&lt;="&amp;$A97,実績!$AD$6:$AD$505,"&gt;"&amp;$A97,実績!$AE$6:$AE$505,"○")&gt;0,1,0))</f>
        <v/>
      </c>
      <c r="P97">
        <f>IF(P$4=0,0,IF(COUNTIFS(実績!$W$6:$W$505,P$3,実績!$AC$6:$AC$505,"&lt;="&amp;$A97,実績!$AD$6:$AD$505,"&gt;"&amp;$A97,実績!$AE$6:$AE$505,"○")&gt;0,1,0))</f>
        <v/>
      </c>
      <c r="Q97">
        <f>IF(Q$4=0,0,IF(COUNTIFS(実績!$W$6:$W$505,Q$3,実績!$AC$6:$AC$505,"&lt;="&amp;$A97,実績!$AD$6:$AD$505,"&gt;"&amp;$A97,実績!$AE$6:$AE$505,"○")&gt;0,1,0))</f>
        <v/>
      </c>
      <c r="R97">
        <f>IF(R$4=0,0,IF(COUNTIFS(実績!$W$6:$W$505,R$3,実績!$AC$6:$AC$505,"&lt;="&amp;$A97,実績!$AD$6:$AD$505,"&gt;"&amp;$A97,実績!$AE$6:$AE$505,"○")&gt;0,1,0))</f>
        <v/>
      </c>
      <c r="S97">
        <f>IF(S$4=0,0,IF(COUNTIFS(実績!$W$6:$W$505,S$3,実績!$AC$6:$AC$505,"&lt;="&amp;$A97,実績!$AD$6:$AD$505,"&gt;"&amp;$A97,実績!$AE$6:$AE$505,"○")&gt;0,1,0))</f>
        <v/>
      </c>
      <c r="T97">
        <f>IF(T$4=0,0,IF(COUNTIFS(実績!$W$6:$W$505,T$3,実績!$AC$6:$AC$505,"&lt;="&amp;$A97,実績!$AD$6:$AD$505,"&gt;"&amp;$A97,実績!$AE$6:$AE$505,"○")&gt;0,1,0))</f>
        <v/>
      </c>
      <c r="U97">
        <f>IF(U$4=0,0,IF(COUNTIFS(実績!$W$6:$W$505,U$3,実績!$AC$6:$AC$505,"&lt;="&amp;$A97,実績!$AD$6:$AD$505,"&gt;"&amp;$A97,実績!$AE$6:$AE$505,"○")&gt;0,1,0))</f>
        <v/>
      </c>
      <c r="V97">
        <f>IF(V$4=0,0,IF(COUNTIFS(実績!$W$6:$W$505,V$3,実績!$AC$6:$AC$505,"&lt;="&amp;$A97,実績!$AD$6:$AD$505,"&gt;"&amp;$A97,実績!$AE$6:$AE$505,"○")&gt;0,1,0))</f>
        <v/>
      </c>
      <c r="W97">
        <f>IF(W$4=0,0,IF(COUNTIFS(実績!$W$6:$W$505,W$3,実績!$AC$6:$AC$505,"&lt;="&amp;$A97,実績!$AD$6:$AD$505,"&gt;"&amp;$A97,実績!$AE$6:$AE$505,"○")&gt;0,1,0))</f>
        <v/>
      </c>
      <c r="X97">
        <f>IF(X$4=0,0,IF(COUNTIFS(実績!$W$6:$W$505,X$3,実績!$AC$6:$AC$505,"&lt;="&amp;$A97,実績!$AD$6:$AD$505,"&gt;"&amp;$A97,実績!$AE$6:$AE$505,"○")&gt;0,1,0))</f>
        <v/>
      </c>
      <c r="Y97">
        <f>IF(Y$4=0,0,IF(COUNTIFS(実績!$W$6:$W$505,Y$3,実績!$AC$6:$AC$505,"&lt;="&amp;$A97,実績!$AD$6:$AD$505,"&gt;"&amp;$A97,実績!$AE$6:$AE$505,"○")&gt;0,1,0))</f>
        <v/>
      </c>
      <c r="Z97">
        <f>IF(Z$4=0,0,IF(COUNTIFS(実績!$W$6:$W$505,Z$3,実績!$AC$6:$AC$505,"&lt;="&amp;$A97,実績!$AD$6:$AD$505,"&gt;"&amp;$A97,実績!$AE$6:$AE$505,"○")&gt;0,1,0))</f>
        <v/>
      </c>
      <c r="AA97">
        <f>IF(AA$4=0,0,IF(COUNTIFS(実績!$W$6:$W$505,AA$3,実績!$AC$6:$AC$505,"&lt;="&amp;$A97,実績!$AD$6:$AD$505,"&gt;"&amp;$A97,実績!$AE$6:$AE$505,"○")&gt;0,1,0))</f>
        <v/>
      </c>
      <c r="AB97">
        <f>IF(AB$4=0,0,IF(COUNTIFS(実績!$W$6:$W$505,AB$3,実績!$AC$6:$AC$505,"&lt;="&amp;$A97,実績!$AD$6:$AD$505,"&gt;"&amp;$A97,実績!$AE$6:$AE$505,"○")&gt;0,1,0))</f>
        <v/>
      </c>
      <c r="AC97">
        <f>IF(AC$4=0,0,IF(COUNTIFS(実績!$W$6:$W$505,AC$3,実績!$AC$6:$AC$505,"&lt;="&amp;$A97,実績!$AD$6:$AD$505,"&gt;"&amp;$A97,実績!$AE$6:$AE$505,"○")&gt;0,1,0))</f>
        <v/>
      </c>
      <c r="AD97">
        <f>IF(AD$4=0,0,IF(COUNTIFS(実績!$W$6:$W$505,AD$3,実績!$AC$6:$AC$505,"&lt;="&amp;$A97,実績!$AD$6:$AD$505,"&gt;"&amp;$A97,実績!$AE$6:$AE$505,"○")&gt;0,1,0))</f>
        <v/>
      </c>
      <c r="AE97">
        <f>IF(AE$4=0,0,IF(COUNTIFS(実績!$W$6:$W$505,AE$3,実績!$AC$6:$AC$505,"&lt;="&amp;$A97,実績!$AD$6:$AD$505,"&gt;"&amp;$A97,実績!$AE$6:$AE$505,"○")&gt;0,1,0))</f>
        <v/>
      </c>
      <c r="AF97">
        <f>IF(AF$4=0,0,IF(COUNTIFS(実績!$W$6:$W$505,AF$3,実績!$AC$6:$AC$505,"&lt;="&amp;$A97,実績!$AD$6:$AD$505,"&gt;"&amp;$A97,実績!$AE$6:$AE$505,"○")&gt;0,1,0))</f>
        <v/>
      </c>
      <c r="AG97">
        <f>IF(AG$4=0,0,IF(COUNTIFS(実績!$W$6:$W$505,AG$3,実績!$AC$6:$AC$505,"&lt;="&amp;$A97,実績!$AD$6:$AD$505,"&gt;"&amp;$A97,実績!$AE$6:$AE$505,"○")&gt;0,1,0))</f>
        <v/>
      </c>
      <c r="AH97">
        <f>IF(AH$4=0,0,IF(COUNTIFS(実績!$W$6:$W$505,AH$3,実績!$AC$6:$AC$505,"&lt;="&amp;$A97,実績!$AD$6:$AD$505,"&gt;"&amp;$A97,実績!$AE$6:$AE$505,"○")&gt;0,1,0))</f>
        <v/>
      </c>
      <c r="AI97">
        <f>IF(AI$4=0,0,IF(COUNTIFS(実績!$W$6:$W$505,AI$3,実績!$AC$6:$AC$505,"&lt;="&amp;$A97,実績!$AD$6:$AD$505,"&gt;"&amp;$A97,実績!$AE$6:$AE$505,"○")&gt;0,1,0))</f>
        <v/>
      </c>
      <c r="AJ97">
        <f>IF(AJ$4=0,0,IF(COUNTIFS(実績!$W$6:$W$505,AJ$3,実績!$AC$6:$AC$505,"&lt;="&amp;$A97,実績!$AD$6:$AD$505,"&gt;"&amp;$A97,実績!$AE$6:$AE$505,"○")&gt;0,1,0))</f>
        <v/>
      </c>
      <c r="AK97">
        <f>IF(AK$4=0,0,IF(COUNTIFS(実績!$W$6:$W$505,AK$3,実績!$AC$6:$AC$505,"&lt;="&amp;$A97,実績!$AD$6:$AD$505,"&gt;"&amp;$A97,実績!$AE$6:$AE$505,"○")&gt;0,1,0))</f>
        <v/>
      </c>
      <c r="AL97">
        <f>IF(AL$4=0,0,IF(COUNTIFS(実績!$W$6:$W$505,AL$3,実績!$AC$6:$AC$505,"&lt;="&amp;$A97,実績!$AD$6:$AD$505,"&gt;"&amp;$A97,実績!$AE$6:$AE$505,"○")&gt;0,1,0))</f>
        <v/>
      </c>
      <c r="AM97">
        <f>IF(AM$4=0,0,IF(COUNTIFS(実績!$W$6:$W$505,AM$3,実績!$AC$6:$AC$505,"&lt;="&amp;$A97,実績!$AD$6:$AD$505,"&gt;"&amp;$A97,実績!$AE$6:$AE$505,"○")&gt;0,1,0))</f>
        <v/>
      </c>
      <c r="AN97">
        <f>IF(AN$4=0,0,IF(COUNTIFS(実績!$W$6:$W$505,AN$3,実績!$AC$6:$AC$505,"&lt;="&amp;$A97,実績!$AD$6:$AD$505,"&gt;"&amp;$A97,実績!$AE$6:$AE$505,"○")&gt;0,1,0))</f>
        <v/>
      </c>
      <c r="AO97">
        <f>IF(AO$4=0,0,IF(COUNTIFS(実績!$W$6:$W$505,AO$3,実績!$AC$6:$AC$505,"&lt;="&amp;$A97,実績!$AD$6:$AD$505,"&gt;"&amp;$A97,実績!$AE$6:$AE$505,"○")&gt;0,1,0))</f>
        <v/>
      </c>
      <c r="AP97">
        <f>IF(AP$4=0,0,IF(COUNTIFS(実績!$W$6:$W$505,AP$3,実績!$AC$6:$AC$505,"&lt;="&amp;$A97,実績!$AD$6:$AD$505,"&gt;"&amp;$A97,実績!$AE$6:$AE$505,"○")&gt;0,1,0))</f>
        <v/>
      </c>
      <c r="AQ97">
        <f>IF(AQ$4=0,0,IF(COUNTIFS(実績!$W$6:$W$505,AQ$3,実績!$AC$6:$AC$505,"&lt;="&amp;$A97,実績!$AD$6:$AD$505,"&gt;"&amp;$A97,実績!$AE$6:$AE$505,"○")&gt;0,1,0))</f>
        <v/>
      </c>
      <c r="AR97">
        <f>IF(AR$4=0,0,IF(COUNTIFS(実績!$W$6:$W$505,AR$3,実績!$AC$6:$AC$505,"&lt;="&amp;$A97,実績!$AD$6:$AD$505,"&gt;"&amp;$A97,実績!$AE$6:$AE$505,"○")&gt;0,1,0))</f>
        <v/>
      </c>
      <c r="AS97">
        <f>IF(AS$4=0,0,IF(COUNTIFS(実績!$W$6:$W$505,AS$3,実績!$AC$6:$AC$505,"&lt;="&amp;$A97,実績!$AD$6:$AD$505,"&gt;"&amp;$A97,実績!$AE$6:$AE$505,"○")&gt;0,1,0))</f>
        <v/>
      </c>
      <c r="AT97">
        <f>IF(AT$4=0,0,IF(COUNTIFS(実績!$W$6:$W$505,AT$3,実績!$AC$6:$AC$505,"&lt;="&amp;$A97,実績!$AD$6:$AD$505,"&gt;"&amp;$A97,実績!$AE$6:$AE$505,"○")&gt;0,1,0))</f>
        <v/>
      </c>
      <c r="AU97">
        <f>IF(AU$4=0,0,IF(COUNTIFS(実績!$W$6:$W$505,AU$3,実績!$AC$6:$AC$505,"&lt;="&amp;$A97,実績!$AD$6:$AD$505,"&gt;"&amp;$A97,実績!$AE$6:$AE$505,"○")&gt;0,1,0))</f>
        <v/>
      </c>
      <c r="AV97">
        <f>IF(AV$4=0,0,IF(COUNTIFS(実績!$W$6:$W$505,AV$3,実績!$AC$6:$AC$505,"&lt;="&amp;$A97,実績!$AD$6:$AD$505,"&gt;"&amp;$A97,実績!$AE$6:$AE$505,"○")&gt;0,1,0))</f>
        <v/>
      </c>
      <c r="AW97">
        <f>IF(AW$4=0,0,IF(COUNTIFS(実績!$W$6:$W$505,AW$3,実績!$AC$6:$AC$505,"&lt;="&amp;$A97,実績!$AD$6:$AD$505,"&gt;"&amp;$A97,実績!$AE$6:$AE$505,"○")&gt;0,1,0))</f>
        <v/>
      </c>
      <c r="AX97">
        <f>IF(AX$4=0,0,IF(COUNTIFS(実績!$W$6:$W$505,AX$3,実績!$AC$6:$AC$505,"&lt;="&amp;$A97,実績!$AD$6:$AD$505,"&gt;"&amp;$A97,実績!$AE$6:$AE$505,"○")&gt;0,1,0))</f>
        <v/>
      </c>
      <c r="AY97">
        <f>IF(AY$4=0,0,IF(COUNTIFS(実績!$W$6:$W$505,AY$3,実績!$AC$6:$AC$505,"&lt;="&amp;$A97,実績!$AD$6:$AD$505,"&gt;"&amp;$A97,実績!$AE$6:$AE$505,"○")&gt;0,1,0))</f>
        <v/>
      </c>
      <c r="AZ97">
        <f>IF(AZ$4=0,0,IF(COUNTIFS(実績!$W$6:$W$505,AZ$3,実績!$AC$6:$AC$505,"&lt;="&amp;$A97,実績!$AD$6:$AD$505,"&gt;"&amp;$A97,実績!$AE$6:$AE$505,"○")&gt;0,1,0))</f>
        <v/>
      </c>
      <c r="BA97">
        <f>IF(BA$4=0,0,IF(COUNTIFS(実績!$W$6:$W$505,BA$3,実績!$AC$6:$AC$505,"&lt;="&amp;$A97,実績!$AD$6:$AD$505,"&gt;"&amp;$A97,実績!$AE$6:$AE$505,"○")&gt;0,1,0))</f>
        <v/>
      </c>
      <c r="BB97">
        <f>IF(BB$4=0,0,IF(COUNTIFS(実績!$W$6:$W$505,BB$3,実績!$AC$6:$AC$505,"&lt;="&amp;$A97,実績!$AD$6:$AD$505,"&gt;"&amp;$A97,実績!$AE$6:$AE$505,"○")&gt;0,1,0))</f>
        <v/>
      </c>
      <c r="BC97">
        <f>IF(BC$4=0,0,IF(COUNTIFS(実績!$W$6:$W$505,BC$3,実績!$AC$6:$AC$505,"&lt;="&amp;$A97,実績!$AD$6:$AD$505,"&gt;"&amp;$A97,実績!$AE$6:$AE$505,"○")&gt;0,1,0))</f>
        <v/>
      </c>
      <c r="BD97">
        <f>IF(BD$4=0,0,IF(COUNTIFS(実績!$W$6:$W$505,BD$3,実績!$AC$6:$AC$505,"&lt;="&amp;$A97,実績!$AD$6:$AD$505,"&gt;"&amp;$A97,実績!$AE$6:$AE$505,"○")&gt;0,1,0))</f>
        <v/>
      </c>
      <c r="BE97">
        <f>IF(BE$4=0,0,IF(COUNTIFS(実績!$W$6:$W$505,BE$3,実績!$AC$6:$AC$505,"&lt;="&amp;$A97,実績!$AD$6:$AD$505,"&gt;"&amp;$A97,実績!$AE$6:$AE$505,"○")&gt;0,1,0))</f>
        <v/>
      </c>
      <c r="BF97">
        <f>IF(BF$4=0,0,IF(COUNTIFS(実績!$W$6:$W$505,BF$3,実績!$AC$6:$AC$505,"&lt;="&amp;$A97,実績!$AD$6:$AD$505,"&gt;"&amp;$A97,実績!$AE$6:$AE$505,"○")&gt;0,1,0))</f>
        <v/>
      </c>
      <c r="BG97">
        <f>IF(BG$4=0,0,IF(COUNTIFS(実績!$W$6:$W$505,BG$3,実績!$AC$6:$AC$505,"&lt;="&amp;$A97,実績!$AD$6:$AD$505,"&gt;"&amp;$A97,実績!$AE$6:$AE$505,"○")&gt;0,1,0))</f>
        <v/>
      </c>
      <c r="BH97">
        <f>IF(BH$4=0,0,IF(COUNTIFS(実績!$W$6:$W$505,BH$3,実績!$AC$6:$AC$505,"&lt;="&amp;$A97,実績!$AD$6:$AD$505,"&gt;"&amp;$A97,実績!$AE$6:$AE$505,"○")&gt;0,1,0))</f>
        <v/>
      </c>
      <c r="BI97">
        <f>IF(BI$4=0,0,IF(COUNTIFS(実績!$W$6:$W$505,BI$3,実績!$AC$6:$AC$505,"&lt;="&amp;$A97,実績!$AD$6:$AD$505,"&gt;"&amp;$A97,実績!$AE$6:$AE$505,"○")&gt;0,1,0))</f>
        <v/>
      </c>
      <c r="BJ97">
        <f>IF(BJ$4=0,0,IF(COUNTIFS(実績!$W$6:$W$505,BJ$3,実績!$AC$6:$AC$505,"&lt;="&amp;$A97,実績!$AD$6:$AD$505,"&gt;"&amp;$A97,実績!$AE$6:$AE$505,"○")&gt;0,1,0))</f>
        <v/>
      </c>
      <c r="BK97">
        <f>IF(BK$4=0,0,IF(COUNTIFS(実績!$W$6:$W$505,BK$3,実績!$AC$6:$AC$505,"&lt;="&amp;$A97,実績!$AD$6:$AD$505,"&gt;"&amp;$A97,実績!$AE$6:$AE$505,"○")&gt;0,1,0))</f>
        <v/>
      </c>
      <c r="BL97">
        <f>IF(BL$4=0,0,IF(COUNTIFS(実績!$W$6:$W$505,BL$3,実績!$AC$6:$AC$505,"&lt;="&amp;$A97,実績!$AD$6:$AD$505,"&gt;"&amp;$A97,実績!$AE$6:$AE$505,"○")&gt;0,1,0))</f>
        <v/>
      </c>
      <c r="BM97">
        <f>IF(BM$4=0,0,IF(COUNTIFS(実績!$W$6:$W$505,BM$3,実績!$AC$6:$AC$505,"&lt;="&amp;$A97,実績!$AD$6:$AD$505,"&gt;"&amp;$A97,実績!$AE$6:$AE$505,"○")&gt;0,1,0))</f>
        <v/>
      </c>
      <c r="BN97">
        <f>IF(BN$4=0,0,IF(COUNTIFS(実績!$W$6:$W$505,BN$3,実績!$AC$6:$AC$505,"&lt;="&amp;$A97,実績!$AD$6:$AD$505,"&gt;"&amp;$A97,実績!$AE$6:$AE$505,"○")&gt;0,1,0))</f>
        <v/>
      </c>
      <c r="BO97">
        <f>IF(BO$4=0,0,IF(COUNTIFS(実績!$W$6:$W$505,BO$3,実績!$AC$6:$AC$505,"&lt;="&amp;$A97,実績!$AD$6:$AD$505,"&gt;"&amp;$A97,実績!$AE$6:$AE$505,"○")&gt;0,1,0))</f>
        <v/>
      </c>
      <c r="BP97">
        <f>IF(BP$4=0,0,IF(COUNTIFS(実績!$W$6:$W$505,BP$3,実績!$AC$6:$AC$505,"&lt;="&amp;$A97,実績!$AD$6:$AD$505,"&gt;"&amp;$A97,実績!$AE$6:$AE$505,"○")&gt;0,1,0))</f>
        <v/>
      </c>
      <c r="BQ97">
        <f>IF(BQ$4=0,0,IF(COUNTIFS(実績!$W$6:$W$505,BQ$3,実績!$AC$6:$AC$505,"&lt;="&amp;$A97,実績!$AD$6:$AD$505,"&gt;"&amp;$A97,実績!$AE$6:$AE$505,"○")&gt;0,1,0))</f>
        <v/>
      </c>
      <c r="BR97">
        <f>IF(BR$4=0,0,IF(COUNTIFS(実績!$W$6:$W$505,BR$3,実績!$AC$6:$AC$505,"&lt;="&amp;$A97,実績!$AD$6:$AD$505,"&gt;"&amp;$A97,実績!$AE$6:$AE$505,"○")&gt;0,1,0))</f>
        <v/>
      </c>
      <c r="BS97">
        <f>IF(BS$4=0,0,IF(COUNTIFS(実績!$W$6:$W$505,BS$3,実績!$AC$6:$AC$505,"&lt;="&amp;$A97,実績!$AD$6:$AD$505,"&gt;"&amp;$A97,実績!$AE$6:$AE$505,"○")&gt;0,1,0))</f>
        <v/>
      </c>
      <c r="BT97">
        <f>IF(BT$4=0,0,IF(COUNTIFS(実績!$W$6:$W$505,BT$3,実績!$AC$6:$AC$505,"&lt;="&amp;$A97,実績!$AD$6:$AD$505,"&gt;"&amp;$A97,実績!$AE$6:$AE$505,"○")&gt;0,1,0))</f>
        <v/>
      </c>
      <c r="BU97">
        <f>IF(BU$4=0,0,IF(COUNTIFS(実績!$W$6:$W$505,BU$3,実績!$AC$6:$AC$505,"&lt;="&amp;$A97,実績!$AD$6:$AD$505,"&gt;"&amp;$A97,実績!$AE$6:$AE$505,"○")&gt;0,1,0))</f>
        <v/>
      </c>
      <c r="BV97">
        <f>IF(BV$4=0,0,IF(COUNTIFS(実績!$W$6:$W$505,BV$3,実績!$AC$6:$AC$505,"&lt;="&amp;$A97,実績!$AD$6:$AD$505,"&gt;"&amp;$A97,実績!$AE$6:$AE$505,"○")&gt;0,1,0))</f>
        <v/>
      </c>
      <c r="BW97">
        <f>IF(BW$4=0,0,IF(COUNTIFS(実績!$W$6:$W$505,BW$3,実績!$AC$6:$AC$505,"&lt;="&amp;$A97,実績!$AD$6:$AD$505,"&gt;"&amp;$A97,実績!$AE$6:$AE$505,"○")&gt;0,1,0))</f>
        <v/>
      </c>
      <c r="BX97">
        <f>IF(BX$4=0,0,IF(COUNTIFS(実績!$W$6:$W$505,BX$3,実績!$AC$6:$AC$505,"&lt;="&amp;$A97,実績!$AD$6:$AD$505,"&gt;"&amp;$A97,実績!$AE$6:$AE$505,"○")&gt;0,1,0))</f>
        <v/>
      </c>
      <c r="BY97">
        <f>IF(BY$4=0,0,IF(COUNTIFS(実績!$W$6:$W$505,BY$3,実績!$AC$6:$AC$505,"&lt;="&amp;$A97,実績!$AD$6:$AD$505,"&gt;"&amp;$A97,実績!$AE$6:$AE$505,"○")&gt;0,1,0))</f>
        <v/>
      </c>
      <c r="BZ97">
        <f>IF(BZ$4=0,0,IF(COUNTIFS(実績!$W$6:$W$505,BZ$3,実績!$AC$6:$AC$505,"&lt;="&amp;$A97,実績!$AD$6:$AD$505,"&gt;"&amp;$A97,実績!$AE$6:$AE$505,"○")&gt;0,1,0))</f>
        <v/>
      </c>
      <c r="CA97">
        <f>IF(CA$4=0,0,IF(COUNTIFS(実績!$W$6:$W$505,CA$3,実績!$AC$6:$AC$505,"&lt;="&amp;$A97,実績!$AD$6:$AD$505,"&gt;"&amp;$A97,実績!$AE$6:$AE$505,"○")&gt;0,1,0))</f>
        <v/>
      </c>
      <c r="CB97">
        <f>IF(CB$4=0,0,IF(COUNTIFS(実績!$W$6:$W$505,CB$3,実績!$AC$6:$AC$505,"&lt;="&amp;$A97,実績!$AD$6:$AD$505,"&gt;"&amp;$A97,実績!$AE$6:$AE$505,"○")&gt;0,1,0))</f>
        <v/>
      </c>
      <c r="CC97">
        <f>IF(CC$4=0,0,IF(COUNTIFS(実績!$W$6:$W$505,CC$3,実績!$AC$6:$AC$505,"&lt;="&amp;$A97,実績!$AD$6:$AD$505,"&gt;"&amp;$A97,実績!$AE$6:$AE$505,"○")&gt;0,1,0))</f>
        <v/>
      </c>
      <c r="CD97">
        <f>IF(CD$4=0,0,IF(COUNTIFS(実績!$W$6:$W$505,CD$3,実績!$AC$6:$AC$505,"&lt;="&amp;$A97,実績!$AD$6:$AD$505,"&gt;"&amp;$A97,実績!$AE$6:$AE$505,"○")&gt;0,1,0))</f>
        <v/>
      </c>
      <c r="CE97">
        <f>IF(CE$4=0,0,IF(COUNTIFS(実績!$W$6:$W$505,CE$3,実績!$AC$6:$AC$505,"&lt;="&amp;$A97,実績!$AD$6:$AD$505,"&gt;"&amp;$A97,実績!$AE$6:$AE$505,"○")&gt;0,1,0))</f>
        <v/>
      </c>
      <c r="CF97">
        <f>IF(CF$4=0,0,IF(COUNTIFS(実績!$W$6:$W$505,CF$3,実績!$AC$6:$AC$505,"&lt;="&amp;$A97,実績!$AD$6:$AD$505,"&gt;"&amp;$A97,実績!$AE$6:$AE$505,"○")&gt;0,1,0))</f>
        <v/>
      </c>
      <c r="CG97">
        <f>IF(CG$4=0,0,IF(COUNTIFS(実績!$W$6:$W$505,CG$3,実績!$AC$6:$AC$505,"&lt;="&amp;$A97,実績!$AD$6:$AD$505,"&gt;"&amp;$A97,実績!$AE$6:$AE$505,"○")&gt;0,1,0))</f>
        <v/>
      </c>
      <c r="CH97">
        <f>IF(CH$4=0,0,IF(COUNTIFS(実績!$W$6:$W$505,CH$3,実績!$AC$6:$AC$505,"&lt;="&amp;$A97,実績!$AD$6:$AD$505,"&gt;"&amp;$A97,実績!$AE$6:$AE$505,"○")&gt;0,1,0))</f>
        <v/>
      </c>
      <c r="CI97">
        <f>IF(CI$4=0,0,IF(COUNTIFS(実績!$W$6:$W$505,CI$3,実績!$AC$6:$AC$505,"&lt;="&amp;$A97,実績!$AD$6:$AD$505,"&gt;"&amp;$A97,実績!$AE$6:$AE$505,"○")&gt;0,1,0))</f>
        <v/>
      </c>
      <c r="CJ97">
        <f>IF(CJ$4=0,0,IF(COUNTIFS(実績!$W$6:$W$505,CJ$3,実績!$AC$6:$AC$505,"&lt;="&amp;$A97,実績!$AD$6:$AD$505,"&gt;"&amp;$A97,実績!$AE$6:$AE$505,"○")&gt;0,1,0))</f>
        <v/>
      </c>
      <c r="CK97">
        <f>IF(CK$4=0,0,IF(COUNTIFS(実績!$W$6:$W$505,CK$3,実績!$AC$6:$AC$505,"&lt;="&amp;$A97,実績!$AD$6:$AD$505,"&gt;"&amp;$A97,実績!$AE$6:$AE$505,"○")&gt;0,1,0))</f>
        <v/>
      </c>
      <c r="CL97">
        <f>IF(CL$4=0,0,IF(COUNTIFS(実績!$W$6:$W$505,CL$3,実績!$AC$6:$AC$505,"&lt;="&amp;$A97,実績!$AD$6:$AD$505,"&gt;"&amp;$A97,実績!$AE$6:$AE$505,"○")&gt;0,1,0))</f>
        <v/>
      </c>
      <c r="CM97">
        <f>IF(CM$4=0,0,IF(COUNTIFS(実績!$W$6:$W$505,CM$3,実績!$AC$6:$AC$505,"&lt;="&amp;$A97,実績!$AD$6:$AD$505,"&gt;"&amp;$A97,実績!$AE$6:$AE$505,"○")&gt;0,1,0))</f>
        <v/>
      </c>
      <c r="CN97">
        <f>IF(CN$4=0,0,IF(COUNTIFS(実績!$W$6:$W$505,CN$3,実績!$AC$6:$AC$505,"&lt;="&amp;$A97,実績!$AD$6:$AD$505,"&gt;"&amp;$A97,実績!$AE$6:$AE$505,"○")&gt;0,1,0))</f>
        <v/>
      </c>
      <c r="CO97">
        <f>IF(CO$4=0,0,IF(COUNTIFS(実績!$W$6:$W$505,CO$3,実績!$AC$6:$AC$505,"&lt;="&amp;$A97,実績!$AD$6:$AD$505,"&gt;"&amp;$A97,実績!$AE$6:$AE$505,"○")&gt;0,1,0))</f>
        <v/>
      </c>
      <c r="CP97">
        <f>IF(CP$4=0,0,IF(COUNTIFS(実績!$W$6:$W$505,CP$3,実績!$AC$6:$AC$505,"&lt;="&amp;$A97,実績!$AD$6:$AD$505,"&gt;"&amp;$A97,実績!$AE$6:$AE$505,"○")&gt;0,1,0))</f>
        <v/>
      </c>
      <c r="CQ97">
        <f>IF(CQ$4=0,0,IF(COUNTIFS(実績!$W$6:$W$505,CQ$3,実績!$AC$6:$AC$505,"&lt;="&amp;$A97,実績!$AD$6:$AD$505,"&gt;"&amp;$A97,実績!$AE$6:$AE$505,"○")&gt;0,1,0))</f>
        <v/>
      </c>
      <c r="CR97">
        <f>IF(CR$4=0,0,IF(COUNTIFS(実績!$W$6:$W$505,CR$3,実績!$AC$6:$AC$505,"&lt;="&amp;$A97,実績!$AD$6:$AD$505,"&gt;"&amp;$A97,実績!$AE$6:$AE$505,"○")&gt;0,1,0))</f>
        <v/>
      </c>
      <c r="CS97">
        <f>IF(CS$4=0,0,IF(COUNTIFS(実績!$W$6:$W$505,CS$3,実績!$AC$6:$AC$505,"&lt;="&amp;$A97,実績!$AD$6:$AD$505,"&gt;"&amp;$A97,実績!$AE$6:$AE$505,"○")&gt;0,1,0))</f>
        <v/>
      </c>
      <c r="CT97">
        <f>IF(CT$4=0,0,IF(COUNTIFS(実績!$W$6:$W$505,CT$3,実績!$AC$6:$AC$505,"&lt;="&amp;$A97,実績!$AD$6:$AD$505,"&gt;"&amp;$A97,実績!$AE$6:$AE$505,"○")&gt;0,1,0))</f>
        <v/>
      </c>
      <c r="CU97">
        <f>IF(CU$4=0,0,IF(COUNTIFS(実績!$W$6:$W$505,CU$3,実績!$AC$6:$AC$505,"&lt;="&amp;$A97,実績!$AD$6:$AD$505,"&gt;"&amp;$A97,実績!$AE$6:$AE$505,"○")&gt;0,1,0))</f>
        <v/>
      </c>
      <c r="CV97">
        <f>IF(CV$4=0,0,IF(COUNTIFS(実績!$W$6:$W$505,CV$3,実績!$AC$6:$AC$505,"&lt;="&amp;$A97,実績!$AD$6:$AD$505,"&gt;"&amp;$A97,実績!$AE$6:$AE$505,"○")&gt;0,1,0))</f>
        <v/>
      </c>
      <c r="CW97">
        <f>IF(CW$4=0,0,IF(COUNTIFS(実績!$W$6:$W$505,CW$3,実績!$AC$6:$AC$505,"&lt;="&amp;$A97,実績!$AD$6:$AD$505,"&gt;"&amp;$A97,実績!$AE$6:$AE$505,"○")&gt;0,1,0))</f>
        <v/>
      </c>
      <c r="CX97">
        <f>IF(CX$4=0,0,IF(COUNTIFS(実績!$W$6:$W$505,CX$3,実績!$AC$6:$AC$505,"&lt;="&amp;$A97,実績!$AD$6:$AD$505,"&gt;"&amp;$A97,実績!$AE$6:$AE$505,"○")&gt;0,1,0))</f>
        <v/>
      </c>
      <c r="CY97">
        <f>IF(CY$4=0,0,IF(COUNTIFS(実績!$W$6:$W$505,CY$3,実績!$AC$6:$AC$505,"&lt;="&amp;$A97,実績!$AD$6:$AD$505,"&gt;"&amp;$A97,実績!$AE$6:$AE$505,"○")&gt;0,1,0))</f>
        <v/>
      </c>
      <c r="CZ97">
        <f>IF(CZ$4=0,0,IF(COUNTIFS(実績!$W$6:$W$505,CZ$3,実績!$AC$6:$AC$505,"&lt;="&amp;$A97,実績!$AD$6:$AD$505,"&gt;"&amp;$A97,実績!$AE$6:$AE$505,"○")&gt;0,1,0))</f>
        <v/>
      </c>
      <c r="DA97">
        <f>IF(DA$4=0,0,IF(COUNTIFS(実績!$W$6:$W$505,DA$3,実績!$AC$6:$AC$505,"&lt;="&amp;$A97,実績!$AD$6:$AD$505,"&gt;"&amp;$A97,実績!$AE$6:$AE$505,"○")&gt;0,1,0))</f>
        <v/>
      </c>
      <c r="DB97">
        <f>IF(DB$4=0,0,IF(COUNTIFS(実績!$W$6:$W$505,DB$3,実績!$AC$6:$AC$505,"&lt;="&amp;$A97,実績!$AD$6:$AD$505,"&gt;"&amp;$A97,実績!$AE$6:$AE$505,"○")&gt;0,1,0))</f>
        <v/>
      </c>
      <c r="DC97">
        <f>IF(DC$4=0,0,IF(COUNTIFS(実績!$W$6:$W$505,DC$3,実績!$AC$6:$AC$505,"&lt;="&amp;$A97,実績!$AD$6:$AD$505,"&gt;"&amp;$A97,実績!$AE$6:$AE$505,"○")&gt;0,1,0))</f>
        <v/>
      </c>
      <c r="DD97">
        <f>IF(DD$4=0,0,IF(COUNTIFS(実績!$W$6:$W$505,DD$3,実績!$AC$6:$AC$505,"&lt;="&amp;$A97,実績!$AD$6:$AD$505,"&gt;"&amp;$A97,実績!$AE$6:$AE$505,"○")&gt;0,1,0))</f>
        <v/>
      </c>
      <c r="DE97">
        <f>IF(DE$4=0,0,IF(COUNTIFS(実績!$W$6:$W$505,DE$3,実績!$AC$6:$AC$505,"&lt;="&amp;$A97,実績!$AD$6:$AD$505,"&gt;"&amp;$A97,実績!$AE$6:$AE$505,"○")&gt;0,1,0))</f>
        <v/>
      </c>
      <c r="DF97">
        <f>IF(DF$4=0,0,IF(COUNTIFS(実績!$W$6:$W$505,DF$3,実績!$AC$6:$AC$505,"&lt;="&amp;$A97,実績!$AD$6:$AD$505,"&gt;"&amp;$A97,実績!$AE$6:$AE$505,"○")&gt;0,1,0))</f>
        <v/>
      </c>
      <c r="DG97">
        <f>IF(DG$4=0,0,IF(COUNTIFS(実績!$W$6:$W$505,DG$3,実績!$AC$6:$AC$505,"&lt;="&amp;$A97,実績!$AD$6:$AD$505,"&gt;"&amp;$A97,実績!$AE$6:$AE$505,"○")&gt;0,1,0))</f>
        <v/>
      </c>
      <c r="DH97">
        <f>IF(DH$4=0,0,IF(COUNTIFS(実績!$W$6:$W$505,DH$3,実績!$AC$6:$AC$505,"&lt;="&amp;$A97,実績!$AD$6:$AD$505,"&gt;"&amp;$A97,実績!$AE$6:$AE$505,"○")&gt;0,1,0))</f>
        <v/>
      </c>
      <c r="DI97">
        <f>IF(DI$4=0,0,IF(COUNTIFS(実績!$W$6:$W$505,DI$3,実績!$AC$6:$AC$505,"&lt;="&amp;$A97,実績!$AD$6:$AD$505,"&gt;"&amp;$A97,実績!$AE$6:$AE$505,"○")&gt;0,1,0))</f>
        <v/>
      </c>
      <c r="DJ97">
        <f>IF(DJ$4=0,0,IF(COUNTIFS(実績!$W$6:$W$505,DJ$3,実績!$AC$6:$AC$505,"&lt;="&amp;$A97,実績!$AD$6:$AD$505,"&gt;"&amp;$A97,実績!$AE$6:$AE$505,"○")&gt;0,1,0))</f>
        <v/>
      </c>
      <c r="DK97">
        <f>IF(DK$4=0,0,IF(COUNTIFS(実績!$W$6:$W$505,DK$3,実績!$AC$6:$AC$505,"&lt;="&amp;$A97,実績!$AD$6:$AD$505,"&gt;"&amp;$A97,実績!$AE$6:$AE$505,"○")&gt;0,1,0))</f>
        <v/>
      </c>
      <c r="DL97">
        <f>IF(DL$4=0,0,IF(COUNTIFS(実績!$W$6:$W$505,DL$3,実績!$AC$6:$AC$505,"&lt;="&amp;$A97,実績!$AD$6:$AD$505,"&gt;"&amp;$A97,実績!$AE$6:$AE$505,"○")&gt;0,1,0))</f>
        <v/>
      </c>
      <c r="DM97">
        <f>IF(DM$4=0,0,IF(COUNTIFS(実績!$W$6:$W$505,DM$3,実績!$AC$6:$AC$505,"&lt;="&amp;$A97,実績!$AD$6:$AD$505,"&gt;"&amp;$A97,実績!$AE$6:$AE$505,"○")&gt;0,1,0))</f>
        <v/>
      </c>
      <c r="DN97">
        <f>IF(DN$4=0,0,IF(COUNTIFS(実績!$W$6:$W$505,DN$3,実績!$AC$6:$AC$505,"&lt;="&amp;$A97,実績!$AD$6:$AD$505,"&gt;"&amp;$A97,実績!$AE$6:$AE$505,"○")&gt;0,1,0))</f>
        <v/>
      </c>
      <c r="DO97">
        <f>IF(DO$4=0,0,IF(COUNTIFS(実績!$W$6:$W$505,DO$3,実績!$AC$6:$AC$505,"&lt;="&amp;$A97,実績!$AD$6:$AD$505,"&gt;"&amp;$A97,実績!$AE$6:$AE$505,"○")&gt;0,1,0))</f>
        <v/>
      </c>
      <c r="DP97">
        <f>IF(DP$4=0,0,IF(COUNTIFS(実績!$W$6:$W$505,DP$3,実績!$AC$6:$AC$505,"&lt;="&amp;$A97,実績!$AD$6:$AD$505,"&gt;"&amp;$A97,実績!$AE$6:$AE$505,"○")&gt;0,1,0))</f>
        <v/>
      </c>
      <c r="DQ97">
        <f>IF(DQ$4=0,0,IF(COUNTIFS(実績!$W$6:$W$505,DQ$3,実績!$AC$6:$AC$505,"&lt;="&amp;$A97,実績!$AD$6:$AD$505,"&gt;"&amp;$A97,実績!$AE$6:$AE$505,"○")&gt;0,1,0))</f>
        <v/>
      </c>
      <c r="DR97">
        <f>IF(DR$4=0,0,IF(COUNTIFS(実績!$W$6:$W$505,DR$3,実績!$AC$6:$AC$505,"&lt;="&amp;$A97,実績!$AD$6:$AD$505,"&gt;"&amp;$A97,実績!$AE$6:$AE$505,"○")&gt;0,1,0))</f>
        <v/>
      </c>
      <c r="DS97">
        <f>SUM(C97:DR97)</f>
        <v/>
      </c>
      <c r="DT97">
        <f>SUMPRODUCT((実績!$C$6:$C$505="○")*ISNUMBER(実績!$AF$6:$AF$505)*(実績!$AF$6:$AF$505&lt;=$A97)*(実績!$AG$6:$AG$505&gt;$A97))</f>
        <v/>
      </c>
      <c r="DU97">
        <f>SUMIF($C$2:$DR$2,"製鉄曳船",C97:DR97)</f>
        <v/>
      </c>
      <c r="DV97">
        <f>SUMIF($C$2:$DR$2,"西日本海運",C97:DR97)</f>
        <v/>
      </c>
    </row>
    <row r="98">
      <c r="A98" t="n">
        <v>460</v>
      </c>
      <c r="B98" s="29">
        <f>A98/1440</f>
        <v/>
      </c>
      <c r="C98">
        <f>IF(C$4=0,0,IF(COUNTIFS(実績!$W$6:$W$505,C$3,実績!$AC$6:$AC$505,"&lt;="&amp;$A98,実績!$AD$6:$AD$505,"&gt;"&amp;$A98,実績!$AE$6:$AE$505,"○")&gt;0,1,0))</f>
        <v/>
      </c>
      <c r="D98">
        <f>IF(D$4=0,0,IF(COUNTIFS(実績!$W$6:$W$505,D$3,実績!$AC$6:$AC$505,"&lt;="&amp;$A98,実績!$AD$6:$AD$505,"&gt;"&amp;$A98,実績!$AE$6:$AE$505,"○")&gt;0,1,0))</f>
        <v/>
      </c>
      <c r="E98">
        <f>IF(E$4=0,0,IF(COUNTIFS(実績!$W$6:$W$505,E$3,実績!$AC$6:$AC$505,"&lt;="&amp;$A98,実績!$AD$6:$AD$505,"&gt;"&amp;$A98,実績!$AE$6:$AE$505,"○")&gt;0,1,0))</f>
        <v/>
      </c>
      <c r="F98">
        <f>IF(F$4=0,0,IF(COUNTIFS(実績!$W$6:$W$505,F$3,実績!$AC$6:$AC$505,"&lt;="&amp;$A98,実績!$AD$6:$AD$505,"&gt;"&amp;$A98,実績!$AE$6:$AE$505,"○")&gt;0,1,0))</f>
        <v/>
      </c>
      <c r="G98">
        <f>IF(G$4=0,0,IF(COUNTIFS(実績!$W$6:$W$505,G$3,実績!$AC$6:$AC$505,"&lt;="&amp;$A98,実績!$AD$6:$AD$505,"&gt;"&amp;$A98,実績!$AE$6:$AE$505,"○")&gt;0,1,0))</f>
        <v/>
      </c>
      <c r="H98">
        <f>IF(H$4=0,0,IF(COUNTIFS(実績!$W$6:$W$505,H$3,実績!$AC$6:$AC$505,"&lt;="&amp;$A98,実績!$AD$6:$AD$505,"&gt;"&amp;$A98,実績!$AE$6:$AE$505,"○")&gt;0,1,0))</f>
        <v/>
      </c>
      <c r="I98">
        <f>IF(I$4=0,0,IF(COUNTIFS(実績!$W$6:$W$505,I$3,実績!$AC$6:$AC$505,"&lt;="&amp;$A98,実績!$AD$6:$AD$505,"&gt;"&amp;$A98,実績!$AE$6:$AE$505,"○")&gt;0,1,0))</f>
        <v/>
      </c>
      <c r="J98">
        <f>IF(J$4=0,0,IF(COUNTIFS(実績!$W$6:$W$505,J$3,実績!$AC$6:$AC$505,"&lt;="&amp;$A98,実績!$AD$6:$AD$505,"&gt;"&amp;$A98,実績!$AE$6:$AE$505,"○")&gt;0,1,0))</f>
        <v/>
      </c>
      <c r="K98">
        <f>IF(K$4=0,0,IF(COUNTIFS(実績!$W$6:$W$505,K$3,実績!$AC$6:$AC$505,"&lt;="&amp;$A98,実績!$AD$6:$AD$505,"&gt;"&amp;$A98,実績!$AE$6:$AE$505,"○")&gt;0,1,0))</f>
        <v/>
      </c>
      <c r="L98">
        <f>IF(L$4=0,0,IF(COUNTIFS(実績!$W$6:$W$505,L$3,実績!$AC$6:$AC$505,"&lt;="&amp;$A98,実績!$AD$6:$AD$505,"&gt;"&amp;$A98,実績!$AE$6:$AE$505,"○")&gt;0,1,0))</f>
        <v/>
      </c>
      <c r="M98">
        <f>IF(M$4=0,0,IF(COUNTIFS(実績!$W$6:$W$505,M$3,実績!$AC$6:$AC$505,"&lt;="&amp;$A98,実績!$AD$6:$AD$505,"&gt;"&amp;$A98,実績!$AE$6:$AE$505,"○")&gt;0,1,0))</f>
        <v/>
      </c>
      <c r="N98">
        <f>IF(N$4=0,0,IF(COUNTIFS(実績!$W$6:$W$505,N$3,実績!$AC$6:$AC$505,"&lt;="&amp;$A98,実績!$AD$6:$AD$505,"&gt;"&amp;$A98,実績!$AE$6:$AE$505,"○")&gt;0,1,0))</f>
        <v/>
      </c>
      <c r="O98">
        <f>IF(O$4=0,0,IF(COUNTIFS(実績!$W$6:$W$505,O$3,実績!$AC$6:$AC$505,"&lt;="&amp;$A98,実績!$AD$6:$AD$505,"&gt;"&amp;$A98,実績!$AE$6:$AE$505,"○")&gt;0,1,0))</f>
        <v/>
      </c>
      <c r="P98">
        <f>IF(P$4=0,0,IF(COUNTIFS(実績!$W$6:$W$505,P$3,実績!$AC$6:$AC$505,"&lt;="&amp;$A98,実績!$AD$6:$AD$505,"&gt;"&amp;$A98,実績!$AE$6:$AE$505,"○")&gt;0,1,0))</f>
        <v/>
      </c>
      <c r="Q98">
        <f>IF(Q$4=0,0,IF(COUNTIFS(実績!$W$6:$W$505,Q$3,実績!$AC$6:$AC$505,"&lt;="&amp;$A98,実績!$AD$6:$AD$505,"&gt;"&amp;$A98,実績!$AE$6:$AE$505,"○")&gt;0,1,0))</f>
        <v/>
      </c>
      <c r="R98">
        <f>IF(R$4=0,0,IF(COUNTIFS(実績!$W$6:$W$505,R$3,実績!$AC$6:$AC$505,"&lt;="&amp;$A98,実績!$AD$6:$AD$505,"&gt;"&amp;$A98,実績!$AE$6:$AE$505,"○")&gt;0,1,0))</f>
        <v/>
      </c>
      <c r="S98">
        <f>IF(S$4=0,0,IF(COUNTIFS(実績!$W$6:$W$505,S$3,実績!$AC$6:$AC$505,"&lt;="&amp;$A98,実績!$AD$6:$AD$505,"&gt;"&amp;$A98,実績!$AE$6:$AE$505,"○")&gt;0,1,0))</f>
        <v/>
      </c>
      <c r="T98">
        <f>IF(T$4=0,0,IF(COUNTIFS(実績!$W$6:$W$505,T$3,実績!$AC$6:$AC$505,"&lt;="&amp;$A98,実績!$AD$6:$AD$505,"&gt;"&amp;$A98,実績!$AE$6:$AE$505,"○")&gt;0,1,0))</f>
        <v/>
      </c>
      <c r="U98">
        <f>IF(U$4=0,0,IF(COUNTIFS(実績!$W$6:$W$505,U$3,実績!$AC$6:$AC$505,"&lt;="&amp;$A98,実績!$AD$6:$AD$505,"&gt;"&amp;$A98,実績!$AE$6:$AE$505,"○")&gt;0,1,0))</f>
        <v/>
      </c>
      <c r="V98">
        <f>IF(V$4=0,0,IF(COUNTIFS(実績!$W$6:$W$505,V$3,実績!$AC$6:$AC$505,"&lt;="&amp;$A98,実績!$AD$6:$AD$505,"&gt;"&amp;$A98,実績!$AE$6:$AE$505,"○")&gt;0,1,0))</f>
        <v/>
      </c>
      <c r="W98">
        <f>IF(W$4=0,0,IF(COUNTIFS(実績!$W$6:$W$505,W$3,実績!$AC$6:$AC$505,"&lt;="&amp;$A98,実績!$AD$6:$AD$505,"&gt;"&amp;$A98,実績!$AE$6:$AE$505,"○")&gt;0,1,0))</f>
        <v/>
      </c>
      <c r="X98">
        <f>IF(X$4=0,0,IF(COUNTIFS(実績!$W$6:$W$505,X$3,実績!$AC$6:$AC$505,"&lt;="&amp;$A98,実績!$AD$6:$AD$505,"&gt;"&amp;$A98,実績!$AE$6:$AE$505,"○")&gt;0,1,0))</f>
        <v/>
      </c>
      <c r="Y98">
        <f>IF(Y$4=0,0,IF(COUNTIFS(実績!$W$6:$W$505,Y$3,実績!$AC$6:$AC$505,"&lt;="&amp;$A98,実績!$AD$6:$AD$505,"&gt;"&amp;$A98,実績!$AE$6:$AE$505,"○")&gt;0,1,0))</f>
        <v/>
      </c>
      <c r="Z98">
        <f>IF(Z$4=0,0,IF(COUNTIFS(実績!$W$6:$W$505,Z$3,実績!$AC$6:$AC$505,"&lt;="&amp;$A98,実績!$AD$6:$AD$505,"&gt;"&amp;$A98,実績!$AE$6:$AE$505,"○")&gt;0,1,0))</f>
        <v/>
      </c>
      <c r="AA98">
        <f>IF(AA$4=0,0,IF(COUNTIFS(実績!$W$6:$W$505,AA$3,実績!$AC$6:$AC$505,"&lt;="&amp;$A98,実績!$AD$6:$AD$505,"&gt;"&amp;$A98,実績!$AE$6:$AE$505,"○")&gt;0,1,0))</f>
        <v/>
      </c>
      <c r="AB98">
        <f>IF(AB$4=0,0,IF(COUNTIFS(実績!$W$6:$W$505,AB$3,実績!$AC$6:$AC$505,"&lt;="&amp;$A98,実績!$AD$6:$AD$505,"&gt;"&amp;$A98,実績!$AE$6:$AE$505,"○")&gt;0,1,0))</f>
        <v/>
      </c>
      <c r="AC98">
        <f>IF(AC$4=0,0,IF(COUNTIFS(実績!$W$6:$W$505,AC$3,実績!$AC$6:$AC$505,"&lt;="&amp;$A98,実績!$AD$6:$AD$505,"&gt;"&amp;$A98,実績!$AE$6:$AE$505,"○")&gt;0,1,0))</f>
        <v/>
      </c>
      <c r="AD98">
        <f>IF(AD$4=0,0,IF(COUNTIFS(実績!$W$6:$W$505,AD$3,実績!$AC$6:$AC$505,"&lt;="&amp;$A98,実績!$AD$6:$AD$505,"&gt;"&amp;$A98,実績!$AE$6:$AE$505,"○")&gt;0,1,0))</f>
        <v/>
      </c>
      <c r="AE98">
        <f>IF(AE$4=0,0,IF(COUNTIFS(実績!$W$6:$W$505,AE$3,実績!$AC$6:$AC$505,"&lt;="&amp;$A98,実績!$AD$6:$AD$505,"&gt;"&amp;$A98,実績!$AE$6:$AE$505,"○")&gt;0,1,0))</f>
        <v/>
      </c>
      <c r="AF98">
        <f>IF(AF$4=0,0,IF(COUNTIFS(実績!$W$6:$W$505,AF$3,実績!$AC$6:$AC$505,"&lt;="&amp;$A98,実績!$AD$6:$AD$505,"&gt;"&amp;$A98,実績!$AE$6:$AE$505,"○")&gt;0,1,0))</f>
        <v/>
      </c>
      <c r="AG98">
        <f>IF(AG$4=0,0,IF(COUNTIFS(実績!$W$6:$W$505,AG$3,実績!$AC$6:$AC$505,"&lt;="&amp;$A98,実績!$AD$6:$AD$505,"&gt;"&amp;$A98,実績!$AE$6:$AE$505,"○")&gt;0,1,0))</f>
        <v/>
      </c>
      <c r="AH98">
        <f>IF(AH$4=0,0,IF(COUNTIFS(実績!$W$6:$W$505,AH$3,実績!$AC$6:$AC$505,"&lt;="&amp;$A98,実績!$AD$6:$AD$505,"&gt;"&amp;$A98,実績!$AE$6:$AE$505,"○")&gt;0,1,0))</f>
        <v/>
      </c>
      <c r="AI98">
        <f>IF(AI$4=0,0,IF(COUNTIFS(実績!$W$6:$W$505,AI$3,実績!$AC$6:$AC$505,"&lt;="&amp;$A98,実績!$AD$6:$AD$505,"&gt;"&amp;$A98,実績!$AE$6:$AE$505,"○")&gt;0,1,0))</f>
        <v/>
      </c>
      <c r="AJ98">
        <f>IF(AJ$4=0,0,IF(COUNTIFS(実績!$W$6:$W$505,AJ$3,実績!$AC$6:$AC$505,"&lt;="&amp;$A98,実績!$AD$6:$AD$505,"&gt;"&amp;$A98,実績!$AE$6:$AE$505,"○")&gt;0,1,0))</f>
        <v/>
      </c>
      <c r="AK98">
        <f>IF(AK$4=0,0,IF(COUNTIFS(実績!$W$6:$W$505,AK$3,実績!$AC$6:$AC$505,"&lt;="&amp;$A98,実績!$AD$6:$AD$505,"&gt;"&amp;$A98,実績!$AE$6:$AE$505,"○")&gt;0,1,0))</f>
        <v/>
      </c>
      <c r="AL98">
        <f>IF(AL$4=0,0,IF(COUNTIFS(実績!$W$6:$W$505,AL$3,実績!$AC$6:$AC$505,"&lt;="&amp;$A98,実績!$AD$6:$AD$505,"&gt;"&amp;$A98,実績!$AE$6:$AE$505,"○")&gt;0,1,0))</f>
        <v/>
      </c>
      <c r="AM98">
        <f>IF(AM$4=0,0,IF(COUNTIFS(実績!$W$6:$W$505,AM$3,実績!$AC$6:$AC$505,"&lt;="&amp;$A98,実績!$AD$6:$AD$505,"&gt;"&amp;$A98,実績!$AE$6:$AE$505,"○")&gt;0,1,0))</f>
        <v/>
      </c>
      <c r="AN98">
        <f>IF(AN$4=0,0,IF(COUNTIFS(実績!$W$6:$W$505,AN$3,実績!$AC$6:$AC$505,"&lt;="&amp;$A98,実績!$AD$6:$AD$505,"&gt;"&amp;$A98,実績!$AE$6:$AE$505,"○")&gt;0,1,0))</f>
        <v/>
      </c>
      <c r="AO98">
        <f>IF(AO$4=0,0,IF(COUNTIFS(実績!$W$6:$W$505,AO$3,実績!$AC$6:$AC$505,"&lt;="&amp;$A98,実績!$AD$6:$AD$505,"&gt;"&amp;$A98,実績!$AE$6:$AE$505,"○")&gt;0,1,0))</f>
        <v/>
      </c>
      <c r="AP98">
        <f>IF(AP$4=0,0,IF(COUNTIFS(実績!$W$6:$W$505,AP$3,実績!$AC$6:$AC$505,"&lt;="&amp;$A98,実績!$AD$6:$AD$505,"&gt;"&amp;$A98,実績!$AE$6:$AE$505,"○")&gt;0,1,0))</f>
        <v/>
      </c>
      <c r="AQ98">
        <f>IF(AQ$4=0,0,IF(COUNTIFS(実績!$W$6:$W$505,AQ$3,実績!$AC$6:$AC$505,"&lt;="&amp;$A98,実績!$AD$6:$AD$505,"&gt;"&amp;$A98,実績!$AE$6:$AE$505,"○")&gt;0,1,0))</f>
        <v/>
      </c>
      <c r="AR98">
        <f>IF(AR$4=0,0,IF(COUNTIFS(実績!$W$6:$W$505,AR$3,実績!$AC$6:$AC$505,"&lt;="&amp;$A98,実績!$AD$6:$AD$505,"&gt;"&amp;$A98,実績!$AE$6:$AE$505,"○")&gt;0,1,0))</f>
        <v/>
      </c>
      <c r="AS98">
        <f>IF(AS$4=0,0,IF(COUNTIFS(実績!$W$6:$W$505,AS$3,実績!$AC$6:$AC$505,"&lt;="&amp;$A98,実績!$AD$6:$AD$505,"&gt;"&amp;$A98,実績!$AE$6:$AE$505,"○")&gt;0,1,0))</f>
        <v/>
      </c>
      <c r="AT98">
        <f>IF(AT$4=0,0,IF(COUNTIFS(実績!$W$6:$W$505,AT$3,実績!$AC$6:$AC$505,"&lt;="&amp;$A98,実績!$AD$6:$AD$505,"&gt;"&amp;$A98,実績!$AE$6:$AE$505,"○")&gt;0,1,0))</f>
        <v/>
      </c>
      <c r="AU98">
        <f>IF(AU$4=0,0,IF(COUNTIFS(実績!$W$6:$W$505,AU$3,実績!$AC$6:$AC$505,"&lt;="&amp;$A98,実績!$AD$6:$AD$505,"&gt;"&amp;$A98,実績!$AE$6:$AE$505,"○")&gt;0,1,0))</f>
        <v/>
      </c>
      <c r="AV98">
        <f>IF(AV$4=0,0,IF(COUNTIFS(実績!$W$6:$W$505,AV$3,実績!$AC$6:$AC$505,"&lt;="&amp;$A98,実績!$AD$6:$AD$505,"&gt;"&amp;$A98,実績!$AE$6:$AE$505,"○")&gt;0,1,0))</f>
        <v/>
      </c>
      <c r="AW98">
        <f>IF(AW$4=0,0,IF(COUNTIFS(実績!$W$6:$W$505,AW$3,実績!$AC$6:$AC$505,"&lt;="&amp;$A98,実績!$AD$6:$AD$505,"&gt;"&amp;$A98,実績!$AE$6:$AE$505,"○")&gt;0,1,0))</f>
        <v/>
      </c>
      <c r="AX98">
        <f>IF(AX$4=0,0,IF(COUNTIFS(実績!$W$6:$W$505,AX$3,実績!$AC$6:$AC$505,"&lt;="&amp;$A98,実績!$AD$6:$AD$505,"&gt;"&amp;$A98,実績!$AE$6:$AE$505,"○")&gt;0,1,0))</f>
        <v/>
      </c>
      <c r="AY98">
        <f>IF(AY$4=0,0,IF(COUNTIFS(実績!$W$6:$W$505,AY$3,実績!$AC$6:$AC$505,"&lt;="&amp;$A98,実績!$AD$6:$AD$505,"&gt;"&amp;$A98,実績!$AE$6:$AE$505,"○")&gt;0,1,0))</f>
        <v/>
      </c>
      <c r="AZ98">
        <f>IF(AZ$4=0,0,IF(COUNTIFS(実績!$W$6:$W$505,AZ$3,実績!$AC$6:$AC$505,"&lt;="&amp;$A98,実績!$AD$6:$AD$505,"&gt;"&amp;$A98,実績!$AE$6:$AE$505,"○")&gt;0,1,0))</f>
        <v/>
      </c>
      <c r="BA98">
        <f>IF(BA$4=0,0,IF(COUNTIFS(実績!$W$6:$W$505,BA$3,実績!$AC$6:$AC$505,"&lt;="&amp;$A98,実績!$AD$6:$AD$505,"&gt;"&amp;$A98,実績!$AE$6:$AE$505,"○")&gt;0,1,0))</f>
        <v/>
      </c>
      <c r="BB98">
        <f>IF(BB$4=0,0,IF(COUNTIFS(実績!$W$6:$W$505,BB$3,実績!$AC$6:$AC$505,"&lt;="&amp;$A98,実績!$AD$6:$AD$505,"&gt;"&amp;$A98,実績!$AE$6:$AE$505,"○")&gt;0,1,0))</f>
        <v/>
      </c>
      <c r="BC98">
        <f>IF(BC$4=0,0,IF(COUNTIFS(実績!$W$6:$W$505,BC$3,実績!$AC$6:$AC$505,"&lt;="&amp;$A98,実績!$AD$6:$AD$505,"&gt;"&amp;$A98,実績!$AE$6:$AE$505,"○")&gt;0,1,0))</f>
        <v/>
      </c>
      <c r="BD98">
        <f>IF(BD$4=0,0,IF(COUNTIFS(実績!$W$6:$W$505,BD$3,実績!$AC$6:$AC$505,"&lt;="&amp;$A98,実績!$AD$6:$AD$505,"&gt;"&amp;$A98,実績!$AE$6:$AE$505,"○")&gt;0,1,0))</f>
        <v/>
      </c>
      <c r="BE98">
        <f>IF(BE$4=0,0,IF(COUNTIFS(実績!$W$6:$W$505,BE$3,実績!$AC$6:$AC$505,"&lt;="&amp;$A98,実績!$AD$6:$AD$505,"&gt;"&amp;$A98,実績!$AE$6:$AE$505,"○")&gt;0,1,0))</f>
        <v/>
      </c>
      <c r="BF98">
        <f>IF(BF$4=0,0,IF(COUNTIFS(実績!$W$6:$W$505,BF$3,実績!$AC$6:$AC$505,"&lt;="&amp;$A98,実績!$AD$6:$AD$505,"&gt;"&amp;$A98,実績!$AE$6:$AE$505,"○")&gt;0,1,0))</f>
        <v/>
      </c>
      <c r="BG98">
        <f>IF(BG$4=0,0,IF(COUNTIFS(実績!$W$6:$W$505,BG$3,実績!$AC$6:$AC$505,"&lt;="&amp;$A98,実績!$AD$6:$AD$505,"&gt;"&amp;$A98,実績!$AE$6:$AE$505,"○")&gt;0,1,0))</f>
        <v/>
      </c>
      <c r="BH98">
        <f>IF(BH$4=0,0,IF(COUNTIFS(実績!$W$6:$W$505,BH$3,実績!$AC$6:$AC$505,"&lt;="&amp;$A98,実績!$AD$6:$AD$505,"&gt;"&amp;$A98,実績!$AE$6:$AE$505,"○")&gt;0,1,0))</f>
        <v/>
      </c>
      <c r="BI98">
        <f>IF(BI$4=0,0,IF(COUNTIFS(実績!$W$6:$W$505,BI$3,実績!$AC$6:$AC$505,"&lt;="&amp;$A98,実績!$AD$6:$AD$505,"&gt;"&amp;$A98,実績!$AE$6:$AE$505,"○")&gt;0,1,0))</f>
        <v/>
      </c>
      <c r="BJ98">
        <f>IF(BJ$4=0,0,IF(COUNTIFS(実績!$W$6:$W$505,BJ$3,実績!$AC$6:$AC$505,"&lt;="&amp;$A98,実績!$AD$6:$AD$505,"&gt;"&amp;$A98,実績!$AE$6:$AE$505,"○")&gt;0,1,0))</f>
        <v/>
      </c>
      <c r="BK98">
        <f>IF(BK$4=0,0,IF(COUNTIFS(実績!$W$6:$W$505,BK$3,実績!$AC$6:$AC$505,"&lt;="&amp;$A98,実績!$AD$6:$AD$505,"&gt;"&amp;$A98,実績!$AE$6:$AE$505,"○")&gt;0,1,0))</f>
        <v/>
      </c>
      <c r="BL98">
        <f>IF(BL$4=0,0,IF(COUNTIFS(実績!$W$6:$W$505,BL$3,実績!$AC$6:$AC$505,"&lt;="&amp;$A98,実績!$AD$6:$AD$505,"&gt;"&amp;$A98,実績!$AE$6:$AE$505,"○")&gt;0,1,0))</f>
        <v/>
      </c>
      <c r="BM98">
        <f>IF(BM$4=0,0,IF(COUNTIFS(実績!$W$6:$W$505,BM$3,実績!$AC$6:$AC$505,"&lt;="&amp;$A98,実績!$AD$6:$AD$505,"&gt;"&amp;$A98,実績!$AE$6:$AE$505,"○")&gt;0,1,0))</f>
        <v/>
      </c>
      <c r="BN98">
        <f>IF(BN$4=0,0,IF(COUNTIFS(実績!$W$6:$W$505,BN$3,実績!$AC$6:$AC$505,"&lt;="&amp;$A98,実績!$AD$6:$AD$505,"&gt;"&amp;$A98,実績!$AE$6:$AE$505,"○")&gt;0,1,0))</f>
        <v/>
      </c>
      <c r="BO98">
        <f>IF(BO$4=0,0,IF(COUNTIFS(実績!$W$6:$W$505,BO$3,実績!$AC$6:$AC$505,"&lt;="&amp;$A98,実績!$AD$6:$AD$505,"&gt;"&amp;$A98,実績!$AE$6:$AE$505,"○")&gt;0,1,0))</f>
        <v/>
      </c>
      <c r="BP98">
        <f>IF(BP$4=0,0,IF(COUNTIFS(実績!$W$6:$W$505,BP$3,実績!$AC$6:$AC$505,"&lt;="&amp;$A98,実績!$AD$6:$AD$505,"&gt;"&amp;$A98,実績!$AE$6:$AE$505,"○")&gt;0,1,0))</f>
        <v/>
      </c>
      <c r="BQ98">
        <f>IF(BQ$4=0,0,IF(COUNTIFS(実績!$W$6:$W$505,BQ$3,実績!$AC$6:$AC$505,"&lt;="&amp;$A98,実績!$AD$6:$AD$505,"&gt;"&amp;$A98,実績!$AE$6:$AE$505,"○")&gt;0,1,0))</f>
        <v/>
      </c>
      <c r="BR98">
        <f>IF(BR$4=0,0,IF(COUNTIFS(実績!$W$6:$W$505,BR$3,実績!$AC$6:$AC$505,"&lt;="&amp;$A98,実績!$AD$6:$AD$505,"&gt;"&amp;$A98,実績!$AE$6:$AE$505,"○")&gt;0,1,0))</f>
        <v/>
      </c>
      <c r="BS98">
        <f>IF(BS$4=0,0,IF(COUNTIFS(実績!$W$6:$W$505,BS$3,実績!$AC$6:$AC$505,"&lt;="&amp;$A98,実績!$AD$6:$AD$505,"&gt;"&amp;$A98,実績!$AE$6:$AE$505,"○")&gt;0,1,0))</f>
        <v/>
      </c>
      <c r="BT98">
        <f>IF(BT$4=0,0,IF(COUNTIFS(実績!$W$6:$W$505,BT$3,実績!$AC$6:$AC$505,"&lt;="&amp;$A98,実績!$AD$6:$AD$505,"&gt;"&amp;$A98,実績!$AE$6:$AE$505,"○")&gt;0,1,0))</f>
        <v/>
      </c>
      <c r="BU98">
        <f>IF(BU$4=0,0,IF(COUNTIFS(実績!$W$6:$W$505,BU$3,実績!$AC$6:$AC$505,"&lt;="&amp;$A98,実績!$AD$6:$AD$505,"&gt;"&amp;$A98,実績!$AE$6:$AE$505,"○")&gt;0,1,0))</f>
        <v/>
      </c>
      <c r="BV98">
        <f>IF(BV$4=0,0,IF(COUNTIFS(実績!$W$6:$W$505,BV$3,実績!$AC$6:$AC$505,"&lt;="&amp;$A98,実績!$AD$6:$AD$505,"&gt;"&amp;$A98,実績!$AE$6:$AE$505,"○")&gt;0,1,0))</f>
        <v/>
      </c>
      <c r="BW98">
        <f>IF(BW$4=0,0,IF(COUNTIFS(実績!$W$6:$W$505,BW$3,実績!$AC$6:$AC$505,"&lt;="&amp;$A98,実績!$AD$6:$AD$505,"&gt;"&amp;$A98,実績!$AE$6:$AE$505,"○")&gt;0,1,0))</f>
        <v/>
      </c>
      <c r="BX98">
        <f>IF(BX$4=0,0,IF(COUNTIFS(実績!$W$6:$W$505,BX$3,実績!$AC$6:$AC$505,"&lt;="&amp;$A98,実績!$AD$6:$AD$505,"&gt;"&amp;$A98,実績!$AE$6:$AE$505,"○")&gt;0,1,0))</f>
        <v/>
      </c>
      <c r="BY98">
        <f>IF(BY$4=0,0,IF(COUNTIFS(実績!$W$6:$W$505,BY$3,実績!$AC$6:$AC$505,"&lt;="&amp;$A98,実績!$AD$6:$AD$505,"&gt;"&amp;$A98,実績!$AE$6:$AE$505,"○")&gt;0,1,0))</f>
        <v/>
      </c>
      <c r="BZ98">
        <f>IF(BZ$4=0,0,IF(COUNTIFS(実績!$W$6:$W$505,BZ$3,実績!$AC$6:$AC$505,"&lt;="&amp;$A98,実績!$AD$6:$AD$505,"&gt;"&amp;$A98,実績!$AE$6:$AE$505,"○")&gt;0,1,0))</f>
        <v/>
      </c>
      <c r="CA98">
        <f>IF(CA$4=0,0,IF(COUNTIFS(実績!$W$6:$W$505,CA$3,実績!$AC$6:$AC$505,"&lt;="&amp;$A98,実績!$AD$6:$AD$505,"&gt;"&amp;$A98,実績!$AE$6:$AE$505,"○")&gt;0,1,0))</f>
        <v/>
      </c>
      <c r="CB98">
        <f>IF(CB$4=0,0,IF(COUNTIFS(実績!$W$6:$W$505,CB$3,実績!$AC$6:$AC$505,"&lt;="&amp;$A98,実績!$AD$6:$AD$505,"&gt;"&amp;$A98,実績!$AE$6:$AE$505,"○")&gt;0,1,0))</f>
        <v/>
      </c>
      <c r="CC98">
        <f>IF(CC$4=0,0,IF(COUNTIFS(実績!$W$6:$W$505,CC$3,実績!$AC$6:$AC$505,"&lt;="&amp;$A98,実績!$AD$6:$AD$505,"&gt;"&amp;$A98,実績!$AE$6:$AE$505,"○")&gt;0,1,0))</f>
        <v/>
      </c>
      <c r="CD98">
        <f>IF(CD$4=0,0,IF(COUNTIFS(実績!$W$6:$W$505,CD$3,実績!$AC$6:$AC$505,"&lt;="&amp;$A98,実績!$AD$6:$AD$505,"&gt;"&amp;$A98,実績!$AE$6:$AE$505,"○")&gt;0,1,0))</f>
        <v/>
      </c>
      <c r="CE98">
        <f>IF(CE$4=0,0,IF(COUNTIFS(実績!$W$6:$W$505,CE$3,実績!$AC$6:$AC$505,"&lt;="&amp;$A98,実績!$AD$6:$AD$505,"&gt;"&amp;$A98,実績!$AE$6:$AE$505,"○")&gt;0,1,0))</f>
        <v/>
      </c>
      <c r="CF98">
        <f>IF(CF$4=0,0,IF(COUNTIFS(実績!$W$6:$W$505,CF$3,実績!$AC$6:$AC$505,"&lt;="&amp;$A98,実績!$AD$6:$AD$505,"&gt;"&amp;$A98,実績!$AE$6:$AE$505,"○")&gt;0,1,0))</f>
        <v/>
      </c>
      <c r="CG98">
        <f>IF(CG$4=0,0,IF(COUNTIFS(実績!$W$6:$W$505,CG$3,実績!$AC$6:$AC$505,"&lt;="&amp;$A98,実績!$AD$6:$AD$505,"&gt;"&amp;$A98,実績!$AE$6:$AE$505,"○")&gt;0,1,0))</f>
        <v/>
      </c>
      <c r="CH98">
        <f>IF(CH$4=0,0,IF(COUNTIFS(実績!$W$6:$W$505,CH$3,実績!$AC$6:$AC$505,"&lt;="&amp;$A98,実績!$AD$6:$AD$505,"&gt;"&amp;$A98,実績!$AE$6:$AE$505,"○")&gt;0,1,0))</f>
        <v/>
      </c>
      <c r="CI98">
        <f>IF(CI$4=0,0,IF(COUNTIFS(実績!$W$6:$W$505,CI$3,実績!$AC$6:$AC$505,"&lt;="&amp;$A98,実績!$AD$6:$AD$505,"&gt;"&amp;$A98,実績!$AE$6:$AE$505,"○")&gt;0,1,0))</f>
        <v/>
      </c>
      <c r="CJ98">
        <f>IF(CJ$4=0,0,IF(COUNTIFS(実績!$W$6:$W$505,CJ$3,実績!$AC$6:$AC$505,"&lt;="&amp;$A98,実績!$AD$6:$AD$505,"&gt;"&amp;$A98,実績!$AE$6:$AE$505,"○")&gt;0,1,0))</f>
        <v/>
      </c>
      <c r="CK98">
        <f>IF(CK$4=0,0,IF(COUNTIFS(実績!$W$6:$W$505,CK$3,実績!$AC$6:$AC$505,"&lt;="&amp;$A98,実績!$AD$6:$AD$505,"&gt;"&amp;$A98,実績!$AE$6:$AE$505,"○")&gt;0,1,0))</f>
        <v/>
      </c>
      <c r="CL98">
        <f>IF(CL$4=0,0,IF(COUNTIFS(実績!$W$6:$W$505,CL$3,実績!$AC$6:$AC$505,"&lt;="&amp;$A98,実績!$AD$6:$AD$505,"&gt;"&amp;$A98,実績!$AE$6:$AE$505,"○")&gt;0,1,0))</f>
        <v/>
      </c>
      <c r="CM98">
        <f>IF(CM$4=0,0,IF(COUNTIFS(実績!$W$6:$W$505,CM$3,実績!$AC$6:$AC$505,"&lt;="&amp;$A98,実績!$AD$6:$AD$505,"&gt;"&amp;$A98,実績!$AE$6:$AE$505,"○")&gt;0,1,0))</f>
        <v/>
      </c>
      <c r="CN98">
        <f>IF(CN$4=0,0,IF(COUNTIFS(実績!$W$6:$W$505,CN$3,実績!$AC$6:$AC$505,"&lt;="&amp;$A98,実績!$AD$6:$AD$505,"&gt;"&amp;$A98,実績!$AE$6:$AE$505,"○")&gt;0,1,0))</f>
        <v/>
      </c>
      <c r="CO98">
        <f>IF(CO$4=0,0,IF(COUNTIFS(実績!$W$6:$W$505,CO$3,実績!$AC$6:$AC$505,"&lt;="&amp;$A98,実績!$AD$6:$AD$505,"&gt;"&amp;$A98,実績!$AE$6:$AE$505,"○")&gt;0,1,0))</f>
        <v/>
      </c>
      <c r="CP98">
        <f>IF(CP$4=0,0,IF(COUNTIFS(実績!$W$6:$W$505,CP$3,実績!$AC$6:$AC$505,"&lt;="&amp;$A98,実績!$AD$6:$AD$505,"&gt;"&amp;$A98,実績!$AE$6:$AE$505,"○")&gt;0,1,0))</f>
        <v/>
      </c>
      <c r="CQ98">
        <f>IF(CQ$4=0,0,IF(COUNTIFS(実績!$W$6:$W$505,CQ$3,実績!$AC$6:$AC$505,"&lt;="&amp;$A98,実績!$AD$6:$AD$505,"&gt;"&amp;$A98,実績!$AE$6:$AE$505,"○")&gt;0,1,0))</f>
        <v/>
      </c>
      <c r="CR98">
        <f>IF(CR$4=0,0,IF(COUNTIFS(実績!$W$6:$W$505,CR$3,実績!$AC$6:$AC$505,"&lt;="&amp;$A98,実績!$AD$6:$AD$505,"&gt;"&amp;$A98,実績!$AE$6:$AE$505,"○")&gt;0,1,0))</f>
        <v/>
      </c>
      <c r="CS98">
        <f>IF(CS$4=0,0,IF(COUNTIFS(実績!$W$6:$W$505,CS$3,実績!$AC$6:$AC$505,"&lt;="&amp;$A98,実績!$AD$6:$AD$505,"&gt;"&amp;$A98,実績!$AE$6:$AE$505,"○")&gt;0,1,0))</f>
        <v/>
      </c>
      <c r="CT98">
        <f>IF(CT$4=0,0,IF(COUNTIFS(実績!$W$6:$W$505,CT$3,実績!$AC$6:$AC$505,"&lt;="&amp;$A98,実績!$AD$6:$AD$505,"&gt;"&amp;$A98,実績!$AE$6:$AE$505,"○")&gt;0,1,0))</f>
        <v/>
      </c>
      <c r="CU98">
        <f>IF(CU$4=0,0,IF(COUNTIFS(実績!$W$6:$W$505,CU$3,実績!$AC$6:$AC$505,"&lt;="&amp;$A98,実績!$AD$6:$AD$505,"&gt;"&amp;$A98,実績!$AE$6:$AE$505,"○")&gt;0,1,0))</f>
        <v/>
      </c>
      <c r="CV98">
        <f>IF(CV$4=0,0,IF(COUNTIFS(実績!$W$6:$W$505,CV$3,実績!$AC$6:$AC$505,"&lt;="&amp;$A98,実績!$AD$6:$AD$505,"&gt;"&amp;$A98,実績!$AE$6:$AE$505,"○")&gt;0,1,0))</f>
        <v/>
      </c>
      <c r="CW98">
        <f>IF(CW$4=0,0,IF(COUNTIFS(実績!$W$6:$W$505,CW$3,実績!$AC$6:$AC$505,"&lt;="&amp;$A98,実績!$AD$6:$AD$505,"&gt;"&amp;$A98,実績!$AE$6:$AE$505,"○")&gt;0,1,0))</f>
        <v/>
      </c>
      <c r="CX98">
        <f>IF(CX$4=0,0,IF(COUNTIFS(実績!$W$6:$W$505,CX$3,実績!$AC$6:$AC$505,"&lt;="&amp;$A98,実績!$AD$6:$AD$505,"&gt;"&amp;$A98,実績!$AE$6:$AE$505,"○")&gt;0,1,0))</f>
        <v/>
      </c>
      <c r="CY98">
        <f>IF(CY$4=0,0,IF(COUNTIFS(実績!$W$6:$W$505,CY$3,実績!$AC$6:$AC$505,"&lt;="&amp;$A98,実績!$AD$6:$AD$505,"&gt;"&amp;$A98,実績!$AE$6:$AE$505,"○")&gt;0,1,0))</f>
        <v/>
      </c>
      <c r="CZ98">
        <f>IF(CZ$4=0,0,IF(COUNTIFS(実績!$W$6:$W$505,CZ$3,実績!$AC$6:$AC$505,"&lt;="&amp;$A98,実績!$AD$6:$AD$505,"&gt;"&amp;$A98,実績!$AE$6:$AE$505,"○")&gt;0,1,0))</f>
        <v/>
      </c>
      <c r="DA98">
        <f>IF(DA$4=0,0,IF(COUNTIFS(実績!$W$6:$W$505,DA$3,実績!$AC$6:$AC$505,"&lt;="&amp;$A98,実績!$AD$6:$AD$505,"&gt;"&amp;$A98,実績!$AE$6:$AE$505,"○")&gt;0,1,0))</f>
        <v/>
      </c>
      <c r="DB98">
        <f>IF(DB$4=0,0,IF(COUNTIFS(実績!$W$6:$W$505,DB$3,実績!$AC$6:$AC$505,"&lt;="&amp;$A98,実績!$AD$6:$AD$505,"&gt;"&amp;$A98,実績!$AE$6:$AE$505,"○")&gt;0,1,0))</f>
        <v/>
      </c>
      <c r="DC98">
        <f>IF(DC$4=0,0,IF(COUNTIFS(実績!$W$6:$W$505,DC$3,実績!$AC$6:$AC$505,"&lt;="&amp;$A98,実績!$AD$6:$AD$505,"&gt;"&amp;$A98,実績!$AE$6:$AE$505,"○")&gt;0,1,0))</f>
        <v/>
      </c>
      <c r="DD98">
        <f>IF(DD$4=0,0,IF(COUNTIFS(実績!$W$6:$W$505,DD$3,実績!$AC$6:$AC$505,"&lt;="&amp;$A98,実績!$AD$6:$AD$505,"&gt;"&amp;$A98,実績!$AE$6:$AE$505,"○")&gt;0,1,0))</f>
        <v/>
      </c>
      <c r="DE98">
        <f>IF(DE$4=0,0,IF(COUNTIFS(実績!$W$6:$W$505,DE$3,実績!$AC$6:$AC$505,"&lt;="&amp;$A98,実績!$AD$6:$AD$505,"&gt;"&amp;$A98,実績!$AE$6:$AE$505,"○")&gt;0,1,0))</f>
        <v/>
      </c>
      <c r="DF98">
        <f>IF(DF$4=0,0,IF(COUNTIFS(実績!$W$6:$W$505,DF$3,実績!$AC$6:$AC$505,"&lt;="&amp;$A98,実績!$AD$6:$AD$505,"&gt;"&amp;$A98,実績!$AE$6:$AE$505,"○")&gt;0,1,0))</f>
        <v/>
      </c>
      <c r="DG98">
        <f>IF(DG$4=0,0,IF(COUNTIFS(実績!$W$6:$W$505,DG$3,実績!$AC$6:$AC$505,"&lt;="&amp;$A98,実績!$AD$6:$AD$505,"&gt;"&amp;$A98,実績!$AE$6:$AE$505,"○")&gt;0,1,0))</f>
        <v/>
      </c>
      <c r="DH98">
        <f>IF(DH$4=0,0,IF(COUNTIFS(実績!$W$6:$W$505,DH$3,実績!$AC$6:$AC$505,"&lt;="&amp;$A98,実績!$AD$6:$AD$505,"&gt;"&amp;$A98,実績!$AE$6:$AE$505,"○")&gt;0,1,0))</f>
        <v/>
      </c>
      <c r="DI98">
        <f>IF(DI$4=0,0,IF(COUNTIFS(実績!$W$6:$W$505,DI$3,実績!$AC$6:$AC$505,"&lt;="&amp;$A98,実績!$AD$6:$AD$505,"&gt;"&amp;$A98,実績!$AE$6:$AE$505,"○")&gt;0,1,0))</f>
        <v/>
      </c>
      <c r="DJ98">
        <f>IF(DJ$4=0,0,IF(COUNTIFS(実績!$W$6:$W$505,DJ$3,実績!$AC$6:$AC$505,"&lt;="&amp;$A98,実績!$AD$6:$AD$505,"&gt;"&amp;$A98,実績!$AE$6:$AE$505,"○")&gt;0,1,0))</f>
        <v/>
      </c>
      <c r="DK98">
        <f>IF(DK$4=0,0,IF(COUNTIFS(実績!$W$6:$W$505,DK$3,実績!$AC$6:$AC$505,"&lt;="&amp;$A98,実績!$AD$6:$AD$505,"&gt;"&amp;$A98,実績!$AE$6:$AE$505,"○")&gt;0,1,0))</f>
        <v/>
      </c>
      <c r="DL98">
        <f>IF(DL$4=0,0,IF(COUNTIFS(実績!$W$6:$W$505,DL$3,実績!$AC$6:$AC$505,"&lt;="&amp;$A98,実績!$AD$6:$AD$505,"&gt;"&amp;$A98,実績!$AE$6:$AE$505,"○")&gt;0,1,0))</f>
        <v/>
      </c>
      <c r="DM98">
        <f>IF(DM$4=0,0,IF(COUNTIFS(実績!$W$6:$W$505,DM$3,実績!$AC$6:$AC$505,"&lt;="&amp;$A98,実績!$AD$6:$AD$505,"&gt;"&amp;$A98,実績!$AE$6:$AE$505,"○")&gt;0,1,0))</f>
        <v/>
      </c>
      <c r="DN98">
        <f>IF(DN$4=0,0,IF(COUNTIFS(実績!$W$6:$W$505,DN$3,実績!$AC$6:$AC$505,"&lt;="&amp;$A98,実績!$AD$6:$AD$505,"&gt;"&amp;$A98,実績!$AE$6:$AE$505,"○")&gt;0,1,0))</f>
        <v/>
      </c>
      <c r="DO98">
        <f>IF(DO$4=0,0,IF(COUNTIFS(実績!$W$6:$W$505,DO$3,実績!$AC$6:$AC$505,"&lt;="&amp;$A98,実績!$AD$6:$AD$505,"&gt;"&amp;$A98,実績!$AE$6:$AE$505,"○")&gt;0,1,0))</f>
        <v/>
      </c>
      <c r="DP98">
        <f>IF(DP$4=0,0,IF(COUNTIFS(実績!$W$6:$W$505,DP$3,実績!$AC$6:$AC$505,"&lt;="&amp;$A98,実績!$AD$6:$AD$505,"&gt;"&amp;$A98,実績!$AE$6:$AE$505,"○")&gt;0,1,0))</f>
        <v/>
      </c>
      <c r="DQ98">
        <f>IF(DQ$4=0,0,IF(COUNTIFS(実績!$W$6:$W$505,DQ$3,実績!$AC$6:$AC$505,"&lt;="&amp;$A98,実績!$AD$6:$AD$505,"&gt;"&amp;$A98,実績!$AE$6:$AE$505,"○")&gt;0,1,0))</f>
        <v/>
      </c>
      <c r="DR98">
        <f>IF(DR$4=0,0,IF(COUNTIFS(実績!$W$6:$W$505,DR$3,実績!$AC$6:$AC$505,"&lt;="&amp;$A98,実績!$AD$6:$AD$505,"&gt;"&amp;$A98,実績!$AE$6:$AE$505,"○")&gt;0,1,0))</f>
        <v/>
      </c>
      <c r="DS98">
        <f>SUM(C98:DR98)</f>
        <v/>
      </c>
      <c r="DT98">
        <f>SUMPRODUCT((実績!$C$6:$C$505="○")*ISNUMBER(実績!$AF$6:$AF$505)*(実績!$AF$6:$AF$505&lt;=$A98)*(実績!$AG$6:$AG$505&gt;$A98))</f>
        <v/>
      </c>
      <c r="DU98">
        <f>SUMIF($C$2:$DR$2,"製鉄曳船",C98:DR98)</f>
        <v/>
      </c>
      <c r="DV98">
        <f>SUMIF($C$2:$DR$2,"西日本海運",C98:DR98)</f>
        <v/>
      </c>
    </row>
    <row r="99">
      <c r="A99" t="n">
        <v>465</v>
      </c>
      <c r="B99" s="29">
        <f>A99/1440</f>
        <v/>
      </c>
      <c r="C99">
        <f>IF(C$4=0,0,IF(COUNTIFS(実績!$W$6:$W$505,C$3,実績!$AC$6:$AC$505,"&lt;="&amp;$A99,実績!$AD$6:$AD$505,"&gt;"&amp;$A99,実績!$AE$6:$AE$505,"○")&gt;0,1,0))</f>
        <v/>
      </c>
      <c r="D99">
        <f>IF(D$4=0,0,IF(COUNTIFS(実績!$W$6:$W$505,D$3,実績!$AC$6:$AC$505,"&lt;="&amp;$A99,実績!$AD$6:$AD$505,"&gt;"&amp;$A99,実績!$AE$6:$AE$505,"○")&gt;0,1,0))</f>
        <v/>
      </c>
      <c r="E99">
        <f>IF(E$4=0,0,IF(COUNTIFS(実績!$W$6:$W$505,E$3,実績!$AC$6:$AC$505,"&lt;="&amp;$A99,実績!$AD$6:$AD$505,"&gt;"&amp;$A99,実績!$AE$6:$AE$505,"○")&gt;0,1,0))</f>
        <v/>
      </c>
      <c r="F99">
        <f>IF(F$4=0,0,IF(COUNTIFS(実績!$W$6:$W$505,F$3,実績!$AC$6:$AC$505,"&lt;="&amp;$A99,実績!$AD$6:$AD$505,"&gt;"&amp;$A99,実績!$AE$6:$AE$505,"○")&gt;0,1,0))</f>
        <v/>
      </c>
      <c r="G99">
        <f>IF(G$4=0,0,IF(COUNTIFS(実績!$W$6:$W$505,G$3,実績!$AC$6:$AC$505,"&lt;="&amp;$A99,実績!$AD$6:$AD$505,"&gt;"&amp;$A99,実績!$AE$6:$AE$505,"○")&gt;0,1,0))</f>
        <v/>
      </c>
      <c r="H99">
        <f>IF(H$4=0,0,IF(COUNTIFS(実績!$W$6:$W$505,H$3,実績!$AC$6:$AC$505,"&lt;="&amp;$A99,実績!$AD$6:$AD$505,"&gt;"&amp;$A99,実績!$AE$6:$AE$505,"○")&gt;0,1,0))</f>
        <v/>
      </c>
      <c r="I99">
        <f>IF(I$4=0,0,IF(COUNTIFS(実績!$W$6:$W$505,I$3,実績!$AC$6:$AC$505,"&lt;="&amp;$A99,実績!$AD$6:$AD$505,"&gt;"&amp;$A99,実績!$AE$6:$AE$505,"○")&gt;0,1,0))</f>
        <v/>
      </c>
      <c r="J99">
        <f>IF(J$4=0,0,IF(COUNTIFS(実績!$W$6:$W$505,J$3,実績!$AC$6:$AC$505,"&lt;="&amp;$A99,実績!$AD$6:$AD$505,"&gt;"&amp;$A99,実績!$AE$6:$AE$505,"○")&gt;0,1,0))</f>
        <v/>
      </c>
      <c r="K99">
        <f>IF(K$4=0,0,IF(COUNTIFS(実績!$W$6:$W$505,K$3,実績!$AC$6:$AC$505,"&lt;="&amp;$A99,実績!$AD$6:$AD$505,"&gt;"&amp;$A99,実績!$AE$6:$AE$505,"○")&gt;0,1,0))</f>
        <v/>
      </c>
      <c r="L99">
        <f>IF(L$4=0,0,IF(COUNTIFS(実績!$W$6:$W$505,L$3,実績!$AC$6:$AC$505,"&lt;="&amp;$A99,実績!$AD$6:$AD$505,"&gt;"&amp;$A99,実績!$AE$6:$AE$505,"○")&gt;0,1,0))</f>
        <v/>
      </c>
      <c r="M99">
        <f>IF(M$4=0,0,IF(COUNTIFS(実績!$W$6:$W$505,M$3,実績!$AC$6:$AC$505,"&lt;="&amp;$A99,実績!$AD$6:$AD$505,"&gt;"&amp;$A99,実績!$AE$6:$AE$505,"○")&gt;0,1,0))</f>
        <v/>
      </c>
      <c r="N99">
        <f>IF(N$4=0,0,IF(COUNTIFS(実績!$W$6:$W$505,N$3,実績!$AC$6:$AC$505,"&lt;="&amp;$A99,実績!$AD$6:$AD$505,"&gt;"&amp;$A99,実績!$AE$6:$AE$505,"○")&gt;0,1,0))</f>
        <v/>
      </c>
      <c r="O99">
        <f>IF(O$4=0,0,IF(COUNTIFS(実績!$W$6:$W$505,O$3,実績!$AC$6:$AC$505,"&lt;="&amp;$A99,実績!$AD$6:$AD$505,"&gt;"&amp;$A99,実績!$AE$6:$AE$505,"○")&gt;0,1,0))</f>
        <v/>
      </c>
      <c r="P99">
        <f>IF(P$4=0,0,IF(COUNTIFS(実績!$W$6:$W$505,P$3,実績!$AC$6:$AC$505,"&lt;="&amp;$A99,実績!$AD$6:$AD$505,"&gt;"&amp;$A99,実績!$AE$6:$AE$505,"○")&gt;0,1,0))</f>
        <v/>
      </c>
      <c r="Q99">
        <f>IF(Q$4=0,0,IF(COUNTIFS(実績!$W$6:$W$505,Q$3,実績!$AC$6:$AC$505,"&lt;="&amp;$A99,実績!$AD$6:$AD$505,"&gt;"&amp;$A99,実績!$AE$6:$AE$505,"○")&gt;0,1,0))</f>
        <v/>
      </c>
      <c r="R99">
        <f>IF(R$4=0,0,IF(COUNTIFS(実績!$W$6:$W$505,R$3,実績!$AC$6:$AC$505,"&lt;="&amp;$A99,実績!$AD$6:$AD$505,"&gt;"&amp;$A99,実績!$AE$6:$AE$505,"○")&gt;0,1,0))</f>
        <v/>
      </c>
      <c r="S99">
        <f>IF(S$4=0,0,IF(COUNTIFS(実績!$W$6:$W$505,S$3,実績!$AC$6:$AC$505,"&lt;="&amp;$A99,実績!$AD$6:$AD$505,"&gt;"&amp;$A99,実績!$AE$6:$AE$505,"○")&gt;0,1,0))</f>
        <v/>
      </c>
      <c r="T99">
        <f>IF(T$4=0,0,IF(COUNTIFS(実績!$W$6:$W$505,T$3,実績!$AC$6:$AC$505,"&lt;="&amp;$A99,実績!$AD$6:$AD$505,"&gt;"&amp;$A99,実績!$AE$6:$AE$505,"○")&gt;0,1,0))</f>
        <v/>
      </c>
      <c r="U99">
        <f>IF(U$4=0,0,IF(COUNTIFS(実績!$W$6:$W$505,U$3,実績!$AC$6:$AC$505,"&lt;="&amp;$A99,実績!$AD$6:$AD$505,"&gt;"&amp;$A99,実績!$AE$6:$AE$505,"○")&gt;0,1,0))</f>
        <v/>
      </c>
      <c r="V99">
        <f>IF(V$4=0,0,IF(COUNTIFS(実績!$W$6:$W$505,V$3,実績!$AC$6:$AC$505,"&lt;="&amp;$A99,実績!$AD$6:$AD$505,"&gt;"&amp;$A99,実績!$AE$6:$AE$505,"○")&gt;0,1,0))</f>
        <v/>
      </c>
      <c r="W99">
        <f>IF(W$4=0,0,IF(COUNTIFS(実績!$W$6:$W$505,W$3,実績!$AC$6:$AC$505,"&lt;="&amp;$A99,実績!$AD$6:$AD$505,"&gt;"&amp;$A99,実績!$AE$6:$AE$505,"○")&gt;0,1,0))</f>
        <v/>
      </c>
      <c r="X99">
        <f>IF(X$4=0,0,IF(COUNTIFS(実績!$W$6:$W$505,X$3,実績!$AC$6:$AC$505,"&lt;="&amp;$A99,実績!$AD$6:$AD$505,"&gt;"&amp;$A99,実績!$AE$6:$AE$505,"○")&gt;0,1,0))</f>
        <v/>
      </c>
      <c r="Y99">
        <f>IF(Y$4=0,0,IF(COUNTIFS(実績!$W$6:$W$505,Y$3,実績!$AC$6:$AC$505,"&lt;="&amp;$A99,実績!$AD$6:$AD$505,"&gt;"&amp;$A99,実績!$AE$6:$AE$505,"○")&gt;0,1,0))</f>
        <v/>
      </c>
      <c r="Z99">
        <f>IF(Z$4=0,0,IF(COUNTIFS(実績!$W$6:$W$505,Z$3,実績!$AC$6:$AC$505,"&lt;="&amp;$A99,実績!$AD$6:$AD$505,"&gt;"&amp;$A99,実績!$AE$6:$AE$505,"○")&gt;0,1,0))</f>
        <v/>
      </c>
      <c r="AA99">
        <f>IF(AA$4=0,0,IF(COUNTIFS(実績!$W$6:$W$505,AA$3,実績!$AC$6:$AC$505,"&lt;="&amp;$A99,実績!$AD$6:$AD$505,"&gt;"&amp;$A99,実績!$AE$6:$AE$505,"○")&gt;0,1,0))</f>
        <v/>
      </c>
      <c r="AB99">
        <f>IF(AB$4=0,0,IF(COUNTIFS(実績!$W$6:$W$505,AB$3,実績!$AC$6:$AC$505,"&lt;="&amp;$A99,実績!$AD$6:$AD$505,"&gt;"&amp;$A99,実績!$AE$6:$AE$505,"○")&gt;0,1,0))</f>
        <v/>
      </c>
      <c r="AC99">
        <f>IF(AC$4=0,0,IF(COUNTIFS(実績!$W$6:$W$505,AC$3,実績!$AC$6:$AC$505,"&lt;="&amp;$A99,実績!$AD$6:$AD$505,"&gt;"&amp;$A99,実績!$AE$6:$AE$505,"○")&gt;0,1,0))</f>
        <v/>
      </c>
      <c r="AD99">
        <f>IF(AD$4=0,0,IF(COUNTIFS(実績!$W$6:$W$505,AD$3,実績!$AC$6:$AC$505,"&lt;="&amp;$A99,実績!$AD$6:$AD$505,"&gt;"&amp;$A99,実績!$AE$6:$AE$505,"○")&gt;0,1,0))</f>
        <v/>
      </c>
      <c r="AE99">
        <f>IF(AE$4=0,0,IF(COUNTIFS(実績!$W$6:$W$505,AE$3,実績!$AC$6:$AC$505,"&lt;="&amp;$A99,実績!$AD$6:$AD$505,"&gt;"&amp;$A99,実績!$AE$6:$AE$505,"○")&gt;0,1,0))</f>
        <v/>
      </c>
      <c r="AF99">
        <f>IF(AF$4=0,0,IF(COUNTIFS(実績!$W$6:$W$505,AF$3,実績!$AC$6:$AC$505,"&lt;="&amp;$A99,実績!$AD$6:$AD$505,"&gt;"&amp;$A99,実績!$AE$6:$AE$505,"○")&gt;0,1,0))</f>
        <v/>
      </c>
      <c r="AG99">
        <f>IF(AG$4=0,0,IF(COUNTIFS(実績!$W$6:$W$505,AG$3,実績!$AC$6:$AC$505,"&lt;="&amp;$A99,実績!$AD$6:$AD$505,"&gt;"&amp;$A99,実績!$AE$6:$AE$505,"○")&gt;0,1,0))</f>
        <v/>
      </c>
      <c r="AH99">
        <f>IF(AH$4=0,0,IF(COUNTIFS(実績!$W$6:$W$505,AH$3,実績!$AC$6:$AC$505,"&lt;="&amp;$A99,実績!$AD$6:$AD$505,"&gt;"&amp;$A99,実績!$AE$6:$AE$505,"○")&gt;0,1,0))</f>
        <v/>
      </c>
      <c r="AI99">
        <f>IF(AI$4=0,0,IF(COUNTIFS(実績!$W$6:$W$505,AI$3,実績!$AC$6:$AC$505,"&lt;="&amp;$A99,実績!$AD$6:$AD$505,"&gt;"&amp;$A99,実績!$AE$6:$AE$505,"○")&gt;0,1,0))</f>
        <v/>
      </c>
      <c r="AJ99">
        <f>IF(AJ$4=0,0,IF(COUNTIFS(実績!$W$6:$W$505,AJ$3,実績!$AC$6:$AC$505,"&lt;="&amp;$A99,実績!$AD$6:$AD$505,"&gt;"&amp;$A99,実績!$AE$6:$AE$505,"○")&gt;0,1,0))</f>
        <v/>
      </c>
      <c r="AK99">
        <f>IF(AK$4=0,0,IF(COUNTIFS(実績!$W$6:$W$505,AK$3,実績!$AC$6:$AC$505,"&lt;="&amp;$A99,実績!$AD$6:$AD$505,"&gt;"&amp;$A99,実績!$AE$6:$AE$505,"○")&gt;0,1,0))</f>
        <v/>
      </c>
      <c r="AL99">
        <f>IF(AL$4=0,0,IF(COUNTIFS(実績!$W$6:$W$505,AL$3,実績!$AC$6:$AC$505,"&lt;="&amp;$A99,実績!$AD$6:$AD$505,"&gt;"&amp;$A99,実績!$AE$6:$AE$505,"○")&gt;0,1,0))</f>
        <v/>
      </c>
      <c r="AM99">
        <f>IF(AM$4=0,0,IF(COUNTIFS(実績!$W$6:$W$505,AM$3,実績!$AC$6:$AC$505,"&lt;="&amp;$A99,実績!$AD$6:$AD$505,"&gt;"&amp;$A99,実績!$AE$6:$AE$505,"○")&gt;0,1,0))</f>
        <v/>
      </c>
      <c r="AN99">
        <f>IF(AN$4=0,0,IF(COUNTIFS(実績!$W$6:$W$505,AN$3,実績!$AC$6:$AC$505,"&lt;="&amp;$A99,実績!$AD$6:$AD$505,"&gt;"&amp;$A99,実績!$AE$6:$AE$505,"○")&gt;0,1,0))</f>
        <v/>
      </c>
      <c r="AO99">
        <f>IF(AO$4=0,0,IF(COUNTIFS(実績!$W$6:$W$505,AO$3,実績!$AC$6:$AC$505,"&lt;="&amp;$A99,実績!$AD$6:$AD$505,"&gt;"&amp;$A99,実績!$AE$6:$AE$505,"○")&gt;0,1,0))</f>
        <v/>
      </c>
      <c r="AP99">
        <f>IF(AP$4=0,0,IF(COUNTIFS(実績!$W$6:$W$505,AP$3,実績!$AC$6:$AC$505,"&lt;="&amp;$A99,実績!$AD$6:$AD$505,"&gt;"&amp;$A99,実績!$AE$6:$AE$505,"○")&gt;0,1,0))</f>
        <v/>
      </c>
      <c r="AQ99">
        <f>IF(AQ$4=0,0,IF(COUNTIFS(実績!$W$6:$W$505,AQ$3,実績!$AC$6:$AC$505,"&lt;="&amp;$A99,実績!$AD$6:$AD$505,"&gt;"&amp;$A99,実績!$AE$6:$AE$505,"○")&gt;0,1,0))</f>
        <v/>
      </c>
      <c r="AR99">
        <f>IF(AR$4=0,0,IF(COUNTIFS(実績!$W$6:$W$505,AR$3,実績!$AC$6:$AC$505,"&lt;="&amp;$A99,実績!$AD$6:$AD$505,"&gt;"&amp;$A99,実績!$AE$6:$AE$505,"○")&gt;0,1,0))</f>
        <v/>
      </c>
      <c r="AS99">
        <f>IF(AS$4=0,0,IF(COUNTIFS(実績!$W$6:$W$505,AS$3,実績!$AC$6:$AC$505,"&lt;="&amp;$A99,実績!$AD$6:$AD$505,"&gt;"&amp;$A99,実績!$AE$6:$AE$505,"○")&gt;0,1,0))</f>
        <v/>
      </c>
      <c r="AT99">
        <f>IF(AT$4=0,0,IF(COUNTIFS(実績!$W$6:$W$505,AT$3,実績!$AC$6:$AC$505,"&lt;="&amp;$A99,実績!$AD$6:$AD$505,"&gt;"&amp;$A99,実績!$AE$6:$AE$505,"○")&gt;0,1,0))</f>
        <v/>
      </c>
      <c r="AU99">
        <f>IF(AU$4=0,0,IF(COUNTIFS(実績!$W$6:$W$505,AU$3,実績!$AC$6:$AC$505,"&lt;="&amp;$A99,実績!$AD$6:$AD$505,"&gt;"&amp;$A99,実績!$AE$6:$AE$505,"○")&gt;0,1,0))</f>
        <v/>
      </c>
      <c r="AV99">
        <f>IF(AV$4=0,0,IF(COUNTIFS(実績!$W$6:$W$505,AV$3,実績!$AC$6:$AC$505,"&lt;="&amp;$A99,実績!$AD$6:$AD$505,"&gt;"&amp;$A99,実績!$AE$6:$AE$505,"○")&gt;0,1,0))</f>
        <v/>
      </c>
      <c r="AW99">
        <f>IF(AW$4=0,0,IF(COUNTIFS(実績!$W$6:$W$505,AW$3,実績!$AC$6:$AC$505,"&lt;="&amp;$A99,実績!$AD$6:$AD$505,"&gt;"&amp;$A99,実績!$AE$6:$AE$505,"○")&gt;0,1,0))</f>
        <v/>
      </c>
      <c r="AX99">
        <f>IF(AX$4=0,0,IF(COUNTIFS(実績!$W$6:$W$505,AX$3,実績!$AC$6:$AC$505,"&lt;="&amp;$A99,実績!$AD$6:$AD$505,"&gt;"&amp;$A99,実績!$AE$6:$AE$505,"○")&gt;0,1,0))</f>
        <v/>
      </c>
      <c r="AY99">
        <f>IF(AY$4=0,0,IF(COUNTIFS(実績!$W$6:$W$505,AY$3,実績!$AC$6:$AC$505,"&lt;="&amp;$A99,実績!$AD$6:$AD$505,"&gt;"&amp;$A99,実績!$AE$6:$AE$505,"○")&gt;0,1,0))</f>
        <v/>
      </c>
      <c r="AZ99">
        <f>IF(AZ$4=0,0,IF(COUNTIFS(実績!$W$6:$W$505,AZ$3,実績!$AC$6:$AC$505,"&lt;="&amp;$A99,実績!$AD$6:$AD$505,"&gt;"&amp;$A99,実績!$AE$6:$AE$505,"○")&gt;0,1,0))</f>
        <v/>
      </c>
      <c r="BA99">
        <f>IF(BA$4=0,0,IF(COUNTIFS(実績!$W$6:$W$505,BA$3,実績!$AC$6:$AC$505,"&lt;="&amp;$A99,実績!$AD$6:$AD$505,"&gt;"&amp;$A99,実績!$AE$6:$AE$505,"○")&gt;0,1,0))</f>
        <v/>
      </c>
      <c r="BB99">
        <f>IF(BB$4=0,0,IF(COUNTIFS(実績!$W$6:$W$505,BB$3,実績!$AC$6:$AC$505,"&lt;="&amp;$A99,実績!$AD$6:$AD$505,"&gt;"&amp;$A99,実績!$AE$6:$AE$505,"○")&gt;0,1,0))</f>
        <v/>
      </c>
      <c r="BC99">
        <f>IF(BC$4=0,0,IF(COUNTIFS(実績!$W$6:$W$505,BC$3,実績!$AC$6:$AC$505,"&lt;="&amp;$A99,実績!$AD$6:$AD$505,"&gt;"&amp;$A99,実績!$AE$6:$AE$505,"○")&gt;0,1,0))</f>
        <v/>
      </c>
      <c r="BD99">
        <f>IF(BD$4=0,0,IF(COUNTIFS(実績!$W$6:$W$505,BD$3,実績!$AC$6:$AC$505,"&lt;="&amp;$A99,実績!$AD$6:$AD$505,"&gt;"&amp;$A99,実績!$AE$6:$AE$505,"○")&gt;0,1,0))</f>
        <v/>
      </c>
      <c r="BE99">
        <f>IF(BE$4=0,0,IF(COUNTIFS(実績!$W$6:$W$505,BE$3,実績!$AC$6:$AC$505,"&lt;="&amp;$A99,実績!$AD$6:$AD$505,"&gt;"&amp;$A99,実績!$AE$6:$AE$505,"○")&gt;0,1,0))</f>
        <v/>
      </c>
      <c r="BF99">
        <f>IF(BF$4=0,0,IF(COUNTIFS(実績!$W$6:$W$505,BF$3,実績!$AC$6:$AC$505,"&lt;="&amp;$A99,実績!$AD$6:$AD$505,"&gt;"&amp;$A99,実績!$AE$6:$AE$505,"○")&gt;0,1,0))</f>
        <v/>
      </c>
      <c r="BG99">
        <f>IF(BG$4=0,0,IF(COUNTIFS(実績!$W$6:$W$505,BG$3,実績!$AC$6:$AC$505,"&lt;="&amp;$A99,実績!$AD$6:$AD$505,"&gt;"&amp;$A99,実績!$AE$6:$AE$505,"○")&gt;0,1,0))</f>
        <v/>
      </c>
      <c r="BH99">
        <f>IF(BH$4=0,0,IF(COUNTIFS(実績!$W$6:$W$505,BH$3,実績!$AC$6:$AC$505,"&lt;="&amp;$A99,実績!$AD$6:$AD$505,"&gt;"&amp;$A99,実績!$AE$6:$AE$505,"○")&gt;0,1,0))</f>
        <v/>
      </c>
      <c r="BI99">
        <f>IF(BI$4=0,0,IF(COUNTIFS(実績!$W$6:$W$505,BI$3,実績!$AC$6:$AC$505,"&lt;="&amp;$A99,実績!$AD$6:$AD$505,"&gt;"&amp;$A99,実績!$AE$6:$AE$505,"○")&gt;0,1,0))</f>
        <v/>
      </c>
      <c r="BJ99">
        <f>IF(BJ$4=0,0,IF(COUNTIFS(実績!$W$6:$W$505,BJ$3,実績!$AC$6:$AC$505,"&lt;="&amp;$A99,実績!$AD$6:$AD$505,"&gt;"&amp;$A99,実績!$AE$6:$AE$505,"○")&gt;0,1,0))</f>
        <v/>
      </c>
      <c r="BK99">
        <f>IF(BK$4=0,0,IF(COUNTIFS(実績!$W$6:$W$505,BK$3,実績!$AC$6:$AC$505,"&lt;="&amp;$A99,実績!$AD$6:$AD$505,"&gt;"&amp;$A99,実績!$AE$6:$AE$505,"○")&gt;0,1,0))</f>
        <v/>
      </c>
      <c r="BL99">
        <f>IF(BL$4=0,0,IF(COUNTIFS(実績!$W$6:$W$505,BL$3,実績!$AC$6:$AC$505,"&lt;="&amp;$A99,実績!$AD$6:$AD$505,"&gt;"&amp;$A99,実績!$AE$6:$AE$505,"○")&gt;0,1,0))</f>
        <v/>
      </c>
      <c r="BM99">
        <f>IF(BM$4=0,0,IF(COUNTIFS(実績!$W$6:$W$505,BM$3,実績!$AC$6:$AC$505,"&lt;="&amp;$A99,実績!$AD$6:$AD$505,"&gt;"&amp;$A99,実績!$AE$6:$AE$505,"○")&gt;0,1,0))</f>
        <v/>
      </c>
      <c r="BN99">
        <f>IF(BN$4=0,0,IF(COUNTIFS(実績!$W$6:$W$505,BN$3,実績!$AC$6:$AC$505,"&lt;="&amp;$A99,実績!$AD$6:$AD$505,"&gt;"&amp;$A99,実績!$AE$6:$AE$505,"○")&gt;0,1,0))</f>
        <v/>
      </c>
      <c r="BO99">
        <f>IF(BO$4=0,0,IF(COUNTIFS(実績!$W$6:$W$505,BO$3,実績!$AC$6:$AC$505,"&lt;="&amp;$A99,実績!$AD$6:$AD$505,"&gt;"&amp;$A99,実績!$AE$6:$AE$505,"○")&gt;0,1,0))</f>
        <v/>
      </c>
      <c r="BP99">
        <f>IF(BP$4=0,0,IF(COUNTIFS(実績!$W$6:$W$505,BP$3,実績!$AC$6:$AC$505,"&lt;="&amp;$A99,実績!$AD$6:$AD$505,"&gt;"&amp;$A99,実績!$AE$6:$AE$505,"○")&gt;0,1,0))</f>
        <v/>
      </c>
      <c r="BQ99">
        <f>IF(BQ$4=0,0,IF(COUNTIFS(実績!$W$6:$W$505,BQ$3,実績!$AC$6:$AC$505,"&lt;="&amp;$A99,実績!$AD$6:$AD$505,"&gt;"&amp;$A99,実績!$AE$6:$AE$505,"○")&gt;0,1,0))</f>
        <v/>
      </c>
      <c r="BR99">
        <f>IF(BR$4=0,0,IF(COUNTIFS(実績!$W$6:$W$505,BR$3,実績!$AC$6:$AC$505,"&lt;="&amp;$A99,実績!$AD$6:$AD$505,"&gt;"&amp;$A99,実績!$AE$6:$AE$505,"○")&gt;0,1,0))</f>
        <v/>
      </c>
      <c r="BS99">
        <f>IF(BS$4=0,0,IF(COUNTIFS(実績!$W$6:$W$505,BS$3,実績!$AC$6:$AC$505,"&lt;="&amp;$A99,実績!$AD$6:$AD$505,"&gt;"&amp;$A99,実績!$AE$6:$AE$505,"○")&gt;0,1,0))</f>
        <v/>
      </c>
      <c r="BT99">
        <f>IF(BT$4=0,0,IF(COUNTIFS(実績!$W$6:$W$505,BT$3,実績!$AC$6:$AC$505,"&lt;="&amp;$A99,実績!$AD$6:$AD$505,"&gt;"&amp;$A99,実績!$AE$6:$AE$505,"○")&gt;0,1,0))</f>
        <v/>
      </c>
      <c r="BU99">
        <f>IF(BU$4=0,0,IF(COUNTIFS(実績!$W$6:$W$505,BU$3,実績!$AC$6:$AC$505,"&lt;="&amp;$A99,実績!$AD$6:$AD$505,"&gt;"&amp;$A99,実績!$AE$6:$AE$505,"○")&gt;0,1,0))</f>
        <v/>
      </c>
      <c r="BV99">
        <f>IF(BV$4=0,0,IF(COUNTIFS(実績!$W$6:$W$505,BV$3,実績!$AC$6:$AC$505,"&lt;="&amp;$A99,実績!$AD$6:$AD$505,"&gt;"&amp;$A99,実績!$AE$6:$AE$505,"○")&gt;0,1,0))</f>
        <v/>
      </c>
      <c r="BW99">
        <f>IF(BW$4=0,0,IF(COUNTIFS(実績!$W$6:$W$505,BW$3,実績!$AC$6:$AC$505,"&lt;="&amp;$A99,実績!$AD$6:$AD$505,"&gt;"&amp;$A99,実績!$AE$6:$AE$505,"○")&gt;0,1,0))</f>
        <v/>
      </c>
      <c r="BX99">
        <f>IF(BX$4=0,0,IF(COUNTIFS(実績!$W$6:$W$505,BX$3,実績!$AC$6:$AC$505,"&lt;="&amp;$A99,実績!$AD$6:$AD$505,"&gt;"&amp;$A99,実績!$AE$6:$AE$505,"○")&gt;0,1,0))</f>
        <v/>
      </c>
      <c r="BY99">
        <f>IF(BY$4=0,0,IF(COUNTIFS(実績!$W$6:$W$505,BY$3,実績!$AC$6:$AC$505,"&lt;="&amp;$A99,実績!$AD$6:$AD$505,"&gt;"&amp;$A99,実績!$AE$6:$AE$505,"○")&gt;0,1,0))</f>
        <v/>
      </c>
      <c r="BZ99">
        <f>IF(BZ$4=0,0,IF(COUNTIFS(実績!$W$6:$W$505,BZ$3,実績!$AC$6:$AC$505,"&lt;="&amp;$A99,実績!$AD$6:$AD$505,"&gt;"&amp;$A99,実績!$AE$6:$AE$505,"○")&gt;0,1,0))</f>
        <v/>
      </c>
      <c r="CA99">
        <f>IF(CA$4=0,0,IF(COUNTIFS(実績!$W$6:$W$505,CA$3,実績!$AC$6:$AC$505,"&lt;="&amp;$A99,実績!$AD$6:$AD$505,"&gt;"&amp;$A99,実績!$AE$6:$AE$505,"○")&gt;0,1,0))</f>
        <v/>
      </c>
      <c r="CB99">
        <f>IF(CB$4=0,0,IF(COUNTIFS(実績!$W$6:$W$505,CB$3,実績!$AC$6:$AC$505,"&lt;="&amp;$A99,実績!$AD$6:$AD$505,"&gt;"&amp;$A99,実績!$AE$6:$AE$505,"○")&gt;0,1,0))</f>
        <v/>
      </c>
      <c r="CC99">
        <f>IF(CC$4=0,0,IF(COUNTIFS(実績!$W$6:$W$505,CC$3,実績!$AC$6:$AC$505,"&lt;="&amp;$A99,実績!$AD$6:$AD$505,"&gt;"&amp;$A99,実績!$AE$6:$AE$505,"○")&gt;0,1,0))</f>
        <v/>
      </c>
      <c r="CD99">
        <f>IF(CD$4=0,0,IF(COUNTIFS(実績!$W$6:$W$505,CD$3,実績!$AC$6:$AC$505,"&lt;="&amp;$A99,実績!$AD$6:$AD$505,"&gt;"&amp;$A99,実績!$AE$6:$AE$505,"○")&gt;0,1,0))</f>
        <v/>
      </c>
      <c r="CE99">
        <f>IF(CE$4=0,0,IF(COUNTIFS(実績!$W$6:$W$505,CE$3,実績!$AC$6:$AC$505,"&lt;="&amp;$A99,実績!$AD$6:$AD$505,"&gt;"&amp;$A99,実績!$AE$6:$AE$505,"○")&gt;0,1,0))</f>
        <v/>
      </c>
      <c r="CF99">
        <f>IF(CF$4=0,0,IF(COUNTIFS(実績!$W$6:$W$505,CF$3,実績!$AC$6:$AC$505,"&lt;="&amp;$A99,実績!$AD$6:$AD$505,"&gt;"&amp;$A99,実績!$AE$6:$AE$505,"○")&gt;0,1,0))</f>
        <v/>
      </c>
      <c r="CG99">
        <f>IF(CG$4=0,0,IF(COUNTIFS(実績!$W$6:$W$505,CG$3,実績!$AC$6:$AC$505,"&lt;="&amp;$A99,実績!$AD$6:$AD$505,"&gt;"&amp;$A99,実績!$AE$6:$AE$505,"○")&gt;0,1,0))</f>
        <v/>
      </c>
      <c r="CH99">
        <f>IF(CH$4=0,0,IF(COUNTIFS(実績!$W$6:$W$505,CH$3,実績!$AC$6:$AC$505,"&lt;="&amp;$A99,実績!$AD$6:$AD$505,"&gt;"&amp;$A99,実績!$AE$6:$AE$505,"○")&gt;0,1,0))</f>
        <v/>
      </c>
      <c r="CI99">
        <f>IF(CI$4=0,0,IF(COUNTIFS(実績!$W$6:$W$505,CI$3,実績!$AC$6:$AC$505,"&lt;="&amp;$A99,実績!$AD$6:$AD$505,"&gt;"&amp;$A99,実績!$AE$6:$AE$505,"○")&gt;0,1,0))</f>
        <v/>
      </c>
      <c r="CJ99">
        <f>IF(CJ$4=0,0,IF(COUNTIFS(実績!$W$6:$W$505,CJ$3,実績!$AC$6:$AC$505,"&lt;="&amp;$A99,実績!$AD$6:$AD$505,"&gt;"&amp;$A99,実績!$AE$6:$AE$505,"○")&gt;0,1,0))</f>
        <v/>
      </c>
      <c r="CK99">
        <f>IF(CK$4=0,0,IF(COUNTIFS(実績!$W$6:$W$505,CK$3,実績!$AC$6:$AC$505,"&lt;="&amp;$A99,実績!$AD$6:$AD$505,"&gt;"&amp;$A99,実績!$AE$6:$AE$505,"○")&gt;0,1,0))</f>
        <v/>
      </c>
      <c r="CL99">
        <f>IF(CL$4=0,0,IF(COUNTIFS(実績!$W$6:$W$505,CL$3,実績!$AC$6:$AC$505,"&lt;="&amp;$A99,実績!$AD$6:$AD$505,"&gt;"&amp;$A99,実績!$AE$6:$AE$505,"○")&gt;0,1,0))</f>
        <v/>
      </c>
      <c r="CM99">
        <f>IF(CM$4=0,0,IF(COUNTIFS(実績!$W$6:$W$505,CM$3,実績!$AC$6:$AC$505,"&lt;="&amp;$A99,実績!$AD$6:$AD$505,"&gt;"&amp;$A99,実績!$AE$6:$AE$505,"○")&gt;0,1,0))</f>
        <v/>
      </c>
      <c r="CN99">
        <f>IF(CN$4=0,0,IF(COUNTIFS(実績!$W$6:$W$505,CN$3,実績!$AC$6:$AC$505,"&lt;="&amp;$A99,実績!$AD$6:$AD$505,"&gt;"&amp;$A99,実績!$AE$6:$AE$505,"○")&gt;0,1,0))</f>
        <v/>
      </c>
      <c r="CO99">
        <f>IF(CO$4=0,0,IF(COUNTIFS(実績!$W$6:$W$505,CO$3,実績!$AC$6:$AC$505,"&lt;="&amp;$A99,実績!$AD$6:$AD$505,"&gt;"&amp;$A99,実績!$AE$6:$AE$505,"○")&gt;0,1,0))</f>
        <v/>
      </c>
      <c r="CP99">
        <f>IF(CP$4=0,0,IF(COUNTIFS(実績!$W$6:$W$505,CP$3,実績!$AC$6:$AC$505,"&lt;="&amp;$A99,実績!$AD$6:$AD$505,"&gt;"&amp;$A99,実績!$AE$6:$AE$505,"○")&gt;0,1,0))</f>
        <v/>
      </c>
      <c r="CQ99">
        <f>IF(CQ$4=0,0,IF(COUNTIFS(実績!$W$6:$W$505,CQ$3,実績!$AC$6:$AC$505,"&lt;="&amp;$A99,実績!$AD$6:$AD$505,"&gt;"&amp;$A99,実績!$AE$6:$AE$505,"○")&gt;0,1,0))</f>
        <v/>
      </c>
      <c r="CR99">
        <f>IF(CR$4=0,0,IF(COUNTIFS(実績!$W$6:$W$505,CR$3,実績!$AC$6:$AC$505,"&lt;="&amp;$A99,実績!$AD$6:$AD$505,"&gt;"&amp;$A99,実績!$AE$6:$AE$505,"○")&gt;0,1,0))</f>
        <v/>
      </c>
      <c r="CS99">
        <f>IF(CS$4=0,0,IF(COUNTIFS(実績!$W$6:$W$505,CS$3,実績!$AC$6:$AC$505,"&lt;="&amp;$A99,実績!$AD$6:$AD$505,"&gt;"&amp;$A99,実績!$AE$6:$AE$505,"○")&gt;0,1,0))</f>
        <v/>
      </c>
      <c r="CT99">
        <f>IF(CT$4=0,0,IF(COUNTIFS(実績!$W$6:$W$505,CT$3,実績!$AC$6:$AC$505,"&lt;="&amp;$A99,実績!$AD$6:$AD$505,"&gt;"&amp;$A99,実績!$AE$6:$AE$505,"○")&gt;0,1,0))</f>
        <v/>
      </c>
      <c r="CU99">
        <f>IF(CU$4=0,0,IF(COUNTIFS(実績!$W$6:$W$505,CU$3,実績!$AC$6:$AC$505,"&lt;="&amp;$A99,実績!$AD$6:$AD$505,"&gt;"&amp;$A99,実績!$AE$6:$AE$505,"○")&gt;0,1,0))</f>
        <v/>
      </c>
      <c r="CV99">
        <f>IF(CV$4=0,0,IF(COUNTIFS(実績!$W$6:$W$505,CV$3,実績!$AC$6:$AC$505,"&lt;="&amp;$A99,実績!$AD$6:$AD$505,"&gt;"&amp;$A99,実績!$AE$6:$AE$505,"○")&gt;0,1,0))</f>
        <v/>
      </c>
      <c r="CW99">
        <f>IF(CW$4=0,0,IF(COUNTIFS(実績!$W$6:$W$505,CW$3,実績!$AC$6:$AC$505,"&lt;="&amp;$A99,実績!$AD$6:$AD$505,"&gt;"&amp;$A99,実績!$AE$6:$AE$505,"○")&gt;0,1,0))</f>
        <v/>
      </c>
      <c r="CX99">
        <f>IF(CX$4=0,0,IF(COUNTIFS(実績!$W$6:$W$505,CX$3,実績!$AC$6:$AC$505,"&lt;="&amp;$A99,実績!$AD$6:$AD$505,"&gt;"&amp;$A99,実績!$AE$6:$AE$505,"○")&gt;0,1,0))</f>
        <v/>
      </c>
      <c r="CY99">
        <f>IF(CY$4=0,0,IF(COUNTIFS(実績!$W$6:$W$505,CY$3,実績!$AC$6:$AC$505,"&lt;="&amp;$A99,実績!$AD$6:$AD$505,"&gt;"&amp;$A99,実績!$AE$6:$AE$505,"○")&gt;0,1,0))</f>
        <v/>
      </c>
      <c r="CZ99">
        <f>IF(CZ$4=0,0,IF(COUNTIFS(実績!$W$6:$W$505,CZ$3,実績!$AC$6:$AC$505,"&lt;="&amp;$A99,実績!$AD$6:$AD$505,"&gt;"&amp;$A99,実績!$AE$6:$AE$505,"○")&gt;0,1,0))</f>
        <v/>
      </c>
      <c r="DA99">
        <f>IF(DA$4=0,0,IF(COUNTIFS(実績!$W$6:$W$505,DA$3,実績!$AC$6:$AC$505,"&lt;="&amp;$A99,実績!$AD$6:$AD$505,"&gt;"&amp;$A99,実績!$AE$6:$AE$505,"○")&gt;0,1,0))</f>
        <v/>
      </c>
      <c r="DB99">
        <f>IF(DB$4=0,0,IF(COUNTIFS(実績!$W$6:$W$505,DB$3,実績!$AC$6:$AC$505,"&lt;="&amp;$A99,実績!$AD$6:$AD$505,"&gt;"&amp;$A99,実績!$AE$6:$AE$505,"○")&gt;0,1,0))</f>
        <v/>
      </c>
      <c r="DC99">
        <f>IF(DC$4=0,0,IF(COUNTIFS(実績!$W$6:$W$505,DC$3,実績!$AC$6:$AC$505,"&lt;="&amp;$A99,実績!$AD$6:$AD$505,"&gt;"&amp;$A99,実績!$AE$6:$AE$505,"○")&gt;0,1,0))</f>
        <v/>
      </c>
      <c r="DD99">
        <f>IF(DD$4=0,0,IF(COUNTIFS(実績!$W$6:$W$505,DD$3,実績!$AC$6:$AC$505,"&lt;="&amp;$A99,実績!$AD$6:$AD$505,"&gt;"&amp;$A99,実績!$AE$6:$AE$505,"○")&gt;0,1,0))</f>
        <v/>
      </c>
      <c r="DE99">
        <f>IF(DE$4=0,0,IF(COUNTIFS(実績!$W$6:$W$505,DE$3,実績!$AC$6:$AC$505,"&lt;="&amp;$A99,実績!$AD$6:$AD$505,"&gt;"&amp;$A99,実績!$AE$6:$AE$505,"○")&gt;0,1,0))</f>
        <v/>
      </c>
      <c r="DF99">
        <f>IF(DF$4=0,0,IF(COUNTIFS(実績!$W$6:$W$505,DF$3,実績!$AC$6:$AC$505,"&lt;="&amp;$A99,実績!$AD$6:$AD$505,"&gt;"&amp;$A99,実績!$AE$6:$AE$505,"○")&gt;0,1,0))</f>
        <v/>
      </c>
      <c r="DG99">
        <f>IF(DG$4=0,0,IF(COUNTIFS(実績!$W$6:$W$505,DG$3,実績!$AC$6:$AC$505,"&lt;="&amp;$A99,実績!$AD$6:$AD$505,"&gt;"&amp;$A99,実績!$AE$6:$AE$505,"○")&gt;0,1,0))</f>
        <v/>
      </c>
      <c r="DH99">
        <f>IF(DH$4=0,0,IF(COUNTIFS(実績!$W$6:$W$505,DH$3,実績!$AC$6:$AC$505,"&lt;="&amp;$A99,実績!$AD$6:$AD$505,"&gt;"&amp;$A99,実績!$AE$6:$AE$505,"○")&gt;0,1,0))</f>
        <v/>
      </c>
      <c r="DI99">
        <f>IF(DI$4=0,0,IF(COUNTIFS(実績!$W$6:$W$505,DI$3,実績!$AC$6:$AC$505,"&lt;="&amp;$A99,実績!$AD$6:$AD$505,"&gt;"&amp;$A99,実績!$AE$6:$AE$505,"○")&gt;0,1,0))</f>
        <v/>
      </c>
      <c r="DJ99">
        <f>IF(DJ$4=0,0,IF(COUNTIFS(実績!$W$6:$W$505,DJ$3,実績!$AC$6:$AC$505,"&lt;="&amp;$A99,実績!$AD$6:$AD$505,"&gt;"&amp;$A99,実績!$AE$6:$AE$505,"○")&gt;0,1,0))</f>
        <v/>
      </c>
      <c r="DK99">
        <f>IF(DK$4=0,0,IF(COUNTIFS(実績!$W$6:$W$505,DK$3,実績!$AC$6:$AC$505,"&lt;="&amp;$A99,実績!$AD$6:$AD$505,"&gt;"&amp;$A99,実績!$AE$6:$AE$505,"○")&gt;0,1,0))</f>
        <v/>
      </c>
      <c r="DL99">
        <f>IF(DL$4=0,0,IF(COUNTIFS(実績!$W$6:$W$505,DL$3,実績!$AC$6:$AC$505,"&lt;="&amp;$A99,実績!$AD$6:$AD$505,"&gt;"&amp;$A99,実績!$AE$6:$AE$505,"○")&gt;0,1,0))</f>
        <v/>
      </c>
      <c r="DM99">
        <f>IF(DM$4=0,0,IF(COUNTIFS(実績!$W$6:$W$505,DM$3,実績!$AC$6:$AC$505,"&lt;="&amp;$A99,実績!$AD$6:$AD$505,"&gt;"&amp;$A99,実績!$AE$6:$AE$505,"○")&gt;0,1,0))</f>
        <v/>
      </c>
      <c r="DN99">
        <f>IF(DN$4=0,0,IF(COUNTIFS(実績!$W$6:$W$505,DN$3,実績!$AC$6:$AC$505,"&lt;="&amp;$A99,実績!$AD$6:$AD$505,"&gt;"&amp;$A99,実績!$AE$6:$AE$505,"○")&gt;0,1,0))</f>
        <v/>
      </c>
      <c r="DO99">
        <f>IF(DO$4=0,0,IF(COUNTIFS(実績!$W$6:$W$505,DO$3,実績!$AC$6:$AC$505,"&lt;="&amp;$A99,実績!$AD$6:$AD$505,"&gt;"&amp;$A99,実績!$AE$6:$AE$505,"○")&gt;0,1,0))</f>
        <v/>
      </c>
      <c r="DP99">
        <f>IF(DP$4=0,0,IF(COUNTIFS(実績!$W$6:$W$505,DP$3,実績!$AC$6:$AC$505,"&lt;="&amp;$A99,実績!$AD$6:$AD$505,"&gt;"&amp;$A99,実績!$AE$6:$AE$505,"○")&gt;0,1,0))</f>
        <v/>
      </c>
      <c r="DQ99">
        <f>IF(DQ$4=0,0,IF(COUNTIFS(実績!$W$6:$W$505,DQ$3,実績!$AC$6:$AC$505,"&lt;="&amp;$A99,実績!$AD$6:$AD$505,"&gt;"&amp;$A99,実績!$AE$6:$AE$505,"○")&gt;0,1,0))</f>
        <v/>
      </c>
      <c r="DR99">
        <f>IF(DR$4=0,0,IF(COUNTIFS(実績!$W$6:$W$505,DR$3,実績!$AC$6:$AC$505,"&lt;="&amp;$A99,実績!$AD$6:$AD$505,"&gt;"&amp;$A99,実績!$AE$6:$AE$505,"○")&gt;0,1,0))</f>
        <v/>
      </c>
      <c r="DS99">
        <f>SUM(C99:DR99)</f>
        <v/>
      </c>
      <c r="DT99">
        <f>SUMPRODUCT((実績!$C$6:$C$505="○")*ISNUMBER(実績!$AF$6:$AF$505)*(実績!$AF$6:$AF$505&lt;=$A99)*(実績!$AG$6:$AG$505&gt;$A99))</f>
        <v/>
      </c>
      <c r="DU99">
        <f>SUMIF($C$2:$DR$2,"製鉄曳船",C99:DR99)</f>
        <v/>
      </c>
      <c r="DV99">
        <f>SUMIF($C$2:$DR$2,"西日本海運",C99:DR99)</f>
        <v/>
      </c>
    </row>
    <row r="100">
      <c r="A100" t="n">
        <v>470</v>
      </c>
      <c r="B100" s="29">
        <f>A100/1440</f>
        <v/>
      </c>
      <c r="C100">
        <f>IF(C$4=0,0,IF(COUNTIFS(実績!$W$6:$W$505,C$3,実績!$AC$6:$AC$505,"&lt;="&amp;$A100,実績!$AD$6:$AD$505,"&gt;"&amp;$A100,実績!$AE$6:$AE$505,"○")&gt;0,1,0))</f>
        <v/>
      </c>
      <c r="D100">
        <f>IF(D$4=0,0,IF(COUNTIFS(実績!$W$6:$W$505,D$3,実績!$AC$6:$AC$505,"&lt;="&amp;$A100,実績!$AD$6:$AD$505,"&gt;"&amp;$A100,実績!$AE$6:$AE$505,"○")&gt;0,1,0))</f>
        <v/>
      </c>
      <c r="E100">
        <f>IF(E$4=0,0,IF(COUNTIFS(実績!$W$6:$W$505,E$3,実績!$AC$6:$AC$505,"&lt;="&amp;$A100,実績!$AD$6:$AD$505,"&gt;"&amp;$A100,実績!$AE$6:$AE$505,"○")&gt;0,1,0))</f>
        <v/>
      </c>
      <c r="F100">
        <f>IF(F$4=0,0,IF(COUNTIFS(実績!$W$6:$W$505,F$3,実績!$AC$6:$AC$505,"&lt;="&amp;$A100,実績!$AD$6:$AD$505,"&gt;"&amp;$A100,実績!$AE$6:$AE$505,"○")&gt;0,1,0))</f>
        <v/>
      </c>
      <c r="G100">
        <f>IF(G$4=0,0,IF(COUNTIFS(実績!$W$6:$W$505,G$3,実績!$AC$6:$AC$505,"&lt;="&amp;$A100,実績!$AD$6:$AD$505,"&gt;"&amp;$A100,実績!$AE$6:$AE$505,"○")&gt;0,1,0))</f>
        <v/>
      </c>
      <c r="H100">
        <f>IF(H$4=0,0,IF(COUNTIFS(実績!$W$6:$W$505,H$3,実績!$AC$6:$AC$505,"&lt;="&amp;$A100,実績!$AD$6:$AD$505,"&gt;"&amp;$A100,実績!$AE$6:$AE$505,"○")&gt;0,1,0))</f>
        <v/>
      </c>
      <c r="I100">
        <f>IF(I$4=0,0,IF(COUNTIFS(実績!$W$6:$W$505,I$3,実績!$AC$6:$AC$505,"&lt;="&amp;$A100,実績!$AD$6:$AD$505,"&gt;"&amp;$A100,実績!$AE$6:$AE$505,"○")&gt;0,1,0))</f>
        <v/>
      </c>
      <c r="J100">
        <f>IF(J$4=0,0,IF(COUNTIFS(実績!$W$6:$W$505,J$3,実績!$AC$6:$AC$505,"&lt;="&amp;$A100,実績!$AD$6:$AD$505,"&gt;"&amp;$A100,実績!$AE$6:$AE$505,"○")&gt;0,1,0))</f>
        <v/>
      </c>
      <c r="K100">
        <f>IF(K$4=0,0,IF(COUNTIFS(実績!$W$6:$W$505,K$3,実績!$AC$6:$AC$505,"&lt;="&amp;$A100,実績!$AD$6:$AD$505,"&gt;"&amp;$A100,実績!$AE$6:$AE$505,"○")&gt;0,1,0))</f>
        <v/>
      </c>
      <c r="L100">
        <f>IF(L$4=0,0,IF(COUNTIFS(実績!$W$6:$W$505,L$3,実績!$AC$6:$AC$505,"&lt;="&amp;$A100,実績!$AD$6:$AD$505,"&gt;"&amp;$A100,実績!$AE$6:$AE$505,"○")&gt;0,1,0))</f>
        <v/>
      </c>
      <c r="M100">
        <f>IF(M$4=0,0,IF(COUNTIFS(実績!$W$6:$W$505,M$3,実績!$AC$6:$AC$505,"&lt;="&amp;$A100,実績!$AD$6:$AD$505,"&gt;"&amp;$A100,実績!$AE$6:$AE$505,"○")&gt;0,1,0))</f>
        <v/>
      </c>
      <c r="N100">
        <f>IF(N$4=0,0,IF(COUNTIFS(実績!$W$6:$W$505,N$3,実績!$AC$6:$AC$505,"&lt;="&amp;$A100,実績!$AD$6:$AD$505,"&gt;"&amp;$A100,実績!$AE$6:$AE$505,"○")&gt;0,1,0))</f>
        <v/>
      </c>
      <c r="O100">
        <f>IF(O$4=0,0,IF(COUNTIFS(実績!$W$6:$W$505,O$3,実績!$AC$6:$AC$505,"&lt;="&amp;$A100,実績!$AD$6:$AD$505,"&gt;"&amp;$A100,実績!$AE$6:$AE$505,"○")&gt;0,1,0))</f>
        <v/>
      </c>
      <c r="P100">
        <f>IF(P$4=0,0,IF(COUNTIFS(実績!$W$6:$W$505,P$3,実績!$AC$6:$AC$505,"&lt;="&amp;$A100,実績!$AD$6:$AD$505,"&gt;"&amp;$A100,実績!$AE$6:$AE$505,"○")&gt;0,1,0))</f>
        <v/>
      </c>
      <c r="Q100">
        <f>IF(Q$4=0,0,IF(COUNTIFS(実績!$W$6:$W$505,Q$3,実績!$AC$6:$AC$505,"&lt;="&amp;$A100,実績!$AD$6:$AD$505,"&gt;"&amp;$A100,実績!$AE$6:$AE$505,"○")&gt;0,1,0))</f>
        <v/>
      </c>
      <c r="R100">
        <f>IF(R$4=0,0,IF(COUNTIFS(実績!$W$6:$W$505,R$3,実績!$AC$6:$AC$505,"&lt;="&amp;$A100,実績!$AD$6:$AD$505,"&gt;"&amp;$A100,実績!$AE$6:$AE$505,"○")&gt;0,1,0))</f>
        <v/>
      </c>
      <c r="S100">
        <f>IF(S$4=0,0,IF(COUNTIFS(実績!$W$6:$W$505,S$3,実績!$AC$6:$AC$505,"&lt;="&amp;$A100,実績!$AD$6:$AD$505,"&gt;"&amp;$A100,実績!$AE$6:$AE$505,"○")&gt;0,1,0))</f>
        <v/>
      </c>
      <c r="T100">
        <f>IF(T$4=0,0,IF(COUNTIFS(実績!$W$6:$W$505,T$3,実績!$AC$6:$AC$505,"&lt;="&amp;$A100,実績!$AD$6:$AD$505,"&gt;"&amp;$A100,実績!$AE$6:$AE$505,"○")&gt;0,1,0))</f>
        <v/>
      </c>
      <c r="U100">
        <f>IF(U$4=0,0,IF(COUNTIFS(実績!$W$6:$W$505,U$3,実績!$AC$6:$AC$505,"&lt;="&amp;$A100,実績!$AD$6:$AD$505,"&gt;"&amp;$A100,実績!$AE$6:$AE$505,"○")&gt;0,1,0))</f>
        <v/>
      </c>
      <c r="V100">
        <f>IF(V$4=0,0,IF(COUNTIFS(実績!$W$6:$W$505,V$3,実績!$AC$6:$AC$505,"&lt;="&amp;$A100,実績!$AD$6:$AD$505,"&gt;"&amp;$A100,実績!$AE$6:$AE$505,"○")&gt;0,1,0))</f>
        <v/>
      </c>
      <c r="W100">
        <f>IF(W$4=0,0,IF(COUNTIFS(実績!$W$6:$W$505,W$3,実績!$AC$6:$AC$505,"&lt;="&amp;$A100,実績!$AD$6:$AD$505,"&gt;"&amp;$A100,実績!$AE$6:$AE$505,"○")&gt;0,1,0))</f>
        <v/>
      </c>
      <c r="X100">
        <f>IF(X$4=0,0,IF(COUNTIFS(実績!$W$6:$W$505,X$3,実績!$AC$6:$AC$505,"&lt;="&amp;$A100,実績!$AD$6:$AD$505,"&gt;"&amp;$A100,実績!$AE$6:$AE$505,"○")&gt;0,1,0))</f>
        <v/>
      </c>
      <c r="Y100">
        <f>IF(Y$4=0,0,IF(COUNTIFS(実績!$W$6:$W$505,Y$3,実績!$AC$6:$AC$505,"&lt;="&amp;$A100,実績!$AD$6:$AD$505,"&gt;"&amp;$A100,実績!$AE$6:$AE$505,"○")&gt;0,1,0))</f>
        <v/>
      </c>
      <c r="Z100">
        <f>IF(Z$4=0,0,IF(COUNTIFS(実績!$W$6:$W$505,Z$3,実績!$AC$6:$AC$505,"&lt;="&amp;$A100,実績!$AD$6:$AD$505,"&gt;"&amp;$A100,実績!$AE$6:$AE$505,"○")&gt;0,1,0))</f>
        <v/>
      </c>
      <c r="AA100">
        <f>IF(AA$4=0,0,IF(COUNTIFS(実績!$W$6:$W$505,AA$3,実績!$AC$6:$AC$505,"&lt;="&amp;$A100,実績!$AD$6:$AD$505,"&gt;"&amp;$A100,実績!$AE$6:$AE$505,"○")&gt;0,1,0))</f>
        <v/>
      </c>
      <c r="AB100">
        <f>IF(AB$4=0,0,IF(COUNTIFS(実績!$W$6:$W$505,AB$3,実績!$AC$6:$AC$505,"&lt;="&amp;$A100,実績!$AD$6:$AD$505,"&gt;"&amp;$A100,実績!$AE$6:$AE$505,"○")&gt;0,1,0))</f>
        <v/>
      </c>
      <c r="AC100">
        <f>IF(AC$4=0,0,IF(COUNTIFS(実績!$W$6:$W$505,AC$3,実績!$AC$6:$AC$505,"&lt;="&amp;$A100,実績!$AD$6:$AD$505,"&gt;"&amp;$A100,実績!$AE$6:$AE$505,"○")&gt;0,1,0))</f>
        <v/>
      </c>
      <c r="AD100">
        <f>IF(AD$4=0,0,IF(COUNTIFS(実績!$W$6:$W$505,AD$3,実績!$AC$6:$AC$505,"&lt;="&amp;$A100,実績!$AD$6:$AD$505,"&gt;"&amp;$A100,実績!$AE$6:$AE$505,"○")&gt;0,1,0))</f>
        <v/>
      </c>
      <c r="AE100">
        <f>IF(AE$4=0,0,IF(COUNTIFS(実績!$W$6:$W$505,AE$3,実績!$AC$6:$AC$505,"&lt;="&amp;$A100,実績!$AD$6:$AD$505,"&gt;"&amp;$A100,実績!$AE$6:$AE$505,"○")&gt;0,1,0))</f>
        <v/>
      </c>
      <c r="AF100">
        <f>IF(AF$4=0,0,IF(COUNTIFS(実績!$W$6:$W$505,AF$3,実績!$AC$6:$AC$505,"&lt;="&amp;$A100,実績!$AD$6:$AD$505,"&gt;"&amp;$A100,実績!$AE$6:$AE$505,"○")&gt;0,1,0))</f>
        <v/>
      </c>
      <c r="AG100">
        <f>IF(AG$4=0,0,IF(COUNTIFS(実績!$W$6:$W$505,AG$3,実績!$AC$6:$AC$505,"&lt;="&amp;$A100,実績!$AD$6:$AD$505,"&gt;"&amp;$A100,実績!$AE$6:$AE$505,"○")&gt;0,1,0))</f>
        <v/>
      </c>
      <c r="AH100">
        <f>IF(AH$4=0,0,IF(COUNTIFS(実績!$W$6:$W$505,AH$3,実績!$AC$6:$AC$505,"&lt;="&amp;$A100,実績!$AD$6:$AD$505,"&gt;"&amp;$A100,実績!$AE$6:$AE$505,"○")&gt;0,1,0))</f>
        <v/>
      </c>
      <c r="AI100">
        <f>IF(AI$4=0,0,IF(COUNTIFS(実績!$W$6:$W$505,AI$3,実績!$AC$6:$AC$505,"&lt;="&amp;$A100,実績!$AD$6:$AD$505,"&gt;"&amp;$A100,実績!$AE$6:$AE$505,"○")&gt;0,1,0))</f>
        <v/>
      </c>
      <c r="AJ100">
        <f>IF(AJ$4=0,0,IF(COUNTIFS(実績!$W$6:$W$505,AJ$3,実績!$AC$6:$AC$505,"&lt;="&amp;$A100,実績!$AD$6:$AD$505,"&gt;"&amp;$A100,実績!$AE$6:$AE$505,"○")&gt;0,1,0))</f>
        <v/>
      </c>
      <c r="AK100">
        <f>IF(AK$4=0,0,IF(COUNTIFS(実績!$W$6:$W$505,AK$3,実績!$AC$6:$AC$505,"&lt;="&amp;$A100,実績!$AD$6:$AD$505,"&gt;"&amp;$A100,実績!$AE$6:$AE$505,"○")&gt;0,1,0))</f>
        <v/>
      </c>
      <c r="AL100">
        <f>IF(AL$4=0,0,IF(COUNTIFS(実績!$W$6:$W$505,AL$3,実績!$AC$6:$AC$505,"&lt;="&amp;$A100,実績!$AD$6:$AD$505,"&gt;"&amp;$A100,実績!$AE$6:$AE$505,"○")&gt;0,1,0))</f>
        <v/>
      </c>
      <c r="AM100">
        <f>IF(AM$4=0,0,IF(COUNTIFS(実績!$W$6:$W$505,AM$3,実績!$AC$6:$AC$505,"&lt;="&amp;$A100,実績!$AD$6:$AD$505,"&gt;"&amp;$A100,実績!$AE$6:$AE$505,"○")&gt;0,1,0))</f>
        <v/>
      </c>
      <c r="AN100">
        <f>IF(AN$4=0,0,IF(COUNTIFS(実績!$W$6:$W$505,AN$3,実績!$AC$6:$AC$505,"&lt;="&amp;$A100,実績!$AD$6:$AD$505,"&gt;"&amp;$A100,実績!$AE$6:$AE$505,"○")&gt;0,1,0))</f>
        <v/>
      </c>
      <c r="AO100">
        <f>IF(AO$4=0,0,IF(COUNTIFS(実績!$W$6:$W$505,AO$3,実績!$AC$6:$AC$505,"&lt;="&amp;$A100,実績!$AD$6:$AD$505,"&gt;"&amp;$A100,実績!$AE$6:$AE$505,"○")&gt;0,1,0))</f>
        <v/>
      </c>
      <c r="AP100">
        <f>IF(AP$4=0,0,IF(COUNTIFS(実績!$W$6:$W$505,AP$3,実績!$AC$6:$AC$505,"&lt;="&amp;$A100,実績!$AD$6:$AD$505,"&gt;"&amp;$A100,実績!$AE$6:$AE$505,"○")&gt;0,1,0))</f>
        <v/>
      </c>
      <c r="AQ100">
        <f>IF(AQ$4=0,0,IF(COUNTIFS(実績!$W$6:$W$505,AQ$3,実績!$AC$6:$AC$505,"&lt;="&amp;$A100,実績!$AD$6:$AD$505,"&gt;"&amp;$A100,実績!$AE$6:$AE$505,"○")&gt;0,1,0))</f>
        <v/>
      </c>
      <c r="AR100">
        <f>IF(AR$4=0,0,IF(COUNTIFS(実績!$W$6:$W$505,AR$3,実績!$AC$6:$AC$505,"&lt;="&amp;$A100,実績!$AD$6:$AD$505,"&gt;"&amp;$A100,実績!$AE$6:$AE$505,"○")&gt;0,1,0))</f>
        <v/>
      </c>
      <c r="AS100">
        <f>IF(AS$4=0,0,IF(COUNTIFS(実績!$W$6:$W$505,AS$3,実績!$AC$6:$AC$505,"&lt;="&amp;$A100,実績!$AD$6:$AD$505,"&gt;"&amp;$A100,実績!$AE$6:$AE$505,"○")&gt;0,1,0))</f>
        <v/>
      </c>
      <c r="AT100">
        <f>IF(AT$4=0,0,IF(COUNTIFS(実績!$W$6:$W$505,AT$3,実績!$AC$6:$AC$505,"&lt;="&amp;$A100,実績!$AD$6:$AD$505,"&gt;"&amp;$A100,実績!$AE$6:$AE$505,"○")&gt;0,1,0))</f>
        <v/>
      </c>
      <c r="AU100">
        <f>IF(AU$4=0,0,IF(COUNTIFS(実績!$W$6:$W$505,AU$3,実績!$AC$6:$AC$505,"&lt;="&amp;$A100,実績!$AD$6:$AD$505,"&gt;"&amp;$A100,実績!$AE$6:$AE$505,"○")&gt;0,1,0))</f>
        <v/>
      </c>
      <c r="AV100">
        <f>IF(AV$4=0,0,IF(COUNTIFS(実績!$W$6:$W$505,AV$3,実績!$AC$6:$AC$505,"&lt;="&amp;$A100,実績!$AD$6:$AD$505,"&gt;"&amp;$A100,実績!$AE$6:$AE$505,"○")&gt;0,1,0))</f>
        <v/>
      </c>
      <c r="AW100">
        <f>IF(AW$4=0,0,IF(COUNTIFS(実績!$W$6:$W$505,AW$3,実績!$AC$6:$AC$505,"&lt;="&amp;$A100,実績!$AD$6:$AD$505,"&gt;"&amp;$A100,実績!$AE$6:$AE$505,"○")&gt;0,1,0))</f>
        <v/>
      </c>
      <c r="AX100">
        <f>IF(AX$4=0,0,IF(COUNTIFS(実績!$W$6:$W$505,AX$3,実績!$AC$6:$AC$505,"&lt;="&amp;$A100,実績!$AD$6:$AD$505,"&gt;"&amp;$A100,実績!$AE$6:$AE$505,"○")&gt;0,1,0))</f>
        <v/>
      </c>
      <c r="AY100">
        <f>IF(AY$4=0,0,IF(COUNTIFS(実績!$W$6:$W$505,AY$3,実績!$AC$6:$AC$505,"&lt;="&amp;$A100,実績!$AD$6:$AD$505,"&gt;"&amp;$A100,実績!$AE$6:$AE$505,"○")&gt;0,1,0))</f>
        <v/>
      </c>
      <c r="AZ100">
        <f>IF(AZ$4=0,0,IF(COUNTIFS(実績!$W$6:$W$505,AZ$3,実績!$AC$6:$AC$505,"&lt;="&amp;$A100,実績!$AD$6:$AD$505,"&gt;"&amp;$A100,実績!$AE$6:$AE$505,"○")&gt;0,1,0))</f>
        <v/>
      </c>
      <c r="BA100">
        <f>IF(BA$4=0,0,IF(COUNTIFS(実績!$W$6:$W$505,BA$3,実績!$AC$6:$AC$505,"&lt;="&amp;$A100,実績!$AD$6:$AD$505,"&gt;"&amp;$A100,実績!$AE$6:$AE$505,"○")&gt;0,1,0))</f>
        <v/>
      </c>
      <c r="BB100">
        <f>IF(BB$4=0,0,IF(COUNTIFS(実績!$W$6:$W$505,BB$3,実績!$AC$6:$AC$505,"&lt;="&amp;$A100,実績!$AD$6:$AD$505,"&gt;"&amp;$A100,実績!$AE$6:$AE$505,"○")&gt;0,1,0))</f>
        <v/>
      </c>
      <c r="BC100">
        <f>IF(BC$4=0,0,IF(COUNTIFS(実績!$W$6:$W$505,BC$3,実績!$AC$6:$AC$505,"&lt;="&amp;$A100,実績!$AD$6:$AD$505,"&gt;"&amp;$A100,実績!$AE$6:$AE$505,"○")&gt;0,1,0))</f>
        <v/>
      </c>
      <c r="BD100">
        <f>IF(BD$4=0,0,IF(COUNTIFS(実績!$W$6:$W$505,BD$3,実績!$AC$6:$AC$505,"&lt;="&amp;$A100,実績!$AD$6:$AD$505,"&gt;"&amp;$A100,実績!$AE$6:$AE$505,"○")&gt;0,1,0))</f>
        <v/>
      </c>
      <c r="BE100">
        <f>IF(BE$4=0,0,IF(COUNTIFS(実績!$W$6:$W$505,BE$3,実績!$AC$6:$AC$505,"&lt;="&amp;$A100,実績!$AD$6:$AD$505,"&gt;"&amp;$A100,実績!$AE$6:$AE$505,"○")&gt;0,1,0))</f>
        <v/>
      </c>
      <c r="BF100">
        <f>IF(BF$4=0,0,IF(COUNTIFS(実績!$W$6:$W$505,BF$3,実績!$AC$6:$AC$505,"&lt;="&amp;$A100,実績!$AD$6:$AD$505,"&gt;"&amp;$A100,実績!$AE$6:$AE$505,"○")&gt;0,1,0))</f>
        <v/>
      </c>
      <c r="BG100">
        <f>IF(BG$4=0,0,IF(COUNTIFS(実績!$W$6:$W$505,BG$3,実績!$AC$6:$AC$505,"&lt;="&amp;$A100,実績!$AD$6:$AD$505,"&gt;"&amp;$A100,実績!$AE$6:$AE$505,"○")&gt;0,1,0))</f>
        <v/>
      </c>
      <c r="BH100">
        <f>IF(BH$4=0,0,IF(COUNTIFS(実績!$W$6:$W$505,BH$3,実績!$AC$6:$AC$505,"&lt;="&amp;$A100,実績!$AD$6:$AD$505,"&gt;"&amp;$A100,実績!$AE$6:$AE$505,"○")&gt;0,1,0))</f>
        <v/>
      </c>
      <c r="BI100">
        <f>IF(BI$4=0,0,IF(COUNTIFS(実績!$W$6:$W$505,BI$3,実績!$AC$6:$AC$505,"&lt;="&amp;$A100,実績!$AD$6:$AD$505,"&gt;"&amp;$A100,実績!$AE$6:$AE$505,"○")&gt;0,1,0))</f>
        <v/>
      </c>
      <c r="BJ100">
        <f>IF(BJ$4=0,0,IF(COUNTIFS(実績!$W$6:$W$505,BJ$3,実績!$AC$6:$AC$505,"&lt;="&amp;$A100,実績!$AD$6:$AD$505,"&gt;"&amp;$A100,実績!$AE$6:$AE$505,"○")&gt;0,1,0))</f>
        <v/>
      </c>
      <c r="BK100">
        <f>IF(BK$4=0,0,IF(COUNTIFS(実績!$W$6:$W$505,BK$3,実績!$AC$6:$AC$505,"&lt;="&amp;$A100,実績!$AD$6:$AD$505,"&gt;"&amp;$A100,実績!$AE$6:$AE$505,"○")&gt;0,1,0))</f>
        <v/>
      </c>
      <c r="BL100">
        <f>IF(BL$4=0,0,IF(COUNTIFS(実績!$W$6:$W$505,BL$3,実績!$AC$6:$AC$505,"&lt;="&amp;$A100,実績!$AD$6:$AD$505,"&gt;"&amp;$A100,実績!$AE$6:$AE$505,"○")&gt;0,1,0))</f>
        <v/>
      </c>
      <c r="BM100">
        <f>IF(BM$4=0,0,IF(COUNTIFS(実績!$W$6:$W$505,BM$3,実績!$AC$6:$AC$505,"&lt;="&amp;$A100,実績!$AD$6:$AD$505,"&gt;"&amp;$A100,実績!$AE$6:$AE$505,"○")&gt;0,1,0))</f>
        <v/>
      </c>
      <c r="BN100">
        <f>IF(BN$4=0,0,IF(COUNTIFS(実績!$W$6:$W$505,BN$3,実績!$AC$6:$AC$505,"&lt;="&amp;$A100,実績!$AD$6:$AD$505,"&gt;"&amp;$A100,実績!$AE$6:$AE$505,"○")&gt;0,1,0))</f>
        <v/>
      </c>
      <c r="BO100">
        <f>IF(BO$4=0,0,IF(COUNTIFS(実績!$W$6:$W$505,BO$3,実績!$AC$6:$AC$505,"&lt;="&amp;$A100,実績!$AD$6:$AD$505,"&gt;"&amp;$A100,実績!$AE$6:$AE$505,"○")&gt;0,1,0))</f>
        <v/>
      </c>
      <c r="BP100">
        <f>IF(BP$4=0,0,IF(COUNTIFS(実績!$W$6:$W$505,BP$3,実績!$AC$6:$AC$505,"&lt;="&amp;$A100,実績!$AD$6:$AD$505,"&gt;"&amp;$A100,実績!$AE$6:$AE$505,"○")&gt;0,1,0))</f>
        <v/>
      </c>
      <c r="BQ100">
        <f>IF(BQ$4=0,0,IF(COUNTIFS(実績!$W$6:$W$505,BQ$3,実績!$AC$6:$AC$505,"&lt;="&amp;$A100,実績!$AD$6:$AD$505,"&gt;"&amp;$A100,実績!$AE$6:$AE$505,"○")&gt;0,1,0))</f>
        <v/>
      </c>
      <c r="BR100">
        <f>IF(BR$4=0,0,IF(COUNTIFS(実績!$W$6:$W$505,BR$3,実績!$AC$6:$AC$505,"&lt;="&amp;$A100,実績!$AD$6:$AD$505,"&gt;"&amp;$A100,実績!$AE$6:$AE$505,"○")&gt;0,1,0))</f>
        <v/>
      </c>
      <c r="BS100">
        <f>IF(BS$4=0,0,IF(COUNTIFS(実績!$W$6:$W$505,BS$3,実績!$AC$6:$AC$505,"&lt;="&amp;$A100,実績!$AD$6:$AD$505,"&gt;"&amp;$A100,実績!$AE$6:$AE$505,"○")&gt;0,1,0))</f>
        <v/>
      </c>
      <c r="BT100">
        <f>IF(BT$4=0,0,IF(COUNTIFS(実績!$W$6:$W$505,BT$3,実績!$AC$6:$AC$505,"&lt;="&amp;$A100,実績!$AD$6:$AD$505,"&gt;"&amp;$A100,実績!$AE$6:$AE$505,"○")&gt;0,1,0))</f>
        <v/>
      </c>
      <c r="BU100">
        <f>IF(BU$4=0,0,IF(COUNTIFS(実績!$W$6:$W$505,BU$3,実績!$AC$6:$AC$505,"&lt;="&amp;$A100,実績!$AD$6:$AD$505,"&gt;"&amp;$A100,実績!$AE$6:$AE$505,"○")&gt;0,1,0))</f>
        <v/>
      </c>
      <c r="BV100">
        <f>IF(BV$4=0,0,IF(COUNTIFS(実績!$W$6:$W$505,BV$3,実績!$AC$6:$AC$505,"&lt;="&amp;$A100,実績!$AD$6:$AD$505,"&gt;"&amp;$A100,実績!$AE$6:$AE$505,"○")&gt;0,1,0))</f>
        <v/>
      </c>
      <c r="BW100">
        <f>IF(BW$4=0,0,IF(COUNTIFS(実績!$W$6:$W$505,BW$3,実績!$AC$6:$AC$505,"&lt;="&amp;$A100,実績!$AD$6:$AD$505,"&gt;"&amp;$A100,実績!$AE$6:$AE$505,"○")&gt;0,1,0))</f>
        <v/>
      </c>
      <c r="BX100">
        <f>IF(BX$4=0,0,IF(COUNTIFS(実績!$W$6:$W$505,BX$3,実績!$AC$6:$AC$505,"&lt;="&amp;$A100,実績!$AD$6:$AD$505,"&gt;"&amp;$A100,実績!$AE$6:$AE$505,"○")&gt;0,1,0))</f>
        <v/>
      </c>
      <c r="BY100">
        <f>IF(BY$4=0,0,IF(COUNTIFS(実績!$W$6:$W$505,BY$3,実績!$AC$6:$AC$505,"&lt;="&amp;$A100,実績!$AD$6:$AD$505,"&gt;"&amp;$A100,実績!$AE$6:$AE$505,"○")&gt;0,1,0))</f>
        <v/>
      </c>
      <c r="BZ100">
        <f>IF(BZ$4=0,0,IF(COUNTIFS(実績!$W$6:$W$505,BZ$3,実績!$AC$6:$AC$505,"&lt;="&amp;$A100,実績!$AD$6:$AD$505,"&gt;"&amp;$A100,実績!$AE$6:$AE$505,"○")&gt;0,1,0))</f>
        <v/>
      </c>
      <c r="CA100">
        <f>IF(CA$4=0,0,IF(COUNTIFS(実績!$W$6:$W$505,CA$3,実績!$AC$6:$AC$505,"&lt;="&amp;$A100,実績!$AD$6:$AD$505,"&gt;"&amp;$A100,実績!$AE$6:$AE$505,"○")&gt;0,1,0))</f>
        <v/>
      </c>
      <c r="CB100">
        <f>IF(CB$4=0,0,IF(COUNTIFS(実績!$W$6:$W$505,CB$3,実績!$AC$6:$AC$505,"&lt;="&amp;$A100,実績!$AD$6:$AD$505,"&gt;"&amp;$A100,実績!$AE$6:$AE$505,"○")&gt;0,1,0))</f>
        <v/>
      </c>
      <c r="CC100">
        <f>IF(CC$4=0,0,IF(COUNTIFS(実績!$W$6:$W$505,CC$3,実績!$AC$6:$AC$505,"&lt;="&amp;$A100,実績!$AD$6:$AD$505,"&gt;"&amp;$A100,実績!$AE$6:$AE$505,"○")&gt;0,1,0))</f>
        <v/>
      </c>
      <c r="CD100">
        <f>IF(CD$4=0,0,IF(COUNTIFS(実績!$W$6:$W$505,CD$3,実績!$AC$6:$AC$505,"&lt;="&amp;$A100,実績!$AD$6:$AD$505,"&gt;"&amp;$A100,実績!$AE$6:$AE$505,"○")&gt;0,1,0))</f>
        <v/>
      </c>
      <c r="CE100">
        <f>IF(CE$4=0,0,IF(COUNTIFS(実績!$W$6:$W$505,CE$3,実績!$AC$6:$AC$505,"&lt;="&amp;$A100,実績!$AD$6:$AD$505,"&gt;"&amp;$A100,実績!$AE$6:$AE$505,"○")&gt;0,1,0))</f>
        <v/>
      </c>
      <c r="CF100">
        <f>IF(CF$4=0,0,IF(COUNTIFS(実績!$W$6:$W$505,CF$3,実績!$AC$6:$AC$505,"&lt;="&amp;$A100,実績!$AD$6:$AD$505,"&gt;"&amp;$A100,実績!$AE$6:$AE$505,"○")&gt;0,1,0))</f>
        <v/>
      </c>
      <c r="CG100">
        <f>IF(CG$4=0,0,IF(COUNTIFS(実績!$W$6:$W$505,CG$3,実績!$AC$6:$AC$505,"&lt;="&amp;$A100,実績!$AD$6:$AD$505,"&gt;"&amp;$A100,実績!$AE$6:$AE$505,"○")&gt;0,1,0))</f>
        <v/>
      </c>
      <c r="CH100">
        <f>IF(CH$4=0,0,IF(COUNTIFS(実績!$W$6:$W$505,CH$3,実績!$AC$6:$AC$505,"&lt;="&amp;$A100,実績!$AD$6:$AD$505,"&gt;"&amp;$A100,実績!$AE$6:$AE$505,"○")&gt;0,1,0))</f>
        <v/>
      </c>
      <c r="CI100">
        <f>IF(CI$4=0,0,IF(COUNTIFS(実績!$W$6:$W$505,CI$3,実績!$AC$6:$AC$505,"&lt;="&amp;$A100,実績!$AD$6:$AD$505,"&gt;"&amp;$A100,実績!$AE$6:$AE$505,"○")&gt;0,1,0))</f>
        <v/>
      </c>
      <c r="CJ100">
        <f>IF(CJ$4=0,0,IF(COUNTIFS(実績!$W$6:$W$505,CJ$3,実績!$AC$6:$AC$505,"&lt;="&amp;$A100,実績!$AD$6:$AD$505,"&gt;"&amp;$A100,実績!$AE$6:$AE$505,"○")&gt;0,1,0))</f>
        <v/>
      </c>
      <c r="CK100">
        <f>IF(CK$4=0,0,IF(COUNTIFS(実績!$W$6:$W$505,CK$3,実績!$AC$6:$AC$505,"&lt;="&amp;$A100,実績!$AD$6:$AD$505,"&gt;"&amp;$A100,実績!$AE$6:$AE$505,"○")&gt;0,1,0))</f>
        <v/>
      </c>
      <c r="CL100">
        <f>IF(CL$4=0,0,IF(COUNTIFS(実績!$W$6:$W$505,CL$3,実績!$AC$6:$AC$505,"&lt;="&amp;$A100,実績!$AD$6:$AD$505,"&gt;"&amp;$A100,実績!$AE$6:$AE$505,"○")&gt;0,1,0))</f>
        <v/>
      </c>
      <c r="CM100">
        <f>IF(CM$4=0,0,IF(COUNTIFS(実績!$W$6:$W$505,CM$3,実績!$AC$6:$AC$505,"&lt;="&amp;$A100,実績!$AD$6:$AD$505,"&gt;"&amp;$A100,実績!$AE$6:$AE$505,"○")&gt;0,1,0))</f>
        <v/>
      </c>
      <c r="CN100">
        <f>IF(CN$4=0,0,IF(COUNTIFS(実績!$W$6:$W$505,CN$3,実績!$AC$6:$AC$505,"&lt;="&amp;$A100,実績!$AD$6:$AD$505,"&gt;"&amp;$A100,実績!$AE$6:$AE$505,"○")&gt;0,1,0))</f>
        <v/>
      </c>
      <c r="CO100">
        <f>IF(CO$4=0,0,IF(COUNTIFS(実績!$W$6:$W$505,CO$3,実績!$AC$6:$AC$505,"&lt;="&amp;$A100,実績!$AD$6:$AD$505,"&gt;"&amp;$A100,実績!$AE$6:$AE$505,"○")&gt;0,1,0))</f>
        <v/>
      </c>
      <c r="CP100">
        <f>IF(CP$4=0,0,IF(COUNTIFS(実績!$W$6:$W$505,CP$3,実績!$AC$6:$AC$505,"&lt;="&amp;$A100,実績!$AD$6:$AD$505,"&gt;"&amp;$A100,実績!$AE$6:$AE$505,"○")&gt;0,1,0))</f>
        <v/>
      </c>
      <c r="CQ100">
        <f>IF(CQ$4=0,0,IF(COUNTIFS(実績!$W$6:$W$505,CQ$3,実績!$AC$6:$AC$505,"&lt;="&amp;$A100,実績!$AD$6:$AD$505,"&gt;"&amp;$A100,実績!$AE$6:$AE$505,"○")&gt;0,1,0))</f>
        <v/>
      </c>
      <c r="CR100">
        <f>IF(CR$4=0,0,IF(COUNTIFS(実績!$W$6:$W$505,CR$3,実績!$AC$6:$AC$505,"&lt;="&amp;$A100,実績!$AD$6:$AD$505,"&gt;"&amp;$A100,実績!$AE$6:$AE$505,"○")&gt;0,1,0))</f>
        <v/>
      </c>
      <c r="CS100">
        <f>IF(CS$4=0,0,IF(COUNTIFS(実績!$W$6:$W$505,CS$3,実績!$AC$6:$AC$505,"&lt;="&amp;$A100,実績!$AD$6:$AD$505,"&gt;"&amp;$A100,実績!$AE$6:$AE$505,"○")&gt;0,1,0))</f>
        <v/>
      </c>
      <c r="CT100">
        <f>IF(CT$4=0,0,IF(COUNTIFS(実績!$W$6:$W$505,CT$3,実績!$AC$6:$AC$505,"&lt;="&amp;$A100,実績!$AD$6:$AD$505,"&gt;"&amp;$A100,実績!$AE$6:$AE$505,"○")&gt;0,1,0))</f>
        <v/>
      </c>
      <c r="CU100">
        <f>IF(CU$4=0,0,IF(COUNTIFS(実績!$W$6:$W$505,CU$3,実績!$AC$6:$AC$505,"&lt;="&amp;$A100,実績!$AD$6:$AD$505,"&gt;"&amp;$A100,実績!$AE$6:$AE$505,"○")&gt;0,1,0))</f>
        <v/>
      </c>
      <c r="CV100">
        <f>IF(CV$4=0,0,IF(COUNTIFS(実績!$W$6:$W$505,CV$3,実績!$AC$6:$AC$505,"&lt;="&amp;$A100,実績!$AD$6:$AD$505,"&gt;"&amp;$A100,実績!$AE$6:$AE$505,"○")&gt;0,1,0))</f>
        <v/>
      </c>
      <c r="CW100">
        <f>IF(CW$4=0,0,IF(COUNTIFS(実績!$W$6:$W$505,CW$3,実績!$AC$6:$AC$505,"&lt;="&amp;$A100,実績!$AD$6:$AD$505,"&gt;"&amp;$A100,実績!$AE$6:$AE$505,"○")&gt;0,1,0))</f>
        <v/>
      </c>
      <c r="CX100">
        <f>IF(CX$4=0,0,IF(COUNTIFS(実績!$W$6:$W$505,CX$3,実績!$AC$6:$AC$505,"&lt;="&amp;$A100,実績!$AD$6:$AD$505,"&gt;"&amp;$A100,実績!$AE$6:$AE$505,"○")&gt;0,1,0))</f>
        <v/>
      </c>
      <c r="CY100">
        <f>IF(CY$4=0,0,IF(COUNTIFS(実績!$W$6:$W$505,CY$3,実績!$AC$6:$AC$505,"&lt;="&amp;$A100,実績!$AD$6:$AD$505,"&gt;"&amp;$A100,実績!$AE$6:$AE$505,"○")&gt;0,1,0))</f>
        <v/>
      </c>
      <c r="CZ100">
        <f>IF(CZ$4=0,0,IF(COUNTIFS(実績!$W$6:$W$505,CZ$3,実績!$AC$6:$AC$505,"&lt;="&amp;$A100,実績!$AD$6:$AD$505,"&gt;"&amp;$A100,実績!$AE$6:$AE$505,"○")&gt;0,1,0))</f>
        <v/>
      </c>
      <c r="DA100">
        <f>IF(DA$4=0,0,IF(COUNTIFS(実績!$W$6:$W$505,DA$3,実績!$AC$6:$AC$505,"&lt;="&amp;$A100,実績!$AD$6:$AD$505,"&gt;"&amp;$A100,実績!$AE$6:$AE$505,"○")&gt;0,1,0))</f>
        <v/>
      </c>
      <c r="DB100">
        <f>IF(DB$4=0,0,IF(COUNTIFS(実績!$W$6:$W$505,DB$3,実績!$AC$6:$AC$505,"&lt;="&amp;$A100,実績!$AD$6:$AD$505,"&gt;"&amp;$A100,実績!$AE$6:$AE$505,"○")&gt;0,1,0))</f>
        <v/>
      </c>
      <c r="DC100">
        <f>IF(DC$4=0,0,IF(COUNTIFS(実績!$W$6:$W$505,DC$3,実績!$AC$6:$AC$505,"&lt;="&amp;$A100,実績!$AD$6:$AD$505,"&gt;"&amp;$A100,実績!$AE$6:$AE$505,"○")&gt;0,1,0))</f>
        <v/>
      </c>
      <c r="DD100">
        <f>IF(DD$4=0,0,IF(COUNTIFS(実績!$W$6:$W$505,DD$3,実績!$AC$6:$AC$505,"&lt;="&amp;$A100,実績!$AD$6:$AD$505,"&gt;"&amp;$A100,実績!$AE$6:$AE$505,"○")&gt;0,1,0))</f>
        <v/>
      </c>
      <c r="DE100">
        <f>IF(DE$4=0,0,IF(COUNTIFS(実績!$W$6:$W$505,DE$3,実績!$AC$6:$AC$505,"&lt;="&amp;$A100,実績!$AD$6:$AD$505,"&gt;"&amp;$A100,実績!$AE$6:$AE$505,"○")&gt;0,1,0))</f>
        <v/>
      </c>
      <c r="DF100">
        <f>IF(DF$4=0,0,IF(COUNTIFS(実績!$W$6:$W$505,DF$3,実績!$AC$6:$AC$505,"&lt;="&amp;$A100,実績!$AD$6:$AD$505,"&gt;"&amp;$A100,実績!$AE$6:$AE$505,"○")&gt;0,1,0))</f>
        <v/>
      </c>
      <c r="DG100">
        <f>IF(DG$4=0,0,IF(COUNTIFS(実績!$W$6:$W$505,DG$3,実績!$AC$6:$AC$505,"&lt;="&amp;$A100,実績!$AD$6:$AD$505,"&gt;"&amp;$A100,実績!$AE$6:$AE$505,"○")&gt;0,1,0))</f>
        <v/>
      </c>
      <c r="DH100">
        <f>IF(DH$4=0,0,IF(COUNTIFS(実績!$W$6:$W$505,DH$3,実績!$AC$6:$AC$505,"&lt;="&amp;$A100,実績!$AD$6:$AD$505,"&gt;"&amp;$A100,実績!$AE$6:$AE$505,"○")&gt;0,1,0))</f>
        <v/>
      </c>
      <c r="DI100">
        <f>IF(DI$4=0,0,IF(COUNTIFS(実績!$W$6:$W$505,DI$3,実績!$AC$6:$AC$505,"&lt;="&amp;$A100,実績!$AD$6:$AD$505,"&gt;"&amp;$A100,実績!$AE$6:$AE$505,"○")&gt;0,1,0))</f>
        <v/>
      </c>
      <c r="DJ100">
        <f>IF(DJ$4=0,0,IF(COUNTIFS(実績!$W$6:$W$505,DJ$3,実績!$AC$6:$AC$505,"&lt;="&amp;$A100,実績!$AD$6:$AD$505,"&gt;"&amp;$A100,実績!$AE$6:$AE$505,"○")&gt;0,1,0))</f>
        <v/>
      </c>
      <c r="DK100">
        <f>IF(DK$4=0,0,IF(COUNTIFS(実績!$W$6:$W$505,DK$3,実績!$AC$6:$AC$505,"&lt;="&amp;$A100,実績!$AD$6:$AD$505,"&gt;"&amp;$A100,実績!$AE$6:$AE$505,"○")&gt;0,1,0))</f>
        <v/>
      </c>
      <c r="DL100">
        <f>IF(DL$4=0,0,IF(COUNTIFS(実績!$W$6:$W$505,DL$3,実績!$AC$6:$AC$505,"&lt;="&amp;$A100,実績!$AD$6:$AD$505,"&gt;"&amp;$A100,実績!$AE$6:$AE$505,"○")&gt;0,1,0))</f>
        <v/>
      </c>
      <c r="DM100">
        <f>IF(DM$4=0,0,IF(COUNTIFS(実績!$W$6:$W$505,DM$3,実績!$AC$6:$AC$505,"&lt;="&amp;$A100,実績!$AD$6:$AD$505,"&gt;"&amp;$A100,実績!$AE$6:$AE$505,"○")&gt;0,1,0))</f>
        <v/>
      </c>
      <c r="DN100">
        <f>IF(DN$4=0,0,IF(COUNTIFS(実績!$W$6:$W$505,DN$3,実績!$AC$6:$AC$505,"&lt;="&amp;$A100,実績!$AD$6:$AD$505,"&gt;"&amp;$A100,実績!$AE$6:$AE$505,"○")&gt;0,1,0))</f>
        <v/>
      </c>
      <c r="DO100">
        <f>IF(DO$4=0,0,IF(COUNTIFS(実績!$W$6:$W$505,DO$3,実績!$AC$6:$AC$505,"&lt;="&amp;$A100,実績!$AD$6:$AD$505,"&gt;"&amp;$A100,実績!$AE$6:$AE$505,"○")&gt;0,1,0))</f>
        <v/>
      </c>
      <c r="DP100">
        <f>IF(DP$4=0,0,IF(COUNTIFS(実績!$W$6:$W$505,DP$3,実績!$AC$6:$AC$505,"&lt;="&amp;$A100,実績!$AD$6:$AD$505,"&gt;"&amp;$A100,実績!$AE$6:$AE$505,"○")&gt;0,1,0))</f>
        <v/>
      </c>
      <c r="DQ100">
        <f>IF(DQ$4=0,0,IF(COUNTIFS(実績!$W$6:$W$505,DQ$3,実績!$AC$6:$AC$505,"&lt;="&amp;$A100,実績!$AD$6:$AD$505,"&gt;"&amp;$A100,実績!$AE$6:$AE$505,"○")&gt;0,1,0))</f>
        <v/>
      </c>
      <c r="DR100">
        <f>IF(DR$4=0,0,IF(COUNTIFS(実績!$W$6:$W$505,DR$3,実績!$AC$6:$AC$505,"&lt;="&amp;$A100,実績!$AD$6:$AD$505,"&gt;"&amp;$A100,実績!$AE$6:$AE$505,"○")&gt;0,1,0))</f>
        <v/>
      </c>
      <c r="DS100">
        <f>SUM(C100:DR100)</f>
        <v/>
      </c>
      <c r="DT100">
        <f>SUMPRODUCT((実績!$C$6:$C$505="○")*ISNUMBER(実績!$AF$6:$AF$505)*(実績!$AF$6:$AF$505&lt;=$A100)*(実績!$AG$6:$AG$505&gt;$A100))</f>
        <v/>
      </c>
      <c r="DU100">
        <f>SUMIF($C$2:$DR$2,"製鉄曳船",C100:DR100)</f>
        <v/>
      </c>
      <c r="DV100">
        <f>SUMIF($C$2:$DR$2,"西日本海運",C100:DR100)</f>
        <v/>
      </c>
    </row>
    <row r="101">
      <c r="A101" t="n">
        <v>475</v>
      </c>
      <c r="B101" s="29">
        <f>A101/1440</f>
        <v/>
      </c>
      <c r="C101">
        <f>IF(C$4=0,0,IF(COUNTIFS(実績!$W$6:$W$505,C$3,実績!$AC$6:$AC$505,"&lt;="&amp;$A101,実績!$AD$6:$AD$505,"&gt;"&amp;$A101,実績!$AE$6:$AE$505,"○")&gt;0,1,0))</f>
        <v/>
      </c>
      <c r="D101">
        <f>IF(D$4=0,0,IF(COUNTIFS(実績!$W$6:$W$505,D$3,実績!$AC$6:$AC$505,"&lt;="&amp;$A101,実績!$AD$6:$AD$505,"&gt;"&amp;$A101,実績!$AE$6:$AE$505,"○")&gt;0,1,0))</f>
        <v/>
      </c>
      <c r="E101">
        <f>IF(E$4=0,0,IF(COUNTIFS(実績!$W$6:$W$505,E$3,実績!$AC$6:$AC$505,"&lt;="&amp;$A101,実績!$AD$6:$AD$505,"&gt;"&amp;$A101,実績!$AE$6:$AE$505,"○")&gt;0,1,0))</f>
        <v/>
      </c>
      <c r="F101">
        <f>IF(F$4=0,0,IF(COUNTIFS(実績!$W$6:$W$505,F$3,実績!$AC$6:$AC$505,"&lt;="&amp;$A101,実績!$AD$6:$AD$505,"&gt;"&amp;$A101,実績!$AE$6:$AE$505,"○")&gt;0,1,0))</f>
        <v/>
      </c>
      <c r="G101">
        <f>IF(G$4=0,0,IF(COUNTIFS(実績!$W$6:$W$505,G$3,実績!$AC$6:$AC$505,"&lt;="&amp;$A101,実績!$AD$6:$AD$505,"&gt;"&amp;$A101,実績!$AE$6:$AE$505,"○")&gt;0,1,0))</f>
        <v/>
      </c>
      <c r="H101">
        <f>IF(H$4=0,0,IF(COUNTIFS(実績!$W$6:$W$505,H$3,実績!$AC$6:$AC$505,"&lt;="&amp;$A101,実績!$AD$6:$AD$505,"&gt;"&amp;$A101,実績!$AE$6:$AE$505,"○")&gt;0,1,0))</f>
        <v/>
      </c>
      <c r="I101">
        <f>IF(I$4=0,0,IF(COUNTIFS(実績!$W$6:$W$505,I$3,実績!$AC$6:$AC$505,"&lt;="&amp;$A101,実績!$AD$6:$AD$505,"&gt;"&amp;$A101,実績!$AE$6:$AE$505,"○")&gt;0,1,0))</f>
        <v/>
      </c>
      <c r="J101">
        <f>IF(J$4=0,0,IF(COUNTIFS(実績!$W$6:$W$505,J$3,実績!$AC$6:$AC$505,"&lt;="&amp;$A101,実績!$AD$6:$AD$505,"&gt;"&amp;$A101,実績!$AE$6:$AE$505,"○")&gt;0,1,0))</f>
        <v/>
      </c>
      <c r="K101">
        <f>IF(K$4=0,0,IF(COUNTIFS(実績!$W$6:$W$505,K$3,実績!$AC$6:$AC$505,"&lt;="&amp;$A101,実績!$AD$6:$AD$505,"&gt;"&amp;$A101,実績!$AE$6:$AE$505,"○")&gt;0,1,0))</f>
        <v/>
      </c>
      <c r="L101">
        <f>IF(L$4=0,0,IF(COUNTIFS(実績!$W$6:$W$505,L$3,実績!$AC$6:$AC$505,"&lt;="&amp;$A101,実績!$AD$6:$AD$505,"&gt;"&amp;$A101,実績!$AE$6:$AE$505,"○")&gt;0,1,0))</f>
        <v/>
      </c>
      <c r="M101">
        <f>IF(M$4=0,0,IF(COUNTIFS(実績!$W$6:$W$505,M$3,実績!$AC$6:$AC$505,"&lt;="&amp;$A101,実績!$AD$6:$AD$505,"&gt;"&amp;$A101,実績!$AE$6:$AE$505,"○")&gt;0,1,0))</f>
        <v/>
      </c>
      <c r="N101">
        <f>IF(N$4=0,0,IF(COUNTIFS(実績!$W$6:$W$505,N$3,実績!$AC$6:$AC$505,"&lt;="&amp;$A101,実績!$AD$6:$AD$505,"&gt;"&amp;$A101,実績!$AE$6:$AE$505,"○")&gt;0,1,0))</f>
        <v/>
      </c>
      <c r="O101">
        <f>IF(O$4=0,0,IF(COUNTIFS(実績!$W$6:$W$505,O$3,実績!$AC$6:$AC$505,"&lt;="&amp;$A101,実績!$AD$6:$AD$505,"&gt;"&amp;$A101,実績!$AE$6:$AE$505,"○")&gt;0,1,0))</f>
        <v/>
      </c>
      <c r="P101">
        <f>IF(P$4=0,0,IF(COUNTIFS(実績!$W$6:$W$505,P$3,実績!$AC$6:$AC$505,"&lt;="&amp;$A101,実績!$AD$6:$AD$505,"&gt;"&amp;$A101,実績!$AE$6:$AE$505,"○")&gt;0,1,0))</f>
        <v/>
      </c>
      <c r="Q101">
        <f>IF(Q$4=0,0,IF(COUNTIFS(実績!$W$6:$W$505,Q$3,実績!$AC$6:$AC$505,"&lt;="&amp;$A101,実績!$AD$6:$AD$505,"&gt;"&amp;$A101,実績!$AE$6:$AE$505,"○")&gt;0,1,0))</f>
        <v/>
      </c>
      <c r="R101">
        <f>IF(R$4=0,0,IF(COUNTIFS(実績!$W$6:$W$505,R$3,実績!$AC$6:$AC$505,"&lt;="&amp;$A101,実績!$AD$6:$AD$505,"&gt;"&amp;$A101,実績!$AE$6:$AE$505,"○")&gt;0,1,0))</f>
        <v/>
      </c>
      <c r="S101">
        <f>IF(S$4=0,0,IF(COUNTIFS(実績!$W$6:$W$505,S$3,実績!$AC$6:$AC$505,"&lt;="&amp;$A101,実績!$AD$6:$AD$505,"&gt;"&amp;$A101,実績!$AE$6:$AE$505,"○")&gt;0,1,0))</f>
        <v/>
      </c>
      <c r="T101">
        <f>IF(T$4=0,0,IF(COUNTIFS(実績!$W$6:$W$505,T$3,実績!$AC$6:$AC$505,"&lt;="&amp;$A101,実績!$AD$6:$AD$505,"&gt;"&amp;$A101,実績!$AE$6:$AE$505,"○")&gt;0,1,0))</f>
        <v/>
      </c>
      <c r="U101">
        <f>IF(U$4=0,0,IF(COUNTIFS(実績!$W$6:$W$505,U$3,実績!$AC$6:$AC$505,"&lt;="&amp;$A101,実績!$AD$6:$AD$505,"&gt;"&amp;$A101,実績!$AE$6:$AE$505,"○")&gt;0,1,0))</f>
        <v/>
      </c>
      <c r="V101">
        <f>IF(V$4=0,0,IF(COUNTIFS(実績!$W$6:$W$505,V$3,実績!$AC$6:$AC$505,"&lt;="&amp;$A101,実績!$AD$6:$AD$505,"&gt;"&amp;$A101,実績!$AE$6:$AE$505,"○")&gt;0,1,0))</f>
        <v/>
      </c>
      <c r="W101">
        <f>IF(W$4=0,0,IF(COUNTIFS(実績!$W$6:$W$505,W$3,実績!$AC$6:$AC$505,"&lt;="&amp;$A101,実績!$AD$6:$AD$505,"&gt;"&amp;$A101,実績!$AE$6:$AE$505,"○")&gt;0,1,0))</f>
        <v/>
      </c>
      <c r="X101">
        <f>IF(X$4=0,0,IF(COUNTIFS(実績!$W$6:$W$505,X$3,実績!$AC$6:$AC$505,"&lt;="&amp;$A101,実績!$AD$6:$AD$505,"&gt;"&amp;$A101,実績!$AE$6:$AE$505,"○")&gt;0,1,0))</f>
        <v/>
      </c>
      <c r="Y101">
        <f>IF(Y$4=0,0,IF(COUNTIFS(実績!$W$6:$W$505,Y$3,実績!$AC$6:$AC$505,"&lt;="&amp;$A101,実績!$AD$6:$AD$505,"&gt;"&amp;$A101,実績!$AE$6:$AE$505,"○")&gt;0,1,0))</f>
        <v/>
      </c>
      <c r="Z101">
        <f>IF(Z$4=0,0,IF(COUNTIFS(実績!$W$6:$W$505,Z$3,実績!$AC$6:$AC$505,"&lt;="&amp;$A101,実績!$AD$6:$AD$505,"&gt;"&amp;$A101,実績!$AE$6:$AE$505,"○")&gt;0,1,0))</f>
        <v/>
      </c>
      <c r="AA101">
        <f>IF(AA$4=0,0,IF(COUNTIFS(実績!$W$6:$W$505,AA$3,実績!$AC$6:$AC$505,"&lt;="&amp;$A101,実績!$AD$6:$AD$505,"&gt;"&amp;$A101,実績!$AE$6:$AE$505,"○")&gt;0,1,0))</f>
        <v/>
      </c>
      <c r="AB101">
        <f>IF(AB$4=0,0,IF(COUNTIFS(実績!$W$6:$W$505,AB$3,実績!$AC$6:$AC$505,"&lt;="&amp;$A101,実績!$AD$6:$AD$505,"&gt;"&amp;$A101,実績!$AE$6:$AE$505,"○")&gt;0,1,0))</f>
        <v/>
      </c>
      <c r="AC101">
        <f>IF(AC$4=0,0,IF(COUNTIFS(実績!$W$6:$W$505,AC$3,実績!$AC$6:$AC$505,"&lt;="&amp;$A101,実績!$AD$6:$AD$505,"&gt;"&amp;$A101,実績!$AE$6:$AE$505,"○")&gt;0,1,0))</f>
        <v/>
      </c>
      <c r="AD101">
        <f>IF(AD$4=0,0,IF(COUNTIFS(実績!$W$6:$W$505,AD$3,実績!$AC$6:$AC$505,"&lt;="&amp;$A101,実績!$AD$6:$AD$505,"&gt;"&amp;$A101,実績!$AE$6:$AE$505,"○")&gt;0,1,0))</f>
        <v/>
      </c>
      <c r="AE101">
        <f>IF(AE$4=0,0,IF(COUNTIFS(実績!$W$6:$W$505,AE$3,実績!$AC$6:$AC$505,"&lt;="&amp;$A101,実績!$AD$6:$AD$505,"&gt;"&amp;$A101,実績!$AE$6:$AE$505,"○")&gt;0,1,0))</f>
        <v/>
      </c>
      <c r="AF101">
        <f>IF(AF$4=0,0,IF(COUNTIFS(実績!$W$6:$W$505,AF$3,実績!$AC$6:$AC$505,"&lt;="&amp;$A101,実績!$AD$6:$AD$505,"&gt;"&amp;$A101,実績!$AE$6:$AE$505,"○")&gt;0,1,0))</f>
        <v/>
      </c>
      <c r="AG101">
        <f>IF(AG$4=0,0,IF(COUNTIFS(実績!$W$6:$W$505,AG$3,実績!$AC$6:$AC$505,"&lt;="&amp;$A101,実績!$AD$6:$AD$505,"&gt;"&amp;$A101,実績!$AE$6:$AE$505,"○")&gt;0,1,0))</f>
        <v/>
      </c>
      <c r="AH101">
        <f>IF(AH$4=0,0,IF(COUNTIFS(実績!$W$6:$W$505,AH$3,実績!$AC$6:$AC$505,"&lt;="&amp;$A101,実績!$AD$6:$AD$505,"&gt;"&amp;$A101,実績!$AE$6:$AE$505,"○")&gt;0,1,0))</f>
        <v/>
      </c>
      <c r="AI101">
        <f>IF(AI$4=0,0,IF(COUNTIFS(実績!$W$6:$W$505,AI$3,実績!$AC$6:$AC$505,"&lt;="&amp;$A101,実績!$AD$6:$AD$505,"&gt;"&amp;$A101,実績!$AE$6:$AE$505,"○")&gt;0,1,0))</f>
        <v/>
      </c>
      <c r="AJ101">
        <f>IF(AJ$4=0,0,IF(COUNTIFS(実績!$W$6:$W$505,AJ$3,実績!$AC$6:$AC$505,"&lt;="&amp;$A101,実績!$AD$6:$AD$505,"&gt;"&amp;$A101,実績!$AE$6:$AE$505,"○")&gt;0,1,0))</f>
        <v/>
      </c>
      <c r="AK101">
        <f>IF(AK$4=0,0,IF(COUNTIFS(実績!$W$6:$W$505,AK$3,実績!$AC$6:$AC$505,"&lt;="&amp;$A101,実績!$AD$6:$AD$505,"&gt;"&amp;$A101,実績!$AE$6:$AE$505,"○")&gt;0,1,0))</f>
        <v/>
      </c>
      <c r="AL101">
        <f>IF(AL$4=0,0,IF(COUNTIFS(実績!$W$6:$W$505,AL$3,実績!$AC$6:$AC$505,"&lt;="&amp;$A101,実績!$AD$6:$AD$505,"&gt;"&amp;$A101,実績!$AE$6:$AE$505,"○")&gt;0,1,0))</f>
        <v/>
      </c>
      <c r="AM101">
        <f>IF(AM$4=0,0,IF(COUNTIFS(実績!$W$6:$W$505,AM$3,実績!$AC$6:$AC$505,"&lt;="&amp;$A101,実績!$AD$6:$AD$505,"&gt;"&amp;$A101,実績!$AE$6:$AE$505,"○")&gt;0,1,0))</f>
        <v/>
      </c>
      <c r="AN101">
        <f>IF(AN$4=0,0,IF(COUNTIFS(実績!$W$6:$W$505,AN$3,実績!$AC$6:$AC$505,"&lt;="&amp;$A101,実績!$AD$6:$AD$505,"&gt;"&amp;$A101,実績!$AE$6:$AE$505,"○")&gt;0,1,0))</f>
        <v/>
      </c>
      <c r="AO101">
        <f>IF(AO$4=0,0,IF(COUNTIFS(実績!$W$6:$W$505,AO$3,実績!$AC$6:$AC$505,"&lt;="&amp;$A101,実績!$AD$6:$AD$505,"&gt;"&amp;$A101,実績!$AE$6:$AE$505,"○")&gt;0,1,0))</f>
        <v/>
      </c>
      <c r="AP101">
        <f>IF(AP$4=0,0,IF(COUNTIFS(実績!$W$6:$W$505,AP$3,実績!$AC$6:$AC$505,"&lt;="&amp;$A101,実績!$AD$6:$AD$505,"&gt;"&amp;$A101,実績!$AE$6:$AE$505,"○")&gt;0,1,0))</f>
        <v/>
      </c>
      <c r="AQ101">
        <f>IF(AQ$4=0,0,IF(COUNTIFS(実績!$W$6:$W$505,AQ$3,実績!$AC$6:$AC$505,"&lt;="&amp;$A101,実績!$AD$6:$AD$505,"&gt;"&amp;$A101,実績!$AE$6:$AE$505,"○")&gt;0,1,0))</f>
        <v/>
      </c>
      <c r="AR101">
        <f>IF(AR$4=0,0,IF(COUNTIFS(実績!$W$6:$W$505,AR$3,実績!$AC$6:$AC$505,"&lt;="&amp;$A101,実績!$AD$6:$AD$505,"&gt;"&amp;$A101,実績!$AE$6:$AE$505,"○")&gt;0,1,0))</f>
        <v/>
      </c>
      <c r="AS101">
        <f>IF(AS$4=0,0,IF(COUNTIFS(実績!$W$6:$W$505,AS$3,実績!$AC$6:$AC$505,"&lt;="&amp;$A101,実績!$AD$6:$AD$505,"&gt;"&amp;$A101,実績!$AE$6:$AE$505,"○")&gt;0,1,0))</f>
        <v/>
      </c>
      <c r="AT101">
        <f>IF(AT$4=0,0,IF(COUNTIFS(実績!$W$6:$W$505,AT$3,実績!$AC$6:$AC$505,"&lt;="&amp;$A101,実績!$AD$6:$AD$505,"&gt;"&amp;$A101,実績!$AE$6:$AE$505,"○")&gt;0,1,0))</f>
        <v/>
      </c>
      <c r="AU101">
        <f>IF(AU$4=0,0,IF(COUNTIFS(実績!$W$6:$W$505,AU$3,実績!$AC$6:$AC$505,"&lt;="&amp;$A101,実績!$AD$6:$AD$505,"&gt;"&amp;$A101,実績!$AE$6:$AE$505,"○")&gt;0,1,0))</f>
        <v/>
      </c>
      <c r="AV101">
        <f>IF(AV$4=0,0,IF(COUNTIFS(実績!$W$6:$W$505,AV$3,実績!$AC$6:$AC$505,"&lt;="&amp;$A101,実績!$AD$6:$AD$505,"&gt;"&amp;$A101,実績!$AE$6:$AE$505,"○")&gt;0,1,0))</f>
        <v/>
      </c>
      <c r="AW101">
        <f>IF(AW$4=0,0,IF(COUNTIFS(実績!$W$6:$W$505,AW$3,実績!$AC$6:$AC$505,"&lt;="&amp;$A101,実績!$AD$6:$AD$505,"&gt;"&amp;$A101,実績!$AE$6:$AE$505,"○")&gt;0,1,0))</f>
        <v/>
      </c>
      <c r="AX101">
        <f>IF(AX$4=0,0,IF(COUNTIFS(実績!$W$6:$W$505,AX$3,実績!$AC$6:$AC$505,"&lt;="&amp;$A101,実績!$AD$6:$AD$505,"&gt;"&amp;$A101,実績!$AE$6:$AE$505,"○")&gt;0,1,0))</f>
        <v/>
      </c>
      <c r="AY101">
        <f>IF(AY$4=0,0,IF(COUNTIFS(実績!$W$6:$W$505,AY$3,実績!$AC$6:$AC$505,"&lt;="&amp;$A101,実績!$AD$6:$AD$505,"&gt;"&amp;$A101,実績!$AE$6:$AE$505,"○")&gt;0,1,0))</f>
        <v/>
      </c>
      <c r="AZ101">
        <f>IF(AZ$4=0,0,IF(COUNTIFS(実績!$W$6:$W$505,AZ$3,実績!$AC$6:$AC$505,"&lt;="&amp;$A101,実績!$AD$6:$AD$505,"&gt;"&amp;$A101,実績!$AE$6:$AE$505,"○")&gt;0,1,0))</f>
        <v/>
      </c>
      <c r="BA101">
        <f>IF(BA$4=0,0,IF(COUNTIFS(実績!$W$6:$W$505,BA$3,実績!$AC$6:$AC$505,"&lt;="&amp;$A101,実績!$AD$6:$AD$505,"&gt;"&amp;$A101,実績!$AE$6:$AE$505,"○")&gt;0,1,0))</f>
        <v/>
      </c>
      <c r="BB101">
        <f>IF(BB$4=0,0,IF(COUNTIFS(実績!$W$6:$W$505,BB$3,実績!$AC$6:$AC$505,"&lt;="&amp;$A101,実績!$AD$6:$AD$505,"&gt;"&amp;$A101,実績!$AE$6:$AE$505,"○")&gt;0,1,0))</f>
        <v/>
      </c>
      <c r="BC101">
        <f>IF(BC$4=0,0,IF(COUNTIFS(実績!$W$6:$W$505,BC$3,実績!$AC$6:$AC$505,"&lt;="&amp;$A101,実績!$AD$6:$AD$505,"&gt;"&amp;$A101,実績!$AE$6:$AE$505,"○")&gt;0,1,0))</f>
        <v/>
      </c>
      <c r="BD101">
        <f>IF(BD$4=0,0,IF(COUNTIFS(実績!$W$6:$W$505,BD$3,実績!$AC$6:$AC$505,"&lt;="&amp;$A101,実績!$AD$6:$AD$505,"&gt;"&amp;$A101,実績!$AE$6:$AE$505,"○")&gt;0,1,0))</f>
        <v/>
      </c>
      <c r="BE101">
        <f>IF(BE$4=0,0,IF(COUNTIFS(実績!$W$6:$W$505,BE$3,実績!$AC$6:$AC$505,"&lt;="&amp;$A101,実績!$AD$6:$AD$505,"&gt;"&amp;$A101,実績!$AE$6:$AE$505,"○")&gt;0,1,0))</f>
        <v/>
      </c>
      <c r="BF101">
        <f>IF(BF$4=0,0,IF(COUNTIFS(実績!$W$6:$W$505,BF$3,実績!$AC$6:$AC$505,"&lt;="&amp;$A101,実績!$AD$6:$AD$505,"&gt;"&amp;$A101,実績!$AE$6:$AE$505,"○")&gt;0,1,0))</f>
        <v/>
      </c>
      <c r="BG101">
        <f>IF(BG$4=0,0,IF(COUNTIFS(実績!$W$6:$W$505,BG$3,実績!$AC$6:$AC$505,"&lt;="&amp;$A101,実績!$AD$6:$AD$505,"&gt;"&amp;$A101,実績!$AE$6:$AE$505,"○")&gt;0,1,0))</f>
        <v/>
      </c>
      <c r="BH101">
        <f>IF(BH$4=0,0,IF(COUNTIFS(実績!$W$6:$W$505,BH$3,実績!$AC$6:$AC$505,"&lt;="&amp;$A101,実績!$AD$6:$AD$505,"&gt;"&amp;$A101,実績!$AE$6:$AE$505,"○")&gt;0,1,0))</f>
        <v/>
      </c>
      <c r="BI101">
        <f>IF(BI$4=0,0,IF(COUNTIFS(実績!$W$6:$W$505,BI$3,実績!$AC$6:$AC$505,"&lt;="&amp;$A101,実績!$AD$6:$AD$505,"&gt;"&amp;$A101,実績!$AE$6:$AE$505,"○")&gt;0,1,0))</f>
        <v/>
      </c>
      <c r="BJ101">
        <f>IF(BJ$4=0,0,IF(COUNTIFS(実績!$W$6:$W$505,BJ$3,実績!$AC$6:$AC$505,"&lt;="&amp;$A101,実績!$AD$6:$AD$505,"&gt;"&amp;$A101,実績!$AE$6:$AE$505,"○")&gt;0,1,0))</f>
        <v/>
      </c>
      <c r="BK101">
        <f>IF(BK$4=0,0,IF(COUNTIFS(実績!$W$6:$W$505,BK$3,実績!$AC$6:$AC$505,"&lt;="&amp;$A101,実績!$AD$6:$AD$505,"&gt;"&amp;$A101,実績!$AE$6:$AE$505,"○")&gt;0,1,0))</f>
        <v/>
      </c>
      <c r="BL101">
        <f>IF(BL$4=0,0,IF(COUNTIFS(実績!$W$6:$W$505,BL$3,実績!$AC$6:$AC$505,"&lt;="&amp;$A101,実績!$AD$6:$AD$505,"&gt;"&amp;$A101,実績!$AE$6:$AE$505,"○")&gt;0,1,0))</f>
        <v/>
      </c>
      <c r="BM101">
        <f>IF(BM$4=0,0,IF(COUNTIFS(実績!$W$6:$W$505,BM$3,実績!$AC$6:$AC$505,"&lt;="&amp;$A101,実績!$AD$6:$AD$505,"&gt;"&amp;$A101,実績!$AE$6:$AE$505,"○")&gt;0,1,0))</f>
        <v/>
      </c>
      <c r="BN101">
        <f>IF(BN$4=0,0,IF(COUNTIFS(実績!$W$6:$W$505,BN$3,実績!$AC$6:$AC$505,"&lt;="&amp;$A101,実績!$AD$6:$AD$505,"&gt;"&amp;$A101,実績!$AE$6:$AE$505,"○")&gt;0,1,0))</f>
        <v/>
      </c>
      <c r="BO101">
        <f>IF(BO$4=0,0,IF(COUNTIFS(実績!$W$6:$W$505,BO$3,実績!$AC$6:$AC$505,"&lt;="&amp;$A101,実績!$AD$6:$AD$505,"&gt;"&amp;$A101,実績!$AE$6:$AE$505,"○")&gt;0,1,0))</f>
        <v/>
      </c>
      <c r="BP101">
        <f>IF(BP$4=0,0,IF(COUNTIFS(実績!$W$6:$W$505,BP$3,実績!$AC$6:$AC$505,"&lt;="&amp;$A101,実績!$AD$6:$AD$505,"&gt;"&amp;$A101,実績!$AE$6:$AE$505,"○")&gt;0,1,0))</f>
        <v/>
      </c>
      <c r="BQ101">
        <f>IF(BQ$4=0,0,IF(COUNTIFS(実績!$W$6:$W$505,BQ$3,実績!$AC$6:$AC$505,"&lt;="&amp;$A101,実績!$AD$6:$AD$505,"&gt;"&amp;$A101,実績!$AE$6:$AE$505,"○")&gt;0,1,0))</f>
        <v/>
      </c>
      <c r="BR101">
        <f>IF(BR$4=0,0,IF(COUNTIFS(実績!$W$6:$W$505,BR$3,実績!$AC$6:$AC$505,"&lt;="&amp;$A101,実績!$AD$6:$AD$505,"&gt;"&amp;$A101,実績!$AE$6:$AE$505,"○")&gt;0,1,0))</f>
        <v/>
      </c>
      <c r="BS101">
        <f>IF(BS$4=0,0,IF(COUNTIFS(実績!$W$6:$W$505,BS$3,実績!$AC$6:$AC$505,"&lt;="&amp;$A101,実績!$AD$6:$AD$505,"&gt;"&amp;$A101,実績!$AE$6:$AE$505,"○")&gt;0,1,0))</f>
        <v/>
      </c>
      <c r="BT101">
        <f>IF(BT$4=0,0,IF(COUNTIFS(実績!$W$6:$W$505,BT$3,実績!$AC$6:$AC$505,"&lt;="&amp;$A101,実績!$AD$6:$AD$505,"&gt;"&amp;$A101,実績!$AE$6:$AE$505,"○")&gt;0,1,0))</f>
        <v/>
      </c>
      <c r="BU101">
        <f>IF(BU$4=0,0,IF(COUNTIFS(実績!$W$6:$W$505,BU$3,実績!$AC$6:$AC$505,"&lt;="&amp;$A101,実績!$AD$6:$AD$505,"&gt;"&amp;$A101,実績!$AE$6:$AE$505,"○")&gt;0,1,0))</f>
        <v/>
      </c>
      <c r="BV101">
        <f>IF(BV$4=0,0,IF(COUNTIFS(実績!$W$6:$W$505,BV$3,実績!$AC$6:$AC$505,"&lt;="&amp;$A101,実績!$AD$6:$AD$505,"&gt;"&amp;$A101,実績!$AE$6:$AE$505,"○")&gt;0,1,0))</f>
        <v/>
      </c>
      <c r="BW101">
        <f>IF(BW$4=0,0,IF(COUNTIFS(実績!$W$6:$W$505,BW$3,実績!$AC$6:$AC$505,"&lt;="&amp;$A101,実績!$AD$6:$AD$505,"&gt;"&amp;$A101,実績!$AE$6:$AE$505,"○")&gt;0,1,0))</f>
        <v/>
      </c>
      <c r="BX101">
        <f>IF(BX$4=0,0,IF(COUNTIFS(実績!$W$6:$W$505,BX$3,実績!$AC$6:$AC$505,"&lt;="&amp;$A101,実績!$AD$6:$AD$505,"&gt;"&amp;$A101,実績!$AE$6:$AE$505,"○")&gt;0,1,0))</f>
        <v/>
      </c>
      <c r="BY101">
        <f>IF(BY$4=0,0,IF(COUNTIFS(実績!$W$6:$W$505,BY$3,実績!$AC$6:$AC$505,"&lt;="&amp;$A101,実績!$AD$6:$AD$505,"&gt;"&amp;$A101,実績!$AE$6:$AE$505,"○")&gt;0,1,0))</f>
        <v/>
      </c>
      <c r="BZ101">
        <f>IF(BZ$4=0,0,IF(COUNTIFS(実績!$W$6:$W$505,BZ$3,実績!$AC$6:$AC$505,"&lt;="&amp;$A101,実績!$AD$6:$AD$505,"&gt;"&amp;$A101,実績!$AE$6:$AE$505,"○")&gt;0,1,0))</f>
        <v/>
      </c>
      <c r="CA101">
        <f>IF(CA$4=0,0,IF(COUNTIFS(実績!$W$6:$W$505,CA$3,実績!$AC$6:$AC$505,"&lt;="&amp;$A101,実績!$AD$6:$AD$505,"&gt;"&amp;$A101,実績!$AE$6:$AE$505,"○")&gt;0,1,0))</f>
        <v/>
      </c>
      <c r="CB101">
        <f>IF(CB$4=0,0,IF(COUNTIFS(実績!$W$6:$W$505,CB$3,実績!$AC$6:$AC$505,"&lt;="&amp;$A101,実績!$AD$6:$AD$505,"&gt;"&amp;$A101,実績!$AE$6:$AE$505,"○")&gt;0,1,0))</f>
        <v/>
      </c>
      <c r="CC101">
        <f>IF(CC$4=0,0,IF(COUNTIFS(実績!$W$6:$W$505,CC$3,実績!$AC$6:$AC$505,"&lt;="&amp;$A101,実績!$AD$6:$AD$505,"&gt;"&amp;$A101,実績!$AE$6:$AE$505,"○")&gt;0,1,0))</f>
        <v/>
      </c>
      <c r="CD101">
        <f>IF(CD$4=0,0,IF(COUNTIFS(実績!$W$6:$W$505,CD$3,実績!$AC$6:$AC$505,"&lt;="&amp;$A101,実績!$AD$6:$AD$505,"&gt;"&amp;$A101,実績!$AE$6:$AE$505,"○")&gt;0,1,0))</f>
        <v/>
      </c>
      <c r="CE101">
        <f>IF(CE$4=0,0,IF(COUNTIFS(実績!$W$6:$W$505,CE$3,実績!$AC$6:$AC$505,"&lt;="&amp;$A101,実績!$AD$6:$AD$505,"&gt;"&amp;$A101,実績!$AE$6:$AE$505,"○")&gt;0,1,0))</f>
        <v/>
      </c>
      <c r="CF101">
        <f>IF(CF$4=0,0,IF(COUNTIFS(実績!$W$6:$W$505,CF$3,実績!$AC$6:$AC$505,"&lt;="&amp;$A101,実績!$AD$6:$AD$505,"&gt;"&amp;$A101,実績!$AE$6:$AE$505,"○")&gt;0,1,0))</f>
        <v/>
      </c>
      <c r="CG101">
        <f>IF(CG$4=0,0,IF(COUNTIFS(実績!$W$6:$W$505,CG$3,実績!$AC$6:$AC$505,"&lt;="&amp;$A101,実績!$AD$6:$AD$505,"&gt;"&amp;$A101,実績!$AE$6:$AE$505,"○")&gt;0,1,0))</f>
        <v/>
      </c>
      <c r="CH101">
        <f>IF(CH$4=0,0,IF(COUNTIFS(実績!$W$6:$W$505,CH$3,実績!$AC$6:$AC$505,"&lt;="&amp;$A101,実績!$AD$6:$AD$505,"&gt;"&amp;$A101,実績!$AE$6:$AE$505,"○")&gt;0,1,0))</f>
        <v/>
      </c>
      <c r="CI101">
        <f>IF(CI$4=0,0,IF(COUNTIFS(実績!$W$6:$W$505,CI$3,実績!$AC$6:$AC$505,"&lt;="&amp;$A101,実績!$AD$6:$AD$505,"&gt;"&amp;$A101,実績!$AE$6:$AE$505,"○")&gt;0,1,0))</f>
        <v/>
      </c>
      <c r="CJ101">
        <f>IF(CJ$4=0,0,IF(COUNTIFS(実績!$W$6:$W$505,CJ$3,実績!$AC$6:$AC$505,"&lt;="&amp;$A101,実績!$AD$6:$AD$505,"&gt;"&amp;$A101,実績!$AE$6:$AE$505,"○")&gt;0,1,0))</f>
        <v/>
      </c>
      <c r="CK101">
        <f>IF(CK$4=0,0,IF(COUNTIFS(実績!$W$6:$W$505,CK$3,実績!$AC$6:$AC$505,"&lt;="&amp;$A101,実績!$AD$6:$AD$505,"&gt;"&amp;$A101,実績!$AE$6:$AE$505,"○")&gt;0,1,0))</f>
        <v/>
      </c>
      <c r="CL101">
        <f>IF(CL$4=0,0,IF(COUNTIFS(実績!$W$6:$W$505,CL$3,実績!$AC$6:$AC$505,"&lt;="&amp;$A101,実績!$AD$6:$AD$505,"&gt;"&amp;$A101,実績!$AE$6:$AE$505,"○")&gt;0,1,0))</f>
        <v/>
      </c>
      <c r="CM101">
        <f>IF(CM$4=0,0,IF(COUNTIFS(実績!$W$6:$W$505,CM$3,実績!$AC$6:$AC$505,"&lt;="&amp;$A101,実績!$AD$6:$AD$505,"&gt;"&amp;$A101,実績!$AE$6:$AE$505,"○")&gt;0,1,0))</f>
        <v/>
      </c>
      <c r="CN101">
        <f>IF(CN$4=0,0,IF(COUNTIFS(実績!$W$6:$W$505,CN$3,実績!$AC$6:$AC$505,"&lt;="&amp;$A101,実績!$AD$6:$AD$505,"&gt;"&amp;$A101,実績!$AE$6:$AE$505,"○")&gt;0,1,0))</f>
        <v/>
      </c>
      <c r="CO101">
        <f>IF(CO$4=0,0,IF(COUNTIFS(実績!$W$6:$W$505,CO$3,実績!$AC$6:$AC$505,"&lt;="&amp;$A101,実績!$AD$6:$AD$505,"&gt;"&amp;$A101,実績!$AE$6:$AE$505,"○")&gt;0,1,0))</f>
        <v/>
      </c>
      <c r="CP101">
        <f>IF(CP$4=0,0,IF(COUNTIFS(実績!$W$6:$W$505,CP$3,実績!$AC$6:$AC$505,"&lt;="&amp;$A101,実績!$AD$6:$AD$505,"&gt;"&amp;$A101,実績!$AE$6:$AE$505,"○")&gt;0,1,0))</f>
        <v/>
      </c>
      <c r="CQ101">
        <f>IF(CQ$4=0,0,IF(COUNTIFS(実績!$W$6:$W$505,CQ$3,実績!$AC$6:$AC$505,"&lt;="&amp;$A101,実績!$AD$6:$AD$505,"&gt;"&amp;$A101,実績!$AE$6:$AE$505,"○")&gt;0,1,0))</f>
        <v/>
      </c>
      <c r="CR101">
        <f>IF(CR$4=0,0,IF(COUNTIFS(実績!$W$6:$W$505,CR$3,実績!$AC$6:$AC$505,"&lt;="&amp;$A101,実績!$AD$6:$AD$505,"&gt;"&amp;$A101,実績!$AE$6:$AE$505,"○")&gt;0,1,0))</f>
        <v/>
      </c>
      <c r="CS101">
        <f>IF(CS$4=0,0,IF(COUNTIFS(実績!$W$6:$W$505,CS$3,実績!$AC$6:$AC$505,"&lt;="&amp;$A101,実績!$AD$6:$AD$505,"&gt;"&amp;$A101,実績!$AE$6:$AE$505,"○")&gt;0,1,0))</f>
        <v/>
      </c>
      <c r="CT101">
        <f>IF(CT$4=0,0,IF(COUNTIFS(実績!$W$6:$W$505,CT$3,実績!$AC$6:$AC$505,"&lt;="&amp;$A101,実績!$AD$6:$AD$505,"&gt;"&amp;$A101,実績!$AE$6:$AE$505,"○")&gt;0,1,0))</f>
        <v/>
      </c>
      <c r="CU101">
        <f>IF(CU$4=0,0,IF(COUNTIFS(実績!$W$6:$W$505,CU$3,実績!$AC$6:$AC$505,"&lt;="&amp;$A101,実績!$AD$6:$AD$505,"&gt;"&amp;$A101,実績!$AE$6:$AE$505,"○")&gt;0,1,0))</f>
        <v/>
      </c>
      <c r="CV101">
        <f>IF(CV$4=0,0,IF(COUNTIFS(実績!$W$6:$W$505,CV$3,実績!$AC$6:$AC$505,"&lt;="&amp;$A101,実績!$AD$6:$AD$505,"&gt;"&amp;$A101,実績!$AE$6:$AE$505,"○")&gt;0,1,0))</f>
        <v/>
      </c>
      <c r="CW101">
        <f>IF(CW$4=0,0,IF(COUNTIFS(実績!$W$6:$W$505,CW$3,実績!$AC$6:$AC$505,"&lt;="&amp;$A101,実績!$AD$6:$AD$505,"&gt;"&amp;$A101,実績!$AE$6:$AE$505,"○")&gt;0,1,0))</f>
        <v/>
      </c>
      <c r="CX101">
        <f>IF(CX$4=0,0,IF(COUNTIFS(実績!$W$6:$W$505,CX$3,実績!$AC$6:$AC$505,"&lt;="&amp;$A101,実績!$AD$6:$AD$505,"&gt;"&amp;$A101,実績!$AE$6:$AE$505,"○")&gt;0,1,0))</f>
        <v/>
      </c>
      <c r="CY101">
        <f>IF(CY$4=0,0,IF(COUNTIFS(実績!$W$6:$W$505,CY$3,実績!$AC$6:$AC$505,"&lt;="&amp;$A101,実績!$AD$6:$AD$505,"&gt;"&amp;$A101,実績!$AE$6:$AE$505,"○")&gt;0,1,0))</f>
        <v/>
      </c>
      <c r="CZ101">
        <f>IF(CZ$4=0,0,IF(COUNTIFS(実績!$W$6:$W$505,CZ$3,実績!$AC$6:$AC$505,"&lt;="&amp;$A101,実績!$AD$6:$AD$505,"&gt;"&amp;$A101,実績!$AE$6:$AE$505,"○")&gt;0,1,0))</f>
        <v/>
      </c>
      <c r="DA101">
        <f>IF(DA$4=0,0,IF(COUNTIFS(実績!$W$6:$W$505,DA$3,実績!$AC$6:$AC$505,"&lt;="&amp;$A101,実績!$AD$6:$AD$505,"&gt;"&amp;$A101,実績!$AE$6:$AE$505,"○")&gt;0,1,0))</f>
        <v/>
      </c>
      <c r="DB101">
        <f>IF(DB$4=0,0,IF(COUNTIFS(実績!$W$6:$W$505,DB$3,実績!$AC$6:$AC$505,"&lt;="&amp;$A101,実績!$AD$6:$AD$505,"&gt;"&amp;$A101,実績!$AE$6:$AE$505,"○")&gt;0,1,0))</f>
        <v/>
      </c>
      <c r="DC101">
        <f>IF(DC$4=0,0,IF(COUNTIFS(実績!$W$6:$W$505,DC$3,実績!$AC$6:$AC$505,"&lt;="&amp;$A101,実績!$AD$6:$AD$505,"&gt;"&amp;$A101,実績!$AE$6:$AE$505,"○")&gt;0,1,0))</f>
        <v/>
      </c>
      <c r="DD101">
        <f>IF(DD$4=0,0,IF(COUNTIFS(実績!$W$6:$W$505,DD$3,実績!$AC$6:$AC$505,"&lt;="&amp;$A101,実績!$AD$6:$AD$505,"&gt;"&amp;$A101,実績!$AE$6:$AE$505,"○")&gt;0,1,0))</f>
        <v/>
      </c>
      <c r="DE101">
        <f>IF(DE$4=0,0,IF(COUNTIFS(実績!$W$6:$W$505,DE$3,実績!$AC$6:$AC$505,"&lt;="&amp;$A101,実績!$AD$6:$AD$505,"&gt;"&amp;$A101,実績!$AE$6:$AE$505,"○")&gt;0,1,0))</f>
        <v/>
      </c>
      <c r="DF101">
        <f>IF(DF$4=0,0,IF(COUNTIFS(実績!$W$6:$W$505,DF$3,実績!$AC$6:$AC$505,"&lt;="&amp;$A101,実績!$AD$6:$AD$505,"&gt;"&amp;$A101,実績!$AE$6:$AE$505,"○")&gt;0,1,0))</f>
        <v/>
      </c>
      <c r="DG101">
        <f>IF(DG$4=0,0,IF(COUNTIFS(実績!$W$6:$W$505,DG$3,実績!$AC$6:$AC$505,"&lt;="&amp;$A101,実績!$AD$6:$AD$505,"&gt;"&amp;$A101,実績!$AE$6:$AE$505,"○")&gt;0,1,0))</f>
        <v/>
      </c>
      <c r="DH101">
        <f>IF(DH$4=0,0,IF(COUNTIFS(実績!$W$6:$W$505,DH$3,実績!$AC$6:$AC$505,"&lt;="&amp;$A101,実績!$AD$6:$AD$505,"&gt;"&amp;$A101,実績!$AE$6:$AE$505,"○")&gt;0,1,0))</f>
        <v/>
      </c>
      <c r="DI101">
        <f>IF(DI$4=0,0,IF(COUNTIFS(実績!$W$6:$W$505,DI$3,実績!$AC$6:$AC$505,"&lt;="&amp;$A101,実績!$AD$6:$AD$505,"&gt;"&amp;$A101,実績!$AE$6:$AE$505,"○")&gt;0,1,0))</f>
        <v/>
      </c>
      <c r="DJ101">
        <f>IF(DJ$4=0,0,IF(COUNTIFS(実績!$W$6:$W$505,DJ$3,実績!$AC$6:$AC$505,"&lt;="&amp;$A101,実績!$AD$6:$AD$505,"&gt;"&amp;$A101,実績!$AE$6:$AE$505,"○")&gt;0,1,0))</f>
        <v/>
      </c>
      <c r="DK101">
        <f>IF(DK$4=0,0,IF(COUNTIFS(実績!$W$6:$W$505,DK$3,実績!$AC$6:$AC$505,"&lt;="&amp;$A101,実績!$AD$6:$AD$505,"&gt;"&amp;$A101,実績!$AE$6:$AE$505,"○")&gt;0,1,0))</f>
        <v/>
      </c>
      <c r="DL101">
        <f>IF(DL$4=0,0,IF(COUNTIFS(実績!$W$6:$W$505,DL$3,実績!$AC$6:$AC$505,"&lt;="&amp;$A101,実績!$AD$6:$AD$505,"&gt;"&amp;$A101,実績!$AE$6:$AE$505,"○")&gt;0,1,0))</f>
        <v/>
      </c>
      <c r="DM101">
        <f>IF(DM$4=0,0,IF(COUNTIFS(実績!$W$6:$W$505,DM$3,実績!$AC$6:$AC$505,"&lt;="&amp;$A101,実績!$AD$6:$AD$505,"&gt;"&amp;$A101,実績!$AE$6:$AE$505,"○")&gt;0,1,0))</f>
        <v/>
      </c>
      <c r="DN101">
        <f>IF(DN$4=0,0,IF(COUNTIFS(実績!$W$6:$W$505,DN$3,実績!$AC$6:$AC$505,"&lt;="&amp;$A101,実績!$AD$6:$AD$505,"&gt;"&amp;$A101,実績!$AE$6:$AE$505,"○")&gt;0,1,0))</f>
        <v/>
      </c>
      <c r="DO101">
        <f>IF(DO$4=0,0,IF(COUNTIFS(実績!$W$6:$W$505,DO$3,実績!$AC$6:$AC$505,"&lt;="&amp;$A101,実績!$AD$6:$AD$505,"&gt;"&amp;$A101,実績!$AE$6:$AE$505,"○")&gt;0,1,0))</f>
        <v/>
      </c>
      <c r="DP101">
        <f>IF(DP$4=0,0,IF(COUNTIFS(実績!$W$6:$W$505,DP$3,実績!$AC$6:$AC$505,"&lt;="&amp;$A101,実績!$AD$6:$AD$505,"&gt;"&amp;$A101,実績!$AE$6:$AE$505,"○")&gt;0,1,0))</f>
        <v/>
      </c>
      <c r="DQ101">
        <f>IF(DQ$4=0,0,IF(COUNTIFS(実績!$W$6:$W$505,DQ$3,実績!$AC$6:$AC$505,"&lt;="&amp;$A101,実績!$AD$6:$AD$505,"&gt;"&amp;$A101,実績!$AE$6:$AE$505,"○")&gt;0,1,0))</f>
        <v/>
      </c>
      <c r="DR101">
        <f>IF(DR$4=0,0,IF(COUNTIFS(実績!$W$6:$W$505,DR$3,実績!$AC$6:$AC$505,"&lt;="&amp;$A101,実績!$AD$6:$AD$505,"&gt;"&amp;$A101,実績!$AE$6:$AE$505,"○")&gt;0,1,0))</f>
        <v/>
      </c>
      <c r="DS101">
        <f>SUM(C101:DR101)</f>
        <v/>
      </c>
      <c r="DT101">
        <f>SUMPRODUCT((実績!$C$6:$C$505="○")*ISNUMBER(実績!$AF$6:$AF$505)*(実績!$AF$6:$AF$505&lt;=$A101)*(実績!$AG$6:$AG$505&gt;$A101))</f>
        <v/>
      </c>
      <c r="DU101">
        <f>SUMIF($C$2:$DR$2,"製鉄曳船",C101:DR101)</f>
        <v/>
      </c>
      <c r="DV101">
        <f>SUMIF($C$2:$DR$2,"西日本海運",C101:DR101)</f>
        <v/>
      </c>
    </row>
    <row r="102">
      <c r="A102" t="n">
        <v>480</v>
      </c>
      <c r="B102" s="29">
        <f>A102/1440</f>
        <v/>
      </c>
      <c r="C102">
        <f>IF(C$4=0,0,IF(COUNTIFS(実績!$W$6:$W$505,C$3,実績!$AC$6:$AC$505,"&lt;="&amp;$A102,実績!$AD$6:$AD$505,"&gt;"&amp;$A102,実績!$AE$6:$AE$505,"○")&gt;0,1,0))</f>
        <v/>
      </c>
      <c r="D102">
        <f>IF(D$4=0,0,IF(COUNTIFS(実績!$W$6:$W$505,D$3,実績!$AC$6:$AC$505,"&lt;="&amp;$A102,実績!$AD$6:$AD$505,"&gt;"&amp;$A102,実績!$AE$6:$AE$505,"○")&gt;0,1,0))</f>
        <v/>
      </c>
      <c r="E102">
        <f>IF(E$4=0,0,IF(COUNTIFS(実績!$W$6:$W$505,E$3,実績!$AC$6:$AC$505,"&lt;="&amp;$A102,実績!$AD$6:$AD$505,"&gt;"&amp;$A102,実績!$AE$6:$AE$505,"○")&gt;0,1,0))</f>
        <v/>
      </c>
      <c r="F102">
        <f>IF(F$4=0,0,IF(COUNTIFS(実績!$W$6:$W$505,F$3,実績!$AC$6:$AC$505,"&lt;="&amp;$A102,実績!$AD$6:$AD$505,"&gt;"&amp;$A102,実績!$AE$6:$AE$505,"○")&gt;0,1,0))</f>
        <v/>
      </c>
      <c r="G102">
        <f>IF(G$4=0,0,IF(COUNTIFS(実績!$W$6:$W$505,G$3,実績!$AC$6:$AC$505,"&lt;="&amp;$A102,実績!$AD$6:$AD$505,"&gt;"&amp;$A102,実績!$AE$6:$AE$505,"○")&gt;0,1,0))</f>
        <v/>
      </c>
      <c r="H102">
        <f>IF(H$4=0,0,IF(COUNTIFS(実績!$W$6:$W$505,H$3,実績!$AC$6:$AC$505,"&lt;="&amp;$A102,実績!$AD$6:$AD$505,"&gt;"&amp;$A102,実績!$AE$6:$AE$505,"○")&gt;0,1,0))</f>
        <v/>
      </c>
      <c r="I102">
        <f>IF(I$4=0,0,IF(COUNTIFS(実績!$W$6:$W$505,I$3,実績!$AC$6:$AC$505,"&lt;="&amp;$A102,実績!$AD$6:$AD$505,"&gt;"&amp;$A102,実績!$AE$6:$AE$505,"○")&gt;0,1,0))</f>
        <v/>
      </c>
      <c r="J102">
        <f>IF(J$4=0,0,IF(COUNTIFS(実績!$W$6:$W$505,J$3,実績!$AC$6:$AC$505,"&lt;="&amp;$A102,実績!$AD$6:$AD$505,"&gt;"&amp;$A102,実績!$AE$6:$AE$505,"○")&gt;0,1,0))</f>
        <v/>
      </c>
      <c r="K102">
        <f>IF(K$4=0,0,IF(COUNTIFS(実績!$W$6:$W$505,K$3,実績!$AC$6:$AC$505,"&lt;="&amp;$A102,実績!$AD$6:$AD$505,"&gt;"&amp;$A102,実績!$AE$6:$AE$505,"○")&gt;0,1,0))</f>
        <v/>
      </c>
      <c r="L102">
        <f>IF(L$4=0,0,IF(COUNTIFS(実績!$W$6:$W$505,L$3,実績!$AC$6:$AC$505,"&lt;="&amp;$A102,実績!$AD$6:$AD$505,"&gt;"&amp;$A102,実績!$AE$6:$AE$505,"○")&gt;0,1,0))</f>
        <v/>
      </c>
      <c r="M102">
        <f>IF(M$4=0,0,IF(COUNTIFS(実績!$W$6:$W$505,M$3,実績!$AC$6:$AC$505,"&lt;="&amp;$A102,実績!$AD$6:$AD$505,"&gt;"&amp;$A102,実績!$AE$6:$AE$505,"○")&gt;0,1,0))</f>
        <v/>
      </c>
      <c r="N102">
        <f>IF(N$4=0,0,IF(COUNTIFS(実績!$W$6:$W$505,N$3,実績!$AC$6:$AC$505,"&lt;="&amp;$A102,実績!$AD$6:$AD$505,"&gt;"&amp;$A102,実績!$AE$6:$AE$505,"○")&gt;0,1,0))</f>
        <v/>
      </c>
      <c r="O102">
        <f>IF(O$4=0,0,IF(COUNTIFS(実績!$W$6:$W$505,O$3,実績!$AC$6:$AC$505,"&lt;="&amp;$A102,実績!$AD$6:$AD$505,"&gt;"&amp;$A102,実績!$AE$6:$AE$505,"○")&gt;0,1,0))</f>
        <v/>
      </c>
      <c r="P102">
        <f>IF(P$4=0,0,IF(COUNTIFS(実績!$W$6:$W$505,P$3,実績!$AC$6:$AC$505,"&lt;="&amp;$A102,実績!$AD$6:$AD$505,"&gt;"&amp;$A102,実績!$AE$6:$AE$505,"○")&gt;0,1,0))</f>
        <v/>
      </c>
      <c r="Q102">
        <f>IF(Q$4=0,0,IF(COUNTIFS(実績!$W$6:$W$505,Q$3,実績!$AC$6:$AC$505,"&lt;="&amp;$A102,実績!$AD$6:$AD$505,"&gt;"&amp;$A102,実績!$AE$6:$AE$505,"○")&gt;0,1,0))</f>
        <v/>
      </c>
      <c r="R102">
        <f>IF(R$4=0,0,IF(COUNTIFS(実績!$W$6:$W$505,R$3,実績!$AC$6:$AC$505,"&lt;="&amp;$A102,実績!$AD$6:$AD$505,"&gt;"&amp;$A102,実績!$AE$6:$AE$505,"○")&gt;0,1,0))</f>
        <v/>
      </c>
      <c r="S102">
        <f>IF(S$4=0,0,IF(COUNTIFS(実績!$W$6:$W$505,S$3,実績!$AC$6:$AC$505,"&lt;="&amp;$A102,実績!$AD$6:$AD$505,"&gt;"&amp;$A102,実績!$AE$6:$AE$505,"○")&gt;0,1,0))</f>
        <v/>
      </c>
      <c r="T102">
        <f>IF(T$4=0,0,IF(COUNTIFS(実績!$W$6:$W$505,T$3,実績!$AC$6:$AC$505,"&lt;="&amp;$A102,実績!$AD$6:$AD$505,"&gt;"&amp;$A102,実績!$AE$6:$AE$505,"○")&gt;0,1,0))</f>
        <v/>
      </c>
      <c r="U102">
        <f>IF(U$4=0,0,IF(COUNTIFS(実績!$W$6:$W$505,U$3,実績!$AC$6:$AC$505,"&lt;="&amp;$A102,実績!$AD$6:$AD$505,"&gt;"&amp;$A102,実績!$AE$6:$AE$505,"○")&gt;0,1,0))</f>
        <v/>
      </c>
      <c r="V102">
        <f>IF(V$4=0,0,IF(COUNTIFS(実績!$W$6:$W$505,V$3,実績!$AC$6:$AC$505,"&lt;="&amp;$A102,実績!$AD$6:$AD$505,"&gt;"&amp;$A102,実績!$AE$6:$AE$505,"○")&gt;0,1,0))</f>
        <v/>
      </c>
      <c r="W102">
        <f>IF(W$4=0,0,IF(COUNTIFS(実績!$W$6:$W$505,W$3,実績!$AC$6:$AC$505,"&lt;="&amp;$A102,実績!$AD$6:$AD$505,"&gt;"&amp;$A102,実績!$AE$6:$AE$505,"○")&gt;0,1,0))</f>
        <v/>
      </c>
      <c r="X102">
        <f>IF(X$4=0,0,IF(COUNTIFS(実績!$W$6:$W$505,X$3,実績!$AC$6:$AC$505,"&lt;="&amp;$A102,実績!$AD$6:$AD$505,"&gt;"&amp;$A102,実績!$AE$6:$AE$505,"○")&gt;0,1,0))</f>
        <v/>
      </c>
      <c r="Y102">
        <f>IF(Y$4=0,0,IF(COUNTIFS(実績!$W$6:$W$505,Y$3,実績!$AC$6:$AC$505,"&lt;="&amp;$A102,実績!$AD$6:$AD$505,"&gt;"&amp;$A102,実績!$AE$6:$AE$505,"○")&gt;0,1,0))</f>
        <v/>
      </c>
      <c r="Z102">
        <f>IF(Z$4=0,0,IF(COUNTIFS(実績!$W$6:$W$505,Z$3,実績!$AC$6:$AC$505,"&lt;="&amp;$A102,実績!$AD$6:$AD$505,"&gt;"&amp;$A102,実績!$AE$6:$AE$505,"○")&gt;0,1,0))</f>
        <v/>
      </c>
      <c r="AA102">
        <f>IF(AA$4=0,0,IF(COUNTIFS(実績!$W$6:$W$505,AA$3,実績!$AC$6:$AC$505,"&lt;="&amp;$A102,実績!$AD$6:$AD$505,"&gt;"&amp;$A102,実績!$AE$6:$AE$505,"○")&gt;0,1,0))</f>
        <v/>
      </c>
      <c r="AB102">
        <f>IF(AB$4=0,0,IF(COUNTIFS(実績!$W$6:$W$505,AB$3,実績!$AC$6:$AC$505,"&lt;="&amp;$A102,実績!$AD$6:$AD$505,"&gt;"&amp;$A102,実績!$AE$6:$AE$505,"○")&gt;0,1,0))</f>
        <v/>
      </c>
      <c r="AC102">
        <f>IF(AC$4=0,0,IF(COUNTIFS(実績!$W$6:$W$505,AC$3,実績!$AC$6:$AC$505,"&lt;="&amp;$A102,実績!$AD$6:$AD$505,"&gt;"&amp;$A102,実績!$AE$6:$AE$505,"○")&gt;0,1,0))</f>
        <v/>
      </c>
      <c r="AD102">
        <f>IF(AD$4=0,0,IF(COUNTIFS(実績!$W$6:$W$505,AD$3,実績!$AC$6:$AC$505,"&lt;="&amp;$A102,実績!$AD$6:$AD$505,"&gt;"&amp;$A102,実績!$AE$6:$AE$505,"○")&gt;0,1,0))</f>
        <v/>
      </c>
      <c r="AE102">
        <f>IF(AE$4=0,0,IF(COUNTIFS(実績!$W$6:$W$505,AE$3,実績!$AC$6:$AC$505,"&lt;="&amp;$A102,実績!$AD$6:$AD$505,"&gt;"&amp;$A102,実績!$AE$6:$AE$505,"○")&gt;0,1,0))</f>
        <v/>
      </c>
      <c r="AF102">
        <f>IF(AF$4=0,0,IF(COUNTIFS(実績!$W$6:$W$505,AF$3,実績!$AC$6:$AC$505,"&lt;="&amp;$A102,実績!$AD$6:$AD$505,"&gt;"&amp;$A102,実績!$AE$6:$AE$505,"○")&gt;0,1,0))</f>
        <v/>
      </c>
      <c r="AG102">
        <f>IF(AG$4=0,0,IF(COUNTIFS(実績!$W$6:$W$505,AG$3,実績!$AC$6:$AC$505,"&lt;="&amp;$A102,実績!$AD$6:$AD$505,"&gt;"&amp;$A102,実績!$AE$6:$AE$505,"○")&gt;0,1,0))</f>
        <v/>
      </c>
      <c r="AH102">
        <f>IF(AH$4=0,0,IF(COUNTIFS(実績!$W$6:$W$505,AH$3,実績!$AC$6:$AC$505,"&lt;="&amp;$A102,実績!$AD$6:$AD$505,"&gt;"&amp;$A102,実績!$AE$6:$AE$505,"○")&gt;0,1,0))</f>
        <v/>
      </c>
      <c r="AI102">
        <f>IF(AI$4=0,0,IF(COUNTIFS(実績!$W$6:$W$505,AI$3,実績!$AC$6:$AC$505,"&lt;="&amp;$A102,実績!$AD$6:$AD$505,"&gt;"&amp;$A102,実績!$AE$6:$AE$505,"○")&gt;0,1,0))</f>
        <v/>
      </c>
      <c r="AJ102">
        <f>IF(AJ$4=0,0,IF(COUNTIFS(実績!$W$6:$W$505,AJ$3,実績!$AC$6:$AC$505,"&lt;="&amp;$A102,実績!$AD$6:$AD$505,"&gt;"&amp;$A102,実績!$AE$6:$AE$505,"○")&gt;0,1,0))</f>
        <v/>
      </c>
      <c r="AK102">
        <f>IF(AK$4=0,0,IF(COUNTIFS(実績!$W$6:$W$505,AK$3,実績!$AC$6:$AC$505,"&lt;="&amp;$A102,実績!$AD$6:$AD$505,"&gt;"&amp;$A102,実績!$AE$6:$AE$505,"○")&gt;0,1,0))</f>
        <v/>
      </c>
      <c r="AL102">
        <f>IF(AL$4=0,0,IF(COUNTIFS(実績!$W$6:$W$505,AL$3,実績!$AC$6:$AC$505,"&lt;="&amp;$A102,実績!$AD$6:$AD$505,"&gt;"&amp;$A102,実績!$AE$6:$AE$505,"○")&gt;0,1,0))</f>
        <v/>
      </c>
      <c r="AM102">
        <f>IF(AM$4=0,0,IF(COUNTIFS(実績!$W$6:$W$505,AM$3,実績!$AC$6:$AC$505,"&lt;="&amp;$A102,実績!$AD$6:$AD$505,"&gt;"&amp;$A102,実績!$AE$6:$AE$505,"○")&gt;0,1,0))</f>
        <v/>
      </c>
      <c r="AN102">
        <f>IF(AN$4=0,0,IF(COUNTIFS(実績!$W$6:$W$505,AN$3,実績!$AC$6:$AC$505,"&lt;="&amp;$A102,実績!$AD$6:$AD$505,"&gt;"&amp;$A102,実績!$AE$6:$AE$505,"○")&gt;0,1,0))</f>
        <v/>
      </c>
      <c r="AO102">
        <f>IF(AO$4=0,0,IF(COUNTIFS(実績!$W$6:$W$505,AO$3,実績!$AC$6:$AC$505,"&lt;="&amp;$A102,実績!$AD$6:$AD$505,"&gt;"&amp;$A102,実績!$AE$6:$AE$505,"○")&gt;0,1,0))</f>
        <v/>
      </c>
      <c r="AP102">
        <f>IF(AP$4=0,0,IF(COUNTIFS(実績!$W$6:$W$505,AP$3,実績!$AC$6:$AC$505,"&lt;="&amp;$A102,実績!$AD$6:$AD$505,"&gt;"&amp;$A102,実績!$AE$6:$AE$505,"○")&gt;0,1,0))</f>
        <v/>
      </c>
      <c r="AQ102">
        <f>IF(AQ$4=0,0,IF(COUNTIFS(実績!$W$6:$W$505,AQ$3,実績!$AC$6:$AC$505,"&lt;="&amp;$A102,実績!$AD$6:$AD$505,"&gt;"&amp;$A102,実績!$AE$6:$AE$505,"○")&gt;0,1,0))</f>
        <v/>
      </c>
      <c r="AR102">
        <f>IF(AR$4=0,0,IF(COUNTIFS(実績!$W$6:$W$505,AR$3,実績!$AC$6:$AC$505,"&lt;="&amp;$A102,実績!$AD$6:$AD$505,"&gt;"&amp;$A102,実績!$AE$6:$AE$505,"○")&gt;0,1,0))</f>
        <v/>
      </c>
      <c r="AS102">
        <f>IF(AS$4=0,0,IF(COUNTIFS(実績!$W$6:$W$505,AS$3,実績!$AC$6:$AC$505,"&lt;="&amp;$A102,実績!$AD$6:$AD$505,"&gt;"&amp;$A102,実績!$AE$6:$AE$505,"○")&gt;0,1,0))</f>
        <v/>
      </c>
      <c r="AT102">
        <f>IF(AT$4=0,0,IF(COUNTIFS(実績!$W$6:$W$505,AT$3,実績!$AC$6:$AC$505,"&lt;="&amp;$A102,実績!$AD$6:$AD$505,"&gt;"&amp;$A102,実績!$AE$6:$AE$505,"○")&gt;0,1,0))</f>
        <v/>
      </c>
      <c r="AU102">
        <f>IF(AU$4=0,0,IF(COUNTIFS(実績!$W$6:$W$505,AU$3,実績!$AC$6:$AC$505,"&lt;="&amp;$A102,実績!$AD$6:$AD$505,"&gt;"&amp;$A102,実績!$AE$6:$AE$505,"○")&gt;0,1,0))</f>
        <v/>
      </c>
      <c r="AV102">
        <f>IF(AV$4=0,0,IF(COUNTIFS(実績!$W$6:$W$505,AV$3,実績!$AC$6:$AC$505,"&lt;="&amp;$A102,実績!$AD$6:$AD$505,"&gt;"&amp;$A102,実績!$AE$6:$AE$505,"○")&gt;0,1,0))</f>
        <v/>
      </c>
      <c r="AW102">
        <f>IF(AW$4=0,0,IF(COUNTIFS(実績!$W$6:$W$505,AW$3,実績!$AC$6:$AC$505,"&lt;="&amp;$A102,実績!$AD$6:$AD$505,"&gt;"&amp;$A102,実績!$AE$6:$AE$505,"○")&gt;0,1,0))</f>
        <v/>
      </c>
      <c r="AX102">
        <f>IF(AX$4=0,0,IF(COUNTIFS(実績!$W$6:$W$505,AX$3,実績!$AC$6:$AC$505,"&lt;="&amp;$A102,実績!$AD$6:$AD$505,"&gt;"&amp;$A102,実績!$AE$6:$AE$505,"○")&gt;0,1,0))</f>
        <v/>
      </c>
      <c r="AY102">
        <f>IF(AY$4=0,0,IF(COUNTIFS(実績!$W$6:$W$505,AY$3,実績!$AC$6:$AC$505,"&lt;="&amp;$A102,実績!$AD$6:$AD$505,"&gt;"&amp;$A102,実績!$AE$6:$AE$505,"○")&gt;0,1,0))</f>
        <v/>
      </c>
      <c r="AZ102">
        <f>IF(AZ$4=0,0,IF(COUNTIFS(実績!$W$6:$W$505,AZ$3,実績!$AC$6:$AC$505,"&lt;="&amp;$A102,実績!$AD$6:$AD$505,"&gt;"&amp;$A102,実績!$AE$6:$AE$505,"○")&gt;0,1,0))</f>
        <v/>
      </c>
      <c r="BA102">
        <f>IF(BA$4=0,0,IF(COUNTIFS(実績!$W$6:$W$505,BA$3,実績!$AC$6:$AC$505,"&lt;="&amp;$A102,実績!$AD$6:$AD$505,"&gt;"&amp;$A102,実績!$AE$6:$AE$505,"○")&gt;0,1,0))</f>
        <v/>
      </c>
      <c r="BB102">
        <f>IF(BB$4=0,0,IF(COUNTIFS(実績!$W$6:$W$505,BB$3,実績!$AC$6:$AC$505,"&lt;="&amp;$A102,実績!$AD$6:$AD$505,"&gt;"&amp;$A102,実績!$AE$6:$AE$505,"○")&gt;0,1,0))</f>
        <v/>
      </c>
      <c r="BC102">
        <f>IF(BC$4=0,0,IF(COUNTIFS(実績!$W$6:$W$505,BC$3,実績!$AC$6:$AC$505,"&lt;="&amp;$A102,実績!$AD$6:$AD$505,"&gt;"&amp;$A102,実績!$AE$6:$AE$505,"○")&gt;0,1,0))</f>
        <v/>
      </c>
      <c r="BD102">
        <f>IF(BD$4=0,0,IF(COUNTIFS(実績!$W$6:$W$505,BD$3,実績!$AC$6:$AC$505,"&lt;="&amp;$A102,実績!$AD$6:$AD$505,"&gt;"&amp;$A102,実績!$AE$6:$AE$505,"○")&gt;0,1,0))</f>
        <v/>
      </c>
      <c r="BE102">
        <f>IF(BE$4=0,0,IF(COUNTIFS(実績!$W$6:$W$505,BE$3,実績!$AC$6:$AC$505,"&lt;="&amp;$A102,実績!$AD$6:$AD$505,"&gt;"&amp;$A102,実績!$AE$6:$AE$505,"○")&gt;0,1,0))</f>
        <v/>
      </c>
      <c r="BF102">
        <f>IF(BF$4=0,0,IF(COUNTIFS(実績!$W$6:$W$505,BF$3,実績!$AC$6:$AC$505,"&lt;="&amp;$A102,実績!$AD$6:$AD$505,"&gt;"&amp;$A102,実績!$AE$6:$AE$505,"○")&gt;0,1,0))</f>
        <v/>
      </c>
      <c r="BG102">
        <f>IF(BG$4=0,0,IF(COUNTIFS(実績!$W$6:$W$505,BG$3,実績!$AC$6:$AC$505,"&lt;="&amp;$A102,実績!$AD$6:$AD$505,"&gt;"&amp;$A102,実績!$AE$6:$AE$505,"○")&gt;0,1,0))</f>
        <v/>
      </c>
      <c r="BH102">
        <f>IF(BH$4=0,0,IF(COUNTIFS(実績!$W$6:$W$505,BH$3,実績!$AC$6:$AC$505,"&lt;="&amp;$A102,実績!$AD$6:$AD$505,"&gt;"&amp;$A102,実績!$AE$6:$AE$505,"○")&gt;0,1,0))</f>
        <v/>
      </c>
      <c r="BI102">
        <f>IF(BI$4=0,0,IF(COUNTIFS(実績!$W$6:$W$505,BI$3,実績!$AC$6:$AC$505,"&lt;="&amp;$A102,実績!$AD$6:$AD$505,"&gt;"&amp;$A102,実績!$AE$6:$AE$505,"○")&gt;0,1,0))</f>
        <v/>
      </c>
      <c r="BJ102">
        <f>IF(BJ$4=0,0,IF(COUNTIFS(実績!$W$6:$W$505,BJ$3,実績!$AC$6:$AC$505,"&lt;="&amp;$A102,実績!$AD$6:$AD$505,"&gt;"&amp;$A102,実績!$AE$6:$AE$505,"○")&gt;0,1,0))</f>
        <v/>
      </c>
      <c r="BK102">
        <f>IF(BK$4=0,0,IF(COUNTIFS(実績!$W$6:$W$505,BK$3,実績!$AC$6:$AC$505,"&lt;="&amp;$A102,実績!$AD$6:$AD$505,"&gt;"&amp;$A102,実績!$AE$6:$AE$505,"○")&gt;0,1,0))</f>
        <v/>
      </c>
      <c r="BL102">
        <f>IF(BL$4=0,0,IF(COUNTIFS(実績!$W$6:$W$505,BL$3,実績!$AC$6:$AC$505,"&lt;="&amp;$A102,実績!$AD$6:$AD$505,"&gt;"&amp;$A102,実績!$AE$6:$AE$505,"○")&gt;0,1,0))</f>
        <v/>
      </c>
      <c r="BM102">
        <f>IF(BM$4=0,0,IF(COUNTIFS(実績!$W$6:$W$505,BM$3,実績!$AC$6:$AC$505,"&lt;="&amp;$A102,実績!$AD$6:$AD$505,"&gt;"&amp;$A102,実績!$AE$6:$AE$505,"○")&gt;0,1,0))</f>
        <v/>
      </c>
      <c r="BN102">
        <f>IF(BN$4=0,0,IF(COUNTIFS(実績!$W$6:$W$505,BN$3,実績!$AC$6:$AC$505,"&lt;="&amp;$A102,実績!$AD$6:$AD$505,"&gt;"&amp;$A102,実績!$AE$6:$AE$505,"○")&gt;0,1,0))</f>
        <v/>
      </c>
      <c r="BO102">
        <f>IF(BO$4=0,0,IF(COUNTIFS(実績!$W$6:$W$505,BO$3,実績!$AC$6:$AC$505,"&lt;="&amp;$A102,実績!$AD$6:$AD$505,"&gt;"&amp;$A102,実績!$AE$6:$AE$505,"○")&gt;0,1,0))</f>
        <v/>
      </c>
      <c r="BP102">
        <f>IF(BP$4=0,0,IF(COUNTIFS(実績!$W$6:$W$505,BP$3,実績!$AC$6:$AC$505,"&lt;="&amp;$A102,実績!$AD$6:$AD$505,"&gt;"&amp;$A102,実績!$AE$6:$AE$505,"○")&gt;0,1,0))</f>
        <v/>
      </c>
      <c r="BQ102">
        <f>IF(BQ$4=0,0,IF(COUNTIFS(実績!$W$6:$W$505,BQ$3,実績!$AC$6:$AC$505,"&lt;="&amp;$A102,実績!$AD$6:$AD$505,"&gt;"&amp;$A102,実績!$AE$6:$AE$505,"○")&gt;0,1,0))</f>
        <v/>
      </c>
      <c r="BR102">
        <f>IF(BR$4=0,0,IF(COUNTIFS(実績!$W$6:$W$505,BR$3,実績!$AC$6:$AC$505,"&lt;="&amp;$A102,実績!$AD$6:$AD$505,"&gt;"&amp;$A102,実績!$AE$6:$AE$505,"○")&gt;0,1,0))</f>
        <v/>
      </c>
      <c r="BS102">
        <f>IF(BS$4=0,0,IF(COUNTIFS(実績!$W$6:$W$505,BS$3,実績!$AC$6:$AC$505,"&lt;="&amp;$A102,実績!$AD$6:$AD$505,"&gt;"&amp;$A102,実績!$AE$6:$AE$505,"○")&gt;0,1,0))</f>
        <v/>
      </c>
      <c r="BT102">
        <f>IF(BT$4=0,0,IF(COUNTIFS(実績!$W$6:$W$505,BT$3,実績!$AC$6:$AC$505,"&lt;="&amp;$A102,実績!$AD$6:$AD$505,"&gt;"&amp;$A102,実績!$AE$6:$AE$505,"○")&gt;0,1,0))</f>
        <v/>
      </c>
      <c r="BU102">
        <f>IF(BU$4=0,0,IF(COUNTIFS(実績!$W$6:$W$505,BU$3,実績!$AC$6:$AC$505,"&lt;="&amp;$A102,実績!$AD$6:$AD$505,"&gt;"&amp;$A102,実績!$AE$6:$AE$505,"○")&gt;0,1,0))</f>
        <v/>
      </c>
      <c r="BV102">
        <f>IF(BV$4=0,0,IF(COUNTIFS(実績!$W$6:$W$505,BV$3,実績!$AC$6:$AC$505,"&lt;="&amp;$A102,実績!$AD$6:$AD$505,"&gt;"&amp;$A102,実績!$AE$6:$AE$505,"○")&gt;0,1,0))</f>
        <v/>
      </c>
      <c r="BW102">
        <f>IF(BW$4=0,0,IF(COUNTIFS(実績!$W$6:$W$505,BW$3,実績!$AC$6:$AC$505,"&lt;="&amp;$A102,実績!$AD$6:$AD$505,"&gt;"&amp;$A102,実績!$AE$6:$AE$505,"○")&gt;0,1,0))</f>
        <v/>
      </c>
      <c r="BX102">
        <f>IF(BX$4=0,0,IF(COUNTIFS(実績!$W$6:$W$505,BX$3,実績!$AC$6:$AC$505,"&lt;="&amp;$A102,実績!$AD$6:$AD$505,"&gt;"&amp;$A102,実績!$AE$6:$AE$505,"○")&gt;0,1,0))</f>
        <v/>
      </c>
      <c r="BY102">
        <f>IF(BY$4=0,0,IF(COUNTIFS(実績!$W$6:$W$505,BY$3,実績!$AC$6:$AC$505,"&lt;="&amp;$A102,実績!$AD$6:$AD$505,"&gt;"&amp;$A102,実績!$AE$6:$AE$505,"○")&gt;0,1,0))</f>
        <v/>
      </c>
      <c r="BZ102">
        <f>IF(BZ$4=0,0,IF(COUNTIFS(実績!$W$6:$W$505,BZ$3,実績!$AC$6:$AC$505,"&lt;="&amp;$A102,実績!$AD$6:$AD$505,"&gt;"&amp;$A102,実績!$AE$6:$AE$505,"○")&gt;0,1,0))</f>
        <v/>
      </c>
      <c r="CA102">
        <f>IF(CA$4=0,0,IF(COUNTIFS(実績!$W$6:$W$505,CA$3,実績!$AC$6:$AC$505,"&lt;="&amp;$A102,実績!$AD$6:$AD$505,"&gt;"&amp;$A102,実績!$AE$6:$AE$505,"○")&gt;0,1,0))</f>
        <v/>
      </c>
      <c r="CB102">
        <f>IF(CB$4=0,0,IF(COUNTIFS(実績!$W$6:$W$505,CB$3,実績!$AC$6:$AC$505,"&lt;="&amp;$A102,実績!$AD$6:$AD$505,"&gt;"&amp;$A102,実績!$AE$6:$AE$505,"○")&gt;0,1,0))</f>
        <v/>
      </c>
      <c r="CC102">
        <f>IF(CC$4=0,0,IF(COUNTIFS(実績!$W$6:$W$505,CC$3,実績!$AC$6:$AC$505,"&lt;="&amp;$A102,実績!$AD$6:$AD$505,"&gt;"&amp;$A102,実績!$AE$6:$AE$505,"○")&gt;0,1,0))</f>
        <v/>
      </c>
      <c r="CD102">
        <f>IF(CD$4=0,0,IF(COUNTIFS(実績!$W$6:$W$505,CD$3,実績!$AC$6:$AC$505,"&lt;="&amp;$A102,実績!$AD$6:$AD$505,"&gt;"&amp;$A102,実績!$AE$6:$AE$505,"○")&gt;0,1,0))</f>
        <v/>
      </c>
      <c r="CE102">
        <f>IF(CE$4=0,0,IF(COUNTIFS(実績!$W$6:$W$505,CE$3,実績!$AC$6:$AC$505,"&lt;="&amp;$A102,実績!$AD$6:$AD$505,"&gt;"&amp;$A102,実績!$AE$6:$AE$505,"○")&gt;0,1,0))</f>
        <v/>
      </c>
      <c r="CF102">
        <f>IF(CF$4=0,0,IF(COUNTIFS(実績!$W$6:$W$505,CF$3,実績!$AC$6:$AC$505,"&lt;="&amp;$A102,実績!$AD$6:$AD$505,"&gt;"&amp;$A102,実績!$AE$6:$AE$505,"○")&gt;0,1,0))</f>
        <v/>
      </c>
      <c r="CG102">
        <f>IF(CG$4=0,0,IF(COUNTIFS(実績!$W$6:$W$505,CG$3,実績!$AC$6:$AC$505,"&lt;="&amp;$A102,実績!$AD$6:$AD$505,"&gt;"&amp;$A102,実績!$AE$6:$AE$505,"○")&gt;0,1,0))</f>
        <v/>
      </c>
      <c r="CH102">
        <f>IF(CH$4=0,0,IF(COUNTIFS(実績!$W$6:$W$505,CH$3,実績!$AC$6:$AC$505,"&lt;="&amp;$A102,実績!$AD$6:$AD$505,"&gt;"&amp;$A102,実績!$AE$6:$AE$505,"○")&gt;0,1,0))</f>
        <v/>
      </c>
      <c r="CI102">
        <f>IF(CI$4=0,0,IF(COUNTIFS(実績!$W$6:$W$505,CI$3,実績!$AC$6:$AC$505,"&lt;="&amp;$A102,実績!$AD$6:$AD$505,"&gt;"&amp;$A102,実績!$AE$6:$AE$505,"○")&gt;0,1,0))</f>
        <v/>
      </c>
      <c r="CJ102">
        <f>IF(CJ$4=0,0,IF(COUNTIFS(実績!$W$6:$W$505,CJ$3,実績!$AC$6:$AC$505,"&lt;="&amp;$A102,実績!$AD$6:$AD$505,"&gt;"&amp;$A102,実績!$AE$6:$AE$505,"○")&gt;0,1,0))</f>
        <v/>
      </c>
      <c r="CK102">
        <f>IF(CK$4=0,0,IF(COUNTIFS(実績!$W$6:$W$505,CK$3,実績!$AC$6:$AC$505,"&lt;="&amp;$A102,実績!$AD$6:$AD$505,"&gt;"&amp;$A102,実績!$AE$6:$AE$505,"○")&gt;0,1,0))</f>
        <v/>
      </c>
      <c r="CL102">
        <f>IF(CL$4=0,0,IF(COUNTIFS(実績!$W$6:$W$505,CL$3,実績!$AC$6:$AC$505,"&lt;="&amp;$A102,実績!$AD$6:$AD$505,"&gt;"&amp;$A102,実績!$AE$6:$AE$505,"○")&gt;0,1,0))</f>
        <v/>
      </c>
      <c r="CM102">
        <f>IF(CM$4=0,0,IF(COUNTIFS(実績!$W$6:$W$505,CM$3,実績!$AC$6:$AC$505,"&lt;="&amp;$A102,実績!$AD$6:$AD$505,"&gt;"&amp;$A102,実績!$AE$6:$AE$505,"○")&gt;0,1,0))</f>
        <v/>
      </c>
      <c r="CN102">
        <f>IF(CN$4=0,0,IF(COUNTIFS(実績!$W$6:$W$505,CN$3,実績!$AC$6:$AC$505,"&lt;="&amp;$A102,実績!$AD$6:$AD$505,"&gt;"&amp;$A102,実績!$AE$6:$AE$505,"○")&gt;0,1,0))</f>
        <v/>
      </c>
      <c r="CO102">
        <f>IF(CO$4=0,0,IF(COUNTIFS(実績!$W$6:$W$505,CO$3,実績!$AC$6:$AC$505,"&lt;="&amp;$A102,実績!$AD$6:$AD$505,"&gt;"&amp;$A102,実績!$AE$6:$AE$505,"○")&gt;0,1,0))</f>
        <v/>
      </c>
      <c r="CP102">
        <f>IF(CP$4=0,0,IF(COUNTIFS(実績!$W$6:$W$505,CP$3,実績!$AC$6:$AC$505,"&lt;="&amp;$A102,実績!$AD$6:$AD$505,"&gt;"&amp;$A102,実績!$AE$6:$AE$505,"○")&gt;0,1,0))</f>
        <v/>
      </c>
      <c r="CQ102">
        <f>IF(CQ$4=0,0,IF(COUNTIFS(実績!$W$6:$W$505,CQ$3,実績!$AC$6:$AC$505,"&lt;="&amp;$A102,実績!$AD$6:$AD$505,"&gt;"&amp;$A102,実績!$AE$6:$AE$505,"○")&gt;0,1,0))</f>
        <v/>
      </c>
      <c r="CR102">
        <f>IF(CR$4=0,0,IF(COUNTIFS(実績!$W$6:$W$505,CR$3,実績!$AC$6:$AC$505,"&lt;="&amp;$A102,実績!$AD$6:$AD$505,"&gt;"&amp;$A102,実績!$AE$6:$AE$505,"○")&gt;0,1,0))</f>
        <v/>
      </c>
      <c r="CS102">
        <f>IF(CS$4=0,0,IF(COUNTIFS(実績!$W$6:$W$505,CS$3,実績!$AC$6:$AC$505,"&lt;="&amp;$A102,実績!$AD$6:$AD$505,"&gt;"&amp;$A102,実績!$AE$6:$AE$505,"○")&gt;0,1,0))</f>
        <v/>
      </c>
      <c r="CT102">
        <f>IF(CT$4=0,0,IF(COUNTIFS(実績!$W$6:$W$505,CT$3,実績!$AC$6:$AC$505,"&lt;="&amp;$A102,実績!$AD$6:$AD$505,"&gt;"&amp;$A102,実績!$AE$6:$AE$505,"○")&gt;0,1,0))</f>
        <v/>
      </c>
      <c r="CU102">
        <f>IF(CU$4=0,0,IF(COUNTIFS(実績!$W$6:$W$505,CU$3,実績!$AC$6:$AC$505,"&lt;="&amp;$A102,実績!$AD$6:$AD$505,"&gt;"&amp;$A102,実績!$AE$6:$AE$505,"○")&gt;0,1,0))</f>
        <v/>
      </c>
      <c r="CV102">
        <f>IF(CV$4=0,0,IF(COUNTIFS(実績!$W$6:$W$505,CV$3,実績!$AC$6:$AC$505,"&lt;="&amp;$A102,実績!$AD$6:$AD$505,"&gt;"&amp;$A102,実績!$AE$6:$AE$505,"○")&gt;0,1,0))</f>
        <v/>
      </c>
      <c r="CW102">
        <f>IF(CW$4=0,0,IF(COUNTIFS(実績!$W$6:$W$505,CW$3,実績!$AC$6:$AC$505,"&lt;="&amp;$A102,実績!$AD$6:$AD$505,"&gt;"&amp;$A102,実績!$AE$6:$AE$505,"○")&gt;0,1,0))</f>
        <v/>
      </c>
      <c r="CX102">
        <f>IF(CX$4=0,0,IF(COUNTIFS(実績!$W$6:$W$505,CX$3,実績!$AC$6:$AC$505,"&lt;="&amp;$A102,実績!$AD$6:$AD$505,"&gt;"&amp;$A102,実績!$AE$6:$AE$505,"○")&gt;0,1,0))</f>
        <v/>
      </c>
      <c r="CY102">
        <f>IF(CY$4=0,0,IF(COUNTIFS(実績!$W$6:$W$505,CY$3,実績!$AC$6:$AC$505,"&lt;="&amp;$A102,実績!$AD$6:$AD$505,"&gt;"&amp;$A102,実績!$AE$6:$AE$505,"○")&gt;0,1,0))</f>
        <v/>
      </c>
      <c r="CZ102">
        <f>IF(CZ$4=0,0,IF(COUNTIFS(実績!$W$6:$W$505,CZ$3,実績!$AC$6:$AC$505,"&lt;="&amp;$A102,実績!$AD$6:$AD$505,"&gt;"&amp;$A102,実績!$AE$6:$AE$505,"○")&gt;0,1,0))</f>
        <v/>
      </c>
      <c r="DA102">
        <f>IF(DA$4=0,0,IF(COUNTIFS(実績!$W$6:$W$505,DA$3,実績!$AC$6:$AC$505,"&lt;="&amp;$A102,実績!$AD$6:$AD$505,"&gt;"&amp;$A102,実績!$AE$6:$AE$505,"○")&gt;0,1,0))</f>
        <v/>
      </c>
      <c r="DB102">
        <f>IF(DB$4=0,0,IF(COUNTIFS(実績!$W$6:$W$505,DB$3,実績!$AC$6:$AC$505,"&lt;="&amp;$A102,実績!$AD$6:$AD$505,"&gt;"&amp;$A102,実績!$AE$6:$AE$505,"○")&gt;0,1,0))</f>
        <v/>
      </c>
      <c r="DC102">
        <f>IF(DC$4=0,0,IF(COUNTIFS(実績!$W$6:$W$505,DC$3,実績!$AC$6:$AC$505,"&lt;="&amp;$A102,実績!$AD$6:$AD$505,"&gt;"&amp;$A102,実績!$AE$6:$AE$505,"○")&gt;0,1,0))</f>
        <v/>
      </c>
      <c r="DD102">
        <f>IF(DD$4=0,0,IF(COUNTIFS(実績!$W$6:$W$505,DD$3,実績!$AC$6:$AC$505,"&lt;="&amp;$A102,実績!$AD$6:$AD$505,"&gt;"&amp;$A102,実績!$AE$6:$AE$505,"○")&gt;0,1,0))</f>
        <v/>
      </c>
      <c r="DE102">
        <f>IF(DE$4=0,0,IF(COUNTIFS(実績!$W$6:$W$505,DE$3,実績!$AC$6:$AC$505,"&lt;="&amp;$A102,実績!$AD$6:$AD$505,"&gt;"&amp;$A102,実績!$AE$6:$AE$505,"○")&gt;0,1,0))</f>
        <v/>
      </c>
      <c r="DF102">
        <f>IF(DF$4=0,0,IF(COUNTIFS(実績!$W$6:$W$505,DF$3,実績!$AC$6:$AC$505,"&lt;="&amp;$A102,実績!$AD$6:$AD$505,"&gt;"&amp;$A102,実績!$AE$6:$AE$505,"○")&gt;0,1,0))</f>
        <v/>
      </c>
      <c r="DG102">
        <f>IF(DG$4=0,0,IF(COUNTIFS(実績!$W$6:$W$505,DG$3,実績!$AC$6:$AC$505,"&lt;="&amp;$A102,実績!$AD$6:$AD$505,"&gt;"&amp;$A102,実績!$AE$6:$AE$505,"○")&gt;0,1,0))</f>
        <v/>
      </c>
      <c r="DH102">
        <f>IF(DH$4=0,0,IF(COUNTIFS(実績!$W$6:$W$505,DH$3,実績!$AC$6:$AC$505,"&lt;="&amp;$A102,実績!$AD$6:$AD$505,"&gt;"&amp;$A102,実績!$AE$6:$AE$505,"○")&gt;0,1,0))</f>
        <v/>
      </c>
      <c r="DI102">
        <f>IF(DI$4=0,0,IF(COUNTIFS(実績!$W$6:$W$505,DI$3,実績!$AC$6:$AC$505,"&lt;="&amp;$A102,実績!$AD$6:$AD$505,"&gt;"&amp;$A102,実績!$AE$6:$AE$505,"○")&gt;0,1,0))</f>
        <v/>
      </c>
      <c r="DJ102">
        <f>IF(DJ$4=0,0,IF(COUNTIFS(実績!$W$6:$W$505,DJ$3,実績!$AC$6:$AC$505,"&lt;="&amp;$A102,実績!$AD$6:$AD$505,"&gt;"&amp;$A102,実績!$AE$6:$AE$505,"○")&gt;0,1,0))</f>
        <v/>
      </c>
      <c r="DK102">
        <f>IF(DK$4=0,0,IF(COUNTIFS(実績!$W$6:$W$505,DK$3,実績!$AC$6:$AC$505,"&lt;="&amp;$A102,実績!$AD$6:$AD$505,"&gt;"&amp;$A102,実績!$AE$6:$AE$505,"○")&gt;0,1,0))</f>
        <v/>
      </c>
      <c r="DL102">
        <f>IF(DL$4=0,0,IF(COUNTIFS(実績!$W$6:$W$505,DL$3,実績!$AC$6:$AC$505,"&lt;="&amp;$A102,実績!$AD$6:$AD$505,"&gt;"&amp;$A102,実績!$AE$6:$AE$505,"○")&gt;0,1,0))</f>
        <v/>
      </c>
      <c r="DM102">
        <f>IF(DM$4=0,0,IF(COUNTIFS(実績!$W$6:$W$505,DM$3,実績!$AC$6:$AC$505,"&lt;="&amp;$A102,実績!$AD$6:$AD$505,"&gt;"&amp;$A102,実績!$AE$6:$AE$505,"○")&gt;0,1,0))</f>
        <v/>
      </c>
      <c r="DN102">
        <f>IF(DN$4=0,0,IF(COUNTIFS(実績!$W$6:$W$505,DN$3,実績!$AC$6:$AC$505,"&lt;="&amp;$A102,実績!$AD$6:$AD$505,"&gt;"&amp;$A102,実績!$AE$6:$AE$505,"○")&gt;0,1,0))</f>
        <v/>
      </c>
      <c r="DO102">
        <f>IF(DO$4=0,0,IF(COUNTIFS(実績!$W$6:$W$505,DO$3,実績!$AC$6:$AC$505,"&lt;="&amp;$A102,実績!$AD$6:$AD$505,"&gt;"&amp;$A102,実績!$AE$6:$AE$505,"○")&gt;0,1,0))</f>
        <v/>
      </c>
      <c r="DP102">
        <f>IF(DP$4=0,0,IF(COUNTIFS(実績!$W$6:$W$505,DP$3,実績!$AC$6:$AC$505,"&lt;="&amp;$A102,実績!$AD$6:$AD$505,"&gt;"&amp;$A102,実績!$AE$6:$AE$505,"○")&gt;0,1,0))</f>
        <v/>
      </c>
      <c r="DQ102">
        <f>IF(DQ$4=0,0,IF(COUNTIFS(実績!$W$6:$W$505,DQ$3,実績!$AC$6:$AC$505,"&lt;="&amp;$A102,実績!$AD$6:$AD$505,"&gt;"&amp;$A102,実績!$AE$6:$AE$505,"○")&gt;0,1,0))</f>
        <v/>
      </c>
      <c r="DR102">
        <f>IF(DR$4=0,0,IF(COUNTIFS(実績!$W$6:$W$505,DR$3,実績!$AC$6:$AC$505,"&lt;="&amp;$A102,実績!$AD$6:$AD$505,"&gt;"&amp;$A102,実績!$AE$6:$AE$505,"○")&gt;0,1,0))</f>
        <v/>
      </c>
      <c r="DS102">
        <f>SUM(C102:DR102)</f>
        <v/>
      </c>
      <c r="DT102">
        <f>SUMPRODUCT((実績!$C$6:$C$505="○")*ISNUMBER(実績!$AF$6:$AF$505)*(実績!$AF$6:$AF$505&lt;=$A102)*(実績!$AG$6:$AG$505&gt;$A102))</f>
        <v/>
      </c>
      <c r="DU102">
        <f>SUMIF($C$2:$DR$2,"製鉄曳船",C102:DR102)</f>
        <v/>
      </c>
      <c r="DV102">
        <f>SUMIF($C$2:$DR$2,"西日本海運",C102:DR102)</f>
        <v/>
      </c>
    </row>
    <row r="103">
      <c r="A103" t="n">
        <v>485</v>
      </c>
      <c r="B103" s="29">
        <f>A103/1440</f>
        <v/>
      </c>
      <c r="C103">
        <f>IF(C$4=0,0,IF(COUNTIFS(実績!$W$6:$W$505,C$3,実績!$AC$6:$AC$505,"&lt;="&amp;$A103,実績!$AD$6:$AD$505,"&gt;"&amp;$A103,実績!$AE$6:$AE$505,"○")&gt;0,1,0))</f>
        <v/>
      </c>
      <c r="D103">
        <f>IF(D$4=0,0,IF(COUNTIFS(実績!$W$6:$W$505,D$3,実績!$AC$6:$AC$505,"&lt;="&amp;$A103,実績!$AD$6:$AD$505,"&gt;"&amp;$A103,実績!$AE$6:$AE$505,"○")&gt;0,1,0))</f>
        <v/>
      </c>
      <c r="E103">
        <f>IF(E$4=0,0,IF(COUNTIFS(実績!$W$6:$W$505,E$3,実績!$AC$6:$AC$505,"&lt;="&amp;$A103,実績!$AD$6:$AD$505,"&gt;"&amp;$A103,実績!$AE$6:$AE$505,"○")&gt;0,1,0))</f>
        <v/>
      </c>
      <c r="F103">
        <f>IF(F$4=0,0,IF(COUNTIFS(実績!$W$6:$W$505,F$3,実績!$AC$6:$AC$505,"&lt;="&amp;$A103,実績!$AD$6:$AD$505,"&gt;"&amp;$A103,実績!$AE$6:$AE$505,"○")&gt;0,1,0))</f>
        <v/>
      </c>
      <c r="G103">
        <f>IF(G$4=0,0,IF(COUNTIFS(実績!$W$6:$W$505,G$3,実績!$AC$6:$AC$505,"&lt;="&amp;$A103,実績!$AD$6:$AD$505,"&gt;"&amp;$A103,実績!$AE$6:$AE$505,"○")&gt;0,1,0))</f>
        <v/>
      </c>
      <c r="H103">
        <f>IF(H$4=0,0,IF(COUNTIFS(実績!$W$6:$W$505,H$3,実績!$AC$6:$AC$505,"&lt;="&amp;$A103,実績!$AD$6:$AD$505,"&gt;"&amp;$A103,実績!$AE$6:$AE$505,"○")&gt;0,1,0))</f>
        <v/>
      </c>
      <c r="I103">
        <f>IF(I$4=0,0,IF(COUNTIFS(実績!$W$6:$W$505,I$3,実績!$AC$6:$AC$505,"&lt;="&amp;$A103,実績!$AD$6:$AD$505,"&gt;"&amp;$A103,実績!$AE$6:$AE$505,"○")&gt;0,1,0))</f>
        <v/>
      </c>
      <c r="J103">
        <f>IF(J$4=0,0,IF(COUNTIFS(実績!$W$6:$W$505,J$3,実績!$AC$6:$AC$505,"&lt;="&amp;$A103,実績!$AD$6:$AD$505,"&gt;"&amp;$A103,実績!$AE$6:$AE$505,"○")&gt;0,1,0))</f>
        <v/>
      </c>
      <c r="K103">
        <f>IF(K$4=0,0,IF(COUNTIFS(実績!$W$6:$W$505,K$3,実績!$AC$6:$AC$505,"&lt;="&amp;$A103,実績!$AD$6:$AD$505,"&gt;"&amp;$A103,実績!$AE$6:$AE$505,"○")&gt;0,1,0))</f>
        <v/>
      </c>
      <c r="L103">
        <f>IF(L$4=0,0,IF(COUNTIFS(実績!$W$6:$W$505,L$3,実績!$AC$6:$AC$505,"&lt;="&amp;$A103,実績!$AD$6:$AD$505,"&gt;"&amp;$A103,実績!$AE$6:$AE$505,"○")&gt;0,1,0))</f>
        <v/>
      </c>
      <c r="M103">
        <f>IF(M$4=0,0,IF(COUNTIFS(実績!$W$6:$W$505,M$3,実績!$AC$6:$AC$505,"&lt;="&amp;$A103,実績!$AD$6:$AD$505,"&gt;"&amp;$A103,実績!$AE$6:$AE$505,"○")&gt;0,1,0))</f>
        <v/>
      </c>
      <c r="N103">
        <f>IF(N$4=0,0,IF(COUNTIFS(実績!$W$6:$W$505,N$3,実績!$AC$6:$AC$505,"&lt;="&amp;$A103,実績!$AD$6:$AD$505,"&gt;"&amp;$A103,実績!$AE$6:$AE$505,"○")&gt;0,1,0))</f>
        <v/>
      </c>
      <c r="O103">
        <f>IF(O$4=0,0,IF(COUNTIFS(実績!$W$6:$W$505,O$3,実績!$AC$6:$AC$505,"&lt;="&amp;$A103,実績!$AD$6:$AD$505,"&gt;"&amp;$A103,実績!$AE$6:$AE$505,"○")&gt;0,1,0))</f>
        <v/>
      </c>
      <c r="P103">
        <f>IF(P$4=0,0,IF(COUNTIFS(実績!$W$6:$W$505,P$3,実績!$AC$6:$AC$505,"&lt;="&amp;$A103,実績!$AD$6:$AD$505,"&gt;"&amp;$A103,実績!$AE$6:$AE$505,"○")&gt;0,1,0))</f>
        <v/>
      </c>
      <c r="Q103">
        <f>IF(Q$4=0,0,IF(COUNTIFS(実績!$W$6:$W$505,Q$3,実績!$AC$6:$AC$505,"&lt;="&amp;$A103,実績!$AD$6:$AD$505,"&gt;"&amp;$A103,実績!$AE$6:$AE$505,"○")&gt;0,1,0))</f>
        <v/>
      </c>
      <c r="R103">
        <f>IF(R$4=0,0,IF(COUNTIFS(実績!$W$6:$W$505,R$3,実績!$AC$6:$AC$505,"&lt;="&amp;$A103,実績!$AD$6:$AD$505,"&gt;"&amp;$A103,実績!$AE$6:$AE$505,"○")&gt;0,1,0))</f>
        <v/>
      </c>
      <c r="S103">
        <f>IF(S$4=0,0,IF(COUNTIFS(実績!$W$6:$W$505,S$3,実績!$AC$6:$AC$505,"&lt;="&amp;$A103,実績!$AD$6:$AD$505,"&gt;"&amp;$A103,実績!$AE$6:$AE$505,"○")&gt;0,1,0))</f>
        <v/>
      </c>
      <c r="T103">
        <f>IF(T$4=0,0,IF(COUNTIFS(実績!$W$6:$W$505,T$3,実績!$AC$6:$AC$505,"&lt;="&amp;$A103,実績!$AD$6:$AD$505,"&gt;"&amp;$A103,実績!$AE$6:$AE$505,"○")&gt;0,1,0))</f>
        <v/>
      </c>
      <c r="U103">
        <f>IF(U$4=0,0,IF(COUNTIFS(実績!$W$6:$W$505,U$3,実績!$AC$6:$AC$505,"&lt;="&amp;$A103,実績!$AD$6:$AD$505,"&gt;"&amp;$A103,実績!$AE$6:$AE$505,"○")&gt;0,1,0))</f>
        <v/>
      </c>
      <c r="V103">
        <f>IF(V$4=0,0,IF(COUNTIFS(実績!$W$6:$W$505,V$3,実績!$AC$6:$AC$505,"&lt;="&amp;$A103,実績!$AD$6:$AD$505,"&gt;"&amp;$A103,実績!$AE$6:$AE$505,"○")&gt;0,1,0))</f>
        <v/>
      </c>
      <c r="W103">
        <f>IF(W$4=0,0,IF(COUNTIFS(実績!$W$6:$W$505,W$3,実績!$AC$6:$AC$505,"&lt;="&amp;$A103,実績!$AD$6:$AD$505,"&gt;"&amp;$A103,実績!$AE$6:$AE$505,"○")&gt;0,1,0))</f>
        <v/>
      </c>
      <c r="X103">
        <f>IF(X$4=0,0,IF(COUNTIFS(実績!$W$6:$W$505,X$3,実績!$AC$6:$AC$505,"&lt;="&amp;$A103,実績!$AD$6:$AD$505,"&gt;"&amp;$A103,実績!$AE$6:$AE$505,"○")&gt;0,1,0))</f>
        <v/>
      </c>
      <c r="Y103">
        <f>IF(Y$4=0,0,IF(COUNTIFS(実績!$W$6:$W$505,Y$3,実績!$AC$6:$AC$505,"&lt;="&amp;$A103,実績!$AD$6:$AD$505,"&gt;"&amp;$A103,実績!$AE$6:$AE$505,"○")&gt;0,1,0))</f>
        <v/>
      </c>
      <c r="Z103">
        <f>IF(Z$4=0,0,IF(COUNTIFS(実績!$W$6:$W$505,Z$3,実績!$AC$6:$AC$505,"&lt;="&amp;$A103,実績!$AD$6:$AD$505,"&gt;"&amp;$A103,実績!$AE$6:$AE$505,"○")&gt;0,1,0))</f>
        <v/>
      </c>
      <c r="AA103">
        <f>IF(AA$4=0,0,IF(COUNTIFS(実績!$W$6:$W$505,AA$3,実績!$AC$6:$AC$505,"&lt;="&amp;$A103,実績!$AD$6:$AD$505,"&gt;"&amp;$A103,実績!$AE$6:$AE$505,"○")&gt;0,1,0))</f>
        <v/>
      </c>
      <c r="AB103">
        <f>IF(AB$4=0,0,IF(COUNTIFS(実績!$W$6:$W$505,AB$3,実績!$AC$6:$AC$505,"&lt;="&amp;$A103,実績!$AD$6:$AD$505,"&gt;"&amp;$A103,実績!$AE$6:$AE$505,"○")&gt;0,1,0))</f>
        <v/>
      </c>
      <c r="AC103">
        <f>IF(AC$4=0,0,IF(COUNTIFS(実績!$W$6:$W$505,AC$3,実績!$AC$6:$AC$505,"&lt;="&amp;$A103,実績!$AD$6:$AD$505,"&gt;"&amp;$A103,実績!$AE$6:$AE$505,"○")&gt;0,1,0))</f>
        <v/>
      </c>
      <c r="AD103">
        <f>IF(AD$4=0,0,IF(COUNTIFS(実績!$W$6:$W$505,AD$3,実績!$AC$6:$AC$505,"&lt;="&amp;$A103,実績!$AD$6:$AD$505,"&gt;"&amp;$A103,実績!$AE$6:$AE$505,"○")&gt;0,1,0))</f>
        <v/>
      </c>
      <c r="AE103">
        <f>IF(AE$4=0,0,IF(COUNTIFS(実績!$W$6:$W$505,AE$3,実績!$AC$6:$AC$505,"&lt;="&amp;$A103,実績!$AD$6:$AD$505,"&gt;"&amp;$A103,実績!$AE$6:$AE$505,"○")&gt;0,1,0))</f>
        <v/>
      </c>
      <c r="AF103">
        <f>IF(AF$4=0,0,IF(COUNTIFS(実績!$W$6:$W$505,AF$3,実績!$AC$6:$AC$505,"&lt;="&amp;$A103,実績!$AD$6:$AD$505,"&gt;"&amp;$A103,実績!$AE$6:$AE$505,"○")&gt;0,1,0))</f>
        <v/>
      </c>
      <c r="AG103">
        <f>IF(AG$4=0,0,IF(COUNTIFS(実績!$W$6:$W$505,AG$3,実績!$AC$6:$AC$505,"&lt;="&amp;$A103,実績!$AD$6:$AD$505,"&gt;"&amp;$A103,実績!$AE$6:$AE$505,"○")&gt;0,1,0))</f>
        <v/>
      </c>
      <c r="AH103">
        <f>IF(AH$4=0,0,IF(COUNTIFS(実績!$W$6:$W$505,AH$3,実績!$AC$6:$AC$505,"&lt;="&amp;$A103,実績!$AD$6:$AD$505,"&gt;"&amp;$A103,実績!$AE$6:$AE$505,"○")&gt;0,1,0))</f>
        <v/>
      </c>
      <c r="AI103">
        <f>IF(AI$4=0,0,IF(COUNTIFS(実績!$W$6:$W$505,AI$3,実績!$AC$6:$AC$505,"&lt;="&amp;$A103,実績!$AD$6:$AD$505,"&gt;"&amp;$A103,実績!$AE$6:$AE$505,"○")&gt;0,1,0))</f>
        <v/>
      </c>
      <c r="AJ103">
        <f>IF(AJ$4=0,0,IF(COUNTIFS(実績!$W$6:$W$505,AJ$3,実績!$AC$6:$AC$505,"&lt;="&amp;$A103,実績!$AD$6:$AD$505,"&gt;"&amp;$A103,実績!$AE$6:$AE$505,"○")&gt;0,1,0))</f>
        <v/>
      </c>
      <c r="AK103">
        <f>IF(AK$4=0,0,IF(COUNTIFS(実績!$W$6:$W$505,AK$3,実績!$AC$6:$AC$505,"&lt;="&amp;$A103,実績!$AD$6:$AD$505,"&gt;"&amp;$A103,実績!$AE$6:$AE$505,"○")&gt;0,1,0))</f>
        <v/>
      </c>
      <c r="AL103">
        <f>IF(AL$4=0,0,IF(COUNTIFS(実績!$W$6:$W$505,AL$3,実績!$AC$6:$AC$505,"&lt;="&amp;$A103,実績!$AD$6:$AD$505,"&gt;"&amp;$A103,実績!$AE$6:$AE$505,"○")&gt;0,1,0))</f>
        <v/>
      </c>
      <c r="AM103">
        <f>IF(AM$4=0,0,IF(COUNTIFS(実績!$W$6:$W$505,AM$3,実績!$AC$6:$AC$505,"&lt;="&amp;$A103,実績!$AD$6:$AD$505,"&gt;"&amp;$A103,実績!$AE$6:$AE$505,"○")&gt;0,1,0))</f>
        <v/>
      </c>
      <c r="AN103">
        <f>IF(AN$4=0,0,IF(COUNTIFS(実績!$W$6:$W$505,AN$3,実績!$AC$6:$AC$505,"&lt;="&amp;$A103,実績!$AD$6:$AD$505,"&gt;"&amp;$A103,実績!$AE$6:$AE$505,"○")&gt;0,1,0))</f>
        <v/>
      </c>
      <c r="AO103">
        <f>IF(AO$4=0,0,IF(COUNTIFS(実績!$W$6:$W$505,AO$3,実績!$AC$6:$AC$505,"&lt;="&amp;$A103,実績!$AD$6:$AD$505,"&gt;"&amp;$A103,実績!$AE$6:$AE$505,"○")&gt;0,1,0))</f>
        <v/>
      </c>
      <c r="AP103">
        <f>IF(AP$4=0,0,IF(COUNTIFS(実績!$W$6:$W$505,AP$3,実績!$AC$6:$AC$505,"&lt;="&amp;$A103,実績!$AD$6:$AD$505,"&gt;"&amp;$A103,実績!$AE$6:$AE$505,"○")&gt;0,1,0))</f>
        <v/>
      </c>
      <c r="AQ103">
        <f>IF(AQ$4=0,0,IF(COUNTIFS(実績!$W$6:$W$505,AQ$3,実績!$AC$6:$AC$505,"&lt;="&amp;$A103,実績!$AD$6:$AD$505,"&gt;"&amp;$A103,実績!$AE$6:$AE$505,"○")&gt;0,1,0))</f>
        <v/>
      </c>
      <c r="AR103">
        <f>IF(AR$4=0,0,IF(COUNTIFS(実績!$W$6:$W$505,AR$3,実績!$AC$6:$AC$505,"&lt;="&amp;$A103,実績!$AD$6:$AD$505,"&gt;"&amp;$A103,実績!$AE$6:$AE$505,"○")&gt;0,1,0))</f>
        <v/>
      </c>
      <c r="AS103">
        <f>IF(AS$4=0,0,IF(COUNTIFS(実績!$W$6:$W$505,AS$3,実績!$AC$6:$AC$505,"&lt;="&amp;$A103,実績!$AD$6:$AD$505,"&gt;"&amp;$A103,実績!$AE$6:$AE$505,"○")&gt;0,1,0))</f>
        <v/>
      </c>
      <c r="AT103">
        <f>IF(AT$4=0,0,IF(COUNTIFS(実績!$W$6:$W$505,AT$3,実績!$AC$6:$AC$505,"&lt;="&amp;$A103,実績!$AD$6:$AD$505,"&gt;"&amp;$A103,実績!$AE$6:$AE$505,"○")&gt;0,1,0))</f>
        <v/>
      </c>
      <c r="AU103">
        <f>IF(AU$4=0,0,IF(COUNTIFS(実績!$W$6:$W$505,AU$3,実績!$AC$6:$AC$505,"&lt;="&amp;$A103,実績!$AD$6:$AD$505,"&gt;"&amp;$A103,実績!$AE$6:$AE$505,"○")&gt;0,1,0))</f>
        <v/>
      </c>
      <c r="AV103">
        <f>IF(AV$4=0,0,IF(COUNTIFS(実績!$W$6:$W$505,AV$3,実績!$AC$6:$AC$505,"&lt;="&amp;$A103,実績!$AD$6:$AD$505,"&gt;"&amp;$A103,実績!$AE$6:$AE$505,"○")&gt;0,1,0))</f>
        <v/>
      </c>
      <c r="AW103">
        <f>IF(AW$4=0,0,IF(COUNTIFS(実績!$W$6:$W$505,AW$3,実績!$AC$6:$AC$505,"&lt;="&amp;$A103,実績!$AD$6:$AD$505,"&gt;"&amp;$A103,実績!$AE$6:$AE$505,"○")&gt;0,1,0))</f>
        <v/>
      </c>
      <c r="AX103">
        <f>IF(AX$4=0,0,IF(COUNTIFS(実績!$W$6:$W$505,AX$3,実績!$AC$6:$AC$505,"&lt;="&amp;$A103,実績!$AD$6:$AD$505,"&gt;"&amp;$A103,実績!$AE$6:$AE$505,"○")&gt;0,1,0))</f>
        <v/>
      </c>
      <c r="AY103">
        <f>IF(AY$4=0,0,IF(COUNTIFS(実績!$W$6:$W$505,AY$3,実績!$AC$6:$AC$505,"&lt;="&amp;$A103,実績!$AD$6:$AD$505,"&gt;"&amp;$A103,実績!$AE$6:$AE$505,"○")&gt;0,1,0))</f>
        <v/>
      </c>
      <c r="AZ103">
        <f>IF(AZ$4=0,0,IF(COUNTIFS(実績!$W$6:$W$505,AZ$3,実績!$AC$6:$AC$505,"&lt;="&amp;$A103,実績!$AD$6:$AD$505,"&gt;"&amp;$A103,実績!$AE$6:$AE$505,"○")&gt;0,1,0))</f>
        <v/>
      </c>
      <c r="BA103">
        <f>IF(BA$4=0,0,IF(COUNTIFS(実績!$W$6:$W$505,BA$3,実績!$AC$6:$AC$505,"&lt;="&amp;$A103,実績!$AD$6:$AD$505,"&gt;"&amp;$A103,実績!$AE$6:$AE$505,"○")&gt;0,1,0))</f>
        <v/>
      </c>
      <c r="BB103">
        <f>IF(BB$4=0,0,IF(COUNTIFS(実績!$W$6:$W$505,BB$3,実績!$AC$6:$AC$505,"&lt;="&amp;$A103,実績!$AD$6:$AD$505,"&gt;"&amp;$A103,実績!$AE$6:$AE$505,"○")&gt;0,1,0))</f>
        <v/>
      </c>
      <c r="BC103">
        <f>IF(BC$4=0,0,IF(COUNTIFS(実績!$W$6:$W$505,BC$3,実績!$AC$6:$AC$505,"&lt;="&amp;$A103,実績!$AD$6:$AD$505,"&gt;"&amp;$A103,実績!$AE$6:$AE$505,"○")&gt;0,1,0))</f>
        <v/>
      </c>
      <c r="BD103">
        <f>IF(BD$4=0,0,IF(COUNTIFS(実績!$W$6:$W$505,BD$3,実績!$AC$6:$AC$505,"&lt;="&amp;$A103,実績!$AD$6:$AD$505,"&gt;"&amp;$A103,実績!$AE$6:$AE$505,"○")&gt;0,1,0))</f>
        <v/>
      </c>
      <c r="BE103">
        <f>IF(BE$4=0,0,IF(COUNTIFS(実績!$W$6:$W$505,BE$3,実績!$AC$6:$AC$505,"&lt;="&amp;$A103,実績!$AD$6:$AD$505,"&gt;"&amp;$A103,実績!$AE$6:$AE$505,"○")&gt;0,1,0))</f>
        <v/>
      </c>
      <c r="BF103">
        <f>IF(BF$4=0,0,IF(COUNTIFS(実績!$W$6:$W$505,BF$3,実績!$AC$6:$AC$505,"&lt;="&amp;$A103,実績!$AD$6:$AD$505,"&gt;"&amp;$A103,実績!$AE$6:$AE$505,"○")&gt;0,1,0))</f>
        <v/>
      </c>
      <c r="BG103">
        <f>IF(BG$4=0,0,IF(COUNTIFS(実績!$W$6:$W$505,BG$3,実績!$AC$6:$AC$505,"&lt;="&amp;$A103,実績!$AD$6:$AD$505,"&gt;"&amp;$A103,実績!$AE$6:$AE$505,"○")&gt;0,1,0))</f>
        <v/>
      </c>
      <c r="BH103">
        <f>IF(BH$4=0,0,IF(COUNTIFS(実績!$W$6:$W$505,BH$3,実績!$AC$6:$AC$505,"&lt;="&amp;$A103,実績!$AD$6:$AD$505,"&gt;"&amp;$A103,実績!$AE$6:$AE$505,"○")&gt;0,1,0))</f>
        <v/>
      </c>
      <c r="BI103">
        <f>IF(BI$4=0,0,IF(COUNTIFS(実績!$W$6:$W$505,BI$3,実績!$AC$6:$AC$505,"&lt;="&amp;$A103,実績!$AD$6:$AD$505,"&gt;"&amp;$A103,実績!$AE$6:$AE$505,"○")&gt;0,1,0))</f>
        <v/>
      </c>
      <c r="BJ103">
        <f>IF(BJ$4=0,0,IF(COUNTIFS(実績!$W$6:$W$505,BJ$3,実績!$AC$6:$AC$505,"&lt;="&amp;$A103,実績!$AD$6:$AD$505,"&gt;"&amp;$A103,実績!$AE$6:$AE$505,"○")&gt;0,1,0))</f>
        <v/>
      </c>
      <c r="BK103">
        <f>IF(BK$4=0,0,IF(COUNTIFS(実績!$W$6:$W$505,BK$3,実績!$AC$6:$AC$505,"&lt;="&amp;$A103,実績!$AD$6:$AD$505,"&gt;"&amp;$A103,実績!$AE$6:$AE$505,"○")&gt;0,1,0))</f>
        <v/>
      </c>
      <c r="BL103">
        <f>IF(BL$4=0,0,IF(COUNTIFS(実績!$W$6:$W$505,BL$3,実績!$AC$6:$AC$505,"&lt;="&amp;$A103,実績!$AD$6:$AD$505,"&gt;"&amp;$A103,実績!$AE$6:$AE$505,"○")&gt;0,1,0))</f>
        <v/>
      </c>
      <c r="BM103">
        <f>IF(BM$4=0,0,IF(COUNTIFS(実績!$W$6:$W$505,BM$3,実績!$AC$6:$AC$505,"&lt;="&amp;$A103,実績!$AD$6:$AD$505,"&gt;"&amp;$A103,実績!$AE$6:$AE$505,"○")&gt;0,1,0))</f>
        <v/>
      </c>
      <c r="BN103">
        <f>IF(BN$4=0,0,IF(COUNTIFS(実績!$W$6:$W$505,BN$3,実績!$AC$6:$AC$505,"&lt;="&amp;$A103,実績!$AD$6:$AD$505,"&gt;"&amp;$A103,実績!$AE$6:$AE$505,"○")&gt;0,1,0))</f>
        <v/>
      </c>
      <c r="BO103">
        <f>IF(BO$4=0,0,IF(COUNTIFS(実績!$W$6:$W$505,BO$3,実績!$AC$6:$AC$505,"&lt;="&amp;$A103,実績!$AD$6:$AD$505,"&gt;"&amp;$A103,実績!$AE$6:$AE$505,"○")&gt;0,1,0))</f>
        <v/>
      </c>
      <c r="BP103">
        <f>IF(BP$4=0,0,IF(COUNTIFS(実績!$W$6:$W$505,BP$3,実績!$AC$6:$AC$505,"&lt;="&amp;$A103,実績!$AD$6:$AD$505,"&gt;"&amp;$A103,実績!$AE$6:$AE$505,"○")&gt;0,1,0))</f>
        <v/>
      </c>
      <c r="BQ103">
        <f>IF(BQ$4=0,0,IF(COUNTIFS(実績!$W$6:$W$505,BQ$3,実績!$AC$6:$AC$505,"&lt;="&amp;$A103,実績!$AD$6:$AD$505,"&gt;"&amp;$A103,実績!$AE$6:$AE$505,"○")&gt;0,1,0))</f>
        <v/>
      </c>
      <c r="BR103">
        <f>IF(BR$4=0,0,IF(COUNTIFS(実績!$W$6:$W$505,BR$3,実績!$AC$6:$AC$505,"&lt;="&amp;$A103,実績!$AD$6:$AD$505,"&gt;"&amp;$A103,実績!$AE$6:$AE$505,"○")&gt;0,1,0))</f>
        <v/>
      </c>
      <c r="BS103">
        <f>IF(BS$4=0,0,IF(COUNTIFS(実績!$W$6:$W$505,BS$3,実績!$AC$6:$AC$505,"&lt;="&amp;$A103,実績!$AD$6:$AD$505,"&gt;"&amp;$A103,実績!$AE$6:$AE$505,"○")&gt;0,1,0))</f>
        <v/>
      </c>
      <c r="BT103">
        <f>IF(BT$4=0,0,IF(COUNTIFS(実績!$W$6:$W$505,BT$3,実績!$AC$6:$AC$505,"&lt;="&amp;$A103,実績!$AD$6:$AD$505,"&gt;"&amp;$A103,実績!$AE$6:$AE$505,"○")&gt;0,1,0))</f>
        <v/>
      </c>
      <c r="BU103">
        <f>IF(BU$4=0,0,IF(COUNTIFS(実績!$W$6:$W$505,BU$3,実績!$AC$6:$AC$505,"&lt;="&amp;$A103,実績!$AD$6:$AD$505,"&gt;"&amp;$A103,実績!$AE$6:$AE$505,"○")&gt;0,1,0))</f>
        <v/>
      </c>
      <c r="BV103">
        <f>IF(BV$4=0,0,IF(COUNTIFS(実績!$W$6:$W$505,BV$3,実績!$AC$6:$AC$505,"&lt;="&amp;$A103,実績!$AD$6:$AD$505,"&gt;"&amp;$A103,実績!$AE$6:$AE$505,"○")&gt;0,1,0))</f>
        <v/>
      </c>
      <c r="BW103">
        <f>IF(BW$4=0,0,IF(COUNTIFS(実績!$W$6:$W$505,BW$3,実績!$AC$6:$AC$505,"&lt;="&amp;$A103,実績!$AD$6:$AD$505,"&gt;"&amp;$A103,実績!$AE$6:$AE$505,"○")&gt;0,1,0))</f>
        <v/>
      </c>
      <c r="BX103">
        <f>IF(BX$4=0,0,IF(COUNTIFS(実績!$W$6:$W$505,BX$3,実績!$AC$6:$AC$505,"&lt;="&amp;$A103,実績!$AD$6:$AD$505,"&gt;"&amp;$A103,実績!$AE$6:$AE$505,"○")&gt;0,1,0))</f>
        <v/>
      </c>
      <c r="BY103">
        <f>IF(BY$4=0,0,IF(COUNTIFS(実績!$W$6:$W$505,BY$3,実績!$AC$6:$AC$505,"&lt;="&amp;$A103,実績!$AD$6:$AD$505,"&gt;"&amp;$A103,実績!$AE$6:$AE$505,"○")&gt;0,1,0))</f>
        <v/>
      </c>
      <c r="BZ103">
        <f>IF(BZ$4=0,0,IF(COUNTIFS(実績!$W$6:$W$505,BZ$3,実績!$AC$6:$AC$505,"&lt;="&amp;$A103,実績!$AD$6:$AD$505,"&gt;"&amp;$A103,実績!$AE$6:$AE$505,"○")&gt;0,1,0))</f>
        <v/>
      </c>
      <c r="CA103">
        <f>IF(CA$4=0,0,IF(COUNTIFS(実績!$W$6:$W$505,CA$3,実績!$AC$6:$AC$505,"&lt;="&amp;$A103,実績!$AD$6:$AD$505,"&gt;"&amp;$A103,実績!$AE$6:$AE$505,"○")&gt;0,1,0))</f>
        <v/>
      </c>
      <c r="CB103">
        <f>IF(CB$4=0,0,IF(COUNTIFS(実績!$W$6:$W$505,CB$3,実績!$AC$6:$AC$505,"&lt;="&amp;$A103,実績!$AD$6:$AD$505,"&gt;"&amp;$A103,実績!$AE$6:$AE$505,"○")&gt;0,1,0))</f>
        <v/>
      </c>
      <c r="CC103">
        <f>IF(CC$4=0,0,IF(COUNTIFS(実績!$W$6:$W$505,CC$3,実績!$AC$6:$AC$505,"&lt;="&amp;$A103,実績!$AD$6:$AD$505,"&gt;"&amp;$A103,実績!$AE$6:$AE$505,"○")&gt;0,1,0))</f>
        <v/>
      </c>
      <c r="CD103">
        <f>IF(CD$4=0,0,IF(COUNTIFS(実績!$W$6:$W$505,CD$3,実績!$AC$6:$AC$505,"&lt;="&amp;$A103,実績!$AD$6:$AD$505,"&gt;"&amp;$A103,実績!$AE$6:$AE$505,"○")&gt;0,1,0))</f>
        <v/>
      </c>
      <c r="CE103">
        <f>IF(CE$4=0,0,IF(COUNTIFS(実績!$W$6:$W$505,CE$3,実績!$AC$6:$AC$505,"&lt;="&amp;$A103,実績!$AD$6:$AD$505,"&gt;"&amp;$A103,実績!$AE$6:$AE$505,"○")&gt;0,1,0))</f>
        <v/>
      </c>
      <c r="CF103">
        <f>IF(CF$4=0,0,IF(COUNTIFS(実績!$W$6:$W$505,CF$3,実績!$AC$6:$AC$505,"&lt;="&amp;$A103,実績!$AD$6:$AD$505,"&gt;"&amp;$A103,実績!$AE$6:$AE$505,"○")&gt;0,1,0))</f>
        <v/>
      </c>
      <c r="CG103">
        <f>IF(CG$4=0,0,IF(COUNTIFS(実績!$W$6:$W$505,CG$3,実績!$AC$6:$AC$505,"&lt;="&amp;$A103,実績!$AD$6:$AD$505,"&gt;"&amp;$A103,実績!$AE$6:$AE$505,"○")&gt;0,1,0))</f>
        <v/>
      </c>
      <c r="CH103">
        <f>IF(CH$4=0,0,IF(COUNTIFS(実績!$W$6:$W$505,CH$3,実績!$AC$6:$AC$505,"&lt;="&amp;$A103,実績!$AD$6:$AD$505,"&gt;"&amp;$A103,実績!$AE$6:$AE$505,"○")&gt;0,1,0))</f>
        <v/>
      </c>
      <c r="CI103">
        <f>IF(CI$4=0,0,IF(COUNTIFS(実績!$W$6:$W$505,CI$3,実績!$AC$6:$AC$505,"&lt;="&amp;$A103,実績!$AD$6:$AD$505,"&gt;"&amp;$A103,実績!$AE$6:$AE$505,"○")&gt;0,1,0))</f>
        <v/>
      </c>
      <c r="CJ103">
        <f>IF(CJ$4=0,0,IF(COUNTIFS(実績!$W$6:$W$505,CJ$3,実績!$AC$6:$AC$505,"&lt;="&amp;$A103,実績!$AD$6:$AD$505,"&gt;"&amp;$A103,実績!$AE$6:$AE$505,"○")&gt;0,1,0))</f>
        <v/>
      </c>
      <c r="CK103">
        <f>IF(CK$4=0,0,IF(COUNTIFS(実績!$W$6:$W$505,CK$3,実績!$AC$6:$AC$505,"&lt;="&amp;$A103,実績!$AD$6:$AD$505,"&gt;"&amp;$A103,実績!$AE$6:$AE$505,"○")&gt;0,1,0))</f>
        <v/>
      </c>
      <c r="CL103">
        <f>IF(CL$4=0,0,IF(COUNTIFS(実績!$W$6:$W$505,CL$3,実績!$AC$6:$AC$505,"&lt;="&amp;$A103,実績!$AD$6:$AD$505,"&gt;"&amp;$A103,実績!$AE$6:$AE$505,"○")&gt;0,1,0))</f>
        <v/>
      </c>
      <c r="CM103">
        <f>IF(CM$4=0,0,IF(COUNTIFS(実績!$W$6:$W$505,CM$3,実績!$AC$6:$AC$505,"&lt;="&amp;$A103,実績!$AD$6:$AD$505,"&gt;"&amp;$A103,実績!$AE$6:$AE$505,"○")&gt;0,1,0))</f>
        <v/>
      </c>
      <c r="CN103">
        <f>IF(CN$4=0,0,IF(COUNTIFS(実績!$W$6:$W$505,CN$3,実績!$AC$6:$AC$505,"&lt;="&amp;$A103,実績!$AD$6:$AD$505,"&gt;"&amp;$A103,実績!$AE$6:$AE$505,"○")&gt;0,1,0))</f>
        <v/>
      </c>
      <c r="CO103">
        <f>IF(CO$4=0,0,IF(COUNTIFS(実績!$W$6:$W$505,CO$3,実績!$AC$6:$AC$505,"&lt;="&amp;$A103,実績!$AD$6:$AD$505,"&gt;"&amp;$A103,実績!$AE$6:$AE$505,"○")&gt;0,1,0))</f>
        <v/>
      </c>
      <c r="CP103">
        <f>IF(CP$4=0,0,IF(COUNTIFS(実績!$W$6:$W$505,CP$3,実績!$AC$6:$AC$505,"&lt;="&amp;$A103,実績!$AD$6:$AD$505,"&gt;"&amp;$A103,実績!$AE$6:$AE$505,"○")&gt;0,1,0))</f>
        <v/>
      </c>
      <c r="CQ103">
        <f>IF(CQ$4=0,0,IF(COUNTIFS(実績!$W$6:$W$505,CQ$3,実績!$AC$6:$AC$505,"&lt;="&amp;$A103,実績!$AD$6:$AD$505,"&gt;"&amp;$A103,実績!$AE$6:$AE$505,"○")&gt;0,1,0))</f>
        <v/>
      </c>
      <c r="CR103">
        <f>IF(CR$4=0,0,IF(COUNTIFS(実績!$W$6:$W$505,CR$3,実績!$AC$6:$AC$505,"&lt;="&amp;$A103,実績!$AD$6:$AD$505,"&gt;"&amp;$A103,実績!$AE$6:$AE$505,"○")&gt;0,1,0))</f>
        <v/>
      </c>
      <c r="CS103">
        <f>IF(CS$4=0,0,IF(COUNTIFS(実績!$W$6:$W$505,CS$3,実績!$AC$6:$AC$505,"&lt;="&amp;$A103,実績!$AD$6:$AD$505,"&gt;"&amp;$A103,実績!$AE$6:$AE$505,"○")&gt;0,1,0))</f>
        <v/>
      </c>
      <c r="CT103">
        <f>IF(CT$4=0,0,IF(COUNTIFS(実績!$W$6:$W$505,CT$3,実績!$AC$6:$AC$505,"&lt;="&amp;$A103,実績!$AD$6:$AD$505,"&gt;"&amp;$A103,実績!$AE$6:$AE$505,"○")&gt;0,1,0))</f>
        <v/>
      </c>
      <c r="CU103">
        <f>IF(CU$4=0,0,IF(COUNTIFS(実績!$W$6:$W$505,CU$3,実績!$AC$6:$AC$505,"&lt;="&amp;$A103,実績!$AD$6:$AD$505,"&gt;"&amp;$A103,実績!$AE$6:$AE$505,"○")&gt;0,1,0))</f>
        <v/>
      </c>
      <c r="CV103">
        <f>IF(CV$4=0,0,IF(COUNTIFS(実績!$W$6:$W$505,CV$3,実績!$AC$6:$AC$505,"&lt;="&amp;$A103,実績!$AD$6:$AD$505,"&gt;"&amp;$A103,実績!$AE$6:$AE$505,"○")&gt;0,1,0))</f>
        <v/>
      </c>
      <c r="CW103">
        <f>IF(CW$4=0,0,IF(COUNTIFS(実績!$W$6:$W$505,CW$3,実績!$AC$6:$AC$505,"&lt;="&amp;$A103,実績!$AD$6:$AD$505,"&gt;"&amp;$A103,実績!$AE$6:$AE$505,"○")&gt;0,1,0))</f>
        <v/>
      </c>
      <c r="CX103">
        <f>IF(CX$4=0,0,IF(COUNTIFS(実績!$W$6:$W$505,CX$3,実績!$AC$6:$AC$505,"&lt;="&amp;$A103,実績!$AD$6:$AD$505,"&gt;"&amp;$A103,実績!$AE$6:$AE$505,"○")&gt;0,1,0))</f>
        <v/>
      </c>
      <c r="CY103">
        <f>IF(CY$4=0,0,IF(COUNTIFS(実績!$W$6:$W$505,CY$3,実績!$AC$6:$AC$505,"&lt;="&amp;$A103,実績!$AD$6:$AD$505,"&gt;"&amp;$A103,実績!$AE$6:$AE$505,"○")&gt;0,1,0))</f>
        <v/>
      </c>
      <c r="CZ103">
        <f>IF(CZ$4=0,0,IF(COUNTIFS(実績!$W$6:$W$505,CZ$3,実績!$AC$6:$AC$505,"&lt;="&amp;$A103,実績!$AD$6:$AD$505,"&gt;"&amp;$A103,実績!$AE$6:$AE$505,"○")&gt;0,1,0))</f>
        <v/>
      </c>
      <c r="DA103">
        <f>IF(DA$4=0,0,IF(COUNTIFS(実績!$W$6:$W$505,DA$3,実績!$AC$6:$AC$505,"&lt;="&amp;$A103,実績!$AD$6:$AD$505,"&gt;"&amp;$A103,実績!$AE$6:$AE$505,"○")&gt;0,1,0))</f>
        <v/>
      </c>
      <c r="DB103">
        <f>IF(DB$4=0,0,IF(COUNTIFS(実績!$W$6:$W$505,DB$3,実績!$AC$6:$AC$505,"&lt;="&amp;$A103,実績!$AD$6:$AD$505,"&gt;"&amp;$A103,実績!$AE$6:$AE$505,"○")&gt;0,1,0))</f>
        <v/>
      </c>
      <c r="DC103">
        <f>IF(DC$4=0,0,IF(COUNTIFS(実績!$W$6:$W$505,DC$3,実績!$AC$6:$AC$505,"&lt;="&amp;$A103,実績!$AD$6:$AD$505,"&gt;"&amp;$A103,実績!$AE$6:$AE$505,"○")&gt;0,1,0))</f>
        <v/>
      </c>
      <c r="DD103">
        <f>IF(DD$4=0,0,IF(COUNTIFS(実績!$W$6:$W$505,DD$3,実績!$AC$6:$AC$505,"&lt;="&amp;$A103,実績!$AD$6:$AD$505,"&gt;"&amp;$A103,実績!$AE$6:$AE$505,"○")&gt;0,1,0))</f>
        <v/>
      </c>
      <c r="DE103">
        <f>IF(DE$4=0,0,IF(COUNTIFS(実績!$W$6:$W$505,DE$3,実績!$AC$6:$AC$505,"&lt;="&amp;$A103,実績!$AD$6:$AD$505,"&gt;"&amp;$A103,実績!$AE$6:$AE$505,"○")&gt;0,1,0))</f>
        <v/>
      </c>
      <c r="DF103">
        <f>IF(DF$4=0,0,IF(COUNTIFS(実績!$W$6:$W$505,DF$3,実績!$AC$6:$AC$505,"&lt;="&amp;$A103,実績!$AD$6:$AD$505,"&gt;"&amp;$A103,実績!$AE$6:$AE$505,"○")&gt;0,1,0))</f>
        <v/>
      </c>
      <c r="DG103">
        <f>IF(DG$4=0,0,IF(COUNTIFS(実績!$W$6:$W$505,DG$3,実績!$AC$6:$AC$505,"&lt;="&amp;$A103,実績!$AD$6:$AD$505,"&gt;"&amp;$A103,実績!$AE$6:$AE$505,"○")&gt;0,1,0))</f>
        <v/>
      </c>
      <c r="DH103">
        <f>IF(DH$4=0,0,IF(COUNTIFS(実績!$W$6:$W$505,DH$3,実績!$AC$6:$AC$505,"&lt;="&amp;$A103,実績!$AD$6:$AD$505,"&gt;"&amp;$A103,実績!$AE$6:$AE$505,"○")&gt;0,1,0))</f>
        <v/>
      </c>
      <c r="DI103">
        <f>IF(DI$4=0,0,IF(COUNTIFS(実績!$W$6:$W$505,DI$3,実績!$AC$6:$AC$505,"&lt;="&amp;$A103,実績!$AD$6:$AD$505,"&gt;"&amp;$A103,実績!$AE$6:$AE$505,"○")&gt;0,1,0))</f>
        <v/>
      </c>
      <c r="DJ103">
        <f>IF(DJ$4=0,0,IF(COUNTIFS(実績!$W$6:$W$505,DJ$3,実績!$AC$6:$AC$505,"&lt;="&amp;$A103,実績!$AD$6:$AD$505,"&gt;"&amp;$A103,実績!$AE$6:$AE$505,"○")&gt;0,1,0))</f>
        <v/>
      </c>
      <c r="DK103">
        <f>IF(DK$4=0,0,IF(COUNTIFS(実績!$W$6:$W$505,DK$3,実績!$AC$6:$AC$505,"&lt;="&amp;$A103,実績!$AD$6:$AD$505,"&gt;"&amp;$A103,実績!$AE$6:$AE$505,"○")&gt;0,1,0))</f>
        <v/>
      </c>
      <c r="DL103">
        <f>IF(DL$4=0,0,IF(COUNTIFS(実績!$W$6:$W$505,DL$3,実績!$AC$6:$AC$505,"&lt;="&amp;$A103,実績!$AD$6:$AD$505,"&gt;"&amp;$A103,実績!$AE$6:$AE$505,"○")&gt;0,1,0))</f>
        <v/>
      </c>
      <c r="DM103">
        <f>IF(DM$4=0,0,IF(COUNTIFS(実績!$W$6:$W$505,DM$3,実績!$AC$6:$AC$505,"&lt;="&amp;$A103,実績!$AD$6:$AD$505,"&gt;"&amp;$A103,実績!$AE$6:$AE$505,"○")&gt;0,1,0))</f>
        <v/>
      </c>
      <c r="DN103">
        <f>IF(DN$4=0,0,IF(COUNTIFS(実績!$W$6:$W$505,DN$3,実績!$AC$6:$AC$505,"&lt;="&amp;$A103,実績!$AD$6:$AD$505,"&gt;"&amp;$A103,実績!$AE$6:$AE$505,"○")&gt;0,1,0))</f>
        <v/>
      </c>
      <c r="DO103">
        <f>IF(DO$4=0,0,IF(COUNTIFS(実績!$W$6:$W$505,DO$3,実績!$AC$6:$AC$505,"&lt;="&amp;$A103,実績!$AD$6:$AD$505,"&gt;"&amp;$A103,実績!$AE$6:$AE$505,"○")&gt;0,1,0))</f>
        <v/>
      </c>
      <c r="DP103">
        <f>IF(DP$4=0,0,IF(COUNTIFS(実績!$W$6:$W$505,DP$3,実績!$AC$6:$AC$505,"&lt;="&amp;$A103,実績!$AD$6:$AD$505,"&gt;"&amp;$A103,実績!$AE$6:$AE$505,"○")&gt;0,1,0))</f>
        <v/>
      </c>
      <c r="DQ103">
        <f>IF(DQ$4=0,0,IF(COUNTIFS(実績!$W$6:$W$505,DQ$3,実績!$AC$6:$AC$505,"&lt;="&amp;$A103,実績!$AD$6:$AD$505,"&gt;"&amp;$A103,実績!$AE$6:$AE$505,"○")&gt;0,1,0))</f>
        <v/>
      </c>
      <c r="DR103">
        <f>IF(DR$4=0,0,IF(COUNTIFS(実績!$W$6:$W$505,DR$3,実績!$AC$6:$AC$505,"&lt;="&amp;$A103,実績!$AD$6:$AD$505,"&gt;"&amp;$A103,実績!$AE$6:$AE$505,"○")&gt;0,1,0))</f>
        <v/>
      </c>
      <c r="DS103">
        <f>SUM(C103:DR103)</f>
        <v/>
      </c>
      <c r="DT103">
        <f>SUMPRODUCT((実績!$C$6:$C$505="○")*ISNUMBER(実績!$AF$6:$AF$505)*(実績!$AF$6:$AF$505&lt;=$A103)*(実績!$AG$6:$AG$505&gt;$A103))</f>
        <v/>
      </c>
      <c r="DU103">
        <f>SUMIF($C$2:$DR$2,"製鉄曳船",C103:DR103)</f>
        <v/>
      </c>
      <c r="DV103">
        <f>SUMIF($C$2:$DR$2,"西日本海運",C103:DR103)</f>
        <v/>
      </c>
    </row>
    <row r="104">
      <c r="A104" t="n">
        <v>490</v>
      </c>
      <c r="B104" s="29">
        <f>A104/1440</f>
        <v/>
      </c>
      <c r="C104">
        <f>IF(C$4=0,0,IF(COUNTIFS(実績!$W$6:$W$505,C$3,実績!$AC$6:$AC$505,"&lt;="&amp;$A104,実績!$AD$6:$AD$505,"&gt;"&amp;$A104,実績!$AE$6:$AE$505,"○")&gt;0,1,0))</f>
        <v/>
      </c>
      <c r="D104">
        <f>IF(D$4=0,0,IF(COUNTIFS(実績!$W$6:$W$505,D$3,実績!$AC$6:$AC$505,"&lt;="&amp;$A104,実績!$AD$6:$AD$505,"&gt;"&amp;$A104,実績!$AE$6:$AE$505,"○")&gt;0,1,0))</f>
        <v/>
      </c>
      <c r="E104">
        <f>IF(E$4=0,0,IF(COUNTIFS(実績!$W$6:$W$505,E$3,実績!$AC$6:$AC$505,"&lt;="&amp;$A104,実績!$AD$6:$AD$505,"&gt;"&amp;$A104,実績!$AE$6:$AE$505,"○")&gt;0,1,0))</f>
        <v/>
      </c>
      <c r="F104">
        <f>IF(F$4=0,0,IF(COUNTIFS(実績!$W$6:$W$505,F$3,実績!$AC$6:$AC$505,"&lt;="&amp;$A104,実績!$AD$6:$AD$505,"&gt;"&amp;$A104,実績!$AE$6:$AE$505,"○")&gt;0,1,0))</f>
        <v/>
      </c>
      <c r="G104">
        <f>IF(G$4=0,0,IF(COUNTIFS(実績!$W$6:$W$505,G$3,実績!$AC$6:$AC$505,"&lt;="&amp;$A104,実績!$AD$6:$AD$505,"&gt;"&amp;$A104,実績!$AE$6:$AE$505,"○")&gt;0,1,0))</f>
        <v/>
      </c>
      <c r="H104">
        <f>IF(H$4=0,0,IF(COUNTIFS(実績!$W$6:$W$505,H$3,実績!$AC$6:$AC$505,"&lt;="&amp;$A104,実績!$AD$6:$AD$505,"&gt;"&amp;$A104,実績!$AE$6:$AE$505,"○")&gt;0,1,0))</f>
        <v/>
      </c>
      <c r="I104">
        <f>IF(I$4=0,0,IF(COUNTIFS(実績!$W$6:$W$505,I$3,実績!$AC$6:$AC$505,"&lt;="&amp;$A104,実績!$AD$6:$AD$505,"&gt;"&amp;$A104,実績!$AE$6:$AE$505,"○")&gt;0,1,0))</f>
        <v/>
      </c>
      <c r="J104">
        <f>IF(J$4=0,0,IF(COUNTIFS(実績!$W$6:$W$505,J$3,実績!$AC$6:$AC$505,"&lt;="&amp;$A104,実績!$AD$6:$AD$505,"&gt;"&amp;$A104,実績!$AE$6:$AE$505,"○")&gt;0,1,0))</f>
        <v/>
      </c>
      <c r="K104">
        <f>IF(K$4=0,0,IF(COUNTIFS(実績!$W$6:$W$505,K$3,実績!$AC$6:$AC$505,"&lt;="&amp;$A104,実績!$AD$6:$AD$505,"&gt;"&amp;$A104,実績!$AE$6:$AE$505,"○")&gt;0,1,0))</f>
        <v/>
      </c>
      <c r="L104">
        <f>IF(L$4=0,0,IF(COUNTIFS(実績!$W$6:$W$505,L$3,実績!$AC$6:$AC$505,"&lt;="&amp;$A104,実績!$AD$6:$AD$505,"&gt;"&amp;$A104,実績!$AE$6:$AE$505,"○")&gt;0,1,0))</f>
        <v/>
      </c>
      <c r="M104">
        <f>IF(M$4=0,0,IF(COUNTIFS(実績!$W$6:$W$505,M$3,実績!$AC$6:$AC$505,"&lt;="&amp;$A104,実績!$AD$6:$AD$505,"&gt;"&amp;$A104,実績!$AE$6:$AE$505,"○")&gt;0,1,0))</f>
        <v/>
      </c>
      <c r="N104">
        <f>IF(N$4=0,0,IF(COUNTIFS(実績!$W$6:$W$505,N$3,実績!$AC$6:$AC$505,"&lt;="&amp;$A104,実績!$AD$6:$AD$505,"&gt;"&amp;$A104,実績!$AE$6:$AE$505,"○")&gt;0,1,0))</f>
        <v/>
      </c>
      <c r="O104">
        <f>IF(O$4=0,0,IF(COUNTIFS(実績!$W$6:$W$505,O$3,実績!$AC$6:$AC$505,"&lt;="&amp;$A104,実績!$AD$6:$AD$505,"&gt;"&amp;$A104,実績!$AE$6:$AE$505,"○")&gt;0,1,0))</f>
        <v/>
      </c>
      <c r="P104">
        <f>IF(P$4=0,0,IF(COUNTIFS(実績!$W$6:$W$505,P$3,実績!$AC$6:$AC$505,"&lt;="&amp;$A104,実績!$AD$6:$AD$505,"&gt;"&amp;$A104,実績!$AE$6:$AE$505,"○")&gt;0,1,0))</f>
        <v/>
      </c>
      <c r="Q104">
        <f>IF(Q$4=0,0,IF(COUNTIFS(実績!$W$6:$W$505,Q$3,実績!$AC$6:$AC$505,"&lt;="&amp;$A104,実績!$AD$6:$AD$505,"&gt;"&amp;$A104,実績!$AE$6:$AE$505,"○")&gt;0,1,0))</f>
        <v/>
      </c>
      <c r="R104">
        <f>IF(R$4=0,0,IF(COUNTIFS(実績!$W$6:$W$505,R$3,実績!$AC$6:$AC$505,"&lt;="&amp;$A104,実績!$AD$6:$AD$505,"&gt;"&amp;$A104,実績!$AE$6:$AE$505,"○")&gt;0,1,0))</f>
        <v/>
      </c>
      <c r="S104">
        <f>IF(S$4=0,0,IF(COUNTIFS(実績!$W$6:$W$505,S$3,実績!$AC$6:$AC$505,"&lt;="&amp;$A104,実績!$AD$6:$AD$505,"&gt;"&amp;$A104,実績!$AE$6:$AE$505,"○")&gt;0,1,0))</f>
        <v/>
      </c>
      <c r="T104">
        <f>IF(T$4=0,0,IF(COUNTIFS(実績!$W$6:$W$505,T$3,実績!$AC$6:$AC$505,"&lt;="&amp;$A104,実績!$AD$6:$AD$505,"&gt;"&amp;$A104,実績!$AE$6:$AE$505,"○")&gt;0,1,0))</f>
        <v/>
      </c>
      <c r="U104">
        <f>IF(U$4=0,0,IF(COUNTIFS(実績!$W$6:$W$505,U$3,実績!$AC$6:$AC$505,"&lt;="&amp;$A104,実績!$AD$6:$AD$505,"&gt;"&amp;$A104,実績!$AE$6:$AE$505,"○")&gt;0,1,0))</f>
        <v/>
      </c>
      <c r="V104">
        <f>IF(V$4=0,0,IF(COUNTIFS(実績!$W$6:$W$505,V$3,実績!$AC$6:$AC$505,"&lt;="&amp;$A104,実績!$AD$6:$AD$505,"&gt;"&amp;$A104,実績!$AE$6:$AE$505,"○")&gt;0,1,0))</f>
        <v/>
      </c>
      <c r="W104">
        <f>IF(W$4=0,0,IF(COUNTIFS(実績!$W$6:$W$505,W$3,実績!$AC$6:$AC$505,"&lt;="&amp;$A104,実績!$AD$6:$AD$505,"&gt;"&amp;$A104,実績!$AE$6:$AE$505,"○")&gt;0,1,0))</f>
        <v/>
      </c>
      <c r="X104">
        <f>IF(X$4=0,0,IF(COUNTIFS(実績!$W$6:$W$505,X$3,実績!$AC$6:$AC$505,"&lt;="&amp;$A104,実績!$AD$6:$AD$505,"&gt;"&amp;$A104,実績!$AE$6:$AE$505,"○")&gt;0,1,0))</f>
        <v/>
      </c>
      <c r="Y104">
        <f>IF(Y$4=0,0,IF(COUNTIFS(実績!$W$6:$W$505,Y$3,実績!$AC$6:$AC$505,"&lt;="&amp;$A104,実績!$AD$6:$AD$505,"&gt;"&amp;$A104,実績!$AE$6:$AE$505,"○")&gt;0,1,0))</f>
        <v/>
      </c>
      <c r="Z104">
        <f>IF(Z$4=0,0,IF(COUNTIFS(実績!$W$6:$W$505,Z$3,実績!$AC$6:$AC$505,"&lt;="&amp;$A104,実績!$AD$6:$AD$505,"&gt;"&amp;$A104,実績!$AE$6:$AE$505,"○")&gt;0,1,0))</f>
        <v/>
      </c>
      <c r="AA104">
        <f>IF(AA$4=0,0,IF(COUNTIFS(実績!$W$6:$W$505,AA$3,実績!$AC$6:$AC$505,"&lt;="&amp;$A104,実績!$AD$6:$AD$505,"&gt;"&amp;$A104,実績!$AE$6:$AE$505,"○")&gt;0,1,0))</f>
        <v/>
      </c>
      <c r="AB104">
        <f>IF(AB$4=0,0,IF(COUNTIFS(実績!$W$6:$W$505,AB$3,実績!$AC$6:$AC$505,"&lt;="&amp;$A104,実績!$AD$6:$AD$505,"&gt;"&amp;$A104,実績!$AE$6:$AE$505,"○")&gt;0,1,0))</f>
        <v/>
      </c>
      <c r="AC104">
        <f>IF(AC$4=0,0,IF(COUNTIFS(実績!$W$6:$W$505,AC$3,実績!$AC$6:$AC$505,"&lt;="&amp;$A104,実績!$AD$6:$AD$505,"&gt;"&amp;$A104,実績!$AE$6:$AE$505,"○")&gt;0,1,0))</f>
        <v/>
      </c>
      <c r="AD104">
        <f>IF(AD$4=0,0,IF(COUNTIFS(実績!$W$6:$W$505,AD$3,実績!$AC$6:$AC$505,"&lt;="&amp;$A104,実績!$AD$6:$AD$505,"&gt;"&amp;$A104,実績!$AE$6:$AE$505,"○")&gt;0,1,0))</f>
        <v/>
      </c>
      <c r="AE104">
        <f>IF(AE$4=0,0,IF(COUNTIFS(実績!$W$6:$W$505,AE$3,実績!$AC$6:$AC$505,"&lt;="&amp;$A104,実績!$AD$6:$AD$505,"&gt;"&amp;$A104,実績!$AE$6:$AE$505,"○")&gt;0,1,0))</f>
        <v/>
      </c>
      <c r="AF104">
        <f>IF(AF$4=0,0,IF(COUNTIFS(実績!$W$6:$W$505,AF$3,実績!$AC$6:$AC$505,"&lt;="&amp;$A104,実績!$AD$6:$AD$505,"&gt;"&amp;$A104,実績!$AE$6:$AE$505,"○")&gt;0,1,0))</f>
        <v/>
      </c>
      <c r="AG104">
        <f>IF(AG$4=0,0,IF(COUNTIFS(実績!$W$6:$W$505,AG$3,実績!$AC$6:$AC$505,"&lt;="&amp;$A104,実績!$AD$6:$AD$505,"&gt;"&amp;$A104,実績!$AE$6:$AE$505,"○")&gt;0,1,0))</f>
        <v/>
      </c>
      <c r="AH104">
        <f>IF(AH$4=0,0,IF(COUNTIFS(実績!$W$6:$W$505,AH$3,実績!$AC$6:$AC$505,"&lt;="&amp;$A104,実績!$AD$6:$AD$505,"&gt;"&amp;$A104,実績!$AE$6:$AE$505,"○")&gt;0,1,0))</f>
        <v/>
      </c>
      <c r="AI104">
        <f>IF(AI$4=0,0,IF(COUNTIFS(実績!$W$6:$W$505,AI$3,実績!$AC$6:$AC$505,"&lt;="&amp;$A104,実績!$AD$6:$AD$505,"&gt;"&amp;$A104,実績!$AE$6:$AE$505,"○")&gt;0,1,0))</f>
        <v/>
      </c>
      <c r="AJ104">
        <f>IF(AJ$4=0,0,IF(COUNTIFS(実績!$W$6:$W$505,AJ$3,実績!$AC$6:$AC$505,"&lt;="&amp;$A104,実績!$AD$6:$AD$505,"&gt;"&amp;$A104,実績!$AE$6:$AE$505,"○")&gt;0,1,0))</f>
        <v/>
      </c>
      <c r="AK104">
        <f>IF(AK$4=0,0,IF(COUNTIFS(実績!$W$6:$W$505,AK$3,実績!$AC$6:$AC$505,"&lt;="&amp;$A104,実績!$AD$6:$AD$505,"&gt;"&amp;$A104,実績!$AE$6:$AE$505,"○")&gt;0,1,0))</f>
        <v/>
      </c>
      <c r="AL104">
        <f>IF(AL$4=0,0,IF(COUNTIFS(実績!$W$6:$W$505,AL$3,実績!$AC$6:$AC$505,"&lt;="&amp;$A104,実績!$AD$6:$AD$505,"&gt;"&amp;$A104,実績!$AE$6:$AE$505,"○")&gt;0,1,0))</f>
        <v/>
      </c>
      <c r="AM104">
        <f>IF(AM$4=0,0,IF(COUNTIFS(実績!$W$6:$W$505,AM$3,実績!$AC$6:$AC$505,"&lt;="&amp;$A104,実績!$AD$6:$AD$505,"&gt;"&amp;$A104,実績!$AE$6:$AE$505,"○")&gt;0,1,0))</f>
        <v/>
      </c>
      <c r="AN104">
        <f>IF(AN$4=0,0,IF(COUNTIFS(実績!$W$6:$W$505,AN$3,実績!$AC$6:$AC$505,"&lt;="&amp;$A104,実績!$AD$6:$AD$505,"&gt;"&amp;$A104,実績!$AE$6:$AE$505,"○")&gt;0,1,0))</f>
        <v/>
      </c>
      <c r="AO104">
        <f>IF(AO$4=0,0,IF(COUNTIFS(実績!$W$6:$W$505,AO$3,実績!$AC$6:$AC$505,"&lt;="&amp;$A104,実績!$AD$6:$AD$505,"&gt;"&amp;$A104,実績!$AE$6:$AE$505,"○")&gt;0,1,0))</f>
        <v/>
      </c>
      <c r="AP104">
        <f>IF(AP$4=0,0,IF(COUNTIFS(実績!$W$6:$W$505,AP$3,実績!$AC$6:$AC$505,"&lt;="&amp;$A104,実績!$AD$6:$AD$505,"&gt;"&amp;$A104,実績!$AE$6:$AE$505,"○")&gt;0,1,0))</f>
        <v/>
      </c>
      <c r="AQ104">
        <f>IF(AQ$4=0,0,IF(COUNTIFS(実績!$W$6:$W$505,AQ$3,実績!$AC$6:$AC$505,"&lt;="&amp;$A104,実績!$AD$6:$AD$505,"&gt;"&amp;$A104,実績!$AE$6:$AE$505,"○")&gt;0,1,0))</f>
        <v/>
      </c>
      <c r="AR104">
        <f>IF(AR$4=0,0,IF(COUNTIFS(実績!$W$6:$W$505,AR$3,実績!$AC$6:$AC$505,"&lt;="&amp;$A104,実績!$AD$6:$AD$505,"&gt;"&amp;$A104,実績!$AE$6:$AE$505,"○")&gt;0,1,0))</f>
        <v/>
      </c>
      <c r="AS104">
        <f>IF(AS$4=0,0,IF(COUNTIFS(実績!$W$6:$W$505,AS$3,実績!$AC$6:$AC$505,"&lt;="&amp;$A104,実績!$AD$6:$AD$505,"&gt;"&amp;$A104,実績!$AE$6:$AE$505,"○")&gt;0,1,0))</f>
        <v/>
      </c>
      <c r="AT104">
        <f>IF(AT$4=0,0,IF(COUNTIFS(実績!$W$6:$W$505,AT$3,実績!$AC$6:$AC$505,"&lt;="&amp;$A104,実績!$AD$6:$AD$505,"&gt;"&amp;$A104,実績!$AE$6:$AE$505,"○")&gt;0,1,0))</f>
        <v/>
      </c>
      <c r="AU104">
        <f>IF(AU$4=0,0,IF(COUNTIFS(実績!$W$6:$W$505,AU$3,実績!$AC$6:$AC$505,"&lt;="&amp;$A104,実績!$AD$6:$AD$505,"&gt;"&amp;$A104,実績!$AE$6:$AE$505,"○")&gt;0,1,0))</f>
        <v/>
      </c>
      <c r="AV104">
        <f>IF(AV$4=0,0,IF(COUNTIFS(実績!$W$6:$W$505,AV$3,実績!$AC$6:$AC$505,"&lt;="&amp;$A104,実績!$AD$6:$AD$505,"&gt;"&amp;$A104,実績!$AE$6:$AE$505,"○")&gt;0,1,0))</f>
        <v/>
      </c>
      <c r="AW104">
        <f>IF(AW$4=0,0,IF(COUNTIFS(実績!$W$6:$W$505,AW$3,実績!$AC$6:$AC$505,"&lt;="&amp;$A104,実績!$AD$6:$AD$505,"&gt;"&amp;$A104,実績!$AE$6:$AE$505,"○")&gt;0,1,0))</f>
        <v/>
      </c>
      <c r="AX104">
        <f>IF(AX$4=0,0,IF(COUNTIFS(実績!$W$6:$W$505,AX$3,実績!$AC$6:$AC$505,"&lt;="&amp;$A104,実績!$AD$6:$AD$505,"&gt;"&amp;$A104,実績!$AE$6:$AE$505,"○")&gt;0,1,0))</f>
        <v/>
      </c>
      <c r="AY104">
        <f>IF(AY$4=0,0,IF(COUNTIFS(実績!$W$6:$W$505,AY$3,実績!$AC$6:$AC$505,"&lt;="&amp;$A104,実績!$AD$6:$AD$505,"&gt;"&amp;$A104,実績!$AE$6:$AE$505,"○")&gt;0,1,0))</f>
        <v/>
      </c>
      <c r="AZ104">
        <f>IF(AZ$4=0,0,IF(COUNTIFS(実績!$W$6:$W$505,AZ$3,実績!$AC$6:$AC$505,"&lt;="&amp;$A104,実績!$AD$6:$AD$505,"&gt;"&amp;$A104,実績!$AE$6:$AE$505,"○")&gt;0,1,0))</f>
        <v/>
      </c>
      <c r="BA104">
        <f>IF(BA$4=0,0,IF(COUNTIFS(実績!$W$6:$W$505,BA$3,実績!$AC$6:$AC$505,"&lt;="&amp;$A104,実績!$AD$6:$AD$505,"&gt;"&amp;$A104,実績!$AE$6:$AE$505,"○")&gt;0,1,0))</f>
        <v/>
      </c>
      <c r="BB104">
        <f>IF(BB$4=0,0,IF(COUNTIFS(実績!$W$6:$W$505,BB$3,実績!$AC$6:$AC$505,"&lt;="&amp;$A104,実績!$AD$6:$AD$505,"&gt;"&amp;$A104,実績!$AE$6:$AE$505,"○")&gt;0,1,0))</f>
        <v/>
      </c>
      <c r="BC104">
        <f>IF(BC$4=0,0,IF(COUNTIFS(実績!$W$6:$W$505,BC$3,実績!$AC$6:$AC$505,"&lt;="&amp;$A104,実績!$AD$6:$AD$505,"&gt;"&amp;$A104,実績!$AE$6:$AE$505,"○")&gt;0,1,0))</f>
        <v/>
      </c>
      <c r="BD104">
        <f>IF(BD$4=0,0,IF(COUNTIFS(実績!$W$6:$W$505,BD$3,実績!$AC$6:$AC$505,"&lt;="&amp;$A104,実績!$AD$6:$AD$505,"&gt;"&amp;$A104,実績!$AE$6:$AE$505,"○")&gt;0,1,0))</f>
        <v/>
      </c>
      <c r="BE104">
        <f>IF(BE$4=0,0,IF(COUNTIFS(実績!$W$6:$W$505,BE$3,実績!$AC$6:$AC$505,"&lt;="&amp;$A104,実績!$AD$6:$AD$505,"&gt;"&amp;$A104,実績!$AE$6:$AE$505,"○")&gt;0,1,0))</f>
        <v/>
      </c>
      <c r="BF104">
        <f>IF(BF$4=0,0,IF(COUNTIFS(実績!$W$6:$W$505,BF$3,実績!$AC$6:$AC$505,"&lt;="&amp;$A104,実績!$AD$6:$AD$505,"&gt;"&amp;$A104,実績!$AE$6:$AE$505,"○")&gt;0,1,0))</f>
        <v/>
      </c>
      <c r="BG104">
        <f>IF(BG$4=0,0,IF(COUNTIFS(実績!$W$6:$W$505,BG$3,実績!$AC$6:$AC$505,"&lt;="&amp;$A104,実績!$AD$6:$AD$505,"&gt;"&amp;$A104,実績!$AE$6:$AE$505,"○")&gt;0,1,0))</f>
        <v/>
      </c>
      <c r="BH104">
        <f>IF(BH$4=0,0,IF(COUNTIFS(実績!$W$6:$W$505,BH$3,実績!$AC$6:$AC$505,"&lt;="&amp;$A104,実績!$AD$6:$AD$505,"&gt;"&amp;$A104,実績!$AE$6:$AE$505,"○")&gt;0,1,0))</f>
        <v/>
      </c>
      <c r="BI104">
        <f>IF(BI$4=0,0,IF(COUNTIFS(実績!$W$6:$W$505,BI$3,実績!$AC$6:$AC$505,"&lt;="&amp;$A104,実績!$AD$6:$AD$505,"&gt;"&amp;$A104,実績!$AE$6:$AE$505,"○")&gt;0,1,0))</f>
        <v/>
      </c>
      <c r="BJ104">
        <f>IF(BJ$4=0,0,IF(COUNTIFS(実績!$W$6:$W$505,BJ$3,実績!$AC$6:$AC$505,"&lt;="&amp;$A104,実績!$AD$6:$AD$505,"&gt;"&amp;$A104,実績!$AE$6:$AE$505,"○")&gt;0,1,0))</f>
        <v/>
      </c>
      <c r="BK104">
        <f>IF(BK$4=0,0,IF(COUNTIFS(実績!$W$6:$W$505,BK$3,実績!$AC$6:$AC$505,"&lt;="&amp;$A104,実績!$AD$6:$AD$505,"&gt;"&amp;$A104,実績!$AE$6:$AE$505,"○")&gt;0,1,0))</f>
        <v/>
      </c>
      <c r="BL104">
        <f>IF(BL$4=0,0,IF(COUNTIFS(実績!$W$6:$W$505,BL$3,実績!$AC$6:$AC$505,"&lt;="&amp;$A104,実績!$AD$6:$AD$505,"&gt;"&amp;$A104,実績!$AE$6:$AE$505,"○")&gt;0,1,0))</f>
        <v/>
      </c>
      <c r="BM104">
        <f>IF(BM$4=0,0,IF(COUNTIFS(実績!$W$6:$W$505,BM$3,実績!$AC$6:$AC$505,"&lt;="&amp;$A104,実績!$AD$6:$AD$505,"&gt;"&amp;$A104,実績!$AE$6:$AE$505,"○")&gt;0,1,0))</f>
        <v/>
      </c>
      <c r="BN104">
        <f>IF(BN$4=0,0,IF(COUNTIFS(実績!$W$6:$W$505,BN$3,実績!$AC$6:$AC$505,"&lt;="&amp;$A104,実績!$AD$6:$AD$505,"&gt;"&amp;$A104,実績!$AE$6:$AE$505,"○")&gt;0,1,0))</f>
        <v/>
      </c>
      <c r="BO104">
        <f>IF(BO$4=0,0,IF(COUNTIFS(実績!$W$6:$W$505,BO$3,実績!$AC$6:$AC$505,"&lt;="&amp;$A104,実績!$AD$6:$AD$505,"&gt;"&amp;$A104,実績!$AE$6:$AE$505,"○")&gt;0,1,0))</f>
        <v/>
      </c>
      <c r="BP104">
        <f>IF(BP$4=0,0,IF(COUNTIFS(実績!$W$6:$W$505,BP$3,実績!$AC$6:$AC$505,"&lt;="&amp;$A104,実績!$AD$6:$AD$505,"&gt;"&amp;$A104,実績!$AE$6:$AE$505,"○")&gt;0,1,0))</f>
        <v/>
      </c>
      <c r="BQ104">
        <f>IF(BQ$4=0,0,IF(COUNTIFS(実績!$W$6:$W$505,BQ$3,実績!$AC$6:$AC$505,"&lt;="&amp;$A104,実績!$AD$6:$AD$505,"&gt;"&amp;$A104,実績!$AE$6:$AE$505,"○")&gt;0,1,0))</f>
        <v/>
      </c>
      <c r="BR104">
        <f>IF(BR$4=0,0,IF(COUNTIFS(実績!$W$6:$W$505,BR$3,実績!$AC$6:$AC$505,"&lt;="&amp;$A104,実績!$AD$6:$AD$505,"&gt;"&amp;$A104,実績!$AE$6:$AE$505,"○")&gt;0,1,0))</f>
        <v/>
      </c>
      <c r="BS104">
        <f>IF(BS$4=0,0,IF(COUNTIFS(実績!$W$6:$W$505,BS$3,実績!$AC$6:$AC$505,"&lt;="&amp;$A104,実績!$AD$6:$AD$505,"&gt;"&amp;$A104,実績!$AE$6:$AE$505,"○")&gt;0,1,0))</f>
        <v/>
      </c>
      <c r="BT104">
        <f>IF(BT$4=0,0,IF(COUNTIFS(実績!$W$6:$W$505,BT$3,実績!$AC$6:$AC$505,"&lt;="&amp;$A104,実績!$AD$6:$AD$505,"&gt;"&amp;$A104,実績!$AE$6:$AE$505,"○")&gt;0,1,0))</f>
        <v/>
      </c>
      <c r="BU104">
        <f>IF(BU$4=0,0,IF(COUNTIFS(実績!$W$6:$W$505,BU$3,実績!$AC$6:$AC$505,"&lt;="&amp;$A104,実績!$AD$6:$AD$505,"&gt;"&amp;$A104,実績!$AE$6:$AE$505,"○")&gt;0,1,0))</f>
        <v/>
      </c>
      <c r="BV104">
        <f>IF(BV$4=0,0,IF(COUNTIFS(実績!$W$6:$W$505,BV$3,実績!$AC$6:$AC$505,"&lt;="&amp;$A104,実績!$AD$6:$AD$505,"&gt;"&amp;$A104,実績!$AE$6:$AE$505,"○")&gt;0,1,0))</f>
        <v/>
      </c>
      <c r="BW104">
        <f>IF(BW$4=0,0,IF(COUNTIFS(実績!$W$6:$W$505,BW$3,実績!$AC$6:$AC$505,"&lt;="&amp;$A104,実績!$AD$6:$AD$505,"&gt;"&amp;$A104,実績!$AE$6:$AE$505,"○")&gt;0,1,0))</f>
        <v/>
      </c>
      <c r="BX104">
        <f>IF(BX$4=0,0,IF(COUNTIFS(実績!$W$6:$W$505,BX$3,実績!$AC$6:$AC$505,"&lt;="&amp;$A104,実績!$AD$6:$AD$505,"&gt;"&amp;$A104,実績!$AE$6:$AE$505,"○")&gt;0,1,0))</f>
        <v/>
      </c>
      <c r="BY104">
        <f>IF(BY$4=0,0,IF(COUNTIFS(実績!$W$6:$W$505,BY$3,実績!$AC$6:$AC$505,"&lt;="&amp;$A104,実績!$AD$6:$AD$505,"&gt;"&amp;$A104,実績!$AE$6:$AE$505,"○")&gt;0,1,0))</f>
        <v/>
      </c>
      <c r="BZ104">
        <f>IF(BZ$4=0,0,IF(COUNTIFS(実績!$W$6:$W$505,BZ$3,実績!$AC$6:$AC$505,"&lt;="&amp;$A104,実績!$AD$6:$AD$505,"&gt;"&amp;$A104,実績!$AE$6:$AE$505,"○")&gt;0,1,0))</f>
        <v/>
      </c>
      <c r="CA104">
        <f>IF(CA$4=0,0,IF(COUNTIFS(実績!$W$6:$W$505,CA$3,実績!$AC$6:$AC$505,"&lt;="&amp;$A104,実績!$AD$6:$AD$505,"&gt;"&amp;$A104,実績!$AE$6:$AE$505,"○")&gt;0,1,0))</f>
        <v/>
      </c>
      <c r="CB104">
        <f>IF(CB$4=0,0,IF(COUNTIFS(実績!$W$6:$W$505,CB$3,実績!$AC$6:$AC$505,"&lt;="&amp;$A104,実績!$AD$6:$AD$505,"&gt;"&amp;$A104,実績!$AE$6:$AE$505,"○")&gt;0,1,0))</f>
        <v/>
      </c>
      <c r="CC104">
        <f>IF(CC$4=0,0,IF(COUNTIFS(実績!$W$6:$W$505,CC$3,実績!$AC$6:$AC$505,"&lt;="&amp;$A104,実績!$AD$6:$AD$505,"&gt;"&amp;$A104,実績!$AE$6:$AE$505,"○")&gt;0,1,0))</f>
        <v/>
      </c>
      <c r="CD104">
        <f>IF(CD$4=0,0,IF(COUNTIFS(実績!$W$6:$W$505,CD$3,実績!$AC$6:$AC$505,"&lt;="&amp;$A104,実績!$AD$6:$AD$505,"&gt;"&amp;$A104,実績!$AE$6:$AE$505,"○")&gt;0,1,0))</f>
        <v/>
      </c>
      <c r="CE104">
        <f>IF(CE$4=0,0,IF(COUNTIFS(実績!$W$6:$W$505,CE$3,実績!$AC$6:$AC$505,"&lt;="&amp;$A104,実績!$AD$6:$AD$505,"&gt;"&amp;$A104,実績!$AE$6:$AE$505,"○")&gt;0,1,0))</f>
        <v/>
      </c>
      <c r="CF104">
        <f>IF(CF$4=0,0,IF(COUNTIFS(実績!$W$6:$W$505,CF$3,実績!$AC$6:$AC$505,"&lt;="&amp;$A104,実績!$AD$6:$AD$505,"&gt;"&amp;$A104,実績!$AE$6:$AE$505,"○")&gt;0,1,0))</f>
        <v/>
      </c>
      <c r="CG104">
        <f>IF(CG$4=0,0,IF(COUNTIFS(実績!$W$6:$W$505,CG$3,実績!$AC$6:$AC$505,"&lt;="&amp;$A104,実績!$AD$6:$AD$505,"&gt;"&amp;$A104,実績!$AE$6:$AE$505,"○")&gt;0,1,0))</f>
        <v/>
      </c>
      <c r="CH104">
        <f>IF(CH$4=0,0,IF(COUNTIFS(実績!$W$6:$W$505,CH$3,実績!$AC$6:$AC$505,"&lt;="&amp;$A104,実績!$AD$6:$AD$505,"&gt;"&amp;$A104,実績!$AE$6:$AE$505,"○")&gt;0,1,0))</f>
        <v/>
      </c>
      <c r="CI104">
        <f>IF(CI$4=0,0,IF(COUNTIFS(実績!$W$6:$W$505,CI$3,実績!$AC$6:$AC$505,"&lt;="&amp;$A104,実績!$AD$6:$AD$505,"&gt;"&amp;$A104,実績!$AE$6:$AE$505,"○")&gt;0,1,0))</f>
        <v/>
      </c>
      <c r="CJ104">
        <f>IF(CJ$4=0,0,IF(COUNTIFS(実績!$W$6:$W$505,CJ$3,実績!$AC$6:$AC$505,"&lt;="&amp;$A104,実績!$AD$6:$AD$505,"&gt;"&amp;$A104,実績!$AE$6:$AE$505,"○")&gt;0,1,0))</f>
        <v/>
      </c>
      <c r="CK104">
        <f>IF(CK$4=0,0,IF(COUNTIFS(実績!$W$6:$W$505,CK$3,実績!$AC$6:$AC$505,"&lt;="&amp;$A104,実績!$AD$6:$AD$505,"&gt;"&amp;$A104,実績!$AE$6:$AE$505,"○")&gt;0,1,0))</f>
        <v/>
      </c>
      <c r="CL104">
        <f>IF(CL$4=0,0,IF(COUNTIFS(実績!$W$6:$W$505,CL$3,実績!$AC$6:$AC$505,"&lt;="&amp;$A104,実績!$AD$6:$AD$505,"&gt;"&amp;$A104,実績!$AE$6:$AE$505,"○")&gt;0,1,0))</f>
        <v/>
      </c>
      <c r="CM104">
        <f>IF(CM$4=0,0,IF(COUNTIFS(実績!$W$6:$W$505,CM$3,実績!$AC$6:$AC$505,"&lt;="&amp;$A104,実績!$AD$6:$AD$505,"&gt;"&amp;$A104,実績!$AE$6:$AE$505,"○")&gt;0,1,0))</f>
        <v/>
      </c>
      <c r="CN104">
        <f>IF(CN$4=0,0,IF(COUNTIFS(実績!$W$6:$W$505,CN$3,実績!$AC$6:$AC$505,"&lt;="&amp;$A104,実績!$AD$6:$AD$505,"&gt;"&amp;$A104,実績!$AE$6:$AE$505,"○")&gt;0,1,0))</f>
        <v/>
      </c>
      <c r="CO104">
        <f>IF(CO$4=0,0,IF(COUNTIFS(実績!$W$6:$W$505,CO$3,実績!$AC$6:$AC$505,"&lt;="&amp;$A104,実績!$AD$6:$AD$505,"&gt;"&amp;$A104,実績!$AE$6:$AE$505,"○")&gt;0,1,0))</f>
        <v/>
      </c>
      <c r="CP104">
        <f>IF(CP$4=0,0,IF(COUNTIFS(実績!$W$6:$W$505,CP$3,実績!$AC$6:$AC$505,"&lt;="&amp;$A104,実績!$AD$6:$AD$505,"&gt;"&amp;$A104,実績!$AE$6:$AE$505,"○")&gt;0,1,0))</f>
        <v/>
      </c>
      <c r="CQ104">
        <f>IF(CQ$4=0,0,IF(COUNTIFS(実績!$W$6:$W$505,CQ$3,実績!$AC$6:$AC$505,"&lt;="&amp;$A104,実績!$AD$6:$AD$505,"&gt;"&amp;$A104,実績!$AE$6:$AE$505,"○")&gt;0,1,0))</f>
        <v/>
      </c>
      <c r="CR104">
        <f>IF(CR$4=0,0,IF(COUNTIFS(実績!$W$6:$W$505,CR$3,実績!$AC$6:$AC$505,"&lt;="&amp;$A104,実績!$AD$6:$AD$505,"&gt;"&amp;$A104,実績!$AE$6:$AE$505,"○")&gt;0,1,0))</f>
        <v/>
      </c>
      <c r="CS104">
        <f>IF(CS$4=0,0,IF(COUNTIFS(実績!$W$6:$W$505,CS$3,実績!$AC$6:$AC$505,"&lt;="&amp;$A104,実績!$AD$6:$AD$505,"&gt;"&amp;$A104,実績!$AE$6:$AE$505,"○")&gt;0,1,0))</f>
        <v/>
      </c>
      <c r="CT104">
        <f>IF(CT$4=0,0,IF(COUNTIFS(実績!$W$6:$W$505,CT$3,実績!$AC$6:$AC$505,"&lt;="&amp;$A104,実績!$AD$6:$AD$505,"&gt;"&amp;$A104,実績!$AE$6:$AE$505,"○")&gt;0,1,0))</f>
        <v/>
      </c>
      <c r="CU104">
        <f>IF(CU$4=0,0,IF(COUNTIFS(実績!$W$6:$W$505,CU$3,実績!$AC$6:$AC$505,"&lt;="&amp;$A104,実績!$AD$6:$AD$505,"&gt;"&amp;$A104,実績!$AE$6:$AE$505,"○")&gt;0,1,0))</f>
        <v/>
      </c>
      <c r="CV104">
        <f>IF(CV$4=0,0,IF(COUNTIFS(実績!$W$6:$W$505,CV$3,実績!$AC$6:$AC$505,"&lt;="&amp;$A104,実績!$AD$6:$AD$505,"&gt;"&amp;$A104,実績!$AE$6:$AE$505,"○")&gt;0,1,0))</f>
        <v/>
      </c>
      <c r="CW104">
        <f>IF(CW$4=0,0,IF(COUNTIFS(実績!$W$6:$W$505,CW$3,実績!$AC$6:$AC$505,"&lt;="&amp;$A104,実績!$AD$6:$AD$505,"&gt;"&amp;$A104,実績!$AE$6:$AE$505,"○")&gt;0,1,0))</f>
        <v/>
      </c>
      <c r="CX104">
        <f>IF(CX$4=0,0,IF(COUNTIFS(実績!$W$6:$W$505,CX$3,実績!$AC$6:$AC$505,"&lt;="&amp;$A104,実績!$AD$6:$AD$505,"&gt;"&amp;$A104,実績!$AE$6:$AE$505,"○")&gt;0,1,0))</f>
        <v/>
      </c>
      <c r="CY104">
        <f>IF(CY$4=0,0,IF(COUNTIFS(実績!$W$6:$W$505,CY$3,実績!$AC$6:$AC$505,"&lt;="&amp;$A104,実績!$AD$6:$AD$505,"&gt;"&amp;$A104,実績!$AE$6:$AE$505,"○")&gt;0,1,0))</f>
        <v/>
      </c>
      <c r="CZ104">
        <f>IF(CZ$4=0,0,IF(COUNTIFS(実績!$W$6:$W$505,CZ$3,実績!$AC$6:$AC$505,"&lt;="&amp;$A104,実績!$AD$6:$AD$505,"&gt;"&amp;$A104,実績!$AE$6:$AE$505,"○")&gt;0,1,0))</f>
        <v/>
      </c>
      <c r="DA104">
        <f>IF(DA$4=0,0,IF(COUNTIFS(実績!$W$6:$W$505,DA$3,実績!$AC$6:$AC$505,"&lt;="&amp;$A104,実績!$AD$6:$AD$505,"&gt;"&amp;$A104,実績!$AE$6:$AE$505,"○")&gt;0,1,0))</f>
        <v/>
      </c>
      <c r="DB104">
        <f>IF(DB$4=0,0,IF(COUNTIFS(実績!$W$6:$W$505,DB$3,実績!$AC$6:$AC$505,"&lt;="&amp;$A104,実績!$AD$6:$AD$505,"&gt;"&amp;$A104,実績!$AE$6:$AE$505,"○")&gt;0,1,0))</f>
        <v/>
      </c>
      <c r="DC104">
        <f>IF(DC$4=0,0,IF(COUNTIFS(実績!$W$6:$W$505,DC$3,実績!$AC$6:$AC$505,"&lt;="&amp;$A104,実績!$AD$6:$AD$505,"&gt;"&amp;$A104,実績!$AE$6:$AE$505,"○")&gt;0,1,0))</f>
        <v/>
      </c>
      <c r="DD104">
        <f>IF(DD$4=0,0,IF(COUNTIFS(実績!$W$6:$W$505,DD$3,実績!$AC$6:$AC$505,"&lt;="&amp;$A104,実績!$AD$6:$AD$505,"&gt;"&amp;$A104,実績!$AE$6:$AE$505,"○")&gt;0,1,0))</f>
        <v/>
      </c>
      <c r="DE104">
        <f>IF(DE$4=0,0,IF(COUNTIFS(実績!$W$6:$W$505,DE$3,実績!$AC$6:$AC$505,"&lt;="&amp;$A104,実績!$AD$6:$AD$505,"&gt;"&amp;$A104,実績!$AE$6:$AE$505,"○")&gt;0,1,0))</f>
        <v/>
      </c>
      <c r="DF104">
        <f>IF(DF$4=0,0,IF(COUNTIFS(実績!$W$6:$W$505,DF$3,実績!$AC$6:$AC$505,"&lt;="&amp;$A104,実績!$AD$6:$AD$505,"&gt;"&amp;$A104,実績!$AE$6:$AE$505,"○")&gt;0,1,0))</f>
        <v/>
      </c>
      <c r="DG104">
        <f>IF(DG$4=0,0,IF(COUNTIFS(実績!$W$6:$W$505,DG$3,実績!$AC$6:$AC$505,"&lt;="&amp;$A104,実績!$AD$6:$AD$505,"&gt;"&amp;$A104,実績!$AE$6:$AE$505,"○")&gt;0,1,0))</f>
        <v/>
      </c>
      <c r="DH104">
        <f>IF(DH$4=0,0,IF(COUNTIFS(実績!$W$6:$W$505,DH$3,実績!$AC$6:$AC$505,"&lt;="&amp;$A104,実績!$AD$6:$AD$505,"&gt;"&amp;$A104,実績!$AE$6:$AE$505,"○")&gt;0,1,0))</f>
        <v/>
      </c>
      <c r="DI104">
        <f>IF(DI$4=0,0,IF(COUNTIFS(実績!$W$6:$W$505,DI$3,実績!$AC$6:$AC$505,"&lt;="&amp;$A104,実績!$AD$6:$AD$505,"&gt;"&amp;$A104,実績!$AE$6:$AE$505,"○")&gt;0,1,0))</f>
        <v/>
      </c>
      <c r="DJ104">
        <f>IF(DJ$4=0,0,IF(COUNTIFS(実績!$W$6:$W$505,DJ$3,実績!$AC$6:$AC$505,"&lt;="&amp;$A104,実績!$AD$6:$AD$505,"&gt;"&amp;$A104,実績!$AE$6:$AE$505,"○")&gt;0,1,0))</f>
        <v/>
      </c>
      <c r="DK104">
        <f>IF(DK$4=0,0,IF(COUNTIFS(実績!$W$6:$W$505,DK$3,実績!$AC$6:$AC$505,"&lt;="&amp;$A104,実績!$AD$6:$AD$505,"&gt;"&amp;$A104,実績!$AE$6:$AE$505,"○")&gt;0,1,0))</f>
        <v/>
      </c>
      <c r="DL104">
        <f>IF(DL$4=0,0,IF(COUNTIFS(実績!$W$6:$W$505,DL$3,実績!$AC$6:$AC$505,"&lt;="&amp;$A104,実績!$AD$6:$AD$505,"&gt;"&amp;$A104,実績!$AE$6:$AE$505,"○")&gt;0,1,0))</f>
        <v/>
      </c>
      <c r="DM104">
        <f>IF(DM$4=0,0,IF(COUNTIFS(実績!$W$6:$W$505,DM$3,実績!$AC$6:$AC$505,"&lt;="&amp;$A104,実績!$AD$6:$AD$505,"&gt;"&amp;$A104,実績!$AE$6:$AE$505,"○")&gt;0,1,0))</f>
        <v/>
      </c>
      <c r="DN104">
        <f>IF(DN$4=0,0,IF(COUNTIFS(実績!$W$6:$W$505,DN$3,実績!$AC$6:$AC$505,"&lt;="&amp;$A104,実績!$AD$6:$AD$505,"&gt;"&amp;$A104,実績!$AE$6:$AE$505,"○")&gt;0,1,0))</f>
        <v/>
      </c>
      <c r="DO104">
        <f>IF(DO$4=0,0,IF(COUNTIFS(実績!$W$6:$W$505,DO$3,実績!$AC$6:$AC$505,"&lt;="&amp;$A104,実績!$AD$6:$AD$505,"&gt;"&amp;$A104,実績!$AE$6:$AE$505,"○")&gt;0,1,0))</f>
        <v/>
      </c>
      <c r="DP104">
        <f>IF(DP$4=0,0,IF(COUNTIFS(実績!$W$6:$W$505,DP$3,実績!$AC$6:$AC$505,"&lt;="&amp;$A104,実績!$AD$6:$AD$505,"&gt;"&amp;$A104,実績!$AE$6:$AE$505,"○")&gt;0,1,0))</f>
        <v/>
      </c>
      <c r="DQ104">
        <f>IF(DQ$4=0,0,IF(COUNTIFS(実績!$W$6:$W$505,DQ$3,実績!$AC$6:$AC$505,"&lt;="&amp;$A104,実績!$AD$6:$AD$505,"&gt;"&amp;$A104,実績!$AE$6:$AE$505,"○")&gt;0,1,0))</f>
        <v/>
      </c>
      <c r="DR104">
        <f>IF(DR$4=0,0,IF(COUNTIFS(実績!$W$6:$W$505,DR$3,実績!$AC$6:$AC$505,"&lt;="&amp;$A104,実績!$AD$6:$AD$505,"&gt;"&amp;$A104,実績!$AE$6:$AE$505,"○")&gt;0,1,0))</f>
        <v/>
      </c>
      <c r="DS104">
        <f>SUM(C104:DR104)</f>
        <v/>
      </c>
      <c r="DT104">
        <f>SUMPRODUCT((実績!$C$6:$C$505="○")*ISNUMBER(実績!$AF$6:$AF$505)*(実績!$AF$6:$AF$505&lt;=$A104)*(実績!$AG$6:$AG$505&gt;$A104))</f>
        <v/>
      </c>
      <c r="DU104">
        <f>SUMIF($C$2:$DR$2,"製鉄曳船",C104:DR104)</f>
        <v/>
      </c>
      <c r="DV104">
        <f>SUMIF($C$2:$DR$2,"西日本海運",C104:DR104)</f>
        <v/>
      </c>
    </row>
    <row r="105">
      <c r="A105" t="n">
        <v>495</v>
      </c>
      <c r="B105" s="29">
        <f>A105/1440</f>
        <v/>
      </c>
      <c r="C105">
        <f>IF(C$4=0,0,IF(COUNTIFS(実績!$W$6:$W$505,C$3,実績!$AC$6:$AC$505,"&lt;="&amp;$A105,実績!$AD$6:$AD$505,"&gt;"&amp;$A105,実績!$AE$6:$AE$505,"○")&gt;0,1,0))</f>
        <v/>
      </c>
      <c r="D105">
        <f>IF(D$4=0,0,IF(COUNTIFS(実績!$W$6:$W$505,D$3,実績!$AC$6:$AC$505,"&lt;="&amp;$A105,実績!$AD$6:$AD$505,"&gt;"&amp;$A105,実績!$AE$6:$AE$505,"○")&gt;0,1,0))</f>
        <v/>
      </c>
      <c r="E105">
        <f>IF(E$4=0,0,IF(COUNTIFS(実績!$W$6:$W$505,E$3,実績!$AC$6:$AC$505,"&lt;="&amp;$A105,実績!$AD$6:$AD$505,"&gt;"&amp;$A105,実績!$AE$6:$AE$505,"○")&gt;0,1,0))</f>
        <v/>
      </c>
      <c r="F105">
        <f>IF(F$4=0,0,IF(COUNTIFS(実績!$W$6:$W$505,F$3,実績!$AC$6:$AC$505,"&lt;="&amp;$A105,実績!$AD$6:$AD$505,"&gt;"&amp;$A105,実績!$AE$6:$AE$505,"○")&gt;0,1,0))</f>
        <v/>
      </c>
      <c r="G105">
        <f>IF(G$4=0,0,IF(COUNTIFS(実績!$W$6:$W$505,G$3,実績!$AC$6:$AC$505,"&lt;="&amp;$A105,実績!$AD$6:$AD$505,"&gt;"&amp;$A105,実績!$AE$6:$AE$505,"○")&gt;0,1,0))</f>
        <v/>
      </c>
      <c r="H105">
        <f>IF(H$4=0,0,IF(COUNTIFS(実績!$W$6:$W$505,H$3,実績!$AC$6:$AC$505,"&lt;="&amp;$A105,実績!$AD$6:$AD$505,"&gt;"&amp;$A105,実績!$AE$6:$AE$505,"○")&gt;0,1,0))</f>
        <v/>
      </c>
      <c r="I105">
        <f>IF(I$4=0,0,IF(COUNTIFS(実績!$W$6:$W$505,I$3,実績!$AC$6:$AC$505,"&lt;="&amp;$A105,実績!$AD$6:$AD$505,"&gt;"&amp;$A105,実績!$AE$6:$AE$505,"○")&gt;0,1,0))</f>
        <v/>
      </c>
      <c r="J105">
        <f>IF(J$4=0,0,IF(COUNTIFS(実績!$W$6:$W$505,J$3,実績!$AC$6:$AC$505,"&lt;="&amp;$A105,実績!$AD$6:$AD$505,"&gt;"&amp;$A105,実績!$AE$6:$AE$505,"○")&gt;0,1,0))</f>
        <v/>
      </c>
      <c r="K105">
        <f>IF(K$4=0,0,IF(COUNTIFS(実績!$W$6:$W$505,K$3,実績!$AC$6:$AC$505,"&lt;="&amp;$A105,実績!$AD$6:$AD$505,"&gt;"&amp;$A105,実績!$AE$6:$AE$505,"○")&gt;0,1,0))</f>
        <v/>
      </c>
      <c r="L105">
        <f>IF(L$4=0,0,IF(COUNTIFS(実績!$W$6:$W$505,L$3,実績!$AC$6:$AC$505,"&lt;="&amp;$A105,実績!$AD$6:$AD$505,"&gt;"&amp;$A105,実績!$AE$6:$AE$505,"○")&gt;0,1,0))</f>
        <v/>
      </c>
      <c r="M105">
        <f>IF(M$4=0,0,IF(COUNTIFS(実績!$W$6:$W$505,M$3,実績!$AC$6:$AC$505,"&lt;="&amp;$A105,実績!$AD$6:$AD$505,"&gt;"&amp;$A105,実績!$AE$6:$AE$505,"○")&gt;0,1,0))</f>
        <v/>
      </c>
      <c r="N105">
        <f>IF(N$4=0,0,IF(COUNTIFS(実績!$W$6:$W$505,N$3,実績!$AC$6:$AC$505,"&lt;="&amp;$A105,実績!$AD$6:$AD$505,"&gt;"&amp;$A105,実績!$AE$6:$AE$505,"○")&gt;0,1,0))</f>
        <v/>
      </c>
      <c r="O105">
        <f>IF(O$4=0,0,IF(COUNTIFS(実績!$W$6:$W$505,O$3,実績!$AC$6:$AC$505,"&lt;="&amp;$A105,実績!$AD$6:$AD$505,"&gt;"&amp;$A105,実績!$AE$6:$AE$505,"○")&gt;0,1,0))</f>
        <v/>
      </c>
      <c r="P105">
        <f>IF(P$4=0,0,IF(COUNTIFS(実績!$W$6:$W$505,P$3,実績!$AC$6:$AC$505,"&lt;="&amp;$A105,実績!$AD$6:$AD$505,"&gt;"&amp;$A105,実績!$AE$6:$AE$505,"○")&gt;0,1,0))</f>
        <v/>
      </c>
      <c r="Q105">
        <f>IF(Q$4=0,0,IF(COUNTIFS(実績!$W$6:$W$505,Q$3,実績!$AC$6:$AC$505,"&lt;="&amp;$A105,実績!$AD$6:$AD$505,"&gt;"&amp;$A105,実績!$AE$6:$AE$505,"○")&gt;0,1,0))</f>
        <v/>
      </c>
      <c r="R105">
        <f>IF(R$4=0,0,IF(COUNTIFS(実績!$W$6:$W$505,R$3,実績!$AC$6:$AC$505,"&lt;="&amp;$A105,実績!$AD$6:$AD$505,"&gt;"&amp;$A105,実績!$AE$6:$AE$505,"○")&gt;0,1,0))</f>
        <v/>
      </c>
      <c r="S105">
        <f>IF(S$4=0,0,IF(COUNTIFS(実績!$W$6:$W$505,S$3,実績!$AC$6:$AC$505,"&lt;="&amp;$A105,実績!$AD$6:$AD$505,"&gt;"&amp;$A105,実績!$AE$6:$AE$505,"○")&gt;0,1,0))</f>
        <v/>
      </c>
      <c r="T105">
        <f>IF(T$4=0,0,IF(COUNTIFS(実績!$W$6:$W$505,T$3,実績!$AC$6:$AC$505,"&lt;="&amp;$A105,実績!$AD$6:$AD$505,"&gt;"&amp;$A105,実績!$AE$6:$AE$505,"○")&gt;0,1,0))</f>
        <v/>
      </c>
      <c r="U105">
        <f>IF(U$4=0,0,IF(COUNTIFS(実績!$W$6:$W$505,U$3,実績!$AC$6:$AC$505,"&lt;="&amp;$A105,実績!$AD$6:$AD$505,"&gt;"&amp;$A105,実績!$AE$6:$AE$505,"○")&gt;0,1,0))</f>
        <v/>
      </c>
      <c r="V105">
        <f>IF(V$4=0,0,IF(COUNTIFS(実績!$W$6:$W$505,V$3,実績!$AC$6:$AC$505,"&lt;="&amp;$A105,実績!$AD$6:$AD$505,"&gt;"&amp;$A105,実績!$AE$6:$AE$505,"○")&gt;0,1,0))</f>
        <v/>
      </c>
      <c r="W105">
        <f>IF(W$4=0,0,IF(COUNTIFS(実績!$W$6:$W$505,W$3,実績!$AC$6:$AC$505,"&lt;="&amp;$A105,実績!$AD$6:$AD$505,"&gt;"&amp;$A105,実績!$AE$6:$AE$505,"○")&gt;0,1,0))</f>
        <v/>
      </c>
      <c r="X105">
        <f>IF(X$4=0,0,IF(COUNTIFS(実績!$W$6:$W$505,X$3,実績!$AC$6:$AC$505,"&lt;="&amp;$A105,実績!$AD$6:$AD$505,"&gt;"&amp;$A105,実績!$AE$6:$AE$505,"○")&gt;0,1,0))</f>
        <v/>
      </c>
      <c r="Y105">
        <f>IF(Y$4=0,0,IF(COUNTIFS(実績!$W$6:$W$505,Y$3,実績!$AC$6:$AC$505,"&lt;="&amp;$A105,実績!$AD$6:$AD$505,"&gt;"&amp;$A105,実績!$AE$6:$AE$505,"○")&gt;0,1,0))</f>
        <v/>
      </c>
      <c r="Z105">
        <f>IF(Z$4=0,0,IF(COUNTIFS(実績!$W$6:$W$505,Z$3,実績!$AC$6:$AC$505,"&lt;="&amp;$A105,実績!$AD$6:$AD$505,"&gt;"&amp;$A105,実績!$AE$6:$AE$505,"○")&gt;0,1,0))</f>
        <v/>
      </c>
      <c r="AA105">
        <f>IF(AA$4=0,0,IF(COUNTIFS(実績!$W$6:$W$505,AA$3,実績!$AC$6:$AC$505,"&lt;="&amp;$A105,実績!$AD$6:$AD$505,"&gt;"&amp;$A105,実績!$AE$6:$AE$505,"○")&gt;0,1,0))</f>
        <v/>
      </c>
      <c r="AB105">
        <f>IF(AB$4=0,0,IF(COUNTIFS(実績!$W$6:$W$505,AB$3,実績!$AC$6:$AC$505,"&lt;="&amp;$A105,実績!$AD$6:$AD$505,"&gt;"&amp;$A105,実績!$AE$6:$AE$505,"○")&gt;0,1,0))</f>
        <v/>
      </c>
      <c r="AC105">
        <f>IF(AC$4=0,0,IF(COUNTIFS(実績!$W$6:$W$505,AC$3,実績!$AC$6:$AC$505,"&lt;="&amp;$A105,実績!$AD$6:$AD$505,"&gt;"&amp;$A105,実績!$AE$6:$AE$505,"○")&gt;0,1,0))</f>
        <v/>
      </c>
      <c r="AD105">
        <f>IF(AD$4=0,0,IF(COUNTIFS(実績!$W$6:$W$505,AD$3,実績!$AC$6:$AC$505,"&lt;="&amp;$A105,実績!$AD$6:$AD$505,"&gt;"&amp;$A105,実績!$AE$6:$AE$505,"○")&gt;0,1,0))</f>
        <v/>
      </c>
      <c r="AE105">
        <f>IF(AE$4=0,0,IF(COUNTIFS(実績!$W$6:$W$505,AE$3,実績!$AC$6:$AC$505,"&lt;="&amp;$A105,実績!$AD$6:$AD$505,"&gt;"&amp;$A105,実績!$AE$6:$AE$505,"○")&gt;0,1,0))</f>
        <v/>
      </c>
      <c r="AF105">
        <f>IF(AF$4=0,0,IF(COUNTIFS(実績!$W$6:$W$505,AF$3,実績!$AC$6:$AC$505,"&lt;="&amp;$A105,実績!$AD$6:$AD$505,"&gt;"&amp;$A105,実績!$AE$6:$AE$505,"○")&gt;0,1,0))</f>
        <v/>
      </c>
      <c r="AG105">
        <f>IF(AG$4=0,0,IF(COUNTIFS(実績!$W$6:$W$505,AG$3,実績!$AC$6:$AC$505,"&lt;="&amp;$A105,実績!$AD$6:$AD$505,"&gt;"&amp;$A105,実績!$AE$6:$AE$505,"○")&gt;0,1,0))</f>
        <v/>
      </c>
      <c r="AH105">
        <f>IF(AH$4=0,0,IF(COUNTIFS(実績!$W$6:$W$505,AH$3,実績!$AC$6:$AC$505,"&lt;="&amp;$A105,実績!$AD$6:$AD$505,"&gt;"&amp;$A105,実績!$AE$6:$AE$505,"○")&gt;0,1,0))</f>
        <v/>
      </c>
      <c r="AI105">
        <f>IF(AI$4=0,0,IF(COUNTIFS(実績!$W$6:$W$505,AI$3,実績!$AC$6:$AC$505,"&lt;="&amp;$A105,実績!$AD$6:$AD$505,"&gt;"&amp;$A105,実績!$AE$6:$AE$505,"○")&gt;0,1,0))</f>
        <v/>
      </c>
      <c r="AJ105">
        <f>IF(AJ$4=0,0,IF(COUNTIFS(実績!$W$6:$W$505,AJ$3,実績!$AC$6:$AC$505,"&lt;="&amp;$A105,実績!$AD$6:$AD$505,"&gt;"&amp;$A105,実績!$AE$6:$AE$505,"○")&gt;0,1,0))</f>
        <v/>
      </c>
      <c r="AK105">
        <f>IF(AK$4=0,0,IF(COUNTIFS(実績!$W$6:$W$505,AK$3,実績!$AC$6:$AC$505,"&lt;="&amp;$A105,実績!$AD$6:$AD$505,"&gt;"&amp;$A105,実績!$AE$6:$AE$505,"○")&gt;0,1,0))</f>
        <v/>
      </c>
      <c r="AL105">
        <f>IF(AL$4=0,0,IF(COUNTIFS(実績!$W$6:$W$505,AL$3,実績!$AC$6:$AC$505,"&lt;="&amp;$A105,実績!$AD$6:$AD$505,"&gt;"&amp;$A105,実績!$AE$6:$AE$505,"○")&gt;0,1,0))</f>
        <v/>
      </c>
      <c r="AM105">
        <f>IF(AM$4=0,0,IF(COUNTIFS(実績!$W$6:$W$505,AM$3,実績!$AC$6:$AC$505,"&lt;="&amp;$A105,実績!$AD$6:$AD$505,"&gt;"&amp;$A105,実績!$AE$6:$AE$505,"○")&gt;0,1,0))</f>
        <v/>
      </c>
      <c r="AN105">
        <f>IF(AN$4=0,0,IF(COUNTIFS(実績!$W$6:$W$505,AN$3,実績!$AC$6:$AC$505,"&lt;="&amp;$A105,実績!$AD$6:$AD$505,"&gt;"&amp;$A105,実績!$AE$6:$AE$505,"○")&gt;0,1,0))</f>
        <v/>
      </c>
      <c r="AO105">
        <f>IF(AO$4=0,0,IF(COUNTIFS(実績!$W$6:$W$505,AO$3,実績!$AC$6:$AC$505,"&lt;="&amp;$A105,実績!$AD$6:$AD$505,"&gt;"&amp;$A105,実績!$AE$6:$AE$505,"○")&gt;0,1,0))</f>
        <v/>
      </c>
      <c r="AP105">
        <f>IF(AP$4=0,0,IF(COUNTIFS(実績!$W$6:$W$505,AP$3,実績!$AC$6:$AC$505,"&lt;="&amp;$A105,実績!$AD$6:$AD$505,"&gt;"&amp;$A105,実績!$AE$6:$AE$505,"○")&gt;0,1,0))</f>
        <v/>
      </c>
      <c r="AQ105">
        <f>IF(AQ$4=0,0,IF(COUNTIFS(実績!$W$6:$W$505,AQ$3,実績!$AC$6:$AC$505,"&lt;="&amp;$A105,実績!$AD$6:$AD$505,"&gt;"&amp;$A105,実績!$AE$6:$AE$505,"○")&gt;0,1,0))</f>
        <v/>
      </c>
      <c r="AR105">
        <f>IF(AR$4=0,0,IF(COUNTIFS(実績!$W$6:$W$505,AR$3,実績!$AC$6:$AC$505,"&lt;="&amp;$A105,実績!$AD$6:$AD$505,"&gt;"&amp;$A105,実績!$AE$6:$AE$505,"○")&gt;0,1,0))</f>
        <v/>
      </c>
      <c r="AS105">
        <f>IF(AS$4=0,0,IF(COUNTIFS(実績!$W$6:$W$505,AS$3,実績!$AC$6:$AC$505,"&lt;="&amp;$A105,実績!$AD$6:$AD$505,"&gt;"&amp;$A105,実績!$AE$6:$AE$505,"○")&gt;0,1,0))</f>
        <v/>
      </c>
      <c r="AT105">
        <f>IF(AT$4=0,0,IF(COUNTIFS(実績!$W$6:$W$505,AT$3,実績!$AC$6:$AC$505,"&lt;="&amp;$A105,実績!$AD$6:$AD$505,"&gt;"&amp;$A105,実績!$AE$6:$AE$505,"○")&gt;0,1,0))</f>
        <v/>
      </c>
      <c r="AU105">
        <f>IF(AU$4=0,0,IF(COUNTIFS(実績!$W$6:$W$505,AU$3,実績!$AC$6:$AC$505,"&lt;="&amp;$A105,実績!$AD$6:$AD$505,"&gt;"&amp;$A105,実績!$AE$6:$AE$505,"○")&gt;0,1,0))</f>
        <v/>
      </c>
      <c r="AV105">
        <f>IF(AV$4=0,0,IF(COUNTIFS(実績!$W$6:$W$505,AV$3,実績!$AC$6:$AC$505,"&lt;="&amp;$A105,実績!$AD$6:$AD$505,"&gt;"&amp;$A105,実績!$AE$6:$AE$505,"○")&gt;0,1,0))</f>
        <v/>
      </c>
      <c r="AW105">
        <f>IF(AW$4=0,0,IF(COUNTIFS(実績!$W$6:$W$505,AW$3,実績!$AC$6:$AC$505,"&lt;="&amp;$A105,実績!$AD$6:$AD$505,"&gt;"&amp;$A105,実績!$AE$6:$AE$505,"○")&gt;0,1,0))</f>
        <v/>
      </c>
      <c r="AX105">
        <f>IF(AX$4=0,0,IF(COUNTIFS(実績!$W$6:$W$505,AX$3,実績!$AC$6:$AC$505,"&lt;="&amp;$A105,実績!$AD$6:$AD$505,"&gt;"&amp;$A105,実績!$AE$6:$AE$505,"○")&gt;0,1,0))</f>
        <v/>
      </c>
      <c r="AY105">
        <f>IF(AY$4=0,0,IF(COUNTIFS(実績!$W$6:$W$505,AY$3,実績!$AC$6:$AC$505,"&lt;="&amp;$A105,実績!$AD$6:$AD$505,"&gt;"&amp;$A105,実績!$AE$6:$AE$505,"○")&gt;0,1,0))</f>
        <v/>
      </c>
      <c r="AZ105">
        <f>IF(AZ$4=0,0,IF(COUNTIFS(実績!$W$6:$W$505,AZ$3,実績!$AC$6:$AC$505,"&lt;="&amp;$A105,実績!$AD$6:$AD$505,"&gt;"&amp;$A105,実績!$AE$6:$AE$505,"○")&gt;0,1,0))</f>
        <v/>
      </c>
      <c r="BA105">
        <f>IF(BA$4=0,0,IF(COUNTIFS(実績!$W$6:$W$505,BA$3,実績!$AC$6:$AC$505,"&lt;="&amp;$A105,実績!$AD$6:$AD$505,"&gt;"&amp;$A105,実績!$AE$6:$AE$505,"○")&gt;0,1,0))</f>
        <v/>
      </c>
      <c r="BB105">
        <f>IF(BB$4=0,0,IF(COUNTIFS(実績!$W$6:$W$505,BB$3,実績!$AC$6:$AC$505,"&lt;="&amp;$A105,実績!$AD$6:$AD$505,"&gt;"&amp;$A105,実績!$AE$6:$AE$505,"○")&gt;0,1,0))</f>
        <v/>
      </c>
      <c r="BC105">
        <f>IF(BC$4=0,0,IF(COUNTIFS(実績!$W$6:$W$505,BC$3,実績!$AC$6:$AC$505,"&lt;="&amp;$A105,実績!$AD$6:$AD$505,"&gt;"&amp;$A105,実績!$AE$6:$AE$505,"○")&gt;0,1,0))</f>
        <v/>
      </c>
      <c r="BD105">
        <f>IF(BD$4=0,0,IF(COUNTIFS(実績!$W$6:$W$505,BD$3,実績!$AC$6:$AC$505,"&lt;="&amp;$A105,実績!$AD$6:$AD$505,"&gt;"&amp;$A105,実績!$AE$6:$AE$505,"○")&gt;0,1,0))</f>
        <v/>
      </c>
      <c r="BE105">
        <f>IF(BE$4=0,0,IF(COUNTIFS(実績!$W$6:$W$505,BE$3,実績!$AC$6:$AC$505,"&lt;="&amp;$A105,実績!$AD$6:$AD$505,"&gt;"&amp;$A105,実績!$AE$6:$AE$505,"○")&gt;0,1,0))</f>
        <v/>
      </c>
      <c r="BF105">
        <f>IF(BF$4=0,0,IF(COUNTIFS(実績!$W$6:$W$505,BF$3,実績!$AC$6:$AC$505,"&lt;="&amp;$A105,実績!$AD$6:$AD$505,"&gt;"&amp;$A105,実績!$AE$6:$AE$505,"○")&gt;0,1,0))</f>
        <v/>
      </c>
      <c r="BG105">
        <f>IF(BG$4=0,0,IF(COUNTIFS(実績!$W$6:$W$505,BG$3,実績!$AC$6:$AC$505,"&lt;="&amp;$A105,実績!$AD$6:$AD$505,"&gt;"&amp;$A105,実績!$AE$6:$AE$505,"○")&gt;0,1,0))</f>
        <v/>
      </c>
      <c r="BH105">
        <f>IF(BH$4=0,0,IF(COUNTIFS(実績!$W$6:$W$505,BH$3,実績!$AC$6:$AC$505,"&lt;="&amp;$A105,実績!$AD$6:$AD$505,"&gt;"&amp;$A105,実績!$AE$6:$AE$505,"○")&gt;0,1,0))</f>
        <v/>
      </c>
      <c r="BI105">
        <f>IF(BI$4=0,0,IF(COUNTIFS(実績!$W$6:$W$505,BI$3,実績!$AC$6:$AC$505,"&lt;="&amp;$A105,実績!$AD$6:$AD$505,"&gt;"&amp;$A105,実績!$AE$6:$AE$505,"○")&gt;0,1,0))</f>
        <v/>
      </c>
      <c r="BJ105">
        <f>IF(BJ$4=0,0,IF(COUNTIFS(実績!$W$6:$W$505,BJ$3,実績!$AC$6:$AC$505,"&lt;="&amp;$A105,実績!$AD$6:$AD$505,"&gt;"&amp;$A105,実績!$AE$6:$AE$505,"○")&gt;0,1,0))</f>
        <v/>
      </c>
      <c r="BK105">
        <f>IF(BK$4=0,0,IF(COUNTIFS(実績!$W$6:$W$505,BK$3,実績!$AC$6:$AC$505,"&lt;="&amp;$A105,実績!$AD$6:$AD$505,"&gt;"&amp;$A105,実績!$AE$6:$AE$505,"○")&gt;0,1,0))</f>
        <v/>
      </c>
      <c r="BL105">
        <f>IF(BL$4=0,0,IF(COUNTIFS(実績!$W$6:$W$505,BL$3,実績!$AC$6:$AC$505,"&lt;="&amp;$A105,実績!$AD$6:$AD$505,"&gt;"&amp;$A105,実績!$AE$6:$AE$505,"○")&gt;0,1,0))</f>
        <v/>
      </c>
      <c r="BM105">
        <f>IF(BM$4=0,0,IF(COUNTIFS(実績!$W$6:$W$505,BM$3,実績!$AC$6:$AC$505,"&lt;="&amp;$A105,実績!$AD$6:$AD$505,"&gt;"&amp;$A105,実績!$AE$6:$AE$505,"○")&gt;0,1,0))</f>
        <v/>
      </c>
      <c r="BN105">
        <f>IF(BN$4=0,0,IF(COUNTIFS(実績!$W$6:$W$505,BN$3,実績!$AC$6:$AC$505,"&lt;="&amp;$A105,実績!$AD$6:$AD$505,"&gt;"&amp;$A105,実績!$AE$6:$AE$505,"○")&gt;0,1,0))</f>
        <v/>
      </c>
      <c r="BO105">
        <f>IF(BO$4=0,0,IF(COUNTIFS(実績!$W$6:$W$505,BO$3,実績!$AC$6:$AC$505,"&lt;="&amp;$A105,実績!$AD$6:$AD$505,"&gt;"&amp;$A105,実績!$AE$6:$AE$505,"○")&gt;0,1,0))</f>
        <v/>
      </c>
      <c r="BP105">
        <f>IF(BP$4=0,0,IF(COUNTIFS(実績!$W$6:$W$505,BP$3,実績!$AC$6:$AC$505,"&lt;="&amp;$A105,実績!$AD$6:$AD$505,"&gt;"&amp;$A105,実績!$AE$6:$AE$505,"○")&gt;0,1,0))</f>
        <v/>
      </c>
      <c r="BQ105">
        <f>IF(BQ$4=0,0,IF(COUNTIFS(実績!$W$6:$W$505,BQ$3,実績!$AC$6:$AC$505,"&lt;="&amp;$A105,実績!$AD$6:$AD$505,"&gt;"&amp;$A105,実績!$AE$6:$AE$505,"○")&gt;0,1,0))</f>
        <v/>
      </c>
      <c r="BR105">
        <f>IF(BR$4=0,0,IF(COUNTIFS(実績!$W$6:$W$505,BR$3,実績!$AC$6:$AC$505,"&lt;="&amp;$A105,実績!$AD$6:$AD$505,"&gt;"&amp;$A105,実績!$AE$6:$AE$505,"○")&gt;0,1,0))</f>
        <v/>
      </c>
      <c r="BS105">
        <f>IF(BS$4=0,0,IF(COUNTIFS(実績!$W$6:$W$505,BS$3,実績!$AC$6:$AC$505,"&lt;="&amp;$A105,実績!$AD$6:$AD$505,"&gt;"&amp;$A105,実績!$AE$6:$AE$505,"○")&gt;0,1,0))</f>
        <v/>
      </c>
      <c r="BT105">
        <f>IF(BT$4=0,0,IF(COUNTIFS(実績!$W$6:$W$505,BT$3,実績!$AC$6:$AC$505,"&lt;="&amp;$A105,実績!$AD$6:$AD$505,"&gt;"&amp;$A105,実績!$AE$6:$AE$505,"○")&gt;0,1,0))</f>
        <v/>
      </c>
      <c r="BU105">
        <f>IF(BU$4=0,0,IF(COUNTIFS(実績!$W$6:$W$505,BU$3,実績!$AC$6:$AC$505,"&lt;="&amp;$A105,実績!$AD$6:$AD$505,"&gt;"&amp;$A105,実績!$AE$6:$AE$505,"○")&gt;0,1,0))</f>
        <v/>
      </c>
      <c r="BV105">
        <f>IF(BV$4=0,0,IF(COUNTIFS(実績!$W$6:$W$505,BV$3,実績!$AC$6:$AC$505,"&lt;="&amp;$A105,実績!$AD$6:$AD$505,"&gt;"&amp;$A105,実績!$AE$6:$AE$505,"○")&gt;0,1,0))</f>
        <v/>
      </c>
      <c r="BW105">
        <f>IF(BW$4=0,0,IF(COUNTIFS(実績!$W$6:$W$505,BW$3,実績!$AC$6:$AC$505,"&lt;="&amp;$A105,実績!$AD$6:$AD$505,"&gt;"&amp;$A105,実績!$AE$6:$AE$505,"○")&gt;0,1,0))</f>
        <v/>
      </c>
      <c r="BX105">
        <f>IF(BX$4=0,0,IF(COUNTIFS(実績!$W$6:$W$505,BX$3,実績!$AC$6:$AC$505,"&lt;="&amp;$A105,実績!$AD$6:$AD$505,"&gt;"&amp;$A105,実績!$AE$6:$AE$505,"○")&gt;0,1,0))</f>
        <v/>
      </c>
      <c r="BY105">
        <f>IF(BY$4=0,0,IF(COUNTIFS(実績!$W$6:$W$505,BY$3,実績!$AC$6:$AC$505,"&lt;="&amp;$A105,実績!$AD$6:$AD$505,"&gt;"&amp;$A105,実績!$AE$6:$AE$505,"○")&gt;0,1,0))</f>
        <v/>
      </c>
      <c r="BZ105">
        <f>IF(BZ$4=0,0,IF(COUNTIFS(実績!$W$6:$W$505,BZ$3,実績!$AC$6:$AC$505,"&lt;="&amp;$A105,実績!$AD$6:$AD$505,"&gt;"&amp;$A105,実績!$AE$6:$AE$505,"○")&gt;0,1,0))</f>
        <v/>
      </c>
      <c r="CA105">
        <f>IF(CA$4=0,0,IF(COUNTIFS(実績!$W$6:$W$505,CA$3,実績!$AC$6:$AC$505,"&lt;="&amp;$A105,実績!$AD$6:$AD$505,"&gt;"&amp;$A105,実績!$AE$6:$AE$505,"○")&gt;0,1,0))</f>
        <v/>
      </c>
      <c r="CB105">
        <f>IF(CB$4=0,0,IF(COUNTIFS(実績!$W$6:$W$505,CB$3,実績!$AC$6:$AC$505,"&lt;="&amp;$A105,実績!$AD$6:$AD$505,"&gt;"&amp;$A105,実績!$AE$6:$AE$505,"○")&gt;0,1,0))</f>
        <v/>
      </c>
      <c r="CC105">
        <f>IF(CC$4=0,0,IF(COUNTIFS(実績!$W$6:$W$505,CC$3,実績!$AC$6:$AC$505,"&lt;="&amp;$A105,実績!$AD$6:$AD$505,"&gt;"&amp;$A105,実績!$AE$6:$AE$505,"○")&gt;0,1,0))</f>
        <v/>
      </c>
      <c r="CD105">
        <f>IF(CD$4=0,0,IF(COUNTIFS(実績!$W$6:$W$505,CD$3,実績!$AC$6:$AC$505,"&lt;="&amp;$A105,実績!$AD$6:$AD$505,"&gt;"&amp;$A105,実績!$AE$6:$AE$505,"○")&gt;0,1,0))</f>
        <v/>
      </c>
      <c r="CE105">
        <f>IF(CE$4=0,0,IF(COUNTIFS(実績!$W$6:$W$505,CE$3,実績!$AC$6:$AC$505,"&lt;="&amp;$A105,実績!$AD$6:$AD$505,"&gt;"&amp;$A105,実績!$AE$6:$AE$505,"○")&gt;0,1,0))</f>
        <v/>
      </c>
      <c r="CF105">
        <f>IF(CF$4=0,0,IF(COUNTIFS(実績!$W$6:$W$505,CF$3,実績!$AC$6:$AC$505,"&lt;="&amp;$A105,実績!$AD$6:$AD$505,"&gt;"&amp;$A105,実績!$AE$6:$AE$505,"○")&gt;0,1,0))</f>
        <v/>
      </c>
      <c r="CG105">
        <f>IF(CG$4=0,0,IF(COUNTIFS(実績!$W$6:$W$505,CG$3,実績!$AC$6:$AC$505,"&lt;="&amp;$A105,実績!$AD$6:$AD$505,"&gt;"&amp;$A105,実績!$AE$6:$AE$505,"○")&gt;0,1,0))</f>
        <v/>
      </c>
      <c r="CH105">
        <f>IF(CH$4=0,0,IF(COUNTIFS(実績!$W$6:$W$505,CH$3,実績!$AC$6:$AC$505,"&lt;="&amp;$A105,実績!$AD$6:$AD$505,"&gt;"&amp;$A105,実績!$AE$6:$AE$505,"○")&gt;0,1,0))</f>
        <v/>
      </c>
      <c r="CI105">
        <f>IF(CI$4=0,0,IF(COUNTIFS(実績!$W$6:$W$505,CI$3,実績!$AC$6:$AC$505,"&lt;="&amp;$A105,実績!$AD$6:$AD$505,"&gt;"&amp;$A105,実績!$AE$6:$AE$505,"○")&gt;0,1,0))</f>
        <v/>
      </c>
      <c r="CJ105">
        <f>IF(CJ$4=0,0,IF(COUNTIFS(実績!$W$6:$W$505,CJ$3,実績!$AC$6:$AC$505,"&lt;="&amp;$A105,実績!$AD$6:$AD$505,"&gt;"&amp;$A105,実績!$AE$6:$AE$505,"○")&gt;0,1,0))</f>
        <v/>
      </c>
      <c r="CK105">
        <f>IF(CK$4=0,0,IF(COUNTIFS(実績!$W$6:$W$505,CK$3,実績!$AC$6:$AC$505,"&lt;="&amp;$A105,実績!$AD$6:$AD$505,"&gt;"&amp;$A105,実績!$AE$6:$AE$505,"○")&gt;0,1,0))</f>
        <v/>
      </c>
      <c r="CL105">
        <f>IF(CL$4=0,0,IF(COUNTIFS(実績!$W$6:$W$505,CL$3,実績!$AC$6:$AC$505,"&lt;="&amp;$A105,実績!$AD$6:$AD$505,"&gt;"&amp;$A105,実績!$AE$6:$AE$505,"○")&gt;0,1,0))</f>
        <v/>
      </c>
      <c r="CM105">
        <f>IF(CM$4=0,0,IF(COUNTIFS(実績!$W$6:$W$505,CM$3,実績!$AC$6:$AC$505,"&lt;="&amp;$A105,実績!$AD$6:$AD$505,"&gt;"&amp;$A105,実績!$AE$6:$AE$505,"○")&gt;0,1,0))</f>
        <v/>
      </c>
      <c r="CN105">
        <f>IF(CN$4=0,0,IF(COUNTIFS(実績!$W$6:$W$505,CN$3,実績!$AC$6:$AC$505,"&lt;="&amp;$A105,実績!$AD$6:$AD$505,"&gt;"&amp;$A105,実績!$AE$6:$AE$505,"○")&gt;0,1,0))</f>
        <v/>
      </c>
      <c r="CO105">
        <f>IF(CO$4=0,0,IF(COUNTIFS(実績!$W$6:$W$505,CO$3,実績!$AC$6:$AC$505,"&lt;="&amp;$A105,実績!$AD$6:$AD$505,"&gt;"&amp;$A105,実績!$AE$6:$AE$505,"○")&gt;0,1,0))</f>
        <v/>
      </c>
      <c r="CP105">
        <f>IF(CP$4=0,0,IF(COUNTIFS(実績!$W$6:$W$505,CP$3,実績!$AC$6:$AC$505,"&lt;="&amp;$A105,実績!$AD$6:$AD$505,"&gt;"&amp;$A105,実績!$AE$6:$AE$505,"○")&gt;0,1,0))</f>
        <v/>
      </c>
      <c r="CQ105">
        <f>IF(CQ$4=0,0,IF(COUNTIFS(実績!$W$6:$W$505,CQ$3,実績!$AC$6:$AC$505,"&lt;="&amp;$A105,実績!$AD$6:$AD$505,"&gt;"&amp;$A105,実績!$AE$6:$AE$505,"○")&gt;0,1,0))</f>
        <v/>
      </c>
      <c r="CR105">
        <f>IF(CR$4=0,0,IF(COUNTIFS(実績!$W$6:$W$505,CR$3,実績!$AC$6:$AC$505,"&lt;="&amp;$A105,実績!$AD$6:$AD$505,"&gt;"&amp;$A105,実績!$AE$6:$AE$505,"○")&gt;0,1,0))</f>
        <v/>
      </c>
      <c r="CS105">
        <f>IF(CS$4=0,0,IF(COUNTIFS(実績!$W$6:$W$505,CS$3,実績!$AC$6:$AC$505,"&lt;="&amp;$A105,実績!$AD$6:$AD$505,"&gt;"&amp;$A105,実績!$AE$6:$AE$505,"○")&gt;0,1,0))</f>
        <v/>
      </c>
      <c r="CT105">
        <f>IF(CT$4=0,0,IF(COUNTIFS(実績!$W$6:$W$505,CT$3,実績!$AC$6:$AC$505,"&lt;="&amp;$A105,実績!$AD$6:$AD$505,"&gt;"&amp;$A105,実績!$AE$6:$AE$505,"○")&gt;0,1,0))</f>
        <v/>
      </c>
      <c r="CU105">
        <f>IF(CU$4=0,0,IF(COUNTIFS(実績!$W$6:$W$505,CU$3,実績!$AC$6:$AC$505,"&lt;="&amp;$A105,実績!$AD$6:$AD$505,"&gt;"&amp;$A105,実績!$AE$6:$AE$505,"○")&gt;0,1,0))</f>
        <v/>
      </c>
      <c r="CV105">
        <f>IF(CV$4=0,0,IF(COUNTIFS(実績!$W$6:$W$505,CV$3,実績!$AC$6:$AC$505,"&lt;="&amp;$A105,実績!$AD$6:$AD$505,"&gt;"&amp;$A105,実績!$AE$6:$AE$505,"○")&gt;0,1,0))</f>
        <v/>
      </c>
      <c r="CW105">
        <f>IF(CW$4=0,0,IF(COUNTIFS(実績!$W$6:$W$505,CW$3,実績!$AC$6:$AC$505,"&lt;="&amp;$A105,実績!$AD$6:$AD$505,"&gt;"&amp;$A105,実績!$AE$6:$AE$505,"○")&gt;0,1,0))</f>
        <v/>
      </c>
      <c r="CX105">
        <f>IF(CX$4=0,0,IF(COUNTIFS(実績!$W$6:$W$505,CX$3,実績!$AC$6:$AC$505,"&lt;="&amp;$A105,実績!$AD$6:$AD$505,"&gt;"&amp;$A105,実績!$AE$6:$AE$505,"○")&gt;0,1,0))</f>
        <v/>
      </c>
      <c r="CY105">
        <f>IF(CY$4=0,0,IF(COUNTIFS(実績!$W$6:$W$505,CY$3,実績!$AC$6:$AC$505,"&lt;="&amp;$A105,実績!$AD$6:$AD$505,"&gt;"&amp;$A105,実績!$AE$6:$AE$505,"○")&gt;0,1,0))</f>
        <v/>
      </c>
      <c r="CZ105">
        <f>IF(CZ$4=0,0,IF(COUNTIFS(実績!$W$6:$W$505,CZ$3,実績!$AC$6:$AC$505,"&lt;="&amp;$A105,実績!$AD$6:$AD$505,"&gt;"&amp;$A105,実績!$AE$6:$AE$505,"○")&gt;0,1,0))</f>
        <v/>
      </c>
      <c r="DA105">
        <f>IF(DA$4=0,0,IF(COUNTIFS(実績!$W$6:$W$505,DA$3,実績!$AC$6:$AC$505,"&lt;="&amp;$A105,実績!$AD$6:$AD$505,"&gt;"&amp;$A105,実績!$AE$6:$AE$505,"○")&gt;0,1,0))</f>
        <v/>
      </c>
      <c r="DB105">
        <f>IF(DB$4=0,0,IF(COUNTIFS(実績!$W$6:$W$505,DB$3,実績!$AC$6:$AC$505,"&lt;="&amp;$A105,実績!$AD$6:$AD$505,"&gt;"&amp;$A105,実績!$AE$6:$AE$505,"○")&gt;0,1,0))</f>
        <v/>
      </c>
      <c r="DC105">
        <f>IF(DC$4=0,0,IF(COUNTIFS(実績!$W$6:$W$505,DC$3,実績!$AC$6:$AC$505,"&lt;="&amp;$A105,実績!$AD$6:$AD$505,"&gt;"&amp;$A105,実績!$AE$6:$AE$505,"○")&gt;0,1,0))</f>
        <v/>
      </c>
      <c r="DD105">
        <f>IF(DD$4=0,0,IF(COUNTIFS(実績!$W$6:$W$505,DD$3,実績!$AC$6:$AC$505,"&lt;="&amp;$A105,実績!$AD$6:$AD$505,"&gt;"&amp;$A105,実績!$AE$6:$AE$505,"○")&gt;0,1,0))</f>
        <v/>
      </c>
      <c r="DE105">
        <f>IF(DE$4=0,0,IF(COUNTIFS(実績!$W$6:$W$505,DE$3,実績!$AC$6:$AC$505,"&lt;="&amp;$A105,実績!$AD$6:$AD$505,"&gt;"&amp;$A105,実績!$AE$6:$AE$505,"○")&gt;0,1,0))</f>
        <v/>
      </c>
      <c r="DF105">
        <f>IF(DF$4=0,0,IF(COUNTIFS(実績!$W$6:$W$505,DF$3,実績!$AC$6:$AC$505,"&lt;="&amp;$A105,実績!$AD$6:$AD$505,"&gt;"&amp;$A105,実績!$AE$6:$AE$505,"○")&gt;0,1,0))</f>
        <v/>
      </c>
      <c r="DG105">
        <f>IF(DG$4=0,0,IF(COUNTIFS(実績!$W$6:$W$505,DG$3,実績!$AC$6:$AC$505,"&lt;="&amp;$A105,実績!$AD$6:$AD$505,"&gt;"&amp;$A105,実績!$AE$6:$AE$505,"○")&gt;0,1,0))</f>
        <v/>
      </c>
      <c r="DH105">
        <f>IF(DH$4=0,0,IF(COUNTIFS(実績!$W$6:$W$505,DH$3,実績!$AC$6:$AC$505,"&lt;="&amp;$A105,実績!$AD$6:$AD$505,"&gt;"&amp;$A105,実績!$AE$6:$AE$505,"○")&gt;0,1,0))</f>
        <v/>
      </c>
      <c r="DI105">
        <f>IF(DI$4=0,0,IF(COUNTIFS(実績!$W$6:$W$505,DI$3,実績!$AC$6:$AC$505,"&lt;="&amp;$A105,実績!$AD$6:$AD$505,"&gt;"&amp;$A105,実績!$AE$6:$AE$505,"○")&gt;0,1,0))</f>
        <v/>
      </c>
      <c r="DJ105">
        <f>IF(DJ$4=0,0,IF(COUNTIFS(実績!$W$6:$W$505,DJ$3,実績!$AC$6:$AC$505,"&lt;="&amp;$A105,実績!$AD$6:$AD$505,"&gt;"&amp;$A105,実績!$AE$6:$AE$505,"○")&gt;0,1,0))</f>
        <v/>
      </c>
      <c r="DK105">
        <f>IF(DK$4=0,0,IF(COUNTIFS(実績!$W$6:$W$505,DK$3,実績!$AC$6:$AC$505,"&lt;="&amp;$A105,実績!$AD$6:$AD$505,"&gt;"&amp;$A105,実績!$AE$6:$AE$505,"○")&gt;0,1,0))</f>
        <v/>
      </c>
      <c r="DL105">
        <f>IF(DL$4=0,0,IF(COUNTIFS(実績!$W$6:$W$505,DL$3,実績!$AC$6:$AC$505,"&lt;="&amp;$A105,実績!$AD$6:$AD$505,"&gt;"&amp;$A105,実績!$AE$6:$AE$505,"○")&gt;0,1,0))</f>
        <v/>
      </c>
      <c r="DM105">
        <f>IF(DM$4=0,0,IF(COUNTIFS(実績!$W$6:$W$505,DM$3,実績!$AC$6:$AC$505,"&lt;="&amp;$A105,実績!$AD$6:$AD$505,"&gt;"&amp;$A105,実績!$AE$6:$AE$505,"○")&gt;0,1,0))</f>
        <v/>
      </c>
      <c r="DN105">
        <f>IF(DN$4=0,0,IF(COUNTIFS(実績!$W$6:$W$505,DN$3,実績!$AC$6:$AC$505,"&lt;="&amp;$A105,実績!$AD$6:$AD$505,"&gt;"&amp;$A105,実績!$AE$6:$AE$505,"○")&gt;0,1,0))</f>
        <v/>
      </c>
      <c r="DO105">
        <f>IF(DO$4=0,0,IF(COUNTIFS(実績!$W$6:$W$505,DO$3,実績!$AC$6:$AC$505,"&lt;="&amp;$A105,実績!$AD$6:$AD$505,"&gt;"&amp;$A105,実績!$AE$6:$AE$505,"○")&gt;0,1,0))</f>
        <v/>
      </c>
      <c r="DP105">
        <f>IF(DP$4=0,0,IF(COUNTIFS(実績!$W$6:$W$505,DP$3,実績!$AC$6:$AC$505,"&lt;="&amp;$A105,実績!$AD$6:$AD$505,"&gt;"&amp;$A105,実績!$AE$6:$AE$505,"○")&gt;0,1,0))</f>
        <v/>
      </c>
      <c r="DQ105">
        <f>IF(DQ$4=0,0,IF(COUNTIFS(実績!$W$6:$W$505,DQ$3,実績!$AC$6:$AC$505,"&lt;="&amp;$A105,実績!$AD$6:$AD$505,"&gt;"&amp;$A105,実績!$AE$6:$AE$505,"○")&gt;0,1,0))</f>
        <v/>
      </c>
      <c r="DR105">
        <f>IF(DR$4=0,0,IF(COUNTIFS(実績!$W$6:$W$505,DR$3,実績!$AC$6:$AC$505,"&lt;="&amp;$A105,実績!$AD$6:$AD$505,"&gt;"&amp;$A105,実績!$AE$6:$AE$505,"○")&gt;0,1,0))</f>
        <v/>
      </c>
      <c r="DS105">
        <f>SUM(C105:DR105)</f>
        <v/>
      </c>
      <c r="DT105">
        <f>SUMPRODUCT((実績!$C$6:$C$505="○")*ISNUMBER(実績!$AF$6:$AF$505)*(実績!$AF$6:$AF$505&lt;=$A105)*(実績!$AG$6:$AG$505&gt;$A105))</f>
        <v/>
      </c>
      <c r="DU105">
        <f>SUMIF($C$2:$DR$2,"製鉄曳船",C105:DR105)</f>
        <v/>
      </c>
      <c r="DV105">
        <f>SUMIF($C$2:$DR$2,"西日本海運",C105:DR105)</f>
        <v/>
      </c>
    </row>
    <row r="106">
      <c r="A106" t="n">
        <v>500</v>
      </c>
      <c r="B106" s="29">
        <f>A106/1440</f>
        <v/>
      </c>
      <c r="C106">
        <f>IF(C$4=0,0,IF(COUNTIFS(実績!$W$6:$W$505,C$3,実績!$AC$6:$AC$505,"&lt;="&amp;$A106,実績!$AD$6:$AD$505,"&gt;"&amp;$A106,実績!$AE$6:$AE$505,"○")&gt;0,1,0))</f>
        <v/>
      </c>
      <c r="D106">
        <f>IF(D$4=0,0,IF(COUNTIFS(実績!$W$6:$W$505,D$3,実績!$AC$6:$AC$505,"&lt;="&amp;$A106,実績!$AD$6:$AD$505,"&gt;"&amp;$A106,実績!$AE$6:$AE$505,"○")&gt;0,1,0))</f>
        <v/>
      </c>
      <c r="E106">
        <f>IF(E$4=0,0,IF(COUNTIFS(実績!$W$6:$W$505,E$3,実績!$AC$6:$AC$505,"&lt;="&amp;$A106,実績!$AD$6:$AD$505,"&gt;"&amp;$A106,実績!$AE$6:$AE$505,"○")&gt;0,1,0))</f>
        <v/>
      </c>
      <c r="F106">
        <f>IF(F$4=0,0,IF(COUNTIFS(実績!$W$6:$W$505,F$3,実績!$AC$6:$AC$505,"&lt;="&amp;$A106,実績!$AD$6:$AD$505,"&gt;"&amp;$A106,実績!$AE$6:$AE$505,"○")&gt;0,1,0))</f>
        <v/>
      </c>
      <c r="G106">
        <f>IF(G$4=0,0,IF(COUNTIFS(実績!$W$6:$W$505,G$3,実績!$AC$6:$AC$505,"&lt;="&amp;$A106,実績!$AD$6:$AD$505,"&gt;"&amp;$A106,実績!$AE$6:$AE$505,"○")&gt;0,1,0))</f>
        <v/>
      </c>
      <c r="H106">
        <f>IF(H$4=0,0,IF(COUNTIFS(実績!$W$6:$W$505,H$3,実績!$AC$6:$AC$505,"&lt;="&amp;$A106,実績!$AD$6:$AD$505,"&gt;"&amp;$A106,実績!$AE$6:$AE$505,"○")&gt;0,1,0))</f>
        <v/>
      </c>
      <c r="I106">
        <f>IF(I$4=0,0,IF(COUNTIFS(実績!$W$6:$W$505,I$3,実績!$AC$6:$AC$505,"&lt;="&amp;$A106,実績!$AD$6:$AD$505,"&gt;"&amp;$A106,実績!$AE$6:$AE$505,"○")&gt;0,1,0))</f>
        <v/>
      </c>
      <c r="J106">
        <f>IF(J$4=0,0,IF(COUNTIFS(実績!$W$6:$W$505,J$3,実績!$AC$6:$AC$505,"&lt;="&amp;$A106,実績!$AD$6:$AD$505,"&gt;"&amp;$A106,実績!$AE$6:$AE$505,"○")&gt;0,1,0))</f>
        <v/>
      </c>
      <c r="K106">
        <f>IF(K$4=0,0,IF(COUNTIFS(実績!$W$6:$W$505,K$3,実績!$AC$6:$AC$505,"&lt;="&amp;$A106,実績!$AD$6:$AD$505,"&gt;"&amp;$A106,実績!$AE$6:$AE$505,"○")&gt;0,1,0))</f>
        <v/>
      </c>
      <c r="L106">
        <f>IF(L$4=0,0,IF(COUNTIFS(実績!$W$6:$W$505,L$3,実績!$AC$6:$AC$505,"&lt;="&amp;$A106,実績!$AD$6:$AD$505,"&gt;"&amp;$A106,実績!$AE$6:$AE$505,"○")&gt;0,1,0))</f>
        <v/>
      </c>
      <c r="M106">
        <f>IF(M$4=0,0,IF(COUNTIFS(実績!$W$6:$W$505,M$3,実績!$AC$6:$AC$505,"&lt;="&amp;$A106,実績!$AD$6:$AD$505,"&gt;"&amp;$A106,実績!$AE$6:$AE$505,"○")&gt;0,1,0))</f>
        <v/>
      </c>
      <c r="N106">
        <f>IF(N$4=0,0,IF(COUNTIFS(実績!$W$6:$W$505,N$3,実績!$AC$6:$AC$505,"&lt;="&amp;$A106,実績!$AD$6:$AD$505,"&gt;"&amp;$A106,実績!$AE$6:$AE$505,"○")&gt;0,1,0))</f>
        <v/>
      </c>
      <c r="O106">
        <f>IF(O$4=0,0,IF(COUNTIFS(実績!$W$6:$W$505,O$3,実績!$AC$6:$AC$505,"&lt;="&amp;$A106,実績!$AD$6:$AD$505,"&gt;"&amp;$A106,実績!$AE$6:$AE$505,"○")&gt;0,1,0))</f>
        <v/>
      </c>
      <c r="P106">
        <f>IF(P$4=0,0,IF(COUNTIFS(実績!$W$6:$W$505,P$3,実績!$AC$6:$AC$505,"&lt;="&amp;$A106,実績!$AD$6:$AD$505,"&gt;"&amp;$A106,実績!$AE$6:$AE$505,"○")&gt;0,1,0))</f>
        <v/>
      </c>
      <c r="Q106">
        <f>IF(Q$4=0,0,IF(COUNTIFS(実績!$W$6:$W$505,Q$3,実績!$AC$6:$AC$505,"&lt;="&amp;$A106,実績!$AD$6:$AD$505,"&gt;"&amp;$A106,実績!$AE$6:$AE$505,"○")&gt;0,1,0))</f>
        <v/>
      </c>
      <c r="R106">
        <f>IF(R$4=0,0,IF(COUNTIFS(実績!$W$6:$W$505,R$3,実績!$AC$6:$AC$505,"&lt;="&amp;$A106,実績!$AD$6:$AD$505,"&gt;"&amp;$A106,実績!$AE$6:$AE$505,"○")&gt;0,1,0))</f>
        <v/>
      </c>
      <c r="S106">
        <f>IF(S$4=0,0,IF(COUNTIFS(実績!$W$6:$W$505,S$3,実績!$AC$6:$AC$505,"&lt;="&amp;$A106,実績!$AD$6:$AD$505,"&gt;"&amp;$A106,実績!$AE$6:$AE$505,"○")&gt;0,1,0))</f>
        <v/>
      </c>
      <c r="T106">
        <f>IF(T$4=0,0,IF(COUNTIFS(実績!$W$6:$W$505,T$3,実績!$AC$6:$AC$505,"&lt;="&amp;$A106,実績!$AD$6:$AD$505,"&gt;"&amp;$A106,実績!$AE$6:$AE$505,"○")&gt;0,1,0))</f>
        <v/>
      </c>
      <c r="U106">
        <f>IF(U$4=0,0,IF(COUNTIFS(実績!$W$6:$W$505,U$3,実績!$AC$6:$AC$505,"&lt;="&amp;$A106,実績!$AD$6:$AD$505,"&gt;"&amp;$A106,実績!$AE$6:$AE$505,"○")&gt;0,1,0))</f>
        <v/>
      </c>
      <c r="V106">
        <f>IF(V$4=0,0,IF(COUNTIFS(実績!$W$6:$W$505,V$3,実績!$AC$6:$AC$505,"&lt;="&amp;$A106,実績!$AD$6:$AD$505,"&gt;"&amp;$A106,実績!$AE$6:$AE$505,"○")&gt;0,1,0))</f>
        <v/>
      </c>
      <c r="W106">
        <f>IF(W$4=0,0,IF(COUNTIFS(実績!$W$6:$W$505,W$3,実績!$AC$6:$AC$505,"&lt;="&amp;$A106,実績!$AD$6:$AD$505,"&gt;"&amp;$A106,実績!$AE$6:$AE$505,"○")&gt;0,1,0))</f>
        <v/>
      </c>
      <c r="X106">
        <f>IF(X$4=0,0,IF(COUNTIFS(実績!$W$6:$W$505,X$3,実績!$AC$6:$AC$505,"&lt;="&amp;$A106,実績!$AD$6:$AD$505,"&gt;"&amp;$A106,実績!$AE$6:$AE$505,"○")&gt;0,1,0))</f>
        <v/>
      </c>
      <c r="Y106">
        <f>IF(Y$4=0,0,IF(COUNTIFS(実績!$W$6:$W$505,Y$3,実績!$AC$6:$AC$505,"&lt;="&amp;$A106,実績!$AD$6:$AD$505,"&gt;"&amp;$A106,実績!$AE$6:$AE$505,"○")&gt;0,1,0))</f>
        <v/>
      </c>
      <c r="Z106">
        <f>IF(Z$4=0,0,IF(COUNTIFS(実績!$W$6:$W$505,Z$3,実績!$AC$6:$AC$505,"&lt;="&amp;$A106,実績!$AD$6:$AD$505,"&gt;"&amp;$A106,実績!$AE$6:$AE$505,"○")&gt;0,1,0))</f>
        <v/>
      </c>
      <c r="AA106">
        <f>IF(AA$4=0,0,IF(COUNTIFS(実績!$W$6:$W$505,AA$3,実績!$AC$6:$AC$505,"&lt;="&amp;$A106,実績!$AD$6:$AD$505,"&gt;"&amp;$A106,実績!$AE$6:$AE$505,"○")&gt;0,1,0))</f>
        <v/>
      </c>
      <c r="AB106">
        <f>IF(AB$4=0,0,IF(COUNTIFS(実績!$W$6:$W$505,AB$3,実績!$AC$6:$AC$505,"&lt;="&amp;$A106,実績!$AD$6:$AD$505,"&gt;"&amp;$A106,実績!$AE$6:$AE$505,"○")&gt;0,1,0))</f>
        <v/>
      </c>
      <c r="AC106">
        <f>IF(AC$4=0,0,IF(COUNTIFS(実績!$W$6:$W$505,AC$3,実績!$AC$6:$AC$505,"&lt;="&amp;$A106,実績!$AD$6:$AD$505,"&gt;"&amp;$A106,実績!$AE$6:$AE$505,"○")&gt;0,1,0))</f>
        <v/>
      </c>
      <c r="AD106">
        <f>IF(AD$4=0,0,IF(COUNTIFS(実績!$W$6:$W$505,AD$3,実績!$AC$6:$AC$505,"&lt;="&amp;$A106,実績!$AD$6:$AD$505,"&gt;"&amp;$A106,実績!$AE$6:$AE$505,"○")&gt;0,1,0))</f>
        <v/>
      </c>
      <c r="AE106">
        <f>IF(AE$4=0,0,IF(COUNTIFS(実績!$W$6:$W$505,AE$3,実績!$AC$6:$AC$505,"&lt;="&amp;$A106,実績!$AD$6:$AD$505,"&gt;"&amp;$A106,実績!$AE$6:$AE$505,"○")&gt;0,1,0))</f>
        <v/>
      </c>
      <c r="AF106">
        <f>IF(AF$4=0,0,IF(COUNTIFS(実績!$W$6:$W$505,AF$3,実績!$AC$6:$AC$505,"&lt;="&amp;$A106,実績!$AD$6:$AD$505,"&gt;"&amp;$A106,実績!$AE$6:$AE$505,"○")&gt;0,1,0))</f>
        <v/>
      </c>
      <c r="AG106">
        <f>IF(AG$4=0,0,IF(COUNTIFS(実績!$W$6:$W$505,AG$3,実績!$AC$6:$AC$505,"&lt;="&amp;$A106,実績!$AD$6:$AD$505,"&gt;"&amp;$A106,実績!$AE$6:$AE$505,"○")&gt;0,1,0))</f>
        <v/>
      </c>
      <c r="AH106">
        <f>IF(AH$4=0,0,IF(COUNTIFS(実績!$W$6:$W$505,AH$3,実績!$AC$6:$AC$505,"&lt;="&amp;$A106,実績!$AD$6:$AD$505,"&gt;"&amp;$A106,実績!$AE$6:$AE$505,"○")&gt;0,1,0))</f>
        <v/>
      </c>
      <c r="AI106">
        <f>IF(AI$4=0,0,IF(COUNTIFS(実績!$W$6:$W$505,AI$3,実績!$AC$6:$AC$505,"&lt;="&amp;$A106,実績!$AD$6:$AD$505,"&gt;"&amp;$A106,実績!$AE$6:$AE$505,"○")&gt;0,1,0))</f>
        <v/>
      </c>
      <c r="AJ106">
        <f>IF(AJ$4=0,0,IF(COUNTIFS(実績!$W$6:$W$505,AJ$3,実績!$AC$6:$AC$505,"&lt;="&amp;$A106,実績!$AD$6:$AD$505,"&gt;"&amp;$A106,実績!$AE$6:$AE$505,"○")&gt;0,1,0))</f>
        <v/>
      </c>
      <c r="AK106">
        <f>IF(AK$4=0,0,IF(COUNTIFS(実績!$W$6:$W$505,AK$3,実績!$AC$6:$AC$505,"&lt;="&amp;$A106,実績!$AD$6:$AD$505,"&gt;"&amp;$A106,実績!$AE$6:$AE$505,"○")&gt;0,1,0))</f>
        <v/>
      </c>
      <c r="AL106">
        <f>IF(AL$4=0,0,IF(COUNTIFS(実績!$W$6:$W$505,AL$3,実績!$AC$6:$AC$505,"&lt;="&amp;$A106,実績!$AD$6:$AD$505,"&gt;"&amp;$A106,実績!$AE$6:$AE$505,"○")&gt;0,1,0))</f>
        <v/>
      </c>
      <c r="AM106">
        <f>IF(AM$4=0,0,IF(COUNTIFS(実績!$W$6:$W$505,AM$3,実績!$AC$6:$AC$505,"&lt;="&amp;$A106,実績!$AD$6:$AD$505,"&gt;"&amp;$A106,実績!$AE$6:$AE$505,"○")&gt;0,1,0))</f>
        <v/>
      </c>
      <c r="AN106">
        <f>IF(AN$4=0,0,IF(COUNTIFS(実績!$W$6:$W$505,AN$3,実績!$AC$6:$AC$505,"&lt;="&amp;$A106,実績!$AD$6:$AD$505,"&gt;"&amp;$A106,実績!$AE$6:$AE$505,"○")&gt;0,1,0))</f>
        <v/>
      </c>
      <c r="AO106">
        <f>IF(AO$4=0,0,IF(COUNTIFS(実績!$W$6:$W$505,AO$3,実績!$AC$6:$AC$505,"&lt;="&amp;$A106,実績!$AD$6:$AD$505,"&gt;"&amp;$A106,実績!$AE$6:$AE$505,"○")&gt;0,1,0))</f>
        <v/>
      </c>
      <c r="AP106">
        <f>IF(AP$4=0,0,IF(COUNTIFS(実績!$W$6:$W$505,AP$3,実績!$AC$6:$AC$505,"&lt;="&amp;$A106,実績!$AD$6:$AD$505,"&gt;"&amp;$A106,実績!$AE$6:$AE$505,"○")&gt;0,1,0))</f>
        <v/>
      </c>
      <c r="AQ106">
        <f>IF(AQ$4=0,0,IF(COUNTIFS(実績!$W$6:$W$505,AQ$3,実績!$AC$6:$AC$505,"&lt;="&amp;$A106,実績!$AD$6:$AD$505,"&gt;"&amp;$A106,実績!$AE$6:$AE$505,"○")&gt;0,1,0))</f>
        <v/>
      </c>
      <c r="AR106">
        <f>IF(AR$4=0,0,IF(COUNTIFS(実績!$W$6:$W$505,AR$3,実績!$AC$6:$AC$505,"&lt;="&amp;$A106,実績!$AD$6:$AD$505,"&gt;"&amp;$A106,実績!$AE$6:$AE$505,"○")&gt;0,1,0))</f>
        <v/>
      </c>
      <c r="AS106">
        <f>IF(AS$4=0,0,IF(COUNTIFS(実績!$W$6:$W$505,AS$3,実績!$AC$6:$AC$505,"&lt;="&amp;$A106,実績!$AD$6:$AD$505,"&gt;"&amp;$A106,実績!$AE$6:$AE$505,"○")&gt;0,1,0))</f>
        <v/>
      </c>
      <c r="AT106">
        <f>IF(AT$4=0,0,IF(COUNTIFS(実績!$W$6:$W$505,AT$3,実績!$AC$6:$AC$505,"&lt;="&amp;$A106,実績!$AD$6:$AD$505,"&gt;"&amp;$A106,実績!$AE$6:$AE$505,"○")&gt;0,1,0))</f>
        <v/>
      </c>
      <c r="AU106">
        <f>IF(AU$4=0,0,IF(COUNTIFS(実績!$W$6:$W$505,AU$3,実績!$AC$6:$AC$505,"&lt;="&amp;$A106,実績!$AD$6:$AD$505,"&gt;"&amp;$A106,実績!$AE$6:$AE$505,"○")&gt;0,1,0))</f>
        <v/>
      </c>
      <c r="AV106">
        <f>IF(AV$4=0,0,IF(COUNTIFS(実績!$W$6:$W$505,AV$3,実績!$AC$6:$AC$505,"&lt;="&amp;$A106,実績!$AD$6:$AD$505,"&gt;"&amp;$A106,実績!$AE$6:$AE$505,"○")&gt;0,1,0))</f>
        <v/>
      </c>
      <c r="AW106">
        <f>IF(AW$4=0,0,IF(COUNTIFS(実績!$W$6:$W$505,AW$3,実績!$AC$6:$AC$505,"&lt;="&amp;$A106,実績!$AD$6:$AD$505,"&gt;"&amp;$A106,実績!$AE$6:$AE$505,"○")&gt;0,1,0))</f>
        <v/>
      </c>
      <c r="AX106">
        <f>IF(AX$4=0,0,IF(COUNTIFS(実績!$W$6:$W$505,AX$3,実績!$AC$6:$AC$505,"&lt;="&amp;$A106,実績!$AD$6:$AD$505,"&gt;"&amp;$A106,実績!$AE$6:$AE$505,"○")&gt;0,1,0))</f>
        <v/>
      </c>
      <c r="AY106">
        <f>IF(AY$4=0,0,IF(COUNTIFS(実績!$W$6:$W$505,AY$3,実績!$AC$6:$AC$505,"&lt;="&amp;$A106,実績!$AD$6:$AD$505,"&gt;"&amp;$A106,実績!$AE$6:$AE$505,"○")&gt;0,1,0))</f>
        <v/>
      </c>
      <c r="AZ106">
        <f>IF(AZ$4=0,0,IF(COUNTIFS(実績!$W$6:$W$505,AZ$3,実績!$AC$6:$AC$505,"&lt;="&amp;$A106,実績!$AD$6:$AD$505,"&gt;"&amp;$A106,実績!$AE$6:$AE$505,"○")&gt;0,1,0))</f>
        <v/>
      </c>
      <c r="BA106">
        <f>IF(BA$4=0,0,IF(COUNTIFS(実績!$W$6:$W$505,BA$3,実績!$AC$6:$AC$505,"&lt;="&amp;$A106,実績!$AD$6:$AD$505,"&gt;"&amp;$A106,実績!$AE$6:$AE$505,"○")&gt;0,1,0))</f>
        <v/>
      </c>
      <c r="BB106">
        <f>IF(BB$4=0,0,IF(COUNTIFS(実績!$W$6:$W$505,BB$3,実績!$AC$6:$AC$505,"&lt;="&amp;$A106,実績!$AD$6:$AD$505,"&gt;"&amp;$A106,実績!$AE$6:$AE$505,"○")&gt;0,1,0))</f>
        <v/>
      </c>
      <c r="BC106">
        <f>IF(BC$4=0,0,IF(COUNTIFS(実績!$W$6:$W$505,BC$3,実績!$AC$6:$AC$505,"&lt;="&amp;$A106,実績!$AD$6:$AD$505,"&gt;"&amp;$A106,実績!$AE$6:$AE$505,"○")&gt;0,1,0))</f>
        <v/>
      </c>
      <c r="BD106">
        <f>IF(BD$4=0,0,IF(COUNTIFS(実績!$W$6:$W$505,BD$3,実績!$AC$6:$AC$505,"&lt;="&amp;$A106,実績!$AD$6:$AD$505,"&gt;"&amp;$A106,実績!$AE$6:$AE$505,"○")&gt;0,1,0))</f>
        <v/>
      </c>
      <c r="BE106">
        <f>IF(BE$4=0,0,IF(COUNTIFS(実績!$W$6:$W$505,BE$3,実績!$AC$6:$AC$505,"&lt;="&amp;$A106,実績!$AD$6:$AD$505,"&gt;"&amp;$A106,実績!$AE$6:$AE$505,"○")&gt;0,1,0))</f>
        <v/>
      </c>
      <c r="BF106">
        <f>IF(BF$4=0,0,IF(COUNTIFS(実績!$W$6:$W$505,BF$3,実績!$AC$6:$AC$505,"&lt;="&amp;$A106,実績!$AD$6:$AD$505,"&gt;"&amp;$A106,実績!$AE$6:$AE$505,"○")&gt;0,1,0))</f>
        <v/>
      </c>
      <c r="BG106">
        <f>IF(BG$4=0,0,IF(COUNTIFS(実績!$W$6:$W$505,BG$3,実績!$AC$6:$AC$505,"&lt;="&amp;$A106,実績!$AD$6:$AD$505,"&gt;"&amp;$A106,実績!$AE$6:$AE$505,"○")&gt;0,1,0))</f>
        <v/>
      </c>
      <c r="BH106">
        <f>IF(BH$4=0,0,IF(COUNTIFS(実績!$W$6:$W$505,BH$3,実績!$AC$6:$AC$505,"&lt;="&amp;$A106,実績!$AD$6:$AD$505,"&gt;"&amp;$A106,実績!$AE$6:$AE$505,"○")&gt;0,1,0))</f>
        <v/>
      </c>
      <c r="BI106">
        <f>IF(BI$4=0,0,IF(COUNTIFS(実績!$W$6:$W$505,BI$3,実績!$AC$6:$AC$505,"&lt;="&amp;$A106,実績!$AD$6:$AD$505,"&gt;"&amp;$A106,実績!$AE$6:$AE$505,"○")&gt;0,1,0))</f>
        <v/>
      </c>
      <c r="BJ106">
        <f>IF(BJ$4=0,0,IF(COUNTIFS(実績!$W$6:$W$505,BJ$3,実績!$AC$6:$AC$505,"&lt;="&amp;$A106,実績!$AD$6:$AD$505,"&gt;"&amp;$A106,実績!$AE$6:$AE$505,"○")&gt;0,1,0))</f>
        <v/>
      </c>
      <c r="BK106">
        <f>IF(BK$4=0,0,IF(COUNTIFS(実績!$W$6:$W$505,BK$3,実績!$AC$6:$AC$505,"&lt;="&amp;$A106,実績!$AD$6:$AD$505,"&gt;"&amp;$A106,実績!$AE$6:$AE$505,"○")&gt;0,1,0))</f>
        <v/>
      </c>
      <c r="BL106">
        <f>IF(BL$4=0,0,IF(COUNTIFS(実績!$W$6:$W$505,BL$3,実績!$AC$6:$AC$505,"&lt;="&amp;$A106,実績!$AD$6:$AD$505,"&gt;"&amp;$A106,実績!$AE$6:$AE$505,"○")&gt;0,1,0))</f>
        <v/>
      </c>
      <c r="BM106">
        <f>IF(BM$4=0,0,IF(COUNTIFS(実績!$W$6:$W$505,BM$3,実績!$AC$6:$AC$505,"&lt;="&amp;$A106,実績!$AD$6:$AD$505,"&gt;"&amp;$A106,実績!$AE$6:$AE$505,"○")&gt;0,1,0))</f>
        <v/>
      </c>
      <c r="BN106">
        <f>IF(BN$4=0,0,IF(COUNTIFS(実績!$W$6:$W$505,BN$3,実績!$AC$6:$AC$505,"&lt;="&amp;$A106,実績!$AD$6:$AD$505,"&gt;"&amp;$A106,実績!$AE$6:$AE$505,"○")&gt;0,1,0))</f>
        <v/>
      </c>
      <c r="BO106">
        <f>IF(BO$4=0,0,IF(COUNTIFS(実績!$W$6:$W$505,BO$3,実績!$AC$6:$AC$505,"&lt;="&amp;$A106,実績!$AD$6:$AD$505,"&gt;"&amp;$A106,実績!$AE$6:$AE$505,"○")&gt;0,1,0))</f>
        <v/>
      </c>
      <c r="BP106">
        <f>IF(BP$4=0,0,IF(COUNTIFS(実績!$W$6:$W$505,BP$3,実績!$AC$6:$AC$505,"&lt;="&amp;$A106,実績!$AD$6:$AD$505,"&gt;"&amp;$A106,実績!$AE$6:$AE$505,"○")&gt;0,1,0))</f>
        <v/>
      </c>
      <c r="BQ106">
        <f>IF(BQ$4=0,0,IF(COUNTIFS(実績!$W$6:$W$505,BQ$3,実績!$AC$6:$AC$505,"&lt;="&amp;$A106,実績!$AD$6:$AD$505,"&gt;"&amp;$A106,実績!$AE$6:$AE$505,"○")&gt;0,1,0))</f>
        <v/>
      </c>
      <c r="BR106">
        <f>IF(BR$4=0,0,IF(COUNTIFS(実績!$W$6:$W$505,BR$3,実績!$AC$6:$AC$505,"&lt;="&amp;$A106,実績!$AD$6:$AD$505,"&gt;"&amp;$A106,実績!$AE$6:$AE$505,"○")&gt;0,1,0))</f>
        <v/>
      </c>
      <c r="BS106">
        <f>IF(BS$4=0,0,IF(COUNTIFS(実績!$W$6:$W$505,BS$3,実績!$AC$6:$AC$505,"&lt;="&amp;$A106,実績!$AD$6:$AD$505,"&gt;"&amp;$A106,実績!$AE$6:$AE$505,"○")&gt;0,1,0))</f>
        <v/>
      </c>
      <c r="BT106">
        <f>IF(BT$4=0,0,IF(COUNTIFS(実績!$W$6:$W$505,BT$3,実績!$AC$6:$AC$505,"&lt;="&amp;$A106,実績!$AD$6:$AD$505,"&gt;"&amp;$A106,実績!$AE$6:$AE$505,"○")&gt;0,1,0))</f>
        <v/>
      </c>
      <c r="BU106">
        <f>IF(BU$4=0,0,IF(COUNTIFS(実績!$W$6:$W$505,BU$3,実績!$AC$6:$AC$505,"&lt;="&amp;$A106,実績!$AD$6:$AD$505,"&gt;"&amp;$A106,実績!$AE$6:$AE$505,"○")&gt;0,1,0))</f>
        <v/>
      </c>
      <c r="BV106">
        <f>IF(BV$4=0,0,IF(COUNTIFS(実績!$W$6:$W$505,BV$3,実績!$AC$6:$AC$505,"&lt;="&amp;$A106,実績!$AD$6:$AD$505,"&gt;"&amp;$A106,実績!$AE$6:$AE$505,"○")&gt;0,1,0))</f>
        <v/>
      </c>
      <c r="BW106">
        <f>IF(BW$4=0,0,IF(COUNTIFS(実績!$W$6:$W$505,BW$3,実績!$AC$6:$AC$505,"&lt;="&amp;$A106,実績!$AD$6:$AD$505,"&gt;"&amp;$A106,実績!$AE$6:$AE$505,"○")&gt;0,1,0))</f>
        <v/>
      </c>
      <c r="BX106">
        <f>IF(BX$4=0,0,IF(COUNTIFS(実績!$W$6:$W$505,BX$3,実績!$AC$6:$AC$505,"&lt;="&amp;$A106,実績!$AD$6:$AD$505,"&gt;"&amp;$A106,実績!$AE$6:$AE$505,"○")&gt;0,1,0))</f>
        <v/>
      </c>
      <c r="BY106">
        <f>IF(BY$4=0,0,IF(COUNTIFS(実績!$W$6:$W$505,BY$3,実績!$AC$6:$AC$505,"&lt;="&amp;$A106,実績!$AD$6:$AD$505,"&gt;"&amp;$A106,実績!$AE$6:$AE$505,"○")&gt;0,1,0))</f>
        <v/>
      </c>
      <c r="BZ106">
        <f>IF(BZ$4=0,0,IF(COUNTIFS(実績!$W$6:$W$505,BZ$3,実績!$AC$6:$AC$505,"&lt;="&amp;$A106,実績!$AD$6:$AD$505,"&gt;"&amp;$A106,実績!$AE$6:$AE$505,"○")&gt;0,1,0))</f>
        <v/>
      </c>
      <c r="CA106">
        <f>IF(CA$4=0,0,IF(COUNTIFS(実績!$W$6:$W$505,CA$3,実績!$AC$6:$AC$505,"&lt;="&amp;$A106,実績!$AD$6:$AD$505,"&gt;"&amp;$A106,実績!$AE$6:$AE$505,"○")&gt;0,1,0))</f>
        <v/>
      </c>
      <c r="CB106">
        <f>IF(CB$4=0,0,IF(COUNTIFS(実績!$W$6:$W$505,CB$3,実績!$AC$6:$AC$505,"&lt;="&amp;$A106,実績!$AD$6:$AD$505,"&gt;"&amp;$A106,実績!$AE$6:$AE$505,"○")&gt;0,1,0))</f>
        <v/>
      </c>
      <c r="CC106">
        <f>IF(CC$4=0,0,IF(COUNTIFS(実績!$W$6:$W$505,CC$3,実績!$AC$6:$AC$505,"&lt;="&amp;$A106,実績!$AD$6:$AD$505,"&gt;"&amp;$A106,実績!$AE$6:$AE$505,"○")&gt;0,1,0))</f>
        <v/>
      </c>
      <c r="CD106">
        <f>IF(CD$4=0,0,IF(COUNTIFS(実績!$W$6:$W$505,CD$3,実績!$AC$6:$AC$505,"&lt;="&amp;$A106,実績!$AD$6:$AD$505,"&gt;"&amp;$A106,実績!$AE$6:$AE$505,"○")&gt;0,1,0))</f>
        <v/>
      </c>
      <c r="CE106">
        <f>IF(CE$4=0,0,IF(COUNTIFS(実績!$W$6:$W$505,CE$3,実績!$AC$6:$AC$505,"&lt;="&amp;$A106,実績!$AD$6:$AD$505,"&gt;"&amp;$A106,実績!$AE$6:$AE$505,"○")&gt;0,1,0))</f>
        <v/>
      </c>
      <c r="CF106">
        <f>IF(CF$4=0,0,IF(COUNTIFS(実績!$W$6:$W$505,CF$3,実績!$AC$6:$AC$505,"&lt;="&amp;$A106,実績!$AD$6:$AD$505,"&gt;"&amp;$A106,実績!$AE$6:$AE$505,"○")&gt;0,1,0))</f>
        <v/>
      </c>
      <c r="CG106">
        <f>IF(CG$4=0,0,IF(COUNTIFS(実績!$W$6:$W$505,CG$3,実績!$AC$6:$AC$505,"&lt;="&amp;$A106,実績!$AD$6:$AD$505,"&gt;"&amp;$A106,実績!$AE$6:$AE$505,"○")&gt;0,1,0))</f>
        <v/>
      </c>
      <c r="CH106">
        <f>IF(CH$4=0,0,IF(COUNTIFS(実績!$W$6:$W$505,CH$3,実績!$AC$6:$AC$505,"&lt;="&amp;$A106,実績!$AD$6:$AD$505,"&gt;"&amp;$A106,実績!$AE$6:$AE$505,"○")&gt;0,1,0))</f>
        <v/>
      </c>
      <c r="CI106">
        <f>IF(CI$4=0,0,IF(COUNTIFS(実績!$W$6:$W$505,CI$3,実績!$AC$6:$AC$505,"&lt;="&amp;$A106,実績!$AD$6:$AD$505,"&gt;"&amp;$A106,実績!$AE$6:$AE$505,"○")&gt;0,1,0))</f>
        <v/>
      </c>
      <c r="CJ106">
        <f>IF(CJ$4=0,0,IF(COUNTIFS(実績!$W$6:$W$505,CJ$3,実績!$AC$6:$AC$505,"&lt;="&amp;$A106,実績!$AD$6:$AD$505,"&gt;"&amp;$A106,実績!$AE$6:$AE$505,"○")&gt;0,1,0))</f>
        <v/>
      </c>
      <c r="CK106">
        <f>IF(CK$4=0,0,IF(COUNTIFS(実績!$W$6:$W$505,CK$3,実績!$AC$6:$AC$505,"&lt;="&amp;$A106,実績!$AD$6:$AD$505,"&gt;"&amp;$A106,実績!$AE$6:$AE$505,"○")&gt;0,1,0))</f>
        <v/>
      </c>
      <c r="CL106">
        <f>IF(CL$4=0,0,IF(COUNTIFS(実績!$W$6:$W$505,CL$3,実績!$AC$6:$AC$505,"&lt;="&amp;$A106,実績!$AD$6:$AD$505,"&gt;"&amp;$A106,実績!$AE$6:$AE$505,"○")&gt;0,1,0))</f>
        <v/>
      </c>
      <c r="CM106">
        <f>IF(CM$4=0,0,IF(COUNTIFS(実績!$W$6:$W$505,CM$3,実績!$AC$6:$AC$505,"&lt;="&amp;$A106,実績!$AD$6:$AD$505,"&gt;"&amp;$A106,実績!$AE$6:$AE$505,"○")&gt;0,1,0))</f>
        <v/>
      </c>
      <c r="CN106">
        <f>IF(CN$4=0,0,IF(COUNTIFS(実績!$W$6:$W$505,CN$3,実績!$AC$6:$AC$505,"&lt;="&amp;$A106,実績!$AD$6:$AD$505,"&gt;"&amp;$A106,実績!$AE$6:$AE$505,"○")&gt;0,1,0))</f>
        <v/>
      </c>
      <c r="CO106">
        <f>IF(CO$4=0,0,IF(COUNTIFS(実績!$W$6:$W$505,CO$3,実績!$AC$6:$AC$505,"&lt;="&amp;$A106,実績!$AD$6:$AD$505,"&gt;"&amp;$A106,実績!$AE$6:$AE$505,"○")&gt;0,1,0))</f>
        <v/>
      </c>
      <c r="CP106">
        <f>IF(CP$4=0,0,IF(COUNTIFS(実績!$W$6:$W$505,CP$3,実績!$AC$6:$AC$505,"&lt;="&amp;$A106,実績!$AD$6:$AD$505,"&gt;"&amp;$A106,実績!$AE$6:$AE$505,"○")&gt;0,1,0))</f>
        <v/>
      </c>
      <c r="CQ106">
        <f>IF(CQ$4=0,0,IF(COUNTIFS(実績!$W$6:$W$505,CQ$3,実績!$AC$6:$AC$505,"&lt;="&amp;$A106,実績!$AD$6:$AD$505,"&gt;"&amp;$A106,実績!$AE$6:$AE$505,"○")&gt;0,1,0))</f>
        <v/>
      </c>
      <c r="CR106">
        <f>IF(CR$4=0,0,IF(COUNTIFS(実績!$W$6:$W$505,CR$3,実績!$AC$6:$AC$505,"&lt;="&amp;$A106,実績!$AD$6:$AD$505,"&gt;"&amp;$A106,実績!$AE$6:$AE$505,"○")&gt;0,1,0))</f>
        <v/>
      </c>
      <c r="CS106">
        <f>IF(CS$4=0,0,IF(COUNTIFS(実績!$W$6:$W$505,CS$3,実績!$AC$6:$AC$505,"&lt;="&amp;$A106,実績!$AD$6:$AD$505,"&gt;"&amp;$A106,実績!$AE$6:$AE$505,"○")&gt;0,1,0))</f>
        <v/>
      </c>
      <c r="CT106">
        <f>IF(CT$4=0,0,IF(COUNTIFS(実績!$W$6:$W$505,CT$3,実績!$AC$6:$AC$505,"&lt;="&amp;$A106,実績!$AD$6:$AD$505,"&gt;"&amp;$A106,実績!$AE$6:$AE$505,"○")&gt;0,1,0))</f>
        <v/>
      </c>
      <c r="CU106">
        <f>IF(CU$4=0,0,IF(COUNTIFS(実績!$W$6:$W$505,CU$3,実績!$AC$6:$AC$505,"&lt;="&amp;$A106,実績!$AD$6:$AD$505,"&gt;"&amp;$A106,実績!$AE$6:$AE$505,"○")&gt;0,1,0))</f>
        <v/>
      </c>
      <c r="CV106">
        <f>IF(CV$4=0,0,IF(COUNTIFS(実績!$W$6:$W$505,CV$3,実績!$AC$6:$AC$505,"&lt;="&amp;$A106,実績!$AD$6:$AD$505,"&gt;"&amp;$A106,実績!$AE$6:$AE$505,"○")&gt;0,1,0))</f>
        <v/>
      </c>
      <c r="CW106">
        <f>IF(CW$4=0,0,IF(COUNTIFS(実績!$W$6:$W$505,CW$3,実績!$AC$6:$AC$505,"&lt;="&amp;$A106,実績!$AD$6:$AD$505,"&gt;"&amp;$A106,実績!$AE$6:$AE$505,"○")&gt;0,1,0))</f>
        <v/>
      </c>
      <c r="CX106">
        <f>IF(CX$4=0,0,IF(COUNTIFS(実績!$W$6:$W$505,CX$3,実績!$AC$6:$AC$505,"&lt;="&amp;$A106,実績!$AD$6:$AD$505,"&gt;"&amp;$A106,実績!$AE$6:$AE$505,"○")&gt;0,1,0))</f>
        <v/>
      </c>
      <c r="CY106">
        <f>IF(CY$4=0,0,IF(COUNTIFS(実績!$W$6:$W$505,CY$3,実績!$AC$6:$AC$505,"&lt;="&amp;$A106,実績!$AD$6:$AD$505,"&gt;"&amp;$A106,実績!$AE$6:$AE$505,"○")&gt;0,1,0))</f>
        <v/>
      </c>
      <c r="CZ106">
        <f>IF(CZ$4=0,0,IF(COUNTIFS(実績!$W$6:$W$505,CZ$3,実績!$AC$6:$AC$505,"&lt;="&amp;$A106,実績!$AD$6:$AD$505,"&gt;"&amp;$A106,実績!$AE$6:$AE$505,"○")&gt;0,1,0))</f>
        <v/>
      </c>
      <c r="DA106">
        <f>IF(DA$4=0,0,IF(COUNTIFS(実績!$W$6:$W$505,DA$3,実績!$AC$6:$AC$505,"&lt;="&amp;$A106,実績!$AD$6:$AD$505,"&gt;"&amp;$A106,実績!$AE$6:$AE$505,"○")&gt;0,1,0))</f>
        <v/>
      </c>
      <c r="DB106">
        <f>IF(DB$4=0,0,IF(COUNTIFS(実績!$W$6:$W$505,DB$3,実績!$AC$6:$AC$505,"&lt;="&amp;$A106,実績!$AD$6:$AD$505,"&gt;"&amp;$A106,実績!$AE$6:$AE$505,"○")&gt;0,1,0))</f>
        <v/>
      </c>
      <c r="DC106">
        <f>IF(DC$4=0,0,IF(COUNTIFS(実績!$W$6:$W$505,DC$3,実績!$AC$6:$AC$505,"&lt;="&amp;$A106,実績!$AD$6:$AD$505,"&gt;"&amp;$A106,実績!$AE$6:$AE$505,"○")&gt;0,1,0))</f>
        <v/>
      </c>
      <c r="DD106">
        <f>IF(DD$4=0,0,IF(COUNTIFS(実績!$W$6:$W$505,DD$3,実績!$AC$6:$AC$505,"&lt;="&amp;$A106,実績!$AD$6:$AD$505,"&gt;"&amp;$A106,実績!$AE$6:$AE$505,"○")&gt;0,1,0))</f>
        <v/>
      </c>
      <c r="DE106">
        <f>IF(DE$4=0,0,IF(COUNTIFS(実績!$W$6:$W$505,DE$3,実績!$AC$6:$AC$505,"&lt;="&amp;$A106,実績!$AD$6:$AD$505,"&gt;"&amp;$A106,実績!$AE$6:$AE$505,"○")&gt;0,1,0))</f>
        <v/>
      </c>
      <c r="DF106">
        <f>IF(DF$4=0,0,IF(COUNTIFS(実績!$W$6:$W$505,DF$3,実績!$AC$6:$AC$505,"&lt;="&amp;$A106,実績!$AD$6:$AD$505,"&gt;"&amp;$A106,実績!$AE$6:$AE$505,"○")&gt;0,1,0))</f>
        <v/>
      </c>
      <c r="DG106">
        <f>IF(DG$4=0,0,IF(COUNTIFS(実績!$W$6:$W$505,DG$3,実績!$AC$6:$AC$505,"&lt;="&amp;$A106,実績!$AD$6:$AD$505,"&gt;"&amp;$A106,実績!$AE$6:$AE$505,"○")&gt;0,1,0))</f>
        <v/>
      </c>
      <c r="DH106">
        <f>IF(DH$4=0,0,IF(COUNTIFS(実績!$W$6:$W$505,DH$3,実績!$AC$6:$AC$505,"&lt;="&amp;$A106,実績!$AD$6:$AD$505,"&gt;"&amp;$A106,実績!$AE$6:$AE$505,"○")&gt;0,1,0))</f>
        <v/>
      </c>
      <c r="DI106">
        <f>IF(DI$4=0,0,IF(COUNTIFS(実績!$W$6:$W$505,DI$3,実績!$AC$6:$AC$505,"&lt;="&amp;$A106,実績!$AD$6:$AD$505,"&gt;"&amp;$A106,実績!$AE$6:$AE$505,"○")&gt;0,1,0))</f>
        <v/>
      </c>
      <c r="DJ106">
        <f>IF(DJ$4=0,0,IF(COUNTIFS(実績!$W$6:$W$505,DJ$3,実績!$AC$6:$AC$505,"&lt;="&amp;$A106,実績!$AD$6:$AD$505,"&gt;"&amp;$A106,実績!$AE$6:$AE$505,"○")&gt;0,1,0))</f>
        <v/>
      </c>
      <c r="DK106">
        <f>IF(DK$4=0,0,IF(COUNTIFS(実績!$W$6:$W$505,DK$3,実績!$AC$6:$AC$505,"&lt;="&amp;$A106,実績!$AD$6:$AD$505,"&gt;"&amp;$A106,実績!$AE$6:$AE$505,"○")&gt;0,1,0))</f>
        <v/>
      </c>
      <c r="DL106">
        <f>IF(DL$4=0,0,IF(COUNTIFS(実績!$W$6:$W$505,DL$3,実績!$AC$6:$AC$505,"&lt;="&amp;$A106,実績!$AD$6:$AD$505,"&gt;"&amp;$A106,実績!$AE$6:$AE$505,"○")&gt;0,1,0))</f>
        <v/>
      </c>
      <c r="DM106">
        <f>IF(DM$4=0,0,IF(COUNTIFS(実績!$W$6:$W$505,DM$3,実績!$AC$6:$AC$505,"&lt;="&amp;$A106,実績!$AD$6:$AD$505,"&gt;"&amp;$A106,実績!$AE$6:$AE$505,"○")&gt;0,1,0))</f>
        <v/>
      </c>
      <c r="DN106">
        <f>IF(DN$4=0,0,IF(COUNTIFS(実績!$W$6:$W$505,DN$3,実績!$AC$6:$AC$505,"&lt;="&amp;$A106,実績!$AD$6:$AD$505,"&gt;"&amp;$A106,実績!$AE$6:$AE$505,"○")&gt;0,1,0))</f>
        <v/>
      </c>
      <c r="DO106">
        <f>IF(DO$4=0,0,IF(COUNTIFS(実績!$W$6:$W$505,DO$3,実績!$AC$6:$AC$505,"&lt;="&amp;$A106,実績!$AD$6:$AD$505,"&gt;"&amp;$A106,実績!$AE$6:$AE$505,"○")&gt;0,1,0))</f>
        <v/>
      </c>
      <c r="DP106">
        <f>IF(DP$4=0,0,IF(COUNTIFS(実績!$W$6:$W$505,DP$3,実績!$AC$6:$AC$505,"&lt;="&amp;$A106,実績!$AD$6:$AD$505,"&gt;"&amp;$A106,実績!$AE$6:$AE$505,"○")&gt;0,1,0))</f>
        <v/>
      </c>
      <c r="DQ106">
        <f>IF(DQ$4=0,0,IF(COUNTIFS(実績!$W$6:$W$505,DQ$3,実績!$AC$6:$AC$505,"&lt;="&amp;$A106,実績!$AD$6:$AD$505,"&gt;"&amp;$A106,実績!$AE$6:$AE$505,"○")&gt;0,1,0))</f>
        <v/>
      </c>
      <c r="DR106">
        <f>IF(DR$4=0,0,IF(COUNTIFS(実績!$W$6:$W$505,DR$3,実績!$AC$6:$AC$505,"&lt;="&amp;$A106,実績!$AD$6:$AD$505,"&gt;"&amp;$A106,実績!$AE$6:$AE$505,"○")&gt;0,1,0))</f>
        <v/>
      </c>
      <c r="DS106">
        <f>SUM(C106:DR106)</f>
        <v/>
      </c>
      <c r="DT106">
        <f>SUMPRODUCT((実績!$C$6:$C$505="○")*ISNUMBER(実績!$AF$6:$AF$505)*(実績!$AF$6:$AF$505&lt;=$A106)*(実績!$AG$6:$AG$505&gt;$A106))</f>
        <v/>
      </c>
      <c r="DU106">
        <f>SUMIF($C$2:$DR$2,"製鉄曳船",C106:DR106)</f>
        <v/>
      </c>
      <c r="DV106">
        <f>SUMIF($C$2:$DR$2,"西日本海運",C106:DR106)</f>
        <v/>
      </c>
    </row>
    <row r="107">
      <c r="A107" t="n">
        <v>505</v>
      </c>
      <c r="B107" s="29">
        <f>A107/1440</f>
        <v/>
      </c>
      <c r="C107">
        <f>IF(C$4=0,0,IF(COUNTIFS(実績!$W$6:$W$505,C$3,実績!$AC$6:$AC$505,"&lt;="&amp;$A107,実績!$AD$6:$AD$505,"&gt;"&amp;$A107,実績!$AE$6:$AE$505,"○")&gt;0,1,0))</f>
        <v/>
      </c>
      <c r="D107">
        <f>IF(D$4=0,0,IF(COUNTIFS(実績!$W$6:$W$505,D$3,実績!$AC$6:$AC$505,"&lt;="&amp;$A107,実績!$AD$6:$AD$505,"&gt;"&amp;$A107,実績!$AE$6:$AE$505,"○")&gt;0,1,0))</f>
        <v/>
      </c>
      <c r="E107">
        <f>IF(E$4=0,0,IF(COUNTIFS(実績!$W$6:$W$505,E$3,実績!$AC$6:$AC$505,"&lt;="&amp;$A107,実績!$AD$6:$AD$505,"&gt;"&amp;$A107,実績!$AE$6:$AE$505,"○")&gt;0,1,0))</f>
        <v/>
      </c>
      <c r="F107">
        <f>IF(F$4=0,0,IF(COUNTIFS(実績!$W$6:$W$505,F$3,実績!$AC$6:$AC$505,"&lt;="&amp;$A107,実績!$AD$6:$AD$505,"&gt;"&amp;$A107,実績!$AE$6:$AE$505,"○")&gt;0,1,0))</f>
        <v/>
      </c>
      <c r="G107">
        <f>IF(G$4=0,0,IF(COUNTIFS(実績!$W$6:$W$505,G$3,実績!$AC$6:$AC$505,"&lt;="&amp;$A107,実績!$AD$6:$AD$505,"&gt;"&amp;$A107,実績!$AE$6:$AE$505,"○")&gt;0,1,0))</f>
        <v/>
      </c>
      <c r="H107">
        <f>IF(H$4=0,0,IF(COUNTIFS(実績!$W$6:$W$505,H$3,実績!$AC$6:$AC$505,"&lt;="&amp;$A107,実績!$AD$6:$AD$505,"&gt;"&amp;$A107,実績!$AE$6:$AE$505,"○")&gt;0,1,0))</f>
        <v/>
      </c>
      <c r="I107">
        <f>IF(I$4=0,0,IF(COUNTIFS(実績!$W$6:$W$505,I$3,実績!$AC$6:$AC$505,"&lt;="&amp;$A107,実績!$AD$6:$AD$505,"&gt;"&amp;$A107,実績!$AE$6:$AE$505,"○")&gt;0,1,0))</f>
        <v/>
      </c>
      <c r="J107">
        <f>IF(J$4=0,0,IF(COUNTIFS(実績!$W$6:$W$505,J$3,実績!$AC$6:$AC$505,"&lt;="&amp;$A107,実績!$AD$6:$AD$505,"&gt;"&amp;$A107,実績!$AE$6:$AE$505,"○")&gt;0,1,0))</f>
        <v/>
      </c>
      <c r="K107">
        <f>IF(K$4=0,0,IF(COUNTIFS(実績!$W$6:$W$505,K$3,実績!$AC$6:$AC$505,"&lt;="&amp;$A107,実績!$AD$6:$AD$505,"&gt;"&amp;$A107,実績!$AE$6:$AE$505,"○")&gt;0,1,0))</f>
        <v/>
      </c>
      <c r="L107">
        <f>IF(L$4=0,0,IF(COUNTIFS(実績!$W$6:$W$505,L$3,実績!$AC$6:$AC$505,"&lt;="&amp;$A107,実績!$AD$6:$AD$505,"&gt;"&amp;$A107,実績!$AE$6:$AE$505,"○")&gt;0,1,0))</f>
        <v/>
      </c>
      <c r="M107">
        <f>IF(M$4=0,0,IF(COUNTIFS(実績!$W$6:$W$505,M$3,実績!$AC$6:$AC$505,"&lt;="&amp;$A107,実績!$AD$6:$AD$505,"&gt;"&amp;$A107,実績!$AE$6:$AE$505,"○")&gt;0,1,0))</f>
        <v/>
      </c>
      <c r="N107">
        <f>IF(N$4=0,0,IF(COUNTIFS(実績!$W$6:$W$505,N$3,実績!$AC$6:$AC$505,"&lt;="&amp;$A107,実績!$AD$6:$AD$505,"&gt;"&amp;$A107,実績!$AE$6:$AE$505,"○")&gt;0,1,0))</f>
        <v/>
      </c>
      <c r="O107">
        <f>IF(O$4=0,0,IF(COUNTIFS(実績!$W$6:$W$505,O$3,実績!$AC$6:$AC$505,"&lt;="&amp;$A107,実績!$AD$6:$AD$505,"&gt;"&amp;$A107,実績!$AE$6:$AE$505,"○")&gt;0,1,0))</f>
        <v/>
      </c>
      <c r="P107">
        <f>IF(P$4=0,0,IF(COUNTIFS(実績!$W$6:$W$505,P$3,実績!$AC$6:$AC$505,"&lt;="&amp;$A107,実績!$AD$6:$AD$505,"&gt;"&amp;$A107,実績!$AE$6:$AE$505,"○")&gt;0,1,0))</f>
        <v/>
      </c>
      <c r="Q107">
        <f>IF(Q$4=0,0,IF(COUNTIFS(実績!$W$6:$W$505,Q$3,実績!$AC$6:$AC$505,"&lt;="&amp;$A107,実績!$AD$6:$AD$505,"&gt;"&amp;$A107,実績!$AE$6:$AE$505,"○")&gt;0,1,0))</f>
        <v/>
      </c>
      <c r="R107">
        <f>IF(R$4=0,0,IF(COUNTIFS(実績!$W$6:$W$505,R$3,実績!$AC$6:$AC$505,"&lt;="&amp;$A107,実績!$AD$6:$AD$505,"&gt;"&amp;$A107,実績!$AE$6:$AE$505,"○")&gt;0,1,0))</f>
        <v/>
      </c>
      <c r="S107">
        <f>IF(S$4=0,0,IF(COUNTIFS(実績!$W$6:$W$505,S$3,実績!$AC$6:$AC$505,"&lt;="&amp;$A107,実績!$AD$6:$AD$505,"&gt;"&amp;$A107,実績!$AE$6:$AE$505,"○")&gt;0,1,0))</f>
        <v/>
      </c>
      <c r="T107">
        <f>IF(T$4=0,0,IF(COUNTIFS(実績!$W$6:$W$505,T$3,実績!$AC$6:$AC$505,"&lt;="&amp;$A107,実績!$AD$6:$AD$505,"&gt;"&amp;$A107,実績!$AE$6:$AE$505,"○")&gt;0,1,0))</f>
        <v/>
      </c>
      <c r="U107">
        <f>IF(U$4=0,0,IF(COUNTIFS(実績!$W$6:$W$505,U$3,実績!$AC$6:$AC$505,"&lt;="&amp;$A107,実績!$AD$6:$AD$505,"&gt;"&amp;$A107,実績!$AE$6:$AE$505,"○")&gt;0,1,0))</f>
        <v/>
      </c>
      <c r="V107">
        <f>IF(V$4=0,0,IF(COUNTIFS(実績!$W$6:$W$505,V$3,実績!$AC$6:$AC$505,"&lt;="&amp;$A107,実績!$AD$6:$AD$505,"&gt;"&amp;$A107,実績!$AE$6:$AE$505,"○")&gt;0,1,0))</f>
        <v/>
      </c>
      <c r="W107">
        <f>IF(W$4=0,0,IF(COUNTIFS(実績!$W$6:$W$505,W$3,実績!$AC$6:$AC$505,"&lt;="&amp;$A107,実績!$AD$6:$AD$505,"&gt;"&amp;$A107,実績!$AE$6:$AE$505,"○")&gt;0,1,0))</f>
        <v/>
      </c>
      <c r="X107">
        <f>IF(X$4=0,0,IF(COUNTIFS(実績!$W$6:$W$505,X$3,実績!$AC$6:$AC$505,"&lt;="&amp;$A107,実績!$AD$6:$AD$505,"&gt;"&amp;$A107,実績!$AE$6:$AE$505,"○")&gt;0,1,0))</f>
        <v/>
      </c>
      <c r="Y107">
        <f>IF(Y$4=0,0,IF(COUNTIFS(実績!$W$6:$W$505,Y$3,実績!$AC$6:$AC$505,"&lt;="&amp;$A107,実績!$AD$6:$AD$505,"&gt;"&amp;$A107,実績!$AE$6:$AE$505,"○")&gt;0,1,0))</f>
        <v/>
      </c>
      <c r="Z107">
        <f>IF(Z$4=0,0,IF(COUNTIFS(実績!$W$6:$W$505,Z$3,実績!$AC$6:$AC$505,"&lt;="&amp;$A107,実績!$AD$6:$AD$505,"&gt;"&amp;$A107,実績!$AE$6:$AE$505,"○")&gt;0,1,0))</f>
        <v/>
      </c>
      <c r="AA107">
        <f>IF(AA$4=0,0,IF(COUNTIFS(実績!$W$6:$W$505,AA$3,実績!$AC$6:$AC$505,"&lt;="&amp;$A107,実績!$AD$6:$AD$505,"&gt;"&amp;$A107,実績!$AE$6:$AE$505,"○")&gt;0,1,0))</f>
        <v/>
      </c>
      <c r="AB107">
        <f>IF(AB$4=0,0,IF(COUNTIFS(実績!$W$6:$W$505,AB$3,実績!$AC$6:$AC$505,"&lt;="&amp;$A107,実績!$AD$6:$AD$505,"&gt;"&amp;$A107,実績!$AE$6:$AE$505,"○")&gt;0,1,0))</f>
        <v/>
      </c>
      <c r="AC107">
        <f>IF(AC$4=0,0,IF(COUNTIFS(実績!$W$6:$W$505,AC$3,実績!$AC$6:$AC$505,"&lt;="&amp;$A107,実績!$AD$6:$AD$505,"&gt;"&amp;$A107,実績!$AE$6:$AE$505,"○")&gt;0,1,0))</f>
        <v/>
      </c>
      <c r="AD107">
        <f>IF(AD$4=0,0,IF(COUNTIFS(実績!$W$6:$W$505,AD$3,実績!$AC$6:$AC$505,"&lt;="&amp;$A107,実績!$AD$6:$AD$505,"&gt;"&amp;$A107,実績!$AE$6:$AE$505,"○")&gt;0,1,0))</f>
        <v/>
      </c>
      <c r="AE107">
        <f>IF(AE$4=0,0,IF(COUNTIFS(実績!$W$6:$W$505,AE$3,実績!$AC$6:$AC$505,"&lt;="&amp;$A107,実績!$AD$6:$AD$505,"&gt;"&amp;$A107,実績!$AE$6:$AE$505,"○")&gt;0,1,0))</f>
        <v/>
      </c>
      <c r="AF107">
        <f>IF(AF$4=0,0,IF(COUNTIFS(実績!$W$6:$W$505,AF$3,実績!$AC$6:$AC$505,"&lt;="&amp;$A107,実績!$AD$6:$AD$505,"&gt;"&amp;$A107,実績!$AE$6:$AE$505,"○")&gt;0,1,0))</f>
        <v/>
      </c>
      <c r="AG107">
        <f>IF(AG$4=0,0,IF(COUNTIFS(実績!$W$6:$W$505,AG$3,実績!$AC$6:$AC$505,"&lt;="&amp;$A107,実績!$AD$6:$AD$505,"&gt;"&amp;$A107,実績!$AE$6:$AE$505,"○")&gt;0,1,0))</f>
        <v/>
      </c>
      <c r="AH107">
        <f>IF(AH$4=0,0,IF(COUNTIFS(実績!$W$6:$W$505,AH$3,実績!$AC$6:$AC$505,"&lt;="&amp;$A107,実績!$AD$6:$AD$505,"&gt;"&amp;$A107,実績!$AE$6:$AE$505,"○")&gt;0,1,0))</f>
        <v/>
      </c>
      <c r="AI107">
        <f>IF(AI$4=0,0,IF(COUNTIFS(実績!$W$6:$W$505,AI$3,実績!$AC$6:$AC$505,"&lt;="&amp;$A107,実績!$AD$6:$AD$505,"&gt;"&amp;$A107,実績!$AE$6:$AE$505,"○")&gt;0,1,0))</f>
        <v/>
      </c>
      <c r="AJ107">
        <f>IF(AJ$4=0,0,IF(COUNTIFS(実績!$W$6:$W$505,AJ$3,実績!$AC$6:$AC$505,"&lt;="&amp;$A107,実績!$AD$6:$AD$505,"&gt;"&amp;$A107,実績!$AE$6:$AE$505,"○")&gt;0,1,0))</f>
        <v/>
      </c>
      <c r="AK107">
        <f>IF(AK$4=0,0,IF(COUNTIFS(実績!$W$6:$W$505,AK$3,実績!$AC$6:$AC$505,"&lt;="&amp;$A107,実績!$AD$6:$AD$505,"&gt;"&amp;$A107,実績!$AE$6:$AE$505,"○")&gt;0,1,0))</f>
        <v/>
      </c>
      <c r="AL107">
        <f>IF(AL$4=0,0,IF(COUNTIFS(実績!$W$6:$W$505,AL$3,実績!$AC$6:$AC$505,"&lt;="&amp;$A107,実績!$AD$6:$AD$505,"&gt;"&amp;$A107,実績!$AE$6:$AE$505,"○")&gt;0,1,0))</f>
        <v/>
      </c>
      <c r="AM107">
        <f>IF(AM$4=0,0,IF(COUNTIFS(実績!$W$6:$W$505,AM$3,実績!$AC$6:$AC$505,"&lt;="&amp;$A107,実績!$AD$6:$AD$505,"&gt;"&amp;$A107,実績!$AE$6:$AE$505,"○")&gt;0,1,0))</f>
        <v/>
      </c>
      <c r="AN107">
        <f>IF(AN$4=0,0,IF(COUNTIFS(実績!$W$6:$W$505,AN$3,実績!$AC$6:$AC$505,"&lt;="&amp;$A107,実績!$AD$6:$AD$505,"&gt;"&amp;$A107,実績!$AE$6:$AE$505,"○")&gt;0,1,0))</f>
        <v/>
      </c>
      <c r="AO107">
        <f>IF(AO$4=0,0,IF(COUNTIFS(実績!$W$6:$W$505,AO$3,実績!$AC$6:$AC$505,"&lt;="&amp;$A107,実績!$AD$6:$AD$505,"&gt;"&amp;$A107,実績!$AE$6:$AE$505,"○")&gt;0,1,0))</f>
        <v/>
      </c>
      <c r="AP107">
        <f>IF(AP$4=0,0,IF(COUNTIFS(実績!$W$6:$W$505,AP$3,実績!$AC$6:$AC$505,"&lt;="&amp;$A107,実績!$AD$6:$AD$505,"&gt;"&amp;$A107,実績!$AE$6:$AE$505,"○")&gt;0,1,0))</f>
        <v/>
      </c>
      <c r="AQ107">
        <f>IF(AQ$4=0,0,IF(COUNTIFS(実績!$W$6:$W$505,AQ$3,実績!$AC$6:$AC$505,"&lt;="&amp;$A107,実績!$AD$6:$AD$505,"&gt;"&amp;$A107,実績!$AE$6:$AE$505,"○")&gt;0,1,0))</f>
        <v/>
      </c>
      <c r="AR107">
        <f>IF(AR$4=0,0,IF(COUNTIFS(実績!$W$6:$W$505,AR$3,実績!$AC$6:$AC$505,"&lt;="&amp;$A107,実績!$AD$6:$AD$505,"&gt;"&amp;$A107,実績!$AE$6:$AE$505,"○")&gt;0,1,0))</f>
        <v/>
      </c>
      <c r="AS107">
        <f>IF(AS$4=0,0,IF(COUNTIFS(実績!$W$6:$W$505,AS$3,実績!$AC$6:$AC$505,"&lt;="&amp;$A107,実績!$AD$6:$AD$505,"&gt;"&amp;$A107,実績!$AE$6:$AE$505,"○")&gt;0,1,0))</f>
        <v/>
      </c>
      <c r="AT107">
        <f>IF(AT$4=0,0,IF(COUNTIFS(実績!$W$6:$W$505,AT$3,実績!$AC$6:$AC$505,"&lt;="&amp;$A107,実績!$AD$6:$AD$505,"&gt;"&amp;$A107,実績!$AE$6:$AE$505,"○")&gt;0,1,0))</f>
        <v/>
      </c>
      <c r="AU107">
        <f>IF(AU$4=0,0,IF(COUNTIFS(実績!$W$6:$W$505,AU$3,実績!$AC$6:$AC$505,"&lt;="&amp;$A107,実績!$AD$6:$AD$505,"&gt;"&amp;$A107,実績!$AE$6:$AE$505,"○")&gt;0,1,0))</f>
        <v/>
      </c>
      <c r="AV107">
        <f>IF(AV$4=0,0,IF(COUNTIFS(実績!$W$6:$W$505,AV$3,実績!$AC$6:$AC$505,"&lt;="&amp;$A107,実績!$AD$6:$AD$505,"&gt;"&amp;$A107,実績!$AE$6:$AE$505,"○")&gt;0,1,0))</f>
        <v/>
      </c>
      <c r="AW107">
        <f>IF(AW$4=0,0,IF(COUNTIFS(実績!$W$6:$W$505,AW$3,実績!$AC$6:$AC$505,"&lt;="&amp;$A107,実績!$AD$6:$AD$505,"&gt;"&amp;$A107,実績!$AE$6:$AE$505,"○")&gt;0,1,0))</f>
        <v/>
      </c>
      <c r="AX107">
        <f>IF(AX$4=0,0,IF(COUNTIFS(実績!$W$6:$W$505,AX$3,実績!$AC$6:$AC$505,"&lt;="&amp;$A107,実績!$AD$6:$AD$505,"&gt;"&amp;$A107,実績!$AE$6:$AE$505,"○")&gt;0,1,0))</f>
        <v/>
      </c>
      <c r="AY107">
        <f>IF(AY$4=0,0,IF(COUNTIFS(実績!$W$6:$W$505,AY$3,実績!$AC$6:$AC$505,"&lt;="&amp;$A107,実績!$AD$6:$AD$505,"&gt;"&amp;$A107,実績!$AE$6:$AE$505,"○")&gt;0,1,0))</f>
        <v/>
      </c>
      <c r="AZ107">
        <f>IF(AZ$4=0,0,IF(COUNTIFS(実績!$W$6:$W$505,AZ$3,実績!$AC$6:$AC$505,"&lt;="&amp;$A107,実績!$AD$6:$AD$505,"&gt;"&amp;$A107,実績!$AE$6:$AE$505,"○")&gt;0,1,0))</f>
        <v/>
      </c>
      <c r="BA107">
        <f>IF(BA$4=0,0,IF(COUNTIFS(実績!$W$6:$W$505,BA$3,実績!$AC$6:$AC$505,"&lt;="&amp;$A107,実績!$AD$6:$AD$505,"&gt;"&amp;$A107,実績!$AE$6:$AE$505,"○")&gt;0,1,0))</f>
        <v/>
      </c>
      <c r="BB107">
        <f>IF(BB$4=0,0,IF(COUNTIFS(実績!$W$6:$W$505,BB$3,実績!$AC$6:$AC$505,"&lt;="&amp;$A107,実績!$AD$6:$AD$505,"&gt;"&amp;$A107,実績!$AE$6:$AE$505,"○")&gt;0,1,0))</f>
        <v/>
      </c>
      <c r="BC107">
        <f>IF(BC$4=0,0,IF(COUNTIFS(実績!$W$6:$W$505,BC$3,実績!$AC$6:$AC$505,"&lt;="&amp;$A107,実績!$AD$6:$AD$505,"&gt;"&amp;$A107,実績!$AE$6:$AE$505,"○")&gt;0,1,0))</f>
        <v/>
      </c>
      <c r="BD107">
        <f>IF(BD$4=0,0,IF(COUNTIFS(実績!$W$6:$W$505,BD$3,実績!$AC$6:$AC$505,"&lt;="&amp;$A107,実績!$AD$6:$AD$505,"&gt;"&amp;$A107,実績!$AE$6:$AE$505,"○")&gt;0,1,0))</f>
        <v/>
      </c>
      <c r="BE107">
        <f>IF(BE$4=0,0,IF(COUNTIFS(実績!$W$6:$W$505,BE$3,実績!$AC$6:$AC$505,"&lt;="&amp;$A107,実績!$AD$6:$AD$505,"&gt;"&amp;$A107,実績!$AE$6:$AE$505,"○")&gt;0,1,0))</f>
        <v/>
      </c>
      <c r="BF107">
        <f>IF(BF$4=0,0,IF(COUNTIFS(実績!$W$6:$W$505,BF$3,実績!$AC$6:$AC$505,"&lt;="&amp;$A107,実績!$AD$6:$AD$505,"&gt;"&amp;$A107,実績!$AE$6:$AE$505,"○")&gt;0,1,0))</f>
        <v/>
      </c>
      <c r="BG107">
        <f>IF(BG$4=0,0,IF(COUNTIFS(実績!$W$6:$W$505,BG$3,実績!$AC$6:$AC$505,"&lt;="&amp;$A107,実績!$AD$6:$AD$505,"&gt;"&amp;$A107,実績!$AE$6:$AE$505,"○")&gt;0,1,0))</f>
        <v/>
      </c>
      <c r="BH107">
        <f>IF(BH$4=0,0,IF(COUNTIFS(実績!$W$6:$W$505,BH$3,実績!$AC$6:$AC$505,"&lt;="&amp;$A107,実績!$AD$6:$AD$505,"&gt;"&amp;$A107,実績!$AE$6:$AE$505,"○")&gt;0,1,0))</f>
        <v/>
      </c>
      <c r="BI107">
        <f>IF(BI$4=0,0,IF(COUNTIFS(実績!$W$6:$W$505,BI$3,実績!$AC$6:$AC$505,"&lt;="&amp;$A107,実績!$AD$6:$AD$505,"&gt;"&amp;$A107,実績!$AE$6:$AE$505,"○")&gt;0,1,0))</f>
        <v/>
      </c>
      <c r="BJ107">
        <f>IF(BJ$4=0,0,IF(COUNTIFS(実績!$W$6:$W$505,BJ$3,実績!$AC$6:$AC$505,"&lt;="&amp;$A107,実績!$AD$6:$AD$505,"&gt;"&amp;$A107,実績!$AE$6:$AE$505,"○")&gt;0,1,0))</f>
        <v/>
      </c>
      <c r="BK107">
        <f>IF(BK$4=0,0,IF(COUNTIFS(実績!$W$6:$W$505,BK$3,実績!$AC$6:$AC$505,"&lt;="&amp;$A107,実績!$AD$6:$AD$505,"&gt;"&amp;$A107,実績!$AE$6:$AE$505,"○")&gt;0,1,0))</f>
        <v/>
      </c>
      <c r="BL107">
        <f>IF(BL$4=0,0,IF(COUNTIFS(実績!$W$6:$W$505,BL$3,実績!$AC$6:$AC$505,"&lt;="&amp;$A107,実績!$AD$6:$AD$505,"&gt;"&amp;$A107,実績!$AE$6:$AE$505,"○")&gt;0,1,0))</f>
        <v/>
      </c>
      <c r="BM107">
        <f>IF(BM$4=0,0,IF(COUNTIFS(実績!$W$6:$W$505,BM$3,実績!$AC$6:$AC$505,"&lt;="&amp;$A107,実績!$AD$6:$AD$505,"&gt;"&amp;$A107,実績!$AE$6:$AE$505,"○")&gt;0,1,0))</f>
        <v/>
      </c>
      <c r="BN107">
        <f>IF(BN$4=0,0,IF(COUNTIFS(実績!$W$6:$W$505,BN$3,実績!$AC$6:$AC$505,"&lt;="&amp;$A107,実績!$AD$6:$AD$505,"&gt;"&amp;$A107,実績!$AE$6:$AE$505,"○")&gt;0,1,0))</f>
        <v/>
      </c>
      <c r="BO107">
        <f>IF(BO$4=0,0,IF(COUNTIFS(実績!$W$6:$W$505,BO$3,実績!$AC$6:$AC$505,"&lt;="&amp;$A107,実績!$AD$6:$AD$505,"&gt;"&amp;$A107,実績!$AE$6:$AE$505,"○")&gt;0,1,0))</f>
        <v/>
      </c>
      <c r="BP107">
        <f>IF(BP$4=0,0,IF(COUNTIFS(実績!$W$6:$W$505,BP$3,実績!$AC$6:$AC$505,"&lt;="&amp;$A107,実績!$AD$6:$AD$505,"&gt;"&amp;$A107,実績!$AE$6:$AE$505,"○")&gt;0,1,0))</f>
        <v/>
      </c>
      <c r="BQ107">
        <f>IF(BQ$4=0,0,IF(COUNTIFS(実績!$W$6:$W$505,BQ$3,実績!$AC$6:$AC$505,"&lt;="&amp;$A107,実績!$AD$6:$AD$505,"&gt;"&amp;$A107,実績!$AE$6:$AE$505,"○")&gt;0,1,0))</f>
        <v/>
      </c>
      <c r="BR107">
        <f>IF(BR$4=0,0,IF(COUNTIFS(実績!$W$6:$W$505,BR$3,実績!$AC$6:$AC$505,"&lt;="&amp;$A107,実績!$AD$6:$AD$505,"&gt;"&amp;$A107,実績!$AE$6:$AE$505,"○")&gt;0,1,0))</f>
        <v/>
      </c>
      <c r="BS107">
        <f>IF(BS$4=0,0,IF(COUNTIFS(実績!$W$6:$W$505,BS$3,実績!$AC$6:$AC$505,"&lt;="&amp;$A107,実績!$AD$6:$AD$505,"&gt;"&amp;$A107,実績!$AE$6:$AE$505,"○")&gt;0,1,0))</f>
        <v/>
      </c>
      <c r="BT107">
        <f>IF(BT$4=0,0,IF(COUNTIFS(実績!$W$6:$W$505,BT$3,実績!$AC$6:$AC$505,"&lt;="&amp;$A107,実績!$AD$6:$AD$505,"&gt;"&amp;$A107,実績!$AE$6:$AE$505,"○")&gt;0,1,0))</f>
        <v/>
      </c>
      <c r="BU107">
        <f>IF(BU$4=0,0,IF(COUNTIFS(実績!$W$6:$W$505,BU$3,実績!$AC$6:$AC$505,"&lt;="&amp;$A107,実績!$AD$6:$AD$505,"&gt;"&amp;$A107,実績!$AE$6:$AE$505,"○")&gt;0,1,0))</f>
        <v/>
      </c>
      <c r="BV107">
        <f>IF(BV$4=0,0,IF(COUNTIFS(実績!$W$6:$W$505,BV$3,実績!$AC$6:$AC$505,"&lt;="&amp;$A107,実績!$AD$6:$AD$505,"&gt;"&amp;$A107,実績!$AE$6:$AE$505,"○")&gt;0,1,0))</f>
        <v/>
      </c>
      <c r="BW107">
        <f>IF(BW$4=0,0,IF(COUNTIFS(実績!$W$6:$W$505,BW$3,実績!$AC$6:$AC$505,"&lt;="&amp;$A107,実績!$AD$6:$AD$505,"&gt;"&amp;$A107,実績!$AE$6:$AE$505,"○")&gt;0,1,0))</f>
        <v/>
      </c>
      <c r="BX107">
        <f>IF(BX$4=0,0,IF(COUNTIFS(実績!$W$6:$W$505,BX$3,実績!$AC$6:$AC$505,"&lt;="&amp;$A107,実績!$AD$6:$AD$505,"&gt;"&amp;$A107,実績!$AE$6:$AE$505,"○")&gt;0,1,0))</f>
        <v/>
      </c>
      <c r="BY107">
        <f>IF(BY$4=0,0,IF(COUNTIFS(実績!$W$6:$W$505,BY$3,実績!$AC$6:$AC$505,"&lt;="&amp;$A107,実績!$AD$6:$AD$505,"&gt;"&amp;$A107,実績!$AE$6:$AE$505,"○")&gt;0,1,0))</f>
        <v/>
      </c>
      <c r="BZ107">
        <f>IF(BZ$4=0,0,IF(COUNTIFS(実績!$W$6:$W$505,BZ$3,実績!$AC$6:$AC$505,"&lt;="&amp;$A107,実績!$AD$6:$AD$505,"&gt;"&amp;$A107,実績!$AE$6:$AE$505,"○")&gt;0,1,0))</f>
        <v/>
      </c>
      <c r="CA107">
        <f>IF(CA$4=0,0,IF(COUNTIFS(実績!$W$6:$W$505,CA$3,実績!$AC$6:$AC$505,"&lt;="&amp;$A107,実績!$AD$6:$AD$505,"&gt;"&amp;$A107,実績!$AE$6:$AE$505,"○")&gt;0,1,0))</f>
        <v/>
      </c>
      <c r="CB107">
        <f>IF(CB$4=0,0,IF(COUNTIFS(実績!$W$6:$W$505,CB$3,実績!$AC$6:$AC$505,"&lt;="&amp;$A107,実績!$AD$6:$AD$505,"&gt;"&amp;$A107,実績!$AE$6:$AE$505,"○")&gt;0,1,0))</f>
        <v/>
      </c>
      <c r="CC107">
        <f>IF(CC$4=0,0,IF(COUNTIFS(実績!$W$6:$W$505,CC$3,実績!$AC$6:$AC$505,"&lt;="&amp;$A107,実績!$AD$6:$AD$505,"&gt;"&amp;$A107,実績!$AE$6:$AE$505,"○")&gt;0,1,0))</f>
        <v/>
      </c>
      <c r="CD107">
        <f>IF(CD$4=0,0,IF(COUNTIFS(実績!$W$6:$W$505,CD$3,実績!$AC$6:$AC$505,"&lt;="&amp;$A107,実績!$AD$6:$AD$505,"&gt;"&amp;$A107,実績!$AE$6:$AE$505,"○")&gt;0,1,0))</f>
        <v/>
      </c>
      <c r="CE107">
        <f>IF(CE$4=0,0,IF(COUNTIFS(実績!$W$6:$W$505,CE$3,実績!$AC$6:$AC$505,"&lt;="&amp;$A107,実績!$AD$6:$AD$505,"&gt;"&amp;$A107,実績!$AE$6:$AE$505,"○")&gt;0,1,0))</f>
        <v/>
      </c>
      <c r="CF107">
        <f>IF(CF$4=0,0,IF(COUNTIFS(実績!$W$6:$W$505,CF$3,実績!$AC$6:$AC$505,"&lt;="&amp;$A107,実績!$AD$6:$AD$505,"&gt;"&amp;$A107,実績!$AE$6:$AE$505,"○")&gt;0,1,0))</f>
        <v/>
      </c>
      <c r="CG107">
        <f>IF(CG$4=0,0,IF(COUNTIFS(実績!$W$6:$W$505,CG$3,実績!$AC$6:$AC$505,"&lt;="&amp;$A107,実績!$AD$6:$AD$505,"&gt;"&amp;$A107,実績!$AE$6:$AE$505,"○")&gt;0,1,0))</f>
        <v/>
      </c>
      <c r="CH107">
        <f>IF(CH$4=0,0,IF(COUNTIFS(実績!$W$6:$W$505,CH$3,実績!$AC$6:$AC$505,"&lt;="&amp;$A107,実績!$AD$6:$AD$505,"&gt;"&amp;$A107,実績!$AE$6:$AE$505,"○")&gt;0,1,0))</f>
        <v/>
      </c>
      <c r="CI107">
        <f>IF(CI$4=0,0,IF(COUNTIFS(実績!$W$6:$W$505,CI$3,実績!$AC$6:$AC$505,"&lt;="&amp;$A107,実績!$AD$6:$AD$505,"&gt;"&amp;$A107,実績!$AE$6:$AE$505,"○")&gt;0,1,0))</f>
        <v/>
      </c>
      <c r="CJ107">
        <f>IF(CJ$4=0,0,IF(COUNTIFS(実績!$W$6:$W$505,CJ$3,実績!$AC$6:$AC$505,"&lt;="&amp;$A107,実績!$AD$6:$AD$505,"&gt;"&amp;$A107,実績!$AE$6:$AE$505,"○")&gt;0,1,0))</f>
        <v/>
      </c>
      <c r="CK107">
        <f>IF(CK$4=0,0,IF(COUNTIFS(実績!$W$6:$W$505,CK$3,実績!$AC$6:$AC$505,"&lt;="&amp;$A107,実績!$AD$6:$AD$505,"&gt;"&amp;$A107,実績!$AE$6:$AE$505,"○")&gt;0,1,0))</f>
        <v/>
      </c>
      <c r="CL107">
        <f>IF(CL$4=0,0,IF(COUNTIFS(実績!$W$6:$W$505,CL$3,実績!$AC$6:$AC$505,"&lt;="&amp;$A107,実績!$AD$6:$AD$505,"&gt;"&amp;$A107,実績!$AE$6:$AE$505,"○")&gt;0,1,0))</f>
        <v/>
      </c>
      <c r="CM107">
        <f>IF(CM$4=0,0,IF(COUNTIFS(実績!$W$6:$W$505,CM$3,実績!$AC$6:$AC$505,"&lt;="&amp;$A107,実績!$AD$6:$AD$505,"&gt;"&amp;$A107,実績!$AE$6:$AE$505,"○")&gt;0,1,0))</f>
        <v/>
      </c>
      <c r="CN107">
        <f>IF(CN$4=0,0,IF(COUNTIFS(実績!$W$6:$W$505,CN$3,実績!$AC$6:$AC$505,"&lt;="&amp;$A107,実績!$AD$6:$AD$505,"&gt;"&amp;$A107,実績!$AE$6:$AE$505,"○")&gt;0,1,0))</f>
        <v/>
      </c>
      <c r="CO107">
        <f>IF(CO$4=0,0,IF(COUNTIFS(実績!$W$6:$W$505,CO$3,実績!$AC$6:$AC$505,"&lt;="&amp;$A107,実績!$AD$6:$AD$505,"&gt;"&amp;$A107,実績!$AE$6:$AE$505,"○")&gt;0,1,0))</f>
        <v/>
      </c>
      <c r="CP107">
        <f>IF(CP$4=0,0,IF(COUNTIFS(実績!$W$6:$W$505,CP$3,実績!$AC$6:$AC$505,"&lt;="&amp;$A107,実績!$AD$6:$AD$505,"&gt;"&amp;$A107,実績!$AE$6:$AE$505,"○")&gt;0,1,0))</f>
        <v/>
      </c>
      <c r="CQ107">
        <f>IF(CQ$4=0,0,IF(COUNTIFS(実績!$W$6:$W$505,CQ$3,実績!$AC$6:$AC$505,"&lt;="&amp;$A107,実績!$AD$6:$AD$505,"&gt;"&amp;$A107,実績!$AE$6:$AE$505,"○")&gt;0,1,0))</f>
        <v/>
      </c>
      <c r="CR107">
        <f>IF(CR$4=0,0,IF(COUNTIFS(実績!$W$6:$W$505,CR$3,実績!$AC$6:$AC$505,"&lt;="&amp;$A107,実績!$AD$6:$AD$505,"&gt;"&amp;$A107,実績!$AE$6:$AE$505,"○")&gt;0,1,0))</f>
        <v/>
      </c>
      <c r="CS107">
        <f>IF(CS$4=0,0,IF(COUNTIFS(実績!$W$6:$W$505,CS$3,実績!$AC$6:$AC$505,"&lt;="&amp;$A107,実績!$AD$6:$AD$505,"&gt;"&amp;$A107,実績!$AE$6:$AE$505,"○")&gt;0,1,0))</f>
        <v/>
      </c>
      <c r="CT107">
        <f>IF(CT$4=0,0,IF(COUNTIFS(実績!$W$6:$W$505,CT$3,実績!$AC$6:$AC$505,"&lt;="&amp;$A107,実績!$AD$6:$AD$505,"&gt;"&amp;$A107,実績!$AE$6:$AE$505,"○")&gt;0,1,0))</f>
        <v/>
      </c>
      <c r="CU107">
        <f>IF(CU$4=0,0,IF(COUNTIFS(実績!$W$6:$W$505,CU$3,実績!$AC$6:$AC$505,"&lt;="&amp;$A107,実績!$AD$6:$AD$505,"&gt;"&amp;$A107,実績!$AE$6:$AE$505,"○")&gt;0,1,0))</f>
        <v/>
      </c>
      <c r="CV107">
        <f>IF(CV$4=0,0,IF(COUNTIFS(実績!$W$6:$W$505,CV$3,実績!$AC$6:$AC$505,"&lt;="&amp;$A107,実績!$AD$6:$AD$505,"&gt;"&amp;$A107,実績!$AE$6:$AE$505,"○")&gt;0,1,0))</f>
        <v/>
      </c>
      <c r="CW107">
        <f>IF(CW$4=0,0,IF(COUNTIFS(実績!$W$6:$W$505,CW$3,実績!$AC$6:$AC$505,"&lt;="&amp;$A107,実績!$AD$6:$AD$505,"&gt;"&amp;$A107,実績!$AE$6:$AE$505,"○")&gt;0,1,0))</f>
        <v/>
      </c>
      <c r="CX107">
        <f>IF(CX$4=0,0,IF(COUNTIFS(実績!$W$6:$W$505,CX$3,実績!$AC$6:$AC$505,"&lt;="&amp;$A107,実績!$AD$6:$AD$505,"&gt;"&amp;$A107,実績!$AE$6:$AE$505,"○")&gt;0,1,0))</f>
        <v/>
      </c>
      <c r="CY107">
        <f>IF(CY$4=0,0,IF(COUNTIFS(実績!$W$6:$W$505,CY$3,実績!$AC$6:$AC$505,"&lt;="&amp;$A107,実績!$AD$6:$AD$505,"&gt;"&amp;$A107,実績!$AE$6:$AE$505,"○")&gt;0,1,0))</f>
        <v/>
      </c>
      <c r="CZ107">
        <f>IF(CZ$4=0,0,IF(COUNTIFS(実績!$W$6:$W$505,CZ$3,実績!$AC$6:$AC$505,"&lt;="&amp;$A107,実績!$AD$6:$AD$505,"&gt;"&amp;$A107,実績!$AE$6:$AE$505,"○")&gt;0,1,0))</f>
        <v/>
      </c>
      <c r="DA107">
        <f>IF(DA$4=0,0,IF(COUNTIFS(実績!$W$6:$W$505,DA$3,実績!$AC$6:$AC$505,"&lt;="&amp;$A107,実績!$AD$6:$AD$505,"&gt;"&amp;$A107,実績!$AE$6:$AE$505,"○")&gt;0,1,0))</f>
        <v/>
      </c>
      <c r="DB107">
        <f>IF(DB$4=0,0,IF(COUNTIFS(実績!$W$6:$W$505,DB$3,実績!$AC$6:$AC$505,"&lt;="&amp;$A107,実績!$AD$6:$AD$505,"&gt;"&amp;$A107,実績!$AE$6:$AE$505,"○")&gt;0,1,0))</f>
        <v/>
      </c>
      <c r="DC107">
        <f>IF(DC$4=0,0,IF(COUNTIFS(実績!$W$6:$W$505,DC$3,実績!$AC$6:$AC$505,"&lt;="&amp;$A107,実績!$AD$6:$AD$505,"&gt;"&amp;$A107,実績!$AE$6:$AE$505,"○")&gt;0,1,0))</f>
        <v/>
      </c>
      <c r="DD107">
        <f>IF(DD$4=0,0,IF(COUNTIFS(実績!$W$6:$W$505,DD$3,実績!$AC$6:$AC$505,"&lt;="&amp;$A107,実績!$AD$6:$AD$505,"&gt;"&amp;$A107,実績!$AE$6:$AE$505,"○")&gt;0,1,0))</f>
        <v/>
      </c>
      <c r="DE107">
        <f>IF(DE$4=0,0,IF(COUNTIFS(実績!$W$6:$W$505,DE$3,実績!$AC$6:$AC$505,"&lt;="&amp;$A107,実績!$AD$6:$AD$505,"&gt;"&amp;$A107,実績!$AE$6:$AE$505,"○")&gt;0,1,0))</f>
        <v/>
      </c>
      <c r="DF107">
        <f>IF(DF$4=0,0,IF(COUNTIFS(実績!$W$6:$W$505,DF$3,実績!$AC$6:$AC$505,"&lt;="&amp;$A107,実績!$AD$6:$AD$505,"&gt;"&amp;$A107,実績!$AE$6:$AE$505,"○")&gt;0,1,0))</f>
        <v/>
      </c>
      <c r="DG107">
        <f>IF(DG$4=0,0,IF(COUNTIFS(実績!$W$6:$W$505,DG$3,実績!$AC$6:$AC$505,"&lt;="&amp;$A107,実績!$AD$6:$AD$505,"&gt;"&amp;$A107,実績!$AE$6:$AE$505,"○")&gt;0,1,0))</f>
        <v/>
      </c>
      <c r="DH107">
        <f>IF(DH$4=0,0,IF(COUNTIFS(実績!$W$6:$W$505,DH$3,実績!$AC$6:$AC$505,"&lt;="&amp;$A107,実績!$AD$6:$AD$505,"&gt;"&amp;$A107,実績!$AE$6:$AE$505,"○")&gt;0,1,0))</f>
        <v/>
      </c>
      <c r="DI107">
        <f>IF(DI$4=0,0,IF(COUNTIFS(実績!$W$6:$W$505,DI$3,実績!$AC$6:$AC$505,"&lt;="&amp;$A107,実績!$AD$6:$AD$505,"&gt;"&amp;$A107,実績!$AE$6:$AE$505,"○")&gt;0,1,0))</f>
        <v/>
      </c>
      <c r="DJ107">
        <f>IF(DJ$4=0,0,IF(COUNTIFS(実績!$W$6:$W$505,DJ$3,実績!$AC$6:$AC$505,"&lt;="&amp;$A107,実績!$AD$6:$AD$505,"&gt;"&amp;$A107,実績!$AE$6:$AE$505,"○")&gt;0,1,0))</f>
        <v/>
      </c>
      <c r="DK107">
        <f>IF(DK$4=0,0,IF(COUNTIFS(実績!$W$6:$W$505,DK$3,実績!$AC$6:$AC$505,"&lt;="&amp;$A107,実績!$AD$6:$AD$505,"&gt;"&amp;$A107,実績!$AE$6:$AE$505,"○")&gt;0,1,0))</f>
        <v/>
      </c>
      <c r="DL107">
        <f>IF(DL$4=0,0,IF(COUNTIFS(実績!$W$6:$W$505,DL$3,実績!$AC$6:$AC$505,"&lt;="&amp;$A107,実績!$AD$6:$AD$505,"&gt;"&amp;$A107,実績!$AE$6:$AE$505,"○")&gt;0,1,0))</f>
        <v/>
      </c>
      <c r="DM107">
        <f>IF(DM$4=0,0,IF(COUNTIFS(実績!$W$6:$W$505,DM$3,実績!$AC$6:$AC$505,"&lt;="&amp;$A107,実績!$AD$6:$AD$505,"&gt;"&amp;$A107,実績!$AE$6:$AE$505,"○")&gt;0,1,0))</f>
        <v/>
      </c>
      <c r="DN107">
        <f>IF(DN$4=0,0,IF(COUNTIFS(実績!$W$6:$W$505,DN$3,実績!$AC$6:$AC$505,"&lt;="&amp;$A107,実績!$AD$6:$AD$505,"&gt;"&amp;$A107,実績!$AE$6:$AE$505,"○")&gt;0,1,0))</f>
        <v/>
      </c>
      <c r="DO107">
        <f>IF(DO$4=0,0,IF(COUNTIFS(実績!$W$6:$W$505,DO$3,実績!$AC$6:$AC$505,"&lt;="&amp;$A107,実績!$AD$6:$AD$505,"&gt;"&amp;$A107,実績!$AE$6:$AE$505,"○")&gt;0,1,0))</f>
        <v/>
      </c>
      <c r="DP107">
        <f>IF(DP$4=0,0,IF(COUNTIFS(実績!$W$6:$W$505,DP$3,実績!$AC$6:$AC$505,"&lt;="&amp;$A107,実績!$AD$6:$AD$505,"&gt;"&amp;$A107,実績!$AE$6:$AE$505,"○")&gt;0,1,0))</f>
        <v/>
      </c>
      <c r="DQ107">
        <f>IF(DQ$4=0,0,IF(COUNTIFS(実績!$W$6:$W$505,DQ$3,実績!$AC$6:$AC$505,"&lt;="&amp;$A107,実績!$AD$6:$AD$505,"&gt;"&amp;$A107,実績!$AE$6:$AE$505,"○")&gt;0,1,0))</f>
        <v/>
      </c>
      <c r="DR107">
        <f>IF(DR$4=0,0,IF(COUNTIFS(実績!$W$6:$W$505,DR$3,実績!$AC$6:$AC$505,"&lt;="&amp;$A107,実績!$AD$6:$AD$505,"&gt;"&amp;$A107,実績!$AE$6:$AE$505,"○")&gt;0,1,0))</f>
        <v/>
      </c>
      <c r="DS107">
        <f>SUM(C107:DR107)</f>
        <v/>
      </c>
      <c r="DT107">
        <f>SUMPRODUCT((実績!$C$6:$C$505="○")*ISNUMBER(実績!$AF$6:$AF$505)*(実績!$AF$6:$AF$505&lt;=$A107)*(実績!$AG$6:$AG$505&gt;$A107))</f>
        <v/>
      </c>
      <c r="DU107">
        <f>SUMIF($C$2:$DR$2,"製鉄曳船",C107:DR107)</f>
        <v/>
      </c>
      <c r="DV107">
        <f>SUMIF($C$2:$DR$2,"西日本海運",C107:DR107)</f>
        <v/>
      </c>
    </row>
    <row r="108">
      <c r="A108" t="n">
        <v>510</v>
      </c>
      <c r="B108" s="29">
        <f>A108/1440</f>
        <v/>
      </c>
      <c r="C108">
        <f>IF(C$4=0,0,IF(COUNTIFS(実績!$W$6:$W$505,C$3,実績!$AC$6:$AC$505,"&lt;="&amp;$A108,実績!$AD$6:$AD$505,"&gt;"&amp;$A108,実績!$AE$6:$AE$505,"○")&gt;0,1,0))</f>
        <v/>
      </c>
      <c r="D108">
        <f>IF(D$4=0,0,IF(COUNTIFS(実績!$W$6:$W$505,D$3,実績!$AC$6:$AC$505,"&lt;="&amp;$A108,実績!$AD$6:$AD$505,"&gt;"&amp;$A108,実績!$AE$6:$AE$505,"○")&gt;0,1,0))</f>
        <v/>
      </c>
      <c r="E108">
        <f>IF(E$4=0,0,IF(COUNTIFS(実績!$W$6:$W$505,E$3,実績!$AC$6:$AC$505,"&lt;="&amp;$A108,実績!$AD$6:$AD$505,"&gt;"&amp;$A108,実績!$AE$6:$AE$505,"○")&gt;0,1,0))</f>
        <v/>
      </c>
      <c r="F108">
        <f>IF(F$4=0,0,IF(COUNTIFS(実績!$W$6:$W$505,F$3,実績!$AC$6:$AC$505,"&lt;="&amp;$A108,実績!$AD$6:$AD$505,"&gt;"&amp;$A108,実績!$AE$6:$AE$505,"○")&gt;0,1,0))</f>
        <v/>
      </c>
      <c r="G108">
        <f>IF(G$4=0,0,IF(COUNTIFS(実績!$W$6:$W$505,G$3,実績!$AC$6:$AC$505,"&lt;="&amp;$A108,実績!$AD$6:$AD$505,"&gt;"&amp;$A108,実績!$AE$6:$AE$505,"○")&gt;0,1,0))</f>
        <v/>
      </c>
      <c r="H108">
        <f>IF(H$4=0,0,IF(COUNTIFS(実績!$W$6:$W$505,H$3,実績!$AC$6:$AC$505,"&lt;="&amp;$A108,実績!$AD$6:$AD$505,"&gt;"&amp;$A108,実績!$AE$6:$AE$505,"○")&gt;0,1,0))</f>
        <v/>
      </c>
      <c r="I108">
        <f>IF(I$4=0,0,IF(COUNTIFS(実績!$W$6:$W$505,I$3,実績!$AC$6:$AC$505,"&lt;="&amp;$A108,実績!$AD$6:$AD$505,"&gt;"&amp;$A108,実績!$AE$6:$AE$505,"○")&gt;0,1,0))</f>
        <v/>
      </c>
      <c r="J108">
        <f>IF(J$4=0,0,IF(COUNTIFS(実績!$W$6:$W$505,J$3,実績!$AC$6:$AC$505,"&lt;="&amp;$A108,実績!$AD$6:$AD$505,"&gt;"&amp;$A108,実績!$AE$6:$AE$505,"○")&gt;0,1,0))</f>
        <v/>
      </c>
      <c r="K108">
        <f>IF(K$4=0,0,IF(COUNTIFS(実績!$W$6:$W$505,K$3,実績!$AC$6:$AC$505,"&lt;="&amp;$A108,実績!$AD$6:$AD$505,"&gt;"&amp;$A108,実績!$AE$6:$AE$505,"○")&gt;0,1,0))</f>
        <v/>
      </c>
      <c r="L108">
        <f>IF(L$4=0,0,IF(COUNTIFS(実績!$W$6:$W$505,L$3,実績!$AC$6:$AC$505,"&lt;="&amp;$A108,実績!$AD$6:$AD$505,"&gt;"&amp;$A108,実績!$AE$6:$AE$505,"○")&gt;0,1,0))</f>
        <v/>
      </c>
      <c r="M108">
        <f>IF(M$4=0,0,IF(COUNTIFS(実績!$W$6:$W$505,M$3,実績!$AC$6:$AC$505,"&lt;="&amp;$A108,実績!$AD$6:$AD$505,"&gt;"&amp;$A108,実績!$AE$6:$AE$505,"○")&gt;0,1,0))</f>
        <v/>
      </c>
      <c r="N108">
        <f>IF(N$4=0,0,IF(COUNTIFS(実績!$W$6:$W$505,N$3,実績!$AC$6:$AC$505,"&lt;="&amp;$A108,実績!$AD$6:$AD$505,"&gt;"&amp;$A108,実績!$AE$6:$AE$505,"○")&gt;0,1,0))</f>
        <v/>
      </c>
      <c r="O108">
        <f>IF(O$4=0,0,IF(COUNTIFS(実績!$W$6:$W$505,O$3,実績!$AC$6:$AC$505,"&lt;="&amp;$A108,実績!$AD$6:$AD$505,"&gt;"&amp;$A108,実績!$AE$6:$AE$505,"○")&gt;0,1,0))</f>
        <v/>
      </c>
      <c r="P108">
        <f>IF(P$4=0,0,IF(COUNTIFS(実績!$W$6:$W$505,P$3,実績!$AC$6:$AC$505,"&lt;="&amp;$A108,実績!$AD$6:$AD$505,"&gt;"&amp;$A108,実績!$AE$6:$AE$505,"○")&gt;0,1,0))</f>
        <v/>
      </c>
      <c r="Q108">
        <f>IF(Q$4=0,0,IF(COUNTIFS(実績!$W$6:$W$505,Q$3,実績!$AC$6:$AC$505,"&lt;="&amp;$A108,実績!$AD$6:$AD$505,"&gt;"&amp;$A108,実績!$AE$6:$AE$505,"○")&gt;0,1,0))</f>
        <v/>
      </c>
      <c r="R108">
        <f>IF(R$4=0,0,IF(COUNTIFS(実績!$W$6:$W$505,R$3,実績!$AC$6:$AC$505,"&lt;="&amp;$A108,実績!$AD$6:$AD$505,"&gt;"&amp;$A108,実績!$AE$6:$AE$505,"○")&gt;0,1,0))</f>
        <v/>
      </c>
      <c r="S108">
        <f>IF(S$4=0,0,IF(COUNTIFS(実績!$W$6:$W$505,S$3,実績!$AC$6:$AC$505,"&lt;="&amp;$A108,実績!$AD$6:$AD$505,"&gt;"&amp;$A108,実績!$AE$6:$AE$505,"○")&gt;0,1,0))</f>
        <v/>
      </c>
      <c r="T108">
        <f>IF(T$4=0,0,IF(COUNTIFS(実績!$W$6:$W$505,T$3,実績!$AC$6:$AC$505,"&lt;="&amp;$A108,実績!$AD$6:$AD$505,"&gt;"&amp;$A108,実績!$AE$6:$AE$505,"○")&gt;0,1,0))</f>
        <v/>
      </c>
      <c r="U108">
        <f>IF(U$4=0,0,IF(COUNTIFS(実績!$W$6:$W$505,U$3,実績!$AC$6:$AC$505,"&lt;="&amp;$A108,実績!$AD$6:$AD$505,"&gt;"&amp;$A108,実績!$AE$6:$AE$505,"○")&gt;0,1,0))</f>
        <v/>
      </c>
      <c r="V108">
        <f>IF(V$4=0,0,IF(COUNTIFS(実績!$W$6:$W$505,V$3,実績!$AC$6:$AC$505,"&lt;="&amp;$A108,実績!$AD$6:$AD$505,"&gt;"&amp;$A108,実績!$AE$6:$AE$505,"○")&gt;0,1,0))</f>
        <v/>
      </c>
      <c r="W108">
        <f>IF(W$4=0,0,IF(COUNTIFS(実績!$W$6:$W$505,W$3,実績!$AC$6:$AC$505,"&lt;="&amp;$A108,実績!$AD$6:$AD$505,"&gt;"&amp;$A108,実績!$AE$6:$AE$505,"○")&gt;0,1,0))</f>
        <v/>
      </c>
      <c r="X108">
        <f>IF(X$4=0,0,IF(COUNTIFS(実績!$W$6:$W$505,X$3,実績!$AC$6:$AC$505,"&lt;="&amp;$A108,実績!$AD$6:$AD$505,"&gt;"&amp;$A108,実績!$AE$6:$AE$505,"○")&gt;0,1,0))</f>
        <v/>
      </c>
      <c r="Y108">
        <f>IF(Y$4=0,0,IF(COUNTIFS(実績!$W$6:$W$505,Y$3,実績!$AC$6:$AC$505,"&lt;="&amp;$A108,実績!$AD$6:$AD$505,"&gt;"&amp;$A108,実績!$AE$6:$AE$505,"○")&gt;0,1,0))</f>
        <v/>
      </c>
      <c r="Z108">
        <f>IF(Z$4=0,0,IF(COUNTIFS(実績!$W$6:$W$505,Z$3,実績!$AC$6:$AC$505,"&lt;="&amp;$A108,実績!$AD$6:$AD$505,"&gt;"&amp;$A108,実績!$AE$6:$AE$505,"○")&gt;0,1,0))</f>
        <v/>
      </c>
      <c r="AA108">
        <f>IF(AA$4=0,0,IF(COUNTIFS(実績!$W$6:$W$505,AA$3,実績!$AC$6:$AC$505,"&lt;="&amp;$A108,実績!$AD$6:$AD$505,"&gt;"&amp;$A108,実績!$AE$6:$AE$505,"○")&gt;0,1,0))</f>
        <v/>
      </c>
      <c r="AB108">
        <f>IF(AB$4=0,0,IF(COUNTIFS(実績!$W$6:$W$505,AB$3,実績!$AC$6:$AC$505,"&lt;="&amp;$A108,実績!$AD$6:$AD$505,"&gt;"&amp;$A108,実績!$AE$6:$AE$505,"○")&gt;0,1,0))</f>
        <v/>
      </c>
      <c r="AC108">
        <f>IF(AC$4=0,0,IF(COUNTIFS(実績!$W$6:$W$505,AC$3,実績!$AC$6:$AC$505,"&lt;="&amp;$A108,実績!$AD$6:$AD$505,"&gt;"&amp;$A108,実績!$AE$6:$AE$505,"○")&gt;0,1,0))</f>
        <v/>
      </c>
      <c r="AD108">
        <f>IF(AD$4=0,0,IF(COUNTIFS(実績!$W$6:$W$505,AD$3,実績!$AC$6:$AC$505,"&lt;="&amp;$A108,実績!$AD$6:$AD$505,"&gt;"&amp;$A108,実績!$AE$6:$AE$505,"○")&gt;0,1,0))</f>
        <v/>
      </c>
      <c r="AE108">
        <f>IF(AE$4=0,0,IF(COUNTIFS(実績!$W$6:$W$505,AE$3,実績!$AC$6:$AC$505,"&lt;="&amp;$A108,実績!$AD$6:$AD$505,"&gt;"&amp;$A108,実績!$AE$6:$AE$505,"○")&gt;0,1,0))</f>
        <v/>
      </c>
      <c r="AF108">
        <f>IF(AF$4=0,0,IF(COUNTIFS(実績!$W$6:$W$505,AF$3,実績!$AC$6:$AC$505,"&lt;="&amp;$A108,実績!$AD$6:$AD$505,"&gt;"&amp;$A108,実績!$AE$6:$AE$505,"○")&gt;0,1,0))</f>
        <v/>
      </c>
      <c r="AG108">
        <f>IF(AG$4=0,0,IF(COUNTIFS(実績!$W$6:$W$505,AG$3,実績!$AC$6:$AC$505,"&lt;="&amp;$A108,実績!$AD$6:$AD$505,"&gt;"&amp;$A108,実績!$AE$6:$AE$505,"○")&gt;0,1,0))</f>
        <v/>
      </c>
      <c r="AH108">
        <f>IF(AH$4=0,0,IF(COUNTIFS(実績!$W$6:$W$505,AH$3,実績!$AC$6:$AC$505,"&lt;="&amp;$A108,実績!$AD$6:$AD$505,"&gt;"&amp;$A108,実績!$AE$6:$AE$505,"○")&gt;0,1,0))</f>
        <v/>
      </c>
      <c r="AI108">
        <f>IF(AI$4=0,0,IF(COUNTIFS(実績!$W$6:$W$505,AI$3,実績!$AC$6:$AC$505,"&lt;="&amp;$A108,実績!$AD$6:$AD$505,"&gt;"&amp;$A108,実績!$AE$6:$AE$505,"○")&gt;0,1,0))</f>
        <v/>
      </c>
      <c r="AJ108">
        <f>IF(AJ$4=0,0,IF(COUNTIFS(実績!$W$6:$W$505,AJ$3,実績!$AC$6:$AC$505,"&lt;="&amp;$A108,実績!$AD$6:$AD$505,"&gt;"&amp;$A108,実績!$AE$6:$AE$505,"○")&gt;0,1,0))</f>
        <v/>
      </c>
      <c r="AK108">
        <f>IF(AK$4=0,0,IF(COUNTIFS(実績!$W$6:$W$505,AK$3,実績!$AC$6:$AC$505,"&lt;="&amp;$A108,実績!$AD$6:$AD$505,"&gt;"&amp;$A108,実績!$AE$6:$AE$505,"○")&gt;0,1,0))</f>
        <v/>
      </c>
      <c r="AL108">
        <f>IF(AL$4=0,0,IF(COUNTIFS(実績!$W$6:$W$505,AL$3,実績!$AC$6:$AC$505,"&lt;="&amp;$A108,実績!$AD$6:$AD$505,"&gt;"&amp;$A108,実績!$AE$6:$AE$505,"○")&gt;0,1,0))</f>
        <v/>
      </c>
      <c r="AM108">
        <f>IF(AM$4=0,0,IF(COUNTIFS(実績!$W$6:$W$505,AM$3,実績!$AC$6:$AC$505,"&lt;="&amp;$A108,実績!$AD$6:$AD$505,"&gt;"&amp;$A108,実績!$AE$6:$AE$505,"○")&gt;0,1,0))</f>
        <v/>
      </c>
      <c r="AN108">
        <f>IF(AN$4=0,0,IF(COUNTIFS(実績!$W$6:$W$505,AN$3,実績!$AC$6:$AC$505,"&lt;="&amp;$A108,実績!$AD$6:$AD$505,"&gt;"&amp;$A108,実績!$AE$6:$AE$505,"○")&gt;0,1,0))</f>
        <v/>
      </c>
      <c r="AO108">
        <f>IF(AO$4=0,0,IF(COUNTIFS(実績!$W$6:$W$505,AO$3,実績!$AC$6:$AC$505,"&lt;="&amp;$A108,実績!$AD$6:$AD$505,"&gt;"&amp;$A108,実績!$AE$6:$AE$505,"○")&gt;0,1,0))</f>
        <v/>
      </c>
      <c r="AP108">
        <f>IF(AP$4=0,0,IF(COUNTIFS(実績!$W$6:$W$505,AP$3,実績!$AC$6:$AC$505,"&lt;="&amp;$A108,実績!$AD$6:$AD$505,"&gt;"&amp;$A108,実績!$AE$6:$AE$505,"○")&gt;0,1,0))</f>
        <v/>
      </c>
      <c r="AQ108">
        <f>IF(AQ$4=0,0,IF(COUNTIFS(実績!$W$6:$W$505,AQ$3,実績!$AC$6:$AC$505,"&lt;="&amp;$A108,実績!$AD$6:$AD$505,"&gt;"&amp;$A108,実績!$AE$6:$AE$505,"○")&gt;0,1,0))</f>
        <v/>
      </c>
      <c r="AR108">
        <f>IF(AR$4=0,0,IF(COUNTIFS(実績!$W$6:$W$505,AR$3,実績!$AC$6:$AC$505,"&lt;="&amp;$A108,実績!$AD$6:$AD$505,"&gt;"&amp;$A108,実績!$AE$6:$AE$505,"○")&gt;0,1,0))</f>
        <v/>
      </c>
      <c r="AS108">
        <f>IF(AS$4=0,0,IF(COUNTIFS(実績!$W$6:$W$505,AS$3,実績!$AC$6:$AC$505,"&lt;="&amp;$A108,実績!$AD$6:$AD$505,"&gt;"&amp;$A108,実績!$AE$6:$AE$505,"○")&gt;0,1,0))</f>
        <v/>
      </c>
      <c r="AT108">
        <f>IF(AT$4=0,0,IF(COUNTIFS(実績!$W$6:$W$505,AT$3,実績!$AC$6:$AC$505,"&lt;="&amp;$A108,実績!$AD$6:$AD$505,"&gt;"&amp;$A108,実績!$AE$6:$AE$505,"○")&gt;0,1,0))</f>
        <v/>
      </c>
      <c r="AU108">
        <f>IF(AU$4=0,0,IF(COUNTIFS(実績!$W$6:$W$505,AU$3,実績!$AC$6:$AC$505,"&lt;="&amp;$A108,実績!$AD$6:$AD$505,"&gt;"&amp;$A108,実績!$AE$6:$AE$505,"○")&gt;0,1,0))</f>
        <v/>
      </c>
      <c r="AV108">
        <f>IF(AV$4=0,0,IF(COUNTIFS(実績!$W$6:$W$505,AV$3,実績!$AC$6:$AC$505,"&lt;="&amp;$A108,実績!$AD$6:$AD$505,"&gt;"&amp;$A108,実績!$AE$6:$AE$505,"○")&gt;0,1,0))</f>
        <v/>
      </c>
      <c r="AW108">
        <f>IF(AW$4=0,0,IF(COUNTIFS(実績!$W$6:$W$505,AW$3,実績!$AC$6:$AC$505,"&lt;="&amp;$A108,実績!$AD$6:$AD$505,"&gt;"&amp;$A108,実績!$AE$6:$AE$505,"○")&gt;0,1,0))</f>
        <v/>
      </c>
      <c r="AX108">
        <f>IF(AX$4=0,0,IF(COUNTIFS(実績!$W$6:$W$505,AX$3,実績!$AC$6:$AC$505,"&lt;="&amp;$A108,実績!$AD$6:$AD$505,"&gt;"&amp;$A108,実績!$AE$6:$AE$505,"○")&gt;0,1,0))</f>
        <v/>
      </c>
      <c r="AY108">
        <f>IF(AY$4=0,0,IF(COUNTIFS(実績!$W$6:$W$505,AY$3,実績!$AC$6:$AC$505,"&lt;="&amp;$A108,実績!$AD$6:$AD$505,"&gt;"&amp;$A108,実績!$AE$6:$AE$505,"○")&gt;0,1,0))</f>
        <v/>
      </c>
      <c r="AZ108">
        <f>IF(AZ$4=0,0,IF(COUNTIFS(実績!$W$6:$W$505,AZ$3,実績!$AC$6:$AC$505,"&lt;="&amp;$A108,実績!$AD$6:$AD$505,"&gt;"&amp;$A108,実績!$AE$6:$AE$505,"○")&gt;0,1,0))</f>
        <v/>
      </c>
      <c r="BA108">
        <f>IF(BA$4=0,0,IF(COUNTIFS(実績!$W$6:$W$505,BA$3,実績!$AC$6:$AC$505,"&lt;="&amp;$A108,実績!$AD$6:$AD$505,"&gt;"&amp;$A108,実績!$AE$6:$AE$505,"○")&gt;0,1,0))</f>
        <v/>
      </c>
      <c r="BB108">
        <f>IF(BB$4=0,0,IF(COUNTIFS(実績!$W$6:$W$505,BB$3,実績!$AC$6:$AC$505,"&lt;="&amp;$A108,実績!$AD$6:$AD$505,"&gt;"&amp;$A108,実績!$AE$6:$AE$505,"○")&gt;0,1,0))</f>
        <v/>
      </c>
      <c r="BC108">
        <f>IF(BC$4=0,0,IF(COUNTIFS(実績!$W$6:$W$505,BC$3,実績!$AC$6:$AC$505,"&lt;="&amp;$A108,実績!$AD$6:$AD$505,"&gt;"&amp;$A108,実績!$AE$6:$AE$505,"○")&gt;0,1,0))</f>
        <v/>
      </c>
      <c r="BD108">
        <f>IF(BD$4=0,0,IF(COUNTIFS(実績!$W$6:$W$505,BD$3,実績!$AC$6:$AC$505,"&lt;="&amp;$A108,実績!$AD$6:$AD$505,"&gt;"&amp;$A108,実績!$AE$6:$AE$505,"○")&gt;0,1,0))</f>
        <v/>
      </c>
      <c r="BE108">
        <f>IF(BE$4=0,0,IF(COUNTIFS(実績!$W$6:$W$505,BE$3,実績!$AC$6:$AC$505,"&lt;="&amp;$A108,実績!$AD$6:$AD$505,"&gt;"&amp;$A108,実績!$AE$6:$AE$505,"○")&gt;0,1,0))</f>
        <v/>
      </c>
      <c r="BF108">
        <f>IF(BF$4=0,0,IF(COUNTIFS(実績!$W$6:$W$505,BF$3,実績!$AC$6:$AC$505,"&lt;="&amp;$A108,実績!$AD$6:$AD$505,"&gt;"&amp;$A108,実績!$AE$6:$AE$505,"○")&gt;0,1,0))</f>
        <v/>
      </c>
      <c r="BG108">
        <f>IF(BG$4=0,0,IF(COUNTIFS(実績!$W$6:$W$505,BG$3,実績!$AC$6:$AC$505,"&lt;="&amp;$A108,実績!$AD$6:$AD$505,"&gt;"&amp;$A108,実績!$AE$6:$AE$505,"○")&gt;0,1,0))</f>
        <v/>
      </c>
      <c r="BH108">
        <f>IF(BH$4=0,0,IF(COUNTIFS(実績!$W$6:$W$505,BH$3,実績!$AC$6:$AC$505,"&lt;="&amp;$A108,実績!$AD$6:$AD$505,"&gt;"&amp;$A108,実績!$AE$6:$AE$505,"○")&gt;0,1,0))</f>
        <v/>
      </c>
      <c r="BI108">
        <f>IF(BI$4=0,0,IF(COUNTIFS(実績!$W$6:$W$505,BI$3,実績!$AC$6:$AC$505,"&lt;="&amp;$A108,実績!$AD$6:$AD$505,"&gt;"&amp;$A108,実績!$AE$6:$AE$505,"○")&gt;0,1,0))</f>
        <v/>
      </c>
      <c r="BJ108">
        <f>IF(BJ$4=0,0,IF(COUNTIFS(実績!$W$6:$W$505,BJ$3,実績!$AC$6:$AC$505,"&lt;="&amp;$A108,実績!$AD$6:$AD$505,"&gt;"&amp;$A108,実績!$AE$6:$AE$505,"○")&gt;0,1,0))</f>
        <v/>
      </c>
      <c r="BK108">
        <f>IF(BK$4=0,0,IF(COUNTIFS(実績!$W$6:$W$505,BK$3,実績!$AC$6:$AC$505,"&lt;="&amp;$A108,実績!$AD$6:$AD$505,"&gt;"&amp;$A108,実績!$AE$6:$AE$505,"○")&gt;0,1,0))</f>
        <v/>
      </c>
      <c r="BL108">
        <f>IF(BL$4=0,0,IF(COUNTIFS(実績!$W$6:$W$505,BL$3,実績!$AC$6:$AC$505,"&lt;="&amp;$A108,実績!$AD$6:$AD$505,"&gt;"&amp;$A108,実績!$AE$6:$AE$505,"○")&gt;0,1,0))</f>
        <v/>
      </c>
      <c r="BM108">
        <f>IF(BM$4=0,0,IF(COUNTIFS(実績!$W$6:$W$505,BM$3,実績!$AC$6:$AC$505,"&lt;="&amp;$A108,実績!$AD$6:$AD$505,"&gt;"&amp;$A108,実績!$AE$6:$AE$505,"○")&gt;0,1,0))</f>
        <v/>
      </c>
      <c r="BN108">
        <f>IF(BN$4=0,0,IF(COUNTIFS(実績!$W$6:$W$505,BN$3,実績!$AC$6:$AC$505,"&lt;="&amp;$A108,実績!$AD$6:$AD$505,"&gt;"&amp;$A108,実績!$AE$6:$AE$505,"○")&gt;0,1,0))</f>
        <v/>
      </c>
      <c r="BO108">
        <f>IF(BO$4=0,0,IF(COUNTIFS(実績!$W$6:$W$505,BO$3,実績!$AC$6:$AC$505,"&lt;="&amp;$A108,実績!$AD$6:$AD$505,"&gt;"&amp;$A108,実績!$AE$6:$AE$505,"○")&gt;0,1,0))</f>
        <v/>
      </c>
      <c r="BP108">
        <f>IF(BP$4=0,0,IF(COUNTIFS(実績!$W$6:$W$505,BP$3,実績!$AC$6:$AC$505,"&lt;="&amp;$A108,実績!$AD$6:$AD$505,"&gt;"&amp;$A108,実績!$AE$6:$AE$505,"○")&gt;0,1,0))</f>
        <v/>
      </c>
      <c r="BQ108">
        <f>IF(BQ$4=0,0,IF(COUNTIFS(実績!$W$6:$W$505,BQ$3,実績!$AC$6:$AC$505,"&lt;="&amp;$A108,実績!$AD$6:$AD$505,"&gt;"&amp;$A108,実績!$AE$6:$AE$505,"○")&gt;0,1,0))</f>
        <v/>
      </c>
      <c r="BR108">
        <f>IF(BR$4=0,0,IF(COUNTIFS(実績!$W$6:$W$505,BR$3,実績!$AC$6:$AC$505,"&lt;="&amp;$A108,実績!$AD$6:$AD$505,"&gt;"&amp;$A108,実績!$AE$6:$AE$505,"○")&gt;0,1,0))</f>
        <v/>
      </c>
      <c r="BS108">
        <f>IF(BS$4=0,0,IF(COUNTIFS(実績!$W$6:$W$505,BS$3,実績!$AC$6:$AC$505,"&lt;="&amp;$A108,実績!$AD$6:$AD$505,"&gt;"&amp;$A108,実績!$AE$6:$AE$505,"○")&gt;0,1,0))</f>
        <v/>
      </c>
      <c r="BT108">
        <f>IF(BT$4=0,0,IF(COUNTIFS(実績!$W$6:$W$505,BT$3,実績!$AC$6:$AC$505,"&lt;="&amp;$A108,実績!$AD$6:$AD$505,"&gt;"&amp;$A108,実績!$AE$6:$AE$505,"○")&gt;0,1,0))</f>
        <v/>
      </c>
      <c r="BU108">
        <f>IF(BU$4=0,0,IF(COUNTIFS(実績!$W$6:$W$505,BU$3,実績!$AC$6:$AC$505,"&lt;="&amp;$A108,実績!$AD$6:$AD$505,"&gt;"&amp;$A108,実績!$AE$6:$AE$505,"○")&gt;0,1,0))</f>
        <v/>
      </c>
      <c r="BV108">
        <f>IF(BV$4=0,0,IF(COUNTIFS(実績!$W$6:$W$505,BV$3,実績!$AC$6:$AC$505,"&lt;="&amp;$A108,実績!$AD$6:$AD$505,"&gt;"&amp;$A108,実績!$AE$6:$AE$505,"○")&gt;0,1,0))</f>
        <v/>
      </c>
      <c r="BW108">
        <f>IF(BW$4=0,0,IF(COUNTIFS(実績!$W$6:$W$505,BW$3,実績!$AC$6:$AC$505,"&lt;="&amp;$A108,実績!$AD$6:$AD$505,"&gt;"&amp;$A108,実績!$AE$6:$AE$505,"○")&gt;0,1,0))</f>
        <v/>
      </c>
      <c r="BX108">
        <f>IF(BX$4=0,0,IF(COUNTIFS(実績!$W$6:$W$505,BX$3,実績!$AC$6:$AC$505,"&lt;="&amp;$A108,実績!$AD$6:$AD$505,"&gt;"&amp;$A108,実績!$AE$6:$AE$505,"○")&gt;0,1,0))</f>
        <v/>
      </c>
      <c r="BY108">
        <f>IF(BY$4=0,0,IF(COUNTIFS(実績!$W$6:$W$505,BY$3,実績!$AC$6:$AC$505,"&lt;="&amp;$A108,実績!$AD$6:$AD$505,"&gt;"&amp;$A108,実績!$AE$6:$AE$505,"○")&gt;0,1,0))</f>
        <v/>
      </c>
      <c r="BZ108">
        <f>IF(BZ$4=0,0,IF(COUNTIFS(実績!$W$6:$W$505,BZ$3,実績!$AC$6:$AC$505,"&lt;="&amp;$A108,実績!$AD$6:$AD$505,"&gt;"&amp;$A108,実績!$AE$6:$AE$505,"○")&gt;0,1,0))</f>
        <v/>
      </c>
      <c r="CA108">
        <f>IF(CA$4=0,0,IF(COUNTIFS(実績!$W$6:$W$505,CA$3,実績!$AC$6:$AC$505,"&lt;="&amp;$A108,実績!$AD$6:$AD$505,"&gt;"&amp;$A108,実績!$AE$6:$AE$505,"○")&gt;0,1,0))</f>
        <v/>
      </c>
      <c r="CB108">
        <f>IF(CB$4=0,0,IF(COUNTIFS(実績!$W$6:$W$505,CB$3,実績!$AC$6:$AC$505,"&lt;="&amp;$A108,実績!$AD$6:$AD$505,"&gt;"&amp;$A108,実績!$AE$6:$AE$505,"○")&gt;0,1,0))</f>
        <v/>
      </c>
      <c r="CC108">
        <f>IF(CC$4=0,0,IF(COUNTIFS(実績!$W$6:$W$505,CC$3,実績!$AC$6:$AC$505,"&lt;="&amp;$A108,実績!$AD$6:$AD$505,"&gt;"&amp;$A108,実績!$AE$6:$AE$505,"○")&gt;0,1,0))</f>
        <v/>
      </c>
      <c r="CD108">
        <f>IF(CD$4=0,0,IF(COUNTIFS(実績!$W$6:$W$505,CD$3,実績!$AC$6:$AC$505,"&lt;="&amp;$A108,実績!$AD$6:$AD$505,"&gt;"&amp;$A108,実績!$AE$6:$AE$505,"○")&gt;0,1,0))</f>
        <v/>
      </c>
      <c r="CE108">
        <f>IF(CE$4=0,0,IF(COUNTIFS(実績!$W$6:$W$505,CE$3,実績!$AC$6:$AC$505,"&lt;="&amp;$A108,実績!$AD$6:$AD$505,"&gt;"&amp;$A108,実績!$AE$6:$AE$505,"○")&gt;0,1,0))</f>
        <v/>
      </c>
      <c r="CF108">
        <f>IF(CF$4=0,0,IF(COUNTIFS(実績!$W$6:$W$505,CF$3,実績!$AC$6:$AC$505,"&lt;="&amp;$A108,実績!$AD$6:$AD$505,"&gt;"&amp;$A108,実績!$AE$6:$AE$505,"○")&gt;0,1,0))</f>
        <v/>
      </c>
      <c r="CG108">
        <f>IF(CG$4=0,0,IF(COUNTIFS(実績!$W$6:$W$505,CG$3,実績!$AC$6:$AC$505,"&lt;="&amp;$A108,実績!$AD$6:$AD$505,"&gt;"&amp;$A108,実績!$AE$6:$AE$505,"○")&gt;0,1,0))</f>
        <v/>
      </c>
      <c r="CH108">
        <f>IF(CH$4=0,0,IF(COUNTIFS(実績!$W$6:$W$505,CH$3,実績!$AC$6:$AC$505,"&lt;="&amp;$A108,実績!$AD$6:$AD$505,"&gt;"&amp;$A108,実績!$AE$6:$AE$505,"○")&gt;0,1,0))</f>
        <v/>
      </c>
      <c r="CI108">
        <f>IF(CI$4=0,0,IF(COUNTIFS(実績!$W$6:$W$505,CI$3,実績!$AC$6:$AC$505,"&lt;="&amp;$A108,実績!$AD$6:$AD$505,"&gt;"&amp;$A108,実績!$AE$6:$AE$505,"○")&gt;0,1,0))</f>
        <v/>
      </c>
      <c r="CJ108">
        <f>IF(CJ$4=0,0,IF(COUNTIFS(実績!$W$6:$W$505,CJ$3,実績!$AC$6:$AC$505,"&lt;="&amp;$A108,実績!$AD$6:$AD$505,"&gt;"&amp;$A108,実績!$AE$6:$AE$505,"○")&gt;0,1,0))</f>
        <v/>
      </c>
      <c r="CK108">
        <f>IF(CK$4=0,0,IF(COUNTIFS(実績!$W$6:$W$505,CK$3,実績!$AC$6:$AC$505,"&lt;="&amp;$A108,実績!$AD$6:$AD$505,"&gt;"&amp;$A108,実績!$AE$6:$AE$505,"○")&gt;0,1,0))</f>
        <v/>
      </c>
      <c r="CL108">
        <f>IF(CL$4=0,0,IF(COUNTIFS(実績!$W$6:$W$505,CL$3,実績!$AC$6:$AC$505,"&lt;="&amp;$A108,実績!$AD$6:$AD$505,"&gt;"&amp;$A108,実績!$AE$6:$AE$505,"○")&gt;0,1,0))</f>
        <v/>
      </c>
      <c r="CM108">
        <f>IF(CM$4=0,0,IF(COUNTIFS(実績!$W$6:$W$505,CM$3,実績!$AC$6:$AC$505,"&lt;="&amp;$A108,実績!$AD$6:$AD$505,"&gt;"&amp;$A108,実績!$AE$6:$AE$505,"○")&gt;0,1,0))</f>
        <v/>
      </c>
      <c r="CN108">
        <f>IF(CN$4=0,0,IF(COUNTIFS(実績!$W$6:$W$505,CN$3,実績!$AC$6:$AC$505,"&lt;="&amp;$A108,実績!$AD$6:$AD$505,"&gt;"&amp;$A108,実績!$AE$6:$AE$505,"○")&gt;0,1,0))</f>
        <v/>
      </c>
      <c r="CO108">
        <f>IF(CO$4=0,0,IF(COUNTIFS(実績!$W$6:$W$505,CO$3,実績!$AC$6:$AC$505,"&lt;="&amp;$A108,実績!$AD$6:$AD$505,"&gt;"&amp;$A108,実績!$AE$6:$AE$505,"○")&gt;0,1,0))</f>
        <v/>
      </c>
      <c r="CP108">
        <f>IF(CP$4=0,0,IF(COUNTIFS(実績!$W$6:$W$505,CP$3,実績!$AC$6:$AC$505,"&lt;="&amp;$A108,実績!$AD$6:$AD$505,"&gt;"&amp;$A108,実績!$AE$6:$AE$505,"○")&gt;0,1,0))</f>
        <v/>
      </c>
      <c r="CQ108">
        <f>IF(CQ$4=0,0,IF(COUNTIFS(実績!$W$6:$W$505,CQ$3,実績!$AC$6:$AC$505,"&lt;="&amp;$A108,実績!$AD$6:$AD$505,"&gt;"&amp;$A108,実績!$AE$6:$AE$505,"○")&gt;0,1,0))</f>
        <v/>
      </c>
      <c r="CR108">
        <f>IF(CR$4=0,0,IF(COUNTIFS(実績!$W$6:$W$505,CR$3,実績!$AC$6:$AC$505,"&lt;="&amp;$A108,実績!$AD$6:$AD$505,"&gt;"&amp;$A108,実績!$AE$6:$AE$505,"○")&gt;0,1,0))</f>
        <v/>
      </c>
      <c r="CS108">
        <f>IF(CS$4=0,0,IF(COUNTIFS(実績!$W$6:$W$505,CS$3,実績!$AC$6:$AC$505,"&lt;="&amp;$A108,実績!$AD$6:$AD$505,"&gt;"&amp;$A108,実績!$AE$6:$AE$505,"○")&gt;0,1,0))</f>
        <v/>
      </c>
      <c r="CT108">
        <f>IF(CT$4=0,0,IF(COUNTIFS(実績!$W$6:$W$505,CT$3,実績!$AC$6:$AC$505,"&lt;="&amp;$A108,実績!$AD$6:$AD$505,"&gt;"&amp;$A108,実績!$AE$6:$AE$505,"○")&gt;0,1,0))</f>
        <v/>
      </c>
      <c r="CU108">
        <f>IF(CU$4=0,0,IF(COUNTIFS(実績!$W$6:$W$505,CU$3,実績!$AC$6:$AC$505,"&lt;="&amp;$A108,実績!$AD$6:$AD$505,"&gt;"&amp;$A108,実績!$AE$6:$AE$505,"○")&gt;0,1,0))</f>
        <v/>
      </c>
      <c r="CV108">
        <f>IF(CV$4=0,0,IF(COUNTIFS(実績!$W$6:$W$505,CV$3,実績!$AC$6:$AC$505,"&lt;="&amp;$A108,実績!$AD$6:$AD$505,"&gt;"&amp;$A108,実績!$AE$6:$AE$505,"○")&gt;0,1,0))</f>
        <v/>
      </c>
      <c r="CW108">
        <f>IF(CW$4=0,0,IF(COUNTIFS(実績!$W$6:$W$505,CW$3,実績!$AC$6:$AC$505,"&lt;="&amp;$A108,実績!$AD$6:$AD$505,"&gt;"&amp;$A108,実績!$AE$6:$AE$505,"○")&gt;0,1,0))</f>
        <v/>
      </c>
      <c r="CX108">
        <f>IF(CX$4=0,0,IF(COUNTIFS(実績!$W$6:$W$505,CX$3,実績!$AC$6:$AC$505,"&lt;="&amp;$A108,実績!$AD$6:$AD$505,"&gt;"&amp;$A108,実績!$AE$6:$AE$505,"○")&gt;0,1,0))</f>
        <v/>
      </c>
      <c r="CY108">
        <f>IF(CY$4=0,0,IF(COUNTIFS(実績!$W$6:$W$505,CY$3,実績!$AC$6:$AC$505,"&lt;="&amp;$A108,実績!$AD$6:$AD$505,"&gt;"&amp;$A108,実績!$AE$6:$AE$505,"○")&gt;0,1,0))</f>
        <v/>
      </c>
      <c r="CZ108">
        <f>IF(CZ$4=0,0,IF(COUNTIFS(実績!$W$6:$W$505,CZ$3,実績!$AC$6:$AC$505,"&lt;="&amp;$A108,実績!$AD$6:$AD$505,"&gt;"&amp;$A108,実績!$AE$6:$AE$505,"○")&gt;0,1,0))</f>
        <v/>
      </c>
      <c r="DA108">
        <f>IF(DA$4=0,0,IF(COUNTIFS(実績!$W$6:$W$505,DA$3,実績!$AC$6:$AC$505,"&lt;="&amp;$A108,実績!$AD$6:$AD$505,"&gt;"&amp;$A108,実績!$AE$6:$AE$505,"○")&gt;0,1,0))</f>
        <v/>
      </c>
      <c r="DB108">
        <f>IF(DB$4=0,0,IF(COUNTIFS(実績!$W$6:$W$505,DB$3,実績!$AC$6:$AC$505,"&lt;="&amp;$A108,実績!$AD$6:$AD$505,"&gt;"&amp;$A108,実績!$AE$6:$AE$505,"○")&gt;0,1,0))</f>
        <v/>
      </c>
      <c r="DC108">
        <f>IF(DC$4=0,0,IF(COUNTIFS(実績!$W$6:$W$505,DC$3,実績!$AC$6:$AC$505,"&lt;="&amp;$A108,実績!$AD$6:$AD$505,"&gt;"&amp;$A108,実績!$AE$6:$AE$505,"○")&gt;0,1,0))</f>
        <v/>
      </c>
      <c r="DD108">
        <f>IF(DD$4=0,0,IF(COUNTIFS(実績!$W$6:$W$505,DD$3,実績!$AC$6:$AC$505,"&lt;="&amp;$A108,実績!$AD$6:$AD$505,"&gt;"&amp;$A108,実績!$AE$6:$AE$505,"○")&gt;0,1,0))</f>
        <v/>
      </c>
      <c r="DE108">
        <f>IF(DE$4=0,0,IF(COUNTIFS(実績!$W$6:$W$505,DE$3,実績!$AC$6:$AC$505,"&lt;="&amp;$A108,実績!$AD$6:$AD$505,"&gt;"&amp;$A108,実績!$AE$6:$AE$505,"○")&gt;0,1,0))</f>
        <v/>
      </c>
      <c r="DF108">
        <f>IF(DF$4=0,0,IF(COUNTIFS(実績!$W$6:$W$505,DF$3,実績!$AC$6:$AC$505,"&lt;="&amp;$A108,実績!$AD$6:$AD$505,"&gt;"&amp;$A108,実績!$AE$6:$AE$505,"○")&gt;0,1,0))</f>
        <v/>
      </c>
      <c r="DG108">
        <f>IF(DG$4=0,0,IF(COUNTIFS(実績!$W$6:$W$505,DG$3,実績!$AC$6:$AC$505,"&lt;="&amp;$A108,実績!$AD$6:$AD$505,"&gt;"&amp;$A108,実績!$AE$6:$AE$505,"○")&gt;0,1,0))</f>
        <v/>
      </c>
      <c r="DH108">
        <f>IF(DH$4=0,0,IF(COUNTIFS(実績!$W$6:$W$505,DH$3,実績!$AC$6:$AC$505,"&lt;="&amp;$A108,実績!$AD$6:$AD$505,"&gt;"&amp;$A108,実績!$AE$6:$AE$505,"○")&gt;0,1,0))</f>
        <v/>
      </c>
      <c r="DI108">
        <f>IF(DI$4=0,0,IF(COUNTIFS(実績!$W$6:$W$505,DI$3,実績!$AC$6:$AC$505,"&lt;="&amp;$A108,実績!$AD$6:$AD$505,"&gt;"&amp;$A108,実績!$AE$6:$AE$505,"○")&gt;0,1,0))</f>
        <v/>
      </c>
      <c r="DJ108">
        <f>IF(DJ$4=0,0,IF(COUNTIFS(実績!$W$6:$W$505,DJ$3,実績!$AC$6:$AC$505,"&lt;="&amp;$A108,実績!$AD$6:$AD$505,"&gt;"&amp;$A108,実績!$AE$6:$AE$505,"○")&gt;0,1,0))</f>
        <v/>
      </c>
      <c r="DK108">
        <f>IF(DK$4=0,0,IF(COUNTIFS(実績!$W$6:$W$505,DK$3,実績!$AC$6:$AC$505,"&lt;="&amp;$A108,実績!$AD$6:$AD$505,"&gt;"&amp;$A108,実績!$AE$6:$AE$505,"○")&gt;0,1,0))</f>
        <v/>
      </c>
      <c r="DL108">
        <f>IF(DL$4=0,0,IF(COUNTIFS(実績!$W$6:$W$505,DL$3,実績!$AC$6:$AC$505,"&lt;="&amp;$A108,実績!$AD$6:$AD$505,"&gt;"&amp;$A108,実績!$AE$6:$AE$505,"○")&gt;0,1,0))</f>
        <v/>
      </c>
      <c r="DM108">
        <f>IF(DM$4=0,0,IF(COUNTIFS(実績!$W$6:$W$505,DM$3,実績!$AC$6:$AC$505,"&lt;="&amp;$A108,実績!$AD$6:$AD$505,"&gt;"&amp;$A108,実績!$AE$6:$AE$505,"○")&gt;0,1,0))</f>
        <v/>
      </c>
      <c r="DN108">
        <f>IF(DN$4=0,0,IF(COUNTIFS(実績!$W$6:$W$505,DN$3,実績!$AC$6:$AC$505,"&lt;="&amp;$A108,実績!$AD$6:$AD$505,"&gt;"&amp;$A108,実績!$AE$6:$AE$505,"○")&gt;0,1,0))</f>
        <v/>
      </c>
      <c r="DO108">
        <f>IF(DO$4=0,0,IF(COUNTIFS(実績!$W$6:$W$505,DO$3,実績!$AC$6:$AC$505,"&lt;="&amp;$A108,実績!$AD$6:$AD$505,"&gt;"&amp;$A108,実績!$AE$6:$AE$505,"○")&gt;0,1,0))</f>
        <v/>
      </c>
      <c r="DP108">
        <f>IF(DP$4=0,0,IF(COUNTIFS(実績!$W$6:$W$505,DP$3,実績!$AC$6:$AC$505,"&lt;="&amp;$A108,実績!$AD$6:$AD$505,"&gt;"&amp;$A108,実績!$AE$6:$AE$505,"○")&gt;0,1,0))</f>
        <v/>
      </c>
      <c r="DQ108">
        <f>IF(DQ$4=0,0,IF(COUNTIFS(実績!$W$6:$W$505,DQ$3,実績!$AC$6:$AC$505,"&lt;="&amp;$A108,実績!$AD$6:$AD$505,"&gt;"&amp;$A108,実績!$AE$6:$AE$505,"○")&gt;0,1,0))</f>
        <v/>
      </c>
      <c r="DR108">
        <f>IF(DR$4=0,0,IF(COUNTIFS(実績!$W$6:$W$505,DR$3,実績!$AC$6:$AC$505,"&lt;="&amp;$A108,実績!$AD$6:$AD$505,"&gt;"&amp;$A108,実績!$AE$6:$AE$505,"○")&gt;0,1,0))</f>
        <v/>
      </c>
      <c r="DS108">
        <f>SUM(C108:DR108)</f>
        <v/>
      </c>
      <c r="DT108">
        <f>SUMPRODUCT((実績!$C$6:$C$505="○")*ISNUMBER(実績!$AF$6:$AF$505)*(実績!$AF$6:$AF$505&lt;=$A108)*(実績!$AG$6:$AG$505&gt;$A108))</f>
        <v/>
      </c>
      <c r="DU108">
        <f>SUMIF($C$2:$DR$2,"製鉄曳船",C108:DR108)</f>
        <v/>
      </c>
      <c r="DV108">
        <f>SUMIF($C$2:$DR$2,"西日本海運",C108:DR108)</f>
        <v/>
      </c>
    </row>
    <row r="109">
      <c r="A109" t="n">
        <v>515</v>
      </c>
      <c r="B109" s="29">
        <f>A109/1440</f>
        <v/>
      </c>
      <c r="C109">
        <f>IF(C$4=0,0,IF(COUNTIFS(実績!$W$6:$W$505,C$3,実績!$AC$6:$AC$505,"&lt;="&amp;$A109,実績!$AD$6:$AD$505,"&gt;"&amp;$A109,実績!$AE$6:$AE$505,"○")&gt;0,1,0))</f>
        <v/>
      </c>
      <c r="D109">
        <f>IF(D$4=0,0,IF(COUNTIFS(実績!$W$6:$W$505,D$3,実績!$AC$6:$AC$505,"&lt;="&amp;$A109,実績!$AD$6:$AD$505,"&gt;"&amp;$A109,実績!$AE$6:$AE$505,"○")&gt;0,1,0))</f>
        <v/>
      </c>
      <c r="E109">
        <f>IF(E$4=0,0,IF(COUNTIFS(実績!$W$6:$W$505,E$3,実績!$AC$6:$AC$505,"&lt;="&amp;$A109,実績!$AD$6:$AD$505,"&gt;"&amp;$A109,実績!$AE$6:$AE$505,"○")&gt;0,1,0))</f>
        <v/>
      </c>
      <c r="F109">
        <f>IF(F$4=0,0,IF(COUNTIFS(実績!$W$6:$W$505,F$3,実績!$AC$6:$AC$505,"&lt;="&amp;$A109,実績!$AD$6:$AD$505,"&gt;"&amp;$A109,実績!$AE$6:$AE$505,"○")&gt;0,1,0))</f>
        <v/>
      </c>
      <c r="G109">
        <f>IF(G$4=0,0,IF(COUNTIFS(実績!$W$6:$W$505,G$3,実績!$AC$6:$AC$505,"&lt;="&amp;$A109,実績!$AD$6:$AD$505,"&gt;"&amp;$A109,実績!$AE$6:$AE$505,"○")&gt;0,1,0))</f>
        <v/>
      </c>
      <c r="H109">
        <f>IF(H$4=0,0,IF(COUNTIFS(実績!$W$6:$W$505,H$3,実績!$AC$6:$AC$505,"&lt;="&amp;$A109,実績!$AD$6:$AD$505,"&gt;"&amp;$A109,実績!$AE$6:$AE$505,"○")&gt;0,1,0))</f>
        <v/>
      </c>
      <c r="I109">
        <f>IF(I$4=0,0,IF(COUNTIFS(実績!$W$6:$W$505,I$3,実績!$AC$6:$AC$505,"&lt;="&amp;$A109,実績!$AD$6:$AD$505,"&gt;"&amp;$A109,実績!$AE$6:$AE$505,"○")&gt;0,1,0))</f>
        <v/>
      </c>
      <c r="J109">
        <f>IF(J$4=0,0,IF(COUNTIFS(実績!$W$6:$W$505,J$3,実績!$AC$6:$AC$505,"&lt;="&amp;$A109,実績!$AD$6:$AD$505,"&gt;"&amp;$A109,実績!$AE$6:$AE$505,"○")&gt;0,1,0))</f>
        <v/>
      </c>
      <c r="K109">
        <f>IF(K$4=0,0,IF(COUNTIFS(実績!$W$6:$W$505,K$3,実績!$AC$6:$AC$505,"&lt;="&amp;$A109,実績!$AD$6:$AD$505,"&gt;"&amp;$A109,実績!$AE$6:$AE$505,"○")&gt;0,1,0))</f>
        <v/>
      </c>
      <c r="L109">
        <f>IF(L$4=0,0,IF(COUNTIFS(実績!$W$6:$W$505,L$3,実績!$AC$6:$AC$505,"&lt;="&amp;$A109,実績!$AD$6:$AD$505,"&gt;"&amp;$A109,実績!$AE$6:$AE$505,"○")&gt;0,1,0))</f>
        <v/>
      </c>
      <c r="M109">
        <f>IF(M$4=0,0,IF(COUNTIFS(実績!$W$6:$W$505,M$3,実績!$AC$6:$AC$505,"&lt;="&amp;$A109,実績!$AD$6:$AD$505,"&gt;"&amp;$A109,実績!$AE$6:$AE$505,"○")&gt;0,1,0))</f>
        <v/>
      </c>
      <c r="N109">
        <f>IF(N$4=0,0,IF(COUNTIFS(実績!$W$6:$W$505,N$3,実績!$AC$6:$AC$505,"&lt;="&amp;$A109,実績!$AD$6:$AD$505,"&gt;"&amp;$A109,実績!$AE$6:$AE$505,"○")&gt;0,1,0))</f>
        <v/>
      </c>
      <c r="O109">
        <f>IF(O$4=0,0,IF(COUNTIFS(実績!$W$6:$W$505,O$3,実績!$AC$6:$AC$505,"&lt;="&amp;$A109,実績!$AD$6:$AD$505,"&gt;"&amp;$A109,実績!$AE$6:$AE$505,"○")&gt;0,1,0))</f>
        <v/>
      </c>
      <c r="P109">
        <f>IF(P$4=0,0,IF(COUNTIFS(実績!$W$6:$W$505,P$3,実績!$AC$6:$AC$505,"&lt;="&amp;$A109,実績!$AD$6:$AD$505,"&gt;"&amp;$A109,実績!$AE$6:$AE$505,"○")&gt;0,1,0))</f>
        <v/>
      </c>
      <c r="Q109">
        <f>IF(Q$4=0,0,IF(COUNTIFS(実績!$W$6:$W$505,Q$3,実績!$AC$6:$AC$505,"&lt;="&amp;$A109,実績!$AD$6:$AD$505,"&gt;"&amp;$A109,実績!$AE$6:$AE$505,"○")&gt;0,1,0))</f>
        <v/>
      </c>
      <c r="R109">
        <f>IF(R$4=0,0,IF(COUNTIFS(実績!$W$6:$W$505,R$3,実績!$AC$6:$AC$505,"&lt;="&amp;$A109,実績!$AD$6:$AD$505,"&gt;"&amp;$A109,実績!$AE$6:$AE$505,"○")&gt;0,1,0))</f>
        <v/>
      </c>
      <c r="S109">
        <f>IF(S$4=0,0,IF(COUNTIFS(実績!$W$6:$W$505,S$3,実績!$AC$6:$AC$505,"&lt;="&amp;$A109,実績!$AD$6:$AD$505,"&gt;"&amp;$A109,実績!$AE$6:$AE$505,"○")&gt;0,1,0))</f>
        <v/>
      </c>
      <c r="T109">
        <f>IF(T$4=0,0,IF(COUNTIFS(実績!$W$6:$W$505,T$3,実績!$AC$6:$AC$505,"&lt;="&amp;$A109,実績!$AD$6:$AD$505,"&gt;"&amp;$A109,実績!$AE$6:$AE$505,"○")&gt;0,1,0))</f>
        <v/>
      </c>
      <c r="U109">
        <f>IF(U$4=0,0,IF(COUNTIFS(実績!$W$6:$W$505,U$3,実績!$AC$6:$AC$505,"&lt;="&amp;$A109,実績!$AD$6:$AD$505,"&gt;"&amp;$A109,実績!$AE$6:$AE$505,"○")&gt;0,1,0))</f>
        <v/>
      </c>
      <c r="V109">
        <f>IF(V$4=0,0,IF(COUNTIFS(実績!$W$6:$W$505,V$3,実績!$AC$6:$AC$505,"&lt;="&amp;$A109,実績!$AD$6:$AD$505,"&gt;"&amp;$A109,実績!$AE$6:$AE$505,"○")&gt;0,1,0))</f>
        <v/>
      </c>
      <c r="W109">
        <f>IF(W$4=0,0,IF(COUNTIFS(実績!$W$6:$W$505,W$3,実績!$AC$6:$AC$505,"&lt;="&amp;$A109,実績!$AD$6:$AD$505,"&gt;"&amp;$A109,実績!$AE$6:$AE$505,"○")&gt;0,1,0))</f>
        <v/>
      </c>
      <c r="X109">
        <f>IF(X$4=0,0,IF(COUNTIFS(実績!$W$6:$W$505,X$3,実績!$AC$6:$AC$505,"&lt;="&amp;$A109,実績!$AD$6:$AD$505,"&gt;"&amp;$A109,実績!$AE$6:$AE$505,"○")&gt;0,1,0))</f>
        <v/>
      </c>
      <c r="Y109">
        <f>IF(Y$4=0,0,IF(COUNTIFS(実績!$W$6:$W$505,Y$3,実績!$AC$6:$AC$505,"&lt;="&amp;$A109,実績!$AD$6:$AD$505,"&gt;"&amp;$A109,実績!$AE$6:$AE$505,"○")&gt;0,1,0))</f>
        <v/>
      </c>
      <c r="Z109">
        <f>IF(Z$4=0,0,IF(COUNTIFS(実績!$W$6:$W$505,Z$3,実績!$AC$6:$AC$505,"&lt;="&amp;$A109,実績!$AD$6:$AD$505,"&gt;"&amp;$A109,実績!$AE$6:$AE$505,"○")&gt;0,1,0))</f>
        <v/>
      </c>
      <c r="AA109">
        <f>IF(AA$4=0,0,IF(COUNTIFS(実績!$W$6:$W$505,AA$3,実績!$AC$6:$AC$505,"&lt;="&amp;$A109,実績!$AD$6:$AD$505,"&gt;"&amp;$A109,実績!$AE$6:$AE$505,"○")&gt;0,1,0))</f>
        <v/>
      </c>
      <c r="AB109">
        <f>IF(AB$4=0,0,IF(COUNTIFS(実績!$W$6:$W$505,AB$3,実績!$AC$6:$AC$505,"&lt;="&amp;$A109,実績!$AD$6:$AD$505,"&gt;"&amp;$A109,実績!$AE$6:$AE$505,"○")&gt;0,1,0))</f>
        <v/>
      </c>
      <c r="AC109">
        <f>IF(AC$4=0,0,IF(COUNTIFS(実績!$W$6:$W$505,AC$3,実績!$AC$6:$AC$505,"&lt;="&amp;$A109,実績!$AD$6:$AD$505,"&gt;"&amp;$A109,実績!$AE$6:$AE$505,"○")&gt;0,1,0))</f>
        <v/>
      </c>
      <c r="AD109">
        <f>IF(AD$4=0,0,IF(COUNTIFS(実績!$W$6:$W$505,AD$3,実績!$AC$6:$AC$505,"&lt;="&amp;$A109,実績!$AD$6:$AD$505,"&gt;"&amp;$A109,実績!$AE$6:$AE$505,"○")&gt;0,1,0))</f>
        <v/>
      </c>
      <c r="AE109">
        <f>IF(AE$4=0,0,IF(COUNTIFS(実績!$W$6:$W$505,AE$3,実績!$AC$6:$AC$505,"&lt;="&amp;$A109,実績!$AD$6:$AD$505,"&gt;"&amp;$A109,実績!$AE$6:$AE$505,"○")&gt;0,1,0))</f>
        <v/>
      </c>
      <c r="AF109">
        <f>IF(AF$4=0,0,IF(COUNTIFS(実績!$W$6:$W$505,AF$3,実績!$AC$6:$AC$505,"&lt;="&amp;$A109,実績!$AD$6:$AD$505,"&gt;"&amp;$A109,実績!$AE$6:$AE$505,"○")&gt;0,1,0))</f>
        <v/>
      </c>
      <c r="AG109">
        <f>IF(AG$4=0,0,IF(COUNTIFS(実績!$W$6:$W$505,AG$3,実績!$AC$6:$AC$505,"&lt;="&amp;$A109,実績!$AD$6:$AD$505,"&gt;"&amp;$A109,実績!$AE$6:$AE$505,"○")&gt;0,1,0))</f>
        <v/>
      </c>
      <c r="AH109">
        <f>IF(AH$4=0,0,IF(COUNTIFS(実績!$W$6:$W$505,AH$3,実績!$AC$6:$AC$505,"&lt;="&amp;$A109,実績!$AD$6:$AD$505,"&gt;"&amp;$A109,実績!$AE$6:$AE$505,"○")&gt;0,1,0))</f>
        <v/>
      </c>
      <c r="AI109">
        <f>IF(AI$4=0,0,IF(COUNTIFS(実績!$W$6:$W$505,AI$3,実績!$AC$6:$AC$505,"&lt;="&amp;$A109,実績!$AD$6:$AD$505,"&gt;"&amp;$A109,実績!$AE$6:$AE$505,"○")&gt;0,1,0))</f>
        <v/>
      </c>
      <c r="AJ109">
        <f>IF(AJ$4=0,0,IF(COUNTIFS(実績!$W$6:$W$505,AJ$3,実績!$AC$6:$AC$505,"&lt;="&amp;$A109,実績!$AD$6:$AD$505,"&gt;"&amp;$A109,実績!$AE$6:$AE$505,"○")&gt;0,1,0))</f>
        <v/>
      </c>
      <c r="AK109">
        <f>IF(AK$4=0,0,IF(COUNTIFS(実績!$W$6:$W$505,AK$3,実績!$AC$6:$AC$505,"&lt;="&amp;$A109,実績!$AD$6:$AD$505,"&gt;"&amp;$A109,実績!$AE$6:$AE$505,"○")&gt;0,1,0))</f>
        <v/>
      </c>
      <c r="AL109">
        <f>IF(AL$4=0,0,IF(COUNTIFS(実績!$W$6:$W$505,AL$3,実績!$AC$6:$AC$505,"&lt;="&amp;$A109,実績!$AD$6:$AD$505,"&gt;"&amp;$A109,実績!$AE$6:$AE$505,"○")&gt;0,1,0))</f>
        <v/>
      </c>
      <c r="AM109">
        <f>IF(AM$4=0,0,IF(COUNTIFS(実績!$W$6:$W$505,AM$3,実績!$AC$6:$AC$505,"&lt;="&amp;$A109,実績!$AD$6:$AD$505,"&gt;"&amp;$A109,実績!$AE$6:$AE$505,"○")&gt;0,1,0))</f>
        <v/>
      </c>
      <c r="AN109">
        <f>IF(AN$4=0,0,IF(COUNTIFS(実績!$W$6:$W$505,AN$3,実績!$AC$6:$AC$505,"&lt;="&amp;$A109,実績!$AD$6:$AD$505,"&gt;"&amp;$A109,実績!$AE$6:$AE$505,"○")&gt;0,1,0))</f>
        <v/>
      </c>
      <c r="AO109">
        <f>IF(AO$4=0,0,IF(COUNTIFS(実績!$W$6:$W$505,AO$3,実績!$AC$6:$AC$505,"&lt;="&amp;$A109,実績!$AD$6:$AD$505,"&gt;"&amp;$A109,実績!$AE$6:$AE$505,"○")&gt;0,1,0))</f>
        <v/>
      </c>
      <c r="AP109">
        <f>IF(AP$4=0,0,IF(COUNTIFS(実績!$W$6:$W$505,AP$3,実績!$AC$6:$AC$505,"&lt;="&amp;$A109,実績!$AD$6:$AD$505,"&gt;"&amp;$A109,実績!$AE$6:$AE$505,"○")&gt;0,1,0))</f>
        <v/>
      </c>
      <c r="AQ109">
        <f>IF(AQ$4=0,0,IF(COUNTIFS(実績!$W$6:$W$505,AQ$3,実績!$AC$6:$AC$505,"&lt;="&amp;$A109,実績!$AD$6:$AD$505,"&gt;"&amp;$A109,実績!$AE$6:$AE$505,"○")&gt;0,1,0))</f>
        <v/>
      </c>
      <c r="AR109">
        <f>IF(AR$4=0,0,IF(COUNTIFS(実績!$W$6:$W$505,AR$3,実績!$AC$6:$AC$505,"&lt;="&amp;$A109,実績!$AD$6:$AD$505,"&gt;"&amp;$A109,実績!$AE$6:$AE$505,"○")&gt;0,1,0))</f>
        <v/>
      </c>
      <c r="AS109">
        <f>IF(AS$4=0,0,IF(COUNTIFS(実績!$W$6:$W$505,AS$3,実績!$AC$6:$AC$505,"&lt;="&amp;$A109,実績!$AD$6:$AD$505,"&gt;"&amp;$A109,実績!$AE$6:$AE$505,"○")&gt;0,1,0))</f>
        <v/>
      </c>
      <c r="AT109">
        <f>IF(AT$4=0,0,IF(COUNTIFS(実績!$W$6:$W$505,AT$3,実績!$AC$6:$AC$505,"&lt;="&amp;$A109,実績!$AD$6:$AD$505,"&gt;"&amp;$A109,実績!$AE$6:$AE$505,"○")&gt;0,1,0))</f>
        <v/>
      </c>
      <c r="AU109">
        <f>IF(AU$4=0,0,IF(COUNTIFS(実績!$W$6:$W$505,AU$3,実績!$AC$6:$AC$505,"&lt;="&amp;$A109,実績!$AD$6:$AD$505,"&gt;"&amp;$A109,実績!$AE$6:$AE$505,"○")&gt;0,1,0))</f>
        <v/>
      </c>
      <c r="AV109">
        <f>IF(AV$4=0,0,IF(COUNTIFS(実績!$W$6:$W$505,AV$3,実績!$AC$6:$AC$505,"&lt;="&amp;$A109,実績!$AD$6:$AD$505,"&gt;"&amp;$A109,実績!$AE$6:$AE$505,"○")&gt;0,1,0))</f>
        <v/>
      </c>
      <c r="AW109">
        <f>IF(AW$4=0,0,IF(COUNTIFS(実績!$W$6:$W$505,AW$3,実績!$AC$6:$AC$505,"&lt;="&amp;$A109,実績!$AD$6:$AD$505,"&gt;"&amp;$A109,実績!$AE$6:$AE$505,"○")&gt;0,1,0))</f>
        <v/>
      </c>
      <c r="AX109">
        <f>IF(AX$4=0,0,IF(COUNTIFS(実績!$W$6:$W$505,AX$3,実績!$AC$6:$AC$505,"&lt;="&amp;$A109,実績!$AD$6:$AD$505,"&gt;"&amp;$A109,実績!$AE$6:$AE$505,"○")&gt;0,1,0))</f>
        <v/>
      </c>
      <c r="AY109">
        <f>IF(AY$4=0,0,IF(COUNTIFS(実績!$W$6:$W$505,AY$3,実績!$AC$6:$AC$505,"&lt;="&amp;$A109,実績!$AD$6:$AD$505,"&gt;"&amp;$A109,実績!$AE$6:$AE$505,"○")&gt;0,1,0))</f>
        <v/>
      </c>
      <c r="AZ109">
        <f>IF(AZ$4=0,0,IF(COUNTIFS(実績!$W$6:$W$505,AZ$3,実績!$AC$6:$AC$505,"&lt;="&amp;$A109,実績!$AD$6:$AD$505,"&gt;"&amp;$A109,実績!$AE$6:$AE$505,"○")&gt;0,1,0))</f>
        <v/>
      </c>
      <c r="BA109">
        <f>IF(BA$4=0,0,IF(COUNTIFS(実績!$W$6:$W$505,BA$3,実績!$AC$6:$AC$505,"&lt;="&amp;$A109,実績!$AD$6:$AD$505,"&gt;"&amp;$A109,実績!$AE$6:$AE$505,"○")&gt;0,1,0))</f>
        <v/>
      </c>
      <c r="BB109">
        <f>IF(BB$4=0,0,IF(COUNTIFS(実績!$W$6:$W$505,BB$3,実績!$AC$6:$AC$505,"&lt;="&amp;$A109,実績!$AD$6:$AD$505,"&gt;"&amp;$A109,実績!$AE$6:$AE$505,"○")&gt;0,1,0))</f>
        <v/>
      </c>
      <c r="BC109">
        <f>IF(BC$4=0,0,IF(COUNTIFS(実績!$W$6:$W$505,BC$3,実績!$AC$6:$AC$505,"&lt;="&amp;$A109,実績!$AD$6:$AD$505,"&gt;"&amp;$A109,実績!$AE$6:$AE$505,"○")&gt;0,1,0))</f>
        <v/>
      </c>
      <c r="BD109">
        <f>IF(BD$4=0,0,IF(COUNTIFS(実績!$W$6:$W$505,BD$3,実績!$AC$6:$AC$505,"&lt;="&amp;$A109,実績!$AD$6:$AD$505,"&gt;"&amp;$A109,実績!$AE$6:$AE$505,"○")&gt;0,1,0))</f>
        <v/>
      </c>
      <c r="BE109">
        <f>IF(BE$4=0,0,IF(COUNTIFS(実績!$W$6:$W$505,BE$3,実績!$AC$6:$AC$505,"&lt;="&amp;$A109,実績!$AD$6:$AD$505,"&gt;"&amp;$A109,実績!$AE$6:$AE$505,"○")&gt;0,1,0))</f>
        <v/>
      </c>
      <c r="BF109">
        <f>IF(BF$4=0,0,IF(COUNTIFS(実績!$W$6:$W$505,BF$3,実績!$AC$6:$AC$505,"&lt;="&amp;$A109,実績!$AD$6:$AD$505,"&gt;"&amp;$A109,実績!$AE$6:$AE$505,"○")&gt;0,1,0))</f>
        <v/>
      </c>
      <c r="BG109">
        <f>IF(BG$4=0,0,IF(COUNTIFS(実績!$W$6:$W$505,BG$3,実績!$AC$6:$AC$505,"&lt;="&amp;$A109,実績!$AD$6:$AD$505,"&gt;"&amp;$A109,実績!$AE$6:$AE$505,"○")&gt;0,1,0))</f>
        <v/>
      </c>
      <c r="BH109">
        <f>IF(BH$4=0,0,IF(COUNTIFS(実績!$W$6:$W$505,BH$3,実績!$AC$6:$AC$505,"&lt;="&amp;$A109,実績!$AD$6:$AD$505,"&gt;"&amp;$A109,実績!$AE$6:$AE$505,"○")&gt;0,1,0))</f>
        <v/>
      </c>
      <c r="BI109">
        <f>IF(BI$4=0,0,IF(COUNTIFS(実績!$W$6:$W$505,BI$3,実績!$AC$6:$AC$505,"&lt;="&amp;$A109,実績!$AD$6:$AD$505,"&gt;"&amp;$A109,実績!$AE$6:$AE$505,"○")&gt;0,1,0))</f>
        <v/>
      </c>
      <c r="BJ109">
        <f>IF(BJ$4=0,0,IF(COUNTIFS(実績!$W$6:$W$505,BJ$3,実績!$AC$6:$AC$505,"&lt;="&amp;$A109,実績!$AD$6:$AD$505,"&gt;"&amp;$A109,実績!$AE$6:$AE$505,"○")&gt;0,1,0))</f>
        <v/>
      </c>
      <c r="BK109">
        <f>IF(BK$4=0,0,IF(COUNTIFS(実績!$W$6:$W$505,BK$3,実績!$AC$6:$AC$505,"&lt;="&amp;$A109,実績!$AD$6:$AD$505,"&gt;"&amp;$A109,実績!$AE$6:$AE$505,"○")&gt;0,1,0))</f>
        <v/>
      </c>
      <c r="BL109">
        <f>IF(BL$4=0,0,IF(COUNTIFS(実績!$W$6:$W$505,BL$3,実績!$AC$6:$AC$505,"&lt;="&amp;$A109,実績!$AD$6:$AD$505,"&gt;"&amp;$A109,実績!$AE$6:$AE$505,"○")&gt;0,1,0))</f>
        <v/>
      </c>
      <c r="BM109">
        <f>IF(BM$4=0,0,IF(COUNTIFS(実績!$W$6:$W$505,BM$3,実績!$AC$6:$AC$505,"&lt;="&amp;$A109,実績!$AD$6:$AD$505,"&gt;"&amp;$A109,実績!$AE$6:$AE$505,"○")&gt;0,1,0))</f>
        <v/>
      </c>
      <c r="BN109">
        <f>IF(BN$4=0,0,IF(COUNTIFS(実績!$W$6:$W$505,BN$3,実績!$AC$6:$AC$505,"&lt;="&amp;$A109,実績!$AD$6:$AD$505,"&gt;"&amp;$A109,実績!$AE$6:$AE$505,"○")&gt;0,1,0))</f>
        <v/>
      </c>
      <c r="BO109">
        <f>IF(BO$4=0,0,IF(COUNTIFS(実績!$W$6:$W$505,BO$3,実績!$AC$6:$AC$505,"&lt;="&amp;$A109,実績!$AD$6:$AD$505,"&gt;"&amp;$A109,実績!$AE$6:$AE$505,"○")&gt;0,1,0))</f>
        <v/>
      </c>
      <c r="BP109">
        <f>IF(BP$4=0,0,IF(COUNTIFS(実績!$W$6:$W$505,BP$3,実績!$AC$6:$AC$505,"&lt;="&amp;$A109,実績!$AD$6:$AD$505,"&gt;"&amp;$A109,実績!$AE$6:$AE$505,"○")&gt;0,1,0))</f>
        <v/>
      </c>
      <c r="BQ109">
        <f>IF(BQ$4=0,0,IF(COUNTIFS(実績!$W$6:$W$505,BQ$3,実績!$AC$6:$AC$505,"&lt;="&amp;$A109,実績!$AD$6:$AD$505,"&gt;"&amp;$A109,実績!$AE$6:$AE$505,"○")&gt;0,1,0))</f>
        <v/>
      </c>
      <c r="BR109">
        <f>IF(BR$4=0,0,IF(COUNTIFS(実績!$W$6:$W$505,BR$3,実績!$AC$6:$AC$505,"&lt;="&amp;$A109,実績!$AD$6:$AD$505,"&gt;"&amp;$A109,実績!$AE$6:$AE$505,"○")&gt;0,1,0))</f>
        <v/>
      </c>
      <c r="BS109">
        <f>IF(BS$4=0,0,IF(COUNTIFS(実績!$W$6:$W$505,BS$3,実績!$AC$6:$AC$505,"&lt;="&amp;$A109,実績!$AD$6:$AD$505,"&gt;"&amp;$A109,実績!$AE$6:$AE$505,"○")&gt;0,1,0))</f>
        <v/>
      </c>
      <c r="BT109">
        <f>IF(BT$4=0,0,IF(COUNTIFS(実績!$W$6:$W$505,BT$3,実績!$AC$6:$AC$505,"&lt;="&amp;$A109,実績!$AD$6:$AD$505,"&gt;"&amp;$A109,実績!$AE$6:$AE$505,"○")&gt;0,1,0))</f>
        <v/>
      </c>
      <c r="BU109">
        <f>IF(BU$4=0,0,IF(COUNTIFS(実績!$W$6:$W$505,BU$3,実績!$AC$6:$AC$505,"&lt;="&amp;$A109,実績!$AD$6:$AD$505,"&gt;"&amp;$A109,実績!$AE$6:$AE$505,"○")&gt;0,1,0))</f>
        <v/>
      </c>
      <c r="BV109">
        <f>IF(BV$4=0,0,IF(COUNTIFS(実績!$W$6:$W$505,BV$3,実績!$AC$6:$AC$505,"&lt;="&amp;$A109,実績!$AD$6:$AD$505,"&gt;"&amp;$A109,実績!$AE$6:$AE$505,"○")&gt;0,1,0))</f>
        <v/>
      </c>
      <c r="BW109">
        <f>IF(BW$4=0,0,IF(COUNTIFS(実績!$W$6:$W$505,BW$3,実績!$AC$6:$AC$505,"&lt;="&amp;$A109,実績!$AD$6:$AD$505,"&gt;"&amp;$A109,実績!$AE$6:$AE$505,"○")&gt;0,1,0))</f>
        <v/>
      </c>
      <c r="BX109">
        <f>IF(BX$4=0,0,IF(COUNTIFS(実績!$W$6:$W$505,BX$3,実績!$AC$6:$AC$505,"&lt;="&amp;$A109,実績!$AD$6:$AD$505,"&gt;"&amp;$A109,実績!$AE$6:$AE$505,"○")&gt;0,1,0))</f>
        <v/>
      </c>
      <c r="BY109">
        <f>IF(BY$4=0,0,IF(COUNTIFS(実績!$W$6:$W$505,BY$3,実績!$AC$6:$AC$505,"&lt;="&amp;$A109,実績!$AD$6:$AD$505,"&gt;"&amp;$A109,実績!$AE$6:$AE$505,"○")&gt;0,1,0))</f>
        <v/>
      </c>
      <c r="BZ109">
        <f>IF(BZ$4=0,0,IF(COUNTIFS(実績!$W$6:$W$505,BZ$3,実績!$AC$6:$AC$505,"&lt;="&amp;$A109,実績!$AD$6:$AD$505,"&gt;"&amp;$A109,実績!$AE$6:$AE$505,"○")&gt;0,1,0))</f>
        <v/>
      </c>
      <c r="CA109">
        <f>IF(CA$4=0,0,IF(COUNTIFS(実績!$W$6:$W$505,CA$3,実績!$AC$6:$AC$505,"&lt;="&amp;$A109,実績!$AD$6:$AD$505,"&gt;"&amp;$A109,実績!$AE$6:$AE$505,"○")&gt;0,1,0))</f>
        <v/>
      </c>
      <c r="CB109">
        <f>IF(CB$4=0,0,IF(COUNTIFS(実績!$W$6:$W$505,CB$3,実績!$AC$6:$AC$505,"&lt;="&amp;$A109,実績!$AD$6:$AD$505,"&gt;"&amp;$A109,実績!$AE$6:$AE$505,"○")&gt;0,1,0))</f>
        <v/>
      </c>
      <c r="CC109">
        <f>IF(CC$4=0,0,IF(COUNTIFS(実績!$W$6:$W$505,CC$3,実績!$AC$6:$AC$505,"&lt;="&amp;$A109,実績!$AD$6:$AD$505,"&gt;"&amp;$A109,実績!$AE$6:$AE$505,"○")&gt;0,1,0))</f>
        <v/>
      </c>
      <c r="CD109">
        <f>IF(CD$4=0,0,IF(COUNTIFS(実績!$W$6:$W$505,CD$3,実績!$AC$6:$AC$505,"&lt;="&amp;$A109,実績!$AD$6:$AD$505,"&gt;"&amp;$A109,実績!$AE$6:$AE$505,"○")&gt;0,1,0))</f>
        <v/>
      </c>
      <c r="CE109">
        <f>IF(CE$4=0,0,IF(COUNTIFS(実績!$W$6:$W$505,CE$3,実績!$AC$6:$AC$505,"&lt;="&amp;$A109,実績!$AD$6:$AD$505,"&gt;"&amp;$A109,実績!$AE$6:$AE$505,"○")&gt;0,1,0))</f>
        <v/>
      </c>
      <c r="CF109">
        <f>IF(CF$4=0,0,IF(COUNTIFS(実績!$W$6:$W$505,CF$3,実績!$AC$6:$AC$505,"&lt;="&amp;$A109,実績!$AD$6:$AD$505,"&gt;"&amp;$A109,実績!$AE$6:$AE$505,"○")&gt;0,1,0))</f>
        <v/>
      </c>
      <c r="CG109">
        <f>IF(CG$4=0,0,IF(COUNTIFS(実績!$W$6:$W$505,CG$3,実績!$AC$6:$AC$505,"&lt;="&amp;$A109,実績!$AD$6:$AD$505,"&gt;"&amp;$A109,実績!$AE$6:$AE$505,"○")&gt;0,1,0))</f>
        <v/>
      </c>
      <c r="CH109">
        <f>IF(CH$4=0,0,IF(COUNTIFS(実績!$W$6:$W$505,CH$3,実績!$AC$6:$AC$505,"&lt;="&amp;$A109,実績!$AD$6:$AD$505,"&gt;"&amp;$A109,実績!$AE$6:$AE$505,"○")&gt;0,1,0))</f>
        <v/>
      </c>
      <c r="CI109">
        <f>IF(CI$4=0,0,IF(COUNTIFS(実績!$W$6:$W$505,CI$3,実績!$AC$6:$AC$505,"&lt;="&amp;$A109,実績!$AD$6:$AD$505,"&gt;"&amp;$A109,実績!$AE$6:$AE$505,"○")&gt;0,1,0))</f>
        <v/>
      </c>
      <c r="CJ109">
        <f>IF(CJ$4=0,0,IF(COUNTIFS(実績!$W$6:$W$505,CJ$3,実績!$AC$6:$AC$505,"&lt;="&amp;$A109,実績!$AD$6:$AD$505,"&gt;"&amp;$A109,実績!$AE$6:$AE$505,"○")&gt;0,1,0))</f>
        <v/>
      </c>
      <c r="CK109">
        <f>IF(CK$4=0,0,IF(COUNTIFS(実績!$W$6:$W$505,CK$3,実績!$AC$6:$AC$505,"&lt;="&amp;$A109,実績!$AD$6:$AD$505,"&gt;"&amp;$A109,実績!$AE$6:$AE$505,"○")&gt;0,1,0))</f>
        <v/>
      </c>
      <c r="CL109">
        <f>IF(CL$4=0,0,IF(COUNTIFS(実績!$W$6:$W$505,CL$3,実績!$AC$6:$AC$505,"&lt;="&amp;$A109,実績!$AD$6:$AD$505,"&gt;"&amp;$A109,実績!$AE$6:$AE$505,"○")&gt;0,1,0))</f>
        <v/>
      </c>
      <c r="CM109">
        <f>IF(CM$4=0,0,IF(COUNTIFS(実績!$W$6:$W$505,CM$3,実績!$AC$6:$AC$505,"&lt;="&amp;$A109,実績!$AD$6:$AD$505,"&gt;"&amp;$A109,実績!$AE$6:$AE$505,"○")&gt;0,1,0))</f>
        <v/>
      </c>
      <c r="CN109">
        <f>IF(CN$4=0,0,IF(COUNTIFS(実績!$W$6:$W$505,CN$3,実績!$AC$6:$AC$505,"&lt;="&amp;$A109,実績!$AD$6:$AD$505,"&gt;"&amp;$A109,実績!$AE$6:$AE$505,"○")&gt;0,1,0))</f>
        <v/>
      </c>
      <c r="CO109">
        <f>IF(CO$4=0,0,IF(COUNTIFS(実績!$W$6:$W$505,CO$3,実績!$AC$6:$AC$505,"&lt;="&amp;$A109,実績!$AD$6:$AD$505,"&gt;"&amp;$A109,実績!$AE$6:$AE$505,"○")&gt;0,1,0))</f>
        <v/>
      </c>
      <c r="CP109">
        <f>IF(CP$4=0,0,IF(COUNTIFS(実績!$W$6:$W$505,CP$3,実績!$AC$6:$AC$505,"&lt;="&amp;$A109,実績!$AD$6:$AD$505,"&gt;"&amp;$A109,実績!$AE$6:$AE$505,"○")&gt;0,1,0))</f>
        <v/>
      </c>
      <c r="CQ109">
        <f>IF(CQ$4=0,0,IF(COUNTIFS(実績!$W$6:$W$505,CQ$3,実績!$AC$6:$AC$505,"&lt;="&amp;$A109,実績!$AD$6:$AD$505,"&gt;"&amp;$A109,実績!$AE$6:$AE$505,"○")&gt;0,1,0))</f>
        <v/>
      </c>
      <c r="CR109">
        <f>IF(CR$4=0,0,IF(COUNTIFS(実績!$W$6:$W$505,CR$3,実績!$AC$6:$AC$505,"&lt;="&amp;$A109,実績!$AD$6:$AD$505,"&gt;"&amp;$A109,実績!$AE$6:$AE$505,"○")&gt;0,1,0))</f>
        <v/>
      </c>
      <c r="CS109">
        <f>IF(CS$4=0,0,IF(COUNTIFS(実績!$W$6:$W$505,CS$3,実績!$AC$6:$AC$505,"&lt;="&amp;$A109,実績!$AD$6:$AD$505,"&gt;"&amp;$A109,実績!$AE$6:$AE$505,"○")&gt;0,1,0))</f>
        <v/>
      </c>
      <c r="CT109">
        <f>IF(CT$4=0,0,IF(COUNTIFS(実績!$W$6:$W$505,CT$3,実績!$AC$6:$AC$505,"&lt;="&amp;$A109,実績!$AD$6:$AD$505,"&gt;"&amp;$A109,実績!$AE$6:$AE$505,"○")&gt;0,1,0))</f>
        <v/>
      </c>
      <c r="CU109">
        <f>IF(CU$4=0,0,IF(COUNTIFS(実績!$W$6:$W$505,CU$3,実績!$AC$6:$AC$505,"&lt;="&amp;$A109,実績!$AD$6:$AD$505,"&gt;"&amp;$A109,実績!$AE$6:$AE$505,"○")&gt;0,1,0))</f>
        <v/>
      </c>
      <c r="CV109">
        <f>IF(CV$4=0,0,IF(COUNTIFS(実績!$W$6:$W$505,CV$3,実績!$AC$6:$AC$505,"&lt;="&amp;$A109,実績!$AD$6:$AD$505,"&gt;"&amp;$A109,実績!$AE$6:$AE$505,"○")&gt;0,1,0))</f>
        <v/>
      </c>
      <c r="CW109">
        <f>IF(CW$4=0,0,IF(COUNTIFS(実績!$W$6:$W$505,CW$3,実績!$AC$6:$AC$505,"&lt;="&amp;$A109,実績!$AD$6:$AD$505,"&gt;"&amp;$A109,実績!$AE$6:$AE$505,"○")&gt;0,1,0))</f>
        <v/>
      </c>
      <c r="CX109">
        <f>IF(CX$4=0,0,IF(COUNTIFS(実績!$W$6:$W$505,CX$3,実績!$AC$6:$AC$505,"&lt;="&amp;$A109,実績!$AD$6:$AD$505,"&gt;"&amp;$A109,実績!$AE$6:$AE$505,"○")&gt;0,1,0))</f>
        <v/>
      </c>
      <c r="CY109">
        <f>IF(CY$4=0,0,IF(COUNTIFS(実績!$W$6:$W$505,CY$3,実績!$AC$6:$AC$505,"&lt;="&amp;$A109,実績!$AD$6:$AD$505,"&gt;"&amp;$A109,実績!$AE$6:$AE$505,"○")&gt;0,1,0))</f>
        <v/>
      </c>
      <c r="CZ109">
        <f>IF(CZ$4=0,0,IF(COUNTIFS(実績!$W$6:$W$505,CZ$3,実績!$AC$6:$AC$505,"&lt;="&amp;$A109,実績!$AD$6:$AD$505,"&gt;"&amp;$A109,実績!$AE$6:$AE$505,"○")&gt;0,1,0))</f>
        <v/>
      </c>
      <c r="DA109">
        <f>IF(DA$4=0,0,IF(COUNTIFS(実績!$W$6:$W$505,DA$3,実績!$AC$6:$AC$505,"&lt;="&amp;$A109,実績!$AD$6:$AD$505,"&gt;"&amp;$A109,実績!$AE$6:$AE$505,"○")&gt;0,1,0))</f>
        <v/>
      </c>
      <c r="DB109">
        <f>IF(DB$4=0,0,IF(COUNTIFS(実績!$W$6:$W$505,DB$3,実績!$AC$6:$AC$505,"&lt;="&amp;$A109,実績!$AD$6:$AD$505,"&gt;"&amp;$A109,実績!$AE$6:$AE$505,"○")&gt;0,1,0))</f>
        <v/>
      </c>
      <c r="DC109">
        <f>IF(DC$4=0,0,IF(COUNTIFS(実績!$W$6:$W$505,DC$3,実績!$AC$6:$AC$505,"&lt;="&amp;$A109,実績!$AD$6:$AD$505,"&gt;"&amp;$A109,実績!$AE$6:$AE$505,"○")&gt;0,1,0))</f>
        <v/>
      </c>
      <c r="DD109">
        <f>IF(DD$4=0,0,IF(COUNTIFS(実績!$W$6:$W$505,DD$3,実績!$AC$6:$AC$505,"&lt;="&amp;$A109,実績!$AD$6:$AD$505,"&gt;"&amp;$A109,実績!$AE$6:$AE$505,"○")&gt;0,1,0))</f>
        <v/>
      </c>
      <c r="DE109">
        <f>IF(DE$4=0,0,IF(COUNTIFS(実績!$W$6:$W$505,DE$3,実績!$AC$6:$AC$505,"&lt;="&amp;$A109,実績!$AD$6:$AD$505,"&gt;"&amp;$A109,実績!$AE$6:$AE$505,"○")&gt;0,1,0))</f>
        <v/>
      </c>
      <c r="DF109">
        <f>IF(DF$4=0,0,IF(COUNTIFS(実績!$W$6:$W$505,DF$3,実績!$AC$6:$AC$505,"&lt;="&amp;$A109,実績!$AD$6:$AD$505,"&gt;"&amp;$A109,実績!$AE$6:$AE$505,"○")&gt;0,1,0))</f>
        <v/>
      </c>
      <c r="DG109">
        <f>IF(DG$4=0,0,IF(COUNTIFS(実績!$W$6:$W$505,DG$3,実績!$AC$6:$AC$505,"&lt;="&amp;$A109,実績!$AD$6:$AD$505,"&gt;"&amp;$A109,実績!$AE$6:$AE$505,"○")&gt;0,1,0))</f>
        <v/>
      </c>
      <c r="DH109">
        <f>IF(DH$4=0,0,IF(COUNTIFS(実績!$W$6:$W$505,DH$3,実績!$AC$6:$AC$505,"&lt;="&amp;$A109,実績!$AD$6:$AD$505,"&gt;"&amp;$A109,実績!$AE$6:$AE$505,"○")&gt;0,1,0))</f>
        <v/>
      </c>
      <c r="DI109">
        <f>IF(DI$4=0,0,IF(COUNTIFS(実績!$W$6:$W$505,DI$3,実績!$AC$6:$AC$505,"&lt;="&amp;$A109,実績!$AD$6:$AD$505,"&gt;"&amp;$A109,実績!$AE$6:$AE$505,"○")&gt;0,1,0))</f>
        <v/>
      </c>
      <c r="DJ109">
        <f>IF(DJ$4=0,0,IF(COUNTIFS(実績!$W$6:$W$505,DJ$3,実績!$AC$6:$AC$505,"&lt;="&amp;$A109,実績!$AD$6:$AD$505,"&gt;"&amp;$A109,実績!$AE$6:$AE$505,"○")&gt;0,1,0))</f>
        <v/>
      </c>
      <c r="DK109">
        <f>IF(DK$4=0,0,IF(COUNTIFS(実績!$W$6:$W$505,DK$3,実績!$AC$6:$AC$505,"&lt;="&amp;$A109,実績!$AD$6:$AD$505,"&gt;"&amp;$A109,実績!$AE$6:$AE$505,"○")&gt;0,1,0))</f>
        <v/>
      </c>
      <c r="DL109">
        <f>IF(DL$4=0,0,IF(COUNTIFS(実績!$W$6:$W$505,DL$3,実績!$AC$6:$AC$505,"&lt;="&amp;$A109,実績!$AD$6:$AD$505,"&gt;"&amp;$A109,実績!$AE$6:$AE$505,"○")&gt;0,1,0))</f>
        <v/>
      </c>
      <c r="DM109">
        <f>IF(DM$4=0,0,IF(COUNTIFS(実績!$W$6:$W$505,DM$3,実績!$AC$6:$AC$505,"&lt;="&amp;$A109,実績!$AD$6:$AD$505,"&gt;"&amp;$A109,実績!$AE$6:$AE$505,"○")&gt;0,1,0))</f>
        <v/>
      </c>
      <c r="DN109">
        <f>IF(DN$4=0,0,IF(COUNTIFS(実績!$W$6:$W$505,DN$3,実績!$AC$6:$AC$505,"&lt;="&amp;$A109,実績!$AD$6:$AD$505,"&gt;"&amp;$A109,実績!$AE$6:$AE$505,"○")&gt;0,1,0))</f>
        <v/>
      </c>
      <c r="DO109">
        <f>IF(DO$4=0,0,IF(COUNTIFS(実績!$W$6:$W$505,DO$3,実績!$AC$6:$AC$505,"&lt;="&amp;$A109,実績!$AD$6:$AD$505,"&gt;"&amp;$A109,実績!$AE$6:$AE$505,"○")&gt;0,1,0))</f>
        <v/>
      </c>
      <c r="DP109">
        <f>IF(DP$4=0,0,IF(COUNTIFS(実績!$W$6:$W$505,DP$3,実績!$AC$6:$AC$505,"&lt;="&amp;$A109,実績!$AD$6:$AD$505,"&gt;"&amp;$A109,実績!$AE$6:$AE$505,"○")&gt;0,1,0))</f>
        <v/>
      </c>
      <c r="DQ109">
        <f>IF(DQ$4=0,0,IF(COUNTIFS(実績!$W$6:$W$505,DQ$3,実績!$AC$6:$AC$505,"&lt;="&amp;$A109,実績!$AD$6:$AD$505,"&gt;"&amp;$A109,実績!$AE$6:$AE$505,"○")&gt;0,1,0))</f>
        <v/>
      </c>
      <c r="DR109">
        <f>IF(DR$4=0,0,IF(COUNTIFS(実績!$W$6:$W$505,DR$3,実績!$AC$6:$AC$505,"&lt;="&amp;$A109,実績!$AD$6:$AD$505,"&gt;"&amp;$A109,実績!$AE$6:$AE$505,"○")&gt;0,1,0))</f>
        <v/>
      </c>
      <c r="DS109">
        <f>SUM(C109:DR109)</f>
        <v/>
      </c>
      <c r="DT109">
        <f>SUMPRODUCT((実績!$C$6:$C$505="○")*ISNUMBER(実績!$AF$6:$AF$505)*(実績!$AF$6:$AF$505&lt;=$A109)*(実績!$AG$6:$AG$505&gt;$A109))</f>
        <v/>
      </c>
      <c r="DU109">
        <f>SUMIF($C$2:$DR$2,"製鉄曳船",C109:DR109)</f>
        <v/>
      </c>
      <c r="DV109">
        <f>SUMIF($C$2:$DR$2,"西日本海運",C109:DR109)</f>
        <v/>
      </c>
    </row>
    <row r="110">
      <c r="A110" t="n">
        <v>520</v>
      </c>
      <c r="B110" s="29">
        <f>A110/1440</f>
        <v/>
      </c>
      <c r="C110">
        <f>IF(C$4=0,0,IF(COUNTIFS(実績!$W$6:$W$505,C$3,実績!$AC$6:$AC$505,"&lt;="&amp;$A110,実績!$AD$6:$AD$505,"&gt;"&amp;$A110,実績!$AE$6:$AE$505,"○")&gt;0,1,0))</f>
        <v/>
      </c>
      <c r="D110">
        <f>IF(D$4=0,0,IF(COUNTIFS(実績!$W$6:$W$505,D$3,実績!$AC$6:$AC$505,"&lt;="&amp;$A110,実績!$AD$6:$AD$505,"&gt;"&amp;$A110,実績!$AE$6:$AE$505,"○")&gt;0,1,0))</f>
        <v/>
      </c>
      <c r="E110">
        <f>IF(E$4=0,0,IF(COUNTIFS(実績!$W$6:$W$505,E$3,実績!$AC$6:$AC$505,"&lt;="&amp;$A110,実績!$AD$6:$AD$505,"&gt;"&amp;$A110,実績!$AE$6:$AE$505,"○")&gt;0,1,0))</f>
        <v/>
      </c>
      <c r="F110">
        <f>IF(F$4=0,0,IF(COUNTIFS(実績!$W$6:$W$505,F$3,実績!$AC$6:$AC$505,"&lt;="&amp;$A110,実績!$AD$6:$AD$505,"&gt;"&amp;$A110,実績!$AE$6:$AE$505,"○")&gt;0,1,0))</f>
        <v/>
      </c>
      <c r="G110">
        <f>IF(G$4=0,0,IF(COUNTIFS(実績!$W$6:$W$505,G$3,実績!$AC$6:$AC$505,"&lt;="&amp;$A110,実績!$AD$6:$AD$505,"&gt;"&amp;$A110,実績!$AE$6:$AE$505,"○")&gt;0,1,0))</f>
        <v/>
      </c>
      <c r="H110">
        <f>IF(H$4=0,0,IF(COUNTIFS(実績!$W$6:$W$505,H$3,実績!$AC$6:$AC$505,"&lt;="&amp;$A110,実績!$AD$6:$AD$505,"&gt;"&amp;$A110,実績!$AE$6:$AE$505,"○")&gt;0,1,0))</f>
        <v/>
      </c>
      <c r="I110">
        <f>IF(I$4=0,0,IF(COUNTIFS(実績!$W$6:$W$505,I$3,実績!$AC$6:$AC$505,"&lt;="&amp;$A110,実績!$AD$6:$AD$505,"&gt;"&amp;$A110,実績!$AE$6:$AE$505,"○")&gt;0,1,0))</f>
        <v/>
      </c>
      <c r="J110">
        <f>IF(J$4=0,0,IF(COUNTIFS(実績!$W$6:$W$505,J$3,実績!$AC$6:$AC$505,"&lt;="&amp;$A110,実績!$AD$6:$AD$505,"&gt;"&amp;$A110,実績!$AE$6:$AE$505,"○")&gt;0,1,0))</f>
        <v/>
      </c>
      <c r="K110">
        <f>IF(K$4=0,0,IF(COUNTIFS(実績!$W$6:$W$505,K$3,実績!$AC$6:$AC$505,"&lt;="&amp;$A110,実績!$AD$6:$AD$505,"&gt;"&amp;$A110,実績!$AE$6:$AE$505,"○")&gt;0,1,0))</f>
        <v/>
      </c>
      <c r="L110">
        <f>IF(L$4=0,0,IF(COUNTIFS(実績!$W$6:$W$505,L$3,実績!$AC$6:$AC$505,"&lt;="&amp;$A110,実績!$AD$6:$AD$505,"&gt;"&amp;$A110,実績!$AE$6:$AE$505,"○")&gt;0,1,0))</f>
        <v/>
      </c>
      <c r="M110">
        <f>IF(M$4=0,0,IF(COUNTIFS(実績!$W$6:$W$505,M$3,実績!$AC$6:$AC$505,"&lt;="&amp;$A110,実績!$AD$6:$AD$505,"&gt;"&amp;$A110,実績!$AE$6:$AE$505,"○")&gt;0,1,0))</f>
        <v/>
      </c>
      <c r="N110">
        <f>IF(N$4=0,0,IF(COUNTIFS(実績!$W$6:$W$505,N$3,実績!$AC$6:$AC$505,"&lt;="&amp;$A110,実績!$AD$6:$AD$505,"&gt;"&amp;$A110,実績!$AE$6:$AE$505,"○")&gt;0,1,0))</f>
        <v/>
      </c>
      <c r="O110">
        <f>IF(O$4=0,0,IF(COUNTIFS(実績!$W$6:$W$505,O$3,実績!$AC$6:$AC$505,"&lt;="&amp;$A110,実績!$AD$6:$AD$505,"&gt;"&amp;$A110,実績!$AE$6:$AE$505,"○")&gt;0,1,0))</f>
        <v/>
      </c>
      <c r="P110">
        <f>IF(P$4=0,0,IF(COUNTIFS(実績!$W$6:$W$505,P$3,実績!$AC$6:$AC$505,"&lt;="&amp;$A110,実績!$AD$6:$AD$505,"&gt;"&amp;$A110,実績!$AE$6:$AE$505,"○")&gt;0,1,0))</f>
        <v/>
      </c>
      <c r="Q110">
        <f>IF(Q$4=0,0,IF(COUNTIFS(実績!$W$6:$W$505,Q$3,実績!$AC$6:$AC$505,"&lt;="&amp;$A110,実績!$AD$6:$AD$505,"&gt;"&amp;$A110,実績!$AE$6:$AE$505,"○")&gt;0,1,0))</f>
        <v/>
      </c>
      <c r="R110">
        <f>IF(R$4=0,0,IF(COUNTIFS(実績!$W$6:$W$505,R$3,実績!$AC$6:$AC$505,"&lt;="&amp;$A110,実績!$AD$6:$AD$505,"&gt;"&amp;$A110,実績!$AE$6:$AE$505,"○")&gt;0,1,0))</f>
        <v/>
      </c>
      <c r="S110">
        <f>IF(S$4=0,0,IF(COUNTIFS(実績!$W$6:$W$505,S$3,実績!$AC$6:$AC$505,"&lt;="&amp;$A110,実績!$AD$6:$AD$505,"&gt;"&amp;$A110,実績!$AE$6:$AE$505,"○")&gt;0,1,0))</f>
        <v/>
      </c>
      <c r="T110">
        <f>IF(T$4=0,0,IF(COUNTIFS(実績!$W$6:$W$505,T$3,実績!$AC$6:$AC$505,"&lt;="&amp;$A110,実績!$AD$6:$AD$505,"&gt;"&amp;$A110,実績!$AE$6:$AE$505,"○")&gt;0,1,0))</f>
        <v/>
      </c>
      <c r="U110">
        <f>IF(U$4=0,0,IF(COUNTIFS(実績!$W$6:$W$505,U$3,実績!$AC$6:$AC$505,"&lt;="&amp;$A110,実績!$AD$6:$AD$505,"&gt;"&amp;$A110,実績!$AE$6:$AE$505,"○")&gt;0,1,0))</f>
        <v/>
      </c>
      <c r="V110">
        <f>IF(V$4=0,0,IF(COUNTIFS(実績!$W$6:$W$505,V$3,実績!$AC$6:$AC$505,"&lt;="&amp;$A110,実績!$AD$6:$AD$505,"&gt;"&amp;$A110,実績!$AE$6:$AE$505,"○")&gt;0,1,0))</f>
        <v/>
      </c>
      <c r="W110">
        <f>IF(W$4=0,0,IF(COUNTIFS(実績!$W$6:$W$505,W$3,実績!$AC$6:$AC$505,"&lt;="&amp;$A110,実績!$AD$6:$AD$505,"&gt;"&amp;$A110,実績!$AE$6:$AE$505,"○")&gt;0,1,0))</f>
        <v/>
      </c>
      <c r="X110">
        <f>IF(X$4=0,0,IF(COUNTIFS(実績!$W$6:$W$505,X$3,実績!$AC$6:$AC$505,"&lt;="&amp;$A110,実績!$AD$6:$AD$505,"&gt;"&amp;$A110,実績!$AE$6:$AE$505,"○")&gt;0,1,0))</f>
        <v/>
      </c>
      <c r="Y110">
        <f>IF(Y$4=0,0,IF(COUNTIFS(実績!$W$6:$W$505,Y$3,実績!$AC$6:$AC$505,"&lt;="&amp;$A110,実績!$AD$6:$AD$505,"&gt;"&amp;$A110,実績!$AE$6:$AE$505,"○")&gt;0,1,0))</f>
        <v/>
      </c>
      <c r="Z110">
        <f>IF(Z$4=0,0,IF(COUNTIFS(実績!$W$6:$W$505,Z$3,実績!$AC$6:$AC$505,"&lt;="&amp;$A110,実績!$AD$6:$AD$505,"&gt;"&amp;$A110,実績!$AE$6:$AE$505,"○")&gt;0,1,0))</f>
        <v/>
      </c>
      <c r="AA110">
        <f>IF(AA$4=0,0,IF(COUNTIFS(実績!$W$6:$W$505,AA$3,実績!$AC$6:$AC$505,"&lt;="&amp;$A110,実績!$AD$6:$AD$505,"&gt;"&amp;$A110,実績!$AE$6:$AE$505,"○")&gt;0,1,0))</f>
        <v/>
      </c>
      <c r="AB110">
        <f>IF(AB$4=0,0,IF(COUNTIFS(実績!$W$6:$W$505,AB$3,実績!$AC$6:$AC$505,"&lt;="&amp;$A110,実績!$AD$6:$AD$505,"&gt;"&amp;$A110,実績!$AE$6:$AE$505,"○")&gt;0,1,0))</f>
        <v/>
      </c>
      <c r="AC110">
        <f>IF(AC$4=0,0,IF(COUNTIFS(実績!$W$6:$W$505,AC$3,実績!$AC$6:$AC$505,"&lt;="&amp;$A110,実績!$AD$6:$AD$505,"&gt;"&amp;$A110,実績!$AE$6:$AE$505,"○")&gt;0,1,0))</f>
        <v/>
      </c>
      <c r="AD110">
        <f>IF(AD$4=0,0,IF(COUNTIFS(実績!$W$6:$W$505,AD$3,実績!$AC$6:$AC$505,"&lt;="&amp;$A110,実績!$AD$6:$AD$505,"&gt;"&amp;$A110,実績!$AE$6:$AE$505,"○")&gt;0,1,0))</f>
        <v/>
      </c>
      <c r="AE110">
        <f>IF(AE$4=0,0,IF(COUNTIFS(実績!$W$6:$W$505,AE$3,実績!$AC$6:$AC$505,"&lt;="&amp;$A110,実績!$AD$6:$AD$505,"&gt;"&amp;$A110,実績!$AE$6:$AE$505,"○")&gt;0,1,0))</f>
        <v/>
      </c>
      <c r="AF110">
        <f>IF(AF$4=0,0,IF(COUNTIFS(実績!$W$6:$W$505,AF$3,実績!$AC$6:$AC$505,"&lt;="&amp;$A110,実績!$AD$6:$AD$505,"&gt;"&amp;$A110,実績!$AE$6:$AE$505,"○")&gt;0,1,0))</f>
        <v/>
      </c>
      <c r="AG110">
        <f>IF(AG$4=0,0,IF(COUNTIFS(実績!$W$6:$W$505,AG$3,実績!$AC$6:$AC$505,"&lt;="&amp;$A110,実績!$AD$6:$AD$505,"&gt;"&amp;$A110,実績!$AE$6:$AE$505,"○")&gt;0,1,0))</f>
        <v/>
      </c>
      <c r="AH110">
        <f>IF(AH$4=0,0,IF(COUNTIFS(実績!$W$6:$W$505,AH$3,実績!$AC$6:$AC$505,"&lt;="&amp;$A110,実績!$AD$6:$AD$505,"&gt;"&amp;$A110,実績!$AE$6:$AE$505,"○")&gt;0,1,0))</f>
        <v/>
      </c>
      <c r="AI110">
        <f>IF(AI$4=0,0,IF(COUNTIFS(実績!$W$6:$W$505,AI$3,実績!$AC$6:$AC$505,"&lt;="&amp;$A110,実績!$AD$6:$AD$505,"&gt;"&amp;$A110,実績!$AE$6:$AE$505,"○")&gt;0,1,0))</f>
        <v/>
      </c>
      <c r="AJ110">
        <f>IF(AJ$4=0,0,IF(COUNTIFS(実績!$W$6:$W$505,AJ$3,実績!$AC$6:$AC$505,"&lt;="&amp;$A110,実績!$AD$6:$AD$505,"&gt;"&amp;$A110,実績!$AE$6:$AE$505,"○")&gt;0,1,0))</f>
        <v/>
      </c>
      <c r="AK110">
        <f>IF(AK$4=0,0,IF(COUNTIFS(実績!$W$6:$W$505,AK$3,実績!$AC$6:$AC$505,"&lt;="&amp;$A110,実績!$AD$6:$AD$505,"&gt;"&amp;$A110,実績!$AE$6:$AE$505,"○")&gt;0,1,0))</f>
        <v/>
      </c>
      <c r="AL110">
        <f>IF(AL$4=0,0,IF(COUNTIFS(実績!$W$6:$W$505,AL$3,実績!$AC$6:$AC$505,"&lt;="&amp;$A110,実績!$AD$6:$AD$505,"&gt;"&amp;$A110,実績!$AE$6:$AE$505,"○")&gt;0,1,0))</f>
        <v/>
      </c>
      <c r="AM110">
        <f>IF(AM$4=0,0,IF(COUNTIFS(実績!$W$6:$W$505,AM$3,実績!$AC$6:$AC$505,"&lt;="&amp;$A110,実績!$AD$6:$AD$505,"&gt;"&amp;$A110,実績!$AE$6:$AE$505,"○")&gt;0,1,0))</f>
        <v/>
      </c>
      <c r="AN110">
        <f>IF(AN$4=0,0,IF(COUNTIFS(実績!$W$6:$W$505,AN$3,実績!$AC$6:$AC$505,"&lt;="&amp;$A110,実績!$AD$6:$AD$505,"&gt;"&amp;$A110,実績!$AE$6:$AE$505,"○")&gt;0,1,0))</f>
        <v/>
      </c>
      <c r="AO110">
        <f>IF(AO$4=0,0,IF(COUNTIFS(実績!$W$6:$W$505,AO$3,実績!$AC$6:$AC$505,"&lt;="&amp;$A110,実績!$AD$6:$AD$505,"&gt;"&amp;$A110,実績!$AE$6:$AE$505,"○")&gt;0,1,0))</f>
        <v/>
      </c>
      <c r="AP110">
        <f>IF(AP$4=0,0,IF(COUNTIFS(実績!$W$6:$W$505,AP$3,実績!$AC$6:$AC$505,"&lt;="&amp;$A110,実績!$AD$6:$AD$505,"&gt;"&amp;$A110,実績!$AE$6:$AE$505,"○")&gt;0,1,0))</f>
        <v/>
      </c>
      <c r="AQ110">
        <f>IF(AQ$4=0,0,IF(COUNTIFS(実績!$W$6:$W$505,AQ$3,実績!$AC$6:$AC$505,"&lt;="&amp;$A110,実績!$AD$6:$AD$505,"&gt;"&amp;$A110,実績!$AE$6:$AE$505,"○")&gt;0,1,0))</f>
        <v/>
      </c>
      <c r="AR110">
        <f>IF(AR$4=0,0,IF(COUNTIFS(実績!$W$6:$W$505,AR$3,実績!$AC$6:$AC$505,"&lt;="&amp;$A110,実績!$AD$6:$AD$505,"&gt;"&amp;$A110,実績!$AE$6:$AE$505,"○")&gt;0,1,0))</f>
        <v/>
      </c>
      <c r="AS110">
        <f>IF(AS$4=0,0,IF(COUNTIFS(実績!$W$6:$W$505,AS$3,実績!$AC$6:$AC$505,"&lt;="&amp;$A110,実績!$AD$6:$AD$505,"&gt;"&amp;$A110,実績!$AE$6:$AE$505,"○")&gt;0,1,0))</f>
        <v/>
      </c>
      <c r="AT110">
        <f>IF(AT$4=0,0,IF(COUNTIFS(実績!$W$6:$W$505,AT$3,実績!$AC$6:$AC$505,"&lt;="&amp;$A110,実績!$AD$6:$AD$505,"&gt;"&amp;$A110,実績!$AE$6:$AE$505,"○")&gt;0,1,0))</f>
        <v/>
      </c>
      <c r="AU110">
        <f>IF(AU$4=0,0,IF(COUNTIFS(実績!$W$6:$W$505,AU$3,実績!$AC$6:$AC$505,"&lt;="&amp;$A110,実績!$AD$6:$AD$505,"&gt;"&amp;$A110,実績!$AE$6:$AE$505,"○")&gt;0,1,0))</f>
        <v/>
      </c>
      <c r="AV110">
        <f>IF(AV$4=0,0,IF(COUNTIFS(実績!$W$6:$W$505,AV$3,実績!$AC$6:$AC$505,"&lt;="&amp;$A110,実績!$AD$6:$AD$505,"&gt;"&amp;$A110,実績!$AE$6:$AE$505,"○")&gt;0,1,0))</f>
        <v/>
      </c>
      <c r="AW110">
        <f>IF(AW$4=0,0,IF(COUNTIFS(実績!$W$6:$W$505,AW$3,実績!$AC$6:$AC$505,"&lt;="&amp;$A110,実績!$AD$6:$AD$505,"&gt;"&amp;$A110,実績!$AE$6:$AE$505,"○")&gt;0,1,0))</f>
        <v/>
      </c>
      <c r="AX110">
        <f>IF(AX$4=0,0,IF(COUNTIFS(実績!$W$6:$W$505,AX$3,実績!$AC$6:$AC$505,"&lt;="&amp;$A110,実績!$AD$6:$AD$505,"&gt;"&amp;$A110,実績!$AE$6:$AE$505,"○")&gt;0,1,0))</f>
        <v/>
      </c>
      <c r="AY110">
        <f>IF(AY$4=0,0,IF(COUNTIFS(実績!$W$6:$W$505,AY$3,実績!$AC$6:$AC$505,"&lt;="&amp;$A110,実績!$AD$6:$AD$505,"&gt;"&amp;$A110,実績!$AE$6:$AE$505,"○")&gt;0,1,0))</f>
        <v/>
      </c>
      <c r="AZ110">
        <f>IF(AZ$4=0,0,IF(COUNTIFS(実績!$W$6:$W$505,AZ$3,実績!$AC$6:$AC$505,"&lt;="&amp;$A110,実績!$AD$6:$AD$505,"&gt;"&amp;$A110,実績!$AE$6:$AE$505,"○")&gt;0,1,0))</f>
        <v/>
      </c>
      <c r="BA110">
        <f>IF(BA$4=0,0,IF(COUNTIFS(実績!$W$6:$W$505,BA$3,実績!$AC$6:$AC$505,"&lt;="&amp;$A110,実績!$AD$6:$AD$505,"&gt;"&amp;$A110,実績!$AE$6:$AE$505,"○")&gt;0,1,0))</f>
        <v/>
      </c>
      <c r="BB110">
        <f>IF(BB$4=0,0,IF(COUNTIFS(実績!$W$6:$W$505,BB$3,実績!$AC$6:$AC$505,"&lt;="&amp;$A110,実績!$AD$6:$AD$505,"&gt;"&amp;$A110,実績!$AE$6:$AE$505,"○")&gt;0,1,0))</f>
        <v/>
      </c>
      <c r="BC110">
        <f>IF(BC$4=0,0,IF(COUNTIFS(実績!$W$6:$W$505,BC$3,実績!$AC$6:$AC$505,"&lt;="&amp;$A110,実績!$AD$6:$AD$505,"&gt;"&amp;$A110,実績!$AE$6:$AE$505,"○")&gt;0,1,0))</f>
        <v/>
      </c>
      <c r="BD110">
        <f>IF(BD$4=0,0,IF(COUNTIFS(実績!$W$6:$W$505,BD$3,実績!$AC$6:$AC$505,"&lt;="&amp;$A110,実績!$AD$6:$AD$505,"&gt;"&amp;$A110,実績!$AE$6:$AE$505,"○")&gt;0,1,0))</f>
        <v/>
      </c>
      <c r="BE110">
        <f>IF(BE$4=0,0,IF(COUNTIFS(実績!$W$6:$W$505,BE$3,実績!$AC$6:$AC$505,"&lt;="&amp;$A110,実績!$AD$6:$AD$505,"&gt;"&amp;$A110,実績!$AE$6:$AE$505,"○")&gt;0,1,0))</f>
        <v/>
      </c>
      <c r="BF110">
        <f>IF(BF$4=0,0,IF(COUNTIFS(実績!$W$6:$W$505,BF$3,実績!$AC$6:$AC$505,"&lt;="&amp;$A110,実績!$AD$6:$AD$505,"&gt;"&amp;$A110,実績!$AE$6:$AE$505,"○")&gt;0,1,0))</f>
        <v/>
      </c>
      <c r="BG110">
        <f>IF(BG$4=0,0,IF(COUNTIFS(実績!$W$6:$W$505,BG$3,実績!$AC$6:$AC$505,"&lt;="&amp;$A110,実績!$AD$6:$AD$505,"&gt;"&amp;$A110,実績!$AE$6:$AE$505,"○")&gt;0,1,0))</f>
        <v/>
      </c>
      <c r="BH110">
        <f>IF(BH$4=0,0,IF(COUNTIFS(実績!$W$6:$W$505,BH$3,実績!$AC$6:$AC$505,"&lt;="&amp;$A110,実績!$AD$6:$AD$505,"&gt;"&amp;$A110,実績!$AE$6:$AE$505,"○")&gt;0,1,0))</f>
        <v/>
      </c>
      <c r="BI110">
        <f>IF(BI$4=0,0,IF(COUNTIFS(実績!$W$6:$W$505,BI$3,実績!$AC$6:$AC$505,"&lt;="&amp;$A110,実績!$AD$6:$AD$505,"&gt;"&amp;$A110,実績!$AE$6:$AE$505,"○")&gt;0,1,0))</f>
        <v/>
      </c>
      <c r="BJ110">
        <f>IF(BJ$4=0,0,IF(COUNTIFS(実績!$W$6:$W$505,BJ$3,実績!$AC$6:$AC$505,"&lt;="&amp;$A110,実績!$AD$6:$AD$505,"&gt;"&amp;$A110,実績!$AE$6:$AE$505,"○")&gt;0,1,0))</f>
        <v/>
      </c>
      <c r="BK110">
        <f>IF(BK$4=0,0,IF(COUNTIFS(実績!$W$6:$W$505,BK$3,実績!$AC$6:$AC$505,"&lt;="&amp;$A110,実績!$AD$6:$AD$505,"&gt;"&amp;$A110,実績!$AE$6:$AE$505,"○")&gt;0,1,0))</f>
        <v/>
      </c>
      <c r="BL110">
        <f>IF(BL$4=0,0,IF(COUNTIFS(実績!$W$6:$W$505,BL$3,実績!$AC$6:$AC$505,"&lt;="&amp;$A110,実績!$AD$6:$AD$505,"&gt;"&amp;$A110,実績!$AE$6:$AE$505,"○")&gt;0,1,0))</f>
        <v/>
      </c>
      <c r="BM110">
        <f>IF(BM$4=0,0,IF(COUNTIFS(実績!$W$6:$W$505,BM$3,実績!$AC$6:$AC$505,"&lt;="&amp;$A110,実績!$AD$6:$AD$505,"&gt;"&amp;$A110,実績!$AE$6:$AE$505,"○")&gt;0,1,0))</f>
        <v/>
      </c>
      <c r="BN110">
        <f>IF(BN$4=0,0,IF(COUNTIFS(実績!$W$6:$W$505,BN$3,実績!$AC$6:$AC$505,"&lt;="&amp;$A110,実績!$AD$6:$AD$505,"&gt;"&amp;$A110,実績!$AE$6:$AE$505,"○")&gt;0,1,0))</f>
        <v/>
      </c>
      <c r="BO110">
        <f>IF(BO$4=0,0,IF(COUNTIFS(実績!$W$6:$W$505,BO$3,実績!$AC$6:$AC$505,"&lt;="&amp;$A110,実績!$AD$6:$AD$505,"&gt;"&amp;$A110,実績!$AE$6:$AE$505,"○")&gt;0,1,0))</f>
        <v/>
      </c>
      <c r="BP110">
        <f>IF(BP$4=0,0,IF(COUNTIFS(実績!$W$6:$W$505,BP$3,実績!$AC$6:$AC$505,"&lt;="&amp;$A110,実績!$AD$6:$AD$505,"&gt;"&amp;$A110,実績!$AE$6:$AE$505,"○")&gt;0,1,0))</f>
        <v/>
      </c>
      <c r="BQ110">
        <f>IF(BQ$4=0,0,IF(COUNTIFS(実績!$W$6:$W$505,BQ$3,実績!$AC$6:$AC$505,"&lt;="&amp;$A110,実績!$AD$6:$AD$505,"&gt;"&amp;$A110,実績!$AE$6:$AE$505,"○")&gt;0,1,0))</f>
        <v/>
      </c>
      <c r="BR110">
        <f>IF(BR$4=0,0,IF(COUNTIFS(実績!$W$6:$W$505,BR$3,実績!$AC$6:$AC$505,"&lt;="&amp;$A110,実績!$AD$6:$AD$505,"&gt;"&amp;$A110,実績!$AE$6:$AE$505,"○")&gt;0,1,0))</f>
        <v/>
      </c>
      <c r="BS110">
        <f>IF(BS$4=0,0,IF(COUNTIFS(実績!$W$6:$W$505,BS$3,実績!$AC$6:$AC$505,"&lt;="&amp;$A110,実績!$AD$6:$AD$505,"&gt;"&amp;$A110,実績!$AE$6:$AE$505,"○")&gt;0,1,0))</f>
        <v/>
      </c>
      <c r="BT110">
        <f>IF(BT$4=0,0,IF(COUNTIFS(実績!$W$6:$W$505,BT$3,実績!$AC$6:$AC$505,"&lt;="&amp;$A110,実績!$AD$6:$AD$505,"&gt;"&amp;$A110,実績!$AE$6:$AE$505,"○")&gt;0,1,0))</f>
        <v/>
      </c>
      <c r="BU110">
        <f>IF(BU$4=0,0,IF(COUNTIFS(実績!$W$6:$W$505,BU$3,実績!$AC$6:$AC$505,"&lt;="&amp;$A110,実績!$AD$6:$AD$505,"&gt;"&amp;$A110,実績!$AE$6:$AE$505,"○")&gt;0,1,0))</f>
        <v/>
      </c>
      <c r="BV110">
        <f>IF(BV$4=0,0,IF(COUNTIFS(実績!$W$6:$W$505,BV$3,実績!$AC$6:$AC$505,"&lt;="&amp;$A110,実績!$AD$6:$AD$505,"&gt;"&amp;$A110,実績!$AE$6:$AE$505,"○")&gt;0,1,0))</f>
        <v/>
      </c>
      <c r="BW110">
        <f>IF(BW$4=0,0,IF(COUNTIFS(実績!$W$6:$W$505,BW$3,実績!$AC$6:$AC$505,"&lt;="&amp;$A110,実績!$AD$6:$AD$505,"&gt;"&amp;$A110,実績!$AE$6:$AE$505,"○")&gt;0,1,0))</f>
        <v/>
      </c>
      <c r="BX110">
        <f>IF(BX$4=0,0,IF(COUNTIFS(実績!$W$6:$W$505,BX$3,実績!$AC$6:$AC$505,"&lt;="&amp;$A110,実績!$AD$6:$AD$505,"&gt;"&amp;$A110,実績!$AE$6:$AE$505,"○")&gt;0,1,0))</f>
        <v/>
      </c>
      <c r="BY110">
        <f>IF(BY$4=0,0,IF(COUNTIFS(実績!$W$6:$W$505,BY$3,実績!$AC$6:$AC$505,"&lt;="&amp;$A110,実績!$AD$6:$AD$505,"&gt;"&amp;$A110,実績!$AE$6:$AE$505,"○")&gt;0,1,0))</f>
        <v/>
      </c>
      <c r="BZ110">
        <f>IF(BZ$4=0,0,IF(COUNTIFS(実績!$W$6:$W$505,BZ$3,実績!$AC$6:$AC$505,"&lt;="&amp;$A110,実績!$AD$6:$AD$505,"&gt;"&amp;$A110,実績!$AE$6:$AE$505,"○")&gt;0,1,0))</f>
        <v/>
      </c>
      <c r="CA110">
        <f>IF(CA$4=0,0,IF(COUNTIFS(実績!$W$6:$W$505,CA$3,実績!$AC$6:$AC$505,"&lt;="&amp;$A110,実績!$AD$6:$AD$505,"&gt;"&amp;$A110,実績!$AE$6:$AE$505,"○")&gt;0,1,0))</f>
        <v/>
      </c>
      <c r="CB110">
        <f>IF(CB$4=0,0,IF(COUNTIFS(実績!$W$6:$W$505,CB$3,実績!$AC$6:$AC$505,"&lt;="&amp;$A110,実績!$AD$6:$AD$505,"&gt;"&amp;$A110,実績!$AE$6:$AE$505,"○")&gt;0,1,0))</f>
        <v/>
      </c>
      <c r="CC110">
        <f>IF(CC$4=0,0,IF(COUNTIFS(実績!$W$6:$W$505,CC$3,実績!$AC$6:$AC$505,"&lt;="&amp;$A110,実績!$AD$6:$AD$505,"&gt;"&amp;$A110,実績!$AE$6:$AE$505,"○")&gt;0,1,0))</f>
        <v/>
      </c>
      <c r="CD110">
        <f>IF(CD$4=0,0,IF(COUNTIFS(実績!$W$6:$W$505,CD$3,実績!$AC$6:$AC$505,"&lt;="&amp;$A110,実績!$AD$6:$AD$505,"&gt;"&amp;$A110,実績!$AE$6:$AE$505,"○")&gt;0,1,0))</f>
        <v/>
      </c>
      <c r="CE110">
        <f>IF(CE$4=0,0,IF(COUNTIFS(実績!$W$6:$W$505,CE$3,実績!$AC$6:$AC$505,"&lt;="&amp;$A110,実績!$AD$6:$AD$505,"&gt;"&amp;$A110,実績!$AE$6:$AE$505,"○")&gt;0,1,0))</f>
        <v/>
      </c>
      <c r="CF110">
        <f>IF(CF$4=0,0,IF(COUNTIFS(実績!$W$6:$W$505,CF$3,実績!$AC$6:$AC$505,"&lt;="&amp;$A110,実績!$AD$6:$AD$505,"&gt;"&amp;$A110,実績!$AE$6:$AE$505,"○")&gt;0,1,0))</f>
        <v/>
      </c>
      <c r="CG110">
        <f>IF(CG$4=0,0,IF(COUNTIFS(実績!$W$6:$W$505,CG$3,実績!$AC$6:$AC$505,"&lt;="&amp;$A110,実績!$AD$6:$AD$505,"&gt;"&amp;$A110,実績!$AE$6:$AE$505,"○")&gt;0,1,0))</f>
        <v/>
      </c>
      <c r="CH110">
        <f>IF(CH$4=0,0,IF(COUNTIFS(実績!$W$6:$W$505,CH$3,実績!$AC$6:$AC$505,"&lt;="&amp;$A110,実績!$AD$6:$AD$505,"&gt;"&amp;$A110,実績!$AE$6:$AE$505,"○")&gt;0,1,0))</f>
        <v/>
      </c>
      <c r="CI110">
        <f>IF(CI$4=0,0,IF(COUNTIFS(実績!$W$6:$W$505,CI$3,実績!$AC$6:$AC$505,"&lt;="&amp;$A110,実績!$AD$6:$AD$505,"&gt;"&amp;$A110,実績!$AE$6:$AE$505,"○")&gt;0,1,0))</f>
        <v/>
      </c>
      <c r="CJ110">
        <f>IF(CJ$4=0,0,IF(COUNTIFS(実績!$W$6:$W$505,CJ$3,実績!$AC$6:$AC$505,"&lt;="&amp;$A110,実績!$AD$6:$AD$505,"&gt;"&amp;$A110,実績!$AE$6:$AE$505,"○")&gt;0,1,0))</f>
        <v/>
      </c>
      <c r="CK110">
        <f>IF(CK$4=0,0,IF(COUNTIFS(実績!$W$6:$W$505,CK$3,実績!$AC$6:$AC$505,"&lt;="&amp;$A110,実績!$AD$6:$AD$505,"&gt;"&amp;$A110,実績!$AE$6:$AE$505,"○")&gt;0,1,0))</f>
        <v/>
      </c>
      <c r="CL110">
        <f>IF(CL$4=0,0,IF(COUNTIFS(実績!$W$6:$W$505,CL$3,実績!$AC$6:$AC$505,"&lt;="&amp;$A110,実績!$AD$6:$AD$505,"&gt;"&amp;$A110,実績!$AE$6:$AE$505,"○")&gt;0,1,0))</f>
        <v/>
      </c>
      <c r="CM110">
        <f>IF(CM$4=0,0,IF(COUNTIFS(実績!$W$6:$W$505,CM$3,実績!$AC$6:$AC$505,"&lt;="&amp;$A110,実績!$AD$6:$AD$505,"&gt;"&amp;$A110,実績!$AE$6:$AE$505,"○")&gt;0,1,0))</f>
        <v/>
      </c>
      <c r="CN110">
        <f>IF(CN$4=0,0,IF(COUNTIFS(実績!$W$6:$W$505,CN$3,実績!$AC$6:$AC$505,"&lt;="&amp;$A110,実績!$AD$6:$AD$505,"&gt;"&amp;$A110,実績!$AE$6:$AE$505,"○")&gt;0,1,0))</f>
        <v/>
      </c>
      <c r="CO110">
        <f>IF(CO$4=0,0,IF(COUNTIFS(実績!$W$6:$W$505,CO$3,実績!$AC$6:$AC$505,"&lt;="&amp;$A110,実績!$AD$6:$AD$505,"&gt;"&amp;$A110,実績!$AE$6:$AE$505,"○")&gt;0,1,0))</f>
        <v/>
      </c>
      <c r="CP110">
        <f>IF(CP$4=0,0,IF(COUNTIFS(実績!$W$6:$W$505,CP$3,実績!$AC$6:$AC$505,"&lt;="&amp;$A110,実績!$AD$6:$AD$505,"&gt;"&amp;$A110,実績!$AE$6:$AE$505,"○")&gt;0,1,0))</f>
        <v/>
      </c>
      <c r="CQ110">
        <f>IF(CQ$4=0,0,IF(COUNTIFS(実績!$W$6:$W$505,CQ$3,実績!$AC$6:$AC$505,"&lt;="&amp;$A110,実績!$AD$6:$AD$505,"&gt;"&amp;$A110,実績!$AE$6:$AE$505,"○")&gt;0,1,0))</f>
        <v/>
      </c>
      <c r="CR110">
        <f>IF(CR$4=0,0,IF(COUNTIFS(実績!$W$6:$W$505,CR$3,実績!$AC$6:$AC$505,"&lt;="&amp;$A110,実績!$AD$6:$AD$505,"&gt;"&amp;$A110,実績!$AE$6:$AE$505,"○")&gt;0,1,0))</f>
        <v/>
      </c>
      <c r="CS110">
        <f>IF(CS$4=0,0,IF(COUNTIFS(実績!$W$6:$W$505,CS$3,実績!$AC$6:$AC$505,"&lt;="&amp;$A110,実績!$AD$6:$AD$505,"&gt;"&amp;$A110,実績!$AE$6:$AE$505,"○")&gt;0,1,0))</f>
        <v/>
      </c>
      <c r="CT110">
        <f>IF(CT$4=0,0,IF(COUNTIFS(実績!$W$6:$W$505,CT$3,実績!$AC$6:$AC$505,"&lt;="&amp;$A110,実績!$AD$6:$AD$505,"&gt;"&amp;$A110,実績!$AE$6:$AE$505,"○")&gt;0,1,0))</f>
        <v/>
      </c>
      <c r="CU110">
        <f>IF(CU$4=0,0,IF(COUNTIFS(実績!$W$6:$W$505,CU$3,実績!$AC$6:$AC$505,"&lt;="&amp;$A110,実績!$AD$6:$AD$505,"&gt;"&amp;$A110,実績!$AE$6:$AE$505,"○")&gt;0,1,0))</f>
        <v/>
      </c>
      <c r="CV110">
        <f>IF(CV$4=0,0,IF(COUNTIFS(実績!$W$6:$W$505,CV$3,実績!$AC$6:$AC$505,"&lt;="&amp;$A110,実績!$AD$6:$AD$505,"&gt;"&amp;$A110,実績!$AE$6:$AE$505,"○")&gt;0,1,0))</f>
        <v/>
      </c>
      <c r="CW110">
        <f>IF(CW$4=0,0,IF(COUNTIFS(実績!$W$6:$W$505,CW$3,実績!$AC$6:$AC$505,"&lt;="&amp;$A110,実績!$AD$6:$AD$505,"&gt;"&amp;$A110,実績!$AE$6:$AE$505,"○")&gt;0,1,0))</f>
        <v/>
      </c>
      <c r="CX110">
        <f>IF(CX$4=0,0,IF(COUNTIFS(実績!$W$6:$W$505,CX$3,実績!$AC$6:$AC$505,"&lt;="&amp;$A110,実績!$AD$6:$AD$505,"&gt;"&amp;$A110,実績!$AE$6:$AE$505,"○")&gt;0,1,0))</f>
        <v/>
      </c>
      <c r="CY110">
        <f>IF(CY$4=0,0,IF(COUNTIFS(実績!$W$6:$W$505,CY$3,実績!$AC$6:$AC$505,"&lt;="&amp;$A110,実績!$AD$6:$AD$505,"&gt;"&amp;$A110,実績!$AE$6:$AE$505,"○")&gt;0,1,0))</f>
        <v/>
      </c>
      <c r="CZ110">
        <f>IF(CZ$4=0,0,IF(COUNTIFS(実績!$W$6:$W$505,CZ$3,実績!$AC$6:$AC$505,"&lt;="&amp;$A110,実績!$AD$6:$AD$505,"&gt;"&amp;$A110,実績!$AE$6:$AE$505,"○")&gt;0,1,0))</f>
        <v/>
      </c>
      <c r="DA110">
        <f>IF(DA$4=0,0,IF(COUNTIFS(実績!$W$6:$W$505,DA$3,実績!$AC$6:$AC$505,"&lt;="&amp;$A110,実績!$AD$6:$AD$505,"&gt;"&amp;$A110,実績!$AE$6:$AE$505,"○")&gt;0,1,0))</f>
        <v/>
      </c>
      <c r="DB110">
        <f>IF(DB$4=0,0,IF(COUNTIFS(実績!$W$6:$W$505,DB$3,実績!$AC$6:$AC$505,"&lt;="&amp;$A110,実績!$AD$6:$AD$505,"&gt;"&amp;$A110,実績!$AE$6:$AE$505,"○")&gt;0,1,0))</f>
        <v/>
      </c>
      <c r="DC110">
        <f>IF(DC$4=0,0,IF(COUNTIFS(実績!$W$6:$W$505,DC$3,実績!$AC$6:$AC$505,"&lt;="&amp;$A110,実績!$AD$6:$AD$505,"&gt;"&amp;$A110,実績!$AE$6:$AE$505,"○")&gt;0,1,0))</f>
        <v/>
      </c>
      <c r="DD110">
        <f>IF(DD$4=0,0,IF(COUNTIFS(実績!$W$6:$W$505,DD$3,実績!$AC$6:$AC$505,"&lt;="&amp;$A110,実績!$AD$6:$AD$505,"&gt;"&amp;$A110,実績!$AE$6:$AE$505,"○")&gt;0,1,0))</f>
        <v/>
      </c>
      <c r="DE110">
        <f>IF(DE$4=0,0,IF(COUNTIFS(実績!$W$6:$W$505,DE$3,実績!$AC$6:$AC$505,"&lt;="&amp;$A110,実績!$AD$6:$AD$505,"&gt;"&amp;$A110,実績!$AE$6:$AE$505,"○")&gt;0,1,0))</f>
        <v/>
      </c>
      <c r="DF110">
        <f>IF(DF$4=0,0,IF(COUNTIFS(実績!$W$6:$W$505,DF$3,実績!$AC$6:$AC$505,"&lt;="&amp;$A110,実績!$AD$6:$AD$505,"&gt;"&amp;$A110,実績!$AE$6:$AE$505,"○")&gt;0,1,0))</f>
        <v/>
      </c>
      <c r="DG110">
        <f>IF(DG$4=0,0,IF(COUNTIFS(実績!$W$6:$W$505,DG$3,実績!$AC$6:$AC$505,"&lt;="&amp;$A110,実績!$AD$6:$AD$505,"&gt;"&amp;$A110,実績!$AE$6:$AE$505,"○")&gt;0,1,0))</f>
        <v/>
      </c>
      <c r="DH110">
        <f>IF(DH$4=0,0,IF(COUNTIFS(実績!$W$6:$W$505,DH$3,実績!$AC$6:$AC$505,"&lt;="&amp;$A110,実績!$AD$6:$AD$505,"&gt;"&amp;$A110,実績!$AE$6:$AE$505,"○")&gt;0,1,0))</f>
        <v/>
      </c>
      <c r="DI110">
        <f>IF(DI$4=0,0,IF(COUNTIFS(実績!$W$6:$W$505,DI$3,実績!$AC$6:$AC$505,"&lt;="&amp;$A110,実績!$AD$6:$AD$505,"&gt;"&amp;$A110,実績!$AE$6:$AE$505,"○")&gt;0,1,0))</f>
        <v/>
      </c>
      <c r="DJ110">
        <f>IF(DJ$4=0,0,IF(COUNTIFS(実績!$W$6:$W$505,DJ$3,実績!$AC$6:$AC$505,"&lt;="&amp;$A110,実績!$AD$6:$AD$505,"&gt;"&amp;$A110,実績!$AE$6:$AE$505,"○")&gt;0,1,0))</f>
        <v/>
      </c>
      <c r="DK110">
        <f>IF(DK$4=0,0,IF(COUNTIFS(実績!$W$6:$W$505,DK$3,実績!$AC$6:$AC$505,"&lt;="&amp;$A110,実績!$AD$6:$AD$505,"&gt;"&amp;$A110,実績!$AE$6:$AE$505,"○")&gt;0,1,0))</f>
        <v/>
      </c>
      <c r="DL110">
        <f>IF(DL$4=0,0,IF(COUNTIFS(実績!$W$6:$W$505,DL$3,実績!$AC$6:$AC$505,"&lt;="&amp;$A110,実績!$AD$6:$AD$505,"&gt;"&amp;$A110,実績!$AE$6:$AE$505,"○")&gt;0,1,0))</f>
        <v/>
      </c>
      <c r="DM110">
        <f>IF(DM$4=0,0,IF(COUNTIFS(実績!$W$6:$W$505,DM$3,実績!$AC$6:$AC$505,"&lt;="&amp;$A110,実績!$AD$6:$AD$505,"&gt;"&amp;$A110,実績!$AE$6:$AE$505,"○")&gt;0,1,0))</f>
        <v/>
      </c>
      <c r="DN110">
        <f>IF(DN$4=0,0,IF(COUNTIFS(実績!$W$6:$W$505,DN$3,実績!$AC$6:$AC$505,"&lt;="&amp;$A110,実績!$AD$6:$AD$505,"&gt;"&amp;$A110,実績!$AE$6:$AE$505,"○")&gt;0,1,0))</f>
        <v/>
      </c>
      <c r="DO110">
        <f>IF(DO$4=0,0,IF(COUNTIFS(実績!$W$6:$W$505,DO$3,実績!$AC$6:$AC$505,"&lt;="&amp;$A110,実績!$AD$6:$AD$505,"&gt;"&amp;$A110,実績!$AE$6:$AE$505,"○")&gt;0,1,0))</f>
        <v/>
      </c>
      <c r="DP110">
        <f>IF(DP$4=0,0,IF(COUNTIFS(実績!$W$6:$W$505,DP$3,実績!$AC$6:$AC$505,"&lt;="&amp;$A110,実績!$AD$6:$AD$505,"&gt;"&amp;$A110,実績!$AE$6:$AE$505,"○")&gt;0,1,0))</f>
        <v/>
      </c>
      <c r="DQ110">
        <f>IF(DQ$4=0,0,IF(COUNTIFS(実績!$W$6:$W$505,DQ$3,実績!$AC$6:$AC$505,"&lt;="&amp;$A110,実績!$AD$6:$AD$505,"&gt;"&amp;$A110,実績!$AE$6:$AE$505,"○")&gt;0,1,0))</f>
        <v/>
      </c>
      <c r="DR110">
        <f>IF(DR$4=0,0,IF(COUNTIFS(実績!$W$6:$W$505,DR$3,実績!$AC$6:$AC$505,"&lt;="&amp;$A110,実績!$AD$6:$AD$505,"&gt;"&amp;$A110,実績!$AE$6:$AE$505,"○")&gt;0,1,0))</f>
        <v/>
      </c>
      <c r="DS110">
        <f>SUM(C110:DR110)</f>
        <v/>
      </c>
      <c r="DT110">
        <f>SUMPRODUCT((実績!$C$6:$C$505="○")*ISNUMBER(実績!$AF$6:$AF$505)*(実績!$AF$6:$AF$505&lt;=$A110)*(実績!$AG$6:$AG$505&gt;$A110))</f>
        <v/>
      </c>
      <c r="DU110">
        <f>SUMIF($C$2:$DR$2,"製鉄曳船",C110:DR110)</f>
        <v/>
      </c>
      <c r="DV110">
        <f>SUMIF($C$2:$DR$2,"西日本海運",C110:DR110)</f>
        <v/>
      </c>
    </row>
    <row r="111">
      <c r="A111" t="n">
        <v>525</v>
      </c>
      <c r="B111" s="29">
        <f>A111/1440</f>
        <v/>
      </c>
      <c r="C111">
        <f>IF(C$4=0,0,IF(COUNTIFS(実績!$W$6:$W$505,C$3,実績!$AC$6:$AC$505,"&lt;="&amp;$A111,実績!$AD$6:$AD$505,"&gt;"&amp;$A111,実績!$AE$6:$AE$505,"○")&gt;0,1,0))</f>
        <v/>
      </c>
      <c r="D111">
        <f>IF(D$4=0,0,IF(COUNTIFS(実績!$W$6:$W$505,D$3,実績!$AC$6:$AC$505,"&lt;="&amp;$A111,実績!$AD$6:$AD$505,"&gt;"&amp;$A111,実績!$AE$6:$AE$505,"○")&gt;0,1,0))</f>
        <v/>
      </c>
      <c r="E111">
        <f>IF(E$4=0,0,IF(COUNTIFS(実績!$W$6:$W$505,E$3,実績!$AC$6:$AC$505,"&lt;="&amp;$A111,実績!$AD$6:$AD$505,"&gt;"&amp;$A111,実績!$AE$6:$AE$505,"○")&gt;0,1,0))</f>
        <v/>
      </c>
      <c r="F111">
        <f>IF(F$4=0,0,IF(COUNTIFS(実績!$W$6:$W$505,F$3,実績!$AC$6:$AC$505,"&lt;="&amp;$A111,実績!$AD$6:$AD$505,"&gt;"&amp;$A111,実績!$AE$6:$AE$505,"○")&gt;0,1,0))</f>
        <v/>
      </c>
      <c r="G111">
        <f>IF(G$4=0,0,IF(COUNTIFS(実績!$W$6:$W$505,G$3,実績!$AC$6:$AC$505,"&lt;="&amp;$A111,実績!$AD$6:$AD$505,"&gt;"&amp;$A111,実績!$AE$6:$AE$505,"○")&gt;0,1,0))</f>
        <v/>
      </c>
      <c r="H111">
        <f>IF(H$4=0,0,IF(COUNTIFS(実績!$W$6:$W$505,H$3,実績!$AC$6:$AC$505,"&lt;="&amp;$A111,実績!$AD$6:$AD$505,"&gt;"&amp;$A111,実績!$AE$6:$AE$505,"○")&gt;0,1,0))</f>
        <v/>
      </c>
      <c r="I111">
        <f>IF(I$4=0,0,IF(COUNTIFS(実績!$W$6:$W$505,I$3,実績!$AC$6:$AC$505,"&lt;="&amp;$A111,実績!$AD$6:$AD$505,"&gt;"&amp;$A111,実績!$AE$6:$AE$505,"○")&gt;0,1,0))</f>
        <v/>
      </c>
      <c r="J111">
        <f>IF(J$4=0,0,IF(COUNTIFS(実績!$W$6:$W$505,J$3,実績!$AC$6:$AC$505,"&lt;="&amp;$A111,実績!$AD$6:$AD$505,"&gt;"&amp;$A111,実績!$AE$6:$AE$505,"○")&gt;0,1,0))</f>
        <v/>
      </c>
      <c r="K111">
        <f>IF(K$4=0,0,IF(COUNTIFS(実績!$W$6:$W$505,K$3,実績!$AC$6:$AC$505,"&lt;="&amp;$A111,実績!$AD$6:$AD$505,"&gt;"&amp;$A111,実績!$AE$6:$AE$505,"○")&gt;0,1,0))</f>
        <v/>
      </c>
      <c r="L111">
        <f>IF(L$4=0,0,IF(COUNTIFS(実績!$W$6:$W$505,L$3,実績!$AC$6:$AC$505,"&lt;="&amp;$A111,実績!$AD$6:$AD$505,"&gt;"&amp;$A111,実績!$AE$6:$AE$505,"○")&gt;0,1,0))</f>
        <v/>
      </c>
      <c r="M111">
        <f>IF(M$4=0,0,IF(COUNTIFS(実績!$W$6:$W$505,M$3,実績!$AC$6:$AC$505,"&lt;="&amp;$A111,実績!$AD$6:$AD$505,"&gt;"&amp;$A111,実績!$AE$6:$AE$505,"○")&gt;0,1,0))</f>
        <v/>
      </c>
      <c r="N111">
        <f>IF(N$4=0,0,IF(COUNTIFS(実績!$W$6:$W$505,N$3,実績!$AC$6:$AC$505,"&lt;="&amp;$A111,実績!$AD$6:$AD$505,"&gt;"&amp;$A111,実績!$AE$6:$AE$505,"○")&gt;0,1,0))</f>
        <v/>
      </c>
      <c r="O111">
        <f>IF(O$4=0,0,IF(COUNTIFS(実績!$W$6:$W$505,O$3,実績!$AC$6:$AC$505,"&lt;="&amp;$A111,実績!$AD$6:$AD$505,"&gt;"&amp;$A111,実績!$AE$6:$AE$505,"○")&gt;0,1,0))</f>
        <v/>
      </c>
      <c r="P111">
        <f>IF(P$4=0,0,IF(COUNTIFS(実績!$W$6:$W$505,P$3,実績!$AC$6:$AC$505,"&lt;="&amp;$A111,実績!$AD$6:$AD$505,"&gt;"&amp;$A111,実績!$AE$6:$AE$505,"○")&gt;0,1,0))</f>
        <v/>
      </c>
      <c r="Q111">
        <f>IF(Q$4=0,0,IF(COUNTIFS(実績!$W$6:$W$505,Q$3,実績!$AC$6:$AC$505,"&lt;="&amp;$A111,実績!$AD$6:$AD$505,"&gt;"&amp;$A111,実績!$AE$6:$AE$505,"○")&gt;0,1,0))</f>
        <v/>
      </c>
      <c r="R111">
        <f>IF(R$4=0,0,IF(COUNTIFS(実績!$W$6:$W$505,R$3,実績!$AC$6:$AC$505,"&lt;="&amp;$A111,実績!$AD$6:$AD$505,"&gt;"&amp;$A111,実績!$AE$6:$AE$505,"○")&gt;0,1,0))</f>
        <v/>
      </c>
      <c r="S111">
        <f>IF(S$4=0,0,IF(COUNTIFS(実績!$W$6:$W$505,S$3,実績!$AC$6:$AC$505,"&lt;="&amp;$A111,実績!$AD$6:$AD$505,"&gt;"&amp;$A111,実績!$AE$6:$AE$505,"○")&gt;0,1,0))</f>
        <v/>
      </c>
      <c r="T111">
        <f>IF(T$4=0,0,IF(COUNTIFS(実績!$W$6:$W$505,T$3,実績!$AC$6:$AC$505,"&lt;="&amp;$A111,実績!$AD$6:$AD$505,"&gt;"&amp;$A111,実績!$AE$6:$AE$505,"○")&gt;0,1,0))</f>
        <v/>
      </c>
      <c r="U111">
        <f>IF(U$4=0,0,IF(COUNTIFS(実績!$W$6:$W$505,U$3,実績!$AC$6:$AC$505,"&lt;="&amp;$A111,実績!$AD$6:$AD$505,"&gt;"&amp;$A111,実績!$AE$6:$AE$505,"○")&gt;0,1,0))</f>
        <v/>
      </c>
      <c r="V111">
        <f>IF(V$4=0,0,IF(COUNTIFS(実績!$W$6:$W$505,V$3,実績!$AC$6:$AC$505,"&lt;="&amp;$A111,実績!$AD$6:$AD$505,"&gt;"&amp;$A111,実績!$AE$6:$AE$505,"○")&gt;0,1,0))</f>
        <v/>
      </c>
      <c r="W111">
        <f>IF(W$4=0,0,IF(COUNTIFS(実績!$W$6:$W$505,W$3,実績!$AC$6:$AC$505,"&lt;="&amp;$A111,実績!$AD$6:$AD$505,"&gt;"&amp;$A111,実績!$AE$6:$AE$505,"○")&gt;0,1,0))</f>
        <v/>
      </c>
      <c r="X111">
        <f>IF(X$4=0,0,IF(COUNTIFS(実績!$W$6:$W$505,X$3,実績!$AC$6:$AC$505,"&lt;="&amp;$A111,実績!$AD$6:$AD$505,"&gt;"&amp;$A111,実績!$AE$6:$AE$505,"○")&gt;0,1,0))</f>
        <v/>
      </c>
      <c r="Y111">
        <f>IF(Y$4=0,0,IF(COUNTIFS(実績!$W$6:$W$505,Y$3,実績!$AC$6:$AC$505,"&lt;="&amp;$A111,実績!$AD$6:$AD$505,"&gt;"&amp;$A111,実績!$AE$6:$AE$505,"○")&gt;0,1,0))</f>
        <v/>
      </c>
      <c r="Z111">
        <f>IF(Z$4=0,0,IF(COUNTIFS(実績!$W$6:$W$505,Z$3,実績!$AC$6:$AC$505,"&lt;="&amp;$A111,実績!$AD$6:$AD$505,"&gt;"&amp;$A111,実績!$AE$6:$AE$505,"○")&gt;0,1,0))</f>
        <v/>
      </c>
      <c r="AA111">
        <f>IF(AA$4=0,0,IF(COUNTIFS(実績!$W$6:$W$505,AA$3,実績!$AC$6:$AC$505,"&lt;="&amp;$A111,実績!$AD$6:$AD$505,"&gt;"&amp;$A111,実績!$AE$6:$AE$505,"○")&gt;0,1,0))</f>
        <v/>
      </c>
      <c r="AB111">
        <f>IF(AB$4=0,0,IF(COUNTIFS(実績!$W$6:$W$505,AB$3,実績!$AC$6:$AC$505,"&lt;="&amp;$A111,実績!$AD$6:$AD$505,"&gt;"&amp;$A111,実績!$AE$6:$AE$505,"○")&gt;0,1,0))</f>
        <v/>
      </c>
      <c r="AC111">
        <f>IF(AC$4=0,0,IF(COUNTIFS(実績!$W$6:$W$505,AC$3,実績!$AC$6:$AC$505,"&lt;="&amp;$A111,実績!$AD$6:$AD$505,"&gt;"&amp;$A111,実績!$AE$6:$AE$505,"○")&gt;0,1,0))</f>
        <v/>
      </c>
      <c r="AD111">
        <f>IF(AD$4=0,0,IF(COUNTIFS(実績!$W$6:$W$505,AD$3,実績!$AC$6:$AC$505,"&lt;="&amp;$A111,実績!$AD$6:$AD$505,"&gt;"&amp;$A111,実績!$AE$6:$AE$505,"○")&gt;0,1,0))</f>
        <v/>
      </c>
      <c r="AE111">
        <f>IF(AE$4=0,0,IF(COUNTIFS(実績!$W$6:$W$505,AE$3,実績!$AC$6:$AC$505,"&lt;="&amp;$A111,実績!$AD$6:$AD$505,"&gt;"&amp;$A111,実績!$AE$6:$AE$505,"○")&gt;0,1,0))</f>
        <v/>
      </c>
      <c r="AF111">
        <f>IF(AF$4=0,0,IF(COUNTIFS(実績!$W$6:$W$505,AF$3,実績!$AC$6:$AC$505,"&lt;="&amp;$A111,実績!$AD$6:$AD$505,"&gt;"&amp;$A111,実績!$AE$6:$AE$505,"○")&gt;0,1,0))</f>
        <v/>
      </c>
      <c r="AG111">
        <f>IF(AG$4=0,0,IF(COUNTIFS(実績!$W$6:$W$505,AG$3,実績!$AC$6:$AC$505,"&lt;="&amp;$A111,実績!$AD$6:$AD$505,"&gt;"&amp;$A111,実績!$AE$6:$AE$505,"○")&gt;0,1,0))</f>
        <v/>
      </c>
      <c r="AH111">
        <f>IF(AH$4=0,0,IF(COUNTIFS(実績!$W$6:$W$505,AH$3,実績!$AC$6:$AC$505,"&lt;="&amp;$A111,実績!$AD$6:$AD$505,"&gt;"&amp;$A111,実績!$AE$6:$AE$505,"○")&gt;0,1,0))</f>
        <v/>
      </c>
      <c r="AI111">
        <f>IF(AI$4=0,0,IF(COUNTIFS(実績!$W$6:$W$505,AI$3,実績!$AC$6:$AC$505,"&lt;="&amp;$A111,実績!$AD$6:$AD$505,"&gt;"&amp;$A111,実績!$AE$6:$AE$505,"○")&gt;0,1,0))</f>
        <v/>
      </c>
      <c r="AJ111">
        <f>IF(AJ$4=0,0,IF(COUNTIFS(実績!$W$6:$W$505,AJ$3,実績!$AC$6:$AC$505,"&lt;="&amp;$A111,実績!$AD$6:$AD$505,"&gt;"&amp;$A111,実績!$AE$6:$AE$505,"○")&gt;0,1,0))</f>
        <v/>
      </c>
      <c r="AK111">
        <f>IF(AK$4=0,0,IF(COUNTIFS(実績!$W$6:$W$505,AK$3,実績!$AC$6:$AC$505,"&lt;="&amp;$A111,実績!$AD$6:$AD$505,"&gt;"&amp;$A111,実績!$AE$6:$AE$505,"○")&gt;0,1,0))</f>
        <v/>
      </c>
      <c r="AL111">
        <f>IF(AL$4=0,0,IF(COUNTIFS(実績!$W$6:$W$505,AL$3,実績!$AC$6:$AC$505,"&lt;="&amp;$A111,実績!$AD$6:$AD$505,"&gt;"&amp;$A111,実績!$AE$6:$AE$505,"○")&gt;0,1,0))</f>
        <v/>
      </c>
      <c r="AM111">
        <f>IF(AM$4=0,0,IF(COUNTIFS(実績!$W$6:$W$505,AM$3,実績!$AC$6:$AC$505,"&lt;="&amp;$A111,実績!$AD$6:$AD$505,"&gt;"&amp;$A111,実績!$AE$6:$AE$505,"○")&gt;0,1,0))</f>
        <v/>
      </c>
      <c r="AN111">
        <f>IF(AN$4=0,0,IF(COUNTIFS(実績!$W$6:$W$505,AN$3,実績!$AC$6:$AC$505,"&lt;="&amp;$A111,実績!$AD$6:$AD$505,"&gt;"&amp;$A111,実績!$AE$6:$AE$505,"○")&gt;0,1,0))</f>
        <v/>
      </c>
      <c r="AO111">
        <f>IF(AO$4=0,0,IF(COUNTIFS(実績!$W$6:$W$505,AO$3,実績!$AC$6:$AC$505,"&lt;="&amp;$A111,実績!$AD$6:$AD$505,"&gt;"&amp;$A111,実績!$AE$6:$AE$505,"○")&gt;0,1,0))</f>
        <v/>
      </c>
      <c r="AP111">
        <f>IF(AP$4=0,0,IF(COUNTIFS(実績!$W$6:$W$505,AP$3,実績!$AC$6:$AC$505,"&lt;="&amp;$A111,実績!$AD$6:$AD$505,"&gt;"&amp;$A111,実績!$AE$6:$AE$505,"○")&gt;0,1,0))</f>
        <v/>
      </c>
      <c r="AQ111">
        <f>IF(AQ$4=0,0,IF(COUNTIFS(実績!$W$6:$W$505,AQ$3,実績!$AC$6:$AC$505,"&lt;="&amp;$A111,実績!$AD$6:$AD$505,"&gt;"&amp;$A111,実績!$AE$6:$AE$505,"○")&gt;0,1,0))</f>
        <v/>
      </c>
      <c r="AR111">
        <f>IF(AR$4=0,0,IF(COUNTIFS(実績!$W$6:$W$505,AR$3,実績!$AC$6:$AC$505,"&lt;="&amp;$A111,実績!$AD$6:$AD$505,"&gt;"&amp;$A111,実績!$AE$6:$AE$505,"○")&gt;0,1,0))</f>
        <v/>
      </c>
      <c r="AS111">
        <f>IF(AS$4=0,0,IF(COUNTIFS(実績!$W$6:$W$505,AS$3,実績!$AC$6:$AC$505,"&lt;="&amp;$A111,実績!$AD$6:$AD$505,"&gt;"&amp;$A111,実績!$AE$6:$AE$505,"○")&gt;0,1,0))</f>
        <v/>
      </c>
      <c r="AT111">
        <f>IF(AT$4=0,0,IF(COUNTIFS(実績!$W$6:$W$505,AT$3,実績!$AC$6:$AC$505,"&lt;="&amp;$A111,実績!$AD$6:$AD$505,"&gt;"&amp;$A111,実績!$AE$6:$AE$505,"○")&gt;0,1,0))</f>
        <v/>
      </c>
      <c r="AU111">
        <f>IF(AU$4=0,0,IF(COUNTIFS(実績!$W$6:$W$505,AU$3,実績!$AC$6:$AC$505,"&lt;="&amp;$A111,実績!$AD$6:$AD$505,"&gt;"&amp;$A111,実績!$AE$6:$AE$505,"○")&gt;0,1,0))</f>
        <v/>
      </c>
      <c r="AV111">
        <f>IF(AV$4=0,0,IF(COUNTIFS(実績!$W$6:$W$505,AV$3,実績!$AC$6:$AC$505,"&lt;="&amp;$A111,実績!$AD$6:$AD$505,"&gt;"&amp;$A111,実績!$AE$6:$AE$505,"○")&gt;0,1,0))</f>
        <v/>
      </c>
      <c r="AW111">
        <f>IF(AW$4=0,0,IF(COUNTIFS(実績!$W$6:$W$505,AW$3,実績!$AC$6:$AC$505,"&lt;="&amp;$A111,実績!$AD$6:$AD$505,"&gt;"&amp;$A111,実績!$AE$6:$AE$505,"○")&gt;0,1,0))</f>
        <v/>
      </c>
      <c r="AX111">
        <f>IF(AX$4=0,0,IF(COUNTIFS(実績!$W$6:$W$505,AX$3,実績!$AC$6:$AC$505,"&lt;="&amp;$A111,実績!$AD$6:$AD$505,"&gt;"&amp;$A111,実績!$AE$6:$AE$505,"○")&gt;0,1,0))</f>
        <v/>
      </c>
      <c r="AY111">
        <f>IF(AY$4=0,0,IF(COUNTIFS(実績!$W$6:$W$505,AY$3,実績!$AC$6:$AC$505,"&lt;="&amp;$A111,実績!$AD$6:$AD$505,"&gt;"&amp;$A111,実績!$AE$6:$AE$505,"○")&gt;0,1,0))</f>
        <v/>
      </c>
      <c r="AZ111">
        <f>IF(AZ$4=0,0,IF(COUNTIFS(実績!$W$6:$W$505,AZ$3,実績!$AC$6:$AC$505,"&lt;="&amp;$A111,実績!$AD$6:$AD$505,"&gt;"&amp;$A111,実績!$AE$6:$AE$505,"○")&gt;0,1,0))</f>
        <v/>
      </c>
      <c r="BA111">
        <f>IF(BA$4=0,0,IF(COUNTIFS(実績!$W$6:$W$505,BA$3,実績!$AC$6:$AC$505,"&lt;="&amp;$A111,実績!$AD$6:$AD$505,"&gt;"&amp;$A111,実績!$AE$6:$AE$505,"○")&gt;0,1,0))</f>
        <v/>
      </c>
      <c r="BB111">
        <f>IF(BB$4=0,0,IF(COUNTIFS(実績!$W$6:$W$505,BB$3,実績!$AC$6:$AC$505,"&lt;="&amp;$A111,実績!$AD$6:$AD$505,"&gt;"&amp;$A111,実績!$AE$6:$AE$505,"○")&gt;0,1,0))</f>
        <v/>
      </c>
      <c r="BC111">
        <f>IF(BC$4=0,0,IF(COUNTIFS(実績!$W$6:$W$505,BC$3,実績!$AC$6:$AC$505,"&lt;="&amp;$A111,実績!$AD$6:$AD$505,"&gt;"&amp;$A111,実績!$AE$6:$AE$505,"○")&gt;0,1,0))</f>
        <v/>
      </c>
      <c r="BD111">
        <f>IF(BD$4=0,0,IF(COUNTIFS(実績!$W$6:$W$505,BD$3,実績!$AC$6:$AC$505,"&lt;="&amp;$A111,実績!$AD$6:$AD$505,"&gt;"&amp;$A111,実績!$AE$6:$AE$505,"○")&gt;0,1,0))</f>
        <v/>
      </c>
      <c r="BE111">
        <f>IF(BE$4=0,0,IF(COUNTIFS(実績!$W$6:$W$505,BE$3,実績!$AC$6:$AC$505,"&lt;="&amp;$A111,実績!$AD$6:$AD$505,"&gt;"&amp;$A111,実績!$AE$6:$AE$505,"○")&gt;0,1,0))</f>
        <v/>
      </c>
      <c r="BF111">
        <f>IF(BF$4=0,0,IF(COUNTIFS(実績!$W$6:$W$505,BF$3,実績!$AC$6:$AC$505,"&lt;="&amp;$A111,実績!$AD$6:$AD$505,"&gt;"&amp;$A111,実績!$AE$6:$AE$505,"○")&gt;0,1,0))</f>
        <v/>
      </c>
      <c r="BG111">
        <f>IF(BG$4=0,0,IF(COUNTIFS(実績!$W$6:$W$505,BG$3,実績!$AC$6:$AC$505,"&lt;="&amp;$A111,実績!$AD$6:$AD$505,"&gt;"&amp;$A111,実績!$AE$6:$AE$505,"○")&gt;0,1,0))</f>
        <v/>
      </c>
      <c r="BH111">
        <f>IF(BH$4=0,0,IF(COUNTIFS(実績!$W$6:$W$505,BH$3,実績!$AC$6:$AC$505,"&lt;="&amp;$A111,実績!$AD$6:$AD$505,"&gt;"&amp;$A111,実績!$AE$6:$AE$505,"○")&gt;0,1,0))</f>
        <v/>
      </c>
      <c r="BI111">
        <f>IF(BI$4=0,0,IF(COUNTIFS(実績!$W$6:$W$505,BI$3,実績!$AC$6:$AC$505,"&lt;="&amp;$A111,実績!$AD$6:$AD$505,"&gt;"&amp;$A111,実績!$AE$6:$AE$505,"○")&gt;0,1,0))</f>
        <v/>
      </c>
      <c r="BJ111">
        <f>IF(BJ$4=0,0,IF(COUNTIFS(実績!$W$6:$W$505,BJ$3,実績!$AC$6:$AC$505,"&lt;="&amp;$A111,実績!$AD$6:$AD$505,"&gt;"&amp;$A111,実績!$AE$6:$AE$505,"○")&gt;0,1,0))</f>
        <v/>
      </c>
      <c r="BK111">
        <f>IF(BK$4=0,0,IF(COUNTIFS(実績!$W$6:$W$505,BK$3,実績!$AC$6:$AC$505,"&lt;="&amp;$A111,実績!$AD$6:$AD$505,"&gt;"&amp;$A111,実績!$AE$6:$AE$505,"○")&gt;0,1,0))</f>
        <v/>
      </c>
      <c r="BL111">
        <f>IF(BL$4=0,0,IF(COUNTIFS(実績!$W$6:$W$505,BL$3,実績!$AC$6:$AC$505,"&lt;="&amp;$A111,実績!$AD$6:$AD$505,"&gt;"&amp;$A111,実績!$AE$6:$AE$505,"○")&gt;0,1,0))</f>
        <v/>
      </c>
      <c r="BM111">
        <f>IF(BM$4=0,0,IF(COUNTIFS(実績!$W$6:$W$505,BM$3,実績!$AC$6:$AC$505,"&lt;="&amp;$A111,実績!$AD$6:$AD$505,"&gt;"&amp;$A111,実績!$AE$6:$AE$505,"○")&gt;0,1,0))</f>
        <v/>
      </c>
      <c r="BN111">
        <f>IF(BN$4=0,0,IF(COUNTIFS(実績!$W$6:$W$505,BN$3,実績!$AC$6:$AC$505,"&lt;="&amp;$A111,実績!$AD$6:$AD$505,"&gt;"&amp;$A111,実績!$AE$6:$AE$505,"○")&gt;0,1,0))</f>
        <v/>
      </c>
      <c r="BO111">
        <f>IF(BO$4=0,0,IF(COUNTIFS(実績!$W$6:$W$505,BO$3,実績!$AC$6:$AC$505,"&lt;="&amp;$A111,実績!$AD$6:$AD$505,"&gt;"&amp;$A111,実績!$AE$6:$AE$505,"○")&gt;0,1,0))</f>
        <v/>
      </c>
      <c r="BP111">
        <f>IF(BP$4=0,0,IF(COUNTIFS(実績!$W$6:$W$505,BP$3,実績!$AC$6:$AC$505,"&lt;="&amp;$A111,実績!$AD$6:$AD$505,"&gt;"&amp;$A111,実績!$AE$6:$AE$505,"○")&gt;0,1,0))</f>
        <v/>
      </c>
      <c r="BQ111">
        <f>IF(BQ$4=0,0,IF(COUNTIFS(実績!$W$6:$W$505,BQ$3,実績!$AC$6:$AC$505,"&lt;="&amp;$A111,実績!$AD$6:$AD$505,"&gt;"&amp;$A111,実績!$AE$6:$AE$505,"○")&gt;0,1,0))</f>
        <v/>
      </c>
      <c r="BR111">
        <f>IF(BR$4=0,0,IF(COUNTIFS(実績!$W$6:$W$505,BR$3,実績!$AC$6:$AC$505,"&lt;="&amp;$A111,実績!$AD$6:$AD$505,"&gt;"&amp;$A111,実績!$AE$6:$AE$505,"○")&gt;0,1,0))</f>
        <v/>
      </c>
      <c r="BS111">
        <f>IF(BS$4=0,0,IF(COUNTIFS(実績!$W$6:$W$505,BS$3,実績!$AC$6:$AC$505,"&lt;="&amp;$A111,実績!$AD$6:$AD$505,"&gt;"&amp;$A111,実績!$AE$6:$AE$505,"○")&gt;0,1,0))</f>
        <v/>
      </c>
      <c r="BT111">
        <f>IF(BT$4=0,0,IF(COUNTIFS(実績!$W$6:$W$505,BT$3,実績!$AC$6:$AC$505,"&lt;="&amp;$A111,実績!$AD$6:$AD$505,"&gt;"&amp;$A111,実績!$AE$6:$AE$505,"○")&gt;0,1,0))</f>
        <v/>
      </c>
      <c r="BU111">
        <f>IF(BU$4=0,0,IF(COUNTIFS(実績!$W$6:$W$505,BU$3,実績!$AC$6:$AC$505,"&lt;="&amp;$A111,実績!$AD$6:$AD$505,"&gt;"&amp;$A111,実績!$AE$6:$AE$505,"○")&gt;0,1,0))</f>
        <v/>
      </c>
      <c r="BV111">
        <f>IF(BV$4=0,0,IF(COUNTIFS(実績!$W$6:$W$505,BV$3,実績!$AC$6:$AC$505,"&lt;="&amp;$A111,実績!$AD$6:$AD$505,"&gt;"&amp;$A111,実績!$AE$6:$AE$505,"○")&gt;0,1,0))</f>
        <v/>
      </c>
      <c r="BW111">
        <f>IF(BW$4=0,0,IF(COUNTIFS(実績!$W$6:$W$505,BW$3,実績!$AC$6:$AC$505,"&lt;="&amp;$A111,実績!$AD$6:$AD$505,"&gt;"&amp;$A111,実績!$AE$6:$AE$505,"○")&gt;0,1,0))</f>
        <v/>
      </c>
      <c r="BX111">
        <f>IF(BX$4=0,0,IF(COUNTIFS(実績!$W$6:$W$505,BX$3,実績!$AC$6:$AC$505,"&lt;="&amp;$A111,実績!$AD$6:$AD$505,"&gt;"&amp;$A111,実績!$AE$6:$AE$505,"○")&gt;0,1,0))</f>
        <v/>
      </c>
      <c r="BY111">
        <f>IF(BY$4=0,0,IF(COUNTIFS(実績!$W$6:$W$505,BY$3,実績!$AC$6:$AC$505,"&lt;="&amp;$A111,実績!$AD$6:$AD$505,"&gt;"&amp;$A111,実績!$AE$6:$AE$505,"○")&gt;0,1,0))</f>
        <v/>
      </c>
      <c r="BZ111">
        <f>IF(BZ$4=0,0,IF(COUNTIFS(実績!$W$6:$W$505,BZ$3,実績!$AC$6:$AC$505,"&lt;="&amp;$A111,実績!$AD$6:$AD$505,"&gt;"&amp;$A111,実績!$AE$6:$AE$505,"○")&gt;0,1,0))</f>
        <v/>
      </c>
      <c r="CA111">
        <f>IF(CA$4=0,0,IF(COUNTIFS(実績!$W$6:$W$505,CA$3,実績!$AC$6:$AC$505,"&lt;="&amp;$A111,実績!$AD$6:$AD$505,"&gt;"&amp;$A111,実績!$AE$6:$AE$505,"○")&gt;0,1,0))</f>
        <v/>
      </c>
      <c r="CB111">
        <f>IF(CB$4=0,0,IF(COUNTIFS(実績!$W$6:$W$505,CB$3,実績!$AC$6:$AC$505,"&lt;="&amp;$A111,実績!$AD$6:$AD$505,"&gt;"&amp;$A111,実績!$AE$6:$AE$505,"○")&gt;0,1,0))</f>
        <v/>
      </c>
      <c r="CC111">
        <f>IF(CC$4=0,0,IF(COUNTIFS(実績!$W$6:$W$505,CC$3,実績!$AC$6:$AC$505,"&lt;="&amp;$A111,実績!$AD$6:$AD$505,"&gt;"&amp;$A111,実績!$AE$6:$AE$505,"○")&gt;0,1,0))</f>
        <v/>
      </c>
      <c r="CD111">
        <f>IF(CD$4=0,0,IF(COUNTIFS(実績!$W$6:$W$505,CD$3,実績!$AC$6:$AC$505,"&lt;="&amp;$A111,実績!$AD$6:$AD$505,"&gt;"&amp;$A111,実績!$AE$6:$AE$505,"○")&gt;0,1,0))</f>
        <v/>
      </c>
      <c r="CE111">
        <f>IF(CE$4=0,0,IF(COUNTIFS(実績!$W$6:$W$505,CE$3,実績!$AC$6:$AC$505,"&lt;="&amp;$A111,実績!$AD$6:$AD$505,"&gt;"&amp;$A111,実績!$AE$6:$AE$505,"○")&gt;0,1,0))</f>
        <v/>
      </c>
      <c r="CF111">
        <f>IF(CF$4=0,0,IF(COUNTIFS(実績!$W$6:$W$505,CF$3,実績!$AC$6:$AC$505,"&lt;="&amp;$A111,実績!$AD$6:$AD$505,"&gt;"&amp;$A111,実績!$AE$6:$AE$505,"○")&gt;0,1,0))</f>
        <v/>
      </c>
      <c r="CG111">
        <f>IF(CG$4=0,0,IF(COUNTIFS(実績!$W$6:$W$505,CG$3,実績!$AC$6:$AC$505,"&lt;="&amp;$A111,実績!$AD$6:$AD$505,"&gt;"&amp;$A111,実績!$AE$6:$AE$505,"○")&gt;0,1,0))</f>
        <v/>
      </c>
      <c r="CH111">
        <f>IF(CH$4=0,0,IF(COUNTIFS(実績!$W$6:$W$505,CH$3,実績!$AC$6:$AC$505,"&lt;="&amp;$A111,実績!$AD$6:$AD$505,"&gt;"&amp;$A111,実績!$AE$6:$AE$505,"○")&gt;0,1,0))</f>
        <v/>
      </c>
      <c r="CI111">
        <f>IF(CI$4=0,0,IF(COUNTIFS(実績!$W$6:$W$505,CI$3,実績!$AC$6:$AC$505,"&lt;="&amp;$A111,実績!$AD$6:$AD$505,"&gt;"&amp;$A111,実績!$AE$6:$AE$505,"○")&gt;0,1,0))</f>
        <v/>
      </c>
      <c r="CJ111">
        <f>IF(CJ$4=0,0,IF(COUNTIFS(実績!$W$6:$W$505,CJ$3,実績!$AC$6:$AC$505,"&lt;="&amp;$A111,実績!$AD$6:$AD$505,"&gt;"&amp;$A111,実績!$AE$6:$AE$505,"○")&gt;0,1,0))</f>
        <v/>
      </c>
      <c r="CK111">
        <f>IF(CK$4=0,0,IF(COUNTIFS(実績!$W$6:$W$505,CK$3,実績!$AC$6:$AC$505,"&lt;="&amp;$A111,実績!$AD$6:$AD$505,"&gt;"&amp;$A111,実績!$AE$6:$AE$505,"○")&gt;0,1,0))</f>
        <v/>
      </c>
      <c r="CL111">
        <f>IF(CL$4=0,0,IF(COUNTIFS(実績!$W$6:$W$505,CL$3,実績!$AC$6:$AC$505,"&lt;="&amp;$A111,実績!$AD$6:$AD$505,"&gt;"&amp;$A111,実績!$AE$6:$AE$505,"○")&gt;0,1,0))</f>
        <v/>
      </c>
      <c r="CM111">
        <f>IF(CM$4=0,0,IF(COUNTIFS(実績!$W$6:$W$505,CM$3,実績!$AC$6:$AC$505,"&lt;="&amp;$A111,実績!$AD$6:$AD$505,"&gt;"&amp;$A111,実績!$AE$6:$AE$505,"○")&gt;0,1,0))</f>
        <v/>
      </c>
      <c r="CN111">
        <f>IF(CN$4=0,0,IF(COUNTIFS(実績!$W$6:$W$505,CN$3,実績!$AC$6:$AC$505,"&lt;="&amp;$A111,実績!$AD$6:$AD$505,"&gt;"&amp;$A111,実績!$AE$6:$AE$505,"○")&gt;0,1,0))</f>
        <v/>
      </c>
      <c r="CO111">
        <f>IF(CO$4=0,0,IF(COUNTIFS(実績!$W$6:$W$505,CO$3,実績!$AC$6:$AC$505,"&lt;="&amp;$A111,実績!$AD$6:$AD$505,"&gt;"&amp;$A111,実績!$AE$6:$AE$505,"○")&gt;0,1,0))</f>
        <v/>
      </c>
      <c r="CP111">
        <f>IF(CP$4=0,0,IF(COUNTIFS(実績!$W$6:$W$505,CP$3,実績!$AC$6:$AC$505,"&lt;="&amp;$A111,実績!$AD$6:$AD$505,"&gt;"&amp;$A111,実績!$AE$6:$AE$505,"○")&gt;0,1,0))</f>
        <v/>
      </c>
      <c r="CQ111">
        <f>IF(CQ$4=0,0,IF(COUNTIFS(実績!$W$6:$W$505,CQ$3,実績!$AC$6:$AC$505,"&lt;="&amp;$A111,実績!$AD$6:$AD$505,"&gt;"&amp;$A111,実績!$AE$6:$AE$505,"○")&gt;0,1,0))</f>
        <v/>
      </c>
      <c r="CR111">
        <f>IF(CR$4=0,0,IF(COUNTIFS(実績!$W$6:$W$505,CR$3,実績!$AC$6:$AC$505,"&lt;="&amp;$A111,実績!$AD$6:$AD$505,"&gt;"&amp;$A111,実績!$AE$6:$AE$505,"○")&gt;0,1,0))</f>
        <v/>
      </c>
      <c r="CS111">
        <f>IF(CS$4=0,0,IF(COUNTIFS(実績!$W$6:$W$505,CS$3,実績!$AC$6:$AC$505,"&lt;="&amp;$A111,実績!$AD$6:$AD$505,"&gt;"&amp;$A111,実績!$AE$6:$AE$505,"○")&gt;0,1,0))</f>
        <v/>
      </c>
      <c r="CT111">
        <f>IF(CT$4=0,0,IF(COUNTIFS(実績!$W$6:$W$505,CT$3,実績!$AC$6:$AC$505,"&lt;="&amp;$A111,実績!$AD$6:$AD$505,"&gt;"&amp;$A111,実績!$AE$6:$AE$505,"○")&gt;0,1,0))</f>
        <v/>
      </c>
      <c r="CU111">
        <f>IF(CU$4=0,0,IF(COUNTIFS(実績!$W$6:$W$505,CU$3,実績!$AC$6:$AC$505,"&lt;="&amp;$A111,実績!$AD$6:$AD$505,"&gt;"&amp;$A111,実績!$AE$6:$AE$505,"○")&gt;0,1,0))</f>
        <v/>
      </c>
      <c r="CV111">
        <f>IF(CV$4=0,0,IF(COUNTIFS(実績!$W$6:$W$505,CV$3,実績!$AC$6:$AC$505,"&lt;="&amp;$A111,実績!$AD$6:$AD$505,"&gt;"&amp;$A111,実績!$AE$6:$AE$505,"○")&gt;0,1,0))</f>
        <v/>
      </c>
      <c r="CW111">
        <f>IF(CW$4=0,0,IF(COUNTIFS(実績!$W$6:$W$505,CW$3,実績!$AC$6:$AC$505,"&lt;="&amp;$A111,実績!$AD$6:$AD$505,"&gt;"&amp;$A111,実績!$AE$6:$AE$505,"○")&gt;0,1,0))</f>
        <v/>
      </c>
      <c r="CX111">
        <f>IF(CX$4=0,0,IF(COUNTIFS(実績!$W$6:$W$505,CX$3,実績!$AC$6:$AC$505,"&lt;="&amp;$A111,実績!$AD$6:$AD$505,"&gt;"&amp;$A111,実績!$AE$6:$AE$505,"○")&gt;0,1,0))</f>
        <v/>
      </c>
      <c r="CY111">
        <f>IF(CY$4=0,0,IF(COUNTIFS(実績!$W$6:$W$505,CY$3,実績!$AC$6:$AC$505,"&lt;="&amp;$A111,実績!$AD$6:$AD$505,"&gt;"&amp;$A111,実績!$AE$6:$AE$505,"○")&gt;0,1,0))</f>
        <v/>
      </c>
      <c r="CZ111">
        <f>IF(CZ$4=0,0,IF(COUNTIFS(実績!$W$6:$W$505,CZ$3,実績!$AC$6:$AC$505,"&lt;="&amp;$A111,実績!$AD$6:$AD$505,"&gt;"&amp;$A111,実績!$AE$6:$AE$505,"○")&gt;0,1,0))</f>
        <v/>
      </c>
      <c r="DA111">
        <f>IF(DA$4=0,0,IF(COUNTIFS(実績!$W$6:$W$505,DA$3,実績!$AC$6:$AC$505,"&lt;="&amp;$A111,実績!$AD$6:$AD$505,"&gt;"&amp;$A111,実績!$AE$6:$AE$505,"○")&gt;0,1,0))</f>
        <v/>
      </c>
      <c r="DB111">
        <f>IF(DB$4=0,0,IF(COUNTIFS(実績!$W$6:$W$505,DB$3,実績!$AC$6:$AC$505,"&lt;="&amp;$A111,実績!$AD$6:$AD$505,"&gt;"&amp;$A111,実績!$AE$6:$AE$505,"○")&gt;0,1,0))</f>
        <v/>
      </c>
      <c r="DC111">
        <f>IF(DC$4=0,0,IF(COUNTIFS(実績!$W$6:$W$505,DC$3,実績!$AC$6:$AC$505,"&lt;="&amp;$A111,実績!$AD$6:$AD$505,"&gt;"&amp;$A111,実績!$AE$6:$AE$505,"○")&gt;0,1,0))</f>
        <v/>
      </c>
      <c r="DD111">
        <f>IF(DD$4=0,0,IF(COUNTIFS(実績!$W$6:$W$505,DD$3,実績!$AC$6:$AC$505,"&lt;="&amp;$A111,実績!$AD$6:$AD$505,"&gt;"&amp;$A111,実績!$AE$6:$AE$505,"○")&gt;0,1,0))</f>
        <v/>
      </c>
      <c r="DE111">
        <f>IF(DE$4=0,0,IF(COUNTIFS(実績!$W$6:$W$505,DE$3,実績!$AC$6:$AC$505,"&lt;="&amp;$A111,実績!$AD$6:$AD$505,"&gt;"&amp;$A111,実績!$AE$6:$AE$505,"○")&gt;0,1,0))</f>
        <v/>
      </c>
      <c r="DF111">
        <f>IF(DF$4=0,0,IF(COUNTIFS(実績!$W$6:$W$505,DF$3,実績!$AC$6:$AC$505,"&lt;="&amp;$A111,実績!$AD$6:$AD$505,"&gt;"&amp;$A111,実績!$AE$6:$AE$505,"○")&gt;0,1,0))</f>
        <v/>
      </c>
      <c r="DG111">
        <f>IF(DG$4=0,0,IF(COUNTIFS(実績!$W$6:$W$505,DG$3,実績!$AC$6:$AC$505,"&lt;="&amp;$A111,実績!$AD$6:$AD$505,"&gt;"&amp;$A111,実績!$AE$6:$AE$505,"○")&gt;0,1,0))</f>
        <v/>
      </c>
      <c r="DH111">
        <f>IF(DH$4=0,0,IF(COUNTIFS(実績!$W$6:$W$505,DH$3,実績!$AC$6:$AC$505,"&lt;="&amp;$A111,実績!$AD$6:$AD$505,"&gt;"&amp;$A111,実績!$AE$6:$AE$505,"○")&gt;0,1,0))</f>
        <v/>
      </c>
      <c r="DI111">
        <f>IF(DI$4=0,0,IF(COUNTIFS(実績!$W$6:$W$505,DI$3,実績!$AC$6:$AC$505,"&lt;="&amp;$A111,実績!$AD$6:$AD$505,"&gt;"&amp;$A111,実績!$AE$6:$AE$505,"○")&gt;0,1,0))</f>
        <v/>
      </c>
      <c r="DJ111">
        <f>IF(DJ$4=0,0,IF(COUNTIFS(実績!$W$6:$W$505,DJ$3,実績!$AC$6:$AC$505,"&lt;="&amp;$A111,実績!$AD$6:$AD$505,"&gt;"&amp;$A111,実績!$AE$6:$AE$505,"○")&gt;0,1,0))</f>
        <v/>
      </c>
      <c r="DK111">
        <f>IF(DK$4=0,0,IF(COUNTIFS(実績!$W$6:$W$505,DK$3,実績!$AC$6:$AC$505,"&lt;="&amp;$A111,実績!$AD$6:$AD$505,"&gt;"&amp;$A111,実績!$AE$6:$AE$505,"○")&gt;0,1,0))</f>
        <v/>
      </c>
      <c r="DL111">
        <f>IF(DL$4=0,0,IF(COUNTIFS(実績!$W$6:$W$505,DL$3,実績!$AC$6:$AC$505,"&lt;="&amp;$A111,実績!$AD$6:$AD$505,"&gt;"&amp;$A111,実績!$AE$6:$AE$505,"○")&gt;0,1,0))</f>
        <v/>
      </c>
      <c r="DM111">
        <f>IF(DM$4=0,0,IF(COUNTIFS(実績!$W$6:$W$505,DM$3,実績!$AC$6:$AC$505,"&lt;="&amp;$A111,実績!$AD$6:$AD$505,"&gt;"&amp;$A111,実績!$AE$6:$AE$505,"○")&gt;0,1,0))</f>
        <v/>
      </c>
      <c r="DN111">
        <f>IF(DN$4=0,0,IF(COUNTIFS(実績!$W$6:$W$505,DN$3,実績!$AC$6:$AC$505,"&lt;="&amp;$A111,実績!$AD$6:$AD$505,"&gt;"&amp;$A111,実績!$AE$6:$AE$505,"○")&gt;0,1,0))</f>
        <v/>
      </c>
      <c r="DO111">
        <f>IF(DO$4=0,0,IF(COUNTIFS(実績!$W$6:$W$505,DO$3,実績!$AC$6:$AC$505,"&lt;="&amp;$A111,実績!$AD$6:$AD$505,"&gt;"&amp;$A111,実績!$AE$6:$AE$505,"○")&gt;0,1,0))</f>
        <v/>
      </c>
      <c r="DP111">
        <f>IF(DP$4=0,0,IF(COUNTIFS(実績!$W$6:$W$505,DP$3,実績!$AC$6:$AC$505,"&lt;="&amp;$A111,実績!$AD$6:$AD$505,"&gt;"&amp;$A111,実績!$AE$6:$AE$505,"○")&gt;0,1,0))</f>
        <v/>
      </c>
      <c r="DQ111">
        <f>IF(DQ$4=0,0,IF(COUNTIFS(実績!$W$6:$W$505,DQ$3,実績!$AC$6:$AC$505,"&lt;="&amp;$A111,実績!$AD$6:$AD$505,"&gt;"&amp;$A111,実績!$AE$6:$AE$505,"○")&gt;0,1,0))</f>
        <v/>
      </c>
      <c r="DR111">
        <f>IF(DR$4=0,0,IF(COUNTIFS(実績!$W$6:$W$505,DR$3,実績!$AC$6:$AC$505,"&lt;="&amp;$A111,実績!$AD$6:$AD$505,"&gt;"&amp;$A111,実績!$AE$6:$AE$505,"○")&gt;0,1,0))</f>
        <v/>
      </c>
      <c r="DS111">
        <f>SUM(C111:DR111)</f>
        <v/>
      </c>
      <c r="DT111">
        <f>SUMPRODUCT((実績!$C$6:$C$505="○")*ISNUMBER(実績!$AF$6:$AF$505)*(実績!$AF$6:$AF$505&lt;=$A111)*(実績!$AG$6:$AG$505&gt;$A111))</f>
        <v/>
      </c>
      <c r="DU111">
        <f>SUMIF($C$2:$DR$2,"製鉄曳船",C111:DR111)</f>
        <v/>
      </c>
      <c r="DV111">
        <f>SUMIF($C$2:$DR$2,"西日本海運",C111:DR111)</f>
        <v/>
      </c>
    </row>
    <row r="112">
      <c r="A112" t="n">
        <v>530</v>
      </c>
      <c r="B112" s="29">
        <f>A112/1440</f>
        <v/>
      </c>
      <c r="C112">
        <f>IF(C$4=0,0,IF(COUNTIFS(実績!$W$6:$W$505,C$3,実績!$AC$6:$AC$505,"&lt;="&amp;$A112,実績!$AD$6:$AD$505,"&gt;"&amp;$A112,実績!$AE$6:$AE$505,"○")&gt;0,1,0))</f>
        <v/>
      </c>
      <c r="D112">
        <f>IF(D$4=0,0,IF(COUNTIFS(実績!$W$6:$W$505,D$3,実績!$AC$6:$AC$505,"&lt;="&amp;$A112,実績!$AD$6:$AD$505,"&gt;"&amp;$A112,実績!$AE$6:$AE$505,"○")&gt;0,1,0))</f>
        <v/>
      </c>
      <c r="E112">
        <f>IF(E$4=0,0,IF(COUNTIFS(実績!$W$6:$W$505,E$3,実績!$AC$6:$AC$505,"&lt;="&amp;$A112,実績!$AD$6:$AD$505,"&gt;"&amp;$A112,実績!$AE$6:$AE$505,"○")&gt;0,1,0))</f>
        <v/>
      </c>
      <c r="F112">
        <f>IF(F$4=0,0,IF(COUNTIFS(実績!$W$6:$W$505,F$3,実績!$AC$6:$AC$505,"&lt;="&amp;$A112,実績!$AD$6:$AD$505,"&gt;"&amp;$A112,実績!$AE$6:$AE$505,"○")&gt;0,1,0))</f>
        <v/>
      </c>
      <c r="G112">
        <f>IF(G$4=0,0,IF(COUNTIFS(実績!$W$6:$W$505,G$3,実績!$AC$6:$AC$505,"&lt;="&amp;$A112,実績!$AD$6:$AD$505,"&gt;"&amp;$A112,実績!$AE$6:$AE$505,"○")&gt;0,1,0))</f>
        <v/>
      </c>
      <c r="H112">
        <f>IF(H$4=0,0,IF(COUNTIFS(実績!$W$6:$W$505,H$3,実績!$AC$6:$AC$505,"&lt;="&amp;$A112,実績!$AD$6:$AD$505,"&gt;"&amp;$A112,実績!$AE$6:$AE$505,"○")&gt;0,1,0))</f>
        <v/>
      </c>
      <c r="I112">
        <f>IF(I$4=0,0,IF(COUNTIFS(実績!$W$6:$W$505,I$3,実績!$AC$6:$AC$505,"&lt;="&amp;$A112,実績!$AD$6:$AD$505,"&gt;"&amp;$A112,実績!$AE$6:$AE$505,"○")&gt;0,1,0))</f>
        <v/>
      </c>
      <c r="J112">
        <f>IF(J$4=0,0,IF(COUNTIFS(実績!$W$6:$W$505,J$3,実績!$AC$6:$AC$505,"&lt;="&amp;$A112,実績!$AD$6:$AD$505,"&gt;"&amp;$A112,実績!$AE$6:$AE$505,"○")&gt;0,1,0))</f>
        <v/>
      </c>
      <c r="K112">
        <f>IF(K$4=0,0,IF(COUNTIFS(実績!$W$6:$W$505,K$3,実績!$AC$6:$AC$505,"&lt;="&amp;$A112,実績!$AD$6:$AD$505,"&gt;"&amp;$A112,実績!$AE$6:$AE$505,"○")&gt;0,1,0))</f>
        <v/>
      </c>
      <c r="L112">
        <f>IF(L$4=0,0,IF(COUNTIFS(実績!$W$6:$W$505,L$3,実績!$AC$6:$AC$505,"&lt;="&amp;$A112,実績!$AD$6:$AD$505,"&gt;"&amp;$A112,実績!$AE$6:$AE$505,"○")&gt;0,1,0))</f>
        <v/>
      </c>
      <c r="M112">
        <f>IF(M$4=0,0,IF(COUNTIFS(実績!$W$6:$W$505,M$3,実績!$AC$6:$AC$505,"&lt;="&amp;$A112,実績!$AD$6:$AD$505,"&gt;"&amp;$A112,実績!$AE$6:$AE$505,"○")&gt;0,1,0))</f>
        <v/>
      </c>
      <c r="N112">
        <f>IF(N$4=0,0,IF(COUNTIFS(実績!$W$6:$W$505,N$3,実績!$AC$6:$AC$505,"&lt;="&amp;$A112,実績!$AD$6:$AD$505,"&gt;"&amp;$A112,実績!$AE$6:$AE$505,"○")&gt;0,1,0))</f>
        <v/>
      </c>
      <c r="O112">
        <f>IF(O$4=0,0,IF(COUNTIFS(実績!$W$6:$W$505,O$3,実績!$AC$6:$AC$505,"&lt;="&amp;$A112,実績!$AD$6:$AD$505,"&gt;"&amp;$A112,実績!$AE$6:$AE$505,"○")&gt;0,1,0))</f>
        <v/>
      </c>
      <c r="P112">
        <f>IF(P$4=0,0,IF(COUNTIFS(実績!$W$6:$W$505,P$3,実績!$AC$6:$AC$505,"&lt;="&amp;$A112,実績!$AD$6:$AD$505,"&gt;"&amp;$A112,実績!$AE$6:$AE$505,"○")&gt;0,1,0))</f>
        <v/>
      </c>
      <c r="Q112">
        <f>IF(Q$4=0,0,IF(COUNTIFS(実績!$W$6:$W$505,Q$3,実績!$AC$6:$AC$505,"&lt;="&amp;$A112,実績!$AD$6:$AD$505,"&gt;"&amp;$A112,実績!$AE$6:$AE$505,"○")&gt;0,1,0))</f>
        <v/>
      </c>
      <c r="R112">
        <f>IF(R$4=0,0,IF(COUNTIFS(実績!$W$6:$W$505,R$3,実績!$AC$6:$AC$505,"&lt;="&amp;$A112,実績!$AD$6:$AD$505,"&gt;"&amp;$A112,実績!$AE$6:$AE$505,"○")&gt;0,1,0))</f>
        <v/>
      </c>
      <c r="S112">
        <f>IF(S$4=0,0,IF(COUNTIFS(実績!$W$6:$W$505,S$3,実績!$AC$6:$AC$505,"&lt;="&amp;$A112,実績!$AD$6:$AD$505,"&gt;"&amp;$A112,実績!$AE$6:$AE$505,"○")&gt;0,1,0))</f>
        <v/>
      </c>
      <c r="T112">
        <f>IF(T$4=0,0,IF(COUNTIFS(実績!$W$6:$W$505,T$3,実績!$AC$6:$AC$505,"&lt;="&amp;$A112,実績!$AD$6:$AD$505,"&gt;"&amp;$A112,実績!$AE$6:$AE$505,"○")&gt;0,1,0))</f>
        <v/>
      </c>
      <c r="U112">
        <f>IF(U$4=0,0,IF(COUNTIFS(実績!$W$6:$W$505,U$3,実績!$AC$6:$AC$505,"&lt;="&amp;$A112,実績!$AD$6:$AD$505,"&gt;"&amp;$A112,実績!$AE$6:$AE$505,"○")&gt;0,1,0))</f>
        <v/>
      </c>
      <c r="V112">
        <f>IF(V$4=0,0,IF(COUNTIFS(実績!$W$6:$W$505,V$3,実績!$AC$6:$AC$505,"&lt;="&amp;$A112,実績!$AD$6:$AD$505,"&gt;"&amp;$A112,実績!$AE$6:$AE$505,"○")&gt;0,1,0))</f>
        <v/>
      </c>
      <c r="W112">
        <f>IF(W$4=0,0,IF(COUNTIFS(実績!$W$6:$W$505,W$3,実績!$AC$6:$AC$505,"&lt;="&amp;$A112,実績!$AD$6:$AD$505,"&gt;"&amp;$A112,実績!$AE$6:$AE$505,"○")&gt;0,1,0))</f>
        <v/>
      </c>
      <c r="X112">
        <f>IF(X$4=0,0,IF(COUNTIFS(実績!$W$6:$W$505,X$3,実績!$AC$6:$AC$505,"&lt;="&amp;$A112,実績!$AD$6:$AD$505,"&gt;"&amp;$A112,実績!$AE$6:$AE$505,"○")&gt;0,1,0))</f>
        <v/>
      </c>
      <c r="Y112">
        <f>IF(Y$4=0,0,IF(COUNTIFS(実績!$W$6:$W$505,Y$3,実績!$AC$6:$AC$505,"&lt;="&amp;$A112,実績!$AD$6:$AD$505,"&gt;"&amp;$A112,実績!$AE$6:$AE$505,"○")&gt;0,1,0))</f>
        <v/>
      </c>
      <c r="Z112">
        <f>IF(Z$4=0,0,IF(COUNTIFS(実績!$W$6:$W$505,Z$3,実績!$AC$6:$AC$505,"&lt;="&amp;$A112,実績!$AD$6:$AD$505,"&gt;"&amp;$A112,実績!$AE$6:$AE$505,"○")&gt;0,1,0))</f>
        <v/>
      </c>
      <c r="AA112">
        <f>IF(AA$4=0,0,IF(COUNTIFS(実績!$W$6:$W$505,AA$3,実績!$AC$6:$AC$505,"&lt;="&amp;$A112,実績!$AD$6:$AD$505,"&gt;"&amp;$A112,実績!$AE$6:$AE$505,"○")&gt;0,1,0))</f>
        <v/>
      </c>
      <c r="AB112">
        <f>IF(AB$4=0,0,IF(COUNTIFS(実績!$W$6:$W$505,AB$3,実績!$AC$6:$AC$505,"&lt;="&amp;$A112,実績!$AD$6:$AD$505,"&gt;"&amp;$A112,実績!$AE$6:$AE$505,"○")&gt;0,1,0))</f>
        <v/>
      </c>
      <c r="AC112">
        <f>IF(AC$4=0,0,IF(COUNTIFS(実績!$W$6:$W$505,AC$3,実績!$AC$6:$AC$505,"&lt;="&amp;$A112,実績!$AD$6:$AD$505,"&gt;"&amp;$A112,実績!$AE$6:$AE$505,"○")&gt;0,1,0))</f>
        <v/>
      </c>
      <c r="AD112">
        <f>IF(AD$4=0,0,IF(COUNTIFS(実績!$W$6:$W$505,AD$3,実績!$AC$6:$AC$505,"&lt;="&amp;$A112,実績!$AD$6:$AD$505,"&gt;"&amp;$A112,実績!$AE$6:$AE$505,"○")&gt;0,1,0))</f>
        <v/>
      </c>
      <c r="AE112">
        <f>IF(AE$4=0,0,IF(COUNTIFS(実績!$W$6:$W$505,AE$3,実績!$AC$6:$AC$505,"&lt;="&amp;$A112,実績!$AD$6:$AD$505,"&gt;"&amp;$A112,実績!$AE$6:$AE$505,"○")&gt;0,1,0))</f>
        <v/>
      </c>
      <c r="AF112">
        <f>IF(AF$4=0,0,IF(COUNTIFS(実績!$W$6:$W$505,AF$3,実績!$AC$6:$AC$505,"&lt;="&amp;$A112,実績!$AD$6:$AD$505,"&gt;"&amp;$A112,実績!$AE$6:$AE$505,"○")&gt;0,1,0))</f>
        <v/>
      </c>
      <c r="AG112">
        <f>IF(AG$4=0,0,IF(COUNTIFS(実績!$W$6:$W$505,AG$3,実績!$AC$6:$AC$505,"&lt;="&amp;$A112,実績!$AD$6:$AD$505,"&gt;"&amp;$A112,実績!$AE$6:$AE$505,"○")&gt;0,1,0))</f>
        <v/>
      </c>
      <c r="AH112">
        <f>IF(AH$4=0,0,IF(COUNTIFS(実績!$W$6:$W$505,AH$3,実績!$AC$6:$AC$505,"&lt;="&amp;$A112,実績!$AD$6:$AD$505,"&gt;"&amp;$A112,実績!$AE$6:$AE$505,"○")&gt;0,1,0))</f>
        <v/>
      </c>
      <c r="AI112">
        <f>IF(AI$4=0,0,IF(COUNTIFS(実績!$W$6:$W$505,AI$3,実績!$AC$6:$AC$505,"&lt;="&amp;$A112,実績!$AD$6:$AD$505,"&gt;"&amp;$A112,実績!$AE$6:$AE$505,"○")&gt;0,1,0))</f>
        <v/>
      </c>
      <c r="AJ112">
        <f>IF(AJ$4=0,0,IF(COUNTIFS(実績!$W$6:$W$505,AJ$3,実績!$AC$6:$AC$505,"&lt;="&amp;$A112,実績!$AD$6:$AD$505,"&gt;"&amp;$A112,実績!$AE$6:$AE$505,"○")&gt;0,1,0))</f>
        <v/>
      </c>
      <c r="AK112">
        <f>IF(AK$4=0,0,IF(COUNTIFS(実績!$W$6:$W$505,AK$3,実績!$AC$6:$AC$505,"&lt;="&amp;$A112,実績!$AD$6:$AD$505,"&gt;"&amp;$A112,実績!$AE$6:$AE$505,"○")&gt;0,1,0))</f>
        <v/>
      </c>
      <c r="AL112">
        <f>IF(AL$4=0,0,IF(COUNTIFS(実績!$W$6:$W$505,AL$3,実績!$AC$6:$AC$505,"&lt;="&amp;$A112,実績!$AD$6:$AD$505,"&gt;"&amp;$A112,実績!$AE$6:$AE$505,"○")&gt;0,1,0))</f>
        <v/>
      </c>
      <c r="AM112">
        <f>IF(AM$4=0,0,IF(COUNTIFS(実績!$W$6:$W$505,AM$3,実績!$AC$6:$AC$505,"&lt;="&amp;$A112,実績!$AD$6:$AD$505,"&gt;"&amp;$A112,実績!$AE$6:$AE$505,"○")&gt;0,1,0))</f>
        <v/>
      </c>
      <c r="AN112">
        <f>IF(AN$4=0,0,IF(COUNTIFS(実績!$W$6:$W$505,AN$3,実績!$AC$6:$AC$505,"&lt;="&amp;$A112,実績!$AD$6:$AD$505,"&gt;"&amp;$A112,実績!$AE$6:$AE$505,"○")&gt;0,1,0))</f>
        <v/>
      </c>
      <c r="AO112">
        <f>IF(AO$4=0,0,IF(COUNTIFS(実績!$W$6:$W$505,AO$3,実績!$AC$6:$AC$505,"&lt;="&amp;$A112,実績!$AD$6:$AD$505,"&gt;"&amp;$A112,実績!$AE$6:$AE$505,"○")&gt;0,1,0))</f>
        <v/>
      </c>
      <c r="AP112">
        <f>IF(AP$4=0,0,IF(COUNTIFS(実績!$W$6:$W$505,AP$3,実績!$AC$6:$AC$505,"&lt;="&amp;$A112,実績!$AD$6:$AD$505,"&gt;"&amp;$A112,実績!$AE$6:$AE$505,"○")&gt;0,1,0))</f>
        <v/>
      </c>
      <c r="AQ112">
        <f>IF(AQ$4=0,0,IF(COUNTIFS(実績!$W$6:$W$505,AQ$3,実績!$AC$6:$AC$505,"&lt;="&amp;$A112,実績!$AD$6:$AD$505,"&gt;"&amp;$A112,実績!$AE$6:$AE$505,"○")&gt;0,1,0))</f>
        <v/>
      </c>
      <c r="AR112">
        <f>IF(AR$4=0,0,IF(COUNTIFS(実績!$W$6:$W$505,AR$3,実績!$AC$6:$AC$505,"&lt;="&amp;$A112,実績!$AD$6:$AD$505,"&gt;"&amp;$A112,実績!$AE$6:$AE$505,"○")&gt;0,1,0))</f>
        <v/>
      </c>
      <c r="AS112">
        <f>IF(AS$4=0,0,IF(COUNTIFS(実績!$W$6:$W$505,AS$3,実績!$AC$6:$AC$505,"&lt;="&amp;$A112,実績!$AD$6:$AD$505,"&gt;"&amp;$A112,実績!$AE$6:$AE$505,"○")&gt;0,1,0))</f>
        <v/>
      </c>
      <c r="AT112">
        <f>IF(AT$4=0,0,IF(COUNTIFS(実績!$W$6:$W$505,AT$3,実績!$AC$6:$AC$505,"&lt;="&amp;$A112,実績!$AD$6:$AD$505,"&gt;"&amp;$A112,実績!$AE$6:$AE$505,"○")&gt;0,1,0))</f>
        <v/>
      </c>
      <c r="AU112">
        <f>IF(AU$4=0,0,IF(COUNTIFS(実績!$W$6:$W$505,AU$3,実績!$AC$6:$AC$505,"&lt;="&amp;$A112,実績!$AD$6:$AD$505,"&gt;"&amp;$A112,実績!$AE$6:$AE$505,"○")&gt;0,1,0))</f>
        <v/>
      </c>
      <c r="AV112">
        <f>IF(AV$4=0,0,IF(COUNTIFS(実績!$W$6:$W$505,AV$3,実績!$AC$6:$AC$505,"&lt;="&amp;$A112,実績!$AD$6:$AD$505,"&gt;"&amp;$A112,実績!$AE$6:$AE$505,"○")&gt;0,1,0))</f>
        <v/>
      </c>
      <c r="AW112">
        <f>IF(AW$4=0,0,IF(COUNTIFS(実績!$W$6:$W$505,AW$3,実績!$AC$6:$AC$505,"&lt;="&amp;$A112,実績!$AD$6:$AD$505,"&gt;"&amp;$A112,実績!$AE$6:$AE$505,"○")&gt;0,1,0))</f>
        <v/>
      </c>
      <c r="AX112">
        <f>IF(AX$4=0,0,IF(COUNTIFS(実績!$W$6:$W$505,AX$3,実績!$AC$6:$AC$505,"&lt;="&amp;$A112,実績!$AD$6:$AD$505,"&gt;"&amp;$A112,実績!$AE$6:$AE$505,"○")&gt;0,1,0))</f>
        <v/>
      </c>
      <c r="AY112">
        <f>IF(AY$4=0,0,IF(COUNTIFS(実績!$W$6:$W$505,AY$3,実績!$AC$6:$AC$505,"&lt;="&amp;$A112,実績!$AD$6:$AD$505,"&gt;"&amp;$A112,実績!$AE$6:$AE$505,"○")&gt;0,1,0))</f>
        <v/>
      </c>
      <c r="AZ112">
        <f>IF(AZ$4=0,0,IF(COUNTIFS(実績!$W$6:$W$505,AZ$3,実績!$AC$6:$AC$505,"&lt;="&amp;$A112,実績!$AD$6:$AD$505,"&gt;"&amp;$A112,実績!$AE$6:$AE$505,"○")&gt;0,1,0))</f>
        <v/>
      </c>
      <c r="BA112">
        <f>IF(BA$4=0,0,IF(COUNTIFS(実績!$W$6:$W$505,BA$3,実績!$AC$6:$AC$505,"&lt;="&amp;$A112,実績!$AD$6:$AD$505,"&gt;"&amp;$A112,実績!$AE$6:$AE$505,"○")&gt;0,1,0))</f>
        <v/>
      </c>
      <c r="BB112">
        <f>IF(BB$4=0,0,IF(COUNTIFS(実績!$W$6:$W$505,BB$3,実績!$AC$6:$AC$505,"&lt;="&amp;$A112,実績!$AD$6:$AD$505,"&gt;"&amp;$A112,実績!$AE$6:$AE$505,"○")&gt;0,1,0))</f>
        <v/>
      </c>
      <c r="BC112">
        <f>IF(BC$4=0,0,IF(COUNTIFS(実績!$W$6:$W$505,BC$3,実績!$AC$6:$AC$505,"&lt;="&amp;$A112,実績!$AD$6:$AD$505,"&gt;"&amp;$A112,実績!$AE$6:$AE$505,"○")&gt;0,1,0))</f>
        <v/>
      </c>
      <c r="BD112">
        <f>IF(BD$4=0,0,IF(COUNTIFS(実績!$W$6:$W$505,BD$3,実績!$AC$6:$AC$505,"&lt;="&amp;$A112,実績!$AD$6:$AD$505,"&gt;"&amp;$A112,実績!$AE$6:$AE$505,"○")&gt;0,1,0))</f>
        <v/>
      </c>
      <c r="BE112">
        <f>IF(BE$4=0,0,IF(COUNTIFS(実績!$W$6:$W$505,BE$3,実績!$AC$6:$AC$505,"&lt;="&amp;$A112,実績!$AD$6:$AD$505,"&gt;"&amp;$A112,実績!$AE$6:$AE$505,"○")&gt;0,1,0))</f>
        <v/>
      </c>
      <c r="BF112">
        <f>IF(BF$4=0,0,IF(COUNTIFS(実績!$W$6:$W$505,BF$3,実績!$AC$6:$AC$505,"&lt;="&amp;$A112,実績!$AD$6:$AD$505,"&gt;"&amp;$A112,実績!$AE$6:$AE$505,"○")&gt;0,1,0))</f>
        <v/>
      </c>
      <c r="BG112">
        <f>IF(BG$4=0,0,IF(COUNTIFS(実績!$W$6:$W$505,BG$3,実績!$AC$6:$AC$505,"&lt;="&amp;$A112,実績!$AD$6:$AD$505,"&gt;"&amp;$A112,実績!$AE$6:$AE$505,"○")&gt;0,1,0))</f>
        <v/>
      </c>
      <c r="BH112">
        <f>IF(BH$4=0,0,IF(COUNTIFS(実績!$W$6:$W$505,BH$3,実績!$AC$6:$AC$505,"&lt;="&amp;$A112,実績!$AD$6:$AD$505,"&gt;"&amp;$A112,実績!$AE$6:$AE$505,"○")&gt;0,1,0))</f>
        <v/>
      </c>
      <c r="BI112">
        <f>IF(BI$4=0,0,IF(COUNTIFS(実績!$W$6:$W$505,BI$3,実績!$AC$6:$AC$505,"&lt;="&amp;$A112,実績!$AD$6:$AD$505,"&gt;"&amp;$A112,実績!$AE$6:$AE$505,"○")&gt;0,1,0))</f>
        <v/>
      </c>
      <c r="BJ112">
        <f>IF(BJ$4=0,0,IF(COUNTIFS(実績!$W$6:$W$505,BJ$3,実績!$AC$6:$AC$505,"&lt;="&amp;$A112,実績!$AD$6:$AD$505,"&gt;"&amp;$A112,実績!$AE$6:$AE$505,"○")&gt;0,1,0))</f>
        <v/>
      </c>
      <c r="BK112">
        <f>IF(BK$4=0,0,IF(COUNTIFS(実績!$W$6:$W$505,BK$3,実績!$AC$6:$AC$505,"&lt;="&amp;$A112,実績!$AD$6:$AD$505,"&gt;"&amp;$A112,実績!$AE$6:$AE$505,"○")&gt;0,1,0))</f>
        <v/>
      </c>
      <c r="BL112">
        <f>IF(BL$4=0,0,IF(COUNTIFS(実績!$W$6:$W$505,BL$3,実績!$AC$6:$AC$505,"&lt;="&amp;$A112,実績!$AD$6:$AD$505,"&gt;"&amp;$A112,実績!$AE$6:$AE$505,"○")&gt;0,1,0))</f>
        <v/>
      </c>
      <c r="BM112">
        <f>IF(BM$4=0,0,IF(COUNTIFS(実績!$W$6:$W$505,BM$3,実績!$AC$6:$AC$505,"&lt;="&amp;$A112,実績!$AD$6:$AD$505,"&gt;"&amp;$A112,実績!$AE$6:$AE$505,"○")&gt;0,1,0))</f>
        <v/>
      </c>
      <c r="BN112">
        <f>IF(BN$4=0,0,IF(COUNTIFS(実績!$W$6:$W$505,BN$3,実績!$AC$6:$AC$505,"&lt;="&amp;$A112,実績!$AD$6:$AD$505,"&gt;"&amp;$A112,実績!$AE$6:$AE$505,"○")&gt;0,1,0))</f>
        <v/>
      </c>
      <c r="BO112">
        <f>IF(BO$4=0,0,IF(COUNTIFS(実績!$W$6:$W$505,BO$3,実績!$AC$6:$AC$505,"&lt;="&amp;$A112,実績!$AD$6:$AD$505,"&gt;"&amp;$A112,実績!$AE$6:$AE$505,"○")&gt;0,1,0))</f>
        <v/>
      </c>
      <c r="BP112">
        <f>IF(BP$4=0,0,IF(COUNTIFS(実績!$W$6:$W$505,BP$3,実績!$AC$6:$AC$505,"&lt;="&amp;$A112,実績!$AD$6:$AD$505,"&gt;"&amp;$A112,実績!$AE$6:$AE$505,"○")&gt;0,1,0))</f>
        <v/>
      </c>
      <c r="BQ112">
        <f>IF(BQ$4=0,0,IF(COUNTIFS(実績!$W$6:$W$505,BQ$3,実績!$AC$6:$AC$505,"&lt;="&amp;$A112,実績!$AD$6:$AD$505,"&gt;"&amp;$A112,実績!$AE$6:$AE$505,"○")&gt;0,1,0))</f>
        <v/>
      </c>
      <c r="BR112">
        <f>IF(BR$4=0,0,IF(COUNTIFS(実績!$W$6:$W$505,BR$3,実績!$AC$6:$AC$505,"&lt;="&amp;$A112,実績!$AD$6:$AD$505,"&gt;"&amp;$A112,実績!$AE$6:$AE$505,"○")&gt;0,1,0))</f>
        <v/>
      </c>
      <c r="BS112">
        <f>IF(BS$4=0,0,IF(COUNTIFS(実績!$W$6:$W$505,BS$3,実績!$AC$6:$AC$505,"&lt;="&amp;$A112,実績!$AD$6:$AD$505,"&gt;"&amp;$A112,実績!$AE$6:$AE$505,"○")&gt;0,1,0))</f>
        <v/>
      </c>
      <c r="BT112">
        <f>IF(BT$4=0,0,IF(COUNTIFS(実績!$W$6:$W$505,BT$3,実績!$AC$6:$AC$505,"&lt;="&amp;$A112,実績!$AD$6:$AD$505,"&gt;"&amp;$A112,実績!$AE$6:$AE$505,"○")&gt;0,1,0))</f>
        <v/>
      </c>
      <c r="BU112">
        <f>IF(BU$4=0,0,IF(COUNTIFS(実績!$W$6:$W$505,BU$3,実績!$AC$6:$AC$505,"&lt;="&amp;$A112,実績!$AD$6:$AD$505,"&gt;"&amp;$A112,実績!$AE$6:$AE$505,"○")&gt;0,1,0))</f>
        <v/>
      </c>
      <c r="BV112">
        <f>IF(BV$4=0,0,IF(COUNTIFS(実績!$W$6:$W$505,BV$3,実績!$AC$6:$AC$505,"&lt;="&amp;$A112,実績!$AD$6:$AD$505,"&gt;"&amp;$A112,実績!$AE$6:$AE$505,"○")&gt;0,1,0))</f>
        <v/>
      </c>
      <c r="BW112">
        <f>IF(BW$4=0,0,IF(COUNTIFS(実績!$W$6:$W$505,BW$3,実績!$AC$6:$AC$505,"&lt;="&amp;$A112,実績!$AD$6:$AD$505,"&gt;"&amp;$A112,実績!$AE$6:$AE$505,"○")&gt;0,1,0))</f>
        <v/>
      </c>
      <c r="BX112">
        <f>IF(BX$4=0,0,IF(COUNTIFS(実績!$W$6:$W$505,BX$3,実績!$AC$6:$AC$505,"&lt;="&amp;$A112,実績!$AD$6:$AD$505,"&gt;"&amp;$A112,実績!$AE$6:$AE$505,"○")&gt;0,1,0))</f>
        <v/>
      </c>
      <c r="BY112">
        <f>IF(BY$4=0,0,IF(COUNTIFS(実績!$W$6:$W$505,BY$3,実績!$AC$6:$AC$505,"&lt;="&amp;$A112,実績!$AD$6:$AD$505,"&gt;"&amp;$A112,実績!$AE$6:$AE$505,"○")&gt;0,1,0))</f>
        <v/>
      </c>
      <c r="BZ112">
        <f>IF(BZ$4=0,0,IF(COUNTIFS(実績!$W$6:$W$505,BZ$3,実績!$AC$6:$AC$505,"&lt;="&amp;$A112,実績!$AD$6:$AD$505,"&gt;"&amp;$A112,実績!$AE$6:$AE$505,"○")&gt;0,1,0))</f>
        <v/>
      </c>
      <c r="CA112">
        <f>IF(CA$4=0,0,IF(COUNTIFS(実績!$W$6:$W$505,CA$3,実績!$AC$6:$AC$505,"&lt;="&amp;$A112,実績!$AD$6:$AD$505,"&gt;"&amp;$A112,実績!$AE$6:$AE$505,"○")&gt;0,1,0))</f>
        <v/>
      </c>
      <c r="CB112">
        <f>IF(CB$4=0,0,IF(COUNTIFS(実績!$W$6:$W$505,CB$3,実績!$AC$6:$AC$505,"&lt;="&amp;$A112,実績!$AD$6:$AD$505,"&gt;"&amp;$A112,実績!$AE$6:$AE$505,"○")&gt;0,1,0))</f>
        <v/>
      </c>
      <c r="CC112">
        <f>IF(CC$4=0,0,IF(COUNTIFS(実績!$W$6:$W$505,CC$3,実績!$AC$6:$AC$505,"&lt;="&amp;$A112,実績!$AD$6:$AD$505,"&gt;"&amp;$A112,実績!$AE$6:$AE$505,"○")&gt;0,1,0))</f>
        <v/>
      </c>
      <c r="CD112">
        <f>IF(CD$4=0,0,IF(COUNTIFS(実績!$W$6:$W$505,CD$3,実績!$AC$6:$AC$505,"&lt;="&amp;$A112,実績!$AD$6:$AD$505,"&gt;"&amp;$A112,実績!$AE$6:$AE$505,"○")&gt;0,1,0))</f>
        <v/>
      </c>
      <c r="CE112">
        <f>IF(CE$4=0,0,IF(COUNTIFS(実績!$W$6:$W$505,CE$3,実績!$AC$6:$AC$505,"&lt;="&amp;$A112,実績!$AD$6:$AD$505,"&gt;"&amp;$A112,実績!$AE$6:$AE$505,"○")&gt;0,1,0))</f>
        <v/>
      </c>
      <c r="CF112">
        <f>IF(CF$4=0,0,IF(COUNTIFS(実績!$W$6:$W$505,CF$3,実績!$AC$6:$AC$505,"&lt;="&amp;$A112,実績!$AD$6:$AD$505,"&gt;"&amp;$A112,実績!$AE$6:$AE$505,"○")&gt;0,1,0))</f>
        <v/>
      </c>
      <c r="CG112">
        <f>IF(CG$4=0,0,IF(COUNTIFS(実績!$W$6:$W$505,CG$3,実績!$AC$6:$AC$505,"&lt;="&amp;$A112,実績!$AD$6:$AD$505,"&gt;"&amp;$A112,実績!$AE$6:$AE$505,"○")&gt;0,1,0))</f>
        <v/>
      </c>
      <c r="CH112">
        <f>IF(CH$4=0,0,IF(COUNTIFS(実績!$W$6:$W$505,CH$3,実績!$AC$6:$AC$505,"&lt;="&amp;$A112,実績!$AD$6:$AD$505,"&gt;"&amp;$A112,実績!$AE$6:$AE$505,"○")&gt;0,1,0))</f>
        <v/>
      </c>
      <c r="CI112">
        <f>IF(CI$4=0,0,IF(COUNTIFS(実績!$W$6:$W$505,CI$3,実績!$AC$6:$AC$505,"&lt;="&amp;$A112,実績!$AD$6:$AD$505,"&gt;"&amp;$A112,実績!$AE$6:$AE$505,"○")&gt;0,1,0))</f>
        <v/>
      </c>
      <c r="CJ112">
        <f>IF(CJ$4=0,0,IF(COUNTIFS(実績!$W$6:$W$505,CJ$3,実績!$AC$6:$AC$505,"&lt;="&amp;$A112,実績!$AD$6:$AD$505,"&gt;"&amp;$A112,実績!$AE$6:$AE$505,"○")&gt;0,1,0))</f>
        <v/>
      </c>
      <c r="CK112">
        <f>IF(CK$4=0,0,IF(COUNTIFS(実績!$W$6:$W$505,CK$3,実績!$AC$6:$AC$505,"&lt;="&amp;$A112,実績!$AD$6:$AD$505,"&gt;"&amp;$A112,実績!$AE$6:$AE$505,"○")&gt;0,1,0))</f>
        <v/>
      </c>
      <c r="CL112">
        <f>IF(CL$4=0,0,IF(COUNTIFS(実績!$W$6:$W$505,CL$3,実績!$AC$6:$AC$505,"&lt;="&amp;$A112,実績!$AD$6:$AD$505,"&gt;"&amp;$A112,実績!$AE$6:$AE$505,"○")&gt;0,1,0))</f>
        <v/>
      </c>
      <c r="CM112">
        <f>IF(CM$4=0,0,IF(COUNTIFS(実績!$W$6:$W$505,CM$3,実績!$AC$6:$AC$505,"&lt;="&amp;$A112,実績!$AD$6:$AD$505,"&gt;"&amp;$A112,実績!$AE$6:$AE$505,"○")&gt;0,1,0))</f>
        <v/>
      </c>
      <c r="CN112">
        <f>IF(CN$4=0,0,IF(COUNTIFS(実績!$W$6:$W$505,CN$3,実績!$AC$6:$AC$505,"&lt;="&amp;$A112,実績!$AD$6:$AD$505,"&gt;"&amp;$A112,実績!$AE$6:$AE$505,"○")&gt;0,1,0))</f>
        <v/>
      </c>
      <c r="CO112">
        <f>IF(CO$4=0,0,IF(COUNTIFS(実績!$W$6:$W$505,CO$3,実績!$AC$6:$AC$505,"&lt;="&amp;$A112,実績!$AD$6:$AD$505,"&gt;"&amp;$A112,実績!$AE$6:$AE$505,"○")&gt;0,1,0))</f>
        <v/>
      </c>
      <c r="CP112">
        <f>IF(CP$4=0,0,IF(COUNTIFS(実績!$W$6:$W$505,CP$3,実績!$AC$6:$AC$505,"&lt;="&amp;$A112,実績!$AD$6:$AD$505,"&gt;"&amp;$A112,実績!$AE$6:$AE$505,"○")&gt;0,1,0))</f>
        <v/>
      </c>
      <c r="CQ112">
        <f>IF(CQ$4=0,0,IF(COUNTIFS(実績!$W$6:$W$505,CQ$3,実績!$AC$6:$AC$505,"&lt;="&amp;$A112,実績!$AD$6:$AD$505,"&gt;"&amp;$A112,実績!$AE$6:$AE$505,"○")&gt;0,1,0))</f>
        <v/>
      </c>
      <c r="CR112">
        <f>IF(CR$4=0,0,IF(COUNTIFS(実績!$W$6:$W$505,CR$3,実績!$AC$6:$AC$505,"&lt;="&amp;$A112,実績!$AD$6:$AD$505,"&gt;"&amp;$A112,実績!$AE$6:$AE$505,"○")&gt;0,1,0))</f>
        <v/>
      </c>
      <c r="CS112">
        <f>IF(CS$4=0,0,IF(COUNTIFS(実績!$W$6:$W$505,CS$3,実績!$AC$6:$AC$505,"&lt;="&amp;$A112,実績!$AD$6:$AD$505,"&gt;"&amp;$A112,実績!$AE$6:$AE$505,"○")&gt;0,1,0))</f>
        <v/>
      </c>
      <c r="CT112">
        <f>IF(CT$4=0,0,IF(COUNTIFS(実績!$W$6:$W$505,CT$3,実績!$AC$6:$AC$505,"&lt;="&amp;$A112,実績!$AD$6:$AD$505,"&gt;"&amp;$A112,実績!$AE$6:$AE$505,"○")&gt;0,1,0))</f>
        <v/>
      </c>
      <c r="CU112">
        <f>IF(CU$4=0,0,IF(COUNTIFS(実績!$W$6:$W$505,CU$3,実績!$AC$6:$AC$505,"&lt;="&amp;$A112,実績!$AD$6:$AD$505,"&gt;"&amp;$A112,実績!$AE$6:$AE$505,"○")&gt;0,1,0))</f>
        <v/>
      </c>
      <c r="CV112">
        <f>IF(CV$4=0,0,IF(COUNTIFS(実績!$W$6:$W$505,CV$3,実績!$AC$6:$AC$505,"&lt;="&amp;$A112,実績!$AD$6:$AD$505,"&gt;"&amp;$A112,実績!$AE$6:$AE$505,"○")&gt;0,1,0))</f>
        <v/>
      </c>
      <c r="CW112">
        <f>IF(CW$4=0,0,IF(COUNTIFS(実績!$W$6:$W$505,CW$3,実績!$AC$6:$AC$505,"&lt;="&amp;$A112,実績!$AD$6:$AD$505,"&gt;"&amp;$A112,実績!$AE$6:$AE$505,"○")&gt;0,1,0))</f>
        <v/>
      </c>
      <c r="CX112">
        <f>IF(CX$4=0,0,IF(COUNTIFS(実績!$W$6:$W$505,CX$3,実績!$AC$6:$AC$505,"&lt;="&amp;$A112,実績!$AD$6:$AD$505,"&gt;"&amp;$A112,実績!$AE$6:$AE$505,"○")&gt;0,1,0))</f>
        <v/>
      </c>
      <c r="CY112">
        <f>IF(CY$4=0,0,IF(COUNTIFS(実績!$W$6:$W$505,CY$3,実績!$AC$6:$AC$505,"&lt;="&amp;$A112,実績!$AD$6:$AD$505,"&gt;"&amp;$A112,実績!$AE$6:$AE$505,"○")&gt;0,1,0))</f>
        <v/>
      </c>
      <c r="CZ112">
        <f>IF(CZ$4=0,0,IF(COUNTIFS(実績!$W$6:$W$505,CZ$3,実績!$AC$6:$AC$505,"&lt;="&amp;$A112,実績!$AD$6:$AD$505,"&gt;"&amp;$A112,実績!$AE$6:$AE$505,"○")&gt;0,1,0))</f>
        <v/>
      </c>
      <c r="DA112">
        <f>IF(DA$4=0,0,IF(COUNTIFS(実績!$W$6:$W$505,DA$3,実績!$AC$6:$AC$505,"&lt;="&amp;$A112,実績!$AD$6:$AD$505,"&gt;"&amp;$A112,実績!$AE$6:$AE$505,"○")&gt;0,1,0))</f>
        <v/>
      </c>
      <c r="DB112">
        <f>IF(DB$4=0,0,IF(COUNTIFS(実績!$W$6:$W$505,DB$3,実績!$AC$6:$AC$505,"&lt;="&amp;$A112,実績!$AD$6:$AD$505,"&gt;"&amp;$A112,実績!$AE$6:$AE$505,"○")&gt;0,1,0))</f>
        <v/>
      </c>
      <c r="DC112">
        <f>IF(DC$4=0,0,IF(COUNTIFS(実績!$W$6:$W$505,DC$3,実績!$AC$6:$AC$505,"&lt;="&amp;$A112,実績!$AD$6:$AD$505,"&gt;"&amp;$A112,実績!$AE$6:$AE$505,"○")&gt;0,1,0))</f>
        <v/>
      </c>
      <c r="DD112">
        <f>IF(DD$4=0,0,IF(COUNTIFS(実績!$W$6:$W$505,DD$3,実績!$AC$6:$AC$505,"&lt;="&amp;$A112,実績!$AD$6:$AD$505,"&gt;"&amp;$A112,実績!$AE$6:$AE$505,"○")&gt;0,1,0))</f>
        <v/>
      </c>
      <c r="DE112">
        <f>IF(DE$4=0,0,IF(COUNTIFS(実績!$W$6:$W$505,DE$3,実績!$AC$6:$AC$505,"&lt;="&amp;$A112,実績!$AD$6:$AD$505,"&gt;"&amp;$A112,実績!$AE$6:$AE$505,"○")&gt;0,1,0))</f>
        <v/>
      </c>
      <c r="DF112">
        <f>IF(DF$4=0,0,IF(COUNTIFS(実績!$W$6:$W$505,DF$3,実績!$AC$6:$AC$505,"&lt;="&amp;$A112,実績!$AD$6:$AD$505,"&gt;"&amp;$A112,実績!$AE$6:$AE$505,"○")&gt;0,1,0))</f>
        <v/>
      </c>
      <c r="DG112">
        <f>IF(DG$4=0,0,IF(COUNTIFS(実績!$W$6:$W$505,DG$3,実績!$AC$6:$AC$505,"&lt;="&amp;$A112,実績!$AD$6:$AD$505,"&gt;"&amp;$A112,実績!$AE$6:$AE$505,"○")&gt;0,1,0))</f>
        <v/>
      </c>
      <c r="DH112">
        <f>IF(DH$4=0,0,IF(COUNTIFS(実績!$W$6:$W$505,DH$3,実績!$AC$6:$AC$505,"&lt;="&amp;$A112,実績!$AD$6:$AD$505,"&gt;"&amp;$A112,実績!$AE$6:$AE$505,"○")&gt;0,1,0))</f>
        <v/>
      </c>
      <c r="DI112">
        <f>IF(DI$4=0,0,IF(COUNTIFS(実績!$W$6:$W$505,DI$3,実績!$AC$6:$AC$505,"&lt;="&amp;$A112,実績!$AD$6:$AD$505,"&gt;"&amp;$A112,実績!$AE$6:$AE$505,"○")&gt;0,1,0))</f>
        <v/>
      </c>
      <c r="DJ112">
        <f>IF(DJ$4=0,0,IF(COUNTIFS(実績!$W$6:$W$505,DJ$3,実績!$AC$6:$AC$505,"&lt;="&amp;$A112,実績!$AD$6:$AD$505,"&gt;"&amp;$A112,実績!$AE$6:$AE$505,"○")&gt;0,1,0))</f>
        <v/>
      </c>
      <c r="DK112">
        <f>IF(DK$4=0,0,IF(COUNTIFS(実績!$W$6:$W$505,DK$3,実績!$AC$6:$AC$505,"&lt;="&amp;$A112,実績!$AD$6:$AD$505,"&gt;"&amp;$A112,実績!$AE$6:$AE$505,"○")&gt;0,1,0))</f>
        <v/>
      </c>
      <c r="DL112">
        <f>IF(DL$4=0,0,IF(COUNTIFS(実績!$W$6:$W$505,DL$3,実績!$AC$6:$AC$505,"&lt;="&amp;$A112,実績!$AD$6:$AD$505,"&gt;"&amp;$A112,実績!$AE$6:$AE$505,"○")&gt;0,1,0))</f>
        <v/>
      </c>
      <c r="DM112">
        <f>IF(DM$4=0,0,IF(COUNTIFS(実績!$W$6:$W$505,DM$3,実績!$AC$6:$AC$505,"&lt;="&amp;$A112,実績!$AD$6:$AD$505,"&gt;"&amp;$A112,実績!$AE$6:$AE$505,"○")&gt;0,1,0))</f>
        <v/>
      </c>
      <c r="DN112">
        <f>IF(DN$4=0,0,IF(COUNTIFS(実績!$W$6:$W$505,DN$3,実績!$AC$6:$AC$505,"&lt;="&amp;$A112,実績!$AD$6:$AD$505,"&gt;"&amp;$A112,実績!$AE$6:$AE$505,"○")&gt;0,1,0))</f>
        <v/>
      </c>
      <c r="DO112">
        <f>IF(DO$4=0,0,IF(COUNTIFS(実績!$W$6:$W$505,DO$3,実績!$AC$6:$AC$505,"&lt;="&amp;$A112,実績!$AD$6:$AD$505,"&gt;"&amp;$A112,実績!$AE$6:$AE$505,"○")&gt;0,1,0))</f>
        <v/>
      </c>
      <c r="DP112">
        <f>IF(DP$4=0,0,IF(COUNTIFS(実績!$W$6:$W$505,DP$3,実績!$AC$6:$AC$505,"&lt;="&amp;$A112,実績!$AD$6:$AD$505,"&gt;"&amp;$A112,実績!$AE$6:$AE$505,"○")&gt;0,1,0))</f>
        <v/>
      </c>
      <c r="DQ112">
        <f>IF(DQ$4=0,0,IF(COUNTIFS(実績!$W$6:$W$505,DQ$3,実績!$AC$6:$AC$505,"&lt;="&amp;$A112,実績!$AD$6:$AD$505,"&gt;"&amp;$A112,実績!$AE$6:$AE$505,"○")&gt;0,1,0))</f>
        <v/>
      </c>
      <c r="DR112">
        <f>IF(DR$4=0,0,IF(COUNTIFS(実績!$W$6:$W$505,DR$3,実績!$AC$6:$AC$505,"&lt;="&amp;$A112,実績!$AD$6:$AD$505,"&gt;"&amp;$A112,実績!$AE$6:$AE$505,"○")&gt;0,1,0))</f>
        <v/>
      </c>
      <c r="DS112">
        <f>SUM(C112:DR112)</f>
        <v/>
      </c>
      <c r="DT112">
        <f>SUMPRODUCT((実績!$C$6:$C$505="○")*ISNUMBER(実績!$AF$6:$AF$505)*(実績!$AF$6:$AF$505&lt;=$A112)*(実績!$AG$6:$AG$505&gt;$A112))</f>
        <v/>
      </c>
      <c r="DU112">
        <f>SUMIF($C$2:$DR$2,"製鉄曳船",C112:DR112)</f>
        <v/>
      </c>
      <c r="DV112">
        <f>SUMIF($C$2:$DR$2,"西日本海運",C112:DR112)</f>
        <v/>
      </c>
    </row>
    <row r="113">
      <c r="A113" t="n">
        <v>535</v>
      </c>
      <c r="B113" s="29">
        <f>A113/1440</f>
        <v/>
      </c>
      <c r="C113">
        <f>IF(C$4=0,0,IF(COUNTIFS(実績!$W$6:$W$505,C$3,実績!$AC$6:$AC$505,"&lt;="&amp;$A113,実績!$AD$6:$AD$505,"&gt;"&amp;$A113,実績!$AE$6:$AE$505,"○")&gt;0,1,0))</f>
        <v/>
      </c>
      <c r="D113">
        <f>IF(D$4=0,0,IF(COUNTIFS(実績!$W$6:$W$505,D$3,実績!$AC$6:$AC$505,"&lt;="&amp;$A113,実績!$AD$6:$AD$505,"&gt;"&amp;$A113,実績!$AE$6:$AE$505,"○")&gt;0,1,0))</f>
        <v/>
      </c>
      <c r="E113">
        <f>IF(E$4=0,0,IF(COUNTIFS(実績!$W$6:$W$505,E$3,実績!$AC$6:$AC$505,"&lt;="&amp;$A113,実績!$AD$6:$AD$505,"&gt;"&amp;$A113,実績!$AE$6:$AE$505,"○")&gt;0,1,0))</f>
        <v/>
      </c>
      <c r="F113">
        <f>IF(F$4=0,0,IF(COUNTIFS(実績!$W$6:$W$505,F$3,実績!$AC$6:$AC$505,"&lt;="&amp;$A113,実績!$AD$6:$AD$505,"&gt;"&amp;$A113,実績!$AE$6:$AE$505,"○")&gt;0,1,0))</f>
        <v/>
      </c>
      <c r="G113">
        <f>IF(G$4=0,0,IF(COUNTIFS(実績!$W$6:$W$505,G$3,実績!$AC$6:$AC$505,"&lt;="&amp;$A113,実績!$AD$6:$AD$505,"&gt;"&amp;$A113,実績!$AE$6:$AE$505,"○")&gt;0,1,0))</f>
        <v/>
      </c>
      <c r="H113">
        <f>IF(H$4=0,0,IF(COUNTIFS(実績!$W$6:$W$505,H$3,実績!$AC$6:$AC$505,"&lt;="&amp;$A113,実績!$AD$6:$AD$505,"&gt;"&amp;$A113,実績!$AE$6:$AE$505,"○")&gt;0,1,0))</f>
        <v/>
      </c>
      <c r="I113">
        <f>IF(I$4=0,0,IF(COUNTIFS(実績!$W$6:$W$505,I$3,実績!$AC$6:$AC$505,"&lt;="&amp;$A113,実績!$AD$6:$AD$505,"&gt;"&amp;$A113,実績!$AE$6:$AE$505,"○")&gt;0,1,0))</f>
        <v/>
      </c>
      <c r="J113">
        <f>IF(J$4=0,0,IF(COUNTIFS(実績!$W$6:$W$505,J$3,実績!$AC$6:$AC$505,"&lt;="&amp;$A113,実績!$AD$6:$AD$505,"&gt;"&amp;$A113,実績!$AE$6:$AE$505,"○")&gt;0,1,0))</f>
        <v/>
      </c>
      <c r="K113">
        <f>IF(K$4=0,0,IF(COUNTIFS(実績!$W$6:$W$505,K$3,実績!$AC$6:$AC$505,"&lt;="&amp;$A113,実績!$AD$6:$AD$505,"&gt;"&amp;$A113,実績!$AE$6:$AE$505,"○")&gt;0,1,0))</f>
        <v/>
      </c>
      <c r="L113">
        <f>IF(L$4=0,0,IF(COUNTIFS(実績!$W$6:$W$505,L$3,実績!$AC$6:$AC$505,"&lt;="&amp;$A113,実績!$AD$6:$AD$505,"&gt;"&amp;$A113,実績!$AE$6:$AE$505,"○")&gt;0,1,0))</f>
        <v/>
      </c>
      <c r="M113">
        <f>IF(M$4=0,0,IF(COUNTIFS(実績!$W$6:$W$505,M$3,実績!$AC$6:$AC$505,"&lt;="&amp;$A113,実績!$AD$6:$AD$505,"&gt;"&amp;$A113,実績!$AE$6:$AE$505,"○")&gt;0,1,0))</f>
        <v/>
      </c>
      <c r="N113">
        <f>IF(N$4=0,0,IF(COUNTIFS(実績!$W$6:$W$505,N$3,実績!$AC$6:$AC$505,"&lt;="&amp;$A113,実績!$AD$6:$AD$505,"&gt;"&amp;$A113,実績!$AE$6:$AE$505,"○")&gt;0,1,0))</f>
        <v/>
      </c>
      <c r="O113">
        <f>IF(O$4=0,0,IF(COUNTIFS(実績!$W$6:$W$505,O$3,実績!$AC$6:$AC$505,"&lt;="&amp;$A113,実績!$AD$6:$AD$505,"&gt;"&amp;$A113,実績!$AE$6:$AE$505,"○")&gt;0,1,0))</f>
        <v/>
      </c>
      <c r="P113">
        <f>IF(P$4=0,0,IF(COUNTIFS(実績!$W$6:$W$505,P$3,実績!$AC$6:$AC$505,"&lt;="&amp;$A113,実績!$AD$6:$AD$505,"&gt;"&amp;$A113,実績!$AE$6:$AE$505,"○")&gt;0,1,0))</f>
        <v/>
      </c>
      <c r="Q113">
        <f>IF(Q$4=0,0,IF(COUNTIFS(実績!$W$6:$W$505,Q$3,実績!$AC$6:$AC$505,"&lt;="&amp;$A113,実績!$AD$6:$AD$505,"&gt;"&amp;$A113,実績!$AE$6:$AE$505,"○")&gt;0,1,0))</f>
        <v/>
      </c>
      <c r="R113">
        <f>IF(R$4=0,0,IF(COUNTIFS(実績!$W$6:$W$505,R$3,実績!$AC$6:$AC$505,"&lt;="&amp;$A113,実績!$AD$6:$AD$505,"&gt;"&amp;$A113,実績!$AE$6:$AE$505,"○")&gt;0,1,0))</f>
        <v/>
      </c>
      <c r="S113">
        <f>IF(S$4=0,0,IF(COUNTIFS(実績!$W$6:$W$505,S$3,実績!$AC$6:$AC$505,"&lt;="&amp;$A113,実績!$AD$6:$AD$505,"&gt;"&amp;$A113,実績!$AE$6:$AE$505,"○")&gt;0,1,0))</f>
        <v/>
      </c>
      <c r="T113">
        <f>IF(T$4=0,0,IF(COUNTIFS(実績!$W$6:$W$505,T$3,実績!$AC$6:$AC$505,"&lt;="&amp;$A113,実績!$AD$6:$AD$505,"&gt;"&amp;$A113,実績!$AE$6:$AE$505,"○")&gt;0,1,0))</f>
        <v/>
      </c>
      <c r="U113">
        <f>IF(U$4=0,0,IF(COUNTIFS(実績!$W$6:$W$505,U$3,実績!$AC$6:$AC$505,"&lt;="&amp;$A113,実績!$AD$6:$AD$505,"&gt;"&amp;$A113,実績!$AE$6:$AE$505,"○")&gt;0,1,0))</f>
        <v/>
      </c>
      <c r="V113">
        <f>IF(V$4=0,0,IF(COUNTIFS(実績!$W$6:$W$505,V$3,実績!$AC$6:$AC$505,"&lt;="&amp;$A113,実績!$AD$6:$AD$505,"&gt;"&amp;$A113,実績!$AE$6:$AE$505,"○")&gt;0,1,0))</f>
        <v/>
      </c>
      <c r="W113">
        <f>IF(W$4=0,0,IF(COUNTIFS(実績!$W$6:$W$505,W$3,実績!$AC$6:$AC$505,"&lt;="&amp;$A113,実績!$AD$6:$AD$505,"&gt;"&amp;$A113,実績!$AE$6:$AE$505,"○")&gt;0,1,0))</f>
        <v/>
      </c>
      <c r="X113">
        <f>IF(X$4=0,0,IF(COUNTIFS(実績!$W$6:$W$505,X$3,実績!$AC$6:$AC$505,"&lt;="&amp;$A113,実績!$AD$6:$AD$505,"&gt;"&amp;$A113,実績!$AE$6:$AE$505,"○")&gt;0,1,0))</f>
        <v/>
      </c>
      <c r="Y113">
        <f>IF(Y$4=0,0,IF(COUNTIFS(実績!$W$6:$W$505,Y$3,実績!$AC$6:$AC$505,"&lt;="&amp;$A113,実績!$AD$6:$AD$505,"&gt;"&amp;$A113,実績!$AE$6:$AE$505,"○")&gt;0,1,0))</f>
        <v/>
      </c>
      <c r="Z113">
        <f>IF(Z$4=0,0,IF(COUNTIFS(実績!$W$6:$W$505,Z$3,実績!$AC$6:$AC$505,"&lt;="&amp;$A113,実績!$AD$6:$AD$505,"&gt;"&amp;$A113,実績!$AE$6:$AE$505,"○")&gt;0,1,0))</f>
        <v/>
      </c>
      <c r="AA113">
        <f>IF(AA$4=0,0,IF(COUNTIFS(実績!$W$6:$W$505,AA$3,実績!$AC$6:$AC$505,"&lt;="&amp;$A113,実績!$AD$6:$AD$505,"&gt;"&amp;$A113,実績!$AE$6:$AE$505,"○")&gt;0,1,0))</f>
        <v/>
      </c>
      <c r="AB113">
        <f>IF(AB$4=0,0,IF(COUNTIFS(実績!$W$6:$W$505,AB$3,実績!$AC$6:$AC$505,"&lt;="&amp;$A113,実績!$AD$6:$AD$505,"&gt;"&amp;$A113,実績!$AE$6:$AE$505,"○")&gt;0,1,0))</f>
        <v/>
      </c>
      <c r="AC113">
        <f>IF(AC$4=0,0,IF(COUNTIFS(実績!$W$6:$W$505,AC$3,実績!$AC$6:$AC$505,"&lt;="&amp;$A113,実績!$AD$6:$AD$505,"&gt;"&amp;$A113,実績!$AE$6:$AE$505,"○")&gt;0,1,0))</f>
        <v/>
      </c>
      <c r="AD113">
        <f>IF(AD$4=0,0,IF(COUNTIFS(実績!$W$6:$W$505,AD$3,実績!$AC$6:$AC$505,"&lt;="&amp;$A113,実績!$AD$6:$AD$505,"&gt;"&amp;$A113,実績!$AE$6:$AE$505,"○")&gt;0,1,0))</f>
        <v/>
      </c>
      <c r="AE113">
        <f>IF(AE$4=0,0,IF(COUNTIFS(実績!$W$6:$W$505,AE$3,実績!$AC$6:$AC$505,"&lt;="&amp;$A113,実績!$AD$6:$AD$505,"&gt;"&amp;$A113,実績!$AE$6:$AE$505,"○")&gt;0,1,0))</f>
        <v/>
      </c>
      <c r="AF113">
        <f>IF(AF$4=0,0,IF(COUNTIFS(実績!$W$6:$W$505,AF$3,実績!$AC$6:$AC$505,"&lt;="&amp;$A113,実績!$AD$6:$AD$505,"&gt;"&amp;$A113,実績!$AE$6:$AE$505,"○")&gt;0,1,0))</f>
        <v/>
      </c>
      <c r="AG113">
        <f>IF(AG$4=0,0,IF(COUNTIFS(実績!$W$6:$W$505,AG$3,実績!$AC$6:$AC$505,"&lt;="&amp;$A113,実績!$AD$6:$AD$505,"&gt;"&amp;$A113,実績!$AE$6:$AE$505,"○")&gt;0,1,0))</f>
        <v/>
      </c>
      <c r="AH113">
        <f>IF(AH$4=0,0,IF(COUNTIFS(実績!$W$6:$W$505,AH$3,実績!$AC$6:$AC$505,"&lt;="&amp;$A113,実績!$AD$6:$AD$505,"&gt;"&amp;$A113,実績!$AE$6:$AE$505,"○")&gt;0,1,0))</f>
        <v/>
      </c>
      <c r="AI113">
        <f>IF(AI$4=0,0,IF(COUNTIFS(実績!$W$6:$W$505,AI$3,実績!$AC$6:$AC$505,"&lt;="&amp;$A113,実績!$AD$6:$AD$505,"&gt;"&amp;$A113,実績!$AE$6:$AE$505,"○")&gt;0,1,0))</f>
        <v/>
      </c>
      <c r="AJ113">
        <f>IF(AJ$4=0,0,IF(COUNTIFS(実績!$W$6:$W$505,AJ$3,実績!$AC$6:$AC$505,"&lt;="&amp;$A113,実績!$AD$6:$AD$505,"&gt;"&amp;$A113,実績!$AE$6:$AE$505,"○")&gt;0,1,0))</f>
        <v/>
      </c>
      <c r="AK113">
        <f>IF(AK$4=0,0,IF(COUNTIFS(実績!$W$6:$W$505,AK$3,実績!$AC$6:$AC$505,"&lt;="&amp;$A113,実績!$AD$6:$AD$505,"&gt;"&amp;$A113,実績!$AE$6:$AE$505,"○")&gt;0,1,0))</f>
        <v/>
      </c>
      <c r="AL113">
        <f>IF(AL$4=0,0,IF(COUNTIFS(実績!$W$6:$W$505,AL$3,実績!$AC$6:$AC$505,"&lt;="&amp;$A113,実績!$AD$6:$AD$505,"&gt;"&amp;$A113,実績!$AE$6:$AE$505,"○")&gt;0,1,0))</f>
        <v/>
      </c>
      <c r="AM113">
        <f>IF(AM$4=0,0,IF(COUNTIFS(実績!$W$6:$W$505,AM$3,実績!$AC$6:$AC$505,"&lt;="&amp;$A113,実績!$AD$6:$AD$505,"&gt;"&amp;$A113,実績!$AE$6:$AE$505,"○")&gt;0,1,0))</f>
        <v/>
      </c>
      <c r="AN113">
        <f>IF(AN$4=0,0,IF(COUNTIFS(実績!$W$6:$W$505,AN$3,実績!$AC$6:$AC$505,"&lt;="&amp;$A113,実績!$AD$6:$AD$505,"&gt;"&amp;$A113,実績!$AE$6:$AE$505,"○")&gt;0,1,0))</f>
        <v/>
      </c>
      <c r="AO113">
        <f>IF(AO$4=0,0,IF(COUNTIFS(実績!$W$6:$W$505,AO$3,実績!$AC$6:$AC$505,"&lt;="&amp;$A113,実績!$AD$6:$AD$505,"&gt;"&amp;$A113,実績!$AE$6:$AE$505,"○")&gt;0,1,0))</f>
        <v/>
      </c>
      <c r="AP113">
        <f>IF(AP$4=0,0,IF(COUNTIFS(実績!$W$6:$W$505,AP$3,実績!$AC$6:$AC$505,"&lt;="&amp;$A113,実績!$AD$6:$AD$505,"&gt;"&amp;$A113,実績!$AE$6:$AE$505,"○")&gt;0,1,0))</f>
        <v/>
      </c>
      <c r="AQ113">
        <f>IF(AQ$4=0,0,IF(COUNTIFS(実績!$W$6:$W$505,AQ$3,実績!$AC$6:$AC$505,"&lt;="&amp;$A113,実績!$AD$6:$AD$505,"&gt;"&amp;$A113,実績!$AE$6:$AE$505,"○")&gt;0,1,0))</f>
        <v/>
      </c>
      <c r="AR113">
        <f>IF(AR$4=0,0,IF(COUNTIFS(実績!$W$6:$W$505,AR$3,実績!$AC$6:$AC$505,"&lt;="&amp;$A113,実績!$AD$6:$AD$505,"&gt;"&amp;$A113,実績!$AE$6:$AE$505,"○")&gt;0,1,0))</f>
        <v/>
      </c>
      <c r="AS113">
        <f>IF(AS$4=0,0,IF(COUNTIFS(実績!$W$6:$W$505,AS$3,実績!$AC$6:$AC$505,"&lt;="&amp;$A113,実績!$AD$6:$AD$505,"&gt;"&amp;$A113,実績!$AE$6:$AE$505,"○")&gt;0,1,0))</f>
        <v/>
      </c>
      <c r="AT113">
        <f>IF(AT$4=0,0,IF(COUNTIFS(実績!$W$6:$W$505,AT$3,実績!$AC$6:$AC$505,"&lt;="&amp;$A113,実績!$AD$6:$AD$505,"&gt;"&amp;$A113,実績!$AE$6:$AE$505,"○")&gt;0,1,0))</f>
        <v/>
      </c>
      <c r="AU113">
        <f>IF(AU$4=0,0,IF(COUNTIFS(実績!$W$6:$W$505,AU$3,実績!$AC$6:$AC$505,"&lt;="&amp;$A113,実績!$AD$6:$AD$505,"&gt;"&amp;$A113,実績!$AE$6:$AE$505,"○")&gt;0,1,0))</f>
        <v/>
      </c>
      <c r="AV113">
        <f>IF(AV$4=0,0,IF(COUNTIFS(実績!$W$6:$W$505,AV$3,実績!$AC$6:$AC$505,"&lt;="&amp;$A113,実績!$AD$6:$AD$505,"&gt;"&amp;$A113,実績!$AE$6:$AE$505,"○")&gt;0,1,0))</f>
        <v/>
      </c>
      <c r="AW113">
        <f>IF(AW$4=0,0,IF(COUNTIFS(実績!$W$6:$W$505,AW$3,実績!$AC$6:$AC$505,"&lt;="&amp;$A113,実績!$AD$6:$AD$505,"&gt;"&amp;$A113,実績!$AE$6:$AE$505,"○")&gt;0,1,0))</f>
        <v/>
      </c>
      <c r="AX113">
        <f>IF(AX$4=0,0,IF(COUNTIFS(実績!$W$6:$W$505,AX$3,実績!$AC$6:$AC$505,"&lt;="&amp;$A113,実績!$AD$6:$AD$505,"&gt;"&amp;$A113,実績!$AE$6:$AE$505,"○")&gt;0,1,0))</f>
        <v/>
      </c>
      <c r="AY113">
        <f>IF(AY$4=0,0,IF(COUNTIFS(実績!$W$6:$W$505,AY$3,実績!$AC$6:$AC$505,"&lt;="&amp;$A113,実績!$AD$6:$AD$505,"&gt;"&amp;$A113,実績!$AE$6:$AE$505,"○")&gt;0,1,0))</f>
        <v/>
      </c>
      <c r="AZ113">
        <f>IF(AZ$4=0,0,IF(COUNTIFS(実績!$W$6:$W$505,AZ$3,実績!$AC$6:$AC$505,"&lt;="&amp;$A113,実績!$AD$6:$AD$505,"&gt;"&amp;$A113,実績!$AE$6:$AE$505,"○")&gt;0,1,0))</f>
        <v/>
      </c>
      <c r="BA113">
        <f>IF(BA$4=0,0,IF(COUNTIFS(実績!$W$6:$W$505,BA$3,実績!$AC$6:$AC$505,"&lt;="&amp;$A113,実績!$AD$6:$AD$505,"&gt;"&amp;$A113,実績!$AE$6:$AE$505,"○")&gt;0,1,0))</f>
        <v/>
      </c>
      <c r="BB113">
        <f>IF(BB$4=0,0,IF(COUNTIFS(実績!$W$6:$W$505,BB$3,実績!$AC$6:$AC$505,"&lt;="&amp;$A113,実績!$AD$6:$AD$505,"&gt;"&amp;$A113,実績!$AE$6:$AE$505,"○")&gt;0,1,0))</f>
        <v/>
      </c>
      <c r="BC113">
        <f>IF(BC$4=0,0,IF(COUNTIFS(実績!$W$6:$W$505,BC$3,実績!$AC$6:$AC$505,"&lt;="&amp;$A113,実績!$AD$6:$AD$505,"&gt;"&amp;$A113,実績!$AE$6:$AE$505,"○")&gt;0,1,0))</f>
        <v/>
      </c>
      <c r="BD113">
        <f>IF(BD$4=0,0,IF(COUNTIFS(実績!$W$6:$W$505,BD$3,実績!$AC$6:$AC$505,"&lt;="&amp;$A113,実績!$AD$6:$AD$505,"&gt;"&amp;$A113,実績!$AE$6:$AE$505,"○")&gt;0,1,0))</f>
        <v/>
      </c>
      <c r="BE113">
        <f>IF(BE$4=0,0,IF(COUNTIFS(実績!$W$6:$W$505,BE$3,実績!$AC$6:$AC$505,"&lt;="&amp;$A113,実績!$AD$6:$AD$505,"&gt;"&amp;$A113,実績!$AE$6:$AE$505,"○")&gt;0,1,0))</f>
        <v/>
      </c>
      <c r="BF113">
        <f>IF(BF$4=0,0,IF(COUNTIFS(実績!$W$6:$W$505,BF$3,実績!$AC$6:$AC$505,"&lt;="&amp;$A113,実績!$AD$6:$AD$505,"&gt;"&amp;$A113,実績!$AE$6:$AE$505,"○")&gt;0,1,0))</f>
        <v/>
      </c>
      <c r="BG113">
        <f>IF(BG$4=0,0,IF(COUNTIFS(実績!$W$6:$W$505,BG$3,実績!$AC$6:$AC$505,"&lt;="&amp;$A113,実績!$AD$6:$AD$505,"&gt;"&amp;$A113,実績!$AE$6:$AE$505,"○")&gt;0,1,0))</f>
        <v/>
      </c>
      <c r="BH113">
        <f>IF(BH$4=0,0,IF(COUNTIFS(実績!$W$6:$W$505,BH$3,実績!$AC$6:$AC$505,"&lt;="&amp;$A113,実績!$AD$6:$AD$505,"&gt;"&amp;$A113,実績!$AE$6:$AE$505,"○")&gt;0,1,0))</f>
        <v/>
      </c>
      <c r="BI113">
        <f>IF(BI$4=0,0,IF(COUNTIFS(実績!$W$6:$W$505,BI$3,実績!$AC$6:$AC$505,"&lt;="&amp;$A113,実績!$AD$6:$AD$505,"&gt;"&amp;$A113,実績!$AE$6:$AE$505,"○")&gt;0,1,0))</f>
        <v/>
      </c>
      <c r="BJ113">
        <f>IF(BJ$4=0,0,IF(COUNTIFS(実績!$W$6:$W$505,BJ$3,実績!$AC$6:$AC$505,"&lt;="&amp;$A113,実績!$AD$6:$AD$505,"&gt;"&amp;$A113,実績!$AE$6:$AE$505,"○")&gt;0,1,0))</f>
        <v/>
      </c>
      <c r="BK113">
        <f>IF(BK$4=0,0,IF(COUNTIFS(実績!$W$6:$W$505,BK$3,実績!$AC$6:$AC$505,"&lt;="&amp;$A113,実績!$AD$6:$AD$505,"&gt;"&amp;$A113,実績!$AE$6:$AE$505,"○")&gt;0,1,0))</f>
        <v/>
      </c>
      <c r="BL113">
        <f>IF(BL$4=0,0,IF(COUNTIFS(実績!$W$6:$W$505,BL$3,実績!$AC$6:$AC$505,"&lt;="&amp;$A113,実績!$AD$6:$AD$505,"&gt;"&amp;$A113,実績!$AE$6:$AE$505,"○")&gt;0,1,0))</f>
        <v/>
      </c>
      <c r="BM113">
        <f>IF(BM$4=0,0,IF(COUNTIFS(実績!$W$6:$W$505,BM$3,実績!$AC$6:$AC$505,"&lt;="&amp;$A113,実績!$AD$6:$AD$505,"&gt;"&amp;$A113,実績!$AE$6:$AE$505,"○")&gt;0,1,0))</f>
        <v/>
      </c>
      <c r="BN113">
        <f>IF(BN$4=0,0,IF(COUNTIFS(実績!$W$6:$W$505,BN$3,実績!$AC$6:$AC$505,"&lt;="&amp;$A113,実績!$AD$6:$AD$505,"&gt;"&amp;$A113,実績!$AE$6:$AE$505,"○")&gt;0,1,0))</f>
        <v/>
      </c>
      <c r="BO113">
        <f>IF(BO$4=0,0,IF(COUNTIFS(実績!$W$6:$W$505,BO$3,実績!$AC$6:$AC$505,"&lt;="&amp;$A113,実績!$AD$6:$AD$505,"&gt;"&amp;$A113,実績!$AE$6:$AE$505,"○")&gt;0,1,0))</f>
        <v/>
      </c>
      <c r="BP113">
        <f>IF(BP$4=0,0,IF(COUNTIFS(実績!$W$6:$W$505,BP$3,実績!$AC$6:$AC$505,"&lt;="&amp;$A113,実績!$AD$6:$AD$505,"&gt;"&amp;$A113,実績!$AE$6:$AE$505,"○")&gt;0,1,0))</f>
        <v/>
      </c>
      <c r="BQ113">
        <f>IF(BQ$4=0,0,IF(COUNTIFS(実績!$W$6:$W$505,BQ$3,実績!$AC$6:$AC$505,"&lt;="&amp;$A113,実績!$AD$6:$AD$505,"&gt;"&amp;$A113,実績!$AE$6:$AE$505,"○")&gt;0,1,0))</f>
        <v/>
      </c>
      <c r="BR113">
        <f>IF(BR$4=0,0,IF(COUNTIFS(実績!$W$6:$W$505,BR$3,実績!$AC$6:$AC$505,"&lt;="&amp;$A113,実績!$AD$6:$AD$505,"&gt;"&amp;$A113,実績!$AE$6:$AE$505,"○")&gt;0,1,0))</f>
        <v/>
      </c>
      <c r="BS113">
        <f>IF(BS$4=0,0,IF(COUNTIFS(実績!$W$6:$W$505,BS$3,実績!$AC$6:$AC$505,"&lt;="&amp;$A113,実績!$AD$6:$AD$505,"&gt;"&amp;$A113,実績!$AE$6:$AE$505,"○")&gt;0,1,0))</f>
        <v/>
      </c>
      <c r="BT113">
        <f>IF(BT$4=0,0,IF(COUNTIFS(実績!$W$6:$W$505,BT$3,実績!$AC$6:$AC$505,"&lt;="&amp;$A113,実績!$AD$6:$AD$505,"&gt;"&amp;$A113,実績!$AE$6:$AE$505,"○")&gt;0,1,0))</f>
        <v/>
      </c>
      <c r="BU113">
        <f>IF(BU$4=0,0,IF(COUNTIFS(実績!$W$6:$W$505,BU$3,実績!$AC$6:$AC$505,"&lt;="&amp;$A113,実績!$AD$6:$AD$505,"&gt;"&amp;$A113,実績!$AE$6:$AE$505,"○")&gt;0,1,0))</f>
        <v/>
      </c>
      <c r="BV113">
        <f>IF(BV$4=0,0,IF(COUNTIFS(実績!$W$6:$W$505,BV$3,実績!$AC$6:$AC$505,"&lt;="&amp;$A113,実績!$AD$6:$AD$505,"&gt;"&amp;$A113,実績!$AE$6:$AE$505,"○")&gt;0,1,0))</f>
        <v/>
      </c>
      <c r="BW113">
        <f>IF(BW$4=0,0,IF(COUNTIFS(実績!$W$6:$W$505,BW$3,実績!$AC$6:$AC$505,"&lt;="&amp;$A113,実績!$AD$6:$AD$505,"&gt;"&amp;$A113,実績!$AE$6:$AE$505,"○")&gt;0,1,0))</f>
        <v/>
      </c>
      <c r="BX113">
        <f>IF(BX$4=0,0,IF(COUNTIFS(実績!$W$6:$W$505,BX$3,実績!$AC$6:$AC$505,"&lt;="&amp;$A113,実績!$AD$6:$AD$505,"&gt;"&amp;$A113,実績!$AE$6:$AE$505,"○")&gt;0,1,0))</f>
        <v/>
      </c>
      <c r="BY113">
        <f>IF(BY$4=0,0,IF(COUNTIFS(実績!$W$6:$W$505,BY$3,実績!$AC$6:$AC$505,"&lt;="&amp;$A113,実績!$AD$6:$AD$505,"&gt;"&amp;$A113,実績!$AE$6:$AE$505,"○")&gt;0,1,0))</f>
        <v/>
      </c>
      <c r="BZ113">
        <f>IF(BZ$4=0,0,IF(COUNTIFS(実績!$W$6:$W$505,BZ$3,実績!$AC$6:$AC$505,"&lt;="&amp;$A113,実績!$AD$6:$AD$505,"&gt;"&amp;$A113,実績!$AE$6:$AE$505,"○")&gt;0,1,0))</f>
        <v/>
      </c>
      <c r="CA113">
        <f>IF(CA$4=0,0,IF(COUNTIFS(実績!$W$6:$W$505,CA$3,実績!$AC$6:$AC$505,"&lt;="&amp;$A113,実績!$AD$6:$AD$505,"&gt;"&amp;$A113,実績!$AE$6:$AE$505,"○")&gt;0,1,0))</f>
        <v/>
      </c>
      <c r="CB113">
        <f>IF(CB$4=0,0,IF(COUNTIFS(実績!$W$6:$W$505,CB$3,実績!$AC$6:$AC$505,"&lt;="&amp;$A113,実績!$AD$6:$AD$505,"&gt;"&amp;$A113,実績!$AE$6:$AE$505,"○")&gt;0,1,0))</f>
        <v/>
      </c>
      <c r="CC113">
        <f>IF(CC$4=0,0,IF(COUNTIFS(実績!$W$6:$W$505,CC$3,実績!$AC$6:$AC$505,"&lt;="&amp;$A113,実績!$AD$6:$AD$505,"&gt;"&amp;$A113,実績!$AE$6:$AE$505,"○")&gt;0,1,0))</f>
        <v/>
      </c>
      <c r="CD113">
        <f>IF(CD$4=0,0,IF(COUNTIFS(実績!$W$6:$W$505,CD$3,実績!$AC$6:$AC$505,"&lt;="&amp;$A113,実績!$AD$6:$AD$505,"&gt;"&amp;$A113,実績!$AE$6:$AE$505,"○")&gt;0,1,0))</f>
        <v/>
      </c>
      <c r="CE113">
        <f>IF(CE$4=0,0,IF(COUNTIFS(実績!$W$6:$W$505,CE$3,実績!$AC$6:$AC$505,"&lt;="&amp;$A113,実績!$AD$6:$AD$505,"&gt;"&amp;$A113,実績!$AE$6:$AE$505,"○")&gt;0,1,0))</f>
        <v/>
      </c>
      <c r="CF113">
        <f>IF(CF$4=0,0,IF(COUNTIFS(実績!$W$6:$W$505,CF$3,実績!$AC$6:$AC$505,"&lt;="&amp;$A113,実績!$AD$6:$AD$505,"&gt;"&amp;$A113,実績!$AE$6:$AE$505,"○")&gt;0,1,0))</f>
        <v/>
      </c>
      <c r="CG113">
        <f>IF(CG$4=0,0,IF(COUNTIFS(実績!$W$6:$W$505,CG$3,実績!$AC$6:$AC$505,"&lt;="&amp;$A113,実績!$AD$6:$AD$505,"&gt;"&amp;$A113,実績!$AE$6:$AE$505,"○")&gt;0,1,0))</f>
        <v/>
      </c>
      <c r="CH113">
        <f>IF(CH$4=0,0,IF(COUNTIFS(実績!$W$6:$W$505,CH$3,実績!$AC$6:$AC$505,"&lt;="&amp;$A113,実績!$AD$6:$AD$505,"&gt;"&amp;$A113,実績!$AE$6:$AE$505,"○")&gt;0,1,0))</f>
        <v/>
      </c>
      <c r="CI113">
        <f>IF(CI$4=0,0,IF(COUNTIFS(実績!$W$6:$W$505,CI$3,実績!$AC$6:$AC$505,"&lt;="&amp;$A113,実績!$AD$6:$AD$505,"&gt;"&amp;$A113,実績!$AE$6:$AE$505,"○")&gt;0,1,0))</f>
        <v/>
      </c>
      <c r="CJ113">
        <f>IF(CJ$4=0,0,IF(COUNTIFS(実績!$W$6:$W$505,CJ$3,実績!$AC$6:$AC$505,"&lt;="&amp;$A113,実績!$AD$6:$AD$505,"&gt;"&amp;$A113,実績!$AE$6:$AE$505,"○")&gt;0,1,0))</f>
        <v/>
      </c>
      <c r="CK113">
        <f>IF(CK$4=0,0,IF(COUNTIFS(実績!$W$6:$W$505,CK$3,実績!$AC$6:$AC$505,"&lt;="&amp;$A113,実績!$AD$6:$AD$505,"&gt;"&amp;$A113,実績!$AE$6:$AE$505,"○")&gt;0,1,0))</f>
        <v/>
      </c>
      <c r="CL113">
        <f>IF(CL$4=0,0,IF(COUNTIFS(実績!$W$6:$W$505,CL$3,実績!$AC$6:$AC$505,"&lt;="&amp;$A113,実績!$AD$6:$AD$505,"&gt;"&amp;$A113,実績!$AE$6:$AE$505,"○")&gt;0,1,0))</f>
        <v/>
      </c>
      <c r="CM113">
        <f>IF(CM$4=0,0,IF(COUNTIFS(実績!$W$6:$W$505,CM$3,実績!$AC$6:$AC$505,"&lt;="&amp;$A113,実績!$AD$6:$AD$505,"&gt;"&amp;$A113,実績!$AE$6:$AE$505,"○")&gt;0,1,0))</f>
        <v/>
      </c>
      <c r="CN113">
        <f>IF(CN$4=0,0,IF(COUNTIFS(実績!$W$6:$W$505,CN$3,実績!$AC$6:$AC$505,"&lt;="&amp;$A113,実績!$AD$6:$AD$505,"&gt;"&amp;$A113,実績!$AE$6:$AE$505,"○")&gt;0,1,0))</f>
        <v/>
      </c>
      <c r="CO113">
        <f>IF(CO$4=0,0,IF(COUNTIFS(実績!$W$6:$W$505,CO$3,実績!$AC$6:$AC$505,"&lt;="&amp;$A113,実績!$AD$6:$AD$505,"&gt;"&amp;$A113,実績!$AE$6:$AE$505,"○")&gt;0,1,0))</f>
        <v/>
      </c>
      <c r="CP113">
        <f>IF(CP$4=0,0,IF(COUNTIFS(実績!$W$6:$W$505,CP$3,実績!$AC$6:$AC$505,"&lt;="&amp;$A113,実績!$AD$6:$AD$505,"&gt;"&amp;$A113,実績!$AE$6:$AE$505,"○")&gt;0,1,0))</f>
        <v/>
      </c>
      <c r="CQ113">
        <f>IF(CQ$4=0,0,IF(COUNTIFS(実績!$W$6:$W$505,CQ$3,実績!$AC$6:$AC$505,"&lt;="&amp;$A113,実績!$AD$6:$AD$505,"&gt;"&amp;$A113,実績!$AE$6:$AE$505,"○")&gt;0,1,0))</f>
        <v/>
      </c>
      <c r="CR113">
        <f>IF(CR$4=0,0,IF(COUNTIFS(実績!$W$6:$W$505,CR$3,実績!$AC$6:$AC$505,"&lt;="&amp;$A113,実績!$AD$6:$AD$505,"&gt;"&amp;$A113,実績!$AE$6:$AE$505,"○")&gt;0,1,0))</f>
        <v/>
      </c>
      <c r="CS113">
        <f>IF(CS$4=0,0,IF(COUNTIFS(実績!$W$6:$W$505,CS$3,実績!$AC$6:$AC$505,"&lt;="&amp;$A113,実績!$AD$6:$AD$505,"&gt;"&amp;$A113,実績!$AE$6:$AE$505,"○")&gt;0,1,0))</f>
        <v/>
      </c>
      <c r="CT113">
        <f>IF(CT$4=0,0,IF(COUNTIFS(実績!$W$6:$W$505,CT$3,実績!$AC$6:$AC$505,"&lt;="&amp;$A113,実績!$AD$6:$AD$505,"&gt;"&amp;$A113,実績!$AE$6:$AE$505,"○")&gt;0,1,0))</f>
        <v/>
      </c>
      <c r="CU113">
        <f>IF(CU$4=0,0,IF(COUNTIFS(実績!$W$6:$W$505,CU$3,実績!$AC$6:$AC$505,"&lt;="&amp;$A113,実績!$AD$6:$AD$505,"&gt;"&amp;$A113,実績!$AE$6:$AE$505,"○")&gt;0,1,0))</f>
        <v/>
      </c>
      <c r="CV113">
        <f>IF(CV$4=0,0,IF(COUNTIFS(実績!$W$6:$W$505,CV$3,実績!$AC$6:$AC$505,"&lt;="&amp;$A113,実績!$AD$6:$AD$505,"&gt;"&amp;$A113,実績!$AE$6:$AE$505,"○")&gt;0,1,0))</f>
        <v/>
      </c>
      <c r="CW113">
        <f>IF(CW$4=0,0,IF(COUNTIFS(実績!$W$6:$W$505,CW$3,実績!$AC$6:$AC$505,"&lt;="&amp;$A113,実績!$AD$6:$AD$505,"&gt;"&amp;$A113,実績!$AE$6:$AE$505,"○")&gt;0,1,0))</f>
        <v/>
      </c>
      <c r="CX113">
        <f>IF(CX$4=0,0,IF(COUNTIFS(実績!$W$6:$W$505,CX$3,実績!$AC$6:$AC$505,"&lt;="&amp;$A113,実績!$AD$6:$AD$505,"&gt;"&amp;$A113,実績!$AE$6:$AE$505,"○")&gt;0,1,0))</f>
        <v/>
      </c>
      <c r="CY113">
        <f>IF(CY$4=0,0,IF(COUNTIFS(実績!$W$6:$W$505,CY$3,実績!$AC$6:$AC$505,"&lt;="&amp;$A113,実績!$AD$6:$AD$505,"&gt;"&amp;$A113,実績!$AE$6:$AE$505,"○")&gt;0,1,0))</f>
        <v/>
      </c>
      <c r="CZ113">
        <f>IF(CZ$4=0,0,IF(COUNTIFS(実績!$W$6:$W$505,CZ$3,実績!$AC$6:$AC$505,"&lt;="&amp;$A113,実績!$AD$6:$AD$505,"&gt;"&amp;$A113,実績!$AE$6:$AE$505,"○")&gt;0,1,0))</f>
        <v/>
      </c>
      <c r="DA113">
        <f>IF(DA$4=0,0,IF(COUNTIFS(実績!$W$6:$W$505,DA$3,実績!$AC$6:$AC$505,"&lt;="&amp;$A113,実績!$AD$6:$AD$505,"&gt;"&amp;$A113,実績!$AE$6:$AE$505,"○")&gt;0,1,0))</f>
        <v/>
      </c>
      <c r="DB113">
        <f>IF(DB$4=0,0,IF(COUNTIFS(実績!$W$6:$W$505,DB$3,実績!$AC$6:$AC$505,"&lt;="&amp;$A113,実績!$AD$6:$AD$505,"&gt;"&amp;$A113,実績!$AE$6:$AE$505,"○")&gt;0,1,0))</f>
        <v/>
      </c>
      <c r="DC113">
        <f>IF(DC$4=0,0,IF(COUNTIFS(実績!$W$6:$W$505,DC$3,実績!$AC$6:$AC$505,"&lt;="&amp;$A113,実績!$AD$6:$AD$505,"&gt;"&amp;$A113,実績!$AE$6:$AE$505,"○")&gt;0,1,0))</f>
        <v/>
      </c>
      <c r="DD113">
        <f>IF(DD$4=0,0,IF(COUNTIFS(実績!$W$6:$W$505,DD$3,実績!$AC$6:$AC$505,"&lt;="&amp;$A113,実績!$AD$6:$AD$505,"&gt;"&amp;$A113,実績!$AE$6:$AE$505,"○")&gt;0,1,0))</f>
        <v/>
      </c>
      <c r="DE113">
        <f>IF(DE$4=0,0,IF(COUNTIFS(実績!$W$6:$W$505,DE$3,実績!$AC$6:$AC$505,"&lt;="&amp;$A113,実績!$AD$6:$AD$505,"&gt;"&amp;$A113,実績!$AE$6:$AE$505,"○")&gt;0,1,0))</f>
        <v/>
      </c>
      <c r="DF113">
        <f>IF(DF$4=0,0,IF(COUNTIFS(実績!$W$6:$W$505,DF$3,実績!$AC$6:$AC$505,"&lt;="&amp;$A113,実績!$AD$6:$AD$505,"&gt;"&amp;$A113,実績!$AE$6:$AE$505,"○")&gt;0,1,0))</f>
        <v/>
      </c>
      <c r="DG113">
        <f>IF(DG$4=0,0,IF(COUNTIFS(実績!$W$6:$W$505,DG$3,実績!$AC$6:$AC$505,"&lt;="&amp;$A113,実績!$AD$6:$AD$505,"&gt;"&amp;$A113,実績!$AE$6:$AE$505,"○")&gt;0,1,0))</f>
        <v/>
      </c>
      <c r="DH113">
        <f>IF(DH$4=0,0,IF(COUNTIFS(実績!$W$6:$W$505,DH$3,実績!$AC$6:$AC$505,"&lt;="&amp;$A113,実績!$AD$6:$AD$505,"&gt;"&amp;$A113,実績!$AE$6:$AE$505,"○")&gt;0,1,0))</f>
        <v/>
      </c>
      <c r="DI113">
        <f>IF(DI$4=0,0,IF(COUNTIFS(実績!$W$6:$W$505,DI$3,実績!$AC$6:$AC$505,"&lt;="&amp;$A113,実績!$AD$6:$AD$505,"&gt;"&amp;$A113,実績!$AE$6:$AE$505,"○")&gt;0,1,0))</f>
        <v/>
      </c>
      <c r="DJ113">
        <f>IF(DJ$4=0,0,IF(COUNTIFS(実績!$W$6:$W$505,DJ$3,実績!$AC$6:$AC$505,"&lt;="&amp;$A113,実績!$AD$6:$AD$505,"&gt;"&amp;$A113,実績!$AE$6:$AE$505,"○")&gt;0,1,0))</f>
        <v/>
      </c>
      <c r="DK113">
        <f>IF(DK$4=0,0,IF(COUNTIFS(実績!$W$6:$W$505,DK$3,実績!$AC$6:$AC$505,"&lt;="&amp;$A113,実績!$AD$6:$AD$505,"&gt;"&amp;$A113,実績!$AE$6:$AE$505,"○")&gt;0,1,0))</f>
        <v/>
      </c>
      <c r="DL113">
        <f>IF(DL$4=0,0,IF(COUNTIFS(実績!$W$6:$W$505,DL$3,実績!$AC$6:$AC$505,"&lt;="&amp;$A113,実績!$AD$6:$AD$505,"&gt;"&amp;$A113,実績!$AE$6:$AE$505,"○")&gt;0,1,0))</f>
        <v/>
      </c>
      <c r="DM113">
        <f>IF(DM$4=0,0,IF(COUNTIFS(実績!$W$6:$W$505,DM$3,実績!$AC$6:$AC$505,"&lt;="&amp;$A113,実績!$AD$6:$AD$505,"&gt;"&amp;$A113,実績!$AE$6:$AE$505,"○")&gt;0,1,0))</f>
        <v/>
      </c>
      <c r="DN113">
        <f>IF(DN$4=0,0,IF(COUNTIFS(実績!$W$6:$W$505,DN$3,実績!$AC$6:$AC$505,"&lt;="&amp;$A113,実績!$AD$6:$AD$505,"&gt;"&amp;$A113,実績!$AE$6:$AE$505,"○")&gt;0,1,0))</f>
        <v/>
      </c>
      <c r="DO113">
        <f>IF(DO$4=0,0,IF(COUNTIFS(実績!$W$6:$W$505,DO$3,実績!$AC$6:$AC$505,"&lt;="&amp;$A113,実績!$AD$6:$AD$505,"&gt;"&amp;$A113,実績!$AE$6:$AE$505,"○")&gt;0,1,0))</f>
        <v/>
      </c>
      <c r="DP113">
        <f>IF(DP$4=0,0,IF(COUNTIFS(実績!$W$6:$W$505,DP$3,実績!$AC$6:$AC$505,"&lt;="&amp;$A113,実績!$AD$6:$AD$505,"&gt;"&amp;$A113,実績!$AE$6:$AE$505,"○")&gt;0,1,0))</f>
        <v/>
      </c>
      <c r="DQ113">
        <f>IF(DQ$4=0,0,IF(COUNTIFS(実績!$W$6:$W$505,DQ$3,実績!$AC$6:$AC$505,"&lt;="&amp;$A113,実績!$AD$6:$AD$505,"&gt;"&amp;$A113,実績!$AE$6:$AE$505,"○")&gt;0,1,0))</f>
        <v/>
      </c>
      <c r="DR113">
        <f>IF(DR$4=0,0,IF(COUNTIFS(実績!$W$6:$W$505,DR$3,実績!$AC$6:$AC$505,"&lt;="&amp;$A113,実績!$AD$6:$AD$505,"&gt;"&amp;$A113,実績!$AE$6:$AE$505,"○")&gt;0,1,0))</f>
        <v/>
      </c>
      <c r="DS113">
        <f>SUM(C113:DR113)</f>
        <v/>
      </c>
      <c r="DT113">
        <f>SUMPRODUCT((実績!$C$6:$C$505="○")*ISNUMBER(実績!$AF$6:$AF$505)*(実績!$AF$6:$AF$505&lt;=$A113)*(実績!$AG$6:$AG$505&gt;$A113))</f>
        <v/>
      </c>
      <c r="DU113">
        <f>SUMIF($C$2:$DR$2,"製鉄曳船",C113:DR113)</f>
        <v/>
      </c>
      <c r="DV113">
        <f>SUMIF($C$2:$DR$2,"西日本海運",C113:DR113)</f>
        <v/>
      </c>
    </row>
    <row r="114">
      <c r="A114" t="n">
        <v>540</v>
      </c>
      <c r="B114" s="29">
        <f>A114/1440</f>
        <v/>
      </c>
      <c r="C114">
        <f>IF(C$4=0,0,IF(COUNTIFS(実績!$W$6:$W$505,C$3,実績!$AC$6:$AC$505,"&lt;="&amp;$A114,実績!$AD$6:$AD$505,"&gt;"&amp;$A114,実績!$AE$6:$AE$505,"○")&gt;0,1,0))</f>
        <v/>
      </c>
      <c r="D114">
        <f>IF(D$4=0,0,IF(COUNTIFS(実績!$W$6:$W$505,D$3,実績!$AC$6:$AC$505,"&lt;="&amp;$A114,実績!$AD$6:$AD$505,"&gt;"&amp;$A114,実績!$AE$6:$AE$505,"○")&gt;0,1,0))</f>
        <v/>
      </c>
      <c r="E114">
        <f>IF(E$4=0,0,IF(COUNTIFS(実績!$W$6:$W$505,E$3,実績!$AC$6:$AC$505,"&lt;="&amp;$A114,実績!$AD$6:$AD$505,"&gt;"&amp;$A114,実績!$AE$6:$AE$505,"○")&gt;0,1,0))</f>
        <v/>
      </c>
      <c r="F114">
        <f>IF(F$4=0,0,IF(COUNTIFS(実績!$W$6:$W$505,F$3,実績!$AC$6:$AC$505,"&lt;="&amp;$A114,実績!$AD$6:$AD$505,"&gt;"&amp;$A114,実績!$AE$6:$AE$505,"○")&gt;0,1,0))</f>
        <v/>
      </c>
      <c r="G114">
        <f>IF(G$4=0,0,IF(COUNTIFS(実績!$W$6:$W$505,G$3,実績!$AC$6:$AC$505,"&lt;="&amp;$A114,実績!$AD$6:$AD$505,"&gt;"&amp;$A114,実績!$AE$6:$AE$505,"○")&gt;0,1,0))</f>
        <v/>
      </c>
      <c r="H114">
        <f>IF(H$4=0,0,IF(COUNTIFS(実績!$W$6:$W$505,H$3,実績!$AC$6:$AC$505,"&lt;="&amp;$A114,実績!$AD$6:$AD$505,"&gt;"&amp;$A114,実績!$AE$6:$AE$505,"○")&gt;0,1,0))</f>
        <v/>
      </c>
      <c r="I114">
        <f>IF(I$4=0,0,IF(COUNTIFS(実績!$W$6:$W$505,I$3,実績!$AC$6:$AC$505,"&lt;="&amp;$A114,実績!$AD$6:$AD$505,"&gt;"&amp;$A114,実績!$AE$6:$AE$505,"○")&gt;0,1,0))</f>
        <v/>
      </c>
      <c r="J114">
        <f>IF(J$4=0,0,IF(COUNTIFS(実績!$W$6:$W$505,J$3,実績!$AC$6:$AC$505,"&lt;="&amp;$A114,実績!$AD$6:$AD$505,"&gt;"&amp;$A114,実績!$AE$6:$AE$505,"○")&gt;0,1,0))</f>
        <v/>
      </c>
      <c r="K114">
        <f>IF(K$4=0,0,IF(COUNTIFS(実績!$W$6:$W$505,K$3,実績!$AC$6:$AC$505,"&lt;="&amp;$A114,実績!$AD$6:$AD$505,"&gt;"&amp;$A114,実績!$AE$6:$AE$505,"○")&gt;0,1,0))</f>
        <v/>
      </c>
      <c r="L114">
        <f>IF(L$4=0,0,IF(COUNTIFS(実績!$W$6:$W$505,L$3,実績!$AC$6:$AC$505,"&lt;="&amp;$A114,実績!$AD$6:$AD$505,"&gt;"&amp;$A114,実績!$AE$6:$AE$505,"○")&gt;0,1,0))</f>
        <v/>
      </c>
      <c r="M114">
        <f>IF(M$4=0,0,IF(COUNTIFS(実績!$W$6:$W$505,M$3,実績!$AC$6:$AC$505,"&lt;="&amp;$A114,実績!$AD$6:$AD$505,"&gt;"&amp;$A114,実績!$AE$6:$AE$505,"○")&gt;0,1,0))</f>
        <v/>
      </c>
      <c r="N114">
        <f>IF(N$4=0,0,IF(COUNTIFS(実績!$W$6:$W$505,N$3,実績!$AC$6:$AC$505,"&lt;="&amp;$A114,実績!$AD$6:$AD$505,"&gt;"&amp;$A114,実績!$AE$6:$AE$505,"○")&gt;0,1,0))</f>
        <v/>
      </c>
      <c r="O114">
        <f>IF(O$4=0,0,IF(COUNTIFS(実績!$W$6:$W$505,O$3,実績!$AC$6:$AC$505,"&lt;="&amp;$A114,実績!$AD$6:$AD$505,"&gt;"&amp;$A114,実績!$AE$6:$AE$505,"○")&gt;0,1,0))</f>
        <v/>
      </c>
      <c r="P114">
        <f>IF(P$4=0,0,IF(COUNTIFS(実績!$W$6:$W$505,P$3,実績!$AC$6:$AC$505,"&lt;="&amp;$A114,実績!$AD$6:$AD$505,"&gt;"&amp;$A114,実績!$AE$6:$AE$505,"○")&gt;0,1,0))</f>
        <v/>
      </c>
      <c r="Q114">
        <f>IF(Q$4=0,0,IF(COUNTIFS(実績!$W$6:$W$505,Q$3,実績!$AC$6:$AC$505,"&lt;="&amp;$A114,実績!$AD$6:$AD$505,"&gt;"&amp;$A114,実績!$AE$6:$AE$505,"○")&gt;0,1,0))</f>
        <v/>
      </c>
      <c r="R114">
        <f>IF(R$4=0,0,IF(COUNTIFS(実績!$W$6:$W$505,R$3,実績!$AC$6:$AC$505,"&lt;="&amp;$A114,実績!$AD$6:$AD$505,"&gt;"&amp;$A114,実績!$AE$6:$AE$505,"○")&gt;0,1,0))</f>
        <v/>
      </c>
      <c r="S114">
        <f>IF(S$4=0,0,IF(COUNTIFS(実績!$W$6:$W$505,S$3,実績!$AC$6:$AC$505,"&lt;="&amp;$A114,実績!$AD$6:$AD$505,"&gt;"&amp;$A114,実績!$AE$6:$AE$505,"○")&gt;0,1,0))</f>
        <v/>
      </c>
      <c r="T114">
        <f>IF(T$4=0,0,IF(COUNTIFS(実績!$W$6:$W$505,T$3,実績!$AC$6:$AC$505,"&lt;="&amp;$A114,実績!$AD$6:$AD$505,"&gt;"&amp;$A114,実績!$AE$6:$AE$505,"○")&gt;0,1,0))</f>
        <v/>
      </c>
      <c r="U114">
        <f>IF(U$4=0,0,IF(COUNTIFS(実績!$W$6:$W$505,U$3,実績!$AC$6:$AC$505,"&lt;="&amp;$A114,実績!$AD$6:$AD$505,"&gt;"&amp;$A114,実績!$AE$6:$AE$505,"○")&gt;0,1,0))</f>
        <v/>
      </c>
      <c r="V114">
        <f>IF(V$4=0,0,IF(COUNTIFS(実績!$W$6:$W$505,V$3,実績!$AC$6:$AC$505,"&lt;="&amp;$A114,実績!$AD$6:$AD$505,"&gt;"&amp;$A114,実績!$AE$6:$AE$505,"○")&gt;0,1,0))</f>
        <v/>
      </c>
      <c r="W114">
        <f>IF(W$4=0,0,IF(COUNTIFS(実績!$W$6:$W$505,W$3,実績!$AC$6:$AC$505,"&lt;="&amp;$A114,実績!$AD$6:$AD$505,"&gt;"&amp;$A114,実績!$AE$6:$AE$505,"○")&gt;0,1,0))</f>
        <v/>
      </c>
      <c r="X114">
        <f>IF(X$4=0,0,IF(COUNTIFS(実績!$W$6:$W$505,X$3,実績!$AC$6:$AC$505,"&lt;="&amp;$A114,実績!$AD$6:$AD$505,"&gt;"&amp;$A114,実績!$AE$6:$AE$505,"○")&gt;0,1,0))</f>
        <v/>
      </c>
      <c r="Y114">
        <f>IF(Y$4=0,0,IF(COUNTIFS(実績!$W$6:$W$505,Y$3,実績!$AC$6:$AC$505,"&lt;="&amp;$A114,実績!$AD$6:$AD$505,"&gt;"&amp;$A114,実績!$AE$6:$AE$505,"○")&gt;0,1,0))</f>
        <v/>
      </c>
      <c r="Z114">
        <f>IF(Z$4=0,0,IF(COUNTIFS(実績!$W$6:$W$505,Z$3,実績!$AC$6:$AC$505,"&lt;="&amp;$A114,実績!$AD$6:$AD$505,"&gt;"&amp;$A114,実績!$AE$6:$AE$505,"○")&gt;0,1,0))</f>
        <v/>
      </c>
      <c r="AA114">
        <f>IF(AA$4=0,0,IF(COUNTIFS(実績!$W$6:$W$505,AA$3,実績!$AC$6:$AC$505,"&lt;="&amp;$A114,実績!$AD$6:$AD$505,"&gt;"&amp;$A114,実績!$AE$6:$AE$505,"○")&gt;0,1,0))</f>
        <v/>
      </c>
      <c r="AB114">
        <f>IF(AB$4=0,0,IF(COUNTIFS(実績!$W$6:$W$505,AB$3,実績!$AC$6:$AC$505,"&lt;="&amp;$A114,実績!$AD$6:$AD$505,"&gt;"&amp;$A114,実績!$AE$6:$AE$505,"○")&gt;0,1,0))</f>
        <v/>
      </c>
      <c r="AC114">
        <f>IF(AC$4=0,0,IF(COUNTIFS(実績!$W$6:$W$505,AC$3,実績!$AC$6:$AC$505,"&lt;="&amp;$A114,実績!$AD$6:$AD$505,"&gt;"&amp;$A114,実績!$AE$6:$AE$505,"○")&gt;0,1,0))</f>
        <v/>
      </c>
      <c r="AD114">
        <f>IF(AD$4=0,0,IF(COUNTIFS(実績!$W$6:$W$505,AD$3,実績!$AC$6:$AC$505,"&lt;="&amp;$A114,実績!$AD$6:$AD$505,"&gt;"&amp;$A114,実績!$AE$6:$AE$505,"○")&gt;0,1,0))</f>
        <v/>
      </c>
      <c r="AE114">
        <f>IF(AE$4=0,0,IF(COUNTIFS(実績!$W$6:$W$505,AE$3,実績!$AC$6:$AC$505,"&lt;="&amp;$A114,実績!$AD$6:$AD$505,"&gt;"&amp;$A114,実績!$AE$6:$AE$505,"○")&gt;0,1,0))</f>
        <v/>
      </c>
      <c r="AF114">
        <f>IF(AF$4=0,0,IF(COUNTIFS(実績!$W$6:$W$505,AF$3,実績!$AC$6:$AC$505,"&lt;="&amp;$A114,実績!$AD$6:$AD$505,"&gt;"&amp;$A114,実績!$AE$6:$AE$505,"○")&gt;0,1,0))</f>
        <v/>
      </c>
      <c r="AG114">
        <f>IF(AG$4=0,0,IF(COUNTIFS(実績!$W$6:$W$505,AG$3,実績!$AC$6:$AC$505,"&lt;="&amp;$A114,実績!$AD$6:$AD$505,"&gt;"&amp;$A114,実績!$AE$6:$AE$505,"○")&gt;0,1,0))</f>
        <v/>
      </c>
      <c r="AH114">
        <f>IF(AH$4=0,0,IF(COUNTIFS(実績!$W$6:$W$505,AH$3,実績!$AC$6:$AC$505,"&lt;="&amp;$A114,実績!$AD$6:$AD$505,"&gt;"&amp;$A114,実績!$AE$6:$AE$505,"○")&gt;0,1,0))</f>
        <v/>
      </c>
      <c r="AI114">
        <f>IF(AI$4=0,0,IF(COUNTIFS(実績!$W$6:$W$505,AI$3,実績!$AC$6:$AC$505,"&lt;="&amp;$A114,実績!$AD$6:$AD$505,"&gt;"&amp;$A114,実績!$AE$6:$AE$505,"○")&gt;0,1,0))</f>
        <v/>
      </c>
      <c r="AJ114">
        <f>IF(AJ$4=0,0,IF(COUNTIFS(実績!$W$6:$W$505,AJ$3,実績!$AC$6:$AC$505,"&lt;="&amp;$A114,実績!$AD$6:$AD$505,"&gt;"&amp;$A114,実績!$AE$6:$AE$505,"○")&gt;0,1,0))</f>
        <v/>
      </c>
      <c r="AK114">
        <f>IF(AK$4=0,0,IF(COUNTIFS(実績!$W$6:$W$505,AK$3,実績!$AC$6:$AC$505,"&lt;="&amp;$A114,実績!$AD$6:$AD$505,"&gt;"&amp;$A114,実績!$AE$6:$AE$505,"○")&gt;0,1,0))</f>
        <v/>
      </c>
      <c r="AL114">
        <f>IF(AL$4=0,0,IF(COUNTIFS(実績!$W$6:$W$505,AL$3,実績!$AC$6:$AC$505,"&lt;="&amp;$A114,実績!$AD$6:$AD$505,"&gt;"&amp;$A114,実績!$AE$6:$AE$505,"○")&gt;0,1,0))</f>
        <v/>
      </c>
      <c r="AM114">
        <f>IF(AM$4=0,0,IF(COUNTIFS(実績!$W$6:$W$505,AM$3,実績!$AC$6:$AC$505,"&lt;="&amp;$A114,実績!$AD$6:$AD$505,"&gt;"&amp;$A114,実績!$AE$6:$AE$505,"○")&gt;0,1,0))</f>
        <v/>
      </c>
      <c r="AN114">
        <f>IF(AN$4=0,0,IF(COUNTIFS(実績!$W$6:$W$505,AN$3,実績!$AC$6:$AC$505,"&lt;="&amp;$A114,実績!$AD$6:$AD$505,"&gt;"&amp;$A114,実績!$AE$6:$AE$505,"○")&gt;0,1,0))</f>
        <v/>
      </c>
      <c r="AO114">
        <f>IF(AO$4=0,0,IF(COUNTIFS(実績!$W$6:$W$505,AO$3,実績!$AC$6:$AC$505,"&lt;="&amp;$A114,実績!$AD$6:$AD$505,"&gt;"&amp;$A114,実績!$AE$6:$AE$505,"○")&gt;0,1,0))</f>
        <v/>
      </c>
      <c r="AP114">
        <f>IF(AP$4=0,0,IF(COUNTIFS(実績!$W$6:$W$505,AP$3,実績!$AC$6:$AC$505,"&lt;="&amp;$A114,実績!$AD$6:$AD$505,"&gt;"&amp;$A114,実績!$AE$6:$AE$505,"○")&gt;0,1,0))</f>
        <v/>
      </c>
      <c r="AQ114">
        <f>IF(AQ$4=0,0,IF(COUNTIFS(実績!$W$6:$W$505,AQ$3,実績!$AC$6:$AC$505,"&lt;="&amp;$A114,実績!$AD$6:$AD$505,"&gt;"&amp;$A114,実績!$AE$6:$AE$505,"○")&gt;0,1,0))</f>
        <v/>
      </c>
      <c r="AR114">
        <f>IF(AR$4=0,0,IF(COUNTIFS(実績!$W$6:$W$505,AR$3,実績!$AC$6:$AC$505,"&lt;="&amp;$A114,実績!$AD$6:$AD$505,"&gt;"&amp;$A114,実績!$AE$6:$AE$505,"○")&gt;0,1,0))</f>
        <v/>
      </c>
      <c r="AS114">
        <f>IF(AS$4=0,0,IF(COUNTIFS(実績!$W$6:$W$505,AS$3,実績!$AC$6:$AC$505,"&lt;="&amp;$A114,実績!$AD$6:$AD$505,"&gt;"&amp;$A114,実績!$AE$6:$AE$505,"○")&gt;0,1,0))</f>
        <v/>
      </c>
      <c r="AT114">
        <f>IF(AT$4=0,0,IF(COUNTIFS(実績!$W$6:$W$505,AT$3,実績!$AC$6:$AC$505,"&lt;="&amp;$A114,実績!$AD$6:$AD$505,"&gt;"&amp;$A114,実績!$AE$6:$AE$505,"○")&gt;0,1,0))</f>
        <v/>
      </c>
      <c r="AU114">
        <f>IF(AU$4=0,0,IF(COUNTIFS(実績!$W$6:$W$505,AU$3,実績!$AC$6:$AC$505,"&lt;="&amp;$A114,実績!$AD$6:$AD$505,"&gt;"&amp;$A114,実績!$AE$6:$AE$505,"○")&gt;0,1,0))</f>
        <v/>
      </c>
      <c r="AV114">
        <f>IF(AV$4=0,0,IF(COUNTIFS(実績!$W$6:$W$505,AV$3,実績!$AC$6:$AC$505,"&lt;="&amp;$A114,実績!$AD$6:$AD$505,"&gt;"&amp;$A114,実績!$AE$6:$AE$505,"○")&gt;0,1,0))</f>
        <v/>
      </c>
      <c r="AW114">
        <f>IF(AW$4=0,0,IF(COUNTIFS(実績!$W$6:$W$505,AW$3,実績!$AC$6:$AC$505,"&lt;="&amp;$A114,実績!$AD$6:$AD$505,"&gt;"&amp;$A114,実績!$AE$6:$AE$505,"○")&gt;0,1,0))</f>
        <v/>
      </c>
      <c r="AX114">
        <f>IF(AX$4=0,0,IF(COUNTIFS(実績!$W$6:$W$505,AX$3,実績!$AC$6:$AC$505,"&lt;="&amp;$A114,実績!$AD$6:$AD$505,"&gt;"&amp;$A114,実績!$AE$6:$AE$505,"○")&gt;0,1,0))</f>
        <v/>
      </c>
      <c r="AY114">
        <f>IF(AY$4=0,0,IF(COUNTIFS(実績!$W$6:$W$505,AY$3,実績!$AC$6:$AC$505,"&lt;="&amp;$A114,実績!$AD$6:$AD$505,"&gt;"&amp;$A114,実績!$AE$6:$AE$505,"○")&gt;0,1,0))</f>
        <v/>
      </c>
      <c r="AZ114">
        <f>IF(AZ$4=0,0,IF(COUNTIFS(実績!$W$6:$W$505,AZ$3,実績!$AC$6:$AC$505,"&lt;="&amp;$A114,実績!$AD$6:$AD$505,"&gt;"&amp;$A114,実績!$AE$6:$AE$505,"○")&gt;0,1,0))</f>
        <v/>
      </c>
      <c r="BA114">
        <f>IF(BA$4=0,0,IF(COUNTIFS(実績!$W$6:$W$505,BA$3,実績!$AC$6:$AC$505,"&lt;="&amp;$A114,実績!$AD$6:$AD$505,"&gt;"&amp;$A114,実績!$AE$6:$AE$505,"○")&gt;0,1,0))</f>
        <v/>
      </c>
      <c r="BB114">
        <f>IF(BB$4=0,0,IF(COUNTIFS(実績!$W$6:$W$505,BB$3,実績!$AC$6:$AC$505,"&lt;="&amp;$A114,実績!$AD$6:$AD$505,"&gt;"&amp;$A114,実績!$AE$6:$AE$505,"○")&gt;0,1,0))</f>
        <v/>
      </c>
      <c r="BC114">
        <f>IF(BC$4=0,0,IF(COUNTIFS(実績!$W$6:$W$505,BC$3,実績!$AC$6:$AC$505,"&lt;="&amp;$A114,実績!$AD$6:$AD$505,"&gt;"&amp;$A114,実績!$AE$6:$AE$505,"○")&gt;0,1,0))</f>
        <v/>
      </c>
      <c r="BD114">
        <f>IF(BD$4=0,0,IF(COUNTIFS(実績!$W$6:$W$505,BD$3,実績!$AC$6:$AC$505,"&lt;="&amp;$A114,実績!$AD$6:$AD$505,"&gt;"&amp;$A114,実績!$AE$6:$AE$505,"○")&gt;0,1,0))</f>
        <v/>
      </c>
      <c r="BE114">
        <f>IF(BE$4=0,0,IF(COUNTIFS(実績!$W$6:$W$505,BE$3,実績!$AC$6:$AC$505,"&lt;="&amp;$A114,実績!$AD$6:$AD$505,"&gt;"&amp;$A114,実績!$AE$6:$AE$505,"○")&gt;0,1,0))</f>
        <v/>
      </c>
      <c r="BF114">
        <f>IF(BF$4=0,0,IF(COUNTIFS(実績!$W$6:$W$505,BF$3,実績!$AC$6:$AC$505,"&lt;="&amp;$A114,実績!$AD$6:$AD$505,"&gt;"&amp;$A114,実績!$AE$6:$AE$505,"○")&gt;0,1,0))</f>
        <v/>
      </c>
      <c r="BG114">
        <f>IF(BG$4=0,0,IF(COUNTIFS(実績!$W$6:$W$505,BG$3,実績!$AC$6:$AC$505,"&lt;="&amp;$A114,実績!$AD$6:$AD$505,"&gt;"&amp;$A114,実績!$AE$6:$AE$505,"○")&gt;0,1,0))</f>
        <v/>
      </c>
      <c r="BH114">
        <f>IF(BH$4=0,0,IF(COUNTIFS(実績!$W$6:$W$505,BH$3,実績!$AC$6:$AC$505,"&lt;="&amp;$A114,実績!$AD$6:$AD$505,"&gt;"&amp;$A114,実績!$AE$6:$AE$505,"○")&gt;0,1,0))</f>
        <v/>
      </c>
      <c r="BI114">
        <f>IF(BI$4=0,0,IF(COUNTIFS(実績!$W$6:$W$505,BI$3,実績!$AC$6:$AC$505,"&lt;="&amp;$A114,実績!$AD$6:$AD$505,"&gt;"&amp;$A114,実績!$AE$6:$AE$505,"○")&gt;0,1,0))</f>
        <v/>
      </c>
      <c r="BJ114">
        <f>IF(BJ$4=0,0,IF(COUNTIFS(実績!$W$6:$W$505,BJ$3,実績!$AC$6:$AC$505,"&lt;="&amp;$A114,実績!$AD$6:$AD$505,"&gt;"&amp;$A114,実績!$AE$6:$AE$505,"○")&gt;0,1,0))</f>
        <v/>
      </c>
      <c r="BK114">
        <f>IF(BK$4=0,0,IF(COUNTIFS(実績!$W$6:$W$505,BK$3,実績!$AC$6:$AC$505,"&lt;="&amp;$A114,実績!$AD$6:$AD$505,"&gt;"&amp;$A114,実績!$AE$6:$AE$505,"○")&gt;0,1,0))</f>
        <v/>
      </c>
      <c r="BL114">
        <f>IF(BL$4=0,0,IF(COUNTIFS(実績!$W$6:$W$505,BL$3,実績!$AC$6:$AC$505,"&lt;="&amp;$A114,実績!$AD$6:$AD$505,"&gt;"&amp;$A114,実績!$AE$6:$AE$505,"○")&gt;0,1,0))</f>
        <v/>
      </c>
      <c r="BM114">
        <f>IF(BM$4=0,0,IF(COUNTIFS(実績!$W$6:$W$505,BM$3,実績!$AC$6:$AC$505,"&lt;="&amp;$A114,実績!$AD$6:$AD$505,"&gt;"&amp;$A114,実績!$AE$6:$AE$505,"○")&gt;0,1,0))</f>
        <v/>
      </c>
      <c r="BN114">
        <f>IF(BN$4=0,0,IF(COUNTIFS(実績!$W$6:$W$505,BN$3,実績!$AC$6:$AC$505,"&lt;="&amp;$A114,実績!$AD$6:$AD$505,"&gt;"&amp;$A114,実績!$AE$6:$AE$505,"○")&gt;0,1,0))</f>
        <v/>
      </c>
      <c r="BO114">
        <f>IF(BO$4=0,0,IF(COUNTIFS(実績!$W$6:$W$505,BO$3,実績!$AC$6:$AC$505,"&lt;="&amp;$A114,実績!$AD$6:$AD$505,"&gt;"&amp;$A114,実績!$AE$6:$AE$505,"○")&gt;0,1,0))</f>
        <v/>
      </c>
      <c r="BP114">
        <f>IF(BP$4=0,0,IF(COUNTIFS(実績!$W$6:$W$505,BP$3,実績!$AC$6:$AC$505,"&lt;="&amp;$A114,実績!$AD$6:$AD$505,"&gt;"&amp;$A114,実績!$AE$6:$AE$505,"○")&gt;0,1,0))</f>
        <v/>
      </c>
      <c r="BQ114">
        <f>IF(BQ$4=0,0,IF(COUNTIFS(実績!$W$6:$W$505,BQ$3,実績!$AC$6:$AC$505,"&lt;="&amp;$A114,実績!$AD$6:$AD$505,"&gt;"&amp;$A114,実績!$AE$6:$AE$505,"○")&gt;0,1,0))</f>
        <v/>
      </c>
      <c r="BR114">
        <f>IF(BR$4=0,0,IF(COUNTIFS(実績!$W$6:$W$505,BR$3,実績!$AC$6:$AC$505,"&lt;="&amp;$A114,実績!$AD$6:$AD$505,"&gt;"&amp;$A114,実績!$AE$6:$AE$505,"○")&gt;0,1,0))</f>
        <v/>
      </c>
      <c r="BS114">
        <f>IF(BS$4=0,0,IF(COUNTIFS(実績!$W$6:$W$505,BS$3,実績!$AC$6:$AC$505,"&lt;="&amp;$A114,実績!$AD$6:$AD$505,"&gt;"&amp;$A114,実績!$AE$6:$AE$505,"○")&gt;0,1,0))</f>
        <v/>
      </c>
      <c r="BT114">
        <f>IF(BT$4=0,0,IF(COUNTIFS(実績!$W$6:$W$505,BT$3,実績!$AC$6:$AC$505,"&lt;="&amp;$A114,実績!$AD$6:$AD$505,"&gt;"&amp;$A114,実績!$AE$6:$AE$505,"○")&gt;0,1,0))</f>
        <v/>
      </c>
      <c r="BU114">
        <f>IF(BU$4=0,0,IF(COUNTIFS(実績!$W$6:$W$505,BU$3,実績!$AC$6:$AC$505,"&lt;="&amp;$A114,実績!$AD$6:$AD$505,"&gt;"&amp;$A114,実績!$AE$6:$AE$505,"○")&gt;0,1,0))</f>
        <v/>
      </c>
      <c r="BV114">
        <f>IF(BV$4=0,0,IF(COUNTIFS(実績!$W$6:$W$505,BV$3,実績!$AC$6:$AC$505,"&lt;="&amp;$A114,実績!$AD$6:$AD$505,"&gt;"&amp;$A114,実績!$AE$6:$AE$505,"○")&gt;0,1,0))</f>
        <v/>
      </c>
      <c r="BW114">
        <f>IF(BW$4=0,0,IF(COUNTIFS(実績!$W$6:$W$505,BW$3,実績!$AC$6:$AC$505,"&lt;="&amp;$A114,実績!$AD$6:$AD$505,"&gt;"&amp;$A114,実績!$AE$6:$AE$505,"○")&gt;0,1,0))</f>
        <v/>
      </c>
      <c r="BX114">
        <f>IF(BX$4=0,0,IF(COUNTIFS(実績!$W$6:$W$505,BX$3,実績!$AC$6:$AC$505,"&lt;="&amp;$A114,実績!$AD$6:$AD$505,"&gt;"&amp;$A114,実績!$AE$6:$AE$505,"○")&gt;0,1,0))</f>
        <v/>
      </c>
      <c r="BY114">
        <f>IF(BY$4=0,0,IF(COUNTIFS(実績!$W$6:$W$505,BY$3,実績!$AC$6:$AC$505,"&lt;="&amp;$A114,実績!$AD$6:$AD$505,"&gt;"&amp;$A114,実績!$AE$6:$AE$505,"○")&gt;0,1,0))</f>
        <v/>
      </c>
      <c r="BZ114">
        <f>IF(BZ$4=0,0,IF(COUNTIFS(実績!$W$6:$W$505,BZ$3,実績!$AC$6:$AC$505,"&lt;="&amp;$A114,実績!$AD$6:$AD$505,"&gt;"&amp;$A114,実績!$AE$6:$AE$505,"○")&gt;0,1,0))</f>
        <v/>
      </c>
      <c r="CA114">
        <f>IF(CA$4=0,0,IF(COUNTIFS(実績!$W$6:$W$505,CA$3,実績!$AC$6:$AC$505,"&lt;="&amp;$A114,実績!$AD$6:$AD$505,"&gt;"&amp;$A114,実績!$AE$6:$AE$505,"○")&gt;0,1,0))</f>
        <v/>
      </c>
      <c r="CB114">
        <f>IF(CB$4=0,0,IF(COUNTIFS(実績!$W$6:$W$505,CB$3,実績!$AC$6:$AC$505,"&lt;="&amp;$A114,実績!$AD$6:$AD$505,"&gt;"&amp;$A114,実績!$AE$6:$AE$505,"○")&gt;0,1,0))</f>
        <v/>
      </c>
      <c r="CC114">
        <f>IF(CC$4=0,0,IF(COUNTIFS(実績!$W$6:$W$505,CC$3,実績!$AC$6:$AC$505,"&lt;="&amp;$A114,実績!$AD$6:$AD$505,"&gt;"&amp;$A114,実績!$AE$6:$AE$505,"○")&gt;0,1,0))</f>
        <v/>
      </c>
      <c r="CD114">
        <f>IF(CD$4=0,0,IF(COUNTIFS(実績!$W$6:$W$505,CD$3,実績!$AC$6:$AC$505,"&lt;="&amp;$A114,実績!$AD$6:$AD$505,"&gt;"&amp;$A114,実績!$AE$6:$AE$505,"○")&gt;0,1,0))</f>
        <v/>
      </c>
      <c r="CE114">
        <f>IF(CE$4=0,0,IF(COUNTIFS(実績!$W$6:$W$505,CE$3,実績!$AC$6:$AC$505,"&lt;="&amp;$A114,実績!$AD$6:$AD$505,"&gt;"&amp;$A114,実績!$AE$6:$AE$505,"○")&gt;0,1,0))</f>
        <v/>
      </c>
      <c r="CF114">
        <f>IF(CF$4=0,0,IF(COUNTIFS(実績!$W$6:$W$505,CF$3,実績!$AC$6:$AC$505,"&lt;="&amp;$A114,実績!$AD$6:$AD$505,"&gt;"&amp;$A114,実績!$AE$6:$AE$505,"○")&gt;0,1,0))</f>
        <v/>
      </c>
      <c r="CG114">
        <f>IF(CG$4=0,0,IF(COUNTIFS(実績!$W$6:$W$505,CG$3,実績!$AC$6:$AC$505,"&lt;="&amp;$A114,実績!$AD$6:$AD$505,"&gt;"&amp;$A114,実績!$AE$6:$AE$505,"○")&gt;0,1,0))</f>
        <v/>
      </c>
      <c r="CH114">
        <f>IF(CH$4=0,0,IF(COUNTIFS(実績!$W$6:$W$505,CH$3,実績!$AC$6:$AC$505,"&lt;="&amp;$A114,実績!$AD$6:$AD$505,"&gt;"&amp;$A114,実績!$AE$6:$AE$505,"○")&gt;0,1,0))</f>
        <v/>
      </c>
      <c r="CI114">
        <f>IF(CI$4=0,0,IF(COUNTIFS(実績!$W$6:$W$505,CI$3,実績!$AC$6:$AC$505,"&lt;="&amp;$A114,実績!$AD$6:$AD$505,"&gt;"&amp;$A114,実績!$AE$6:$AE$505,"○")&gt;0,1,0))</f>
        <v/>
      </c>
      <c r="CJ114">
        <f>IF(CJ$4=0,0,IF(COUNTIFS(実績!$W$6:$W$505,CJ$3,実績!$AC$6:$AC$505,"&lt;="&amp;$A114,実績!$AD$6:$AD$505,"&gt;"&amp;$A114,実績!$AE$6:$AE$505,"○")&gt;0,1,0))</f>
        <v/>
      </c>
      <c r="CK114">
        <f>IF(CK$4=0,0,IF(COUNTIFS(実績!$W$6:$W$505,CK$3,実績!$AC$6:$AC$505,"&lt;="&amp;$A114,実績!$AD$6:$AD$505,"&gt;"&amp;$A114,実績!$AE$6:$AE$505,"○")&gt;0,1,0))</f>
        <v/>
      </c>
      <c r="CL114">
        <f>IF(CL$4=0,0,IF(COUNTIFS(実績!$W$6:$W$505,CL$3,実績!$AC$6:$AC$505,"&lt;="&amp;$A114,実績!$AD$6:$AD$505,"&gt;"&amp;$A114,実績!$AE$6:$AE$505,"○")&gt;0,1,0))</f>
        <v/>
      </c>
      <c r="CM114">
        <f>IF(CM$4=0,0,IF(COUNTIFS(実績!$W$6:$W$505,CM$3,実績!$AC$6:$AC$505,"&lt;="&amp;$A114,実績!$AD$6:$AD$505,"&gt;"&amp;$A114,実績!$AE$6:$AE$505,"○")&gt;0,1,0))</f>
        <v/>
      </c>
      <c r="CN114">
        <f>IF(CN$4=0,0,IF(COUNTIFS(実績!$W$6:$W$505,CN$3,実績!$AC$6:$AC$505,"&lt;="&amp;$A114,実績!$AD$6:$AD$505,"&gt;"&amp;$A114,実績!$AE$6:$AE$505,"○")&gt;0,1,0))</f>
        <v/>
      </c>
      <c r="CO114">
        <f>IF(CO$4=0,0,IF(COUNTIFS(実績!$W$6:$W$505,CO$3,実績!$AC$6:$AC$505,"&lt;="&amp;$A114,実績!$AD$6:$AD$505,"&gt;"&amp;$A114,実績!$AE$6:$AE$505,"○")&gt;0,1,0))</f>
        <v/>
      </c>
      <c r="CP114">
        <f>IF(CP$4=0,0,IF(COUNTIFS(実績!$W$6:$W$505,CP$3,実績!$AC$6:$AC$505,"&lt;="&amp;$A114,実績!$AD$6:$AD$505,"&gt;"&amp;$A114,実績!$AE$6:$AE$505,"○")&gt;0,1,0))</f>
        <v/>
      </c>
      <c r="CQ114">
        <f>IF(CQ$4=0,0,IF(COUNTIFS(実績!$W$6:$W$505,CQ$3,実績!$AC$6:$AC$505,"&lt;="&amp;$A114,実績!$AD$6:$AD$505,"&gt;"&amp;$A114,実績!$AE$6:$AE$505,"○")&gt;0,1,0))</f>
        <v/>
      </c>
      <c r="CR114">
        <f>IF(CR$4=0,0,IF(COUNTIFS(実績!$W$6:$W$505,CR$3,実績!$AC$6:$AC$505,"&lt;="&amp;$A114,実績!$AD$6:$AD$505,"&gt;"&amp;$A114,実績!$AE$6:$AE$505,"○")&gt;0,1,0))</f>
        <v/>
      </c>
      <c r="CS114">
        <f>IF(CS$4=0,0,IF(COUNTIFS(実績!$W$6:$W$505,CS$3,実績!$AC$6:$AC$505,"&lt;="&amp;$A114,実績!$AD$6:$AD$505,"&gt;"&amp;$A114,実績!$AE$6:$AE$505,"○")&gt;0,1,0))</f>
        <v/>
      </c>
      <c r="CT114">
        <f>IF(CT$4=0,0,IF(COUNTIFS(実績!$W$6:$W$505,CT$3,実績!$AC$6:$AC$505,"&lt;="&amp;$A114,実績!$AD$6:$AD$505,"&gt;"&amp;$A114,実績!$AE$6:$AE$505,"○")&gt;0,1,0))</f>
        <v/>
      </c>
      <c r="CU114">
        <f>IF(CU$4=0,0,IF(COUNTIFS(実績!$W$6:$W$505,CU$3,実績!$AC$6:$AC$505,"&lt;="&amp;$A114,実績!$AD$6:$AD$505,"&gt;"&amp;$A114,実績!$AE$6:$AE$505,"○")&gt;0,1,0))</f>
        <v/>
      </c>
      <c r="CV114">
        <f>IF(CV$4=0,0,IF(COUNTIFS(実績!$W$6:$W$505,CV$3,実績!$AC$6:$AC$505,"&lt;="&amp;$A114,実績!$AD$6:$AD$505,"&gt;"&amp;$A114,実績!$AE$6:$AE$505,"○")&gt;0,1,0))</f>
        <v/>
      </c>
      <c r="CW114">
        <f>IF(CW$4=0,0,IF(COUNTIFS(実績!$W$6:$W$505,CW$3,実績!$AC$6:$AC$505,"&lt;="&amp;$A114,実績!$AD$6:$AD$505,"&gt;"&amp;$A114,実績!$AE$6:$AE$505,"○")&gt;0,1,0))</f>
        <v/>
      </c>
      <c r="CX114">
        <f>IF(CX$4=0,0,IF(COUNTIFS(実績!$W$6:$W$505,CX$3,実績!$AC$6:$AC$505,"&lt;="&amp;$A114,実績!$AD$6:$AD$505,"&gt;"&amp;$A114,実績!$AE$6:$AE$505,"○")&gt;0,1,0))</f>
        <v/>
      </c>
      <c r="CY114">
        <f>IF(CY$4=0,0,IF(COUNTIFS(実績!$W$6:$W$505,CY$3,実績!$AC$6:$AC$505,"&lt;="&amp;$A114,実績!$AD$6:$AD$505,"&gt;"&amp;$A114,実績!$AE$6:$AE$505,"○")&gt;0,1,0))</f>
        <v/>
      </c>
      <c r="CZ114">
        <f>IF(CZ$4=0,0,IF(COUNTIFS(実績!$W$6:$W$505,CZ$3,実績!$AC$6:$AC$505,"&lt;="&amp;$A114,実績!$AD$6:$AD$505,"&gt;"&amp;$A114,実績!$AE$6:$AE$505,"○")&gt;0,1,0))</f>
        <v/>
      </c>
      <c r="DA114">
        <f>IF(DA$4=0,0,IF(COUNTIFS(実績!$W$6:$W$505,DA$3,実績!$AC$6:$AC$505,"&lt;="&amp;$A114,実績!$AD$6:$AD$505,"&gt;"&amp;$A114,実績!$AE$6:$AE$505,"○")&gt;0,1,0))</f>
        <v/>
      </c>
      <c r="DB114">
        <f>IF(DB$4=0,0,IF(COUNTIFS(実績!$W$6:$W$505,DB$3,実績!$AC$6:$AC$505,"&lt;="&amp;$A114,実績!$AD$6:$AD$505,"&gt;"&amp;$A114,実績!$AE$6:$AE$505,"○")&gt;0,1,0))</f>
        <v/>
      </c>
      <c r="DC114">
        <f>IF(DC$4=0,0,IF(COUNTIFS(実績!$W$6:$W$505,DC$3,実績!$AC$6:$AC$505,"&lt;="&amp;$A114,実績!$AD$6:$AD$505,"&gt;"&amp;$A114,実績!$AE$6:$AE$505,"○")&gt;0,1,0))</f>
        <v/>
      </c>
      <c r="DD114">
        <f>IF(DD$4=0,0,IF(COUNTIFS(実績!$W$6:$W$505,DD$3,実績!$AC$6:$AC$505,"&lt;="&amp;$A114,実績!$AD$6:$AD$505,"&gt;"&amp;$A114,実績!$AE$6:$AE$505,"○")&gt;0,1,0))</f>
        <v/>
      </c>
      <c r="DE114">
        <f>IF(DE$4=0,0,IF(COUNTIFS(実績!$W$6:$W$505,DE$3,実績!$AC$6:$AC$505,"&lt;="&amp;$A114,実績!$AD$6:$AD$505,"&gt;"&amp;$A114,実績!$AE$6:$AE$505,"○")&gt;0,1,0))</f>
        <v/>
      </c>
      <c r="DF114">
        <f>IF(DF$4=0,0,IF(COUNTIFS(実績!$W$6:$W$505,DF$3,実績!$AC$6:$AC$505,"&lt;="&amp;$A114,実績!$AD$6:$AD$505,"&gt;"&amp;$A114,実績!$AE$6:$AE$505,"○")&gt;0,1,0))</f>
        <v/>
      </c>
      <c r="DG114">
        <f>IF(DG$4=0,0,IF(COUNTIFS(実績!$W$6:$W$505,DG$3,実績!$AC$6:$AC$505,"&lt;="&amp;$A114,実績!$AD$6:$AD$505,"&gt;"&amp;$A114,実績!$AE$6:$AE$505,"○")&gt;0,1,0))</f>
        <v/>
      </c>
      <c r="DH114">
        <f>IF(DH$4=0,0,IF(COUNTIFS(実績!$W$6:$W$505,DH$3,実績!$AC$6:$AC$505,"&lt;="&amp;$A114,実績!$AD$6:$AD$505,"&gt;"&amp;$A114,実績!$AE$6:$AE$505,"○")&gt;0,1,0))</f>
        <v/>
      </c>
      <c r="DI114">
        <f>IF(DI$4=0,0,IF(COUNTIFS(実績!$W$6:$W$505,DI$3,実績!$AC$6:$AC$505,"&lt;="&amp;$A114,実績!$AD$6:$AD$505,"&gt;"&amp;$A114,実績!$AE$6:$AE$505,"○")&gt;0,1,0))</f>
        <v/>
      </c>
      <c r="DJ114">
        <f>IF(DJ$4=0,0,IF(COUNTIFS(実績!$W$6:$W$505,DJ$3,実績!$AC$6:$AC$505,"&lt;="&amp;$A114,実績!$AD$6:$AD$505,"&gt;"&amp;$A114,実績!$AE$6:$AE$505,"○")&gt;0,1,0))</f>
        <v/>
      </c>
      <c r="DK114">
        <f>IF(DK$4=0,0,IF(COUNTIFS(実績!$W$6:$W$505,DK$3,実績!$AC$6:$AC$505,"&lt;="&amp;$A114,実績!$AD$6:$AD$505,"&gt;"&amp;$A114,実績!$AE$6:$AE$505,"○")&gt;0,1,0))</f>
        <v/>
      </c>
      <c r="DL114">
        <f>IF(DL$4=0,0,IF(COUNTIFS(実績!$W$6:$W$505,DL$3,実績!$AC$6:$AC$505,"&lt;="&amp;$A114,実績!$AD$6:$AD$505,"&gt;"&amp;$A114,実績!$AE$6:$AE$505,"○")&gt;0,1,0))</f>
        <v/>
      </c>
      <c r="DM114">
        <f>IF(DM$4=0,0,IF(COUNTIFS(実績!$W$6:$W$505,DM$3,実績!$AC$6:$AC$505,"&lt;="&amp;$A114,実績!$AD$6:$AD$505,"&gt;"&amp;$A114,実績!$AE$6:$AE$505,"○")&gt;0,1,0))</f>
        <v/>
      </c>
      <c r="DN114">
        <f>IF(DN$4=0,0,IF(COUNTIFS(実績!$W$6:$W$505,DN$3,実績!$AC$6:$AC$505,"&lt;="&amp;$A114,実績!$AD$6:$AD$505,"&gt;"&amp;$A114,実績!$AE$6:$AE$505,"○")&gt;0,1,0))</f>
        <v/>
      </c>
      <c r="DO114">
        <f>IF(DO$4=0,0,IF(COUNTIFS(実績!$W$6:$W$505,DO$3,実績!$AC$6:$AC$505,"&lt;="&amp;$A114,実績!$AD$6:$AD$505,"&gt;"&amp;$A114,実績!$AE$6:$AE$505,"○")&gt;0,1,0))</f>
        <v/>
      </c>
      <c r="DP114">
        <f>IF(DP$4=0,0,IF(COUNTIFS(実績!$W$6:$W$505,DP$3,実績!$AC$6:$AC$505,"&lt;="&amp;$A114,実績!$AD$6:$AD$505,"&gt;"&amp;$A114,実績!$AE$6:$AE$505,"○")&gt;0,1,0))</f>
        <v/>
      </c>
      <c r="DQ114">
        <f>IF(DQ$4=0,0,IF(COUNTIFS(実績!$W$6:$W$505,DQ$3,実績!$AC$6:$AC$505,"&lt;="&amp;$A114,実績!$AD$6:$AD$505,"&gt;"&amp;$A114,実績!$AE$6:$AE$505,"○")&gt;0,1,0))</f>
        <v/>
      </c>
      <c r="DR114">
        <f>IF(DR$4=0,0,IF(COUNTIFS(実績!$W$6:$W$505,DR$3,実績!$AC$6:$AC$505,"&lt;="&amp;$A114,実績!$AD$6:$AD$505,"&gt;"&amp;$A114,実績!$AE$6:$AE$505,"○")&gt;0,1,0))</f>
        <v/>
      </c>
      <c r="DS114">
        <f>SUM(C114:DR114)</f>
        <v/>
      </c>
      <c r="DT114">
        <f>SUMPRODUCT((実績!$C$6:$C$505="○")*ISNUMBER(実績!$AF$6:$AF$505)*(実績!$AF$6:$AF$505&lt;=$A114)*(実績!$AG$6:$AG$505&gt;$A114))</f>
        <v/>
      </c>
      <c r="DU114">
        <f>SUMIF($C$2:$DR$2,"製鉄曳船",C114:DR114)</f>
        <v/>
      </c>
      <c r="DV114">
        <f>SUMIF($C$2:$DR$2,"西日本海運",C114:DR114)</f>
        <v/>
      </c>
    </row>
    <row r="115">
      <c r="A115" t="n">
        <v>545</v>
      </c>
      <c r="B115" s="29">
        <f>A115/1440</f>
        <v/>
      </c>
      <c r="C115">
        <f>IF(C$4=0,0,IF(COUNTIFS(実績!$W$6:$W$505,C$3,実績!$AC$6:$AC$505,"&lt;="&amp;$A115,実績!$AD$6:$AD$505,"&gt;"&amp;$A115,実績!$AE$6:$AE$505,"○")&gt;0,1,0))</f>
        <v/>
      </c>
      <c r="D115">
        <f>IF(D$4=0,0,IF(COUNTIFS(実績!$W$6:$W$505,D$3,実績!$AC$6:$AC$505,"&lt;="&amp;$A115,実績!$AD$6:$AD$505,"&gt;"&amp;$A115,実績!$AE$6:$AE$505,"○")&gt;0,1,0))</f>
        <v/>
      </c>
      <c r="E115">
        <f>IF(E$4=0,0,IF(COUNTIFS(実績!$W$6:$W$505,E$3,実績!$AC$6:$AC$505,"&lt;="&amp;$A115,実績!$AD$6:$AD$505,"&gt;"&amp;$A115,実績!$AE$6:$AE$505,"○")&gt;0,1,0))</f>
        <v/>
      </c>
      <c r="F115">
        <f>IF(F$4=0,0,IF(COUNTIFS(実績!$W$6:$W$505,F$3,実績!$AC$6:$AC$505,"&lt;="&amp;$A115,実績!$AD$6:$AD$505,"&gt;"&amp;$A115,実績!$AE$6:$AE$505,"○")&gt;0,1,0))</f>
        <v/>
      </c>
      <c r="G115">
        <f>IF(G$4=0,0,IF(COUNTIFS(実績!$W$6:$W$505,G$3,実績!$AC$6:$AC$505,"&lt;="&amp;$A115,実績!$AD$6:$AD$505,"&gt;"&amp;$A115,実績!$AE$6:$AE$505,"○")&gt;0,1,0))</f>
        <v/>
      </c>
      <c r="H115">
        <f>IF(H$4=0,0,IF(COUNTIFS(実績!$W$6:$W$505,H$3,実績!$AC$6:$AC$505,"&lt;="&amp;$A115,実績!$AD$6:$AD$505,"&gt;"&amp;$A115,実績!$AE$6:$AE$505,"○")&gt;0,1,0))</f>
        <v/>
      </c>
      <c r="I115">
        <f>IF(I$4=0,0,IF(COUNTIFS(実績!$W$6:$W$505,I$3,実績!$AC$6:$AC$505,"&lt;="&amp;$A115,実績!$AD$6:$AD$505,"&gt;"&amp;$A115,実績!$AE$6:$AE$505,"○")&gt;0,1,0))</f>
        <v/>
      </c>
      <c r="J115">
        <f>IF(J$4=0,0,IF(COUNTIFS(実績!$W$6:$W$505,J$3,実績!$AC$6:$AC$505,"&lt;="&amp;$A115,実績!$AD$6:$AD$505,"&gt;"&amp;$A115,実績!$AE$6:$AE$505,"○")&gt;0,1,0))</f>
        <v/>
      </c>
      <c r="K115">
        <f>IF(K$4=0,0,IF(COUNTIFS(実績!$W$6:$W$505,K$3,実績!$AC$6:$AC$505,"&lt;="&amp;$A115,実績!$AD$6:$AD$505,"&gt;"&amp;$A115,実績!$AE$6:$AE$505,"○")&gt;0,1,0))</f>
        <v/>
      </c>
      <c r="L115">
        <f>IF(L$4=0,0,IF(COUNTIFS(実績!$W$6:$W$505,L$3,実績!$AC$6:$AC$505,"&lt;="&amp;$A115,実績!$AD$6:$AD$505,"&gt;"&amp;$A115,実績!$AE$6:$AE$505,"○")&gt;0,1,0))</f>
        <v/>
      </c>
      <c r="M115">
        <f>IF(M$4=0,0,IF(COUNTIFS(実績!$W$6:$W$505,M$3,実績!$AC$6:$AC$505,"&lt;="&amp;$A115,実績!$AD$6:$AD$505,"&gt;"&amp;$A115,実績!$AE$6:$AE$505,"○")&gt;0,1,0))</f>
        <v/>
      </c>
      <c r="N115">
        <f>IF(N$4=0,0,IF(COUNTIFS(実績!$W$6:$W$505,N$3,実績!$AC$6:$AC$505,"&lt;="&amp;$A115,実績!$AD$6:$AD$505,"&gt;"&amp;$A115,実績!$AE$6:$AE$505,"○")&gt;0,1,0))</f>
        <v/>
      </c>
      <c r="O115">
        <f>IF(O$4=0,0,IF(COUNTIFS(実績!$W$6:$W$505,O$3,実績!$AC$6:$AC$505,"&lt;="&amp;$A115,実績!$AD$6:$AD$505,"&gt;"&amp;$A115,実績!$AE$6:$AE$505,"○")&gt;0,1,0))</f>
        <v/>
      </c>
      <c r="P115">
        <f>IF(P$4=0,0,IF(COUNTIFS(実績!$W$6:$W$505,P$3,実績!$AC$6:$AC$505,"&lt;="&amp;$A115,実績!$AD$6:$AD$505,"&gt;"&amp;$A115,実績!$AE$6:$AE$505,"○")&gt;0,1,0))</f>
        <v/>
      </c>
      <c r="Q115">
        <f>IF(Q$4=0,0,IF(COUNTIFS(実績!$W$6:$W$505,Q$3,実績!$AC$6:$AC$505,"&lt;="&amp;$A115,実績!$AD$6:$AD$505,"&gt;"&amp;$A115,実績!$AE$6:$AE$505,"○")&gt;0,1,0))</f>
        <v/>
      </c>
      <c r="R115">
        <f>IF(R$4=0,0,IF(COUNTIFS(実績!$W$6:$W$505,R$3,実績!$AC$6:$AC$505,"&lt;="&amp;$A115,実績!$AD$6:$AD$505,"&gt;"&amp;$A115,実績!$AE$6:$AE$505,"○")&gt;0,1,0))</f>
        <v/>
      </c>
      <c r="S115">
        <f>IF(S$4=0,0,IF(COUNTIFS(実績!$W$6:$W$505,S$3,実績!$AC$6:$AC$505,"&lt;="&amp;$A115,実績!$AD$6:$AD$505,"&gt;"&amp;$A115,実績!$AE$6:$AE$505,"○")&gt;0,1,0))</f>
        <v/>
      </c>
      <c r="T115">
        <f>IF(T$4=0,0,IF(COUNTIFS(実績!$W$6:$W$505,T$3,実績!$AC$6:$AC$505,"&lt;="&amp;$A115,実績!$AD$6:$AD$505,"&gt;"&amp;$A115,実績!$AE$6:$AE$505,"○")&gt;0,1,0))</f>
        <v/>
      </c>
      <c r="U115">
        <f>IF(U$4=0,0,IF(COUNTIFS(実績!$W$6:$W$505,U$3,実績!$AC$6:$AC$505,"&lt;="&amp;$A115,実績!$AD$6:$AD$505,"&gt;"&amp;$A115,実績!$AE$6:$AE$505,"○")&gt;0,1,0))</f>
        <v/>
      </c>
      <c r="V115">
        <f>IF(V$4=0,0,IF(COUNTIFS(実績!$W$6:$W$505,V$3,実績!$AC$6:$AC$505,"&lt;="&amp;$A115,実績!$AD$6:$AD$505,"&gt;"&amp;$A115,実績!$AE$6:$AE$505,"○")&gt;0,1,0))</f>
        <v/>
      </c>
      <c r="W115">
        <f>IF(W$4=0,0,IF(COUNTIFS(実績!$W$6:$W$505,W$3,実績!$AC$6:$AC$505,"&lt;="&amp;$A115,実績!$AD$6:$AD$505,"&gt;"&amp;$A115,実績!$AE$6:$AE$505,"○")&gt;0,1,0))</f>
        <v/>
      </c>
      <c r="X115">
        <f>IF(X$4=0,0,IF(COUNTIFS(実績!$W$6:$W$505,X$3,実績!$AC$6:$AC$505,"&lt;="&amp;$A115,実績!$AD$6:$AD$505,"&gt;"&amp;$A115,実績!$AE$6:$AE$505,"○")&gt;0,1,0))</f>
        <v/>
      </c>
      <c r="Y115">
        <f>IF(Y$4=0,0,IF(COUNTIFS(実績!$W$6:$W$505,Y$3,実績!$AC$6:$AC$505,"&lt;="&amp;$A115,実績!$AD$6:$AD$505,"&gt;"&amp;$A115,実績!$AE$6:$AE$505,"○")&gt;0,1,0))</f>
        <v/>
      </c>
      <c r="Z115">
        <f>IF(Z$4=0,0,IF(COUNTIFS(実績!$W$6:$W$505,Z$3,実績!$AC$6:$AC$505,"&lt;="&amp;$A115,実績!$AD$6:$AD$505,"&gt;"&amp;$A115,実績!$AE$6:$AE$505,"○")&gt;0,1,0))</f>
        <v/>
      </c>
      <c r="AA115">
        <f>IF(AA$4=0,0,IF(COUNTIFS(実績!$W$6:$W$505,AA$3,実績!$AC$6:$AC$505,"&lt;="&amp;$A115,実績!$AD$6:$AD$505,"&gt;"&amp;$A115,実績!$AE$6:$AE$505,"○")&gt;0,1,0))</f>
        <v/>
      </c>
      <c r="AB115">
        <f>IF(AB$4=0,0,IF(COUNTIFS(実績!$W$6:$W$505,AB$3,実績!$AC$6:$AC$505,"&lt;="&amp;$A115,実績!$AD$6:$AD$505,"&gt;"&amp;$A115,実績!$AE$6:$AE$505,"○")&gt;0,1,0))</f>
        <v/>
      </c>
      <c r="AC115">
        <f>IF(AC$4=0,0,IF(COUNTIFS(実績!$W$6:$W$505,AC$3,実績!$AC$6:$AC$505,"&lt;="&amp;$A115,実績!$AD$6:$AD$505,"&gt;"&amp;$A115,実績!$AE$6:$AE$505,"○")&gt;0,1,0))</f>
        <v/>
      </c>
      <c r="AD115">
        <f>IF(AD$4=0,0,IF(COUNTIFS(実績!$W$6:$W$505,AD$3,実績!$AC$6:$AC$505,"&lt;="&amp;$A115,実績!$AD$6:$AD$505,"&gt;"&amp;$A115,実績!$AE$6:$AE$505,"○")&gt;0,1,0))</f>
        <v/>
      </c>
      <c r="AE115">
        <f>IF(AE$4=0,0,IF(COUNTIFS(実績!$W$6:$W$505,AE$3,実績!$AC$6:$AC$505,"&lt;="&amp;$A115,実績!$AD$6:$AD$505,"&gt;"&amp;$A115,実績!$AE$6:$AE$505,"○")&gt;0,1,0))</f>
        <v/>
      </c>
      <c r="AF115">
        <f>IF(AF$4=0,0,IF(COUNTIFS(実績!$W$6:$W$505,AF$3,実績!$AC$6:$AC$505,"&lt;="&amp;$A115,実績!$AD$6:$AD$505,"&gt;"&amp;$A115,実績!$AE$6:$AE$505,"○")&gt;0,1,0))</f>
        <v/>
      </c>
      <c r="AG115">
        <f>IF(AG$4=0,0,IF(COUNTIFS(実績!$W$6:$W$505,AG$3,実績!$AC$6:$AC$505,"&lt;="&amp;$A115,実績!$AD$6:$AD$505,"&gt;"&amp;$A115,実績!$AE$6:$AE$505,"○")&gt;0,1,0))</f>
        <v/>
      </c>
      <c r="AH115">
        <f>IF(AH$4=0,0,IF(COUNTIFS(実績!$W$6:$W$505,AH$3,実績!$AC$6:$AC$505,"&lt;="&amp;$A115,実績!$AD$6:$AD$505,"&gt;"&amp;$A115,実績!$AE$6:$AE$505,"○")&gt;0,1,0))</f>
        <v/>
      </c>
      <c r="AI115">
        <f>IF(AI$4=0,0,IF(COUNTIFS(実績!$W$6:$W$505,AI$3,実績!$AC$6:$AC$505,"&lt;="&amp;$A115,実績!$AD$6:$AD$505,"&gt;"&amp;$A115,実績!$AE$6:$AE$505,"○")&gt;0,1,0))</f>
        <v/>
      </c>
      <c r="AJ115">
        <f>IF(AJ$4=0,0,IF(COUNTIFS(実績!$W$6:$W$505,AJ$3,実績!$AC$6:$AC$505,"&lt;="&amp;$A115,実績!$AD$6:$AD$505,"&gt;"&amp;$A115,実績!$AE$6:$AE$505,"○")&gt;0,1,0))</f>
        <v/>
      </c>
      <c r="AK115">
        <f>IF(AK$4=0,0,IF(COUNTIFS(実績!$W$6:$W$505,AK$3,実績!$AC$6:$AC$505,"&lt;="&amp;$A115,実績!$AD$6:$AD$505,"&gt;"&amp;$A115,実績!$AE$6:$AE$505,"○")&gt;0,1,0))</f>
        <v/>
      </c>
      <c r="AL115">
        <f>IF(AL$4=0,0,IF(COUNTIFS(実績!$W$6:$W$505,AL$3,実績!$AC$6:$AC$505,"&lt;="&amp;$A115,実績!$AD$6:$AD$505,"&gt;"&amp;$A115,実績!$AE$6:$AE$505,"○")&gt;0,1,0))</f>
        <v/>
      </c>
      <c r="AM115">
        <f>IF(AM$4=0,0,IF(COUNTIFS(実績!$W$6:$W$505,AM$3,実績!$AC$6:$AC$505,"&lt;="&amp;$A115,実績!$AD$6:$AD$505,"&gt;"&amp;$A115,実績!$AE$6:$AE$505,"○")&gt;0,1,0))</f>
        <v/>
      </c>
      <c r="AN115">
        <f>IF(AN$4=0,0,IF(COUNTIFS(実績!$W$6:$W$505,AN$3,実績!$AC$6:$AC$505,"&lt;="&amp;$A115,実績!$AD$6:$AD$505,"&gt;"&amp;$A115,実績!$AE$6:$AE$505,"○")&gt;0,1,0))</f>
        <v/>
      </c>
      <c r="AO115">
        <f>IF(AO$4=0,0,IF(COUNTIFS(実績!$W$6:$W$505,AO$3,実績!$AC$6:$AC$505,"&lt;="&amp;$A115,実績!$AD$6:$AD$505,"&gt;"&amp;$A115,実績!$AE$6:$AE$505,"○")&gt;0,1,0))</f>
        <v/>
      </c>
      <c r="AP115">
        <f>IF(AP$4=0,0,IF(COUNTIFS(実績!$W$6:$W$505,AP$3,実績!$AC$6:$AC$505,"&lt;="&amp;$A115,実績!$AD$6:$AD$505,"&gt;"&amp;$A115,実績!$AE$6:$AE$505,"○")&gt;0,1,0))</f>
        <v/>
      </c>
      <c r="AQ115">
        <f>IF(AQ$4=0,0,IF(COUNTIFS(実績!$W$6:$W$505,AQ$3,実績!$AC$6:$AC$505,"&lt;="&amp;$A115,実績!$AD$6:$AD$505,"&gt;"&amp;$A115,実績!$AE$6:$AE$505,"○")&gt;0,1,0))</f>
        <v/>
      </c>
      <c r="AR115">
        <f>IF(AR$4=0,0,IF(COUNTIFS(実績!$W$6:$W$505,AR$3,実績!$AC$6:$AC$505,"&lt;="&amp;$A115,実績!$AD$6:$AD$505,"&gt;"&amp;$A115,実績!$AE$6:$AE$505,"○")&gt;0,1,0))</f>
        <v/>
      </c>
      <c r="AS115">
        <f>IF(AS$4=0,0,IF(COUNTIFS(実績!$W$6:$W$505,AS$3,実績!$AC$6:$AC$505,"&lt;="&amp;$A115,実績!$AD$6:$AD$505,"&gt;"&amp;$A115,実績!$AE$6:$AE$505,"○")&gt;0,1,0))</f>
        <v/>
      </c>
      <c r="AT115">
        <f>IF(AT$4=0,0,IF(COUNTIFS(実績!$W$6:$W$505,AT$3,実績!$AC$6:$AC$505,"&lt;="&amp;$A115,実績!$AD$6:$AD$505,"&gt;"&amp;$A115,実績!$AE$6:$AE$505,"○")&gt;0,1,0))</f>
        <v/>
      </c>
      <c r="AU115">
        <f>IF(AU$4=0,0,IF(COUNTIFS(実績!$W$6:$W$505,AU$3,実績!$AC$6:$AC$505,"&lt;="&amp;$A115,実績!$AD$6:$AD$505,"&gt;"&amp;$A115,実績!$AE$6:$AE$505,"○")&gt;0,1,0))</f>
        <v/>
      </c>
      <c r="AV115">
        <f>IF(AV$4=0,0,IF(COUNTIFS(実績!$W$6:$W$505,AV$3,実績!$AC$6:$AC$505,"&lt;="&amp;$A115,実績!$AD$6:$AD$505,"&gt;"&amp;$A115,実績!$AE$6:$AE$505,"○")&gt;0,1,0))</f>
        <v/>
      </c>
      <c r="AW115">
        <f>IF(AW$4=0,0,IF(COUNTIFS(実績!$W$6:$W$505,AW$3,実績!$AC$6:$AC$505,"&lt;="&amp;$A115,実績!$AD$6:$AD$505,"&gt;"&amp;$A115,実績!$AE$6:$AE$505,"○")&gt;0,1,0))</f>
        <v/>
      </c>
      <c r="AX115">
        <f>IF(AX$4=0,0,IF(COUNTIFS(実績!$W$6:$W$505,AX$3,実績!$AC$6:$AC$505,"&lt;="&amp;$A115,実績!$AD$6:$AD$505,"&gt;"&amp;$A115,実績!$AE$6:$AE$505,"○")&gt;0,1,0))</f>
        <v/>
      </c>
      <c r="AY115">
        <f>IF(AY$4=0,0,IF(COUNTIFS(実績!$W$6:$W$505,AY$3,実績!$AC$6:$AC$505,"&lt;="&amp;$A115,実績!$AD$6:$AD$505,"&gt;"&amp;$A115,実績!$AE$6:$AE$505,"○")&gt;0,1,0))</f>
        <v/>
      </c>
      <c r="AZ115">
        <f>IF(AZ$4=0,0,IF(COUNTIFS(実績!$W$6:$W$505,AZ$3,実績!$AC$6:$AC$505,"&lt;="&amp;$A115,実績!$AD$6:$AD$505,"&gt;"&amp;$A115,実績!$AE$6:$AE$505,"○")&gt;0,1,0))</f>
        <v/>
      </c>
      <c r="BA115">
        <f>IF(BA$4=0,0,IF(COUNTIFS(実績!$W$6:$W$505,BA$3,実績!$AC$6:$AC$505,"&lt;="&amp;$A115,実績!$AD$6:$AD$505,"&gt;"&amp;$A115,実績!$AE$6:$AE$505,"○")&gt;0,1,0))</f>
        <v/>
      </c>
      <c r="BB115">
        <f>IF(BB$4=0,0,IF(COUNTIFS(実績!$W$6:$W$505,BB$3,実績!$AC$6:$AC$505,"&lt;="&amp;$A115,実績!$AD$6:$AD$505,"&gt;"&amp;$A115,実績!$AE$6:$AE$505,"○")&gt;0,1,0))</f>
        <v/>
      </c>
      <c r="BC115">
        <f>IF(BC$4=0,0,IF(COUNTIFS(実績!$W$6:$W$505,BC$3,実績!$AC$6:$AC$505,"&lt;="&amp;$A115,実績!$AD$6:$AD$505,"&gt;"&amp;$A115,実績!$AE$6:$AE$505,"○")&gt;0,1,0))</f>
        <v/>
      </c>
      <c r="BD115">
        <f>IF(BD$4=0,0,IF(COUNTIFS(実績!$W$6:$W$505,BD$3,実績!$AC$6:$AC$505,"&lt;="&amp;$A115,実績!$AD$6:$AD$505,"&gt;"&amp;$A115,実績!$AE$6:$AE$505,"○")&gt;0,1,0))</f>
        <v/>
      </c>
      <c r="BE115">
        <f>IF(BE$4=0,0,IF(COUNTIFS(実績!$W$6:$W$505,BE$3,実績!$AC$6:$AC$505,"&lt;="&amp;$A115,実績!$AD$6:$AD$505,"&gt;"&amp;$A115,実績!$AE$6:$AE$505,"○")&gt;0,1,0))</f>
        <v/>
      </c>
      <c r="BF115">
        <f>IF(BF$4=0,0,IF(COUNTIFS(実績!$W$6:$W$505,BF$3,実績!$AC$6:$AC$505,"&lt;="&amp;$A115,実績!$AD$6:$AD$505,"&gt;"&amp;$A115,実績!$AE$6:$AE$505,"○")&gt;0,1,0))</f>
        <v/>
      </c>
      <c r="BG115">
        <f>IF(BG$4=0,0,IF(COUNTIFS(実績!$W$6:$W$505,BG$3,実績!$AC$6:$AC$505,"&lt;="&amp;$A115,実績!$AD$6:$AD$505,"&gt;"&amp;$A115,実績!$AE$6:$AE$505,"○")&gt;0,1,0))</f>
        <v/>
      </c>
      <c r="BH115">
        <f>IF(BH$4=0,0,IF(COUNTIFS(実績!$W$6:$W$505,BH$3,実績!$AC$6:$AC$505,"&lt;="&amp;$A115,実績!$AD$6:$AD$505,"&gt;"&amp;$A115,実績!$AE$6:$AE$505,"○")&gt;0,1,0))</f>
        <v/>
      </c>
      <c r="BI115">
        <f>IF(BI$4=0,0,IF(COUNTIFS(実績!$W$6:$W$505,BI$3,実績!$AC$6:$AC$505,"&lt;="&amp;$A115,実績!$AD$6:$AD$505,"&gt;"&amp;$A115,実績!$AE$6:$AE$505,"○")&gt;0,1,0))</f>
        <v/>
      </c>
      <c r="BJ115">
        <f>IF(BJ$4=0,0,IF(COUNTIFS(実績!$W$6:$W$505,BJ$3,実績!$AC$6:$AC$505,"&lt;="&amp;$A115,実績!$AD$6:$AD$505,"&gt;"&amp;$A115,実績!$AE$6:$AE$505,"○")&gt;0,1,0))</f>
        <v/>
      </c>
      <c r="BK115">
        <f>IF(BK$4=0,0,IF(COUNTIFS(実績!$W$6:$W$505,BK$3,実績!$AC$6:$AC$505,"&lt;="&amp;$A115,実績!$AD$6:$AD$505,"&gt;"&amp;$A115,実績!$AE$6:$AE$505,"○")&gt;0,1,0))</f>
        <v/>
      </c>
      <c r="BL115">
        <f>IF(BL$4=0,0,IF(COUNTIFS(実績!$W$6:$W$505,BL$3,実績!$AC$6:$AC$505,"&lt;="&amp;$A115,実績!$AD$6:$AD$505,"&gt;"&amp;$A115,実績!$AE$6:$AE$505,"○")&gt;0,1,0))</f>
        <v/>
      </c>
      <c r="BM115">
        <f>IF(BM$4=0,0,IF(COUNTIFS(実績!$W$6:$W$505,BM$3,実績!$AC$6:$AC$505,"&lt;="&amp;$A115,実績!$AD$6:$AD$505,"&gt;"&amp;$A115,実績!$AE$6:$AE$505,"○")&gt;0,1,0))</f>
        <v/>
      </c>
      <c r="BN115">
        <f>IF(BN$4=0,0,IF(COUNTIFS(実績!$W$6:$W$505,BN$3,実績!$AC$6:$AC$505,"&lt;="&amp;$A115,実績!$AD$6:$AD$505,"&gt;"&amp;$A115,実績!$AE$6:$AE$505,"○")&gt;0,1,0))</f>
        <v/>
      </c>
      <c r="BO115">
        <f>IF(BO$4=0,0,IF(COUNTIFS(実績!$W$6:$W$505,BO$3,実績!$AC$6:$AC$505,"&lt;="&amp;$A115,実績!$AD$6:$AD$505,"&gt;"&amp;$A115,実績!$AE$6:$AE$505,"○")&gt;0,1,0))</f>
        <v/>
      </c>
      <c r="BP115">
        <f>IF(BP$4=0,0,IF(COUNTIFS(実績!$W$6:$W$505,BP$3,実績!$AC$6:$AC$505,"&lt;="&amp;$A115,実績!$AD$6:$AD$505,"&gt;"&amp;$A115,実績!$AE$6:$AE$505,"○")&gt;0,1,0))</f>
        <v/>
      </c>
      <c r="BQ115">
        <f>IF(BQ$4=0,0,IF(COUNTIFS(実績!$W$6:$W$505,BQ$3,実績!$AC$6:$AC$505,"&lt;="&amp;$A115,実績!$AD$6:$AD$505,"&gt;"&amp;$A115,実績!$AE$6:$AE$505,"○")&gt;0,1,0))</f>
        <v/>
      </c>
      <c r="BR115">
        <f>IF(BR$4=0,0,IF(COUNTIFS(実績!$W$6:$W$505,BR$3,実績!$AC$6:$AC$505,"&lt;="&amp;$A115,実績!$AD$6:$AD$505,"&gt;"&amp;$A115,実績!$AE$6:$AE$505,"○")&gt;0,1,0))</f>
        <v/>
      </c>
      <c r="BS115">
        <f>IF(BS$4=0,0,IF(COUNTIFS(実績!$W$6:$W$505,BS$3,実績!$AC$6:$AC$505,"&lt;="&amp;$A115,実績!$AD$6:$AD$505,"&gt;"&amp;$A115,実績!$AE$6:$AE$505,"○")&gt;0,1,0))</f>
        <v/>
      </c>
      <c r="BT115">
        <f>IF(BT$4=0,0,IF(COUNTIFS(実績!$W$6:$W$505,BT$3,実績!$AC$6:$AC$505,"&lt;="&amp;$A115,実績!$AD$6:$AD$505,"&gt;"&amp;$A115,実績!$AE$6:$AE$505,"○")&gt;0,1,0))</f>
        <v/>
      </c>
      <c r="BU115">
        <f>IF(BU$4=0,0,IF(COUNTIFS(実績!$W$6:$W$505,BU$3,実績!$AC$6:$AC$505,"&lt;="&amp;$A115,実績!$AD$6:$AD$505,"&gt;"&amp;$A115,実績!$AE$6:$AE$505,"○")&gt;0,1,0))</f>
        <v/>
      </c>
      <c r="BV115">
        <f>IF(BV$4=0,0,IF(COUNTIFS(実績!$W$6:$W$505,BV$3,実績!$AC$6:$AC$505,"&lt;="&amp;$A115,実績!$AD$6:$AD$505,"&gt;"&amp;$A115,実績!$AE$6:$AE$505,"○")&gt;0,1,0))</f>
        <v/>
      </c>
      <c r="BW115">
        <f>IF(BW$4=0,0,IF(COUNTIFS(実績!$W$6:$W$505,BW$3,実績!$AC$6:$AC$505,"&lt;="&amp;$A115,実績!$AD$6:$AD$505,"&gt;"&amp;$A115,実績!$AE$6:$AE$505,"○")&gt;0,1,0))</f>
        <v/>
      </c>
      <c r="BX115">
        <f>IF(BX$4=0,0,IF(COUNTIFS(実績!$W$6:$W$505,BX$3,実績!$AC$6:$AC$505,"&lt;="&amp;$A115,実績!$AD$6:$AD$505,"&gt;"&amp;$A115,実績!$AE$6:$AE$505,"○")&gt;0,1,0))</f>
        <v/>
      </c>
      <c r="BY115">
        <f>IF(BY$4=0,0,IF(COUNTIFS(実績!$W$6:$W$505,BY$3,実績!$AC$6:$AC$505,"&lt;="&amp;$A115,実績!$AD$6:$AD$505,"&gt;"&amp;$A115,実績!$AE$6:$AE$505,"○")&gt;0,1,0))</f>
        <v/>
      </c>
      <c r="BZ115">
        <f>IF(BZ$4=0,0,IF(COUNTIFS(実績!$W$6:$W$505,BZ$3,実績!$AC$6:$AC$505,"&lt;="&amp;$A115,実績!$AD$6:$AD$505,"&gt;"&amp;$A115,実績!$AE$6:$AE$505,"○")&gt;0,1,0))</f>
        <v/>
      </c>
      <c r="CA115">
        <f>IF(CA$4=0,0,IF(COUNTIFS(実績!$W$6:$W$505,CA$3,実績!$AC$6:$AC$505,"&lt;="&amp;$A115,実績!$AD$6:$AD$505,"&gt;"&amp;$A115,実績!$AE$6:$AE$505,"○")&gt;0,1,0))</f>
        <v/>
      </c>
      <c r="CB115">
        <f>IF(CB$4=0,0,IF(COUNTIFS(実績!$W$6:$W$505,CB$3,実績!$AC$6:$AC$505,"&lt;="&amp;$A115,実績!$AD$6:$AD$505,"&gt;"&amp;$A115,実績!$AE$6:$AE$505,"○")&gt;0,1,0))</f>
        <v/>
      </c>
      <c r="CC115">
        <f>IF(CC$4=0,0,IF(COUNTIFS(実績!$W$6:$W$505,CC$3,実績!$AC$6:$AC$505,"&lt;="&amp;$A115,実績!$AD$6:$AD$505,"&gt;"&amp;$A115,実績!$AE$6:$AE$505,"○")&gt;0,1,0))</f>
        <v/>
      </c>
      <c r="CD115">
        <f>IF(CD$4=0,0,IF(COUNTIFS(実績!$W$6:$W$505,CD$3,実績!$AC$6:$AC$505,"&lt;="&amp;$A115,実績!$AD$6:$AD$505,"&gt;"&amp;$A115,実績!$AE$6:$AE$505,"○")&gt;0,1,0))</f>
        <v/>
      </c>
      <c r="CE115">
        <f>IF(CE$4=0,0,IF(COUNTIFS(実績!$W$6:$W$505,CE$3,実績!$AC$6:$AC$505,"&lt;="&amp;$A115,実績!$AD$6:$AD$505,"&gt;"&amp;$A115,実績!$AE$6:$AE$505,"○")&gt;0,1,0))</f>
        <v/>
      </c>
      <c r="CF115">
        <f>IF(CF$4=0,0,IF(COUNTIFS(実績!$W$6:$W$505,CF$3,実績!$AC$6:$AC$505,"&lt;="&amp;$A115,実績!$AD$6:$AD$505,"&gt;"&amp;$A115,実績!$AE$6:$AE$505,"○")&gt;0,1,0))</f>
        <v/>
      </c>
      <c r="CG115">
        <f>IF(CG$4=0,0,IF(COUNTIFS(実績!$W$6:$W$505,CG$3,実績!$AC$6:$AC$505,"&lt;="&amp;$A115,実績!$AD$6:$AD$505,"&gt;"&amp;$A115,実績!$AE$6:$AE$505,"○")&gt;0,1,0))</f>
        <v/>
      </c>
      <c r="CH115">
        <f>IF(CH$4=0,0,IF(COUNTIFS(実績!$W$6:$W$505,CH$3,実績!$AC$6:$AC$505,"&lt;="&amp;$A115,実績!$AD$6:$AD$505,"&gt;"&amp;$A115,実績!$AE$6:$AE$505,"○")&gt;0,1,0))</f>
        <v/>
      </c>
      <c r="CI115">
        <f>IF(CI$4=0,0,IF(COUNTIFS(実績!$W$6:$W$505,CI$3,実績!$AC$6:$AC$505,"&lt;="&amp;$A115,実績!$AD$6:$AD$505,"&gt;"&amp;$A115,実績!$AE$6:$AE$505,"○")&gt;0,1,0))</f>
        <v/>
      </c>
      <c r="CJ115">
        <f>IF(CJ$4=0,0,IF(COUNTIFS(実績!$W$6:$W$505,CJ$3,実績!$AC$6:$AC$505,"&lt;="&amp;$A115,実績!$AD$6:$AD$505,"&gt;"&amp;$A115,実績!$AE$6:$AE$505,"○")&gt;0,1,0))</f>
        <v/>
      </c>
      <c r="CK115">
        <f>IF(CK$4=0,0,IF(COUNTIFS(実績!$W$6:$W$505,CK$3,実績!$AC$6:$AC$505,"&lt;="&amp;$A115,実績!$AD$6:$AD$505,"&gt;"&amp;$A115,実績!$AE$6:$AE$505,"○")&gt;0,1,0))</f>
        <v/>
      </c>
      <c r="CL115">
        <f>IF(CL$4=0,0,IF(COUNTIFS(実績!$W$6:$W$505,CL$3,実績!$AC$6:$AC$505,"&lt;="&amp;$A115,実績!$AD$6:$AD$505,"&gt;"&amp;$A115,実績!$AE$6:$AE$505,"○")&gt;0,1,0))</f>
        <v/>
      </c>
      <c r="CM115">
        <f>IF(CM$4=0,0,IF(COUNTIFS(実績!$W$6:$W$505,CM$3,実績!$AC$6:$AC$505,"&lt;="&amp;$A115,実績!$AD$6:$AD$505,"&gt;"&amp;$A115,実績!$AE$6:$AE$505,"○")&gt;0,1,0))</f>
        <v/>
      </c>
      <c r="CN115">
        <f>IF(CN$4=0,0,IF(COUNTIFS(実績!$W$6:$W$505,CN$3,実績!$AC$6:$AC$505,"&lt;="&amp;$A115,実績!$AD$6:$AD$505,"&gt;"&amp;$A115,実績!$AE$6:$AE$505,"○")&gt;0,1,0))</f>
        <v/>
      </c>
      <c r="CO115">
        <f>IF(CO$4=0,0,IF(COUNTIFS(実績!$W$6:$W$505,CO$3,実績!$AC$6:$AC$505,"&lt;="&amp;$A115,実績!$AD$6:$AD$505,"&gt;"&amp;$A115,実績!$AE$6:$AE$505,"○")&gt;0,1,0))</f>
        <v/>
      </c>
      <c r="CP115">
        <f>IF(CP$4=0,0,IF(COUNTIFS(実績!$W$6:$W$505,CP$3,実績!$AC$6:$AC$505,"&lt;="&amp;$A115,実績!$AD$6:$AD$505,"&gt;"&amp;$A115,実績!$AE$6:$AE$505,"○")&gt;0,1,0))</f>
        <v/>
      </c>
      <c r="CQ115">
        <f>IF(CQ$4=0,0,IF(COUNTIFS(実績!$W$6:$W$505,CQ$3,実績!$AC$6:$AC$505,"&lt;="&amp;$A115,実績!$AD$6:$AD$505,"&gt;"&amp;$A115,実績!$AE$6:$AE$505,"○")&gt;0,1,0))</f>
        <v/>
      </c>
      <c r="CR115">
        <f>IF(CR$4=0,0,IF(COUNTIFS(実績!$W$6:$W$505,CR$3,実績!$AC$6:$AC$505,"&lt;="&amp;$A115,実績!$AD$6:$AD$505,"&gt;"&amp;$A115,実績!$AE$6:$AE$505,"○")&gt;0,1,0))</f>
        <v/>
      </c>
      <c r="CS115">
        <f>IF(CS$4=0,0,IF(COUNTIFS(実績!$W$6:$W$505,CS$3,実績!$AC$6:$AC$505,"&lt;="&amp;$A115,実績!$AD$6:$AD$505,"&gt;"&amp;$A115,実績!$AE$6:$AE$505,"○")&gt;0,1,0))</f>
        <v/>
      </c>
      <c r="CT115">
        <f>IF(CT$4=0,0,IF(COUNTIFS(実績!$W$6:$W$505,CT$3,実績!$AC$6:$AC$505,"&lt;="&amp;$A115,実績!$AD$6:$AD$505,"&gt;"&amp;$A115,実績!$AE$6:$AE$505,"○")&gt;0,1,0))</f>
        <v/>
      </c>
      <c r="CU115">
        <f>IF(CU$4=0,0,IF(COUNTIFS(実績!$W$6:$W$505,CU$3,実績!$AC$6:$AC$505,"&lt;="&amp;$A115,実績!$AD$6:$AD$505,"&gt;"&amp;$A115,実績!$AE$6:$AE$505,"○")&gt;0,1,0))</f>
        <v/>
      </c>
      <c r="CV115">
        <f>IF(CV$4=0,0,IF(COUNTIFS(実績!$W$6:$W$505,CV$3,実績!$AC$6:$AC$505,"&lt;="&amp;$A115,実績!$AD$6:$AD$505,"&gt;"&amp;$A115,実績!$AE$6:$AE$505,"○")&gt;0,1,0))</f>
        <v/>
      </c>
      <c r="CW115">
        <f>IF(CW$4=0,0,IF(COUNTIFS(実績!$W$6:$W$505,CW$3,実績!$AC$6:$AC$505,"&lt;="&amp;$A115,実績!$AD$6:$AD$505,"&gt;"&amp;$A115,実績!$AE$6:$AE$505,"○")&gt;0,1,0))</f>
        <v/>
      </c>
      <c r="CX115">
        <f>IF(CX$4=0,0,IF(COUNTIFS(実績!$W$6:$W$505,CX$3,実績!$AC$6:$AC$505,"&lt;="&amp;$A115,実績!$AD$6:$AD$505,"&gt;"&amp;$A115,実績!$AE$6:$AE$505,"○")&gt;0,1,0))</f>
        <v/>
      </c>
      <c r="CY115">
        <f>IF(CY$4=0,0,IF(COUNTIFS(実績!$W$6:$W$505,CY$3,実績!$AC$6:$AC$505,"&lt;="&amp;$A115,実績!$AD$6:$AD$505,"&gt;"&amp;$A115,実績!$AE$6:$AE$505,"○")&gt;0,1,0))</f>
        <v/>
      </c>
      <c r="CZ115">
        <f>IF(CZ$4=0,0,IF(COUNTIFS(実績!$W$6:$W$505,CZ$3,実績!$AC$6:$AC$505,"&lt;="&amp;$A115,実績!$AD$6:$AD$505,"&gt;"&amp;$A115,実績!$AE$6:$AE$505,"○")&gt;0,1,0))</f>
        <v/>
      </c>
      <c r="DA115">
        <f>IF(DA$4=0,0,IF(COUNTIFS(実績!$W$6:$W$505,DA$3,実績!$AC$6:$AC$505,"&lt;="&amp;$A115,実績!$AD$6:$AD$505,"&gt;"&amp;$A115,実績!$AE$6:$AE$505,"○")&gt;0,1,0))</f>
        <v/>
      </c>
      <c r="DB115">
        <f>IF(DB$4=0,0,IF(COUNTIFS(実績!$W$6:$W$505,DB$3,実績!$AC$6:$AC$505,"&lt;="&amp;$A115,実績!$AD$6:$AD$505,"&gt;"&amp;$A115,実績!$AE$6:$AE$505,"○")&gt;0,1,0))</f>
        <v/>
      </c>
      <c r="DC115">
        <f>IF(DC$4=0,0,IF(COUNTIFS(実績!$W$6:$W$505,DC$3,実績!$AC$6:$AC$505,"&lt;="&amp;$A115,実績!$AD$6:$AD$505,"&gt;"&amp;$A115,実績!$AE$6:$AE$505,"○")&gt;0,1,0))</f>
        <v/>
      </c>
      <c r="DD115">
        <f>IF(DD$4=0,0,IF(COUNTIFS(実績!$W$6:$W$505,DD$3,実績!$AC$6:$AC$505,"&lt;="&amp;$A115,実績!$AD$6:$AD$505,"&gt;"&amp;$A115,実績!$AE$6:$AE$505,"○")&gt;0,1,0))</f>
        <v/>
      </c>
      <c r="DE115">
        <f>IF(DE$4=0,0,IF(COUNTIFS(実績!$W$6:$W$505,DE$3,実績!$AC$6:$AC$505,"&lt;="&amp;$A115,実績!$AD$6:$AD$505,"&gt;"&amp;$A115,実績!$AE$6:$AE$505,"○")&gt;0,1,0))</f>
        <v/>
      </c>
      <c r="DF115">
        <f>IF(DF$4=0,0,IF(COUNTIFS(実績!$W$6:$W$505,DF$3,実績!$AC$6:$AC$505,"&lt;="&amp;$A115,実績!$AD$6:$AD$505,"&gt;"&amp;$A115,実績!$AE$6:$AE$505,"○")&gt;0,1,0))</f>
        <v/>
      </c>
      <c r="DG115">
        <f>IF(DG$4=0,0,IF(COUNTIFS(実績!$W$6:$W$505,DG$3,実績!$AC$6:$AC$505,"&lt;="&amp;$A115,実績!$AD$6:$AD$505,"&gt;"&amp;$A115,実績!$AE$6:$AE$505,"○")&gt;0,1,0))</f>
        <v/>
      </c>
      <c r="DH115">
        <f>IF(DH$4=0,0,IF(COUNTIFS(実績!$W$6:$W$505,DH$3,実績!$AC$6:$AC$505,"&lt;="&amp;$A115,実績!$AD$6:$AD$505,"&gt;"&amp;$A115,実績!$AE$6:$AE$505,"○")&gt;0,1,0))</f>
        <v/>
      </c>
      <c r="DI115">
        <f>IF(DI$4=0,0,IF(COUNTIFS(実績!$W$6:$W$505,DI$3,実績!$AC$6:$AC$505,"&lt;="&amp;$A115,実績!$AD$6:$AD$505,"&gt;"&amp;$A115,実績!$AE$6:$AE$505,"○")&gt;0,1,0))</f>
        <v/>
      </c>
      <c r="DJ115">
        <f>IF(DJ$4=0,0,IF(COUNTIFS(実績!$W$6:$W$505,DJ$3,実績!$AC$6:$AC$505,"&lt;="&amp;$A115,実績!$AD$6:$AD$505,"&gt;"&amp;$A115,実績!$AE$6:$AE$505,"○")&gt;0,1,0))</f>
        <v/>
      </c>
      <c r="DK115">
        <f>IF(DK$4=0,0,IF(COUNTIFS(実績!$W$6:$W$505,DK$3,実績!$AC$6:$AC$505,"&lt;="&amp;$A115,実績!$AD$6:$AD$505,"&gt;"&amp;$A115,実績!$AE$6:$AE$505,"○")&gt;0,1,0))</f>
        <v/>
      </c>
      <c r="DL115">
        <f>IF(DL$4=0,0,IF(COUNTIFS(実績!$W$6:$W$505,DL$3,実績!$AC$6:$AC$505,"&lt;="&amp;$A115,実績!$AD$6:$AD$505,"&gt;"&amp;$A115,実績!$AE$6:$AE$505,"○")&gt;0,1,0))</f>
        <v/>
      </c>
      <c r="DM115">
        <f>IF(DM$4=0,0,IF(COUNTIFS(実績!$W$6:$W$505,DM$3,実績!$AC$6:$AC$505,"&lt;="&amp;$A115,実績!$AD$6:$AD$505,"&gt;"&amp;$A115,実績!$AE$6:$AE$505,"○")&gt;0,1,0))</f>
        <v/>
      </c>
      <c r="DN115">
        <f>IF(DN$4=0,0,IF(COUNTIFS(実績!$W$6:$W$505,DN$3,実績!$AC$6:$AC$505,"&lt;="&amp;$A115,実績!$AD$6:$AD$505,"&gt;"&amp;$A115,実績!$AE$6:$AE$505,"○")&gt;0,1,0))</f>
        <v/>
      </c>
      <c r="DO115">
        <f>IF(DO$4=0,0,IF(COUNTIFS(実績!$W$6:$W$505,DO$3,実績!$AC$6:$AC$505,"&lt;="&amp;$A115,実績!$AD$6:$AD$505,"&gt;"&amp;$A115,実績!$AE$6:$AE$505,"○")&gt;0,1,0))</f>
        <v/>
      </c>
      <c r="DP115">
        <f>IF(DP$4=0,0,IF(COUNTIFS(実績!$W$6:$W$505,DP$3,実績!$AC$6:$AC$505,"&lt;="&amp;$A115,実績!$AD$6:$AD$505,"&gt;"&amp;$A115,実績!$AE$6:$AE$505,"○")&gt;0,1,0))</f>
        <v/>
      </c>
      <c r="DQ115">
        <f>IF(DQ$4=0,0,IF(COUNTIFS(実績!$W$6:$W$505,DQ$3,実績!$AC$6:$AC$505,"&lt;="&amp;$A115,実績!$AD$6:$AD$505,"&gt;"&amp;$A115,実績!$AE$6:$AE$505,"○")&gt;0,1,0))</f>
        <v/>
      </c>
      <c r="DR115">
        <f>IF(DR$4=0,0,IF(COUNTIFS(実績!$W$6:$W$505,DR$3,実績!$AC$6:$AC$505,"&lt;="&amp;$A115,実績!$AD$6:$AD$505,"&gt;"&amp;$A115,実績!$AE$6:$AE$505,"○")&gt;0,1,0))</f>
        <v/>
      </c>
      <c r="DS115">
        <f>SUM(C115:DR115)</f>
        <v/>
      </c>
      <c r="DT115">
        <f>SUMPRODUCT((実績!$C$6:$C$505="○")*ISNUMBER(実績!$AF$6:$AF$505)*(実績!$AF$6:$AF$505&lt;=$A115)*(実績!$AG$6:$AG$505&gt;$A115))</f>
        <v/>
      </c>
      <c r="DU115">
        <f>SUMIF($C$2:$DR$2,"製鉄曳船",C115:DR115)</f>
        <v/>
      </c>
      <c r="DV115">
        <f>SUMIF($C$2:$DR$2,"西日本海運",C115:DR115)</f>
        <v/>
      </c>
    </row>
    <row r="116">
      <c r="A116" t="n">
        <v>550</v>
      </c>
      <c r="B116" s="29">
        <f>A116/1440</f>
        <v/>
      </c>
      <c r="C116">
        <f>IF(C$4=0,0,IF(COUNTIFS(実績!$W$6:$W$505,C$3,実績!$AC$6:$AC$505,"&lt;="&amp;$A116,実績!$AD$6:$AD$505,"&gt;"&amp;$A116,実績!$AE$6:$AE$505,"○")&gt;0,1,0))</f>
        <v/>
      </c>
      <c r="D116">
        <f>IF(D$4=0,0,IF(COUNTIFS(実績!$W$6:$W$505,D$3,実績!$AC$6:$AC$505,"&lt;="&amp;$A116,実績!$AD$6:$AD$505,"&gt;"&amp;$A116,実績!$AE$6:$AE$505,"○")&gt;0,1,0))</f>
        <v/>
      </c>
      <c r="E116">
        <f>IF(E$4=0,0,IF(COUNTIFS(実績!$W$6:$W$505,E$3,実績!$AC$6:$AC$505,"&lt;="&amp;$A116,実績!$AD$6:$AD$505,"&gt;"&amp;$A116,実績!$AE$6:$AE$505,"○")&gt;0,1,0))</f>
        <v/>
      </c>
      <c r="F116">
        <f>IF(F$4=0,0,IF(COUNTIFS(実績!$W$6:$W$505,F$3,実績!$AC$6:$AC$505,"&lt;="&amp;$A116,実績!$AD$6:$AD$505,"&gt;"&amp;$A116,実績!$AE$6:$AE$505,"○")&gt;0,1,0))</f>
        <v/>
      </c>
      <c r="G116">
        <f>IF(G$4=0,0,IF(COUNTIFS(実績!$W$6:$W$505,G$3,実績!$AC$6:$AC$505,"&lt;="&amp;$A116,実績!$AD$6:$AD$505,"&gt;"&amp;$A116,実績!$AE$6:$AE$505,"○")&gt;0,1,0))</f>
        <v/>
      </c>
      <c r="H116">
        <f>IF(H$4=0,0,IF(COUNTIFS(実績!$W$6:$W$505,H$3,実績!$AC$6:$AC$505,"&lt;="&amp;$A116,実績!$AD$6:$AD$505,"&gt;"&amp;$A116,実績!$AE$6:$AE$505,"○")&gt;0,1,0))</f>
        <v/>
      </c>
      <c r="I116">
        <f>IF(I$4=0,0,IF(COUNTIFS(実績!$W$6:$W$505,I$3,実績!$AC$6:$AC$505,"&lt;="&amp;$A116,実績!$AD$6:$AD$505,"&gt;"&amp;$A116,実績!$AE$6:$AE$505,"○")&gt;0,1,0))</f>
        <v/>
      </c>
      <c r="J116">
        <f>IF(J$4=0,0,IF(COUNTIFS(実績!$W$6:$W$505,J$3,実績!$AC$6:$AC$505,"&lt;="&amp;$A116,実績!$AD$6:$AD$505,"&gt;"&amp;$A116,実績!$AE$6:$AE$505,"○")&gt;0,1,0))</f>
        <v/>
      </c>
      <c r="K116">
        <f>IF(K$4=0,0,IF(COUNTIFS(実績!$W$6:$W$505,K$3,実績!$AC$6:$AC$505,"&lt;="&amp;$A116,実績!$AD$6:$AD$505,"&gt;"&amp;$A116,実績!$AE$6:$AE$505,"○")&gt;0,1,0))</f>
        <v/>
      </c>
      <c r="L116">
        <f>IF(L$4=0,0,IF(COUNTIFS(実績!$W$6:$W$505,L$3,実績!$AC$6:$AC$505,"&lt;="&amp;$A116,実績!$AD$6:$AD$505,"&gt;"&amp;$A116,実績!$AE$6:$AE$505,"○")&gt;0,1,0))</f>
        <v/>
      </c>
      <c r="M116">
        <f>IF(M$4=0,0,IF(COUNTIFS(実績!$W$6:$W$505,M$3,実績!$AC$6:$AC$505,"&lt;="&amp;$A116,実績!$AD$6:$AD$505,"&gt;"&amp;$A116,実績!$AE$6:$AE$505,"○")&gt;0,1,0))</f>
        <v/>
      </c>
      <c r="N116">
        <f>IF(N$4=0,0,IF(COUNTIFS(実績!$W$6:$W$505,N$3,実績!$AC$6:$AC$505,"&lt;="&amp;$A116,実績!$AD$6:$AD$505,"&gt;"&amp;$A116,実績!$AE$6:$AE$505,"○")&gt;0,1,0))</f>
        <v/>
      </c>
      <c r="O116">
        <f>IF(O$4=0,0,IF(COUNTIFS(実績!$W$6:$W$505,O$3,実績!$AC$6:$AC$505,"&lt;="&amp;$A116,実績!$AD$6:$AD$505,"&gt;"&amp;$A116,実績!$AE$6:$AE$505,"○")&gt;0,1,0))</f>
        <v/>
      </c>
      <c r="P116">
        <f>IF(P$4=0,0,IF(COUNTIFS(実績!$W$6:$W$505,P$3,実績!$AC$6:$AC$505,"&lt;="&amp;$A116,実績!$AD$6:$AD$505,"&gt;"&amp;$A116,実績!$AE$6:$AE$505,"○")&gt;0,1,0))</f>
        <v/>
      </c>
      <c r="Q116">
        <f>IF(Q$4=0,0,IF(COUNTIFS(実績!$W$6:$W$505,Q$3,実績!$AC$6:$AC$505,"&lt;="&amp;$A116,実績!$AD$6:$AD$505,"&gt;"&amp;$A116,実績!$AE$6:$AE$505,"○")&gt;0,1,0))</f>
        <v/>
      </c>
      <c r="R116">
        <f>IF(R$4=0,0,IF(COUNTIFS(実績!$W$6:$W$505,R$3,実績!$AC$6:$AC$505,"&lt;="&amp;$A116,実績!$AD$6:$AD$505,"&gt;"&amp;$A116,実績!$AE$6:$AE$505,"○")&gt;0,1,0))</f>
        <v/>
      </c>
      <c r="S116">
        <f>IF(S$4=0,0,IF(COUNTIFS(実績!$W$6:$W$505,S$3,実績!$AC$6:$AC$505,"&lt;="&amp;$A116,実績!$AD$6:$AD$505,"&gt;"&amp;$A116,実績!$AE$6:$AE$505,"○")&gt;0,1,0))</f>
        <v/>
      </c>
      <c r="T116">
        <f>IF(T$4=0,0,IF(COUNTIFS(実績!$W$6:$W$505,T$3,実績!$AC$6:$AC$505,"&lt;="&amp;$A116,実績!$AD$6:$AD$505,"&gt;"&amp;$A116,実績!$AE$6:$AE$505,"○")&gt;0,1,0))</f>
        <v/>
      </c>
      <c r="U116">
        <f>IF(U$4=0,0,IF(COUNTIFS(実績!$W$6:$W$505,U$3,実績!$AC$6:$AC$505,"&lt;="&amp;$A116,実績!$AD$6:$AD$505,"&gt;"&amp;$A116,実績!$AE$6:$AE$505,"○")&gt;0,1,0))</f>
        <v/>
      </c>
      <c r="V116">
        <f>IF(V$4=0,0,IF(COUNTIFS(実績!$W$6:$W$505,V$3,実績!$AC$6:$AC$505,"&lt;="&amp;$A116,実績!$AD$6:$AD$505,"&gt;"&amp;$A116,実績!$AE$6:$AE$505,"○")&gt;0,1,0))</f>
        <v/>
      </c>
      <c r="W116">
        <f>IF(W$4=0,0,IF(COUNTIFS(実績!$W$6:$W$505,W$3,実績!$AC$6:$AC$505,"&lt;="&amp;$A116,実績!$AD$6:$AD$505,"&gt;"&amp;$A116,実績!$AE$6:$AE$505,"○")&gt;0,1,0))</f>
        <v/>
      </c>
      <c r="X116">
        <f>IF(X$4=0,0,IF(COUNTIFS(実績!$W$6:$W$505,X$3,実績!$AC$6:$AC$505,"&lt;="&amp;$A116,実績!$AD$6:$AD$505,"&gt;"&amp;$A116,実績!$AE$6:$AE$505,"○")&gt;0,1,0))</f>
        <v/>
      </c>
      <c r="Y116">
        <f>IF(Y$4=0,0,IF(COUNTIFS(実績!$W$6:$W$505,Y$3,実績!$AC$6:$AC$505,"&lt;="&amp;$A116,実績!$AD$6:$AD$505,"&gt;"&amp;$A116,実績!$AE$6:$AE$505,"○")&gt;0,1,0))</f>
        <v/>
      </c>
      <c r="Z116">
        <f>IF(Z$4=0,0,IF(COUNTIFS(実績!$W$6:$W$505,Z$3,実績!$AC$6:$AC$505,"&lt;="&amp;$A116,実績!$AD$6:$AD$505,"&gt;"&amp;$A116,実績!$AE$6:$AE$505,"○")&gt;0,1,0))</f>
        <v/>
      </c>
      <c r="AA116">
        <f>IF(AA$4=0,0,IF(COUNTIFS(実績!$W$6:$W$505,AA$3,実績!$AC$6:$AC$505,"&lt;="&amp;$A116,実績!$AD$6:$AD$505,"&gt;"&amp;$A116,実績!$AE$6:$AE$505,"○")&gt;0,1,0))</f>
        <v/>
      </c>
      <c r="AB116">
        <f>IF(AB$4=0,0,IF(COUNTIFS(実績!$W$6:$W$505,AB$3,実績!$AC$6:$AC$505,"&lt;="&amp;$A116,実績!$AD$6:$AD$505,"&gt;"&amp;$A116,実績!$AE$6:$AE$505,"○")&gt;0,1,0))</f>
        <v/>
      </c>
      <c r="AC116">
        <f>IF(AC$4=0,0,IF(COUNTIFS(実績!$W$6:$W$505,AC$3,実績!$AC$6:$AC$505,"&lt;="&amp;$A116,実績!$AD$6:$AD$505,"&gt;"&amp;$A116,実績!$AE$6:$AE$505,"○")&gt;0,1,0))</f>
        <v/>
      </c>
      <c r="AD116">
        <f>IF(AD$4=0,0,IF(COUNTIFS(実績!$W$6:$W$505,AD$3,実績!$AC$6:$AC$505,"&lt;="&amp;$A116,実績!$AD$6:$AD$505,"&gt;"&amp;$A116,実績!$AE$6:$AE$505,"○")&gt;0,1,0))</f>
        <v/>
      </c>
      <c r="AE116">
        <f>IF(AE$4=0,0,IF(COUNTIFS(実績!$W$6:$W$505,AE$3,実績!$AC$6:$AC$505,"&lt;="&amp;$A116,実績!$AD$6:$AD$505,"&gt;"&amp;$A116,実績!$AE$6:$AE$505,"○")&gt;0,1,0))</f>
        <v/>
      </c>
      <c r="AF116">
        <f>IF(AF$4=0,0,IF(COUNTIFS(実績!$W$6:$W$505,AF$3,実績!$AC$6:$AC$505,"&lt;="&amp;$A116,実績!$AD$6:$AD$505,"&gt;"&amp;$A116,実績!$AE$6:$AE$505,"○")&gt;0,1,0))</f>
        <v/>
      </c>
      <c r="AG116">
        <f>IF(AG$4=0,0,IF(COUNTIFS(実績!$W$6:$W$505,AG$3,実績!$AC$6:$AC$505,"&lt;="&amp;$A116,実績!$AD$6:$AD$505,"&gt;"&amp;$A116,実績!$AE$6:$AE$505,"○")&gt;0,1,0))</f>
        <v/>
      </c>
      <c r="AH116">
        <f>IF(AH$4=0,0,IF(COUNTIFS(実績!$W$6:$W$505,AH$3,実績!$AC$6:$AC$505,"&lt;="&amp;$A116,実績!$AD$6:$AD$505,"&gt;"&amp;$A116,実績!$AE$6:$AE$505,"○")&gt;0,1,0))</f>
        <v/>
      </c>
      <c r="AI116">
        <f>IF(AI$4=0,0,IF(COUNTIFS(実績!$W$6:$W$505,AI$3,実績!$AC$6:$AC$505,"&lt;="&amp;$A116,実績!$AD$6:$AD$505,"&gt;"&amp;$A116,実績!$AE$6:$AE$505,"○")&gt;0,1,0))</f>
        <v/>
      </c>
      <c r="AJ116">
        <f>IF(AJ$4=0,0,IF(COUNTIFS(実績!$W$6:$W$505,AJ$3,実績!$AC$6:$AC$505,"&lt;="&amp;$A116,実績!$AD$6:$AD$505,"&gt;"&amp;$A116,実績!$AE$6:$AE$505,"○")&gt;0,1,0))</f>
        <v/>
      </c>
      <c r="AK116">
        <f>IF(AK$4=0,0,IF(COUNTIFS(実績!$W$6:$W$505,AK$3,実績!$AC$6:$AC$505,"&lt;="&amp;$A116,実績!$AD$6:$AD$505,"&gt;"&amp;$A116,実績!$AE$6:$AE$505,"○")&gt;0,1,0))</f>
        <v/>
      </c>
      <c r="AL116">
        <f>IF(AL$4=0,0,IF(COUNTIFS(実績!$W$6:$W$505,AL$3,実績!$AC$6:$AC$505,"&lt;="&amp;$A116,実績!$AD$6:$AD$505,"&gt;"&amp;$A116,実績!$AE$6:$AE$505,"○")&gt;0,1,0))</f>
        <v/>
      </c>
      <c r="AM116">
        <f>IF(AM$4=0,0,IF(COUNTIFS(実績!$W$6:$W$505,AM$3,実績!$AC$6:$AC$505,"&lt;="&amp;$A116,実績!$AD$6:$AD$505,"&gt;"&amp;$A116,実績!$AE$6:$AE$505,"○")&gt;0,1,0))</f>
        <v/>
      </c>
      <c r="AN116">
        <f>IF(AN$4=0,0,IF(COUNTIFS(実績!$W$6:$W$505,AN$3,実績!$AC$6:$AC$505,"&lt;="&amp;$A116,実績!$AD$6:$AD$505,"&gt;"&amp;$A116,実績!$AE$6:$AE$505,"○")&gt;0,1,0))</f>
        <v/>
      </c>
      <c r="AO116">
        <f>IF(AO$4=0,0,IF(COUNTIFS(実績!$W$6:$W$505,AO$3,実績!$AC$6:$AC$505,"&lt;="&amp;$A116,実績!$AD$6:$AD$505,"&gt;"&amp;$A116,実績!$AE$6:$AE$505,"○")&gt;0,1,0))</f>
        <v/>
      </c>
      <c r="AP116">
        <f>IF(AP$4=0,0,IF(COUNTIFS(実績!$W$6:$W$505,AP$3,実績!$AC$6:$AC$505,"&lt;="&amp;$A116,実績!$AD$6:$AD$505,"&gt;"&amp;$A116,実績!$AE$6:$AE$505,"○")&gt;0,1,0))</f>
        <v/>
      </c>
      <c r="AQ116">
        <f>IF(AQ$4=0,0,IF(COUNTIFS(実績!$W$6:$W$505,AQ$3,実績!$AC$6:$AC$505,"&lt;="&amp;$A116,実績!$AD$6:$AD$505,"&gt;"&amp;$A116,実績!$AE$6:$AE$505,"○")&gt;0,1,0))</f>
        <v/>
      </c>
      <c r="AR116">
        <f>IF(AR$4=0,0,IF(COUNTIFS(実績!$W$6:$W$505,AR$3,実績!$AC$6:$AC$505,"&lt;="&amp;$A116,実績!$AD$6:$AD$505,"&gt;"&amp;$A116,実績!$AE$6:$AE$505,"○")&gt;0,1,0))</f>
        <v/>
      </c>
      <c r="AS116">
        <f>IF(AS$4=0,0,IF(COUNTIFS(実績!$W$6:$W$505,AS$3,実績!$AC$6:$AC$505,"&lt;="&amp;$A116,実績!$AD$6:$AD$505,"&gt;"&amp;$A116,実績!$AE$6:$AE$505,"○")&gt;0,1,0))</f>
        <v/>
      </c>
      <c r="AT116">
        <f>IF(AT$4=0,0,IF(COUNTIFS(実績!$W$6:$W$505,AT$3,実績!$AC$6:$AC$505,"&lt;="&amp;$A116,実績!$AD$6:$AD$505,"&gt;"&amp;$A116,実績!$AE$6:$AE$505,"○")&gt;0,1,0))</f>
        <v/>
      </c>
      <c r="AU116">
        <f>IF(AU$4=0,0,IF(COUNTIFS(実績!$W$6:$W$505,AU$3,実績!$AC$6:$AC$505,"&lt;="&amp;$A116,実績!$AD$6:$AD$505,"&gt;"&amp;$A116,実績!$AE$6:$AE$505,"○")&gt;0,1,0))</f>
        <v/>
      </c>
      <c r="AV116">
        <f>IF(AV$4=0,0,IF(COUNTIFS(実績!$W$6:$W$505,AV$3,実績!$AC$6:$AC$505,"&lt;="&amp;$A116,実績!$AD$6:$AD$505,"&gt;"&amp;$A116,実績!$AE$6:$AE$505,"○")&gt;0,1,0))</f>
        <v/>
      </c>
      <c r="AW116">
        <f>IF(AW$4=0,0,IF(COUNTIFS(実績!$W$6:$W$505,AW$3,実績!$AC$6:$AC$505,"&lt;="&amp;$A116,実績!$AD$6:$AD$505,"&gt;"&amp;$A116,実績!$AE$6:$AE$505,"○")&gt;0,1,0))</f>
        <v/>
      </c>
      <c r="AX116">
        <f>IF(AX$4=0,0,IF(COUNTIFS(実績!$W$6:$W$505,AX$3,実績!$AC$6:$AC$505,"&lt;="&amp;$A116,実績!$AD$6:$AD$505,"&gt;"&amp;$A116,実績!$AE$6:$AE$505,"○")&gt;0,1,0))</f>
        <v/>
      </c>
      <c r="AY116">
        <f>IF(AY$4=0,0,IF(COUNTIFS(実績!$W$6:$W$505,AY$3,実績!$AC$6:$AC$505,"&lt;="&amp;$A116,実績!$AD$6:$AD$505,"&gt;"&amp;$A116,実績!$AE$6:$AE$505,"○")&gt;0,1,0))</f>
        <v/>
      </c>
      <c r="AZ116">
        <f>IF(AZ$4=0,0,IF(COUNTIFS(実績!$W$6:$W$505,AZ$3,実績!$AC$6:$AC$505,"&lt;="&amp;$A116,実績!$AD$6:$AD$505,"&gt;"&amp;$A116,実績!$AE$6:$AE$505,"○")&gt;0,1,0))</f>
        <v/>
      </c>
      <c r="BA116">
        <f>IF(BA$4=0,0,IF(COUNTIFS(実績!$W$6:$W$505,BA$3,実績!$AC$6:$AC$505,"&lt;="&amp;$A116,実績!$AD$6:$AD$505,"&gt;"&amp;$A116,実績!$AE$6:$AE$505,"○")&gt;0,1,0))</f>
        <v/>
      </c>
      <c r="BB116">
        <f>IF(BB$4=0,0,IF(COUNTIFS(実績!$W$6:$W$505,BB$3,実績!$AC$6:$AC$505,"&lt;="&amp;$A116,実績!$AD$6:$AD$505,"&gt;"&amp;$A116,実績!$AE$6:$AE$505,"○")&gt;0,1,0))</f>
        <v/>
      </c>
      <c r="BC116">
        <f>IF(BC$4=0,0,IF(COUNTIFS(実績!$W$6:$W$505,BC$3,実績!$AC$6:$AC$505,"&lt;="&amp;$A116,実績!$AD$6:$AD$505,"&gt;"&amp;$A116,実績!$AE$6:$AE$505,"○")&gt;0,1,0))</f>
        <v/>
      </c>
      <c r="BD116">
        <f>IF(BD$4=0,0,IF(COUNTIFS(実績!$W$6:$W$505,BD$3,実績!$AC$6:$AC$505,"&lt;="&amp;$A116,実績!$AD$6:$AD$505,"&gt;"&amp;$A116,実績!$AE$6:$AE$505,"○")&gt;0,1,0))</f>
        <v/>
      </c>
      <c r="BE116">
        <f>IF(BE$4=0,0,IF(COUNTIFS(実績!$W$6:$W$505,BE$3,実績!$AC$6:$AC$505,"&lt;="&amp;$A116,実績!$AD$6:$AD$505,"&gt;"&amp;$A116,実績!$AE$6:$AE$505,"○")&gt;0,1,0))</f>
        <v/>
      </c>
      <c r="BF116">
        <f>IF(BF$4=0,0,IF(COUNTIFS(実績!$W$6:$W$505,BF$3,実績!$AC$6:$AC$505,"&lt;="&amp;$A116,実績!$AD$6:$AD$505,"&gt;"&amp;$A116,実績!$AE$6:$AE$505,"○")&gt;0,1,0))</f>
        <v/>
      </c>
      <c r="BG116">
        <f>IF(BG$4=0,0,IF(COUNTIFS(実績!$W$6:$W$505,BG$3,実績!$AC$6:$AC$505,"&lt;="&amp;$A116,実績!$AD$6:$AD$505,"&gt;"&amp;$A116,実績!$AE$6:$AE$505,"○")&gt;0,1,0))</f>
        <v/>
      </c>
      <c r="BH116">
        <f>IF(BH$4=0,0,IF(COUNTIFS(実績!$W$6:$W$505,BH$3,実績!$AC$6:$AC$505,"&lt;="&amp;$A116,実績!$AD$6:$AD$505,"&gt;"&amp;$A116,実績!$AE$6:$AE$505,"○")&gt;0,1,0))</f>
        <v/>
      </c>
      <c r="BI116">
        <f>IF(BI$4=0,0,IF(COUNTIFS(実績!$W$6:$W$505,BI$3,実績!$AC$6:$AC$505,"&lt;="&amp;$A116,実績!$AD$6:$AD$505,"&gt;"&amp;$A116,実績!$AE$6:$AE$505,"○")&gt;0,1,0))</f>
        <v/>
      </c>
      <c r="BJ116">
        <f>IF(BJ$4=0,0,IF(COUNTIFS(実績!$W$6:$W$505,BJ$3,実績!$AC$6:$AC$505,"&lt;="&amp;$A116,実績!$AD$6:$AD$505,"&gt;"&amp;$A116,実績!$AE$6:$AE$505,"○")&gt;0,1,0))</f>
        <v/>
      </c>
      <c r="BK116">
        <f>IF(BK$4=0,0,IF(COUNTIFS(実績!$W$6:$W$505,BK$3,実績!$AC$6:$AC$505,"&lt;="&amp;$A116,実績!$AD$6:$AD$505,"&gt;"&amp;$A116,実績!$AE$6:$AE$505,"○")&gt;0,1,0))</f>
        <v/>
      </c>
      <c r="BL116">
        <f>IF(BL$4=0,0,IF(COUNTIFS(実績!$W$6:$W$505,BL$3,実績!$AC$6:$AC$505,"&lt;="&amp;$A116,実績!$AD$6:$AD$505,"&gt;"&amp;$A116,実績!$AE$6:$AE$505,"○")&gt;0,1,0))</f>
        <v/>
      </c>
      <c r="BM116">
        <f>IF(BM$4=0,0,IF(COUNTIFS(実績!$W$6:$W$505,BM$3,実績!$AC$6:$AC$505,"&lt;="&amp;$A116,実績!$AD$6:$AD$505,"&gt;"&amp;$A116,実績!$AE$6:$AE$505,"○")&gt;0,1,0))</f>
        <v/>
      </c>
      <c r="BN116">
        <f>IF(BN$4=0,0,IF(COUNTIFS(実績!$W$6:$W$505,BN$3,実績!$AC$6:$AC$505,"&lt;="&amp;$A116,実績!$AD$6:$AD$505,"&gt;"&amp;$A116,実績!$AE$6:$AE$505,"○")&gt;0,1,0))</f>
        <v/>
      </c>
      <c r="BO116">
        <f>IF(BO$4=0,0,IF(COUNTIFS(実績!$W$6:$W$505,BO$3,実績!$AC$6:$AC$505,"&lt;="&amp;$A116,実績!$AD$6:$AD$505,"&gt;"&amp;$A116,実績!$AE$6:$AE$505,"○")&gt;0,1,0))</f>
        <v/>
      </c>
      <c r="BP116">
        <f>IF(BP$4=0,0,IF(COUNTIFS(実績!$W$6:$W$505,BP$3,実績!$AC$6:$AC$505,"&lt;="&amp;$A116,実績!$AD$6:$AD$505,"&gt;"&amp;$A116,実績!$AE$6:$AE$505,"○")&gt;0,1,0))</f>
        <v/>
      </c>
      <c r="BQ116">
        <f>IF(BQ$4=0,0,IF(COUNTIFS(実績!$W$6:$W$505,BQ$3,実績!$AC$6:$AC$505,"&lt;="&amp;$A116,実績!$AD$6:$AD$505,"&gt;"&amp;$A116,実績!$AE$6:$AE$505,"○")&gt;0,1,0))</f>
        <v/>
      </c>
      <c r="BR116">
        <f>IF(BR$4=0,0,IF(COUNTIFS(実績!$W$6:$W$505,BR$3,実績!$AC$6:$AC$505,"&lt;="&amp;$A116,実績!$AD$6:$AD$505,"&gt;"&amp;$A116,実績!$AE$6:$AE$505,"○")&gt;0,1,0))</f>
        <v/>
      </c>
      <c r="BS116">
        <f>IF(BS$4=0,0,IF(COUNTIFS(実績!$W$6:$W$505,BS$3,実績!$AC$6:$AC$505,"&lt;="&amp;$A116,実績!$AD$6:$AD$505,"&gt;"&amp;$A116,実績!$AE$6:$AE$505,"○")&gt;0,1,0))</f>
        <v/>
      </c>
      <c r="BT116">
        <f>IF(BT$4=0,0,IF(COUNTIFS(実績!$W$6:$W$505,BT$3,実績!$AC$6:$AC$505,"&lt;="&amp;$A116,実績!$AD$6:$AD$505,"&gt;"&amp;$A116,実績!$AE$6:$AE$505,"○")&gt;0,1,0))</f>
        <v/>
      </c>
      <c r="BU116">
        <f>IF(BU$4=0,0,IF(COUNTIFS(実績!$W$6:$W$505,BU$3,実績!$AC$6:$AC$505,"&lt;="&amp;$A116,実績!$AD$6:$AD$505,"&gt;"&amp;$A116,実績!$AE$6:$AE$505,"○")&gt;0,1,0))</f>
        <v/>
      </c>
      <c r="BV116">
        <f>IF(BV$4=0,0,IF(COUNTIFS(実績!$W$6:$W$505,BV$3,実績!$AC$6:$AC$505,"&lt;="&amp;$A116,実績!$AD$6:$AD$505,"&gt;"&amp;$A116,実績!$AE$6:$AE$505,"○")&gt;0,1,0))</f>
        <v/>
      </c>
      <c r="BW116">
        <f>IF(BW$4=0,0,IF(COUNTIFS(実績!$W$6:$W$505,BW$3,実績!$AC$6:$AC$505,"&lt;="&amp;$A116,実績!$AD$6:$AD$505,"&gt;"&amp;$A116,実績!$AE$6:$AE$505,"○")&gt;0,1,0))</f>
        <v/>
      </c>
      <c r="BX116">
        <f>IF(BX$4=0,0,IF(COUNTIFS(実績!$W$6:$W$505,BX$3,実績!$AC$6:$AC$505,"&lt;="&amp;$A116,実績!$AD$6:$AD$505,"&gt;"&amp;$A116,実績!$AE$6:$AE$505,"○")&gt;0,1,0))</f>
        <v/>
      </c>
      <c r="BY116">
        <f>IF(BY$4=0,0,IF(COUNTIFS(実績!$W$6:$W$505,BY$3,実績!$AC$6:$AC$505,"&lt;="&amp;$A116,実績!$AD$6:$AD$505,"&gt;"&amp;$A116,実績!$AE$6:$AE$505,"○")&gt;0,1,0))</f>
        <v/>
      </c>
      <c r="BZ116">
        <f>IF(BZ$4=0,0,IF(COUNTIFS(実績!$W$6:$W$505,BZ$3,実績!$AC$6:$AC$505,"&lt;="&amp;$A116,実績!$AD$6:$AD$505,"&gt;"&amp;$A116,実績!$AE$6:$AE$505,"○")&gt;0,1,0))</f>
        <v/>
      </c>
      <c r="CA116">
        <f>IF(CA$4=0,0,IF(COUNTIFS(実績!$W$6:$W$505,CA$3,実績!$AC$6:$AC$505,"&lt;="&amp;$A116,実績!$AD$6:$AD$505,"&gt;"&amp;$A116,実績!$AE$6:$AE$505,"○")&gt;0,1,0))</f>
        <v/>
      </c>
      <c r="CB116">
        <f>IF(CB$4=0,0,IF(COUNTIFS(実績!$W$6:$W$505,CB$3,実績!$AC$6:$AC$505,"&lt;="&amp;$A116,実績!$AD$6:$AD$505,"&gt;"&amp;$A116,実績!$AE$6:$AE$505,"○")&gt;0,1,0))</f>
        <v/>
      </c>
      <c r="CC116">
        <f>IF(CC$4=0,0,IF(COUNTIFS(実績!$W$6:$W$505,CC$3,実績!$AC$6:$AC$505,"&lt;="&amp;$A116,実績!$AD$6:$AD$505,"&gt;"&amp;$A116,実績!$AE$6:$AE$505,"○")&gt;0,1,0))</f>
        <v/>
      </c>
      <c r="CD116">
        <f>IF(CD$4=0,0,IF(COUNTIFS(実績!$W$6:$W$505,CD$3,実績!$AC$6:$AC$505,"&lt;="&amp;$A116,実績!$AD$6:$AD$505,"&gt;"&amp;$A116,実績!$AE$6:$AE$505,"○")&gt;0,1,0))</f>
        <v/>
      </c>
      <c r="CE116">
        <f>IF(CE$4=0,0,IF(COUNTIFS(実績!$W$6:$W$505,CE$3,実績!$AC$6:$AC$505,"&lt;="&amp;$A116,実績!$AD$6:$AD$505,"&gt;"&amp;$A116,実績!$AE$6:$AE$505,"○")&gt;0,1,0))</f>
        <v/>
      </c>
      <c r="CF116">
        <f>IF(CF$4=0,0,IF(COUNTIFS(実績!$W$6:$W$505,CF$3,実績!$AC$6:$AC$505,"&lt;="&amp;$A116,実績!$AD$6:$AD$505,"&gt;"&amp;$A116,実績!$AE$6:$AE$505,"○")&gt;0,1,0))</f>
        <v/>
      </c>
      <c r="CG116">
        <f>IF(CG$4=0,0,IF(COUNTIFS(実績!$W$6:$W$505,CG$3,実績!$AC$6:$AC$505,"&lt;="&amp;$A116,実績!$AD$6:$AD$505,"&gt;"&amp;$A116,実績!$AE$6:$AE$505,"○")&gt;0,1,0))</f>
        <v/>
      </c>
      <c r="CH116">
        <f>IF(CH$4=0,0,IF(COUNTIFS(実績!$W$6:$W$505,CH$3,実績!$AC$6:$AC$505,"&lt;="&amp;$A116,実績!$AD$6:$AD$505,"&gt;"&amp;$A116,実績!$AE$6:$AE$505,"○")&gt;0,1,0))</f>
        <v/>
      </c>
      <c r="CI116">
        <f>IF(CI$4=0,0,IF(COUNTIFS(実績!$W$6:$W$505,CI$3,実績!$AC$6:$AC$505,"&lt;="&amp;$A116,実績!$AD$6:$AD$505,"&gt;"&amp;$A116,実績!$AE$6:$AE$505,"○")&gt;0,1,0))</f>
        <v/>
      </c>
      <c r="CJ116">
        <f>IF(CJ$4=0,0,IF(COUNTIFS(実績!$W$6:$W$505,CJ$3,実績!$AC$6:$AC$505,"&lt;="&amp;$A116,実績!$AD$6:$AD$505,"&gt;"&amp;$A116,実績!$AE$6:$AE$505,"○")&gt;0,1,0))</f>
        <v/>
      </c>
      <c r="CK116">
        <f>IF(CK$4=0,0,IF(COUNTIFS(実績!$W$6:$W$505,CK$3,実績!$AC$6:$AC$505,"&lt;="&amp;$A116,実績!$AD$6:$AD$505,"&gt;"&amp;$A116,実績!$AE$6:$AE$505,"○")&gt;0,1,0))</f>
        <v/>
      </c>
      <c r="CL116">
        <f>IF(CL$4=0,0,IF(COUNTIFS(実績!$W$6:$W$505,CL$3,実績!$AC$6:$AC$505,"&lt;="&amp;$A116,実績!$AD$6:$AD$505,"&gt;"&amp;$A116,実績!$AE$6:$AE$505,"○")&gt;0,1,0))</f>
        <v/>
      </c>
      <c r="CM116">
        <f>IF(CM$4=0,0,IF(COUNTIFS(実績!$W$6:$W$505,CM$3,実績!$AC$6:$AC$505,"&lt;="&amp;$A116,実績!$AD$6:$AD$505,"&gt;"&amp;$A116,実績!$AE$6:$AE$505,"○")&gt;0,1,0))</f>
        <v/>
      </c>
      <c r="CN116">
        <f>IF(CN$4=0,0,IF(COUNTIFS(実績!$W$6:$W$505,CN$3,実績!$AC$6:$AC$505,"&lt;="&amp;$A116,実績!$AD$6:$AD$505,"&gt;"&amp;$A116,実績!$AE$6:$AE$505,"○")&gt;0,1,0))</f>
        <v/>
      </c>
      <c r="CO116">
        <f>IF(CO$4=0,0,IF(COUNTIFS(実績!$W$6:$W$505,CO$3,実績!$AC$6:$AC$505,"&lt;="&amp;$A116,実績!$AD$6:$AD$505,"&gt;"&amp;$A116,実績!$AE$6:$AE$505,"○")&gt;0,1,0))</f>
        <v/>
      </c>
      <c r="CP116">
        <f>IF(CP$4=0,0,IF(COUNTIFS(実績!$W$6:$W$505,CP$3,実績!$AC$6:$AC$505,"&lt;="&amp;$A116,実績!$AD$6:$AD$505,"&gt;"&amp;$A116,実績!$AE$6:$AE$505,"○")&gt;0,1,0))</f>
        <v/>
      </c>
      <c r="CQ116">
        <f>IF(CQ$4=0,0,IF(COUNTIFS(実績!$W$6:$W$505,CQ$3,実績!$AC$6:$AC$505,"&lt;="&amp;$A116,実績!$AD$6:$AD$505,"&gt;"&amp;$A116,実績!$AE$6:$AE$505,"○")&gt;0,1,0))</f>
        <v/>
      </c>
      <c r="CR116">
        <f>IF(CR$4=0,0,IF(COUNTIFS(実績!$W$6:$W$505,CR$3,実績!$AC$6:$AC$505,"&lt;="&amp;$A116,実績!$AD$6:$AD$505,"&gt;"&amp;$A116,実績!$AE$6:$AE$505,"○")&gt;0,1,0))</f>
        <v/>
      </c>
      <c r="CS116">
        <f>IF(CS$4=0,0,IF(COUNTIFS(実績!$W$6:$W$505,CS$3,実績!$AC$6:$AC$505,"&lt;="&amp;$A116,実績!$AD$6:$AD$505,"&gt;"&amp;$A116,実績!$AE$6:$AE$505,"○")&gt;0,1,0))</f>
        <v/>
      </c>
      <c r="CT116">
        <f>IF(CT$4=0,0,IF(COUNTIFS(実績!$W$6:$W$505,CT$3,実績!$AC$6:$AC$505,"&lt;="&amp;$A116,実績!$AD$6:$AD$505,"&gt;"&amp;$A116,実績!$AE$6:$AE$505,"○")&gt;0,1,0))</f>
        <v/>
      </c>
      <c r="CU116">
        <f>IF(CU$4=0,0,IF(COUNTIFS(実績!$W$6:$W$505,CU$3,実績!$AC$6:$AC$505,"&lt;="&amp;$A116,実績!$AD$6:$AD$505,"&gt;"&amp;$A116,実績!$AE$6:$AE$505,"○")&gt;0,1,0))</f>
        <v/>
      </c>
      <c r="CV116">
        <f>IF(CV$4=0,0,IF(COUNTIFS(実績!$W$6:$W$505,CV$3,実績!$AC$6:$AC$505,"&lt;="&amp;$A116,実績!$AD$6:$AD$505,"&gt;"&amp;$A116,実績!$AE$6:$AE$505,"○")&gt;0,1,0))</f>
        <v/>
      </c>
      <c r="CW116">
        <f>IF(CW$4=0,0,IF(COUNTIFS(実績!$W$6:$W$505,CW$3,実績!$AC$6:$AC$505,"&lt;="&amp;$A116,実績!$AD$6:$AD$505,"&gt;"&amp;$A116,実績!$AE$6:$AE$505,"○")&gt;0,1,0))</f>
        <v/>
      </c>
      <c r="CX116">
        <f>IF(CX$4=0,0,IF(COUNTIFS(実績!$W$6:$W$505,CX$3,実績!$AC$6:$AC$505,"&lt;="&amp;$A116,実績!$AD$6:$AD$505,"&gt;"&amp;$A116,実績!$AE$6:$AE$505,"○")&gt;0,1,0))</f>
        <v/>
      </c>
      <c r="CY116">
        <f>IF(CY$4=0,0,IF(COUNTIFS(実績!$W$6:$W$505,CY$3,実績!$AC$6:$AC$505,"&lt;="&amp;$A116,実績!$AD$6:$AD$505,"&gt;"&amp;$A116,実績!$AE$6:$AE$505,"○")&gt;0,1,0))</f>
        <v/>
      </c>
      <c r="CZ116">
        <f>IF(CZ$4=0,0,IF(COUNTIFS(実績!$W$6:$W$505,CZ$3,実績!$AC$6:$AC$505,"&lt;="&amp;$A116,実績!$AD$6:$AD$505,"&gt;"&amp;$A116,実績!$AE$6:$AE$505,"○")&gt;0,1,0))</f>
        <v/>
      </c>
      <c r="DA116">
        <f>IF(DA$4=0,0,IF(COUNTIFS(実績!$W$6:$W$505,DA$3,実績!$AC$6:$AC$505,"&lt;="&amp;$A116,実績!$AD$6:$AD$505,"&gt;"&amp;$A116,実績!$AE$6:$AE$505,"○")&gt;0,1,0))</f>
        <v/>
      </c>
      <c r="DB116">
        <f>IF(DB$4=0,0,IF(COUNTIFS(実績!$W$6:$W$505,DB$3,実績!$AC$6:$AC$505,"&lt;="&amp;$A116,実績!$AD$6:$AD$505,"&gt;"&amp;$A116,実績!$AE$6:$AE$505,"○")&gt;0,1,0))</f>
        <v/>
      </c>
      <c r="DC116">
        <f>IF(DC$4=0,0,IF(COUNTIFS(実績!$W$6:$W$505,DC$3,実績!$AC$6:$AC$505,"&lt;="&amp;$A116,実績!$AD$6:$AD$505,"&gt;"&amp;$A116,実績!$AE$6:$AE$505,"○")&gt;0,1,0))</f>
        <v/>
      </c>
      <c r="DD116">
        <f>IF(DD$4=0,0,IF(COUNTIFS(実績!$W$6:$W$505,DD$3,実績!$AC$6:$AC$505,"&lt;="&amp;$A116,実績!$AD$6:$AD$505,"&gt;"&amp;$A116,実績!$AE$6:$AE$505,"○")&gt;0,1,0))</f>
        <v/>
      </c>
      <c r="DE116">
        <f>IF(DE$4=0,0,IF(COUNTIFS(実績!$W$6:$W$505,DE$3,実績!$AC$6:$AC$505,"&lt;="&amp;$A116,実績!$AD$6:$AD$505,"&gt;"&amp;$A116,実績!$AE$6:$AE$505,"○")&gt;0,1,0))</f>
        <v/>
      </c>
      <c r="DF116">
        <f>IF(DF$4=0,0,IF(COUNTIFS(実績!$W$6:$W$505,DF$3,実績!$AC$6:$AC$505,"&lt;="&amp;$A116,実績!$AD$6:$AD$505,"&gt;"&amp;$A116,実績!$AE$6:$AE$505,"○")&gt;0,1,0))</f>
        <v/>
      </c>
      <c r="DG116">
        <f>IF(DG$4=0,0,IF(COUNTIFS(実績!$W$6:$W$505,DG$3,実績!$AC$6:$AC$505,"&lt;="&amp;$A116,実績!$AD$6:$AD$505,"&gt;"&amp;$A116,実績!$AE$6:$AE$505,"○")&gt;0,1,0))</f>
        <v/>
      </c>
      <c r="DH116">
        <f>IF(DH$4=0,0,IF(COUNTIFS(実績!$W$6:$W$505,DH$3,実績!$AC$6:$AC$505,"&lt;="&amp;$A116,実績!$AD$6:$AD$505,"&gt;"&amp;$A116,実績!$AE$6:$AE$505,"○")&gt;0,1,0))</f>
        <v/>
      </c>
      <c r="DI116">
        <f>IF(DI$4=0,0,IF(COUNTIFS(実績!$W$6:$W$505,DI$3,実績!$AC$6:$AC$505,"&lt;="&amp;$A116,実績!$AD$6:$AD$505,"&gt;"&amp;$A116,実績!$AE$6:$AE$505,"○")&gt;0,1,0))</f>
        <v/>
      </c>
      <c r="DJ116">
        <f>IF(DJ$4=0,0,IF(COUNTIFS(実績!$W$6:$W$505,DJ$3,実績!$AC$6:$AC$505,"&lt;="&amp;$A116,実績!$AD$6:$AD$505,"&gt;"&amp;$A116,実績!$AE$6:$AE$505,"○")&gt;0,1,0))</f>
        <v/>
      </c>
      <c r="DK116">
        <f>IF(DK$4=0,0,IF(COUNTIFS(実績!$W$6:$W$505,DK$3,実績!$AC$6:$AC$505,"&lt;="&amp;$A116,実績!$AD$6:$AD$505,"&gt;"&amp;$A116,実績!$AE$6:$AE$505,"○")&gt;0,1,0))</f>
        <v/>
      </c>
      <c r="DL116">
        <f>IF(DL$4=0,0,IF(COUNTIFS(実績!$W$6:$W$505,DL$3,実績!$AC$6:$AC$505,"&lt;="&amp;$A116,実績!$AD$6:$AD$505,"&gt;"&amp;$A116,実績!$AE$6:$AE$505,"○")&gt;0,1,0))</f>
        <v/>
      </c>
      <c r="DM116">
        <f>IF(DM$4=0,0,IF(COUNTIFS(実績!$W$6:$W$505,DM$3,実績!$AC$6:$AC$505,"&lt;="&amp;$A116,実績!$AD$6:$AD$505,"&gt;"&amp;$A116,実績!$AE$6:$AE$505,"○")&gt;0,1,0))</f>
        <v/>
      </c>
      <c r="DN116">
        <f>IF(DN$4=0,0,IF(COUNTIFS(実績!$W$6:$W$505,DN$3,実績!$AC$6:$AC$505,"&lt;="&amp;$A116,実績!$AD$6:$AD$505,"&gt;"&amp;$A116,実績!$AE$6:$AE$505,"○")&gt;0,1,0))</f>
        <v/>
      </c>
      <c r="DO116">
        <f>IF(DO$4=0,0,IF(COUNTIFS(実績!$W$6:$W$505,DO$3,実績!$AC$6:$AC$505,"&lt;="&amp;$A116,実績!$AD$6:$AD$505,"&gt;"&amp;$A116,実績!$AE$6:$AE$505,"○")&gt;0,1,0))</f>
        <v/>
      </c>
      <c r="DP116">
        <f>IF(DP$4=0,0,IF(COUNTIFS(実績!$W$6:$W$505,DP$3,実績!$AC$6:$AC$505,"&lt;="&amp;$A116,実績!$AD$6:$AD$505,"&gt;"&amp;$A116,実績!$AE$6:$AE$505,"○")&gt;0,1,0))</f>
        <v/>
      </c>
      <c r="DQ116">
        <f>IF(DQ$4=0,0,IF(COUNTIFS(実績!$W$6:$W$505,DQ$3,実績!$AC$6:$AC$505,"&lt;="&amp;$A116,実績!$AD$6:$AD$505,"&gt;"&amp;$A116,実績!$AE$6:$AE$505,"○")&gt;0,1,0))</f>
        <v/>
      </c>
      <c r="DR116">
        <f>IF(DR$4=0,0,IF(COUNTIFS(実績!$W$6:$W$505,DR$3,実績!$AC$6:$AC$505,"&lt;="&amp;$A116,実績!$AD$6:$AD$505,"&gt;"&amp;$A116,実績!$AE$6:$AE$505,"○")&gt;0,1,0))</f>
        <v/>
      </c>
      <c r="DS116">
        <f>SUM(C116:DR116)</f>
        <v/>
      </c>
      <c r="DT116">
        <f>SUMPRODUCT((実績!$C$6:$C$505="○")*ISNUMBER(実績!$AF$6:$AF$505)*(実績!$AF$6:$AF$505&lt;=$A116)*(実績!$AG$6:$AG$505&gt;$A116))</f>
        <v/>
      </c>
      <c r="DU116">
        <f>SUMIF($C$2:$DR$2,"製鉄曳船",C116:DR116)</f>
        <v/>
      </c>
      <c r="DV116">
        <f>SUMIF($C$2:$DR$2,"西日本海運",C116:DR116)</f>
        <v/>
      </c>
    </row>
    <row r="117">
      <c r="A117" t="n">
        <v>555</v>
      </c>
      <c r="B117" s="29">
        <f>A117/1440</f>
        <v/>
      </c>
      <c r="C117">
        <f>IF(C$4=0,0,IF(COUNTIFS(実績!$W$6:$W$505,C$3,実績!$AC$6:$AC$505,"&lt;="&amp;$A117,実績!$AD$6:$AD$505,"&gt;"&amp;$A117,実績!$AE$6:$AE$505,"○")&gt;0,1,0))</f>
        <v/>
      </c>
      <c r="D117">
        <f>IF(D$4=0,0,IF(COUNTIFS(実績!$W$6:$W$505,D$3,実績!$AC$6:$AC$505,"&lt;="&amp;$A117,実績!$AD$6:$AD$505,"&gt;"&amp;$A117,実績!$AE$6:$AE$505,"○")&gt;0,1,0))</f>
        <v/>
      </c>
      <c r="E117">
        <f>IF(E$4=0,0,IF(COUNTIFS(実績!$W$6:$W$505,E$3,実績!$AC$6:$AC$505,"&lt;="&amp;$A117,実績!$AD$6:$AD$505,"&gt;"&amp;$A117,実績!$AE$6:$AE$505,"○")&gt;0,1,0))</f>
        <v/>
      </c>
      <c r="F117">
        <f>IF(F$4=0,0,IF(COUNTIFS(実績!$W$6:$W$505,F$3,実績!$AC$6:$AC$505,"&lt;="&amp;$A117,実績!$AD$6:$AD$505,"&gt;"&amp;$A117,実績!$AE$6:$AE$505,"○")&gt;0,1,0))</f>
        <v/>
      </c>
      <c r="G117">
        <f>IF(G$4=0,0,IF(COUNTIFS(実績!$W$6:$W$505,G$3,実績!$AC$6:$AC$505,"&lt;="&amp;$A117,実績!$AD$6:$AD$505,"&gt;"&amp;$A117,実績!$AE$6:$AE$505,"○")&gt;0,1,0))</f>
        <v/>
      </c>
      <c r="H117">
        <f>IF(H$4=0,0,IF(COUNTIFS(実績!$W$6:$W$505,H$3,実績!$AC$6:$AC$505,"&lt;="&amp;$A117,実績!$AD$6:$AD$505,"&gt;"&amp;$A117,実績!$AE$6:$AE$505,"○")&gt;0,1,0))</f>
        <v/>
      </c>
      <c r="I117">
        <f>IF(I$4=0,0,IF(COUNTIFS(実績!$W$6:$W$505,I$3,実績!$AC$6:$AC$505,"&lt;="&amp;$A117,実績!$AD$6:$AD$505,"&gt;"&amp;$A117,実績!$AE$6:$AE$505,"○")&gt;0,1,0))</f>
        <v/>
      </c>
      <c r="J117">
        <f>IF(J$4=0,0,IF(COUNTIFS(実績!$W$6:$W$505,J$3,実績!$AC$6:$AC$505,"&lt;="&amp;$A117,実績!$AD$6:$AD$505,"&gt;"&amp;$A117,実績!$AE$6:$AE$505,"○")&gt;0,1,0))</f>
        <v/>
      </c>
      <c r="K117">
        <f>IF(K$4=0,0,IF(COUNTIFS(実績!$W$6:$W$505,K$3,実績!$AC$6:$AC$505,"&lt;="&amp;$A117,実績!$AD$6:$AD$505,"&gt;"&amp;$A117,実績!$AE$6:$AE$505,"○")&gt;0,1,0))</f>
        <v/>
      </c>
      <c r="L117">
        <f>IF(L$4=0,0,IF(COUNTIFS(実績!$W$6:$W$505,L$3,実績!$AC$6:$AC$505,"&lt;="&amp;$A117,実績!$AD$6:$AD$505,"&gt;"&amp;$A117,実績!$AE$6:$AE$505,"○")&gt;0,1,0))</f>
        <v/>
      </c>
      <c r="M117">
        <f>IF(M$4=0,0,IF(COUNTIFS(実績!$W$6:$W$505,M$3,実績!$AC$6:$AC$505,"&lt;="&amp;$A117,実績!$AD$6:$AD$505,"&gt;"&amp;$A117,実績!$AE$6:$AE$505,"○")&gt;0,1,0))</f>
        <v/>
      </c>
      <c r="N117">
        <f>IF(N$4=0,0,IF(COUNTIFS(実績!$W$6:$W$505,N$3,実績!$AC$6:$AC$505,"&lt;="&amp;$A117,実績!$AD$6:$AD$505,"&gt;"&amp;$A117,実績!$AE$6:$AE$505,"○")&gt;0,1,0))</f>
        <v/>
      </c>
      <c r="O117">
        <f>IF(O$4=0,0,IF(COUNTIFS(実績!$W$6:$W$505,O$3,実績!$AC$6:$AC$505,"&lt;="&amp;$A117,実績!$AD$6:$AD$505,"&gt;"&amp;$A117,実績!$AE$6:$AE$505,"○")&gt;0,1,0))</f>
        <v/>
      </c>
      <c r="P117">
        <f>IF(P$4=0,0,IF(COUNTIFS(実績!$W$6:$W$505,P$3,実績!$AC$6:$AC$505,"&lt;="&amp;$A117,実績!$AD$6:$AD$505,"&gt;"&amp;$A117,実績!$AE$6:$AE$505,"○")&gt;0,1,0))</f>
        <v/>
      </c>
      <c r="Q117">
        <f>IF(Q$4=0,0,IF(COUNTIFS(実績!$W$6:$W$505,Q$3,実績!$AC$6:$AC$505,"&lt;="&amp;$A117,実績!$AD$6:$AD$505,"&gt;"&amp;$A117,実績!$AE$6:$AE$505,"○")&gt;0,1,0))</f>
        <v/>
      </c>
      <c r="R117">
        <f>IF(R$4=0,0,IF(COUNTIFS(実績!$W$6:$W$505,R$3,実績!$AC$6:$AC$505,"&lt;="&amp;$A117,実績!$AD$6:$AD$505,"&gt;"&amp;$A117,実績!$AE$6:$AE$505,"○")&gt;0,1,0))</f>
        <v/>
      </c>
      <c r="S117">
        <f>IF(S$4=0,0,IF(COUNTIFS(実績!$W$6:$W$505,S$3,実績!$AC$6:$AC$505,"&lt;="&amp;$A117,実績!$AD$6:$AD$505,"&gt;"&amp;$A117,実績!$AE$6:$AE$505,"○")&gt;0,1,0))</f>
        <v/>
      </c>
      <c r="T117">
        <f>IF(T$4=0,0,IF(COUNTIFS(実績!$W$6:$W$505,T$3,実績!$AC$6:$AC$505,"&lt;="&amp;$A117,実績!$AD$6:$AD$505,"&gt;"&amp;$A117,実績!$AE$6:$AE$505,"○")&gt;0,1,0))</f>
        <v/>
      </c>
      <c r="U117">
        <f>IF(U$4=0,0,IF(COUNTIFS(実績!$W$6:$W$505,U$3,実績!$AC$6:$AC$505,"&lt;="&amp;$A117,実績!$AD$6:$AD$505,"&gt;"&amp;$A117,実績!$AE$6:$AE$505,"○")&gt;0,1,0))</f>
        <v/>
      </c>
      <c r="V117">
        <f>IF(V$4=0,0,IF(COUNTIFS(実績!$W$6:$W$505,V$3,実績!$AC$6:$AC$505,"&lt;="&amp;$A117,実績!$AD$6:$AD$505,"&gt;"&amp;$A117,実績!$AE$6:$AE$505,"○")&gt;0,1,0))</f>
        <v/>
      </c>
      <c r="W117">
        <f>IF(W$4=0,0,IF(COUNTIFS(実績!$W$6:$W$505,W$3,実績!$AC$6:$AC$505,"&lt;="&amp;$A117,実績!$AD$6:$AD$505,"&gt;"&amp;$A117,実績!$AE$6:$AE$505,"○")&gt;0,1,0))</f>
        <v/>
      </c>
      <c r="X117">
        <f>IF(X$4=0,0,IF(COUNTIFS(実績!$W$6:$W$505,X$3,実績!$AC$6:$AC$505,"&lt;="&amp;$A117,実績!$AD$6:$AD$505,"&gt;"&amp;$A117,実績!$AE$6:$AE$505,"○")&gt;0,1,0))</f>
        <v/>
      </c>
      <c r="Y117">
        <f>IF(Y$4=0,0,IF(COUNTIFS(実績!$W$6:$W$505,Y$3,実績!$AC$6:$AC$505,"&lt;="&amp;$A117,実績!$AD$6:$AD$505,"&gt;"&amp;$A117,実績!$AE$6:$AE$505,"○")&gt;0,1,0))</f>
        <v/>
      </c>
      <c r="Z117">
        <f>IF(Z$4=0,0,IF(COUNTIFS(実績!$W$6:$W$505,Z$3,実績!$AC$6:$AC$505,"&lt;="&amp;$A117,実績!$AD$6:$AD$505,"&gt;"&amp;$A117,実績!$AE$6:$AE$505,"○")&gt;0,1,0))</f>
        <v/>
      </c>
      <c r="AA117">
        <f>IF(AA$4=0,0,IF(COUNTIFS(実績!$W$6:$W$505,AA$3,実績!$AC$6:$AC$505,"&lt;="&amp;$A117,実績!$AD$6:$AD$505,"&gt;"&amp;$A117,実績!$AE$6:$AE$505,"○")&gt;0,1,0))</f>
        <v/>
      </c>
      <c r="AB117">
        <f>IF(AB$4=0,0,IF(COUNTIFS(実績!$W$6:$W$505,AB$3,実績!$AC$6:$AC$505,"&lt;="&amp;$A117,実績!$AD$6:$AD$505,"&gt;"&amp;$A117,実績!$AE$6:$AE$505,"○")&gt;0,1,0))</f>
        <v/>
      </c>
      <c r="AC117">
        <f>IF(AC$4=0,0,IF(COUNTIFS(実績!$W$6:$W$505,AC$3,実績!$AC$6:$AC$505,"&lt;="&amp;$A117,実績!$AD$6:$AD$505,"&gt;"&amp;$A117,実績!$AE$6:$AE$505,"○")&gt;0,1,0))</f>
        <v/>
      </c>
      <c r="AD117">
        <f>IF(AD$4=0,0,IF(COUNTIFS(実績!$W$6:$W$505,AD$3,実績!$AC$6:$AC$505,"&lt;="&amp;$A117,実績!$AD$6:$AD$505,"&gt;"&amp;$A117,実績!$AE$6:$AE$505,"○")&gt;0,1,0))</f>
        <v/>
      </c>
      <c r="AE117">
        <f>IF(AE$4=0,0,IF(COUNTIFS(実績!$W$6:$W$505,AE$3,実績!$AC$6:$AC$505,"&lt;="&amp;$A117,実績!$AD$6:$AD$505,"&gt;"&amp;$A117,実績!$AE$6:$AE$505,"○")&gt;0,1,0))</f>
        <v/>
      </c>
      <c r="AF117">
        <f>IF(AF$4=0,0,IF(COUNTIFS(実績!$W$6:$W$505,AF$3,実績!$AC$6:$AC$505,"&lt;="&amp;$A117,実績!$AD$6:$AD$505,"&gt;"&amp;$A117,実績!$AE$6:$AE$505,"○")&gt;0,1,0))</f>
        <v/>
      </c>
      <c r="AG117">
        <f>IF(AG$4=0,0,IF(COUNTIFS(実績!$W$6:$W$505,AG$3,実績!$AC$6:$AC$505,"&lt;="&amp;$A117,実績!$AD$6:$AD$505,"&gt;"&amp;$A117,実績!$AE$6:$AE$505,"○")&gt;0,1,0))</f>
        <v/>
      </c>
      <c r="AH117">
        <f>IF(AH$4=0,0,IF(COUNTIFS(実績!$W$6:$W$505,AH$3,実績!$AC$6:$AC$505,"&lt;="&amp;$A117,実績!$AD$6:$AD$505,"&gt;"&amp;$A117,実績!$AE$6:$AE$505,"○")&gt;0,1,0))</f>
        <v/>
      </c>
      <c r="AI117">
        <f>IF(AI$4=0,0,IF(COUNTIFS(実績!$W$6:$W$505,AI$3,実績!$AC$6:$AC$505,"&lt;="&amp;$A117,実績!$AD$6:$AD$505,"&gt;"&amp;$A117,実績!$AE$6:$AE$505,"○")&gt;0,1,0))</f>
        <v/>
      </c>
      <c r="AJ117">
        <f>IF(AJ$4=0,0,IF(COUNTIFS(実績!$W$6:$W$505,AJ$3,実績!$AC$6:$AC$505,"&lt;="&amp;$A117,実績!$AD$6:$AD$505,"&gt;"&amp;$A117,実績!$AE$6:$AE$505,"○")&gt;0,1,0))</f>
        <v/>
      </c>
      <c r="AK117">
        <f>IF(AK$4=0,0,IF(COUNTIFS(実績!$W$6:$W$505,AK$3,実績!$AC$6:$AC$505,"&lt;="&amp;$A117,実績!$AD$6:$AD$505,"&gt;"&amp;$A117,実績!$AE$6:$AE$505,"○")&gt;0,1,0))</f>
        <v/>
      </c>
      <c r="AL117">
        <f>IF(AL$4=0,0,IF(COUNTIFS(実績!$W$6:$W$505,AL$3,実績!$AC$6:$AC$505,"&lt;="&amp;$A117,実績!$AD$6:$AD$505,"&gt;"&amp;$A117,実績!$AE$6:$AE$505,"○")&gt;0,1,0))</f>
        <v/>
      </c>
      <c r="AM117">
        <f>IF(AM$4=0,0,IF(COUNTIFS(実績!$W$6:$W$505,AM$3,実績!$AC$6:$AC$505,"&lt;="&amp;$A117,実績!$AD$6:$AD$505,"&gt;"&amp;$A117,実績!$AE$6:$AE$505,"○")&gt;0,1,0))</f>
        <v/>
      </c>
      <c r="AN117">
        <f>IF(AN$4=0,0,IF(COUNTIFS(実績!$W$6:$W$505,AN$3,実績!$AC$6:$AC$505,"&lt;="&amp;$A117,実績!$AD$6:$AD$505,"&gt;"&amp;$A117,実績!$AE$6:$AE$505,"○")&gt;0,1,0))</f>
        <v/>
      </c>
      <c r="AO117">
        <f>IF(AO$4=0,0,IF(COUNTIFS(実績!$W$6:$W$505,AO$3,実績!$AC$6:$AC$505,"&lt;="&amp;$A117,実績!$AD$6:$AD$505,"&gt;"&amp;$A117,実績!$AE$6:$AE$505,"○")&gt;0,1,0))</f>
        <v/>
      </c>
      <c r="AP117">
        <f>IF(AP$4=0,0,IF(COUNTIFS(実績!$W$6:$W$505,AP$3,実績!$AC$6:$AC$505,"&lt;="&amp;$A117,実績!$AD$6:$AD$505,"&gt;"&amp;$A117,実績!$AE$6:$AE$505,"○")&gt;0,1,0))</f>
        <v/>
      </c>
      <c r="AQ117">
        <f>IF(AQ$4=0,0,IF(COUNTIFS(実績!$W$6:$W$505,AQ$3,実績!$AC$6:$AC$505,"&lt;="&amp;$A117,実績!$AD$6:$AD$505,"&gt;"&amp;$A117,実績!$AE$6:$AE$505,"○")&gt;0,1,0))</f>
        <v/>
      </c>
      <c r="AR117">
        <f>IF(AR$4=0,0,IF(COUNTIFS(実績!$W$6:$W$505,AR$3,実績!$AC$6:$AC$505,"&lt;="&amp;$A117,実績!$AD$6:$AD$505,"&gt;"&amp;$A117,実績!$AE$6:$AE$505,"○")&gt;0,1,0))</f>
        <v/>
      </c>
      <c r="AS117">
        <f>IF(AS$4=0,0,IF(COUNTIFS(実績!$W$6:$W$505,AS$3,実績!$AC$6:$AC$505,"&lt;="&amp;$A117,実績!$AD$6:$AD$505,"&gt;"&amp;$A117,実績!$AE$6:$AE$505,"○")&gt;0,1,0))</f>
        <v/>
      </c>
      <c r="AT117">
        <f>IF(AT$4=0,0,IF(COUNTIFS(実績!$W$6:$W$505,AT$3,実績!$AC$6:$AC$505,"&lt;="&amp;$A117,実績!$AD$6:$AD$505,"&gt;"&amp;$A117,実績!$AE$6:$AE$505,"○")&gt;0,1,0))</f>
        <v/>
      </c>
      <c r="AU117">
        <f>IF(AU$4=0,0,IF(COUNTIFS(実績!$W$6:$W$505,AU$3,実績!$AC$6:$AC$505,"&lt;="&amp;$A117,実績!$AD$6:$AD$505,"&gt;"&amp;$A117,実績!$AE$6:$AE$505,"○")&gt;0,1,0))</f>
        <v/>
      </c>
      <c r="AV117">
        <f>IF(AV$4=0,0,IF(COUNTIFS(実績!$W$6:$W$505,AV$3,実績!$AC$6:$AC$505,"&lt;="&amp;$A117,実績!$AD$6:$AD$505,"&gt;"&amp;$A117,実績!$AE$6:$AE$505,"○")&gt;0,1,0))</f>
        <v/>
      </c>
      <c r="AW117">
        <f>IF(AW$4=0,0,IF(COUNTIFS(実績!$W$6:$W$505,AW$3,実績!$AC$6:$AC$505,"&lt;="&amp;$A117,実績!$AD$6:$AD$505,"&gt;"&amp;$A117,実績!$AE$6:$AE$505,"○")&gt;0,1,0))</f>
        <v/>
      </c>
      <c r="AX117">
        <f>IF(AX$4=0,0,IF(COUNTIFS(実績!$W$6:$W$505,AX$3,実績!$AC$6:$AC$505,"&lt;="&amp;$A117,実績!$AD$6:$AD$505,"&gt;"&amp;$A117,実績!$AE$6:$AE$505,"○")&gt;0,1,0))</f>
        <v/>
      </c>
      <c r="AY117">
        <f>IF(AY$4=0,0,IF(COUNTIFS(実績!$W$6:$W$505,AY$3,実績!$AC$6:$AC$505,"&lt;="&amp;$A117,実績!$AD$6:$AD$505,"&gt;"&amp;$A117,実績!$AE$6:$AE$505,"○")&gt;0,1,0))</f>
        <v/>
      </c>
      <c r="AZ117">
        <f>IF(AZ$4=0,0,IF(COUNTIFS(実績!$W$6:$W$505,AZ$3,実績!$AC$6:$AC$505,"&lt;="&amp;$A117,実績!$AD$6:$AD$505,"&gt;"&amp;$A117,実績!$AE$6:$AE$505,"○")&gt;0,1,0))</f>
        <v/>
      </c>
      <c r="BA117">
        <f>IF(BA$4=0,0,IF(COUNTIFS(実績!$W$6:$W$505,BA$3,実績!$AC$6:$AC$505,"&lt;="&amp;$A117,実績!$AD$6:$AD$505,"&gt;"&amp;$A117,実績!$AE$6:$AE$505,"○")&gt;0,1,0))</f>
        <v/>
      </c>
      <c r="BB117">
        <f>IF(BB$4=0,0,IF(COUNTIFS(実績!$W$6:$W$505,BB$3,実績!$AC$6:$AC$505,"&lt;="&amp;$A117,実績!$AD$6:$AD$505,"&gt;"&amp;$A117,実績!$AE$6:$AE$505,"○")&gt;0,1,0))</f>
        <v/>
      </c>
      <c r="BC117">
        <f>IF(BC$4=0,0,IF(COUNTIFS(実績!$W$6:$W$505,BC$3,実績!$AC$6:$AC$505,"&lt;="&amp;$A117,実績!$AD$6:$AD$505,"&gt;"&amp;$A117,実績!$AE$6:$AE$505,"○")&gt;0,1,0))</f>
        <v/>
      </c>
      <c r="BD117">
        <f>IF(BD$4=0,0,IF(COUNTIFS(実績!$W$6:$W$505,BD$3,実績!$AC$6:$AC$505,"&lt;="&amp;$A117,実績!$AD$6:$AD$505,"&gt;"&amp;$A117,実績!$AE$6:$AE$505,"○")&gt;0,1,0))</f>
        <v/>
      </c>
      <c r="BE117">
        <f>IF(BE$4=0,0,IF(COUNTIFS(実績!$W$6:$W$505,BE$3,実績!$AC$6:$AC$505,"&lt;="&amp;$A117,実績!$AD$6:$AD$505,"&gt;"&amp;$A117,実績!$AE$6:$AE$505,"○")&gt;0,1,0))</f>
        <v/>
      </c>
      <c r="BF117">
        <f>IF(BF$4=0,0,IF(COUNTIFS(実績!$W$6:$W$505,BF$3,実績!$AC$6:$AC$505,"&lt;="&amp;$A117,実績!$AD$6:$AD$505,"&gt;"&amp;$A117,実績!$AE$6:$AE$505,"○")&gt;0,1,0))</f>
        <v/>
      </c>
      <c r="BG117">
        <f>IF(BG$4=0,0,IF(COUNTIFS(実績!$W$6:$W$505,BG$3,実績!$AC$6:$AC$505,"&lt;="&amp;$A117,実績!$AD$6:$AD$505,"&gt;"&amp;$A117,実績!$AE$6:$AE$505,"○")&gt;0,1,0))</f>
        <v/>
      </c>
      <c r="BH117">
        <f>IF(BH$4=0,0,IF(COUNTIFS(実績!$W$6:$W$505,BH$3,実績!$AC$6:$AC$505,"&lt;="&amp;$A117,実績!$AD$6:$AD$505,"&gt;"&amp;$A117,実績!$AE$6:$AE$505,"○")&gt;0,1,0))</f>
        <v/>
      </c>
      <c r="BI117">
        <f>IF(BI$4=0,0,IF(COUNTIFS(実績!$W$6:$W$505,BI$3,実績!$AC$6:$AC$505,"&lt;="&amp;$A117,実績!$AD$6:$AD$505,"&gt;"&amp;$A117,実績!$AE$6:$AE$505,"○")&gt;0,1,0))</f>
        <v/>
      </c>
      <c r="BJ117">
        <f>IF(BJ$4=0,0,IF(COUNTIFS(実績!$W$6:$W$505,BJ$3,実績!$AC$6:$AC$505,"&lt;="&amp;$A117,実績!$AD$6:$AD$505,"&gt;"&amp;$A117,実績!$AE$6:$AE$505,"○")&gt;0,1,0))</f>
        <v/>
      </c>
      <c r="BK117">
        <f>IF(BK$4=0,0,IF(COUNTIFS(実績!$W$6:$W$505,BK$3,実績!$AC$6:$AC$505,"&lt;="&amp;$A117,実績!$AD$6:$AD$505,"&gt;"&amp;$A117,実績!$AE$6:$AE$505,"○")&gt;0,1,0))</f>
        <v/>
      </c>
      <c r="BL117">
        <f>IF(BL$4=0,0,IF(COUNTIFS(実績!$W$6:$W$505,BL$3,実績!$AC$6:$AC$505,"&lt;="&amp;$A117,実績!$AD$6:$AD$505,"&gt;"&amp;$A117,実績!$AE$6:$AE$505,"○")&gt;0,1,0))</f>
        <v/>
      </c>
      <c r="BM117">
        <f>IF(BM$4=0,0,IF(COUNTIFS(実績!$W$6:$W$505,BM$3,実績!$AC$6:$AC$505,"&lt;="&amp;$A117,実績!$AD$6:$AD$505,"&gt;"&amp;$A117,実績!$AE$6:$AE$505,"○")&gt;0,1,0))</f>
        <v/>
      </c>
      <c r="BN117">
        <f>IF(BN$4=0,0,IF(COUNTIFS(実績!$W$6:$W$505,BN$3,実績!$AC$6:$AC$505,"&lt;="&amp;$A117,実績!$AD$6:$AD$505,"&gt;"&amp;$A117,実績!$AE$6:$AE$505,"○")&gt;0,1,0))</f>
        <v/>
      </c>
      <c r="BO117">
        <f>IF(BO$4=0,0,IF(COUNTIFS(実績!$W$6:$W$505,BO$3,実績!$AC$6:$AC$505,"&lt;="&amp;$A117,実績!$AD$6:$AD$505,"&gt;"&amp;$A117,実績!$AE$6:$AE$505,"○")&gt;0,1,0))</f>
        <v/>
      </c>
      <c r="BP117">
        <f>IF(BP$4=0,0,IF(COUNTIFS(実績!$W$6:$W$505,BP$3,実績!$AC$6:$AC$505,"&lt;="&amp;$A117,実績!$AD$6:$AD$505,"&gt;"&amp;$A117,実績!$AE$6:$AE$505,"○")&gt;0,1,0))</f>
        <v/>
      </c>
      <c r="BQ117">
        <f>IF(BQ$4=0,0,IF(COUNTIFS(実績!$W$6:$W$505,BQ$3,実績!$AC$6:$AC$505,"&lt;="&amp;$A117,実績!$AD$6:$AD$505,"&gt;"&amp;$A117,実績!$AE$6:$AE$505,"○")&gt;0,1,0))</f>
        <v/>
      </c>
      <c r="BR117">
        <f>IF(BR$4=0,0,IF(COUNTIFS(実績!$W$6:$W$505,BR$3,実績!$AC$6:$AC$505,"&lt;="&amp;$A117,実績!$AD$6:$AD$505,"&gt;"&amp;$A117,実績!$AE$6:$AE$505,"○")&gt;0,1,0))</f>
        <v/>
      </c>
      <c r="BS117">
        <f>IF(BS$4=0,0,IF(COUNTIFS(実績!$W$6:$W$505,BS$3,実績!$AC$6:$AC$505,"&lt;="&amp;$A117,実績!$AD$6:$AD$505,"&gt;"&amp;$A117,実績!$AE$6:$AE$505,"○")&gt;0,1,0))</f>
        <v/>
      </c>
      <c r="BT117">
        <f>IF(BT$4=0,0,IF(COUNTIFS(実績!$W$6:$W$505,BT$3,実績!$AC$6:$AC$505,"&lt;="&amp;$A117,実績!$AD$6:$AD$505,"&gt;"&amp;$A117,実績!$AE$6:$AE$505,"○")&gt;0,1,0))</f>
        <v/>
      </c>
      <c r="BU117">
        <f>IF(BU$4=0,0,IF(COUNTIFS(実績!$W$6:$W$505,BU$3,実績!$AC$6:$AC$505,"&lt;="&amp;$A117,実績!$AD$6:$AD$505,"&gt;"&amp;$A117,実績!$AE$6:$AE$505,"○")&gt;0,1,0))</f>
        <v/>
      </c>
      <c r="BV117">
        <f>IF(BV$4=0,0,IF(COUNTIFS(実績!$W$6:$W$505,BV$3,実績!$AC$6:$AC$505,"&lt;="&amp;$A117,実績!$AD$6:$AD$505,"&gt;"&amp;$A117,実績!$AE$6:$AE$505,"○")&gt;0,1,0))</f>
        <v/>
      </c>
      <c r="BW117">
        <f>IF(BW$4=0,0,IF(COUNTIFS(実績!$W$6:$W$505,BW$3,実績!$AC$6:$AC$505,"&lt;="&amp;$A117,実績!$AD$6:$AD$505,"&gt;"&amp;$A117,実績!$AE$6:$AE$505,"○")&gt;0,1,0))</f>
        <v/>
      </c>
      <c r="BX117">
        <f>IF(BX$4=0,0,IF(COUNTIFS(実績!$W$6:$W$505,BX$3,実績!$AC$6:$AC$505,"&lt;="&amp;$A117,実績!$AD$6:$AD$505,"&gt;"&amp;$A117,実績!$AE$6:$AE$505,"○")&gt;0,1,0))</f>
        <v/>
      </c>
      <c r="BY117">
        <f>IF(BY$4=0,0,IF(COUNTIFS(実績!$W$6:$W$505,BY$3,実績!$AC$6:$AC$505,"&lt;="&amp;$A117,実績!$AD$6:$AD$505,"&gt;"&amp;$A117,実績!$AE$6:$AE$505,"○")&gt;0,1,0))</f>
        <v/>
      </c>
      <c r="BZ117">
        <f>IF(BZ$4=0,0,IF(COUNTIFS(実績!$W$6:$W$505,BZ$3,実績!$AC$6:$AC$505,"&lt;="&amp;$A117,実績!$AD$6:$AD$505,"&gt;"&amp;$A117,実績!$AE$6:$AE$505,"○")&gt;0,1,0))</f>
        <v/>
      </c>
      <c r="CA117">
        <f>IF(CA$4=0,0,IF(COUNTIFS(実績!$W$6:$W$505,CA$3,実績!$AC$6:$AC$505,"&lt;="&amp;$A117,実績!$AD$6:$AD$505,"&gt;"&amp;$A117,実績!$AE$6:$AE$505,"○")&gt;0,1,0))</f>
        <v/>
      </c>
      <c r="CB117">
        <f>IF(CB$4=0,0,IF(COUNTIFS(実績!$W$6:$W$505,CB$3,実績!$AC$6:$AC$505,"&lt;="&amp;$A117,実績!$AD$6:$AD$505,"&gt;"&amp;$A117,実績!$AE$6:$AE$505,"○")&gt;0,1,0))</f>
        <v/>
      </c>
      <c r="CC117">
        <f>IF(CC$4=0,0,IF(COUNTIFS(実績!$W$6:$W$505,CC$3,実績!$AC$6:$AC$505,"&lt;="&amp;$A117,実績!$AD$6:$AD$505,"&gt;"&amp;$A117,実績!$AE$6:$AE$505,"○")&gt;0,1,0))</f>
        <v/>
      </c>
      <c r="CD117">
        <f>IF(CD$4=0,0,IF(COUNTIFS(実績!$W$6:$W$505,CD$3,実績!$AC$6:$AC$505,"&lt;="&amp;$A117,実績!$AD$6:$AD$505,"&gt;"&amp;$A117,実績!$AE$6:$AE$505,"○")&gt;0,1,0))</f>
        <v/>
      </c>
      <c r="CE117">
        <f>IF(CE$4=0,0,IF(COUNTIFS(実績!$W$6:$W$505,CE$3,実績!$AC$6:$AC$505,"&lt;="&amp;$A117,実績!$AD$6:$AD$505,"&gt;"&amp;$A117,実績!$AE$6:$AE$505,"○")&gt;0,1,0))</f>
        <v/>
      </c>
      <c r="CF117">
        <f>IF(CF$4=0,0,IF(COUNTIFS(実績!$W$6:$W$505,CF$3,実績!$AC$6:$AC$505,"&lt;="&amp;$A117,実績!$AD$6:$AD$505,"&gt;"&amp;$A117,実績!$AE$6:$AE$505,"○")&gt;0,1,0))</f>
        <v/>
      </c>
      <c r="CG117">
        <f>IF(CG$4=0,0,IF(COUNTIFS(実績!$W$6:$W$505,CG$3,実績!$AC$6:$AC$505,"&lt;="&amp;$A117,実績!$AD$6:$AD$505,"&gt;"&amp;$A117,実績!$AE$6:$AE$505,"○")&gt;0,1,0))</f>
        <v/>
      </c>
      <c r="CH117">
        <f>IF(CH$4=0,0,IF(COUNTIFS(実績!$W$6:$W$505,CH$3,実績!$AC$6:$AC$505,"&lt;="&amp;$A117,実績!$AD$6:$AD$505,"&gt;"&amp;$A117,実績!$AE$6:$AE$505,"○")&gt;0,1,0))</f>
        <v/>
      </c>
      <c r="CI117">
        <f>IF(CI$4=0,0,IF(COUNTIFS(実績!$W$6:$W$505,CI$3,実績!$AC$6:$AC$505,"&lt;="&amp;$A117,実績!$AD$6:$AD$505,"&gt;"&amp;$A117,実績!$AE$6:$AE$505,"○")&gt;0,1,0))</f>
        <v/>
      </c>
      <c r="CJ117">
        <f>IF(CJ$4=0,0,IF(COUNTIFS(実績!$W$6:$W$505,CJ$3,実績!$AC$6:$AC$505,"&lt;="&amp;$A117,実績!$AD$6:$AD$505,"&gt;"&amp;$A117,実績!$AE$6:$AE$505,"○")&gt;0,1,0))</f>
        <v/>
      </c>
      <c r="CK117">
        <f>IF(CK$4=0,0,IF(COUNTIFS(実績!$W$6:$W$505,CK$3,実績!$AC$6:$AC$505,"&lt;="&amp;$A117,実績!$AD$6:$AD$505,"&gt;"&amp;$A117,実績!$AE$6:$AE$505,"○")&gt;0,1,0))</f>
        <v/>
      </c>
      <c r="CL117">
        <f>IF(CL$4=0,0,IF(COUNTIFS(実績!$W$6:$W$505,CL$3,実績!$AC$6:$AC$505,"&lt;="&amp;$A117,実績!$AD$6:$AD$505,"&gt;"&amp;$A117,実績!$AE$6:$AE$505,"○")&gt;0,1,0))</f>
        <v/>
      </c>
      <c r="CM117">
        <f>IF(CM$4=0,0,IF(COUNTIFS(実績!$W$6:$W$505,CM$3,実績!$AC$6:$AC$505,"&lt;="&amp;$A117,実績!$AD$6:$AD$505,"&gt;"&amp;$A117,実績!$AE$6:$AE$505,"○")&gt;0,1,0))</f>
        <v/>
      </c>
      <c r="CN117">
        <f>IF(CN$4=0,0,IF(COUNTIFS(実績!$W$6:$W$505,CN$3,実績!$AC$6:$AC$505,"&lt;="&amp;$A117,実績!$AD$6:$AD$505,"&gt;"&amp;$A117,実績!$AE$6:$AE$505,"○")&gt;0,1,0))</f>
        <v/>
      </c>
      <c r="CO117">
        <f>IF(CO$4=0,0,IF(COUNTIFS(実績!$W$6:$W$505,CO$3,実績!$AC$6:$AC$505,"&lt;="&amp;$A117,実績!$AD$6:$AD$505,"&gt;"&amp;$A117,実績!$AE$6:$AE$505,"○")&gt;0,1,0))</f>
        <v/>
      </c>
      <c r="CP117">
        <f>IF(CP$4=0,0,IF(COUNTIFS(実績!$W$6:$W$505,CP$3,実績!$AC$6:$AC$505,"&lt;="&amp;$A117,実績!$AD$6:$AD$505,"&gt;"&amp;$A117,実績!$AE$6:$AE$505,"○")&gt;0,1,0))</f>
        <v/>
      </c>
      <c r="CQ117">
        <f>IF(CQ$4=0,0,IF(COUNTIFS(実績!$W$6:$W$505,CQ$3,実績!$AC$6:$AC$505,"&lt;="&amp;$A117,実績!$AD$6:$AD$505,"&gt;"&amp;$A117,実績!$AE$6:$AE$505,"○")&gt;0,1,0))</f>
        <v/>
      </c>
      <c r="CR117">
        <f>IF(CR$4=0,0,IF(COUNTIFS(実績!$W$6:$W$505,CR$3,実績!$AC$6:$AC$505,"&lt;="&amp;$A117,実績!$AD$6:$AD$505,"&gt;"&amp;$A117,実績!$AE$6:$AE$505,"○")&gt;0,1,0))</f>
        <v/>
      </c>
      <c r="CS117">
        <f>IF(CS$4=0,0,IF(COUNTIFS(実績!$W$6:$W$505,CS$3,実績!$AC$6:$AC$505,"&lt;="&amp;$A117,実績!$AD$6:$AD$505,"&gt;"&amp;$A117,実績!$AE$6:$AE$505,"○")&gt;0,1,0))</f>
        <v/>
      </c>
      <c r="CT117">
        <f>IF(CT$4=0,0,IF(COUNTIFS(実績!$W$6:$W$505,CT$3,実績!$AC$6:$AC$505,"&lt;="&amp;$A117,実績!$AD$6:$AD$505,"&gt;"&amp;$A117,実績!$AE$6:$AE$505,"○")&gt;0,1,0))</f>
        <v/>
      </c>
      <c r="CU117">
        <f>IF(CU$4=0,0,IF(COUNTIFS(実績!$W$6:$W$505,CU$3,実績!$AC$6:$AC$505,"&lt;="&amp;$A117,実績!$AD$6:$AD$505,"&gt;"&amp;$A117,実績!$AE$6:$AE$505,"○")&gt;0,1,0))</f>
        <v/>
      </c>
      <c r="CV117">
        <f>IF(CV$4=0,0,IF(COUNTIFS(実績!$W$6:$W$505,CV$3,実績!$AC$6:$AC$505,"&lt;="&amp;$A117,実績!$AD$6:$AD$505,"&gt;"&amp;$A117,実績!$AE$6:$AE$505,"○")&gt;0,1,0))</f>
        <v/>
      </c>
      <c r="CW117">
        <f>IF(CW$4=0,0,IF(COUNTIFS(実績!$W$6:$W$505,CW$3,実績!$AC$6:$AC$505,"&lt;="&amp;$A117,実績!$AD$6:$AD$505,"&gt;"&amp;$A117,実績!$AE$6:$AE$505,"○")&gt;0,1,0))</f>
        <v/>
      </c>
      <c r="CX117">
        <f>IF(CX$4=0,0,IF(COUNTIFS(実績!$W$6:$W$505,CX$3,実績!$AC$6:$AC$505,"&lt;="&amp;$A117,実績!$AD$6:$AD$505,"&gt;"&amp;$A117,実績!$AE$6:$AE$505,"○")&gt;0,1,0))</f>
        <v/>
      </c>
      <c r="CY117">
        <f>IF(CY$4=0,0,IF(COUNTIFS(実績!$W$6:$W$505,CY$3,実績!$AC$6:$AC$505,"&lt;="&amp;$A117,実績!$AD$6:$AD$505,"&gt;"&amp;$A117,実績!$AE$6:$AE$505,"○")&gt;0,1,0))</f>
        <v/>
      </c>
      <c r="CZ117">
        <f>IF(CZ$4=0,0,IF(COUNTIFS(実績!$W$6:$W$505,CZ$3,実績!$AC$6:$AC$505,"&lt;="&amp;$A117,実績!$AD$6:$AD$505,"&gt;"&amp;$A117,実績!$AE$6:$AE$505,"○")&gt;0,1,0))</f>
        <v/>
      </c>
      <c r="DA117">
        <f>IF(DA$4=0,0,IF(COUNTIFS(実績!$W$6:$W$505,DA$3,実績!$AC$6:$AC$505,"&lt;="&amp;$A117,実績!$AD$6:$AD$505,"&gt;"&amp;$A117,実績!$AE$6:$AE$505,"○")&gt;0,1,0))</f>
        <v/>
      </c>
      <c r="DB117">
        <f>IF(DB$4=0,0,IF(COUNTIFS(実績!$W$6:$W$505,DB$3,実績!$AC$6:$AC$505,"&lt;="&amp;$A117,実績!$AD$6:$AD$505,"&gt;"&amp;$A117,実績!$AE$6:$AE$505,"○")&gt;0,1,0))</f>
        <v/>
      </c>
      <c r="DC117">
        <f>IF(DC$4=0,0,IF(COUNTIFS(実績!$W$6:$W$505,DC$3,実績!$AC$6:$AC$505,"&lt;="&amp;$A117,実績!$AD$6:$AD$505,"&gt;"&amp;$A117,実績!$AE$6:$AE$505,"○")&gt;0,1,0))</f>
        <v/>
      </c>
      <c r="DD117">
        <f>IF(DD$4=0,0,IF(COUNTIFS(実績!$W$6:$W$505,DD$3,実績!$AC$6:$AC$505,"&lt;="&amp;$A117,実績!$AD$6:$AD$505,"&gt;"&amp;$A117,実績!$AE$6:$AE$505,"○")&gt;0,1,0))</f>
        <v/>
      </c>
      <c r="DE117">
        <f>IF(DE$4=0,0,IF(COUNTIFS(実績!$W$6:$W$505,DE$3,実績!$AC$6:$AC$505,"&lt;="&amp;$A117,実績!$AD$6:$AD$505,"&gt;"&amp;$A117,実績!$AE$6:$AE$505,"○")&gt;0,1,0))</f>
        <v/>
      </c>
      <c r="DF117">
        <f>IF(DF$4=0,0,IF(COUNTIFS(実績!$W$6:$W$505,DF$3,実績!$AC$6:$AC$505,"&lt;="&amp;$A117,実績!$AD$6:$AD$505,"&gt;"&amp;$A117,実績!$AE$6:$AE$505,"○")&gt;0,1,0))</f>
        <v/>
      </c>
      <c r="DG117">
        <f>IF(DG$4=0,0,IF(COUNTIFS(実績!$W$6:$W$505,DG$3,実績!$AC$6:$AC$505,"&lt;="&amp;$A117,実績!$AD$6:$AD$505,"&gt;"&amp;$A117,実績!$AE$6:$AE$505,"○")&gt;0,1,0))</f>
        <v/>
      </c>
      <c r="DH117">
        <f>IF(DH$4=0,0,IF(COUNTIFS(実績!$W$6:$W$505,DH$3,実績!$AC$6:$AC$505,"&lt;="&amp;$A117,実績!$AD$6:$AD$505,"&gt;"&amp;$A117,実績!$AE$6:$AE$505,"○")&gt;0,1,0))</f>
        <v/>
      </c>
      <c r="DI117">
        <f>IF(DI$4=0,0,IF(COUNTIFS(実績!$W$6:$W$505,DI$3,実績!$AC$6:$AC$505,"&lt;="&amp;$A117,実績!$AD$6:$AD$505,"&gt;"&amp;$A117,実績!$AE$6:$AE$505,"○")&gt;0,1,0))</f>
        <v/>
      </c>
      <c r="DJ117">
        <f>IF(DJ$4=0,0,IF(COUNTIFS(実績!$W$6:$W$505,DJ$3,実績!$AC$6:$AC$505,"&lt;="&amp;$A117,実績!$AD$6:$AD$505,"&gt;"&amp;$A117,実績!$AE$6:$AE$505,"○")&gt;0,1,0))</f>
        <v/>
      </c>
      <c r="DK117">
        <f>IF(DK$4=0,0,IF(COUNTIFS(実績!$W$6:$W$505,DK$3,実績!$AC$6:$AC$505,"&lt;="&amp;$A117,実績!$AD$6:$AD$505,"&gt;"&amp;$A117,実績!$AE$6:$AE$505,"○")&gt;0,1,0))</f>
        <v/>
      </c>
      <c r="DL117">
        <f>IF(DL$4=0,0,IF(COUNTIFS(実績!$W$6:$W$505,DL$3,実績!$AC$6:$AC$505,"&lt;="&amp;$A117,実績!$AD$6:$AD$505,"&gt;"&amp;$A117,実績!$AE$6:$AE$505,"○")&gt;0,1,0))</f>
        <v/>
      </c>
      <c r="DM117">
        <f>IF(DM$4=0,0,IF(COUNTIFS(実績!$W$6:$W$505,DM$3,実績!$AC$6:$AC$505,"&lt;="&amp;$A117,実績!$AD$6:$AD$505,"&gt;"&amp;$A117,実績!$AE$6:$AE$505,"○")&gt;0,1,0))</f>
        <v/>
      </c>
      <c r="DN117">
        <f>IF(DN$4=0,0,IF(COUNTIFS(実績!$W$6:$W$505,DN$3,実績!$AC$6:$AC$505,"&lt;="&amp;$A117,実績!$AD$6:$AD$505,"&gt;"&amp;$A117,実績!$AE$6:$AE$505,"○")&gt;0,1,0))</f>
        <v/>
      </c>
      <c r="DO117">
        <f>IF(DO$4=0,0,IF(COUNTIFS(実績!$W$6:$W$505,DO$3,実績!$AC$6:$AC$505,"&lt;="&amp;$A117,実績!$AD$6:$AD$505,"&gt;"&amp;$A117,実績!$AE$6:$AE$505,"○")&gt;0,1,0))</f>
        <v/>
      </c>
      <c r="DP117">
        <f>IF(DP$4=0,0,IF(COUNTIFS(実績!$W$6:$W$505,DP$3,実績!$AC$6:$AC$505,"&lt;="&amp;$A117,実績!$AD$6:$AD$505,"&gt;"&amp;$A117,実績!$AE$6:$AE$505,"○")&gt;0,1,0))</f>
        <v/>
      </c>
      <c r="DQ117">
        <f>IF(DQ$4=0,0,IF(COUNTIFS(実績!$W$6:$W$505,DQ$3,実績!$AC$6:$AC$505,"&lt;="&amp;$A117,実績!$AD$6:$AD$505,"&gt;"&amp;$A117,実績!$AE$6:$AE$505,"○")&gt;0,1,0))</f>
        <v/>
      </c>
      <c r="DR117">
        <f>IF(DR$4=0,0,IF(COUNTIFS(実績!$W$6:$W$505,DR$3,実績!$AC$6:$AC$505,"&lt;="&amp;$A117,実績!$AD$6:$AD$505,"&gt;"&amp;$A117,実績!$AE$6:$AE$505,"○")&gt;0,1,0))</f>
        <v/>
      </c>
      <c r="DS117">
        <f>SUM(C117:DR117)</f>
        <v/>
      </c>
      <c r="DT117">
        <f>SUMPRODUCT((実績!$C$6:$C$505="○")*ISNUMBER(実績!$AF$6:$AF$505)*(実績!$AF$6:$AF$505&lt;=$A117)*(実績!$AG$6:$AG$505&gt;$A117))</f>
        <v/>
      </c>
      <c r="DU117">
        <f>SUMIF($C$2:$DR$2,"製鉄曳船",C117:DR117)</f>
        <v/>
      </c>
      <c r="DV117">
        <f>SUMIF($C$2:$DR$2,"西日本海運",C117:DR117)</f>
        <v/>
      </c>
    </row>
    <row r="118">
      <c r="A118" t="n">
        <v>560</v>
      </c>
      <c r="B118" s="29">
        <f>A118/1440</f>
        <v/>
      </c>
      <c r="C118">
        <f>IF(C$4=0,0,IF(COUNTIFS(実績!$W$6:$W$505,C$3,実績!$AC$6:$AC$505,"&lt;="&amp;$A118,実績!$AD$6:$AD$505,"&gt;"&amp;$A118,実績!$AE$6:$AE$505,"○")&gt;0,1,0))</f>
        <v/>
      </c>
      <c r="D118">
        <f>IF(D$4=0,0,IF(COUNTIFS(実績!$W$6:$W$505,D$3,実績!$AC$6:$AC$505,"&lt;="&amp;$A118,実績!$AD$6:$AD$505,"&gt;"&amp;$A118,実績!$AE$6:$AE$505,"○")&gt;0,1,0))</f>
        <v/>
      </c>
      <c r="E118">
        <f>IF(E$4=0,0,IF(COUNTIFS(実績!$W$6:$W$505,E$3,実績!$AC$6:$AC$505,"&lt;="&amp;$A118,実績!$AD$6:$AD$505,"&gt;"&amp;$A118,実績!$AE$6:$AE$505,"○")&gt;0,1,0))</f>
        <v/>
      </c>
      <c r="F118">
        <f>IF(F$4=0,0,IF(COUNTIFS(実績!$W$6:$W$505,F$3,実績!$AC$6:$AC$505,"&lt;="&amp;$A118,実績!$AD$6:$AD$505,"&gt;"&amp;$A118,実績!$AE$6:$AE$505,"○")&gt;0,1,0))</f>
        <v/>
      </c>
      <c r="G118">
        <f>IF(G$4=0,0,IF(COUNTIFS(実績!$W$6:$W$505,G$3,実績!$AC$6:$AC$505,"&lt;="&amp;$A118,実績!$AD$6:$AD$505,"&gt;"&amp;$A118,実績!$AE$6:$AE$505,"○")&gt;0,1,0))</f>
        <v/>
      </c>
      <c r="H118">
        <f>IF(H$4=0,0,IF(COUNTIFS(実績!$W$6:$W$505,H$3,実績!$AC$6:$AC$505,"&lt;="&amp;$A118,実績!$AD$6:$AD$505,"&gt;"&amp;$A118,実績!$AE$6:$AE$505,"○")&gt;0,1,0))</f>
        <v/>
      </c>
      <c r="I118">
        <f>IF(I$4=0,0,IF(COUNTIFS(実績!$W$6:$W$505,I$3,実績!$AC$6:$AC$505,"&lt;="&amp;$A118,実績!$AD$6:$AD$505,"&gt;"&amp;$A118,実績!$AE$6:$AE$505,"○")&gt;0,1,0))</f>
        <v/>
      </c>
      <c r="J118">
        <f>IF(J$4=0,0,IF(COUNTIFS(実績!$W$6:$W$505,J$3,実績!$AC$6:$AC$505,"&lt;="&amp;$A118,実績!$AD$6:$AD$505,"&gt;"&amp;$A118,実績!$AE$6:$AE$505,"○")&gt;0,1,0))</f>
        <v/>
      </c>
      <c r="K118">
        <f>IF(K$4=0,0,IF(COUNTIFS(実績!$W$6:$W$505,K$3,実績!$AC$6:$AC$505,"&lt;="&amp;$A118,実績!$AD$6:$AD$505,"&gt;"&amp;$A118,実績!$AE$6:$AE$505,"○")&gt;0,1,0))</f>
        <v/>
      </c>
      <c r="L118">
        <f>IF(L$4=0,0,IF(COUNTIFS(実績!$W$6:$W$505,L$3,実績!$AC$6:$AC$505,"&lt;="&amp;$A118,実績!$AD$6:$AD$505,"&gt;"&amp;$A118,実績!$AE$6:$AE$505,"○")&gt;0,1,0))</f>
        <v/>
      </c>
      <c r="M118">
        <f>IF(M$4=0,0,IF(COUNTIFS(実績!$W$6:$W$505,M$3,実績!$AC$6:$AC$505,"&lt;="&amp;$A118,実績!$AD$6:$AD$505,"&gt;"&amp;$A118,実績!$AE$6:$AE$505,"○")&gt;0,1,0))</f>
        <v/>
      </c>
      <c r="N118">
        <f>IF(N$4=0,0,IF(COUNTIFS(実績!$W$6:$W$505,N$3,実績!$AC$6:$AC$505,"&lt;="&amp;$A118,実績!$AD$6:$AD$505,"&gt;"&amp;$A118,実績!$AE$6:$AE$505,"○")&gt;0,1,0))</f>
        <v/>
      </c>
      <c r="O118">
        <f>IF(O$4=0,0,IF(COUNTIFS(実績!$W$6:$W$505,O$3,実績!$AC$6:$AC$505,"&lt;="&amp;$A118,実績!$AD$6:$AD$505,"&gt;"&amp;$A118,実績!$AE$6:$AE$505,"○")&gt;0,1,0))</f>
        <v/>
      </c>
      <c r="P118">
        <f>IF(P$4=0,0,IF(COUNTIFS(実績!$W$6:$W$505,P$3,実績!$AC$6:$AC$505,"&lt;="&amp;$A118,実績!$AD$6:$AD$505,"&gt;"&amp;$A118,実績!$AE$6:$AE$505,"○")&gt;0,1,0))</f>
        <v/>
      </c>
      <c r="Q118">
        <f>IF(Q$4=0,0,IF(COUNTIFS(実績!$W$6:$W$505,Q$3,実績!$AC$6:$AC$505,"&lt;="&amp;$A118,実績!$AD$6:$AD$505,"&gt;"&amp;$A118,実績!$AE$6:$AE$505,"○")&gt;0,1,0))</f>
        <v/>
      </c>
      <c r="R118">
        <f>IF(R$4=0,0,IF(COUNTIFS(実績!$W$6:$W$505,R$3,実績!$AC$6:$AC$505,"&lt;="&amp;$A118,実績!$AD$6:$AD$505,"&gt;"&amp;$A118,実績!$AE$6:$AE$505,"○")&gt;0,1,0))</f>
        <v/>
      </c>
      <c r="S118">
        <f>IF(S$4=0,0,IF(COUNTIFS(実績!$W$6:$W$505,S$3,実績!$AC$6:$AC$505,"&lt;="&amp;$A118,実績!$AD$6:$AD$505,"&gt;"&amp;$A118,実績!$AE$6:$AE$505,"○")&gt;0,1,0))</f>
        <v/>
      </c>
      <c r="T118">
        <f>IF(T$4=0,0,IF(COUNTIFS(実績!$W$6:$W$505,T$3,実績!$AC$6:$AC$505,"&lt;="&amp;$A118,実績!$AD$6:$AD$505,"&gt;"&amp;$A118,実績!$AE$6:$AE$505,"○")&gt;0,1,0))</f>
        <v/>
      </c>
      <c r="U118">
        <f>IF(U$4=0,0,IF(COUNTIFS(実績!$W$6:$W$505,U$3,実績!$AC$6:$AC$505,"&lt;="&amp;$A118,実績!$AD$6:$AD$505,"&gt;"&amp;$A118,実績!$AE$6:$AE$505,"○")&gt;0,1,0))</f>
        <v/>
      </c>
      <c r="V118">
        <f>IF(V$4=0,0,IF(COUNTIFS(実績!$W$6:$W$505,V$3,実績!$AC$6:$AC$505,"&lt;="&amp;$A118,実績!$AD$6:$AD$505,"&gt;"&amp;$A118,実績!$AE$6:$AE$505,"○")&gt;0,1,0))</f>
        <v/>
      </c>
      <c r="W118">
        <f>IF(W$4=0,0,IF(COUNTIFS(実績!$W$6:$W$505,W$3,実績!$AC$6:$AC$505,"&lt;="&amp;$A118,実績!$AD$6:$AD$505,"&gt;"&amp;$A118,実績!$AE$6:$AE$505,"○")&gt;0,1,0))</f>
        <v/>
      </c>
      <c r="X118">
        <f>IF(X$4=0,0,IF(COUNTIFS(実績!$W$6:$W$505,X$3,実績!$AC$6:$AC$505,"&lt;="&amp;$A118,実績!$AD$6:$AD$505,"&gt;"&amp;$A118,実績!$AE$6:$AE$505,"○")&gt;0,1,0))</f>
        <v/>
      </c>
      <c r="Y118">
        <f>IF(Y$4=0,0,IF(COUNTIFS(実績!$W$6:$W$505,Y$3,実績!$AC$6:$AC$505,"&lt;="&amp;$A118,実績!$AD$6:$AD$505,"&gt;"&amp;$A118,実績!$AE$6:$AE$505,"○")&gt;0,1,0))</f>
        <v/>
      </c>
      <c r="Z118">
        <f>IF(Z$4=0,0,IF(COUNTIFS(実績!$W$6:$W$505,Z$3,実績!$AC$6:$AC$505,"&lt;="&amp;$A118,実績!$AD$6:$AD$505,"&gt;"&amp;$A118,実績!$AE$6:$AE$505,"○")&gt;0,1,0))</f>
        <v/>
      </c>
      <c r="AA118">
        <f>IF(AA$4=0,0,IF(COUNTIFS(実績!$W$6:$W$505,AA$3,実績!$AC$6:$AC$505,"&lt;="&amp;$A118,実績!$AD$6:$AD$505,"&gt;"&amp;$A118,実績!$AE$6:$AE$505,"○")&gt;0,1,0))</f>
        <v/>
      </c>
      <c r="AB118">
        <f>IF(AB$4=0,0,IF(COUNTIFS(実績!$W$6:$W$505,AB$3,実績!$AC$6:$AC$505,"&lt;="&amp;$A118,実績!$AD$6:$AD$505,"&gt;"&amp;$A118,実績!$AE$6:$AE$505,"○")&gt;0,1,0))</f>
        <v/>
      </c>
      <c r="AC118">
        <f>IF(AC$4=0,0,IF(COUNTIFS(実績!$W$6:$W$505,AC$3,実績!$AC$6:$AC$505,"&lt;="&amp;$A118,実績!$AD$6:$AD$505,"&gt;"&amp;$A118,実績!$AE$6:$AE$505,"○")&gt;0,1,0))</f>
        <v/>
      </c>
      <c r="AD118">
        <f>IF(AD$4=0,0,IF(COUNTIFS(実績!$W$6:$W$505,AD$3,実績!$AC$6:$AC$505,"&lt;="&amp;$A118,実績!$AD$6:$AD$505,"&gt;"&amp;$A118,実績!$AE$6:$AE$505,"○")&gt;0,1,0))</f>
        <v/>
      </c>
      <c r="AE118">
        <f>IF(AE$4=0,0,IF(COUNTIFS(実績!$W$6:$W$505,AE$3,実績!$AC$6:$AC$505,"&lt;="&amp;$A118,実績!$AD$6:$AD$505,"&gt;"&amp;$A118,実績!$AE$6:$AE$505,"○")&gt;0,1,0))</f>
        <v/>
      </c>
      <c r="AF118">
        <f>IF(AF$4=0,0,IF(COUNTIFS(実績!$W$6:$W$505,AF$3,実績!$AC$6:$AC$505,"&lt;="&amp;$A118,実績!$AD$6:$AD$505,"&gt;"&amp;$A118,実績!$AE$6:$AE$505,"○")&gt;0,1,0))</f>
        <v/>
      </c>
      <c r="AG118">
        <f>IF(AG$4=0,0,IF(COUNTIFS(実績!$W$6:$W$505,AG$3,実績!$AC$6:$AC$505,"&lt;="&amp;$A118,実績!$AD$6:$AD$505,"&gt;"&amp;$A118,実績!$AE$6:$AE$505,"○")&gt;0,1,0))</f>
        <v/>
      </c>
      <c r="AH118">
        <f>IF(AH$4=0,0,IF(COUNTIFS(実績!$W$6:$W$505,AH$3,実績!$AC$6:$AC$505,"&lt;="&amp;$A118,実績!$AD$6:$AD$505,"&gt;"&amp;$A118,実績!$AE$6:$AE$505,"○")&gt;0,1,0))</f>
        <v/>
      </c>
      <c r="AI118">
        <f>IF(AI$4=0,0,IF(COUNTIFS(実績!$W$6:$W$505,AI$3,実績!$AC$6:$AC$505,"&lt;="&amp;$A118,実績!$AD$6:$AD$505,"&gt;"&amp;$A118,実績!$AE$6:$AE$505,"○")&gt;0,1,0))</f>
        <v/>
      </c>
      <c r="AJ118">
        <f>IF(AJ$4=0,0,IF(COUNTIFS(実績!$W$6:$W$505,AJ$3,実績!$AC$6:$AC$505,"&lt;="&amp;$A118,実績!$AD$6:$AD$505,"&gt;"&amp;$A118,実績!$AE$6:$AE$505,"○")&gt;0,1,0))</f>
        <v/>
      </c>
      <c r="AK118">
        <f>IF(AK$4=0,0,IF(COUNTIFS(実績!$W$6:$W$505,AK$3,実績!$AC$6:$AC$505,"&lt;="&amp;$A118,実績!$AD$6:$AD$505,"&gt;"&amp;$A118,実績!$AE$6:$AE$505,"○")&gt;0,1,0))</f>
        <v/>
      </c>
      <c r="AL118">
        <f>IF(AL$4=0,0,IF(COUNTIFS(実績!$W$6:$W$505,AL$3,実績!$AC$6:$AC$505,"&lt;="&amp;$A118,実績!$AD$6:$AD$505,"&gt;"&amp;$A118,実績!$AE$6:$AE$505,"○")&gt;0,1,0))</f>
        <v/>
      </c>
      <c r="AM118">
        <f>IF(AM$4=0,0,IF(COUNTIFS(実績!$W$6:$W$505,AM$3,実績!$AC$6:$AC$505,"&lt;="&amp;$A118,実績!$AD$6:$AD$505,"&gt;"&amp;$A118,実績!$AE$6:$AE$505,"○")&gt;0,1,0))</f>
        <v/>
      </c>
      <c r="AN118">
        <f>IF(AN$4=0,0,IF(COUNTIFS(実績!$W$6:$W$505,AN$3,実績!$AC$6:$AC$505,"&lt;="&amp;$A118,実績!$AD$6:$AD$505,"&gt;"&amp;$A118,実績!$AE$6:$AE$505,"○")&gt;0,1,0))</f>
        <v/>
      </c>
      <c r="AO118">
        <f>IF(AO$4=0,0,IF(COUNTIFS(実績!$W$6:$W$505,AO$3,実績!$AC$6:$AC$505,"&lt;="&amp;$A118,実績!$AD$6:$AD$505,"&gt;"&amp;$A118,実績!$AE$6:$AE$505,"○")&gt;0,1,0))</f>
        <v/>
      </c>
      <c r="AP118">
        <f>IF(AP$4=0,0,IF(COUNTIFS(実績!$W$6:$W$505,AP$3,実績!$AC$6:$AC$505,"&lt;="&amp;$A118,実績!$AD$6:$AD$505,"&gt;"&amp;$A118,実績!$AE$6:$AE$505,"○")&gt;0,1,0))</f>
        <v/>
      </c>
      <c r="AQ118">
        <f>IF(AQ$4=0,0,IF(COUNTIFS(実績!$W$6:$W$505,AQ$3,実績!$AC$6:$AC$505,"&lt;="&amp;$A118,実績!$AD$6:$AD$505,"&gt;"&amp;$A118,実績!$AE$6:$AE$505,"○")&gt;0,1,0))</f>
        <v/>
      </c>
      <c r="AR118">
        <f>IF(AR$4=0,0,IF(COUNTIFS(実績!$W$6:$W$505,AR$3,実績!$AC$6:$AC$505,"&lt;="&amp;$A118,実績!$AD$6:$AD$505,"&gt;"&amp;$A118,実績!$AE$6:$AE$505,"○")&gt;0,1,0))</f>
        <v/>
      </c>
      <c r="AS118">
        <f>IF(AS$4=0,0,IF(COUNTIFS(実績!$W$6:$W$505,AS$3,実績!$AC$6:$AC$505,"&lt;="&amp;$A118,実績!$AD$6:$AD$505,"&gt;"&amp;$A118,実績!$AE$6:$AE$505,"○")&gt;0,1,0))</f>
        <v/>
      </c>
      <c r="AT118">
        <f>IF(AT$4=0,0,IF(COUNTIFS(実績!$W$6:$W$505,AT$3,実績!$AC$6:$AC$505,"&lt;="&amp;$A118,実績!$AD$6:$AD$505,"&gt;"&amp;$A118,実績!$AE$6:$AE$505,"○")&gt;0,1,0))</f>
        <v/>
      </c>
      <c r="AU118">
        <f>IF(AU$4=0,0,IF(COUNTIFS(実績!$W$6:$W$505,AU$3,実績!$AC$6:$AC$505,"&lt;="&amp;$A118,実績!$AD$6:$AD$505,"&gt;"&amp;$A118,実績!$AE$6:$AE$505,"○")&gt;0,1,0))</f>
        <v/>
      </c>
      <c r="AV118">
        <f>IF(AV$4=0,0,IF(COUNTIFS(実績!$W$6:$W$505,AV$3,実績!$AC$6:$AC$505,"&lt;="&amp;$A118,実績!$AD$6:$AD$505,"&gt;"&amp;$A118,実績!$AE$6:$AE$505,"○")&gt;0,1,0))</f>
        <v/>
      </c>
      <c r="AW118">
        <f>IF(AW$4=0,0,IF(COUNTIFS(実績!$W$6:$W$505,AW$3,実績!$AC$6:$AC$505,"&lt;="&amp;$A118,実績!$AD$6:$AD$505,"&gt;"&amp;$A118,実績!$AE$6:$AE$505,"○")&gt;0,1,0))</f>
        <v/>
      </c>
      <c r="AX118">
        <f>IF(AX$4=0,0,IF(COUNTIFS(実績!$W$6:$W$505,AX$3,実績!$AC$6:$AC$505,"&lt;="&amp;$A118,実績!$AD$6:$AD$505,"&gt;"&amp;$A118,実績!$AE$6:$AE$505,"○")&gt;0,1,0))</f>
        <v/>
      </c>
      <c r="AY118">
        <f>IF(AY$4=0,0,IF(COUNTIFS(実績!$W$6:$W$505,AY$3,実績!$AC$6:$AC$505,"&lt;="&amp;$A118,実績!$AD$6:$AD$505,"&gt;"&amp;$A118,実績!$AE$6:$AE$505,"○")&gt;0,1,0))</f>
        <v/>
      </c>
      <c r="AZ118">
        <f>IF(AZ$4=0,0,IF(COUNTIFS(実績!$W$6:$W$505,AZ$3,実績!$AC$6:$AC$505,"&lt;="&amp;$A118,実績!$AD$6:$AD$505,"&gt;"&amp;$A118,実績!$AE$6:$AE$505,"○")&gt;0,1,0))</f>
        <v/>
      </c>
      <c r="BA118">
        <f>IF(BA$4=0,0,IF(COUNTIFS(実績!$W$6:$W$505,BA$3,実績!$AC$6:$AC$505,"&lt;="&amp;$A118,実績!$AD$6:$AD$505,"&gt;"&amp;$A118,実績!$AE$6:$AE$505,"○")&gt;0,1,0))</f>
        <v/>
      </c>
      <c r="BB118">
        <f>IF(BB$4=0,0,IF(COUNTIFS(実績!$W$6:$W$505,BB$3,実績!$AC$6:$AC$505,"&lt;="&amp;$A118,実績!$AD$6:$AD$505,"&gt;"&amp;$A118,実績!$AE$6:$AE$505,"○")&gt;0,1,0))</f>
        <v/>
      </c>
      <c r="BC118">
        <f>IF(BC$4=0,0,IF(COUNTIFS(実績!$W$6:$W$505,BC$3,実績!$AC$6:$AC$505,"&lt;="&amp;$A118,実績!$AD$6:$AD$505,"&gt;"&amp;$A118,実績!$AE$6:$AE$505,"○")&gt;0,1,0))</f>
        <v/>
      </c>
      <c r="BD118">
        <f>IF(BD$4=0,0,IF(COUNTIFS(実績!$W$6:$W$505,BD$3,実績!$AC$6:$AC$505,"&lt;="&amp;$A118,実績!$AD$6:$AD$505,"&gt;"&amp;$A118,実績!$AE$6:$AE$505,"○")&gt;0,1,0))</f>
        <v/>
      </c>
      <c r="BE118">
        <f>IF(BE$4=0,0,IF(COUNTIFS(実績!$W$6:$W$505,BE$3,実績!$AC$6:$AC$505,"&lt;="&amp;$A118,実績!$AD$6:$AD$505,"&gt;"&amp;$A118,実績!$AE$6:$AE$505,"○")&gt;0,1,0))</f>
        <v/>
      </c>
      <c r="BF118">
        <f>IF(BF$4=0,0,IF(COUNTIFS(実績!$W$6:$W$505,BF$3,実績!$AC$6:$AC$505,"&lt;="&amp;$A118,実績!$AD$6:$AD$505,"&gt;"&amp;$A118,実績!$AE$6:$AE$505,"○")&gt;0,1,0))</f>
        <v/>
      </c>
      <c r="BG118">
        <f>IF(BG$4=0,0,IF(COUNTIFS(実績!$W$6:$W$505,BG$3,実績!$AC$6:$AC$505,"&lt;="&amp;$A118,実績!$AD$6:$AD$505,"&gt;"&amp;$A118,実績!$AE$6:$AE$505,"○")&gt;0,1,0))</f>
        <v/>
      </c>
      <c r="BH118">
        <f>IF(BH$4=0,0,IF(COUNTIFS(実績!$W$6:$W$505,BH$3,実績!$AC$6:$AC$505,"&lt;="&amp;$A118,実績!$AD$6:$AD$505,"&gt;"&amp;$A118,実績!$AE$6:$AE$505,"○")&gt;0,1,0))</f>
        <v/>
      </c>
      <c r="BI118">
        <f>IF(BI$4=0,0,IF(COUNTIFS(実績!$W$6:$W$505,BI$3,実績!$AC$6:$AC$505,"&lt;="&amp;$A118,実績!$AD$6:$AD$505,"&gt;"&amp;$A118,実績!$AE$6:$AE$505,"○")&gt;0,1,0))</f>
        <v/>
      </c>
      <c r="BJ118">
        <f>IF(BJ$4=0,0,IF(COUNTIFS(実績!$W$6:$W$505,BJ$3,実績!$AC$6:$AC$505,"&lt;="&amp;$A118,実績!$AD$6:$AD$505,"&gt;"&amp;$A118,実績!$AE$6:$AE$505,"○")&gt;0,1,0))</f>
        <v/>
      </c>
      <c r="BK118">
        <f>IF(BK$4=0,0,IF(COUNTIFS(実績!$W$6:$W$505,BK$3,実績!$AC$6:$AC$505,"&lt;="&amp;$A118,実績!$AD$6:$AD$505,"&gt;"&amp;$A118,実績!$AE$6:$AE$505,"○")&gt;0,1,0))</f>
        <v/>
      </c>
      <c r="BL118">
        <f>IF(BL$4=0,0,IF(COUNTIFS(実績!$W$6:$W$505,BL$3,実績!$AC$6:$AC$505,"&lt;="&amp;$A118,実績!$AD$6:$AD$505,"&gt;"&amp;$A118,実績!$AE$6:$AE$505,"○")&gt;0,1,0))</f>
        <v/>
      </c>
      <c r="BM118">
        <f>IF(BM$4=0,0,IF(COUNTIFS(実績!$W$6:$W$505,BM$3,実績!$AC$6:$AC$505,"&lt;="&amp;$A118,実績!$AD$6:$AD$505,"&gt;"&amp;$A118,実績!$AE$6:$AE$505,"○")&gt;0,1,0))</f>
        <v/>
      </c>
      <c r="BN118">
        <f>IF(BN$4=0,0,IF(COUNTIFS(実績!$W$6:$W$505,BN$3,実績!$AC$6:$AC$505,"&lt;="&amp;$A118,実績!$AD$6:$AD$505,"&gt;"&amp;$A118,実績!$AE$6:$AE$505,"○")&gt;0,1,0))</f>
        <v/>
      </c>
      <c r="BO118">
        <f>IF(BO$4=0,0,IF(COUNTIFS(実績!$W$6:$W$505,BO$3,実績!$AC$6:$AC$505,"&lt;="&amp;$A118,実績!$AD$6:$AD$505,"&gt;"&amp;$A118,実績!$AE$6:$AE$505,"○")&gt;0,1,0))</f>
        <v/>
      </c>
      <c r="BP118">
        <f>IF(BP$4=0,0,IF(COUNTIFS(実績!$W$6:$W$505,BP$3,実績!$AC$6:$AC$505,"&lt;="&amp;$A118,実績!$AD$6:$AD$505,"&gt;"&amp;$A118,実績!$AE$6:$AE$505,"○")&gt;0,1,0))</f>
        <v/>
      </c>
      <c r="BQ118">
        <f>IF(BQ$4=0,0,IF(COUNTIFS(実績!$W$6:$W$505,BQ$3,実績!$AC$6:$AC$505,"&lt;="&amp;$A118,実績!$AD$6:$AD$505,"&gt;"&amp;$A118,実績!$AE$6:$AE$505,"○")&gt;0,1,0))</f>
        <v/>
      </c>
      <c r="BR118">
        <f>IF(BR$4=0,0,IF(COUNTIFS(実績!$W$6:$W$505,BR$3,実績!$AC$6:$AC$505,"&lt;="&amp;$A118,実績!$AD$6:$AD$505,"&gt;"&amp;$A118,実績!$AE$6:$AE$505,"○")&gt;0,1,0))</f>
        <v/>
      </c>
      <c r="BS118">
        <f>IF(BS$4=0,0,IF(COUNTIFS(実績!$W$6:$W$505,BS$3,実績!$AC$6:$AC$505,"&lt;="&amp;$A118,実績!$AD$6:$AD$505,"&gt;"&amp;$A118,実績!$AE$6:$AE$505,"○")&gt;0,1,0))</f>
        <v/>
      </c>
      <c r="BT118">
        <f>IF(BT$4=0,0,IF(COUNTIFS(実績!$W$6:$W$505,BT$3,実績!$AC$6:$AC$505,"&lt;="&amp;$A118,実績!$AD$6:$AD$505,"&gt;"&amp;$A118,実績!$AE$6:$AE$505,"○")&gt;0,1,0))</f>
        <v/>
      </c>
      <c r="BU118">
        <f>IF(BU$4=0,0,IF(COUNTIFS(実績!$W$6:$W$505,BU$3,実績!$AC$6:$AC$505,"&lt;="&amp;$A118,実績!$AD$6:$AD$505,"&gt;"&amp;$A118,実績!$AE$6:$AE$505,"○")&gt;0,1,0))</f>
        <v/>
      </c>
      <c r="BV118">
        <f>IF(BV$4=0,0,IF(COUNTIFS(実績!$W$6:$W$505,BV$3,実績!$AC$6:$AC$505,"&lt;="&amp;$A118,実績!$AD$6:$AD$505,"&gt;"&amp;$A118,実績!$AE$6:$AE$505,"○")&gt;0,1,0))</f>
        <v/>
      </c>
      <c r="BW118">
        <f>IF(BW$4=0,0,IF(COUNTIFS(実績!$W$6:$W$505,BW$3,実績!$AC$6:$AC$505,"&lt;="&amp;$A118,実績!$AD$6:$AD$505,"&gt;"&amp;$A118,実績!$AE$6:$AE$505,"○")&gt;0,1,0))</f>
        <v/>
      </c>
      <c r="BX118">
        <f>IF(BX$4=0,0,IF(COUNTIFS(実績!$W$6:$W$505,BX$3,実績!$AC$6:$AC$505,"&lt;="&amp;$A118,実績!$AD$6:$AD$505,"&gt;"&amp;$A118,実績!$AE$6:$AE$505,"○")&gt;0,1,0))</f>
        <v/>
      </c>
      <c r="BY118">
        <f>IF(BY$4=0,0,IF(COUNTIFS(実績!$W$6:$W$505,BY$3,実績!$AC$6:$AC$505,"&lt;="&amp;$A118,実績!$AD$6:$AD$505,"&gt;"&amp;$A118,実績!$AE$6:$AE$505,"○")&gt;0,1,0))</f>
        <v/>
      </c>
      <c r="BZ118">
        <f>IF(BZ$4=0,0,IF(COUNTIFS(実績!$W$6:$W$505,BZ$3,実績!$AC$6:$AC$505,"&lt;="&amp;$A118,実績!$AD$6:$AD$505,"&gt;"&amp;$A118,実績!$AE$6:$AE$505,"○")&gt;0,1,0))</f>
        <v/>
      </c>
      <c r="CA118">
        <f>IF(CA$4=0,0,IF(COUNTIFS(実績!$W$6:$W$505,CA$3,実績!$AC$6:$AC$505,"&lt;="&amp;$A118,実績!$AD$6:$AD$505,"&gt;"&amp;$A118,実績!$AE$6:$AE$505,"○")&gt;0,1,0))</f>
        <v/>
      </c>
      <c r="CB118">
        <f>IF(CB$4=0,0,IF(COUNTIFS(実績!$W$6:$W$505,CB$3,実績!$AC$6:$AC$505,"&lt;="&amp;$A118,実績!$AD$6:$AD$505,"&gt;"&amp;$A118,実績!$AE$6:$AE$505,"○")&gt;0,1,0))</f>
        <v/>
      </c>
      <c r="CC118">
        <f>IF(CC$4=0,0,IF(COUNTIFS(実績!$W$6:$W$505,CC$3,実績!$AC$6:$AC$505,"&lt;="&amp;$A118,実績!$AD$6:$AD$505,"&gt;"&amp;$A118,実績!$AE$6:$AE$505,"○")&gt;0,1,0))</f>
        <v/>
      </c>
      <c r="CD118">
        <f>IF(CD$4=0,0,IF(COUNTIFS(実績!$W$6:$W$505,CD$3,実績!$AC$6:$AC$505,"&lt;="&amp;$A118,実績!$AD$6:$AD$505,"&gt;"&amp;$A118,実績!$AE$6:$AE$505,"○")&gt;0,1,0))</f>
        <v/>
      </c>
      <c r="CE118">
        <f>IF(CE$4=0,0,IF(COUNTIFS(実績!$W$6:$W$505,CE$3,実績!$AC$6:$AC$505,"&lt;="&amp;$A118,実績!$AD$6:$AD$505,"&gt;"&amp;$A118,実績!$AE$6:$AE$505,"○")&gt;0,1,0))</f>
        <v/>
      </c>
      <c r="CF118">
        <f>IF(CF$4=0,0,IF(COUNTIFS(実績!$W$6:$W$505,CF$3,実績!$AC$6:$AC$505,"&lt;="&amp;$A118,実績!$AD$6:$AD$505,"&gt;"&amp;$A118,実績!$AE$6:$AE$505,"○")&gt;0,1,0))</f>
        <v/>
      </c>
      <c r="CG118">
        <f>IF(CG$4=0,0,IF(COUNTIFS(実績!$W$6:$W$505,CG$3,実績!$AC$6:$AC$505,"&lt;="&amp;$A118,実績!$AD$6:$AD$505,"&gt;"&amp;$A118,実績!$AE$6:$AE$505,"○")&gt;0,1,0))</f>
        <v/>
      </c>
      <c r="CH118">
        <f>IF(CH$4=0,0,IF(COUNTIFS(実績!$W$6:$W$505,CH$3,実績!$AC$6:$AC$505,"&lt;="&amp;$A118,実績!$AD$6:$AD$505,"&gt;"&amp;$A118,実績!$AE$6:$AE$505,"○")&gt;0,1,0))</f>
        <v/>
      </c>
      <c r="CI118">
        <f>IF(CI$4=0,0,IF(COUNTIFS(実績!$W$6:$W$505,CI$3,実績!$AC$6:$AC$505,"&lt;="&amp;$A118,実績!$AD$6:$AD$505,"&gt;"&amp;$A118,実績!$AE$6:$AE$505,"○")&gt;0,1,0))</f>
        <v/>
      </c>
      <c r="CJ118">
        <f>IF(CJ$4=0,0,IF(COUNTIFS(実績!$W$6:$W$505,CJ$3,実績!$AC$6:$AC$505,"&lt;="&amp;$A118,実績!$AD$6:$AD$505,"&gt;"&amp;$A118,実績!$AE$6:$AE$505,"○")&gt;0,1,0))</f>
        <v/>
      </c>
      <c r="CK118">
        <f>IF(CK$4=0,0,IF(COUNTIFS(実績!$W$6:$W$505,CK$3,実績!$AC$6:$AC$505,"&lt;="&amp;$A118,実績!$AD$6:$AD$505,"&gt;"&amp;$A118,実績!$AE$6:$AE$505,"○")&gt;0,1,0))</f>
        <v/>
      </c>
      <c r="CL118">
        <f>IF(CL$4=0,0,IF(COUNTIFS(実績!$W$6:$W$505,CL$3,実績!$AC$6:$AC$505,"&lt;="&amp;$A118,実績!$AD$6:$AD$505,"&gt;"&amp;$A118,実績!$AE$6:$AE$505,"○")&gt;0,1,0))</f>
        <v/>
      </c>
      <c r="CM118">
        <f>IF(CM$4=0,0,IF(COUNTIFS(実績!$W$6:$W$505,CM$3,実績!$AC$6:$AC$505,"&lt;="&amp;$A118,実績!$AD$6:$AD$505,"&gt;"&amp;$A118,実績!$AE$6:$AE$505,"○")&gt;0,1,0))</f>
        <v/>
      </c>
      <c r="CN118">
        <f>IF(CN$4=0,0,IF(COUNTIFS(実績!$W$6:$W$505,CN$3,実績!$AC$6:$AC$505,"&lt;="&amp;$A118,実績!$AD$6:$AD$505,"&gt;"&amp;$A118,実績!$AE$6:$AE$505,"○")&gt;0,1,0))</f>
        <v/>
      </c>
      <c r="CO118">
        <f>IF(CO$4=0,0,IF(COUNTIFS(実績!$W$6:$W$505,CO$3,実績!$AC$6:$AC$505,"&lt;="&amp;$A118,実績!$AD$6:$AD$505,"&gt;"&amp;$A118,実績!$AE$6:$AE$505,"○")&gt;0,1,0))</f>
        <v/>
      </c>
      <c r="CP118">
        <f>IF(CP$4=0,0,IF(COUNTIFS(実績!$W$6:$W$505,CP$3,実績!$AC$6:$AC$505,"&lt;="&amp;$A118,実績!$AD$6:$AD$505,"&gt;"&amp;$A118,実績!$AE$6:$AE$505,"○")&gt;0,1,0))</f>
        <v/>
      </c>
      <c r="CQ118">
        <f>IF(CQ$4=0,0,IF(COUNTIFS(実績!$W$6:$W$505,CQ$3,実績!$AC$6:$AC$505,"&lt;="&amp;$A118,実績!$AD$6:$AD$505,"&gt;"&amp;$A118,実績!$AE$6:$AE$505,"○")&gt;0,1,0))</f>
        <v/>
      </c>
      <c r="CR118">
        <f>IF(CR$4=0,0,IF(COUNTIFS(実績!$W$6:$W$505,CR$3,実績!$AC$6:$AC$505,"&lt;="&amp;$A118,実績!$AD$6:$AD$505,"&gt;"&amp;$A118,実績!$AE$6:$AE$505,"○")&gt;0,1,0))</f>
        <v/>
      </c>
      <c r="CS118">
        <f>IF(CS$4=0,0,IF(COUNTIFS(実績!$W$6:$W$505,CS$3,実績!$AC$6:$AC$505,"&lt;="&amp;$A118,実績!$AD$6:$AD$505,"&gt;"&amp;$A118,実績!$AE$6:$AE$505,"○")&gt;0,1,0))</f>
        <v/>
      </c>
      <c r="CT118">
        <f>IF(CT$4=0,0,IF(COUNTIFS(実績!$W$6:$W$505,CT$3,実績!$AC$6:$AC$505,"&lt;="&amp;$A118,実績!$AD$6:$AD$505,"&gt;"&amp;$A118,実績!$AE$6:$AE$505,"○")&gt;0,1,0))</f>
        <v/>
      </c>
      <c r="CU118">
        <f>IF(CU$4=0,0,IF(COUNTIFS(実績!$W$6:$W$505,CU$3,実績!$AC$6:$AC$505,"&lt;="&amp;$A118,実績!$AD$6:$AD$505,"&gt;"&amp;$A118,実績!$AE$6:$AE$505,"○")&gt;0,1,0))</f>
        <v/>
      </c>
      <c r="CV118">
        <f>IF(CV$4=0,0,IF(COUNTIFS(実績!$W$6:$W$505,CV$3,実績!$AC$6:$AC$505,"&lt;="&amp;$A118,実績!$AD$6:$AD$505,"&gt;"&amp;$A118,実績!$AE$6:$AE$505,"○")&gt;0,1,0))</f>
        <v/>
      </c>
      <c r="CW118">
        <f>IF(CW$4=0,0,IF(COUNTIFS(実績!$W$6:$W$505,CW$3,実績!$AC$6:$AC$505,"&lt;="&amp;$A118,実績!$AD$6:$AD$505,"&gt;"&amp;$A118,実績!$AE$6:$AE$505,"○")&gt;0,1,0))</f>
        <v/>
      </c>
      <c r="CX118">
        <f>IF(CX$4=0,0,IF(COUNTIFS(実績!$W$6:$W$505,CX$3,実績!$AC$6:$AC$505,"&lt;="&amp;$A118,実績!$AD$6:$AD$505,"&gt;"&amp;$A118,実績!$AE$6:$AE$505,"○")&gt;0,1,0))</f>
        <v/>
      </c>
      <c r="CY118">
        <f>IF(CY$4=0,0,IF(COUNTIFS(実績!$W$6:$W$505,CY$3,実績!$AC$6:$AC$505,"&lt;="&amp;$A118,実績!$AD$6:$AD$505,"&gt;"&amp;$A118,実績!$AE$6:$AE$505,"○")&gt;0,1,0))</f>
        <v/>
      </c>
      <c r="CZ118">
        <f>IF(CZ$4=0,0,IF(COUNTIFS(実績!$W$6:$W$505,CZ$3,実績!$AC$6:$AC$505,"&lt;="&amp;$A118,実績!$AD$6:$AD$505,"&gt;"&amp;$A118,実績!$AE$6:$AE$505,"○")&gt;0,1,0))</f>
        <v/>
      </c>
      <c r="DA118">
        <f>IF(DA$4=0,0,IF(COUNTIFS(実績!$W$6:$W$505,DA$3,実績!$AC$6:$AC$505,"&lt;="&amp;$A118,実績!$AD$6:$AD$505,"&gt;"&amp;$A118,実績!$AE$6:$AE$505,"○")&gt;0,1,0))</f>
        <v/>
      </c>
      <c r="DB118">
        <f>IF(DB$4=0,0,IF(COUNTIFS(実績!$W$6:$W$505,DB$3,実績!$AC$6:$AC$505,"&lt;="&amp;$A118,実績!$AD$6:$AD$505,"&gt;"&amp;$A118,実績!$AE$6:$AE$505,"○")&gt;0,1,0))</f>
        <v/>
      </c>
      <c r="DC118">
        <f>IF(DC$4=0,0,IF(COUNTIFS(実績!$W$6:$W$505,DC$3,実績!$AC$6:$AC$505,"&lt;="&amp;$A118,実績!$AD$6:$AD$505,"&gt;"&amp;$A118,実績!$AE$6:$AE$505,"○")&gt;0,1,0))</f>
        <v/>
      </c>
      <c r="DD118">
        <f>IF(DD$4=0,0,IF(COUNTIFS(実績!$W$6:$W$505,DD$3,実績!$AC$6:$AC$505,"&lt;="&amp;$A118,実績!$AD$6:$AD$505,"&gt;"&amp;$A118,実績!$AE$6:$AE$505,"○")&gt;0,1,0))</f>
        <v/>
      </c>
      <c r="DE118">
        <f>IF(DE$4=0,0,IF(COUNTIFS(実績!$W$6:$W$505,DE$3,実績!$AC$6:$AC$505,"&lt;="&amp;$A118,実績!$AD$6:$AD$505,"&gt;"&amp;$A118,実績!$AE$6:$AE$505,"○")&gt;0,1,0))</f>
        <v/>
      </c>
      <c r="DF118">
        <f>IF(DF$4=0,0,IF(COUNTIFS(実績!$W$6:$W$505,DF$3,実績!$AC$6:$AC$505,"&lt;="&amp;$A118,実績!$AD$6:$AD$505,"&gt;"&amp;$A118,実績!$AE$6:$AE$505,"○")&gt;0,1,0))</f>
        <v/>
      </c>
      <c r="DG118">
        <f>IF(DG$4=0,0,IF(COUNTIFS(実績!$W$6:$W$505,DG$3,実績!$AC$6:$AC$505,"&lt;="&amp;$A118,実績!$AD$6:$AD$505,"&gt;"&amp;$A118,実績!$AE$6:$AE$505,"○")&gt;0,1,0))</f>
        <v/>
      </c>
      <c r="DH118">
        <f>IF(DH$4=0,0,IF(COUNTIFS(実績!$W$6:$W$505,DH$3,実績!$AC$6:$AC$505,"&lt;="&amp;$A118,実績!$AD$6:$AD$505,"&gt;"&amp;$A118,実績!$AE$6:$AE$505,"○")&gt;0,1,0))</f>
        <v/>
      </c>
      <c r="DI118">
        <f>IF(DI$4=0,0,IF(COUNTIFS(実績!$W$6:$W$505,DI$3,実績!$AC$6:$AC$505,"&lt;="&amp;$A118,実績!$AD$6:$AD$505,"&gt;"&amp;$A118,実績!$AE$6:$AE$505,"○")&gt;0,1,0))</f>
        <v/>
      </c>
      <c r="DJ118">
        <f>IF(DJ$4=0,0,IF(COUNTIFS(実績!$W$6:$W$505,DJ$3,実績!$AC$6:$AC$505,"&lt;="&amp;$A118,実績!$AD$6:$AD$505,"&gt;"&amp;$A118,実績!$AE$6:$AE$505,"○")&gt;0,1,0))</f>
        <v/>
      </c>
      <c r="DK118">
        <f>IF(DK$4=0,0,IF(COUNTIFS(実績!$W$6:$W$505,DK$3,実績!$AC$6:$AC$505,"&lt;="&amp;$A118,実績!$AD$6:$AD$505,"&gt;"&amp;$A118,実績!$AE$6:$AE$505,"○")&gt;0,1,0))</f>
        <v/>
      </c>
      <c r="DL118">
        <f>IF(DL$4=0,0,IF(COUNTIFS(実績!$W$6:$W$505,DL$3,実績!$AC$6:$AC$505,"&lt;="&amp;$A118,実績!$AD$6:$AD$505,"&gt;"&amp;$A118,実績!$AE$6:$AE$505,"○")&gt;0,1,0))</f>
        <v/>
      </c>
      <c r="DM118">
        <f>IF(DM$4=0,0,IF(COUNTIFS(実績!$W$6:$W$505,DM$3,実績!$AC$6:$AC$505,"&lt;="&amp;$A118,実績!$AD$6:$AD$505,"&gt;"&amp;$A118,実績!$AE$6:$AE$505,"○")&gt;0,1,0))</f>
        <v/>
      </c>
      <c r="DN118">
        <f>IF(DN$4=0,0,IF(COUNTIFS(実績!$W$6:$W$505,DN$3,実績!$AC$6:$AC$505,"&lt;="&amp;$A118,実績!$AD$6:$AD$505,"&gt;"&amp;$A118,実績!$AE$6:$AE$505,"○")&gt;0,1,0))</f>
        <v/>
      </c>
      <c r="DO118">
        <f>IF(DO$4=0,0,IF(COUNTIFS(実績!$W$6:$W$505,DO$3,実績!$AC$6:$AC$505,"&lt;="&amp;$A118,実績!$AD$6:$AD$505,"&gt;"&amp;$A118,実績!$AE$6:$AE$505,"○")&gt;0,1,0))</f>
        <v/>
      </c>
      <c r="DP118">
        <f>IF(DP$4=0,0,IF(COUNTIFS(実績!$W$6:$W$505,DP$3,実績!$AC$6:$AC$505,"&lt;="&amp;$A118,実績!$AD$6:$AD$505,"&gt;"&amp;$A118,実績!$AE$6:$AE$505,"○")&gt;0,1,0))</f>
        <v/>
      </c>
      <c r="DQ118">
        <f>IF(DQ$4=0,0,IF(COUNTIFS(実績!$W$6:$W$505,DQ$3,実績!$AC$6:$AC$505,"&lt;="&amp;$A118,実績!$AD$6:$AD$505,"&gt;"&amp;$A118,実績!$AE$6:$AE$505,"○")&gt;0,1,0))</f>
        <v/>
      </c>
      <c r="DR118">
        <f>IF(DR$4=0,0,IF(COUNTIFS(実績!$W$6:$W$505,DR$3,実績!$AC$6:$AC$505,"&lt;="&amp;$A118,実績!$AD$6:$AD$505,"&gt;"&amp;$A118,実績!$AE$6:$AE$505,"○")&gt;0,1,0))</f>
        <v/>
      </c>
      <c r="DS118">
        <f>SUM(C118:DR118)</f>
        <v/>
      </c>
      <c r="DT118">
        <f>SUMPRODUCT((実績!$C$6:$C$505="○")*ISNUMBER(実績!$AF$6:$AF$505)*(実績!$AF$6:$AF$505&lt;=$A118)*(実績!$AG$6:$AG$505&gt;$A118))</f>
        <v/>
      </c>
      <c r="DU118">
        <f>SUMIF($C$2:$DR$2,"製鉄曳船",C118:DR118)</f>
        <v/>
      </c>
      <c r="DV118">
        <f>SUMIF($C$2:$DR$2,"西日本海運",C118:DR118)</f>
        <v/>
      </c>
    </row>
    <row r="119">
      <c r="A119" t="n">
        <v>565</v>
      </c>
      <c r="B119" s="29">
        <f>A119/1440</f>
        <v/>
      </c>
      <c r="C119">
        <f>IF(C$4=0,0,IF(COUNTIFS(実績!$W$6:$W$505,C$3,実績!$AC$6:$AC$505,"&lt;="&amp;$A119,実績!$AD$6:$AD$505,"&gt;"&amp;$A119,実績!$AE$6:$AE$505,"○")&gt;0,1,0))</f>
        <v/>
      </c>
      <c r="D119">
        <f>IF(D$4=0,0,IF(COUNTIFS(実績!$W$6:$W$505,D$3,実績!$AC$6:$AC$505,"&lt;="&amp;$A119,実績!$AD$6:$AD$505,"&gt;"&amp;$A119,実績!$AE$6:$AE$505,"○")&gt;0,1,0))</f>
        <v/>
      </c>
      <c r="E119">
        <f>IF(E$4=0,0,IF(COUNTIFS(実績!$W$6:$W$505,E$3,実績!$AC$6:$AC$505,"&lt;="&amp;$A119,実績!$AD$6:$AD$505,"&gt;"&amp;$A119,実績!$AE$6:$AE$505,"○")&gt;0,1,0))</f>
        <v/>
      </c>
      <c r="F119">
        <f>IF(F$4=0,0,IF(COUNTIFS(実績!$W$6:$W$505,F$3,実績!$AC$6:$AC$505,"&lt;="&amp;$A119,実績!$AD$6:$AD$505,"&gt;"&amp;$A119,実績!$AE$6:$AE$505,"○")&gt;0,1,0))</f>
        <v/>
      </c>
      <c r="G119">
        <f>IF(G$4=0,0,IF(COUNTIFS(実績!$W$6:$W$505,G$3,実績!$AC$6:$AC$505,"&lt;="&amp;$A119,実績!$AD$6:$AD$505,"&gt;"&amp;$A119,実績!$AE$6:$AE$505,"○")&gt;0,1,0))</f>
        <v/>
      </c>
      <c r="H119">
        <f>IF(H$4=0,0,IF(COUNTIFS(実績!$W$6:$W$505,H$3,実績!$AC$6:$AC$505,"&lt;="&amp;$A119,実績!$AD$6:$AD$505,"&gt;"&amp;$A119,実績!$AE$6:$AE$505,"○")&gt;0,1,0))</f>
        <v/>
      </c>
      <c r="I119">
        <f>IF(I$4=0,0,IF(COUNTIFS(実績!$W$6:$W$505,I$3,実績!$AC$6:$AC$505,"&lt;="&amp;$A119,実績!$AD$6:$AD$505,"&gt;"&amp;$A119,実績!$AE$6:$AE$505,"○")&gt;0,1,0))</f>
        <v/>
      </c>
      <c r="J119">
        <f>IF(J$4=0,0,IF(COUNTIFS(実績!$W$6:$W$505,J$3,実績!$AC$6:$AC$505,"&lt;="&amp;$A119,実績!$AD$6:$AD$505,"&gt;"&amp;$A119,実績!$AE$6:$AE$505,"○")&gt;0,1,0))</f>
        <v/>
      </c>
      <c r="K119">
        <f>IF(K$4=0,0,IF(COUNTIFS(実績!$W$6:$W$505,K$3,実績!$AC$6:$AC$505,"&lt;="&amp;$A119,実績!$AD$6:$AD$505,"&gt;"&amp;$A119,実績!$AE$6:$AE$505,"○")&gt;0,1,0))</f>
        <v/>
      </c>
      <c r="L119">
        <f>IF(L$4=0,0,IF(COUNTIFS(実績!$W$6:$W$505,L$3,実績!$AC$6:$AC$505,"&lt;="&amp;$A119,実績!$AD$6:$AD$505,"&gt;"&amp;$A119,実績!$AE$6:$AE$505,"○")&gt;0,1,0))</f>
        <v/>
      </c>
      <c r="M119">
        <f>IF(M$4=0,0,IF(COUNTIFS(実績!$W$6:$W$505,M$3,実績!$AC$6:$AC$505,"&lt;="&amp;$A119,実績!$AD$6:$AD$505,"&gt;"&amp;$A119,実績!$AE$6:$AE$505,"○")&gt;0,1,0))</f>
        <v/>
      </c>
      <c r="N119">
        <f>IF(N$4=0,0,IF(COUNTIFS(実績!$W$6:$W$505,N$3,実績!$AC$6:$AC$505,"&lt;="&amp;$A119,実績!$AD$6:$AD$505,"&gt;"&amp;$A119,実績!$AE$6:$AE$505,"○")&gt;0,1,0))</f>
        <v/>
      </c>
      <c r="O119">
        <f>IF(O$4=0,0,IF(COUNTIFS(実績!$W$6:$W$505,O$3,実績!$AC$6:$AC$505,"&lt;="&amp;$A119,実績!$AD$6:$AD$505,"&gt;"&amp;$A119,実績!$AE$6:$AE$505,"○")&gt;0,1,0))</f>
        <v/>
      </c>
      <c r="P119">
        <f>IF(P$4=0,0,IF(COUNTIFS(実績!$W$6:$W$505,P$3,実績!$AC$6:$AC$505,"&lt;="&amp;$A119,実績!$AD$6:$AD$505,"&gt;"&amp;$A119,実績!$AE$6:$AE$505,"○")&gt;0,1,0))</f>
        <v/>
      </c>
      <c r="Q119">
        <f>IF(Q$4=0,0,IF(COUNTIFS(実績!$W$6:$W$505,Q$3,実績!$AC$6:$AC$505,"&lt;="&amp;$A119,実績!$AD$6:$AD$505,"&gt;"&amp;$A119,実績!$AE$6:$AE$505,"○")&gt;0,1,0))</f>
        <v/>
      </c>
      <c r="R119">
        <f>IF(R$4=0,0,IF(COUNTIFS(実績!$W$6:$W$505,R$3,実績!$AC$6:$AC$505,"&lt;="&amp;$A119,実績!$AD$6:$AD$505,"&gt;"&amp;$A119,実績!$AE$6:$AE$505,"○")&gt;0,1,0))</f>
        <v/>
      </c>
      <c r="S119">
        <f>IF(S$4=0,0,IF(COUNTIFS(実績!$W$6:$W$505,S$3,実績!$AC$6:$AC$505,"&lt;="&amp;$A119,実績!$AD$6:$AD$505,"&gt;"&amp;$A119,実績!$AE$6:$AE$505,"○")&gt;0,1,0))</f>
        <v/>
      </c>
      <c r="T119">
        <f>IF(T$4=0,0,IF(COUNTIFS(実績!$W$6:$W$505,T$3,実績!$AC$6:$AC$505,"&lt;="&amp;$A119,実績!$AD$6:$AD$505,"&gt;"&amp;$A119,実績!$AE$6:$AE$505,"○")&gt;0,1,0))</f>
        <v/>
      </c>
      <c r="U119">
        <f>IF(U$4=0,0,IF(COUNTIFS(実績!$W$6:$W$505,U$3,実績!$AC$6:$AC$505,"&lt;="&amp;$A119,実績!$AD$6:$AD$505,"&gt;"&amp;$A119,実績!$AE$6:$AE$505,"○")&gt;0,1,0))</f>
        <v/>
      </c>
      <c r="V119">
        <f>IF(V$4=0,0,IF(COUNTIFS(実績!$W$6:$W$505,V$3,実績!$AC$6:$AC$505,"&lt;="&amp;$A119,実績!$AD$6:$AD$505,"&gt;"&amp;$A119,実績!$AE$6:$AE$505,"○")&gt;0,1,0))</f>
        <v/>
      </c>
      <c r="W119">
        <f>IF(W$4=0,0,IF(COUNTIFS(実績!$W$6:$W$505,W$3,実績!$AC$6:$AC$505,"&lt;="&amp;$A119,実績!$AD$6:$AD$505,"&gt;"&amp;$A119,実績!$AE$6:$AE$505,"○")&gt;0,1,0))</f>
        <v/>
      </c>
      <c r="X119">
        <f>IF(X$4=0,0,IF(COUNTIFS(実績!$W$6:$W$505,X$3,実績!$AC$6:$AC$505,"&lt;="&amp;$A119,実績!$AD$6:$AD$505,"&gt;"&amp;$A119,実績!$AE$6:$AE$505,"○")&gt;0,1,0))</f>
        <v/>
      </c>
      <c r="Y119">
        <f>IF(Y$4=0,0,IF(COUNTIFS(実績!$W$6:$W$505,Y$3,実績!$AC$6:$AC$505,"&lt;="&amp;$A119,実績!$AD$6:$AD$505,"&gt;"&amp;$A119,実績!$AE$6:$AE$505,"○")&gt;0,1,0))</f>
        <v/>
      </c>
      <c r="Z119">
        <f>IF(Z$4=0,0,IF(COUNTIFS(実績!$W$6:$W$505,Z$3,実績!$AC$6:$AC$505,"&lt;="&amp;$A119,実績!$AD$6:$AD$505,"&gt;"&amp;$A119,実績!$AE$6:$AE$505,"○")&gt;0,1,0))</f>
        <v/>
      </c>
      <c r="AA119">
        <f>IF(AA$4=0,0,IF(COUNTIFS(実績!$W$6:$W$505,AA$3,実績!$AC$6:$AC$505,"&lt;="&amp;$A119,実績!$AD$6:$AD$505,"&gt;"&amp;$A119,実績!$AE$6:$AE$505,"○")&gt;0,1,0))</f>
        <v/>
      </c>
      <c r="AB119">
        <f>IF(AB$4=0,0,IF(COUNTIFS(実績!$W$6:$W$505,AB$3,実績!$AC$6:$AC$505,"&lt;="&amp;$A119,実績!$AD$6:$AD$505,"&gt;"&amp;$A119,実績!$AE$6:$AE$505,"○")&gt;0,1,0))</f>
        <v/>
      </c>
      <c r="AC119">
        <f>IF(AC$4=0,0,IF(COUNTIFS(実績!$W$6:$W$505,AC$3,実績!$AC$6:$AC$505,"&lt;="&amp;$A119,実績!$AD$6:$AD$505,"&gt;"&amp;$A119,実績!$AE$6:$AE$505,"○")&gt;0,1,0))</f>
        <v/>
      </c>
      <c r="AD119">
        <f>IF(AD$4=0,0,IF(COUNTIFS(実績!$W$6:$W$505,AD$3,実績!$AC$6:$AC$505,"&lt;="&amp;$A119,実績!$AD$6:$AD$505,"&gt;"&amp;$A119,実績!$AE$6:$AE$505,"○")&gt;0,1,0))</f>
        <v/>
      </c>
      <c r="AE119">
        <f>IF(AE$4=0,0,IF(COUNTIFS(実績!$W$6:$W$505,AE$3,実績!$AC$6:$AC$505,"&lt;="&amp;$A119,実績!$AD$6:$AD$505,"&gt;"&amp;$A119,実績!$AE$6:$AE$505,"○")&gt;0,1,0))</f>
        <v/>
      </c>
      <c r="AF119">
        <f>IF(AF$4=0,0,IF(COUNTIFS(実績!$W$6:$W$505,AF$3,実績!$AC$6:$AC$505,"&lt;="&amp;$A119,実績!$AD$6:$AD$505,"&gt;"&amp;$A119,実績!$AE$6:$AE$505,"○")&gt;0,1,0))</f>
        <v/>
      </c>
      <c r="AG119">
        <f>IF(AG$4=0,0,IF(COUNTIFS(実績!$W$6:$W$505,AG$3,実績!$AC$6:$AC$505,"&lt;="&amp;$A119,実績!$AD$6:$AD$505,"&gt;"&amp;$A119,実績!$AE$6:$AE$505,"○")&gt;0,1,0))</f>
        <v/>
      </c>
      <c r="AH119">
        <f>IF(AH$4=0,0,IF(COUNTIFS(実績!$W$6:$W$505,AH$3,実績!$AC$6:$AC$505,"&lt;="&amp;$A119,実績!$AD$6:$AD$505,"&gt;"&amp;$A119,実績!$AE$6:$AE$505,"○")&gt;0,1,0))</f>
        <v/>
      </c>
      <c r="AI119">
        <f>IF(AI$4=0,0,IF(COUNTIFS(実績!$W$6:$W$505,AI$3,実績!$AC$6:$AC$505,"&lt;="&amp;$A119,実績!$AD$6:$AD$505,"&gt;"&amp;$A119,実績!$AE$6:$AE$505,"○")&gt;0,1,0))</f>
        <v/>
      </c>
      <c r="AJ119">
        <f>IF(AJ$4=0,0,IF(COUNTIFS(実績!$W$6:$W$505,AJ$3,実績!$AC$6:$AC$505,"&lt;="&amp;$A119,実績!$AD$6:$AD$505,"&gt;"&amp;$A119,実績!$AE$6:$AE$505,"○")&gt;0,1,0))</f>
        <v/>
      </c>
      <c r="AK119">
        <f>IF(AK$4=0,0,IF(COUNTIFS(実績!$W$6:$W$505,AK$3,実績!$AC$6:$AC$505,"&lt;="&amp;$A119,実績!$AD$6:$AD$505,"&gt;"&amp;$A119,実績!$AE$6:$AE$505,"○")&gt;0,1,0))</f>
        <v/>
      </c>
      <c r="AL119">
        <f>IF(AL$4=0,0,IF(COUNTIFS(実績!$W$6:$W$505,AL$3,実績!$AC$6:$AC$505,"&lt;="&amp;$A119,実績!$AD$6:$AD$505,"&gt;"&amp;$A119,実績!$AE$6:$AE$505,"○")&gt;0,1,0))</f>
        <v/>
      </c>
      <c r="AM119">
        <f>IF(AM$4=0,0,IF(COUNTIFS(実績!$W$6:$W$505,AM$3,実績!$AC$6:$AC$505,"&lt;="&amp;$A119,実績!$AD$6:$AD$505,"&gt;"&amp;$A119,実績!$AE$6:$AE$505,"○")&gt;0,1,0))</f>
        <v/>
      </c>
      <c r="AN119">
        <f>IF(AN$4=0,0,IF(COUNTIFS(実績!$W$6:$W$505,AN$3,実績!$AC$6:$AC$505,"&lt;="&amp;$A119,実績!$AD$6:$AD$505,"&gt;"&amp;$A119,実績!$AE$6:$AE$505,"○")&gt;0,1,0))</f>
        <v/>
      </c>
      <c r="AO119">
        <f>IF(AO$4=0,0,IF(COUNTIFS(実績!$W$6:$W$505,AO$3,実績!$AC$6:$AC$505,"&lt;="&amp;$A119,実績!$AD$6:$AD$505,"&gt;"&amp;$A119,実績!$AE$6:$AE$505,"○")&gt;0,1,0))</f>
        <v/>
      </c>
      <c r="AP119">
        <f>IF(AP$4=0,0,IF(COUNTIFS(実績!$W$6:$W$505,AP$3,実績!$AC$6:$AC$505,"&lt;="&amp;$A119,実績!$AD$6:$AD$505,"&gt;"&amp;$A119,実績!$AE$6:$AE$505,"○")&gt;0,1,0))</f>
        <v/>
      </c>
      <c r="AQ119">
        <f>IF(AQ$4=0,0,IF(COUNTIFS(実績!$W$6:$W$505,AQ$3,実績!$AC$6:$AC$505,"&lt;="&amp;$A119,実績!$AD$6:$AD$505,"&gt;"&amp;$A119,実績!$AE$6:$AE$505,"○")&gt;0,1,0))</f>
        <v/>
      </c>
      <c r="AR119">
        <f>IF(AR$4=0,0,IF(COUNTIFS(実績!$W$6:$W$505,AR$3,実績!$AC$6:$AC$505,"&lt;="&amp;$A119,実績!$AD$6:$AD$505,"&gt;"&amp;$A119,実績!$AE$6:$AE$505,"○")&gt;0,1,0))</f>
        <v/>
      </c>
      <c r="AS119">
        <f>IF(AS$4=0,0,IF(COUNTIFS(実績!$W$6:$W$505,AS$3,実績!$AC$6:$AC$505,"&lt;="&amp;$A119,実績!$AD$6:$AD$505,"&gt;"&amp;$A119,実績!$AE$6:$AE$505,"○")&gt;0,1,0))</f>
        <v/>
      </c>
      <c r="AT119">
        <f>IF(AT$4=0,0,IF(COUNTIFS(実績!$W$6:$W$505,AT$3,実績!$AC$6:$AC$505,"&lt;="&amp;$A119,実績!$AD$6:$AD$505,"&gt;"&amp;$A119,実績!$AE$6:$AE$505,"○")&gt;0,1,0))</f>
        <v/>
      </c>
      <c r="AU119">
        <f>IF(AU$4=0,0,IF(COUNTIFS(実績!$W$6:$W$505,AU$3,実績!$AC$6:$AC$505,"&lt;="&amp;$A119,実績!$AD$6:$AD$505,"&gt;"&amp;$A119,実績!$AE$6:$AE$505,"○")&gt;0,1,0))</f>
        <v/>
      </c>
      <c r="AV119">
        <f>IF(AV$4=0,0,IF(COUNTIFS(実績!$W$6:$W$505,AV$3,実績!$AC$6:$AC$505,"&lt;="&amp;$A119,実績!$AD$6:$AD$505,"&gt;"&amp;$A119,実績!$AE$6:$AE$505,"○")&gt;0,1,0))</f>
        <v/>
      </c>
      <c r="AW119">
        <f>IF(AW$4=0,0,IF(COUNTIFS(実績!$W$6:$W$505,AW$3,実績!$AC$6:$AC$505,"&lt;="&amp;$A119,実績!$AD$6:$AD$505,"&gt;"&amp;$A119,実績!$AE$6:$AE$505,"○")&gt;0,1,0))</f>
        <v/>
      </c>
      <c r="AX119">
        <f>IF(AX$4=0,0,IF(COUNTIFS(実績!$W$6:$W$505,AX$3,実績!$AC$6:$AC$505,"&lt;="&amp;$A119,実績!$AD$6:$AD$505,"&gt;"&amp;$A119,実績!$AE$6:$AE$505,"○")&gt;0,1,0))</f>
        <v/>
      </c>
      <c r="AY119">
        <f>IF(AY$4=0,0,IF(COUNTIFS(実績!$W$6:$W$505,AY$3,実績!$AC$6:$AC$505,"&lt;="&amp;$A119,実績!$AD$6:$AD$505,"&gt;"&amp;$A119,実績!$AE$6:$AE$505,"○")&gt;0,1,0))</f>
        <v/>
      </c>
      <c r="AZ119">
        <f>IF(AZ$4=0,0,IF(COUNTIFS(実績!$W$6:$W$505,AZ$3,実績!$AC$6:$AC$505,"&lt;="&amp;$A119,実績!$AD$6:$AD$505,"&gt;"&amp;$A119,実績!$AE$6:$AE$505,"○")&gt;0,1,0))</f>
        <v/>
      </c>
      <c r="BA119">
        <f>IF(BA$4=0,0,IF(COUNTIFS(実績!$W$6:$W$505,BA$3,実績!$AC$6:$AC$505,"&lt;="&amp;$A119,実績!$AD$6:$AD$505,"&gt;"&amp;$A119,実績!$AE$6:$AE$505,"○")&gt;0,1,0))</f>
        <v/>
      </c>
      <c r="BB119">
        <f>IF(BB$4=0,0,IF(COUNTIFS(実績!$W$6:$W$505,BB$3,実績!$AC$6:$AC$505,"&lt;="&amp;$A119,実績!$AD$6:$AD$505,"&gt;"&amp;$A119,実績!$AE$6:$AE$505,"○")&gt;0,1,0))</f>
        <v/>
      </c>
      <c r="BC119">
        <f>IF(BC$4=0,0,IF(COUNTIFS(実績!$W$6:$W$505,BC$3,実績!$AC$6:$AC$505,"&lt;="&amp;$A119,実績!$AD$6:$AD$505,"&gt;"&amp;$A119,実績!$AE$6:$AE$505,"○")&gt;0,1,0))</f>
        <v/>
      </c>
      <c r="BD119">
        <f>IF(BD$4=0,0,IF(COUNTIFS(実績!$W$6:$W$505,BD$3,実績!$AC$6:$AC$505,"&lt;="&amp;$A119,実績!$AD$6:$AD$505,"&gt;"&amp;$A119,実績!$AE$6:$AE$505,"○")&gt;0,1,0))</f>
        <v/>
      </c>
      <c r="BE119">
        <f>IF(BE$4=0,0,IF(COUNTIFS(実績!$W$6:$W$505,BE$3,実績!$AC$6:$AC$505,"&lt;="&amp;$A119,実績!$AD$6:$AD$505,"&gt;"&amp;$A119,実績!$AE$6:$AE$505,"○")&gt;0,1,0))</f>
        <v/>
      </c>
      <c r="BF119">
        <f>IF(BF$4=0,0,IF(COUNTIFS(実績!$W$6:$W$505,BF$3,実績!$AC$6:$AC$505,"&lt;="&amp;$A119,実績!$AD$6:$AD$505,"&gt;"&amp;$A119,実績!$AE$6:$AE$505,"○")&gt;0,1,0))</f>
        <v/>
      </c>
      <c r="BG119">
        <f>IF(BG$4=0,0,IF(COUNTIFS(実績!$W$6:$W$505,BG$3,実績!$AC$6:$AC$505,"&lt;="&amp;$A119,実績!$AD$6:$AD$505,"&gt;"&amp;$A119,実績!$AE$6:$AE$505,"○")&gt;0,1,0))</f>
        <v/>
      </c>
      <c r="BH119">
        <f>IF(BH$4=0,0,IF(COUNTIFS(実績!$W$6:$W$505,BH$3,実績!$AC$6:$AC$505,"&lt;="&amp;$A119,実績!$AD$6:$AD$505,"&gt;"&amp;$A119,実績!$AE$6:$AE$505,"○")&gt;0,1,0))</f>
        <v/>
      </c>
      <c r="BI119">
        <f>IF(BI$4=0,0,IF(COUNTIFS(実績!$W$6:$W$505,BI$3,実績!$AC$6:$AC$505,"&lt;="&amp;$A119,実績!$AD$6:$AD$505,"&gt;"&amp;$A119,実績!$AE$6:$AE$505,"○")&gt;0,1,0))</f>
        <v/>
      </c>
      <c r="BJ119">
        <f>IF(BJ$4=0,0,IF(COUNTIFS(実績!$W$6:$W$505,BJ$3,実績!$AC$6:$AC$505,"&lt;="&amp;$A119,実績!$AD$6:$AD$505,"&gt;"&amp;$A119,実績!$AE$6:$AE$505,"○")&gt;0,1,0))</f>
        <v/>
      </c>
      <c r="BK119">
        <f>IF(BK$4=0,0,IF(COUNTIFS(実績!$W$6:$W$505,BK$3,実績!$AC$6:$AC$505,"&lt;="&amp;$A119,実績!$AD$6:$AD$505,"&gt;"&amp;$A119,実績!$AE$6:$AE$505,"○")&gt;0,1,0))</f>
        <v/>
      </c>
      <c r="BL119">
        <f>IF(BL$4=0,0,IF(COUNTIFS(実績!$W$6:$W$505,BL$3,実績!$AC$6:$AC$505,"&lt;="&amp;$A119,実績!$AD$6:$AD$505,"&gt;"&amp;$A119,実績!$AE$6:$AE$505,"○")&gt;0,1,0))</f>
        <v/>
      </c>
      <c r="BM119">
        <f>IF(BM$4=0,0,IF(COUNTIFS(実績!$W$6:$W$505,BM$3,実績!$AC$6:$AC$505,"&lt;="&amp;$A119,実績!$AD$6:$AD$505,"&gt;"&amp;$A119,実績!$AE$6:$AE$505,"○")&gt;0,1,0))</f>
        <v/>
      </c>
      <c r="BN119">
        <f>IF(BN$4=0,0,IF(COUNTIFS(実績!$W$6:$W$505,BN$3,実績!$AC$6:$AC$505,"&lt;="&amp;$A119,実績!$AD$6:$AD$505,"&gt;"&amp;$A119,実績!$AE$6:$AE$505,"○")&gt;0,1,0))</f>
        <v/>
      </c>
      <c r="BO119">
        <f>IF(BO$4=0,0,IF(COUNTIFS(実績!$W$6:$W$505,BO$3,実績!$AC$6:$AC$505,"&lt;="&amp;$A119,実績!$AD$6:$AD$505,"&gt;"&amp;$A119,実績!$AE$6:$AE$505,"○")&gt;0,1,0))</f>
        <v/>
      </c>
      <c r="BP119">
        <f>IF(BP$4=0,0,IF(COUNTIFS(実績!$W$6:$W$505,BP$3,実績!$AC$6:$AC$505,"&lt;="&amp;$A119,実績!$AD$6:$AD$505,"&gt;"&amp;$A119,実績!$AE$6:$AE$505,"○")&gt;0,1,0))</f>
        <v/>
      </c>
      <c r="BQ119">
        <f>IF(BQ$4=0,0,IF(COUNTIFS(実績!$W$6:$W$505,BQ$3,実績!$AC$6:$AC$505,"&lt;="&amp;$A119,実績!$AD$6:$AD$505,"&gt;"&amp;$A119,実績!$AE$6:$AE$505,"○")&gt;0,1,0))</f>
        <v/>
      </c>
      <c r="BR119">
        <f>IF(BR$4=0,0,IF(COUNTIFS(実績!$W$6:$W$505,BR$3,実績!$AC$6:$AC$505,"&lt;="&amp;$A119,実績!$AD$6:$AD$505,"&gt;"&amp;$A119,実績!$AE$6:$AE$505,"○")&gt;0,1,0))</f>
        <v/>
      </c>
      <c r="BS119">
        <f>IF(BS$4=0,0,IF(COUNTIFS(実績!$W$6:$W$505,BS$3,実績!$AC$6:$AC$505,"&lt;="&amp;$A119,実績!$AD$6:$AD$505,"&gt;"&amp;$A119,実績!$AE$6:$AE$505,"○")&gt;0,1,0))</f>
        <v/>
      </c>
      <c r="BT119">
        <f>IF(BT$4=0,0,IF(COUNTIFS(実績!$W$6:$W$505,BT$3,実績!$AC$6:$AC$505,"&lt;="&amp;$A119,実績!$AD$6:$AD$505,"&gt;"&amp;$A119,実績!$AE$6:$AE$505,"○")&gt;0,1,0))</f>
        <v/>
      </c>
      <c r="BU119">
        <f>IF(BU$4=0,0,IF(COUNTIFS(実績!$W$6:$W$505,BU$3,実績!$AC$6:$AC$505,"&lt;="&amp;$A119,実績!$AD$6:$AD$505,"&gt;"&amp;$A119,実績!$AE$6:$AE$505,"○")&gt;0,1,0))</f>
        <v/>
      </c>
      <c r="BV119">
        <f>IF(BV$4=0,0,IF(COUNTIFS(実績!$W$6:$W$505,BV$3,実績!$AC$6:$AC$505,"&lt;="&amp;$A119,実績!$AD$6:$AD$505,"&gt;"&amp;$A119,実績!$AE$6:$AE$505,"○")&gt;0,1,0))</f>
        <v/>
      </c>
      <c r="BW119">
        <f>IF(BW$4=0,0,IF(COUNTIFS(実績!$W$6:$W$505,BW$3,実績!$AC$6:$AC$505,"&lt;="&amp;$A119,実績!$AD$6:$AD$505,"&gt;"&amp;$A119,実績!$AE$6:$AE$505,"○")&gt;0,1,0))</f>
        <v/>
      </c>
      <c r="BX119">
        <f>IF(BX$4=0,0,IF(COUNTIFS(実績!$W$6:$W$505,BX$3,実績!$AC$6:$AC$505,"&lt;="&amp;$A119,実績!$AD$6:$AD$505,"&gt;"&amp;$A119,実績!$AE$6:$AE$505,"○")&gt;0,1,0))</f>
        <v/>
      </c>
      <c r="BY119">
        <f>IF(BY$4=0,0,IF(COUNTIFS(実績!$W$6:$W$505,BY$3,実績!$AC$6:$AC$505,"&lt;="&amp;$A119,実績!$AD$6:$AD$505,"&gt;"&amp;$A119,実績!$AE$6:$AE$505,"○")&gt;0,1,0))</f>
        <v/>
      </c>
      <c r="BZ119">
        <f>IF(BZ$4=0,0,IF(COUNTIFS(実績!$W$6:$W$505,BZ$3,実績!$AC$6:$AC$505,"&lt;="&amp;$A119,実績!$AD$6:$AD$505,"&gt;"&amp;$A119,実績!$AE$6:$AE$505,"○")&gt;0,1,0))</f>
        <v/>
      </c>
      <c r="CA119">
        <f>IF(CA$4=0,0,IF(COUNTIFS(実績!$W$6:$W$505,CA$3,実績!$AC$6:$AC$505,"&lt;="&amp;$A119,実績!$AD$6:$AD$505,"&gt;"&amp;$A119,実績!$AE$6:$AE$505,"○")&gt;0,1,0))</f>
        <v/>
      </c>
      <c r="CB119">
        <f>IF(CB$4=0,0,IF(COUNTIFS(実績!$W$6:$W$505,CB$3,実績!$AC$6:$AC$505,"&lt;="&amp;$A119,実績!$AD$6:$AD$505,"&gt;"&amp;$A119,実績!$AE$6:$AE$505,"○")&gt;0,1,0))</f>
        <v/>
      </c>
      <c r="CC119">
        <f>IF(CC$4=0,0,IF(COUNTIFS(実績!$W$6:$W$505,CC$3,実績!$AC$6:$AC$505,"&lt;="&amp;$A119,実績!$AD$6:$AD$505,"&gt;"&amp;$A119,実績!$AE$6:$AE$505,"○")&gt;0,1,0))</f>
        <v/>
      </c>
      <c r="CD119">
        <f>IF(CD$4=0,0,IF(COUNTIFS(実績!$W$6:$W$505,CD$3,実績!$AC$6:$AC$505,"&lt;="&amp;$A119,実績!$AD$6:$AD$505,"&gt;"&amp;$A119,実績!$AE$6:$AE$505,"○")&gt;0,1,0))</f>
        <v/>
      </c>
      <c r="CE119">
        <f>IF(CE$4=0,0,IF(COUNTIFS(実績!$W$6:$W$505,CE$3,実績!$AC$6:$AC$505,"&lt;="&amp;$A119,実績!$AD$6:$AD$505,"&gt;"&amp;$A119,実績!$AE$6:$AE$505,"○")&gt;0,1,0))</f>
        <v/>
      </c>
      <c r="CF119">
        <f>IF(CF$4=0,0,IF(COUNTIFS(実績!$W$6:$W$505,CF$3,実績!$AC$6:$AC$505,"&lt;="&amp;$A119,実績!$AD$6:$AD$505,"&gt;"&amp;$A119,実績!$AE$6:$AE$505,"○")&gt;0,1,0))</f>
        <v/>
      </c>
      <c r="CG119">
        <f>IF(CG$4=0,0,IF(COUNTIFS(実績!$W$6:$W$505,CG$3,実績!$AC$6:$AC$505,"&lt;="&amp;$A119,実績!$AD$6:$AD$505,"&gt;"&amp;$A119,実績!$AE$6:$AE$505,"○")&gt;0,1,0))</f>
        <v/>
      </c>
      <c r="CH119">
        <f>IF(CH$4=0,0,IF(COUNTIFS(実績!$W$6:$W$505,CH$3,実績!$AC$6:$AC$505,"&lt;="&amp;$A119,実績!$AD$6:$AD$505,"&gt;"&amp;$A119,実績!$AE$6:$AE$505,"○")&gt;0,1,0))</f>
        <v/>
      </c>
      <c r="CI119">
        <f>IF(CI$4=0,0,IF(COUNTIFS(実績!$W$6:$W$505,CI$3,実績!$AC$6:$AC$505,"&lt;="&amp;$A119,実績!$AD$6:$AD$505,"&gt;"&amp;$A119,実績!$AE$6:$AE$505,"○")&gt;0,1,0))</f>
        <v/>
      </c>
      <c r="CJ119">
        <f>IF(CJ$4=0,0,IF(COUNTIFS(実績!$W$6:$W$505,CJ$3,実績!$AC$6:$AC$505,"&lt;="&amp;$A119,実績!$AD$6:$AD$505,"&gt;"&amp;$A119,実績!$AE$6:$AE$505,"○")&gt;0,1,0))</f>
        <v/>
      </c>
      <c r="CK119">
        <f>IF(CK$4=0,0,IF(COUNTIFS(実績!$W$6:$W$505,CK$3,実績!$AC$6:$AC$505,"&lt;="&amp;$A119,実績!$AD$6:$AD$505,"&gt;"&amp;$A119,実績!$AE$6:$AE$505,"○")&gt;0,1,0))</f>
        <v/>
      </c>
      <c r="CL119">
        <f>IF(CL$4=0,0,IF(COUNTIFS(実績!$W$6:$W$505,CL$3,実績!$AC$6:$AC$505,"&lt;="&amp;$A119,実績!$AD$6:$AD$505,"&gt;"&amp;$A119,実績!$AE$6:$AE$505,"○")&gt;0,1,0))</f>
        <v/>
      </c>
      <c r="CM119">
        <f>IF(CM$4=0,0,IF(COUNTIFS(実績!$W$6:$W$505,CM$3,実績!$AC$6:$AC$505,"&lt;="&amp;$A119,実績!$AD$6:$AD$505,"&gt;"&amp;$A119,実績!$AE$6:$AE$505,"○")&gt;0,1,0))</f>
        <v/>
      </c>
      <c r="CN119">
        <f>IF(CN$4=0,0,IF(COUNTIFS(実績!$W$6:$W$505,CN$3,実績!$AC$6:$AC$505,"&lt;="&amp;$A119,実績!$AD$6:$AD$505,"&gt;"&amp;$A119,実績!$AE$6:$AE$505,"○")&gt;0,1,0))</f>
        <v/>
      </c>
      <c r="CO119">
        <f>IF(CO$4=0,0,IF(COUNTIFS(実績!$W$6:$W$505,CO$3,実績!$AC$6:$AC$505,"&lt;="&amp;$A119,実績!$AD$6:$AD$505,"&gt;"&amp;$A119,実績!$AE$6:$AE$505,"○")&gt;0,1,0))</f>
        <v/>
      </c>
      <c r="CP119">
        <f>IF(CP$4=0,0,IF(COUNTIFS(実績!$W$6:$W$505,CP$3,実績!$AC$6:$AC$505,"&lt;="&amp;$A119,実績!$AD$6:$AD$505,"&gt;"&amp;$A119,実績!$AE$6:$AE$505,"○")&gt;0,1,0))</f>
        <v/>
      </c>
      <c r="CQ119">
        <f>IF(CQ$4=0,0,IF(COUNTIFS(実績!$W$6:$W$505,CQ$3,実績!$AC$6:$AC$505,"&lt;="&amp;$A119,実績!$AD$6:$AD$505,"&gt;"&amp;$A119,実績!$AE$6:$AE$505,"○")&gt;0,1,0))</f>
        <v/>
      </c>
      <c r="CR119">
        <f>IF(CR$4=0,0,IF(COUNTIFS(実績!$W$6:$W$505,CR$3,実績!$AC$6:$AC$505,"&lt;="&amp;$A119,実績!$AD$6:$AD$505,"&gt;"&amp;$A119,実績!$AE$6:$AE$505,"○")&gt;0,1,0))</f>
        <v/>
      </c>
      <c r="CS119">
        <f>IF(CS$4=0,0,IF(COUNTIFS(実績!$W$6:$W$505,CS$3,実績!$AC$6:$AC$505,"&lt;="&amp;$A119,実績!$AD$6:$AD$505,"&gt;"&amp;$A119,実績!$AE$6:$AE$505,"○")&gt;0,1,0))</f>
        <v/>
      </c>
      <c r="CT119">
        <f>IF(CT$4=0,0,IF(COUNTIFS(実績!$W$6:$W$505,CT$3,実績!$AC$6:$AC$505,"&lt;="&amp;$A119,実績!$AD$6:$AD$505,"&gt;"&amp;$A119,実績!$AE$6:$AE$505,"○")&gt;0,1,0))</f>
        <v/>
      </c>
      <c r="CU119">
        <f>IF(CU$4=0,0,IF(COUNTIFS(実績!$W$6:$W$505,CU$3,実績!$AC$6:$AC$505,"&lt;="&amp;$A119,実績!$AD$6:$AD$505,"&gt;"&amp;$A119,実績!$AE$6:$AE$505,"○")&gt;0,1,0))</f>
        <v/>
      </c>
      <c r="CV119">
        <f>IF(CV$4=0,0,IF(COUNTIFS(実績!$W$6:$W$505,CV$3,実績!$AC$6:$AC$505,"&lt;="&amp;$A119,実績!$AD$6:$AD$505,"&gt;"&amp;$A119,実績!$AE$6:$AE$505,"○")&gt;0,1,0))</f>
        <v/>
      </c>
      <c r="CW119">
        <f>IF(CW$4=0,0,IF(COUNTIFS(実績!$W$6:$W$505,CW$3,実績!$AC$6:$AC$505,"&lt;="&amp;$A119,実績!$AD$6:$AD$505,"&gt;"&amp;$A119,実績!$AE$6:$AE$505,"○")&gt;0,1,0))</f>
        <v/>
      </c>
      <c r="CX119">
        <f>IF(CX$4=0,0,IF(COUNTIFS(実績!$W$6:$W$505,CX$3,実績!$AC$6:$AC$505,"&lt;="&amp;$A119,実績!$AD$6:$AD$505,"&gt;"&amp;$A119,実績!$AE$6:$AE$505,"○")&gt;0,1,0))</f>
        <v/>
      </c>
      <c r="CY119">
        <f>IF(CY$4=0,0,IF(COUNTIFS(実績!$W$6:$W$505,CY$3,実績!$AC$6:$AC$505,"&lt;="&amp;$A119,実績!$AD$6:$AD$505,"&gt;"&amp;$A119,実績!$AE$6:$AE$505,"○")&gt;0,1,0))</f>
        <v/>
      </c>
      <c r="CZ119">
        <f>IF(CZ$4=0,0,IF(COUNTIFS(実績!$W$6:$W$505,CZ$3,実績!$AC$6:$AC$505,"&lt;="&amp;$A119,実績!$AD$6:$AD$505,"&gt;"&amp;$A119,実績!$AE$6:$AE$505,"○")&gt;0,1,0))</f>
        <v/>
      </c>
      <c r="DA119">
        <f>IF(DA$4=0,0,IF(COUNTIFS(実績!$W$6:$W$505,DA$3,実績!$AC$6:$AC$505,"&lt;="&amp;$A119,実績!$AD$6:$AD$505,"&gt;"&amp;$A119,実績!$AE$6:$AE$505,"○")&gt;0,1,0))</f>
        <v/>
      </c>
      <c r="DB119">
        <f>IF(DB$4=0,0,IF(COUNTIFS(実績!$W$6:$W$505,DB$3,実績!$AC$6:$AC$505,"&lt;="&amp;$A119,実績!$AD$6:$AD$505,"&gt;"&amp;$A119,実績!$AE$6:$AE$505,"○")&gt;0,1,0))</f>
        <v/>
      </c>
      <c r="DC119">
        <f>IF(DC$4=0,0,IF(COUNTIFS(実績!$W$6:$W$505,DC$3,実績!$AC$6:$AC$505,"&lt;="&amp;$A119,実績!$AD$6:$AD$505,"&gt;"&amp;$A119,実績!$AE$6:$AE$505,"○")&gt;0,1,0))</f>
        <v/>
      </c>
      <c r="DD119">
        <f>IF(DD$4=0,0,IF(COUNTIFS(実績!$W$6:$W$505,DD$3,実績!$AC$6:$AC$505,"&lt;="&amp;$A119,実績!$AD$6:$AD$505,"&gt;"&amp;$A119,実績!$AE$6:$AE$505,"○")&gt;0,1,0))</f>
        <v/>
      </c>
      <c r="DE119">
        <f>IF(DE$4=0,0,IF(COUNTIFS(実績!$W$6:$W$505,DE$3,実績!$AC$6:$AC$505,"&lt;="&amp;$A119,実績!$AD$6:$AD$505,"&gt;"&amp;$A119,実績!$AE$6:$AE$505,"○")&gt;0,1,0))</f>
        <v/>
      </c>
      <c r="DF119">
        <f>IF(DF$4=0,0,IF(COUNTIFS(実績!$W$6:$W$505,DF$3,実績!$AC$6:$AC$505,"&lt;="&amp;$A119,実績!$AD$6:$AD$505,"&gt;"&amp;$A119,実績!$AE$6:$AE$505,"○")&gt;0,1,0))</f>
        <v/>
      </c>
      <c r="DG119">
        <f>IF(DG$4=0,0,IF(COUNTIFS(実績!$W$6:$W$505,DG$3,実績!$AC$6:$AC$505,"&lt;="&amp;$A119,実績!$AD$6:$AD$505,"&gt;"&amp;$A119,実績!$AE$6:$AE$505,"○")&gt;0,1,0))</f>
        <v/>
      </c>
      <c r="DH119">
        <f>IF(DH$4=0,0,IF(COUNTIFS(実績!$W$6:$W$505,DH$3,実績!$AC$6:$AC$505,"&lt;="&amp;$A119,実績!$AD$6:$AD$505,"&gt;"&amp;$A119,実績!$AE$6:$AE$505,"○")&gt;0,1,0))</f>
        <v/>
      </c>
      <c r="DI119">
        <f>IF(DI$4=0,0,IF(COUNTIFS(実績!$W$6:$W$505,DI$3,実績!$AC$6:$AC$505,"&lt;="&amp;$A119,実績!$AD$6:$AD$505,"&gt;"&amp;$A119,実績!$AE$6:$AE$505,"○")&gt;0,1,0))</f>
        <v/>
      </c>
      <c r="DJ119">
        <f>IF(DJ$4=0,0,IF(COUNTIFS(実績!$W$6:$W$505,DJ$3,実績!$AC$6:$AC$505,"&lt;="&amp;$A119,実績!$AD$6:$AD$505,"&gt;"&amp;$A119,実績!$AE$6:$AE$505,"○")&gt;0,1,0))</f>
        <v/>
      </c>
      <c r="DK119">
        <f>IF(DK$4=0,0,IF(COUNTIFS(実績!$W$6:$W$505,DK$3,実績!$AC$6:$AC$505,"&lt;="&amp;$A119,実績!$AD$6:$AD$505,"&gt;"&amp;$A119,実績!$AE$6:$AE$505,"○")&gt;0,1,0))</f>
        <v/>
      </c>
      <c r="DL119">
        <f>IF(DL$4=0,0,IF(COUNTIFS(実績!$W$6:$W$505,DL$3,実績!$AC$6:$AC$505,"&lt;="&amp;$A119,実績!$AD$6:$AD$505,"&gt;"&amp;$A119,実績!$AE$6:$AE$505,"○")&gt;0,1,0))</f>
        <v/>
      </c>
      <c r="DM119">
        <f>IF(DM$4=0,0,IF(COUNTIFS(実績!$W$6:$W$505,DM$3,実績!$AC$6:$AC$505,"&lt;="&amp;$A119,実績!$AD$6:$AD$505,"&gt;"&amp;$A119,実績!$AE$6:$AE$505,"○")&gt;0,1,0))</f>
        <v/>
      </c>
      <c r="DN119">
        <f>IF(DN$4=0,0,IF(COUNTIFS(実績!$W$6:$W$505,DN$3,実績!$AC$6:$AC$505,"&lt;="&amp;$A119,実績!$AD$6:$AD$505,"&gt;"&amp;$A119,実績!$AE$6:$AE$505,"○")&gt;0,1,0))</f>
        <v/>
      </c>
      <c r="DO119">
        <f>IF(DO$4=0,0,IF(COUNTIFS(実績!$W$6:$W$505,DO$3,実績!$AC$6:$AC$505,"&lt;="&amp;$A119,実績!$AD$6:$AD$505,"&gt;"&amp;$A119,実績!$AE$6:$AE$505,"○")&gt;0,1,0))</f>
        <v/>
      </c>
      <c r="DP119">
        <f>IF(DP$4=0,0,IF(COUNTIFS(実績!$W$6:$W$505,DP$3,実績!$AC$6:$AC$505,"&lt;="&amp;$A119,実績!$AD$6:$AD$505,"&gt;"&amp;$A119,実績!$AE$6:$AE$505,"○")&gt;0,1,0))</f>
        <v/>
      </c>
      <c r="DQ119">
        <f>IF(DQ$4=0,0,IF(COUNTIFS(実績!$W$6:$W$505,DQ$3,実績!$AC$6:$AC$505,"&lt;="&amp;$A119,実績!$AD$6:$AD$505,"&gt;"&amp;$A119,実績!$AE$6:$AE$505,"○")&gt;0,1,0))</f>
        <v/>
      </c>
      <c r="DR119">
        <f>IF(DR$4=0,0,IF(COUNTIFS(実績!$W$6:$W$505,DR$3,実績!$AC$6:$AC$505,"&lt;="&amp;$A119,実績!$AD$6:$AD$505,"&gt;"&amp;$A119,実績!$AE$6:$AE$505,"○")&gt;0,1,0))</f>
        <v/>
      </c>
      <c r="DS119">
        <f>SUM(C119:DR119)</f>
        <v/>
      </c>
      <c r="DT119">
        <f>SUMPRODUCT((実績!$C$6:$C$505="○")*ISNUMBER(実績!$AF$6:$AF$505)*(実績!$AF$6:$AF$505&lt;=$A119)*(実績!$AG$6:$AG$505&gt;$A119))</f>
        <v/>
      </c>
      <c r="DU119">
        <f>SUMIF($C$2:$DR$2,"製鉄曳船",C119:DR119)</f>
        <v/>
      </c>
      <c r="DV119">
        <f>SUMIF($C$2:$DR$2,"西日本海運",C119:DR119)</f>
        <v/>
      </c>
    </row>
    <row r="120">
      <c r="A120" t="n">
        <v>570</v>
      </c>
      <c r="B120" s="29">
        <f>A120/1440</f>
        <v/>
      </c>
      <c r="C120">
        <f>IF(C$4=0,0,IF(COUNTIFS(実績!$W$6:$W$505,C$3,実績!$AC$6:$AC$505,"&lt;="&amp;$A120,実績!$AD$6:$AD$505,"&gt;"&amp;$A120,実績!$AE$6:$AE$505,"○")&gt;0,1,0))</f>
        <v/>
      </c>
      <c r="D120">
        <f>IF(D$4=0,0,IF(COUNTIFS(実績!$W$6:$W$505,D$3,実績!$AC$6:$AC$505,"&lt;="&amp;$A120,実績!$AD$6:$AD$505,"&gt;"&amp;$A120,実績!$AE$6:$AE$505,"○")&gt;0,1,0))</f>
        <v/>
      </c>
      <c r="E120">
        <f>IF(E$4=0,0,IF(COUNTIFS(実績!$W$6:$W$505,E$3,実績!$AC$6:$AC$505,"&lt;="&amp;$A120,実績!$AD$6:$AD$505,"&gt;"&amp;$A120,実績!$AE$6:$AE$505,"○")&gt;0,1,0))</f>
        <v/>
      </c>
      <c r="F120">
        <f>IF(F$4=0,0,IF(COUNTIFS(実績!$W$6:$W$505,F$3,実績!$AC$6:$AC$505,"&lt;="&amp;$A120,実績!$AD$6:$AD$505,"&gt;"&amp;$A120,実績!$AE$6:$AE$505,"○")&gt;0,1,0))</f>
        <v/>
      </c>
      <c r="G120">
        <f>IF(G$4=0,0,IF(COUNTIFS(実績!$W$6:$W$505,G$3,実績!$AC$6:$AC$505,"&lt;="&amp;$A120,実績!$AD$6:$AD$505,"&gt;"&amp;$A120,実績!$AE$6:$AE$505,"○")&gt;0,1,0))</f>
        <v/>
      </c>
      <c r="H120">
        <f>IF(H$4=0,0,IF(COUNTIFS(実績!$W$6:$W$505,H$3,実績!$AC$6:$AC$505,"&lt;="&amp;$A120,実績!$AD$6:$AD$505,"&gt;"&amp;$A120,実績!$AE$6:$AE$505,"○")&gt;0,1,0))</f>
        <v/>
      </c>
      <c r="I120">
        <f>IF(I$4=0,0,IF(COUNTIFS(実績!$W$6:$W$505,I$3,実績!$AC$6:$AC$505,"&lt;="&amp;$A120,実績!$AD$6:$AD$505,"&gt;"&amp;$A120,実績!$AE$6:$AE$505,"○")&gt;0,1,0))</f>
        <v/>
      </c>
      <c r="J120">
        <f>IF(J$4=0,0,IF(COUNTIFS(実績!$W$6:$W$505,J$3,実績!$AC$6:$AC$505,"&lt;="&amp;$A120,実績!$AD$6:$AD$505,"&gt;"&amp;$A120,実績!$AE$6:$AE$505,"○")&gt;0,1,0))</f>
        <v/>
      </c>
      <c r="K120">
        <f>IF(K$4=0,0,IF(COUNTIFS(実績!$W$6:$W$505,K$3,実績!$AC$6:$AC$505,"&lt;="&amp;$A120,実績!$AD$6:$AD$505,"&gt;"&amp;$A120,実績!$AE$6:$AE$505,"○")&gt;0,1,0))</f>
        <v/>
      </c>
      <c r="L120">
        <f>IF(L$4=0,0,IF(COUNTIFS(実績!$W$6:$W$505,L$3,実績!$AC$6:$AC$505,"&lt;="&amp;$A120,実績!$AD$6:$AD$505,"&gt;"&amp;$A120,実績!$AE$6:$AE$505,"○")&gt;0,1,0))</f>
        <v/>
      </c>
      <c r="M120">
        <f>IF(M$4=0,0,IF(COUNTIFS(実績!$W$6:$W$505,M$3,実績!$AC$6:$AC$505,"&lt;="&amp;$A120,実績!$AD$6:$AD$505,"&gt;"&amp;$A120,実績!$AE$6:$AE$505,"○")&gt;0,1,0))</f>
        <v/>
      </c>
      <c r="N120">
        <f>IF(N$4=0,0,IF(COUNTIFS(実績!$W$6:$W$505,N$3,実績!$AC$6:$AC$505,"&lt;="&amp;$A120,実績!$AD$6:$AD$505,"&gt;"&amp;$A120,実績!$AE$6:$AE$505,"○")&gt;0,1,0))</f>
        <v/>
      </c>
      <c r="O120">
        <f>IF(O$4=0,0,IF(COUNTIFS(実績!$W$6:$W$505,O$3,実績!$AC$6:$AC$505,"&lt;="&amp;$A120,実績!$AD$6:$AD$505,"&gt;"&amp;$A120,実績!$AE$6:$AE$505,"○")&gt;0,1,0))</f>
        <v/>
      </c>
      <c r="P120">
        <f>IF(P$4=0,0,IF(COUNTIFS(実績!$W$6:$W$505,P$3,実績!$AC$6:$AC$505,"&lt;="&amp;$A120,実績!$AD$6:$AD$505,"&gt;"&amp;$A120,実績!$AE$6:$AE$505,"○")&gt;0,1,0))</f>
        <v/>
      </c>
      <c r="Q120">
        <f>IF(Q$4=0,0,IF(COUNTIFS(実績!$W$6:$W$505,Q$3,実績!$AC$6:$AC$505,"&lt;="&amp;$A120,実績!$AD$6:$AD$505,"&gt;"&amp;$A120,実績!$AE$6:$AE$505,"○")&gt;0,1,0))</f>
        <v/>
      </c>
      <c r="R120">
        <f>IF(R$4=0,0,IF(COUNTIFS(実績!$W$6:$W$505,R$3,実績!$AC$6:$AC$505,"&lt;="&amp;$A120,実績!$AD$6:$AD$505,"&gt;"&amp;$A120,実績!$AE$6:$AE$505,"○")&gt;0,1,0))</f>
        <v/>
      </c>
      <c r="S120">
        <f>IF(S$4=0,0,IF(COUNTIFS(実績!$W$6:$W$505,S$3,実績!$AC$6:$AC$505,"&lt;="&amp;$A120,実績!$AD$6:$AD$505,"&gt;"&amp;$A120,実績!$AE$6:$AE$505,"○")&gt;0,1,0))</f>
        <v/>
      </c>
      <c r="T120">
        <f>IF(T$4=0,0,IF(COUNTIFS(実績!$W$6:$W$505,T$3,実績!$AC$6:$AC$505,"&lt;="&amp;$A120,実績!$AD$6:$AD$505,"&gt;"&amp;$A120,実績!$AE$6:$AE$505,"○")&gt;0,1,0))</f>
        <v/>
      </c>
      <c r="U120">
        <f>IF(U$4=0,0,IF(COUNTIFS(実績!$W$6:$W$505,U$3,実績!$AC$6:$AC$505,"&lt;="&amp;$A120,実績!$AD$6:$AD$505,"&gt;"&amp;$A120,実績!$AE$6:$AE$505,"○")&gt;0,1,0))</f>
        <v/>
      </c>
      <c r="V120">
        <f>IF(V$4=0,0,IF(COUNTIFS(実績!$W$6:$W$505,V$3,実績!$AC$6:$AC$505,"&lt;="&amp;$A120,実績!$AD$6:$AD$505,"&gt;"&amp;$A120,実績!$AE$6:$AE$505,"○")&gt;0,1,0))</f>
        <v/>
      </c>
      <c r="W120">
        <f>IF(W$4=0,0,IF(COUNTIFS(実績!$W$6:$W$505,W$3,実績!$AC$6:$AC$505,"&lt;="&amp;$A120,実績!$AD$6:$AD$505,"&gt;"&amp;$A120,実績!$AE$6:$AE$505,"○")&gt;0,1,0))</f>
        <v/>
      </c>
      <c r="X120">
        <f>IF(X$4=0,0,IF(COUNTIFS(実績!$W$6:$W$505,X$3,実績!$AC$6:$AC$505,"&lt;="&amp;$A120,実績!$AD$6:$AD$505,"&gt;"&amp;$A120,実績!$AE$6:$AE$505,"○")&gt;0,1,0))</f>
        <v/>
      </c>
      <c r="Y120">
        <f>IF(Y$4=0,0,IF(COUNTIFS(実績!$W$6:$W$505,Y$3,実績!$AC$6:$AC$505,"&lt;="&amp;$A120,実績!$AD$6:$AD$505,"&gt;"&amp;$A120,実績!$AE$6:$AE$505,"○")&gt;0,1,0))</f>
        <v/>
      </c>
      <c r="Z120">
        <f>IF(Z$4=0,0,IF(COUNTIFS(実績!$W$6:$W$505,Z$3,実績!$AC$6:$AC$505,"&lt;="&amp;$A120,実績!$AD$6:$AD$505,"&gt;"&amp;$A120,実績!$AE$6:$AE$505,"○")&gt;0,1,0))</f>
        <v/>
      </c>
      <c r="AA120">
        <f>IF(AA$4=0,0,IF(COUNTIFS(実績!$W$6:$W$505,AA$3,実績!$AC$6:$AC$505,"&lt;="&amp;$A120,実績!$AD$6:$AD$505,"&gt;"&amp;$A120,実績!$AE$6:$AE$505,"○")&gt;0,1,0))</f>
        <v/>
      </c>
      <c r="AB120">
        <f>IF(AB$4=0,0,IF(COUNTIFS(実績!$W$6:$W$505,AB$3,実績!$AC$6:$AC$505,"&lt;="&amp;$A120,実績!$AD$6:$AD$505,"&gt;"&amp;$A120,実績!$AE$6:$AE$505,"○")&gt;0,1,0))</f>
        <v/>
      </c>
      <c r="AC120">
        <f>IF(AC$4=0,0,IF(COUNTIFS(実績!$W$6:$W$505,AC$3,実績!$AC$6:$AC$505,"&lt;="&amp;$A120,実績!$AD$6:$AD$505,"&gt;"&amp;$A120,実績!$AE$6:$AE$505,"○")&gt;0,1,0))</f>
        <v/>
      </c>
      <c r="AD120">
        <f>IF(AD$4=0,0,IF(COUNTIFS(実績!$W$6:$W$505,AD$3,実績!$AC$6:$AC$505,"&lt;="&amp;$A120,実績!$AD$6:$AD$505,"&gt;"&amp;$A120,実績!$AE$6:$AE$505,"○")&gt;0,1,0))</f>
        <v/>
      </c>
      <c r="AE120">
        <f>IF(AE$4=0,0,IF(COUNTIFS(実績!$W$6:$W$505,AE$3,実績!$AC$6:$AC$505,"&lt;="&amp;$A120,実績!$AD$6:$AD$505,"&gt;"&amp;$A120,実績!$AE$6:$AE$505,"○")&gt;0,1,0))</f>
        <v/>
      </c>
      <c r="AF120">
        <f>IF(AF$4=0,0,IF(COUNTIFS(実績!$W$6:$W$505,AF$3,実績!$AC$6:$AC$505,"&lt;="&amp;$A120,実績!$AD$6:$AD$505,"&gt;"&amp;$A120,実績!$AE$6:$AE$505,"○")&gt;0,1,0))</f>
        <v/>
      </c>
      <c r="AG120">
        <f>IF(AG$4=0,0,IF(COUNTIFS(実績!$W$6:$W$505,AG$3,実績!$AC$6:$AC$505,"&lt;="&amp;$A120,実績!$AD$6:$AD$505,"&gt;"&amp;$A120,実績!$AE$6:$AE$505,"○")&gt;0,1,0))</f>
        <v/>
      </c>
      <c r="AH120">
        <f>IF(AH$4=0,0,IF(COUNTIFS(実績!$W$6:$W$505,AH$3,実績!$AC$6:$AC$505,"&lt;="&amp;$A120,実績!$AD$6:$AD$505,"&gt;"&amp;$A120,実績!$AE$6:$AE$505,"○")&gt;0,1,0))</f>
        <v/>
      </c>
      <c r="AI120">
        <f>IF(AI$4=0,0,IF(COUNTIFS(実績!$W$6:$W$505,AI$3,実績!$AC$6:$AC$505,"&lt;="&amp;$A120,実績!$AD$6:$AD$505,"&gt;"&amp;$A120,実績!$AE$6:$AE$505,"○")&gt;0,1,0))</f>
        <v/>
      </c>
      <c r="AJ120">
        <f>IF(AJ$4=0,0,IF(COUNTIFS(実績!$W$6:$W$505,AJ$3,実績!$AC$6:$AC$505,"&lt;="&amp;$A120,実績!$AD$6:$AD$505,"&gt;"&amp;$A120,実績!$AE$6:$AE$505,"○")&gt;0,1,0))</f>
        <v/>
      </c>
      <c r="AK120">
        <f>IF(AK$4=0,0,IF(COUNTIFS(実績!$W$6:$W$505,AK$3,実績!$AC$6:$AC$505,"&lt;="&amp;$A120,実績!$AD$6:$AD$505,"&gt;"&amp;$A120,実績!$AE$6:$AE$505,"○")&gt;0,1,0))</f>
        <v/>
      </c>
      <c r="AL120">
        <f>IF(AL$4=0,0,IF(COUNTIFS(実績!$W$6:$W$505,AL$3,実績!$AC$6:$AC$505,"&lt;="&amp;$A120,実績!$AD$6:$AD$505,"&gt;"&amp;$A120,実績!$AE$6:$AE$505,"○")&gt;0,1,0))</f>
        <v/>
      </c>
      <c r="AM120">
        <f>IF(AM$4=0,0,IF(COUNTIFS(実績!$W$6:$W$505,AM$3,実績!$AC$6:$AC$505,"&lt;="&amp;$A120,実績!$AD$6:$AD$505,"&gt;"&amp;$A120,実績!$AE$6:$AE$505,"○")&gt;0,1,0))</f>
        <v/>
      </c>
      <c r="AN120">
        <f>IF(AN$4=0,0,IF(COUNTIFS(実績!$W$6:$W$505,AN$3,実績!$AC$6:$AC$505,"&lt;="&amp;$A120,実績!$AD$6:$AD$505,"&gt;"&amp;$A120,実績!$AE$6:$AE$505,"○")&gt;0,1,0))</f>
        <v/>
      </c>
      <c r="AO120">
        <f>IF(AO$4=0,0,IF(COUNTIFS(実績!$W$6:$W$505,AO$3,実績!$AC$6:$AC$505,"&lt;="&amp;$A120,実績!$AD$6:$AD$505,"&gt;"&amp;$A120,実績!$AE$6:$AE$505,"○")&gt;0,1,0))</f>
        <v/>
      </c>
      <c r="AP120">
        <f>IF(AP$4=0,0,IF(COUNTIFS(実績!$W$6:$W$505,AP$3,実績!$AC$6:$AC$505,"&lt;="&amp;$A120,実績!$AD$6:$AD$505,"&gt;"&amp;$A120,実績!$AE$6:$AE$505,"○")&gt;0,1,0))</f>
        <v/>
      </c>
      <c r="AQ120">
        <f>IF(AQ$4=0,0,IF(COUNTIFS(実績!$W$6:$W$505,AQ$3,実績!$AC$6:$AC$505,"&lt;="&amp;$A120,実績!$AD$6:$AD$505,"&gt;"&amp;$A120,実績!$AE$6:$AE$505,"○")&gt;0,1,0))</f>
        <v/>
      </c>
      <c r="AR120">
        <f>IF(AR$4=0,0,IF(COUNTIFS(実績!$W$6:$W$505,AR$3,実績!$AC$6:$AC$505,"&lt;="&amp;$A120,実績!$AD$6:$AD$505,"&gt;"&amp;$A120,実績!$AE$6:$AE$505,"○")&gt;0,1,0))</f>
        <v/>
      </c>
      <c r="AS120">
        <f>IF(AS$4=0,0,IF(COUNTIFS(実績!$W$6:$W$505,AS$3,実績!$AC$6:$AC$505,"&lt;="&amp;$A120,実績!$AD$6:$AD$505,"&gt;"&amp;$A120,実績!$AE$6:$AE$505,"○")&gt;0,1,0))</f>
        <v/>
      </c>
      <c r="AT120">
        <f>IF(AT$4=0,0,IF(COUNTIFS(実績!$W$6:$W$505,AT$3,実績!$AC$6:$AC$505,"&lt;="&amp;$A120,実績!$AD$6:$AD$505,"&gt;"&amp;$A120,実績!$AE$6:$AE$505,"○")&gt;0,1,0))</f>
        <v/>
      </c>
      <c r="AU120">
        <f>IF(AU$4=0,0,IF(COUNTIFS(実績!$W$6:$W$505,AU$3,実績!$AC$6:$AC$505,"&lt;="&amp;$A120,実績!$AD$6:$AD$505,"&gt;"&amp;$A120,実績!$AE$6:$AE$505,"○")&gt;0,1,0))</f>
        <v/>
      </c>
      <c r="AV120">
        <f>IF(AV$4=0,0,IF(COUNTIFS(実績!$W$6:$W$505,AV$3,実績!$AC$6:$AC$505,"&lt;="&amp;$A120,実績!$AD$6:$AD$505,"&gt;"&amp;$A120,実績!$AE$6:$AE$505,"○")&gt;0,1,0))</f>
        <v/>
      </c>
      <c r="AW120">
        <f>IF(AW$4=0,0,IF(COUNTIFS(実績!$W$6:$W$505,AW$3,実績!$AC$6:$AC$505,"&lt;="&amp;$A120,実績!$AD$6:$AD$505,"&gt;"&amp;$A120,実績!$AE$6:$AE$505,"○")&gt;0,1,0))</f>
        <v/>
      </c>
      <c r="AX120">
        <f>IF(AX$4=0,0,IF(COUNTIFS(実績!$W$6:$W$505,AX$3,実績!$AC$6:$AC$505,"&lt;="&amp;$A120,実績!$AD$6:$AD$505,"&gt;"&amp;$A120,実績!$AE$6:$AE$505,"○")&gt;0,1,0))</f>
        <v/>
      </c>
      <c r="AY120">
        <f>IF(AY$4=0,0,IF(COUNTIFS(実績!$W$6:$W$505,AY$3,実績!$AC$6:$AC$505,"&lt;="&amp;$A120,実績!$AD$6:$AD$505,"&gt;"&amp;$A120,実績!$AE$6:$AE$505,"○")&gt;0,1,0))</f>
        <v/>
      </c>
      <c r="AZ120">
        <f>IF(AZ$4=0,0,IF(COUNTIFS(実績!$W$6:$W$505,AZ$3,実績!$AC$6:$AC$505,"&lt;="&amp;$A120,実績!$AD$6:$AD$505,"&gt;"&amp;$A120,実績!$AE$6:$AE$505,"○")&gt;0,1,0))</f>
        <v/>
      </c>
      <c r="BA120">
        <f>IF(BA$4=0,0,IF(COUNTIFS(実績!$W$6:$W$505,BA$3,実績!$AC$6:$AC$505,"&lt;="&amp;$A120,実績!$AD$6:$AD$505,"&gt;"&amp;$A120,実績!$AE$6:$AE$505,"○")&gt;0,1,0))</f>
        <v/>
      </c>
      <c r="BB120">
        <f>IF(BB$4=0,0,IF(COUNTIFS(実績!$W$6:$W$505,BB$3,実績!$AC$6:$AC$505,"&lt;="&amp;$A120,実績!$AD$6:$AD$505,"&gt;"&amp;$A120,実績!$AE$6:$AE$505,"○")&gt;0,1,0))</f>
        <v/>
      </c>
      <c r="BC120">
        <f>IF(BC$4=0,0,IF(COUNTIFS(実績!$W$6:$W$505,BC$3,実績!$AC$6:$AC$505,"&lt;="&amp;$A120,実績!$AD$6:$AD$505,"&gt;"&amp;$A120,実績!$AE$6:$AE$505,"○")&gt;0,1,0))</f>
        <v/>
      </c>
      <c r="BD120">
        <f>IF(BD$4=0,0,IF(COUNTIFS(実績!$W$6:$W$505,BD$3,実績!$AC$6:$AC$505,"&lt;="&amp;$A120,実績!$AD$6:$AD$505,"&gt;"&amp;$A120,実績!$AE$6:$AE$505,"○")&gt;0,1,0))</f>
        <v/>
      </c>
      <c r="BE120">
        <f>IF(BE$4=0,0,IF(COUNTIFS(実績!$W$6:$W$505,BE$3,実績!$AC$6:$AC$505,"&lt;="&amp;$A120,実績!$AD$6:$AD$505,"&gt;"&amp;$A120,実績!$AE$6:$AE$505,"○")&gt;0,1,0))</f>
        <v/>
      </c>
      <c r="BF120">
        <f>IF(BF$4=0,0,IF(COUNTIFS(実績!$W$6:$W$505,BF$3,実績!$AC$6:$AC$505,"&lt;="&amp;$A120,実績!$AD$6:$AD$505,"&gt;"&amp;$A120,実績!$AE$6:$AE$505,"○")&gt;0,1,0))</f>
        <v/>
      </c>
      <c r="BG120">
        <f>IF(BG$4=0,0,IF(COUNTIFS(実績!$W$6:$W$505,BG$3,実績!$AC$6:$AC$505,"&lt;="&amp;$A120,実績!$AD$6:$AD$505,"&gt;"&amp;$A120,実績!$AE$6:$AE$505,"○")&gt;0,1,0))</f>
        <v/>
      </c>
      <c r="BH120">
        <f>IF(BH$4=0,0,IF(COUNTIFS(実績!$W$6:$W$505,BH$3,実績!$AC$6:$AC$505,"&lt;="&amp;$A120,実績!$AD$6:$AD$505,"&gt;"&amp;$A120,実績!$AE$6:$AE$505,"○")&gt;0,1,0))</f>
        <v/>
      </c>
      <c r="BI120">
        <f>IF(BI$4=0,0,IF(COUNTIFS(実績!$W$6:$W$505,BI$3,実績!$AC$6:$AC$505,"&lt;="&amp;$A120,実績!$AD$6:$AD$505,"&gt;"&amp;$A120,実績!$AE$6:$AE$505,"○")&gt;0,1,0))</f>
        <v/>
      </c>
      <c r="BJ120">
        <f>IF(BJ$4=0,0,IF(COUNTIFS(実績!$W$6:$W$505,BJ$3,実績!$AC$6:$AC$505,"&lt;="&amp;$A120,実績!$AD$6:$AD$505,"&gt;"&amp;$A120,実績!$AE$6:$AE$505,"○")&gt;0,1,0))</f>
        <v/>
      </c>
      <c r="BK120">
        <f>IF(BK$4=0,0,IF(COUNTIFS(実績!$W$6:$W$505,BK$3,実績!$AC$6:$AC$505,"&lt;="&amp;$A120,実績!$AD$6:$AD$505,"&gt;"&amp;$A120,実績!$AE$6:$AE$505,"○")&gt;0,1,0))</f>
        <v/>
      </c>
      <c r="BL120">
        <f>IF(BL$4=0,0,IF(COUNTIFS(実績!$W$6:$W$505,BL$3,実績!$AC$6:$AC$505,"&lt;="&amp;$A120,実績!$AD$6:$AD$505,"&gt;"&amp;$A120,実績!$AE$6:$AE$505,"○")&gt;0,1,0))</f>
        <v/>
      </c>
      <c r="BM120">
        <f>IF(BM$4=0,0,IF(COUNTIFS(実績!$W$6:$W$505,BM$3,実績!$AC$6:$AC$505,"&lt;="&amp;$A120,実績!$AD$6:$AD$505,"&gt;"&amp;$A120,実績!$AE$6:$AE$505,"○")&gt;0,1,0))</f>
        <v/>
      </c>
      <c r="BN120">
        <f>IF(BN$4=0,0,IF(COUNTIFS(実績!$W$6:$W$505,BN$3,実績!$AC$6:$AC$505,"&lt;="&amp;$A120,実績!$AD$6:$AD$505,"&gt;"&amp;$A120,実績!$AE$6:$AE$505,"○")&gt;0,1,0))</f>
        <v/>
      </c>
      <c r="BO120">
        <f>IF(BO$4=0,0,IF(COUNTIFS(実績!$W$6:$W$505,BO$3,実績!$AC$6:$AC$505,"&lt;="&amp;$A120,実績!$AD$6:$AD$505,"&gt;"&amp;$A120,実績!$AE$6:$AE$505,"○")&gt;0,1,0))</f>
        <v/>
      </c>
      <c r="BP120">
        <f>IF(BP$4=0,0,IF(COUNTIFS(実績!$W$6:$W$505,BP$3,実績!$AC$6:$AC$505,"&lt;="&amp;$A120,実績!$AD$6:$AD$505,"&gt;"&amp;$A120,実績!$AE$6:$AE$505,"○")&gt;0,1,0))</f>
        <v/>
      </c>
      <c r="BQ120">
        <f>IF(BQ$4=0,0,IF(COUNTIFS(実績!$W$6:$W$505,BQ$3,実績!$AC$6:$AC$505,"&lt;="&amp;$A120,実績!$AD$6:$AD$505,"&gt;"&amp;$A120,実績!$AE$6:$AE$505,"○")&gt;0,1,0))</f>
        <v/>
      </c>
      <c r="BR120">
        <f>IF(BR$4=0,0,IF(COUNTIFS(実績!$W$6:$W$505,BR$3,実績!$AC$6:$AC$505,"&lt;="&amp;$A120,実績!$AD$6:$AD$505,"&gt;"&amp;$A120,実績!$AE$6:$AE$505,"○")&gt;0,1,0))</f>
        <v/>
      </c>
      <c r="BS120">
        <f>IF(BS$4=0,0,IF(COUNTIFS(実績!$W$6:$W$505,BS$3,実績!$AC$6:$AC$505,"&lt;="&amp;$A120,実績!$AD$6:$AD$505,"&gt;"&amp;$A120,実績!$AE$6:$AE$505,"○")&gt;0,1,0))</f>
        <v/>
      </c>
      <c r="BT120">
        <f>IF(BT$4=0,0,IF(COUNTIFS(実績!$W$6:$W$505,BT$3,実績!$AC$6:$AC$505,"&lt;="&amp;$A120,実績!$AD$6:$AD$505,"&gt;"&amp;$A120,実績!$AE$6:$AE$505,"○")&gt;0,1,0))</f>
        <v/>
      </c>
      <c r="BU120">
        <f>IF(BU$4=0,0,IF(COUNTIFS(実績!$W$6:$W$505,BU$3,実績!$AC$6:$AC$505,"&lt;="&amp;$A120,実績!$AD$6:$AD$505,"&gt;"&amp;$A120,実績!$AE$6:$AE$505,"○")&gt;0,1,0))</f>
        <v/>
      </c>
      <c r="BV120">
        <f>IF(BV$4=0,0,IF(COUNTIFS(実績!$W$6:$W$505,BV$3,実績!$AC$6:$AC$505,"&lt;="&amp;$A120,実績!$AD$6:$AD$505,"&gt;"&amp;$A120,実績!$AE$6:$AE$505,"○")&gt;0,1,0))</f>
        <v/>
      </c>
      <c r="BW120">
        <f>IF(BW$4=0,0,IF(COUNTIFS(実績!$W$6:$W$505,BW$3,実績!$AC$6:$AC$505,"&lt;="&amp;$A120,実績!$AD$6:$AD$505,"&gt;"&amp;$A120,実績!$AE$6:$AE$505,"○")&gt;0,1,0))</f>
        <v/>
      </c>
      <c r="BX120">
        <f>IF(BX$4=0,0,IF(COUNTIFS(実績!$W$6:$W$505,BX$3,実績!$AC$6:$AC$505,"&lt;="&amp;$A120,実績!$AD$6:$AD$505,"&gt;"&amp;$A120,実績!$AE$6:$AE$505,"○")&gt;0,1,0))</f>
        <v/>
      </c>
      <c r="BY120">
        <f>IF(BY$4=0,0,IF(COUNTIFS(実績!$W$6:$W$505,BY$3,実績!$AC$6:$AC$505,"&lt;="&amp;$A120,実績!$AD$6:$AD$505,"&gt;"&amp;$A120,実績!$AE$6:$AE$505,"○")&gt;0,1,0))</f>
        <v/>
      </c>
      <c r="BZ120">
        <f>IF(BZ$4=0,0,IF(COUNTIFS(実績!$W$6:$W$505,BZ$3,実績!$AC$6:$AC$505,"&lt;="&amp;$A120,実績!$AD$6:$AD$505,"&gt;"&amp;$A120,実績!$AE$6:$AE$505,"○")&gt;0,1,0))</f>
        <v/>
      </c>
      <c r="CA120">
        <f>IF(CA$4=0,0,IF(COUNTIFS(実績!$W$6:$W$505,CA$3,実績!$AC$6:$AC$505,"&lt;="&amp;$A120,実績!$AD$6:$AD$505,"&gt;"&amp;$A120,実績!$AE$6:$AE$505,"○")&gt;0,1,0))</f>
        <v/>
      </c>
      <c r="CB120">
        <f>IF(CB$4=0,0,IF(COUNTIFS(実績!$W$6:$W$505,CB$3,実績!$AC$6:$AC$505,"&lt;="&amp;$A120,実績!$AD$6:$AD$505,"&gt;"&amp;$A120,実績!$AE$6:$AE$505,"○")&gt;0,1,0))</f>
        <v/>
      </c>
      <c r="CC120">
        <f>IF(CC$4=0,0,IF(COUNTIFS(実績!$W$6:$W$505,CC$3,実績!$AC$6:$AC$505,"&lt;="&amp;$A120,実績!$AD$6:$AD$505,"&gt;"&amp;$A120,実績!$AE$6:$AE$505,"○")&gt;0,1,0))</f>
        <v/>
      </c>
      <c r="CD120">
        <f>IF(CD$4=0,0,IF(COUNTIFS(実績!$W$6:$W$505,CD$3,実績!$AC$6:$AC$505,"&lt;="&amp;$A120,実績!$AD$6:$AD$505,"&gt;"&amp;$A120,実績!$AE$6:$AE$505,"○")&gt;0,1,0))</f>
        <v/>
      </c>
      <c r="CE120">
        <f>IF(CE$4=0,0,IF(COUNTIFS(実績!$W$6:$W$505,CE$3,実績!$AC$6:$AC$505,"&lt;="&amp;$A120,実績!$AD$6:$AD$505,"&gt;"&amp;$A120,実績!$AE$6:$AE$505,"○")&gt;0,1,0))</f>
        <v/>
      </c>
      <c r="CF120">
        <f>IF(CF$4=0,0,IF(COUNTIFS(実績!$W$6:$W$505,CF$3,実績!$AC$6:$AC$505,"&lt;="&amp;$A120,実績!$AD$6:$AD$505,"&gt;"&amp;$A120,実績!$AE$6:$AE$505,"○")&gt;0,1,0))</f>
        <v/>
      </c>
      <c r="CG120">
        <f>IF(CG$4=0,0,IF(COUNTIFS(実績!$W$6:$W$505,CG$3,実績!$AC$6:$AC$505,"&lt;="&amp;$A120,実績!$AD$6:$AD$505,"&gt;"&amp;$A120,実績!$AE$6:$AE$505,"○")&gt;0,1,0))</f>
        <v/>
      </c>
      <c r="CH120">
        <f>IF(CH$4=0,0,IF(COUNTIFS(実績!$W$6:$W$505,CH$3,実績!$AC$6:$AC$505,"&lt;="&amp;$A120,実績!$AD$6:$AD$505,"&gt;"&amp;$A120,実績!$AE$6:$AE$505,"○")&gt;0,1,0))</f>
        <v/>
      </c>
      <c r="CI120">
        <f>IF(CI$4=0,0,IF(COUNTIFS(実績!$W$6:$W$505,CI$3,実績!$AC$6:$AC$505,"&lt;="&amp;$A120,実績!$AD$6:$AD$505,"&gt;"&amp;$A120,実績!$AE$6:$AE$505,"○")&gt;0,1,0))</f>
        <v/>
      </c>
      <c r="CJ120">
        <f>IF(CJ$4=0,0,IF(COUNTIFS(実績!$W$6:$W$505,CJ$3,実績!$AC$6:$AC$505,"&lt;="&amp;$A120,実績!$AD$6:$AD$505,"&gt;"&amp;$A120,実績!$AE$6:$AE$505,"○")&gt;0,1,0))</f>
        <v/>
      </c>
      <c r="CK120">
        <f>IF(CK$4=0,0,IF(COUNTIFS(実績!$W$6:$W$505,CK$3,実績!$AC$6:$AC$505,"&lt;="&amp;$A120,実績!$AD$6:$AD$505,"&gt;"&amp;$A120,実績!$AE$6:$AE$505,"○")&gt;0,1,0))</f>
        <v/>
      </c>
      <c r="CL120">
        <f>IF(CL$4=0,0,IF(COUNTIFS(実績!$W$6:$W$505,CL$3,実績!$AC$6:$AC$505,"&lt;="&amp;$A120,実績!$AD$6:$AD$505,"&gt;"&amp;$A120,実績!$AE$6:$AE$505,"○")&gt;0,1,0))</f>
        <v/>
      </c>
      <c r="CM120">
        <f>IF(CM$4=0,0,IF(COUNTIFS(実績!$W$6:$W$505,CM$3,実績!$AC$6:$AC$505,"&lt;="&amp;$A120,実績!$AD$6:$AD$505,"&gt;"&amp;$A120,実績!$AE$6:$AE$505,"○")&gt;0,1,0))</f>
        <v/>
      </c>
      <c r="CN120">
        <f>IF(CN$4=0,0,IF(COUNTIFS(実績!$W$6:$W$505,CN$3,実績!$AC$6:$AC$505,"&lt;="&amp;$A120,実績!$AD$6:$AD$505,"&gt;"&amp;$A120,実績!$AE$6:$AE$505,"○")&gt;0,1,0))</f>
        <v/>
      </c>
      <c r="CO120">
        <f>IF(CO$4=0,0,IF(COUNTIFS(実績!$W$6:$W$505,CO$3,実績!$AC$6:$AC$505,"&lt;="&amp;$A120,実績!$AD$6:$AD$505,"&gt;"&amp;$A120,実績!$AE$6:$AE$505,"○")&gt;0,1,0))</f>
        <v/>
      </c>
      <c r="CP120">
        <f>IF(CP$4=0,0,IF(COUNTIFS(実績!$W$6:$W$505,CP$3,実績!$AC$6:$AC$505,"&lt;="&amp;$A120,実績!$AD$6:$AD$505,"&gt;"&amp;$A120,実績!$AE$6:$AE$505,"○")&gt;0,1,0))</f>
        <v/>
      </c>
      <c r="CQ120">
        <f>IF(CQ$4=0,0,IF(COUNTIFS(実績!$W$6:$W$505,CQ$3,実績!$AC$6:$AC$505,"&lt;="&amp;$A120,実績!$AD$6:$AD$505,"&gt;"&amp;$A120,実績!$AE$6:$AE$505,"○")&gt;0,1,0))</f>
        <v/>
      </c>
      <c r="CR120">
        <f>IF(CR$4=0,0,IF(COUNTIFS(実績!$W$6:$W$505,CR$3,実績!$AC$6:$AC$505,"&lt;="&amp;$A120,実績!$AD$6:$AD$505,"&gt;"&amp;$A120,実績!$AE$6:$AE$505,"○")&gt;0,1,0))</f>
        <v/>
      </c>
      <c r="CS120">
        <f>IF(CS$4=0,0,IF(COUNTIFS(実績!$W$6:$W$505,CS$3,実績!$AC$6:$AC$505,"&lt;="&amp;$A120,実績!$AD$6:$AD$505,"&gt;"&amp;$A120,実績!$AE$6:$AE$505,"○")&gt;0,1,0))</f>
        <v/>
      </c>
      <c r="CT120">
        <f>IF(CT$4=0,0,IF(COUNTIFS(実績!$W$6:$W$505,CT$3,実績!$AC$6:$AC$505,"&lt;="&amp;$A120,実績!$AD$6:$AD$505,"&gt;"&amp;$A120,実績!$AE$6:$AE$505,"○")&gt;0,1,0))</f>
        <v/>
      </c>
      <c r="CU120">
        <f>IF(CU$4=0,0,IF(COUNTIFS(実績!$W$6:$W$505,CU$3,実績!$AC$6:$AC$505,"&lt;="&amp;$A120,実績!$AD$6:$AD$505,"&gt;"&amp;$A120,実績!$AE$6:$AE$505,"○")&gt;0,1,0))</f>
        <v/>
      </c>
      <c r="CV120">
        <f>IF(CV$4=0,0,IF(COUNTIFS(実績!$W$6:$W$505,CV$3,実績!$AC$6:$AC$505,"&lt;="&amp;$A120,実績!$AD$6:$AD$505,"&gt;"&amp;$A120,実績!$AE$6:$AE$505,"○")&gt;0,1,0))</f>
        <v/>
      </c>
      <c r="CW120">
        <f>IF(CW$4=0,0,IF(COUNTIFS(実績!$W$6:$W$505,CW$3,実績!$AC$6:$AC$505,"&lt;="&amp;$A120,実績!$AD$6:$AD$505,"&gt;"&amp;$A120,実績!$AE$6:$AE$505,"○")&gt;0,1,0))</f>
        <v/>
      </c>
      <c r="CX120">
        <f>IF(CX$4=0,0,IF(COUNTIFS(実績!$W$6:$W$505,CX$3,実績!$AC$6:$AC$505,"&lt;="&amp;$A120,実績!$AD$6:$AD$505,"&gt;"&amp;$A120,実績!$AE$6:$AE$505,"○")&gt;0,1,0))</f>
        <v/>
      </c>
      <c r="CY120">
        <f>IF(CY$4=0,0,IF(COUNTIFS(実績!$W$6:$W$505,CY$3,実績!$AC$6:$AC$505,"&lt;="&amp;$A120,実績!$AD$6:$AD$505,"&gt;"&amp;$A120,実績!$AE$6:$AE$505,"○")&gt;0,1,0))</f>
        <v/>
      </c>
      <c r="CZ120">
        <f>IF(CZ$4=0,0,IF(COUNTIFS(実績!$W$6:$W$505,CZ$3,実績!$AC$6:$AC$505,"&lt;="&amp;$A120,実績!$AD$6:$AD$505,"&gt;"&amp;$A120,実績!$AE$6:$AE$505,"○")&gt;0,1,0))</f>
        <v/>
      </c>
      <c r="DA120">
        <f>IF(DA$4=0,0,IF(COUNTIFS(実績!$W$6:$W$505,DA$3,実績!$AC$6:$AC$505,"&lt;="&amp;$A120,実績!$AD$6:$AD$505,"&gt;"&amp;$A120,実績!$AE$6:$AE$505,"○")&gt;0,1,0))</f>
        <v/>
      </c>
      <c r="DB120">
        <f>IF(DB$4=0,0,IF(COUNTIFS(実績!$W$6:$W$505,DB$3,実績!$AC$6:$AC$505,"&lt;="&amp;$A120,実績!$AD$6:$AD$505,"&gt;"&amp;$A120,実績!$AE$6:$AE$505,"○")&gt;0,1,0))</f>
        <v/>
      </c>
      <c r="DC120">
        <f>IF(DC$4=0,0,IF(COUNTIFS(実績!$W$6:$W$505,DC$3,実績!$AC$6:$AC$505,"&lt;="&amp;$A120,実績!$AD$6:$AD$505,"&gt;"&amp;$A120,実績!$AE$6:$AE$505,"○")&gt;0,1,0))</f>
        <v/>
      </c>
      <c r="DD120">
        <f>IF(DD$4=0,0,IF(COUNTIFS(実績!$W$6:$W$505,DD$3,実績!$AC$6:$AC$505,"&lt;="&amp;$A120,実績!$AD$6:$AD$505,"&gt;"&amp;$A120,実績!$AE$6:$AE$505,"○")&gt;0,1,0))</f>
        <v/>
      </c>
      <c r="DE120">
        <f>IF(DE$4=0,0,IF(COUNTIFS(実績!$W$6:$W$505,DE$3,実績!$AC$6:$AC$505,"&lt;="&amp;$A120,実績!$AD$6:$AD$505,"&gt;"&amp;$A120,実績!$AE$6:$AE$505,"○")&gt;0,1,0))</f>
        <v/>
      </c>
      <c r="DF120">
        <f>IF(DF$4=0,0,IF(COUNTIFS(実績!$W$6:$W$505,DF$3,実績!$AC$6:$AC$505,"&lt;="&amp;$A120,実績!$AD$6:$AD$505,"&gt;"&amp;$A120,実績!$AE$6:$AE$505,"○")&gt;0,1,0))</f>
        <v/>
      </c>
      <c r="DG120">
        <f>IF(DG$4=0,0,IF(COUNTIFS(実績!$W$6:$W$505,DG$3,実績!$AC$6:$AC$505,"&lt;="&amp;$A120,実績!$AD$6:$AD$505,"&gt;"&amp;$A120,実績!$AE$6:$AE$505,"○")&gt;0,1,0))</f>
        <v/>
      </c>
      <c r="DH120">
        <f>IF(DH$4=0,0,IF(COUNTIFS(実績!$W$6:$W$505,DH$3,実績!$AC$6:$AC$505,"&lt;="&amp;$A120,実績!$AD$6:$AD$505,"&gt;"&amp;$A120,実績!$AE$6:$AE$505,"○")&gt;0,1,0))</f>
        <v/>
      </c>
      <c r="DI120">
        <f>IF(DI$4=0,0,IF(COUNTIFS(実績!$W$6:$W$505,DI$3,実績!$AC$6:$AC$505,"&lt;="&amp;$A120,実績!$AD$6:$AD$505,"&gt;"&amp;$A120,実績!$AE$6:$AE$505,"○")&gt;0,1,0))</f>
        <v/>
      </c>
      <c r="DJ120">
        <f>IF(DJ$4=0,0,IF(COUNTIFS(実績!$W$6:$W$505,DJ$3,実績!$AC$6:$AC$505,"&lt;="&amp;$A120,実績!$AD$6:$AD$505,"&gt;"&amp;$A120,実績!$AE$6:$AE$505,"○")&gt;0,1,0))</f>
        <v/>
      </c>
      <c r="DK120">
        <f>IF(DK$4=0,0,IF(COUNTIFS(実績!$W$6:$W$505,DK$3,実績!$AC$6:$AC$505,"&lt;="&amp;$A120,実績!$AD$6:$AD$505,"&gt;"&amp;$A120,実績!$AE$6:$AE$505,"○")&gt;0,1,0))</f>
        <v/>
      </c>
      <c r="DL120">
        <f>IF(DL$4=0,0,IF(COUNTIFS(実績!$W$6:$W$505,DL$3,実績!$AC$6:$AC$505,"&lt;="&amp;$A120,実績!$AD$6:$AD$505,"&gt;"&amp;$A120,実績!$AE$6:$AE$505,"○")&gt;0,1,0))</f>
        <v/>
      </c>
      <c r="DM120">
        <f>IF(DM$4=0,0,IF(COUNTIFS(実績!$W$6:$W$505,DM$3,実績!$AC$6:$AC$505,"&lt;="&amp;$A120,実績!$AD$6:$AD$505,"&gt;"&amp;$A120,実績!$AE$6:$AE$505,"○")&gt;0,1,0))</f>
        <v/>
      </c>
      <c r="DN120">
        <f>IF(DN$4=0,0,IF(COUNTIFS(実績!$W$6:$W$505,DN$3,実績!$AC$6:$AC$505,"&lt;="&amp;$A120,実績!$AD$6:$AD$505,"&gt;"&amp;$A120,実績!$AE$6:$AE$505,"○")&gt;0,1,0))</f>
        <v/>
      </c>
      <c r="DO120">
        <f>IF(DO$4=0,0,IF(COUNTIFS(実績!$W$6:$W$505,DO$3,実績!$AC$6:$AC$505,"&lt;="&amp;$A120,実績!$AD$6:$AD$505,"&gt;"&amp;$A120,実績!$AE$6:$AE$505,"○")&gt;0,1,0))</f>
        <v/>
      </c>
      <c r="DP120">
        <f>IF(DP$4=0,0,IF(COUNTIFS(実績!$W$6:$W$505,DP$3,実績!$AC$6:$AC$505,"&lt;="&amp;$A120,実績!$AD$6:$AD$505,"&gt;"&amp;$A120,実績!$AE$6:$AE$505,"○")&gt;0,1,0))</f>
        <v/>
      </c>
      <c r="DQ120">
        <f>IF(DQ$4=0,0,IF(COUNTIFS(実績!$W$6:$W$505,DQ$3,実績!$AC$6:$AC$505,"&lt;="&amp;$A120,実績!$AD$6:$AD$505,"&gt;"&amp;$A120,実績!$AE$6:$AE$505,"○")&gt;0,1,0))</f>
        <v/>
      </c>
      <c r="DR120">
        <f>IF(DR$4=0,0,IF(COUNTIFS(実績!$W$6:$W$505,DR$3,実績!$AC$6:$AC$505,"&lt;="&amp;$A120,実績!$AD$6:$AD$505,"&gt;"&amp;$A120,実績!$AE$6:$AE$505,"○")&gt;0,1,0))</f>
        <v/>
      </c>
      <c r="DS120">
        <f>SUM(C120:DR120)</f>
        <v/>
      </c>
      <c r="DT120">
        <f>SUMPRODUCT((実績!$C$6:$C$505="○")*ISNUMBER(実績!$AF$6:$AF$505)*(実績!$AF$6:$AF$505&lt;=$A120)*(実績!$AG$6:$AG$505&gt;$A120))</f>
        <v/>
      </c>
      <c r="DU120">
        <f>SUMIF($C$2:$DR$2,"製鉄曳船",C120:DR120)</f>
        <v/>
      </c>
      <c r="DV120">
        <f>SUMIF($C$2:$DR$2,"西日本海運",C120:DR120)</f>
        <v/>
      </c>
    </row>
    <row r="121">
      <c r="A121" t="n">
        <v>575</v>
      </c>
      <c r="B121" s="29">
        <f>A121/1440</f>
        <v/>
      </c>
      <c r="C121">
        <f>IF(C$4=0,0,IF(COUNTIFS(実績!$W$6:$W$505,C$3,実績!$AC$6:$AC$505,"&lt;="&amp;$A121,実績!$AD$6:$AD$505,"&gt;"&amp;$A121,実績!$AE$6:$AE$505,"○")&gt;0,1,0))</f>
        <v/>
      </c>
      <c r="D121">
        <f>IF(D$4=0,0,IF(COUNTIFS(実績!$W$6:$W$505,D$3,実績!$AC$6:$AC$505,"&lt;="&amp;$A121,実績!$AD$6:$AD$505,"&gt;"&amp;$A121,実績!$AE$6:$AE$505,"○")&gt;0,1,0))</f>
        <v/>
      </c>
      <c r="E121">
        <f>IF(E$4=0,0,IF(COUNTIFS(実績!$W$6:$W$505,E$3,実績!$AC$6:$AC$505,"&lt;="&amp;$A121,実績!$AD$6:$AD$505,"&gt;"&amp;$A121,実績!$AE$6:$AE$505,"○")&gt;0,1,0))</f>
        <v/>
      </c>
      <c r="F121">
        <f>IF(F$4=0,0,IF(COUNTIFS(実績!$W$6:$W$505,F$3,実績!$AC$6:$AC$505,"&lt;="&amp;$A121,実績!$AD$6:$AD$505,"&gt;"&amp;$A121,実績!$AE$6:$AE$505,"○")&gt;0,1,0))</f>
        <v/>
      </c>
      <c r="G121">
        <f>IF(G$4=0,0,IF(COUNTIFS(実績!$W$6:$W$505,G$3,実績!$AC$6:$AC$505,"&lt;="&amp;$A121,実績!$AD$6:$AD$505,"&gt;"&amp;$A121,実績!$AE$6:$AE$505,"○")&gt;0,1,0))</f>
        <v/>
      </c>
      <c r="H121">
        <f>IF(H$4=0,0,IF(COUNTIFS(実績!$W$6:$W$505,H$3,実績!$AC$6:$AC$505,"&lt;="&amp;$A121,実績!$AD$6:$AD$505,"&gt;"&amp;$A121,実績!$AE$6:$AE$505,"○")&gt;0,1,0))</f>
        <v/>
      </c>
      <c r="I121">
        <f>IF(I$4=0,0,IF(COUNTIFS(実績!$W$6:$W$505,I$3,実績!$AC$6:$AC$505,"&lt;="&amp;$A121,実績!$AD$6:$AD$505,"&gt;"&amp;$A121,実績!$AE$6:$AE$505,"○")&gt;0,1,0))</f>
        <v/>
      </c>
      <c r="J121">
        <f>IF(J$4=0,0,IF(COUNTIFS(実績!$W$6:$W$505,J$3,実績!$AC$6:$AC$505,"&lt;="&amp;$A121,実績!$AD$6:$AD$505,"&gt;"&amp;$A121,実績!$AE$6:$AE$505,"○")&gt;0,1,0))</f>
        <v/>
      </c>
      <c r="K121">
        <f>IF(K$4=0,0,IF(COUNTIFS(実績!$W$6:$W$505,K$3,実績!$AC$6:$AC$505,"&lt;="&amp;$A121,実績!$AD$6:$AD$505,"&gt;"&amp;$A121,実績!$AE$6:$AE$505,"○")&gt;0,1,0))</f>
        <v/>
      </c>
      <c r="L121">
        <f>IF(L$4=0,0,IF(COUNTIFS(実績!$W$6:$W$505,L$3,実績!$AC$6:$AC$505,"&lt;="&amp;$A121,実績!$AD$6:$AD$505,"&gt;"&amp;$A121,実績!$AE$6:$AE$505,"○")&gt;0,1,0))</f>
        <v/>
      </c>
      <c r="M121">
        <f>IF(M$4=0,0,IF(COUNTIFS(実績!$W$6:$W$505,M$3,実績!$AC$6:$AC$505,"&lt;="&amp;$A121,実績!$AD$6:$AD$505,"&gt;"&amp;$A121,実績!$AE$6:$AE$505,"○")&gt;0,1,0))</f>
        <v/>
      </c>
      <c r="N121">
        <f>IF(N$4=0,0,IF(COUNTIFS(実績!$W$6:$W$505,N$3,実績!$AC$6:$AC$505,"&lt;="&amp;$A121,実績!$AD$6:$AD$505,"&gt;"&amp;$A121,実績!$AE$6:$AE$505,"○")&gt;0,1,0))</f>
        <v/>
      </c>
      <c r="O121">
        <f>IF(O$4=0,0,IF(COUNTIFS(実績!$W$6:$W$505,O$3,実績!$AC$6:$AC$505,"&lt;="&amp;$A121,実績!$AD$6:$AD$505,"&gt;"&amp;$A121,実績!$AE$6:$AE$505,"○")&gt;0,1,0))</f>
        <v/>
      </c>
      <c r="P121">
        <f>IF(P$4=0,0,IF(COUNTIFS(実績!$W$6:$W$505,P$3,実績!$AC$6:$AC$505,"&lt;="&amp;$A121,実績!$AD$6:$AD$505,"&gt;"&amp;$A121,実績!$AE$6:$AE$505,"○")&gt;0,1,0))</f>
        <v/>
      </c>
      <c r="Q121">
        <f>IF(Q$4=0,0,IF(COUNTIFS(実績!$W$6:$W$505,Q$3,実績!$AC$6:$AC$505,"&lt;="&amp;$A121,実績!$AD$6:$AD$505,"&gt;"&amp;$A121,実績!$AE$6:$AE$505,"○")&gt;0,1,0))</f>
        <v/>
      </c>
      <c r="R121">
        <f>IF(R$4=0,0,IF(COUNTIFS(実績!$W$6:$W$505,R$3,実績!$AC$6:$AC$505,"&lt;="&amp;$A121,実績!$AD$6:$AD$505,"&gt;"&amp;$A121,実績!$AE$6:$AE$505,"○")&gt;0,1,0))</f>
        <v/>
      </c>
      <c r="S121">
        <f>IF(S$4=0,0,IF(COUNTIFS(実績!$W$6:$W$505,S$3,実績!$AC$6:$AC$505,"&lt;="&amp;$A121,実績!$AD$6:$AD$505,"&gt;"&amp;$A121,実績!$AE$6:$AE$505,"○")&gt;0,1,0))</f>
        <v/>
      </c>
      <c r="T121">
        <f>IF(T$4=0,0,IF(COUNTIFS(実績!$W$6:$W$505,T$3,実績!$AC$6:$AC$505,"&lt;="&amp;$A121,実績!$AD$6:$AD$505,"&gt;"&amp;$A121,実績!$AE$6:$AE$505,"○")&gt;0,1,0))</f>
        <v/>
      </c>
      <c r="U121">
        <f>IF(U$4=0,0,IF(COUNTIFS(実績!$W$6:$W$505,U$3,実績!$AC$6:$AC$505,"&lt;="&amp;$A121,実績!$AD$6:$AD$505,"&gt;"&amp;$A121,実績!$AE$6:$AE$505,"○")&gt;0,1,0))</f>
        <v/>
      </c>
      <c r="V121">
        <f>IF(V$4=0,0,IF(COUNTIFS(実績!$W$6:$W$505,V$3,実績!$AC$6:$AC$505,"&lt;="&amp;$A121,実績!$AD$6:$AD$505,"&gt;"&amp;$A121,実績!$AE$6:$AE$505,"○")&gt;0,1,0))</f>
        <v/>
      </c>
      <c r="W121">
        <f>IF(W$4=0,0,IF(COUNTIFS(実績!$W$6:$W$505,W$3,実績!$AC$6:$AC$505,"&lt;="&amp;$A121,実績!$AD$6:$AD$505,"&gt;"&amp;$A121,実績!$AE$6:$AE$505,"○")&gt;0,1,0))</f>
        <v/>
      </c>
      <c r="X121">
        <f>IF(X$4=0,0,IF(COUNTIFS(実績!$W$6:$W$505,X$3,実績!$AC$6:$AC$505,"&lt;="&amp;$A121,実績!$AD$6:$AD$505,"&gt;"&amp;$A121,実績!$AE$6:$AE$505,"○")&gt;0,1,0))</f>
        <v/>
      </c>
      <c r="Y121">
        <f>IF(Y$4=0,0,IF(COUNTIFS(実績!$W$6:$W$505,Y$3,実績!$AC$6:$AC$505,"&lt;="&amp;$A121,実績!$AD$6:$AD$505,"&gt;"&amp;$A121,実績!$AE$6:$AE$505,"○")&gt;0,1,0))</f>
        <v/>
      </c>
      <c r="Z121">
        <f>IF(Z$4=0,0,IF(COUNTIFS(実績!$W$6:$W$505,Z$3,実績!$AC$6:$AC$505,"&lt;="&amp;$A121,実績!$AD$6:$AD$505,"&gt;"&amp;$A121,実績!$AE$6:$AE$505,"○")&gt;0,1,0))</f>
        <v/>
      </c>
      <c r="AA121">
        <f>IF(AA$4=0,0,IF(COUNTIFS(実績!$W$6:$W$505,AA$3,実績!$AC$6:$AC$505,"&lt;="&amp;$A121,実績!$AD$6:$AD$505,"&gt;"&amp;$A121,実績!$AE$6:$AE$505,"○")&gt;0,1,0))</f>
        <v/>
      </c>
      <c r="AB121">
        <f>IF(AB$4=0,0,IF(COUNTIFS(実績!$W$6:$W$505,AB$3,実績!$AC$6:$AC$505,"&lt;="&amp;$A121,実績!$AD$6:$AD$505,"&gt;"&amp;$A121,実績!$AE$6:$AE$505,"○")&gt;0,1,0))</f>
        <v/>
      </c>
      <c r="AC121">
        <f>IF(AC$4=0,0,IF(COUNTIFS(実績!$W$6:$W$505,AC$3,実績!$AC$6:$AC$505,"&lt;="&amp;$A121,実績!$AD$6:$AD$505,"&gt;"&amp;$A121,実績!$AE$6:$AE$505,"○")&gt;0,1,0))</f>
        <v/>
      </c>
      <c r="AD121">
        <f>IF(AD$4=0,0,IF(COUNTIFS(実績!$W$6:$W$505,AD$3,実績!$AC$6:$AC$505,"&lt;="&amp;$A121,実績!$AD$6:$AD$505,"&gt;"&amp;$A121,実績!$AE$6:$AE$505,"○")&gt;0,1,0))</f>
        <v/>
      </c>
      <c r="AE121">
        <f>IF(AE$4=0,0,IF(COUNTIFS(実績!$W$6:$W$505,AE$3,実績!$AC$6:$AC$505,"&lt;="&amp;$A121,実績!$AD$6:$AD$505,"&gt;"&amp;$A121,実績!$AE$6:$AE$505,"○")&gt;0,1,0))</f>
        <v/>
      </c>
      <c r="AF121">
        <f>IF(AF$4=0,0,IF(COUNTIFS(実績!$W$6:$W$505,AF$3,実績!$AC$6:$AC$505,"&lt;="&amp;$A121,実績!$AD$6:$AD$505,"&gt;"&amp;$A121,実績!$AE$6:$AE$505,"○")&gt;0,1,0))</f>
        <v/>
      </c>
      <c r="AG121">
        <f>IF(AG$4=0,0,IF(COUNTIFS(実績!$W$6:$W$505,AG$3,実績!$AC$6:$AC$505,"&lt;="&amp;$A121,実績!$AD$6:$AD$505,"&gt;"&amp;$A121,実績!$AE$6:$AE$505,"○")&gt;0,1,0))</f>
        <v/>
      </c>
      <c r="AH121">
        <f>IF(AH$4=0,0,IF(COUNTIFS(実績!$W$6:$W$505,AH$3,実績!$AC$6:$AC$505,"&lt;="&amp;$A121,実績!$AD$6:$AD$505,"&gt;"&amp;$A121,実績!$AE$6:$AE$505,"○")&gt;0,1,0))</f>
        <v/>
      </c>
      <c r="AI121">
        <f>IF(AI$4=0,0,IF(COUNTIFS(実績!$W$6:$W$505,AI$3,実績!$AC$6:$AC$505,"&lt;="&amp;$A121,実績!$AD$6:$AD$505,"&gt;"&amp;$A121,実績!$AE$6:$AE$505,"○")&gt;0,1,0))</f>
        <v/>
      </c>
      <c r="AJ121">
        <f>IF(AJ$4=0,0,IF(COUNTIFS(実績!$W$6:$W$505,AJ$3,実績!$AC$6:$AC$505,"&lt;="&amp;$A121,実績!$AD$6:$AD$505,"&gt;"&amp;$A121,実績!$AE$6:$AE$505,"○")&gt;0,1,0))</f>
        <v/>
      </c>
      <c r="AK121">
        <f>IF(AK$4=0,0,IF(COUNTIFS(実績!$W$6:$W$505,AK$3,実績!$AC$6:$AC$505,"&lt;="&amp;$A121,実績!$AD$6:$AD$505,"&gt;"&amp;$A121,実績!$AE$6:$AE$505,"○")&gt;0,1,0))</f>
        <v/>
      </c>
      <c r="AL121">
        <f>IF(AL$4=0,0,IF(COUNTIFS(実績!$W$6:$W$505,AL$3,実績!$AC$6:$AC$505,"&lt;="&amp;$A121,実績!$AD$6:$AD$505,"&gt;"&amp;$A121,実績!$AE$6:$AE$505,"○")&gt;0,1,0))</f>
        <v/>
      </c>
      <c r="AM121">
        <f>IF(AM$4=0,0,IF(COUNTIFS(実績!$W$6:$W$505,AM$3,実績!$AC$6:$AC$505,"&lt;="&amp;$A121,実績!$AD$6:$AD$505,"&gt;"&amp;$A121,実績!$AE$6:$AE$505,"○")&gt;0,1,0))</f>
        <v/>
      </c>
      <c r="AN121">
        <f>IF(AN$4=0,0,IF(COUNTIFS(実績!$W$6:$W$505,AN$3,実績!$AC$6:$AC$505,"&lt;="&amp;$A121,実績!$AD$6:$AD$505,"&gt;"&amp;$A121,実績!$AE$6:$AE$505,"○")&gt;0,1,0))</f>
        <v/>
      </c>
      <c r="AO121">
        <f>IF(AO$4=0,0,IF(COUNTIFS(実績!$W$6:$W$505,AO$3,実績!$AC$6:$AC$505,"&lt;="&amp;$A121,実績!$AD$6:$AD$505,"&gt;"&amp;$A121,実績!$AE$6:$AE$505,"○")&gt;0,1,0))</f>
        <v/>
      </c>
      <c r="AP121">
        <f>IF(AP$4=0,0,IF(COUNTIFS(実績!$W$6:$W$505,AP$3,実績!$AC$6:$AC$505,"&lt;="&amp;$A121,実績!$AD$6:$AD$505,"&gt;"&amp;$A121,実績!$AE$6:$AE$505,"○")&gt;0,1,0))</f>
        <v/>
      </c>
      <c r="AQ121">
        <f>IF(AQ$4=0,0,IF(COUNTIFS(実績!$W$6:$W$505,AQ$3,実績!$AC$6:$AC$505,"&lt;="&amp;$A121,実績!$AD$6:$AD$505,"&gt;"&amp;$A121,実績!$AE$6:$AE$505,"○")&gt;0,1,0))</f>
        <v/>
      </c>
      <c r="AR121">
        <f>IF(AR$4=0,0,IF(COUNTIFS(実績!$W$6:$W$505,AR$3,実績!$AC$6:$AC$505,"&lt;="&amp;$A121,実績!$AD$6:$AD$505,"&gt;"&amp;$A121,実績!$AE$6:$AE$505,"○")&gt;0,1,0))</f>
        <v/>
      </c>
      <c r="AS121">
        <f>IF(AS$4=0,0,IF(COUNTIFS(実績!$W$6:$W$505,AS$3,実績!$AC$6:$AC$505,"&lt;="&amp;$A121,実績!$AD$6:$AD$505,"&gt;"&amp;$A121,実績!$AE$6:$AE$505,"○")&gt;0,1,0))</f>
        <v/>
      </c>
      <c r="AT121">
        <f>IF(AT$4=0,0,IF(COUNTIFS(実績!$W$6:$W$505,AT$3,実績!$AC$6:$AC$505,"&lt;="&amp;$A121,実績!$AD$6:$AD$505,"&gt;"&amp;$A121,実績!$AE$6:$AE$505,"○")&gt;0,1,0))</f>
        <v/>
      </c>
      <c r="AU121">
        <f>IF(AU$4=0,0,IF(COUNTIFS(実績!$W$6:$W$505,AU$3,実績!$AC$6:$AC$505,"&lt;="&amp;$A121,実績!$AD$6:$AD$505,"&gt;"&amp;$A121,実績!$AE$6:$AE$505,"○")&gt;0,1,0))</f>
        <v/>
      </c>
      <c r="AV121">
        <f>IF(AV$4=0,0,IF(COUNTIFS(実績!$W$6:$W$505,AV$3,実績!$AC$6:$AC$505,"&lt;="&amp;$A121,実績!$AD$6:$AD$505,"&gt;"&amp;$A121,実績!$AE$6:$AE$505,"○")&gt;0,1,0))</f>
        <v/>
      </c>
      <c r="AW121">
        <f>IF(AW$4=0,0,IF(COUNTIFS(実績!$W$6:$W$505,AW$3,実績!$AC$6:$AC$505,"&lt;="&amp;$A121,実績!$AD$6:$AD$505,"&gt;"&amp;$A121,実績!$AE$6:$AE$505,"○")&gt;0,1,0))</f>
        <v/>
      </c>
      <c r="AX121">
        <f>IF(AX$4=0,0,IF(COUNTIFS(実績!$W$6:$W$505,AX$3,実績!$AC$6:$AC$505,"&lt;="&amp;$A121,実績!$AD$6:$AD$505,"&gt;"&amp;$A121,実績!$AE$6:$AE$505,"○")&gt;0,1,0))</f>
        <v/>
      </c>
      <c r="AY121">
        <f>IF(AY$4=0,0,IF(COUNTIFS(実績!$W$6:$W$505,AY$3,実績!$AC$6:$AC$505,"&lt;="&amp;$A121,実績!$AD$6:$AD$505,"&gt;"&amp;$A121,実績!$AE$6:$AE$505,"○")&gt;0,1,0))</f>
        <v/>
      </c>
      <c r="AZ121">
        <f>IF(AZ$4=0,0,IF(COUNTIFS(実績!$W$6:$W$505,AZ$3,実績!$AC$6:$AC$505,"&lt;="&amp;$A121,実績!$AD$6:$AD$505,"&gt;"&amp;$A121,実績!$AE$6:$AE$505,"○")&gt;0,1,0))</f>
        <v/>
      </c>
      <c r="BA121">
        <f>IF(BA$4=0,0,IF(COUNTIFS(実績!$W$6:$W$505,BA$3,実績!$AC$6:$AC$505,"&lt;="&amp;$A121,実績!$AD$6:$AD$505,"&gt;"&amp;$A121,実績!$AE$6:$AE$505,"○")&gt;0,1,0))</f>
        <v/>
      </c>
      <c r="BB121">
        <f>IF(BB$4=0,0,IF(COUNTIFS(実績!$W$6:$W$505,BB$3,実績!$AC$6:$AC$505,"&lt;="&amp;$A121,実績!$AD$6:$AD$505,"&gt;"&amp;$A121,実績!$AE$6:$AE$505,"○")&gt;0,1,0))</f>
        <v/>
      </c>
      <c r="BC121">
        <f>IF(BC$4=0,0,IF(COUNTIFS(実績!$W$6:$W$505,BC$3,実績!$AC$6:$AC$505,"&lt;="&amp;$A121,実績!$AD$6:$AD$505,"&gt;"&amp;$A121,実績!$AE$6:$AE$505,"○")&gt;0,1,0))</f>
        <v/>
      </c>
      <c r="BD121">
        <f>IF(BD$4=0,0,IF(COUNTIFS(実績!$W$6:$W$505,BD$3,実績!$AC$6:$AC$505,"&lt;="&amp;$A121,実績!$AD$6:$AD$505,"&gt;"&amp;$A121,実績!$AE$6:$AE$505,"○")&gt;0,1,0))</f>
        <v/>
      </c>
      <c r="BE121">
        <f>IF(BE$4=0,0,IF(COUNTIFS(実績!$W$6:$W$505,BE$3,実績!$AC$6:$AC$505,"&lt;="&amp;$A121,実績!$AD$6:$AD$505,"&gt;"&amp;$A121,実績!$AE$6:$AE$505,"○")&gt;0,1,0))</f>
        <v/>
      </c>
      <c r="BF121">
        <f>IF(BF$4=0,0,IF(COUNTIFS(実績!$W$6:$W$505,BF$3,実績!$AC$6:$AC$505,"&lt;="&amp;$A121,実績!$AD$6:$AD$505,"&gt;"&amp;$A121,実績!$AE$6:$AE$505,"○")&gt;0,1,0))</f>
        <v/>
      </c>
      <c r="BG121">
        <f>IF(BG$4=0,0,IF(COUNTIFS(実績!$W$6:$W$505,BG$3,実績!$AC$6:$AC$505,"&lt;="&amp;$A121,実績!$AD$6:$AD$505,"&gt;"&amp;$A121,実績!$AE$6:$AE$505,"○")&gt;0,1,0))</f>
        <v/>
      </c>
      <c r="BH121">
        <f>IF(BH$4=0,0,IF(COUNTIFS(実績!$W$6:$W$505,BH$3,実績!$AC$6:$AC$505,"&lt;="&amp;$A121,実績!$AD$6:$AD$505,"&gt;"&amp;$A121,実績!$AE$6:$AE$505,"○")&gt;0,1,0))</f>
        <v/>
      </c>
      <c r="BI121">
        <f>IF(BI$4=0,0,IF(COUNTIFS(実績!$W$6:$W$505,BI$3,実績!$AC$6:$AC$505,"&lt;="&amp;$A121,実績!$AD$6:$AD$505,"&gt;"&amp;$A121,実績!$AE$6:$AE$505,"○")&gt;0,1,0))</f>
        <v/>
      </c>
      <c r="BJ121">
        <f>IF(BJ$4=0,0,IF(COUNTIFS(実績!$W$6:$W$505,BJ$3,実績!$AC$6:$AC$505,"&lt;="&amp;$A121,実績!$AD$6:$AD$505,"&gt;"&amp;$A121,実績!$AE$6:$AE$505,"○")&gt;0,1,0))</f>
        <v/>
      </c>
      <c r="BK121">
        <f>IF(BK$4=0,0,IF(COUNTIFS(実績!$W$6:$W$505,BK$3,実績!$AC$6:$AC$505,"&lt;="&amp;$A121,実績!$AD$6:$AD$505,"&gt;"&amp;$A121,実績!$AE$6:$AE$505,"○")&gt;0,1,0))</f>
        <v/>
      </c>
      <c r="BL121">
        <f>IF(BL$4=0,0,IF(COUNTIFS(実績!$W$6:$W$505,BL$3,実績!$AC$6:$AC$505,"&lt;="&amp;$A121,実績!$AD$6:$AD$505,"&gt;"&amp;$A121,実績!$AE$6:$AE$505,"○")&gt;0,1,0))</f>
        <v/>
      </c>
      <c r="BM121">
        <f>IF(BM$4=0,0,IF(COUNTIFS(実績!$W$6:$W$505,BM$3,実績!$AC$6:$AC$505,"&lt;="&amp;$A121,実績!$AD$6:$AD$505,"&gt;"&amp;$A121,実績!$AE$6:$AE$505,"○")&gt;0,1,0))</f>
        <v/>
      </c>
      <c r="BN121">
        <f>IF(BN$4=0,0,IF(COUNTIFS(実績!$W$6:$W$505,BN$3,実績!$AC$6:$AC$505,"&lt;="&amp;$A121,実績!$AD$6:$AD$505,"&gt;"&amp;$A121,実績!$AE$6:$AE$505,"○")&gt;0,1,0))</f>
        <v/>
      </c>
      <c r="BO121">
        <f>IF(BO$4=0,0,IF(COUNTIFS(実績!$W$6:$W$505,BO$3,実績!$AC$6:$AC$505,"&lt;="&amp;$A121,実績!$AD$6:$AD$505,"&gt;"&amp;$A121,実績!$AE$6:$AE$505,"○")&gt;0,1,0))</f>
        <v/>
      </c>
      <c r="BP121">
        <f>IF(BP$4=0,0,IF(COUNTIFS(実績!$W$6:$W$505,BP$3,実績!$AC$6:$AC$505,"&lt;="&amp;$A121,実績!$AD$6:$AD$505,"&gt;"&amp;$A121,実績!$AE$6:$AE$505,"○")&gt;0,1,0))</f>
        <v/>
      </c>
      <c r="BQ121">
        <f>IF(BQ$4=0,0,IF(COUNTIFS(実績!$W$6:$W$505,BQ$3,実績!$AC$6:$AC$505,"&lt;="&amp;$A121,実績!$AD$6:$AD$505,"&gt;"&amp;$A121,実績!$AE$6:$AE$505,"○")&gt;0,1,0))</f>
        <v/>
      </c>
      <c r="BR121">
        <f>IF(BR$4=0,0,IF(COUNTIFS(実績!$W$6:$W$505,BR$3,実績!$AC$6:$AC$505,"&lt;="&amp;$A121,実績!$AD$6:$AD$505,"&gt;"&amp;$A121,実績!$AE$6:$AE$505,"○")&gt;0,1,0))</f>
        <v/>
      </c>
      <c r="BS121">
        <f>IF(BS$4=0,0,IF(COUNTIFS(実績!$W$6:$W$505,BS$3,実績!$AC$6:$AC$505,"&lt;="&amp;$A121,実績!$AD$6:$AD$505,"&gt;"&amp;$A121,実績!$AE$6:$AE$505,"○")&gt;0,1,0))</f>
        <v/>
      </c>
      <c r="BT121">
        <f>IF(BT$4=0,0,IF(COUNTIFS(実績!$W$6:$W$505,BT$3,実績!$AC$6:$AC$505,"&lt;="&amp;$A121,実績!$AD$6:$AD$505,"&gt;"&amp;$A121,実績!$AE$6:$AE$505,"○")&gt;0,1,0))</f>
        <v/>
      </c>
      <c r="BU121">
        <f>IF(BU$4=0,0,IF(COUNTIFS(実績!$W$6:$W$505,BU$3,実績!$AC$6:$AC$505,"&lt;="&amp;$A121,実績!$AD$6:$AD$505,"&gt;"&amp;$A121,実績!$AE$6:$AE$505,"○")&gt;0,1,0))</f>
        <v/>
      </c>
      <c r="BV121">
        <f>IF(BV$4=0,0,IF(COUNTIFS(実績!$W$6:$W$505,BV$3,実績!$AC$6:$AC$505,"&lt;="&amp;$A121,実績!$AD$6:$AD$505,"&gt;"&amp;$A121,実績!$AE$6:$AE$505,"○")&gt;0,1,0))</f>
        <v/>
      </c>
      <c r="BW121">
        <f>IF(BW$4=0,0,IF(COUNTIFS(実績!$W$6:$W$505,BW$3,実績!$AC$6:$AC$505,"&lt;="&amp;$A121,実績!$AD$6:$AD$505,"&gt;"&amp;$A121,実績!$AE$6:$AE$505,"○")&gt;0,1,0))</f>
        <v/>
      </c>
      <c r="BX121">
        <f>IF(BX$4=0,0,IF(COUNTIFS(実績!$W$6:$W$505,BX$3,実績!$AC$6:$AC$505,"&lt;="&amp;$A121,実績!$AD$6:$AD$505,"&gt;"&amp;$A121,実績!$AE$6:$AE$505,"○")&gt;0,1,0))</f>
        <v/>
      </c>
      <c r="BY121">
        <f>IF(BY$4=0,0,IF(COUNTIFS(実績!$W$6:$W$505,BY$3,実績!$AC$6:$AC$505,"&lt;="&amp;$A121,実績!$AD$6:$AD$505,"&gt;"&amp;$A121,実績!$AE$6:$AE$505,"○")&gt;0,1,0))</f>
        <v/>
      </c>
      <c r="BZ121">
        <f>IF(BZ$4=0,0,IF(COUNTIFS(実績!$W$6:$W$505,BZ$3,実績!$AC$6:$AC$505,"&lt;="&amp;$A121,実績!$AD$6:$AD$505,"&gt;"&amp;$A121,実績!$AE$6:$AE$505,"○")&gt;0,1,0))</f>
        <v/>
      </c>
      <c r="CA121">
        <f>IF(CA$4=0,0,IF(COUNTIFS(実績!$W$6:$W$505,CA$3,実績!$AC$6:$AC$505,"&lt;="&amp;$A121,実績!$AD$6:$AD$505,"&gt;"&amp;$A121,実績!$AE$6:$AE$505,"○")&gt;0,1,0))</f>
        <v/>
      </c>
      <c r="CB121">
        <f>IF(CB$4=0,0,IF(COUNTIFS(実績!$W$6:$W$505,CB$3,実績!$AC$6:$AC$505,"&lt;="&amp;$A121,実績!$AD$6:$AD$505,"&gt;"&amp;$A121,実績!$AE$6:$AE$505,"○")&gt;0,1,0))</f>
        <v/>
      </c>
      <c r="CC121">
        <f>IF(CC$4=0,0,IF(COUNTIFS(実績!$W$6:$W$505,CC$3,実績!$AC$6:$AC$505,"&lt;="&amp;$A121,実績!$AD$6:$AD$505,"&gt;"&amp;$A121,実績!$AE$6:$AE$505,"○")&gt;0,1,0))</f>
        <v/>
      </c>
      <c r="CD121">
        <f>IF(CD$4=0,0,IF(COUNTIFS(実績!$W$6:$W$505,CD$3,実績!$AC$6:$AC$505,"&lt;="&amp;$A121,実績!$AD$6:$AD$505,"&gt;"&amp;$A121,実績!$AE$6:$AE$505,"○")&gt;0,1,0))</f>
        <v/>
      </c>
      <c r="CE121">
        <f>IF(CE$4=0,0,IF(COUNTIFS(実績!$W$6:$W$505,CE$3,実績!$AC$6:$AC$505,"&lt;="&amp;$A121,実績!$AD$6:$AD$505,"&gt;"&amp;$A121,実績!$AE$6:$AE$505,"○")&gt;0,1,0))</f>
        <v/>
      </c>
      <c r="CF121">
        <f>IF(CF$4=0,0,IF(COUNTIFS(実績!$W$6:$W$505,CF$3,実績!$AC$6:$AC$505,"&lt;="&amp;$A121,実績!$AD$6:$AD$505,"&gt;"&amp;$A121,実績!$AE$6:$AE$505,"○")&gt;0,1,0))</f>
        <v/>
      </c>
      <c r="CG121">
        <f>IF(CG$4=0,0,IF(COUNTIFS(実績!$W$6:$W$505,CG$3,実績!$AC$6:$AC$505,"&lt;="&amp;$A121,実績!$AD$6:$AD$505,"&gt;"&amp;$A121,実績!$AE$6:$AE$505,"○")&gt;0,1,0))</f>
        <v/>
      </c>
      <c r="CH121">
        <f>IF(CH$4=0,0,IF(COUNTIFS(実績!$W$6:$W$505,CH$3,実績!$AC$6:$AC$505,"&lt;="&amp;$A121,実績!$AD$6:$AD$505,"&gt;"&amp;$A121,実績!$AE$6:$AE$505,"○")&gt;0,1,0))</f>
        <v/>
      </c>
      <c r="CI121">
        <f>IF(CI$4=0,0,IF(COUNTIFS(実績!$W$6:$W$505,CI$3,実績!$AC$6:$AC$505,"&lt;="&amp;$A121,実績!$AD$6:$AD$505,"&gt;"&amp;$A121,実績!$AE$6:$AE$505,"○")&gt;0,1,0))</f>
        <v/>
      </c>
      <c r="CJ121">
        <f>IF(CJ$4=0,0,IF(COUNTIFS(実績!$W$6:$W$505,CJ$3,実績!$AC$6:$AC$505,"&lt;="&amp;$A121,実績!$AD$6:$AD$505,"&gt;"&amp;$A121,実績!$AE$6:$AE$505,"○")&gt;0,1,0))</f>
        <v/>
      </c>
      <c r="CK121">
        <f>IF(CK$4=0,0,IF(COUNTIFS(実績!$W$6:$W$505,CK$3,実績!$AC$6:$AC$505,"&lt;="&amp;$A121,実績!$AD$6:$AD$505,"&gt;"&amp;$A121,実績!$AE$6:$AE$505,"○")&gt;0,1,0))</f>
        <v/>
      </c>
      <c r="CL121">
        <f>IF(CL$4=0,0,IF(COUNTIFS(実績!$W$6:$W$505,CL$3,実績!$AC$6:$AC$505,"&lt;="&amp;$A121,実績!$AD$6:$AD$505,"&gt;"&amp;$A121,実績!$AE$6:$AE$505,"○")&gt;0,1,0))</f>
        <v/>
      </c>
      <c r="CM121">
        <f>IF(CM$4=0,0,IF(COUNTIFS(実績!$W$6:$W$505,CM$3,実績!$AC$6:$AC$505,"&lt;="&amp;$A121,実績!$AD$6:$AD$505,"&gt;"&amp;$A121,実績!$AE$6:$AE$505,"○")&gt;0,1,0))</f>
        <v/>
      </c>
      <c r="CN121">
        <f>IF(CN$4=0,0,IF(COUNTIFS(実績!$W$6:$W$505,CN$3,実績!$AC$6:$AC$505,"&lt;="&amp;$A121,実績!$AD$6:$AD$505,"&gt;"&amp;$A121,実績!$AE$6:$AE$505,"○")&gt;0,1,0))</f>
        <v/>
      </c>
      <c r="CO121">
        <f>IF(CO$4=0,0,IF(COUNTIFS(実績!$W$6:$W$505,CO$3,実績!$AC$6:$AC$505,"&lt;="&amp;$A121,実績!$AD$6:$AD$505,"&gt;"&amp;$A121,実績!$AE$6:$AE$505,"○")&gt;0,1,0))</f>
        <v/>
      </c>
      <c r="CP121">
        <f>IF(CP$4=0,0,IF(COUNTIFS(実績!$W$6:$W$505,CP$3,実績!$AC$6:$AC$505,"&lt;="&amp;$A121,実績!$AD$6:$AD$505,"&gt;"&amp;$A121,実績!$AE$6:$AE$505,"○")&gt;0,1,0))</f>
        <v/>
      </c>
      <c r="CQ121">
        <f>IF(CQ$4=0,0,IF(COUNTIFS(実績!$W$6:$W$505,CQ$3,実績!$AC$6:$AC$505,"&lt;="&amp;$A121,実績!$AD$6:$AD$505,"&gt;"&amp;$A121,実績!$AE$6:$AE$505,"○")&gt;0,1,0))</f>
        <v/>
      </c>
      <c r="CR121">
        <f>IF(CR$4=0,0,IF(COUNTIFS(実績!$W$6:$W$505,CR$3,実績!$AC$6:$AC$505,"&lt;="&amp;$A121,実績!$AD$6:$AD$505,"&gt;"&amp;$A121,実績!$AE$6:$AE$505,"○")&gt;0,1,0))</f>
        <v/>
      </c>
      <c r="CS121">
        <f>IF(CS$4=0,0,IF(COUNTIFS(実績!$W$6:$W$505,CS$3,実績!$AC$6:$AC$505,"&lt;="&amp;$A121,実績!$AD$6:$AD$505,"&gt;"&amp;$A121,実績!$AE$6:$AE$505,"○")&gt;0,1,0))</f>
        <v/>
      </c>
      <c r="CT121">
        <f>IF(CT$4=0,0,IF(COUNTIFS(実績!$W$6:$W$505,CT$3,実績!$AC$6:$AC$505,"&lt;="&amp;$A121,実績!$AD$6:$AD$505,"&gt;"&amp;$A121,実績!$AE$6:$AE$505,"○")&gt;0,1,0))</f>
        <v/>
      </c>
      <c r="CU121">
        <f>IF(CU$4=0,0,IF(COUNTIFS(実績!$W$6:$W$505,CU$3,実績!$AC$6:$AC$505,"&lt;="&amp;$A121,実績!$AD$6:$AD$505,"&gt;"&amp;$A121,実績!$AE$6:$AE$505,"○")&gt;0,1,0))</f>
        <v/>
      </c>
      <c r="CV121">
        <f>IF(CV$4=0,0,IF(COUNTIFS(実績!$W$6:$W$505,CV$3,実績!$AC$6:$AC$505,"&lt;="&amp;$A121,実績!$AD$6:$AD$505,"&gt;"&amp;$A121,実績!$AE$6:$AE$505,"○")&gt;0,1,0))</f>
        <v/>
      </c>
      <c r="CW121">
        <f>IF(CW$4=0,0,IF(COUNTIFS(実績!$W$6:$W$505,CW$3,実績!$AC$6:$AC$505,"&lt;="&amp;$A121,実績!$AD$6:$AD$505,"&gt;"&amp;$A121,実績!$AE$6:$AE$505,"○")&gt;0,1,0))</f>
        <v/>
      </c>
      <c r="CX121">
        <f>IF(CX$4=0,0,IF(COUNTIFS(実績!$W$6:$W$505,CX$3,実績!$AC$6:$AC$505,"&lt;="&amp;$A121,実績!$AD$6:$AD$505,"&gt;"&amp;$A121,実績!$AE$6:$AE$505,"○")&gt;0,1,0))</f>
        <v/>
      </c>
      <c r="CY121">
        <f>IF(CY$4=0,0,IF(COUNTIFS(実績!$W$6:$W$505,CY$3,実績!$AC$6:$AC$505,"&lt;="&amp;$A121,実績!$AD$6:$AD$505,"&gt;"&amp;$A121,実績!$AE$6:$AE$505,"○")&gt;0,1,0))</f>
        <v/>
      </c>
      <c r="CZ121">
        <f>IF(CZ$4=0,0,IF(COUNTIFS(実績!$W$6:$W$505,CZ$3,実績!$AC$6:$AC$505,"&lt;="&amp;$A121,実績!$AD$6:$AD$505,"&gt;"&amp;$A121,実績!$AE$6:$AE$505,"○")&gt;0,1,0))</f>
        <v/>
      </c>
      <c r="DA121">
        <f>IF(DA$4=0,0,IF(COUNTIFS(実績!$W$6:$W$505,DA$3,実績!$AC$6:$AC$505,"&lt;="&amp;$A121,実績!$AD$6:$AD$505,"&gt;"&amp;$A121,実績!$AE$6:$AE$505,"○")&gt;0,1,0))</f>
        <v/>
      </c>
      <c r="DB121">
        <f>IF(DB$4=0,0,IF(COUNTIFS(実績!$W$6:$W$505,DB$3,実績!$AC$6:$AC$505,"&lt;="&amp;$A121,実績!$AD$6:$AD$505,"&gt;"&amp;$A121,実績!$AE$6:$AE$505,"○")&gt;0,1,0))</f>
        <v/>
      </c>
      <c r="DC121">
        <f>IF(DC$4=0,0,IF(COUNTIFS(実績!$W$6:$W$505,DC$3,実績!$AC$6:$AC$505,"&lt;="&amp;$A121,実績!$AD$6:$AD$505,"&gt;"&amp;$A121,実績!$AE$6:$AE$505,"○")&gt;0,1,0))</f>
        <v/>
      </c>
      <c r="DD121">
        <f>IF(DD$4=0,0,IF(COUNTIFS(実績!$W$6:$W$505,DD$3,実績!$AC$6:$AC$505,"&lt;="&amp;$A121,実績!$AD$6:$AD$505,"&gt;"&amp;$A121,実績!$AE$6:$AE$505,"○")&gt;0,1,0))</f>
        <v/>
      </c>
      <c r="DE121">
        <f>IF(DE$4=0,0,IF(COUNTIFS(実績!$W$6:$W$505,DE$3,実績!$AC$6:$AC$505,"&lt;="&amp;$A121,実績!$AD$6:$AD$505,"&gt;"&amp;$A121,実績!$AE$6:$AE$505,"○")&gt;0,1,0))</f>
        <v/>
      </c>
      <c r="DF121">
        <f>IF(DF$4=0,0,IF(COUNTIFS(実績!$W$6:$W$505,DF$3,実績!$AC$6:$AC$505,"&lt;="&amp;$A121,実績!$AD$6:$AD$505,"&gt;"&amp;$A121,実績!$AE$6:$AE$505,"○")&gt;0,1,0))</f>
        <v/>
      </c>
      <c r="DG121">
        <f>IF(DG$4=0,0,IF(COUNTIFS(実績!$W$6:$W$505,DG$3,実績!$AC$6:$AC$505,"&lt;="&amp;$A121,実績!$AD$6:$AD$505,"&gt;"&amp;$A121,実績!$AE$6:$AE$505,"○")&gt;0,1,0))</f>
        <v/>
      </c>
      <c r="DH121">
        <f>IF(DH$4=0,0,IF(COUNTIFS(実績!$W$6:$W$505,DH$3,実績!$AC$6:$AC$505,"&lt;="&amp;$A121,実績!$AD$6:$AD$505,"&gt;"&amp;$A121,実績!$AE$6:$AE$505,"○")&gt;0,1,0))</f>
        <v/>
      </c>
      <c r="DI121">
        <f>IF(DI$4=0,0,IF(COUNTIFS(実績!$W$6:$W$505,DI$3,実績!$AC$6:$AC$505,"&lt;="&amp;$A121,実績!$AD$6:$AD$505,"&gt;"&amp;$A121,実績!$AE$6:$AE$505,"○")&gt;0,1,0))</f>
        <v/>
      </c>
      <c r="DJ121">
        <f>IF(DJ$4=0,0,IF(COUNTIFS(実績!$W$6:$W$505,DJ$3,実績!$AC$6:$AC$505,"&lt;="&amp;$A121,実績!$AD$6:$AD$505,"&gt;"&amp;$A121,実績!$AE$6:$AE$505,"○")&gt;0,1,0))</f>
        <v/>
      </c>
      <c r="DK121">
        <f>IF(DK$4=0,0,IF(COUNTIFS(実績!$W$6:$W$505,DK$3,実績!$AC$6:$AC$505,"&lt;="&amp;$A121,実績!$AD$6:$AD$505,"&gt;"&amp;$A121,実績!$AE$6:$AE$505,"○")&gt;0,1,0))</f>
        <v/>
      </c>
      <c r="DL121">
        <f>IF(DL$4=0,0,IF(COUNTIFS(実績!$W$6:$W$505,DL$3,実績!$AC$6:$AC$505,"&lt;="&amp;$A121,実績!$AD$6:$AD$505,"&gt;"&amp;$A121,実績!$AE$6:$AE$505,"○")&gt;0,1,0))</f>
        <v/>
      </c>
      <c r="DM121">
        <f>IF(DM$4=0,0,IF(COUNTIFS(実績!$W$6:$W$505,DM$3,実績!$AC$6:$AC$505,"&lt;="&amp;$A121,実績!$AD$6:$AD$505,"&gt;"&amp;$A121,実績!$AE$6:$AE$505,"○")&gt;0,1,0))</f>
        <v/>
      </c>
      <c r="DN121">
        <f>IF(DN$4=0,0,IF(COUNTIFS(実績!$W$6:$W$505,DN$3,実績!$AC$6:$AC$505,"&lt;="&amp;$A121,実績!$AD$6:$AD$505,"&gt;"&amp;$A121,実績!$AE$6:$AE$505,"○")&gt;0,1,0))</f>
        <v/>
      </c>
      <c r="DO121">
        <f>IF(DO$4=0,0,IF(COUNTIFS(実績!$W$6:$W$505,DO$3,実績!$AC$6:$AC$505,"&lt;="&amp;$A121,実績!$AD$6:$AD$505,"&gt;"&amp;$A121,実績!$AE$6:$AE$505,"○")&gt;0,1,0))</f>
        <v/>
      </c>
      <c r="DP121">
        <f>IF(DP$4=0,0,IF(COUNTIFS(実績!$W$6:$W$505,DP$3,実績!$AC$6:$AC$505,"&lt;="&amp;$A121,実績!$AD$6:$AD$505,"&gt;"&amp;$A121,実績!$AE$6:$AE$505,"○")&gt;0,1,0))</f>
        <v/>
      </c>
      <c r="DQ121">
        <f>IF(DQ$4=0,0,IF(COUNTIFS(実績!$W$6:$W$505,DQ$3,実績!$AC$6:$AC$505,"&lt;="&amp;$A121,実績!$AD$6:$AD$505,"&gt;"&amp;$A121,実績!$AE$6:$AE$505,"○")&gt;0,1,0))</f>
        <v/>
      </c>
      <c r="DR121">
        <f>IF(DR$4=0,0,IF(COUNTIFS(実績!$W$6:$W$505,DR$3,実績!$AC$6:$AC$505,"&lt;="&amp;$A121,実績!$AD$6:$AD$505,"&gt;"&amp;$A121,実績!$AE$6:$AE$505,"○")&gt;0,1,0))</f>
        <v/>
      </c>
      <c r="DS121">
        <f>SUM(C121:DR121)</f>
        <v/>
      </c>
      <c r="DT121">
        <f>SUMPRODUCT((実績!$C$6:$C$505="○")*ISNUMBER(実績!$AF$6:$AF$505)*(実績!$AF$6:$AF$505&lt;=$A121)*(実績!$AG$6:$AG$505&gt;$A121))</f>
        <v/>
      </c>
      <c r="DU121">
        <f>SUMIF($C$2:$DR$2,"製鉄曳船",C121:DR121)</f>
        <v/>
      </c>
      <c r="DV121">
        <f>SUMIF($C$2:$DR$2,"西日本海運",C121:DR121)</f>
        <v/>
      </c>
    </row>
    <row r="122">
      <c r="A122" t="n">
        <v>580</v>
      </c>
      <c r="B122" s="29">
        <f>A122/1440</f>
        <v/>
      </c>
      <c r="C122">
        <f>IF(C$4=0,0,IF(COUNTIFS(実績!$W$6:$W$505,C$3,実績!$AC$6:$AC$505,"&lt;="&amp;$A122,実績!$AD$6:$AD$505,"&gt;"&amp;$A122,実績!$AE$6:$AE$505,"○")&gt;0,1,0))</f>
        <v/>
      </c>
      <c r="D122">
        <f>IF(D$4=0,0,IF(COUNTIFS(実績!$W$6:$W$505,D$3,実績!$AC$6:$AC$505,"&lt;="&amp;$A122,実績!$AD$6:$AD$505,"&gt;"&amp;$A122,実績!$AE$6:$AE$505,"○")&gt;0,1,0))</f>
        <v/>
      </c>
      <c r="E122">
        <f>IF(E$4=0,0,IF(COUNTIFS(実績!$W$6:$W$505,E$3,実績!$AC$6:$AC$505,"&lt;="&amp;$A122,実績!$AD$6:$AD$505,"&gt;"&amp;$A122,実績!$AE$6:$AE$505,"○")&gt;0,1,0))</f>
        <v/>
      </c>
      <c r="F122">
        <f>IF(F$4=0,0,IF(COUNTIFS(実績!$W$6:$W$505,F$3,実績!$AC$6:$AC$505,"&lt;="&amp;$A122,実績!$AD$6:$AD$505,"&gt;"&amp;$A122,実績!$AE$6:$AE$505,"○")&gt;0,1,0))</f>
        <v/>
      </c>
      <c r="G122">
        <f>IF(G$4=0,0,IF(COUNTIFS(実績!$W$6:$W$505,G$3,実績!$AC$6:$AC$505,"&lt;="&amp;$A122,実績!$AD$6:$AD$505,"&gt;"&amp;$A122,実績!$AE$6:$AE$505,"○")&gt;0,1,0))</f>
        <v/>
      </c>
      <c r="H122">
        <f>IF(H$4=0,0,IF(COUNTIFS(実績!$W$6:$W$505,H$3,実績!$AC$6:$AC$505,"&lt;="&amp;$A122,実績!$AD$6:$AD$505,"&gt;"&amp;$A122,実績!$AE$6:$AE$505,"○")&gt;0,1,0))</f>
        <v/>
      </c>
      <c r="I122">
        <f>IF(I$4=0,0,IF(COUNTIFS(実績!$W$6:$W$505,I$3,実績!$AC$6:$AC$505,"&lt;="&amp;$A122,実績!$AD$6:$AD$505,"&gt;"&amp;$A122,実績!$AE$6:$AE$505,"○")&gt;0,1,0))</f>
        <v/>
      </c>
      <c r="J122">
        <f>IF(J$4=0,0,IF(COUNTIFS(実績!$W$6:$W$505,J$3,実績!$AC$6:$AC$505,"&lt;="&amp;$A122,実績!$AD$6:$AD$505,"&gt;"&amp;$A122,実績!$AE$6:$AE$505,"○")&gt;0,1,0))</f>
        <v/>
      </c>
      <c r="K122">
        <f>IF(K$4=0,0,IF(COUNTIFS(実績!$W$6:$W$505,K$3,実績!$AC$6:$AC$505,"&lt;="&amp;$A122,実績!$AD$6:$AD$505,"&gt;"&amp;$A122,実績!$AE$6:$AE$505,"○")&gt;0,1,0))</f>
        <v/>
      </c>
      <c r="L122">
        <f>IF(L$4=0,0,IF(COUNTIFS(実績!$W$6:$W$505,L$3,実績!$AC$6:$AC$505,"&lt;="&amp;$A122,実績!$AD$6:$AD$505,"&gt;"&amp;$A122,実績!$AE$6:$AE$505,"○")&gt;0,1,0))</f>
        <v/>
      </c>
      <c r="M122">
        <f>IF(M$4=0,0,IF(COUNTIFS(実績!$W$6:$W$505,M$3,実績!$AC$6:$AC$505,"&lt;="&amp;$A122,実績!$AD$6:$AD$505,"&gt;"&amp;$A122,実績!$AE$6:$AE$505,"○")&gt;0,1,0))</f>
        <v/>
      </c>
      <c r="N122">
        <f>IF(N$4=0,0,IF(COUNTIFS(実績!$W$6:$W$505,N$3,実績!$AC$6:$AC$505,"&lt;="&amp;$A122,実績!$AD$6:$AD$505,"&gt;"&amp;$A122,実績!$AE$6:$AE$505,"○")&gt;0,1,0))</f>
        <v/>
      </c>
      <c r="O122">
        <f>IF(O$4=0,0,IF(COUNTIFS(実績!$W$6:$W$505,O$3,実績!$AC$6:$AC$505,"&lt;="&amp;$A122,実績!$AD$6:$AD$505,"&gt;"&amp;$A122,実績!$AE$6:$AE$505,"○")&gt;0,1,0))</f>
        <v/>
      </c>
      <c r="P122">
        <f>IF(P$4=0,0,IF(COUNTIFS(実績!$W$6:$W$505,P$3,実績!$AC$6:$AC$505,"&lt;="&amp;$A122,実績!$AD$6:$AD$505,"&gt;"&amp;$A122,実績!$AE$6:$AE$505,"○")&gt;0,1,0))</f>
        <v/>
      </c>
      <c r="Q122">
        <f>IF(Q$4=0,0,IF(COUNTIFS(実績!$W$6:$W$505,Q$3,実績!$AC$6:$AC$505,"&lt;="&amp;$A122,実績!$AD$6:$AD$505,"&gt;"&amp;$A122,実績!$AE$6:$AE$505,"○")&gt;0,1,0))</f>
        <v/>
      </c>
      <c r="R122">
        <f>IF(R$4=0,0,IF(COUNTIFS(実績!$W$6:$W$505,R$3,実績!$AC$6:$AC$505,"&lt;="&amp;$A122,実績!$AD$6:$AD$505,"&gt;"&amp;$A122,実績!$AE$6:$AE$505,"○")&gt;0,1,0))</f>
        <v/>
      </c>
      <c r="S122">
        <f>IF(S$4=0,0,IF(COUNTIFS(実績!$W$6:$W$505,S$3,実績!$AC$6:$AC$505,"&lt;="&amp;$A122,実績!$AD$6:$AD$505,"&gt;"&amp;$A122,実績!$AE$6:$AE$505,"○")&gt;0,1,0))</f>
        <v/>
      </c>
      <c r="T122">
        <f>IF(T$4=0,0,IF(COUNTIFS(実績!$W$6:$W$505,T$3,実績!$AC$6:$AC$505,"&lt;="&amp;$A122,実績!$AD$6:$AD$505,"&gt;"&amp;$A122,実績!$AE$6:$AE$505,"○")&gt;0,1,0))</f>
        <v/>
      </c>
      <c r="U122">
        <f>IF(U$4=0,0,IF(COUNTIFS(実績!$W$6:$W$505,U$3,実績!$AC$6:$AC$505,"&lt;="&amp;$A122,実績!$AD$6:$AD$505,"&gt;"&amp;$A122,実績!$AE$6:$AE$505,"○")&gt;0,1,0))</f>
        <v/>
      </c>
      <c r="V122">
        <f>IF(V$4=0,0,IF(COUNTIFS(実績!$W$6:$W$505,V$3,実績!$AC$6:$AC$505,"&lt;="&amp;$A122,実績!$AD$6:$AD$505,"&gt;"&amp;$A122,実績!$AE$6:$AE$505,"○")&gt;0,1,0))</f>
        <v/>
      </c>
      <c r="W122">
        <f>IF(W$4=0,0,IF(COUNTIFS(実績!$W$6:$W$505,W$3,実績!$AC$6:$AC$505,"&lt;="&amp;$A122,実績!$AD$6:$AD$505,"&gt;"&amp;$A122,実績!$AE$6:$AE$505,"○")&gt;0,1,0))</f>
        <v/>
      </c>
      <c r="X122">
        <f>IF(X$4=0,0,IF(COUNTIFS(実績!$W$6:$W$505,X$3,実績!$AC$6:$AC$505,"&lt;="&amp;$A122,実績!$AD$6:$AD$505,"&gt;"&amp;$A122,実績!$AE$6:$AE$505,"○")&gt;0,1,0))</f>
        <v/>
      </c>
      <c r="Y122">
        <f>IF(Y$4=0,0,IF(COUNTIFS(実績!$W$6:$W$505,Y$3,実績!$AC$6:$AC$505,"&lt;="&amp;$A122,実績!$AD$6:$AD$505,"&gt;"&amp;$A122,実績!$AE$6:$AE$505,"○")&gt;0,1,0))</f>
        <v/>
      </c>
      <c r="Z122">
        <f>IF(Z$4=0,0,IF(COUNTIFS(実績!$W$6:$W$505,Z$3,実績!$AC$6:$AC$505,"&lt;="&amp;$A122,実績!$AD$6:$AD$505,"&gt;"&amp;$A122,実績!$AE$6:$AE$505,"○")&gt;0,1,0))</f>
        <v/>
      </c>
      <c r="AA122">
        <f>IF(AA$4=0,0,IF(COUNTIFS(実績!$W$6:$W$505,AA$3,実績!$AC$6:$AC$505,"&lt;="&amp;$A122,実績!$AD$6:$AD$505,"&gt;"&amp;$A122,実績!$AE$6:$AE$505,"○")&gt;0,1,0))</f>
        <v/>
      </c>
      <c r="AB122">
        <f>IF(AB$4=0,0,IF(COUNTIFS(実績!$W$6:$W$505,AB$3,実績!$AC$6:$AC$505,"&lt;="&amp;$A122,実績!$AD$6:$AD$505,"&gt;"&amp;$A122,実績!$AE$6:$AE$505,"○")&gt;0,1,0))</f>
        <v/>
      </c>
      <c r="AC122">
        <f>IF(AC$4=0,0,IF(COUNTIFS(実績!$W$6:$W$505,AC$3,実績!$AC$6:$AC$505,"&lt;="&amp;$A122,実績!$AD$6:$AD$505,"&gt;"&amp;$A122,実績!$AE$6:$AE$505,"○")&gt;0,1,0))</f>
        <v/>
      </c>
      <c r="AD122">
        <f>IF(AD$4=0,0,IF(COUNTIFS(実績!$W$6:$W$505,AD$3,実績!$AC$6:$AC$505,"&lt;="&amp;$A122,実績!$AD$6:$AD$505,"&gt;"&amp;$A122,実績!$AE$6:$AE$505,"○")&gt;0,1,0))</f>
        <v/>
      </c>
      <c r="AE122">
        <f>IF(AE$4=0,0,IF(COUNTIFS(実績!$W$6:$W$505,AE$3,実績!$AC$6:$AC$505,"&lt;="&amp;$A122,実績!$AD$6:$AD$505,"&gt;"&amp;$A122,実績!$AE$6:$AE$505,"○")&gt;0,1,0))</f>
        <v/>
      </c>
      <c r="AF122">
        <f>IF(AF$4=0,0,IF(COUNTIFS(実績!$W$6:$W$505,AF$3,実績!$AC$6:$AC$505,"&lt;="&amp;$A122,実績!$AD$6:$AD$505,"&gt;"&amp;$A122,実績!$AE$6:$AE$505,"○")&gt;0,1,0))</f>
        <v/>
      </c>
      <c r="AG122">
        <f>IF(AG$4=0,0,IF(COUNTIFS(実績!$W$6:$W$505,AG$3,実績!$AC$6:$AC$505,"&lt;="&amp;$A122,実績!$AD$6:$AD$505,"&gt;"&amp;$A122,実績!$AE$6:$AE$505,"○")&gt;0,1,0))</f>
        <v/>
      </c>
      <c r="AH122">
        <f>IF(AH$4=0,0,IF(COUNTIFS(実績!$W$6:$W$505,AH$3,実績!$AC$6:$AC$505,"&lt;="&amp;$A122,実績!$AD$6:$AD$505,"&gt;"&amp;$A122,実績!$AE$6:$AE$505,"○")&gt;0,1,0))</f>
        <v/>
      </c>
      <c r="AI122">
        <f>IF(AI$4=0,0,IF(COUNTIFS(実績!$W$6:$W$505,AI$3,実績!$AC$6:$AC$505,"&lt;="&amp;$A122,実績!$AD$6:$AD$505,"&gt;"&amp;$A122,実績!$AE$6:$AE$505,"○")&gt;0,1,0))</f>
        <v/>
      </c>
      <c r="AJ122">
        <f>IF(AJ$4=0,0,IF(COUNTIFS(実績!$W$6:$W$505,AJ$3,実績!$AC$6:$AC$505,"&lt;="&amp;$A122,実績!$AD$6:$AD$505,"&gt;"&amp;$A122,実績!$AE$6:$AE$505,"○")&gt;0,1,0))</f>
        <v/>
      </c>
      <c r="AK122">
        <f>IF(AK$4=0,0,IF(COUNTIFS(実績!$W$6:$W$505,AK$3,実績!$AC$6:$AC$505,"&lt;="&amp;$A122,実績!$AD$6:$AD$505,"&gt;"&amp;$A122,実績!$AE$6:$AE$505,"○")&gt;0,1,0))</f>
        <v/>
      </c>
      <c r="AL122">
        <f>IF(AL$4=0,0,IF(COUNTIFS(実績!$W$6:$W$505,AL$3,実績!$AC$6:$AC$505,"&lt;="&amp;$A122,実績!$AD$6:$AD$505,"&gt;"&amp;$A122,実績!$AE$6:$AE$505,"○")&gt;0,1,0))</f>
        <v/>
      </c>
      <c r="AM122">
        <f>IF(AM$4=0,0,IF(COUNTIFS(実績!$W$6:$W$505,AM$3,実績!$AC$6:$AC$505,"&lt;="&amp;$A122,実績!$AD$6:$AD$505,"&gt;"&amp;$A122,実績!$AE$6:$AE$505,"○")&gt;0,1,0))</f>
        <v/>
      </c>
      <c r="AN122">
        <f>IF(AN$4=0,0,IF(COUNTIFS(実績!$W$6:$W$505,AN$3,実績!$AC$6:$AC$505,"&lt;="&amp;$A122,実績!$AD$6:$AD$505,"&gt;"&amp;$A122,実績!$AE$6:$AE$505,"○")&gt;0,1,0))</f>
        <v/>
      </c>
      <c r="AO122">
        <f>IF(AO$4=0,0,IF(COUNTIFS(実績!$W$6:$W$505,AO$3,実績!$AC$6:$AC$505,"&lt;="&amp;$A122,実績!$AD$6:$AD$505,"&gt;"&amp;$A122,実績!$AE$6:$AE$505,"○")&gt;0,1,0))</f>
        <v/>
      </c>
      <c r="AP122">
        <f>IF(AP$4=0,0,IF(COUNTIFS(実績!$W$6:$W$505,AP$3,実績!$AC$6:$AC$505,"&lt;="&amp;$A122,実績!$AD$6:$AD$505,"&gt;"&amp;$A122,実績!$AE$6:$AE$505,"○")&gt;0,1,0))</f>
        <v/>
      </c>
      <c r="AQ122">
        <f>IF(AQ$4=0,0,IF(COUNTIFS(実績!$W$6:$W$505,AQ$3,実績!$AC$6:$AC$505,"&lt;="&amp;$A122,実績!$AD$6:$AD$505,"&gt;"&amp;$A122,実績!$AE$6:$AE$505,"○")&gt;0,1,0))</f>
        <v/>
      </c>
      <c r="AR122">
        <f>IF(AR$4=0,0,IF(COUNTIFS(実績!$W$6:$W$505,AR$3,実績!$AC$6:$AC$505,"&lt;="&amp;$A122,実績!$AD$6:$AD$505,"&gt;"&amp;$A122,実績!$AE$6:$AE$505,"○")&gt;0,1,0))</f>
        <v/>
      </c>
      <c r="AS122">
        <f>IF(AS$4=0,0,IF(COUNTIFS(実績!$W$6:$W$505,AS$3,実績!$AC$6:$AC$505,"&lt;="&amp;$A122,実績!$AD$6:$AD$505,"&gt;"&amp;$A122,実績!$AE$6:$AE$505,"○")&gt;0,1,0))</f>
        <v/>
      </c>
      <c r="AT122">
        <f>IF(AT$4=0,0,IF(COUNTIFS(実績!$W$6:$W$505,AT$3,実績!$AC$6:$AC$505,"&lt;="&amp;$A122,実績!$AD$6:$AD$505,"&gt;"&amp;$A122,実績!$AE$6:$AE$505,"○")&gt;0,1,0))</f>
        <v/>
      </c>
      <c r="AU122">
        <f>IF(AU$4=0,0,IF(COUNTIFS(実績!$W$6:$W$505,AU$3,実績!$AC$6:$AC$505,"&lt;="&amp;$A122,実績!$AD$6:$AD$505,"&gt;"&amp;$A122,実績!$AE$6:$AE$505,"○")&gt;0,1,0))</f>
        <v/>
      </c>
      <c r="AV122">
        <f>IF(AV$4=0,0,IF(COUNTIFS(実績!$W$6:$W$505,AV$3,実績!$AC$6:$AC$505,"&lt;="&amp;$A122,実績!$AD$6:$AD$505,"&gt;"&amp;$A122,実績!$AE$6:$AE$505,"○")&gt;0,1,0))</f>
        <v/>
      </c>
      <c r="AW122">
        <f>IF(AW$4=0,0,IF(COUNTIFS(実績!$W$6:$W$505,AW$3,実績!$AC$6:$AC$505,"&lt;="&amp;$A122,実績!$AD$6:$AD$505,"&gt;"&amp;$A122,実績!$AE$6:$AE$505,"○")&gt;0,1,0))</f>
        <v/>
      </c>
      <c r="AX122">
        <f>IF(AX$4=0,0,IF(COUNTIFS(実績!$W$6:$W$505,AX$3,実績!$AC$6:$AC$505,"&lt;="&amp;$A122,実績!$AD$6:$AD$505,"&gt;"&amp;$A122,実績!$AE$6:$AE$505,"○")&gt;0,1,0))</f>
        <v/>
      </c>
      <c r="AY122">
        <f>IF(AY$4=0,0,IF(COUNTIFS(実績!$W$6:$W$505,AY$3,実績!$AC$6:$AC$505,"&lt;="&amp;$A122,実績!$AD$6:$AD$505,"&gt;"&amp;$A122,実績!$AE$6:$AE$505,"○")&gt;0,1,0))</f>
        <v/>
      </c>
      <c r="AZ122">
        <f>IF(AZ$4=0,0,IF(COUNTIFS(実績!$W$6:$W$505,AZ$3,実績!$AC$6:$AC$505,"&lt;="&amp;$A122,実績!$AD$6:$AD$505,"&gt;"&amp;$A122,実績!$AE$6:$AE$505,"○")&gt;0,1,0))</f>
        <v/>
      </c>
      <c r="BA122">
        <f>IF(BA$4=0,0,IF(COUNTIFS(実績!$W$6:$W$505,BA$3,実績!$AC$6:$AC$505,"&lt;="&amp;$A122,実績!$AD$6:$AD$505,"&gt;"&amp;$A122,実績!$AE$6:$AE$505,"○")&gt;0,1,0))</f>
        <v/>
      </c>
      <c r="BB122">
        <f>IF(BB$4=0,0,IF(COUNTIFS(実績!$W$6:$W$505,BB$3,実績!$AC$6:$AC$505,"&lt;="&amp;$A122,実績!$AD$6:$AD$505,"&gt;"&amp;$A122,実績!$AE$6:$AE$505,"○")&gt;0,1,0))</f>
        <v/>
      </c>
      <c r="BC122">
        <f>IF(BC$4=0,0,IF(COUNTIFS(実績!$W$6:$W$505,BC$3,実績!$AC$6:$AC$505,"&lt;="&amp;$A122,実績!$AD$6:$AD$505,"&gt;"&amp;$A122,実績!$AE$6:$AE$505,"○")&gt;0,1,0))</f>
        <v/>
      </c>
      <c r="BD122">
        <f>IF(BD$4=0,0,IF(COUNTIFS(実績!$W$6:$W$505,BD$3,実績!$AC$6:$AC$505,"&lt;="&amp;$A122,実績!$AD$6:$AD$505,"&gt;"&amp;$A122,実績!$AE$6:$AE$505,"○")&gt;0,1,0))</f>
        <v/>
      </c>
      <c r="BE122">
        <f>IF(BE$4=0,0,IF(COUNTIFS(実績!$W$6:$W$505,BE$3,実績!$AC$6:$AC$505,"&lt;="&amp;$A122,実績!$AD$6:$AD$505,"&gt;"&amp;$A122,実績!$AE$6:$AE$505,"○")&gt;0,1,0))</f>
        <v/>
      </c>
      <c r="BF122">
        <f>IF(BF$4=0,0,IF(COUNTIFS(実績!$W$6:$W$505,BF$3,実績!$AC$6:$AC$505,"&lt;="&amp;$A122,実績!$AD$6:$AD$505,"&gt;"&amp;$A122,実績!$AE$6:$AE$505,"○")&gt;0,1,0))</f>
        <v/>
      </c>
      <c r="BG122">
        <f>IF(BG$4=0,0,IF(COUNTIFS(実績!$W$6:$W$505,BG$3,実績!$AC$6:$AC$505,"&lt;="&amp;$A122,実績!$AD$6:$AD$505,"&gt;"&amp;$A122,実績!$AE$6:$AE$505,"○")&gt;0,1,0))</f>
        <v/>
      </c>
      <c r="BH122">
        <f>IF(BH$4=0,0,IF(COUNTIFS(実績!$W$6:$W$505,BH$3,実績!$AC$6:$AC$505,"&lt;="&amp;$A122,実績!$AD$6:$AD$505,"&gt;"&amp;$A122,実績!$AE$6:$AE$505,"○")&gt;0,1,0))</f>
        <v/>
      </c>
      <c r="BI122">
        <f>IF(BI$4=0,0,IF(COUNTIFS(実績!$W$6:$W$505,BI$3,実績!$AC$6:$AC$505,"&lt;="&amp;$A122,実績!$AD$6:$AD$505,"&gt;"&amp;$A122,実績!$AE$6:$AE$505,"○")&gt;0,1,0))</f>
        <v/>
      </c>
      <c r="BJ122">
        <f>IF(BJ$4=0,0,IF(COUNTIFS(実績!$W$6:$W$505,BJ$3,実績!$AC$6:$AC$505,"&lt;="&amp;$A122,実績!$AD$6:$AD$505,"&gt;"&amp;$A122,実績!$AE$6:$AE$505,"○")&gt;0,1,0))</f>
        <v/>
      </c>
      <c r="BK122">
        <f>IF(BK$4=0,0,IF(COUNTIFS(実績!$W$6:$W$505,BK$3,実績!$AC$6:$AC$505,"&lt;="&amp;$A122,実績!$AD$6:$AD$505,"&gt;"&amp;$A122,実績!$AE$6:$AE$505,"○")&gt;0,1,0))</f>
        <v/>
      </c>
      <c r="BL122">
        <f>IF(BL$4=0,0,IF(COUNTIFS(実績!$W$6:$W$505,BL$3,実績!$AC$6:$AC$505,"&lt;="&amp;$A122,実績!$AD$6:$AD$505,"&gt;"&amp;$A122,実績!$AE$6:$AE$505,"○")&gt;0,1,0))</f>
        <v/>
      </c>
      <c r="BM122">
        <f>IF(BM$4=0,0,IF(COUNTIFS(実績!$W$6:$W$505,BM$3,実績!$AC$6:$AC$505,"&lt;="&amp;$A122,実績!$AD$6:$AD$505,"&gt;"&amp;$A122,実績!$AE$6:$AE$505,"○")&gt;0,1,0))</f>
        <v/>
      </c>
      <c r="BN122">
        <f>IF(BN$4=0,0,IF(COUNTIFS(実績!$W$6:$W$505,BN$3,実績!$AC$6:$AC$505,"&lt;="&amp;$A122,実績!$AD$6:$AD$505,"&gt;"&amp;$A122,実績!$AE$6:$AE$505,"○")&gt;0,1,0))</f>
        <v/>
      </c>
      <c r="BO122">
        <f>IF(BO$4=0,0,IF(COUNTIFS(実績!$W$6:$W$505,BO$3,実績!$AC$6:$AC$505,"&lt;="&amp;$A122,実績!$AD$6:$AD$505,"&gt;"&amp;$A122,実績!$AE$6:$AE$505,"○")&gt;0,1,0))</f>
        <v/>
      </c>
      <c r="BP122">
        <f>IF(BP$4=0,0,IF(COUNTIFS(実績!$W$6:$W$505,BP$3,実績!$AC$6:$AC$505,"&lt;="&amp;$A122,実績!$AD$6:$AD$505,"&gt;"&amp;$A122,実績!$AE$6:$AE$505,"○")&gt;0,1,0))</f>
        <v/>
      </c>
      <c r="BQ122">
        <f>IF(BQ$4=0,0,IF(COUNTIFS(実績!$W$6:$W$505,BQ$3,実績!$AC$6:$AC$505,"&lt;="&amp;$A122,実績!$AD$6:$AD$505,"&gt;"&amp;$A122,実績!$AE$6:$AE$505,"○")&gt;0,1,0))</f>
        <v/>
      </c>
      <c r="BR122">
        <f>IF(BR$4=0,0,IF(COUNTIFS(実績!$W$6:$W$505,BR$3,実績!$AC$6:$AC$505,"&lt;="&amp;$A122,実績!$AD$6:$AD$505,"&gt;"&amp;$A122,実績!$AE$6:$AE$505,"○")&gt;0,1,0))</f>
        <v/>
      </c>
      <c r="BS122">
        <f>IF(BS$4=0,0,IF(COUNTIFS(実績!$W$6:$W$505,BS$3,実績!$AC$6:$AC$505,"&lt;="&amp;$A122,実績!$AD$6:$AD$505,"&gt;"&amp;$A122,実績!$AE$6:$AE$505,"○")&gt;0,1,0))</f>
        <v/>
      </c>
      <c r="BT122">
        <f>IF(BT$4=0,0,IF(COUNTIFS(実績!$W$6:$W$505,BT$3,実績!$AC$6:$AC$505,"&lt;="&amp;$A122,実績!$AD$6:$AD$505,"&gt;"&amp;$A122,実績!$AE$6:$AE$505,"○")&gt;0,1,0))</f>
        <v/>
      </c>
      <c r="BU122">
        <f>IF(BU$4=0,0,IF(COUNTIFS(実績!$W$6:$W$505,BU$3,実績!$AC$6:$AC$505,"&lt;="&amp;$A122,実績!$AD$6:$AD$505,"&gt;"&amp;$A122,実績!$AE$6:$AE$505,"○")&gt;0,1,0))</f>
        <v/>
      </c>
      <c r="BV122">
        <f>IF(BV$4=0,0,IF(COUNTIFS(実績!$W$6:$W$505,BV$3,実績!$AC$6:$AC$505,"&lt;="&amp;$A122,実績!$AD$6:$AD$505,"&gt;"&amp;$A122,実績!$AE$6:$AE$505,"○")&gt;0,1,0))</f>
        <v/>
      </c>
      <c r="BW122">
        <f>IF(BW$4=0,0,IF(COUNTIFS(実績!$W$6:$W$505,BW$3,実績!$AC$6:$AC$505,"&lt;="&amp;$A122,実績!$AD$6:$AD$505,"&gt;"&amp;$A122,実績!$AE$6:$AE$505,"○")&gt;0,1,0))</f>
        <v/>
      </c>
      <c r="BX122">
        <f>IF(BX$4=0,0,IF(COUNTIFS(実績!$W$6:$W$505,BX$3,実績!$AC$6:$AC$505,"&lt;="&amp;$A122,実績!$AD$6:$AD$505,"&gt;"&amp;$A122,実績!$AE$6:$AE$505,"○")&gt;0,1,0))</f>
        <v/>
      </c>
      <c r="BY122">
        <f>IF(BY$4=0,0,IF(COUNTIFS(実績!$W$6:$W$505,BY$3,実績!$AC$6:$AC$505,"&lt;="&amp;$A122,実績!$AD$6:$AD$505,"&gt;"&amp;$A122,実績!$AE$6:$AE$505,"○")&gt;0,1,0))</f>
        <v/>
      </c>
      <c r="BZ122">
        <f>IF(BZ$4=0,0,IF(COUNTIFS(実績!$W$6:$W$505,BZ$3,実績!$AC$6:$AC$505,"&lt;="&amp;$A122,実績!$AD$6:$AD$505,"&gt;"&amp;$A122,実績!$AE$6:$AE$505,"○")&gt;0,1,0))</f>
        <v/>
      </c>
      <c r="CA122">
        <f>IF(CA$4=0,0,IF(COUNTIFS(実績!$W$6:$W$505,CA$3,実績!$AC$6:$AC$505,"&lt;="&amp;$A122,実績!$AD$6:$AD$505,"&gt;"&amp;$A122,実績!$AE$6:$AE$505,"○")&gt;0,1,0))</f>
        <v/>
      </c>
      <c r="CB122">
        <f>IF(CB$4=0,0,IF(COUNTIFS(実績!$W$6:$W$505,CB$3,実績!$AC$6:$AC$505,"&lt;="&amp;$A122,実績!$AD$6:$AD$505,"&gt;"&amp;$A122,実績!$AE$6:$AE$505,"○")&gt;0,1,0))</f>
        <v/>
      </c>
      <c r="CC122">
        <f>IF(CC$4=0,0,IF(COUNTIFS(実績!$W$6:$W$505,CC$3,実績!$AC$6:$AC$505,"&lt;="&amp;$A122,実績!$AD$6:$AD$505,"&gt;"&amp;$A122,実績!$AE$6:$AE$505,"○")&gt;0,1,0))</f>
        <v/>
      </c>
      <c r="CD122">
        <f>IF(CD$4=0,0,IF(COUNTIFS(実績!$W$6:$W$505,CD$3,実績!$AC$6:$AC$505,"&lt;="&amp;$A122,実績!$AD$6:$AD$505,"&gt;"&amp;$A122,実績!$AE$6:$AE$505,"○")&gt;0,1,0))</f>
        <v/>
      </c>
      <c r="CE122">
        <f>IF(CE$4=0,0,IF(COUNTIFS(実績!$W$6:$W$505,CE$3,実績!$AC$6:$AC$505,"&lt;="&amp;$A122,実績!$AD$6:$AD$505,"&gt;"&amp;$A122,実績!$AE$6:$AE$505,"○")&gt;0,1,0))</f>
        <v/>
      </c>
      <c r="CF122">
        <f>IF(CF$4=0,0,IF(COUNTIFS(実績!$W$6:$W$505,CF$3,実績!$AC$6:$AC$505,"&lt;="&amp;$A122,実績!$AD$6:$AD$505,"&gt;"&amp;$A122,実績!$AE$6:$AE$505,"○")&gt;0,1,0))</f>
        <v/>
      </c>
      <c r="CG122">
        <f>IF(CG$4=0,0,IF(COUNTIFS(実績!$W$6:$W$505,CG$3,実績!$AC$6:$AC$505,"&lt;="&amp;$A122,実績!$AD$6:$AD$505,"&gt;"&amp;$A122,実績!$AE$6:$AE$505,"○")&gt;0,1,0))</f>
        <v/>
      </c>
      <c r="CH122">
        <f>IF(CH$4=0,0,IF(COUNTIFS(実績!$W$6:$W$505,CH$3,実績!$AC$6:$AC$505,"&lt;="&amp;$A122,実績!$AD$6:$AD$505,"&gt;"&amp;$A122,実績!$AE$6:$AE$505,"○")&gt;0,1,0))</f>
        <v/>
      </c>
      <c r="CI122">
        <f>IF(CI$4=0,0,IF(COUNTIFS(実績!$W$6:$W$505,CI$3,実績!$AC$6:$AC$505,"&lt;="&amp;$A122,実績!$AD$6:$AD$505,"&gt;"&amp;$A122,実績!$AE$6:$AE$505,"○")&gt;0,1,0))</f>
        <v/>
      </c>
      <c r="CJ122">
        <f>IF(CJ$4=0,0,IF(COUNTIFS(実績!$W$6:$W$505,CJ$3,実績!$AC$6:$AC$505,"&lt;="&amp;$A122,実績!$AD$6:$AD$505,"&gt;"&amp;$A122,実績!$AE$6:$AE$505,"○")&gt;0,1,0))</f>
        <v/>
      </c>
      <c r="CK122">
        <f>IF(CK$4=0,0,IF(COUNTIFS(実績!$W$6:$W$505,CK$3,実績!$AC$6:$AC$505,"&lt;="&amp;$A122,実績!$AD$6:$AD$505,"&gt;"&amp;$A122,実績!$AE$6:$AE$505,"○")&gt;0,1,0))</f>
        <v/>
      </c>
      <c r="CL122">
        <f>IF(CL$4=0,0,IF(COUNTIFS(実績!$W$6:$W$505,CL$3,実績!$AC$6:$AC$505,"&lt;="&amp;$A122,実績!$AD$6:$AD$505,"&gt;"&amp;$A122,実績!$AE$6:$AE$505,"○")&gt;0,1,0))</f>
        <v/>
      </c>
      <c r="CM122">
        <f>IF(CM$4=0,0,IF(COUNTIFS(実績!$W$6:$W$505,CM$3,実績!$AC$6:$AC$505,"&lt;="&amp;$A122,実績!$AD$6:$AD$505,"&gt;"&amp;$A122,実績!$AE$6:$AE$505,"○")&gt;0,1,0))</f>
        <v/>
      </c>
      <c r="CN122">
        <f>IF(CN$4=0,0,IF(COUNTIFS(実績!$W$6:$W$505,CN$3,実績!$AC$6:$AC$505,"&lt;="&amp;$A122,実績!$AD$6:$AD$505,"&gt;"&amp;$A122,実績!$AE$6:$AE$505,"○")&gt;0,1,0))</f>
        <v/>
      </c>
      <c r="CO122">
        <f>IF(CO$4=0,0,IF(COUNTIFS(実績!$W$6:$W$505,CO$3,実績!$AC$6:$AC$505,"&lt;="&amp;$A122,実績!$AD$6:$AD$505,"&gt;"&amp;$A122,実績!$AE$6:$AE$505,"○")&gt;0,1,0))</f>
        <v/>
      </c>
      <c r="CP122">
        <f>IF(CP$4=0,0,IF(COUNTIFS(実績!$W$6:$W$505,CP$3,実績!$AC$6:$AC$505,"&lt;="&amp;$A122,実績!$AD$6:$AD$505,"&gt;"&amp;$A122,実績!$AE$6:$AE$505,"○")&gt;0,1,0))</f>
        <v/>
      </c>
      <c r="CQ122">
        <f>IF(CQ$4=0,0,IF(COUNTIFS(実績!$W$6:$W$505,CQ$3,実績!$AC$6:$AC$505,"&lt;="&amp;$A122,実績!$AD$6:$AD$505,"&gt;"&amp;$A122,実績!$AE$6:$AE$505,"○")&gt;0,1,0))</f>
        <v/>
      </c>
      <c r="CR122">
        <f>IF(CR$4=0,0,IF(COUNTIFS(実績!$W$6:$W$505,CR$3,実績!$AC$6:$AC$505,"&lt;="&amp;$A122,実績!$AD$6:$AD$505,"&gt;"&amp;$A122,実績!$AE$6:$AE$505,"○")&gt;0,1,0))</f>
        <v/>
      </c>
      <c r="CS122">
        <f>IF(CS$4=0,0,IF(COUNTIFS(実績!$W$6:$W$505,CS$3,実績!$AC$6:$AC$505,"&lt;="&amp;$A122,実績!$AD$6:$AD$505,"&gt;"&amp;$A122,実績!$AE$6:$AE$505,"○")&gt;0,1,0))</f>
        <v/>
      </c>
      <c r="CT122">
        <f>IF(CT$4=0,0,IF(COUNTIFS(実績!$W$6:$W$505,CT$3,実績!$AC$6:$AC$505,"&lt;="&amp;$A122,実績!$AD$6:$AD$505,"&gt;"&amp;$A122,実績!$AE$6:$AE$505,"○")&gt;0,1,0))</f>
        <v/>
      </c>
      <c r="CU122">
        <f>IF(CU$4=0,0,IF(COUNTIFS(実績!$W$6:$W$505,CU$3,実績!$AC$6:$AC$505,"&lt;="&amp;$A122,実績!$AD$6:$AD$505,"&gt;"&amp;$A122,実績!$AE$6:$AE$505,"○")&gt;0,1,0))</f>
        <v/>
      </c>
      <c r="CV122">
        <f>IF(CV$4=0,0,IF(COUNTIFS(実績!$W$6:$W$505,CV$3,実績!$AC$6:$AC$505,"&lt;="&amp;$A122,実績!$AD$6:$AD$505,"&gt;"&amp;$A122,実績!$AE$6:$AE$505,"○")&gt;0,1,0))</f>
        <v/>
      </c>
      <c r="CW122">
        <f>IF(CW$4=0,0,IF(COUNTIFS(実績!$W$6:$W$505,CW$3,実績!$AC$6:$AC$505,"&lt;="&amp;$A122,実績!$AD$6:$AD$505,"&gt;"&amp;$A122,実績!$AE$6:$AE$505,"○")&gt;0,1,0))</f>
        <v/>
      </c>
      <c r="CX122">
        <f>IF(CX$4=0,0,IF(COUNTIFS(実績!$W$6:$W$505,CX$3,実績!$AC$6:$AC$505,"&lt;="&amp;$A122,実績!$AD$6:$AD$505,"&gt;"&amp;$A122,実績!$AE$6:$AE$505,"○")&gt;0,1,0))</f>
        <v/>
      </c>
      <c r="CY122">
        <f>IF(CY$4=0,0,IF(COUNTIFS(実績!$W$6:$W$505,CY$3,実績!$AC$6:$AC$505,"&lt;="&amp;$A122,実績!$AD$6:$AD$505,"&gt;"&amp;$A122,実績!$AE$6:$AE$505,"○")&gt;0,1,0))</f>
        <v/>
      </c>
      <c r="CZ122">
        <f>IF(CZ$4=0,0,IF(COUNTIFS(実績!$W$6:$W$505,CZ$3,実績!$AC$6:$AC$505,"&lt;="&amp;$A122,実績!$AD$6:$AD$505,"&gt;"&amp;$A122,実績!$AE$6:$AE$505,"○")&gt;0,1,0))</f>
        <v/>
      </c>
      <c r="DA122">
        <f>IF(DA$4=0,0,IF(COUNTIFS(実績!$W$6:$W$505,DA$3,実績!$AC$6:$AC$505,"&lt;="&amp;$A122,実績!$AD$6:$AD$505,"&gt;"&amp;$A122,実績!$AE$6:$AE$505,"○")&gt;0,1,0))</f>
        <v/>
      </c>
      <c r="DB122">
        <f>IF(DB$4=0,0,IF(COUNTIFS(実績!$W$6:$W$505,DB$3,実績!$AC$6:$AC$505,"&lt;="&amp;$A122,実績!$AD$6:$AD$505,"&gt;"&amp;$A122,実績!$AE$6:$AE$505,"○")&gt;0,1,0))</f>
        <v/>
      </c>
      <c r="DC122">
        <f>IF(DC$4=0,0,IF(COUNTIFS(実績!$W$6:$W$505,DC$3,実績!$AC$6:$AC$505,"&lt;="&amp;$A122,実績!$AD$6:$AD$505,"&gt;"&amp;$A122,実績!$AE$6:$AE$505,"○")&gt;0,1,0))</f>
        <v/>
      </c>
      <c r="DD122">
        <f>IF(DD$4=0,0,IF(COUNTIFS(実績!$W$6:$W$505,DD$3,実績!$AC$6:$AC$505,"&lt;="&amp;$A122,実績!$AD$6:$AD$505,"&gt;"&amp;$A122,実績!$AE$6:$AE$505,"○")&gt;0,1,0))</f>
        <v/>
      </c>
      <c r="DE122">
        <f>IF(DE$4=0,0,IF(COUNTIFS(実績!$W$6:$W$505,DE$3,実績!$AC$6:$AC$505,"&lt;="&amp;$A122,実績!$AD$6:$AD$505,"&gt;"&amp;$A122,実績!$AE$6:$AE$505,"○")&gt;0,1,0))</f>
        <v/>
      </c>
      <c r="DF122">
        <f>IF(DF$4=0,0,IF(COUNTIFS(実績!$W$6:$W$505,DF$3,実績!$AC$6:$AC$505,"&lt;="&amp;$A122,実績!$AD$6:$AD$505,"&gt;"&amp;$A122,実績!$AE$6:$AE$505,"○")&gt;0,1,0))</f>
        <v/>
      </c>
      <c r="DG122">
        <f>IF(DG$4=0,0,IF(COUNTIFS(実績!$W$6:$W$505,DG$3,実績!$AC$6:$AC$505,"&lt;="&amp;$A122,実績!$AD$6:$AD$505,"&gt;"&amp;$A122,実績!$AE$6:$AE$505,"○")&gt;0,1,0))</f>
        <v/>
      </c>
      <c r="DH122">
        <f>IF(DH$4=0,0,IF(COUNTIFS(実績!$W$6:$W$505,DH$3,実績!$AC$6:$AC$505,"&lt;="&amp;$A122,実績!$AD$6:$AD$505,"&gt;"&amp;$A122,実績!$AE$6:$AE$505,"○")&gt;0,1,0))</f>
        <v/>
      </c>
      <c r="DI122">
        <f>IF(DI$4=0,0,IF(COUNTIFS(実績!$W$6:$W$505,DI$3,実績!$AC$6:$AC$505,"&lt;="&amp;$A122,実績!$AD$6:$AD$505,"&gt;"&amp;$A122,実績!$AE$6:$AE$505,"○")&gt;0,1,0))</f>
        <v/>
      </c>
      <c r="DJ122">
        <f>IF(DJ$4=0,0,IF(COUNTIFS(実績!$W$6:$W$505,DJ$3,実績!$AC$6:$AC$505,"&lt;="&amp;$A122,実績!$AD$6:$AD$505,"&gt;"&amp;$A122,実績!$AE$6:$AE$505,"○")&gt;0,1,0))</f>
        <v/>
      </c>
      <c r="DK122">
        <f>IF(DK$4=0,0,IF(COUNTIFS(実績!$W$6:$W$505,DK$3,実績!$AC$6:$AC$505,"&lt;="&amp;$A122,実績!$AD$6:$AD$505,"&gt;"&amp;$A122,実績!$AE$6:$AE$505,"○")&gt;0,1,0))</f>
        <v/>
      </c>
      <c r="DL122">
        <f>IF(DL$4=0,0,IF(COUNTIFS(実績!$W$6:$W$505,DL$3,実績!$AC$6:$AC$505,"&lt;="&amp;$A122,実績!$AD$6:$AD$505,"&gt;"&amp;$A122,実績!$AE$6:$AE$505,"○")&gt;0,1,0))</f>
        <v/>
      </c>
      <c r="DM122">
        <f>IF(DM$4=0,0,IF(COUNTIFS(実績!$W$6:$W$505,DM$3,実績!$AC$6:$AC$505,"&lt;="&amp;$A122,実績!$AD$6:$AD$505,"&gt;"&amp;$A122,実績!$AE$6:$AE$505,"○")&gt;0,1,0))</f>
        <v/>
      </c>
      <c r="DN122">
        <f>IF(DN$4=0,0,IF(COUNTIFS(実績!$W$6:$W$505,DN$3,実績!$AC$6:$AC$505,"&lt;="&amp;$A122,実績!$AD$6:$AD$505,"&gt;"&amp;$A122,実績!$AE$6:$AE$505,"○")&gt;0,1,0))</f>
        <v/>
      </c>
      <c r="DO122">
        <f>IF(DO$4=0,0,IF(COUNTIFS(実績!$W$6:$W$505,DO$3,実績!$AC$6:$AC$505,"&lt;="&amp;$A122,実績!$AD$6:$AD$505,"&gt;"&amp;$A122,実績!$AE$6:$AE$505,"○")&gt;0,1,0))</f>
        <v/>
      </c>
      <c r="DP122">
        <f>IF(DP$4=0,0,IF(COUNTIFS(実績!$W$6:$W$505,DP$3,実績!$AC$6:$AC$505,"&lt;="&amp;$A122,実績!$AD$6:$AD$505,"&gt;"&amp;$A122,実績!$AE$6:$AE$505,"○")&gt;0,1,0))</f>
        <v/>
      </c>
      <c r="DQ122">
        <f>IF(DQ$4=0,0,IF(COUNTIFS(実績!$W$6:$W$505,DQ$3,実績!$AC$6:$AC$505,"&lt;="&amp;$A122,実績!$AD$6:$AD$505,"&gt;"&amp;$A122,実績!$AE$6:$AE$505,"○")&gt;0,1,0))</f>
        <v/>
      </c>
      <c r="DR122">
        <f>IF(DR$4=0,0,IF(COUNTIFS(実績!$W$6:$W$505,DR$3,実績!$AC$6:$AC$505,"&lt;="&amp;$A122,実績!$AD$6:$AD$505,"&gt;"&amp;$A122,実績!$AE$6:$AE$505,"○")&gt;0,1,0))</f>
        <v/>
      </c>
      <c r="DS122">
        <f>SUM(C122:DR122)</f>
        <v/>
      </c>
      <c r="DT122">
        <f>SUMPRODUCT((実績!$C$6:$C$505="○")*ISNUMBER(実績!$AF$6:$AF$505)*(実績!$AF$6:$AF$505&lt;=$A122)*(実績!$AG$6:$AG$505&gt;$A122))</f>
        <v/>
      </c>
      <c r="DU122">
        <f>SUMIF($C$2:$DR$2,"製鉄曳船",C122:DR122)</f>
        <v/>
      </c>
      <c r="DV122">
        <f>SUMIF($C$2:$DR$2,"西日本海運",C122:DR122)</f>
        <v/>
      </c>
    </row>
    <row r="123">
      <c r="A123" t="n">
        <v>585</v>
      </c>
      <c r="B123" s="29">
        <f>A123/1440</f>
        <v/>
      </c>
      <c r="C123">
        <f>IF(C$4=0,0,IF(COUNTIFS(実績!$W$6:$W$505,C$3,実績!$AC$6:$AC$505,"&lt;="&amp;$A123,実績!$AD$6:$AD$505,"&gt;"&amp;$A123,実績!$AE$6:$AE$505,"○")&gt;0,1,0))</f>
        <v/>
      </c>
      <c r="D123">
        <f>IF(D$4=0,0,IF(COUNTIFS(実績!$W$6:$W$505,D$3,実績!$AC$6:$AC$505,"&lt;="&amp;$A123,実績!$AD$6:$AD$505,"&gt;"&amp;$A123,実績!$AE$6:$AE$505,"○")&gt;0,1,0))</f>
        <v/>
      </c>
      <c r="E123">
        <f>IF(E$4=0,0,IF(COUNTIFS(実績!$W$6:$W$505,E$3,実績!$AC$6:$AC$505,"&lt;="&amp;$A123,実績!$AD$6:$AD$505,"&gt;"&amp;$A123,実績!$AE$6:$AE$505,"○")&gt;0,1,0))</f>
        <v/>
      </c>
      <c r="F123">
        <f>IF(F$4=0,0,IF(COUNTIFS(実績!$W$6:$W$505,F$3,実績!$AC$6:$AC$505,"&lt;="&amp;$A123,実績!$AD$6:$AD$505,"&gt;"&amp;$A123,実績!$AE$6:$AE$505,"○")&gt;0,1,0))</f>
        <v/>
      </c>
      <c r="G123">
        <f>IF(G$4=0,0,IF(COUNTIFS(実績!$W$6:$W$505,G$3,実績!$AC$6:$AC$505,"&lt;="&amp;$A123,実績!$AD$6:$AD$505,"&gt;"&amp;$A123,実績!$AE$6:$AE$505,"○")&gt;0,1,0))</f>
        <v/>
      </c>
      <c r="H123">
        <f>IF(H$4=0,0,IF(COUNTIFS(実績!$W$6:$W$505,H$3,実績!$AC$6:$AC$505,"&lt;="&amp;$A123,実績!$AD$6:$AD$505,"&gt;"&amp;$A123,実績!$AE$6:$AE$505,"○")&gt;0,1,0))</f>
        <v/>
      </c>
      <c r="I123">
        <f>IF(I$4=0,0,IF(COUNTIFS(実績!$W$6:$W$505,I$3,実績!$AC$6:$AC$505,"&lt;="&amp;$A123,実績!$AD$6:$AD$505,"&gt;"&amp;$A123,実績!$AE$6:$AE$505,"○")&gt;0,1,0))</f>
        <v/>
      </c>
      <c r="J123">
        <f>IF(J$4=0,0,IF(COUNTIFS(実績!$W$6:$W$505,J$3,実績!$AC$6:$AC$505,"&lt;="&amp;$A123,実績!$AD$6:$AD$505,"&gt;"&amp;$A123,実績!$AE$6:$AE$505,"○")&gt;0,1,0))</f>
        <v/>
      </c>
      <c r="K123">
        <f>IF(K$4=0,0,IF(COUNTIFS(実績!$W$6:$W$505,K$3,実績!$AC$6:$AC$505,"&lt;="&amp;$A123,実績!$AD$6:$AD$505,"&gt;"&amp;$A123,実績!$AE$6:$AE$505,"○")&gt;0,1,0))</f>
        <v/>
      </c>
      <c r="L123">
        <f>IF(L$4=0,0,IF(COUNTIFS(実績!$W$6:$W$505,L$3,実績!$AC$6:$AC$505,"&lt;="&amp;$A123,実績!$AD$6:$AD$505,"&gt;"&amp;$A123,実績!$AE$6:$AE$505,"○")&gt;0,1,0))</f>
        <v/>
      </c>
      <c r="M123">
        <f>IF(M$4=0,0,IF(COUNTIFS(実績!$W$6:$W$505,M$3,実績!$AC$6:$AC$505,"&lt;="&amp;$A123,実績!$AD$6:$AD$505,"&gt;"&amp;$A123,実績!$AE$6:$AE$505,"○")&gt;0,1,0))</f>
        <v/>
      </c>
      <c r="N123">
        <f>IF(N$4=0,0,IF(COUNTIFS(実績!$W$6:$W$505,N$3,実績!$AC$6:$AC$505,"&lt;="&amp;$A123,実績!$AD$6:$AD$505,"&gt;"&amp;$A123,実績!$AE$6:$AE$505,"○")&gt;0,1,0))</f>
        <v/>
      </c>
      <c r="O123">
        <f>IF(O$4=0,0,IF(COUNTIFS(実績!$W$6:$W$505,O$3,実績!$AC$6:$AC$505,"&lt;="&amp;$A123,実績!$AD$6:$AD$505,"&gt;"&amp;$A123,実績!$AE$6:$AE$505,"○")&gt;0,1,0))</f>
        <v/>
      </c>
      <c r="P123">
        <f>IF(P$4=0,0,IF(COUNTIFS(実績!$W$6:$W$505,P$3,実績!$AC$6:$AC$505,"&lt;="&amp;$A123,実績!$AD$6:$AD$505,"&gt;"&amp;$A123,実績!$AE$6:$AE$505,"○")&gt;0,1,0))</f>
        <v/>
      </c>
      <c r="Q123">
        <f>IF(Q$4=0,0,IF(COUNTIFS(実績!$W$6:$W$505,Q$3,実績!$AC$6:$AC$505,"&lt;="&amp;$A123,実績!$AD$6:$AD$505,"&gt;"&amp;$A123,実績!$AE$6:$AE$505,"○")&gt;0,1,0))</f>
        <v/>
      </c>
      <c r="R123">
        <f>IF(R$4=0,0,IF(COUNTIFS(実績!$W$6:$W$505,R$3,実績!$AC$6:$AC$505,"&lt;="&amp;$A123,実績!$AD$6:$AD$505,"&gt;"&amp;$A123,実績!$AE$6:$AE$505,"○")&gt;0,1,0))</f>
        <v/>
      </c>
      <c r="S123">
        <f>IF(S$4=0,0,IF(COUNTIFS(実績!$W$6:$W$505,S$3,実績!$AC$6:$AC$505,"&lt;="&amp;$A123,実績!$AD$6:$AD$505,"&gt;"&amp;$A123,実績!$AE$6:$AE$505,"○")&gt;0,1,0))</f>
        <v/>
      </c>
      <c r="T123">
        <f>IF(T$4=0,0,IF(COUNTIFS(実績!$W$6:$W$505,T$3,実績!$AC$6:$AC$505,"&lt;="&amp;$A123,実績!$AD$6:$AD$505,"&gt;"&amp;$A123,実績!$AE$6:$AE$505,"○")&gt;0,1,0))</f>
        <v/>
      </c>
      <c r="U123">
        <f>IF(U$4=0,0,IF(COUNTIFS(実績!$W$6:$W$505,U$3,実績!$AC$6:$AC$505,"&lt;="&amp;$A123,実績!$AD$6:$AD$505,"&gt;"&amp;$A123,実績!$AE$6:$AE$505,"○")&gt;0,1,0))</f>
        <v/>
      </c>
      <c r="V123">
        <f>IF(V$4=0,0,IF(COUNTIFS(実績!$W$6:$W$505,V$3,実績!$AC$6:$AC$505,"&lt;="&amp;$A123,実績!$AD$6:$AD$505,"&gt;"&amp;$A123,実績!$AE$6:$AE$505,"○")&gt;0,1,0))</f>
        <v/>
      </c>
      <c r="W123">
        <f>IF(W$4=0,0,IF(COUNTIFS(実績!$W$6:$W$505,W$3,実績!$AC$6:$AC$505,"&lt;="&amp;$A123,実績!$AD$6:$AD$505,"&gt;"&amp;$A123,実績!$AE$6:$AE$505,"○")&gt;0,1,0))</f>
        <v/>
      </c>
      <c r="X123">
        <f>IF(X$4=0,0,IF(COUNTIFS(実績!$W$6:$W$505,X$3,実績!$AC$6:$AC$505,"&lt;="&amp;$A123,実績!$AD$6:$AD$505,"&gt;"&amp;$A123,実績!$AE$6:$AE$505,"○")&gt;0,1,0))</f>
        <v/>
      </c>
      <c r="Y123">
        <f>IF(Y$4=0,0,IF(COUNTIFS(実績!$W$6:$W$505,Y$3,実績!$AC$6:$AC$505,"&lt;="&amp;$A123,実績!$AD$6:$AD$505,"&gt;"&amp;$A123,実績!$AE$6:$AE$505,"○")&gt;0,1,0))</f>
        <v/>
      </c>
      <c r="Z123">
        <f>IF(Z$4=0,0,IF(COUNTIFS(実績!$W$6:$W$505,Z$3,実績!$AC$6:$AC$505,"&lt;="&amp;$A123,実績!$AD$6:$AD$505,"&gt;"&amp;$A123,実績!$AE$6:$AE$505,"○")&gt;0,1,0))</f>
        <v/>
      </c>
      <c r="AA123">
        <f>IF(AA$4=0,0,IF(COUNTIFS(実績!$W$6:$W$505,AA$3,実績!$AC$6:$AC$505,"&lt;="&amp;$A123,実績!$AD$6:$AD$505,"&gt;"&amp;$A123,実績!$AE$6:$AE$505,"○")&gt;0,1,0))</f>
        <v/>
      </c>
      <c r="AB123">
        <f>IF(AB$4=0,0,IF(COUNTIFS(実績!$W$6:$W$505,AB$3,実績!$AC$6:$AC$505,"&lt;="&amp;$A123,実績!$AD$6:$AD$505,"&gt;"&amp;$A123,実績!$AE$6:$AE$505,"○")&gt;0,1,0))</f>
        <v/>
      </c>
      <c r="AC123">
        <f>IF(AC$4=0,0,IF(COUNTIFS(実績!$W$6:$W$505,AC$3,実績!$AC$6:$AC$505,"&lt;="&amp;$A123,実績!$AD$6:$AD$505,"&gt;"&amp;$A123,実績!$AE$6:$AE$505,"○")&gt;0,1,0))</f>
        <v/>
      </c>
      <c r="AD123">
        <f>IF(AD$4=0,0,IF(COUNTIFS(実績!$W$6:$W$505,AD$3,実績!$AC$6:$AC$505,"&lt;="&amp;$A123,実績!$AD$6:$AD$505,"&gt;"&amp;$A123,実績!$AE$6:$AE$505,"○")&gt;0,1,0))</f>
        <v/>
      </c>
      <c r="AE123">
        <f>IF(AE$4=0,0,IF(COUNTIFS(実績!$W$6:$W$505,AE$3,実績!$AC$6:$AC$505,"&lt;="&amp;$A123,実績!$AD$6:$AD$505,"&gt;"&amp;$A123,実績!$AE$6:$AE$505,"○")&gt;0,1,0))</f>
        <v/>
      </c>
      <c r="AF123">
        <f>IF(AF$4=0,0,IF(COUNTIFS(実績!$W$6:$W$505,AF$3,実績!$AC$6:$AC$505,"&lt;="&amp;$A123,実績!$AD$6:$AD$505,"&gt;"&amp;$A123,実績!$AE$6:$AE$505,"○")&gt;0,1,0))</f>
        <v/>
      </c>
      <c r="AG123">
        <f>IF(AG$4=0,0,IF(COUNTIFS(実績!$W$6:$W$505,AG$3,実績!$AC$6:$AC$505,"&lt;="&amp;$A123,実績!$AD$6:$AD$505,"&gt;"&amp;$A123,実績!$AE$6:$AE$505,"○")&gt;0,1,0))</f>
        <v/>
      </c>
      <c r="AH123">
        <f>IF(AH$4=0,0,IF(COUNTIFS(実績!$W$6:$W$505,AH$3,実績!$AC$6:$AC$505,"&lt;="&amp;$A123,実績!$AD$6:$AD$505,"&gt;"&amp;$A123,実績!$AE$6:$AE$505,"○")&gt;0,1,0))</f>
        <v/>
      </c>
      <c r="AI123">
        <f>IF(AI$4=0,0,IF(COUNTIFS(実績!$W$6:$W$505,AI$3,実績!$AC$6:$AC$505,"&lt;="&amp;$A123,実績!$AD$6:$AD$505,"&gt;"&amp;$A123,実績!$AE$6:$AE$505,"○")&gt;0,1,0))</f>
        <v/>
      </c>
      <c r="AJ123">
        <f>IF(AJ$4=0,0,IF(COUNTIFS(実績!$W$6:$W$505,AJ$3,実績!$AC$6:$AC$505,"&lt;="&amp;$A123,実績!$AD$6:$AD$505,"&gt;"&amp;$A123,実績!$AE$6:$AE$505,"○")&gt;0,1,0))</f>
        <v/>
      </c>
      <c r="AK123">
        <f>IF(AK$4=0,0,IF(COUNTIFS(実績!$W$6:$W$505,AK$3,実績!$AC$6:$AC$505,"&lt;="&amp;$A123,実績!$AD$6:$AD$505,"&gt;"&amp;$A123,実績!$AE$6:$AE$505,"○")&gt;0,1,0))</f>
        <v/>
      </c>
      <c r="AL123">
        <f>IF(AL$4=0,0,IF(COUNTIFS(実績!$W$6:$W$505,AL$3,実績!$AC$6:$AC$505,"&lt;="&amp;$A123,実績!$AD$6:$AD$505,"&gt;"&amp;$A123,実績!$AE$6:$AE$505,"○")&gt;0,1,0))</f>
        <v/>
      </c>
      <c r="AM123">
        <f>IF(AM$4=0,0,IF(COUNTIFS(実績!$W$6:$W$505,AM$3,実績!$AC$6:$AC$505,"&lt;="&amp;$A123,実績!$AD$6:$AD$505,"&gt;"&amp;$A123,実績!$AE$6:$AE$505,"○")&gt;0,1,0))</f>
        <v/>
      </c>
      <c r="AN123">
        <f>IF(AN$4=0,0,IF(COUNTIFS(実績!$W$6:$W$505,AN$3,実績!$AC$6:$AC$505,"&lt;="&amp;$A123,実績!$AD$6:$AD$505,"&gt;"&amp;$A123,実績!$AE$6:$AE$505,"○")&gt;0,1,0))</f>
        <v/>
      </c>
      <c r="AO123">
        <f>IF(AO$4=0,0,IF(COUNTIFS(実績!$W$6:$W$505,AO$3,実績!$AC$6:$AC$505,"&lt;="&amp;$A123,実績!$AD$6:$AD$505,"&gt;"&amp;$A123,実績!$AE$6:$AE$505,"○")&gt;0,1,0))</f>
        <v/>
      </c>
      <c r="AP123">
        <f>IF(AP$4=0,0,IF(COUNTIFS(実績!$W$6:$W$505,AP$3,実績!$AC$6:$AC$505,"&lt;="&amp;$A123,実績!$AD$6:$AD$505,"&gt;"&amp;$A123,実績!$AE$6:$AE$505,"○")&gt;0,1,0))</f>
        <v/>
      </c>
      <c r="AQ123">
        <f>IF(AQ$4=0,0,IF(COUNTIFS(実績!$W$6:$W$505,AQ$3,実績!$AC$6:$AC$505,"&lt;="&amp;$A123,実績!$AD$6:$AD$505,"&gt;"&amp;$A123,実績!$AE$6:$AE$505,"○")&gt;0,1,0))</f>
        <v/>
      </c>
      <c r="AR123">
        <f>IF(AR$4=0,0,IF(COUNTIFS(実績!$W$6:$W$505,AR$3,実績!$AC$6:$AC$505,"&lt;="&amp;$A123,実績!$AD$6:$AD$505,"&gt;"&amp;$A123,実績!$AE$6:$AE$505,"○")&gt;0,1,0))</f>
        <v/>
      </c>
      <c r="AS123">
        <f>IF(AS$4=0,0,IF(COUNTIFS(実績!$W$6:$W$505,AS$3,実績!$AC$6:$AC$505,"&lt;="&amp;$A123,実績!$AD$6:$AD$505,"&gt;"&amp;$A123,実績!$AE$6:$AE$505,"○")&gt;0,1,0))</f>
        <v/>
      </c>
      <c r="AT123">
        <f>IF(AT$4=0,0,IF(COUNTIFS(実績!$W$6:$W$505,AT$3,実績!$AC$6:$AC$505,"&lt;="&amp;$A123,実績!$AD$6:$AD$505,"&gt;"&amp;$A123,実績!$AE$6:$AE$505,"○")&gt;0,1,0))</f>
        <v/>
      </c>
      <c r="AU123">
        <f>IF(AU$4=0,0,IF(COUNTIFS(実績!$W$6:$W$505,AU$3,実績!$AC$6:$AC$505,"&lt;="&amp;$A123,実績!$AD$6:$AD$505,"&gt;"&amp;$A123,実績!$AE$6:$AE$505,"○")&gt;0,1,0))</f>
        <v/>
      </c>
      <c r="AV123">
        <f>IF(AV$4=0,0,IF(COUNTIFS(実績!$W$6:$W$505,AV$3,実績!$AC$6:$AC$505,"&lt;="&amp;$A123,実績!$AD$6:$AD$505,"&gt;"&amp;$A123,実績!$AE$6:$AE$505,"○")&gt;0,1,0))</f>
        <v/>
      </c>
      <c r="AW123">
        <f>IF(AW$4=0,0,IF(COUNTIFS(実績!$W$6:$W$505,AW$3,実績!$AC$6:$AC$505,"&lt;="&amp;$A123,実績!$AD$6:$AD$505,"&gt;"&amp;$A123,実績!$AE$6:$AE$505,"○")&gt;0,1,0))</f>
        <v/>
      </c>
      <c r="AX123">
        <f>IF(AX$4=0,0,IF(COUNTIFS(実績!$W$6:$W$505,AX$3,実績!$AC$6:$AC$505,"&lt;="&amp;$A123,実績!$AD$6:$AD$505,"&gt;"&amp;$A123,実績!$AE$6:$AE$505,"○")&gt;0,1,0))</f>
        <v/>
      </c>
      <c r="AY123">
        <f>IF(AY$4=0,0,IF(COUNTIFS(実績!$W$6:$W$505,AY$3,実績!$AC$6:$AC$505,"&lt;="&amp;$A123,実績!$AD$6:$AD$505,"&gt;"&amp;$A123,実績!$AE$6:$AE$505,"○")&gt;0,1,0))</f>
        <v/>
      </c>
      <c r="AZ123">
        <f>IF(AZ$4=0,0,IF(COUNTIFS(実績!$W$6:$W$505,AZ$3,実績!$AC$6:$AC$505,"&lt;="&amp;$A123,実績!$AD$6:$AD$505,"&gt;"&amp;$A123,実績!$AE$6:$AE$505,"○")&gt;0,1,0))</f>
        <v/>
      </c>
      <c r="BA123">
        <f>IF(BA$4=0,0,IF(COUNTIFS(実績!$W$6:$W$505,BA$3,実績!$AC$6:$AC$505,"&lt;="&amp;$A123,実績!$AD$6:$AD$505,"&gt;"&amp;$A123,実績!$AE$6:$AE$505,"○")&gt;0,1,0))</f>
        <v/>
      </c>
      <c r="BB123">
        <f>IF(BB$4=0,0,IF(COUNTIFS(実績!$W$6:$W$505,BB$3,実績!$AC$6:$AC$505,"&lt;="&amp;$A123,実績!$AD$6:$AD$505,"&gt;"&amp;$A123,実績!$AE$6:$AE$505,"○")&gt;0,1,0))</f>
        <v/>
      </c>
      <c r="BC123">
        <f>IF(BC$4=0,0,IF(COUNTIFS(実績!$W$6:$W$505,BC$3,実績!$AC$6:$AC$505,"&lt;="&amp;$A123,実績!$AD$6:$AD$505,"&gt;"&amp;$A123,実績!$AE$6:$AE$505,"○")&gt;0,1,0))</f>
        <v/>
      </c>
      <c r="BD123">
        <f>IF(BD$4=0,0,IF(COUNTIFS(実績!$W$6:$W$505,BD$3,実績!$AC$6:$AC$505,"&lt;="&amp;$A123,実績!$AD$6:$AD$505,"&gt;"&amp;$A123,実績!$AE$6:$AE$505,"○")&gt;0,1,0))</f>
        <v/>
      </c>
      <c r="BE123">
        <f>IF(BE$4=0,0,IF(COUNTIFS(実績!$W$6:$W$505,BE$3,実績!$AC$6:$AC$505,"&lt;="&amp;$A123,実績!$AD$6:$AD$505,"&gt;"&amp;$A123,実績!$AE$6:$AE$505,"○")&gt;0,1,0))</f>
        <v/>
      </c>
      <c r="BF123">
        <f>IF(BF$4=0,0,IF(COUNTIFS(実績!$W$6:$W$505,BF$3,実績!$AC$6:$AC$505,"&lt;="&amp;$A123,実績!$AD$6:$AD$505,"&gt;"&amp;$A123,実績!$AE$6:$AE$505,"○")&gt;0,1,0))</f>
        <v/>
      </c>
      <c r="BG123">
        <f>IF(BG$4=0,0,IF(COUNTIFS(実績!$W$6:$W$505,BG$3,実績!$AC$6:$AC$505,"&lt;="&amp;$A123,実績!$AD$6:$AD$505,"&gt;"&amp;$A123,実績!$AE$6:$AE$505,"○")&gt;0,1,0))</f>
        <v/>
      </c>
      <c r="BH123">
        <f>IF(BH$4=0,0,IF(COUNTIFS(実績!$W$6:$W$505,BH$3,実績!$AC$6:$AC$505,"&lt;="&amp;$A123,実績!$AD$6:$AD$505,"&gt;"&amp;$A123,実績!$AE$6:$AE$505,"○")&gt;0,1,0))</f>
        <v/>
      </c>
      <c r="BI123">
        <f>IF(BI$4=0,0,IF(COUNTIFS(実績!$W$6:$W$505,BI$3,実績!$AC$6:$AC$505,"&lt;="&amp;$A123,実績!$AD$6:$AD$505,"&gt;"&amp;$A123,実績!$AE$6:$AE$505,"○")&gt;0,1,0))</f>
        <v/>
      </c>
      <c r="BJ123">
        <f>IF(BJ$4=0,0,IF(COUNTIFS(実績!$W$6:$W$505,BJ$3,実績!$AC$6:$AC$505,"&lt;="&amp;$A123,実績!$AD$6:$AD$505,"&gt;"&amp;$A123,実績!$AE$6:$AE$505,"○")&gt;0,1,0))</f>
        <v/>
      </c>
      <c r="BK123">
        <f>IF(BK$4=0,0,IF(COUNTIFS(実績!$W$6:$W$505,BK$3,実績!$AC$6:$AC$505,"&lt;="&amp;$A123,実績!$AD$6:$AD$505,"&gt;"&amp;$A123,実績!$AE$6:$AE$505,"○")&gt;0,1,0))</f>
        <v/>
      </c>
      <c r="BL123">
        <f>IF(BL$4=0,0,IF(COUNTIFS(実績!$W$6:$W$505,BL$3,実績!$AC$6:$AC$505,"&lt;="&amp;$A123,実績!$AD$6:$AD$505,"&gt;"&amp;$A123,実績!$AE$6:$AE$505,"○")&gt;0,1,0))</f>
        <v/>
      </c>
      <c r="BM123">
        <f>IF(BM$4=0,0,IF(COUNTIFS(実績!$W$6:$W$505,BM$3,実績!$AC$6:$AC$505,"&lt;="&amp;$A123,実績!$AD$6:$AD$505,"&gt;"&amp;$A123,実績!$AE$6:$AE$505,"○")&gt;0,1,0))</f>
        <v/>
      </c>
      <c r="BN123">
        <f>IF(BN$4=0,0,IF(COUNTIFS(実績!$W$6:$W$505,BN$3,実績!$AC$6:$AC$505,"&lt;="&amp;$A123,実績!$AD$6:$AD$505,"&gt;"&amp;$A123,実績!$AE$6:$AE$505,"○")&gt;0,1,0))</f>
        <v/>
      </c>
      <c r="BO123">
        <f>IF(BO$4=0,0,IF(COUNTIFS(実績!$W$6:$W$505,BO$3,実績!$AC$6:$AC$505,"&lt;="&amp;$A123,実績!$AD$6:$AD$505,"&gt;"&amp;$A123,実績!$AE$6:$AE$505,"○")&gt;0,1,0))</f>
        <v/>
      </c>
      <c r="BP123">
        <f>IF(BP$4=0,0,IF(COUNTIFS(実績!$W$6:$W$505,BP$3,実績!$AC$6:$AC$505,"&lt;="&amp;$A123,実績!$AD$6:$AD$505,"&gt;"&amp;$A123,実績!$AE$6:$AE$505,"○")&gt;0,1,0))</f>
        <v/>
      </c>
      <c r="BQ123">
        <f>IF(BQ$4=0,0,IF(COUNTIFS(実績!$W$6:$W$505,BQ$3,実績!$AC$6:$AC$505,"&lt;="&amp;$A123,実績!$AD$6:$AD$505,"&gt;"&amp;$A123,実績!$AE$6:$AE$505,"○")&gt;0,1,0))</f>
        <v/>
      </c>
      <c r="BR123">
        <f>IF(BR$4=0,0,IF(COUNTIFS(実績!$W$6:$W$505,BR$3,実績!$AC$6:$AC$505,"&lt;="&amp;$A123,実績!$AD$6:$AD$505,"&gt;"&amp;$A123,実績!$AE$6:$AE$505,"○")&gt;0,1,0))</f>
        <v/>
      </c>
      <c r="BS123">
        <f>IF(BS$4=0,0,IF(COUNTIFS(実績!$W$6:$W$505,BS$3,実績!$AC$6:$AC$505,"&lt;="&amp;$A123,実績!$AD$6:$AD$505,"&gt;"&amp;$A123,実績!$AE$6:$AE$505,"○")&gt;0,1,0))</f>
        <v/>
      </c>
      <c r="BT123">
        <f>IF(BT$4=0,0,IF(COUNTIFS(実績!$W$6:$W$505,BT$3,実績!$AC$6:$AC$505,"&lt;="&amp;$A123,実績!$AD$6:$AD$505,"&gt;"&amp;$A123,実績!$AE$6:$AE$505,"○")&gt;0,1,0))</f>
        <v/>
      </c>
      <c r="BU123">
        <f>IF(BU$4=0,0,IF(COUNTIFS(実績!$W$6:$W$505,BU$3,実績!$AC$6:$AC$505,"&lt;="&amp;$A123,実績!$AD$6:$AD$505,"&gt;"&amp;$A123,実績!$AE$6:$AE$505,"○")&gt;0,1,0))</f>
        <v/>
      </c>
      <c r="BV123">
        <f>IF(BV$4=0,0,IF(COUNTIFS(実績!$W$6:$W$505,BV$3,実績!$AC$6:$AC$505,"&lt;="&amp;$A123,実績!$AD$6:$AD$505,"&gt;"&amp;$A123,実績!$AE$6:$AE$505,"○")&gt;0,1,0))</f>
        <v/>
      </c>
      <c r="BW123">
        <f>IF(BW$4=0,0,IF(COUNTIFS(実績!$W$6:$W$505,BW$3,実績!$AC$6:$AC$505,"&lt;="&amp;$A123,実績!$AD$6:$AD$505,"&gt;"&amp;$A123,実績!$AE$6:$AE$505,"○")&gt;0,1,0))</f>
        <v/>
      </c>
      <c r="BX123">
        <f>IF(BX$4=0,0,IF(COUNTIFS(実績!$W$6:$W$505,BX$3,実績!$AC$6:$AC$505,"&lt;="&amp;$A123,実績!$AD$6:$AD$505,"&gt;"&amp;$A123,実績!$AE$6:$AE$505,"○")&gt;0,1,0))</f>
        <v/>
      </c>
      <c r="BY123">
        <f>IF(BY$4=0,0,IF(COUNTIFS(実績!$W$6:$W$505,BY$3,実績!$AC$6:$AC$505,"&lt;="&amp;$A123,実績!$AD$6:$AD$505,"&gt;"&amp;$A123,実績!$AE$6:$AE$505,"○")&gt;0,1,0))</f>
        <v/>
      </c>
      <c r="BZ123">
        <f>IF(BZ$4=0,0,IF(COUNTIFS(実績!$W$6:$W$505,BZ$3,実績!$AC$6:$AC$505,"&lt;="&amp;$A123,実績!$AD$6:$AD$505,"&gt;"&amp;$A123,実績!$AE$6:$AE$505,"○")&gt;0,1,0))</f>
        <v/>
      </c>
      <c r="CA123">
        <f>IF(CA$4=0,0,IF(COUNTIFS(実績!$W$6:$W$505,CA$3,実績!$AC$6:$AC$505,"&lt;="&amp;$A123,実績!$AD$6:$AD$505,"&gt;"&amp;$A123,実績!$AE$6:$AE$505,"○")&gt;0,1,0))</f>
        <v/>
      </c>
      <c r="CB123">
        <f>IF(CB$4=0,0,IF(COUNTIFS(実績!$W$6:$W$505,CB$3,実績!$AC$6:$AC$505,"&lt;="&amp;$A123,実績!$AD$6:$AD$505,"&gt;"&amp;$A123,実績!$AE$6:$AE$505,"○")&gt;0,1,0))</f>
        <v/>
      </c>
      <c r="CC123">
        <f>IF(CC$4=0,0,IF(COUNTIFS(実績!$W$6:$W$505,CC$3,実績!$AC$6:$AC$505,"&lt;="&amp;$A123,実績!$AD$6:$AD$505,"&gt;"&amp;$A123,実績!$AE$6:$AE$505,"○")&gt;0,1,0))</f>
        <v/>
      </c>
      <c r="CD123">
        <f>IF(CD$4=0,0,IF(COUNTIFS(実績!$W$6:$W$505,CD$3,実績!$AC$6:$AC$505,"&lt;="&amp;$A123,実績!$AD$6:$AD$505,"&gt;"&amp;$A123,実績!$AE$6:$AE$505,"○")&gt;0,1,0))</f>
        <v/>
      </c>
      <c r="CE123">
        <f>IF(CE$4=0,0,IF(COUNTIFS(実績!$W$6:$W$505,CE$3,実績!$AC$6:$AC$505,"&lt;="&amp;$A123,実績!$AD$6:$AD$505,"&gt;"&amp;$A123,実績!$AE$6:$AE$505,"○")&gt;0,1,0))</f>
        <v/>
      </c>
      <c r="CF123">
        <f>IF(CF$4=0,0,IF(COUNTIFS(実績!$W$6:$W$505,CF$3,実績!$AC$6:$AC$505,"&lt;="&amp;$A123,実績!$AD$6:$AD$505,"&gt;"&amp;$A123,実績!$AE$6:$AE$505,"○")&gt;0,1,0))</f>
        <v/>
      </c>
      <c r="CG123">
        <f>IF(CG$4=0,0,IF(COUNTIFS(実績!$W$6:$W$505,CG$3,実績!$AC$6:$AC$505,"&lt;="&amp;$A123,実績!$AD$6:$AD$505,"&gt;"&amp;$A123,実績!$AE$6:$AE$505,"○")&gt;0,1,0))</f>
        <v/>
      </c>
      <c r="CH123">
        <f>IF(CH$4=0,0,IF(COUNTIFS(実績!$W$6:$W$505,CH$3,実績!$AC$6:$AC$505,"&lt;="&amp;$A123,実績!$AD$6:$AD$505,"&gt;"&amp;$A123,実績!$AE$6:$AE$505,"○")&gt;0,1,0))</f>
        <v/>
      </c>
      <c r="CI123">
        <f>IF(CI$4=0,0,IF(COUNTIFS(実績!$W$6:$W$505,CI$3,実績!$AC$6:$AC$505,"&lt;="&amp;$A123,実績!$AD$6:$AD$505,"&gt;"&amp;$A123,実績!$AE$6:$AE$505,"○")&gt;0,1,0))</f>
        <v/>
      </c>
      <c r="CJ123">
        <f>IF(CJ$4=0,0,IF(COUNTIFS(実績!$W$6:$W$505,CJ$3,実績!$AC$6:$AC$505,"&lt;="&amp;$A123,実績!$AD$6:$AD$505,"&gt;"&amp;$A123,実績!$AE$6:$AE$505,"○")&gt;0,1,0))</f>
        <v/>
      </c>
      <c r="CK123">
        <f>IF(CK$4=0,0,IF(COUNTIFS(実績!$W$6:$W$505,CK$3,実績!$AC$6:$AC$505,"&lt;="&amp;$A123,実績!$AD$6:$AD$505,"&gt;"&amp;$A123,実績!$AE$6:$AE$505,"○")&gt;0,1,0))</f>
        <v/>
      </c>
      <c r="CL123">
        <f>IF(CL$4=0,0,IF(COUNTIFS(実績!$W$6:$W$505,CL$3,実績!$AC$6:$AC$505,"&lt;="&amp;$A123,実績!$AD$6:$AD$505,"&gt;"&amp;$A123,実績!$AE$6:$AE$505,"○")&gt;0,1,0))</f>
        <v/>
      </c>
      <c r="CM123">
        <f>IF(CM$4=0,0,IF(COUNTIFS(実績!$W$6:$W$505,CM$3,実績!$AC$6:$AC$505,"&lt;="&amp;$A123,実績!$AD$6:$AD$505,"&gt;"&amp;$A123,実績!$AE$6:$AE$505,"○")&gt;0,1,0))</f>
        <v/>
      </c>
      <c r="CN123">
        <f>IF(CN$4=0,0,IF(COUNTIFS(実績!$W$6:$W$505,CN$3,実績!$AC$6:$AC$505,"&lt;="&amp;$A123,実績!$AD$6:$AD$505,"&gt;"&amp;$A123,実績!$AE$6:$AE$505,"○")&gt;0,1,0))</f>
        <v/>
      </c>
      <c r="CO123">
        <f>IF(CO$4=0,0,IF(COUNTIFS(実績!$W$6:$W$505,CO$3,実績!$AC$6:$AC$505,"&lt;="&amp;$A123,実績!$AD$6:$AD$505,"&gt;"&amp;$A123,実績!$AE$6:$AE$505,"○")&gt;0,1,0))</f>
        <v/>
      </c>
      <c r="CP123">
        <f>IF(CP$4=0,0,IF(COUNTIFS(実績!$W$6:$W$505,CP$3,実績!$AC$6:$AC$505,"&lt;="&amp;$A123,実績!$AD$6:$AD$505,"&gt;"&amp;$A123,実績!$AE$6:$AE$505,"○")&gt;0,1,0))</f>
        <v/>
      </c>
      <c r="CQ123">
        <f>IF(CQ$4=0,0,IF(COUNTIFS(実績!$W$6:$W$505,CQ$3,実績!$AC$6:$AC$505,"&lt;="&amp;$A123,実績!$AD$6:$AD$505,"&gt;"&amp;$A123,実績!$AE$6:$AE$505,"○")&gt;0,1,0))</f>
        <v/>
      </c>
      <c r="CR123">
        <f>IF(CR$4=0,0,IF(COUNTIFS(実績!$W$6:$W$505,CR$3,実績!$AC$6:$AC$505,"&lt;="&amp;$A123,実績!$AD$6:$AD$505,"&gt;"&amp;$A123,実績!$AE$6:$AE$505,"○")&gt;0,1,0))</f>
        <v/>
      </c>
      <c r="CS123">
        <f>IF(CS$4=0,0,IF(COUNTIFS(実績!$W$6:$W$505,CS$3,実績!$AC$6:$AC$505,"&lt;="&amp;$A123,実績!$AD$6:$AD$505,"&gt;"&amp;$A123,実績!$AE$6:$AE$505,"○")&gt;0,1,0))</f>
        <v/>
      </c>
      <c r="CT123">
        <f>IF(CT$4=0,0,IF(COUNTIFS(実績!$W$6:$W$505,CT$3,実績!$AC$6:$AC$505,"&lt;="&amp;$A123,実績!$AD$6:$AD$505,"&gt;"&amp;$A123,実績!$AE$6:$AE$505,"○")&gt;0,1,0))</f>
        <v/>
      </c>
      <c r="CU123">
        <f>IF(CU$4=0,0,IF(COUNTIFS(実績!$W$6:$W$505,CU$3,実績!$AC$6:$AC$505,"&lt;="&amp;$A123,実績!$AD$6:$AD$505,"&gt;"&amp;$A123,実績!$AE$6:$AE$505,"○")&gt;0,1,0))</f>
        <v/>
      </c>
      <c r="CV123">
        <f>IF(CV$4=0,0,IF(COUNTIFS(実績!$W$6:$W$505,CV$3,実績!$AC$6:$AC$505,"&lt;="&amp;$A123,実績!$AD$6:$AD$505,"&gt;"&amp;$A123,実績!$AE$6:$AE$505,"○")&gt;0,1,0))</f>
        <v/>
      </c>
      <c r="CW123">
        <f>IF(CW$4=0,0,IF(COUNTIFS(実績!$W$6:$W$505,CW$3,実績!$AC$6:$AC$505,"&lt;="&amp;$A123,実績!$AD$6:$AD$505,"&gt;"&amp;$A123,実績!$AE$6:$AE$505,"○")&gt;0,1,0))</f>
        <v/>
      </c>
      <c r="CX123">
        <f>IF(CX$4=0,0,IF(COUNTIFS(実績!$W$6:$W$505,CX$3,実績!$AC$6:$AC$505,"&lt;="&amp;$A123,実績!$AD$6:$AD$505,"&gt;"&amp;$A123,実績!$AE$6:$AE$505,"○")&gt;0,1,0))</f>
        <v/>
      </c>
      <c r="CY123">
        <f>IF(CY$4=0,0,IF(COUNTIFS(実績!$W$6:$W$505,CY$3,実績!$AC$6:$AC$505,"&lt;="&amp;$A123,実績!$AD$6:$AD$505,"&gt;"&amp;$A123,実績!$AE$6:$AE$505,"○")&gt;0,1,0))</f>
        <v/>
      </c>
      <c r="CZ123">
        <f>IF(CZ$4=0,0,IF(COUNTIFS(実績!$W$6:$W$505,CZ$3,実績!$AC$6:$AC$505,"&lt;="&amp;$A123,実績!$AD$6:$AD$505,"&gt;"&amp;$A123,実績!$AE$6:$AE$505,"○")&gt;0,1,0))</f>
        <v/>
      </c>
      <c r="DA123">
        <f>IF(DA$4=0,0,IF(COUNTIFS(実績!$W$6:$W$505,DA$3,実績!$AC$6:$AC$505,"&lt;="&amp;$A123,実績!$AD$6:$AD$505,"&gt;"&amp;$A123,実績!$AE$6:$AE$505,"○")&gt;0,1,0))</f>
        <v/>
      </c>
      <c r="DB123">
        <f>IF(DB$4=0,0,IF(COUNTIFS(実績!$W$6:$W$505,DB$3,実績!$AC$6:$AC$505,"&lt;="&amp;$A123,実績!$AD$6:$AD$505,"&gt;"&amp;$A123,実績!$AE$6:$AE$505,"○")&gt;0,1,0))</f>
        <v/>
      </c>
      <c r="DC123">
        <f>IF(DC$4=0,0,IF(COUNTIFS(実績!$W$6:$W$505,DC$3,実績!$AC$6:$AC$505,"&lt;="&amp;$A123,実績!$AD$6:$AD$505,"&gt;"&amp;$A123,実績!$AE$6:$AE$505,"○")&gt;0,1,0))</f>
        <v/>
      </c>
      <c r="DD123">
        <f>IF(DD$4=0,0,IF(COUNTIFS(実績!$W$6:$W$505,DD$3,実績!$AC$6:$AC$505,"&lt;="&amp;$A123,実績!$AD$6:$AD$505,"&gt;"&amp;$A123,実績!$AE$6:$AE$505,"○")&gt;0,1,0))</f>
        <v/>
      </c>
      <c r="DE123">
        <f>IF(DE$4=0,0,IF(COUNTIFS(実績!$W$6:$W$505,DE$3,実績!$AC$6:$AC$505,"&lt;="&amp;$A123,実績!$AD$6:$AD$505,"&gt;"&amp;$A123,実績!$AE$6:$AE$505,"○")&gt;0,1,0))</f>
        <v/>
      </c>
      <c r="DF123">
        <f>IF(DF$4=0,0,IF(COUNTIFS(実績!$W$6:$W$505,DF$3,実績!$AC$6:$AC$505,"&lt;="&amp;$A123,実績!$AD$6:$AD$505,"&gt;"&amp;$A123,実績!$AE$6:$AE$505,"○")&gt;0,1,0))</f>
        <v/>
      </c>
      <c r="DG123">
        <f>IF(DG$4=0,0,IF(COUNTIFS(実績!$W$6:$W$505,DG$3,実績!$AC$6:$AC$505,"&lt;="&amp;$A123,実績!$AD$6:$AD$505,"&gt;"&amp;$A123,実績!$AE$6:$AE$505,"○")&gt;0,1,0))</f>
        <v/>
      </c>
      <c r="DH123">
        <f>IF(DH$4=0,0,IF(COUNTIFS(実績!$W$6:$W$505,DH$3,実績!$AC$6:$AC$505,"&lt;="&amp;$A123,実績!$AD$6:$AD$505,"&gt;"&amp;$A123,実績!$AE$6:$AE$505,"○")&gt;0,1,0))</f>
        <v/>
      </c>
      <c r="DI123">
        <f>IF(DI$4=0,0,IF(COUNTIFS(実績!$W$6:$W$505,DI$3,実績!$AC$6:$AC$505,"&lt;="&amp;$A123,実績!$AD$6:$AD$505,"&gt;"&amp;$A123,実績!$AE$6:$AE$505,"○")&gt;0,1,0))</f>
        <v/>
      </c>
      <c r="DJ123">
        <f>IF(DJ$4=0,0,IF(COUNTIFS(実績!$W$6:$W$505,DJ$3,実績!$AC$6:$AC$505,"&lt;="&amp;$A123,実績!$AD$6:$AD$505,"&gt;"&amp;$A123,実績!$AE$6:$AE$505,"○")&gt;0,1,0))</f>
        <v/>
      </c>
      <c r="DK123">
        <f>IF(DK$4=0,0,IF(COUNTIFS(実績!$W$6:$W$505,DK$3,実績!$AC$6:$AC$505,"&lt;="&amp;$A123,実績!$AD$6:$AD$505,"&gt;"&amp;$A123,実績!$AE$6:$AE$505,"○")&gt;0,1,0))</f>
        <v/>
      </c>
      <c r="DL123">
        <f>IF(DL$4=0,0,IF(COUNTIFS(実績!$W$6:$W$505,DL$3,実績!$AC$6:$AC$505,"&lt;="&amp;$A123,実績!$AD$6:$AD$505,"&gt;"&amp;$A123,実績!$AE$6:$AE$505,"○")&gt;0,1,0))</f>
        <v/>
      </c>
      <c r="DM123">
        <f>IF(DM$4=0,0,IF(COUNTIFS(実績!$W$6:$W$505,DM$3,実績!$AC$6:$AC$505,"&lt;="&amp;$A123,実績!$AD$6:$AD$505,"&gt;"&amp;$A123,実績!$AE$6:$AE$505,"○")&gt;0,1,0))</f>
        <v/>
      </c>
      <c r="DN123">
        <f>IF(DN$4=0,0,IF(COUNTIFS(実績!$W$6:$W$505,DN$3,実績!$AC$6:$AC$505,"&lt;="&amp;$A123,実績!$AD$6:$AD$505,"&gt;"&amp;$A123,実績!$AE$6:$AE$505,"○")&gt;0,1,0))</f>
        <v/>
      </c>
      <c r="DO123">
        <f>IF(DO$4=0,0,IF(COUNTIFS(実績!$W$6:$W$505,DO$3,実績!$AC$6:$AC$505,"&lt;="&amp;$A123,実績!$AD$6:$AD$505,"&gt;"&amp;$A123,実績!$AE$6:$AE$505,"○")&gt;0,1,0))</f>
        <v/>
      </c>
      <c r="DP123">
        <f>IF(DP$4=0,0,IF(COUNTIFS(実績!$W$6:$W$505,DP$3,実績!$AC$6:$AC$505,"&lt;="&amp;$A123,実績!$AD$6:$AD$505,"&gt;"&amp;$A123,実績!$AE$6:$AE$505,"○")&gt;0,1,0))</f>
        <v/>
      </c>
      <c r="DQ123">
        <f>IF(DQ$4=0,0,IF(COUNTIFS(実績!$W$6:$W$505,DQ$3,実績!$AC$6:$AC$505,"&lt;="&amp;$A123,実績!$AD$6:$AD$505,"&gt;"&amp;$A123,実績!$AE$6:$AE$505,"○")&gt;0,1,0))</f>
        <v/>
      </c>
      <c r="DR123">
        <f>IF(DR$4=0,0,IF(COUNTIFS(実績!$W$6:$W$505,DR$3,実績!$AC$6:$AC$505,"&lt;="&amp;$A123,実績!$AD$6:$AD$505,"&gt;"&amp;$A123,実績!$AE$6:$AE$505,"○")&gt;0,1,0))</f>
        <v/>
      </c>
      <c r="DS123">
        <f>SUM(C123:DR123)</f>
        <v/>
      </c>
      <c r="DT123">
        <f>SUMPRODUCT((実績!$C$6:$C$505="○")*ISNUMBER(実績!$AF$6:$AF$505)*(実績!$AF$6:$AF$505&lt;=$A123)*(実績!$AG$6:$AG$505&gt;$A123))</f>
        <v/>
      </c>
      <c r="DU123">
        <f>SUMIF($C$2:$DR$2,"製鉄曳船",C123:DR123)</f>
        <v/>
      </c>
      <c r="DV123">
        <f>SUMIF($C$2:$DR$2,"西日本海運",C123:DR123)</f>
        <v/>
      </c>
    </row>
    <row r="124">
      <c r="A124" t="n">
        <v>590</v>
      </c>
      <c r="B124" s="29">
        <f>A124/1440</f>
        <v/>
      </c>
      <c r="C124">
        <f>IF(C$4=0,0,IF(COUNTIFS(実績!$W$6:$W$505,C$3,実績!$AC$6:$AC$505,"&lt;="&amp;$A124,実績!$AD$6:$AD$505,"&gt;"&amp;$A124,実績!$AE$6:$AE$505,"○")&gt;0,1,0))</f>
        <v/>
      </c>
      <c r="D124">
        <f>IF(D$4=0,0,IF(COUNTIFS(実績!$W$6:$W$505,D$3,実績!$AC$6:$AC$505,"&lt;="&amp;$A124,実績!$AD$6:$AD$505,"&gt;"&amp;$A124,実績!$AE$6:$AE$505,"○")&gt;0,1,0))</f>
        <v/>
      </c>
      <c r="E124">
        <f>IF(E$4=0,0,IF(COUNTIFS(実績!$W$6:$W$505,E$3,実績!$AC$6:$AC$505,"&lt;="&amp;$A124,実績!$AD$6:$AD$505,"&gt;"&amp;$A124,実績!$AE$6:$AE$505,"○")&gt;0,1,0))</f>
        <v/>
      </c>
      <c r="F124">
        <f>IF(F$4=0,0,IF(COUNTIFS(実績!$W$6:$W$505,F$3,実績!$AC$6:$AC$505,"&lt;="&amp;$A124,実績!$AD$6:$AD$505,"&gt;"&amp;$A124,実績!$AE$6:$AE$505,"○")&gt;0,1,0))</f>
        <v/>
      </c>
      <c r="G124">
        <f>IF(G$4=0,0,IF(COUNTIFS(実績!$W$6:$W$505,G$3,実績!$AC$6:$AC$505,"&lt;="&amp;$A124,実績!$AD$6:$AD$505,"&gt;"&amp;$A124,実績!$AE$6:$AE$505,"○")&gt;0,1,0))</f>
        <v/>
      </c>
      <c r="H124">
        <f>IF(H$4=0,0,IF(COUNTIFS(実績!$W$6:$W$505,H$3,実績!$AC$6:$AC$505,"&lt;="&amp;$A124,実績!$AD$6:$AD$505,"&gt;"&amp;$A124,実績!$AE$6:$AE$505,"○")&gt;0,1,0))</f>
        <v/>
      </c>
      <c r="I124">
        <f>IF(I$4=0,0,IF(COUNTIFS(実績!$W$6:$W$505,I$3,実績!$AC$6:$AC$505,"&lt;="&amp;$A124,実績!$AD$6:$AD$505,"&gt;"&amp;$A124,実績!$AE$6:$AE$505,"○")&gt;0,1,0))</f>
        <v/>
      </c>
      <c r="J124">
        <f>IF(J$4=0,0,IF(COUNTIFS(実績!$W$6:$W$505,J$3,実績!$AC$6:$AC$505,"&lt;="&amp;$A124,実績!$AD$6:$AD$505,"&gt;"&amp;$A124,実績!$AE$6:$AE$505,"○")&gt;0,1,0))</f>
        <v/>
      </c>
      <c r="K124">
        <f>IF(K$4=0,0,IF(COUNTIFS(実績!$W$6:$W$505,K$3,実績!$AC$6:$AC$505,"&lt;="&amp;$A124,実績!$AD$6:$AD$505,"&gt;"&amp;$A124,実績!$AE$6:$AE$505,"○")&gt;0,1,0))</f>
        <v/>
      </c>
      <c r="L124">
        <f>IF(L$4=0,0,IF(COUNTIFS(実績!$W$6:$W$505,L$3,実績!$AC$6:$AC$505,"&lt;="&amp;$A124,実績!$AD$6:$AD$505,"&gt;"&amp;$A124,実績!$AE$6:$AE$505,"○")&gt;0,1,0))</f>
        <v/>
      </c>
      <c r="M124">
        <f>IF(M$4=0,0,IF(COUNTIFS(実績!$W$6:$W$505,M$3,実績!$AC$6:$AC$505,"&lt;="&amp;$A124,実績!$AD$6:$AD$505,"&gt;"&amp;$A124,実績!$AE$6:$AE$505,"○")&gt;0,1,0))</f>
        <v/>
      </c>
      <c r="N124">
        <f>IF(N$4=0,0,IF(COUNTIFS(実績!$W$6:$W$505,N$3,実績!$AC$6:$AC$505,"&lt;="&amp;$A124,実績!$AD$6:$AD$505,"&gt;"&amp;$A124,実績!$AE$6:$AE$505,"○")&gt;0,1,0))</f>
        <v/>
      </c>
      <c r="O124">
        <f>IF(O$4=0,0,IF(COUNTIFS(実績!$W$6:$W$505,O$3,実績!$AC$6:$AC$505,"&lt;="&amp;$A124,実績!$AD$6:$AD$505,"&gt;"&amp;$A124,実績!$AE$6:$AE$505,"○")&gt;0,1,0))</f>
        <v/>
      </c>
      <c r="P124">
        <f>IF(P$4=0,0,IF(COUNTIFS(実績!$W$6:$W$505,P$3,実績!$AC$6:$AC$505,"&lt;="&amp;$A124,実績!$AD$6:$AD$505,"&gt;"&amp;$A124,実績!$AE$6:$AE$505,"○")&gt;0,1,0))</f>
        <v/>
      </c>
      <c r="Q124">
        <f>IF(Q$4=0,0,IF(COUNTIFS(実績!$W$6:$W$505,Q$3,実績!$AC$6:$AC$505,"&lt;="&amp;$A124,実績!$AD$6:$AD$505,"&gt;"&amp;$A124,実績!$AE$6:$AE$505,"○")&gt;0,1,0))</f>
        <v/>
      </c>
      <c r="R124">
        <f>IF(R$4=0,0,IF(COUNTIFS(実績!$W$6:$W$505,R$3,実績!$AC$6:$AC$505,"&lt;="&amp;$A124,実績!$AD$6:$AD$505,"&gt;"&amp;$A124,実績!$AE$6:$AE$505,"○")&gt;0,1,0))</f>
        <v/>
      </c>
      <c r="S124">
        <f>IF(S$4=0,0,IF(COUNTIFS(実績!$W$6:$W$505,S$3,実績!$AC$6:$AC$505,"&lt;="&amp;$A124,実績!$AD$6:$AD$505,"&gt;"&amp;$A124,実績!$AE$6:$AE$505,"○")&gt;0,1,0))</f>
        <v/>
      </c>
      <c r="T124">
        <f>IF(T$4=0,0,IF(COUNTIFS(実績!$W$6:$W$505,T$3,実績!$AC$6:$AC$505,"&lt;="&amp;$A124,実績!$AD$6:$AD$505,"&gt;"&amp;$A124,実績!$AE$6:$AE$505,"○")&gt;0,1,0))</f>
        <v/>
      </c>
      <c r="U124">
        <f>IF(U$4=0,0,IF(COUNTIFS(実績!$W$6:$W$505,U$3,実績!$AC$6:$AC$505,"&lt;="&amp;$A124,実績!$AD$6:$AD$505,"&gt;"&amp;$A124,実績!$AE$6:$AE$505,"○")&gt;0,1,0))</f>
        <v/>
      </c>
      <c r="V124">
        <f>IF(V$4=0,0,IF(COUNTIFS(実績!$W$6:$W$505,V$3,実績!$AC$6:$AC$505,"&lt;="&amp;$A124,実績!$AD$6:$AD$505,"&gt;"&amp;$A124,実績!$AE$6:$AE$505,"○")&gt;0,1,0))</f>
        <v/>
      </c>
      <c r="W124">
        <f>IF(W$4=0,0,IF(COUNTIFS(実績!$W$6:$W$505,W$3,実績!$AC$6:$AC$505,"&lt;="&amp;$A124,実績!$AD$6:$AD$505,"&gt;"&amp;$A124,実績!$AE$6:$AE$505,"○")&gt;0,1,0))</f>
        <v/>
      </c>
      <c r="X124">
        <f>IF(X$4=0,0,IF(COUNTIFS(実績!$W$6:$W$505,X$3,実績!$AC$6:$AC$505,"&lt;="&amp;$A124,実績!$AD$6:$AD$505,"&gt;"&amp;$A124,実績!$AE$6:$AE$505,"○")&gt;0,1,0))</f>
        <v/>
      </c>
      <c r="Y124">
        <f>IF(Y$4=0,0,IF(COUNTIFS(実績!$W$6:$W$505,Y$3,実績!$AC$6:$AC$505,"&lt;="&amp;$A124,実績!$AD$6:$AD$505,"&gt;"&amp;$A124,実績!$AE$6:$AE$505,"○")&gt;0,1,0))</f>
        <v/>
      </c>
      <c r="Z124">
        <f>IF(Z$4=0,0,IF(COUNTIFS(実績!$W$6:$W$505,Z$3,実績!$AC$6:$AC$505,"&lt;="&amp;$A124,実績!$AD$6:$AD$505,"&gt;"&amp;$A124,実績!$AE$6:$AE$505,"○")&gt;0,1,0))</f>
        <v/>
      </c>
      <c r="AA124">
        <f>IF(AA$4=0,0,IF(COUNTIFS(実績!$W$6:$W$505,AA$3,実績!$AC$6:$AC$505,"&lt;="&amp;$A124,実績!$AD$6:$AD$505,"&gt;"&amp;$A124,実績!$AE$6:$AE$505,"○")&gt;0,1,0))</f>
        <v/>
      </c>
      <c r="AB124">
        <f>IF(AB$4=0,0,IF(COUNTIFS(実績!$W$6:$W$505,AB$3,実績!$AC$6:$AC$505,"&lt;="&amp;$A124,実績!$AD$6:$AD$505,"&gt;"&amp;$A124,実績!$AE$6:$AE$505,"○")&gt;0,1,0))</f>
        <v/>
      </c>
      <c r="AC124">
        <f>IF(AC$4=0,0,IF(COUNTIFS(実績!$W$6:$W$505,AC$3,実績!$AC$6:$AC$505,"&lt;="&amp;$A124,実績!$AD$6:$AD$505,"&gt;"&amp;$A124,実績!$AE$6:$AE$505,"○")&gt;0,1,0))</f>
        <v/>
      </c>
      <c r="AD124">
        <f>IF(AD$4=0,0,IF(COUNTIFS(実績!$W$6:$W$505,AD$3,実績!$AC$6:$AC$505,"&lt;="&amp;$A124,実績!$AD$6:$AD$505,"&gt;"&amp;$A124,実績!$AE$6:$AE$505,"○")&gt;0,1,0))</f>
        <v/>
      </c>
      <c r="AE124">
        <f>IF(AE$4=0,0,IF(COUNTIFS(実績!$W$6:$W$505,AE$3,実績!$AC$6:$AC$505,"&lt;="&amp;$A124,実績!$AD$6:$AD$505,"&gt;"&amp;$A124,実績!$AE$6:$AE$505,"○")&gt;0,1,0))</f>
        <v/>
      </c>
      <c r="AF124">
        <f>IF(AF$4=0,0,IF(COUNTIFS(実績!$W$6:$W$505,AF$3,実績!$AC$6:$AC$505,"&lt;="&amp;$A124,実績!$AD$6:$AD$505,"&gt;"&amp;$A124,実績!$AE$6:$AE$505,"○")&gt;0,1,0))</f>
        <v/>
      </c>
      <c r="AG124">
        <f>IF(AG$4=0,0,IF(COUNTIFS(実績!$W$6:$W$505,AG$3,実績!$AC$6:$AC$505,"&lt;="&amp;$A124,実績!$AD$6:$AD$505,"&gt;"&amp;$A124,実績!$AE$6:$AE$505,"○")&gt;0,1,0))</f>
        <v/>
      </c>
      <c r="AH124">
        <f>IF(AH$4=0,0,IF(COUNTIFS(実績!$W$6:$W$505,AH$3,実績!$AC$6:$AC$505,"&lt;="&amp;$A124,実績!$AD$6:$AD$505,"&gt;"&amp;$A124,実績!$AE$6:$AE$505,"○")&gt;0,1,0))</f>
        <v/>
      </c>
      <c r="AI124">
        <f>IF(AI$4=0,0,IF(COUNTIFS(実績!$W$6:$W$505,AI$3,実績!$AC$6:$AC$505,"&lt;="&amp;$A124,実績!$AD$6:$AD$505,"&gt;"&amp;$A124,実績!$AE$6:$AE$505,"○")&gt;0,1,0))</f>
        <v/>
      </c>
      <c r="AJ124">
        <f>IF(AJ$4=0,0,IF(COUNTIFS(実績!$W$6:$W$505,AJ$3,実績!$AC$6:$AC$505,"&lt;="&amp;$A124,実績!$AD$6:$AD$505,"&gt;"&amp;$A124,実績!$AE$6:$AE$505,"○")&gt;0,1,0))</f>
        <v/>
      </c>
      <c r="AK124">
        <f>IF(AK$4=0,0,IF(COUNTIFS(実績!$W$6:$W$505,AK$3,実績!$AC$6:$AC$505,"&lt;="&amp;$A124,実績!$AD$6:$AD$505,"&gt;"&amp;$A124,実績!$AE$6:$AE$505,"○")&gt;0,1,0))</f>
        <v/>
      </c>
      <c r="AL124">
        <f>IF(AL$4=0,0,IF(COUNTIFS(実績!$W$6:$W$505,AL$3,実績!$AC$6:$AC$505,"&lt;="&amp;$A124,実績!$AD$6:$AD$505,"&gt;"&amp;$A124,実績!$AE$6:$AE$505,"○")&gt;0,1,0))</f>
        <v/>
      </c>
      <c r="AM124">
        <f>IF(AM$4=0,0,IF(COUNTIFS(実績!$W$6:$W$505,AM$3,実績!$AC$6:$AC$505,"&lt;="&amp;$A124,実績!$AD$6:$AD$505,"&gt;"&amp;$A124,実績!$AE$6:$AE$505,"○")&gt;0,1,0))</f>
        <v/>
      </c>
      <c r="AN124">
        <f>IF(AN$4=0,0,IF(COUNTIFS(実績!$W$6:$W$505,AN$3,実績!$AC$6:$AC$505,"&lt;="&amp;$A124,実績!$AD$6:$AD$505,"&gt;"&amp;$A124,実績!$AE$6:$AE$505,"○")&gt;0,1,0))</f>
        <v/>
      </c>
      <c r="AO124">
        <f>IF(AO$4=0,0,IF(COUNTIFS(実績!$W$6:$W$505,AO$3,実績!$AC$6:$AC$505,"&lt;="&amp;$A124,実績!$AD$6:$AD$505,"&gt;"&amp;$A124,実績!$AE$6:$AE$505,"○")&gt;0,1,0))</f>
        <v/>
      </c>
      <c r="AP124">
        <f>IF(AP$4=0,0,IF(COUNTIFS(実績!$W$6:$W$505,AP$3,実績!$AC$6:$AC$505,"&lt;="&amp;$A124,実績!$AD$6:$AD$505,"&gt;"&amp;$A124,実績!$AE$6:$AE$505,"○")&gt;0,1,0))</f>
        <v/>
      </c>
      <c r="AQ124">
        <f>IF(AQ$4=0,0,IF(COUNTIFS(実績!$W$6:$W$505,AQ$3,実績!$AC$6:$AC$505,"&lt;="&amp;$A124,実績!$AD$6:$AD$505,"&gt;"&amp;$A124,実績!$AE$6:$AE$505,"○")&gt;0,1,0))</f>
        <v/>
      </c>
      <c r="AR124">
        <f>IF(AR$4=0,0,IF(COUNTIFS(実績!$W$6:$W$505,AR$3,実績!$AC$6:$AC$505,"&lt;="&amp;$A124,実績!$AD$6:$AD$505,"&gt;"&amp;$A124,実績!$AE$6:$AE$505,"○")&gt;0,1,0))</f>
        <v/>
      </c>
      <c r="AS124">
        <f>IF(AS$4=0,0,IF(COUNTIFS(実績!$W$6:$W$505,AS$3,実績!$AC$6:$AC$505,"&lt;="&amp;$A124,実績!$AD$6:$AD$505,"&gt;"&amp;$A124,実績!$AE$6:$AE$505,"○")&gt;0,1,0))</f>
        <v/>
      </c>
      <c r="AT124">
        <f>IF(AT$4=0,0,IF(COUNTIFS(実績!$W$6:$W$505,AT$3,実績!$AC$6:$AC$505,"&lt;="&amp;$A124,実績!$AD$6:$AD$505,"&gt;"&amp;$A124,実績!$AE$6:$AE$505,"○")&gt;0,1,0))</f>
        <v/>
      </c>
      <c r="AU124">
        <f>IF(AU$4=0,0,IF(COUNTIFS(実績!$W$6:$W$505,AU$3,実績!$AC$6:$AC$505,"&lt;="&amp;$A124,実績!$AD$6:$AD$505,"&gt;"&amp;$A124,実績!$AE$6:$AE$505,"○")&gt;0,1,0))</f>
        <v/>
      </c>
      <c r="AV124">
        <f>IF(AV$4=0,0,IF(COUNTIFS(実績!$W$6:$W$505,AV$3,実績!$AC$6:$AC$505,"&lt;="&amp;$A124,実績!$AD$6:$AD$505,"&gt;"&amp;$A124,実績!$AE$6:$AE$505,"○")&gt;0,1,0))</f>
        <v/>
      </c>
      <c r="AW124">
        <f>IF(AW$4=0,0,IF(COUNTIFS(実績!$W$6:$W$505,AW$3,実績!$AC$6:$AC$505,"&lt;="&amp;$A124,実績!$AD$6:$AD$505,"&gt;"&amp;$A124,実績!$AE$6:$AE$505,"○")&gt;0,1,0))</f>
        <v/>
      </c>
      <c r="AX124">
        <f>IF(AX$4=0,0,IF(COUNTIFS(実績!$W$6:$W$505,AX$3,実績!$AC$6:$AC$505,"&lt;="&amp;$A124,実績!$AD$6:$AD$505,"&gt;"&amp;$A124,実績!$AE$6:$AE$505,"○")&gt;0,1,0))</f>
        <v/>
      </c>
      <c r="AY124">
        <f>IF(AY$4=0,0,IF(COUNTIFS(実績!$W$6:$W$505,AY$3,実績!$AC$6:$AC$505,"&lt;="&amp;$A124,実績!$AD$6:$AD$505,"&gt;"&amp;$A124,実績!$AE$6:$AE$505,"○")&gt;0,1,0))</f>
        <v/>
      </c>
      <c r="AZ124">
        <f>IF(AZ$4=0,0,IF(COUNTIFS(実績!$W$6:$W$505,AZ$3,実績!$AC$6:$AC$505,"&lt;="&amp;$A124,実績!$AD$6:$AD$505,"&gt;"&amp;$A124,実績!$AE$6:$AE$505,"○")&gt;0,1,0))</f>
        <v/>
      </c>
      <c r="BA124">
        <f>IF(BA$4=0,0,IF(COUNTIFS(実績!$W$6:$W$505,BA$3,実績!$AC$6:$AC$505,"&lt;="&amp;$A124,実績!$AD$6:$AD$505,"&gt;"&amp;$A124,実績!$AE$6:$AE$505,"○")&gt;0,1,0))</f>
        <v/>
      </c>
      <c r="BB124">
        <f>IF(BB$4=0,0,IF(COUNTIFS(実績!$W$6:$W$505,BB$3,実績!$AC$6:$AC$505,"&lt;="&amp;$A124,実績!$AD$6:$AD$505,"&gt;"&amp;$A124,実績!$AE$6:$AE$505,"○")&gt;0,1,0))</f>
        <v/>
      </c>
      <c r="BC124">
        <f>IF(BC$4=0,0,IF(COUNTIFS(実績!$W$6:$W$505,BC$3,実績!$AC$6:$AC$505,"&lt;="&amp;$A124,実績!$AD$6:$AD$505,"&gt;"&amp;$A124,実績!$AE$6:$AE$505,"○")&gt;0,1,0))</f>
        <v/>
      </c>
      <c r="BD124">
        <f>IF(BD$4=0,0,IF(COUNTIFS(実績!$W$6:$W$505,BD$3,実績!$AC$6:$AC$505,"&lt;="&amp;$A124,実績!$AD$6:$AD$505,"&gt;"&amp;$A124,実績!$AE$6:$AE$505,"○")&gt;0,1,0))</f>
        <v/>
      </c>
      <c r="BE124">
        <f>IF(BE$4=0,0,IF(COUNTIFS(実績!$W$6:$W$505,BE$3,実績!$AC$6:$AC$505,"&lt;="&amp;$A124,実績!$AD$6:$AD$505,"&gt;"&amp;$A124,実績!$AE$6:$AE$505,"○")&gt;0,1,0))</f>
        <v/>
      </c>
      <c r="BF124">
        <f>IF(BF$4=0,0,IF(COUNTIFS(実績!$W$6:$W$505,BF$3,実績!$AC$6:$AC$505,"&lt;="&amp;$A124,実績!$AD$6:$AD$505,"&gt;"&amp;$A124,実績!$AE$6:$AE$505,"○")&gt;0,1,0))</f>
        <v/>
      </c>
      <c r="BG124">
        <f>IF(BG$4=0,0,IF(COUNTIFS(実績!$W$6:$W$505,BG$3,実績!$AC$6:$AC$505,"&lt;="&amp;$A124,実績!$AD$6:$AD$505,"&gt;"&amp;$A124,実績!$AE$6:$AE$505,"○")&gt;0,1,0))</f>
        <v/>
      </c>
      <c r="BH124">
        <f>IF(BH$4=0,0,IF(COUNTIFS(実績!$W$6:$W$505,BH$3,実績!$AC$6:$AC$505,"&lt;="&amp;$A124,実績!$AD$6:$AD$505,"&gt;"&amp;$A124,実績!$AE$6:$AE$505,"○")&gt;0,1,0))</f>
        <v/>
      </c>
      <c r="BI124">
        <f>IF(BI$4=0,0,IF(COUNTIFS(実績!$W$6:$W$505,BI$3,実績!$AC$6:$AC$505,"&lt;="&amp;$A124,実績!$AD$6:$AD$505,"&gt;"&amp;$A124,実績!$AE$6:$AE$505,"○")&gt;0,1,0))</f>
        <v/>
      </c>
      <c r="BJ124">
        <f>IF(BJ$4=0,0,IF(COUNTIFS(実績!$W$6:$W$505,BJ$3,実績!$AC$6:$AC$505,"&lt;="&amp;$A124,実績!$AD$6:$AD$505,"&gt;"&amp;$A124,実績!$AE$6:$AE$505,"○")&gt;0,1,0))</f>
        <v/>
      </c>
      <c r="BK124">
        <f>IF(BK$4=0,0,IF(COUNTIFS(実績!$W$6:$W$505,BK$3,実績!$AC$6:$AC$505,"&lt;="&amp;$A124,実績!$AD$6:$AD$505,"&gt;"&amp;$A124,実績!$AE$6:$AE$505,"○")&gt;0,1,0))</f>
        <v/>
      </c>
      <c r="BL124">
        <f>IF(BL$4=0,0,IF(COUNTIFS(実績!$W$6:$W$505,BL$3,実績!$AC$6:$AC$505,"&lt;="&amp;$A124,実績!$AD$6:$AD$505,"&gt;"&amp;$A124,実績!$AE$6:$AE$505,"○")&gt;0,1,0))</f>
        <v/>
      </c>
      <c r="BM124">
        <f>IF(BM$4=0,0,IF(COUNTIFS(実績!$W$6:$W$505,BM$3,実績!$AC$6:$AC$505,"&lt;="&amp;$A124,実績!$AD$6:$AD$505,"&gt;"&amp;$A124,実績!$AE$6:$AE$505,"○")&gt;0,1,0))</f>
        <v/>
      </c>
      <c r="BN124">
        <f>IF(BN$4=0,0,IF(COUNTIFS(実績!$W$6:$W$505,BN$3,実績!$AC$6:$AC$505,"&lt;="&amp;$A124,実績!$AD$6:$AD$505,"&gt;"&amp;$A124,実績!$AE$6:$AE$505,"○")&gt;0,1,0))</f>
        <v/>
      </c>
      <c r="BO124">
        <f>IF(BO$4=0,0,IF(COUNTIFS(実績!$W$6:$W$505,BO$3,実績!$AC$6:$AC$505,"&lt;="&amp;$A124,実績!$AD$6:$AD$505,"&gt;"&amp;$A124,実績!$AE$6:$AE$505,"○")&gt;0,1,0))</f>
        <v/>
      </c>
      <c r="BP124">
        <f>IF(BP$4=0,0,IF(COUNTIFS(実績!$W$6:$W$505,BP$3,実績!$AC$6:$AC$505,"&lt;="&amp;$A124,実績!$AD$6:$AD$505,"&gt;"&amp;$A124,実績!$AE$6:$AE$505,"○")&gt;0,1,0))</f>
        <v/>
      </c>
      <c r="BQ124">
        <f>IF(BQ$4=0,0,IF(COUNTIFS(実績!$W$6:$W$505,BQ$3,実績!$AC$6:$AC$505,"&lt;="&amp;$A124,実績!$AD$6:$AD$505,"&gt;"&amp;$A124,実績!$AE$6:$AE$505,"○")&gt;0,1,0))</f>
        <v/>
      </c>
      <c r="BR124">
        <f>IF(BR$4=0,0,IF(COUNTIFS(実績!$W$6:$W$505,BR$3,実績!$AC$6:$AC$505,"&lt;="&amp;$A124,実績!$AD$6:$AD$505,"&gt;"&amp;$A124,実績!$AE$6:$AE$505,"○")&gt;0,1,0))</f>
        <v/>
      </c>
      <c r="BS124">
        <f>IF(BS$4=0,0,IF(COUNTIFS(実績!$W$6:$W$505,BS$3,実績!$AC$6:$AC$505,"&lt;="&amp;$A124,実績!$AD$6:$AD$505,"&gt;"&amp;$A124,実績!$AE$6:$AE$505,"○")&gt;0,1,0))</f>
        <v/>
      </c>
      <c r="BT124">
        <f>IF(BT$4=0,0,IF(COUNTIFS(実績!$W$6:$W$505,BT$3,実績!$AC$6:$AC$505,"&lt;="&amp;$A124,実績!$AD$6:$AD$505,"&gt;"&amp;$A124,実績!$AE$6:$AE$505,"○")&gt;0,1,0))</f>
        <v/>
      </c>
      <c r="BU124">
        <f>IF(BU$4=0,0,IF(COUNTIFS(実績!$W$6:$W$505,BU$3,実績!$AC$6:$AC$505,"&lt;="&amp;$A124,実績!$AD$6:$AD$505,"&gt;"&amp;$A124,実績!$AE$6:$AE$505,"○")&gt;0,1,0))</f>
        <v/>
      </c>
      <c r="BV124">
        <f>IF(BV$4=0,0,IF(COUNTIFS(実績!$W$6:$W$505,BV$3,実績!$AC$6:$AC$505,"&lt;="&amp;$A124,実績!$AD$6:$AD$505,"&gt;"&amp;$A124,実績!$AE$6:$AE$505,"○")&gt;0,1,0))</f>
        <v/>
      </c>
      <c r="BW124">
        <f>IF(BW$4=0,0,IF(COUNTIFS(実績!$W$6:$W$505,BW$3,実績!$AC$6:$AC$505,"&lt;="&amp;$A124,実績!$AD$6:$AD$505,"&gt;"&amp;$A124,実績!$AE$6:$AE$505,"○")&gt;0,1,0))</f>
        <v/>
      </c>
      <c r="BX124">
        <f>IF(BX$4=0,0,IF(COUNTIFS(実績!$W$6:$W$505,BX$3,実績!$AC$6:$AC$505,"&lt;="&amp;$A124,実績!$AD$6:$AD$505,"&gt;"&amp;$A124,実績!$AE$6:$AE$505,"○")&gt;0,1,0))</f>
        <v/>
      </c>
      <c r="BY124">
        <f>IF(BY$4=0,0,IF(COUNTIFS(実績!$W$6:$W$505,BY$3,実績!$AC$6:$AC$505,"&lt;="&amp;$A124,実績!$AD$6:$AD$505,"&gt;"&amp;$A124,実績!$AE$6:$AE$505,"○")&gt;0,1,0))</f>
        <v/>
      </c>
      <c r="BZ124">
        <f>IF(BZ$4=0,0,IF(COUNTIFS(実績!$W$6:$W$505,BZ$3,実績!$AC$6:$AC$505,"&lt;="&amp;$A124,実績!$AD$6:$AD$505,"&gt;"&amp;$A124,実績!$AE$6:$AE$505,"○")&gt;0,1,0))</f>
        <v/>
      </c>
      <c r="CA124">
        <f>IF(CA$4=0,0,IF(COUNTIFS(実績!$W$6:$W$505,CA$3,実績!$AC$6:$AC$505,"&lt;="&amp;$A124,実績!$AD$6:$AD$505,"&gt;"&amp;$A124,実績!$AE$6:$AE$505,"○")&gt;0,1,0))</f>
        <v/>
      </c>
      <c r="CB124">
        <f>IF(CB$4=0,0,IF(COUNTIFS(実績!$W$6:$W$505,CB$3,実績!$AC$6:$AC$505,"&lt;="&amp;$A124,実績!$AD$6:$AD$505,"&gt;"&amp;$A124,実績!$AE$6:$AE$505,"○")&gt;0,1,0))</f>
        <v/>
      </c>
      <c r="CC124">
        <f>IF(CC$4=0,0,IF(COUNTIFS(実績!$W$6:$W$505,CC$3,実績!$AC$6:$AC$505,"&lt;="&amp;$A124,実績!$AD$6:$AD$505,"&gt;"&amp;$A124,実績!$AE$6:$AE$505,"○")&gt;0,1,0))</f>
        <v/>
      </c>
      <c r="CD124">
        <f>IF(CD$4=0,0,IF(COUNTIFS(実績!$W$6:$W$505,CD$3,実績!$AC$6:$AC$505,"&lt;="&amp;$A124,実績!$AD$6:$AD$505,"&gt;"&amp;$A124,実績!$AE$6:$AE$505,"○")&gt;0,1,0))</f>
        <v/>
      </c>
      <c r="CE124">
        <f>IF(CE$4=0,0,IF(COUNTIFS(実績!$W$6:$W$505,CE$3,実績!$AC$6:$AC$505,"&lt;="&amp;$A124,実績!$AD$6:$AD$505,"&gt;"&amp;$A124,実績!$AE$6:$AE$505,"○")&gt;0,1,0))</f>
        <v/>
      </c>
      <c r="CF124">
        <f>IF(CF$4=0,0,IF(COUNTIFS(実績!$W$6:$W$505,CF$3,実績!$AC$6:$AC$505,"&lt;="&amp;$A124,実績!$AD$6:$AD$505,"&gt;"&amp;$A124,実績!$AE$6:$AE$505,"○")&gt;0,1,0))</f>
        <v/>
      </c>
      <c r="CG124">
        <f>IF(CG$4=0,0,IF(COUNTIFS(実績!$W$6:$W$505,CG$3,実績!$AC$6:$AC$505,"&lt;="&amp;$A124,実績!$AD$6:$AD$505,"&gt;"&amp;$A124,実績!$AE$6:$AE$505,"○")&gt;0,1,0))</f>
        <v/>
      </c>
      <c r="CH124">
        <f>IF(CH$4=0,0,IF(COUNTIFS(実績!$W$6:$W$505,CH$3,実績!$AC$6:$AC$505,"&lt;="&amp;$A124,実績!$AD$6:$AD$505,"&gt;"&amp;$A124,実績!$AE$6:$AE$505,"○")&gt;0,1,0))</f>
        <v/>
      </c>
      <c r="CI124">
        <f>IF(CI$4=0,0,IF(COUNTIFS(実績!$W$6:$W$505,CI$3,実績!$AC$6:$AC$505,"&lt;="&amp;$A124,実績!$AD$6:$AD$505,"&gt;"&amp;$A124,実績!$AE$6:$AE$505,"○")&gt;0,1,0))</f>
        <v/>
      </c>
      <c r="CJ124">
        <f>IF(CJ$4=0,0,IF(COUNTIFS(実績!$W$6:$W$505,CJ$3,実績!$AC$6:$AC$505,"&lt;="&amp;$A124,実績!$AD$6:$AD$505,"&gt;"&amp;$A124,実績!$AE$6:$AE$505,"○")&gt;0,1,0))</f>
        <v/>
      </c>
      <c r="CK124">
        <f>IF(CK$4=0,0,IF(COUNTIFS(実績!$W$6:$W$505,CK$3,実績!$AC$6:$AC$505,"&lt;="&amp;$A124,実績!$AD$6:$AD$505,"&gt;"&amp;$A124,実績!$AE$6:$AE$505,"○")&gt;0,1,0))</f>
        <v/>
      </c>
      <c r="CL124">
        <f>IF(CL$4=0,0,IF(COUNTIFS(実績!$W$6:$W$505,CL$3,実績!$AC$6:$AC$505,"&lt;="&amp;$A124,実績!$AD$6:$AD$505,"&gt;"&amp;$A124,実績!$AE$6:$AE$505,"○")&gt;0,1,0))</f>
        <v/>
      </c>
      <c r="CM124">
        <f>IF(CM$4=0,0,IF(COUNTIFS(実績!$W$6:$W$505,CM$3,実績!$AC$6:$AC$505,"&lt;="&amp;$A124,実績!$AD$6:$AD$505,"&gt;"&amp;$A124,実績!$AE$6:$AE$505,"○")&gt;0,1,0))</f>
        <v/>
      </c>
      <c r="CN124">
        <f>IF(CN$4=0,0,IF(COUNTIFS(実績!$W$6:$W$505,CN$3,実績!$AC$6:$AC$505,"&lt;="&amp;$A124,実績!$AD$6:$AD$505,"&gt;"&amp;$A124,実績!$AE$6:$AE$505,"○")&gt;0,1,0))</f>
        <v/>
      </c>
      <c r="CO124">
        <f>IF(CO$4=0,0,IF(COUNTIFS(実績!$W$6:$W$505,CO$3,実績!$AC$6:$AC$505,"&lt;="&amp;$A124,実績!$AD$6:$AD$505,"&gt;"&amp;$A124,実績!$AE$6:$AE$505,"○")&gt;0,1,0))</f>
        <v/>
      </c>
      <c r="CP124">
        <f>IF(CP$4=0,0,IF(COUNTIFS(実績!$W$6:$W$505,CP$3,実績!$AC$6:$AC$505,"&lt;="&amp;$A124,実績!$AD$6:$AD$505,"&gt;"&amp;$A124,実績!$AE$6:$AE$505,"○")&gt;0,1,0))</f>
        <v/>
      </c>
      <c r="CQ124">
        <f>IF(CQ$4=0,0,IF(COUNTIFS(実績!$W$6:$W$505,CQ$3,実績!$AC$6:$AC$505,"&lt;="&amp;$A124,実績!$AD$6:$AD$505,"&gt;"&amp;$A124,実績!$AE$6:$AE$505,"○")&gt;0,1,0))</f>
        <v/>
      </c>
      <c r="CR124">
        <f>IF(CR$4=0,0,IF(COUNTIFS(実績!$W$6:$W$505,CR$3,実績!$AC$6:$AC$505,"&lt;="&amp;$A124,実績!$AD$6:$AD$505,"&gt;"&amp;$A124,実績!$AE$6:$AE$505,"○")&gt;0,1,0))</f>
        <v/>
      </c>
      <c r="CS124">
        <f>IF(CS$4=0,0,IF(COUNTIFS(実績!$W$6:$W$505,CS$3,実績!$AC$6:$AC$505,"&lt;="&amp;$A124,実績!$AD$6:$AD$505,"&gt;"&amp;$A124,実績!$AE$6:$AE$505,"○")&gt;0,1,0))</f>
        <v/>
      </c>
      <c r="CT124">
        <f>IF(CT$4=0,0,IF(COUNTIFS(実績!$W$6:$W$505,CT$3,実績!$AC$6:$AC$505,"&lt;="&amp;$A124,実績!$AD$6:$AD$505,"&gt;"&amp;$A124,実績!$AE$6:$AE$505,"○")&gt;0,1,0))</f>
        <v/>
      </c>
      <c r="CU124">
        <f>IF(CU$4=0,0,IF(COUNTIFS(実績!$W$6:$W$505,CU$3,実績!$AC$6:$AC$505,"&lt;="&amp;$A124,実績!$AD$6:$AD$505,"&gt;"&amp;$A124,実績!$AE$6:$AE$505,"○")&gt;0,1,0))</f>
        <v/>
      </c>
      <c r="CV124">
        <f>IF(CV$4=0,0,IF(COUNTIFS(実績!$W$6:$W$505,CV$3,実績!$AC$6:$AC$505,"&lt;="&amp;$A124,実績!$AD$6:$AD$505,"&gt;"&amp;$A124,実績!$AE$6:$AE$505,"○")&gt;0,1,0))</f>
        <v/>
      </c>
      <c r="CW124">
        <f>IF(CW$4=0,0,IF(COUNTIFS(実績!$W$6:$W$505,CW$3,実績!$AC$6:$AC$505,"&lt;="&amp;$A124,実績!$AD$6:$AD$505,"&gt;"&amp;$A124,実績!$AE$6:$AE$505,"○")&gt;0,1,0))</f>
        <v/>
      </c>
      <c r="CX124">
        <f>IF(CX$4=0,0,IF(COUNTIFS(実績!$W$6:$W$505,CX$3,実績!$AC$6:$AC$505,"&lt;="&amp;$A124,実績!$AD$6:$AD$505,"&gt;"&amp;$A124,実績!$AE$6:$AE$505,"○")&gt;0,1,0))</f>
        <v/>
      </c>
      <c r="CY124">
        <f>IF(CY$4=0,0,IF(COUNTIFS(実績!$W$6:$W$505,CY$3,実績!$AC$6:$AC$505,"&lt;="&amp;$A124,実績!$AD$6:$AD$505,"&gt;"&amp;$A124,実績!$AE$6:$AE$505,"○")&gt;0,1,0))</f>
        <v/>
      </c>
      <c r="CZ124">
        <f>IF(CZ$4=0,0,IF(COUNTIFS(実績!$W$6:$W$505,CZ$3,実績!$AC$6:$AC$505,"&lt;="&amp;$A124,実績!$AD$6:$AD$505,"&gt;"&amp;$A124,実績!$AE$6:$AE$505,"○")&gt;0,1,0))</f>
        <v/>
      </c>
      <c r="DA124">
        <f>IF(DA$4=0,0,IF(COUNTIFS(実績!$W$6:$W$505,DA$3,実績!$AC$6:$AC$505,"&lt;="&amp;$A124,実績!$AD$6:$AD$505,"&gt;"&amp;$A124,実績!$AE$6:$AE$505,"○")&gt;0,1,0))</f>
        <v/>
      </c>
      <c r="DB124">
        <f>IF(DB$4=0,0,IF(COUNTIFS(実績!$W$6:$W$505,DB$3,実績!$AC$6:$AC$505,"&lt;="&amp;$A124,実績!$AD$6:$AD$505,"&gt;"&amp;$A124,実績!$AE$6:$AE$505,"○")&gt;0,1,0))</f>
        <v/>
      </c>
      <c r="DC124">
        <f>IF(DC$4=0,0,IF(COUNTIFS(実績!$W$6:$W$505,DC$3,実績!$AC$6:$AC$505,"&lt;="&amp;$A124,実績!$AD$6:$AD$505,"&gt;"&amp;$A124,実績!$AE$6:$AE$505,"○")&gt;0,1,0))</f>
        <v/>
      </c>
      <c r="DD124">
        <f>IF(DD$4=0,0,IF(COUNTIFS(実績!$W$6:$W$505,DD$3,実績!$AC$6:$AC$505,"&lt;="&amp;$A124,実績!$AD$6:$AD$505,"&gt;"&amp;$A124,実績!$AE$6:$AE$505,"○")&gt;0,1,0))</f>
        <v/>
      </c>
      <c r="DE124">
        <f>IF(DE$4=0,0,IF(COUNTIFS(実績!$W$6:$W$505,DE$3,実績!$AC$6:$AC$505,"&lt;="&amp;$A124,実績!$AD$6:$AD$505,"&gt;"&amp;$A124,実績!$AE$6:$AE$505,"○")&gt;0,1,0))</f>
        <v/>
      </c>
      <c r="DF124">
        <f>IF(DF$4=0,0,IF(COUNTIFS(実績!$W$6:$W$505,DF$3,実績!$AC$6:$AC$505,"&lt;="&amp;$A124,実績!$AD$6:$AD$505,"&gt;"&amp;$A124,実績!$AE$6:$AE$505,"○")&gt;0,1,0))</f>
        <v/>
      </c>
      <c r="DG124">
        <f>IF(DG$4=0,0,IF(COUNTIFS(実績!$W$6:$W$505,DG$3,実績!$AC$6:$AC$505,"&lt;="&amp;$A124,実績!$AD$6:$AD$505,"&gt;"&amp;$A124,実績!$AE$6:$AE$505,"○")&gt;0,1,0))</f>
        <v/>
      </c>
      <c r="DH124">
        <f>IF(DH$4=0,0,IF(COUNTIFS(実績!$W$6:$W$505,DH$3,実績!$AC$6:$AC$505,"&lt;="&amp;$A124,実績!$AD$6:$AD$505,"&gt;"&amp;$A124,実績!$AE$6:$AE$505,"○")&gt;0,1,0))</f>
        <v/>
      </c>
      <c r="DI124">
        <f>IF(DI$4=0,0,IF(COUNTIFS(実績!$W$6:$W$505,DI$3,実績!$AC$6:$AC$505,"&lt;="&amp;$A124,実績!$AD$6:$AD$505,"&gt;"&amp;$A124,実績!$AE$6:$AE$505,"○")&gt;0,1,0))</f>
        <v/>
      </c>
      <c r="DJ124">
        <f>IF(DJ$4=0,0,IF(COUNTIFS(実績!$W$6:$W$505,DJ$3,実績!$AC$6:$AC$505,"&lt;="&amp;$A124,実績!$AD$6:$AD$505,"&gt;"&amp;$A124,実績!$AE$6:$AE$505,"○")&gt;0,1,0))</f>
        <v/>
      </c>
      <c r="DK124">
        <f>IF(DK$4=0,0,IF(COUNTIFS(実績!$W$6:$W$505,DK$3,実績!$AC$6:$AC$505,"&lt;="&amp;$A124,実績!$AD$6:$AD$505,"&gt;"&amp;$A124,実績!$AE$6:$AE$505,"○")&gt;0,1,0))</f>
        <v/>
      </c>
      <c r="DL124">
        <f>IF(DL$4=0,0,IF(COUNTIFS(実績!$W$6:$W$505,DL$3,実績!$AC$6:$AC$505,"&lt;="&amp;$A124,実績!$AD$6:$AD$505,"&gt;"&amp;$A124,実績!$AE$6:$AE$505,"○")&gt;0,1,0))</f>
        <v/>
      </c>
      <c r="DM124">
        <f>IF(DM$4=0,0,IF(COUNTIFS(実績!$W$6:$W$505,DM$3,実績!$AC$6:$AC$505,"&lt;="&amp;$A124,実績!$AD$6:$AD$505,"&gt;"&amp;$A124,実績!$AE$6:$AE$505,"○")&gt;0,1,0))</f>
        <v/>
      </c>
      <c r="DN124">
        <f>IF(DN$4=0,0,IF(COUNTIFS(実績!$W$6:$W$505,DN$3,実績!$AC$6:$AC$505,"&lt;="&amp;$A124,実績!$AD$6:$AD$505,"&gt;"&amp;$A124,実績!$AE$6:$AE$505,"○")&gt;0,1,0))</f>
        <v/>
      </c>
      <c r="DO124">
        <f>IF(DO$4=0,0,IF(COUNTIFS(実績!$W$6:$W$505,DO$3,実績!$AC$6:$AC$505,"&lt;="&amp;$A124,実績!$AD$6:$AD$505,"&gt;"&amp;$A124,実績!$AE$6:$AE$505,"○")&gt;0,1,0))</f>
        <v/>
      </c>
      <c r="DP124">
        <f>IF(DP$4=0,0,IF(COUNTIFS(実績!$W$6:$W$505,DP$3,実績!$AC$6:$AC$505,"&lt;="&amp;$A124,実績!$AD$6:$AD$505,"&gt;"&amp;$A124,実績!$AE$6:$AE$505,"○")&gt;0,1,0))</f>
        <v/>
      </c>
      <c r="DQ124">
        <f>IF(DQ$4=0,0,IF(COUNTIFS(実績!$W$6:$W$505,DQ$3,実績!$AC$6:$AC$505,"&lt;="&amp;$A124,実績!$AD$6:$AD$505,"&gt;"&amp;$A124,実績!$AE$6:$AE$505,"○")&gt;0,1,0))</f>
        <v/>
      </c>
      <c r="DR124">
        <f>IF(DR$4=0,0,IF(COUNTIFS(実績!$W$6:$W$505,DR$3,実績!$AC$6:$AC$505,"&lt;="&amp;$A124,実績!$AD$6:$AD$505,"&gt;"&amp;$A124,実績!$AE$6:$AE$505,"○")&gt;0,1,0))</f>
        <v/>
      </c>
      <c r="DS124">
        <f>SUM(C124:DR124)</f>
        <v/>
      </c>
      <c r="DT124">
        <f>SUMPRODUCT((実績!$C$6:$C$505="○")*ISNUMBER(実績!$AF$6:$AF$505)*(実績!$AF$6:$AF$505&lt;=$A124)*(実績!$AG$6:$AG$505&gt;$A124))</f>
        <v/>
      </c>
      <c r="DU124">
        <f>SUMIF($C$2:$DR$2,"製鉄曳船",C124:DR124)</f>
        <v/>
      </c>
      <c r="DV124">
        <f>SUMIF($C$2:$DR$2,"西日本海運",C124:DR124)</f>
        <v/>
      </c>
    </row>
    <row r="125">
      <c r="A125" t="n">
        <v>595</v>
      </c>
      <c r="B125" s="29">
        <f>A125/1440</f>
        <v/>
      </c>
      <c r="C125">
        <f>IF(C$4=0,0,IF(COUNTIFS(実績!$W$6:$W$505,C$3,実績!$AC$6:$AC$505,"&lt;="&amp;$A125,実績!$AD$6:$AD$505,"&gt;"&amp;$A125,実績!$AE$6:$AE$505,"○")&gt;0,1,0))</f>
        <v/>
      </c>
      <c r="D125">
        <f>IF(D$4=0,0,IF(COUNTIFS(実績!$W$6:$W$505,D$3,実績!$AC$6:$AC$505,"&lt;="&amp;$A125,実績!$AD$6:$AD$505,"&gt;"&amp;$A125,実績!$AE$6:$AE$505,"○")&gt;0,1,0))</f>
        <v/>
      </c>
      <c r="E125">
        <f>IF(E$4=0,0,IF(COUNTIFS(実績!$W$6:$W$505,E$3,実績!$AC$6:$AC$505,"&lt;="&amp;$A125,実績!$AD$6:$AD$505,"&gt;"&amp;$A125,実績!$AE$6:$AE$505,"○")&gt;0,1,0))</f>
        <v/>
      </c>
      <c r="F125">
        <f>IF(F$4=0,0,IF(COUNTIFS(実績!$W$6:$W$505,F$3,実績!$AC$6:$AC$505,"&lt;="&amp;$A125,実績!$AD$6:$AD$505,"&gt;"&amp;$A125,実績!$AE$6:$AE$505,"○")&gt;0,1,0))</f>
        <v/>
      </c>
      <c r="G125">
        <f>IF(G$4=0,0,IF(COUNTIFS(実績!$W$6:$W$505,G$3,実績!$AC$6:$AC$505,"&lt;="&amp;$A125,実績!$AD$6:$AD$505,"&gt;"&amp;$A125,実績!$AE$6:$AE$505,"○")&gt;0,1,0))</f>
        <v/>
      </c>
      <c r="H125">
        <f>IF(H$4=0,0,IF(COUNTIFS(実績!$W$6:$W$505,H$3,実績!$AC$6:$AC$505,"&lt;="&amp;$A125,実績!$AD$6:$AD$505,"&gt;"&amp;$A125,実績!$AE$6:$AE$505,"○")&gt;0,1,0))</f>
        <v/>
      </c>
      <c r="I125">
        <f>IF(I$4=0,0,IF(COUNTIFS(実績!$W$6:$W$505,I$3,実績!$AC$6:$AC$505,"&lt;="&amp;$A125,実績!$AD$6:$AD$505,"&gt;"&amp;$A125,実績!$AE$6:$AE$505,"○")&gt;0,1,0))</f>
        <v/>
      </c>
      <c r="J125">
        <f>IF(J$4=0,0,IF(COUNTIFS(実績!$W$6:$W$505,J$3,実績!$AC$6:$AC$505,"&lt;="&amp;$A125,実績!$AD$6:$AD$505,"&gt;"&amp;$A125,実績!$AE$6:$AE$505,"○")&gt;0,1,0))</f>
        <v/>
      </c>
      <c r="K125">
        <f>IF(K$4=0,0,IF(COUNTIFS(実績!$W$6:$W$505,K$3,実績!$AC$6:$AC$505,"&lt;="&amp;$A125,実績!$AD$6:$AD$505,"&gt;"&amp;$A125,実績!$AE$6:$AE$505,"○")&gt;0,1,0))</f>
        <v/>
      </c>
      <c r="L125">
        <f>IF(L$4=0,0,IF(COUNTIFS(実績!$W$6:$W$505,L$3,実績!$AC$6:$AC$505,"&lt;="&amp;$A125,実績!$AD$6:$AD$505,"&gt;"&amp;$A125,実績!$AE$6:$AE$505,"○")&gt;0,1,0))</f>
        <v/>
      </c>
      <c r="M125">
        <f>IF(M$4=0,0,IF(COUNTIFS(実績!$W$6:$W$505,M$3,実績!$AC$6:$AC$505,"&lt;="&amp;$A125,実績!$AD$6:$AD$505,"&gt;"&amp;$A125,実績!$AE$6:$AE$505,"○")&gt;0,1,0))</f>
        <v/>
      </c>
      <c r="N125">
        <f>IF(N$4=0,0,IF(COUNTIFS(実績!$W$6:$W$505,N$3,実績!$AC$6:$AC$505,"&lt;="&amp;$A125,実績!$AD$6:$AD$505,"&gt;"&amp;$A125,実績!$AE$6:$AE$505,"○")&gt;0,1,0))</f>
        <v/>
      </c>
      <c r="O125">
        <f>IF(O$4=0,0,IF(COUNTIFS(実績!$W$6:$W$505,O$3,実績!$AC$6:$AC$505,"&lt;="&amp;$A125,実績!$AD$6:$AD$505,"&gt;"&amp;$A125,実績!$AE$6:$AE$505,"○")&gt;0,1,0))</f>
        <v/>
      </c>
      <c r="P125">
        <f>IF(P$4=0,0,IF(COUNTIFS(実績!$W$6:$W$505,P$3,実績!$AC$6:$AC$505,"&lt;="&amp;$A125,実績!$AD$6:$AD$505,"&gt;"&amp;$A125,実績!$AE$6:$AE$505,"○")&gt;0,1,0))</f>
        <v/>
      </c>
      <c r="Q125">
        <f>IF(Q$4=0,0,IF(COUNTIFS(実績!$W$6:$W$505,Q$3,実績!$AC$6:$AC$505,"&lt;="&amp;$A125,実績!$AD$6:$AD$505,"&gt;"&amp;$A125,実績!$AE$6:$AE$505,"○")&gt;0,1,0))</f>
        <v/>
      </c>
      <c r="R125">
        <f>IF(R$4=0,0,IF(COUNTIFS(実績!$W$6:$W$505,R$3,実績!$AC$6:$AC$505,"&lt;="&amp;$A125,実績!$AD$6:$AD$505,"&gt;"&amp;$A125,実績!$AE$6:$AE$505,"○")&gt;0,1,0))</f>
        <v/>
      </c>
      <c r="S125">
        <f>IF(S$4=0,0,IF(COUNTIFS(実績!$W$6:$W$505,S$3,実績!$AC$6:$AC$505,"&lt;="&amp;$A125,実績!$AD$6:$AD$505,"&gt;"&amp;$A125,実績!$AE$6:$AE$505,"○")&gt;0,1,0))</f>
        <v/>
      </c>
      <c r="T125">
        <f>IF(T$4=0,0,IF(COUNTIFS(実績!$W$6:$W$505,T$3,実績!$AC$6:$AC$505,"&lt;="&amp;$A125,実績!$AD$6:$AD$505,"&gt;"&amp;$A125,実績!$AE$6:$AE$505,"○")&gt;0,1,0))</f>
        <v/>
      </c>
      <c r="U125">
        <f>IF(U$4=0,0,IF(COUNTIFS(実績!$W$6:$W$505,U$3,実績!$AC$6:$AC$505,"&lt;="&amp;$A125,実績!$AD$6:$AD$505,"&gt;"&amp;$A125,実績!$AE$6:$AE$505,"○")&gt;0,1,0))</f>
        <v/>
      </c>
      <c r="V125">
        <f>IF(V$4=0,0,IF(COUNTIFS(実績!$W$6:$W$505,V$3,実績!$AC$6:$AC$505,"&lt;="&amp;$A125,実績!$AD$6:$AD$505,"&gt;"&amp;$A125,実績!$AE$6:$AE$505,"○")&gt;0,1,0))</f>
        <v/>
      </c>
      <c r="W125">
        <f>IF(W$4=0,0,IF(COUNTIFS(実績!$W$6:$W$505,W$3,実績!$AC$6:$AC$505,"&lt;="&amp;$A125,実績!$AD$6:$AD$505,"&gt;"&amp;$A125,実績!$AE$6:$AE$505,"○")&gt;0,1,0))</f>
        <v/>
      </c>
      <c r="X125">
        <f>IF(X$4=0,0,IF(COUNTIFS(実績!$W$6:$W$505,X$3,実績!$AC$6:$AC$505,"&lt;="&amp;$A125,実績!$AD$6:$AD$505,"&gt;"&amp;$A125,実績!$AE$6:$AE$505,"○")&gt;0,1,0))</f>
        <v/>
      </c>
      <c r="Y125">
        <f>IF(Y$4=0,0,IF(COUNTIFS(実績!$W$6:$W$505,Y$3,実績!$AC$6:$AC$505,"&lt;="&amp;$A125,実績!$AD$6:$AD$505,"&gt;"&amp;$A125,実績!$AE$6:$AE$505,"○")&gt;0,1,0))</f>
        <v/>
      </c>
      <c r="Z125">
        <f>IF(Z$4=0,0,IF(COUNTIFS(実績!$W$6:$W$505,Z$3,実績!$AC$6:$AC$505,"&lt;="&amp;$A125,実績!$AD$6:$AD$505,"&gt;"&amp;$A125,実績!$AE$6:$AE$505,"○")&gt;0,1,0))</f>
        <v/>
      </c>
      <c r="AA125">
        <f>IF(AA$4=0,0,IF(COUNTIFS(実績!$W$6:$W$505,AA$3,実績!$AC$6:$AC$505,"&lt;="&amp;$A125,実績!$AD$6:$AD$505,"&gt;"&amp;$A125,実績!$AE$6:$AE$505,"○")&gt;0,1,0))</f>
        <v/>
      </c>
      <c r="AB125">
        <f>IF(AB$4=0,0,IF(COUNTIFS(実績!$W$6:$W$505,AB$3,実績!$AC$6:$AC$505,"&lt;="&amp;$A125,実績!$AD$6:$AD$505,"&gt;"&amp;$A125,実績!$AE$6:$AE$505,"○")&gt;0,1,0))</f>
        <v/>
      </c>
      <c r="AC125">
        <f>IF(AC$4=0,0,IF(COUNTIFS(実績!$W$6:$W$505,AC$3,実績!$AC$6:$AC$505,"&lt;="&amp;$A125,実績!$AD$6:$AD$505,"&gt;"&amp;$A125,実績!$AE$6:$AE$505,"○")&gt;0,1,0))</f>
        <v/>
      </c>
      <c r="AD125">
        <f>IF(AD$4=0,0,IF(COUNTIFS(実績!$W$6:$W$505,AD$3,実績!$AC$6:$AC$505,"&lt;="&amp;$A125,実績!$AD$6:$AD$505,"&gt;"&amp;$A125,実績!$AE$6:$AE$505,"○")&gt;0,1,0))</f>
        <v/>
      </c>
      <c r="AE125">
        <f>IF(AE$4=0,0,IF(COUNTIFS(実績!$W$6:$W$505,AE$3,実績!$AC$6:$AC$505,"&lt;="&amp;$A125,実績!$AD$6:$AD$505,"&gt;"&amp;$A125,実績!$AE$6:$AE$505,"○")&gt;0,1,0))</f>
        <v/>
      </c>
      <c r="AF125">
        <f>IF(AF$4=0,0,IF(COUNTIFS(実績!$W$6:$W$505,AF$3,実績!$AC$6:$AC$505,"&lt;="&amp;$A125,実績!$AD$6:$AD$505,"&gt;"&amp;$A125,実績!$AE$6:$AE$505,"○")&gt;0,1,0))</f>
        <v/>
      </c>
      <c r="AG125">
        <f>IF(AG$4=0,0,IF(COUNTIFS(実績!$W$6:$W$505,AG$3,実績!$AC$6:$AC$505,"&lt;="&amp;$A125,実績!$AD$6:$AD$505,"&gt;"&amp;$A125,実績!$AE$6:$AE$505,"○")&gt;0,1,0))</f>
        <v/>
      </c>
      <c r="AH125">
        <f>IF(AH$4=0,0,IF(COUNTIFS(実績!$W$6:$W$505,AH$3,実績!$AC$6:$AC$505,"&lt;="&amp;$A125,実績!$AD$6:$AD$505,"&gt;"&amp;$A125,実績!$AE$6:$AE$505,"○")&gt;0,1,0))</f>
        <v/>
      </c>
      <c r="AI125">
        <f>IF(AI$4=0,0,IF(COUNTIFS(実績!$W$6:$W$505,AI$3,実績!$AC$6:$AC$505,"&lt;="&amp;$A125,実績!$AD$6:$AD$505,"&gt;"&amp;$A125,実績!$AE$6:$AE$505,"○")&gt;0,1,0))</f>
        <v/>
      </c>
      <c r="AJ125">
        <f>IF(AJ$4=0,0,IF(COUNTIFS(実績!$W$6:$W$505,AJ$3,実績!$AC$6:$AC$505,"&lt;="&amp;$A125,実績!$AD$6:$AD$505,"&gt;"&amp;$A125,実績!$AE$6:$AE$505,"○")&gt;0,1,0))</f>
        <v/>
      </c>
      <c r="AK125">
        <f>IF(AK$4=0,0,IF(COUNTIFS(実績!$W$6:$W$505,AK$3,実績!$AC$6:$AC$505,"&lt;="&amp;$A125,実績!$AD$6:$AD$505,"&gt;"&amp;$A125,実績!$AE$6:$AE$505,"○")&gt;0,1,0))</f>
        <v/>
      </c>
      <c r="AL125">
        <f>IF(AL$4=0,0,IF(COUNTIFS(実績!$W$6:$W$505,AL$3,実績!$AC$6:$AC$505,"&lt;="&amp;$A125,実績!$AD$6:$AD$505,"&gt;"&amp;$A125,実績!$AE$6:$AE$505,"○")&gt;0,1,0))</f>
        <v/>
      </c>
      <c r="AM125">
        <f>IF(AM$4=0,0,IF(COUNTIFS(実績!$W$6:$W$505,AM$3,実績!$AC$6:$AC$505,"&lt;="&amp;$A125,実績!$AD$6:$AD$505,"&gt;"&amp;$A125,実績!$AE$6:$AE$505,"○")&gt;0,1,0))</f>
        <v/>
      </c>
      <c r="AN125">
        <f>IF(AN$4=0,0,IF(COUNTIFS(実績!$W$6:$W$505,AN$3,実績!$AC$6:$AC$505,"&lt;="&amp;$A125,実績!$AD$6:$AD$505,"&gt;"&amp;$A125,実績!$AE$6:$AE$505,"○")&gt;0,1,0))</f>
        <v/>
      </c>
      <c r="AO125">
        <f>IF(AO$4=0,0,IF(COUNTIFS(実績!$W$6:$W$505,AO$3,実績!$AC$6:$AC$505,"&lt;="&amp;$A125,実績!$AD$6:$AD$505,"&gt;"&amp;$A125,実績!$AE$6:$AE$505,"○")&gt;0,1,0))</f>
        <v/>
      </c>
      <c r="AP125">
        <f>IF(AP$4=0,0,IF(COUNTIFS(実績!$W$6:$W$505,AP$3,実績!$AC$6:$AC$505,"&lt;="&amp;$A125,実績!$AD$6:$AD$505,"&gt;"&amp;$A125,実績!$AE$6:$AE$505,"○")&gt;0,1,0))</f>
        <v/>
      </c>
      <c r="AQ125">
        <f>IF(AQ$4=0,0,IF(COUNTIFS(実績!$W$6:$W$505,AQ$3,実績!$AC$6:$AC$505,"&lt;="&amp;$A125,実績!$AD$6:$AD$505,"&gt;"&amp;$A125,実績!$AE$6:$AE$505,"○")&gt;0,1,0))</f>
        <v/>
      </c>
      <c r="AR125">
        <f>IF(AR$4=0,0,IF(COUNTIFS(実績!$W$6:$W$505,AR$3,実績!$AC$6:$AC$505,"&lt;="&amp;$A125,実績!$AD$6:$AD$505,"&gt;"&amp;$A125,実績!$AE$6:$AE$505,"○")&gt;0,1,0))</f>
        <v/>
      </c>
      <c r="AS125">
        <f>IF(AS$4=0,0,IF(COUNTIFS(実績!$W$6:$W$505,AS$3,実績!$AC$6:$AC$505,"&lt;="&amp;$A125,実績!$AD$6:$AD$505,"&gt;"&amp;$A125,実績!$AE$6:$AE$505,"○")&gt;0,1,0))</f>
        <v/>
      </c>
      <c r="AT125">
        <f>IF(AT$4=0,0,IF(COUNTIFS(実績!$W$6:$W$505,AT$3,実績!$AC$6:$AC$505,"&lt;="&amp;$A125,実績!$AD$6:$AD$505,"&gt;"&amp;$A125,実績!$AE$6:$AE$505,"○")&gt;0,1,0))</f>
        <v/>
      </c>
      <c r="AU125">
        <f>IF(AU$4=0,0,IF(COUNTIFS(実績!$W$6:$W$505,AU$3,実績!$AC$6:$AC$505,"&lt;="&amp;$A125,実績!$AD$6:$AD$505,"&gt;"&amp;$A125,実績!$AE$6:$AE$505,"○")&gt;0,1,0))</f>
        <v/>
      </c>
      <c r="AV125">
        <f>IF(AV$4=0,0,IF(COUNTIFS(実績!$W$6:$W$505,AV$3,実績!$AC$6:$AC$505,"&lt;="&amp;$A125,実績!$AD$6:$AD$505,"&gt;"&amp;$A125,実績!$AE$6:$AE$505,"○")&gt;0,1,0))</f>
        <v/>
      </c>
      <c r="AW125">
        <f>IF(AW$4=0,0,IF(COUNTIFS(実績!$W$6:$W$505,AW$3,実績!$AC$6:$AC$505,"&lt;="&amp;$A125,実績!$AD$6:$AD$505,"&gt;"&amp;$A125,実績!$AE$6:$AE$505,"○")&gt;0,1,0))</f>
        <v/>
      </c>
      <c r="AX125">
        <f>IF(AX$4=0,0,IF(COUNTIFS(実績!$W$6:$W$505,AX$3,実績!$AC$6:$AC$505,"&lt;="&amp;$A125,実績!$AD$6:$AD$505,"&gt;"&amp;$A125,実績!$AE$6:$AE$505,"○")&gt;0,1,0))</f>
        <v/>
      </c>
      <c r="AY125">
        <f>IF(AY$4=0,0,IF(COUNTIFS(実績!$W$6:$W$505,AY$3,実績!$AC$6:$AC$505,"&lt;="&amp;$A125,実績!$AD$6:$AD$505,"&gt;"&amp;$A125,実績!$AE$6:$AE$505,"○")&gt;0,1,0))</f>
        <v/>
      </c>
      <c r="AZ125">
        <f>IF(AZ$4=0,0,IF(COUNTIFS(実績!$W$6:$W$505,AZ$3,実績!$AC$6:$AC$505,"&lt;="&amp;$A125,実績!$AD$6:$AD$505,"&gt;"&amp;$A125,実績!$AE$6:$AE$505,"○")&gt;0,1,0))</f>
        <v/>
      </c>
      <c r="BA125">
        <f>IF(BA$4=0,0,IF(COUNTIFS(実績!$W$6:$W$505,BA$3,実績!$AC$6:$AC$505,"&lt;="&amp;$A125,実績!$AD$6:$AD$505,"&gt;"&amp;$A125,実績!$AE$6:$AE$505,"○")&gt;0,1,0))</f>
        <v/>
      </c>
      <c r="BB125">
        <f>IF(BB$4=0,0,IF(COUNTIFS(実績!$W$6:$W$505,BB$3,実績!$AC$6:$AC$505,"&lt;="&amp;$A125,実績!$AD$6:$AD$505,"&gt;"&amp;$A125,実績!$AE$6:$AE$505,"○")&gt;0,1,0))</f>
        <v/>
      </c>
      <c r="BC125">
        <f>IF(BC$4=0,0,IF(COUNTIFS(実績!$W$6:$W$505,BC$3,実績!$AC$6:$AC$505,"&lt;="&amp;$A125,実績!$AD$6:$AD$505,"&gt;"&amp;$A125,実績!$AE$6:$AE$505,"○")&gt;0,1,0))</f>
        <v/>
      </c>
      <c r="BD125">
        <f>IF(BD$4=0,0,IF(COUNTIFS(実績!$W$6:$W$505,BD$3,実績!$AC$6:$AC$505,"&lt;="&amp;$A125,実績!$AD$6:$AD$505,"&gt;"&amp;$A125,実績!$AE$6:$AE$505,"○")&gt;0,1,0))</f>
        <v/>
      </c>
      <c r="BE125">
        <f>IF(BE$4=0,0,IF(COUNTIFS(実績!$W$6:$W$505,BE$3,実績!$AC$6:$AC$505,"&lt;="&amp;$A125,実績!$AD$6:$AD$505,"&gt;"&amp;$A125,実績!$AE$6:$AE$505,"○")&gt;0,1,0))</f>
        <v/>
      </c>
      <c r="BF125">
        <f>IF(BF$4=0,0,IF(COUNTIFS(実績!$W$6:$W$505,BF$3,実績!$AC$6:$AC$505,"&lt;="&amp;$A125,実績!$AD$6:$AD$505,"&gt;"&amp;$A125,実績!$AE$6:$AE$505,"○")&gt;0,1,0))</f>
        <v/>
      </c>
      <c r="BG125">
        <f>IF(BG$4=0,0,IF(COUNTIFS(実績!$W$6:$W$505,BG$3,実績!$AC$6:$AC$505,"&lt;="&amp;$A125,実績!$AD$6:$AD$505,"&gt;"&amp;$A125,実績!$AE$6:$AE$505,"○")&gt;0,1,0))</f>
        <v/>
      </c>
      <c r="BH125">
        <f>IF(BH$4=0,0,IF(COUNTIFS(実績!$W$6:$W$505,BH$3,実績!$AC$6:$AC$505,"&lt;="&amp;$A125,実績!$AD$6:$AD$505,"&gt;"&amp;$A125,実績!$AE$6:$AE$505,"○")&gt;0,1,0))</f>
        <v/>
      </c>
      <c r="BI125">
        <f>IF(BI$4=0,0,IF(COUNTIFS(実績!$W$6:$W$505,BI$3,実績!$AC$6:$AC$505,"&lt;="&amp;$A125,実績!$AD$6:$AD$505,"&gt;"&amp;$A125,実績!$AE$6:$AE$505,"○")&gt;0,1,0))</f>
        <v/>
      </c>
      <c r="BJ125">
        <f>IF(BJ$4=0,0,IF(COUNTIFS(実績!$W$6:$W$505,BJ$3,実績!$AC$6:$AC$505,"&lt;="&amp;$A125,実績!$AD$6:$AD$505,"&gt;"&amp;$A125,実績!$AE$6:$AE$505,"○")&gt;0,1,0))</f>
        <v/>
      </c>
      <c r="BK125">
        <f>IF(BK$4=0,0,IF(COUNTIFS(実績!$W$6:$W$505,BK$3,実績!$AC$6:$AC$505,"&lt;="&amp;$A125,実績!$AD$6:$AD$505,"&gt;"&amp;$A125,実績!$AE$6:$AE$505,"○")&gt;0,1,0))</f>
        <v/>
      </c>
      <c r="BL125">
        <f>IF(BL$4=0,0,IF(COUNTIFS(実績!$W$6:$W$505,BL$3,実績!$AC$6:$AC$505,"&lt;="&amp;$A125,実績!$AD$6:$AD$505,"&gt;"&amp;$A125,実績!$AE$6:$AE$505,"○")&gt;0,1,0))</f>
        <v/>
      </c>
      <c r="BM125">
        <f>IF(BM$4=0,0,IF(COUNTIFS(実績!$W$6:$W$505,BM$3,実績!$AC$6:$AC$505,"&lt;="&amp;$A125,実績!$AD$6:$AD$505,"&gt;"&amp;$A125,実績!$AE$6:$AE$505,"○")&gt;0,1,0))</f>
        <v/>
      </c>
      <c r="BN125">
        <f>IF(BN$4=0,0,IF(COUNTIFS(実績!$W$6:$W$505,BN$3,実績!$AC$6:$AC$505,"&lt;="&amp;$A125,実績!$AD$6:$AD$505,"&gt;"&amp;$A125,実績!$AE$6:$AE$505,"○")&gt;0,1,0))</f>
        <v/>
      </c>
      <c r="BO125">
        <f>IF(BO$4=0,0,IF(COUNTIFS(実績!$W$6:$W$505,BO$3,実績!$AC$6:$AC$505,"&lt;="&amp;$A125,実績!$AD$6:$AD$505,"&gt;"&amp;$A125,実績!$AE$6:$AE$505,"○")&gt;0,1,0))</f>
        <v/>
      </c>
      <c r="BP125">
        <f>IF(BP$4=0,0,IF(COUNTIFS(実績!$W$6:$W$505,BP$3,実績!$AC$6:$AC$505,"&lt;="&amp;$A125,実績!$AD$6:$AD$505,"&gt;"&amp;$A125,実績!$AE$6:$AE$505,"○")&gt;0,1,0))</f>
        <v/>
      </c>
      <c r="BQ125">
        <f>IF(BQ$4=0,0,IF(COUNTIFS(実績!$W$6:$W$505,BQ$3,実績!$AC$6:$AC$505,"&lt;="&amp;$A125,実績!$AD$6:$AD$505,"&gt;"&amp;$A125,実績!$AE$6:$AE$505,"○")&gt;0,1,0))</f>
        <v/>
      </c>
      <c r="BR125">
        <f>IF(BR$4=0,0,IF(COUNTIFS(実績!$W$6:$W$505,BR$3,実績!$AC$6:$AC$505,"&lt;="&amp;$A125,実績!$AD$6:$AD$505,"&gt;"&amp;$A125,実績!$AE$6:$AE$505,"○")&gt;0,1,0))</f>
        <v/>
      </c>
      <c r="BS125">
        <f>IF(BS$4=0,0,IF(COUNTIFS(実績!$W$6:$W$505,BS$3,実績!$AC$6:$AC$505,"&lt;="&amp;$A125,実績!$AD$6:$AD$505,"&gt;"&amp;$A125,実績!$AE$6:$AE$505,"○")&gt;0,1,0))</f>
        <v/>
      </c>
      <c r="BT125">
        <f>IF(BT$4=0,0,IF(COUNTIFS(実績!$W$6:$W$505,BT$3,実績!$AC$6:$AC$505,"&lt;="&amp;$A125,実績!$AD$6:$AD$505,"&gt;"&amp;$A125,実績!$AE$6:$AE$505,"○")&gt;0,1,0))</f>
        <v/>
      </c>
      <c r="BU125">
        <f>IF(BU$4=0,0,IF(COUNTIFS(実績!$W$6:$W$505,BU$3,実績!$AC$6:$AC$505,"&lt;="&amp;$A125,実績!$AD$6:$AD$505,"&gt;"&amp;$A125,実績!$AE$6:$AE$505,"○")&gt;0,1,0))</f>
        <v/>
      </c>
      <c r="BV125">
        <f>IF(BV$4=0,0,IF(COUNTIFS(実績!$W$6:$W$505,BV$3,実績!$AC$6:$AC$505,"&lt;="&amp;$A125,実績!$AD$6:$AD$505,"&gt;"&amp;$A125,実績!$AE$6:$AE$505,"○")&gt;0,1,0))</f>
        <v/>
      </c>
      <c r="BW125">
        <f>IF(BW$4=0,0,IF(COUNTIFS(実績!$W$6:$W$505,BW$3,実績!$AC$6:$AC$505,"&lt;="&amp;$A125,実績!$AD$6:$AD$505,"&gt;"&amp;$A125,実績!$AE$6:$AE$505,"○")&gt;0,1,0))</f>
        <v/>
      </c>
      <c r="BX125">
        <f>IF(BX$4=0,0,IF(COUNTIFS(実績!$W$6:$W$505,BX$3,実績!$AC$6:$AC$505,"&lt;="&amp;$A125,実績!$AD$6:$AD$505,"&gt;"&amp;$A125,実績!$AE$6:$AE$505,"○")&gt;0,1,0))</f>
        <v/>
      </c>
      <c r="BY125">
        <f>IF(BY$4=0,0,IF(COUNTIFS(実績!$W$6:$W$505,BY$3,実績!$AC$6:$AC$505,"&lt;="&amp;$A125,実績!$AD$6:$AD$505,"&gt;"&amp;$A125,実績!$AE$6:$AE$505,"○")&gt;0,1,0))</f>
        <v/>
      </c>
      <c r="BZ125">
        <f>IF(BZ$4=0,0,IF(COUNTIFS(実績!$W$6:$W$505,BZ$3,実績!$AC$6:$AC$505,"&lt;="&amp;$A125,実績!$AD$6:$AD$505,"&gt;"&amp;$A125,実績!$AE$6:$AE$505,"○")&gt;0,1,0))</f>
        <v/>
      </c>
      <c r="CA125">
        <f>IF(CA$4=0,0,IF(COUNTIFS(実績!$W$6:$W$505,CA$3,実績!$AC$6:$AC$505,"&lt;="&amp;$A125,実績!$AD$6:$AD$505,"&gt;"&amp;$A125,実績!$AE$6:$AE$505,"○")&gt;0,1,0))</f>
        <v/>
      </c>
      <c r="CB125">
        <f>IF(CB$4=0,0,IF(COUNTIFS(実績!$W$6:$W$505,CB$3,実績!$AC$6:$AC$505,"&lt;="&amp;$A125,実績!$AD$6:$AD$505,"&gt;"&amp;$A125,実績!$AE$6:$AE$505,"○")&gt;0,1,0))</f>
        <v/>
      </c>
      <c r="CC125">
        <f>IF(CC$4=0,0,IF(COUNTIFS(実績!$W$6:$W$505,CC$3,実績!$AC$6:$AC$505,"&lt;="&amp;$A125,実績!$AD$6:$AD$505,"&gt;"&amp;$A125,実績!$AE$6:$AE$505,"○")&gt;0,1,0))</f>
        <v/>
      </c>
      <c r="CD125">
        <f>IF(CD$4=0,0,IF(COUNTIFS(実績!$W$6:$W$505,CD$3,実績!$AC$6:$AC$505,"&lt;="&amp;$A125,実績!$AD$6:$AD$505,"&gt;"&amp;$A125,実績!$AE$6:$AE$505,"○")&gt;0,1,0))</f>
        <v/>
      </c>
      <c r="CE125">
        <f>IF(CE$4=0,0,IF(COUNTIFS(実績!$W$6:$W$505,CE$3,実績!$AC$6:$AC$505,"&lt;="&amp;$A125,実績!$AD$6:$AD$505,"&gt;"&amp;$A125,実績!$AE$6:$AE$505,"○")&gt;0,1,0))</f>
        <v/>
      </c>
      <c r="CF125">
        <f>IF(CF$4=0,0,IF(COUNTIFS(実績!$W$6:$W$505,CF$3,実績!$AC$6:$AC$505,"&lt;="&amp;$A125,実績!$AD$6:$AD$505,"&gt;"&amp;$A125,実績!$AE$6:$AE$505,"○")&gt;0,1,0))</f>
        <v/>
      </c>
      <c r="CG125">
        <f>IF(CG$4=0,0,IF(COUNTIFS(実績!$W$6:$W$505,CG$3,実績!$AC$6:$AC$505,"&lt;="&amp;$A125,実績!$AD$6:$AD$505,"&gt;"&amp;$A125,実績!$AE$6:$AE$505,"○")&gt;0,1,0))</f>
        <v/>
      </c>
      <c r="CH125">
        <f>IF(CH$4=0,0,IF(COUNTIFS(実績!$W$6:$W$505,CH$3,実績!$AC$6:$AC$505,"&lt;="&amp;$A125,実績!$AD$6:$AD$505,"&gt;"&amp;$A125,実績!$AE$6:$AE$505,"○")&gt;0,1,0))</f>
        <v/>
      </c>
      <c r="CI125">
        <f>IF(CI$4=0,0,IF(COUNTIFS(実績!$W$6:$W$505,CI$3,実績!$AC$6:$AC$505,"&lt;="&amp;$A125,実績!$AD$6:$AD$505,"&gt;"&amp;$A125,実績!$AE$6:$AE$505,"○")&gt;0,1,0))</f>
        <v/>
      </c>
      <c r="CJ125">
        <f>IF(CJ$4=0,0,IF(COUNTIFS(実績!$W$6:$W$505,CJ$3,実績!$AC$6:$AC$505,"&lt;="&amp;$A125,実績!$AD$6:$AD$505,"&gt;"&amp;$A125,実績!$AE$6:$AE$505,"○")&gt;0,1,0))</f>
        <v/>
      </c>
      <c r="CK125">
        <f>IF(CK$4=0,0,IF(COUNTIFS(実績!$W$6:$W$505,CK$3,実績!$AC$6:$AC$505,"&lt;="&amp;$A125,実績!$AD$6:$AD$505,"&gt;"&amp;$A125,実績!$AE$6:$AE$505,"○")&gt;0,1,0))</f>
        <v/>
      </c>
      <c r="CL125">
        <f>IF(CL$4=0,0,IF(COUNTIFS(実績!$W$6:$W$505,CL$3,実績!$AC$6:$AC$505,"&lt;="&amp;$A125,実績!$AD$6:$AD$505,"&gt;"&amp;$A125,実績!$AE$6:$AE$505,"○")&gt;0,1,0))</f>
        <v/>
      </c>
      <c r="CM125">
        <f>IF(CM$4=0,0,IF(COUNTIFS(実績!$W$6:$W$505,CM$3,実績!$AC$6:$AC$505,"&lt;="&amp;$A125,実績!$AD$6:$AD$505,"&gt;"&amp;$A125,実績!$AE$6:$AE$505,"○")&gt;0,1,0))</f>
        <v/>
      </c>
      <c r="CN125">
        <f>IF(CN$4=0,0,IF(COUNTIFS(実績!$W$6:$W$505,CN$3,実績!$AC$6:$AC$505,"&lt;="&amp;$A125,実績!$AD$6:$AD$505,"&gt;"&amp;$A125,実績!$AE$6:$AE$505,"○")&gt;0,1,0))</f>
        <v/>
      </c>
      <c r="CO125">
        <f>IF(CO$4=0,0,IF(COUNTIFS(実績!$W$6:$W$505,CO$3,実績!$AC$6:$AC$505,"&lt;="&amp;$A125,実績!$AD$6:$AD$505,"&gt;"&amp;$A125,実績!$AE$6:$AE$505,"○")&gt;0,1,0))</f>
        <v/>
      </c>
      <c r="CP125">
        <f>IF(CP$4=0,0,IF(COUNTIFS(実績!$W$6:$W$505,CP$3,実績!$AC$6:$AC$505,"&lt;="&amp;$A125,実績!$AD$6:$AD$505,"&gt;"&amp;$A125,実績!$AE$6:$AE$505,"○")&gt;0,1,0))</f>
        <v/>
      </c>
      <c r="CQ125">
        <f>IF(CQ$4=0,0,IF(COUNTIFS(実績!$W$6:$W$505,CQ$3,実績!$AC$6:$AC$505,"&lt;="&amp;$A125,実績!$AD$6:$AD$505,"&gt;"&amp;$A125,実績!$AE$6:$AE$505,"○")&gt;0,1,0))</f>
        <v/>
      </c>
      <c r="CR125">
        <f>IF(CR$4=0,0,IF(COUNTIFS(実績!$W$6:$W$505,CR$3,実績!$AC$6:$AC$505,"&lt;="&amp;$A125,実績!$AD$6:$AD$505,"&gt;"&amp;$A125,実績!$AE$6:$AE$505,"○")&gt;0,1,0))</f>
        <v/>
      </c>
      <c r="CS125">
        <f>IF(CS$4=0,0,IF(COUNTIFS(実績!$W$6:$W$505,CS$3,実績!$AC$6:$AC$505,"&lt;="&amp;$A125,実績!$AD$6:$AD$505,"&gt;"&amp;$A125,実績!$AE$6:$AE$505,"○")&gt;0,1,0))</f>
        <v/>
      </c>
      <c r="CT125">
        <f>IF(CT$4=0,0,IF(COUNTIFS(実績!$W$6:$W$505,CT$3,実績!$AC$6:$AC$505,"&lt;="&amp;$A125,実績!$AD$6:$AD$505,"&gt;"&amp;$A125,実績!$AE$6:$AE$505,"○")&gt;0,1,0))</f>
        <v/>
      </c>
      <c r="CU125">
        <f>IF(CU$4=0,0,IF(COUNTIFS(実績!$W$6:$W$505,CU$3,実績!$AC$6:$AC$505,"&lt;="&amp;$A125,実績!$AD$6:$AD$505,"&gt;"&amp;$A125,実績!$AE$6:$AE$505,"○")&gt;0,1,0))</f>
        <v/>
      </c>
      <c r="CV125">
        <f>IF(CV$4=0,0,IF(COUNTIFS(実績!$W$6:$W$505,CV$3,実績!$AC$6:$AC$505,"&lt;="&amp;$A125,実績!$AD$6:$AD$505,"&gt;"&amp;$A125,実績!$AE$6:$AE$505,"○")&gt;0,1,0))</f>
        <v/>
      </c>
      <c r="CW125">
        <f>IF(CW$4=0,0,IF(COUNTIFS(実績!$W$6:$W$505,CW$3,実績!$AC$6:$AC$505,"&lt;="&amp;$A125,実績!$AD$6:$AD$505,"&gt;"&amp;$A125,実績!$AE$6:$AE$505,"○")&gt;0,1,0))</f>
        <v/>
      </c>
      <c r="CX125">
        <f>IF(CX$4=0,0,IF(COUNTIFS(実績!$W$6:$W$505,CX$3,実績!$AC$6:$AC$505,"&lt;="&amp;$A125,実績!$AD$6:$AD$505,"&gt;"&amp;$A125,実績!$AE$6:$AE$505,"○")&gt;0,1,0))</f>
        <v/>
      </c>
      <c r="CY125">
        <f>IF(CY$4=0,0,IF(COUNTIFS(実績!$W$6:$W$505,CY$3,実績!$AC$6:$AC$505,"&lt;="&amp;$A125,実績!$AD$6:$AD$505,"&gt;"&amp;$A125,実績!$AE$6:$AE$505,"○")&gt;0,1,0))</f>
        <v/>
      </c>
      <c r="CZ125">
        <f>IF(CZ$4=0,0,IF(COUNTIFS(実績!$W$6:$W$505,CZ$3,実績!$AC$6:$AC$505,"&lt;="&amp;$A125,実績!$AD$6:$AD$505,"&gt;"&amp;$A125,実績!$AE$6:$AE$505,"○")&gt;0,1,0))</f>
        <v/>
      </c>
      <c r="DA125">
        <f>IF(DA$4=0,0,IF(COUNTIFS(実績!$W$6:$W$505,DA$3,実績!$AC$6:$AC$505,"&lt;="&amp;$A125,実績!$AD$6:$AD$505,"&gt;"&amp;$A125,実績!$AE$6:$AE$505,"○")&gt;0,1,0))</f>
        <v/>
      </c>
      <c r="DB125">
        <f>IF(DB$4=0,0,IF(COUNTIFS(実績!$W$6:$W$505,DB$3,実績!$AC$6:$AC$505,"&lt;="&amp;$A125,実績!$AD$6:$AD$505,"&gt;"&amp;$A125,実績!$AE$6:$AE$505,"○")&gt;0,1,0))</f>
        <v/>
      </c>
      <c r="DC125">
        <f>IF(DC$4=0,0,IF(COUNTIFS(実績!$W$6:$W$505,DC$3,実績!$AC$6:$AC$505,"&lt;="&amp;$A125,実績!$AD$6:$AD$505,"&gt;"&amp;$A125,実績!$AE$6:$AE$505,"○")&gt;0,1,0))</f>
        <v/>
      </c>
      <c r="DD125">
        <f>IF(DD$4=0,0,IF(COUNTIFS(実績!$W$6:$W$505,DD$3,実績!$AC$6:$AC$505,"&lt;="&amp;$A125,実績!$AD$6:$AD$505,"&gt;"&amp;$A125,実績!$AE$6:$AE$505,"○")&gt;0,1,0))</f>
        <v/>
      </c>
      <c r="DE125">
        <f>IF(DE$4=0,0,IF(COUNTIFS(実績!$W$6:$W$505,DE$3,実績!$AC$6:$AC$505,"&lt;="&amp;$A125,実績!$AD$6:$AD$505,"&gt;"&amp;$A125,実績!$AE$6:$AE$505,"○")&gt;0,1,0))</f>
        <v/>
      </c>
      <c r="DF125">
        <f>IF(DF$4=0,0,IF(COUNTIFS(実績!$W$6:$W$505,DF$3,実績!$AC$6:$AC$505,"&lt;="&amp;$A125,実績!$AD$6:$AD$505,"&gt;"&amp;$A125,実績!$AE$6:$AE$505,"○")&gt;0,1,0))</f>
        <v/>
      </c>
      <c r="DG125">
        <f>IF(DG$4=0,0,IF(COUNTIFS(実績!$W$6:$W$505,DG$3,実績!$AC$6:$AC$505,"&lt;="&amp;$A125,実績!$AD$6:$AD$505,"&gt;"&amp;$A125,実績!$AE$6:$AE$505,"○")&gt;0,1,0))</f>
        <v/>
      </c>
      <c r="DH125">
        <f>IF(DH$4=0,0,IF(COUNTIFS(実績!$W$6:$W$505,DH$3,実績!$AC$6:$AC$505,"&lt;="&amp;$A125,実績!$AD$6:$AD$505,"&gt;"&amp;$A125,実績!$AE$6:$AE$505,"○")&gt;0,1,0))</f>
        <v/>
      </c>
      <c r="DI125">
        <f>IF(DI$4=0,0,IF(COUNTIFS(実績!$W$6:$W$505,DI$3,実績!$AC$6:$AC$505,"&lt;="&amp;$A125,実績!$AD$6:$AD$505,"&gt;"&amp;$A125,実績!$AE$6:$AE$505,"○")&gt;0,1,0))</f>
        <v/>
      </c>
      <c r="DJ125">
        <f>IF(DJ$4=0,0,IF(COUNTIFS(実績!$W$6:$W$505,DJ$3,実績!$AC$6:$AC$505,"&lt;="&amp;$A125,実績!$AD$6:$AD$505,"&gt;"&amp;$A125,実績!$AE$6:$AE$505,"○")&gt;0,1,0))</f>
        <v/>
      </c>
      <c r="DK125">
        <f>IF(DK$4=0,0,IF(COUNTIFS(実績!$W$6:$W$505,DK$3,実績!$AC$6:$AC$505,"&lt;="&amp;$A125,実績!$AD$6:$AD$505,"&gt;"&amp;$A125,実績!$AE$6:$AE$505,"○")&gt;0,1,0))</f>
        <v/>
      </c>
      <c r="DL125">
        <f>IF(DL$4=0,0,IF(COUNTIFS(実績!$W$6:$W$505,DL$3,実績!$AC$6:$AC$505,"&lt;="&amp;$A125,実績!$AD$6:$AD$505,"&gt;"&amp;$A125,実績!$AE$6:$AE$505,"○")&gt;0,1,0))</f>
        <v/>
      </c>
      <c r="DM125">
        <f>IF(DM$4=0,0,IF(COUNTIFS(実績!$W$6:$W$505,DM$3,実績!$AC$6:$AC$505,"&lt;="&amp;$A125,実績!$AD$6:$AD$505,"&gt;"&amp;$A125,実績!$AE$6:$AE$505,"○")&gt;0,1,0))</f>
        <v/>
      </c>
      <c r="DN125">
        <f>IF(DN$4=0,0,IF(COUNTIFS(実績!$W$6:$W$505,DN$3,実績!$AC$6:$AC$505,"&lt;="&amp;$A125,実績!$AD$6:$AD$505,"&gt;"&amp;$A125,実績!$AE$6:$AE$505,"○")&gt;0,1,0))</f>
        <v/>
      </c>
      <c r="DO125">
        <f>IF(DO$4=0,0,IF(COUNTIFS(実績!$W$6:$W$505,DO$3,実績!$AC$6:$AC$505,"&lt;="&amp;$A125,実績!$AD$6:$AD$505,"&gt;"&amp;$A125,実績!$AE$6:$AE$505,"○")&gt;0,1,0))</f>
        <v/>
      </c>
      <c r="DP125">
        <f>IF(DP$4=0,0,IF(COUNTIFS(実績!$W$6:$W$505,DP$3,実績!$AC$6:$AC$505,"&lt;="&amp;$A125,実績!$AD$6:$AD$505,"&gt;"&amp;$A125,実績!$AE$6:$AE$505,"○")&gt;0,1,0))</f>
        <v/>
      </c>
      <c r="DQ125">
        <f>IF(DQ$4=0,0,IF(COUNTIFS(実績!$W$6:$W$505,DQ$3,実績!$AC$6:$AC$505,"&lt;="&amp;$A125,実績!$AD$6:$AD$505,"&gt;"&amp;$A125,実績!$AE$6:$AE$505,"○")&gt;0,1,0))</f>
        <v/>
      </c>
      <c r="DR125">
        <f>IF(DR$4=0,0,IF(COUNTIFS(実績!$W$6:$W$505,DR$3,実績!$AC$6:$AC$505,"&lt;="&amp;$A125,実績!$AD$6:$AD$505,"&gt;"&amp;$A125,実績!$AE$6:$AE$505,"○")&gt;0,1,0))</f>
        <v/>
      </c>
      <c r="DS125">
        <f>SUM(C125:DR125)</f>
        <v/>
      </c>
      <c r="DT125">
        <f>SUMPRODUCT((実績!$C$6:$C$505="○")*ISNUMBER(実績!$AF$6:$AF$505)*(実績!$AF$6:$AF$505&lt;=$A125)*(実績!$AG$6:$AG$505&gt;$A125))</f>
        <v/>
      </c>
      <c r="DU125">
        <f>SUMIF($C$2:$DR$2,"製鉄曳船",C125:DR125)</f>
        <v/>
      </c>
      <c r="DV125">
        <f>SUMIF($C$2:$DR$2,"西日本海運",C125:DR125)</f>
        <v/>
      </c>
    </row>
    <row r="126">
      <c r="A126" t="n">
        <v>600</v>
      </c>
      <c r="B126" s="29">
        <f>A126/1440</f>
        <v/>
      </c>
      <c r="C126">
        <f>IF(C$4=0,0,IF(COUNTIFS(実績!$W$6:$W$505,C$3,実績!$AC$6:$AC$505,"&lt;="&amp;$A126,実績!$AD$6:$AD$505,"&gt;"&amp;$A126,実績!$AE$6:$AE$505,"○")&gt;0,1,0))</f>
        <v/>
      </c>
      <c r="D126">
        <f>IF(D$4=0,0,IF(COUNTIFS(実績!$W$6:$W$505,D$3,実績!$AC$6:$AC$505,"&lt;="&amp;$A126,実績!$AD$6:$AD$505,"&gt;"&amp;$A126,実績!$AE$6:$AE$505,"○")&gt;0,1,0))</f>
        <v/>
      </c>
      <c r="E126">
        <f>IF(E$4=0,0,IF(COUNTIFS(実績!$W$6:$W$505,E$3,実績!$AC$6:$AC$505,"&lt;="&amp;$A126,実績!$AD$6:$AD$505,"&gt;"&amp;$A126,実績!$AE$6:$AE$505,"○")&gt;0,1,0))</f>
        <v/>
      </c>
      <c r="F126">
        <f>IF(F$4=0,0,IF(COUNTIFS(実績!$W$6:$W$505,F$3,実績!$AC$6:$AC$505,"&lt;="&amp;$A126,実績!$AD$6:$AD$505,"&gt;"&amp;$A126,実績!$AE$6:$AE$505,"○")&gt;0,1,0))</f>
        <v/>
      </c>
      <c r="G126">
        <f>IF(G$4=0,0,IF(COUNTIFS(実績!$W$6:$W$505,G$3,実績!$AC$6:$AC$505,"&lt;="&amp;$A126,実績!$AD$6:$AD$505,"&gt;"&amp;$A126,実績!$AE$6:$AE$505,"○")&gt;0,1,0))</f>
        <v/>
      </c>
      <c r="H126">
        <f>IF(H$4=0,0,IF(COUNTIFS(実績!$W$6:$W$505,H$3,実績!$AC$6:$AC$505,"&lt;="&amp;$A126,実績!$AD$6:$AD$505,"&gt;"&amp;$A126,実績!$AE$6:$AE$505,"○")&gt;0,1,0))</f>
        <v/>
      </c>
      <c r="I126">
        <f>IF(I$4=0,0,IF(COUNTIFS(実績!$W$6:$W$505,I$3,実績!$AC$6:$AC$505,"&lt;="&amp;$A126,実績!$AD$6:$AD$505,"&gt;"&amp;$A126,実績!$AE$6:$AE$505,"○")&gt;0,1,0))</f>
        <v/>
      </c>
      <c r="J126">
        <f>IF(J$4=0,0,IF(COUNTIFS(実績!$W$6:$W$505,J$3,実績!$AC$6:$AC$505,"&lt;="&amp;$A126,実績!$AD$6:$AD$505,"&gt;"&amp;$A126,実績!$AE$6:$AE$505,"○")&gt;0,1,0))</f>
        <v/>
      </c>
      <c r="K126">
        <f>IF(K$4=0,0,IF(COUNTIFS(実績!$W$6:$W$505,K$3,実績!$AC$6:$AC$505,"&lt;="&amp;$A126,実績!$AD$6:$AD$505,"&gt;"&amp;$A126,実績!$AE$6:$AE$505,"○")&gt;0,1,0))</f>
        <v/>
      </c>
      <c r="L126">
        <f>IF(L$4=0,0,IF(COUNTIFS(実績!$W$6:$W$505,L$3,実績!$AC$6:$AC$505,"&lt;="&amp;$A126,実績!$AD$6:$AD$505,"&gt;"&amp;$A126,実績!$AE$6:$AE$505,"○")&gt;0,1,0))</f>
        <v/>
      </c>
      <c r="M126">
        <f>IF(M$4=0,0,IF(COUNTIFS(実績!$W$6:$W$505,M$3,実績!$AC$6:$AC$505,"&lt;="&amp;$A126,実績!$AD$6:$AD$505,"&gt;"&amp;$A126,実績!$AE$6:$AE$505,"○")&gt;0,1,0))</f>
        <v/>
      </c>
      <c r="N126">
        <f>IF(N$4=0,0,IF(COUNTIFS(実績!$W$6:$W$505,N$3,実績!$AC$6:$AC$505,"&lt;="&amp;$A126,実績!$AD$6:$AD$505,"&gt;"&amp;$A126,実績!$AE$6:$AE$505,"○")&gt;0,1,0))</f>
        <v/>
      </c>
      <c r="O126">
        <f>IF(O$4=0,0,IF(COUNTIFS(実績!$W$6:$W$505,O$3,実績!$AC$6:$AC$505,"&lt;="&amp;$A126,実績!$AD$6:$AD$505,"&gt;"&amp;$A126,実績!$AE$6:$AE$505,"○")&gt;0,1,0))</f>
        <v/>
      </c>
      <c r="P126">
        <f>IF(P$4=0,0,IF(COUNTIFS(実績!$W$6:$W$505,P$3,実績!$AC$6:$AC$505,"&lt;="&amp;$A126,実績!$AD$6:$AD$505,"&gt;"&amp;$A126,実績!$AE$6:$AE$505,"○")&gt;0,1,0))</f>
        <v/>
      </c>
      <c r="Q126">
        <f>IF(Q$4=0,0,IF(COUNTIFS(実績!$W$6:$W$505,Q$3,実績!$AC$6:$AC$505,"&lt;="&amp;$A126,実績!$AD$6:$AD$505,"&gt;"&amp;$A126,実績!$AE$6:$AE$505,"○")&gt;0,1,0))</f>
        <v/>
      </c>
      <c r="R126">
        <f>IF(R$4=0,0,IF(COUNTIFS(実績!$W$6:$W$505,R$3,実績!$AC$6:$AC$505,"&lt;="&amp;$A126,実績!$AD$6:$AD$505,"&gt;"&amp;$A126,実績!$AE$6:$AE$505,"○")&gt;0,1,0))</f>
        <v/>
      </c>
      <c r="S126">
        <f>IF(S$4=0,0,IF(COUNTIFS(実績!$W$6:$W$505,S$3,実績!$AC$6:$AC$505,"&lt;="&amp;$A126,実績!$AD$6:$AD$505,"&gt;"&amp;$A126,実績!$AE$6:$AE$505,"○")&gt;0,1,0))</f>
        <v/>
      </c>
      <c r="T126">
        <f>IF(T$4=0,0,IF(COUNTIFS(実績!$W$6:$W$505,T$3,実績!$AC$6:$AC$505,"&lt;="&amp;$A126,実績!$AD$6:$AD$505,"&gt;"&amp;$A126,実績!$AE$6:$AE$505,"○")&gt;0,1,0))</f>
        <v/>
      </c>
      <c r="U126">
        <f>IF(U$4=0,0,IF(COUNTIFS(実績!$W$6:$W$505,U$3,実績!$AC$6:$AC$505,"&lt;="&amp;$A126,実績!$AD$6:$AD$505,"&gt;"&amp;$A126,実績!$AE$6:$AE$505,"○")&gt;0,1,0))</f>
        <v/>
      </c>
      <c r="V126">
        <f>IF(V$4=0,0,IF(COUNTIFS(実績!$W$6:$W$505,V$3,実績!$AC$6:$AC$505,"&lt;="&amp;$A126,実績!$AD$6:$AD$505,"&gt;"&amp;$A126,実績!$AE$6:$AE$505,"○")&gt;0,1,0))</f>
        <v/>
      </c>
      <c r="W126">
        <f>IF(W$4=0,0,IF(COUNTIFS(実績!$W$6:$W$505,W$3,実績!$AC$6:$AC$505,"&lt;="&amp;$A126,実績!$AD$6:$AD$505,"&gt;"&amp;$A126,実績!$AE$6:$AE$505,"○")&gt;0,1,0))</f>
        <v/>
      </c>
      <c r="X126">
        <f>IF(X$4=0,0,IF(COUNTIFS(実績!$W$6:$W$505,X$3,実績!$AC$6:$AC$505,"&lt;="&amp;$A126,実績!$AD$6:$AD$505,"&gt;"&amp;$A126,実績!$AE$6:$AE$505,"○")&gt;0,1,0))</f>
        <v/>
      </c>
      <c r="Y126">
        <f>IF(Y$4=0,0,IF(COUNTIFS(実績!$W$6:$W$505,Y$3,実績!$AC$6:$AC$505,"&lt;="&amp;$A126,実績!$AD$6:$AD$505,"&gt;"&amp;$A126,実績!$AE$6:$AE$505,"○")&gt;0,1,0))</f>
        <v/>
      </c>
      <c r="Z126">
        <f>IF(Z$4=0,0,IF(COUNTIFS(実績!$W$6:$W$505,Z$3,実績!$AC$6:$AC$505,"&lt;="&amp;$A126,実績!$AD$6:$AD$505,"&gt;"&amp;$A126,実績!$AE$6:$AE$505,"○")&gt;0,1,0))</f>
        <v/>
      </c>
      <c r="AA126">
        <f>IF(AA$4=0,0,IF(COUNTIFS(実績!$W$6:$W$505,AA$3,実績!$AC$6:$AC$505,"&lt;="&amp;$A126,実績!$AD$6:$AD$505,"&gt;"&amp;$A126,実績!$AE$6:$AE$505,"○")&gt;0,1,0))</f>
        <v/>
      </c>
      <c r="AB126">
        <f>IF(AB$4=0,0,IF(COUNTIFS(実績!$W$6:$W$505,AB$3,実績!$AC$6:$AC$505,"&lt;="&amp;$A126,実績!$AD$6:$AD$505,"&gt;"&amp;$A126,実績!$AE$6:$AE$505,"○")&gt;0,1,0))</f>
        <v/>
      </c>
      <c r="AC126">
        <f>IF(AC$4=0,0,IF(COUNTIFS(実績!$W$6:$W$505,AC$3,実績!$AC$6:$AC$505,"&lt;="&amp;$A126,実績!$AD$6:$AD$505,"&gt;"&amp;$A126,実績!$AE$6:$AE$505,"○")&gt;0,1,0))</f>
        <v/>
      </c>
      <c r="AD126">
        <f>IF(AD$4=0,0,IF(COUNTIFS(実績!$W$6:$W$505,AD$3,実績!$AC$6:$AC$505,"&lt;="&amp;$A126,実績!$AD$6:$AD$505,"&gt;"&amp;$A126,実績!$AE$6:$AE$505,"○")&gt;0,1,0))</f>
        <v/>
      </c>
      <c r="AE126">
        <f>IF(AE$4=0,0,IF(COUNTIFS(実績!$W$6:$W$505,AE$3,実績!$AC$6:$AC$505,"&lt;="&amp;$A126,実績!$AD$6:$AD$505,"&gt;"&amp;$A126,実績!$AE$6:$AE$505,"○")&gt;0,1,0))</f>
        <v/>
      </c>
      <c r="AF126">
        <f>IF(AF$4=0,0,IF(COUNTIFS(実績!$W$6:$W$505,AF$3,実績!$AC$6:$AC$505,"&lt;="&amp;$A126,実績!$AD$6:$AD$505,"&gt;"&amp;$A126,実績!$AE$6:$AE$505,"○")&gt;0,1,0))</f>
        <v/>
      </c>
      <c r="AG126">
        <f>IF(AG$4=0,0,IF(COUNTIFS(実績!$W$6:$W$505,AG$3,実績!$AC$6:$AC$505,"&lt;="&amp;$A126,実績!$AD$6:$AD$505,"&gt;"&amp;$A126,実績!$AE$6:$AE$505,"○")&gt;0,1,0))</f>
        <v/>
      </c>
      <c r="AH126">
        <f>IF(AH$4=0,0,IF(COUNTIFS(実績!$W$6:$W$505,AH$3,実績!$AC$6:$AC$505,"&lt;="&amp;$A126,実績!$AD$6:$AD$505,"&gt;"&amp;$A126,実績!$AE$6:$AE$505,"○")&gt;0,1,0))</f>
        <v/>
      </c>
      <c r="AI126">
        <f>IF(AI$4=0,0,IF(COUNTIFS(実績!$W$6:$W$505,AI$3,実績!$AC$6:$AC$505,"&lt;="&amp;$A126,実績!$AD$6:$AD$505,"&gt;"&amp;$A126,実績!$AE$6:$AE$505,"○")&gt;0,1,0))</f>
        <v/>
      </c>
      <c r="AJ126">
        <f>IF(AJ$4=0,0,IF(COUNTIFS(実績!$W$6:$W$505,AJ$3,実績!$AC$6:$AC$505,"&lt;="&amp;$A126,実績!$AD$6:$AD$505,"&gt;"&amp;$A126,実績!$AE$6:$AE$505,"○")&gt;0,1,0))</f>
        <v/>
      </c>
      <c r="AK126">
        <f>IF(AK$4=0,0,IF(COUNTIFS(実績!$W$6:$W$505,AK$3,実績!$AC$6:$AC$505,"&lt;="&amp;$A126,実績!$AD$6:$AD$505,"&gt;"&amp;$A126,実績!$AE$6:$AE$505,"○")&gt;0,1,0))</f>
        <v/>
      </c>
      <c r="AL126">
        <f>IF(AL$4=0,0,IF(COUNTIFS(実績!$W$6:$W$505,AL$3,実績!$AC$6:$AC$505,"&lt;="&amp;$A126,実績!$AD$6:$AD$505,"&gt;"&amp;$A126,実績!$AE$6:$AE$505,"○")&gt;0,1,0))</f>
        <v/>
      </c>
      <c r="AM126">
        <f>IF(AM$4=0,0,IF(COUNTIFS(実績!$W$6:$W$505,AM$3,実績!$AC$6:$AC$505,"&lt;="&amp;$A126,実績!$AD$6:$AD$505,"&gt;"&amp;$A126,実績!$AE$6:$AE$505,"○")&gt;0,1,0))</f>
        <v/>
      </c>
      <c r="AN126">
        <f>IF(AN$4=0,0,IF(COUNTIFS(実績!$W$6:$W$505,AN$3,実績!$AC$6:$AC$505,"&lt;="&amp;$A126,実績!$AD$6:$AD$505,"&gt;"&amp;$A126,実績!$AE$6:$AE$505,"○")&gt;0,1,0))</f>
        <v/>
      </c>
      <c r="AO126">
        <f>IF(AO$4=0,0,IF(COUNTIFS(実績!$W$6:$W$505,AO$3,実績!$AC$6:$AC$505,"&lt;="&amp;$A126,実績!$AD$6:$AD$505,"&gt;"&amp;$A126,実績!$AE$6:$AE$505,"○")&gt;0,1,0))</f>
        <v/>
      </c>
      <c r="AP126">
        <f>IF(AP$4=0,0,IF(COUNTIFS(実績!$W$6:$W$505,AP$3,実績!$AC$6:$AC$505,"&lt;="&amp;$A126,実績!$AD$6:$AD$505,"&gt;"&amp;$A126,実績!$AE$6:$AE$505,"○")&gt;0,1,0))</f>
        <v/>
      </c>
      <c r="AQ126">
        <f>IF(AQ$4=0,0,IF(COUNTIFS(実績!$W$6:$W$505,AQ$3,実績!$AC$6:$AC$505,"&lt;="&amp;$A126,実績!$AD$6:$AD$505,"&gt;"&amp;$A126,実績!$AE$6:$AE$505,"○")&gt;0,1,0))</f>
        <v/>
      </c>
      <c r="AR126">
        <f>IF(AR$4=0,0,IF(COUNTIFS(実績!$W$6:$W$505,AR$3,実績!$AC$6:$AC$505,"&lt;="&amp;$A126,実績!$AD$6:$AD$505,"&gt;"&amp;$A126,実績!$AE$6:$AE$505,"○")&gt;0,1,0))</f>
        <v/>
      </c>
      <c r="AS126">
        <f>IF(AS$4=0,0,IF(COUNTIFS(実績!$W$6:$W$505,AS$3,実績!$AC$6:$AC$505,"&lt;="&amp;$A126,実績!$AD$6:$AD$505,"&gt;"&amp;$A126,実績!$AE$6:$AE$505,"○")&gt;0,1,0))</f>
        <v/>
      </c>
      <c r="AT126">
        <f>IF(AT$4=0,0,IF(COUNTIFS(実績!$W$6:$W$505,AT$3,実績!$AC$6:$AC$505,"&lt;="&amp;$A126,実績!$AD$6:$AD$505,"&gt;"&amp;$A126,実績!$AE$6:$AE$505,"○")&gt;0,1,0))</f>
        <v/>
      </c>
      <c r="AU126">
        <f>IF(AU$4=0,0,IF(COUNTIFS(実績!$W$6:$W$505,AU$3,実績!$AC$6:$AC$505,"&lt;="&amp;$A126,実績!$AD$6:$AD$505,"&gt;"&amp;$A126,実績!$AE$6:$AE$505,"○")&gt;0,1,0))</f>
        <v/>
      </c>
      <c r="AV126">
        <f>IF(AV$4=0,0,IF(COUNTIFS(実績!$W$6:$W$505,AV$3,実績!$AC$6:$AC$505,"&lt;="&amp;$A126,実績!$AD$6:$AD$505,"&gt;"&amp;$A126,実績!$AE$6:$AE$505,"○")&gt;0,1,0))</f>
        <v/>
      </c>
      <c r="AW126">
        <f>IF(AW$4=0,0,IF(COUNTIFS(実績!$W$6:$W$505,AW$3,実績!$AC$6:$AC$505,"&lt;="&amp;$A126,実績!$AD$6:$AD$505,"&gt;"&amp;$A126,実績!$AE$6:$AE$505,"○")&gt;0,1,0))</f>
        <v/>
      </c>
      <c r="AX126">
        <f>IF(AX$4=0,0,IF(COUNTIFS(実績!$W$6:$W$505,AX$3,実績!$AC$6:$AC$505,"&lt;="&amp;$A126,実績!$AD$6:$AD$505,"&gt;"&amp;$A126,実績!$AE$6:$AE$505,"○")&gt;0,1,0))</f>
        <v/>
      </c>
      <c r="AY126">
        <f>IF(AY$4=0,0,IF(COUNTIFS(実績!$W$6:$W$505,AY$3,実績!$AC$6:$AC$505,"&lt;="&amp;$A126,実績!$AD$6:$AD$505,"&gt;"&amp;$A126,実績!$AE$6:$AE$505,"○")&gt;0,1,0))</f>
        <v/>
      </c>
      <c r="AZ126">
        <f>IF(AZ$4=0,0,IF(COUNTIFS(実績!$W$6:$W$505,AZ$3,実績!$AC$6:$AC$505,"&lt;="&amp;$A126,実績!$AD$6:$AD$505,"&gt;"&amp;$A126,実績!$AE$6:$AE$505,"○")&gt;0,1,0))</f>
        <v/>
      </c>
      <c r="BA126">
        <f>IF(BA$4=0,0,IF(COUNTIFS(実績!$W$6:$W$505,BA$3,実績!$AC$6:$AC$505,"&lt;="&amp;$A126,実績!$AD$6:$AD$505,"&gt;"&amp;$A126,実績!$AE$6:$AE$505,"○")&gt;0,1,0))</f>
        <v/>
      </c>
      <c r="BB126">
        <f>IF(BB$4=0,0,IF(COUNTIFS(実績!$W$6:$W$505,BB$3,実績!$AC$6:$AC$505,"&lt;="&amp;$A126,実績!$AD$6:$AD$505,"&gt;"&amp;$A126,実績!$AE$6:$AE$505,"○")&gt;0,1,0))</f>
        <v/>
      </c>
      <c r="BC126">
        <f>IF(BC$4=0,0,IF(COUNTIFS(実績!$W$6:$W$505,BC$3,実績!$AC$6:$AC$505,"&lt;="&amp;$A126,実績!$AD$6:$AD$505,"&gt;"&amp;$A126,実績!$AE$6:$AE$505,"○")&gt;0,1,0))</f>
        <v/>
      </c>
      <c r="BD126">
        <f>IF(BD$4=0,0,IF(COUNTIFS(実績!$W$6:$W$505,BD$3,実績!$AC$6:$AC$505,"&lt;="&amp;$A126,実績!$AD$6:$AD$505,"&gt;"&amp;$A126,実績!$AE$6:$AE$505,"○")&gt;0,1,0))</f>
        <v/>
      </c>
      <c r="BE126">
        <f>IF(BE$4=0,0,IF(COUNTIFS(実績!$W$6:$W$505,BE$3,実績!$AC$6:$AC$505,"&lt;="&amp;$A126,実績!$AD$6:$AD$505,"&gt;"&amp;$A126,実績!$AE$6:$AE$505,"○")&gt;0,1,0))</f>
        <v/>
      </c>
      <c r="BF126">
        <f>IF(BF$4=0,0,IF(COUNTIFS(実績!$W$6:$W$505,BF$3,実績!$AC$6:$AC$505,"&lt;="&amp;$A126,実績!$AD$6:$AD$505,"&gt;"&amp;$A126,実績!$AE$6:$AE$505,"○")&gt;0,1,0))</f>
        <v/>
      </c>
      <c r="BG126">
        <f>IF(BG$4=0,0,IF(COUNTIFS(実績!$W$6:$W$505,BG$3,実績!$AC$6:$AC$505,"&lt;="&amp;$A126,実績!$AD$6:$AD$505,"&gt;"&amp;$A126,実績!$AE$6:$AE$505,"○")&gt;0,1,0))</f>
        <v/>
      </c>
      <c r="BH126">
        <f>IF(BH$4=0,0,IF(COUNTIFS(実績!$W$6:$W$505,BH$3,実績!$AC$6:$AC$505,"&lt;="&amp;$A126,実績!$AD$6:$AD$505,"&gt;"&amp;$A126,実績!$AE$6:$AE$505,"○")&gt;0,1,0))</f>
        <v/>
      </c>
      <c r="BI126">
        <f>IF(BI$4=0,0,IF(COUNTIFS(実績!$W$6:$W$505,BI$3,実績!$AC$6:$AC$505,"&lt;="&amp;$A126,実績!$AD$6:$AD$505,"&gt;"&amp;$A126,実績!$AE$6:$AE$505,"○")&gt;0,1,0))</f>
        <v/>
      </c>
      <c r="BJ126">
        <f>IF(BJ$4=0,0,IF(COUNTIFS(実績!$W$6:$W$505,BJ$3,実績!$AC$6:$AC$505,"&lt;="&amp;$A126,実績!$AD$6:$AD$505,"&gt;"&amp;$A126,実績!$AE$6:$AE$505,"○")&gt;0,1,0))</f>
        <v/>
      </c>
      <c r="BK126">
        <f>IF(BK$4=0,0,IF(COUNTIFS(実績!$W$6:$W$505,BK$3,実績!$AC$6:$AC$505,"&lt;="&amp;$A126,実績!$AD$6:$AD$505,"&gt;"&amp;$A126,実績!$AE$6:$AE$505,"○")&gt;0,1,0))</f>
        <v/>
      </c>
      <c r="BL126">
        <f>IF(BL$4=0,0,IF(COUNTIFS(実績!$W$6:$W$505,BL$3,実績!$AC$6:$AC$505,"&lt;="&amp;$A126,実績!$AD$6:$AD$505,"&gt;"&amp;$A126,実績!$AE$6:$AE$505,"○")&gt;0,1,0))</f>
        <v/>
      </c>
      <c r="BM126">
        <f>IF(BM$4=0,0,IF(COUNTIFS(実績!$W$6:$W$505,BM$3,実績!$AC$6:$AC$505,"&lt;="&amp;$A126,実績!$AD$6:$AD$505,"&gt;"&amp;$A126,実績!$AE$6:$AE$505,"○")&gt;0,1,0))</f>
        <v/>
      </c>
      <c r="BN126">
        <f>IF(BN$4=0,0,IF(COUNTIFS(実績!$W$6:$W$505,BN$3,実績!$AC$6:$AC$505,"&lt;="&amp;$A126,実績!$AD$6:$AD$505,"&gt;"&amp;$A126,実績!$AE$6:$AE$505,"○")&gt;0,1,0))</f>
        <v/>
      </c>
      <c r="BO126">
        <f>IF(BO$4=0,0,IF(COUNTIFS(実績!$W$6:$W$505,BO$3,実績!$AC$6:$AC$505,"&lt;="&amp;$A126,実績!$AD$6:$AD$505,"&gt;"&amp;$A126,実績!$AE$6:$AE$505,"○")&gt;0,1,0))</f>
        <v/>
      </c>
      <c r="BP126">
        <f>IF(BP$4=0,0,IF(COUNTIFS(実績!$W$6:$W$505,BP$3,実績!$AC$6:$AC$505,"&lt;="&amp;$A126,実績!$AD$6:$AD$505,"&gt;"&amp;$A126,実績!$AE$6:$AE$505,"○")&gt;0,1,0))</f>
        <v/>
      </c>
      <c r="BQ126">
        <f>IF(BQ$4=0,0,IF(COUNTIFS(実績!$W$6:$W$505,BQ$3,実績!$AC$6:$AC$505,"&lt;="&amp;$A126,実績!$AD$6:$AD$505,"&gt;"&amp;$A126,実績!$AE$6:$AE$505,"○")&gt;0,1,0))</f>
        <v/>
      </c>
      <c r="BR126">
        <f>IF(BR$4=0,0,IF(COUNTIFS(実績!$W$6:$W$505,BR$3,実績!$AC$6:$AC$505,"&lt;="&amp;$A126,実績!$AD$6:$AD$505,"&gt;"&amp;$A126,実績!$AE$6:$AE$505,"○")&gt;0,1,0))</f>
        <v/>
      </c>
      <c r="BS126">
        <f>IF(BS$4=0,0,IF(COUNTIFS(実績!$W$6:$W$505,BS$3,実績!$AC$6:$AC$505,"&lt;="&amp;$A126,実績!$AD$6:$AD$505,"&gt;"&amp;$A126,実績!$AE$6:$AE$505,"○")&gt;0,1,0))</f>
        <v/>
      </c>
      <c r="BT126">
        <f>IF(BT$4=0,0,IF(COUNTIFS(実績!$W$6:$W$505,BT$3,実績!$AC$6:$AC$505,"&lt;="&amp;$A126,実績!$AD$6:$AD$505,"&gt;"&amp;$A126,実績!$AE$6:$AE$505,"○")&gt;0,1,0))</f>
        <v/>
      </c>
      <c r="BU126">
        <f>IF(BU$4=0,0,IF(COUNTIFS(実績!$W$6:$W$505,BU$3,実績!$AC$6:$AC$505,"&lt;="&amp;$A126,実績!$AD$6:$AD$505,"&gt;"&amp;$A126,実績!$AE$6:$AE$505,"○")&gt;0,1,0))</f>
        <v/>
      </c>
      <c r="BV126">
        <f>IF(BV$4=0,0,IF(COUNTIFS(実績!$W$6:$W$505,BV$3,実績!$AC$6:$AC$505,"&lt;="&amp;$A126,実績!$AD$6:$AD$505,"&gt;"&amp;$A126,実績!$AE$6:$AE$505,"○")&gt;0,1,0))</f>
        <v/>
      </c>
      <c r="BW126">
        <f>IF(BW$4=0,0,IF(COUNTIFS(実績!$W$6:$W$505,BW$3,実績!$AC$6:$AC$505,"&lt;="&amp;$A126,実績!$AD$6:$AD$505,"&gt;"&amp;$A126,実績!$AE$6:$AE$505,"○")&gt;0,1,0))</f>
        <v/>
      </c>
      <c r="BX126">
        <f>IF(BX$4=0,0,IF(COUNTIFS(実績!$W$6:$W$505,BX$3,実績!$AC$6:$AC$505,"&lt;="&amp;$A126,実績!$AD$6:$AD$505,"&gt;"&amp;$A126,実績!$AE$6:$AE$505,"○")&gt;0,1,0))</f>
        <v/>
      </c>
      <c r="BY126">
        <f>IF(BY$4=0,0,IF(COUNTIFS(実績!$W$6:$W$505,BY$3,実績!$AC$6:$AC$505,"&lt;="&amp;$A126,実績!$AD$6:$AD$505,"&gt;"&amp;$A126,実績!$AE$6:$AE$505,"○")&gt;0,1,0))</f>
        <v/>
      </c>
      <c r="BZ126">
        <f>IF(BZ$4=0,0,IF(COUNTIFS(実績!$W$6:$W$505,BZ$3,実績!$AC$6:$AC$505,"&lt;="&amp;$A126,実績!$AD$6:$AD$505,"&gt;"&amp;$A126,実績!$AE$6:$AE$505,"○")&gt;0,1,0))</f>
        <v/>
      </c>
      <c r="CA126">
        <f>IF(CA$4=0,0,IF(COUNTIFS(実績!$W$6:$W$505,CA$3,実績!$AC$6:$AC$505,"&lt;="&amp;$A126,実績!$AD$6:$AD$505,"&gt;"&amp;$A126,実績!$AE$6:$AE$505,"○")&gt;0,1,0))</f>
        <v/>
      </c>
      <c r="CB126">
        <f>IF(CB$4=0,0,IF(COUNTIFS(実績!$W$6:$W$505,CB$3,実績!$AC$6:$AC$505,"&lt;="&amp;$A126,実績!$AD$6:$AD$505,"&gt;"&amp;$A126,実績!$AE$6:$AE$505,"○")&gt;0,1,0))</f>
        <v/>
      </c>
      <c r="CC126">
        <f>IF(CC$4=0,0,IF(COUNTIFS(実績!$W$6:$W$505,CC$3,実績!$AC$6:$AC$505,"&lt;="&amp;$A126,実績!$AD$6:$AD$505,"&gt;"&amp;$A126,実績!$AE$6:$AE$505,"○")&gt;0,1,0))</f>
        <v/>
      </c>
      <c r="CD126">
        <f>IF(CD$4=0,0,IF(COUNTIFS(実績!$W$6:$W$505,CD$3,実績!$AC$6:$AC$505,"&lt;="&amp;$A126,実績!$AD$6:$AD$505,"&gt;"&amp;$A126,実績!$AE$6:$AE$505,"○")&gt;0,1,0))</f>
        <v/>
      </c>
      <c r="CE126">
        <f>IF(CE$4=0,0,IF(COUNTIFS(実績!$W$6:$W$505,CE$3,実績!$AC$6:$AC$505,"&lt;="&amp;$A126,実績!$AD$6:$AD$505,"&gt;"&amp;$A126,実績!$AE$6:$AE$505,"○")&gt;0,1,0))</f>
        <v/>
      </c>
      <c r="CF126">
        <f>IF(CF$4=0,0,IF(COUNTIFS(実績!$W$6:$W$505,CF$3,実績!$AC$6:$AC$505,"&lt;="&amp;$A126,実績!$AD$6:$AD$505,"&gt;"&amp;$A126,実績!$AE$6:$AE$505,"○")&gt;0,1,0))</f>
        <v/>
      </c>
      <c r="CG126">
        <f>IF(CG$4=0,0,IF(COUNTIFS(実績!$W$6:$W$505,CG$3,実績!$AC$6:$AC$505,"&lt;="&amp;$A126,実績!$AD$6:$AD$505,"&gt;"&amp;$A126,実績!$AE$6:$AE$505,"○")&gt;0,1,0))</f>
        <v/>
      </c>
      <c r="CH126">
        <f>IF(CH$4=0,0,IF(COUNTIFS(実績!$W$6:$W$505,CH$3,実績!$AC$6:$AC$505,"&lt;="&amp;$A126,実績!$AD$6:$AD$505,"&gt;"&amp;$A126,実績!$AE$6:$AE$505,"○")&gt;0,1,0))</f>
        <v/>
      </c>
      <c r="CI126">
        <f>IF(CI$4=0,0,IF(COUNTIFS(実績!$W$6:$W$505,CI$3,実績!$AC$6:$AC$505,"&lt;="&amp;$A126,実績!$AD$6:$AD$505,"&gt;"&amp;$A126,実績!$AE$6:$AE$505,"○")&gt;0,1,0))</f>
        <v/>
      </c>
      <c r="CJ126">
        <f>IF(CJ$4=0,0,IF(COUNTIFS(実績!$W$6:$W$505,CJ$3,実績!$AC$6:$AC$505,"&lt;="&amp;$A126,実績!$AD$6:$AD$505,"&gt;"&amp;$A126,実績!$AE$6:$AE$505,"○")&gt;0,1,0))</f>
        <v/>
      </c>
      <c r="CK126">
        <f>IF(CK$4=0,0,IF(COUNTIFS(実績!$W$6:$W$505,CK$3,実績!$AC$6:$AC$505,"&lt;="&amp;$A126,実績!$AD$6:$AD$505,"&gt;"&amp;$A126,実績!$AE$6:$AE$505,"○")&gt;0,1,0))</f>
        <v/>
      </c>
      <c r="CL126">
        <f>IF(CL$4=0,0,IF(COUNTIFS(実績!$W$6:$W$505,CL$3,実績!$AC$6:$AC$505,"&lt;="&amp;$A126,実績!$AD$6:$AD$505,"&gt;"&amp;$A126,実績!$AE$6:$AE$505,"○")&gt;0,1,0))</f>
        <v/>
      </c>
      <c r="CM126">
        <f>IF(CM$4=0,0,IF(COUNTIFS(実績!$W$6:$W$505,CM$3,実績!$AC$6:$AC$505,"&lt;="&amp;$A126,実績!$AD$6:$AD$505,"&gt;"&amp;$A126,実績!$AE$6:$AE$505,"○")&gt;0,1,0))</f>
        <v/>
      </c>
      <c r="CN126">
        <f>IF(CN$4=0,0,IF(COUNTIFS(実績!$W$6:$W$505,CN$3,実績!$AC$6:$AC$505,"&lt;="&amp;$A126,実績!$AD$6:$AD$505,"&gt;"&amp;$A126,実績!$AE$6:$AE$505,"○")&gt;0,1,0))</f>
        <v/>
      </c>
      <c r="CO126">
        <f>IF(CO$4=0,0,IF(COUNTIFS(実績!$W$6:$W$505,CO$3,実績!$AC$6:$AC$505,"&lt;="&amp;$A126,実績!$AD$6:$AD$505,"&gt;"&amp;$A126,実績!$AE$6:$AE$505,"○")&gt;0,1,0))</f>
        <v/>
      </c>
      <c r="CP126">
        <f>IF(CP$4=0,0,IF(COUNTIFS(実績!$W$6:$W$505,CP$3,実績!$AC$6:$AC$505,"&lt;="&amp;$A126,実績!$AD$6:$AD$505,"&gt;"&amp;$A126,実績!$AE$6:$AE$505,"○")&gt;0,1,0))</f>
        <v/>
      </c>
      <c r="CQ126">
        <f>IF(CQ$4=0,0,IF(COUNTIFS(実績!$W$6:$W$505,CQ$3,実績!$AC$6:$AC$505,"&lt;="&amp;$A126,実績!$AD$6:$AD$505,"&gt;"&amp;$A126,実績!$AE$6:$AE$505,"○")&gt;0,1,0))</f>
        <v/>
      </c>
      <c r="CR126">
        <f>IF(CR$4=0,0,IF(COUNTIFS(実績!$W$6:$W$505,CR$3,実績!$AC$6:$AC$505,"&lt;="&amp;$A126,実績!$AD$6:$AD$505,"&gt;"&amp;$A126,実績!$AE$6:$AE$505,"○")&gt;0,1,0))</f>
        <v/>
      </c>
      <c r="CS126">
        <f>IF(CS$4=0,0,IF(COUNTIFS(実績!$W$6:$W$505,CS$3,実績!$AC$6:$AC$505,"&lt;="&amp;$A126,実績!$AD$6:$AD$505,"&gt;"&amp;$A126,実績!$AE$6:$AE$505,"○")&gt;0,1,0))</f>
        <v/>
      </c>
      <c r="CT126">
        <f>IF(CT$4=0,0,IF(COUNTIFS(実績!$W$6:$W$505,CT$3,実績!$AC$6:$AC$505,"&lt;="&amp;$A126,実績!$AD$6:$AD$505,"&gt;"&amp;$A126,実績!$AE$6:$AE$505,"○")&gt;0,1,0))</f>
        <v/>
      </c>
      <c r="CU126">
        <f>IF(CU$4=0,0,IF(COUNTIFS(実績!$W$6:$W$505,CU$3,実績!$AC$6:$AC$505,"&lt;="&amp;$A126,実績!$AD$6:$AD$505,"&gt;"&amp;$A126,実績!$AE$6:$AE$505,"○")&gt;0,1,0))</f>
        <v/>
      </c>
      <c r="CV126">
        <f>IF(CV$4=0,0,IF(COUNTIFS(実績!$W$6:$W$505,CV$3,実績!$AC$6:$AC$505,"&lt;="&amp;$A126,実績!$AD$6:$AD$505,"&gt;"&amp;$A126,実績!$AE$6:$AE$505,"○")&gt;0,1,0))</f>
        <v/>
      </c>
      <c r="CW126">
        <f>IF(CW$4=0,0,IF(COUNTIFS(実績!$W$6:$W$505,CW$3,実績!$AC$6:$AC$505,"&lt;="&amp;$A126,実績!$AD$6:$AD$505,"&gt;"&amp;$A126,実績!$AE$6:$AE$505,"○")&gt;0,1,0))</f>
        <v/>
      </c>
      <c r="CX126">
        <f>IF(CX$4=0,0,IF(COUNTIFS(実績!$W$6:$W$505,CX$3,実績!$AC$6:$AC$505,"&lt;="&amp;$A126,実績!$AD$6:$AD$505,"&gt;"&amp;$A126,実績!$AE$6:$AE$505,"○")&gt;0,1,0))</f>
        <v/>
      </c>
      <c r="CY126">
        <f>IF(CY$4=0,0,IF(COUNTIFS(実績!$W$6:$W$505,CY$3,実績!$AC$6:$AC$505,"&lt;="&amp;$A126,実績!$AD$6:$AD$505,"&gt;"&amp;$A126,実績!$AE$6:$AE$505,"○")&gt;0,1,0))</f>
        <v/>
      </c>
      <c r="CZ126">
        <f>IF(CZ$4=0,0,IF(COUNTIFS(実績!$W$6:$W$505,CZ$3,実績!$AC$6:$AC$505,"&lt;="&amp;$A126,実績!$AD$6:$AD$505,"&gt;"&amp;$A126,実績!$AE$6:$AE$505,"○")&gt;0,1,0))</f>
        <v/>
      </c>
      <c r="DA126">
        <f>IF(DA$4=0,0,IF(COUNTIFS(実績!$W$6:$W$505,DA$3,実績!$AC$6:$AC$505,"&lt;="&amp;$A126,実績!$AD$6:$AD$505,"&gt;"&amp;$A126,実績!$AE$6:$AE$505,"○")&gt;0,1,0))</f>
        <v/>
      </c>
      <c r="DB126">
        <f>IF(DB$4=0,0,IF(COUNTIFS(実績!$W$6:$W$505,DB$3,実績!$AC$6:$AC$505,"&lt;="&amp;$A126,実績!$AD$6:$AD$505,"&gt;"&amp;$A126,実績!$AE$6:$AE$505,"○")&gt;0,1,0))</f>
        <v/>
      </c>
      <c r="DC126">
        <f>IF(DC$4=0,0,IF(COUNTIFS(実績!$W$6:$W$505,DC$3,実績!$AC$6:$AC$505,"&lt;="&amp;$A126,実績!$AD$6:$AD$505,"&gt;"&amp;$A126,実績!$AE$6:$AE$505,"○")&gt;0,1,0))</f>
        <v/>
      </c>
      <c r="DD126">
        <f>IF(DD$4=0,0,IF(COUNTIFS(実績!$W$6:$W$505,DD$3,実績!$AC$6:$AC$505,"&lt;="&amp;$A126,実績!$AD$6:$AD$505,"&gt;"&amp;$A126,実績!$AE$6:$AE$505,"○")&gt;0,1,0))</f>
        <v/>
      </c>
      <c r="DE126">
        <f>IF(DE$4=0,0,IF(COUNTIFS(実績!$W$6:$W$505,DE$3,実績!$AC$6:$AC$505,"&lt;="&amp;$A126,実績!$AD$6:$AD$505,"&gt;"&amp;$A126,実績!$AE$6:$AE$505,"○")&gt;0,1,0))</f>
        <v/>
      </c>
      <c r="DF126">
        <f>IF(DF$4=0,0,IF(COUNTIFS(実績!$W$6:$W$505,DF$3,実績!$AC$6:$AC$505,"&lt;="&amp;$A126,実績!$AD$6:$AD$505,"&gt;"&amp;$A126,実績!$AE$6:$AE$505,"○")&gt;0,1,0))</f>
        <v/>
      </c>
      <c r="DG126">
        <f>IF(DG$4=0,0,IF(COUNTIFS(実績!$W$6:$W$505,DG$3,実績!$AC$6:$AC$505,"&lt;="&amp;$A126,実績!$AD$6:$AD$505,"&gt;"&amp;$A126,実績!$AE$6:$AE$505,"○")&gt;0,1,0))</f>
        <v/>
      </c>
      <c r="DH126">
        <f>IF(DH$4=0,0,IF(COUNTIFS(実績!$W$6:$W$505,DH$3,実績!$AC$6:$AC$505,"&lt;="&amp;$A126,実績!$AD$6:$AD$505,"&gt;"&amp;$A126,実績!$AE$6:$AE$505,"○")&gt;0,1,0))</f>
        <v/>
      </c>
      <c r="DI126">
        <f>IF(DI$4=0,0,IF(COUNTIFS(実績!$W$6:$W$505,DI$3,実績!$AC$6:$AC$505,"&lt;="&amp;$A126,実績!$AD$6:$AD$505,"&gt;"&amp;$A126,実績!$AE$6:$AE$505,"○")&gt;0,1,0))</f>
        <v/>
      </c>
      <c r="DJ126">
        <f>IF(DJ$4=0,0,IF(COUNTIFS(実績!$W$6:$W$505,DJ$3,実績!$AC$6:$AC$505,"&lt;="&amp;$A126,実績!$AD$6:$AD$505,"&gt;"&amp;$A126,実績!$AE$6:$AE$505,"○")&gt;0,1,0))</f>
        <v/>
      </c>
      <c r="DK126">
        <f>IF(DK$4=0,0,IF(COUNTIFS(実績!$W$6:$W$505,DK$3,実績!$AC$6:$AC$505,"&lt;="&amp;$A126,実績!$AD$6:$AD$505,"&gt;"&amp;$A126,実績!$AE$6:$AE$505,"○")&gt;0,1,0))</f>
        <v/>
      </c>
      <c r="DL126">
        <f>IF(DL$4=0,0,IF(COUNTIFS(実績!$W$6:$W$505,DL$3,実績!$AC$6:$AC$505,"&lt;="&amp;$A126,実績!$AD$6:$AD$505,"&gt;"&amp;$A126,実績!$AE$6:$AE$505,"○")&gt;0,1,0))</f>
        <v/>
      </c>
      <c r="DM126">
        <f>IF(DM$4=0,0,IF(COUNTIFS(実績!$W$6:$W$505,DM$3,実績!$AC$6:$AC$505,"&lt;="&amp;$A126,実績!$AD$6:$AD$505,"&gt;"&amp;$A126,実績!$AE$6:$AE$505,"○")&gt;0,1,0))</f>
        <v/>
      </c>
      <c r="DN126">
        <f>IF(DN$4=0,0,IF(COUNTIFS(実績!$W$6:$W$505,DN$3,実績!$AC$6:$AC$505,"&lt;="&amp;$A126,実績!$AD$6:$AD$505,"&gt;"&amp;$A126,実績!$AE$6:$AE$505,"○")&gt;0,1,0))</f>
        <v/>
      </c>
      <c r="DO126">
        <f>IF(DO$4=0,0,IF(COUNTIFS(実績!$W$6:$W$505,DO$3,実績!$AC$6:$AC$505,"&lt;="&amp;$A126,実績!$AD$6:$AD$505,"&gt;"&amp;$A126,実績!$AE$6:$AE$505,"○")&gt;0,1,0))</f>
        <v/>
      </c>
      <c r="DP126">
        <f>IF(DP$4=0,0,IF(COUNTIFS(実績!$W$6:$W$505,DP$3,実績!$AC$6:$AC$505,"&lt;="&amp;$A126,実績!$AD$6:$AD$505,"&gt;"&amp;$A126,実績!$AE$6:$AE$505,"○")&gt;0,1,0))</f>
        <v/>
      </c>
      <c r="DQ126">
        <f>IF(DQ$4=0,0,IF(COUNTIFS(実績!$W$6:$W$505,DQ$3,実績!$AC$6:$AC$505,"&lt;="&amp;$A126,実績!$AD$6:$AD$505,"&gt;"&amp;$A126,実績!$AE$6:$AE$505,"○")&gt;0,1,0))</f>
        <v/>
      </c>
      <c r="DR126">
        <f>IF(DR$4=0,0,IF(COUNTIFS(実績!$W$6:$W$505,DR$3,実績!$AC$6:$AC$505,"&lt;="&amp;$A126,実績!$AD$6:$AD$505,"&gt;"&amp;$A126,実績!$AE$6:$AE$505,"○")&gt;0,1,0))</f>
        <v/>
      </c>
      <c r="DS126">
        <f>SUM(C126:DR126)</f>
        <v/>
      </c>
      <c r="DT126">
        <f>SUMPRODUCT((実績!$C$6:$C$505="○")*ISNUMBER(実績!$AF$6:$AF$505)*(実績!$AF$6:$AF$505&lt;=$A126)*(実績!$AG$6:$AG$505&gt;$A126))</f>
        <v/>
      </c>
      <c r="DU126">
        <f>SUMIF($C$2:$DR$2,"製鉄曳船",C126:DR126)</f>
        <v/>
      </c>
      <c r="DV126">
        <f>SUMIF($C$2:$DR$2,"西日本海運",C126:DR126)</f>
        <v/>
      </c>
    </row>
    <row r="127">
      <c r="A127" t="n">
        <v>605</v>
      </c>
      <c r="B127" s="29">
        <f>A127/1440</f>
        <v/>
      </c>
      <c r="C127">
        <f>IF(C$4=0,0,IF(COUNTIFS(実績!$W$6:$W$505,C$3,実績!$AC$6:$AC$505,"&lt;="&amp;$A127,実績!$AD$6:$AD$505,"&gt;"&amp;$A127,実績!$AE$6:$AE$505,"○")&gt;0,1,0))</f>
        <v/>
      </c>
      <c r="D127">
        <f>IF(D$4=0,0,IF(COUNTIFS(実績!$W$6:$W$505,D$3,実績!$AC$6:$AC$505,"&lt;="&amp;$A127,実績!$AD$6:$AD$505,"&gt;"&amp;$A127,実績!$AE$6:$AE$505,"○")&gt;0,1,0))</f>
        <v/>
      </c>
      <c r="E127">
        <f>IF(E$4=0,0,IF(COUNTIFS(実績!$W$6:$W$505,E$3,実績!$AC$6:$AC$505,"&lt;="&amp;$A127,実績!$AD$6:$AD$505,"&gt;"&amp;$A127,実績!$AE$6:$AE$505,"○")&gt;0,1,0))</f>
        <v/>
      </c>
      <c r="F127">
        <f>IF(F$4=0,0,IF(COUNTIFS(実績!$W$6:$W$505,F$3,実績!$AC$6:$AC$505,"&lt;="&amp;$A127,実績!$AD$6:$AD$505,"&gt;"&amp;$A127,実績!$AE$6:$AE$505,"○")&gt;0,1,0))</f>
        <v/>
      </c>
      <c r="G127">
        <f>IF(G$4=0,0,IF(COUNTIFS(実績!$W$6:$W$505,G$3,実績!$AC$6:$AC$505,"&lt;="&amp;$A127,実績!$AD$6:$AD$505,"&gt;"&amp;$A127,実績!$AE$6:$AE$505,"○")&gt;0,1,0))</f>
        <v/>
      </c>
      <c r="H127">
        <f>IF(H$4=0,0,IF(COUNTIFS(実績!$W$6:$W$505,H$3,実績!$AC$6:$AC$505,"&lt;="&amp;$A127,実績!$AD$6:$AD$505,"&gt;"&amp;$A127,実績!$AE$6:$AE$505,"○")&gt;0,1,0))</f>
        <v/>
      </c>
      <c r="I127">
        <f>IF(I$4=0,0,IF(COUNTIFS(実績!$W$6:$W$505,I$3,実績!$AC$6:$AC$505,"&lt;="&amp;$A127,実績!$AD$6:$AD$505,"&gt;"&amp;$A127,実績!$AE$6:$AE$505,"○")&gt;0,1,0))</f>
        <v/>
      </c>
      <c r="J127">
        <f>IF(J$4=0,0,IF(COUNTIFS(実績!$W$6:$W$505,J$3,実績!$AC$6:$AC$505,"&lt;="&amp;$A127,実績!$AD$6:$AD$505,"&gt;"&amp;$A127,実績!$AE$6:$AE$505,"○")&gt;0,1,0))</f>
        <v/>
      </c>
      <c r="K127">
        <f>IF(K$4=0,0,IF(COUNTIFS(実績!$W$6:$W$505,K$3,実績!$AC$6:$AC$505,"&lt;="&amp;$A127,実績!$AD$6:$AD$505,"&gt;"&amp;$A127,実績!$AE$6:$AE$505,"○")&gt;0,1,0))</f>
        <v/>
      </c>
      <c r="L127">
        <f>IF(L$4=0,0,IF(COUNTIFS(実績!$W$6:$W$505,L$3,実績!$AC$6:$AC$505,"&lt;="&amp;$A127,実績!$AD$6:$AD$505,"&gt;"&amp;$A127,実績!$AE$6:$AE$505,"○")&gt;0,1,0))</f>
        <v/>
      </c>
      <c r="M127">
        <f>IF(M$4=0,0,IF(COUNTIFS(実績!$W$6:$W$505,M$3,実績!$AC$6:$AC$505,"&lt;="&amp;$A127,実績!$AD$6:$AD$505,"&gt;"&amp;$A127,実績!$AE$6:$AE$505,"○")&gt;0,1,0))</f>
        <v/>
      </c>
      <c r="N127">
        <f>IF(N$4=0,0,IF(COUNTIFS(実績!$W$6:$W$505,N$3,実績!$AC$6:$AC$505,"&lt;="&amp;$A127,実績!$AD$6:$AD$505,"&gt;"&amp;$A127,実績!$AE$6:$AE$505,"○")&gt;0,1,0))</f>
        <v/>
      </c>
      <c r="O127">
        <f>IF(O$4=0,0,IF(COUNTIFS(実績!$W$6:$W$505,O$3,実績!$AC$6:$AC$505,"&lt;="&amp;$A127,実績!$AD$6:$AD$505,"&gt;"&amp;$A127,実績!$AE$6:$AE$505,"○")&gt;0,1,0))</f>
        <v/>
      </c>
      <c r="P127">
        <f>IF(P$4=0,0,IF(COUNTIFS(実績!$W$6:$W$505,P$3,実績!$AC$6:$AC$505,"&lt;="&amp;$A127,実績!$AD$6:$AD$505,"&gt;"&amp;$A127,実績!$AE$6:$AE$505,"○")&gt;0,1,0))</f>
        <v/>
      </c>
      <c r="Q127">
        <f>IF(Q$4=0,0,IF(COUNTIFS(実績!$W$6:$W$505,Q$3,実績!$AC$6:$AC$505,"&lt;="&amp;$A127,実績!$AD$6:$AD$505,"&gt;"&amp;$A127,実績!$AE$6:$AE$505,"○")&gt;0,1,0))</f>
        <v/>
      </c>
      <c r="R127">
        <f>IF(R$4=0,0,IF(COUNTIFS(実績!$W$6:$W$505,R$3,実績!$AC$6:$AC$505,"&lt;="&amp;$A127,実績!$AD$6:$AD$505,"&gt;"&amp;$A127,実績!$AE$6:$AE$505,"○")&gt;0,1,0))</f>
        <v/>
      </c>
      <c r="S127">
        <f>IF(S$4=0,0,IF(COUNTIFS(実績!$W$6:$W$505,S$3,実績!$AC$6:$AC$505,"&lt;="&amp;$A127,実績!$AD$6:$AD$505,"&gt;"&amp;$A127,実績!$AE$6:$AE$505,"○")&gt;0,1,0))</f>
        <v/>
      </c>
      <c r="T127">
        <f>IF(T$4=0,0,IF(COUNTIFS(実績!$W$6:$W$505,T$3,実績!$AC$6:$AC$505,"&lt;="&amp;$A127,実績!$AD$6:$AD$505,"&gt;"&amp;$A127,実績!$AE$6:$AE$505,"○")&gt;0,1,0))</f>
        <v/>
      </c>
      <c r="U127">
        <f>IF(U$4=0,0,IF(COUNTIFS(実績!$W$6:$W$505,U$3,実績!$AC$6:$AC$505,"&lt;="&amp;$A127,実績!$AD$6:$AD$505,"&gt;"&amp;$A127,実績!$AE$6:$AE$505,"○")&gt;0,1,0))</f>
        <v/>
      </c>
      <c r="V127">
        <f>IF(V$4=0,0,IF(COUNTIFS(実績!$W$6:$W$505,V$3,実績!$AC$6:$AC$505,"&lt;="&amp;$A127,実績!$AD$6:$AD$505,"&gt;"&amp;$A127,実績!$AE$6:$AE$505,"○")&gt;0,1,0))</f>
        <v/>
      </c>
      <c r="W127">
        <f>IF(W$4=0,0,IF(COUNTIFS(実績!$W$6:$W$505,W$3,実績!$AC$6:$AC$505,"&lt;="&amp;$A127,実績!$AD$6:$AD$505,"&gt;"&amp;$A127,実績!$AE$6:$AE$505,"○")&gt;0,1,0))</f>
        <v/>
      </c>
      <c r="X127">
        <f>IF(X$4=0,0,IF(COUNTIFS(実績!$W$6:$W$505,X$3,実績!$AC$6:$AC$505,"&lt;="&amp;$A127,実績!$AD$6:$AD$505,"&gt;"&amp;$A127,実績!$AE$6:$AE$505,"○")&gt;0,1,0))</f>
        <v/>
      </c>
      <c r="Y127">
        <f>IF(Y$4=0,0,IF(COUNTIFS(実績!$W$6:$W$505,Y$3,実績!$AC$6:$AC$505,"&lt;="&amp;$A127,実績!$AD$6:$AD$505,"&gt;"&amp;$A127,実績!$AE$6:$AE$505,"○")&gt;0,1,0))</f>
        <v/>
      </c>
      <c r="Z127">
        <f>IF(Z$4=0,0,IF(COUNTIFS(実績!$W$6:$W$505,Z$3,実績!$AC$6:$AC$505,"&lt;="&amp;$A127,実績!$AD$6:$AD$505,"&gt;"&amp;$A127,実績!$AE$6:$AE$505,"○")&gt;0,1,0))</f>
        <v/>
      </c>
      <c r="AA127">
        <f>IF(AA$4=0,0,IF(COUNTIFS(実績!$W$6:$W$505,AA$3,実績!$AC$6:$AC$505,"&lt;="&amp;$A127,実績!$AD$6:$AD$505,"&gt;"&amp;$A127,実績!$AE$6:$AE$505,"○")&gt;0,1,0))</f>
        <v/>
      </c>
      <c r="AB127">
        <f>IF(AB$4=0,0,IF(COUNTIFS(実績!$W$6:$W$505,AB$3,実績!$AC$6:$AC$505,"&lt;="&amp;$A127,実績!$AD$6:$AD$505,"&gt;"&amp;$A127,実績!$AE$6:$AE$505,"○")&gt;0,1,0))</f>
        <v/>
      </c>
      <c r="AC127">
        <f>IF(AC$4=0,0,IF(COUNTIFS(実績!$W$6:$W$505,AC$3,実績!$AC$6:$AC$505,"&lt;="&amp;$A127,実績!$AD$6:$AD$505,"&gt;"&amp;$A127,実績!$AE$6:$AE$505,"○")&gt;0,1,0))</f>
        <v/>
      </c>
      <c r="AD127">
        <f>IF(AD$4=0,0,IF(COUNTIFS(実績!$W$6:$W$505,AD$3,実績!$AC$6:$AC$505,"&lt;="&amp;$A127,実績!$AD$6:$AD$505,"&gt;"&amp;$A127,実績!$AE$6:$AE$505,"○")&gt;0,1,0))</f>
        <v/>
      </c>
      <c r="AE127">
        <f>IF(AE$4=0,0,IF(COUNTIFS(実績!$W$6:$W$505,AE$3,実績!$AC$6:$AC$505,"&lt;="&amp;$A127,実績!$AD$6:$AD$505,"&gt;"&amp;$A127,実績!$AE$6:$AE$505,"○")&gt;0,1,0))</f>
        <v/>
      </c>
      <c r="AF127">
        <f>IF(AF$4=0,0,IF(COUNTIFS(実績!$W$6:$W$505,AF$3,実績!$AC$6:$AC$505,"&lt;="&amp;$A127,実績!$AD$6:$AD$505,"&gt;"&amp;$A127,実績!$AE$6:$AE$505,"○")&gt;0,1,0))</f>
        <v/>
      </c>
      <c r="AG127">
        <f>IF(AG$4=0,0,IF(COUNTIFS(実績!$W$6:$W$505,AG$3,実績!$AC$6:$AC$505,"&lt;="&amp;$A127,実績!$AD$6:$AD$505,"&gt;"&amp;$A127,実績!$AE$6:$AE$505,"○")&gt;0,1,0))</f>
        <v/>
      </c>
      <c r="AH127">
        <f>IF(AH$4=0,0,IF(COUNTIFS(実績!$W$6:$W$505,AH$3,実績!$AC$6:$AC$505,"&lt;="&amp;$A127,実績!$AD$6:$AD$505,"&gt;"&amp;$A127,実績!$AE$6:$AE$505,"○")&gt;0,1,0))</f>
        <v/>
      </c>
      <c r="AI127">
        <f>IF(AI$4=0,0,IF(COUNTIFS(実績!$W$6:$W$505,AI$3,実績!$AC$6:$AC$505,"&lt;="&amp;$A127,実績!$AD$6:$AD$505,"&gt;"&amp;$A127,実績!$AE$6:$AE$505,"○")&gt;0,1,0))</f>
        <v/>
      </c>
      <c r="AJ127">
        <f>IF(AJ$4=0,0,IF(COUNTIFS(実績!$W$6:$W$505,AJ$3,実績!$AC$6:$AC$505,"&lt;="&amp;$A127,実績!$AD$6:$AD$505,"&gt;"&amp;$A127,実績!$AE$6:$AE$505,"○")&gt;0,1,0))</f>
        <v/>
      </c>
      <c r="AK127">
        <f>IF(AK$4=0,0,IF(COUNTIFS(実績!$W$6:$W$505,AK$3,実績!$AC$6:$AC$505,"&lt;="&amp;$A127,実績!$AD$6:$AD$505,"&gt;"&amp;$A127,実績!$AE$6:$AE$505,"○")&gt;0,1,0))</f>
        <v/>
      </c>
      <c r="AL127">
        <f>IF(AL$4=0,0,IF(COUNTIFS(実績!$W$6:$W$505,AL$3,実績!$AC$6:$AC$505,"&lt;="&amp;$A127,実績!$AD$6:$AD$505,"&gt;"&amp;$A127,実績!$AE$6:$AE$505,"○")&gt;0,1,0))</f>
        <v/>
      </c>
      <c r="AM127">
        <f>IF(AM$4=0,0,IF(COUNTIFS(実績!$W$6:$W$505,AM$3,実績!$AC$6:$AC$505,"&lt;="&amp;$A127,実績!$AD$6:$AD$505,"&gt;"&amp;$A127,実績!$AE$6:$AE$505,"○")&gt;0,1,0))</f>
        <v/>
      </c>
      <c r="AN127">
        <f>IF(AN$4=0,0,IF(COUNTIFS(実績!$W$6:$W$505,AN$3,実績!$AC$6:$AC$505,"&lt;="&amp;$A127,実績!$AD$6:$AD$505,"&gt;"&amp;$A127,実績!$AE$6:$AE$505,"○")&gt;0,1,0))</f>
        <v/>
      </c>
      <c r="AO127">
        <f>IF(AO$4=0,0,IF(COUNTIFS(実績!$W$6:$W$505,AO$3,実績!$AC$6:$AC$505,"&lt;="&amp;$A127,実績!$AD$6:$AD$505,"&gt;"&amp;$A127,実績!$AE$6:$AE$505,"○")&gt;0,1,0))</f>
        <v/>
      </c>
      <c r="AP127">
        <f>IF(AP$4=0,0,IF(COUNTIFS(実績!$W$6:$W$505,AP$3,実績!$AC$6:$AC$505,"&lt;="&amp;$A127,実績!$AD$6:$AD$505,"&gt;"&amp;$A127,実績!$AE$6:$AE$505,"○")&gt;0,1,0))</f>
        <v/>
      </c>
      <c r="AQ127">
        <f>IF(AQ$4=0,0,IF(COUNTIFS(実績!$W$6:$W$505,AQ$3,実績!$AC$6:$AC$505,"&lt;="&amp;$A127,実績!$AD$6:$AD$505,"&gt;"&amp;$A127,実績!$AE$6:$AE$505,"○")&gt;0,1,0))</f>
        <v/>
      </c>
      <c r="AR127">
        <f>IF(AR$4=0,0,IF(COUNTIFS(実績!$W$6:$W$505,AR$3,実績!$AC$6:$AC$505,"&lt;="&amp;$A127,実績!$AD$6:$AD$505,"&gt;"&amp;$A127,実績!$AE$6:$AE$505,"○")&gt;0,1,0))</f>
        <v/>
      </c>
      <c r="AS127">
        <f>IF(AS$4=0,0,IF(COUNTIFS(実績!$W$6:$W$505,AS$3,実績!$AC$6:$AC$505,"&lt;="&amp;$A127,実績!$AD$6:$AD$505,"&gt;"&amp;$A127,実績!$AE$6:$AE$505,"○")&gt;0,1,0))</f>
        <v/>
      </c>
      <c r="AT127">
        <f>IF(AT$4=0,0,IF(COUNTIFS(実績!$W$6:$W$505,AT$3,実績!$AC$6:$AC$505,"&lt;="&amp;$A127,実績!$AD$6:$AD$505,"&gt;"&amp;$A127,実績!$AE$6:$AE$505,"○")&gt;0,1,0))</f>
        <v/>
      </c>
      <c r="AU127">
        <f>IF(AU$4=0,0,IF(COUNTIFS(実績!$W$6:$W$505,AU$3,実績!$AC$6:$AC$505,"&lt;="&amp;$A127,実績!$AD$6:$AD$505,"&gt;"&amp;$A127,実績!$AE$6:$AE$505,"○")&gt;0,1,0))</f>
        <v/>
      </c>
      <c r="AV127">
        <f>IF(AV$4=0,0,IF(COUNTIFS(実績!$W$6:$W$505,AV$3,実績!$AC$6:$AC$505,"&lt;="&amp;$A127,実績!$AD$6:$AD$505,"&gt;"&amp;$A127,実績!$AE$6:$AE$505,"○")&gt;0,1,0))</f>
        <v/>
      </c>
      <c r="AW127">
        <f>IF(AW$4=0,0,IF(COUNTIFS(実績!$W$6:$W$505,AW$3,実績!$AC$6:$AC$505,"&lt;="&amp;$A127,実績!$AD$6:$AD$505,"&gt;"&amp;$A127,実績!$AE$6:$AE$505,"○")&gt;0,1,0))</f>
        <v/>
      </c>
      <c r="AX127">
        <f>IF(AX$4=0,0,IF(COUNTIFS(実績!$W$6:$W$505,AX$3,実績!$AC$6:$AC$505,"&lt;="&amp;$A127,実績!$AD$6:$AD$505,"&gt;"&amp;$A127,実績!$AE$6:$AE$505,"○")&gt;0,1,0))</f>
        <v/>
      </c>
      <c r="AY127">
        <f>IF(AY$4=0,0,IF(COUNTIFS(実績!$W$6:$W$505,AY$3,実績!$AC$6:$AC$505,"&lt;="&amp;$A127,実績!$AD$6:$AD$505,"&gt;"&amp;$A127,実績!$AE$6:$AE$505,"○")&gt;0,1,0))</f>
        <v/>
      </c>
      <c r="AZ127">
        <f>IF(AZ$4=0,0,IF(COUNTIFS(実績!$W$6:$W$505,AZ$3,実績!$AC$6:$AC$505,"&lt;="&amp;$A127,実績!$AD$6:$AD$505,"&gt;"&amp;$A127,実績!$AE$6:$AE$505,"○")&gt;0,1,0))</f>
        <v/>
      </c>
      <c r="BA127">
        <f>IF(BA$4=0,0,IF(COUNTIFS(実績!$W$6:$W$505,BA$3,実績!$AC$6:$AC$505,"&lt;="&amp;$A127,実績!$AD$6:$AD$505,"&gt;"&amp;$A127,実績!$AE$6:$AE$505,"○")&gt;0,1,0))</f>
        <v/>
      </c>
      <c r="BB127">
        <f>IF(BB$4=0,0,IF(COUNTIFS(実績!$W$6:$W$505,BB$3,実績!$AC$6:$AC$505,"&lt;="&amp;$A127,実績!$AD$6:$AD$505,"&gt;"&amp;$A127,実績!$AE$6:$AE$505,"○")&gt;0,1,0))</f>
        <v/>
      </c>
      <c r="BC127">
        <f>IF(BC$4=0,0,IF(COUNTIFS(実績!$W$6:$W$505,BC$3,実績!$AC$6:$AC$505,"&lt;="&amp;$A127,実績!$AD$6:$AD$505,"&gt;"&amp;$A127,実績!$AE$6:$AE$505,"○")&gt;0,1,0))</f>
        <v/>
      </c>
      <c r="BD127">
        <f>IF(BD$4=0,0,IF(COUNTIFS(実績!$W$6:$W$505,BD$3,実績!$AC$6:$AC$505,"&lt;="&amp;$A127,実績!$AD$6:$AD$505,"&gt;"&amp;$A127,実績!$AE$6:$AE$505,"○")&gt;0,1,0))</f>
        <v/>
      </c>
      <c r="BE127">
        <f>IF(BE$4=0,0,IF(COUNTIFS(実績!$W$6:$W$505,BE$3,実績!$AC$6:$AC$505,"&lt;="&amp;$A127,実績!$AD$6:$AD$505,"&gt;"&amp;$A127,実績!$AE$6:$AE$505,"○")&gt;0,1,0))</f>
        <v/>
      </c>
      <c r="BF127">
        <f>IF(BF$4=0,0,IF(COUNTIFS(実績!$W$6:$W$505,BF$3,実績!$AC$6:$AC$505,"&lt;="&amp;$A127,実績!$AD$6:$AD$505,"&gt;"&amp;$A127,実績!$AE$6:$AE$505,"○")&gt;0,1,0))</f>
        <v/>
      </c>
      <c r="BG127">
        <f>IF(BG$4=0,0,IF(COUNTIFS(実績!$W$6:$W$505,BG$3,実績!$AC$6:$AC$505,"&lt;="&amp;$A127,実績!$AD$6:$AD$505,"&gt;"&amp;$A127,実績!$AE$6:$AE$505,"○")&gt;0,1,0))</f>
        <v/>
      </c>
      <c r="BH127">
        <f>IF(BH$4=0,0,IF(COUNTIFS(実績!$W$6:$W$505,BH$3,実績!$AC$6:$AC$505,"&lt;="&amp;$A127,実績!$AD$6:$AD$505,"&gt;"&amp;$A127,実績!$AE$6:$AE$505,"○")&gt;0,1,0))</f>
        <v/>
      </c>
      <c r="BI127">
        <f>IF(BI$4=0,0,IF(COUNTIFS(実績!$W$6:$W$505,BI$3,実績!$AC$6:$AC$505,"&lt;="&amp;$A127,実績!$AD$6:$AD$505,"&gt;"&amp;$A127,実績!$AE$6:$AE$505,"○")&gt;0,1,0))</f>
        <v/>
      </c>
      <c r="BJ127">
        <f>IF(BJ$4=0,0,IF(COUNTIFS(実績!$W$6:$W$505,BJ$3,実績!$AC$6:$AC$505,"&lt;="&amp;$A127,実績!$AD$6:$AD$505,"&gt;"&amp;$A127,実績!$AE$6:$AE$505,"○")&gt;0,1,0))</f>
        <v/>
      </c>
      <c r="BK127">
        <f>IF(BK$4=0,0,IF(COUNTIFS(実績!$W$6:$W$505,BK$3,実績!$AC$6:$AC$505,"&lt;="&amp;$A127,実績!$AD$6:$AD$505,"&gt;"&amp;$A127,実績!$AE$6:$AE$505,"○")&gt;0,1,0))</f>
        <v/>
      </c>
      <c r="BL127">
        <f>IF(BL$4=0,0,IF(COUNTIFS(実績!$W$6:$W$505,BL$3,実績!$AC$6:$AC$505,"&lt;="&amp;$A127,実績!$AD$6:$AD$505,"&gt;"&amp;$A127,実績!$AE$6:$AE$505,"○")&gt;0,1,0))</f>
        <v/>
      </c>
      <c r="BM127">
        <f>IF(BM$4=0,0,IF(COUNTIFS(実績!$W$6:$W$505,BM$3,実績!$AC$6:$AC$505,"&lt;="&amp;$A127,実績!$AD$6:$AD$505,"&gt;"&amp;$A127,実績!$AE$6:$AE$505,"○")&gt;0,1,0))</f>
        <v/>
      </c>
      <c r="BN127">
        <f>IF(BN$4=0,0,IF(COUNTIFS(実績!$W$6:$W$505,BN$3,実績!$AC$6:$AC$505,"&lt;="&amp;$A127,実績!$AD$6:$AD$505,"&gt;"&amp;$A127,実績!$AE$6:$AE$505,"○")&gt;0,1,0))</f>
        <v/>
      </c>
      <c r="BO127">
        <f>IF(BO$4=0,0,IF(COUNTIFS(実績!$W$6:$W$505,BO$3,実績!$AC$6:$AC$505,"&lt;="&amp;$A127,実績!$AD$6:$AD$505,"&gt;"&amp;$A127,実績!$AE$6:$AE$505,"○")&gt;0,1,0))</f>
        <v/>
      </c>
      <c r="BP127">
        <f>IF(BP$4=0,0,IF(COUNTIFS(実績!$W$6:$W$505,BP$3,実績!$AC$6:$AC$505,"&lt;="&amp;$A127,実績!$AD$6:$AD$505,"&gt;"&amp;$A127,実績!$AE$6:$AE$505,"○")&gt;0,1,0))</f>
        <v/>
      </c>
      <c r="BQ127">
        <f>IF(BQ$4=0,0,IF(COUNTIFS(実績!$W$6:$W$505,BQ$3,実績!$AC$6:$AC$505,"&lt;="&amp;$A127,実績!$AD$6:$AD$505,"&gt;"&amp;$A127,実績!$AE$6:$AE$505,"○")&gt;0,1,0))</f>
        <v/>
      </c>
      <c r="BR127">
        <f>IF(BR$4=0,0,IF(COUNTIFS(実績!$W$6:$W$505,BR$3,実績!$AC$6:$AC$505,"&lt;="&amp;$A127,実績!$AD$6:$AD$505,"&gt;"&amp;$A127,実績!$AE$6:$AE$505,"○")&gt;0,1,0))</f>
        <v/>
      </c>
      <c r="BS127">
        <f>IF(BS$4=0,0,IF(COUNTIFS(実績!$W$6:$W$505,BS$3,実績!$AC$6:$AC$505,"&lt;="&amp;$A127,実績!$AD$6:$AD$505,"&gt;"&amp;$A127,実績!$AE$6:$AE$505,"○")&gt;0,1,0))</f>
        <v/>
      </c>
      <c r="BT127">
        <f>IF(BT$4=0,0,IF(COUNTIFS(実績!$W$6:$W$505,BT$3,実績!$AC$6:$AC$505,"&lt;="&amp;$A127,実績!$AD$6:$AD$505,"&gt;"&amp;$A127,実績!$AE$6:$AE$505,"○")&gt;0,1,0))</f>
        <v/>
      </c>
      <c r="BU127">
        <f>IF(BU$4=0,0,IF(COUNTIFS(実績!$W$6:$W$505,BU$3,実績!$AC$6:$AC$505,"&lt;="&amp;$A127,実績!$AD$6:$AD$505,"&gt;"&amp;$A127,実績!$AE$6:$AE$505,"○")&gt;0,1,0))</f>
        <v/>
      </c>
      <c r="BV127">
        <f>IF(BV$4=0,0,IF(COUNTIFS(実績!$W$6:$W$505,BV$3,実績!$AC$6:$AC$505,"&lt;="&amp;$A127,実績!$AD$6:$AD$505,"&gt;"&amp;$A127,実績!$AE$6:$AE$505,"○")&gt;0,1,0))</f>
        <v/>
      </c>
      <c r="BW127">
        <f>IF(BW$4=0,0,IF(COUNTIFS(実績!$W$6:$W$505,BW$3,実績!$AC$6:$AC$505,"&lt;="&amp;$A127,実績!$AD$6:$AD$505,"&gt;"&amp;$A127,実績!$AE$6:$AE$505,"○")&gt;0,1,0))</f>
        <v/>
      </c>
      <c r="BX127">
        <f>IF(BX$4=0,0,IF(COUNTIFS(実績!$W$6:$W$505,BX$3,実績!$AC$6:$AC$505,"&lt;="&amp;$A127,実績!$AD$6:$AD$505,"&gt;"&amp;$A127,実績!$AE$6:$AE$505,"○")&gt;0,1,0))</f>
        <v/>
      </c>
      <c r="BY127">
        <f>IF(BY$4=0,0,IF(COUNTIFS(実績!$W$6:$W$505,BY$3,実績!$AC$6:$AC$505,"&lt;="&amp;$A127,実績!$AD$6:$AD$505,"&gt;"&amp;$A127,実績!$AE$6:$AE$505,"○")&gt;0,1,0))</f>
        <v/>
      </c>
      <c r="BZ127">
        <f>IF(BZ$4=0,0,IF(COUNTIFS(実績!$W$6:$W$505,BZ$3,実績!$AC$6:$AC$505,"&lt;="&amp;$A127,実績!$AD$6:$AD$505,"&gt;"&amp;$A127,実績!$AE$6:$AE$505,"○")&gt;0,1,0))</f>
        <v/>
      </c>
      <c r="CA127">
        <f>IF(CA$4=0,0,IF(COUNTIFS(実績!$W$6:$W$505,CA$3,実績!$AC$6:$AC$505,"&lt;="&amp;$A127,実績!$AD$6:$AD$505,"&gt;"&amp;$A127,実績!$AE$6:$AE$505,"○")&gt;0,1,0))</f>
        <v/>
      </c>
      <c r="CB127">
        <f>IF(CB$4=0,0,IF(COUNTIFS(実績!$W$6:$W$505,CB$3,実績!$AC$6:$AC$505,"&lt;="&amp;$A127,実績!$AD$6:$AD$505,"&gt;"&amp;$A127,実績!$AE$6:$AE$505,"○")&gt;0,1,0))</f>
        <v/>
      </c>
      <c r="CC127">
        <f>IF(CC$4=0,0,IF(COUNTIFS(実績!$W$6:$W$505,CC$3,実績!$AC$6:$AC$505,"&lt;="&amp;$A127,実績!$AD$6:$AD$505,"&gt;"&amp;$A127,実績!$AE$6:$AE$505,"○")&gt;0,1,0))</f>
        <v/>
      </c>
      <c r="CD127">
        <f>IF(CD$4=0,0,IF(COUNTIFS(実績!$W$6:$W$505,CD$3,実績!$AC$6:$AC$505,"&lt;="&amp;$A127,実績!$AD$6:$AD$505,"&gt;"&amp;$A127,実績!$AE$6:$AE$505,"○")&gt;0,1,0))</f>
        <v/>
      </c>
      <c r="CE127">
        <f>IF(CE$4=0,0,IF(COUNTIFS(実績!$W$6:$W$505,CE$3,実績!$AC$6:$AC$505,"&lt;="&amp;$A127,実績!$AD$6:$AD$505,"&gt;"&amp;$A127,実績!$AE$6:$AE$505,"○")&gt;0,1,0))</f>
        <v/>
      </c>
      <c r="CF127">
        <f>IF(CF$4=0,0,IF(COUNTIFS(実績!$W$6:$W$505,CF$3,実績!$AC$6:$AC$505,"&lt;="&amp;$A127,実績!$AD$6:$AD$505,"&gt;"&amp;$A127,実績!$AE$6:$AE$505,"○")&gt;0,1,0))</f>
        <v/>
      </c>
      <c r="CG127">
        <f>IF(CG$4=0,0,IF(COUNTIFS(実績!$W$6:$W$505,CG$3,実績!$AC$6:$AC$505,"&lt;="&amp;$A127,実績!$AD$6:$AD$505,"&gt;"&amp;$A127,実績!$AE$6:$AE$505,"○")&gt;0,1,0))</f>
        <v/>
      </c>
      <c r="CH127">
        <f>IF(CH$4=0,0,IF(COUNTIFS(実績!$W$6:$W$505,CH$3,実績!$AC$6:$AC$505,"&lt;="&amp;$A127,実績!$AD$6:$AD$505,"&gt;"&amp;$A127,実績!$AE$6:$AE$505,"○")&gt;0,1,0))</f>
        <v/>
      </c>
      <c r="CI127">
        <f>IF(CI$4=0,0,IF(COUNTIFS(実績!$W$6:$W$505,CI$3,実績!$AC$6:$AC$505,"&lt;="&amp;$A127,実績!$AD$6:$AD$505,"&gt;"&amp;$A127,実績!$AE$6:$AE$505,"○")&gt;0,1,0))</f>
        <v/>
      </c>
      <c r="CJ127">
        <f>IF(CJ$4=0,0,IF(COUNTIFS(実績!$W$6:$W$505,CJ$3,実績!$AC$6:$AC$505,"&lt;="&amp;$A127,実績!$AD$6:$AD$505,"&gt;"&amp;$A127,実績!$AE$6:$AE$505,"○")&gt;0,1,0))</f>
        <v/>
      </c>
      <c r="CK127">
        <f>IF(CK$4=0,0,IF(COUNTIFS(実績!$W$6:$W$505,CK$3,実績!$AC$6:$AC$505,"&lt;="&amp;$A127,実績!$AD$6:$AD$505,"&gt;"&amp;$A127,実績!$AE$6:$AE$505,"○")&gt;0,1,0))</f>
        <v/>
      </c>
      <c r="CL127">
        <f>IF(CL$4=0,0,IF(COUNTIFS(実績!$W$6:$W$505,CL$3,実績!$AC$6:$AC$505,"&lt;="&amp;$A127,実績!$AD$6:$AD$505,"&gt;"&amp;$A127,実績!$AE$6:$AE$505,"○")&gt;0,1,0))</f>
        <v/>
      </c>
      <c r="CM127">
        <f>IF(CM$4=0,0,IF(COUNTIFS(実績!$W$6:$W$505,CM$3,実績!$AC$6:$AC$505,"&lt;="&amp;$A127,実績!$AD$6:$AD$505,"&gt;"&amp;$A127,実績!$AE$6:$AE$505,"○")&gt;0,1,0))</f>
        <v/>
      </c>
      <c r="CN127">
        <f>IF(CN$4=0,0,IF(COUNTIFS(実績!$W$6:$W$505,CN$3,実績!$AC$6:$AC$505,"&lt;="&amp;$A127,実績!$AD$6:$AD$505,"&gt;"&amp;$A127,実績!$AE$6:$AE$505,"○")&gt;0,1,0))</f>
        <v/>
      </c>
      <c r="CO127">
        <f>IF(CO$4=0,0,IF(COUNTIFS(実績!$W$6:$W$505,CO$3,実績!$AC$6:$AC$505,"&lt;="&amp;$A127,実績!$AD$6:$AD$505,"&gt;"&amp;$A127,実績!$AE$6:$AE$505,"○")&gt;0,1,0))</f>
        <v/>
      </c>
      <c r="CP127">
        <f>IF(CP$4=0,0,IF(COUNTIFS(実績!$W$6:$W$505,CP$3,実績!$AC$6:$AC$505,"&lt;="&amp;$A127,実績!$AD$6:$AD$505,"&gt;"&amp;$A127,実績!$AE$6:$AE$505,"○")&gt;0,1,0))</f>
        <v/>
      </c>
      <c r="CQ127">
        <f>IF(CQ$4=0,0,IF(COUNTIFS(実績!$W$6:$W$505,CQ$3,実績!$AC$6:$AC$505,"&lt;="&amp;$A127,実績!$AD$6:$AD$505,"&gt;"&amp;$A127,実績!$AE$6:$AE$505,"○")&gt;0,1,0))</f>
        <v/>
      </c>
      <c r="CR127">
        <f>IF(CR$4=0,0,IF(COUNTIFS(実績!$W$6:$W$505,CR$3,実績!$AC$6:$AC$505,"&lt;="&amp;$A127,実績!$AD$6:$AD$505,"&gt;"&amp;$A127,実績!$AE$6:$AE$505,"○")&gt;0,1,0))</f>
        <v/>
      </c>
      <c r="CS127">
        <f>IF(CS$4=0,0,IF(COUNTIFS(実績!$W$6:$W$505,CS$3,実績!$AC$6:$AC$505,"&lt;="&amp;$A127,実績!$AD$6:$AD$505,"&gt;"&amp;$A127,実績!$AE$6:$AE$505,"○")&gt;0,1,0))</f>
        <v/>
      </c>
      <c r="CT127">
        <f>IF(CT$4=0,0,IF(COUNTIFS(実績!$W$6:$W$505,CT$3,実績!$AC$6:$AC$505,"&lt;="&amp;$A127,実績!$AD$6:$AD$505,"&gt;"&amp;$A127,実績!$AE$6:$AE$505,"○")&gt;0,1,0))</f>
        <v/>
      </c>
      <c r="CU127">
        <f>IF(CU$4=0,0,IF(COUNTIFS(実績!$W$6:$W$505,CU$3,実績!$AC$6:$AC$505,"&lt;="&amp;$A127,実績!$AD$6:$AD$505,"&gt;"&amp;$A127,実績!$AE$6:$AE$505,"○")&gt;0,1,0))</f>
        <v/>
      </c>
      <c r="CV127">
        <f>IF(CV$4=0,0,IF(COUNTIFS(実績!$W$6:$W$505,CV$3,実績!$AC$6:$AC$505,"&lt;="&amp;$A127,実績!$AD$6:$AD$505,"&gt;"&amp;$A127,実績!$AE$6:$AE$505,"○")&gt;0,1,0))</f>
        <v/>
      </c>
      <c r="CW127">
        <f>IF(CW$4=0,0,IF(COUNTIFS(実績!$W$6:$W$505,CW$3,実績!$AC$6:$AC$505,"&lt;="&amp;$A127,実績!$AD$6:$AD$505,"&gt;"&amp;$A127,実績!$AE$6:$AE$505,"○")&gt;0,1,0))</f>
        <v/>
      </c>
      <c r="CX127">
        <f>IF(CX$4=0,0,IF(COUNTIFS(実績!$W$6:$W$505,CX$3,実績!$AC$6:$AC$505,"&lt;="&amp;$A127,実績!$AD$6:$AD$505,"&gt;"&amp;$A127,実績!$AE$6:$AE$505,"○")&gt;0,1,0))</f>
        <v/>
      </c>
      <c r="CY127">
        <f>IF(CY$4=0,0,IF(COUNTIFS(実績!$W$6:$W$505,CY$3,実績!$AC$6:$AC$505,"&lt;="&amp;$A127,実績!$AD$6:$AD$505,"&gt;"&amp;$A127,実績!$AE$6:$AE$505,"○")&gt;0,1,0))</f>
        <v/>
      </c>
      <c r="CZ127">
        <f>IF(CZ$4=0,0,IF(COUNTIFS(実績!$W$6:$W$505,CZ$3,実績!$AC$6:$AC$505,"&lt;="&amp;$A127,実績!$AD$6:$AD$505,"&gt;"&amp;$A127,実績!$AE$6:$AE$505,"○")&gt;0,1,0))</f>
        <v/>
      </c>
      <c r="DA127">
        <f>IF(DA$4=0,0,IF(COUNTIFS(実績!$W$6:$W$505,DA$3,実績!$AC$6:$AC$505,"&lt;="&amp;$A127,実績!$AD$6:$AD$505,"&gt;"&amp;$A127,実績!$AE$6:$AE$505,"○")&gt;0,1,0))</f>
        <v/>
      </c>
      <c r="DB127">
        <f>IF(DB$4=0,0,IF(COUNTIFS(実績!$W$6:$W$505,DB$3,実績!$AC$6:$AC$505,"&lt;="&amp;$A127,実績!$AD$6:$AD$505,"&gt;"&amp;$A127,実績!$AE$6:$AE$505,"○")&gt;0,1,0))</f>
        <v/>
      </c>
      <c r="DC127">
        <f>IF(DC$4=0,0,IF(COUNTIFS(実績!$W$6:$W$505,DC$3,実績!$AC$6:$AC$505,"&lt;="&amp;$A127,実績!$AD$6:$AD$505,"&gt;"&amp;$A127,実績!$AE$6:$AE$505,"○")&gt;0,1,0))</f>
        <v/>
      </c>
      <c r="DD127">
        <f>IF(DD$4=0,0,IF(COUNTIFS(実績!$W$6:$W$505,DD$3,実績!$AC$6:$AC$505,"&lt;="&amp;$A127,実績!$AD$6:$AD$505,"&gt;"&amp;$A127,実績!$AE$6:$AE$505,"○")&gt;0,1,0))</f>
        <v/>
      </c>
      <c r="DE127">
        <f>IF(DE$4=0,0,IF(COUNTIFS(実績!$W$6:$W$505,DE$3,実績!$AC$6:$AC$505,"&lt;="&amp;$A127,実績!$AD$6:$AD$505,"&gt;"&amp;$A127,実績!$AE$6:$AE$505,"○")&gt;0,1,0))</f>
        <v/>
      </c>
      <c r="DF127">
        <f>IF(DF$4=0,0,IF(COUNTIFS(実績!$W$6:$W$505,DF$3,実績!$AC$6:$AC$505,"&lt;="&amp;$A127,実績!$AD$6:$AD$505,"&gt;"&amp;$A127,実績!$AE$6:$AE$505,"○")&gt;0,1,0))</f>
        <v/>
      </c>
      <c r="DG127">
        <f>IF(DG$4=0,0,IF(COUNTIFS(実績!$W$6:$W$505,DG$3,実績!$AC$6:$AC$505,"&lt;="&amp;$A127,実績!$AD$6:$AD$505,"&gt;"&amp;$A127,実績!$AE$6:$AE$505,"○")&gt;0,1,0))</f>
        <v/>
      </c>
      <c r="DH127">
        <f>IF(DH$4=0,0,IF(COUNTIFS(実績!$W$6:$W$505,DH$3,実績!$AC$6:$AC$505,"&lt;="&amp;$A127,実績!$AD$6:$AD$505,"&gt;"&amp;$A127,実績!$AE$6:$AE$505,"○")&gt;0,1,0))</f>
        <v/>
      </c>
      <c r="DI127">
        <f>IF(DI$4=0,0,IF(COUNTIFS(実績!$W$6:$W$505,DI$3,実績!$AC$6:$AC$505,"&lt;="&amp;$A127,実績!$AD$6:$AD$505,"&gt;"&amp;$A127,実績!$AE$6:$AE$505,"○")&gt;0,1,0))</f>
        <v/>
      </c>
      <c r="DJ127">
        <f>IF(DJ$4=0,0,IF(COUNTIFS(実績!$W$6:$W$505,DJ$3,実績!$AC$6:$AC$505,"&lt;="&amp;$A127,実績!$AD$6:$AD$505,"&gt;"&amp;$A127,実績!$AE$6:$AE$505,"○")&gt;0,1,0))</f>
        <v/>
      </c>
      <c r="DK127">
        <f>IF(DK$4=0,0,IF(COUNTIFS(実績!$W$6:$W$505,DK$3,実績!$AC$6:$AC$505,"&lt;="&amp;$A127,実績!$AD$6:$AD$505,"&gt;"&amp;$A127,実績!$AE$6:$AE$505,"○")&gt;0,1,0))</f>
        <v/>
      </c>
      <c r="DL127">
        <f>IF(DL$4=0,0,IF(COUNTIFS(実績!$W$6:$W$505,DL$3,実績!$AC$6:$AC$505,"&lt;="&amp;$A127,実績!$AD$6:$AD$505,"&gt;"&amp;$A127,実績!$AE$6:$AE$505,"○")&gt;0,1,0))</f>
        <v/>
      </c>
      <c r="DM127">
        <f>IF(DM$4=0,0,IF(COUNTIFS(実績!$W$6:$W$505,DM$3,実績!$AC$6:$AC$505,"&lt;="&amp;$A127,実績!$AD$6:$AD$505,"&gt;"&amp;$A127,実績!$AE$6:$AE$505,"○")&gt;0,1,0))</f>
        <v/>
      </c>
      <c r="DN127">
        <f>IF(DN$4=0,0,IF(COUNTIFS(実績!$W$6:$W$505,DN$3,実績!$AC$6:$AC$505,"&lt;="&amp;$A127,実績!$AD$6:$AD$505,"&gt;"&amp;$A127,実績!$AE$6:$AE$505,"○")&gt;0,1,0))</f>
        <v/>
      </c>
      <c r="DO127">
        <f>IF(DO$4=0,0,IF(COUNTIFS(実績!$W$6:$W$505,DO$3,実績!$AC$6:$AC$505,"&lt;="&amp;$A127,実績!$AD$6:$AD$505,"&gt;"&amp;$A127,実績!$AE$6:$AE$505,"○")&gt;0,1,0))</f>
        <v/>
      </c>
      <c r="DP127">
        <f>IF(DP$4=0,0,IF(COUNTIFS(実績!$W$6:$W$505,DP$3,実績!$AC$6:$AC$505,"&lt;="&amp;$A127,実績!$AD$6:$AD$505,"&gt;"&amp;$A127,実績!$AE$6:$AE$505,"○")&gt;0,1,0))</f>
        <v/>
      </c>
      <c r="DQ127">
        <f>IF(DQ$4=0,0,IF(COUNTIFS(実績!$W$6:$W$505,DQ$3,実績!$AC$6:$AC$505,"&lt;="&amp;$A127,実績!$AD$6:$AD$505,"&gt;"&amp;$A127,実績!$AE$6:$AE$505,"○")&gt;0,1,0))</f>
        <v/>
      </c>
      <c r="DR127">
        <f>IF(DR$4=0,0,IF(COUNTIFS(実績!$W$6:$W$505,DR$3,実績!$AC$6:$AC$505,"&lt;="&amp;$A127,実績!$AD$6:$AD$505,"&gt;"&amp;$A127,実績!$AE$6:$AE$505,"○")&gt;0,1,0))</f>
        <v/>
      </c>
      <c r="DS127">
        <f>SUM(C127:DR127)</f>
        <v/>
      </c>
      <c r="DT127">
        <f>SUMPRODUCT((実績!$C$6:$C$505="○")*ISNUMBER(実績!$AF$6:$AF$505)*(実績!$AF$6:$AF$505&lt;=$A127)*(実績!$AG$6:$AG$505&gt;$A127))</f>
        <v/>
      </c>
      <c r="DU127">
        <f>SUMIF($C$2:$DR$2,"製鉄曳船",C127:DR127)</f>
        <v/>
      </c>
      <c r="DV127">
        <f>SUMIF($C$2:$DR$2,"西日本海運",C127:DR127)</f>
        <v/>
      </c>
    </row>
    <row r="128">
      <c r="A128" t="n">
        <v>610</v>
      </c>
      <c r="B128" s="29">
        <f>A128/1440</f>
        <v/>
      </c>
      <c r="C128">
        <f>IF(C$4=0,0,IF(COUNTIFS(実績!$W$6:$W$505,C$3,実績!$AC$6:$AC$505,"&lt;="&amp;$A128,実績!$AD$6:$AD$505,"&gt;"&amp;$A128,実績!$AE$6:$AE$505,"○")&gt;0,1,0))</f>
        <v/>
      </c>
      <c r="D128">
        <f>IF(D$4=0,0,IF(COUNTIFS(実績!$W$6:$W$505,D$3,実績!$AC$6:$AC$505,"&lt;="&amp;$A128,実績!$AD$6:$AD$505,"&gt;"&amp;$A128,実績!$AE$6:$AE$505,"○")&gt;0,1,0))</f>
        <v/>
      </c>
      <c r="E128">
        <f>IF(E$4=0,0,IF(COUNTIFS(実績!$W$6:$W$505,E$3,実績!$AC$6:$AC$505,"&lt;="&amp;$A128,実績!$AD$6:$AD$505,"&gt;"&amp;$A128,実績!$AE$6:$AE$505,"○")&gt;0,1,0))</f>
        <v/>
      </c>
      <c r="F128">
        <f>IF(F$4=0,0,IF(COUNTIFS(実績!$W$6:$W$505,F$3,実績!$AC$6:$AC$505,"&lt;="&amp;$A128,実績!$AD$6:$AD$505,"&gt;"&amp;$A128,実績!$AE$6:$AE$505,"○")&gt;0,1,0))</f>
        <v/>
      </c>
      <c r="G128">
        <f>IF(G$4=0,0,IF(COUNTIFS(実績!$W$6:$W$505,G$3,実績!$AC$6:$AC$505,"&lt;="&amp;$A128,実績!$AD$6:$AD$505,"&gt;"&amp;$A128,実績!$AE$6:$AE$505,"○")&gt;0,1,0))</f>
        <v/>
      </c>
      <c r="H128">
        <f>IF(H$4=0,0,IF(COUNTIFS(実績!$W$6:$W$505,H$3,実績!$AC$6:$AC$505,"&lt;="&amp;$A128,実績!$AD$6:$AD$505,"&gt;"&amp;$A128,実績!$AE$6:$AE$505,"○")&gt;0,1,0))</f>
        <v/>
      </c>
      <c r="I128">
        <f>IF(I$4=0,0,IF(COUNTIFS(実績!$W$6:$W$505,I$3,実績!$AC$6:$AC$505,"&lt;="&amp;$A128,実績!$AD$6:$AD$505,"&gt;"&amp;$A128,実績!$AE$6:$AE$505,"○")&gt;0,1,0))</f>
        <v/>
      </c>
      <c r="J128">
        <f>IF(J$4=0,0,IF(COUNTIFS(実績!$W$6:$W$505,J$3,実績!$AC$6:$AC$505,"&lt;="&amp;$A128,実績!$AD$6:$AD$505,"&gt;"&amp;$A128,実績!$AE$6:$AE$505,"○")&gt;0,1,0))</f>
        <v/>
      </c>
      <c r="K128">
        <f>IF(K$4=0,0,IF(COUNTIFS(実績!$W$6:$W$505,K$3,実績!$AC$6:$AC$505,"&lt;="&amp;$A128,実績!$AD$6:$AD$505,"&gt;"&amp;$A128,実績!$AE$6:$AE$505,"○")&gt;0,1,0))</f>
        <v/>
      </c>
      <c r="L128">
        <f>IF(L$4=0,0,IF(COUNTIFS(実績!$W$6:$W$505,L$3,実績!$AC$6:$AC$505,"&lt;="&amp;$A128,実績!$AD$6:$AD$505,"&gt;"&amp;$A128,実績!$AE$6:$AE$505,"○")&gt;0,1,0))</f>
        <v/>
      </c>
      <c r="M128">
        <f>IF(M$4=0,0,IF(COUNTIFS(実績!$W$6:$W$505,M$3,実績!$AC$6:$AC$505,"&lt;="&amp;$A128,実績!$AD$6:$AD$505,"&gt;"&amp;$A128,実績!$AE$6:$AE$505,"○")&gt;0,1,0))</f>
        <v/>
      </c>
      <c r="N128">
        <f>IF(N$4=0,0,IF(COUNTIFS(実績!$W$6:$W$505,N$3,実績!$AC$6:$AC$505,"&lt;="&amp;$A128,実績!$AD$6:$AD$505,"&gt;"&amp;$A128,実績!$AE$6:$AE$505,"○")&gt;0,1,0))</f>
        <v/>
      </c>
      <c r="O128">
        <f>IF(O$4=0,0,IF(COUNTIFS(実績!$W$6:$W$505,O$3,実績!$AC$6:$AC$505,"&lt;="&amp;$A128,実績!$AD$6:$AD$505,"&gt;"&amp;$A128,実績!$AE$6:$AE$505,"○")&gt;0,1,0))</f>
        <v/>
      </c>
      <c r="P128">
        <f>IF(P$4=0,0,IF(COUNTIFS(実績!$W$6:$W$505,P$3,実績!$AC$6:$AC$505,"&lt;="&amp;$A128,実績!$AD$6:$AD$505,"&gt;"&amp;$A128,実績!$AE$6:$AE$505,"○")&gt;0,1,0))</f>
        <v/>
      </c>
      <c r="Q128">
        <f>IF(Q$4=0,0,IF(COUNTIFS(実績!$W$6:$W$505,Q$3,実績!$AC$6:$AC$505,"&lt;="&amp;$A128,実績!$AD$6:$AD$505,"&gt;"&amp;$A128,実績!$AE$6:$AE$505,"○")&gt;0,1,0))</f>
        <v/>
      </c>
      <c r="R128">
        <f>IF(R$4=0,0,IF(COUNTIFS(実績!$W$6:$W$505,R$3,実績!$AC$6:$AC$505,"&lt;="&amp;$A128,実績!$AD$6:$AD$505,"&gt;"&amp;$A128,実績!$AE$6:$AE$505,"○")&gt;0,1,0))</f>
        <v/>
      </c>
      <c r="S128">
        <f>IF(S$4=0,0,IF(COUNTIFS(実績!$W$6:$W$505,S$3,実績!$AC$6:$AC$505,"&lt;="&amp;$A128,実績!$AD$6:$AD$505,"&gt;"&amp;$A128,実績!$AE$6:$AE$505,"○")&gt;0,1,0))</f>
        <v/>
      </c>
      <c r="T128">
        <f>IF(T$4=0,0,IF(COUNTIFS(実績!$W$6:$W$505,T$3,実績!$AC$6:$AC$505,"&lt;="&amp;$A128,実績!$AD$6:$AD$505,"&gt;"&amp;$A128,実績!$AE$6:$AE$505,"○")&gt;0,1,0))</f>
        <v/>
      </c>
      <c r="U128">
        <f>IF(U$4=0,0,IF(COUNTIFS(実績!$W$6:$W$505,U$3,実績!$AC$6:$AC$505,"&lt;="&amp;$A128,実績!$AD$6:$AD$505,"&gt;"&amp;$A128,実績!$AE$6:$AE$505,"○")&gt;0,1,0))</f>
        <v/>
      </c>
      <c r="V128">
        <f>IF(V$4=0,0,IF(COUNTIFS(実績!$W$6:$W$505,V$3,実績!$AC$6:$AC$505,"&lt;="&amp;$A128,実績!$AD$6:$AD$505,"&gt;"&amp;$A128,実績!$AE$6:$AE$505,"○")&gt;0,1,0))</f>
        <v/>
      </c>
      <c r="W128">
        <f>IF(W$4=0,0,IF(COUNTIFS(実績!$W$6:$W$505,W$3,実績!$AC$6:$AC$505,"&lt;="&amp;$A128,実績!$AD$6:$AD$505,"&gt;"&amp;$A128,実績!$AE$6:$AE$505,"○")&gt;0,1,0))</f>
        <v/>
      </c>
      <c r="X128">
        <f>IF(X$4=0,0,IF(COUNTIFS(実績!$W$6:$W$505,X$3,実績!$AC$6:$AC$505,"&lt;="&amp;$A128,実績!$AD$6:$AD$505,"&gt;"&amp;$A128,実績!$AE$6:$AE$505,"○")&gt;0,1,0))</f>
        <v/>
      </c>
      <c r="Y128">
        <f>IF(Y$4=0,0,IF(COUNTIFS(実績!$W$6:$W$505,Y$3,実績!$AC$6:$AC$505,"&lt;="&amp;$A128,実績!$AD$6:$AD$505,"&gt;"&amp;$A128,実績!$AE$6:$AE$505,"○")&gt;0,1,0))</f>
        <v/>
      </c>
      <c r="Z128">
        <f>IF(Z$4=0,0,IF(COUNTIFS(実績!$W$6:$W$505,Z$3,実績!$AC$6:$AC$505,"&lt;="&amp;$A128,実績!$AD$6:$AD$505,"&gt;"&amp;$A128,実績!$AE$6:$AE$505,"○")&gt;0,1,0))</f>
        <v/>
      </c>
      <c r="AA128">
        <f>IF(AA$4=0,0,IF(COUNTIFS(実績!$W$6:$W$505,AA$3,実績!$AC$6:$AC$505,"&lt;="&amp;$A128,実績!$AD$6:$AD$505,"&gt;"&amp;$A128,実績!$AE$6:$AE$505,"○")&gt;0,1,0))</f>
        <v/>
      </c>
      <c r="AB128">
        <f>IF(AB$4=0,0,IF(COUNTIFS(実績!$W$6:$W$505,AB$3,実績!$AC$6:$AC$505,"&lt;="&amp;$A128,実績!$AD$6:$AD$505,"&gt;"&amp;$A128,実績!$AE$6:$AE$505,"○")&gt;0,1,0))</f>
        <v/>
      </c>
      <c r="AC128">
        <f>IF(AC$4=0,0,IF(COUNTIFS(実績!$W$6:$W$505,AC$3,実績!$AC$6:$AC$505,"&lt;="&amp;$A128,実績!$AD$6:$AD$505,"&gt;"&amp;$A128,実績!$AE$6:$AE$505,"○")&gt;0,1,0))</f>
        <v/>
      </c>
      <c r="AD128">
        <f>IF(AD$4=0,0,IF(COUNTIFS(実績!$W$6:$W$505,AD$3,実績!$AC$6:$AC$505,"&lt;="&amp;$A128,実績!$AD$6:$AD$505,"&gt;"&amp;$A128,実績!$AE$6:$AE$505,"○")&gt;0,1,0))</f>
        <v/>
      </c>
      <c r="AE128">
        <f>IF(AE$4=0,0,IF(COUNTIFS(実績!$W$6:$W$505,AE$3,実績!$AC$6:$AC$505,"&lt;="&amp;$A128,実績!$AD$6:$AD$505,"&gt;"&amp;$A128,実績!$AE$6:$AE$505,"○")&gt;0,1,0))</f>
        <v/>
      </c>
      <c r="AF128">
        <f>IF(AF$4=0,0,IF(COUNTIFS(実績!$W$6:$W$505,AF$3,実績!$AC$6:$AC$505,"&lt;="&amp;$A128,実績!$AD$6:$AD$505,"&gt;"&amp;$A128,実績!$AE$6:$AE$505,"○")&gt;0,1,0))</f>
        <v/>
      </c>
      <c r="AG128">
        <f>IF(AG$4=0,0,IF(COUNTIFS(実績!$W$6:$W$505,AG$3,実績!$AC$6:$AC$505,"&lt;="&amp;$A128,実績!$AD$6:$AD$505,"&gt;"&amp;$A128,実績!$AE$6:$AE$505,"○")&gt;0,1,0))</f>
        <v/>
      </c>
      <c r="AH128">
        <f>IF(AH$4=0,0,IF(COUNTIFS(実績!$W$6:$W$505,AH$3,実績!$AC$6:$AC$505,"&lt;="&amp;$A128,実績!$AD$6:$AD$505,"&gt;"&amp;$A128,実績!$AE$6:$AE$505,"○")&gt;0,1,0))</f>
        <v/>
      </c>
      <c r="AI128">
        <f>IF(AI$4=0,0,IF(COUNTIFS(実績!$W$6:$W$505,AI$3,実績!$AC$6:$AC$505,"&lt;="&amp;$A128,実績!$AD$6:$AD$505,"&gt;"&amp;$A128,実績!$AE$6:$AE$505,"○")&gt;0,1,0))</f>
        <v/>
      </c>
      <c r="AJ128">
        <f>IF(AJ$4=0,0,IF(COUNTIFS(実績!$W$6:$W$505,AJ$3,実績!$AC$6:$AC$505,"&lt;="&amp;$A128,実績!$AD$6:$AD$505,"&gt;"&amp;$A128,実績!$AE$6:$AE$505,"○")&gt;0,1,0))</f>
        <v/>
      </c>
      <c r="AK128">
        <f>IF(AK$4=0,0,IF(COUNTIFS(実績!$W$6:$W$505,AK$3,実績!$AC$6:$AC$505,"&lt;="&amp;$A128,実績!$AD$6:$AD$505,"&gt;"&amp;$A128,実績!$AE$6:$AE$505,"○")&gt;0,1,0))</f>
        <v/>
      </c>
      <c r="AL128">
        <f>IF(AL$4=0,0,IF(COUNTIFS(実績!$W$6:$W$505,AL$3,実績!$AC$6:$AC$505,"&lt;="&amp;$A128,実績!$AD$6:$AD$505,"&gt;"&amp;$A128,実績!$AE$6:$AE$505,"○")&gt;0,1,0))</f>
        <v/>
      </c>
      <c r="AM128">
        <f>IF(AM$4=0,0,IF(COUNTIFS(実績!$W$6:$W$505,AM$3,実績!$AC$6:$AC$505,"&lt;="&amp;$A128,実績!$AD$6:$AD$505,"&gt;"&amp;$A128,実績!$AE$6:$AE$505,"○")&gt;0,1,0))</f>
        <v/>
      </c>
      <c r="AN128">
        <f>IF(AN$4=0,0,IF(COUNTIFS(実績!$W$6:$W$505,AN$3,実績!$AC$6:$AC$505,"&lt;="&amp;$A128,実績!$AD$6:$AD$505,"&gt;"&amp;$A128,実績!$AE$6:$AE$505,"○")&gt;0,1,0))</f>
        <v/>
      </c>
      <c r="AO128">
        <f>IF(AO$4=0,0,IF(COUNTIFS(実績!$W$6:$W$505,AO$3,実績!$AC$6:$AC$505,"&lt;="&amp;$A128,実績!$AD$6:$AD$505,"&gt;"&amp;$A128,実績!$AE$6:$AE$505,"○")&gt;0,1,0))</f>
        <v/>
      </c>
      <c r="AP128">
        <f>IF(AP$4=0,0,IF(COUNTIFS(実績!$W$6:$W$505,AP$3,実績!$AC$6:$AC$505,"&lt;="&amp;$A128,実績!$AD$6:$AD$505,"&gt;"&amp;$A128,実績!$AE$6:$AE$505,"○")&gt;0,1,0))</f>
        <v/>
      </c>
      <c r="AQ128">
        <f>IF(AQ$4=0,0,IF(COUNTIFS(実績!$W$6:$W$505,AQ$3,実績!$AC$6:$AC$505,"&lt;="&amp;$A128,実績!$AD$6:$AD$505,"&gt;"&amp;$A128,実績!$AE$6:$AE$505,"○")&gt;0,1,0))</f>
        <v/>
      </c>
      <c r="AR128">
        <f>IF(AR$4=0,0,IF(COUNTIFS(実績!$W$6:$W$505,AR$3,実績!$AC$6:$AC$505,"&lt;="&amp;$A128,実績!$AD$6:$AD$505,"&gt;"&amp;$A128,実績!$AE$6:$AE$505,"○")&gt;0,1,0))</f>
        <v/>
      </c>
      <c r="AS128">
        <f>IF(AS$4=0,0,IF(COUNTIFS(実績!$W$6:$W$505,AS$3,実績!$AC$6:$AC$505,"&lt;="&amp;$A128,実績!$AD$6:$AD$505,"&gt;"&amp;$A128,実績!$AE$6:$AE$505,"○")&gt;0,1,0))</f>
        <v/>
      </c>
      <c r="AT128">
        <f>IF(AT$4=0,0,IF(COUNTIFS(実績!$W$6:$W$505,AT$3,実績!$AC$6:$AC$505,"&lt;="&amp;$A128,実績!$AD$6:$AD$505,"&gt;"&amp;$A128,実績!$AE$6:$AE$505,"○")&gt;0,1,0))</f>
        <v/>
      </c>
      <c r="AU128">
        <f>IF(AU$4=0,0,IF(COUNTIFS(実績!$W$6:$W$505,AU$3,実績!$AC$6:$AC$505,"&lt;="&amp;$A128,実績!$AD$6:$AD$505,"&gt;"&amp;$A128,実績!$AE$6:$AE$505,"○")&gt;0,1,0))</f>
        <v/>
      </c>
      <c r="AV128">
        <f>IF(AV$4=0,0,IF(COUNTIFS(実績!$W$6:$W$505,AV$3,実績!$AC$6:$AC$505,"&lt;="&amp;$A128,実績!$AD$6:$AD$505,"&gt;"&amp;$A128,実績!$AE$6:$AE$505,"○")&gt;0,1,0))</f>
        <v/>
      </c>
      <c r="AW128">
        <f>IF(AW$4=0,0,IF(COUNTIFS(実績!$W$6:$W$505,AW$3,実績!$AC$6:$AC$505,"&lt;="&amp;$A128,実績!$AD$6:$AD$505,"&gt;"&amp;$A128,実績!$AE$6:$AE$505,"○")&gt;0,1,0))</f>
        <v/>
      </c>
      <c r="AX128">
        <f>IF(AX$4=0,0,IF(COUNTIFS(実績!$W$6:$W$505,AX$3,実績!$AC$6:$AC$505,"&lt;="&amp;$A128,実績!$AD$6:$AD$505,"&gt;"&amp;$A128,実績!$AE$6:$AE$505,"○")&gt;0,1,0))</f>
        <v/>
      </c>
      <c r="AY128">
        <f>IF(AY$4=0,0,IF(COUNTIFS(実績!$W$6:$W$505,AY$3,実績!$AC$6:$AC$505,"&lt;="&amp;$A128,実績!$AD$6:$AD$505,"&gt;"&amp;$A128,実績!$AE$6:$AE$505,"○")&gt;0,1,0))</f>
        <v/>
      </c>
      <c r="AZ128">
        <f>IF(AZ$4=0,0,IF(COUNTIFS(実績!$W$6:$W$505,AZ$3,実績!$AC$6:$AC$505,"&lt;="&amp;$A128,実績!$AD$6:$AD$505,"&gt;"&amp;$A128,実績!$AE$6:$AE$505,"○")&gt;0,1,0))</f>
        <v/>
      </c>
      <c r="BA128">
        <f>IF(BA$4=0,0,IF(COUNTIFS(実績!$W$6:$W$505,BA$3,実績!$AC$6:$AC$505,"&lt;="&amp;$A128,実績!$AD$6:$AD$505,"&gt;"&amp;$A128,実績!$AE$6:$AE$505,"○")&gt;0,1,0))</f>
        <v/>
      </c>
      <c r="BB128">
        <f>IF(BB$4=0,0,IF(COUNTIFS(実績!$W$6:$W$505,BB$3,実績!$AC$6:$AC$505,"&lt;="&amp;$A128,実績!$AD$6:$AD$505,"&gt;"&amp;$A128,実績!$AE$6:$AE$505,"○")&gt;0,1,0))</f>
        <v/>
      </c>
      <c r="BC128">
        <f>IF(BC$4=0,0,IF(COUNTIFS(実績!$W$6:$W$505,BC$3,実績!$AC$6:$AC$505,"&lt;="&amp;$A128,実績!$AD$6:$AD$505,"&gt;"&amp;$A128,実績!$AE$6:$AE$505,"○")&gt;0,1,0))</f>
        <v/>
      </c>
      <c r="BD128">
        <f>IF(BD$4=0,0,IF(COUNTIFS(実績!$W$6:$W$505,BD$3,実績!$AC$6:$AC$505,"&lt;="&amp;$A128,実績!$AD$6:$AD$505,"&gt;"&amp;$A128,実績!$AE$6:$AE$505,"○")&gt;0,1,0))</f>
        <v/>
      </c>
      <c r="BE128">
        <f>IF(BE$4=0,0,IF(COUNTIFS(実績!$W$6:$W$505,BE$3,実績!$AC$6:$AC$505,"&lt;="&amp;$A128,実績!$AD$6:$AD$505,"&gt;"&amp;$A128,実績!$AE$6:$AE$505,"○")&gt;0,1,0))</f>
        <v/>
      </c>
      <c r="BF128">
        <f>IF(BF$4=0,0,IF(COUNTIFS(実績!$W$6:$W$505,BF$3,実績!$AC$6:$AC$505,"&lt;="&amp;$A128,実績!$AD$6:$AD$505,"&gt;"&amp;$A128,実績!$AE$6:$AE$505,"○")&gt;0,1,0))</f>
        <v/>
      </c>
      <c r="BG128">
        <f>IF(BG$4=0,0,IF(COUNTIFS(実績!$W$6:$W$505,BG$3,実績!$AC$6:$AC$505,"&lt;="&amp;$A128,実績!$AD$6:$AD$505,"&gt;"&amp;$A128,実績!$AE$6:$AE$505,"○")&gt;0,1,0))</f>
        <v/>
      </c>
      <c r="BH128">
        <f>IF(BH$4=0,0,IF(COUNTIFS(実績!$W$6:$W$505,BH$3,実績!$AC$6:$AC$505,"&lt;="&amp;$A128,実績!$AD$6:$AD$505,"&gt;"&amp;$A128,実績!$AE$6:$AE$505,"○")&gt;0,1,0))</f>
        <v/>
      </c>
      <c r="BI128">
        <f>IF(BI$4=0,0,IF(COUNTIFS(実績!$W$6:$W$505,BI$3,実績!$AC$6:$AC$505,"&lt;="&amp;$A128,実績!$AD$6:$AD$505,"&gt;"&amp;$A128,実績!$AE$6:$AE$505,"○")&gt;0,1,0))</f>
        <v/>
      </c>
      <c r="BJ128">
        <f>IF(BJ$4=0,0,IF(COUNTIFS(実績!$W$6:$W$505,BJ$3,実績!$AC$6:$AC$505,"&lt;="&amp;$A128,実績!$AD$6:$AD$505,"&gt;"&amp;$A128,実績!$AE$6:$AE$505,"○")&gt;0,1,0))</f>
        <v/>
      </c>
      <c r="BK128">
        <f>IF(BK$4=0,0,IF(COUNTIFS(実績!$W$6:$W$505,BK$3,実績!$AC$6:$AC$505,"&lt;="&amp;$A128,実績!$AD$6:$AD$505,"&gt;"&amp;$A128,実績!$AE$6:$AE$505,"○")&gt;0,1,0))</f>
        <v/>
      </c>
      <c r="BL128">
        <f>IF(BL$4=0,0,IF(COUNTIFS(実績!$W$6:$W$505,BL$3,実績!$AC$6:$AC$505,"&lt;="&amp;$A128,実績!$AD$6:$AD$505,"&gt;"&amp;$A128,実績!$AE$6:$AE$505,"○")&gt;0,1,0))</f>
        <v/>
      </c>
      <c r="BM128">
        <f>IF(BM$4=0,0,IF(COUNTIFS(実績!$W$6:$W$505,BM$3,実績!$AC$6:$AC$505,"&lt;="&amp;$A128,実績!$AD$6:$AD$505,"&gt;"&amp;$A128,実績!$AE$6:$AE$505,"○")&gt;0,1,0))</f>
        <v/>
      </c>
      <c r="BN128">
        <f>IF(BN$4=0,0,IF(COUNTIFS(実績!$W$6:$W$505,BN$3,実績!$AC$6:$AC$505,"&lt;="&amp;$A128,実績!$AD$6:$AD$505,"&gt;"&amp;$A128,実績!$AE$6:$AE$505,"○")&gt;0,1,0))</f>
        <v/>
      </c>
      <c r="BO128">
        <f>IF(BO$4=0,0,IF(COUNTIFS(実績!$W$6:$W$505,BO$3,実績!$AC$6:$AC$505,"&lt;="&amp;$A128,実績!$AD$6:$AD$505,"&gt;"&amp;$A128,実績!$AE$6:$AE$505,"○")&gt;0,1,0))</f>
        <v/>
      </c>
      <c r="BP128">
        <f>IF(BP$4=0,0,IF(COUNTIFS(実績!$W$6:$W$505,BP$3,実績!$AC$6:$AC$505,"&lt;="&amp;$A128,実績!$AD$6:$AD$505,"&gt;"&amp;$A128,実績!$AE$6:$AE$505,"○")&gt;0,1,0))</f>
        <v/>
      </c>
      <c r="BQ128">
        <f>IF(BQ$4=0,0,IF(COUNTIFS(実績!$W$6:$W$505,BQ$3,実績!$AC$6:$AC$505,"&lt;="&amp;$A128,実績!$AD$6:$AD$505,"&gt;"&amp;$A128,実績!$AE$6:$AE$505,"○")&gt;0,1,0))</f>
        <v/>
      </c>
      <c r="BR128">
        <f>IF(BR$4=0,0,IF(COUNTIFS(実績!$W$6:$W$505,BR$3,実績!$AC$6:$AC$505,"&lt;="&amp;$A128,実績!$AD$6:$AD$505,"&gt;"&amp;$A128,実績!$AE$6:$AE$505,"○")&gt;0,1,0))</f>
        <v/>
      </c>
      <c r="BS128">
        <f>IF(BS$4=0,0,IF(COUNTIFS(実績!$W$6:$W$505,BS$3,実績!$AC$6:$AC$505,"&lt;="&amp;$A128,実績!$AD$6:$AD$505,"&gt;"&amp;$A128,実績!$AE$6:$AE$505,"○")&gt;0,1,0))</f>
        <v/>
      </c>
      <c r="BT128">
        <f>IF(BT$4=0,0,IF(COUNTIFS(実績!$W$6:$W$505,BT$3,実績!$AC$6:$AC$505,"&lt;="&amp;$A128,実績!$AD$6:$AD$505,"&gt;"&amp;$A128,実績!$AE$6:$AE$505,"○")&gt;0,1,0))</f>
        <v/>
      </c>
      <c r="BU128">
        <f>IF(BU$4=0,0,IF(COUNTIFS(実績!$W$6:$W$505,BU$3,実績!$AC$6:$AC$505,"&lt;="&amp;$A128,実績!$AD$6:$AD$505,"&gt;"&amp;$A128,実績!$AE$6:$AE$505,"○")&gt;0,1,0))</f>
        <v/>
      </c>
      <c r="BV128">
        <f>IF(BV$4=0,0,IF(COUNTIFS(実績!$W$6:$W$505,BV$3,実績!$AC$6:$AC$505,"&lt;="&amp;$A128,実績!$AD$6:$AD$505,"&gt;"&amp;$A128,実績!$AE$6:$AE$505,"○")&gt;0,1,0))</f>
        <v/>
      </c>
      <c r="BW128">
        <f>IF(BW$4=0,0,IF(COUNTIFS(実績!$W$6:$W$505,BW$3,実績!$AC$6:$AC$505,"&lt;="&amp;$A128,実績!$AD$6:$AD$505,"&gt;"&amp;$A128,実績!$AE$6:$AE$505,"○")&gt;0,1,0))</f>
        <v/>
      </c>
      <c r="BX128">
        <f>IF(BX$4=0,0,IF(COUNTIFS(実績!$W$6:$W$505,BX$3,実績!$AC$6:$AC$505,"&lt;="&amp;$A128,実績!$AD$6:$AD$505,"&gt;"&amp;$A128,実績!$AE$6:$AE$505,"○")&gt;0,1,0))</f>
        <v/>
      </c>
      <c r="BY128">
        <f>IF(BY$4=0,0,IF(COUNTIFS(実績!$W$6:$W$505,BY$3,実績!$AC$6:$AC$505,"&lt;="&amp;$A128,実績!$AD$6:$AD$505,"&gt;"&amp;$A128,実績!$AE$6:$AE$505,"○")&gt;0,1,0))</f>
        <v/>
      </c>
      <c r="BZ128">
        <f>IF(BZ$4=0,0,IF(COUNTIFS(実績!$W$6:$W$505,BZ$3,実績!$AC$6:$AC$505,"&lt;="&amp;$A128,実績!$AD$6:$AD$505,"&gt;"&amp;$A128,実績!$AE$6:$AE$505,"○")&gt;0,1,0))</f>
        <v/>
      </c>
      <c r="CA128">
        <f>IF(CA$4=0,0,IF(COUNTIFS(実績!$W$6:$W$505,CA$3,実績!$AC$6:$AC$505,"&lt;="&amp;$A128,実績!$AD$6:$AD$505,"&gt;"&amp;$A128,実績!$AE$6:$AE$505,"○")&gt;0,1,0))</f>
        <v/>
      </c>
      <c r="CB128">
        <f>IF(CB$4=0,0,IF(COUNTIFS(実績!$W$6:$W$505,CB$3,実績!$AC$6:$AC$505,"&lt;="&amp;$A128,実績!$AD$6:$AD$505,"&gt;"&amp;$A128,実績!$AE$6:$AE$505,"○")&gt;0,1,0))</f>
        <v/>
      </c>
      <c r="CC128">
        <f>IF(CC$4=0,0,IF(COUNTIFS(実績!$W$6:$W$505,CC$3,実績!$AC$6:$AC$505,"&lt;="&amp;$A128,実績!$AD$6:$AD$505,"&gt;"&amp;$A128,実績!$AE$6:$AE$505,"○")&gt;0,1,0))</f>
        <v/>
      </c>
      <c r="CD128">
        <f>IF(CD$4=0,0,IF(COUNTIFS(実績!$W$6:$W$505,CD$3,実績!$AC$6:$AC$505,"&lt;="&amp;$A128,実績!$AD$6:$AD$505,"&gt;"&amp;$A128,実績!$AE$6:$AE$505,"○")&gt;0,1,0))</f>
        <v/>
      </c>
      <c r="CE128">
        <f>IF(CE$4=0,0,IF(COUNTIFS(実績!$W$6:$W$505,CE$3,実績!$AC$6:$AC$505,"&lt;="&amp;$A128,実績!$AD$6:$AD$505,"&gt;"&amp;$A128,実績!$AE$6:$AE$505,"○")&gt;0,1,0))</f>
        <v/>
      </c>
      <c r="CF128">
        <f>IF(CF$4=0,0,IF(COUNTIFS(実績!$W$6:$W$505,CF$3,実績!$AC$6:$AC$505,"&lt;="&amp;$A128,実績!$AD$6:$AD$505,"&gt;"&amp;$A128,実績!$AE$6:$AE$505,"○")&gt;0,1,0))</f>
        <v/>
      </c>
      <c r="CG128">
        <f>IF(CG$4=0,0,IF(COUNTIFS(実績!$W$6:$W$505,CG$3,実績!$AC$6:$AC$505,"&lt;="&amp;$A128,実績!$AD$6:$AD$505,"&gt;"&amp;$A128,実績!$AE$6:$AE$505,"○")&gt;0,1,0))</f>
        <v/>
      </c>
      <c r="CH128">
        <f>IF(CH$4=0,0,IF(COUNTIFS(実績!$W$6:$W$505,CH$3,実績!$AC$6:$AC$505,"&lt;="&amp;$A128,実績!$AD$6:$AD$505,"&gt;"&amp;$A128,実績!$AE$6:$AE$505,"○")&gt;0,1,0))</f>
        <v/>
      </c>
      <c r="CI128">
        <f>IF(CI$4=0,0,IF(COUNTIFS(実績!$W$6:$W$505,CI$3,実績!$AC$6:$AC$505,"&lt;="&amp;$A128,実績!$AD$6:$AD$505,"&gt;"&amp;$A128,実績!$AE$6:$AE$505,"○")&gt;0,1,0))</f>
        <v/>
      </c>
      <c r="CJ128">
        <f>IF(CJ$4=0,0,IF(COUNTIFS(実績!$W$6:$W$505,CJ$3,実績!$AC$6:$AC$505,"&lt;="&amp;$A128,実績!$AD$6:$AD$505,"&gt;"&amp;$A128,実績!$AE$6:$AE$505,"○")&gt;0,1,0))</f>
        <v/>
      </c>
      <c r="CK128">
        <f>IF(CK$4=0,0,IF(COUNTIFS(実績!$W$6:$W$505,CK$3,実績!$AC$6:$AC$505,"&lt;="&amp;$A128,実績!$AD$6:$AD$505,"&gt;"&amp;$A128,実績!$AE$6:$AE$505,"○")&gt;0,1,0))</f>
        <v/>
      </c>
      <c r="CL128">
        <f>IF(CL$4=0,0,IF(COUNTIFS(実績!$W$6:$W$505,CL$3,実績!$AC$6:$AC$505,"&lt;="&amp;$A128,実績!$AD$6:$AD$505,"&gt;"&amp;$A128,実績!$AE$6:$AE$505,"○")&gt;0,1,0))</f>
        <v/>
      </c>
      <c r="CM128">
        <f>IF(CM$4=0,0,IF(COUNTIFS(実績!$W$6:$W$505,CM$3,実績!$AC$6:$AC$505,"&lt;="&amp;$A128,実績!$AD$6:$AD$505,"&gt;"&amp;$A128,実績!$AE$6:$AE$505,"○")&gt;0,1,0))</f>
        <v/>
      </c>
      <c r="CN128">
        <f>IF(CN$4=0,0,IF(COUNTIFS(実績!$W$6:$W$505,CN$3,実績!$AC$6:$AC$505,"&lt;="&amp;$A128,実績!$AD$6:$AD$505,"&gt;"&amp;$A128,実績!$AE$6:$AE$505,"○")&gt;0,1,0))</f>
        <v/>
      </c>
      <c r="CO128">
        <f>IF(CO$4=0,0,IF(COUNTIFS(実績!$W$6:$W$505,CO$3,実績!$AC$6:$AC$505,"&lt;="&amp;$A128,実績!$AD$6:$AD$505,"&gt;"&amp;$A128,実績!$AE$6:$AE$505,"○")&gt;0,1,0))</f>
        <v/>
      </c>
      <c r="CP128">
        <f>IF(CP$4=0,0,IF(COUNTIFS(実績!$W$6:$W$505,CP$3,実績!$AC$6:$AC$505,"&lt;="&amp;$A128,実績!$AD$6:$AD$505,"&gt;"&amp;$A128,実績!$AE$6:$AE$505,"○")&gt;0,1,0))</f>
        <v/>
      </c>
      <c r="CQ128">
        <f>IF(CQ$4=0,0,IF(COUNTIFS(実績!$W$6:$W$505,CQ$3,実績!$AC$6:$AC$505,"&lt;="&amp;$A128,実績!$AD$6:$AD$505,"&gt;"&amp;$A128,実績!$AE$6:$AE$505,"○")&gt;0,1,0))</f>
        <v/>
      </c>
      <c r="CR128">
        <f>IF(CR$4=0,0,IF(COUNTIFS(実績!$W$6:$W$505,CR$3,実績!$AC$6:$AC$505,"&lt;="&amp;$A128,実績!$AD$6:$AD$505,"&gt;"&amp;$A128,実績!$AE$6:$AE$505,"○")&gt;0,1,0))</f>
        <v/>
      </c>
      <c r="CS128">
        <f>IF(CS$4=0,0,IF(COUNTIFS(実績!$W$6:$W$505,CS$3,実績!$AC$6:$AC$505,"&lt;="&amp;$A128,実績!$AD$6:$AD$505,"&gt;"&amp;$A128,実績!$AE$6:$AE$505,"○")&gt;0,1,0))</f>
        <v/>
      </c>
      <c r="CT128">
        <f>IF(CT$4=0,0,IF(COUNTIFS(実績!$W$6:$W$505,CT$3,実績!$AC$6:$AC$505,"&lt;="&amp;$A128,実績!$AD$6:$AD$505,"&gt;"&amp;$A128,実績!$AE$6:$AE$505,"○")&gt;0,1,0))</f>
        <v/>
      </c>
      <c r="CU128">
        <f>IF(CU$4=0,0,IF(COUNTIFS(実績!$W$6:$W$505,CU$3,実績!$AC$6:$AC$505,"&lt;="&amp;$A128,実績!$AD$6:$AD$505,"&gt;"&amp;$A128,実績!$AE$6:$AE$505,"○")&gt;0,1,0))</f>
        <v/>
      </c>
      <c r="CV128">
        <f>IF(CV$4=0,0,IF(COUNTIFS(実績!$W$6:$W$505,CV$3,実績!$AC$6:$AC$505,"&lt;="&amp;$A128,実績!$AD$6:$AD$505,"&gt;"&amp;$A128,実績!$AE$6:$AE$505,"○")&gt;0,1,0))</f>
        <v/>
      </c>
      <c r="CW128">
        <f>IF(CW$4=0,0,IF(COUNTIFS(実績!$W$6:$W$505,CW$3,実績!$AC$6:$AC$505,"&lt;="&amp;$A128,実績!$AD$6:$AD$505,"&gt;"&amp;$A128,実績!$AE$6:$AE$505,"○")&gt;0,1,0))</f>
        <v/>
      </c>
      <c r="CX128">
        <f>IF(CX$4=0,0,IF(COUNTIFS(実績!$W$6:$W$505,CX$3,実績!$AC$6:$AC$505,"&lt;="&amp;$A128,実績!$AD$6:$AD$505,"&gt;"&amp;$A128,実績!$AE$6:$AE$505,"○")&gt;0,1,0))</f>
        <v/>
      </c>
      <c r="CY128">
        <f>IF(CY$4=0,0,IF(COUNTIFS(実績!$W$6:$W$505,CY$3,実績!$AC$6:$AC$505,"&lt;="&amp;$A128,実績!$AD$6:$AD$505,"&gt;"&amp;$A128,実績!$AE$6:$AE$505,"○")&gt;0,1,0))</f>
        <v/>
      </c>
      <c r="CZ128">
        <f>IF(CZ$4=0,0,IF(COUNTIFS(実績!$W$6:$W$505,CZ$3,実績!$AC$6:$AC$505,"&lt;="&amp;$A128,実績!$AD$6:$AD$505,"&gt;"&amp;$A128,実績!$AE$6:$AE$505,"○")&gt;0,1,0))</f>
        <v/>
      </c>
      <c r="DA128">
        <f>IF(DA$4=0,0,IF(COUNTIFS(実績!$W$6:$W$505,DA$3,実績!$AC$6:$AC$505,"&lt;="&amp;$A128,実績!$AD$6:$AD$505,"&gt;"&amp;$A128,実績!$AE$6:$AE$505,"○")&gt;0,1,0))</f>
        <v/>
      </c>
      <c r="DB128">
        <f>IF(DB$4=0,0,IF(COUNTIFS(実績!$W$6:$W$505,DB$3,実績!$AC$6:$AC$505,"&lt;="&amp;$A128,実績!$AD$6:$AD$505,"&gt;"&amp;$A128,実績!$AE$6:$AE$505,"○")&gt;0,1,0))</f>
        <v/>
      </c>
      <c r="DC128">
        <f>IF(DC$4=0,0,IF(COUNTIFS(実績!$W$6:$W$505,DC$3,実績!$AC$6:$AC$505,"&lt;="&amp;$A128,実績!$AD$6:$AD$505,"&gt;"&amp;$A128,実績!$AE$6:$AE$505,"○")&gt;0,1,0))</f>
        <v/>
      </c>
      <c r="DD128">
        <f>IF(DD$4=0,0,IF(COUNTIFS(実績!$W$6:$W$505,DD$3,実績!$AC$6:$AC$505,"&lt;="&amp;$A128,実績!$AD$6:$AD$505,"&gt;"&amp;$A128,実績!$AE$6:$AE$505,"○")&gt;0,1,0))</f>
        <v/>
      </c>
      <c r="DE128">
        <f>IF(DE$4=0,0,IF(COUNTIFS(実績!$W$6:$W$505,DE$3,実績!$AC$6:$AC$505,"&lt;="&amp;$A128,実績!$AD$6:$AD$505,"&gt;"&amp;$A128,実績!$AE$6:$AE$505,"○")&gt;0,1,0))</f>
        <v/>
      </c>
      <c r="DF128">
        <f>IF(DF$4=0,0,IF(COUNTIFS(実績!$W$6:$W$505,DF$3,実績!$AC$6:$AC$505,"&lt;="&amp;$A128,実績!$AD$6:$AD$505,"&gt;"&amp;$A128,実績!$AE$6:$AE$505,"○")&gt;0,1,0))</f>
        <v/>
      </c>
      <c r="DG128">
        <f>IF(DG$4=0,0,IF(COUNTIFS(実績!$W$6:$W$505,DG$3,実績!$AC$6:$AC$505,"&lt;="&amp;$A128,実績!$AD$6:$AD$505,"&gt;"&amp;$A128,実績!$AE$6:$AE$505,"○")&gt;0,1,0))</f>
        <v/>
      </c>
      <c r="DH128">
        <f>IF(DH$4=0,0,IF(COUNTIFS(実績!$W$6:$W$505,DH$3,実績!$AC$6:$AC$505,"&lt;="&amp;$A128,実績!$AD$6:$AD$505,"&gt;"&amp;$A128,実績!$AE$6:$AE$505,"○")&gt;0,1,0))</f>
        <v/>
      </c>
      <c r="DI128">
        <f>IF(DI$4=0,0,IF(COUNTIFS(実績!$W$6:$W$505,DI$3,実績!$AC$6:$AC$505,"&lt;="&amp;$A128,実績!$AD$6:$AD$505,"&gt;"&amp;$A128,実績!$AE$6:$AE$505,"○")&gt;0,1,0))</f>
        <v/>
      </c>
      <c r="DJ128">
        <f>IF(DJ$4=0,0,IF(COUNTIFS(実績!$W$6:$W$505,DJ$3,実績!$AC$6:$AC$505,"&lt;="&amp;$A128,実績!$AD$6:$AD$505,"&gt;"&amp;$A128,実績!$AE$6:$AE$505,"○")&gt;0,1,0))</f>
        <v/>
      </c>
      <c r="DK128">
        <f>IF(DK$4=0,0,IF(COUNTIFS(実績!$W$6:$W$505,DK$3,実績!$AC$6:$AC$505,"&lt;="&amp;$A128,実績!$AD$6:$AD$505,"&gt;"&amp;$A128,実績!$AE$6:$AE$505,"○")&gt;0,1,0))</f>
        <v/>
      </c>
      <c r="DL128">
        <f>IF(DL$4=0,0,IF(COUNTIFS(実績!$W$6:$W$505,DL$3,実績!$AC$6:$AC$505,"&lt;="&amp;$A128,実績!$AD$6:$AD$505,"&gt;"&amp;$A128,実績!$AE$6:$AE$505,"○")&gt;0,1,0))</f>
        <v/>
      </c>
      <c r="DM128">
        <f>IF(DM$4=0,0,IF(COUNTIFS(実績!$W$6:$W$505,DM$3,実績!$AC$6:$AC$505,"&lt;="&amp;$A128,実績!$AD$6:$AD$505,"&gt;"&amp;$A128,実績!$AE$6:$AE$505,"○")&gt;0,1,0))</f>
        <v/>
      </c>
      <c r="DN128">
        <f>IF(DN$4=0,0,IF(COUNTIFS(実績!$W$6:$W$505,DN$3,実績!$AC$6:$AC$505,"&lt;="&amp;$A128,実績!$AD$6:$AD$505,"&gt;"&amp;$A128,実績!$AE$6:$AE$505,"○")&gt;0,1,0))</f>
        <v/>
      </c>
      <c r="DO128">
        <f>IF(DO$4=0,0,IF(COUNTIFS(実績!$W$6:$W$505,DO$3,実績!$AC$6:$AC$505,"&lt;="&amp;$A128,実績!$AD$6:$AD$505,"&gt;"&amp;$A128,実績!$AE$6:$AE$505,"○")&gt;0,1,0))</f>
        <v/>
      </c>
      <c r="DP128">
        <f>IF(DP$4=0,0,IF(COUNTIFS(実績!$W$6:$W$505,DP$3,実績!$AC$6:$AC$505,"&lt;="&amp;$A128,実績!$AD$6:$AD$505,"&gt;"&amp;$A128,実績!$AE$6:$AE$505,"○")&gt;0,1,0))</f>
        <v/>
      </c>
      <c r="DQ128">
        <f>IF(DQ$4=0,0,IF(COUNTIFS(実績!$W$6:$W$505,DQ$3,実績!$AC$6:$AC$505,"&lt;="&amp;$A128,実績!$AD$6:$AD$505,"&gt;"&amp;$A128,実績!$AE$6:$AE$505,"○")&gt;0,1,0))</f>
        <v/>
      </c>
      <c r="DR128">
        <f>IF(DR$4=0,0,IF(COUNTIFS(実績!$W$6:$W$505,DR$3,実績!$AC$6:$AC$505,"&lt;="&amp;$A128,実績!$AD$6:$AD$505,"&gt;"&amp;$A128,実績!$AE$6:$AE$505,"○")&gt;0,1,0))</f>
        <v/>
      </c>
      <c r="DS128">
        <f>SUM(C128:DR128)</f>
        <v/>
      </c>
      <c r="DT128">
        <f>SUMPRODUCT((実績!$C$6:$C$505="○")*ISNUMBER(実績!$AF$6:$AF$505)*(実績!$AF$6:$AF$505&lt;=$A128)*(実績!$AG$6:$AG$505&gt;$A128))</f>
        <v/>
      </c>
      <c r="DU128">
        <f>SUMIF($C$2:$DR$2,"製鉄曳船",C128:DR128)</f>
        <v/>
      </c>
      <c r="DV128">
        <f>SUMIF($C$2:$DR$2,"西日本海運",C128:DR128)</f>
        <v/>
      </c>
    </row>
    <row r="129">
      <c r="A129" t="n">
        <v>615</v>
      </c>
      <c r="B129" s="29">
        <f>A129/1440</f>
        <v/>
      </c>
      <c r="C129">
        <f>IF(C$4=0,0,IF(COUNTIFS(実績!$W$6:$W$505,C$3,実績!$AC$6:$AC$505,"&lt;="&amp;$A129,実績!$AD$6:$AD$505,"&gt;"&amp;$A129,実績!$AE$6:$AE$505,"○")&gt;0,1,0))</f>
        <v/>
      </c>
      <c r="D129">
        <f>IF(D$4=0,0,IF(COUNTIFS(実績!$W$6:$W$505,D$3,実績!$AC$6:$AC$505,"&lt;="&amp;$A129,実績!$AD$6:$AD$505,"&gt;"&amp;$A129,実績!$AE$6:$AE$505,"○")&gt;0,1,0))</f>
        <v/>
      </c>
      <c r="E129">
        <f>IF(E$4=0,0,IF(COUNTIFS(実績!$W$6:$W$505,E$3,実績!$AC$6:$AC$505,"&lt;="&amp;$A129,実績!$AD$6:$AD$505,"&gt;"&amp;$A129,実績!$AE$6:$AE$505,"○")&gt;0,1,0))</f>
        <v/>
      </c>
      <c r="F129">
        <f>IF(F$4=0,0,IF(COUNTIFS(実績!$W$6:$W$505,F$3,実績!$AC$6:$AC$505,"&lt;="&amp;$A129,実績!$AD$6:$AD$505,"&gt;"&amp;$A129,実績!$AE$6:$AE$505,"○")&gt;0,1,0))</f>
        <v/>
      </c>
      <c r="G129">
        <f>IF(G$4=0,0,IF(COUNTIFS(実績!$W$6:$W$505,G$3,実績!$AC$6:$AC$505,"&lt;="&amp;$A129,実績!$AD$6:$AD$505,"&gt;"&amp;$A129,実績!$AE$6:$AE$505,"○")&gt;0,1,0))</f>
        <v/>
      </c>
      <c r="H129">
        <f>IF(H$4=0,0,IF(COUNTIFS(実績!$W$6:$W$505,H$3,実績!$AC$6:$AC$505,"&lt;="&amp;$A129,実績!$AD$6:$AD$505,"&gt;"&amp;$A129,実績!$AE$6:$AE$505,"○")&gt;0,1,0))</f>
        <v/>
      </c>
      <c r="I129">
        <f>IF(I$4=0,0,IF(COUNTIFS(実績!$W$6:$W$505,I$3,実績!$AC$6:$AC$505,"&lt;="&amp;$A129,実績!$AD$6:$AD$505,"&gt;"&amp;$A129,実績!$AE$6:$AE$505,"○")&gt;0,1,0))</f>
        <v/>
      </c>
      <c r="J129">
        <f>IF(J$4=0,0,IF(COUNTIFS(実績!$W$6:$W$505,J$3,実績!$AC$6:$AC$505,"&lt;="&amp;$A129,実績!$AD$6:$AD$505,"&gt;"&amp;$A129,実績!$AE$6:$AE$505,"○")&gt;0,1,0))</f>
        <v/>
      </c>
      <c r="K129">
        <f>IF(K$4=0,0,IF(COUNTIFS(実績!$W$6:$W$505,K$3,実績!$AC$6:$AC$505,"&lt;="&amp;$A129,実績!$AD$6:$AD$505,"&gt;"&amp;$A129,実績!$AE$6:$AE$505,"○")&gt;0,1,0))</f>
        <v/>
      </c>
      <c r="L129">
        <f>IF(L$4=0,0,IF(COUNTIFS(実績!$W$6:$W$505,L$3,実績!$AC$6:$AC$505,"&lt;="&amp;$A129,実績!$AD$6:$AD$505,"&gt;"&amp;$A129,実績!$AE$6:$AE$505,"○")&gt;0,1,0))</f>
        <v/>
      </c>
      <c r="M129">
        <f>IF(M$4=0,0,IF(COUNTIFS(実績!$W$6:$W$505,M$3,実績!$AC$6:$AC$505,"&lt;="&amp;$A129,実績!$AD$6:$AD$505,"&gt;"&amp;$A129,実績!$AE$6:$AE$505,"○")&gt;0,1,0))</f>
        <v/>
      </c>
      <c r="N129">
        <f>IF(N$4=0,0,IF(COUNTIFS(実績!$W$6:$W$505,N$3,実績!$AC$6:$AC$505,"&lt;="&amp;$A129,実績!$AD$6:$AD$505,"&gt;"&amp;$A129,実績!$AE$6:$AE$505,"○")&gt;0,1,0))</f>
        <v/>
      </c>
      <c r="O129">
        <f>IF(O$4=0,0,IF(COUNTIFS(実績!$W$6:$W$505,O$3,実績!$AC$6:$AC$505,"&lt;="&amp;$A129,実績!$AD$6:$AD$505,"&gt;"&amp;$A129,実績!$AE$6:$AE$505,"○")&gt;0,1,0))</f>
        <v/>
      </c>
      <c r="P129">
        <f>IF(P$4=0,0,IF(COUNTIFS(実績!$W$6:$W$505,P$3,実績!$AC$6:$AC$505,"&lt;="&amp;$A129,実績!$AD$6:$AD$505,"&gt;"&amp;$A129,実績!$AE$6:$AE$505,"○")&gt;0,1,0))</f>
        <v/>
      </c>
      <c r="Q129">
        <f>IF(Q$4=0,0,IF(COUNTIFS(実績!$W$6:$W$505,Q$3,実績!$AC$6:$AC$505,"&lt;="&amp;$A129,実績!$AD$6:$AD$505,"&gt;"&amp;$A129,実績!$AE$6:$AE$505,"○")&gt;0,1,0))</f>
        <v/>
      </c>
      <c r="R129">
        <f>IF(R$4=0,0,IF(COUNTIFS(実績!$W$6:$W$505,R$3,実績!$AC$6:$AC$505,"&lt;="&amp;$A129,実績!$AD$6:$AD$505,"&gt;"&amp;$A129,実績!$AE$6:$AE$505,"○")&gt;0,1,0))</f>
        <v/>
      </c>
      <c r="S129">
        <f>IF(S$4=0,0,IF(COUNTIFS(実績!$W$6:$W$505,S$3,実績!$AC$6:$AC$505,"&lt;="&amp;$A129,実績!$AD$6:$AD$505,"&gt;"&amp;$A129,実績!$AE$6:$AE$505,"○")&gt;0,1,0))</f>
        <v/>
      </c>
      <c r="T129">
        <f>IF(T$4=0,0,IF(COUNTIFS(実績!$W$6:$W$505,T$3,実績!$AC$6:$AC$505,"&lt;="&amp;$A129,実績!$AD$6:$AD$505,"&gt;"&amp;$A129,実績!$AE$6:$AE$505,"○")&gt;0,1,0))</f>
        <v/>
      </c>
      <c r="U129">
        <f>IF(U$4=0,0,IF(COUNTIFS(実績!$W$6:$W$505,U$3,実績!$AC$6:$AC$505,"&lt;="&amp;$A129,実績!$AD$6:$AD$505,"&gt;"&amp;$A129,実績!$AE$6:$AE$505,"○")&gt;0,1,0))</f>
        <v/>
      </c>
      <c r="V129">
        <f>IF(V$4=0,0,IF(COUNTIFS(実績!$W$6:$W$505,V$3,実績!$AC$6:$AC$505,"&lt;="&amp;$A129,実績!$AD$6:$AD$505,"&gt;"&amp;$A129,実績!$AE$6:$AE$505,"○")&gt;0,1,0))</f>
        <v/>
      </c>
      <c r="W129">
        <f>IF(W$4=0,0,IF(COUNTIFS(実績!$W$6:$W$505,W$3,実績!$AC$6:$AC$505,"&lt;="&amp;$A129,実績!$AD$6:$AD$505,"&gt;"&amp;$A129,実績!$AE$6:$AE$505,"○")&gt;0,1,0))</f>
        <v/>
      </c>
      <c r="X129">
        <f>IF(X$4=0,0,IF(COUNTIFS(実績!$W$6:$W$505,X$3,実績!$AC$6:$AC$505,"&lt;="&amp;$A129,実績!$AD$6:$AD$505,"&gt;"&amp;$A129,実績!$AE$6:$AE$505,"○")&gt;0,1,0))</f>
        <v/>
      </c>
      <c r="Y129">
        <f>IF(Y$4=0,0,IF(COUNTIFS(実績!$W$6:$W$505,Y$3,実績!$AC$6:$AC$505,"&lt;="&amp;$A129,実績!$AD$6:$AD$505,"&gt;"&amp;$A129,実績!$AE$6:$AE$505,"○")&gt;0,1,0))</f>
        <v/>
      </c>
      <c r="Z129">
        <f>IF(Z$4=0,0,IF(COUNTIFS(実績!$W$6:$W$505,Z$3,実績!$AC$6:$AC$505,"&lt;="&amp;$A129,実績!$AD$6:$AD$505,"&gt;"&amp;$A129,実績!$AE$6:$AE$505,"○")&gt;0,1,0))</f>
        <v/>
      </c>
      <c r="AA129">
        <f>IF(AA$4=0,0,IF(COUNTIFS(実績!$W$6:$W$505,AA$3,実績!$AC$6:$AC$505,"&lt;="&amp;$A129,実績!$AD$6:$AD$505,"&gt;"&amp;$A129,実績!$AE$6:$AE$505,"○")&gt;0,1,0))</f>
        <v/>
      </c>
      <c r="AB129">
        <f>IF(AB$4=0,0,IF(COUNTIFS(実績!$W$6:$W$505,AB$3,実績!$AC$6:$AC$505,"&lt;="&amp;$A129,実績!$AD$6:$AD$505,"&gt;"&amp;$A129,実績!$AE$6:$AE$505,"○")&gt;0,1,0))</f>
        <v/>
      </c>
      <c r="AC129">
        <f>IF(AC$4=0,0,IF(COUNTIFS(実績!$W$6:$W$505,AC$3,実績!$AC$6:$AC$505,"&lt;="&amp;$A129,実績!$AD$6:$AD$505,"&gt;"&amp;$A129,実績!$AE$6:$AE$505,"○")&gt;0,1,0))</f>
        <v/>
      </c>
      <c r="AD129">
        <f>IF(AD$4=0,0,IF(COUNTIFS(実績!$W$6:$W$505,AD$3,実績!$AC$6:$AC$505,"&lt;="&amp;$A129,実績!$AD$6:$AD$505,"&gt;"&amp;$A129,実績!$AE$6:$AE$505,"○")&gt;0,1,0))</f>
        <v/>
      </c>
      <c r="AE129">
        <f>IF(AE$4=0,0,IF(COUNTIFS(実績!$W$6:$W$505,AE$3,実績!$AC$6:$AC$505,"&lt;="&amp;$A129,実績!$AD$6:$AD$505,"&gt;"&amp;$A129,実績!$AE$6:$AE$505,"○")&gt;0,1,0))</f>
        <v/>
      </c>
      <c r="AF129">
        <f>IF(AF$4=0,0,IF(COUNTIFS(実績!$W$6:$W$505,AF$3,実績!$AC$6:$AC$505,"&lt;="&amp;$A129,実績!$AD$6:$AD$505,"&gt;"&amp;$A129,実績!$AE$6:$AE$505,"○")&gt;0,1,0))</f>
        <v/>
      </c>
      <c r="AG129">
        <f>IF(AG$4=0,0,IF(COUNTIFS(実績!$W$6:$W$505,AG$3,実績!$AC$6:$AC$505,"&lt;="&amp;$A129,実績!$AD$6:$AD$505,"&gt;"&amp;$A129,実績!$AE$6:$AE$505,"○")&gt;0,1,0))</f>
        <v/>
      </c>
      <c r="AH129">
        <f>IF(AH$4=0,0,IF(COUNTIFS(実績!$W$6:$W$505,AH$3,実績!$AC$6:$AC$505,"&lt;="&amp;$A129,実績!$AD$6:$AD$505,"&gt;"&amp;$A129,実績!$AE$6:$AE$505,"○")&gt;0,1,0))</f>
        <v/>
      </c>
      <c r="AI129">
        <f>IF(AI$4=0,0,IF(COUNTIFS(実績!$W$6:$W$505,AI$3,実績!$AC$6:$AC$505,"&lt;="&amp;$A129,実績!$AD$6:$AD$505,"&gt;"&amp;$A129,実績!$AE$6:$AE$505,"○")&gt;0,1,0))</f>
        <v/>
      </c>
      <c r="AJ129">
        <f>IF(AJ$4=0,0,IF(COUNTIFS(実績!$W$6:$W$505,AJ$3,実績!$AC$6:$AC$505,"&lt;="&amp;$A129,実績!$AD$6:$AD$505,"&gt;"&amp;$A129,実績!$AE$6:$AE$505,"○")&gt;0,1,0))</f>
        <v/>
      </c>
      <c r="AK129">
        <f>IF(AK$4=0,0,IF(COUNTIFS(実績!$W$6:$W$505,AK$3,実績!$AC$6:$AC$505,"&lt;="&amp;$A129,実績!$AD$6:$AD$505,"&gt;"&amp;$A129,実績!$AE$6:$AE$505,"○")&gt;0,1,0))</f>
        <v/>
      </c>
      <c r="AL129">
        <f>IF(AL$4=0,0,IF(COUNTIFS(実績!$W$6:$W$505,AL$3,実績!$AC$6:$AC$505,"&lt;="&amp;$A129,実績!$AD$6:$AD$505,"&gt;"&amp;$A129,実績!$AE$6:$AE$505,"○")&gt;0,1,0))</f>
        <v/>
      </c>
      <c r="AM129">
        <f>IF(AM$4=0,0,IF(COUNTIFS(実績!$W$6:$W$505,AM$3,実績!$AC$6:$AC$505,"&lt;="&amp;$A129,実績!$AD$6:$AD$505,"&gt;"&amp;$A129,実績!$AE$6:$AE$505,"○")&gt;0,1,0))</f>
        <v/>
      </c>
      <c r="AN129">
        <f>IF(AN$4=0,0,IF(COUNTIFS(実績!$W$6:$W$505,AN$3,実績!$AC$6:$AC$505,"&lt;="&amp;$A129,実績!$AD$6:$AD$505,"&gt;"&amp;$A129,実績!$AE$6:$AE$505,"○")&gt;0,1,0))</f>
        <v/>
      </c>
      <c r="AO129">
        <f>IF(AO$4=0,0,IF(COUNTIFS(実績!$W$6:$W$505,AO$3,実績!$AC$6:$AC$505,"&lt;="&amp;$A129,実績!$AD$6:$AD$505,"&gt;"&amp;$A129,実績!$AE$6:$AE$505,"○")&gt;0,1,0))</f>
        <v/>
      </c>
      <c r="AP129">
        <f>IF(AP$4=0,0,IF(COUNTIFS(実績!$W$6:$W$505,AP$3,実績!$AC$6:$AC$505,"&lt;="&amp;$A129,実績!$AD$6:$AD$505,"&gt;"&amp;$A129,実績!$AE$6:$AE$505,"○")&gt;0,1,0))</f>
        <v/>
      </c>
      <c r="AQ129">
        <f>IF(AQ$4=0,0,IF(COUNTIFS(実績!$W$6:$W$505,AQ$3,実績!$AC$6:$AC$505,"&lt;="&amp;$A129,実績!$AD$6:$AD$505,"&gt;"&amp;$A129,実績!$AE$6:$AE$505,"○")&gt;0,1,0))</f>
        <v/>
      </c>
      <c r="AR129">
        <f>IF(AR$4=0,0,IF(COUNTIFS(実績!$W$6:$W$505,AR$3,実績!$AC$6:$AC$505,"&lt;="&amp;$A129,実績!$AD$6:$AD$505,"&gt;"&amp;$A129,実績!$AE$6:$AE$505,"○")&gt;0,1,0))</f>
        <v/>
      </c>
      <c r="AS129">
        <f>IF(AS$4=0,0,IF(COUNTIFS(実績!$W$6:$W$505,AS$3,実績!$AC$6:$AC$505,"&lt;="&amp;$A129,実績!$AD$6:$AD$505,"&gt;"&amp;$A129,実績!$AE$6:$AE$505,"○")&gt;0,1,0))</f>
        <v/>
      </c>
      <c r="AT129">
        <f>IF(AT$4=0,0,IF(COUNTIFS(実績!$W$6:$W$505,AT$3,実績!$AC$6:$AC$505,"&lt;="&amp;$A129,実績!$AD$6:$AD$505,"&gt;"&amp;$A129,実績!$AE$6:$AE$505,"○")&gt;0,1,0))</f>
        <v/>
      </c>
      <c r="AU129">
        <f>IF(AU$4=0,0,IF(COUNTIFS(実績!$W$6:$W$505,AU$3,実績!$AC$6:$AC$505,"&lt;="&amp;$A129,実績!$AD$6:$AD$505,"&gt;"&amp;$A129,実績!$AE$6:$AE$505,"○")&gt;0,1,0))</f>
        <v/>
      </c>
      <c r="AV129">
        <f>IF(AV$4=0,0,IF(COUNTIFS(実績!$W$6:$W$505,AV$3,実績!$AC$6:$AC$505,"&lt;="&amp;$A129,実績!$AD$6:$AD$505,"&gt;"&amp;$A129,実績!$AE$6:$AE$505,"○")&gt;0,1,0))</f>
        <v/>
      </c>
      <c r="AW129">
        <f>IF(AW$4=0,0,IF(COUNTIFS(実績!$W$6:$W$505,AW$3,実績!$AC$6:$AC$505,"&lt;="&amp;$A129,実績!$AD$6:$AD$505,"&gt;"&amp;$A129,実績!$AE$6:$AE$505,"○")&gt;0,1,0))</f>
        <v/>
      </c>
      <c r="AX129">
        <f>IF(AX$4=0,0,IF(COUNTIFS(実績!$W$6:$W$505,AX$3,実績!$AC$6:$AC$505,"&lt;="&amp;$A129,実績!$AD$6:$AD$505,"&gt;"&amp;$A129,実績!$AE$6:$AE$505,"○")&gt;0,1,0))</f>
        <v/>
      </c>
      <c r="AY129">
        <f>IF(AY$4=0,0,IF(COUNTIFS(実績!$W$6:$W$505,AY$3,実績!$AC$6:$AC$505,"&lt;="&amp;$A129,実績!$AD$6:$AD$505,"&gt;"&amp;$A129,実績!$AE$6:$AE$505,"○")&gt;0,1,0))</f>
        <v/>
      </c>
      <c r="AZ129">
        <f>IF(AZ$4=0,0,IF(COUNTIFS(実績!$W$6:$W$505,AZ$3,実績!$AC$6:$AC$505,"&lt;="&amp;$A129,実績!$AD$6:$AD$505,"&gt;"&amp;$A129,実績!$AE$6:$AE$505,"○")&gt;0,1,0))</f>
        <v/>
      </c>
      <c r="BA129">
        <f>IF(BA$4=0,0,IF(COUNTIFS(実績!$W$6:$W$505,BA$3,実績!$AC$6:$AC$505,"&lt;="&amp;$A129,実績!$AD$6:$AD$505,"&gt;"&amp;$A129,実績!$AE$6:$AE$505,"○")&gt;0,1,0))</f>
        <v/>
      </c>
      <c r="BB129">
        <f>IF(BB$4=0,0,IF(COUNTIFS(実績!$W$6:$W$505,BB$3,実績!$AC$6:$AC$505,"&lt;="&amp;$A129,実績!$AD$6:$AD$505,"&gt;"&amp;$A129,実績!$AE$6:$AE$505,"○")&gt;0,1,0))</f>
        <v/>
      </c>
      <c r="BC129">
        <f>IF(BC$4=0,0,IF(COUNTIFS(実績!$W$6:$W$505,BC$3,実績!$AC$6:$AC$505,"&lt;="&amp;$A129,実績!$AD$6:$AD$505,"&gt;"&amp;$A129,実績!$AE$6:$AE$505,"○")&gt;0,1,0))</f>
        <v/>
      </c>
      <c r="BD129">
        <f>IF(BD$4=0,0,IF(COUNTIFS(実績!$W$6:$W$505,BD$3,実績!$AC$6:$AC$505,"&lt;="&amp;$A129,実績!$AD$6:$AD$505,"&gt;"&amp;$A129,実績!$AE$6:$AE$505,"○")&gt;0,1,0))</f>
        <v/>
      </c>
      <c r="BE129">
        <f>IF(BE$4=0,0,IF(COUNTIFS(実績!$W$6:$W$505,BE$3,実績!$AC$6:$AC$505,"&lt;="&amp;$A129,実績!$AD$6:$AD$505,"&gt;"&amp;$A129,実績!$AE$6:$AE$505,"○")&gt;0,1,0))</f>
        <v/>
      </c>
      <c r="BF129">
        <f>IF(BF$4=0,0,IF(COUNTIFS(実績!$W$6:$W$505,BF$3,実績!$AC$6:$AC$505,"&lt;="&amp;$A129,実績!$AD$6:$AD$505,"&gt;"&amp;$A129,実績!$AE$6:$AE$505,"○")&gt;0,1,0))</f>
        <v/>
      </c>
      <c r="BG129">
        <f>IF(BG$4=0,0,IF(COUNTIFS(実績!$W$6:$W$505,BG$3,実績!$AC$6:$AC$505,"&lt;="&amp;$A129,実績!$AD$6:$AD$505,"&gt;"&amp;$A129,実績!$AE$6:$AE$505,"○")&gt;0,1,0))</f>
        <v/>
      </c>
      <c r="BH129">
        <f>IF(BH$4=0,0,IF(COUNTIFS(実績!$W$6:$W$505,BH$3,実績!$AC$6:$AC$505,"&lt;="&amp;$A129,実績!$AD$6:$AD$505,"&gt;"&amp;$A129,実績!$AE$6:$AE$505,"○")&gt;0,1,0))</f>
        <v/>
      </c>
      <c r="BI129">
        <f>IF(BI$4=0,0,IF(COUNTIFS(実績!$W$6:$W$505,BI$3,実績!$AC$6:$AC$505,"&lt;="&amp;$A129,実績!$AD$6:$AD$505,"&gt;"&amp;$A129,実績!$AE$6:$AE$505,"○")&gt;0,1,0))</f>
        <v/>
      </c>
      <c r="BJ129">
        <f>IF(BJ$4=0,0,IF(COUNTIFS(実績!$W$6:$W$505,BJ$3,実績!$AC$6:$AC$505,"&lt;="&amp;$A129,実績!$AD$6:$AD$505,"&gt;"&amp;$A129,実績!$AE$6:$AE$505,"○")&gt;0,1,0))</f>
        <v/>
      </c>
      <c r="BK129">
        <f>IF(BK$4=0,0,IF(COUNTIFS(実績!$W$6:$W$505,BK$3,実績!$AC$6:$AC$505,"&lt;="&amp;$A129,実績!$AD$6:$AD$505,"&gt;"&amp;$A129,実績!$AE$6:$AE$505,"○")&gt;0,1,0))</f>
        <v/>
      </c>
      <c r="BL129">
        <f>IF(BL$4=0,0,IF(COUNTIFS(実績!$W$6:$W$505,BL$3,実績!$AC$6:$AC$505,"&lt;="&amp;$A129,実績!$AD$6:$AD$505,"&gt;"&amp;$A129,実績!$AE$6:$AE$505,"○")&gt;0,1,0))</f>
        <v/>
      </c>
      <c r="BM129">
        <f>IF(BM$4=0,0,IF(COUNTIFS(実績!$W$6:$W$505,BM$3,実績!$AC$6:$AC$505,"&lt;="&amp;$A129,実績!$AD$6:$AD$505,"&gt;"&amp;$A129,実績!$AE$6:$AE$505,"○")&gt;0,1,0))</f>
        <v/>
      </c>
      <c r="BN129">
        <f>IF(BN$4=0,0,IF(COUNTIFS(実績!$W$6:$W$505,BN$3,実績!$AC$6:$AC$505,"&lt;="&amp;$A129,実績!$AD$6:$AD$505,"&gt;"&amp;$A129,実績!$AE$6:$AE$505,"○")&gt;0,1,0))</f>
        <v/>
      </c>
      <c r="BO129">
        <f>IF(BO$4=0,0,IF(COUNTIFS(実績!$W$6:$W$505,BO$3,実績!$AC$6:$AC$505,"&lt;="&amp;$A129,実績!$AD$6:$AD$505,"&gt;"&amp;$A129,実績!$AE$6:$AE$505,"○")&gt;0,1,0))</f>
        <v/>
      </c>
      <c r="BP129">
        <f>IF(BP$4=0,0,IF(COUNTIFS(実績!$W$6:$W$505,BP$3,実績!$AC$6:$AC$505,"&lt;="&amp;$A129,実績!$AD$6:$AD$505,"&gt;"&amp;$A129,実績!$AE$6:$AE$505,"○")&gt;0,1,0))</f>
        <v/>
      </c>
      <c r="BQ129">
        <f>IF(BQ$4=0,0,IF(COUNTIFS(実績!$W$6:$W$505,BQ$3,実績!$AC$6:$AC$505,"&lt;="&amp;$A129,実績!$AD$6:$AD$505,"&gt;"&amp;$A129,実績!$AE$6:$AE$505,"○")&gt;0,1,0))</f>
        <v/>
      </c>
      <c r="BR129">
        <f>IF(BR$4=0,0,IF(COUNTIFS(実績!$W$6:$W$505,BR$3,実績!$AC$6:$AC$505,"&lt;="&amp;$A129,実績!$AD$6:$AD$505,"&gt;"&amp;$A129,実績!$AE$6:$AE$505,"○")&gt;0,1,0))</f>
        <v/>
      </c>
      <c r="BS129">
        <f>IF(BS$4=0,0,IF(COUNTIFS(実績!$W$6:$W$505,BS$3,実績!$AC$6:$AC$505,"&lt;="&amp;$A129,実績!$AD$6:$AD$505,"&gt;"&amp;$A129,実績!$AE$6:$AE$505,"○")&gt;0,1,0))</f>
        <v/>
      </c>
      <c r="BT129">
        <f>IF(BT$4=0,0,IF(COUNTIFS(実績!$W$6:$W$505,BT$3,実績!$AC$6:$AC$505,"&lt;="&amp;$A129,実績!$AD$6:$AD$505,"&gt;"&amp;$A129,実績!$AE$6:$AE$505,"○")&gt;0,1,0))</f>
        <v/>
      </c>
      <c r="BU129">
        <f>IF(BU$4=0,0,IF(COUNTIFS(実績!$W$6:$W$505,BU$3,実績!$AC$6:$AC$505,"&lt;="&amp;$A129,実績!$AD$6:$AD$505,"&gt;"&amp;$A129,実績!$AE$6:$AE$505,"○")&gt;0,1,0))</f>
        <v/>
      </c>
      <c r="BV129">
        <f>IF(BV$4=0,0,IF(COUNTIFS(実績!$W$6:$W$505,BV$3,実績!$AC$6:$AC$505,"&lt;="&amp;$A129,実績!$AD$6:$AD$505,"&gt;"&amp;$A129,実績!$AE$6:$AE$505,"○")&gt;0,1,0))</f>
        <v/>
      </c>
      <c r="BW129">
        <f>IF(BW$4=0,0,IF(COUNTIFS(実績!$W$6:$W$505,BW$3,実績!$AC$6:$AC$505,"&lt;="&amp;$A129,実績!$AD$6:$AD$505,"&gt;"&amp;$A129,実績!$AE$6:$AE$505,"○")&gt;0,1,0))</f>
        <v/>
      </c>
      <c r="BX129">
        <f>IF(BX$4=0,0,IF(COUNTIFS(実績!$W$6:$W$505,BX$3,実績!$AC$6:$AC$505,"&lt;="&amp;$A129,実績!$AD$6:$AD$505,"&gt;"&amp;$A129,実績!$AE$6:$AE$505,"○")&gt;0,1,0))</f>
        <v/>
      </c>
      <c r="BY129">
        <f>IF(BY$4=0,0,IF(COUNTIFS(実績!$W$6:$W$505,BY$3,実績!$AC$6:$AC$505,"&lt;="&amp;$A129,実績!$AD$6:$AD$505,"&gt;"&amp;$A129,実績!$AE$6:$AE$505,"○")&gt;0,1,0))</f>
        <v/>
      </c>
      <c r="BZ129">
        <f>IF(BZ$4=0,0,IF(COUNTIFS(実績!$W$6:$W$505,BZ$3,実績!$AC$6:$AC$505,"&lt;="&amp;$A129,実績!$AD$6:$AD$505,"&gt;"&amp;$A129,実績!$AE$6:$AE$505,"○")&gt;0,1,0))</f>
        <v/>
      </c>
      <c r="CA129">
        <f>IF(CA$4=0,0,IF(COUNTIFS(実績!$W$6:$W$505,CA$3,実績!$AC$6:$AC$505,"&lt;="&amp;$A129,実績!$AD$6:$AD$505,"&gt;"&amp;$A129,実績!$AE$6:$AE$505,"○")&gt;0,1,0))</f>
        <v/>
      </c>
      <c r="CB129">
        <f>IF(CB$4=0,0,IF(COUNTIFS(実績!$W$6:$W$505,CB$3,実績!$AC$6:$AC$505,"&lt;="&amp;$A129,実績!$AD$6:$AD$505,"&gt;"&amp;$A129,実績!$AE$6:$AE$505,"○")&gt;0,1,0))</f>
        <v/>
      </c>
      <c r="CC129">
        <f>IF(CC$4=0,0,IF(COUNTIFS(実績!$W$6:$W$505,CC$3,実績!$AC$6:$AC$505,"&lt;="&amp;$A129,実績!$AD$6:$AD$505,"&gt;"&amp;$A129,実績!$AE$6:$AE$505,"○")&gt;0,1,0))</f>
        <v/>
      </c>
      <c r="CD129">
        <f>IF(CD$4=0,0,IF(COUNTIFS(実績!$W$6:$W$505,CD$3,実績!$AC$6:$AC$505,"&lt;="&amp;$A129,実績!$AD$6:$AD$505,"&gt;"&amp;$A129,実績!$AE$6:$AE$505,"○")&gt;0,1,0))</f>
        <v/>
      </c>
      <c r="CE129">
        <f>IF(CE$4=0,0,IF(COUNTIFS(実績!$W$6:$W$505,CE$3,実績!$AC$6:$AC$505,"&lt;="&amp;$A129,実績!$AD$6:$AD$505,"&gt;"&amp;$A129,実績!$AE$6:$AE$505,"○")&gt;0,1,0))</f>
        <v/>
      </c>
      <c r="CF129">
        <f>IF(CF$4=0,0,IF(COUNTIFS(実績!$W$6:$W$505,CF$3,実績!$AC$6:$AC$505,"&lt;="&amp;$A129,実績!$AD$6:$AD$505,"&gt;"&amp;$A129,実績!$AE$6:$AE$505,"○")&gt;0,1,0))</f>
        <v/>
      </c>
      <c r="CG129">
        <f>IF(CG$4=0,0,IF(COUNTIFS(実績!$W$6:$W$505,CG$3,実績!$AC$6:$AC$505,"&lt;="&amp;$A129,実績!$AD$6:$AD$505,"&gt;"&amp;$A129,実績!$AE$6:$AE$505,"○")&gt;0,1,0))</f>
        <v/>
      </c>
      <c r="CH129">
        <f>IF(CH$4=0,0,IF(COUNTIFS(実績!$W$6:$W$505,CH$3,実績!$AC$6:$AC$505,"&lt;="&amp;$A129,実績!$AD$6:$AD$505,"&gt;"&amp;$A129,実績!$AE$6:$AE$505,"○")&gt;0,1,0))</f>
        <v/>
      </c>
      <c r="CI129">
        <f>IF(CI$4=0,0,IF(COUNTIFS(実績!$W$6:$W$505,CI$3,実績!$AC$6:$AC$505,"&lt;="&amp;$A129,実績!$AD$6:$AD$505,"&gt;"&amp;$A129,実績!$AE$6:$AE$505,"○")&gt;0,1,0))</f>
        <v/>
      </c>
      <c r="CJ129">
        <f>IF(CJ$4=0,0,IF(COUNTIFS(実績!$W$6:$W$505,CJ$3,実績!$AC$6:$AC$505,"&lt;="&amp;$A129,実績!$AD$6:$AD$505,"&gt;"&amp;$A129,実績!$AE$6:$AE$505,"○")&gt;0,1,0))</f>
        <v/>
      </c>
      <c r="CK129">
        <f>IF(CK$4=0,0,IF(COUNTIFS(実績!$W$6:$W$505,CK$3,実績!$AC$6:$AC$505,"&lt;="&amp;$A129,実績!$AD$6:$AD$505,"&gt;"&amp;$A129,実績!$AE$6:$AE$505,"○")&gt;0,1,0))</f>
        <v/>
      </c>
      <c r="CL129">
        <f>IF(CL$4=0,0,IF(COUNTIFS(実績!$W$6:$W$505,CL$3,実績!$AC$6:$AC$505,"&lt;="&amp;$A129,実績!$AD$6:$AD$505,"&gt;"&amp;$A129,実績!$AE$6:$AE$505,"○")&gt;0,1,0))</f>
        <v/>
      </c>
      <c r="CM129">
        <f>IF(CM$4=0,0,IF(COUNTIFS(実績!$W$6:$W$505,CM$3,実績!$AC$6:$AC$505,"&lt;="&amp;$A129,実績!$AD$6:$AD$505,"&gt;"&amp;$A129,実績!$AE$6:$AE$505,"○")&gt;0,1,0))</f>
        <v/>
      </c>
      <c r="CN129">
        <f>IF(CN$4=0,0,IF(COUNTIFS(実績!$W$6:$W$505,CN$3,実績!$AC$6:$AC$505,"&lt;="&amp;$A129,実績!$AD$6:$AD$505,"&gt;"&amp;$A129,実績!$AE$6:$AE$505,"○")&gt;0,1,0))</f>
        <v/>
      </c>
      <c r="CO129">
        <f>IF(CO$4=0,0,IF(COUNTIFS(実績!$W$6:$W$505,CO$3,実績!$AC$6:$AC$505,"&lt;="&amp;$A129,実績!$AD$6:$AD$505,"&gt;"&amp;$A129,実績!$AE$6:$AE$505,"○")&gt;0,1,0))</f>
        <v/>
      </c>
      <c r="CP129">
        <f>IF(CP$4=0,0,IF(COUNTIFS(実績!$W$6:$W$505,CP$3,実績!$AC$6:$AC$505,"&lt;="&amp;$A129,実績!$AD$6:$AD$505,"&gt;"&amp;$A129,実績!$AE$6:$AE$505,"○")&gt;0,1,0))</f>
        <v/>
      </c>
      <c r="CQ129">
        <f>IF(CQ$4=0,0,IF(COUNTIFS(実績!$W$6:$W$505,CQ$3,実績!$AC$6:$AC$505,"&lt;="&amp;$A129,実績!$AD$6:$AD$505,"&gt;"&amp;$A129,実績!$AE$6:$AE$505,"○")&gt;0,1,0))</f>
        <v/>
      </c>
      <c r="CR129">
        <f>IF(CR$4=0,0,IF(COUNTIFS(実績!$W$6:$W$505,CR$3,実績!$AC$6:$AC$505,"&lt;="&amp;$A129,実績!$AD$6:$AD$505,"&gt;"&amp;$A129,実績!$AE$6:$AE$505,"○")&gt;0,1,0))</f>
        <v/>
      </c>
      <c r="CS129">
        <f>IF(CS$4=0,0,IF(COUNTIFS(実績!$W$6:$W$505,CS$3,実績!$AC$6:$AC$505,"&lt;="&amp;$A129,実績!$AD$6:$AD$505,"&gt;"&amp;$A129,実績!$AE$6:$AE$505,"○")&gt;0,1,0))</f>
        <v/>
      </c>
      <c r="CT129">
        <f>IF(CT$4=0,0,IF(COUNTIFS(実績!$W$6:$W$505,CT$3,実績!$AC$6:$AC$505,"&lt;="&amp;$A129,実績!$AD$6:$AD$505,"&gt;"&amp;$A129,実績!$AE$6:$AE$505,"○")&gt;0,1,0))</f>
        <v/>
      </c>
      <c r="CU129">
        <f>IF(CU$4=0,0,IF(COUNTIFS(実績!$W$6:$W$505,CU$3,実績!$AC$6:$AC$505,"&lt;="&amp;$A129,実績!$AD$6:$AD$505,"&gt;"&amp;$A129,実績!$AE$6:$AE$505,"○")&gt;0,1,0))</f>
        <v/>
      </c>
      <c r="CV129">
        <f>IF(CV$4=0,0,IF(COUNTIFS(実績!$W$6:$W$505,CV$3,実績!$AC$6:$AC$505,"&lt;="&amp;$A129,実績!$AD$6:$AD$505,"&gt;"&amp;$A129,実績!$AE$6:$AE$505,"○")&gt;0,1,0))</f>
        <v/>
      </c>
      <c r="CW129">
        <f>IF(CW$4=0,0,IF(COUNTIFS(実績!$W$6:$W$505,CW$3,実績!$AC$6:$AC$505,"&lt;="&amp;$A129,実績!$AD$6:$AD$505,"&gt;"&amp;$A129,実績!$AE$6:$AE$505,"○")&gt;0,1,0))</f>
        <v/>
      </c>
      <c r="CX129">
        <f>IF(CX$4=0,0,IF(COUNTIFS(実績!$W$6:$W$505,CX$3,実績!$AC$6:$AC$505,"&lt;="&amp;$A129,実績!$AD$6:$AD$505,"&gt;"&amp;$A129,実績!$AE$6:$AE$505,"○")&gt;0,1,0))</f>
        <v/>
      </c>
      <c r="CY129">
        <f>IF(CY$4=0,0,IF(COUNTIFS(実績!$W$6:$W$505,CY$3,実績!$AC$6:$AC$505,"&lt;="&amp;$A129,実績!$AD$6:$AD$505,"&gt;"&amp;$A129,実績!$AE$6:$AE$505,"○")&gt;0,1,0))</f>
        <v/>
      </c>
      <c r="CZ129">
        <f>IF(CZ$4=0,0,IF(COUNTIFS(実績!$W$6:$W$505,CZ$3,実績!$AC$6:$AC$505,"&lt;="&amp;$A129,実績!$AD$6:$AD$505,"&gt;"&amp;$A129,実績!$AE$6:$AE$505,"○")&gt;0,1,0))</f>
        <v/>
      </c>
      <c r="DA129">
        <f>IF(DA$4=0,0,IF(COUNTIFS(実績!$W$6:$W$505,DA$3,実績!$AC$6:$AC$505,"&lt;="&amp;$A129,実績!$AD$6:$AD$505,"&gt;"&amp;$A129,実績!$AE$6:$AE$505,"○")&gt;0,1,0))</f>
        <v/>
      </c>
      <c r="DB129">
        <f>IF(DB$4=0,0,IF(COUNTIFS(実績!$W$6:$W$505,DB$3,実績!$AC$6:$AC$505,"&lt;="&amp;$A129,実績!$AD$6:$AD$505,"&gt;"&amp;$A129,実績!$AE$6:$AE$505,"○")&gt;0,1,0))</f>
        <v/>
      </c>
      <c r="DC129">
        <f>IF(DC$4=0,0,IF(COUNTIFS(実績!$W$6:$W$505,DC$3,実績!$AC$6:$AC$505,"&lt;="&amp;$A129,実績!$AD$6:$AD$505,"&gt;"&amp;$A129,実績!$AE$6:$AE$505,"○")&gt;0,1,0))</f>
        <v/>
      </c>
      <c r="DD129">
        <f>IF(DD$4=0,0,IF(COUNTIFS(実績!$W$6:$W$505,DD$3,実績!$AC$6:$AC$505,"&lt;="&amp;$A129,実績!$AD$6:$AD$505,"&gt;"&amp;$A129,実績!$AE$6:$AE$505,"○")&gt;0,1,0))</f>
        <v/>
      </c>
      <c r="DE129">
        <f>IF(DE$4=0,0,IF(COUNTIFS(実績!$W$6:$W$505,DE$3,実績!$AC$6:$AC$505,"&lt;="&amp;$A129,実績!$AD$6:$AD$505,"&gt;"&amp;$A129,実績!$AE$6:$AE$505,"○")&gt;0,1,0))</f>
        <v/>
      </c>
      <c r="DF129">
        <f>IF(DF$4=0,0,IF(COUNTIFS(実績!$W$6:$W$505,DF$3,実績!$AC$6:$AC$505,"&lt;="&amp;$A129,実績!$AD$6:$AD$505,"&gt;"&amp;$A129,実績!$AE$6:$AE$505,"○")&gt;0,1,0))</f>
        <v/>
      </c>
      <c r="DG129">
        <f>IF(DG$4=0,0,IF(COUNTIFS(実績!$W$6:$W$505,DG$3,実績!$AC$6:$AC$505,"&lt;="&amp;$A129,実績!$AD$6:$AD$505,"&gt;"&amp;$A129,実績!$AE$6:$AE$505,"○")&gt;0,1,0))</f>
        <v/>
      </c>
      <c r="DH129">
        <f>IF(DH$4=0,0,IF(COUNTIFS(実績!$W$6:$W$505,DH$3,実績!$AC$6:$AC$505,"&lt;="&amp;$A129,実績!$AD$6:$AD$505,"&gt;"&amp;$A129,実績!$AE$6:$AE$505,"○")&gt;0,1,0))</f>
        <v/>
      </c>
      <c r="DI129">
        <f>IF(DI$4=0,0,IF(COUNTIFS(実績!$W$6:$W$505,DI$3,実績!$AC$6:$AC$505,"&lt;="&amp;$A129,実績!$AD$6:$AD$505,"&gt;"&amp;$A129,実績!$AE$6:$AE$505,"○")&gt;0,1,0))</f>
        <v/>
      </c>
      <c r="DJ129">
        <f>IF(DJ$4=0,0,IF(COUNTIFS(実績!$W$6:$W$505,DJ$3,実績!$AC$6:$AC$505,"&lt;="&amp;$A129,実績!$AD$6:$AD$505,"&gt;"&amp;$A129,実績!$AE$6:$AE$505,"○")&gt;0,1,0))</f>
        <v/>
      </c>
      <c r="DK129">
        <f>IF(DK$4=0,0,IF(COUNTIFS(実績!$W$6:$W$505,DK$3,実績!$AC$6:$AC$505,"&lt;="&amp;$A129,実績!$AD$6:$AD$505,"&gt;"&amp;$A129,実績!$AE$6:$AE$505,"○")&gt;0,1,0))</f>
        <v/>
      </c>
      <c r="DL129">
        <f>IF(DL$4=0,0,IF(COUNTIFS(実績!$W$6:$W$505,DL$3,実績!$AC$6:$AC$505,"&lt;="&amp;$A129,実績!$AD$6:$AD$505,"&gt;"&amp;$A129,実績!$AE$6:$AE$505,"○")&gt;0,1,0))</f>
        <v/>
      </c>
      <c r="DM129">
        <f>IF(DM$4=0,0,IF(COUNTIFS(実績!$W$6:$W$505,DM$3,実績!$AC$6:$AC$505,"&lt;="&amp;$A129,実績!$AD$6:$AD$505,"&gt;"&amp;$A129,実績!$AE$6:$AE$505,"○")&gt;0,1,0))</f>
        <v/>
      </c>
      <c r="DN129">
        <f>IF(DN$4=0,0,IF(COUNTIFS(実績!$W$6:$W$505,DN$3,実績!$AC$6:$AC$505,"&lt;="&amp;$A129,実績!$AD$6:$AD$505,"&gt;"&amp;$A129,実績!$AE$6:$AE$505,"○")&gt;0,1,0))</f>
        <v/>
      </c>
      <c r="DO129">
        <f>IF(DO$4=0,0,IF(COUNTIFS(実績!$W$6:$W$505,DO$3,実績!$AC$6:$AC$505,"&lt;="&amp;$A129,実績!$AD$6:$AD$505,"&gt;"&amp;$A129,実績!$AE$6:$AE$505,"○")&gt;0,1,0))</f>
        <v/>
      </c>
      <c r="DP129">
        <f>IF(DP$4=0,0,IF(COUNTIFS(実績!$W$6:$W$505,DP$3,実績!$AC$6:$AC$505,"&lt;="&amp;$A129,実績!$AD$6:$AD$505,"&gt;"&amp;$A129,実績!$AE$6:$AE$505,"○")&gt;0,1,0))</f>
        <v/>
      </c>
      <c r="DQ129">
        <f>IF(DQ$4=0,0,IF(COUNTIFS(実績!$W$6:$W$505,DQ$3,実績!$AC$6:$AC$505,"&lt;="&amp;$A129,実績!$AD$6:$AD$505,"&gt;"&amp;$A129,実績!$AE$6:$AE$505,"○")&gt;0,1,0))</f>
        <v/>
      </c>
      <c r="DR129">
        <f>IF(DR$4=0,0,IF(COUNTIFS(実績!$W$6:$W$505,DR$3,実績!$AC$6:$AC$505,"&lt;="&amp;$A129,実績!$AD$6:$AD$505,"&gt;"&amp;$A129,実績!$AE$6:$AE$505,"○")&gt;0,1,0))</f>
        <v/>
      </c>
      <c r="DS129">
        <f>SUM(C129:DR129)</f>
        <v/>
      </c>
      <c r="DT129">
        <f>SUMPRODUCT((実績!$C$6:$C$505="○")*ISNUMBER(実績!$AF$6:$AF$505)*(実績!$AF$6:$AF$505&lt;=$A129)*(実績!$AG$6:$AG$505&gt;$A129))</f>
        <v/>
      </c>
      <c r="DU129">
        <f>SUMIF($C$2:$DR$2,"製鉄曳船",C129:DR129)</f>
        <v/>
      </c>
      <c r="DV129">
        <f>SUMIF($C$2:$DR$2,"西日本海運",C129:DR129)</f>
        <v/>
      </c>
    </row>
    <row r="130">
      <c r="A130" t="n">
        <v>620</v>
      </c>
      <c r="B130" s="29">
        <f>A130/1440</f>
        <v/>
      </c>
      <c r="C130">
        <f>IF(C$4=0,0,IF(COUNTIFS(実績!$W$6:$W$505,C$3,実績!$AC$6:$AC$505,"&lt;="&amp;$A130,実績!$AD$6:$AD$505,"&gt;"&amp;$A130,実績!$AE$6:$AE$505,"○")&gt;0,1,0))</f>
        <v/>
      </c>
      <c r="D130">
        <f>IF(D$4=0,0,IF(COUNTIFS(実績!$W$6:$W$505,D$3,実績!$AC$6:$AC$505,"&lt;="&amp;$A130,実績!$AD$6:$AD$505,"&gt;"&amp;$A130,実績!$AE$6:$AE$505,"○")&gt;0,1,0))</f>
        <v/>
      </c>
      <c r="E130">
        <f>IF(E$4=0,0,IF(COUNTIFS(実績!$W$6:$W$505,E$3,実績!$AC$6:$AC$505,"&lt;="&amp;$A130,実績!$AD$6:$AD$505,"&gt;"&amp;$A130,実績!$AE$6:$AE$505,"○")&gt;0,1,0))</f>
        <v/>
      </c>
      <c r="F130">
        <f>IF(F$4=0,0,IF(COUNTIFS(実績!$W$6:$W$505,F$3,実績!$AC$6:$AC$505,"&lt;="&amp;$A130,実績!$AD$6:$AD$505,"&gt;"&amp;$A130,実績!$AE$6:$AE$505,"○")&gt;0,1,0))</f>
        <v/>
      </c>
      <c r="G130">
        <f>IF(G$4=0,0,IF(COUNTIFS(実績!$W$6:$W$505,G$3,実績!$AC$6:$AC$505,"&lt;="&amp;$A130,実績!$AD$6:$AD$505,"&gt;"&amp;$A130,実績!$AE$6:$AE$505,"○")&gt;0,1,0))</f>
        <v/>
      </c>
      <c r="H130">
        <f>IF(H$4=0,0,IF(COUNTIFS(実績!$W$6:$W$505,H$3,実績!$AC$6:$AC$505,"&lt;="&amp;$A130,実績!$AD$6:$AD$505,"&gt;"&amp;$A130,実績!$AE$6:$AE$505,"○")&gt;0,1,0))</f>
        <v/>
      </c>
      <c r="I130">
        <f>IF(I$4=0,0,IF(COUNTIFS(実績!$W$6:$W$505,I$3,実績!$AC$6:$AC$505,"&lt;="&amp;$A130,実績!$AD$6:$AD$505,"&gt;"&amp;$A130,実績!$AE$6:$AE$505,"○")&gt;0,1,0))</f>
        <v/>
      </c>
      <c r="J130">
        <f>IF(J$4=0,0,IF(COUNTIFS(実績!$W$6:$W$505,J$3,実績!$AC$6:$AC$505,"&lt;="&amp;$A130,実績!$AD$6:$AD$505,"&gt;"&amp;$A130,実績!$AE$6:$AE$505,"○")&gt;0,1,0))</f>
        <v/>
      </c>
      <c r="K130">
        <f>IF(K$4=0,0,IF(COUNTIFS(実績!$W$6:$W$505,K$3,実績!$AC$6:$AC$505,"&lt;="&amp;$A130,実績!$AD$6:$AD$505,"&gt;"&amp;$A130,実績!$AE$6:$AE$505,"○")&gt;0,1,0))</f>
        <v/>
      </c>
      <c r="L130">
        <f>IF(L$4=0,0,IF(COUNTIFS(実績!$W$6:$W$505,L$3,実績!$AC$6:$AC$505,"&lt;="&amp;$A130,実績!$AD$6:$AD$505,"&gt;"&amp;$A130,実績!$AE$6:$AE$505,"○")&gt;0,1,0))</f>
        <v/>
      </c>
      <c r="M130">
        <f>IF(M$4=0,0,IF(COUNTIFS(実績!$W$6:$W$505,M$3,実績!$AC$6:$AC$505,"&lt;="&amp;$A130,実績!$AD$6:$AD$505,"&gt;"&amp;$A130,実績!$AE$6:$AE$505,"○")&gt;0,1,0))</f>
        <v/>
      </c>
      <c r="N130">
        <f>IF(N$4=0,0,IF(COUNTIFS(実績!$W$6:$W$505,N$3,実績!$AC$6:$AC$505,"&lt;="&amp;$A130,実績!$AD$6:$AD$505,"&gt;"&amp;$A130,実績!$AE$6:$AE$505,"○")&gt;0,1,0))</f>
        <v/>
      </c>
      <c r="O130">
        <f>IF(O$4=0,0,IF(COUNTIFS(実績!$W$6:$W$505,O$3,実績!$AC$6:$AC$505,"&lt;="&amp;$A130,実績!$AD$6:$AD$505,"&gt;"&amp;$A130,実績!$AE$6:$AE$505,"○")&gt;0,1,0))</f>
        <v/>
      </c>
      <c r="P130">
        <f>IF(P$4=0,0,IF(COUNTIFS(実績!$W$6:$W$505,P$3,実績!$AC$6:$AC$505,"&lt;="&amp;$A130,実績!$AD$6:$AD$505,"&gt;"&amp;$A130,実績!$AE$6:$AE$505,"○")&gt;0,1,0))</f>
        <v/>
      </c>
      <c r="Q130">
        <f>IF(Q$4=0,0,IF(COUNTIFS(実績!$W$6:$W$505,Q$3,実績!$AC$6:$AC$505,"&lt;="&amp;$A130,実績!$AD$6:$AD$505,"&gt;"&amp;$A130,実績!$AE$6:$AE$505,"○")&gt;0,1,0))</f>
        <v/>
      </c>
      <c r="R130">
        <f>IF(R$4=0,0,IF(COUNTIFS(実績!$W$6:$W$505,R$3,実績!$AC$6:$AC$505,"&lt;="&amp;$A130,実績!$AD$6:$AD$505,"&gt;"&amp;$A130,実績!$AE$6:$AE$505,"○")&gt;0,1,0))</f>
        <v/>
      </c>
      <c r="S130">
        <f>IF(S$4=0,0,IF(COUNTIFS(実績!$W$6:$W$505,S$3,実績!$AC$6:$AC$505,"&lt;="&amp;$A130,実績!$AD$6:$AD$505,"&gt;"&amp;$A130,実績!$AE$6:$AE$505,"○")&gt;0,1,0))</f>
        <v/>
      </c>
      <c r="T130">
        <f>IF(T$4=0,0,IF(COUNTIFS(実績!$W$6:$W$505,T$3,実績!$AC$6:$AC$505,"&lt;="&amp;$A130,実績!$AD$6:$AD$505,"&gt;"&amp;$A130,実績!$AE$6:$AE$505,"○")&gt;0,1,0))</f>
        <v/>
      </c>
      <c r="U130">
        <f>IF(U$4=0,0,IF(COUNTIFS(実績!$W$6:$W$505,U$3,実績!$AC$6:$AC$505,"&lt;="&amp;$A130,実績!$AD$6:$AD$505,"&gt;"&amp;$A130,実績!$AE$6:$AE$505,"○")&gt;0,1,0))</f>
        <v/>
      </c>
      <c r="V130">
        <f>IF(V$4=0,0,IF(COUNTIFS(実績!$W$6:$W$505,V$3,実績!$AC$6:$AC$505,"&lt;="&amp;$A130,実績!$AD$6:$AD$505,"&gt;"&amp;$A130,実績!$AE$6:$AE$505,"○")&gt;0,1,0))</f>
        <v/>
      </c>
      <c r="W130">
        <f>IF(W$4=0,0,IF(COUNTIFS(実績!$W$6:$W$505,W$3,実績!$AC$6:$AC$505,"&lt;="&amp;$A130,実績!$AD$6:$AD$505,"&gt;"&amp;$A130,実績!$AE$6:$AE$505,"○")&gt;0,1,0))</f>
        <v/>
      </c>
      <c r="X130">
        <f>IF(X$4=0,0,IF(COUNTIFS(実績!$W$6:$W$505,X$3,実績!$AC$6:$AC$505,"&lt;="&amp;$A130,実績!$AD$6:$AD$505,"&gt;"&amp;$A130,実績!$AE$6:$AE$505,"○")&gt;0,1,0))</f>
        <v/>
      </c>
      <c r="Y130">
        <f>IF(Y$4=0,0,IF(COUNTIFS(実績!$W$6:$W$505,Y$3,実績!$AC$6:$AC$505,"&lt;="&amp;$A130,実績!$AD$6:$AD$505,"&gt;"&amp;$A130,実績!$AE$6:$AE$505,"○")&gt;0,1,0))</f>
        <v/>
      </c>
      <c r="Z130">
        <f>IF(Z$4=0,0,IF(COUNTIFS(実績!$W$6:$W$505,Z$3,実績!$AC$6:$AC$505,"&lt;="&amp;$A130,実績!$AD$6:$AD$505,"&gt;"&amp;$A130,実績!$AE$6:$AE$505,"○")&gt;0,1,0))</f>
        <v/>
      </c>
      <c r="AA130">
        <f>IF(AA$4=0,0,IF(COUNTIFS(実績!$W$6:$W$505,AA$3,実績!$AC$6:$AC$505,"&lt;="&amp;$A130,実績!$AD$6:$AD$505,"&gt;"&amp;$A130,実績!$AE$6:$AE$505,"○")&gt;0,1,0))</f>
        <v/>
      </c>
      <c r="AB130">
        <f>IF(AB$4=0,0,IF(COUNTIFS(実績!$W$6:$W$505,AB$3,実績!$AC$6:$AC$505,"&lt;="&amp;$A130,実績!$AD$6:$AD$505,"&gt;"&amp;$A130,実績!$AE$6:$AE$505,"○")&gt;0,1,0))</f>
        <v/>
      </c>
      <c r="AC130">
        <f>IF(AC$4=0,0,IF(COUNTIFS(実績!$W$6:$W$505,AC$3,実績!$AC$6:$AC$505,"&lt;="&amp;$A130,実績!$AD$6:$AD$505,"&gt;"&amp;$A130,実績!$AE$6:$AE$505,"○")&gt;0,1,0))</f>
        <v/>
      </c>
      <c r="AD130">
        <f>IF(AD$4=0,0,IF(COUNTIFS(実績!$W$6:$W$505,AD$3,実績!$AC$6:$AC$505,"&lt;="&amp;$A130,実績!$AD$6:$AD$505,"&gt;"&amp;$A130,実績!$AE$6:$AE$505,"○")&gt;0,1,0))</f>
        <v/>
      </c>
      <c r="AE130">
        <f>IF(AE$4=0,0,IF(COUNTIFS(実績!$W$6:$W$505,AE$3,実績!$AC$6:$AC$505,"&lt;="&amp;$A130,実績!$AD$6:$AD$505,"&gt;"&amp;$A130,実績!$AE$6:$AE$505,"○")&gt;0,1,0))</f>
        <v/>
      </c>
      <c r="AF130">
        <f>IF(AF$4=0,0,IF(COUNTIFS(実績!$W$6:$W$505,AF$3,実績!$AC$6:$AC$505,"&lt;="&amp;$A130,実績!$AD$6:$AD$505,"&gt;"&amp;$A130,実績!$AE$6:$AE$505,"○")&gt;0,1,0))</f>
        <v/>
      </c>
      <c r="AG130">
        <f>IF(AG$4=0,0,IF(COUNTIFS(実績!$W$6:$W$505,AG$3,実績!$AC$6:$AC$505,"&lt;="&amp;$A130,実績!$AD$6:$AD$505,"&gt;"&amp;$A130,実績!$AE$6:$AE$505,"○")&gt;0,1,0))</f>
        <v/>
      </c>
      <c r="AH130">
        <f>IF(AH$4=0,0,IF(COUNTIFS(実績!$W$6:$W$505,AH$3,実績!$AC$6:$AC$505,"&lt;="&amp;$A130,実績!$AD$6:$AD$505,"&gt;"&amp;$A130,実績!$AE$6:$AE$505,"○")&gt;0,1,0))</f>
        <v/>
      </c>
      <c r="AI130">
        <f>IF(AI$4=0,0,IF(COUNTIFS(実績!$W$6:$W$505,AI$3,実績!$AC$6:$AC$505,"&lt;="&amp;$A130,実績!$AD$6:$AD$505,"&gt;"&amp;$A130,実績!$AE$6:$AE$505,"○")&gt;0,1,0))</f>
        <v/>
      </c>
      <c r="AJ130">
        <f>IF(AJ$4=0,0,IF(COUNTIFS(実績!$W$6:$W$505,AJ$3,実績!$AC$6:$AC$505,"&lt;="&amp;$A130,実績!$AD$6:$AD$505,"&gt;"&amp;$A130,実績!$AE$6:$AE$505,"○")&gt;0,1,0))</f>
        <v/>
      </c>
      <c r="AK130">
        <f>IF(AK$4=0,0,IF(COUNTIFS(実績!$W$6:$W$505,AK$3,実績!$AC$6:$AC$505,"&lt;="&amp;$A130,実績!$AD$6:$AD$505,"&gt;"&amp;$A130,実績!$AE$6:$AE$505,"○")&gt;0,1,0))</f>
        <v/>
      </c>
      <c r="AL130">
        <f>IF(AL$4=0,0,IF(COUNTIFS(実績!$W$6:$W$505,AL$3,実績!$AC$6:$AC$505,"&lt;="&amp;$A130,実績!$AD$6:$AD$505,"&gt;"&amp;$A130,実績!$AE$6:$AE$505,"○")&gt;0,1,0))</f>
        <v/>
      </c>
      <c r="AM130">
        <f>IF(AM$4=0,0,IF(COUNTIFS(実績!$W$6:$W$505,AM$3,実績!$AC$6:$AC$505,"&lt;="&amp;$A130,実績!$AD$6:$AD$505,"&gt;"&amp;$A130,実績!$AE$6:$AE$505,"○")&gt;0,1,0))</f>
        <v/>
      </c>
      <c r="AN130">
        <f>IF(AN$4=0,0,IF(COUNTIFS(実績!$W$6:$W$505,AN$3,実績!$AC$6:$AC$505,"&lt;="&amp;$A130,実績!$AD$6:$AD$505,"&gt;"&amp;$A130,実績!$AE$6:$AE$505,"○")&gt;0,1,0))</f>
        <v/>
      </c>
      <c r="AO130">
        <f>IF(AO$4=0,0,IF(COUNTIFS(実績!$W$6:$W$505,AO$3,実績!$AC$6:$AC$505,"&lt;="&amp;$A130,実績!$AD$6:$AD$505,"&gt;"&amp;$A130,実績!$AE$6:$AE$505,"○")&gt;0,1,0))</f>
        <v/>
      </c>
      <c r="AP130">
        <f>IF(AP$4=0,0,IF(COUNTIFS(実績!$W$6:$W$505,AP$3,実績!$AC$6:$AC$505,"&lt;="&amp;$A130,実績!$AD$6:$AD$505,"&gt;"&amp;$A130,実績!$AE$6:$AE$505,"○")&gt;0,1,0))</f>
        <v/>
      </c>
      <c r="AQ130">
        <f>IF(AQ$4=0,0,IF(COUNTIFS(実績!$W$6:$W$505,AQ$3,実績!$AC$6:$AC$505,"&lt;="&amp;$A130,実績!$AD$6:$AD$505,"&gt;"&amp;$A130,実績!$AE$6:$AE$505,"○")&gt;0,1,0))</f>
        <v/>
      </c>
      <c r="AR130">
        <f>IF(AR$4=0,0,IF(COUNTIFS(実績!$W$6:$W$505,AR$3,実績!$AC$6:$AC$505,"&lt;="&amp;$A130,実績!$AD$6:$AD$505,"&gt;"&amp;$A130,実績!$AE$6:$AE$505,"○")&gt;0,1,0))</f>
        <v/>
      </c>
      <c r="AS130">
        <f>IF(AS$4=0,0,IF(COUNTIFS(実績!$W$6:$W$505,AS$3,実績!$AC$6:$AC$505,"&lt;="&amp;$A130,実績!$AD$6:$AD$505,"&gt;"&amp;$A130,実績!$AE$6:$AE$505,"○")&gt;0,1,0))</f>
        <v/>
      </c>
      <c r="AT130">
        <f>IF(AT$4=0,0,IF(COUNTIFS(実績!$W$6:$W$505,AT$3,実績!$AC$6:$AC$505,"&lt;="&amp;$A130,実績!$AD$6:$AD$505,"&gt;"&amp;$A130,実績!$AE$6:$AE$505,"○")&gt;0,1,0))</f>
        <v/>
      </c>
      <c r="AU130">
        <f>IF(AU$4=0,0,IF(COUNTIFS(実績!$W$6:$W$505,AU$3,実績!$AC$6:$AC$505,"&lt;="&amp;$A130,実績!$AD$6:$AD$505,"&gt;"&amp;$A130,実績!$AE$6:$AE$505,"○")&gt;0,1,0))</f>
        <v/>
      </c>
      <c r="AV130">
        <f>IF(AV$4=0,0,IF(COUNTIFS(実績!$W$6:$W$505,AV$3,実績!$AC$6:$AC$505,"&lt;="&amp;$A130,実績!$AD$6:$AD$505,"&gt;"&amp;$A130,実績!$AE$6:$AE$505,"○")&gt;0,1,0))</f>
        <v/>
      </c>
      <c r="AW130">
        <f>IF(AW$4=0,0,IF(COUNTIFS(実績!$W$6:$W$505,AW$3,実績!$AC$6:$AC$505,"&lt;="&amp;$A130,実績!$AD$6:$AD$505,"&gt;"&amp;$A130,実績!$AE$6:$AE$505,"○")&gt;0,1,0))</f>
        <v/>
      </c>
      <c r="AX130">
        <f>IF(AX$4=0,0,IF(COUNTIFS(実績!$W$6:$W$505,AX$3,実績!$AC$6:$AC$505,"&lt;="&amp;$A130,実績!$AD$6:$AD$505,"&gt;"&amp;$A130,実績!$AE$6:$AE$505,"○")&gt;0,1,0))</f>
        <v/>
      </c>
      <c r="AY130">
        <f>IF(AY$4=0,0,IF(COUNTIFS(実績!$W$6:$W$505,AY$3,実績!$AC$6:$AC$505,"&lt;="&amp;$A130,実績!$AD$6:$AD$505,"&gt;"&amp;$A130,実績!$AE$6:$AE$505,"○")&gt;0,1,0))</f>
        <v/>
      </c>
      <c r="AZ130">
        <f>IF(AZ$4=0,0,IF(COUNTIFS(実績!$W$6:$W$505,AZ$3,実績!$AC$6:$AC$505,"&lt;="&amp;$A130,実績!$AD$6:$AD$505,"&gt;"&amp;$A130,実績!$AE$6:$AE$505,"○")&gt;0,1,0))</f>
        <v/>
      </c>
      <c r="BA130">
        <f>IF(BA$4=0,0,IF(COUNTIFS(実績!$W$6:$W$505,BA$3,実績!$AC$6:$AC$505,"&lt;="&amp;$A130,実績!$AD$6:$AD$505,"&gt;"&amp;$A130,実績!$AE$6:$AE$505,"○")&gt;0,1,0))</f>
        <v/>
      </c>
      <c r="BB130">
        <f>IF(BB$4=0,0,IF(COUNTIFS(実績!$W$6:$W$505,BB$3,実績!$AC$6:$AC$505,"&lt;="&amp;$A130,実績!$AD$6:$AD$505,"&gt;"&amp;$A130,実績!$AE$6:$AE$505,"○")&gt;0,1,0))</f>
        <v/>
      </c>
      <c r="BC130">
        <f>IF(BC$4=0,0,IF(COUNTIFS(実績!$W$6:$W$505,BC$3,実績!$AC$6:$AC$505,"&lt;="&amp;$A130,実績!$AD$6:$AD$505,"&gt;"&amp;$A130,実績!$AE$6:$AE$505,"○")&gt;0,1,0))</f>
        <v/>
      </c>
      <c r="BD130">
        <f>IF(BD$4=0,0,IF(COUNTIFS(実績!$W$6:$W$505,BD$3,実績!$AC$6:$AC$505,"&lt;="&amp;$A130,実績!$AD$6:$AD$505,"&gt;"&amp;$A130,実績!$AE$6:$AE$505,"○")&gt;0,1,0))</f>
        <v/>
      </c>
      <c r="BE130">
        <f>IF(BE$4=0,0,IF(COUNTIFS(実績!$W$6:$W$505,BE$3,実績!$AC$6:$AC$505,"&lt;="&amp;$A130,実績!$AD$6:$AD$505,"&gt;"&amp;$A130,実績!$AE$6:$AE$505,"○")&gt;0,1,0))</f>
        <v/>
      </c>
      <c r="BF130">
        <f>IF(BF$4=0,0,IF(COUNTIFS(実績!$W$6:$W$505,BF$3,実績!$AC$6:$AC$505,"&lt;="&amp;$A130,実績!$AD$6:$AD$505,"&gt;"&amp;$A130,実績!$AE$6:$AE$505,"○")&gt;0,1,0))</f>
        <v/>
      </c>
      <c r="BG130">
        <f>IF(BG$4=0,0,IF(COUNTIFS(実績!$W$6:$W$505,BG$3,実績!$AC$6:$AC$505,"&lt;="&amp;$A130,実績!$AD$6:$AD$505,"&gt;"&amp;$A130,実績!$AE$6:$AE$505,"○")&gt;0,1,0))</f>
        <v/>
      </c>
      <c r="BH130">
        <f>IF(BH$4=0,0,IF(COUNTIFS(実績!$W$6:$W$505,BH$3,実績!$AC$6:$AC$505,"&lt;="&amp;$A130,実績!$AD$6:$AD$505,"&gt;"&amp;$A130,実績!$AE$6:$AE$505,"○")&gt;0,1,0))</f>
        <v/>
      </c>
      <c r="BI130">
        <f>IF(BI$4=0,0,IF(COUNTIFS(実績!$W$6:$W$505,BI$3,実績!$AC$6:$AC$505,"&lt;="&amp;$A130,実績!$AD$6:$AD$505,"&gt;"&amp;$A130,実績!$AE$6:$AE$505,"○")&gt;0,1,0))</f>
        <v/>
      </c>
      <c r="BJ130">
        <f>IF(BJ$4=0,0,IF(COUNTIFS(実績!$W$6:$W$505,BJ$3,実績!$AC$6:$AC$505,"&lt;="&amp;$A130,実績!$AD$6:$AD$505,"&gt;"&amp;$A130,実績!$AE$6:$AE$505,"○")&gt;0,1,0))</f>
        <v/>
      </c>
      <c r="BK130">
        <f>IF(BK$4=0,0,IF(COUNTIFS(実績!$W$6:$W$505,BK$3,実績!$AC$6:$AC$505,"&lt;="&amp;$A130,実績!$AD$6:$AD$505,"&gt;"&amp;$A130,実績!$AE$6:$AE$505,"○")&gt;0,1,0))</f>
        <v/>
      </c>
      <c r="BL130">
        <f>IF(BL$4=0,0,IF(COUNTIFS(実績!$W$6:$W$505,BL$3,実績!$AC$6:$AC$505,"&lt;="&amp;$A130,実績!$AD$6:$AD$505,"&gt;"&amp;$A130,実績!$AE$6:$AE$505,"○")&gt;0,1,0))</f>
        <v/>
      </c>
      <c r="BM130">
        <f>IF(BM$4=0,0,IF(COUNTIFS(実績!$W$6:$W$505,BM$3,実績!$AC$6:$AC$505,"&lt;="&amp;$A130,実績!$AD$6:$AD$505,"&gt;"&amp;$A130,実績!$AE$6:$AE$505,"○")&gt;0,1,0))</f>
        <v/>
      </c>
      <c r="BN130">
        <f>IF(BN$4=0,0,IF(COUNTIFS(実績!$W$6:$W$505,BN$3,実績!$AC$6:$AC$505,"&lt;="&amp;$A130,実績!$AD$6:$AD$505,"&gt;"&amp;$A130,実績!$AE$6:$AE$505,"○")&gt;0,1,0))</f>
        <v/>
      </c>
      <c r="BO130">
        <f>IF(BO$4=0,0,IF(COUNTIFS(実績!$W$6:$W$505,BO$3,実績!$AC$6:$AC$505,"&lt;="&amp;$A130,実績!$AD$6:$AD$505,"&gt;"&amp;$A130,実績!$AE$6:$AE$505,"○")&gt;0,1,0))</f>
        <v/>
      </c>
      <c r="BP130">
        <f>IF(BP$4=0,0,IF(COUNTIFS(実績!$W$6:$W$505,BP$3,実績!$AC$6:$AC$505,"&lt;="&amp;$A130,実績!$AD$6:$AD$505,"&gt;"&amp;$A130,実績!$AE$6:$AE$505,"○")&gt;0,1,0))</f>
        <v/>
      </c>
      <c r="BQ130">
        <f>IF(BQ$4=0,0,IF(COUNTIFS(実績!$W$6:$W$505,BQ$3,実績!$AC$6:$AC$505,"&lt;="&amp;$A130,実績!$AD$6:$AD$505,"&gt;"&amp;$A130,実績!$AE$6:$AE$505,"○")&gt;0,1,0))</f>
        <v/>
      </c>
      <c r="BR130">
        <f>IF(BR$4=0,0,IF(COUNTIFS(実績!$W$6:$W$505,BR$3,実績!$AC$6:$AC$505,"&lt;="&amp;$A130,実績!$AD$6:$AD$505,"&gt;"&amp;$A130,実績!$AE$6:$AE$505,"○")&gt;0,1,0))</f>
        <v/>
      </c>
      <c r="BS130">
        <f>IF(BS$4=0,0,IF(COUNTIFS(実績!$W$6:$W$505,BS$3,実績!$AC$6:$AC$505,"&lt;="&amp;$A130,実績!$AD$6:$AD$505,"&gt;"&amp;$A130,実績!$AE$6:$AE$505,"○")&gt;0,1,0))</f>
        <v/>
      </c>
      <c r="BT130">
        <f>IF(BT$4=0,0,IF(COUNTIFS(実績!$W$6:$W$505,BT$3,実績!$AC$6:$AC$505,"&lt;="&amp;$A130,実績!$AD$6:$AD$505,"&gt;"&amp;$A130,実績!$AE$6:$AE$505,"○")&gt;0,1,0))</f>
        <v/>
      </c>
      <c r="BU130">
        <f>IF(BU$4=0,0,IF(COUNTIFS(実績!$W$6:$W$505,BU$3,実績!$AC$6:$AC$505,"&lt;="&amp;$A130,実績!$AD$6:$AD$505,"&gt;"&amp;$A130,実績!$AE$6:$AE$505,"○")&gt;0,1,0))</f>
        <v/>
      </c>
      <c r="BV130">
        <f>IF(BV$4=0,0,IF(COUNTIFS(実績!$W$6:$W$505,BV$3,実績!$AC$6:$AC$505,"&lt;="&amp;$A130,実績!$AD$6:$AD$505,"&gt;"&amp;$A130,実績!$AE$6:$AE$505,"○")&gt;0,1,0))</f>
        <v/>
      </c>
      <c r="BW130">
        <f>IF(BW$4=0,0,IF(COUNTIFS(実績!$W$6:$W$505,BW$3,実績!$AC$6:$AC$505,"&lt;="&amp;$A130,実績!$AD$6:$AD$505,"&gt;"&amp;$A130,実績!$AE$6:$AE$505,"○")&gt;0,1,0))</f>
        <v/>
      </c>
      <c r="BX130">
        <f>IF(BX$4=0,0,IF(COUNTIFS(実績!$W$6:$W$505,BX$3,実績!$AC$6:$AC$505,"&lt;="&amp;$A130,実績!$AD$6:$AD$505,"&gt;"&amp;$A130,実績!$AE$6:$AE$505,"○")&gt;0,1,0))</f>
        <v/>
      </c>
      <c r="BY130">
        <f>IF(BY$4=0,0,IF(COUNTIFS(実績!$W$6:$W$505,BY$3,実績!$AC$6:$AC$505,"&lt;="&amp;$A130,実績!$AD$6:$AD$505,"&gt;"&amp;$A130,実績!$AE$6:$AE$505,"○")&gt;0,1,0))</f>
        <v/>
      </c>
      <c r="BZ130">
        <f>IF(BZ$4=0,0,IF(COUNTIFS(実績!$W$6:$W$505,BZ$3,実績!$AC$6:$AC$505,"&lt;="&amp;$A130,実績!$AD$6:$AD$505,"&gt;"&amp;$A130,実績!$AE$6:$AE$505,"○")&gt;0,1,0))</f>
        <v/>
      </c>
      <c r="CA130">
        <f>IF(CA$4=0,0,IF(COUNTIFS(実績!$W$6:$W$505,CA$3,実績!$AC$6:$AC$505,"&lt;="&amp;$A130,実績!$AD$6:$AD$505,"&gt;"&amp;$A130,実績!$AE$6:$AE$505,"○")&gt;0,1,0))</f>
        <v/>
      </c>
      <c r="CB130">
        <f>IF(CB$4=0,0,IF(COUNTIFS(実績!$W$6:$W$505,CB$3,実績!$AC$6:$AC$505,"&lt;="&amp;$A130,実績!$AD$6:$AD$505,"&gt;"&amp;$A130,実績!$AE$6:$AE$505,"○")&gt;0,1,0))</f>
        <v/>
      </c>
      <c r="CC130">
        <f>IF(CC$4=0,0,IF(COUNTIFS(実績!$W$6:$W$505,CC$3,実績!$AC$6:$AC$505,"&lt;="&amp;$A130,実績!$AD$6:$AD$505,"&gt;"&amp;$A130,実績!$AE$6:$AE$505,"○")&gt;0,1,0))</f>
        <v/>
      </c>
      <c r="CD130">
        <f>IF(CD$4=0,0,IF(COUNTIFS(実績!$W$6:$W$505,CD$3,実績!$AC$6:$AC$505,"&lt;="&amp;$A130,実績!$AD$6:$AD$505,"&gt;"&amp;$A130,実績!$AE$6:$AE$505,"○")&gt;0,1,0))</f>
        <v/>
      </c>
      <c r="CE130">
        <f>IF(CE$4=0,0,IF(COUNTIFS(実績!$W$6:$W$505,CE$3,実績!$AC$6:$AC$505,"&lt;="&amp;$A130,実績!$AD$6:$AD$505,"&gt;"&amp;$A130,実績!$AE$6:$AE$505,"○")&gt;0,1,0))</f>
        <v/>
      </c>
      <c r="CF130">
        <f>IF(CF$4=0,0,IF(COUNTIFS(実績!$W$6:$W$505,CF$3,実績!$AC$6:$AC$505,"&lt;="&amp;$A130,実績!$AD$6:$AD$505,"&gt;"&amp;$A130,実績!$AE$6:$AE$505,"○")&gt;0,1,0))</f>
        <v/>
      </c>
      <c r="CG130">
        <f>IF(CG$4=0,0,IF(COUNTIFS(実績!$W$6:$W$505,CG$3,実績!$AC$6:$AC$505,"&lt;="&amp;$A130,実績!$AD$6:$AD$505,"&gt;"&amp;$A130,実績!$AE$6:$AE$505,"○")&gt;0,1,0))</f>
        <v/>
      </c>
      <c r="CH130">
        <f>IF(CH$4=0,0,IF(COUNTIFS(実績!$W$6:$W$505,CH$3,実績!$AC$6:$AC$505,"&lt;="&amp;$A130,実績!$AD$6:$AD$505,"&gt;"&amp;$A130,実績!$AE$6:$AE$505,"○")&gt;0,1,0))</f>
        <v/>
      </c>
      <c r="CI130">
        <f>IF(CI$4=0,0,IF(COUNTIFS(実績!$W$6:$W$505,CI$3,実績!$AC$6:$AC$505,"&lt;="&amp;$A130,実績!$AD$6:$AD$505,"&gt;"&amp;$A130,実績!$AE$6:$AE$505,"○")&gt;0,1,0))</f>
        <v/>
      </c>
      <c r="CJ130">
        <f>IF(CJ$4=0,0,IF(COUNTIFS(実績!$W$6:$W$505,CJ$3,実績!$AC$6:$AC$505,"&lt;="&amp;$A130,実績!$AD$6:$AD$505,"&gt;"&amp;$A130,実績!$AE$6:$AE$505,"○")&gt;0,1,0))</f>
        <v/>
      </c>
      <c r="CK130">
        <f>IF(CK$4=0,0,IF(COUNTIFS(実績!$W$6:$W$505,CK$3,実績!$AC$6:$AC$505,"&lt;="&amp;$A130,実績!$AD$6:$AD$505,"&gt;"&amp;$A130,実績!$AE$6:$AE$505,"○")&gt;0,1,0))</f>
        <v/>
      </c>
      <c r="CL130">
        <f>IF(CL$4=0,0,IF(COUNTIFS(実績!$W$6:$W$505,CL$3,実績!$AC$6:$AC$505,"&lt;="&amp;$A130,実績!$AD$6:$AD$505,"&gt;"&amp;$A130,実績!$AE$6:$AE$505,"○")&gt;0,1,0))</f>
        <v/>
      </c>
      <c r="CM130">
        <f>IF(CM$4=0,0,IF(COUNTIFS(実績!$W$6:$W$505,CM$3,実績!$AC$6:$AC$505,"&lt;="&amp;$A130,実績!$AD$6:$AD$505,"&gt;"&amp;$A130,実績!$AE$6:$AE$505,"○")&gt;0,1,0))</f>
        <v/>
      </c>
      <c r="CN130">
        <f>IF(CN$4=0,0,IF(COUNTIFS(実績!$W$6:$W$505,CN$3,実績!$AC$6:$AC$505,"&lt;="&amp;$A130,実績!$AD$6:$AD$505,"&gt;"&amp;$A130,実績!$AE$6:$AE$505,"○")&gt;0,1,0))</f>
        <v/>
      </c>
      <c r="CO130">
        <f>IF(CO$4=0,0,IF(COUNTIFS(実績!$W$6:$W$505,CO$3,実績!$AC$6:$AC$505,"&lt;="&amp;$A130,実績!$AD$6:$AD$505,"&gt;"&amp;$A130,実績!$AE$6:$AE$505,"○")&gt;0,1,0))</f>
        <v/>
      </c>
      <c r="CP130">
        <f>IF(CP$4=0,0,IF(COUNTIFS(実績!$W$6:$W$505,CP$3,実績!$AC$6:$AC$505,"&lt;="&amp;$A130,実績!$AD$6:$AD$505,"&gt;"&amp;$A130,実績!$AE$6:$AE$505,"○")&gt;0,1,0))</f>
        <v/>
      </c>
      <c r="CQ130">
        <f>IF(CQ$4=0,0,IF(COUNTIFS(実績!$W$6:$W$505,CQ$3,実績!$AC$6:$AC$505,"&lt;="&amp;$A130,実績!$AD$6:$AD$505,"&gt;"&amp;$A130,実績!$AE$6:$AE$505,"○")&gt;0,1,0))</f>
        <v/>
      </c>
      <c r="CR130">
        <f>IF(CR$4=0,0,IF(COUNTIFS(実績!$W$6:$W$505,CR$3,実績!$AC$6:$AC$505,"&lt;="&amp;$A130,実績!$AD$6:$AD$505,"&gt;"&amp;$A130,実績!$AE$6:$AE$505,"○")&gt;0,1,0))</f>
        <v/>
      </c>
      <c r="CS130">
        <f>IF(CS$4=0,0,IF(COUNTIFS(実績!$W$6:$W$505,CS$3,実績!$AC$6:$AC$505,"&lt;="&amp;$A130,実績!$AD$6:$AD$505,"&gt;"&amp;$A130,実績!$AE$6:$AE$505,"○")&gt;0,1,0))</f>
        <v/>
      </c>
      <c r="CT130">
        <f>IF(CT$4=0,0,IF(COUNTIFS(実績!$W$6:$W$505,CT$3,実績!$AC$6:$AC$505,"&lt;="&amp;$A130,実績!$AD$6:$AD$505,"&gt;"&amp;$A130,実績!$AE$6:$AE$505,"○")&gt;0,1,0))</f>
        <v/>
      </c>
      <c r="CU130">
        <f>IF(CU$4=0,0,IF(COUNTIFS(実績!$W$6:$W$505,CU$3,実績!$AC$6:$AC$505,"&lt;="&amp;$A130,実績!$AD$6:$AD$505,"&gt;"&amp;$A130,実績!$AE$6:$AE$505,"○")&gt;0,1,0))</f>
        <v/>
      </c>
      <c r="CV130">
        <f>IF(CV$4=0,0,IF(COUNTIFS(実績!$W$6:$W$505,CV$3,実績!$AC$6:$AC$505,"&lt;="&amp;$A130,実績!$AD$6:$AD$505,"&gt;"&amp;$A130,実績!$AE$6:$AE$505,"○")&gt;0,1,0))</f>
        <v/>
      </c>
      <c r="CW130">
        <f>IF(CW$4=0,0,IF(COUNTIFS(実績!$W$6:$W$505,CW$3,実績!$AC$6:$AC$505,"&lt;="&amp;$A130,実績!$AD$6:$AD$505,"&gt;"&amp;$A130,実績!$AE$6:$AE$505,"○")&gt;0,1,0))</f>
        <v/>
      </c>
      <c r="CX130">
        <f>IF(CX$4=0,0,IF(COUNTIFS(実績!$W$6:$W$505,CX$3,実績!$AC$6:$AC$505,"&lt;="&amp;$A130,実績!$AD$6:$AD$505,"&gt;"&amp;$A130,実績!$AE$6:$AE$505,"○")&gt;0,1,0))</f>
        <v/>
      </c>
      <c r="CY130">
        <f>IF(CY$4=0,0,IF(COUNTIFS(実績!$W$6:$W$505,CY$3,実績!$AC$6:$AC$505,"&lt;="&amp;$A130,実績!$AD$6:$AD$505,"&gt;"&amp;$A130,実績!$AE$6:$AE$505,"○")&gt;0,1,0))</f>
        <v/>
      </c>
      <c r="CZ130">
        <f>IF(CZ$4=0,0,IF(COUNTIFS(実績!$W$6:$W$505,CZ$3,実績!$AC$6:$AC$505,"&lt;="&amp;$A130,実績!$AD$6:$AD$505,"&gt;"&amp;$A130,実績!$AE$6:$AE$505,"○")&gt;0,1,0))</f>
        <v/>
      </c>
      <c r="DA130">
        <f>IF(DA$4=0,0,IF(COUNTIFS(実績!$W$6:$W$505,DA$3,実績!$AC$6:$AC$505,"&lt;="&amp;$A130,実績!$AD$6:$AD$505,"&gt;"&amp;$A130,実績!$AE$6:$AE$505,"○")&gt;0,1,0))</f>
        <v/>
      </c>
      <c r="DB130">
        <f>IF(DB$4=0,0,IF(COUNTIFS(実績!$W$6:$W$505,DB$3,実績!$AC$6:$AC$505,"&lt;="&amp;$A130,実績!$AD$6:$AD$505,"&gt;"&amp;$A130,実績!$AE$6:$AE$505,"○")&gt;0,1,0))</f>
        <v/>
      </c>
      <c r="DC130">
        <f>IF(DC$4=0,0,IF(COUNTIFS(実績!$W$6:$W$505,DC$3,実績!$AC$6:$AC$505,"&lt;="&amp;$A130,実績!$AD$6:$AD$505,"&gt;"&amp;$A130,実績!$AE$6:$AE$505,"○")&gt;0,1,0))</f>
        <v/>
      </c>
      <c r="DD130">
        <f>IF(DD$4=0,0,IF(COUNTIFS(実績!$W$6:$W$505,DD$3,実績!$AC$6:$AC$505,"&lt;="&amp;$A130,実績!$AD$6:$AD$505,"&gt;"&amp;$A130,実績!$AE$6:$AE$505,"○")&gt;0,1,0))</f>
        <v/>
      </c>
      <c r="DE130">
        <f>IF(DE$4=0,0,IF(COUNTIFS(実績!$W$6:$W$505,DE$3,実績!$AC$6:$AC$505,"&lt;="&amp;$A130,実績!$AD$6:$AD$505,"&gt;"&amp;$A130,実績!$AE$6:$AE$505,"○")&gt;0,1,0))</f>
        <v/>
      </c>
      <c r="DF130">
        <f>IF(DF$4=0,0,IF(COUNTIFS(実績!$W$6:$W$505,DF$3,実績!$AC$6:$AC$505,"&lt;="&amp;$A130,実績!$AD$6:$AD$505,"&gt;"&amp;$A130,実績!$AE$6:$AE$505,"○")&gt;0,1,0))</f>
        <v/>
      </c>
      <c r="DG130">
        <f>IF(DG$4=0,0,IF(COUNTIFS(実績!$W$6:$W$505,DG$3,実績!$AC$6:$AC$505,"&lt;="&amp;$A130,実績!$AD$6:$AD$505,"&gt;"&amp;$A130,実績!$AE$6:$AE$505,"○")&gt;0,1,0))</f>
        <v/>
      </c>
      <c r="DH130">
        <f>IF(DH$4=0,0,IF(COUNTIFS(実績!$W$6:$W$505,DH$3,実績!$AC$6:$AC$505,"&lt;="&amp;$A130,実績!$AD$6:$AD$505,"&gt;"&amp;$A130,実績!$AE$6:$AE$505,"○")&gt;0,1,0))</f>
        <v/>
      </c>
      <c r="DI130">
        <f>IF(DI$4=0,0,IF(COUNTIFS(実績!$W$6:$W$505,DI$3,実績!$AC$6:$AC$505,"&lt;="&amp;$A130,実績!$AD$6:$AD$505,"&gt;"&amp;$A130,実績!$AE$6:$AE$505,"○")&gt;0,1,0))</f>
        <v/>
      </c>
      <c r="DJ130">
        <f>IF(DJ$4=0,0,IF(COUNTIFS(実績!$W$6:$W$505,DJ$3,実績!$AC$6:$AC$505,"&lt;="&amp;$A130,実績!$AD$6:$AD$505,"&gt;"&amp;$A130,実績!$AE$6:$AE$505,"○")&gt;0,1,0))</f>
        <v/>
      </c>
      <c r="DK130">
        <f>IF(DK$4=0,0,IF(COUNTIFS(実績!$W$6:$W$505,DK$3,実績!$AC$6:$AC$505,"&lt;="&amp;$A130,実績!$AD$6:$AD$505,"&gt;"&amp;$A130,実績!$AE$6:$AE$505,"○")&gt;0,1,0))</f>
        <v/>
      </c>
      <c r="DL130">
        <f>IF(DL$4=0,0,IF(COUNTIFS(実績!$W$6:$W$505,DL$3,実績!$AC$6:$AC$505,"&lt;="&amp;$A130,実績!$AD$6:$AD$505,"&gt;"&amp;$A130,実績!$AE$6:$AE$505,"○")&gt;0,1,0))</f>
        <v/>
      </c>
      <c r="DM130">
        <f>IF(DM$4=0,0,IF(COUNTIFS(実績!$W$6:$W$505,DM$3,実績!$AC$6:$AC$505,"&lt;="&amp;$A130,実績!$AD$6:$AD$505,"&gt;"&amp;$A130,実績!$AE$6:$AE$505,"○")&gt;0,1,0))</f>
        <v/>
      </c>
      <c r="DN130">
        <f>IF(DN$4=0,0,IF(COUNTIFS(実績!$W$6:$W$505,DN$3,実績!$AC$6:$AC$505,"&lt;="&amp;$A130,実績!$AD$6:$AD$505,"&gt;"&amp;$A130,実績!$AE$6:$AE$505,"○")&gt;0,1,0))</f>
        <v/>
      </c>
      <c r="DO130">
        <f>IF(DO$4=0,0,IF(COUNTIFS(実績!$W$6:$W$505,DO$3,実績!$AC$6:$AC$505,"&lt;="&amp;$A130,実績!$AD$6:$AD$505,"&gt;"&amp;$A130,実績!$AE$6:$AE$505,"○")&gt;0,1,0))</f>
        <v/>
      </c>
      <c r="DP130">
        <f>IF(DP$4=0,0,IF(COUNTIFS(実績!$W$6:$W$505,DP$3,実績!$AC$6:$AC$505,"&lt;="&amp;$A130,実績!$AD$6:$AD$505,"&gt;"&amp;$A130,実績!$AE$6:$AE$505,"○")&gt;0,1,0))</f>
        <v/>
      </c>
      <c r="DQ130">
        <f>IF(DQ$4=0,0,IF(COUNTIFS(実績!$W$6:$W$505,DQ$3,実績!$AC$6:$AC$505,"&lt;="&amp;$A130,実績!$AD$6:$AD$505,"&gt;"&amp;$A130,実績!$AE$6:$AE$505,"○")&gt;0,1,0))</f>
        <v/>
      </c>
      <c r="DR130">
        <f>IF(DR$4=0,0,IF(COUNTIFS(実績!$W$6:$W$505,DR$3,実績!$AC$6:$AC$505,"&lt;="&amp;$A130,実績!$AD$6:$AD$505,"&gt;"&amp;$A130,実績!$AE$6:$AE$505,"○")&gt;0,1,0))</f>
        <v/>
      </c>
      <c r="DS130">
        <f>SUM(C130:DR130)</f>
        <v/>
      </c>
      <c r="DT130">
        <f>SUMPRODUCT((実績!$C$6:$C$505="○")*ISNUMBER(実績!$AF$6:$AF$505)*(実績!$AF$6:$AF$505&lt;=$A130)*(実績!$AG$6:$AG$505&gt;$A130))</f>
        <v/>
      </c>
      <c r="DU130">
        <f>SUMIF($C$2:$DR$2,"製鉄曳船",C130:DR130)</f>
        <v/>
      </c>
      <c r="DV130">
        <f>SUMIF($C$2:$DR$2,"西日本海運",C130:DR130)</f>
        <v/>
      </c>
    </row>
    <row r="131">
      <c r="A131" t="n">
        <v>625</v>
      </c>
      <c r="B131" s="29">
        <f>A131/1440</f>
        <v/>
      </c>
      <c r="C131">
        <f>IF(C$4=0,0,IF(COUNTIFS(実績!$W$6:$W$505,C$3,実績!$AC$6:$AC$505,"&lt;="&amp;$A131,実績!$AD$6:$AD$505,"&gt;"&amp;$A131,実績!$AE$6:$AE$505,"○")&gt;0,1,0))</f>
        <v/>
      </c>
      <c r="D131">
        <f>IF(D$4=0,0,IF(COUNTIFS(実績!$W$6:$W$505,D$3,実績!$AC$6:$AC$505,"&lt;="&amp;$A131,実績!$AD$6:$AD$505,"&gt;"&amp;$A131,実績!$AE$6:$AE$505,"○")&gt;0,1,0))</f>
        <v/>
      </c>
      <c r="E131">
        <f>IF(E$4=0,0,IF(COUNTIFS(実績!$W$6:$W$505,E$3,実績!$AC$6:$AC$505,"&lt;="&amp;$A131,実績!$AD$6:$AD$505,"&gt;"&amp;$A131,実績!$AE$6:$AE$505,"○")&gt;0,1,0))</f>
        <v/>
      </c>
      <c r="F131">
        <f>IF(F$4=0,0,IF(COUNTIFS(実績!$W$6:$W$505,F$3,実績!$AC$6:$AC$505,"&lt;="&amp;$A131,実績!$AD$6:$AD$505,"&gt;"&amp;$A131,実績!$AE$6:$AE$505,"○")&gt;0,1,0))</f>
        <v/>
      </c>
      <c r="G131">
        <f>IF(G$4=0,0,IF(COUNTIFS(実績!$W$6:$W$505,G$3,実績!$AC$6:$AC$505,"&lt;="&amp;$A131,実績!$AD$6:$AD$505,"&gt;"&amp;$A131,実績!$AE$6:$AE$505,"○")&gt;0,1,0))</f>
        <v/>
      </c>
      <c r="H131">
        <f>IF(H$4=0,0,IF(COUNTIFS(実績!$W$6:$W$505,H$3,実績!$AC$6:$AC$505,"&lt;="&amp;$A131,実績!$AD$6:$AD$505,"&gt;"&amp;$A131,実績!$AE$6:$AE$505,"○")&gt;0,1,0))</f>
        <v/>
      </c>
      <c r="I131">
        <f>IF(I$4=0,0,IF(COUNTIFS(実績!$W$6:$W$505,I$3,実績!$AC$6:$AC$505,"&lt;="&amp;$A131,実績!$AD$6:$AD$505,"&gt;"&amp;$A131,実績!$AE$6:$AE$505,"○")&gt;0,1,0))</f>
        <v/>
      </c>
      <c r="J131">
        <f>IF(J$4=0,0,IF(COUNTIFS(実績!$W$6:$W$505,J$3,実績!$AC$6:$AC$505,"&lt;="&amp;$A131,実績!$AD$6:$AD$505,"&gt;"&amp;$A131,実績!$AE$6:$AE$505,"○")&gt;0,1,0))</f>
        <v/>
      </c>
      <c r="K131">
        <f>IF(K$4=0,0,IF(COUNTIFS(実績!$W$6:$W$505,K$3,実績!$AC$6:$AC$505,"&lt;="&amp;$A131,実績!$AD$6:$AD$505,"&gt;"&amp;$A131,実績!$AE$6:$AE$505,"○")&gt;0,1,0))</f>
        <v/>
      </c>
      <c r="L131">
        <f>IF(L$4=0,0,IF(COUNTIFS(実績!$W$6:$W$505,L$3,実績!$AC$6:$AC$505,"&lt;="&amp;$A131,実績!$AD$6:$AD$505,"&gt;"&amp;$A131,実績!$AE$6:$AE$505,"○")&gt;0,1,0))</f>
        <v/>
      </c>
      <c r="M131">
        <f>IF(M$4=0,0,IF(COUNTIFS(実績!$W$6:$W$505,M$3,実績!$AC$6:$AC$505,"&lt;="&amp;$A131,実績!$AD$6:$AD$505,"&gt;"&amp;$A131,実績!$AE$6:$AE$505,"○")&gt;0,1,0))</f>
        <v/>
      </c>
      <c r="N131">
        <f>IF(N$4=0,0,IF(COUNTIFS(実績!$W$6:$W$505,N$3,実績!$AC$6:$AC$505,"&lt;="&amp;$A131,実績!$AD$6:$AD$505,"&gt;"&amp;$A131,実績!$AE$6:$AE$505,"○")&gt;0,1,0))</f>
        <v/>
      </c>
      <c r="O131">
        <f>IF(O$4=0,0,IF(COUNTIFS(実績!$W$6:$W$505,O$3,実績!$AC$6:$AC$505,"&lt;="&amp;$A131,実績!$AD$6:$AD$505,"&gt;"&amp;$A131,実績!$AE$6:$AE$505,"○")&gt;0,1,0))</f>
        <v/>
      </c>
      <c r="P131">
        <f>IF(P$4=0,0,IF(COUNTIFS(実績!$W$6:$W$505,P$3,実績!$AC$6:$AC$505,"&lt;="&amp;$A131,実績!$AD$6:$AD$505,"&gt;"&amp;$A131,実績!$AE$6:$AE$505,"○")&gt;0,1,0))</f>
        <v/>
      </c>
      <c r="Q131">
        <f>IF(Q$4=0,0,IF(COUNTIFS(実績!$W$6:$W$505,Q$3,実績!$AC$6:$AC$505,"&lt;="&amp;$A131,実績!$AD$6:$AD$505,"&gt;"&amp;$A131,実績!$AE$6:$AE$505,"○")&gt;0,1,0))</f>
        <v/>
      </c>
      <c r="R131">
        <f>IF(R$4=0,0,IF(COUNTIFS(実績!$W$6:$W$505,R$3,実績!$AC$6:$AC$505,"&lt;="&amp;$A131,実績!$AD$6:$AD$505,"&gt;"&amp;$A131,実績!$AE$6:$AE$505,"○")&gt;0,1,0))</f>
        <v/>
      </c>
      <c r="S131">
        <f>IF(S$4=0,0,IF(COUNTIFS(実績!$W$6:$W$505,S$3,実績!$AC$6:$AC$505,"&lt;="&amp;$A131,実績!$AD$6:$AD$505,"&gt;"&amp;$A131,実績!$AE$6:$AE$505,"○")&gt;0,1,0))</f>
        <v/>
      </c>
      <c r="T131">
        <f>IF(T$4=0,0,IF(COUNTIFS(実績!$W$6:$W$505,T$3,実績!$AC$6:$AC$505,"&lt;="&amp;$A131,実績!$AD$6:$AD$505,"&gt;"&amp;$A131,実績!$AE$6:$AE$505,"○")&gt;0,1,0))</f>
        <v/>
      </c>
      <c r="U131">
        <f>IF(U$4=0,0,IF(COUNTIFS(実績!$W$6:$W$505,U$3,実績!$AC$6:$AC$505,"&lt;="&amp;$A131,実績!$AD$6:$AD$505,"&gt;"&amp;$A131,実績!$AE$6:$AE$505,"○")&gt;0,1,0))</f>
        <v/>
      </c>
      <c r="V131">
        <f>IF(V$4=0,0,IF(COUNTIFS(実績!$W$6:$W$505,V$3,実績!$AC$6:$AC$505,"&lt;="&amp;$A131,実績!$AD$6:$AD$505,"&gt;"&amp;$A131,実績!$AE$6:$AE$505,"○")&gt;0,1,0))</f>
        <v/>
      </c>
      <c r="W131">
        <f>IF(W$4=0,0,IF(COUNTIFS(実績!$W$6:$W$505,W$3,実績!$AC$6:$AC$505,"&lt;="&amp;$A131,実績!$AD$6:$AD$505,"&gt;"&amp;$A131,実績!$AE$6:$AE$505,"○")&gt;0,1,0))</f>
        <v/>
      </c>
      <c r="X131">
        <f>IF(X$4=0,0,IF(COUNTIFS(実績!$W$6:$W$505,X$3,実績!$AC$6:$AC$505,"&lt;="&amp;$A131,実績!$AD$6:$AD$505,"&gt;"&amp;$A131,実績!$AE$6:$AE$505,"○")&gt;0,1,0))</f>
        <v/>
      </c>
      <c r="Y131">
        <f>IF(Y$4=0,0,IF(COUNTIFS(実績!$W$6:$W$505,Y$3,実績!$AC$6:$AC$505,"&lt;="&amp;$A131,実績!$AD$6:$AD$505,"&gt;"&amp;$A131,実績!$AE$6:$AE$505,"○")&gt;0,1,0))</f>
        <v/>
      </c>
      <c r="Z131">
        <f>IF(Z$4=0,0,IF(COUNTIFS(実績!$W$6:$W$505,Z$3,実績!$AC$6:$AC$505,"&lt;="&amp;$A131,実績!$AD$6:$AD$505,"&gt;"&amp;$A131,実績!$AE$6:$AE$505,"○")&gt;0,1,0))</f>
        <v/>
      </c>
      <c r="AA131">
        <f>IF(AA$4=0,0,IF(COUNTIFS(実績!$W$6:$W$505,AA$3,実績!$AC$6:$AC$505,"&lt;="&amp;$A131,実績!$AD$6:$AD$505,"&gt;"&amp;$A131,実績!$AE$6:$AE$505,"○")&gt;0,1,0))</f>
        <v/>
      </c>
      <c r="AB131">
        <f>IF(AB$4=0,0,IF(COUNTIFS(実績!$W$6:$W$505,AB$3,実績!$AC$6:$AC$505,"&lt;="&amp;$A131,実績!$AD$6:$AD$505,"&gt;"&amp;$A131,実績!$AE$6:$AE$505,"○")&gt;0,1,0))</f>
        <v/>
      </c>
      <c r="AC131">
        <f>IF(AC$4=0,0,IF(COUNTIFS(実績!$W$6:$W$505,AC$3,実績!$AC$6:$AC$505,"&lt;="&amp;$A131,実績!$AD$6:$AD$505,"&gt;"&amp;$A131,実績!$AE$6:$AE$505,"○")&gt;0,1,0))</f>
        <v/>
      </c>
      <c r="AD131">
        <f>IF(AD$4=0,0,IF(COUNTIFS(実績!$W$6:$W$505,AD$3,実績!$AC$6:$AC$505,"&lt;="&amp;$A131,実績!$AD$6:$AD$505,"&gt;"&amp;$A131,実績!$AE$6:$AE$505,"○")&gt;0,1,0))</f>
        <v/>
      </c>
      <c r="AE131">
        <f>IF(AE$4=0,0,IF(COUNTIFS(実績!$W$6:$W$505,AE$3,実績!$AC$6:$AC$505,"&lt;="&amp;$A131,実績!$AD$6:$AD$505,"&gt;"&amp;$A131,実績!$AE$6:$AE$505,"○")&gt;0,1,0))</f>
        <v/>
      </c>
      <c r="AF131">
        <f>IF(AF$4=0,0,IF(COUNTIFS(実績!$W$6:$W$505,AF$3,実績!$AC$6:$AC$505,"&lt;="&amp;$A131,実績!$AD$6:$AD$505,"&gt;"&amp;$A131,実績!$AE$6:$AE$505,"○")&gt;0,1,0))</f>
        <v/>
      </c>
      <c r="AG131">
        <f>IF(AG$4=0,0,IF(COUNTIFS(実績!$W$6:$W$505,AG$3,実績!$AC$6:$AC$505,"&lt;="&amp;$A131,実績!$AD$6:$AD$505,"&gt;"&amp;$A131,実績!$AE$6:$AE$505,"○")&gt;0,1,0))</f>
        <v/>
      </c>
      <c r="AH131">
        <f>IF(AH$4=0,0,IF(COUNTIFS(実績!$W$6:$W$505,AH$3,実績!$AC$6:$AC$505,"&lt;="&amp;$A131,実績!$AD$6:$AD$505,"&gt;"&amp;$A131,実績!$AE$6:$AE$505,"○")&gt;0,1,0))</f>
        <v/>
      </c>
      <c r="AI131">
        <f>IF(AI$4=0,0,IF(COUNTIFS(実績!$W$6:$W$505,AI$3,実績!$AC$6:$AC$505,"&lt;="&amp;$A131,実績!$AD$6:$AD$505,"&gt;"&amp;$A131,実績!$AE$6:$AE$505,"○")&gt;0,1,0))</f>
        <v/>
      </c>
      <c r="AJ131">
        <f>IF(AJ$4=0,0,IF(COUNTIFS(実績!$W$6:$W$505,AJ$3,実績!$AC$6:$AC$505,"&lt;="&amp;$A131,実績!$AD$6:$AD$505,"&gt;"&amp;$A131,実績!$AE$6:$AE$505,"○")&gt;0,1,0))</f>
        <v/>
      </c>
      <c r="AK131">
        <f>IF(AK$4=0,0,IF(COUNTIFS(実績!$W$6:$W$505,AK$3,実績!$AC$6:$AC$505,"&lt;="&amp;$A131,実績!$AD$6:$AD$505,"&gt;"&amp;$A131,実績!$AE$6:$AE$505,"○")&gt;0,1,0))</f>
        <v/>
      </c>
      <c r="AL131">
        <f>IF(AL$4=0,0,IF(COUNTIFS(実績!$W$6:$W$505,AL$3,実績!$AC$6:$AC$505,"&lt;="&amp;$A131,実績!$AD$6:$AD$505,"&gt;"&amp;$A131,実績!$AE$6:$AE$505,"○")&gt;0,1,0))</f>
        <v/>
      </c>
      <c r="AM131">
        <f>IF(AM$4=0,0,IF(COUNTIFS(実績!$W$6:$W$505,AM$3,実績!$AC$6:$AC$505,"&lt;="&amp;$A131,実績!$AD$6:$AD$505,"&gt;"&amp;$A131,実績!$AE$6:$AE$505,"○")&gt;0,1,0))</f>
        <v/>
      </c>
      <c r="AN131">
        <f>IF(AN$4=0,0,IF(COUNTIFS(実績!$W$6:$W$505,AN$3,実績!$AC$6:$AC$505,"&lt;="&amp;$A131,実績!$AD$6:$AD$505,"&gt;"&amp;$A131,実績!$AE$6:$AE$505,"○")&gt;0,1,0))</f>
        <v/>
      </c>
      <c r="AO131">
        <f>IF(AO$4=0,0,IF(COUNTIFS(実績!$W$6:$W$505,AO$3,実績!$AC$6:$AC$505,"&lt;="&amp;$A131,実績!$AD$6:$AD$505,"&gt;"&amp;$A131,実績!$AE$6:$AE$505,"○")&gt;0,1,0))</f>
        <v/>
      </c>
      <c r="AP131">
        <f>IF(AP$4=0,0,IF(COUNTIFS(実績!$W$6:$W$505,AP$3,実績!$AC$6:$AC$505,"&lt;="&amp;$A131,実績!$AD$6:$AD$505,"&gt;"&amp;$A131,実績!$AE$6:$AE$505,"○")&gt;0,1,0))</f>
        <v/>
      </c>
      <c r="AQ131">
        <f>IF(AQ$4=0,0,IF(COUNTIFS(実績!$W$6:$W$505,AQ$3,実績!$AC$6:$AC$505,"&lt;="&amp;$A131,実績!$AD$6:$AD$505,"&gt;"&amp;$A131,実績!$AE$6:$AE$505,"○")&gt;0,1,0))</f>
        <v/>
      </c>
      <c r="AR131">
        <f>IF(AR$4=0,0,IF(COUNTIFS(実績!$W$6:$W$505,AR$3,実績!$AC$6:$AC$505,"&lt;="&amp;$A131,実績!$AD$6:$AD$505,"&gt;"&amp;$A131,実績!$AE$6:$AE$505,"○")&gt;0,1,0))</f>
        <v/>
      </c>
      <c r="AS131">
        <f>IF(AS$4=0,0,IF(COUNTIFS(実績!$W$6:$W$505,AS$3,実績!$AC$6:$AC$505,"&lt;="&amp;$A131,実績!$AD$6:$AD$505,"&gt;"&amp;$A131,実績!$AE$6:$AE$505,"○")&gt;0,1,0))</f>
        <v/>
      </c>
      <c r="AT131">
        <f>IF(AT$4=0,0,IF(COUNTIFS(実績!$W$6:$W$505,AT$3,実績!$AC$6:$AC$505,"&lt;="&amp;$A131,実績!$AD$6:$AD$505,"&gt;"&amp;$A131,実績!$AE$6:$AE$505,"○")&gt;0,1,0))</f>
        <v/>
      </c>
      <c r="AU131">
        <f>IF(AU$4=0,0,IF(COUNTIFS(実績!$W$6:$W$505,AU$3,実績!$AC$6:$AC$505,"&lt;="&amp;$A131,実績!$AD$6:$AD$505,"&gt;"&amp;$A131,実績!$AE$6:$AE$505,"○")&gt;0,1,0))</f>
        <v/>
      </c>
      <c r="AV131">
        <f>IF(AV$4=0,0,IF(COUNTIFS(実績!$W$6:$W$505,AV$3,実績!$AC$6:$AC$505,"&lt;="&amp;$A131,実績!$AD$6:$AD$505,"&gt;"&amp;$A131,実績!$AE$6:$AE$505,"○")&gt;0,1,0))</f>
        <v/>
      </c>
      <c r="AW131">
        <f>IF(AW$4=0,0,IF(COUNTIFS(実績!$W$6:$W$505,AW$3,実績!$AC$6:$AC$505,"&lt;="&amp;$A131,実績!$AD$6:$AD$505,"&gt;"&amp;$A131,実績!$AE$6:$AE$505,"○")&gt;0,1,0))</f>
        <v/>
      </c>
      <c r="AX131">
        <f>IF(AX$4=0,0,IF(COUNTIFS(実績!$W$6:$W$505,AX$3,実績!$AC$6:$AC$505,"&lt;="&amp;$A131,実績!$AD$6:$AD$505,"&gt;"&amp;$A131,実績!$AE$6:$AE$505,"○")&gt;0,1,0))</f>
        <v/>
      </c>
      <c r="AY131">
        <f>IF(AY$4=0,0,IF(COUNTIFS(実績!$W$6:$W$505,AY$3,実績!$AC$6:$AC$505,"&lt;="&amp;$A131,実績!$AD$6:$AD$505,"&gt;"&amp;$A131,実績!$AE$6:$AE$505,"○")&gt;0,1,0))</f>
        <v/>
      </c>
      <c r="AZ131">
        <f>IF(AZ$4=0,0,IF(COUNTIFS(実績!$W$6:$W$505,AZ$3,実績!$AC$6:$AC$505,"&lt;="&amp;$A131,実績!$AD$6:$AD$505,"&gt;"&amp;$A131,実績!$AE$6:$AE$505,"○")&gt;0,1,0))</f>
        <v/>
      </c>
      <c r="BA131">
        <f>IF(BA$4=0,0,IF(COUNTIFS(実績!$W$6:$W$505,BA$3,実績!$AC$6:$AC$505,"&lt;="&amp;$A131,実績!$AD$6:$AD$505,"&gt;"&amp;$A131,実績!$AE$6:$AE$505,"○")&gt;0,1,0))</f>
        <v/>
      </c>
      <c r="BB131">
        <f>IF(BB$4=0,0,IF(COUNTIFS(実績!$W$6:$W$505,BB$3,実績!$AC$6:$AC$505,"&lt;="&amp;$A131,実績!$AD$6:$AD$505,"&gt;"&amp;$A131,実績!$AE$6:$AE$505,"○")&gt;0,1,0))</f>
        <v/>
      </c>
      <c r="BC131">
        <f>IF(BC$4=0,0,IF(COUNTIFS(実績!$W$6:$W$505,BC$3,実績!$AC$6:$AC$505,"&lt;="&amp;$A131,実績!$AD$6:$AD$505,"&gt;"&amp;$A131,実績!$AE$6:$AE$505,"○")&gt;0,1,0))</f>
        <v/>
      </c>
      <c r="BD131">
        <f>IF(BD$4=0,0,IF(COUNTIFS(実績!$W$6:$W$505,BD$3,実績!$AC$6:$AC$505,"&lt;="&amp;$A131,実績!$AD$6:$AD$505,"&gt;"&amp;$A131,実績!$AE$6:$AE$505,"○")&gt;0,1,0))</f>
        <v/>
      </c>
      <c r="BE131">
        <f>IF(BE$4=0,0,IF(COUNTIFS(実績!$W$6:$W$505,BE$3,実績!$AC$6:$AC$505,"&lt;="&amp;$A131,実績!$AD$6:$AD$505,"&gt;"&amp;$A131,実績!$AE$6:$AE$505,"○")&gt;0,1,0))</f>
        <v/>
      </c>
      <c r="BF131">
        <f>IF(BF$4=0,0,IF(COUNTIFS(実績!$W$6:$W$505,BF$3,実績!$AC$6:$AC$505,"&lt;="&amp;$A131,実績!$AD$6:$AD$505,"&gt;"&amp;$A131,実績!$AE$6:$AE$505,"○")&gt;0,1,0))</f>
        <v/>
      </c>
      <c r="BG131">
        <f>IF(BG$4=0,0,IF(COUNTIFS(実績!$W$6:$W$505,BG$3,実績!$AC$6:$AC$505,"&lt;="&amp;$A131,実績!$AD$6:$AD$505,"&gt;"&amp;$A131,実績!$AE$6:$AE$505,"○")&gt;0,1,0))</f>
        <v/>
      </c>
      <c r="BH131">
        <f>IF(BH$4=0,0,IF(COUNTIFS(実績!$W$6:$W$505,BH$3,実績!$AC$6:$AC$505,"&lt;="&amp;$A131,実績!$AD$6:$AD$505,"&gt;"&amp;$A131,実績!$AE$6:$AE$505,"○")&gt;0,1,0))</f>
        <v/>
      </c>
      <c r="BI131">
        <f>IF(BI$4=0,0,IF(COUNTIFS(実績!$W$6:$W$505,BI$3,実績!$AC$6:$AC$505,"&lt;="&amp;$A131,実績!$AD$6:$AD$505,"&gt;"&amp;$A131,実績!$AE$6:$AE$505,"○")&gt;0,1,0))</f>
        <v/>
      </c>
      <c r="BJ131">
        <f>IF(BJ$4=0,0,IF(COUNTIFS(実績!$W$6:$W$505,BJ$3,実績!$AC$6:$AC$505,"&lt;="&amp;$A131,実績!$AD$6:$AD$505,"&gt;"&amp;$A131,実績!$AE$6:$AE$505,"○")&gt;0,1,0))</f>
        <v/>
      </c>
      <c r="BK131">
        <f>IF(BK$4=0,0,IF(COUNTIFS(実績!$W$6:$W$505,BK$3,実績!$AC$6:$AC$505,"&lt;="&amp;$A131,実績!$AD$6:$AD$505,"&gt;"&amp;$A131,実績!$AE$6:$AE$505,"○")&gt;0,1,0))</f>
        <v/>
      </c>
      <c r="BL131">
        <f>IF(BL$4=0,0,IF(COUNTIFS(実績!$W$6:$W$505,BL$3,実績!$AC$6:$AC$505,"&lt;="&amp;$A131,実績!$AD$6:$AD$505,"&gt;"&amp;$A131,実績!$AE$6:$AE$505,"○")&gt;0,1,0))</f>
        <v/>
      </c>
      <c r="BM131">
        <f>IF(BM$4=0,0,IF(COUNTIFS(実績!$W$6:$W$505,BM$3,実績!$AC$6:$AC$505,"&lt;="&amp;$A131,実績!$AD$6:$AD$505,"&gt;"&amp;$A131,実績!$AE$6:$AE$505,"○")&gt;0,1,0))</f>
        <v/>
      </c>
      <c r="BN131">
        <f>IF(BN$4=0,0,IF(COUNTIFS(実績!$W$6:$W$505,BN$3,実績!$AC$6:$AC$505,"&lt;="&amp;$A131,実績!$AD$6:$AD$505,"&gt;"&amp;$A131,実績!$AE$6:$AE$505,"○")&gt;0,1,0))</f>
        <v/>
      </c>
      <c r="BO131">
        <f>IF(BO$4=0,0,IF(COUNTIFS(実績!$W$6:$W$505,BO$3,実績!$AC$6:$AC$505,"&lt;="&amp;$A131,実績!$AD$6:$AD$505,"&gt;"&amp;$A131,実績!$AE$6:$AE$505,"○")&gt;0,1,0))</f>
        <v/>
      </c>
      <c r="BP131">
        <f>IF(BP$4=0,0,IF(COUNTIFS(実績!$W$6:$W$505,BP$3,実績!$AC$6:$AC$505,"&lt;="&amp;$A131,実績!$AD$6:$AD$505,"&gt;"&amp;$A131,実績!$AE$6:$AE$505,"○")&gt;0,1,0))</f>
        <v/>
      </c>
      <c r="BQ131">
        <f>IF(BQ$4=0,0,IF(COUNTIFS(実績!$W$6:$W$505,BQ$3,実績!$AC$6:$AC$505,"&lt;="&amp;$A131,実績!$AD$6:$AD$505,"&gt;"&amp;$A131,実績!$AE$6:$AE$505,"○")&gt;0,1,0))</f>
        <v/>
      </c>
      <c r="BR131">
        <f>IF(BR$4=0,0,IF(COUNTIFS(実績!$W$6:$W$505,BR$3,実績!$AC$6:$AC$505,"&lt;="&amp;$A131,実績!$AD$6:$AD$505,"&gt;"&amp;$A131,実績!$AE$6:$AE$505,"○")&gt;0,1,0))</f>
        <v/>
      </c>
      <c r="BS131">
        <f>IF(BS$4=0,0,IF(COUNTIFS(実績!$W$6:$W$505,BS$3,実績!$AC$6:$AC$505,"&lt;="&amp;$A131,実績!$AD$6:$AD$505,"&gt;"&amp;$A131,実績!$AE$6:$AE$505,"○")&gt;0,1,0))</f>
        <v/>
      </c>
      <c r="BT131">
        <f>IF(BT$4=0,0,IF(COUNTIFS(実績!$W$6:$W$505,BT$3,実績!$AC$6:$AC$505,"&lt;="&amp;$A131,実績!$AD$6:$AD$505,"&gt;"&amp;$A131,実績!$AE$6:$AE$505,"○")&gt;0,1,0))</f>
        <v/>
      </c>
      <c r="BU131">
        <f>IF(BU$4=0,0,IF(COUNTIFS(実績!$W$6:$W$505,BU$3,実績!$AC$6:$AC$505,"&lt;="&amp;$A131,実績!$AD$6:$AD$505,"&gt;"&amp;$A131,実績!$AE$6:$AE$505,"○")&gt;0,1,0))</f>
        <v/>
      </c>
      <c r="BV131">
        <f>IF(BV$4=0,0,IF(COUNTIFS(実績!$W$6:$W$505,BV$3,実績!$AC$6:$AC$505,"&lt;="&amp;$A131,実績!$AD$6:$AD$505,"&gt;"&amp;$A131,実績!$AE$6:$AE$505,"○")&gt;0,1,0))</f>
        <v/>
      </c>
      <c r="BW131">
        <f>IF(BW$4=0,0,IF(COUNTIFS(実績!$W$6:$W$505,BW$3,実績!$AC$6:$AC$505,"&lt;="&amp;$A131,実績!$AD$6:$AD$505,"&gt;"&amp;$A131,実績!$AE$6:$AE$505,"○")&gt;0,1,0))</f>
        <v/>
      </c>
      <c r="BX131">
        <f>IF(BX$4=0,0,IF(COUNTIFS(実績!$W$6:$W$505,BX$3,実績!$AC$6:$AC$505,"&lt;="&amp;$A131,実績!$AD$6:$AD$505,"&gt;"&amp;$A131,実績!$AE$6:$AE$505,"○")&gt;0,1,0))</f>
        <v/>
      </c>
      <c r="BY131">
        <f>IF(BY$4=0,0,IF(COUNTIFS(実績!$W$6:$W$505,BY$3,実績!$AC$6:$AC$505,"&lt;="&amp;$A131,実績!$AD$6:$AD$505,"&gt;"&amp;$A131,実績!$AE$6:$AE$505,"○")&gt;0,1,0))</f>
        <v/>
      </c>
      <c r="BZ131">
        <f>IF(BZ$4=0,0,IF(COUNTIFS(実績!$W$6:$W$505,BZ$3,実績!$AC$6:$AC$505,"&lt;="&amp;$A131,実績!$AD$6:$AD$505,"&gt;"&amp;$A131,実績!$AE$6:$AE$505,"○")&gt;0,1,0))</f>
        <v/>
      </c>
      <c r="CA131">
        <f>IF(CA$4=0,0,IF(COUNTIFS(実績!$W$6:$W$505,CA$3,実績!$AC$6:$AC$505,"&lt;="&amp;$A131,実績!$AD$6:$AD$505,"&gt;"&amp;$A131,実績!$AE$6:$AE$505,"○")&gt;0,1,0))</f>
        <v/>
      </c>
      <c r="CB131">
        <f>IF(CB$4=0,0,IF(COUNTIFS(実績!$W$6:$W$505,CB$3,実績!$AC$6:$AC$505,"&lt;="&amp;$A131,実績!$AD$6:$AD$505,"&gt;"&amp;$A131,実績!$AE$6:$AE$505,"○")&gt;0,1,0))</f>
        <v/>
      </c>
      <c r="CC131">
        <f>IF(CC$4=0,0,IF(COUNTIFS(実績!$W$6:$W$505,CC$3,実績!$AC$6:$AC$505,"&lt;="&amp;$A131,実績!$AD$6:$AD$505,"&gt;"&amp;$A131,実績!$AE$6:$AE$505,"○")&gt;0,1,0))</f>
        <v/>
      </c>
      <c r="CD131">
        <f>IF(CD$4=0,0,IF(COUNTIFS(実績!$W$6:$W$505,CD$3,実績!$AC$6:$AC$505,"&lt;="&amp;$A131,実績!$AD$6:$AD$505,"&gt;"&amp;$A131,実績!$AE$6:$AE$505,"○")&gt;0,1,0))</f>
        <v/>
      </c>
      <c r="CE131">
        <f>IF(CE$4=0,0,IF(COUNTIFS(実績!$W$6:$W$505,CE$3,実績!$AC$6:$AC$505,"&lt;="&amp;$A131,実績!$AD$6:$AD$505,"&gt;"&amp;$A131,実績!$AE$6:$AE$505,"○")&gt;0,1,0))</f>
        <v/>
      </c>
      <c r="CF131">
        <f>IF(CF$4=0,0,IF(COUNTIFS(実績!$W$6:$W$505,CF$3,実績!$AC$6:$AC$505,"&lt;="&amp;$A131,実績!$AD$6:$AD$505,"&gt;"&amp;$A131,実績!$AE$6:$AE$505,"○")&gt;0,1,0))</f>
        <v/>
      </c>
      <c r="CG131">
        <f>IF(CG$4=0,0,IF(COUNTIFS(実績!$W$6:$W$505,CG$3,実績!$AC$6:$AC$505,"&lt;="&amp;$A131,実績!$AD$6:$AD$505,"&gt;"&amp;$A131,実績!$AE$6:$AE$505,"○")&gt;0,1,0))</f>
        <v/>
      </c>
      <c r="CH131">
        <f>IF(CH$4=0,0,IF(COUNTIFS(実績!$W$6:$W$505,CH$3,実績!$AC$6:$AC$505,"&lt;="&amp;$A131,実績!$AD$6:$AD$505,"&gt;"&amp;$A131,実績!$AE$6:$AE$505,"○")&gt;0,1,0))</f>
        <v/>
      </c>
      <c r="CI131">
        <f>IF(CI$4=0,0,IF(COUNTIFS(実績!$W$6:$W$505,CI$3,実績!$AC$6:$AC$505,"&lt;="&amp;$A131,実績!$AD$6:$AD$505,"&gt;"&amp;$A131,実績!$AE$6:$AE$505,"○")&gt;0,1,0))</f>
        <v/>
      </c>
      <c r="CJ131">
        <f>IF(CJ$4=0,0,IF(COUNTIFS(実績!$W$6:$W$505,CJ$3,実績!$AC$6:$AC$505,"&lt;="&amp;$A131,実績!$AD$6:$AD$505,"&gt;"&amp;$A131,実績!$AE$6:$AE$505,"○")&gt;0,1,0))</f>
        <v/>
      </c>
      <c r="CK131">
        <f>IF(CK$4=0,0,IF(COUNTIFS(実績!$W$6:$W$505,CK$3,実績!$AC$6:$AC$505,"&lt;="&amp;$A131,実績!$AD$6:$AD$505,"&gt;"&amp;$A131,実績!$AE$6:$AE$505,"○")&gt;0,1,0))</f>
        <v/>
      </c>
      <c r="CL131">
        <f>IF(CL$4=0,0,IF(COUNTIFS(実績!$W$6:$W$505,CL$3,実績!$AC$6:$AC$505,"&lt;="&amp;$A131,実績!$AD$6:$AD$505,"&gt;"&amp;$A131,実績!$AE$6:$AE$505,"○")&gt;0,1,0))</f>
        <v/>
      </c>
      <c r="CM131">
        <f>IF(CM$4=0,0,IF(COUNTIFS(実績!$W$6:$W$505,CM$3,実績!$AC$6:$AC$505,"&lt;="&amp;$A131,実績!$AD$6:$AD$505,"&gt;"&amp;$A131,実績!$AE$6:$AE$505,"○")&gt;0,1,0))</f>
        <v/>
      </c>
      <c r="CN131">
        <f>IF(CN$4=0,0,IF(COUNTIFS(実績!$W$6:$W$505,CN$3,実績!$AC$6:$AC$505,"&lt;="&amp;$A131,実績!$AD$6:$AD$505,"&gt;"&amp;$A131,実績!$AE$6:$AE$505,"○")&gt;0,1,0))</f>
        <v/>
      </c>
      <c r="CO131">
        <f>IF(CO$4=0,0,IF(COUNTIFS(実績!$W$6:$W$505,CO$3,実績!$AC$6:$AC$505,"&lt;="&amp;$A131,実績!$AD$6:$AD$505,"&gt;"&amp;$A131,実績!$AE$6:$AE$505,"○")&gt;0,1,0))</f>
        <v/>
      </c>
      <c r="CP131">
        <f>IF(CP$4=0,0,IF(COUNTIFS(実績!$W$6:$W$505,CP$3,実績!$AC$6:$AC$505,"&lt;="&amp;$A131,実績!$AD$6:$AD$505,"&gt;"&amp;$A131,実績!$AE$6:$AE$505,"○")&gt;0,1,0))</f>
        <v/>
      </c>
      <c r="CQ131">
        <f>IF(CQ$4=0,0,IF(COUNTIFS(実績!$W$6:$W$505,CQ$3,実績!$AC$6:$AC$505,"&lt;="&amp;$A131,実績!$AD$6:$AD$505,"&gt;"&amp;$A131,実績!$AE$6:$AE$505,"○")&gt;0,1,0))</f>
        <v/>
      </c>
      <c r="CR131">
        <f>IF(CR$4=0,0,IF(COUNTIFS(実績!$W$6:$W$505,CR$3,実績!$AC$6:$AC$505,"&lt;="&amp;$A131,実績!$AD$6:$AD$505,"&gt;"&amp;$A131,実績!$AE$6:$AE$505,"○")&gt;0,1,0))</f>
        <v/>
      </c>
      <c r="CS131">
        <f>IF(CS$4=0,0,IF(COUNTIFS(実績!$W$6:$W$505,CS$3,実績!$AC$6:$AC$505,"&lt;="&amp;$A131,実績!$AD$6:$AD$505,"&gt;"&amp;$A131,実績!$AE$6:$AE$505,"○")&gt;0,1,0))</f>
        <v/>
      </c>
      <c r="CT131">
        <f>IF(CT$4=0,0,IF(COUNTIFS(実績!$W$6:$W$505,CT$3,実績!$AC$6:$AC$505,"&lt;="&amp;$A131,実績!$AD$6:$AD$505,"&gt;"&amp;$A131,実績!$AE$6:$AE$505,"○")&gt;0,1,0))</f>
        <v/>
      </c>
      <c r="CU131">
        <f>IF(CU$4=0,0,IF(COUNTIFS(実績!$W$6:$W$505,CU$3,実績!$AC$6:$AC$505,"&lt;="&amp;$A131,実績!$AD$6:$AD$505,"&gt;"&amp;$A131,実績!$AE$6:$AE$505,"○")&gt;0,1,0))</f>
        <v/>
      </c>
      <c r="CV131">
        <f>IF(CV$4=0,0,IF(COUNTIFS(実績!$W$6:$W$505,CV$3,実績!$AC$6:$AC$505,"&lt;="&amp;$A131,実績!$AD$6:$AD$505,"&gt;"&amp;$A131,実績!$AE$6:$AE$505,"○")&gt;0,1,0))</f>
        <v/>
      </c>
      <c r="CW131">
        <f>IF(CW$4=0,0,IF(COUNTIFS(実績!$W$6:$W$505,CW$3,実績!$AC$6:$AC$505,"&lt;="&amp;$A131,実績!$AD$6:$AD$505,"&gt;"&amp;$A131,実績!$AE$6:$AE$505,"○")&gt;0,1,0))</f>
        <v/>
      </c>
      <c r="CX131">
        <f>IF(CX$4=0,0,IF(COUNTIFS(実績!$W$6:$W$505,CX$3,実績!$AC$6:$AC$505,"&lt;="&amp;$A131,実績!$AD$6:$AD$505,"&gt;"&amp;$A131,実績!$AE$6:$AE$505,"○")&gt;0,1,0))</f>
        <v/>
      </c>
      <c r="CY131">
        <f>IF(CY$4=0,0,IF(COUNTIFS(実績!$W$6:$W$505,CY$3,実績!$AC$6:$AC$505,"&lt;="&amp;$A131,実績!$AD$6:$AD$505,"&gt;"&amp;$A131,実績!$AE$6:$AE$505,"○")&gt;0,1,0))</f>
        <v/>
      </c>
      <c r="CZ131">
        <f>IF(CZ$4=0,0,IF(COUNTIFS(実績!$W$6:$W$505,CZ$3,実績!$AC$6:$AC$505,"&lt;="&amp;$A131,実績!$AD$6:$AD$505,"&gt;"&amp;$A131,実績!$AE$6:$AE$505,"○")&gt;0,1,0))</f>
        <v/>
      </c>
      <c r="DA131">
        <f>IF(DA$4=0,0,IF(COUNTIFS(実績!$W$6:$W$505,DA$3,実績!$AC$6:$AC$505,"&lt;="&amp;$A131,実績!$AD$6:$AD$505,"&gt;"&amp;$A131,実績!$AE$6:$AE$505,"○")&gt;0,1,0))</f>
        <v/>
      </c>
      <c r="DB131">
        <f>IF(DB$4=0,0,IF(COUNTIFS(実績!$W$6:$W$505,DB$3,実績!$AC$6:$AC$505,"&lt;="&amp;$A131,実績!$AD$6:$AD$505,"&gt;"&amp;$A131,実績!$AE$6:$AE$505,"○")&gt;0,1,0))</f>
        <v/>
      </c>
      <c r="DC131">
        <f>IF(DC$4=0,0,IF(COUNTIFS(実績!$W$6:$W$505,DC$3,実績!$AC$6:$AC$505,"&lt;="&amp;$A131,実績!$AD$6:$AD$505,"&gt;"&amp;$A131,実績!$AE$6:$AE$505,"○")&gt;0,1,0))</f>
        <v/>
      </c>
      <c r="DD131">
        <f>IF(DD$4=0,0,IF(COUNTIFS(実績!$W$6:$W$505,DD$3,実績!$AC$6:$AC$505,"&lt;="&amp;$A131,実績!$AD$6:$AD$505,"&gt;"&amp;$A131,実績!$AE$6:$AE$505,"○")&gt;0,1,0))</f>
        <v/>
      </c>
      <c r="DE131">
        <f>IF(DE$4=0,0,IF(COUNTIFS(実績!$W$6:$W$505,DE$3,実績!$AC$6:$AC$505,"&lt;="&amp;$A131,実績!$AD$6:$AD$505,"&gt;"&amp;$A131,実績!$AE$6:$AE$505,"○")&gt;0,1,0))</f>
        <v/>
      </c>
      <c r="DF131">
        <f>IF(DF$4=0,0,IF(COUNTIFS(実績!$W$6:$W$505,DF$3,実績!$AC$6:$AC$505,"&lt;="&amp;$A131,実績!$AD$6:$AD$505,"&gt;"&amp;$A131,実績!$AE$6:$AE$505,"○")&gt;0,1,0))</f>
        <v/>
      </c>
      <c r="DG131">
        <f>IF(DG$4=0,0,IF(COUNTIFS(実績!$W$6:$W$505,DG$3,実績!$AC$6:$AC$505,"&lt;="&amp;$A131,実績!$AD$6:$AD$505,"&gt;"&amp;$A131,実績!$AE$6:$AE$505,"○")&gt;0,1,0))</f>
        <v/>
      </c>
      <c r="DH131">
        <f>IF(DH$4=0,0,IF(COUNTIFS(実績!$W$6:$W$505,DH$3,実績!$AC$6:$AC$505,"&lt;="&amp;$A131,実績!$AD$6:$AD$505,"&gt;"&amp;$A131,実績!$AE$6:$AE$505,"○")&gt;0,1,0))</f>
        <v/>
      </c>
      <c r="DI131">
        <f>IF(DI$4=0,0,IF(COUNTIFS(実績!$W$6:$W$505,DI$3,実績!$AC$6:$AC$505,"&lt;="&amp;$A131,実績!$AD$6:$AD$505,"&gt;"&amp;$A131,実績!$AE$6:$AE$505,"○")&gt;0,1,0))</f>
        <v/>
      </c>
      <c r="DJ131">
        <f>IF(DJ$4=0,0,IF(COUNTIFS(実績!$W$6:$W$505,DJ$3,実績!$AC$6:$AC$505,"&lt;="&amp;$A131,実績!$AD$6:$AD$505,"&gt;"&amp;$A131,実績!$AE$6:$AE$505,"○")&gt;0,1,0))</f>
        <v/>
      </c>
      <c r="DK131">
        <f>IF(DK$4=0,0,IF(COUNTIFS(実績!$W$6:$W$505,DK$3,実績!$AC$6:$AC$505,"&lt;="&amp;$A131,実績!$AD$6:$AD$505,"&gt;"&amp;$A131,実績!$AE$6:$AE$505,"○")&gt;0,1,0))</f>
        <v/>
      </c>
      <c r="DL131">
        <f>IF(DL$4=0,0,IF(COUNTIFS(実績!$W$6:$W$505,DL$3,実績!$AC$6:$AC$505,"&lt;="&amp;$A131,実績!$AD$6:$AD$505,"&gt;"&amp;$A131,実績!$AE$6:$AE$505,"○")&gt;0,1,0))</f>
        <v/>
      </c>
      <c r="DM131">
        <f>IF(DM$4=0,0,IF(COUNTIFS(実績!$W$6:$W$505,DM$3,実績!$AC$6:$AC$505,"&lt;="&amp;$A131,実績!$AD$6:$AD$505,"&gt;"&amp;$A131,実績!$AE$6:$AE$505,"○")&gt;0,1,0))</f>
        <v/>
      </c>
      <c r="DN131">
        <f>IF(DN$4=0,0,IF(COUNTIFS(実績!$W$6:$W$505,DN$3,実績!$AC$6:$AC$505,"&lt;="&amp;$A131,実績!$AD$6:$AD$505,"&gt;"&amp;$A131,実績!$AE$6:$AE$505,"○")&gt;0,1,0))</f>
        <v/>
      </c>
      <c r="DO131">
        <f>IF(DO$4=0,0,IF(COUNTIFS(実績!$W$6:$W$505,DO$3,実績!$AC$6:$AC$505,"&lt;="&amp;$A131,実績!$AD$6:$AD$505,"&gt;"&amp;$A131,実績!$AE$6:$AE$505,"○")&gt;0,1,0))</f>
        <v/>
      </c>
      <c r="DP131">
        <f>IF(DP$4=0,0,IF(COUNTIFS(実績!$W$6:$W$505,DP$3,実績!$AC$6:$AC$505,"&lt;="&amp;$A131,実績!$AD$6:$AD$505,"&gt;"&amp;$A131,実績!$AE$6:$AE$505,"○")&gt;0,1,0))</f>
        <v/>
      </c>
      <c r="DQ131">
        <f>IF(DQ$4=0,0,IF(COUNTIFS(実績!$W$6:$W$505,DQ$3,実績!$AC$6:$AC$505,"&lt;="&amp;$A131,実績!$AD$6:$AD$505,"&gt;"&amp;$A131,実績!$AE$6:$AE$505,"○")&gt;0,1,0))</f>
        <v/>
      </c>
      <c r="DR131">
        <f>IF(DR$4=0,0,IF(COUNTIFS(実績!$W$6:$W$505,DR$3,実績!$AC$6:$AC$505,"&lt;="&amp;$A131,実績!$AD$6:$AD$505,"&gt;"&amp;$A131,実績!$AE$6:$AE$505,"○")&gt;0,1,0))</f>
        <v/>
      </c>
      <c r="DS131">
        <f>SUM(C131:DR131)</f>
        <v/>
      </c>
      <c r="DT131">
        <f>SUMPRODUCT((実績!$C$6:$C$505="○")*ISNUMBER(実績!$AF$6:$AF$505)*(実績!$AF$6:$AF$505&lt;=$A131)*(実績!$AG$6:$AG$505&gt;$A131))</f>
        <v/>
      </c>
      <c r="DU131">
        <f>SUMIF($C$2:$DR$2,"製鉄曳船",C131:DR131)</f>
        <v/>
      </c>
      <c r="DV131">
        <f>SUMIF($C$2:$DR$2,"西日本海運",C131:DR131)</f>
        <v/>
      </c>
    </row>
    <row r="132">
      <c r="A132" t="n">
        <v>630</v>
      </c>
      <c r="B132" s="29">
        <f>A132/1440</f>
        <v/>
      </c>
      <c r="C132">
        <f>IF(C$4=0,0,IF(COUNTIFS(実績!$W$6:$W$505,C$3,実績!$AC$6:$AC$505,"&lt;="&amp;$A132,実績!$AD$6:$AD$505,"&gt;"&amp;$A132,実績!$AE$6:$AE$505,"○")&gt;0,1,0))</f>
        <v/>
      </c>
      <c r="D132">
        <f>IF(D$4=0,0,IF(COUNTIFS(実績!$W$6:$W$505,D$3,実績!$AC$6:$AC$505,"&lt;="&amp;$A132,実績!$AD$6:$AD$505,"&gt;"&amp;$A132,実績!$AE$6:$AE$505,"○")&gt;0,1,0))</f>
        <v/>
      </c>
      <c r="E132">
        <f>IF(E$4=0,0,IF(COUNTIFS(実績!$W$6:$W$505,E$3,実績!$AC$6:$AC$505,"&lt;="&amp;$A132,実績!$AD$6:$AD$505,"&gt;"&amp;$A132,実績!$AE$6:$AE$505,"○")&gt;0,1,0))</f>
        <v/>
      </c>
      <c r="F132">
        <f>IF(F$4=0,0,IF(COUNTIFS(実績!$W$6:$W$505,F$3,実績!$AC$6:$AC$505,"&lt;="&amp;$A132,実績!$AD$6:$AD$505,"&gt;"&amp;$A132,実績!$AE$6:$AE$505,"○")&gt;0,1,0))</f>
        <v/>
      </c>
      <c r="G132">
        <f>IF(G$4=0,0,IF(COUNTIFS(実績!$W$6:$W$505,G$3,実績!$AC$6:$AC$505,"&lt;="&amp;$A132,実績!$AD$6:$AD$505,"&gt;"&amp;$A132,実績!$AE$6:$AE$505,"○")&gt;0,1,0))</f>
        <v/>
      </c>
      <c r="H132">
        <f>IF(H$4=0,0,IF(COUNTIFS(実績!$W$6:$W$505,H$3,実績!$AC$6:$AC$505,"&lt;="&amp;$A132,実績!$AD$6:$AD$505,"&gt;"&amp;$A132,実績!$AE$6:$AE$505,"○")&gt;0,1,0))</f>
        <v/>
      </c>
      <c r="I132">
        <f>IF(I$4=0,0,IF(COUNTIFS(実績!$W$6:$W$505,I$3,実績!$AC$6:$AC$505,"&lt;="&amp;$A132,実績!$AD$6:$AD$505,"&gt;"&amp;$A132,実績!$AE$6:$AE$505,"○")&gt;0,1,0))</f>
        <v/>
      </c>
      <c r="J132">
        <f>IF(J$4=0,0,IF(COUNTIFS(実績!$W$6:$W$505,J$3,実績!$AC$6:$AC$505,"&lt;="&amp;$A132,実績!$AD$6:$AD$505,"&gt;"&amp;$A132,実績!$AE$6:$AE$505,"○")&gt;0,1,0))</f>
        <v/>
      </c>
      <c r="K132">
        <f>IF(K$4=0,0,IF(COUNTIFS(実績!$W$6:$W$505,K$3,実績!$AC$6:$AC$505,"&lt;="&amp;$A132,実績!$AD$6:$AD$505,"&gt;"&amp;$A132,実績!$AE$6:$AE$505,"○")&gt;0,1,0))</f>
        <v/>
      </c>
      <c r="L132">
        <f>IF(L$4=0,0,IF(COUNTIFS(実績!$W$6:$W$505,L$3,実績!$AC$6:$AC$505,"&lt;="&amp;$A132,実績!$AD$6:$AD$505,"&gt;"&amp;$A132,実績!$AE$6:$AE$505,"○")&gt;0,1,0))</f>
        <v/>
      </c>
      <c r="M132">
        <f>IF(M$4=0,0,IF(COUNTIFS(実績!$W$6:$W$505,M$3,実績!$AC$6:$AC$505,"&lt;="&amp;$A132,実績!$AD$6:$AD$505,"&gt;"&amp;$A132,実績!$AE$6:$AE$505,"○")&gt;0,1,0))</f>
        <v/>
      </c>
      <c r="N132">
        <f>IF(N$4=0,0,IF(COUNTIFS(実績!$W$6:$W$505,N$3,実績!$AC$6:$AC$505,"&lt;="&amp;$A132,実績!$AD$6:$AD$505,"&gt;"&amp;$A132,実績!$AE$6:$AE$505,"○")&gt;0,1,0))</f>
        <v/>
      </c>
      <c r="O132">
        <f>IF(O$4=0,0,IF(COUNTIFS(実績!$W$6:$W$505,O$3,実績!$AC$6:$AC$505,"&lt;="&amp;$A132,実績!$AD$6:$AD$505,"&gt;"&amp;$A132,実績!$AE$6:$AE$505,"○")&gt;0,1,0))</f>
        <v/>
      </c>
      <c r="P132">
        <f>IF(P$4=0,0,IF(COUNTIFS(実績!$W$6:$W$505,P$3,実績!$AC$6:$AC$505,"&lt;="&amp;$A132,実績!$AD$6:$AD$505,"&gt;"&amp;$A132,実績!$AE$6:$AE$505,"○")&gt;0,1,0))</f>
        <v/>
      </c>
      <c r="Q132">
        <f>IF(Q$4=0,0,IF(COUNTIFS(実績!$W$6:$W$505,Q$3,実績!$AC$6:$AC$505,"&lt;="&amp;$A132,実績!$AD$6:$AD$505,"&gt;"&amp;$A132,実績!$AE$6:$AE$505,"○")&gt;0,1,0))</f>
        <v/>
      </c>
      <c r="R132">
        <f>IF(R$4=0,0,IF(COUNTIFS(実績!$W$6:$W$505,R$3,実績!$AC$6:$AC$505,"&lt;="&amp;$A132,実績!$AD$6:$AD$505,"&gt;"&amp;$A132,実績!$AE$6:$AE$505,"○")&gt;0,1,0))</f>
        <v/>
      </c>
      <c r="S132">
        <f>IF(S$4=0,0,IF(COUNTIFS(実績!$W$6:$W$505,S$3,実績!$AC$6:$AC$505,"&lt;="&amp;$A132,実績!$AD$6:$AD$505,"&gt;"&amp;$A132,実績!$AE$6:$AE$505,"○")&gt;0,1,0))</f>
        <v/>
      </c>
      <c r="T132">
        <f>IF(T$4=0,0,IF(COUNTIFS(実績!$W$6:$W$505,T$3,実績!$AC$6:$AC$505,"&lt;="&amp;$A132,実績!$AD$6:$AD$505,"&gt;"&amp;$A132,実績!$AE$6:$AE$505,"○")&gt;0,1,0))</f>
        <v/>
      </c>
      <c r="U132">
        <f>IF(U$4=0,0,IF(COUNTIFS(実績!$W$6:$W$505,U$3,実績!$AC$6:$AC$505,"&lt;="&amp;$A132,実績!$AD$6:$AD$505,"&gt;"&amp;$A132,実績!$AE$6:$AE$505,"○")&gt;0,1,0))</f>
        <v/>
      </c>
      <c r="V132">
        <f>IF(V$4=0,0,IF(COUNTIFS(実績!$W$6:$W$505,V$3,実績!$AC$6:$AC$505,"&lt;="&amp;$A132,実績!$AD$6:$AD$505,"&gt;"&amp;$A132,実績!$AE$6:$AE$505,"○")&gt;0,1,0))</f>
        <v/>
      </c>
      <c r="W132">
        <f>IF(W$4=0,0,IF(COUNTIFS(実績!$W$6:$W$505,W$3,実績!$AC$6:$AC$505,"&lt;="&amp;$A132,実績!$AD$6:$AD$505,"&gt;"&amp;$A132,実績!$AE$6:$AE$505,"○")&gt;0,1,0))</f>
        <v/>
      </c>
      <c r="X132">
        <f>IF(X$4=0,0,IF(COUNTIFS(実績!$W$6:$W$505,X$3,実績!$AC$6:$AC$505,"&lt;="&amp;$A132,実績!$AD$6:$AD$505,"&gt;"&amp;$A132,実績!$AE$6:$AE$505,"○")&gt;0,1,0))</f>
        <v/>
      </c>
      <c r="Y132">
        <f>IF(Y$4=0,0,IF(COUNTIFS(実績!$W$6:$W$505,Y$3,実績!$AC$6:$AC$505,"&lt;="&amp;$A132,実績!$AD$6:$AD$505,"&gt;"&amp;$A132,実績!$AE$6:$AE$505,"○")&gt;0,1,0))</f>
        <v/>
      </c>
      <c r="Z132">
        <f>IF(Z$4=0,0,IF(COUNTIFS(実績!$W$6:$W$505,Z$3,実績!$AC$6:$AC$505,"&lt;="&amp;$A132,実績!$AD$6:$AD$505,"&gt;"&amp;$A132,実績!$AE$6:$AE$505,"○")&gt;0,1,0))</f>
        <v/>
      </c>
      <c r="AA132">
        <f>IF(AA$4=0,0,IF(COUNTIFS(実績!$W$6:$W$505,AA$3,実績!$AC$6:$AC$505,"&lt;="&amp;$A132,実績!$AD$6:$AD$505,"&gt;"&amp;$A132,実績!$AE$6:$AE$505,"○")&gt;0,1,0))</f>
        <v/>
      </c>
      <c r="AB132">
        <f>IF(AB$4=0,0,IF(COUNTIFS(実績!$W$6:$W$505,AB$3,実績!$AC$6:$AC$505,"&lt;="&amp;$A132,実績!$AD$6:$AD$505,"&gt;"&amp;$A132,実績!$AE$6:$AE$505,"○")&gt;0,1,0))</f>
        <v/>
      </c>
      <c r="AC132">
        <f>IF(AC$4=0,0,IF(COUNTIFS(実績!$W$6:$W$505,AC$3,実績!$AC$6:$AC$505,"&lt;="&amp;$A132,実績!$AD$6:$AD$505,"&gt;"&amp;$A132,実績!$AE$6:$AE$505,"○")&gt;0,1,0))</f>
        <v/>
      </c>
      <c r="AD132">
        <f>IF(AD$4=0,0,IF(COUNTIFS(実績!$W$6:$W$505,AD$3,実績!$AC$6:$AC$505,"&lt;="&amp;$A132,実績!$AD$6:$AD$505,"&gt;"&amp;$A132,実績!$AE$6:$AE$505,"○")&gt;0,1,0))</f>
        <v/>
      </c>
      <c r="AE132">
        <f>IF(AE$4=0,0,IF(COUNTIFS(実績!$W$6:$W$505,AE$3,実績!$AC$6:$AC$505,"&lt;="&amp;$A132,実績!$AD$6:$AD$505,"&gt;"&amp;$A132,実績!$AE$6:$AE$505,"○")&gt;0,1,0))</f>
        <v/>
      </c>
      <c r="AF132">
        <f>IF(AF$4=0,0,IF(COUNTIFS(実績!$W$6:$W$505,AF$3,実績!$AC$6:$AC$505,"&lt;="&amp;$A132,実績!$AD$6:$AD$505,"&gt;"&amp;$A132,実績!$AE$6:$AE$505,"○")&gt;0,1,0))</f>
        <v/>
      </c>
      <c r="AG132">
        <f>IF(AG$4=0,0,IF(COUNTIFS(実績!$W$6:$W$505,AG$3,実績!$AC$6:$AC$505,"&lt;="&amp;$A132,実績!$AD$6:$AD$505,"&gt;"&amp;$A132,実績!$AE$6:$AE$505,"○")&gt;0,1,0))</f>
        <v/>
      </c>
      <c r="AH132">
        <f>IF(AH$4=0,0,IF(COUNTIFS(実績!$W$6:$W$505,AH$3,実績!$AC$6:$AC$505,"&lt;="&amp;$A132,実績!$AD$6:$AD$505,"&gt;"&amp;$A132,実績!$AE$6:$AE$505,"○")&gt;0,1,0))</f>
        <v/>
      </c>
      <c r="AI132">
        <f>IF(AI$4=0,0,IF(COUNTIFS(実績!$W$6:$W$505,AI$3,実績!$AC$6:$AC$505,"&lt;="&amp;$A132,実績!$AD$6:$AD$505,"&gt;"&amp;$A132,実績!$AE$6:$AE$505,"○")&gt;0,1,0))</f>
        <v/>
      </c>
      <c r="AJ132">
        <f>IF(AJ$4=0,0,IF(COUNTIFS(実績!$W$6:$W$505,AJ$3,実績!$AC$6:$AC$505,"&lt;="&amp;$A132,実績!$AD$6:$AD$505,"&gt;"&amp;$A132,実績!$AE$6:$AE$505,"○")&gt;0,1,0))</f>
        <v/>
      </c>
      <c r="AK132">
        <f>IF(AK$4=0,0,IF(COUNTIFS(実績!$W$6:$W$505,AK$3,実績!$AC$6:$AC$505,"&lt;="&amp;$A132,実績!$AD$6:$AD$505,"&gt;"&amp;$A132,実績!$AE$6:$AE$505,"○")&gt;0,1,0))</f>
        <v/>
      </c>
      <c r="AL132">
        <f>IF(AL$4=0,0,IF(COUNTIFS(実績!$W$6:$W$505,AL$3,実績!$AC$6:$AC$505,"&lt;="&amp;$A132,実績!$AD$6:$AD$505,"&gt;"&amp;$A132,実績!$AE$6:$AE$505,"○")&gt;0,1,0))</f>
        <v/>
      </c>
      <c r="AM132">
        <f>IF(AM$4=0,0,IF(COUNTIFS(実績!$W$6:$W$505,AM$3,実績!$AC$6:$AC$505,"&lt;="&amp;$A132,実績!$AD$6:$AD$505,"&gt;"&amp;$A132,実績!$AE$6:$AE$505,"○")&gt;0,1,0))</f>
        <v/>
      </c>
      <c r="AN132">
        <f>IF(AN$4=0,0,IF(COUNTIFS(実績!$W$6:$W$505,AN$3,実績!$AC$6:$AC$505,"&lt;="&amp;$A132,実績!$AD$6:$AD$505,"&gt;"&amp;$A132,実績!$AE$6:$AE$505,"○")&gt;0,1,0))</f>
        <v/>
      </c>
      <c r="AO132">
        <f>IF(AO$4=0,0,IF(COUNTIFS(実績!$W$6:$W$505,AO$3,実績!$AC$6:$AC$505,"&lt;="&amp;$A132,実績!$AD$6:$AD$505,"&gt;"&amp;$A132,実績!$AE$6:$AE$505,"○")&gt;0,1,0))</f>
        <v/>
      </c>
      <c r="AP132">
        <f>IF(AP$4=0,0,IF(COUNTIFS(実績!$W$6:$W$505,AP$3,実績!$AC$6:$AC$505,"&lt;="&amp;$A132,実績!$AD$6:$AD$505,"&gt;"&amp;$A132,実績!$AE$6:$AE$505,"○")&gt;0,1,0))</f>
        <v/>
      </c>
      <c r="AQ132">
        <f>IF(AQ$4=0,0,IF(COUNTIFS(実績!$W$6:$W$505,AQ$3,実績!$AC$6:$AC$505,"&lt;="&amp;$A132,実績!$AD$6:$AD$505,"&gt;"&amp;$A132,実績!$AE$6:$AE$505,"○")&gt;0,1,0))</f>
        <v/>
      </c>
      <c r="AR132">
        <f>IF(AR$4=0,0,IF(COUNTIFS(実績!$W$6:$W$505,AR$3,実績!$AC$6:$AC$505,"&lt;="&amp;$A132,実績!$AD$6:$AD$505,"&gt;"&amp;$A132,実績!$AE$6:$AE$505,"○")&gt;0,1,0))</f>
        <v/>
      </c>
      <c r="AS132">
        <f>IF(AS$4=0,0,IF(COUNTIFS(実績!$W$6:$W$505,AS$3,実績!$AC$6:$AC$505,"&lt;="&amp;$A132,実績!$AD$6:$AD$505,"&gt;"&amp;$A132,実績!$AE$6:$AE$505,"○")&gt;0,1,0))</f>
        <v/>
      </c>
      <c r="AT132">
        <f>IF(AT$4=0,0,IF(COUNTIFS(実績!$W$6:$W$505,AT$3,実績!$AC$6:$AC$505,"&lt;="&amp;$A132,実績!$AD$6:$AD$505,"&gt;"&amp;$A132,実績!$AE$6:$AE$505,"○")&gt;0,1,0))</f>
        <v/>
      </c>
      <c r="AU132">
        <f>IF(AU$4=0,0,IF(COUNTIFS(実績!$W$6:$W$505,AU$3,実績!$AC$6:$AC$505,"&lt;="&amp;$A132,実績!$AD$6:$AD$505,"&gt;"&amp;$A132,実績!$AE$6:$AE$505,"○")&gt;0,1,0))</f>
        <v/>
      </c>
      <c r="AV132">
        <f>IF(AV$4=0,0,IF(COUNTIFS(実績!$W$6:$W$505,AV$3,実績!$AC$6:$AC$505,"&lt;="&amp;$A132,実績!$AD$6:$AD$505,"&gt;"&amp;$A132,実績!$AE$6:$AE$505,"○")&gt;0,1,0))</f>
        <v/>
      </c>
      <c r="AW132">
        <f>IF(AW$4=0,0,IF(COUNTIFS(実績!$W$6:$W$505,AW$3,実績!$AC$6:$AC$505,"&lt;="&amp;$A132,実績!$AD$6:$AD$505,"&gt;"&amp;$A132,実績!$AE$6:$AE$505,"○")&gt;0,1,0))</f>
        <v/>
      </c>
      <c r="AX132">
        <f>IF(AX$4=0,0,IF(COUNTIFS(実績!$W$6:$W$505,AX$3,実績!$AC$6:$AC$505,"&lt;="&amp;$A132,実績!$AD$6:$AD$505,"&gt;"&amp;$A132,実績!$AE$6:$AE$505,"○")&gt;0,1,0))</f>
        <v/>
      </c>
      <c r="AY132">
        <f>IF(AY$4=0,0,IF(COUNTIFS(実績!$W$6:$W$505,AY$3,実績!$AC$6:$AC$505,"&lt;="&amp;$A132,実績!$AD$6:$AD$505,"&gt;"&amp;$A132,実績!$AE$6:$AE$505,"○")&gt;0,1,0))</f>
        <v/>
      </c>
      <c r="AZ132">
        <f>IF(AZ$4=0,0,IF(COUNTIFS(実績!$W$6:$W$505,AZ$3,実績!$AC$6:$AC$505,"&lt;="&amp;$A132,実績!$AD$6:$AD$505,"&gt;"&amp;$A132,実績!$AE$6:$AE$505,"○")&gt;0,1,0))</f>
        <v/>
      </c>
      <c r="BA132">
        <f>IF(BA$4=0,0,IF(COUNTIFS(実績!$W$6:$W$505,BA$3,実績!$AC$6:$AC$505,"&lt;="&amp;$A132,実績!$AD$6:$AD$505,"&gt;"&amp;$A132,実績!$AE$6:$AE$505,"○")&gt;0,1,0))</f>
        <v/>
      </c>
      <c r="BB132">
        <f>IF(BB$4=0,0,IF(COUNTIFS(実績!$W$6:$W$505,BB$3,実績!$AC$6:$AC$505,"&lt;="&amp;$A132,実績!$AD$6:$AD$505,"&gt;"&amp;$A132,実績!$AE$6:$AE$505,"○")&gt;0,1,0))</f>
        <v/>
      </c>
      <c r="BC132">
        <f>IF(BC$4=0,0,IF(COUNTIFS(実績!$W$6:$W$505,BC$3,実績!$AC$6:$AC$505,"&lt;="&amp;$A132,実績!$AD$6:$AD$505,"&gt;"&amp;$A132,実績!$AE$6:$AE$505,"○")&gt;0,1,0))</f>
        <v/>
      </c>
      <c r="BD132">
        <f>IF(BD$4=0,0,IF(COUNTIFS(実績!$W$6:$W$505,BD$3,実績!$AC$6:$AC$505,"&lt;="&amp;$A132,実績!$AD$6:$AD$505,"&gt;"&amp;$A132,実績!$AE$6:$AE$505,"○")&gt;0,1,0))</f>
        <v/>
      </c>
      <c r="BE132">
        <f>IF(BE$4=0,0,IF(COUNTIFS(実績!$W$6:$W$505,BE$3,実績!$AC$6:$AC$505,"&lt;="&amp;$A132,実績!$AD$6:$AD$505,"&gt;"&amp;$A132,実績!$AE$6:$AE$505,"○")&gt;0,1,0))</f>
        <v/>
      </c>
      <c r="BF132">
        <f>IF(BF$4=0,0,IF(COUNTIFS(実績!$W$6:$W$505,BF$3,実績!$AC$6:$AC$505,"&lt;="&amp;$A132,実績!$AD$6:$AD$505,"&gt;"&amp;$A132,実績!$AE$6:$AE$505,"○")&gt;0,1,0))</f>
        <v/>
      </c>
      <c r="BG132">
        <f>IF(BG$4=0,0,IF(COUNTIFS(実績!$W$6:$W$505,BG$3,実績!$AC$6:$AC$505,"&lt;="&amp;$A132,実績!$AD$6:$AD$505,"&gt;"&amp;$A132,実績!$AE$6:$AE$505,"○")&gt;0,1,0))</f>
        <v/>
      </c>
      <c r="BH132">
        <f>IF(BH$4=0,0,IF(COUNTIFS(実績!$W$6:$W$505,BH$3,実績!$AC$6:$AC$505,"&lt;="&amp;$A132,実績!$AD$6:$AD$505,"&gt;"&amp;$A132,実績!$AE$6:$AE$505,"○")&gt;0,1,0))</f>
        <v/>
      </c>
      <c r="BI132">
        <f>IF(BI$4=0,0,IF(COUNTIFS(実績!$W$6:$W$505,BI$3,実績!$AC$6:$AC$505,"&lt;="&amp;$A132,実績!$AD$6:$AD$505,"&gt;"&amp;$A132,実績!$AE$6:$AE$505,"○")&gt;0,1,0))</f>
        <v/>
      </c>
      <c r="BJ132">
        <f>IF(BJ$4=0,0,IF(COUNTIFS(実績!$W$6:$W$505,BJ$3,実績!$AC$6:$AC$505,"&lt;="&amp;$A132,実績!$AD$6:$AD$505,"&gt;"&amp;$A132,実績!$AE$6:$AE$505,"○")&gt;0,1,0))</f>
        <v/>
      </c>
      <c r="BK132">
        <f>IF(BK$4=0,0,IF(COUNTIFS(実績!$W$6:$W$505,BK$3,実績!$AC$6:$AC$505,"&lt;="&amp;$A132,実績!$AD$6:$AD$505,"&gt;"&amp;$A132,実績!$AE$6:$AE$505,"○")&gt;0,1,0))</f>
        <v/>
      </c>
      <c r="BL132">
        <f>IF(BL$4=0,0,IF(COUNTIFS(実績!$W$6:$W$505,BL$3,実績!$AC$6:$AC$505,"&lt;="&amp;$A132,実績!$AD$6:$AD$505,"&gt;"&amp;$A132,実績!$AE$6:$AE$505,"○")&gt;0,1,0))</f>
        <v/>
      </c>
      <c r="BM132">
        <f>IF(BM$4=0,0,IF(COUNTIFS(実績!$W$6:$W$505,BM$3,実績!$AC$6:$AC$505,"&lt;="&amp;$A132,実績!$AD$6:$AD$505,"&gt;"&amp;$A132,実績!$AE$6:$AE$505,"○")&gt;0,1,0))</f>
        <v/>
      </c>
      <c r="BN132">
        <f>IF(BN$4=0,0,IF(COUNTIFS(実績!$W$6:$W$505,BN$3,実績!$AC$6:$AC$505,"&lt;="&amp;$A132,実績!$AD$6:$AD$505,"&gt;"&amp;$A132,実績!$AE$6:$AE$505,"○")&gt;0,1,0))</f>
        <v/>
      </c>
      <c r="BO132">
        <f>IF(BO$4=0,0,IF(COUNTIFS(実績!$W$6:$W$505,BO$3,実績!$AC$6:$AC$505,"&lt;="&amp;$A132,実績!$AD$6:$AD$505,"&gt;"&amp;$A132,実績!$AE$6:$AE$505,"○")&gt;0,1,0))</f>
        <v/>
      </c>
      <c r="BP132">
        <f>IF(BP$4=0,0,IF(COUNTIFS(実績!$W$6:$W$505,BP$3,実績!$AC$6:$AC$505,"&lt;="&amp;$A132,実績!$AD$6:$AD$505,"&gt;"&amp;$A132,実績!$AE$6:$AE$505,"○")&gt;0,1,0))</f>
        <v/>
      </c>
      <c r="BQ132">
        <f>IF(BQ$4=0,0,IF(COUNTIFS(実績!$W$6:$W$505,BQ$3,実績!$AC$6:$AC$505,"&lt;="&amp;$A132,実績!$AD$6:$AD$505,"&gt;"&amp;$A132,実績!$AE$6:$AE$505,"○")&gt;0,1,0))</f>
        <v/>
      </c>
      <c r="BR132">
        <f>IF(BR$4=0,0,IF(COUNTIFS(実績!$W$6:$W$505,BR$3,実績!$AC$6:$AC$505,"&lt;="&amp;$A132,実績!$AD$6:$AD$505,"&gt;"&amp;$A132,実績!$AE$6:$AE$505,"○")&gt;0,1,0))</f>
        <v/>
      </c>
      <c r="BS132">
        <f>IF(BS$4=0,0,IF(COUNTIFS(実績!$W$6:$W$505,BS$3,実績!$AC$6:$AC$505,"&lt;="&amp;$A132,実績!$AD$6:$AD$505,"&gt;"&amp;$A132,実績!$AE$6:$AE$505,"○")&gt;0,1,0))</f>
        <v/>
      </c>
      <c r="BT132">
        <f>IF(BT$4=0,0,IF(COUNTIFS(実績!$W$6:$W$505,BT$3,実績!$AC$6:$AC$505,"&lt;="&amp;$A132,実績!$AD$6:$AD$505,"&gt;"&amp;$A132,実績!$AE$6:$AE$505,"○")&gt;0,1,0))</f>
        <v/>
      </c>
      <c r="BU132">
        <f>IF(BU$4=0,0,IF(COUNTIFS(実績!$W$6:$W$505,BU$3,実績!$AC$6:$AC$505,"&lt;="&amp;$A132,実績!$AD$6:$AD$505,"&gt;"&amp;$A132,実績!$AE$6:$AE$505,"○")&gt;0,1,0))</f>
        <v/>
      </c>
      <c r="BV132">
        <f>IF(BV$4=0,0,IF(COUNTIFS(実績!$W$6:$W$505,BV$3,実績!$AC$6:$AC$505,"&lt;="&amp;$A132,実績!$AD$6:$AD$505,"&gt;"&amp;$A132,実績!$AE$6:$AE$505,"○")&gt;0,1,0))</f>
        <v/>
      </c>
      <c r="BW132">
        <f>IF(BW$4=0,0,IF(COUNTIFS(実績!$W$6:$W$505,BW$3,実績!$AC$6:$AC$505,"&lt;="&amp;$A132,実績!$AD$6:$AD$505,"&gt;"&amp;$A132,実績!$AE$6:$AE$505,"○")&gt;0,1,0))</f>
        <v/>
      </c>
      <c r="BX132">
        <f>IF(BX$4=0,0,IF(COUNTIFS(実績!$W$6:$W$505,BX$3,実績!$AC$6:$AC$505,"&lt;="&amp;$A132,実績!$AD$6:$AD$505,"&gt;"&amp;$A132,実績!$AE$6:$AE$505,"○")&gt;0,1,0))</f>
        <v/>
      </c>
      <c r="BY132">
        <f>IF(BY$4=0,0,IF(COUNTIFS(実績!$W$6:$W$505,BY$3,実績!$AC$6:$AC$505,"&lt;="&amp;$A132,実績!$AD$6:$AD$505,"&gt;"&amp;$A132,実績!$AE$6:$AE$505,"○")&gt;0,1,0))</f>
        <v/>
      </c>
      <c r="BZ132">
        <f>IF(BZ$4=0,0,IF(COUNTIFS(実績!$W$6:$W$505,BZ$3,実績!$AC$6:$AC$505,"&lt;="&amp;$A132,実績!$AD$6:$AD$505,"&gt;"&amp;$A132,実績!$AE$6:$AE$505,"○")&gt;0,1,0))</f>
        <v/>
      </c>
      <c r="CA132">
        <f>IF(CA$4=0,0,IF(COUNTIFS(実績!$W$6:$W$505,CA$3,実績!$AC$6:$AC$505,"&lt;="&amp;$A132,実績!$AD$6:$AD$505,"&gt;"&amp;$A132,実績!$AE$6:$AE$505,"○")&gt;0,1,0))</f>
        <v/>
      </c>
      <c r="CB132">
        <f>IF(CB$4=0,0,IF(COUNTIFS(実績!$W$6:$W$505,CB$3,実績!$AC$6:$AC$505,"&lt;="&amp;$A132,実績!$AD$6:$AD$505,"&gt;"&amp;$A132,実績!$AE$6:$AE$505,"○")&gt;0,1,0))</f>
        <v/>
      </c>
      <c r="CC132">
        <f>IF(CC$4=0,0,IF(COUNTIFS(実績!$W$6:$W$505,CC$3,実績!$AC$6:$AC$505,"&lt;="&amp;$A132,実績!$AD$6:$AD$505,"&gt;"&amp;$A132,実績!$AE$6:$AE$505,"○")&gt;0,1,0))</f>
        <v/>
      </c>
      <c r="CD132">
        <f>IF(CD$4=0,0,IF(COUNTIFS(実績!$W$6:$W$505,CD$3,実績!$AC$6:$AC$505,"&lt;="&amp;$A132,実績!$AD$6:$AD$505,"&gt;"&amp;$A132,実績!$AE$6:$AE$505,"○")&gt;0,1,0))</f>
        <v/>
      </c>
      <c r="CE132">
        <f>IF(CE$4=0,0,IF(COUNTIFS(実績!$W$6:$W$505,CE$3,実績!$AC$6:$AC$505,"&lt;="&amp;$A132,実績!$AD$6:$AD$505,"&gt;"&amp;$A132,実績!$AE$6:$AE$505,"○")&gt;0,1,0))</f>
        <v/>
      </c>
      <c r="CF132">
        <f>IF(CF$4=0,0,IF(COUNTIFS(実績!$W$6:$W$505,CF$3,実績!$AC$6:$AC$505,"&lt;="&amp;$A132,実績!$AD$6:$AD$505,"&gt;"&amp;$A132,実績!$AE$6:$AE$505,"○")&gt;0,1,0))</f>
        <v/>
      </c>
      <c r="CG132">
        <f>IF(CG$4=0,0,IF(COUNTIFS(実績!$W$6:$W$505,CG$3,実績!$AC$6:$AC$505,"&lt;="&amp;$A132,実績!$AD$6:$AD$505,"&gt;"&amp;$A132,実績!$AE$6:$AE$505,"○")&gt;0,1,0))</f>
        <v/>
      </c>
      <c r="CH132">
        <f>IF(CH$4=0,0,IF(COUNTIFS(実績!$W$6:$W$505,CH$3,実績!$AC$6:$AC$505,"&lt;="&amp;$A132,実績!$AD$6:$AD$505,"&gt;"&amp;$A132,実績!$AE$6:$AE$505,"○")&gt;0,1,0))</f>
        <v/>
      </c>
      <c r="CI132">
        <f>IF(CI$4=0,0,IF(COUNTIFS(実績!$W$6:$W$505,CI$3,実績!$AC$6:$AC$505,"&lt;="&amp;$A132,実績!$AD$6:$AD$505,"&gt;"&amp;$A132,実績!$AE$6:$AE$505,"○")&gt;0,1,0))</f>
        <v/>
      </c>
      <c r="CJ132">
        <f>IF(CJ$4=0,0,IF(COUNTIFS(実績!$W$6:$W$505,CJ$3,実績!$AC$6:$AC$505,"&lt;="&amp;$A132,実績!$AD$6:$AD$505,"&gt;"&amp;$A132,実績!$AE$6:$AE$505,"○")&gt;0,1,0))</f>
        <v/>
      </c>
      <c r="CK132">
        <f>IF(CK$4=0,0,IF(COUNTIFS(実績!$W$6:$W$505,CK$3,実績!$AC$6:$AC$505,"&lt;="&amp;$A132,実績!$AD$6:$AD$505,"&gt;"&amp;$A132,実績!$AE$6:$AE$505,"○")&gt;0,1,0))</f>
        <v/>
      </c>
      <c r="CL132">
        <f>IF(CL$4=0,0,IF(COUNTIFS(実績!$W$6:$W$505,CL$3,実績!$AC$6:$AC$505,"&lt;="&amp;$A132,実績!$AD$6:$AD$505,"&gt;"&amp;$A132,実績!$AE$6:$AE$505,"○")&gt;0,1,0))</f>
        <v/>
      </c>
      <c r="CM132">
        <f>IF(CM$4=0,0,IF(COUNTIFS(実績!$W$6:$W$505,CM$3,実績!$AC$6:$AC$505,"&lt;="&amp;$A132,実績!$AD$6:$AD$505,"&gt;"&amp;$A132,実績!$AE$6:$AE$505,"○")&gt;0,1,0))</f>
        <v/>
      </c>
      <c r="CN132">
        <f>IF(CN$4=0,0,IF(COUNTIFS(実績!$W$6:$W$505,CN$3,実績!$AC$6:$AC$505,"&lt;="&amp;$A132,実績!$AD$6:$AD$505,"&gt;"&amp;$A132,実績!$AE$6:$AE$505,"○")&gt;0,1,0))</f>
        <v/>
      </c>
      <c r="CO132">
        <f>IF(CO$4=0,0,IF(COUNTIFS(実績!$W$6:$W$505,CO$3,実績!$AC$6:$AC$505,"&lt;="&amp;$A132,実績!$AD$6:$AD$505,"&gt;"&amp;$A132,実績!$AE$6:$AE$505,"○")&gt;0,1,0))</f>
        <v/>
      </c>
      <c r="CP132">
        <f>IF(CP$4=0,0,IF(COUNTIFS(実績!$W$6:$W$505,CP$3,実績!$AC$6:$AC$505,"&lt;="&amp;$A132,実績!$AD$6:$AD$505,"&gt;"&amp;$A132,実績!$AE$6:$AE$505,"○")&gt;0,1,0))</f>
        <v/>
      </c>
      <c r="CQ132">
        <f>IF(CQ$4=0,0,IF(COUNTIFS(実績!$W$6:$W$505,CQ$3,実績!$AC$6:$AC$505,"&lt;="&amp;$A132,実績!$AD$6:$AD$505,"&gt;"&amp;$A132,実績!$AE$6:$AE$505,"○")&gt;0,1,0))</f>
        <v/>
      </c>
      <c r="CR132">
        <f>IF(CR$4=0,0,IF(COUNTIFS(実績!$W$6:$W$505,CR$3,実績!$AC$6:$AC$505,"&lt;="&amp;$A132,実績!$AD$6:$AD$505,"&gt;"&amp;$A132,実績!$AE$6:$AE$505,"○")&gt;0,1,0))</f>
        <v/>
      </c>
      <c r="CS132">
        <f>IF(CS$4=0,0,IF(COUNTIFS(実績!$W$6:$W$505,CS$3,実績!$AC$6:$AC$505,"&lt;="&amp;$A132,実績!$AD$6:$AD$505,"&gt;"&amp;$A132,実績!$AE$6:$AE$505,"○")&gt;0,1,0))</f>
        <v/>
      </c>
      <c r="CT132">
        <f>IF(CT$4=0,0,IF(COUNTIFS(実績!$W$6:$W$505,CT$3,実績!$AC$6:$AC$505,"&lt;="&amp;$A132,実績!$AD$6:$AD$505,"&gt;"&amp;$A132,実績!$AE$6:$AE$505,"○")&gt;0,1,0))</f>
        <v/>
      </c>
      <c r="CU132">
        <f>IF(CU$4=0,0,IF(COUNTIFS(実績!$W$6:$W$505,CU$3,実績!$AC$6:$AC$505,"&lt;="&amp;$A132,実績!$AD$6:$AD$505,"&gt;"&amp;$A132,実績!$AE$6:$AE$505,"○")&gt;0,1,0))</f>
        <v/>
      </c>
      <c r="CV132">
        <f>IF(CV$4=0,0,IF(COUNTIFS(実績!$W$6:$W$505,CV$3,実績!$AC$6:$AC$505,"&lt;="&amp;$A132,実績!$AD$6:$AD$505,"&gt;"&amp;$A132,実績!$AE$6:$AE$505,"○")&gt;0,1,0))</f>
        <v/>
      </c>
      <c r="CW132">
        <f>IF(CW$4=0,0,IF(COUNTIFS(実績!$W$6:$W$505,CW$3,実績!$AC$6:$AC$505,"&lt;="&amp;$A132,実績!$AD$6:$AD$505,"&gt;"&amp;$A132,実績!$AE$6:$AE$505,"○")&gt;0,1,0))</f>
        <v/>
      </c>
      <c r="CX132">
        <f>IF(CX$4=0,0,IF(COUNTIFS(実績!$W$6:$W$505,CX$3,実績!$AC$6:$AC$505,"&lt;="&amp;$A132,実績!$AD$6:$AD$505,"&gt;"&amp;$A132,実績!$AE$6:$AE$505,"○")&gt;0,1,0))</f>
        <v/>
      </c>
      <c r="CY132">
        <f>IF(CY$4=0,0,IF(COUNTIFS(実績!$W$6:$W$505,CY$3,実績!$AC$6:$AC$505,"&lt;="&amp;$A132,実績!$AD$6:$AD$505,"&gt;"&amp;$A132,実績!$AE$6:$AE$505,"○")&gt;0,1,0))</f>
        <v/>
      </c>
      <c r="CZ132">
        <f>IF(CZ$4=0,0,IF(COUNTIFS(実績!$W$6:$W$505,CZ$3,実績!$AC$6:$AC$505,"&lt;="&amp;$A132,実績!$AD$6:$AD$505,"&gt;"&amp;$A132,実績!$AE$6:$AE$505,"○")&gt;0,1,0))</f>
        <v/>
      </c>
      <c r="DA132">
        <f>IF(DA$4=0,0,IF(COUNTIFS(実績!$W$6:$W$505,DA$3,実績!$AC$6:$AC$505,"&lt;="&amp;$A132,実績!$AD$6:$AD$505,"&gt;"&amp;$A132,実績!$AE$6:$AE$505,"○")&gt;0,1,0))</f>
        <v/>
      </c>
      <c r="DB132">
        <f>IF(DB$4=0,0,IF(COUNTIFS(実績!$W$6:$W$505,DB$3,実績!$AC$6:$AC$505,"&lt;="&amp;$A132,実績!$AD$6:$AD$505,"&gt;"&amp;$A132,実績!$AE$6:$AE$505,"○")&gt;0,1,0))</f>
        <v/>
      </c>
      <c r="DC132">
        <f>IF(DC$4=0,0,IF(COUNTIFS(実績!$W$6:$W$505,DC$3,実績!$AC$6:$AC$505,"&lt;="&amp;$A132,実績!$AD$6:$AD$505,"&gt;"&amp;$A132,実績!$AE$6:$AE$505,"○")&gt;0,1,0))</f>
        <v/>
      </c>
      <c r="DD132">
        <f>IF(DD$4=0,0,IF(COUNTIFS(実績!$W$6:$W$505,DD$3,実績!$AC$6:$AC$505,"&lt;="&amp;$A132,実績!$AD$6:$AD$505,"&gt;"&amp;$A132,実績!$AE$6:$AE$505,"○")&gt;0,1,0))</f>
        <v/>
      </c>
      <c r="DE132">
        <f>IF(DE$4=0,0,IF(COUNTIFS(実績!$W$6:$W$505,DE$3,実績!$AC$6:$AC$505,"&lt;="&amp;$A132,実績!$AD$6:$AD$505,"&gt;"&amp;$A132,実績!$AE$6:$AE$505,"○")&gt;0,1,0))</f>
        <v/>
      </c>
      <c r="DF132">
        <f>IF(DF$4=0,0,IF(COUNTIFS(実績!$W$6:$W$505,DF$3,実績!$AC$6:$AC$505,"&lt;="&amp;$A132,実績!$AD$6:$AD$505,"&gt;"&amp;$A132,実績!$AE$6:$AE$505,"○")&gt;0,1,0))</f>
        <v/>
      </c>
      <c r="DG132">
        <f>IF(DG$4=0,0,IF(COUNTIFS(実績!$W$6:$W$505,DG$3,実績!$AC$6:$AC$505,"&lt;="&amp;$A132,実績!$AD$6:$AD$505,"&gt;"&amp;$A132,実績!$AE$6:$AE$505,"○")&gt;0,1,0))</f>
        <v/>
      </c>
      <c r="DH132">
        <f>IF(DH$4=0,0,IF(COUNTIFS(実績!$W$6:$W$505,DH$3,実績!$AC$6:$AC$505,"&lt;="&amp;$A132,実績!$AD$6:$AD$505,"&gt;"&amp;$A132,実績!$AE$6:$AE$505,"○")&gt;0,1,0))</f>
        <v/>
      </c>
      <c r="DI132">
        <f>IF(DI$4=0,0,IF(COUNTIFS(実績!$W$6:$W$505,DI$3,実績!$AC$6:$AC$505,"&lt;="&amp;$A132,実績!$AD$6:$AD$505,"&gt;"&amp;$A132,実績!$AE$6:$AE$505,"○")&gt;0,1,0))</f>
        <v/>
      </c>
      <c r="DJ132">
        <f>IF(DJ$4=0,0,IF(COUNTIFS(実績!$W$6:$W$505,DJ$3,実績!$AC$6:$AC$505,"&lt;="&amp;$A132,実績!$AD$6:$AD$505,"&gt;"&amp;$A132,実績!$AE$6:$AE$505,"○")&gt;0,1,0))</f>
        <v/>
      </c>
      <c r="DK132">
        <f>IF(DK$4=0,0,IF(COUNTIFS(実績!$W$6:$W$505,DK$3,実績!$AC$6:$AC$505,"&lt;="&amp;$A132,実績!$AD$6:$AD$505,"&gt;"&amp;$A132,実績!$AE$6:$AE$505,"○")&gt;0,1,0))</f>
        <v/>
      </c>
      <c r="DL132">
        <f>IF(DL$4=0,0,IF(COUNTIFS(実績!$W$6:$W$505,DL$3,実績!$AC$6:$AC$505,"&lt;="&amp;$A132,実績!$AD$6:$AD$505,"&gt;"&amp;$A132,実績!$AE$6:$AE$505,"○")&gt;0,1,0))</f>
        <v/>
      </c>
      <c r="DM132">
        <f>IF(DM$4=0,0,IF(COUNTIFS(実績!$W$6:$W$505,DM$3,実績!$AC$6:$AC$505,"&lt;="&amp;$A132,実績!$AD$6:$AD$505,"&gt;"&amp;$A132,実績!$AE$6:$AE$505,"○")&gt;0,1,0))</f>
        <v/>
      </c>
      <c r="DN132">
        <f>IF(DN$4=0,0,IF(COUNTIFS(実績!$W$6:$W$505,DN$3,実績!$AC$6:$AC$505,"&lt;="&amp;$A132,実績!$AD$6:$AD$505,"&gt;"&amp;$A132,実績!$AE$6:$AE$505,"○")&gt;0,1,0))</f>
        <v/>
      </c>
      <c r="DO132">
        <f>IF(DO$4=0,0,IF(COUNTIFS(実績!$W$6:$W$505,DO$3,実績!$AC$6:$AC$505,"&lt;="&amp;$A132,実績!$AD$6:$AD$505,"&gt;"&amp;$A132,実績!$AE$6:$AE$505,"○")&gt;0,1,0))</f>
        <v/>
      </c>
      <c r="DP132">
        <f>IF(DP$4=0,0,IF(COUNTIFS(実績!$W$6:$W$505,DP$3,実績!$AC$6:$AC$505,"&lt;="&amp;$A132,実績!$AD$6:$AD$505,"&gt;"&amp;$A132,実績!$AE$6:$AE$505,"○")&gt;0,1,0))</f>
        <v/>
      </c>
      <c r="DQ132">
        <f>IF(DQ$4=0,0,IF(COUNTIFS(実績!$W$6:$W$505,DQ$3,実績!$AC$6:$AC$505,"&lt;="&amp;$A132,実績!$AD$6:$AD$505,"&gt;"&amp;$A132,実績!$AE$6:$AE$505,"○")&gt;0,1,0))</f>
        <v/>
      </c>
      <c r="DR132">
        <f>IF(DR$4=0,0,IF(COUNTIFS(実績!$W$6:$W$505,DR$3,実績!$AC$6:$AC$505,"&lt;="&amp;$A132,実績!$AD$6:$AD$505,"&gt;"&amp;$A132,実績!$AE$6:$AE$505,"○")&gt;0,1,0))</f>
        <v/>
      </c>
      <c r="DS132">
        <f>SUM(C132:DR132)</f>
        <v/>
      </c>
      <c r="DT132">
        <f>SUMPRODUCT((実績!$C$6:$C$505="○")*ISNUMBER(実績!$AF$6:$AF$505)*(実績!$AF$6:$AF$505&lt;=$A132)*(実績!$AG$6:$AG$505&gt;$A132))</f>
        <v/>
      </c>
      <c r="DU132">
        <f>SUMIF($C$2:$DR$2,"製鉄曳船",C132:DR132)</f>
        <v/>
      </c>
      <c r="DV132">
        <f>SUMIF($C$2:$DR$2,"西日本海運",C132:DR132)</f>
        <v/>
      </c>
    </row>
    <row r="133">
      <c r="A133" t="n">
        <v>635</v>
      </c>
      <c r="B133" s="29">
        <f>A133/1440</f>
        <v/>
      </c>
      <c r="C133">
        <f>IF(C$4=0,0,IF(COUNTIFS(実績!$W$6:$W$505,C$3,実績!$AC$6:$AC$505,"&lt;="&amp;$A133,実績!$AD$6:$AD$505,"&gt;"&amp;$A133,実績!$AE$6:$AE$505,"○")&gt;0,1,0))</f>
        <v/>
      </c>
      <c r="D133">
        <f>IF(D$4=0,0,IF(COUNTIFS(実績!$W$6:$W$505,D$3,実績!$AC$6:$AC$505,"&lt;="&amp;$A133,実績!$AD$6:$AD$505,"&gt;"&amp;$A133,実績!$AE$6:$AE$505,"○")&gt;0,1,0))</f>
        <v/>
      </c>
      <c r="E133">
        <f>IF(E$4=0,0,IF(COUNTIFS(実績!$W$6:$W$505,E$3,実績!$AC$6:$AC$505,"&lt;="&amp;$A133,実績!$AD$6:$AD$505,"&gt;"&amp;$A133,実績!$AE$6:$AE$505,"○")&gt;0,1,0))</f>
        <v/>
      </c>
      <c r="F133">
        <f>IF(F$4=0,0,IF(COUNTIFS(実績!$W$6:$W$505,F$3,実績!$AC$6:$AC$505,"&lt;="&amp;$A133,実績!$AD$6:$AD$505,"&gt;"&amp;$A133,実績!$AE$6:$AE$505,"○")&gt;0,1,0))</f>
        <v/>
      </c>
      <c r="G133">
        <f>IF(G$4=0,0,IF(COUNTIFS(実績!$W$6:$W$505,G$3,実績!$AC$6:$AC$505,"&lt;="&amp;$A133,実績!$AD$6:$AD$505,"&gt;"&amp;$A133,実績!$AE$6:$AE$505,"○")&gt;0,1,0))</f>
        <v/>
      </c>
      <c r="H133">
        <f>IF(H$4=0,0,IF(COUNTIFS(実績!$W$6:$W$505,H$3,実績!$AC$6:$AC$505,"&lt;="&amp;$A133,実績!$AD$6:$AD$505,"&gt;"&amp;$A133,実績!$AE$6:$AE$505,"○")&gt;0,1,0))</f>
        <v/>
      </c>
      <c r="I133">
        <f>IF(I$4=0,0,IF(COUNTIFS(実績!$W$6:$W$505,I$3,実績!$AC$6:$AC$505,"&lt;="&amp;$A133,実績!$AD$6:$AD$505,"&gt;"&amp;$A133,実績!$AE$6:$AE$505,"○")&gt;0,1,0))</f>
        <v/>
      </c>
      <c r="J133">
        <f>IF(J$4=0,0,IF(COUNTIFS(実績!$W$6:$W$505,J$3,実績!$AC$6:$AC$505,"&lt;="&amp;$A133,実績!$AD$6:$AD$505,"&gt;"&amp;$A133,実績!$AE$6:$AE$505,"○")&gt;0,1,0))</f>
        <v/>
      </c>
      <c r="K133">
        <f>IF(K$4=0,0,IF(COUNTIFS(実績!$W$6:$W$505,K$3,実績!$AC$6:$AC$505,"&lt;="&amp;$A133,実績!$AD$6:$AD$505,"&gt;"&amp;$A133,実績!$AE$6:$AE$505,"○")&gt;0,1,0))</f>
        <v/>
      </c>
      <c r="L133">
        <f>IF(L$4=0,0,IF(COUNTIFS(実績!$W$6:$W$505,L$3,実績!$AC$6:$AC$505,"&lt;="&amp;$A133,実績!$AD$6:$AD$505,"&gt;"&amp;$A133,実績!$AE$6:$AE$505,"○")&gt;0,1,0))</f>
        <v/>
      </c>
      <c r="M133">
        <f>IF(M$4=0,0,IF(COUNTIFS(実績!$W$6:$W$505,M$3,実績!$AC$6:$AC$505,"&lt;="&amp;$A133,実績!$AD$6:$AD$505,"&gt;"&amp;$A133,実績!$AE$6:$AE$505,"○")&gt;0,1,0))</f>
        <v/>
      </c>
      <c r="N133">
        <f>IF(N$4=0,0,IF(COUNTIFS(実績!$W$6:$W$505,N$3,実績!$AC$6:$AC$505,"&lt;="&amp;$A133,実績!$AD$6:$AD$505,"&gt;"&amp;$A133,実績!$AE$6:$AE$505,"○")&gt;0,1,0))</f>
        <v/>
      </c>
      <c r="O133">
        <f>IF(O$4=0,0,IF(COUNTIFS(実績!$W$6:$W$505,O$3,実績!$AC$6:$AC$505,"&lt;="&amp;$A133,実績!$AD$6:$AD$505,"&gt;"&amp;$A133,実績!$AE$6:$AE$505,"○")&gt;0,1,0))</f>
        <v/>
      </c>
      <c r="P133">
        <f>IF(P$4=0,0,IF(COUNTIFS(実績!$W$6:$W$505,P$3,実績!$AC$6:$AC$505,"&lt;="&amp;$A133,実績!$AD$6:$AD$505,"&gt;"&amp;$A133,実績!$AE$6:$AE$505,"○")&gt;0,1,0))</f>
        <v/>
      </c>
      <c r="Q133">
        <f>IF(Q$4=0,0,IF(COUNTIFS(実績!$W$6:$W$505,Q$3,実績!$AC$6:$AC$505,"&lt;="&amp;$A133,実績!$AD$6:$AD$505,"&gt;"&amp;$A133,実績!$AE$6:$AE$505,"○")&gt;0,1,0))</f>
        <v/>
      </c>
      <c r="R133">
        <f>IF(R$4=0,0,IF(COUNTIFS(実績!$W$6:$W$505,R$3,実績!$AC$6:$AC$505,"&lt;="&amp;$A133,実績!$AD$6:$AD$505,"&gt;"&amp;$A133,実績!$AE$6:$AE$505,"○")&gt;0,1,0))</f>
        <v/>
      </c>
      <c r="S133">
        <f>IF(S$4=0,0,IF(COUNTIFS(実績!$W$6:$W$505,S$3,実績!$AC$6:$AC$505,"&lt;="&amp;$A133,実績!$AD$6:$AD$505,"&gt;"&amp;$A133,実績!$AE$6:$AE$505,"○")&gt;0,1,0))</f>
        <v/>
      </c>
      <c r="T133">
        <f>IF(T$4=0,0,IF(COUNTIFS(実績!$W$6:$W$505,T$3,実績!$AC$6:$AC$505,"&lt;="&amp;$A133,実績!$AD$6:$AD$505,"&gt;"&amp;$A133,実績!$AE$6:$AE$505,"○")&gt;0,1,0))</f>
        <v/>
      </c>
      <c r="U133">
        <f>IF(U$4=0,0,IF(COUNTIFS(実績!$W$6:$W$505,U$3,実績!$AC$6:$AC$505,"&lt;="&amp;$A133,実績!$AD$6:$AD$505,"&gt;"&amp;$A133,実績!$AE$6:$AE$505,"○")&gt;0,1,0))</f>
        <v/>
      </c>
      <c r="V133">
        <f>IF(V$4=0,0,IF(COUNTIFS(実績!$W$6:$W$505,V$3,実績!$AC$6:$AC$505,"&lt;="&amp;$A133,実績!$AD$6:$AD$505,"&gt;"&amp;$A133,実績!$AE$6:$AE$505,"○")&gt;0,1,0))</f>
        <v/>
      </c>
      <c r="W133">
        <f>IF(W$4=0,0,IF(COUNTIFS(実績!$W$6:$W$505,W$3,実績!$AC$6:$AC$505,"&lt;="&amp;$A133,実績!$AD$6:$AD$505,"&gt;"&amp;$A133,実績!$AE$6:$AE$505,"○")&gt;0,1,0))</f>
        <v/>
      </c>
      <c r="X133">
        <f>IF(X$4=0,0,IF(COUNTIFS(実績!$W$6:$W$505,X$3,実績!$AC$6:$AC$505,"&lt;="&amp;$A133,実績!$AD$6:$AD$505,"&gt;"&amp;$A133,実績!$AE$6:$AE$505,"○")&gt;0,1,0))</f>
        <v/>
      </c>
      <c r="Y133">
        <f>IF(Y$4=0,0,IF(COUNTIFS(実績!$W$6:$W$505,Y$3,実績!$AC$6:$AC$505,"&lt;="&amp;$A133,実績!$AD$6:$AD$505,"&gt;"&amp;$A133,実績!$AE$6:$AE$505,"○")&gt;0,1,0))</f>
        <v/>
      </c>
      <c r="Z133">
        <f>IF(Z$4=0,0,IF(COUNTIFS(実績!$W$6:$W$505,Z$3,実績!$AC$6:$AC$505,"&lt;="&amp;$A133,実績!$AD$6:$AD$505,"&gt;"&amp;$A133,実績!$AE$6:$AE$505,"○")&gt;0,1,0))</f>
        <v/>
      </c>
      <c r="AA133">
        <f>IF(AA$4=0,0,IF(COUNTIFS(実績!$W$6:$W$505,AA$3,実績!$AC$6:$AC$505,"&lt;="&amp;$A133,実績!$AD$6:$AD$505,"&gt;"&amp;$A133,実績!$AE$6:$AE$505,"○")&gt;0,1,0))</f>
        <v/>
      </c>
      <c r="AB133">
        <f>IF(AB$4=0,0,IF(COUNTIFS(実績!$W$6:$W$505,AB$3,実績!$AC$6:$AC$505,"&lt;="&amp;$A133,実績!$AD$6:$AD$505,"&gt;"&amp;$A133,実績!$AE$6:$AE$505,"○")&gt;0,1,0))</f>
        <v/>
      </c>
      <c r="AC133">
        <f>IF(AC$4=0,0,IF(COUNTIFS(実績!$W$6:$W$505,AC$3,実績!$AC$6:$AC$505,"&lt;="&amp;$A133,実績!$AD$6:$AD$505,"&gt;"&amp;$A133,実績!$AE$6:$AE$505,"○")&gt;0,1,0))</f>
        <v/>
      </c>
      <c r="AD133">
        <f>IF(AD$4=0,0,IF(COUNTIFS(実績!$W$6:$W$505,AD$3,実績!$AC$6:$AC$505,"&lt;="&amp;$A133,実績!$AD$6:$AD$505,"&gt;"&amp;$A133,実績!$AE$6:$AE$505,"○")&gt;0,1,0))</f>
        <v/>
      </c>
      <c r="AE133">
        <f>IF(AE$4=0,0,IF(COUNTIFS(実績!$W$6:$W$505,AE$3,実績!$AC$6:$AC$505,"&lt;="&amp;$A133,実績!$AD$6:$AD$505,"&gt;"&amp;$A133,実績!$AE$6:$AE$505,"○")&gt;0,1,0))</f>
        <v/>
      </c>
      <c r="AF133">
        <f>IF(AF$4=0,0,IF(COUNTIFS(実績!$W$6:$W$505,AF$3,実績!$AC$6:$AC$505,"&lt;="&amp;$A133,実績!$AD$6:$AD$505,"&gt;"&amp;$A133,実績!$AE$6:$AE$505,"○")&gt;0,1,0))</f>
        <v/>
      </c>
      <c r="AG133">
        <f>IF(AG$4=0,0,IF(COUNTIFS(実績!$W$6:$W$505,AG$3,実績!$AC$6:$AC$505,"&lt;="&amp;$A133,実績!$AD$6:$AD$505,"&gt;"&amp;$A133,実績!$AE$6:$AE$505,"○")&gt;0,1,0))</f>
        <v/>
      </c>
      <c r="AH133">
        <f>IF(AH$4=0,0,IF(COUNTIFS(実績!$W$6:$W$505,AH$3,実績!$AC$6:$AC$505,"&lt;="&amp;$A133,実績!$AD$6:$AD$505,"&gt;"&amp;$A133,実績!$AE$6:$AE$505,"○")&gt;0,1,0))</f>
        <v/>
      </c>
      <c r="AI133">
        <f>IF(AI$4=0,0,IF(COUNTIFS(実績!$W$6:$W$505,AI$3,実績!$AC$6:$AC$505,"&lt;="&amp;$A133,実績!$AD$6:$AD$505,"&gt;"&amp;$A133,実績!$AE$6:$AE$505,"○")&gt;0,1,0))</f>
        <v/>
      </c>
      <c r="AJ133">
        <f>IF(AJ$4=0,0,IF(COUNTIFS(実績!$W$6:$W$505,AJ$3,実績!$AC$6:$AC$505,"&lt;="&amp;$A133,実績!$AD$6:$AD$505,"&gt;"&amp;$A133,実績!$AE$6:$AE$505,"○")&gt;0,1,0))</f>
        <v/>
      </c>
      <c r="AK133">
        <f>IF(AK$4=0,0,IF(COUNTIFS(実績!$W$6:$W$505,AK$3,実績!$AC$6:$AC$505,"&lt;="&amp;$A133,実績!$AD$6:$AD$505,"&gt;"&amp;$A133,実績!$AE$6:$AE$505,"○")&gt;0,1,0))</f>
        <v/>
      </c>
      <c r="AL133">
        <f>IF(AL$4=0,0,IF(COUNTIFS(実績!$W$6:$W$505,AL$3,実績!$AC$6:$AC$505,"&lt;="&amp;$A133,実績!$AD$6:$AD$505,"&gt;"&amp;$A133,実績!$AE$6:$AE$505,"○")&gt;0,1,0))</f>
        <v/>
      </c>
      <c r="AM133">
        <f>IF(AM$4=0,0,IF(COUNTIFS(実績!$W$6:$W$505,AM$3,実績!$AC$6:$AC$505,"&lt;="&amp;$A133,実績!$AD$6:$AD$505,"&gt;"&amp;$A133,実績!$AE$6:$AE$505,"○")&gt;0,1,0))</f>
        <v/>
      </c>
      <c r="AN133">
        <f>IF(AN$4=0,0,IF(COUNTIFS(実績!$W$6:$W$505,AN$3,実績!$AC$6:$AC$505,"&lt;="&amp;$A133,実績!$AD$6:$AD$505,"&gt;"&amp;$A133,実績!$AE$6:$AE$505,"○")&gt;0,1,0))</f>
        <v/>
      </c>
      <c r="AO133">
        <f>IF(AO$4=0,0,IF(COUNTIFS(実績!$W$6:$W$505,AO$3,実績!$AC$6:$AC$505,"&lt;="&amp;$A133,実績!$AD$6:$AD$505,"&gt;"&amp;$A133,実績!$AE$6:$AE$505,"○")&gt;0,1,0))</f>
        <v/>
      </c>
      <c r="AP133">
        <f>IF(AP$4=0,0,IF(COUNTIFS(実績!$W$6:$W$505,AP$3,実績!$AC$6:$AC$505,"&lt;="&amp;$A133,実績!$AD$6:$AD$505,"&gt;"&amp;$A133,実績!$AE$6:$AE$505,"○")&gt;0,1,0))</f>
        <v/>
      </c>
      <c r="AQ133">
        <f>IF(AQ$4=0,0,IF(COUNTIFS(実績!$W$6:$W$505,AQ$3,実績!$AC$6:$AC$505,"&lt;="&amp;$A133,実績!$AD$6:$AD$505,"&gt;"&amp;$A133,実績!$AE$6:$AE$505,"○")&gt;0,1,0))</f>
        <v/>
      </c>
      <c r="AR133">
        <f>IF(AR$4=0,0,IF(COUNTIFS(実績!$W$6:$W$505,AR$3,実績!$AC$6:$AC$505,"&lt;="&amp;$A133,実績!$AD$6:$AD$505,"&gt;"&amp;$A133,実績!$AE$6:$AE$505,"○")&gt;0,1,0))</f>
        <v/>
      </c>
      <c r="AS133">
        <f>IF(AS$4=0,0,IF(COUNTIFS(実績!$W$6:$W$505,AS$3,実績!$AC$6:$AC$505,"&lt;="&amp;$A133,実績!$AD$6:$AD$505,"&gt;"&amp;$A133,実績!$AE$6:$AE$505,"○")&gt;0,1,0))</f>
        <v/>
      </c>
      <c r="AT133">
        <f>IF(AT$4=0,0,IF(COUNTIFS(実績!$W$6:$W$505,AT$3,実績!$AC$6:$AC$505,"&lt;="&amp;$A133,実績!$AD$6:$AD$505,"&gt;"&amp;$A133,実績!$AE$6:$AE$505,"○")&gt;0,1,0))</f>
        <v/>
      </c>
      <c r="AU133">
        <f>IF(AU$4=0,0,IF(COUNTIFS(実績!$W$6:$W$505,AU$3,実績!$AC$6:$AC$505,"&lt;="&amp;$A133,実績!$AD$6:$AD$505,"&gt;"&amp;$A133,実績!$AE$6:$AE$505,"○")&gt;0,1,0))</f>
        <v/>
      </c>
      <c r="AV133">
        <f>IF(AV$4=0,0,IF(COUNTIFS(実績!$W$6:$W$505,AV$3,実績!$AC$6:$AC$505,"&lt;="&amp;$A133,実績!$AD$6:$AD$505,"&gt;"&amp;$A133,実績!$AE$6:$AE$505,"○")&gt;0,1,0))</f>
        <v/>
      </c>
      <c r="AW133">
        <f>IF(AW$4=0,0,IF(COUNTIFS(実績!$W$6:$W$505,AW$3,実績!$AC$6:$AC$505,"&lt;="&amp;$A133,実績!$AD$6:$AD$505,"&gt;"&amp;$A133,実績!$AE$6:$AE$505,"○")&gt;0,1,0))</f>
        <v/>
      </c>
      <c r="AX133">
        <f>IF(AX$4=0,0,IF(COUNTIFS(実績!$W$6:$W$505,AX$3,実績!$AC$6:$AC$505,"&lt;="&amp;$A133,実績!$AD$6:$AD$505,"&gt;"&amp;$A133,実績!$AE$6:$AE$505,"○")&gt;0,1,0))</f>
        <v/>
      </c>
      <c r="AY133">
        <f>IF(AY$4=0,0,IF(COUNTIFS(実績!$W$6:$W$505,AY$3,実績!$AC$6:$AC$505,"&lt;="&amp;$A133,実績!$AD$6:$AD$505,"&gt;"&amp;$A133,実績!$AE$6:$AE$505,"○")&gt;0,1,0))</f>
        <v/>
      </c>
      <c r="AZ133">
        <f>IF(AZ$4=0,0,IF(COUNTIFS(実績!$W$6:$W$505,AZ$3,実績!$AC$6:$AC$505,"&lt;="&amp;$A133,実績!$AD$6:$AD$505,"&gt;"&amp;$A133,実績!$AE$6:$AE$505,"○")&gt;0,1,0))</f>
        <v/>
      </c>
      <c r="BA133">
        <f>IF(BA$4=0,0,IF(COUNTIFS(実績!$W$6:$W$505,BA$3,実績!$AC$6:$AC$505,"&lt;="&amp;$A133,実績!$AD$6:$AD$505,"&gt;"&amp;$A133,実績!$AE$6:$AE$505,"○")&gt;0,1,0))</f>
        <v/>
      </c>
      <c r="BB133">
        <f>IF(BB$4=0,0,IF(COUNTIFS(実績!$W$6:$W$505,BB$3,実績!$AC$6:$AC$505,"&lt;="&amp;$A133,実績!$AD$6:$AD$505,"&gt;"&amp;$A133,実績!$AE$6:$AE$505,"○")&gt;0,1,0))</f>
        <v/>
      </c>
      <c r="BC133">
        <f>IF(BC$4=0,0,IF(COUNTIFS(実績!$W$6:$W$505,BC$3,実績!$AC$6:$AC$505,"&lt;="&amp;$A133,実績!$AD$6:$AD$505,"&gt;"&amp;$A133,実績!$AE$6:$AE$505,"○")&gt;0,1,0))</f>
        <v/>
      </c>
      <c r="BD133">
        <f>IF(BD$4=0,0,IF(COUNTIFS(実績!$W$6:$W$505,BD$3,実績!$AC$6:$AC$505,"&lt;="&amp;$A133,実績!$AD$6:$AD$505,"&gt;"&amp;$A133,実績!$AE$6:$AE$505,"○")&gt;0,1,0))</f>
        <v/>
      </c>
      <c r="BE133">
        <f>IF(BE$4=0,0,IF(COUNTIFS(実績!$W$6:$W$505,BE$3,実績!$AC$6:$AC$505,"&lt;="&amp;$A133,実績!$AD$6:$AD$505,"&gt;"&amp;$A133,実績!$AE$6:$AE$505,"○")&gt;0,1,0))</f>
        <v/>
      </c>
      <c r="BF133">
        <f>IF(BF$4=0,0,IF(COUNTIFS(実績!$W$6:$W$505,BF$3,実績!$AC$6:$AC$505,"&lt;="&amp;$A133,実績!$AD$6:$AD$505,"&gt;"&amp;$A133,実績!$AE$6:$AE$505,"○")&gt;0,1,0))</f>
        <v/>
      </c>
      <c r="BG133">
        <f>IF(BG$4=0,0,IF(COUNTIFS(実績!$W$6:$W$505,BG$3,実績!$AC$6:$AC$505,"&lt;="&amp;$A133,実績!$AD$6:$AD$505,"&gt;"&amp;$A133,実績!$AE$6:$AE$505,"○")&gt;0,1,0))</f>
        <v/>
      </c>
      <c r="BH133">
        <f>IF(BH$4=0,0,IF(COUNTIFS(実績!$W$6:$W$505,BH$3,実績!$AC$6:$AC$505,"&lt;="&amp;$A133,実績!$AD$6:$AD$505,"&gt;"&amp;$A133,実績!$AE$6:$AE$505,"○")&gt;0,1,0))</f>
        <v/>
      </c>
      <c r="BI133">
        <f>IF(BI$4=0,0,IF(COUNTIFS(実績!$W$6:$W$505,BI$3,実績!$AC$6:$AC$505,"&lt;="&amp;$A133,実績!$AD$6:$AD$505,"&gt;"&amp;$A133,実績!$AE$6:$AE$505,"○")&gt;0,1,0))</f>
        <v/>
      </c>
      <c r="BJ133">
        <f>IF(BJ$4=0,0,IF(COUNTIFS(実績!$W$6:$W$505,BJ$3,実績!$AC$6:$AC$505,"&lt;="&amp;$A133,実績!$AD$6:$AD$505,"&gt;"&amp;$A133,実績!$AE$6:$AE$505,"○")&gt;0,1,0))</f>
        <v/>
      </c>
      <c r="BK133">
        <f>IF(BK$4=0,0,IF(COUNTIFS(実績!$W$6:$W$505,BK$3,実績!$AC$6:$AC$505,"&lt;="&amp;$A133,実績!$AD$6:$AD$505,"&gt;"&amp;$A133,実績!$AE$6:$AE$505,"○")&gt;0,1,0))</f>
        <v/>
      </c>
      <c r="BL133">
        <f>IF(BL$4=0,0,IF(COUNTIFS(実績!$W$6:$W$505,BL$3,実績!$AC$6:$AC$505,"&lt;="&amp;$A133,実績!$AD$6:$AD$505,"&gt;"&amp;$A133,実績!$AE$6:$AE$505,"○")&gt;0,1,0))</f>
        <v/>
      </c>
      <c r="BM133">
        <f>IF(BM$4=0,0,IF(COUNTIFS(実績!$W$6:$W$505,BM$3,実績!$AC$6:$AC$505,"&lt;="&amp;$A133,実績!$AD$6:$AD$505,"&gt;"&amp;$A133,実績!$AE$6:$AE$505,"○")&gt;0,1,0))</f>
        <v/>
      </c>
      <c r="BN133">
        <f>IF(BN$4=0,0,IF(COUNTIFS(実績!$W$6:$W$505,BN$3,実績!$AC$6:$AC$505,"&lt;="&amp;$A133,実績!$AD$6:$AD$505,"&gt;"&amp;$A133,実績!$AE$6:$AE$505,"○")&gt;0,1,0))</f>
        <v/>
      </c>
      <c r="BO133">
        <f>IF(BO$4=0,0,IF(COUNTIFS(実績!$W$6:$W$505,BO$3,実績!$AC$6:$AC$505,"&lt;="&amp;$A133,実績!$AD$6:$AD$505,"&gt;"&amp;$A133,実績!$AE$6:$AE$505,"○")&gt;0,1,0))</f>
        <v/>
      </c>
      <c r="BP133">
        <f>IF(BP$4=0,0,IF(COUNTIFS(実績!$W$6:$W$505,BP$3,実績!$AC$6:$AC$505,"&lt;="&amp;$A133,実績!$AD$6:$AD$505,"&gt;"&amp;$A133,実績!$AE$6:$AE$505,"○")&gt;0,1,0))</f>
        <v/>
      </c>
      <c r="BQ133">
        <f>IF(BQ$4=0,0,IF(COUNTIFS(実績!$W$6:$W$505,BQ$3,実績!$AC$6:$AC$505,"&lt;="&amp;$A133,実績!$AD$6:$AD$505,"&gt;"&amp;$A133,実績!$AE$6:$AE$505,"○")&gt;0,1,0))</f>
        <v/>
      </c>
      <c r="BR133">
        <f>IF(BR$4=0,0,IF(COUNTIFS(実績!$W$6:$W$505,BR$3,実績!$AC$6:$AC$505,"&lt;="&amp;$A133,実績!$AD$6:$AD$505,"&gt;"&amp;$A133,実績!$AE$6:$AE$505,"○")&gt;0,1,0))</f>
        <v/>
      </c>
      <c r="BS133">
        <f>IF(BS$4=0,0,IF(COUNTIFS(実績!$W$6:$W$505,BS$3,実績!$AC$6:$AC$505,"&lt;="&amp;$A133,実績!$AD$6:$AD$505,"&gt;"&amp;$A133,実績!$AE$6:$AE$505,"○")&gt;0,1,0))</f>
        <v/>
      </c>
      <c r="BT133">
        <f>IF(BT$4=0,0,IF(COUNTIFS(実績!$W$6:$W$505,BT$3,実績!$AC$6:$AC$505,"&lt;="&amp;$A133,実績!$AD$6:$AD$505,"&gt;"&amp;$A133,実績!$AE$6:$AE$505,"○")&gt;0,1,0))</f>
        <v/>
      </c>
      <c r="BU133">
        <f>IF(BU$4=0,0,IF(COUNTIFS(実績!$W$6:$W$505,BU$3,実績!$AC$6:$AC$505,"&lt;="&amp;$A133,実績!$AD$6:$AD$505,"&gt;"&amp;$A133,実績!$AE$6:$AE$505,"○")&gt;0,1,0))</f>
        <v/>
      </c>
      <c r="BV133">
        <f>IF(BV$4=0,0,IF(COUNTIFS(実績!$W$6:$W$505,BV$3,実績!$AC$6:$AC$505,"&lt;="&amp;$A133,実績!$AD$6:$AD$505,"&gt;"&amp;$A133,実績!$AE$6:$AE$505,"○")&gt;0,1,0))</f>
        <v/>
      </c>
      <c r="BW133">
        <f>IF(BW$4=0,0,IF(COUNTIFS(実績!$W$6:$W$505,BW$3,実績!$AC$6:$AC$505,"&lt;="&amp;$A133,実績!$AD$6:$AD$505,"&gt;"&amp;$A133,実績!$AE$6:$AE$505,"○")&gt;0,1,0))</f>
        <v/>
      </c>
      <c r="BX133">
        <f>IF(BX$4=0,0,IF(COUNTIFS(実績!$W$6:$W$505,BX$3,実績!$AC$6:$AC$505,"&lt;="&amp;$A133,実績!$AD$6:$AD$505,"&gt;"&amp;$A133,実績!$AE$6:$AE$505,"○")&gt;0,1,0))</f>
        <v/>
      </c>
      <c r="BY133">
        <f>IF(BY$4=0,0,IF(COUNTIFS(実績!$W$6:$W$505,BY$3,実績!$AC$6:$AC$505,"&lt;="&amp;$A133,実績!$AD$6:$AD$505,"&gt;"&amp;$A133,実績!$AE$6:$AE$505,"○")&gt;0,1,0))</f>
        <v/>
      </c>
      <c r="BZ133">
        <f>IF(BZ$4=0,0,IF(COUNTIFS(実績!$W$6:$W$505,BZ$3,実績!$AC$6:$AC$505,"&lt;="&amp;$A133,実績!$AD$6:$AD$505,"&gt;"&amp;$A133,実績!$AE$6:$AE$505,"○")&gt;0,1,0))</f>
        <v/>
      </c>
      <c r="CA133">
        <f>IF(CA$4=0,0,IF(COUNTIFS(実績!$W$6:$W$505,CA$3,実績!$AC$6:$AC$505,"&lt;="&amp;$A133,実績!$AD$6:$AD$505,"&gt;"&amp;$A133,実績!$AE$6:$AE$505,"○")&gt;0,1,0))</f>
        <v/>
      </c>
      <c r="CB133">
        <f>IF(CB$4=0,0,IF(COUNTIFS(実績!$W$6:$W$505,CB$3,実績!$AC$6:$AC$505,"&lt;="&amp;$A133,実績!$AD$6:$AD$505,"&gt;"&amp;$A133,実績!$AE$6:$AE$505,"○")&gt;0,1,0))</f>
        <v/>
      </c>
      <c r="CC133">
        <f>IF(CC$4=0,0,IF(COUNTIFS(実績!$W$6:$W$505,CC$3,実績!$AC$6:$AC$505,"&lt;="&amp;$A133,実績!$AD$6:$AD$505,"&gt;"&amp;$A133,実績!$AE$6:$AE$505,"○")&gt;0,1,0))</f>
        <v/>
      </c>
      <c r="CD133">
        <f>IF(CD$4=0,0,IF(COUNTIFS(実績!$W$6:$W$505,CD$3,実績!$AC$6:$AC$505,"&lt;="&amp;$A133,実績!$AD$6:$AD$505,"&gt;"&amp;$A133,実績!$AE$6:$AE$505,"○")&gt;0,1,0))</f>
        <v/>
      </c>
      <c r="CE133">
        <f>IF(CE$4=0,0,IF(COUNTIFS(実績!$W$6:$W$505,CE$3,実績!$AC$6:$AC$505,"&lt;="&amp;$A133,実績!$AD$6:$AD$505,"&gt;"&amp;$A133,実績!$AE$6:$AE$505,"○")&gt;0,1,0))</f>
        <v/>
      </c>
      <c r="CF133">
        <f>IF(CF$4=0,0,IF(COUNTIFS(実績!$W$6:$W$505,CF$3,実績!$AC$6:$AC$505,"&lt;="&amp;$A133,実績!$AD$6:$AD$505,"&gt;"&amp;$A133,実績!$AE$6:$AE$505,"○")&gt;0,1,0))</f>
        <v/>
      </c>
      <c r="CG133">
        <f>IF(CG$4=0,0,IF(COUNTIFS(実績!$W$6:$W$505,CG$3,実績!$AC$6:$AC$505,"&lt;="&amp;$A133,実績!$AD$6:$AD$505,"&gt;"&amp;$A133,実績!$AE$6:$AE$505,"○")&gt;0,1,0))</f>
        <v/>
      </c>
      <c r="CH133">
        <f>IF(CH$4=0,0,IF(COUNTIFS(実績!$W$6:$W$505,CH$3,実績!$AC$6:$AC$505,"&lt;="&amp;$A133,実績!$AD$6:$AD$505,"&gt;"&amp;$A133,実績!$AE$6:$AE$505,"○")&gt;0,1,0))</f>
        <v/>
      </c>
      <c r="CI133">
        <f>IF(CI$4=0,0,IF(COUNTIFS(実績!$W$6:$W$505,CI$3,実績!$AC$6:$AC$505,"&lt;="&amp;$A133,実績!$AD$6:$AD$505,"&gt;"&amp;$A133,実績!$AE$6:$AE$505,"○")&gt;0,1,0))</f>
        <v/>
      </c>
      <c r="CJ133">
        <f>IF(CJ$4=0,0,IF(COUNTIFS(実績!$W$6:$W$505,CJ$3,実績!$AC$6:$AC$505,"&lt;="&amp;$A133,実績!$AD$6:$AD$505,"&gt;"&amp;$A133,実績!$AE$6:$AE$505,"○")&gt;0,1,0))</f>
        <v/>
      </c>
      <c r="CK133">
        <f>IF(CK$4=0,0,IF(COUNTIFS(実績!$W$6:$W$505,CK$3,実績!$AC$6:$AC$505,"&lt;="&amp;$A133,実績!$AD$6:$AD$505,"&gt;"&amp;$A133,実績!$AE$6:$AE$505,"○")&gt;0,1,0))</f>
        <v/>
      </c>
      <c r="CL133">
        <f>IF(CL$4=0,0,IF(COUNTIFS(実績!$W$6:$W$505,CL$3,実績!$AC$6:$AC$505,"&lt;="&amp;$A133,実績!$AD$6:$AD$505,"&gt;"&amp;$A133,実績!$AE$6:$AE$505,"○")&gt;0,1,0))</f>
        <v/>
      </c>
      <c r="CM133">
        <f>IF(CM$4=0,0,IF(COUNTIFS(実績!$W$6:$W$505,CM$3,実績!$AC$6:$AC$505,"&lt;="&amp;$A133,実績!$AD$6:$AD$505,"&gt;"&amp;$A133,実績!$AE$6:$AE$505,"○")&gt;0,1,0))</f>
        <v/>
      </c>
      <c r="CN133">
        <f>IF(CN$4=0,0,IF(COUNTIFS(実績!$W$6:$W$505,CN$3,実績!$AC$6:$AC$505,"&lt;="&amp;$A133,実績!$AD$6:$AD$505,"&gt;"&amp;$A133,実績!$AE$6:$AE$505,"○")&gt;0,1,0))</f>
        <v/>
      </c>
      <c r="CO133">
        <f>IF(CO$4=0,0,IF(COUNTIFS(実績!$W$6:$W$505,CO$3,実績!$AC$6:$AC$505,"&lt;="&amp;$A133,実績!$AD$6:$AD$505,"&gt;"&amp;$A133,実績!$AE$6:$AE$505,"○")&gt;0,1,0))</f>
        <v/>
      </c>
      <c r="CP133">
        <f>IF(CP$4=0,0,IF(COUNTIFS(実績!$W$6:$W$505,CP$3,実績!$AC$6:$AC$505,"&lt;="&amp;$A133,実績!$AD$6:$AD$505,"&gt;"&amp;$A133,実績!$AE$6:$AE$505,"○")&gt;0,1,0))</f>
        <v/>
      </c>
      <c r="CQ133">
        <f>IF(CQ$4=0,0,IF(COUNTIFS(実績!$W$6:$W$505,CQ$3,実績!$AC$6:$AC$505,"&lt;="&amp;$A133,実績!$AD$6:$AD$505,"&gt;"&amp;$A133,実績!$AE$6:$AE$505,"○")&gt;0,1,0))</f>
        <v/>
      </c>
      <c r="CR133">
        <f>IF(CR$4=0,0,IF(COUNTIFS(実績!$W$6:$W$505,CR$3,実績!$AC$6:$AC$505,"&lt;="&amp;$A133,実績!$AD$6:$AD$505,"&gt;"&amp;$A133,実績!$AE$6:$AE$505,"○")&gt;0,1,0))</f>
        <v/>
      </c>
      <c r="CS133">
        <f>IF(CS$4=0,0,IF(COUNTIFS(実績!$W$6:$W$505,CS$3,実績!$AC$6:$AC$505,"&lt;="&amp;$A133,実績!$AD$6:$AD$505,"&gt;"&amp;$A133,実績!$AE$6:$AE$505,"○")&gt;0,1,0))</f>
        <v/>
      </c>
      <c r="CT133">
        <f>IF(CT$4=0,0,IF(COUNTIFS(実績!$W$6:$W$505,CT$3,実績!$AC$6:$AC$505,"&lt;="&amp;$A133,実績!$AD$6:$AD$505,"&gt;"&amp;$A133,実績!$AE$6:$AE$505,"○")&gt;0,1,0))</f>
        <v/>
      </c>
      <c r="CU133">
        <f>IF(CU$4=0,0,IF(COUNTIFS(実績!$W$6:$W$505,CU$3,実績!$AC$6:$AC$505,"&lt;="&amp;$A133,実績!$AD$6:$AD$505,"&gt;"&amp;$A133,実績!$AE$6:$AE$505,"○")&gt;0,1,0))</f>
        <v/>
      </c>
      <c r="CV133">
        <f>IF(CV$4=0,0,IF(COUNTIFS(実績!$W$6:$W$505,CV$3,実績!$AC$6:$AC$505,"&lt;="&amp;$A133,実績!$AD$6:$AD$505,"&gt;"&amp;$A133,実績!$AE$6:$AE$505,"○")&gt;0,1,0))</f>
        <v/>
      </c>
      <c r="CW133">
        <f>IF(CW$4=0,0,IF(COUNTIFS(実績!$W$6:$W$505,CW$3,実績!$AC$6:$AC$505,"&lt;="&amp;$A133,実績!$AD$6:$AD$505,"&gt;"&amp;$A133,実績!$AE$6:$AE$505,"○")&gt;0,1,0))</f>
        <v/>
      </c>
      <c r="CX133">
        <f>IF(CX$4=0,0,IF(COUNTIFS(実績!$W$6:$W$505,CX$3,実績!$AC$6:$AC$505,"&lt;="&amp;$A133,実績!$AD$6:$AD$505,"&gt;"&amp;$A133,実績!$AE$6:$AE$505,"○")&gt;0,1,0))</f>
        <v/>
      </c>
      <c r="CY133">
        <f>IF(CY$4=0,0,IF(COUNTIFS(実績!$W$6:$W$505,CY$3,実績!$AC$6:$AC$505,"&lt;="&amp;$A133,実績!$AD$6:$AD$505,"&gt;"&amp;$A133,実績!$AE$6:$AE$505,"○")&gt;0,1,0))</f>
        <v/>
      </c>
      <c r="CZ133">
        <f>IF(CZ$4=0,0,IF(COUNTIFS(実績!$W$6:$W$505,CZ$3,実績!$AC$6:$AC$505,"&lt;="&amp;$A133,実績!$AD$6:$AD$505,"&gt;"&amp;$A133,実績!$AE$6:$AE$505,"○")&gt;0,1,0))</f>
        <v/>
      </c>
      <c r="DA133">
        <f>IF(DA$4=0,0,IF(COUNTIFS(実績!$W$6:$W$505,DA$3,実績!$AC$6:$AC$505,"&lt;="&amp;$A133,実績!$AD$6:$AD$505,"&gt;"&amp;$A133,実績!$AE$6:$AE$505,"○")&gt;0,1,0))</f>
        <v/>
      </c>
      <c r="DB133">
        <f>IF(DB$4=0,0,IF(COUNTIFS(実績!$W$6:$W$505,DB$3,実績!$AC$6:$AC$505,"&lt;="&amp;$A133,実績!$AD$6:$AD$505,"&gt;"&amp;$A133,実績!$AE$6:$AE$505,"○")&gt;0,1,0))</f>
        <v/>
      </c>
      <c r="DC133">
        <f>IF(DC$4=0,0,IF(COUNTIFS(実績!$W$6:$W$505,DC$3,実績!$AC$6:$AC$505,"&lt;="&amp;$A133,実績!$AD$6:$AD$505,"&gt;"&amp;$A133,実績!$AE$6:$AE$505,"○")&gt;0,1,0))</f>
        <v/>
      </c>
      <c r="DD133">
        <f>IF(DD$4=0,0,IF(COUNTIFS(実績!$W$6:$W$505,DD$3,実績!$AC$6:$AC$505,"&lt;="&amp;$A133,実績!$AD$6:$AD$505,"&gt;"&amp;$A133,実績!$AE$6:$AE$505,"○")&gt;0,1,0))</f>
        <v/>
      </c>
      <c r="DE133">
        <f>IF(DE$4=0,0,IF(COUNTIFS(実績!$W$6:$W$505,DE$3,実績!$AC$6:$AC$505,"&lt;="&amp;$A133,実績!$AD$6:$AD$505,"&gt;"&amp;$A133,実績!$AE$6:$AE$505,"○")&gt;0,1,0))</f>
        <v/>
      </c>
      <c r="DF133">
        <f>IF(DF$4=0,0,IF(COUNTIFS(実績!$W$6:$W$505,DF$3,実績!$AC$6:$AC$505,"&lt;="&amp;$A133,実績!$AD$6:$AD$505,"&gt;"&amp;$A133,実績!$AE$6:$AE$505,"○")&gt;0,1,0))</f>
        <v/>
      </c>
      <c r="DG133">
        <f>IF(DG$4=0,0,IF(COUNTIFS(実績!$W$6:$W$505,DG$3,実績!$AC$6:$AC$505,"&lt;="&amp;$A133,実績!$AD$6:$AD$505,"&gt;"&amp;$A133,実績!$AE$6:$AE$505,"○")&gt;0,1,0))</f>
        <v/>
      </c>
      <c r="DH133">
        <f>IF(DH$4=0,0,IF(COUNTIFS(実績!$W$6:$W$505,DH$3,実績!$AC$6:$AC$505,"&lt;="&amp;$A133,実績!$AD$6:$AD$505,"&gt;"&amp;$A133,実績!$AE$6:$AE$505,"○")&gt;0,1,0))</f>
        <v/>
      </c>
      <c r="DI133">
        <f>IF(DI$4=0,0,IF(COUNTIFS(実績!$W$6:$W$505,DI$3,実績!$AC$6:$AC$505,"&lt;="&amp;$A133,実績!$AD$6:$AD$505,"&gt;"&amp;$A133,実績!$AE$6:$AE$505,"○")&gt;0,1,0))</f>
        <v/>
      </c>
      <c r="DJ133">
        <f>IF(DJ$4=0,0,IF(COUNTIFS(実績!$W$6:$W$505,DJ$3,実績!$AC$6:$AC$505,"&lt;="&amp;$A133,実績!$AD$6:$AD$505,"&gt;"&amp;$A133,実績!$AE$6:$AE$505,"○")&gt;0,1,0))</f>
        <v/>
      </c>
      <c r="DK133">
        <f>IF(DK$4=0,0,IF(COUNTIFS(実績!$W$6:$W$505,DK$3,実績!$AC$6:$AC$505,"&lt;="&amp;$A133,実績!$AD$6:$AD$505,"&gt;"&amp;$A133,実績!$AE$6:$AE$505,"○")&gt;0,1,0))</f>
        <v/>
      </c>
      <c r="DL133">
        <f>IF(DL$4=0,0,IF(COUNTIFS(実績!$W$6:$W$505,DL$3,実績!$AC$6:$AC$505,"&lt;="&amp;$A133,実績!$AD$6:$AD$505,"&gt;"&amp;$A133,実績!$AE$6:$AE$505,"○")&gt;0,1,0))</f>
        <v/>
      </c>
      <c r="DM133">
        <f>IF(DM$4=0,0,IF(COUNTIFS(実績!$W$6:$W$505,DM$3,実績!$AC$6:$AC$505,"&lt;="&amp;$A133,実績!$AD$6:$AD$505,"&gt;"&amp;$A133,実績!$AE$6:$AE$505,"○")&gt;0,1,0))</f>
        <v/>
      </c>
      <c r="DN133">
        <f>IF(DN$4=0,0,IF(COUNTIFS(実績!$W$6:$W$505,DN$3,実績!$AC$6:$AC$505,"&lt;="&amp;$A133,実績!$AD$6:$AD$505,"&gt;"&amp;$A133,実績!$AE$6:$AE$505,"○")&gt;0,1,0))</f>
        <v/>
      </c>
      <c r="DO133">
        <f>IF(DO$4=0,0,IF(COUNTIFS(実績!$W$6:$W$505,DO$3,実績!$AC$6:$AC$505,"&lt;="&amp;$A133,実績!$AD$6:$AD$505,"&gt;"&amp;$A133,実績!$AE$6:$AE$505,"○")&gt;0,1,0))</f>
        <v/>
      </c>
      <c r="DP133">
        <f>IF(DP$4=0,0,IF(COUNTIFS(実績!$W$6:$W$505,DP$3,実績!$AC$6:$AC$505,"&lt;="&amp;$A133,実績!$AD$6:$AD$505,"&gt;"&amp;$A133,実績!$AE$6:$AE$505,"○")&gt;0,1,0))</f>
        <v/>
      </c>
      <c r="DQ133">
        <f>IF(DQ$4=0,0,IF(COUNTIFS(実績!$W$6:$W$505,DQ$3,実績!$AC$6:$AC$505,"&lt;="&amp;$A133,実績!$AD$6:$AD$505,"&gt;"&amp;$A133,実績!$AE$6:$AE$505,"○")&gt;0,1,0))</f>
        <v/>
      </c>
      <c r="DR133">
        <f>IF(DR$4=0,0,IF(COUNTIFS(実績!$W$6:$W$505,DR$3,実績!$AC$6:$AC$505,"&lt;="&amp;$A133,実績!$AD$6:$AD$505,"&gt;"&amp;$A133,実績!$AE$6:$AE$505,"○")&gt;0,1,0))</f>
        <v/>
      </c>
      <c r="DS133">
        <f>SUM(C133:DR133)</f>
        <v/>
      </c>
      <c r="DT133">
        <f>SUMPRODUCT((実績!$C$6:$C$505="○")*ISNUMBER(実績!$AF$6:$AF$505)*(実績!$AF$6:$AF$505&lt;=$A133)*(実績!$AG$6:$AG$505&gt;$A133))</f>
        <v/>
      </c>
      <c r="DU133">
        <f>SUMIF($C$2:$DR$2,"製鉄曳船",C133:DR133)</f>
        <v/>
      </c>
      <c r="DV133">
        <f>SUMIF($C$2:$DR$2,"西日本海運",C133:DR133)</f>
        <v/>
      </c>
    </row>
    <row r="134">
      <c r="A134" t="n">
        <v>640</v>
      </c>
      <c r="B134" s="29">
        <f>A134/1440</f>
        <v/>
      </c>
      <c r="C134">
        <f>IF(C$4=0,0,IF(COUNTIFS(実績!$W$6:$W$505,C$3,実績!$AC$6:$AC$505,"&lt;="&amp;$A134,実績!$AD$6:$AD$505,"&gt;"&amp;$A134,実績!$AE$6:$AE$505,"○")&gt;0,1,0))</f>
        <v/>
      </c>
      <c r="D134">
        <f>IF(D$4=0,0,IF(COUNTIFS(実績!$W$6:$W$505,D$3,実績!$AC$6:$AC$505,"&lt;="&amp;$A134,実績!$AD$6:$AD$505,"&gt;"&amp;$A134,実績!$AE$6:$AE$505,"○")&gt;0,1,0))</f>
        <v/>
      </c>
      <c r="E134">
        <f>IF(E$4=0,0,IF(COUNTIFS(実績!$W$6:$W$505,E$3,実績!$AC$6:$AC$505,"&lt;="&amp;$A134,実績!$AD$6:$AD$505,"&gt;"&amp;$A134,実績!$AE$6:$AE$505,"○")&gt;0,1,0))</f>
        <v/>
      </c>
      <c r="F134">
        <f>IF(F$4=0,0,IF(COUNTIFS(実績!$W$6:$W$505,F$3,実績!$AC$6:$AC$505,"&lt;="&amp;$A134,実績!$AD$6:$AD$505,"&gt;"&amp;$A134,実績!$AE$6:$AE$505,"○")&gt;0,1,0))</f>
        <v/>
      </c>
      <c r="G134">
        <f>IF(G$4=0,0,IF(COUNTIFS(実績!$W$6:$W$505,G$3,実績!$AC$6:$AC$505,"&lt;="&amp;$A134,実績!$AD$6:$AD$505,"&gt;"&amp;$A134,実績!$AE$6:$AE$505,"○")&gt;0,1,0))</f>
        <v/>
      </c>
      <c r="H134">
        <f>IF(H$4=0,0,IF(COUNTIFS(実績!$W$6:$W$505,H$3,実績!$AC$6:$AC$505,"&lt;="&amp;$A134,実績!$AD$6:$AD$505,"&gt;"&amp;$A134,実績!$AE$6:$AE$505,"○")&gt;0,1,0))</f>
        <v/>
      </c>
      <c r="I134">
        <f>IF(I$4=0,0,IF(COUNTIFS(実績!$W$6:$W$505,I$3,実績!$AC$6:$AC$505,"&lt;="&amp;$A134,実績!$AD$6:$AD$505,"&gt;"&amp;$A134,実績!$AE$6:$AE$505,"○")&gt;0,1,0))</f>
        <v/>
      </c>
      <c r="J134">
        <f>IF(J$4=0,0,IF(COUNTIFS(実績!$W$6:$W$505,J$3,実績!$AC$6:$AC$505,"&lt;="&amp;$A134,実績!$AD$6:$AD$505,"&gt;"&amp;$A134,実績!$AE$6:$AE$505,"○")&gt;0,1,0))</f>
        <v/>
      </c>
      <c r="K134">
        <f>IF(K$4=0,0,IF(COUNTIFS(実績!$W$6:$W$505,K$3,実績!$AC$6:$AC$505,"&lt;="&amp;$A134,実績!$AD$6:$AD$505,"&gt;"&amp;$A134,実績!$AE$6:$AE$505,"○")&gt;0,1,0))</f>
        <v/>
      </c>
      <c r="L134">
        <f>IF(L$4=0,0,IF(COUNTIFS(実績!$W$6:$W$505,L$3,実績!$AC$6:$AC$505,"&lt;="&amp;$A134,実績!$AD$6:$AD$505,"&gt;"&amp;$A134,実績!$AE$6:$AE$505,"○")&gt;0,1,0))</f>
        <v/>
      </c>
      <c r="M134">
        <f>IF(M$4=0,0,IF(COUNTIFS(実績!$W$6:$W$505,M$3,実績!$AC$6:$AC$505,"&lt;="&amp;$A134,実績!$AD$6:$AD$505,"&gt;"&amp;$A134,実績!$AE$6:$AE$505,"○")&gt;0,1,0))</f>
        <v/>
      </c>
      <c r="N134">
        <f>IF(N$4=0,0,IF(COUNTIFS(実績!$W$6:$W$505,N$3,実績!$AC$6:$AC$505,"&lt;="&amp;$A134,実績!$AD$6:$AD$505,"&gt;"&amp;$A134,実績!$AE$6:$AE$505,"○")&gt;0,1,0))</f>
        <v/>
      </c>
      <c r="O134">
        <f>IF(O$4=0,0,IF(COUNTIFS(実績!$W$6:$W$505,O$3,実績!$AC$6:$AC$505,"&lt;="&amp;$A134,実績!$AD$6:$AD$505,"&gt;"&amp;$A134,実績!$AE$6:$AE$505,"○")&gt;0,1,0))</f>
        <v/>
      </c>
      <c r="P134">
        <f>IF(P$4=0,0,IF(COUNTIFS(実績!$W$6:$W$505,P$3,実績!$AC$6:$AC$505,"&lt;="&amp;$A134,実績!$AD$6:$AD$505,"&gt;"&amp;$A134,実績!$AE$6:$AE$505,"○")&gt;0,1,0))</f>
        <v/>
      </c>
      <c r="Q134">
        <f>IF(Q$4=0,0,IF(COUNTIFS(実績!$W$6:$W$505,Q$3,実績!$AC$6:$AC$505,"&lt;="&amp;$A134,実績!$AD$6:$AD$505,"&gt;"&amp;$A134,実績!$AE$6:$AE$505,"○")&gt;0,1,0))</f>
        <v/>
      </c>
      <c r="R134">
        <f>IF(R$4=0,0,IF(COUNTIFS(実績!$W$6:$W$505,R$3,実績!$AC$6:$AC$505,"&lt;="&amp;$A134,実績!$AD$6:$AD$505,"&gt;"&amp;$A134,実績!$AE$6:$AE$505,"○")&gt;0,1,0))</f>
        <v/>
      </c>
      <c r="S134">
        <f>IF(S$4=0,0,IF(COUNTIFS(実績!$W$6:$W$505,S$3,実績!$AC$6:$AC$505,"&lt;="&amp;$A134,実績!$AD$6:$AD$505,"&gt;"&amp;$A134,実績!$AE$6:$AE$505,"○")&gt;0,1,0))</f>
        <v/>
      </c>
      <c r="T134">
        <f>IF(T$4=0,0,IF(COUNTIFS(実績!$W$6:$W$505,T$3,実績!$AC$6:$AC$505,"&lt;="&amp;$A134,実績!$AD$6:$AD$505,"&gt;"&amp;$A134,実績!$AE$6:$AE$505,"○")&gt;0,1,0))</f>
        <v/>
      </c>
      <c r="U134">
        <f>IF(U$4=0,0,IF(COUNTIFS(実績!$W$6:$W$505,U$3,実績!$AC$6:$AC$505,"&lt;="&amp;$A134,実績!$AD$6:$AD$505,"&gt;"&amp;$A134,実績!$AE$6:$AE$505,"○")&gt;0,1,0))</f>
        <v/>
      </c>
      <c r="V134">
        <f>IF(V$4=0,0,IF(COUNTIFS(実績!$W$6:$W$505,V$3,実績!$AC$6:$AC$505,"&lt;="&amp;$A134,実績!$AD$6:$AD$505,"&gt;"&amp;$A134,実績!$AE$6:$AE$505,"○")&gt;0,1,0))</f>
        <v/>
      </c>
      <c r="W134">
        <f>IF(W$4=0,0,IF(COUNTIFS(実績!$W$6:$W$505,W$3,実績!$AC$6:$AC$505,"&lt;="&amp;$A134,実績!$AD$6:$AD$505,"&gt;"&amp;$A134,実績!$AE$6:$AE$505,"○")&gt;0,1,0))</f>
        <v/>
      </c>
      <c r="X134">
        <f>IF(X$4=0,0,IF(COUNTIFS(実績!$W$6:$W$505,X$3,実績!$AC$6:$AC$505,"&lt;="&amp;$A134,実績!$AD$6:$AD$505,"&gt;"&amp;$A134,実績!$AE$6:$AE$505,"○")&gt;0,1,0))</f>
        <v/>
      </c>
      <c r="Y134">
        <f>IF(Y$4=0,0,IF(COUNTIFS(実績!$W$6:$W$505,Y$3,実績!$AC$6:$AC$505,"&lt;="&amp;$A134,実績!$AD$6:$AD$505,"&gt;"&amp;$A134,実績!$AE$6:$AE$505,"○")&gt;0,1,0))</f>
        <v/>
      </c>
      <c r="Z134">
        <f>IF(Z$4=0,0,IF(COUNTIFS(実績!$W$6:$W$505,Z$3,実績!$AC$6:$AC$505,"&lt;="&amp;$A134,実績!$AD$6:$AD$505,"&gt;"&amp;$A134,実績!$AE$6:$AE$505,"○")&gt;0,1,0))</f>
        <v/>
      </c>
      <c r="AA134">
        <f>IF(AA$4=0,0,IF(COUNTIFS(実績!$W$6:$W$505,AA$3,実績!$AC$6:$AC$505,"&lt;="&amp;$A134,実績!$AD$6:$AD$505,"&gt;"&amp;$A134,実績!$AE$6:$AE$505,"○")&gt;0,1,0))</f>
        <v/>
      </c>
      <c r="AB134">
        <f>IF(AB$4=0,0,IF(COUNTIFS(実績!$W$6:$W$505,AB$3,実績!$AC$6:$AC$505,"&lt;="&amp;$A134,実績!$AD$6:$AD$505,"&gt;"&amp;$A134,実績!$AE$6:$AE$505,"○")&gt;0,1,0))</f>
        <v/>
      </c>
      <c r="AC134">
        <f>IF(AC$4=0,0,IF(COUNTIFS(実績!$W$6:$W$505,AC$3,実績!$AC$6:$AC$505,"&lt;="&amp;$A134,実績!$AD$6:$AD$505,"&gt;"&amp;$A134,実績!$AE$6:$AE$505,"○")&gt;0,1,0))</f>
        <v/>
      </c>
      <c r="AD134">
        <f>IF(AD$4=0,0,IF(COUNTIFS(実績!$W$6:$W$505,AD$3,実績!$AC$6:$AC$505,"&lt;="&amp;$A134,実績!$AD$6:$AD$505,"&gt;"&amp;$A134,実績!$AE$6:$AE$505,"○")&gt;0,1,0))</f>
        <v/>
      </c>
      <c r="AE134">
        <f>IF(AE$4=0,0,IF(COUNTIFS(実績!$W$6:$W$505,AE$3,実績!$AC$6:$AC$505,"&lt;="&amp;$A134,実績!$AD$6:$AD$505,"&gt;"&amp;$A134,実績!$AE$6:$AE$505,"○")&gt;0,1,0))</f>
        <v/>
      </c>
      <c r="AF134">
        <f>IF(AF$4=0,0,IF(COUNTIFS(実績!$W$6:$W$505,AF$3,実績!$AC$6:$AC$505,"&lt;="&amp;$A134,実績!$AD$6:$AD$505,"&gt;"&amp;$A134,実績!$AE$6:$AE$505,"○")&gt;0,1,0))</f>
        <v/>
      </c>
      <c r="AG134">
        <f>IF(AG$4=0,0,IF(COUNTIFS(実績!$W$6:$W$505,AG$3,実績!$AC$6:$AC$505,"&lt;="&amp;$A134,実績!$AD$6:$AD$505,"&gt;"&amp;$A134,実績!$AE$6:$AE$505,"○")&gt;0,1,0))</f>
        <v/>
      </c>
      <c r="AH134">
        <f>IF(AH$4=0,0,IF(COUNTIFS(実績!$W$6:$W$505,AH$3,実績!$AC$6:$AC$505,"&lt;="&amp;$A134,実績!$AD$6:$AD$505,"&gt;"&amp;$A134,実績!$AE$6:$AE$505,"○")&gt;0,1,0))</f>
        <v/>
      </c>
      <c r="AI134">
        <f>IF(AI$4=0,0,IF(COUNTIFS(実績!$W$6:$W$505,AI$3,実績!$AC$6:$AC$505,"&lt;="&amp;$A134,実績!$AD$6:$AD$505,"&gt;"&amp;$A134,実績!$AE$6:$AE$505,"○")&gt;0,1,0))</f>
        <v/>
      </c>
      <c r="AJ134">
        <f>IF(AJ$4=0,0,IF(COUNTIFS(実績!$W$6:$W$505,AJ$3,実績!$AC$6:$AC$505,"&lt;="&amp;$A134,実績!$AD$6:$AD$505,"&gt;"&amp;$A134,実績!$AE$6:$AE$505,"○")&gt;0,1,0))</f>
        <v/>
      </c>
      <c r="AK134">
        <f>IF(AK$4=0,0,IF(COUNTIFS(実績!$W$6:$W$505,AK$3,実績!$AC$6:$AC$505,"&lt;="&amp;$A134,実績!$AD$6:$AD$505,"&gt;"&amp;$A134,実績!$AE$6:$AE$505,"○")&gt;0,1,0))</f>
        <v/>
      </c>
      <c r="AL134">
        <f>IF(AL$4=0,0,IF(COUNTIFS(実績!$W$6:$W$505,AL$3,実績!$AC$6:$AC$505,"&lt;="&amp;$A134,実績!$AD$6:$AD$505,"&gt;"&amp;$A134,実績!$AE$6:$AE$505,"○")&gt;0,1,0))</f>
        <v/>
      </c>
      <c r="AM134">
        <f>IF(AM$4=0,0,IF(COUNTIFS(実績!$W$6:$W$505,AM$3,実績!$AC$6:$AC$505,"&lt;="&amp;$A134,実績!$AD$6:$AD$505,"&gt;"&amp;$A134,実績!$AE$6:$AE$505,"○")&gt;0,1,0))</f>
        <v/>
      </c>
      <c r="AN134">
        <f>IF(AN$4=0,0,IF(COUNTIFS(実績!$W$6:$W$505,AN$3,実績!$AC$6:$AC$505,"&lt;="&amp;$A134,実績!$AD$6:$AD$505,"&gt;"&amp;$A134,実績!$AE$6:$AE$505,"○")&gt;0,1,0))</f>
        <v/>
      </c>
      <c r="AO134">
        <f>IF(AO$4=0,0,IF(COUNTIFS(実績!$W$6:$W$505,AO$3,実績!$AC$6:$AC$505,"&lt;="&amp;$A134,実績!$AD$6:$AD$505,"&gt;"&amp;$A134,実績!$AE$6:$AE$505,"○")&gt;0,1,0))</f>
        <v/>
      </c>
      <c r="AP134">
        <f>IF(AP$4=0,0,IF(COUNTIFS(実績!$W$6:$W$505,AP$3,実績!$AC$6:$AC$505,"&lt;="&amp;$A134,実績!$AD$6:$AD$505,"&gt;"&amp;$A134,実績!$AE$6:$AE$505,"○")&gt;0,1,0))</f>
        <v/>
      </c>
      <c r="AQ134">
        <f>IF(AQ$4=0,0,IF(COUNTIFS(実績!$W$6:$W$505,AQ$3,実績!$AC$6:$AC$505,"&lt;="&amp;$A134,実績!$AD$6:$AD$505,"&gt;"&amp;$A134,実績!$AE$6:$AE$505,"○")&gt;0,1,0))</f>
        <v/>
      </c>
      <c r="AR134">
        <f>IF(AR$4=0,0,IF(COUNTIFS(実績!$W$6:$W$505,AR$3,実績!$AC$6:$AC$505,"&lt;="&amp;$A134,実績!$AD$6:$AD$505,"&gt;"&amp;$A134,実績!$AE$6:$AE$505,"○")&gt;0,1,0))</f>
        <v/>
      </c>
      <c r="AS134">
        <f>IF(AS$4=0,0,IF(COUNTIFS(実績!$W$6:$W$505,AS$3,実績!$AC$6:$AC$505,"&lt;="&amp;$A134,実績!$AD$6:$AD$505,"&gt;"&amp;$A134,実績!$AE$6:$AE$505,"○")&gt;0,1,0))</f>
        <v/>
      </c>
      <c r="AT134">
        <f>IF(AT$4=0,0,IF(COUNTIFS(実績!$W$6:$W$505,AT$3,実績!$AC$6:$AC$505,"&lt;="&amp;$A134,実績!$AD$6:$AD$505,"&gt;"&amp;$A134,実績!$AE$6:$AE$505,"○")&gt;0,1,0))</f>
        <v/>
      </c>
      <c r="AU134">
        <f>IF(AU$4=0,0,IF(COUNTIFS(実績!$W$6:$W$505,AU$3,実績!$AC$6:$AC$505,"&lt;="&amp;$A134,実績!$AD$6:$AD$505,"&gt;"&amp;$A134,実績!$AE$6:$AE$505,"○")&gt;0,1,0))</f>
        <v/>
      </c>
      <c r="AV134">
        <f>IF(AV$4=0,0,IF(COUNTIFS(実績!$W$6:$W$505,AV$3,実績!$AC$6:$AC$505,"&lt;="&amp;$A134,実績!$AD$6:$AD$505,"&gt;"&amp;$A134,実績!$AE$6:$AE$505,"○")&gt;0,1,0))</f>
        <v/>
      </c>
      <c r="AW134">
        <f>IF(AW$4=0,0,IF(COUNTIFS(実績!$W$6:$W$505,AW$3,実績!$AC$6:$AC$505,"&lt;="&amp;$A134,実績!$AD$6:$AD$505,"&gt;"&amp;$A134,実績!$AE$6:$AE$505,"○")&gt;0,1,0))</f>
        <v/>
      </c>
      <c r="AX134">
        <f>IF(AX$4=0,0,IF(COUNTIFS(実績!$W$6:$W$505,AX$3,実績!$AC$6:$AC$505,"&lt;="&amp;$A134,実績!$AD$6:$AD$505,"&gt;"&amp;$A134,実績!$AE$6:$AE$505,"○")&gt;0,1,0))</f>
        <v/>
      </c>
      <c r="AY134">
        <f>IF(AY$4=0,0,IF(COUNTIFS(実績!$W$6:$W$505,AY$3,実績!$AC$6:$AC$505,"&lt;="&amp;$A134,実績!$AD$6:$AD$505,"&gt;"&amp;$A134,実績!$AE$6:$AE$505,"○")&gt;0,1,0))</f>
        <v/>
      </c>
      <c r="AZ134">
        <f>IF(AZ$4=0,0,IF(COUNTIFS(実績!$W$6:$W$505,AZ$3,実績!$AC$6:$AC$505,"&lt;="&amp;$A134,実績!$AD$6:$AD$505,"&gt;"&amp;$A134,実績!$AE$6:$AE$505,"○")&gt;0,1,0))</f>
        <v/>
      </c>
      <c r="BA134">
        <f>IF(BA$4=0,0,IF(COUNTIFS(実績!$W$6:$W$505,BA$3,実績!$AC$6:$AC$505,"&lt;="&amp;$A134,実績!$AD$6:$AD$505,"&gt;"&amp;$A134,実績!$AE$6:$AE$505,"○")&gt;0,1,0))</f>
        <v/>
      </c>
      <c r="BB134">
        <f>IF(BB$4=0,0,IF(COUNTIFS(実績!$W$6:$W$505,BB$3,実績!$AC$6:$AC$505,"&lt;="&amp;$A134,実績!$AD$6:$AD$505,"&gt;"&amp;$A134,実績!$AE$6:$AE$505,"○")&gt;0,1,0))</f>
        <v/>
      </c>
      <c r="BC134">
        <f>IF(BC$4=0,0,IF(COUNTIFS(実績!$W$6:$W$505,BC$3,実績!$AC$6:$AC$505,"&lt;="&amp;$A134,実績!$AD$6:$AD$505,"&gt;"&amp;$A134,実績!$AE$6:$AE$505,"○")&gt;0,1,0))</f>
        <v/>
      </c>
      <c r="BD134">
        <f>IF(BD$4=0,0,IF(COUNTIFS(実績!$W$6:$W$505,BD$3,実績!$AC$6:$AC$505,"&lt;="&amp;$A134,実績!$AD$6:$AD$505,"&gt;"&amp;$A134,実績!$AE$6:$AE$505,"○")&gt;0,1,0))</f>
        <v/>
      </c>
      <c r="BE134">
        <f>IF(BE$4=0,0,IF(COUNTIFS(実績!$W$6:$W$505,BE$3,実績!$AC$6:$AC$505,"&lt;="&amp;$A134,実績!$AD$6:$AD$505,"&gt;"&amp;$A134,実績!$AE$6:$AE$505,"○")&gt;0,1,0))</f>
        <v/>
      </c>
      <c r="BF134">
        <f>IF(BF$4=0,0,IF(COUNTIFS(実績!$W$6:$W$505,BF$3,実績!$AC$6:$AC$505,"&lt;="&amp;$A134,実績!$AD$6:$AD$505,"&gt;"&amp;$A134,実績!$AE$6:$AE$505,"○")&gt;0,1,0))</f>
        <v/>
      </c>
      <c r="BG134">
        <f>IF(BG$4=0,0,IF(COUNTIFS(実績!$W$6:$W$505,BG$3,実績!$AC$6:$AC$505,"&lt;="&amp;$A134,実績!$AD$6:$AD$505,"&gt;"&amp;$A134,実績!$AE$6:$AE$505,"○")&gt;0,1,0))</f>
        <v/>
      </c>
      <c r="BH134">
        <f>IF(BH$4=0,0,IF(COUNTIFS(実績!$W$6:$W$505,BH$3,実績!$AC$6:$AC$505,"&lt;="&amp;$A134,実績!$AD$6:$AD$505,"&gt;"&amp;$A134,実績!$AE$6:$AE$505,"○")&gt;0,1,0))</f>
        <v/>
      </c>
      <c r="BI134">
        <f>IF(BI$4=0,0,IF(COUNTIFS(実績!$W$6:$W$505,BI$3,実績!$AC$6:$AC$505,"&lt;="&amp;$A134,実績!$AD$6:$AD$505,"&gt;"&amp;$A134,実績!$AE$6:$AE$505,"○")&gt;0,1,0))</f>
        <v/>
      </c>
      <c r="BJ134">
        <f>IF(BJ$4=0,0,IF(COUNTIFS(実績!$W$6:$W$505,BJ$3,実績!$AC$6:$AC$505,"&lt;="&amp;$A134,実績!$AD$6:$AD$505,"&gt;"&amp;$A134,実績!$AE$6:$AE$505,"○")&gt;0,1,0))</f>
        <v/>
      </c>
      <c r="BK134">
        <f>IF(BK$4=0,0,IF(COUNTIFS(実績!$W$6:$W$505,BK$3,実績!$AC$6:$AC$505,"&lt;="&amp;$A134,実績!$AD$6:$AD$505,"&gt;"&amp;$A134,実績!$AE$6:$AE$505,"○")&gt;0,1,0))</f>
        <v/>
      </c>
      <c r="BL134">
        <f>IF(BL$4=0,0,IF(COUNTIFS(実績!$W$6:$W$505,BL$3,実績!$AC$6:$AC$505,"&lt;="&amp;$A134,実績!$AD$6:$AD$505,"&gt;"&amp;$A134,実績!$AE$6:$AE$505,"○")&gt;0,1,0))</f>
        <v/>
      </c>
      <c r="BM134">
        <f>IF(BM$4=0,0,IF(COUNTIFS(実績!$W$6:$W$505,BM$3,実績!$AC$6:$AC$505,"&lt;="&amp;$A134,実績!$AD$6:$AD$505,"&gt;"&amp;$A134,実績!$AE$6:$AE$505,"○")&gt;0,1,0))</f>
        <v/>
      </c>
      <c r="BN134">
        <f>IF(BN$4=0,0,IF(COUNTIFS(実績!$W$6:$W$505,BN$3,実績!$AC$6:$AC$505,"&lt;="&amp;$A134,実績!$AD$6:$AD$505,"&gt;"&amp;$A134,実績!$AE$6:$AE$505,"○")&gt;0,1,0))</f>
        <v/>
      </c>
      <c r="BO134">
        <f>IF(BO$4=0,0,IF(COUNTIFS(実績!$W$6:$W$505,BO$3,実績!$AC$6:$AC$505,"&lt;="&amp;$A134,実績!$AD$6:$AD$505,"&gt;"&amp;$A134,実績!$AE$6:$AE$505,"○")&gt;0,1,0))</f>
        <v/>
      </c>
      <c r="BP134">
        <f>IF(BP$4=0,0,IF(COUNTIFS(実績!$W$6:$W$505,BP$3,実績!$AC$6:$AC$505,"&lt;="&amp;$A134,実績!$AD$6:$AD$505,"&gt;"&amp;$A134,実績!$AE$6:$AE$505,"○")&gt;0,1,0))</f>
        <v/>
      </c>
      <c r="BQ134">
        <f>IF(BQ$4=0,0,IF(COUNTIFS(実績!$W$6:$W$505,BQ$3,実績!$AC$6:$AC$505,"&lt;="&amp;$A134,実績!$AD$6:$AD$505,"&gt;"&amp;$A134,実績!$AE$6:$AE$505,"○")&gt;0,1,0))</f>
        <v/>
      </c>
      <c r="BR134">
        <f>IF(BR$4=0,0,IF(COUNTIFS(実績!$W$6:$W$505,BR$3,実績!$AC$6:$AC$505,"&lt;="&amp;$A134,実績!$AD$6:$AD$505,"&gt;"&amp;$A134,実績!$AE$6:$AE$505,"○")&gt;0,1,0))</f>
        <v/>
      </c>
      <c r="BS134">
        <f>IF(BS$4=0,0,IF(COUNTIFS(実績!$W$6:$W$505,BS$3,実績!$AC$6:$AC$505,"&lt;="&amp;$A134,実績!$AD$6:$AD$505,"&gt;"&amp;$A134,実績!$AE$6:$AE$505,"○")&gt;0,1,0))</f>
        <v/>
      </c>
      <c r="BT134">
        <f>IF(BT$4=0,0,IF(COUNTIFS(実績!$W$6:$W$505,BT$3,実績!$AC$6:$AC$505,"&lt;="&amp;$A134,実績!$AD$6:$AD$505,"&gt;"&amp;$A134,実績!$AE$6:$AE$505,"○")&gt;0,1,0))</f>
        <v/>
      </c>
      <c r="BU134">
        <f>IF(BU$4=0,0,IF(COUNTIFS(実績!$W$6:$W$505,BU$3,実績!$AC$6:$AC$505,"&lt;="&amp;$A134,実績!$AD$6:$AD$505,"&gt;"&amp;$A134,実績!$AE$6:$AE$505,"○")&gt;0,1,0))</f>
        <v/>
      </c>
      <c r="BV134">
        <f>IF(BV$4=0,0,IF(COUNTIFS(実績!$W$6:$W$505,BV$3,実績!$AC$6:$AC$505,"&lt;="&amp;$A134,実績!$AD$6:$AD$505,"&gt;"&amp;$A134,実績!$AE$6:$AE$505,"○")&gt;0,1,0))</f>
        <v/>
      </c>
      <c r="BW134">
        <f>IF(BW$4=0,0,IF(COUNTIFS(実績!$W$6:$W$505,BW$3,実績!$AC$6:$AC$505,"&lt;="&amp;$A134,実績!$AD$6:$AD$505,"&gt;"&amp;$A134,実績!$AE$6:$AE$505,"○")&gt;0,1,0))</f>
        <v/>
      </c>
      <c r="BX134">
        <f>IF(BX$4=0,0,IF(COUNTIFS(実績!$W$6:$W$505,BX$3,実績!$AC$6:$AC$505,"&lt;="&amp;$A134,実績!$AD$6:$AD$505,"&gt;"&amp;$A134,実績!$AE$6:$AE$505,"○")&gt;0,1,0))</f>
        <v/>
      </c>
      <c r="BY134">
        <f>IF(BY$4=0,0,IF(COUNTIFS(実績!$W$6:$W$505,BY$3,実績!$AC$6:$AC$505,"&lt;="&amp;$A134,実績!$AD$6:$AD$505,"&gt;"&amp;$A134,実績!$AE$6:$AE$505,"○")&gt;0,1,0))</f>
        <v/>
      </c>
      <c r="BZ134">
        <f>IF(BZ$4=0,0,IF(COUNTIFS(実績!$W$6:$W$505,BZ$3,実績!$AC$6:$AC$505,"&lt;="&amp;$A134,実績!$AD$6:$AD$505,"&gt;"&amp;$A134,実績!$AE$6:$AE$505,"○")&gt;0,1,0))</f>
        <v/>
      </c>
      <c r="CA134">
        <f>IF(CA$4=0,0,IF(COUNTIFS(実績!$W$6:$W$505,CA$3,実績!$AC$6:$AC$505,"&lt;="&amp;$A134,実績!$AD$6:$AD$505,"&gt;"&amp;$A134,実績!$AE$6:$AE$505,"○")&gt;0,1,0))</f>
        <v/>
      </c>
      <c r="CB134">
        <f>IF(CB$4=0,0,IF(COUNTIFS(実績!$W$6:$W$505,CB$3,実績!$AC$6:$AC$505,"&lt;="&amp;$A134,実績!$AD$6:$AD$505,"&gt;"&amp;$A134,実績!$AE$6:$AE$505,"○")&gt;0,1,0))</f>
        <v/>
      </c>
      <c r="CC134">
        <f>IF(CC$4=0,0,IF(COUNTIFS(実績!$W$6:$W$505,CC$3,実績!$AC$6:$AC$505,"&lt;="&amp;$A134,実績!$AD$6:$AD$505,"&gt;"&amp;$A134,実績!$AE$6:$AE$505,"○")&gt;0,1,0))</f>
        <v/>
      </c>
      <c r="CD134">
        <f>IF(CD$4=0,0,IF(COUNTIFS(実績!$W$6:$W$505,CD$3,実績!$AC$6:$AC$505,"&lt;="&amp;$A134,実績!$AD$6:$AD$505,"&gt;"&amp;$A134,実績!$AE$6:$AE$505,"○")&gt;0,1,0))</f>
        <v/>
      </c>
      <c r="CE134">
        <f>IF(CE$4=0,0,IF(COUNTIFS(実績!$W$6:$W$505,CE$3,実績!$AC$6:$AC$505,"&lt;="&amp;$A134,実績!$AD$6:$AD$505,"&gt;"&amp;$A134,実績!$AE$6:$AE$505,"○")&gt;0,1,0))</f>
        <v/>
      </c>
      <c r="CF134">
        <f>IF(CF$4=0,0,IF(COUNTIFS(実績!$W$6:$W$505,CF$3,実績!$AC$6:$AC$505,"&lt;="&amp;$A134,実績!$AD$6:$AD$505,"&gt;"&amp;$A134,実績!$AE$6:$AE$505,"○")&gt;0,1,0))</f>
        <v/>
      </c>
      <c r="CG134">
        <f>IF(CG$4=0,0,IF(COUNTIFS(実績!$W$6:$W$505,CG$3,実績!$AC$6:$AC$505,"&lt;="&amp;$A134,実績!$AD$6:$AD$505,"&gt;"&amp;$A134,実績!$AE$6:$AE$505,"○")&gt;0,1,0))</f>
        <v/>
      </c>
      <c r="CH134">
        <f>IF(CH$4=0,0,IF(COUNTIFS(実績!$W$6:$W$505,CH$3,実績!$AC$6:$AC$505,"&lt;="&amp;$A134,実績!$AD$6:$AD$505,"&gt;"&amp;$A134,実績!$AE$6:$AE$505,"○")&gt;0,1,0))</f>
        <v/>
      </c>
      <c r="CI134">
        <f>IF(CI$4=0,0,IF(COUNTIFS(実績!$W$6:$W$505,CI$3,実績!$AC$6:$AC$505,"&lt;="&amp;$A134,実績!$AD$6:$AD$505,"&gt;"&amp;$A134,実績!$AE$6:$AE$505,"○")&gt;0,1,0))</f>
        <v/>
      </c>
      <c r="CJ134">
        <f>IF(CJ$4=0,0,IF(COUNTIFS(実績!$W$6:$W$505,CJ$3,実績!$AC$6:$AC$505,"&lt;="&amp;$A134,実績!$AD$6:$AD$505,"&gt;"&amp;$A134,実績!$AE$6:$AE$505,"○")&gt;0,1,0))</f>
        <v/>
      </c>
      <c r="CK134">
        <f>IF(CK$4=0,0,IF(COUNTIFS(実績!$W$6:$W$505,CK$3,実績!$AC$6:$AC$505,"&lt;="&amp;$A134,実績!$AD$6:$AD$505,"&gt;"&amp;$A134,実績!$AE$6:$AE$505,"○")&gt;0,1,0))</f>
        <v/>
      </c>
      <c r="CL134">
        <f>IF(CL$4=0,0,IF(COUNTIFS(実績!$W$6:$W$505,CL$3,実績!$AC$6:$AC$505,"&lt;="&amp;$A134,実績!$AD$6:$AD$505,"&gt;"&amp;$A134,実績!$AE$6:$AE$505,"○")&gt;0,1,0))</f>
        <v/>
      </c>
      <c r="CM134">
        <f>IF(CM$4=0,0,IF(COUNTIFS(実績!$W$6:$W$505,CM$3,実績!$AC$6:$AC$505,"&lt;="&amp;$A134,実績!$AD$6:$AD$505,"&gt;"&amp;$A134,実績!$AE$6:$AE$505,"○")&gt;0,1,0))</f>
        <v/>
      </c>
      <c r="CN134">
        <f>IF(CN$4=0,0,IF(COUNTIFS(実績!$W$6:$W$505,CN$3,実績!$AC$6:$AC$505,"&lt;="&amp;$A134,実績!$AD$6:$AD$505,"&gt;"&amp;$A134,実績!$AE$6:$AE$505,"○")&gt;0,1,0))</f>
        <v/>
      </c>
      <c r="CO134">
        <f>IF(CO$4=0,0,IF(COUNTIFS(実績!$W$6:$W$505,CO$3,実績!$AC$6:$AC$505,"&lt;="&amp;$A134,実績!$AD$6:$AD$505,"&gt;"&amp;$A134,実績!$AE$6:$AE$505,"○")&gt;0,1,0))</f>
        <v/>
      </c>
      <c r="CP134">
        <f>IF(CP$4=0,0,IF(COUNTIFS(実績!$W$6:$W$505,CP$3,実績!$AC$6:$AC$505,"&lt;="&amp;$A134,実績!$AD$6:$AD$505,"&gt;"&amp;$A134,実績!$AE$6:$AE$505,"○")&gt;0,1,0))</f>
        <v/>
      </c>
      <c r="CQ134">
        <f>IF(CQ$4=0,0,IF(COUNTIFS(実績!$W$6:$W$505,CQ$3,実績!$AC$6:$AC$505,"&lt;="&amp;$A134,実績!$AD$6:$AD$505,"&gt;"&amp;$A134,実績!$AE$6:$AE$505,"○")&gt;0,1,0))</f>
        <v/>
      </c>
      <c r="CR134">
        <f>IF(CR$4=0,0,IF(COUNTIFS(実績!$W$6:$W$505,CR$3,実績!$AC$6:$AC$505,"&lt;="&amp;$A134,実績!$AD$6:$AD$505,"&gt;"&amp;$A134,実績!$AE$6:$AE$505,"○")&gt;0,1,0))</f>
        <v/>
      </c>
      <c r="CS134">
        <f>IF(CS$4=0,0,IF(COUNTIFS(実績!$W$6:$W$505,CS$3,実績!$AC$6:$AC$505,"&lt;="&amp;$A134,実績!$AD$6:$AD$505,"&gt;"&amp;$A134,実績!$AE$6:$AE$505,"○")&gt;0,1,0))</f>
        <v/>
      </c>
      <c r="CT134">
        <f>IF(CT$4=0,0,IF(COUNTIFS(実績!$W$6:$W$505,CT$3,実績!$AC$6:$AC$505,"&lt;="&amp;$A134,実績!$AD$6:$AD$505,"&gt;"&amp;$A134,実績!$AE$6:$AE$505,"○")&gt;0,1,0))</f>
        <v/>
      </c>
      <c r="CU134">
        <f>IF(CU$4=0,0,IF(COUNTIFS(実績!$W$6:$W$505,CU$3,実績!$AC$6:$AC$505,"&lt;="&amp;$A134,実績!$AD$6:$AD$505,"&gt;"&amp;$A134,実績!$AE$6:$AE$505,"○")&gt;0,1,0))</f>
        <v/>
      </c>
      <c r="CV134">
        <f>IF(CV$4=0,0,IF(COUNTIFS(実績!$W$6:$W$505,CV$3,実績!$AC$6:$AC$505,"&lt;="&amp;$A134,実績!$AD$6:$AD$505,"&gt;"&amp;$A134,実績!$AE$6:$AE$505,"○")&gt;0,1,0))</f>
        <v/>
      </c>
      <c r="CW134">
        <f>IF(CW$4=0,0,IF(COUNTIFS(実績!$W$6:$W$505,CW$3,実績!$AC$6:$AC$505,"&lt;="&amp;$A134,実績!$AD$6:$AD$505,"&gt;"&amp;$A134,実績!$AE$6:$AE$505,"○")&gt;0,1,0))</f>
        <v/>
      </c>
      <c r="CX134">
        <f>IF(CX$4=0,0,IF(COUNTIFS(実績!$W$6:$W$505,CX$3,実績!$AC$6:$AC$505,"&lt;="&amp;$A134,実績!$AD$6:$AD$505,"&gt;"&amp;$A134,実績!$AE$6:$AE$505,"○")&gt;0,1,0))</f>
        <v/>
      </c>
      <c r="CY134">
        <f>IF(CY$4=0,0,IF(COUNTIFS(実績!$W$6:$W$505,CY$3,実績!$AC$6:$AC$505,"&lt;="&amp;$A134,実績!$AD$6:$AD$505,"&gt;"&amp;$A134,実績!$AE$6:$AE$505,"○")&gt;0,1,0))</f>
        <v/>
      </c>
      <c r="CZ134">
        <f>IF(CZ$4=0,0,IF(COUNTIFS(実績!$W$6:$W$505,CZ$3,実績!$AC$6:$AC$505,"&lt;="&amp;$A134,実績!$AD$6:$AD$505,"&gt;"&amp;$A134,実績!$AE$6:$AE$505,"○")&gt;0,1,0))</f>
        <v/>
      </c>
      <c r="DA134">
        <f>IF(DA$4=0,0,IF(COUNTIFS(実績!$W$6:$W$505,DA$3,実績!$AC$6:$AC$505,"&lt;="&amp;$A134,実績!$AD$6:$AD$505,"&gt;"&amp;$A134,実績!$AE$6:$AE$505,"○")&gt;0,1,0))</f>
        <v/>
      </c>
      <c r="DB134">
        <f>IF(DB$4=0,0,IF(COUNTIFS(実績!$W$6:$W$505,DB$3,実績!$AC$6:$AC$505,"&lt;="&amp;$A134,実績!$AD$6:$AD$505,"&gt;"&amp;$A134,実績!$AE$6:$AE$505,"○")&gt;0,1,0))</f>
        <v/>
      </c>
      <c r="DC134">
        <f>IF(DC$4=0,0,IF(COUNTIFS(実績!$W$6:$W$505,DC$3,実績!$AC$6:$AC$505,"&lt;="&amp;$A134,実績!$AD$6:$AD$505,"&gt;"&amp;$A134,実績!$AE$6:$AE$505,"○")&gt;0,1,0))</f>
        <v/>
      </c>
      <c r="DD134">
        <f>IF(DD$4=0,0,IF(COUNTIFS(実績!$W$6:$W$505,DD$3,実績!$AC$6:$AC$505,"&lt;="&amp;$A134,実績!$AD$6:$AD$505,"&gt;"&amp;$A134,実績!$AE$6:$AE$505,"○")&gt;0,1,0))</f>
        <v/>
      </c>
      <c r="DE134">
        <f>IF(DE$4=0,0,IF(COUNTIFS(実績!$W$6:$W$505,DE$3,実績!$AC$6:$AC$505,"&lt;="&amp;$A134,実績!$AD$6:$AD$505,"&gt;"&amp;$A134,実績!$AE$6:$AE$505,"○")&gt;0,1,0))</f>
        <v/>
      </c>
      <c r="DF134">
        <f>IF(DF$4=0,0,IF(COUNTIFS(実績!$W$6:$W$505,DF$3,実績!$AC$6:$AC$505,"&lt;="&amp;$A134,実績!$AD$6:$AD$505,"&gt;"&amp;$A134,実績!$AE$6:$AE$505,"○")&gt;0,1,0))</f>
        <v/>
      </c>
      <c r="DG134">
        <f>IF(DG$4=0,0,IF(COUNTIFS(実績!$W$6:$W$505,DG$3,実績!$AC$6:$AC$505,"&lt;="&amp;$A134,実績!$AD$6:$AD$505,"&gt;"&amp;$A134,実績!$AE$6:$AE$505,"○")&gt;0,1,0))</f>
        <v/>
      </c>
      <c r="DH134">
        <f>IF(DH$4=0,0,IF(COUNTIFS(実績!$W$6:$W$505,DH$3,実績!$AC$6:$AC$505,"&lt;="&amp;$A134,実績!$AD$6:$AD$505,"&gt;"&amp;$A134,実績!$AE$6:$AE$505,"○")&gt;0,1,0))</f>
        <v/>
      </c>
      <c r="DI134">
        <f>IF(DI$4=0,0,IF(COUNTIFS(実績!$W$6:$W$505,DI$3,実績!$AC$6:$AC$505,"&lt;="&amp;$A134,実績!$AD$6:$AD$505,"&gt;"&amp;$A134,実績!$AE$6:$AE$505,"○")&gt;0,1,0))</f>
        <v/>
      </c>
      <c r="DJ134">
        <f>IF(DJ$4=0,0,IF(COUNTIFS(実績!$W$6:$W$505,DJ$3,実績!$AC$6:$AC$505,"&lt;="&amp;$A134,実績!$AD$6:$AD$505,"&gt;"&amp;$A134,実績!$AE$6:$AE$505,"○")&gt;0,1,0))</f>
        <v/>
      </c>
      <c r="DK134">
        <f>IF(DK$4=0,0,IF(COUNTIFS(実績!$W$6:$W$505,DK$3,実績!$AC$6:$AC$505,"&lt;="&amp;$A134,実績!$AD$6:$AD$505,"&gt;"&amp;$A134,実績!$AE$6:$AE$505,"○")&gt;0,1,0))</f>
        <v/>
      </c>
      <c r="DL134">
        <f>IF(DL$4=0,0,IF(COUNTIFS(実績!$W$6:$W$505,DL$3,実績!$AC$6:$AC$505,"&lt;="&amp;$A134,実績!$AD$6:$AD$505,"&gt;"&amp;$A134,実績!$AE$6:$AE$505,"○")&gt;0,1,0))</f>
        <v/>
      </c>
      <c r="DM134">
        <f>IF(DM$4=0,0,IF(COUNTIFS(実績!$W$6:$W$505,DM$3,実績!$AC$6:$AC$505,"&lt;="&amp;$A134,実績!$AD$6:$AD$505,"&gt;"&amp;$A134,実績!$AE$6:$AE$505,"○")&gt;0,1,0))</f>
        <v/>
      </c>
      <c r="DN134">
        <f>IF(DN$4=0,0,IF(COUNTIFS(実績!$W$6:$W$505,DN$3,実績!$AC$6:$AC$505,"&lt;="&amp;$A134,実績!$AD$6:$AD$505,"&gt;"&amp;$A134,実績!$AE$6:$AE$505,"○")&gt;0,1,0))</f>
        <v/>
      </c>
      <c r="DO134">
        <f>IF(DO$4=0,0,IF(COUNTIFS(実績!$W$6:$W$505,DO$3,実績!$AC$6:$AC$505,"&lt;="&amp;$A134,実績!$AD$6:$AD$505,"&gt;"&amp;$A134,実績!$AE$6:$AE$505,"○")&gt;0,1,0))</f>
        <v/>
      </c>
      <c r="DP134">
        <f>IF(DP$4=0,0,IF(COUNTIFS(実績!$W$6:$W$505,DP$3,実績!$AC$6:$AC$505,"&lt;="&amp;$A134,実績!$AD$6:$AD$505,"&gt;"&amp;$A134,実績!$AE$6:$AE$505,"○")&gt;0,1,0))</f>
        <v/>
      </c>
      <c r="DQ134">
        <f>IF(DQ$4=0,0,IF(COUNTIFS(実績!$W$6:$W$505,DQ$3,実績!$AC$6:$AC$505,"&lt;="&amp;$A134,実績!$AD$6:$AD$505,"&gt;"&amp;$A134,実績!$AE$6:$AE$505,"○")&gt;0,1,0))</f>
        <v/>
      </c>
      <c r="DR134">
        <f>IF(DR$4=0,0,IF(COUNTIFS(実績!$W$6:$W$505,DR$3,実績!$AC$6:$AC$505,"&lt;="&amp;$A134,実績!$AD$6:$AD$505,"&gt;"&amp;$A134,実績!$AE$6:$AE$505,"○")&gt;0,1,0))</f>
        <v/>
      </c>
      <c r="DS134">
        <f>SUM(C134:DR134)</f>
        <v/>
      </c>
      <c r="DT134">
        <f>SUMPRODUCT((実績!$C$6:$C$505="○")*ISNUMBER(実績!$AF$6:$AF$505)*(実績!$AF$6:$AF$505&lt;=$A134)*(実績!$AG$6:$AG$505&gt;$A134))</f>
        <v/>
      </c>
      <c r="DU134">
        <f>SUMIF($C$2:$DR$2,"製鉄曳船",C134:DR134)</f>
        <v/>
      </c>
      <c r="DV134">
        <f>SUMIF($C$2:$DR$2,"西日本海運",C134:DR134)</f>
        <v/>
      </c>
    </row>
    <row r="135">
      <c r="A135" t="n">
        <v>645</v>
      </c>
      <c r="B135" s="29">
        <f>A135/1440</f>
        <v/>
      </c>
      <c r="C135">
        <f>IF(C$4=0,0,IF(COUNTIFS(実績!$W$6:$W$505,C$3,実績!$AC$6:$AC$505,"&lt;="&amp;$A135,実績!$AD$6:$AD$505,"&gt;"&amp;$A135,実績!$AE$6:$AE$505,"○")&gt;0,1,0))</f>
        <v/>
      </c>
      <c r="D135">
        <f>IF(D$4=0,0,IF(COUNTIFS(実績!$W$6:$W$505,D$3,実績!$AC$6:$AC$505,"&lt;="&amp;$A135,実績!$AD$6:$AD$505,"&gt;"&amp;$A135,実績!$AE$6:$AE$505,"○")&gt;0,1,0))</f>
        <v/>
      </c>
      <c r="E135">
        <f>IF(E$4=0,0,IF(COUNTIFS(実績!$W$6:$W$505,E$3,実績!$AC$6:$AC$505,"&lt;="&amp;$A135,実績!$AD$6:$AD$505,"&gt;"&amp;$A135,実績!$AE$6:$AE$505,"○")&gt;0,1,0))</f>
        <v/>
      </c>
      <c r="F135">
        <f>IF(F$4=0,0,IF(COUNTIFS(実績!$W$6:$W$505,F$3,実績!$AC$6:$AC$505,"&lt;="&amp;$A135,実績!$AD$6:$AD$505,"&gt;"&amp;$A135,実績!$AE$6:$AE$505,"○")&gt;0,1,0))</f>
        <v/>
      </c>
      <c r="G135">
        <f>IF(G$4=0,0,IF(COUNTIFS(実績!$W$6:$W$505,G$3,実績!$AC$6:$AC$505,"&lt;="&amp;$A135,実績!$AD$6:$AD$505,"&gt;"&amp;$A135,実績!$AE$6:$AE$505,"○")&gt;0,1,0))</f>
        <v/>
      </c>
      <c r="H135">
        <f>IF(H$4=0,0,IF(COUNTIFS(実績!$W$6:$W$505,H$3,実績!$AC$6:$AC$505,"&lt;="&amp;$A135,実績!$AD$6:$AD$505,"&gt;"&amp;$A135,実績!$AE$6:$AE$505,"○")&gt;0,1,0))</f>
        <v/>
      </c>
      <c r="I135">
        <f>IF(I$4=0,0,IF(COUNTIFS(実績!$W$6:$W$505,I$3,実績!$AC$6:$AC$505,"&lt;="&amp;$A135,実績!$AD$6:$AD$505,"&gt;"&amp;$A135,実績!$AE$6:$AE$505,"○")&gt;0,1,0))</f>
        <v/>
      </c>
      <c r="J135">
        <f>IF(J$4=0,0,IF(COUNTIFS(実績!$W$6:$W$505,J$3,実績!$AC$6:$AC$505,"&lt;="&amp;$A135,実績!$AD$6:$AD$505,"&gt;"&amp;$A135,実績!$AE$6:$AE$505,"○")&gt;0,1,0))</f>
        <v/>
      </c>
      <c r="K135">
        <f>IF(K$4=0,0,IF(COUNTIFS(実績!$W$6:$W$505,K$3,実績!$AC$6:$AC$505,"&lt;="&amp;$A135,実績!$AD$6:$AD$505,"&gt;"&amp;$A135,実績!$AE$6:$AE$505,"○")&gt;0,1,0))</f>
        <v/>
      </c>
      <c r="L135">
        <f>IF(L$4=0,0,IF(COUNTIFS(実績!$W$6:$W$505,L$3,実績!$AC$6:$AC$505,"&lt;="&amp;$A135,実績!$AD$6:$AD$505,"&gt;"&amp;$A135,実績!$AE$6:$AE$505,"○")&gt;0,1,0))</f>
        <v/>
      </c>
      <c r="M135">
        <f>IF(M$4=0,0,IF(COUNTIFS(実績!$W$6:$W$505,M$3,実績!$AC$6:$AC$505,"&lt;="&amp;$A135,実績!$AD$6:$AD$505,"&gt;"&amp;$A135,実績!$AE$6:$AE$505,"○")&gt;0,1,0))</f>
        <v/>
      </c>
      <c r="N135">
        <f>IF(N$4=0,0,IF(COUNTIFS(実績!$W$6:$W$505,N$3,実績!$AC$6:$AC$505,"&lt;="&amp;$A135,実績!$AD$6:$AD$505,"&gt;"&amp;$A135,実績!$AE$6:$AE$505,"○")&gt;0,1,0))</f>
        <v/>
      </c>
      <c r="O135">
        <f>IF(O$4=0,0,IF(COUNTIFS(実績!$W$6:$W$505,O$3,実績!$AC$6:$AC$505,"&lt;="&amp;$A135,実績!$AD$6:$AD$505,"&gt;"&amp;$A135,実績!$AE$6:$AE$505,"○")&gt;0,1,0))</f>
        <v/>
      </c>
      <c r="P135">
        <f>IF(P$4=0,0,IF(COUNTIFS(実績!$W$6:$W$505,P$3,実績!$AC$6:$AC$505,"&lt;="&amp;$A135,実績!$AD$6:$AD$505,"&gt;"&amp;$A135,実績!$AE$6:$AE$505,"○")&gt;0,1,0))</f>
        <v/>
      </c>
      <c r="Q135">
        <f>IF(Q$4=0,0,IF(COUNTIFS(実績!$W$6:$W$505,Q$3,実績!$AC$6:$AC$505,"&lt;="&amp;$A135,実績!$AD$6:$AD$505,"&gt;"&amp;$A135,実績!$AE$6:$AE$505,"○")&gt;0,1,0))</f>
        <v/>
      </c>
      <c r="R135">
        <f>IF(R$4=0,0,IF(COUNTIFS(実績!$W$6:$W$505,R$3,実績!$AC$6:$AC$505,"&lt;="&amp;$A135,実績!$AD$6:$AD$505,"&gt;"&amp;$A135,実績!$AE$6:$AE$505,"○")&gt;0,1,0))</f>
        <v/>
      </c>
      <c r="S135">
        <f>IF(S$4=0,0,IF(COUNTIFS(実績!$W$6:$W$505,S$3,実績!$AC$6:$AC$505,"&lt;="&amp;$A135,実績!$AD$6:$AD$505,"&gt;"&amp;$A135,実績!$AE$6:$AE$505,"○")&gt;0,1,0))</f>
        <v/>
      </c>
      <c r="T135">
        <f>IF(T$4=0,0,IF(COUNTIFS(実績!$W$6:$W$505,T$3,実績!$AC$6:$AC$505,"&lt;="&amp;$A135,実績!$AD$6:$AD$505,"&gt;"&amp;$A135,実績!$AE$6:$AE$505,"○")&gt;0,1,0))</f>
        <v/>
      </c>
      <c r="U135">
        <f>IF(U$4=0,0,IF(COUNTIFS(実績!$W$6:$W$505,U$3,実績!$AC$6:$AC$505,"&lt;="&amp;$A135,実績!$AD$6:$AD$505,"&gt;"&amp;$A135,実績!$AE$6:$AE$505,"○")&gt;0,1,0))</f>
        <v/>
      </c>
      <c r="V135">
        <f>IF(V$4=0,0,IF(COUNTIFS(実績!$W$6:$W$505,V$3,実績!$AC$6:$AC$505,"&lt;="&amp;$A135,実績!$AD$6:$AD$505,"&gt;"&amp;$A135,実績!$AE$6:$AE$505,"○")&gt;0,1,0))</f>
        <v/>
      </c>
      <c r="W135">
        <f>IF(W$4=0,0,IF(COUNTIFS(実績!$W$6:$W$505,W$3,実績!$AC$6:$AC$505,"&lt;="&amp;$A135,実績!$AD$6:$AD$505,"&gt;"&amp;$A135,実績!$AE$6:$AE$505,"○")&gt;0,1,0))</f>
        <v/>
      </c>
      <c r="X135">
        <f>IF(X$4=0,0,IF(COUNTIFS(実績!$W$6:$W$505,X$3,実績!$AC$6:$AC$505,"&lt;="&amp;$A135,実績!$AD$6:$AD$505,"&gt;"&amp;$A135,実績!$AE$6:$AE$505,"○")&gt;0,1,0))</f>
        <v/>
      </c>
      <c r="Y135">
        <f>IF(Y$4=0,0,IF(COUNTIFS(実績!$W$6:$W$505,Y$3,実績!$AC$6:$AC$505,"&lt;="&amp;$A135,実績!$AD$6:$AD$505,"&gt;"&amp;$A135,実績!$AE$6:$AE$505,"○")&gt;0,1,0))</f>
        <v/>
      </c>
      <c r="Z135">
        <f>IF(Z$4=0,0,IF(COUNTIFS(実績!$W$6:$W$505,Z$3,実績!$AC$6:$AC$505,"&lt;="&amp;$A135,実績!$AD$6:$AD$505,"&gt;"&amp;$A135,実績!$AE$6:$AE$505,"○")&gt;0,1,0))</f>
        <v/>
      </c>
      <c r="AA135">
        <f>IF(AA$4=0,0,IF(COUNTIFS(実績!$W$6:$W$505,AA$3,実績!$AC$6:$AC$505,"&lt;="&amp;$A135,実績!$AD$6:$AD$505,"&gt;"&amp;$A135,実績!$AE$6:$AE$505,"○")&gt;0,1,0))</f>
        <v/>
      </c>
      <c r="AB135">
        <f>IF(AB$4=0,0,IF(COUNTIFS(実績!$W$6:$W$505,AB$3,実績!$AC$6:$AC$505,"&lt;="&amp;$A135,実績!$AD$6:$AD$505,"&gt;"&amp;$A135,実績!$AE$6:$AE$505,"○")&gt;0,1,0))</f>
        <v/>
      </c>
      <c r="AC135">
        <f>IF(AC$4=0,0,IF(COUNTIFS(実績!$W$6:$W$505,AC$3,実績!$AC$6:$AC$505,"&lt;="&amp;$A135,実績!$AD$6:$AD$505,"&gt;"&amp;$A135,実績!$AE$6:$AE$505,"○")&gt;0,1,0))</f>
        <v/>
      </c>
      <c r="AD135">
        <f>IF(AD$4=0,0,IF(COUNTIFS(実績!$W$6:$W$505,AD$3,実績!$AC$6:$AC$505,"&lt;="&amp;$A135,実績!$AD$6:$AD$505,"&gt;"&amp;$A135,実績!$AE$6:$AE$505,"○")&gt;0,1,0))</f>
        <v/>
      </c>
      <c r="AE135">
        <f>IF(AE$4=0,0,IF(COUNTIFS(実績!$W$6:$W$505,AE$3,実績!$AC$6:$AC$505,"&lt;="&amp;$A135,実績!$AD$6:$AD$505,"&gt;"&amp;$A135,実績!$AE$6:$AE$505,"○")&gt;0,1,0))</f>
        <v/>
      </c>
      <c r="AF135">
        <f>IF(AF$4=0,0,IF(COUNTIFS(実績!$W$6:$W$505,AF$3,実績!$AC$6:$AC$505,"&lt;="&amp;$A135,実績!$AD$6:$AD$505,"&gt;"&amp;$A135,実績!$AE$6:$AE$505,"○")&gt;0,1,0))</f>
        <v/>
      </c>
      <c r="AG135">
        <f>IF(AG$4=0,0,IF(COUNTIFS(実績!$W$6:$W$505,AG$3,実績!$AC$6:$AC$505,"&lt;="&amp;$A135,実績!$AD$6:$AD$505,"&gt;"&amp;$A135,実績!$AE$6:$AE$505,"○")&gt;0,1,0))</f>
        <v/>
      </c>
      <c r="AH135">
        <f>IF(AH$4=0,0,IF(COUNTIFS(実績!$W$6:$W$505,AH$3,実績!$AC$6:$AC$505,"&lt;="&amp;$A135,実績!$AD$6:$AD$505,"&gt;"&amp;$A135,実績!$AE$6:$AE$505,"○")&gt;0,1,0))</f>
        <v/>
      </c>
      <c r="AI135">
        <f>IF(AI$4=0,0,IF(COUNTIFS(実績!$W$6:$W$505,AI$3,実績!$AC$6:$AC$505,"&lt;="&amp;$A135,実績!$AD$6:$AD$505,"&gt;"&amp;$A135,実績!$AE$6:$AE$505,"○")&gt;0,1,0))</f>
        <v/>
      </c>
      <c r="AJ135">
        <f>IF(AJ$4=0,0,IF(COUNTIFS(実績!$W$6:$W$505,AJ$3,実績!$AC$6:$AC$505,"&lt;="&amp;$A135,実績!$AD$6:$AD$505,"&gt;"&amp;$A135,実績!$AE$6:$AE$505,"○")&gt;0,1,0))</f>
        <v/>
      </c>
      <c r="AK135">
        <f>IF(AK$4=0,0,IF(COUNTIFS(実績!$W$6:$W$505,AK$3,実績!$AC$6:$AC$505,"&lt;="&amp;$A135,実績!$AD$6:$AD$505,"&gt;"&amp;$A135,実績!$AE$6:$AE$505,"○")&gt;0,1,0))</f>
        <v/>
      </c>
      <c r="AL135">
        <f>IF(AL$4=0,0,IF(COUNTIFS(実績!$W$6:$W$505,AL$3,実績!$AC$6:$AC$505,"&lt;="&amp;$A135,実績!$AD$6:$AD$505,"&gt;"&amp;$A135,実績!$AE$6:$AE$505,"○")&gt;0,1,0))</f>
        <v/>
      </c>
      <c r="AM135">
        <f>IF(AM$4=0,0,IF(COUNTIFS(実績!$W$6:$W$505,AM$3,実績!$AC$6:$AC$505,"&lt;="&amp;$A135,実績!$AD$6:$AD$505,"&gt;"&amp;$A135,実績!$AE$6:$AE$505,"○")&gt;0,1,0))</f>
        <v/>
      </c>
      <c r="AN135">
        <f>IF(AN$4=0,0,IF(COUNTIFS(実績!$W$6:$W$505,AN$3,実績!$AC$6:$AC$505,"&lt;="&amp;$A135,実績!$AD$6:$AD$505,"&gt;"&amp;$A135,実績!$AE$6:$AE$505,"○")&gt;0,1,0))</f>
        <v/>
      </c>
      <c r="AO135">
        <f>IF(AO$4=0,0,IF(COUNTIFS(実績!$W$6:$W$505,AO$3,実績!$AC$6:$AC$505,"&lt;="&amp;$A135,実績!$AD$6:$AD$505,"&gt;"&amp;$A135,実績!$AE$6:$AE$505,"○")&gt;0,1,0))</f>
        <v/>
      </c>
      <c r="AP135">
        <f>IF(AP$4=0,0,IF(COUNTIFS(実績!$W$6:$W$505,AP$3,実績!$AC$6:$AC$505,"&lt;="&amp;$A135,実績!$AD$6:$AD$505,"&gt;"&amp;$A135,実績!$AE$6:$AE$505,"○")&gt;0,1,0))</f>
        <v/>
      </c>
      <c r="AQ135">
        <f>IF(AQ$4=0,0,IF(COUNTIFS(実績!$W$6:$W$505,AQ$3,実績!$AC$6:$AC$505,"&lt;="&amp;$A135,実績!$AD$6:$AD$505,"&gt;"&amp;$A135,実績!$AE$6:$AE$505,"○")&gt;0,1,0))</f>
        <v/>
      </c>
      <c r="AR135">
        <f>IF(AR$4=0,0,IF(COUNTIFS(実績!$W$6:$W$505,AR$3,実績!$AC$6:$AC$505,"&lt;="&amp;$A135,実績!$AD$6:$AD$505,"&gt;"&amp;$A135,実績!$AE$6:$AE$505,"○")&gt;0,1,0))</f>
        <v/>
      </c>
      <c r="AS135">
        <f>IF(AS$4=0,0,IF(COUNTIFS(実績!$W$6:$W$505,AS$3,実績!$AC$6:$AC$505,"&lt;="&amp;$A135,実績!$AD$6:$AD$505,"&gt;"&amp;$A135,実績!$AE$6:$AE$505,"○")&gt;0,1,0))</f>
        <v/>
      </c>
      <c r="AT135">
        <f>IF(AT$4=0,0,IF(COUNTIFS(実績!$W$6:$W$505,AT$3,実績!$AC$6:$AC$505,"&lt;="&amp;$A135,実績!$AD$6:$AD$505,"&gt;"&amp;$A135,実績!$AE$6:$AE$505,"○")&gt;0,1,0))</f>
        <v/>
      </c>
      <c r="AU135">
        <f>IF(AU$4=0,0,IF(COUNTIFS(実績!$W$6:$W$505,AU$3,実績!$AC$6:$AC$505,"&lt;="&amp;$A135,実績!$AD$6:$AD$505,"&gt;"&amp;$A135,実績!$AE$6:$AE$505,"○")&gt;0,1,0))</f>
        <v/>
      </c>
      <c r="AV135">
        <f>IF(AV$4=0,0,IF(COUNTIFS(実績!$W$6:$W$505,AV$3,実績!$AC$6:$AC$505,"&lt;="&amp;$A135,実績!$AD$6:$AD$505,"&gt;"&amp;$A135,実績!$AE$6:$AE$505,"○")&gt;0,1,0))</f>
        <v/>
      </c>
      <c r="AW135">
        <f>IF(AW$4=0,0,IF(COUNTIFS(実績!$W$6:$W$505,AW$3,実績!$AC$6:$AC$505,"&lt;="&amp;$A135,実績!$AD$6:$AD$505,"&gt;"&amp;$A135,実績!$AE$6:$AE$505,"○")&gt;0,1,0))</f>
        <v/>
      </c>
      <c r="AX135">
        <f>IF(AX$4=0,0,IF(COUNTIFS(実績!$W$6:$W$505,AX$3,実績!$AC$6:$AC$505,"&lt;="&amp;$A135,実績!$AD$6:$AD$505,"&gt;"&amp;$A135,実績!$AE$6:$AE$505,"○")&gt;0,1,0))</f>
        <v/>
      </c>
      <c r="AY135">
        <f>IF(AY$4=0,0,IF(COUNTIFS(実績!$W$6:$W$505,AY$3,実績!$AC$6:$AC$505,"&lt;="&amp;$A135,実績!$AD$6:$AD$505,"&gt;"&amp;$A135,実績!$AE$6:$AE$505,"○")&gt;0,1,0))</f>
        <v/>
      </c>
      <c r="AZ135">
        <f>IF(AZ$4=0,0,IF(COUNTIFS(実績!$W$6:$W$505,AZ$3,実績!$AC$6:$AC$505,"&lt;="&amp;$A135,実績!$AD$6:$AD$505,"&gt;"&amp;$A135,実績!$AE$6:$AE$505,"○")&gt;0,1,0))</f>
        <v/>
      </c>
      <c r="BA135">
        <f>IF(BA$4=0,0,IF(COUNTIFS(実績!$W$6:$W$505,BA$3,実績!$AC$6:$AC$505,"&lt;="&amp;$A135,実績!$AD$6:$AD$505,"&gt;"&amp;$A135,実績!$AE$6:$AE$505,"○")&gt;0,1,0))</f>
        <v/>
      </c>
      <c r="BB135">
        <f>IF(BB$4=0,0,IF(COUNTIFS(実績!$W$6:$W$505,BB$3,実績!$AC$6:$AC$505,"&lt;="&amp;$A135,実績!$AD$6:$AD$505,"&gt;"&amp;$A135,実績!$AE$6:$AE$505,"○")&gt;0,1,0))</f>
        <v/>
      </c>
      <c r="BC135">
        <f>IF(BC$4=0,0,IF(COUNTIFS(実績!$W$6:$W$505,BC$3,実績!$AC$6:$AC$505,"&lt;="&amp;$A135,実績!$AD$6:$AD$505,"&gt;"&amp;$A135,実績!$AE$6:$AE$505,"○")&gt;0,1,0))</f>
        <v/>
      </c>
      <c r="BD135">
        <f>IF(BD$4=0,0,IF(COUNTIFS(実績!$W$6:$W$505,BD$3,実績!$AC$6:$AC$505,"&lt;="&amp;$A135,実績!$AD$6:$AD$505,"&gt;"&amp;$A135,実績!$AE$6:$AE$505,"○")&gt;0,1,0))</f>
        <v/>
      </c>
      <c r="BE135">
        <f>IF(BE$4=0,0,IF(COUNTIFS(実績!$W$6:$W$505,BE$3,実績!$AC$6:$AC$505,"&lt;="&amp;$A135,実績!$AD$6:$AD$505,"&gt;"&amp;$A135,実績!$AE$6:$AE$505,"○")&gt;0,1,0))</f>
        <v/>
      </c>
      <c r="BF135">
        <f>IF(BF$4=0,0,IF(COUNTIFS(実績!$W$6:$W$505,BF$3,実績!$AC$6:$AC$505,"&lt;="&amp;$A135,実績!$AD$6:$AD$505,"&gt;"&amp;$A135,実績!$AE$6:$AE$505,"○")&gt;0,1,0))</f>
        <v/>
      </c>
      <c r="BG135">
        <f>IF(BG$4=0,0,IF(COUNTIFS(実績!$W$6:$W$505,BG$3,実績!$AC$6:$AC$505,"&lt;="&amp;$A135,実績!$AD$6:$AD$505,"&gt;"&amp;$A135,実績!$AE$6:$AE$505,"○")&gt;0,1,0))</f>
        <v/>
      </c>
      <c r="BH135">
        <f>IF(BH$4=0,0,IF(COUNTIFS(実績!$W$6:$W$505,BH$3,実績!$AC$6:$AC$505,"&lt;="&amp;$A135,実績!$AD$6:$AD$505,"&gt;"&amp;$A135,実績!$AE$6:$AE$505,"○")&gt;0,1,0))</f>
        <v/>
      </c>
      <c r="BI135">
        <f>IF(BI$4=0,0,IF(COUNTIFS(実績!$W$6:$W$505,BI$3,実績!$AC$6:$AC$505,"&lt;="&amp;$A135,実績!$AD$6:$AD$505,"&gt;"&amp;$A135,実績!$AE$6:$AE$505,"○")&gt;0,1,0))</f>
        <v/>
      </c>
      <c r="BJ135">
        <f>IF(BJ$4=0,0,IF(COUNTIFS(実績!$W$6:$W$505,BJ$3,実績!$AC$6:$AC$505,"&lt;="&amp;$A135,実績!$AD$6:$AD$505,"&gt;"&amp;$A135,実績!$AE$6:$AE$505,"○")&gt;0,1,0))</f>
        <v/>
      </c>
      <c r="BK135">
        <f>IF(BK$4=0,0,IF(COUNTIFS(実績!$W$6:$W$505,BK$3,実績!$AC$6:$AC$505,"&lt;="&amp;$A135,実績!$AD$6:$AD$505,"&gt;"&amp;$A135,実績!$AE$6:$AE$505,"○")&gt;0,1,0))</f>
        <v/>
      </c>
      <c r="BL135">
        <f>IF(BL$4=0,0,IF(COUNTIFS(実績!$W$6:$W$505,BL$3,実績!$AC$6:$AC$505,"&lt;="&amp;$A135,実績!$AD$6:$AD$505,"&gt;"&amp;$A135,実績!$AE$6:$AE$505,"○")&gt;0,1,0))</f>
        <v/>
      </c>
      <c r="BM135">
        <f>IF(BM$4=0,0,IF(COUNTIFS(実績!$W$6:$W$505,BM$3,実績!$AC$6:$AC$505,"&lt;="&amp;$A135,実績!$AD$6:$AD$505,"&gt;"&amp;$A135,実績!$AE$6:$AE$505,"○")&gt;0,1,0))</f>
        <v/>
      </c>
      <c r="BN135">
        <f>IF(BN$4=0,0,IF(COUNTIFS(実績!$W$6:$W$505,BN$3,実績!$AC$6:$AC$505,"&lt;="&amp;$A135,実績!$AD$6:$AD$505,"&gt;"&amp;$A135,実績!$AE$6:$AE$505,"○")&gt;0,1,0))</f>
        <v/>
      </c>
      <c r="BO135">
        <f>IF(BO$4=0,0,IF(COUNTIFS(実績!$W$6:$W$505,BO$3,実績!$AC$6:$AC$505,"&lt;="&amp;$A135,実績!$AD$6:$AD$505,"&gt;"&amp;$A135,実績!$AE$6:$AE$505,"○")&gt;0,1,0))</f>
        <v/>
      </c>
      <c r="BP135">
        <f>IF(BP$4=0,0,IF(COUNTIFS(実績!$W$6:$W$505,BP$3,実績!$AC$6:$AC$505,"&lt;="&amp;$A135,実績!$AD$6:$AD$505,"&gt;"&amp;$A135,実績!$AE$6:$AE$505,"○")&gt;0,1,0))</f>
        <v/>
      </c>
      <c r="BQ135">
        <f>IF(BQ$4=0,0,IF(COUNTIFS(実績!$W$6:$W$505,BQ$3,実績!$AC$6:$AC$505,"&lt;="&amp;$A135,実績!$AD$6:$AD$505,"&gt;"&amp;$A135,実績!$AE$6:$AE$505,"○")&gt;0,1,0))</f>
        <v/>
      </c>
      <c r="BR135">
        <f>IF(BR$4=0,0,IF(COUNTIFS(実績!$W$6:$W$505,BR$3,実績!$AC$6:$AC$505,"&lt;="&amp;$A135,実績!$AD$6:$AD$505,"&gt;"&amp;$A135,実績!$AE$6:$AE$505,"○")&gt;0,1,0))</f>
        <v/>
      </c>
      <c r="BS135">
        <f>IF(BS$4=0,0,IF(COUNTIFS(実績!$W$6:$W$505,BS$3,実績!$AC$6:$AC$505,"&lt;="&amp;$A135,実績!$AD$6:$AD$505,"&gt;"&amp;$A135,実績!$AE$6:$AE$505,"○")&gt;0,1,0))</f>
        <v/>
      </c>
      <c r="BT135">
        <f>IF(BT$4=0,0,IF(COUNTIFS(実績!$W$6:$W$505,BT$3,実績!$AC$6:$AC$505,"&lt;="&amp;$A135,実績!$AD$6:$AD$505,"&gt;"&amp;$A135,実績!$AE$6:$AE$505,"○")&gt;0,1,0))</f>
        <v/>
      </c>
      <c r="BU135">
        <f>IF(BU$4=0,0,IF(COUNTIFS(実績!$W$6:$W$505,BU$3,実績!$AC$6:$AC$505,"&lt;="&amp;$A135,実績!$AD$6:$AD$505,"&gt;"&amp;$A135,実績!$AE$6:$AE$505,"○")&gt;0,1,0))</f>
        <v/>
      </c>
      <c r="BV135">
        <f>IF(BV$4=0,0,IF(COUNTIFS(実績!$W$6:$W$505,BV$3,実績!$AC$6:$AC$505,"&lt;="&amp;$A135,実績!$AD$6:$AD$505,"&gt;"&amp;$A135,実績!$AE$6:$AE$505,"○")&gt;0,1,0))</f>
        <v/>
      </c>
      <c r="BW135">
        <f>IF(BW$4=0,0,IF(COUNTIFS(実績!$W$6:$W$505,BW$3,実績!$AC$6:$AC$505,"&lt;="&amp;$A135,実績!$AD$6:$AD$505,"&gt;"&amp;$A135,実績!$AE$6:$AE$505,"○")&gt;0,1,0))</f>
        <v/>
      </c>
      <c r="BX135">
        <f>IF(BX$4=0,0,IF(COUNTIFS(実績!$W$6:$W$505,BX$3,実績!$AC$6:$AC$505,"&lt;="&amp;$A135,実績!$AD$6:$AD$505,"&gt;"&amp;$A135,実績!$AE$6:$AE$505,"○")&gt;0,1,0))</f>
        <v/>
      </c>
      <c r="BY135">
        <f>IF(BY$4=0,0,IF(COUNTIFS(実績!$W$6:$W$505,BY$3,実績!$AC$6:$AC$505,"&lt;="&amp;$A135,実績!$AD$6:$AD$505,"&gt;"&amp;$A135,実績!$AE$6:$AE$505,"○")&gt;0,1,0))</f>
        <v/>
      </c>
      <c r="BZ135">
        <f>IF(BZ$4=0,0,IF(COUNTIFS(実績!$W$6:$W$505,BZ$3,実績!$AC$6:$AC$505,"&lt;="&amp;$A135,実績!$AD$6:$AD$505,"&gt;"&amp;$A135,実績!$AE$6:$AE$505,"○")&gt;0,1,0))</f>
        <v/>
      </c>
      <c r="CA135">
        <f>IF(CA$4=0,0,IF(COUNTIFS(実績!$W$6:$W$505,CA$3,実績!$AC$6:$AC$505,"&lt;="&amp;$A135,実績!$AD$6:$AD$505,"&gt;"&amp;$A135,実績!$AE$6:$AE$505,"○")&gt;0,1,0))</f>
        <v/>
      </c>
      <c r="CB135">
        <f>IF(CB$4=0,0,IF(COUNTIFS(実績!$W$6:$W$505,CB$3,実績!$AC$6:$AC$505,"&lt;="&amp;$A135,実績!$AD$6:$AD$505,"&gt;"&amp;$A135,実績!$AE$6:$AE$505,"○")&gt;0,1,0))</f>
        <v/>
      </c>
      <c r="CC135">
        <f>IF(CC$4=0,0,IF(COUNTIFS(実績!$W$6:$W$505,CC$3,実績!$AC$6:$AC$505,"&lt;="&amp;$A135,実績!$AD$6:$AD$505,"&gt;"&amp;$A135,実績!$AE$6:$AE$505,"○")&gt;0,1,0))</f>
        <v/>
      </c>
      <c r="CD135">
        <f>IF(CD$4=0,0,IF(COUNTIFS(実績!$W$6:$W$505,CD$3,実績!$AC$6:$AC$505,"&lt;="&amp;$A135,実績!$AD$6:$AD$505,"&gt;"&amp;$A135,実績!$AE$6:$AE$505,"○")&gt;0,1,0))</f>
        <v/>
      </c>
      <c r="CE135">
        <f>IF(CE$4=0,0,IF(COUNTIFS(実績!$W$6:$W$505,CE$3,実績!$AC$6:$AC$505,"&lt;="&amp;$A135,実績!$AD$6:$AD$505,"&gt;"&amp;$A135,実績!$AE$6:$AE$505,"○")&gt;0,1,0))</f>
        <v/>
      </c>
      <c r="CF135">
        <f>IF(CF$4=0,0,IF(COUNTIFS(実績!$W$6:$W$505,CF$3,実績!$AC$6:$AC$505,"&lt;="&amp;$A135,実績!$AD$6:$AD$505,"&gt;"&amp;$A135,実績!$AE$6:$AE$505,"○")&gt;0,1,0))</f>
        <v/>
      </c>
      <c r="CG135">
        <f>IF(CG$4=0,0,IF(COUNTIFS(実績!$W$6:$W$505,CG$3,実績!$AC$6:$AC$505,"&lt;="&amp;$A135,実績!$AD$6:$AD$505,"&gt;"&amp;$A135,実績!$AE$6:$AE$505,"○")&gt;0,1,0))</f>
        <v/>
      </c>
      <c r="CH135">
        <f>IF(CH$4=0,0,IF(COUNTIFS(実績!$W$6:$W$505,CH$3,実績!$AC$6:$AC$505,"&lt;="&amp;$A135,実績!$AD$6:$AD$505,"&gt;"&amp;$A135,実績!$AE$6:$AE$505,"○")&gt;0,1,0))</f>
        <v/>
      </c>
      <c r="CI135">
        <f>IF(CI$4=0,0,IF(COUNTIFS(実績!$W$6:$W$505,CI$3,実績!$AC$6:$AC$505,"&lt;="&amp;$A135,実績!$AD$6:$AD$505,"&gt;"&amp;$A135,実績!$AE$6:$AE$505,"○")&gt;0,1,0))</f>
        <v/>
      </c>
      <c r="CJ135">
        <f>IF(CJ$4=0,0,IF(COUNTIFS(実績!$W$6:$W$505,CJ$3,実績!$AC$6:$AC$505,"&lt;="&amp;$A135,実績!$AD$6:$AD$505,"&gt;"&amp;$A135,実績!$AE$6:$AE$505,"○")&gt;0,1,0))</f>
        <v/>
      </c>
      <c r="CK135">
        <f>IF(CK$4=0,0,IF(COUNTIFS(実績!$W$6:$W$505,CK$3,実績!$AC$6:$AC$505,"&lt;="&amp;$A135,実績!$AD$6:$AD$505,"&gt;"&amp;$A135,実績!$AE$6:$AE$505,"○")&gt;0,1,0))</f>
        <v/>
      </c>
      <c r="CL135">
        <f>IF(CL$4=0,0,IF(COUNTIFS(実績!$W$6:$W$505,CL$3,実績!$AC$6:$AC$505,"&lt;="&amp;$A135,実績!$AD$6:$AD$505,"&gt;"&amp;$A135,実績!$AE$6:$AE$505,"○")&gt;0,1,0))</f>
        <v/>
      </c>
      <c r="CM135">
        <f>IF(CM$4=0,0,IF(COUNTIFS(実績!$W$6:$W$505,CM$3,実績!$AC$6:$AC$505,"&lt;="&amp;$A135,実績!$AD$6:$AD$505,"&gt;"&amp;$A135,実績!$AE$6:$AE$505,"○")&gt;0,1,0))</f>
        <v/>
      </c>
      <c r="CN135">
        <f>IF(CN$4=0,0,IF(COUNTIFS(実績!$W$6:$W$505,CN$3,実績!$AC$6:$AC$505,"&lt;="&amp;$A135,実績!$AD$6:$AD$505,"&gt;"&amp;$A135,実績!$AE$6:$AE$505,"○")&gt;0,1,0))</f>
        <v/>
      </c>
      <c r="CO135">
        <f>IF(CO$4=0,0,IF(COUNTIFS(実績!$W$6:$W$505,CO$3,実績!$AC$6:$AC$505,"&lt;="&amp;$A135,実績!$AD$6:$AD$505,"&gt;"&amp;$A135,実績!$AE$6:$AE$505,"○")&gt;0,1,0))</f>
        <v/>
      </c>
      <c r="CP135">
        <f>IF(CP$4=0,0,IF(COUNTIFS(実績!$W$6:$W$505,CP$3,実績!$AC$6:$AC$505,"&lt;="&amp;$A135,実績!$AD$6:$AD$505,"&gt;"&amp;$A135,実績!$AE$6:$AE$505,"○")&gt;0,1,0))</f>
        <v/>
      </c>
      <c r="CQ135">
        <f>IF(CQ$4=0,0,IF(COUNTIFS(実績!$W$6:$W$505,CQ$3,実績!$AC$6:$AC$505,"&lt;="&amp;$A135,実績!$AD$6:$AD$505,"&gt;"&amp;$A135,実績!$AE$6:$AE$505,"○")&gt;0,1,0))</f>
        <v/>
      </c>
      <c r="CR135">
        <f>IF(CR$4=0,0,IF(COUNTIFS(実績!$W$6:$W$505,CR$3,実績!$AC$6:$AC$505,"&lt;="&amp;$A135,実績!$AD$6:$AD$505,"&gt;"&amp;$A135,実績!$AE$6:$AE$505,"○")&gt;0,1,0))</f>
        <v/>
      </c>
      <c r="CS135">
        <f>IF(CS$4=0,0,IF(COUNTIFS(実績!$W$6:$W$505,CS$3,実績!$AC$6:$AC$505,"&lt;="&amp;$A135,実績!$AD$6:$AD$505,"&gt;"&amp;$A135,実績!$AE$6:$AE$505,"○")&gt;0,1,0))</f>
        <v/>
      </c>
      <c r="CT135">
        <f>IF(CT$4=0,0,IF(COUNTIFS(実績!$W$6:$W$505,CT$3,実績!$AC$6:$AC$505,"&lt;="&amp;$A135,実績!$AD$6:$AD$505,"&gt;"&amp;$A135,実績!$AE$6:$AE$505,"○")&gt;0,1,0))</f>
        <v/>
      </c>
      <c r="CU135">
        <f>IF(CU$4=0,0,IF(COUNTIFS(実績!$W$6:$W$505,CU$3,実績!$AC$6:$AC$505,"&lt;="&amp;$A135,実績!$AD$6:$AD$505,"&gt;"&amp;$A135,実績!$AE$6:$AE$505,"○")&gt;0,1,0))</f>
        <v/>
      </c>
      <c r="CV135">
        <f>IF(CV$4=0,0,IF(COUNTIFS(実績!$W$6:$W$505,CV$3,実績!$AC$6:$AC$505,"&lt;="&amp;$A135,実績!$AD$6:$AD$505,"&gt;"&amp;$A135,実績!$AE$6:$AE$505,"○")&gt;0,1,0))</f>
        <v/>
      </c>
      <c r="CW135">
        <f>IF(CW$4=0,0,IF(COUNTIFS(実績!$W$6:$W$505,CW$3,実績!$AC$6:$AC$505,"&lt;="&amp;$A135,実績!$AD$6:$AD$505,"&gt;"&amp;$A135,実績!$AE$6:$AE$505,"○")&gt;0,1,0))</f>
        <v/>
      </c>
      <c r="CX135">
        <f>IF(CX$4=0,0,IF(COUNTIFS(実績!$W$6:$W$505,CX$3,実績!$AC$6:$AC$505,"&lt;="&amp;$A135,実績!$AD$6:$AD$505,"&gt;"&amp;$A135,実績!$AE$6:$AE$505,"○")&gt;0,1,0))</f>
        <v/>
      </c>
      <c r="CY135">
        <f>IF(CY$4=0,0,IF(COUNTIFS(実績!$W$6:$W$505,CY$3,実績!$AC$6:$AC$505,"&lt;="&amp;$A135,実績!$AD$6:$AD$505,"&gt;"&amp;$A135,実績!$AE$6:$AE$505,"○")&gt;0,1,0))</f>
        <v/>
      </c>
      <c r="CZ135">
        <f>IF(CZ$4=0,0,IF(COUNTIFS(実績!$W$6:$W$505,CZ$3,実績!$AC$6:$AC$505,"&lt;="&amp;$A135,実績!$AD$6:$AD$505,"&gt;"&amp;$A135,実績!$AE$6:$AE$505,"○")&gt;0,1,0))</f>
        <v/>
      </c>
      <c r="DA135">
        <f>IF(DA$4=0,0,IF(COUNTIFS(実績!$W$6:$W$505,DA$3,実績!$AC$6:$AC$505,"&lt;="&amp;$A135,実績!$AD$6:$AD$505,"&gt;"&amp;$A135,実績!$AE$6:$AE$505,"○")&gt;0,1,0))</f>
        <v/>
      </c>
      <c r="DB135">
        <f>IF(DB$4=0,0,IF(COUNTIFS(実績!$W$6:$W$505,DB$3,実績!$AC$6:$AC$505,"&lt;="&amp;$A135,実績!$AD$6:$AD$505,"&gt;"&amp;$A135,実績!$AE$6:$AE$505,"○")&gt;0,1,0))</f>
        <v/>
      </c>
      <c r="DC135">
        <f>IF(DC$4=0,0,IF(COUNTIFS(実績!$W$6:$W$505,DC$3,実績!$AC$6:$AC$505,"&lt;="&amp;$A135,実績!$AD$6:$AD$505,"&gt;"&amp;$A135,実績!$AE$6:$AE$505,"○")&gt;0,1,0))</f>
        <v/>
      </c>
      <c r="DD135">
        <f>IF(DD$4=0,0,IF(COUNTIFS(実績!$W$6:$W$505,DD$3,実績!$AC$6:$AC$505,"&lt;="&amp;$A135,実績!$AD$6:$AD$505,"&gt;"&amp;$A135,実績!$AE$6:$AE$505,"○")&gt;0,1,0))</f>
        <v/>
      </c>
      <c r="DE135">
        <f>IF(DE$4=0,0,IF(COUNTIFS(実績!$W$6:$W$505,DE$3,実績!$AC$6:$AC$505,"&lt;="&amp;$A135,実績!$AD$6:$AD$505,"&gt;"&amp;$A135,実績!$AE$6:$AE$505,"○")&gt;0,1,0))</f>
        <v/>
      </c>
      <c r="DF135">
        <f>IF(DF$4=0,0,IF(COUNTIFS(実績!$W$6:$W$505,DF$3,実績!$AC$6:$AC$505,"&lt;="&amp;$A135,実績!$AD$6:$AD$505,"&gt;"&amp;$A135,実績!$AE$6:$AE$505,"○")&gt;0,1,0))</f>
        <v/>
      </c>
      <c r="DG135">
        <f>IF(DG$4=0,0,IF(COUNTIFS(実績!$W$6:$W$505,DG$3,実績!$AC$6:$AC$505,"&lt;="&amp;$A135,実績!$AD$6:$AD$505,"&gt;"&amp;$A135,実績!$AE$6:$AE$505,"○")&gt;0,1,0))</f>
        <v/>
      </c>
      <c r="DH135">
        <f>IF(DH$4=0,0,IF(COUNTIFS(実績!$W$6:$W$505,DH$3,実績!$AC$6:$AC$505,"&lt;="&amp;$A135,実績!$AD$6:$AD$505,"&gt;"&amp;$A135,実績!$AE$6:$AE$505,"○")&gt;0,1,0))</f>
        <v/>
      </c>
      <c r="DI135">
        <f>IF(DI$4=0,0,IF(COUNTIFS(実績!$W$6:$W$505,DI$3,実績!$AC$6:$AC$505,"&lt;="&amp;$A135,実績!$AD$6:$AD$505,"&gt;"&amp;$A135,実績!$AE$6:$AE$505,"○")&gt;0,1,0))</f>
        <v/>
      </c>
      <c r="DJ135">
        <f>IF(DJ$4=0,0,IF(COUNTIFS(実績!$W$6:$W$505,DJ$3,実績!$AC$6:$AC$505,"&lt;="&amp;$A135,実績!$AD$6:$AD$505,"&gt;"&amp;$A135,実績!$AE$6:$AE$505,"○")&gt;0,1,0))</f>
        <v/>
      </c>
      <c r="DK135">
        <f>IF(DK$4=0,0,IF(COUNTIFS(実績!$W$6:$W$505,DK$3,実績!$AC$6:$AC$505,"&lt;="&amp;$A135,実績!$AD$6:$AD$505,"&gt;"&amp;$A135,実績!$AE$6:$AE$505,"○")&gt;0,1,0))</f>
        <v/>
      </c>
      <c r="DL135">
        <f>IF(DL$4=0,0,IF(COUNTIFS(実績!$W$6:$W$505,DL$3,実績!$AC$6:$AC$505,"&lt;="&amp;$A135,実績!$AD$6:$AD$505,"&gt;"&amp;$A135,実績!$AE$6:$AE$505,"○")&gt;0,1,0))</f>
        <v/>
      </c>
      <c r="DM135">
        <f>IF(DM$4=0,0,IF(COUNTIFS(実績!$W$6:$W$505,DM$3,実績!$AC$6:$AC$505,"&lt;="&amp;$A135,実績!$AD$6:$AD$505,"&gt;"&amp;$A135,実績!$AE$6:$AE$505,"○")&gt;0,1,0))</f>
        <v/>
      </c>
      <c r="DN135">
        <f>IF(DN$4=0,0,IF(COUNTIFS(実績!$W$6:$W$505,DN$3,実績!$AC$6:$AC$505,"&lt;="&amp;$A135,実績!$AD$6:$AD$505,"&gt;"&amp;$A135,実績!$AE$6:$AE$505,"○")&gt;0,1,0))</f>
        <v/>
      </c>
      <c r="DO135">
        <f>IF(DO$4=0,0,IF(COUNTIFS(実績!$W$6:$W$505,DO$3,実績!$AC$6:$AC$505,"&lt;="&amp;$A135,実績!$AD$6:$AD$505,"&gt;"&amp;$A135,実績!$AE$6:$AE$505,"○")&gt;0,1,0))</f>
        <v/>
      </c>
      <c r="DP135">
        <f>IF(DP$4=0,0,IF(COUNTIFS(実績!$W$6:$W$505,DP$3,実績!$AC$6:$AC$505,"&lt;="&amp;$A135,実績!$AD$6:$AD$505,"&gt;"&amp;$A135,実績!$AE$6:$AE$505,"○")&gt;0,1,0))</f>
        <v/>
      </c>
      <c r="DQ135">
        <f>IF(DQ$4=0,0,IF(COUNTIFS(実績!$W$6:$W$505,DQ$3,実績!$AC$6:$AC$505,"&lt;="&amp;$A135,実績!$AD$6:$AD$505,"&gt;"&amp;$A135,実績!$AE$6:$AE$505,"○")&gt;0,1,0))</f>
        <v/>
      </c>
      <c r="DR135">
        <f>IF(DR$4=0,0,IF(COUNTIFS(実績!$W$6:$W$505,DR$3,実績!$AC$6:$AC$505,"&lt;="&amp;$A135,実績!$AD$6:$AD$505,"&gt;"&amp;$A135,実績!$AE$6:$AE$505,"○")&gt;0,1,0))</f>
        <v/>
      </c>
      <c r="DS135">
        <f>SUM(C135:DR135)</f>
        <v/>
      </c>
      <c r="DT135">
        <f>SUMPRODUCT((実績!$C$6:$C$505="○")*ISNUMBER(実績!$AF$6:$AF$505)*(実績!$AF$6:$AF$505&lt;=$A135)*(実績!$AG$6:$AG$505&gt;$A135))</f>
        <v/>
      </c>
      <c r="DU135">
        <f>SUMIF($C$2:$DR$2,"製鉄曳船",C135:DR135)</f>
        <v/>
      </c>
      <c r="DV135">
        <f>SUMIF($C$2:$DR$2,"西日本海運",C135:DR135)</f>
        <v/>
      </c>
    </row>
    <row r="136">
      <c r="A136" t="n">
        <v>650</v>
      </c>
      <c r="B136" s="29">
        <f>A136/1440</f>
        <v/>
      </c>
      <c r="C136">
        <f>IF(C$4=0,0,IF(COUNTIFS(実績!$W$6:$W$505,C$3,実績!$AC$6:$AC$505,"&lt;="&amp;$A136,実績!$AD$6:$AD$505,"&gt;"&amp;$A136,実績!$AE$6:$AE$505,"○")&gt;0,1,0))</f>
        <v/>
      </c>
      <c r="D136">
        <f>IF(D$4=0,0,IF(COUNTIFS(実績!$W$6:$W$505,D$3,実績!$AC$6:$AC$505,"&lt;="&amp;$A136,実績!$AD$6:$AD$505,"&gt;"&amp;$A136,実績!$AE$6:$AE$505,"○")&gt;0,1,0))</f>
        <v/>
      </c>
      <c r="E136">
        <f>IF(E$4=0,0,IF(COUNTIFS(実績!$W$6:$W$505,E$3,実績!$AC$6:$AC$505,"&lt;="&amp;$A136,実績!$AD$6:$AD$505,"&gt;"&amp;$A136,実績!$AE$6:$AE$505,"○")&gt;0,1,0))</f>
        <v/>
      </c>
      <c r="F136">
        <f>IF(F$4=0,0,IF(COUNTIFS(実績!$W$6:$W$505,F$3,実績!$AC$6:$AC$505,"&lt;="&amp;$A136,実績!$AD$6:$AD$505,"&gt;"&amp;$A136,実績!$AE$6:$AE$505,"○")&gt;0,1,0))</f>
        <v/>
      </c>
      <c r="G136">
        <f>IF(G$4=0,0,IF(COUNTIFS(実績!$W$6:$W$505,G$3,実績!$AC$6:$AC$505,"&lt;="&amp;$A136,実績!$AD$6:$AD$505,"&gt;"&amp;$A136,実績!$AE$6:$AE$505,"○")&gt;0,1,0))</f>
        <v/>
      </c>
      <c r="H136">
        <f>IF(H$4=0,0,IF(COUNTIFS(実績!$W$6:$W$505,H$3,実績!$AC$6:$AC$505,"&lt;="&amp;$A136,実績!$AD$6:$AD$505,"&gt;"&amp;$A136,実績!$AE$6:$AE$505,"○")&gt;0,1,0))</f>
        <v/>
      </c>
      <c r="I136">
        <f>IF(I$4=0,0,IF(COUNTIFS(実績!$W$6:$W$505,I$3,実績!$AC$6:$AC$505,"&lt;="&amp;$A136,実績!$AD$6:$AD$505,"&gt;"&amp;$A136,実績!$AE$6:$AE$505,"○")&gt;0,1,0))</f>
        <v/>
      </c>
      <c r="J136">
        <f>IF(J$4=0,0,IF(COUNTIFS(実績!$W$6:$W$505,J$3,実績!$AC$6:$AC$505,"&lt;="&amp;$A136,実績!$AD$6:$AD$505,"&gt;"&amp;$A136,実績!$AE$6:$AE$505,"○")&gt;0,1,0))</f>
        <v/>
      </c>
      <c r="K136">
        <f>IF(K$4=0,0,IF(COUNTIFS(実績!$W$6:$W$505,K$3,実績!$AC$6:$AC$505,"&lt;="&amp;$A136,実績!$AD$6:$AD$505,"&gt;"&amp;$A136,実績!$AE$6:$AE$505,"○")&gt;0,1,0))</f>
        <v/>
      </c>
      <c r="L136">
        <f>IF(L$4=0,0,IF(COUNTIFS(実績!$W$6:$W$505,L$3,実績!$AC$6:$AC$505,"&lt;="&amp;$A136,実績!$AD$6:$AD$505,"&gt;"&amp;$A136,実績!$AE$6:$AE$505,"○")&gt;0,1,0))</f>
        <v/>
      </c>
      <c r="M136">
        <f>IF(M$4=0,0,IF(COUNTIFS(実績!$W$6:$W$505,M$3,実績!$AC$6:$AC$505,"&lt;="&amp;$A136,実績!$AD$6:$AD$505,"&gt;"&amp;$A136,実績!$AE$6:$AE$505,"○")&gt;0,1,0))</f>
        <v/>
      </c>
      <c r="N136">
        <f>IF(N$4=0,0,IF(COUNTIFS(実績!$W$6:$W$505,N$3,実績!$AC$6:$AC$505,"&lt;="&amp;$A136,実績!$AD$6:$AD$505,"&gt;"&amp;$A136,実績!$AE$6:$AE$505,"○")&gt;0,1,0))</f>
        <v/>
      </c>
      <c r="O136">
        <f>IF(O$4=0,0,IF(COUNTIFS(実績!$W$6:$W$505,O$3,実績!$AC$6:$AC$505,"&lt;="&amp;$A136,実績!$AD$6:$AD$505,"&gt;"&amp;$A136,実績!$AE$6:$AE$505,"○")&gt;0,1,0))</f>
        <v/>
      </c>
      <c r="P136">
        <f>IF(P$4=0,0,IF(COUNTIFS(実績!$W$6:$W$505,P$3,実績!$AC$6:$AC$505,"&lt;="&amp;$A136,実績!$AD$6:$AD$505,"&gt;"&amp;$A136,実績!$AE$6:$AE$505,"○")&gt;0,1,0))</f>
        <v/>
      </c>
      <c r="Q136">
        <f>IF(Q$4=0,0,IF(COUNTIFS(実績!$W$6:$W$505,Q$3,実績!$AC$6:$AC$505,"&lt;="&amp;$A136,実績!$AD$6:$AD$505,"&gt;"&amp;$A136,実績!$AE$6:$AE$505,"○")&gt;0,1,0))</f>
        <v/>
      </c>
      <c r="R136">
        <f>IF(R$4=0,0,IF(COUNTIFS(実績!$W$6:$W$505,R$3,実績!$AC$6:$AC$505,"&lt;="&amp;$A136,実績!$AD$6:$AD$505,"&gt;"&amp;$A136,実績!$AE$6:$AE$505,"○")&gt;0,1,0))</f>
        <v/>
      </c>
      <c r="S136">
        <f>IF(S$4=0,0,IF(COUNTIFS(実績!$W$6:$W$505,S$3,実績!$AC$6:$AC$505,"&lt;="&amp;$A136,実績!$AD$6:$AD$505,"&gt;"&amp;$A136,実績!$AE$6:$AE$505,"○")&gt;0,1,0))</f>
        <v/>
      </c>
      <c r="T136">
        <f>IF(T$4=0,0,IF(COUNTIFS(実績!$W$6:$W$505,T$3,実績!$AC$6:$AC$505,"&lt;="&amp;$A136,実績!$AD$6:$AD$505,"&gt;"&amp;$A136,実績!$AE$6:$AE$505,"○")&gt;0,1,0))</f>
        <v/>
      </c>
      <c r="U136">
        <f>IF(U$4=0,0,IF(COUNTIFS(実績!$W$6:$W$505,U$3,実績!$AC$6:$AC$505,"&lt;="&amp;$A136,実績!$AD$6:$AD$505,"&gt;"&amp;$A136,実績!$AE$6:$AE$505,"○")&gt;0,1,0))</f>
        <v/>
      </c>
      <c r="V136">
        <f>IF(V$4=0,0,IF(COUNTIFS(実績!$W$6:$W$505,V$3,実績!$AC$6:$AC$505,"&lt;="&amp;$A136,実績!$AD$6:$AD$505,"&gt;"&amp;$A136,実績!$AE$6:$AE$505,"○")&gt;0,1,0))</f>
        <v/>
      </c>
      <c r="W136">
        <f>IF(W$4=0,0,IF(COUNTIFS(実績!$W$6:$W$505,W$3,実績!$AC$6:$AC$505,"&lt;="&amp;$A136,実績!$AD$6:$AD$505,"&gt;"&amp;$A136,実績!$AE$6:$AE$505,"○")&gt;0,1,0))</f>
        <v/>
      </c>
      <c r="X136">
        <f>IF(X$4=0,0,IF(COUNTIFS(実績!$W$6:$W$505,X$3,実績!$AC$6:$AC$505,"&lt;="&amp;$A136,実績!$AD$6:$AD$505,"&gt;"&amp;$A136,実績!$AE$6:$AE$505,"○")&gt;0,1,0))</f>
        <v/>
      </c>
      <c r="Y136">
        <f>IF(Y$4=0,0,IF(COUNTIFS(実績!$W$6:$W$505,Y$3,実績!$AC$6:$AC$505,"&lt;="&amp;$A136,実績!$AD$6:$AD$505,"&gt;"&amp;$A136,実績!$AE$6:$AE$505,"○")&gt;0,1,0))</f>
        <v/>
      </c>
      <c r="Z136">
        <f>IF(Z$4=0,0,IF(COUNTIFS(実績!$W$6:$W$505,Z$3,実績!$AC$6:$AC$505,"&lt;="&amp;$A136,実績!$AD$6:$AD$505,"&gt;"&amp;$A136,実績!$AE$6:$AE$505,"○")&gt;0,1,0))</f>
        <v/>
      </c>
      <c r="AA136">
        <f>IF(AA$4=0,0,IF(COUNTIFS(実績!$W$6:$W$505,AA$3,実績!$AC$6:$AC$505,"&lt;="&amp;$A136,実績!$AD$6:$AD$505,"&gt;"&amp;$A136,実績!$AE$6:$AE$505,"○")&gt;0,1,0))</f>
        <v/>
      </c>
      <c r="AB136">
        <f>IF(AB$4=0,0,IF(COUNTIFS(実績!$W$6:$W$505,AB$3,実績!$AC$6:$AC$505,"&lt;="&amp;$A136,実績!$AD$6:$AD$505,"&gt;"&amp;$A136,実績!$AE$6:$AE$505,"○")&gt;0,1,0))</f>
        <v/>
      </c>
      <c r="AC136">
        <f>IF(AC$4=0,0,IF(COUNTIFS(実績!$W$6:$W$505,AC$3,実績!$AC$6:$AC$505,"&lt;="&amp;$A136,実績!$AD$6:$AD$505,"&gt;"&amp;$A136,実績!$AE$6:$AE$505,"○")&gt;0,1,0))</f>
        <v/>
      </c>
      <c r="AD136">
        <f>IF(AD$4=0,0,IF(COUNTIFS(実績!$W$6:$W$505,AD$3,実績!$AC$6:$AC$505,"&lt;="&amp;$A136,実績!$AD$6:$AD$505,"&gt;"&amp;$A136,実績!$AE$6:$AE$505,"○")&gt;0,1,0))</f>
        <v/>
      </c>
      <c r="AE136">
        <f>IF(AE$4=0,0,IF(COUNTIFS(実績!$W$6:$W$505,AE$3,実績!$AC$6:$AC$505,"&lt;="&amp;$A136,実績!$AD$6:$AD$505,"&gt;"&amp;$A136,実績!$AE$6:$AE$505,"○")&gt;0,1,0))</f>
        <v/>
      </c>
      <c r="AF136">
        <f>IF(AF$4=0,0,IF(COUNTIFS(実績!$W$6:$W$505,AF$3,実績!$AC$6:$AC$505,"&lt;="&amp;$A136,実績!$AD$6:$AD$505,"&gt;"&amp;$A136,実績!$AE$6:$AE$505,"○")&gt;0,1,0))</f>
        <v/>
      </c>
      <c r="AG136">
        <f>IF(AG$4=0,0,IF(COUNTIFS(実績!$W$6:$W$505,AG$3,実績!$AC$6:$AC$505,"&lt;="&amp;$A136,実績!$AD$6:$AD$505,"&gt;"&amp;$A136,実績!$AE$6:$AE$505,"○")&gt;0,1,0))</f>
        <v/>
      </c>
      <c r="AH136">
        <f>IF(AH$4=0,0,IF(COUNTIFS(実績!$W$6:$W$505,AH$3,実績!$AC$6:$AC$505,"&lt;="&amp;$A136,実績!$AD$6:$AD$505,"&gt;"&amp;$A136,実績!$AE$6:$AE$505,"○")&gt;0,1,0))</f>
        <v/>
      </c>
      <c r="AI136">
        <f>IF(AI$4=0,0,IF(COUNTIFS(実績!$W$6:$W$505,AI$3,実績!$AC$6:$AC$505,"&lt;="&amp;$A136,実績!$AD$6:$AD$505,"&gt;"&amp;$A136,実績!$AE$6:$AE$505,"○")&gt;0,1,0))</f>
        <v/>
      </c>
      <c r="AJ136">
        <f>IF(AJ$4=0,0,IF(COUNTIFS(実績!$W$6:$W$505,AJ$3,実績!$AC$6:$AC$505,"&lt;="&amp;$A136,実績!$AD$6:$AD$505,"&gt;"&amp;$A136,実績!$AE$6:$AE$505,"○")&gt;0,1,0))</f>
        <v/>
      </c>
      <c r="AK136">
        <f>IF(AK$4=0,0,IF(COUNTIFS(実績!$W$6:$W$505,AK$3,実績!$AC$6:$AC$505,"&lt;="&amp;$A136,実績!$AD$6:$AD$505,"&gt;"&amp;$A136,実績!$AE$6:$AE$505,"○")&gt;0,1,0))</f>
        <v/>
      </c>
      <c r="AL136">
        <f>IF(AL$4=0,0,IF(COUNTIFS(実績!$W$6:$W$505,AL$3,実績!$AC$6:$AC$505,"&lt;="&amp;$A136,実績!$AD$6:$AD$505,"&gt;"&amp;$A136,実績!$AE$6:$AE$505,"○")&gt;0,1,0))</f>
        <v/>
      </c>
      <c r="AM136">
        <f>IF(AM$4=0,0,IF(COUNTIFS(実績!$W$6:$W$505,AM$3,実績!$AC$6:$AC$505,"&lt;="&amp;$A136,実績!$AD$6:$AD$505,"&gt;"&amp;$A136,実績!$AE$6:$AE$505,"○")&gt;0,1,0))</f>
        <v/>
      </c>
      <c r="AN136">
        <f>IF(AN$4=0,0,IF(COUNTIFS(実績!$W$6:$W$505,AN$3,実績!$AC$6:$AC$505,"&lt;="&amp;$A136,実績!$AD$6:$AD$505,"&gt;"&amp;$A136,実績!$AE$6:$AE$505,"○")&gt;0,1,0))</f>
        <v/>
      </c>
      <c r="AO136">
        <f>IF(AO$4=0,0,IF(COUNTIFS(実績!$W$6:$W$505,AO$3,実績!$AC$6:$AC$505,"&lt;="&amp;$A136,実績!$AD$6:$AD$505,"&gt;"&amp;$A136,実績!$AE$6:$AE$505,"○")&gt;0,1,0))</f>
        <v/>
      </c>
      <c r="AP136">
        <f>IF(AP$4=0,0,IF(COUNTIFS(実績!$W$6:$W$505,AP$3,実績!$AC$6:$AC$505,"&lt;="&amp;$A136,実績!$AD$6:$AD$505,"&gt;"&amp;$A136,実績!$AE$6:$AE$505,"○")&gt;0,1,0))</f>
        <v/>
      </c>
      <c r="AQ136">
        <f>IF(AQ$4=0,0,IF(COUNTIFS(実績!$W$6:$W$505,AQ$3,実績!$AC$6:$AC$505,"&lt;="&amp;$A136,実績!$AD$6:$AD$505,"&gt;"&amp;$A136,実績!$AE$6:$AE$505,"○")&gt;0,1,0))</f>
        <v/>
      </c>
      <c r="AR136">
        <f>IF(AR$4=0,0,IF(COUNTIFS(実績!$W$6:$W$505,AR$3,実績!$AC$6:$AC$505,"&lt;="&amp;$A136,実績!$AD$6:$AD$505,"&gt;"&amp;$A136,実績!$AE$6:$AE$505,"○")&gt;0,1,0))</f>
        <v/>
      </c>
      <c r="AS136">
        <f>IF(AS$4=0,0,IF(COUNTIFS(実績!$W$6:$W$505,AS$3,実績!$AC$6:$AC$505,"&lt;="&amp;$A136,実績!$AD$6:$AD$505,"&gt;"&amp;$A136,実績!$AE$6:$AE$505,"○")&gt;0,1,0))</f>
        <v/>
      </c>
      <c r="AT136">
        <f>IF(AT$4=0,0,IF(COUNTIFS(実績!$W$6:$W$505,AT$3,実績!$AC$6:$AC$505,"&lt;="&amp;$A136,実績!$AD$6:$AD$505,"&gt;"&amp;$A136,実績!$AE$6:$AE$505,"○")&gt;0,1,0))</f>
        <v/>
      </c>
      <c r="AU136">
        <f>IF(AU$4=0,0,IF(COUNTIFS(実績!$W$6:$W$505,AU$3,実績!$AC$6:$AC$505,"&lt;="&amp;$A136,実績!$AD$6:$AD$505,"&gt;"&amp;$A136,実績!$AE$6:$AE$505,"○")&gt;0,1,0))</f>
        <v/>
      </c>
      <c r="AV136">
        <f>IF(AV$4=0,0,IF(COUNTIFS(実績!$W$6:$W$505,AV$3,実績!$AC$6:$AC$505,"&lt;="&amp;$A136,実績!$AD$6:$AD$505,"&gt;"&amp;$A136,実績!$AE$6:$AE$505,"○")&gt;0,1,0))</f>
        <v/>
      </c>
      <c r="AW136">
        <f>IF(AW$4=0,0,IF(COUNTIFS(実績!$W$6:$W$505,AW$3,実績!$AC$6:$AC$505,"&lt;="&amp;$A136,実績!$AD$6:$AD$505,"&gt;"&amp;$A136,実績!$AE$6:$AE$505,"○")&gt;0,1,0))</f>
        <v/>
      </c>
      <c r="AX136">
        <f>IF(AX$4=0,0,IF(COUNTIFS(実績!$W$6:$W$505,AX$3,実績!$AC$6:$AC$505,"&lt;="&amp;$A136,実績!$AD$6:$AD$505,"&gt;"&amp;$A136,実績!$AE$6:$AE$505,"○")&gt;0,1,0))</f>
        <v/>
      </c>
      <c r="AY136">
        <f>IF(AY$4=0,0,IF(COUNTIFS(実績!$W$6:$W$505,AY$3,実績!$AC$6:$AC$505,"&lt;="&amp;$A136,実績!$AD$6:$AD$505,"&gt;"&amp;$A136,実績!$AE$6:$AE$505,"○")&gt;0,1,0))</f>
        <v/>
      </c>
      <c r="AZ136">
        <f>IF(AZ$4=0,0,IF(COUNTIFS(実績!$W$6:$W$505,AZ$3,実績!$AC$6:$AC$505,"&lt;="&amp;$A136,実績!$AD$6:$AD$505,"&gt;"&amp;$A136,実績!$AE$6:$AE$505,"○")&gt;0,1,0))</f>
        <v/>
      </c>
      <c r="BA136">
        <f>IF(BA$4=0,0,IF(COUNTIFS(実績!$W$6:$W$505,BA$3,実績!$AC$6:$AC$505,"&lt;="&amp;$A136,実績!$AD$6:$AD$505,"&gt;"&amp;$A136,実績!$AE$6:$AE$505,"○")&gt;0,1,0))</f>
        <v/>
      </c>
      <c r="BB136">
        <f>IF(BB$4=0,0,IF(COUNTIFS(実績!$W$6:$W$505,BB$3,実績!$AC$6:$AC$505,"&lt;="&amp;$A136,実績!$AD$6:$AD$505,"&gt;"&amp;$A136,実績!$AE$6:$AE$505,"○")&gt;0,1,0))</f>
        <v/>
      </c>
      <c r="BC136">
        <f>IF(BC$4=0,0,IF(COUNTIFS(実績!$W$6:$W$505,BC$3,実績!$AC$6:$AC$505,"&lt;="&amp;$A136,実績!$AD$6:$AD$505,"&gt;"&amp;$A136,実績!$AE$6:$AE$505,"○")&gt;0,1,0))</f>
        <v/>
      </c>
      <c r="BD136">
        <f>IF(BD$4=0,0,IF(COUNTIFS(実績!$W$6:$W$505,BD$3,実績!$AC$6:$AC$505,"&lt;="&amp;$A136,実績!$AD$6:$AD$505,"&gt;"&amp;$A136,実績!$AE$6:$AE$505,"○")&gt;0,1,0))</f>
        <v/>
      </c>
      <c r="BE136">
        <f>IF(BE$4=0,0,IF(COUNTIFS(実績!$W$6:$W$505,BE$3,実績!$AC$6:$AC$505,"&lt;="&amp;$A136,実績!$AD$6:$AD$505,"&gt;"&amp;$A136,実績!$AE$6:$AE$505,"○")&gt;0,1,0))</f>
        <v/>
      </c>
      <c r="BF136">
        <f>IF(BF$4=0,0,IF(COUNTIFS(実績!$W$6:$W$505,BF$3,実績!$AC$6:$AC$505,"&lt;="&amp;$A136,実績!$AD$6:$AD$505,"&gt;"&amp;$A136,実績!$AE$6:$AE$505,"○")&gt;0,1,0))</f>
        <v/>
      </c>
      <c r="BG136">
        <f>IF(BG$4=0,0,IF(COUNTIFS(実績!$W$6:$W$505,BG$3,実績!$AC$6:$AC$505,"&lt;="&amp;$A136,実績!$AD$6:$AD$505,"&gt;"&amp;$A136,実績!$AE$6:$AE$505,"○")&gt;0,1,0))</f>
        <v/>
      </c>
      <c r="BH136">
        <f>IF(BH$4=0,0,IF(COUNTIFS(実績!$W$6:$W$505,BH$3,実績!$AC$6:$AC$505,"&lt;="&amp;$A136,実績!$AD$6:$AD$505,"&gt;"&amp;$A136,実績!$AE$6:$AE$505,"○")&gt;0,1,0))</f>
        <v/>
      </c>
      <c r="BI136">
        <f>IF(BI$4=0,0,IF(COUNTIFS(実績!$W$6:$W$505,BI$3,実績!$AC$6:$AC$505,"&lt;="&amp;$A136,実績!$AD$6:$AD$505,"&gt;"&amp;$A136,実績!$AE$6:$AE$505,"○")&gt;0,1,0))</f>
        <v/>
      </c>
      <c r="BJ136">
        <f>IF(BJ$4=0,0,IF(COUNTIFS(実績!$W$6:$W$505,BJ$3,実績!$AC$6:$AC$505,"&lt;="&amp;$A136,実績!$AD$6:$AD$505,"&gt;"&amp;$A136,実績!$AE$6:$AE$505,"○")&gt;0,1,0))</f>
        <v/>
      </c>
      <c r="BK136">
        <f>IF(BK$4=0,0,IF(COUNTIFS(実績!$W$6:$W$505,BK$3,実績!$AC$6:$AC$505,"&lt;="&amp;$A136,実績!$AD$6:$AD$505,"&gt;"&amp;$A136,実績!$AE$6:$AE$505,"○")&gt;0,1,0))</f>
        <v/>
      </c>
      <c r="BL136">
        <f>IF(BL$4=0,0,IF(COUNTIFS(実績!$W$6:$W$505,BL$3,実績!$AC$6:$AC$505,"&lt;="&amp;$A136,実績!$AD$6:$AD$505,"&gt;"&amp;$A136,実績!$AE$6:$AE$505,"○")&gt;0,1,0))</f>
        <v/>
      </c>
      <c r="BM136">
        <f>IF(BM$4=0,0,IF(COUNTIFS(実績!$W$6:$W$505,BM$3,実績!$AC$6:$AC$505,"&lt;="&amp;$A136,実績!$AD$6:$AD$505,"&gt;"&amp;$A136,実績!$AE$6:$AE$505,"○")&gt;0,1,0))</f>
        <v/>
      </c>
      <c r="BN136">
        <f>IF(BN$4=0,0,IF(COUNTIFS(実績!$W$6:$W$505,BN$3,実績!$AC$6:$AC$505,"&lt;="&amp;$A136,実績!$AD$6:$AD$505,"&gt;"&amp;$A136,実績!$AE$6:$AE$505,"○")&gt;0,1,0))</f>
        <v/>
      </c>
      <c r="BO136">
        <f>IF(BO$4=0,0,IF(COUNTIFS(実績!$W$6:$W$505,BO$3,実績!$AC$6:$AC$505,"&lt;="&amp;$A136,実績!$AD$6:$AD$505,"&gt;"&amp;$A136,実績!$AE$6:$AE$505,"○")&gt;0,1,0))</f>
        <v/>
      </c>
      <c r="BP136">
        <f>IF(BP$4=0,0,IF(COUNTIFS(実績!$W$6:$W$505,BP$3,実績!$AC$6:$AC$505,"&lt;="&amp;$A136,実績!$AD$6:$AD$505,"&gt;"&amp;$A136,実績!$AE$6:$AE$505,"○")&gt;0,1,0))</f>
        <v/>
      </c>
      <c r="BQ136">
        <f>IF(BQ$4=0,0,IF(COUNTIFS(実績!$W$6:$W$505,BQ$3,実績!$AC$6:$AC$505,"&lt;="&amp;$A136,実績!$AD$6:$AD$505,"&gt;"&amp;$A136,実績!$AE$6:$AE$505,"○")&gt;0,1,0))</f>
        <v/>
      </c>
      <c r="BR136">
        <f>IF(BR$4=0,0,IF(COUNTIFS(実績!$W$6:$W$505,BR$3,実績!$AC$6:$AC$505,"&lt;="&amp;$A136,実績!$AD$6:$AD$505,"&gt;"&amp;$A136,実績!$AE$6:$AE$505,"○")&gt;0,1,0))</f>
        <v/>
      </c>
      <c r="BS136">
        <f>IF(BS$4=0,0,IF(COUNTIFS(実績!$W$6:$W$505,BS$3,実績!$AC$6:$AC$505,"&lt;="&amp;$A136,実績!$AD$6:$AD$505,"&gt;"&amp;$A136,実績!$AE$6:$AE$505,"○")&gt;0,1,0))</f>
        <v/>
      </c>
      <c r="BT136">
        <f>IF(BT$4=0,0,IF(COUNTIFS(実績!$W$6:$W$505,BT$3,実績!$AC$6:$AC$505,"&lt;="&amp;$A136,実績!$AD$6:$AD$505,"&gt;"&amp;$A136,実績!$AE$6:$AE$505,"○")&gt;0,1,0))</f>
        <v/>
      </c>
      <c r="BU136">
        <f>IF(BU$4=0,0,IF(COUNTIFS(実績!$W$6:$W$505,BU$3,実績!$AC$6:$AC$505,"&lt;="&amp;$A136,実績!$AD$6:$AD$505,"&gt;"&amp;$A136,実績!$AE$6:$AE$505,"○")&gt;0,1,0))</f>
        <v/>
      </c>
      <c r="BV136">
        <f>IF(BV$4=0,0,IF(COUNTIFS(実績!$W$6:$W$505,BV$3,実績!$AC$6:$AC$505,"&lt;="&amp;$A136,実績!$AD$6:$AD$505,"&gt;"&amp;$A136,実績!$AE$6:$AE$505,"○")&gt;0,1,0))</f>
        <v/>
      </c>
      <c r="BW136">
        <f>IF(BW$4=0,0,IF(COUNTIFS(実績!$W$6:$W$505,BW$3,実績!$AC$6:$AC$505,"&lt;="&amp;$A136,実績!$AD$6:$AD$505,"&gt;"&amp;$A136,実績!$AE$6:$AE$505,"○")&gt;0,1,0))</f>
        <v/>
      </c>
      <c r="BX136">
        <f>IF(BX$4=0,0,IF(COUNTIFS(実績!$W$6:$W$505,BX$3,実績!$AC$6:$AC$505,"&lt;="&amp;$A136,実績!$AD$6:$AD$505,"&gt;"&amp;$A136,実績!$AE$6:$AE$505,"○")&gt;0,1,0))</f>
        <v/>
      </c>
      <c r="BY136">
        <f>IF(BY$4=0,0,IF(COUNTIFS(実績!$W$6:$W$505,BY$3,実績!$AC$6:$AC$505,"&lt;="&amp;$A136,実績!$AD$6:$AD$505,"&gt;"&amp;$A136,実績!$AE$6:$AE$505,"○")&gt;0,1,0))</f>
        <v/>
      </c>
      <c r="BZ136">
        <f>IF(BZ$4=0,0,IF(COUNTIFS(実績!$W$6:$W$505,BZ$3,実績!$AC$6:$AC$505,"&lt;="&amp;$A136,実績!$AD$6:$AD$505,"&gt;"&amp;$A136,実績!$AE$6:$AE$505,"○")&gt;0,1,0))</f>
        <v/>
      </c>
      <c r="CA136">
        <f>IF(CA$4=0,0,IF(COUNTIFS(実績!$W$6:$W$505,CA$3,実績!$AC$6:$AC$505,"&lt;="&amp;$A136,実績!$AD$6:$AD$505,"&gt;"&amp;$A136,実績!$AE$6:$AE$505,"○")&gt;0,1,0))</f>
        <v/>
      </c>
      <c r="CB136">
        <f>IF(CB$4=0,0,IF(COUNTIFS(実績!$W$6:$W$505,CB$3,実績!$AC$6:$AC$505,"&lt;="&amp;$A136,実績!$AD$6:$AD$505,"&gt;"&amp;$A136,実績!$AE$6:$AE$505,"○")&gt;0,1,0))</f>
        <v/>
      </c>
      <c r="CC136">
        <f>IF(CC$4=0,0,IF(COUNTIFS(実績!$W$6:$W$505,CC$3,実績!$AC$6:$AC$505,"&lt;="&amp;$A136,実績!$AD$6:$AD$505,"&gt;"&amp;$A136,実績!$AE$6:$AE$505,"○")&gt;0,1,0))</f>
        <v/>
      </c>
      <c r="CD136">
        <f>IF(CD$4=0,0,IF(COUNTIFS(実績!$W$6:$W$505,CD$3,実績!$AC$6:$AC$505,"&lt;="&amp;$A136,実績!$AD$6:$AD$505,"&gt;"&amp;$A136,実績!$AE$6:$AE$505,"○")&gt;0,1,0))</f>
        <v/>
      </c>
      <c r="CE136">
        <f>IF(CE$4=0,0,IF(COUNTIFS(実績!$W$6:$W$505,CE$3,実績!$AC$6:$AC$505,"&lt;="&amp;$A136,実績!$AD$6:$AD$505,"&gt;"&amp;$A136,実績!$AE$6:$AE$505,"○")&gt;0,1,0))</f>
        <v/>
      </c>
      <c r="CF136">
        <f>IF(CF$4=0,0,IF(COUNTIFS(実績!$W$6:$W$505,CF$3,実績!$AC$6:$AC$505,"&lt;="&amp;$A136,実績!$AD$6:$AD$505,"&gt;"&amp;$A136,実績!$AE$6:$AE$505,"○")&gt;0,1,0))</f>
        <v/>
      </c>
      <c r="CG136">
        <f>IF(CG$4=0,0,IF(COUNTIFS(実績!$W$6:$W$505,CG$3,実績!$AC$6:$AC$505,"&lt;="&amp;$A136,実績!$AD$6:$AD$505,"&gt;"&amp;$A136,実績!$AE$6:$AE$505,"○")&gt;0,1,0))</f>
        <v/>
      </c>
      <c r="CH136">
        <f>IF(CH$4=0,0,IF(COUNTIFS(実績!$W$6:$W$505,CH$3,実績!$AC$6:$AC$505,"&lt;="&amp;$A136,実績!$AD$6:$AD$505,"&gt;"&amp;$A136,実績!$AE$6:$AE$505,"○")&gt;0,1,0))</f>
        <v/>
      </c>
      <c r="CI136">
        <f>IF(CI$4=0,0,IF(COUNTIFS(実績!$W$6:$W$505,CI$3,実績!$AC$6:$AC$505,"&lt;="&amp;$A136,実績!$AD$6:$AD$505,"&gt;"&amp;$A136,実績!$AE$6:$AE$505,"○")&gt;0,1,0))</f>
        <v/>
      </c>
      <c r="CJ136">
        <f>IF(CJ$4=0,0,IF(COUNTIFS(実績!$W$6:$W$505,CJ$3,実績!$AC$6:$AC$505,"&lt;="&amp;$A136,実績!$AD$6:$AD$505,"&gt;"&amp;$A136,実績!$AE$6:$AE$505,"○")&gt;0,1,0))</f>
        <v/>
      </c>
      <c r="CK136">
        <f>IF(CK$4=0,0,IF(COUNTIFS(実績!$W$6:$W$505,CK$3,実績!$AC$6:$AC$505,"&lt;="&amp;$A136,実績!$AD$6:$AD$505,"&gt;"&amp;$A136,実績!$AE$6:$AE$505,"○")&gt;0,1,0))</f>
        <v/>
      </c>
      <c r="CL136">
        <f>IF(CL$4=0,0,IF(COUNTIFS(実績!$W$6:$W$505,CL$3,実績!$AC$6:$AC$505,"&lt;="&amp;$A136,実績!$AD$6:$AD$505,"&gt;"&amp;$A136,実績!$AE$6:$AE$505,"○")&gt;0,1,0))</f>
        <v/>
      </c>
      <c r="CM136">
        <f>IF(CM$4=0,0,IF(COUNTIFS(実績!$W$6:$W$505,CM$3,実績!$AC$6:$AC$505,"&lt;="&amp;$A136,実績!$AD$6:$AD$505,"&gt;"&amp;$A136,実績!$AE$6:$AE$505,"○")&gt;0,1,0))</f>
        <v/>
      </c>
      <c r="CN136">
        <f>IF(CN$4=0,0,IF(COUNTIFS(実績!$W$6:$W$505,CN$3,実績!$AC$6:$AC$505,"&lt;="&amp;$A136,実績!$AD$6:$AD$505,"&gt;"&amp;$A136,実績!$AE$6:$AE$505,"○")&gt;0,1,0))</f>
        <v/>
      </c>
      <c r="CO136">
        <f>IF(CO$4=0,0,IF(COUNTIFS(実績!$W$6:$W$505,CO$3,実績!$AC$6:$AC$505,"&lt;="&amp;$A136,実績!$AD$6:$AD$505,"&gt;"&amp;$A136,実績!$AE$6:$AE$505,"○")&gt;0,1,0))</f>
        <v/>
      </c>
      <c r="CP136">
        <f>IF(CP$4=0,0,IF(COUNTIFS(実績!$W$6:$W$505,CP$3,実績!$AC$6:$AC$505,"&lt;="&amp;$A136,実績!$AD$6:$AD$505,"&gt;"&amp;$A136,実績!$AE$6:$AE$505,"○")&gt;0,1,0))</f>
        <v/>
      </c>
      <c r="CQ136">
        <f>IF(CQ$4=0,0,IF(COUNTIFS(実績!$W$6:$W$505,CQ$3,実績!$AC$6:$AC$505,"&lt;="&amp;$A136,実績!$AD$6:$AD$505,"&gt;"&amp;$A136,実績!$AE$6:$AE$505,"○")&gt;0,1,0))</f>
        <v/>
      </c>
      <c r="CR136">
        <f>IF(CR$4=0,0,IF(COUNTIFS(実績!$W$6:$W$505,CR$3,実績!$AC$6:$AC$505,"&lt;="&amp;$A136,実績!$AD$6:$AD$505,"&gt;"&amp;$A136,実績!$AE$6:$AE$505,"○")&gt;0,1,0))</f>
        <v/>
      </c>
      <c r="CS136">
        <f>IF(CS$4=0,0,IF(COUNTIFS(実績!$W$6:$W$505,CS$3,実績!$AC$6:$AC$505,"&lt;="&amp;$A136,実績!$AD$6:$AD$505,"&gt;"&amp;$A136,実績!$AE$6:$AE$505,"○")&gt;0,1,0))</f>
        <v/>
      </c>
      <c r="CT136">
        <f>IF(CT$4=0,0,IF(COUNTIFS(実績!$W$6:$W$505,CT$3,実績!$AC$6:$AC$505,"&lt;="&amp;$A136,実績!$AD$6:$AD$505,"&gt;"&amp;$A136,実績!$AE$6:$AE$505,"○")&gt;0,1,0))</f>
        <v/>
      </c>
      <c r="CU136">
        <f>IF(CU$4=0,0,IF(COUNTIFS(実績!$W$6:$W$505,CU$3,実績!$AC$6:$AC$505,"&lt;="&amp;$A136,実績!$AD$6:$AD$505,"&gt;"&amp;$A136,実績!$AE$6:$AE$505,"○")&gt;0,1,0))</f>
        <v/>
      </c>
      <c r="CV136">
        <f>IF(CV$4=0,0,IF(COUNTIFS(実績!$W$6:$W$505,CV$3,実績!$AC$6:$AC$505,"&lt;="&amp;$A136,実績!$AD$6:$AD$505,"&gt;"&amp;$A136,実績!$AE$6:$AE$505,"○")&gt;0,1,0))</f>
        <v/>
      </c>
      <c r="CW136">
        <f>IF(CW$4=0,0,IF(COUNTIFS(実績!$W$6:$W$505,CW$3,実績!$AC$6:$AC$505,"&lt;="&amp;$A136,実績!$AD$6:$AD$505,"&gt;"&amp;$A136,実績!$AE$6:$AE$505,"○")&gt;0,1,0))</f>
        <v/>
      </c>
      <c r="CX136">
        <f>IF(CX$4=0,0,IF(COUNTIFS(実績!$W$6:$W$505,CX$3,実績!$AC$6:$AC$505,"&lt;="&amp;$A136,実績!$AD$6:$AD$505,"&gt;"&amp;$A136,実績!$AE$6:$AE$505,"○")&gt;0,1,0))</f>
        <v/>
      </c>
      <c r="CY136">
        <f>IF(CY$4=0,0,IF(COUNTIFS(実績!$W$6:$W$505,CY$3,実績!$AC$6:$AC$505,"&lt;="&amp;$A136,実績!$AD$6:$AD$505,"&gt;"&amp;$A136,実績!$AE$6:$AE$505,"○")&gt;0,1,0))</f>
        <v/>
      </c>
      <c r="CZ136">
        <f>IF(CZ$4=0,0,IF(COUNTIFS(実績!$W$6:$W$505,CZ$3,実績!$AC$6:$AC$505,"&lt;="&amp;$A136,実績!$AD$6:$AD$505,"&gt;"&amp;$A136,実績!$AE$6:$AE$505,"○")&gt;0,1,0))</f>
        <v/>
      </c>
      <c r="DA136">
        <f>IF(DA$4=0,0,IF(COUNTIFS(実績!$W$6:$W$505,DA$3,実績!$AC$6:$AC$505,"&lt;="&amp;$A136,実績!$AD$6:$AD$505,"&gt;"&amp;$A136,実績!$AE$6:$AE$505,"○")&gt;0,1,0))</f>
        <v/>
      </c>
      <c r="DB136">
        <f>IF(DB$4=0,0,IF(COUNTIFS(実績!$W$6:$W$505,DB$3,実績!$AC$6:$AC$505,"&lt;="&amp;$A136,実績!$AD$6:$AD$505,"&gt;"&amp;$A136,実績!$AE$6:$AE$505,"○")&gt;0,1,0))</f>
        <v/>
      </c>
      <c r="DC136">
        <f>IF(DC$4=0,0,IF(COUNTIFS(実績!$W$6:$W$505,DC$3,実績!$AC$6:$AC$505,"&lt;="&amp;$A136,実績!$AD$6:$AD$505,"&gt;"&amp;$A136,実績!$AE$6:$AE$505,"○")&gt;0,1,0))</f>
        <v/>
      </c>
      <c r="DD136">
        <f>IF(DD$4=0,0,IF(COUNTIFS(実績!$W$6:$W$505,DD$3,実績!$AC$6:$AC$505,"&lt;="&amp;$A136,実績!$AD$6:$AD$505,"&gt;"&amp;$A136,実績!$AE$6:$AE$505,"○")&gt;0,1,0))</f>
        <v/>
      </c>
      <c r="DE136">
        <f>IF(DE$4=0,0,IF(COUNTIFS(実績!$W$6:$W$505,DE$3,実績!$AC$6:$AC$505,"&lt;="&amp;$A136,実績!$AD$6:$AD$505,"&gt;"&amp;$A136,実績!$AE$6:$AE$505,"○")&gt;0,1,0))</f>
        <v/>
      </c>
      <c r="DF136">
        <f>IF(DF$4=0,0,IF(COUNTIFS(実績!$W$6:$W$505,DF$3,実績!$AC$6:$AC$505,"&lt;="&amp;$A136,実績!$AD$6:$AD$505,"&gt;"&amp;$A136,実績!$AE$6:$AE$505,"○")&gt;0,1,0))</f>
        <v/>
      </c>
      <c r="DG136">
        <f>IF(DG$4=0,0,IF(COUNTIFS(実績!$W$6:$W$505,DG$3,実績!$AC$6:$AC$505,"&lt;="&amp;$A136,実績!$AD$6:$AD$505,"&gt;"&amp;$A136,実績!$AE$6:$AE$505,"○")&gt;0,1,0))</f>
        <v/>
      </c>
      <c r="DH136">
        <f>IF(DH$4=0,0,IF(COUNTIFS(実績!$W$6:$W$505,DH$3,実績!$AC$6:$AC$505,"&lt;="&amp;$A136,実績!$AD$6:$AD$505,"&gt;"&amp;$A136,実績!$AE$6:$AE$505,"○")&gt;0,1,0))</f>
        <v/>
      </c>
      <c r="DI136">
        <f>IF(DI$4=0,0,IF(COUNTIFS(実績!$W$6:$W$505,DI$3,実績!$AC$6:$AC$505,"&lt;="&amp;$A136,実績!$AD$6:$AD$505,"&gt;"&amp;$A136,実績!$AE$6:$AE$505,"○")&gt;0,1,0))</f>
        <v/>
      </c>
      <c r="DJ136">
        <f>IF(DJ$4=0,0,IF(COUNTIFS(実績!$W$6:$W$505,DJ$3,実績!$AC$6:$AC$505,"&lt;="&amp;$A136,実績!$AD$6:$AD$505,"&gt;"&amp;$A136,実績!$AE$6:$AE$505,"○")&gt;0,1,0))</f>
        <v/>
      </c>
      <c r="DK136">
        <f>IF(DK$4=0,0,IF(COUNTIFS(実績!$W$6:$W$505,DK$3,実績!$AC$6:$AC$505,"&lt;="&amp;$A136,実績!$AD$6:$AD$505,"&gt;"&amp;$A136,実績!$AE$6:$AE$505,"○")&gt;0,1,0))</f>
        <v/>
      </c>
      <c r="DL136">
        <f>IF(DL$4=0,0,IF(COUNTIFS(実績!$W$6:$W$505,DL$3,実績!$AC$6:$AC$505,"&lt;="&amp;$A136,実績!$AD$6:$AD$505,"&gt;"&amp;$A136,実績!$AE$6:$AE$505,"○")&gt;0,1,0))</f>
        <v/>
      </c>
      <c r="DM136">
        <f>IF(DM$4=0,0,IF(COUNTIFS(実績!$W$6:$W$505,DM$3,実績!$AC$6:$AC$505,"&lt;="&amp;$A136,実績!$AD$6:$AD$505,"&gt;"&amp;$A136,実績!$AE$6:$AE$505,"○")&gt;0,1,0))</f>
        <v/>
      </c>
      <c r="DN136">
        <f>IF(DN$4=0,0,IF(COUNTIFS(実績!$W$6:$W$505,DN$3,実績!$AC$6:$AC$505,"&lt;="&amp;$A136,実績!$AD$6:$AD$505,"&gt;"&amp;$A136,実績!$AE$6:$AE$505,"○")&gt;0,1,0))</f>
        <v/>
      </c>
      <c r="DO136">
        <f>IF(DO$4=0,0,IF(COUNTIFS(実績!$W$6:$W$505,DO$3,実績!$AC$6:$AC$505,"&lt;="&amp;$A136,実績!$AD$6:$AD$505,"&gt;"&amp;$A136,実績!$AE$6:$AE$505,"○")&gt;0,1,0))</f>
        <v/>
      </c>
      <c r="DP136">
        <f>IF(DP$4=0,0,IF(COUNTIFS(実績!$W$6:$W$505,DP$3,実績!$AC$6:$AC$505,"&lt;="&amp;$A136,実績!$AD$6:$AD$505,"&gt;"&amp;$A136,実績!$AE$6:$AE$505,"○")&gt;0,1,0))</f>
        <v/>
      </c>
      <c r="DQ136">
        <f>IF(DQ$4=0,0,IF(COUNTIFS(実績!$W$6:$W$505,DQ$3,実績!$AC$6:$AC$505,"&lt;="&amp;$A136,実績!$AD$6:$AD$505,"&gt;"&amp;$A136,実績!$AE$6:$AE$505,"○")&gt;0,1,0))</f>
        <v/>
      </c>
      <c r="DR136">
        <f>IF(DR$4=0,0,IF(COUNTIFS(実績!$W$6:$W$505,DR$3,実績!$AC$6:$AC$505,"&lt;="&amp;$A136,実績!$AD$6:$AD$505,"&gt;"&amp;$A136,実績!$AE$6:$AE$505,"○")&gt;0,1,0))</f>
        <v/>
      </c>
      <c r="DS136">
        <f>SUM(C136:DR136)</f>
        <v/>
      </c>
      <c r="DT136">
        <f>SUMPRODUCT((実績!$C$6:$C$505="○")*ISNUMBER(実績!$AF$6:$AF$505)*(実績!$AF$6:$AF$505&lt;=$A136)*(実績!$AG$6:$AG$505&gt;$A136))</f>
        <v/>
      </c>
      <c r="DU136">
        <f>SUMIF($C$2:$DR$2,"製鉄曳船",C136:DR136)</f>
        <v/>
      </c>
      <c r="DV136">
        <f>SUMIF($C$2:$DR$2,"西日本海運",C136:DR136)</f>
        <v/>
      </c>
    </row>
    <row r="137">
      <c r="A137" t="n">
        <v>655</v>
      </c>
      <c r="B137" s="29">
        <f>A137/1440</f>
        <v/>
      </c>
      <c r="C137">
        <f>IF(C$4=0,0,IF(COUNTIFS(実績!$W$6:$W$505,C$3,実績!$AC$6:$AC$505,"&lt;="&amp;$A137,実績!$AD$6:$AD$505,"&gt;"&amp;$A137,実績!$AE$6:$AE$505,"○")&gt;0,1,0))</f>
        <v/>
      </c>
      <c r="D137">
        <f>IF(D$4=0,0,IF(COUNTIFS(実績!$W$6:$W$505,D$3,実績!$AC$6:$AC$505,"&lt;="&amp;$A137,実績!$AD$6:$AD$505,"&gt;"&amp;$A137,実績!$AE$6:$AE$505,"○")&gt;0,1,0))</f>
        <v/>
      </c>
      <c r="E137">
        <f>IF(E$4=0,0,IF(COUNTIFS(実績!$W$6:$W$505,E$3,実績!$AC$6:$AC$505,"&lt;="&amp;$A137,実績!$AD$6:$AD$505,"&gt;"&amp;$A137,実績!$AE$6:$AE$505,"○")&gt;0,1,0))</f>
        <v/>
      </c>
      <c r="F137">
        <f>IF(F$4=0,0,IF(COUNTIFS(実績!$W$6:$W$505,F$3,実績!$AC$6:$AC$505,"&lt;="&amp;$A137,実績!$AD$6:$AD$505,"&gt;"&amp;$A137,実績!$AE$6:$AE$505,"○")&gt;0,1,0))</f>
        <v/>
      </c>
      <c r="G137">
        <f>IF(G$4=0,0,IF(COUNTIFS(実績!$W$6:$W$505,G$3,実績!$AC$6:$AC$505,"&lt;="&amp;$A137,実績!$AD$6:$AD$505,"&gt;"&amp;$A137,実績!$AE$6:$AE$505,"○")&gt;0,1,0))</f>
        <v/>
      </c>
      <c r="H137">
        <f>IF(H$4=0,0,IF(COUNTIFS(実績!$W$6:$W$505,H$3,実績!$AC$6:$AC$505,"&lt;="&amp;$A137,実績!$AD$6:$AD$505,"&gt;"&amp;$A137,実績!$AE$6:$AE$505,"○")&gt;0,1,0))</f>
        <v/>
      </c>
      <c r="I137">
        <f>IF(I$4=0,0,IF(COUNTIFS(実績!$W$6:$W$505,I$3,実績!$AC$6:$AC$505,"&lt;="&amp;$A137,実績!$AD$6:$AD$505,"&gt;"&amp;$A137,実績!$AE$6:$AE$505,"○")&gt;0,1,0))</f>
        <v/>
      </c>
      <c r="J137">
        <f>IF(J$4=0,0,IF(COUNTIFS(実績!$W$6:$W$505,J$3,実績!$AC$6:$AC$505,"&lt;="&amp;$A137,実績!$AD$6:$AD$505,"&gt;"&amp;$A137,実績!$AE$6:$AE$505,"○")&gt;0,1,0))</f>
        <v/>
      </c>
      <c r="K137">
        <f>IF(K$4=0,0,IF(COUNTIFS(実績!$W$6:$W$505,K$3,実績!$AC$6:$AC$505,"&lt;="&amp;$A137,実績!$AD$6:$AD$505,"&gt;"&amp;$A137,実績!$AE$6:$AE$505,"○")&gt;0,1,0))</f>
        <v/>
      </c>
      <c r="L137">
        <f>IF(L$4=0,0,IF(COUNTIFS(実績!$W$6:$W$505,L$3,実績!$AC$6:$AC$505,"&lt;="&amp;$A137,実績!$AD$6:$AD$505,"&gt;"&amp;$A137,実績!$AE$6:$AE$505,"○")&gt;0,1,0))</f>
        <v/>
      </c>
      <c r="M137">
        <f>IF(M$4=0,0,IF(COUNTIFS(実績!$W$6:$W$505,M$3,実績!$AC$6:$AC$505,"&lt;="&amp;$A137,実績!$AD$6:$AD$505,"&gt;"&amp;$A137,実績!$AE$6:$AE$505,"○")&gt;0,1,0))</f>
        <v/>
      </c>
      <c r="N137">
        <f>IF(N$4=0,0,IF(COUNTIFS(実績!$W$6:$W$505,N$3,実績!$AC$6:$AC$505,"&lt;="&amp;$A137,実績!$AD$6:$AD$505,"&gt;"&amp;$A137,実績!$AE$6:$AE$505,"○")&gt;0,1,0))</f>
        <v/>
      </c>
      <c r="O137">
        <f>IF(O$4=0,0,IF(COUNTIFS(実績!$W$6:$W$505,O$3,実績!$AC$6:$AC$505,"&lt;="&amp;$A137,実績!$AD$6:$AD$505,"&gt;"&amp;$A137,実績!$AE$6:$AE$505,"○")&gt;0,1,0))</f>
        <v/>
      </c>
      <c r="P137">
        <f>IF(P$4=0,0,IF(COUNTIFS(実績!$W$6:$W$505,P$3,実績!$AC$6:$AC$505,"&lt;="&amp;$A137,実績!$AD$6:$AD$505,"&gt;"&amp;$A137,実績!$AE$6:$AE$505,"○")&gt;0,1,0))</f>
        <v/>
      </c>
      <c r="Q137">
        <f>IF(Q$4=0,0,IF(COUNTIFS(実績!$W$6:$W$505,Q$3,実績!$AC$6:$AC$505,"&lt;="&amp;$A137,実績!$AD$6:$AD$505,"&gt;"&amp;$A137,実績!$AE$6:$AE$505,"○")&gt;0,1,0))</f>
        <v/>
      </c>
      <c r="R137">
        <f>IF(R$4=0,0,IF(COUNTIFS(実績!$W$6:$W$505,R$3,実績!$AC$6:$AC$505,"&lt;="&amp;$A137,実績!$AD$6:$AD$505,"&gt;"&amp;$A137,実績!$AE$6:$AE$505,"○")&gt;0,1,0))</f>
        <v/>
      </c>
      <c r="S137">
        <f>IF(S$4=0,0,IF(COUNTIFS(実績!$W$6:$W$505,S$3,実績!$AC$6:$AC$505,"&lt;="&amp;$A137,実績!$AD$6:$AD$505,"&gt;"&amp;$A137,実績!$AE$6:$AE$505,"○")&gt;0,1,0))</f>
        <v/>
      </c>
      <c r="T137">
        <f>IF(T$4=0,0,IF(COUNTIFS(実績!$W$6:$W$505,T$3,実績!$AC$6:$AC$505,"&lt;="&amp;$A137,実績!$AD$6:$AD$505,"&gt;"&amp;$A137,実績!$AE$6:$AE$505,"○")&gt;0,1,0))</f>
        <v/>
      </c>
      <c r="U137">
        <f>IF(U$4=0,0,IF(COUNTIFS(実績!$W$6:$W$505,U$3,実績!$AC$6:$AC$505,"&lt;="&amp;$A137,実績!$AD$6:$AD$505,"&gt;"&amp;$A137,実績!$AE$6:$AE$505,"○")&gt;0,1,0))</f>
        <v/>
      </c>
      <c r="V137">
        <f>IF(V$4=0,0,IF(COUNTIFS(実績!$W$6:$W$505,V$3,実績!$AC$6:$AC$505,"&lt;="&amp;$A137,実績!$AD$6:$AD$505,"&gt;"&amp;$A137,実績!$AE$6:$AE$505,"○")&gt;0,1,0))</f>
        <v/>
      </c>
      <c r="W137">
        <f>IF(W$4=0,0,IF(COUNTIFS(実績!$W$6:$W$505,W$3,実績!$AC$6:$AC$505,"&lt;="&amp;$A137,実績!$AD$6:$AD$505,"&gt;"&amp;$A137,実績!$AE$6:$AE$505,"○")&gt;0,1,0))</f>
        <v/>
      </c>
      <c r="X137">
        <f>IF(X$4=0,0,IF(COUNTIFS(実績!$W$6:$W$505,X$3,実績!$AC$6:$AC$505,"&lt;="&amp;$A137,実績!$AD$6:$AD$505,"&gt;"&amp;$A137,実績!$AE$6:$AE$505,"○")&gt;0,1,0))</f>
        <v/>
      </c>
      <c r="Y137">
        <f>IF(Y$4=0,0,IF(COUNTIFS(実績!$W$6:$W$505,Y$3,実績!$AC$6:$AC$505,"&lt;="&amp;$A137,実績!$AD$6:$AD$505,"&gt;"&amp;$A137,実績!$AE$6:$AE$505,"○")&gt;0,1,0))</f>
        <v/>
      </c>
      <c r="Z137">
        <f>IF(Z$4=0,0,IF(COUNTIFS(実績!$W$6:$W$505,Z$3,実績!$AC$6:$AC$505,"&lt;="&amp;$A137,実績!$AD$6:$AD$505,"&gt;"&amp;$A137,実績!$AE$6:$AE$505,"○")&gt;0,1,0))</f>
        <v/>
      </c>
      <c r="AA137">
        <f>IF(AA$4=0,0,IF(COUNTIFS(実績!$W$6:$W$505,AA$3,実績!$AC$6:$AC$505,"&lt;="&amp;$A137,実績!$AD$6:$AD$505,"&gt;"&amp;$A137,実績!$AE$6:$AE$505,"○")&gt;0,1,0))</f>
        <v/>
      </c>
      <c r="AB137">
        <f>IF(AB$4=0,0,IF(COUNTIFS(実績!$W$6:$W$505,AB$3,実績!$AC$6:$AC$505,"&lt;="&amp;$A137,実績!$AD$6:$AD$505,"&gt;"&amp;$A137,実績!$AE$6:$AE$505,"○")&gt;0,1,0))</f>
        <v/>
      </c>
      <c r="AC137">
        <f>IF(AC$4=0,0,IF(COUNTIFS(実績!$W$6:$W$505,AC$3,実績!$AC$6:$AC$505,"&lt;="&amp;$A137,実績!$AD$6:$AD$505,"&gt;"&amp;$A137,実績!$AE$6:$AE$505,"○")&gt;0,1,0))</f>
        <v/>
      </c>
      <c r="AD137">
        <f>IF(AD$4=0,0,IF(COUNTIFS(実績!$W$6:$W$505,AD$3,実績!$AC$6:$AC$505,"&lt;="&amp;$A137,実績!$AD$6:$AD$505,"&gt;"&amp;$A137,実績!$AE$6:$AE$505,"○")&gt;0,1,0))</f>
        <v/>
      </c>
      <c r="AE137">
        <f>IF(AE$4=0,0,IF(COUNTIFS(実績!$W$6:$W$505,AE$3,実績!$AC$6:$AC$505,"&lt;="&amp;$A137,実績!$AD$6:$AD$505,"&gt;"&amp;$A137,実績!$AE$6:$AE$505,"○")&gt;0,1,0))</f>
        <v/>
      </c>
      <c r="AF137">
        <f>IF(AF$4=0,0,IF(COUNTIFS(実績!$W$6:$W$505,AF$3,実績!$AC$6:$AC$505,"&lt;="&amp;$A137,実績!$AD$6:$AD$505,"&gt;"&amp;$A137,実績!$AE$6:$AE$505,"○")&gt;0,1,0))</f>
        <v/>
      </c>
      <c r="AG137">
        <f>IF(AG$4=0,0,IF(COUNTIFS(実績!$W$6:$W$505,AG$3,実績!$AC$6:$AC$505,"&lt;="&amp;$A137,実績!$AD$6:$AD$505,"&gt;"&amp;$A137,実績!$AE$6:$AE$505,"○")&gt;0,1,0))</f>
        <v/>
      </c>
      <c r="AH137">
        <f>IF(AH$4=0,0,IF(COUNTIFS(実績!$W$6:$W$505,AH$3,実績!$AC$6:$AC$505,"&lt;="&amp;$A137,実績!$AD$6:$AD$505,"&gt;"&amp;$A137,実績!$AE$6:$AE$505,"○")&gt;0,1,0))</f>
        <v/>
      </c>
      <c r="AI137">
        <f>IF(AI$4=0,0,IF(COUNTIFS(実績!$W$6:$W$505,AI$3,実績!$AC$6:$AC$505,"&lt;="&amp;$A137,実績!$AD$6:$AD$505,"&gt;"&amp;$A137,実績!$AE$6:$AE$505,"○")&gt;0,1,0))</f>
        <v/>
      </c>
      <c r="AJ137">
        <f>IF(AJ$4=0,0,IF(COUNTIFS(実績!$W$6:$W$505,AJ$3,実績!$AC$6:$AC$505,"&lt;="&amp;$A137,実績!$AD$6:$AD$505,"&gt;"&amp;$A137,実績!$AE$6:$AE$505,"○")&gt;0,1,0))</f>
        <v/>
      </c>
      <c r="AK137">
        <f>IF(AK$4=0,0,IF(COUNTIFS(実績!$W$6:$W$505,AK$3,実績!$AC$6:$AC$505,"&lt;="&amp;$A137,実績!$AD$6:$AD$505,"&gt;"&amp;$A137,実績!$AE$6:$AE$505,"○")&gt;0,1,0))</f>
        <v/>
      </c>
      <c r="AL137">
        <f>IF(AL$4=0,0,IF(COUNTIFS(実績!$W$6:$W$505,AL$3,実績!$AC$6:$AC$505,"&lt;="&amp;$A137,実績!$AD$6:$AD$505,"&gt;"&amp;$A137,実績!$AE$6:$AE$505,"○")&gt;0,1,0))</f>
        <v/>
      </c>
      <c r="AM137">
        <f>IF(AM$4=0,0,IF(COUNTIFS(実績!$W$6:$W$505,AM$3,実績!$AC$6:$AC$505,"&lt;="&amp;$A137,実績!$AD$6:$AD$505,"&gt;"&amp;$A137,実績!$AE$6:$AE$505,"○")&gt;0,1,0))</f>
        <v/>
      </c>
      <c r="AN137">
        <f>IF(AN$4=0,0,IF(COUNTIFS(実績!$W$6:$W$505,AN$3,実績!$AC$6:$AC$505,"&lt;="&amp;$A137,実績!$AD$6:$AD$505,"&gt;"&amp;$A137,実績!$AE$6:$AE$505,"○")&gt;0,1,0))</f>
        <v/>
      </c>
      <c r="AO137">
        <f>IF(AO$4=0,0,IF(COUNTIFS(実績!$W$6:$W$505,AO$3,実績!$AC$6:$AC$505,"&lt;="&amp;$A137,実績!$AD$6:$AD$505,"&gt;"&amp;$A137,実績!$AE$6:$AE$505,"○")&gt;0,1,0))</f>
        <v/>
      </c>
      <c r="AP137">
        <f>IF(AP$4=0,0,IF(COUNTIFS(実績!$W$6:$W$505,AP$3,実績!$AC$6:$AC$505,"&lt;="&amp;$A137,実績!$AD$6:$AD$505,"&gt;"&amp;$A137,実績!$AE$6:$AE$505,"○")&gt;0,1,0))</f>
        <v/>
      </c>
      <c r="AQ137">
        <f>IF(AQ$4=0,0,IF(COUNTIFS(実績!$W$6:$W$505,AQ$3,実績!$AC$6:$AC$505,"&lt;="&amp;$A137,実績!$AD$6:$AD$505,"&gt;"&amp;$A137,実績!$AE$6:$AE$505,"○")&gt;0,1,0))</f>
        <v/>
      </c>
      <c r="AR137">
        <f>IF(AR$4=0,0,IF(COUNTIFS(実績!$W$6:$W$505,AR$3,実績!$AC$6:$AC$505,"&lt;="&amp;$A137,実績!$AD$6:$AD$505,"&gt;"&amp;$A137,実績!$AE$6:$AE$505,"○")&gt;0,1,0))</f>
        <v/>
      </c>
      <c r="AS137">
        <f>IF(AS$4=0,0,IF(COUNTIFS(実績!$W$6:$W$505,AS$3,実績!$AC$6:$AC$505,"&lt;="&amp;$A137,実績!$AD$6:$AD$505,"&gt;"&amp;$A137,実績!$AE$6:$AE$505,"○")&gt;0,1,0))</f>
        <v/>
      </c>
      <c r="AT137">
        <f>IF(AT$4=0,0,IF(COUNTIFS(実績!$W$6:$W$505,AT$3,実績!$AC$6:$AC$505,"&lt;="&amp;$A137,実績!$AD$6:$AD$505,"&gt;"&amp;$A137,実績!$AE$6:$AE$505,"○")&gt;0,1,0))</f>
        <v/>
      </c>
      <c r="AU137">
        <f>IF(AU$4=0,0,IF(COUNTIFS(実績!$W$6:$W$505,AU$3,実績!$AC$6:$AC$505,"&lt;="&amp;$A137,実績!$AD$6:$AD$505,"&gt;"&amp;$A137,実績!$AE$6:$AE$505,"○")&gt;0,1,0))</f>
        <v/>
      </c>
      <c r="AV137">
        <f>IF(AV$4=0,0,IF(COUNTIFS(実績!$W$6:$W$505,AV$3,実績!$AC$6:$AC$505,"&lt;="&amp;$A137,実績!$AD$6:$AD$505,"&gt;"&amp;$A137,実績!$AE$6:$AE$505,"○")&gt;0,1,0))</f>
        <v/>
      </c>
      <c r="AW137">
        <f>IF(AW$4=0,0,IF(COUNTIFS(実績!$W$6:$W$505,AW$3,実績!$AC$6:$AC$505,"&lt;="&amp;$A137,実績!$AD$6:$AD$505,"&gt;"&amp;$A137,実績!$AE$6:$AE$505,"○")&gt;0,1,0))</f>
        <v/>
      </c>
      <c r="AX137">
        <f>IF(AX$4=0,0,IF(COUNTIFS(実績!$W$6:$W$505,AX$3,実績!$AC$6:$AC$505,"&lt;="&amp;$A137,実績!$AD$6:$AD$505,"&gt;"&amp;$A137,実績!$AE$6:$AE$505,"○")&gt;0,1,0))</f>
        <v/>
      </c>
      <c r="AY137">
        <f>IF(AY$4=0,0,IF(COUNTIFS(実績!$W$6:$W$505,AY$3,実績!$AC$6:$AC$505,"&lt;="&amp;$A137,実績!$AD$6:$AD$505,"&gt;"&amp;$A137,実績!$AE$6:$AE$505,"○")&gt;0,1,0))</f>
        <v/>
      </c>
      <c r="AZ137">
        <f>IF(AZ$4=0,0,IF(COUNTIFS(実績!$W$6:$W$505,AZ$3,実績!$AC$6:$AC$505,"&lt;="&amp;$A137,実績!$AD$6:$AD$505,"&gt;"&amp;$A137,実績!$AE$6:$AE$505,"○")&gt;0,1,0))</f>
        <v/>
      </c>
      <c r="BA137">
        <f>IF(BA$4=0,0,IF(COUNTIFS(実績!$W$6:$W$505,BA$3,実績!$AC$6:$AC$505,"&lt;="&amp;$A137,実績!$AD$6:$AD$505,"&gt;"&amp;$A137,実績!$AE$6:$AE$505,"○")&gt;0,1,0))</f>
        <v/>
      </c>
      <c r="BB137">
        <f>IF(BB$4=0,0,IF(COUNTIFS(実績!$W$6:$W$505,BB$3,実績!$AC$6:$AC$505,"&lt;="&amp;$A137,実績!$AD$6:$AD$505,"&gt;"&amp;$A137,実績!$AE$6:$AE$505,"○")&gt;0,1,0))</f>
        <v/>
      </c>
      <c r="BC137">
        <f>IF(BC$4=0,0,IF(COUNTIFS(実績!$W$6:$W$505,BC$3,実績!$AC$6:$AC$505,"&lt;="&amp;$A137,実績!$AD$6:$AD$505,"&gt;"&amp;$A137,実績!$AE$6:$AE$505,"○")&gt;0,1,0))</f>
        <v/>
      </c>
      <c r="BD137">
        <f>IF(BD$4=0,0,IF(COUNTIFS(実績!$W$6:$W$505,BD$3,実績!$AC$6:$AC$505,"&lt;="&amp;$A137,実績!$AD$6:$AD$505,"&gt;"&amp;$A137,実績!$AE$6:$AE$505,"○")&gt;0,1,0))</f>
        <v/>
      </c>
      <c r="BE137">
        <f>IF(BE$4=0,0,IF(COUNTIFS(実績!$W$6:$W$505,BE$3,実績!$AC$6:$AC$505,"&lt;="&amp;$A137,実績!$AD$6:$AD$505,"&gt;"&amp;$A137,実績!$AE$6:$AE$505,"○")&gt;0,1,0))</f>
        <v/>
      </c>
      <c r="BF137">
        <f>IF(BF$4=0,0,IF(COUNTIFS(実績!$W$6:$W$505,BF$3,実績!$AC$6:$AC$505,"&lt;="&amp;$A137,実績!$AD$6:$AD$505,"&gt;"&amp;$A137,実績!$AE$6:$AE$505,"○")&gt;0,1,0))</f>
        <v/>
      </c>
      <c r="BG137">
        <f>IF(BG$4=0,0,IF(COUNTIFS(実績!$W$6:$W$505,BG$3,実績!$AC$6:$AC$505,"&lt;="&amp;$A137,実績!$AD$6:$AD$505,"&gt;"&amp;$A137,実績!$AE$6:$AE$505,"○")&gt;0,1,0))</f>
        <v/>
      </c>
      <c r="BH137">
        <f>IF(BH$4=0,0,IF(COUNTIFS(実績!$W$6:$W$505,BH$3,実績!$AC$6:$AC$505,"&lt;="&amp;$A137,実績!$AD$6:$AD$505,"&gt;"&amp;$A137,実績!$AE$6:$AE$505,"○")&gt;0,1,0))</f>
        <v/>
      </c>
      <c r="BI137">
        <f>IF(BI$4=0,0,IF(COUNTIFS(実績!$W$6:$W$505,BI$3,実績!$AC$6:$AC$505,"&lt;="&amp;$A137,実績!$AD$6:$AD$505,"&gt;"&amp;$A137,実績!$AE$6:$AE$505,"○")&gt;0,1,0))</f>
        <v/>
      </c>
      <c r="BJ137">
        <f>IF(BJ$4=0,0,IF(COUNTIFS(実績!$W$6:$W$505,BJ$3,実績!$AC$6:$AC$505,"&lt;="&amp;$A137,実績!$AD$6:$AD$505,"&gt;"&amp;$A137,実績!$AE$6:$AE$505,"○")&gt;0,1,0))</f>
        <v/>
      </c>
      <c r="BK137">
        <f>IF(BK$4=0,0,IF(COUNTIFS(実績!$W$6:$W$505,BK$3,実績!$AC$6:$AC$505,"&lt;="&amp;$A137,実績!$AD$6:$AD$505,"&gt;"&amp;$A137,実績!$AE$6:$AE$505,"○")&gt;0,1,0))</f>
        <v/>
      </c>
      <c r="BL137">
        <f>IF(BL$4=0,0,IF(COUNTIFS(実績!$W$6:$W$505,BL$3,実績!$AC$6:$AC$505,"&lt;="&amp;$A137,実績!$AD$6:$AD$505,"&gt;"&amp;$A137,実績!$AE$6:$AE$505,"○")&gt;0,1,0))</f>
        <v/>
      </c>
      <c r="BM137">
        <f>IF(BM$4=0,0,IF(COUNTIFS(実績!$W$6:$W$505,BM$3,実績!$AC$6:$AC$505,"&lt;="&amp;$A137,実績!$AD$6:$AD$505,"&gt;"&amp;$A137,実績!$AE$6:$AE$505,"○")&gt;0,1,0))</f>
        <v/>
      </c>
      <c r="BN137">
        <f>IF(BN$4=0,0,IF(COUNTIFS(実績!$W$6:$W$505,BN$3,実績!$AC$6:$AC$505,"&lt;="&amp;$A137,実績!$AD$6:$AD$505,"&gt;"&amp;$A137,実績!$AE$6:$AE$505,"○")&gt;0,1,0))</f>
        <v/>
      </c>
      <c r="BO137">
        <f>IF(BO$4=0,0,IF(COUNTIFS(実績!$W$6:$W$505,BO$3,実績!$AC$6:$AC$505,"&lt;="&amp;$A137,実績!$AD$6:$AD$505,"&gt;"&amp;$A137,実績!$AE$6:$AE$505,"○")&gt;0,1,0))</f>
        <v/>
      </c>
      <c r="BP137">
        <f>IF(BP$4=0,0,IF(COUNTIFS(実績!$W$6:$W$505,BP$3,実績!$AC$6:$AC$505,"&lt;="&amp;$A137,実績!$AD$6:$AD$505,"&gt;"&amp;$A137,実績!$AE$6:$AE$505,"○")&gt;0,1,0))</f>
        <v/>
      </c>
      <c r="BQ137">
        <f>IF(BQ$4=0,0,IF(COUNTIFS(実績!$W$6:$W$505,BQ$3,実績!$AC$6:$AC$505,"&lt;="&amp;$A137,実績!$AD$6:$AD$505,"&gt;"&amp;$A137,実績!$AE$6:$AE$505,"○")&gt;0,1,0))</f>
        <v/>
      </c>
      <c r="BR137">
        <f>IF(BR$4=0,0,IF(COUNTIFS(実績!$W$6:$W$505,BR$3,実績!$AC$6:$AC$505,"&lt;="&amp;$A137,実績!$AD$6:$AD$505,"&gt;"&amp;$A137,実績!$AE$6:$AE$505,"○")&gt;0,1,0))</f>
        <v/>
      </c>
      <c r="BS137">
        <f>IF(BS$4=0,0,IF(COUNTIFS(実績!$W$6:$W$505,BS$3,実績!$AC$6:$AC$505,"&lt;="&amp;$A137,実績!$AD$6:$AD$505,"&gt;"&amp;$A137,実績!$AE$6:$AE$505,"○")&gt;0,1,0))</f>
        <v/>
      </c>
      <c r="BT137">
        <f>IF(BT$4=0,0,IF(COUNTIFS(実績!$W$6:$W$505,BT$3,実績!$AC$6:$AC$505,"&lt;="&amp;$A137,実績!$AD$6:$AD$505,"&gt;"&amp;$A137,実績!$AE$6:$AE$505,"○")&gt;0,1,0))</f>
        <v/>
      </c>
      <c r="BU137">
        <f>IF(BU$4=0,0,IF(COUNTIFS(実績!$W$6:$W$505,BU$3,実績!$AC$6:$AC$505,"&lt;="&amp;$A137,実績!$AD$6:$AD$505,"&gt;"&amp;$A137,実績!$AE$6:$AE$505,"○")&gt;0,1,0))</f>
        <v/>
      </c>
      <c r="BV137">
        <f>IF(BV$4=0,0,IF(COUNTIFS(実績!$W$6:$W$505,BV$3,実績!$AC$6:$AC$505,"&lt;="&amp;$A137,実績!$AD$6:$AD$505,"&gt;"&amp;$A137,実績!$AE$6:$AE$505,"○")&gt;0,1,0))</f>
        <v/>
      </c>
      <c r="BW137">
        <f>IF(BW$4=0,0,IF(COUNTIFS(実績!$W$6:$W$505,BW$3,実績!$AC$6:$AC$505,"&lt;="&amp;$A137,実績!$AD$6:$AD$505,"&gt;"&amp;$A137,実績!$AE$6:$AE$505,"○")&gt;0,1,0))</f>
        <v/>
      </c>
      <c r="BX137">
        <f>IF(BX$4=0,0,IF(COUNTIFS(実績!$W$6:$W$505,BX$3,実績!$AC$6:$AC$505,"&lt;="&amp;$A137,実績!$AD$6:$AD$505,"&gt;"&amp;$A137,実績!$AE$6:$AE$505,"○")&gt;0,1,0))</f>
        <v/>
      </c>
      <c r="BY137">
        <f>IF(BY$4=0,0,IF(COUNTIFS(実績!$W$6:$W$505,BY$3,実績!$AC$6:$AC$505,"&lt;="&amp;$A137,実績!$AD$6:$AD$505,"&gt;"&amp;$A137,実績!$AE$6:$AE$505,"○")&gt;0,1,0))</f>
        <v/>
      </c>
      <c r="BZ137">
        <f>IF(BZ$4=0,0,IF(COUNTIFS(実績!$W$6:$W$505,BZ$3,実績!$AC$6:$AC$505,"&lt;="&amp;$A137,実績!$AD$6:$AD$505,"&gt;"&amp;$A137,実績!$AE$6:$AE$505,"○")&gt;0,1,0))</f>
        <v/>
      </c>
      <c r="CA137">
        <f>IF(CA$4=0,0,IF(COUNTIFS(実績!$W$6:$W$505,CA$3,実績!$AC$6:$AC$505,"&lt;="&amp;$A137,実績!$AD$6:$AD$505,"&gt;"&amp;$A137,実績!$AE$6:$AE$505,"○")&gt;0,1,0))</f>
        <v/>
      </c>
      <c r="CB137">
        <f>IF(CB$4=0,0,IF(COUNTIFS(実績!$W$6:$W$505,CB$3,実績!$AC$6:$AC$505,"&lt;="&amp;$A137,実績!$AD$6:$AD$505,"&gt;"&amp;$A137,実績!$AE$6:$AE$505,"○")&gt;0,1,0))</f>
        <v/>
      </c>
      <c r="CC137">
        <f>IF(CC$4=0,0,IF(COUNTIFS(実績!$W$6:$W$505,CC$3,実績!$AC$6:$AC$505,"&lt;="&amp;$A137,実績!$AD$6:$AD$505,"&gt;"&amp;$A137,実績!$AE$6:$AE$505,"○")&gt;0,1,0))</f>
        <v/>
      </c>
      <c r="CD137">
        <f>IF(CD$4=0,0,IF(COUNTIFS(実績!$W$6:$W$505,CD$3,実績!$AC$6:$AC$505,"&lt;="&amp;$A137,実績!$AD$6:$AD$505,"&gt;"&amp;$A137,実績!$AE$6:$AE$505,"○")&gt;0,1,0))</f>
        <v/>
      </c>
      <c r="CE137">
        <f>IF(CE$4=0,0,IF(COUNTIFS(実績!$W$6:$W$505,CE$3,実績!$AC$6:$AC$505,"&lt;="&amp;$A137,実績!$AD$6:$AD$505,"&gt;"&amp;$A137,実績!$AE$6:$AE$505,"○")&gt;0,1,0))</f>
        <v/>
      </c>
      <c r="CF137">
        <f>IF(CF$4=0,0,IF(COUNTIFS(実績!$W$6:$W$505,CF$3,実績!$AC$6:$AC$505,"&lt;="&amp;$A137,実績!$AD$6:$AD$505,"&gt;"&amp;$A137,実績!$AE$6:$AE$505,"○")&gt;0,1,0))</f>
        <v/>
      </c>
      <c r="CG137">
        <f>IF(CG$4=0,0,IF(COUNTIFS(実績!$W$6:$W$505,CG$3,実績!$AC$6:$AC$505,"&lt;="&amp;$A137,実績!$AD$6:$AD$505,"&gt;"&amp;$A137,実績!$AE$6:$AE$505,"○")&gt;0,1,0))</f>
        <v/>
      </c>
      <c r="CH137">
        <f>IF(CH$4=0,0,IF(COUNTIFS(実績!$W$6:$W$505,CH$3,実績!$AC$6:$AC$505,"&lt;="&amp;$A137,実績!$AD$6:$AD$505,"&gt;"&amp;$A137,実績!$AE$6:$AE$505,"○")&gt;0,1,0))</f>
        <v/>
      </c>
      <c r="CI137">
        <f>IF(CI$4=0,0,IF(COUNTIFS(実績!$W$6:$W$505,CI$3,実績!$AC$6:$AC$505,"&lt;="&amp;$A137,実績!$AD$6:$AD$505,"&gt;"&amp;$A137,実績!$AE$6:$AE$505,"○")&gt;0,1,0))</f>
        <v/>
      </c>
      <c r="CJ137">
        <f>IF(CJ$4=0,0,IF(COUNTIFS(実績!$W$6:$W$505,CJ$3,実績!$AC$6:$AC$505,"&lt;="&amp;$A137,実績!$AD$6:$AD$505,"&gt;"&amp;$A137,実績!$AE$6:$AE$505,"○")&gt;0,1,0))</f>
        <v/>
      </c>
      <c r="CK137">
        <f>IF(CK$4=0,0,IF(COUNTIFS(実績!$W$6:$W$505,CK$3,実績!$AC$6:$AC$505,"&lt;="&amp;$A137,実績!$AD$6:$AD$505,"&gt;"&amp;$A137,実績!$AE$6:$AE$505,"○")&gt;0,1,0))</f>
        <v/>
      </c>
      <c r="CL137">
        <f>IF(CL$4=0,0,IF(COUNTIFS(実績!$W$6:$W$505,CL$3,実績!$AC$6:$AC$505,"&lt;="&amp;$A137,実績!$AD$6:$AD$505,"&gt;"&amp;$A137,実績!$AE$6:$AE$505,"○")&gt;0,1,0))</f>
        <v/>
      </c>
      <c r="CM137">
        <f>IF(CM$4=0,0,IF(COUNTIFS(実績!$W$6:$W$505,CM$3,実績!$AC$6:$AC$505,"&lt;="&amp;$A137,実績!$AD$6:$AD$505,"&gt;"&amp;$A137,実績!$AE$6:$AE$505,"○")&gt;0,1,0))</f>
        <v/>
      </c>
      <c r="CN137">
        <f>IF(CN$4=0,0,IF(COUNTIFS(実績!$W$6:$W$505,CN$3,実績!$AC$6:$AC$505,"&lt;="&amp;$A137,実績!$AD$6:$AD$505,"&gt;"&amp;$A137,実績!$AE$6:$AE$505,"○")&gt;0,1,0))</f>
        <v/>
      </c>
      <c r="CO137">
        <f>IF(CO$4=0,0,IF(COUNTIFS(実績!$W$6:$W$505,CO$3,実績!$AC$6:$AC$505,"&lt;="&amp;$A137,実績!$AD$6:$AD$505,"&gt;"&amp;$A137,実績!$AE$6:$AE$505,"○")&gt;0,1,0))</f>
        <v/>
      </c>
      <c r="CP137">
        <f>IF(CP$4=0,0,IF(COUNTIFS(実績!$W$6:$W$505,CP$3,実績!$AC$6:$AC$505,"&lt;="&amp;$A137,実績!$AD$6:$AD$505,"&gt;"&amp;$A137,実績!$AE$6:$AE$505,"○")&gt;0,1,0))</f>
        <v/>
      </c>
      <c r="CQ137">
        <f>IF(CQ$4=0,0,IF(COUNTIFS(実績!$W$6:$W$505,CQ$3,実績!$AC$6:$AC$505,"&lt;="&amp;$A137,実績!$AD$6:$AD$505,"&gt;"&amp;$A137,実績!$AE$6:$AE$505,"○")&gt;0,1,0))</f>
        <v/>
      </c>
      <c r="CR137">
        <f>IF(CR$4=0,0,IF(COUNTIFS(実績!$W$6:$W$505,CR$3,実績!$AC$6:$AC$505,"&lt;="&amp;$A137,実績!$AD$6:$AD$505,"&gt;"&amp;$A137,実績!$AE$6:$AE$505,"○")&gt;0,1,0))</f>
        <v/>
      </c>
      <c r="CS137">
        <f>IF(CS$4=0,0,IF(COUNTIFS(実績!$W$6:$W$505,CS$3,実績!$AC$6:$AC$505,"&lt;="&amp;$A137,実績!$AD$6:$AD$505,"&gt;"&amp;$A137,実績!$AE$6:$AE$505,"○")&gt;0,1,0))</f>
        <v/>
      </c>
      <c r="CT137">
        <f>IF(CT$4=0,0,IF(COUNTIFS(実績!$W$6:$W$505,CT$3,実績!$AC$6:$AC$505,"&lt;="&amp;$A137,実績!$AD$6:$AD$505,"&gt;"&amp;$A137,実績!$AE$6:$AE$505,"○")&gt;0,1,0))</f>
        <v/>
      </c>
      <c r="CU137">
        <f>IF(CU$4=0,0,IF(COUNTIFS(実績!$W$6:$W$505,CU$3,実績!$AC$6:$AC$505,"&lt;="&amp;$A137,実績!$AD$6:$AD$505,"&gt;"&amp;$A137,実績!$AE$6:$AE$505,"○")&gt;0,1,0))</f>
        <v/>
      </c>
      <c r="CV137">
        <f>IF(CV$4=0,0,IF(COUNTIFS(実績!$W$6:$W$505,CV$3,実績!$AC$6:$AC$505,"&lt;="&amp;$A137,実績!$AD$6:$AD$505,"&gt;"&amp;$A137,実績!$AE$6:$AE$505,"○")&gt;0,1,0))</f>
        <v/>
      </c>
      <c r="CW137">
        <f>IF(CW$4=0,0,IF(COUNTIFS(実績!$W$6:$W$505,CW$3,実績!$AC$6:$AC$505,"&lt;="&amp;$A137,実績!$AD$6:$AD$505,"&gt;"&amp;$A137,実績!$AE$6:$AE$505,"○")&gt;0,1,0))</f>
        <v/>
      </c>
      <c r="CX137">
        <f>IF(CX$4=0,0,IF(COUNTIFS(実績!$W$6:$W$505,CX$3,実績!$AC$6:$AC$505,"&lt;="&amp;$A137,実績!$AD$6:$AD$505,"&gt;"&amp;$A137,実績!$AE$6:$AE$505,"○")&gt;0,1,0))</f>
        <v/>
      </c>
      <c r="CY137">
        <f>IF(CY$4=0,0,IF(COUNTIFS(実績!$W$6:$W$505,CY$3,実績!$AC$6:$AC$505,"&lt;="&amp;$A137,実績!$AD$6:$AD$505,"&gt;"&amp;$A137,実績!$AE$6:$AE$505,"○")&gt;0,1,0))</f>
        <v/>
      </c>
      <c r="CZ137">
        <f>IF(CZ$4=0,0,IF(COUNTIFS(実績!$W$6:$W$505,CZ$3,実績!$AC$6:$AC$505,"&lt;="&amp;$A137,実績!$AD$6:$AD$505,"&gt;"&amp;$A137,実績!$AE$6:$AE$505,"○")&gt;0,1,0))</f>
        <v/>
      </c>
      <c r="DA137">
        <f>IF(DA$4=0,0,IF(COUNTIFS(実績!$W$6:$W$505,DA$3,実績!$AC$6:$AC$505,"&lt;="&amp;$A137,実績!$AD$6:$AD$505,"&gt;"&amp;$A137,実績!$AE$6:$AE$505,"○")&gt;0,1,0))</f>
        <v/>
      </c>
      <c r="DB137">
        <f>IF(DB$4=0,0,IF(COUNTIFS(実績!$W$6:$W$505,DB$3,実績!$AC$6:$AC$505,"&lt;="&amp;$A137,実績!$AD$6:$AD$505,"&gt;"&amp;$A137,実績!$AE$6:$AE$505,"○")&gt;0,1,0))</f>
        <v/>
      </c>
      <c r="DC137">
        <f>IF(DC$4=0,0,IF(COUNTIFS(実績!$W$6:$W$505,DC$3,実績!$AC$6:$AC$505,"&lt;="&amp;$A137,実績!$AD$6:$AD$505,"&gt;"&amp;$A137,実績!$AE$6:$AE$505,"○")&gt;0,1,0))</f>
        <v/>
      </c>
      <c r="DD137">
        <f>IF(DD$4=0,0,IF(COUNTIFS(実績!$W$6:$W$505,DD$3,実績!$AC$6:$AC$505,"&lt;="&amp;$A137,実績!$AD$6:$AD$505,"&gt;"&amp;$A137,実績!$AE$6:$AE$505,"○")&gt;0,1,0))</f>
        <v/>
      </c>
      <c r="DE137">
        <f>IF(DE$4=0,0,IF(COUNTIFS(実績!$W$6:$W$505,DE$3,実績!$AC$6:$AC$505,"&lt;="&amp;$A137,実績!$AD$6:$AD$505,"&gt;"&amp;$A137,実績!$AE$6:$AE$505,"○")&gt;0,1,0))</f>
        <v/>
      </c>
      <c r="DF137">
        <f>IF(DF$4=0,0,IF(COUNTIFS(実績!$W$6:$W$505,DF$3,実績!$AC$6:$AC$505,"&lt;="&amp;$A137,実績!$AD$6:$AD$505,"&gt;"&amp;$A137,実績!$AE$6:$AE$505,"○")&gt;0,1,0))</f>
        <v/>
      </c>
      <c r="DG137">
        <f>IF(DG$4=0,0,IF(COUNTIFS(実績!$W$6:$W$505,DG$3,実績!$AC$6:$AC$505,"&lt;="&amp;$A137,実績!$AD$6:$AD$505,"&gt;"&amp;$A137,実績!$AE$6:$AE$505,"○")&gt;0,1,0))</f>
        <v/>
      </c>
      <c r="DH137">
        <f>IF(DH$4=0,0,IF(COUNTIFS(実績!$W$6:$W$505,DH$3,実績!$AC$6:$AC$505,"&lt;="&amp;$A137,実績!$AD$6:$AD$505,"&gt;"&amp;$A137,実績!$AE$6:$AE$505,"○")&gt;0,1,0))</f>
        <v/>
      </c>
      <c r="DI137">
        <f>IF(DI$4=0,0,IF(COUNTIFS(実績!$W$6:$W$505,DI$3,実績!$AC$6:$AC$505,"&lt;="&amp;$A137,実績!$AD$6:$AD$505,"&gt;"&amp;$A137,実績!$AE$6:$AE$505,"○")&gt;0,1,0))</f>
        <v/>
      </c>
      <c r="DJ137">
        <f>IF(DJ$4=0,0,IF(COUNTIFS(実績!$W$6:$W$505,DJ$3,実績!$AC$6:$AC$505,"&lt;="&amp;$A137,実績!$AD$6:$AD$505,"&gt;"&amp;$A137,実績!$AE$6:$AE$505,"○")&gt;0,1,0))</f>
        <v/>
      </c>
      <c r="DK137">
        <f>IF(DK$4=0,0,IF(COUNTIFS(実績!$W$6:$W$505,DK$3,実績!$AC$6:$AC$505,"&lt;="&amp;$A137,実績!$AD$6:$AD$505,"&gt;"&amp;$A137,実績!$AE$6:$AE$505,"○")&gt;0,1,0))</f>
        <v/>
      </c>
      <c r="DL137">
        <f>IF(DL$4=0,0,IF(COUNTIFS(実績!$W$6:$W$505,DL$3,実績!$AC$6:$AC$505,"&lt;="&amp;$A137,実績!$AD$6:$AD$505,"&gt;"&amp;$A137,実績!$AE$6:$AE$505,"○")&gt;0,1,0))</f>
        <v/>
      </c>
      <c r="DM137">
        <f>IF(DM$4=0,0,IF(COUNTIFS(実績!$W$6:$W$505,DM$3,実績!$AC$6:$AC$505,"&lt;="&amp;$A137,実績!$AD$6:$AD$505,"&gt;"&amp;$A137,実績!$AE$6:$AE$505,"○")&gt;0,1,0))</f>
        <v/>
      </c>
      <c r="DN137">
        <f>IF(DN$4=0,0,IF(COUNTIFS(実績!$W$6:$W$505,DN$3,実績!$AC$6:$AC$505,"&lt;="&amp;$A137,実績!$AD$6:$AD$505,"&gt;"&amp;$A137,実績!$AE$6:$AE$505,"○")&gt;0,1,0))</f>
        <v/>
      </c>
      <c r="DO137">
        <f>IF(DO$4=0,0,IF(COUNTIFS(実績!$W$6:$W$505,DO$3,実績!$AC$6:$AC$505,"&lt;="&amp;$A137,実績!$AD$6:$AD$505,"&gt;"&amp;$A137,実績!$AE$6:$AE$505,"○")&gt;0,1,0))</f>
        <v/>
      </c>
      <c r="DP137">
        <f>IF(DP$4=0,0,IF(COUNTIFS(実績!$W$6:$W$505,DP$3,実績!$AC$6:$AC$505,"&lt;="&amp;$A137,実績!$AD$6:$AD$505,"&gt;"&amp;$A137,実績!$AE$6:$AE$505,"○")&gt;0,1,0))</f>
        <v/>
      </c>
      <c r="DQ137">
        <f>IF(DQ$4=0,0,IF(COUNTIFS(実績!$W$6:$W$505,DQ$3,実績!$AC$6:$AC$505,"&lt;="&amp;$A137,実績!$AD$6:$AD$505,"&gt;"&amp;$A137,実績!$AE$6:$AE$505,"○")&gt;0,1,0))</f>
        <v/>
      </c>
      <c r="DR137">
        <f>IF(DR$4=0,0,IF(COUNTIFS(実績!$W$6:$W$505,DR$3,実績!$AC$6:$AC$505,"&lt;="&amp;$A137,実績!$AD$6:$AD$505,"&gt;"&amp;$A137,実績!$AE$6:$AE$505,"○")&gt;0,1,0))</f>
        <v/>
      </c>
      <c r="DS137">
        <f>SUM(C137:DR137)</f>
        <v/>
      </c>
      <c r="DT137">
        <f>SUMPRODUCT((実績!$C$6:$C$505="○")*ISNUMBER(実績!$AF$6:$AF$505)*(実績!$AF$6:$AF$505&lt;=$A137)*(実績!$AG$6:$AG$505&gt;$A137))</f>
        <v/>
      </c>
      <c r="DU137">
        <f>SUMIF($C$2:$DR$2,"製鉄曳船",C137:DR137)</f>
        <v/>
      </c>
      <c r="DV137">
        <f>SUMIF($C$2:$DR$2,"西日本海運",C137:DR137)</f>
        <v/>
      </c>
    </row>
    <row r="138">
      <c r="A138" t="n">
        <v>660</v>
      </c>
      <c r="B138" s="29">
        <f>A138/1440</f>
        <v/>
      </c>
      <c r="C138">
        <f>IF(C$4=0,0,IF(COUNTIFS(実績!$W$6:$W$505,C$3,実績!$AC$6:$AC$505,"&lt;="&amp;$A138,実績!$AD$6:$AD$505,"&gt;"&amp;$A138,実績!$AE$6:$AE$505,"○")&gt;0,1,0))</f>
        <v/>
      </c>
      <c r="D138">
        <f>IF(D$4=0,0,IF(COUNTIFS(実績!$W$6:$W$505,D$3,実績!$AC$6:$AC$505,"&lt;="&amp;$A138,実績!$AD$6:$AD$505,"&gt;"&amp;$A138,実績!$AE$6:$AE$505,"○")&gt;0,1,0))</f>
        <v/>
      </c>
      <c r="E138">
        <f>IF(E$4=0,0,IF(COUNTIFS(実績!$W$6:$W$505,E$3,実績!$AC$6:$AC$505,"&lt;="&amp;$A138,実績!$AD$6:$AD$505,"&gt;"&amp;$A138,実績!$AE$6:$AE$505,"○")&gt;0,1,0))</f>
        <v/>
      </c>
      <c r="F138">
        <f>IF(F$4=0,0,IF(COUNTIFS(実績!$W$6:$W$505,F$3,実績!$AC$6:$AC$505,"&lt;="&amp;$A138,実績!$AD$6:$AD$505,"&gt;"&amp;$A138,実績!$AE$6:$AE$505,"○")&gt;0,1,0))</f>
        <v/>
      </c>
      <c r="G138">
        <f>IF(G$4=0,0,IF(COUNTIFS(実績!$W$6:$W$505,G$3,実績!$AC$6:$AC$505,"&lt;="&amp;$A138,実績!$AD$6:$AD$505,"&gt;"&amp;$A138,実績!$AE$6:$AE$505,"○")&gt;0,1,0))</f>
        <v/>
      </c>
      <c r="H138">
        <f>IF(H$4=0,0,IF(COUNTIFS(実績!$W$6:$W$505,H$3,実績!$AC$6:$AC$505,"&lt;="&amp;$A138,実績!$AD$6:$AD$505,"&gt;"&amp;$A138,実績!$AE$6:$AE$505,"○")&gt;0,1,0))</f>
        <v/>
      </c>
      <c r="I138">
        <f>IF(I$4=0,0,IF(COUNTIFS(実績!$W$6:$W$505,I$3,実績!$AC$6:$AC$505,"&lt;="&amp;$A138,実績!$AD$6:$AD$505,"&gt;"&amp;$A138,実績!$AE$6:$AE$505,"○")&gt;0,1,0))</f>
        <v/>
      </c>
      <c r="J138">
        <f>IF(J$4=0,0,IF(COUNTIFS(実績!$W$6:$W$505,J$3,実績!$AC$6:$AC$505,"&lt;="&amp;$A138,実績!$AD$6:$AD$505,"&gt;"&amp;$A138,実績!$AE$6:$AE$505,"○")&gt;0,1,0))</f>
        <v/>
      </c>
      <c r="K138">
        <f>IF(K$4=0,0,IF(COUNTIFS(実績!$W$6:$W$505,K$3,実績!$AC$6:$AC$505,"&lt;="&amp;$A138,実績!$AD$6:$AD$505,"&gt;"&amp;$A138,実績!$AE$6:$AE$505,"○")&gt;0,1,0))</f>
        <v/>
      </c>
      <c r="L138">
        <f>IF(L$4=0,0,IF(COUNTIFS(実績!$W$6:$W$505,L$3,実績!$AC$6:$AC$505,"&lt;="&amp;$A138,実績!$AD$6:$AD$505,"&gt;"&amp;$A138,実績!$AE$6:$AE$505,"○")&gt;0,1,0))</f>
        <v/>
      </c>
      <c r="M138">
        <f>IF(M$4=0,0,IF(COUNTIFS(実績!$W$6:$W$505,M$3,実績!$AC$6:$AC$505,"&lt;="&amp;$A138,実績!$AD$6:$AD$505,"&gt;"&amp;$A138,実績!$AE$6:$AE$505,"○")&gt;0,1,0))</f>
        <v/>
      </c>
      <c r="N138">
        <f>IF(N$4=0,0,IF(COUNTIFS(実績!$W$6:$W$505,N$3,実績!$AC$6:$AC$505,"&lt;="&amp;$A138,実績!$AD$6:$AD$505,"&gt;"&amp;$A138,実績!$AE$6:$AE$505,"○")&gt;0,1,0))</f>
        <v/>
      </c>
      <c r="O138">
        <f>IF(O$4=0,0,IF(COUNTIFS(実績!$W$6:$W$505,O$3,実績!$AC$6:$AC$505,"&lt;="&amp;$A138,実績!$AD$6:$AD$505,"&gt;"&amp;$A138,実績!$AE$6:$AE$505,"○")&gt;0,1,0))</f>
        <v/>
      </c>
      <c r="P138">
        <f>IF(P$4=0,0,IF(COUNTIFS(実績!$W$6:$W$505,P$3,実績!$AC$6:$AC$505,"&lt;="&amp;$A138,実績!$AD$6:$AD$505,"&gt;"&amp;$A138,実績!$AE$6:$AE$505,"○")&gt;0,1,0))</f>
        <v/>
      </c>
      <c r="Q138">
        <f>IF(Q$4=0,0,IF(COUNTIFS(実績!$W$6:$W$505,Q$3,実績!$AC$6:$AC$505,"&lt;="&amp;$A138,実績!$AD$6:$AD$505,"&gt;"&amp;$A138,実績!$AE$6:$AE$505,"○")&gt;0,1,0))</f>
        <v/>
      </c>
      <c r="R138">
        <f>IF(R$4=0,0,IF(COUNTIFS(実績!$W$6:$W$505,R$3,実績!$AC$6:$AC$505,"&lt;="&amp;$A138,実績!$AD$6:$AD$505,"&gt;"&amp;$A138,実績!$AE$6:$AE$505,"○")&gt;0,1,0))</f>
        <v/>
      </c>
      <c r="S138">
        <f>IF(S$4=0,0,IF(COUNTIFS(実績!$W$6:$W$505,S$3,実績!$AC$6:$AC$505,"&lt;="&amp;$A138,実績!$AD$6:$AD$505,"&gt;"&amp;$A138,実績!$AE$6:$AE$505,"○")&gt;0,1,0))</f>
        <v/>
      </c>
      <c r="T138">
        <f>IF(T$4=0,0,IF(COUNTIFS(実績!$W$6:$W$505,T$3,実績!$AC$6:$AC$505,"&lt;="&amp;$A138,実績!$AD$6:$AD$505,"&gt;"&amp;$A138,実績!$AE$6:$AE$505,"○")&gt;0,1,0))</f>
        <v/>
      </c>
      <c r="U138">
        <f>IF(U$4=0,0,IF(COUNTIFS(実績!$W$6:$W$505,U$3,実績!$AC$6:$AC$505,"&lt;="&amp;$A138,実績!$AD$6:$AD$505,"&gt;"&amp;$A138,実績!$AE$6:$AE$505,"○")&gt;0,1,0))</f>
        <v/>
      </c>
      <c r="V138">
        <f>IF(V$4=0,0,IF(COUNTIFS(実績!$W$6:$W$505,V$3,実績!$AC$6:$AC$505,"&lt;="&amp;$A138,実績!$AD$6:$AD$505,"&gt;"&amp;$A138,実績!$AE$6:$AE$505,"○")&gt;0,1,0))</f>
        <v/>
      </c>
      <c r="W138">
        <f>IF(W$4=0,0,IF(COUNTIFS(実績!$W$6:$W$505,W$3,実績!$AC$6:$AC$505,"&lt;="&amp;$A138,実績!$AD$6:$AD$505,"&gt;"&amp;$A138,実績!$AE$6:$AE$505,"○")&gt;0,1,0))</f>
        <v/>
      </c>
      <c r="X138">
        <f>IF(X$4=0,0,IF(COUNTIFS(実績!$W$6:$W$505,X$3,実績!$AC$6:$AC$505,"&lt;="&amp;$A138,実績!$AD$6:$AD$505,"&gt;"&amp;$A138,実績!$AE$6:$AE$505,"○")&gt;0,1,0))</f>
        <v/>
      </c>
      <c r="Y138">
        <f>IF(Y$4=0,0,IF(COUNTIFS(実績!$W$6:$W$505,Y$3,実績!$AC$6:$AC$505,"&lt;="&amp;$A138,実績!$AD$6:$AD$505,"&gt;"&amp;$A138,実績!$AE$6:$AE$505,"○")&gt;0,1,0))</f>
        <v/>
      </c>
      <c r="Z138">
        <f>IF(Z$4=0,0,IF(COUNTIFS(実績!$W$6:$W$505,Z$3,実績!$AC$6:$AC$505,"&lt;="&amp;$A138,実績!$AD$6:$AD$505,"&gt;"&amp;$A138,実績!$AE$6:$AE$505,"○")&gt;0,1,0))</f>
        <v/>
      </c>
      <c r="AA138">
        <f>IF(AA$4=0,0,IF(COUNTIFS(実績!$W$6:$W$505,AA$3,実績!$AC$6:$AC$505,"&lt;="&amp;$A138,実績!$AD$6:$AD$505,"&gt;"&amp;$A138,実績!$AE$6:$AE$505,"○")&gt;0,1,0))</f>
        <v/>
      </c>
      <c r="AB138">
        <f>IF(AB$4=0,0,IF(COUNTIFS(実績!$W$6:$W$505,AB$3,実績!$AC$6:$AC$505,"&lt;="&amp;$A138,実績!$AD$6:$AD$505,"&gt;"&amp;$A138,実績!$AE$6:$AE$505,"○")&gt;0,1,0))</f>
        <v/>
      </c>
      <c r="AC138">
        <f>IF(AC$4=0,0,IF(COUNTIFS(実績!$W$6:$W$505,AC$3,実績!$AC$6:$AC$505,"&lt;="&amp;$A138,実績!$AD$6:$AD$505,"&gt;"&amp;$A138,実績!$AE$6:$AE$505,"○")&gt;0,1,0))</f>
        <v/>
      </c>
      <c r="AD138">
        <f>IF(AD$4=0,0,IF(COUNTIFS(実績!$W$6:$W$505,AD$3,実績!$AC$6:$AC$505,"&lt;="&amp;$A138,実績!$AD$6:$AD$505,"&gt;"&amp;$A138,実績!$AE$6:$AE$505,"○")&gt;0,1,0))</f>
        <v/>
      </c>
      <c r="AE138">
        <f>IF(AE$4=0,0,IF(COUNTIFS(実績!$W$6:$W$505,AE$3,実績!$AC$6:$AC$505,"&lt;="&amp;$A138,実績!$AD$6:$AD$505,"&gt;"&amp;$A138,実績!$AE$6:$AE$505,"○")&gt;0,1,0))</f>
        <v/>
      </c>
      <c r="AF138">
        <f>IF(AF$4=0,0,IF(COUNTIFS(実績!$W$6:$W$505,AF$3,実績!$AC$6:$AC$505,"&lt;="&amp;$A138,実績!$AD$6:$AD$505,"&gt;"&amp;$A138,実績!$AE$6:$AE$505,"○")&gt;0,1,0))</f>
        <v/>
      </c>
      <c r="AG138">
        <f>IF(AG$4=0,0,IF(COUNTIFS(実績!$W$6:$W$505,AG$3,実績!$AC$6:$AC$505,"&lt;="&amp;$A138,実績!$AD$6:$AD$505,"&gt;"&amp;$A138,実績!$AE$6:$AE$505,"○")&gt;0,1,0))</f>
        <v/>
      </c>
      <c r="AH138">
        <f>IF(AH$4=0,0,IF(COUNTIFS(実績!$W$6:$W$505,AH$3,実績!$AC$6:$AC$505,"&lt;="&amp;$A138,実績!$AD$6:$AD$505,"&gt;"&amp;$A138,実績!$AE$6:$AE$505,"○")&gt;0,1,0))</f>
        <v/>
      </c>
      <c r="AI138">
        <f>IF(AI$4=0,0,IF(COUNTIFS(実績!$W$6:$W$505,AI$3,実績!$AC$6:$AC$505,"&lt;="&amp;$A138,実績!$AD$6:$AD$505,"&gt;"&amp;$A138,実績!$AE$6:$AE$505,"○")&gt;0,1,0))</f>
        <v/>
      </c>
      <c r="AJ138">
        <f>IF(AJ$4=0,0,IF(COUNTIFS(実績!$W$6:$W$505,AJ$3,実績!$AC$6:$AC$505,"&lt;="&amp;$A138,実績!$AD$6:$AD$505,"&gt;"&amp;$A138,実績!$AE$6:$AE$505,"○")&gt;0,1,0))</f>
        <v/>
      </c>
      <c r="AK138">
        <f>IF(AK$4=0,0,IF(COUNTIFS(実績!$W$6:$W$505,AK$3,実績!$AC$6:$AC$505,"&lt;="&amp;$A138,実績!$AD$6:$AD$505,"&gt;"&amp;$A138,実績!$AE$6:$AE$505,"○")&gt;0,1,0))</f>
        <v/>
      </c>
      <c r="AL138">
        <f>IF(AL$4=0,0,IF(COUNTIFS(実績!$W$6:$W$505,AL$3,実績!$AC$6:$AC$505,"&lt;="&amp;$A138,実績!$AD$6:$AD$505,"&gt;"&amp;$A138,実績!$AE$6:$AE$505,"○")&gt;0,1,0))</f>
        <v/>
      </c>
      <c r="AM138">
        <f>IF(AM$4=0,0,IF(COUNTIFS(実績!$W$6:$W$505,AM$3,実績!$AC$6:$AC$505,"&lt;="&amp;$A138,実績!$AD$6:$AD$505,"&gt;"&amp;$A138,実績!$AE$6:$AE$505,"○")&gt;0,1,0))</f>
        <v/>
      </c>
      <c r="AN138">
        <f>IF(AN$4=0,0,IF(COUNTIFS(実績!$W$6:$W$505,AN$3,実績!$AC$6:$AC$505,"&lt;="&amp;$A138,実績!$AD$6:$AD$505,"&gt;"&amp;$A138,実績!$AE$6:$AE$505,"○")&gt;0,1,0))</f>
        <v/>
      </c>
      <c r="AO138">
        <f>IF(AO$4=0,0,IF(COUNTIFS(実績!$W$6:$W$505,AO$3,実績!$AC$6:$AC$505,"&lt;="&amp;$A138,実績!$AD$6:$AD$505,"&gt;"&amp;$A138,実績!$AE$6:$AE$505,"○")&gt;0,1,0))</f>
        <v/>
      </c>
      <c r="AP138">
        <f>IF(AP$4=0,0,IF(COUNTIFS(実績!$W$6:$W$505,AP$3,実績!$AC$6:$AC$505,"&lt;="&amp;$A138,実績!$AD$6:$AD$505,"&gt;"&amp;$A138,実績!$AE$6:$AE$505,"○")&gt;0,1,0))</f>
        <v/>
      </c>
      <c r="AQ138">
        <f>IF(AQ$4=0,0,IF(COUNTIFS(実績!$W$6:$W$505,AQ$3,実績!$AC$6:$AC$505,"&lt;="&amp;$A138,実績!$AD$6:$AD$505,"&gt;"&amp;$A138,実績!$AE$6:$AE$505,"○")&gt;0,1,0))</f>
        <v/>
      </c>
      <c r="AR138">
        <f>IF(AR$4=0,0,IF(COUNTIFS(実績!$W$6:$W$505,AR$3,実績!$AC$6:$AC$505,"&lt;="&amp;$A138,実績!$AD$6:$AD$505,"&gt;"&amp;$A138,実績!$AE$6:$AE$505,"○")&gt;0,1,0))</f>
        <v/>
      </c>
      <c r="AS138">
        <f>IF(AS$4=0,0,IF(COUNTIFS(実績!$W$6:$W$505,AS$3,実績!$AC$6:$AC$505,"&lt;="&amp;$A138,実績!$AD$6:$AD$505,"&gt;"&amp;$A138,実績!$AE$6:$AE$505,"○")&gt;0,1,0))</f>
        <v/>
      </c>
      <c r="AT138">
        <f>IF(AT$4=0,0,IF(COUNTIFS(実績!$W$6:$W$505,AT$3,実績!$AC$6:$AC$505,"&lt;="&amp;$A138,実績!$AD$6:$AD$505,"&gt;"&amp;$A138,実績!$AE$6:$AE$505,"○")&gt;0,1,0))</f>
        <v/>
      </c>
      <c r="AU138">
        <f>IF(AU$4=0,0,IF(COUNTIFS(実績!$W$6:$W$505,AU$3,実績!$AC$6:$AC$505,"&lt;="&amp;$A138,実績!$AD$6:$AD$505,"&gt;"&amp;$A138,実績!$AE$6:$AE$505,"○")&gt;0,1,0))</f>
        <v/>
      </c>
      <c r="AV138">
        <f>IF(AV$4=0,0,IF(COUNTIFS(実績!$W$6:$W$505,AV$3,実績!$AC$6:$AC$505,"&lt;="&amp;$A138,実績!$AD$6:$AD$505,"&gt;"&amp;$A138,実績!$AE$6:$AE$505,"○")&gt;0,1,0))</f>
        <v/>
      </c>
      <c r="AW138">
        <f>IF(AW$4=0,0,IF(COUNTIFS(実績!$W$6:$W$505,AW$3,実績!$AC$6:$AC$505,"&lt;="&amp;$A138,実績!$AD$6:$AD$505,"&gt;"&amp;$A138,実績!$AE$6:$AE$505,"○")&gt;0,1,0))</f>
        <v/>
      </c>
      <c r="AX138">
        <f>IF(AX$4=0,0,IF(COUNTIFS(実績!$W$6:$W$505,AX$3,実績!$AC$6:$AC$505,"&lt;="&amp;$A138,実績!$AD$6:$AD$505,"&gt;"&amp;$A138,実績!$AE$6:$AE$505,"○")&gt;0,1,0))</f>
        <v/>
      </c>
      <c r="AY138">
        <f>IF(AY$4=0,0,IF(COUNTIFS(実績!$W$6:$W$505,AY$3,実績!$AC$6:$AC$505,"&lt;="&amp;$A138,実績!$AD$6:$AD$505,"&gt;"&amp;$A138,実績!$AE$6:$AE$505,"○")&gt;0,1,0))</f>
        <v/>
      </c>
      <c r="AZ138">
        <f>IF(AZ$4=0,0,IF(COUNTIFS(実績!$W$6:$W$505,AZ$3,実績!$AC$6:$AC$505,"&lt;="&amp;$A138,実績!$AD$6:$AD$505,"&gt;"&amp;$A138,実績!$AE$6:$AE$505,"○")&gt;0,1,0))</f>
        <v/>
      </c>
      <c r="BA138">
        <f>IF(BA$4=0,0,IF(COUNTIFS(実績!$W$6:$W$505,BA$3,実績!$AC$6:$AC$505,"&lt;="&amp;$A138,実績!$AD$6:$AD$505,"&gt;"&amp;$A138,実績!$AE$6:$AE$505,"○")&gt;0,1,0))</f>
        <v/>
      </c>
      <c r="BB138">
        <f>IF(BB$4=0,0,IF(COUNTIFS(実績!$W$6:$W$505,BB$3,実績!$AC$6:$AC$505,"&lt;="&amp;$A138,実績!$AD$6:$AD$505,"&gt;"&amp;$A138,実績!$AE$6:$AE$505,"○")&gt;0,1,0))</f>
        <v/>
      </c>
      <c r="BC138">
        <f>IF(BC$4=0,0,IF(COUNTIFS(実績!$W$6:$W$505,BC$3,実績!$AC$6:$AC$505,"&lt;="&amp;$A138,実績!$AD$6:$AD$505,"&gt;"&amp;$A138,実績!$AE$6:$AE$505,"○")&gt;0,1,0))</f>
        <v/>
      </c>
      <c r="BD138">
        <f>IF(BD$4=0,0,IF(COUNTIFS(実績!$W$6:$W$505,BD$3,実績!$AC$6:$AC$505,"&lt;="&amp;$A138,実績!$AD$6:$AD$505,"&gt;"&amp;$A138,実績!$AE$6:$AE$505,"○")&gt;0,1,0))</f>
        <v/>
      </c>
      <c r="BE138">
        <f>IF(BE$4=0,0,IF(COUNTIFS(実績!$W$6:$W$505,BE$3,実績!$AC$6:$AC$505,"&lt;="&amp;$A138,実績!$AD$6:$AD$505,"&gt;"&amp;$A138,実績!$AE$6:$AE$505,"○")&gt;0,1,0))</f>
        <v/>
      </c>
      <c r="BF138">
        <f>IF(BF$4=0,0,IF(COUNTIFS(実績!$W$6:$W$505,BF$3,実績!$AC$6:$AC$505,"&lt;="&amp;$A138,実績!$AD$6:$AD$505,"&gt;"&amp;$A138,実績!$AE$6:$AE$505,"○")&gt;0,1,0))</f>
        <v/>
      </c>
      <c r="BG138">
        <f>IF(BG$4=0,0,IF(COUNTIFS(実績!$W$6:$W$505,BG$3,実績!$AC$6:$AC$505,"&lt;="&amp;$A138,実績!$AD$6:$AD$505,"&gt;"&amp;$A138,実績!$AE$6:$AE$505,"○")&gt;0,1,0))</f>
        <v/>
      </c>
      <c r="BH138">
        <f>IF(BH$4=0,0,IF(COUNTIFS(実績!$W$6:$W$505,BH$3,実績!$AC$6:$AC$505,"&lt;="&amp;$A138,実績!$AD$6:$AD$505,"&gt;"&amp;$A138,実績!$AE$6:$AE$505,"○")&gt;0,1,0))</f>
        <v/>
      </c>
      <c r="BI138">
        <f>IF(BI$4=0,0,IF(COUNTIFS(実績!$W$6:$W$505,BI$3,実績!$AC$6:$AC$505,"&lt;="&amp;$A138,実績!$AD$6:$AD$505,"&gt;"&amp;$A138,実績!$AE$6:$AE$505,"○")&gt;0,1,0))</f>
        <v/>
      </c>
      <c r="BJ138">
        <f>IF(BJ$4=0,0,IF(COUNTIFS(実績!$W$6:$W$505,BJ$3,実績!$AC$6:$AC$505,"&lt;="&amp;$A138,実績!$AD$6:$AD$505,"&gt;"&amp;$A138,実績!$AE$6:$AE$505,"○")&gt;0,1,0))</f>
        <v/>
      </c>
      <c r="BK138">
        <f>IF(BK$4=0,0,IF(COUNTIFS(実績!$W$6:$W$505,BK$3,実績!$AC$6:$AC$505,"&lt;="&amp;$A138,実績!$AD$6:$AD$505,"&gt;"&amp;$A138,実績!$AE$6:$AE$505,"○")&gt;0,1,0))</f>
        <v/>
      </c>
      <c r="BL138">
        <f>IF(BL$4=0,0,IF(COUNTIFS(実績!$W$6:$W$505,BL$3,実績!$AC$6:$AC$505,"&lt;="&amp;$A138,実績!$AD$6:$AD$505,"&gt;"&amp;$A138,実績!$AE$6:$AE$505,"○")&gt;0,1,0))</f>
        <v/>
      </c>
      <c r="BM138">
        <f>IF(BM$4=0,0,IF(COUNTIFS(実績!$W$6:$W$505,BM$3,実績!$AC$6:$AC$505,"&lt;="&amp;$A138,実績!$AD$6:$AD$505,"&gt;"&amp;$A138,実績!$AE$6:$AE$505,"○")&gt;0,1,0))</f>
        <v/>
      </c>
      <c r="BN138">
        <f>IF(BN$4=0,0,IF(COUNTIFS(実績!$W$6:$W$505,BN$3,実績!$AC$6:$AC$505,"&lt;="&amp;$A138,実績!$AD$6:$AD$505,"&gt;"&amp;$A138,実績!$AE$6:$AE$505,"○")&gt;0,1,0))</f>
        <v/>
      </c>
      <c r="BO138">
        <f>IF(BO$4=0,0,IF(COUNTIFS(実績!$W$6:$W$505,BO$3,実績!$AC$6:$AC$505,"&lt;="&amp;$A138,実績!$AD$6:$AD$505,"&gt;"&amp;$A138,実績!$AE$6:$AE$505,"○")&gt;0,1,0))</f>
        <v/>
      </c>
      <c r="BP138">
        <f>IF(BP$4=0,0,IF(COUNTIFS(実績!$W$6:$W$505,BP$3,実績!$AC$6:$AC$505,"&lt;="&amp;$A138,実績!$AD$6:$AD$505,"&gt;"&amp;$A138,実績!$AE$6:$AE$505,"○")&gt;0,1,0))</f>
        <v/>
      </c>
      <c r="BQ138">
        <f>IF(BQ$4=0,0,IF(COUNTIFS(実績!$W$6:$W$505,BQ$3,実績!$AC$6:$AC$505,"&lt;="&amp;$A138,実績!$AD$6:$AD$505,"&gt;"&amp;$A138,実績!$AE$6:$AE$505,"○")&gt;0,1,0))</f>
        <v/>
      </c>
      <c r="BR138">
        <f>IF(BR$4=0,0,IF(COUNTIFS(実績!$W$6:$W$505,BR$3,実績!$AC$6:$AC$505,"&lt;="&amp;$A138,実績!$AD$6:$AD$505,"&gt;"&amp;$A138,実績!$AE$6:$AE$505,"○")&gt;0,1,0))</f>
        <v/>
      </c>
      <c r="BS138">
        <f>IF(BS$4=0,0,IF(COUNTIFS(実績!$W$6:$W$505,BS$3,実績!$AC$6:$AC$505,"&lt;="&amp;$A138,実績!$AD$6:$AD$505,"&gt;"&amp;$A138,実績!$AE$6:$AE$505,"○")&gt;0,1,0))</f>
        <v/>
      </c>
      <c r="BT138">
        <f>IF(BT$4=0,0,IF(COUNTIFS(実績!$W$6:$W$505,BT$3,実績!$AC$6:$AC$505,"&lt;="&amp;$A138,実績!$AD$6:$AD$505,"&gt;"&amp;$A138,実績!$AE$6:$AE$505,"○")&gt;0,1,0))</f>
        <v/>
      </c>
      <c r="BU138">
        <f>IF(BU$4=0,0,IF(COUNTIFS(実績!$W$6:$W$505,BU$3,実績!$AC$6:$AC$505,"&lt;="&amp;$A138,実績!$AD$6:$AD$505,"&gt;"&amp;$A138,実績!$AE$6:$AE$505,"○")&gt;0,1,0))</f>
        <v/>
      </c>
      <c r="BV138">
        <f>IF(BV$4=0,0,IF(COUNTIFS(実績!$W$6:$W$505,BV$3,実績!$AC$6:$AC$505,"&lt;="&amp;$A138,実績!$AD$6:$AD$505,"&gt;"&amp;$A138,実績!$AE$6:$AE$505,"○")&gt;0,1,0))</f>
        <v/>
      </c>
      <c r="BW138">
        <f>IF(BW$4=0,0,IF(COUNTIFS(実績!$W$6:$W$505,BW$3,実績!$AC$6:$AC$505,"&lt;="&amp;$A138,実績!$AD$6:$AD$505,"&gt;"&amp;$A138,実績!$AE$6:$AE$505,"○")&gt;0,1,0))</f>
        <v/>
      </c>
      <c r="BX138">
        <f>IF(BX$4=0,0,IF(COUNTIFS(実績!$W$6:$W$505,BX$3,実績!$AC$6:$AC$505,"&lt;="&amp;$A138,実績!$AD$6:$AD$505,"&gt;"&amp;$A138,実績!$AE$6:$AE$505,"○")&gt;0,1,0))</f>
        <v/>
      </c>
      <c r="BY138">
        <f>IF(BY$4=0,0,IF(COUNTIFS(実績!$W$6:$W$505,BY$3,実績!$AC$6:$AC$505,"&lt;="&amp;$A138,実績!$AD$6:$AD$505,"&gt;"&amp;$A138,実績!$AE$6:$AE$505,"○")&gt;0,1,0))</f>
        <v/>
      </c>
      <c r="BZ138">
        <f>IF(BZ$4=0,0,IF(COUNTIFS(実績!$W$6:$W$505,BZ$3,実績!$AC$6:$AC$505,"&lt;="&amp;$A138,実績!$AD$6:$AD$505,"&gt;"&amp;$A138,実績!$AE$6:$AE$505,"○")&gt;0,1,0))</f>
        <v/>
      </c>
      <c r="CA138">
        <f>IF(CA$4=0,0,IF(COUNTIFS(実績!$W$6:$W$505,CA$3,実績!$AC$6:$AC$505,"&lt;="&amp;$A138,実績!$AD$6:$AD$505,"&gt;"&amp;$A138,実績!$AE$6:$AE$505,"○")&gt;0,1,0))</f>
        <v/>
      </c>
      <c r="CB138">
        <f>IF(CB$4=0,0,IF(COUNTIFS(実績!$W$6:$W$505,CB$3,実績!$AC$6:$AC$505,"&lt;="&amp;$A138,実績!$AD$6:$AD$505,"&gt;"&amp;$A138,実績!$AE$6:$AE$505,"○")&gt;0,1,0))</f>
        <v/>
      </c>
      <c r="CC138">
        <f>IF(CC$4=0,0,IF(COUNTIFS(実績!$W$6:$W$505,CC$3,実績!$AC$6:$AC$505,"&lt;="&amp;$A138,実績!$AD$6:$AD$505,"&gt;"&amp;$A138,実績!$AE$6:$AE$505,"○")&gt;0,1,0))</f>
        <v/>
      </c>
      <c r="CD138">
        <f>IF(CD$4=0,0,IF(COUNTIFS(実績!$W$6:$W$505,CD$3,実績!$AC$6:$AC$505,"&lt;="&amp;$A138,実績!$AD$6:$AD$505,"&gt;"&amp;$A138,実績!$AE$6:$AE$505,"○")&gt;0,1,0))</f>
        <v/>
      </c>
      <c r="CE138">
        <f>IF(CE$4=0,0,IF(COUNTIFS(実績!$W$6:$W$505,CE$3,実績!$AC$6:$AC$505,"&lt;="&amp;$A138,実績!$AD$6:$AD$505,"&gt;"&amp;$A138,実績!$AE$6:$AE$505,"○")&gt;0,1,0))</f>
        <v/>
      </c>
      <c r="CF138">
        <f>IF(CF$4=0,0,IF(COUNTIFS(実績!$W$6:$W$505,CF$3,実績!$AC$6:$AC$505,"&lt;="&amp;$A138,実績!$AD$6:$AD$505,"&gt;"&amp;$A138,実績!$AE$6:$AE$505,"○")&gt;0,1,0))</f>
        <v/>
      </c>
      <c r="CG138">
        <f>IF(CG$4=0,0,IF(COUNTIFS(実績!$W$6:$W$505,CG$3,実績!$AC$6:$AC$505,"&lt;="&amp;$A138,実績!$AD$6:$AD$505,"&gt;"&amp;$A138,実績!$AE$6:$AE$505,"○")&gt;0,1,0))</f>
        <v/>
      </c>
      <c r="CH138">
        <f>IF(CH$4=0,0,IF(COUNTIFS(実績!$W$6:$W$505,CH$3,実績!$AC$6:$AC$505,"&lt;="&amp;$A138,実績!$AD$6:$AD$505,"&gt;"&amp;$A138,実績!$AE$6:$AE$505,"○")&gt;0,1,0))</f>
        <v/>
      </c>
      <c r="CI138">
        <f>IF(CI$4=0,0,IF(COUNTIFS(実績!$W$6:$W$505,CI$3,実績!$AC$6:$AC$505,"&lt;="&amp;$A138,実績!$AD$6:$AD$505,"&gt;"&amp;$A138,実績!$AE$6:$AE$505,"○")&gt;0,1,0))</f>
        <v/>
      </c>
      <c r="CJ138">
        <f>IF(CJ$4=0,0,IF(COUNTIFS(実績!$W$6:$W$505,CJ$3,実績!$AC$6:$AC$505,"&lt;="&amp;$A138,実績!$AD$6:$AD$505,"&gt;"&amp;$A138,実績!$AE$6:$AE$505,"○")&gt;0,1,0))</f>
        <v/>
      </c>
      <c r="CK138">
        <f>IF(CK$4=0,0,IF(COUNTIFS(実績!$W$6:$W$505,CK$3,実績!$AC$6:$AC$505,"&lt;="&amp;$A138,実績!$AD$6:$AD$505,"&gt;"&amp;$A138,実績!$AE$6:$AE$505,"○")&gt;0,1,0))</f>
        <v/>
      </c>
      <c r="CL138">
        <f>IF(CL$4=0,0,IF(COUNTIFS(実績!$W$6:$W$505,CL$3,実績!$AC$6:$AC$505,"&lt;="&amp;$A138,実績!$AD$6:$AD$505,"&gt;"&amp;$A138,実績!$AE$6:$AE$505,"○")&gt;0,1,0))</f>
        <v/>
      </c>
      <c r="CM138">
        <f>IF(CM$4=0,0,IF(COUNTIFS(実績!$W$6:$W$505,CM$3,実績!$AC$6:$AC$505,"&lt;="&amp;$A138,実績!$AD$6:$AD$505,"&gt;"&amp;$A138,実績!$AE$6:$AE$505,"○")&gt;0,1,0))</f>
        <v/>
      </c>
      <c r="CN138">
        <f>IF(CN$4=0,0,IF(COUNTIFS(実績!$W$6:$W$505,CN$3,実績!$AC$6:$AC$505,"&lt;="&amp;$A138,実績!$AD$6:$AD$505,"&gt;"&amp;$A138,実績!$AE$6:$AE$505,"○")&gt;0,1,0))</f>
        <v/>
      </c>
      <c r="CO138">
        <f>IF(CO$4=0,0,IF(COUNTIFS(実績!$W$6:$W$505,CO$3,実績!$AC$6:$AC$505,"&lt;="&amp;$A138,実績!$AD$6:$AD$505,"&gt;"&amp;$A138,実績!$AE$6:$AE$505,"○")&gt;0,1,0))</f>
        <v/>
      </c>
      <c r="CP138">
        <f>IF(CP$4=0,0,IF(COUNTIFS(実績!$W$6:$W$505,CP$3,実績!$AC$6:$AC$505,"&lt;="&amp;$A138,実績!$AD$6:$AD$505,"&gt;"&amp;$A138,実績!$AE$6:$AE$505,"○")&gt;0,1,0))</f>
        <v/>
      </c>
      <c r="CQ138">
        <f>IF(CQ$4=0,0,IF(COUNTIFS(実績!$W$6:$W$505,CQ$3,実績!$AC$6:$AC$505,"&lt;="&amp;$A138,実績!$AD$6:$AD$505,"&gt;"&amp;$A138,実績!$AE$6:$AE$505,"○")&gt;0,1,0))</f>
        <v/>
      </c>
      <c r="CR138">
        <f>IF(CR$4=0,0,IF(COUNTIFS(実績!$W$6:$W$505,CR$3,実績!$AC$6:$AC$505,"&lt;="&amp;$A138,実績!$AD$6:$AD$505,"&gt;"&amp;$A138,実績!$AE$6:$AE$505,"○")&gt;0,1,0))</f>
        <v/>
      </c>
      <c r="CS138">
        <f>IF(CS$4=0,0,IF(COUNTIFS(実績!$W$6:$W$505,CS$3,実績!$AC$6:$AC$505,"&lt;="&amp;$A138,実績!$AD$6:$AD$505,"&gt;"&amp;$A138,実績!$AE$6:$AE$505,"○")&gt;0,1,0))</f>
        <v/>
      </c>
      <c r="CT138">
        <f>IF(CT$4=0,0,IF(COUNTIFS(実績!$W$6:$W$505,CT$3,実績!$AC$6:$AC$505,"&lt;="&amp;$A138,実績!$AD$6:$AD$505,"&gt;"&amp;$A138,実績!$AE$6:$AE$505,"○")&gt;0,1,0))</f>
        <v/>
      </c>
      <c r="CU138">
        <f>IF(CU$4=0,0,IF(COUNTIFS(実績!$W$6:$W$505,CU$3,実績!$AC$6:$AC$505,"&lt;="&amp;$A138,実績!$AD$6:$AD$505,"&gt;"&amp;$A138,実績!$AE$6:$AE$505,"○")&gt;0,1,0))</f>
        <v/>
      </c>
      <c r="CV138">
        <f>IF(CV$4=0,0,IF(COUNTIFS(実績!$W$6:$W$505,CV$3,実績!$AC$6:$AC$505,"&lt;="&amp;$A138,実績!$AD$6:$AD$505,"&gt;"&amp;$A138,実績!$AE$6:$AE$505,"○")&gt;0,1,0))</f>
        <v/>
      </c>
      <c r="CW138">
        <f>IF(CW$4=0,0,IF(COUNTIFS(実績!$W$6:$W$505,CW$3,実績!$AC$6:$AC$505,"&lt;="&amp;$A138,実績!$AD$6:$AD$505,"&gt;"&amp;$A138,実績!$AE$6:$AE$505,"○")&gt;0,1,0))</f>
        <v/>
      </c>
      <c r="CX138">
        <f>IF(CX$4=0,0,IF(COUNTIFS(実績!$W$6:$W$505,CX$3,実績!$AC$6:$AC$505,"&lt;="&amp;$A138,実績!$AD$6:$AD$505,"&gt;"&amp;$A138,実績!$AE$6:$AE$505,"○")&gt;0,1,0))</f>
        <v/>
      </c>
      <c r="CY138">
        <f>IF(CY$4=0,0,IF(COUNTIFS(実績!$W$6:$W$505,CY$3,実績!$AC$6:$AC$505,"&lt;="&amp;$A138,実績!$AD$6:$AD$505,"&gt;"&amp;$A138,実績!$AE$6:$AE$505,"○")&gt;0,1,0))</f>
        <v/>
      </c>
      <c r="CZ138">
        <f>IF(CZ$4=0,0,IF(COUNTIFS(実績!$W$6:$W$505,CZ$3,実績!$AC$6:$AC$505,"&lt;="&amp;$A138,実績!$AD$6:$AD$505,"&gt;"&amp;$A138,実績!$AE$6:$AE$505,"○")&gt;0,1,0))</f>
        <v/>
      </c>
      <c r="DA138">
        <f>IF(DA$4=0,0,IF(COUNTIFS(実績!$W$6:$W$505,DA$3,実績!$AC$6:$AC$505,"&lt;="&amp;$A138,実績!$AD$6:$AD$505,"&gt;"&amp;$A138,実績!$AE$6:$AE$505,"○")&gt;0,1,0))</f>
        <v/>
      </c>
      <c r="DB138">
        <f>IF(DB$4=0,0,IF(COUNTIFS(実績!$W$6:$W$505,DB$3,実績!$AC$6:$AC$505,"&lt;="&amp;$A138,実績!$AD$6:$AD$505,"&gt;"&amp;$A138,実績!$AE$6:$AE$505,"○")&gt;0,1,0))</f>
        <v/>
      </c>
      <c r="DC138">
        <f>IF(DC$4=0,0,IF(COUNTIFS(実績!$W$6:$W$505,DC$3,実績!$AC$6:$AC$505,"&lt;="&amp;$A138,実績!$AD$6:$AD$505,"&gt;"&amp;$A138,実績!$AE$6:$AE$505,"○")&gt;0,1,0))</f>
        <v/>
      </c>
      <c r="DD138">
        <f>IF(DD$4=0,0,IF(COUNTIFS(実績!$W$6:$W$505,DD$3,実績!$AC$6:$AC$505,"&lt;="&amp;$A138,実績!$AD$6:$AD$505,"&gt;"&amp;$A138,実績!$AE$6:$AE$505,"○")&gt;0,1,0))</f>
        <v/>
      </c>
      <c r="DE138">
        <f>IF(DE$4=0,0,IF(COUNTIFS(実績!$W$6:$W$505,DE$3,実績!$AC$6:$AC$505,"&lt;="&amp;$A138,実績!$AD$6:$AD$505,"&gt;"&amp;$A138,実績!$AE$6:$AE$505,"○")&gt;0,1,0))</f>
        <v/>
      </c>
      <c r="DF138">
        <f>IF(DF$4=0,0,IF(COUNTIFS(実績!$W$6:$W$505,DF$3,実績!$AC$6:$AC$505,"&lt;="&amp;$A138,実績!$AD$6:$AD$505,"&gt;"&amp;$A138,実績!$AE$6:$AE$505,"○")&gt;0,1,0))</f>
        <v/>
      </c>
      <c r="DG138">
        <f>IF(DG$4=0,0,IF(COUNTIFS(実績!$W$6:$W$505,DG$3,実績!$AC$6:$AC$505,"&lt;="&amp;$A138,実績!$AD$6:$AD$505,"&gt;"&amp;$A138,実績!$AE$6:$AE$505,"○")&gt;0,1,0))</f>
        <v/>
      </c>
      <c r="DH138">
        <f>IF(DH$4=0,0,IF(COUNTIFS(実績!$W$6:$W$505,DH$3,実績!$AC$6:$AC$505,"&lt;="&amp;$A138,実績!$AD$6:$AD$505,"&gt;"&amp;$A138,実績!$AE$6:$AE$505,"○")&gt;0,1,0))</f>
        <v/>
      </c>
      <c r="DI138">
        <f>IF(DI$4=0,0,IF(COUNTIFS(実績!$W$6:$W$505,DI$3,実績!$AC$6:$AC$505,"&lt;="&amp;$A138,実績!$AD$6:$AD$505,"&gt;"&amp;$A138,実績!$AE$6:$AE$505,"○")&gt;0,1,0))</f>
        <v/>
      </c>
      <c r="DJ138">
        <f>IF(DJ$4=0,0,IF(COUNTIFS(実績!$W$6:$W$505,DJ$3,実績!$AC$6:$AC$505,"&lt;="&amp;$A138,実績!$AD$6:$AD$505,"&gt;"&amp;$A138,実績!$AE$6:$AE$505,"○")&gt;0,1,0))</f>
        <v/>
      </c>
      <c r="DK138">
        <f>IF(DK$4=0,0,IF(COUNTIFS(実績!$W$6:$W$505,DK$3,実績!$AC$6:$AC$505,"&lt;="&amp;$A138,実績!$AD$6:$AD$505,"&gt;"&amp;$A138,実績!$AE$6:$AE$505,"○")&gt;0,1,0))</f>
        <v/>
      </c>
      <c r="DL138">
        <f>IF(DL$4=0,0,IF(COUNTIFS(実績!$W$6:$W$505,DL$3,実績!$AC$6:$AC$505,"&lt;="&amp;$A138,実績!$AD$6:$AD$505,"&gt;"&amp;$A138,実績!$AE$6:$AE$505,"○")&gt;0,1,0))</f>
        <v/>
      </c>
      <c r="DM138">
        <f>IF(DM$4=0,0,IF(COUNTIFS(実績!$W$6:$W$505,DM$3,実績!$AC$6:$AC$505,"&lt;="&amp;$A138,実績!$AD$6:$AD$505,"&gt;"&amp;$A138,実績!$AE$6:$AE$505,"○")&gt;0,1,0))</f>
        <v/>
      </c>
      <c r="DN138">
        <f>IF(DN$4=0,0,IF(COUNTIFS(実績!$W$6:$W$505,DN$3,実績!$AC$6:$AC$505,"&lt;="&amp;$A138,実績!$AD$6:$AD$505,"&gt;"&amp;$A138,実績!$AE$6:$AE$505,"○")&gt;0,1,0))</f>
        <v/>
      </c>
      <c r="DO138">
        <f>IF(DO$4=0,0,IF(COUNTIFS(実績!$W$6:$W$505,DO$3,実績!$AC$6:$AC$505,"&lt;="&amp;$A138,実績!$AD$6:$AD$505,"&gt;"&amp;$A138,実績!$AE$6:$AE$505,"○")&gt;0,1,0))</f>
        <v/>
      </c>
      <c r="DP138">
        <f>IF(DP$4=0,0,IF(COUNTIFS(実績!$W$6:$W$505,DP$3,実績!$AC$6:$AC$505,"&lt;="&amp;$A138,実績!$AD$6:$AD$505,"&gt;"&amp;$A138,実績!$AE$6:$AE$505,"○")&gt;0,1,0))</f>
        <v/>
      </c>
      <c r="DQ138">
        <f>IF(DQ$4=0,0,IF(COUNTIFS(実績!$W$6:$W$505,DQ$3,実績!$AC$6:$AC$505,"&lt;="&amp;$A138,実績!$AD$6:$AD$505,"&gt;"&amp;$A138,実績!$AE$6:$AE$505,"○")&gt;0,1,0))</f>
        <v/>
      </c>
      <c r="DR138">
        <f>IF(DR$4=0,0,IF(COUNTIFS(実績!$W$6:$W$505,DR$3,実績!$AC$6:$AC$505,"&lt;="&amp;$A138,実績!$AD$6:$AD$505,"&gt;"&amp;$A138,実績!$AE$6:$AE$505,"○")&gt;0,1,0))</f>
        <v/>
      </c>
      <c r="DS138">
        <f>SUM(C138:DR138)</f>
        <v/>
      </c>
      <c r="DT138">
        <f>SUMPRODUCT((実績!$C$6:$C$505="○")*ISNUMBER(実績!$AF$6:$AF$505)*(実績!$AF$6:$AF$505&lt;=$A138)*(実績!$AG$6:$AG$505&gt;$A138))</f>
        <v/>
      </c>
      <c r="DU138">
        <f>SUMIF($C$2:$DR$2,"製鉄曳船",C138:DR138)</f>
        <v/>
      </c>
      <c r="DV138">
        <f>SUMIF($C$2:$DR$2,"西日本海運",C138:DR138)</f>
        <v/>
      </c>
    </row>
    <row r="139">
      <c r="A139" t="n">
        <v>665</v>
      </c>
      <c r="B139" s="29">
        <f>A139/1440</f>
        <v/>
      </c>
      <c r="C139">
        <f>IF(C$4=0,0,IF(COUNTIFS(実績!$W$6:$W$505,C$3,実績!$AC$6:$AC$505,"&lt;="&amp;$A139,実績!$AD$6:$AD$505,"&gt;"&amp;$A139,実績!$AE$6:$AE$505,"○")&gt;0,1,0))</f>
        <v/>
      </c>
      <c r="D139">
        <f>IF(D$4=0,0,IF(COUNTIFS(実績!$W$6:$W$505,D$3,実績!$AC$6:$AC$505,"&lt;="&amp;$A139,実績!$AD$6:$AD$505,"&gt;"&amp;$A139,実績!$AE$6:$AE$505,"○")&gt;0,1,0))</f>
        <v/>
      </c>
      <c r="E139">
        <f>IF(E$4=0,0,IF(COUNTIFS(実績!$W$6:$W$505,E$3,実績!$AC$6:$AC$505,"&lt;="&amp;$A139,実績!$AD$6:$AD$505,"&gt;"&amp;$A139,実績!$AE$6:$AE$505,"○")&gt;0,1,0))</f>
        <v/>
      </c>
      <c r="F139">
        <f>IF(F$4=0,0,IF(COUNTIFS(実績!$W$6:$W$505,F$3,実績!$AC$6:$AC$505,"&lt;="&amp;$A139,実績!$AD$6:$AD$505,"&gt;"&amp;$A139,実績!$AE$6:$AE$505,"○")&gt;0,1,0))</f>
        <v/>
      </c>
      <c r="G139">
        <f>IF(G$4=0,0,IF(COUNTIFS(実績!$W$6:$W$505,G$3,実績!$AC$6:$AC$505,"&lt;="&amp;$A139,実績!$AD$6:$AD$505,"&gt;"&amp;$A139,実績!$AE$6:$AE$505,"○")&gt;0,1,0))</f>
        <v/>
      </c>
      <c r="H139">
        <f>IF(H$4=0,0,IF(COUNTIFS(実績!$W$6:$W$505,H$3,実績!$AC$6:$AC$505,"&lt;="&amp;$A139,実績!$AD$6:$AD$505,"&gt;"&amp;$A139,実績!$AE$6:$AE$505,"○")&gt;0,1,0))</f>
        <v/>
      </c>
      <c r="I139">
        <f>IF(I$4=0,0,IF(COUNTIFS(実績!$W$6:$W$505,I$3,実績!$AC$6:$AC$505,"&lt;="&amp;$A139,実績!$AD$6:$AD$505,"&gt;"&amp;$A139,実績!$AE$6:$AE$505,"○")&gt;0,1,0))</f>
        <v/>
      </c>
      <c r="J139">
        <f>IF(J$4=0,0,IF(COUNTIFS(実績!$W$6:$W$505,J$3,実績!$AC$6:$AC$505,"&lt;="&amp;$A139,実績!$AD$6:$AD$505,"&gt;"&amp;$A139,実績!$AE$6:$AE$505,"○")&gt;0,1,0))</f>
        <v/>
      </c>
      <c r="K139">
        <f>IF(K$4=0,0,IF(COUNTIFS(実績!$W$6:$W$505,K$3,実績!$AC$6:$AC$505,"&lt;="&amp;$A139,実績!$AD$6:$AD$505,"&gt;"&amp;$A139,実績!$AE$6:$AE$505,"○")&gt;0,1,0))</f>
        <v/>
      </c>
      <c r="L139">
        <f>IF(L$4=0,0,IF(COUNTIFS(実績!$W$6:$W$505,L$3,実績!$AC$6:$AC$505,"&lt;="&amp;$A139,実績!$AD$6:$AD$505,"&gt;"&amp;$A139,実績!$AE$6:$AE$505,"○")&gt;0,1,0))</f>
        <v/>
      </c>
      <c r="M139">
        <f>IF(M$4=0,0,IF(COUNTIFS(実績!$W$6:$W$505,M$3,実績!$AC$6:$AC$505,"&lt;="&amp;$A139,実績!$AD$6:$AD$505,"&gt;"&amp;$A139,実績!$AE$6:$AE$505,"○")&gt;0,1,0))</f>
        <v/>
      </c>
      <c r="N139">
        <f>IF(N$4=0,0,IF(COUNTIFS(実績!$W$6:$W$505,N$3,実績!$AC$6:$AC$505,"&lt;="&amp;$A139,実績!$AD$6:$AD$505,"&gt;"&amp;$A139,実績!$AE$6:$AE$505,"○")&gt;0,1,0))</f>
        <v/>
      </c>
      <c r="O139">
        <f>IF(O$4=0,0,IF(COUNTIFS(実績!$W$6:$W$505,O$3,実績!$AC$6:$AC$505,"&lt;="&amp;$A139,実績!$AD$6:$AD$505,"&gt;"&amp;$A139,実績!$AE$6:$AE$505,"○")&gt;0,1,0))</f>
        <v/>
      </c>
      <c r="P139">
        <f>IF(P$4=0,0,IF(COUNTIFS(実績!$W$6:$W$505,P$3,実績!$AC$6:$AC$505,"&lt;="&amp;$A139,実績!$AD$6:$AD$505,"&gt;"&amp;$A139,実績!$AE$6:$AE$505,"○")&gt;0,1,0))</f>
        <v/>
      </c>
      <c r="Q139">
        <f>IF(Q$4=0,0,IF(COUNTIFS(実績!$W$6:$W$505,Q$3,実績!$AC$6:$AC$505,"&lt;="&amp;$A139,実績!$AD$6:$AD$505,"&gt;"&amp;$A139,実績!$AE$6:$AE$505,"○")&gt;0,1,0))</f>
        <v/>
      </c>
      <c r="R139">
        <f>IF(R$4=0,0,IF(COUNTIFS(実績!$W$6:$W$505,R$3,実績!$AC$6:$AC$505,"&lt;="&amp;$A139,実績!$AD$6:$AD$505,"&gt;"&amp;$A139,実績!$AE$6:$AE$505,"○")&gt;0,1,0))</f>
        <v/>
      </c>
      <c r="S139">
        <f>IF(S$4=0,0,IF(COUNTIFS(実績!$W$6:$W$505,S$3,実績!$AC$6:$AC$505,"&lt;="&amp;$A139,実績!$AD$6:$AD$505,"&gt;"&amp;$A139,実績!$AE$6:$AE$505,"○")&gt;0,1,0))</f>
        <v/>
      </c>
      <c r="T139">
        <f>IF(T$4=0,0,IF(COUNTIFS(実績!$W$6:$W$505,T$3,実績!$AC$6:$AC$505,"&lt;="&amp;$A139,実績!$AD$6:$AD$505,"&gt;"&amp;$A139,実績!$AE$6:$AE$505,"○")&gt;0,1,0))</f>
        <v/>
      </c>
      <c r="U139">
        <f>IF(U$4=0,0,IF(COUNTIFS(実績!$W$6:$W$505,U$3,実績!$AC$6:$AC$505,"&lt;="&amp;$A139,実績!$AD$6:$AD$505,"&gt;"&amp;$A139,実績!$AE$6:$AE$505,"○")&gt;0,1,0))</f>
        <v/>
      </c>
      <c r="V139">
        <f>IF(V$4=0,0,IF(COUNTIFS(実績!$W$6:$W$505,V$3,実績!$AC$6:$AC$505,"&lt;="&amp;$A139,実績!$AD$6:$AD$505,"&gt;"&amp;$A139,実績!$AE$6:$AE$505,"○")&gt;0,1,0))</f>
        <v/>
      </c>
      <c r="W139">
        <f>IF(W$4=0,0,IF(COUNTIFS(実績!$W$6:$W$505,W$3,実績!$AC$6:$AC$505,"&lt;="&amp;$A139,実績!$AD$6:$AD$505,"&gt;"&amp;$A139,実績!$AE$6:$AE$505,"○")&gt;0,1,0))</f>
        <v/>
      </c>
      <c r="X139">
        <f>IF(X$4=0,0,IF(COUNTIFS(実績!$W$6:$W$505,X$3,実績!$AC$6:$AC$505,"&lt;="&amp;$A139,実績!$AD$6:$AD$505,"&gt;"&amp;$A139,実績!$AE$6:$AE$505,"○")&gt;0,1,0))</f>
        <v/>
      </c>
      <c r="Y139">
        <f>IF(Y$4=0,0,IF(COUNTIFS(実績!$W$6:$W$505,Y$3,実績!$AC$6:$AC$505,"&lt;="&amp;$A139,実績!$AD$6:$AD$505,"&gt;"&amp;$A139,実績!$AE$6:$AE$505,"○")&gt;0,1,0))</f>
        <v/>
      </c>
      <c r="Z139">
        <f>IF(Z$4=0,0,IF(COUNTIFS(実績!$W$6:$W$505,Z$3,実績!$AC$6:$AC$505,"&lt;="&amp;$A139,実績!$AD$6:$AD$505,"&gt;"&amp;$A139,実績!$AE$6:$AE$505,"○")&gt;0,1,0))</f>
        <v/>
      </c>
      <c r="AA139">
        <f>IF(AA$4=0,0,IF(COUNTIFS(実績!$W$6:$W$505,AA$3,実績!$AC$6:$AC$505,"&lt;="&amp;$A139,実績!$AD$6:$AD$505,"&gt;"&amp;$A139,実績!$AE$6:$AE$505,"○")&gt;0,1,0))</f>
        <v/>
      </c>
      <c r="AB139">
        <f>IF(AB$4=0,0,IF(COUNTIFS(実績!$W$6:$W$505,AB$3,実績!$AC$6:$AC$505,"&lt;="&amp;$A139,実績!$AD$6:$AD$505,"&gt;"&amp;$A139,実績!$AE$6:$AE$505,"○")&gt;0,1,0))</f>
        <v/>
      </c>
      <c r="AC139">
        <f>IF(AC$4=0,0,IF(COUNTIFS(実績!$W$6:$W$505,AC$3,実績!$AC$6:$AC$505,"&lt;="&amp;$A139,実績!$AD$6:$AD$505,"&gt;"&amp;$A139,実績!$AE$6:$AE$505,"○")&gt;0,1,0))</f>
        <v/>
      </c>
      <c r="AD139">
        <f>IF(AD$4=0,0,IF(COUNTIFS(実績!$W$6:$W$505,AD$3,実績!$AC$6:$AC$505,"&lt;="&amp;$A139,実績!$AD$6:$AD$505,"&gt;"&amp;$A139,実績!$AE$6:$AE$505,"○")&gt;0,1,0))</f>
        <v/>
      </c>
      <c r="AE139">
        <f>IF(AE$4=0,0,IF(COUNTIFS(実績!$W$6:$W$505,AE$3,実績!$AC$6:$AC$505,"&lt;="&amp;$A139,実績!$AD$6:$AD$505,"&gt;"&amp;$A139,実績!$AE$6:$AE$505,"○")&gt;0,1,0))</f>
        <v/>
      </c>
      <c r="AF139">
        <f>IF(AF$4=0,0,IF(COUNTIFS(実績!$W$6:$W$505,AF$3,実績!$AC$6:$AC$505,"&lt;="&amp;$A139,実績!$AD$6:$AD$505,"&gt;"&amp;$A139,実績!$AE$6:$AE$505,"○")&gt;0,1,0))</f>
        <v/>
      </c>
      <c r="AG139">
        <f>IF(AG$4=0,0,IF(COUNTIFS(実績!$W$6:$W$505,AG$3,実績!$AC$6:$AC$505,"&lt;="&amp;$A139,実績!$AD$6:$AD$505,"&gt;"&amp;$A139,実績!$AE$6:$AE$505,"○")&gt;0,1,0))</f>
        <v/>
      </c>
      <c r="AH139">
        <f>IF(AH$4=0,0,IF(COUNTIFS(実績!$W$6:$W$505,AH$3,実績!$AC$6:$AC$505,"&lt;="&amp;$A139,実績!$AD$6:$AD$505,"&gt;"&amp;$A139,実績!$AE$6:$AE$505,"○")&gt;0,1,0))</f>
        <v/>
      </c>
      <c r="AI139">
        <f>IF(AI$4=0,0,IF(COUNTIFS(実績!$W$6:$W$505,AI$3,実績!$AC$6:$AC$505,"&lt;="&amp;$A139,実績!$AD$6:$AD$505,"&gt;"&amp;$A139,実績!$AE$6:$AE$505,"○")&gt;0,1,0))</f>
        <v/>
      </c>
      <c r="AJ139">
        <f>IF(AJ$4=0,0,IF(COUNTIFS(実績!$W$6:$W$505,AJ$3,実績!$AC$6:$AC$505,"&lt;="&amp;$A139,実績!$AD$6:$AD$505,"&gt;"&amp;$A139,実績!$AE$6:$AE$505,"○")&gt;0,1,0))</f>
        <v/>
      </c>
      <c r="AK139">
        <f>IF(AK$4=0,0,IF(COUNTIFS(実績!$W$6:$W$505,AK$3,実績!$AC$6:$AC$505,"&lt;="&amp;$A139,実績!$AD$6:$AD$505,"&gt;"&amp;$A139,実績!$AE$6:$AE$505,"○")&gt;0,1,0))</f>
        <v/>
      </c>
      <c r="AL139">
        <f>IF(AL$4=0,0,IF(COUNTIFS(実績!$W$6:$W$505,AL$3,実績!$AC$6:$AC$505,"&lt;="&amp;$A139,実績!$AD$6:$AD$505,"&gt;"&amp;$A139,実績!$AE$6:$AE$505,"○")&gt;0,1,0))</f>
        <v/>
      </c>
      <c r="AM139">
        <f>IF(AM$4=0,0,IF(COUNTIFS(実績!$W$6:$W$505,AM$3,実績!$AC$6:$AC$505,"&lt;="&amp;$A139,実績!$AD$6:$AD$505,"&gt;"&amp;$A139,実績!$AE$6:$AE$505,"○")&gt;0,1,0))</f>
        <v/>
      </c>
      <c r="AN139">
        <f>IF(AN$4=0,0,IF(COUNTIFS(実績!$W$6:$W$505,AN$3,実績!$AC$6:$AC$505,"&lt;="&amp;$A139,実績!$AD$6:$AD$505,"&gt;"&amp;$A139,実績!$AE$6:$AE$505,"○")&gt;0,1,0))</f>
        <v/>
      </c>
      <c r="AO139">
        <f>IF(AO$4=0,0,IF(COUNTIFS(実績!$W$6:$W$505,AO$3,実績!$AC$6:$AC$505,"&lt;="&amp;$A139,実績!$AD$6:$AD$505,"&gt;"&amp;$A139,実績!$AE$6:$AE$505,"○")&gt;0,1,0))</f>
        <v/>
      </c>
      <c r="AP139">
        <f>IF(AP$4=0,0,IF(COUNTIFS(実績!$W$6:$W$505,AP$3,実績!$AC$6:$AC$505,"&lt;="&amp;$A139,実績!$AD$6:$AD$505,"&gt;"&amp;$A139,実績!$AE$6:$AE$505,"○")&gt;0,1,0))</f>
        <v/>
      </c>
      <c r="AQ139">
        <f>IF(AQ$4=0,0,IF(COUNTIFS(実績!$W$6:$W$505,AQ$3,実績!$AC$6:$AC$505,"&lt;="&amp;$A139,実績!$AD$6:$AD$505,"&gt;"&amp;$A139,実績!$AE$6:$AE$505,"○")&gt;0,1,0))</f>
        <v/>
      </c>
      <c r="AR139">
        <f>IF(AR$4=0,0,IF(COUNTIFS(実績!$W$6:$W$505,AR$3,実績!$AC$6:$AC$505,"&lt;="&amp;$A139,実績!$AD$6:$AD$505,"&gt;"&amp;$A139,実績!$AE$6:$AE$505,"○")&gt;0,1,0))</f>
        <v/>
      </c>
      <c r="AS139">
        <f>IF(AS$4=0,0,IF(COUNTIFS(実績!$W$6:$W$505,AS$3,実績!$AC$6:$AC$505,"&lt;="&amp;$A139,実績!$AD$6:$AD$505,"&gt;"&amp;$A139,実績!$AE$6:$AE$505,"○")&gt;0,1,0))</f>
        <v/>
      </c>
      <c r="AT139">
        <f>IF(AT$4=0,0,IF(COUNTIFS(実績!$W$6:$W$505,AT$3,実績!$AC$6:$AC$505,"&lt;="&amp;$A139,実績!$AD$6:$AD$505,"&gt;"&amp;$A139,実績!$AE$6:$AE$505,"○")&gt;0,1,0))</f>
        <v/>
      </c>
      <c r="AU139">
        <f>IF(AU$4=0,0,IF(COUNTIFS(実績!$W$6:$W$505,AU$3,実績!$AC$6:$AC$505,"&lt;="&amp;$A139,実績!$AD$6:$AD$505,"&gt;"&amp;$A139,実績!$AE$6:$AE$505,"○")&gt;0,1,0))</f>
        <v/>
      </c>
      <c r="AV139">
        <f>IF(AV$4=0,0,IF(COUNTIFS(実績!$W$6:$W$505,AV$3,実績!$AC$6:$AC$505,"&lt;="&amp;$A139,実績!$AD$6:$AD$505,"&gt;"&amp;$A139,実績!$AE$6:$AE$505,"○")&gt;0,1,0))</f>
        <v/>
      </c>
      <c r="AW139">
        <f>IF(AW$4=0,0,IF(COUNTIFS(実績!$W$6:$W$505,AW$3,実績!$AC$6:$AC$505,"&lt;="&amp;$A139,実績!$AD$6:$AD$505,"&gt;"&amp;$A139,実績!$AE$6:$AE$505,"○")&gt;0,1,0))</f>
        <v/>
      </c>
      <c r="AX139">
        <f>IF(AX$4=0,0,IF(COUNTIFS(実績!$W$6:$W$505,AX$3,実績!$AC$6:$AC$505,"&lt;="&amp;$A139,実績!$AD$6:$AD$505,"&gt;"&amp;$A139,実績!$AE$6:$AE$505,"○")&gt;0,1,0))</f>
        <v/>
      </c>
      <c r="AY139">
        <f>IF(AY$4=0,0,IF(COUNTIFS(実績!$W$6:$W$505,AY$3,実績!$AC$6:$AC$505,"&lt;="&amp;$A139,実績!$AD$6:$AD$505,"&gt;"&amp;$A139,実績!$AE$6:$AE$505,"○")&gt;0,1,0))</f>
        <v/>
      </c>
      <c r="AZ139">
        <f>IF(AZ$4=0,0,IF(COUNTIFS(実績!$W$6:$W$505,AZ$3,実績!$AC$6:$AC$505,"&lt;="&amp;$A139,実績!$AD$6:$AD$505,"&gt;"&amp;$A139,実績!$AE$6:$AE$505,"○")&gt;0,1,0))</f>
        <v/>
      </c>
      <c r="BA139">
        <f>IF(BA$4=0,0,IF(COUNTIFS(実績!$W$6:$W$505,BA$3,実績!$AC$6:$AC$505,"&lt;="&amp;$A139,実績!$AD$6:$AD$505,"&gt;"&amp;$A139,実績!$AE$6:$AE$505,"○")&gt;0,1,0))</f>
        <v/>
      </c>
      <c r="BB139">
        <f>IF(BB$4=0,0,IF(COUNTIFS(実績!$W$6:$W$505,BB$3,実績!$AC$6:$AC$505,"&lt;="&amp;$A139,実績!$AD$6:$AD$505,"&gt;"&amp;$A139,実績!$AE$6:$AE$505,"○")&gt;0,1,0))</f>
        <v/>
      </c>
      <c r="BC139">
        <f>IF(BC$4=0,0,IF(COUNTIFS(実績!$W$6:$W$505,BC$3,実績!$AC$6:$AC$505,"&lt;="&amp;$A139,実績!$AD$6:$AD$505,"&gt;"&amp;$A139,実績!$AE$6:$AE$505,"○")&gt;0,1,0))</f>
        <v/>
      </c>
      <c r="BD139">
        <f>IF(BD$4=0,0,IF(COUNTIFS(実績!$W$6:$W$505,BD$3,実績!$AC$6:$AC$505,"&lt;="&amp;$A139,実績!$AD$6:$AD$505,"&gt;"&amp;$A139,実績!$AE$6:$AE$505,"○")&gt;0,1,0))</f>
        <v/>
      </c>
      <c r="BE139">
        <f>IF(BE$4=0,0,IF(COUNTIFS(実績!$W$6:$W$505,BE$3,実績!$AC$6:$AC$505,"&lt;="&amp;$A139,実績!$AD$6:$AD$505,"&gt;"&amp;$A139,実績!$AE$6:$AE$505,"○")&gt;0,1,0))</f>
        <v/>
      </c>
      <c r="BF139">
        <f>IF(BF$4=0,0,IF(COUNTIFS(実績!$W$6:$W$505,BF$3,実績!$AC$6:$AC$505,"&lt;="&amp;$A139,実績!$AD$6:$AD$505,"&gt;"&amp;$A139,実績!$AE$6:$AE$505,"○")&gt;0,1,0))</f>
        <v/>
      </c>
      <c r="BG139">
        <f>IF(BG$4=0,0,IF(COUNTIFS(実績!$W$6:$W$505,BG$3,実績!$AC$6:$AC$505,"&lt;="&amp;$A139,実績!$AD$6:$AD$505,"&gt;"&amp;$A139,実績!$AE$6:$AE$505,"○")&gt;0,1,0))</f>
        <v/>
      </c>
      <c r="BH139">
        <f>IF(BH$4=0,0,IF(COUNTIFS(実績!$W$6:$W$505,BH$3,実績!$AC$6:$AC$505,"&lt;="&amp;$A139,実績!$AD$6:$AD$505,"&gt;"&amp;$A139,実績!$AE$6:$AE$505,"○")&gt;0,1,0))</f>
        <v/>
      </c>
      <c r="BI139">
        <f>IF(BI$4=0,0,IF(COUNTIFS(実績!$W$6:$W$505,BI$3,実績!$AC$6:$AC$505,"&lt;="&amp;$A139,実績!$AD$6:$AD$505,"&gt;"&amp;$A139,実績!$AE$6:$AE$505,"○")&gt;0,1,0))</f>
        <v/>
      </c>
      <c r="BJ139">
        <f>IF(BJ$4=0,0,IF(COUNTIFS(実績!$W$6:$W$505,BJ$3,実績!$AC$6:$AC$505,"&lt;="&amp;$A139,実績!$AD$6:$AD$505,"&gt;"&amp;$A139,実績!$AE$6:$AE$505,"○")&gt;0,1,0))</f>
        <v/>
      </c>
      <c r="BK139">
        <f>IF(BK$4=0,0,IF(COUNTIFS(実績!$W$6:$W$505,BK$3,実績!$AC$6:$AC$505,"&lt;="&amp;$A139,実績!$AD$6:$AD$505,"&gt;"&amp;$A139,実績!$AE$6:$AE$505,"○")&gt;0,1,0))</f>
        <v/>
      </c>
      <c r="BL139">
        <f>IF(BL$4=0,0,IF(COUNTIFS(実績!$W$6:$W$505,BL$3,実績!$AC$6:$AC$505,"&lt;="&amp;$A139,実績!$AD$6:$AD$505,"&gt;"&amp;$A139,実績!$AE$6:$AE$505,"○")&gt;0,1,0))</f>
        <v/>
      </c>
      <c r="BM139">
        <f>IF(BM$4=0,0,IF(COUNTIFS(実績!$W$6:$W$505,BM$3,実績!$AC$6:$AC$505,"&lt;="&amp;$A139,実績!$AD$6:$AD$505,"&gt;"&amp;$A139,実績!$AE$6:$AE$505,"○")&gt;0,1,0))</f>
        <v/>
      </c>
      <c r="BN139">
        <f>IF(BN$4=0,0,IF(COUNTIFS(実績!$W$6:$W$505,BN$3,実績!$AC$6:$AC$505,"&lt;="&amp;$A139,実績!$AD$6:$AD$505,"&gt;"&amp;$A139,実績!$AE$6:$AE$505,"○")&gt;0,1,0))</f>
        <v/>
      </c>
      <c r="BO139">
        <f>IF(BO$4=0,0,IF(COUNTIFS(実績!$W$6:$W$505,BO$3,実績!$AC$6:$AC$505,"&lt;="&amp;$A139,実績!$AD$6:$AD$505,"&gt;"&amp;$A139,実績!$AE$6:$AE$505,"○")&gt;0,1,0))</f>
        <v/>
      </c>
      <c r="BP139">
        <f>IF(BP$4=0,0,IF(COUNTIFS(実績!$W$6:$W$505,BP$3,実績!$AC$6:$AC$505,"&lt;="&amp;$A139,実績!$AD$6:$AD$505,"&gt;"&amp;$A139,実績!$AE$6:$AE$505,"○")&gt;0,1,0))</f>
        <v/>
      </c>
      <c r="BQ139">
        <f>IF(BQ$4=0,0,IF(COUNTIFS(実績!$W$6:$W$505,BQ$3,実績!$AC$6:$AC$505,"&lt;="&amp;$A139,実績!$AD$6:$AD$505,"&gt;"&amp;$A139,実績!$AE$6:$AE$505,"○")&gt;0,1,0))</f>
        <v/>
      </c>
      <c r="BR139">
        <f>IF(BR$4=0,0,IF(COUNTIFS(実績!$W$6:$W$505,BR$3,実績!$AC$6:$AC$505,"&lt;="&amp;$A139,実績!$AD$6:$AD$505,"&gt;"&amp;$A139,実績!$AE$6:$AE$505,"○")&gt;0,1,0))</f>
        <v/>
      </c>
      <c r="BS139">
        <f>IF(BS$4=0,0,IF(COUNTIFS(実績!$W$6:$W$505,BS$3,実績!$AC$6:$AC$505,"&lt;="&amp;$A139,実績!$AD$6:$AD$505,"&gt;"&amp;$A139,実績!$AE$6:$AE$505,"○")&gt;0,1,0))</f>
        <v/>
      </c>
      <c r="BT139">
        <f>IF(BT$4=0,0,IF(COUNTIFS(実績!$W$6:$W$505,BT$3,実績!$AC$6:$AC$505,"&lt;="&amp;$A139,実績!$AD$6:$AD$505,"&gt;"&amp;$A139,実績!$AE$6:$AE$505,"○")&gt;0,1,0))</f>
        <v/>
      </c>
      <c r="BU139">
        <f>IF(BU$4=0,0,IF(COUNTIFS(実績!$W$6:$W$505,BU$3,実績!$AC$6:$AC$505,"&lt;="&amp;$A139,実績!$AD$6:$AD$505,"&gt;"&amp;$A139,実績!$AE$6:$AE$505,"○")&gt;0,1,0))</f>
        <v/>
      </c>
      <c r="BV139">
        <f>IF(BV$4=0,0,IF(COUNTIFS(実績!$W$6:$W$505,BV$3,実績!$AC$6:$AC$505,"&lt;="&amp;$A139,実績!$AD$6:$AD$505,"&gt;"&amp;$A139,実績!$AE$6:$AE$505,"○")&gt;0,1,0))</f>
        <v/>
      </c>
      <c r="BW139">
        <f>IF(BW$4=0,0,IF(COUNTIFS(実績!$W$6:$W$505,BW$3,実績!$AC$6:$AC$505,"&lt;="&amp;$A139,実績!$AD$6:$AD$505,"&gt;"&amp;$A139,実績!$AE$6:$AE$505,"○")&gt;0,1,0))</f>
        <v/>
      </c>
      <c r="BX139">
        <f>IF(BX$4=0,0,IF(COUNTIFS(実績!$W$6:$W$505,BX$3,実績!$AC$6:$AC$505,"&lt;="&amp;$A139,実績!$AD$6:$AD$505,"&gt;"&amp;$A139,実績!$AE$6:$AE$505,"○")&gt;0,1,0))</f>
        <v/>
      </c>
      <c r="BY139">
        <f>IF(BY$4=0,0,IF(COUNTIFS(実績!$W$6:$W$505,BY$3,実績!$AC$6:$AC$505,"&lt;="&amp;$A139,実績!$AD$6:$AD$505,"&gt;"&amp;$A139,実績!$AE$6:$AE$505,"○")&gt;0,1,0))</f>
        <v/>
      </c>
      <c r="BZ139">
        <f>IF(BZ$4=0,0,IF(COUNTIFS(実績!$W$6:$W$505,BZ$3,実績!$AC$6:$AC$505,"&lt;="&amp;$A139,実績!$AD$6:$AD$505,"&gt;"&amp;$A139,実績!$AE$6:$AE$505,"○")&gt;0,1,0))</f>
        <v/>
      </c>
      <c r="CA139">
        <f>IF(CA$4=0,0,IF(COUNTIFS(実績!$W$6:$W$505,CA$3,実績!$AC$6:$AC$505,"&lt;="&amp;$A139,実績!$AD$6:$AD$505,"&gt;"&amp;$A139,実績!$AE$6:$AE$505,"○")&gt;0,1,0))</f>
        <v/>
      </c>
      <c r="CB139">
        <f>IF(CB$4=0,0,IF(COUNTIFS(実績!$W$6:$W$505,CB$3,実績!$AC$6:$AC$505,"&lt;="&amp;$A139,実績!$AD$6:$AD$505,"&gt;"&amp;$A139,実績!$AE$6:$AE$505,"○")&gt;0,1,0))</f>
        <v/>
      </c>
      <c r="CC139">
        <f>IF(CC$4=0,0,IF(COUNTIFS(実績!$W$6:$W$505,CC$3,実績!$AC$6:$AC$505,"&lt;="&amp;$A139,実績!$AD$6:$AD$505,"&gt;"&amp;$A139,実績!$AE$6:$AE$505,"○")&gt;0,1,0))</f>
        <v/>
      </c>
      <c r="CD139">
        <f>IF(CD$4=0,0,IF(COUNTIFS(実績!$W$6:$W$505,CD$3,実績!$AC$6:$AC$505,"&lt;="&amp;$A139,実績!$AD$6:$AD$505,"&gt;"&amp;$A139,実績!$AE$6:$AE$505,"○")&gt;0,1,0))</f>
        <v/>
      </c>
      <c r="CE139">
        <f>IF(CE$4=0,0,IF(COUNTIFS(実績!$W$6:$W$505,CE$3,実績!$AC$6:$AC$505,"&lt;="&amp;$A139,実績!$AD$6:$AD$505,"&gt;"&amp;$A139,実績!$AE$6:$AE$505,"○")&gt;0,1,0))</f>
        <v/>
      </c>
      <c r="CF139">
        <f>IF(CF$4=0,0,IF(COUNTIFS(実績!$W$6:$W$505,CF$3,実績!$AC$6:$AC$505,"&lt;="&amp;$A139,実績!$AD$6:$AD$505,"&gt;"&amp;$A139,実績!$AE$6:$AE$505,"○")&gt;0,1,0))</f>
        <v/>
      </c>
      <c r="CG139">
        <f>IF(CG$4=0,0,IF(COUNTIFS(実績!$W$6:$W$505,CG$3,実績!$AC$6:$AC$505,"&lt;="&amp;$A139,実績!$AD$6:$AD$505,"&gt;"&amp;$A139,実績!$AE$6:$AE$505,"○")&gt;0,1,0))</f>
        <v/>
      </c>
      <c r="CH139">
        <f>IF(CH$4=0,0,IF(COUNTIFS(実績!$W$6:$W$505,CH$3,実績!$AC$6:$AC$505,"&lt;="&amp;$A139,実績!$AD$6:$AD$505,"&gt;"&amp;$A139,実績!$AE$6:$AE$505,"○")&gt;0,1,0))</f>
        <v/>
      </c>
      <c r="CI139">
        <f>IF(CI$4=0,0,IF(COUNTIFS(実績!$W$6:$W$505,CI$3,実績!$AC$6:$AC$505,"&lt;="&amp;$A139,実績!$AD$6:$AD$505,"&gt;"&amp;$A139,実績!$AE$6:$AE$505,"○")&gt;0,1,0))</f>
        <v/>
      </c>
      <c r="CJ139">
        <f>IF(CJ$4=0,0,IF(COUNTIFS(実績!$W$6:$W$505,CJ$3,実績!$AC$6:$AC$505,"&lt;="&amp;$A139,実績!$AD$6:$AD$505,"&gt;"&amp;$A139,実績!$AE$6:$AE$505,"○")&gt;0,1,0))</f>
        <v/>
      </c>
      <c r="CK139">
        <f>IF(CK$4=0,0,IF(COUNTIFS(実績!$W$6:$W$505,CK$3,実績!$AC$6:$AC$505,"&lt;="&amp;$A139,実績!$AD$6:$AD$505,"&gt;"&amp;$A139,実績!$AE$6:$AE$505,"○")&gt;0,1,0))</f>
        <v/>
      </c>
      <c r="CL139">
        <f>IF(CL$4=0,0,IF(COUNTIFS(実績!$W$6:$W$505,CL$3,実績!$AC$6:$AC$505,"&lt;="&amp;$A139,実績!$AD$6:$AD$505,"&gt;"&amp;$A139,実績!$AE$6:$AE$505,"○")&gt;0,1,0))</f>
        <v/>
      </c>
      <c r="CM139">
        <f>IF(CM$4=0,0,IF(COUNTIFS(実績!$W$6:$W$505,CM$3,実績!$AC$6:$AC$505,"&lt;="&amp;$A139,実績!$AD$6:$AD$505,"&gt;"&amp;$A139,実績!$AE$6:$AE$505,"○")&gt;0,1,0))</f>
        <v/>
      </c>
      <c r="CN139">
        <f>IF(CN$4=0,0,IF(COUNTIFS(実績!$W$6:$W$505,CN$3,実績!$AC$6:$AC$505,"&lt;="&amp;$A139,実績!$AD$6:$AD$505,"&gt;"&amp;$A139,実績!$AE$6:$AE$505,"○")&gt;0,1,0))</f>
        <v/>
      </c>
      <c r="CO139">
        <f>IF(CO$4=0,0,IF(COUNTIFS(実績!$W$6:$W$505,CO$3,実績!$AC$6:$AC$505,"&lt;="&amp;$A139,実績!$AD$6:$AD$505,"&gt;"&amp;$A139,実績!$AE$6:$AE$505,"○")&gt;0,1,0))</f>
        <v/>
      </c>
      <c r="CP139">
        <f>IF(CP$4=0,0,IF(COUNTIFS(実績!$W$6:$W$505,CP$3,実績!$AC$6:$AC$505,"&lt;="&amp;$A139,実績!$AD$6:$AD$505,"&gt;"&amp;$A139,実績!$AE$6:$AE$505,"○")&gt;0,1,0))</f>
        <v/>
      </c>
      <c r="CQ139">
        <f>IF(CQ$4=0,0,IF(COUNTIFS(実績!$W$6:$W$505,CQ$3,実績!$AC$6:$AC$505,"&lt;="&amp;$A139,実績!$AD$6:$AD$505,"&gt;"&amp;$A139,実績!$AE$6:$AE$505,"○")&gt;0,1,0))</f>
        <v/>
      </c>
      <c r="CR139">
        <f>IF(CR$4=0,0,IF(COUNTIFS(実績!$W$6:$W$505,CR$3,実績!$AC$6:$AC$505,"&lt;="&amp;$A139,実績!$AD$6:$AD$505,"&gt;"&amp;$A139,実績!$AE$6:$AE$505,"○")&gt;0,1,0))</f>
        <v/>
      </c>
      <c r="CS139">
        <f>IF(CS$4=0,0,IF(COUNTIFS(実績!$W$6:$W$505,CS$3,実績!$AC$6:$AC$505,"&lt;="&amp;$A139,実績!$AD$6:$AD$505,"&gt;"&amp;$A139,実績!$AE$6:$AE$505,"○")&gt;0,1,0))</f>
        <v/>
      </c>
      <c r="CT139">
        <f>IF(CT$4=0,0,IF(COUNTIFS(実績!$W$6:$W$505,CT$3,実績!$AC$6:$AC$505,"&lt;="&amp;$A139,実績!$AD$6:$AD$505,"&gt;"&amp;$A139,実績!$AE$6:$AE$505,"○")&gt;0,1,0))</f>
        <v/>
      </c>
      <c r="CU139">
        <f>IF(CU$4=0,0,IF(COUNTIFS(実績!$W$6:$W$505,CU$3,実績!$AC$6:$AC$505,"&lt;="&amp;$A139,実績!$AD$6:$AD$505,"&gt;"&amp;$A139,実績!$AE$6:$AE$505,"○")&gt;0,1,0))</f>
        <v/>
      </c>
      <c r="CV139">
        <f>IF(CV$4=0,0,IF(COUNTIFS(実績!$W$6:$W$505,CV$3,実績!$AC$6:$AC$505,"&lt;="&amp;$A139,実績!$AD$6:$AD$505,"&gt;"&amp;$A139,実績!$AE$6:$AE$505,"○")&gt;0,1,0))</f>
        <v/>
      </c>
      <c r="CW139">
        <f>IF(CW$4=0,0,IF(COUNTIFS(実績!$W$6:$W$505,CW$3,実績!$AC$6:$AC$505,"&lt;="&amp;$A139,実績!$AD$6:$AD$505,"&gt;"&amp;$A139,実績!$AE$6:$AE$505,"○")&gt;0,1,0))</f>
        <v/>
      </c>
      <c r="CX139">
        <f>IF(CX$4=0,0,IF(COUNTIFS(実績!$W$6:$W$505,CX$3,実績!$AC$6:$AC$505,"&lt;="&amp;$A139,実績!$AD$6:$AD$505,"&gt;"&amp;$A139,実績!$AE$6:$AE$505,"○")&gt;0,1,0))</f>
        <v/>
      </c>
      <c r="CY139">
        <f>IF(CY$4=0,0,IF(COUNTIFS(実績!$W$6:$W$505,CY$3,実績!$AC$6:$AC$505,"&lt;="&amp;$A139,実績!$AD$6:$AD$505,"&gt;"&amp;$A139,実績!$AE$6:$AE$505,"○")&gt;0,1,0))</f>
        <v/>
      </c>
      <c r="CZ139">
        <f>IF(CZ$4=0,0,IF(COUNTIFS(実績!$W$6:$W$505,CZ$3,実績!$AC$6:$AC$505,"&lt;="&amp;$A139,実績!$AD$6:$AD$505,"&gt;"&amp;$A139,実績!$AE$6:$AE$505,"○")&gt;0,1,0))</f>
        <v/>
      </c>
      <c r="DA139">
        <f>IF(DA$4=0,0,IF(COUNTIFS(実績!$W$6:$W$505,DA$3,実績!$AC$6:$AC$505,"&lt;="&amp;$A139,実績!$AD$6:$AD$505,"&gt;"&amp;$A139,実績!$AE$6:$AE$505,"○")&gt;0,1,0))</f>
        <v/>
      </c>
      <c r="DB139">
        <f>IF(DB$4=0,0,IF(COUNTIFS(実績!$W$6:$W$505,DB$3,実績!$AC$6:$AC$505,"&lt;="&amp;$A139,実績!$AD$6:$AD$505,"&gt;"&amp;$A139,実績!$AE$6:$AE$505,"○")&gt;0,1,0))</f>
        <v/>
      </c>
      <c r="DC139">
        <f>IF(DC$4=0,0,IF(COUNTIFS(実績!$W$6:$W$505,DC$3,実績!$AC$6:$AC$505,"&lt;="&amp;$A139,実績!$AD$6:$AD$505,"&gt;"&amp;$A139,実績!$AE$6:$AE$505,"○")&gt;0,1,0))</f>
        <v/>
      </c>
      <c r="DD139">
        <f>IF(DD$4=0,0,IF(COUNTIFS(実績!$W$6:$W$505,DD$3,実績!$AC$6:$AC$505,"&lt;="&amp;$A139,実績!$AD$6:$AD$505,"&gt;"&amp;$A139,実績!$AE$6:$AE$505,"○")&gt;0,1,0))</f>
        <v/>
      </c>
      <c r="DE139">
        <f>IF(DE$4=0,0,IF(COUNTIFS(実績!$W$6:$W$505,DE$3,実績!$AC$6:$AC$505,"&lt;="&amp;$A139,実績!$AD$6:$AD$505,"&gt;"&amp;$A139,実績!$AE$6:$AE$505,"○")&gt;0,1,0))</f>
        <v/>
      </c>
      <c r="DF139">
        <f>IF(DF$4=0,0,IF(COUNTIFS(実績!$W$6:$W$505,DF$3,実績!$AC$6:$AC$505,"&lt;="&amp;$A139,実績!$AD$6:$AD$505,"&gt;"&amp;$A139,実績!$AE$6:$AE$505,"○")&gt;0,1,0))</f>
        <v/>
      </c>
      <c r="DG139">
        <f>IF(DG$4=0,0,IF(COUNTIFS(実績!$W$6:$W$505,DG$3,実績!$AC$6:$AC$505,"&lt;="&amp;$A139,実績!$AD$6:$AD$505,"&gt;"&amp;$A139,実績!$AE$6:$AE$505,"○")&gt;0,1,0))</f>
        <v/>
      </c>
      <c r="DH139">
        <f>IF(DH$4=0,0,IF(COUNTIFS(実績!$W$6:$W$505,DH$3,実績!$AC$6:$AC$505,"&lt;="&amp;$A139,実績!$AD$6:$AD$505,"&gt;"&amp;$A139,実績!$AE$6:$AE$505,"○")&gt;0,1,0))</f>
        <v/>
      </c>
      <c r="DI139">
        <f>IF(DI$4=0,0,IF(COUNTIFS(実績!$W$6:$W$505,DI$3,実績!$AC$6:$AC$505,"&lt;="&amp;$A139,実績!$AD$6:$AD$505,"&gt;"&amp;$A139,実績!$AE$6:$AE$505,"○")&gt;0,1,0))</f>
        <v/>
      </c>
      <c r="DJ139">
        <f>IF(DJ$4=0,0,IF(COUNTIFS(実績!$W$6:$W$505,DJ$3,実績!$AC$6:$AC$505,"&lt;="&amp;$A139,実績!$AD$6:$AD$505,"&gt;"&amp;$A139,実績!$AE$6:$AE$505,"○")&gt;0,1,0))</f>
        <v/>
      </c>
      <c r="DK139">
        <f>IF(DK$4=0,0,IF(COUNTIFS(実績!$W$6:$W$505,DK$3,実績!$AC$6:$AC$505,"&lt;="&amp;$A139,実績!$AD$6:$AD$505,"&gt;"&amp;$A139,実績!$AE$6:$AE$505,"○")&gt;0,1,0))</f>
        <v/>
      </c>
      <c r="DL139">
        <f>IF(DL$4=0,0,IF(COUNTIFS(実績!$W$6:$W$505,DL$3,実績!$AC$6:$AC$505,"&lt;="&amp;$A139,実績!$AD$6:$AD$505,"&gt;"&amp;$A139,実績!$AE$6:$AE$505,"○")&gt;0,1,0))</f>
        <v/>
      </c>
      <c r="DM139">
        <f>IF(DM$4=0,0,IF(COUNTIFS(実績!$W$6:$W$505,DM$3,実績!$AC$6:$AC$505,"&lt;="&amp;$A139,実績!$AD$6:$AD$505,"&gt;"&amp;$A139,実績!$AE$6:$AE$505,"○")&gt;0,1,0))</f>
        <v/>
      </c>
      <c r="DN139">
        <f>IF(DN$4=0,0,IF(COUNTIFS(実績!$W$6:$W$505,DN$3,実績!$AC$6:$AC$505,"&lt;="&amp;$A139,実績!$AD$6:$AD$505,"&gt;"&amp;$A139,実績!$AE$6:$AE$505,"○")&gt;0,1,0))</f>
        <v/>
      </c>
      <c r="DO139">
        <f>IF(DO$4=0,0,IF(COUNTIFS(実績!$W$6:$W$505,DO$3,実績!$AC$6:$AC$505,"&lt;="&amp;$A139,実績!$AD$6:$AD$505,"&gt;"&amp;$A139,実績!$AE$6:$AE$505,"○")&gt;0,1,0))</f>
        <v/>
      </c>
      <c r="DP139">
        <f>IF(DP$4=0,0,IF(COUNTIFS(実績!$W$6:$W$505,DP$3,実績!$AC$6:$AC$505,"&lt;="&amp;$A139,実績!$AD$6:$AD$505,"&gt;"&amp;$A139,実績!$AE$6:$AE$505,"○")&gt;0,1,0))</f>
        <v/>
      </c>
      <c r="DQ139">
        <f>IF(DQ$4=0,0,IF(COUNTIFS(実績!$W$6:$W$505,DQ$3,実績!$AC$6:$AC$505,"&lt;="&amp;$A139,実績!$AD$6:$AD$505,"&gt;"&amp;$A139,実績!$AE$6:$AE$505,"○")&gt;0,1,0))</f>
        <v/>
      </c>
      <c r="DR139">
        <f>IF(DR$4=0,0,IF(COUNTIFS(実績!$W$6:$W$505,DR$3,実績!$AC$6:$AC$505,"&lt;="&amp;$A139,実績!$AD$6:$AD$505,"&gt;"&amp;$A139,実績!$AE$6:$AE$505,"○")&gt;0,1,0))</f>
        <v/>
      </c>
      <c r="DS139">
        <f>SUM(C139:DR139)</f>
        <v/>
      </c>
      <c r="DT139">
        <f>SUMPRODUCT((実績!$C$6:$C$505="○")*ISNUMBER(実績!$AF$6:$AF$505)*(実績!$AF$6:$AF$505&lt;=$A139)*(実績!$AG$6:$AG$505&gt;$A139))</f>
        <v/>
      </c>
      <c r="DU139">
        <f>SUMIF($C$2:$DR$2,"製鉄曳船",C139:DR139)</f>
        <v/>
      </c>
      <c r="DV139">
        <f>SUMIF($C$2:$DR$2,"西日本海運",C139:DR139)</f>
        <v/>
      </c>
    </row>
    <row r="140">
      <c r="A140" t="n">
        <v>670</v>
      </c>
      <c r="B140" s="29">
        <f>A140/1440</f>
        <v/>
      </c>
      <c r="C140">
        <f>IF(C$4=0,0,IF(COUNTIFS(実績!$W$6:$W$505,C$3,実績!$AC$6:$AC$505,"&lt;="&amp;$A140,実績!$AD$6:$AD$505,"&gt;"&amp;$A140,実績!$AE$6:$AE$505,"○")&gt;0,1,0))</f>
        <v/>
      </c>
      <c r="D140">
        <f>IF(D$4=0,0,IF(COUNTIFS(実績!$W$6:$W$505,D$3,実績!$AC$6:$AC$505,"&lt;="&amp;$A140,実績!$AD$6:$AD$505,"&gt;"&amp;$A140,実績!$AE$6:$AE$505,"○")&gt;0,1,0))</f>
        <v/>
      </c>
      <c r="E140">
        <f>IF(E$4=0,0,IF(COUNTIFS(実績!$W$6:$W$505,E$3,実績!$AC$6:$AC$505,"&lt;="&amp;$A140,実績!$AD$6:$AD$505,"&gt;"&amp;$A140,実績!$AE$6:$AE$505,"○")&gt;0,1,0))</f>
        <v/>
      </c>
      <c r="F140">
        <f>IF(F$4=0,0,IF(COUNTIFS(実績!$W$6:$W$505,F$3,実績!$AC$6:$AC$505,"&lt;="&amp;$A140,実績!$AD$6:$AD$505,"&gt;"&amp;$A140,実績!$AE$6:$AE$505,"○")&gt;0,1,0))</f>
        <v/>
      </c>
      <c r="G140">
        <f>IF(G$4=0,0,IF(COUNTIFS(実績!$W$6:$W$505,G$3,実績!$AC$6:$AC$505,"&lt;="&amp;$A140,実績!$AD$6:$AD$505,"&gt;"&amp;$A140,実績!$AE$6:$AE$505,"○")&gt;0,1,0))</f>
        <v/>
      </c>
      <c r="H140">
        <f>IF(H$4=0,0,IF(COUNTIFS(実績!$W$6:$W$505,H$3,実績!$AC$6:$AC$505,"&lt;="&amp;$A140,実績!$AD$6:$AD$505,"&gt;"&amp;$A140,実績!$AE$6:$AE$505,"○")&gt;0,1,0))</f>
        <v/>
      </c>
      <c r="I140">
        <f>IF(I$4=0,0,IF(COUNTIFS(実績!$W$6:$W$505,I$3,実績!$AC$6:$AC$505,"&lt;="&amp;$A140,実績!$AD$6:$AD$505,"&gt;"&amp;$A140,実績!$AE$6:$AE$505,"○")&gt;0,1,0))</f>
        <v/>
      </c>
      <c r="J140">
        <f>IF(J$4=0,0,IF(COUNTIFS(実績!$W$6:$W$505,J$3,実績!$AC$6:$AC$505,"&lt;="&amp;$A140,実績!$AD$6:$AD$505,"&gt;"&amp;$A140,実績!$AE$6:$AE$505,"○")&gt;0,1,0))</f>
        <v/>
      </c>
      <c r="K140">
        <f>IF(K$4=0,0,IF(COUNTIFS(実績!$W$6:$W$505,K$3,実績!$AC$6:$AC$505,"&lt;="&amp;$A140,実績!$AD$6:$AD$505,"&gt;"&amp;$A140,実績!$AE$6:$AE$505,"○")&gt;0,1,0))</f>
        <v/>
      </c>
      <c r="L140">
        <f>IF(L$4=0,0,IF(COUNTIFS(実績!$W$6:$W$505,L$3,実績!$AC$6:$AC$505,"&lt;="&amp;$A140,実績!$AD$6:$AD$505,"&gt;"&amp;$A140,実績!$AE$6:$AE$505,"○")&gt;0,1,0))</f>
        <v/>
      </c>
      <c r="M140">
        <f>IF(M$4=0,0,IF(COUNTIFS(実績!$W$6:$W$505,M$3,実績!$AC$6:$AC$505,"&lt;="&amp;$A140,実績!$AD$6:$AD$505,"&gt;"&amp;$A140,実績!$AE$6:$AE$505,"○")&gt;0,1,0))</f>
        <v/>
      </c>
      <c r="N140">
        <f>IF(N$4=0,0,IF(COUNTIFS(実績!$W$6:$W$505,N$3,実績!$AC$6:$AC$505,"&lt;="&amp;$A140,実績!$AD$6:$AD$505,"&gt;"&amp;$A140,実績!$AE$6:$AE$505,"○")&gt;0,1,0))</f>
        <v/>
      </c>
      <c r="O140">
        <f>IF(O$4=0,0,IF(COUNTIFS(実績!$W$6:$W$505,O$3,実績!$AC$6:$AC$505,"&lt;="&amp;$A140,実績!$AD$6:$AD$505,"&gt;"&amp;$A140,実績!$AE$6:$AE$505,"○")&gt;0,1,0))</f>
        <v/>
      </c>
      <c r="P140">
        <f>IF(P$4=0,0,IF(COUNTIFS(実績!$W$6:$W$505,P$3,実績!$AC$6:$AC$505,"&lt;="&amp;$A140,実績!$AD$6:$AD$505,"&gt;"&amp;$A140,実績!$AE$6:$AE$505,"○")&gt;0,1,0))</f>
        <v/>
      </c>
      <c r="Q140">
        <f>IF(Q$4=0,0,IF(COUNTIFS(実績!$W$6:$W$505,Q$3,実績!$AC$6:$AC$505,"&lt;="&amp;$A140,実績!$AD$6:$AD$505,"&gt;"&amp;$A140,実績!$AE$6:$AE$505,"○")&gt;0,1,0))</f>
        <v/>
      </c>
      <c r="R140">
        <f>IF(R$4=0,0,IF(COUNTIFS(実績!$W$6:$W$505,R$3,実績!$AC$6:$AC$505,"&lt;="&amp;$A140,実績!$AD$6:$AD$505,"&gt;"&amp;$A140,実績!$AE$6:$AE$505,"○")&gt;0,1,0))</f>
        <v/>
      </c>
      <c r="S140">
        <f>IF(S$4=0,0,IF(COUNTIFS(実績!$W$6:$W$505,S$3,実績!$AC$6:$AC$505,"&lt;="&amp;$A140,実績!$AD$6:$AD$505,"&gt;"&amp;$A140,実績!$AE$6:$AE$505,"○")&gt;0,1,0))</f>
        <v/>
      </c>
      <c r="T140">
        <f>IF(T$4=0,0,IF(COUNTIFS(実績!$W$6:$W$505,T$3,実績!$AC$6:$AC$505,"&lt;="&amp;$A140,実績!$AD$6:$AD$505,"&gt;"&amp;$A140,実績!$AE$6:$AE$505,"○")&gt;0,1,0))</f>
        <v/>
      </c>
      <c r="U140">
        <f>IF(U$4=0,0,IF(COUNTIFS(実績!$W$6:$W$505,U$3,実績!$AC$6:$AC$505,"&lt;="&amp;$A140,実績!$AD$6:$AD$505,"&gt;"&amp;$A140,実績!$AE$6:$AE$505,"○")&gt;0,1,0))</f>
        <v/>
      </c>
      <c r="V140">
        <f>IF(V$4=0,0,IF(COUNTIFS(実績!$W$6:$W$505,V$3,実績!$AC$6:$AC$505,"&lt;="&amp;$A140,実績!$AD$6:$AD$505,"&gt;"&amp;$A140,実績!$AE$6:$AE$505,"○")&gt;0,1,0))</f>
        <v/>
      </c>
      <c r="W140">
        <f>IF(W$4=0,0,IF(COUNTIFS(実績!$W$6:$W$505,W$3,実績!$AC$6:$AC$505,"&lt;="&amp;$A140,実績!$AD$6:$AD$505,"&gt;"&amp;$A140,実績!$AE$6:$AE$505,"○")&gt;0,1,0))</f>
        <v/>
      </c>
      <c r="X140">
        <f>IF(X$4=0,0,IF(COUNTIFS(実績!$W$6:$W$505,X$3,実績!$AC$6:$AC$505,"&lt;="&amp;$A140,実績!$AD$6:$AD$505,"&gt;"&amp;$A140,実績!$AE$6:$AE$505,"○")&gt;0,1,0))</f>
        <v/>
      </c>
      <c r="Y140">
        <f>IF(Y$4=0,0,IF(COUNTIFS(実績!$W$6:$W$505,Y$3,実績!$AC$6:$AC$505,"&lt;="&amp;$A140,実績!$AD$6:$AD$505,"&gt;"&amp;$A140,実績!$AE$6:$AE$505,"○")&gt;0,1,0))</f>
        <v/>
      </c>
      <c r="Z140">
        <f>IF(Z$4=0,0,IF(COUNTIFS(実績!$W$6:$W$505,Z$3,実績!$AC$6:$AC$505,"&lt;="&amp;$A140,実績!$AD$6:$AD$505,"&gt;"&amp;$A140,実績!$AE$6:$AE$505,"○")&gt;0,1,0))</f>
        <v/>
      </c>
      <c r="AA140">
        <f>IF(AA$4=0,0,IF(COUNTIFS(実績!$W$6:$W$505,AA$3,実績!$AC$6:$AC$505,"&lt;="&amp;$A140,実績!$AD$6:$AD$505,"&gt;"&amp;$A140,実績!$AE$6:$AE$505,"○")&gt;0,1,0))</f>
        <v/>
      </c>
      <c r="AB140">
        <f>IF(AB$4=0,0,IF(COUNTIFS(実績!$W$6:$W$505,AB$3,実績!$AC$6:$AC$505,"&lt;="&amp;$A140,実績!$AD$6:$AD$505,"&gt;"&amp;$A140,実績!$AE$6:$AE$505,"○")&gt;0,1,0))</f>
        <v/>
      </c>
      <c r="AC140">
        <f>IF(AC$4=0,0,IF(COUNTIFS(実績!$W$6:$W$505,AC$3,実績!$AC$6:$AC$505,"&lt;="&amp;$A140,実績!$AD$6:$AD$505,"&gt;"&amp;$A140,実績!$AE$6:$AE$505,"○")&gt;0,1,0))</f>
        <v/>
      </c>
      <c r="AD140">
        <f>IF(AD$4=0,0,IF(COUNTIFS(実績!$W$6:$W$505,AD$3,実績!$AC$6:$AC$505,"&lt;="&amp;$A140,実績!$AD$6:$AD$505,"&gt;"&amp;$A140,実績!$AE$6:$AE$505,"○")&gt;0,1,0))</f>
        <v/>
      </c>
      <c r="AE140">
        <f>IF(AE$4=0,0,IF(COUNTIFS(実績!$W$6:$W$505,AE$3,実績!$AC$6:$AC$505,"&lt;="&amp;$A140,実績!$AD$6:$AD$505,"&gt;"&amp;$A140,実績!$AE$6:$AE$505,"○")&gt;0,1,0))</f>
        <v/>
      </c>
      <c r="AF140">
        <f>IF(AF$4=0,0,IF(COUNTIFS(実績!$W$6:$W$505,AF$3,実績!$AC$6:$AC$505,"&lt;="&amp;$A140,実績!$AD$6:$AD$505,"&gt;"&amp;$A140,実績!$AE$6:$AE$505,"○")&gt;0,1,0))</f>
        <v/>
      </c>
      <c r="AG140">
        <f>IF(AG$4=0,0,IF(COUNTIFS(実績!$W$6:$W$505,AG$3,実績!$AC$6:$AC$505,"&lt;="&amp;$A140,実績!$AD$6:$AD$505,"&gt;"&amp;$A140,実績!$AE$6:$AE$505,"○")&gt;0,1,0))</f>
        <v/>
      </c>
      <c r="AH140">
        <f>IF(AH$4=0,0,IF(COUNTIFS(実績!$W$6:$W$505,AH$3,実績!$AC$6:$AC$505,"&lt;="&amp;$A140,実績!$AD$6:$AD$505,"&gt;"&amp;$A140,実績!$AE$6:$AE$505,"○")&gt;0,1,0))</f>
        <v/>
      </c>
      <c r="AI140">
        <f>IF(AI$4=0,0,IF(COUNTIFS(実績!$W$6:$W$505,AI$3,実績!$AC$6:$AC$505,"&lt;="&amp;$A140,実績!$AD$6:$AD$505,"&gt;"&amp;$A140,実績!$AE$6:$AE$505,"○")&gt;0,1,0))</f>
        <v/>
      </c>
      <c r="AJ140">
        <f>IF(AJ$4=0,0,IF(COUNTIFS(実績!$W$6:$W$505,AJ$3,実績!$AC$6:$AC$505,"&lt;="&amp;$A140,実績!$AD$6:$AD$505,"&gt;"&amp;$A140,実績!$AE$6:$AE$505,"○")&gt;0,1,0))</f>
        <v/>
      </c>
      <c r="AK140">
        <f>IF(AK$4=0,0,IF(COUNTIFS(実績!$W$6:$W$505,AK$3,実績!$AC$6:$AC$505,"&lt;="&amp;$A140,実績!$AD$6:$AD$505,"&gt;"&amp;$A140,実績!$AE$6:$AE$505,"○")&gt;0,1,0))</f>
        <v/>
      </c>
      <c r="AL140">
        <f>IF(AL$4=0,0,IF(COUNTIFS(実績!$W$6:$W$505,AL$3,実績!$AC$6:$AC$505,"&lt;="&amp;$A140,実績!$AD$6:$AD$505,"&gt;"&amp;$A140,実績!$AE$6:$AE$505,"○")&gt;0,1,0))</f>
        <v/>
      </c>
      <c r="AM140">
        <f>IF(AM$4=0,0,IF(COUNTIFS(実績!$W$6:$W$505,AM$3,実績!$AC$6:$AC$505,"&lt;="&amp;$A140,実績!$AD$6:$AD$505,"&gt;"&amp;$A140,実績!$AE$6:$AE$505,"○")&gt;0,1,0))</f>
        <v/>
      </c>
      <c r="AN140">
        <f>IF(AN$4=0,0,IF(COUNTIFS(実績!$W$6:$W$505,AN$3,実績!$AC$6:$AC$505,"&lt;="&amp;$A140,実績!$AD$6:$AD$505,"&gt;"&amp;$A140,実績!$AE$6:$AE$505,"○")&gt;0,1,0))</f>
        <v/>
      </c>
      <c r="AO140">
        <f>IF(AO$4=0,0,IF(COUNTIFS(実績!$W$6:$W$505,AO$3,実績!$AC$6:$AC$505,"&lt;="&amp;$A140,実績!$AD$6:$AD$505,"&gt;"&amp;$A140,実績!$AE$6:$AE$505,"○")&gt;0,1,0))</f>
        <v/>
      </c>
      <c r="AP140">
        <f>IF(AP$4=0,0,IF(COUNTIFS(実績!$W$6:$W$505,AP$3,実績!$AC$6:$AC$505,"&lt;="&amp;$A140,実績!$AD$6:$AD$505,"&gt;"&amp;$A140,実績!$AE$6:$AE$505,"○")&gt;0,1,0))</f>
        <v/>
      </c>
      <c r="AQ140">
        <f>IF(AQ$4=0,0,IF(COUNTIFS(実績!$W$6:$W$505,AQ$3,実績!$AC$6:$AC$505,"&lt;="&amp;$A140,実績!$AD$6:$AD$505,"&gt;"&amp;$A140,実績!$AE$6:$AE$505,"○")&gt;0,1,0))</f>
        <v/>
      </c>
      <c r="AR140">
        <f>IF(AR$4=0,0,IF(COUNTIFS(実績!$W$6:$W$505,AR$3,実績!$AC$6:$AC$505,"&lt;="&amp;$A140,実績!$AD$6:$AD$505,"&gt;"&amp;$A140,実績!$AE$6:$AE$505,"○")&gt;0,1,0))</f>
        <v/>
      </c>
      <c r="AS140">
        <f>IF(AS$4=0,0,IF(COUNTIFS(実績!$W$6:$W$505,AS$3,実績!$AC$6:$AC$505,"&lt;="&amp;$A140,実績!$AD$6:$AD$505,"&gt;"&amp;$A140,実績!$AE$6:$AE$505,"○")&gt;0,1,0))</f>
        <v/>
      </c>
      <c r="AT140">
        <f>IF(AT$4=0,0,IF(COUNTIFS(実績!$W$6:$W$505,AT$3,実績!$AC$6:$AC$505,"&lt;="&amp;$A140,実績!$AD$6:$AD$505,"&gt;"&amp;$A140,実績!$AE$6:$AE$505,"○")&gt;0,1,0))</f>
        <v/>
      </c>
      <c r="AU140">
        <f>IF(AU$4=0,0,IF(COUNTIFS(実績!$W$6:$W$505,AU$3,実績!$AC$6:$AC$505,"&lt;="&amp;$A140,実績!$AD$6:$AD$505,"&gt;"&amp;$A140,実績!$AE$6:$AE$505,"○")&gt;0,1,0))</f>
        <v/>
      </c>
      <c r="AV140">
        <f>IF(AV$4=0,0,IF(COUNTIFS(実績!$W$6:$W$505,AV$3,実績!$AC$6:$AC$505,"&lt;="&amp;$A140,実績!$AD$6:$AD$505,"&gt;"&amp;$A140,実績!$AE$6:$AE$505,"○")&gt;0,1,0))</f>
        <v/>
      </c>
      <c r="AW140">
        <f>IF(AW$4=0,0,IF(COUNTIFS(実績!$W$6:$W$505,AW$3,実績!$AC$6:$AC$505,"&lt;="&amp;$A140,実績!$AD$6:$AD$505,"&gt;"&amp;$A140,実績!$AE$6:$AE$505,"○")&gt;0,1,0))</f>
        <v/>
      </c>
      <c r="AX140">
        <f>IF(AX$4=0,0,IF(COUNTIFS(実績!$W$6:$W$505,AX$3,実績!$AC$6:$AC$505,"&lt;="&amp;$A140,実績!$AD$6:$AD$505,"&gt;"&amp;$A140,実績!$AE$6:$AE$505,"○")&gt;0,1,0))</f>
        <v/>
      </c>
      <c r="AY140">
        <f>IF(AY$4=0,0,IF(COUNTIFS(実績!$W$6:$W$505,AY$3,実績!$AC$6:$AC$505,"&lt;="&amp;$A140,実績!$AD$6:$AD$505,"&gt;"&amp;$A140,実績!$AE$6:$AE$505,"○")&gt;0,1,0))</f>
        <v/>
      </c>
      <c r="AZ140">
        <f>IF(AZ$4=0,0,IF(COUNTIFS(実績!$W$6:$W$505,AZ$3,実績!$AC$6:$AC$505,"&lt;="&amp;$A140,実績!$AD$6:$AD$505,"&gt;"&amp;$A140,実績!$AE$6:$AE$505,"○")&gt;0,1,0))</f>
        <v/>
      </c>
      <c r="BA140">
        <f>IF(BA$4=0,0,IF(COUNTIFS(実績!$W$6:$W$505,BA$3,実績!$AC$6:$AC$505,"&lt;="&amp;$A140,実績!$AD$6:$AD$505,"&gt;"&amp;$A140,実績!$AE$6:$AE$505,"○")&gt;0,1,0))</f>
        <v/>
      </c>
      <c r="BB140">
        <f>IF(BB$4=0,0,IF(COUNTIFS(実績!$W$6:$W$505,BB$3,実績!$AC$6:$AC$505,"&lt;="&amp;$A140,実績!$AD$6:$AD$505,"&gt;"&amp;$A140,実績!$AE$6:$AE$505,"○")&gt;0,1,0))</f>
        <v/>
      </c>
      <c r="BC140">
        <f>IF(BC$4=0,0,IF(COUNTIFS(実績!$W$6:$W$505,BC$3,実績!$AC$6:$AC$505,"&lt;="&amp;$A140,実績!$AD$6:$AD$505,"&gt;"&amp;$A140,実績!$AE$6:$AE$505,"○")&gt;0,1,0))</f>
        <v/>
      </c>
      <c r="BD140">
        <f>IF(BD$4=0,0,IF(COUNTIFS(実績!$W$6:$W$505,BD$3,実績!$AC$6:$AC$505,"&lt;="&amp;$A140,実績!$AD$6:$AD$505,"&gt;"&amp;$A140,実績!$AE$6:$AE$505,"○")&gt;0,1,0))</f>
        <v/>
      </c>
      <c r="BE140">
        <f>IF(BE$4=0,0,IF(COUNTIFS(実績!$W$6:$W$505,BE$3,実績!$AC$6:$AC$505,"&lt;="&amp;$A140,実績!$AD$6:$AD$505,"&gt;"&amp;$A140,実績!$AE$6:$AE$505,"○")&gt;0,1,0))</f>
        <v/>
      </c>
      <c r="BF140">
        <f>IF(BF$4=0,0,IF(COUNTIFS(実績!$W$6:$W$505,BF$3,実績!$AC$6:$AC$505,"&lt;="&amp;$A140,実績!$AD$6:$AD$505,"&gt;"&amp;$A140,実績!$AE$6:$AE$505,"○")&gt;0,1,0))</f>
        <v/>
      </c>
      <c r="BG140">
        <f>IF(BG$4=0,0,IF(COUNTIFS(実績!$W$6:$W$505,BG$3,実績!$AC$6:$AC$505,"&lt;="&amp;$A140,実績!$AD$6:$AD$505,"&gt;"&amp;$A140,実績!$AE$6:$AE$505,"○")&gt;0,1,0))</f>
        <v/>
      </c>
      <c r="BH140">
        <f>IF(BH$4=0,0,IF(COUNTIFS(実績!$W$6:$W$505,BH$3,実績!$AC$6:$AC$505,"&lt;="&amp;$A140,実績!$AD$6:$AD$505,"&gt;"&amp;$A140,実績!$AE$6:$AE$505,"○")&gt;0,1,0))</f>
        <v/>
      </c>
      <c r="BI140">
        <f>IF(BI$4=0,0,IF(COUNTIFS(実績!$W$6:$W$505,BI$3,実績!$AC$6:$AC$505,"&lt;="&amp;$A140,実績!$AD$6:$AD$505,"&gt;"&amp;$A140,実績!$AE$6:$AE$505,"○")&gt;0,1,0))</f>
        <v/>
      </c>
      <c r="BJ140">
        <f>IF(BJ$4=0,0,IF(COUNTIFS(実績!$W$6:$W$505,BJ$3,実績!$AC$6:$AC$505,"&lt;="&amp;$A140,実績!$AD$6:$AD$505,"&gt;"&amp;$A140,実績!$AE$6:$AE$505,"○")&gt;0,1,0))</f>
        <v/>
      </c>
      <c r="BK140">
        <f>IF(BK$4=0,0,IF(COUNTIFS(実績!$W$6:$W$505,BK$3,実績!$AC$6:$AC$505,"&lt;="&amp;$A140,実績!$AD$6:$AD$505,"&gt;"&amp;$A140,実績!$AE$6:$AE$505,"○")&gt;0,1,0))</f>
        <v/>
      </c>
      <c r="BL140">
        <f>IF(BL$4=0,0,IF(COUNTIFS(実績!$W$6:$W$505,BL$3,実績!$AC$6:$AC$505,"&lt;="&amp;$A140,実績!$AD$6:$AD$505,"&gt;"&amp;$A140,実績!$AE$6:$AE$505,"○")&gt;0,1,0))</f>
        <v/>
      </c>
      <c r="BM140">
        <f>IF(BM$4=0,0,IF(COUNTIFS(実績!$W$6:$W$505,BM$3,実績!$AC$6:$AC$505,"&lt;="&amp;$A140,実績!$AD$6:$AD$505,"&gt;"&amp;$A140,実績!$AE$6:$AE$505,"○")&gt;0,1,0))</f>
        <v/>
      </c>
      <c r="BN140">
        <f>IF(BN$4=0,0,IF(COUNTIFS(実績!$W$6:$W$505,BN$3,実績!$AC$6:$AC$505,"&lt;="&amp;$A140,実績!$AD$6:$AD$505,"&gt;"&amp;$A140,実績!$AE$6:$AE$505,"○")&gt;0,1,0))</f>
        <v/>
      </c>
      <c r="BO140">
        <f>IF(BO$4=0,0,IF(COUNTIFS(実績!$W$6:$W$505,BO$3,実績!$AC$6:$AC$505,"&lt;="&amp;$A140,実績!$AD$6:$AD$505,"&gt;"&amp;$A140,実績!$AE$6:$AE$505,"○")&gt;0,1,0))</f>
        <v/>
      </c>
      <c r="BP140">
        <f>IF(BP$4=0,0,IF(COUNTIFS(実績!$W$6:$W$505,BP$3,実績!$AC$6:$AC$505,"&lt;="&amp;$A140,実績!$AD$6:$AD$505,"&gt;"&amp;$A140,実績!$AE$6:$AE$505,"○")&gt;0,1,0))</f>
        <v/>
      </c>
      <c r="BQ140">
        <f>IF(BQ$4=0,0,IF(COUNTIFS(実績!$W$6:$W$505,BQ$3,実績!$AC$6:$AC$505,"&lt;="&amp;$A140,実績!$AD$6:$AD$505,"&gt;"&amp;$A140,実績!$AE$6:$AE$505,"○")&gt;0,1,0))</f>
        <v/>
      </c>
      <c r="BR140">
        <f>IF(BR$4=0,0,IF(COUNTIFS(実績!$W$6:$W$505,BR$3,実績!$AC$6:$AC$505,"&lt;="&amp;$A140,実績!$AD$6:$AD$505,"&gt;"&amp;$A140,実績!$AE$6:$AE$505,"○")&gt;0,1,0))</f>
        <v/>
      </c>
      <c r="BS140">
        <f>IF(BS$4=0,0,IF(COUNTIFS(実績!$W$6:$W$505,BS$3,実績!$AC$6:$AC$505,"&lt;="&amp;$A140,実績!$AD$6:$AD$505,"&gt;"&amp;$A140,実績!$AE$6:$AE$505,"○")&gt;0,1,0))</f>
        <v/>
      </c>
      <c r="BT140">
        <f>IF(BT$4=0,0,IF(COUNTIFS(実績!$W$6:$W$505,BT$3,実績!$AC$6:$AC$505,"&lt;="&amp;$A140,実績!$AD$6:$AD$505,"&gt;"&amp;$A140,実績!$AE$6:$AE$505,"○")&gt;0,1,0))</f>
        <v/>
      </c>
      <c r="BU140">
        <f>IF(BU$4=0,0,IF(COUNTIFS(実績!$W$6:$W$505,BU$3,実績!$AC$6:$AC$505,"&lt;="&amp;$A140,実績!$AD$6:$AD$505,"&gt;"&amp;$A140,実績!$AE$6:$AE$505,"○")&gt;0,1,0))</f>
        <v/>
      </c>
      <c r="BV140">
        <f>IF(BV$4=0,0,IF(COUNTIFS(実績!$W$6:$W$505,BV$3,実績!$AC$6:$AC$505,"&lt;="&amp;$A140,実績!$AD$6:$AD$505,"&gt;"&amp;$A140,実績!$AE$6:$AE$505,"○")&gt;0,1,0))</f>
        <v/>
      </c>
      <c r="BW140">
        <f>IF(BW$4=0,0,IF(COUNTIFS(実績!$W$6:$W$505,BW$3,実績!$AC$6:$AC$505,"&lt;="&amp;$A140,実績!$AD$6:$AD$505,"&gt;"&amp;$A140,実績!$AE$6:$AE$505,"○")&gt;0,1,0))</f>
        <v/>
      </c>
      <c r="BX140">
        <f>IF(BX$4=0,0,IF(COUNTIFS(実績!$W$6:$W$505,BX$3,実績!$AC$6:$AC$505,"&lt;="&amp;$A140,実績!$AD$6:$AD$505,"&gt;"&amp;$A140,実績!$AE$6:$AE$505,"○")&gt;0,1,0))</f>
        <v/>
      </c>
      <c r="BY140">
        <f>IF(BY$4=0,0,IF(COUNTIFS(実績!$W$6:$W$505,BY$3,実績!$AC$6:$AC$505,"&lt;="&amp;$A140,実績!$AD$6:$AD$505,"&gt;"&amp;$A140,実績!$AE$6:$AE$505,"○")&gt;0,1,0))</f>
        <v/>
      </c>
      <c r="BZ140">
        <f>IF(BZ$4=0,0,IF(COUNTIFS(実績!$W$6:$W$505,BZ$3,実績!$AC$6:$AC$505,"&lt;="&amp;$A140,実績!$AD$6:$AD$505,"&gt;"&amp;$A140,実績!$AE$6:$AE$505,"○")&gt;0,1,0))</f>
        <v/>
      </c>
      <c r="CA140">
        <f>IF(CA$4=0,0,IF(COUNTIFS(実績!$W$6:$W$505,CA$3,実績!$AC$6:$AC$505,"&lt;="&amp;$A140,実績!$AD$6:$AD$505,"&gt;"&amp;$A140,実績!$AE$6:$AE$505,"○")&gt;0,1,0))</f>
        <v/>
      </c>
      <c r="CB140">
        <f>IF(CB$4=0,0,IF(COUNTIFS(実績!$W$6:$W$505,CB$3,実績!$AC$6:$AC$505,"&lt;="&amp;$A140,実績!$AD$6:$AD$505,"&gt;"&amp;$A140,実績!$AE$6:$AE$505,"○")&gt;0,1,0))</f>
        <v/>
      </c>
      <c r="CC140">
        <f>IF(CC$4=0,0,IF(COUNTIFS(実績!$W$6:$W$505,CC$3,実績!$AC$6:$AC$505,"&lt;="&amp;$A140,実績!$AD$6:$AD$505,"&gt;"&amp;$A140,実績!$AE$6:$AE$505,"○")&gt;0,1,0))</f>
        <v/>
      </c>
      <c r="CD140">
        <f>IF(CD$4=0,0,IF(COUNTIFS(実績!$W$6:$W$505,CD$3,実績!$AC$6:$AC$505,"&lt;="&amp;$A140,実績!$AD$6:$AD$505,"&gt;"&amp;$A140,実績!$AE$6:$AE$505,"○")&gt;0,1,0))</f>
        <v/>
      </c>
      <c r="CE140">
        <f>IF(CE$4=0,0,IF(COUNTIFS(実績!$W$6:$W$505,CE$3,実績!$AC$6:$AC$505,"&lt;="&amp;$A140,実績!$AD$6:$AD$505,"&gt;"&amp;$A140,実績!$AE$6:$AE$505,"○")&gt;0,1,0))</f>
        <v/>
      </c>
      <c r="CF140">
        <f>IF(CF$4=0,0,IF(COUNTIFS(実績!$W$6:$W$505,CF$3,実績!$AC$6:$AC$505,"&lt;="&amp;$A140,実績!$AD$6:$AD$505,"&gt;"&amp;$A140,実績!$AE$6:$AE$505,"○")&gt;0,1,0))</f>
        <v/>
      </c>
      <c r="CG140">
        <f>IF(CG$4=0,0,IF(COUNTIFS(実績!$W$6:$W$505,CG$3,実績!$AC$6:$AC$505,"&lt;="&amp;$A140,実績!$AD$6:$AD$505,"&gt;"&amp;$A140,実績!$AE$6:$AE$505,"○")&gt;0,1,0))</f>
        <v/>
      </c>
      <c r="CH140">
        <f>IF(CH$4=0,0,IF(COUNTIFS(実績!$W$6:$W$505,CH$3,実績!$AC$6:$AC$505,"&lt;="&amp;$A140,実績!$AD$6:$AD$505,"&gt;"&amp;$A140,実績!$AE$6:$AE$505,"○")&gt;0,1,0))</f>
        <v/>
      </c>
      <c r="CI140">
        <f>IF(CI$4=0,0,IF(COUNTIFS(実績!$W$6:$W$505,CI$3,実績!$AC$6:$AC$505,"&lt;="&amp;$A140,実績!$AD$6:$AD$505,"&gt;"&amp;$A140,実績!$AE$6:$AE$505,"○")&gt;0,1,0))</f>
        <v/>
      </c>
      <c r="CJ140">
        <f>IF(CJ$4=0,0,IF(COUNTIFS(実績!$W$6:$W$505,CJ$3,実績!$AC$6:$AC$505,"&lt;="&amp;$A140,実績!$AD$6:$AD$505,"&gt;"&amp;$A140,実績!$AE$6:$AE$505,"○")&gt;0,1,0))</f>
        <v/>
      </c>
      <c r="CK140">
        <f>IF(CK$4=0,0,IF(COUNTIFS(実績!$W$6:$W$505,CK$3,実績!$AC$6:$AC$505,"&lt;="&amp;$A140,実績!$AD$6:$AD$505,"&gt;"&amp;$A140,実績!$AE$6:$AE$505,"○")&gt;0,1,0))</f>
        <v/>
      </c>
      <c r="CL140">
        <f>IF(CL$4=0,0,IF(COUNTIFS(実績!$W$6:$W$505,CL$3,実績!$AC$6:$AC$505,"&lt;="&amp;$A140,実績!$AD$6:$AD$505,"&gt;"&amp;$A140,実績!$AE$6:$AE$505,"○")&gt;0,1,0))</f>
        <v/>
      </c>
      <c r="CM140">
        <f>IF(CM$4=0,0,IF(COUNTIFS(実績!$W$6:$W$505,CM$3,実績!$AC$6:$AC$505,"&lt;="&amp;$A140,実績!$AD$6:$AD$505,"&gt;"&amp;$A140,実績!$AE$6:$AE$505,"○")&gt;0,1,0))</f>
        <v/>
      </c>
      <c r="CN140">
        <f>IF(CN$4=0,0,IF(COUNTIFS(実績!$W$6:$W$505,CN$3,実績!$AC$6:$AC$505,"&lt;="&amp;$A140,実績!$AD$6:$AD$505,"&gt;"&amp;$A140,実績!$AE$6:$AE$505,"○")&gt;0,1,0))</f>
        <v/>
      </c>
      <c r="CO140">
        <f>IF(CO$4=0,0,IF(COUNTIFS(実績!$W$6:$W$505,CO$3,実績!$AC$6:$AC$505,"&lt;="&amp;$A140,実績!$AD$6:$AD$505,"&gt;"&amp;$A140,実績!$AE$6:$AE$505,"○")&gt;0,1,0))</f>
        <v/>
      </c>
      <c r="CP140">
        <f>IF(CP$4=0,0,IF(COUNTIFS(実績!$W$6:$W$505,CP$3,実績!$AC$6:$AC$505,"&lt;="&amp;$A140,実績!$AD$6:$AD$505,"&gt;"&amp;$A140,実績!$AE$6:$AE$505,"○")&gt;0,1,0))</f>
        <v/>
      </c>
      <c r="CQ140">
        <f>IF(CQ$4=0,0,IF(COUNTIFS(実績!$W$6:$W$505,CQ$3,実績!$AC$6:$AC$505,"&lt;="&amp;$A140,実績!$AD$6:$AD$505,"&gt;"&amp;$A140,実績!$AE$6:$AE$505,"○")&gt;0,1,0))</f>
        <v/>
      </c>
      <c r="CR140">
        <f>IF(CR$4=0,0,IF(COUNTIFS(実績!$W$6:$W$505,CR$3,実績!$AC$6:$AC$505,"&lt;="&amp;$A140,実績!$AD$6:$AD$505,"&gt;"&amp;$A140,実績!$AE$6:$AE$505,"○")&gt;0,1,0))</f>
        <v/>
      </c>
      <c r="CS140">
        <f>IF(CS$4=0,0,IF(COUNTIFS(実績!$W$6:$W$505,CS$3,実績!$AC$6:$AC$505,"&lt;="&amp;$A140,実績!$AD$6:$AD$505,"&gt;"&amp;$A140,実績!$AE$6:$AE$505,"○")&gt;0,1,0))</f>
        <v/>
      </c>
      <c r="CT140">
        <f>IF(CT$4=0,0,IF(COUNTIFS(実績!$W$6:$W$505,CT$3,実績!$AC$6:$AC$505,"&lt;="&amp;$A140,実績!$AD$6:$AD$505,"&gt;"&amp;$A140,実績!$AE$6:$AE$505,"○")&gt;0,1,0))</f>
        <v/>
      </c>
      <c r="CU140">
        <f>IF(CU$4=0,0,IF(COUNTIFS(実績!$W$6:$W$505,CU$3,実績!$AC$6:$AC$505,"&lt;="&amp;$A140,実績!$AD$6:$AD$505,"&gt;"&amp;$A140,実績!$AE$6:$AE$505,"○")&gt;0,1,0))</f>
        <v/>
      </c>
      <c r="CV140">
        <f>IF(CV$4=0,0,IF(COUNTIFS(実績!$W$6:$W$505,CV$3,実績!$AC$6:$AC$505,"&lt;="&amp;$A140,実績!$AD$6:$AD$505,"&gt;"&amp;$A140,実績!$AE$6:$AE$505,"○")&gt;0,1,0))</f>
        <v/>
      </c>
      <c r="CW140">
        <f>IF(CW$4=0,0,IF(COUNTIFS(実績!$W$6:$W$505,CW$3,実績!$AC$6:$AC$505,"&lt;="&amp;$A140,実績!$AD$6:$AD$505,"&gt;"&amp;$A140,実績!$AE$6:$AE$505,"○")&gt;0,1,0))</f>
        <v/>
      </c>
      <c r="CX140">
        <f>IF(CX$4=0,0,IF(COUNTIFS(実績!$W$6:$W$505,CX$3,実績!$AC$6:$AC$505,"&lt;="&amp;$A140,実績!$AD$6:$AD$505,"&gt;"&amp;$A140,実績!$AE$6:$AE$505,"○")&gt;0,1,0))</f>
        <v/>
      </c>
      <c r="CY140">
        <f>IF(CY$4=0,0,IF(COUNTIFS(実績!$W$6:$W$505,CY$3,実績!$AC$6:$AC$505,"&lt;="&amp;$A140,実績!$AD$6:$AD$505,"&gt;"&amp;$A140,実績!$AE$6:$AE$505,"○")&gt;0,1,0))</f>
        <v/>
      </c>
      <c r="CZ140">
        <f>IF(CZ$4=0,0,IF(COUNTIFS(実績!$W$6:$W$505,CZ$3,実績!$AC$6:$AC$505,"&lt;="&amp;$A140,実績!$AD$6:$AD$505,"&gt;"&amp;$A140,実績!$AE$6:$AE$505,"○")&gt;0,1,0))</f>
        <v/>
      </c>
      <c r="DA140">
        <f>IF(DA$4=0,0,IF(COUNTIFS(実績!$W$6:$W$505,DA$3,実績!$AC$6:$AC$505,"&lt;="&amp;$A140,実績!$AD$6:$AD$505,"&gt;"&amp;$A140,実績!$AE$6:$AE$505,"○")&gt;0,1,0))</f>
        <v/>
      </c>
      <c r="DB140">
        <f>IF(DB$4=0,0,IF(COUNTIFS(実績!$W$6:$W$505,DB$3,実績!$AC$6:$AC$505,"&lt;="&amp;$A140,実績!$AD$6:$AD$505,"&gt;"&amp;$A140,実績!$AE$6:$AE$505,"○")&gt;0,1,0))</f>
        <v/>
      </c>
      <c r="DC140">
        <f>IF(DC$4=0,0,IF(COUNTIFS(実績!$W$6:$W$505,DC$3,実績!$AC$6:$AC$505,"&lt;="&amp;$A140,実績!$AD$6:$AD$505,"&gt;"&amp;$A140,実績!$AE$6:$AE$505,"○")&gt;0,1,0))</f>
        <v/>
      </c>
      <c r="DD140">
        <f>IF(DD$4=0,0,IF(COUNTIFS(実績!$W$6:$W$505,DD$3,実績!$AC$6:$AC$505,"&lt;="&amp;$A140,実績!$AD$6:$AD$505,"&gt;"&amp;$A140,実績!$AE$6:$AE$505,"○")&gt;0,1,0))</f>
        <v/>
      </c>
      <c r="DE140">
        <f>IF(DE$4=0,0,IF(COUNTIFS(実績!$W$6:$W$505,DE$3,実績!$AC$6:$AC$505,"&lt;="&amp;$A140,実績!$AD$6:$AD$505,"&gt;"&amp;$A140,実績!$AE$6:$AE$505,"○")&gt;0,1,0))</f>
        <v/>
      </c>
      <c r="DF140">
        <f>IF(DF$4=0,0,IF(COUNTIFS(実績!$W$6:$W$505,DF$3,実績!$AC$6:$AC$505,"&lt;="&amp;$A140,実績!$AD$6:$AD$505,"&gt;"&amp;$A140,実績!$AE$6:$AE$505,"○")&gt;0,1,0))</f>
        <v/>
      </c>
      <c r="DG140">
        <f>IF(DG$4=0,0,IF(COUNTIFS(実績!$W$6:$W$505,DG$3,実績!$AC$6:$AC$505,"&lt;="&amp;$A140,実績!$AD$6:$AD$505,"&gt;"&amp;$A140,実績!$AE$6:$AE$505,"○")&gt;0,1,0))</f>
        <v/>
      </c>
      <c r="DH140">
        <f>IF(DH$4=0,0,IF(COUNTIFS(実績!$W$6:$W$505,DH$3,実績!$AC$6:$AC$505,"&lt;="&amp;$A140,実績!$AD$6:$AD$505,"&gt;"&amp;$A140,実績!$AE$6:$AE$505,"○")&gt;0,1,0))</f>
        <v/>
      </c>
      <c r="DI140">
        <f>IF(DI$4=0,0,IF(COUNTIFS(実績!$W$6:$W$505,DI$3,実績!$AC$6:$AC$505,"&lt;="&amp;$A140,実績!$AD$6:$AD$505,"&gt;"&amp;$A140,実績!$AE$6:$AE$505,"○")&gt;0,1,0))</f>
        <v/>
      </c>
      <c r="DJ140">
        <f>IF(DJ$4=0,0,IF(COUNTIFS(実績!$W$6:$W$505,DJ$3,実績!$AC$6:$AC$505,"&lt;="&amp;$A140,実績!$AD$6:$AD$505,"&gt;"&amp;$A140,実績!$AE$6:$AE$505,"○")&gt;0,1,0))</f>
        <v/>
      </c>
      <c r="DK140">
        <f>IF(DK$4=0,0,IF(COUNTIFS(実績!$W$6:$W$505,DK$3,実績!$AC$6:$AC$505,"&lt;="&amp;$A140,実績!$AD$6:$AD$505,"&gt;"&amp;$A140,実績!$AE$6:$AE$505,"○")&gt;0,1,0))</f>
        <v/>
      </c>
      <c r="DL140">
        <f>IF(DL$4=0,0,IF(COUNTIFS(実績!$W$6:$W$505,DL$3,実績!$AC$6:$AC$505,"&lt;="&amp;$A140,実績!$AD$6:$AD$505,"&gt;"&amp;$A140,実績!$AE$6:$AE$505,"○")&gt;0,1,0))</f>
        <v/>
      </c>
      <c r="DM140">
        <f>IF(DM$4=0,0,IF(COUNTIFS(実績!$W$6:$W$505,DM$3,実績!$AC$6:$AC$505,"&lt;="&amp;$A140,実績!$AD$6:$AD$505,"&gt;"&amp;$A140,実績!$AE$6:$AE$505,"○")&gt;0,1,0))</f>
        <v/>
      </c>
      <c r="DN140">
        <f>IF(DN$4=0,0,IF(COUNTIFS(実績!$W$6:$W$505,DN$3,実績!$AC$6:$AC$505,"&lt;="&amp;$A140,実績!$AD$6:$AD$505,"&gt;"&amp;$A140,実績!$AE$6:$AE$505,"○")&gt;0,1,0))</f>
        <v/>
      </c>
      <c r="DO140">
        <f>IF(DO$4=0,0,IF(COUNTIFS(実績!$W$6:$W$505,DO$3,実績!$AC$6:$AC$505,"&lt;="&amp;$A140,実績!$AD$6:$AD$505,"&gt;"&amp;$A140,実績!$AE$6:$AE$505,"○")&gt;0,1,0))</f>
        <v/>
      </c>
      <c r="DP140">
        <f>IF(DP$4=0,0,IF(COUNTIFS(実績!$W$6:$W$505,DP$3,実績!$AC$6:$AC$505,"&lt;="&amp;$A140,実績!$AD$6:$AD$505,"&gt;"&amp;$A140,実績!$AE$6:$AE$505,"○")&gt;0,1,0))</f>
        <v/>
      </c>
      <c r="DQ140">
        <f>IF(DQ$4=0,0,IF(COUNTIFS(実績!$W$6:$W$505,DQ$3,実績!$AC$6:$AC$505,"&lt;="&amp;$A140,実績!$AD$6:$AD$505,"&gt;"&amp;$A140,実績!$AE$6:$AE$505,"○")&gt;0,1,0))</f>
        <v/>
      </c>
      <c r="DR140">
        <f>IF(DR$4=0,0,IF(COUNTIFS(実績!$W$6:$W$505,DR$3,実績!$AC$6:$AC$505,"&lt;="&amp;$A140,実績!$AD$6:$AD$505,"&gt;"&amp;$A140,実績!$AE$6:$AE$505,"○")&gt;0,1,0))</f>
        <v/>
      </c>
      <c r="DS140">
        <f>SUM(C140:DR140)</f>
        <v/>
      </c>
      <c r="DT140">
        <f>SUMPRODUCT((実績!$C$6:$C$505="○")*ISNUMBER(実績!$AF$6:$AF$505)*(実績!$AF$6:$AF$505&lt;=$A140)*(実績!$AG$6:$AG$505&gt;$A140))</f>
        <v/>
      </c>
      <c r="DU140">
        <f>SUMIF($C$2:$DR$2,"製鉄曳船",C140:DR140)</f>
        <v/>
      </c>
      <c r="DV140">
        <f>SUMIF($C$2:$DR$2,"西日本海運",C140:DR140)</f>
        <v/>
      </c>
    </row>
    <row r="141">
      <c r="A141" t="n">
        <v>675</v>
      </c>
      <c r="B141" s="29">
        <f>A141/1440</f>
        <v/>
      </c>
      <c r="C141">
        <f>IF(C$4=0,0,IF(COUNTIFS(実績!$W$6:$W$505,C$3,実績!$AC$6:$AC$505,"&lt;="&amp;$A141,実績!$AD$6:$AD$505,"&gt;"&amp;$A141,実績!$AE$6:$AE$505,"○")&gt;0,1,0))</f>
        <v/>
      </c>
      <c r="D141">
        <f>IF(D$4=0,0,IF(COUNTIFS(実績!$W$6:$W$505,D$3,実績!$AC$6:$AC$505,"&lt;="&amp;$A141,実績!$AD$6:$AD$505,"&gt;"&amp;$A141,実績!$AE$6:$AE$505,"○")&gt;0,1,0))</f>
        <v/>
      </c>
      <c r="E141">
        <f>IF(E$4=0,0,IF(COUNTIFS(実績!$W$6:$W$505,E$3,実績!$AC$6:$AC$505,"&lt;="&amp;$A141,実績!$AD$6:$AD$505,"&gt;"&amp;$A141,実績!$AE$6:$AE$505,"○")&gt;0,1,0))</f>
        <v/>
      </c>
      <c r="F141">
        <f>IF(F$4=0,0,IF(COUNTIFS(実績!$W$6:$W$505,F$3,実績!$AC$6:$AC$505,"&lt;="&amp;$A141,実績!$AD$6:$AD$505,"&gt;"&amp;$A141,実績!$AE$6:$AE$505,"○")&gt;0,1,0))</f>
        <v/>
      </c>
      <c r="G141">
        <f>IF(G$4=0,0,IF(COUNTIFS(実績!$W$6:$W$505,G$3,実績!$AC$6:$AC$505,"&lt;="&amp;$A141,実績!$AD$6:$AD$505,"&gt;"&amp;$A141,実績!$AE$6:$AE$505,"○")&gt;0,1,0))</f>
        <v/>
      </c>
      <c r="H141">
        <f>IF(H$4=0,0,IF(COUNTIFS(実績!$W$6:$W$505,H$3,実績!$AC$6:$AC$505,"&lt;="&amp;$A141,実績!$AD$6:$AD$505,"&gt;"&amp;$A141,実績!$AE$6:$AE$505,"○")&gt;0,1,0))</f>
        <v/>
      </c>
      <c r="I141">
        <f>IF(I$4=0,0,IF(COUNTIFS(実績!$W$6:$W$505,I$3,実績!$AC$6:$AC$505,"&lt;="&amp;$A141,実績!$AD$6:$AD$505,"&gt;"&amp;$A141,実績!$AE$6:$AE$505,"○")&gt;0,1,0))</f>
        <v/>
      </c>
      <c r="J141">
        <f>IF(J$4=0,0,IF(COUNTIFS(実績!$W$6:$W$505,J$3,実績!$AC$6:$AC$505,"&lt;="&amp;$A141,実績!$AD$6:$AD$505,"&gt;"&amp;$A141,実績!$AE$6:$AE$505,"○")&gt;0,1,0))</f>
        <v/>
      </c>
      <c r="K141">
        <f>IF(K$4=0,0,IF(COUNTIFS(実績!$W$6:$W$505,K$3,実績!$AC$6:$AC$505,"&lt;="&amp;$A141,実績!$AD$6:$AD$505,"&gt;"&amp;$A141,実績!$AE$6:$AE$505,"○")&gt;0,1,0))</f>
        <v/>
      </c>
      <c r="L141">
        <f>IF(L$4=0,0,IF(COUNTIFS(実績!$W$6:$W$505,L$3,実績!$AC$6:$AC$505,"&lt;="&amp;$A141,実績!$AD$6:$AD$505,"&gt;"&amp;$A141,実績!$AE$6:$AE$505,"○")&gt;0,1,0))</f>
        <v/>
      </c>
      <c r="M141">
        <f>IF(M$4=0,0,IF(COUNTIFS(実績!$W$6:$W$505,M$3,実績!$AC$6:$AC$505,"&lt;="&amp;$A141,実績!$AD$6:$AD$505,"&gt;"&amp;$A141,実績!$AE$6:$AE$505,"○")&gt;0,1,0))</f>
        <v/>
      </c>
      <c r="N141">
        <f>IF(N$4=0,0,IF(COUNTIFS(実績!$W$6:$W$505,N$3,実績!$AC$6:$AC$505,"&lt;="&amp;$A141,実績!$AD$6:$AD$505,"&gt;"&amp;$A141,実績!$AE$6:$AE$505,"○")&gt;0,1,0))</f>
        <v/>
      </c>
      <c r="O141">
        <f>IF(O$4=0,0,IF(COUNTIFS(実績!$W$6:$W$505,O$3,実績!$AC$6:$AC$505,"&lt;="&amp;$A141,実績!$AD$6:$AD$505,"&gt;"&amp;$A141,実績!$AE$6:$AE$505,"○")&gt;0,1,0))</f>
        <v/>
      </c>
      <c r="P141">
        <f>IF(P$4=0,0,IF(COUNTIFS(実績!$W$6:$W$505,P$3,実績!$AC$6:$AC$505,"&lt;="&amp;$A141,実績!$AD$6:$AD$505,"&gt;"&amp;$A141,実績!$AE$6:$AE$505,"○")&gt;0,1,0))</f>
        <v/>
      </c>
      <c r="Q141">
        <f>IF(Q$4=0,0,IF(COUNTIFS(実績!$W$6:$W$505,Q$3,実績!$AC$6:$AC$505,"&lt;="&amp;$A141,実績!$AD$6:$AD$505,"&gt;"&amp;$A141,実績!$AE$6:$AE$505,"○")&gt;0,1,0))</f>
        <v/>
      </c>
      <c r="R141">
        <f>IF(R$4=0,0,IF(COUNTIFS(実績!$W$6:$W$505,R$3,実績!$AC$6:$AC$505,"&lt;="&amp;$A141,実績!$AD$6:$AD$505,"&gt;"&amp;$A141,実績!$AE$6:$AE$505,"○")&gt;0,1,0))</f>
        <v/>
      </c>
      <c r="S141">
        <f>IF(S$4=0,0,IF(COUNTIFS(実績!$W$6:$W$505,S$3,実績!$AC$6:$AC$505,"&lt;="&amp;$A141,実績!$AD$6:$AD$505,"&gt;"&amp;$A141,実績!$AE$6:$AE$505,"○")&gt;0,1,0))</f>
        <v/>
      </c>
      <c r="T141">
        <f>IF(T$4=0,0,IF(COUNTIFS(実績!$W$6:$W$505,T$3,実績!$AC$6:$AC$505,"&lt;="&amp;$A141,実績!$AD$6:$AD$505,"&gt;"&amp;$A141,実績!$AE$6:$AE$505,"○")&gt;0,1,0))</f>
        <v/>
      </c>
      <c r="U141">
        <f>IF(U$4=0,0,IF(COUNTIFS(実績!$W$6:$W$505,U$3,実績!$AC$6:$AC$505,"&lt;="&amp;$A141,実績!$AD$6:$AD$505,"&gt;"&amp;$A141,実績!$AE$6:$AE$505,"○")&gt;0,1,0))</f>
        <v/>
      </c>
      <c r="V141">
        <f>IF(V$4=0,0,IF(COUNTIFS(実績!$W$6:$W$505,V$3,実績!$AC$6:$AC$505,"&lt;="&amp;$A141,実績!$AD$6:$AD$505,"&gt;"&amp;$A141,実績!$AE$6:$AE$505,"○")&gt;0,1,0))</f>
        <v/>
      </c>
      <c r="W141">
        <f>IF(W$4=0,0,IF(COUNTIFS(実績!$W$6:$W$505,W$3,実績!$AC$6:$AC$505,"&lt;="&amp;$A141,実績!$AD$6:$AD$505,"&gt;"&amp;$A141,実績!$AE$6:$AE$505,"○")&gt;0,1,0))</f>
        <v/>
      </c>
      <c r="X141">
        <f>IF(X$4=0,0,IF(COUNTIFS(実績!$W$6:$W$505,X$3,実績!$AC$6:$AC$505,"&lt;="&amp;$A141,実績!$AD$6:$AD$505,"&gt;"&amp;$A141,実績!$AE$6:$AE$505,"○")&gt;0,1,0))</f>
        <v/>
      </c>
      <c r="Y141">
        <f>IF(Y$4=0,0,IF(COUNTIFS(実績!$W$6:$W$505,Y$3,実績!$AC$6:$AC$505,"&lt;="&amp;$A141,実績!$AD$6:$AD$505,"&gt;"&amp;$A141,実績!$AE$6:$AE$505,"○")&gt;0,1,0))</f>
        <v/>
      </c>
      <c r="Z141">
        <f>IF(Z$4=0,0,IF(COUNTIFS(実績!$W$6:$W$505,Z$3,実績!$AC$6:$AC$505,"&lt;="&amp;$A141,実績!$AD$6:$AD$505,"&gt;"&amp;$A141,実績!$AE$6:$AE$505,"○")&gt;0,1,0))</f>
        <v/>
      </c>
      <c r="AA141">
        <f>IF(AA$4=0,0,IF(COUNTIFS(実績!$W$6:$W$505,AA$3,実績!$AC$6:$AC$505,"&lt;="&amp;$A141,実績!$AD$6:$AD$505,"&gt;"&amp;$A141,実績!$AE$6:$AE$505,"○")&gt;0,1,0))</f>
        <v/>
      </c>
      <c r="AB141">
        <f>IF(AB$4=0,0,IF(COUNTIFS(実績!$W$6:$W$505,AB$3,実績!$AC$6:$AC$505,"&lt;="&amp;$A141,実績!$AD$6:$AD$505,"&gt;"&amp;$A141,実績!$AE$6:$AE$505,"○")&gt;0,1,0))</f>
        <v/>
      </c>
      <c r="AC141">
        <f>IF(AC$4=0,0,IF(COUNTIFS(実績!$W$6:$W$505,AC$3,実績!$AC$6:$AC$505,"&lt;="&amp;$A141,実績!$AD$6:$AD$505,"&gt;"&amp;$A141,実績!$AE$6:$AE$505,"○")&gt;0,1,0))</f>
        <v/>
      </c>
      <c r="AD141">
        <f>IF(AD$4=0,0,IF(COUNTIFS(実績!$W$6:$W$505,AD$3,実績!$AC$6:$AC$505,"&lt;="&amp;$A141,実績!$AD$6:$AD$505,"&gt;"&amp;$A141,実績!$AE$6:$AE$505,"○")&gt;0,1,0))</f>
        <v/>
      </c>
      <c r="AE141">
        <f>IF(AE$4=0,0,IF(COUNTIFS(実績!$W$6:$W$505,AE$3,実績!$AC$6:$AC$505,"&lt;="&amp;$A141,実績!$AD$6:$AD$505,"&gt;"&amp;$A141,実績!$AE$6:$AE$505,"○")&gt;0,1,0))</f>
        <v/>
      </c>
      <c r="AF141">
        <f>IF(AF$4=0,0,IF(COUNTIFS(実績!$W$6:$W$505,AF$3,実績!$AC$6:$AC$505,"&lt;="&amp;$A141,実績!$AD$6:$AD$505,"&gt;"&amp;$A141,実績!$AE$6:$AE$505,"○")&gt;0,1,0))</f>
        <v/>
      </c>
      <c r="AG141">
        <f>IF(AG$4=0,0,IF(COUNTIFS(実績!$W$6:$W$505,AG$3,実績!$AC$6:$AC$505,"&lt;="&amp;$A141,実績!$AD$6:$AD$505,"&gt;"&amp;$A141,実績!$AE$6:$AE$505,"○")&gt;0,1,0))</f>
        <v/>
      </c>
      <c r="AH141">
        <f>IF(AH$4=0,0,IF(COUNTIFS(実績!$W$6:$W$505,AH$3,実績!$AC$6:$AC$505,"&lt;="&amp;$A141,実績!$AD$6:$AD$505,"&gt;"&amp;$A141,実績!$AE$6:$AE$505,"○")&gt;0,1,0))</f>
        <v/>
      </c>
      <c r="AI141">
        <f>IF(AI$4=0,0,IF(COUNTIFS(実績!$W$6:$W$505,AI$3,実績!$AC$6:$AC$505,"&lt;="&amp;$A141,実績!$AD$6:$AD$505,"&gt;"&amp;$A141,実績!$AE$6:$AE$505,"○")&gt;0,1,0))</f>
        <v/>
      </c>
      <c r="AJ141">
        <f>IF(AJ$4=0,0,IF(COUNTIFS(実績!$W$6:$W$505,AJ$3,実績!$AC$6:$AC$505,"&lt;="&amp;$A141,実績!$AD$6:$AD$505,"&gt;"&amp;$A141,実績!$AE$6:$AE$505,"○")&gt;0,1,0))</f>
        <v/>
      </c>
      <c r="AK141">
        <f>IF(AK$4=0,0,IF(COUNTIFS(実績!$W$6:$W$505,AK$3,実績!$AC$6:$AC$505,"&lt;="&amp;$A141,実績!$AD$6:$AD$505,"&gt;"&amp;$A141,実績!$AE$6:$AE$505,"○")&gt;0,1,0))</f>
        <v/>
      </c>
      <c r="AL141">
        <f>IF(AL$4=0,0,IF(COUNTIFS(実績!$W$6:$W$505,AL$3,実績!$AC$6:$AC$505,"&lt;="&amp;$A141,実績!$AD$6:$AD$505,"&gt;"&amp;$A141,実績!$AE$6:$AE$505,"○")&gt;0,1,0))</f>
        <v/>
      </c>
      <c r="AM141">
        <f>IF(AM$4=0,0,IF(COUNTIFS(実績!$W$6:$W$505,AM$3,実績!$AC$6:$AC$505,"&lt;="&amp;$A141,実績!$AD$6:$AD$505,"&gt;"&amp;$A141,実績!$AE$6:$AE$505,"○")&gt;0,1,0))</f>
        <v/>
      </c>
      <c r="AN141">
        <f>IF(AN$4=0,0,IF(COUNTIFS(実績!$W$6:$W$505,AN$3,実績!$AC$6:$AC$505,"&lt;="&amp;$A141,実績!$AD$6:$AD$505,"&gt;"&amp;$A141,実績!$AE$6:$AE$505,"○")&gt;0,1,0))</f>
        <v/>
      </c>
      <c r="AO141">
        <f>IF(AO$4=0,0,IF(COUNTIFS(実績!$W$6:$W$505,AO$3,実績!$AC$6:$AC$505,"&lt;="&amp;$A141,実績!$AD$6:$AD$505,"&gt;"&amp;$A141,実績!$AE$6:$AE$505,"○")&gt;0,1,0))</f>
        <v/>
      </c>
      <c r="AP141">
        <f>IF(AP$4=0,0,IF(COUNTIFS(実績!$W$6:$W$505,AP$3,実績!$AC$6:$AC$505,"&lt;="&amp;$A141,実績!$AD$6:$AD$505,"&gt;"&amp;$A141,実績!$AE$6:$AE$505,"○")&gt;0,1,0))</f>
        <v/>
      </c>
      <c r="AQ141">
        <f>IF(AQ$4=0,0,IF(COUNTIFS(実績!$W$6:$W$505,AQ$3,実績!$AC$6:$AC$505,"&lt;="&amp;$A141,実績!$AD$6:$AD$505,"&gt;"&amp;$A141,実績!$AE$6:$AE$505,"○")&gt;0,1,0))</f>
        <v/>
      </c>
      <c r="AR141">
        <f>IF(AR$4=0,0,IF(COUNTIFS(実績!$W$6:$W$505,AR$3,実績!$AC$6:$AC$505,"&lt;="&amp;$A141,実績!$AD$6:$AD$505,"&gt;"&amp;$A141,実績!$AE$6:$AE$505,"○")&gt;0,1,0))</f>
        <v/>
      </c>
      <c r="AS141">
        <f>IF(AS$4=0,0,IF(COUNTIFS(実績!$W$6:$W$505,AS$3,実績!$AC$6:$AC$505,"&lt;="&amp;$A141,実績!$AD$6:$AD$505,"&gt;"&amp;$A141,実績!$AE$6:$AE$505,"○")&gt;0,1,0))</f>
        <v/>
      </c>
      <c r="AT141">
        <f>IF(AT$4=0,0,IF(COUNTIFS(実績!$W$6:$W$505,AT$3,実績!$AC$6:$AC$505,"&lt;="&amp;$A141,実績!$AD$6:$AD$505,"&gt;"&amp;$A141,実績!$AE$6:$AE$505,"○")&gt;0,1,0))</f>
        <v/>
      </c>
      <c r="AU141">
        <f>IF(AU$4=0,0,IF(COUNTIFS(実績!$W$6:$W$505,AU$3,実績!$AC$6:$AC$505,"&lt;="&amp;$A141,実績!$AD$6:$AD$505,"&gt;"&amp;$A141,実績!$AE$6:$AE$505,"○")&gt;0,1,0))</f>
        <v/>
      </c>
      <c r="AV141">
        <f>IF(AV$4=0,0,IF(COUNTIFS(実績!$W$6:$W$505,AV$3,実績!$AC$6:$AC$505,"&lt;="&amp;$A141,実績!$AD$6:$AD$505,"&gt;"&amp;$A141,実績!$AE$6:$AE$505,"○")&gt;0,1,0))</f>
        <v/>
      </c>
      <c r="AW141">
        <f>IF(AW$4=0,0,IF(COUNTIFS(実績!$W$6:$W$505,AW$3,実績!$AC$6:$AC$505,"&lt;="&amp;$A141,実績!$AD$6:$AD$505,"&gt;"&amp;$A141,実績!$AE$6:$AE$505,"○")&gt;0,1,0))</f>
        <v/>
      </c>
      <c r="AX141">
        <f>IF(AX$4=0,0,IF(COUNTIFS(実績!$W$6:$W$505,AX$3,実績!$AC$6:$AC$505,"&lt;="&amp;$A141,実績!$AD$6:$AD$505,"&gt;"&amp;$A141,実績!$AE$6:$AE$505,"○")&gt;0,1,0))</f>
        <v/>
      </c>
      <c r="AY141">
        <f>IF(AY$4=0,0,IF(COUNTIFS(実績!$W$6:$W$505,AY$3,実績!$AC$6:$AC$505,"&lt;="&amp;$A141,実績!$AD$6:$AD$505,"&gt;"&amp;$A141,実績!$AE$6:$AE$505,"○")&gt;0,1,0))</f>
        <v/>
      </c>
      <c r="AZ141">
        <f>IF(AZ$4=0,0,IF(COUNTIFS(実績!$W$6:$W$505,AZ$3,実績!$AC$6:$AC$505,"&lt;="&amp;$A141,実績!$AD$6:$AD$505,"&gt;"&amp;$A141,実績!$AE$6:$AE$505,"○")&gt;0,1,0))</f>
        <v/>
      </c>
      <c r="BA141">
        <f>IF(BA$4=0,0,IF(COUNTIFS(実績!$W$6:$W$505,BA$3,実績!$AC$6:$AC$505,"&lt;="&amp;$A141,実績!$AD$6:$AD$505,"&gt;"&amp;$A141,実績!$AE$6:$AE$505,"○")&gt;0,1,0))</f>
        <v/>
      </c>
      <c r="BB141">
        <f>IF(BB$4=0,0,IF(COUNTIFS(実績!$W$6:$W$505,BB$3,実績!$AC$6:$AC$505,"&lt;="&amp;$A141,実績!$AD$6:$AD$505,"&gt;"&amp;$A141,実績!$AE$6:$AE$505,"○")&gt;0,1,0))</f>
        <v/>
      </c>
      <c r="BC141">
        <f>IF(BC$4=0,0,IF(COUNTIFS(実績!$W$6:$W$505,BC$3,実績!$AC$6:$AC$505,"&lt;="&amp;$A141,実績!$AD$6:$AD$505,"&gt;"&amp;$A141,実績!$AE$6:$AE$505,"○")&gt;0,1,0))</f>
        <v/>
      </c>
      <c r="BD141">
        <f>IF(BD$4=0,0,IF(COUNTIFS(実績!$W$6:$W$505,BD$3,実績!$AC$6:$AC$505,"&lt;="&amp;$A141,実績!$AD$6:$AD$505,"&gt;"&amp;$A141,実績!$AE$6:$AE$505,"○")&gt;0,1,0))</f>
        <v/>
      </c>
      <c r="BE141">
        <f>IF(BE$4=0,0,IF(COUNTIFS(実績!$W$6:$W$505,BE$3,実績!$AC$6:$AC$505,"&lt;="&amp;$A141,実績!$AD$6:$AD$505,"&gt;"&amp;$A141,実績!$AE$6:$AE$505,"○")&gt;0,1,0))</f>
        <v/>
      </c>
      <c r="BF141">
        <f>IF(BF$4=0,0,IF(COUNTIFS(実績!$W$6:$W$505,BF$3,実績!$AC$6:$AC$505,"&lt;="&amp;$A141,実績!$AD$6:$AD$505,"&gt;"&amp;$A141,実績!$AE$6:$AE$505,"○")&gt;0,1,0))</f>
        <v/>
      </c>
      <c r="BG141">
        <f>IF(BG$4=0,0,IF(COUNTIFS(実績!$W$6:$W$505,BG$3,実績!$AC$6:$AC$505,"&lt;="&amp;$A141,実績!$AD$6:$AD$505,"&gt;"&amp;$A141,実績!$AE$6:$AE$505,"○")&gt;0,1,0))</f>
        <v/>
      </c>
      <c r="BH141">
        <f>IF(BH$4=0,0,IF(COUNTIFS(実績!$W$6:$W$505,BH$3,実績!$AC$6:$AC$505,"&lt;="&amp;$A141,実績!$AD$6:$AD$505,"&gt;"&amp;$A141,実績!$AE$6:$AE$505,"○")&gt;0,1,0))</f>
        <v/>
      </c>
      <c r="BI141">
        <f>IF(BI$4=0,0,IF(COUNTIFS(実績!$W$6:$W$505,BI$3,実績!$AC$6:$AC$505,"&lt;="&amp;$A141,実績!$AD$6:$AD$505,"&gt;"&amp;$A141,実績!$AE$6:$AE$505,"○")&gt;0,1,0))</f>
        <v/>
      </c>
      <c r="BJ141">
        <f>IF(BJ$4=0,0,IF(COUNTIFS(実績!$W$6:$W$505,BJ$3,実績!$AC$6:$AC$505,"&lt;="&amp;$A141,実績!$AD$6:$AD$505,"&gt;"&amp;$A141,実績!$AE$6:$AE$505,"○")&gt;0,1,0))</f>
        <v/>
      </c>
      <c r="BK141">
        <f>IF(BK$4=0,0,IF(COUNTIFS(実績!$W$6:$W$505,BK$3,実績!$AC$6:$AC$505,"&lt;="&amp;$A141,実績!$AD$6:$AD$505,"&gt;"&amp;$A141,実績!$AE$6:$AE$505,"○")&gt;0,1,0))</f>
        <v/>
      </c>
      <c r="BL141">
        <f>IF(BL$4=0,0,IF(COUNTIFS(実績!$W$6:$W$505,BL$3,実績!$AC$6:$AC$505,"&lt;="&amp;$A141,実績!$AD$6:$AD$505,"&gt;"&amp;$A141,実績!$AE$6:$AE$505,"○")&gt;0,1,0))</f>
        <v/>
      </c>
      <c r="BM141">
        <f>IF(BM$4=0,0,IF(COUNTIFS(実績!$W$6:$W$505,BM$3,実績!$AC$6:$AC$505,"&lt;="&amp;$A141,実績!$AD$6:$AD$505,"&gt;"&amp;$A141,実績!$AE$6:$AE$505,"○")&gt;0,1,0))</f>
        <v/>
      </c>
      <c r="BN141">
        <f>IF(BN$4=0,0,IF(COUNTIFS(実績!$W$6:$W$505,BN$3,実績!$AC$6:$AC$505,"&lt;="&amp;$A141,実績!$AD$6:$AD$505,"&gt;"&amp;$A141,実績!$AE$6:$AE$505,"○")&gt;0,1,0))</f>
        <v/>
      </c>
      <c r="BO141">
        <f>IF(BO$4=0,0,IF(COUNTIFS(実績!$W$6:$W$505,BO$3,実績!$AC$6:$AC$505,"&lt;="&amp;$A141,実績!$AD$6:$AD$505,"&gt;"&amp;$A141,実績!$AE$6:$AE$505,"○")&gt;0,1,0))</f>
        <v/>
      </c>
      <c r="BP141">
        <f>IF(BP$4=0,0,IF(COUNTIFS(実績!$W$6:$W$505,BP$3,実績!$AC$6:$AC$505,"&lt;="&amp;$A141,実績!$AD$6:$AD$505,"&gt;"&amp;$A141,実績!$AE$6:$AE$505,"○")&gt;0,1,0))</f>
        <v/>
      </c>
      <c r="BQ141">
        <f>IF(BQ$4=0,0,IF(COUNTIFS(実績!$W$6:$W$505,BQ$3,実績!$AC$6:$AC$505,"&lt;="&amp;$A141,実績!$AD$6:$AD$505,"&gt;"&amp;$A141,実績!$AE$6:$AE$505,"○")&gt;0,1,0))</f>
        <v/>
      </c>
      <c r="BR141">
        <f>IF(BR$4=0,0,IF(COUNTIFS(実績!$W$6:$W$505,BR$3,実績!$AC$6:$AC$505,"&lt;="&amp;$A141,実績!$AD$6:$AD$505,"&gt;"&amp;$A141,実績!$AE$6:$AE$505,"○")&gt;0,1,0))</f>
        <v/>
      </c>
      <c r="BS141">
        <f>IF(BS$4=0,0,IF(COUNTIFS(実績!$W$6:$W$505,BS$3,実績!$AC$6:$AC$505,"&lt;="&amp;$A141,実績!$AD$6:$AD$505,"&gt;"&amp;$A141,実績!$AE$6:$AE$505,"○")&gt;0,1,0))</f>
        <v/>
      </c>
      <c r="BT141">
        <f>IF(BT$4=0,0,IF(COUNTIFS(実績!$W$6:$W$505,BT$3,実績!$AC$6:$AC$505,"&lt;="&amp;$A141,実績!$AD$6:$AD$505,"&gt;"&amp;$A141,実績!$AE$6:$AE$505,"○")&gt;0,1,0))</f>
        <v/>
      </c>
      <c r="BU141">
        <f>IF(BU$4=0,0,IF(COUNTIFS(実績!$W$6:$W$505,BU$3,実績!$AC$6:$AC$505,"&lt;="&amp;$A141,実績!$AD$6:$AD$505,"&gt;"&amp;$A141,実績!$AE$6:$AE$505,"○")&gt;0,1,0))</f>
        <v/>
      </c>
      <c r="BV141">
        <f>IF(BV$4=0,0,IF(COUNTIFS(実績!$W$6:$W$505,BV$3,実績!$AC$6:$AC$505,"&lt;="&amp;$A141,実績!$AD$6:$AD$505,"&gt;"&amp;$A141,実績!$AE$6:$AE$505,"○")&gt;0,1,0))</f>
        <v/>
      </c>
      <c r="BW141">
        <f>IF(BW$4=0,0,IF(COUNTIFS(実績!$W$6:$W$505,BW$3,実績!$AC$6:$AC$505,"&lt;="&amp;$A141,実績!$AD$6:$AD$505,"&gt;"&amp;$A141,実績!$AE$6:$AE$505,"○")&gt;0,1,0))</f>
        <v/>
      </c>
      <c r="BX141">
        <f>IF(BX$4=0,0,IF(COUNTIFS(実績!$W$6:$W$505,BX$3,実績!$AC$6:$AC$505,"&lt;="&amp;$A141,実績!$AD$6:$AD$505,"&gt;"&amp;$A141,実績!$AE$6:$AE$505,"○")&gt;0,1,0))</f>
        <v/>
      </c>
      <c r="BY141">
        <f>IF(BY$4=0,0,IF(COUNTIFS(実績!$W$6:$W$505,BY$3,実績!$AC$6:$AC$505,"&lt;="&amp;$A141,実績!$AD$6:$AD$505,"&gt;"&amp;$A141,実績!$AE$6:$AE$505,"○")&gt;0,1,0))</f>
        <v/>
      </c>
      <c r="BZ141">
        <f>IF(BZ$4=0,0,IF(COUNTIFS(実績!$W$6:$W$505,BZ$3,実績!$AC$6:$AC$505,"&lt;="&amp;$A141,実績!$AD$6:$AD$505,"&gt;"&amp;$A141,実績!$AE$6:$AE$505,"○")&gt;0,1,0))</f>
        <v/>
      </c>
      <c r="CA141">
        <f>IF(CA$4=0,0,IF(COUNTIFS(実績!$W$6:$W$505,CA$3,実績!$AC$6:$AC$505,"&lt;="&amp;$A141,実績!$AD$6:$AD$505,"&gt;"&amp;$A141,実績!$AE$6:$AE$505,"○")&gt;0,1,0))</f>
        <v/>
      </c>
      <c r="CB141">
        <f>IF(CB$4=0,0,IF(COUNTIFS(実績!$W$6:$W$505,CB$3,実績!$AC$6:$AC$505,"&lt;="&amp;$A141,実績!$AD$6:$AD$505,"&gt;"&amp;$A141,実績!$AE$6:$AE$505,"○")&gt;0,1,0))</f>
        <v/>
      </c>
      <c r="CC141">
        <f>IF(CC$4=0,0,IF(COUNTIFS(実績!$W$6:$W$505,CC$3,実績!$AC$6:$AC$505,"&lt;="&amp;$A141,実績!$AD$6:$AD$505,"&gt;"&amp;$A141,実績!$AE$6:$AE$505,"○")&gt;0,1,0))</f>
        <v/>
      </c>
      <c r="CD141">
        <f>IF(CD$4=0,0,IF(COUNTIFS(実績!$W$6:$W$505,CD$3,実績!$AC$6:$AC$505,"&lt;="&amp;$A141,実績!$AD$6:$AD$505,"&gt;"&amp;$A141,実績!$AE$6:$AE$505,"○")&gt;0,1,0))</f>
        <v/>
      </c>
      <c r="CE141">
        <f>IF(CE$4=0,0,IF(COUNTIFS(実績!$W$6:$W$505,CE$3,実績!$AC$6:$AC$505,"&lt;="&amp;$A141,実績!$AD$6:$AD$505,"&gt;"&amp;$A141,実績!$AE$6:$AE$505,"○")&gt;0,1,0))</f>
        <v/>
      </c>
      <c r="CF141">
        <f>IF(CF$4=0,0,IF(COUNTIFS(実績!$W$6:$W$505,CF$3,実績!$AC$6:$AC$505,"&lt;="&amp;$A141,実績!$AD$6:$AD$505,"&gt;"&amp;$A141,実績!$AE$6:$AE$505,"○")&gt;0,1,0))</f>
        <v/>
      </c>
      <c r="CG141">
        <f>IF(CG$4=0,0,IF(COUNTIFS(実績!$W$6:$W$505,CG$3,実績!$AC$6:$AC$505,"&lt;="&amp;$A141,実績!$AD$6:$AD$505,"&gt;"&amp;$A141,実績!$AE$6:$AE$505,"○")&gt;0,1,0))</f>
        <v/>
      </c>
      <c r="CH141">
        <f>IF(CH$4=0,0,IF(COUNTIFS(実績!$W$6:$W$505,CH$3,実績!$AC$6:$AC$505,"&lt;="&amp;$A141,実績!$AD$6:$AD$505,"&gt;"&amp;$A141,実績!$AE$6:$AE$505,"○")&gt;0,1,0))</f>
        <v/>
      </c>
      <c r="CI141">
        <f>IF(CI$4=0,0,IF(COUNTIFS(実績!$W$6:$W$505,CI$3,実績!$AC$6:$AC$505,"&lt;="&amp;$A141,実績!$AD$6:$AD$505,"&gt;"&amp;$A141,実績!$AE$6:$AE$505,"○")&gt;0,1,0))</f>
        <v/>
      </c>
      <c r="CJ141">
        <f>IF(CJ$4=0,0,IF(COUNTIFS(実績!$W$6:$W$505,CJ$3,実績!$AC$6:$AC$505,"&lt;="&amp;$A141,実績!$AD$6:$AD$505,"&gt;"&amp;$A141,実績!$AE$6:$AE$505,"○")&gt;0,1,0))</f>
        <v/>
      </c>
      <c r="CK141">
        <f>IF(CK$4=0,0,IF(COUNTIFS(実績!$W$6:$W$505,CK$3,実績!$AC$6:$AC$505,"&lt;="&amp;$A141,実績!$AD$6:$AD$505,"&gt;"&amp;$A141,実績!$AE$6:$AE$505,"○")&gt;0,1,0))</f>
        <v/>
      </c>
      <c r="CL141">
        <f>IF(CL$4=0,0,IF(COUNTIFS(実績!$W$6:$W$505,CL$3,実績!$AC$6:$AC$505,"&lt;="&amp;$A141,実績!$AD$6:$AD$505,"&gt;"&amp;$A141,実績!$AE$6:$AE$505,"○")&gt;0,1,0))</f>
        <v/>
      </c>
      <c r="CM141">
        <f>IF(CM$4=0,0,IF(COUNTIFS(実績!$W$6:$W$505,CM$3,実績!$AC$6:$AC$505,"&lt;="&amp;$A141,実績!$AD$6:$AD$505,"&gt;"&amp;$A141,実績!$AE$6:$AE$505,"○")&gt;0,1,0))</f>
        <v/>
      </c>
      <c r="CN141">
        <f>IF(CN$4=0,0,IF(COUNTIFS(実績!$W$6:$W$505,CN$3,実績!$AC$6:$AC$505,"&lt;="&amp;$A141,実績!$AD$6:$AD$505,"&gt;"&amp;$A141,実績!$AE$6:$AE$505,"○")&gt;0,1,0))</f>
        <v/>
      </c>
      <c r="CO141">
        <f>IF(CO$4=0,0,IF(COUNTIFS(実績!$W$6:$W$505,CO$3,実績!$AC$6:$AC$505,"&lt;="&amp;$A141,実績!$AD$6:$AD$505,"&gt;"&amp;$A141,実績!$AE$6:$AE$505,"○")&gt;0,1,0))</f>
        <v/>
      </c>
      <c r="CP141">
        <f>IF(CP$4=0,0,IF(COUNTIFS(実績!$W$6:$W$505,CP$3,実績!$AC$6:$AC$505,"&lt;="&amp;$A141,実績!$AD$6:$AD$505,"&gt;"&amp;$A141,実績!$AE$6:$AE$505,"○")&gt;0,1,0))</f>
        <v/>
      </c>
      <c r="CQ141">
        <f>IF(CQ$4=0,0,IF(COUNTIFS(実績!$W$6:$W$505,CQ$3,実績!$AC$6:$AC$505,"&lt;="&amp;$A141,実績!$AD$6:$AD$505,"&gt;"&amp;$A141,実績!$AE$6:$AE$505,"○")&gt;0,1,0))</f>
        <v/>
      </c>
      <c r="CR141">
        <f>IF(CR$4=0,0,IF(COUNTIFS(実績!$W$6:$W$505,CR$3,実績!$AC$6:$AC$505,"&lt;="&amp;$A141,実績!$AD$6:$AD$505,"&gt;"&amp;$A141,実績!$AE$6:$AE$505,"○")&gt;0,1,0))</f>
        <v/>
      </c>
      <c r="CS141">
        <f>IF(CS$4=0,0,IF(COUNTIFS(実績!$W$6:$W$505,CS$3,実績!$AC$6:$AC$505,"&lt;="&amp;$A141,実績!$AD$6:$AD$505,"&gt;"&amp;$A141,実績!$AE$6:$AE$505,"○")&gt;0,1,0))</f>
        <v/>
      </c>
      <c r="CT141">
        <f>IF(CT$4=0,0,IF(COUNTIFS(実績!$W$6:$W$505,CT$3,実績!$AC$6:$AC$505,"&lt;="&amp;$A141,実績!$AD$6:$AD$505,"&gt;"&amp;$A141,実績!$AE$6:$AE$505,"○")&gt;0,1,0))</f>
        <v/>
      </c>
      <c r="CU141">
        <f>IF(CU$4=0,0,IF(COUNTIFS(実績!$W$6:$W$505,CU$3,実績!$AC$6:$AC$505,"&lt;="&amp;$A141,実績!$AD$6:$AD$505,"&gt;"&amp;$A141,実績!$AE$6:$AE$505,"○")&gt;0,1,0))</f>
        <v/>
      </c>
      <c r="CV141">
        <f>IF(CV$4=0,0,IF(COUNTIFS(実績!$W$6:$W$505,CV$3,実績!$AC$6:$AC$505,"&lt;="&amp;$A141,実績!$AD$6:$AD$505,"&gt;"&amp;$A141,実績!$AE$6:$AE$505,"○")&gt;0,1,0))</f>
        <v/>
      </c>
      <c r="CW141">
        <f>IF(CW$4=0,0,IF(COUNTIFS(実績!$W$6:$W$505,CW$3,実績!$AC$6:$AC$505,"&lt;="&amp;$A141,実績!$AD$6:$AD$505,"&gt;"&amp;$A141,実績!$AE$6:$AE$505,"○")&gt;0,1,0))</f>
        <v/>
      </c>
      <c r="CX141">
        <f>IF(CX$4=0,0,IF(COUNTIFS(実績!$W$6:$W$505,CX$3,実績!$AC$6:$AC$505,"&lt;="&amp;$A141,実績!$AD$6:$AD$505,"&gt;"&amp;$A141,実績!$AE$6:$AE$505,"○")&gt;0,1,0))</f>
        <v/>
      </c>
      <c r="CY141">
        <f>IF(CY$4=0,0,IF(COUNTIFS(実績!$W$6:$W$505,CY$3,実績!$AC$6:$AC$505,"&lt;="&amp;$A141,実績!$AD$6:$AD$505,"&gt;"&amp;$A141,実績!$AE$6:$AE$505,"○")&gt;0,1,0))</f>
        <v/>
      </c>
      <c r="CZ141">
        <f>IF(CZ$4=0,0,IF(COUNTIFS(実績!$W$6:$W$505,CZ$3,実績!$AC$6:$AC$505,"&lt;="&amp;$A141,実績!$AD$6:$AD$505,"&gt;"&amp;$A141,実績!$AE$6:$AE$505,"○")&gt;0,1,0))</f>
        <v/>
      </c>
      <c r="DA141">
        <f>IF(DA$4=0,0,IF(COUNTIFS(実績!$W$6:$W$505,DA$3,実績!$AC$6:$AC$505,"&lt;="&amp;$A141,実績!$AD$6:$AD$505,"&gt;"&amp;$A141,実績!$AE$6:$AE$505,"○")&gt;0,1,0))</f>
        <v/>
      </c>
      <c r="DB141">
        <f>IF(DB$4=0,0,IF(COUNTIFS(実績!$W$6:$W$505,DB$3,実績!$AC$6:$AC$505,"&lt;="&amp;$A141,実績!$AD$6:$AD$505,"&gt;"&amp;$A141,実績!$AE$6:$AE$505,"○")&gt;0,1,0))</f>
        <v/>
      </c>
      <c r="DC141">
        <f>IF(DC$4=0,0,IF(COUNTIFS(実績!$W$6:$W$505,DC$3,実績!$AC$6:$AC$505,"&lt;="&amp;$A141,実績!$AD$6:$AD$505,"&gt;"&amp;$A141,実績!$AE$6:$AE$505,"○")&gt;0,1,0))</f>
        <v/>
      </c>
      <c r="DD141">
        <f>IF(DD$4=0,0,IF(COUNTIFS(実績!$W$6:$W$505,DD$3,実績!$AC$6:$AC$505,"&lt;="&amp;$A141,実績!$AD$6:$AD$505,"&gt;"&amp;$A141,実績!$AE$6:$AE$505,"○")&gt;0,1,0))</f>
        <v/>
      </c>
      <c r="DE141">
        <f>IF(DE$4=0,0,IF(COUNTIFS(実績!$W$6:$W$505,DE$3,実績!$AC$6:$AC$505,"&lt;="&amp;$A141,実績!$AD$6:$AD$505,"&gt;"&amp;$A141,実績!$AE$6:$AE$505,"○")&gt;0,1,0))</f>
        <v/>
      </c>
      <c r="DF141">
        <f>IF(DF$4=0,0,IF(COUNTIFS(実績!$W$6:$W$505,DF$3,実績!$AC$6:$AC$505,"&lt;="&amp;$A141,実績!$AD$6:$AD$505,"&gt;"&amp;$A141,実績!$AE$6:$AE$505,"○")&gt;0,1,0))</f>
        <v/>
      </c>
      <c r="DG141">
        <f>IF(DG$4=0,0,IF(COUNTIFS(実績!$W$6:$W$505,DG$3,実績!$AC$6:$AC$505,"&lt;="&amp;$A141,実績!$AD$6:$AD$505,"&gt;"&amp;$A141,実績!$AE$6:$AE$505,"○")&gt;0,1,0))</f>
        <v/>
      </c>
      <c r="DH141">
        <f>IF(DH$4=0,0,IF(COUNTIFS(実績!$W$6:$W$505,DH$3,実績!$AC$6:$AC$505,"&lt;="&amp;$A141,実績!$AD$6:$AD$505,"&gt;"&amp;$A141,実績!$AE$6:$AE$505,"○")&gt;0,1,0))</f>
        <v/>
      </c>
      <c r="DI141">
        <f>IF(DI$4=0,0,IF(COUNTIFS(実績!$W$6:$W$505,DI$3,実績!$AC$6:$AC$505,"&lt;="&amp;$A141,実績!$AD$6:$AD$505,"&gt;"&amp;$A141,実績!$AE$6:$AE$505,"○")&gt;0,1,0))</f>
        <v/>
      </c>
      <c r="DJ141">
        <f>IF(DJ$4=0,0,IF(COUNTIFS(実績!$W$6:$W$505,DJ$3,実績!$AC$6:$AC$505,"&lt;="&amp;$A141,実績!$AD$6:$AD$505,"&gt;"&amp;$A141,実績!$AE$6:$AE$505,"○")&gt;0,1,0))</f>
        <v/>
      </c>
      <c r="DK141">
        <f>IF(DK$4=0,0,IF(COUNTIFS(実績!$W$6:$W$505,DK$3,実績!$AC$6:$AC$505,"&lt;="&amp;$A141,実績!$AD$6:$AD$505,"&gt;"&amp;$A141,実績!$AE$6:$AE$505,"○")&gt;0,1,0))</f>
        <v/>
      </c>
      <c r="DL141">
        <f>IF(DL$4=0,0,IF(COUNTIFS(実績!$W$6:$W$505,DL$3,実績!$AC$6:$AC$505,"&lt;="&amp;$A141,実績!$AD$6:$AD$505,"&gt;"&amp;$A141,実績!$AE$6:$AE$505,"○")&gt;0,1,0))</f>
        <v/>
      </c>
      <c r="DM141">
        <f>IF(DM$4=0,0,IF(COUNTIFS(実績!$W$6:$W$505,DM$3,実績!$AC$6:$AC$505,"&lt;="&amp;$A141,実績!$AD$6:$AD$505,"&gt;"&amp;$A141,実績!$AE$6:$AE$505,"○")&gt;0,1,0))</f>
        <v/>
      </c>
      <c r="DN141">
        <f>IF(DN$4=0,0,IF(COUNTIFS(実績!$W$6:$W$505,DN$3,実績!$AC$6:$AC$505,"&lt;="&amp;$A141,実績!$AD$6:$AD$505,"&gt;"&amp;$A141,実績!$AE$6:$AE$505,"○")&gt;0,1,0))</f>
        <v/>
      </c>
      <c r="DO141">
        <f>IF(DO$4=0,0,IF(COUNTIFS(実績!$W$6:$W$505,DO$3,実績!$AC$6:$AC$505,"&lt;="&amp;$A141,実績!$AD$6:$AD$505,"&gt;"&amp;$A141,実績!$AE$6:$AE$505,"○")&gt;0,1,0))</f>
        <v/>
      </c>
      <c r="DP141">
        <f>IF(DP$4=0,0,IF(COUNTIFS(実績!$W$6:$W$505,DP$3,実績!$AC$6:$AC$505,"&lt;="&amp;$A141,実績!$AD$6:$AD$505,"&gt;"&amp;$A141,実績!$AE$6:$AE$505,"○")&gt;0,1,0))</f>
        <v/>
      </c>
      <c r="DQ141">
        <f>IF(DQ$4=0,0,IF(COUNTIFS(実績!$W$6:$W$505,DQ$3,実績!$AC$6:$AC$505,"&lt;="&amp;$A141,実績!$AD$6:$AD$505,"&gt;"&amp;$A141,実績!$AE$6:$AE$505,"○")&gt;0,1,0))</f>
        <v/>
      </c>
      <c r="DR141">
        <f>IF(DR$4=0,0,IF(COUNTIFS(実績!$W$6:$W$505,DR$3,実績!$AC$6:$AC$505,"&lt;="&amp;$A141,実績!$AD$6:$AD$505,"&gt;"&amp;$A141,実績!$AE$6:$AE$505,"○")&gt;0,1,0))</f>
        <v/>
      </c>
      <c r="DS141">
        <f>SUM(C141:DR141)</f>
        <v/>
      </c>
      <c r="DT141">
        <f>SUMPRODUCT((実績!$C$6:$C$505="○")*ISNUMBER(実績!$AF$6:$AF$505)*(実績!$AF$6:$AF$505&lt;=$A141)*(実績!$AG$6:$AG$505&gt;$A141))</f>
        <v/>
      </c>
      <c r="DU141">
        <f>SUMIF($C$2:$DR$2,"製鉄曳船",C141:DR141)</f>
        <v/>
      </c>
      <c r="DV141">
        <f>SUMIF($C$2:$DR$2,"西日本海運",C141:DR141)</f>
        <v/>
      </c>
    </row>
    <row r="142">
      <c r="A142" t="n">
        <v>680</v>
      </c>
      <c r="B142" s="29">
        <f>A142/1440</f>
        <v/>
      </c>
      <c r="C142">
        <f>IF(C$4=0,0,IF(COUNTIFS(実績!$W$6:$W$505,C$3,実績!$AC$6:$AC$505,"&lt;="&amp;$A142,実績!$AD$6:$AD$505,"&gt;"&amp;$A142,実績!$AE$6:$AE$505,"○")&gt;0,1,0))</f>
        <v/>
      </c>
      <c r="D142">
        <f>IF(D$4=0,0,IF(COUNTIFS(実績!$W$6:$W$505,D$3,実績!$AC$6:$AC$505,"&lt;="&amp;$A142,実績!$AD$6:$AD$505,"&gt;"&amp;$A142,実績!$AE$6:$AE$505,"○")&gt;0,1,0))</f>
        <v/>
      </c>
      <c r="E142">
        <f>IF(E$4=0,0,IF(COUNTIFS(実績!$W$6:$W$505,E$3,実績!$AC$6:$AC$505,"&lt;="&amp;$A142,実績!$AD$6:$AD$505,"&gt;"&amp;$A142,実績!$AE$6:$AE$505,"○")&gt;0,1,0))</f>
        <v/>
      </c>
      <c r="F142">
        <f>IF(F$4=0,0,IF(COUNTIFS(実績!$W$6:$W$505,F$3,実績!$AC$6:$AC$505,"&lt;="&amp;$A142,実績!$AD$6:$AD$505,"&gt;"&amp;$A142,実績!$AE$6:$AE$505,"○")&gt;0,1,0))</f>
        <v/>
      </c>
      <c r="G142">
        <f>IF(G$4=0,0,IF(COUNTIFS(実績!$W$6:$W$505,G$3,実績!$AC$6:$AC$505,"&lt;="&amp;$A142,実績!$AD$6:$AD$505,"&gt;"&amp;$A142,実績!$AE$6:$AE$505,"○")&gt;0,1,0))</f>
        <v/>
      </c>
      <c r="H142">
        <f>IF(H$4=0,0,IF(COUNTIFS(実績!$W$6:$W$505,H$3,実績!$AC$6:$AC$505,"&lt;="&amp;$A142,実績!$AD$6:$AD$505,"&gt;"&amp;$A142,実績!$AE$6:$AE$505,"○")&gt;0,1,0))</f>
        <v/>
      </c>
      <c r="I142">
        <f>IF(I$4=0,0,IF(COUNTIFS(実績!$W$6:$W$505,I$3,実績!$AC$6:$AC$505,"&lt;="&amp;$A142,実績!$AD$6:$AD$505,"&gt;"&amp;$A142,実績!$AE$6:$AE$505,"○")&gt;0,1,0))</f>
        <v/>
      </c>
      <c r="J142">
        <f>IF(J$4=0,0,IF(COUNTIFS(実績!$W$6:$W$505,J$3,実績!$AC$6:$AC$505,"&lt;="&amp;$A142,実績!$AD$6:$AD$505,"&gt;"&amp;$A142,実績!$AE$6:$AE$505,"○")&gt;0,1,0))</f>
        <v/>
      </c>
      <c r="K142">
        <f>IF(K$4=0,0,IF(COUNTIFS(実績!$W$6:$W$505,K$3,実績!$AC$6:$AC$505,"&lt;="&amp;$A142,実績!$AD$6:$AD$505,"&gt;"&amp;$A142,実績!$AE$6:$AE$505,"○")&gt;0,1,0))</f>
        <v/>
      </c>
      <c r="L142">
        <f>IF(L$4=0,0,IF(COUNTIFS(実績!$W$6:$W$505,L$3,実績!$AC$6:$AC$505,"&lt;="&amp;$A142,実績!$AD$6:$AD$505,"&gt;"&amp;$A142,実績!$AE$6:$AE$505,"○")&gt;0,1,0))</f>
        <v/>
      </c>
      <c r="M142">
        <f>IF(M$4=0,0,IF(COUNTIFS(実績!$W$6:$W$505,M$3,実績!$AC$6:$AC$505,"&lt;="&amp;$A142,実績!$AD$6:$AD$505,"&gt;"&amp;$A142,実績!$AE$6:$AE$505,"○")&gt;0,1,0))</f>
        <v/>
      </c>
      <c r="N142">
        <f>IF(N$4=0,0,IF(COUNTIFS(実績!$W$6:$W$505,N$3,実績!$AC$6:$AC$505,"&lt;="&amp;$A142,実績!$AD$6:$AD$505,"&gt;"&amp;$A142,実績!$AE$6:$AE$505,"○")&gt;0,1,0))</f>
        <v/>
      </c>
      <c r="O142">
        <f>IF(O$4=0,0,IF(COUNTIFS(実績!$W$6:$W$505,O$3,実績!$AC$6:$AC$505,"&lt;="&amp;$A142,実績!$AD$6:$AD$505,"&gt;"&amp;$A142,実績!$AE$6:$AE$505,"○")&gt;0,1,0))</f>
        <v/>
      </c>
      <c r="P142">
        <f>IF(P$4=0,0,IF(COUNTIFS(実績!$W$6:$W$505,P$3,実績!$AC$6:$AC$505,"&lt;="&amp;$A142,実績!$AD$6:$AD$505,"&gt;"&amp;$A142,実績!$AE$6:$AE$505,"○")&gt;0,1,0))</f>
        <v/>
      </c>
      <c r="Q142">
        <f>IF(Q$4=0,0,IF(COUNTIFS(実績!$W$6:$W$505,Q$3,実績!$AC$6:$AC$505,"&lt;="&amp;$A142,実績!$AD$6:$AD$505,"&gt;"&amp;$A142,実績!$AE$6:$AE$505,"○")&gt;0,1,0))</f>
        <v/>
      </c>
      <c r="R142">
        <f>IF(R$4=0,0,IF(COUNTIFS(実績!$W$6:$W$505,R$3,実績!$AC$6:$AC$505,"&lt;="&amp;$A142,実績!$AD$6:$AD$505,"&gt;"&amp;$A142,実績!$AE$6:$AE$505,"○")&gt;0,1,0))</f>
        <v/>
      </c>
      <c r="S142">
        <f>IF(S$4=0,0,IF(COUNTIFS(実績!$W$6:$W$505,S$3,実績!$AC$6:$AC$505,"&lt;="&amp;$A142,実績!$AD$6:$AD$505,"&gt;"&amp;$A142,実績!$AE$6:$AE$505,"○")&gt;0,1,0))</f>
        <v/>
      </c>
      <c r="T142">
        <f>IF(T$4=0,0,IF(COUNTIFS(実績!$W$6:$W$505,T$3,実績!$AC$6:$AC$505,"&lt;="&amp;$A142,実績!$AD$6:$AD$505,"&gt;"&amp;$A142,実績!$AE$6:$AE$505,"○")&gt;0,1,0))</f>
        <v/>
      </c>
      <c r="U142">
        <f>IF(U$4=0,0,IF(COUNTIFS(実績!$W$6:$W$505,U$3,実績!$AC$6:$AC$505,"&lt;="&amp;$A142,実績!$AD$6:$AD$505,"&gt;"&amp;$A142,実績!$AE$6:$AE$505,"○")&gt;0,1,0))</f>
        <v/>
      </c>
      <c r="V142">
        <f>IF(V$4=0,0,IF(COUNTIFS(実績!$W$6:$W$505,V$3,実績!$AC$6:$AC$505,"&lt;="&amp;$A142,実績!$AD$6:$AD$505,"&gt;"&amp;$A142,実績!$AE$6:$AE$505,"○")&gt;0,1,0))</f>
        <v/>
      </c>
      <c r="W142">
        <f>IF(W$4=0,0,IF(COUNTIFS(実績!$W$6:$W$505,W$3,実績!$AC$6:$AC$505,"&lt;="&amp;$A142,実績!$AD$6:$AD$505,"&gt;"&amp;$A142,実績!$AE$6:$AE$505,"○")&gt;0,1,0))</f>
        <v/>
      </c>
      <c r="X142">
        <f>IF(X$4=0,0,IF(COUNTIFS(実績!$W$6:$W$505,X$3,実績!$AC$6:$AC$505,"&lt;="&amp;$A142,実績!$AD$6:$AD$505,"&gt;"&amp;$A142,実績!$AE$6:$AE$505,"○")&gt;0,1,0))</f>
        <v/>
      </c>
      <c r="Y142">
        <f>IF(Y$4=0,0,IF(COUNTIFS(実績!$W$6:$W$505,Y$3,実績!$AC$6:$AC$505,"&lt;="&amp;$A142,実績!$AD$6:$AD$505,"&gt;"&amp;$A142,実績!$AE$6:$AE$505,"○")&gt;0,1,0))</f>
        <v/>
      </c>
      <c r="Z142">
        <f>IF(Z$4=0,0,IF(COUNTIFS(実績!$W$6:$W$505,Z$3,実績!$AC$6:$AC$505,"&lt;="&amp;$A142,実績!$AD$6:$AD$505,"&gt;"&amp;$A142,実績!$AE$6:$AE$505,"○")&gt;0,1,0))</f>
        <v/>
      </c>
      <c r="AA142">
        <f>IF(AA$4=0,0,IF(COUNTIFS(実績!$W$6:$W$505,AA$3,実績!$AC$6:$AC$505,"&lt;="&amp;$A142,実績!$AD$6:$AD$505,"&gt;"&amp;$A142,実績!$AE$6:$AE$505,"○")&gt;0,1,0))</f>
        <v/>
      </c>
      <c r="AB142">
        <f>IF(AB$4=0,0,IF(COUNTIFS(実績!$W$6:$W$505,AB$3,実績!$AC$6:$AC$505,"&lt;="&amp;$A142,実績!$AD$6:$AD$505,"&gt;"&amp;$A142,実績!$AE$6:$AE$505,"○")&gt;0,1,0))</f>
        <v/>
      </c>
      <c r="AC142">
        <f>IF(AC$4=0,0,IF(COUNTIFS(実績!$W$6:$W$505,AC$3,実績!$AC$6:$AC$505,"&lt;="&amp;$A142,実績!$AD$6:$AD$505,"&gt;"&amp;$A142,実績!$AE$6:$AE$505,"○")&gt;0,1,0))</f>
        <v/>
      </c>
      <c r="AD142">
        <f>IF(AD$4=0,0,IF(COUNTIFS(実績!$W$6:$W$505,AD$3,実績!$AC$6:$AC$505,"&lt;="&amp;$A142,実績!$AD$6:$AD$505,"&gt;"&amp;$A142,実績!$AE$6:$AE$505,"○")&gt;0,1,0))</f>
        <v/>
      </c>
      <c r="AE142">
        <f>IF(AE$4=0,0,IF(COUNTIFS(実績!$W$6:$W$505,AE$3,実績!$AC$6:$AC$505,"&lt;="&amp;$A142,実績!$AD$6:$AD$505,"&gt;"&amp;$A142,実績!$AE$6:$AE$505,"○")&gt;0,1,0))</f>
        <v/>
      </c>
      <c r="AF142">
        <f>IF(AF$4=0,0,IF(COUNTIFS(実績!$W$6:$W$505,AF$3,実績!$AC$6:$AC$505,"&lt;="&amp;$A142,実績!$AD$6:$AD$505,"&gt;"&amp;$A142,実績!$AE$6:$AE$505,"○")&gt;0,1,0))</f>
        <v/>
      </c>
      <c r="AG142">
        <f>IF(AG$4=0,0,IF(COUNTIFS(実績!$W$6:$W$505,AG$3,実績!$AC$6:$AC$505,"&lt;="&amp;$A142,実績!$AD$6:$AD$505,"&gt;"&amp;$A142,実績!$AE$6:$AE$505,"○")&gt;0,1,0))</f>
        <v/>
      </c>
      <c r="AH142">
        <f>IF(AH$4=0,0,IF(COUNTIFS(実績!$W$6:$W$505,AH$3,実績!$AC$6:$AC$505,"&lt;="&amp;$A142,実績!$AD$6:$AD$505,"&gt;"&amp;$A142,実績!$AE$6:$AE$505,"○")&gt;0,1,0))</f>
        <v/>
      </c>
      <c r="AI142">
        <f>IF(AI$4=0,0,IF(COUNTIFS(実績!$W$6:$W$505,AI$3,実績!$AC$6:$AC$505,"&lt;="&amp;$A142,実績!$AD$6:$AD$505,"&gt;"&amp;$A142,実績!$AE$6:$AE$505,"○")&gt;0,1,0))</f>
        <v/>
      </c>
      <c r="AJ142">
        <f>IF(AJ$4=0,0,IF(COUNTIFS(実績!$W$6:$W$505,AJ$3,実績!$AC$6:$AC$505,"&lt;="&amp;$A142,実績!$AD$6:$AD$505,"&gt;"&amp;$A142,実績!$AE$6:$AE$505,"○")&gt;0,1,0))</f>
        <v/>
      </c>
      <c r="AK142">
        <f>IF(AK$4=0,0,IF(COUNTIFS(実績!$W$6:$W$505,AK$3,実績!$AC$6:$AC$505,"&lt;="&amp;$A142,実績!$AD$6:$AD$505,"&gt;"&amp;$A142,実績!$AE$6:$AE$505,"○")&gt;0,1,0))</f>
        <v/>
      </c>
      <c r="AL142">
        <f>IF(AL$4=0,0,IF(COUNTIFS(実績!$W$6:$W$505,AL$3,実績!$AC$6:$AC$505,"&lt;="&amp;$A142,実績!$AD$6:$AD$505,"&gt;"&amp;$A142,実績!$AE$6:$AE$505,"○")&gt;0,1,0))</f>
        <v/>
      </c>
      <c r="AM142">
        <f>IF(AM$4=0,0,IF(COUNTIFS(実績!$W$6:$W$505,AM$3,実績!$AC$6:$AC$505,"&lt;="&amp;$A142,実績!$AD$6:$AD$505,"&gt;"&amp;$A142,実績!$AE$6:$AE$505,"○")&gt;0,1,0))</f>
        <v/>
      </c>
      <c r="AN142">
        <f>IF(AN$4=0,0,IF(COUNTIFS(実績!$W$6:$W$505,AN$3,実績!$AC$6:$AC$505,"&lt;="&amp;$A142,実績!$AD$6:$AD$505,"&gt;"&amp;$A142,実績!$AE$6:$AE$505,"○")&gt;0,1,0))</f>
        <v/>
      </c>
      <c r="AO142">
        <f>IF(AO$4=0,0,IF(COUNTIFS(実績!$W$6:$W$505,AO$3,実績!$AC$6:$AC$505,"&lt;="&amp;$A142,実績!$AD$6:$AD$505,"&gt;"&amp;$A142,実績!$AE$6:$AE$505,"○")&gt;0,1,0))</f>
        <v/>
      </c>
      <c r="AP142">
        <f>IF(AP$4=0,0,IF(COUNTIFS(実績!$W$6:$W$505,AP$3,実績!$AC$6:$AC$505,"&lt;="&amp;$A142,実績!$AD$6:$AD$505,"&gt;"&amp;$A142,実績!$AE$6:$AE$505,"○")&gt;0,1,0))</f>
        <v/>
      </c>
      <c r="AQ142">
        <f>IF(AQ$4=0,0,IF(COUNTIFS(実績!$W$6:$W$505,AQ$3,実績!$AC$6:$AC$505,"&lt;="&amp;$A142,実績!$AD$6:$AD$505,"&gt;"&amp;$A142,実績!$AE$6:$AE$505,"○")&gt;0,1,0))</f>
        <v/>
      </c>
      <c r="AR142">
        <f>IF(AR$4=0,0,IF(COUNTIFS(実績!$W$6:$W$505,AR$3,実績!$AC$6:$AC$505,"&lt;="&amp;$A142,実績!$AD$6:$AD$505,"&gt;"&amp;$A142,実績!$AE$6:$AE$505,"○")&gt;0,1,0))</f>
        <v/>
      </c>
      <c r="AS142">
        <f>IF(AS$4=0,0,IF(COUNTIFS(実績!$W$6:$W$505,AS$3,実績!$AC$6:$AC$505,"&lt;="&amp;$A142,実績!$AD$6:$AD$505,"&gt;"&amp;$A142,実績!$AE$6:$AE$505,"○")&gt;0,1,0))</f>
        <v/>
      </c>
      <c r="AT142">
        <f>IF(AT$4=0,0,IF(COUNTIFS(実績!$W$6:$W$505,AT$3,実績!$AC$6:$AC$505,"&lt;="&amp;$A142,実績!$AD$6:$AD$505,"&gt;"&amp;$A142,実績!$AE$6:$AE$505,"○")&gt;0,1,0))</f>
        <v/>
      </c>
      <c r="AU142">
        <f>IF(AU$4=0,0,IF(COUNTIFS(実績!$W$6:$W$505,AU$3,実績!$AC$6:$AC$505,"&lt;="&amp;$A142,実績!$AD$6:$AD$505,"&gt;"&amp;$A142,実績!$AE$6:$AE$505,"○")&gt;0,1,0))</f>
        <v/>
      </c>
      <c r="AV142">
        <f>IF(AV$4=0,0,IF(COUNTIFS(実績!$W$6:$W$505,AV$3,実績!$AC$6:$AC$505,"&lt;="&amp;$A142,実績!$AD$6:$AD$505,"&gt;"&amp;$A142,実績!$AE$6:$AE$505,"○")&gt;0,1,0))</f>
        <v/>
      </c>
      <c r="AW142">
        <f>IF(AW$4=0,0,IF(COUNTIFS(実績!$W$6:$W$505,AW$3,実績!$AC$6:$AC$505,"&lt;="&amp;$A142,実績!$AD$6:$AD$505,"&gt;"&amp;$A142,実績!$AE$6:$AE$505,"○")&gt;0,1,0))</f>
        <v/>
      </c>
      <c r="AX142">
        <f>IF(AX$4=0,0,IF(COUNTIFS(実績!$W$6:$W$505,AX$3,実績!$AC$6:$AC$505,"&lt;="&amp;$A142,実績!$AD$6:$AD$505,"&gt;"&amp;$A142,実績!$AE$6:$AE$505,"○")&gt;0,1,0))</f>
        <v/>
      </c>
      <c r="AY142">
        <f>IF(AY$4=0,0,IF(COUNTIFS(実績!$W$6:$W$505,AY$3,実績!$AC$6:$AC$505,"&lt;="&amp;$A142,実績!$AD$6:$AD$505,"&gt;"&amp;$A142,実績!$AE$6:$AE$505,"○")&gt;0,1,0))</f>
        <v/>
      </c>
      <c r="AZ142">
        <f>IF(AZ$4=0,0,IF(COUNTIFS(実績!$W$6:$W$505,AZ$3,実績!$AC$6:$AC$505,"&lt;="&amp;$A142,実績!$AD$6:$AD$505,"&gt;"&amp;$A142,実績!$AE$6:$AE$505,"○")&gt;0,1,0))</f>
        <v/>
      </c>
      <c r="BA142">
        <f>IF(BA$4=0,0,IF(COUNTIFS(実績!$W$6:$W$505,BA$3,実績!$AC$6:$AC$505,"&lt;="&amp;$A142,実績!$AD$6:$AD$505,"&gt;"&amp;$A142,実績!$AE$6:$AE$505,"○")&gt;0,1,0))</f>
        <v/>
      </c>
      <c r="BB142">
        <f>IF(BB$4=0,0,IF(COUNTIFS(実績!$W$6:$W$505,BB$3,実績!$AC$6:$AC$505,"&lt;="&amp;$A142,実績!$AD$6:$AD$505,"&gt;"&amp;$A142,実績!$AE$6:$AE$505,"○")&gt;0,1,0))</f>
        <v/>
      </c>
      <c r="BC142">
        <f>IF(BC$4=0,0,IF(COUNTIFS(実績!$W$6:$W$505,BC$3,実績!$AC$6:$AC$505,"&lt;="&amp;$A142,実績!$AD$6:$AD$505,"&gt;"&amp;$A142,実績!$AE$6:$AE$505,"○")&gt;0,1,0))</f>
        <v/>
      </c>
      <c r="BD142">
        <f>IF(BD$4=0,0,IF(COUNTIFS(実績!$W$6:$W$505,BD$3,実績!$AC$6:$AC$505,"&lt;="&amp;$A142,実績!$AD$6:$AD$505,"&gt;"&amp;$A142,実績!$AE$6:$AE$505,"○")&gt;0,1,0))</f>
        <v/>
      </c>
      <c r="BE142">
        <f>IF(BE$4=0,0,IF(COUNTIFS(実績!$W$6:$W$505,BE$3,実績!$AC$6:$AC$505,"&lt;="&amp;$A142,実績!$AD$6:$AD$505,"&gt;"&amp;$A142,実績!$AE$6:$AE$505,"○")&gt;0,1,0))</f>
        <v/>
      </c>
      <c r="BF142">
        <f>IF(BF$4=0,0,IF(COUNTIFS(実績!$W$6:$W$505,BF$3,実績!$AC$6:$AC$505,"&lt;="&amp;$A142,実績!$AD$6:$AD$505,"&gt;"&amp;$A142,実績!$AE$6:$AE$505,"○")&gt;0,1,0))</f>
        <v/>
      </c>
      <c r="BG142">
        <f>IF(BG$4=0,0,IF(COUNTIFS(実績!$W$6:$W$505,BG$3,実績!$AC$6:$AC$505,"&lt;="&amp;$A142,実績!$AD$6:$AD$505,"&gt;"&amp;$A142,実績!$AE$6:$AE$505,"○")&gt;0,1,0))</f>
        <v/>
      </c>
      <c r="BH142">
        <f>IF(BH$4=0,0,IF(COUNTIFS(実績!$W$6:$W$505,BH$3,実績!$AC$6:$AC$505,"&lt;="&amp;$A142,実績!$AD$6:$AD$505,"&gt;"&amp;$A142,実績!$AE$6:$AE$505,"○")&gt;0,1,0))</f>
        <v/>
      </c>
      <c r="BI142">
        <f>IF(BI$4=0,0,IF(COUNTIFS(実績!$W$6:$W$505,BI$3,実績!$AC$6:$AC$505,"&lt;="&amp;$A142,実績!$AD$6:$AD$505,"&gt;"&amp;$A142,実績!$AE$6:$AE$505,"○")&gt;0,1,0))</f>
        <v/>
      </c>
      <c r="BJ142">
        <f>IF(BJ$4=0,0,IF(COUNTIFS(実績!$W$6:$W$505,BJ$3,実績!$AC$6:$AC$505,"&lt;="&amp;$A142,実績!$AD$6:$AD$505,"&gt;"&amp;$A142,実績!$AE$6:$AE$505,"○")&gt;0,1,0))</f>
        <v/>
      </c>
      <c r="BK142">
        <f>IF(BK$4=0,0,IF(COUNTIFS(実績!$W$6:$W$505,BK$3,実績!$AC$6:$AC$505,"&lt;="&amp;$A142,実績!$AD$6:$AD$505,"&gt;"&amp;$A142,実績!$AE$6:$AE$505,"○")&gt;0,1,0))</f>
        <v/>
      </c>
      <c r="BL142">
        <f>IF(BL$4=0,0,IF(COUNTIFS(実績!$W$6:$W$505,BL$3,実績!$AC$6:$AC$505,"&lt;="&amp;$A142,実績!$AD$6:$AD$505,"&gt;"&amp;$A142,実績!$AE$6:$AE$505,"○")&gt;0,1,0))</f>
        <v/>
      </c>
      <c r="BM142">
        <f>IF(BM$4=0,0,IF(COUNTIFS(実績!$W$6:$W$505,BM$3,実績!$AC$6:$AC$505,"&lt;="&amp;$A142,実績!$AD$6:$AD$505,"&gt;"&amp;$A142,実績!$AE$6:$AE$505,"○")&gt;0,1,0))</f>
        <v/>
      </c>
      <c r="BN142">
        <f>IF(BN$4=0,0,IF(COUNTIFS(実績!$W$6:$W$505,BN$3,実績!$AC$6:$AC$505,"&lt;="&amp;$A142,実績!$AD$6:$AD$505,"&gt;"&amp;$A142,実績!$AE$6:$AE$505,"○")&gt;0,1,0))</f>
        <v/>
      </c>
      <c r="BO142">
        <f>IF(BO$4=0,0,IF(COUNTIFS(実績!$W$6:$W$505,BO$3,実績!$AC$6:$AC$505,"&lt;="&amp;$A142,実績!$AD$6:$AD$505,"&gt;"&amp;$A142,実績!$AE$6:$AE$505,"○")&gt;0,1,0))</f>
        <v/>
      </c>
      <c r="BP142">
        <f>IF(BP$4=0,0,IF(COUNTIFS(実績!$W$6:$W$505,BP$3,実績!$AC$6:$AC$505,"&lt;="&amp;$A142,実績!$AD$6:$AD$505,"&gt;"&amp;$A142,実績!$AE$6:$AE$505,"○")&gt;0,1,0))</f>
        <v/>
      </c>
      <c r="BQ142">
        <f>IF(BQ$4=0,0,IF(COUNTIFS(実績!$W$6:$W$505,BQ$3,実績!$AC$6:$AC$505,"&lt;="&amp;$A142,実績!$AD$6:$AD$505,"&gt;"&amp;$A142,実績!$AE$6:$AE$505,"○")&gt;0,1,0))</f>
        <v/>
      </c>
      <c r="BR142">
        <f>IF(BR$4=0,0,IF(COUNTIFS(実績!$W$6:$W$505,BR$3,実績!$AC$6:$AC$505,"&lt;="&amp;$A142,実績!$AD$6:$AD$505,"&gt;"&amp;$A142,実績!$AE$6:$AE$505,"○")&gt;0,1,0))</f>
        <v/>
      </c>
      <c r="BS142">
        <f>IF(BS$4=0,0,IF(COUNTIFS(実績!$W$6:$W$505,BS$3,実績!$AC$6:$AC$505,"&lt;="&amp;$A142,実績!$AD$6:$AD$505,"&gt;"&amp;$A142,実績!$AE$6:$AE$505,"○")&gt;0,1,0))</f>
        <v/>
      </c>
      <c r="BT142">
        <f>IF(BT$4=0,0,IF(COUNTIFS(実績!$W$6:$W$505,BT$3,実績!$AC$6:$AC$505,"&lt;="&amp;$A142,実績!$AD$6:$AD$505,"&gt;"&amp;$A142,実績!$AE$6:$AE$505,"○")&gt;0,1,0))</f>
        <v/>
      </c>
      <c r="BU142">
        <f>IF(BU$4=0,0,IF(COUNTIFS(実績!$W$6:$W$505,BU$3,実績!$AC$6:$AC$505,"&lt;="&amp;$A142,実績!$AD$6:$AD$505,"&gt;"&amp;$A142,実績!$AE$6:$AE$505,"○")&gt;0,1,0))</f>
        <v/>
      </c>
      <c r="BV142">
        <f>IF(BV$4=0,0,IF(COUNTIFS(実績!$W$6:$W$505,BV$3,実績!$AC$6:$AC$505,"&lt;="&amp;$A142,実績!$AD$6:$AD$505,"&gt;"&amp;$A142,実績!$AE$6:$AE$505,"○")&gt;0,1,0))</f>
        <v/>
      </c>
      <c r="BW142">
        <f>IF(BW$4=0,0,IF(COUNTIFS(実績!$W$6:$W$505,BW$3,実績!$AC$6:$AC$505,"&lt;="&amp;$A142,実績!$AD$6:$AD$505,"&gt;"&amp;$A142,実績!$AE$6:$AE$505,"○")&gt;0,1,0))</f>
        <v/>
      </c>
      <c r="BX142">
        <f>IF(BX$4=0,0,IF(COUNTIFS(実績!$W$6:$W$505,BX$3,実績!$AC$6:$AC$505,"&lt;="&amp;$A142,実績!$AD$6:$AD$505,"&gt;"&amp;$A142,実績!$AE$6:$AE$505,"○")&gt;0,1,0))</f>
        <v/>
      </c>
      <c r="BY142">
        <f>IF(BY$4=0,0,IF(COUNTIFS(実績!$W$6:$W$505,BY$3,実績!$AC$6:$AC$505,"&lt;="&amp;$A142,実績!$AD$6:$AD$505,"&gt;"&amp;$A142,実績!$AE$6:$AE$505,"○")&gt;0,1,0))</f>
        <v/>
      </c>
      <c r="BZ142">
        <f>IF(BZ$4=0,0,IF(COUNTIFS(実績!$W$6:$W$505,BZ$3,実績!$AC$6:$AC$505,"&lt;="&amp;$A142,実績!$AD$6:$AD$505,"&gt;"&amp;$A142,実績!$AE$6:$AE$505,"○")&gt;0,1,0))</f>
        <v/>
      </c>
      <c r="CA142">
        <f>IF(CA$4=0,0,IF(COUNTIFS(実績!$W$6:$W$505,CA$3,実績!$AC$6:$AC$505,"&lt;="&amp;$A142,実績!$AD$6:$AD$505,"&gt;"&amp;$A142,実績!$AE$6:$AE$505,"○")&gt;0,1,0))</f>
        <v/>
      </c>
      <c r="CB142">
        <f>IF(CB$4=0,0,IF(COUNTIFS(実績!$W$6:$W$505,CB$3,実績!$AC$6:$AC$505,"&lt;="&amp;$A142,実績!$AD$6:$AD$505,"&gt;"&amp;$A142,実績!$AE$6:$AE$505,"○")&gt;0,1,0))</f>
        <v/>
      </c>
      <c r="CC142">
        <f>IF(CC$4=0,0,IF(COUNTIFS(実績!$W$6:$W$505,CC$3,実績!$AC$6:$AC$505,"&lt;="&amp;$A142,実績!$AD$6:$AD$505,"&gt;"&amp;$A142,実績!$AE$6:$AE$505,"○")&gt;0,1,0))</f>
        <v/>
      </c>
      <c r="CD142">
        <f>IF(CD$4=0,0,IF(COUNTIFS(実績!$W$6:$W$505,CD$3,実績!$AC$6:$AC$505,"&lt;="&amp;$A142,実績!$AD$6:$AD$505,"&gt;"&amp;$A142,実績!$AE$6:$AE$505,"○")&gt;0,1,0))</f>
        <v/>
      </c>
      <c r="CE142">
        <f>IF(CE$4=0,0,IF(COUNTIFS(実績!$W$6:$W$505,CE$3,実績!$AC$6:$AC$505,"&lt;="&amp;$A142,実績!$AD$6:$AD$505,"&gt;"&amp;$A142,実績!$AE$6:$AE$505,"○")&gt;0,1,0))</f>
        <v/>
      </c>
      <c r="CF142">
        <f>IF(CF$4=0,0,IF(COUNTIFS(実績!$W$6:$W$505,CF$3,実績!$AC$6:$AC$505,"&lt;="&amp;$A142,実績!$AD$6:$AD$505,"&gt;"&amp;$A142,実績!$AE$6:$AE$505,"○")&gt;0,1,0))</f>
        <v/>
      </c>
      <c r="CG142">
        <f>IF(CG$4=0,0,IF(COUNTIFS(実績!$W$6:$W$505,CG$3,実績!$AC$6:$AC$505,"&lt;="&amp;$A142,実績!$AD$6:$AD$505,"&gt;"&amp;$A142,実績!$AE$6:$AE$505,"○")&gt;0,1,0))</f>
        <v/>
      </c>
      <c r="CH142">
        <f>IF(CH$4=0,0,IF(COUNTIFS(実績!$W$6:$W$505,CH$3,実績!$AC$6:$AC$505,"&lt;="&amp;$A142,実績!$AD$6:$AD$505,"&gt;"&amp;$A142,実績!$AE$6:$AE$505,"○")&gt;0,1,0))</f>
        <v/>
      </c>
      <c r="CI142">
        <f>IF(CI$4=0,0,IF(COUNTIFS(実績!$W$6:$W$505,CI$3,実績!$AC$6:$AC$505,"&lt;="&amp;$A142,実績!$AD$6:$AD$505,"&gt;"&amp;$A142,実績!$AE$6:$AE$505,"○")&gt;0,1,0))</f>
        <v/>
      </c>
      <c r="CJ142">
        <f>IF(CJ$4=0,0,IF(COUNTIFS(実績!$W$6:$W$505,CJ$3,実績!$AC$6:$AC$505,"&lt;="&amp;$A142,実績!$AD$6:$AD$505,"&gt;"&amp;$A142,実績!$AE$6:$AE$505,"○")&gt;0,1,0))</f>
        <v/>
      </c>
      <c r="CK142">
        <f>IF(CK$4=0,0,IF(COUNTIFS(実績!$W$6:$W$505,CK$3,実績!$AC$6:$AC$505,"&lt;="&amp;$A142,実績!$AD$6:$AD$505,"&gt;"&amp;$A142,実績!$AE$6:$AE$505,"○")&gt;0,1,0))</f>
        <v/>
      </c>
      <c r="CL142">
        <f>IF(CL$4=0,0,IF(COUNTIFS(実績!$W$6:$W$505,CL$3,実績!$AC$6:$AC$505,"&lt;="&amp;$A142,実績!$AD$6:$AD$505,"&gt;"&amp;$A142,実績!$AE$6:$AE$505,"○")&gt;0,1,0))</f>
        <v/>
      </c>
      <c r="CM142">
        <f>IF(CM$4=0,0,IF(COUNTIFS(実績!$W$6:$W$505,CM$3,実績!$AC$6:$AC$505,"&lt;="&amp;$A142,実績!$AD$6:$AD$505,"&gt;"&amp;$A142,実績!$AE$6:$AE$505,"○")&gt;0,1,0))</f>
        <v/>
      </c>
      <c r="CN142">
        <f>IF(CN$4=0,0,IF(COUNTIFS(実績!$W$6:$W$505,CN$3,実績!$AC$6:$AC$505,"&lt;="&amp;$A142,実績!$AD$6:$AD$505,"&gt;"&amp;$A142,実績!$AE$6:$AE$505,"○")&gt;0,1,0))</f>
        <v/>
      </c>
      <c r="CO142">
        <f>IF(CO$4=0,0,IF(COUNTIFS(実績!$W$6:$W$505,CO$3,実績!$AC$6:$AC$505,"&lt;="&amp;$A142,実績!$AD$6:$AD$505,"&gt;"&amp;$A142,実績!$AE$6:$AE$505,"○")&gt;0,1,0))</f>
        <v/>
      </c>
      <c r="CP142">
        <f>IF(CP$4=0,0,IF(COUNTIFS(実績!$W$6:$W$505,CP$3,実績!$AC$6:$AC$505,"&lt;="&amp;$A142,実績!$AD$6:$AD$505,"&gt;"&amp;$A142,実績!$AE$6:$AE$505,"○")&gt;0,1,0))</f>
        <v/>
      </c>
      <c r="CQ142">
        <f>IF(CQ$4=0,0,IF(COUNTIFS(実績!$W$6:$W$505,CQ$3,実績!$AC$6:$AC$505,"&lt;="&amp;$A142,実績!$AD$6:$AD$505,"&gt;"&amp;$A142,実績!$AE$6:$AE$505,"○")&gt;0,1,0))</f>
        <v/>
      </c>
      <c r="CR142">
        <f>IF(CR$4=0,0,IF(COUNTIFS(実績!$W$6:$W$505,CR$3,実績!$AC$6:$AC$505,"&lt;="&amp;$A142,実績!$AD$6:$AD$505,"&gt;"&amp;$A142,実績!$AE$6:$AE$505,"○")&gt;0,1,0))</f>
        <v/>
      </c>
      <c r="CS142">
        <f>IF(CS$4=0,0,IF(COUNTIFS(実績!$W$6:$W$505,CS$3,実績!$AC$6:$AC$505,"&lt;="&amp;$A142,実績!$AD$6:$AD$505,"&gt;"&amp;$A142,実績!$AE$6:$AE$505,"○")&gt;0,1,0))</f>
        <v/>
      </c>
      <c r="CT142">
        <f>IF(CT$4=0,0,IF(COUNTIFS(実績!$W$6:$W$505,CT$3,実績!$AC$6:$AC$505,"&lt;="&amp;$A142,実績!$AD$6:$AD$505,"&gt;"&amp;$A142,実績!$AE$6:$AE$505,"○")&gt;0,1,0))</f>
        <v/>
      </c>
      <c r="CU142">
        <f>IF(CU$4=0,0,IF(COUNTIFS(実績!$W$6:$W$505,CU$3,実績!$AC$6:$AC$505,"&lt;="&amp;$A142,実績!$AD$6:$AD$505,"&gt;"&amp;$A142,実績!$AE$6:$AE$505,"○")&gt;0,1,0))</f>
        <v/>
      </c>
      <c r="CV142">
        <f>IF(CV$4=0,0,IF(COUNTIFS(実績!$W$6:$W$505,CV$3,実績!$AC$6:$AC$505,"&lt;="&amp;$A142,実績!$AD$6:$AD$505,"&gt;"&amp;$A142,実績!$AE$6:$AE$505,"○")&gt;0,1,0))</f>
        <v/>
      </c>
      <c r="CW142">
        <f>IF(CW$4=0,0,IF(COUNTIFS(実績!$W$6:$W$505,CW$3,実績!$AC$6:$AC$505,"&lt;="&amp;$A142,実績!$AD$6:$AD$505,"&gt;"&amp;$A142,実績!$AE$6:$AE$505,"○")&gt;0,1,0))</f>
        <v/>
      </c>
      <c r="CX142">
        <f>IF(CX$4=0,0,IF(COUNTIFS(実績!$W$6:$W$505,CX$3,実績!$AC$6:$AC$505,"&lt;="&amp;$A142,実績!$AD$6:$AD$505,"&gt;"&amp;$A142,実績!$AE$6:$AE$505,"○")&gt;0,1,0))</f>
        <v/>
      </c>
      <c r="CY142">
        <f>IF(CY$4=0,0,IF(COUNTIFS(実績!$W$6:$W$505,CY$3,実績!$AC$6:$AC$505,"&lt;="&amp;$A142,実績!$AD$6:$AD$505,"&gt;"&amp;$A142,実績!$AE$6:$AE$505,"○")&gt;0,1,0))</f>
        <v/>
      </c>
      <c r="CZ142">
        <f>IF(CZ$4=0,0,IF(COUNTIFS(実績!$W$6:$W$505,CZ$3,実績!$AC$6:$AC$505,"&lt;="&amp;$A142,実績!$AD$6:$AD$505,"&gt;"&amp;$A142,実績!$AE$6:$AE$505,"○")&gt;0,1,0))</f>
        <v/>
      </c>
      <c r="DA142">
        <f>IF(DA$4=0,0,IF(COUNTIFS(実績!$W$6:$W$505,DA$3,実績!$AC$6:$AC$505,"&lt;="&amp;$A142,実績!$AD$6:$AD$505,"&gt;"&amp;$A142,実績!$AE$6:$AE$505,"○")&gt;0,1,0))</f>
        <v/>
      </c>
      <c r="DB142">
        <f>IF(DB$4=0,0,IF(COUNTIFS(実績!$W$6:$W$505,DB$3,実績!$AC$6:$AC$505,"&lt;="&amp;$A142,実績!$AD$6:$AD$505,"&gt;"&amp;$A142,実績!$AE$6:$AE$505,"○")&gt;0,1,0))</f>
        <v/>
      </c>
      <c r="DC142">
        <f>IF(DC$4=0,0,IF(COUNTIFS(実績!$W$6:$W$505,DC$3,実績!$AC$6:$AC$505,"&lt;="&amp;$A142,実績!$AD$6:$AD$505,"&gt;"&amp;$A142,実績!$AE$6:$AE$505,"○")&gt;0,1,0))</f>
        <v/>
      </c>
      <c r="DD142">
        <f>IF(DD$4=0,0,IF(COUNTIFS(実績!$W$6:$W$505,DD$3,実績!$AC$6:$AC$505,"&lt;="&amp;$A142,実績!$AD$6:$AD$505,"&gt;"&amp;$A142,実績!$AE$6:$AE$505,"○")&gt;0,1,0))</f>
        <v/>
      </c>
      <c r="DE142">
        <f>IF(DE$4=0,0,IF(COUNTIFS(実績!$W$6:$W$505,DE$3,実績!$AC$6:$AC$505,"&lt;="&amp;$A142,実績!$AD$6:$AD$505,"&gt;"&amp;$A142,実績!$AE$6:$AE$505,"○")&gt;0,1,0))</f>
        <v/>
      </c>
      <c r="DF142">
        <f>IF(DF$4=0,0,IF(COUNTIFS(実績!$W$6:$W$505,DF$3,実績!$AC$6:$AC$505,"&lt;="&amp;$A142,実績!$AD$6:$AD$505,"&gt;"&amp;$A142,実績!$AE$6:$AE$505,"○")&gt;0,1,0))</f>
        <v/>
      </c>
      <c r="DG142">
        <f>IF(DG$4=0,0,IF(COUNTIFS(実績!$W$6:$W$505,DG$3,実績!$AC$6:$AC$505,"&lt;="&amp;$A142,実績!$AD$6:$AD$505,"&gt;"&amp;$A142,実績!$AE$6:$AE$505,"○")&gt;0,1,0))</f>
        <v/>
      </c>
      <c r="DH142">
        <f>IF(DH$4=0,0,IF(COUNTIFS(実績!$W$6:$W$505,DH$3,実績!$AC$6:$AC$505,"&lt;="&amp;$A142,実績!$AD$6:$AD$505,"&gt;"&amp;$A142,実績!$AE$6:$AE$505,"○")&gt;0,1,0))</f>
        <v/>
      </c>
      <c r="DI142">
        <f>IF(DI$4=0,0,IF(COUNTIFS(実績!$W$6:$W$505,DI$3,実績!$AC$6:$AC$505,"&lt;="&amp;$A142,実績!$AD$6:$AD$505,"&gt;"&amp;$A142,実績!$AE$6:$AE$505,"○")&gt;0,1,0))</f>
        <v/>
      </c>
      <c r="DJ142">
        <f>IF(DJ$4=0,0,IF(COUNTIFS(実績!$W$6:$W$505,DJ$3,実績!$AC$6:$AC$505,"&lt;="&amp;$A142,実績!$AD$6:$AD$505,"&gt;"&amp;$A142,実績!$AE$6:$AE$505,"○")&gt;0,1,0))</f>
        <v/>
      </c>
      <c r="DK142">
        <f>IF(DK$4=0,0,IF(COUNTIFS(実績!$W$6:$W$505,DK$3,実績!$AC$6:$AC$505,"&lt;="&amp;$A142,実績!$AD$6:$AD$505,"&gt;"&amp;$A142,実績!$AE$6:$AE$505,"○")&gt;0,1,0))</f>
        <v/>
      </c>
      <c r="DL142">
        <f>IF(DL$4=0,0,IF(COUNTIFS(実績!$W$6:$W$505,DL$3,実績!$AC$6:$AC$505,"&lt;="&amp;$A142,実績!$AD$6:$AD$505,"&gt;"&amp;$A142,実績!$AE$6:$AE$505,"○")&gt;0,1,0))</f>
        <v/>
      </c>
      <c r="DM142">
        <f>IF(DM$4=0,0,IF(COUNTIFS(実績!$W$6:$W$505,DM$3,実績!$AC$6:$AC$505,"&lt;="&amp;$A142,実績!$AD$6:$AD$505,"&gt;"&amp;$A142,実績!$AE$6:$AE$505,"○")&gt;0,1,0))</f>
        <v/>
      </c>
      <c r="DN142">
        <f>IF(DN$4=0,0,IF(COUNTIFS(実績!$W$6:$W$505,DN$3,実績!$AC$6:$AC$505,"&lt;="&amp;$A142,実績!$AD$6:$AD$505,"&gt;"&amp;$A142,実績!$AE$6:$AE$505,"○")&gt;0,1,0))</f>
        <v/>
      </c>
      <c r="DO142">
        <f>IF(DO$4=0,0,IF(COUNTIFS(実績!$W$6:$W$505,DO$3,実績!$AC$6:$AC$505,"&lt;="&amp;$A142,実績!$AD$6:$AD$505,"&gt;"&amp;$A142,実績!$AE$6:$AE$505,"○")&gt;0,1,0))</f>
        <v/>
      </c>
      <c r="DP142">
        <f>IF(DP$4=0,0,IF(COUNTIFS(実績!$W$6:$W$505,DP$3,実績!$AC$6:$AC$505,"&lt;="&amp;$A142,実績!$AD$6:$AD$505,"&gt;"&amp;$A142,実績!$AE$6:$AE$505,"○")&gt;0,1,0))</f>
        <v/>
      </c>
      <c r="DQ142">
        <f>IF(DQ$4=0,0,IF(COUNTIFS(実績!$W$6:$W$505,DQ$3,実績!$AC$6:$AC$505,"&lt;="&amp;$A142,実績!$AD$6:$AD$505,"&gt;"&amp;$A142,実績!$AE$6:$AE$505,"○")&gt;0,1,0))</f>
        <v/>
      </c>
      <c r="DR142">
        <f>IF(DR$4=0,0,IF(COUNTIFS(実績!$W$6:$W$505,DR$3,実績!$AC$6:$AC$505,"&lt;="&amp;$A142,実績!$AD$6:$AD$505,"&gt;"&amp;$A142,実績!$AE$6:$AE$505,"○")&gt;0,1,0))</f>
        <v/>
      </c>
      <c r="DS142">
        <f>SUM(C142:DR142)</f>
        <v/>
      </c>
      <c r="DT142">
        <f>SUMPRODUCT((実績!$C$6:$C$505="○")*ISNUMBER(実績!$AF$6:$AF$505)*(実績!$AF$6:$AF$505&lt;=$A142)*(実績!$AG$6:$AG$505&gt;$A142))</f>
        <v/>
      </c>
      <c r="DU142">
        <f>SUMIF($C$2:$DR$2,"製鉄曳船",C142:DR142)</f>
        <v/>
      </c>
      <c r="DV142">
        <f>SUMIF($C$2:$DR$2,"西日本海運",C142:DR142)</f>
        <v/>
      </c>
    </row>
    <row r="143">
      <c r="A143" t="n">
        <v>685</v>
      </c>
      <c r="B143" s="29">
        <f>A143/1440</f>
        <v/>
      </c>
      <c r="C143">
        <f>IF(C$4=0,0,IF(COUNTIFS(実績!$W$6:$W$505,C$3,実績!$AC$6:$AC$505,"&lt;="&amp;$A143,実績!$AD$6:$AD$505,"&gt;"&amp;$A143,実績!$AE$6:$AE$505,"○")&gt;0,1,0))</f>
        <v/>
      </c>
      <c r="D143">
        <f>IF(D$4=0,0,IF(COUNTIFS(実績!$W$6:$W$505,D$3,実績!$AC$6:$AC$505,"&lt;="&amp;$A143,実績!$AD$6:$AD$505,"&gt;"&amp;$A143,実績!$AE$6:$AE$505,"○")&gt;0,1,0))</f>
        <v/>
      </c>
      <c r="E143">
        <f>IF(E$4=0,0,IF(COUNTIFS(実績!$W$6:$W$505,E$3,実績!$AC$6:$AC$505,"&lt;="&amp;$A143,実績!$AD$6:$AD$505,"&gt;"&amp;$A143,実績!$AE$6:$AE$505,"○")&gt;0,1,0))</f>
        <v/>
      </c>
      <c r="F143">
        <f>IF(F$4=0,0,IF(COUNTIFS(実績!$W$6:$W$505,F$3,実績!$AC$6:$AC$505,"&lt;="&amp;$A143,実績!$AD$6:$AD$505,"&gt;"&amp;$A143,実績!$AE$6:$AE$505,"○")&gt;0,1,0))</f>
        <v/>
      </c>
      <c r="G143">
        <f>IF(G$4=0,0,IF(COUNTIFS(実績!$W$6:$W$505,G$3,実績!$AC$6:$AC$505,"&lt;="&amp;$A143,実績!$AD$6:$AD$505,"&gt;"&amp;$A143,実績!$AE$6:$AE$505,"○")&gt;0,1,0))</f>
        <v/>
      </c>
      <c r="H143">
        <f>IF(H$4=0,0,IF(COUNTIFS(実績!$W$6:$W$505,H$3,実績!$AC$6:$AC$505,"&lt;="&amp;$A143,実績!$AD$6:$AD$505,"&gt;"&amp;$A143,実績!$AE$6:$AE$505,"○")&gt;0,1,0))</f>
        <v/>
      </c>
      <c r="I143">
        <f>IF(I$4=0,0,IF(COUNTIFS(実績!$W$6:$W$505,I$3,実績!$AC$6:$AC$505,"&lt;="&amp;$A143,実績!$AD$6:$AD$505,"&gt;"&amp;$A143,実績!$AE$6:$AE$505,"○")&gt;0,1,0))</f>
        <v/>
      </c>
      <c r="J143">
        <f>IF(J$4=0,0,IF(COUNTIFS(実績!$W$6:$W$505,J$3,実績!$AC$6:$AC$505,"&lt;="&amp;$A143,実績!$AD$6:$AD$505,"&gt;"&amp;$A143,実績!$AE$6:$AE$505,"○")&gt;0,1,0))</f>
        <v/>
      </c>
      <c r="K143">
        <f>IF(K$4=0,0,IF(COUNTIFS(実績!$W$6:$W$505,K$3,実績!$AC$6:$AC$505,"&lt;="&amp;$A143,実績!$AD$6:$AD$505,"&gt;"&amp;$A143,実績!$AE$6:$AE$505,"○")&gt;0,1,0))</f>
        <v/>
      </c>
      <c r="L143">
        <f>IF(L$4=0,0,IF(COUNTIFS(実績!$W$6:$W$505,L$3,実績!$AC$6:$AC$505,"&lt;="&amp;$A143,実績!$AD$6:$AD$505,"&gt;"&amp;$A143,実績!$AE$6:$AE$505,"○")&gt;0,1,0))</f>
        <v/>
      </c>
      <c r="M143">
        <f>IF(M$4=0,0,IF(COUNTIFS(実績!$W$6:$W$505,M$3,実績!$AC$6:$AC$505,"&lt;="&amp;$A143,実績!$AD$6:$AD$505,"&gt;"&amp;$A143,実績!$AE$6:$AE$505,"○")&gt;0,1,0))</f>
        <v/>
      </c>
      <c r="N143">
        <f>IF(N$4=0,0,IF(COUNTIFS(実績!$W$6:$W$505,N$3,実績!$AC$6:$AC$505,"&lt;="&amp;$A143,実績!$AD$6:$AD$505,"&gt;"&amp;$A143,実績!$AE$6:$AE$505,"○")&gt;0,1,0))</f>
        <v/>
      </c>
      <c r="O143">
        <f>IF(O$4=0,0,IF(COUNTIFS(実績!$W$6:$W$505,O$3,実績!$AC$6:$AC$505,"&lt;="&amp;$A143,実績!$AD$6:$AD$505,"&gt;"&amp;$A143,実績!$AE$6:$AE$505,"○")&gt;0,1,0))</f>
        <v/>
      </c>
      <c r="P143">
        <f>IF(P$4=0,0,IF(COUNTIFS(実績!$W$6:$W$505,P$3,実績!$AC$6:$AC$505,"&lt;="&amp;$A143,実績!$AD$6:$AD$505,"&gt;"&amp;$A143,実績!$AE$6:$AE$505,"○")&gt;0,1,0))</f>
        <v/>
      </c>
      <c r="Q143">
        <f>IF(Q$4=0,0,IF(COUNTIFS(実績!$W$6:$W$505,Q$3,実績!$AC$6:$AC$505,"&lt;="&amp;$A143,実績!$AD$6:$AD$505,"&gt;"&amp;$A143,実績!$AE$6:$AE$505,"○")&gt;0,1,0))</f>
        <v/>
      </c>
      <c r="R143">
        <f>IF(R$4=0,0,IF(COUNTIFS(実績!$W$6:$W$505,R$3,実績!$AC$6:$AC$505,"&lt;="&amp;$A143,実績!$AD$6:$AD$505,"&gt;"&amp;$A143,実績!$AE$6:$AE$505,"○")&gt;0,1,0))</f>
        <v/>
      </c>
      <c r="S143">
        <f>IF(S$4=0,0,IF(COUNTIFS(実績!$W$6:$W$505,S$3,実績!$AC$6:$AC$505,"&lt;="&amp;$A143,実績!$AD$6:$AD$505,"&gt;"&amp;$A143,実績!$AE$6:$AE$505,"○")&gt;0,1,0))</f>
        <v/>
      </c>
      <c r="T143">
        <f>IF(T$4=0,0,IF(COUNTIFS(実績!$W$6:$W$505,T$3,実績!$AC$6:$AC$505,"&lt;="&amp;$A143,実績!$AD$6:$AD$505,"&gt;"&amp;$A143,実績!$AE$6:$AE$505,"○")&gt;0,1,0))</f>
        <v/>
      </c>
      <c r="U143">
        <f>IF(U$4=0,0,IF(COUNTIFS(実績!$W$6:$W$505,U$3,実績!$AC$6:$AC$505,"&lt;="&amp;$A143,実績!$AD$6:$AD$505,"&gt;"&amp;$A143,実績!$AE$6:$AE$505,"○")&gt;0,1,0))</f>
        <v/>
      </c>
      <c r="V143">
        <f>IF(V$4=0,0,IF(COUNTIFS(実績!$W$6:$W$505,V$3,実績!$AC$6:$AC$505,"&lt;="&amp;$A143,実績!$AD$6:$AD$505,"&gt;"&amp;$A143,実績!$AE$6:$AE$505,"○")&gt;0,1,0))</f>
        <v/>
      </c>
      <c r="W143">
        <f>IF(W$4=0,0,IF(COUNTIFS(実績!$W$6:$W$505,W$3,実績!$AC$6:$AC$505,"&lt;="&amp;$A143,実績!$AD$6:$AD$505,"&gt;"&amp;$A143,実績!$AE$6:$AE$505,"○")&gt;0,1,0))</f>
        <v/>
      </c>
      <c r="X143">
        <f>IF(X$4=0,0,IF(COUNTIFS(実績!$W$6:$W$505,X$3,実績!$AC$6:$AC$505,"&lt;="&amp;$A143,実績!$AD$6:$AD$505,"&gt;"&amp;$A143,実績!$AE$6:$AE$505,"○")&gt;0,1,0))</f>
        <v/>
      </c>
      <c r="Y143">
        <f>IF(Y$4=0,0,IF(COUNTIFS(実績!$W$6:$W$505,Y$3,実績!$AC$6:$AC$505,"&lt;="&amp;$A143,実績!$AD$6:$AD$505,"&gt;"&amp;$A143,実績!$AE$6:$AE$505,"○")&gt;0,1,0))</f>
        <v/>
      </c>
      <c r="Z143">
        <f>IF(Z$4=0,0,IF(COUNTIFS(実績!$W$6:$W$505,Z$3,実績!$AC$6:$AC$505,"&lt;="&amp;$A143,実績!$AD$6:$AD$505,"&gt;"&amp;$A143,実績!$AE$6:$AE$505,"○")&gt;0,1,0))</f>
        <v/>
      </c>
      <c r="AA143">
        <f>IF(AA$4=0,0,IF(COUNTIFS(実績!$W$6:$W$505,AA$3,実績!$AC$6:$AC$505,"&lt;="&amp;$A143,実績!$AD$6:$AD$505,"&gt;"&amp;$A143,実績!$AE$6:$AE$505,"○")&gt;0,1,0))</f>
        <v/>
      </c>
      <c r="AB143">
        <f>IF(AB$4=0,0,IF(COUNTIFS(実績!$W$6:$W$505,AB$3,実績!$AC$6:$AC$505,"&lt;="&amp;$A143,実績!$AD$6:$AD$505,"&gt;"&amp;$A143,実績!$AE$6:$AE$505,"○")&gt;0,1,0))</f>
        <v/>
      </c>
      <c r="AC143">
        <f>IF(AC$4=0,0,IF(COUNTIFS(実績!$W$6:$W$505,AC$3,実績!$AC$6:$AC$505,"&lt;="&amp;$A143,実績!$AD$6:$AD$505,"&gt;"&amp;$A143,実績!$AE$6:$AE$505,"○")&gt;0,1,0))</f>
        <v/>
      </c>
      <c r="AD143">
        <f>IF(AD$4=0,0,IF(COUNTIFS(実績!$W$6:$W$505,AD$3,実績!$AC$6:$AC$505,"&lt;="&amp;$A143,実績!$AD$6:$AD$505,"&gt;"&amp;$A143,実績!$AE$6:$AE$505,"○")&gt;0,1,0))</f>
        <v/>
      </c>
      <c r="AE143">
        <f>IF(AE$4=0,0,IF(COUNTIFS(実績!$W$6:$W$505,AE$3,実績!$AC$6:$AC$505,"&lt;="&amp;$A143,実績!$AD$6:$AD$505,"&gt;"&amp;$A143,実績!$AE$6:$AE$505,"○")&gt;0,1,0))</f>
        <v/>
      </c>
      <c r="AF143">
        <f>IF(AF$4=0,0,IF(COUNTIFS(実績!$W$6:$W$505,AF$3,実績!$AC$6:$AC$505,"&lt;="&amp;$A143,実績!$AD$6:$AD$505,"&gt;"&amp;$A143,実績!$AE$6:$AE$505,"○")&gt;0,1,0))</f>
        <v/>
      </c>
      <c r="AG143">
        <f>IF(AG$4=0,0,IF(COUNTIFS(実績!$W$6:$W$505,AG$3,実績!$AC$6:$AC$505,"&lt;="&amp;$A143,実績!$AD$6:$AD$505,"&gt;"&amp;$A143,実績!$AE$6:$AE$505,"○")&gt;0,1,0))</f>
        <v/>
      </c>
      <c r="AH143">
        <f>IF(AH$4=0,0,IF(COUNTIFS(実績!$W$6:$W$505,AH$3,実績!$AC$6:$AC$505,"&lt;="&amp;$A143,実績!$AD$6:$AD$505,"&gt;"&amp;$A143,実績!$AE$6:$AE$505,"○")&gt;0,1,0))</f>
        <v/>
      </c>
      <c r="AI143">
        <f>IF(AI$4=0,0,IF(COUNTIFS(実績!$W$6:$W$505,AI$3,実績!$AC$6:$AC$505,"&lt;="&amp;$A143,実績!$AD$6:$AD$505,"&gt;"&amp;$A143,実績!$AE$6:$AE$505,"○")&gt;0,1,0))</f>
        <v/>
      </c>
      <c r="AJ143">
        <f>IF(AJ$4=0,0,IF(COUNTIFS(実績!$W$6:$W$505,AJ$3,実績!$AC$6:$AC$505,"&lt;="&amp;$A143,実績!$AD$6:$AD$505,"&gt;"&amp;$A143,実績!$AE$6:$AE$505,"○")&gt;0,1,0))</f>
        <v/>
      </c>
      <c r="AK143">
        <f>IF(AK$4=0,0,IF(COUNTIFS(実績!$W$6:$W$505,AK$3,実績!$AC$6:$AC$505,"&lt;="&amp;$A143,実績!$AD$6:$AD$505,"&gt;"&amp;$A143,実績!$AE$6:$AE$505,"○")&gt;0,1,0))</f>
        <v/>
      </c>
      <c r="AL143">
        <f>IF(AL$4=0,0,IF(COUNTIFS(実績!$W$6:$W$505,AL$3,実績!$AC$6:$AC$505,"&lt;="&amp;$A143,実績!$AD$6:$AD$505,"&gt;"&amp;$A143,実績!$AE$6:$AE$505,"○")&gt;0,1,0))</f>
        <v/>
      </c>
      <c r="AM143">
        <f>IF(AM$4=0,0,IF(COUNTIFS(実績!$W$6:$W$505,AM$3,実績!$AC$6:$AC$505,"&lt;="&amp;$A143,実績!$AD$6:$AD$505,"&gt;"&amp;$A143,実績!$AE$6:$AE$505,"○")&gt;0,1,0))</f>
        <v/>
      </c>
      <c r="AN143">
        <f>IF(AN$4=0,0,IF(COUNTIFS(実績!$W$6:$W$505,AN$3,実績!$AC$6:$AC$505,"&lt;="&amp;$A143,実績!$AD$6:$AD$505,"&gt;"&amp;$A143,実績!$AE$6:$AE$505,"○")&gt;0,1,0))</f>
        <v/>
      </c>
      <c r="AO143">
        <f>IF(AO$4=0,0,IF(COUNTIFS(実績!$W$6:$W$505,AO$3,実績!$AC$6:$AC$505,"&lt;="&amp;$A143,実績!$AD$6:$AD$505,"&gt;"&amp;$A143,実績!$AE$6:$AE$505,"○")&gt;0,1,0))</f>
        <v/>
      </c>
      <c r="AP143">
        <f>IF(AP$4=0,0,IF(COUNTIFS(実績!$W$6:$W$505,AP$3,実績!$AC$6:$AC$505,"&lt;="&amp;$A143,実績!$AD$6:$AD$505,"&gt;"&amp;$A143,実績!$AE$6:$AE$505,"○")&gt;0,1,0))</f>
        <v/>
      </c>
      <c r="AQ143">
        <f>IF(AQ$4=0,0,IF(COUNTIFS(実績!$W$6:$W$505,AQ$3,実績!$AC$6:$AC$505,"&lt;="&amp;$A143,実績!$AD$6:$AD$505,"&gt;"&amp;$A143,実績!$AE$6:$AE$505,"○")&gt;0,1,0))</f>
        <v/>
      </c>
      <c r="AR143">
        <f>IF(AR$4=0,0,IF(COUNTIFS(実績!$W$6:$W$505,AR$3,実績!$AC$6:$AC$505,"&lt;="&amp;$A143,実績!$AD$6:$AD$505,"&gt;"&amp;$A143,実績!$AE$6:$AE$505,"○")&gt;0,1,0))</f>
        <v/>
      </c>
      <c r="AS143">
        <f>IF(AS$4=0,0,IF(COUNTIFS(実績!$W$6:$W$505,AS$3,実績!$AC$6:$AC$505,"&lt;="&amp;$A143,実績!$AD$6:$AD$505,"&gt;"&amp;$A143,実績!$AE$6:$AE$505,"○")&gt;0,1,0))</f>
        <v/>
      </c>
      <c r="AT143">
        <f>IF(AT$4=0,0,IF(COUNTIFS(実績!$W$6:$W$505,AT$3,実績!$AC$6:$AC$505,"&lt;="&amp;$A143,実績!$AD$6:$AD$505,"&gt;"&amp;$A143,実績!$AE$6:$AE$505,"○")&gt;0,1,0))</f>
        <v/>
      </c>
      <c r="AU143">
        <f>IF(AU$4=0,0,IF(COUNTIFS(実績!$W$6:$W$505,AU$3,実績!$AC$6:$AC$505,"&lt;="&amp;$A143,実績!$AD$6:$AD$505,"&gt;"&amp;$A143,実績!$AE$6:$AE$505,"○")&gt;0,1,0))</f>
        <v/>
      </c>
      <c r="AV143">
        <f>IF(AV$4=0,0,IF(COUNTIFS(実績!$W$6:$W$505,AV$3,実績!$AC$6:$AC$505,"&lt;="&amp;$A143,実績!$AD$6:$AD$505,"&gt;"&amp;$A143,実績!$AE$6:$AE$505,"○")&gt;0,1,0))</f>
        <v/>
      </c>
      <c r="AW143">
        <f>IF(AW$4=0,0,IF(COUNTIFS(実績!$W$6:$W$505,AW$3,実績!$AC$6:$AC$505,"&lt;="&amp;$A143,実績!$AD$6:$AD$505,"&gt;"&amp;$A143,実績!$AE$6:$AE$505,"○")&gt;0,1,0))</f>
        <v/>
      </c>
      <c r="AX143">
        <f>IF(AX$4=0,0,IF(COUNTIFS(実績!$W$6:$W$505,AX$3,実績!$AC$6:$AC$505,"&lt;="&amp;$A143,実績!$AD$6:$AD$505,"&gt;"&amp;$A143,実績!$AE$6:$AE$505,"○")&gt;0,1,0))</f>
        <v/>
      </c>
      <c r="AY143">
        <f>IF(AY$4=0,0,IF(COUNTIFS(実績!$W$6:$W$505,AY$3,実績!$AC$6:$AC$505,"&lt;="&amp;$A143,実績!$AD$6:$AD$505,"&gt;"&amp;$A143,実績!$AE$6:$AE$505,"○")&gt;0,1,0))</f>
        <v/>
      </c>
      <c r="AZ143">
        <f>IF(AZ$4=0,0,IF(COUNTIFS(実績!$W$6:$W$505,AZ$3,実績!$AC$6:$AC$505,"&lt;="&amp;$A143,実績!$AD$6:$AD$505,"&gt;"&amp;$A143,実績!$AE$6:$AE$505,"○")&gt;0,1,0))</f>
        <v/>
      </c>
      <c r="BA143">
        <f>IF(BA$4=0,0,IF(COUNTIFS(実績!$W$6:$W$505,BA$3,実績!$AC$6:$AC$505,"&lt;="&amp;$A143,実績!$AD$6:$AD$505,"&gt;"&amp;$A143,実績!$AE$6:$AE$505,"○")&gt;0,1,0))</f>
        <v/>
      </c>
      <c r="BB143">
        <f>IF(BB$4=0,0,IF(COUNTIFS(実績!$W$6:$W$505,BB$3,実績!$AC$6:$AC$505,"&lt;="&amp;$A143,実績!$AD$6:$AD$505,"&gt;"&amp;$A143,実績!$AE$6:$AE$505,"○")&gt;0,1,0))</f>
        <v/>
      </c>
      <c r="BC143">
        <f>IF(BC$4=0,0,IF(COUNTIFS(実績!$W$6:$W$505,BC$3,実績!$AC$6:$AC$505,"&lt;="&amp;$A143,実績!$AD$6:$AD$505,"&gt;"&amp;$A143,実績!$AE$6:$AE$505,"○")&gt;0,1,0))</f>
        <v/>
      </c>
      <c r="BD143">
        <f>IF(BD$4=0,0,IF(COUNTIFS(実績!$W$6:$W$505,BD$3,実績!$AC$6:$AC$505,"&lt;="&amp;$A143,実績!$AD$6:$AD$505,"&gt;"&amp;$A143,実績!$AE$6:$AE$505,"○")&gt;0,1,0))</f>
        <v/>
      </c>
      <c r="BE143">
        <f>IF(BE$4=0,0,IF(COUNTIFS(実績!$W$6:$W$505,BE$3,実績!$AC$6:$AC$505,"&lt;="&amp;$A143,実績!$AD$6:$AD$505,"&gt;"&amp;$A143,実績!$AE$6:$AE$505,"○")&gt;0,1,0))</f>
        <v/>
      </c>
      <c r="BF143">
        <f>IF(BF$4=0,0,IF(COUNTIFS(実績!$W$6:$W$505,BF$3,実績!$AC$6:$AC$505,"&lt;="&amp;$A143,実績!$AD$6:$AD$505,"&gt;"&amp;$A143,実績!$AE$6:$AE$505,"○")&gt;0,1,0))</f>
        <v/>
      </c>
      <c r="BG143">
        <f>IF(BG$4=0,0,IF(COUNTIFS(実績!$W$6:$W$505,BG$3,実績!$AC$6:$AC$505,"&lt;="&amp;$A143,実績!$AD$6:$AD$505,"&gt;"&amp;$A143,実績!$AE$6:$AE$505,"○")&gt;0,1,0))</f>
        <v/>
      </c>
      <c r="BH143">
        <f>IF(BH$4=0,0,IF(COUNTIFS(実績!$W$6:$W$505,BH$3,実績!$AC$6:$AC$505,"&lt;="&amp;$A143,実績!$AD$6:$AD$505,"&gt;"&amp;$A143,実績!$AE$6:$AE$505,"○")&gt;0,1,0))</f>
        <v/>
      </c>
      <c r="BI143">
        <f>IF(BI$4=0,0,IF(COUNTIFS(実績!$W$6:$W$505,BI$3,実績!$AC$6:$AC$505,"&lt;="&amp;$A143,実績!$AD$6:$AD$505,"&gt;"&amp;$A143,実績!$AE$6:$AE$505,"○")&gt;0,1,0))</f>
        <v/>
      </c>
      <c r="BJ143">
        <f>IF(BJ$4=0,0,IF(COUNTIFS(実績!$W$6:$W$505,BJ$3,実績!$AC$6:$AC$505,"&lt;="&amp;$A143,実績!$AD$6:$AD$505,"&gt;"&amp;$A143,実績!$AE$6:$AE$505,"○")&gt;0,1,0))</f>
        <v/>
      </c>
      <c r="BK143">
        <f>IF(BK$4=0,0,IF(COUNTIFS(実績!$W$6:$W$505,BK$3,実績!$AC$6:$AC$505,"&lt;="&amp;$A143,実績!$AD$6:$AD$505,"&gt;"&amp;$A143,実績!$AE$6:$AE$505,"○")&gt;0,1,0))</f>
        <v/>
      </c>
      <c r="BL143">
        <f>IF(BL$4=0,0,IF(COUNTIFS(実績!$W$6:$W$505,BL$3,実績!$AC$6:$AC$505,"&lt;="&amp;$A143,実績!$AD$6:$AD$505,"&gt;"&amp;$A143,実績!$AE$6:$AE$505,"○")&gt;0,1,0))</f>
        <v/>
      </c>
      <c r="BM143">
        <f>IF(BM$4=0,0,IF(COUNTIFS(実績!$W$6:$W$505,BM$3,実績!$AC$6:$AC$505,"&lt;="&amp;$A143,実績!$AD$6:$AD$505,"&gt;"&amp;$A143,実績!$AE$6:$AE$505,"○")&gt;0,1,0))</f>
        <v/>
      </c>
      <c r="BN143">
        <f>IF(BN$4=0,0,IF(COUNTIFS(実績!$W$6:$W$505,BN$3,実績!$AC$6:$AC$505,"&lt;="&amp;$A143,実績!$AD$6:$AD$505,"&gt;"&amp;$A143,実績!$AE$6:$AE$505,"○")&gt;0,1,0))</f>
        <v/>
      </c>
      <c r="BO143">
        <f>IF(BO$4=0,0,IF(COUNTIFS(実績!$W$6:$W$505,BO$3,実績!$AC$6:$AC$505,"&lt;="&amp;$A143,実績!$AD$6:$AD$505,"&gt;"&amp;$A143,実績!$AE$6:$AE$505,"○")&gt;0,1,0))</f>
        <v/>
      </c>
      <c r="BP143">
        <f>IF(BP$4=0,0,IF(COUNTIFS(実績!$W$6:$W$505,BP$3,実績!$AC$6:$AC$505,"&lt;="&amp;$A143,実績!$AD$6:$AD$505,"&gt;"&amp;$A143,実績!$AE$6:$AE$505,"○")&gt;0,1,0))</f>
        <v/>
      </c>
      <c r="BQ143">
        <f>IF(BQ$4=0,0,IF(COUNTIFS(実績!$W$6:$W$505,BQ$3,実績!$AC$6:$AC$505,"&lt;="&amp;$A143,実績!$AD$6:$AD$505,"&gt;"&amp;$A143,実績!$AE$6:$AE$505,"○")&gt;0,1,0))</f>
        <v/>
      </c>
      <c r="BR143">
        <f>IF(BR$4=0,0,IF(COUNTIFS(実績!$W$6:$W$505,BR$3,実績!$AC$6:$AC$505,"&lt;="&amp;$A143,実績!$AD$6:$AD$505,"&gt;"&amp;$A143,実績!$AE$6:$AE$505,"○")&gt;0,1,0))</f>
        <v/>
      </c>
      <c r="BS143">
        <f>IF(BS$4=0,0,IF(COUNTIFS(実績!$W$6:$W$505,BS$3,実績!$AC$6:$AC$505,"&lt;="&amp;$A143,実績!$AD$6:$AD$505,"&gt;"&amp;$A143,実績!$AE$6:$AE$505,"○")&gt;0,1,0))</f>
        <v/>
      </c>
      <c r="BT143">
        <f>IF(BT$4=0,0,IF(COUNTIFS(実績!$W$6:$W$505,BT$3,実績!$AC$6:$AC$505,"&lt;="&amp;$A143,実績!$AD$6:$AD$505,"&gt;"&amp;$A143,実績!$AE$6:$AE$505,"○")&gt;0,1,0))</f>
        <v/>
      </c>
      <c r="BU143">
        <f>IF(BU$4=0,0,IF(COUNTIFS(実績!$W$6:$W$505,BU$3,実績!$AC$6:$AC$505,"&lt;="&amp;$A143,実績!$AD$6:$AD$505,"&gt;"&amp;$A143,実績!$AE$6:$AE$505,"○")&gt;0,1,0))</f>
        <v/>
      </c>
      <c r="BV143">
        <f>IF(BV$4=0,0,IF(COUNTIFS(実績!$W$6:$W$505,BV$3,実績!$AC$6:$AC$505,"&lt;="&amp;$A143,実績!$AD$6:$AD$505,"&gt;"&amp;$A143,実績!$AE$6:$AE$505,"○")&gt;0,1,0))</f>
        <v/>
      </c>
      <c r="BW143">
        <f>IF(BW$4=0,0,IF(COUNTIFS(実績!$W$6:$W$505,BW$3,実績!$AC$6:$AC$505,"&lt;="&amp;$A143,実績!$AD$6:$AD$505,"&gt;"&amp;$A143,実績!$AE$6:$AE$505,"○")&gt;0,1,0))</f>
        <v/>
      </c>
      <c r="BX143">
        <f>IF(BX$4=0,0,IF(COUNTIFS(実績!$W$6:$W$505,BX$3,実績!$AC$6:$AC$505,"&lt;="&amp;$A143,実績!$AD$6:$AD$505,"&gt;"&amp;$A143,実績!$AE$6:$AE$505,"○")&gt;0,1,0))</f>
        <v/>
      </c>
      <c r="BY143">
        <f>IF(BY$4=0,0,IF(COUNTIFS(実績!$W$6:$W$505,BY$3,実績!$AC$6:$AC$505,"&lt;="&amp;$A143,実績!$AD$6:$AD$505,"&gt;"&amp;$A143,実績!$AE$6:$AE$505,"○")&gt;0,1,0))</f>
        <v/>
      </c>
      <c r="BZ143">
        <f>IF(BZ$4=0,0,IF(COUNTIFS(実績!$W$6:$W$505,BZ$3,実績!$AC$6:$AC$505,"&lt;="&amp;$A143,実績!$AD$6:$AD$505,"&gt;"&amp;$A143,実績!$AE$6:$AE$505,"○")&gt;0,1,0))</f>
        <v/>
      </c>
      <c r="CA143">
        <f>IF(CA$4=0,0,IF(COUNTIFS(実績!$W$6:$W$505,CA$3,実績!$AC$6:$AC$505,"&lt;="&amp;$A143,実績!$AD$6:$AD$505,"&gt;"&amp;$A143,実績!$AE$6:$AE$505,"○")&gt;0,1,0))</f>
        <v/>
      </c>
      <c r="CB143">
        <f>IF(CB$4=0,0,IF(COUNTIFS(実績!$W$6:$W$505,CB$3,実績!$AC$6:$AC$505,"&lt;="&amp;$A143,実績!$AD$6:$AD$505,"&gt;"&amp;$A143,実績!$AE$6:$AE$505,"○")&gt;0,1,0))</f>
        <v/>
      </c>
      <c r="CC143">
        <f>IF(CC$4=0,0,IF(COUNTIFS(実績!$W$6:$W$505,CC$3,実績!$AC$6:$AC$505,"&lt;="&amp;$A143,実績!$AD$6:$AD$505,"&gt;"&amp;$A143,実績!$AE$6:$AE$505,"○")&gt;0,1,0))</f>
        <v/>
      </c>
      <c r="CD143">
        <f>IF(CD$4=0,0,IF(COUNTIFS(実績!$W$6:$W$505,CD$3,実績!$AC$6:$AC$505,"&lt;="&amp;$A143,実績!$AD$6:$AD$505,"&gt;"&amp;$A143,実績!$AE$6:$AE$505,"○")&gt;0,1,0))</f>
        <v/>
      </c>
      <c r="CE143">
        <f>IF(CE$4=0,0,IF(COUNTIFS(実績!$W$6:$W$505,CE$3,実績!$AC$6:$AC$505,"&lt;="&amp;$A143,実績!$AD$6:$AD$505,"&gt;"&amp;$A143,実績!$AE$6:$AE$505,"○")&gt;0,1,0))</f>
        <v/>
      </c>
      <c r="CF143">
        <f>IF(CF$4=0,0,IF(COUNTIFS(実績!$W$6:$W$505,CF$3,実績!$AC$6:$AC$505,"&lt;="&amp;$A143,実績!$AD$6:$AD$505,"&gt;"&amp;$A143,実績!$AE$6:$AE$505,"○")&gt;0,1,0))</f>
        <v/>
      </c>
      <c r="CG143">
        <f>IF(CG$4=0,0,IF(COUNTIFS(実績!$W$6:$W$505,CG$3,実績!$AC$6:$AC$505,"&lt;="&amp;$A143,実績!$AD$6:$AD$505,"&gt;"&amp;$A143,実績!$AE$6:$AE$505,"○")&gt;0,1,0))</f>
        <v/>
      </c>
      <c r="CH143">
        <f>IF(CH$4=0,0,IF(COUNTIFS(実績!$W$6:$W$505,CH$3,実績!$AC$6:$AC$505,"&lt;="&amp;$A143,実績!$AD$6:$AD$505,"&gt;"&amp;$A143,実績!$AE$6:$AE$505,"○")&gt;0,1,0))</f>
        <v/>
      </c>
      <c r="CI143">
        <f>IF(CI$4=0,0,IF(COUNTIFS(実績!$W$6:$W$505,CI$3,実績!$AC$6:$AC$505,"&lt;="&amp;$A143,実績!$AD$6:$AD$505,"&gt;"&amp;$A143,実績!$AE$6:$AE$505,"○")&gt;0,1,0))</f>
        <v/>
      </c>
      <c r="CJ143">
        <f>IF(CJ$4=0,0,IF(COUNTIFS(実績!$W$6:$W$505,CJ$3,実績!$AC$6:$AC$505,"&lt;="&amp;$A143,実績!$AD$6:$AD$505,"&gt;"&amp;$A143,実績!$AE$6:$AE$505,"○")&gt;0,1,0))</f>
        <v/>
      </c>
      <c r="CK143">
        <f>IF(CK$4=0,0,IF(COUNTIFS(実績!$W$6:$W$505,CK$3,実績!$AC$6:$AC$505,"&lt;="&amp;$A143,実績!$AD$6:$AD$505,"&gt;"&amp;$A143,実績!$AE$6:$AE$505,"○")&gt;0,1,0))</f>
        <v/>
      </c>
      <c r="CL143">
        <f>IF(CL$4=0,0,IF(COUNTIFS(実績!$W$6:$W$505,CL$3,実績!$AC$6:$AC$505,"&lt;="&amp;$A143,実績!$AD$6:$AD$505,"&gt;"&amp;$A143,実績!$AE$6:$AE$505,"○")&gt;0,1,0))</f>
        <v/>
      </c>
      <c r="CM143">
        <f>IF(CM$4=0,0,IF(COUNTIFS(実績!$W$6:$W$505,CM$3,実績!$AC$6:$AC$505,"&lt;="&amp;$A143,実績!$AD$6:$AD$505,"&gt;"&amp;$A143,実績!$AE$6:$AE$505,"○")&gt;0,1,0))</f>
        <v/>
      </c>
      <c r="CN143">
        <f>IF(CN$4=0,0,IF(COUNTIFS(実績!$W$6:$W$505,CN$3,実績!$AC$6:$AC$505,"&lt;="&amp;$A143,実績!$AD$6:$AD$505,"&gt;"&amp;$A143,実績!$AE$6:$AE$505,"○")&gt;0,1,0))</f>
        <v/>
      </c>
      <c r="CO143">
        <f>IF(CO$4=0,0,IF(COUNTIFS(実績!$W$6:$W$505,CO$3,実績!$AC$6:$AC$505,"&lt;="&amp;$A143,実績!$AD$6:$AD$505,"&gt;"&amp;$A143,実績!$AE$6:$AE$505,"○")&gt;0,1,0))</f>
        <v/>
      </c>
      <c r="CP143">
        <f>IF(CP$4=0,0,IF(COUNTIFS(実績!$W$6:$W$505,CP$3,実績!$AC$6:$AC$505,"&lt;="&amp;$A143,実績!$AD$6:$AD$505,"&gt;"&amp;$A143,実績!$AE$6:$AE$505,"○")&gt;0,1,0))</f>
        <v/>
      </c>
      <c r="CQ143">
        <f>IF(CQ$4=0,0,IF(COUNTIFS(実績!$W$6:$W$505,CQ$3,実績!$AC$6:$AC$505,"&lt;="&amp;$A143,実績!$AD$6:$AD$505,"&gt;"&amp;$A143,実績!$AE$6:$AE$505,"○")&gt;0,1,0))</f>
        <v/>
      </c>
      <c r="CR143">
        <f>IF(CR$4=0,0,IF(COUNTIFS(実績!$W$6:$W$505,CR$3,実績!$AC$6:$AC$505,"&lt;="&amp;$A143,実績!$AD$6:$AD$505,"&gt;"&amp;$A143,実績!$AE$6:$AE$505,"○")&gt;0,1,0))</f>
        <v/>
      </c>
      <c r="CS143">
        <f>IF(CS$4=0,0,IF(COUNTIFS(実績!$W$6:$W$505,CS$3,実績!$AC$6:$AC$505,"&lt;="&amp;$A143,実績!$AD$6:$AD$505,"&gt;"&amp;$A143,実績!$AE$6:$AE$505,"○")&gt;0,1,0))</f>
        <v/>
      </c>
      <c r="CT143">
        <f>IF(CT$4=0,0,IF(COUNTIFS(実績!$W$6:$W$505,CT$3,実績!$AC$6:$AC$505,"&lt;="&amp;$A143,実績!$AD$6:$AD$505,"&gt;"&amp;$A143,実績!$AE$6:$AE$505,"○")&gt;0,1,0))</f>
        <v/>
      </c>
      <c r="CU143">
        <f>IF(CU$4=0,0,IF(COUNTIFS(実績!$W$6:$W$505,CU$3,実績!$AC$6:$AC$505,"&lt;="&amp;$A143,実績!$AD$6:$AD$505,"&gt;"&amp;$A143,実績!$AE$6:$AE$505,"○")&gt;0,1,0))</f>
        <v/>
      </c>
      <c r="CV143">
        <f>IF(CV$4=0,0,IF(COUNTIFS(実績!$W$6:$W$505,CV$3,実績!$AC$6:$AC$505,"&lt;="&amp;$A143,実績!$AD$6:$AD$505,"&gt;"&amp;$A143,実績!$AE$6:$AE$505,"○")&gt;0,1,0))</f>
        <v/>
      </c>
      <c r="CW143">
        <f>IF(CW$4=0,0,IF(COUNTIFS(実績!$W$6:$W$505,CW$3,実績!$AC$6:$AC$505,"&lt;="&amp;$A143,実績!$AD$6:$AD$505,"&gt;"&amp;$A143,実績!$AE$6:$AE$505,"○")&gt;0,1,0))</f>
        <v/>
      </c>
      <c r="CX143">
        <f>IF(CX$4=0,0,IF(COUNTIFS(実績!$W$6:$W$505,CX$3,実績!$AC$6:$AC$505,"&lt;="&amp;$A143,実績!$AD$6:$AD$505,"&gt;"&amp;$A143,実績!$AE$6:$AE$505,"○")&gt;0,1,0))</f>
        <v/>
      </c>
      <c r="CY143">
        <f>IF(CY$4=0,0,IF(COUNTIFS(実績!$W$6:$W$505,CY$3,実績!$AC$6:$AC$505,"&lt;="&amp;$A143,実績!$AD$6:$AD$505,"&gt;"&amp;$A143,実績!$AE$6:$AE$505,"○")&gt;0,1,0))</f>
        <v/>
      </c>
      <c r="CZ143">
        <f>IF(CZ$4=0,0,IF(COUNTIFS(実績!$W$6:$W$505,CZ$3,実績!$AC$6:$AC$505,"&lt;="&amp;$A143,実績!$AD$6:$AD$505,"&gt;"&amp;$A143,実績!$AE$6:$AE$505,"○")&gt;0,1,0))</f>
        <v/>
      </c>
      <c r="DA143">
        <f>IF(DA$4=0,0,IF(COUNTIFS(実績!$W$6:$W$505,DA$3,実績!$AC$6:$AC$505,"&lt;="&amp;$A143,実績!$AD$6:$AD$505,"&gt;"&amp;$A143,実績!$AE$6:$AE$505,"○")&gt;0,1,0))</f>
        <v/>
      </c>
      <c r="DB143">
        <f>IF(DB$4=0,0,IF(COUNTIFS(実績!$W$6:$W$505,DB$3,実績!$AC$6:$AC$505,"&lt;="&amp;$A143,実績!$AD$6:$AD$505,"&gt;"&amp;$A143,実績!$AE$6:$AE$505,"○")&gt;0,1,0))</f>
        <v/>
      </c>
      <c r="DC143">
        <f>IF(DC$4=0,0,IF(COUNTIFS(実績!$W$6:$W$505,DC$3,実績!$AC$6:$AC$505,"&lt;="&amp;$A143,実績!$AD$6:$AD$505,"&gt;"&amp;$A143,実績!$AE$6:$AE$505,"○")&gt;0,1,0))</f>
        <v/>
      </c>
      <c r="DD143">
        <f>IF(DD$4=0,0,IF(COUNTIFS(実績!$W$6:$W$505,DD$3,実績!$AC$6:$AC$505,"&lt;="&amp;$A143,実績!$AD$6:$AD$505,"&gt;"&amp;$A143,実績!$AE$6:$AE$505,"○")&gt;0,1,0))</f>
        <v/>
      </c>
      <c r="DE143">
        <f>IF(DE$4=0,0,IF(COUNTIFS(実績!$W$6:$W$505,DE$3,実績!$AC$6:$AC$505,"&lt;="&amp;$A143,実績!$AD$6:$AD$505,"&gt;"&amp;$A143,実績!$AE$6:$AE$505,"○")&gt;0,1,0))</f>
        <v/>
      </c>
      <c r="DF143">
        <f>IF(DF$4=0,0,IF(COUNTIFS(実績!$W$6:$W$505,DF$3,実績!$AC$6:$AC$505,"&lt;="&amp;$A143,実績!$AD$6:$AD$505,"&gt;"&amp;$A143,実績!$AE$6:$AE$505,"○")&gt;0,1,0))</f>
        <v/>
      </c>
      <c r="DG143">
        <f>IF(DG$4=0,0,IF(COUNTIFS(実績!$W$6:$W$505,DG$3,実績!$AC$6:$AC$505,"&lt;="&amp;$A143,実績!$AD$6:$AD$505,"&gt;"&amp;$A143,実績!$AE$6:$AE$505,"○")&gt;0,1,0))</f>
        <v/>
      </c>
      <c r="DH143">
        <f>IF(DH$4=0,0,IF(COUNTIFS(実績!$W$6:$W$505,DH$3,実績!$AC$6:$AC$505,"&lt;="&amp;$A143,実績!$AD$6:$AD$505,"&gt;"&amp;$A143,実績!$AE$6:$AE$505,"○")&gt;0,1,0))</f>
        <v/>
      </c>
      <c r="DI143">
        <f>IF(DI$4=0,0,IF(COUNTIFS(実績!$W$6:$W$505,DI$3,実績!$AC$6:$AC$505,"&lt;="&amp;$A143,実績!$AD$6:$AD$505,"&gt;"&amp;$A143,実績!$AE$6:$AE$505,"○")&gt;0,1,0))</f>
        <v/>
      </c>
      <c r="DJ143">
        <f>IF(DJ$4=0,0,IF(COUNTIFS(実績!$W$6:$W$505,DJ$3,実績!$AC$6:$AC$505,"&lt;="&amp;$A143,実績!$AD$6:$AD$505,"&gt;"&amp;$A143,実績!$AE$6:$AE$505,"○")&gt;0,1,0))</f>
        <v/>
      </c>
      <c r="DK143">
        <f>IF(DK$4=0,0,IF(COUNTIFS(実績!$W$6:$W$505,DK$3,実績!$AC$6:$AC$505,"&lt;="&amp;$A143,実績!$AD$6:$AD$505,"&gt;"&amp;$A143,実績!$AE$6:$AE$505,"○")&gt;0,1,0))</f>
        <v/>
      </c>
      <c r="DL143">
        <f>IF(DL$4=0,0,IF(COUNTIFS(実績!$W$6:$W$505,DL$3,実績!$AC$6:$AC$505,"&lt;="&amp;$A143,実績!$AD$6:$AD$505,"&gt;"&amp;$A143,実績!$AE$6:$AE$505,"○")&gt;0,1,0))</f>
        <v/>
      </c>
      <c r="DM143">
        <f>IF(DM$4=0,0,IF(COUNTIFS(実績!$W$6:$W$505,DM$3,実績!$AC$6:$AC$505,"&lt;="&amp;$A143,実績!$AD$6:$AD$505,"&gt;"&amp;$A143,実績!$AE$6:$AE$505,"○")&gt;0,1,0))</f>
        <v/>
      </c>
      <c r="DN143">
        <f>IF(DN$4=0,0,IF(COUNTIFS(実績!$W$6:$W$505,DN$3,実績!$AC$6:$AC$505,"&lt;="&amp;$A143,実績!$AD$6:$AD$505,"&gt;"&amp;$A143,実績!$AE$6:$AE$505,"○")&gt;0,1,0))</f>
        <v/>
      </c>
      <c r="DO143">
        <f>IF(DO$4=0,0,IF(COUNTIFS(実績!$W$6:$W$505,DO$3,実績!$AC$6:$AC$505,"&lt;="&amp;$A143,実績!$AD$6:$AD$505,"&gt;"&amp;$A143,実績!$AE$6:$AE$505,"○")&gt;0,1,0))</f>
        <v/>
      </c>
      <c r="DP143">
        <f>IF(DP$4=0,0,IF(COUNTIFS(実績!$W$6:$W$505,DP$3,実績!$AC$6:$AC$505,"&lt;="&amp;$A143,実績!$AD$6:$AD$505,"&gt;"&amp;$A143,実績!$AE$6:$AE$505,"○")&gt;0,1,0))</f>
        <v/>
      </c>
      <c r="DQ143">
        <f>IF(DQ$4=0,0,IF(COUNTIFS(実績!$W$6:$W$505,DQ$3,実績!$AC$6:$AC$505,"&lt;="&amp;$A143,実績!$AD$6:$AD$505,"&gt;"&amp;$A143,実績!$AE$6:$AE$505,"○")&gt;0,1,0))</f>
        <v/>
      </c>
      <c r="DR143">
        <f>IF(DR$4=0,0,IF(COUNTIFS(実績!$W$6:$W$505,DR$3,実績!$AC$6:$AC$505,"&lt;="&amp;$A143,実績!$AD$6:$AD$505,"&gt;"&amp;$A143,実績!$AE$6:$AE$505,"○")&gt;0,1,0))</f>
        <v/>
      </c>
      <c r="DS143">
        <f>SUM(C143:DR143)</f>
        <v/>
      </c>
      <c r="DT143">
        <f>SUMPRODUCT((実績!$C$6:$C$505="○")*ISNUMBER(実績!$AF$6:$AF$505)*(実績!$AF$6:$AF$505&lt;=$A143)*(実績!$AG$6:$AG$505&gt;$A143))</f>
        <v/>
      </c>
      <c r="DU143">
        <f>SUMIF($C$2:$DR$2,"製鉄曳船",C143:DR143)</f>
        <v/>
      </c>
      <c r="DV143">
        <f>SUMIF($C$2:$DR$2,"西日本海運",C143:DR143)</f>
        <v/>
      </c>
    </row>
    <row r="144">
      <c r="A144" t="n">
        <v>690</v>
      </c>
      <c r="B144" s="29">
        <f>A144/1440</f>
        <v/>
      </c>
      <c r="C144">
        <f>IF(C$4=0,0,IF(COUNTIFS(実績!$W$6:$W$505,C$3,実績!$AC$6:$AC$505,"&lt;="&amp;$A144,実績!$AD$6:$AD$505,"&gt;"&amp;$A144,実績!$AE$6:$AE$505,"○")&gt;0,1,0))</f>
        <v/>
      </c>
      <c r="D144">
        <f>IF(D$4=0,0,IF(COUNTIFS(実績!$W$6:$W$505,D$3,実績!$AC$6:$AC$505,"&lt;="&amp;$A144,実績!$AD$6:$AD$505,"&gt;"&amp;$A144,実績!$AE$6:$AE$505,"○")&gt;0,1,0))</f>
        <v/>
      </c>
      <c r="E144">
        <f>IF(E$4=0,0,IF(COUNTIFS(実績!$W$6:$W$505,E$3,実績!$AC$6:$AC$505,"&lt;="&amp;$A144,実績!$AD$6:$AD$505,"&gt;"&amp;$A144,実績!$AE$6:$AE$505,"○")&gt;0,1,0))</f>
        <v/>
      </c>
      <c r="F144">
        <f>IF(F$4=0,0,IF(COUNTIFS(実績!$W$6:$W$505,F$3,実績!$AC$6:$AC$505,"&lt;="&amp;$A144,実績!$AD$6:$AD$505,"&gt;"&amp;$A144,実績!$AE$6:$AE$505,"○")&gt;0,1,0))</f>
        <v/>
      </c>
      <c r="G144">
        <f>IF(G$4=0,0,IF(COUNTIFS(実績!$W$6:$W$505,G$3,実績!$AC$6:$AC$505,"&lt;="&amp;$A144,実績!$AD$6:$AD$505,"&gt;"&amp;$A144,実績!$AE$6:$AE$505,"○")&gt;0,1,0))</f>
        <v/>
      </c>
      <c r="H144">
        <f>IF(H$4=0,0,IF(COUNTIFS(実績!$W$6:$W$505,H$3,実績!$AC$6:$AC$505,"&lt;="&amp;$A144,実績!$AD$6:$AD$505,"&gt;"&amp;$A144,実績!$AE$6:$AE$505,"○")&gt;0,1,0))</f>
        <v/>
      </c>
      <c r="I144">
        <f>IF(I$4=0,0,IF(COUNTIFS(実績!$W$6:$W$505,I$3,実績!$AC$6:$AC$505,"&lt;="&amp;$A144,実績!$AD$6:$AD$505,"&gt;"&amp;$A144,実績!$AE$6:$AE$505,"○")&gt;0,1,0))</f>
        <v/>
      </c>
      <c r="J144">
        <f>IF(J$4=0,0,IF(COUNTIFS(実績!$W$6:$W$505,J$3,実績!$AC$6:$AC$505,"&lt;="&amp;$A144,実績!$AD$6:$AD$505,"&gt;"&amp;$A144,実績!$AE$6:$AE$505,"○")&gt;0,1,0))</f>
        <v/>
      </c>
      <c r="K144">
        <f>IF(K$4=0,0,IF(COUNTIFS(実績!$W$6:$W$505,K$3,実績!$AC$6:$AC$505,"&lt;="&amp;$A144,実績!$AD$6:$AD$505,"&gt;"&amp;$A144,実績!$AE$6:$AE$505,"○")&gt;0,1,0))</f>
        <v/>
      </c>
      <c r="L144">
        <f>IF(L$4=0,0,IF(COUNTIFS(実績!$W$6:$W$505,L$3,実績!$AC$6:$AC$505,"&lt;="&amp;$A144,実績!$AD$6:$AD$505,"&gt;"&amp;$A144,実績!$AE$6:$AE$505,"○")&gt;0,1,0))</f>
        <v/>
      </c>
      <c r="M144">
        <f>IF(M$4=0,0,IF(COUNTIFS(実績!$W$6:$W$505,M$3,実績!$AC$6:$AC$505,"&lt;="&amp;$A144,実績!$AD$6:$AD$505,"&gt;"&amp;$A144,実績!$AE$6:$AE$505,"○")&gt;0,1,0))</f>
        <v/>
      </c>
      <c r="N144">
        <f>IF(N$4=0,0,IF(COUNTIFS(実績!$W$6:$W$505,N$3,実績!$AC$6:$AC$505,"&lt;="&amp;$A144,実績!$AD$6:$AD$505,"&gt;"&amp;$A144,実績!$AE$6:$AE$505,"○")&gt;0,1,0))</f>
        <v/>
      </c>
      <c r="O144">
        <f>IF(O$4=0,0,IF(COUNTIFS(実績!$W$6:$W$505,O$3,実績!$AC$6:$AC$505,"&lt;="&amp;$A144,実績!$AD$6:$AD$505,"&gt;"&amp;$A144,実績!$AE$6:$AE$505,"○")&gt;0,1,0))</f>
        <v/>
      </c>
      <c r="P144">
        <f>IF(P$4=0,0,IF(COUNTIFS(実績!$W$6:$W$505,P$3,実績!$AC$6:$AC$505,"&lt;="&amp;$A144,実績!$AD$6:$AD$505,"&gt;"&amp;$A144,実績!$AE$6:$AE$505,"○")&gt;0,1,0))</f>
        <v/>
      </c>
      <c r="Q144">
        <f>IF(Q$4=0,0,IF(COUNTIFS(実績!$W$6:$W$505,Q$3,実績!$AC$6:$AC$505,"&lt;="&amp;$A144,実績!$AD$6:$AD$505,"&gt;"&amp;$A144,実績!$AE$6:$AE$505,"○")&gt;0,1,0))</f>
        <v/>
      </c>
      <c r="R144">
        <f>IF(R$4=0,0,IF(COUNTIFS(実績!$W$6:$W$505,R$3,実績!$AC$6:$AC$505,"&lt;="&amp;$A144,実績!$AD$6:$AD$505,"&gt;"&amp;$A144,実績!$AE$6:$AE$505,"○")&gt;0,1,0))</f>
        <v/>
      </c>
      <c r="S144">
        <f>IF(S$4=0,0,IF(COUNTIFS(実績!$W$6:$W$505,S$3,実績!$AC$6:$AC$505,"&lt;="&amp;$A144,実績!$AD$6:$AD$505,"&gt;"&amp;$A144,実績!$AE$6:$AE$505,"○")&gt;0,1,0))</f>
        <v/>
      </c>
      <c r="T144">
        <f>IF(T$4=0,0,IF(COUNTIFS(実績!$W$6:$W$505,T$3,実績!$AC$6:$AC$505,"&lt;="&amp;$A144,実績!$AD$6:$AD$505,"&gt;"&amp;$A144,実績!$AE$6:$AE$505,"○")&gt;0,1,0))</f>
        <v/>
      </c>
      <c r="U144">
        <f>IF(U$4=0,0,IF(COUNTIFS(実績!$W$6:$W$505,U$3,実績!$AC$6:$AC$505,"&lt;="&amp;$A144,実績!$AD$6:$AD$505,"&gt;"&amp;$A144,実績!$AE$6:$AE$505,"○")&gt;0,1,0))</f>
        <v/>
      </c>
      <c r="V144">
        <f>IF(V$4=0,0,IF(COUNTIFS(実績!$W$6:$W$505,V$3,実績!$AC$6:$AC$505,"&lt;="&amp;$A144,実績!$AD$6:$AD$505,"&gt;"&amp;$A144,実績!$AE$6:$AE$505,"○")&gt;0,1,0))</f>
        <v/>
      </c>
      <c r="W144">
        <f>IF(W$4=0,0,IF(COUNTIFS(実績!$W$6:$W$505,W$3,実績!$AC$6:$AC$505,"&lt;="&amp;$A144,実績!$AD$6:$AD$505,"&gt;"&amp;$A144,実績!$AE$6:$AE$505,"○")&gt;0,1,0))</f>
        <v/>
      </c>
      <c r="X144">
        <f>IF(X$4=0,0,IF(COUNTIFS(実績!$W$6:$W$505,X$3,実績!$AC$6:$AC$505,"&lt;="&amp;$A144,実績!$AD$6:$AD$505,"&gt;"&amp;$A144,実績!$AE$6:$AE$505,"○")&gt;0,1,0))</f>
        <v/>
      </c>
      <c r="Y144">
        <f>IF(Y$4=0,0,IF(COUNTIFS(実績!$W$6:$W$505,Y$3,実績!$AC$6:$AC$505,"&lt;="&amp;$A144,実績!$AD$6:$AD$505,"&gt;"&amp;$A144,実績!$AE$6:$AE$505,"○")&gt;0,1,0))</f>
        <v/>
      </c>
      <c r="Z144">
        <f>IF(Z$4=0,0,IF(COUNTIFS(実績!$W$6:$W$505,Z$3,実績!$AC$6:$AC$505,"&lt;="&amp;$A144,実績!$AD$6:$AD$505,"&gt;"&amp;$A144,実績!$AE$6:$AE$505,"○")&gt;0,1,0))</f>
        <v/>
      </c>
      <c r="AA144">
        <f>IF(AA$4=0,0,IF(COUNTIFS(実績!$W$6:$W$505,AA$3,実績!$AC$6:$AC$505,"&lt;="&amp;$A144,実績!$AD$6:$AD$505,"&gt;"&amp;$A144,実績!$AE$6:$AE$505,"○")&gt;0,1,0))</f>
        <v/>
      </c>
      <c r="AB144">
        <f>IF(AB$4=0,0,IF(COUNTIFS(実績!$W$6:$W$505,AB$3,実績!$AC$6:$AC$505,"&lt;="&amp;$A144,実績!$AD$6:$AD$505,"&gt;"&amp;$A144,実績!$AE$6:$AE$505,"○")&gt;0,1,0))</f>
        <v/>
      </c>
      <c r="AC144">
        <f>IF(AC$4=0,0,IF(COUNTIFS(実績!$W$6:$W$505,AC$3,実績!$AC$6:$AC$505,"&lt;="&amp;$A144,実績!$AD$6:$AD$505,"&gt;"&amp;$A144,実績!$AE$6:$AE$505,"○")&gt;0,1,0))</f>
        <v/>
      </c>
      <c r="AD144">
        <f>IF(AD$4=0,0,IF(COUNTIFS(実績!$W$6:$W$505,AD$3,実績!$AC$6:$AC$505,"&lt;="&amp;$A144,実績!$AD$6:$AD$505,"&gt;"&amp;$A144,実績!$AE$6:$AE$505,"○")&gt;0,1,0))</f>
        <v/>
      </c>
      <c r="AE144">
        <f>IF(AE$4=0,0,IF(COUNTIFS(実績!$W$6:$W$505,AE$3,実績!$AC$6:$AC$505,"&lt;="&amp;$A144,実績!$AD$6:$AD$505,"&gt;"&amp;$A144,実績!$AE$6:$AE$505,"○")&gt;0,1,0))</f>
        <v/>
      </c>
      <c r="AF144">
        <f>IF(AF$4=0,0,IF(COUNTIFS(実績!$W$6:$W$505,AF$3,実績!$AC$6:$AC$505,"&lt;="&amp;$A144,実績!$AD$6:$AD$505,"&gt;"&amp;$A144,実績!$AE$6:$AE$505,"○")&gt;0,1,0))</f>
        <v/>
      </c>
      <c r="AG144">
        <f>IF(AG$4=0,0,IF(COUNTIFS(実績!$W$6:$W$505,AG$3,実績!$AC$6:$AC$505,"&lt;="&amp;$A144,実績!$AD$6:$AD$505,"&gt;"&amp;$A144,実績!$AE$6:$AE$505,"○")&gt;0,1,0))</f>
        <v/>
      </c>
      <c r="AH144">
        <f>IF(AH$4=0,0,IF(COUNTIFS(実績!$W$6:$W$505,AH$3,実績!$AC$6:$AC$505,"&lt;="&amp;$A144,実績!$AD$6:$AD$505,"&gt;"&amp;$A144,実績!$AE$6:$AE$505,"○")&gt;0,1,0))</f>
        <v/>
      </c>
      <c r="AI144">
        <f>IF(AI$4=0,0,IF(COUNTIFS(実績!$W$6:$W$505,AI$3,実績!$AC$6:$AC$505,"&lt;="&amp;$A144,実績!$AD$6:$AD$505,"&gt;"&amp;$A144,実績!$AE$6:$AE$505,"○")&gt;0,1,0))</f>
        <v/>
      </c>
      <c r="AJ144">
        <f>IF(AJ$4=0,0,IF(COUNTIFS(実績!$W$6:$W$505,AJ$3,実績!$AC$6:$AC$505,"&lt;="&amp;$A144,実績!$AD$6:$AD$505,"&gt;"&amp;$A144,実績!$AE$6:$AE$505,"○")&gt;0,1,0))</f>
        <v/>
      </c>
      <c r="AK144">
        <f>IF(AK$4=0,0,IF(COUNTIFS(実績!$W$6:$W$505,AK$3,実績!$AC$6:$AC$505,"&lt;="&amp;$A144,実績!$AD$6:$AD$505,"&gt;"&amp;$A144,実績!$AE$6:$AE$505,"○")&gt;0,1,0))</f>
        <v/>
      </c>
      <c r="AL144">
        <f>IF(AL$4=0,0,IF(COUNTIFS(実績!$W$6:$W$505,AL$3,実績!$AC$6:$AC$505,"&lt;="&amp;$A144,実績!$AD$6:$AD$505,"&gt;"&amp;$A144,実績!$AE$6:$AE$505,"○")&gt;0,1,0))</f>
        <v/>
      </c>
      <c r="AM144">
        <f>IF(AM$4=0,0,IF(COUNTIFS(実績!$W$6:$W$505,AM$3,実績!$AC$6:$AC$505,"&lt;="&amp;$A144,実績!$AD$6:$AD$505,"&gt;"&amp;$A144,実績!$AE$6:$AE$505,"○")&gt;0,1,0))</f>
        <v/>
      </c>
      <c r="AN144">
        <f>IF(AN$4=0,0,IF(COUNTIFS(実績!$W$6:$W$505,AN$3,実績!$AC$6:$AC$505,"&lt;="&amp;$A144,実績!$AD$6:$AD$505,"&gt;"&amp;$A144,実績!$AE$6:$AE$505,"○")&gt;0,1,0))</f>
        <v/>
      </c>
      <c r="AO144">
        <f>IF(AO$4=0,0,IF(COUNTIFS(実績!$W$6:$W$505,AO$3,実績!$AC$6:$AC$505,"&lt;="&amp;$A144,実績!$AD$6:$AD$505,"&gt;"&amp;$A144,実績!$AE$6:$AE$505,"○")&gt;0,1,0))</f>
        <v/>
      </c>
      <c r="AP144">
        <f>IF(AP$4=0,0,IF(COUNTIFS(実績!$W$6:$W$505,AP$3,実績!$AC$6:$AC$505,"&lt;="&amp;$A144,実績!$AD$6:$AD$505,"&gt;"&amp;$A144,実績!$AE$6:$AE$505,"○")&gt;0,1,0))</f>
        <v/>
      </c>
      <c r="AQ144">
        <f>IF(AQ$4=0,0,IF(COUNTIFS(実績!$W$6:$W$505,AQ$3,実績!$AC$6:$AC$505,"&lt;="&amp;$A144,実績!$AD$6:$AD$505,"&gt;"&amp;$A144,実績!$AE$6:$AE$505,"○")&gt;0,1,0))</f>
        <v/>
      </c>
      <c r="AR144">
        <f>IF(AR$4=0,0,IF(COUNTIFS(実績!$W$6:$W$505,AR$3,実績!$AC$6:$AC$505,"&lt;="&amp;$A144,実績!$AD$6:$AD$505,"&gt;"&amp;$A144,実績!$AE$6:$AE$505,"○")&gt;0,1,0))</f>
        <v/>
      </c>
      <c r="AS144">
        <f>IF(AS$4=0,0,IF(COUNTIFS(実績!$W$6:$W$505,AS$3,実績!$AC$6:$AC$505,"&lt;="&amp;$A144,実績!$AD$6:$AD$505,"&gt;"&amp;$A144,実績!$AE$6:$AE$505,"○")&gt;0,1,0))</f>
        <v/>
      </c>
      <c r="AT144">
        <f>IF(AT$4=0,0,IF(COUNTIFS(実績!$W$6:$W$505,AT$3,実績!$AC$6:$AC$505,"&lt;="&amp;$A144,実績!$AD$6:$AD$505,"&gt;"&amp;$A144,実績!$AE$6:$AE$505,"○")&gt;0,1,0))</f>
        <v/>
      </c>
      <c r="AU144">
        <f>IF(AU$4=0,0,IF(COUNTIFS(実績!$W$6:$W$505,AU$3,実績!$AC$6:$AC$505,"&lt;="&amp;$A144,実績!$AD$6:$AD$505,"&gt;"&amp;$A144,実績!$AE$6:$AE$505,"○")&gt;0,1,0))</f>
        <v/>
      </c>
      <c r="AV144">
        <f>IF(AV$4=0,0,IF(COUNTIFS(実績!$W$6:$W$505,AV$3,実績!$AC$6:$AC$505,"&lt;="&amp;$A144,実績!$AD$6:$AD$505,"&gt;"&amp;$A144,実績!$AE$6:$AE$505,"○")&gt;0,1,0))</f>
        <v/>
      </c>
      <c r="AW144">
        <f>IF(AW$4=0,0,IF(COUNTIFS(実績!$W$6:$W$505,AW$3,実績!$AC$6:$AC$505,"&lt;="&amp;$A144,実績!$AD$6:$AD$505,"&gt;"&amp;$A144,実績!$AE$6:$AE$505,"○")&gt;0,1,0))</f>
        <v/>
      </c>
      <c r="AX144">
        <f>IF(AX$4=0,0,IF(COUNTIFS(実績!$W$6:$W$505,AX$3,実績!$AC$6:$AC$505,"&lt;="&amp;$A144,実績!$AD$6:$AD$505,"&gt;"&amp;$A144,実績!$AE$6:$AE$505,"○")&gt;0,1,0))</f>
        <v/>
      </c>
      <c r="AY144">
        <f>IF(AY$4=0,0,IF(COUNTIFS(実績!$W$6:$W$505,AY$3,実績!$AC$6:$AC$505,"&lt;="&amp;$A144,実績!$AD$6:$AD$505,"&gt;"&amp;$A144,実績!$AE$6:$AE$505,"○")&gt;0,1,0))</f>
        <v/>
      </c>
      <c r="AZ144">
        <f>IF(AZ$4=0,0,IF(COUNTIFS(実績!$W$6:$W$505,AZ$3,実績!$AC$6:$AC$505,"&lt;="&amp;$A144,実績!$AD$6:$AD$505,"&gt;"&amp;$A144,実績!$AE$6:$AE$505,"○")&gt;0,1,0))</f>
        <v/>
      </c>
      <c r="BA144">
        <f>IF(BA$4=0,0,IF(COUNTIFS(実績!$W$6:$W$505,BA$3,実績!$AC$6:$AC$505,"&lt;="&amp;$A144,実績!$AD$6:$AD$505,"&gt;"&amp;$A144,実績!$AE$6:$AE$505,"○")&gt;0,1,0))</f>
        <v/>
      </c>
      <c r="BB144">
        <f>IF(BB$4=0,0,IF(COUNTIFS(実績!$W$6:$W$505,BB$3,実績!$AC$6:$AC$505,"&lt;="&amp;$A144,実績!$AD$6:$AD$505,"&gt;"&amp;$A144,実績!$AE$6:$AE$505,"○")&gt;0,1,0))</f>
        <v/>
      </c>
      <c r="BC144">
        <f>IF(BC$4=0,0,IF(COUNTIFS(実績!$W$6:$W$505,BC$3,実績!$AC$6:$AC$505,"&lt;="&amp;$A144,実績!$AD$6:$AD$505,"&gt;"&amp;$A144,実績!$AE$6:$AE$505,"○")&gt;0,1,0))</f>
        <v/>
      </c>
      <c r="BD144">
        <f>IF(BD$4=0,0,IF(COUNTIFS(実績!$W$6:$W$505,BD$3,実績!$AC$6:$AC$505,"&lt;="&amp;$A144,実績!$AD$6:$AD$505,"&gt;"&amp;$A144,実績!$AE$6:$AE$505,"○")&gt;0,1,0))</f>
        <v/>
      </c>
      <c r="BE144">
        <f>IF(BE$4=0,0,IF(COUNTIFS(実績!$W$6:$W$505,BE$3,実績!$AC$6:$AC$505,"&lt;="&amp;$A144,実績!$AD$6:$AD$505,"&gt;"&amp;$A144,実績!$AE$6:$AE$505,"○")&gt;0,1,0))</f>
        <v/>
      </c>
      <c r="BF144">
        <f>IF(BF$4=0,0,IF(COUNTIFS(実績!$W$6:$W$505,BF$3,実績!$AC$6:$AC$505,"&lt;="&amp;$A144,実績!$AD$6:$AD$505,"&gt;"&amp;$A144,実績!$AE$6:$AE$505,"○")&gt;0,1,0))</f>
        <v/>
      </c>
      <c r="BG144">
        <f>IF(BG$4=0,0,IF(COUNTIFS(実績!$W$6:$W$505,BG$3,実績!$AC$6:$AC$505,"&lt;="&amp;$A144,実績!$AD$6:$AD$505,"&gt;"&amp;$A144,実績!$AE$6:$AE$505,"○")&gt;0,1,0))</f>
        <v/>
      </c>
      <c r="BH144">
        <f>IF(BH$4=0,0,IF(COUNTIFS(実績!$W$6:$W$505,BH$3,実績!$AC$6:$AC$505,"&lt;="&amp;$A144,実績!$AD$6:$AD$505,"&gt;"&amp;$A144,実績!$AE$6:$AE$505,"○")&gt;0,1,0))</f>
        <v/>
      </c>
      <c r="BI144">
        <f>IF(BI$4=0,0,IF(COUNTIFS(実績!$W$6:$W$505,BI$3,実績!$AC$6:$AC$505,"&lt;="&amp;$A144,実績!$AD$6:$AD$505,"&gt;"&amp;$A144,実績!$AE$6:$AE$505,"○")&gt;0,1,0))</f>
        <v/>
      </c>
      <c r="BJ144">
        <f>IF(BJ$4=0,0,IF(COUNTIFS(実績!$W$6:$W$505,BJ$3,実績!$AC$6:$AC$505,"&lt;="&amp;$A144,実績!$AD$6:$AD$505,"&gt;"&amp;$A144,実績!$AE$6:$AE$505,"○")&gt;0,1,0))</f>
        <v/>
      </c>
      <c r="BK144">
        <f>IF(BK$4=0,0,IF(COUNTIFS(実績!$W$6:$W$505,BK$3,実績!$AC$6:$AC$505,"&lt;="&amp;$A144,実績!$AD$6:$AD$505,"&gt;"&amp;$A144,実績!$AE$6:$AE$505,"○")&gt;0,1,0))</f>
        <v/>
      </c>
      <c r="BL144">
        <f>IF(BL$4=0,0,IF(COUNTIFS(実績!$W$6:$W$505,BL$3,実績!$AC$6:$AC$505,"&lt;="&amp;$A144,実績!$AD$6:$AD$505,"&gt;"&amp;$A144,実績!$AE$6:$AE$505,"○")&gt;0,1,0))</f>
        <v/>
      </c>
      <c r="BM144">
        <f>IF(BM$4=0,0,IF(COUNTIFS(実績!$W$6:$W$505,BM$3,実績!$AC$6:$AC$505,"&lt;="&amp;$A144,実績!$AD$6:$AD$505,"&gt;"&amp;$A144,実績!$AE$6:$AE$505,"○")&gt;0,1,0))</f>
        <v/>
      </c>
      <c r="BN144">
        <f>IF(BN$4=0,0,IF(COUNTIFS(実績!$W$6:$W$505,BN$3,実績!$AC$6:$AC$505,"&lt;="&amp;$A144,実績!$AD$6:$AD$505,"&gt;"&amp;$A144,実績!$AE$6:$AE$505,"○")&gt;0,1,0))</f>
        <v/>
      </c>
      <c r="BO144">
        <f>IF(BO$4=0,0,IF(COUNTIFS(実績!$W$6:$W$505,BO$3,実績!$AC$6:$AC$505,"&lt;="&amp;$A144,実績!$AD$6:$AD$505,"&gt;"&amp;$A144,実績!$AE$6:$AE$505,"○")&gt;0,1,0))</f>
        <v/>
      </c>
      <c r="BP144">
        <f>IF(BP$4=0,0,IF(COUNTIFS(実績!$W$6:$W$505,BP$3,実績!$AC$6:$AC$505,"&lt;="&amp;$A144,実績!$AD$6:$AD$505,"&gt;"&amp;$A144,実績!$AE$6:$AE$505,"○")&gt;0,1,0))</f>
        <v/>
      </c>
      <c r="BQ144">
        <f>IF(BQ$4=0,0,IF(COUNTIFS(実績!$W$6:$W$505,BQ$3,実績!$AC$6:$AC$505,"&lt;="&amp;$A144,実績!$AD$6:$AD$505,"&gt;"&amp;$A144,実績!$AE$6:$AE$505,"○")&gt;0,1,0))</f>
        <v/>
      </c>
      <c r="BR144">
        <f>IF(BR$4=0,0,IF(COUNTIFS(実績!$W$6:$W$505,BR$3,実績!$AC$6:$AC$505,"&lt;="&amp;$A144,実績!$AD$6:$AD$505,"&gt;"&amp;$A144,実績!$AE$6:$AE$505,"○")&gt;0,1,0))</f>
        <v/>
      </c>
      <c r="BS144">
        <f>IF(BS$4=0,0,IF(COUNTIFS(実績!$W$6:$W$505,BS$3,実績!$AC$6:$AC$505,"&lt;="&amp;$A144,実績!$AD$6:$AD$505,"&gt;"&amp;$A144,実績!$AE$6:$AE$505,"○")&gt;0,1,0))</f>
        <v/>
      </c>
      <c r="BT144">
        <f>IF(BT$4=0,0,IF(COUNTIFS(実績!$W$6:$W$505,BT$3,実績!$AC$6:$AC$505,"&lt;="&amp;$A144,実績!$AD$6:$AD$505,"&gt;"&amp;$A144,実績!$AE$6:$AE$505,"○")&gt;0,1,0))</f>
        <v/>
      </c>
      <c r="BU144">
        <f>IF(BU$4=0,0,IF(COUNTIFS(実績!$W$6:$W$505,BU$3,実績!$AC$6:$AC$505,"&lt;="&amp;$A144,実績!$AD$6:$AD$505,"&gt;"&amp;$A144,実績!$AE$6:$AE$505,"○")&gt;0,1,0))</f>
        <v/>
      </c>
      <c r="BV144">
        <f>IF(BV$4=0,0,IF(COUNTIFS(実績!$W$6:$W$505,BV$3,実績!$AC$6:$AC$505,"&lt;="&amp;$A144,実績!$AD$6:$AD$505,"&gt;"&amp;$A144,実績!$AE$6:$AE$505,"○")&gt;0,1,0))</f>
        <v/>
      </c>
      <c r="BW144">
        <f>IF(BW$4=0,0,IF(COUNTIFS(実績!$W$6:$W$505,BW$3,実績!$AC$6:$AC$505,"&lt;="&amp;$A144,実績!$AD$6:$AD$505,"&gt;"&amp;$A144,実績!$AE$6:$AE$505,"○")&gt;0,1,0))</f>
        <v/>
      </c>
      <c r="BX144">
        <f>IF(BX$4=0,0,IF(COUNTIFS(実績!$W$6:$W$505,BX$3,実績!$AC$6:$AC$505,"&lt;="&amp;$A144,実績!$AD$6:$AD$505,"&gt;"&amp;$A144,実績!$AE$6:$AE$505,"○")&gt;0,1,0))</f>
        <v/>
      </c>
      <c r="BY144">
        <f>IF(BY$4=0,0,IF(COUNTIFS(実績!$W$6:$W$505,BY$3,実績!$AC$6:$AC$505,"&lt;="&amp;$A144,実績!$AD$6:$AD$505,"&gt;"&amp;$A144,実績!$AE$6:$AE$505,"○")&gt;0,1,0))</f>
        <v/>
      </c>
      <c r="BZ144">
        <f>IF(BZ$4=0,0,IF(COUNTIFS(実績!$W$6:$W$505,BZ$3,実績!$AC$6:$AC$505,"&lt;="&amp;$A144,実績!$AD$6:$AD$505,"&gt;"&amp;$A144,実績!$AE$6:$AE$505,"○")&gt;0,1,0))</f>
        <v/>
      </c>
      <c r="CA144">
        <f>IF(CA$4=0,0,IF(COUNTIFS(実績!$W$6:$W$505,CA$3,実績!$AC$6:$AC$505,"&lt;="&amp;$A144,実績!$AD$6:$AD$505,"&gt;"&amp;$A144,実績!$AE$6:$AE$505,"○")&gt;0,1,0))</f>
        <v/>
      </c>
      <c r="CB144">
        <f>IF(CB$4=0,0,IF(COUNTIFS(実績!$W$6:$W$505,CB$3,実績!$AC$6:$AC$505,"&lt;="&amp;$A144,実績!$AD$6:$AD$505,"&gt;"&amp;$A144,実績!$AE$6:$AE$505,"○")&gt;0,1,0))</f>
        <v/>
      </c>
      <c r="CC144">
        <f>IF(CC$4=0,0,IF(COUNTIFS(実績!$W$6:$W$505,CC$3,実績!$AC$6:$AC$505,"&lt;="&amp;$A144,実績!$AD$6:$AD$505,"&gt;"&amp;$A144,実績!$AE$6:$AE$505,"○")&gt;0,1,0))</f>
        <v/>
      </c>
      <c r="CD144">
        <f>IF(CD$4=0,0,IF(COUNTIFS(実績!$W$6:$W$505,CD$3,実績!$AC$6:$AC$505,"&lt;="&amp;$A144,実績!$AD$6:$AD$505,"&gt;"&amp;$A144,実績!$AE$6:$AE$505,"○")&gt;0,1,0))</f>
        <v/>
      </c>
      <c r="CE144">
        <f>IF(CE$4=0,0,IF(COUNTIFS(実績!$W$6:$W$505,CE$3,実績!$AC$6:$AC$505,"&lt;="&amp;$A144,実績!$AD$6:$AD$505,"&gt;"&amp;$A144,実績!$AE$6:$AE$505,"○")&gt;0,1,0))</f>
        <v/>
      </c>
      <c r="CF144">
        <f>IF(CF$4=0,0,IF(COUNTIFS(実績!$W$6:$W$505,CF$3,実績!$AC$6:$AC$505,"&lt;="&amp;$A144,実績!$AD$6:$AD$505,"&gt;"&amp;$A144,実績!$AE$6:$AE$505,"○")&gt;0,1,0))</f>
        <v/>
      </c>
      <c r="CG144">
        <f>IF(CG$4=0,0,IF(COUNTIFS(実績!$W$6:$W$505,CG$3,実績!$AC$6:$AC$505,"&lt;="&amp;$A144,実績!$AD$6:$AD$505,"&gt;"&amp;$A144,実績!$AE$6:$AE$505,"○")&gt;0,1,0))</f>
        <v/>
      </c>
      <c r="CH144">
        <f>IF(CH$4=0,0,IF(COUNTIFS(実績!$W$6:$W$505,CH$3,実績!$AC$6:$AC$505,"&lt;="&amp;$A144,実績!$AD$6:$AD$505,"&gt;"&amp;$A144,実績!$AE$6:$AE$505,"○")&gt;0,1,0))</f>
        <v/>
      </c>
      <c r="CI144">
        <f>IF(CI$4=0,0,IF(COUNTIFS(実績!$W$6:$W$505,CI$3,実績!$AC$6:$AC$505,"&lt;="&amp;$A144,実績!$AD$6:$AD$505,"&gt;"&amp;$A144,実績!$AE$6:$AE$505,"○")&gt;0,1,0))</f>
        <v/>
      </c>
      <c r="CJ144">
        <f>IF(CJ$4=0,0,IF(COUNTIFS(実績!$W$6:$W$505,CJ$3,実績!$AC$6:$AC$505,"&lt;="&amp;$A144,実績!$AD$6:$AD$505,"&gt;"&amp;$A144,実績!$AE$6:$AE$505,"○")&gt;0,1,0))</f>
        <v/>
      </c>
      <c r="CK144">
        <f>IF(CK$4=0,0,IF(COUNTIFS(実績!$W$6:$W$505,CK$3,実績!$AC$6:$AC$505,"&lt;="&amp;$A144,実績!$AD$6:$AD$505,"&gt;"&amp;$A144,実績!$AE$6:$AE$505,"○")&gt;0,1,0))</f>
        <v/>
      </c>
      <c r="CL144">
        <f>IF(CL$4=0,0,IF(COUNTIFS(実績!$W$6:$W$505,CL$3,実績!$AC$6:$AC$505,"&lt;="&amp;$A144,実績!$AD$6:$AD$505,"&gt;"&amp;$A144,実績!$AE$6:$AE$505,"○")&gt;0,1,0))</f>
        <v/>
      </c>
      <c r="CM144">
        <f>IF(CM$4=0,0,IF(COUNTIFS(実績!$W$6:$W$505,CM$3,実績!$AC$6:$AC$505,"&lt;="&amp;$A144,実績!$AD$6:$AD$505,"&gt;"&amp;$A144,実績!$AE$6:$AE$505,"○")&gt;0,1,0))</f>
        <v/>
      </c>
      <c r="CN144">
        <f>IF(CN$4=0,0,IF(COUNTIFS(実績!$W$6:$W$505,CN$3,実績!$AC$6:$AC$505,"&lt;="&amp;$A144,実績!$AD$6:$AD$505,"&gt;"&amp;$A144,実績!$AE$6:$AE$505,"○")&gt;0,1,0))</f>
        <v/>
      </c>
      <c r="CO144">
        <f>IF(CO$4=0,0,IF(COUNTIFS(実績!$W$6:$W$505,CO$3,実績!$AC$6:$AC$505,"&lt;="&amp;$A144,実績!$AD$6:$AD$505,"&gt;"&amp;$A144,実績!$AE$6:$AE$505,"○")&gt;0,1,0))</f>
        <v/>
      </c>
      <c r="CP144">
        <f>IF(CP$4=0,0,IF(COUNTIFS(実績!$W$6:$W$505,CP$3,実績!$AC$6:$AC$505,"&lt;="&amp;$A144,実績!$AD$6:$AD$505,"&gt;"&amp;$A144,実績!$AE$6:$AE$505,"○")&gt;0,1,0))</f>
        <v/>
      </c>
      <c r="CQ144">
        <f>IF(CQ$4=0,0,IF(COUNTIFS(実績!$W$6:$W$505,CQ$3,実績!$AC$6:$AC$505,"&lt;="&amp;$A144,実績!$AD$6:$AD$505,"&gt;"&amp;$A144,実績!$AE$6:$AE$505,"○")&gt;0,1,0))</f>
        <v/>
      </c>
      <c r="CR144">
        <f>IF(CR$4=0,0,IF(COUNTIFS(実績!$W$6:$W$505,CR$3,実績!$AC$6:$AC$505,"&lt;="&amp;$A144,実績!$AD$6:$AD$505,"&gt;"&amp;$A144,実績!$AE$6:$AE$505,"○")&gt;0,1,0))</f>
        <v/>
      </c>
      <c r="CS144">
        <f>IF(CS$4=0,0,IF(COUNTIFS(実績!$W$6:$W$505,CS$3,実績!$AC$6:$AC$505,"&lt;="&amp;$A144,実績!$AD$6:$AD$505,"&gt;"&amp;$A144,実績!$AE$6:$AE$505,"○")&gt;0,1,0))</f>
        <v/>
      </c>
      <c r="CT144">
        <f>IF(CT$4=0,0,IF(COUNTIFS(実績!$W$6:$W$505,CT$3,実績!$AC$6:$AC$505,"&lt;="&amp;$A144,実績!$AD$6:$AD$505,"&gt;"&amp;$A144,実績!$AE$6:$AE$505,"○")&gt;0,1,0))</f>
        <v/>
      </c>
      <c r="CU144">
        <f>IF(CU$4=0,0,IF(COUNTIFS(実績!$W$6:$W$505,CU$3,実績!$AC$6:$AC$505,"&lt;="&amp;$A144,実績!$AD$6:$AD$505,"&gt;"&amp;$A144,実績!$AE$6:$AE$505,"○")&gt;0,1,0))</f>
        <v/>
      </c>
      <c r="CV144">
        <f>IF(CV$4=0,0,IF(COUNTIFS(実績!$W$6:$W$505,CV$3,実績!$AC$6:$AC$505,"&lt;="&amp;$A144,実績!$AD$6:$AD$505,"&gt;"&amp;$A144,実績!$AE$6:$AE$505,"○")&gt;0,1,0))</f>
        <v/>
      </c>
      <c r="CW144">
        <f>IF(CW$4=0,0,IF(COUNTIFS(実績!$W$6:$W$505,CW$3,実績!$AC$6:$AC$505,"&lt;="&amp;$A144,実績!$AD$6:$AD$505,"&gt;"&amp;$A144,実績!$AE$6:$AE$505,"○")&gt;0,1,0))</f>
        <v/>
      </c>
      <c r="CX144">
        <f>IF(CX$4=0,0,IF(COUNTIFS(実績!$W$6:$W$505,CX$3,実績!$AC$6:$AC$505,"&lt;="&amp;$A144,実績!$AD$6:$AD$505,"&gt;"&amp;$A144,実績!$AE$6:$AE$505,"○")&gt;0,1,0))</f>
        <v/>
      </c>
      <c r="CY144">
        <f>IF(CY$4=0,0,IF(COUNTIFS(実績!$W$6:$W$505,CY$3,実績!$AC$6:$AC$505,"&lt;="&amp;$A144,実績!$AD$6:$AD$505,"&gt;"&amp;$A144,実績!$AE$6:$AE$505,"○")&gt;0,1,0))</f>
        <v/>
      </c>
      <c r="CZ144">
        <f>IF(CZ$4=0,0,IF(COUNTIFS(実績!$W$6:$W$505,CZ$3,実績!$AC$6:$AC$505,"&lt;="&amp;$A144,実績!$AD$6:$AD$505,"&gt;"&amp;$A144,実績!$AE$6:$AE$505,"○")&gt;0,1,0))</f>
        <v/>
      </c>
      <c r="DA144">
        <f>IF(DA$4=0,0,IF(COUNTIFS(実績!$W$6:$W$505,DA$3,実績!$AC$6:$AC$505,"&lt;="&amp;$A144,実績!$AD$6:$AD$505,"&gt;"&amp;$A144,実績!$AE$6:$AE$505,"○")&gt;0,1,0))</f>
        <v/>
      </c>
      <c r="DB144">
        <f>IF(DB$4=0,0,IF(COUNTIFS(実績!$W$6:$W$505,DB$3,実績!$AC$6:$AC$505,"&lt;="&amp;$A144,実績!$AD$6:$AD$505,"&gt;"&amp;$A144,実績!$AE$6:$AE$505,"○")&gt;0,1,0))</f>
        <v/>
      </c>
      <c r="DC144">
        <f>IF(DC$4=0,0,IF(COUNTIFS(実績!$W$6:$W$505,DC$3,実績!$AC$6:$AC$505,"&lt;="&amp;$A144,実績!$AD$6:$AD$505,"&gt;"&amp;$A144,実績!$AE$6:$AE$505,"○")&gt;0,1,0))</f>
        <v/>
      </c>
      <c r="DD144">
        <f>IF(DD$4=0,0,IF(COUNTIFS(実績!$W$6:$W$505,DD$3,実績!$AC$6:$AC$505,"&lt;="&amp;$A144,実績!$AD$6:$AD$505,"&gt;"&amp;$A144,実績!$AE$6:$AE$505,"○")&gt;0,1,0))</f>
        <v/>
      </c>
      <c r="DE144">
        <f>IF(DE$4=0,0,IF(COUNTIFS(実績!$W$6:$W$505,DE$3,実績!$AC$6:$AC$505,"&lt;="&amp;$A144,実績!$AD$6:$AD$505,"&gt;"&amp;$A144,実績!$AE$6:$AE$505,"○")&gt;0,1,0))</f>
        <v/>
      </c>
      <c r="DF144">
        <f>IF(DF$4=0,0,IF(COUNTIFS(実績!$W$6:$W$505,DF$3,実績!$AC$6:$AC$505,"&lt;="&amp;$A144,実績!$AD$6:$AD$505,"&gt;"&amp;$A144,実績!$AE$6:$AE$505,"○")&gt;0,1,0))</f>
        <v/>
      </c>
      <c r="DG144">
        <f>IF(DG$4=0,0,IF(COUNTIFS(実績!$W$6:$W$505,DG$3,実績!$AC$6:$AC$505,"&lt;="&amp;$A144,実績!$AD$6:$AD$505,"&gt;"&amp;$A144,実績!$AE$6:$AE$505,"○")&gt;0,1,0))</f>
        <v/>
      </c>
      <c r="DH144">
        <f>IF(DH$4=0,0,IF(COUNTIFS(実績!$W$6:$W$505,DH$3,実績!$AC$6:$AC$505,"&lt;="&amp;$A144,実績!$AD$6:$AD$505,"&gt;"&amp;$A144,実績!$AE$6:$AE$505,"○")&gt;0,1,0))</f>
        <v/>
      </c>
      <c r="DI144">
        <f>IF(DI$4=0,0,IF(COUNTIFS(実績!$W$6:$W$505,DI$3,実績!$AC$6:$AC$505,"&lt;="&amp;$A144,実績!$AD$6:$AD$505,"&gt;"&amp;$A144,実績!$AE$6:$AE$505,"○")&gt;0,1,0))</f>
        <v/>
      </c>
      <c r="DJ144">
        <f>IF(DJ$4=0,0,IF(COUNTIFS(実績!$W$6:$W$505,DJ$3,実績!$AC$6:$AC$505,"&lt;="&amp;$A144,実績!$AD$6:$AD$505,"&gt;"&amp;$A144,実績!$AE$6:$AE$505,"○")&gt;0,1,0))</f>
        <v/>
      </c>
      <c r="DK144">
        <f>IF(DK$4=0,0,IF(COUNTIFS(実績!$W$6:$W$505,DK$3,実績!$AC$6:$AC$505,"&lt;="&amp;$A144,実績!$AD$6:$AD$505,"&gt;"&amp;$A144,実績!$AE$6:$AE$505,"○")&gt;0,1,0))</f>
        <v/>
      </c>
      <c r="DL144">
        <f>IF(DL$4=0,0,IF(COUNTIFS(実績!$W$6:$W$505,DL$3,実績!$AC$6:$AC$505,"&lt;="&amp;$A144,実績!$AD$6:$AD$505,"&gt;"&amp;$A144,実績!$AE$6:$AE$505,"○")&gt;0,1,0))</f>
        <v/>
      </c>
      <c r="DM144">
        <f>IF(DM$4=0,0,IF(COUNTIFS(実績!$W$6:$W$505,DM$3,実績!$AC$6:$AC$505,"&lt;="&amp;$A144,実績!$AD$6:$AD$505,"&gt;"&amp;$A144,実績!$AE$6:$AE$505,"○")&gt;0,1,0))</f>
        <v/>
      </c>
      <c r="DN144">
        <f>IF(DN$4=0,0,IF(COUNTIFS(実績!$W$6:$W$505,DN$3,実績!$AC$6:$AC$505,"&lt;="&amp;$A144,実績!$AD$6:$AD$505,"&gt;"&amp;$A144,実績!$AE$6:$AE$505,"○")&gt;0,1,0))</f>
        <v/>
      </c>
      <c r="DO144">
        <f>IF(DO$4=0,0,IF(COUNTIFS(実績!$W$6:$W$505,DO$3,実績!$AC$6:$AC$505,"&lt;="&amp;$A144,実績!$AD$6:$AD$505,"&gt;"&amp;$A144,実績!$AE$6:$AE$505,"○")&gt;0,1,0))</f>
        <v/>
      </c>
      <c r="DP144">
        <f>IF(DP$4=0,0,IF(COUNTIFS(実績!$W$6:$W$505,DP$3,実績!$AC$6:$AC$505,"&lt;="&amp;$A144,実績!$AD$6:$AD$505,"&gt;"&amp;$A144,実績!$AE$6:$AE$505,"○")&gt;0,1,0))</f>
        <v/>
      </c>
      <c r="DQ144">
        <f>IF(DQ$4=0,0,IF(COUNTIFS(実績!$W$6:$W$505,DQ$3,実績!$AC$6:$AC$505,"&lt;="&amp;$A144,実績!$AD$6:$AD$505,"&gt;"&amp;$A144,実績!$AE$6:$AE$505,"○")&gt;0,1,0))</f>
        <v/>
      </c>
      <c r="DR144">
        <f>IF(DR$4=0,0,IF(COUNTIFS(実績!$W$6:$W$505,DR$3,実績!$AC$6:$AC$505,"&lt;="&amp;$A144,実績!$AD$6:$AD$505,"&gt;"&amp;$A144,実績!$AE$6:$AE$505,"○")&gt;0,1,0))</f>
        <v/>
      </c>
      <c r="DS144">
        <f>SUM(C144:DR144)</f>
        <v/>
      </c>
      <c r="DT144">
        <f>SUMPRODUCT((実績!$C$6:$C$505="○")*ISNUMBER(実績!$AF$6:$AF$505)*(実績!$AF$6:$AF$505&lt;=$A144)*(実績!$AG$6:$AG$505&gt;$A144))</f>
        <v/>
      </c>
      <c r="DU144">
        <f>SUMIF($C$2:$DR$2,"製鉄曳船",C144:DR144)</f>
        <v/>
      </c>
      <c r="DV144">
        <f>SUMIF($C$2:$DR$2,"西日本海運",C144:DR144)</f>
        <v/>
      </c>
    </row>
    <row r="145">
      <c r="A145" t="n">
        <v>695</v>
      </c>
      <c r="B145" s="29">
        <f>A145/1440</f>
        <v/>
      </c>
      <c r="C145">
        <f>IF(C$4=0,0,IF(COUNTIFS(実績!$W$6:$W$505,C$3,実績!$AC$6:$AC$505,"&lt;="&amp;$A145,実績!$AD$6:$AD$505,"&gt;"&amp;$A145,実績!$AE$6:$AE$505,"○")&gt;0,1,0))</f>
        <v/>
      </c>
      <c r="D145">
        <f>IF(D$4=0,0,IF(COUNTIFS(実績!$W$6:$W$505,D$3,実績!$AC$6:$AC$505,"&lt;="&amp;$A145,実績!$AD$6:$AD$505,"&gt;"&amp;$A145,実績!$AE$6:$AE$505,"○")&gt;0,1,0))</f>
        <v/>
      </c>
      <c r="E145">
        <f>IF(E$4=0,0,IF(COUNTIFS(実績!$W$6:$W$505,E$3,実績!$AC$6:$AC$505,"&lt;="&amp;$A145,実績!$AD$6:$AD$505,"&gt;"&amp;$A145,実績!$AE$6:$AE$505,"○")&gt;0,1,0))</f>
        <v/>
      </c>
      <c r="F145">
        <f>IF(F$4=0,0,IF(COUNTIFS(実績!$W$6:$W$505,F$3,実績!$AC$6:$AC$505,"&lt;="&amp;$A145,実績!$AD$6:$AD$505,"&gt;"&amp;$A145,実績!$AE$6:$AE$505,"○")&gt;0,1,0))</f>
        <v/>
      </c>
      <c r="G145">
        <f>IF(G$4=0,0,IF(COUNTIFS(実績!$W$6:$W$505,G$3,実績!$AC$6:$AC$505,"&lt;="&amp;$A145,実績!$AD$6:$AD$505,"&gt;"&amp;$A145,実績!$AE$6:$AE$505,"○")&gt;0,1,0))</f>
        <v/>
      </c>
      <c r="H145">
        <f>IF(H$4=0,0,IF(COUNTIFS(実績!$W$6:$W$505,H$3,実績!$AC$6:$AC$505,"&lt;="&amp;$A145,実績!$AD$6:$AD$505,"&gt;"&amp;$A145,実績!$AE$6:$AE$505,"○")&gt;0,1,0))</f>
        <v/>
      </c>
      <c r="I145">
        <f>IF(I$4=0,0,IF(COUNTIFS(実績!$W$6:$W$505,I$3,実績!$AC$6:$AC$505,"&lt;="&amp;$A145,実績!$AD$6:$AD$505,"&gt;"&amp;$A145,実績!$AE$6:$AE$505,"○")&gt;0,1,0))</f>
        <v/>
      </c>
      <c r="J145">
        <f>IF(J$4=0,0,IF(COUNTIFS(実績!$W$6:$W$505,J$3,実績!$AC$6:$AC$505,"&lt;="&amp;$A145,実績!$AD$6:$AD$505,"&gt;"&amp;$A145,実績!$AE$6:$AE$505,"○")&gt;0,1,0))</f>
        <v/>
      </c>
      <c r="K145">
        <f>IF(K$4=0,0,IF(COUNTIFS(実績!$W$6:$W$505,K$3,実績!$AC$6:$AC$505,"&lt;="&amp;$A145,実績!$AD$6:$AD$505,"&gt;"&amp;$A145,実績!$AE$6:$AE$505,"○")&gt;0,1,0))</f>
        <v/>
      </c>
      <c r="L145">
        <f>IF(L$4=0,0,IF(COUNTIFS(実績!$W$6:$W$505,L$3,実績!$AC$6:$AC$505,"&lt;="&amp;$A145,実績!$AD$6:$AD$505,"&gt;"&amp;$A145,実績!$AE$6:$AE$505,"○")&gt;0,1,0))</f>
        <v/>
      </c>
      <c r="M145">
        <f>IF(M$4=0,0,IF(COUNTIFS(実績!$W$6:$W$505,M$3,実績!$AC$6:$AC$505,"&lt;="&amp;$A145,実績!$AD$6:$AD$505,"&gt;"&amp;$A145,実績!$AE$6:$AE$505,"○")&gt;0,1,0))</f>
        <v/>
      </c>
      <c r="N145">
        <f>IF(N$4=0,0,IF(COUNTIFS(実績!$W$6:$W$505,N$3,実績!$AC$6:$AC$505,"&lt;="&amp;$A145,実績!$AD$6:$AD$505,"&gt;"&amp;$A145,実績!$AE$6:$AE$505,"○")&gt;0,1,0))</f>
        <v/>
      </c>
      <c r="O145">
        <f>IF(O$4=0,0,IF(COUNTIFS(実績!$W$6:$W$505,O$3,実績!$AC$6:$AC$505,"&lt;="&amp;$A145,実績!$AD$6:$AD$505,"&gt;"&amp;$A145,実績!$AE$6:$AE$505,"○")&gt;0,1,0))</f>
        <v/>
      </c>
      <c r="P145">
        <f>IF(P$4=0,0,IF(COUNTIFS(実績!$W$6:$W$505,P$3,実績!$AC$6:$AC$505,"&lt;="&amp;$A145,実績!$AD$6:$AD$505,"&gt;"&amp;$A145,実績!$AE$6:$AE$505,"○")&gt;0,1,0))</f>
        <v/>
      </c>
      <c r="Q145">
        <f>IF(Q$4=0,0,IF(COUNTIFS(実績!$W$6:$W$505,Q$3,実績!$AC$6:$AC$505,"&lt;="&amp;$A145,実績!$AD$6:$AD$505,"&gt;"&amp;$A145,実績!$AE$6:$AE$505,"○")&gt;0,1,0))</f>
        <v/>
      </c>
      <c r="R145">
        <f>IF(R$4=0,0,IF(COUNTIFS(実績!$W$6:$W$505,R$3,実績!$AC$6:$AC$505,"&lt;="&amp;$A145,実績!$AD$6:$AD$505,"&gt;"&amp;$A145,実績!$AE$6:$AE$505,"○")&gt;0,1,0))</f>
        <v/>
      </c>
      <c r="S145">
        <f>IF(S$4=0,0,IF(COUNTIFS(実績!$W$6:$W$505,S$3,実績!$AC$6:$AC$505,"&lt;="&amp;$A145,実績!$AD$6:$AD$505,"&gt;"&amp;$A145,実績!$AE$6:$AE$505,"○")&gt;0,1,0))</f>
        <v/>
      </c>
      <c r="T145">
        <f>IF(T$4=0,0,IF(COUNTIFS(実績!$W$6:$W$505,T$3,実績!$AC$6:$AC$505,"&lt;="&amp;$A145,実績!$AD$6:$AD$505,"&gt;"&amp;$A145,実績!$AE$6:$AE$505,"○")&gt;0,1,0))</f>
        <v/>
      </c>
      <c r="U145">
        <f>IF(U$4=0,0,IF(COUNTIFS(実績!$W$6:$W$505,U$3,実績!$AC$6:$AC$505,"&lt;="&amp;$A145,実績!$AD$6:$AD$505,"&gt;"&amp;$A145,実績!$AE$6:$AE$505,"○")&gt;0,1,0))</f>
        <v/>
      </c>
      <c r="V145">
        <f>IF(V$4=0,0,IF(COUNTIFS(実績!$W$6:$W$505,V$3,実績!$AC$6:$AC$505,"&lt;="&amp;$A145,実績!$AD$6:$AD$505,"&gt;"&amp;$A145,実績!$AE$6:$AE$505,"○")&gt;0,1,0))</f>
        <v/>
      </c>
      <c r="W145">
        <f>IF(W$4=0,0,IF(COUNTIFS(実績!$W$6:$W$505,W$3,実績!$AC$6:$AC$505,"&lt;="&amp;$A145,実績!$AD$6:$AD$505,"&gt;"&amp;$A145,実績!$AE$6:$AE$505,"○")&gt;0,1,0))</f>
        <v/>
      </c>
      <c r="X145">
        <f>IF(X$4=0,0,IF(COUNTIFS(実績!$W$6:$W$505,X$3,実績!$AC$6:$AC$505,"&lt;="&amp;$A145,実績!$AD$6:$AD$505,"&gt;"&amp;$A145,実績!$AE$6:$AE$505,"○")&gt;0,1,0))</f>
        <v/>
      </c>
      <c r="Y145">
        <f>IF(Y$4=0,0,IF(COUNTIFS(実績!$W$6:$W$505,Y$3,実績!$AC$6:$AC$505,"&lt;="&amp;$A145,実績!$AD$6:$AD$505,"&gt;"&amp;$A145,実績!$AE$6:$AE$505,"○")&gt;0,1,0))</f>
        <v/>
      </c>
      <c r="Z145">
        <f>IF(Z$4=0,0,IF(COUNTIFS(実績!$W$6:$W$505,Z$3,実績!$AC$6:$AC$505,"&lt;="&amp;$A145,実績!$AD$6:$AD$505,"&gt;"&amp;$A145,実績!$AE$6:$AE$505,"○")&gt;0,1,0))</f>
        <v/>
      </c>
      <c r="AA145">
        <f>IF(AA$4=0,0,IF(COUNTIFS(実績!$W$6:$W$505,AA$3,実績!$AC$6:$AC$505,"&lt;="&amp;$A145,実績!$AD$6:$AD$505,"&gt;"&amp;$A145,実績!$AE$6:$AE$505,"○")&gt;0,1,0))</f>
        <v/>
      </c>
      <c r="AB145">
        <f>IF(AB$4=0,0,IF(COUNTIFS(実績!$W$6:$W$505,AB$3,実績!$AC$6:$AC$505,"&lt;="&amp;$A145,実績!$AD$6:$AD$505,"&gt;"&amp;$A145,実績!$AE$6:$AE$505,"○")&gt;0,1,0))</f>
        <v/>
      </c>
      <c r="AC145">
        <f>IF(AC$4=0,0,IF(COUNTIFS(実績!$W$6:$W$505,AC$3,実績!$AC$6:$AC$505,"&lt;="&amp;$A145,実績!$AD$6:$AD$505,"&gt;"&amp;$A145,実績!$AE$6:$AE$505,"○")&gt;0,1,0))</f>
        <v/>
      </c>
      <c r="AD145">
        <f>IF(AD$4=0,0,IF(COUNTIFS(実績!$W$6:$W$505,AD$3,実績!$AC$6:$AC$505,"&lt;="&amp;$A145,実績!$AD$6:$AD$505,"&gt;"&amp;$A145,実績!$AE$6:$AE$505,"○")&gt;0,1,0))</f>
        <v/>
      </c>
      <c r="AE145">
        <f>IF(AE$4=0,0,IF(COUNTIFS(実績!$W$6:$W$505,AE$3,実績!$AC$6:$AC$505,"&lt;="&amp;$A145,実績!$AD$6:$AD$505,"&gt;"&amp;$A145,実績!$AE$6:$AE$505,"○")&gt;0,1,0))</f>
        <v/>
      </c>
      <c r="AF145">
        <f>IF(AF$4=0,0,IF(COUNTIFS(実績!$W$6:$W$505,AF$3,実績!$AC$6:$AC$505,"&lt;="&amp;$A145,実績!$AD$6:$AD$505,"&gt;"&amp;$A145,実績!$AE$6:$AE$505,"○")&gt;0,1,0))</f>
        <v/>
      </c>
      <c r="AG145">
        <f>IF(AG$4=0,0,IF(COUNTIFS(実績!$W$6:$W$505,AG$3,実績!$AC$6:$AC$505,"&lt;="&amp;$A145,実績!$AD$6:$AD$505,"&gt;"&amp;$A145,実績!$AE$6:$AE$505,"○")&gt;0,1,0))</f>
        <v/>
      </c>
      <c r="AH145">
        <f>IF(AH$4=0,0,IF(COUNTIFS(実績!$W$6:$W$505,AH$3,実績!$AC$6:$AC$505,"&lt;="&amp;$A145,実績!$AD$6:$AD$505,"&gt;"&amp;$A145,実績!$AE$6:$AE$505,"○")&gt;0,1,0))</f>
        <v/>
      </c>
      <c r="AI145">
        <f>IF(AI$4=0,0,IF(COUNTIFS(実績!$W$6:$W$505,AI$3,実績!$AC$6:$AC$505,"&lt;="&amp;$A145,実績!$AD$6:$AD$505,"&gt;"&amp;$A145,実績!$AE$6:$AE$505,"○")&gt;0,1,0))</f>
        <v/>
      </c>
      <c r="AJ145">
        <f>IF(AJ$4=0,0,IF(COUNTIFS(実績!$W$6:$W$505,AJ$3,実績!$AC$6:$AC$505,"&lt;="&amp;$A145,実績!$AD$6:$AD$505,"&gt;"&amp;$A145,実績!$AE$6:$AE$505,"○")&gt;0,1,0))</f>
        <v/>
      </c>
      <c r="AK145">
        <f>IF(AK$4=0,0,IF(COUNTIFS(実績!$W$6:$W$505,AK$3,実績!$AC$6:$AC$505,"&lt;="&amp;$A145,実績!$AD$6:$AD$505,"&gt;"&amp;$A145,実績!$AE$6:$AE$505,"○")&gt;0,1,0))</f>
        <v/>
      </c>
      <c r="AL145">
        <f>IF(AL$4=0,0,IF(COUNTIFS(実績!$W$6:$W$505,AL$3,実績!$AC$6:$AC$505,"&lt;="&amp;$A145,実績!$AD$6:$AD$505,"&gt;"&amp;$A145,実績!$AE$6:$AE$505,"○")&gt;0,1,0))</f>
        <v/>
      </c>
      <c r="AM145">
        <f>IF(AM$4=0,0,IF(COUNTIFS(実績!$W$6:$W$505,AM$3,実績!$AC$6:$AC$505,"&lt;="&amp;$A145,実績!$AD$6:$AD$505,"&gt;"&amp;$A145,実績!$AE$6:$AE$505,"○")&gt;0,1,0))</f>
        <v/>
      </c>
      <c r="AN145">
        <f>IF(AN$4=0,0,IF(COUNTIFS(実績!$W$6:$W$505,AN$3,実績!$AC$6:$AC$505,"&lt;="&amp;$A145,実績!$AD$6:$AD$505,"&gt;"&amp;$A145,実績!$AE$6:$AE$505,"○")&gt;0,1,0))</f>
        <v/>
      </c>
      <c r="AO145">
        <f>IF(AO$4=0,0,IF(COUNTIFS(実績!$W$6:$W$505,AO$3,実績!$AC$6:$AC$505,"&lt;="&amp;$A145,実績!$AD$6:$AD$505,"&gt;"&amp;$A145,実績!$AE$6:$AE$505,"○")&gt;0,1,0))</f>
        <v/>
      </c>
      <c r="AP145">
        <f>IF(AP$4=0,0,IF(COUNTIFS(実績!$W$6:$W$505,AP$3,実績!$AC$6:$AC$505,"&lt;="&amp;$A145,実績!$AD$6:$AD$505,"&gt;"&amp;$A145,実績!$AE$6:$AE$505,"○")&gt;0,1,0))</f>
        <v/>
      </c>
      <c r="AQ145">
        <f>IF(AQ$4=0,0,IF(COUNTIFS(実績!$W$6:$W$505,AQ$3,実績!$AC$6:$AC$505,"&lt;="&amp;$A145,実績!$AD$6:$AD$505,"&gt;"&amp;$A145,実績!$AE$6:$AE$505,"○")&gt;0,1,0))</f>
        <v/>
      </c>
      <c r="AR145">
        <f>IF(AR$4=0,0,IF(COUNTIFS(実績!$W$6:$W$505,AR$3,実績!$AC$6:$AC$505,"&lt;="&amp;$A145,実績!$AD$6:$AD$505,"&gt;"&amp;$A145,実績!$AE$6:$AE$505,"○")&gt;0,1,0))</f>
        <v/>
      </c>
      <c r="AS145">
        <f>IF(AS$4=0,0,IF(COUNTIFS(実績!$W$6:$W$505,AS$3,実績!$AC$6:$AC$505,"&lt;="&amp;$A145,実績!$AD$6:$AD$505,"&gt;"&amp;$A145,実績!$AE$6:$AE$505,"○")&gt;0,1,0))</f>
        <v/>
      </c>
      <c r="AT145">
        <f>IF(AT$4=0,0,IF(COUNTIFS(実績!$W$6:$W$505,AT$3,実績!$AC$6:$AC$505,"&lt;="&amp;$A145,実績!$AD$6:$AD$505,"&gt;"&amp;$A145,実績!$AE$6:$AE$505,"○")&gt;0,1,0))</f>
        <v/>
      </c>
      <c r="AU145">
        <f>IF(AU$4=0,0,IF(COUNTIFS(実績!$W$6:$W$505,AU$3,実績!$AC$6:$AC$505,"&lt;="&amp;$A145,実績!$AD$6:$AD$505,"&gt;"&amp;$A145,実績!$AE$6:$AE$505,"○")&gt;0,1,0))</f>
        <v/>
      </c>
      <c r="AV145">
        <f>IF(AV$4=0,0,IF(COUNTIFS(実績!$W$6:$W$505,AV$3,実績!$AC$6:$AC$505,"&lt;="&amp;$A145,実績!$AD$6:$AD$505,"&gt;"&amp;$A145,実績!$AE$6:$AE$505,"○")&gt;0,1,0))</f>
        <v/>
      </c>
      <c r="AW145">
        <f>IF(AW$4=0,0,IF(COUNTIFS(実績!$W$6:$W$505,AW$3,実績!$AC$6:$AC$505,"&lt;="&amp;$A145,実績!$AD$6:$AD$505,"&gt;"&amp;$A145,実績!$AE$6:$AE$505,"○")&gt;0,1,0))</f>
        <v/>
      </c>
      <c r="AX145">
        <f>IF(AX$4=0,0,IF(COUNTIFS(実績!$W$6:$W$505,AX$3,実績!$AC$6:$AC$505,"&lt;="&amp;$A145,実績!$AD$6:$AD$505,"&gt;"&amp;$A145,実績!$AE$6:$AE$505,"○")&gt;0,1,0))</f>
        <v/>
      </c>
      <c r="AY145">
        <f>IF(AY$4=0,0,IF(COUNTIFS(実績!$W$6:$W$505,AY$3,実績!$AC$6:$AC$505,"&lt;="&amp;$A145,実績!$AD$6:$AD$505,"&gt;"&amp;$A145,実績!$AE$6:$AE$505,"○")&gt;0,1,0))</f>
        <v/>
      </c>
      <c r="AZ145">
        <f>IF(AZ$4=0,0,IF(COUNTIFS(実績!$W$6:$W$505,AZ$3,実績!$AC$6:$AC$505,"&lt;="&amp;$A145,実績!$AD$6:$AD$505,"&gt;"&amp;$A145,実績!$AE$6:$AE$505,"○")&gt;0,1,0))</f>
        <v/>
      </c>
      <c r="BA145">
        <f>IF(BA$4=0,0,IF(COUNTIFS(実績!$W$6:$W$505,BA$3,実績!$AC$6:$AC$505,"&lt;="&amp;$A145,実績!$AD$6:$AD$505,"&gt;"&amp;$A145,実績!$AE$6:$AE$505,"○")&gt;0,1,0))</f>
        <v/>
      </c>
      <c r="BB145">
        <f>IF(BB$4=0,0,IF(COUNTIFS(実績!$W$6:$W$505,BB$3,実績!$AC$6:$AC$505,"&lt;="&amp;$A145,実績!$AD$6:$AD$505,"&gt;"&amp;$A145,実績!$AE$6:$AE$505,"○")&gt;0,1,0))</f>
        <v/>
      </c>
      <c r="BC145">
        <f>IF(BC$4=0,0,IF(COUNTIFS(実績!$W$6:$W$505,BC$3,実績!$AC$6:$AC$505,"&lt;="&amp;$A145,実績!$AD$6:$AD$505,"&gt;"&amp;$A145,実績!$AE$6:$AE$505,"○")&gt;0,1,0))</f>
        <v/>
      </c>
      <c r="BD145">
        <f>IF(BD$4=0,0,IF(COUNTIFS(実績!$W$6:$W$505,BD$3,実績!$AC$6:$AC$505,"&lt;="&amp;$A145,実績!$AD$6:$AD$505,"&gt;"&amp;$A145,実績!$AE$6:$AE$505,"○")&gt;0,1,0))</f>
        <v/>
      </c>
      <c r="BE145">
        <f>IF(BE$4=0,0,IF(COUNTIFS(実績!$W$6:$W$505,BE$3,実績!$AC$6:$AC$505,"&lt;="&amp;$A145,実績!$AD$6:$AD$505,"&gt;"&amp;$A145,実績!$AE$6:$AE$505,"○")&gt;0,1,0))</f>
        <v/>
      </c>
      <c r="BF145">
        <f>IF(BF$4=0,0,IF(COUNTIFS(実績!$W$6:$W$505,BF$3,実績!$AC$6:$AC$505,"&lt;="&amp;$A145,実績!$AD$6:$AD$505,"&gt;"&amp;$A145,実績!$AE$6:$AE$505,"○")&gt;0,1,0))</f>
        <v/>
      </c>
      <c r="BG145">
        <f>IF(BG$4=0,0,IF(COUNTIFS(実績!$W$6:$W$505,BG$3,実績!$AC$6:$AC$505,"&lt;="&amp;$A145,実績!$AD$6:$AD$505,"&gt;"&amp;$A145,実績!$AE$6:$AE$505,"○")&gt;0,1,0))</f>
        <v/>
      </c>
      <c r="BH145">
        <f>IF(BH$4=0,0,IF(COUNTIFS(実績!$W$6:$W$505,BH$3,実績!$AC$6:$AC$505,"&lt;="&amp;$A145,実績!$AD$6:$AD$505,"&gt;"&amp;$A145,実績!$AE$6:$AE$505,"○")&gt;0,1,0))</f>
        <v/>
      </c>
      <c r="BI145">
        <f>IF(BI$4=0,0,IF(COUNTIFS(実績!$W$6:$W$505,BI$3,実績!$AC$6:$AC$505,"&lt;="&amp;$A145,実績!$AD$6:$AD$505,"&gt;"&amp;$A145,実績!$AE$6:$AE$505,"○")&gt;0,1,0))</f>
        <v/>
      </c>
      <c r="BJ145">
        <f>IF(BJ$4=0,0,IF(COUNTIFS(実績!$W$6:$W$505,BJ$3,実績!$AC$6:$AC$505,"&lt;="&amp;$A145,実績!$AD$6:$AD$505,"&gt;"&amp;$A145,実績!$AE$6:$AE$505,"○")&gt;0,1,0))</f>
        <v/>
      </c>
      <c r="BK145">
        <f>IF(BK$4=0,0,IF(COUNTIFS(実績!$W$6:$W$505,BK$3,実績!$AC$6:$AC$505,"&lt;="&amp;$A145,実績!$AD$6:$AD$505,"&gt;"&amp;$A145,実績!$AE$6:$AE$505,"○")&gt;0,1,0))</f>
        <v/>
      </c>
      <c r="BL145">
        <f>IF(BL$4=0,0,IF(COUNTIFS(実績!$W$6:$W$505,BL$3,実績!$AC$6:$AC$505,"&lt;="&amp;$A145,実績!$AD$6:$AD$505,"&gt;"&amp;$A145,実績!$AE$6:$AE$505,"○")&gt;0,1,0))</f>
        <v/>
      </c>
      <c r="BM145">
        <f>IF(BM$4=0,0,IF(COUNTIFS(実績!$W$6:$W$505,BM$3,実績!$AC$6:$AC$505,"&lt;="&amp;$A145,実績!$AD$6:$AD$505,"&gt;"&amp;$A145,実績!$AE$6:$AE$505,"○")&gt;0,1,0))</f>
        <v/>
      </c>
      <c r="BN145">
        <f>IF(BN$4=0,0,IF(COUNTIFS(実績!$W$6:$W$505,BN$3,実績!$AC$6:$AC$505,"&lt;="&amp;$A145,実績!$AD$6:$AD$505,"&gt;"&amp;$A145,実績!$AE$6:$AE$505,"○")&gt;0,1,0))</f>
        <v/>
      </c>
      <c r="BO145">
        <f>IF(BO$4=0,0,IF(COUNTIFS(実績!$W$6:$W$505,BO$3,実績!$AC$6:$AC$505,"&lt;="&amp;$A145,実績!$AD$6:$AD$505,"&gt;"&amp;$A145,実績!$AE$6:$AE$505,"○")&gt;0,1,0))</f>
        <v/>
      </c>
      <c r="BP145">
        <f>IF(BP$4=0,0,IF(COUNTIFS(実績!$W$6:$W$505,BP$3,実績!$AC$6:$AC$505,"&lt;="&amp;$A145,実績!$AD$6:$AD$505,"&gt;"&amp;$A145,実績!$AE$6:$AE$505,"○")&gt;0,1,0))</f>
        <v/>
      </c>
      <c r="BQ145">
        <f>IF(BQ$4=0,0,IF(COUNTIFS(実績!$W$6:$W$505,BQ$3,実績!$AC$6:$AC$505,"&lt;="&amp;$A145,実績!$AD$6:$AD$505,"&gt;"&amp;$A145,実績!$AE$6:$AE$505,"○")&gt;0,1,0))</f>
        <v/>
      </c>
      <c r="BR145">
        <f>IF(BR$4=0,0,IF(COUNTIFS(実績!$W$6:$W$505,BR$3,実績!$AC$6:$AC$505,"&lt;="&amp;$A145,実績!$AD$6:$AD$505,"&gt;"&amp;$A145,実績!$AE$6:$AE$505,"○")&gt;0,1,0))</f>
        <v/>
      </c>
      <c r="BS145">
        <f>IF(BS$4=0,0,IF(COUNTIFS(実績!$W$6:$W$505,BS$3,実績!$AC$6:$AC$505,"&lt;="&amp;$A145,実績!$AD$6:$AD$505,"&gt;"&amp;$A145,実績!$AE$6:$AE$505,"○")&gt;0,1,0))</f>
        <v/>
      </c>
      <c r="BT145">
        <f>IF(BT$4=0,0,IF(COUNTIFS(実績!$W$6:$W$505,BT$3,実績!$AC$6:$AC$505,"&lt;="&amp;$A145,実績!$AD$6:$AD$505,"&gt;"&amp;$A145,実績!$AE$6:$AE$505,"○")&gt;0,1,0))</f>
        <v/>
      </c>
      <c r="BU145">
        <f>IF(BU$4=0,0,IF(COUNTIFS(実績!$W$6:$W$505,BU$3,実績!$AC$6:$AC$505,"&lt;="&amp;$A145,実績!$AD$6:$AD$505,"&gt;"&amp;$A145,実績!$AE$6:$AE$505,"○")&gt;0,1,0))</f>
        <v/>
      </c>
      <c r="BV145">
        <f>IF(BV$4=0,0,IF(COUNTIFS(実績!$W$6:$W$505,BV$3,実績!$AC$6:$AC$505,"&lt;="&amp;$A145,実績!$AD$6:$AD$505,"&gt;"&amp;$A145,実績!$AE$6:$AE$505,"○")&gt;0,1,0))</f>
        <v/>
      </c>
      <c r="BW145">
        <f>IF(BW$4=0,0,IF(COUNTIFS(実績!$W$6:$W$505,BW$3,実績!$AC$6:$AC$505,"&lt;="&amp;$A145,実績!$AD$6:$AD$505,"&gt;"&amp;$A145,実績!$AE$6:$AE$505,"○")&gt;0,1,0))</f>
        <v/>
      </c>
      <c r="BX145">
        <f>IF(BX$4=0,0,IF(COUNTIFS(実績!$W$6:$W$505,BX$3,実績!$AC$6:$AC$505,"&lt;="&amp;$A145,実績!$AD$6:$AD$505,"&gt;"&amp;$A145,実績!$AE$6:$AE$505,"○")&gt;0,1,0))</f>
        <v/>
      </c>
      <c r="BY145">
        <f>IF(BY$4=0,0,IF(COUNTIFS(実績!$W$6:$W$505,BY$3,実績!$AC$6:$AC$505,"&lt;="&amp;$A145,実績!$AD$6:$AD$505,"&gt;"&amp;$A145,実績!$AE$6:$AE$505,"○")&gt;0,1,0))</f>
        <v/>
      </c>
      <c r="BZ145">
        <f>IF(BZ$4=0,0,IF(COUNTIFS(実績!$W$6:$W$505,BZ$3,実績!$AC$6:$AC$505,"&lt;="&amp;$A145,実績!$AD$6:$AD$505,"&gt;"&amp;$A145,実績!$AE$6:$AE$505,"○")&gt;0,1,0))</f>
        <v/>
      </c>
      <c r="CA145">
        <f>IF(CA$4=0,0,IF(COUNTIFS(実績!$W$6:$W$505,CA$3,実績!$AC$6:$AC$505,"&lt;="&amp;$A145,実績!$AD$6:$AD$505,"&gt;"&amp;$A145,実績!$AE$6:$AE$505,"○")&gt;0,1,0))</f>
        <v/>
      </c>
      <c r="CB145">
        <f>IF(CB$4=0,0,IF(COUNTIFS(実績!$W$6:$W$505,CB$3,実績!$AC$6:$AC$505,"&lt;="&amp;$A145,実績!$AD$6:$AD$505,"&gt;"&amp;$A145,実績!$AE$6:$AE$505,"○")&gt;0,1,0))</f>
        <v/>
      </c>
      <c r="CC145">
        <f>IF(CC$4=0,0,IF(COUNTIFS(実績!$W$6:$W$505,CC$3,実績!$AC$6:$AC$505,"&lt;="&amp;$A145,実績!$AD$6:$AD$505,"&gt;"&amp;$A145,実績!$AE$6:$AE$505,"○")&gt;0,1,0))</f>
        <v/>
      </c>
      <c r="CD145">
        <f>IF(CD$4=0,0,IF(COUNTIFS(実績!$W$6:$W$505,CD$3,実績!$AC$6:$AC$505,"&lt;="&amp;$A145,実績!$AD$6:$AD$505,"&gt;"&amp;$A145,実績!$AE$6:$AE$505,"○")&gt;0,1,0))</f>
        <v/>
      </c>
      <c r="CE145">
        <f>IF(CE$4=0,0,IF(COUNTIFS(実績!$W$6:$W$505,CE$3,実績!$AC$6:$AC$505,"&lt;="&amp;$A145,実績!$AD$6:$AD$505,"&gt;"&amp;$A145,実績!$AE$6:$AE$505,"○")&gt;0,1,0))</f>
        <v/>
      </c>
      <c r="CF145">
        <f>IF(CF$4=0,0,IF(COUNTIFS(実績!$W$6:$W$505,CF$3,実績!$AC$6:$AC$505,"&lt;="&amp;$A145,実績!$AD$6:$AD$505,"&gt;"&amp;$A145,実績!$AE$6:$AE$505,"○")&gt;0,1,0))</f>
        <v/>
      </c>
      <c r="CG145">
        <f>IF(CG$4=0,0,IF(COUNTIFS(実績!$W$6:$W$505,CG$3,実績!$AC$6:$AC$505,"&lt;="&amp;$A145,実績!$AD$6:$AD$505,"&gt;"&amp;$A145,実績!$AE$6:$AE$505,"○")&gt;0,1,0))</f>
        <v/>
      </c>
      <c r="CH145">
        <f>IF(CH$4=0,0,IF(COUNTIFS(実績!$W$6:$W$505,CH$3,実績!$AC$6:$AC$505,"&lt;="&amp;$A145,実績!$AD$6:$AD$505,"&gt;"&amp;$A145,実績!$AE$6:$AE$505,"○")&gt;0,1,0))</f>
        <v/>
      </c>
      <c r="CI145">
        <f>IF(CI$4=0,0,IF(COUNTIFS(実績!$W$6:$W$505,CI$3,実績!$AC$6:$AC$505,"&lt;="&amp;$A145,実績!$AD$6:$AD$505,"&gt;"&amp;$A145,実績!$AE$6:$AE$505,"○")&gt;0,1,0))</f>
        <v/>
      </c>
      <c r="CJ145">
        <f>IF(CJ$4=0,0,IF(COUNTIFS(実績!$W$6:$W$505,CJ$3,実績!$AC$6:$AC$505,"&lt;="&amp;$A145,実績!$AD$6:$AD$505,"&gt;"&amp;$A145,実績!$AE$6:$AE$505,"○")&gt;0,1,0))</f>
        <v/>
      </c>
      <c r="CK145">
        <f>IF(CK$4=0,0,IF(COUNTIFS(実績!$W$6:$W$505,CK$3,実績!$AC$6:$AC$505,"&lt;="&amp;$A145,実績!$AD$6:$AD$505,"&gt;"&amp;$A145,実績!$AE$6:$AE$505,"○")&gt;0,1,0))</f>
        <v/>
      </c>
      <c r="CL145">
        <f>IF(CL$4=0,0,IF(COUNTIFS(実績!$W$6:$W$505,CL$3,実績!$AC$6:$AC$505,"&lt;="&amp;$A145,実績!$AD$6:$AD$505,"&gt;"&amp;$A145,実績!$AE$6:$AE$505,"○")&gt;0,1,0))</f>
        <v/>
      </c>
      <c r="CM145">
        <f>IF(CM$4=0,0,IF(COUNTIFS(実績!$W$6:$W$505,CM$3,実績!$AC$6:$AC$505,"&lt;="&amp;$A145,実績!$AD$6:$AD$505,"&gt;"&amp;$A145,実績!$AE$6:$AE$505,"○")&gt;0,1,0))</f>
        <v/>
      </c>
      <c r="CN145">
        <f>IF(CN$4=0,0,IF(COUNTIFS(実績!$W$6:$W$505,CN$3,実績!$AC$6:$AC$505,"&lt;="&amp;$A145,実績!$AD$6:$AD$505,"&gt;"&amp;$A145,実績!$AE$6:$AE$505,"○")&gt;0,1,0))</f>
        <v/>
      </c>
      <c r="CO145">
        <f>IF(CO$4=0,0,IF(COUNTIFS(実績!$W$6:$W$505,CO$3,実績!$AC$6:$AC$505,"&lt;="&amp;$A145,実績!$AD$6:$AD$505,"&gt;"&amp;$A145,実績!$AE$6:$AE$505,"○")&gt;0,1,0))</f>
        <v/>
      </c>
      <c r="CP145">
        <f>IF(CP$4=0,0,IF(COUNTIFS(実績!$W$6:$W$505,CP$3,実績!$AC$6:$AC$505,"&lt;="&amp;$A145,実績!$AD$6:$AD$505,"&gt;"&amp;$A145,実績!$AE$6:$AE$505,"○")&gt;0,1,0))</f>
        <v/>
      </c>
      <c r="CQ145">
        <f>IF(CQ$4=0,0,IF(COUNTIFS(実績!$W$6:$W$505,CQ$3,実績!$AC$6:$AC$505,"&lt;="&amp;$A145,実績!$AD$6:$AD$505,"&gt;"&amp;$A145,実績!$AE$6:$AE$505,"○")&gt;0,1,0))</f>
        <v/>
      </c>
      <c r="CR145">
        <f>IF(CR$4=0,0,IF(COUNTIFS(実績!$W$6:$W$505,CR$3,実績!$AC$6:$AC$505,"&lt;="&amp;$A145,実績!$AD$6:$AD$505,"&gt;"&amp;$A145,実績!$AE$6:$AE$505,"○")&gt;0,1,0))</f>
        <v/>
      </c>
      <c r="CS145">
        <f>IF(CS$4=0,0,IF(COUNTIFS(実績!$W$6:$W$505,CS$3,実績!$AC$6:$AC$505,"&lt;="&amp;$A145,実績!$AD$6:$AD$505,"&gt;"&amp;$A145,実績!$AE$6:$AE$505,"○")&gt;0,1,0))</f>
        <v/>
      </c>
      <c r="CT145">
        <f>IF(CT$4=0,0,IF(COUNTIFS(実績!$W$6:$W$505,CT$3,実績!$AC$6:$AC$505,"&lt;="&amp;$A145,実績!$AD$6:$AD$505,"&gt;"&amp;$A145,実績!$AE$6:$AE$505,"○")&gt;0,1,0))</f>
        <v/>
      </c>
      <c r="CU145">
        <f>IF(CU$4=0,0,IF(COUNTIFS(実績!$W$6:$W$505,CU$3,実績!$AC$6:$AC$505,"&lt;="&amp;$A145,実績!$AD$6:$AD$505,"&gt;"&amp;$A145,実績!$AE$6:$AE$505,"○")&gt;0,1,0))</f>
        <v/>
      </c>
      <c r="CV145">
        <f>IF(CV$4=0,0,IF(COUNTIFS(実績!$W$6:$W$505,CV$3,実績!$AC$6:$AC$505,"&lt;="&amp;$A145,実績!$AD$6:$AD$505,"&gt;"&amp;$A145,実績!$AE$6:$AE$505,"○")&gt;0,1,0))</f>
        <v/>
      </c>
      <c r="CW145">
        <f>IF(CW$4=0,0,IF(COUNTIFS(実績!$W$6:$W$505,CW$3,実績!$AC$6:$AC$505,"&lt;="&amp;$A145,実績!$AD$6:$AD$505,"&gt;"&amp;$A145,実績!$AE$6:$AE$505,"○")&gt;0,1,0))</f>
        <v/>
      </c>
      <c r="CX145">
        <f>IF(CX$4=0,0,IF(COUNTIFS(実績!$W$6:$W$505,CX$3,実績!$AC$6:$AC$505,"&lt;="&amp;$A145,実績!$AD$6:$AD$505,"&gt;"&amp;$A145,実績!$AE$6:$AE$505,"○")&gt;0,1,0))</f>
        <v/>
      </c>
      <c r="CY145">
        <f>IF(CY$4=0,0,IF(COUNTIFS(実績!$W$6:$W$505,CY$3,実績!$AC$6:$AC$505,"&lt;="&amp;$A145,実績!$AD$6:$AD$505,"&gt;"&amp;$A145,実績!$AE$6:$AE$505,"○")&gt;0,1,0))</f>
        <v/>
      </c>
      <c r="CZ145">
        <f>IF(CZ$4=0,0,IF(COUNTIFS(実績!$W$6:$W$505,CZ$3,実績!$AC$6:$AC$505,"&lt;="&amp;$A145,実績!$AD$6:$AD$505,"&gt;"&amp;$A145,実績!$AE$6:$AE$505,"○")&gt;0,1,0))</f>
        <v/>
      </c>
      <c r="DA145">
        <f>IF(DA$4=0,0,IF(COUNTIFS(実績!$W$6:$W$505,DA$3,実績!$AC$6:$AC$505,"&lt;="&amp;$A145,実績!$AD$6:$AD$505,"&gt;"&amp;$A145,実績!$AE$6:$AE$505,"○")&gt;0,1,0))</f>
        <v/>
      </c>
      <c r="DB145">
        <f>IF(DB$4=0,0,IF(COUNTIFS(実績!$W$6:$W$505,DB$3,実績!$AC$6:$AC$505,"&lt;="&amp;$A145,実績!$AD$6:$AD$505,"&gt;"&amp;$A145,実績!$AE$6:$AE$505,"○")&gt;0,1,0))</f>
        <v/>
      </c>
      <c r="DC145">
        <f>IF(DC$4=0,0,IF(COUNTIFS(実績!$W$6:$W$505,DC$3,実績!$AC$6:$AC$505,"&lt;="&amp;$A145,実績!$AD$6:$AD$505,"&gt;"&amp;$A145,実績!$AE$6:$AE$505,"○")&gt;0,1,0))</f>
        <v/>
      </c>
      <c r="DD145">
        <f>IF(DD$4=0,0,IF(COUNTIFS(実績!$W$6:$W$505,DD$3,実績!$AC$6:$AC$505,"&lt;="&amp;$A145,実績!$AD$6:$AD$505,"&gt;"&amp;$A145,実績!$AE$6:$AE$505,"○")&gt;0,1,0))</f>
        <v/>
      </c>
      <c r="DE145">
        <f>IF(DE$4=0,0,IF(COUNTIFS(実績!$W$6:$W$505,DE$3,実績!$AC$6:$AC$505,"&lt;="&amp;$A145,実績!$AD$6:$AD$505,"&gt;"&amp;$A145,実績!$AE$6:$AE$505,"○")&gt;0,1,0))</f>
        <v/>
      </c>
      <c r="DF145">
        <f>IF(DF$4=0,0,IF(COUNTIFS(実績!$W$6:$W$505,DF$3,実績!$AC$6:$AC$505,"&lt;="&amp;$A145,実績!$AD$6:$AD$505,"&gt;"&amp;$A145,実績!$AE$6:$AE$505,"○")&gt;0,1,0))</f>
        <v/>
      </c>
      <c r="DG145">
        <f>IF(DG$4=0,0,IF(COUNTIFS(実績!$W$6:$W$505,DG$3,実績!$AC$6:$AC$505,"&lt;="&amp;$A145,実績!$AD$6:$AD$505,"&gt;"&amp;$A145,実績!$AE$6:$AE$505,"○")&gt;0,1,0))</f>
        <v/>
      </c>
      <c r="DH145">
        <f>IF(DH$4=0,0,IF(COUNTIFS(実績!$W$6:$W$505,DH$3,実績!$AC$6:$AC$505,"&lt;="&amp;$A145,実績!$AD$6:$AD$505,"&gt;"&amp;$A145,実績!$AE$6:$AE$505,"○")&gt;0,1,0))</f>
        <v/>
      </c>
      <c r="DI145">
        <f>IF(DI$4=0,0,IF(COUNTIFS(実績!$W$6:$W$505,DI$3,実績!$AC$6:$AC$505,"&lt;="&amp;$A145,実績!$AD$6:$AD$505,"&gt;"&amp;$A145,実績!$AE$6:$AE$505,"○")&gt;0,1,0))</f>
        <v/>
      </c>
      <c r="DJ145">
        <f>IF(DJ$4=0,0,IF(COUNTIFS(実績!$W$6:$W$505,DJ$3,実績!$AC$6:$AC$505,"&lt;="&amp;$A145,実績!$AD$6:$AD$505,"&gt;"&amp;$A145,実績!$AE$6:$AE$505,"○")&gt;0,1,0))</f>
        <v/>
      </c>
      <c r="DK145">
        <f>IF(DK$4=0,0,IF(COUNTIFS(実績!$W$6:$W$505,DK$3,実績!$AC$6:$AC$505,"&lt;="&amp;$A145,実績!$AD$6:$AD$505,"&gt;"&amp;$A145,実績!$AE$6:$AE$505,"○")&gt;0,1,0))</f>
        <v/>
      </c>
      <c r="DL145">
        <f>IF(DL$4=0,0,IF(COUNTIFS(実績!$W$6:$W$505,DL$3,実績!$AC$6:$AC$505,"&lt;="&amp;$A145,実績!$AD$6:$AD$505,"&gt;"&amp;$A145,実績!$AE$6:$AE$505,"○")&gt;0,1,0))</f>
        <v/>
      </c>
      <c r="DM145">
        <f>IF(DM$4=0,0,IF(COUNTIFS(実績!$W$6:$W$505,DM$3,実績!$AC$6:$AC$505,"&lt;="&amp;$A145,実績!$AD$6:$AD$505,"&gt;"&amp;$A145,実績!$AE$6:$AE$505,"○")&gt;0,1,0))</f>
        <v/>
      </c>
      <c r="DN145">
        <f>IF(DN$4=0,0,IF(COUNTIFS(実績!$W$6:$W$505,DN$3,実績!$AC$6:$AC$505,"&lt;="&amp;$A145,実績!$AD$6:$AD$505,"&gt;"&amp;$A145,実績!$AE$6:$AE$505,"○")&gt;0,1,0))</f>
        <v/>
      </c>
      <c r="DO145">
        <f>IF(DO$4=0,0,IF(COUNTIFS(実績!$W$6:$W$505,DO$3,実績!$AC$6:$AC$505,"&lt;="&amp;$A145,実績!$AD$6:$AD$505,"&gt;"&amp;$A145,実績!$AE$6:$AE$505,"○")&gt;0,1,0))</f>
        <v/>
      </c>
      <c r="DP145">
        <f>IF(DP$4=0,0,IF(COUNTIFS(実績!$W$6:$W$505,DP$3,実績!$AC$6:$AC$505,"&lt;="&amp;$A145,実績!$AD$6:$AD$505,"&gt;"&amp;$A145,実績!$AE$6:$AE$505,"○")&gt;0,1,0))</f>
        <v/>
      </c>
      <c r="DQ145">
        <f>IF(DQ$4=0,0,IF(COUNTIFS(実績!$W$6:$W$505,DQ$3,実績!$AC$6:$AC$505,"&lt;="&amp;$A145,実績!$AD$6:$AD$505,"&gt;"&amp;$A145,実績!$AE$6:$AE$505,"○")&gt;0,1,0))</f>
        <v/>
      </c>
      <c r="DR145">
        <f>IF(DR$4=0,0,IF(COUNTIFS(実績!$W$6:$W$505,DR$3,実績!$AC$6:$AC$505,"&lt;="&amp;$A145,実績!$AD$6:$AD$505,"&gt;"&amp;$A145,実績!$AE$6:$AE$505,"○")&gt;0,1,0))</f>
        <v/>
      </c>
      <c r="DS145">
        <f>SUM(C145:DR145)</f>
        <v/>
      </c>
      <c r="DT145">
        <f>SUMPRODUCT((実績!$C$6:$C$505="○")*ISNUMBER(実績!$AF$6:$AF$505)*(実績!$AF$6:$AF$505&lt;=$A145)*(実績!$AG$6:$AG$505&gt;$A145))</f>
        <v/>
      </c>
      <c r="DU145">
        <f>SUMIF($C$2:$DR$2,"製鉄曳船",C145:DR145)</f>
        <v/>
      </c>
      <c r="DV145">
        <f>SUMIF($C$2:$DR$2,"西日本海運",C145:DR145)</f>
        <v/>
      </c>
    </row>
    <row r="146">
      <c r="A146" t="n">
        <v>700</v>
      </c>
      <c r="B146" s="29">
        <f>A146/1440</f>
        <v/>
      </c>
      <c r="C146">
        <f>IF(C$4=0,0,IF(COUNTIFS(実績!$W$6:$W$505,C$3,実績!$AC$6:$AC$505,"&lt;="&amp;$A146,実績!$AD$6:$AD$505,"&gt;"&amp;$A146,実績!$AE$6:$AE$505,"○")&gt;0,1,0))</f>
        <v/>
      </c>
      <c r="D146">
        <f>IF(D$4=0,0,IF(COUNTIFS(実績!$W$6:$W$505,D$3,実績!$AC$6:$AC$505,"&lt;="&amp;$A146,実績!$AD$6:$AD$505,"&gt;"&amp;$A146,実績!$AE$6:$AE$505,"○")&gt;0,1,0))</f>
        <v/>
      </c>
      <c r="E146">
        <f>IF(E$4=0,0,IF(COUNTIFS(実績!$W$6:$W$505,E$3,実績!$AC$6:$AC$505,"&lt;="&amp;$A146,実績!$AD$6:$AD$505,"&gt;"&amp;$A146,実績!$AE$6:$AE$505,"○")&gt;0,1,0))</f>
        <v/>
      </c>
      <c r="F146">
        <f>IF(F$4=0,0,IF(COUNTIFS(実績!$W$6:$W$505,F$3,実績!$AC$6:$AC$505,"&lt;="&amp;$A146,実績!$AD$6:$AD$505,"&gt;"&amp;$A146,実績!$AE$6:$AE$505,"○")&gt;0,1,0))</f>
        <v/>
      </c>
      <c r="G146">
        <f>IF(G$4=0,0,IF(COUNTIFS(実績!$W$6:$W$505,G$3,実績!$AC$6:$AC$505,"&lt;="&amp;$A146,実績!$AD$6:$AD$505,"&gt;"&amp;$A146,実績!$AE$6:$AE$505,"○")&gt;0,1,0))</f>
        <v/>
      </c>
      <c r="H146">
        <f>IF(H$4=0,0,IF(COUNTIFS(実績!$W$6:$W$505,H$3,実績!$AC$6:$AC$505,"&lt;="&amp;$A146,実績!$AD$6:$AD$505,"&gt;"&amp;$A146,実績!$AE$6:$AE$505,"○")&gt;0,1,0))</f>
        <v/>
      </c>
      <c r="I146">
        <f>IF(I$4=0,0,IF(COUNTIFS(実績!$W$6:$W$505,I$3,実績!$AC$6:$AC$505,"&lt;="&amp;$A146,実績!$AD$6:$AD$505,"&gt;"&amp;$A146,実績!$AE$6:$AE$505,"○")&gt;0,1,0))</f>
        <v/>
      </c>
      <c r="J146">
        <f>IF(J$4=0,0,IF(COUNTIFS(実績!$W$6:$W$505,J$3,実績!$AC$6:$AC$505,"&lt;="&amp;$A146,実績!$AD$6:$AD$505,"&gt;"&amp;$A146,実績!$AE$6:$AE$505,"○")&gt;0,1,0))</f>
        <v/>
      </c>
      <c r="K146">
        <f>IF(K$4=0,0,IF(COUNTIFS(実績!$W$6:$W$505,K$3,実績!$AC$6:$AC$505,"&lt;="&amp;$A146,実績!$AD$6:$AD$505,"&gt;"&amp;$A146,実績!$AE$6:$AE$505,"○")&gt;0,1,0))</f>
        <v/>
      </c>
      <c r="L146">
        <f>IF(L$4=0,0,IF(COUNTIFS(実績!$W$6:$W$505,L$3,実績!$AC$6:$AC$505,"&lt;="&amp;$A146,実績!$AD$6:$AD$505,"&gt;"&amp;$A146,実績!$AE$6:$AE$505,"○")&gt;0,1,0))</f>
        <v/>
      </c>
      <c r="M146">
        <f>IF(M$4=0,0,IF(COUNTIFS(実績!$W$6:$W$505,M$3,実績!$AC$6:$AC$505,"&lt;="&amp;$A146,実績!$AD$6:$AD$505,"&gt;"&amp;$A146,実績!$AE$6:$AE$505,"○")&gt;0,1,0))</f>
        <v/>
      </c>
      <c r="N146">
        <f>IF(N$4=0,0,IF(COUNTIFS(実績!$W$6:$W$505,N$3,実績!$AC$6:$AC$505,"&lt;="&amp;$A146,実績!$AD$6:$AD$505,"&gt;"&amp;$A146,実績!$AE$6:$AE$505,"○")&gt;0,1,0))</f>
        <v/>
      </c>
      <c r="O146">
        <f>IF(O$4=0,0,IF(COUNTIFS(実績!$W$6:$W$505,O$3,実績!$AC$6:$AC$505,"&lt;="&amp;$A146,実績!$AD$6:$AD$505,"&gt;"&amp;$A146,実績!$AE$6:$AE$505,"○")&gt;0,1,0))</f>
        <v/>
      </c>
      <c r="P146">
        <f>IF(P$4=0,0,IF(COUNTIFS(実績!$W$6:$W$505,P$3,実績!$AC$6:$AC$505,"&lt;="&amp;$A146,実績!$AD$6:$AD$505,"&gt;"&amp;$A146,実績!$AE$6:$AE$505,"○")&gt;0,1,0))</f>
        <v/>
      </c>
      <c r="Q146">
        <f>IF(Q$4=0,0,IF(COUNTIFS(実績!$W$6:$W$505,Q$3,実績!$AC$6:$AC$505,"&lt;="&amp;$A146,実績!$AD$6:$AD$505,"&gt;"&amp;$A146,実績!$AE$6:$AE$505,"○")&gt;0,1,0))</f>
        <v/>
      </c>
      <c r="R146">
        <f>IF(R$4=0,0,IF(COUNTIFS(実績!$W$6:$W$505,R$3,実績!$AC$6:$AC$505,"&lt;="&amp;$A146,実績!$AD$6:$AD$505,"&gt;"&amp;$A146,実績!$AE$6:$AE$505,"○")&gt;0,1,0))</f>
        <v/>
      </c>
      <c r="S146">
        <f>IF(S$4=0,0,IF(COUNTIFS(実績!$W$6:$W$505,S$3,実績!$AC$6:$AC$505,"&lt;="&amp;$A146,実績!$AD$6:$AD$505,"&gt;"&amp;$A146,実績!$AE$6:$AE$505,"○")&gt;0,1,0))</f>
        <v/>
      </c>
      <c r="T146">
        <f>IF(T$4=0,0,IF(COUNTIFS(実績!$W$6:$W$505,T$3,実績!$AC$6:$AC$505,"&lt;="&amp;$A146,実績!$AD$6:$AD$505,"&gt;"&amp;$A146,実績!$AE$6:$AE$505,"○")&gt;0,1,0))</f>
        <v/>
      </c>
      <c r="U146">
        <f>IF(U$4=0,0,IF(COUNTIFS(実績!$W$6:$W$505,U$3,実績!$AC$6:$AC$505,"&lt;="&amp;$A146,実績!$AD$6:$AD$505,"&gt;"&amp;$A146,実績!$AE$6:$AE$505,"○")&gt;0,1,0))</f>
        <v/>
      </c>
      <c r="V146">
        <f>IF(V$4=0,0,IF(COUNTIFS(実績!$W$6:$W$505,V$3,実績!$AC$6:$AC$505,"&lt;="&amp;$A146,実績!$AD$6:$AD$505,"&gt;"&amp;$A146,実績!$AE$6:$AE$505,"○")&gt;0,1,0))</f>
        <v/>
      </c>
      <c r="W146">
        <f>IF(W$4=0,0,IF(COUNTIFS(実績!$W$6:$W$505,W$3,実績!$AC$6:$AC$505,"&lt;="&amp;$A146,実績!$AD$6:$AD$505,"&gt;"&amp;$A146,実績!$AE$6:$AE$505,"○")&gt;0,1,0))</f>
        <v/>
      </c>
      <c r="X146">
        <f>IF(X$4=0,0,IF(COUNTIFS(実績!$W$6:$W$505,X$3,実績!$AC$6:$AC$505,"&lt;="&amp;$A146,実績!$AD$6:$AD$505,"&gt;"&amp;$A146,実績!$AE$6:$AE$505,"○")&gt;0,1,0))</f>
        <v/>
      </c>
      <c r="Y146">
        <f>IF(Y$4=0,0,IF(COUNTIFS(実績!$W$6:$W$505,Y$3,実績!$AC$6:$AC$505,"&lt;="&amp;$A146,実績!$AD$6:$AD$505,"&gt;"&amp;$A146,実績!$AE$6:$AE$505,"○")&gt;0,1,0))</f>
        <v/>
      </c>
      <c r="Z146">
        <f>IF(Z$4=0,0,IF(COUNTIFS(実績!$W$6:$W$505,Z$3,実績!$AC$6:$AC$505,"&lt;="&amp;$A146,実績!$AD$6:$AD$505,"&gt;"&amp;$A146,実績!$AE$6:$AE$505,"○")&gt;0,1,0))</f>
        <v/>
      </c>
      <c r="AA146">
        <f>IF(AA$4=0,0,IF(COUNTIFS(実績!$W$6:$W$505,AA$3,実績!$AC$6:$AC$505,"&lt;="&amp;$A146,実績!$AD$6:$AD$505,"&gt;"&amp;$A146,実績!$AE$6:$AE$505,"○")&gt;0,1,0))</f>
        <v/>
      </c>
      <c r="AB146">
        <f>IF(AB$4=0,0,IF(COUNTIFS(実績!$W$6:$W$505,AB$3,実績!$AC$6:$AC$505,"&lt;="&amp;$A146,実績!$AD$6:$AD$505,"&gt;"&amp;$A146,実績!$AE$6:$AE$505,"○")&gt;0,1,0))</f>
        <v/>
      </c>
      <c r="AC146">
        <f>IF(AC$4=0,0,IF(COUNTIFS(実績!$W$6:$W$505,AC$3,実績!$AC$6:$AC$505,"&lt;="&amp;$A146,実績!$AD$6:$AD$505,"&gt;"&amp;$A146,実績!$AE$6:$AE$505,"○")&gt;0,1,0))</f>
        <v/>
      </c>
      <c r="AD146">
        <f>IF(AD$4=0,0,IF(COUNTIFS(実績!$W$6:$W$505,AD$3,実績!$AC$6:$AC$505,"&lt;="&amp;$A146,実績!$AD$6:$AD$505,"&gt;"&amp;$A146,実績!$AE$6:$AE$505,"○")&gt;0,1,0))</f>
        <v/>
      </c>
      <c r="AE146">
        <f>IF(AE$4=0,0,IF(COUNTIFS(実績!$W$6:$W$505,AE$3,実績!$AC$6:$AC$505,"&lt;="&amp;$A146,実績!$AD$6:$AD$505,"&gt;"&amp;$A146,実績!$AE$6:$AE$505,"○")&gt;0,1,0))</f>
        <v/>
      </c>
      <c r="AF146">
        <f>IF(AF$4=0,0,IF(COUNTIFS(実績!$W$6:$W$505,AF$3,実績!$AC$6:$AC$505,"&lt;="&amp;$A146,実績!$AD$6:$AD$505,"&gt;"&amp;$A146,実績!$AE$6:$AE$505,"○")&gt;0,1,0))</f>
        <v/>
      </c>
      <c r="AG146">
        <f>IF(AG$4=0,0,IF(COUNTIFS(実績!$W$6:$W$505,AG$3,実績!$AC$6:$AC$505,"&lt;="&amp;$A146,実績!$AD$6:$AD$505,"&gt;"&amp;$A146,実績!$AE$6:$AE$505,"○")&gt;0,1,0))</f>
        <v/>
      </c>
      <c r="AH146">
        <f>IF(AH$4=0,0,IF(COUNTIFS(実績!$W$6:$W$505,AH$3,実績!$AC$6:$AC$505,"&lt;="&amp;$A146,実績!$AD$6:$AD$505,"&gt;"&amp;$A146,実績!$AE$6:$AE$505,"○")&gt;0,1,0))</f>
        <v/>
      </c>
      <c r="AI146">
        <f>IF(AI$4=0,0,IF(COUNTIFS(実績!$W$6:$W$505,AI$3,実績!$AC$6:$AC$505,"&lt;="&amp;$A146,実績!$AD$6:$AD$505,"&gt;"&amp;$A146,実績!$AE$6:$AE$505,"○")&gt;0,1,0))</f>
        <v/>
      </c>
      <c r="AJ146">
        <f>IF(AJ$4=0,0,IF(COUNTIFS(実績!$W$6:$W$505,AJ$3,実績!$AC$6:$AC$505,"&lt;="&amp;$A146,実績!$AD$6:$AD$505,"&gt;"&amp;$A146,実績!$AE$6:$AE$505,"○")&gt;0,1,0))</f>
        <v/>
      </c>
      <c r="AK146">
        <f>IF(AK$4=0,0,IF(COUNTIFS(実績!$W$6:$W$505,AK$3,実績!$AC$6:$AC$505,"&lt;="&amp;$A146,実績!$AD$6:$AD$505,"&gt;"&amp;$A146,実績!$AE$6:$AE$505,"○")&gt;0,1,0))</f>
        <v/>
      </c>
      <c r="AL146">
        <f>IF(AL$4=0,0,IF(COUNTIFS(実績!$W$6:$W$505,AL$3,実績!$AC$6:$AC$505,"&lt;="&amp;$A146,実績!$AD$6:$AD$505,"&gt;"&amp;$A146,実績!$AE$6:$AE$505,"○")&gt;0,1,0))</f>
        <v/>
      </c>
      <c r="AM146">
        <f>IF(AM$4=0,0,IF(COUNTIFS(実績!$W$6:$W$505,AM$3,実績!$AC$6:$AC$505,"&lt;="&amp;$A146,実績!$AD$6:$AD$505,"&gt;"&amp;$A146,実績!$AE$6:$AE$505,"○")&gt;0,1,0))</f>
        <v/>
      </c>
      <c r="AN146">
        <f>IF(AN$4=0,0,IF(COUNTIFS(実績!$W$6:$W$505,AN$3,実績!$AC$6:$AC$505,"&lt;="&amp;$A146,実績!$AD$6:$AD$505,"&gt;"&amp;$A146,実績!$AE$6:$AE$505,"○")&gt;0,1,0))</f>
        <v/>
      </c>
      <c r="AO146">
        <f>IF(AO$4=0,0,IF(COUNTIFS(実績!$W$6:$W$505,AO$3,実績!$AC$6:$AC$505,"&lt;="&amp;$A146,実績!$AD$6:$AD$505,"&gt;"&amp;$A146,実績!$AE$6:$AE$505,"○")&gt;0,1,0))</f>
        <v/>
      </c>
      <c r="AP146">
        <f>IF(AP$4=0,0,IF(COUNTIFS(実績!$W$6:$W$505,AP$3,実績!$AC$6:$AC$505,"&lt;="&amp;$A146,実績!$AD$6:$AD$505,"&gt;"&amp;$A146,実績!$AE$6:$AE$505,"○")&gt;0,1,0))</f>
        <v/>
      </c>
      <c r="AQ146">
        <f>IF(AQ$4=0,0,IF(COUNTIFS(実績!$W$6:$W$505,AQ$3,実績!$AC$6:$AC$505,"&lt;="&amp;$A146,実績!$AD$6:$AD$505,"&gt;"&amp;$A146,実績!$AE$6:$AE$505,"○")&gt;0,1,0))</f>
        <v/>
      </c>
      <c r="AR146">
        <f>IF(AR$4=0,0,IF(COUNTIFS(実績!$W$6:$W$505,AR$3,実績!$AC$6:$AC$505,"&lt;="&amp;$A146,実績!$AD$6:$AD$505,"&gt;"&amp;$A146,実績!$AE$6:$AE$505,"○")&gt;0,1,0))</f>
        <v/>
      </c>
      <c r="AS146">
        <f>IF(AS$4=0,0,IF(COUNTIFS(実績!$W$6:$W$505,AS$3,実績!$AC$6:$AC$505,"&lt;="&amp;$A146,実績!$AD$6:$AD$505,"&gt;"&amp;$A146,実績!$AE$6:$AE$505,"○")&gt;0,1,0))</f>
        <v/>
      </c>
      <c r="AT146">
        <f>IF(AT$4=0,0,IF(COUNTIFS(実績!$W$6:$W$505,AT$3,実績!$AC$6:$AC$505,"&lt;="&amp;$A146,実績!$AD$6:$AD$505,"&gt;"&amp;$A146,実績!$AE$6:$AE$505,"○")&gt;0,1,0))</f>
        <v/>
      </c>
      <c r="AU146">
        <f>IF(AU$4=0,0,IF(COUNTIFS(実績!$W$6:$W$505,AU$3,実績!$AC$6:$AC$505,"&lt;="&amp;$A146,実績!$AD$6:$AD$505,"&gt;"&amp;$A146,実績!$AE$6:$AE$505,"○")&gt;0,1,0))</f>
        <v/>
      </c>
      <c r="AV146">
        <f>IF(AV$4=0,0,IF(COUNTIFS(実績!$W$6:$W$505,AV$3,実績!$AC$6:$AC$505,"&lt;="&amp;$A146,実績!$AD$6:$AD$505,"&gt;"&amp;$A146,実績!$AE$6:$AE$505,"○")&gt;0,1,0))</f>
        <v/>
      </c>
      <c r="AW146">
        <f>IF(AW$4=0,0,IF(COUNTIFS(実績!$W$6:$W$505,AW$3,実績!$AC$6:$AC$505,"&lt;="&amp;$A146,実績!$AD$6:$AD$505,"&gt;"&amp;$A146,実績!$AE$6:$AE$505,"○")&gt;0,1,0))</f>
        <v/>
      </c>
      <c r="AX146">
        <f>IF(AX$4=0,0,IF(COUNTIFS(実績!$W$6:$W$505,AX$3,実績!$AC$6:$AC$505,"&lt;="&amp;$A146,実績!$AD$6:$AD$505,"&gt;"&amp;$A146,実績!$AE$6:$AE$505,"○")&gt;0,1,0))</f>
        <v/>
      </c>
      <c r="AY146">
        <f>IF(AY$4=0,0,IF(COUNTIFS(実績!$W$6:$W$505,AY$3,実績!$AC$6:$AC$505,"&lt;="&amp;$A146,実績!$AD$6:$AD$505,"&gt;"&amp;$A146,実績!$AE$6:$AE$505,"○")&gt;0,1,0))</f>
        <v/>
      </c>
      <c r="AZ146">
        <f>IF(AZ$4=0,0,IF(COUNTIFS(実績!$W$6:$W$505,AZ$3,実績!$AC$6:$AC$505,"&lt;="&amp;$A146,実績!$AD$6:$AD$505,"&gt;"&amp;$A146,実績!$AE$6:$AE$505,"○")&gt;0,1,0))</f>
        <v/>
      </c>
      <c r="BA146">
        <f>IF(BA$4=0,0,IF(COUNTIFS(実績!$W$6:$W$505,BA$3,実績!$AC$6:$AC$505,"&lt;="&amp;$A146,実績!$AD$6:$AD$505,"&gt;"&amp;$A146,実績!$AE$6:$AE$505,"○")&gt;0,1,0))</f>
        <v/>
      </c>
      <c r="BB146">
        <f>IF(BB$4=0,0,IF(COUNTIFS(実績!$W$6:$W$505,BB$3,実績!$AC$6:$AC$505,"&lt;="&amp;$A146,実績!$AD$6:$AD$505,"&gt;"&amp;$A146,実績!$AE$6:$AE$505,"○")&gt;0,1,0))</f>
        <v/>
      </c>
      <c r="BC146">
        <f>IF(BC$4=0,0,IF(COUNTIFS(実績!$W$6:$W$505,BC$3,実績!$AC$6:$AC$505,"&lt;="&amp;$A146,実績!$AD$6:$AD$505,"&gt;"&amp;$A146,実績!$AE$6:$AE$505,"○")&gt;0,1,0))</f>
        <v/>
      </c>
      <c r="BD146">
        <f>IF(BD$4=0,0,IF(COUNTIFS(実績!$W$6:$W$505,BD$3,実績!$AC$6:$AC$505,"&lt;="&amp;$A146,実績!$AD$6:$AD$505,"&gt;"&amp;$A146,実績!$AE$6:$AE$505,"○")&gt;0,1,0))</f>
        <v/>
      </c>
      <c r="BE146">
        <f>IF(BE$4=0,0,IF(COUNTIFS(実績!$W$6:$W$505,BE$3,実績!$AC$6:$AC$505,"&lt;="&amp;$A146,実績!$AD$6:$AD$505,"&gt;"&amp;$A146,実績!$AE$6:$AE$505,"○")&gt;0,1,0))</f>
        <v/>
      </c>
      <c r="BF146">
        <f>IF(BF$4=0,0,IF(COUNTIFS(実績!$W$6:$W$505,BF$3,実績!$AC$6:$AC$505,"&lt;="&amp;$A146,実績!$AD$6:$AD$505,"&gt;"&amp;$A146,実績!$AE$6:$AE$505,"○")&gt;0,1,0))</f>
        <v/>
      </c>
      <c r="BG146">
        <f>IF(BG$4=0,0,IF(COUNTIFS(実績!$W$6:$W$505,BG$3,実績!$AC$6:$AC$505,"&lt;="&amp;$A146,実績!$AD$6:$AD$505,"&gt;"&amp;$A146,実績!$AE$6:$AE$505,"○")&gt;0,1,0))</f>
        <v/>
      </c>
      <c r="BH146">
        <f>IF(BH$4=0,0,IF(COUNTIFS(実績!$W$6:$W$505,BH$3,実績!$AC$6:$AC$505,"&lt;="&amp;$A146,実績!$AD$6:$AD$505,"&gt;"&amp;$A146,実績!$AE$6:$AE$505,"○")&gt;0,1,0))</f>
        <v/>
      </c>
      <c r="BI146">
        <f>IF(BI$4=0,0,IF(COUNTIFS(実績!$W$6:$W$505,BI$3,実績!$AC$6:$AC$505,"&lt;="&amp;$A146,実績!$AD$6:$AD$505,"&gt;"&amp;$A146,実績!$AE$6:$AE$505,"○")&gt;0,1,0))</f>
        <v/>
      </c>
      <c r="BJ146">
        <f>IF(BJ$4=0,0,IF(COUNTIFS(実績!$W$6:$W$505,BJ$3,実績!$AC$6:$AC$505,"&lt;="&amp;$A146,実績!$AD$6:$AD$505,"&gt;"&amp;$A146,実績!$AE$6:$AE$505,"○")&gt;0,1,0))</f>
        <v/>
      </c>
      <c r="BK146">
        <f>IF(BK$4=0,0,IF(COUNTIFS(実績!$W$6:$W$505,BK$3,実績!$AC$6:$AC$505,"&lt;="&amp;$A146,実績!$AD$6:$AD$505,"&gt;"&amp;$A146,実績!$AE$6:$AE$505,"○")&gt;0,1,0))</f>
        <v/>
      </c>
      <c r="BL146">
        <f>IF(BL$4=0,0,IF(COUNTIFS(実績!$W$6:$W$505,BL$3,実績!$AC$6:$AC$505,"&lt;="&amp;$A146,実績!$AD$6:$AD$505,"&gt;"&amp;$A146,実績!$AE$6:$AE$505,"○")&gt;0,1,0))</f>
        <v/>
      </c>
      <c r="BM146">
        <f>IF(BM$4=0,0,IF(COUNTIFS(実績!$W$6:$W$505,BM$3,実績!$AC$6:$AC$505,"&lt;="&amp;$A146,実績!$AD$6:$AD$505,"&gt;"&amp;$A146,実績!$AE$6:$AE$505,"○")&gt;0,1,0))</f>
        <v/>
      </c>
      <c r="BN146">
        <f>IF(BN$4=0,0,IF(COUNTIFS(実績!$W$6:$W$505,BN$3,実績!$AC$6:$AC$505,"&lt;="&amp;$A146,実績!$AD$6:$AD$505,"&gt;"&amp;$A146,実績!$AE$6:$AE$505,"○")&gt;0,1,0))</f>
        <v/>
      </c>
      <c r="BO146">
        <f>IF(BO$4=0,0,IF(COUNTIFS(実績!$W$6:$W$505,BO$3,実績!$AC$6:$AC$505,"&lt;="&amp;$A146,実績!$AD$6:$AD$505,"&gt;"&amp;$A146,実績!$AE$6:$AE$505,"○")&gt;0,1,0))</f>
        <v/>
      </c>
      <c r="BP146">
        <f>IF(BP$4=0,0,IF(COUNTIFS(実績!$W$6:$W$505,BP$3,実績!$AC$6:$AC$505,"&lt;="&amp;$A146,実績!$AD$6:$AD$505,"&gt;"&amp;$A146,実績!$AE$6:$AE$505,"○")&gt;0,1,0))</f>
        <v/>
      </c>
      <c r="BQ146">
        <f>IF(BQ$4=0,0,IF(COUNTIFS(実績!$W$6:$W$505,BQ$3,実績!$AC$6:$AC$505,"&lt;="&amp;$A146,実績!$AD$6:$AD$505,"&gt;"&amp;$A146,実績!$AE$6:$AE$505,"○")&gt;0,1,0))</f>
        <v/>
      </c>
      <c r="BR146">
        <f>IF(BR$4=0,0,IF(COUNTIFS(実績!$W$6:$W$505,BR$3,実績!$AC$6:$AC$505,"&lt;="&amp;$A146,実績!$AD$6:$AD$505,"&gt;"&amp;$A146,実績!$AE$6:$AE$505,"○")&gt;0,1,0))</f>
        <v/>
      </c>
      <c r="BS146">
        <f>IF(BS$4=0,0,IF(COUNTIFS(実績!$W$6:$W$505,BS$3,実績!$AC$6:$AC$505,"&lt;="&amp;$A146,実績!$AD$6:$AD$505,"&gt;"&amp;$A146,実績!$AE$6:$AE$505,"○")&gt;0,1,0))</f>
        <v/>
      </c>
      <c r="BT146">
        <f>IF(BT$4=0,0,IF(COUNTIFS(実績!$W$6:$W$505,BT$3,実績!$AC$6:$AC$505,"&lt;="&amp;$A146,実績!$AD$6:$AD$505,"&gt;"&amp;$A146,実績!$AE$6:$AE$505,"○")&gt;0,1,0))</f>
        <v/>
      </c>
      <c r="BU146">
        <f>IF(BU$4=0,0,IF(COUNTIFS(実績!$W$6:$W$505,BU$3,実績!$AC$6:$AC$505,"&lt;="&amp;$A146,実績!$AD$6:$AD$505,"&gt;"&amp;$A146,実績!$AE$6:$AE$505,"○")&gt;0,1,0))</f>
        <v/>
      </c>
      <c r="BV146">
        <f>IF(BV$4=0,0,IF(COUNTIFS(実績!$W$6:$W$505,BV$3,実績!$AC$6:$AC$505,"&lt;="&amp;$A146,実績!$AD$6:$AD$505,"&gt;"&amp;$A146,実績!$AE$6:$AE$505,"○")&gt;0,1,0))</f>
        <v/>
      </c>
      <c r="BW146">
        <f>IF(BW$4=0,0,IF(COUNTIFS(実績!$W$6:$W$505,BW$3,実績!$AC$6:$AC$505,"&lt;="&amp;$A146,実績!$AD$6:$AD$505,"&gt;"&amp;$A146,実績!$AE$6:$AE$505,"○")&gt;0,1,0))</f>
        <v/>
      </c>
      <c r="BX146">
        <f>IF(BX$4=0,0,IF(COUNTIFS(実績!$W$6:$W$505,BX$3,実績!$AC$6:$AC$505,"&lt;="&amp;$A146,実績!$AD$6:$AD$505,"&gt;"&amp;$A146,実績!$AE$6:$AE$505,"○")&gt;0,1,0))</f>
        <v/>
      </c>
      <c r="BY146">
        <f>IF(BY$4=0,0,IF(COUNTIFS(実績!$W$6:$W$505,BY$3,実績!$AC$6:$AC$505,"&lt;="&amp;$A146,実績!$AD$6:$AD$505,"&gt;"&amp;$A146,実績!$AE$6:$AE$505,"○")&gt;0,1,0))</f>
        <v/>
      </c>
      <c r="BZ146">
        <f>IF(BZ$4=0,0,IF(COUNTIFS(実績!$W$6:$W$505,BZ$3,実績!$AC$6:$AC$505,"&lt;="&amp;$A146,実績!$AD$6:$AD$505,"&gt;"&amp;$A146,実績!$AE$6:$AE$505,"○")&gt;0,1,0))</f>
        <v/>
      </c>
      <c r="CA146">
        <f>IF(CA$4=0,0,IF(COUNTIFS(実績!$W$6:$W$505,CA$3,実績!$AC$6:$AC$505,"&lt;="&amp;$A146,実績!$AD$6:$AD$505,"&gt;"&amp;$A146,実績!$AE$6:$AE$505,"○")&gt;0,1,0))</f>
        <v/>
      </c>
      <c r="CB146">
        <f>IF(CB$4=0,0,IF(COUNTIFS(実績!$W$6:$W$505,CB$3,実績!$AC$6:$AC$505,"&lt;="&amp;$A146,実績!$AD$6:$AD$505,"&gt;"&amp;$A146,実績!$AE$6:$AE$505,"○")&gt;0,1,0))</f>
        <v/>
      </c>
      <c r="CC146">
        <f>IF(CC$4=0,0,IF(COUNTIFS(実績!$W$6:$W$505,CC$3,実績!$AC$6:$AC$505,"&lt;="&amp;$A146,実績!$AD$6:$AD$505,"&gt;"&amp;$A146,実績!$AE$6:$AE$505,"○")&gt;0,1,0))</f>
        <v/>
      </c>
      <c r="CD146">
        <f>IF(CD$4=0,0,IF(COUNTIFS(実績!$W$6:$W$505,CD$3,実績!$AC$6:$AC$505,"&lt;="&amp;$A146,実績!$AD$6:$AD$505,"&gt;"&amp;$A146,実績!$AE$6:$AE$505,"○")&gt;0,1,0))</f>
        <v/>
      </c>
      <c r="CE146">
        <f>IF(CE$4=0,0,IF(COUNTIFS(実績!$W$6:$W$505,CE$3,実績!$AC$6:$AC$505,"&lt;="&amp;$A146,実績!$AD$6:$AD$505,"&gt;"&amp;$A146,実績!$AE$6:$AE$505,"○")&gt;0,1,0))</f>
        <v/>
      </c>
      <c r="CF146">
        <f>IF(CF$4=0,0,IF(COUNTIFS(実績!$W$6:$W$505,CF$3,実績!$AC$6:$AC$505,"&lt;="&amp;$A146,実績!$AD$6:$AD$505,"&gt;"&amp;$A146,実績!$AE$6:$AE$505,"○")&gt;0,1,0))</f>
        <v/>
      </c>
      <c r="CG146">
        <f>IF(CG$4=0,0,IF(COUNTIFS(実績!$W$6:$W$505,CG$3,実績!$AC$6:$AC$505,"&lt;="&amp;$A146,実績!$AD$6:$AD$505,"&gt;"&amp;$A146,実績!$AE$6:$AE$505,"○")&gt;0,1,0))</f>
        <v/>
      </c>
      <c r="CH146">
        <f>IF(CH$4=0,0,IF(COUNTIFS(実績!$W$6:$W$505,CH$3,実績!$AC$6:$AC$505,"&lt;="&amp;$A146,実績!$AD$6:$AD$505,"&gt;"&amp;$A146,実績!$AE$6:$AE$505,"○")&gt;0,1,0))</f>
        <v/>
      </c>
      <c r="CI146">
        <f>IF(CI$4=0,0,IF(COUNTIFS(実績!$W$6:$W$505,CI$3,実績!$AC$6:$AC$505,"&lt;="&amp;$A146,実績!$AD$6:$AD$505,"&gt;"&amp;$A146,実績!$AE$6:$AE$505,"○")&gt;0,1,0))</f>
        <v/>
      </c>
      <c r="CJ146">
        <f>IF(CJ$4=0,0,IF(COUNTIFS(実績!$W$6:$W$505,CJ$3,実績!$AC$6:$AC$505,"&lt;="&amp;$A146,実績!$AD$6:$AD$505,"&gt;"&amp;$A146,実績!$AE$6:$AE$505,"○")&gt;0,1,0))</f>
        <v/>
      </c>
      <c r="CK146">
        <f>IF(CK$4=0,0,IF(COUNTIFS(実績!$W$6:$W$505,CK$3,実績!$AC$6:$AC$505,"&lt;="&amp;$A146,実績!$AD$6:$AD$505,"&gt;"&amp;$A146,実績!$AE$6:$AE$505,"○")&gt;0,1,0))</f>
        <v/>
      </c>
      <c r="CL146">
        <f>IF(CL$4=0,0,IF(COUNTIFS(実績!$W$6:$W$505,CL$3,実績!$AC$6:$AC$505,"&lt;="&amp;$A146,実績!$AD$6:$AD$505,"&gt;"&amp;$A146,実績!$AE$6:$AE$505,"○")&gt;0,1,0))</f>
        <v/>
      </c>
      <c r="CM146">
        <f>IF(CM$4=0,0,IF(COUNTIFS(実績!$W$6:$W$505,CM$3,実績!$AC$6:$AC$505,"&lt;="&amp;$A146,実績!$AD$6:$AD$505,"&gt;"&amp;$A146,実績!$AE$6:$AE$505,"○")&gt;0,1,0))</f>
        <v/>
      </c>
      <c r="CN146">
        <f>IF(CN$4=0,0,IF(COUNTIFS(実績!$W$6:$W$505,CN$3,実績!$AC$6:$AC$505,"&lt;="&amp;$A146,実績!$AD$6:$AD$505,"&gt;"&amp;$A146,実績!$AE$6:$AE$505,"○")&gt;0,1,0))</f>
        <v/>
      </c>
      <c r="CO146">
        <f>IF(CO$4=0,0,IF(COUNTIFS(実績!$W$6:$W$505,CO$3,実績!$AC$6:$AC$505,"&lt;="&amp;$A146,実績!$AD$6:$AD$505,"&gt;"&amp;$A146,実績!$AE$6:$AE$505,"○")&gt;0,1,0))</f>
        <v/>
      </c>
      <c r="CP146">
        <f>IF(CP$4=0,0,IF(COUNTIFS(実績!$W$6:$W$505,CP$3,実績!$AC$6:$AC$505,"&lt;="&amp;$A146,実績!$AD$6:$AD$505,"&gt;"&amp;$A146,実績!$AE$6:$AE$505,"○")&gt;0,1,0))</f>
        <v/>
      </c>
      <c r="CQ146">
        <f>IF(CQ$4=0,0,IF(COUNTIFS(実績!$W$6:$W$505,CQ$3,実績!$AC$6:$AC$505,"&lt;="&amp;$A146,実績!$AD$6:$AD$505,"&gt;"&amp;$A146,実績!$AE$6:$AE$505,"○")&gt;0,1,0))</f>
        <v/>
      </c>
      <c r="CR146">
        <f>IF(CR$4=0,0,IF(COUNTIFS(実績!$W$6:$W$505,CR$3,実績!$AC$6:$AC$505,"&lt;="&amp;$A146,実績!$AD$6:$AD$505,"&gt;"&amp;$A146,実績!$AE$6:$AE$505,"○")&gt;0,1,0))</f>
        <v/>
      </c>
      <c r="CS146">
        <f>IF(CS$4=0,0,IF(COUNTIFS(実績!$W$6:$W$505,CS$3,実績!$AC$6:$AC$505,"&lt;="&amp;$A146,実績!$AD$6:$AD$505,"&gt;"&amp;$A146,実績!$AE$6:$AE$505,"○")&gt;0,1,0))</f>
        <v/>
      </c>
      <c r="CT146">
        <f>IF(CT$4=0,0,IF(COUNTIFS(実績!$W$6:$W$505,CT$3,実績!$AC$6:$AC$505,"&lt;="&amp;$A146,実績!$AD$6:$AD$505,"&gt;"&amp;$A146,実績!$AE$6:$AE$505,"○")&gt;0,1,0))</f>
        <v/>
      </c>
      <c r="CU146">
        <f>IF(CU$4=0,0,IF(COUNTIFS(実績!$W$6:$W$505,CU$3,実績!$AC$6:$AC$505,"&lt;="&amp;$A146,実績!$AD$6:$AD$505,"&gt;"&amp;$A146,実績!$AE$6:$AE$505,"○")&gt;0,1,0))</f>
        <v/>
      </c>
      <c r="CV146">
        <f>IF(CV$4=0,0,IF(COUNTIFS(実績!$W$6:$W$505,CV$3,実績!$AC$6:$AC$505,"&lt;="&amp;$A146,実績!$AD$6:$AD$505,"&gt;"&amp;$A146,実績!$AE$6:$AE$505,"○")&gt;0,1,0))</f>
        <v/>
      </c>
      <c r="CW146">
        <f>IF(CW$4=0,0,IF(COUNTIFS(実績!$W$6:$W$505,CW$3,実績!$AC$6:$AC$505,"&lt;="&amp;$A146,実績!$AD$6:$AD$505,"&gt;"&amp;$A146,実績!$AE$6:$AE$505,"○")&gt;0,1,0))</f>
        <v/>
      </c>
      <c r="CX146">
        <f>IF(CX$4=0,0,IF(COUNTIFS(実績!$W$6:$W$505,CX$3,実績!$AC$6:$AC$505,"&lt;="&amp;$A146,実績!$AD$6:$AD$505,"&gt;"&amp;$A146,実績!$AE$6:$AE$505,"○")&gt;0,1,0))</f>
        <v/>
      </c>
      <c r="CY146">
        <f>IF(CY$4=0,0,IF(COUNTIFS(実績!$W$6:$W$505,CY$3,実績!$AC$6:$AC$505,"&lt;="&amp;$A146,実績!$AD$6:$AD$505,"&gt;"&amp;$A146,実績!$AE$6:$AE$505,"○")&gt;0,1,0))</f>
        <v/>
      </c>
      <c r="CZ146">
        <f>IF(CZ$4=0,0,IF(COUNTIFS(実績!$W$6:$W$505,CZ$3,実績!$AC$6:$AC$505,"&lt;="&amp;$A146,実績!$AD$6:$AD$505,"&gt;"&amp;$A146,実績!$AE$6:$AE$505,"○")&gt;0,1,0))</f>
        <v/>
      </c>
      <c r="DA146">
        <f>IF(DA$4=0,0,IF(COUNTIFS(実績!$W$6:$W$505,DA$3,実績!$AC$6:$AC$505,"&lt;="&amp;$A146,実績!$AD$6:$AD$505,"&gt;"&amp;$A146,実績!$AE$6:$AE$505,"○")&gt;0,1,0))</f>
        <v/>
      </c>
      <c r="DB146">
        <f>IF(DB$4=0,0,IF(COUNTIFS(実績!$W$6:$W$505,DB$3,実績!$AC$6:$AC$505,"&lt;="&amp;$A146,実績!$AD$6:$AD$505,"&gt;"&amp;$A146,実績!$AE$6:$AE$505,"○")&gt;0,1,0))</f>
        <v/>
      </c>
      <c r="DC146">
        <f>IF(DC$4=0,0,IF(COUNTIFS(実績!$W$6:$W$505,DC$3,実績!$AC$6:$AC$505,"&lt;="&amp;$A146,実績!$AD$6:$AD$505,"&gt;"&amp;$A146,実績!$AE$6:$AE$505,"○")&gt;0,1,0))</f>
        <v/>
      </c>
      <c r="DD146">
        <f>IF(DD$4=0,0,IF(COUNTIFS(実績!$W$6:$W$505,DD$3,実績!$AC$6:$AC$505,"&lt;="&amp;$A146,実績!$AD$6:$AD$505,"&gt;"&amp;$A146,実績!$AE$6:$AE$505,"○")&gt;0,1,0))</f>
        <v/>
      </c>
      <c r="DE146">
        <f>IF(DE$4=0,0,IF(COUNTIFS(実績!$W$6:$W$505,DE$3,実績!$AC$6:$AC$505,"&lt;="&amp;$A146,実績!$AD$6:$AD$505,"&gt;"&amp;$A146,実績!$AE$6:$AE$505,"○")&gt;0,1,0))</f>
        <v/>
      </c>
      <c r="DF146">
        <f>IF(DF$4=0,0,IF(COUNTIFS(実績!$W$6:$W$505,DF$3,実績!$AC$6:$AC$505,"&lt;="&amp;$A146,実績!$AD$6:$AD$505,"&gt;"&amp;$A146,実績!$AE$6:$AE$505,"○")&gt;0,1,0))</f>
        <v/>
      </c>
      <c r="DG146">
        <f>IF(DG$4=0,0,IF(COUNTIFS(実績!$W$6:$W$505,DG$3,実績!$AC$6:$AC$505,"&lt;="&amp;$A146,実績!$AD$6:$AD$505,"&gt;"&amp;$A146,実績!$AE$6:$AE$505,"○")&gt;0,1,0))</f>
        <v/>
      </c>
      <c r="DH146">
        <f>IF(DH$4=0,0,IF(COUNTIFS(実績!$W$6:$W$505,DH$3,実績!$AC$6:$AC$505,"&lt;="&amp;$A146,実績!$AD$6:$AD$505,"&gt;"&amp;$A146,実績!$AE$6:$AE$505,"○")&gt;0,1,0))</f>
        <v/>
      </c>
      <c r="DI146">
        <f>IF(DI$4=0,0,IF(COUNTIFS(実績!$W$6:$W$505,DI$3,実績!$AC$6:$AC$505,"&lt;="&amp;$A146,実績!$AD$6:$AD$505,"&gt;"&amp;$A146,実績!$AE$6:$AE$505,"○")&gt;0,1,0))</f>
        <v/>
      </c>
      <c r="DJ146">
        <f>IF(DJ$4=0,0,IF(COUNTIFS(実績!$W$6:$W$505,DJ$3,実績!$AC$6:$AC$505,"&lt;="&amp;$A146,実績!$AD$6:$AD$505,"&gt;"&amp;$A146,実績!$AE$6:$AE$505,"○")&gt;0,1,0))</f>
        <v/>
      </c>
      <c r="DK146">
        <f>IF(DK$4=0,0,IF(COUNTIFS(実績!$W$6:$W$505,DK$3,実績!$AC$6:$AC$505,"&lt;="&amp;$A146,実績!$AD$6:$AD$505,"&gt;"&amp;$A146,実績!$AE$6:$AE$505,"○")&gt;0,1,0))</f>
        <v/>
      </c>
      <c r="DL146">
        <f>IF(DL$4=0,0,IF(COUNTIFS(実績!$W$6:$W$505,DL$3,実績!$AC$6:$AC$505,"&lt;="&amp;$A146,実績!$AD$6:$AD$505,"&gt;"&amp;$A146,実績!$AE$6:$AE$505,"○")&gt;0,1,0))</f>
        <v/>
      </c>
      <c r="DM146">
        <f>IF(DM$4=0,0,IF(COUNTIFS(実績!$W$6:$W$505,DM$3,実績!$AC$6:$AC$505,"&lt;="&amp;$A146,実績!$AD$6:$AD$505,"&gt;"&amp;$A146,実績!$AE$6:$AE$505,"○")&gt;0,1,0))</f>
        <v/>
      </c>
      <c r="DN146">
        <f>IF(DN$4=0,0,IF(COUNTIFS(実績!$W$6:$W$505,DN$3,実績!$AC$6:$AC$505,"&lt;="&amp;$A146,実績!$AD$6:$AD$505,"&gt;"&amp;$A146,実績!$AE$6:$AE$505,"○")&gt;0,1,0))</f>
        <v/>
      </c>
      <c r="DO146">
        <f>IF(DO$4=0,0,IF(COUNTIFS(実績!$W$6:$W$505,DO$3,実績!$AC$6:$AC$505,"&lt;="&amp;$A146,実績!$AD$6:$AD$505,"&gt;"&amp;$A146,実績!$AE$6:$AE$505,"○")&gt;0,1,0))</f>
        <v/>
      </c>
      <c r="DP146">
        <f>IF(DP$4=0,0,IF(COUNTIFS(実績!$W$6:$W$505,DP$3,実績!$AC$6:$AC$505,"&lt;="&amp;$A146,実績!$AD$6:$AD$505,"&gt;"&amp;$A146,実績!$AE$6:$AE$505,"○")&gt;0,1,0))</f>
        <v/>
      </c>
      <c r="DQ146">
        <f>IF(DQ$4=0,0,IF(COUNTIFS(実績!$W$6:$W$505,DQ$3,実績!$AC$6:$AC$505,"&lt;="&amp;$A146,実績!$AD$6:$AD$505,"&gt;"&amp;$A146,実績!$AE$6:$AE$505,"○")&gt;0,1,0))</f>
        <v/>
      </c>
      <c r="DR146">
        <f>IF(DR$4=0,0,IF(COUNTIFS(実績!$W$6:$W$505,DR$3,実績!$AC$6:$AC$505,"&lt;="&amp;$A146,実績!$AD$6:$AD$505,"&gt;"&amp;$A146,実績!$AE$6:$AE$505,"○")&gt;0,1,0))</f>
        <v/>
      </c>
      <c r="DS146">
        <f>SUM(C146:DR146)</f>
        <v/>
      </c>
      <c r="DT146">
        <f>SUMPRODUCT((実績!$C$6:$C$505="○")*ISNUMBER(実績!$AF$6:$AF$505)*(実績!$AF$6:$AF$505&lt;=$A146)*(実績!$AG$6:$AG$505&gt;$A146))</f>
        <v/>
      </c>
      <c r="DU146">
        <f>SUMIF($C$2:$DR$2,"製鉄曳船",C146:DR146)</f>
        <v/>
      </c>
      <c r="DV146">
        <f>SUMIF($C$2:$DR$2,"西日本海運",C146:DR146)</f>
        <v/>
      </c>
    </row>
    <row r="147">
      <c r="A147" t="n">
        <v>705</v>
      </c>
      <c r="B147" s="29">
        <f>A147/1440</f>
        <v/>
      </c>
      <c r="C147">
        <f>IF(C$4=0,0,IF(COUNTIFS(実績!$W$6:$W$505,C$3,実績!$AC$6:$AC$505,"&lt;="&amp;$A147,実績!$AD$6:$AD$505,"&gt;"&amp;$A147,実績!$AE$6:$AE$505,"○")&gt;0,1,0))</f>
        <v/>
      </c>
      <c r="D147">
        <f>IF(D$4=0,0,IF(COUNTIFS(実績!$W$6:$W$505,D$3,実績!$AC$6:$AC$505,"&lt;="&amp;$A147,実績!$AD$6:$AD$505,"&gt;"&amp;$A147,実績!$AE$6:$AE$505,"○")&gt;0,1,0))</f>
        <v/>
      </c>
      <c r="E147">
        <f>IF(E$4=0,0,IF(COUNTIFS(実績!$W$6:$W$505,E$3,実績!$AC$6:$AC$505,"&lt;="&amp;$A147,実績!$AD$6:$AD$505,"&gt;"&amp;$A147,実績!$AE$6:$AE$505,"○")&gt;0,1,0))</f>
        <v/>
      </c>
      <c r="F147">
        <f>IF(F$4=0,0,IF(COUNTIFS(実績!$W$6:$W$505,F$3,実績!$AC$6:$AC$505,"&lt;="&amp;$A147,実績!$AD$6:$AD$505,"&gt;"&amp;$A147,実績!$AE$6:$AE$505,"○")&gt;0,1,0))</f>
        <v/>
      </c>
      <c r="G147">
        <f>IF(G$4=0,0,IF(COUNTIFS(実績!$W$6:$W$505,G$3,実績!$AC$6:$AC$505,"&lt;="&amp;$A147,実績!$AD$6:$AD$505,"&gt;"&amp;$A147,実績!$AE$6:$AE$505,"○")&gt;0,1,0))</f>
        <v/>
      </c>
      <c r="H147">
        <f>IF(H$4=0,0,IF(COUNTIFS(実績!$W$6:$W$505,H$3,実績!$AC$6:$AC$505,"&lt;="&amp;$A147,実績!$AD$6:$AD$505,"&gt;"&amp;$A147,実績!$AE$6:$AE$505,"○")&gt;0,1,0))</f>
        <v/>
      </c>
      <c r="I147">
        <f>IF(I$4=0,0,IF(COUNTIFS(実績!$W$6:$W$505,I$3,実績!$AC$6:$AC$505,"&lt;="&amp;$A147,実績!$AD$6:$AD$505,"&gt;"&amp;$A147,実績!$AE$6:$AE$505,"○")&gt;0,1,0))</f>
        <v/>
      </c>
      <c r="J147">
        <f>IF(J$4=0,0,IF(COUNTIFS(実績!$W$6:$W$505,J$3,実績!$AC$6:$AC$505,"&lt;="&amp;$A147,実績!$AD$6:$AD$505,"&gt;"&amp;$A147,実績!$AE$6:$AE$505,"○")&gt;0,1,0))</f>
        <v/>
      </c>
      <c r="K147">
        <f>IF(K$4=0,0,IF(COUNTIFS(実績!$W$6:$W$505,K$3,実績!$AC$6:$AC$505,"&lt;="&amp;$A147,実績!$AD$6:$AD$505,"&gt;"&amp;$A147,実績!$AE$6:$AE$505,"○")&gt;0,1,0))</f>
        <v/>
      </c>
      <c r="L147">
        <f>IF(L$4=0,0,IF(COUNTIFS(実績!$W$6:$W$505,L$3,実績!$AC$6:$AC$505,"&lt;="&amp;$A147,実績!$AD$6:$AD$505,"&gt;"&amp;$A147,実績!$AE$6:$AE$505,"○")&gt;0,1,0))</f>
        <v/>
      </c>
      <c r="M147">
        <f>IF(M$4=0,0,IF(COUNTIFS(実績!$W$6:$W$505,M$3,実績!$AC$6:$AC$505,"&lt;="&amp;$A147,実績!$AD$6:$AD$505,"&gt;"&amp;$A147,実績!$AE$6:$AE$505,"○")&gt;0,1,0))</f>
        <v/>
      </c>
      <c r="N147">
        <f>IF(N$4=0,0,IF(COUNTIFS(実績!$W$6:$W$505,N$3,実績!$AC$6:$AC$505,"&lt;="&amp;$A147,実績!$AD$6:$AD$505,"&gt;"&amp;$A147,実績!$AE$6:$AE$505,"○")&gt;0,1,0))</f>
        <v/>
      </c>
      <c r="O147">
        <f>IF(O$4=0,0,IF(COUNTIFS(実績!$W$6:$W$505,O$3,実績!$AC$6:$AC$505,"&lt;="&amp;$A147,実績!$AD$6:$AD$505,"&gt;"&amp;$A147,実績!$AE$6:$AE$505,"○")&gt;0,1,0))</f>
        <v/>
      </c>
      <c r="P147">
        <f>IF(P$4=0,0,IF(COUNTIFS(実績!$W$6:$W$505,P$3,実績!$AC$6:$AC$505,"&lt;="&amp;$A147,実績!$AD$6:$AD$505,"&gt;"&amp;$A147,実績!$AE$6:$AE$505,"○")&gt;0,1,0))</f>
        <v/>
      </c>
      <c r="Q147">
        <f>IF(Q$4=0,0,IF(COUNTIFS(実績!$W$6:$W$505,Q$3,実績!$AC$6:$AC$505,"&lt;="&amp;$A147,実績!$AD$6:$AD$505,"&gt;"&amp;$A147,実績!$AE$6:$AE$505,"○")&gt;0,1,0))</f>
        <v/>
      </c>
      <c r="R147">
        <f>IF(R$4=0,0,IF(COUNTIFS(実績!$W$6:$W$505,R$3,実績!$AC$6:$AC$505,"&lt;="&amp;$A147,実績!$AD$6:$AD$505,"&gt;"&amp;$A147,実績!$AE$6:$AE$505,"○")&gt;0,1,0))</f>
        <v/>
      </c>
      <c r="S147">
        <f>IF(S$4=0,0,IF(COUNTIFS(実績!$W$6:$W$505,S$3,実績!$AC$6:$AC$505,"&lt;="&amp;$A147,実績!$AD$6:$AD$505,"&gt;"&amp;$A147,実績!$AE$6:$AE$505,"○")&gt;0,1,0))</f>
        <v/>
      </c>
      <c r="T147">
        <f>IF(T$4=0,0,IF(COUNTIFS(実績!$W$6:$W$505,T$3,実績!$AC$6:$AC$505,"&lt;="&amp;$A147,実績!$AD$6:$AD$505,"&gt;"&amp;$A147,実績!$AE$6:$AE$505,"○")&gt;0,1,0))</f>
        <v/>
      </c>
      <c r="U147">
        <f>IF(U$4=0,0,IF(COUNTIFS(実績!$W$6:$W$505,U$3,実績!$AC$6:$AC$505,"&lt;="&amp;$A147,実績!$AD$6:$AD$505,"&gt;"&amp;$A147,実績!$AE$6:$AE$505,"○")&gt;0,1,0))</f>
        <v/>
      </c>
      <c r="V147">
        <f>IF(V$4=0,0,IF(COUNTIFS(実績!$W$6:$W$505,V$3,実績!$AC$6:$AC$505,"&lt;="&amp;$A147,実績!$AD$6:$AD$505,"&gt;"&amp;$A147,実績!$AE$6:$AE$505,"○")&gt;0,1,0))</f>
        <v/>
      </c>
      <c r="W147">
        <f>IF(W$4=0,0,IF(COUNTIFS(実績!$W$6:$W$505,W$3,実績!$AC$6:$AC$505,"&lt;="&amp;$A147,実績!$AD$6:$AD$505,"&gt;"&amp;$A147,実績!$AE$6:$AE$505,"○")&gt;0,1,0))</f>
        <v/>
      </c>
      <c r="X147">
        <f>IF(X$4=0,0,IF(COUNTIFS(実績!$W$6:$W$505,X$3,実績!$AC$6:$AC$505,"&lt;="&amp;$A147,実績!$AD$6:$AD$505,"&gt;"&amp;$A147,実績!$AE$6:$AE$505,"○")&gt;0,1,0))</f>
        <v/>
      </c>
      <c r="Y147">
        <f>IF(Y$4=0,0,IF(COUNTIFS(実績!$W$6:$W$505,Y$3,実績!$AC$6:$AC$505,"&lt;="&amp;$A147,実績!$AD$6:$AD$505,"&gt;"&amp;$A147,実績!$AE$6:$AE$505,"○")&gt;0,1,0))</f>
        <v/>
      </c>
      <c r="Z147">
        <f>IF(Z$4=0,0,IF(COUNTIFS(実績!$W$6:$W$505,Z$3,実績!$AC$6:$AC$505,"&lt;="&amp;$A147,実績!$AD$6:$AD$505,"&gt;"&amp;$A147,実績!$AE$6:$AE$505,"○")&gt;0,1,0))</f>
        <v/>
      </c>
      <c r="AA147">
        <f>IF(AA$4=0,0,IF(COUNTIFS(実績!$W$6:$W$505,AA$3,実績!$AC$6:$AC$505,"&lt;="&amp;$A147,実績!$AD$6:$AD$505,"&gt;"&amp;$A147,実績!$AE$6:$AE$505,"○")&gt;0,1,0))</f>
        <v/>
      </c>
      <c r="AB147">
        <f>IF(AB$4=0,0,IF(COUNTIFS(実績!$W$6:$W$505,AB$3,実績!$AC$6:$AC$505,"&lt;="&amp;$A147,実績!$AD$6:$AD$505,"&gt;"&amp;$A147,実績!$AE$6:$AE$505,"○")&gt;0,1,0))</f>
        <v/>
      </c>
      <c r="AC147">
        <f>IF(AC$4=0,0,IF(COUNTIFS(実績!$W$6:$W$505,AC$3,実績!$AC$6:$AC$505,"&lt;="&amp;$A147,実績!$AD$6:$AD$505,"&gt;"&amp;$A147,実績!$AE$6:$AE$505,"○")&gt;0,1,0))</f>
        <v/>
      </c>
      <c r="AD147">
        <f>IF(AD$4=0,0,IF(COUNTIFS(実績!$W$6:$W$505,AD$3,実績!$AC$6:$AC$505,"&lt;="&amp;$A147,実績!$AD$6:$AD$505,"&gt;"&amp;$A147,実績!$AE$6:$AE$505,"○")&gt;0,1,0))</f>
        <v/>
      </c>
      <c r="AE147">
        <f>IF(AE$4=0,0,IF(COUNTIFS(実績!$W$6:$W$505,AE$3,実績!$AC$6:$AC$505,"&lt;="&amp;$A147,実績!$AD$6:$AD$505,"&gt;"&amp;$A147,実績!$AE$6:$AE$505,"○")&gt;0,1,0))</f>
        <v/>
      </c>
      <c r="AF147">
        <f>IF(AF$4=0,0,IF(COUNTIFS(実績!$W$6:$W$505,AF$3,実績!$AC$6:$AC$505,"&lt;="&amp;$A147,実績!$AD$6:$AD$505,"&gt;"&amp;$A147,実績!$AE$6:$AE$505,"○")&gt;0,1,0))</f>
        <v/>
      </c>
      <c r="AG147">
        <f>IF(AG$4=0,0,IF(COUNTIFS(実績!$W$6:$W$505,AG$3,実績!$AC$6:$AC$505,"&lt;="&amp;$A147,実績!$AD$6:$AD$505,"&gt;"&amp;$A147,実績!$AE$6:$AE$505,"○")&gt;0,1,0))</f>
        <v/>
      </c>
      <c r="AH147">
        <f>IF(AH$4=0,0,IF(COUNTIFS(実績!$W$6:$W$505,AH$3,実績!$AC$6:$AC$505,"&lt;="&amp;$A147,実績!$AD$6:$AD$505,"&gt;"&amp;$A147,実績!$AE$6:$AE$505,"○")&gt;0,1,0))</f>
        <v/>
      </c>
      <c r="AI147">
        <f>IF(AI$4=0,0,IF(COUNTIFS(実績!$W$6:$W$505,AI$3,実績!$AC$6:$AC$505,"&lt;="&amp;$A147,実績!$AD$6:$AD$505,"&gt;"&amp;$A147,実績!$AE$6:$AE$505,"○")&gt;0,1,0))</f>
        <v/>
      </c>
      <c r="AJ147">
        <f>IF(AJ$4=0,0,IF(COUNTIFS(実績!$W$6:$W$505,AJ$3,実績!$AC$6:$AC$505,"&lt;="&amp;$A147,実績!$AD$6:$AD$505,"&gt;"&amp;$A147,実績!$AE$6:$AE$505,"○")&gt;0,1,0))</f>
        <v/>
      </c>
      <c r="AK147">
        <f>IF(AK$4=0,0,IF(COUNTIFS(実績!$W$6:$W$505,AK$3,実績!$AC$6:$AC$505,"&lt;="&amp;$A147,実績!$AD$6:$AD$505,"&gt;"&amp;$A147,実績!$AE$6:$AE$505,"○")&gt;0,1,0))</f>
        <v/>
      </c>
      <c r="AL147">
        <f>IF(AL$4=0,0,IF(COUNTIFS(実績!$W$6:$W$505,AL$3,実績!$AC$6:$AC$505,"&lt;="&amp;$A147,実績!$AD$6:$AD$505,"&gt;"&amp;$A147,実績!$AE$6:$AE$505,"○")&gt;0,1,0))</f>
        <v/>
      </c>
      <c r="AM147">
        <f>IF(AM$4=0,0,IF(COUNTIFS(実績!$W$6:$W$505,AM$3,実績!$AC$6:$AC$505,"&lt;="&amp;$A147,実績!$AD$6:$AD$505,"&gt;"&amp;$A147,実績!$AE$6:$AE$505,"○")&gt;0,1,0))</f>
        <v/>
      </c>
      <c r="AN147">
        <f>IF(AN$4=0,0,IF(COUNTIFS(実績!$W$6:$W$505,AN$3,実績!$AC$6:$AC$505,"&lt;="&amp;$A147,実績!$AD$6:$AD$505,"&gt;"&amp;$A147,実績!$AE$6:$AE$505,"○")&gt;0,1,0))</f>
        <v/>
      </c>
      <c r="AO147">
        <f>IF(AO$4=0,0,IF(COUNTIFS(実績!$W$6:$W$505,AO$3,実績!$AC$6:$AC$505,"&lt;="&amp;$A147,実績!$AD$6:$AD$505,"&gt;"&amp;$A147,実績!$AE$6:$AE$505,"○")&gt;0,1,0))</f>
        <v/>
      </c>
      <c r="AP147">
        <f>IF(AP$4=0,0,IF(COUNTIFS(実績!$W$6:$W$505,AP$3,実績!$AC$6:$AC$505,"&lt;="&amp;$A147,実績!$AD$6:$AD$505,"&gt;"&amp;$A147,実績!$AE$6:$AE$505,"○")&gt;0,1,0))</f>
        <v/>
      </c>
      <c r="AQ147">
        <f>IF(AQ$4=0,0,IF(COUNTIFS(実績!$W$6:$W$505,AQ$3,実績!$AC$6:$AC$505,"&lt;="&amp;$A147,実績!$AD$6:$AD$505,"&gt;"&amp;$A147,実績!$AE$6:$AE$505,"○")&gt;0,1,0))</f>
        <v/>
      </c>
      <c r="AR147">
        <f>IF(AR$4=0,0,IF(COUNTIFS(実績!$W$6:$W$505,AR$3,実績!$AC$6:$AC$505,"&lt;="&amp;$A147,実績!$AD$6:$AD$505,"&gt;"&amp;$A147,実績!$AE$6:$AE$505,"○")&gt;0,1,0))</f>
        <v/>
      </c>
      <c r="AS147">
        <f>IF(AS$4=0,0,IF(COUNTIFS(実績!$W$6:$W$505,AS$3,実績!$AC$6:$AC$505,"&lt;="&amp;$A147,実績!$AD$6:$AD$505,"&gt;"&amp;$A147,実績!$AE$6:$AE$505,"○")&gt;0,1,0))</f>
        <v/>
      </c>
      <c r="AT147">
        <f>IF(AT$4=0,0,IF(COUNTIFS(実績!$W$6:$W$505,AT$3,実績!$AC$6:$AC$505,"&lt;="&amp;$A147,実績!$AD$6:$AD$505,"&gt;"&amp;$A147,実績!$AE$6:$AE$505,"○")&gt;0,1,0))</f>
        <v/>
      </c>
      <c r="AU147">
        <f>IF(AU$4=0,0,IF(COUNTIFS(実績!$W$6:$W$505,AU$3,実績!$AC$6:$AC$505,"&lt;="&amp;$A147,実績!$AD$6:$AD$505,"&gt;"&amp;$A147,実績!$AE$6:$AE$505,"○")&gt;0,1,0))</f>
        <v/>
      </c>
      <c r="AV147">
        <f>IF(AV$4=0,0,IF(COUNTIFS(実績!$W$6:$W$505,AV$3,実績!$AC$6:$AC$505,"&lt;="&amp;$A147,実績!$AD$6:$AD$505,"&gt;"&amp;$A147,実績!$AE$6:$AE$505,"○")&gt;0,1,0))</f>
        <v/>
      </c>
      <c r="AW147">
        <f>IF(AW$4=0,0,IF(COUNTIFS(実績!$W$6:$W$505,AW$3,実績!$AC$6:$AC$505,"&lt;="&amp;$A147,実績!$AD$6:$AD$505,"&gt;"&amp;$A147,実績!$AE$6:$AE$505,"○")&gt;0,1,0))</f>
        <v/>
      </c>
      <c r="AX147">
        <f>IF(AX$4=0,0,IF(COUNTIFS(実績!$W$6:$W$505,AX$3,実績!$AC$6:$AC$505,"&lt;="&amp;$A147,実績!$AD$6:$AD$505,"&gt;"&amp;$A147,実績!$AE$6:$AE$505,"○")&gt;0,1,0))</f>
        <v/>
      </c>
      <c r="AY147">
        <f>IF(AY$4=0,0,IF(COUNTIFS(実績!$W$6:$W$505,AY$3,実績!$AC$6:$AC$505,"&lt;="&amp;$A147,実績!$AD$6:$AD$505,"&gt;"&amp;$A147,実績!$AE$6:$AE$505,"○")&gt;0,1,0))</f>
        <v/>
      </c>
      <c r="AZ147">
        <f>IF(AZ$4=0,0,IF(COUNTIFS(実績!$W$6:$W$505,AZ$3,実績!$AC$6:$AC$505,"&lt;="&amp;$A147,実績!$AD$6:$AD$505,"&gt;"&amp;$A147,実績!$AE$6:$AE$505,"○")&gt;0,1,0))</f>
        <v/>
      </c>
      <c r="BA147">
        <f>IF(BA$4=0,0,IF(COUNTIFS(実績!$W$6:$W$505,BA$3,実績!$AC$6:$AC$505,"&lt;="&amp;$A147,実績!$AD$6:$AD$505,"&gt;"&amp;$A147,実績!$AE$6:$AE$505,"○")&gt;0,1,0))</f>
        <v/>
      </c>
      <c r="BB147">
        <f>IF(BB$4=0,0,IF(COUNTIFS(実績!$W$6:$W$505,BB$3,実績!$AC$6:$AC$505,"&lt;="&amp;$A147,実績!$AD$6:$AD$505,"&gt;"&amp;$A147,実績!$AE$6:$AE$505,"○")&gt;0,1,0))</f>
        <v/>
      </c>
      <c r="BC147">
        <f>IF(BC$4=0,0,IF(COUNTIFS(実績!$W$6:$W$505,BC$3,実績!$AC$6:$AC$505,"&lt;="&amp;$A147,実績!$AD$6:$AD$505,"&gt;"&amp;$A147,実績!$AE$6:$AE$505,"○")&gt;0,1,0))</f>
        <v/>
      </c>
      <c r="BD147">
        <f>IF(BD$4=0,0,IF(COUNTIFS(実績!$W$6:$W$505,BD$3,実績!$AC$6:$AC$505,"&lt;="&amp;$A147,実績!$AD$6:$AD$505,"&gt;"&amp;$A147,実績!$AE$6:$AE$505,"○")&gt;0,1,0))</f>
        <v/>
      </c>
      <c r="BE147">
        <f>IF(BE$4=0,0,IF(COUNTIFS(実績!$W$6:$W$505,BE$3,実績!$AC$6:$AC$505,"&lt;="&amp;$A147,実績!$AD$6:$AD$505,"&gt;"&amp;$A147,実績!$AE$6:$AE$505,"○")&gt;0,1,0))</f>
        <v/>
      </c>
      <c r="BF147">
        <f>IF(BF$4=0,0,IF(COUNTIFS(実績!$W$6:$W$505,BF$3,実績!$AC$6:$AC$505,"&lt;="&amp;$A147,実績!$AD$6:$AD$505,"&gt;"&amp;$A147,実績!$AE$6:$AE$505,"○")&gt;0,1,0))</f>
        <v/>
      </c>
      <c r="BG147">
        <f>IF(BG$4=0,0,IF(COUNTIFS(実績!$W$6:$W$505,BG$3,実績!$AC$6:$AC$505,"&lt;="&amp;$A147,実績!$AD$6:$AD$505,"&gt;"&amp;$A147,実績!$AE$6:$AE$505,"○")&gt;0,1,0))</f>
        <v/>
      </c>
      <c r="BH147">
        <f>IF(BH$4=0,0,IF(COUNTIFS(実績!$W$6:$W$505,BH$3,実績!$AC$6:$AC$505,"&lt;="&amp;$A147,実績!$AD$6:$AD$505,"&gt;"&amp;$A147,実績!$AE$6:$AE$505,"○")&gt;0,1,0))</f>
        <v/>
      </c>
      <c r="BI147">
        <f>IF(BI$4=0,0,IF(COUNTIFS(実績!$W$6:$W$505,BI$3,実績!$AC$6:$AC$505,"&lt;="&amp;$A147,実績!$AD$6:$AD$505,"&gt;"&amp;$A147,実績!$AE$6:$AE$505,"○")&gt;0,1,0))</f>
        <v/>
      </c>
      <c r="BJ147">
        <f>IF(BJ$4=0,0,IF(COUNTIFS(実績!$W$6:$W$505,BJ$3,実績!$AC$6:$AC$505,"&lt;="&amp;$A147,実績!$AD$6:$AD$505,"&gt;"&amp;$A147,実績!$AE$6:$AE$505,"○")&gt;0,1,0))</f>
        <v/>
      </c>
      <c r="BK147">
        <f>IF(BK$4=0,0,IF(COUNTIFS(実績!$W$6:$W$505,BK$3,実績!$AC$6:$AC$505,"&lt;="&amp;$A147,実績!$AD$6:$AD$505,"&gt;"&amp;$A147,実績!$AE$6:$AE$505,"○")&gt;0,1,0))</f>
        <v/>
      </c>
      <c r="BL147">
        <f>IF(BL$4=0,0,IF(COUNTIFS(実績!$W$6:$W$505,BL$3,実績!$AC$6:$AC$505,"&lt;="&amp;$A147,実績!$AD$6:$AD$505,"&gt;"&amp;$A147,実績!$AE$6:$AE$505,"○")&gt;0,1,0))</f>
        <v/>
      </c>
      <c r="BM147">
        <f>IF(BM$4=0,0,IF(COUNTIFS(実績!$W$6:$W$505,BM$3,実績!$AC$6:$AC$505,"&lt;="&amp;$A147,実績!$AD$6:$AD$505,"&gt;"&amp;$A147,実績!$AE$6:$AE$505,"○")&gt;0,1,0))</f>
        <v/>
      </c>
      <c r="BN147">
        <f>IF(BN$4=0,0,IF(COUNTIFS(実績!$W$6:$W$505,BN$3,実績!$AC$6:$AC$505,"&lt;="&amp;$A147,実績!$AD$6:$AD$505,"&gt;"&amp;$A147,実績!$AE$6:$AE$505,"○")&gt;0,1,0))</f>
        <v/>
      </c>
      <c r="BO147">
        <f>IF(BO$4=0,0,IF(COUNTIFS(実績!$W$6:$W$505,BO$3,実績!$AC$6:$AC$505,"&lt;="&amp;$A147,実績!$AD$6:$AD$505,"&gt;"&amp;$A147,実績!$AE$6:$AE$505,"○")&gt;0,1,0))</f>
        <v/>
      </c>
      <c r="BP147">
        <f>IF(BP$4=0,0,IF(COUNTIFS(実績!$W$6:$W$505,BP$3,実績!$AC$6:$AC$505,"&lt;="&amp;$A147,実績!$AD$6:$AD$505,"&gt;"&amp;$A147,実績!$AE$6:$AE$505,"○")&gt;0,1,0))</f>
        <v/>
      </c>
      <c r="BQ147">
        <f>IF(BQ$4=0,0,IF(COUNTIFS(実績!$W$6:$W$505,BQ$3,実績!$AC$6:$AC$505,"&lt;="&amp;$A147,実績!$AD$6:$AD$505,"&gt;"&amp;$A147,実績!$AE$6:$AE$505,"○")&gt;0,1,0))</f>
        <v/>
      </c>
      <c r="BR147">
        <f>IF(BR$4=0,0,IF(COUNTIFS(実績!$W$6:$W$505,BR$3,実績!$AC$6:$AC$505,"&lt;="&amp;$A147,実績!$AD$6:$AD$505,"&gt;"&amp;$A147,実績!$AE$6:$AE$505,"○")&gt;0,1,0))</f>
        <v/>
      </c>
      <c r="BS147">
        <f>IF(BS$4=0,0,IF(COUNTIFS(実績!$W$6:$W$505,BS$3,実績!$AC$6:$AC$505,"&lt;="&amp;$A147,実績!$AD$6:$AD$505,"&gt;"&amp;$A147,実績!$AE$6:$AE$505,"○")&gt;0,1,0))</f>
        <v/>
      </c>
      <c r="BT147">
        <f>IF(BT$4=0,0,IF(COUNTIFS(実績!$W$6:$W$505,BT$3,実績!$AC$6:$AC$505,"&lt;="&amp;$A147,実績!$AD$6:$AD$505,"&gt;"&amp;$A147,実績!$AE$6:$AE$505,"○")&gt;0,1,0))</f>
        <v/>
      </c>
      <c r="BU147">
        <f>IF(BU$4=0,0,IF(COUNTIFS(実績!$W$6:$W$505,BU$3,実績!$AC$6:$AC$505,"&lt;="&amp;$A147,実績!$AD$6:$AD$505,"&gt;"&amp;$A147,実績!$AE$6:$AE$505,"○")&gt;0,1,0))</f>
        <v/>
      </c>
      <c r="BV147">
        <f>IF(BV$4=0,0,IF(COUNTIFS(実績!$W$6:$W$505,BV$3,実績!$AC$6:$AC$505,"&lt;="&amp;$A147,実績!$AD$6:$AD$505,"&gt;"&amp;$A147,実績!$AE$6:$AE$505,"○")&gt;0,1,0))</f>
        <v/>
      </c>
      <c r="BW147">
        <f>IF(BW$4=0,0,IF(COUNTIFS(実績!$W$6:$W$505,BW$3,実績!$AC$6:$AC$505,"&lt;="&amp;$A147,実績!$AD$6:$AD$505,"&gt;"&amp;$A147,実績!$AE$6:$AE$505,"○")&gt;0,1,0))</f>
        <v/>
      </c>
      <c r="BX147">
        <f>IF(BX$4=0,0,IF(COUNTIFS(実績!$W$6:$W$505,BX$3,実績!$AC$6:$AC$505,"&lt;="&amp;$A147,実績!$AD$6:$AD$505,"&gt;"&amp;$A147,実績!$AE$6:$AE$505,"○")&gt;0,1,0))</f>
        <v/>
      </c>
      <c r="BY147">
        <f>IF(BY$4=0,0,IF(COUNTIFS(実績!$W$6:$W$505,BY$3,実績!$AC$6:$AC$505,"&lt;="&amp;$A147,実績!$AD$6:$AD$505,"&gt;"&amp;$A147,実績!$AE$6:$AE$505,"○")&gt;0,1,0))</f>
        <v/>
      </c>
      <c r="BZ147">
        <f>IF(BZ$4=0,0,IF(COUNTIFS(実績!$W$6:$W$505,BZ$3,実績!$AC$6:$AC$505,"&lt;="&amp;$A147,実績!$AD$6:$AD$505,"&gt;"&amp;$A147,実績!$AE$6:$AE$505,"○")&gt;0,1,0))</f>
        <v/>
      </c>
      <c r="CA147">
        <f>IF(CA$4=0,0,IF(COUNTIFS(実績!$W$6:$W$505,CA$3,実績!$AC$6:$AC$505,"&lt;="&amp;$A147,実績!$AD$6:$AD$505,"&gt;"&amp;$A147,実績!$AE$6:$AE$505,"○")&gt;0,1,0))</f>
        <v/>
      </c>
      <c r="CB147">
        <f>IF(CB$4=0,0,IF(COUNTIFS(実績!$W$6:$W$505,CB$3,実績!$AC$6:$AC$505,"&lt;="&amp;$A147,実績!$AD$6:$AD$505,"&gt;"&amp;$A147,実績!$AE$6:$AE$505,"○")&gt;0,1,0))</f>
        <v/>
      </c>
      <c r="CC147">
        <f>IF(CC$4=0,0,IF(COUNTIFS(実績!$W$6:$W$505,CC$3,実績!$AC$6:$AC$505,"&lt;="&amp;$A147,実績!$AD$6:$AD$505,"&gt;"&amp;$A147,実績!$AE$6:$AE$505,"○")&gt;0,1,0))</f>
        <v/>
      </c>
      <c r="CD147">
        <f>IF(CD$4=0,0,IF(COUNTIFS(実績!$W$6:$W$505,CD$3,実績!$AC$6:$AC$505,"&lt;="&amp;$A147,実績!$AD$6:$AD$505,"&gt;"&amp;$A147,実績!$AE$6:$AE$505,"○")&gt;0,1,0))</f>
        <v/>
      </c>
      <c r="CE147">
        <f>IF(CE$4=0,0,IF(COUNTIFS(実績!$W$6:$W$505,CE$3,実績!$AC$6:$AC$505,"&lt;="&amp;$A147,実績!$AD$6:$AD$505,"&gt;"&amp;$A147,実績!$AE$6:$AE$505,"○")&gt;0,1,0))</f>
        <v/>
      </c>
      <c r="CF147">
        <f>IF(CF$4=0,0,IF(COUNTIFS(実績!$W$6:$W$505,CF$3,実績!$AC$6:$AC$505,"&lt;="&amp;$A147,実績!$AD$6:$AD$505,"&gt;"&amp;$A147,実績!$AE$6:$AE$505,"○")&gt;0,1,0))</f>
        <v/>
      </c>
      <c r="CG147">
        <f>IF(CG$4=0,0,IF(COUNTIFS(実績!$W$6:$W$505,CG$3,実績!$AC$6:$AC$505,"&lt;="&amp;$A147,実績!$AD$6:$AD$505,"&gt;"&amp;$A147,実績!$AE$6:$AE$505,"○")&gt;0,1,0))</f>
        <v/>
      </c>
      <c r="CH147">
        <f>IF(CH$4=0,0,IF(COUNTIFS(実績!$W$6:$W$505,CH$3,実績!$AC$6:$AC$505,"&lt;="&amp;$A147,実績!$AD$6:$AD$505,"&gt;"&amp;$A147,実績!$AE$6:$AE$505,"○")&gt;0,1,0))</f>
        <v/>
      </c>
      <c r="CI147">
        <f>IF(CI$4=0,0,IF(COUNTIFS(実績!$W$6:$W$505,CI$3,実績!$AC$6:$AC$505,"&lt;="&amp;$A147,実績!$AD$6:$AD$505,"&gt;"&amp;$A147,実績!$AE$6:$AE$505,"○")&gt;0,1,0))</f>
        <v/>
      </c>
      <c r="CJ147">
        <f>IF(CJ$4=0,0,IF(COUNTIFS(実績!$W$6:$W$505,CJ$3,実績!$AC$6:$AC$505,"&lt;="&amp;$A147,実績!$AD$6:$AD$505,"&gt;"&amp;$A147,実績!$AE$6:$AE$505,"○")&gt;0,1,0))</f>
        <v/>
      </c>
      <c r="CK147">
        <f>IF(CK$4=0,0,IF(COUNTIFS(実績!$W$6:$W$505,CK$3,実績!$AC$6:$AC$505,"&lt;="&amp;$A147,実績!$AD$6:$AD$505,"&gt;"&amp;$A147,実績!$AE$6:$AE$505,"○")&gt;0,1,0))</f>
        <v/>
      </c>
      <c r="CL147">
        <f>IF(CL$4=0,0,IF(COUNTIFS(実績!$W$6:$W$505,CL$3,実績!$AC$6:$AC$505,"&lt;="&amp;$A147,実績!$AD$6:$AD$505,"&gt;"&amp;$A147,実績!$AE$6:$AE$505,"○")&gt;0,1,0))</f>
        <v/>
      </c>
      <c r="CM147">
        <f>IF(CM$4=0,0,IF(COUNTIFS(実績!$W$6:$W$505,CM$3,実績!$AC$6:$AC$505,"&lt;="&amp;$A147,実績!$AD$6:$AD$505,"&gt;"&amp;$A147,実績!$AE$6:$AE$505,"○")&gt;0,1,0))</f>
        <v/>
      </c>
      <c r="CN147">
        <f>IF(CN$4=0,0,IF(COUNTIFS(実績!$W$6:$W$505,CN$3,実績!$AC$6:$AC$505,"&lt;="&amp;$A147,実績!$AD$6:$AD$505,"&gt;"&amp;$A147,実績!$AE$6:$AE$505,"○")&gt;0,1,0))</f>
        <v/>
      </c>
      <c r="CO147">
        <f>IF(CO$4=0,0,IF(COUNTIFS(実績!$W$6:$W$505,CO$3,実績!$AC$6:$AC$505,"&lt;="&amp;$A147,実績!$AD$6:$AD$505,"&gt;"&amp;$A147,実績!$AE$6:$AE$505,"○")&gt;0,1,0))</f>
        <v/>
      </c>
      <c r="CP147">
        <f>IF(CP$4=0,0,IF(COUNTIFS(実績!$W$6:$W$505,CP$3,実績!$AC$6:$AC$505,"&lt;="&amp;$A147,実績!$AD$6:$AD$505,"&gt;"&amp;$A147,実績!$AE$6:$AE$505,"○")&gt;0,1,0))</f>
        <v/>
      </c>
      <c r="CQ147">
        <f>IF(CQ$4=0,0,IF(COUNTIFS(実績!$W$6:$W$505,CQ$3,実績!$AC$6:$AC$505,"&lt;="&amp;$A147,実績!$AD$6:$AD$505,"&gt;"&amp;$A147,実績!$AE$6:$AE$505,"○")&gt;0,1,0))</f>
        <v/>
      </c>
      <c r="CR147">
        <f>IF(CR$4=0,0,IF(COUNTIFS(実績!$W$6:$W$505,CR$3,実績!$AC$6:$AC$505,"&lt;="&amp;$A147,実績!$AD$6:$AD$505,"&gt;"&amp;$A147,実績!$AE$6:$AE$505,"○")&gt;0,1,0))</f>
        <v/>
      </c>
      <c r="CS147">
        <f>IF(CS$4=0,0,IF(COUNTIFS(実績!$W$6:$W$505,CS$3,実績!$AC$6:$AC$505,"&lt;="&amp;$A147,実績!$AD$6:$AD$505,"&gt;"&amp;$A147,実績!$AE$6:$AE$505,"○")&gt;0,1,0))</f>
        <v/>
      </c>
      <c r="CT147">
        <f>IF(CT$4=0,0,IF(COUNTIFS(実績!$W$6:$W$505,CT$3,実績!$AC$6:$AC$505,"&lt;="&amp;$A147,実績!$AD$6:$AD$505,"&gt;"&amp;$A147,実績!$AE$6:$AE$505,"○")&gt;0,1,0))</f>
        <v/>
      </c>
      <c r="CU147">
        <f>IF(CU$4=0,0,IF(COUNTIFS(実績!$W$6:$W$505,CU$3,実績!$AC$6:$AC$505,"&lt;="&amp;$A147,実績!$AD$6:$AD$505,"&gt;"&amp;$A147,実績!$AE$6:$AE$505,"○")&gt;0,1,0))</f>
        <v/>
      </c>
      <c r="CV147">
        <f>IF(CV$4=0,0,IF(COUNTIFS(実績!$W$6:$W$505,CV$3,実績!$AC$6:$AC$505,"&lt;="&amp;$A147,実績!$AD$6:$AD$505,"&gt;"&amp;$A147,実績!$AE$6:$AE$505,"○")&gt;0,1,0))</f>
        <v/>
      </c>
      <c r="CW147">
        <f>IF(CW$4=0,0,IF(COUNTIFS(実績!$W$6:$W$505,CW$3,実績!$AC$6:$AC$505,"&lt;="&amp;$A147,実績!$AD$6:$AD$505,"&gt;"&amp;$A147,実績!$AE$6:$AE$505,"○")&gt;0,1,0))</f>
        <v/>
      </c>
      <c r="CX147">
        <f>IF(CX$4=0,0,IF(COUNTIFS(実績!$W$6:$W$505,CX$3,実績!$AC$6:$AC$505,"&lt;="&amp;$A147,実績!$AD$6:$AD$505,"&gt;"&amp;$A147,実績!$AE$6:$AE$505,"○")&gt;0,1,0))</f>
        <v/>
      </c>
      <c r="CY147">
        <f>IF(CY$4=0,0,IF(COUNTIFS(実績!$W$6:$W$505,CY$3,実績!$AC$6:$AC$505,"&lt;="&amp;$A147,実績!$AD$6:$AD$505,"&gt;"&amp;$A147,実績!$AE$6:$AE$505,"○")&gt;0,1,0))</f>
        <v/>
      </c>
      <c r="CZ147">
        <f>IF(CZ$4=0,0,IF(COUNTIFS(実績!$W$6:$W$505,CZ$3,実績!$AC$6:$AC$505,"&lt;="&amp;$A147,実績!$AD$6:$AD$505,"&gt;"&amp;$A147,実績!$AE$6:$AE$505,"○")&gt;0,1,0))</f>
        <v/>
      </c>
      <c r="DA147">
        <f>IF(DA$4=0,0,IF(COUNTIFS(実績!$W$6:$W$505,DA$3,実績!$AC$6:$AC$505,"&lt;="&amp;$A147,実績!$AD$6:$AD$505,"&gt;"&amp;$A147,実績!$AE$6:$AE$505,"○")&gt;0,1,0))</f>
        <v/>
      </c>
      <c r="DB147">
        <f>IF(DB$4=0,0,IF(COUNTIFS(実績!$W$6:$W$505,DB$3,実績!$AC$6:$AC$505,"&lt;="&amp;$A147,実績!$AD$6:$AD$505,"&gt;"&amp;$A147,実績!$AE$6:$AE$505,"○")&gt;0,1,0))</f>
        <v/>
      </c>
      <c r="DC147">
        <f>IF(DC$4=0,0,IF(COUNTIFS(実績!$W$6:$W$505,DC$3,実績!$AC$6:$AC$505,"&lt;="&amp;$A147,実績!$AD$6:$AD$505,"&gt;"&amp;$A147,実績!$AE$6:$AE$505,"○")&gt;0,1,0))</f>
        <v/>
      </c>
      <c r="DD147">
        <f>IF(DD$4=0,0,IF(COUNTIFS(実績!$W$6:$W$505,DD$3,実績!$AC$6:$AC$505,"&lt;="&amp;$A147,実績!$AD$6:$AD$505,"&gt;"&amp;$A147,実績!$AE$6:$AE$505,"○")&gt;0,1,0))</f>
        <v/>
      </c>
      <c r="DE147">
        <f>IF(DE$4=0,0,IF(COUNTIFS(実績!$W$6:$W$505,DE$3,実績!$AC$6:$AC$505,"&lt;="&amp;$A147,実績!$AD$6:$AD$505,"&gt;"&amp;$A147,実績!$AE$6:$AE$505,"○")&gt;0,1,0))</f>
        <v/>
      </c>
      <c r="DF147">
        <f>IF(DF$4=0,0,IF(COUNTIFS(実績!$W$6:$W$505,DF$3,実績!$AC$6:$AC$505,"&lt;="&amp;$A147,実績!$AD$6:$AD$505,"&gt;"&amp;$A147,実績!$AE$6:$AE$505,"○")&gt;0,1,0))</f>
        <v/>
      </c>
      <c r="DG147">
        <f>IF(DG$4=0,0,IF(COUNTIFS(実績!$W$6:$W$505,DG$3,実績!$AC$6:$AC$505,"&lt;="&amp;$A147,実績!$AD$6:$AD$505,"&gt;"&amp;$A147,実績!$AE$6:$AE$505,"○")&gt;0,1,0))</f>
        <v/>
      </c>
      <c r="DH147">
        <f>IF(DH$4=0,0,IF(COUNTIFS(実績!$W$6:$W$505,DH$3,実績!$AC$6:$AC$505,"&lt;="&amp;$A147,実績!$AD$6:$AD$505,"&gt;"&amp;$A147,実績!$AE$6:$AE$505,"○")&gt;0,1,0))</f>
        <v/>
      </c>
      <c r="DI147">
        <f>IF(DI$4=0,0,IF(COUNTIFS(実績!$W$6:$W$505,DI$3,実績!$AC$6:$AC$505,"&lt;="&amp;$A147,実績!$AD$6:$AD$505,"&gt;"&amp;$A147,実績!$AE$6:$AE$505,"○")&gt;0,1,0))</f>
        <v/>
      </c>
      <c r="DJ147">
        <f>IF(DJ$4=0,0,IF(COUNTIFS(実績!$W$6:$W$505,DJ$3,実績!$AC$6:$AC$505,"&lt;="&amp;$A147,実績!$AD$6:$AD$505,"&gt;"&amp;$A147,実績!$AE$6:$AE$505,"○")&gt;0,1,0))</f>
        <v/>
      </c>
      <c r="DK147">
        <f>IF(DK$4=0,0,IF(COUNTIFS(実績!$W$6:$W$505,DK$3,実績!$AC$6:$AC$505,"&lt;="&amp;$A147,実績!$AD$6:$AD$505,"&gt;"&amp;$A147,実績!$AE$6:$AE$505,"○")&gt;0,1,0))</f>
        <v/>
      </c>
      <c r="DL147">
        <f>IF(DL$4=0,0,IF(COUNTIFS(実績!$W$6:$W$505,DL$3,実績!$AC$6:$AC$505,"&lt;="&amp;$A147,実績!$AD$6:$AD$505,"&gt;"&amp;$A147,実績!$AE$6:$AE$505,"○")&gt;0,1,0))</f>
        <v/>
      </c>
      <c r="DM147">
        <f>IF(DM$4=0,0,IF(COUNTIFS(実績!$W$6:$W$505,DM$3,実績!$AC$6:$AC$505,"&lt;="&amp;$A147,実績!$AD$6:$AD$505,"&gt;"&amp;$A147,実績!$AE$6:$AE$505,"○")&gt;0,1,0))</f>
        <v/>
      </c>
      <c r="DN147">
        <f>IF(DN$4=0,0,IF(COUNTIFS(実績!$W$6:$W$505,DN$3,実績!$AC$6:$AC$505,"&lt;="&amp;$A147,実績!$AD$6:$AD$505,"&gt;"&amp;$A147,実績!$AE$6:$AE$505,"○")&gt;0,1,0))</f>
        <v/>
      </c>
      <c r="DO147">
        <f>IF(DO$4=0,0,IF(COUNTIFS(実績!$W$6:$W$505,DO$3,実績!$AC$6:$AC$505,"&lt;="&amp;$A147,実績!$AD$6:$AD$505,"&gt;"&amp;$A147,実績!$AE$6:$AE$505,"○")&gt;0,1,0))</f>
        <v/>
      </c>
      <c r="DP147">
        <f>IF(DP$4=0,0,IF(COUNTIFS(実績!$W$6:$W$505,DP$3,実績!$AC$6:$AC$505,"&lt;="&amp;$A147,実績!$AD$6:$AD$505,"&gt;"&amp;$A147,実績!$AE$6:$AE$505,"○")&gt;0,1,0))</f>
        <v/>
      </c>
      <c r="DQ147">
        <f>IF(DQ$4=0,0,IF(COUNTIFS(実績!$W$6:$W$505,DQ$3,実績!$AC$6:$AC$505,"&lt;="&amp;$A147,実績!$AD$6:$AD$505,"&gt;"&amp;$A147,実績!$AE$6:$AE$505,"○")&gt;0,1,0))</f>
        <v/>
      </c>
      <c r="DR147">
        <f>IF(DR$4=0,0,IF(COUNTIFS(実績!$W$6:$W$505,DR$3,実績!$AC$6:$AC$505,"&lt;="&amp;$A147,実績!$AD$6:$AD$505,"&gt;"&amp;$A147,実績!$AE$6:$AE$505,"○")&gt;0,1,0))</f>
        <v/>
      </c>
      <c r="DS147">
        <f>SUM(C147:DR147)</f>
        <v/>
      </c>
      <c r="DT147">
        <f>SUMPRODUCT((実績!$C$6:$C$505="○")*ISNUMBER(実績!$AF$6:$AF$505)*(実績!$AF$6:$AF$505&lt;=$A147)*(実績!$AG$6:$AG$505&gt;$A147))</f>
        <v/>
      </c>
      <c r="DU147">
        <f>SUMIF($C$2:$DR$2,"製鉄曳船",C147:DR147)</f>
        <v/>
      </c>
      <c r="DV147">
        <f>SUMIF($C$2:$DR$2,"西日本海運",C147:DR147)</f>
        <v/>
      </c>
    </row>
    <row r="148">
      <c r="A148" t="n">
        <v>710</v>
      </c>
      <c r="B148" s="29">
        <f>A148/1440</f>
        <v/>
      </c>
      <c r="C148">
        <f>IF(C$4=0,0,IF(COUNTIFS(実績!$W$6:$W$505,C$3,実績!$AC$6:$AC$505,"&lt;="&amp;$A148,実績!$AD$6:$AD$505,"&gt;"&amp;$A148,実績!$AE$6:$AE$505,"○")&gt;0,1,0))</f>
        <v/>
      </c>
      <c r="D148">
        <f>IF(D$4=0,0,IF(COUNTIFS(実績!$W$6:$W$505,D$3,実績!$AC$6:$AC$505,"&lt;="&amp;$A148,実績!$AD$6:$AD$505,"&gt;"&amp;$A148,実績!$AE$6:$AE$505,"○")&gt;0,1,0))</f>
        <v/>
      </c>
      <c r="E148">
        <f>IF(E$4=0,0,IF(COUNTIFS(実績!$W$6:$W$505,E$3,実績!$AC$6:$AC$505,"&lt;="&amp;$A148,実績!$AD$6:$AD$505,"&gt;"&amp;$A148,実績!$AE$6:$AE$505,"○")&gt;0,1,0))</f>
        <v/>
      </c>
      <c r="F148">
        <f>IF(F$4=0,0,IF(COUNTIFS(実績!$W$6:$W$505,F$3,実績!$AC$6:$AC$505,"&lt;="&amp;$A148,実績!$AD$6:$AD$505,"&gt;"&amp;$A148,実績!$AE$6:$AE$505,"○")&gt;0,1,0))</f>
        <v/>
      </c>
      <c r="G148">
        <f>IF(G$4=0,0,IF(COUNTIFS(実績!$W$6:$W$505,G$3,実績!$AC$6:$AC$505,"&lt;="&amp;$A148,実績!$AD$6:$AD$505,"&gt;"&amp;$A148,実績!$AE$6:$AE$505,"○")&gt;0,1,0))</f>
        <v/>
      </c>
      <c r="H148">
        <f>IF(H$4=0,0,IF(COUNTIFS(実績!$W$6:$W$505,H$3,実績!$AC$6:$AC$505,"&lt;="&amp;$A148,実績!$AD$6:$AD$505,"&gt;"&amp;$A148,実績!$AE$6:$AE$505,"○")&gt;0,1,0))</f>
        <v/>
      </c>
      <c r="I148">
        <f>IF(I$4=0,0,IF(COUNTIFS(実績!$W$6:$W$505,I$3,実績!$AC$6:$AC$505,"&lt;="&amp;$A148,実績!$AD$6:$AD$505,"&gt;"&amp;$A148,実績!$AE$6:$AE$505,"○")&gt;0,1,0))</f>
        <v/>
      </c>
      <c r="J148">
        <f>IF(J$4=0,0,IF(COUNTIFS(実績!$W$6:$W$505,J$3,実績!$AC$6:$AC$505,"&lt;="&amp;$A148,実績!$AD$6:$AD$505,"&gt;"&amp;$A148,実績!$AE$6:$AE$505,"○")&gt;0,1,0))</f>
        <v/>
      </c>
      <c r="K148">
        <f>IF(K$4=0,0,IF(COUNTIFS(実績!$W$6:$W$505,K$3,実績!$AC$6:$AC$505,"&lt;="&amp;$A148,実績!$AD$6:$AD$505,"&gt;"&amp;$A148,実績!$AE$6:$AE$505,"○")&gt;0,1,0))</f>
        <v/>
      </c>
      <c r="L148">
        <f>IF(L$4=0,0,IF(COUNTIFS(実績!$W$6:$W$505,L$3,実績!$AC$6:$AC$505,"&lt;="&amp;$A148,実績!$AD$6:$AD$505,"&gt;"&amp;$A148,実績!$AE$6:$AE$505,"○")&gt;0,1,0))</f>
        <v/>
      </c>
      <c r="M148">
        <f>IF(M$4=0,0,IF(COUNTIFS(実績!$W$6:$W$505,M$3,実績!$AC$6:$AC$505,"&lt;="&amp;$A148,実績!$AD$6:$AD$505,"&gt;"&amp;$A148,実績!$AE$6:$AE$505,"○")&gt;0,1,0))</f>
        <v/>
      </c>
      <c r="N148">
        <f>IF(N$4=0,0,IF(COUNTIFS(実績!$W$6:$W$505,N$3,実績!$AC$6:$AC$505,"&lt;="&amp;$A148,実績!$AD$6:$AD$505,"&gt;"&amp;$A148,実績!$AE$6:$AE$505,"○")&gt;0,1,0))</f>
        <v/>
      </c>
      <c r="O148">
        <f>IF(O$4=0,0,IF(COUNTIFS(実績!$W$6:$W$505,O$3,実績!$AC$6:$AC$505,"&lt;="&amp;$A148,実績!$AD$6:$AD$505,"&gt;"&amp;$A148,実績!$AE$6:$AE$505,"○")&gt;0,1,0))</f>
        <v/>
      </c>
      <c r="P148">
        <f>IF(P$4=0,0,IF(COUNTIFS(実績!$W$6:$W$505,P$3,実績!$AC$6:$AC$505,"&lt;="&amp;$A148,実績!$AD$6:$AD$505,"&gt;"&amp;$A148,実績!$AE$6:$AE$505,"○")&gt;0,1,0))</f>
        <v/>
      </c>
      <c r="Q148">
        <f>IF(Q$4=0,0,IF(COUNTIFS(実績!$W$6:$W$505,Q$3,実績!$AC$6:$AC$505,"&lt;="&amp;$A148,実績!$AD$6:$AD$505,"&gt;"&amp;$A148,実績!$AE$6:$AE$505,"○")&gt;0,1,0))</f>
        <v/>
      </c>
      <c r="R148">
        <f>IF(R$4=0,0,IF(COUNTIFS(実績!$W$6:$W$505,R$3,実績!$AC$6:$AC$505,"&lt;="&amp;$A148,実績!$AD$6:$AD$505,"&gt;"&amp;$A148,実績!$AE$6:$AE$505,"○")&gt;0,1,0))</f>
        <v/>
      </c>
      <c r="S148">
        <f>IF(S$4=0,0,IF(COUNTIFS(実績!$W$6:$W$505,S$3,実績!$AC$6:$AC$505,"&lt;="&amp;$A148,実績!$AD$6:$AD$505,"&gt;"&amp;$A148,実績!$AE$6:$AE$505,"○")&gt;0,1,0))</f>
        <v/>
      </c>
      <c r="T148">
        <f>IF(T$4=0,0,IF(COUNTIFS(実績!$W$6:$W$505,T$3,実績!$AC$6:$AC$505,"&lt;="&amp;$A148,実績!$AD$6:$AD$505,"&gt;"&amp;$A148,実績!$AE$6:$AE$505,"○")&gt;0,1,0))</f>
        <v/>
      </c>
      <c r="U148">
        <f>IF(U$4=0,0,IF(COUNTIFS(実績!$W$6:$W$505,U$3,実績!$AC$6:$AC$505,"&lt;="&amp;$A148,実績!$AD$6:$AD$505,"&gt;"&amp;$A148,実績!$AE$6:$AE$505,"○")&gt;0,1,0))</f>
        <v/>
      </c>
      <c r="V148">
        <f>IF(V$4=0,0,IF(COUNTIFS(実績!$W$6:$W$505,V$3,実績!$AC$6:$AC$505,"&lt;="&amp;$A148,実績!$AD$6:$AD$505,"&gt;"&amp;$A148,実績!$AE$6:$AE$505,"○")&gt;0,1,0))</f>
        <v/>
      </c>
      <c r="W148">
        <f>IF(W$4=0,0,IF(COUNTIFS(実績!$W$6:$W$505,W$3,実績!$AC$6:$AC$505,"&lt;="&amp;$A148,実績!$AD$6:$AD$505,"&gt;"&amp;$A148,実績!$AE$6:$AE$505,"○")&gt;0,1,0))</f>
        <v/>
      </c>
      <c r="X148">
        <f>IF(X$4=0,0,IF(COUNTIFS(実績!$W$6:$W$505,X$3,実績!$AC$6:$AC$505,"&lt;="&amp;$A148,実績!$AD$6:$AD$505,"&gt;"&amp;$A148,実績!$AE$6:$AE$505,"○")&gt;0,1,0))</f>
        <v/>
      </c>
      <c r="Y148">
        <f>IF(Y$4=0,0,IF(COUNTIFS(実績!$W$6:$W$505,Y$3,実績!$AC$6:$AC$505,"&lt;="&amp;$A148,実績!$AD$6:$AD$505,"&gt;"&amp;$A148,実績!$AE$6:$AE$505,"○")&gt;0,1,0))</f>
        <v/>
      </c>
      <c r="Z148">
        <f>IF(Z$4=0,0,IF(COUNTIFS(実績!$W$6:$W$505,Z$3,実績!$AC$6:$AC$505,"&lt;="&amp;$A148,実績!$AD$6:$AD$505,"&gt;"&amp;$A148,実績!$AE$6:$AE$505,"○")&gt;0,1,0))</f>
        <v/>
      </c>
      <c r="AA148">
        <f>IF(AA$4=0,0,IF(COUNTIFS(実績!$W$6:$W$505,AA$3,実績!$AC$6:$AC$505,"&lt;="&amp;$A148,実績!$AD$6:$AD$505,"&gt;"&amp;$A148,実績!$AE$6:$AE$505,"○")&gt;0,1,0))</f>
        <v/>
      </c>
      <c r="AB148">
        <f>IF(AB$4=0,0,IF(COUNTIFS(実績!$W$6:$W$505,AB$3,実績!$AC$6:$AC$505,"&lt;="&amp;$A148,実績!$AD$6:$AD$505,"&gt;"&amp;$A148,実績!$AE$6:$AE$505,"○")&gt;0,1,0))</f>
        <v/>
      </c>
      <c r="AC148">
        <f>IF(AC$4=0,0,IF(COUNTIFS(実績!$W$6:$W$505,AC$3,実績!$AC$6:$AC$505,"&lt;="&amp;$A148,実績!$AD$6:$AD$505,"&gt;"&amp;$A148,実績!$AE$6:$AE$505,"○")&gt;0,1,0))</f>
        <v/>
      </c>
      <c r="AD148">
        <f>IF(AD$4=0,0,IF(COUNTIFS(実績!$W$6:$W$505,AD$3,実績!$AC$6:$AC$505,"&lt;="&amp;$A148,実績!$AD$6:$AD$505,"&gt;"&amp;$A148,実績!$AE$6:$AE$505,"○")&gt;0,1,0))</f>
        <v/>
      </c>
      <c r="AE148">
        <f>IF(AE$4=0,0,IF(COUNTIFS(実績!$W$6:$W$505,AE$3,実績!$AC$6:$AC$505,"&lt;="&amp;$A148,実績!$AD$6:$AD$505,"&gt;"&amp;$A148,実績!$AE$6:$AE$505,"○")&gt;0,1,0))</f>
        <v/>
      </c>
      <c r="AF148">
        <f>IF(AF$4=0,0,IF(COUNTIFS(実績!$W$6:$W$505,AF$3,実績!$AC$6:$AC$505,"&lt;="&amp;$A148,実績!$AD$6:$AD$505,"&gt;"&amp;$A148,実績!$AE$6:$AE$505,"○")&gt;0,1,0))</f>
        <v/>
      </c>
      <c r="AG148">
        <f>IF(AG$4=0,0,IF(COUNTIFS(実績!$W$6:$W$505,AG$3,実績!$AC$6:$AC$505,"&lt;="&amp;$A148,実績!$AD$6:$AD$505,"&gt;"&amp;$A148,実績!$AE$6:$AE$505,"○")&gt;0,1,0))</f>
        <v/>
      </c>
      <c r="AH148">
        <f>IF(AH$4=0,0,IF(COUNTIFS(実績!$W$6:$W$505,AH$3,実績!$AC$6:$AC$505,"&lt;="&amp;$A148,実績!$AD$6:$AD$505,"&gt;"&amp;$A148,実績!$AE$6:$AE$505,"○")&gt;0,1,0))</f>
        <v/>
      </c>
      <c r="AI148">
        <f>IF(AI$4=0,0,IF(COUNTIFS(実績!$W$6:$W$505,AI$3,実績!$AC$6:$AC$505,"&lt;="&amp;$A148,実績!$AD$6:$AD$505,"&gt;"&amp;$A148,実績!$AE$6:$AE$505,"○")&gt;0,1,0))</f>
        <v/>
      </c>
      <c r="AJ148">
        <f>IF(AJ$4=0,0,IF(COUNTIFS(実績!$W$6:$W$505,AJ$3,実績!$AC$6:$AC$505,"&lt;="&amp;$A148,実績!$AD$6:$AD$505,"&gt;"&amp;$A148,実績!$AE$6:$AE$505,"○")&gt;0,1,0))</f>
        <v/>
      </c>
      <c r="AK148">
        <f>IF(AK$4=0,0,IF(COUNTIFS(実績!$W$6:$W$505,AK$3,実績!$AC$6:$AC$505,"&lt;="&amp;$A148,実績!$AD$6:$AD$505,"&gt;"&amp;$A148,実績!$AE$6:$AE$505,"○")&gt;0,1,0))</f>
        <v/>
      </c>
      <c r="AL148">
        <f>IF(AL$4=0,0,IF(COUNTIFS(実績!$W$6:$W$505,AL$3,実績!$AC$6:$AC$505,"&lt;="&amp;$A148,実績!$AD$6:$AD$505,"&gt;"&amp;$A148,実績!$AE$6:$AE$505,"○")&gt;0,1,0))</f>
        <v/>
      </c>
      <c r="AM148">
        <f>IF(AM$4=0,0,IF(COUNTIFS(実績!$W$6:$W$505,AM$3,実績!$AC$6:$AC$505,"&lt;="&amp;$A148,実績!$AD$6:$AD$505,"&gt;"&amp;$A148,実績!$AE$6:$AE$505,"○")&gt;0,1,0))</f>
        <v/>
      </c>
      <c r="AN148">
        <f>IF(AN$4=0,0,IF(COUNTIFS(実績!$W$6:$W$505,AN$3,実績!$AC$6:$AC$505,"&lt;="&amp;$A148,実績!$AD$6:$AD$505,"&gt;"&amp;$A148,実績!$AE$6:$AE$505,"○")&gt;0,1,0))</f>
        <v/>
      </c>
      <c r="AO148">
        <f>IF(AO$4=0,0,IF(COUNTIFS(実績!$W$6:$W$505,AO$3,実績!$AC$6:$AC$505,"&lt;="&amp;$A148,実績!$AD$6:$AD$505,"&gt;"&amp;$A148,実績!$AE$6:$AE$505,"○")&gt;0,1,0))</f>
        <v/>
      </c>
      <c r="AP148">
        <f>IF(AP$4=0,0,IF(COUNTIFS(実績!$W$6:$W$505,AP$3,実績!$AC$6:$AC$505,"&lt;="&amp;$A148,実績!$AD$6:$AD$505,"&gt;"&amp;$A148,実績!$AE$6:$AE$505,"○")&gt;0,1,0))</f>
        <v/>
      </c>
      <c r="AQ148">
        <f>IF(AQ$4=0,0,IF(COUNTIFS(実績!$W$6:$W$505,AQ$3,実績!$AC$6:$AC$505,"&lt;="&amp;$A148,実績!$AD$6:$AD$505,"&gt;"&amp;$A148,実績!$AE$6:$AE$505,"○")&gt;0,1,0))</f>
        <v/>
      </c>
      <c r="AR148">
        <f>IF(AR$4=0,0,IF(COUNTIFS(実績!$W$6:$W$505,AR$3,実績!$AC$6:$AC$505,"&lt;="&amp;$A148,実績!$AD$6:$AD$505,"&gt;"&amp;$A148,実績!$AE$6:$AE$505,"○")&gt;0,1,0))</f>
        <v/>
      </c>
      <c r="AS148">
        <f>IF(AS$4=0,0,IF(COUNTIFS(実績!$W$6:$W$505,AS$3,実績!$AC$6:$AC$505,"&lt;="&amp;$A148,実績!$AD$6:$AD$505,"&gt;"&amp;$A148,実績!$AE$6:$AE$505,"○")&gt;0,1,0))</f>
        <v/>
      </c>
      <c r="AT148">
        <f>IF(AT$4=0,0,IF(COUNTIFS(実績!$W$6:$W$505,AT$3,実績!$AC$6:$AC$505,"&lt;="&amp;$A148,実績!$AD$6:$AD$505,"&gt;"&amp;$A148,実績!$AE$6:$AE$505,"○")&gt;0,1,0))</f>
        <v/>
      </c>
      <c r="AU148">
        <f>IF(AU$4=0,0,IF(COUNTIFS(実績!$W$6:$W$505,AU$3,実績!$AC$6:$AC$505,"&lt;="&amp;$A148,実績!$AD$6:$AD$505,"&gt;"&amp;$A148,実績!$AE$6:$AE$505,"○")&gt;0,1,0))</f>
        <v/>
      </c>
      <c r="AV148">
        <f>IF(AV$4=0,0,IF(COUNTIFS(実績!$W$6:$W$505,AV$3,実績!$AC$6:$AC$505,"&lt;="&amp;$A148,実績!$AD$6:$AD$505,"&gt;"&amp;$A148,実績!$AE$6:$AE$505,"○")&gt;0,1,0))</f>
        <v/>
      </c>
      <c r="AW148">
        <f>IF(AW$4=0,0,IF(COUNTIFS(実績!$W$6:$W$505,AW$3,実績!$AC$6:$AC$505,"&lt;="&amp;$A148,実績!$AD$6:$AD$505,"&gt;"&amp;$A148,実績!$AE$6:$AE$505,"○")&gt;0,1,0))</f>
        <v/>
      </c>
      <c r="AX148">
        <f>IF(AX$4=0,0,IF(COUNTIFS(実績!$W$6:$W$505,AX$3,実績!$AC$6:$AC$505,"&lt;="&amp;$A148,実績!$AD$6:$AD$505,"&gt;"&amp;$A148,実績!$AE$6:$AE$505,"○")&gt;0,1,0))</f>
        <v/>
      </c>
      <c r="AY148">
        <f>IF(AY$4=0,0,IF(COUNTIFS(実績!$W$6:$W$505,AY$3,実績!$AC$6:$AC$505,"&lt;="&amp;$A148,実績!$AD$6:$AD$505,"&gt;"&amp;$A148,実績!$AE$6:$AE$505,"○")&gt;0,1,0))</f>
        <v/>
      </c>
      <c r="AZ148">
        <f>IF(AZ$4=0,0,IF(COUNTIFS(実績!$W$6:$W$505,AZ$3,実績!$AC$6:$AC$505,"&lt;="&amp;$A148,実績!$AD$6:$AD$505,"&gt;"&amp;$A148,実績!$AE$6:$AE$505,"○")&gt;0,1,0))</f>
        <v/>
      </c>
      <c r="BA148">
        <f>IF(BA$4=0,0,IF(COUNTIFS(実績!$W$6:$W$505,BA$3,実績!$AC$6:$AC$505,"&lt;="&amp;$A148,実績!$AD$6:$AD$505,"&gt;"&amp;$A148,実績!$AE$6:$AE$505,"○")&gt;0,1,0))</f>
        <v/>
      </c>
      <c r="BB148">
        <f>IF(BB$4=0,0,IF(COUNTIFS(実績!$W$6:$W$505,BB$3,実績!$AC$6:$AC$505,"&lt;="&amp;$A148,実績!$AD$6:$AD$505,"&gt;"&amp;$A148,実績!$AE$6:$AE$505,"○")&gt;0,1,0))</f>
        <v/>
      </c>
      <c r="BC148">
        <f>IF(BC$4=0,0,IF(COUNTIFS(実績!$W$6:$W$505,BC$3,実績!$AC$6:$AC$505,"&lt;="&amp;$A148,実績!$AD$6:$AD$505,"&gt;"&amp;$A148,実績!$AE$6:$AE$505,"○")&gt;0,1,0))</f>
        <v/>
      </c>
      <c r="BD148">
        <f>IF(BD$4=0,0,IF(COUNTIFS(実績!$W$6:$W$505,BD$3,実績!$AC$6:$AC$505,"&lt;="&amp;$A148,実績!$AD$6:$AD$505,"&gt;"&amp;$A148,実績!$AE$6:$AE$505,"○")&gt;0,1,0))</f>
        <v/>
      </c>
      <c r="BE148">
        <f>IF(BE$4=0,0,IF(COUNTIFS(実績!$W$6:$W$505,BE$3,実績!$AC$6:$AC$505,"&lt;="&amp;$A148,実績!$AD$6:$AD$505,"&gt;"&amp;$A148,実績!$AE$6:$AE$505,"○")&gt;0,1,0))</f>
        <v/>
      </c>
      <c r="BF148">
        <f>IF(BF$4=0,0,IF(COUNTIFS(実績!$W$6:$W$505,BF$3,実績!$AC$6:$AC$505,"&lt;="&amp;$A148,実績!$AD$6:$AD$505,"&gt;"&amp;$A148,実績!$AE$6:$AE$505,"○")&gt;0,1,0))</f>
        <v/>
      </c>
      <c r="BG148">
        <f>IF(BG$4=0,0,IF(COUNTIFS(実績!$W$6:$W$505,BG$3,実績!$AC$6:$AC$505,"&lt;="&amp;$A148,実績!$AD$6:$AD$505,"&gt;"&amp;$A148,実績!$AE$6:$AE$505,"○")&gt;0,1,0))</f>
        <v/>
      </c>
      <c r="BH148">
        <f>IF(BH$4=0,0,IF(COUNTIFS(実績!$W$6:$W$505,BH$3,実績!$AC$6:$AC$505,"&lt;="&amp;$A148,実績!$AD$6:$AD$505,"&gt;"&amp;$A148,実績!$AE$6:$AE$505,"○")&gt;0,1,0))</f>
        <v/>
      </c>
      <c r="BI148">
        <f>IF(BI$4=0,0,IF(COUNTIFS(実績!$W$6:$W$505,BI$3,実績!$AC$6:$AC$505,"&lt;="&amp;$A148,実績!$AD$6:$AD$505,"&gt;"&amp;$A148,実績!$AE$6:$AE$505,"○")&gt;0,1,0))</f>
        <v/>
      </c>
      <c r="BJ148">
        <f>IF(BJ$4=0,0,IF(COUNTIFS(実績!$W$6:$W$505,BJ$3,実績!$AC$6:$AC$505,"&lt;="&amp;$A148,実績!$AD$6:$AD$505,"&gt;"&amp;$A148,実績!$AE$6:$AE$505,"○")&gt;0,1,0))</f>
        <v/>
      </c>
      <c r="BK148">
        <f>IF(BK$4=0,0,IF(COUNTIFS(実績!$W$6:$W$505,BK$3,実績!$AC$6:$AC$505,"&lt;="&amp;$A148,実績!$AD$6:$AD$505,"&gt;"&amp;$A148,実績!$AE$6:$AE$505,"○")&gt;0,1,0))</f>
        <v/>
      </c>
      <c r="BL148">
        <f>IF(BL$4=0,0,IF(COUNTIFS(実績!$W$6:$W$505,BL$3,実績!$AC$6:$AC$505,"&lt;="&amp;$A148,実績!$AD$6:$AD$505,"&gt;"&amp;$A148,実績!$AE$6:$AE$505,"○")&gt;0,1,0))</f>
        <v/>
      </c>
      <c r="BM148">
        <f>IF(BM$4=0,0,IF(COUNTIFS(実績!$W$6:$W$505,BM$3,実績!$AC$6:$AC$505,"&lt;="&amp;$A148,実績!$AD$6:$AD$505,"&gt;"&amp;$A148,実績!$AE$6:$AE$505,"○")&gt;0,1,0))</f>
        <v/>
      </c>
      <c r="BN148">
        <f>IF(BN$4=0,0,IF(COUNTIFS(実績!$W$6:$W$505,BN$3,実績!$AC$6:$AC$505,"&lt;="&amp;$A148,実績!$AD$6:$AD$505,"&gt;"&amp;$A148,実績!$AE$6:$AE$505,"○")&gt;0,1,0))</f>
        <v/>
      </c>
      <c r="BO148">
        <f>IF(BO$4=0,0,IF(COUNTIFS(実績!$W$6:$W$505,BO$3,実績!$AC$6:$AC$505,"&lt;="&amp;$A148,実績!$AD$6:$AD$505,"&gt;"&amp;$A148,実績!$AE$6:$AE$505,"○")&gt;0,1,0))</f>
        <v/>
      </c>
      <c r="BP148">
        <f>IF(BP$4=0,0,IF(COUNTIFS(実績!$W$6:$W$505,BP$3,実績!$AC$6:$AC$505,"&lt;="&amp;$A148,実績!$AD$6:$AD$505,"&gt;"&amp;$A148,実績!$AE$6:$AE$505,"○")&gt;0,1,0))</f>
        <v/>
      </c>
      <c r="BQ148">
        <f>IF(BQ$4=0,0,IF(COUNTIFS(実績!$W$6:$W$505,BQ$3,実績!$AC$6:$AC$505,"&lt;="&amp;$A148,実績!$AD$6:$AD$505,"&gt;"&amp;$A148,実績!$AE$6:$AE$505,"○")&gt;0,1,0))</f>
        <v/>
      </c>
      <c r="BR148">
        <f>IF(BR$4=0,0,IF(COUNTIFS(実績!$W$6:$W$505,BR$3,実績!$AC$6:$AC$505,"&lt;="&amp;$A148,実績!$AD$6:$AD$505,"&gt;"&amp;$A148,実績!$AE$6:$AE$505,"○")&gt;0,1,0))</f>
        <v/>
      </c>
      <c r="BS148">
        <f>IF(BS$4=0,0,IF(COUNTIFS(実績!$W$6:$W$505,BS$3,実績!$AC$6:$AC$505,"&lt;="&amp;$A148,実績!$AD$6:$AD$505,"&gt;"&amp;$A148,実績!$AE$6:$AE$505,"○")&gt;0,1,0))</f>
        <v/>
      </c>
      <c r="BT148">
        <f>IF(BT$4=0,0,IF(COUNTIFS(実績!$W$6:$W$505,BT$3,実績!$AC$6:$AC$505,"&lt;="&amp;$A148,実績!$AD$6:$AD$505,"&gt;"&amp;$A148,実績!$AE$6:$AE$505,"○")&gt;0,1,0))</f>
        <v/>
      </c>
      <c r="BU148">
        <f>IF(BU$4=0,0,IF(COUNTIFS(実績!$W$6:$W$505,BU$3,実績!$AC$6:$AC$505,"&lt;="&amp;$A148,実績!$AD$6:$AD$505,"&gt;"&amp;$A148,実績!$AE$6:$AE$505,"○")&gt;0,1,0))</f>
        <v/>
      </c>
      <c r="BV148">
        <f>IF(BV$4=0,0,IF(COUNTIFS(実績!$W$6:$W$505,BV$3,実績!$AC$6:$AC$505,"&lt;="&amp;$A148,実績!$AD$6:$AD$505,"&gt;"&amp;$A148,実績!$AE$6:$AE$505,"○")&gt;0,1,0))</f>
        <v/>
      </c>
      <c r="BW148">
        <f>IF(BW$4=0,0,IF(COUNTIFS(実績!$W$6:$W$505,BW$3,実績!$AC$6:$AC$505,"&lt;="&amp;$A148,実績!$AD$6:$AD$505,"&gt;"&amp;$A148,実績!$AE$6:$AE$505,"○")&gt;0,1,0))</f>
        <v/>
      </c>
      <c r="BX148">
        <f>IF(BX$4=0,0,IF(COUNTIFS(実績!$W$6:$W$505,BX$3,実績!$AC$6:$AC$505,"&lt;="&amp;$A148,実績!$AD$6:$AD$505,"&gt;"&amp;$A148,実績!$AE$6:$AE$505,"○")&gt;0,1,0))</f>
        <v/>
      </c>
      <c r="BY148">
        <f>IF(BY$4=0,0,IF(COUNTIFS(実績!$W$6:$W$505,BY$3,実績!$AC$6:$AC$505,"&lt;="&amp;$A148,実績!$AD$6:$AD$505,"&gt;"&amp;$A148,実績!$AE$6:$AE$505,"○")&gt;0,1,0))</f>
        <v/>
      </c>
      <c r="BZ148">
        <f>IF(BZ$4=0,0,IF(COUNTIFS(実績!$W$6:$W$505,BZ$3,実績!$AC$6:$AC$505,"&lt;="&amp;$A148,実績!$AD$6:$AD$505,"&gt;"&amp;$A148,実績!$AE$6:$AE$505,"○")&gt;0,1,0))</f>
        <v/>
      </c>
      <c r="CA148">
        <f>IF(CA$4=0,0,IF(COUNTIFS(実績!$W$6:$W$505,CA$3,実績!$AC$6:$AC$505,"&lt;="&amp;$A148,実績!$AD$6:$AD$505,"&gt;"&amp;$A148,実績!$AE$6:$AE$505,"○")&gt;0,1,0))</f>
        <v/>
      </c>
      <c r="CB148">
        <f>IF(CB$4=0,0,IF(COUNTIFS(実績!$W$6:$W$505,CB$3,実績!$AC$6:$AC$505,"&lt;="&amp;$A148,実績!$AD$6:$AD$505,"&gt;"&amp;$A148,実績!$AE$6:$AE$505,"○")&gt;0,1,0))</f>
        <v/>
      </c>
      <c r="CC148">
        <f>IF(CC$4=0,0,IF(COUNTIFS(実績!$W$6:$W$505,CC$3,実績!$AC$6:$AC$505,"&lt;="&amp;$A148,実績!$AD$6:$AD$505,"&gt;"&amp;$A148,実績!$AE$6:$AE$505,"○")&gt;0,1,0))</f>
        <v/>
      </c>
      <c r="CD148">
        <f>IF(CD$4=0,0,IF(COUNTIFS(実績!$W$6:$W$505,CD$3,実績!$AC$6:$AC$505,"&lt;="&amp;$A148,実績!$AD$6:$AD$505,"&gt;"&amp;$A148,実績!$AE$6:$AE$505,"○")&gt;0,1,0))</f>
        <v/>
      </c>
      <c r="CE148">
        <f>IF(CE$4=0,0,IF(COUNTIFS(実績!$W$6:$W$505,CE$3,実績!$AC$6:$AC$505,"&lt;="&amp;$A148,実績!$AD$6:$AD$505,"&gt;"&amp;$A148,実績!$AE$6:$AE$505,"○")&gt;0,1,0))</f>
        <v/>
      </c>
      <c r="CF148">
        <f>IF(CF$4=0,0,IF(COUNTIFS(実績!$W$6:$W$505,CF$3,実績!$AC$6:$AC$505,"&lt;="&amp;$A148,実績!$AD$6:$AD$505,"&gt;"&amp;$A148,実績!$AE$6:$AE$505,"○")&gt;0,1,0))</f>
        <v/>
      </c>
      <c r="CG148">
        <f>IF(CG$4=0,0,IF(COUNTIFS(実績!$W$6:$W$505,CG$3,実績!$AC$6:$AC$505,"&lt;="&amp;$A148,実績!$AD$6:$AD$505,"&gt;"&amp;$A148,実績!$AE$6:$AE$505,"○")&gt;0,1,0))</f>
        <v/>
      </c>
      <c r="CH148">
        <f>IF(CH$4=0,0,IF(COUNTIFS(実績!$W$6:$W$505,CH$3,実績!$AC$6:$AC$505,"&lt;="&amp;$A148,実績!$AD$6:$AD$505,"&gt;"&amp;$A148,実績!$AE$6:$AE$505,"○")&gt;0,1,0))</f>
        <v/>
      </c>
      <c r="CI148">
        <f>IF(CI$4=0,0,IF(COUNTIFS(実績!$W$6:$W$505,CI$3,実績!$AC$6:$AC$505,"&lt;="&amp;$A148,実績!$AD$6:$AD$505,"&gt;"&amp;$A148,実績!$AE$6:$AE$505,"○")&gt;0,1,0))</f>
        <v/>
      </c>
      <c r="CJ148">
        <f>IF(CJ$4=0,0,IF(COUNTIFS(実績!$W$6:$W$505,CJ$3,実績!$AC$6:$AC$505,"&lt;="&amp;$A148,実績!$AD$6:$AD$505,"&gt;"&amp;$A148,実績!$AE$6:$AE$505,"○")&gt;0,1,0))</f>
        <v/>
      </c>
      <c r="CK148">
        <f>IF(CK$4=0,0,IF(COUNTIFS(実績!$W$6:$W$505,CK$3,実績!$AC$6:$AC$505,"&lt;="&amp;$A148,実績!$AD$6:$AD$505,"&gt;"&amp;$A148,実績!$AE$6:$AE$505,"○")&gt;0,1,0))</f>
        <v/>
      </c>
      <c r="CL148">
        <f>IF(CL$4=0,0,IF(COUNTIFS(実績!$W$6:$W$505,CL$3,実績!$AC$6:$AC$505,"&lt;="&amp;$A148,実績!$AD$6:$AD$505,"&gt;"&amp;$A148,実績!$AE$6:$AE$505,"○")&gt;0,1,0))</f>
        <v/>
      </c>
      <c r="CM148">
        <f>IF(CM$4=0,0,IF(COUNTIFS(実績!$W$6:$W$505,CM$3,実績!$AC$6:$AC$505,"&lt;="&amp;$A148,実績!$AD$6:$AD$505,"&gt;"&amp;$A148,実績!$AE$6:$AE$505,"○")&gt;0,1,0))</f>
        <v/>
      </c>
      <c r="CN148">
        <f>IF(CN$4=0,0,IF(COUNTIFS(実績!$W$6:$W$505,CN$3,実績!$AC$6:$AC$505,"&lt;="&amp;$A148,実績!$AD$6:$AD$505,"&gt;"&amp;$A148,実績!$AE$6:$AE$505,"○")&gt;0,1,0))</f>
        <v/>
      </c>
      <c r="CO148">
        <f>IF(CO$4=0,0,IF(COUNTIFS(実績!$W$6:$W$505,CO$3,実績!$AC$6:$AC$505,"&lt;="&amp;$A148,実績!$AD$6:$AD$505,"&gt;"&amp;$A148,実績!$AE$6:$AE$505,"○")&gt;0,1,0))</f>
        <v/>
      </c>
      <c r="CP148">
        <f>IF(CP$4=0,0,IF(COUNTIFS(実績!$W$6:$W$505,CP$3,実績!$AC$6:$AC$505,"&lt;="&amp;$A148,実績!$AD$6:$AD$505,"&gt;"&amp;$A148,実績!$AE$6:$AE$505,"○")&gt;0,1,0))</f>
        <v/>
      </c>
      <c r="CQ148">
        <f>IF(CQ$4=0,0,IF(COUNTIFS(実績!$W$6:$W$505,CQ$3,実績!$AC$6:$AC$505,"&lt;="&amp;$A148,実績!$AD$6:$AD$505,"&gt;"&amp;$A148,実績!$AE$6:$AE$505,"○")&gt;0,1,0))</f>
        <v/>
      </c>
      <c r="CR148">
        <f>IF(CR$4=0,0,IF(COUNTIFS(実績!$W$6:$W$505,CR$3,実績!$AC$6:$AC$505,"&lt;="&amp;$A148,実績!$AD$6:$AD$505,"&gt;"&amp;$A148,実績!$AE$6:$AE$505,"○")&gt;0,1,0))</f>
        <v/>
      </c>
      <c r="CS148">
        <f>IF(CS$4=0,0,IF(COUNTIFS(実績!$W$6:$W$505,CS$3,実績!$AC$6:$AC$505,"&lt;="&amp;$A148,実績!$AD$6:$AD$505,"&gt;"&amp;$A148,実績!$AE$6:$AE$505,"○")&gt;0,1,0))</f>
        <v/>
      </c>
      <c r="CT148">
        <f>IF(CT$4=0,0,IF(COUNTIFS(実績!$W$6:$W$505,CT$3,実績!$AC$6:$AC$505,"&lt;="&amp;$A148,実績!$AD$6:$AD$505,"&gt;"&amp;$A148,実績!$AE$6:$AE$505,"○")&gt;0,1,0))</f>
        <v/>
      </c>
      <c r="CU148">
        <f>IF(CU$4=0,0,IF(COUNTIFS(実績!$W$6:$W$505,CU$3,実績!$AC$6:$AC$505,"&lt;="&amp;$A148,実績!$AD$6:$AD$505,"&gt;"&amp;$A148,実績!$AE$6:$AE$505,"○")&gt;0,1,0))</f>
        <v/>
      </c>
      <c r="CV148">
        <f>IF(CV$4=0,0,IF(COUNTIFS(実績!$W$6:$W$505,CV$3,実績!$AC$6:$AC$505,"&lt;="&amp;$A148,実績!$AD$6:$AD$505,"&gt;"&amp;$A148,実績!$AE$6:$AE$505,"○")&gt;0,1,0))</f>
        <v/>
      </c>
      <c r="CW148">
        <f>IF(CW$4=0,0,IF(COUNTIFS(実績!$W$6:$W$505,CW$3,実績!$AC$6:$AC$505,"&lt;="&amp;$A148,実績!$AD$6:$AD$505,"&gt;"&amp;$A148,実績!$AE$6:$AE$505,"○")&gt;0,1,0))</f>
        <v/>
      </c>
      <c r="CX148">
        <f>IF(CX$4=0,0,IF(COUNTIFS(実績!$W$6:$W$505,CX$3,実績!$AC$6:$AC$505,"&lt;="&amp;$A148,実績!$AD$6:$AD$505,"&gt;"&amp;$A148,実績!$AE$6:$AE$505,"○")&gt;0,1,0))</f>
        <v/>
      </c>
      <c r="CY148">
        <f>IF(CY$4=0,0,IF(COUNTIFS(実績!$W$6:$W$505,CY$3,実績!$AC$6:$AC$505,"&lt;="&amp;$A148,実績!$AD$6:$AD$505,"&gt;"&amp;$A148,実績!$AE$6:$AE$505,"○")&gt;0,1,0))</f>
        <v/>
      </c>
      <c r="CZ148">
        <f>IF(CZ$4=0,0,IF(COUNTIFS(実績!$W$6:$W$505,CZ$3,実績!$AC$6:$AC$505,"&lt;="&amp;$A148,実績!$AD$6:$AD$505,"&gt;"&amp;$A148,実績!$AE$6:$AE$505,"○")&gt;0,1,0))</f>
        <v/>
      </c>
      <c r="DA148">
        <f>IF(DA$4=0,0,IF(COUNTIFS(実績!$W$6:$W$505,DA$3,実績!$AC$6:$AC$505,"&lt;="&amp;$A148,実績!$AD$6:$AD$505,"&gt;"&amp;$A148,実績!$AE$6:$AE$505,"○")&gt;0,1,0))</f>
        <v/>
      </c>
      <c r="DB148">
        <f>IF(DB$4=0,0,IF(COUNTIFS(実績!$W$6:$W$505,DB$3,実績!$AC$6:$AC$505,"&lt;="&amp;$A148,実績!$AD$6:$AD$505,"&gt;"&amp;$A148,実績!$AE$6:$AE$505,"○")&gt;0,1,0))</f>
        <v/>
      </c>
      <c r="DC148">
        <f>IF(DC$4=0,0,IF(COUNTIFS(実績!$W$6:$W$505,DC$3,実績!$AC$6:$AC$505,"&lt;="&amp;$A148,実績!$AD$6:$AD$505,"&gt;"&amp;$A148,実績!$AE$6:$AE$505,"○")&gt;0,1,0))</f>
        <v/>
      </c>
      <c r="DD148">
        <f>IF(DD$4=0,0,IF(COUNTIFS(実績!$W$6:$W$505,DD$3,実績!$AC$6:$AC$505,"&lt;="&amp;$A148,実績!$AD$6:$AD$505,"&gt;"&amp;$A148,実績!$AE$6:$AE$505,"○")&gt;0,1,0))</f>
        <v/>
      </c>
      <c r="DE148">
        <f>IF(DE$4=0,0,IF(COUNTIFS(実績!$W$6:$W$505,DE$3,実績!$AC$6:$AC$505,"&lt;="&amp;$A148,実績!$AD$6:$AD$505,"&gt;"&amp;$A148,実績!$AE$6:$AE$505,"○")&gt;0,1,0))</f>
        <v/>
      </c>
      <c r="DF148">
        <f>IF(DF$4=0,0,IF(COUNTIFS(実績!$W$6:$W$505,DF$3,実績!$AC$6:$AC$505,"&lt;="&amp;$A148,実績!$AD$6:$AD$505,"&gt;"&amp;$A148,実績!$AE$6:$AE$505,"○")&gt;0,1,0))</f>
        <v/>
      </c>
      <c r="DG148">
        <f>IF(DG$4=0,0,IF(COUNTIFS(実績!$W$6:$W$505,DG$3,実績!$AC$6:$AC$505,"&lt;="&amp;$A148,実績!$AD$6:$AD$505,"&gt;"&amp;$A148,実績!$AE$6:$AE$505,"○")&gt;0,1,0))</f>
        <v/>
      </c>
      <c r="DH148">
        <f>IF(DH$4=0,0,IF(COUNTIFS(実績!$W$6:$W$505,DH$3,実績!$AC$6:$AC$505,"&lt;="&amp;$A148,実績!$AD$6:$AD$505,"&gt;"&amp;$A148,実績!$AE$6:$AE$505,"○")&gt;0,1,0))</f>
        <v/>
      </c>
      <c r="DI148">
        <f>IF(DI$4=0,0,IF(COUNTIFS(実績!$W$6:$W$505,DI$3,実績!$AC$6:$AC$505,"&lt;="&amp;$A148,実績!$AD$6:$AD$505,"&gt;"&amp;$A148,実績!$AE$6:$AE$505,"○")&gt;0,1,0))</f>
        <v/>
      </c>
      <c r="DJ148">
        <f>IF(DJ$4=0,0,IF(COUNTIFS(実績!$W$6:$W$505,DJ$3,実績!$AC$6:$AC$505,"&lt;="&amp;$A148,実績!$AD$6:$AD$505,"&gt;"&amp;$A148,実績!$AE$6:$AE$505,"○")&gt;0,1,0))</f>
        <v/>
      </c>
      <c r="DK148">
        <f>IF(DK$4=0,0,IF(COUNTIFS(実績!$W$6:$W$505,DK$3,実績!$AC$6:$AC$505,"&lt;="&amp;$A148,実績!$AD$6:$AD$505,"&gt;"&amp;$A148,実績!$AE$6:$AE$505,"○")&gt;0,1,0))</f>
        <v/>
      </c>
      <c r="DL148">
        <f>IF(DL$4=0,0,IF(COUNTIFS(実績!$W$6:$W$505,DL$3,実績!$AC$6:$AC$505,"&lt;="&amp;$A148,実績!$AD$6:$AD$505,"&gt;"&amp;$A148,実績!$AE$6:$AE$505,"○")&gt;0,1,0))</f>
        <v/>
      </c>
      <c r="DM148">
        <f>IF(DM$4=0,0,IF(COUNTIFS(実績!$W$6:$W$505,DM$3,実績!$AC$6:$AC$505,"&lt;="&amp;$A148,実績!$AD$6:$AD$505,"&gt;"&amp;$A148,実績!$AE$6:$AE$505,"○")&gt;0,1,0))</f>
        <v/>
      </c>
      <c r="DN148">
        <f>IF(DN$4=0,0,IF(COUNTIFS(実績!$W$6:$W$505,DN$3,実績!$AC$6:$AC$505,"&lt;="&amp;$A148,実績!$AD$6:$AD$505,"&gt;"&amp;$A148,実績!$AE$6:$AE$505,"○")&gt;0,1,0))</f>
        <v/>
      </c>
      <c r="DO148">
        <f>IF(DO$4=0,0,IF(COUNTIFS(実績!$W$6:$W$505,DO$3,実績!$AC$6:$AC$505,"&lt;="&amp;$A148,実績!$AD$6:$AD$505,"&gt;"&amp;$A148,実績!$AE$6:$AE$505,"○")&gt;0,1,0))</f>
        <v/>
      </c>
      <c r="DP148">
        <f>IF(DP$4=0,0,IF(COUNTIFS(実績!$W$6:$W$505,DP$3,実績!$AC$6:$AC$505,"&lt;="&amp;$A148,実績!$AD$6:$AD$505,"&gt;"&amp;$A148,実績!$AE$6:$AE$505,"○")&gt;0,1,0))</f>
        <v/>
      </c>
      <c r="DQ148">
        <f>IF(DQ$4=0,0,IF(COUNTIFS(実績!$W$6:$W$505,DQ$3,実績!$AC$6:$AC$505,"&lt;="&amp;$A148,実績!$AD$6:$AD$505,"&gt;"&amp;$A148,実績!$AE$6:$AE$505,"○")&gt;0,1,0))</f>
        <v/>
      </c>
      <c r="DR148">
        <f>IF(DR$4=0,0,IF(COUNTIFS(実績!$W$6:$W$505,DR$3,実績!$AC$6:$AC$505,"&lt;="&amp;$A148,実績!$AD$6:$AD$505,"&gt;"&amp;$A148,実績!$AE$6:$AE$505,"○")&gt;0,1,0))</f>
        <v/>
      </c>
      <c r="DS148">
        <f>SUM(C148:DR148)</f>
        <v/>
      </c>
      <c r="DT148">
        <f>SUMPRODUCT((実績!$C$6:$C$505="○")*ISNUMBER(実績!$AF$6:$AF$505)*(実績!$AF$6:$AF$505&lt;=$A148)*(実績!$AG$6:$AG$505&gt;$A148))</f>
        <v/>
      </c>
      <c r="DU148">
        <f>SUMIF($C$2:$DR$2,"製鉄曳船",C148:DR148)</f>
        <v/>
      </c>
      <c r="DV148">
        <f>SUMIF($C$2:$DR$2,"西日本海運",C148:DR148)</f>
        <v/>
      </c>
    </row>
    <row r="149">
      <c r="A149" t="n">
        <v>715</v>
      </c>
      <c r="B149" s="29">
        <f>A149/1440</f>
        <v/>
      </c>
      <c r="C149">
        <f>IF(C$4=0,0,IF(COUNTIFS(実績!$W$6:$W$505,C$3,実績!$AC$6:$AC$505,"&lt;="&amp;$A149,実績!$AD$6:$AD$505,"&gt;"&amp;$A149,実績!$AE$6:$AE$505,"○")&gt;0,1,0))</f>
        <v/>
      </c>
      <c r="D149">
        <f>IF(D$4=0,0,IF(COUNTIFS(実績!$W$6:$W$505,D$3,実績!$AC$6:$AC$505,"&lt;="&amp;$A149,実績!$AD$6:$AD$505,"&gt;"&amp;$A149,実績!$AE$6:$AE$505,"○")&gt;0,1,0))</f>
        <v/>
      </c>
      <c r="E149">
        <f>IF(E$4=0,0,IF(COUNTIFS(実績!$W$6:$W$505,E$3,実績!$AC$6:$AC$505,"&lt;="&amp;$A149,実績!$AD$6:$AD$505,"&gt;"&amp;$A149,実績!$AE$6:$AE$505,"○")&gt;0,1,0))</f>
        <v/>
      </c>
      <c r="F149">
        <f>IF(F$4=0,0,IF(COUNTIFS(実績!$W$6:$W$505,F$3,実績!$AC$6:$AC$505,"&lt;="&amp;$A149,実績!$AD$6:$AD$505,"&gt;"&amp;$A149,実績!$AE$6:$AE$505,"○")&gt;0,1,0))</f>
        <v/>
      </c>
      <c r="G149">
        <f>IF(G$4=0,0,IF(COUNTIFS(実績!$W$6:$W$505,G$3,実績!$AC$6:$AC$505,"&lt;="&amp;$A149,実績!$AD$6:$AD$505,"&gt;"&amp;$A149,実績!$AE$6:$AE$505,"○")&gt;0,1,0))</f>
        <v/>
      </c>
      <c r="H149">
        <f>IF(H$4=0,0,IF(COUNTIFS(実績!$W$6:$W$505,H$3,実績!$AC$6:$AC$505,"&lt;="&amp;$A149,実績!$AD$6:$AD$505,"&gt;"&amp;$A149,実績!$AE$6:$AE$505,"○")&gt;0,1,0))</f>
        <v/>
      </c>
      <c r="I149">
        <f>IF(I$4=0,0,IF(COUNTIFS(実績!$W$6:$W$505,I$3,実績!$AC$6:$AC$505,"&lt;="&amp;$A149,実績!$AD$6:$AD$505,"&gt;"&amp;$A149,実績!$AE$6:$AE$505,"○")&gt;0,1,0))</f>
        <v/>
      </c>
      <c r="J149">
        <f>IF(J$4=0,0,IF(COUNTIFS(実績!$W$6:$W$505,J$3,実績!$AC$6:$AC$505,"&lt;="&amp;$A149,実績!$AD$6:$AD$505,"&gt;"&amp;$A149,実績!$AE$6:$AE$505,"○")&gt;0,1,0))</f>
        <v/>
      </c>
      <c r="K149">
        <f>IF(K$4=0,0,IF(COUNTIFS(実績!$W$6:$W$505,K$3,実績!$AC$6:$AC$505,"&lt;="&amp;$A149,実績!$AD$6:$AD$505,"&gt;"&amp;$A149,実績!$AE$6:$AE$505,"○")&gt;0,1,0))</f>
        <v/>
      </c>
      <c r="L149">
        <f>IF(L$4=0,0,IF(COUNTIFS(実績!$W$6:$W$505,L$3,実績!$AC$6:$AC$505,"&lt;="&amp;$A149,実績!$AD$6:$AD$505,"&gt;"&amp;$A149,実績!$AE$6:$AE$505,"○")&gt;0,1,0))</f>
        <v/>
      </c>
      <c r="M149">
        <f>IF(M$4=0,0,IF(COUNTIFS(実績!$W$6:$W$505,M$3,実績!$AC$6:$AC$505,"&lt;="&amp;$A149,実績!$AD$6:$AD$505,"&gt;"&amp;$A149,実績!$AE$6:$AE$505,"○")&gt;0,1,0))</f>
        <v/>
      </c>
      <c r="N149">
        <f>IF(N$4=0,0,IF(COUNTIFS(実績!$W$6:$W$505,N$3,実績!$AC$6:$AC$505,"&lt;="&amp;$A149,実績!$AD$6:$AD$505,"&gt;"&amp;$A149,実績!$AE$6:$AE$505,"○")&gt;0,1,0))</f>
        <v/>
      </c>
      <c r="O149">
        <f>IF(O$4=0,0,IF(COUNTIFS(実績!$W$6:$W$505,O$3,実績!$AC$6:$AC$505,"&lt;="&amp;$A149,実績!$AD$6:$AD$505,"&gt;"&amp;$A149,実績!$AE$6:$AE$505,"○")&gt;0,1,0))</f>
        <v/>
      </c>
      <c r="P149">
        <f>IF(P$4=0,0,IF(COUNTIFS(実績!$W$6:$W$505,P$3,実績!$AC$6:$AC$505,"&lt;="&amp;$A149,実績!$AD$6:$AD$505,"&gt;"&amp;$A149,実績!$AE$6:$AE$505,"○")&gt;0,1,0))</f>
        <v/>
      </c>
      <c r="Q149">
        <f>IF(Q$4=0,0,IF(COUNTIFS(実績!$W$6:$W$505,Q$3,実績!$AC$6:$AC$505,"&lt;="&amp;$A149,実績!$AD$6:$AD$505,"&gt;"&amp;$A149,実績!$AE$6:$AE$505,"○")&gt;0,1,0))</f>
        <v/>
      </c>
      <c r="R149">
        <f>IF(R$4=0,0,IF(COUNTIFS(実績!$W$6:$W$505,R$3,実績!$AC$6:$AC$505,"&lt;="&amp;$A149,実績!$AD$6:$AD$505,"&gt;"&amp;$A149,実績!$AE$6:$AE$505,"○")&gt;0,1,0))</f>
        <v/>
      </c>
      <c r="S149">
        <f>IF(S$4=0,0,IF(COUNTIFS(実績!$W$6:$W$505,S$3,実績!$AC$6:$AC$505,"&lt;="&amp;$A149,実績!$AD$6:$AD$505,"&gt;"&amp;$A149,実績!$AE$6:$AE$505,"○")&gt;0,1,0))</f>
        <v/>
      </c>
      <c r="T149">
        <f>IF(T$4=0,0,IF(COUNTIFS(実績!$W$6:$W$505,T$3,実績!$AC$6:$AC$505,"&lt;="&amp;$A149,実績!$AD$6:$AD$505,"&gt;"&amp;$A149,実績!$AE$6:$AE$505,"○")&gt;0,1,0))</f>
        <v/>
      </c>
      <c r="U149">
        <f>IF(U$4=0,0,IF(COUNTIFS(実績!$W$6:$W$505,U$3,実績!$AC$6:$AC$505,"&lt;="&amp;$A149,実績!$AD$6:$AD$505,"&gt;"&amp;$A149,実績!$AE$6:$AE$505,"○")&gt;0,1,0))</f>
        <v/>
      </c>
      <c r="V149">
        <f>IF(V$4=0,0,IF(COUNTIFS(実績!$W$6:$W$505,V$3,実績!$AC$6:$AC$505,"&lt;="&amp;$A149,実績!$AD$6:$AD$505,"&gt;"&amp;$A149,実績!$AE$6:$AE$505,"○")&gt;0,1,0))</f>
        <v/>
      </c>
      <c r="W149">
        <f>IF(W$4=0,0,IF(COUNTIFS(実績!$W$6:$W$505,W$3,実績!$AC$6:$AC$505,"&lt;="&amp;$A149,実績!$AD$6:$AD$505,"&gt;"&amp;$A149,実績!$AE$6:$AE$505,"○")&gt;0,1,0))</f>
        <v/>
      </c>
      <c r="X149">
        <f>IF(X$4=0,0,IF(COUNTIFS(実績!$W$6:$W$505,X$3,実績!$AC$6:$AC$505,"&lt;="&amp;$A149,実績!$AD$6:$AD$505,"&gt;"&amp;$A149,実績!$AE$6:$AE$505,"○")&gt;0,1,0))</f>
        <v/>
      </c>
      <c r="Y149">
        <f>IF(Y$4=0,0,IF(COUNTIFS(実績!$W$6:$W$505,Y$3,実績!$AC$6:$AC$505,"&lt;="&amp;$A149,実績!$AD$6:$AD$505,"&gt;"&amp;$A149,実績!$AE$6:$AE$505,"○")&gt;0,1,0))</f>
        <v/>
      </c>
      <c r="Z149">
        <f>IF(Z$4=0,0,IF(COUNTIFS(実績!$W$6:$W$505,Z$3,実績!$AC$6:$AC$505,"&lt;="&amp;$A149,実績!$AD$6:$AD$505,"&gt;"&amp;$A149,実績!$AE$6:$AE$505,"○")&gt;0,1,0))</f>
        <v/>
      </c>
      <c r="AA149">
        <f>IF(AA$4=0,0,IF(COUNTIFS(実績!$W$6:$W$505,AA$3,実績!$AC$6:$AC$505,"&lt;="&amp;$A149,実績!$AD$6:$AD$505,"&gt;"&amp;$A149,実績!$AE$6:$AE$505,"○")&gt;0,1,0))</f>
        <v/>
      </c>
      <c r="AB149">
        <f>IF(AB$4=0,0,IF(COUNTIFS(実績!$W$6:$W$505,AB$3,実績!$AC$6:$AC$505,"&lt;="&amp;$A149,実績!$AD$6:$AD$505,"&gt;"&amp;$A149,実績!$AE$6:$AE$505,"○")&gt;0,1,0))</f>
        <v/>
      </c>
      <c r="AC149">
        <f>IF(AC$4=0,0,IF(COUNTIFS(実績!$W$6:$W$505,AC$3,実績!$AC$6:$AC$505,"&lt;="&amp;$A149,実績!$AD$6:$AD$505,"&gt;"&amp;$A149,実績!$AE$6:$AE$505,"○")&gt;0,1,0))</f>
        <v/>
      </c>
      <c r="AD149">
        <f>IF(AD$4=0,0,IF(COUNTIFS(実績!$W$6:$W$505,AD$3,実績!$AC$6:$AC$505,"&lt;="&amp;$A149,実績!$AD$6:$AD$505,"&gt;"&amp;$A149,実績!$AE$6:$AE$505,"○")&gt;0,1,0))</f>
        <v/>
      </c>
      <c r="AE149">
        <f>IF(AE$4=0,0,IF(COUNTIFS(実績!$W$6:$W$505,AE$3,実績!$AC$6:$AC$505,"&lt;="&amp;$A149,実績!$AD$6:$AD$505,"&gt;"&amp;$A149,実績!$AE$6:$AE$505,"○")&gt;0,1,0))</f>
        <v/>
      </c>
      <c r="AF149">
        <f>IF(AF$4=0,0,IF(COUNTIFS(実績!$W$6:$W$505,AF$3,実績!$AC$6:$AC$505,"&lt;="&amp;$A149,実績!$AD$6:$AD$505,"&gt;"&amp;$A149,実績!$AE$6:$AE$505,"○")&gt;0,1,0))</f>
        <v/>
      </c>
      <c r="AG149">
        <f>IF(AG$4=0,0,IF(COUNTIFS(実績!$W$6:$W$505,AG$3,実績!$AC$6:$AC$505,"&lt;="&amp;$A149,実績!$AD$6:$AD$505,"&gt;"&amp;$A149,実績!$AE$6:$AE$505,"○")&gt;0,1,0))</f>
        <v/>
      </c>
      <c r="AH149">
        <f>IF(AH$4=0,0,IF(COUNTIFS(実績!$W$6:$W$505,AH$3,実績!$AC$6:$AC$505,"&lt;="&amp;$A149,実績!$AD$6:$AD$505,"&gt;"&amp;$A149,実績!$AE$6:$AE$505,"○")&gt;0,1,0))</f>
        <v/>
      </c>
      <c r="AI149">
        <f>IF(AI$4=0,0,IF(COUNTIFS(実績!$W$6:$W$505,AI$3,実績!$AC$6:$AC$505,"&lt;="&amp;$A149,実績!$AD$6:$AD$505,"&gt;"&amp;$A149,実績!$AE$6:$AE$505,"○")&gt;0,1,0))</f>
        <v/>
      </c>
      <c r="AJ149">
        <f>IF(AJ$4=0,0,IF(COUNTIFS(実績!$W$6:$W$505,AJ$3,実績!$AC$6:$AC$505,"&lt;="&amp;$A149,実績!$AD$6:$AD$505,"&gt;"&amp;$A149,実績!$AE$6:$AE$505,"○")&gt;0,1,0))</f>
        <v/>
      </c>
      <c r="AK149">
        <f>IF(AK$4=0,0,IF(COUNTIFS(実績!$W$6:$W$505,AK$3,実績!$AC$6:$AC$505,"&lt;="&amp;$A149,実績!$AD$6:$AD$505,"&gt;"&amp;$A149,実績!$AE$6:$AE$505,"○")&gt;0,1,0))</f>
        <v/>
      </c>
      <c r="AL149">
        <f>IF(AL$4=0,0,IF(COUNTIFS(実績!$W$6:$W$505,AL$3,実績!$AC$6:$AC$505,"&lt;="&amp;$A149,実績!$AD$6:$AD$505,"&gt;"&amp;$A149,実績!$AE$6:$AE$505,"○")&gt;0,1,0))</f>
        <v/>
      </c>
      <c r="AM149">
        <f>IF(AM$4=0,0,IF(COUNTIFS(実績!$W$6:$W$505,AM$3,実績!$AC$6:$AC$505,"&lt;="&amp;$A149,実績!$AD$6:$AD$505,"&gt;"&amp;$A149,実績!$AE$6:$AE$505,"○")&gt;0,1,0))</f>
        <v/>
      </c>
      <c r="AN149">
        <f>IF(AN$4=0,0,IF(COUNTIFS(実績!$W$6:$W$505,AN$3,実績!$AC$6:$AC$505,"&lt;="&amp;$A149,実績!$AD$6:$AD$505,"&gt;"&amp;$A149,実績!$AE$6:$AE$505,"○")&gt;0,1,0))</f>
        <v/>
      </c>
      <c r="AO149">
        <f>IF(AO$4=0,0,IF(COUNTIFS(実績!$W$6:$W$505,AO$3,実績!$AC$6:$AC$505,"&lt;="&amp;$A149,実績!$AD$6:$AD$505,"&gt;"&amp;$A149,実績!$AE$6:$AE$505,"○")&gt;0,1,0))</f>
        <v/>
      </c>
      <c r="AP149">
        <f>IF(AP$4=0,0,IF(COUNTIFS(実績!$W$6:$W$505,AP$3,実績!$AC$6:$AC$505,"&lt;="&amp;$A149,実績!$AD$6:$AD$505,"&gt;"&amp;$A149,実績!$AE$6:$AE$505,"○")&gt;0,1,0))</f>
        <v/>
      </c>
      <c r="AQ149">
        <f>IF(AQ$4=0,0,IF(COUNTIFS(実績!$W$6:$W$505,AQ$3,実績!$AC$6:$AC$505,"&lt;="&amp;$A149,実績!$AD$6:$AD$505,"&gt;"&amp;$A149,実績!$AE$6:$AE$505,"○")&gt;0,1,0))</f>
        <v/>
      </c>
      <c r="AR149">
        <f>IF(AR$4=0,0,IF(COUNTIFS(実績!$W$6:$W$505,AR$3,実績!$AC$6:$AC$505,"&lt;="&amp;$A149,実績!$AD$6:$AD$505,"&gt;"&amp;$A149,実績!$AE$6:$AE$505,"○")&gt;0,1,0))</f>
        <v/>
      </c>
      <c r="AS149">
        <f>IF(AS$4=0,0,IF(COUNTIFS(実績!$W$6:$W$505,AS$3,実績!$AC$6:$AC$505,"&lt;="&amp;$A149,実績!$AD$6:$AD$505,"&gt;"&amp;$A149,実績!$AE$6:$AE$505,"○")&gt;0,1,0))</f>
        <v/>
      </c>
      <c r="AT149">
        <f>IF(AT$4=0,0,IF(COUNTIFS(実績!$W$6:$W$505,AT$3,実績!$AC$6:$AC$505,"&lt;="&amp;$A149,実績!$AD$6:$AD$505,"&gt;"&amp;$A149,実績!$AE$6:$AE$505,"○")&gt;0,1,0))</f>
        <v/>
      </c>
      <c r="AU149">
        <f>IF(AU$4=0,0,IF(COUNTIFS(実績!$W$6:$W$505,AU$3,実績!$AC$6:$AC$505,"&lt;="&amp;$A149,実績!$AD$6:$AD$505,"&gt;"&amp;$A149,実績!$AE$6:$AE$505,"○")&gt;0,1,0))</f>
        <v/>
      </c>
      <c r="AV149">
        <f>IF(AV$4=0,0,IF(COUNTIFS(実績!$W$6:$W$505,AV$3,実績!$AC$6:$AC$505,"&lt;="&amp;$A149,実績!$AD$6:$AD$505,"&gt;"&amp;$A149,実績!$AE$6:$AE$505,"○")&gt;0,1,0))</f>
        <v/>
      </c>
      <c r="AW149">
        <f>IF(AW$4=0,0,IF(COUNTIFS(実績!$W$6:$W$505,AW$3,実績!$AC$6:$AC$505,"&lt;="&amp;$A149,実績!$AD$6:$AD$505,"&gt;"&amp;$A149,実績!$AE$6:$AE$505,"○")&gt;0,1,0))</f>
        <v/>
      </c>
      <c r="AX149">
        <f>IF(AX$4=0,0,IF(COUNTIFS(実績!$W$6:$W$505,AX$3,実績!$AC$6:$AC$505,"&lt;="&amp;$A149,実績!$AD$6:$AD$505,"&gt;"&amp;$A149,実績!$AE$6:$AE$505,"○")&gt;0,1,0))</f>
        <v/>
      </c>
      <c r="AY149">
        <f>IF(AY$4=0,0,IF(COUNTIFS(実績!$W$6:$W$505,AY$3,実績!$AC$6:$AC$505,"&lt;="&amp;$A149,実績!$AD$6:$AD$505,"&gt;"&amp;$A149,実績!$AE$6:$AE$505,"○")&gt;0,1,0))</f>
        <v/>
      </c>
      <c r="AZ149">
        <f>IF(AZ$4=0,0,IF(COUNTIFS(実績!$W$6:$W$505,AZ$3,実績!$AC$6:$AC$505,"&lt;="&amp;$A149,実績!$AD$6:$AD$505,"&gt;"&amp;$A149,実績!$AE$6:$AE$505,"○")&gt;0,1,0))</f>
        <v/>
      </c>
      <c r="BA149">
        <f>IF(BA$4=0,0,IF(COUNTIFS(実績!$W$6:$W$505,BA$3,実績!$AC$6:$AC$505,"&lt;="&amp;$A149,実績!$AD$6:$AD$505,"&gt;"&amp;$A149,実績!$AE$6:$AE$505,"○")&gt;0,1,0))</f>
        <v/>
      </c>
      <c r="BB149">
        <f>IF(BB$4=0,0,IF(COUNTIFS(実績!$W$6:$W$505,BB$3,実績!$AC$6:$AC$505,"&lt;="&amp;$A149,実績!$AD$6:$AD$505,"&gt;"&amp;$A149,実績!$AE$6:$AE$505,"○")&gt;0,1,0))</f>
        <v/>
      </c>
      <c r="BC149">
        <f>IF(BC$4=0,0,IF(COUNTIFS(実績!$W$6:$W$505,BC$3,実績!$AC$6:$AC$505,"&lt;="&amp;$A149,実績!$AD$6:$AD$505,"&gt;"&amp;$A149,実績!$AE$6:$AE$505,"○")&gt;0,1,0))</f>
        <v/>
      </c>
      <c r="BD149">
        <f>IF(BD$4=0,0,IF(COUNTIFS(実績!$W$6:$W$505,BD$3,実績!$AC$6:$AC$505,"&lt;="&amp;$A149,実績!$AD$6:$AD$505,"&gt;"&amp;$A149,実績!$AE$6:$AE$505,"○")&gt;0,1,0))</f>
        <v/>
      </c>
      <c r="BE149">
        <f>IF(BE$4=0,0,IF(COUNTIFS(実績!$W$6:$W$505,BE$3,実績!$AC$6:$AC$505,"&lt;="&amp;$A149,実績!$AD$6:$AD$505,"&gt;"&amp;$A149,実績!$AE$6:$AE$505,"○")&gt;0,1,0))</f>
        <v/>
      </c>
      <c r="BF149">
        <f>IF(BF$4=0,0,IF(COUNTIFS(実績!$W$6:$W$505,BF$3,実績!$AC$6:$AC$505,"&lt;="&amp;$A149,実績!$AD$6:$AD$505,"&gt;"&amp;$A149,実績!$AE$6:$AE$505,"○")&gt;0,1,0))</f>
        <v/>
      </c>
      <c r="BG149">
        <f>IF(BG$4=0,0,IF(COUNTIFS(実績!$W$6:$W$505,BG$3,実績!$AC$6:$AC$505,"&lt;="&amp;$A149,実績!$AD$6:$AD$505,"&gt;"&amp;$A149,実績!$AE$6:$AE$505,"○")&gt;0,1,0))</f>
        <v/>
      </c>
      <c r="BH149">
        <f>IF(BH$4=0,0,IF(COUNTIFS(実績!$W$6:$W$505,BH$3,実績!$AC$6:$AC$505,"&lt;="&amp;$A149,実績!$AD$6:$AD$505,"&gt;"&amp;$A149,実績!$AE$6:$AE$505,"○")&gt;0,1,0))</f>
        <v/>
      </c>
      <c r="BI149">
        <f>IF(BI$4=0,0,IF(COUNTIFS(実績!$W$6:$W$505,BI$3,実績!$AC$6:$AC$505,"&lt;="&amp;$A149,実績!$AD$6:$AD$505,"&gt;"&amp;$A149,実績!$AE$6:$AE$505,"○")&gt;0,1,0))</f>
        <v/>
      </c>
      <c r="BJ149">
        <f>IF(BJ$4=0,0,IF(COUNTIFS(実績!$W$6:$W$505,BJ$3,実績!$AC$6:$AC$505,"&lt;="&amp;$A149,実績!$AD$6:$AD$505,"&gt;"&amp;$A149,実績!$AE$6:$AE$505,"○")&gt;0,1,0))</f>
        <v/>
      </c>
      <c r="BK149">
        <f>IF(BK$4=0,0,IF(COUNTIFS(実績!$W$6:$W$505,BK$3,実績!$AC$6:$AC$505,"&lt;="&amp;$A149,実績!$AD$6:$AD$505,"&gt;"&amp;$A149,実績!$AE$6:$AE$505,"○")&gt;0,1,0))</f>
        <v/>
      </c>
      <c r="BL149">
        <f>IF(BL$4=0,0,IF(COUNTIFS(実績!$W$6:$W$505,BL$3,実績!$AC$6:$AC$505,"&lt;="&amp;$A149,実績!$AD$6:$AD$505,"&gt;"&amp;$A149,実績!$AE$6:$AE$505,"○")&gt;0,1,0))</f>
        <v/>
      </c>
      <c r="BM149">
        <f>IF(BM$4=0,0,IF(COUNTIFS(実績!$W$6:$W$505,BM$3,実績!$AC$6:$AC$505,"&lt;="&amp;$A149,実績!$AD$6:$AD$505,"&gt;"&amp;$A149,実績!$AE$6:$AE$505,"○")&gt;0,1,0))</f>
        <v/>
      </c>
      <c r="BN149">
        <f>IF(BN$4=0,0,IF(COUNTIFS(実績!$W$6:$W$505,BN$3,実績!$AC$6:$AC$505,"&lt;="&amp;$A149,実績!$AD$6:$AD$505,"&gt;"&amp;$A149,実績!$AE$6:$AE$505,"○")&gt;0,1,0))</f>
        <v/>
      </c>
      <c r="BO149">
        <f>IF(BO$4=0,0,IF(COUNTIFS(実績!$W$6:$W$505,BO$3,実績!$AC$6:$AC$505,"&lt;="&amp;$A149,実績!$AD$6:$AD$505,"&gt;"&amp;$A149,実績!$AE$6:$AE$505,"○")&gt;0,1,0))</f>
        <v/>
      </c>
      <c r="BP149">
        <f>IF(BP$4=0,0,IF(COUNTIFS(実績!$W$6:$W$505,BP$3,実績!$AC$6:$AC$505,"&lt;="&amp;$A149,実績!$AD$6:$AD$505,"&gt;"&amp;$A149,実績!$AE$6:$AE$505,"○")&gt;0,1,0))</f>
        <v/>
      </c>
      <c r="BQ149">
        <f>IF(BQ$4=0,0,IF(COUNTIFS(実績!$W$6:$W$505,BQ$3,実績!$AC$6:$AC$505,"&lt;="&amp;$A149,実績!$AD$6:$AD$505,"&gt;"&amp;$A149,実績!$AE$6:$AE$505,"○")&gt;0,1,0))</f>
        <v/>
      </c>
      <c r="BR149">
        <f>IF(BR$4=0,0,IF(COUNTIFS(実績!$W$6:$W$505,BR$3,実績!$AC$6:$AC$505,"&lt;="&amp;$A149,実績!$AD$6:$AD$505,"&gt;"&amp;$A149,実績!$AE$6:$AE$505,"○")&gt;0,1,0))</f>
        <v/>
      </c>
      <c r="BS149">
        <f>IF(BS$4=0,0,IF(COUNTIFS(実績!$W$6:$W$505,BS$3,実績!$AC$6:$AC$505,"&lt;="&amp;$A149,実績!$AD$6:$AD$505,"&gt;"&amp;$A149,実績!$AE$6:$AE$505,"○")&gt;0,1,0))</f>
        <v/>
      </c>
      <c r="BT149">
        <f>IF(BT$4=0,0,IF(COUNTIFS(実績!$W$6:$W$505,BT$3,実績!$AC$6:$AC$505,"&lt;="&amp;$A149,実績!$AD$6:$AD$505,"&gt;"&amp;$A149,実績!$AE$6:$AE$505,"○")&gt;0,1,0))</f>
        <v/>
      </c>
      <c r="BU149">
        <f>IF(BU$4=0,0,IF(COUNTIFS(実績!$W$6:$W$505,BU$3,実績!$AC$6:$AC$505,"&lt;="&amp;$A149,実績!$AD$6:$AD$505,"&gt;"&amp;$A149,実績!$AE$6:$AE$505,"○")&gt;0,1,0))</f>
        <v/>
      </c>
      <c r="BV149">
        <f>IF(BV$4=0,0,IF(COUNTIFS(実績!$W$6:$W$505,BV$3,実績!$AC$6:$AC$505,"&lt;="&amp;$A149,実績!$AD$6:$AD$505,"&gt;"&amp;$A149,実績!$AE$6:$AE$505,"○")&gt;0,1,0))</f>
        <v/>
      </c>
      <c r="BW149">
        <f>IF(BW$4=0,0,IF(COUNTIFS(実績!$W$6:$W$505,BW$3,実績!$AC$6:$AC$505,"&lt;="&amp;$A149,実績!$AD$6:$AD$505,"&gt;"&amp;$A149,実績!$AE$6:$AE$505,"○")&gt;0,1,0))</f>
        <v/>
      </c>
      <c r="BX149">
        <f>IF(BX$4=0,0,IF(COUNTIFS(実績!$W$6:$W$505,BX$3,実績!$AC$6:$AC$505,"&lt;="&amp;$A149,実績!$AD$6:$AD$505,"&gt;"&amp;$A149,実績!$AE$6:$AE$505,"○")&gt;0,1,0))</f>
        <v/>
      </c>
      <c r="BY149">
        <f>IF(BY$4=0,0,IF(COUNTIFS(実績!$W$6:$W$505,BY$3,実績!$AC$6:$AC$505,"&lt;="&amp;$A149,実績!$AD$6:$AD$505,"&gt;"&amp;$A149,実績!$AE$6:$AE$505,"○")&gt;0,1,0))</f>
        <v/>
      </c>
      <c r="BZ149">
        <f>IF(BZ$4=0,0,IF(COUNTIFS(実績!$W$6:$W$505,BZ$3,実績!$AC$6:$AC$505,"&lt;="&amp;$A149,実績!$AD$6:$AD$505,"&gt;"&amp;$A149,実績!$AE$6:$AE$505,"○")&gt;0,1,0))</f>
        <v/>
      </c>
      <c r="CA149">
        <f>IF(CA$4=0,0,IF(COUNTIFS(実績!$W$6:$W$505,CA$3,実績!$AC$6:$AC$505,"&lt;="&amp;$A149,実績!$AD$6:$AD$505,"&gt;"&amp;$A149,実績!$AE$6:$AE$505,"○")&gt;0,1,0))</f>
        <v/>
      </c>
      <c r="CB149">
        <f>IF(CB$4=0,0,IF(COUNTIFS(実績!$W$6:$W$505,CB$3,実績!$AC$6:$AC$505,"&lt;="&amp;$A149,実績!$AD$6:$AD$505,"&gt;"&amp;$A149,実績!$AE$6:$AE$505,"○")&gt;0,1,0))</f>
        <v/>
      </c>
      <c r="CC149">
        <f>IF(CC$4=0,0,IF(COUNTIFS(実績!$W$6:$W$505,CC$3,実績!$AC$6:$AC$505,"&lt;="&amp;$A149,実績!$AD$6:$AD$505,"&gt;"&amp;$A149,実績!$AE$6:$AE$505,"○")&gt;0,1,0))</f>
        <v/>
      </c>
      <c r="CD149">
        <f>IF(CD$4=0,0,IF(COUNTIFS(実績!$W$6:$W$505,CD$3,実績!$AC$6:$AC$505,"&lt;="&amp;$A149,実績!$AD$6:$AD$505,"&gt;"&amp;$A149,実績!$AE$6:$AE$505,"○")&gt;0,1,0))</f>
        <v/>
      </c>
      <c r="CE149">
        <f>IF(CE$4=0,0,IF(COUNTIFS(実績!$W$6:$W$505,CE$3,実績!$AC$6:$AC$505,"&lt;="&amp;$A149,実績!$AD$6:$AD$505,"&gt;"&amp;$A149,実績!$AE$6:$AE$505,"○")&gt;0,1,0))</f>
        <v/>
      </c>
      <c r="CF149">
        <f>IF(CF$4=0,0,IF(COUNTIFS(実績!$W$6:$W$505,CF$3,実績!$AC$6:$AC$505,"&lt;="&amp;$A149,実績!$AD$6:$AD$505,"&gt;"&amp;$A149,実績!$AE$6:$AE$505,"○")&gt;0,1,0))</f>
        <v/>
      </c>
      <c r="CG149">
        <f>IF(CG$4=0,0,IF(COUNTIFS(実績!$W$6:$W$505,CG$3,実績!$AC$6:$AC$505,"&lt;="&amp;$A149,実績!$AD$6:$AD$505,"&gt;"&amp;$A149,実績!$AE$6:$AE$505,"○")&gt;0,1,0))</f>
        <v/>
      </c>
      <c r="CH149">
        <f>IF(CH$4=0,0,IF(COUNTIFS(実績!$W$6:$W$505,CH$3,実績!$AC$6:$AC$505,"&lt;="&amp;$A149,実績!$AD$6:$AD$505,"&gt;"&amp;$A149,実績!$AE$6:$AE$505,"○")&gt;0,1,0))</f>
        <v/>
      </c>
      <c r="CI149">
        <f>IF(CI$4=0,0,IF(COUNTIFS(実績!$W$6:$W$505,CI$3,実績!$AC$6:$AC$505,"&lt;="&amp;$A149,実績!$AD$6:$AD$505,"&gt;"&amp;$A149,実績!$AE$6:$AE$505,"○")&gt;0,1,0))</f>
        <v/>
      </c>
      <c r="CJ149">
        <f>IF(CJ$4=0,0,IF(COUNTIFS(実績!$W$6:$W$505,CJ$3,実績!$AC$6:$AC$505,"&lt;="&amp;$A149,実績!$AD$6:$AD$505,"&gt;"&amp;$A149,実績!$AE$6:$AE$505,"○")&gt;0,1,0))</f>
        <v/>
      </c>
      <c r="CK149">
        <f>IF(CK$4=0,0,IF(COUNTIFS(実績!$W$6:$W$505,CK$3,実績!$AC$6:$AC$505,"&lt;="&amp;$A149,実績!$AD$6:$AD$505,"&gt;"&amp;$A149,実績!$AE$6:$AE$505,"○")&gt;0,1,0))</f>
        <v/>
      </c>
      <c r="CL149">
        <f>IF(CL$4=0,0,IF(COUNTIFS(実績!$W$6:$W$505,CL$3,実績!$AC$6:$AC$505,"&lt;="&amp;$A149,実績!$AD$6:$AD$505,"&gt;"&amp;$A149,実績!$AE$6:$AE$505,"○")&gt;0,1,0))</f>
        <v/>
      </c>
      <c r="CM149">
        <f>IF(CM$4=0,0,IF(COUNTIFS(実績!$W$6:$W$505,CM$3,実績!$AC$6:$AC$505,"&lt;="&amp;$A149,実績!$AD$6:$AD$505,"&gt;"&amp;$A149,実績!$AE$6:$AE$505,"○")&gt;0,1,0))</f>
        <v/>
      </c>
      <c r="CN149">
        <f>IF(CN$4=0,0,IF(COUNTIFS(実績!$W$6:$W$505,CN$3,実績!$AC$6:$AC$505,"&lt;="&amp;$A149,実績!$AD$6:$AD$505,"&gt;"&amp;$A149,実績!$AE$6:$AE$505,"○")&gt;0,1,0))</f>
        <v/>
      </c>
      <c r="CO149">
        <f>IF(CO$4=0,0,IF(COUNTIFS(実績!$W$6:$W$505,CO$3,実績!$AC$6:$AC$505,"&lt;="&amp;$A149,実績!$AD$6:$AD$505,"&gt;"&amp;$A149,実績!$AE$6:$AE$505,"○")&gt;0,1,0))</f>
        <v/>
      </c>
      <c r="CP149">
        <f>IF(CP$4=0,0,IF(COUNTIFS(実績!$W$6:$W$505,CP$3,実績!$AC$6:$AC$505,"&lt;="&amp;$A149,実績!$AD$6:$AD$505,"&gt;"&amp;$A149,実績!$AE$6:$AE$505,"○")&gt;0,1,0))</f>
        <v/>
      </c>
      <c r="CQ149">
        <f>IF(CQ$4=0,0,IF(COUNTIFS(実績!$W$6:$W$505,CQ$3,実績!$AC$6:$AC$505,"&lt;="&amp;$A149,実績!$AD$6:$AD$505,"&gt;"&amp;$A149,実績!$AE$6:$AE$505,"○")&gt;0,1,0))</f>
        <v/>
      </c>
      <c r="CR149">
        <f>IF(CR$4=0,0,IF(COUNTIFS(実績!$W$6:$W$505,CR$3,実績!$AC$6:$AC$505,"&lt;="&amp;$A149,実績!$AD$6:$AD$505,"&gt;"&amp;$A149,実績!$AE$6:$AE$505,"○")&gt;0,1,0))</f>
        <v/>
      </c>
      <c r="CS149">
        <f>IF(CS$4=0,0,IF(COUNTIFS(実績!$W$6:$W$505,CS$3,実績!$AC$6:$AC$505,"&lt;="&amp;$A149,実績!$AD$6:$AD$505,"&gt;"&amp;$A149,実績!$AE$6:$AE$505,"○")&gt;0,1,0))</f>
        <v/>
      </c>
      <c r="CT149">
        <f>IF(CT$4=0,0,IF(COUNTIFS(実績!$W$6:$W$505,CT$3,実績!$AC$6:$AC$505,"&lt;="&amp;$A149,実績!$AD$6:$AD$505,"&gt;"&amp;$A149,実績!$AE$6:$AE$505,"○")&gt;0,1,0))</f>
        <v/>
      </c>
      <c r="CU149">
        <f>IF(CU$4=0,0,IF(COUNTIFS(実績!$W$6:$W$505,CU$3,実績!$AC$6:$AC$505,"&lt;="&amp;$A149,実績!$AD$6:$AD$505,"&gt;"&amp;$A149,実績!$AE$6:$AE$505,"○")&gt;0,1,0))</f>
        <v/>
      </c>
      <c r="CV149">
        <f>IF(CV$4=0,0,IF(COUNTIFS(実績!$W$6:$W$505,CV$3,実績!$AC$6:$AC$505,"&lt;="&amp;$A149,実績!$AD$6:$AD$505,"&gt;"&amp;$A149,実績!$AE$6:$AE$505,"○")&gt;0,1,0))</f>
        <v/>
      </c>
      <c r="CW149">
        <f>IF(CW$4=0,0,IF(COUNTIFS(実績!$W$6:$W$505,CW$3,実績!$AC$6:$AC$505,"&lt;="&amp;$A149,実績!$AD$6:$AD$505,"&gt;"&amp;$A149,実績!$AE$6:$AE$505,"○")&gt;0,1,0))</f>
        <v/>
      </c>
      <c r="CX149">
        <f>IF(CX$4=0,0,IF(COUNTIFS(実績!$W$6:$W$505,CX$3,実績!$AC$6:$AC$505,"&lt;="&amp;$A149,実績!$AD$6:$AD$505,"&gt;"&amp;$A149,実績!$AE$6:$AE$505,"○")&gt;0,1,0))</f>
        <v/>
      </c>
      <c r="CY149">
        <f>IF(CY$4=0,0,IF(COUNTIFS(実績!$W$6:$W$505,CY$3,実績!$AC$6:$AC$505,"&lt;="&amp;$A149,実績!$AD$6:$AD$505,"&gt;"&amp;$A149,実績!$AE$6:$AE$505,"○")&gt;0,1,0))</f>
        <v/>
      </c>
      <c r="CZ149">
        <f>IF(CZ$4=0,0,IF(COUNTIFS(実績!$W$6:$W$505,CZ$3,実績!$AC$6:$AC$505,"&lt;="&amp;$A149,実績!$AD$6:$AD$505,"&gt;"&amp;$A149,実績!$AE$6:$AE$505,"○")&gt;0,1,0))</f>
        <v/>
      </c>
      <c r="DA149">
        <f>IF(DA$4=0,0,IF(COUNTIFS(実績!$W$6:$W$505,DA$3,実績!$AC$6:$AC$505,"&lt;="&amp;$A149,実績!$AD$6:$AD$505,"&gt;"&amp;$A149,実績!$AE$6:$AE$505,"○")&gt;0,1,0))</f>
        <v/>
      </c>
      <c r="DB149">
        <f>IF(DB$4=0,0,IF(COUNTIFS(実績!$W$6:$W$505,DB$3,実績!$AC$6:$AC$505,"&lt;="&amp;$A149,実績!$AD$6:$AD$505,"&gt;"&amp;$A149,実績!$AE$6:$AE$505,"○")&gt;0,1,0))</f>
        <v/>
      </c>
      <c r="DC149">
        <f>IF(DC$4=0,0,IF(COUNTIFS(実績!$W$6:$W$505,DC$3,実績!$AC$6:$AC$505,"&lt;="&amp;$A149,実績!$AD$6:$AD$505,"&gt;"&amp;$A149,実績!$AE$6:$AE$505,"○")&gt;0,1,0))</f>
        <v/>
      </c>
      <c r="DD149">
        <f>IF(DD$4=0,0,IF(COUNTIFS(実績!$W$6:$W$505,DD$3,実績!$AC$6:$AC$505,"&lt;="&amp;$A149,実績!$AD$6:$AD$505,"&gt;"&amp;$A149,実績!$AE$6:$AE$505,"○")&gt;0,1,0))</f>
        <v/>
      </c>
      <c r="DE149">
        <f>IF(DE$4=0,0,IF(COUNTIFS(実績!$W$6:$W$505,DE$3,実績!$AC$6:$AC$505,"&lt;="&amp;$A149,実績!$AD$6:$AD$505,"&gt;"&amp;$A149,実績!$AE$6:$AE$505,"○")&gt;0,1,0))</f>
        <v/>
      </c>
      <c r="DF149">
        <f>IF(DF$4=0,0,IF(COUNTIFS(実績!$W$6:$W$505,DF$3,実績!$AC$6:$AC$505,"&lt;="&amp;$A149,実績!$AD$6:$AD$505,"&gt;"&amp;$A149,実績!$AE$6:$AE$505,"○")&gt;0,1,0))</f>
        <v/>
      </c>
      <c r="DG149">
        <f>IF(DG$4=0,0,IF(COUNTIFS(実績!$W$6:$W$505,DG$3,実績!$AC$6:$AC$505,"&lt;="&amp;$A149,実績!$AD$6:$AD$505,"&gt;"&amp;$A149,実績!$AE$6:$AE$505,"○")&gt;0,1,0))</f>
        <v/>
      </c>
      <c r="DH149">
        <f>IF(DH$4=0,0,IF(COUNTIFS(実績!$W$6:$W$505,DH$3,実績!$AC$6:$AC$505,"&lt;="&amp;$A149,実績!$AD$6:$AD$505,"&gt;"&amp;$A149,実績!$AE$6:$AE$505,"○")&gt;0,1,0))</f>
        <v/>
      </c>
      <c r="DI149">
        <f>IF(DI$4=0,0,IF(COUNTIFS(実績!$W$6:$W$505,DI$3,実績!$AC$6:$AC$505,"&lt;="&amp;$A149,実績!$AD$6:$AD$505,"&gt;"&amp;$A149,実績!$AE$6:$AE$505,"○")&gt;0,1,0))</f>
        <v/>
      </c>
      <c r="DJ149">
        <f>IF(DJ$4=0,0,IF(COUNTIFS(実績!$W$6:$W$505,DJ$3,実績!$AC$6:$AC$505,"&lt;="&amp;$A149,実績!$AD$6:$AD$505,"&gt;"&amp;$A149,実績!$AE$6:$AE$505,"○")&gt;0,1,0))</f>
        <v/>
      </c>
      <c r="DK149">
        <f>IF(DK$4=0,0,IF(COUNTIFS(実績!$W$6:$W$505,DK$3,実績!$AC$6:$AC$505,"&lt;="&amp;$A149,実績!$AD$6:$AD$505,"&gt;"&amp;$A149,実績!$AE$6:$AE$505,"○")&gt;0,1,0))</f>
        <v/>
      </c>
      <c r="DL149">
        <f>IF(DL$4=0,0,IF(COUNTIFS(実績!$W$6:$W$505,DL$3,実績!$AC$6:$AC$505,"&lt;="&amp;$A149,実績!$AD$6:$AD$505,"&gt;"&amp;$A149,実績!$AE$6:$AE$505,"○")&gt;0,1,0))</f>
        <v/>
      </c>
      <c r="DM149">
        <f>IF(DM$4=0,0,IF(COUNTIFS(実績!$W$6:$W$505,DM$3,実績!$AC$6:$AC$505,"&lt;="&amp;$A149,実績!$AD$6:$AD$505,"&gt;"&amp;$A149,実績!$AE$6:$AE$505,"○")&gt;0,1,0))</f>
        <v/>
      </c>
      <c r="DN149">
        <f>IF(DN$4=0,0,IF(COUNTIFS(実績!$W$6:$W$505,DN$3,実績!$AC$6:$AC$505,"&lt;="&amp;$A149,実績!$AD$6:$AD$505,"&gt;"&amp;$A149,実績!$AE$6:$AE$505,"○")&gt;0,1,0))</f>
        <v/>
      </c>
      <c r="DO149">
        <f>IF(DO$4=0,0,IF(COUNTIFS(実績!$W$6:$W$505,DO$3,実績!$AC$6:$AC$505,"&lt;="&amp;$A149,実績!$AD$6:$AD$505,"&gt;"&amp;$A149,実績!$AE$6:$AE$505,"○")&gt;0,1,0))</f>
        <v/>
      </c>
      <c r="DP149">
        <f>IF(DP$4=0,0,IF(COUNTIFS(実績!$W$6:$W$505,DP$3,実績!$AC$6:$AC$505,"&lt;="&amp;$A149,実績!$AD$6:$AD$505,"&gt;"&amp;$A149,実績!$AE$6:$AE$505,"○")&gt;0,1,0))</f>
        <v/>
      </c>
      <c r="DQ149">
        <f>IF(DQ$4=0,0,IF(COUNTIFS(実績!$W$6:$W$505,DQ$3,実績!$AC$6:$AC$505,"&lt;="&amp;$A149,実績!$AD$6:$AD$505,"&gt;"&amp;$A149,実績!$AE$6:$AE$505,"○")&gt;0,1,0))</f>
        <v/>
      </c>
      <c r="DR149">
        <f>IF(DR$4=0,0,IF(COUNTIFS(実績!$W$6:$W$505,DR$3,実績!$AC$6:$AC$505,"&lt;="&amp;$A149,実績!$AD$6:$AD$505,"&gt;"&amp;$A149,実績!$AE$6:$AE$505,"○")&gt;0,1,0))</f>
        <v/>
      </c>
      <c r="DS149">
        <f>SUM(C149:DR149)</f>
        <v/>
      </c>
      <c r="DT149">
        <f>SUMPRODUCT((実績!$C$6:$C$505="○")*ISNUMBER(実績!$AF$6:$AF$505)*(実績!$AF$6:$AF$505&lt;=$A149)*(実績!$AG$6:$AG$505&gt;$A149))</f>
        <v/>
      </c>
      <c r="DU149">
        <f>SUMIF($C$2:$DR$2,"製鉄曳船",C149:DR149)</f>
        <v/>
      </c>
      <c r="DV149">
        <f>SUMIF($C$2:$DR$2,"西日本海運",C149:DR149)</f>
        <v/>
      </c>
    </row>
    <row r="150">
      <c r="A150" t="n">
        <v>720</v>
      </c>
      <c r="B150" s="29">
        <f>A150/1440</f>
        <v/>
      </c>
      <c r="C150">
        <f>IF(C$4=0,0,IF(COUNTIFS(実績!$W$6:$W$505,C$3,実績!$AC$6:$AC$505,"&lt;="&amp;$A150,実績!$AD$6:$AD$505,"&gt;"&amp;$A150,実績!$AE$6:$AE$505,"○")&gt;0,1,0))</f>
        <v/>
      </c>
      <c r="D150">
        <f>IF(D$4=0,0,IF(COUNTIFS(実績!$W$6:$W$505,D$3,実績!$AC$6:$AC$505,"&lt;="&amp;$A150,実績!$AD$6:$AD$505,"&gt;"&amp;$A150,実績!$AE$6:$AE$505,"○")&gt;0,1,0))</f>
        <v/>
      </c>
      <c r="E150">
        <f>IF(E$4=0,0,IF(COUNTIFS(実績!$W$6:$W$505,E$3,実績!$AC$6:$AC$505,"&lt;="&amp;$A150,実績!$AD$6:$AD$505,"&gt;"&amp;$A150,実績!$AE$6:$AE$505,"○")&gt;0,1,0))</f>
        <v/>
      </c>
      <c r="F150">
        <f>IF(F$4=0,0,IF(COUNTIFS(実績!$W$6:$W$505,F$3,実績!$AC$6:$AC$505,"&lt;="&amp;$A150,実績!$AD$6:$AD$505,"&gt;"&amp;$A150,実績!$AE$6:$AE$505,"○")&gt;0,1,0))</f>
        <v/>
      </c>
      <c r="G150">
        <f>IF(G$4=0,0,IF(COUNTIFS(実績!$W$6:$W$505,G$3,実績!$AC$6:$AC$505,"&lt;="&amp;$A150,実績!$AD$6:$AD$505,"&gt;"&amp;$A150,実績!$AE$6:$AE$505,"○")&gt;0,1,0))</f>
        <v/>
      </c>
      <c r="H150">
        <f>IF(H$4=0,0,IF(COUNTIFS(実績!$W$6:$W$505,H$3,実績!$AC$6:$AC$505,"&lt;="&amp;$A150,実績!$AD$6:$AD$505,"&gt;"&amp;$A150,実績!$AE$6:$AE$505,"○")&gt;0,1,0))</f>
        <v/>
      </c>
      <c r="I150">
        <f>IF(I$4=0,0,IF(COUNTIFS(実績!$W$6:$W$505,I$3,実績!$AC$6:$AC$505,"&lt;="&amp;$A150,実績!$AD$6:$AD$505,"&gt;"&amp;$A150,実績!$AE$6:$AE$505,"○")&gt;0,1,0))</f>
        <v/>
      </c>
      <c r="J150">
        <f>IF(J$4=0,0,IF(COUNTIFS(実績!$W$6:$W$505,J$3,実績!$AC$6:$AC$505,"&lt;="&amp;$A150,実績!$AD$6:$AD$505,"&gt;"&amp;$A150,実績!$AE$6:$AE$505,"○")&gt;0,1,0))</f>
        <v/>
      </c>
      <c r="K150">
        <f>IF(K$4=0,0,IF(COUNTIFS(実績!$W$6:$W$505,K$3,実績!$AC$6:$AC$505,"&lt;="&amp;$A150,実績!$AD$6:$AD$505,"&gt;"&amp;$A150,実績!$AE$6:$AE$505,"○")&gt;0,1,0))</f>
        <v/>
      </c>
      <c r="L150">
        <f>IF(L$4=0,0,IF(COUNTIFS(実績!$W$6:$W$505,L$3,実績!$AC$6:$AC$505,"&lt;="&amp;$A150,実績!$AD$6:$AD$505,"&gt;"&amp;$A150,実績!$AE$6:$AE$505,"○")&gt;0,1,0))</f>
        <v/>
      </c>
      <c r="M150">
        <f>IF(M$4=0,0,IF(COUNTIFS(実績!$W$6:$W$505,M$3,実績!$AC$6:$AC$505,"&lt;="&amp;$A150,実績!$AD$6:$AD$505,"&gt;"&amp;$A150,実績!$AE$6:$AE$505,"○")&gt;0,1,0))</f>
        <v/>
      </c>
      <c r="N150">
        <f>IF(N$4=0,0,IF(COUNTIFS(実績!$W$6:$W$505,N$3,実績!$AC$6:$AC$505,"&lt;="&amp;$A150,実績!$AD$6:$AD$505,"&gt;"&amp;$A150,実績!$AE$6:$AE$505,"○")&gt;0,1,0))</f>
        <v/>
      </c>
      <c r="O150">
        <f>IF(O$4=0,0,IF(COUNTIFS(実績!$W$6:$W$505,O$3,実績!$AC$6:$AC$505,"&lt;="&amp;$A150,実績!$AD$6:$AD$505,"&gt;"&amp;$A150,実績!$AE$6:$AE$505,"○")&gt;0,1,0))</f>
        <v/>
      </c>
      <c r="P150">
        <f>IF(P$4=0,0,IF(COUNTIFS(実績!$W$6:$W$505,P$3,実績!$AC$6:$AC$505,"&lt;="&amp;$A150,実績!$AD$6:$AD$505,"&gt;"&amp;$A150,実績!$AE$6:$AE$505,"○")&gt;0,1,0))</f>
        <v/>
      </c>
      <c r="Q150">
        <f>IF(Q$4=0,0,IF(COUNTIFS(実績!$W$6:$W$505,Q$3,実績!$AC$6:$AC$505,"&lt;="&amp;$A150,実績!$AD$6:$AD$505,"&gt;"&amp;$A150,実績!$AE$6:$AE$505,"○")&gt;0,1,0))</f>
        <v/>
      </c>
      <c r="R150">
        <f>IF(R$4=0,0,IF(COUNTIFS(実績!$W$6:$W$505,R$3,実績!$AC$6:$AC$505,"&lt;="&amp;$A150,実績!$AD$6:$AD$505,"&gt;"&amp;$A150,実績!$AE$6:$AE$505,"○")&gt;0,1,0))</f>
        <v/>
      </c>
      <c r="S150">
        <f>IF(S$4=0,0,IF(COUNTIFS(実績!$W$6:$W$505,S$3,実績!$AC$6:$AC$505,"&lt;="&amp;$A150,実績!$AD$6:$AD$505,"&gt;"&amp;$A150,実績!$AE$6:$AE$505,"○")&gt;0,1,0))</f>
        <v/>
      </c>
      <c r="T150">
        <f>IF(T$4=0,0,IF(COUNTIFS(実績!$W$6:$W$505,T$3,実績!$AC$6:$AC$505,"&lt;="&amp;$A150,実績!$AD$6:$AD$505,"&gt;"&amp;$A150,実績!$AE$6:$AE$505,"○")&gt;0,1,0))</f>
        <v/>
      </c>
      <c r="U150">
        <f>IF(U$4=0,0,IF(COUNTIFS(実績!$W$6:$W$505,U$3,実績!$AC$6:$AC$505,"&lt;="&amp;$A150,実績!$AD$6:$AD$505,"&gt;"&amp;$A150,実績!$AE$6:$AE$505,"○")&gt;0,1,0))</f>
        <v/>
      </c>
      <c r="V150">
        <f>IF(V$4=0,0,IF(COUNTIFS(実績!$W$6:$W$505,V$3,実績!$AC$6:$AC$505,"&lt;="&amp;$A150,実績!$AD$6:$AD$505,"&gt;"&amp;$A150,実績!$AE$6:$AE$505,"○")&gt;0,1,0))</f>
        <v/>
      </c>
      <c r="W150">
        <f>IF(W$4=0,0,IF(COUNTIFS(実績!$W$6:$W$505,W$3,実績!$AC$6:$AC$505,"&lt;="&amp;$A150,実績!$AD$6:$AD$505,"&gt;"&amp;$A150,実績!$AE$6:$AE$505,"○")&gt;0,1,0))</f>
        <v/>
      </c>
      <c r="X150">
        <f>IF(X$4=0,0,IF(COUNTIFS(実績!$W$6:$W$505,X$3,実績!$AC$6:$AC$505,"&lt;="&amp;$A150,実績!$AD$6:$AD$505,"&gt;"&amp;$A150,実績!$AE$6:$AE$505,"○")&gt;0,1,0))</f>
        <v/>
      </c>
      <c r="Y150">
        <f>IF(Y$4=0,0,IF(COUNTIFS(実績!$W$6:$W$505,Y$3,実績!$AC$6:$AC$505,"&lt;="&amp;$A150,実績!$AD$6:$AD$505,"&gt;"&amp;$A150,実績!$AE$6:$AE$505,"○")&gt;0,1,0))</f>
        <v/>
      </c>
      <c r="Z150">
        <f>IF(Z$4=0,0,IF(COUNTIFS(実績!$W$6:$W$505,Z$3,実績!$AC$6:$AC$505,"&lt;="&amp;$A150,実績!$AD$6:$AD$505,"&gt;"&amp;$A150,実績!$AE$6:$AE$505,"○")&gt;0,1,0))</f>
        <v/>
      </c>
      <c r="AA150">
        <f>IF(AA$4=0,0,IF(COUNTIFS(実績!$W$6:$W$505,AA$3,実績!$AC$6:$AC$505,"&lt;="&amp;$A150,実績!$AD$6:$AD$505,"&gt;"&amp;$A150,実績!$AE$6:$AE$505,"○")&gt;0,1,0))</f>
        <v/>
      </c>
      <c r="AB150">
        <f>IF(AB$4=0,0,IF(COUNTIFS(実績!$W$6:$W$505,AB$3,実績!$AC$6:$AC$505,"&lt;="&amp;$A150,実績!$AD$6:$AD$505,"&gt;"&amp;$A150,実績!$AE$6:$AE$505,"○")&gt;0,1,0))</f>
        <v/>
      </c>
      <c r="AC150">
        <f>IF(AC$4=0,0,IF(COUNTIFS(実績!$W$6:$W$505,AC$3,実績!$AC$6:$AC$505,"&lt;="&amp;$A150,実績!$AD$6:$AD$505,"&gt;"&amp;$A150,実績!$AE$6:$AE$505,"○")&gt;0,1,0))</f>
        <v/>
      </c>
      <c r="AD150">
        <f>IF(AD$4=0,0,IF(COUNTIFS(実績!$W$6:$W$505,AD$3,実績!$AC$6:$AC$505,"&lt;="&amp;$A150,実績!$AD$6:$AD$505,"&gt;"&amp;$A150,実績!$AE$6:$AE$505,"○")&gt;0,1,0))</f>
        <v/>
      </c>
      <c r="AE150">
        <f>IF(AE$4=0,0,IF(COUNTIFS(実績!$W$6:$W$505,AE$3,実績!$AC$6:$AC$505,"&lt;="&amp;$A150,実績!$AD$6:$AD$505,"&gt;"&amp;$A150,実績!$AE$6:$AE$505,"○")&gt;0,1,0))</f>
        <v/>
      </c>
      <c r="AF150">
        <f>IF(AF$4=0,0,IF(COUNTIFS(実績!$W$6:$W$505,AF$3,実績!$AC$6:$AC$505,"&lt;="&amp;$A150,実績!$AD$6:$AD$505,"&gt;"&amp;$A150,実績!$AE$6:$AE$505,"○")&gt;0,1,0))</f>
        <v/>
      </c>
      <c r="AG150">
        <f>IF(AG$4=0,0,IF(COUNTIFS(実績!$W$6:$W$505,AG$3,実績!$AC$6:$AC$505,"&lt;="&amp;$A150,実績!$AD$6:$AD$505,"&gt;"&amp;$A150,実績!$AE$6:$AE$505,"○")&gt;0,1,0))</f>
        <v/>
      </c>
      <c r="AH150">
        <f>IF(AH$4=0,0,IF(COUNTIFS(実績!$W$6:$W$505,AH$3,実績!$AC$6:$AC$505,"&lt;="&amp;$A150,実績!$AD$6:$AD$505,"&gt;"&amp;$A150,実績!$AE$6:$AE$505,"○")&gt;0,1,0))</f>
        <v/>
      </c>
      <c r="AI150">
        <f>IF(AI$4=0,0,IF(COUNTIFS(実績!$W$6:$W$505,AI$3,実績!$AC$6:$AC$505,"&lt;="&amp;$A150,実績!$AD$6:$AD$505,"&gt;"&amp;$A150,実績!$AE$6:$AE$505,"○")&gt;0,1,0))</f>
        <v/>
      </c>
      <c r="AJ150">
        <f>IF(AJ$4=0,0,IF(COUNTIFS(実績!$W$6:$W$505,AJ$3,実績!$AC$6:$AC$505,"&lt;="&amp;$A150,実績!$AD$6:$AD$505,"&gt;"&amp;$A150,実績!$AE$6:$AE$505,"○")&gt;0,1,0))</f>
        <v/>
      </c>
      <c r="AK150">
        <f>IF(AK$4=0,0,IF(COUNTIFS(実績!$W$6:$W$505,AK$3,実績!$AC$6:$AC$505,"&lt;="&amp;$A150,実績!$AD$6:$AD$505,"&gt;"&amp;$A150,実績!$AE$6:$AE$505,"○")&gt;0,1,0))</f>
        <v/>
      </c>
      <c r="AL150">
        <f>IF(AL$4=0,0,IF(COUNTIFS(実績!$W$6:$W$505,AL$3,実績!$AC$6:$AC$505,"&lt;="&amp;$A150,実績!$AD$6:$AD$505,"&gt;"&amp;$A150,実績!$AE$6:$AE$505,"○")&gt;0,1,0))</f>
        <v/>
      </c>
      <c r="AM150">
        <f>IF(AM$4=0,0,IF(COUNTIFS(実績!$W$6:$W$505,AM$3,実績!$AC$6:$AC$505,"&lt;="&amp;$A150,実績!$AD$6:$AD$505,"&gt;"&amp;$A150,実績!$AE$6:$AE$505,"○")&gt;0,1,0))</f>
        <v/>
      </c>
      <c r="AN150">
        <f>IF(AN$4=0,0,IF(COUNTIFS(実績!$W$6:$W$505,AN$3,実績!$AC$6:$AC$505,"&lt;="&amp;$A150,実績!$AD$6:$AD$505,"&gt;"&amp;$A150,実績!$AE$6:$AE$505,"○")&gt;0,1,0))</f>
        <v/>
      </c>
      <c r="AO150">
        <f>IF(AO$4=0,0,IF(COUNTIFS(実績!$W$6:$W$505,AO$3,実績!$AC$6:$AC$505,"&lt;="&amp;$A150,実績!$AD$6:$AD$505,"&gt;"&amp;$A150,実績!$AE$6:$AE$505,"○")&gt;0,1,0))</f>
        <v/>
      </c>
      <c r="AP150">
        <f>IF(AP$4=0,0,IF(COUNTIFS(実績!$W$6:$W$505,AP$3,実績!$AC$6:$AC$505,"&lt;="&amp;$A150,実績!$AD$6:$AD$505,"&gt;"&amp;$A150,実績!$AE$6:$AE$505,"○")&gt;0,1,0))</f>
        <v/>
      </c>
      <c r="AQ150">
        <f>IF(AQ$4=0,0,IF(COUNTIFS(実績!$W$6:$W$505,AQ$3,実績!$AC$6:$AC$505,"&lt;="&amp;$A150,実績!$AD$6:$AD$505,"&gt;"&amp;$A150,実績!$AE$6:$AE$505,"○")&gt;0,1,0))</f>
        <v/>
      </c>
      <c r="AR150">
        <f>IF(AR$4=0,0,IF(COUNTIFS(実績!$W$6:$W$505,AR$3,実績!$AC$6:$AC$505,"&lt;="&amp;$A150,実績!$AD$6:$AD$505,"&gt;"&amp;$A150,実績!$AE$6:$AE$505,"○")&gt;0,1,0))</f>
        <v/>
      </c>
      <c r="AS150">
        <f>IF(AS$4=0,0,IF(COUNTIFS(実績!$W$6:$W$505,AS$3,実績!$AC$6:$AC$505,"&lt;="&amp;$A150,実績!$AD$6:$AD$505,"&gt;"&amp;$A150,実績!$AE$6:$AE$505,"○")&gt;0,1,0))</f>
        <v/>
      </c>
      <c r="AT150">
        <f>IF(AT$4=0,0,IF(COUNTIFS(実績!$W$6:$W$505,AT$3,実績!$AC$6:$AC$505,"&lt;="&amp;$A150,実績!$AD$6:$AD$505,"&gt;"&amp;$A150,実績!$AE$6:$AE$505,"○")&gt;0,1,0))</f>
        <v/>
      </c>
      <c r="AU150">
        <f>IF(AU$4=0,0,IF(COUNTIFS(実績!$W$6:$W$505,AU$3,実績!$AC$6:$AC$505,"&lt;="&amp;$A150,実績!$AD$6:$AD$505,"&gt;"&amp;$A150,実績!$AE$6:$AE$505,"○")&gt;0,1,0))</f>
        <v/>
      </c>
      <c r="AV150">
        <f>IF(AV$4=0,0,IF(COUNTIFS(実績!$W$6:$W$505,AV$3,実績!$AC$6:$AC$505,"&lt;="&amp;$A150,実績!$AD$6:$AD$505,"&gt;"&amp;$A150,実績!$AE$6:$AE$505,"○")&gt;0,1,0))</f>
        <v/>
      </c>
      <c r="AW150">
        <f>IF(AW$4=0,0,IF(COUNTIFS(実績!$W$6:$W$505,AW$3,実績!$AC$6:$AC$505,"&lt;="&amp;$A150,実績!$AD$6:$AD$505,"&gt;"&amp;$A150,実績!$AE$6:$AE$505,"○")&gt;0,1,0))</f>
        <v/>
      </c>
      <c r="AX150">
        <f>IF(AX$4=0,0,IF(COUNTIFS(実績!$W$6:$W$505,AX$3,実績!$AC$6:$AC$505,"&lt;="&amp;$A150,実績!$AD$6:$AD$505,"&gt;"&amp;$A150,実績!$AE$6:$AE$505,"○")&gt;0,1,0))</f>
        <v/>
      </c>
      <c r="AY150">
        <f>IF(AY$4=0,0,IF(COUNTIFS(実績!$W$6:$W$505,AY$3,実績!$AC$6:$AC$505,"&lt;="&amp;$A150,実績!$AD$6:$AD$505,"&gt;"&amp;$A150,実績!$AE$6:$AE$505,"○")&gt;0,1,0))</f>
        <v/>
      </c>
      <c r="AZ150">
        <f>IF(AZ$4=0,0,IF(COUNTIFS(実績!$W$6:$W$505,AZ$3,実績!$AC$6:$AC$505,"&lt;="&amp;$A150,実績!$AD$6:$AD$505,"&gt;"&amp;$A150,実績!$AE$6:$AE$505,"○")&gt;0,1,0))</f>
        <v/>
      </c>
      <c r="BA150">
        <f>IF(BA$4=0,0,IF(COUNTIFS(実績!$W$6:$W$505,BA$3,実績!$AC$6:$AC$505,"&lt;="&amp;$A150,実績!$AD$6:$AD$505,"&gt;"&amp;$A150,実績!$AE$6:$AE$505,"○")&gt;0,1,0))</f>
        <v/>
      </c>
      <c r="BB150">
        <f>IF(BB$4=0,0,IF(COUNTIFS(実績!$W$6:$W$505,BB$3,実績!$AC$6:$AC$505,"&lt;="&amp;$A150,実績!$AD$6:$AD$505,"&gt;"&amp;$A150,実績!$AE$6:$AE$505,"○")&gt;0,1,0))</f>
        <v/>
      </c>
      <c r="BC150">
        <f>IF(BC$4=0,0,IF(COUNTIFS(実績!$W$6:$W$505,BC$3,実績!$AC$6:$AC$505,"&lt;="&amp;$A150,実績!$AD$6:$AD$505,"&gt;"&amp;$A150,実績!$AE$6:$AE$505,"○")&gt;0,1,0))</f>
        <v/>
      </c>
      <c r="BD150">
        <f>IF(BD$4=0,0,IF(COUNTIFS(実績!$W$6:$W$505,BD$3,実績!$AC$6:$AC$505,"&lt;="&amp;$A150,実績!$AD$6:$AD$505,"&gt;"&amp;$A150,実績!$AE$6:$AE$505,"○")&gt;0,1,0))</f>
        <v/>
      </c>
      <c r="BE150">
        <f>IF(BE$4=0,0,IF(COUNTIFS(実績!$W$6:$W$505,BE$3,実績!$AC$6:$AC$505,"&lt;="&amp;$A150,実績!$AD$6:$AD$505,"&gt;"&amp;$A150,実績!$AE$6:$AE$505,"○")&gt;0,1,0))</f>
        <v/>
      </c>
      <c r="BF150">
        <f>IF(BF$4=0,0,IF(COUNTIFS(実績!$W$6:$W$505,BF$3,実績!$AC$6:$AC$505,"&lt;="&amp;$A150,実績!$AD$6:$AD$505,"&gt;"&amp;$A150,実績!$AE$6:$AE$505,"○")&gt;0,1,0))</f>
        <v/>
      </c>
      <c r="BG150">
        <f>IF(BG$4=0,0,IF(COUNTIFS(実績!$W$6:$W$505,BG$3,実績!$AC$6:$AC$505,"&lt;="&amp;$A150,実績!$AD$6:$AD$505,"&gt;"&amp;$A150,実績!$AE$6:$AE$505,"○")&gt;0,1,0))</f>
        <v/>
      </c>
      <c r="BH150">
        <f>IF(BH$4=0,0,IF(COUNTIFS(実績!$W$6:$W$505,BH$3,実績!$AC$6:$AC$505,"&lt;="&amp;$A150,実績!$AD$6:$AD$505,"&gt;"&amp;$A150,実績!$AE$6:$AE$505,"○")&gt;0,1,0))</f>
        <v/>
      </c>
      <c r="BI150">
        <f>IF(BI$4=0,0,IF(COUNTIFS(実績!$W$6:$W$505,BI$3,実績!$AC$6:$AC$505,"&lt;="&amp;$A150,実績!$AD$6:$AD$505,"&gt;"&amp;$A150,実績!$AE$6:$AE$505,"○")&gt;0,1,0))</f>
        <v/>
      </c>
      <c r="BJ150">
        <f>IF(BJ$4=0,0,IF(COUNTIFS(実績!$W$6:$W$505,BJ$3,実績!$AC$6:$AC$505,"&lt;="&amp;$A150,実績!$AD$6:$AD$505,"&gt;"&amp;$A150,実績!$AE$6:$AE$505,"○")&gt;0,1,0))</f>
        <v/>
      </c>
      <c r="BK150">
        <f>IF(BK$4=0,0,IF(COUNTIFS(実績!$W$6:$W$505,BK$3,実績!$AC$6:$AC$505,"&lt;="&amp;$A150,実績!$AD$6:$AD$505,"&gt;"&amp;$A150,実績!$AE$6:$AE$505,"○")&gt;0,1,0))</f>
        <v/>
      </c>
      <c r="BL150">
        <f>IF(BL$4=0,0,IF(COUNTIFS(実績!$W$6:$W$505,BL$3,実績!$AC$6:$AC$505,"&lt;="&amp;$A150,実績!$AD$6:$AD$505,"&gt;"&amp;$A150,実績!$AE$6:$AE$505,"○")&gt;0,1,0))</f>
        <v/>
      </c>
      <c r="BM150">
        <f>IF(BM$4=0,0,IF(COUNTIFS(実績!$W$6:$W$505,BM$3,実績!$AC$6:$AC$505,"&lt;="&amp;$A150,実績!$AD$6:$AD$505,"&gt;"&amp;$A150,実績!$AE$6:$AE$505,"○")&gt;0,1,0))</f>
        <v/>
      </c>
      <c r="BN150">
        <f>IF(BN$4=0,0,IF(COUNTIFS(実績!$W$6:$W$505,BN$3,実績!$AC$6:$AC$505,"&lt;="&amp;$A150,実績!$AD$6:$AD$505,"&gt;"&amp;$A150,実績!$AE$6:$AE$505,"○")&gt;0,1,0))</f>
        <v/>
      </c>
      <c r="BO150">
        <f>IF(BO$4=0,0,IF(COUNTIFS(実績!$W$6:$W$505,BO$3,実績!$AC$6:$AC$505,"&lt;="&amp;$A150,実績!$AD$6:$AD$505,"&gt;"&amp;$A150,実績!$AE$6:$AE$505,"○")&gt;0,1,0))</f>
        <v/>
      </c>
      <c r="BP150">
        <f>IF(BP$4=0,0,IF(COUNTIFS(実績!$W$6:$W$505,BP$3,実績!$AC$6:$AC$505,"&lt;="&amp;$A150,実績!$AD$6:$AD$505,"&gt;"&amp;$A150,実績!$AE$6:$AE$505,"○")&gt;0,1,0))</f>
        <v/>
      </c>
      <c r="BQ150">
        <f>IF(BQ$4=0,0,IF(COUNTIFS(実績!$W$6:$W$505,BQ$3,実績!$AC$6:$AC$505,"&lt;="&amp;$A150,実績!$AD$6:$AD$505,"&gt;"&amp;$A150,実績!$AE$6:$AE$505,"○")&gt;0,1,0))</f>
        <v/>
      </c>
      <c r="BR150">
        <f>IF(BR$4=0,0,IF(COUNTIFS(実績!$W$6:$W$505,BR$3,実績!$AC$6:$AC$505,"&lt;="&amp;$A150,実績!$AD$6:$AD$505,"&gt;"&amp;$A150,実績!$AE$6:$AE$505,"○")&gt;0,1,0))</f>
        <v/>
      </c>
      <c r="BS150">
        <f>IF(BS$4=0,0,IF(COUNTIFS(実績!$W$6:$W$505,BS$3,実績!$AC$6:$AC$505,"&lt;="&amp;$A150,実績!$AD$6:$AD$505,"&gt;"&amp;$A150,実績!$AE$6:$AE$505,"○")&gt;0,1,0))</f>
        <v/>
      </c>
      <c r="BT150">
        <f>IF(BT$4=0,0,IF(COUNTIFS(実績!$W$6:$W$505,BT$3,実績!$AC$6:$AC$505,"&lt;="&amp;$A150,実績!$AD$6:$AD$505,"&gt;"&amp;$A150,実績!$AE$6:$AE$505,"○")&gt;0,1,0))</f>
        <v/>
      </c>
      <c r="BU150">
        <f>IF(BU$4=0,0,IF(COUNTIFS(実績!$W$6:$W$505,BU$3,実績!$AC$6:$AC$505,"&lt;="&amp;$A150,実績!$AD$6:$AD$505,"&gt;"&amp;$A150,実績!$AE$6:$AE$505,"○")&gt;0,1,0))</f>
        <v/>
      </c>
      <c r="BV150">
        <f>IF(BV$4=0,0,IF(COUNTIFS(実績!$W$6:$W$505,BV$3,実績!$AC$6:$AC$505,"&lt;="&amp;$A150,実績!$AD$6:$AD$505,"&gt;"&amp;$A150,実績!$AE$6:$AE$505,"○")&gt;0,1,0))</f>
        <v/>
      </c>
      <c r="BW150">
        <f>IF(BW$4=0,0,IF(COUNTIFS(実績!$W$6:$W$505,BW$3,実績!$AC$6:$AC$505,"&lt;="&amp;$A150,実績!$AD$6:$AD$505,"&gt;"&amp;$A150,実績!$AE$6:$AE$505,"○")&gt;0,1,0))</f>
        <v/>
      </c>
      <c r="BX150">
        <f>IF(BX$4=0,0,IF(COUNTIFS(実績!$W$6:$W$505,BX$3,実績!$AC$6:$AC$505,"&lt;="&amp;$A150,実績!$AD$6:$AD$505,"&gt;"&amp;$A150,実績!$AE$6:$AE$505,"○")&gt;0,1,0))</f>
        <v/>
      </c>
      <c r="BY150">
        <f>IF(BY$4=0,0,IF(COUNTIFS(実績!$W$6:$W$505,BY$3,実績!$AC$6:$AC$505,"&lt;="&amp;$A150,実績!$AD$6:$AD$505,"&gt;"&amp;$A150,実績!$AE$6:$AE$505,"○")&gt;0,1,0))</f>
        <v/>
      </c>
      <c r="BZ150">
        <f>IF(BZ$4=0,0,IF(COUNTIFS(実績!$W$6:$W$505,BZ$3,実績!$AC$6:$AC$505,"&lt;="&amp;$A150,実績!$AD$6:$AD$505,"&gt;"&amp;$A150,実績!$AE$6:$AE$505,"○")&gt;0,1,0))</f>
        <v/>
      </c>
      <c r="CA150">
        <f>IF(CA$4=0,0,IF(COUNTIFS(実績!$W$6:$W$505,CA$3,実績!$AC$6:$AC$505,"&lt;="&amp;$A150,実績!$AD$6:$AD$505,"&gt;"&amp;$A150,実績!$AE$6:$AE$505,"○")&gt;0,1,0))</f>
        <v/>
      </c>
      <c r="CB150">
        <f>IF(CB$4=0,0,IF(COUNTIFS(実績!$W$6:$W$505,CB$3,実績!$AC$6:$AC$505,"&lt;="&amp;$A150,実績!$AD$6:$AD$505,"&gt;"&amp;$A150,実績!$AE$6:$AE$505,"○")&gt;0,1,0))</f>
        <v/>
      </c>
      <c r="CC150">
        <f>IF(CC$4=0,0,IF(COUNTIFS(実績!$W$6:$W$505,CC$3,実績!$AC$6:$AC$505,"&lt;="&amp;$A150,実績!$AD$6:$AD$505,"&gt;"&amp;$A150,実績!$AE$6:$AE$505,"○")&gt;0,1,0))</f>
        <v/>
      </c>
      <c r="CD150">
        <f>IF(CD$4=0,0,IF(COUNTIFS(実績!$W$6:$W$505,CD$3,実績!$AC$6:$AC$505,"&lt;="&amp;$A150,実績!$AD$6:$AD$505,"&gt;"&amp;$A150,実績!$AE$6:$AE$505,"○")&gt;0,1,0))</f>
        <v/>
      </c>
      <c r="CE150">
        <f>IF(CE$4=0,0,IF(COUNTIFS(実績!$W$6:$W$505,CE$3,実績!$AC$6:$AC$505,"&lt;="&amp;$A150,実績!$AD$6:$AD$505,"&gt;"&amp;$A150,実績!$AE$6:$AE$505,"○")&gt;0,1,0))</f>
        <v/>
      </c>
      <c r="CF150">
        <f>IF(CF$4=0,0,IF(COUNTIFS(実績!$W$6:$W$505,CF$3,実績!$AC$6:$AC$505,"&lt;="&amp;$A150,実績!$AD$6:$AD$505,"&gt;"&amp;$A150,実績!$AE$6:$AE$505,"○")&gt;0,1,0))</f>
        <v/>
      </c>
      <c r="CG150">
        <f>IF(CG$4=0,0,IF(COUNTIFS(実績!$W$6:$W$505,CG$3,実績!$AC$6:$AC$505,"&lt;="&amp;$A150,実績!$AD$6:$AD$505,"&gt;"&amp;$A150,実績!$AE$6:$AE$505,"○")&gt;0,1,0))</f>
        <v/>
      </c>
      <c r="CH150">
        <f>IF(CH$4=0,0,IF(COUNTIFS(実績!$W$6:$W$505,CH$3,実績!$AC$6:$AC$505,"&lt;="&amp;$A150,実績!$AD$6:$AD$505,"&gt;"&amp;$A150,実績!$AE$6:$AE$505,"○")&gt;0,1,0))</f>
        <v/>
      </c>
      <c r="CI150">
        <f>IF(CI$4=0,0,IF(COUNTIFS(実績!$W$6:$W$505,CI$3,実績!$AC$6:$AC$505,"&lt;="&amp;$A150,実績!$AD$6:$AD$505,"&gt;"&amp;$A150,実績!$AE$6:$AE$505,"○")&gt;0,1,0))</f>
        <v/>
      </c>
      <c r="CJ150">
        <f>IF(CJ$4=0,0,IF(COUNTIFS(実績!$W$6:$W$505,CJ$3,実績!$AC$6:$AC$505,"&lt;="&amp;$A150,実績!$AD$6:$AD$505,"&gt;"&amp;$A150,実績!$AE$6:$AE$505,"○")&gt;0,1,0))</f>
        <v/>
      </c>
      <c r="CK150">
        <f>IF(CK$4=0,0,IF(COUNTIFS(実績!$W$6:$W$505,CK$3,実績!$AC$6:$AC$505,"&lt;="&amp;$A150,実績!$AD$6:$AD$505,"&gt;"&amp;$A150,実績!$AE$6:$AE$505,"○")&gt;0,1,0))</f>
        <v/>
      </c>
      <c r="CL150">
        <f>IF(CL$4=0,0,IF(COUNTIFS(実績!$W$6:$W$505,CL$3,実績!$AC$6:$AC$505,"&lt;="&amp;$A150,実績!$AD$6:$AD$505,"&gt;"&amp;$A150,実績!$AE$6:$AE$505,"○")&gt;0,1,0))</f>
        <v/>
      </c>
      <c r="CM150">
        <f>IF(CM$4=0,0,IF(COUNTIFS(実績!$W$6:$W$505,CM$3,実績!$AC$6:$AC$505,"&lt;="&amp;$A150,実績!$AD$6:$AD$505,"&gt;"&amp;$A150,実績!$AE$6:$AE$505,"○")&gt;0,1,0))</f>
        <v/>
      </c>
      <c r="CN150">
        <f>IF(CN$4=0,0,IF(COUNTIFS(実績!$W$6:$W$505,CN$3,実績!$AC$6:$AC$505,"&lt;="&amp;$A150,実績!$AD$6:$AD$505,"&gt;"&amp;$A150,実績!$AE$6:$AE$505,"○")&gt;0,1,0))</f>
        <v/>
      </c>
      <c r="CO150">
        <f>IF(CO$4=0,0,IF(COUNTIFS(実績!$W$6:$W$505,CO$3,実績!$AC$6:$AC$505,"&lt;="&amp;$A150,実績!$AD$6:$AD$505,"&gt;"&amp;$A150,実績!$AE$6:$AE$505,"○")&gt;0,1,0))</f>
        <v/>
      </c>
      <c r="CP150">
        <f>IF(CP$4=0,0,IF(COUNTIFS(実績!$W$6:$W$505,CP$3,実績!$AC$6:$AC$505,"&lt;="&amp;$A150,実績!$AD$6:$AD$505,"&gt;"&amp;$A150,実績!$AE$6:$AE$505,"○")&gt;0,1,0))</f>
        <v/>
      </c>
      <c r="CQ150">
        <f>IF(CQ$4=0,0,IF(COUNTIFS(実績!$W$6:$W$505,CQ$3,実績!$AC$6:$AC$505,"&lt;="&amp;$A150,実績!$AD$6:$AD$505,"&gt;"&amp;$A150,実績!$AE$6:$AE$505,"○")&gt;0,1,0))</f>
        <v/>
      </c>
      <c r="CR150">
        <f>IF(CR$4=0,0,IF(COUNTIFS(実績!$W$6:$W$505,CR$3,実績!$AC$6:$AC$505,"&lt;="&amp;$A150,実績!$AD$6:$AD$505,"&gt;"&amp;$A150,実績!$AE$6:$AE$505,"○")&gt;0,1,0))</f>
        <v/>
      </c>
      <c r="CS150">
        <f>IF(CS$4=0,0,IF(COUNTIFS(実績!$W$6:$W$505,CS$3,実績!$AC$6:$AC$505,"&lt;="&amp;$A150,実績!$AD$6:$AD$505,"&gt;"&amp;$A150,実績!$AE$6:$AE$505,"○")&gt;0,1,0))</f>
        <v/>
      </c>
      <c r="CT150">
        <f>IF(CT$4=0,0,IF(COUNTIFS(実績!$W$6:$W$505,CT$3,実績!$AC$6:$AC$505,"&lt;="&amp;$A150,実績!$AD$6:$AD$505,"&gt;"&amp;$A150,実績!$AE$6:$AE$505,"○")&gt;0,1,0))</f>
        <v/>
      </c>
      <c r="CU150">
        <f>IF(CU$4=0,0,IF(COUNTIFS(実績!$W$6:$W$505,CU$3,実績!$AC$6:$AC$505,"&lt;="&amp;$A150,実績!$AD$6:$AD$505,"&gt;"&amp;$A150,実績!$AE$6:$AE$505,"○")&gt;0,1,0))</f>
        <v/>
      </c>
      <c r="CV150">
        <f>IF(CV$4=0,0,IF(COUNTIFS(実績!$W$6:$W$505,CV$3,実績!$AC$6:$AC$505,"&lt;="&amp;$A150,実績!$AD$6:$AD$505,"&gt;"&amp;$A150,実績!$AE$6:$AE$505,"○")&gt;0,1,0))</f>
        <v/>
      </c>
      <c r="CW150">
        <f>IF(CW$4=0,0,IF(COUNTIFS(実績!$W$6:$W$505,CW$3,実績!$AC$6:$AC$505,"&lt;="&amp;$A150,実績!$AD$6:$AD$505,"&gt;"&amp;$A150,実績!$AE$6:$AE$505,"○")&gt;0,1,0))</f>
        <v/>
      </c>
      <c r="CX150">
        <f>IF(CX$4=0,0,IF(COUNTIFS(実績!$W$6:$W$505,CX$3,実績!$AC$6:$AC$505,"&lt;="&amp;$A150,実績!$AD$6:$AD$505,"&gt;"&amp;$A150,実績!$AE$6:$AE$505,"○")&gt;0,1,0))</f>
        <v/>
      </c>
      <c r="CY150">
        <f>IF(CY$4=0,0,IF(COUNTIFS(実績!$W$6:$W$505,CY$3,実績!$AC$6:$AC$505,"&lt;="&amp;$A150,実績!$AD$6:$AD$505,"&gt;"&amp;$A150,実績!$AE$6:$AE$505,"○")&gt;0,1,0))</f>
        <v/>
      </c>
      <c r="CZ150">
        <f>IF(CZ$4=0,0,IF(COUNTIFS(実績!$W$6:$W$505,CZ$3,実績!$AC$6:$AC$505,"&lt;="&amp;$A150,実績!$AD$6:$AD$505,"&gt;"&amp;$A150,実績!$AE$6:$AE$505,"○")&gt;0,1,0))</f>
        <v/>
      </c>
      <c r="DA150">
        <f>IF(DA$4=0,0,IF(COUNTIFS(実績!$W$6:$W$505,DA$3,実績!$AC$6:$AC$505,"&lt;="&amp;$A150,実績!$AD$6:$AD$505,"&gt;"&amp;$A150,実績!$AE$6:$AE$505,"○")&gt;0,1,0))</f>
        <v/>
      </c>
      <c r="DB150">
        <f>IF(DB$4=0,0,IF(COUNTIFS(実績!$W$6:$W$505,DB$3,実績!$AC$6:$AC$505,"&lt;="&amp;$A150,実績!$AD$6:$AD$505,"&gt;"&amp;$A150,実績!$AE$6:$AE$505,"○")&gt;0,1,0))</f>
        <v/>
      </c>
      <c r="DC150">
        <f>IF(DC$4=0,0,IF(COUNTIFS(実績!$W$6:$W$505,DC$3,実績!$AC$6:$AC$505,"&lt;="&amp;$A150,実績!$AD$6:$AD$505,"&gt;"&amp;$A150,実績!$AE$6:$AE$505,"○")&gt;0,1,0))</f>
        <v/>
      </c>
      <c r="DD150">
        <f>IF(DD$4=0,0,IF(COUNTIFS(実績!$W$6:$W$505,DD$3,実績!$AC$6:$AC$505,"&lt;="&amp;$A150,実績!$AD$6:$AD$505,"&gt;"&amp;$A150,実績!$AE$6:$AE$505,"○")&gt;0,1,0))</f>
        <v/>
      </c>
      <c r="DE150">
        <f>IF(DE$4=0,0,IF(COUNTIFS(実績!$W$6:$W$505,DE$3,実績!$AC$6:$AC$505,"&lt;="&amp;$A150,実績!$AD$6:$AD$505,"&gt;"&amp;$A150,実績!$AE$6:$AE$505,"○")&gt;0,1,0))</f>
        <v/>
      </c>
      <c r="DF150">
        <f>IF(DF$4=0,0,IF(COUNTIFS(実績!$W$6:$W$505,DF$3,実績!$AC$6:$AC$505,"&lt;="&amp;$A150,実績!$AD$6:$AD$505,"&gt;"&amp;$A150,実績!$AE$6:$AE$505,"○")&gt;0,1,0))</f>
        <v/>
      </c>
      <c r="DG150">
        <f>IF(DG$4=0,0,IF(COUNTIFS(実績!$W$6:$W$505,DG$3,実績!$AC$6:$AC$505,"&lt;="&amp;$A150,実績!$AD$6:$AD$505,"&gt;"&amp;$A150,実績!$AE$6:$AE$505,"○")&gt;0,1,0))</f>
        <v/>
      </c>
      <c r="DH150">
        <f>IF(DH$4=0,0,IF(COUNTIFS(実績!$W$6:$W$505,DH$3,実績!$AC$6:$AC$505,"&lt;="&amp;$A150,実績!$AD$6:$AD$505,"&gt;"&amp;$A150,実績!$AE$6:$AE$505,"○")&gt;0,1,0))</f>
        <v/>
      </c>
      <c r="DI150">
        <f>IF(DI$4=0,0,IF(COUNTIFS(実績!$W$6:$W$505,DI$3,実績!$AC$6:$AC$505,"&lt;="&amp;$A150,実績!$AD$6:$AD$505,"&gt;"&amp;$A150,実績!$AE$6:$AE$505,"○")&gt;0,1,0))</f>
        <v/>
      </c>
      <c r="DJ150">
        <f>IF(DJ$4=0,0,IF(COUNTIFS(実績!$W$6:$W$505,DJ$3,実績!$AC$6:$AC$505,"&lt;="&amp;$A150,実績!$AD$6:$AD$505,"&gt;"&amp;$A150,実績!$AE$6:$AE$505,"○")&gt;0,1,0))</f>
        <v/>
      </c>
      <c r="DK150">
        <f>IF(DK$4=0,0,IF(COUNTIFS(実績!$W$6:$W$505,DK$3,実績!$AC$6:$AC$505,"&lt;="&amp;$A150,実績!$AD$6:$AD$505,"&gt;"&amp;$A150,実績!$AE$6:$AE$505,"○")&gt;0,1,0))</f>
        <v/>
      </c>
      <c r="DL150">
        <f>IF(DL$4=0,0,IF(COUNTIFS(実績!$W$6:$W$505,DL$3,実績!$AC$6:$AC$505,"&lt;="&amp;$A150,実績!$AD$6:$AD$505,"&gt;"&amp;$A150,実績!$AE$6:$AE$505,"○")&gt;0,1,0))</f>
        <v/>
      </c>
      <c r="DM150">
        <f>IF(DM$4=0,0,IF(COUNTIFS(実績!$W$6:$W$505,DM$3,実績!$AC$6:$AC$505,"&lt;="&amp;$A150,実績!$AD$6:$AD$505,"&gt;"&amp;$A150,実績!$AE$6:$AE$505,"○")&gt;0,1,0))</f>
        <v/>
      </c>
      <c r="DN150">
        <f>IF(DN$4=0,0,IF(COUNTIFS(実績!$W$6:$W$505,DN$3,実績!$AC$6:$AC$505,"&lt;="&amp;$A150,実績!$AD$6:$AD$505,"&gt;"&amp;$A150,実績!$AE$6:$AE$505,"○")&gt;0,1,0))</f>
        <v/>
      </c>
      <c r="DO150">
        <f>IF(DO$4=0,0,IF(COUNTIFS(実績!$W$6:$W$505,DO$3,実績!$AC$6:$AC$505,"&lt;="&amp;$A150,実績!$AD$6:$AD$505,"&gt;"&amp;$A150,実績!$AE$6:$AE$505,"○")&gt;0,1,0))</f>
        <v/>
      </c>
      <c r="DP150">
        <f>IF(DP$4=0,0,IF(COUNTIFS(実績!$W$6:$W$505,DP$3,実績!$AC$6:$AC$505,"&lt;="&amp;$A150,実績!$AD$6:$AD$505,"&gt;"&amp;$A150,実績!$AE$6:$AE$505,"○")&gt;0,1,0))</f>
        <v/>
      </c>
      <c r="DQ150">
        <f>IF(DQ$4=0,0,IF(COUNTIFS(実績!$W$6:$W$505,DQ$3,実績!$AC$6:$AC$505,"&lt;="&amp;$A150,実績!$AD$6:$AD$505,"&gt;"&amp;$A150,実績!$AE$6:$AE$505,"○")&gt;0,1,0))</f>
        <v/>
      </c>
      <c r="DR150">
        <f>IF(DR$4=0,0,IF(COUNTIFS(実績!$W$6:$W$505,DR$3,実績!$AC$6:$AC$505,"&lt;="&amp;$A150,実績!$AD$6:$AD$505,"&gt;"&amp;$A150,実績!$AE$6:$AE$505,"○")&gt;0,1,0))</f>
        <v/>
      </c>
      <c r="DS150">
        <f>SUM(C150:DR150)</f>
        <v/>
      </c>
      <c r="DT150">
        <f>SUMPRODUCT((実績!$C$6:$C$505="○")*ISNUMBER(実績!$AF$6:$AF$505)*(実績!$AF$6:$AF$505&lt;=$A150)*(実績!$AG$6:$AG$505&gt;$A150))</f>
        <v/>
      </c>
      <c r="DU150">
        <f>SUMIF($C$2:$DR$2,"製鉄曳船",C150:DR150)</f>
        <v/>
      </c>
      <c r="DV150">
        <f>SUMIF($C$2:$DR$2,"西日本海運",C150:DR150)</f>
        <v/>
      </c>
    </row>
    <row r="151">
      <c r="A151" t="n">
        <v>725</v>
      </c>
      <c r="B151" s="29">
        <f>A151/1440</f>
        <v/>
      </c>
      <c r="C151">
        <f>IF(C$4=0,0,IF(COUNTIFS(実績!$W$6:$W$505,C$3,実績!$AC$6:$AC$505,"&lt;="&amp;$A151,実績!$AD$6:$AD$505,"&gt;"&amp;$A151,実績!$AE$6:$AE$505,"○")&gt;0,1,0))</f>
        <v/>
      </c>
      <c r="D151">
        <f>IF(D$4=0,0,IF(COUNTIFS(実績!$W$6:$W$505,D$3,実績!$AC$6:$AC$505,"&lt;="&amp;$A151,実績!$AD$6:$AD$505,"&gt;"&amp;$A151,実績!$AE$6:$AE$505,"○")&gt;0,1,0))</f>
        <v/>
      </c>
      <c r="E151">
        <f>IF(E$4=0,0,IF(COUNTIFS(実績!$W$6:$W$505,E$3,実績!$AC$6:$AC$505,"&lt;="&amp;$A151,実績!$AD$6:$AD$505,"&gt;"&amp;$A151,実績!$AE$6:$AE$505,"○")&gt;0,1,0))</f>
        <v/>
      </c>
      <c r="F151">
        <f>IF(F$4=0,0,IF(COUNTIFS(実績!$W$6:$W$505,F$3,実績!$AC$6:$AC$505,"&lt;="&amp;$A151,実績!$AD$6:$AD$505,"&gt;"&amp;$A151,実績!$AE$6:$AE$505,"○")&gt;0,1,0))</f>
        <v/>
      </c>
      <c r="G151">
        <f>IF(G$4=0,0,IF(COUNTIFS(実績!$W$6:$W$505,G$3,実績!$AC$6:$AC$505,"&lt;="&amp;$A151,実績!$AD$6:$AD$505,"&gt;"&amp;$A151,実績!$AE$6:$AE$505,"○")&gt;0,1,0))</f>
        <v/>
      </c>
      <c r="H151">
        <f>IF(H$4=0,0,IF(COUNTIFS(実績!$W$6:$W$505,H$3,実績!$AC$6:$AC$505,"&lt;="&amp;$A151,実績!$AD$6:$AD$505,"&gt;"&amp;$A151,実績!$AE$6:$AE$505,"○")&gt;0,1,0))</f>
        <v/>
      </c>
      <c r="I151">
        <f>IF(I$4=0,0,IF(COUNTIFS(実績!$W$6:$W$505,I$3,実績!$AC$6:$AC$505,"&lt;="&amp;$A151,実績!$AD$6:$AD$505,"&gt;"&amp;$A151,実績!$AE$6:$AE$505,"○")&gt;0,1,0))</f>
        <v/>
      </c>
      <c r="J151">
        <f>IF(J$4=0,0,IF(COUNTIFS(実績!$W$6:$W$505,J$3,実績!$AC$6:$AC$505,"&lt;="&amp;$A151,実績!$AD$6:$AD$505,"&gt;"&amp;$A151,実績!$AE$6:$AE$505,"○")&gt;0,1,0))</f>
        <v/>
      </c>
      <c r="K151">
        <f>IF(K$4=0,0,IF(COUNTIFS(実績!$W$6:$W$505,K$3,実績!$AC$6:$AC$505,"&lt;="&amp;$A151,実績!$AD$6:$AD$505,"&gt;"&amp;$A151,実績!$AE$6:$AE$505,"○")&gt;0,1,0))</f>
        <v/>
      </c>
      <c r="L151">
        <f>IF(L$4=0,0,IF(COUNTIFS(実績!$W$6:$W$505,L$3,実績!$AC$6:$AC$505,"&lt;="&amp;$A151,実績!$AD$6:$AD$505,"&gt;"&amp;$A151,実績!$AE$6:$AE$505,"○")&gt;0,1,0))</f>
        <v/>
      </c>
      <c r="M151">
        <f>IF(M$4=0,0,IF(COUNTIFS(実績!$W$6:$W$505,M$3,実績!$AC$6:$AC$505,"&lt;="&amp;$A151,実績!$AD$6:$AD$505,"&gt;"&amp;$A151,実績!$AE$6:$AE$505,"○")&gt;0,1,0))</f>
        <v/>
      </c>
      <c r="N151">
        <f>IF(N$4=0,0,IF(COUNTIFS(実績!$W$6:$W$505,N$3,実績!$AC$6:$AC$505,"&lt;="&amp;$A151,実績!$AD$6:$AD$505,"&gt;"&amp;$A151,実績!$AE$6:$AE$505,"○")&gt;0,1,0))</f>
        <v/>
      </c>
      <c r="O151">
        <f>IF(O$4=0,0,IF(COUNTIFS(実績!$W$6:$W$505,O$3,実績!$AC$6:$AC$505,"&lt;="&amp;$A151,実績!$AD$6:$AD$505,"&gt;"&amp;$A151,実績!$AE$6:$AE$505,"○")&gt;0,1,0))</f>
        <v/>
      </c>
      <c r="P151">
        <f>IF(P$4=0,0,IF(COUNTIFS(実績!$W$6:$W$505,P$3,実績!$AC$6:$AC$505,"&lt;="&amp;$A151,実績!$AD$6:$AD$505,"&gt;"&amp;$A151,実績!$AE$6:$AE$505,"○")&gt;0,1,0))</f>
        <v/>
      </c>
      <c r="Q151">
        <f>IF(Q$4=0,0,IF(COUNTIFS(実績!$W$6:$W$505,Q$3,実績!$AC$6:$AC$505,"&lt;="&amp;$A151,実績!$AD$6:$AD$505,"&gt;"&amp;$A151,実績!$AE$6:$AE$505,"○")&gt;0,1,0))</f>
        <v/>
      </c>
      <c r="R151">
        <f>IF(R$4=0,0,IF(COUNTIFS(実績!$W$6:$W$505,R$3,実績!$AC$6:$AC$505,"&lt;="&amp;$A151,実績!$AD$6:$AD$505,"&gt;"&amp;$A151,実績!$AE$6:$AE$505,"○")&gt;0,1,0))</f>
        <v/>
      </c>
      <c r="S151">
        <f>IF(S$4=0,0,IF(COUNTIFS(実績!$W$6:$W$505,S$3,実績!$AC$6:$AC$505,"&lt;="&amp;$A151,実績!$AD$6:$AD$505,"&gt;"&amp;$A151,実績!$AE$6:$AE$505,"○")&gt;0,1,0))</f>
        <v/>
      </c>
      <c r="T151">
        <f>IF(T$4=0,0,IF(COUNTIFS(実績!$W$6:$W$505,T$3,実績!$AC$6:$AC$505,"&lt;="&amp;$A151,実績!$AD$6:$AD$505,"&gt;"&amp;$A151,実績!$AE$6:$AE$505,"○")&gt;0,1,0))</f>
        <v/>
      </c>
      <c r="U151">
        <f>IF(U$4=0,0,IF(COUNTIFS(実績!$W$6:$W$505,U$3,実績!$AC$6:$AC$505,"&lt;="&amp;$A151,実績!$AD$6:$AD$505,"&gt;"&amp;$A151,実績!$AE$6:$AE$505,"○")&gt;0,1,0))</f>
        <v/>
      </c>
      <c r="V151">
        <f>IF(V$4=0,0,IF(COUNTIFS(実績!$W$6:$W$505,V$3,実績!$AC$6:$AC$505,"&lt;="&amp;$A151,実績!$AD$6:$AD$505,"&gt;"&amp;$A151,実績!$AE$6:$AE$505,"○")&gt;0,1,0))</f>
        <v/>
      </c>
      <c r="W151">
        <f>IF(W$4=0,0,IF(COUNTIFS(実績!$W$6:$W$505,W$3,実績!$AC$6:$AC$505,"&lt;="&amp;$A151,実績!$AD$6:$AD$505,"&gt;"&amp;$A151,実績!$AE$6:$AE$505,"○")&gt;0,1,0))</f>
        <v/>
      </c>
      <c r="X151">
        <f>IF(X$4=0,0,IF(COUNTIFS(実績!$W$6:$W$505,X$3,実績!$AC$6:$AC$505,"&lt;="&amp;$A151,実績!$AD$6:$AD$505,"&gt;"&amp;$A151,実績!$AE$6:$AE$505,"○")&gt;0,1,0))</f>
        <v/>
      </c>
      <c r="Y151">
        <f>IF(Y$4=0,0,IF(COUNTIFS(実績!$W$6:$W$505,Y$3,実績!$AC$6:$AC$505,"&lt;="&amp;$A151,実績!$AD$6:$AD$505,"&gt;"&amp;$A151,実績!$AE$6:$AE$505,"○")&gt;0,1,0))</f>
        <v/>
      </c>
      <c r="Z151">
        <f>IF(Z$4=0,0,IF(COUNTIFS(実績!$W$6:$W$505,Z$3,実績!$AC$6:$AC$505,"&lt;="&amp;$A151,実績!$AD$6:$AD$505,"&gt;"&amp;$A151,実績!$AE$6:$AE$505,"○")&gt;0,1,0))</f>
        <v/>
      </c>
      <c r="AA151">
        <f>IF(AA$4=0,0,IF(COUNTIFS(実績!$W$6:$W$505,AA$3,実績!$AC$6:$AC$505,"&lt;="&amp;$A151,実績!$AD$6:$AD$505,"&gt;"&amp;$A151,実績!$AE$6:$AE$505,"○")&gt;0,1,0))</f>
        <v/>
      </c>
      <c r="AB151">
        <f>IF(AB$4=0,0,IF(COUNTIFS(実績!$W$6:$W$505,AB$3,実績!$AC$6:$AC$505,"&lt;="&amp;$A151,実績!$AD$6:$AD$505,"&gt;"&amp;$A151,実績!$AE$6:$AE$505,"○")&gt;0,1,0))</f>
        <v/>
      </c>
      <c r="AC151">
        <f>IF(AC$4=0,0,IF(COUNTIFS(実績!$W$6:$W$505,AC$3,実績!$AC$6:$AC$505,"&lt;="&amp;$A151,実績!$AD$6:$AD$505,"&gt;"&amp;$A151,実績!$AE$6:$AE$505,"○")&gt;0,1,0))</f>
        <v/>
      </c>
      <c r="AD151">
        <f>IF(AD$4=0,0,IF(COUNTIFS(実績!$W$6:$W$505,AD$3,実績!$AC$6:$AC$505,"&lt;="&amp;$A151,実績!$AD$6:$AD$505,"&gt;"&amp;$A151,実績!$AE$6:$AE$505,"○")&gt;0,1,0))</f>
        <v/>
      </c>
      <c r="AE151">
        <f>IF(AE$4=0,0,IF(COUNTIFS(実績!$W$6:$W$505,AE$3,実績!$AC$6:$AC$505,"&lt;="&amp;$A151,実績!$AD$6:$AD$505,"&gt;"&amp;$A151,実績!$AE$6:$AE$505,"○")&gt;0,1,0))</f>
        <v/>
      </c>
      <c r="AF151">
        <f>IF(AF$4=0,0,IF(COUNTIFS(実績!$W$6:$W$505,AF$3,実績!$AC$6:$AC$505,"&lt;="&amp;$A151,実績!$AD$6:$AD$505,"&gt;"&amp;$A151,実績!$AE$6:$AE$505,"○")&gt;0,1,0))</f>
        <v/>
      </c>
      <c r="AG151">
        <f>IF(AG$4=0,0,IF(COUNTIFS(実績!$W$6:$W$505,AG$3,実績!$AC$6:$AC$505,"&lt;="&amp;$A151,実績!$AD$6:$AD$505,"&gt;"&amp;$A151,実績!$AE$6:$AE$505,"○")&gt;0,1,0))</f>
        <v/>
      </c>
      <c r="AH151">
        <f>IF(AH$4=0,0,IF(COUNTIFS(実績!$W$6:$W$505,AH$3,実績!$AC$6:$AC$505,"&lt;="&amp;$A151,実績!$AD$6:$AD$505,"&gt;"&amp;$A151,実績!$AE$6:$AE$505,"○")&gt;0,1,0))</f>
        <v/>
      </c>
      <c r="AI151">
        <f>IF(AI$4=0,0,IF(COUNTIFS(実績!$W$6:$W$505,AI$3,実績!$AC$6:$AC$505,"&lt;="&amp;$A151,実績!$AD$6:$AD$505,"&gt;"&amp;$A151,実績!$AE$6:$AE$505,"○")&gt;0,1,0))</f>
        <v/>
      </c>
      <c r="AJ151">
        <f>IF(AJ$4=0,0,IF(COUNTIFS(実績!$W$6:$W$505,AJ$3,実績!$AC$6:$AC$505,"&lt;="&amp;$A151,実績!$AD$6:$AD$505,"&gt;"&amp;$A151,実績!$AE$6:$AE$505,"○")&gt;0,1,0))</f>
        <v/>
      </c>
      <c r="AK151">
        <f>IF(AK$4=0,0,IF(COUNTIFS(実績!$W$6:$W$505,AK$3,実績!$AC$6:$AC$505,"&lt;="&amp;$A151,実績!$AD$6:$AD$505,"&gt;"&amp;$A151,実績!$AE$6:$AE$505,"○")&gt;0,1,0))</f>
        <v/>
      </c>
      <c r="AL151">
        <f>IF(AL$4=0,0,IF(COUNTIFS(実績!$W$6:$W$505,AL$3,実績!$AC$6:$AC$505,"&lt;="&amp;$A151,実績!$AD$6:$AD$505,"&gt;"&amp;$A151,実績!$AE$6:$AE$505,"○")&gt;0,1,0))</f>
        <v/>
      </c>
      <c r="AM151">
        <f>IF(AM$4=0,0,IF(COUNTIFS(実績!$W$6:$W$505,AM$3,実績!$AC$6:$AC$505,"&lt;="&amp;$A151,実績!$AD$6:$AD$505,"&gt;"&amp;$A151,実績!$AE$6:$AE$505,"○")&gt;0,1,0))</f>
        <v/>
      </c>
      <c r="AN151">
        <f>IF(AN$4=0,0,IF(COUNTIFS(実績!$W$6:$W$505,AN$3,実績!$AC$6:$AC$505,"&lt;="&amp;$A151,実績!$AD$6:$AD$505,"&gt;"&amp;$A151,実績!$AE$6:$AE$505,"○")&gt;0,1,0))</f>
        <v/>
      </c>
      <c r="AO151">
        <f>IF(AO$4=0,0,IF(COUNTIFS(実績!$W$6:$W$505,AO$3,実績!$AC$6:$AC$505,"&lt;="&amp;$A151,実績!$AD$6:$AD$505,"&gt;"&amp;$A151,実績!$AE$6:$AE$505,"○")&gt;0,1,0))</f>
        <v/>
      </c>
      <c r="AP151">
        <f>IF(AP$4=0,0,IF(COUNTIFS(実績!$W$6:$W$505,AP$3,実績!$AC$6:$AC$505,"&lt;="&amp;$A151,実績!$AD$6:$AD$505,"&gt;"&amp;$A151,実績!$AE$6:$AE$505,"○")&gt;0,1,0))</f>
        <v/>
      </c>
      <c r="AQ151">
        <f>IF(AQ$4=0,0,IF(COUNTIFS(実績!$W$6:$W$505,AQ$3,実績!$AC$6:$AC$505,"&lt;="&amp;$A151,実績!$AD$6:$AD$505,"&gt;"&amp;$A151,実績!$AE$6:$AE$505,"○")&gt;0,1,0))</f>
        <v/>
      </c>
      <c r="AR151">
        <f>IF(AR$4=0,0,IF(COUNTIFS(実績!$W$6:$W$505,AR$3,実績!$AC$6:$AC$505,"&lt;="&amp;$A151,実績!$AD$6:$AD$505,"&gt;"&amp;$A151,実績!$AE$6:$AE$505,"○")&gt;0,1,0))</f>
        <v/>
      </c>
      <c r="AS151">
        <f>IF(AS$4=0,0,IF(COUNTIFS(実績!$W$6:$W$505,AS$3,実績!$AC$6:$AC$505,"&lt;="&amp;$A151,実績!$AD$6:$AD$505,"&gt;"&amp;$A151,実績!$AE$6:$AE$505,"○")&gt;0,1,0))</f>
        <v/>
      </c>
      <c r="AT151">
        <f>IF(AT$4=0,0,IF(COUNTIFS(実績!$W$6:$W$505,AT$3,実績!$AC$6:$AC$505,"&lt;="&amp;$A151,実績!$AD$6:$AD$505,"&gt;"&amp;$A151,実績!$AE$6:$AE$505,"○")&gt;0,1,0))</f>
        <v/>
      </c>
      <c r="AU151">
        <f>IF(AU$4=0,0,IF(COUNTIFS(実績!$W$6:$W$505,AU$3,実績!$AC$6:$AC$505,"&lt;="&amp;$A151,実績!$AD$6:$AD$505,"&gt;"&amp;$A151,実績!$AE$6:$AE$505,"○")&gt;0,1,0))</f>
        <v/>
      </c>
      <c r="AV151">
        <f>IF(AV$4=0,0,IF(COUNTIFS(実績!$W$6:$W$505,AV$3,実績!$AC$6:$AC$505,"&lt;="&amp;$A151,実績!$AD$6:$AD$505,"&gt;"&amp;$A151,実績!$AE$6:$AE$505,"○")&gt;0,1,0))</f>
        <v/>
      </c>
      <c r="AW151">
        <f>IF(AW$4=0,0,IF(COUNTIFS(実績!$W$6:$W$505,AW$3,実績!$AC$6:$AC$505,"&lt;="&amp;$A151,実績!$AD$6:$AD$505,"&gt;"&amp;$A151,実績!$AE$6:$AE$505,"○")&gt;0,1,0))</f>
        <v/>
      </c>
      <c r="AX151">
        <f>IF(AX$4=0,0,IF(COUNTIFS(実績!$W$6:$W$505,AX$3,実績!$AC$6:$AC$505,"&lt;="&amp;$A151,実績!$AD$6:$AD$505,"&gt;"&amp;$A151,実績!$AE$6:$AE$505,"○")&gt;0,1,0))</f>
        <v/>
      </c>
      <c r="AY151">
        <f>IF(AY$4=0,0,IF(COUNTIFS(実績!$W$6:$W$505,AY$3,実績!$AC$6:$AC$505,"&lt;="&amp;$A151,実績!$AD$6:$AD$505,"&gt;"&amp;$A151,実績!$AE$6:$AE$505,"○")&gt;0,1,0))</f>
        <v/>
      </c>
      <c r="AZ151">
        <f>IF(AZ$4=0,0,IF(COUNTIFS(実績!$W$6:$W$505,AZ$3,実績!$AC$6:$AC$505,"&lt;="&amp;$A151,実績!$AD$6:$AD$505,"&gt;"&amp;$A151,実績!$AE$6:$AE$505,"○")&gt;0,1,0))</f>
        <v/>
      </c>
      <c r="BA151">
        <f>IF(BA$4=0,0,IF(COUNTIFS(実績!$W$6:$W$505,BA$3,実績!$AC$6:$AC$505,"&lt;="&amp;$A151,実績!$AD$6:$AD$505,"&gt;"&amp;$A151,実績!$AE$6:$AE$505,"○")&gt;0,1,0))</f>
        <v/>
      </c>
      <c r="BB151">
        <f>IF(BB$4=0,0,IF(COUNTIFS(実績!$W$6:$W$505,BB$3,実績!$AC$6:$AC$505,"&lt;="&amp;$A151,実績!$AD$6:$AD$505,"&gt;"&amp;$A151,実績!$AE$6:$AE$505,"○")&gt;0,1,0))</f>
        <v/>
      </c>
      <c r="BC151">
        <f>IF(BC$4=0,0,IF(COUNTIFS(実績!$W$6:$W$505,BC$3,実績!$AC$6:$AC$505,"&lt;="&amp;$A151,実績!$AD$6:$AD$505,"&gt;"&amp;$A151,実績!$AE$6:$AE$505,"○")&gt;0,1,0))</f>
        <v/>
      </c>
      <c r="BD151">
        <f>IF(BD$4=0,0,IF(COUNTIFS(実績!$W$6:$W$505,BD$3,実績!$AC$6:$AC$505,"&lt;="&amp;$A151,実績!$AD$6:$AD$505,"&gt;"&amp;$A151,実績!$AE$6:$AE$505,"○")&gt;0,1,0))</f>
        <v/>
      </c>
      <c r="BE151">
        <f>IF(BE$4=0,0,IF(COUNTIFS(実績!$W$6:$W$505,BE$3,実績!$AC$6:$AC$505,"&lt;="&amp;$A151,実績!$AD$6:$AD$505,"&gt;"&amp;$A151,実績!$AE$6:$AE$505,"○")&gt;0,1,0))</f>
        <v/>
      </c>
      <c r="BF151">
        <f>IF(BF$4=0,0,IF(COUNTIFS(実績!$W$6:$W$505,BF$3,実績!$AC$6:$AC$505,"&lt;="&amp;$A151,実績!$AD$6:$AD$505,"&gt;"&amp;$A151,実績!$AE$6:$AE$505,"○")&gt;0,1,0))</f>
        <v/>
      </c>
      <c r="BG151">
        <f>IF(BG$4=0,0,IF(COUNTIFS(実績!$W$6:$W$505,BG$3,実績!$AC$6:$AC$505,"&lt;="&amp;$A151,実績!$AD$6:$AD$505,"&gt;"&amp;$A151,実績!$AE$6:$AE$505,"○")&gt;0,1,0))</f>
        <v/>
      </c>
      <c r="BH151">
        <f>IF(BH$4=0,0,IF(COUNTIFS(実績!$W$6:$W$505,BH$3,実績!$AC$6:$AC$505,"&lt;="&amp;$A151,実績!$AD$6:$AD$505,"&gt;"&amp;$A151,実績!$AE$6:$AE$505,"○")&gt;0,1,0))</f>
        <v/>
      </c>
      <c r="BI151">
        <f>IF(BI$4=0,0,IF(COUNTIFS(実績!$W$6:$W$505,BI$3,実績!$AC$6:$AC$505,"&lt;="&amp;$A151,実績!$AD$6:$AD$505,"&gt;"&amp;$A151,実績!$AE$6:$AE$505,"○")&gt;0,1,0))</f>
        <v/>
      </c>
      <c r="BJ151">
        <f>IF(BJ$4=0,0,IF(COUNTIFS(実績!$W$6:$W$505,BJ$3,実績!$AC$6:$AC$505,"&lt;="&amp;$A151,実績!$AD$6:$AD$505,"&gt;"&amp;$A151,実績!$AE$6:$AE$505,"○")&gt;0,1,0))</f>
        <v/>
      </c>
      <c r="BK151">
        <f>IF(BK$4=0,0,IF(COUNTIFS(実績!$W$6:$W$505,BK$3,実績!$AC$6:$AC$505,"&lt;="&amp;$A151,実績!$AD$6:$AD$505,"&gt;"&amp;$A151,実績!$AE$6:$AE$505,"○")&gt;0,1,0))</f>
        <v/>
      </c>
      <c r="BL151">
        <f>IF(BL$4=0,0,IF(COUNTIFS(実績!$W$6:$W$505,BL$3,実績!$AC$6:$AC$505,"&lt;="&amp;$A151,実績!$AD$6:$AD$505,"&gt;"&amp;$A151,実績!$AE$6:$AE$505,"○")&gt;0,1,0))</f>
        <v/>
      </c>
      <c r="BM151">
        <f>IF(BM$4=0,0,IF(COUNTIFS(実績!$W$6:$W$505,BM$3,実績!$AC$6:$AC$505,"&lt;="&amp;$A151,実績!$AD$6:$AD$505,"&gt;"&amp;$A151,実績!$AE$6:$AE$505,"○")&gt;0,1,0))</f>
        <v/>
      </c>
      <c r="BN151">
        <f>IF(BN$4=0,0,IF(COUNTIFS(実績!$W$6:$W$505,BN$3,実績!$AC$6:$AC$505,"&lt;="&amp;$A151,実績!$AD$6:$AD$505,"&gt;"&amp;$A151,実績!$AE$6:$AE$505,"○")&gt;0,1,0))</f>
        <v/>
      </c>
      <c r="BO151">
        <f>IF(BO$4=0,0,IF(COUNTIFS(実績!$W$6:$W$505,BO$3,実績!$AC$6:$AC$505,"&lt;="&amp;$A151,実績!$AD$6:$AD$505,"&gt;"&amp;$A151,実績!$AE$6:$AE$505,"○")&gt;0,1,0))</f>
        <v/>
      </c>
      <c r="BP151">
        <f>IF(BP$4=0,0,IF(COUNTIFS(実績!$W$6:$W$505,BP$3,実績!$AC$6:$AC$505,"&lt;="&amp;$A151,実績!$AD$6:$AD$505,"&gt;"&amp;$A151,実績!$AE$6:$AE$505,"○")&gt;0,1,0))</f>
        <v/>
      </c>
      <c r="BQ151">
        <f>IF(BQ$4=0,0,IF(COUNTIFS(実績!$W$6:$W$505,BQ$3,実績!$AC$6:$AC$505,"&lt;="&amp;$A151,実績!$AD$6:$AD$505,"&gt;"&amp;$A151,実績!$AE$6:$AE$505,"○")&gt;0,1,0))</f>
        <v/>
      </c>
      <c r="BR151">
        <f>IF(BR$4=0,0,IF(COUNTIFS(実績!$W$6:$W$505,BR$3,実績!$AC$6:$AC$505,"&lt;="&amp;$A151,実績!$AD$6:$AD$505,"&gt;"&amp;$A151,実績!$AE$6:$AE$505,"○")&gt;0,1,0))</f>
        <v/>
      </c>
      <c r="BS151">
        <f>IF(BS$4=0,0,IF(COUNTIFS(実績!$W$6:$W$505,BS$3,実績!$AC$6:$AC$505,"&lt;="&amp;$A151,実績!$AD$6:$AD$505,"&gt;"&amp;$A151,実績!$AE$6:$AE$505,"○")&gt;0,1,0))</f>
        <v/>
      </c>
      <c r="BT151">
        <f>IF(BT$4=0,0,IF(COUNTIFS(実績!$W$6:$W$505,BT$3,実績!$AC$6:$AC$505,"&lt;="&amp;$A151,実績!$AD$6:$AD$505,"&gt;"&amp;$A151,実績!$AE$6:$AE$505,"○")&gt;0,1,0))</f>
        <v/>
      </c>
      <c r="BU151">
        <f>IF(BU$4=0,0,IF(COUNTIFS(実績!$W$6:$W$505,BU$3,実績!$AC$6:$AC$505,"&lt;="&amp;$A151,実績!$AD$6:$AD$505,"&gt;"&amp;$A151,実績!$AE$6:$AE$505,"○")&gt;0,1,0))</f>
        <v/>
      </c>
      <c r="BV151">
        <f>IF(BV$4=0,0,IF(COUNTIFS(実績!$W$6:$W$505,BV$3,実績!$AC$6:$AC$505,"&lt;="&amp;$A151,実績!$AD$6:$AD$505,"&gt;"&amp;$A151,実績!$AE$6:$AE$505,"○")&gt;0,1,0))</f>
        <v/>
      </c>
      <c r="BW151">
        <f>IF(BW$4=0,0,IF(COUNTIFS(実績!$W$6:$W$505,BW$3,実績!$AC$6:$AC$505,"&lt;="&amp;$A151,実績!$AD$6:$AD$505,"&gt;"&amp;$A151,実績!$AE$6:$AE$505,"○")&gt;0,1,0))</f>
        <v/>
      </c>
      <c r="BX151">
        <f>IF(BX$4=0,0,IF(COUNTIFS(実績!$W$6:$W$505,BX$3,実績!$AC$6:$AC$505,"&lt;="&amp;$A151,実績!$AD$6:$AD$505,"&gt;"&amp;$A151,実績!$AE$6:$AE$505,"○")&gt;0,1,0))</f>
        <v/>
      </c>
      <c r="BY151">
        <f>IF(BY$4=0,0,IF(COUNTIFS(実績!$W$6:$W$505,BY$3,実績!$AC$6:$AC$505,"&lt;="&amp;$A151,実績!$AD$6:$AD$505,"&gt;"&amp;$A151,実績!$AE$6:$AE$505,"○")&gt;0,1,0))</f>
        <v/>
      </c>
      <c r="BZ151">
        <f>IF(BZ$4=0,0,IF(COUNTIFS(実績!$W$6:$W$505,BZ$3,実績!$AC$6:$AC$505,"&lt;="&amp;$A151,実績!$AD$6:$AD$505,"&gt;"&amp;$A151,実績!$AE$6:$AE$505,"○")&gt;0,1,0))</f>
        <v/>
      </c>
      <c r="CA151">
        <f>IF(CA$4=0,0,IF(COUNTIFS(実績!$W$6:$W$505,CA$3,実績!$AC$6:$AC$505,"&lt;="&amp;$A151,実績!$AD$6:$AD$505,"&gt;"&amp;$A151,実績!$AE$6:$AE$505,"○")&gt;0,1,0))</f>
        <v/>
      </c>
      <c r="CB151">
        <f>IF(CB$4=0,0,IF(COUNTIFS(実績!$W$6:$W$505,CB$3,実績!$AC$6:$AC$505,"&lt;="&amp;$A151,実績!$AD$6:$AD$505,"&gt;"&amp;$A151,実績!$AE$6:$AE$505,"○")&gt;0,1,0))</f>
        <v/>
      </c>
      <c r="CC151">
        <f>IF(CC$4=0,0,IF(COUNTIFS(実績!$W$6:$W$505,CC$3,実績!$AC$6:$AC$505,"&lt;="&amp;$A151,実績!$AD$6:$AD$505,"&gt;"&amp;$A151,実績!$AE$6:$AE$505,"○")&gt;0,1,0))</f>
        <v/>
      </c>
      <c r="CD151">
        <f>IF(CD$4=0,0,IF(COUNTIFS(実績!$W$6:$W$505,CD$3,実績!$AC$6:$AC$505,"&lt;="&amp;$A151,実績!$AD$6:$AD$505,"&gt;"&amp;$A151,実績!$AE$6:$AE$505,"○")&gt;0,1,0))</f>
        <v/>
      </c>
      <c r="CE151">
        <f>IF(CE$4=0,0,IF(COUNTIFS(実績!$W$6:$W$505,CE$3,実績!$AC$6:$AC$505,"&lt;="&amp;$A151,実績!$AD$6:$AD$505,"&gt;"&amp;$A151,実績!$AE$6:$AE$505,"○")&gt;0,1,0))</f>
        <v/>
      </c>
      <c r="CF151">
        <f>IF(CF$4=0,0,IF(COUNTIFS(実績!$W$6:$W$505,CF$3,実績!$AC$6:$AC$505,"&lt;="&amp;$A151,実績!$AD$6:$AD$505,"&gt;"&amp;$A151,実績!$AE$6:$AE$505,"○")&gt;0,1,0))</f>
        <v/>
      </c>
      <c r="CG151">
        <f>IF(CG$4=0,0,IF(COUNTIFS(実績!$W$6:$W$505,CG$3,実績!$AC$6:$AC$505,"&lt;="&amp;$A151,実績!$AD$6:$AD$505,"&gt;"&amp;$A151,実績!$AE$6:$AE$505,"○")&gt;0,1,0))</f>
        <v/>
      </c>
      <c r="CH151">
        <f>IF(CH$4=0,0,IF(COUNTIFS(実績!$W$6:$W$505,CH$3,実績!$AC$6:$AC$505,"&lt;="&amp;$A151,実績!$AD$6:$AD$505,"&gt;"&amp;$A151,実績!$AE$6:$AE$505,"○")&gt;0,1,0))</f>
        <v/>
      </c>
      <c r="CI151">
        <f>IF(CI$4=0,0,IF(COUNTIFS(実績!$W$6:$W$505,CI$3,実績!$AC$6:$AC$505,"&lt;="&amp;$A151,実績!$AD$6:$AD$505,"&gt;"&amp;$A151,実績!$AE$6:$AE$505,"○")&gt;0,1,0))</f>
        <v/>
      </c>
      <c r="CJ151">
        <f>IF(CJ$4=0,0,IF(COUNTIFS(実績!$W$6:$W$505,CJ$3,実績!$AC$6:$AC$505,"&lt;="&amp;$A151,実績!$AD$6:$AD$505,"&gt;"&amp;$A151,実績!$AE$6:$AE$505,"○")&gt;0,1,0))</f>
        <v/>
      </c>
      <c r="CK151">
        <f>IF(CK$4=0,0,IF(COUNTIFS(実績!$W$6:$W$505,CK$3,実績!$AC$6:$AC$505,"&lt;="&amp;$A151,実績!$AD$6:$AD$505,"&gt;"&amp;$A151,実績!$AE$6:$AE$505,"○")&gt;0,1,0))</f>
        <v/>
      </c>
      <c r="CL151">
        <f>IF(CL$4=0,0,IF(COUNTIFS(実績!$W$6:$W$505,CL$3,実績!$AC$6:$AC$505,"&lt;="&amp;$A151,実績!$AD$6:$AD$505,"&gt;"&amp;$A151,実績!$AE$6:$AE$505,"○")&gt;0,1,0))</f>
        <v/>
      </c>
      <c r="CM151">
        <f>IF(CM$4=0,0,IF(COUNTIFS(実績!$W$6:$W$505,CM$3,実績!$AC$6:$AC$505,"&lt;="&amp;$A151,実績!$AD$6:$AD$505,"&gt;"&amp;$A151,実績!$AE$6:$AE$505,"○")&gt;0,1,0))</f>
        <v/>
      </c>
      <c r="CN151">
        <f>IF(CN$4=0,0,IF(COUNTIFS(実績!$W$6:$W$505,CN$3,実績!$AC$6:$AC$505,"&lt;="&amp;$A151,実績!$AD$6:$AD$505,"&gt;"&amp;$A151,実績!$AE$6:$AE$505,"○")&gt;0,1,0))</f>
        <v/>
      </c>
      <c r="CO151">
        <f>IF(CO$4=0,0,IF(COUNTIFS(実績!$W$6:$W$505,CO$3,実績!$AC$6:$AC$505,"&lt;="&amp;$A151,実績!$AD$6:$AD$505,"&gt;"&amp;$A151,実績!$AE$6:$AE$505,"○")&gt;0,1,0))</f>
        <v/>
      </c>
      <c r="CP151">
        <f>IF(CP$4=0,0,IF(COUNTIFS(実績!$W$6:$W$505,CP$3,実績!$AC$6:$AC$505,"&lt;="&amp;$A151,実績!$AD$6:$AD$505,"&gt;"&amp;$A151,実績!$AE$6:$AE$505,"○")&gt;0,1,0))</f>
        <v/>
      </c>
      <c r="CQ151">
        <f>IF(CQ$4=0,0,IF(COUNTIFS(実績!$W$6:$W$505,CQ$3,実績!$AC$6:$AC$505,"&lt;="&amp;$A151,実績!$AD$6:$AD$505,"&gt;"&amp;$A151,実績!$AE$6:$AE$505,"○")&gt;0,1,0))</f>
        <v/>
      </c>
      <c r="CR151">
        <f>IF(CR$4=0,0,IF(COUNTIFS(実績!$W$6:$W$505,CR$3,実績!$AC$6:$AC$505,"&lt;="&amp;$A151,実績!$AD$6:$AD$505,"&gt;"&amp;$A151,実績!$AE$6:$AE$505,"○")&gt;0,1,0))</f>
        <v/>
      </c>
      <c r="CS151">
        <f>IF(CS$4=0,0,IF(COUNTIFS(実績!$W$6:$W$505,CS$3,実績!$AC$6:$AC$505,"&lt;="&amp;$A151,実績!$AD$6:$AD$505,"&gt;"&amp;$A151,実績!$AE$6:$AE$505,"○")&gt;0,1,0))</f>
        <v/>
      </c>
      <c r="CT151">
        <f>IF(CT$4=0,0,IF(COUNTIFS(実績!$W$6:$W$505,CT$3,実績!$AC$6:$AC$505,"&lt;="&amp;$A151,実績!$AD$6:$AD$505,"&gt;"&amp;$A151,実績!$AE$6:$AE$505,"○")&gt;0,1,0))</f>
        <v/>
      </c>
      <c r="CU151">
        <f>IF(CU$4=0,0,IF(COUNTIFS(実績!$W$6:$W$505,CU$3,実績!$AC$6:$AC$505,"&lt;="&amp;$A151,実績!$AD$6:$AD$505,"&gt;"&amp;$A151,実績!$AE$6:$AE$505,"○")&gt;0,1,0))</f>
        <v/>
      </c>
      <c r="CV151">
        <f>IF(CV$4=0,0,IF(COUNTIFS(実績!$W$6:$W$505,CV$3,実績!$AC$6:$AC$505,"&lt;="&amp;$A151,実績!$AD$6:$AD$505,"&gt;"&amp;$A151,実績!$AE$6:$AE$505,"○")&gt;0,1,0))</f>
        <v/>
      </c>
      <c r="CW151">
        <f>IF(CW$4=0,0,IF(COUNTIFS(実績!$W$6:$W$505,CW$3,実績!$AC$6:$AC$505,"&lt;="&amp;$A151,実績!$AD$6:$AD$505,"&gt;"&amp;$A151,実績!$AE$6:$AE$505,"○")&gt;0,1,0))</f>
        <v/>
      </c>
      <c r="CX151">
        <f>IF(CX$4=0,0,IF(COUNTIFS(実績!$W$6:$W$505,CX$3,実績!$AC$6:$AC$505,"&lt;="&amp;$A151,実績!$AD$6:$AD$505,"&gt;"&amp;$A151,実績!$AE$6:$AE$505,"○")&gt;0,1,0))</f>
        <v/>
      </c>
      <c r="CY151">
        <f>IF(CY$4=0,0,IF(COUNTIFS(実績!$W$6:$W$505,CY$3,実績!$AC$6:$AC$505,"&lt;="&amp;$A151,実績!$AD$6:$AD$505,"&gt;"&amp;$A151,実績!$AE$6:$AE$505,"○")&gt;0,1,0))</f>
        <v/>
      </c>
      <c r="CZ151">
        <f>IF(CZ$4=0,0,IF(COUNTIFS(実績!$W$6:$W$505,CZ$3,実績!$AC$6:$AC$505,"&lt;="&amp;$A151,実績!$AD$6:$AD$505,"&gt;"&amp;$A151,実績!$AE$6:$AE$505,"○")&gt;0,1,0))</f>
        <v/>
      </c>
      <c r="DA151">
        <f>IF(DA$4=0,0,IF(COUNTIFS(実績!$W$6:$W$505,DA$3,実績!$AC$6:$AC$505,"&lt;="&amp;$A151,実績!$AD$6:$AD$505,"&gt;"&amp;$A151,実績!$AE$6:$AE$505,"○")&gt;0,1,0))</f>
        <v/>
      </c>
      <c r="DB151">
        <f>IF(DB$4=0,0,IF(COUNTIFS(実績!$W$6:$W$505,DB$3,実績!$AC$6:$AC$505,"&lt;="&amp;$A151,実績!$AD$6:$AD$505,"&gt;"&amp;$A151,実績!$AE$6:$AE$505,"○")&gt;0,1,0))</f>
        <v/>
      </c>
      <c r="DC151">
        <f>IF(DC$4=0,0,IF(COUNTIFS(実績!$W$6:$W$505,DC$3,実績!$AC$6:$AC$505,"&lt;="&amp;$A151,実績!$AD$6:$AD$505,"&gt;"&amp;$A151,実績!$AE$6:$AE$505,"○")&gt;0,1,0))</f>
        <v/>
      </c>
      <c r="DD151">
        <f>IF(DD$4=0,0,IF(COUNTIFS(実績!$W$6:$W$505,DD$3,実績!$AC$6:$AC$505,"&lt;="&amp;$A151,実績!$AD$6:$AD$505,"&gt;"&amp;$A151,実績!$AE$6:$AE$505,"○")&gt;0,1,0))</f>
        <v/>
      </c>
      <c r="DE151">
        <f>IF(DE$4=0,0,IF(COUNTIFS(実績!$W$6:$W$505,DE$3,実績!$AC$6:$AC$505,"&lt;="&amp;$A151,実績!$AD$6:$AD$505,"&gt;"&amp;$A151,実績!$AE$6:$AE$505,"○")&gt;0,1,0))</f>
        <v/>
      </c>
      <c r="DF151">
        <f>IF(DF$4=0,0,IF(COUNTIFS(実績!$W$6:$W$505,DF$3,実績!$AC$6:$AC$505,"&lt;="&amp;$A151,実績!$AD$6:$AD$505,"&gt;"&amp;$A151,実績!$AE$6:$AE$505,"○")&gt;0,1,0))</f>
        <v/>
      </c>
      <c r="DG151">
        <f>IF(DG$4=0,0,IF(COUNTIFS(実績!$W$6:$W$505,DG$3,実績!$AC$6:$AC$505,"&lt;="&amp;$A151,実績!$AD$6:$AD$505,"&gt;"&amp;$A151,実績!$AE$6:$AE$505,"○")&gt;0,1,0))</f>
        <v/>
      </c>
      <c r="DH151">
        <f>IF(DH$4=0,0,IF(COUNTIFS(実績!$W$6:$W$505,DH$3,実績!$AC$6:$AC$505,"&lt;="&amp;$A151,実績!$AD$6:$AD$505,"&gt;"&amp;$A151,実績!$AE$6:$AE$505,"○")&gt;0,1,0))</f>
        <v/>
      </c>
      <c r="DI151">
        <f>IF(DI$4=0,0,IF(COUNTIFS(実績!$W$6:$W$505,DI$3,実績!$AC$6:$AC$505,"&lt;="&amp;$A151,実績!$AD$6:$AD$505,"&gt;"&amp;$A151,実績!$AE$6:$AE$505,"○")&gt;0,1,0))</f>
        <v/>
      </c>
      <c r="DJ151">
        <f>IF(DJ$4=0,0,IF(COUNTIFS(実績!$W$6:$W$505,DJ$3,実績!$AC$6:$AC$505,"&lt;="&amp;$A151,実績!$AD$6:$AD$505,"&gt;"&amp;$A151,実績!$AE$6:$AE$505,"○")&gt;0,1,0))</f>
        <v/>
      </c>
      <c r="DK151">
        <f>IF(DK$4=0,0,IF(COUNTIFS(実績!$W$6:$W$505,DK$3,実績!$AC$6:$AC$505,"&lt;="&amp;$A151,実績!$AD$6:$AD$505,"&gt;"&amp;$A151,実績!$AE$6:$AE$505,"○")&gt;0,1,0))</f>
        <v/>
      </c>
      <c r="DL151">
        <f>IF(DL$4=0,0,IF(COUNTIFS(実績!$W$6:$W$505,DL$3,実績!$AC$6:$AC$505,"&lt;="&amp;$A151,実績!$AD$6:$AD$505,"&gt;"&amp;$A151,実績!$AE$6:$AE$505,"○")&gt;0,1,0))</f>
        <v/>
      </c>
      <c r="DM151">
        <f>IF(DM$4=0,0,IF(COUNTIFS(実績!$W$6:$W$505,DM$3,実績!$AC$6:$AC$505,"&lt;="&amp;$A151,実績!$AD$6:$AD$505,"&gt;"&amp;$A151,実績!$AE$6:$AE$505,"○")&gt;0,1,0))</f>
        <v/>
      </c>
      <c r="DN151">
        <f>IF(DN$4=0,0,IF(COUNTIFS(実績!$W$6:$W$505,DN$3,実績!$AC$6:$AC$505,"&lt;="&amp;$A151,実績!$AD$6:$AD$505,"&gt;"&amp;$A151,実績!$AE$6:$AE$505,"○")&gt;0,1,0))</f>
        <v/>
      </c>
      <c r="DO151">
        <f>IF(DO$4=0,0,IF(COUNTIFS(実績!$W$6:$W$505,DO$3,実績!$AC$6:$AC$505,"&lt;="&amp;$A151,実績!$AD$6:$AD$505,"&gt;"&amp;$A151,実績!$AE$6:$AE$505,"○")&gt;0,1,0))</f>
        <v/>
      </c>
      <c r="DP151">
        <f>IF(DP$4=0,0,IF(COUNTIFS(実績!$W$6:$W$505,DP$3,実績!$AC$6:$AC$505,"&lt;="&amp;$A151,実績!$AD$6:$AD$505,"&gt;"&amp;$A151,実績!$AE$6:$AE$505,"○")&gt;0,1,0))</f>
        <v/>
      </c>
      <c r="DQ151">
        <f>IF(DQ$4=0,0,IF(COUNTIFS(実績!$W$6:$W$505,DQ$3,実績!$AC$6:$AC$505,"&lt;="&amp;$A151,実績!$AD$6:$AD$505,"&gt;"&amp;$A151,実績!$AE$6:$AE$505,"○")&gt;0,1,0))</f>
        <v/>
      </c>
      <c r="DR151">
        <f>IF(DR$4=0,0,IF(COUNTIFS(実績!$W$6:$W$505,DR$3,実績!$AC$6:$AC$505,"&lt;="&amp;$A151,実績!$AD$6:$AD$505,"&gt;"&amp;$A151,実績!$AE$6:$AE$505,"○")&gt;0,1,0))</f>
        <v/>
      </c>
      <c r="DS151">
        <f>SUM(C151:DR151)</f>
        <v/>
      </c>
      <c r="DT151">
        <f>SUMPRODUCT((実績!$C$6:$C$505="○")*ISNUMBER(実績!$AF$6:$AF$505)*(実績!$AF$6:$AF$505&lt;=$A151)*(実績!$AG$6:$AG$505&gt;$A151))</f>
        <v/>
      </c>
      <c r="DU151">
        <f>SUMIF($C$2:$DR$2,"製鉄曳船",C151:DR151)</f>
        <v/>
      </c>
      <c r="DV151">
        <f>SUMIF($C$2:$DR$2,"西日本海運",C151:DR151)</f>
        <v/>
      </c>
    </row>
    <row r="152">
      <c r="A152" t="n">
        <v>730</v>
      </c>
      <c r="B152" s="29">
        <f>A152/1440</f>
        <v/>
      </c>
      <c r="C152">
        <f>IF(C$4=0,0,IF(COUNTIFS(実績!$W$6:$W$505,C$3,実績!$AC$6:$AC$505,"&lt;="&amp;$A152,実績!$AD$6:$AD$505,"&gt;"&amp;$A152,実績!$AE$6:$AE$505,"○")&gt;0,1,0))</f>
        <v/>
      </c>
      <c r="D152">
        <f>IF(D$4=0,0,IF(COUNTIFS(実績!$W$6:$W$505,D$3,実績!$AC$6:$AC$505,"&lt;="&amp;$A152,実績!$AD$6:$AD$505,"&gt;"&amp;$A152,実績!$AE$6:$AE$505,"○")&gt;0,1,0))</f>
        <v/>
      </c>
      <c r="E152">
        <f>IF(E$4=0,0,IF(COUNTIFS(実績!$W$6:$W$505,E$3,実績!$AC$6:$AC$505,"&lt;="&amp;$A152,実績!$AD$6:$AD$505,"&gt;"&amp;$A152,実績!$AE$6:$AE$505,"○")&gt;0,1,0))</f>
        <v/>
      </c>
      <c r="F152">
        <f>IF(F$4=0,0,IF(COUNTIFS(実績!$W$6:$W$505,F$3,実績!$AC$6:$AC$505,"&lt;="&amp;$A152,実績!$AD$6:$AD$505,"&gt;"&amp;$A152,実績!$AE$6:$AE$505,"○")&gt;0,1,0))</f>
        <v/>
      </c>
      <c r="G152">
        <f>IF(G$4=0,0,IF(COUNTIFS(実績!$W$6:$W$505,G$3,実績!$AC$6:$AC$505,"&lt;="&amp;$A152,実績!$AD$6:$AD$505,"&gt;"&amp;$A152,実績!$AE$6:$AE$505,"○")&gt;0,1,0))</f>
        <v/>
      </c>
      <c r="H152">
        <f>IF(H$4=0,0,IF(COUNTIFS(実績!$W$6:$W$505,H$3,実績!$AC$6:$AC$505,"&lt;="&amp;$A152,実績!$AD$6:$AD$505,"&gt;"&amp;$A152,実績!$AE$6:$AE$505,"○")&gt;0,1,0))</f>
        <v/>
      </c>
      <c r="I152">
        <f>IF(I$4=0,0,IF(COUNTIFS(実績!$W$6:$W$505,I$3,実績!$AC$6:$AC$505,"&lt;="&amp;$A152,実績!$AD$6:$AD$505,"&gt;"&amp;$A152,実績!$AE$6:$AE$505,"○")&gt;0,1,0))</f>
        <v/>
      </c>
      <c r="J152">
        <f>IF(J$4=0,0,IF(COUNTIFS(実績!$W$6:$W$505,J$3,実績!$AC$6:$AC$505,"&lt;="&amp;$A152,実績!$AD$6:$AD$505,"&gt;"&amp;$A152,実績!$AE$6:$AE$505,"○")&gt;0,1,0))</f>
        <v/>
      </c>
      <c r="K152">
        <f>IF(K$4=0,0,IF(COUNTIFS(実績!$W$6:$W$505,K$3,実績!$AC$6:$AC$505,"&lt;="&amp;$A152,実績!$AD$6:$AD$505,"&gt;"&amp;$A152,実績!$AE$6:$AE$505,"○")&gt;0,1,0))</f>
        <v/>
      </c>
      <c r="L152">
        <f>IF(L$4=0,0,IF(COUNTIFS(実績!$W$6:$W$505,L$3,実績!$AC$6:$AC$505,"&lt;="&amp;$A152,実績!$AD$6:$AD$505,"&gt;"&amp;$A152,実績!$AE$6:$AE$505,"○")&gt;0,1,0))</f>
        <v/>
      </c>
      <c r="M152">
        <f>IF(M$4=0,0,IF(COUNTIFS(実績!$W$6:$W$505,M$3,実績!$AC$6:$AC$505,"&lt;="&amp;$A152,実績!$AD$6:$AD$505,"&gt;"&amp;$A152,実績!$AE$6:$AE$505,"○")&gt;0,1,0))</f>
        <v/>
      </c>
      <c r="N152">
        <f>IF(N$4=0,0,IF(COUNTIFS(実績!$W$6:$W$505,N$3,実績!$AC$6:$AC$505,"&lt;="&amp;$A152,実績!$AD$6:$AD$505,"&gt;"&amp;$A152,実績!$AE$6:$AE$505,"○")&gt;0,1,0))</f>
        <v/>
      </c>
      <c r="O152">
        <f>IF(O$4=0,0,IF(COUNTIFS(実績!$W$6:$W$505,O$3,実績!$AC$6:$AC$505,"&lt;="&amp;$A152,実績!$AD$6:$AD$505,"&gt;"&amp;$A152,実績!$AE$6:$AE$505,"○")&gt;0,1,0))</f>
        <v/>
      </c>
      <c r="P152">
        <f>IF(P$4=0,0,IF(COUNTIFS(実績!$W$6:$W$505,P$3,実績!$AC$6:$AC$505,"&lt;="&amp;$A152,実績!$AD$6:$AD$505,"&gt;"&amp;$A152,実績!$AE$6:$AE$505,"○")&gt;0,1,0))</f>
        <v/>
      </c>
      <c r="Q152">
        <f>IF(Q$4=0,0,IF(COUNTIFS(実績!$W$6:$W$505,Q$3,実績!$AC$6:$AC$505,"&lt;="&amp;$A152,実績!$AD$6:$AD$505,"&gt;"&amp;$A152,実績!$AE$6:$AE$505,"○")&gt;0,1,0))</f>
        <v/>
      </c>
      <c r="R152">
        <f>IF(R$4=0,0,IF(COUNTIFS(実績!$W$6:$W$505,R$3,実績!$AC$6:$AC$505,"&lt;="&amp;$A152,実績!$AD$6:$AD$505,"&gt;"&amp;$A152,実績!$AE$6:$AE$505,"○")&gt;0,1,0))</f>
        <v/>
      </c>
      <c r="S152">
        <f>IF(S$4=0,0,IF(COUNTIFS(実績!$W$6:$W$505,S$3,実績!$AC$6:$AC$505,"&lt;="&amp;$A152,実績!$AD$6:$AD$505,"&gt;"&amp;$A152,実績!$AE$6:$AE$505,"○")&gt;0,1,0))</f>
        <v/>
      </c>
      <c r="T152">
        <f>IF(T$4=0,0,IF(COUNTIFS(実績!$W$6:$W$505,T$3,実績!$AC$6:$AC$505,"&lt;="&amp;$A152,実績!$AD$6:$AD$505,"&gt;"&amp;$A152,実績!$AE$6:$AE$505,"○")&gt;0,1,0))</f>
        <v/>
      </c>
      <c r="U152">
        <f>IF(U$4=0,0,IF(COUNTIFS(実績!$W$6:$W$505,U$3,実績!$AC$6:$AC$505,"&lt;="&amp;$A152,実績!$AD$6:$AD$505,"&gt;"&amp;$A152,実績!$AE$6:$AE$505,"○")&gt;0,1,0))</f>
        <v/>
      </c>
      <c r="V152">
        <f>IF(V$4=0,0,IF(COUNTIFS(実績!$W$6:$W$505,V$3,実績!$AC$6:$AC$505,"&lt;="&amp;$A152,実績!$AD$6:$AD$505,"&gt;"&amp;$A152,実績!$AE$6:$AE$505,"○")&gt;0,1,0))</f>
        <v/>
      </c>
      <c r="W152">
        <f>IF(W$4=0,0,IF(COUNTIFS(実績!$W$6:$W$505,W$3,実績!$AC$6:$AC$505,"&lt;="&amp;$A152,実績!$AD$6:$AD$505,"&gt;"&amp;$A152,実績!$AE$6:$AE$505,"○")&gt;0,1,0))</f>
        <v/>
      </c>
      <c r="X152">
        <f>IF(X$4=0,0,IF(COUNTIFS(実績!$W$6:$W$505,X$3,実績!$AC$6:$AC$505,"&lt;="&amp;$A152,実績!$AD$6:$AD$505,"&gt;"&amp;$A152,実績!$AE$6:$AE$505,"○")&gt;0,1,0))</f>
        <v/>
      </c>
      <c r="Y152">
        <f>IF(Y$4=0,0,IF(COUNTIFS(実績!$W$6:$W$505,Y$3,実績!$AC$6:$AC$505,"&lt;="&amp;$A152,実績!$AD$6:$AD$505,"&gt;"&amp;$A152,実績!$AE$6:$AE$505,"○")&gt;0,1,0))</f>
        <v/>
      </c>
      <c r="Z152">
        <f>IF(Z$4=0,0,IF(COUNTIFS(実績!$W$6:$W$505,Z$3,実績!$AC$6:$AC$505,"&lt;="&amp;$A152,実績!$AD$6:$AD$505,"&gt;"&amp;$A152,実績!$AE$6:$AE$505,"○")&gt;0,1,0))</f>
        <v/>
      </c>
      <c r="AA152">
        <f>IF(AA$4=0,0,IF(COUNTIFS(実績!$W$6:$W$505,AA$3,実績!$AC$6:$AC$505,"&lt;="&amp;$A152,実績!$AD$6:$AD$505,"&gt;"&amp;$A152,実績!$AE$6:$AE$505,"○")&gt;0,1,0))</f>
        <v/>
      </c>
      <c r="AB152">
        <f>IF(AB$4=0,0,IF(COUNTIFS(実績!$W$6:$W$505,AB$3,実績!$AC$6:$AC$505,"&lt;="&amp;$A152,実績!$AD$6:$AD$505,"&gt;"&amp;$A152,実績!$AE$6:$AE$505,"○")&gt;0,1,0))</f>
        <v/>
      </c>
      <c r="AC152">
        <f>IF(AC$4=0,0,IF(COUNTIFS(実績!$W$6:$W$505,AC$3,実績!$AC$6:$AC$505,"&lt;="&amp;$A152,実績!$AD$6:$AD$505,"&gt;"&amp;$A152,実績!$AE$6:$AE$505,"○")&gt;0,1,0))</f>
        <v/>
      </c>
      <c r="AD152">
        <f>IF(AD$4=0,0,IF(COUNTIFS(実績!$W$6:$W$505,AD$3,実績!$AC$6:$AC$505,"&lt;="&amp;$A152,実績!$AD$6:$AD$505,"&gt;"&amp;$A152,実績!$AE$6:$AE$505,"○")&gt;0,1,0))</f>
        <v/>
      </c>
      <c r="AE152">
        <f>IF(AE$4=0,0,IF(COUNTIFS(実績!$W$6:$W$505,AE$3,実績!$AC$6:$AC$505,"&lt;="&amp;$A152,実績!$AD$6:$AD$505,"&gt;"&amp;$A152,実績!$AE$6:$AE$505,"○")&gt;0,1,0))</f>
        <v/>
      </c>
      <c r="AF152">
        <f>IF(AF$4=0,0,IF(COUNTIFS(実績!$W$6:$W$505,AF$3,実績!$AC$6:$AC$505,"&lt;="&amp;$A152,実績!$AD$6:$AD$505,"&gt;"&amp;$A152,実績!$AE$6:$AE$505,"○")&gt;0,1,0))</f>
        <v/>
      </c>
      <c r="AG152">
        <f>IF(AG$4=0,0,IF(COUNTIFS(実績!$W$6:$W$505,AG$3,実績!$AC$6:$AC$505,"&lt;="&amp;$A152,実績!$AD$6:$AD$505,"&gt;"&amp;$A152,実績!$AE$6:$AE$505,"○")&gt;0,1,0))</f>
        <v/>
      </c>
      <c r="AH152">
        <f>IF(AH$4=0,0,IF(COUNTIFS(実績!$W$6:$W$505,AH$3,実績!$AC$6:$AC$505,"&lt;="&amp;$A152,実績!$AD$6:$AD$505,"&gt;"&amp;$A152,実績!$AE$6:$AE$505,"○")&gt;0,1,0))</f>
        <v/>
      </c>
      <c r="AI152">
        <f>IF(AI$4=0,0,IF(COUNTIFS(実績!$W$6:$W$505,AI$3,実績!$AC$6:$AC$505,"&lt;="&amp;$A152,実績!$AD$6:$AD$505,"&gt;"&amp;$A152,実績!$AE$6:$AE$505,"○")&gt;0,1,0))</f>
        <v/>
      </c>
      <c r="AJ152">
        <f>IF(AJ$4=0,0,IF(COUNTIFS(実績!$W$6:$W$505,AJ$3,実績!$AC$6:$AC$505,"&lt;="&amp;$A152,実績!$AD$6:$AD$505,"&gt;"&amp;$A152,実績!$AE$6:$AE$505,"○")&gt;0,1,0))</f>
        <v/>
      </c>
      <c r="AK152">
        <f>IF(AK$4=0,0,IF(COUNTIFS(実績!$W$6:$W$505,AK$3,実績!$AC$6:$AC$505,"&lt;="&amp;$A152,実績!$AD$6:$AD$505,"&gt;"&amp;$A152,実績!$AE$6:$AE$505,"○")&gt;0,1,0))</f>
        <v/>
      </c>
      <c r="AL152">
        <f>IF(AL$4=0,0,IF(COUNTIFS(実績!$W$6:$W$505,AL$3,実績!$AC$6:$AC$505,"&lt;="&amp;$A152,実績!$AD$6:$AD$505,"&gt;"&amp;$A152,実績!$AE$6:$AE$505,"○")&gt;0,1,0))</f>
        <v/>
      </c>
      <c r="AM152">
        <f>IF(AM$4=0,0,IF(COUNTIFS(実績!$W$6:$W$505,AM$3,実績!$AC$6:$AC$505,"&lt;="&amp;$A152,実績!$AD$6:$AD$505,"&gt;"&amp;$A152,実績!$AE$6:$AE$505,"○")&gt;0,1,0))</f>
        <v/>
      </c>
      <c r="AN152">
        <f>IF(AN$4=0,0,IF(COUNTIFS(実績!$W$6:$W$505,AN$3,実績!$AC$6:$AC$505,"&lt;="&amp;$A152,実績!$AD$6:$AD$505,"&gt;"&amp;$A152,実績!$AE$6:$AE$505,"○")&gt;0,1,0))</f>
        <v/>
      </c>
      <c r="AO152">
        <f>IF(AO$4=0,0,IF(COUNTIFS(実績!$W$6:$W$505,AO$3,実績!$AC$6:$AC$505,"&lt;="&amp;$A152,実績!$AD$6:$AD$505,"&gt;"&amp;$A152,実績!$AE$6:$AE$505,"○")&gt;0,1,0))</f>
        <v/>
      </c>
      <c r="AP152">
        <f>IF(AP$4=0,0,IF(COUNTIFS(実績!$W$6:$W$505,AP$3,実績!$AC$6:$AC$505,"&lt;="&amp;$A152,実績!$AD$6:$AD$505,"&gt;"&amp;$A152,実績!$AE$6:$AE$505,"○")&gt;0,1,0))</f>
        <v/>
      </c>
      <c r="AQ152">
        <f>IF(AQ$4=0,0,IF(COUNTIFS(実績!$W$6:$W$505,AQ$3,実績!$AC$6:$AC$505,"&lt;="&amp;$A152,実績!$AD$6:$AD$505,"&gt;"&amp;$A152,実績!$AE$6:$AE$505,"○")&gt;0,1,0))</f>
        <v/>
      </c>
      <c r="AR152">
        <f>IF(AR$4=0,0,IF(COUNTIFS(実績!$W$6:$W$505,AR$3,実績!$AC$6:$AC$505,"&lt;="&amp;$A152,実績!$AD$6:$AD$505,"&gt;"&amp;$A152,実績!$AE$6:$AE$505,"○")&gt;0,1,0))</f>
        <v/>
      </c>
      <c r="AS152">
        <f>IF(AS$4=0,0,IF(COUNTIFS(実績!$W$6:$W$505,AS$3,実績!$AC$6:$AC$505,"&lt;="&amp;$A152,実績!$AD$6:$AD$505,"&gt;"&amp;$A152,実績!$AE$6:$AE$505,"○")&gt;0,1,0))</f>
        <v/>
      </c>
      <c r="AT152">
        <f>IF(AT$4=0,0,IF(COUNTIFS(実績!$W$6:$W$505,AT$3,実績!$AC$6:$AC$505,"&lt;="&amp;$A152,実績!$AD$6:$AD$505,"&gt;"&amp;$A152,実績!$AE$6:$AE$505,"○")&gt;0,1,0))</f>
        <v/>
      </c>
      <c r="AU152">
        <f>IF(AU$4=0,0,IF(COUNTIFS(実績!$W$6:$W$505,AU$3,実績!$AC$6:$AC$505,"&lt;="&amp;$A152,実績!$AD$6:$AD$505,"&gt;"&amp;$A152,実績!$AE$6:$AE$505,"○")&gt;0,1,0))</f>
        <v/>
      </c>
      <c r="AV152">
        <f>IF(AV$4=0,0,IF(COUNTIFS(実績!$W$6:$W$505,AV$3,実績!$AC$6:$AC$505,"&lt;="&amp;$A152,実績!$AD$6:$AD$505,"&gt;"&amp;$A152,実績!$AE$6:$AE$505,"○")&gt;0,1,0))</f>
        <v/>
      </c>
      <c r="AW152">
        <f>IF(AW$4=0,0,IF(COUNTIFS(実績!$W$6:$W$505,AW$3,実績!$AC$6:$AC$505,"&lt;="&amp;$A152,実績!$AD$6:$AD$505,"&gt;"&amp;$A152,実績!$AE$6:$AE$505,"○")&gt;0,1,0))</f>
        <v/>
      </c>
      <c r="AX152">
        <f>IF(AX$4=0,0,IF(COUNTIFS(実績!$W$6:$W$505,AX$3,実績!$AC$6:$AC$505,"&lt;="&amp;$A152,実績!$AD$6:$AD$505,"&gt;"&amp;$A152,実績!$AE$6:$AE$505,"○")&gt;0,1,0))</f>
        <v/>
      </c>
      <c r="AY152">
        <f>IF(AY$4=0,0,IF(COUNTIFS(実績!$W$6:$W$505,AY$3,実績!$AC$6:$AC$505,"&lt;="&amp;$A152,実績!$AD$6:$AD$505,"&gt;"&amp;$A152,実績!$AE$6:$AE$505,"○")&gt;0,1,0))</f>
        <v/>
      </c>
      <c r="AZ152">
        <f>IF(AZ$4=0,0,IF(COUNTIFS(実績!$W$6:$W$505,AZ$3,実績!$AC$6:$AC$505,"&lt;="&amp;$A152,実績!$AD$6:$AD$505,"&gt;"&amp;$A152,実績!$AE$6:$AE$505,"○")&gt;0,1,0))</f>
        <v/>
      </c>
      <c r="BA152">
        <f>IF(BA$4=0,0,IF(COUNTIFS(実績!$W$6:$W$505,BA$3,実績!$AC$6:$AC$505,"&lt;="&amp;$A152,実績!$AD$6:$AD$505,"&gt;"&amp;$A152,実績!$AE$6:$AE$505,"○")&gt;0,1,0))</f>
        <v/>
      </c>
      <c r="BB152">
        <f>IF(BB$4=0,0,IF(COUNTIFS(実績!$W$6:$W$505,BB$3,実績!$AC$6:$AC$505,"&lt;="&amp;$A152,実績!$AD$6:$AD$505,"&gt;"&amp;$A152,実績!$AE$6:$AE$505,"○")&gt;0,1,0))</f>
        <v/>
      </c>
      <c r="BC152">
        <f>IF(BC$4=0,0,IF(COUNTIFS(実績!$W$6:$W$505,BC$3,実績!$AC$6:$AC$505,"&lt;="&amp;$A152,実績!$AD$6:$AD$505,"&gt;"&amp;$A152,実績!$AE$6:$AE$505,"○")&gt;0,1,0))</f>
        <v/>
      </c>
      <c r="BD152">
        <f>IF(BD$4=0,0,IF(COUNTIFS(実績!$W$6:$W$505,BD$3,実績!$AC$6:$AC$505,"&lt;="&amp;$A152,実績!$AD$6:$AD$505,"&gt;"&amp;$A152,実績!$AE$6:$AE$505,"○")&gt;0,1,0))</f>
        <v/>
      </c>
      <c r="BE152">
        <f>IF(BE$4=0,0,IF(COUNTIFS(実績!$W$6:$W$505,BE$3,実績!$AC$6:$AC$505,"&lt;="&amp;$A152,実績!$AD$6:$AD$505,"&gt;"&amp;$A152,実績!$AE$6:$AE$505,"○")&gt;0,1,0))</f>
        <v/>
      </c>
      <c r="BF152">
        <f>IF(BF$4=0,0,IF(COUNTIFS(実績!$W$6:$W$505,BF$3,実績!$AC$6:$AC$505,"&lt;="&amp;$A152,実績!$AD$6:$AD$505,"&gt;"&amp;$A152,実績!$AE$6:$AE$505,"○")&gt;0,1,0))</f>
        <v/>
      </c>
      <c r="BG152">
        <f>IF(BG$4=0,0,IF(COUNTIFS(実績!$W$6:$W$505,BG$3,実績!$AC$6:$AC$505,"&lt;="&amp;$A152,実績!$AD$6:$AD$505,"&gt;"&amp;$A152,実績!$AE$6:$AE$505,"○")&gt;0,1,0))</f>
        <v/>
      </c>
      <c r="BH152">
        <f>IF(BH$4=0,0,IF(COUNTIFS(実績!$W$6:$W$505,BH$3,実績!$AC$6:$AC$505,"&lt;="&amp;$A152,実績!$AD$6:$AD$505,"&gt;"&amp;$A152,実績!$AE$6:$AE$505,"○")&gt;0,1,0))</f>
        <v/>
      </c>
      <c r="BI152">
        <f>IF(BI$4=0,0,IF(COUNTIFS(実績!$W$6:$W$505,BI$3,実績!$AC$6:$AC$505,"&lt;="&amp;$A152,実績!$AD$6:$AD$505,"&gt;"&amp;$A152,実績!$AE$6:$AE$505,"○")&gt;0,1,0))</f>
        <v/>
      </c>
      <c r="BJ152">
        <f>IF(BJ$4=0,0,IF(COUNTIFS(実績!$W$6:$W$505,BJ$3,実績!$AC$6:$AC$505,"&lt;="&amp;$A152,実績!$AD$6:$AD$505,"&gt;"&amp;$A152,実績!$AE$6:$AE$505,"○")&gt;0,1,0))</f>
        <v/>
      </c>
      <c r="BK152">
        <f>IF(BK$4=0,0,IF(COUNTIFS(実績!$W$6:$W$505,BK$3,実績!$AC$6:$AC$505,"&lt;="&amp;$A152,実績!$AD$6:$AD$505,"&gt;"&amp;$A152,実績!$AE$6:$AE$505,"○")&gt;0,1,0))</f>
        <v/>
      </c>
      <c r="BL152">
        <f>IF(BL$4=0,0,IF(COUNTIFS(実績!$W$6:$W$505,BL$3,実績!$AC$6:$AC$505,"&lt;="&amp;$A152,実績!$AD$6:$AD$505,"&gt;"&amp;$A152,実績!$AE$6:$AE$505,"○")&gt;0,1,0))</f>
        <v/>
      </c>
      <c r="BM152">
        <f>IF(BM$4=0,0,IF(COUNTIFS(実績!$W$6:$W$505,BM$3,実績!$AC$6:$AC$505,"&lt;="&amp;$A152,実績!$AD$6:$AD$505,"&gt;"&amp;$A152,実績!$AE$6:$AE$505,"○")&gt;0,1,0))</f>
        <v/>
      </c>
      <c r="BN152">
        <f>IF(BN$4=0,0,IF(COUNTIFS(実績!$W$6:$W$505,BN$3,実績!$AC$6:$AC$505,"&lt;="&amp;$A152,実績!$AD$6:$AD$505,"&gt;"&amp;$A152,実績!$AE$6:$AE$505,"○")&gt;0,1,0))</f>
        <v/>
      </c>
      <c r="BO152">
        <f>IF(BO$4=0,0,IF(COUNTIFS(実績!$W$6:$W$505,BO$3,実績!$AC$6:$AC$505,"&lt;="&amp;$A152,実績!$AD$6:$AD$505,"&gt;"&amp;$A152,実績!$AE$6:$AE$505,"○")&gt;0,1,0))</f>
        <v/>
      </c>
      <c r="BP152">
        <f>IF(BP$4=0,0,IF(COUNTIFS(実績!$W$6:$W$505,BP$3,実績!$AC$6:$AC$505,"&lt;="&amp;$A152,実績!$AD$6:$AD$505,"&gt;"&amp;$A152,実績!$AE$6:$AE$505,"○")&gt;0,1,0))</f>
        <v/>
      </c>
      <c r="BQ152">
        <f>IF(BQ$4=0,0,IF(COUNTIFS(実績!$W$6:$W$505,BQ$3,実績!$AC$6:$AC$505,"&lt;="&amp;$A152,実績!$AD$6:$AD$505,"&gt;"&amp;$A152,実績!$AE$6:$AE$505,"○")&gt;0,1,0))</f>
        <v/>
      </c>
      <c r="BR152">
        <f>IF(BR$4=0,0,IF(COUNTIFS(実績!$W$6:$W$505,BR$3,実績!$AC$6:$AC$505,"&lt;="&amp;$A152,実績!$AD$6:$AD$505,"&gt;"&amp;$A152,実績!$AE$6:$AE$505,"○")&gt;0,1,0))</f>
        <v/>
      </c>
      <c r="BS152">
        <f>IF(BS$4=0,0,IF(COUNTIFS(実績!$W$6:$W$505,BS$3,実績!$AC$6:$AC$505,"&lt;="&amp;$A152,実績!$AD$6:$AD$505,"&gt;"&amp;$A152,実績!$AE$6:$AE$505,"○")&gt;0,1,0))</f>
        <v/>
      </c>
      <c r="BT152">
        <f>IF(BT$4=0,0,IF(COUNTIFS(実績!$W$6:$W$505,BT$3,実績!$AC$6:$AC$505,"&lt;="&amp;$A152,実績!$AD$6:$AD$505,"&gt;"&amp;$A152,実績!$AE$6:$AE$505,"○")&gt;0,1,0))</f>
        <v/>
      </c>
      <c r="BU152">
        <f>IF(BU$4=0,0,IF(COUNTIFS(実績!$W$6:$W$505,BU$3,実績!$AC$6:$AC$505,"&lt;="&amp;$A152,実績!$AD$6:$AD$505,"&gt;"&amp;$A152,実績!$AE$6:$AE$505,"○")&gt;0,1,0))</f>
        <v/>
      </c>
      <c r="BV152">
        <f>IF(BV$4=0,0,IF(COUNTIFS(実績!$W$6:$W$505,BV$3,実績!$AC$6:$AC$505,"&lt;="&amp;$A152,実績!$AD$6:$AD$505,"&gt;"&amp;$A152,実績!$AE$6:$AE$505,"○")&gt;0,1,0))</f>
        <v/>
      </c>
      <c r="BW152">
        <f>IF(BW$4=0,0,IF(COUNTIFS(実績!$W$6:$W$505,BW$3,実績!$AC$6:$AC$505,"&lt;="&amp;$A152,実績!$AD$6:$AD$505,"&gt;"&amp;$A152,実績!$AE$6:$AE$505,"○")&gt;0,1,0))</f>
        <v/>
      </c>
      <c r="BX152">
        <f>IF(BX$4=0,0,IF(COUNTIFS(実績!$W$6:$W$505,BX$3,実績!$AC$6:$AC$505,"&lt;="&amp;$A152,実績!$AD$6:$AD$505,"&gt;"&amp;$A152,実績!$AE$6:$AE$505,"○")&gt;0,1,0))</f>
        <v/>
      </c>
      <c r="BY152">
        <f>IF(BY$4=0,0,IF(COUNTIFS(実績!$W$6:$W$505,BY$3,実績!$AC$6:$AC$505,"&lt;="&amp;$A152,実績!$AD$6:$AD$505,"&gt;"&amp;$A152,実績!$AE$6:$AE$505,"○")&gt;0,1,0))</f>
        <v/>
      </c>
      <c r="BZ152">
        <f>IF(BZ$4=0,0,IF(COUNTIFS(実績!$W$6:$W$505,BZ$3,実績!$AC$6:$AC$505,"&lt;="&amp;$A152,実績!$AD$6:$AD$505,"&gt;"&amp;$A152,実績!$AE$6:$AE$505,"○")&gt;0,1,0))</f>
        <v/>
      </c>
      <c r="CA152">
        <f>IF(CA$4=0,0,IF(COUNTIFS(実績!$W$6:$W$505,CA$3,実績!$AC$6:$AC$505,"&lt;="&amp;$A152,実績!$AD$6:$AD$505,"&gt;"&amp;$A152,実績!$AE$6:$AE$505,"○")&gt;0,1,0))</f>
        <v/>
      </c>
      <c r="CB152">
        <f>IF(CB$4=0,0,IF(COUNTIFS(実績!$W$6:$W$505,CB$3,実績!$AC$6:$AC$505,"&lt;="&amp;$A152,実績!$AD$6:$AD$505,"&gt;"&amp;$A152,実績!$AE$6:$AE$505,"○")&gt;0,1,0))</f>
        <v/>
      </c>
      <c r="CC152">
        <f>IF(CC$4=0,0,IF(COUNTIFS(実績!$W$6:$W$505,CC$3,実績!$AC$6:$AC$505,"&lt;="&amp;$A152,実績!$AD$6:$AD$505,"&gt;"&amp;$A152,実績!$AE$6:$AE$505,"○")&gt;0,1,0))</f>
        <v/>
      </c>
      <c r="CD152">
        <f>IF(CD$4=0,0,IF(COUNTIFS(実績!$W$6:$W$505,CD$3,実績!$AC$6:$AC$505,"&lt;="&amp;$A152,実績!$AD$6:$AD$505,"&gt;"&amp;$A152,実績!$AE$6:$AE$505,"○")&gt;0,1,0))</f>
        <v/>
      </c>
      <c r="CE152">
        <f>IF(CE$4=0,0,IF(COUNTIFS(実績!$W$6:$W$505,CE$3,実績!$AC$6:$AC$505,"&lt;="&amp;$A152,実績!$AD$6:$AD$505,"&gt;"&amp;$A152,実績!$AE$6:$AE$505,"○")&gt;0,1,0))</f>
        <v/>
      </c>
      <c r="CF152">
        <f>IF(CF$4=0,0,IF(COUNTIFS(実績!$W$6:$W$505,CF$3,実績!$AC$6:$AC$505,"&lt;="&amp;$A152,実績!$AD$6:$AD$505,"&gt;"&amp;$A152,実績!$AE$6:$AE$505,"○")&gt;0,1,0))</f>
        <v/>
      </c>
      <c r="CG152">
        <f>IF(CG$4=0,0,IF(COUNTIFS(実績!$W$6:$W$505,CG$3,実績!$AC$6:$AC$505,"&lt;="&amp;$A152,実績!$AD$6:$AD$505,"&gt;"&amp;$A152,実績!$AE$6:$AE$505,"○")&gt;0,1,0))</f>
        <v/>
      </c>
      <c r="CH152">
        <f>IF(CH$4=0,0,IF(COUNTIFS(実績!$W$6:$W$505,CH$3,実績!$AC$6:$AC$505,"&lt;="&amp;$A152,実績!$AD$6:$AD$505,"&gt;"&amp;$A152,実績!$AE$6:$AE$505,"○")&gt;0,1,0))</f>
        <v/>
      </c>
      <c r="CI152">
        <f>IF(CI$4=0,0,IF(COUNTIFS(実績!$W$6:$W$505,CI$3,実績!$AC$6:$AC$505,"&lt;="&amp;$A152,実績!$AD$6:$AD$505,"&gt;"&amp;$A152,実績!$AE$6:$AE$505,"○")&gt;0,1,0))</f>
        <v/>
      </c>
      <c r="CJ152">
        <f>IF(CJ$4=0,0,IF(COUNTIFS(実績!$W$6:$W$505,CJ$3,実績!$AC$6:$AC$505,"&lt;="&amp;$A152,実績!$AD$6:$AD$505,"&gt;"&amp;$A152,実績!$AE$6:$AE$505,"○")&gt;0,1,0))</f>
        <v/>
      </c>
      <c r="CK152">
        <f>IF(CK$4=0,0,IF(COUNTIFS(実績!$W$6:$W$505,CK$3,実績!$AC$6:$AC$505,"&lt;="&amp;$A152,実績!$AD$6:$AD$505,"&gt;"&amp;$A152,実績!$AE$6:$AE$505,"○")&gt;0,1,0))</f>
        <v/>
      </c>
      <c r="CL152">
        <f>IF(CL$4=0,0,IF(COUNTIFS(実績!$W$6:$W$505,CL$3,実績!$AC$6:$AC$505,"&lt;="&amp;$A152,実績!$AD$6:$AD$505,"&gt;"&amp;$A152,実績!$AE$6:$AE$505,"○")&gt;0,1,0))</f>
        <v/>
      </c>
      <c r="CM152">
        <f>IF(CM$4=0,0,IF(COUNTIFS(実績!$W$6:$W$505,CM$3,実績!$AC$6:$AC$505,"&lt;="&amp;$A152,実績!$AD$6:$AD$505,"&gt;"&amp;$A152,実績!$AE$6:$AE$505,"○")&gt;0,1,0))</f>
        <v/>
      </c>
      <c r="CN152">
        <f>IF(CN$4=0,0,IF(COUNTIFS(実績!$W$6:$W$505,CN$3,実績!$AC$6:$AC$505,"&lt;="&amp;$A152,実績!$AD$6:$AD$505,"&gt;"&amp;$A152,実績!$AE$6:$AE$505,"○")&gt;0,1,0))</f>
        <v/>
      </c>
      <c r="CO152">
        <f>IF(CO$4=0,0,IF(COUNTIFS(実績!$W$6:$W$505,CO$3,実績!$AC$6:$AC$505,"&lt;="&amp;$A152,実績!$AD$6:$AD$505,"&gt;"&amp;$A152,実績!$AE$6:$AE$505,"○")&gt;0,1,0))</f>
        <v/>
      </c>
      <c r="CP152">
        <f>IF(CP$4=0,0,IF(COUNTIFS(実績!$W$6:$W$505,CP$3,実績!$AC$6:$AC$505,"&lt;="&amp;$A152,実績!$AD$6:$AD$505,"&gt;"&amp;$A152,実績!$AE$6:$AE$505,"○")&gt;0,1,0))</f>
        <v/>
      </c>
      <c r="CQ152">
        <f>IF(CQ$4=0,0,IF(COUNTIFS(実績!$W$6:$W$505,CQ$3,実績!$AC$6:$AC$505,"&lt;="&amp;$A152,実績!$AD$6:$AD$505,"&gt;"&amp;$A152,実績!$AE$6:$AE$505,"○")&gt;0,1,0))</f>
        <v/>
      </c>
      <c r="CR152">
        <f>IF(CR$4=0,0,IF(COUNTIFS(実績!$W$6:$W$505,CR$3,実績!$AC$6:$AC$505,"&lt;="&amp;$A152,実績!$AD$6:$AD$505,"&gt;"&amp;$A152,実績!$AE$6:$AE$505,"○")&gt;0,1,0))</f>
        <v/>
      </c>
      <c r="CS152">
        <f>IF(CS$4=0,0,IF(COUNTIFS(実績!$W$6:$W$505,CS$3,実績!$AC$6:$AC$505,"&lt;="&amp;$A152,実績!$AD$6:$AD$505,"&gt;"&amp;$A152,実績!$AE$6:$AE$505,"○")&gt;0,1,0))</f>
        <v/>
      </c>
      <c r="CT152">
        <f>IF(CT$4=0,0,IF(COUNTIFS(実績!$W$6:$W$505,CT$3,実績!$AC$6:$AC$505,"&lt;="&amp;$A152,実績!$AD$6:$AD$505,"&gt;"&amp;$A152,実績!$AE$6:$AE$505,"○")&gt;0,1,0))</f>
        <v/>
      </c>
      <c r="CU152">
        <f>IF(CU$4=0,0,IF(COUNTIFS(実績!$W$6:$W$505,CU$3,実績!$AC$6:$AC$505,"&lt;="&amp;$A152,実績!$AD$6:$AD$505,"&gt;"&amp;$A152,実績!$AE$6:$AE$505,"○")&gt;0,1,0))</f>
        <v/>
      </c>
      <c r="CV152">
        <f>IF(CV$4=0,0,IF(COUNTIFS(実績!$W$6:$W$505,CV$3,実績!$AC$6:$AC$505,"&lt;="&amp;$A152,実績!$AD$6:$AD$505,"&gt;"&amp;$A152,実績!$AE$6:$AE$505,"○")&gt;0,1,0))</f>
        <v/>
      </c>
      <c r="CW152">
        <f>IF(CW$4=0,0,IF(COUNTIFS(実績!$W$6:$W$505,CW$3,実績!$AC$6:$AC$505,"&lt;="&amp;$A152,実績!$AD$6:$AD$505,"&gt;"&amp;$A152,実績!$AE$6:$AE$505,"○")&gt;0,1,0))</f>
        <v/>
      </c>
      <c r="CX152">
        <f>IF(CX$4=0,0,IF(COUNTIFS(実績!$W$6:$W$505,CX$3,実績!$AC$6:$AC$505,"&lt;="&amp;$A152,実績!$AD$6:$AD$505,"&gt;"&amp;$A152,実績!$AE$6:$AE$505,"○")&gt;0,1,0))</f>
        <v/>
      </c>
      <c r="CY152">
        <f>IF(CY$4=0,0,IF(COUNTIFS(実績!$W$6:$W$505,CY$3,実績!$AC$6:$AC$505,"&lt;="&amp;$A152,実績!$AD$6:$AD$505,"&gt;"&amp;$A152,実績!$AE$6:$AE$505,"○")&gt;0,1,0))</f>
        <v/>
      </c>
      <c r="CZ152">
        <f>IF(CZ$4=0,0,IF(COUNTIFS(実績!$W$6:$W$505,CZ$3,実績!$AC$6:$AC$505,"&lt;="&amp;$A152,実績!$AD$6:$AD$505,"&gt;"&amp;$A152,実績!$AE$6:$AE$505,"○")&gt;0,1,0))</f>
        <v/>
      </c>
      <c r="DA152">
        <f>IF(DA$4=0,0,IF(COUNTIFS(実績!$W$6:$W$505,DA$3,実績!$AC$6:$AC$505,"&lt;="&amp;$A152,実績!$AD$6:$AD$505,"&gt;"&amp;$A152,実績!$AE$6:$AE$505,"○")&gt;0,1,0))</f>
        <v/>
      </c>
      <c r="DB152">
        <f>IF(DB$4=0,0,IF(COUNTIFS(実績!$W$6:$W$505,DB$3,実績!$AC$6:$AC$505,"&lt;="&amp;$A152,実績!$AD$6:$AD$505,"&gt;"&amp;$A152,実績!$AE$6:$AE$505,"○")&gt;0,1,0))</f>
        <v/>
      </c>
      <c r="DC152">
        <f>IF(DC$4=0,0,IF(COUNTIFS(実績!$W$6:$W$505,DC$3,実績!$AC$6:$AC$505,"&lt;="&amp;$A152,実績!$AD$6:$AD$505,"&gt;"&amp;$A152,実績!$AE$6:$AE$505,"○")&gt;0,1,0))</f>
        <v/>
      </c>
      <c r="DD152">
        <f>IF(DD$4=0,0,IF(COUNTIFS(実績!$W$6:$W$505,DD$3,実績!$AC$6:$AC$505,"&lt;="&amp;$A152,実績!$AD$6:$AD$505,"&gt;"&amp;$A152,実績!$AE$6:$AE$505,"○")&gt;0,1,0))</f>
        <v/>
      </c>
      <c r="DE152">
        <f>IF(DE$4=0,0,IF(COUNTIFS(実績!$W$6:$W$505,DE$3,実績!$AC$6:$AC$505,"&lt;="&amp;$A152,実績!$AD$6:$AD$505,"&gt;"&amp;$A152,実績!$AE$6:$AE$505,"○")&gt;0,1,0))</f>
        <v/>
      </c>
      <c r="DF152">
        <f>IF(DF$4=0,0,IF(COUNTIFS(実績!$W$6:$W$505,DF$3,実績!$AC$6:$AC$505,"&lt;="&amp;$A152,実績!$AD$6:$AD$505,"&gt;"&amp;$A152,実績!$AE$6:$AE$505,"○")&gt;0,1,0))</f>
        <v/>
      </c>
      <c r="DG152">
        <f>IF(DG$4=0,0,IF(COUNTIFS(実績!$W$6:$W$505,DG$3,実績!$AC$6:$AC$505,"&lt;="&amp;$A152,実績!$AD$6:$AD$505,"&gt;"&amp;$A152,実績!$AE$6:$AE$505,"○")&gt;0,1,0))</f>
        <v/>
      </c>
      <c r="DH152">
        <f>IF(DH$4=0,0,IF(COUNTIFS(実績!$W$6:$W$505,DH$3,実績!$AC$6:$AC$505,"&lt;="&amp;$A152,実績!$AD$6:$AD$505,"&gt;"&amp;$A152,実績!$AE$6:$AE$505,"○")&gt;0,1,0))</f>
        <v/>
      </c>
      <c r="DI152">
        <f>IF(DI$4=0,0,IF(COUNTIFS(実績!$W$6:$W$505,DI$3,実績!$AC$6:$AC$505,"&lt;="&amp;$A152,実績!$AD$6:$AD$505,"&gt;"&amp;$A152,実績!$AE$6:$AE$505,"○")&gt;0,1,0))</f>
        <v/>
      </c>
      <c r="DJ152">
        <f>IF(DJ$4=0,0,IF(COUNTIFS(実績!$W$6:$W$505,DJ$3,実績!$AC$6:$AC$505,"&lt;="&amp;$A152,実績!$AD$6:$AD$505,"&gt;"&amp;$A152,実績!$AE$6:$AE$505,"○")&gt;0,1,0))</f>
        <v/>
      </c>
      <c r="DK152">
        <f>IF(DK$4=0,0,IF(COUNTIFS(実績!$W$6:$W$505,DK$3,実績!$AC$6:$AC$505,"&lt;="&amp;$A152,実績!$AD$6:$AD$505,"&gt;"&amp;$A152,実績!$AE$6:$AE$505,"○")&gt;0,1,0))</f>
        <v/>
      </c>
      <c r="DL152">
        <f>IF(DL$4=0,0,IF(COUNTIFS(実績!$W$6:$W$505,DL$3,実績!$AC$6:$AC$505,"&lt;="&amp;$A152,実績!$AD$6:$AD$505,"&gt;"&amp;$A152,実績!$AE$6:$AE$505,"○")&gt;0,1,0))</f>
        <v/>
      </c>
      <c r="DM152">
        <f>IF(DM$4=0,0,IF(COUNTIFS(実績!$W$6:$W$505,DM$3,実績!$AC$6:$AC$505,"&lt;="&amp;$A152,実績!$AD$6:$AD$505,"&gt;"&amp;$A152,実績!$AE$6:$AE$505,"○")&gt;0,1,0))</f>
        <v/>
      </c>
      <c r="DN152">
        <f>IF(DN$4=0,0,IF(COUNTIFS(実績!$W$6:$W$505,DN$3,実績!$AC$6:$AC$505,"&lt;="&amp;$A152,実績!$AD$6:$AD$505,"&gt;"&amp;$A152,実績!$AE$6:$AE$505,"○")&gt;0,1,0))</f>
        <v/>
      </c>
      <c r="DO152">
        <f>IF(DO$4=0,0,IF(COUNTIFS(実績!$W$6:$W$505,DO$3,実績!$AC$6:$AC$505,"&lt;="&amp;$A152,実績!$AD$6:$AD$505,"&gt;"&amp;$A152,実績!$AE$6:$AE$505,"○")&gt;0,1,0))</f>
        <v/>
      </c>
      <c r="DP152">
        <f>IF(DP$4=0,0,IF(COUNTIFS(実績!$W$6:$W$505,DP$3,実績!$AC$6:$AC$505,"&lt;="&amp;$A152,実績!$AD$6:$AD$505,"&gt;"&amp;$A152,実績!$AE$6:$AE$505,"○")&gt;0,1,0))</f>
        <v/>
      </c>
      <c r="DQ152">
        <f>IF(DQ$4=0,0,IF(COUNTIFS(実績!$W$6:$W$505,DQ$3,実績!$AC$6:$AC$505,"&lt;="&amp;$A152,実績!$AD$6:$AD$505,"&gt;"&amp;$A152,実績!$AE$6:$AE$505,"○")&gt;0,1,0))</f>
        <v/>
      </c>
      <c r="DR152">
        <f>IF(DR$4=0,0,IF(COUNTIFS(実績!$W$6:$W$505,DR$3,実績!$AC$6:$AC$505,"&lt;="&amp;$A152,実績!$AD$6:$AD$505,"&gt;"&amp;$A152,実績!$AE$6:$AE$505,"○")&gt;0,1,0))</f>
        <v/>
      </c>
      <c r="DS152">
        <f>SUM(C152:DR152)</f>
        <v/>
      </c>
      <c r="DT152">
        <f>SUMPRODUCT((実績!$C$6:$C$505="○")*ISNUMBER(実績!$AF$6:$AF$505)*(実績!$AF$6:$AF$505&lt;=$A152)*(実績!$AG$6:$AG$505&gt;$A152))</f>
        <v/>
      </c>
      <c r="DU152">
        <f>SUMIF($C$2:$DR$2,"製鉄曳船",C152:DR152)</f>
        <v/>
      </c>
      <c r="DV152">
        <f>SUMIF($C$2:$DR$2,"西日本海運",C152:DR152)</f>
        <v/>
      </c>
    </row>
    <row r="153">
      <c r="A153" t="n">
        <v>735</v>
      </c>
      <c r="B153" s="29">
        <f>A153/1440</f>
        <v/>
      </c>
      <c r="C153">
        <f>IF(C$4=0,0,IF(COUNTIFS(実績!$W$6:$W$505,C$3,実績!$AC$6:$AC$505,"&lt;="&amp;$A153,実績!$AD$6:$AD$505,"&gt;"&amp;$A153,実績!$AE$6:$AE$505,"○")&gt;0,1,0))</f>
        <v/>
      </c>
      <c r="D153">
        <f>IF(D$4=0,0,IF(COUNTIFS(実績!$W$6:$W$505,D$3,実績!$AC$6:$AC$505,"&lt;="&amp;$A153,実績!$AD$6:$AD$505,"&gt;"&amp;$A153,実績!$AE$6:$AE$505,"○")&gt;0,1,0))</f>
        <v/>
      </c>
      <c r="E153">
        <f>IF(E$4=0,0,IF(COUNTIFS(実績!$W$6:$W$505,E$3,実績!$AC$6:$AC$505,"&lt;="&amp;$A153,実績!$AD$6:$AD$505,"&gt;"&amp;$A153,実績!$AE$6:$AE$505,"○")&gt;0,1,0))</f>
        <v/>
      </c>
      <c r="F153">
        <f>IF(F$4=0,0,IF(COUNTIFS(実績!$W$6:$W$505,F$3,実績!$AC$6:$AC$505,"&lt;="&amp;$A153,実績!$AD$6:$AD$505,"&gt;"&amp;$A153,実績!$AE$6:$AE$505,"○")&gt;0,1,0))</f>
        <v/>
      </c>
      <c r="G153">
        <f>IF(G$4=0,0,IF(COUNTIFS(実績!$W$6:$W$505,G$3,実績!$AC$6:$AC$505,"&lt;="&amp;$A153,実績!$AD$6:$AD$505,"&gt;"&amp;$A153,実績!$AE$6:$AE$505,"○")&gt;0,1,0))</f>
        <v/>
      </c>
      <c r="H153">
        <f>IF(H$4=0,0,IF(COUNTIFS(実績!$W$6:$W$505,H$3,実績!$AC$6:$AC$505,"&lt;="&amp;$A153,実績!$AD$6:$AD$505,"&gt;"&amp;$A153,実績!$AE$6:$AE$505,"○")&gt;0,1,0))</f>
        <v/>
      </c>
      <c r="I153">
        <f>IF(I$4=0,0,IF(COUNTIFS(実績!$W$6:$W$505,I$3,実績!$AC$6:$AC$505,"&lt;="&amp;$A153,実績!$AD$6:$AD$505,"&gt;"&amp;$A153,実績!$AE$6:$AE$505,"○")&gt;0,1,0))</f>
        <v/>
      </c>
      <c r="J153">
        <f>IF(J$4=0,0,IF(COUNTIFS(実績!$W$6:$W$505,J$3,実績!$AC$6:$AC$505,"&lt;="&amp;$A153,実績!$AD$6:$AD$505,"&gt;"&amp;$A153,実績!$AE$6:$AE$505,"○")&gt;0,1,0))</f>
        <v/>
      </c>
      <c r="K153">
        <f>IF(K$4=0,0,IF(COUNTIFS(実績!$W$6:$W$505,K$3,実績!$AC$6:$AC$505,"&lt;="&amp;$A153,実績!$AD$6:$AD$505,"&gt;"&amp;$A153,実績!$AE$6:$AE$505,"○")&gt;0,1,0))</f>
        <v/>
      </c>
      <c r="L153">
        <f>IF(L$4=0,0,IF(COUNTIFS(実績!$W$6:$W$505,L$3,実績!$AC$6:$AC$505,"&lt;="&amp;$A153,実績!$AD$6:$AD$505,"&gt;"&amp;$A153,実績!$AE$6:$AE$505,"○")&gt;0,1,0))</f>
        <v/>
      </c>
      <c r="M153">
        <f>IF(M$4=0,0,IF(COUNTIFS(実績!$W$6:$W$505,M$3,実績!$AC$6:$AC$505,"&lt;="&amp;$A153,実績!$AD$6:$AD$505,"&gt;"&amp;$A153,実績!$AE$6:$AE$505,"○")&gt;0,1,0))</f>
        <v/>
      </c>
      <c r="N153">
        <f>IF(N$4=0,0,IF(COUNTIFS(実績!$W$6:$W$505,N$3,実績!$AC$6:$AC$505,"&lt;="&amp;$A153,実績!$AD$6:$AD$505,"&gt;"&amp;$A153,実績!$AE$6:$AE$505,"○")&gt;0,1,0))</f>
        <v/>
      </c>
      <c r="O153">
        <f>IF(O$4=0,0,IF(COUNTIFS(実績!$W$6:$W$505,O$3,実績!$AC$6:$AC$505,"&lt;="&amp;$A153,実績!$AD$6:$AD$505,"&gt;"&amp;$A153,実績!$AE$6:$AE$505,"○")&gt;0,1,0))</f>
        <v/>
      </c>
      <c r="P153">
        <f>IF(P$4=0,0,IF(COUNTIFS(実績!$W$6:$W$505,P$3,実績!$AC$6:$AC$505,"&lt;="&amp;$A153,実績!$AD$6:$AD$505,"&gt;"&amp;$A153,実績!$AE$6:$AE$505,"○")&gt;0,1,0))</f>
        <v/>
      </c>
      <c r="Q153">
        <f>IF(Q$4=0,0,IF(COUNTIFS(実績!$W$6:$W$505,Q$3,実績!$AC$6:$AC$505,"&lt;="&amp;$A153,実績!$AD$6:$AD$505,"&gt;"&amp;$A153,実績!$AE$6:$AE$505,"○")&gt;0,1,0))</f>
        <v/>
      </c>
      <c r="R153">
        <f>IF(R$4=0,0,IF(COUNTIFS(実績!$W$6:$W$505,R$3,実績!$AC$6:$AC$505,"&lt;="&amp;$A153,実績!$AD$6:$AD$505,"&gt;"&amp;$A153,実績!$AE$6:$AE$505,"○")&gt;0,1,0))</f>
        <v/>
      </c>
      <c r="S153">
        <f>IF(S$4=0,0,IF(COUNTIFS(実績!$W$6:$W$505,S$3,実績!$AC$6:$AC$505,"&lt;="&amp;$A153,実績!$AD$6:$AD$505,"&gt;"&amp;$A153,実績!$AE$6:$AE$505,"○")&gt;0,1,0))</f>
        <v/>
      </c>
      <c r="T153">
        <f>IF(T$4=0,0,IF(COUNTIFS(実績!$W$6:$W$505,T$3,実績!$AC$6:$AC$505,"&lt;="&amp;$A153,実績!$AD$6:$AD$505,"&gt;"&amp;$A153,実績!$AE$6:$AE$505,"○")&gt;0,1,0))</f>
        <v/>
      </c>
      <c r="U153">
        <f>IF(U$4=0,0,IF(COUNTIFS(実績!$W$6:$W$505,U$3,実績!$AC$6:$AC$505,"&lt;="&amp;$A153,実績!$AD$6:$AD$505,"&gt;"&amp;$A153,実績!$AE$6:$AE$505,"○")&gt;0,1,0))</f>
        <v/>
      </c>
      <c r="V153">
        <f>IF(V$4=0,0,IF(COUNTIFS(実績!$W$6:$W$505,V$3,実績!$AC$6:$AC$505,"&lt;="&amp;$A153,実績!$AD$6:$AD$505,"&gt;"&amp;$A153,実績!$AE$6:$AE$505,"○")&gt;0,1,0))</f>
        <v/>
      </c>
      <c r="W153">
        <f>IF(W$4=0,0,IF(COUNTIFS(実績!$W$6:$W$505,W$3,実績!$AC$6:$AC$505,"&lt;="&amp;$A153,実績!$AD$6:$AD$505,"&gt;"&amp;$A153,実績!$AE$6:$AE$505,"○")&gt;0,1,0))</f>
        <v/>
      </c>
      <c r="X153">
        <f>IF(X$4=0,0,IF(COUNTIFS(実績!$W$6:$W$505,X$3,実績!$AC$6:$AC$505,"&lt;="&amp;$A153,実績!$AD$6:$AD$505,"&gt;"&amp;$A153,実績!$AE$6:$AE$505,"○")&gt;0,1,0))</f>
        <v/>
      </c>
      <c r="Y153">
        <f>IF(Y$4=0,0,IF(COUNTIFS(実績!$W$6:$W$505,Y$3,実績!$AC$6:$AC$505,"&lt;="&amp;$A153,実績!$AD$6:$AD$505,"&gt;"&amp;$A153,実績!$AE$6:$AE$505,"○")&gt;0,1,0))</f>
        <v/>
      </c>
      <c r="Z153">
        <f>IF(Z$4=0,0,IF(COUNTIFS(実績!$W$6:$W$505,Z$3,実績!$AC$6:$AC$505,"&lt;="&amp;$A153,実績!$AD$6:$AD$505,"&gt;"&amp;$A153,実績!$AE$6:$AE$505,"○")&gt;0,1,0))</f>
        <v/>
      </c>
      <c r="AA153">
        <f>IF(AA$4=0,0,IF(COUNTIFS(実績!$W$6:$W$505,AA$3,実績!$AC$6:$AC$505,"&lt;="&amp;$A153,実績!$AD$6:$AD$505,"&gt;"&amp;$A153,実績!$AE$6:$AE$505,"○")&gt;0,1,0))</f>
        <v/>
      </c>
      <c r="AB153">
        <f>IF(AB$4=0,0,IF(COUNTIFS(実績!$W$6:$W$505,AB$3,実績!$AC$6:$AC$505,"&lt;="&amp;$A153,実績!$AD$6:$AD$505,"&gt;"&amp;$A153,実績!$AE$6:$AE$505,"○")&gt;0,1,0))</f>
        <v/>
      </c>
      <c r="AC153">
        <f>IF(AC$4=0,0,IF(COUNTIFS(実績!$W$6:$W$505,AC$3,実績!$AC$6:$AC$505,"&lt;="&amp;$A153,実績!$AD$6:$AD$505,"&gt;"&amp;$A153,実績!$AE$6:$AE$505,"○")&gt;0,1,0))</f>
        <v/>
      </c>
      <c r="AD153">
        <f>IF(AD$4=0,0,IF(COUNTIFS(実績!$W$6:$W$505,AD$3,実績!$AC$6:$AC$505,"&lt;="&amp;$A153,実績!$AD$6:$AD$505,"&gt;"&amp;$A153,実績!$AE$6:$AE$505,"○")&gt;0,1,0))</f>
        <v/>
      </c>
      <c r="AE153">
        <f>IF(AE$4=0,0,IF(COUNTIFS(実績!$W$6:$W$505,AE$3,実績!$AC$6:$AC$505,"&lt;="&amp;$A153,実績!$AD$6:$AD$505,"&gt;"&amp;$A153,実績!$AE$6:$AE$505,"○")&gt;0,1,0))</f>
        <v/>
      </c>
      <c r="AF153">
        <f>IF(AF$4=0,0,IF(COUNTIFS(実績!$W$6:$W$505,AF$3,実績!$AC$6:$AC$505,"&lt;="&amp;$A153,実績!$AD$6:$AD$505,"&gt;"&amp;$A153,実績!$AE$6:$AE$505,"○")&gt;0,1,0))</f>
        <v/>
      </c>
      <c r="AG153">
        <f>IF(AG$4=0,0,IF(COUNTIFS(実績!$W$6:$W$505,AG$3,実績!$AC$6:$AC$505,"&lt;="&amp;$A153,実績!$AD$6:$AD$505,"&gt;"&amp;$A153,実績!$AE$6:$AE$505,"○")&gt;0,1,0))</f>
        <v/>
      </c>
      <c r="AH153">
        <f>IF(AH$4=0,0,IF(COUNTIFS(実績!$W$6:$W$505,AH$3,実績!$AC$6:$AC$505,"&lt;="&amp;$A153,実績!$AD$6:$AD$505,"&gt;"&amp;$A153,実績!$AE$6:$AE$505,"○")&gt;0,1,0))</f>
        <v/>
      </c>
      <c r="AI153">
        <f>IF(AI$4=0,0,IF(COUNTIFS(実績!$W$6:$W$505,AI$3,実績!$AC$6:$AC$505,"&lt;="&amp;$A153,実績!$AD$6:$AD$505,"&gt;"&amp;$A153,実績!$AE$6:$AE$505,"○")&gt;0,1,0))</f>
        <v/>
      </c>
      <c r="AJ153">
        <f>IF(AJ$4=0,0,IF(COUNTIFS(実績!$W$6:$W$505,AJ$3,実績!$AC$6:$AC$505,"&lt;="&amp;$A153,実績!$AD$6:$AD$505,"&gt;"&amp;$A153,実績!$AE$6:$AE$505,"○")&gt;0,1,0))</f>
        <v/>
      </c>
      <c r="AK153">
        <f>IF(AK$4=0,0,IF(COUNTIFS(実績!$W$6:$W$505,AK$3,実績!$AC$6:$AC$505,"&lt;="&amp;$A153,実績!$AD$6:$AD$505,"&gt;"&amp;$A153,実績!$AE$6:$AE$505,"○")&gt;0,1,0))</f>
        <v/>
      </c>
      <c r="AL153">
        <f>IF(AL$4=0,0,IF(COUNTIFS(実績!$W$6:$W$505,AL$3,実績!$AC$6:$AC$505,"&lt;="&amp;$A153,実績!$AD$6:$AD$505,"&gt;"&amp;$A153,実績!$AE$6:$AE$505,"○")&gt;0,1,0))</f>
        <v/>
      </c>
      <c r="AM153">
        <f>IF(AM$4=0,0,IF(COUNTIFS(実績!$W$6:$W$505,AM$3,実績!$AC$6:$AC$505,"&lt;="&amp;$A153,実績!$AD$6:$AD$505,"&gt;"&amp;$A153,実績!$AE$6:$AE$505,"○")&gt;0,1,0))</f>
        <v/>
      </c>
      <c r="AN153">
        <f>IF(AN$4=0,0,IF(COUNTIFS(実績!$W$6:$W$505,AN$3,実績!$AC$6:$AC$505,"&lt;="&amp;$A153,実績!$AD$6:$AD$505,"&gt;"&amp;$A153,実績!$AE$6:$AE$505,"○")&gt;0,1,0))</f>
        <v/>
      </c>
      <c r="AO153">
        <f>IF(AO$4=0,0,IF(COUNTIFS(実績!$W$6:$W$505,AO$3,実績!$AC$6:$AC$505,"&lt;="&amp;$A153,実績!$AD$6:$AD$505,"&gt;"&amp;$A153,実績!$AE$6:$AE$505,"○")&gt;0,1,0))</f>
        <v/>
      </c>
      <c r="AP153">
        <f>IF(AP$4=0,0,IF(COUNTIFS(実績!$W$6:$W$505,AP$3,実績!$AC$6:$AC$505,"&lt;="&amp;$A153,実績!$AD$6:$AD$505,"&gt;"&amp;$A153,実績!$AE$6:$AE$505,"○")&gt;0,1,0))</f>
        <v/>
      </c>
      <c r="AQ153">
        <f>IF(AQ$4=0,0,IF(COUNTIFS(実績!$W$6:$W$505,AQ$3,実績!$AC$6:$AC$505,"&lt;="&amp;$A153,実績!$AD$6:$AD$505,"&gt;"&amp;$A153,実績!$AE$6:$AE$505,"○")&gt;0,1,0))</f>
        <v/>
      </c>
      <c r="AR153">
        <f>IF(AR$4=0,0,IF(COUNTIFS(実績!$W$6:$W$505,AR$3,実績!$AC$6:$AC$505,"&lt;="&amp;$A153,実績!$AD$6:$AD$505,"&gt;"&amp;$A153,実績!$AE$6:$AE$505,"○")&gt;0,1,0))</f>
        <v/>
      </c>
      <c r="AS153">
        <f>IF(AS$4=0,0,IF(COUNTIFS(実績!$W$6:$W$505,AS$3,実績!$AC$6:$AC$505,"&lt;="&amp;$A153,実績!$AD$6:$AD$505,"&gt;"&amp;$A153,実績!$AE$6:$AE$505,"○")&gt;0,1,0))</f>
        <v/>
      </c>
      <c r="AT153">
        <f>IF(AT$4=0,0,IF(COUNTIFS(実績!$W$6:$W$505,AT$3,実績!$AC$6:$AC$505,"&lt;="&amp;$A153,実績!$AD$6:$AD$505,"&gt;"&amp;$A153,実績!$AE$6:$AE$505,"○")&gt;0,1,0))</f>
        <v/>
      </c>
      <c r="AU153">
        <f>IF(AU$4=0,0,IF(COUNTIFS(実績!$W$6:$W$505,AU$3,実績!$AC$6:$AC$505,"&lt;="&amp;$A153,実績!$AD$6:$AD$505,"&gt;"&amp;$A153,実績!$AE$6:$AE$505,"○")&gt;0,1,0))</f>
        <v/>
      </c>
      <c r="AV153">
        <f>IF(AV$4=0,0,IF(COUNTIFS(実績!$W$6:$W$505,AV$3,実績!$AC$6:$AC$505,"&lt;="&amp;$A153,実績!$AD$6:$AD$505,"&gt;"&amp;$A153,実績!$AE$6:$AE$505,"○")&gt;0,1,0))</f>
        <v/>
      </c>
      <c r="AW153">
        <f>IF(AW$4=0,0,IF(COUNTIFS(実績!$W$6:$W$505,AW$3,実績!$AC$6:$AC$505,"&lt;="&amp;$A153,実績!$AD$6:$AD$505,"&gt;"&amp;$A153,実績!$AE$6:$AE$505,"○")&gt;0,1,0))</f>
        <v/>
      </c>
      <c r="AX153">
        <f>IF(AX$4=0,0,IF(COUNTIFS(実績!$W$6:$W$505,AX$3,実績!$AC$6:$AC$505,"&lt;="&amp;$A153,実績!$AD$6:$AD$505,"&gt;"&amp;$A153,実績!$AE$6:$AE$505,"○")&gt;0,1,0))</f>
        <v/>
      </c>
      <c r="AY153">
        <f>IF(AY$4=0,0,IF(COUNTIFS(実績!$W$6:$W$505,AY$3,実績!$AC$6:$AC$505,"&lt;="&amp;$A153,実績!$AD$6:$AD$505,"&gt;"&amp;$A153,実績!$AE$6:$AE$505,"○")&gt;0,1,0))</f>
        <v/>
      </c>
      <c r="AZ153">
        <f>IF(AZ$4=0,0,IF(COUNTIFS(実績!$W$6:$W$505,AZ$3,実績!$AC$6:$AC$505,"&lt;="&amp;$A153,実績!$AD$6:$AD$505,"&gt;"&amp;$A153,実績!$AE$6:$AE$505,"○")&gt;0,1,0))</f>
        <v/>
      </c>
      <c r="BA153">
        <f>IF(BA$4=0,0,IF(COUNTIFS(実績!$W$6:$W$505,BA$3,実績!$AC$6:$AC$505,"&lt;="&amp;$A153,実績!$AD$6:$AD$505,"&gt;"&amp;$A153,実績!$AE$6:$AE$505,"○")&gt;0,1,0))</f>
        <v/>
      </c>
      <c r="BB153">
        <f>IF(BB$4=0,0,IF(COUNTIFS(実績!$W$6:$W$505,BB$3,実績!$AC$6:$AC$505,"&lt;="&amp;$A153,実績!$AD$6:$AD$505,"&gt;"&amp;$A153,実績!$AE$6:$AE$505,"○")&gt;0,1,0))</f>
        <v/>
      </c>
      <c r="BC153">
        <f>IF(BC$4=0,0,IF(COUNTIFS(実績!$W$6:$W$505,BC$3,実績!$AC$6:$AC$505,"&lt;="&amp;$A153,実績!$AD$6:$AD$505,"&gt;"&amp;$A153,実績!$AE$6:$AE$505,"○")&gt;0,1,0))</f>
        <v/>
      </c>
      <c r="BD153">
        <f>IF(BD$4=0,0,IF(COUNTIFS(実績!$W$6:$W$505,BD$3,実績!$AC$6:$AC$505,"&lt;="&amp;$A153,実績!$AD$6:$AD$505,"&gt;"&amp;$A153,実績!$AE$6:$AE$505,"○")&gt;0,1,0))</f>
        <v/>
      </c>
      <c r="BE153">
        <f>IF(BE$4=0,0,IF(COUNTIFS(実績!$W$6:$W$505,BE$3,実績!$AC$6:$AC$505,"&lt;="&amp;$A153,実績!$AD$6:$AD$505,"&gt;"&amp;$A153,実績!$AE$6:$AE$505,"○")&gt;0,1,0))</f>
        <v/>
      </c>
      <c r="BF153">
        <f>IF(BF$4=0,0,IF(COUNTIFS(実績!$W$6:$W$505,BF$3,実績!$AC$6:$AC$505,"&lt;="&amp;$A153,実績!$AD$6:$AD$505,"&gt;"&amp;$A153,実績!$AE$6:$AE$505,"○")&gt;0,1,0))</f>
        <v/>
      </c>
      <c r="BG153">
        <f>IF(BG$4=0,0,IF(COUNTIFS(実績!$W$6:$W$505,BG$3,実績!$AC$6:$AC$505,"&lt;="&amp;$A153,実績!$AD$6:$AD$505,"&gt;"&amp;$A153,実績!$AE$6:$AE$505,"○")&gt;0,1,0))</f>
        <v/>
      </c>
      <c r="BH153">
        <f>IF(BH$4=0,0,IF(COUNTIFS(実績!$W$6:$W$505,BH$3,実績!$AC$6:$AC$505,"&lt;="&amp;$A153,実績!$AD$6:$AD$505,"&gt;"&amp;$A153,実績!$AE$6:$AE$505,"○")&gt;0,1,0))</f>
        <v/>
      </c>
      <c r="BI153">
        <f>IF(BI$4=0,0,IF(COUNTIFS(実績!$W$6:$W$505,BI$3,実績!$AC$6:$AC$505,"&lt;="&amp;$A153,実績!$AD$6:$AD$505,"&gt;"&amp;$A153,実績!$AE$6:$AE$505,"○")&gt;0,1,0))</f>
        <v/>
      </c>
      <c r="BJ153">
        <f>IF(BJ$4=0,0,IF(COUNTIFS(実績!$W$6:$W$505,BJ$3,実績!$AC$6:$AC$505,"&lt;="&amp;$A153,実績!$AD$6:$AD$505,"&gt;"&amp;$A153,実績!$AE$6:$AE$505,"○")&gt;0,1,0))</f>
        <v/>
      </c>
      <c r="BK153">
        <f>IF(BK$4=0,0,IF(COUNTIFS(実績!$W$6:$W$505,BK$3,実績!$AC$6:$AC$505,"&lt;="&amp;$A153,実績!$AD$6:$AD$505,"&gt;"&amp;$A153,実績!$AE$6:$AE$505,"○")&gt;0,1,0))</f>
        <v/>
      </c>
      <c r="BL153">
        <f>IF(BL$4=0,0,IF(COUNTIFS(実績!$W$6:$W$505,BL$3,実績!$AC$6:$AC$505,"&lt;="&amp;$A153,実績!$AD$6:$AD$505,"&gt;"&amp;$A153,実績!$AE$6:$AE$505,"○")&gt;0,1,0))</f>
        <v/>
      </c>
      <c r="BM153">
        <f>IF(BM$4=0,0,IF(COUNTIFS(実績!$W$6:$W$505,BM$3,実績!$AC$6:$AC$505,"&lt;="&amp;$A153,実績!$AD$6:$AD$505,"&gt;"&amp;$A153,実績!$AE$6:$AE$505,"○")&gt;0,1,0))</f>
        <v/>
      </c>
      <c r="BN153">
        <f>IF(BN$4=0,0,IF(COUNTIFS(実績!$W$6:$W$505,BN$3,実績!$AC$6:$AC$505,"&lt;="&amp;$A153,実績!$AD$6:$AD$505,"&gt;"&amp;$A153,実績!$AE$6:$AE$505,"○")&gt;0,1,0))</f>
        <v/>
      </c>
      <c r="BO153">
        <f>IF(BO$4=0,0,IF(COUNTIFS(実績!$W$6:$W$505,BO$3,実績!$AC$6:$AC$505,"&lt;="&amp;$A153,実績!$AD$6:$AD$505,"&gt;"&amp;$A153,実績!$AE$6:$AE$505,"○")&gt;0,1,0))</f>
        <v/>
      </c>
      <c r="BP153">
        <f>IF(BP$4=0,0,IF(COUNTIFS(実績!$W$6:$W$505,BP$3,実績!$AC$6:$AC$505,"&lt;="&amp;$A153,実績!$AD$6:$AD$505,"&gt;"&amp;$A153,実績!$AE$6:$AE$505,"○")&gt;0,1,0))</f>
        <v/>
      </c>
      <c r="BQ153">
        <f>IF(BQ$4=0,0,IF(COUNTIFS(実績!$W$6:$W$505,BQ$3,実績!$AC$6:$AC$505,"&lt;="&amp;$A153,実績!$AD$6:$AD$505,"&gt;"&amp;$A153,実績!$AE$6:$AE$505,"○")&gt;0,1,0))</f>
        <v/>
      </c>
      <c r="BR153">
        <f>IF(BR$4=0,0,IF(COUNTIFS(実績!$W$6:$W$505,BR$3,実績!$AC$6:$AC$505,"&lt;="&amp;$A153,実績!$AD$6:$AD$505,"&gt;"&amp;$A153,実績!$AE$6:$AE$505,"○")&gt;0,1,0))</f>
        <v/>
      </c>
      <c r="BS153">
        <f>IF(BS$4=0,0,IF(COUNTIFS(実績!$W$6:$W$505,BS$3,実績!$AC$6:$AC$505,"&lt;="&amp;$A153,実績!$AD$6:$AD$505,"&gt;"&amp;$A153,実績!$AE$6:$AE$505,"○")&gt;0,1,0))</f>
        <v/>
      </c>
      <c r="BT153">
        <f>IF(BT$4=0,0,IF(COUNTIFS(実績!$W$6:$W$505,BT$3,実績!$AC$6:$AC$505,"&lt;="&amp;$A153,実績!$AD$6:$AD$505,"&gt;"&amp;$A153,実績!$AE$6:$AE$505,"○")&gt;0,1,0))</f>
        <v/>
      </c>
      <c r="BU153">
        <f>IF(BU$4=0,0,IF(COUNTIFS(実績!$W$6:$W$505,BU$3,実績!$AC$6:$AC$505,"&lt;="&amp;$A153,実績!$AD$6:$AD$505,"&gt;"&amp;$A153,実績!$AE$6:$AE$505,"○")&gt;0,1,0))</f>
        <v/>
      </c>
      <c r="BV153">
        <f>IF(BV$4=0,0,IF(COUNTIFS(実績!$W$6:$W$505,BV$3,実績!$AC$6:$AC$505,"&lt;="&amp;$A153,実績!$AD$6:$AD$505,"&gt;"&amp;$A153,実績!$AE$6:$AE$505,"○")&gt;0,1,0))</f>
        <v/>
      </c>
      <c r="BW153">
        <f>IF(BW$4=0,0,IF(COUNTIFS(実績!$W$6:$W$505,BW$3,実績!$AC$6:$AC$505,"&lt;="&amp;$A153,実績!$AD$6:$AD$505,"&gt;"&amp;$A153,実績!$AE$6:$AE$505,"○")&gt;0,1,0))</f>
        <v/>
      </c>
      <c r="BX153">
        <f>IF(BX$4=0,0,IF(COUNTIFS(実績!$W$6:$W$505,BX$3,実績!$AC$6:$AC$505,"&lt;="&amp;$A153,実績!$AD$6:$AD$505,"&gt;"&amp;$A153,実績!$AE$6:$AE$505,"○")&gt;0,1,0))</f>
        <v/>
      </c>
      <c r="BY153">
        <f>IF(BY$4=0,0,IF(COUNTIFS(実績!$W$6:$W$505,BY$3,実績!$AC$6:$AC$505,"&lt;="&amp;$A153,実績!$AD$6:$AD$505,"&gt;"&amp;$A153,実績!$AE$6:$AE$505,"○")&gt;0,1,0))</f>
        <v/>
      </c>
      <c r="BZ153">
        <f>IF(BZ$4=0,0,IF(COUNTIFS(実績!$W$6:$W$505,BZ$3,実績!$AC$6:$AC$505,"&lt;="&amp;$A153,実績!$AD$6:$AD$505,"&gt;"&amp;$A153,実績!$AE$6:$AE$505,"○")&gt;0,1,0))</f>
        <v/>
      </c>
      <c r="CA153">
        <f>IF(CA$4=0,0,IF(COUNTIFS(実績!$W$6:$W$505,CA$3,実績!$AC$6:$AC$505,"&lt;="&amp;$A153,実績!$AD$6:$AD$505,"&gt;"&amp;$A153,実績!$AE$6:$AE$505,"○")&gt;0,1,0))</f>
        <v/>
      </c>
      <c r="CB153">
        <f>IF(CB$4=0,0,IF(COUNTIFS(実績!$W$6:$W$505,CB$3,実績!$AC$6:$AC$505,"&lt;="&amp;$A153,実績!$AD$6:$AD$505,"&gt;"&amp;$A153,実績!$AE$6:$AE$505,"○")&gt;0,1,0))</f>
        <v/>
      </c>
      <c r="CC153">
        <f>IF(CC$4=0,0,IF(COUNTIFS(実績!$W$6:$W$505,CC$3,実績!$AC$6:$AC$505,"&lt;="&amp;$A153,実績!$AD$6:$AD$505,"&gt;"&amp;$A153,実績!$AE$6:$AE$505,"○")&gt;0,1,0))</f>
        <v/>
      </c>
      <c r="CD153">
        <f>IF(CD$4=0,0,IF(COUNTIFS(実績!$W$6:$W$505,CD$3,実績!$AC$6:$AC$505,"&lt;="&amp;$A153,実績!$AD$6:$AD$505,"&gt;"&amp;$A153,実績!$AE$6:$AE$505,"○")&gt;0,1,0))</f>
        <v/>
      </c>
      <c r="CE153">
        <f>IF(CE$4=0,0,IF(COUNTIFS(実績!$W$6:$W$505,CE$3,実績!$AC$6:$AC$505,"&lt;="&amp;$A153,実績!$AD$6:$AD$505,"&gt;"&amp;$A153,実績!$AE$6:$AE$505,"○")&gt;0,1,0))</f>
        <v/>
      </c>
      <c r="CF153">
        <f>IF(CF$4=0,0,IF(COUNTIFS(実績!$W$6:$W$505,CF$3,実績!$AC$6:$AC$505,"&lt;="&amp;$A153,実績!$AD$6:$AD$505,"&gt;"&amp;$A153,実績!$AE$6:$AE$505,"○")&gt;0,1,0))</f>
        <v/>
      </c>
      <c r="CG153">
        <f>IF(CG$4=0,0,IF(COUNTIFS(実績!$W$6:$W$505,CG$3,実績!$AC$6:$AC$505,"&lt;="&amp;$A153,実績!$AD$6:$AD$505,"&gt;"&amp;$A153,実績!$AE$6:$AE$505,"○")&gt;0,1,0))</f>
        <v/>
      </c>
      <c r="CH153">
        <f>IF(CH$4=0,0,IF(COUNTIFS(実績!$W$6:$W$505,CH$3,実績!$AC$6:$AC$505,"&lt;="&amp;$A153,実績!$AD$6:$AD$505,"&gt;"&amp;$A153,実績!$AE$6:$AE$505,"○")&gt;0,1,0))</f>
        <v/>
      </c>
      <c r="CI153">
        <f>IF(CI$4=0,0,IF(COUNTIFS(実績!$W$6:$W$505,CI$3,実績!$AC$6:$AC$505,"&lt;="&amp;$A153,実績!$AD$6:$AD$505,"&gt;"&amp;$A153,実績!$AE$6:$AE$505,"○")&gt;0,1,0))</f>
        <v/>
      </c>
      <c r="CJ153">
        <f>IF(CJ$4=0,0,IF(COUNTIFS(実績!$W$6:$W$505,CJ$3,実績!$AC$6:$AC$505,"&lt;="&amp;$A153,実績!$AD$6:$AD$505,"&gt;"&amp;$A153,実績!$AE$6:$AE$505,"○")&gt;0,1,0))</f>
        <v/>
      </c>
      <c r="CK153">
        <f>IF(CK$4=0,0,IF(COUNTIFS(実績!$W$6:$W$505,CK$3,実績!$AC$6:$AC$505,"&lt;="&amp;$A153,実績!$AD$6:$AD$505,"&gt;"&amp;$A153,実績!$AE$6:$AE$505,"○")&gt;0,1,0))</f>
        <v/>
      </c>
      <c r="CL153">
        <f>IF(CL$4=0,0,IF(COUNTIFS(実績!$W$6:$W$505,CL$3,実績!$AC$6:$AC$505,"&lt;="&amp;$A153,実績!$AD$6:$AD$505,"&gt;"&amp;$A153,実績!$AE$6:$AE$505,"○")&gt;0,1,0))</f>
        <v/>
      </c>
      <c r="CM153">
        <f>IF(CM$4=0,0,IF(COUNTIFS(実績!$W$6:$W$505,CM$3,実績!$AC$6:$AC$505,"&lt;="&amp;$A153,実績!$AD$6:$AD$505,"&gt;"&amp;$A153,実績!$AE$6:$AE$505,"○")&gt;0,1,0))</f>
        <v/>
      </c>
      <c r="CN153">
        <f>IF(CN$4=0,0,IF(COUNTIFS(実績!$W$6:$W$505,CN$3,実績!$AC$6:$AC$505,"&lt;="&amp;$A153,実績!$AD$6:$AD$505,"&gt;"&amp;$A153,実績!$AE$6:$AE$505,"○")&gt;0,1,0))</f>
        <v/>
      </c>
      <c r="CO153">
        <f>IF(CO$4=0,0,IF(COUNTIFS(実績!$W$6:$W$505,CO$3,実績!$AC$6:$AC$505,"&lt;="&amp;$A153,実績!$AD$6:$AD$505,"&gt;"&amp;$A153,実績!$AE$6:$AE$505,"○")&gt;0,1,0))</f>
        <v/>
      </c>
      <c r="CP153">
        <f>IF(CP$4=0,0,IF(COUNTIFS(実績!$W$6:$W$505,CP$3,実績!$AC$6:$AC$505,"&lt;="&amp;$A153,実績!$AD$6:$AD$505,"&gt;"&amp;$A153,実績!$AE$6:$AE$505,"○")&gt;0,1,0))</f>
        <v/>
      </c>
      <c r="CQ153">
        <f>IF(CQ$4=0,0,IF(COUNTIFS(実績!$W$6:$W$505,CQ$3,実績!$AC$6:$AC$505,"&lt;="&amp;$A153,実績!$AD$6:$AD$505,"&gt;"&amp;$A153,実績!$AE$6:$AE$505,"○")&gt;0,1,0))</f>
        <v/>
      </c>
      <c r="CR153">
        <f>IF(CR$4=0,0,IF(COUNTIFS(実績!$W$6:$W$505,CR$3,実績!$AC$6:$AC$505,"&lt;="&amp;$A153,実績!$AD$6:$AD$505,"&gt;"&amp;$A153,実績!$AE$6:$AE$505,"○")&gt;0,1,0))</f>
        <v/>
      </c>
      <c r="CS153">
        <f>IF(CS$4=0,0,IF(COUNTIFS(実績!$W$6:$W$505,CS$3,実績!$AC$6:$AC$505,"&lt;="&amp;$A153,実績!$AD$6:$AD$505,"&gt;"&amp;$A153,実績!$AE$6:$AE$505,"○")&gt;0,1,0))</f>
        <v/>
      </c>
      <c r="CT153">
        <f>IF(CT$4=0,0,IF(COUNTIFS(実績!$W$6:$W$505,CT$3,実績!$AC$6:$AC$505,"&lt;="&amp;$A153,実績!$AD$6:$AD$505,"&gt;"&amp;$A153,実績!$AE$6:$AE$505,"○")&gt;0,1,0))</f>
        <v/>
      </c>
      <c r="CU153">
        <f>IF(CU$4=0,0,IF(COUNTIFS(実績!$W$6:$W$505,CU$3,実績!$AC$6:$AC$505,"&lt;="&amp;$A153,実績!$AD$6:$AD$505,"&gt;"&amp;$A153,実績!$AE$6:$AE$505,"○")&gt;0,1,0))</f>
        <v/>
      </c>
      <c r="CV153">
        <f>IF(CV$4=0,0,IF(COUNTIFS(実績!$W$6:$W$505,CV$3,実績!$AC$6:$AC$505,"&lt;="&amp;$A153,実績!$AD$6:$AD$505,"&gt;"&amp;$A153,実績!$AE$6:$AE$505,"○")&gt;0,1,0))</f>
        <v/>
      </c>
      <c r="CW153">
        <f>IF(CW$4=0,0,IF(COUNTIFS(実績!$W$6:$W$505,CW$3,実績!$AC$6:$AC$505,"&lt;="&amp;$A153,実績!$AD$6:$AD$505,"&gt;"&amp;$A153,実績!$AE$6:$AE$505,"○")&gt;0,1,0))</f>
        <v/>
      </c>
      <c r="CX153">
        <f>IF(CX$4=0,0,IF(COUNTIFS(実績!$W$6:$W$505,CX$3,実績!$AC$6:$AC$505,"&lt;="&amp;$A153,実績!$AD$6:$AD$505,"&gt;"&amp;$A153,実績!$AE$6:$AE$505,"○")&gt;0,1,0))</f>
        <v/>
      </c>
      <c r="CY153">
        <f>IF(CY$4=0,0,IF(COUNTIFS(実績!$W$6:$W$505,CY$3,実績!$AC$6:$AC$505,"&lt;="&amp;$A153,実績!$AD$6:$AD$505,"&gt;"&amp;$A153,実績!$AE$6:$AE$505,"○")&gt;0,1,0))</f>
        <v/>
      </c>
      <c r="CZ153">
        <f>IF(CZ$4=0,0,IF(COUNTIFS(実績!$W$6:$W$505,CZ$3,実績!$AC$6:$AC$505,"&lt;="&amp;$A153,実績!$AD$6:$AD$505,"&gt;"&amp;$A153,実績!$AE$6:$AE$505,"○")&gt;0,1,0))</f>
        <v/>
      </c>
      <c r="DA153">
        <f>IF(DA$4=0,0,IF(COUNTIFS(実績!$W$6:$W$505,DA$3,実績!$AC$6:$AC$505,"&lt;="&amp;$A153,実績!$AD$6:$AD$505,"&gt;"&amp;$A153,実績!$AE$6:$AE$505,"○")&gt;0,1,0))</f>
        <v/>
      </c>
      <c r="DB153">
        <f>IF(DB$4=0,0,IF(COUNTIFS(実績!$W$6:$W$505,DB$3,実績!$AC$6:$AC$505,"&lt;="&amp;$A153,実績!$AD$6:$AD$505,"&gt;"&amp;$A153,実績!$AE$6:$AE$505,"○")&gt;0,1,0))</f>
        <v/>
      </c>
      <c r="DC153">
        <f>IF(DC$4=0,0,IF(COUNTIFS(実績!$W$6:$W$505,DC$3,実績!$AC$6:$AC$505,"&lt;="&amp;$A153,実績!$AD$6:$AD$505,"&gt;"&amp;$A153,実績!$AE$6:$AE$505,"○")&gt;0,1,0))</f>
        <v/>
      </c>
      <c r="DD153">
        <f>IF(DD$4=0,0,IF(COUNTIFS(実績!$W$6:$W$505,DD$3,実績!$AC$6:$AC$505,"&lt;="&amp;$A153,実績!$AD$6:$AD$505,"&gt;"&amp;$A153,実績!$AE$6:$AE$505,"○")&gt;0,1,0))</f>
        <v/>
      </c>
      <c r="DE153">
        <f>IF(DE$4=0,0,IF(COUNTIFS(実績!$W$6:$W$505,DE$3,実績!$AC$6:$AC$505,"&lt;="&amp;$A153,実績!$AD$6:$AD$505,"&gt;"&amp;$A153,実績!$AE$6:$AE$505,"○")&gt;0,1,0))</f>
        <v/>
      </c>
      <c r="DF153">
        <f>IF(DF$4=0,0,IF(COUNTIFS(実績!$W$6:$W$505,DF$3,実績!$AC$6:$AC$505,"&lt;="&amp;$A153,実績!$AD$6:$AD$505,"&gt;"&amp;$A153,実績!$AE$6:$AE$505,"○")&gt;0,1,0))</f>
        <v/>
      </c>
      <c r="DG153">
        <f>IF(DG$4=0,0,IF(COUNTIFS(実績!$W$6:$W$505,DG$3,実績!$AC$6:$AC$505,"&lt;="&amp;$A153,実績!$AD$6:$AD$505,"&gt;"&amp;$A153,実績!$AE$6:$AE$505,"○")&gt;0,1,0))</f>
        <v/>
      </c>
      <c r="DH153">
        <f>IF(DH$4=0,0,IF(COUNTIFS(実績!$W$6:$W$505,DH$3,実績!$AC$6:$AC$505,"&lt;="&amp;$A153,実績!$AD$6:$AD$505,"&gt;"&amp;$A153,実績!$AE$6:$AE$505,"○")&gt;0,1,0))</f>
        <v/>
      </c>
      <c r="DI153">
        <f>IF(DI$4=0,0,IF(COUNTIFS(実績!$W$6:$W$505,DI$3,実績!$AC$6:$AC$505,"&lt;="&amp;$A153,実績!$AD$6:$AD$505,"&gt;"&amp;$A153,実績!$AE$6:$AE$505,"○")&gt;0,1,0))</f>
        <v/>
      </c>
      <c r="DJ153">
        <f>IF(DJ$4=0,0,IF(COUNTIFS(実績!$W$6:$W$505,DJ$3,実績!$AC$6:$AC$505,"&lt;="&amp;$A153,実績!$AD$6:$AD$505,"&gt;"&amp;$A153,実績!$AE$6:$AE$505,"○")&gt;0,1,0))</f>
        <v/>
      </c>
      <c r="DK153">
        <f>IF(DK$4=0,0,IF(COUNTIFS(実績!$W$6:$W$505,DK$3,実績!$AC$6:$AC$505,"&lt;="&amp;$A153,実績!$AD$6:$AD$505,"&gt;"&amp;$A153,実績!$AE$6:$AE$505,"○")&gt;0,1,0))</f>
        <v/>
      </c>
      <c r="DL153">
        <f>IF(DL$4=0,0,IF(COUNTIFS(実績!$W$6:$W$505,DL$3,実績!$AC$6:$AC$505,"&lt;="&amp;$A153,実績!$AD$6:$AD$505,"&gt;"&amp;$A153,実績!$AE$6:$AE$505,"○")&gt;0,1,0))</f>
        <v/>
      </c>
      <c r="DM153">
        <f>IF(DM$4=0,0,IF(COUNTIFS(実績!$W$6:$W$505,DM$3,実績!$AC$6:$AC$505,"&lt;="&amp;$A153,実績!$AD$6:$AD$505,"&gt;"&amp;$A153,実績!$AE$6:$AE$505,"○")&gt;0,1,0))</f>
        <v/>
      </c>
      <c r="DN153">
        <f>IF(DN$4=0,0,IF(COUNTIFS(実績!$W$6:$W$505,DN$3,実績!$AC$6:$AC$505,"&lt;="&amp;$A153,実績!$AD$6:$AD$505,"&gt;"&amp;$A153,実績!$AE$6:$AE$505,"○")&gt;0,1,0))</f>
        <v/>
      </c>
      <c r="DO153">
        <f>IF(DO$4=0,0,IF(COUNTIFS(実績!$W$6:$W$505,DO$3,実績!$AC$6:$AC$505,"&lt;="&amp;$A153,実績!$AD$6:$AD$505,"&gt;"&amp;$A153,実績!$AE$6:$AE$505,"○")&gt;0,1,0))</f>
        <v/>
      </c>
      <c r="DP153">
        <f>IF(DP$4=0,0,IF(COUNTIFS(実績!$W$6:$W$505,DP$3,実績!$AC$6:$AC$505,"&lt;="&amp;$A153,実績!$AD$6:$AD$505,"&gt;"&amp;$A153,実績!$AE$6:$AE$505,"○")&gt;0,1,0))</f>
        <v/>
      </c>
      <c r="DQ153">
        <f>IF(DQ$4=0,0,IF(COUNTIFS(実績!$W$6:$W$505,DQ$3,実績!$AC$6:$AC$505,"&lt;="&amp;$A153,実績!$AD$6:$AD$505,"&gt;"&amp;$A153,実績!$AE$6:$AE$505,"○")&gt;0,1,0))</f>
        <v/>
      </c>
      <c r="DR153">
        <f>IF(DR$4=0,0,IF(COUNTIFS(実績!$W$6:$W$505,DR$3,実績!$AC$6:$AC$505,"&lt;="&amp;$A153,実績!$AD$6:$AD$505,"&gt;"&amp;$A153,実績!$AE$6:$AE$505,"○")&gt;0,1,0))</f>
        <v/>
      </c>
      <c r="DS153">
        <f>SUM(C153:DR153)</f>
        <v/>
      </c>
      <c r="DT153">
        <f>SUMPRODUCT((実績!$C$6:$C$505="○")*ISNUMBER(実績!$AF$6:$AF$505)*(実績!$AF$6:$AF$505&lt;=$A153)*(実績!$AG$6:$AG$505&gt;$A153))</f>
        <v/>
      </c>
      <c r="DU153">
        <f>SUMIF($C$2:$DR$2,"製鉄曳船",C153:DR153)</f>
        <v/>
      </c>
      <c r="DV153">
        <f>SUMIF($C$2:$DR$2,"西日本海運",C153:DR153)</f>
        <v/>
      </c>
    </row>
    <row r="154">
      <c r="A154" t="n">
        <v>740</v>
      </c>
      <c r="B154" s="29">
        <f>A154/1440</f>
        <v/>
      </c>
      <c r="C154">
        <f>IF(C$4=0,0,IF(COUNTIFS(実績!$W$6:$W$505,C$3,実績!$AC$6:$AC$505,"&lt;="&amp;$A154,実績!$AD$6:$AD$505,"&gt;"&amp;$A154,実績!$AE$6:$AE$505,"○")&gt;0,1,0))</f>
        <v/>
      </c>
      <c r="D154">
        <f>IF(D$4=0,0,IF(COUNTIFS(実績!$W$6:$W$505,D$3,実績!$AC$6:$AC$505,"&lt;="&amp;$A154,実績!$AD$6:$AD$505,"&gt;"&amp;$A154,実績!$AE$6:$AE$505,"○")&gt;0,1,0))</f>
        <v/>
      </c>
      <c r="E154">
        <f>IF(E$4=0,0,IF(COUNTIFS(実績!$W$6:$W$505,E$3,実績!$AC$6:$AC$505,"&lt;="&amp;$A154,実績!$AD$6:$AD$505,"&gt;"&amp;$A154,実績!$AE$6:$AE$505,"○")&gt;0,1,0))</f>
        <v/>
      </c>
      <c r="F154">
        <f>IF(F$4=0,0,IF(COUNTIFS(実績!$W$6:$W$505,F$3,実績!$AC$6:$AC$505,"&lt;="&amp;$A154,実績!$AD$6:$AD$505,"&gt;"&amp;$A154,実績!$AE$6:$AE$505,"○")&gt;0,1,0))</f>
        <v/>
      </c>
      <c r="G154">
        <f>IF(G$4=0,0,IF(COUNTIFS(実績!$W$6:$W$505,G$3,実績!$AC$6:$AC$505,"&lt;="&amp;$A154,実績!$AD$6:$AD$505,"&gt;"&amp;$A154,実績!$AE$6:$AE$505,"○")&gt;0,1,0))</f>
        <v/>
      </c>
      <c r="H154">
        <f>IF(H$4=0,0,IF(COUNTIFS(実績!$W$6:$W$505,H$3,実績!$AC$6:$AC$505,"&lt;="&amp;$A154,実績!$AD$6:$AD$505,"&gt;"&amp;$A154,実績!$AE$6:$AE$505,"○")&gt;0,1,0))</f>
        <v/>
      </c>
      <c r="I154">
        <f>IF(I$4=0,0,IF(COUNTIFS(実績!$W$6:$W$505,I$3,実績!$AC$6:$AC$505,"&lt;="&amp;$A154,実績!$AD$6:$AD$505,"&gt;"&amp;$A154,実績!$AE$6:$AE$505,"○")&gt;0,1,0))</f>
        <v/>
      </c>
      <c r="J154">
        <f>IF(J$4=0,0,IF(COUNTIFS(実績!$W$6:$W$505,J$3,実績!$AC$6:$AC$505,"&lt;="&amp;$A154,実績!$AD$6:$AD$505,"&gt;"&amp;$A154,実績!$AE$6:$AE$505,"○")&gt;0,1,0))</f>
        <v/>
      </c>
      <c r="K154">
        <f>IF(K$4=0,0,IF(COUNTIFS(実績!$W$6:$W$505,K$3,実績!$AC$6:$AC$505,"&lt;="&amp;$A154,実績!$AD$6:$AD$505,"&gt;"&amp;$A154,実績!$AE$6:$AE$505,"○")&gt;0,1,0))</f>
        <v/>
      </c>
      <c r="L154">
        <f>IF(L$4=0,0,IF(COUNTIFS(実績!$W$6:$W$505,L$3,実績!$AC$6:$AC$505,"&lt;="&amp;$A154,実績!$AD$6:$AD$505,"&gt;"&amp;$A154,実績!$AE$6:$AE$505,"○")&gt;0,1,0))</f>
        <v/>
      </c>
      <c r="M154">
        <f>IF(M$4=0,0,IF(COUNTIFS(実績!$W$6:$W$505,M$3,実績!$AC$6:$AC$505,"&lt;="&amp;$A154,実績!$AD$6:$AD$505,"&gt;"&amp;$A154,実績!$AE$6:$AE$505,"○")&gt;0,1,0))</f>
        <v/>
      </c>
      <c r="N154">
        <f>IF(N$4=0,0,IF(COUNTIFS(実績!$W$6:$W$505,N$3,実績!$AC$6:$AC$505,"&lt;="&amp;$A154,実績!$AD$6:$AD$505,"&gt;"&amp;$A154,実績!$AE$6:$AE$505,"○")&gt;0,1,0))</f>
        <v/>
      </c>
      <c r="O154">
        <f>IF(O$4=0,0,IF(COUNTIFS(実績!$W$6:$W$505,O$3,実績!$AC$6:$AC$505,"&lt;="&amp;$A154,実績!$AD$6:$AD$505,"&gt;"&amp;$A154,実績!$AE$6:$AE$505,"○")&gt;0,1,0))</f>
        <v/>
      </c>
      <c r="P154">
        <f>IF(P$4=0,0,IF(COUNTIFS(実績!$W$6:$W$505,P$3,実績!$AC$6:$AC$505,"&lt;="&amp;$A154,実績!$AD$6:$AD$505,"&gt;"&amp;$A154,実績!$AE$6:$AE$505,"○")&gt;0,1,0))</f>
        <v/>
      </c>
      <c r="Q154">
        <f>IF(Q$4=0,0,IF(COUNTIFS(実績!$W$6:$W$505,Q$3,実績!$AC$6:$AC$505,"&lt;="&amp;$A154,実績!$AD$6:$AD$505,"&gt;"&amp;$A154,実績!$AE$6:$AE$505,"○")&gt;0,1,0))</f>
        <v/>
      </c>
      <c r="R154">
        <f>IF(R$4=0,0,IF(COUNTIFS(実績!$W$6:$W$505,R$3,実績!$AC$6:$AC$505,"&lt;="&amp;$A154,実績!$AD$6:$AD$505,"&gt;"&amp;$A154,実績!$AE$6:$AE$505,"○")&gt;0,1,0))</f>
        <v/>
      </c>
      <c r="S154">
        <f>IF(S$4=0,0,IF(COUNTIFS(実績!$W$6:$W$505,S$3,実績!$AC$6:$AC$505,"&lt;="&amp;$A154,実績!$AD$6:$AD$505,"&gt;"&amp;$A154,実績!$AE$6:$AE$505,"○")&gt;0,1,0))</f>
        <v/>
      </c>
      <c r="T154">
        <f>IF(T$4=0,0,IF(COUNTIFS(実績!$W$6:$W$505,T$3,実績!$AC$6:$AC$505,"&lt;="&amp;$A154,実績!$AD$6:$AD$505,"&gt;"&amp;$A154,実績!$AE$6:$AE$505,"○")&gt;0,1,0))</f>
        <v/>
      </c>
      <c r="U154">
        <f>IF(U$4=0,0,IF(COUNTIFS(実績!$W$6:$W$505,U$3,実績!$AC$6:$AC$505,"&lt;="&amp;$A154,実績!$AD$6:$AD$505,"&gt;"&amp;$A154,実績!$AE$6:$AE$505,"○")&gt;0,1,0))</f>
        <v/>
      </c>
      <c r="V154">
        <f>IF(V$4=0,0,IF(COUNTIFS(実績!$W$6:$W$505,V$3,実績!$AC$6:$AC$505,"&lt;="&amp;$A154,実績!$AD$6:$AD$505,"&gt;"&amp;$A154,実績!$AE$6:$AE$505,"○")&gt;0,1,0))</f>
        <v/>
      </c>
      <c r="W154">
        <f>IF(W$4=0,0,IF(COUNTIFS(実績!$W$6:$W$505,W$3,実績!$AC$6:$AC$505,"&lt;="&amp;$A154,実績!$AD$6:$AD$505,"&gt;"&amp;$A154,実績!$AE$6:$AE$505,"○")&gt;0,1,0))</f>
        <v/>
      </c>
      <c r="X154">
        <f>IF(X$4=0,0,IF(COUNTIFS(実績!$W$6:$W$505,X$3,実績!$AC$6:$AC$505,"&lt;="&amp;$A154,実績!$AD$6:$AD$505,"&gt;"&amp;$A154,実績!$AE$6:$AE$505,"○")&gt;0,1,0))</f>
        <v/>
      </c>
      <c r="Y154">
        <f>IF(Y$4=0,0,IF(COUNTIFS(実績!$W$6:$W$505,Y$3,実績!$AC$6:$AC$505,"&lt;="&amp;$A154,実績!$AD$6:$AD$505,"&gt;"&amp;$A154,実績!$AE$6:$AE$505,"○")&gt;0,1,0))</f>
        <v/>
      </c>
      <c r="Z154">
        <f>IF(Z$4=0,0,IF(COUNTIFS(実績!$W$6:$W$505,Z$3,実績!$AC$6:$AC$505,"&lt;="&amp;$A154,実績!$AD$6:$AD$505,"&gt;"&amp;$A154,実績!$AE$6:$AE$505,"○")&gt;0,1,0))</f>
        <v/>
      </c>
      <c r="AA154">
        <f>IF(AA$4=0,0,IF(COUNTIFS(実績!$W$6:$W$505,AA$3,実績!$AC$6:$AC$505,"&lt;="&amp;$A154,実績!$AD$6:$AD$505,"&gt;"&amp;$A154,実績!$AE$6:$AE$505,"○")&gt;0,1,0))</f>
        <v/>
      </c>
      <c r="AB154">
        <f>IF(AB$4=0,0,IF(COUNTIFS(実績!$W$6:$W$505,AB$3,実績!$AC$6:$AC$505,"&lt;="&amp;$A154,実績!$AD$6:$AD$505,"&gt;"&amp;$A154,実績!$AE$6:$AE$505,"○")&gt;0,1,0))</f>
        <v/>
      </c>
      <c r="AC154">
        <f>IF(AC$4=0,0,IF(COUNTIFS(実績!$W$6:$W$505,AC$3,実績!$AC$6:$AC$505,"&lt;="&amp;$A154,実績!$AD$6:$AD$505,"&gt;"&amp;$A154,実績!$AE$6:$AE$505,"○")&gt;0,1,0))</f>
        <v/>
      </c>
      <c r="AD154">
        <f>IF(AD$4=0,0,IF(COUNTIFS(実績!$W$6:$W$505,AD$3,実績!$AC$6:$AC$505,"&lt;="&amp;$A154,実績!$AD$6:$AD$505,"&gt;"&amp;$A154,実績!$AE$6:$AE$505,"○")&gt;0,1,0))</f>
        <v/>
      </c>
      <c r="AE154">
        <f>IF(AE$4=0,0,IF(COUNTIFS(実績!$W$6:$W$505,AE$3,実績!$AC$6:$AC$505,"&lt;="&amp;$A154,実績!$AD$6:$AD$505,"&gt;"&amp;$A154,実績!$AE$6:$AE$505,"○")&gt;0,1,0))</f>
        <v/>
      </c>
      <c r="AF154">
        <f>IF(AF$4=0,0,IF(COUNTIFS(実績!$W$6:$W$505,AF$3,実績!$AC$6:$AC$505,"&lt;="&amp;$A154,実績!$AD$6:$AD$505,"&gt;"&amp;$A154,実績!$AE$6:$AE$505,"○")&gt;0,1,0))</f>
        <v/>
      </c>
      <c r="AG154">
        <f>IF(AG$4=0,0,IF(COUNTIFS(実績!$W$6:$W$505,AG$3,実績!$AC$6:$AC$505,"&lt;="&amp;$A154,実績!$AD$6:$AD$505,"&gt;"&amp;$A154,実績!$AE$6:$AE$505,"○")&gt;0,1,0))</f>
        <v/>
      </c>
      <c r="AH154">
        <f>IF(AH$4=0,0,IF(COUNTIFS(実績!$W$6:$W$505,AH$3,実績!$AC$6:$AC$505,"&lt;="&amp;$A154,実績!$AD$6:$AD$505,"&gt;"&amp;$A154,実績!$AE$6:$AE$505,"○")&gt;0,1,0))</f>
        <v/>
      </c>
      <c r="AI154">
        <f>IF(AI$4=0,0,IF(COUNTIFS(実績!$W$6:$W$505,AI$3,実績!$AC$6:$AC$505,"&lt;="&amp;$A154,実績!$AD$6:$AD$505,"&gt;"&amp;$A154,実績!$AE$6:$AE$505,"○")&gt;0,1,0))</f>
        <v/>
      </c>
      <c r="AJ154">
        <f>IF(AJ$4=0,0,IF(COUNTIFS(実績!$W$6:$W$505,AJ$3,実績!$AC$6:$AC$505,"&lt;="&amp;$A154,実績!$AD$6:$AD$505,"&gt;"&amp;$A154,実績!$AE$6:$AE$505,"○")&gt;0,1,0))</f>
        <v/>
      </c>
      <c r="AK154">
        <f>IF(AK$4=0,0,IF(COUNTIFS(実績!$W$6:$W$505,AK$3,実績!$AC$6:$AC$505,"&lt;="&amp;$A154,実績!$AD$6:$AD$505,"&gt;"&amp;$A154,実績!$AE$6:$AE$505,"○")&gt;0,1,0))</f>
        <v/>
      </c>
      <c r="AL154">
        <f>IF(AL$4=0,0,IF(COUNTIFS(実績!$W$6:$W$505,AL$3,実績!$AC$6:$AC$505,"&lt;="&amp;$A154,実績!$AD$6:$AD$505,"&gt;"&amp;$A154,実績!$AE$6:$AE$505,"○")&gt;0,1,0))</f>
        <v/>
      </c>
      <c r="AM154">
        <f>IF(AM$4=0,0,IF(COUNTIFS(実績!$W$6:$W$505,AM$3,実績!$AC$6:$AC$505,"&lt;="&amp;$A154,実績!$AD$6:$AD$505,"&gt;"&amp;$A154,実績!$AE$6:$AE$505,"○")&gt;0,1,0))</f>
        <v/>
      </c>
      <c r="AN154">
        <f>IF(AN$4=0,0,IF(COUNTIFS(実績!$W$6:$W$505,AN$3,実績!$AC$6:$AC$505,"&lt;="&amp;$A154,実績!$AD$6:$AD$505,"&gt;"&amp;$A154,実績!$AE$6:$AE$505,"○")&gt;0,1,0))</f>
        <v/>
      </c>
      <c r="AO154">
        <f>IF(AO$4=0,0,IF(COUNTIFS(実績!$W$6:$W$505,AO$3,実績!$AC$6:$AC$505,"&lt;="&amp;$A154,実績!$AD$6:$AD$505,"&gt;"&amp;$A154,実績!$AE$6:$AE$505,"○")&gt;0,1,0))</f>
        <v/>
      </c>
      <c r="AP154">
        <f>IF(AP$4=0,0,IF(COUNTIFS(実績!$W$6:$W$505,AP$3,実績!$AC$6:$AC$505,"&lt;="&amp;$A154,実績!$AD$6:$AD$505,"&gt;"&amp;$A154,実績!$AE$6:$AE$505,"○")&gt;0,1,0))</f>
        <v/>
      </c>
      <c r="AQ154">
        <f>IF(AQ$4=0,0,IF(COUNTIFS(実績!$W$6:$W$505,AQ$3,実績!$AC$6:$AC$505,"&lt;="&amp;$A154,実績!$AD$6:$AD$505,"&gt;"&amp;$A154,実績!$AE$6:$AE$505,"○")&gt;0,1,0))</f>
        <v/>
      </c>
      <c r="AR154">
        <f>IF(AR$4=0,0,IF(COUNTIFS(実績!$W$6:$W$505,AR$3,実績!$AC$6:$AC$505,"&lt;="&amp;$A154,実績!$AD$6:$AD$505,"&gt;"&amp;$A154,実績!$AE$6:$AE$505,"○")&gt;0,1,0))</f>
        <v/>
      </c>
      <c r="AS154">
        <f>IF(AS$4=0,0,IF(COUNTIFS(実績!$W$6:$W$505,AS$3,実績!$AC$6:$AC$505,"&lt;="&amp;$A154,実績!$AD$6:$AD$505,"&gt;"&amp;$A154,実績!$AE$6:$AE$505,"○")&gt;0,1,0))</f>
        <v/>
      </c>
      <c r="AT154">
        <f>IF(AT$4=0,0,IF(COUNTIFS(実績!$W$6:$W$505,AT$3,実績!$AC$6:$AC$505,"&lt;="&amp;$A154,実績!$AD$6:$AD$505,"&gt;"&amp;$A154,実績!$AE$6:$AE$505,"○")&gt;0,1,0))</f>
        <v/>
      </c>
      <c r="AU154">
        <f>IF(AU$4=0,0,IF(COUNTIFS(実績!$W$6:$W$505,AU$3,実績!$AC$6:$AC$505,"&lt;="&amp;$A154,実績!$AD$6:$AD$505,"&gt;"&amp;$A154,実績!$AE$6:$AE$505,"○")&gt;0,1,0))</f>
        <v/>
      </c>
      <c r="AV154">
        <f>IF(AV$4=0,0,IF(COUNTIFS(実績!$W$6:$W$505,AV$3,実績!$AC$6:$AC$505,"&lt;="&amp;$A154,実績!$AD$6:$AD$505,"&gt;"&amp;$A154,実績!$AE$6:$AE$505,"○")&gt;0,1,0))</f>
        <v/>
      </c>
      <c r="AW154">
        <f>IF(AW$4=0,0,IF(COUNTIFS(実績!$W$6:$W$505,AW$3,実績!$AC$6:$AC$505,"&lt;="&amp;$A154,実績!$AD$6:$AD$505,"&gt;"&amp;$A154,実績!$AE$6:$AE$505,"○")&gt;0,1,0))</f>
        <v/>
      </c>
      <c r="AX154">
        <f>IF(AX$4=0,0,IF(COUNTIFS(実績!$W$6:$W$505,AX$3,実績!$AC$6:$AC$505,"&lt;="&amp;$A154,実績!$AD$6:$AD$505,"&gt;"&amp;$A154,実績!$AE$6:$AE$505,"○")&gt;0,1,0))</f>
        <v/>
      </c>
      <c r="AY154">
        <f>IF(AY$4=0,0,IF(COUNTIFS(実績!$W$6:$W$505,AY$3,実績!$AC$6:$AC$505,"&lt;="&amp;$A154,実績!$AD$6:$AD$505,"&gt;"&amp;$A154,実績!$AE$6:$AE$505,"○")&gt;0,1,0))</f>
        <v/>
      </c>
      <c r="AZ154">
        <f>IF(AZ$4=0,0,IF(COUNTIFS(実績!$W$6:$W$505,AZ$3,実績!$AC$6:$AC$505,"&lt;="&amp;$A154,実績!$AD$6:$AD$505,"&gt;"&amp;$A154,実績!$AE$6:$AE$505,"○")&gt;0,1,0))</f>
        <v/>
      </c>
      <c r="BA154">
        <f>IF(BA$4=0,0,IF(COUNTIFS(実績!$W$6:$W$505,BA$3,実績!$AC$6:$AC$505,"&lt;="&amp;$A154,実績!$AD$6:$AD$505,"&gt;"&amp;$A154,実績!$AE$6:$AE$505,"○")&gt;0,1,0))</f>
        <v/>
      </c>
      <c r="BB154">
        <f>IF(BB$4=0,0,IF(COUNTIFS(実績!$W$6:$W$505,BB$3,実績!$AC$6:$AC$505,"&lt;="&amp;$A154,実績!$AD$6:$AD$505,"&gt;"&amp;$A154,実績!$AE$6:$AE$505,"○")&gt;0,1,0))</f>
        <v/>
      </c>
      <c r="BC154">
        <f>IF(BC$4=0,0,IF(COUNTIFS(実績!$W$6:$W$505,BC$3,実績!$AC$6:$AC$505,"&lt;="&amp;$A154,実績!$AD$6:$AD$505,"&gt;"&amp;$A154,実績!$AE$6:$AE$505,"○")&gt;0,1,0))</f>
        <v/>
      </c>
      <c r="BD154">
        <f>IF(BD$4=0,0,IF(COUNTIFS(実績!$W$6:$W$505,BD$3,実績!$AC$6:$AC$505,"&lt;="&amp;$A154,実績!$AD$6:$AD$505,"&gt;"&amp;$A154,実績!$AE$6:$AE$505,"○")&gt;0,1,0))</f>
        <v/>
      </c>
      <c r="BE154">
        <f>IF(BE$4=0,0,IF(COUNTIFS(実績!$W$6:$W$505,BE$3,実績!$AC$6:$AC$505,"&lt;="&amp;$A154,実績!$AD$6:$AD$505,"&gt;"&amp;$A154,実績!$AE$6:$AE$505,"○")&gt;0,1,0))</f>
        <v/>
      </c>
      <c r="BF154">
        <f>IF(BF$4=0,0,IF(COUNTIFS(実績!$W$6:$W$505,BF$3,実績!$AC$6:$AC$505,"&lt;="&amp;$A154,実績!$AD$6:$AD$505,"&gt;"&amp;$A154,実績!$AE$6:$AE$505,"○")&gt;0,1,0))</f>
        <v/>
      </c>
      <c r="BG154">
        <f>IF(BG$4=0,0,IF(COUNTIFS(実績!$W$6:$W$505,BG$3,実績!$AC$6:$AC$505,"&lt;="&amp;$A154,実績!$AD$6:$AD$505,"&gt;"&amp;$A154,実績!$AE$6:$AE$505,"○")&gt;0,1,0))</f>
        <v/>
      </c>
      <c r="BH154">
        <f>IF(BH$4=0,0,IF(COUNTIFS(実績!$W$6:$W$505,BH$3,実績!$AC$6:$AC$505,"&lt;="&amp;$A154,実績!$AD$6:$AD$505,"&gt;"&amp;$A154,実績!$AE$6:$AE$505,"○")&gt;0,1,0))</f>
        <v/>
      </c>
      <c r="BI154">
        <f>IF(BI$4=0,0,IF(COUNTIFS(実績!$W$6:$W$505,BI$3,実績!$AC$6:$AC$505,"&lt;="&amp;$A154,実績!$AD$6:$AD$505,"&gt;"&amp;$A154,実績!$AE$6:$AE$505,"○")&gt;0,1,0))</f>
        <v/>
      </c>
      <c r="BJ154">
        <f>IF(BJ$4=0,0,IF(COUNTIFS(実績!$W$6:$W$505,BJ$3,実績!$AC$6:$AC$505,"&lt;="&amp;$A154,実績!$AD$6:$AD$505,"&gt;"&amp;$A154,実績!$AE$6:$AE$505,"○")&gt;0,1,0))</f>
        <v/>
      </c>
      <c r="BK154">
        <f>IF(BK$4=0,0,IF(COUNTIFS(実績!$W$6:$W$505,BK$3,実績!$AC$6:$AC$505,"&lt;="&amp;$A154,実績!$AD$6:$AD$505,"&gt;"&amp;$A154,実績!$AE$6:$AE$505,"○")&gt;0,1,0))</f>
        <v/>
      </c>
      <c r="BL154">
        <f>IF(BL$4=0,0,IF(COUNTIFS(実績!$W$6:$W$505,BL$3,実績!$AC$6:$AC$505,"&lt;="&amp;$A154,実績!$AD$6:$AD$505,"&gt;"&amp;$A154,実績!$AE$6:$AE$505,"○")&gt;0,1,0))</f>
        <v/>
      </c>
      <c r="BM154">
        <f>IF(BM$4=0,0,IF(COUNTIFS(実績!$W$6:$W$505,BM$3,実績!$AC$6:$AC$505,"&lt;="&amp;$A154,実績!$AD$6:$AD$505,"&gt;"&amp;$A154,実績!$AE$6:$AE$505,"○")&gt;0,1,0))</f>
        <v/>
      </c>
      <c r="BN154">
        <f>IF(BN$4=0,0,IF(COUNTIFS(実績!$W$6:$W$505,BN$3,実績!$AC$6:$AC$505,"&lt;="&amp;$A154,実績!$AD$6:$AD$505,"&gt;"&amp;$A154,実績!$AE$6:$AE$505,"○")&gt;0,1,0))</f>
        <v/>
      </c>
      <c r="BO154">
        <f>IF(BO$4=0,0,IF(COUNTIFS(実績!$W$6:$W$505,BO$3,実績!$AC$6:$AC$505,"&lt;="&amp;$A154,実績!$AD$6:$AD$505,"&gt;"&amp;$A154,実績!$AE$6:$AE$505,"○")&gt;0,1,0))</f>
        <v/>
      </c>
      <c r="BP154">
        <f>IF(BP$4=0,0,IF(COUNTIFS(実績!$W$6:$W$505,BP$3,実績!$AC$6:$AC$505,"&lt;="&amp;$A154,実績!$AD$6:$AD$505,"&gt;"&amp;$A154,実績!$AE$6:$AE$505,"○")&gt;0,1,0))</f>
        <v/>
      </c>
      <c r="BQ154">
        <f>IF(BQ$4=0,0,IF(COUNTIFS(実績!$W$6:$W$505,BQ$3,実績!$AC$6:$AC$505,"&lt;="&amp;$A154,実績!$AD$6:$AD$505,"&gt;"&amp;$A154,実績!$AE$6:$AE$505,"○")&gt;0,1,0))</f>
        <v/>
      </c>
      <c r="BR154">
        <f>IF(BR$4=0,0,IF(COUNTIFS(実績!$W$6:$W$505,BR$3,実績!$AC$6:$AC$505,"&lt;="&amp;$A154,実績!$AD$6:$AD$505,"&gt;"&amp;$A154,実績!$AE$6:$AE$505,"○")&gt;0,1,0))</f>
        <v/>
      </c>
      <c r="BS154">
        <f>IF(BS$4=0,0,IF(COUNTIFS(実績!$W$6:$W$505,BS$3,実績!$AC$6:$AC$505,"&lt;="&amp;$A154,実績!$AD$6:$AD$505,"&gt;"&amp;$A154,実績!$AE$6:$AE$505,"○")&gt;0,1,0))</f>
        <v/>
      </c>
      <c r="BT154">
        <f>IF(BT$4=0,0,IF(COUNTIFS(実績!$W$6:$W$505,BT$3,実績!$AC$6:$AC$505,"&lt;="&amp;$A154,実績!$AD$6:$AD$505,"&gt;"&amp;$A154,実績!$AE$6:$AE$505,"○")&gt;0,1,0))</f>
        <v/>
      </c>
      <c r="BU154">
        <f>IF(BU$4=0,0,IF(COUNTIFS(実績!$W$6:$W$505,BU$3,実績!$AC$6:$AC$505,"&lt;="&amp;$A154,実績!$AD$6:$AD$505,"&gt;"&amp;$A154,実績!$AE$6:$AE$505,"○")&gt;0,1,0))</f>
        <v/>
      </c>
      <c r="BV154">
        <f>IF(BV$4=0,0,IF(COUNTIFS(実績!$W$6:$W$505,BV$3,実績!$AC$6:$AC$505,"&lt;="&amp;$A154,実績!$AD$6:$AD$505,"&gt;"&amp;$A154,実績!$AE$6:$AE$505,"○")&gt;0,1,0))</f>
        <v/>
      </c>
      <c r="BW154">
        <f>IF(BW$4=0,0,IF(COUNTIFS(実績!$W$6:$W$505,BW$3,実績!$AC$6:$AC$505,"&lt;="&amp;$A154,実績!$AD$6:$AD$505,"&gt;"&amp;$A154,実績!$AE$6:$AE$505,"○")&gt;0,1,0))</f>
        <v/>
      </c>
      <c r="BX154">
        <f>IF(BX$4=0,0,IF(COUNTIFS(実績!$W$6:$W$505,BX$3,実績!$AC$6:$AC$505,"&lt;="&amp;$A154,実績!$AD$6:$AD$505,"&gt;"&amp;$A154,実績!$AE$6:$AE$505,"○")&gt;0,1,0))</f>
        <v/>
      </c>
      <c r="BY154">
        <f>IF(BY$4=0,0,IF(COUNTIFS(実績!$W$6:$W$505,BY$3,実績!$AC$6:$AC$505,"&lt;="&amp;$A154,実績!$AD$6:$AD$505,"&gt;"&amp;$A154,実績!$AE$6:$AE$505,"○")&gt;0,1,0))</f>
        <v/>
      </c>
      <c r="BZ154">
        <f>IF(BZ$4=0,0,IF(COUNTIFS(実績!$W$6:$W$505,BZ$3,実績!$AC$6:$AC$505,"&lt;="&amp;$A154,実績!$AD$6:$AD$505,"&gt;"&amp;$A154,実績!$AE$6:$AE$505,"○")&gt;0,1,0))</f>
        <v/>
      </c>
      <c r="CA154">
        <f>IF(CA$4=0,0,IF(COUNTIFS(実績!$W$6:$W$505,CA$3,実績!$AC$6:$AC$505,"&lt;="&amp;$A154,実績!$AD$6:$AD$505,"&gt;"&amp;$A154,実績!$AE$6:$AE$505,"○")&gt;0,1,0))</f>
        <v/>
      </c>
      <c r="CB154">
        <f>IF(CB$4=0,0,IF(COUNTIFS(実績!$W$6:$W$505,CB$3,実績!$AC$6:$AC$505,"&lt;="&amp;$A154,実績!$AD$6:$AD$505,"&gt;"&amp;$A154,実績!$AE$6:$AE$505,"○")&gt;0,1,0))</f>
        <v/>
      </c>
      <c r="CC154">
        <f>IF(CC$4=0,0,IF(COUNTIFS(実績!$W$6:$W$505,CC$3,実績!$AC$6:$AC$505,"&lt;="&amp;$A154,実績!$AD$6:$AD$505,"&gt;"&amp;$A154,実績!$AE$6:$AE$505,"○")&gt;0,1,0))</f>
        <v/>
      </c>
      <c r="CD154">
        <f>IF(CD$4=0,0,IF(COUNTIFS(実績!$W$6:$W$505,CD$3,実績!$AC$6:$AC$505,"&lt;="&amp;$A154,実績!$AD$6:$AD$505,"&gt;"&amp;$A154,実績!$AE$6:$AE$505,"○")&gt;0,1,0))</f>
        <v/>
      </c>
      <c r="CE154">
        <f>IF(CE$4=0,0,IF(COUNTIFS(実績!$W$6:$W$505,CE$3,実績!$AC$6:$AC$505,"&lt;="&amp;$A154,実績!$AD$6:$AD$505,"&gt;"&amp;$A154,実績!$AE$6:$AE$505,"○")&gt;0,1,0))</f>
        <v/>
      </c>
      <c r="CF154">
        <f>IF(CF$4=0,0,IF(COUNTIFS(実績!$W$6:$W$505,CF$3,実績!$AC$6:$AC$505,"&lt;="&amp;$A154,実績!$AD$6:$AD$505,"&gt;"&amp;$A154,実績!$AE$6:$AE$505,"○")&gt;0,1,0))</f>
        <v/>
      </c>
      <c r="CG154">
        <f>IF(CG$4=0,0,IF(COUNTIFS(実績!$W$6:$W$505,CG$3,実績!$AC$6:$AC$505,"&lt;="&amp;$A154,実績!$AD$6:$AD$505,"&gt;"&amp;$A154,実績!$AE$6:$AE$505,"○")&gt;0,1,0))</f>
        <v/>
      </c>
      <c r="CH154">
        <f>IF(CH$4=0,0,IF(COUNTIFS(実績!$W$6:$W$505,CH$3,実績!$AC$6:$AC$505,"&lt;="&amp;$A154,実績!$AD$6:$AD$505,"&gt;"&amp;$A154,実績!$AE$6:$AE$505,"○")&gt;0,1,0))</f>
        <v/>
      </c>
      <c r="CI154">
        <f>IF(CI$4=0,0,IF(COUNTIFS(実績!$W$6:$W$505,CI$3,実績!$AC$6:$AC$505,"&lt;="&amp;$A154,実績!$AD$6:$AD$505,"&gt;"&amp;$A154,実績!$AE$6:$AE$505,"○")&gt;0,1,0))</f>
        <v/>
      </c>
      <c r="CJ154">
        <f>IF(CJ$4=0,0,IF(COUNTIFS(実績!$W$6:$W$505,CJ$3,実績!$AC$6:$AC$505,"&lt;="&amp;$A154,実績!$AD$6:$AD$505,"&gt;"&amp;$A154,実績!$AE$6:$AE$505,"○")&gt;0,1,0))</f>
        <v/>
      </c>
      <c r="CK154">
        <f>IF(CK$4=0,0,IF(COUNTIFS(実績!$W$6:$W$505,CK$3,実績!$AC$6:$AC$505,"&lt;="&amp;$A154,実績!$AD$6:$AD$505,"&gt;"&amp;$A154,実績!$AE$6:$AE$505,"○")&gt;0,1,0))</f>
        <v/>
      </c>
      <c r="CL154">
        <f>IF(CL$4=0,0,IF(COUNTIFS(実績!$W$6:$W$505,CL$3,実績!$AC$6:$AC$505,"&lt;="&amp;$A154,実績!$AD$6:$AD$505,"&gt;"&amp;$A154,実績!$AE$6:$AE$505,"○")&gt;0,1,0))</f>
        <v/>
      </c>
      <c r="CM154">
        <f>IF(CM$4=0,0,IF(COUNTIFS(実績!$W$6:$W$505,CM$3,実績!$AC$6:$AC$505,"&lt;="&amp;$A154,実績!$AD$6:$AD$505,"&gt;"&amp;$A154,実績!$AE$6:$AE$505,"○")&gt;0,1,0))</f>
        <v/>
      </c>
      <c r="CN154">
        <f>IF(CN$4=0,0,IF(COUNTIFS(実績!$W$6:$W$505,CN$3,実績!$AC$6:$AC$505,"&lt;="&amp;$A154,実績!$AD$6:$AD$505,"&gt;"&amp;$A154,実績!$AE$6:$AE$505,"○")&gt;0,1,0))</f>
        <v/>
      </c>
      <c r="CO154">
        <f>IF(CO$4=0,0,IF(COUNTIFS(実績!$W$6:$W$505,CO$3,実績!$AC$6:$AC$505,"&lt;="&amp;$A154,実績!$AD$6:$AD$505,"&gt;"&amp;$A154,実績!$AE$6:$AE$505,"○")&gt;0,1,0))</f>
        <v/>
      </c>
      <c r="CP154">
        <f>IF(CP$4=0,0,IF(COUNTIFS(実績!$W$6:$W$505,CP$3,実績!$AC$6:$AC$505,"&lt;="&amp;$A154,実績!$AD$6:$AD$505,"&gt;"&amp;$A154,実績!$AE$6:$AE$505,"○")&gt;0,1,0))</f>
        <v/>
      </c>
      <c r="CQ154">
        <f>IF(CQ$4=0,0,IF(COUNTIFS(実績!$W$6:$W$505,CQ$3,実績!$AC$6:$AC$505,"&lt;="&amp;$A154,実績!$AD$6:$AD$505,"&gt;"&amp;$A154,実績!$AE$6:$AE$505,"○")&gt;0,1,0))</f>
        <v/>
      </c>
      <c r="CR154">
        <f>IF(CR$4=0,0,IF(COUNTIFS(実績!$W$6:$W$505,CR$3,実績!$AC$6:$AC$505,"&lt;="&amp;$A154,実績!$AD$6:$AD$505,"&gt;"&amp;$A154,実績!$AE$6:$AE$505,"○")&gt;0,1,0))</f>
        <v/>
      </c>
      <c r="CS154">
        <f>IF(CS$4=0,0,IF(COUNTIFS(実績!$W$6:$W$505,CS$3,実績!$AC$6:$AC$505,"&lt;="&amp;$A154,実績!$AD$6:$AD$505,"&gt;"&amp;$A154,実績!$AE$6:$AE$505,"○")&gt;0,1,0))</f>
        <v/>
      </c>
      <c r="CT154">
        <f>IF(CT$4=0,0,IF(COUNTIFS(実績!$W$6:$W$505,CT$3,実績!$AC$6:$AC$505,"&lt;="&amp;$A154,実績!$AD$6:$AD$505,"&gt;"&amp;$A154,実績!$AE$6:$AE$505,"○")&gt;0,1,0))</f>
        <v/>
      </c>
      <c r="CU154">
        <f>IF(CU$4=0,0,IF(COUNTIFS(実績!$W$6:$W$505,CU$3,実績!$AC$6:$AC$505,"&lt;="&amp;$A154,実績!$AD$6:$AD$505,"&gt;"&amp;$A154,実績!$AE$6:$AE$505,"○")&gt;0,1,0))</f>
        <v/>
      </c>
      <c r="CV154">
        <f>IF(CV$4=0,0,IF(COUNTIFS(実績!$W$6:$W$505,CV$3,実績!$AC$6:$AC$505,"&lt;="&amp;$A154,実績!$AD$6:$AD$505,"&gt;"&amp;$A154,実績!$AE$6:$AE$505,"○")&gt;0,1,0))</f>
        <v/>
      </c>
      <c r="CW154">
        <f>IF(CW$4=0,0,IF(COUNTIFS(実績!$W$6:$W$505,CW$3,実績!$AC$6:$AC$505,"&lt;="&amp;$A154,実績!$AD$6:$AD$505,"&gt;"&amp;$A154,実績!$AE$6:$AE$505,"○")&gt;0,1,0))</f>
        <v/>
      </c>
      <c r="CX154">
        <f>IF(CX$4=0,0,IF(COUNTIFS(実績!$W$6:$W$505,CX$3,実績!$AC$6:$AC$505,"&lt;="&amp;$A154,実績!$AD$6:$AD$505,"&gt;"&amp;$A154,実績!$AE$6:$AE$505,"○")&gt;0,1,0))</f>
        <v/>
      </c>
      <c r="CY154">
        <f>IF(CY$4=0,0,IF(COUNTIFS(実績!$W$6:$W$505,CY$3,実績!$AC$6:$AC$505,"&lt;="&amp;$A154,実績!$AD$6:$AD$505,"&gt;"&amp;$A154,実績!$AE$6:$AE$505,"○")&gt;0,1,0))</f>
        <v/>
      </c>
      <c r="CZ154">
        <f>IF(CZ$4=0,0,IF(COUNTIFS(実績!$W$6:$W$505,CZ$3,実績!$AC$6:$AC$505,"&lt;="&amp;$A154,実績!$AD$6:$AD$505,"&gt;"&amp;$A154,実績!$AE$6:$AE$505,"○")&gt;0,1,0))</f>
        <v/>
      </c>
      <c r="DA154">
        <f>IF(DA$4=0,0,IF(COUNTIFS(実績!$W$6:$W$505,DA$3,実績!$AC$6:$AC$505,"&lt;="&amp;$A154,実績!$AD$6:$AD$505,"&gt;"&amp;$A154,実績!$AE$6:$AE$505,"○")&gt;0,1,0))</f>
        <v/>
      </c>
      <c r="DB154">
        <f>IF(DB$4=0,0,IF(COUNTIFS(実績!$W$6:$W$505,DB$3,実績!$AC$6:$AC$505,"&lt;="&amp;$A154,実績!$AD$6:$AD$505,"&gt;"&amp;$A154,実績!$AE$6:$AE$505,"○")&gt;0,1,0))</f>
        <v/>
      </c>
      <c r="DC154">
        <f>IF(DC$4=0,0,IF(COUNTIFS(実績!$W$6:$W$505,DC$3,実績!$AC$6:$AC$505,"&lt;="&amp;$A154,実績!$AD$6:$AD$505,"&gt;"&amp;$A154,実績!$AE$6:$AE$505,"○")&gt;0,1,0))</f>
        <v/>
      </c>
      <c r="DD154">
        <f>IF(DD$4=0,0,IF(COUNTIFS(実績!$W$6:$W$505,DD$3,実績!$AC$6:$AC$505,"&lt;="&amp;$A154,実績!$AD$6:$AD$505,"&gt;"&amp;$A154,実績!$AE$6:$AE$505,"○")&gt;0,1,0))</f>
        <v/>
      </c>
      <c r="DE154">
        <f>IF(DE$4=0,0,IF(COUNTIFS(実績!$W$6:$W$505,DE$3,実績!$AC$6:$AC$505,"&lt;="&amp;$A154,実績!$AD$6:$AD$505,"&gt;"&amp;$A154,実績!$AE$6:$AE$505,"○")&gt;0,1,0))</f>
        <v/>
      </c>
      <c r="DF154">
        <f>IF(DF$4=0,0,IF(COUNTIFS(実績!$W$6:$W$505,DF$3,実績!$AC$6:$AC$505,"&lt;="&amp;$A154,実績!$AD$6:$AD$505,"&gt;"&amp;$A154,実績!$AE$6:$AE$505,"○")&gt;0,1,0))</f>
        <v/>
      </c>
      <c r="DG154">
        <f>IF(DG$4=0,0,IF(COUNTIFS(実績!$W$6:$W$505,DG$3,実績!$AC$6:$AC$505,"&lt;="&amp;$A154,実績!$AD$6:$AD$505,"&gt;"&amp;$A154,実績!$AE$6:$AE$505,"○")&gt;0,1,0))</f>
        <v/>
      </c>
      <c r="DH154">
        <f>IF(DH$4=0,0,IF(COUNTIFS(実績!$W$6:$W$505,DH$3,実績!$AC$6:$AC$505,"&lt;="&amp;$A154,実績!$AD$6:$AD$505,"&gt;"&amp;$A154,実績!$AE$6:$AE$505,"○")&gt;0,1,0))</f>
        <v/>
      </c>
      <c r="DI154">
        <f>IF(DI$4=0,0,IF(COUNTIFS(実績!$W$6:$W$505,DI$3,実績!$AC$6:$AC$505,"&lt;="&amp;$A154,実績!$AD$6:$AD$505,"&gt;"&amp;$A154,実績!$AE$6:$AE$505,"○")&gt;0,1,0))</f>
        <v/>
      </c>
      <c r="DJ154">
        <f>IF(DJ$4=0,0,IF(COUNTIFS(実績!$W$6:$W$505,DJ$3,実績!$AC$6:$AC$505,"&lt;="&amp;$A154,実績!$AD$6:$AD$505,"&gt;"&amp;$A154,実績!$AE$6:$AE$505,"○")&gt;0,1,0))</f>
        <v/>
      </c>
      <c r="DK154">
        <f>IF(DK$4=0,0,IF(COUNTIFS(実績!$W$6:$W$505,DK$3,実績!$AC$6:$AC$505,"&lt;="&amp;$A154,実績!$AD$6:$AD$505,"&gt;"&amp;$A154,実績!$AE$6:$AE$505,"○")&gt;0,1,0))</f>
        <v/>
      </c>
      <c r="DL154">
        <f>IF(DL$4=0,0,IF(COUNTIFS(実績!$W$6:$W$505,DL$3,実績!$AC$6:$AC$505,"&lt;="&amp;$A154,実績!$AD$6:$AD$505,"&gt;"&amp;$A154,実績!$AE$6:$AE$505,"○")&gt;0,1,0))</f>
        <v/>
      </c>
      <c r="DM154">
        <f>IF(DM$4=0,0,IF(COUNTIFS(実績!$W$6:$W$505,DM$3,実績!$AC$6:$AC$505,"&lt;="&amp;$A154,実績!$AD$6:$AD$505,"&gt;"&amp;$A154,実績!$AE$6:$AE$505,"○")&gt;0,1,0))</f>
        <v/>
      </c>
      <c r="DN154">
        <f>IF(DN$4=0,0,IF(COUNTIFS(実績!$W$6:$W$505,DN$3,実績!$AC$6:$AC$505,"&lt;="&amp;$A154,実績!$AD$6:$AD$505,"&gt;"&amp;$A154,実績!$AE$6:$AE$505,"○")&gt;0,1,0))</f>
        <v/>
      </c>
      <c r="DO154">
        <f>IF(DO$4=0,0,IF(COUNTIFS(実績!$W$6:$W$505,DO$3,実績!$AC$6:$AC$505,"&lt;="&amp;$A154,実績!$AD$6:$AD$505,"&gt;"&amp;$A154,実績!$AE$6:$AE$505,"○")&gt;0,1,0))</f>
        <v/>
      </c>
      <c r="DP154">
        <f>IF(DP$4=0,0,IF(COUNTIFS(実績!$W$6:$W$505,DP$3,実績!$AC$6:$AC$505,"&lt;="&amp;$A154,実績!$AD$6:$AD$505,"&gt;"&amp;$A154,実績!$AE$6:$AE$505,"○")&gt;0,1,0))</f>
        <v/>
      </c>
      <c r="DQ154">
        <f>IF(DQ$4=0,0,IF(COUNTIFS(実績!$W$6:$W$505,DQ$3,実績!$AC$6:$AC$505,"&lt;="&amp;$A154,実績!$AD$6:$AD$505,"&gt;"&amp;$A154,実績!$AE$6:$AE$505,"○")&gt;0,1,0))</f>
        <v/>
      </c>
      <c r="DR154">
        <f>IF(DR$4=0,0,IF(COUNTIFS(実績!$W$6:$W$505,DR$3,実績!$AC$6:$AC$505,"&lt;="&amp;$A154,実績!$AD$6:$AD$505,"&gt;"&amp;$A154,実績!$AE$6:$AE$505,"○")&gt;0,1,0))</f>
        <v/>
      </c>
      <c r="DS154">
        <f>SUM(C154:DR154)</f>
        <v/>
      </c>
      <c r="DT154">
        <f>SUMPRODUCT((実績!$C$6:$C$505="○")*ISNUMBER(実績!$AF$6:$AF$505)*(実績!$AF$6:$AF$505&lt;=$A154)*(実績!$AG$6:$AG$505&gt;$A154))</f>
        <v/>
      </c>
      <c r="DU154">
        <f>SUMIF($C$2:$DR$2,"製鉄曳船",C154:DR154)</f>
        <v/>
      </c>
      <c r="DV154">
        <f>SUMIF($C$2:$DR$2,"西日本海運",C154:DR154)</f>
        <v/>
      </c>
    </row>
    <row r="155">
      <c r="A155" t="n">
        <v>745</v>
      </c>
      <c r="B155" s="29">
        <f>A155/1440</f>
        <v/>
      </c>
      <c r="C155">
        <f>IF(C$4=0,0,IF(COUNTIFS(実績!$W$6:$W$505,C$3,実績!$AC$6:$AC$505,"&lt;="&amp;$A155,実績!$AD$6:$AD$505,"&gt;"&amp;$A155,実績!$AE$6:$AE$505,"○")&gt;0,1,0))</f>
        <v/>
      </c>
      <c r="D155">
        <f>IF(D$4=0,0,IF(COUNTIFS(実績!$W$6:$W$505,D$3,実績!$AC$6:$AC$505,"&lt;="&amp;$A155,実績!$AD$6:$AD$505,"&gt;"&amp;$A155,実績!$AE$6:$AE$505,"○")&gt;0,1,0))</f>
        <v/>
      </c>
      <c r="E155">
        <f>IF(E$4=0,0,IF(COUNTIFS(実績!$W$6:$W$505,E$3,実績!$AC$6:$AC$505,"&lt;="&amp;$A155,実績!$AD$6:$AD$505,"&gt;"&amp;$A155,実績!$AE$6:$AE$505,"○")&gt;0,1,0))</f>
        <v/>
      </c>
      <c r="F155">
        <f>IF(F$4=0,0,IF(COUNTIFS(実績!$W$6:$W$505,F$3,実績!$AC$6:$AC$505,"&lt;="&amp;$A155,実績!$AD$6:$AD$505,"&gt;"&amp;$A155,実績!$AE$6:$AE$505,"○")&gt;0,1,0))</f>
        <v/>
      </c>
      <c r="G155">
        <f>IF(G$4=0,0,IF(COUNTIFS(実績!$W$6:$W$505,G$3,実績!$AC$6:$AC$505,"&lt;="&amp;$A155,実績!$AD$6:$AD$505,"&gt;"&amp;$A155,実績!$AE$6:$AE$505,"○")&gt;0,1,0))</f>
        <v/>
      </c>
      <c r="H155">
        <f>IF(H$4=0,0,IF(COUNTIFS(実績!$W$6:$W$505,H$3,実績!$AC$6:$AC$505,"&lt;="&amp;$A155,実績!$AD$6:$AD$505,"&gt;"&amp;$A155,実績!$AE$6:$AE$505,"○")&gt;0,1,0))</f>
        <v/>
      </c>
      <c r="I155">
        <f>IF(I$4=0,0,IF(COUNTIFS(実績!$W$6:$W$505,I$3,実績!$AC$6:$AC$505,"&lt;="&amp;$A155,実績!$AD$6:$AD$505,"&gt;"&amp;$A155,実績!$AE$6:$AE$505,"○")&gt;0,1,0))</f>
        <v/>
      </c>
      <c r="J155">
        <f>IF(J$4=0,0,IF(COUNTIFS(実績!$W$6:$W$505,J$3,実績!$AC$6:$AC$505,"&lt;="&amp;$A155,実績!$AD$6:$AD$505,"&gt;"&amp;$A155,実績!$AE$6:$AE$505,"○")&gt;0,1,0))</f>
        <v/>
      </c>
      <c r="K155">
        <f>IF(K$4=0,0,IF(COUNTIFS(実績!$W$6:$W$505,K$3,実績!$AC$6:$AC$505,"&lt;="&amp;$A155,実績!$AD$6:$AD$505,"&gt;"&amp;$A155,実績!$AE$6:$AE$505,"○")&gt;0,1,0))</f>
        <v/>
      </c>
      <c r="L155">
        <f>IF(L$4=0,0,IF(COUNTIFS(実績!$W$6:$W$505,L$3,実績!$AC$6:$AC$505,"&lt;="&amp;$A155,実績!$AD$6:$AD$505,"&gt;"&amp;$A155,実績!$AE$6:$AE$505,"○")&gt;0,1,0))</f>
        <v/>
      </c>
      <c r="M155">
        <f>IF(M$4=0,0,IF(COUNTIFS(実績!$W$6:$W$505,M$3,実績!$AC$6:$AC$505,"&lt;="&amp;$A155,実績!$AD$6:$AD$505,"&gt;"&amp;$A155,実績!$AE$6:$AE$505,"○")&gt;0,1,0))</f>
        <v/>
      </c>
      <c r="N155">
        <f>IF(N$4=0,0,IF(COUNTIFS(実績!$W$6:$W$505,N$3,実績!$AC$6:$AC$505,"&lt;="&amp;$A155,実績!$AD$6:$AD$505,"&gt;"&amp;$A155,実績!$AE$6:$AE$505,"○")&gt;0,1,0))</f>
        <v/>
      </c>
      <c r="O155">
        <f>IF(O$4=0,0,IF(COUNTIFS(実績!$W$6:$W$505,O$3,実績!$AC$6:$AC$505,"&lt;="&amp;$A155,実績!$AD$6:$AD$505,"&gt;"&amp;$A155,実績!$AE$6:$AE$505,"○")&gt;0,1,0))</f>
        <v/>
      </c>
      <c r="P155">
        <f>IF(P$4=0,0,IF(COUNTIFS(実績!$W$6:$W$505,P$3,実績!$AC$6:$AC$505,"&lt;="&amp;$A155,実績!$AD$6:$AD$505,"&gt;"&amp;$A155,実績!$AE$6:$AE$505,"○")&gt;0,1,0))</f>
        <v/>
      </c>
      <c r="Q155">
        <f>IF(Q$4=0,0,IF(COUNTIFS(実績!$W$6:$W$505,Q$3,実績!$AC$6:$AC$505,"&lt;="&amp;$A155,実績!$AD$6:$AD$505,"&gt;"&amp;$A155,実績!$AE$6:$AE$505,"○")&gt;0,1,0))</f>
        <v/>
      </c>
      <c r="R155">
        <f>IF(R$4=0,0,IF(COUNTIFS(実績!$W$6:$W$505,R$3,実績!$AC$6:$AC$505,"&lt;="&amp;$A155,実績!$AD$6:$AD$505,"&gt;"&amp;$A155,実績!$AE$6:$AE$505,"○")&gt;0,1,0))</f>
        <v/>
      </c>
      <c r="S155">
        <f>IF(S$4=0,0,IF(COUNTIFS(実績!$W$6:$W$505,S$3,実績!$AC$6:$AC$505,"&lt;="&amp;$A155,実績!$AD$6:$AD$505,"&gt;"&amp;$A155,実績!$AE$6:$AE$505,"○")&gt;0,1,0))</f>
        <v/>
      </c>
      <c r="T155">
        <f>IF(T$4=0,0,IF(COUNTIFS(実績!$W$6:$W$505,T$3,実績!$AC$6:$AC$505,"&lt;="&amp;$A155,実績!$AD$6:$AD$505,"&gt;"&amp;$A155,実績!$AE$6:$AE$505,"○")&gt;0,1,0))</f>
        <v/>
      </c>
      <c r="U155">
        <f>IF(U$4=0,0,IF(COUNTIFS(実績!$W$6:$W$505,U$3,実績!$AC$6:$AC$505,"&lt;="&amp;$A155,実績!$AD$6:$AD$505,"&gt;"&amp;$A155,実績!$AE$6:$AE$505,"○")&gt;0,1,0))</f>
        <v/>
      </c>
      <c r="V155">
        <f>IF(V$4=0,0,IF(COUNTIFS(実績!$W$6:$W$505,V$3,実績!$AC$6:$AC$505,"&lt;="&amp;$A155,実績!$AD$6:$AD$505,"&gt;"&amp;$A155,実績!$AE$6:$AE$505,"○")&gt;0,1,0))</f>
        <v/>
      </c>
      <c r="W155">
        <f>IF(W$4=0,0,IF(COUNTIFS(実績!$W$6:$W$505,W$3,実績!$AC$6:$AC$505,"&lt;="&amp;$A155,実績!$AD$6:$AD$505,"&gt;"&amp;$A155,実績!$AE$6:$AE$505,"○")&gt;0,1,0))</f>
        <v/>
      </c>
      <c r="X155">
        <f>IF(X$4=0,0,IF(COUNTIFS(実績!$W$6:$W$505,X$3,実績!$AC$6:$AC$505,"&lt;="&amp;$A155,実績!$AD$6:$AD$505,"&gt;"&amp;$A155,実績!$AE$6:$AE$505,"○")&gt;0,1,0))</f>
        <v/>
      </c>
      <c r="Y155">
        <f>IF(Y$4=0,0,IF(COUNTIFS(実績!$W$6:$W$505,Y$3,実績!$AC$6:$AC$505,"&lt;="&amp;$A155,実績!$AD$6:$AD$505,"&gt;"&amp;$A155,実績!$AE$6:$AE$505,"○")&gt;0,1,0))</f>
        <v/>
      </c>
      <c r="Z155">
        <f>IF(Z$4=0,0,IF(COUNTIFS(実績!$W$6:$W$505,Z$3,実績!$AC$6:$AC$505,"&lt;="&amp;$A155,実績!$AD$6:$AD$505,"&gt;"&amp;$A155,実績!$AE$6:$AE$505,"○")&gt;0,1,0))</f>
        <v/>
      </c>
      <c r="AA155">
        <f>IF(AA$4=0,0,IF(COUNTIFS(実績!$W$6:$W$505,AA$3,実績!$AC$6:$AC$505,"&lt;="&amp;$A155,実績!$AD$6:$AD$505,"&gt;"&amp;$A155,実績!$AE$6:$AE$505,"○")&gt;0,1,0))</f>
        <v/>
      </c>
      <c r="AB155">
        <f>IF(AB$4=0,0,IF(COUNTIFS(実績!$W$6:$W$505,AB$3,実績!$AC$6:$AC$505,"&lt;="&amp;$A155,実績!$AD$6:$AD$505,"&gt;"&amp;$A155,実績!$AE$6:$AE$505,"○")&gt;0,1,0))</f>
        <v/>
      </c>
      <c r="AC155">
        <f>IF(AC$4=0,0,IF(COUNTIFS(実績!$W$6:$W$505,AC$3,実績!$AC$6:$AC$505,"&lt;="&amp;$A155,実績!$AD$6:$AD$505,"&gt;"&amp;$A155,実績!$AE$6:$AE$505,"○")&gt;0,1,0))</f>
        <v/>
      </c>
      <c r="AD155">
        <f>IF(AD$4=0,0,IF(COUNTIFS(実績!$W$6:$W$505,AD$3,実績!$AC$6:$AC$505,"&lt;="&amp;$A155,実績!$AD$6:$AD$505,"&gt;"&amp;$A155,実績!$AE$6:$AE$505,"○")&gt;0,1,0))</f>
        <v/>
      </c>
      <c r="AE155">
        <f>IF(AE$4=0,0,IF(COUNTIFS(実績!$W$6:$W$505,AE$3,実績!$AC$6:$AC$505,"&lt;="&amp;$A155,実績!$AD$6:$AD$505,"&gt;"&amp;$A155,実績!$AE$6:$AE$505,"○")&gt;0,1,0))</f>
        <v/>
      </c>
      <c r="AF155">
        <f>IF(AF$4=0,0,IF(COUNTIFS(実績!$W$6:$W$505,AF$3,実績!$AC$6:$AC$505,"&lt;="&amp;$A155,実績!$AD$6:$AD$505,"&gt;"&amp;$A155,実績!$AE$6:$AE$505,"○")&gt;0,1,0))</f>
        <v/>
      </c>
      <c r="AG155">
        <f>IF(AG$4=0,0,IF(COUNTIFS(実績!$W$6:$W$505,AG$3,実績!$AC$6:$AC$505,"&lt;="&amp;$A155,実績!$AD$6:$AD$505,"&gt;"&amp;$A155,実績!$AE$6:$AE$505,"○")&gt;0,1,0))</f>
        <v/>
      </c>
      <c r="AH155">
        <f>IF(AH$4=0,0,IF(COUNTIFS(実績!$W$6:$W$505,AH$3,実績!$AC$6:$AC$505,"&lt;="&amp;$A155,実績!$AD$6:$AD$505,"&gt;"&amp;$A155,実績!$AE$6:$AE$505,"○")&gt;0,1,0))</f>
        <v/>
      </c>
      <c r="AI155">
        <f>IF(AI$4=0,0,IF(COUNTIFS(実績!$W$6:$W$505,AI$3,実績!$AC$6:$AC$505,"&lt;="&amp;$A155,実績!$AD$6:$AD$505,"&gt;"&amp;$A155,実績!$AE$6:$AE$505,"○")&gt;0,1,0))</f>
        <v/>
      </c>
      <c r="AJ155">
        <f>IF(AJ$4=0,0,IF(COUNTIFS(実績!$W$6:$W$505,AJ$3,実績!$AC$6:$AC$505,"&lt;="&amp;$A155,実績!$AD$6:$AD$505,"&gt;"&amp;$A155,実績!$AE$6:$AE$505,"○")&gt;0,1,0))</f>
        <v/>
      </c>
      <c r="AK155">
        <f>IF(AK$4=0,0,IF(COUNTIFS(実績!$W$6:$W$505,AK$3,実績!$AC$6:$AC$505,"&lt;="&amp;$A155,実績!$AD$6:$AD$505,"&gt;"&amp;$A155,実績!$AE$6:$AE$505,"○")&gt;0,1,0))</f>
        <v/>
      </c>
      <c r="AL155">
        <f>IF(AL$4=0,0,IF(COUNTIFS(実績!$W$6:$W$505,AL$3,実績!$AC$6:$AC$505,"&lt;="&amp;$A155,実績!$AD$6:$AD$505,"&gt;"&amp;$A155,実績!$AE$6:$AE$505,"○")&gt;0,1,0))</f>
        <v/>
      </c>
      <c r="AM155">
        <f>IF(AM$4=0,0,IF(COUNTIFS(実績!$W$6:$W$505,AM$3,実績!$AC$6:$AC$505,"&lt;="&amp;$A155,実績!$AD$6:$AD$505,"&gt;"&amp;$A155,実績!$AE$6:$AE$505,"○")&gt;0,1,0))</f>
        <v/>
      </c>
      <c r="AN155">
        <f>IF(AN$4=0,0,IF(COUNTIFS(実績!$W$6:$W$505,AN$3,実績!$AC$6:$AC$505,"&lt;="&amp;$A155,実績!$AD$6:$AD$505,"&gt;"&amp;$A155,実績!$AE$6:$AE$505,"○")&gt;0,1,0))</f>
        <v/>
      </c>
      <c r="AO155">
        <f>IF(AO$4=0,0,IF(COUNTIFS(実績!$W$6:$W$505,AO$3,実績!$AC$6:$AC$505,"&lt;="&amp;$A155,実績!$AD$6:$AD$505,"&gt;"&amp;$A155,実績!$AE$6:$AE$505,"○")&gt;0,1,0))</f>
        <v/>
      </c>
      <c r="AP155">
        <f>IF(AP$4=0,0,IF(COUNTIFS(実績!$W$6:$W$505,AP$3,実績!$AC$6:$AC$505,"&lt;="&amp;$A155,実績!$AD$6:$AD$505,"&gt;"&amp;$A155,実績!$AE$6:$AE$505,"○")&gt;0,1,0))</f>
        <v/>
      </c>
      <c r="AQ155">
        <f>IF(AQ$4=0,0,IF(COUNTIFS(実績!$W$6:$W$505,AQ$3,実績!$AC$6:$AC$505,"&lt;="&amp;$A155,実績!$AD$6:$AD$505,"&gt;"&amp;$A155,実績!$AE$6:$AE$505,"○")&gt;0,1,0))</f>
        <v/>
      </c>
      <c r="AR155">
        <f>IF(AR$4=0,0,IF(COUNTIFS(実績!$W$6:$W$505,AR$3,実績!$AC$6:$AC$505,"&lt;="&amp;$A155,実績!$AD$6:$AD$505,"&gt;"&amp;$A155,実績!$AE$6:$AE$505,"○")&gt;0,1,0))</f>
        <v/>
      </c>
      <c r="AS155">
        <f>IF(AS$4=0,0,IF(COUNTIFS(実績!$W$6:$W$505,AS$3,実績!$AC$6:$AC$505,"&lt;="&amp;$A155,実績!$AD$6:$AD$505,"&gt;"&amp;$A155,実績!$AE$6:$AE$505,"○")&gt;0,1,0))</f>
        <v/>
      </c>
      <c r="AT155">
        <f>IF(AT$4=0,0,IF(COUNTIFS(実績!$W$6:$W$505,AT$3,実績!$AC$6:$AC$505,"&lt;="&amp;$A155,実績!$AD$6:$AD$505,"&gt;"&amp;$A155,実績!$AE$6:$AE$505,"○")&gt;0,1,0))</f>
        <v/>
      </c>
      <c r="AU155">
        <f>IF(AU$4=0,0,IF(COUNTIFS(実績!$W$6:$W$505,AU$3,実績!$AC$6:$AC$505,"&lt;="&amp;$A155,実績!$AD$6:$AD$505,"&gt;"&amp;$A155,実績!$AE$6:$AE$505,"○")&gt;0,1,0))</f>
        <v/>
      </c>
      <c r="AV155">
        <f>IF(AV$4=0,0,IF(COUNTIFS(実績!$W$6:$W$505,AV$3,実績!$AC$6:$AC$505,"&lt;="&amp;$A155,実績!$AD$6:$AD$505,"&gt;"&amp;$A155,実績!$AE$6:$AE$505,"○")&gt;0,1,0))</f>
        <v/>
      </c>
      <c r="AW155">
        <f>IF(AW$4=0,0,IF(COUNTIFS(実績!$W$6:$W$505,AW$3,実績!$AC$6:$AC$505,"&lt;="&amp;$A155,実績!$AD$6:$AD$505,"&gt;"&amp;$A155,実績!$AE$6:$AE$505,"○")&gt;0,1,0))</f>
        <v/>
      </c>
      <c r="AX155">
        <f>IF(AX$4=0,0,IF(COUNTIFS(実績!$W$6:$W$505,AX$3,実績!$AC$6:$AC$505,"&lt;="&amp;$A155,実績!$AD$6:$AD$505,"&gt;"&amp;$A155,実績!$AE$6:$AE$505,"○")&gt;0,1,0))</f>
        <v/>
      </c>
      <c r="AY155">
        <f>IF(AY$4=0,0,IF(COUNTIFS(実績!$W$6:$W$505,AY$3,実績!$AC$6:$AC$505,"&lt;="&amp;$A155,実績!$AD$6:$AD$505,"&gt;"&amp;$A155,実績!$AE$6:$AE$505,"○")&gt;0,1,0))</f>
        <v/>
      </c>
      <c r="AZ155">
        <f>IF(AZ$4=0,0,IF(COUNTIFS(実績!$W$6:$W$505,AZ$3,実績!$AC$6:$AC$505,"&lt;="&amp;$A155,実績!$AD$6:$AD$505,"&gt;"&amp;$A155,実績!$AE$6:$AE$505,"○")&gt;0,1,0))</f>
        <v/>
      </c>
      <c r="BA155">
        <f>IF(BA$4=0,0,IF(COUNTIFS(実績!$W$6:$W$505,BA$3,実績!$AC$6:$AC$505,"&lt;="&amp;$A155,実績!$AD$6:$AD$505,"&gt;"&amp;$A155,実績!$AE$6:$AE$505,"○")&gt;0,1,0))</f>
        <v/>
      </c>
      <c r="BB155">
        <f>IF(BB$4=0,0,IF(COUNTIFS(実績!$W$6:$W$505,BB$3,実績!$AC$6:$AC$505,"&lt;="&amp;$A155,実績!$AD$6:$AD$505,"&gt;"&amp;$A155,実績!$AE$6:$AE$505,"○")&gt;0,1,0))</f>
        <v/>
      </c>
      <c r="BC155">
        <f>IF(BC$4=0,0,IF(COUNTIFS(実績!$W$6:$W$505,BC$3,実績!$AC$6:$AC$505,"&lt;="&amp;$A155,実績!$AD$6:$AD$505,"&gt;"&amp;$A155,実績!$AE$6:$AE$505,"○")&gt;0,1,0))</f>
        <v/>
      </c>
      <c r="BD155">
        <f>IF(BD$4=0,0,IF(COUNTIFS(実績!$W$6:$W$505,BD$3,実績!$AC$6:$AC$505,"&lt;="&amp;$A155,実績!$AD$6:$AD$505,"&gt;"&amp;$A155,実績!$AE$6:$AE$505,"○")&gt;0,1,0))</f>
        <v/>
      </c>
      <c r="BE155">
        <f>IF(BE$4=0,0,IF(COUNTIFS(実績!$W$6:$W$505,BE$3,実績!$AC$6:$AC$505,"&lt;="&amp;$A155,実績!$AD$6:$AD$505,"&gt;"&amp;$A155,実績!$AE$6:$AE$505,"○")&gt;0,1,0))</f>
        <v/>
      </c>
      <c r="BF155">
        <f>IF(BF$4=0,0,IF(COUNTIFS(実績!$W$6:$W$505,BF$3,実績!$AC$6:$AC$505,"&lt;="&amp;$A155,実績!$AD$6:$AD$505,"&gt;"&amp;$A155,実績!$AE$6:$AE$505,"○")&gt;0,1,0))</f>
        <v/>
      </c>
      <c r="BG155">
        <f>IF(BG$4=0,0,IF(COUNTIFS(実績!$W$6:$W$505,BG$3,実績!$AC$6:$AC$505,"&lt;="&amp;$A155,実績!$AD$6:$AD$505,"&gt;"&amp;$A155,実績!$AE$6:$AE$505,"○")&gt;0,1,0))</f>
        <v/>
      </c>
      <c r="BH155">
        <f>IF(BH$4=0,0,IF(COUNTIFS(実績!$W$6:$W$505,BH$3,実績!$AC$6:$AC$505,"&lt;="&amp;$A155,実績!$AD$6:$AD$505,"&gt;"&amp;$A155,実績!$AE$6:$AE$505,"○")&gt;0,1,0))</f>
        <v/>
      </c>
      <c r="BI155">
        <f>IF(BI$4=0,0,IF(COUNTIFS(実績!$W$6:$W$505,BI$3,実績!$AC$6:$AC$505,"&lt;="&amp;$A155,実績!$AD$6:$AD$505,"&gt;"&amp;$A155,実績!$AE$6:$AE$505,"○")&gt;0,1,0))</f>
        <v/>
      </c>
      <c r="BJ155">
        <f>IF(BJ$4=0,0,IF(COUNTIFS(実績!$W$6:$W$505,BJ$3,実績!$AC$6:$AC$505,"&lt;="&amp;$A155,実績!$AD$6:$AD$505,"&gt;"&amp;$A155,実績!$AE$6:$AE$505,"○")&gt;0,1,0))</f>
        <v/>
      </c>
      <c r="BK155">
        <f>IF(BK$4=0,0,IF(COUNTIFS(実績!$W$6:$W$505,BK$3,実績!$AC$6:$AC$505,"&lt;="&amp;$A155,実績!$AD$6:$AD$505,"&gt;"&amp;$A155,実績!$AE$6:$AE$505,"○")&gt;0,1,0))</f>
        <v/>
      </c>
      <c r="BL155">
        <f>IF(BL$4=0,0,IF(COUNTIFS(実績!$W$6:$W$505,BL$3,実績!$AC$6:$AC$505,"&lt;="&amp;$A155,実績!$AD$6:$AD$505,"&gt;"&amp;$A155,実績!$AE$6:$AE$505,"○")&gt;0,1,0))</f>
        <v/>
      </c>
      <c r="BM155">
        <f>IF(BM$4=0,0,IF(COUNTIFS(実績!$W$6:$W$505,BM$3,実績!$AC$6:$AC$505,"&lt;="&amp;$A155,実績!$AD$6:$AD$505,"&gt;"&amp;$A155,実績!$AE$6:$AE$505,"○")&gt;0,1,0))</f>
        <v/>
      </c>
      <c r="BN155">
        <f>IF(BN$4=0,0,IF(COUNTIFS(実績!$W$6:$W$505,BN$3,実績!$AC$6:$AC$505,"&lt;="&amp;$A155,実績!$AD$6:$AD$505,"&gt;"&amp;$A155,実績!$AE$6:$AE$505,"○")&gt;0,1,0))</f>
        <v/>
      </c>
      <c r="BO155">
        <f>IF(BO$4=0,0,IF(COUNTIFS(実績!$W$6:$W$505,BO$3,実績!$AC$6:$AC$505,"&lt;="&amp;$A155,実績!$AD$6:$AD$505,"&gt;"&amp;$A155,実績!$AE$6:$AE$505,"○")&gt;0,1,0))</f>
        <v/>
      </c>
      <c r="BP155">
        <f>IF(BP$4=0,0,IF(COUNTIFS(実績!$W$6:$W$505,BP$3,実績!$AC$6:$AC$505,"&lt;="&amp;$A155,実績!$AD$6:$AD$505,"&gt;"&amp;$A155,実績!$AE$6:$AE$505,"○")&gt;0,1,0))</f>
        <v/>
      </c>
      <c r="BQ155">
        <f>IF(BQ$4=0,0,IF(COUNTIFS(実績!$W$6:$W$505,BQ$3,実績!$AC$6:$AC$505,"&lt;="&amp;$A155,実績!$AD$6:$AD$505,"&gt;"&amp;$A155,実績!$AE$6:$AE$505,"○")&gt;0,1,0))</f>
        <v/>
      </c>
      <c r="BR155">
        <f>IF(BR$4=0,0,IF(COUNTIFS(実績!$W$6:$W$505,BR$3,実績!$AC$6:$AC$505,"&lt;="&amp;$A155,実績!$AD$6:$AD$505,"&gt;"&amp;$A155,実績!$AE$6:$AE$505,"○")&gt;0,1,0))</f>
        <v/>
      </c>
      <c r="BS155">
        <f>IF(BS$4=0,0,IF(COUNTIFS(実績!$W$6:$W$505,BS$3,実績!$AC$6:$AC$505,"&lt;="&amp;$A155,実績!$AD$6:$AD$505,"&gt;"&amp;$A155,実績!$AE$6:$AE$505,"○")&gt;0,1,0))</f>
        <v/>
      </c>
      <c r="BT155">
        <f>IF(BT$4=0,0,IF(COUNTIFS(実績!$W$6:$W$505,BT$3,実績!$AC$6:$AC$505,"&lt;="&amp;$A155,実績!$AD$6:$AD$505,"&gt;"&amp;$A155,実績!$AE$6:$AE$505,"○")&gt;0,1,0))</f>
        <v/>
      </c>
      <c r="BU155">
        <f>IF(BU$4=0,0,IF(COUNTIFS(実績!$W$6:$W$505,BU$3,実績!$AC$6:$AC$505,"&lt;="&amp;$A155,実績!$AD$6:$AD$505,"&gt;"&amp;$A155,実績!$AE$6:$AE$505,"○")&gt;0,1,0))</f>
        <v/>
      </c>
      <c r="BV155">
        <f>IF(BV$4=0,0,IF(COUNTIFS(実績!$W$6:$W$505,BV$3,実績!$AC$6:$AC$505,"&lt;="&amp;$A155,実績!$AD$6:$AD$505,"&gt;"&amp;$A155,実績!$AE$6:$AE$505,"○")&gt;0,1,0))</f>
        <v/>
      </c>
      <c r="BW155">
        <f>IF(BW$4=0,0,IF(COUNTIFS(実績!$W$6:$W$505,BW$3,実績!$AC$6:$AC$505,"&lt;="&amp;$A155,実績!$AD$6:$AD$505,"&gt;"&amp;$A155,実績!$AE$6:$AE$505,"○")&gt;0,1,0))</f>
        <v/>
      </c>
      <c r="BX155">
        <f>IF(BX$4=0,0,IF(COUNTIFS(実績!$W$6:$W$505,BX$3,実績!$AC$6:$AC$505,"&lt;="&amp;$A155,実績!$AD$6:$AD$505,"&gt;"&amp;$A155,実績!$AE$6:$AE$505,"○")&gt;0,1,0))</f>
        <v/>
      </c>
      <c r="BY155">
        <f>IF(BY$4=0,0,IF(COUNTIFS(実績!$W$6:$W$505,BY$3,実績!$AC$6:$AC$505,"&lt;="&amp;$A155,実績!$AD$6:$AD$505,"&gt;"&amp;$A155,実績!$AE$6:$AE$505,"○")&gt;0,1,0))</f>
        <v/>
      </c>
      <c r="BZ155">
        <f>IF(BZ$4=0,0,IF(COUNTIFS(実績!$W$6:$W$505,BZ$3,実績!$AC$6:$AC$505,"&lt;="&amp;$A155,実績!$AD$6:$AD$505,"&gt;"&amp;$A155,実績!$AE$6:$AE$505,"○")&gt;0,1,0))</f>
        <v/>
      </c>
      <c r="CA155">
        <f>IF(CA$4=0,0,IF(COUNTIFS(実績!$W$6:$W$505,CA$3,実績!$AC$6:$AC$505,"&lt;="&amp;$A155,実績!$AD$6:$AD$505,"&gt;"&amp;$A155,実績!$AE$6:$AE$505,"○")&gt;0,1,0))</f>
        <v/>
      </c>
      <c r="CB155">
        <f>IF(CB$4=0,0,IF(COUNTIFS(実績!$W$6:$W$505,CB$3,実績!$AC$6:$AC$505,"&lt;="&amp;$A155,実績!$AD$6:$AD$505,"&gt;"&amp;$A155,実績!$AE$6:$AE$505,"○")&gt;0,1,0))</f>
        <v/>
      </c>
      <c r="CC155">
        <f>IF(CC$4=0,0,IF(COUNTIFS(実績!$W$6:$W$505,CC$3,実績!$AC$6:$AC$505,"&lt;="&amp;$A155,実績!$AD$6:$AD$505,"&gt;"&amp;$A155,実績!$AE$6:$AE$505,"○")&gt;0,1,0))</f>
        <v/>
      </c>
      <c r="CD155">
        <f>IF(CD$4=0,0,IF(COUNTIFS(実績!$W$6:$W$505,CD$3,実績!$AC$6:$AC$505,"&lt;="&amp;$A155,実績!$AD$6:$AD$505,"&gt;"&amp;$A155,実績!$AE$6:$AE$505,"○")&gt;0,1,0))</f>
        <v/>
      </c>
      <c r="CE155">
        <f>IF(CE$4=0,0,IF(COUNTIFS(実績!$W$6:$W$505,CE$3,実績!$AC$6:$AC$505,"&lt;="&amp;$A155,実績!$AD$6:$AD$505,"&gt;"&amp;$A155,実績!$AE$6:$AE$505,"○")&gt;0,1,0))</f>
        <v/>
      </c>
      <c r="CF155">
        <f>IF(CF$4=0,0,IF(COUNTIFS(実績!$W$6:$W$505,CF$3,実績!$AC$6:$AC$505,"&lt;="&amp;$A155,実績!$AD$6:$AD$505,"&gt;"&amp;$A155,実績!$AE$6:$AE$505,"○")&gt;0,1,0))</f>
        <v/>
      </c>
      <c r="CG155">
        <f>IF(CG$4=0,0,IF(COUNTIFS(実績!$W$6:$W$505,CG$3,実績!$AC$6:$AC$505,"&lt;="&amp;$A155,実績!$AD$6:$AD$505,"&gt;"&amp;$A155,実績!$AE$6:$AE$505,"○")&gt;0,1,0))</f>
        <v/>
      </c>
      <c r="CH155">
        <f>IF(CH$4=0,0,IF(COUNTIFS(実績!$W$6:$W$505,CH$3,実績!$AC$6:$AC$505,"&lt;="&amp;$A155,実績!$AD$6:$AD$505,"&gt;"&amp;$A155,実績!$AE$6:$AE$505,"○")&gt;0,1,0))</f>
        <v/>
      </c>
      <c r="CI155">
        <f>IF(CI$4=0,0,IF(COUNTIFS(実績!$W$6:$W$505,CI$3,実績!$AC$6:$AC$505,"&lt;="&amp;$A155,実績!$AD$6:$AD$505,"&gt;"&amp;$A155,実績!$AE$6:$AE$505,"○")&gt;0,1,0))</f>
        <v/>
      </c>
      <c r="CJ155">
        <f>IF(CJ$4=0,0,IF(COUNTIFS(実績!$W$6:$W$505,CJ$3,実績!$AC$6:$AC$505,"&lt;="&amp;$A155,実績!$AD$6:$AD$505,"&gt;"&amp;$A155,実績!$AE$6:$AE$505,"○")&gt;0,1,0))</f>
        <v/>
      </c>
      <c r="CK155">
        <f>IF(CK$4=0,0,IF(COUNTIFS(実績!$W$6:$W$505,CK$3,実績!$AC$6:$AC$505,"&lt;="&amp;$A155,実績!$AD$6:$AD$505,"&gt;"&amp;$A155,実績!$AE$6:$AE$505,"○")&gt;0,1,0))</f>
        <v/>
      </c>
      <c r="CL155">
        <f>IF(CL$4=0,0,IF(COUNTIFS(実績!$W$6:$W$505,CL$3,実績!$AC$6:$AC$505,"&lt;="&amp;$A155,実績!$AD$6:$AD$505,"&gt;"&amp;$A155,実績!$AE$6:$AE$505,"○")&gt;0,1,0))</f>
        <v/>
      </c>
      <c r="CM155">
        <f>IF(CM$4=0,0,IF(COUNTIFS(実績!$W$6:$W$505,CM$3,実績!$AC$6:$AC$505,"&lt;="&amp;$A155,実績!$AD$6:$AD$505,"&gt;"&amp;$A155,実績!$AE$6:$AE$505,"○")&gt;0,1,0))</f>
        <v/>
      </c>
      <c r="CN155">
        <f>IF(CN$4=0,0,IF(COUNTIFS(実績!$W$6:$W$505,CN$3,実績!$AC$6:$AC$505,"&lt;="&amp;$A155,実績!$AD$6:$AD$505,"&gt;"&amp;$A155,実績!$AE$6:$AE$505,"○")&gt;0,1,0))</f>
        <v/>
      </c>
      <c r="CO155">
        <f>IF(CO$4=0,0,IF(COUNTIFS(実績!$W$6:$W$505,CO$3,実績!$AC$6:$AC$505,"&lt;="&amp;$A155,実績!$AD$6:$AD$505,"&gt;"&amp;$A155,実績!$AE$6:$AE$505,"○")&gt;0,1,0))</f>
        <v/>
      </c>
      <c r="CP155">
        <f>IF(CP$4=0,0,IF(COUNTIFS(実績!$W$6:$W$505,CP$3,実績!$AC$6:$AC$505,"&lt;="&amp;$A155,実績!$AD$6:$AD$505,"&gt;"&amp;$A155,実績!$AE$6:$AE$505,"○")&gt;0,1,0))</f>
        <v/>
      </c>
      <c r="CQ155">
        <f>IF(CQ$4=0,0,IF(COUNTIFS(実績!$W$6:$W$505,CQ$3,実績!$AC$6:$AC$505,"&lt;="&amp;$A155,実績!$AD$6:$AD$505,"&gt;"&amp;$A155,実績!$AE$6:$AE$505,"○")&gt;0,1,0))</f>
        <v/>
      </c>
      <c r="CR155">
        <f>IF(CR$4=0,0,IF(COUNTIFS(実績!$W$6:$W$505,CR$3,実績!$AC$6:$AC$505,"&lt;="&amp;$A155,実績!$AD$6:$AD$505,"&gt;"&amp;$A155,実績!$AE$6:$AE$505,"○")&gt;0,1,0))</f>
        <v/>
      </c>
      <c r="CS155">
        <f>IF(CS$4=0,0,IF(COUNTIFS(実績!$W$6:$W$505,CS$3,実績!$AC$6:$AC$505,"&lt;="&amp;$A155,実績!$AD$6:$AD$505,"&gt;"&amp;$A155,実績!$AE$6:$AE$505,"○")&gt;0,1,0))</f>
        <v/>
      </c>
      <c r="CT155">
        <f>IF(CT$4=0,0,IF(COUNTIFS(実績!$W$6:$W$505,CT$3,実績!$AC$6:$AC$505,"&lt;="&amp;$A155,実績!$AD$6:$AD$505,"&gt;"&amp;$A155,実績!$AE$6:$AE$505,"○")&gt;0,1,0))</f>
        <v/>
      </c>
      <c r="CU155">
        <f>IF(CU$4=0,0,IF(COUNTIFS(実績!$W$6:$W$505,CU$3,実績!$AC$6:$AC$505,"&lt;="&amp;$A155,実績!$AD$6:$AD$505,"&gt;"&amp;$A155,実績!$AE$6:$AE$505,"○")&gt;0,1,0))</f>
        <v/>
      </c>
      <c r="CV155">
        <f>IF(CV$4=0,0,IF(COUNTIFS(実績!$W$6:$W$505,CV$3,実績!$AC$6:$AC$505,"&lt;="&amp;$A155,実績!$AD$6:$AD$505,"&gt;"&amp;$A155,実績!$AE$6:$AE$505,"○")&gt;0,1,0))</f>
        <v/>
      </c>
      <c r="CW155">
        <f>IF(CW$4=0,0,IF(COUNTIFS(実績!$W$6:$W$505,CW$3,実績!$AC$6:$AC$505,"&lt;="&amp;$A155,実績!$AD$6:$AD$505,"&gt;"&amp;$A155,実績!$AE$6:$AE$505,"○")&gt;0,1,0))</f>
        <v/>
      </c>
      <c r="CX155">
        <f>IF(CX$4=0,0,IF(COUNTIFS(実績!$W$6:$W$505,CX$3,実績!$AC$6:$AC$505,"&lt;="&amp;$A155,実績!$AD$6:$AD$505,"&gt;"&amp;$A155,実績!$AE$6:$AE$505,"○")&gt;0,1,0))</f>
        <v/>
      </c>
      <c r="CY155">
        <f>IF(CY$4=0,0,IF(COUNTIFS(実績!$W$6:$W$505,CY$3,実績!$AC$6:$AC$505,"&lt;="&amp;$A155,実績!$AD$6:$AD$505,"&gt;"&amp;$A155,実績!$AE$6:$AE$505,"○")&gt;0,1,0))</f>
        <v/>
      </c>
      <c r="CZ155">
        <f>IF(CZ$4=0,0,IF(COUNTIFS(実績!$W$6:$W$505,CZ$3,実績!$AC$6:$AC$505,"&lt;="&amp;$A155,実績!$AD$6:$AD$505,"&gt;"&amp;$A155,実績!$AE$6:$AE$505,"○")&gt;0,1,0))</f>
        <v/>
      </c>
      <c r="DA155">
        <f>IF(DA$4=0,0,IF(COUNTIFS(実績!$W$6:$W$505,DA$3,実績!$AC$6:$AC$505,"&lt;="&amp;$A155,実績!$AD$6:$AD$505,"&gt;"&amp;$A155,実績!$AE$6:$AE$505,"○")&gt;0,1,0))</f>
        <v/>
      </c>
      <c r="DB155">
        <f>IF(DB$4=0,0,IF(COUNTIFS(実績!$W$6:$W$505,DB$3,実績!$AC$6:$AC$505,"&lt;="&amp;$A155,実績!$AD$6:$AD$505,"&gt;"&amp;$A155,実績!$AE$6:$AE$505,"○")&gt;0,1,0))</f>
        <v/>
      </c>
      <c r="DC155">
        <f>IF(DC$4=0,0,IF(COUNTIFS(実績!$W$6:$W$505,DC$3,実績!$AC$6:$AC$505,"&lt;="&amp;$A155,実績!$AD$6:$AD$505,"&gt;"&amp;$A155,実績!$AE$6:$AE$505,"○")&gt;0,1,0))</f>
        <v/>
      </c>
      <c r="DD155">
        <f>IF(DD$4=0,0,IF(COUNTIFS(実績!$W$6:$W$505,DD$3,実績!$AC$6:$AC$505,"&lt;="&amp;$A155,実績!$AD$6:$AD$505,"&gt;"&amp;$A155,実績!$AE$6:$AE$505,"○")&gt;0,1,0))</f>
        <v/>
      </c>
      <c r="DE155">
        <f>IF(DE$4=0,0,IF(COUNTIFS(実績!$W$6:$W$505,DE$3,実績!$AC$6:$AC$505,"&lt;="&amp;$A155,実績!$AD$6:$AD$505,"&gt;"&amp;$A155,実績!$AE$6:$AE$505,"○")&gt;0,1,0))</f>
        <v/>
      </c>
      <c r="DF155">
        <f>IF(DF$4=0,0,IF(COUNTIFS(実績!$W$6:$W$505,DF$3,実績!$AC$6:$AC$505,"&lt;="&amp;$A155,実績!$AD$6:$AD$505,"&gt;"&amp;$A155,実績!$AE$6:$AE$505,"○")&gt;0,1,0))</f>
        <v/>
      </c>
      <c r="DG155">
        <f>IF(DG$4=0,0,IF(COUNTIFS(実績!$W$6:$W$505,DG$3,実績!$AC$6:$AC$505,"&lt;="&amp;$A155,実績!$AD$6:$AD$505,"&gt;"&amp;$A155,実績!$AE$6:$AE$505,"○")&gt;0,1,0))</f>
        <v/>
      </c>
      <c r="DH155">
        <f>IF(DH$4=0,0,IF(COUNTIFS(実績!$W$6:$W$505,DH$3,実績!$AC$6:$AC$505,"&lt;="&amp;$A155,実績!$AD$6:$AD$505,"&gt;"&amp;$A155,実績!$AE$6:$AE$505,"○")&gt;0,1,0))</f>
        <v/>
      </c>
      <c r="DI155">
        <f>IF(DI$4=0,0,IF(COUNTIFS(実績!$W$6:$W$505,DI$3,実績!$AC$6:$AC$505,"&lt;="&amp;$A155,実績!$AD$6:$AD$505,"&gt;"&amp;$A155,実績!$AE$6:$AE$505,"○")&gt;0,1,0))</f>
        <v/>
      </c>
      <c r="DJ155">
        <f>IF(DJ$4=0,0,IF(COUNTIFS(実績!$W$6:$W$505,DJ$3,実績!$AC$6:$AC$505,"&lt;="&amp;$A155,実績!$AD$6:$AD$505,"&gt;"&amp;$A155,実績!$AE$6:$AE$505,"○")&gt;0,1,0))</f>
        <v/>
      </c>
      <c r="DK155">
        <f>IF(DK$4=0,0,IF(COUNTIFS(実績!$W$6:$W$505,DK$3,実績!$AC$6:$AC$505,"&lt;="&amp;$A155,実績!$AD$6:$AD$505,"&gt;"&amp;$A155,実績!$AE$6:$AE$505,"○")&gt;0,1,0))</f>
        <v/>
      </c>
      <c r="DL155">
        <f>IF(DL$4=0,0,IF(COUNTIFS(実績!$W$6:$W$505,DL$3,実績!$AC$6:$AC$505,"&lt;="&amp;$A155,実績!$AD$6:$AD$505,"&gt;"&amp;$A155,実績!$AE$6:$AE$505,"○")&gt;0,1,0))</f>
        <v/>
      </c>
      <c r="DM155">
        <f>IF(DM$4=0,0,IF(COUNTIFS(実績!$W$6:$W$505,DM$3,実績!$AC$6:$AC$505,"&lt;="&amp;$A155,実績!$AD$6:$AD$505,"&gt;"&amp;$A155,実績!$AE$6:$AE$505,"○")&gt;0,1,0))</f>
        <v/>
      </c>
      <c r="DN155">
        <f>IF(DN$4=0,0,IF(COUNTIFS(実績!$W$6:$W$505,DN$3,実績!$AC$6:$AC$505,"&lt;="&amp;$A155,実績!$AD$6:$AD$505,"&gt;"&amp;$A155,実績!$AE$6:$AE$505,"○")&gt;0,1,0))</f>
        <v/>
      </c>
      <c r="DO155">
        <f>IF(DO$4=0,0,IF(COUNTIFS(実績!$W$6:$W$505,DO$3,実績!$AC$6:$AC$505,"&lt;="&amp;$A155,実績!$AD$6:$AD$505,"&gt;"&amp;$A155,実績!$AE$6:$AE$505,"○")&gt;0,1,0))</f>
        <v/>
      </c>
      <c r="DP155">
        <f>IF(DP$4=0,0,IF(COUNTIFS(実績!$W$6:$W$505,DP$3,実績!$AC$6:$AC$505,"&lt;="&amp;$A155,実績!$AD$6:$AD$505,"&gt;"&amp;$A155,実績!$AE$6:$AE$505,"○")&gt;0,1,0))</f>
        <v/>
      </c>
      <c r="DQ155">
        <f>IF(DQ$4=0,0,IF(COUNTIFS(実績!$W$6:$W$505,DQ$3,実績!$AC$6:$AC$505,"&lt;="&amp;$A155,実績!$AD$6:$AD$505,"&gt;"&amp;$A155,実績!$AE$6:$AE$505,"○")&gt;0,1,0))</f>
        <v/>
      </c>
      <c r="DR155">
        <f>IF(DR$4=0,0,IF(COUNTIFS(実績!$W$6:$W$505,DR$3,実績!$AC$6:$AC$505,"&lt;="&amp;$A155,実績!$AD$6:$AD$505,"&gt;"&amp;$A155,実績!$AE$6:$AE$505,"○")&gt;0,1,0))</f>
        <v/>
      </c>
      <c r="DS155">
        <f>SUM(C155:DR155)</f>
        <v/>
      </c>
      <c r="DT155">
        <f>SUMPRODUCT((実績!$C$6:$C$505="○")*ISNUMBER(実績!$AF$6:$AF$505)*(実績!$AF$6:$AF$505&lt;=$A155)*(実績!$AG$6:$AG$505&gt;$A155))</f>
        <v/>
      </c>
      <c r="DU155">
        <f>SUMIF($C$2:$DR$2,"製鉄曳船",C155:DR155)</f>
        <v/>
      </c>
      <c r="DV155">
        <f>SUMIF($C$2:$DR$2,"西日本海運",C155:DR155)</f>
        <v/>
      </c>
    </row>
    <row r="156">
      <c r="A156" t="n">
        <v>750</v>
      </c>
      <c r="B156" s="29">
        <f>A156/1440</f>
        <v/>
      </c>
      <c r="C156">
        <f>IF(C$4=0,0,IF(COUNTIFS(実績!$W$6:$W$505,C$3,実績!$AC$6:$AC$505,"&lt;="&amp;$A156,実績!$AD$6:$AD$505,"&gt;"&amp;$A156,実績!$AE$6:$AE$505,"○")&gt;0,1,0))</f>
        <v/>
      </c>
      <c r="D156">
        <f>IF(D$4=0,0,IF(COUNTIFS(実績!$W$6:$W$505,D$3,実績!$AC$6:$AC$505,"&lt;="&amp;$A156,実績!$AD$6:$AD$505,"&gt;"&amp;$A156,実績!$AE$6:$AE$505,"○")&gt;0,1,0))</f>
        <v/>
      </c>
      <c r="E156">
        <f>IF(E$4=0,0,IF(COUNTIFS(実績!$W$6:$W$505,E$3,実績!$AC$6:$AC$505,"&lt;="&amp;$A156,実績!$AD$6:$AD$505,"&gt;"&amp;$A156,実績!$AE$6:$AE$505,"○")&gt;0,1,0))</f>
        <v/>
      </c>
      <c r="F156">
        <f>IF(F$4=0,0,IF(COUNTIFS(実績!$W$6:$W$505,F$3,実績!$AC$6:$AC$505,"&lt;="&amp;$A156,実績!$AD$6:$AD$505,"&gt;"&amp;$A156,実績!$AE$6:$AE$505,"○")&gt;0,1,0))</f>
        <v/>
      </c>
      <c r="G156">
        <f>IF(G$4=0,0,IF(COUNTIFS(実績!$W$6:$W$505,G$3,実績!$AC$6:$AC$505,"&lt;="&amp;$A156,実績!$AD$6:$AD$505,"&gt;"&amp;$A156,実績!$AE$6:$AE$505,"○")&gt;0,1,0))</f>
        <v/>
      </c>
      <c r="H156">
        <f>IF(H$4=0,0,IF(COUNTIFS(実績!$W$6:$W$505,H$3,実績!$AC$6:$AC$505,"&lt;="&amp;$A156,実績!$AD$6:$AD$505,"&gt;"&amp;$A156,実績!$AE$6:$AE$505,"○")&gt;0,1,0))</f>
        <v/>
      </c>
      <c r="I156">
        <f>IF(I$4=0,0,IF(COUNTIFS(実績!$W$6:$W$505,I$3,実績!$AC$6:$AC$505,"&lt;="&amp;$A156,実績!$AD$6:$AD$505,"&gt;"&amp;$A156,実績!$AE$6:$AE$505,"○")&gt;0,1,0))</f>
        <v/>
      </c>
      <c r="J156">
        <f>IF(J$4=0,0,IF(COUNTIFS(実績!$W$6:$W$505,J$3,実績!$AC$6:$AC$505,"&lt;="&amp;$A156,実績!$AD$6:$AD$505,"&gt;"&amp;$A156,実績!$AE$6:$AE$505,"○")&gt;0,1,0))</f>
        <v/>
      </c>
      <c r="K156">
        <f>IF(K$4=0,0,IF(COUNTIFS(実績!$W$6:$W$505,K$3,実績!$AC$6:$AC$505,"&lt;="&amp;$A156,実績!$AD$6:$AD$505,"&gt;"&amp;$A156,実績!$AE$6:$AE$505,"○")&gt;0,1,0))</f>
        <v/>
      </c>
      <c r="L156">
        <f>IF(L$4=0,0,IF(COUNTIFS(実績!$W$6:$W$505,L$3,実績!$AC$6:$AC$505,"&lt;="&amp;$A156,実績!$AD$6:$AD$505,"&gt;"&amp;$A156,実績!$AE$6:$AE$505,"○")&gt;0,1,0))</f>
        <v/>
      </c>
      <c r="M156">
        <f>IF(M$4=0,0,IF(COUNTIFS(実績!$W$6:$W$505,M$3,実績!$AC$6:$AC$505,"&lt;="&amp;$A156,実績!$AD$6:$AD$505,"&gt;"&amp;$A156,実績!$AE$6:$AE$505,"○")&gt;0,1,0))</f>
        <v/>
      </c>
      <c r="N156">
        <f>IF(N$4=0,0,IF(COUNTIFS(実績!$W$6:$W$505,N$3,実績!$AC$6:$AC$505,"&lt;="&amp;$A156,実績!$AD$6:$AD$505,"&gt;"&amp;$A156,実績!$AE$6:$AE$505,"○")&gt;0,1,0))</f>
        <v/>
      </c>
      <c r="O156">
        <f>IF(O$4=0,0,IF(COUNTIFS(実績!$W$6:$W$505,O$3,実績!$AC$6:$AC$505,"&lt;="&amp;$A156,実績!$AD$6:$AD$505,"&gt;"&amp;$A156,実績!$AE$6:$AE$505,"○")&gt;0,1,0))</f>
        <v/>
      </c>
      <c r="P156">
        <f>IF(P$4=0,0,IF(COUNTIFS(実績!$W$6:$W$505,P$3,実績!$AC$6:$AC$505,"&lt;="&amp;$A156,実績!$AD$6:$AD$505,"&gt;"&amp;$A156,実績!$AE$6:$AE$505,"○")&gt;0,1,0))</f>
        <v/>
      </c>
      <c r="Q156">
        <f>IF(Q$4=0,0,IF(COUNTIFS(実績!$W$6:$W$505,Q$3,実績!$AC$6:$AC$505,"&lt;="&amp;$A156,実績!$AD$6:$AD$505,"&gt;"&amp;$A156,実績!$AE$6:$AE$505,"○")&gt;0,1,0))</f>
        <v/>
      </c>
      <c r="R156">
        <f>IF(R$4=0,0,IF(COUNTIFS(実績!$W$6:$W$505,R$3,実績!$AC$6:$AC$505,"&lt;="&amp;$A156,実績!$AD$6:$AD$505,"&gt;"&amp;$A156,実績!$AE$6:$AE$505,"○")&gt;0,1,0))</f>
        <v/>
      </c>
      <c r="S156">
        <f>IF(S$4=0,0,IF(COUNTIFS(実績!$W$6:$W$505,S$3,実績!$AC$6:$AC$505,"&lt;="&amp;$A156,実績!$AD$6:$AD$505,"&gt;"&amp;$A156,実績!$AE$6:$AE$505,"○")&gt;0,1,0))</f>
        <v/>
      </c>
      <c r="T156">
        <f>IF(T$4=0,0,IF(COUNTIFS(実績!$W$6:$W$505,T$3,実績!$AC$6:$AC$505,"&lt;="&amp;$A156,実績!$AD$6:$AD$505,"&gt;"&amp;$A156,実績!$AE$6:$AE$505,"○")&gt;0,1,0))</f>
        <v/>
      </c>
      <c r="U156">
        <f>IF(U$4=0,0,IF(COUNTIFS(実績!$W$6:$W$505,U$3,実績!$AC$6:$AC$505,"&lt;="&amp;$A156,実績!$AD$6:$AD$505,"&gt;"&amp;$A156,実績!$AE$6:$AE$505,"○")&gt;0,1,0))</f>
        <v/>
      </c>
      <c r="V156">
        <f>IF(V$4=0,0,IF(COUNTIFS(実績!$W$6:$W$505,V$3,実績!$AC$6:$AC$505,"&lt;="&amp;$A156,実績!$AD$6:$AD$505,"&gt;"&amp;$A156,実績!$AE$6:$AE$505,"○")&gt;0,1,0))</f>
        <v/>
      </c>
      <c r="W156">
        <f>IF(W$4=0,0,IF(COUNTIFS(実績!$W$6:$W$505,W$3,実績!$AC$6:$AC$505,"&lt;="&amp;$A156,実績!$AD$6:$AD$505,"&gt;"&amp;$A156,実績!$AE$6:$AE$505,"○")&gt;0,1,0))</f>
        <v/>
      </c>
      <c r="X156">
        <f>IF(X$4=0,0,IF(COUNTIFS(実績!$W$6:$W$505,X$3,実績!$AC$6:$AC$505,"&lt;="&amp;$A156,実績!$AD$6:$AD$505,"&gt;"&amp;$A156,実績!$AE$6:$AE$505,"○")&gt;0,1,0))</f>
        <v/>
      </c>
      <c r="Y156">
        <f>IF(Y$4=0,0,IF(COUNTIFS(実績!$W$6:$W$505,Y$3,実績!$AC$6:$AC$505,"&lt;="&amp;$A156,実績!$AD$6:$AD$505,"&gt;"&amp;$A156,実績!$AE$6:$AE$505,"○")&gt;0,1,0))</f>
        <v/>
      </c>
      <c r="Z156">
        <f>IF(Z$4=0,0,IF(COUNTIFS(実績!$W$6:$W$505,Z$3,実績!$AC$6:$AC$505,"&lt;="&amp;$A156,実績!$AD$6:$AD$505,"&gt;"&amp;$A156,実績!$AE$6:$AE$505,"○")&gt;0,1,0))</f>
        <v/>
      </c>
      <c r="AA156">
        <f>IF(AA$4=0,0,IF(COUNTIFS(実績!$W$6:$W$505,AA$3,実績!$AC$6:$AC$505,"&lt;="&amp;$A156,実績!$AD$6:$AD$505,"&gt;"&amp;$A156,実績!$AE$6:$AE$505,"○")&gt;0,1,0))</f>
        <v/>
      </c>
      <c r="AB156">
        <f>IF(AB$4=0,0,IF(COUNTIFS(実績!$W$6:$W$505,AB$3,実績!$AC$6:$AC$505,"&lt;="&amp;$A156,実績!$AD$6:$AD$505,"&gt;"&amp;$A156,実績!$AE$6:$AE$505,"○")&gt;0,1,0))</f>
        <v/>
      </c>
      <c r="AC156">
        <f>IF(AC$4=0,0,IF(COUNTIFS(実績!$W$6:$W$505,AC$3,実績!$AC$6:$AC$505,"&lt;="&amp;$A156,実績!$AD$6:$AD$505,"&gt;"&amp;$A156,実績!$AE$6:$AE$505,"○")&gt;0,1,0))</f>
        <v/>
      </c>
      <c r="AD156">
        <f>IF(AD$4=0,0,IF(COUNTIFS(実績!$W$6:$W$505,AD$3,実績!$AC$6:$AC$505,"&lt;="&amp;$A156,実績!$AD$6:$AD$505,"&gt;"&amp;$A156,実績!$AE$6:$AE$505,"○")&gt;0,1,0))</f>
        <v/>
      </c>
      <c r="AE156">
        <f>IF(AE$4=0,0,IF(COUNTIFS(実績!$W$6:$W$505,AE$3,実績!$AC$6:$AC$505,"&lt;="&amp;$A156,実績!$AD$6:$AD$505,"&gt;"&amp;$A156,実績!$AE$6:$AE$505,"○")&gt;0,1,0))</f>
        <v/>
      </c>
      <c r="AF156">
        <f>IF(AF$4=0,0,IF(COUNTIFS(実績!$W$6:$W$505,AF$3,実績!$AC$6:$AC$505,"&lt;="&amp;$A156,実績!$AD$6:$AD$505,"&gt;"&amp;$A156,実績!$AE$6:$AE$505,"○")&gt;0,1,0))</f>
        <v/>
      </c>
      <c r="AG156">
        <f>IF(AG$4=0,0,IF(COUNTIFS(実績!$W$6:$W$505,AG$3,実績!$AC$6:$AC$505,"&lt;="&amp;$A156,実績!$AD$6:$AD$505,"&gt;"&amp;$A156,実績!$AE$6:$AE$505,"○")&gt;0,1,0))</f>
        <v/>
      </c>
      <c r="AH156">
        <f>IF(AH$4=0,0,IF(COUNTIFS(実績!$W$6:$W$505,AH$3,実績!$AC$6:$AC$505,"&lt;="&amp;$A156,実績!$AD$6:$AD$505,"&gt;"&amp;$A156,実績!$AE$6:$AE$505,"○")&gt;0,1,0))</f>
        <v/>
      </c>
      <c r="AI156">
        <f>IF(AI$4=0,0,IF(COUNTIFS(実績!$W$6:$W$505,AI$3,実績!$AC$6:$AC$505,"&lt;="&amp;$A156,実績!$AD$6:$AD$505,"&gt;"&amp;$A156,実績!$AE$6:$AE$505,"○")&gt;0,1,0))</f>
        <v/>
      </c>
      <c r="AJ156">
        <f>IF(AJ$4=0,0,IF(COUNTIFS(実績!$W$6:$W$505,AJ$3,実績!$AC$6:$AC$505,"&lt;="&amp;$A156,実績!$AD$6:$AD$505,"&gt;"&amp;$A156,実績!$AE$6:$AE$505,"○")&gt;0,1,0))</f>
        <v/>
      </c>
      <c r="AK156">
        <f>IF(AK$4=0,0,IF(COUNTIFS(実績!$W$6:$W$505,AK$3,実績!$AC$6:$AC$505,"&lt;="&amp;$A156,実績!$AD$6:$AD$505,"&gt;"&amp;$A156,実績!$AE$6:$AE$505,"○")&gt;0,1,0))</f>
        <v/>
      </c>
      <c r="AL156">
        <f>IF(AL$4=0,0,IF(COUNTIFS(実績!$W$6:$W$505,AL$3,実績!$AC$6:$AC$505,"&lt;="&amp;$A156,実績!$AD$6:$AD$505,"&gt;"&amp;$A156,実績!$AE$6:$AE$505,"○")&gt;0,1,0))</f>
        <v/>
      </c>
      <c r="AM156">
        <f>IF(AM$4=0,0,IF(COUNTIFS(実績!$W$6:$W$505,AM$3,実績!$AC$6:$AC$505,"&lt;="&amp;$A156,実績!$AD$6:$AD$505,"&gt;"&amp;$A156,実績!$AE$6:$AE$505,"○")&gt;0,1,0))</f>
        <v/>
      </c>
      <c r="AN156">
        <f>IF(AN$4=0,0,IF(COUNTIFS(実績!$W$6:$W$505,AN$3,実績!$AC$6:$AC$505,"&lt;="&amp;$A156,実績!$AD$6:$AD$505,"&gt;"&amp;$A156,実績!$AE$6:$AE$505,"○")&gt;0,1,0))</f>
        <v/>
      </c>
      <c r="AO156">
        <f>IF(AO$4=0,0,IF(COUNTIFS(実績!$W$6:$W$505,AO$3,実績!$AC$6:$AC$505,"&lt;="&amp;$A156,実績!$AD$6:$AD$505,"&gt;"&amp;$A156,実績!$AE$6:$AE$505,"○")&gt;0,1,0))</f>
        <v/>
      </c>
      <c r="AP156">
        <f>IF(AP$4=0,0,IF(COUNTIFS(実績!$W$6:$W$505,AP$3,実績!$AC$6:$AC$505,"&lt;="&amp;$A156,実績!$AD$6:$AD$505,"&gt;"&amp;$A156,実績!$AE$6:$AE$505,"○")&gt;0,1,0))</f>
        <v/>
      </c>
      <c r="AQ156">
        <f>IF(AQ$4=0,0,IF(COUNTIFS(実績!$W$6:$W$505,AQ$3,実績!$AC$6:$AC$505,"&lt;="&amp;$A156,実績!$AD$6:$AD$505,"&gt;"&amp;$A156,実績!$AE$6:$AE$505,"○")&gt;0,1,0))</f>
        <v/>
      </c>
      <c r="AR156">
        <f>IF(AR$4=0,0,IF(COUNTIFS(実績!$W$6:$W$505,AR$3,実績!$AC$6:$AC$505,"&lt;="&amp;$A156,実績!$AD$6:$AD$505,"&gt;"&amp;$A156,実績!$AE$6:$AE$505,"○")&gt;0,1,0))</f>
        <v/>
      </c>
      <c r="AS156">
        <f>IF(AS$4=0,0,IF(COUNTIFS(実績!$W$6:$W$505,AS$3,実績!$AC$6:$AC$505,"&lt;="&amp;$A156,実績!$AD$6:$AD$505,"&gt;"&amp;$A156,実績!$AE$6:$AE$505,"○")&gt;0,1,0))</f>
        <v/>
      </c>
      <c r="AT156">
        <f>IF(AT$4=0,0,IF(COUNTIFS(実績!$W$6:$W$505,AT$3,実績!$AC$6:$AC$505,"&lt;="&amp;$A156,実績!$AD$6:$AD$505,"&gt;"&amp;$A156,実績!$AE$6:$AE$505,"○")&gt;0,1,0))</f>
        <v/>
      </c>
      <c r="AU156">
        <f>IF(AU$4=0,0,IF(COUNTIFS(実績!$W$6:$W$505,AU$3,実績!$AC$6:$AC$505,"&lt;="&amp;$A156,実績!$AD$6:$AD$505,"&gt;"&amp;$A156,実績!$AE$6:$AE$505,"○")&gt;0,1,0))</f>
        <v/>
      </c>
      <c r="AV156">
        <f>IF(AV$4=0,0,IF(COUNTIFS(実績!$W$6:$W$505,AV$3,実績!$AC$6:$AC$505,"&lt;="&amp;$A156,実績!$AD$6:$AD$505,"&gt;"&amp;$A156,実績!$AE$6:$AE$505,"○")&gt;0,1,0))</f>
        <v/>
      </c>
      <c r="AW156">
        <f>IF(AW$4=0,0,IF(COUNTIFS(実績!$W$6:$W$505,AW$3,実績!$AC$6:$AC$505,"&lt;="&amp;$A156,実績!$AD$6:$AD$505,"&gt;"&amp;$A156,実績!$AE$6:$AE$505,"○")&gt;0,1,0))</f>
        <v/>
      </c>
      <c r="AX156">
        <f>IF(AX$4=0,0,IF(COUNTIFS(実績!$W$6:$W$505,AX$3,実績!$AC$6:$AC$505,"&lt;="&amp;$A156,実績!$AD$6:$AD$505,"&gt;"&amp;$A156,実績!$AE$6:$AE$505,"○")&gt;0,1,0))</f>
        <v/>
      </c>
      <c r="AY156">
        <f>IF(AY$4=0,0,IF(COUNTIFS(実績!$W$6:$W$505,AY$3,実績!$AC$6:$AC$505,"&lt;="&amp;$A156,実績!$AD$6:$AD$505,"&gt;"&amp;$A156,実績!$AE$6:$AE$505,"○")&gt;0,1,0))</f>
        <v/>
      </c>
      <c r="AZ156">
        <f>IF(AZ$4=0,0,IF(COUNTIFS(実績!$W$6:$W$505,AZ$3,実績!$AC$6:$AC$505,"&lt;="&amp;$A156,実績!$AD$6:$AD$505,"&gt;"&amp;$A156,実績!$AE$6:$AE$505,"○")&gt;0,1,0))</f>
        <v/>
      </c>
      <c r="BA156">
        <f>IF(BA$4=0,0,IF(COUNTIFS(実績!$W$6:$W$505,BA$3,実績!$AC$6:$AC$505,"&lt;="&amp;$A156,実績!$AD$6:$AD$505,"&gt;"&amp;$A156,実績!$AE$6:$AE$505,"○")&gt;0,1,0))</f>
        <v/>
      </c>
      <c r="BB156">
        <f>IF(BB$4=0,0,IF(COUNTIFS(実績!$W$6:$W$505,BB$3,実績!$AC$6:$AC$505,"&lt;="&amp;$A156,実績!$AD$6:$AD$505,"&gt;"&amp;$A156,実績!$AE$6:$AE$505,"○")&gt;0,1,0))</f>
        <v/>
      </c>
      <c r="BC156">
        <f>IF(BC$4=0,0,IF(COUNTIFS(実績!$W$6:$W$505,BC$3,実績!$AC$6:$AC$505,"&lt;="&amp;$A156,実績!$AD$6:$AD$505,"&gt;"&amp;$A156,実績!$AE$6:$AE$505,"○")&gt;0,1,0))</f>
        <v/>
      </c>
      <c r="BD156">
        <f>IF(BD$4=0,0,IF(COUNTIFS(実績!$W$6:$W$505,BD$3,実績!$AC$6:$AC$505,"&lt;="&amp;$A156,実績!$AD$6:$AD$505,"&gt;"&amp;$A156,実績!$AE$6:$AE$505,"○")&gt;0,1,0))</f>
        <v/>
      </c>
      <c r="BE156">
        <f>IF(BE$4=0,0,IF(COUNTIFS(実績!$W$6:$W$505,BE$3,実績!$AC$6:$AC$505,"&lt;="&amp;$A156,実績!$AD$6:$AD$505,"&gt;"&amp;$A156,実績!$AE$6:$AE$505,"○")&gt;0,1,0))</f>
        <v/>
      </c>
      <c r="BF156">
        <f>IF(BF$4=0,0,IF(COUNTIFS(実績!$W$6:$W$505,BF$3,実績!$AC$6:$AC$505,"&lt;="&amp;$A156,実績!$AD$6:$AD$505,"&gt;"&amp;$A156,実績!$AE$6:$AE$505,"○")&gt;0,1,0))</f>
        <v/>
      </c>
      <c r="BG156">
        <f>IF(BG$4=0,0,IF(COUNTIFS(実績!$W$6:$W$505,BG$3,実績!$AC$6:$AC$505,"&lt;="&amp;$A156,実績!$AD$6:$AD$505,"&gt;"&amp;$A156,実績!$AE$6:$AE$505,"○")&gt;0,1,0))</f>
        <v/>
      </c>
      <c r="BH156">
        <f>IF(BH$4=0,0,IF(COUNTIFS(実績!$W$6:$W$505,BH$3,実績!$AC$6:$AC$505,"&lt;="&amp;$A156,実績!$AD$6:$AD$505,"&gt;"&amp;$A156,実績!$AE$6:$AE$505,"○")&gt;0,1,0))</f>
        <v/>
      </c>
      <c r="BI156">
        <f>IF(BI$4=0,0,IF(COUNTIFS(実績!$W$6:$W$505,BI$3,実績!$AC$6:$AC$505,"&lt;="&amp;$A156,実績!$AD$6:$AD$505,"&gt;"&amp;$A156,実績!$AE$6:$AE$505,"○")&gt;0,1,0))</f>
        <v/>
      </c>
      <c r="BJ156">
        <f>IF(BJ$4=0,0,IF(COUNTIFS(実績!$W$6:$W$505,BJ$3,実績!$AC$6:$AC$505,"&lt;="&amp;$A156,実績!$AD$6:$AD$505,"&gt;"&amp;$A156,実績!$AE$6:$AE$505,"○")&gt;0,1,0))</f>
        <v/>
      </c>
      <c r="BK156">
        <f>IF(BK$4=0,0,IF(COUNTIFS(実績!$W$6:$W$505,BK$3,実績!$AC$6:$AC$505,"&lt;="&amp;$A156,実績!$AD$6:$AD$505,"&gt;"&amp;$A156,実績!$AE$6:$AE$505,"○")&gt;0,1,0))</f>
        <v/>
      </c>
      <c r="BL156">
        <f>IF(BL$4=0,0,IF(COUNTIFS(実績!$W$6:$W$505,BL$3,実績!$AC$6:$AC$505,"&lt;="&amp;$A156,実績!$AD$6:$AD$505,"&gt;"&amp;$A156,実績!$AE$6:$AE$505,"○")&gt;0,1,0))</f>
        <v/>
      </c>
      <c r="BM156">
        <f>IF(BM$4=0,0,IF(COUNTIFS(実績!$W$6:$W$505,BM$3,実績!$AC$6:$AC$505,"&lt;="&amp;$A156,実績!$AD$6:$AD$505,"&gt;"&amp;$A156,実績!$AE$6:$AE$505,"○")&gt;0,1,0))</f>
        <v/>
      </c>
      <c r="BN156">
        <f>IF(BN$4=0,0,IF(COUNTIFS(実績!$W$6:$W$505,BN$3,実績!$AC$6:$AC$505,"&lt;="&amp;$A156,実績!$AD$6:$AD$505,"&gt;"&amp;$A156,実績!$AE$6:$AE$505,"○")&gt;0,1,0))</f>
        <v/>
      </c>
      <c r="BO156">
        <f>IF(BO$4=0,0,IF(COUNTIFS(実績!$W$6:$W$505,BO$3,実績!$AC$6:$AC$505,"&lt;="&amp;$A156,実績!$AD$6:$AD$505,"&gt;"&amp;$A156,実績!$AE$6:$AE$505,"○")&gt;0,1,0))</f>
        <v/>
      </c>
      <c r="BP156">
        <f>IF(BP$4=0,0,IF(COUNTIFS(実績!$W$6:$W$505,BP$3,実績!$AC$6:$AC$505,"&lt;="&amp;$A156,実績!$AD$6:$AD$505,"&gt;"&amp;$A156,実績!$AE$6:$AE$505,"○")&gt;0,1,0))</f>
        <v/>
      </c>
      <c r="BQ156">
        <f>IF(BQ$4=0,0,IF(COUNTIFS(実績!$W$6:$W$505,BQ$3,実績!$AC$6:$AC$505,"&lt;="&amp;$A156,実績!$AD$6:$AD$505,"&gt;"&amp;$A156,実績!$AE$6:$AE$505,"○")&gt;0,1,0))</f>
        <v/>
      </c>
      <c r="BR156">
        <f>IF(BR$4=0,0,IF(COUNTIFS(実績!$W$6:$W$505,BR$3,実績!$AC$6:$AC$505,"&lt;="&amp;$A156,実績!$AD$6:$AD$505,"&gt;"&amp;$A156,実績!$AE$6:$AE$505,"○")&gt;0,1,0))</f>
        <v/>
      </c>
      <c r="BS156">
        <f>IF(BS$4=0,0,IF(COUNTIFS(実績!$W$6:$W$505,BS$3,実績!$AC$6:$AC$505,"&lt;="&amp;$A156,実績!$AD$6:$AD$505,"&gt;"&amp;$A156,実績!$AE$6:$AE$505,"○")&gt;0,1,0))</f>
        <v/>
      </c>
      <c r="BT156">
        <f>IF(BT$4=0,0,IF(COUNTIFS(実績!$W$6:$W$505,BT$3,実績!$AC$6:$AC$505,"&lt;="&amp;$A156,実績!$AD$6:$AD$505,"&gt;"&amp;$A156,実績!$AE$6:$AE$505,"○")&gt;0,1,0))</f>
        <v/>
      </c>
      <c r="BU156">
        <f>IF(BU$4=0,0,IF(COUNTIFS(実績!$W$6:$W$505,BU$3,実績!$AC$6:$AC$505,"&lt;="&amp;$A156,実績!$AD$6:$AD$505,"&gt;"&amp;$A156,実績!$AE$6:$AE$505,"○")&gt;0,1,0))</f>
        <v/>
      </c>
      <c r="BV156">
        <f>IF(BV$4=0,0,IF(COUNTIFS(実績!$W$6:$W$505,BV$3,実績!$AC$6:$AC$505,"&lt;="&amp;$A156,実績!$AD$6:$AD$505,"&gt;"&amp;$A156,実績!$AE$6:$AE$505,"○")&gt;0,1,0))</f>
        <v/>
      </c>
      <c r="BW156">
        <f>IF(BW$4=0,0,IF(COUNTIFS(実績!$W$6:$W$505,BW$3,実績!$AC$6:$AC$505,"&lt;="&amp;$A156,実績!$AD$6:$AD$505,"&gt;"&amp;$A156,実績!$AE$6:$AE$505,"○")&gt;0,1,0))</f>
        <v/>
      </c>
      <c r="BX156">
        <f>IF(BX$4=0,0,IF(COUNTIFS(実績!$W$6:$W$505,BX$3,実績!$AC$6:$AC$505,"&lt;="&amp;$A156,実績!$AD$6:$AD$505,"&gt;"&amp;$A156,実績!$AE$6:$AE$505,"○")&gt;0,1,0))</f>
        <v/>
      </c>
      <c r="BY156">
        <f>IF(BY$4=0,0,IF(COUNTIFS(実績!$W$6:$W$505,BY$3,実績!$AC$6:$AC$505,"&lt;="&amp;$A156,実績!$AD$6:$AD$505,"&gt;"&amp;$A156,実績!$AE$6:$AE$505,"○")&gt;0,1,0))</f>
        <v/>
      </c>
      <c r="BZ156">
        <f>IF(BZ$4=0,0,IF(COUNTIFS(実績!$W$6:$W$505,BZ$3,実績!$AC$6:$AC$505,"&lt;="&amp;$A156,実績!$AD$6:$AD$505,"&gt;"&amp;$A156,実績!$AE$6:$AE$505,"○")&gt;0,1,0))</f>
        <v/>
      </c>
      <c r="CA156">
        <f>IF(CA$4=0,0,IF(COUNTIFS(実績!$W$6:$W$505,CA$3,実績!$AC$6:$AC$505,"&lt;="&amp;$A156,実績!$AD$6:$AD$505,"&gt;"&amp;$A156,実績!$AE$6:$AE$505,"○")&gt;0,1,0))</f>
        <v/>
      </c>
      <c r="CB156">
        <f>IF(CB$4=0,0,IF(COUNTIFS(実績!$W$6:$W$505,CB$3,実績!$AC$6:$AC$505,"&lt;="&amp;$A156,実績!$AD$6:$AD$505,"&gt;"&amp;$A156,実績!$AE$6:$AE$505,"○")&gt;0,1,0))</f>
        <v/>
      </c>
      <c r="CC156">
        <f>IF(CC$4=0,0,IF(COUNTIFS(実績!$W$6:$W$505,CC$3,実績!$AC$6:$AC$505,"&lt;="&amp;$A156,実績!$AD$6:$AD$505,"&gt;"&amp;$A156,実績!$AE$6:$AE$505,"○")&gt;0,1,0))</f>
        <v/>
      </c>
      <c r="CD156">
        <f>IF(CD$4=0,0,IF(COUNTIFS(実績!$W$6:$W$505,CD$3,実績!$AC$6:$AC$505,"&lt;="&amp;$A156,実績!$AD$6:$AD$505,"&gt;"&amp;$A156,実績!$AE$6:$AE$505,"○")&gt;0,1,0))</f>
        <v/>
      </c>
      <c r="CE156">
        <f>IF(CE$4=0,0,IF(COUNTIFS(実績!$W$6:$W$505,CE$3,実績!$AC$6:$AC$505,"&lt;="&amp;$A156,実績!$AD$6:$AD$505,"&gt;"&amp;$A156,実績!$AE$6:$AE$505,"○")&gt;0,1,0))</f>
        <v/>
      </c>
      <c r="CF156">
        <f>IF(CF$4=0,0,IF(COUNTIFS(実績!$W$6:$W$505,CF$3,実績!$AC$6:$AC$505,"&lt;="&amp;$A156,実績!$AD$6:$AD$505,"&gt;"&amp;$A156,実績!$AE$6:$AE$505,"○")&gt;0,1,0))</f>
        <v/>
      </c>
      <c r="CG156">
        <f>IF(CG$4=0,0,IF(COUNTIFS(実績!$W$6:$W$505,CG$3,実績!$AC$6:$AC$505,"&lt;="&amp;$A156,実績!$AD$6:$AD$505,"&gt;"&amp;$A156,実績!$AE$6:$AE$505,"○")&gt;0,1,0))</f>
        <v/>
      </c>
      <c r="CH156">
        <f>IF(CH$4=0,0,IF(COUNTIFS(実績!$W$6:$W$505,CH$3,実績!$AC$6:$AC$505,"&lt;="&amp;$A156,実績!$AD$6:$AD$505,"&gt;"&amp;$A156,実績!$AE$6:$AE$505,"○")&gt;0,1,0))</f>
        <v/>
      </c>
      <c r="CI156">
        <f>IF(CI$4=0,0,IF(COUNTIFS(実績!$W$6:$W$505,CI$3,実績!$AC$6:$AC$505,"&lt;="&amp;$A156,実績!$AD$6:$AD$505,"&gt;"&amp;$A156,実績!$AE$6:$AE$505,"○")&gt;0,1,0))</f>
        <v/>
      </c>
      <c r="CJ156">
        <f>IF(CJ$4=0,0,IF(COUNTIFS(実績!$W$6:$W$505,CJ$3,実績!$AC$6:$AC$505,"&lt;="&amp;$A156,実績!$AD$6:$AD$505,"&gt;"&amp;$A156,実績!$AE$6:$AE$505,"○")&gt;0,1,0))</f>
        <v/>
      </c>
      <c r="CK156">
        <f>IF(CK$4=0,0,IF(COUNTIFS(実績!$W$6:$W$505,CK$3,実績!$AC$6:$AC$505,"&lt;="&amp;$A156,実績!$AD$6:$AD$505,"&gt;"&amp;$A156,実績!$AE$6:$AE$505,"○")&gt;0,1,0))</f>
        <v/>
      </c>
      <c r="CL156">
        <f>IF(CL$4=0,0,IF(COUNTIFS(実績!$W$6:$W$505,CL$3,実績!$AC$6:$AC$505,"&lt;="&amp;$A156,実績!$AD$6:$AD$505,"&gt;"&amp;$A156,実績!$AE$6:$AE$505,"○")&gt;0,1,0))</f>
        <v/>
      </c>
      <c r="CM156">
        <f>IF(CM$4=0,0,IF(COUNTIFS(実績!$W$6:$W$505,CM$3,実績!$AC$6:$AC$505,"&lt;="&amp;$A156,実績!$AD$6:$AD$505,"&gt;"&amp;$A156,実績!$AE$6:$AE$505,"○")&gt;0,1,0))</f>
        <v/>
      </c>
      <c r="CN156">
        <f>IF(CN$4=0,0,IF(COUNTIFS(実績!$W$6:$W$505,CN$3,実績!$AC$6:$AC$505,"&lt;="&amp;$A156,実績!$AD$6:$AD$505,"&gt;"&amp;$A156,実績!$AE$6:$AE$505,"○")&gt;0,1,0))</f>
        <v/>
      </c>
      <c r="CO156">
        <f>IF(CO$4=0,0,IF(COUNTIFS(実績!$W$6:$W$505,CO$3,実績!$AC$6:$AC$505,"&lt;="&amp;$A156,実績!$AD$6:$AD$505,"&gt;"&amp;$A156,実績!$AE$6:$AE$505,"○")&gt;0,1,0))</f>
        <v/>
      </c>
      <c r="CP156">
        <f>IF(CP$4=0,0,IF(COUNTIFS(実績!$W$6:$W$505,CP$3,実績!$AC$6:$AC$505,"&lt;="&amp;$A156,実績!$AD$6:$AD$505,"&gt;"&amp;$A156,実績!$AE$6:$AE$505,"○")&gt;0,1,0))</f>
        <v/>
      </c>
      <c r="CQ156">
        <f>IF(CQ$4=0,0,IF(COUNTIFS(実績!$W$6:$W$505,CQ$3,実績!$AC$6:$AC$505,"&lt;="&amp;$A156,実績!$AD$6:$AD$505,"&gt;"&amp;$A156,実績!$AE$6:$AE$505,"○")&gt;0,1,0))</f>
        <v/>
      </c>
      <c r="CR156">
        <f>IF(CR$4=0,0,IF(COUNTIFS(実績!$W$6:$W$505,CR$3,実績!$AC$6:$AC$505,"&lt;="&amp;$A156,実績!$AD$6:$AD$505,"&gt;"&amp;$A156,実績!$AE$6:$AE$505,"○")&gt;0,1,0))</f>
        <v/>
      </c>
      <c r="CS156">
        <f>IF(CS$4=0,0,IF(COUNTIFS(実績!$W$6:$W$505,CS$3,実績!$AC$6:$AC$505,"&lt;="&amp;$A156,実績!$AD$6:$AD$505,"&gt;"&amp;$A156,実績!$AE$6:$AE$505,"○")&gt;0,1,0))</f>
        <v/>
      </c>
      <c r="CT156">
        <f>IF(CT$4=0,0,IF(COUNTIFS(実績!$W$6:$W$505,CT$3,実績!$AC$6:$AC$505,"&lt;="&amp;$A156,実績!$AD$6:$AD$505,"&gt;"&amp;$A156,実績!$AE$6:$AE$505,"○")&gt;0,1,0))</f>
        <v/>
      </c>
      <c r="CU156">
        <f>IF(CU$4=0,0,IF(COUNTIFS(実績!$W$6:$W$505,CU$3,実績!$AC$6:$AC$505,"&lt;="&amp;$A156,実績!$AD$6:$AD$505,"&gt;"&amp;$A156,実績!$AE$6:$AE$505,"○")&gt;0,1,0))</f>
        <v/>
      </c>
      <c r="CV156">
        <f>IF(CV$4=0,0,IF(COUNTIFS(実績!$W$6:$W$505,CV$3,実績!$AC$6:$AC$505,"&lt;="&amp;$A156,実績!$AD$6:$AD$505,"&gt;"&amp;$A156,実績!$AE$6:$AE$505,"○")&gt;0,1,0))</f>
        <v/>
      </c>
      <c r="CW156">
        <f>IF(CW$4=0,0,IF(COUNTIFS(実績!$W$6:$W$505,CW$3,実績!$AC$6:$AC$505,"&lt;="&amp;$A156,実績!$AD$6:$AD$505,"&gt;"&amp;$A156,実績!$AE$6:$AE$505,"○")&gt;0,1,0))</f>
        <v/>
      </c>
      <c r="CX156">
        <f>IF(CX$4=0,0,IF(COUNTIFS(実績!$W$6:$W$505,CX$3,実績!$AC$6:$AC$505,"&lt;="&amp;$A156,実績!$AD$6:$AD$505,"&gt;"&amp;$A156,実績!$AE$6:$AE$505,"○")&gt;0,1,0))</f>
        <v/>
      </c>
      <c r="CY156">
        <f>IF(CY$4=0,0,IF(COUNTIFS(実績!$W$6:$W$505,CY$3,実績!$AC$6:$AC$505,"&lt;="&amp;$A156,実績!$AD$6:$AD$505,"&gt;"&amp;$A156,実績!$AE$6:$AE$505,"○")&gt;0,1,0))</f>
        <v/>
      </c>
      <c r="CZ156">
        <f>IF(CZ$4=0,0,IF(COUNTIFS(実績!$W$6:$W$505,CZ$3,実績!$AC$6:$AC$505,"&lt;="&amp;$A156,実績!$AD$6:$AD$505,"&gt;"&amp;$A156,実績!$AE$6:$AE$505,"○")&gt;0,1,0))</f>
        <v/>
      </c>
      <c r="DA156">
        <f>IF(DA$4=0,0,IF(COUNTIFS(実績!$W$6:$W$505,DA$3,実績!$AC$6:$AC$505,"&lt;="&amp;$A156,実績!$AD$6:$AD$505,"&gt;"&amp;$A156,実績!$AE$6:$AE$505,"○")&gt;0,1,0))</f>
        <v/>
      </c>
      <c r="DB156">
        <f>IF(DB$4=0,0,IF(COUNTIFS(実績!$W$6:$W$505,DB$3,実績!$AC$6:$AC$505,"&lt;="&amp;$A156,実績!$AD$6:$AD$505,"&gt;"&amp;$A156,実績!$AE$6:$AE$505,"○")&gt;0,1,0))</f>
        <v/>
      </c>
      <c r="DC156">
        <f>IF(DC$4=0,0,IF(COUNTIFS(実績!$W$6:$W$505,DC$3,実績!$AC$6:$AC$505,"&lt;="&amp;$A156,実績!$AD$6:$AD$505,"&gt;"&amp;$A156,実績!$AE$6:$AE$505,"○")&gt;0,1,0))</f>
        <v/>
      </c>
      <c r="DD156">
        <f>IF(DD$4=0,0,IF(COUNTIFS(実績!$W$6:$W$505,DD$3,実績!$AC$6:$AC$505,"&lt;="&amp;$A156,実績!$AD$6:$AD$505,"&gt;"&amp;$A156,実績!$AE$6:$AE$505,"○")&gt;0,1,0))</f>
        <v/>
      </c>
      <c r="DE156">
        <f>IF(DE$4=0,0,IF(COUNTIFS(実績!$W$6:$W$505,DE$3,実績!$AC$6:$AC$505,"&lt;="&amp;$A156,実績!$AD$6:$AD$505,"&gt;"&amp;$A156,実績!$AE$6:$AE$505,"○")&gt;0,1,0))</f>
        <v/>
      </c>
      <c r="DF156">
        <f>IF(DF$4=0,0,IF(COUNTIFS(実績!$W$6:$W$505,DF$3,実績!$AC$6:$AC$505,"&lt;="&amp;$A156,実績!$AD$6:$AD$505,"&gt;"&amp;$A156,実績!$AE$6:$AE$505,"○")&gt;0,1,0))</f>
        <v/>
      </c>
      <c r="DG156">
        <f>IF(DG$4=0,0,IF(COUNTIFS(実績!$W$6:$W$505,DG$3,実績!$AC$6:$AC$505,"&lt;="&amp;$A156,実績!$AD$6:$AD$505,"&gt;"&amp;$A156,実績!$AE$6:$AE$505,"○")&gt;0,1,0))</f>
        <v/>
      </c>
      <c r="DH156">
        <f>IF(DH$4=0,0,IF(COUNTIFS(実績!$W$6:$W$505,DH$3,実績!$AC$6:$AC$505,"&lt;="&amp;$A156,実績!$AD$6:$AD$505,"&gt;"&amp;$A156,実績!$AE$6:$AE$505,"○")&gt;0,1,0))</f>
        <v/>
      </c>
      <c r="DI156">
        <f>IF(DI$4=0,0,IF(COUNTIFS(実績!$W$6:$W$505,DI$3,実績!$AC$6:$AC$505,"&lt;="&amp;$A156,実績!$AD$6:$AD$505,"&gt;"&amp;$A156,実績!$AE$6:$AE$505,"○")&gt;0,1,0))</f>
        <v/>
      </c>
      <c r="DJ156">
        <f>IF(DJ$4=0,0,IF(COUNTIFS(実績!$W$6:$W$505,DJ$3,実績!$AC$6:$AC$505,"&lt;="&amp;$A156,実績!$AD$6:$AD$505,"&gt;"&amp;$A156,実績!$AE$6:$AE$505,"○")&gt;0,1,0))</f>
        <v/>
      </c>
      <c r="DK156">
        <f>IF(DK$4=0,0,IF(COUNTIFS(実績!$W$6:$W$505,DK$3,実績!$AC$6:$AC$505,"&lt;="&amp;$A156,実績!$AD$6:$AD$505,"&gt;"&amp;$A156,実績!$AE$6:$AE$505,"○")&gt;0,1,0))</f>
        <v/>
      </c>
      <c r="DL156">
        <f>IF(DL$4=0,0,IF(COUNTIFS(実績!$W$6:$W$505,DL$3,実績!$AC$6:$AC$505,"&lt;="&amp;$A156,実績!$AD$6:$AD$505,"&gt;"&amp;$A156,実績!$AE$6:$AE$505,"○")&gt;0,1,0))</f>
        <v/>
      </c>
      <c r="DM156">
        <f>IF(DM$4=0,0,IF(COUNTIFS(実績!$W$6:$W$505,DM$3,実績!$AC$6:$AC$505,"&lt;="&amp;$A156,実績!$AD$6:$AD$505,"&gt;"&amp;$A156,実績!$AE$6:$AE$505,"○")&gt;0,1,0))</f>
        <v/>
      </c>
      <c r="DN156">
        <f>IF(DN$4=0,0,IF(COUNTIFS(実績!$W$6:$W$505,DN$3,実績!$AC$6:$AC$505,"&lt;="&amp;$A156,実績!$AD$6:$AD$505,"&gt;"&amp;$A156,実績!$AE$6:$AE$505,"○")&gt;0,1,0))</f>
        <v/>
      </c>
      <c r="DO156">
        <f>IF(DO$4=0,0,IF(COUNTIFS(実績!$W$6:$W$505,DO$3,実績!$AC$6:$AC$505,"&lt;="&amp;$A156,実績!$AD$6:$AD$505,"&gt;"&amp;$A156,実績!$AE$6:$AE$505,"○")&gt;0,1,0))</f>
        <v/>
      </c>
      <c r="DP156">
        <f>IF(DP$4=0,0,IF(COUNTIFS(実績!$W$6:$W$505,DP$3,実績!$AC$6:$AC$505,"&lt;="&amp;$A156,実績!$AD$6:$AD$505,"&gt;"&amp;$A156,実績!$AE$6:$AE$505,"○")&gt;0,1,0))</f>
        <v/>
      </c>
      <c r="DQ156">
        <f>IF(DQ$4=0,0,IF(COUNTIFS(実績!$W$6:$W$505,DQ$3,実績!$AC$6:$AC$505,"&lt;="&amp;$A156,実績!$AD$6:$AD$505,"&gt;"&amp;$A156,実績!$AE$6:$AE$505,"○")&gt;0,1,0))</f>
        <v/>
      </c>
      <c r="DR156">
        <f>IF(DR$4=0,0,IF(COUNTIFS(実績!$W$6:$W$505,DR$3,実績!$AC$6:$AC$505,"&lt;="&amp;$A156,実績!$AD$6:$AD$505,"&gt;"&amp;$A156,実績!$AE$6:$AE$505,"○")&gt;0,1,0))</f>
        <v/>
      </c>
      <c r="DS156">
        <f>SUM(C156:DR156)</f>
        <v/>
      </c>
      <c r="DT156">
        <f>SUMPRODUCT((実績!$C$6:$C$505="○")*ISNUMBER(実績!$AF$6:$AF$505)*(実績!$AF$6:$AF$505&lt;=$A156)*(実績!$AG$6:$AG$505&gt;$A156))</f>
        <v/>
      </c>
      <c r="DU156">
        <f>SUMIF($C$2:$DR$2,"製鉄曳船",C156:DR156)</f>
        <v/>
      </c>
      <c r="DV156">
        <f>SUMIF($C$2:$DR$2,"西日本海運",C156:DR156)</f>
        <v/>
      </c>
    </row>
    <row r="157">
      <c r="A157" t="n">
        <v>755</v>
      </c>
      <c r="B157" s="29">
        <f>A157/1440</f>
        <v/>
      </c>
      <c r="C157">
        <f>IF(C$4=0,0,IF(COUNTIFS(実績!$W$6:$W$505,C$3,実績!$AC$6:$AC$505,"&lt;="&amp;$A157,実績!$AD$6:$AD$505,"&gt;"&amp;$A157,実績!$AE$6:$AE$505,"○")&gt;0,1,0))</f>
        <v/>
      </c>
      <c r="D157">
        <f>IF(D$4=0,0,IF(COUNTIFS(実績!$W$6:$W$505,D$3,実績!$AC$6:$AC$505,"&lt;="&amp;$A157,実績!$AD$6:$AD$505,"&gt;"&amp;$A157,実績!$AE$6:$AE$505,"○")&gt;0,1,0))</f>
        <v/>
      </c>
      <c r="E157">
        <f>IF(E$4=0,0,IF(COUNTIFS(実績!$W$6:$W$505,E$3,実績!$AC$6:$AC$505,"&lt;="&amp;$A157,実績!$AD$6:$AD$505,"&gt;"&amp;$A157,実績!$AE$6:$AE$505,"○")&gt;0,1,0))</f>
        <v/>
      </c>
      <c r="F157">
        <f>IF(F$4=0,0,IF(COUNTIFS(実績!$W$6:$W$505,F$3,実績!$AC$6:$AC$505,"&lt;="&amp;$A157,実績!$AD$6:$AD$505,"&gt;"&amp;$A157,実績!$AE$6:$AE$505,"○")&gt;0,1,0))</f>
        <v/>
      </c>
      <c r="G157">
        <f>IF(G$4=0,0,IF(COUNTIFS(実績!$W$6:$W$505,G$3,実績!$AC$6:$AC$505,"&lt;="&amp;$A157,実績!$AD$6:$AD$505,"&gt;"&amp;$A157,実績!$AE$6:$AE$505,"○")&gt;0,1,0))</f>
        <v/>
      </c>
      <c r="H157">
        <f>IF(H$4=0,0,IF(COUNTIFS(実績!$W$6:$W$505,H$3,実績!$AC$6:$AC$505,"&lt;="&amp;$A157,実績!$AD$6:$AD$505,"&gt;"&amp;$A157,実績!$AE$6:$AE$505,"○")&gt;0,1,0))</f>
        <v/>
      </c>
      <c r="I157">
        <f>IF(I$4=0,0,IF(COUNTIFS(実績!$W$6:$W$505,I$3,実績!$AC$6:$AC$505,"&lt;="&amp;$A157,実績!$AD$6:$AD$505,"&gt;"&amp;$A157,実績!$AE$6:$AE$505,"○")&gt;0,1,0))</f>
        <v/>
      </c>
      <c r="J157">
        <f>IF(J$4=0,0,IF(COUNTIFS(実績!$W$6:$W$505,J$3,実績!$AC$6:$AC$505,"&lt;="&amp;$A157,実績!$AD$6:$AD$505,"&gt;"&amp;$A157,実績!$AE$6:$AE$505,"○")&gt;0,1,0))</f>
        <v/>
      </c>
      <c r="K157">
        <f>IF(K$4=0,0,IF(COUNTIFS(実績!$W$6:$W$505,K$3,実績!$AC$6:$AC$505,"&lt;="&amp;$A157,実績!$AD$6:$AD$505,"&gt;"&amp;$A157,実績!$AE$6:$AE$505,"○")&gt;0,1,0))</f>
        <v/>
      </c>
      <c r="L157">
        <f>IF(L$4=0,0,IF(COUNTIFS(実績!$W$6:$W$505,L$3,実績!$AC$6:$AC$505,"&lt;="&amp;$A157,実績!$AD$6:$AD$505,"&gt;"&amp;$A157,実績!$AE$6:$AE$505,"○")&gt;0,1,0))</f>
        <v/>
      </c>
      <c r="M157">
        <f>IF(M$4=0,0,IF(COUNTIFS(実績!$W$6:$W$505,M$3,実績!$AC$6:$AC$505,"&lt;="&amp;$A157,実績!$AD$6:$AD$505,"&gt;"&amp;$A157,実績!$AE$6:$AE$505,"○")&gt;0,1,0))</f>
        <v/>
      </c>
      <c r="N157">
        <f>IF(N$4=0,0,IF(COUNTIFS(実績!$W$6:$W$505,N$3,実績!$AC$6:$AC$505,"&lt;="&amp;$A157,実績!$AD$6:$AD$505,"&gt;"&amp;$A157,実績!$AE$6:$AE$505,"○")&gt;0,1,0))</f>
        <v/>
      </c>
      <c r="O157">
        <f>IF(O$4=0,0,IF(COUNTIFS(実績!$W$6:$W$505,O$3,実績!$AC$6:$AC$505,"&lt;="&amp;$A157,実績!$AD$6:$AD$505,"&gt;"&amp;$A157,実績!$AE$6:$AE$505,"○")&gt;0,1,0))</f>
        <v/>
      </c>
      <c r="P157">
        <f>IF(P$4=0,0,IF(COUNTIFS(実績!$W$6:$W$505,P$3,実績!$AC$6:$AC$505,"&lt;="&amp;$A157,実績!$AD$6:$AD$505,"&gt;"&amp;$A157,実績!$AE$6:$AE$505,"○")&gt;0,1,0))</f>
        <v/>
      </c>
      <c r="Q157">
        <f>IF(Q$4=0,0,IF(COUNTIFS(実績!$W$6:$W$505,Q$3,実績!$AC$6:$AC$505,"&lt;="&amp;$A157,実績!$AD$6:$AD$505,"&gt;"&amp;$A157,実績!$AE$6:$AE$505,"○")&gt;0,1,0))</f>
        <v/>
      </c>
      <c r="R157">
        <f>IF(R$4=0,0,IF(COUNTIFS(実績!$W$6:$W$505,R$3,実績!$AC$6:$AC$505,"&lt;="&amp;$A157,実績!$AD$6:$AD$505,"&gt;"&amp;$A157,実績!$AE$6:$AE$505,"○")&gt;0,1,0))</f>
        <v/>
      </c>
      <c r="S157">
        <f>IF(S$4=0,0,IF(COUNTIFS(実績!$W$6:$W$505,S$3,実績!$AC$6:$AC$505,"&lt;="&amp;$A157,実績!$AD$6:$AD$505,"&gt;"&amp;$A157,実績!$AE$6:$AE$505,"○")&gt;0,1,0))</f>
        <v/>
      </c>
      <c r="T157">
        <f>IF(T$4=0,0,IF(COUNTIFS(実績!$W$6:$W$505,T$3,実績!$AC$6:$AC$505,"&lt;="&amp;$A157,実績!$AD$6:$AD$505,"&gt;"&amp;$A157,実績!$AE$6:$AE$505,"○")&gt;0,1,0))</f>
        <v/>
      </c>
      <c r="U157">
        <f>IF(U$4=0,0,IF(COUNTIFS(実績!$W$6:$W$505,U$3,実績!$AC$6:$AC$505,"&lt;="&amp;$A157,実績!$AD$6:$AD$505,"&gt;"&amp;$A157,実績!$AE$6:$AE$505,"○")&gt;0,1,0))</f>
        <v/>
      </c>
      <c r="V157">
        <f>IF(V$4=0,0,IF(COUNTIFS(実績!$W$6:$W$505,V$3,実績!$AC$6:$AC$505,"&lt;="&amp;$A157,実績!$AD$6:$AD$505,"&gt;"&amp;$A157,実績!$AE$6:$AE$505,"○")&gt;0,1,0))</f>
        <v/>
      </c>
      <c r="W157">
        <f>IF(W$4=0,0,IF(COUNTIFS(実績!$W$6:$W$505,W$3,実績!$AC$6:$AC$505,"&lt;="&amp;$A157,実績!$AD$6:$AD$505,"&gt;"&amp;$A157,実績!$AE$6:$AE$505,"○")&gt;0,1,0))</f>
        <v/>
      </c>
      <c r="X157">
        <f>IF(X$4=0,0,IF(COUNTIFS(実績!$W$6:$W$505,X$3,実績!$AC$6:$AC$505,"&lt;="&amp;$A157,実績!$AD$6:$AD$505,"&gt;"&amp;$A157,実績!$AE$6:$AE$505,"○")&gt;0,1,0))</f>
        <v/>
      </c>
      <c r="Y157">
        <f>IF(Y$4=0,0,IF(COUNTIFS(実績!$W$6:$W$505,Y$3,実績!$AC$6:$AC$505,"&lt;="&amp;$A157,実績!$AD$6:$AD$505,"&gt;"&amp;$A157,実績!$AE$6:$AE$505,"○")&gt;0,1,0))</f>
        <v/>
      </c>
      <c r="Z157">
        <f>IF(Z$4=0,0,IF(COUNTIFS(実績!$W$6:$W$505,Z$3,実績!$AC$6:$AC$505,"&lt;="&amp;$A157,実績!$AD$6:$AD$505,"&gt;"&amp;$A157,実績!$AE$6:$AE$505,"○")&gt;0,1,0))</f>
        <v/>
      </c>
      <c r="AA157">
        <f>IF(AA$4=0,0,IF(COUNTIFS(実績!$W$6:$W$505,AA$3,実績!$AC$6:$AC$505,"&lt;="&amp;$A157,実績!$AD$6:$AD$505,"&gt;"&amp;$A157,実績!$AE$6:$AE$505,"○")&gt;0,1,0))</f>
        <v/>
      </c>
      <c r="AB157">
        <f>IF(AB$4=0,0,IF(COUNTIFS(実績!$W$6:$W$505,AB$3,実績!$AC$6:$AC$505,"&lt;="&amp;$A157,実績!$AD$6:$AD$505,"&gt;"&amp;$A157,実績!$AE$6:$AE$505,"○")&gt;0,1,0))</f>
        <v/>
      </c>
      <c r="AC157">
        <f>IF(AC$4=0,0,IF(COUNTIFS(実績!$W$6:$W$505,AC$3,実績!$AC$6:$AC$505,"&lt;="&amp;$A157,実績!$AD$6:$AD$505,"&gt;"&amp;$A157,実績!$AE$6:$AE$505,"○")&gt;0,1,0))</f>
        <v/>
      </c>
      <c r="AD157">
        <f>IF(AD$4=0,0,IF(COUNTIFS(実績!$W$6:$W$505,AD$3,実績!$AC$6:$AC$505,"&lt;="&amp;$A157,実績!$AD$6:$AD$505,"&gt;"&amp;$A157,実績!$AE$6:$AE$505,"○")&gt;0,1,0))</f>
        <v/>
      </c>
      <c r="AE157">
        <f>IF(AE$4=0,0,IF(COUNTIFS(実績!$W$6:$W$505,AE$3,実績!$AC$6:$AC$505,"&lt;="&amp;$A157,実績!$AD$6:$AD$505,"&gt;"&amp;$A157,実績!$AE$6:$AE$505,"○")&gt;0,1,0))</f>
        <v/>
      </c>
      <c r="AF157">
        <f>IF(AF$4=0,0,IF(COUNTIFS(実績!$W$6:$W$505,AF$3,実績!$AC$6:$AC$505,"&lt;="&amp;$A157,実績!$AD$6:$AD$505,"&gt;"&amp;$A157,実績!$AE$6:$AE$505,"○")&gt;0,1,0))</f>
        <v/>
      </c>
      <c r="AG157">
        <f>IF(AG$4=0,0,IF(COUNTIFS(実績!$W$6:$W$505,AG$3,実績!$AC$6:$AC$505,"&lt;="&amp;$A157,実績!$AD$6:$AD$505,"&gt;"&amp;$A157,実績!$AE$6:$AE$505,"○")&gt;0,1,0))</f>
        <v/>
      </c>
      <c r="AH157">
        <f>IF(AH$4=0,0,IF(COUNTIFS(実績!$W$6:$W$505,AH$3,実績!$AC$6:$AC$505,"&lt;="&amp;$A157,実績!$AD$6:$AD$505,"&gt;"&amp;$A157,実績!$AE$6:$AE$505,"○")&gt;0,1,0))</f>
        <v/>
      </c>
      <c r="AI157">
        <f>IF(AI$4=0,0,IF(COUNTIFS(実績!$W$6:$W$505,AI$3,実績!$AC$6:$AC$505,"&lt;="&amp;$A157,実績!$AD$6:$AD$505,"&gt;"&amp;$A157,実績!$AE$6:$AE$505,"○")&gt;0,1,0))</f>
        <v/>
      </c>
      <c r="AJ157">
        <f>IF(AJ$4=0,0,IF(COUNTIFS(実績!$W$6:$W$505,AJ$3,実績!$AC$6:$AC$505,"&lt;="&amp;$A157,実績!$AD$6:$AD$505,"&gt;"&amp;$A157,実績!$AE$6:$AE$505,"○")&gt;0,1,0))</f>
        <v/>
      </c>
      <c r="AK157">
        <f>IF(AK$4=0,0,IF(COUNTIFS(実績!$W$6:$W$505,AK$3,実績!$AC$6:$AC$505,"&lt;="&amp;$A157,実績!$AD$6:$AD$505,"&gt;"&amp;$A157,実績!$AE$6:$AE$505,"○")&gt;0,1,0))</f>
        <v/>
      </c>
      <c r="AL157">
        <f>IF(AL$4=0,0,IF(COUNTIFS(実績!$W$6:$W$505,AL$3,実績!$AC$6:$AC$505,"&lt;="&amp;$A157,実績!$AD$6:$AD$505,"&gt;"&amp;$A157,実績!$AE$6:$AE$505,"○")&gt;0,1,0))</f>
        <v/>
      </c>
      <c r="AM157">
        <f>IF(AM$4=0,0,IF(COUNTIFS(実績!$W$6:$W$505,AM$3,実績!$AC$6:$AC$505,"&lt;="&amp;$A157,実績!$AD$6:$AD$505,"&gt;"&amp;$A157,実績!$AE$6:$AE$505,"○")&gt;0,1,0))</f>
        <v/>
      </c>
      <c r="AN157">
        <f>IF(AN$4=0,0,IF(COUNTIFS(実績!$W$6:$W$505,AN$3,実績!$AC$6:$AC$505,"&lt;="&amp;$A157,実績!$AD$6:$AD$505,"&gt;"&amp;$A157,実績!$AE$6:$AE$505,"○")&gt;0,1,0))</f>
        <v/>
      </c>
      <c r="AO157">
        <f>IF(AO$4=0,0,IF(COUNTIFS(実績!$W$6:$W$505,AO$3,実績!$AC$6:$AC$505,"&lt;="&amp;$A157,実績!$AD$6:$AD$505,"&gt;"&amp;$A157,実績!$AE$6:$AE$505,"○")&gt;0,1,0))</f>
        <v/>
      </c>
      <c r="AP157">
        <f>IF(AP$4=0,0,IF(COUNTIFS(実績!$W$6:$W$505,AP$3,実績!$AC$6:$AC$505,"&lt;="&amp;$A157,実績!$AD$6:$AD$505,"&gt;"&amp;$A157,実績!$AE$6:$AE$505,"○")&gt;0,1,0))</f>
        <v/>
      </c>
      <c r="AQ157">
        <f>IF(AQ$4=0,0,IF(COUNTIFS(実績!$W$6:$W$505,AQ$3,実績!$AC$6:$AC$505,"&lt;="&amp;$A157,実績!$AD$6:$AD$505,"&gt;"&amp;$A157,実績!$AE$6:$AE$505,"○")&gt;0,1,0))</f>
        <v/>
      </c>
      <c r="AR157">
        <f>IF(AR$4=0,0,IF(COUNTIFS(実績!$W$6:$W$505,AR$3,実績!$AC$6:$AC$505,"&lt;="&amp;$A157,実績!$AD$6:$AD$505,"&gt;"&amp;$A157,実績!$AE$6:$AE$505,"○")&gt;0,1,0))</f>
        <v/>
      </c>
      <c r="AS157">
        <f>IF(AS$4=0,0,IF(COUNTIFS(実績!$W$6:$W$505,AS$3,実績!$AC$6:$AC$505,"&lt;="&amp;$A157,実績!$AD$6:$AD$505,"&gt;"&amp;$A157,実績!$AE$6:$AE$505,"○")&gt;0,1,0))</f>
        <v/>
      </c>
      <c r="AT157">
        <f>IF(AT$4=0,0,IF(COUNTIFS(実績!$W$6:$W$505,AT$3,実績!$AC$6:$AC$505,"&lt;="&amp;$A157,実績!$AD$6:$AD$505,"&gt;"&amp;$A157,実績!$AE$6:$AE$505,"○")&gt;0,1,0))</f>
        <v/>
      </c>
      <c r="AU157">
        <f>IF(AU$4=0,0,IF(COUNTIFS(実績!$W$6:$W$505,AU$3,実績!$AC$6:$AC$505,"&lt;="&amp;$A157,実績!$AD$6:$AD$505,"&gt;"&amp;$A157,実績!$AE$6:$AE$505,"○")&gt;0,1,0))</f>
        <v/>
      </c>
      <c r="AV157">
        <f>IF(AV$4=0,0,IF(COUNTIFS(実績!$W$6:$W$505,AV$3,実績!$AC$6:$AC$505,"&lt;="&amp;$A157,実績!$AD$6:$AD$505,"&gt;"&amp;$A157,実績!$AE$6:$AE$505,"○")&gt;0,1,0))</f>
        <v/>
      </c>
      <c r="AW157">
        <f>IF(AW$4=0,0,IF(COUNTIFS(実績!$W$6:$W$505,AW$3,実績!$AC$6:$AC$505,"&lt;="&amp;$A157,実績!$AD$6:$AD$505,"&gt;"&amp;$A157,実績!$AE$6:$AE$505,"○")&gt;0,1,0))</f>
        <v/>
      </c>
      <c r="AX157">
        <f>IF(AX$4=0,0,IF(COUNTIFS(実績!$W$6:$W$505,AX$3,実績!$AC$6:$AC$505,"&lt;="&amp;$A157,実績!$AD$6:$AD$505,"&gt;"&amp;$A157,実績!$AE$6:$AE$505,"○")&gt;0,1,0))</f>
        <v/>
      </c>
      <c r="AY157">
        <f>IF(AY$4=0,0,IF(COUNTIFS(実績!$W$6:$W$505,AY$3,実績!$AC$6:$AC$505,"&lt;="&amp;$A157,実績!$AD$6:$AD$505,"&gt;"&amp;$A157,実績!$AE$6:$AE$505,"○")&gt;0,1,0))</f>
        <v/>
      </c>
      <c r="AZ157">
        <f>IF(AZ$4=0,0,IF(COUNTIFS(実績!$W$6:$W$505,AZ$3,実績!$AC$6:$AC$505,"&lt;="&amp;$A157,実績!$AD$6:$AD$505,"&gt;"&amp;$A157,実績!$AE$6:$AE$505,"○")&gt;0,1,0))</f>
        <v/>
      </c>
      <c r="BA157">
        <f>IF(BA$4=0,0,IF(COUNTIFS(実績!$W$6:$W$505,BA$3,実績!$AC$6:$AC$505,"&lt;="&amp;$A157,実績!$AD$6:$AD$505,"&gt;"&amp;$A157,実績!$AE$6:$AE$505,"○")&gt;0,1,0))</f>
        <v/>
      </c>
      <c r="BB157">
        <f>IF(BB$4=0,0,IF(COUNTIFS(実績!$W$6:$W$505,BB$3,実績!$AC$6:$AC$505,"&lt;="&amp;$A157,実績!$AD$6:$AD$505,"&gt;"&amp;$A157,実績!$AE$6:$AE$505,"○")&gt;0,1,0))</f>
        <v/>
      </c>
      <c r="BC157">
        <f>IF(BC$4=0,0,IF(COUNTIFS(実績!$W$6:$W$505,BC$3,実績!$AC$6:$AC$505,"&lt;="&amp;$A157,実績!$AD$6:$AD$505,"&gt;"&amp;$A157,実績!$AE$6:$AE$505,"○")&gt;0,1,0))</f>
        <v/>
      </c>
      <c r="BD157">
        <f>IF(BD$4=0,0,IF(COUNTIFS(実績!$W$6:$W$505,BD$3,実績!$AC$6:$AC$505,"&lt;="&amp;$A157,実績!$AD$6:$AD$505,"&gt;"&amp;$A157,実績!$AE$6:$AE$505,"○")&gt;0,1,0))</f>
        <v/>
      </c>
      <c r="BE157">
        <f>IF(BE$4=0,0,IF(COUNTIFS(実績!$W$6:$W$505,BE$3,実績!$AC$6:$AC$505,"&lt;="&amp;$A157,実績!$AD$6:$AD$505,"&gt;"&amp;$A157,実績!$AE$6:$AE$505,"○")&gt;0,1,0))</f>
        <v/>
      </c>
      <c r="BF157">
        <f>IF(BF$4=0,0,IF(COUNTIFS(実績!$W$6:$W$505,BF$3,実績!$AC$6:$AC$505,"&lt;="&amp;$A157,実績!$AD$6:$AD$505,"&gt;"&amp;$A157,実績!$AE$6:$AE$505,"○")&gt;0,1,0))</f>
        <v/>
      </c>
      <c r="BG157">
        <f>IF(BG$4=0,0,IF(COUNTIFS(実績!$W$6:$W$505,BG$3,実績!$AC$6:$AC$505,"&lt;="&amp;$A157,実績!$AD$6:$AD$505,"&gt;"&amp;$A157,実績!$AE$6:$AE$505,"○")&gt;0,1,0))</f>
        <v/>
      </c>
      <c r="BH157">
        <f>IF(BH$4=0,0,IF(COUNTIFS(実績!$W$6:$W$505,BH$3,実績!$AC$6:$AC$505,"&lt;="&amp;$A157,実績!$AD$6:$AD$505,"&gt;"&amp;$A157,実績!$AE$6:$AE$505,"○")&gt;0,1,0))</f>
        <v/>
      </c>
      <c r="BI157">
        <f>IF(BI$4=0,0,IF(COUNTIFS(実績!$W$6:$W$505,BI$3,実績!$AC$6:$AC$505,"&lt;="&amp;$A157,実績!$AD$6:$AD$505,"&gt;"&amp;$A157,実績!$AE$6:$AE$505,"○")&gt;0,1,0))</f>
        <v/>
      </c>
      <c r="BJ157">
        <f>IF(BJ$4=0,0,IF(COUNTIFS(実績!$W$6:$W$505,BJ$3,実績!$AC$6:$AC$505,"&lt;="&amp;$A157,実績!$AD$6:$AD$505,"&gt;"&amp;$A157,実績!$AE$6:$AE$505,"○")&gt;0,1,0))</f>
        <v/>
      </c>
      <c r="BK157">
        <f>IF(BK$4=0,0,IF(COUNTIFS(実績!$W$6:$W$505,BK$3,実績!$AC$6:$AC$505,"&lt;="&amp;$A157,実績!$AD$6:$AD$505,"&gt;"&amp;$A157,実績!$AE$6:$AE$505,"○")&gt;0,1,0))</f>
        <v/>
      </c>
      <c r="BL157">
        <f>IF(BL$4=0,0,IF(COUNTIFS(実績!$W$6:$W$505,BL$3,実績!$AC$6:$AC$505,"&lt;="&amp;$A157,実績!$AD$6:$AD$505,"&gt;"&amp;$A157,実績!$AE$6:$AE$505,"○")&gt;0,1,0))</f>
        <v/>
      </c>
      <c r="BM157">
        <f>IF(BM$4=0,0,IF(COUNTIFS(実績!$W$6:$W$505,BM$3,実績!$AC$6:$AC$505,"&lt;="&amp;$A157,実績!$AD$6:$AD$505,"&gt;"&amp;$A157,実績!$AE$6:$AE$505,"○")&gt;0,1,0))</f>
        <v/>
      </c>
      <c r="BN157">
        <f>IF(BN$4=0,0,IF(COUNTIFS(実績!$W$6:$W$505,BN$3,実績!$AC$6:$AC$505,"&lt;="&amp;$A157,実績!$AD$6:$AD$505,"&gt;"&amp;$A157,実績!$AE$6:$AE$505,"○")&gt;0,1,0))</f>
        <v/>
      </c>
      <c r="BO157">
        <f>IF(BO$4=0,0,IF(COUNTIFS(実績!$W$6:$W$505,BO$3,実績!$AC$6:$AC$505,"&lt;="&amp;$A157,実績!$AD$6:$AD$505,"&gt;"&amp;$A157,実績!$AE$6:$AE$505,"○")&gt;0,1,0))</f>
        <v/>
      </c>
      <c r="BP157">
        <f>IF(BP$4=0,0,IF(COUNTIFS(実績!$W$6:$W$505,BP$3,実績!$AC$6:$AC$505,"&lt;="&amp;$A157,実績!$AD$6:$AD$505,"&gt;"&amp;$A157,実績!$AE$6:$AE$505,"○")&gt;0,1,0))</f>
        <v/>
      </c>
      <c r="BQ157">
        <f>IF(BQ$4=0,0,IF(COUNTIFS(実績!$W$6:$W$505,BQ$3,実績!$AC$6:$AC$505,"&lt;="&amp;$A157,実績!$AD$6:$AD$505,"&gt;"&amp;$A157,実績!$AE$6:$AE$505,"○")&gt;0,1,0))</f>
        <v/>
      </c>
      <c r="BR157">
        <f>IF(BR$4=0,0,IF(COUNTIFS(実績!$W$6:$W$505,BR$3,実績!$AC$6:$AC$505,"&lt;="&amp;$A157,実績!$AD$6:$AD$505,"&gt;"&amp;$A157,実績!$AE$6:$AE$505,"○")&gt;0,1,0))</f>
        <v/>
      </c>
      <c r="BS157">
        <f>IF(BS$4=0,0,IF(COUNTIFS(実績!$W$6:$W$505,BS$3,実績!$AC$6:$AC$505,"&lt;="&amp;$A157,実績!$AD$6:$AD$505,"&gt;"&amp;$A157,実績!$AE$6:$AE$505,"○")&gt;0,1,0))</f>
        <v/>
      </c>
      <c r="BT157">
        <f>IF(BT$4=0,0,IF(COUNTIFS(実績!$W$6:$W$505,BT$3,実績!$AC$6:$AC$505,"&lt;="&amp;$A157,実績!$AD$6:$AD$505,"&gt;"&amp;$A157,実績!$AE$6:$AE$505,"○")&gt;0,1,0))</f>
        <v/>
      </c>
      <c r="BU157">
        <f>IF(BU$4=0,0,IF(COUNTIFS(実績!$W$6:$W$505,BU$3,実績!$AC$6:$AC$505,"&lt;="&amp;$A157,実績!$AD$6:$AD$505,"&gt;"&amp;$A157,実績!$AE$6:$AE$505,"○")&gt;0,1,0))</f>
        <v/>
      </c>
      <c r="BV157">
        <f>IF(BV$4=0,0,IF(COUNTIFS(実績!$W$6:$W$505,BV$3,実績!$AC$6:$AC$505,"&lt;="&amp;$A157,実績!$AD$6:$AD$505,"&gt;"&amp;$A157,実績!$AE$6:$AE$505,"○")&gt;0,1,0))</f>
        <v/>
      </c>
      <c r="BW157">
        <f>IF(BW$4=0,0,IF(COUNTIFS(実績!$W$6:$W$505,BW$3,実績!$AC$6:$AC$505,"&lt;="&amp;$A157,実績!$AD$6:$AD$505,"&gt;"&amp;$A157,実績!$AE$6:$AE$505,"○")&gt;0,1,0))</f>
        <v/>
      </c>
      <c r="BX157">
        <f>IF(BX$4=0,0,IF(COUNTIFS(実績!$W$6:$W$505,BX$3,実績!$AC$6:$AC$505,"&lt;="&amp;$A157,実績!$AD$6:$AD$505,"&gt;"&amp;$A157,実績!$AE$6:$AE$505,"○")&gt;0,1,0))</f>
        <v/>
      </c>
      <c r="BY157">
        <f>IF(BY$4=0,0,IF(COUNTIFS(実績!$W$6:$W$505,BY$3,実績!$AC$6:$AC$505,"&lt;="&amp;$A157,実績!$AD$6:$AD$505,"&gt;"&amp;$A157,実績!$AE$6:$AE$505,"○")&gt;0,1,0))</f>
        <v/>
      </c>
      <c r="BZ157">
        <f>IF(BZ$4=0,0,IF(COUNTIFS(実績!$W$6:$W$505,BZ$3,実績!$AC$6:$AC$505,"&lt;="&amp;$A157,実績!$AD$6:$AD$505,"&gt;"&amp;$A157,実績!$AE$6:$AE$505,"○")&gt;0,1,0))</f>
        <v/>
      </c>
      <c r="CA157">
        <f>IF(CA$4=0,0,IF(COUNTIFS(実績!$W$6:$W$505,CA$3,実績!$AC$6:$AC$505,"&lt;="&amp;$A157,実績!$AD$6:$AD$505,"&gt;"&amp;$A157,実績!$AE$6:$AE$505,"○")&gt;0,1,0))</f>
        <v/>
      </c>
      <c r="CB157">
        <f>IF(CB$4=0,0,IF(COUNTIFS(実績!$W$6:$W$505,CB$3,実績!$AC$6:$AC$505,"&lt;="&amp;$A157,実績!$AD$6:$AD$505,"&gt;"&amp;$A157,実績!$AE$6:$AE$505,"○")&gt;0,1,0))</f>
        <v/>
      </c>
      <c r="CC157">
        <f>IF(CC$4=0,0,IF(COUNTIFS(実績!$W$6:$W$505,CC$3,実績!$AC$6:$AC$505,"&lt;="&amp;$A157,実績!$AD$6:$AD$505,"&gt;"&amp;$A157,実績!$AE$6:$AE$505,"○")&gt;0,1,0))</f>
        <v/>
      </c>
      <c r="CD157">
        <f>IF(CD$4=0,0,IF(COUNTIFS(実績!$W$6:$W$505,CD$3,実績!$AC$6:$AC$505,"&lt;="&amp;$A157,実績!$AD$6:$AD$505,"&gt;"&amp;$A157,実績!$AE$6:$AE$505,"○")&gt;0,1,0))</f>
        <v/>
      </c>
      <c r="CE157">
        <f>IF(CE$4=0,0,IF(COUNTIFS(実績!$W$6:$W$505,CE$3,実績!$AC$6:$AC$505,"&lt;="&amp;$A157,実績!$AD$6:$AD$505,"&gt;"&amp;$A157,実績!$AE$6:$AE$505,"○")&gt;0,1,0))</f>
        <v/>
      </c>
      <c r="CF157">
        <f>IF(CF$4=0,0,IF(COUNTIFS(実績!$W$6:$W$505,CF$3,実績!$AC$6:$AC$505,"&lt;="&amp;$A157,実績!$AD$6:$AD$505,"&gt;"&amp;$A157,実績!$AE$6:$AE$505,"○")&gt;0,1,0))</f>
        <v/>
      </c>
      <c r="CG157">
        <f>IF(CG$4=0,0,IF(COUNTIFS(実績!$W$6:$W$505,CG$3,実績!$AC$6:$AC$505,"&lt;="&amp;$A157,実績!$AD$6:$AD$505,"&gt;"&amp;$A157,実績!$AE$6:$AE$505,"○")&gt;0,1,0))</f>
        <v/>
      </c>
      <c r="CH157">
        <f>IF(CH$4=0,0,IF(COUNTIFS(実績!$W$6:$W$505,CH$3,実績!$AC$6:$AC$505,"&lt;="&amp;$A157,実績!$AD$6:$AD$505,"&gt;"&amp;$A157,実績!$AE$6:$AE$505,"○")&gt;0,1,0))</f>
        <v/>
      </c>
      <c r="CI157">
        <f>IF(CI$4=0,0,IF(COUNTIFS(実績!$W$6:$W$505,CI$3,実績!$AC$6:$AC$505,"&lt;="&amp;$A157,実績!$AD$6:$AD$505,"&gt;"&amp;$A157,実績!$AE$6:$AE$505,"○")&gt;0,1,0))</f>
        <v/>
      </c>
      <c r="CJ157">
        <f>IF(CJ$4=0,0,IF(COUNTIFS(実績!$W$6:$W$505,CJ$3,実績!$AC$6:$AC$505,"&lt;="&amp;$A157,実績!$AD$6:$AD$505,"&gt;"&amp;$A157,実績!$AE$6:$AE$505,"○")&gt;0,1,0))</f>
        <v/>
      </c>
      <c r="CK157">
        <f>IF(CK$4=0,0,IF(COUNTIFS(実績!$W$6:$W$505,CK$3,実績!$AC$6:$AC$505,"&lt;="&amp;$A157,実績!$AD$6:$AD$505,"&gt;"&amp;$A157,実績!$AE$6:$AE$505,"○")&gt;0,1,0))</f>
        <v/>
      </c>
      <c r="CL157">
        <f>IF(CL$4=0,0,IF(COUNTIFS(実績!$W$6:$W$505,CL$3,実績!$AC$6:$AC$505,"&lt;="&amp;$A157,実績!$AD$6:$AD$505,"&gt;"&amp;$A157,実績!$AE$6:$AE$505,"○")&gt;0,1,0))</f>
        <v/>
      </c>
      <c r="CM157">
        <f>IF(CM$4=0,0,IF(COUNTIFS(実績!$W$6:$W$505,CM$3,実績!$AC$6:$AC$505,"&lt;="&amp;$A157,実績!$AD$6:$AD$505,"&gt;"&amp;$A157,実績!$AE$6:$AE$505,"○")&gt;0,1,0))</f>
        <v/>
      </c>
      <c r="CN157">
        <f>IF(CN$4=0,0,IF(COUNTIFS(実績!$W$6:$W$505,CN$3,実績!$AC$6:$AC$505,"&lt;="&amp;$A157,実績!$AD$6:$AD$505,"&gt;"&amp;$A157,実績!$AE$6:$AE$505,"○")&gt;0,1,0))</f>
        <v/>
      </c>
      <c r="CO157">
        <f>IF(CO$4=0,0,IF(COUNTIFS(実績!$W$6:$W$505,CO$3,実績!$AC$6:$AC$505,"&lt;="&amp;$A157,実績!$AD$6:$AD$505,"&gt;"&amp;$A157,実績!$AE$6:$AE$505,"○")&gt;0,1,0))</f>
        <v/>
      </c>
      <c r="CP157">
        <f>IF(CP$4=0,0,IF(COUNTIFS(実績!$W$6:$W$505,CP$3,実績!$AC$6:$AC$505,"&lt;="&amp;$A157,実績!$AD$6:$AD$505,"&gt;"&amp;$A157,実績!$AE$6:$AE$505,"○")&gt;0,1,0))</f>
        <v/>
      </c>
      <c r="CQ157">
        <f>IF(CQ$4=0,0,IF(COUNTIFS(実績!$W$6:$W$505,CQ$3,実績!$AC$6:$AC$505,"&lt;="&amp;$A157,実績!$AD$6:$AD$505,"&gt;"&amp;$A157,実績!$AE$6:$AE$505,"○")&gt;0,1,0))</f>
        <v/>
      </c>
      <c r="CR157">
        <f>IF(CR$4=0,0,IF(COUNTIFS(実績!$W$6:$W$505,CR$3,実績!$AC$6:$AC$505,"&lt;="&amp;$A157,実績!$AD$6:$AD$505,"&gt;"&amp;$A157,実績!$AE$6:$AE$505,"○")&gt;0,1,0))</f>
        <v/>
      </c>
      <c r="CS157">
        <f>IF(CS$4=0,0,IF(COUNTIFS(実績!$W$6:$W$505,CS$3,実績!$AC$6:$AC$505,"&lt;="&amp;$A157,実績!$AD$6:$AD$505,"&gt;"&amp;$A157,実績!$AE$6:$AE$505,"○")&gt;0,1,0))</f>
        <v/>
      </c>
      <c r="CT157">
        <f>IF(CT$4=0,0,IF(COUNTIFS(実績!$W$6:$W$505,CT$3,実績!$AC$6:$AC$505,"&lt;="&amp;$A157,実績!$AD$6:$AD$505,"&gt;"&amp;$A157,実績!$AE$6:$AE$505,"○")&gt;0,1,0))</f>
        <v/>
      </c>
      <c r="CU157">
        <f>IF(CU$4=0,0,IF(COUNTIFS(実績!$W$6:$W$505,CU$3,実績!$AC$6:$AC$505,"&lt;="&amp;$A157,実績!$AD$6:$AD$505,"&gt;"&amp;$A157,実績!$AE$6:$AE$505,"○")&gt;0,1,0))</f>
        <v/>
      </c>
      <c r="CV157">
        <f>IF(CV$4=0,0,IF(COUNTIFS(実績!$W$6:$W$505,CV$3,実績!$AC$6:$AC$505,"&lt;="&amp;$A157,実績!$AD$6:$AD$505,"&gt;"&amp;$A157,実績!$AE$6:$AE$505,"○")&gt;0,1,0))</f>
        <v/>
      </c>
      <c r="CW157">
        <f>IF(CW$4=0,0,IF(COUNTIFS(実績!$W$6:$W$505,CW$3,実績!$AC$6:$AC$505,"&lt;="&amp;$A157,実績!$AD$6:$AD$505,"&gt;"&amp;$A157,実績!$AE$6:$AE$505,"○")&gt;0,1,0))</f>
        <v/>
      </c>
      <c r="CX157">
        <f>IF(CX$4=0,0,IF(COUNTIFS(実績!$W$6:$W$505,CX$3,実績!$AC$6:$AC$505,"&lt;="&amp;$A157,実績!$AD$6:$AD$505,"&gt;"&amp;$A157,実績!$AE$6:$AE$505,"○")&gt;0,1,0))</f>
        <v/>
      </c>
      <c r="CY157">
        <f>IF(CY$4=0,0,IF(COUNTIFS(実績!$W$6:$W$505,CY$3,実績!$AC$6:$AC$505,"&lt;="&amp;$A157,実績!$AD$6:$AD$505,"&gt;"&amp;$A157,実績!$AE$6:$AE$505,"○")&gt;0,1,0))</f>
        <v/>
      </c>
      <c r="CZ157">
        <f>IF(CZ$4=0,0,IF(COUNTIFS(実績!$W$6:$W$505,CZ$3,実績!$AC$6:$AC$505,"&lt;="&amp;$A157,実績!$AD$6:$AD$505,"&gt;"&amp;$A157,実績!$AE$6:$AE$505,"○")&gt;0,1,0))</f>
        <v/>
      </c>
      <c r="DA157">
        <f>IF(DA$4=0,0,IF(COUNTIFS(実績!$W$6:$W$505,DA$3,実績!$AC$6:$AC$505,"&lt;="&amp;$A157,実績!$AD$6:$AD$505,"&gt;"&amp;$A157,実績!$AE$6:$AE$505,"○")&gt;0,1,0))</f>
        <v/>
      </c>
      <c r="DB157">
        <f>IF(DB$4=0,0,IF(COUNTIFS(実績!$W$6:$W$505,DB$3,実績!$AC$6:$AC$505,"&lt;="&amp;$A157,実績!$AD$6:$AD$505,"&gt;"&amp;$A157,実績!$AE$6:$AE$505,"○")&gt;0,1,0))</f>
        <v/>
      </c>
      <c r="DC157">
        <f>IF(DC$4=0,0,IF(COUNTIFS(実績!$W$6:$W$505,DC$3,実績!$AC$6:$AC$505,"&lt;="&amp;$A157,実績!$AD$6:$AD$505,"&gt;"&amp;$A157,実績!$AE$6:$AE$505,"○")&gt;0,1,0))</f>
        <v/>
      </c>
      <c r="DD157">
        <f>IF(DD$4=0,0,IF(COUNTIFS(実績!$W$6:$W$505,DD$3,実績!$AC$6:$AC$505,"&lt;="&amp;$A157,実績!$AD$6:$AD$505,"&gt;"&amp;$A157,実績!$AE$6:$AE$505,"○")&gt;0,1,0))</f>
        <v/>
      </c>
      <c r="DE157">
        <f>IF(DE$4=0,0,IF(COUNTIFS(実績!$W$6:$W$505,DE$3,実績!$AC$6:$AC$505,"&lt;="&amp;$A157,実績!$AD$6:$AD$505,"&gt;"&amp;$A157,実績!$AE$6:$AE$505,"○")&gt;0,1,0))</f>
        <v/>
      </c>
      <c r="DF157">
        <f>IF(DF$4=0,0,IF(COUNTIFS(実績!$W$6:$W$505,DF$3,実績!$AC$6:$AC$505,"&lt;="&amp;$A157,実績!$AD$6:$AD$505,"&gt;"&amp;$A157,実績!$AE$6:$AE$505,"○")&gt;0,1,0))</f>
        <v/>
      </c>
      <c r="DG157">
        <f>IF(DG$4=0,0,IF(COUNTIFS(実績!$W$6:$W$505,DG$3,実績!$AC$6:$AC$505,"&lt;="&amp;$A157,実績!$AD$6:$AD$505,"&gt;"&amp;$A157,実績!$AE$6:$AE$505,"○")&gt;0,1,0))</f>
        <v/>
      </c>
      <c r="DH157">
        <f>IF(DH$4=0,0,IF(COUNTIFS(実績!$W$6:$W$505,DH$3,実績!$AC$6:$AC$505,"&lt;="&amp;$A157,実績!$AD$6:$AD$505,"&gt;"&amp;$A157,実績!$AE$6:$AE$505,"○")&gt;0,1,0))</f>
        <v/>
      </c>
      <c r="DI157">
        <f>IF(DI$4=0,0,IF(COUNTIFS(実績!$W$6:$W$505,DI$3,実績!$AC$6:$AC$505,"&lt;="&amp;$A157,実績!$AD$6:$AD$505,"&gt;"&amp;$A157,実績!$AE$6:$AE$505,"○")&gt;0,1,0))</f>
        <v/>
      </c>
      <c r="DJ157">
        <f>IF(DJ$4=0,0,IF(COUNTIFS(実績!$W$6:$W$505,DJ$3,実績!$AC$6:$AC$505,"&lt;="&amp;$A157,実績!$AD$6:$AD$505,"&gt;"&amp;$A157,実績!$AE$6:$AE$505,"○")&gt;0,1,0))</f>
        <v/>
      </c>
      <c r="DK157">
        <f>IF(DK$4=0,0,IF(COUNTIFS(実績!$W$6:$W$505,DK$3,実績!$AC$6:$AC$505,"&lt;="&amp;$A157,実績!$AD$6:$AD$505,"&gt;"&amp;$A157,実績!$AE$6:$AE$505,"○")&gt;0,1,0))</f>
        <v/>
      </c>
      <c r="DL157">
        <f>IF(DL$4=0,0,IF(COUNTIFS(実績!$W$6:$W$505,DL$3,実績!$AC$6:$AC$505,"&lt;="&amp;$A157,実績!$AD$6:$AD$505,"&gt;"&amp;$A157,実績!$AE$6:$AE$505,"○")&gt;0,1,0))</f>
        <v/>
      </c>
      <c r="DM157">
        <f>IF(DM$4=0,0,IF(COUNTIFS(実績!$W$6:$W$505,DM$3,実績!$AC$6:$AC$505,"&lt;="&amp;$A157,実績!$AD$6:$AD$505,"&gt;"&amp;$A157,実績!$AE$6:$AE$505,"○")&gt;0,1,0))</f>
        <v/>
      </c>
      <c r="DN157">
        <f>IF(DN$4=0,0,IF(COUNTIFS(実績!$W$6:$W$505,DN$3,実績!$AC$6:$AC$505,"&lt;="&amp;$A157,実績!$AD$6:$AD$505,"&gt;"&amp;$A157,実績!$AE$6:$AE$505,"○")&gt;0,1,0))</f>
        <v/>
      </c>
      <c r="DO157">
        <f>IF(DO$4=0,0,IF(COUNTIFS(実績!$W$6:$W$505,DO$3,実績!$AC$6:$AC$505,"&lt;="&amp;$A157,実績!$AD$6:$AD$505,"&gt;"&amp;$A157,実績!$AE$6:$AE$505,"○")&gt;0,1,0))</f>
        <v/>
      </c>
      <c r="DP157">
        <f>IF(DP$4=0,0,IF(COUNTIFS(実績!$W$6:$W$505,DP$3,実績!$AC$6:$AC$505,"&lt;="&amp;$A157,実績!$AD$6:$AD$505,"&gt;"&amp;$A157,実績!$AE$6:$AE$505,"○")&gt;0,1,0))</f>
        <v/>
      </c>
      <c r="DQ157">
        <f>IF(DQ$4=0,0,IF(COUNTIFS(実績!$W$6:$W$505,DQ$3,実績!$AC$6:$AC$505,"&lt;="&amp;$A157,実績!$AD$6:$AD$505,"&gt;"&amp;$A157,実績!$AE$6:$AE$505,"○")&gt;0,1,0))</f>
        <v/>
      </c>
      <c r="DR157">
        <f>IF(DR$4=0,0,IF(COUNTIFS(実績!$W$6:$W$505,DR$3,実績!$AC$6:$AC$505,"&lt;="&amp;$A157,実績!$AD$6:$AD$505,"&gt;"&amp;$A157,実績!$AE$6:$AE$505,"○")&gt;0,1,0))</f>
        <v/>
      </c>
      <c r="DS157">
        <f>SUM(C157:DR157)</f>
        <v/>
      </c>
      <c r="DT157">
        <f>SUMPRODUCT((実績!$C$6:$C$505="○")*ISNUMBER(実績!$AF$6:$AF$505)*(実績!$AF$6:$AF$505&lt;=$A157)*(実績!$AG$6:$AG$505&gt;$A157))</f>
        <v/>
      </c>
      <c r="DU157">
        <f>SUMIF($C$2:$DR$2,"製鉄曳船",C157:DR157)</f>
        <v/>
      </c>
      <c r="DV157">
        <f>SUMIF($C$2:$DR$2,"西日本海運",C157:DR157)</f>
        <v/>
      </c>
    </row>
    <row r="158">
      <c r="A158" t="n">
        <v>760</v>
      </c>
      <c r="B158" s="29">
        <f>A158/1440</f>
        <v/>
      </c>
      <c r="C158">
        <f>IF(C$4=0,0,IF(COUNTIFS(実績!$W$6:$W$505,C$3,実績!$AC$6:$AC$505,"&lt;="&amp;$A158,実績!$AD$6:$AD$505,"&gt;"&amp;$A158,実績!$AE$6:$AE$505,"○")&gt;0,1,0))</f>
        <v/>
      </c>
      <c r="D158">
        <f>IF(D$4=0,0,IF(COUNTIFS(実績!$W$6:$W$505,D$3,実績!$AC$6:$AC$505,"&lt;="&amp;$A158,実績!$AD$6:$AD$505,"&gt;"&amp;$A158,実績!$AE$6:$AE$505,"○")&gt;0,1,0))</f>
        <v/>
      </c>
      <c r="E158">
        <f>IF(E$4=0,0,IF(COUNTIFS(実績!$W$6:$W$505,E$3,実績!$AC$6:$AC$505,"&lt;="&amp;$A158,実績!$AD$6:$AD$505,"&gt;"&amp;$A158,実績!$AE$6:$AE$505,"○")&gt;0,1,0))</f>
        <v/>
      </c>
      <c r="F158">
        <f>IF(F$4=0,0,IF(COUNTIFS(実績!$W$6:$W$505,F$3,実績!$AC$6:$AC$505,"&lt;="&amp;$A158,実績!$AD$6:$AD$505,"&gt;"&amp;$A158,実績!$AE$6:$AE$505,"○")&gt;0,1,0))</f>
        <v/>
      </c>
      <c r="G158">
        <f>IF(G$4=0,0,IF(COUNTIFS(実績!$W$6:$W$505,G$3,実績!$AC$6:$AC$505,"&lt;="&amp;$A158,実績!$AD$6:$AD$505,"&gt;"&amp;$A158,実績!$AE$6:$AE$505,"○")&gt;0,1,0))</f>
        <v/>
      </c>
      <c r="H158">
        <f>IF(H$4=0,0,IF(COUNTIFS(実績!$W$6:$W$505,H$3,実績!$AC$6:$AC$505,"&lt;="&amp;$A158,実績!$AD$6:$AD$505,"&gt;"&amp;$A158,実績!$AE$6:$AE$505,"○")&gt;0,1,0))</f>
        <v/>
      </c>
      <c r="I158">
        <f>IF(I$4=0,0,IF(COUNTIFS(実績!$W$6:$W$505,I$3,実績!$AC$6:$AC$505,"&lt;="&amp;$A158,実績!$AD$6:$AD$505,"&gt;"&amp;$A158,実績!$AE$6:$AE$505,"○")&gt;0,1,0))</f>
        <v/>
      </c>
      <c r="J158">
        <f>IF(J$4=0,0,IF(COUNTIFS(実績!$W$6:$W$505,J$3,実績!$AC$6:$AC$505,"&lt;="&amp;$A158,実績!$AD$6:$AD$505,"&gt;"&amp;$A158,実績!$AE$6:$AE$505,"○")&gt;0,1,0))</f>
        <v/>
      </c>
      <c r="K158">
        <f>IF(K$4=0,0,IF(COUNTIFS(実績!$W$6:$W$505,K$3,実績!$AC$6:$AC$505,"&lt;="&amp;$A158,実績!$AD$6:$AD$505,"&gt;"&amp;$A158,実績!$AE$6:$AE$505,"○")&gt;0,1,0))</f>
        <v/>
      </c>
      <c r="L158">
        <f>IF(L$4=0,0,IF(COUNTIFS(実績!$W$6:$W$505,L$3,実績!$AC$6:$AC$505,"&lt;="&amp;$A158,実績!$AD$6:$AD$505,"&gt;"&amp;$A158,実績!$AE$6:$AE$505,"○")&gt;0,1,0))</f>
        <v/>
      </c>
      <c r="M158">
        <f>IF(M$4=0,0,IF(COUNTIFS(実績!$W$6:$W$505,M$3,実績!$AC$6:$AC$505,"&lt;="&amp;$A158,実績!$AD$6:$AD$505,"&gt;"&amp;$A158,実績!$AE$6:$AE$505,"○")&gt;0,1,0))</f>
        <v/>
      </c>
      <c r="N158">
        <f>IF(N$4=0,0,IF(COUNTIFS(実績!$W$6:$W$505,N$3,実績!$AC$6:$AC$505,"&lt;="&amp;$A158,実績!$AD$6:$AD$505,"&gt;"&amp;$A158,実績!$AE$6:$AE$505,"○")&gt;0,1,0))</f>
        <v/>
      </c>
      <c r="O158">
        <f>IF(O$4=0,0,IF(COUNTIFS(実績!$W$6:$W$505,O$3,実績!$AC$6:$AC$505,"&lt;="&amp;$A158,実績!$AD$6:$AD$505,"&gt;"&amp;$A158,実績!$AE$6:$AE$505,"○")&gt;0,1,0))</f>
        <v/>
      </c>
      <c r="P158">
        <f>IF(P$4=0,0,IF(COUNTIFS(実績!$W$6:$W$505,P$3,実績!$AC$6:$AC$505,"&lt;="&amp;$A158,実績!$AD$6:$AD$505,"&gt;"&amp;$A158,実績!$AE$6:$AE$505,"○")&gt;0,1,0))</f>
        <v/>
      </c>
      <c r="Q158">
        <f>IF(Q$4=0,0,IF(COUNTIFS(実績!$W$6:$W$505,Q$3,実績!$AC$6:$AC$505,"&lt;="&amp;$A158,実績!$AD$6:$AD$505,"&gt;"&amp;$A158,実績!$AE$6:$AE$505,"○")&gt;0,1,0))</f>
        <v/>
      </c>
      <c r="R158">
        <f>IF(R$4=0,0,IF(COUNTIFS(実績!$W$6:$W$505,R$3,実績!$AC$6:$AC$505,"&lt;="&amp;$A158,実績!$AD$6:$AD$505,"&gt;"&amp;$A158,実績!$AE$6:$AE$505,"○")&gt;0,1,0))</f>
        <v/>
      </c>
      <c r="S158">
        <f>IF(S$4=0,0,IF(COUNTIFS(実績!$W$6:$W$505,S$3,実績!$AC$6:$AC$505,"&lt;="&amp;$A158,実績!$AD$6:$AD$505,"&gt;"&amp;$A158,実績!$AE$6:$AE$505,"○")&gt;0,1,0))</f>
        <v/>
      </c>
      <c r="T158">
        <f>IF(T$4=0,0,IF(COUNTIFS(実績!$W$6:$W$505,T$3,実績!$AC$6:$AC$505,"&lt;="&amp;$A158,実績!$AD$6:$AD$505,"&gt;"&amp;$A158,実績!$AE$6:$AE$505,"○")&gt;0,1,0))</f>
        <v/>
      </c>
      <c r="U158">
        <f>IF(U$4=0,0,IF(COUNTIFS(実績!$W$6:$W$505,U$3,実績!$AC$6:$AC$505,"&lt;="&amp;$A158,実績!$AD$6:$AD$505,"&gt;"&amp;$A158,実績!$AE$6:$AE$505,"○")&gt;0,1,0))</f>
        <v/>
      </c>
      <c r="V158">
        <f>IF(V$4=0,0,IF(COUNTIFS(実績!$W$6:$W$505,V$3,実績!$AC$6:$AC$505,"&lt;="&amp;$A158,実績!$AD$6:$AD$505,"&gt;"&amp;$A158,実績!$AE$6:$AE$505,"○")&gt;0,1,0))</f>
        <v/>
      </c>
      <c r="W158">
        <f>IF(W$4=0,0,IF(COUNTIFS(実績!$W$6:$W$505,W$3,実績!$AC$6:$AC$505,"&lt;="&amp;$A158,実績!$AD$6:$AD$505,"&gt;"&amp;$A158,実績!$AE$6:$AE$505,"○")&gt;0,1,0))</f>
        <v/>
      </c>
      <c r="X158">
        <f>IF(X$4=0,0,IF(COUNTIFS(実績!$W$6:$W$505,X$3,実績!$AC$6:$AC$505,"&lt;="&amp;$A158,実績!$AD$6:$AD$505,"&gt;"&amp;$A158,実績!$AE$6:$AE$505,"○")&gt;0,1,0))</f>
        <v/>
      </c>
      <c r="Y158">
        <f>IF(Y$4=0,0,IF(COUNTIFS(実績!$W$6:$W$505,Y$3,実績!$AC$6:$AC$505,"&lt;="&amp;$A158,実績!$AD$6:$AD$505,"&gt;"&amp;$A158,実績!$AE$6:$AE$505,"○")&gt;0,1,0))</f>
        <v/>
      </c>
      <c r="Z158">
        <f>IF(Z$4=0,0,IF(COUNTIFS(実績!$W$6:$W$505,Z$3,実績!$AC$6:$AC$505,"&lt;="&amp;$A158,実績!$AD$6:$AD$505,"&gt;"&amp;$A158,実績!$AE$6:$AE$505,"○")&gt;0,1,0))</f>
        <v/>
      </c>
      <c r="AA158">
        <f>IF(AA$4=0,0,IF(COUNTIFS(実績!$W$6:$W$505,AA$3,実績!$AC$6:$AC$505,"&lt;="&amp;$A158,実績!$AD$6:$AD$505,"&gt;"&amp;$A158,実績!$AE$6:$AE$505,"○")&gt;0,1,0))</f>
        <v/>
      </c>
      <c r="AB158">
        <f>IF(AB$4=0,0,IF(COUNTIFS(実績!$W$6:$W$505,AB$3,実績!$AC$6:$AC$505,"&lt;="&amp;$A158,実績!$AD$6:$AD$505,"&gt;"&amp;$A158,実績!$AE$6:$AE$505,"○")&gt;0,1,0))</f>
        <v/>
      </c>
      <c r="AC158">
        <f>IF(AC$4=0,0,IF(COUNTIFS(実績!$W$6:$W$505,AC$3,実績!$AC$6:$AC$505,"&lt;="&amp;$A158,実績!$AD$6:$AD$505,"&gt;"&amp;$A158,実績!$AE$6:$AE$505,"○")&gt;0,1,0))</f>
        <v/>
      </c>
      <c r="AD158">
        <f>IF(AD$4=0,0,IF(COUNTIFS(実績!$W$6:$W$505,AD$3,実績!$AC$6:$AC$505,"&lt;="&amp;$A158,実績!$AD$6:$AD$505,"&gt;"&amp;$A158,実績!$AE$6:$AE$505,"○")&gt;0,1,0))</f>
        <v/>
      </c>
      <c r="AE158">
        <f>IF(AE$4=0,0,IF(COUNTIFS(実績!$W$6:$W$505,AE$3,実績!$AC$6:$AC$505,"&lt;="&amp;$A158,実績!$AD$6:$AD$505,"&gt;"&amp;$A158,実績!$AE$6:$AE$505,"○")&gt;0,1,0))</f>
        <v/>
      </c>
      <c r="AF158">
        <f>IF(AF$4=0,0,IF(COUNTIFS(実績!$W$6:$W$505,AF$3,実績!$AC$6:$AC$505,"&lt;="&amp;$A158,実績!$AD$6:$AD$505,"&gt;"&amp;$A158,実績!$AE$6:$AE$505,"○")&gt;0,1,0))</f>
        <v/>
      </c>
      <c r="AG158">
        <f>IF(AG$4=0,0,IF(COUNTIFS(実績!$W$6:$W$505,AG$3,実績!$AC$6:$AC$505,"&lt;="&amp;$A158,実績!$AD$6:$AD$505,"&gt;"&amp;$A158,実績!$AE$6:$AE$505,"○")&gt;0,1,0))</f>
        <v/>
      </c>
      <c r="AH158">
        <f>IF(AH$4=0,0,IF(COUNTIFS(実績!$W$6:$W$505,AH$3,実績!$AC$6:$AC$505,"&lt;="&amp;$A158,実績!$AD$6:$AD$505,"&gt;"&amp;$A158,実績!$AE$6:$AE$505,"○")&gt;0,1,0))</f>
        <v/>
      </c>
      <c r="AI158">
        <f>IF(AI$4=0,0,IF(COUNTIFS(実績!$W$6:$W$505,AI$3,実績!$AC$6:$AC$505,"&lt;="&amp;$A158,実績!$AD$6:$AD$505,"&gt;"&amp;$A158,実績!$AE$6:$AE$505,"○")&gt;0,1,0))</f>
        <v/>
      </c>
      <c r="AJ158">
        <f>IF(AJ$4=0,0,IF(COUNTIFS(実績!$W$6:$W$505,AJ$3,実績!$AC$6:$AC$505,"&lt;="&amp;$A158,実績!$AD$6:$AD$505,"&gt;"&amp;$A158,実績!$AE$6:$AE$505,"○")&gt;0,1,0))</f>
        <v/>
      </c>
      <c r="AK158">
        <f>IF(AK$4=0,0,IF(COUNTIFS(実績!$W$6:$W$505,AK$3,実績!$AC$6:$AC$505,"&lt;="&amp;$A158,実績!$AD$6:$AD$505,"&gt;"&amp;$A158,実績!$AE$6:$AE$505,"○")&gt;0,1,0))</f>
        <v/>
      </c>
      <c r="AL158">
        <f>IF(AL$4=0,0,IF(COUNTIFS(実績!$W$6:$W$505,AL$3,実績!$AC$6:$AC$505,"&lt;="&amp;$A158,実績!$AD$6:$AD$505,"&gt;"&amp;$A158,実績!$AE$6:$AE$505,"○")&gt;0,1,0))</f>
        <v/>
      </c>
      <c r="AM158">
        <f>IF(AM$4=0,0,IF(COUNTIFS(実績!$W$6:$W$505,AM$3,実績!$AC$6:$AC$505,"&lt;="&amp;$A158,実績!$AD$6:$AD$505,"&gt;"&amp;$A158,実績!$AE$6:$AE$505,"○")&gt;0,1,0))</f>
        <v/>
      </c>
      <c r="AN158">
        <f>IF(AN$4=0,0,IF(COUNTIFS(実績!$W$6:$W$505,AN$3,実績!$AC$6:$AC$505,"&lt;="&amp;$A158,実績!$AD$6:$AD$505,"&gt;"&amp;$A158,実績!$AE$6:$AE$505,"○")&gt;0,1,0))</f>
        <v/>
      </c>
      <c r="AO158">
        <f>IF(AO$4=0,0,IF(COUNTIFS(実績!$W$6:$W$505,AO$3,実績!$AC$6:$AC$505,"&lt;="&amp;$A158,実績!$AD$6:$AD$505,"&gt;"&amp;$A158,実績!$AE$6:$AE$505,"○")&gt;0,1,0))</f>
        <v/>
      </c>
      <c r="AP158">
        <f>IF(AP$4=0,0,IF(COUNTIFS(実績!$W$6:$W$505,AP$3,実績!$AC$6:$AC$505,"&lt;="&amp;$A158,実績!$AD$6:$AD$505,"&gt;"&amp;$A158,実績!$AE$6:$AE$505,"○")&gt;0,1,0))</f>
        <v/>
      </c>
      <c r="AQ158">
        <f>IF(AQ$4=0,0,IF(COUNTIFS(実績!$W$6:$W$505,AQ$3,実績!$AC$6:$AC$505,"&lt;="&amp;$A158,実績!$AD$6:$AD$505,"&gt;"&amp;$A158,実績!$AE$6:$AE$505,"○")&gt;0,1,0))</f>
        <v/>
      </c>
      <c r="AR158">
        <f>IF(AR$4=0,0,IF(COUNTIFS(実績!$W$6:$W$505,AR$3,実績!$AC$6:$AC$505,"&lt;="&amp;$A158,実績!$AD$6:$AD$505,"&gt;"&amp;$A158,実績!$AE$6:$AE$505,"○")&gt;0,1,0))</f>
        <v/>
      </c>
      <c r="AS158">
        <f>IF(AS$4=0,0,IF(COUNTIFS(実績!$W$6:$W$505,AS$3,実績!$AC$6:$AC$505,"&lt;="&amp;$A158,実績!$AD$6:$AD$505,"&gt;"&amp;$A158,実績!$AE$6:$AE$505,"○")&gt;0,1,0))</f>
        <v/>
      </c>
      <c r="AT158">
        <f>IF(AT$4=0,0,IF(COUNTIFS(実績!$W$6:$W$505,AT$3,実績!$AC$6:$AC$505,"&lt;="&amp;$A158,実績!$AD$6:$AD$505,"&gt;"&amp;$A158,実績!$AE$6:$AE$505,"○")&gt;0,1,0))</f>
        <v/>
      </c>
      <c r="AU158">
        <f>IF(AU$4=0,0,IF(COUNTIFS(実績!$W$6:$W$505,AU$3,実績!$AC$6:$AC$505,"&lt;="&amp;$A158,実績!$AD$6:$AD$505,"&gt;"&amp;$A158,実績!$AE$6:$AE$505,"○")&gt;0,1,0))</f>
        <v/>
      </c>
      <c r="AV158">
        <f>IF(AV$4=0,0,IF(COUNTIFS(実績!$W$6:$W$505,AV$3,実績!$AC$6:$AC$505,"&lt;="&amp;$A158,実績!$AD$6:$AD$505,"&gt;"&amp;$A158,実績!$AE$6:$AE$505,"○")&gt;0,1,0))</f>
        <v/>
      </c>
      <c r="AW158">
        <f>IF(AW$4=0,0,IF(COUNTIFS(実績!$W$6:$W$505,AW$3,実績!$AC$6:$AC$505,"&lt;="&amp;$A158,実績!$AD$6:$AD$505,"&gt;"&amp;$A158,実績!$AE$6:$AE$505,"○")&gt;0,1,0))</f>
        <v/>
      </c>
      <c r="AX158">
        <f>IF(AX$4=0,0,IF(COUNTIFS(実績!$W$6:$W$505,AX$3,実績!$AC$6:$AC$505,"&lt;="&amp;$A158,実績!$AD$6:$AD$505,"&gt;"&amp;$A158,実績!$AE$6:$AE$505,"○")&gt;0,1,0))</f>
        <v/>
      </c>
      <c r="AY158">
        <f>IF(AY$4=0,0,IF(COUNTIFS(実績!$W$6:$W$505,AY$3,実績!$AC$6:$AC$505,"&lt;="&amp;$A158,実績!$AD$6:$AD$505,"&gt;"&amp;$A158,実績!$AE$6:$AE$505,"○")&gt;0,1,0))</f>
        <v/>
      </c>
      <c r="AZ158">
        <f>IF(AZ$4=0,0,IF(COUNTIFS(実績!$W$6:$W$505,AZ$3,実績!$AC$6:$AC$505,"&lt;="&amp;$A158,実績!$AD$6:$AD$505,"&gt;"&amp;$A158,実績!$AE$6:$AE$505,"○")&gt;0,1,0))</f>
        <v/>
      </c>
      <c r="BA158">
        <f>IF(BA$4=0,0,IF(COUNTIFS(実績!$W$6:$W$505,BA$3,実績!$AC$6:$AC$505,"&lt;="&amp;$A158,実績!$AD$6:$AD$505,"&gt;"&amp;$A158,実績!$AE$6:$AE$505,"○")&gt;0,1,0))</f>
        <v/>
      </c>
      <c r="BB158">
        <f>IF(BB$4=0,0,IF(COUNTIFS(実績!$W$6:$W$505,BB$3,実績!$AC$6:$AC$505,"&lt;="&amp;$A158,実績!$AD$6:$AD$505,"&gt;"&amp;$A158,実績!$AE$6:$AE$505,"○")&gt;0,1,0))</f>
        <v/>
      </c>
      <c r="BC158">
        <f>IF(BC$4=0,0,IF(COUNTIFS(実績!$W$6:$W$505,BC$3,実績!$AC$6:$AC$505,"&lt;="&amp;$A158,実績!$AD$6:$AD$505,"&gt;"&amp;$A158,実績!$AE$6:$AE$505,"○")&gt;0,1,0))</f>
        <v/>
      </c>
      <c r="BD158">
        <f>IF(BD$4=0,0,IF(COUNTIFS(実績!$W$6:$W$505,BD$3,実績!$AC$6:$AC$505,"&lt;="&amp;$A158,実績!$AD$6:$AD$505,"&gt;"&amp;$A158,実績!$AE$6:$AE$505,"○")&gt;0,1,0))</f>
        <v/>
      </c>
      <c r="BE158">
        <f>IF(BE$4=0,0,IF(COUNTIFS(実績!$W$6:$W$505,BE$3,実績!$AC$6:$AC$505,"&lt;="&amp;$A158,実績!$AD$6:$AD$505,"&gt;"&amp;$A158,実績!$AE$6:$AE$505,"○")&gt;0,1,0))</f>
        <v/>
      </c>
      <c r="BF158">
        <f>IF(BF$4=0,0,IF(COUNTIFS(実績!$W$6:$W$505,BF$3,実績!$AC$6:$AC$505,"&lt;="&amp;$A158,実績!$AD$6:$AD$505,"&gt;"&amp;$A158,実績!$AE$6:$AE$505,"○")&gt;0,1,0))</f>
        <v/>
      </c>
      <c r="BG158">
        <f>IF(BG$4=0,0,IF(COUNTIFS(実績!$W$6:$W$505,BG$3,実績!$AC$6:$AC$505,"&lt;="&amp;$A158,実績!$AD$6:$AD$505,"&gt;"&amp;$A158,実績!$AE$6:$AE$505,"○")&gt;0,1,0))</f>
        <v/>
      </c>
      <c r="BH158">
        <f>IF(BH$4=0,0,IF(COUNTIFS(実績!$W$6:$W$505,BH$3,実績!$AC$6:$AC$505,"&lt;="&amp;$A158,実績!$AD$6:$AD$505,"&gt;"&amp;$A158,実績!$AE$6:$AE$505,"○")&gt;0,1,0))</f>
        <v/>
      </c>
      <c r="BI158">
        <f>IF(BI$4=0,0,IF(COUNTIFS(実績!$W$6:$W$505,BI$3,実績!$AC$6:$AC$505,"&lt;="&amp;$A158,実績!$AD$6:$AD$505,"&gt;"&amp;$A158,実績!$AE$6:$AE$505,"○")&gt;0,1,0))</f>
        <v/>
      </c>
      <c r="BJ158">
        <f>IF(BJ$4=0,0,IF(COUNTIFS(実績!$W$6:$W$505,BJ$3,実績!$AC$6:$AC$505,"&lt;="&amp;$A158,実績!$AD$6:$AD$505,"&gt;"&amp;$A158,実績!$AE$6:$AE$505,"○")&gt;0,1,0))</f>
        <v/>
      </c>
      <c r="BK158">
        <f>IF(BK$4=0,0,IF(COUNTIFS(実績!$W$6:$W$505,BK$3,実績!$AC$6:$AC$505,"&lt;="&amp;$A158,実績!$AD$6:$AD$505,"&gt;"&amp;$A158,実績!$AE$6:$AE$505,"○")&gt;0,1,0))</f>
        <v/>
      </c>
      <c r="BL158">
        <f>IF(BL$4=0,0,IF(COUNTIFS(実績!$W$6:$W$505,BL$3,実績!$AC$6:$AC$505,"&lt;="&amp;$A158,実績!$AD$6:$AD$505,"&gt;"&amp;$A158,実績!$AE$6:$AE$505,"○")&gt;0,1,0))</f>
        <v/>
      </c>
      <c r="BM158">
        <f>IF(BM$4=0,0,IF(COUNTIFS(実績!$W$6:$W$505,BM$3,実績!$AC$6:$AC$505,"&lt;="&amp;$A158,実績!$AD$6:$AD$505,"&gt;"&amp;$A158,実績!$AE$6:$AE$505,"○")&gt;0,1,0))</f>
        <v/>
      </c>
      <c r="BN158">
        <f>IF(BN$4=0,0,IF(COUNTIFS(実績!$W$6:$W$505,BN$3,実績!$AC$6:$AC$505,"&lt;="&amp;$A158,実績!$AD$6:$AD$505,"&gt;"&amp;$A158,実績!$AE$6:$AE$505,"○")&gt;0,1,0))</f>
        <v/>
      </c>
      <c r="BO158">
        <f>IF(BO$4=0,0,IF(COUNTIFS(実績!$W$6:$W$505,BO$3,実績!$AC$6:$AC$505,"&lt;="&amp;$A158,実績!$AD$6:$AD$505,"&gt;"&amp;$A158,実績!$AE$6:$AE$505,"○")&gt;0,1,0))</f>
        <v/>
      </c>
      <c r="BP158">
        <f>IF(BP$4=0,0,IF(COUNTIFS(実績!$W$6:$W$505,BP$3,実績!$AC$6:$AC$505,"&lt;="&amp;$A158,実績!$AD$6:$AD$505,"&gt;"&amp;$A158,実績!$AE$6:$AE$505,"○")&gt;0,1,0))</f>
        <v/>
      </c>
      <c r="BQ158">
        <f>IF(BQ$4=0,0,IF(COUNTIFS(実績!$W$6:$W$505,BQ$3,実績!$AC$6:$AC$505,"&lt;="&amp;$A158,実績!$AD$6:$AD$505,"&gt;"&amp;$A158,実績!$AE$6:$AE$505,"○")&gt;0,1,0))</f>
        <v/>
      </c>
      <c r="BR158">
        <f>IF(BR$4=0,0,IF(COUNTIFS(実績!$W$6:$W$505,BR$3,実績!$AC$6:$AC$505,"&lt;="&amp;$A158,実績!$AD$6:$AD$505,"&gt;"&amp;$A158,実績!$AE$6:$AE$505,"○")&gt;0,1,0))</f>
        <v/>
      </c>
      <c r="BS158">
        <f>IF(BS$4=0,0,IF(COUNTIFS(実績!$W$6:$W$505,BS$3,実績!$AC$6:$AC$505,"&lt;="&amp;$A158,実績!$AD$6:$AD$505,"&gt;"&amp;$A158,実績!$AE$6:$AE$505,"○")&gt;0,1,0))</f>
        <v/>
      </c>
      <c r="BT158">
        <f>IF(BT$4=0,0,IF(COUNTIFS(実績!$W$6:$W$505,BT$3,実績!$AC$6:$AC$505,"&lt;="&amp;$A158,実績!$AD$6:$AD$505,"&gt;"&amp;$A158,実績!$AE$6:$AE$505,"○")&gt;0,1,0))</f>
        <v/>
      </c>
      <c r="BU158">
        <f>IF(BU$4=0,0,IF(COUNTIFS(実績!$W$6:$W$505,BU$3,実績!$AC$6:$AC$505,"&lt;="&amp;$A158,実績!$AD$6:$AD$505,"&gt;"&amp;$A158,実績!$AE$6:$AE$505,"○")&gt;0,1,0))</f>
        <v/>
      </c>
      <c r="BV158">
        <f>IF(BV$4=0,0,IF(COUNTIFS(実績!$W$6:$W$505,BV$3,実績!$AC$6:$AC$505,"&lt;="&amp;$A158,実績!$AD$6:$AD$505,"&gt;"&amp;$A158,実績!$AE$6:$AE$505,"○")&gt;0,1,0))</f>
        <v/>
      </c>
      <c r="BW158">
        <f>IF(BW$4=0,0,IF(COUNTIFS(実績!$W$6:$W$505,BW$3,実績!$AC$6:$AC$505,"&lt;="&amp;$A158,実績!$AD$6:$AD$505,"&gt;"&amp;$A158,実績!$AE$6:$AE$505,"○")&gt;0,1,0))</f>
        <v/>
      </c>
      <c r="BX158">
        <f>IF(BX$4=0,0,IF(COUNTIFS(実績!$W$6:$W$505,BX$3,実績!$AC$6:$AC$505,"&lt;="&amp;$A158,実績!$AD$6:$AD$505,"&gt;"&amp;$A158,実績!$AE$6:$AE$505,"○")&gt;0,1,0))</f>
        <v/>
      </c>
      <c r="BY158">
        <f>IF(BY$4=0,0,IF(COUNTIFS(実績!$W$6:$W$505,BY$3,実績!$AC$6:$AC$505,"&lt;="&amp;$A158,実績!$AD$6:$AD$505,"&gt;"&amp;$A158,実績!$AE$6:$AE$505,"○")&gt;0,1,0))</f>
        <v/>
      </c>
      <c r="BZ158">
        <f>IF(BZ$4=0,0,IF(COUNTIFS(実績!$W$6:$W$505,BZ$3,実績!$AC$6:$AC$505,"&lt;="&amp;$A158,実績!$AD$6:$AD$505,"&gt;"&amp;$A158,実績!$AE$6:$AE$505,"○")&gt;0,1,0))</f>
        <v/>
      </c>
      <c r="CA158">
        <f>IF(CA$4=0,0,IF(COUNTIFS(実績!$W$6:$W$505,CA$3,実績!$AC$6:$AC$505,"&lt;="&amp;$A158,実績!$AD$6:$AD$505,"&gt;"&amp;$A158,実績!$AE$6:$AE$505,"○")&gt;0,1,0))</f>
        <v/>
      </c>
      <c r="CB158">
        <f>IF(CB$4=0,0,IF(COUNTIFS(実績!$W$6:$W$505,CB$3,実績!$AC$6:$AC$505,"&lt;="&amp;$A158,実績!$AD$6:$AD$505,"&gt;"&amp;$A158,実績!$AE$6:$AE$505,"○")&gt;0,1,0))</f>
        <v/>
      </c>
      <c r="CC158">
        <f>IF(CC$4=0,0,IF(COUNTIFS(実績!$W$6:$W$505,CC$3,実績!$AC$6:$AC$505,"&lt;="&amp;$A158,実績!$AD$6:$AD$505,"&gt;"&amp;$A158,実績!$AE$6:$AE$505,"○")&gt;0,1,0))</f>
        <v/>
      </c>
      <c r="CD158">
        <f>IF(CD$4=0,0,IF(COUNTIFS(実績!$W$6:$W$505,CD$3,実績!$AC$6:$AC$505,"&lt;="&amp;$A158,実績!$AD$6:$AD$505,"&gt;"&amp;$A158,実績!$AE$6:$AE$505,"○")&gt;0,1,0))</f>
        <v/>
      </c>
      <c r="CE158">
        <f>IF(CE$4=0,0,IF(COUNTIFS(実績!$W$6:$W$505,CE$3,実績!$AC$6:$AC$505,"&lt;="&amp;$A158,実績!$AD$6:$AD$505,"&gt;"&amp;$A158,実績!$AE$6:$AE$505,"○")&gt;0,1,0))</f>
        <v/>
      </c>
      <c r="CF158">
        <f>IF(CF$4=0,0,IF(COUNTIFS(実績!$W$6:$W$505,CF$3,実績!$AC$6:$AC$505,"&lt;="&amp;$A158,実績!$AD$6:$AD$505,"&gt;"&amp;$A158,実績!$AE$6:$AE$505,"○")&gt;0,1,0))</f>
        <v/>
      </c>
      <c r="CG158">
        <f>IF(CG$4=0,0,IF(COUNTIFS(実績!$W$6:$W$505,CG$3,実績!$AC$6:$AC$505,"&lt;="&amp;$A158,実績!$AD$6:$AD$505,"&gt;"&amp;$A158,実績!$AE$6:$AE$505,"○")&gt;0,1,0))</f>
        <v/>
      </c>
      <c r="CH158">
        <f>IF(CH$4=0,0,IF(COUNTIFS(実績!$W$6:$W$505,CH$3,実績!$AC$6:$AC$505,"&lt;="&amp;$A158,実績!$AD$6:$AD$505,"&gt;"&amp;$A158,実績!$AE$6:$AE$505,"○")&gt;0,1,0))</f>
        <v/>
      </c>
      <c r="CI158">
        <f>IF(CI$4=0,0,IF(COUNTIFS(実績!$W$6:$W$505,CI$3,実績!$AC$6:$AC$505,"&lt;="&amp;$A158,実績!$AD$6:$AD$505,"&gt;"&amp;$A158,実績!$AE$6:$AE$505,"○")&gt;0,1,0))</f>
        <v/>
      </c>
      <c r="CJ158">
        <f>IF(CJ$4=0,0,IF(COUNTIFS(実績!$W$6:$W$505,CJ$3,実績!$AC$6:$AC$505,"&lt;="&amp;$A158,実績!$AD$6:$AD$505,"&gt;"&amp;$A158,実績!$AE$6:$AE$505,"○")&gt;0,1,0))</f>
        <v/>
      </c>
      <c r="CK158">
        <f>IF(CK$4=0,0,IF(COUNTIFS(実績!$W$6:$W$505,CK$3,実績!$AC$6:$AC$505,"&lt;="&amp;$A158,実績!$AD$6:$AD$505,"&gt;"&amp;$A158,実績!$AE$6:$AE$505,"○")&gt;0,1,0))</f>
        <v/>
      </c>
      <c r="CL158">
        <f>IF(CL$4=0,0,IF(COUNTIFS(実績!$W$6:$W$505,CL$3,実績!$AC$6:$AC$505,"&lt;="&amp;$A158,実績!$AD$6:$AD$505,"&gt;"&amp;$A158,実績!$AE$6:$AE$505,"○")&gt;0,1,0))</f>
        <v/>
      </c>
      <c r="CM158">
        <f>IF(CM$4=0,0,IF(COUNTIFS(実績!$W$6:$W$505,CM$3,実績!$AC$6:$AC$505,"&lt;="&amp;$A158,実績!$AD$6:$AD$505,"&gt;"&amp;$A158,実績!$AE$6:$AE$505,"○")&gt;0,1,0))</f>
        <v/>
      </c>
      <c r="CN158">
        <f>IF(CN$4=0,0,IF(COUNTIFS(実績!$W$6:$W$505,CN$3,実績!$AC$6:$AC$505,"&lt;="&amp;$A158,実績!$AD$6:$AD$505,"&gt;"&amp;$A158,実績!$AE$6:$AE$505,"○")&gt;0,1,0))</f>
        <v/>
      </c>
      <c r="CO158">
        <f>IF(CO$4=0,0,IF(COUNTIFS(実績!$W$6:$W$505,CO$3,実績!$AC$6:$AC$505,"&lt;="&amp;$A158,実績!$AD$6:$AD$505,"&gt;"&amp;$A158,実績!$AE$6:$AE$505,"○")&gt;0,1,0))</f>
        <v/>
      </c>
      <c r="CP158">
        <f>IF(CP$4=0,0,IF(COUNTIFS(実績!$W$6:$W$505,CP$3,実績!$AC$6:$AC$505,"&lt;="&amp;$A158,実績!$AD$6:$AD$505,"&gt;"&amp;$A158,実績!$AE$6:$AE$505,"○")&gt;0,1,0))</f>
        <v/>
      </c>
      <c r="CQ158">
        <f>IF(CQ$4=0,0,IF(COUNTIFS(実績!$W$6:$W$505,CQ$3,実績!$AC$6:$AC$505,"&lt;="&amp;$A158,実績!$AD$6:$AD$505,"&gt;"&amp;$A158,実績!$AE$6:$AE$505,"○")&gt;0,1,0))</f>
        <v/>
      </c>
      <c r="CR158">
        <f>IF(CR$4=0,0,IF(COUNTIFS(実績!$W$6:$W$505,CR$3,実績!$AC$6:$AC$505,"&lt;="&amp;$A158,実績!$AD$6:$AD$505,"&gt;"&amp;$A158,実績!$AE$6:$AE$505,"○")&gt;0,1,0))</f>
        <v/>
      </c>
      <c r="CS158">
        <f>IF(CS$4=0,0,IF(COUNTIFS(実績!$W$6:$W$505,CS$3,実績!$AC$6:$AC$505,"&lt;="&amp;$A158,実績!$AD$6:$AD$505,"&gt;"&amp;$A158,実績!$AE$6:$AE$505,"○")&gt;0,1,0))</f>
        <v/>
      </c>
      <c r="CT158">
        <f>IF(CT$4=0,0,IF(COUNTIFS(実績!$W$6:$W$505,CT$3,実績!$AC$6:$AC$505,"&lt;="&amp;$A158,実績!$AD$6:$AD$505,"&gt;"&amp;$A158,実績!$AE$6:$AE$505,"○")&gt;0,1,0))</f>
        <v/>
      </c>
      <c r="CU158">
        <f>IF(CU$4=0,0,IF(COUNTIFS(実績!$W$6:$W$505,CU$3,実績!$AC$6:$AC$505,"&lt;="&amp;$A158,実績!$AD$6:$AD$505,"&gt;"&amp;$A158,実績!$AE$6:$AE$505,"○")&gt;0,1,0))</f>
        <v/>
      </c>
      <c r="CV158">
        <f>IF(CV$4=0,0,IF(COUNTIFS(実績!$W$6:$W$505,CV$3,実績!$AC$6:$AC$505,"&lt;="&amp;$A158,実績!$AD$6:$AD$505,"&gt;"&amp;$A158,実績!$AE$6:$AE$505,"○")&gt;0,1,0))</f>
        <v/>
      </c>
      <c r="CW158">
        <f>IF(CW$4=0,0,IF(COUNTIFS(実績!$W$6:$W$505,CW$3,実績!$AC$6:$AC$505,"&lt;="&amp;$A158,実績!$AD$6:$AD$505,"&gt;"&amp;$A158,実績!$AE$6:$AE$505,"○")&gt;0,1,0))</f>
        <v/>
      </c>
      <c r="CX158">
        <f>IF(CX$4=0,0,IF(COUNTIFS(実績!$W$6:$W$505,CX$3,実績!$AC$6:$AC$505,"&lt;="&amp;$A158,実績!$AD$6:$AD$505,"&gt;"&amp;$A158,実績!$AE$6:$AE$505,"○")&gt;0,1,0))</f>
        <v/>
      </c>
      <c r="CY158">
        <f>IF(CY$4=0,0,IF(COUNTIFS(実績!$W$6:$W$505,CY$3,実績!$AC$6:$AC$505,"&lt;="&amp;$A158,実績!$AD$6:$AD$505,"&gt;"&amp;$A158,実績!$AE$6:$AE$505,"○")&gt;0,1,0))</f>
        <v/>
      </c>
      <c r="CZ158">
        <f>IF(CZ$4=0,0,IF(COUNTIFS(実績!$W$6:$W$505,CZ$3,実績!$AC$6:$AC$505,"&lt;="&amp;$A158,実績!$AD$6:$AD$505,"&gt;"&amp;$A158,実績!$AE$6:$AE$505,"○")&gt;0,1,0))</f>
        <v/>
      </c>
      <c r="DA158">
        <f>IF(DA$4=0,0,IF(COUNTIFS(実績!$W$6:$W$505,DA$3,実績!$AC$6:$AC$505,"&lt;="&amp;$A158,実績!$AD$6:$AD$505,"&gt;"&amp;$A158,実績!$AE$6:$AE$505,"○")&gt;0,1,0))</f>
        <v/>
      </c>
      <c r="DB158">
        <f>IF(DB$4=0,0,IF(COUNTIFS(実績!$W$6:$W$505,DB$3,実績!$AC$6:$AC$505,"&lt;="&amp;$A158,実績!$AD$6:$AD$505,"&gt;"&amp;$A158,実績!$AE$6:$AE$505,"○")&gt;0,1,0))</f>
        <v/>
      </c>
      <c r="DC158">
        <f>IF(DC$4=0,0,IF(COUNTIFS(実績!$W$6:$W$505,DC$3,実績!$AC$6:$AC$505,"&lt;="&amp;$A158,実績!$AD$6:$AD$505,"&gt;"&amp;$A158,実績!$AE$6:$AE$505,"○")&gt;0,1,0))</f>
        <v/>
      </c>
      <c r="DD158">
        <f>IF(DD$4=0,0,IF(COUNTIFS(実績!$W$6:$W$505,DD$3,実績!$AC$6:$AC$505,"&lt;="&amp;$A158,実績!$AD$6:$AD$505,"&gt;"&amp;$A158,実績!$AE$6:$AE$505,"○")&gt;0,1,0))</f>
        <v/>
      </c>
      <c r="DE158">
        <f>IF(DE$4=0,0,IF(COUNTIFS(実績!$W$6:$W$505,DE$3,実績!$AC$6:$AC$505,"&lt;="&amp;$A158,実績!$AD$6:$AD$505,"&gt;"&amp;$A158,実績!$AE$6:$AE$505,"○")&gt;0,1,0))</f>
        <v/>
      </c>
      <c r="DF158">
        <f>IF(DF$4=0,0,IF(COUNTIFS(実績!$W$6:$W$505,DF$3,実績!$AC$6:$AC$505,"&lt;="&amp;$A158,実績!$AD$6:$AD$505,"&gt;"&amp;$A158,実績!$AE$6:$AE$505,"○")&gt;0,1,0))</f>
        <v/>
      </c>
      <c r="DG158">
        <f>IF(DG$4=0,0,IF(COUNTIFS(実績!$W$6:$W$505,DG$3,実績!$AC$6:$AC$505,"&lt;="&amp;$A158,実績!$AD$6:$AD$505,"&gt;"&amp;$A158,実績!$AE$6:$AE$505,"○")&gt;0,1,0))</f>
        <v/>
      </c>
      <c r="DH158">
        <f>IF(DH$4=0,0,IF(COUNTIFS(実績!$W$6:$W$505,DH$3,実績!$AC$6:$AC$505,"&lt;="&amp;$A158,実績!$AD$6:$AD$505,"&gt;"&amp;$A158,実績!$AE$6:$AE$505,"○")&gt;0,1,0))</f>
        <v/>
      </c>
      <c r="DI158">
        <f>IF(DI$4=0,0,IF(COUNTIFS(実績!$W$6:$W$505,DI$3,実績!$AC$6:$AC$505,"&lt;="&amp;$A158,実績!$AD$6:$AD$505,"&gt;"&amp;$A158,実績!$AE$6:$AE$505,"○")&gt;0,1,0))</f>
        <v/>
      </c>
      <c r="DJ158">
        <f>IF(DJ$4=0,0,IF(COUNTIFS(実績!$W$6:$W$505,DJ$3,実績!$AC$6:$AC$505,"&lt;="&amp;$A158,実績!$AD$6:$AD$505,"&gt;"&amp;$A158,実績!$AE$6:$AE$505,"○")&gt;0,1,0))</f>
        <v/>
      </c>
      <c r="DK158">
        <f>IF(DK$4=0,0,IF(COUNTIFS(実績!$W$6:$W$505,DK$3,実績!$AC$6:$AC$505,"&lt;="&amp;$A158,実績!$AD$6:$AD$505,"&gt;"&amp;$A158,実績!$AE$6:$AE$505,"○")&gt;0,1,0))</f>
        <v/>
      </c>
      <c r="DL158">
        <f>IF(DL$4=0,0,IF(COUNTIFS(実績!$W$6:$W$505,DL$3,実績!$AC$6:$AC$505,"&lt;="&amp;$A158,実績!$AD$6:$AD$505,"&gt;"&amp;$A158,実績!$AE$6:$AE$505,"○")&gt;0,1,0))</f>
        <v/>
      </c>
      <c r="DM158">
        <f>IF(DM$4=0,0,IF(COUNTIFS(実績!$W$6:$W$505,DM$3,実績!$AC$6:$AC$505,"&lt;="&amp;$A158,実績!$AD$6:$AD$505,"&gt;"&amp;$A158,実績!$AE$6:$AE$505,"○")&gt;0,1,0))</f>
        <v/>
      </c>
      <c r="DN158">
        <f>IF(DN$4=0,0,IF(COUNTIFS(実績!$W$6:$W$505,DN$3,実績!$AC$6:$AC$505,"&lt;="&amp;$A158,実績!$AD$6:$AD$505,"&gt;"&amp;$A158,実績!$AE$6:$AE$505,"○")&gt;0,1,0))</f>
        <v/>
      </c>
      <c r="DO158">
        <f>IF(DO$4=0,0,IF(COUNTIFS(実績!$W$6:$W$505,DO$3,実績!$AC$6:$AC$505,"&lt;="&amp;$A158,実績!$AD$6:$AD$505,"&gt;"&amp;$A158,実績!$AE$6:$AE$505,"○")&gt;0,1,0))</f>
        <v/>
      </c>
      <c r="DP158">
        <f>IF(DP$4=0,0,IF(COUNTIFS(実績!$W$6:$W$505,DP$3,実績!$AC$6:$AC$505,"&lt;="&amp;$A158,実績!$AD$6:$AD$505,"&gt;"&amp;$A158,実績!$AE$6:$AE$505,"○")&gt;0,1,0))</f>
        <v/>
      </c>
      <c r="DQ158">
        <f>IF(DQ$4=0,0,IF(COUNTIFS(実績!$W$6:$W$505,DQ$3,実績!$AC$6:$AC$505,"&lt;="&amp;$A158,実績!$AD$6:$AD$505,"&gt;"&amp;$A158,実績!$AE$6:$AE$505,"○")&gt;0,1,0))</f>
        <v/>
      </c>
      <c r="DR158">
        <f>IF(DR$4=0,0,IF(COUNTIFS(実績!$W$6:$W$505,DR$3,実績!$AC$6:$AC$505,"&lt;="&amp;$A158,実績!$AD$6:$AD$505,"&gt;"&amp;$A158,実績!$AE$6:$AE$505,"○")&gt;0,1,0))</f>
        <v/>
      </c>
      <c r="DS158">
        <f>SUM(C158:DR158)</f>
        <v/>
      </c>
      <c r="DT158">
        <f>SUMPRODUCT((実績!$C$6:$C$505="○")*ISNUMBER(実績!$AF$6:$AF$505)*(実績!$AF$6:$AF$505&lt;=$A158)*(実績!$AG$6:$AG$505&gt;$A158))</f>
        <v/>
      </c>
      <c r="DU158">
        <f>SUMIF($C$2:$DR$2,"製鉄曳船",C158:DR158)</f>
        <v/>
      </c>
      <c r="DV158">
        <f>SUMIF($C$2:$DR$2,"西日本海運",C158:DR158)</f>
        <v/>
      </c>
    </row>
    <row r="159">
      <c r="A159" t="n">
        <v>765</v>
      </c>
      <c r="B159" s="29">
        <f>A159/1440</f>
        <v/>
      </c>
      <c r="C159">
        <f>IF(C$4=0,0,IF(COUNTIFS(実績!$W$6:$W$505,C$3,実績!$AC$6:$AC$505,"&lt;="&amp;$A159,実績!$AD$6:$AD$505,"&gt;"&amp;$A159,実績!$AE$6:$AE$505,"○")&gt;0,1,0))</f>
        <v/>
      </c>
      <c r="D159">
        <f>IF(D$4=0,0,IF(COUNTIFS(実績!$W$6:$W$505,D$3,実績!$AC$6:$AC$505,"&lt;="&amp;$A159,実績!$AD$6:$AD$505,"&gt;"&amp;$A159,実績!$AE$6:$AE$505,"○")&gt;0,1,0))</f>
        <v/>
      </c>
      <c r="E159">
        <f>IF(E$4=0,0,IF(COUNTIFS(実績!$W$6:$W$505,E$3,実績!$AC$6:$AC$505,"&lt;="&amp;$A159,実績!$AD$6:$AD$505,"&gt;"&amp;$A159,実績!$AE$6:$AE$505,"○")&gt;0,1,0))</f>
        <v/>
      </c>
      <c r="F159">
        <f>IF(F$4=0,0,IF(COUNTIFS(実績!$W$6:$W$505,F$3,実績!$AC$6:$AC$505,"&lt;="&amp;$A159,実績!$AD$6:$AD$505,"&gt;"&amp;$A159,実績!$AE$6:$AE$505,"○")&gt;0,1,0))</f>
        <v/>
      </c>
      <c r="G159">
        <f>IF(G$4=0,0,IF(COUNTIFS(実績!$W$6:$W$505,G$3,実績!$AC$6:$AC$505,"&lt;="&amp;$A159,実績!$AD$6:$AD$505,"&gt;"&amp;$A159,実績!$AE$6:$AE$505,"○")&gt;0,1,0))</f>
        <v/>
      </c>
      <c r="H159">
        <f>IF(H$4=0,0,IF(COUNTIFS(実績!$W$6:$W$505,H$3,実績!$AC$6:$AC$505,"&lt;="&amp;$A159,実績!$AD$6:$AD$505,"&gt;"&amp;$A159,実績!$AE$6:$AE$505,"○")&gt;0,1,0))</f>
        <v/>
      </c>
      <c r="I159">
        <f>IF(I$4=0,0,IF(COUNTIFS(実績!$W$6:$W$505,I$3,実績!$AC$6:$AC$505,"&lt;="&amp;$A159,実績!$AD$6:$AD$505,"&gt;"&amp;$A159,実績!$AE$6:$AE$505,"○")&gt;0,1,0))</f>
        <v/>
      </c>
      <c r="J159">
        <f>IF(J$4=0,0,IF(COUNTIFS(実績!$W$6:$W$505,J$3,実績!$AC$6:$AC$505,"&lt;="&amp;$A159,実績!$AD$6:$AD$505,"&gt;"&amp;$A159,実績!$AE$6:$AE$505,"○")&gt;0,1,0))</f>
        <v/>
      </c>
      <c r="K159">
        <f>IF(K$4=0,0,IF(COUNTIFS(実績!$W$6:$W$505,K$3,実績!$AC$6:$AC$505,"&lt;="&amp;$A159,実績!$AD$6:$AD$505,"&gt;"&amp;$A159,実績!$AE$6:$AE$505,"○")&gt;0,1,0))</f>
        <v/>
      </c>
      <c r="L159">
        <f>IF(L$4=0,0,IF(COUNTIFS(実績!$W$6:$W$505,L$3,実績!$AC$6:$AC$505,"&lt;="&amp;$A159,実績!$AD$6:$AD$505,"&gt;"&amp;$A159,実績!$AE$6:$AE$505,"○")&gt;0,1,0))</f>
        <v/>
      </c>
      <c r="M159">
        <f>IF(M$4=0,0,IF(COUNTIFS(実績!$W$6:$W$505,M$3,実績!$AC$6:$AC$505,"&lt;="&amp;$A159,実績!$AD$6:$AD$505,"&gt;"&amp;$A159,実績!$AE$6:$AE$505,"○")&gt;0,1,0))</f>
        <v/>
      </c>
      <c r="N159">
        <f>IF(N$4=0,0,IF(COUNTIFS(実績!$W$6:$W$505,N$3,実績!$AC$6:$AC$505,"&lt;="&amp;$A159,実績!$AD$6:$AD$505,"&gt;"&amp;$A159,実績!$AE$6:$AE$505,"○")&gt;0,1,0))</f>
        <v/>
      </c>
      <c r="O159">
        <f>IF(O$4=0,0,IF(COUNTIFS(実績!$W$6:$W$505,O$3,実績!$AC$6:$AC$505,"&lt;="&amp;$A159,実績!$AD$6:$AD$505,"&gt;"&amp;$A159,実績!$AE$6:$AE$505,"○")&gt;0,1,0))</f>
        <v/>
      </c>
      <c r="P159">
        <f>IF(P$4=0,0,IF(COUNTIFS(実績!$W$6:$W$505,P$3,実績!$AC$6:$AC$505,"&lt;="&amp;$A159,実績!$AD$6:$AD$505,"&gt;"&amp;$A159,実績!$AE$6:$AE$505,"○")&gt;0,1,0))</f>
        <v/>
      </c>
      <c r="Q159">
        <f>IF(Q$4=0,0,IF(COUNTIFS(実績!$W$6:$W$505,Q$3,実績!$AC$6:$AC$505,"&lt;="&amp;$A159,実績!$AD$6:$AD$505,"&gt;"&amp;$A159,実績!$AE$6:$AE$505,"○")&gt;0,1,0))</f>
        <v/>
      </c>
      <c r="R159">
        <f>IF(R$4=0,0,IF(COUNTIFS(実績!$W$6:$W$505,R$3,実績!$AC$6:$AC$505,"&lt;="&amp;$A159,実績!$AD$6:$AD$505,"&gt;"&amp;$A159,実績!$AE$6:$AE$505,"○")&gt;0,1,0))</f>
        <v/>
      </c>
      <c r="S159">
        <f>IF(S$4=0,0,IF(COUNTIFS(実績!$W$6:$W$505,S$3,実績!$AC$6:$AC$505,"&lt;="&amp;$A159,実績!$AD$6:$AD$505,"&gt;"&amp;$A159,実績!$AE$6:$AE$505,"○")&gt;0,1,0))</f>
        <v/>
      </c>
      <c r="T159">
        <f>IF(T$4=0,0,IF(COUNTIFS(実績!$W$6:$W$505,T$3,実績!$AC$6:$AC$505,"&lt;="&amp;$A159,実績!$AD$6:$AD$505,"&gt;"&amp;$A159,実績!$AE$6:$AE$505,"○")&gt;0,1,0))</f>
        <v/>
      </c>
      <c r="U159">
        <f>IF(U$4=0,0,IF(COUNTIFS(実績!$W$6:$W$505,U$3,実績!$AC$6:$AC$505,"&lt;="&amp;$A159,実績!$AD$6:$AD$505,"&gt;"&amp;$A159,実績!$AE$6:$AE$505,"○")&gt;0,1,0))</f>
        <v/>
      </c>
      <c r="V159">
        <f>IF(V$4=0,0,IF(COUNTIFS(実績!$W$6:$W$505,V$3,実績!$AC$6:$AC$505,"&lt;="&amp;$A159,実績!$AD$6:$AD$505,"&gt;"&amp;$A159,実績!$AE$6:$AE$505,"○")&gt;0,1,0))</f>
        <v/>
      </c>
      <c r="W159">
        <f>IF(W$4=0,0,IF(COUNTIFS(実績!$W$6:$W$505,W$3,実績!$AC$6:$AC$505,"&lt;="&amp;$A159,実績!$AD$6:$AD$505,"&gt;"&amp;$A159,実績!$AE$6:$AE$505,"○")&gt;0,1,0))</f>
        <v/>
      </c>
      <c r="X159">
        <f>IF(X$4=0,0,IF(COUNTIFS(実績!$W$6:$W$505,X$3,実績!$AC$6:$AC$505,"&lt;="&amp;$A159,実績!$AD$6:$AD$505,"&gt;"&amp;$A159,実績!$AE$6:$AE$505,"○")&gt;0,1,0))</f>
        <v/>
      </c>
      <c r="Y159">
        <f>IF(Y$4=0,0,IF(COUNTIFS(実績!$W$6:$W$505,Y$3,実績!$AC$6:$AC$505,"&lt;="&amp;$A159,実績!$AD$6:$AD$505,"&gt;"&amp;$A159,実績!$AE$6:$AE$505,"○")&gt;0,1,0))</f>
        <v/>
      </c>
      <c r="Z159">
        <f>IF(Z$4=0,0,IF(COUNTIFS(実績!$W$6:$W$505,Z$3,実績!$AC$6:$AC$505,"&lt;="&amp;$A159,実績!$AD$6:$AD$505,"&gt;"&amp;$A159,実績!$AE$6:$AE$505,"○")&gt;0,1,0))</f>
        <v/>
      </c>
      <c r="AA159">
        <f>IF(AA$4=0,0,IF(COUNTIFS(実績!$W$6:$W$505,AA$3,実績!$AC$6:$AC$505,"&lt;="&amp;$A159,実績!$AD$6:$AD$505,"&gt;"&amp;$A159,実績!$AE$6:$AE$505,"○")&gt;0,1,0))</f>
        <v/>
      </c>
      <c r="AB159">
        <f>IF(AB$4=0,0,IF(COUNTIFS(実績!$W$6:$W$505,AB$3,実績!$AC$6:$AC$505,"&lt;="&amp;$A159,実績!$AD$6:$AD$505,"&gt;"&amp;$A159,実績!$AE$6:$AE$505,"○")&gt;0,1,0))</f>
        <v/>
      </c>
      <c r="AC159">
        <f>IF(AC$4=0,0,IF(COUNTIFS(実績!$W$6:$W$505,AC$3,実績!$AC$6:$AC$505,"&lt;="&amp;$A159,実績!$AD$6:$AD$505,"&gt;"&amp;$A159,実績!$AE$6:$AE$505,"○")&gt;0,1,0))</f>
        <v/>
      </c>
      <c r="AD159">
        <f>IF(AD$4=0,0,IF(COUNTIFS(実績!$W$6:$W$505,AD$3,実績!$AC$6:$AC$505,"&lt;="&amp;$A159,実績!$AD$6:$AD$505,"&gt;"&amp;$A159,実績!$AE$6:$AE$505,"○")&gt;0,1,0))</f>
        <v/>
      </c>
      <c r="AE159">
        <f>IF(AE$4=0,0,IF(COUNTIFS(実績!$W$6:$W$505,AE$3,実績!$AC$6:$AC$505,"&lt;="&amp;$A159,実績!$AD$6:$AD$505,"&gt;"&amp;$A159,実績!$AE$6:$AE$505,"○")&gt;0,1,0))</f>
        <v/>
      </c>
      <c r="AF159">
        <f>IF(AF$4=0,0,IF(COUNTIFS(実績!$W$6:$W$505,AF$3,実績!$AC$6:$AC$505,"&lt;="&amp;$A159,実績!$AD$6:$AD$505,"&gt;"&amp;$A159,実績!$AE$6:$AE$505,"○")&gt;0,1,0))</f>
        <v/>
      </c>
      <c r="AG159">
        <f>IF(AG$4=0,0,IF(COUNTIFS(実績!$W$6:$W$505,AG$3,実績!$AC$6:$AC$505,"&lt;="&amp;$A159,実績!$AD$6:$AD$505,"&gt;"&amp;$A159,実績!$AE$6:$AE$505,"○")&gt;0,1,0))</f>
        <v/>
      </c>
      <c r="AH159">
        <f>IF(AH$4=0,0,IF(COUNTIFS(実績!$W$6:$W$505,AH$3,実績!$AC$6:$AC$505,"&lt;="&amp;$A159,実績!$AD$6:$AD$505,"&gt;"&amp;$A159,実績!$AE$6:$AE$505,"○")&gt;0,1,0))</f>
        <v/>
      </c>
      <c r="AI159">
        <f>IF(AI$4=0,0,IF(COUNTIFS(実績!$W$6:$W$505,AI$3,実績!$AC$6:$AC$505,"&lt;="&amp;$A159,実績!$AD$6:$AD$505,"&gt;"&amp;$A159,実績!$AE$6:$AE$505,"○")&gt;0,1,0))</f>
        <v/>
      </c>
      <c r="AJ159">
        <f>IF(AJ$4=0,0,IF(COUNTIFS(実績!$W$6:$W$505,AJ$3,実績!$AC$6:$AC$505,"&lt;="&amp;$A159,実績!$AD$6:$AD$505,"&gt;"&amp;$A159,実績!$AE$6:$AE$505,"○")&gt;0,1,0))</f>
        <v/>
      </c>
      <c r="AK159">
        <f>IF(AK$4=0,0,IF(COUNTIFS(実績!$W$6:$W$505,AK$3,実績!$AC$6:$AC$505,"&lt;="&amp;$A159,実績!$AD$6:$AD$505,"&gt;"&amp;$A159,実績!$AE$6:$AE$505,"○")&gt;0,1,0))</f>
        <v/>
      </c>
      <c r="AL159">
        <f>IF(AL$4=0,0,IF(COUNTIFS(実績!$W$6:$W$505,AL$3,実績!$AC$6:$AC$505,"&lt;="&amp;$A159,実績!$AD$6:$AD$505,"&gt;"&amp;$A159,実績!$AE$6:$AE$505,"○")&gt;0,1,0))</f>
        <v/>
      </c>
      <c r="AM159">
        <f>IF(AM$4=0,0,IF(COUNTIFS(実績!$W$6:$W$505,AM$3,実績!$AC$6:$AC$505,"&lt;="&amp;$A159,実績!$AD$6:$AD$505,"&gt;"&amp;$A159,実績!$AE$6:$AE$505,"○")&gt;0,1,0))</f>
        <v/>
      </c>
      <c r="AN159">
        <f>IF(AN$4=0,0,IF(COUNTIFS(実績!$W$6:$W$505,AN$3,実績!$AC$6:$AC$505,"&lt;="&amp;$A159,実績!$AD$6:$AD$505,"&gt;"&amp;$A159,実績!$AE$6:$AE$505,"○")&gt;0,1,0))</f>
        <v/>
      </c>
      <c r="AO159">
        <f>IF(AO$4=0,0,IF(COUNTIFS(実績!$W$6:$W$505,AO$3,実績!$AC$6:$AC$505,"&lt;="&amp;$A159,実績!$AD$6:$AD$505,"&gt;"&amp;$A159,実績!$AE$6:$AE$505,"○")&gt;0,1,0))</f>
        <v/>
      </c>
      <c r="AP159">
        <f>IF(AP$4=0,0,IF(COUNTIFS(実績!$W$6:$W$505,AP$3,実績!$AC$6:$AC$505,"&lt;="&amp;$A159,実績!$AD$6:$AD$505,"&gt;"&amp;$A159,実績!$AE$6:$AE$505,"○")&gt;0,1,0))</f>
        <v/>
      </c>
      <c r="AQ159">
        <f>IF(AQ$4=0,0,IF(COUNTIFS(実績!$W$6:$W$505,AQ$3,実績!$AC$6:$AC$505,"&lt;="&amp;$A159,実績!$AD$6:$AD$505,"&gt;"&amp;$A159,実績!$AE$6:$AE$505,"○")&gt;0,1,0))</f>
        <v/>
      </c>
      <c r="AR159">
        <f>IF(AR$4=0,0,IF(COUNTIFS(実績!$W$6:$W$505,AR$3,実績!$AC$6:$AC$505,"&lt;="&amp;$A159,実績!$AD$6:$AD$505,"&gt;"&amp;$A159,実績!$AE$6:$AE$505,"○")&gt;0,1,0))</f>
        <v/>
      </c>
      <c r="AS159">
        <f>IF(AS$4=0,0,IF(COUNTIFS(実績!$W$6:$W$505,AS$3,実績!$AC$6:$AC$505,"&lt;="&amp;$A159,実績!$AD$6:$AD$505,"&gt;"&amp;$A159,実績!$AE$6:$AE$505,"○")&gt;0,1,0))</f>
        <v/>
      </c>
      <c r="AT159">
        <f>IF(AT$4=0,0,IF(COUNTIFS(実績!$W$6:$W$505,AT$3,実績!$AC$6:$AC$505,"&lt;="&amp;$A159,実績!$AD$6:$AD$505,"&gt;"&amp;$A159,実績!$AE$6:$AE$505,"○")&gt;0,1,0))</f>
        <v/>
      </c>
      <c r="AU159">
        <f>IF(AU$4=0,0,IF(COUNTIFS(実績!$W$6:$W$505,AU$3,実績!$AC$6:$AC$505,"&lt;="&amp;$A159,実績!$AD$6:$AD$505,"&gt;"&amp;$A159,実績!$AE$6:$AE$505,"○")&gt;0,1,0))</f>
        <v/>
      </c>
      <c r="AV159">
        <f>IF(AV$4=0,0,IF(COUNTIFS(実績!$W$6:$W$505,AV$3,実績!$AC$6:$AC$505,"&lt;="&amp;$A159,実績!$AD$6:$AD$505,"&gt;"&amp;$A159,実績!$AE$6:$AE$505,"○")&gt;0,1,0))</f>
        <v/>
      </c>
      <c r="AW159">
        <f>IF(AW$4=0,0,IF(COUNTIFS(実績!$W$6:$W$505,AW$3,実績!$AC$6:$AC$505,"&lt;="&amp;$A159,実績!$AD$6:$AD$505,"&gt;"&amp;$A159,実績!$AE$6:$AE$505,"○")&gt;0,1,0))</f>
        <v/>
      </c>
      <c r="AX159">
        <f>IF(AX$4=0,0,IF(COUNTIFS(実績!$W$6:$W$505,AX$3,実績!$AC$6:$AC$505,"&lt;="&amp;$A159,実績!$AD$6:$AD$505,"&gt;"&amp;$A159,実績!$AE$6:$AE$505,"○")&gt;0,1,0))</f>
        <v/>
      </c>
      <c r="AY159">
        <f>IF(AY$4=0,0,IF(COUNTIFS(実績!$W$6:$W$505,AY$3,実績!$AC$6:$AC$505,"&lt;="&amp;$A159,実績!$AD$6:$AD$505,"&gt;"&amp;$A159,実績!$AE$6:$AE$505,"○")&gt;0,1,0))</f>
        <v/>
      </c>
      <c r="AZ159">
        <f>IF(AZ$4=0,0,IF(COUNTIFS(実績!$W$6:$W$505,AZ$3,実績!$AC$6:$AC$505,"&lt;="&amp;$A159,実績!$AD$6:$AD$505,"&gt;"&amp;$A159,実績!$AE$6:$AE$505,"○")&gt;0,1,0))</f>
        <v/>
      </c>
      <c r="BA159">
        <f>IF(BA$4=0,0,IF(COUNTIFS(実績!$W$6:$W$505,BA$3,実績!$AC$6:$AC$505,"&lt;="&amp;$A159,実績!$AD$6:$AD$505,"&gt;"&amp;$A159,実績!$AE$6:$AE$505,"○")&gt;0,1,0))</f>
        <v/>
      </c>
      <c r="BB159">
        <f>IF(BB$4=0,0,IF(COUNTIFS(実績!$W$6:$W$505,BB$3,実績!$AC$6:$AC$505,"&lt;="&amp;$A159,実績!$AD$6:$AD$505,"&gt;"&amp;$A159,実績!$AE$6:$AE$505,"○")&gt;0,1,0))</f>
        <v/>
      </c>
      <c r="BC159">
        <f>IF(BC$4=0,0,IF(COUNTIFS(実績!$W$6:$W$505,BC$3,実績!$AC$6:$AC$505,"&lt;="&amp;$A159,実績!$AD$6:$AD$505,"&gt;"&amp;$A159,実績!$AE$6:$AE$505,"○")&gt;0,1,0))</f>
        <v/>
      </c>
      <c r="BD159">
        <f>IF(BD$4=0,0,IF(COUNTIFS(実績!$W$6:$W$505,BD$3,実績!$AC$6:$AC$505,"&lt;="&amp;$A159,実績!$AD$6:$AD$505,"&gt;"&amp;$A159,実績!$AE$6:$AE$505,"○")&gt;0,1,0))</f>
        <v/>
      </c>
      <c r="BE159">
        <f>IF(BE$4=0,0,IF(COUNTIFS(実績!$W$6:$W$505,BE$3,実績!$AC$6:$AC$505,"&lt;="&amp;$A159,実績!$AD$6:$AD$505,"&gt;"&amp;$A159,実績!$AE$6:$AE$505,"○")&gt;0,1,0))</f>
        <v/>
      </c>
      <c r="BF159">
        <f>IF(BF$4=0,0,IF(COUNTIFS(実績!$W$6:$W$505,BF$3,実績!$AC$6:$AC$505,"&lt;="&amp;$A159,実績!$AD$6:$AD$505,"&gt;"&amp;$A159,実績!$AE$6:$AE$505,"○")&gt;0,1,0))</f>
        <v/>
      </c>
      <c r="BG159">
        <f>IF(BG$4=0,0,IF(COUNTIFS(実績!$W$6:$W$505,BG$3,実績!$AC$6:$AC$505,"&lt;="&amp;$A159,実績!$AD$6:$AD$505,"&gt;"&amp;$A159,実績!$AE$6:$AE$505,"○")&gt;0,1,0))</f>
        <v/>
      </c>
      <c r="BH159">
        <f>IF(BH$4=0,0,IF(COUNTIFS(実績!$W$6:$W$505,BH$3,実績!$AC$6:$AC$505,"&lt;="&amp;$A159,実績!$AD$6:$AD$505,"&gt;"&amp;$A159,実績!$AE$6:$AE$505,"○")&gt;0,1,0))</f>
        <v/>
      </c>
      <c r="BI159">
        <f>IF(BI$4=0,0,IF(COUNTIFS(実績!$W$6:$W$505,BI$3,実績!$AC$6:$AC$505,"&lt;="&amp;$A159,実績!$AD$6:$AD$505,"&gt;"&amp;$A159,実績!$AE$6:$AE$505,"○")&gt;0,1,0))</f>
        <v/>
      </c>
      <c r="BJ159">
        <f>IF(BJ$4=0,0,IF(COUNTIFS(実績!$W$6:$W$505,BJ$3,実績!$AC$6:$AC$505,"&lt;="&amp;$A159,実績!$AD$6:$AD$505,"&gt;"&amp;$A159,実績!$AE$6:$AE$505,"○")&gt;0,1,0))</f>
        <v/>
      </c>
      <c r="BK159">
        <f>IF(BK$4=0,0,IF(COUNTIFS(実績!$W$6:$W$505,BK$3,実績!$AC$6:$AC$505,"&lt;="&amp;$A159,実績!$AD$6:$AD$505,"&gt;"&amp;$A159,実績!$AE$6:$AE$505,"○")&gt;0,1,0))</f>
        <v/>
      </c>
      <c r="BL159">
        <f>IF(BL$4=0,0,IF(COUNTIFS(実績!$W$6:$W$505,BL$3,実績!$AC$6:$AC$505,"&lt;="&amp;$A159,実績!$AD$6:$AD$505,"&gt;"&amp;$A159,実績!$AE$6:$AE$505,"○")&gt;0,1,0))</f>
        <v/>
      </c>
      <c r="BM159">
        <f>IF(BM$4=0,0,IF(COUNTIFS(実績!$W$6:$W$505,BM$3,実績!$AC$6:$AC$505,"&lt;="&amp;$A159,実績!$AD$6:$AD$505,"&gt;"&amp;$A159,実績!$AE$6:$AE$505,"○")&gt;0,1,0))</f>
        <v/>
      </c>
      <c r="BN159">
        <f>IF(BN$4=0,0,IF(COUNTIFS(実績!$W$6:$W$505,BN$3,実績!$AC$6:$AC$505,"&lt;="&amp;$A159,実績!$AD$6:$AD$505,"&gt;"&amp;$A159,実績!$AE$6:$AE$505,"○")&gt;0,1,0))</f>
        <v/>
      </c>
      <c r="BO159">
        <f>IF(BO$4=0,0,IF(COUNTIFS(実績!$W$6:$W$505,BO$3,実績!$AC$6:$AC$505,"&lt;="&amp;$A159,実績!$AD$6:$AD$505,"&gt;"&amp;$A159,実績!$AE$6:$AE$505,"○")&gt;0,1,0))</f>
        <v/>
      </c>
      <c r="BP159">
        <f>IF(BP$4=0,0,IF(COUNTIFS(実績!$W$6:$W$505,BP$3,実績!$AC$6:$AC$505,"&lt;="&amp;$A159,実績!$AD$6:$AD$505,"&gt;"&amp;$A159,実績!$AE$6:$AE$505,"○")&gt;0,1,0))</f>
        <v/>
      </c>
      <c r="BQ159">
        <f>IF(BQ$4=0,0,IF(COUNTIFS(実績!$W$6:$W$505,BQ$3,実績!$AC$6:$AC$505,"&lt;="&amp;$A159,実績!$AD$6:$AD$505,"&gt;"&amp;$A159,実績!$AE$6:$AE$505,"○")&gt;0,1,0))</f>
        <v/>
      </c>
      <c r="BR159">
        <f>IF(BR$4=0,0,IF(COUNTIFS(実績!$W$6:$W$505,BR$3,実績!$AC$6:$AC$505,"&lt;="&amp;$A159,実績!$AD$6:$AD$505,"&gt;"&amp;$A159,実績!$AE$6:$AE$505,"○")&gt;0,1,0))</f>
        <v/>
      </c>
      <c r="BS159">
        <f>IF(BS$4=0,0,IF(COUNTIFS(実績!$W$6:$W$505,BS$3,実績!$AC$6:$AC$505,"&lt;="&amp;$A159,実績!$AD$6:$AD$505,"&gt;"&amp;$A159,実績!$AE$6:$AE$505,"○")&gt;0,1,0))</f>
        <v/>
      </c>
      <c r="BT159">
        <f>IF(BT$4=0,0,IF(COUNTIFS(実績!$W$6:$W$505,BT$3,実績!$AC$6:$AC$505,"&lt;="&amp;$A159,実績!$AD$6:$AD$505,"&gt;"&amp;$A159,実績!$AE$6:$AE$505,"○")&gt;0,1,0))</f>
        <v/>
      </c>
      <c r="BU159">
        <f>IF(BU$4=0,0,IF(COUNTIFS(実績!$W$6:$W$505,BU$3,実績!$AC$6:$AC$505,"&lt;="&amp;$A159,実績!$AD$6:$AD$505,"&gt;"&amp;$A159,実績!$AE$6:$AE$505,"○")&gt;0,1,0))</f>
        <v/>
      </c>
      <c r="BV159">
        <f>IF(BV$4=0,0,IF(COUNTIFS(実績!$W$6:$W$505,BV$3,実績!$AC$6:$AC$505,"&lt;="&amp;$A159,実績!$AD$6:$AD$505,"&gt;"&amp;$A159,実績!$AE$6:$AE$505,"○")&gt;0,1,0))</f>
        <v/>
      </c>
      <c r="BW159">
        <f>IF(BW$4=0,0,IF(COUNTIFS(実績!$W$6:$W$505,BW$3,実績!$AC$6:$AC$505,"&lt;="&amp;$A159,実績!$AD$6:$AD$505,"&gt;"&amp;$A159,実績!$AE$6:$AE$505,"○")&gt;0,1,0))</f>
        <v/>
      </c>
      <c r="BX159">
        <f>IF(BX$4=0,0,IF(COUNTIFS(実績!$W$6:$W$505,BX$3,実績!$AC$6:$AC$505,"&lt;="&amp;$A159,実績!$AD$6:$AD$505,"&gt;"&amp;$A159,実績!$AE$6:$AE$505,"○")&gt;0,1,0))</f>
        <v/>
      </c>
      <c r="BY159">
        <f>IF(BY$4=0,0,IF(COUNTIFS(実績!$W$6:$W$505,BY$3,実績!$AC$6:$AC$505,"&lt;="&amp;$A159,実績!$AD$6:$AD$505,"&gt;"&amp;$A159,実績!$AE$6:$AE$505,"○")&gt;0,1,0))</f>
        <v/>
      </c>
      <c r="BZ159">
        <f>IF(BZ$4=0,0,IF(COUNTIFS(実績!$W$6:$W$505,BZ$3,実績!$AC$6:$AC$505,"&lt;="&amp;$A159,実績!$AD$6:$AD$505,"&gt;"&amp;$A159,実績!$AE$6:$AE$505,"○")&gt;0,1,0))</f>
        <v/>
      </c>
      <c r="CA159">
        <f>IF(CA$4=0,0,IF(COUNTIFS(実績!$W$6:$W$505,CA$3,実績!$AC$6:$AC$505,"&lt;="&amp;$A159,実績!$AD$6:$AD$505,"&gt;"&amp;$A159,実績!$AE$6:$AE$505,"○")&gt;0,1,0))</f>
        <v/>
      </c>
      <c r="CB159">
        <f>IF(CB$4=0,0,IF(COUNTIFS(実績!$W$6:$W$505,CB$3,実績!$AC$6:$AC$505,"&lt;="&amp;$A159,実績!$AD$6:$AD$505,"&gt;"&amp;$A159,実績!$AE$6:$AE$505,"○")&gt;0,1,0))</f>
        <v/>
      </c>
      <c r="CC159">
        <f>IF(CC$4=0,0,IF(COUNTIFS(実績!$W$6:$W$505,CC$3,実績!$AC$6:$AC$505,"&lt;="&amp;$A159,実績!$AD$6:$AD$505,"&gt;"&amp;$A159,実績!$AE$6:$AE$505,"○")&gt;0,1,0))</f>
        <v/>
      </c>
      <c r="CD159">
        <f>IF(CD$4=0,0,IF(COUNTIFS(実績!$W$6:$W$505,CD$3,実績!$AC$6:$AC$505,"&lt;="&amp;$A159,実績!$AD$6:$AD$505,"&gt;"&amp;$A159,実績!$AE$6:$AE$505,"○")&gt;0,1,0))</f>
        <v/>
      </c>
      <c r="CE159">
        <f>IF(CE$4=0,0,IF(COUNTIFS(実績!$W$6:$W$505,CE$3,実績!$AC$6:$AC$505,"&lt;="&amp;$A159,実績!$AD$6:$AD$505,"&gt;"&amp;$A159,実績!$AE$6:$AE$505,"○")&gt;0,1,0))</f>
        <v/>
      </c>
      <c r="CF159">
        <f>IF(CF$4=0,0,IF(COUNTIFS(実績!$W$6:$W$505,CF$3,実績!$AC$6:$AC$505,"&lt;="&amp;$A159,実績!$AD$6:$AD$505,"&gt;"&amp;$A159,実績!$AE$6:$AE$505,"○")&gt;0,1,0))</f>
        <v/>
      </c>
      <c r="CG159">
        <f>IF(CG$4=0,0,IF(COUNTIFS(実績!$W$6:$W$505,CG$3,実績!$AC$6:$AC$505,"&lt;="&amp;$A159,実績!$AD$6:$AD$505,"&gt;"&amp;$A159,実績!$AE$6:$AE$505,"○")&gt;0,1,0))</f>
        <v/>
      </c>
      <c r="CH159">
        <f>IF(CH$4=0,0,IF(COUNTIFS(実績!$W$6:$W$505,CH$3,実績!$AC$6:$AC$505,"&lt;="&amp;$A159,実績!$AD$6:$AD$505,"&gt;"&amp;$A159,実績!$AE$6:$AE$505,"○")&gt;0,1,0))</f>
        <v/>
      </c>
      <c r="CI159">
        <f>IF(CI$4=0,0,IF(COUNTIFS(実績!$W$6:$W$505,CI$3,実績!$AC$6:$AC$505,"&lt;="&amp;$A159,実績!$AD$6:$AD$505,"&gt;"&amp;$A159,実績!$AE$6:$AE$505,"○")&gt;0,1,0))</f>
        <v/>
      </c>
      <c r="CJ159">
        <f>IF(CJ$4=0,0,IF(COUNTIFS(実績!$W$6:$W$505,CJ$3,実績!$AC$6:$AC$505,"&lt;="&amp;$A159,実績!$AD$6:$AD$505,"&gt;"&amp;$A159,実績!$AE$6:$AE$505,"○")&gt;0,1,0))</f>
        <v/>
      </c>
      <c r="CK159">
        <f>IF(CK$4=0,0,IF(COUNTIFS(実績!$W$6:$W$505,CK$3,実績!$AC$6:$AC$505,"&lt;="&amp;$A159,実績!$AD$6:$AD$505,"&gt;"&amp;$A159,実績!$AE$6:$AE$505,"○")&gt;0,1,0))</f>
        <v/>
      </c>
      <c r="CL159">
        <f>IF(CL$4=0,0,IF(COUNTIFS(実績!$W$6:$W$505,CL$3,実績!$AC$6:$AC$505,"&lt;="&amp;$A159,実績!$AD$6:$AD$505,"&gt;"&amp;$A159,実績!$AE$6:$AE$505,"○")&gt;0,1,0))</f>
        <v/>
      </c>
      <c r="CM159">
        <f>IF(CM$4=0,0,IF(COUNTIFS(実績!$W$6:$W$505,CM$3,実績!$AC$6:$AC$505,"&lt;="&amp;$A159,実績!$AD$6:$AD$505,"&gt;"&amp;$A159,実績!$AE$6:$AE$505,"○")&gt;0,1,0))</f>
        <v/>
      </c>
      <c r="CN159">
        <f>IF(CN$4=0,0,IF(COUNTIFS(実績!$W$6:$W$505,CN$3,実績!$AC$6:$AC$505,"&lt;="&amp;$A159,実績!$AD$6:$AD$505,"&gt;"&amp;$A159,実績!$AE$6:$AE$505,"○")&gt;0,1,0))</f>
        <v/>
      </c>
      <c r="CO159">
        <f>IF(CO$4=0,0,IF(COUNTIFS(実績!$W$6:$W$505,CO$3,実績!$AC$6:$AC$505,"&lt;="&amp;$A159,実績!$AD$6:$AD$505,"&gt;"&amp;$A159,実績!$AE$6:$AE$505,"○")&gt;0,1,0))</f>
        <v/>
      </c>
      <c r="CP159">
        <f>IF(CP$4=0,0,IF(COUNTIFS(実績!$W$6:$W$505,CP$3,実績!$AC$6:$AC$505,"&lt;="&amp;$A159,実績!$AD$6:$AD$505,"&gt;"&amp;$A159,実績!$AE$6:$AE$505,"○")&gt;0,1,0))</f>
        <v/>
      </c>
      <c r="CQ159">
        <f>IF(CQ$4=0,0,IF(COUNTIFS(実績!$W$6:$W$505,CQ$3,実績!$AC$6:$AC$505,"&lt;="&amp;$A159,実績!$AD$6:$AD$505,"&gt;"&amp;$A159,実績!$AE$6:$AE$505,"○")&gt;0,1,0))</f>
        <v/>
      </c>
      <c r="CR159">
        <f>IF(CR$4=0,0,IF(COUNTIFS(実績!$W$6:$W$505,CR$3,実績!$AC$6:$AC$505,"&lt;="&amp;$A159,実績!$AD$6:$AD$505,"&gt;"&amp;$A159,実績!$AE$6:$AE$505,"○")&gt;0,1,0))</f>
        <v/>
      </c>
      <c r="CS159">
        <f>IF(CS$4=0,0,IF(COUNTIFS(実績!$W$6:$W$505,CS$3,実績!$AC$6:$AC$505,"&lt;="&amp;$A159,実績!$AD$6:$AD$505,"&gt;"&amp;$A159,実績!$AE$6:$AE$505,"○")&gt;0,1,0))</f>
        <v/>
      </c>
      <c r="CT159">
        <f>IF(CT$4=0,0,IF(COUNTIFS(実績!$W$6:$W$505,CT$3,実績!$AC$6:$AC$505,"&lt;="&amp;$A159,実績!$AD$6:$AD$505,"&gt;"&amp;$A159,実績!$AE$6:$AE$505,"○")&gt;0,1,0))</f>
        <v/>
      </c>
      <c r="CU159">
        <f>IF(CU$4=0,0,IF(COUNTIFS(実績!$W$6:$W$505,CU$3,実績!$AC$6:$AC$505,"&lt;="&amp;$A159,実績!$AD$6:$AD$505,"&gt;"&amp;$A159,実績!$AE$6:$AE$505,"○")&gt;0,1,0))</f>
        <v/>
      </c>
      <c r="CV159">
        <f>IF(CV$4=0,0,IF(COUNTIFS(実績!$W$6:$W$505,CV$3,実績!$AC$6:$AC$505,"&lt;="&amp;$A159,実績!$AD$6:$AD$505,"&gt;"&amp;$A159,実績!$AE$6:$AE$505,"○")&gt;0,1,0))</f>
        <v/>
      </c>
      <c r="CW159">
        <f>IF(CW$4=0,0,IF(COUNTIFS(実績!$W$6:$W$505,CW$3,実績!$AC$6:$AC$505,"&lt;="&amp;$A159,実績!$AD$6:$AD$505,"&gt;"&amp;$A159,実績!$AE$6:$AE$505,"○")&gt;0,1,0))</f>
        <v/>
      </c>
      <c r="CX159">
        <f>IF(CX$4=0,0,IF(COUNTIFS(実績!$W$6:$W$505,CX$3,実績!$AC$6:$AC$505,"&lt;="&amp;$A159,実績!$AD$6:$AD$505,"&gt;"&amp;$A159,実績!$AE$6:$AE$505,"○")&gt;0,1,0))</f>
        <v/>
      </c>
      <c r="CY159">
        <f>IF(CY$4=0,0,IF(COUNTIFS(実績!$W$6:$W$505,CY$3,実績!$AC$6:$AC$505,"&lt;="&amp;$A159,実績!$AD$6:$AD$505,"&gt;"&amp;$A159,実績!$AE$6:$AE$505,"○")&gt;0,1,0))</f>
        <v/>
      </c>
      <c r="CZ159">
        <f>IF(CZ$4=0,0,IF(COUNTIFS(実績!$W$6:$W$505,CZ$3,実績!$AC$6:$AC$505,"&lt;="&amp;$A159,実績!$AD$6:$AD$505,"&gt;"&amp;$A159,実績!$AE$6:$AE$505,"○")&gt;0,1,0))</f>
        <v/>
      </c>
      <c r="DA159">
        <f>IF(DA$4=0,0,IF(COUNTIFS(実績!$W$6:$W$505,DA$3,実績!$AC$6:$AC$505,"&lt;="&amp;$A159,実績!$AD$6:$AD$505,"&gt;"&amp;$A159,実績!$AE$6:$AE$505,"○")&gt;0,1,0))</f>
        <v/>
      </c>
      <c r="DB159">
        <f>IF(DB$4=0,0,IF(COUNTIFS(実績!$W$6:$W$505,DB$3,実績!$AC$6:$AC$505,"&lt;="&amp;$A159,実績!$AD$6:$AD$505,"&gt;"&amp;$A159,実績!$AE$6:$AE$505,"○")&gt;0,1,0))</f>
        <v/>
      </c>
      <c r="DC159">
        <f>IF(DC$4=0,0,IF(COUNTIFS(実績!$W$6:$W$505,DC$3,実績!$AC$6:$AC$505,"&lt;="&amp;$A159,実績!$AD$6:$AD$505,"&gt;"&amp;$A159,実績!$AE$6:$AE$505,"○")&gt;0,1,0))</f>
        <v/>
      </c>
      <c r="DD159">
        <f>IF(DD$4=0,0,IF(COUNTIFS(実績!$W$6:$W$505,DD$3,実績!$AC$6:$AC$505,"&lt;="&amp;$A159,実績!$AD$6:$AD$505,"&gt;"&amp;$A159,実績!$AE$6:$AE$505,"○")&gt;0,1,0))</f>
        <v/>
      </c>
      <c r="DE159">
        <f>IF(DE$4=0,0,IF(COUNTIFS(実績!$W$6:$W$505,DE$3,実績!$AC$6:$AC$505,"&lt;="&amp;$A159,実績!$AD$6:$AD$505,"&gt;"&amp;$A159,実績!$AE$6:$AE$505,"○")&gt;0,1,0))</f>
        <v/>
      </c>
      <c r="DF159">
        <f>IF(DF$4=0,0,IF(COUNTIFS(実績!$W$6:$W$505,DF$3,実績!$AC$6:$AC$505,"&lt;="&amp;$A159,実績!$AD$6:$AD$505,"&gt;"&amp;$A159,実績!$AE$6:$AE$505,"○")&gt;0,1,0))</f>
        <v/>
      </c>
      <c r="DG159">
        <f>IF(DG$4=0,0,IF(COUNTIFS(実績!$W$6:$W$505,DG$3,実績!$AC$6:$AC$505,"&lt;="&amp;$A159,実績!$AD$6:$AD$505,"&gt;"&amp;$A159,実績!$AE$6:$AE$505,"○")&gt;0,1,0))</f>
        <v/>
      </c>
      <c r="DH159">
        <f>IF(DH$4=0,0,IF(COUNTIFS(実績!$W$6:$W$505,DH$3,実績!$AC$6:$AC$505,"&lt;="&amp;$A159,実績!$AD$6:$AD$505,"&gt;"&amp;$A159,実績!$AE$6:$AE$505,"○")&gt;0,1,0))</f>
        <v/>
      </c>
      <c r="DI159">
        <f>IF(DI$4=0,0,IF(COUNTIFS(実績!$W$6:$W$505,DI$3,実績!$AC$6:$AC$505,"&lt;="&amp;$A159,実績!$AD$6:$AD$505,"&gt;"&amp;$A159,実績!$AE$6:$AE$505,"○")&gt;0,1,0))</f>
        <v/>
      </c>
      <c r="DJ159">
        <f>IF(DJ$4=0,0,IF(COUNTIFS(実績!$W$6:$W$505,DJ$3,実績!$AC$6:$AC$505,"&lt;="&amp;$A159,実績!$AD$6:$AD$505,"&gt;"&amp;$A159,実績!$AE$6:$AE$505,"○")&gt;0,1,0))</f>
        <v/>
      </c>
      <c r="DK159">
        <f>IF(DK$4=0,0,IF(COUNTIFS(実績!$W$6:$W$505,DK$3,実績!$AC$6:$AC$505,"&lt;="&amp;$A159,実績!$AD$6:$AD$505,"&gt;"&amp;$A159,実績!$AE$6:$AE$505,"○")&gt;0,1,0))</f>
        <v/>
      </c>
      <c r="DL159">
        <f>IF(DL$4=0,0,IF(COUNTIFS(実績!$W$6:$W$505,DL$3,実績!$AC$6:$AC$505,"&lt;="&amp;$A159,実績!$AD$6:$AD$505,"&gt;"&amp;$A159,実績!$AE$6:$AE$505,"○")&gt;0,1,0))</f>
        <v/>
      </c>
      <c r="DM159">
        <f>IF(DM$4=0,0,IF(COUNTIFS(実績!$W$6:$W$505,DM$3,実績!$AC$6:$AC$505,"&lt;="&amp;$A159,実績!$AD$6:$AD$505,"&gt;"&amp;$A159,実績!$AE$6:$AE$505,"○")&gt;0,1,0))</f>
        <v/>
      </c>
      <c r="DN159">
        <f>IF(DN$4=0,0,IF(COUNTIFS(実績!$W$6:$W$505,DN$3,実績!$AC$6:$AC$505,"&lt;="&amp;$A159,実績!$AD$6:$AD$505,"&gt;"&amp;$A159,実績!$AE$6:$AE$505,"○")&gt;0,1,0))</f>
        <v/>
      </c>
      <c r="DO159">
        <f>IF(DO$4=0,0,IF(COUNTIFS(実績!$W$6:$W$505,DO$3,実績!$AC$6:$AC$505,"&lt;="&amp;$A159,実績!$AD$6:$AD$505,"&gt;"&amp;$A159,実績!$AE$6:$AE$505,"○")&gt;0,1,0))</f>
        <v/>
      </c>
      <c r="DP159">
        <f>IF(DP$4=0,0,IF(COUNTIFS(実績!$W$6:$W$505,DP$3,実績!$AC$6:$AC$505,"&lt;="&amp;$A159,実績!$AD$6:$AD$505,"&gt;"&amp;$A159,実績!$AE$6:$AE$505,"○")&gt;0,1,0))</f>
        <v/>
      </c>
      <c r="DQ159">
        <f>IF(DQ$4=0,0,IF(COUNTIFS(実績!$W$6:$W$505,DQ$3,実績!$AC$6:$AC$505,"&lt;="&amp;$A159,実績!$AD$6:$AD$505,"&gt;"&amp;$A159,実績!$AE$6:$AE$505,"○")&gt;0,1,0))</f>
        <v/>
      </c>
      <c r="DR159">
        <f>IF(DR$4=0,0,IF(COUNTIFS(実績!$W$6:$W$505,DR$3,実績!$AC$6:$AC$505,"&lt;="&amp;$A159,実績!$AD$6:$AD$505,"&gt;"&amp;$A159,実績!$AE$6:$AE$505,"○")&gt;0,1,0))</f>
        <v/>
      </c>
      <c r="DS159">
        <f>SUM(C159:DR159)</f>
        <v/>
      </c>
      <c r="DT159">
        <f>SUMPRODUCT((実績!$C$6:$C$505="○")*ISNUMBER(実績!$AF$6:$AF$505)*(実績!$AF$6:$AF$505&lt;=$A159)*(実績!$AG$6:$AG$505&gt;$A159))</f>
        <v/>
      </c>
      <c r="DU159">
        <f>SUMIF($C$2:$DR$2,"製鉄曳船",C159:DR159)</f>
        <v/>
      </c>
      <c r="DV159">
        <f>SUMIF($C$2:$DR$2,"西日本海運",C159:DR159)</f>
        <v/>
      </c>
    </row>
    <row r="160">
      <c r="A160" t="n">
        <v>770</v>
      </c>
      <c r="B160" s="29">
        <f>A160/1440</f>
        <v/>
      </c>
      <c r="C160">
        <f>IF(C$4=0,0,IF(COUNTIFS(実績!$W$6:$W$505,C$3,実績!$AC$6:$AC$505,"&lt;="&amp;$A160,実績!$AD$6:$AD$505,"&gt;"&amp;$A160,実績!$AE$6:$AE$505,"○")&gt;0,1,0))</f>
        <v/>
      </c>
      <c r="D160">
        <f>IF(D$4=0,0,IF(COUNTIFS(実績!$W$6:$W$505,D$3,実績!$AC$6:$AC$505,"&lt;="&amp;$A160,実績!$AD$6:$AD$505,"&gt;"&amp;$A160,実績!$AE$6:$AE$505,"○")&gt;0,1,0))</f>
        <v/>
      </c>
      <c r="E160">
        <f>IF(E$4=0,0,IF(COUNTIFS(実績!$W$6:$W$505,E$3,実績!$AC$6:$AC$505,"&lt;="&amp;$A160,実績!$AD$6:$AD$505,"&gt;"&amp;$A160,実績!$AE$6:$AE$505,"○")&gt;0,1,0))</f>
        <v/>
      </c>
      <c r="F160">
        <f>IF(F$4=0,0,IF(COUNTIFS(実績!$W$6:$W$505,F$3,実績!$AC$6:$AC$505,"&lt;="&amp;$A160,実績!$AD$6:$AD$505,"&gt;"&amp;$A160,実績!$AE$6:$AE$505,"○")&gt;0,1,0))</f>
        <v/>
      </c>
      <c r="G160">
        <f>IF(G$4=0,0,IF(COUNTIFS(実績!$W$6:$W$505,G$3,実績!$AC$6:$AC$505,"&lt;="&amp;$A160,実績!$AD$6:$AD$505,"&gt;"&amp;$A160,実績!$AE$6:$AE$505,"○")&gt;0,1,0))</f>
        <v/>
      </c>
      <c r="H160">
        <f>IF(H$4=0,0,IF(COUNTIFS(実績!$W$6:$W$505,H$3,実績!$AC$6:$AC$505,"&lt;="&amp;$A160,実績!$AD$6:$AD$505,"&gt;"&amp;$A160,実績!$AE$6:$AE$505,"○")&gt;0,1,0))</f>
        <v/>
      </c>
      <c r="I160">
        <f>IF(I$4=0,0,IF(COUNTIFS(実績!$W$6:$W$505,I$3,実績!$AC$6:$AC$505,"&lt;="&amp;$A160,実績!$AD$6:$AD$505,"&gt;"&amp;$A160,実績!$AE$6:$AE$505,"○")&gt;0,1,0))</f>
        <v/>
      </c>
      <c r="J160">
        <f>IF(J$4=0,0,IF(COUNTIFS(実績!$W$6:$W$505,J$3,実績!$AC$6:$AC$505,"&lt;="&amp;$A160,実績!$AD$6:$AD$505,"&gt;"&amp;$A160,実績!$AE$6:$AE$505,"○")&gt;0,1,0))</f>
        <v/>
      </c>
      <c r="K160">
        <f>IF(K$4=0,0,IF(COUNTIFS(実績!$W$6:$W$505,K$3,実績!$AC$6:$AC$505,"&lt;="&amp;$A160,実績!$AD$6:$AD$505,"&gt;"&amp;$A160,実績!$AE$6:$AE$505,"○")&gt;0,1,0))</f>
        <v/>
      </c>
      <c r="L160">
        <f>IF(L$4=0,0,IF(COUNTIFS(実績!$W$6:$W$505,L$3,実績!$AC$6:$AC$505,"&lt;="&amp;$A160,実績!$AD$6:$AD$505,"&gt;"&amp;$A160,実績!$AE$6:$AE$505,"○")&gt;0,1,0))</f>
        <v/>
      </c>
      <c r="M160">
        <f>IF(M$4=0,0,IF(COUNTIFS(実績!$W$6:$W$505,M$3,実績!$AC$6:$AC$505,"&lt;="&amp;$A160,実績!$AD$6:$AD$505,"&gt;"&amp;$A160,実績!$AE$6:$AE$505,"○")&gt;0,1,0))</f>
        <v/>
      </c>
      <c r="N160">
        <f>IF(N$4=0,0,IF(COUNTIFS(実績!$W$6:$W$505,N$3,実績!$AC$6:$AC$505,"&lt;="&amp;$A160,実績!$AD$6:$AD$505,"&gt;"&amp;$A160,実績!$AE$6:$AE$505,"○")&gt;0,1,0))</f>
        <v/>
      </c>
      <c r="O160">
        <f>IF(O$4=0,0,IF(COUNTIFS(実績!$W$6:$W$505,O$3,実績!$AC$6:$AC$505,"&lt;="&amp;$A160,実績!$AD$6:$AD$505,"&gt;"&amp;$A160,実績!$AE$6:$AE$505,"○")&gt;0,1,0))</f>
        <v/>
      </c>
      <c r="P160">
        <f>IF(P$4=0,0,IF(COUNTIFS(実績!$W$6:$W$505,P$3,実績!$AC$6:$AC$505,"&lt;="&amp;$A160,実績!$AD$6:$AD$505,"&gt;"&amp;$A160,実績!$AE$6:$AE$505,"○")&gt;0,1,0))</f>
        <v/>
      </c>
      <c r="Q160">
        <f>IF(Q$4=0,0,IF(COUNTIFS(実績!$W$6:$W$505,Q$3,実績!$AC$6:$AC$505,"&lt;="&amp;$A160,実績!$AD$6:$AD$505,"&gt;"&amp;$A160,実績!$AE$6:$AE$505,"○")&gt;0,1,0))</f>
        <v/>
      </c>
      <c r="R160">
        <f>IF(R$4=0,0,IF(COUNTIFS(実績!$W$6:$W$505,R$3,実績!$AC$6:$AC$505,"&lt;="&amp;$A160,実績!$AD$6:$AD$505,"&gt;"&amp;$A160,実績!$AE$6:$AE$505,"○")&gt;0,1,0))</f>
        <v/>
      </c>
      <c r="S160">
        <f>IF(S$4=0,0,IF(COUNTIFS(実績!$W$6:$W$505,S$3,実績!$AC$6:$AC$505,"&lt;="&amp;$A160,実績!$AD$6:$AD$505,"&gt;"&amp;$A160,実績!$AE$6:$AE$505,"○")&gt;0,1,0))</f>
        <v/>
      </c>
      <c r="T160">
        <f>IF(T$4=0,0,IF(COUNTIFS(実績!$W$6:$W$505,T$3,実績!$AC$6:$AC$505,"&lt;="&amp;$A160,実績!$AD$6:$AD$505,"&gt;"&amp;$A160,実績!$AE$6:$AE$505,"○")&gt;0,1,0))</f>
        <v/>
      </c>
      <c r="U160">
        <f>IF(U$4=0,0,IF(COUNTIFS(実績!$W$6:$W$505,U$3,実績!$AC$6:$AC$505,"&lt;="&amp;$A160,実績!$AD$6:$AD$505,"&gt;"&amp;$A160,実績!$AE$6:$AE$505,"○")&gt;0,1,0))</f>
        <v/>
      </c>
      <c r="V160">
        <f>IF(V$4=0,0,IF(COUNTIFS(実績!$W$6:$W$505,V$3,実績!$AC$6:$AC$505,"&lt;="&amp;$A160,実績!$AD$6:$AD$505,"&gt;"&amp;$A160,実績!$AE$6:$AE$505,"○")&gt;0,1,0))</f>
        <v/>
      </c>
      <c r="W160">
        <f>IF(W$4=0,0,IF(COUNTIFS(実績!$W$6:$W$505,W$3,実績!$AC$6:$AC$505,"&lt;="&amp;$A160,実績!$AD$6:$AD$505,"&gt;"&amp;$A160,実績!$AE$6:$AE$505,"○")&gt;0,1,0))</f>
        <v/>
      </c>
      <c r="X160">
        <f>IF(X$4=0,0,IF(COUNTIFS(実績!$W$6:$W$505,X$3,実績!$AC$6:$AC$505,"&lt;="&amp;$A160,実績!$AD$6:$AD$505,"&gt;"&amp;$A160,実績!$AE$6:$AE$505,"○")&gt;0,1,0))</f>
        <v/>
      </c>
      <c r="Y160">
        <f>IF(Y$4=0,0,IF(COUNTIFS(実績!$W$6:$W$505,Y$3,実績!$AC$6:$AC$505,"&lt;="&amp;$A160,実績!$AD$6:$AD$505,"&gt;"&amp;$A160,実績!$AE$6:$AE$505,"○")&gt;0,1,0))</f>
        <v/>
      </c>
      <c r="Z160">
        <f>IF(Z$4=0,0,IF(COUNTIFS(実績!$W$6:$W$505,Z$3,実績!$AC$6:$AC$505,"&lt;="&amp;$A160,実績!$AD$6:$AD$505,"&gt;"&amp;$A160,実績!$AE$6:$AE$505,"○")&gt;0,1,0))</f>
        <v/>
      </c>
      <c r="AA160">
        <f>IF(AA$4=0,0,IF(COUNTIFS(実績!$W$6:$W$505,AA$3,実績!$AC$6:$AC$505,"&lt;="&amp;$A160,実績!$AD$6:$AD$505,"&gt;"&amp;$A160,実績!$AE$6:$AE$505,"○")&gt;0,1,0))</f>
        <v/>
      </c>
      <c r="AB160">
        <f>IF(AB$4=0,0,IF(COUNTIFS(実績!$W$6:$W$505,AB$3,実績!$AC$6:$AC$505,"&lt;="&amp;$A160,実績!$AD$6:$AD$505,"&gt;"&amp;$A160,実績!$AE$6:$AE$505,"○")&gt;0,1,0))</f>
        <v/>
      </c>
      <c r="AC160">
        <f>IF(AC$4=0,0,IF(COUNTIFS(実績!$W$6:$W$505,AC$3,実績!$AC$6:$AC$505,"&lt;="&amp;$A160,実績!$AD$6:$AD$505,"&gt;"&amp;$A160,実績!$AE$6:$AE$505,"○")&gt;0,1,0))</f>
        <v/>
      </c>
      <c r="AD160">
        <f>IF(AD$4=0,0,IF(COUNTIFS(実績!$W$6:$W$505,AD$3,実績!$AC$6:$AC$505,"&lt;="&amp;$A160,実績!$AD$6:$AD$505,"&gt;"&amp;$A160,実績!$AE$6:$AE$505,"○")&gt;0,1,0))</f>
        <v/>
      </c>
      <c r="AE160">
        <f>IF(AE$4=0,0,IF(COUNTIFS(実績!$W$6:$W$505,AE$3,実績!$AC$6:$AC$505,"&lt;="&amp;$A160,実績!$AD$6:$AD$505,"&gt;"&amp;$A160,実績!$AE$6:$AE$505,"○")&gt;0,1,0))</f>
        <v/>
      </c>
      <c r="AF160">
        <f>IF(AF$4=0,0,IF(COUNTIFS(実績!$W$6:$W$505,AF$3,実績!$AC$6:$AC$505,"&lt;="&amp;$A160,実績!$AD$6:$AD$505,"&gt;"&amp;$A160,実績!$AE$6:$AE$505,"○")&gt;0,1,0))</f>
        <v/>
      </c>
      <c r="AG160">
        <f>IF(AG$4=0,0,IF(COUNTIFS(実績!$W$6:$W$505,AG$3,実績!$AC$6:$AC$505,"&lt;="&amp;$A160,実績!$AD$6:$AD$505,"&gt;"&amp;$A160,実績!$AE$6:$AE$505,"○")&gt;0,1,0))</f>
        <v/>
      </c>
      <c r="AH160">
        <f>IF(AH$4=0,0,IF(COUNTIFS(実績!$W$6:$W$505,AH$3,実績!$AC$6:$AC$505,"&lt;="&amp;$A160,実績!$AD$6:$AD$505,"&gt;"&amp;$A160,実績!$AE$6:$AE$505,"○")&gt;0,1,0))</f>
        <v/>
      </c>
      <c r="AI160">
        <f>IF(AI$4=0,0,IF(COUNTIFS(実績!$W$6:$W$505,AI$3,実績!$AC$6:$AC$505,"&lt;="&amp;$A160,実績!$AD$6:$AD$505,"&gt;"&amp;$A160,実績!$AE$6:$AE$505,"○")&gt;0,1,0))</f>
        <v/>
      </c>
      <c r="AJ160">
        <f>IF(AJ$4=0,0,IF(COUNTIFS(実績!$W$6:$W$505,AJ$3,実績!$AC$6:$AC$505,"&lt;="&amp;$A160,実績!$AD$6:$AD$505,"&gt;"&amp;$A160,実績!$AE$6:$AE$505,"○")&gt;0,1,0))</f>
        <v/>
      </c>
      <c r="AK160">
        <f>IF(AK$4=0,0,IF(COUNTIFS(実績!$W$6:$W$505,AK$3,実績!$AC$6:$AC$505,"&lt;="&amp;$A160,実績!$AD$6:$AD$505,"&gt;"&amp;$A160,実績!$AE$6:$AE$505,"○")&gt;0,1,0))</f>
        <v/>
      </c>
      <c r="AL160">
        <f>IF(AL$4=0,0,IF(COUNTIFS(実績!$W$6:$W$505,AL$3,実績!$AC$6:$AC$505,"&lt;="&amp;$A160,実績!$AD$6:$AD$505,"&gt;"&amp;$A160,実績!$AE$6:$AE$505,"○")&gt;0,1,0))</f>
        <v/>
      </c>
      <c r="AM160">
        <f>IF(AM$4=0,0,IF(COUNTIFS(実績!$W$6:$W$505,AM$3,実績!$AC$6:$AC$505,"&lt;="&amp;$A160,実績!$AD$6:$AD$505,"&gt;"&amp;$A160,実績!$AE$6:$AE$505,"○")&gt;0,1,0))</f>
        <v/>
      </c>
      <c r="AN160">
        <f>IF(AN$4=0,0,IF(COUNTIFS(実績!$W$6:$W$505,AN$3,実績!$AC$6:$AC$505,"&lt;="&amp;$A160,実績!$AD$6:$AD$505,"&gt;"&amp;$A160,実績!$AE$6:$AE$505,"○")&gt;0,1,0))</f>
        <v/>
      </c>
      <c r="AO160">
        <f>IF(AO$4=0,0,IF(COUNTIFS(実績!$W$6:$W$505,AO$3,実績!$AC$6:$AC$505,"&lt;="&amp;$A160,実績!$AD$6:$AD$505,"&gt;"&amp;$A160,実績!$AE$6:$AE$505,"○")&gt;0,1,0))</f>
        <v/>
      </c>
      <c r="AP160">
        <f>IF(AP$4=0,0,IF(COUNTIFS(実績!$W$6:$W$505,AP$3,実績!$AC$6:$AC$505,"&lt;="&amp;$A160,実績!$AD$6:$AD$505,"&gt;"&amp;$A160,実績!$AE$6:$AE$505,"○")&gt;0,1,0))</f>
        <v/>
      </c>
      <c r="AQ160">
        <f>IF(AQ$4=0,0,IF(COUNTIFS(実績!$W$6:$W$505,AQ$3,実績!$AC$6:$AC$505,"&lt;="&amp;$A160,実績!$AD$6:$AD$505,"&gt;"&amp;$A160,実績!$AE$6:$AE$505,"○")&gt;0,1,0))</f>
        <v/>
      </c>
      <c r="AR160">
        <f>IF(AR$4=0,0,IF(COUNTIFS(実績!$W$6:$W$505,AR$3,実績!$AC$6:$AC$505,"&lt;="&amp;$A160,実績!$AD$6:$AD$505,"&gt;"&amp;$A160,実績!$AE$6:$AE$505,"○")&gt;0,1,0))</f>
        <v/>
      </c>
      <c r="AS160">
        <f>IF(AS$4=0,0,IF(COUNTIFS(実績!$W$6:$W$505,AS$3,実績!$AC$6:$AC$505,"&lt;="&amp;$A160,実績!$AD$6:$AD$505,"&gt;"&amp;$A160,実績!$AE$6:$AE$505,"○")&gt;0,1,0))</f>
        <v/>
      </c>
      <c r="AT160">
        <f>IF(AT$4=0,0,IF(COUNTIFS(実績!$W$6:$W$505,AT$3,実績!$AC$6:$AC$505,"&lt;="&amp;$A160,実績!$AD$6:$AD$505,"&gt;"&amp;$A160,実績!$AE$6:$AE$505,"○")&gt;0,1,0))</f>
        <v/>
      </c>
      <c r="AU160">
        <f>IF(AU$4=0,0,IF(COUNTIFS(実績!$W$6:$W$505,AU$3,実績!$AC$6:$AC$505,"&lt;="&amp;$A160,実績!$AD$6:$AD$505,"&gt;"&amp;$A160,実績!$AE$6:$AE$505,"○")&gt;0,1,0))</f>
        <v/>
      </c>
      <c r="AV160">
        <f>IF(AV$4=0,0,IF(COUNTIFS(実績!$W$6:$W$505,AV$3,実績!$AC$6:$AC$505,"&lt;="&amp;$A160,実績!$AD$6:$AD$505,"&gt;"&amp;$A160,実績!$AE$6:$AE$505,"○")&gt;0,1,0))</f>
        <v/>
      </c>
      <c r="AW160">
        <f>IF(AW$4=0,0,IF(COUNTIFS(実績!$W$6:$W$505,AW$3,実績!$AC$6:$AC$505,"&lt;="&amp;$A160,実績!$AD$6:$AD$505,"&gt;"&amp;$A160,実績!$AE$6:$AE$505,"○")&gt;0,1,0))</f>
        <v/>
      </c>
      <c r="AX160">
        <f>IF(AX$4=0,0,IF(COUNTIFS(実績!$W$6:$W$505,AX$3,実績!$AC$6:$AC$505,"&lt;="&amp;$A160,実績!$AD$6:$AD$505,"&gt;"&amp;$A160,実績!$AE$6:$AE$505,"○")&gt;0,1,0))</f>
        <v/>
      </c>
      <c r="AY160">
        <f>IF(AY$4=0,0,IF(COUNTIFS(実績!$W$6:$W$505,AY$3,実績!$AC$6:$AC$505,"&lt;="&amp;$A160,実績!$AD$6:$AD$505,"&gt;"&amp;$A160,実績!$AE$6:$AE$505,"○")&gt;0,1,0))</f>
        <v/>
      </c>
      <c r="AZ160">
        <f>IF(AZ$4=0,0,IF(COUNTIFS(実績!$W$6:$W$505,AZ$3,実績!$AC$6:$AC$505,"&lt;="&amp;$A160,実績!$AD$6:$AD$505,"&gt;"&amp;$A160,実績!$AE$6:$AE$505,"○")&gt;0,1,0))</f>
        <v/>
      </c>
      <c r="BA160">
        <f>IF(BA$4=0,0,IF(COUNTIFS(実績!$W$6:$W$505,BA$3,実績!$AC$6:$AC$505,"&lt;="&amp;$A160,実績!$AD$6:$AD$505,"&gt;"&amp;$A160,実績!$AE$6:$AE$505,"○")&gt;0,1,0))</f>
        <v/>
      </c>
      <c r="BB160">
        <f>IF(BB$4=0,0,IF(COUNTIFS(実績!$W$6:$W$505,BB$3,実績!$AC$6:$AC$505,"&lt;="&amp;$A160,実績!$AD$6:$AD$505,"&gt;"&amp;$A160,実績!$AE$6:$AE$505,"○")&gt;0,1,0))</f>
        <v/>
      </c>
      <c r="BC160">
        <f>IF(BC$4=0,0,IF(COUNTIFS(実績!$W$6:$W$505,BC$3,実績!$AC$6:$AC$505,"&lt;="&amp;$A160,実績!$AD$6:$AD$505,"&gt;"&amp;$A160,実績!$AE$6:$AE$505,"○")&gt;0,1,0))</f>
        <v/>
      </c>
      <c r="BD160">
        <f>IF(BD$4=0,0,IF(COUNTIFS(実績!$W$6:$W$505,BD$3,実績!$AC$6:$AC$505,"&lt;="&amp;$A160,実績!$AD$6:$AD$505,"&gt;"&amp;$A160,実績!$AE$6:$AE$505,"○")&gt;0,1,0))</f>
        <v/>
      </c>
      <c r="BE160">
        <f>IF(BE$4=0,0,IF(COUNTIFS(実績!$W$6:$W$505,BE$3,実績!$AC$6:$AC$505,"&lt;="&amp;$A160,実績!$AD$6:$AD$505,"&gt;"&amp;$A160,実績!$AE$6:$AE$505,"○")&gt;0,1,0))</f>
        <v/>
      </c>
      <c r="BF160">
        <f>IF(BF$4=0,0,IF(COUNTIFS(実績!$W$6:$W$505,BF$3,実績!$AC$6:$AC$505,"&lt;="&amp;$A160,実績!$AD$6:$AD$505,"&gt;"&amp;$A160,実績!$AE$6:$AE$505,"○")&gt;0,1,0))</f>
        <v/>
      </c>
      <c r="BG160">
        <f>IF(BG$4=0,0,IF(COUNTIFS(実績!$W$6:$W$505,BG$3,実績!$AC$6:$AC$505,"&lt;="&amp;$A160,実績!$AD$6:$AD$505,"&gt;"&amp;$A160,実績!$AE$6:$AE$505,"○")&gt;0,1,0))</f>
        <v/>
      </c>
      <c r="BH160">
        <f>IF(BH$4=0,0,IF(COUNTIFS(実績!$W$6:$W$505,BH$3,実績!$AC$6:$AC$505,"&lt;="&amp;$A160,実績!$AD$6:$AD$505,"&gt;"&amp;$A160,実績!$AE$6:$AE$505,"○")&gt;0,1,0))</f>
        <v/>
      </c>
      <c r="BI160">
        <f>IF(BI$4=0,0,IF(COUNTIFS(実績!$W$6:$W$505,BI$3,実績!$AC$6:$AC$505,"&lt;="&amp;$A160,実績!$AD$6:$AD$505,"&gt;"&amp;$A160,実績!$AE$6:$AE$505,"○")&gt;0,1,0))</f>
        <v/>
      </c>
      <c r="BJ160">
        <f>IF(BJ$4=0,0,IF(COUNTIFS(実績!$W$6:$W$505,BJ$3,実績!$AC$6:$AC$505,"&lt;="&amp;$A160,実績!$AD$6:$AD$505,"&gt;"&amp;$A160,実績!$AE$6:$AE$505,"○")&gt;0,1,0))</f>
        <v/>
      </c>
      <c r="BK160">
        <f>IF(BK$4=0,0,IF(COUNTIFS(実績!$W$6:$W$505,BK$3,実績!$AC$6:$AC$505,"&lt;="&amp;$A160,実績!$AD$6:$AD$505,"&gt;"&amp;$A160,実績!$AE$6:$AE$505,"○")&gt;0,1,0))</f>
        <v/>
      </c>
      <c r="BL160">
        <f>IF(BL$4=0,0,IF(COUNTIFS(実績!$W$6:$W$505,BL$3,実績!$AC$6:$AC$505,"&lt;="&amp;$A160,実績!$AD$6:$AD$505,"&gt;"&amp;$A160,実績!$AE$6:$AE$505,"○")&gt;0,1,0))</f>
        <v/>
      </c>
      <c r="BM160">
        <f>IF(BM$4=0,0,IF(COUNTIFS(実績!$W$6:$W$505,BM$3,実績!$AC$6:$AC$505,"&lt;="&amp;$A160,実績!$AD$6:$AD$505,"&gt;"&amp;$A160,実績!$AE$6:$AE$505,"○")&gt;0,1,0))</f>
        <v/>
      </c>
      <c r="BN160">
        <f>IF(BN$4=0,0,IF(COUNTIFS(実績!$W$6:$W$505,BN$3,実績!$AC$6:$AC$505,"&lt;="&amp;$A160,実績!$AD$6:$AD$505,"&gt;"&amp;$A160,実績!$AE$6:$AE$505,"○")&gt;0,1,0))</f>
        <v/>
      </c>
      <c r="BO160">
        <f>IF(BO$4=0,0,IF(COUNTIFS(実績!$W$6:$W$505,BO$3,実績!$AC$6:$AC$505,"&lt;="&amp;$A160,実績!$AD$6:$AD$505,"&gt;"&amp;$A160,実績!$AE$6:$AE$505,"○")&gt;0,1,0))</f>
        <v/>
      </c>
      <c r="BP160">
        <f>IF(BP$4=0,0,IF(COUNTIFS(実績!$W$6:$W$505,BP$3,実績!$AC$6:$AC$505,"&lt;="&amp;$A160,実績!$AD$6:$AD$505,"&gt;"&amp;$A160,実績!$AE$6:$AE$505,"○")&gt;0,1,0))</f>
        <v/>
      </c>
      <c r="BQ160">
        <f>IF(BQ$4=0,0,IF(COUNTIFS(実績!$W$6:$W$505,BQ$3,実績!$AC$6:$AC$505,"&lt;="&amp;$A160,実績!$AD$6:$AD$505,"&gt;"&amp;$A160,実績!$AE$6:$AE$505,"○")&gt;0,1,0))</f>
        <v/>
      </c>
      <c r="BR160">
        <f>IF(BR$4=0,0,IF(COUNTIFS(実績!$W$6:$W$505,BR$3,実績!$AC$6:$AC$505,"&lt;="&amp;$A160,実績!$AD$6:$AD$505,"&gt;"&amp;$A160,実績!$AE$6:$AE$505,"○")&gt;0,1,0))</f>
        <v/>
      </c>
      <c r="BS160">
        <f>IF(BS$4=0,0,IF(COUNTIFS(実績!$W$6:$W$505,BS$3,実績!$AC$6:$AC$505,"&lt;="&amp;$A160,実績!$AD$6:$AD$505,"&gt;"&amp;$A160,実績!$AE$6:$AE$505,"○")&gt;0,1,0))</f>
        <v/>
      </c>
      <c r="BT160">
        <f>IF(BT$4=0,0,IF(COUNTIFS(実績!$W$6:$W$505,BT$3,実績!$AC$6:$AC$505,"&lt;="&amp;$A160,実績!$AD$6:$AD$505,"&gt;"&amp;$A160,実績!$AE$6:$AE$505,"○")&gt;0,1,0))</f>
        <v/>
      </c>
      <c r="BU160">
        <f>IF(BU$4=0,0,IF(COUNTIFS(実績!$W$6:$W$505,BU$3,実績!$AC$6:$AC$505,"&lt;="&amp;$A160,実績!$AD$6:$AD$505,"&gt;"&amp;$A160,実績!$AE$6:$AE$505,"○")&gt;0,1,0))</f>
        <v/>
      </c>
      <c r="BV160">
        <f>IF(BV$4=0,0,IF(COUNTIFS(実績!$W$6:$W$505,BV$3,実績!$AC$6:$AC$505,"&lt;="&amp;$A160,実績!$AD$6:$AD$505,"&gt;"&amp;$A160,実績!$AE$6:$AE$505,"○")&gt;0,1,0))</f>
        <v/>
      </c>
      <c r="BW160">
        <f>IF(BW$4=0,0,IF(COUNTIFS(実績!$W$6:$W$505,BW$3,実績!$AC$6:$AC$505,"&lt;="&amp;$A160,実績!$AD$6:$AD$505,"&gt;"&amp;$A160,実績!$AE$6:$AE$505,"○")&gt;0,1,0))</f>
        <v/>
      </c>
      <c r="BX160">
        <f>IF(BX$4=0,0,IF(COUNTIFS(実績!$W$6:$W$505,BX$3,実績!$AC$6:$AC$505,"&lt;="&amp;$A160,実績!$AD$6:$AD$505,"&gt;"&amp;$A160,実績!$AE$6:$AE$505,"○")&gt;0,1,0))</f>
        <v/>
      </c>
      <c r="BY160">
        <f>IF(BY$4=0,0,IF(COUNTIFS(実績!$W$6:$W$505,BY$3,実績!$AC$6:$AC$505,"&lt;="&amp;$A160,実績!$AD$6:$AD$505,"&gt;"&amp;$A160,実績!$AE$6:$AE$505,"○")&gt;0,1,0))</f>
        <v/>
      </c>
      <c r="BZ160">
        <f>IF(BZ$4=0,0,IF(COUNTIFS(実績!$W$6:$W$505,BZ$3,実績!$AC$6:$AC$505,"&lt;="&amp;$A160,実績!$AD$6:$AD$505,"&gt;"&amp;$A160,実績!$AE$6:$AE$505,"○")&gt;0,1,0))</f>
        <v/>
      </c>
      <c r="CA160">
        <f>IF(CA$4=0,0,IF(COUNTIFS(実績!$W$6:$W$505,CA$3,実績!$AC$6:$AC$505,"&lt;="&amp;$A160,実績!$AD$6:$AD$505,"&gt;"&amp;$A160,実績!$AE$6:$AE$505,"○")&gt;0,1,0))</f>
        <v/>
      </c>
      <c r="CB160">
        <f>IF(CB$4=0,0,IF(COUNTIFS(実績!$W$6:$W$505,CB$3,実績!$AC$6:$AC$505,"&lt;="&amp;$A160,実績!$AD$6:$AD$505,"&gt;"&amp;$A160,実績!$AE$6:$AE$505,"○")&gt;0,1,0))</f>
        <v/>
      </c>
      <c r="CC160">
        <f>IF(CC$4=0,0,IF(COUNTIFS(実績!$W$6:$W$505,CC$3,実績!$AC$6:$AC$505,"&lt;="&amp;$A160,実績!$AD$6:$AD$505,"&gt;"&amp;$A160,実績!$AE$6:$AE$505,"○")&gt;0,1,0))</f>
        <v/>
      </c>
      <c r="CD160">
        <f>IF(CD$4=0,0,IF(COUNTIFS(実績!$W$6:$W$505,CD$3,実績!$AC$6:$AC$505,"&lt;="&amp;$A160,実績!$AD$6:$AD$505,"&gt;"&amp;$A160,実績!$AE$6:$AE$505,"○")&gt;0,1,0))</f>
        <v/>
      </c>
      <c r="CE160">
        <f>IF(CE$4=0,0,IF(COUNTIFS(実績!$W$6:$W$505,CE$3,実績!$AC$6:$AC$505,"&lt;="&amp;$A160,実績!$AD$6:$AD$505,"&gt;"&amp;$A160,実績!$AE$6:$AE$505,"○")&gt;0,1,0))</f>
        <v/>
      </c>
      <c r="CF160">
        <f>IF(CF$4=0,0,IF(COUNTIFS(実績!$W$6:$W$505,CF$3,実績!$AC$6:$AC$505,"&lt;="&amp;$A160,実績!$AD$6:$AD$505,"&gt;"&amp;$A160,実績!$AE$6:$AE$505,"○")&gt;0,1,0))</f>
        <v/>
      </c>
      <c r="CG160">
        <f>IF(CG$4=0,0,IF(COUNTIFS(実績!$W$6:$W$505,CG$3,実績!$AC$6:$AC$505,"&lt;="&amp;$A160,実績!$AD$6:$AD$505,"&gt;"&amp;$A160,実績!$AE$6:$AE$505,"○")&gt;0,1,0))</f>
        <v/>
      </c>
      <c r="CH160">
        <f>IF(CH$4=0,0,IF(COUNTIFS(実績!$W$6:$W$505,CH$3,実績!$AC$6:$AC$505,"&lt;="&amp;$A160,実績!$AD$6:$AD$505,"&gt;"&amp;$A160,実績!$AE$6:$AE$505,"○")&gt;0,1,0))</f>
        <v/>
      </c>
      <c r="CI160">
        <f>IF(CI$4=0,0,IF(COUNTIFS(実績!$W$6:$W$505,CI$3,実績!$AC$6:$AC$505,"&lt;="&amp;$A160,実績!$AD$6:$AD$505,"&gt;"&amp;$A160,実績!$AE$6:$AE$505,"○")&gt;0,1,0))</f>
        <v/>
      </c>
      <c r="CJ160">
        <f>IF(CJ$4=0,0,IF(COUNTIFS(実績!$W$6:$W$505,CJ$3,実績!$AC$6:$AC$505,"&lt;="&amp;$A160,実績!$AD$6:$AD$505,"&gt;"&amp;$A160,実績!$AE$6:$AE$505,"○")&gt;0,1,0))</f>
        <v/>
      </c>
      <c r="CK160">
        <f>IF(CK$4=0,0,IF(COUNTIFS(実績!$W$6:$W$505,CK$3,実績!$AC$6:$AC$505,"&lt;="&amp;$A160,実績!$AD$6:$AD$505,"&gt;"&amp;$A160,実績!$AE$6:$AE$505,"○")&gt;0,1,0))</f>
        <v/>
      </c>
      <c r="CL160">
        <f>IF(CL$4=0,0,IF(COUNTIFS(実績!$W$6:$W$505,CL$3,実績!$AC$6:$AC$505,"&lt;="&amp;$A160,実績!$AD$6:$AD$505,"&gt;"&amp;$A160,実績!$AE$6:$AE$505,"○")&gt;0,1,0))</f>
        <v/>
      </c>
      <c r="CM160">
        <f>IF(CM$4=0,0,IF(COUNTIFS(実績!$W$6:$W$505,CM$3,実績!$AC$6:$AC$505,"&lt;="&amp;$A160,実績!$AD$6:$AD$505,"&gt;"&amp;$A160,実績!$AE$6:$AE$505,"○")&gt;0,1,0))</f>
        <v/>
      </c>
      <c r="CN160">
        <f>IF(CN$4=0,0,IF(COUNTIFS(実績!$W$6:$W$505,CN$3,実績!$AC$6:$AC$505,"&lt;="&amp;$A160,実績!$AD$6:$AD$505,"&gt;"&amp;$A160,実績!$AE$6:$AE$505,"○")&gt;0,1,0))</f>
        <v/>
      </c>
      <c r="CO160">
        <f>IF(CO$4=0,0,IF(COUNTIFS(実績!$W$6:$W$505,CO$3,実績!$AC$6:$AC$505,"&lt;="&amp;$A160,実績!$AD$6:$AD$505,"&gt;"&amp;$A160,実績!$AE$6:$AE$505,"○")&gt;0,1,0))</f>
        <v/>
      </c>
      <c r="CP160">
        <f>IF(CP$4=0,0,IF(COUNTIFS(実績!$W$6:$W$505,CP$3,実績!$AC$6:$AC$505,"&lt;="&amp;$A160,実績!$AD$6:$AD$505,"&gt;"&amp;$A160,実績!$AE$6:$AE$505,"○")&gt;0,1,0))</f>
        <v/>
      </c>
      <c r="CQ160">
        <f>IF(CQ$4=0,0,IF(COUNTIFS(実績!$W$6:$W$505,CQ$3,実績!$AC$6:$AC$505,"&lt;="&amp;$A160,実績!$AD$6:$AD$505,"&gt;"&amp;$A160,実績!$AE$6:$AE$505,"○")&gt;0,1,0))</f>
        <v/>
      </c>
      <c r="CR160">
        <f>IF(CR$4=0,0,IF(COUNTIFS(実績!$W$6:$W$505,CR$3,実績!$AC$6:$AC$505,"&lt;="&amp;$A160,実績!$AD$6:$AD$505,"&gt;"&amp;$A160,実績!$AE$6:$AE$505,"○")&gt;0,1,0))</f>
        <v/>
      </c>
      <c r="CS160">
        <f>IF(CS$4=0,0,IF(COUNTIFS(実績!$W$6:$W$505,CS$3,実績!$AC$6:$AC$505,"&lt;="&amp;$A160,実績!$AD$6:$AD$505,"&gt;"&amp;$A160,実績!$AE$6:$AE$505,"○")&gt;0,1,0))</f>
        <v/>
      </c>
      <c r="CT160">
        <f>IF(CT$4=0,0,IF(COUNTIFS(実績!$W$6:$W$505,CT$3,実績!$AC$6:$AC$505,"&lt;="&amp;$A160,実績!$AD$6:$AD$505,"&gt;"&amp;$A160,実績!$AE$6:$AE$505,"○")&gt;0,1,0))</f>
        <v/>
      </c>
      <c r="CU160">
        <f>IF(CU$4=0,0,IF(COUNTIFS(実績!$W$6:$W$505,CU$3,実績!$AC$6:$AC$505,"&lt;="&amp;$A160,実績!$AD$6:$AD$505,"&gt;"&amp;$A160,実績!$AE$6:$AE$505,"○")&gt;0,1,0))</f>
        <v/>
      </c>
      <c r="CV160">
        <f>IF(CV$4=0,0,IF(COUNTIFS(実績!$W$6:$W$505,CV$3,実績!$AC$6:$AC$505,"&lt;="&amp;$A160,実績!$AD$6:$AD$505,"&gt;"&amp;$A160,実績!$AE$6:$AE$505,"○")&gt;0,1,0))</f>
        <v/>
      </c>
      <c r="CW160">
        <f>IF(CW$4=0,0,IF(COUNTIFS(実績!$W$6:$W$505,CW$3,実績!$AC$6:$AC$505,"&lt;="&amp;$A160,実績!$AD$6:$AD$505,"&gt;"&amp;$A160,実績!$AE$6:$AE$505,"○")&gt;0,1,0))</f>
        <v/>
      </c>
      <c r="CX160">
        <f>IF(CX$4=0,0,IF(COUNTIFS(実績!$W$6:$W$505,CX$3,実績!$AC$6:$AC$505,"&lt;="&amp;$A160,実績!$AD$6:$AD$505,"&gt;"&amp;$A160,実績!$AE$6:$AE$505,"○")&gt;0,1,0))</f>
        <v/>
      </c>
      <c r="CY160">
        <f>IF(CY$4=0,0,IF(COUNTIFS(実績!$W$6:$W$505,CY$3,実績!$AC$6:$AC$505,"&lt;="&amp;$A160,実績!$AD$6:$AD$505,"&gt;"&amp;$A160,実績!$AE$6:$AE$505,"○")&gt;0,1,0))</f>
        <v/>
      </c>
      <c r="CZ160">
        <f>IF(CZ$4=0,0,IF(COUNTIFS(実績!$W$6:$W$505,CZ$3,実績!$AC$6:$AC$505,"&lt;="&amp;$A160,実績!$AD$6:$AD$505,"&gt;"&amp;$A160,実績!$AE$6:$AE$505,"○")&gt;0,1,0))</f>
        <v/>
      </c>
      <c r="DA160">
        <f>IF(DA$4=0,0,IF(COUNTIFS(実績!$W$6:$W$505,DA$3,実績!$AC$6:$AC$505,"&lt;="&amp;$A160,実績!$AD$6:$AD$505,"&gt;"&amp;$A160,実績!$AE$6:$AE$505,"○")&gt;0,1,0))</f>
        <v/>
      </c>
      <c r="DB160">
        <f>IF(DB$4=0,0,IF(COUNTIFS(実績!$W$6:$W$505,DB$3,実績!$AC$6:$AC$505,"&lt;="&amp;$A160,実績!$AD$6:$AD$505,"&gt;"&amp;$A160,実績!$AE$6:$AE$505,"○")&gt;0,1,0))</f>
        <v/>
      </c>
      <c r="DC160">
        <f>IF(DC$4=0,0,IF(COUNTIFS(実績!$W$6:$W$505,DC$3,実績!$AC$6:$AC$505,"&lt;="&amp;$A160,実績!$AD$6:$AD$505,"&gt;"&amp;$A160,実績!$AE$6:$AE$505,"○")&gt;0,1,0))</f>
        <v/>
      </c>
      <c r="DD160">
        <f>IF(DD$4=0,0,IF(COUNTIFS(実績!$W$6:$W$505,DD$3,実績!$AC$6:$AC$505,"&lt;="&amp;$A160,実績!$AD$6:$AD$505,"&gt;"&amp;$A160,実績!$AE$6:$AE$505,"○")&gt;0,1,0))</f>
        <v/>
      </c>
      <c r="DE160">
        <f>IF(DE$4=0,0,IF(COUNTIFS(実績!$W$6:$W$505,DE$3,実績!$AC$6:$AC$505,"&lt;="&amp;$A160,実績!$AD$6:$AD$505,"&gt;"&amp;$A160,実績!$AE$6:$AE$505,"○")&gt;0,1,0))</f>
        <v/>
      </c>
      <c r="DF160">
        <f>IF(DF$4=0,0,IF(COUNTIFS(実績!$W$6:$W$505,DF$3,実績!$AC$6:$AC$505,"&lt;="&amp;$A160,実績!$AD$6:$AD$505,"&gt;"&amp;$A160,実績!$AE$6:$AE$505,"○")&gt;0,1,0))</f>
        <v/>
      </c>
      <c r="DG160">
        <f>IF(DG$4=0,0,IF(COUNTIFS(実績!$W$6:$W$505,DG$3,実績!$AC$6:$AC$505,"&lt;="&amp;$A160,実績!$AD$6:$AD$505,"&gt;"&amp;$A160,実績!$AE$6:$AE$505,"○")&gt;0,1,0))</f>
        <v/>
      </c>
      <c r="DH160">
        <f>IF(DH$4=0,0,IF(COUNTIFS(実績!$W$6:$W$505,DH$3,実績!$AC$6:$AC$505,"&lt;="&amp;$A160,実績!$AD$6:$AD$505,"&gt;"&amp;$A160,実績!$AE$6:$AE$505,"○")&gt;0,1,0))</f>
        <v/>
      </c>
      <c r="DI160">
        <f>IF(DI$4=0,0,IF(COUNTIFS(実績!$W$6:$W$505,DI$3,実績!$AC$6:$AC$505,"&lt;="&amp;$A160,実績!$AD$6:$AD$505,"&gt;"&amp;$A160,実績!$AE$6:$AE$505,"○")&gt;0,1,0))</f>
        <v/>
      </c>
      <c r="DJ160">
        <f>IF(DJ$4=0,0,IF(COUNTIFS(実績!$W$6:$W$505,DJ$3,実績!$AC$6:$AC$505,"&lt;="&amp;$A160,実績!$AD$6:$AD$505,"&gt;"&amp;$A160,実績!$AE$6:$AE$505,"○")&gt;0,1,0))</f>
        <v/>
      </c>
      <c r="DK160">
        <f>IF(DK$4=0,0,IF(COUNTIFS(実績!$W$6:$W$505,DK$3,実績!$AC$6:$AC$505,"&lt;="&amp;$A160,実績!$AD$6:$AD$505,"&gt;"&amp;$A160,実績!$AE$6:$AE$505,"○")&gt;0,1,0))</f>
        <v/>
      </c>
      <c r="DL160">
        <f>IF(DL$4=0,0,IF(COUNTIFS(実績!$W$6:$W$505,DL$3,実績!$AC$6:$AC$505,"&lt;="&amp;$A160,実績!$AD$6:$AD$505,"&gt;"&amp;$A160,実績!$AE$6:$AE$505,"○")&gt;0,1,0))</f>
        <v/>
      </c>
      <c r="DM160">
        <f>IF(DM$4=0,0,IF(COUNTIFS(実績!$W$6:$W$505,DM$3,実績!$AC$6:$AC$505,"&lt;="&amp;$A160,実績!$AD$6:$AD$505,"&gt;"&amp;$A160,実績!$AE$6:$AE$505,"○")&gt;0,1,0))</f>
        <v/>
      </c>
      <c r="DN160">
        <f>IF(DN$4=0,0,IF(COUNTIFS(実績!$W$6:$W$505,DN$3,実績!$AC$6:$AC$505,"&lt;="&amp;$A160,実績!$AD$6:$AD$505,"&gt;"&amp;$A160,実績!$AE$6:$AE$505,"○")&gt;0,1,0))</f>
        <v/>
      </c>
      <c r="DO160">
        <f>IF(DO$4=0,0,IF(COUNTIFS(実績!$W$6:$W$505,DO$3,実績!$AC$6:$AC$505,"&lt;="&amp;$A160,実績!$AD$6:$AD$505,"&gt;"&amp;$A160,実績!$AE$6:$AE$505,"○")&gt;0,1,0))</f>
        <v/>
      </c>
      <c r="DP160">
        <f>IF(DP$4=0,0,IF(COUNTIFS(実績!$W$6:$W$505,DP$3,実績!$AC$6:$AC$505,"&lt;="&amp;$A160,実績!$AD$6:$AD$505,"&gt;"&amp;$A160,実績!$AE$6:$AE$505,"○")&gt;0,1,0))</f>
        <v/>
      </c>
      <c r="DQ160">
        <f>IF(DQ$4=0,0,IF(COUNTIFS(実績!$W$6:$W$505,DQ$3,実績!$AC$6:$AC$505,"&lt;="&amp;$A160,実績!$AD$6:$AD$505,"&gt;"&amp;$A160,実績!$AE$6:$AE$505,"○")&gt;0,1,0))</f>
        <v/>
      </c>
      <c r="DR160">
        <f>IF(DR$4=0,0,IF(COUNTIFS(実績!$W$6:$W$505,DR$3,実績!$AC$6:$AC$505,"&lt;="&amp;$A160,実績!$AD$6:$AD$505,"&gt;"&amp;$A160,実績!$AE$6:$AE$505,"○")&gt;0,1,0))</f>
        <v/>
      </c>
      <c r="DS160">
        <f>SUM(C160:DR160)</f>
        <v/>
      </c>
      <c r="DT160">
        <f>SUMPRODUCT((実績!$C$6:$C$505="○")*ISNUMBER(実績!$AF$6:$AF$505)*(実績!$AF$6:$AF$505&lt;=$A160)*(実績!$AG$6:$AG$505&gt;$A160))</f>
        <v/>
      </c>
      <c r="DU160">
        <f>SUMIF($C$2:$DR$2,"製鉄曳船",C160:DR160)</f>
        <v/>
      </c>
      <c r="DV160">
        <f>SUMIF($C$2:$DR$2,"西日本海運",C160:DR160)</f>
        <v/>
      </c>
    </row>
    <row r="161">
      <c r="A161" t="n">
        <v>775</v>
      </c>
      <c r="B161" s="29">
        <f>A161/1440</f>
        <v/>
      </c>
      <c r="C161">
        <f>IF(C$4=0,0,IF(COUNTIFS(実績!$W$6:$W$505,C$3,実績!$AC$6:$AC$505,"&lt;="&amp;$A161,実績!$AD$6:$AD$505,"&gt;"&amp;$A161,実績!$AE$6:$AE$505,"○")&gt;0,1,0))</f>
        <v/>
      </c>
      <c r="D161">
        <f>IF(D$4=0,0,IF(COUNTIFS(実績!$W$6:$W$505,D$3,実績!$AC$6:$AC$505,"&lt;="&amp;$A161,実績!$AD$6:$AD$505,"&gt;"&amp;$A161,実績!$AE$6:$AE$505,"○")&gt;0,1,0))</f>
        <v/>
      </c>
      <c r="E161">
        <f>IF(E$4=0,0,IF(COUNTIFS(実績!$W$6:$W$505,E$3,実績!$AC$6:$AC$505,"&lt;="&amp;$A161,実績!$AD$6:$AD$505,"&gt;"&amp;$A161,実績!$AE$6:$AE$505,"○")&gt;0,1,0))</f>
        <v/>
      </c>
      <c r="F161">
        <f>IF(F$4=0,0,IF(COUNTIFS(実績!$W$6:$W$505,F$3,実績!$AC$6:$AC$505,"&lt;="&amp;$A161,実績!$AD$6:$AD$505,"&gt;"&amp;$A161,実績!$AE$6:$AE$505,"○")&gt;0,1,0))</f>
        <v/>
      </c>
      <c r="G161">
        <f>IF(G$4=0,0,IF(COUNTIFS(実績!$W$6:$W$505,G$3,実績!$AC$6:$AC$505,"&lt;="&amp;$A161,実績!$AD$6:$AD$505,"&gt;"&amp;$A161,実績!$AE$6:$AE$505,"○")&gt;0,1,0))</f>
        <v/>
      </c>
      <c r="H161">
        <f>IF(H$4=0,0,IF(COUNTIFS(実績!$W$6:$W$505,H$3,実績!$AC$6:$AC$505,"&lt;="&amp;$A161,実績!$AD$6:$AD$505,"&gt;"&amp;$A161,実績!$AE$6:$AE$505,"○")&gt;0,1,0))</f>
        <v/>
      </c>
      <c r="I161">
        <f>IF(I$4=0,0,IF(COUNTIFS(実績!$W$6:$W$505,I$3,実績!$AC$6:$AC$505,"&lt;="&amp;$A161,実績!$AD$6:$AD$505,"&gt;"&amp;$A161,実績!$AE$6:$AE$505,"○")&gt;0,1,0))</f>
        <v/>
      </c>
      <c r="J161">
        <f>IF(J$4=0,0,IF(COUNTIFS(実績!$W$6:$W$505,J$3,実績!$AC$6:$AC$505,"&lt;="&amp;$A161,実績!$AD$6:$AD$505,"&gt;"&amp;$A161,実績!$AE$6:$AE$505,"○")&gt;0,1,0))</f>
        <v/>
      </c>
      <c r="K161">
        <f>IF(K$4=0,0,IF(COUNTIFS(実績!$W$6:$W$505,K$3,実績!$AC$6:$AC$505,"&lt;="&amp;$A161,実績!$AD$6:$AD$505,"&gt;"&amp;$A161,実績!$AE$6:$AE$505,"○")&gt;0,1,0))</f>
        <v/>
      </c>
      <c r="L161">
        <f>IF(L$4=0,0,IF(COUNTIFS(実績!$W$6:$W$505,L$3,実績!$AC$6:$AC$505,"&lt;="&amp;$A161,実績!$AD$6:$AD$505,"&gt;"&amp;$A161,実績!$AE$6:$AE$505,"○")&gt;0,1,0))</f>
        <v/>
      </c>
      <c r="M161">
        <f>IF(M$4=0,0,IF(COUNTIFS(実績!$W$6:$W$505,M$3,実績!$AC$6:$AC$505,"&lt;="&amp;$A161,実績!$AD$6:$AD$505,"&gt;"&amp;$A161,実績!$AE$6:$AE$505,"○")&gt;0,1,0))</f>
        <v/>
      </c>
      <c r="N161">
        <f>IF(N$4=0,0,IF(COUNTIFS(実績!$W$6:$W$505,N$3,実績!$AC$6:$AC$505,"&lt;="&amp;$A161,実績!$AD$6:$AD$505,"&gt;"&amp;$A161,実績!$AE$6:$AE$505,"○")&gt;0,1,0))</f>
        <v/>
      </c>
      <c r="O161">
        <f>IF(O$4=0,0,IF(COUNTIFS(実績!$W$6:$W$505,O$3,実績!$AC$6:$AC$505,"&lt;="&amp;$A161,実績!$AD$6:$AD$505,"&gt;"&amp;$A161,実績!$AE$6:$AE$505,"○")&gt;0,1,0))</f>
        <v/>
      </c>
      <c r="P161">
        <f>IF(P$4=0,0,IF(COUNTIFS(実績!$W$6:$W$505,P$3,実績!$AC$6:$AC$505,"&lt;="&amp;$A161,実績!$AD$6:$AD$505,"&gt;"&amp;$A161,実績!$AE$6:$AE$505,"○")&gt;0,1,0))</f>
        <v/>
      </c>
      <c r="Q161">
        <f>IF(Q$4=0,0,IF(COUNTIFS(実績!$W$6:$W$505,Q$3,実績!$AC$6:$AC$505,"&lt;="&amp;$A161,実績!$AD$6:$AD$505,"&gt;"&amp;$A161,実績!$AE$6:$AE$505,"○")&gt;0,1,0))</f>
        <v/>
      </c>
      <c r="R161">
        <f>IF(R$4=0,0,IF(COUNTIFS(実績!$W$6:$W$505,R$3,実績!$AC$6:$AC$505,"&lt;="&amp;$A161,実績!$AD$6:$AD$505,"&gt;"&amp;$A161,実績!$AE$6:$AE$505,"○")&gt;0,1,0))</f>
        <v/>
      </c>
      <c r="S161">
        <f>IF(S$4=0,0,IF(COUNTIFS(実績!$W$6:$W$505,S$3,実績!$AC$6:$AC$505,"&lt;="&amp;$A161,実績!$AD$6:$AD$505,"&gt;"&amp;$A161,実績!$AE$6:$AE$505,"○")&gt;0,1,0))</f>
        <v/>
      </c>
      <c r="T161">
        <f>IF(T$4=0,0,IF(COUNTIFS(実績!$W$6:$W$505,T$3,実績!$AC$6:$AC$505,"&lt;="&amp;$A161,実績!$AD$6:$AD$505,"&gt;"&amp;$A161,実績!$AE$6:$AE$505,"○")&gt;0,1,0))</f>
        <v/>
      </c>
      <c r="U161">
        <f>IF(U$4=0,0,IF(COUNTIFS(実績!$W$6:$W$505,U$3,実績!$AC$6:$AC$505,"&lt;="&amp;$A161,実績!$AD$6:$AD$505,"&gt;"&amp;$A161,実績!$AE$6:$AE$505,"○")&gt;0,1,0))</f>
        <v/>
      </c>
      <c r="V161">
        <f>IF(V$4=0,0,IF(COUNTIFS(実績!$W$6:$W$505,V$3,実績!$AC$6:$AC$505,"&lt;="&amp;$A161,実績!$AD$6:$AD$505,"&gt;"&amp;$A161,実績!$AE$6:$AE$505,"○")&gt;0,1,0))</f>
        <v/>
      </c>
      <c r="W161">
        <f>IF(W$4=0,0,IF(COUNTIFS(実績!$W$6:$W$505,W$3,実績!$AC$6:$AC$505,"&lt;="&amp;$A161,実績!$AD$6:$AD$505,"&gt;"&amp;$A161,実績!$AE$6:$AE$505,"○")&gt;0,1,0))</f>
        <v/>
      </c>
      <c r="X161">
        <f>IF(X$4=0,0,IF(COUNTIFS(実績!$W$6:$W$505,X$3,実績!$AC$6:$AC$505,"&lt;="&amp;$A161,実績!$AD$6:$AD$505,"&gt;"&amp;$A161,実績!$AE$6:$AE$505,"○")&gt;0,1,0))</f>
        <v/>
      </c>
      <c r="Y161">
        <f>IF(Y$4=0,0,IF(COUNTIFS(実績!$W$6:$W$505,Y$3,実績!$AC$6:$AC$505,"&lt;="&amp;$A161,実績!$AD$6:$AD$505,"&gt;"&amp;$A161,実績!$AE$6:$AE$505,"○")&gt;0,1,0))</f>
        <v/>
      </c>
      <c r="Z161">
        <f>IF(Z$4=0,0,IF(COUNTIFS(実績!$W$6:$W$505,Z$3,実績!$AC$6:$AC$505,"&lt;="&amp;$A161,実績!$AD$6:$AD$505,"&gt;"&amp;$A161,実績!$AE$6:$AE$505,"○")&gt;0,1,0))</f>
        <v/>
      </c>
      <c r="AA161">
        <f>IF(AA$4=0,0,IF(COUNTIFS(実績!$W$6:$W$505,AA$3,実績!$AC$6:$AC$505,"&lt;="&amp;$A161,実績!$AD$6:$AD$505,"&gt;"&amp;$A161,実績!$AE$6:$AE$505,"○")&gt;0,1,0))</f>
        <v/>
      </c>
      <c r="AB161">
        <f>IF(AB$4=0,0,IF(COUNTIFS(実績!$W$6:$W$505,AB$3,実績!$AC$6:$AC$505,"&lt;="&amp;$A161,実績!$AD$6:$AD$505,"&gt;"&amp;$A161,実績!$AE$6:$AE$505,"○")&gt;0,1,0))</f>
        <v/>
      </c>
      <c r="AC161">
        <f>IF(AC$4=0,0,IF(COUNTIFS(実績!$W$6:$W$505,AC$3,実績!$AC$6:$AC$505,"&lt;="&amp;$A161,実績!$AD$6:$AD$505,"&gt;"&amp;$A161,実績!$AE$6:$AE$505,"○")&gt;0,1,0))</f>
        <v/>
      </c>
      <c r="AD161">
        <f>IF(AD$4=0,0,IF(COUNTIFS(実績!$W$6:$W$505,AD$3,実績!$AC$6:$AC$505,"&lt;="&amp;$A161,実績!$AD$6:$AD$505,"&gt;"&amp;$A161,実績!$AE$6:$AE$505,"○")&gt;0,1,0))</f>
        <v/>
      </c>
      <c r="AE161">
        <f>IF(AE$4=0,0,IF(COUNTIFS(実績!$W$6:$W$505,AE$3,実績!$AC$6:$AC$505,"&lt;="&amp;$A161,実績!$AD$6:$AD$505,"&gt;"&amp;$A161,実績!$AE$6:$AE$505,"○")&gt;0,1,0))</f>
        <v/>
      </c>
      <c r="AF161">
        <f>IF(AF$4=0,0,IF(COUNTIFS(実績!$W$6:$W$505,AF$3,実績!$AC$6:$AC$505,"&lt;="&amp;$A161,実績!$AD$6:$AD$505,"&gt;"&amp;$A161,実績!$AE$6:$AE$505,"○")&gt;0,1,0))</f>
        <v/>
      </c>
      <c r="AG161">
        <f>IF(AG$4=0,0,IF(COUNTIFS(実績!$W$6:$W$505,AG$3,実績!$AC$6:$AC$505,"&lt;="&amp;$A161,実績!$AD$6:$AD$505,"&gt;"&amp;$A161,実績!$AE$6:$AE$505,"○")&gt;0,1,0))</f>
        <v/>
      </c>
      <c r="AH161">
        <f>IF(AH$4=0,0,IF(COUNTIFS(実績!$W$6:$W$505,AH$3,実績!$AC$6:$AC$505,"&lt;="&amp;$A161,実績!$AD$6:$AD$505,"&gt;"&amp;$A161,実績!$AE$6:$AE$505,"○")&gt;0,1,0))</f>
        <v/>
      </c>
      <c r="AI161">
        <f>IF(AI$4=0,0,IF(COUNTIFS(実績!$W$6:$W$505,AI$3,実績!$AC$6:$AC$505,"&lt;="&amp;$A161,実績!$AD$6:$AD$505,"&gt;"&amp;$A161,実績!$AE$6:$AE$505,"○")&gt;0,1,0))</f>
        <v/>
      </c>
      <c r="AJ161">
        <f>IF(AJ$4=0,0,IF(COUNTIFS(実績!$W$6:$W$505,AJ$3,実績!$AC$6:$AC$505,"&lt;="&amp;$A161,実績!$AD$6:$AD$505,"&gt;"&amp;$A161,実績!$AE$6:$AE$505,"○")&gt;0,1,0))</f>
        <v/>
      </c>
      <c r="AK161">
        <f>IF(AK$4=0,0,IF(COUNTIFS(実績!$W$6:$W$505,AK$3,実績!$AC$6:$AC$505,"&lt;="&amp;$A161,実績!$AD$6:$AD$505,"&gt;"&amp;$A161,実績!$AE$6:$AE$505,"○")&gt;0,1,0))</f>
        <v/>
      </c>
      <c r="AL161">
        <f>IF(AL$4=0,0,IF(COUNTIFS(実績!$W$6:$W$505,AL$3,実績!$AC$6:$AC$505,"&lt;="&amp;$A161,実績!$AD$6:$AD$505,"&gt;"&amp;$A161,実績!$AE$6:$AE$505,"○")&gt;0,1,0))</f>
        <v/>
      </c>
      <c r="AM161">
        <f>IF(AM$4=0,0,IF(COUNTIFS(実績!$W$6:$W$505,AM$3,実績!$AC$6:$AC$505,"&lt;="&amp;$A161,実績!$AD$6:$AD$505,"&gt;"&amp;$A161,実績!$AE$6:$AE$505,"○")&gt;0,1,0))</f>
        <v/>
      </c>
      <c r="AN161">
        <f>IF(AN$4=0,0,IF(COUNTIFS(実績!$W$6:$W$505,AN$3,実績!$AC$6:$AC$505,"&lt;="&amp;$A161,実績!$AD$6:$AD$505,"&gt;"&amp;$A161,実績!$AE$6:$AE$505,"○")&gt;0,1,0))</f>
        <v/>
      </c>
      <c r="AO161">
        <f>IF(AO$4=0,0,IF(COUNTIFS(実績!$W$6:$W$505,AO$3,実績!$AC$6:$AC$505,"&lt;="&amp;$A161,実績!$AD$6:$AD$505,"&gt;"&amp;$A161,実績!$AE$6:$AE$505,"○")&gt;0,1,0))</f>
        <v/>
      </c>
      <c r="AP161">
        <f>IF(AP$4=0,0,IF(COUNTIFS(実績!$W$6:$W$505,AP$3,実績!$AC$6:$AC$505,"&lt;="&amp;$A161,実績!$AD$6:$AD$505,"&gt;"&amp;$A161,実績!$AE$6:$AE$505,"○")&gt;0,1,0))</f>
        <v/>
      </c>
      <c r="AQ161">
        <f>IF(AQ$4=0,0,IF(COUNTIFS(実績!$W$6:$W$505,AQ$3,実績!$AC$6:$AC$505,"&lt;="&amp;$A161,実績!$AD$6:$AD$505,"&gt;"&amp;$A161,実績!$AE$6:$AE$505,"○")&gt;0,1,0))</f>
        <v/>
      </c>
      <c r="AR161">
        <f>IF(AR$4=0,0,IF(COUNTIFS(実績!$W$6:$W$505,AR$3,実績!$AC$6:$AC$505,"&lt;="&amp;$A161,実績!$AD$6:$AD$505,"&gt;"&amp;$A161,実績!$AE$6:$AE$505,"○")&gt;0,1,0))</f>
        <v/>
      </c>
      <c r="AS161">
        <f>IF(AS$4=0,0,IF(COUNTIFS(実績!$W$6:$W$505,AS$3,実績!$AC$6:$AC$505,"&lt;="&amp;$A161,実績!$AD$6:$AD$505,"&gt;"&amp;$A161,実績!$AE$6:$AE$505,"○")&gt;0,1,0))</f>
        <v/>
      </c>
      <c r="AT161">
        <f>IF(AT$4=0,0,IF(COUNTIFS(実績!$W$6:$W$505,AT$3,実績!$AC$6:$AC$505,"&lt;="&amp;$A161,実績!$AD$6:$AD$505,"&gt;"&amp;$A161,実績!$AE$6:$AE$505,"○")&gt;0,1,0))</f>
        <v/>
      </c>
      <c r="AU161">
        <f>IF(AU$4=0,0,IF(COUNTIFS(実績!$W$6:$W$505,AU$3,実績!$AC$6:$AC$505,"&lt;="&amp;$A161,実績!$AD$6:$AD$505,"&gt;"&amp;$A161,実績!$AE$6:$AE$505,"○")&gt;0,1,0))</f>
        <v/>
      </c>
      <c r="AV161">
        <f>IF(AV$4=0,0,IF(COUNTIFS(実績!$W$6:$W$505,AV$3,実績!$AC$6:$AC$505,"&lt;="&amp;$A161,実績!$AD$6:$AD$505,"&gt;"&amp;$A161,実績!$AE$6:$AE$505,"○")&gt;0,1,0))</f>
        <v/>
      </c>
      <c r="AW161">
        <f>IF(AW$4=0,0,IF(COUNTIFS(実績!$W$6:$W$505,AW$3,実績!$AC$6:$AC$505,"&lt;="&amp;$A161,実績!$AD$6:$AD$505,"&gt;"&amp;$A161,実績!$AE$6:$AE$505,"○")&gt;0,1,0))</f>
        <v/>
      </c>
      <c r="AX161">
        <f>IF(AX$4=0,0,IF(COUNTIFS(実績!$W$6:$W$505,AX$3,実績!$AC$6:$AC$505,"&lt;="&amp;$A161,実績!$AD$6:$AD$505,"&gt;"&amp;$A161,実績!$AE$6:$AE$505,"○")&gt;0,1,0))</f>
        <v/>
      </c>
      <c r="AY161">
        <f>IF(AY$4=0,0,IF(COUNTIFS(実績!$W$6:$W$505,AY$3,実績!$AC$6:$AC$505,"&lt;="&amp;$A161,実績!$AD$6:$AD$505,"&gt;"&amp;$A161,実績!$AE$6:$AE$505,"○")&gt;0,1,0))</f>
        <v/>
      </c>
      <c r="AZ161">
        <f>IF(AZ$4=0,0,IF(COUNTIFS(実績!$W$6:$W$505,AZ$3,実績!$AC$6:$AC$505,"&lt;="&amp;$A161,実績!$AD$6:$AD$505,"&gt;"&amp;$A161,実績!$AE$6:$AE$505,"○")&gt;0,1,0))</f>
        <v/>
      </c>
      <c r="BA161">
        <f>IF(BA$4=0,0,IF(COUNTIFS(実績!$W$6:$W$505,BA$3,実績!$AC$6:$AC$505,"&lt;="&amp;$A161,実績!$AD$6:$AD$505,"&gt;"&amp;$A161,実績!$AE$6:$AE$505,"○")&gt;0,1,0))</f>
        <v/>
      </c>
      <c r="BB161">
        <f>IF(BB$4=0,0,IF(COUNTIFS(実績!$W$6:$W$505,BB$3,実績!$AC$6:$AC$505,"&lt;="&amp;$A161,実績!$AD$6:$AD$505,"&gt;"&amp;$A161,実績!$AE$6:$AE$505,"○")&gt;0,1,0))</f>
        <v/>
      </c>
      <c r="BC161">
        <f>IF(BC$4=0,0,IF(COUNTIFS(実績!$W$6:$W$505,BC$3,実績!$AC$6:$AC$505,"&lt;="&amp;$A161,実績!$AD$6:$AD$505,"&gt;"&amp;$A161,実績!$AE$6:$AE$505,"○")&gt;0,1,0))</f>
        <v/>
      </c>
      <c r="BD161">
        <f>IF(BD$4=0,0,IF(COUNTIFS(実績!$W$6:$W$505,BD$3,実績!$AC$6:$AC$505,"&lt;="&amp;$A161,実績!$AD$6:$AD$505,"&gt;"&amp;$A161,実績!$AE$6:$AE$505,"○")&gt;0,1,0))</f>
        <v/>
      </c>
      <c r="BE161">
        <f>IF(BE$4=0,0,IF(COUNTIFS(実績!$W$6:$W$505,BE$3,実績!$AC$6:$AC$505,"&lt;="&amp;$A161,実績!$AD$6:$AD$505,"&gt;"&amp;$A161,実績!$AE$6:$AE$505,"○")&gt;0,1,0))</f>
        <v/>
      </c>
      <c r="BF161">
        <f>IF(BF$4=0,0,IF(COUNTIFS(実績!$W$6:$W$505,BF$3,実績!$AC$6:$AC$505,"&lt;="&amp;$A161,実績!$AD$6:$AD$505,"&gt;"&amp;$A161,実績!$AE$6:$AE$505,"○")&gt;0,1,0))</f>
        <v/>
      </c>
      <c r="BG161">
        <f>IF(BG$4=0,0,IF(COUNTIFS(実績!$W$6:$W$505,BG$3,実績!$AC$6:$AC$505,"&lt;="&amp;$A161,実績!$AD$6:$AD$505,"&gt;"&amp;$A161,実績!$AE$6:$AE$505,"○")&gt;0,1,0))</f>
        <v/>
      </c>
      <c r="BH161">
        <f>IF(BH$4=0,0,IF(COUNTIFS(実績!$W$6:$W$505,BH$3,実績!$AC$6:$AC$505,"&lt;="&amp;$A161,実績!$AD$6:$AD$505,"&gt;"&amp;$A161,実績!$AE$6:$AE$505,"○")&gt;0,1,0))</f>
        <v/>
      </c>
      <c r="BI161">
        <f>IF(BI$4=0,0,IF(COUNTIFS(実績!$W$6:$W$505,BI$3,実績!$AC$6:$AC$505,"&lt;="&amp;$A161,実績!$AD$6:$AD$505,"&gt;"&amp;$A161,実績!$AE$6:$AE$505,"○")&gt;0,1,0))</f>
        <v/>
      </c>
      <c r="BJ161">
        <f>IF(BJ$4=0,0,IF(COUNTIFS(実績!$W$6:$W$505,BJ$3,実績!$AC$6:$AC$505,"&lt;="&amp;$A161,実績!$AD$6:$AD$505,"&gt;"&amp;$A161,実績!$AE$6:$AE$505,"○")&gt;0,1,0))</f>
        <v/>
      </c>
      <c r="BK161">
        <f>IF(BK$4=0,0,IF(COUNTIFS(実績!$W$6:$W$505,BK$3,実績!$AC$6:$AC$505,"&lt;="&amp;$A161,実績!$AD$6:$AD$505,"&gt;"&amp;$A161,実績!$AE$6:$AE$505,"○")&gt;0,1,0))</f>
        <v/>
      </c>
      <c r="BL161">
        <f>IF(BL$4=0,0,IF(COUNTIFS(実績!$W$6:$W$505,BL$3,実績!$AC$6:$AC$505,"&lt;="&amp;$A161,実績!$AD$6:$AD$505,"&gt;"&amp;$A161,実績!$AE$6:$AE$505,"○")&gt;0,1,0))</f>
        <v/>
      </c>
      <c r="BM161">
        <f>IF(BM$4=0,0,IF(COUNTIFS(実績!$W$6:$W$505,BM$3,実績!$AC$6:$AC$505,"&lt;="&amp;$A161,実績!$AD$6:$AD$505,"&gt;"&amp;$A161,実績!$AE$6:$AE$505,"○")&gt;0,1,0))</f>
        <v/>
      </c>
      <c r="BN161">
        <f>IF(BN$4=0,0,IF(COUNTIFS(実績!$W$6:$W$505,BN$3,実績!$AC$6:$AC$505,"&lt;="&amp;$A161,実績!$AD$6:$AD$505,"&gt;"&amp;$A161,実績!$AE$6:$AE$505,"○")&gt;0,1,0))</f>
        <v/>
      </c>
      <c r="BO161">
        <f>IF(BO$4=0,0,IF(COUNTIFS(実績!$W$6:$W$505,BO$3,実績!$AC$6:$AC$505,"&lt;="&amp;$A161,実績!$AD$6:$AD$505,"&gt;"&amp;$A161,実績!$AE$6:$AE$505,"○")&gt;0,1,0))</f>
        <v/>
      </c>
      <c r="BP161">
        <f>IF(BP$4=0,0,IF(COUNTIFS(実績!$W$6:$W$505,BP$3,実績!$AC$6:$AC$505,"&lt;="&amp;$A161,実績!$AD$6:$AD$505,"&gt;"&amp;$A161,実績!$AE$6:$AE$505,"○")&gt;0,1,0))</f>
        <v/>
      </c>
      <c r="BQ161">
        <f>IF(BQ$4=0,0,IF(COUNTIFS(実績!$W$6:$W$505,BQ$3,実績!$AC$6:$AC$505,"&lt;="&amp;$A161,実績!$AD$6:$AD$505,"&gt;"&amp;$A161,実績!$AE$6:$AE$505,"○")&gt;0,1,0))</f>
        <v/>
      </c>
      <c r="BR161">
        <f>IF(BR$4=0,0,IF(COUNTIFS(実績!$W$6:$W$505,BR$3,実績!$AC$6:$AC$505,"&lt;="&amp;$A161,実績!$AD$6:$AD$505,"&gt;"&amp;$A161,実績!$AE$6:$AE$505,"○")&gt;0,1,0))</f>
        <v/>
      </c>
      <c r="BS161">
        <f>IF(BS$4=0,0,IF(COUNTIFS(実績!$W$6:$W$505,BS$3,実績!$AC$6:$AC$505,"&lt;="&amp;$A161,実績!$AD$6:$AD$505,"&gt;"&amp;$A161,実績!$AE$6:$AE$505,"○")&gt;0,1,0))</f>
        <v/>
      </c>
      <c r="BT161">
        <f>IF(BT$4=0,0,IF(COUNTIFS(実績!$W$6:$W$505,BT$3,実績!$AC$6:$AC$505,"&lt;="&amp;$A161,実績!$AD$6:$AD$505,"&gt;"&amp;$A161,実績!$AE$6:$AE$505,"○")&gt;0,1,0))</f>
        <v/>
      </c>
      <c r="BU161">
        <f>IF(BU$4=0,0,IF(COUNTIFS(実績!$W$6:$W$505,BU$3,実績!$AC$6:$AC$505,"&lt;="&amp;$A161,実績!$AD$6:$AD$505,"&gt;"&amp;$A161,実績!$AE$6:$AE$505,"○")&gt;0,1,0))</f>
        <v/>
      </c>
      <c r="BV161">
        <f>IF(BV$4=0,0,IF(COUNTIFS(実績!$W$6:$W$505,BV$3,実績!$AC$6:$AC$505,"&lt;="&amp;$A161,実績!$AD$6:$AD$505,"&gt;"&amp;$A161,実績!$AE$6:$AE$505,"○")&gt;0,1,0))</f>
        <v/>
      </c>
      <c r="BW161">
        <f>IF(BW$4=0,0,IF(COUNTIFS(実績!$W$6:$W$505,BW$3,実績!$AC$6:$AC$505,"&lt;="&amp;$A161,実績!$AD$6:$AD$505,"&gt;"&amp;$A161,実績!$AE$6:$AE$505,"○")&gt;0,1,0))</f>
        <v/>
      </c>
      <c r="BX161">
        <f>IF(BX$4=0,0,IF(COUNTIFS(実績!$W$6:$W$505,BX$3,実績!$AC$6:$AC$505,"&lt;="&amp;$A161,実績!$AD$6:$AD$505,"&gt;"&amp;$A161,実績!$AE$6:$AE$505,"○")&gt;0,1,0))</f>
        <v/>
      </c>
      <c r="BY161">
        <f>IF(BY$4=0,0,IF(COUNTIFS(実績!$W$6:$W$505,BY$3,実績!$AC$6:$AC$505,"&lt;="&amp;$A161,実績!$AD$6:$AD$505,"&gt;"&amp;$A161,実績!$AE$6:$AE$505,"○")&gt;0,1,0))</f>
        <v/>
      </c>
      <c r="BZ161">
        <f>IF(BZ$4=0,0,IF(COUNTIFS(実績!$W$6:$W$505,BZ$3,実績!$AC$6:$AC$505,"&lt;="&amp;$A161,実績!$AD$6:$AD$505,"&gt;"&amp;$A161,実績!$AE$6:$AE$505,"○")&gt;0,1,0))</f>
        <v/>
      </c>
      <c r="CA161">
        <f>IF(CA$4=0,0,IF(COUNTIFS(実績!$W$6:$W$505,CA$3,実績!$AC$6:$AC$505,"&lt;="&amp;$A161,実績!$AD$6:$AD$505,"&gt;"&amp;$A161,実績!$AE$6:$AE$505,"○")&gt;0,1,0))</f>
        <v/>
      </c>
      <c r="CB161">
        <f>IF(CB$4=0,0,IF(COUNTIFS(実績!$W$6:$W$505,CB$3,実績!$AC$6:$AC$505,"&lt;="&amp;$A161,実績!$AD$6:$AD$505,"&gt;"&amp;$A161,実績!$AE$6:$AE$505,"○")&gt;0,1,0))</f>
        <v/>
      </c>
      <c r="CC161">
        <f>IF(CC$4=0,0,IF(COUNTIFS(実績!$W$6:$W$505,CC$3,実績!$AC$6:$AC$505,"&lt;="&amp;$A161,実績!$AD$6:$AD$505,"&gt;"&amp;$A161,実績!$AE$6:$AE$505,"○")&gt;0,1,0))</f>
        <v/>
      </c>
      <c r="CD161">
        <f>IF(CD$4=0,0,IF(COUNTIFS(実績!$W$6:$W$505,CD$3,実績!$AC$6:$AC$505,"&lt;="&amp;$A161,実績!$AD$6:$AD$505,"&gt;"&amp;$A161,実績!$AE$6:$AE$505,"○")&gt;0,1,0))</f>
        <v/>
      </c>
      <c r="CE161">
        <f>IF(CE$4=0,0,IF(COUNTIFS(実績!$W$6:$W$505,CE$3,実績!$AC$6:$AC$505,"&lt;="&amp;$A161,実績!$AD$6:$AD$505,"&gt;"&amp;$A161,実績!$AE$6:$AE$505,"○")&gt;0,1,0))</f>
        <v/>
      </c>
      <c r="CF161">
        <f>IF(CF$4=0,0,IF(COUNTIFS(実績!$W$6:$W$505,CF$3,実績!$AC$6:$AC$505,"&lt;="&amp;$A161,実績!$AD$6:$AD$505,"&gt;"&amp;$A161,実績!$AE$6:$AE$505,"○")&gt;0,1,0))</f>
        <v/>
      </c>
      <c r="CG161">
        <f>IF(CG$4=0,0,IF(COUNTIFS(実績!$W$6:$W$505,CG$3,実績!$AC$6:$AC$505,"&lt;="&amp;$A161,実績!$AD$6:$AD$505,"&gt;"&amp;$A161,実績!$AE$6:$AE$505,"○")&gt;0,1,0))</f>
        <v/>
      </c>
      <c r="CH161">
        <f>IF(CH$4=0,0,IF(COUNTIFS(実績!$W$6:$W$505,CH$3,実績!$AC$6:$AC$505,"&lt;="&amp;$A161,実績!$AD$6:$AD$505,"&gt;"&amp;$A161,実績!$AE$6:$AE$505,"○")&gt;0,1,0))</f>
        <v/>
      </c>
      <c r="CI161">
        <f>IF(CI$4=0,0,IF(COUNTIFS(実績!$W$6:$W$505,CI$3,実績!$AC$6:$AC$505,"&lt;="&amp;$A161,実績!$AD$6:$AD$505,"&gt;"&amp;$A161,実績!$AE$6:$AE$505,"○")&gt;0,1,0))</f>
        <v/>
      </c>
      <c r="CJ161">
        <f>IF(CJ$4=0,0,IF(COUNTIFS(実績!$W$6:$W$505,CJ$3,実績!$AC$6:$AC$505,"&lt;="&amp;$A161,実績!$AD$6:$AD$505,"&gt;"&amp;$A161,実績!$AE$6:$AE$505,"○")&gt;0,1,0))</f>
        <v/>
      </c>
      <c r="CK161">
        <f>IF(CK$4=0,0,IF(COUNTIFS(実績!$W$6:$W$505,CK$3,実績!$AC$6:$AC$505,"&lt;="&amp;$A161,実績!$AD$6:$AD$505,"&gt;"&amp;$A161,実績!$AE$6:$AE$505,"○")&gt;0,1,0))</f>
        <v/>
      </c>
      <c r="CL161">
        <f>IF(CL$4=0,0,IF(COUNTIFS(実績!$W$6:$W$505,CL$3,実績!$AC$6:$AC$505,"&lt;="&amp;$A161,実績!$AD$6:$AD$505,"&gt;"&amp;$A161,実績!$AE$6:$AE$505,"○")&gt;0,1,0))</f>
        <v/>
      </c>
      <c r="CM161">
        <f>IF(CM$4=0,0,IF(COUNTIFS(実績!$W$6:$W$505,CM$3,実績!$AC$6:$AC$505,"&lt;="&amp;$A161,実績!$AD$6:$AD$505,"&gt;"&amp;$A161,実績!$AE$6:$AE$505,"○")&gt;0,1,0))</f>
        <v/>
      </c>
      <c r="CN161">
        <f>IF(CN$4=0,0,IF(COUNTIFS(実績!$W$6:$W$505,CN$3,実績!$AC$6:$AC$505,"&lt;="&amp;$A161,実績!$AD$6:$AD$505,"&gt;"&amp;$A161,実績!$AE$6:$AE$505,"○")&gt;0,1,0))</f>
        <v/>
      </c>
      <c r="CO161">
        <f>IF(CO$4=0,0,IF(COUNTIFS(実績!$W$6:$W$505,CO$3,実績!$AC$6:$AC$505,"&lt;="&amp;$A161,実績!$AD$6:$AD$505,"&gt;"&amp;$A161,実績!$AE$6:$AE$505,"○")&gt;0,1,0))</f>
        <v/>
      </c>
      <c r="CP161">
        <f>IF(CP$4=0,0,IF(COUNTIFS(実績!$W$6:$W$505,CP$3,実績!$AC$6:$AC$505,"&lt;="&amp;$A161,実績!$AD$6:$AD$505,"&gt;"&amp;$A161,実績!$AE$6:$AE$505,"○")&gt;0,1,0))</f>
        <v/>
      </c>
      <c r="CQ161">
        <f>IF(CQ$4=0,0,IF(COUNTIFS(実績!$W$6:$W$505,CQ$3,実績!$AC$6:$AC$505,"&lt;="&amp;$A161,実績!$AD$6:$AD$505,"&gt;"&amp;$A161,実績!$AE$6:$AE$505,"○")&gt;0,1,0))</f>
        <v/>
      </c>
      <c r="CR161">
        <f>IF(CR$4=0,0,IF(COUNTIFS(実績!$W$6:$W$505,CR$3,実績!$AC$6:$AC$505,"&lt;="&amp;$A161,実績!$AD$6:$AD$505,"&gt;"&amp;$A161,実績!$AE$6:$AE$505,"○")&gt;0,1,0))</f>
        <v/>
      </c>
      <c r="CS161">
        <f>IF(CS$4=0,0,IF(COUNTIFS(実績!$W$6:$W$505,CS$3,実績!$AC$6:$AC$505,"&lt;="&amp;$A161,実績!$AD$6:$AD$505,"&gt;"&amp;$A161,実績!$AE$6:$AE$505,"○")&gt;0,1,0))</f>
        <v/>
      </c>
      <c r="CT161">
        <f>IF(CT$4=0,0,IF(COUNTIFS(実績!$W$6:$W$505,CT$3,実績!$AC$6:$AC$505,"&lt;="&amp;$A161,実績!$AD$6:$AD$505,"&gt;"&amp;$A161,実績!$AE$6:$AE$505,"○")&gt;0,1,0))</f>
        <v/>
      </c>
      <c r="CU161">
        <f>IF(CU$4=0,0,IF(COUNTIFS(実績!$W$6:$W$505,CU$3,実績!$AC$6:$AC$505,"&lt;="&amp;$A161,実績!$AD$6:$AD$505,"&gt;"&amp;$A161,実績!$AE$6:$AE$505,"○")&gt;0,1,0))</f>
        <v/>
      </c>
      <c r="CV161">
        <f>IF(CV$4=0,0,IF(COUNTIFS(実績!$W$6:$W$505,CV$3,実績!$AC$6:$AC$505,"&lt;="&amp;$A161,実績!$AD$6:$AD$505,"&gt;"&amp;$A161,実績!$AE$6:$AE$505,"○")&gt;0,1,0))</f>
        <v/>
      </c>
      <c r="CW161">
        <f>IF(CW$4=0,0,IF(COUNTIFS(実績!$W$6:$W$505,CW$3,実績!$AC$6:$AC$505,"&lt;="&amp;$A161,実績!$AD$6:$AD$505,"&gt;"&amp;$A161,実績!$AE$6:$AE$505,"○")&gt;0,1,0))</f>
        <v/>
      </c>
      <c r="CX161">
        <f>IF(CX$4=0,0,IF(COUNTIFS(実績!$W$6:$W$505,CX$3,実績!$AC$6:$AC$505,"&lt;="&amp;$A161,実績!$AD$6:$AD$505,"&gt;"&amp;$A161,実績!$AE$6:$AE$505,"○")&gt;0,1,0))</f>
        <v/>
      </c>
      <c r="CY161">
        <f>IF(CY$4=0,0,IF(COUNTIFS(実績!$W$6:$W$505,CY$3,実績!$AC$6:$AC$505,"&lt;="&amp;$A161,実績!$AD$6:$AD$505,"&gt;"&amp;$A161,実績!$AE$6:$AE$505,"○")&gt;0,1,0))</f>
        <v/>
      </c>
      <c r="CZ161">
        <f>IF(CZ$4=0,0,IF(COUNTIFS(実績!$W$6:$W$505,CZ$3,実績!$AC$6:$AC$505,"&lt;="&amp;$A161,実績!$AD$6:$AD$505,"&gt;"&amp;$A161,実績!$AE$6:$AE$505,"○")&gt;0,1,0))</f>
        <v/>
      </c>
      <c r="DA161">
        <f>IF(DA$4=0,0,IF(COUNTIFS(実績!$W$6:$W$505,DA$3,実績!$AC$6:$AC$505,"&lt;="&amp;$A161,実績!$AD$6:$AD$505,"&gt;"&amp;$A161,実績!$AE$6:$AE$505,"○")&gt;0,1,0))</f>
        <v/>
      </c>
      <c r="DB161">
        <f>IF(DB$4=0,0,IF(COUNTIFS(実績!$W$6:$W$505,DB$3,実績!$AC$6:$AC$505,"&lt;="&amp;$A161,実績!$AD$6:$AD$505,"&gt;"&amp;$A161,実績!$AE$6:$AE$505,"○")&gt;0,1,0))</f>
        <v/>
      </c>
      <c r="DC161">
        <f>IF(DC$4=0,0,IF(COUNTIFS(実績!$W$6:$W$505,DC$3,実績!$AC$6:$AC$505,"&lt;="&amp;$A161,実績!$AD$6:$AD$505,"&gt;"&amp;$A161,実績!$AE$6:$AE$505,"○")&gt;0,1,0))</f>
        <v/>
      </c>
      <c r="DD161">
        <f>IF(DD$4=0,0,IF(COUNTIFS(実績!$W$6:$W$505,DD$3,実績!$AC$6:$AC$505,"&lt;="&amp;$A161,実績!$AD$6:$AD$505,"&gt;"&amp;$A161,実績!$AE$6:$AE$505,"○")&gt;0,1,0))</f>
        <v/>
      </c>
      <c r="DE161">
        <f>IF(DE$4=0,0,IF(COUNTIFS(実績!$W$6:$W$505,DE$3,実績!$AC$6:$AC$505,"&lt;="&amp;$A161,実績!$AD$6:$AD$505,"&gt;"&amp;$A161,実績!$AE$6:$AE$505,"○")&gt;0,1,0))</f>
        <v/>
      </c>
      <c r="DF161">
        <f>IF(DF$4=0,0,IF(COUNTIFS(実績!$W$6:$W$505,DF$3,実績!$AC$6:$AC$505,"&lt;="&amp;$A161,実績!$AD$6:$AD$505,"&gt;"&amp;$A161,実績!$AE$6:$AE$505,"○")&gt;0,1,0))</f>
        <v/>
      </c>
      <c r="DG161">
        <f>IF(DG$4=0,0,IF(COUNTIFS(実績!$W$6:$W$505,DG$3,実績!$AC$6:$AC$505,"&lt;="&amp;$A161,実績!$AD$6:$AD$505,"&gt;"&amp;$A161,実績!$AE$6:$AE$505,"○")&gt;0,1,0))</f>
        <v/>
      </c>
      <c r="DH161">
        <f>IF(DH$4=0,0,IF(COUNTIFS(実績!$W$6:$W$505,DH$3,実績!$AC$6:$AC$505,"&lt;="&amp;$A161,実績!$AD$6:$AD$505,"&gt;"&amp;$A161,実績!$AE$6:$AE$505,"○")&gt;0,1,0))</f>
        <v/>
      </c>
      <c r="DI161">
        <f>IF(DI$4=0,0,IF(COUNTIFS(実績!$W$6:$W$505,DI$3,実績!$AC$6:$AC$505,"&lt;="&amp;$A161,実績!$AD$6:$AD$505,"&gt;"&amp;$A161,実績!$AE$6:$AE$505,"○")&gt;0,1,0))</f>
        <v/>
      </c>
      <c r="DJ161">
        <f>IF(DJ$4=0,0,IF(COUNTIFS(実績!$W$6:$W$505,DJ$3,実績!$AC$6:$AC$505,"&lt;="&amp;$A161,実績!$AD$6:$AD$505,"&gt;"&amp;$A161,実績!$AE$6:$AE$505,"○")&gt;0,1,0))</f>
        <v/>
      </c>
      <c r="DK161">
        <f>IF(DK$4=0,0,IF(COUNTIFS(実績!$W$6:$W$505,DK$3,実績!$AC$6:$AC$505,"&lt;="&amp;$A161,実績!$AD$6:$AD$505,"&gt;"&amp;$A161,実績!$AE$6:$AE$505,"○")&gt;0,1,0))</f>
        <v/>
      </c>
      <c r="DL161">
        <f>IF(DL$4=0,0,IF(COUNTIFS(実績!$W$6:$W$505,DL$3,実績!$AC$6:$AC$505,"&lt;="&amp;$A161,実績!$AD$6:$AD$505,"&gt;"&amp;$A161,実績!$AE$6:$AE$505,"○")&gt;0,1,0))</f>
        <v/>
      </c>
      <c r="DM161">
        <f>IF(DM$4=0,0,IF(COUNTIFS(実績!$W$6:$W$505,DM$3,実績!$AC$6:$AC$505,"&lt;="&amp;$A161,実績!$AD$6:$AD$505,"&gt;"&amp;$A161,実績!$AE$6:$AE$505,"○")&gt;0,1,0))</f>
        <v/>
      </c>
      <c r="DN161">
        <f>IF(DN$4=0,0,IF(COUNTIFS(実績!$W$6:$W$505,DN$3,実績!$AC$6:$AC$505,"&lt;="&amp;$A161,実績!$AD$6:$AD$505,"&gt;"&amp;$A161,実績!$AE$6:$AE$505,"○")&gt;0,1,0))</f>
        <v/>
      </c>
      <c r="DO161">
        <f>IF(DO$4=0,0,IF(COUNTIFS(実績!$W$6:$W$505,DO$3,実績!$AC$6:$AC$505,"&lt;="&amp;$A161,実績!$AD$6:$AD$505,"&gt;"&amp;$A161,実績!$AE$6:$AE$505,"○")&gt;0,1,0))</f>
        <v/>
      </c>
      <c r="DP161">
        <f>IF(DP$4=0,0,IF(COUNTIFS(実績!$W$6:$W$505,DP$3,実績!$AC$6:$AC$505,"&lt;="&amp;$A161,実績!$AD$6:$AD$505,"&gt;"&amp;$A161,実績!$AE$6:$AE$505,"○")&gt;0,1,0))</f>
        <v/>
      </c>
      <c r="DQ161">
        <f>IF(DQ$4=0,0,IF(COUNTIFS(実績!$W$6:$W$505,DQ$3,実績!$AC$6:$AC$505,"&lt;="&amp;$A161,実績!$AD$6:$AD$505,"&gt;"&amp;$A161,実績!$AE$6:$AE$505,"○")&gt;0,1,0))</f>
        <v/>
      </c>
      <c r="DR161">
        <f>IF(DR$4=0,0,IF(COUNTIFS(実績!$W$6:$W$505,DR$3,実績!$AC$6:$AC$505,"&lt;="&amp;$A161,実績!$AD$6:$AD$505,"&gt;"&amp;$A161,実績!$AE$6:$AE$505,"○")&gt;0,1,0))</f>
        <v/>
      </c>
      <c r="DS161">
        <f>SUM(C161:DR161)</f>
        <v/>
      </c>
      <c r="DT161">
        <f>SUMPRODUCT((実績!$C$6:$C$505="○")*ISNUMBER(実績!$AF$6:$AF$505)*(実績!$AF$6:$AF$505&lt;=$A161)*(実績!$AG$6:$AG$505&gt;$A161))</f>
        <v/>
      </c>
      <c r="DU161">
        <f>SUMIF($C$2:$DR$2,"製鉄曳船",C161:DR161)</f>
        <v/>
      </c>
      <c r="DV161">
        <f>SUMIF($C$2:$DR$2,"西日本海運",C161:DR161)</f>
        <v/>
      </c>
    </row>
    <row r="162">
      <c r="A162" t="n">
        <v>780</v>
      </c>
      <c r="B162" s="29">
        <f>A162/1440</f>
        <v/>
      </c>
      <c r="C162">
        <f>IF(C$4=0,0,IF(COUNTIFS(実績!$W$6:$W$505,C$3,実績!$AC$6:$AC$505,"&lt;="&amp;$A162,実績!$AD$6:$AD$505,"&gt;"&amp;$A162,実績!$AE$6:$AE$505,"○")&gt;0,1,0))</f>
        <v/>
      </c>
      <c r="D162">
        <f>IF(D$4=0,0,IF(COUNTIFS(実績!$W$6:$W$505,D$3,実績!$AC$6:$AC$505,"&lt;="&amp;$A162,実績!$AD$6:$AD$505,"&gt;"&amp;$A162,実績!$AE$6:$AE$505,"○")&gt;0,1,0))</f>
        <v/>
      </c>
      <c r="E162">
        <f>IF(E$4=0,0,IF(COUNTIFS(実績!$W$6:$W$505,E$3,実績!$AC$6:$AC$505,"&lt;="&amp;$A162,実績!$AD$6:$AD$505,"&gt;"&amp;$A162,実績!$AE$6:$AE$505,"○")&gt;0,1,0))</f>
        <v/>
      </c>
      <c r="F162">
        <f>IF(F$4=0,0,IF(COUNTIFS(実績!$W$6:$W$505,F$3,実績!$AC$6:$AC$505,"&lt;="&amp;$A162,実績!$AD$6:$AD$505,"&gt;"&amp;$A162,実績!$AE$6:$AE$505,"○")&gt;0,1,0))</f>
        <v/>
      </c>
      <c r="G162">
        <f>IF(G$4=0,0,IF(COUNTIFS(実績!$W$6:$W$505,G$3,実績!$AC$6:$AC$505,"&lt;="&amp;$A162,実績!$AD$6:$AD$505,"&gt;"&amp;$A162,実績!$AE$6:$AE$505,"○")&gt;0,1,0))</f>
        <v/>
      </c>
      <c r="H162">
        <f>IF(H$4=0,0,IF(COUNTIFS(実績!$W$6:$W$505,H$3,実績!$AC$6:$AC$505,"&lt;="&amp;$A162,実績!$AD$6:$AD$505,"&gt;"&amp;$A162,実績!$AE$6:$AE$505,"○")&gt;0,1,0))</f>
        <v/>
      </c>
      <c r="I162">
        <f>IF(I$4=0,0,IF(COUNTIFS(実績!$W$6:$W$505,I$3,実績!$AC$6:$AC$505,"&lt;="&amp;$A162,実績!$AD$6:$AD$505,"&gt;"&amp;$A162,実績!$AE$6:$AE$505,"○")&gt;0,1,0))</f>
        <v/>
      </c>
      <c r="J162">
        <f>IF(J$4=0,0,IF(COUNTIFS(実績!$W$6:$W$505,J$3,実績!$AC$6:$AC$505,"&lt;="&amp;$A162,実績!$AD$6:$AD$505,"&gt;"&amp;$A162,実績!$AE$6:$AE$505,"○")&gt;0,1,0))</f>
        <v/>
      </c>
      <c r="K162">
        <f>IF(K$4=0,0,IF(COUNTIFS(実績!$W$6:$W$505,K$3,実績!$AC$6:$AC$505,"&lt;="&amp;$A162,実績!$AD$6:$AD$505,"&gt;"&amp;$A162,実績!$AE$6:$AE$505,"○")&gt;0,1,0))</f>
        <v/>
      </c>
      <c r="L162">
        <f>IF(L$4=0,0,IF(COUNTIFS(実績!$W$6:$W$505,L$3,実績!$AC$6:$AC$505,"&lt;="&amp;$A162,実績!$AD$6:$AD$505,"&gt;"&amp;$A162,実績!$AE$6:$AE$505,"○")&gt;0,1,0))</f>
        <v/>
      </c>
      <c r="M162">
        <f>IF(M$4=0,0,IF(COUNTIFS(実績!$W$6:$W$505,M$3,実績!$AC$6:$AC$505,"&lt;="&amp;$A162,実績!$AD$6:$AD$505,"&gt;"&amp;$A162,実績!$AE$6:$AE$505,"○")&gt;0,1,0))</f>
        <v/>
      </c>
      <c r="N162">
        <f>IF(N$4=0,0,IF(COUNTIFS(実績!$W$6:$W$505,N$3,実績!$AC$6:$AC$505,"&lt;="&amp;$A162,実績!$AD$6:$AD$505,"&gt;"&amp;$A162,実績!$AE$6:$AE$505,"○")&gt;0,1,0))</f>
        <v/>
      </c>
      <c r="O162">
        <f>IF(O$4=0,0,IF(COUNTIFS(実績!$W$6:$W$505,O$3,実績!$AC$6:$AC$505,"&lt;="&amp;$A162,実績!$AD$6:$AD$505,"&gt;"&amp;$A162,実績!$AE$6:$AE$505,"○")&gt;0,1,0))</f>
        <v/>
      </c>
      <c r="P162">
        <f>IF(P$4=0,0,IF(COUNTIFS(実績!$W$6:$W$505,P$3,実績!$AC$6:$AC$505,"&lt;="&amp;$A162,実績!$AD$6:$AD$505,"&gt;"&amp;$A162,実績!$AE$6:$AE$505,"○")&gt;0,1,0))</f>
        <v/>
      </c>
      <c r="Q162">
        <f>IF(Q$4=0,0,IF(COUNTIFS(実績!$W$6:$W$505,Q$3,実績!$AC$6:$AC$505,"&lt;="&amp;$A162,実績!$AD$6:$AD$505,"&gt;"&amp;$A162,実績!$AE$6:$AE$505,"○")&gt;0,1,0))</f>
        <v/>
      </c>
      <c r="R162">
        <f>IF(R$4=0,0,IF(COUNTIFS(実績!$W$6:$W$505,R$3,実績!$AC$6:$AC$505,"&lt;="&amp;$A162,実績!$AD$6:$AD$505,"&gt;"&amp;$A162,実績!$AE$6:$AE$505,"○")&gt;0,1,0))</f>
        <v/>
      </c>
      <c r="S162">
        <f>IF(S$4=0,0,IF(COUNTIFS(実績!$W$6:$W$505,S$3,実績!$AC$6:$AC$505,"&lt;="&amp;$A162,実績!$AD$6:$AD$505,"&gt;"&amp;$A162,実績!$AE$6:$AE$505,"○")&gt;0,1,0))</f>
        <v/>
      </c>
      <c r="T162">
        <f>IF(T$4=0,0,IF(COUNTIFS(実績!$W$6:$W$505,T$3,実績!$AC$6:$AC$505,"&lt;="&amp;$A162,実績!$AD$6:$AD$505,"&gt;"&amp;$A162,実績!$AE$6:$AE$505,"○")&gt;0,1,0))</f>
        <v/>
      </c>
      <c r="U162">
        <f>IF(U$4=0,0,IF(COUNTIFS(実績!$W$6:$W$505,U$3,実績!$AC$6:$AC$505,"&lt;="&amp;$A162,実績!$AD$6:$AD$505,"&gt;"&amp;$A162,実績!$AE$6:$AE$505,"○")&gt;0,1,0))</f>
        <v/>
      </c>
      <c r="V162">
        <f>IF(V$4=0,0,IF(COUNTIFS(実績!$W$6:$W$505,V$3,実績!$AC$6:$AC$505,"&lt;="&amp;$A162,実績!$AD$6:$AD$505,"&gt;"&amp;$A162,実績!$AE$6:$AE$505,"○")&gt;0,1,0))</f>
        <v/>
      </c>
      <c r="W162">
        <f>IF(W$4=0,0,IF(COUNTIFS(実績!$W$6:$W$505,W$3,実績!$AC$6:$AC$505,"&lt;="&amp;$A162,実績!$AD$6:$AD$505,"&gt;"&amp;$A162,実績!$AE$6:$AE$505,"○")&gt;0,1,0))</f>
        <v/>
      </c>
      <c r="X162">
        <f>IF(X$4=0,0,IF(COUNTIFS(実績!$W$6:$W$505,X$3,実績!$AC$6:$AC$505,"&lt;="&amp;$A162,実績!$AD$6:$AD$505,"&gt;"&amp;$A162,実績!$AE$6:$AE$505,"○")&gt;0,1,0))</f>
        <v/>
      </c>
      <c r="Y162">
        <f>IF(Y$4=0,0,IF(COUNTIFS(実績!$W$6:$W$505,Y$3,実績!$AC$6:$AC$505,"&lt;="&amp;$A162,実績!$AD$6:$AD$505,"&gt;"&amp;$A162,実績!$AE$6:$AE$505,"○")&gt;0,1,0))</f>
        <v/>
      </c>
      <c r="Z162">
        <f>IF(Z$4=0,0,IF(COUNTIFS(実績!$W$6:$W$505,Z$3,実績!$AC$6:$AC$505,"&lt;="&amp;$A162,実績!$AD$6:$AD$505,"&gt;"&amp;$A162,実績!$AE$6:$AE$505,"○")&gt;0,1,0))</f>
        <v/>
      </c>
      <c r="AA162">
        <f>IF(AA$4=0,0,IF(COUNTIFS(実績!$W$6:$W$505,AA$3,実績!$AC$6:$AC$505,"&lt;="&amp;$A162,実績!$AD$6:$AD$505,"&gt;"&amp;$A162,実績!$AE$6:$AE$505,"○")&gt;0,1,0))</f>
        <v/>
      </c>
      <c r="AB162">
        <f>IF(AB$4=0,0,IF(COUNTIFS(実績!$W$6:$W$505,AB$3,実績!$AC$6:$AC$505,"&lt;="&amp;$A162,実績!$AD$6:$AD$505,"&gt;"&amp;$A162,実績!$AE$6:$AE$505,"○")&gt;0,1,0))</f>
        <v/>
      </c>
      <c r="AC162">
        <f>IF(AC$4=0,0,IF(COUNTIFS(実績!$W$6:$W$505,AC$3,実績!$AC$6:$AC$505,"&lt;="&amp;$A162,実績!$AD$6:$AD$505,"&gt;"&amp;$A162,実績!$AE$6:$AE$505,"○")&gt;0,1,0))</f>
        <v/>
      </c>
      <c r="AD162">
        <f>IF(AD$4=0,0,IF(COUNTIFS(実績!$W$6:$W$505,AD$3,実績!$AC$6:$AC$505,"&lt;="&amp;$A162,実績!$AD$6:$AD$505,"&gt;"&amp;$A162,実績!$AE$6:$AE$505,"○")&gt;0,1,0))</f>
        <v/>
      </c>
      <c r="AE162">
        <f>IF(AE$4=0,0,IF(COUNTIFS(実績!$W$6:$W$505,AE$3,実績!$AC$6:$AC$505,"&lt;="&amp;$A162,実績!$AD$6:$AD$505,"&gt;"&amp;$A162,実績!$AE$6:$AE$505,"○")&gt;0,1,0))</f>
        <v/>
      </c>
      <c r="AF162">
        <f>IF(AF$4=0,0,IF(COUNTIFS(実績!$W$6:$W$505,AF$3,実績!$AC$6:$AC$505,"&lt;="&amp;$A162,実績!$AD$6:$AD$505,"&gt;"&amp;$A162,実績!$AE$6:$AE$505,"○")&gt;0,1,0))</f>
        <v/>
      </c>
      <c r="AG162">
        <f>IF(AG$4=0,0,IF(COUNTIFS(実績!$W$6:$W$505,AG$3,実績!$AC$6:$AC$505,"&lt;="&amp;$A162,実績!$AD$6:$AD$505,"&gt;"&amp;$A162,実績!$AE$6:$AE$505,"○")&gt;0,1,0))</f>
        <v/>
      </c>
      <c r="AH162">
        <f>IF(AH$4=0,0,IF(COUNTIFS(実績!$W$6:$W$505,AH$3,実績!$AC$6:$AC$505,"&lt;="&amp;$A162,実績!$AD$6:$AD$505,"&gt;"&amp;$A162,実績!$AE$6:$AE$505,"○")&gt;0,1,0))</f>
        <v/>
      </c>
      <c r="AI162">
        <f>IF(AI$4=0,0,IF(COUNTIFS(実績!$W$6:$W$505,AI$3,実績!$AC$6:$AC$505,"&lt;="&amp;$A162,実績!$AD$6:$AD$505,"&gt;"&amp;$A162,実績!$AE$6:$AE$505,"○")&gt;0,1,0))</f>
        <v/>
      </c>
      <c r="AJ162">
        <f>IF(AJ$4=0,0,IF(COUNTIFS(実績!$W$6:$W$505,AJ$3,実績!$AC$6:$AC$505,"&lt;="&amp;$A162,実績!$AD$6:$AD$505,"&gt;"&amp;$A162,実績!$AE$6:$AE$505,"○")&gt;0,1,0))</f>
        <v/>
      </c>
      <c r="AK162">
        <f>IF(AK$4=0,0,IF(COUNTIFS(実績!$W$6:$W$505,AK$3,実績!$AC$6:$AC$505,"&lt;="&amp;$A162,実績!$AD$6:$AD$505,"&gt;"&amp;$A162,実績!$AE$6:$AE$505,"○")&gt;0,1,0))</f>
        <v/>
      </c>
      <c r="AL162">
        <f>IF(AL$4=0,0,IF(COUNTIFS(実績!$W$6:$W$505,AL$3,実績!$AC$6:$AC$505,"&lt;="&amp;$A162,実績!$AD$6:$AD$505,"&gt;"&amp;$A162,実績!$AE$6:$AE$505,"○")&gt;0,1,0))</f>
        <v/>
      </c>
      <c r="AM162">
        <f>IF(AM$4=0,0,IF(COUNTIFS(実績!$W$6:$W$505,AM$3,実績!$AC$6:$AC$505,"&lt;="&amp;$A162,実績!$AD$6:$AD$505,"&gt;"&amp;$A162,実績!$AE$6:$AE$505,"○")&gt;0,1,0))</f>
        <v/>
      </c>
      <c r="AN162">
        <f>IF(AN$4=0,0,IF(COUNTIFS(実績!$W$6:$W$505,AN$3,実績!$AC$6:$AC$505,"&lt;="&amp;$A162,実績!$AD$6:$AD$505,"&gt;"&amp;$A162,実績!$AE$6:$AE$505,"○")&gt;0,1,0))</f>
        <v/>
      </c>
      <c r="AO162">
        <f>IF(AO$4=0,0,IF(COUNTIFS(実績!$W$6:$W$505,AO$3,実績!$AC$6:$AC$505,"&lt;="&amp;$A162,実績!$AD$6:$AD$505,"&gt;"&amp;$A162,実績!$AE$6:$AE$505,"○")&gt;0,1,0))</f>
        <v/>
      </c>
      <c r="AP162">
        <f>IF(AP$4=0,0,IF(COUNTIFS(実績!$W$6:$W$505,AP$3,実績!$AC$6:$AC$505,"&lt;="&amp;$A162,実績!$AD$6:$AD$505,"&gt;"&amp;$A162,実績!$AE$6:$AE$505,"○")&gt;0,1,0))</f>
        <v/>
      </c>
      <c r="AQ162">
        <f>IF(AQ$4=0,0,IF(COUNTIFS(実績!$W$6:$W$505,AQ$3,実績!$AC$6:$AC$505,"&lt;="&amp;$A162,実績!$AD$6:$AD$505,"&gt;"&amp;$A162,実績!$AE$6:$AE$505,"○")&gt;0,1,0))</f>
        <v/>
      </c>
      <c r="AR162">
        <f>IF(AR$4=0,0,IF(COUNTIFS(実績!$W$6:$W$505,AR$3,実績!$AC$6:$AC$505,"&lt;="&amp;$A162,実績!$AD$6:$AD$505,"&gt;"&amp;$A162,実績!$AE$6:$AE$505,"○")&gt;0,1,0))</f>
        <v/>
      </c>
      <c r="AS162">
        <f>IF(AS$4=0,0,IF(COUNTIFS(実績!$W$6:$W$505,AS$3,実績!$AC$6:$AC$505,"&lt;="&amp;$A162,実績!$AD$6:$AD$505,"&gt;"&amp;$A162,実績!$AE$6:$AE$505,"○")&gt;0,1,0))</f>
        <v/>
      </c>
      <c r="AT162">
        <f>IF(AT$4=0,0,IF(COUNTIFS(実績!$W$6:$W$505,AT$3,実績!$AC$6:$AC$505,"&lt;="&amp;$A162,実績!$AD$6:$AD$505,"&gt;"&amp;$A162,実績!$AE$6:$AE$505,"○")&gt;0,1,0))</f>
        <v/>
      </c>
      <c r="AU162">
        <f>IF(AU$4=0,0,IF(COUNTIFS(実績!$W$6:$W$505,AU$3,実績!$AC$6:$AC$505,"&lt;="&amp;$A162,実績!$AD$6:$AD$505,"&gt;"&amp;$A162,実績!$AE$6:$AE$505,"○")&gt;0,1,0))</f>
        <v/>
      </c>
      <c r="AV162">
        <f>IF(AV$4=0,0,IF(COUNTIFS(実績!$W$6:$W$505,AV$3,実績!$AC$6:$AC$505,"&lt;="&amp;$A162,実績!$AD$6:$AD$505,"&gt;"&amp;$A162,実績!$AE$6:$AE$505,"○")&gt;0,1,0))</f>
        <v/>
      </c>
      <c r="AW162">
        <f>IF(AW$4=0,0,IF(COUNTIFS(実績!$W$6:$W$505,AW$3,実績!$AC$6:$AC$505,"&lt;="&amp;$A162,実績!$AD$6:$AD$505,"&gt;"&amp;$A162,実績!$AE$6:$AE$505,"○")&gt;0,1,0))</f>
        <v/>
      </c>
      <c r="AX162">
        <f>IF(AX$4=0,0,IF(COUNTIFS(実績!$W$6:$W$505,AX$3,実績!$AC$6:$AC$505,"&lt;="&amp;$A162,実績!$AD$6:$AD$505,"&gt;"&amp;$A162,実績!$AE$6:$AE$505,"○")&gt;0,1,0))</f>
        <v/>
      </c>
      <c r="AY162">
        <f>IF(AY$4=0,0,IF(COUNTIFS(実績!$W$6:$W$505,AY$3,実績!$AC$6:$AC$505,"&lt;="&amp;$A162,実績!$AD$6:$AD$505,"&gt;"&amp;$A162,実績!$AE$6:$AE$505,"○")&gt;0,1,0))</f>
        <v/>
      </c>
      <c r="AZ162">
        <f>IF(AZ$4=0,0,IF(COUNTIFS(実績!$W$6:$W$505,AZ$3,実績!$AC$6:$AC$505,"&lt;="&amp;$A162,実績!$AD$6:$AD$505,"&gt;"&amp;$A162,実績!$AE$6:$AE$505,"○")&gt;0,1,0))</f>
        <v/>
      </c>
      <c r="BA162">
        <f>IF(BA$4=0,0,IF(COUNTIFS(実績!$W$6:$W$505,BA$3,実績!$AC$6:$AC$505,"&lt;="&amp;$A162,実績!$AD$6:$AD$505,"&gt;"&amp;$A162,実績!$AE$6:$AE$505,"○")&gt;0,1,0))</f>
        <v/>
      </c>
      <c r="BB162">
        <f>IF(BB$4=0,0,IF(COUNTIFS(実績!$W$6:$W$505,BB$3,実績!$AC$6:$AC$505,"&lt;="&amp;$A162,実績!$AD$6:$AD$505,"&gt;"&amp;$A162,実績!$AE$6:$AE$505,"○")&gt;0,1,0))</f>
        <v/>
      </c>
      <c r="BC162">
        <f>IF(BC$4=0,0,IF(COUNTIFS(実績!$W$6:$W$505,BC$3,実績!$AC$6:$AC$505,"&lt;="&amp;$A162,実績!$AD$6:$AD$505,"&gt;"&amp;$A162,実績!$AE$6:$AE$505,"○")&gt;0,1,0))</f>
        <v/>
      </c>
      <c r="BD162">
        <f>IF(BD$4=0,0,IF(COUNTIFS(実績!$W$6:$W$505,BD$3,実績!$AC$6:$AC$505,"&lt;="&amp;$A162,実績!$AD$6:$AD$505,"&gt;"&amp;$A162,実績!$AE$6:$AE$505,"○")&gt;0,1,0))</f>
        <v/>
      </c>
      <c r="BE162">
        <f>IF(BE$4=0,0,IF(COUNTIFS(実績!$W$6:$W$505,BE$3,実績!$AC$6:$AC$505,"&lt;="&amp;$A162,実績!$AD$6:$AD$505,"&gt;"&amp;$A162,実績!$AE$6:$AE$505,"○")&gt;0,1,0))</f>
        <v/>
      </c>
      <c r="BF162">
        <f>IF(BF$4=0,0,IF(COUNTIFS(実績!$W$6:$W$505,BF$3,実績!$AC$6:$AC$505,"&lt;="&amp;$A162,実績!$AD$6:$AD$505,"&gt;"&amp;$A162,実績!$AE$6:$AE$505,"○")&gt;0,1,0))</f>
        <v/>
      </c>
      <c r="BG162">
        <f>IF(BG$4=0,0,IF(COUNTIFS(実績!$W$6:$W$505,BG$3,実績!$AC$6:$AC$505,"&lt;="&amp;$A162,実績!$AD$6:$AD$505,"&gt;"&amp;$A162,実績!$AE$6:$AE$505,"○")&gt;0,1,0))</f>
        <v/>
      </c>
      <c r="BH162">
        <f>IF(BH$4=0,0,IF(COUNTIFS(実績!$W$6:$W$505,BH$3,実績!$AC$6:$AC$505,"&lt;="&amp;$A162,実績!$AD$6:$AD$505,"&gt;"&amp;$A162,実績!$AE$6:$AE$505,"○")&gt;0,1,0))</f>
        <v/>
      </c>
      <c r="BI162">
        <f>IF(BI$4=0,0,IF(COUNTIFS(実績!$W$6:$W$505,BI$3,実績!$AC$6:$AC$505,"&lt;="&amp;$A162,実績!$AD$6:$AD$505,"&gt;"&amp;$A162,実績!$AE$6:$AE$505,"○")&gt;0,1,0))</f>
        <v/>
      </c>
      <c r="BJ162">
        <f>IF(BJ$4=0,0,IF(COUNTIFS(実績!$W$6:$W$505,BJ$3,実績!$AC$6:$AC$505,"&lt;="&amp;$A162,実績!$AD$6:$AD$505,"&gt;"&amp;$A162,実績!$AE$6:$AE$505,"○")&gt;0,1,0))</f>
        <v/>
      </c>
      <c r="BK162">
        <f>IF(BK$4=0,0,IF(COUNTIFS(実績!$W$6:$W$505,BK$3,実績!$AC$6:$AC$505,"&lt;="&amp;$A162,実績!$AD$6:$AD$505,"&gt;"&amp;$A162,実績!$AE$6:$AE$505,"○")&gt;0,1,0))</f>
        <v/>
      </c>
      <c r="BL162">
        <f>IF(BL$4=0,0,IF(COUNTIFS(実績!$W$6:$W$505,BL$3,実績!$AC$6:$AC$505,"&lt;="&amp;$A162,実績!$AD$6:$AD$505,"&gt;"&amp;$A162,実績!$AE$6:$AE$505,"○")&gt;0,1,0))</f>
        <v/>
      </c>
      <c r="BM162">
        <f>IF(BM$4=0,0,IF(COUNTIFS(実績!$W$6:$W$505,BM$3,実績!$AC$6:$AC$505,"&lt;="&amp;$A162,実績!$AD$6:$AD$505,"&gt;"&amp;$A162,実績!$AE$6:$AE$505,"○")&gt;0,1,0))</f>
        <v/>
      </c>
      <c r="BN162">
        <f>IF(BN$4=0,0,IF(COUNTIFS(実績!$W$6:$W$505,BN$3,実績!$AC$6:$AC$505,"&lt;="&amp;$A162,実績!$AD$6:$AD$505,"&gt;"&amp;$A162,実績!$AE$6:$AE$505,"○")&gt;0,1,0))</f>
        <v/>
      </c>
      <c r="BO162">
        <f>IF(BO$4=0,0,IF(COUNTIFS(実績!$W$6:$W$505,BO$3,実績!$AC$6:$AC$505,"&lt;="&amp;$A162,実績!$AD$6:$AD$505,"&gt;"&amp;$A162,実績!$AE$6:$AE$505,"○")&gt;0,1,0))</f>
        <v/>
      </c>
      <c r="BP162">
        <f>IF(BP$4=0,0,IF(COUNTIFS(実績!$W$6:$W$505,BP$3,実績!$AC$6:$AC$505,"&lt;="&amp;$A162,実績!$AD$6:$AD$505,"&gt;"&amp;$A162,実績!$AE$6:$AE$505,"○")&gt;0,1,0))</f>
        <v/>
      </c>
      <c r="BQ162">
        <f>IF(BQ$4=0,0,IF(COUNTIFS(実績!$W$6:$W$505,BQ$3,実績!$AC$6:$AC$505,"&lt;="&amp;$A162,実績!$AD$6:$AD$505,"&gt;"&amp;$A162,実績!$AE$6:$AE$505,"○")&gt;0,1,0))</f>
        <v/>
      </c>
      <c r="BR162">
        <f>IF(BR$4=0,0,IF(COUNTIFS(実績!$W$6:$W$505,BR$3,実績!$AC$6:$AC$505,"&lt;="&amp;$A162,実績!$AD$6:$AD$505,"&gt;"&amp;$A162,実績!$AE$6:$AE$505,"○")&gt;0,1,0))</f>
        <v/>
      </c>
      <c r="BS162">
        <f>IF(BS$4=0,0,IF(COUNTIFS(実績!$W$6:$W$505,BS$3,実績!$AC$6:$AC$505,"&lt;="&amp;$A162,実績!$AD$6:$AD$505,"&gt;"&amp;$A162,実績!$AE$6:$AE$505,"○")&gt;0,1,0))</f>
        <v/>
      </c>
      <c r="BT162">
        <f>IF(BT$4=0,0,IF(COUNTIFS(実績!$W$6:$W$505,BT$3,実績!$AC$6:$AC$505,"&lt;="&amp;$A162,実績!$AD$6:$AD$505,"&gt;"&amp;$A162,実績!$AE$6:$AE$505,"○")&gt;0,1,0))</f>
        <v/>
      </c>
      <c r="BU162">
        <f>IF(BU$4=0,0,IF(COUNTIFS(実績!$W$6:$W$505,BU$3,実績!$AC$6:$AC$505,"&lt;="&amp;$A162,実績!$AD$6:$AD$505,"&gt;"&amp;$A162,実績!$AE$6:$AE$505,"○")&gt;0,1,0))</f>
        <v/>
      </c>
      <c r="BV162">
        <f>IF(BV$4=0,0,IF(COUNTIFS(実績!$W$6:$W$505,BV$3,実績!$AC$6:$AC$505,"&lt;="&amp;$A162,実績!$AD$6:$AD$505,"&gt;"&amp;$A162,実績!$AE$6:$AE$505,"○")&gt;0,1,0))</f>
        <v/>
      </c>
      <c r="BW162">
        <f>IF(BW$4=0,0,IF(COUNTIFS(実績!$W$6:$W$505,BW$3,実績!$AC$6:$AC$505,"&lt;="&amp;$A162,実績!$AD$6:$AD$505,"&gt;"&amp;$A162,実績!$AE$6:$AE$505,"○")&gt;0,1,0))</f>
        <v/>
      </c>
      <c r="BX162">
        <f>IF(BX$4=0,0,IF(COUNTIFS(実績!$W$6:$W$505,BX$3,実績!$AC$6:$AC$505,"&lt;="&amp;$A162,実績!$AD$6:$AD$505,"&gt;"&amp;$A162,実績!$AE$6:$AE$505,"○")&gt;0,1,0))</f>
        <v/>
      </c>
      <c r="BY162">
        <f>IF(BY$4=0,0,IF(COUNTIFS(実績!$W$6:$W$505,BY$3,実績!$AC$6:$AC$505,"&lt;="&amp;$A162,実績!$AD$6:$AD$505,"&gt;"&amp;$A162,実績!$AE$6:$AE$505,"○")&gt;0,1,0))</f>
        <v/>
      </c>
      <c r="BZ162">
        <f>IF(BZ$4=0,0,IF(COUNTIFS(実績!$W$6:$W$505,BZ$3,実績!$AC$6:$AC$505,"&lt;="&amp;$A162,実績!$AD$6:$AD$505,"&gt;"&amp;$A162,実績!$AE$6:$AE$505,"○")&gt;0,1,0))</f>
        <v/>
      </c>
      <c r="CA162">
        <f>IF(CA$4=0,0,IF(COUNTIFS(実績!$W$6:$W$505,CA$3,実績!$AC$6:$AC$505,"&lt;="&amp;$A162,実績!$AD$6:$AD$505,"&gt;"&amp;$A162,実績!$AE$6:$AE$505,"○")&gt;0,1,0))</f>
        <v/>
      </c>
      <c r="CB162">
        <f>IF(CB$4=0,0,IF(COUNTIFS(実績!$W$6:$W$505,CB$3,実績!$AC$6:$AC$505,"&lt;="&amp;$A162,実績!$AD$6:$AD$505,"&gt;"&amp;$A162,実績!$AE$6:$AE$505,"○")&gt;0,1,0))</f>
        <v/>
      </c>
      <c r="CC162">
        <f>IF(CC$4=0,0,IF(COUNTIFS(実績!$W$6:$W$505,CC$3,実績!$AC$6:$AC$505,"&lt;="&amp;$A162,実績!$AD$6:$AD$505,"&gt;"&amp;$A162,実績!$AE$6:$AE$505,"○")&gt;0,1,0))</f>
        <v/>
      </c>
      <c r="CD162">
        <f>IF(CD$4=0,0,IF(COUNTIFS(実績!$W$6:$W$505,CD$3,実績!$AC$6:$AC$505,"&lt;="&amp;$A162,実績!$AD$6:$AD$505,"&gt;"&amp;$A162,実績!$AE$6:$AE$505,"○")&gt;0,1,0))</f>
        <v/>
      </c>
      <c r="CE162">
        <f>IF(CE$4=0,0,IF(COUNTIFS(実績!$W$6:$W$505,CE$3,実績!$AC$6:$AC$505,"&lt;="&amp;$A162,実績!$AD$6:$AD$505,"&gt;"&amp;$A162,実績!$AE$6:$AE$505,"○")&gt;0,1,0))</f>
        <v/>
      </c>
      <c r="CF162">
        <f>IF(CF$4=0,0,IF(COUNTIFS(実績!$W$6:$W$505,CF$3,実績!$AC$6:$AC$505,"&lt;="&amp;$A162,実績!$AD$6:$AD$505,"&gt;"&amp;$A162,実績!$AE$6:$AE$505,"○")&gt;0,1,0))</f>
        <v/>
      </c>
      <c r="CG162">
        <f>IF(CG$4=0,0,IF(COUNTIFS(実績!$W$6:$W$505,CG$3,実績!$AC$6:$AC$505,"&lt;="&amp;$A162,実績!$AD$6:$AD$505,"&gt;"&amp;$A162,実績!$AE$6:$AE$505,"○")&gt;0,1,0))</f>
        <v/>
      </c>
      <c r="CH162">
        <f>IF(CH$4=0,0,IF(COUNTIFS(実績!$W$6:$W$505,CH$3,実績!$AC$6:$AC$505,"&lt;="&amp;$A162,実績!$AD$6:$AD$505,"&gt;"&amp;$A162,実績!$AE$6:$AE$505,"○")&gt;0,1,0))</f>
        <v/>
      </c>
      <c r="CI162">
        <f>IF(CI$4=0,0,IF(COUNTIFS(実績!$W$6:$W$505,CI$3,実績!$AC$6:$AC$505,"&lt;="&amp;$A162,実績!$AD$6:$AD$505,"&gt;"&amp;$A162,実績!$AE$6:$AE$505,"○")&gt;0,1,0))</f>
        <v/>
      </c>
      <c r="CJ162">
        <f>IF(CJ$4=0,0,IF(COUNTIFS(実績!$W$6:$W$505,CJ$3,実績!$AC$6:$AC$505,"&lt;="&amp;$A162,実績!$AD$6:$AD$505,"&gt;"&amp;$A162,実績!$AE$6:$AE$505,"○")&gt;0,1,0))</f>
        <v/>
      </c>
      <c r="CK162">
        <f>IF(CK$4=0,0,IF(COUNTIFS(実績!$W$6:$W$505,CK$3,実績!$AC$6:$AC$505,"&lt;="&amp;$A162,実績!$AD$6:$AD$505,"&gt;"&amp;$A162,実績!$AE$6:$AE$505,"○")&gt;0,1,0))</f>
        <v/>
      </c>
      <c r="CL162">
        <f>IF(CL$4=0,0,IF(COUNTIFS(実績!$W$6:$W$505,CL$3,実績!$AC$6:$AC$505,"&lt;="&amp;$A162,実績!$AD$6:$AD$505,"&gt;"&amp;$A162,実績!$AE$6:$AE$505,"○")&gt;0,1,0))</f>
        <v/>
      </c>
      <c r="CM162">
        <f>IF(CM$4=0,0,IF(COUNTIFS(実績!$W$6:$W$505,CM$3,実績!$AC$6:$AC$505,"&lt;="&amp;$A162,実績!$AD$6:$AD$505,"&gt;"&amp;$A162,実績!$AE$6:$AE$505,"○")&gt;0,1,0))</f>
        <v/>
      </c>
      <c r="CN162">
        <f>IF(CN$4=0,0,IF(COUNTIFS(実績!$W$6:$W$505,CN$3,実績!$AC$6:$AC$505,"&lt;="&amp;$A162,実績!$AD$6:$AD$505,"&gt;"&amp;$A162,実績!$AE$6:$AE$505,"○")&gt;0,1,0))</f>
        <v/>
      </c>
      <c r="CO162">
        <f>IF(CO$4=0,0,IF(COUNTIFS(実績!$W$6:$W$505,CO$3,実績!$AC$6:$AC$505,"&lt;="&amp;$A162,実績!$AD$6:$AD$505,"&gt;"&amp;$A162,実績!$AE$6:$AE$505,"○")&gt;0,1,0))</f>
        <v/>
      </c>
      <c r="CP162">
        <f>IF(CP$4=0,0,IF(COUNTIFS(実績!$W$6:$W$505,CP$3,実績!$AC$6:$AC$505,"&lt;="&amp;$A162,実績!$AD$6:$AD$505,"&gt;"&amp;$A162,実績!$AE$6:$AE$505,"○")&gt;0,1,0))</f>
        <v/>
      </c>
      <c r="CQ162">
        <f>IF(CQ$4=0,0,IF(COUNTIFS(実績!$W$6:$W$505,CQ$3,実績!$AC$6:$AC$505,"&lt;="&amp;$A162,実績!$AD$6:$AD$505,"&gt;"&amp;$A162,実績!$AE$6:$AE$505,"○")&gt;0,1,0))</f>
        <v/>
      </c>
      <c r="CR162">
        <f>IF(CR$4=0,0,IF(COUNTIFS(実績!$W$6:$W$505,CR$3,実績!$AC$6:$AC$505,"&lt;="&amp;$A162,実績!$AD$6:$AD$505,"&gt;"&amp;$A162,実績!$AE$6:$AE$505,"○")&gt;0,1,0))</f>
        <v/>
      </c>
      <c r="CS162">
        <f>IF(CS$4=0,0,IF(COUNTIFS(実績!$W$6:$W$505,CS$3,実績!$AC$6:$AC$505,"&lt;="&amp;$A162,実績!$AD$6:$AD$505,"&gt;"&amp;$A162,実績!$AE$6:$AE$505,"○")&gt;0,1,0))</f>
        <v/>
      </c>
      <c r="CT162">
        <f>IF(CT$4=0,0,IF(COUNTIFS(実績!$W$6:$W$505,CT$3,実績!$AC$6:$AC$505,"&lt;="&amp;$A162,実績!$AD$6:$AD$505,"&gt;"&amp;$A162,実績!$AE$6:$AE$505,"○")&gt;0,1,0))</f>
        <v/>
      </c>
      <c r="CU162">
        <f>IF(CU$4=0,0,IF(COUNTIFS(実績!$W$6:$W$505,CU$3,実績!$AC$6:$AC$505,"&lt;="&amp;$A162,実績!$AD$6:$AD$505,"&gt;"&amp;$A162,実績!$AE$6:$AE$505,"○")&gt;0,1,0))</f>
        <v/>
      </c>
      <c r="CV162">
        <f>IF(CV$4=0,0,IF(COUNTIFS(実績!$W$6:$W$505,CV$3,実績!$AC$6:$AC$505,"&lt;="&amp;$A162,実績!$AD$6:$AD$505,"&gt;"&amp;$A162,実績!$AE$6:$AE$505,"○")&gt;0,1,0))</f>
        <v/>
      </c>
      <c r="CW162">
        <f>IF(CW$4=0,0,IF(COUNTIFS(実績!$W$6:$W$505,CW$3,実績!$AC$6:$AC$505,"&lt;="&amp;$A162,実績!$AD$6:$AD$505,"&gt;"&amp;$A162,実績!$AE$6:$AE$505,"○")&gt;0,1,0))</f>
        <v/>
      </c>
      <c r="CX162">
        <f>IF(CX$4=0,0,IF(COUNTIFS(実績!$W$6:$W$505,CX$3,実績!$AC$6:$AC$505,"&lt;="&amp;$A162,実績!$AD$6:$AD$505,"&gt;"&amp;$A162,実績!$AE$6:$AE$505,"○")&gt;0,1,0))</f>
        <v/>
      </c>
      <c r="CY162">
        <f>IF(CY$4=0,0,IF(COUNTIFS(実績!$W$6:$W$505,CY$3,実績!$AC$6:$AC$505,"&lt;="&amp;$A162,実績!$AD$6:$AD$505,"&gt;"&amp;$A162,実績!$AE$6:$AE$505,"○")&gt;0,1,0))</f>
        <v/>
      </c>
      <c r="CZ162">
        <f>IF(CZ$4=0,0,IF(COUNTIFS(実績!$W$6:$W$505,CZ$3,実績!$AC$6:$AC$505,"&lt;="&amp;$A162,実績!$AD$6:$AD$505,"&gt;"&amp;$A162,実績!$AE$6:$AE$505,"○")&gt;0,1,0))</f>
        <v/>
      </c>
      <c r="DA162">
        <f>IF(DA$4=0,0,IF(COUNTIFS(実績!$W$6:$W$505,DA$3,実績!$AC$6:$AC$505,"&lt;="&amp;$A162,実績!$AD$6:$AD$505,"&gt;"&amp;$A162,実績!$AE$6:$AE$505,"○")&gt;0,1,0))</f>
        <v/>
      </c>
      <c r="DB162">
        <f>IF(DB$4=0,0,IF(COUNTIFS(実績!$W$6:$W$505,DB$3,実績!$AC$6:$AC$505,"&lt;="&amp;$A162,実績!$AD$6:$AD$505,"&gt;"&amp;$A162,実績!$AE$6:$AE$505,"○")&gt;0,1,0))</f>
        <v/>
      </c>
      <c r="DC162">
        <f>IF(DC$4=0,0,IF(COUNTIFS(実績!$W$6:$W$505,DC$3,実績!$AC$6:$AC$505,"&lt;="&amp;$A162,実績!$AD$6:$AD$505,"&gt;"&amp;$A162,実績!$AE$6:$AE$505,"○")&gt;0,1,0))</f>
        <v/>
      </c>
      <c r="DD162">
        <f>IF(DD$4=0,0,IF(COUNTIFS(実績!$W$6:$W$505,DD$3,実績!$AC$6:$AC$505,"&lt;="&amp;$A162,実績!$AD$6:$AD$505,"&gt;"&amp;$A162,実績!$AE$6:$AE$505,"○")&gt;0,1,0))</f>
        <v/>
      </c>
      <c r="DE162">
        <f>IF(DE$4=0,0,IF(COUNTIFS(実績!$W$6:$W$505,DE$3,実績!$AC$6:$AC$505,"&lt;="&amp;$A162,実績!$AD$6:$AD$505,"&gt;"&amp;$A162,実績!$AE$6:$AE$505,"○")&gt;0,1,0))</f>
        <v/>
      </c>
      <c r="DF162">
        <f>IF(DF$4=0,0,IF(COUNTIFS(実績!$W$6:$W$505,DF$3,実績!$AC$6:$AC$505,"&lt;="&amp;$A162,実績!$AD$6:$AD$505,"&gt;"&amp;$A162,実績!$AE$6:$AE$505,"○")&gt;0,1,0))</f>
        <v/>
      </c>
      <c r="DG162">
        <f>IF(DG$4=0,0,IF(COUNTIFS(実績!$W$6:$W$505,DG$3,実績!$AC$6:$AC$505,"&lt;="&amp;$A162,実績!$AD$6:$AD$505,"&gt;"&amp;$A162,実績!$AE$6:$AE$505,"○")&gt;0,1,0))</f>
        <v/>
      </c>
      <c r="DH162">
        <f>IF(DH$4=0,0,IF(COUNTIFS(実績!$W$6:$W$505,DH$3,実績!$AC$6:$AC$505,"&lt;="&amp;$A162,実績!$AD$6:$AD$505,"&gt;"&amp;$A162,実績!$AE$6:$AE$505,"○")&gt;0,1,0))</f>
        <v/>
      </c>
      <c r="DI162">
        <f>IF(DI$4=0,0,IF(COUNTIFS(実績!$W$6:$W$505,DI$3,実績!$AC$6:$AC$505,"&lt;="&amp;$A162,実績!$AD$6:$AD$505,"&gt;"&amp;$A162,実績!$AE$6:$AE$505,"○")&gt;0,1,0))</f>
        <v/>
      </c>
      <c r="DJ162">
        <f>IF(DJ$4=0,0,IF(COUNTIFS(実績!$W$6:$W$505,DJ$3,実績!$AC$6:$AC$505,"&lt;="&amp;$A162,実績!$AD$6:$AD$505,"&gt;"&amp;$A162,実績!$AE$6:$AE$505,"○")&gt;0,1,0))</f>
        <v/>
      </c>
      <c r="DK162">
        <f>IF(DK$4=0,0,IF(COUNTIFS(実績!$W$6:$W$505,DK$3,実績!$AC$6:$AC$505,"&lt;="&amp;$A162,実績!$AD$6:$AD$505,"&gt;"&amp;$A162,実績!$AE$6:$AE$505,"○")&gt;0,1,0))</f>
        <v/>
      </c>
      <c r="DL162">
        <f>IF(DL$4=0,0,IF(COUNTIFS(実績!$W$6:$W$505,DL$3,実績!$AC$6:$AC$505,"&lt;="&amp;$A162,実績!$AD$6:$AD$505,"&gt;"&amp;$A162,実績!$AE$6:$AE$505,"○")&gt;0,1,0))</f>
        <v/>
      </c>
      <c r="DM162">
        <f>IF(DM$4=0,0,IF(COUNTIFS(実績!$W$6:$W$505,DM$3,実績!$AC$6:$AC$505,"&lt;="&amp;$A162,実績!$AD$6:$AD$505,"&gt;"&amp;$A162,実績!$AE$6:$AE$505,"○")&gt;0,1,0))</f>
        <v/>
      </c>
      <c r="DN162">
        <f>IF(DN$4=0,0,IF(COUNTIFS(実績!$W$6:$W$505,DN$3,実績!$AC$6:$AC$505,"&lt;="&amp;$A162,実績!$AD$6:$AD$505,"&gt;"&amp;$A162,実績!$AE$6:$AE$505,"○")&gt;0,1,0))</f>
        <v/>
      </c>
      <c r="DO162">
        <f>IF(DO$4=0,0,IF(COUNTIFS(実績!$W$6:$W$505,DO$3,実績!$AC$6:$AC$505,"&lt;="&amp;$A162,実績!$AD$6:$AD$505,"&gt;"&amp;$A162,実績!$AE$6:$AE$505,"○")&gt;0,1,0))</f>
        <v/>
      </c>
      <c r="DP162">
        <f>IF(DP$4=0,0,IF(COUNTIFS(実績!$W$6:$W$505,DP$3,実績!$AC$6:$AC$505,"&lt;="&amp;$A162,実績!$AD$6:$AD$505,"&gt;"&amp;$A162,実績!$AE$6:$AE$505,"○")&gt;0,1,0))</f>
        <v/>
      </c>
      <c r="DQ162">
        <f>IF(DQ$4=0,0,IF(COUNTIFS(実績!$W$6:$W$505,DQ$3,実績!$AC$6:$AC$505,"&lt;="&amp;$A162,実績!$AD$6:$AD$505,"&gt;"&amp;$A162,実績!$AE$6:$AE$505,"○")&gt;0,1,0))</f>
        <v/>
      </c>
      <c r="DR162">
        <f>IF(DR$4=0,0,IF(COUNTIFS(実績!$W$6:$W$505,DR$3,実績!$AC$6:$AC$505,"&lt;="&amp;$A162,実績!$AD$6:$AD$505,"&gt;"&amp;$A162,実績!$AE$6:$AE$505,"○")&gt;0,1,0))</f>
        <v/>
      </c>
      <c r="DS162">
        <f>SUM(C162:DR162)</f>
        <v/>
      </c>
      <c r="DT162">
        <f>SUMPRODUCT((実績!$C$6:$C$505="○")*ISNUMBER(実績!$AF$6:$AF$505)*(実績!$AF$6:$AF$505&lt;=$A162)*(実績!$AG$6:$AG$505&gt;$A162))</f>
        <v/>
      </c>
      <c r="DU162">
        <f>SUMIF($C$2:$DR$2,"製鉄曳船",C162:DR162)</f>
        <v/>
      </c>
      <c r="DV162">
        <f>SUMIF($C$2:$DR$2,"西日本海運",C162:DR162)</f>
        <v/>
      </c>
    </row>
    <row r="163">
      <c r="A163" t="n">
        <v>785</v>
      </c>
      <c r="B163" s="29">
        <f>A163/1440</f>
        <v/>
      </c>
      <c r="C163">
        <f>IF(C$4=0,0,IF(COUNTIFS(実績!$W$6:$W$505,C$3,実績!$AC$6:$AC$505,"&lt;="&amp;$A163,実績!$AD$6:$AD$505,"&gt;"&amp;$A163,実績!$AE$6:$AE$505,"○")&gt;0,1,0))</f>
        <v/>
      </c>
      <c r="D163">
        <f>IF(D$4=0,0,IF(COUNTIFS(実績!$W$6:$W$505,D$3,実績!$AC$6:$AC$505,"&lt;="&amp;$A163,実績!$AD$6:$AD$505,"&gt;"&amp;$A163,実績!$AE$6:$AE$505,"○")&gt;0,1,0))</f>
        <v/>
      </c>
      <c r="E163">
        <f>IF(E$4=0,0,IF(COUNTIFS(実績!$W$6:$W$505,E$3,実績!$AC$6:$AC$505,"&lt;="&amp;$A163,実績!$AD$6:$AD$505,"&gt;"&amp;$A163,実績!$AE$6:$AE$505,"○")&gt;0,1,0))</f>
        <v/>
      </c>
      <c r="F163">
        <f>IF(F$4=0,0,IF(COUNTIFS(実績!$W$6:$W$505,F$3,実績!$AC$6:$AC$505,"&lt;="&amp;$A163,実績!$AD$6:$AD$505,"&gt;"&amp;$A163,実績!$AE$6:$AE$505,"○")&gt;0,1,0))</f>
        <v/>
      </c>
      <c r="G163">
        <f>IF(G$4=0,0,IF(COUNTIFS(実績!$W$6:$W$505,G$3,実績!$AC$6:$AC$505,"&lt;="&amp;$A163,実績!$AD$6:$AD$505,"&gt;"&amp;$A163,実績!$AE$6:$AE$505,"○")&gt;0,1,0))</f>
        <v/>
      </c>
      <c r="H163">
        <f>IF(H$4=0,0,IF(COUNTIFS(実績!$W$6:$W$505,H$3,実績!$AC$6:$AC$505,"&lt;="&amp;$A163,実績!$AD$6:$AD$505,"&gt;"&amp;$A163,実績!$AE$6:$AE$505,"○")&gt;0,1,0))</f>
        <v/>
      </c>
      <c r="I163">
        <f>IF(I$4=0,0,IF(COUNTIFS(実績!$W$6:$W$505,I$3,実績!$AC$6:$AC$505,"&lt;="&amp;$A163,実績!$AD$6:$AD$505,"&gt;"&amp;$A163,実績!$AE$6:$AE$505,"○")&gt;0,1,0))</f>
        <v/>
      </c>
      <c r="J163">
        <f>IF(J$4=0,0,IF(COUNTIFS(実績!$W$6:$W$505,J$3,実績!$AC$6:$AC$505,"&lt;="&amp;$A163,実績!$AD$6:$AD$505,"&gt;"&amp;$A163,実績!$AE$6:$AE$505,"○")&gt;0,1,0))</f>
        <v/>
      </c>
      <c r="K163">
        <f>IF(K$4=0,0,IF(COUNTIFS(実績!$W$6:$W$505,K$3,実績!$AC$6:$AC$505,"&lt;="&amp;$A163,実績!$AD$6:$AD$505,"&gt;"&amp;$A163,実績!$AE$6:$AE$505,"○")&gt;0,1,0))</f>
        <v/>
      </c>
      <c r="L163">
        <f>IF(L$4=0,0,IF(COUNTIFS(実績!$W$6:$W$505,L$3,実績!$AC$6:$AC$505,"&lt;="&amp;$A163,実績!$AD$6:$AD$505,"&gt;"&amp;$A163,実績!$AE$6:$AE$505,"○")&gt;0,1,0))</f>
        <v/>
      </c>
      <c r="M163">
        <f>IF(M$4=0,0,IF(COUNTIFS(実績!$W$6:$W$505,M$3,実績!$AC$6:$AC$505,"&lt;="&amp;$A163,実績!$AD$6:$AD$505,"&gt;"&amp;$A163,実績!$AE$6:$AE$505,"○")&gt;0,1,0))</f>
        <v/>
      </c>
      <c r="N163">
        <f>IF(N$4=0,0,IF(COUNTIFS(実績!$W$6:$W$505,N$3,実績!$AC$6:$AC$505,"&lt;="&amp;$A163,実績!$AD$6:$AD$505,"&gt;"&amp;$A163,実績!$AE$6:$AE$505,"○")&gt;0,1,0))</f>
        <v/>
      </c>
      <c r="O163">
        <f>IF(O$4=0,0,IF(COUNTIFS(実績!$W$6:$W$505,O$3,実績!$AC$6:$AC$505,"&lt;="&amp;$A163,実績!$AD$6:$AD$505,"&gt;"&amp;$A163,実績!$AE$6:$AE$505,"○")&gt;0,1,0))</f>
        <v/>
      </c>
      <c r="P163">
        <f>IF(P$4=0,0,IF(COUNTIFS(実績!$W$6:$W$505,P$3,実績!$AC$6:$AC$505,"&lt;="&amp;$A163,実績!$AD$6:$AD$505,"&gt;"&amp;$A163,実績!$AE$6:$AE$505,"○")&gt;0,1,0))</f>
        <v/>
      </c>
      <c r="Q163">
        <f>IF(Q$4=0,0,IF(COUNTIFS(実績!$W$6:$W$505,Q$3,実績!$AC$6:$AC$505,"&lt;="&amp;$A163,実績!$AD$6:$AD$505,"&gt;"&amp;$A163,実績!$AE$6:$AE$505,"○")&gt;0,1,0))</f>
        <v/>
      </c>
      <c r="R163">
        <f>IF(R$4=0,0,IF(COUNTIFS(実績!$W$6:$W$505,R$3,実績!$AC$6:$AC$505,"&lt;="&amp;$A163,実績!$AD$6:$AD$505,"&gt;"&amp;$A163,実績!$AE$6:$AE$505,"○")&gt;0,1,0))</f>
        <v/>
      </c>
      <c r="S163">
        <f>IF(S$4=0,0,IF(COUNTIFS(実績!$W$6:$W$505,S$3,実績!$AC$6:$AC$505,"&lt;="&amp;$A163,実績!$AD$6:$AD$505,"&gt;"&amp;$A163,実績!$AE$6:$AE$505,"○")&gt;0,1,0))</f>
        <v/>
      </c>
      <c r="T163">
        <f>IF(T$4=0,0,IF(COUNTIFS(実績!$W$6:$W$505,T$3,実績!$AC$6:$AC$505,"&lt;="&amp;$A163,実績!$AD$6:$AD$505,"&gt;"&amp;$A163,実績!$AE$6:$AE$505,"○")&gt;0,1,0))</f>
        <v/>
      </c>
      <c r="U163">
        <f>IF(U$4=0,0,IF(COUNTIFS(実績!$W$6:$W$505,U$3,実績!$AC$6:$AC$505,"&lt;="&amp;$A163,実績!$AD$6:$AD$505,"&gt;"&amp;$A163,実績!$AE$6:$AE$505,"○")&gt;0,1,0))</f>
        <v/>
      </c>
      <c r="V163">
        <f>IF(V$4=0,0,IF(COUNTIFS(実績!$W$6:$W$505,V$3,実績!$AC$6:$AC$505,"&lt;="&amp;$A163,実績!$AD$6:$AD$505,"&gt;"&amp;$A163,実績!$AE$6:$AE$505,"○")&gt;0,1,0))</f>
        <v/>
      </c>
      <c r="W163">
        <f>IF(W$4=0,0,IF(COUNTIFS(実績!$W$6:$W$505,W$3,実績!$AC$6:$AC$505,"&lt;="&amp;$A163,実績!$AD$6:$AD$505,"&gt;"&amp;$A163,実績!$AE$6:$AE$505,"○")&gt;0,1,0))</f>
        <v/>
      </c>
      <c r="X163">
        <f>IF(X$4=0,0,IF(COUNTIFS(実績!$W$6:$W$505,X$3,実績!$AC$6:$AC$505,"&lt;="&amp;$A163,実績!$AD$6:$AD$505,"&gt;"&amp;$A163,実績!$AE$6:$AE$505,"○")&gt;0,1,0))</f>
        <v/>
      </c>
      <c r="Y163">
        <f>IF(Y$4=0,0,IF(COUNTIFS(実績!$W$6:$W$505,Y$3,実績!$AC$6:$AC$505,"&lt;="&amp;$A163,実績!$AD$6:$AD$505,"&gt;"&amp;$A163,実績!$AE$6:$AE$505,"○")&gt;0,1,0))</f>
        <v/>
      </c>
      <c r="Z163">
        <f>IF(Z$4=0,0,IF(COUNTIFS(実績!$W$6:$W$505,Z$3,実績!$AC$6:$AC$505,"&lt;="&amp;$A163,実績!$AD$6:$AD$505,"&gt;"&amp;$A163,実績!$AE$6:$AE$505,"○")&gt;0,1,0))</f>
        <v/>
      </c>
      <c r="AA163">
        <f>IF(AA$4=0,0,IF(COUNTIFS(実績!$W$6:$W$505,AA$3,実績!$AC$6:$AC$505,"&lt;="&amp;$A163,実績!$AD$6:$AD$505,"&gt;"&amp;$A163,実績!$AE$6:$AE$505,"○")&gt;0,1,0))</f>
        <v/>
      </c>
      <c r="AB163">
        <f>IF(AB$4=0,0,IF(COUNTIFS(実績!$W$6:$W$505,AB$3,実績!$AC$6:$AC$505,"&lt;="&amp;$A163,実績!$AD$6:$AD$505,"&gt;"&amp;$A163,実績!$AE$6:$AE$505,"○")&gt;0,1,0))</f>
        <v/>
      </c>
      <c r="AC163">
        <f>IF(AC$4=0,0,IF(COUNTIFS(実績!$W$6:$W$505,AC$3,実績!$AC$6:$AC$505,"&lt;="&amp;$A163,実績!$AD$6:$AD$505,"&gt;"&amp;$A163,実績!$AE$6:$AE$505,"○")&gt;0,1,0))</f>
        <v/>
      </c>
      <c r="AD163">
        <f>IF(AD$4=0,0,IF(COUNTIFS(実績!$W$6:$W$505,AD$3,実績!$AC$6:$AC$505,"&lt;="&amp;$A163,実績!$AD$6:$AD$505,"&gt;"&amp;$A163,実績!$AE$6:$AE$505,"○")&gt;0,1,0))</f>
        <v/>
      </c>
      <c r="AE163">
        <f>IF(AE$4=0,0,IF(COUNTIFS(実績!$W$6:$W$505,AE$3,実績!$AC$6:$AC$505,"&lt;="&amp;$A163,実績!$AD$6:$AD$505,"&gt;"&amp;$A163,実績!$AE$6:$AE$505,"○")&gt;0,1,0))</f>
        <v/>
      </c>
      <c r="AF163">
        <f>IF(AF$4=0,0,IF(COUNTIFS(実績!$W$6:$W$505,AF$3,実績!$AC$6:$AC$505,"&lt;="&amp;$A163,実績!$AD$6:$AD$505,"&gt;"&amp;$A163,実績!$AE$6:$AE$505,"○")&gt;0,1,0))</f>
        <v/>
      </c>
      <c r="AG163">
        <f>IF(AG$4=0,0,IF(COUNTIFS(実績!$W$6:$W$505,AG$3,実績!$AC$6:$AC$505,"&lt;="&amp;$A163,実績!$AD$6:$AD$505,"&gt;"&amp;$A163,実績!$AE$6:$AE$505,"○")&gt;0,1,0))</f>
        <v/>
      </c>
      <c r="AH163">
        <f>IF(AH$4=0,0,IF(COUNTIFS(実績!$W$6:$W$505,AH$3,実績!$AC$6:$AC$505,"&lt;="&amp;$A163,実績!$AD$6:$AD$505,"&gt;"&amp;$A163,実績!$AE$6:$AE$505,"○")&gt;0,1,0))</f>
        <v/>
      </c>
      <c r="AI163">
        <f>IF(AI$4=0,0,IF(COUNTIFS(実績!$W$6:$W$505,AI$3,実績!$AC$6:$AC$505,"&lt;="&amp;$A163,実績!$AD$6:$AD$505,"&gt;"&amp;$A163,実績!$AE$6:$AE$505,"○")&gt;0,1,0))</f>
        <v/>
      </c>
      <c r="AJ163">
        <f>IF(AJ$4=0,0,IF(COUNTIFS(実績!$W$6:$W$505,AJ$3,実績!$AC$6:$AC$505,"&lt;="&amp;$A163,実績!$AD$6:$AD$505,"&gt;"&amp;$A163,実績!$AE$6:$AE$505,"○")&gt;0,1,0))</f>
        <v/>
      </c>
      <c r="AK163">
        <f>IF(AK$4=0,0,IF(COUNTIFS(実績!$W$6:$W$505,AK$3,実績!$AC$6:$AC$505,"&lt;="&amp;$A163,実績!$AD$6:$AD$505,"&gt;"&amp;$A163,実績!$AE$6:$AE$505,"○")&gt;0,1,0))</f>
        <v/>
      </c>
      <c r="AL163">
        <f>IF(AL$4=0,0,IF(COUNTIFS(実績!$W$6:$W$505,AL$3,実績!$AC$6:$AC$505,"&lt;="&amp;$A163,実績!$AD$6:$AD$505,"&gt;"&amp;$A163,実績!$AE$6:$AE$505,"○")&gt;0,1,0))</f>
        <v/>
      </c>
      <c r="AM163">
        <f>IF(AM$4=0,0,IF(COUNTIFS(実績!$W$6:$W$505,AM$3,実績!$AC$6:$AC$505,"&lt;="&amp;$A163,実績!$AD$6:$AD$505,"&gt;"&amp;$A163,実績!$AE$6:$AE$505,"○")&gt;0,1,0))</f>
        <v/>
      </c>
      <c r="AN163">
        <f>IF(AN$4=0,0,IF(COUNTIFS(実績!$W$6:$W$505,AN$3,実績!$AC$6:$AC$505,"&lt;="&amp;$A163,実績!$AD$6:$AD$505,"&gt;"&amp;$A163,実績!$AE$6:$AE$505,"○")&gt;0,1,0))</f>
        <v/>
      </c>
      <c r="AO163">
        <f>IF(AO$4=0,0,IF(COUNTIFS(実績!$W$6:$W$505,AO$3,実績!$AC$6:$AC$505,"&lt;="&amp;$A163,実績!$AD$6:$AD$505,"&gt;"&amp;$A163,実績!$AE$6:$AE$505,"○")&gt;0,1,0))</f>
        <v/>
      </c>
      <c r="AP163">
        <f>IF(AP$4=0,0,IF(COUNTIFS(実績!$W$6:$W$505,AP$3,実績!$AC$6:$AC$505,"&lt;="&amp;$A163,実績!$AD$6:$AD$505,"&gt;"&amp;$A163,実績!$AE$6:$AE$505,"○")&gt;0,1,0))</f>
        <v/>
      </c>
      <c r="AQ163">
        <f>IF(AQ$4=0,0,IF(COUNTIFS(実績!$W$6:$W$505,AQ$3,実績!$AC$6:$AC$505,"&lt;="&amp;$A163,実績!$AD$6:$AD$505,"&gt;"&amp;$A163,実績!$AE$6:$AE$505,"○")&gt;0,1,0))</f>
        <v/>
      </c>
      <c r="AR163">
        <f>IF(AR$4=0,0,IF(COUNTIFS(実績!$W$6:$W$505,AR$3,実績!$AC$6:$AC$505,"&lt;="&amp;$A163,実績!$AD$6:$AD$505,"&gt;"&amp;$A163,実績!$AE$6:$AE$505,"○")&gt;0,1,0))</f>
        <v/>
      </c>
      <c r="AS163">
        <f>IF(AS$4=0,0,IF(COUNTIFS(実績!$W$6:$W$505,AS$3,実績!$AC$6:$AC$505,"&lt;="&amp;$A163,実績!$AD$6:$AD$505,"&gt;"&amp;$A163,実績!$AE$6:$AE$505,"○")&gt;0,1,0))</f>
        <v/>
      </c>
      <c r="AT163">
        <f>IF(AT$4=0,0,IF(COUNTIFS(実績!$W$6:$W$505,AT$3,実績!$AC$6:$AC$505,"&lt;="&amp;$A163,実績!$AD$6:$AD$505,"&gt;"&amp;$A163,実績!$AE$6:$AE$505,"○")&gt;0,1,0))</f>
        <v/>
      </c>
      <c r="AU163">
        <f>IF(AU$4=0,0,IF(COUNTIFS(実績!$W$6:$W$505,AU$3,実績!$AC$6:$AC$505,"&lt;="&amp;$A163,実績!$AD$6:$AD$505,"&gt;"&amp;$A163,実績!$AE$6:$AE$505,"○")&gt;0,1,0))</f>
        <v/>
      </c>
      <c r="AV163">
        <f>IF(AV$4=0,0,IF(COUNTIFS(実績!$W$6:$W$505,AV$3,実績!$AC$6:$AC$505,"&lt;="&amp;$A163,実績!$AD$6:$AD$505,"&gt;"&amp;$A163,実績!$AE$6:$AE$505,"○")&gt;0,1,0))</f>
        <v/>
      </c>
      <c r="AW163">
        <f>IF(AW$4=0,0,IF(COUNTIFS(実績!$W$6:$W$505,AW$3,実績!$AC$6:$AC$505,"&lt;="&amp;$A163,実績!$AD$6:$AD$505,"&gt;"&amp;$A163,実績!$AE$6:$AE$505,"○")&gt;0,1,0))</f>
        <v/>
      </c>
      <c r="AX163">
        <f>IF(AX$4=0,0,IF(COUNTIFS(実績!$W$6:$W$505,AX$3,実績!$AC$6:$AC$505,"&lt;="&amp;$A163,実績!$AD$6:$AD$505,"&gt;"&amp;$A163,実績!$AE$6:$AE$505,"○")&gt;0,1,0))</f>
        <v/>
      </c>
      <c r="AY163">
        <f>IF(AY$4=0,0,IF(COUNTIFS(実績!$W$6:$W$505,AY$3,実績!$AC$6:$AC$505,"&lt;="&amp;$A163,実績!$AD$6:$AD$505,"&gt;"&amp;$A163,実績!$AE$6:$AE$505,"○")&gt;0,1,0))</f>
        <v/>
      </c>
      <c r="AZ163">
        <f>IF(AZ$4=0,0,IF(COUNTIFS(実績!$W$6:$W$505,AZ$3,実績!$AC$6:$AC$505,"&lt;="&amp;$A163,実績!$AD$6:$AD$505,"&gt;"&amp;$A163,実績!$AE$6:$AE$505,"○")&gt;0,1,0))</f>
        <v/>
      </c>
      <c r="BA163">
        <f>IF(BA$4=0,0,IF(COUNTIFS(実績!$W$6:$W$505,BA$3,実績!$AC$6:$AC$505,"&lt;="&amp;$A163,実績!$AD$6:$AD$505,"&gt;"&amp;$A163,実績!$AE$6:$AE$505,"○")&gt;0,1,0))</f>
        <v/>
      </c>
      <c r="BB163">
        <f>IF(BB$4=0,0,IF(COUNTIFS(実績!$W$6:$W$505,BB$3,実績!$AC$6:$AC$505,"&lt;="&amp;$A163,実績!$AD$6:$AD$505,"&gt;"&amp;$A163,実績!$AE$6:$AE$505,"○")&gt;0,1,0))</f>
        <v/>
      </c>
      <c r="BC163">
        <f>IF(BC$4=0,0,IF(COUNTIFS(実績!$W$6:$W$505,BC$3,実績!$AC$6:$AC$505,"&lt;="&amp;$A163,実績!$AD$6:$AD$505,"&gt;"&amp;$A163,実績!$AE$6:$AE$505,"○")&gt;0,1,0))</f>
        <v/>
      </c>
      <c r="BD163">
        <f>IF(BD$4=0,0,IF(COUNTIFS(実績!$W$6:$W$505,BD$3,実績!$AC$6:$AC$505,"&lt;="&amp;$A163,実績!$AD$6:$AD$505,"&gt;"&amp;$A163,実績!$AE$6:$AE$505,"○")&gt;0,1,0))</f>
        <v/>
      </c>
      <c r="BE163">
        <f>IF(BE$4=0,0,IF(COUNTIFS(実績!$W$6:$W$505,BE$3,実績!$AC$6:$AC$505,"&lt;="&amp;$A163,実績!$AD$6:$AD$505,"&gt;"&amp;$A163,実績!$AE$6:$AE$505,"○")&gt;0,1,0))</f>
        <v/>
      </c>
      <c r="BF163">
        <f>IF(BF$4=0,0,IF(COUNTIFS(実績!$W$6:$W$505,BF$3,実績!$AC$6:$AC$505,"&lt;="&amp;$A163,実績!$AD$6:$AD$505,"&gt;"&amp;$A163,実績!$AE$6:$AE$505,"○")&gt;0,1,0))</f>
        <v/>
      </c>
      <c r="BG163">
        <f>IF(BG$4=0,0,IF(COUNTIFS(実績!$W$6:$W$505,BG$3,実績!$AC$6:$AC$505,"&lt;="&amp;$A163,実績!$AD$6:$AD$505,"&gt;"&amp;$A163,実績!$AE$6:$AE$505,"○")&gt;0,1,0))</f>
        <v/>
      </c>
      <c r="BH163">
        <f>IF(BH$4=0,0,IF(COUNTIFS(実績!$W$6:$W$505,BH$3,実績!$AC$6:$AC$505,"&lt;="&amp;$A163,実績!$AD$6:$AD$505,"&gt;"&amp;$A163,実績!$AE$6:$AE$505,"○")&gt;0,1,0))</f>
        <v/>
      </c>
      <c r="BI163">
        <f>IF(BI$4=0,0,IF(COUNTIFS(実績!$W$6:$W$505,BI$3,実績!$AC$6:$AC$505,"&lt;="&amp;$A163,実績!$AD$6:$AD$505,"&gt;"&amp;$A163,実績!$AE$6:$AE$505,"○")&gt;0,1,0))</f>
        <v/>
      </c>
      <c r="BJ163">
        <f>IF(BJ$4=0,0,IF(COUNTIFS(実績!$W$6:$W$505,BJ$3,実績!$AC$6:$AC$505,"&lt;="&amp;$A163,実績!$AD$6:$AD$505,"&gt;"&amp;$A163,実績!$AE$6:$AE$505,"○")&gt;0,1,0))</f>
        <v/>
      </c>
      <c r="BK163">
        <f>IF(BK$4=0,0,IF(COUNTIFS(実績!$W$6:$W$505,BK$3,実績!$AC$6:$AC$505,"&lt;="&amp;$A163,実績!$AD$6:$AD$505,"&gt;"&amp;$A163,実績!$AE$6:$AE$505,"○")&gt;0,1,0))</f>
        <v/>
      </c>
      <c r="BL163">
        <f>IF(BL$4=0,0,IF(COUNTIFS(実績!$W$6:$W$505,BL$3,実績!$AC$6:$AC$505,"&lt;="&amp;$A163,実績!$AD$6:$AD$505,"&gt;"&amp;$A163,実績!$AE$6:$AE$505,"○")&gt;0,1,0))</f>
        <v/>
      </c>
      <c r="BM163">
        <f>IF(BM$4=0,0,IF(COUNTIFS(実績!$W$6:$W$505,BM$3,実績!$AC$6:$AC$505,"&lt;="&amp;$A163,実績!$AD$6:$AD$505,"&gt;"&amp;$A163,実績!$AE$6:$AE$505,"○")&gt;0,1,0))</f>
        <v/>
      </c>
      <c r="BN163">
        <f>IF(BN$4=0,0,IF(COUNTIFS(実績!$W$6:$W$505,BN$3,実績!$AC$6:$AC$505,"&lt;="&amp;$A163,実績!$AD$6:$AD$505,"&gt;"&amp;$A163,実績!$AE$6:$AE$505,"○")&gt;0,1,0))</f>
        <v/>
      </c>
      <c r="BO163">
        <f>IF(BO$4=0,0,IF(COUNTIFS(実績!$W$6:$W$505,BO$3,実績!$AC$6:$AC$505,"&lt;="&amp;$A163,実績!$AD$6:$AD$505,"&gt;"&amp;$A163,実績!$AE$6:$AE$505,"○")&gt;0,1,0))</f>
        <v/>
      </c>
      <c r="BP163">
        <f>IF(BP$4=0,0,IF(COUNTIFS(実績!$W$6:$W$505,BP$3,実績!$AC$6:$AC$505,"&lt;="&amp;$A163,実績!$AD$6:$AD$505,"&gt;"&amp;$A163,実績!$AE$6:$AE$505,"○")&gt;0,1,0))</f>
        <v/>
      </c>
      <c r="BQ163">
        <f>IF(BQ$4=0,0,IF(COUNTIFS(実績!$W$6:$W$505,BQ$3,実績!$AC$6:$AC$505,"&lt;="&amp;$A163,実績!$AD$6:$AD$505,"&gt;"&amp;$A163,実績!$AE$6:$AE$505,"○")&gt;0,1,0))</f>
        <v/>
      </c>
      <c r="BR163">
        <f>IF(BR$4=0,0,IF(COUNTIFS(実績!$W$6:$W$505,BR$3,実績!$AC$6:$AC$505,"&lt;="&amp;$A163,実績!$AD$6:$AD$505,"&gt;"&amp;$A163,実績!$AE$6:$AE$505,"○")&gt;0,1,0))</f>
        <v/>
      </c>
      <c r="BS163">
        <f>IF(BS$4=0,0,IF(COUNTIFS(実績!$W$6:$W$505,BS$3,実績!$AC$6:$AC$505,"&lt;="&amp;$A163,実績!$AD$6:$AD$505,"&gt;"&amp;$A163,実績!$AE$6:$AE$505,"○")&gt;0,1,0))</f>
        <v/>
      </c>
      <c r="BT163">
        <f>IF(BT$4=0,0,IF(COUNTIFS(実績!$W$6:$W$505,BT$3,実績!$AC$6:$AC$505,"&lt;="&amp;$A163,実績!$AD$6:$AD$505,"&gt;"&amp;$A163,実績!$AE$6:$AE$505,"○")&gt;0,1,0))</f>
        <v/>
      </c>
      <c r="BU163">
        <f>IF(BU$4=0,0,IF(COUNTIFS(実績!$W$6:$W$505,BU$3,実績!$AC$6:$AC$505,"&lt;="&amp;$A163,実績!$AD$6:$AD$505,"&gt;"&amp;$A163,実績!$AE$6:$AE$505,"○")&gt;0,1,0))</f>
        <v/>
      </c>
      <c r="BV163">
        <f>IF(BV$4=0,0,IF(COUNTIFS(実績!$W$6:$W$505,BV$3,実績!$AC$6:$AC$505,"&lt;="&amp;$A163,実績!$AD$6:$AD$505,"&gt;"&amp;$A163,実績!$AE$6:$AE$505,"○")&gt;0,1,0))</f>
        <v/>
      </c>
      <c r="BW163">
        <f>IF(BW$4=0,0,IF(COUNTIFS(実績!$W$6:$W$505,BW$3,実績!$AC$6:$AC$505,"&lt;="&amp;$A163,実績!$AD$6:$AD$505,"&gt;"&amp;$A163,実績!$AE$6:$AE$505,"○")&gt;0,1,0))</f>
        <v/>
      </c>
      <c r="BX163">
        <f>IF(BX$4=0,0,IF(COUNTIFS(実績!$W$6:$W$505,BX$3,実績!$AC$6:$AC$505,"&lt;="&amp;$A163,実績!$AD$6:$AD$505,"&gt;"&amp;$A163,実績!$AE$6:$AE$505,"○")&gt;0,1,0))</f>
        <v/>
      </c>
      <c r="BY163">
        <f>IF(BY$4=0,0,IF(COUNTIFS(実績!$W$6:$W$505,BY$3,実績!$AC$6:$AC$505,"&lt;="&amp;$A163,実績!$AD$6:$AD$505,"&gt;"&amp;$A163,実績!$AE$6:$AE$505,"○")&gt;0,1,0))</f>
        <v/>
      </c>
      <c r="BZ163">
        <f>IF(BZ$4=0,0,IF(COUNTIFS(実績!$W$6:$W$505,BZ$3,実績!$AC$6:$AC$505,"&lt;="&amp;$A163,実績!$AD$6:$AD$505,"&gt;"&amp;$A163,実績!$AE$6:$AE$505,"○")&gt;0,1,0))</f>
        <v/>
      </c>
      <c r="CA163">
        <f>IF(CA$4=0,0,IF(COUNTIFS(実績!$W$6:$W$505,CA$3,実績!$AC$6:$AC$505,"&lt;="&amp;$A163,実績!$AD$6:$AD$505,"&gt;"&amp;$A163,実績!$AE$6:$AE$505,"○")&gt;0,1,0))</f>
        <v/>
      </c>
      <c r="CB163">
        <f>IF(CB$4=0,0,IF(COUNTIFS(実績!$W$6:$W$505,CB$3,実績!$AC$6:$AC$505,"&lt;="&amp;$A163,実績!$AD$6:$AD$505,"&gt;"&amp;$A163,実績!$AE$6:$AE$505,"○")&gt;0,1,0))</f>
        <v/>
      </c>
      <c r="CC163">
        <f>IF(CC$4=0,0,IF(COUNTIFS(実績!$W$6:$W$505,CC$3,実績!$AC$6:$AC$505,"&lt;="&amp;$A163,実績!$AD$6:$AD$505,"&gt;"&amp;$A163,実績!$AE$6:$AE$505,"○")&gt;0,1,0))</f>
        <v/>
      </c>
      <c r="CD163">
        <f>IF(CD$4=0,0,IF(COUNTIFS(実績!$W$6:$W$505,CD$3,実績!$AC$6:$AC$505,"&lt;="&amp;$A163,実績!$AD$6:$AD$505,"&gt;"&amp;$A163,実績!$AE$6:$AE$505,"○")&gt;0,1,0))</f>
        <v/>
      </c>
      <c r="CE163">
        <f>IF(CE$4=0,0,IF(COUNTIFS(実績!$W$6:$W$505,CE$3,実績!$AC$6:$AC$505,"&lt;="&amp;$A163,実績!$AD$6:$AD$505,"&gt;"&amp;$A163,実績!$AE$6:$AE$505,"○")&gt;0,1,0))</f>
        <v/>
      </c>
      <c r="CF163">
        <f>IF(CF$4=0,0,IF(COUNTIFS(実績!$W$6:$W$505,CF$3,実績!$AC$6:$AC$505,"&lt;="&amp;$A163,実績!$AD$6:$AD$505,"&gt;"&amp;$A163,実績!$AE$6:$AE$505,"○")&gt;0,1,0))</f>
        <v/>
      </c>
      <c r="CG163">
        <f>IF(CG$4=0,0,IF(COUNTIFS(実績!$W$6:$W$505,CG$3,実績!$AC$6:$AC$505,"&lt;="&amp;$A163,実績!$AD$6:$AD$505,"&gt;"&amp;$A163,実績!$AE$6:$AE$505,"○")&gt;0,1,0))</f>
        <v/>
      </c>
      <c r="CH163">
        <f>IF(CH$4=0,0,IF(COUNTIFS(実績!$W$6:$W$505,CH$3,実績!$AC$6:$AC$505,"&lt;="&amp;$A163,実績!$AD$6:$AD$505,"&gt;"&amp;$A163,実績!$AE$6:$AE$505,"○")&gt;0,1,0))</f>
        <v/>
      </c>
      <c r="CI163">
        <f>IF(CI$4=0,0,IF(COUNTIFS(実績!$W$6:$W$505,CI$3,実績!$AC$6:$AC$505,"&lt;="&amp;$A163,実績!$AD$6:$AD$505,"&gt;"&amp;$A163,実績!$AE$6:$AE$505,"○")&gt;0,1,0))</f>
        <v/>
      </c>
      <c r="CJ163">
        <f>IF(CJ$4=0,0,IF(COUNTIFS(実績!$W$6:$W$505,CJ$3,実績!$AC$6:$AC$505,"&lt;="&amp;$A163,実績!$AD$6:$AD$505,"&gt;"&amp;$A163,実績!$AE$6:$AE$505,"○")&gt;0,1,0))</f>
        <v/>
      </c>
      <c r="CK163">
        <f>IF(CK$4=0,0,IF(COUNTIFS(実績!$W$6:$W$505,CK$3,実績!$AC$6:$AC$505,"&lt;="&amp;$A163,実績!$AD$6:$AD$505,"&gt;"&amp;$A163,実績!$AE$6:$AE$505,"○")&gt;0,1,0))</f>
        <v/>
      </c>
      <c r="CL163">
        <f>IF(CL$4=0,0,IF(COUNTIFS(実績!$W$6:$W$505,CL$3,実績!$AC$6:$AC$505,"&lt;="&amp;$A163,実績!$AD$6:$AD$505,"&gt;"&amp;$A163,実績!$AE$6:$AE$505,"○")&gt;0,1,0))</f>
        <v/>
      </c>
      <c r="CM163">
        <f>IF(CM$4=0,0,IF(COUNTIFS(実績!$W$6:$W$505,CM$3,実績!$AC$6:$AC$505,"&lt;="&amp;$A163,実績!$AD$6:$AD$505,"&gt;"&amp;$A163,実績!$AE$6:$AE$505,"○")&gt;0,1,0))</f>
        <v/>
      </c>
      <c r="CN163">
        <f>IF(CN$4=0,0,IF(COUNTIFS(実績!$W$6:$W$505,CN$3,実績!$AC$6:$AC$505,"&lt;="&amp;$A163,実績!$AD$6:$AD$505,"&gt;"&amp;$A163,実績!$AE$6:$AE$505,"○")&gt;0,1,0))</f>
        <v/>
      </c>
      <c r="CO163">
        <f>IF(CO$4=0,0,IF(COUNTIFS(実績!$W$6:$W$505,CO$3,実績!$AC$6:$AC$505,"&lt;="&amp;$A163,実績!$AD$6:$AD$505,"&gt;"&amp;$A163,実績!$AE$6:$AE$505,"○")&gt;0,1,0))</f>
        <v/>
      </c>
      <c r="CP163">
        <f>IF(CP$4=0,0,IF(COUNTIFS(実績!$W$6:$W$505,CP$3,実績!$AC$6:$AC$505,"&lt;="&amp;$A163,実績!$AD$6:$AD$505,"&gt;"&amp;$A163,実績!$AE$6:$AE$505,"○")&gt;0,1,0))</f>
        <v/>
      </c>
      <c r="CQ163">
        <f>IF(CQ$4=0,0,IF(COUNTIFS(実績!$W$6:$W$505,CQ$3,実績!$AC$6:$AC$505,"&lt;="&amp;$A163,実績!$AD$6:$AD$505,"&gt;"&amp;$A163,実績!$AE$6:$AE$505,"○")&gt;0,1,0))</f>
        <v/>
      </c>
      <c r="CR163">
        <f>IF(CR$4=0,0,IF(COUNTIFS(実績!$W$6:$W$505,CR$3,実績!$AC$6:$AC$505,"&lt;="&amp;$A163,実績!$AD$6:$AD$505,"&gt;"&amp;$A163,実績!$AE$6:$AE$505,"○")&gt;0,1,0))</f>
        <v/>
      </c>
      <c r="CS163">
        <f>IF(CS$4=0,0,IF(COUNTIFS(実績!$W$6:$W$505,CS$3,実績!$AC$6:$AC$505,"&lt;="&amp;$A163,実績!$AD$6:$AD$505,"&gt;"&amp;$A163,実績!$AE$6:$AE$505,"○")&gt;0,1,0))</f>
        <v/>
      </c>
      <c r="CT163">
        <f>IF(CT$4=0,0,IF(COUNTIFS(実績!$W$6:$W$505,CT$3,実績!$AC$6:$AC$505,"&lt;="&amp;$A163,実績!$AD$6:$AD$505,"&gt;"&amp;$A163,実績!$AE$6:$AE$505,"○")&gt;0,1,0))</f>
        <v/>
      </c>
      <c r="CU163">
        <f>IF(CU$4=0,0,IF(COUNTIFS(実績!$W$6:$W$505,CU$3,実績!$AC$6:$AC$505,"&lt;="&amp;$A163,実績!$AD$6:$AD$505,"&gt;"&amp;$A163,実績!$AE$6:$AE$505,"○")&gt;0,1,0))</f>
        <v/>
      </c>
      <c r="CV163">
        <f>IF(CV$4=0,0,IF(COUNTIFS(実績!$W$6:$W$505,CV$3,実績!$AC$6:$AC$505,"&lt;="&amp;$A163,実績!$AD$6:$AD$505,"&gt;"&amp;$A163,実績!$AE$6:$AE$505,"○")&gt;0,1,0))</f>
        <v/>
      </c>
      <c r="CW163">
        <f>IF(CW$4=0,0,IF(COUNTIFS(実績!$W$6:$W$505,CW$3,実績!$AC$6:$AC$505,"&lt;="&amp;$A163,実績!$AD$6:$AD$505,"&gt;"&amp;$A163,実績!$AE$6:$AE$505,"○")&gt;0,1,0))</f>
        <v/>
      </c>
      <c r="CX163">
        <f>IF(CX$4=0,0,IF(COUNTIFS(実績!$W$6:$W$505,CX$3,実績!$AC$6:$AC$505,"&lt;="&amp;$A163,実績!$AD$6:$AD$505,"&gt;"&amp;$A163,実績!$AE$6:$AE$505,"○")&gt;0,1,0))</f>
        <v/>
      </c>
      <c r="CY163">
        <f>IF(CY$4=0,0,IF(COUNTIFS(実績!$W$6:$W$505,CY$3,実績!$AC$6:$AC$505,"&lt;="&amp;$A163,実績!$AD$6:$AD$505,"&gt;"&amp;$A163,実績!$AE$6:$AE$505,"○")&gt;0,1,0))</f>
        <v/>
      </c>
      <c r="CZ163">
        <f>IF(CZ$4=0,0,IF(COUNTIFS(実績!$W$6:$W$505,CZ$3,実績!$AC$6:$AC$505,"&lt;="&amp;$A163,実績!$AD$6:$AD$505,"&gt;"&amp;$A163,実績!$AE$6:$AE$505,"○")&gt;0,1,0))</f>
        <v/>
      </c>
      <c r="DA163">
        <f>IF(DA$4=0,0,IF(COUNTIFS(実績!$W$6:$W$505,DA$3,実績!$AC$6:$AC$505,"&lt;="&amp;$A163,実績!$AD$6:$AD$505,"&gt;"&amp;$A163,実績!$AE$6:$AE$505,"○")&gt;0,1,0))</f>
        <v/>
      </c>
      <c r="DB163">
        <f>IF(DB$4=0,0,IF(COUNTIFS(実績!$W$6:$W$505,DB$3,実績!$AC$6:$AC$505,"&lt;="&amp;$A163,実績!$AD$6:$AD$505,"&gt;"&amp;$A163,実績!$AE$6:$AE$505,"○")&gt;0,1,0))</f>
        <v/>
      </c>
      <c r="DC163">
        <f>IF(DC$4=0,0,IF(COUNTIFS(実績!$W$6:$W$505,DC$3,実績!$AC$6:$AC$505,"&lt;="&amp;$A163,実績!$AD$6:$AD$505,"&gt;"&amp;$A163,実績!$AE$6:$AE$505,"○")&gt;0,1,0))</f>
        <v/>
      </c>
      <c r="DD163">
        <f>IF(DD$4=0,0,IF(COUNTIFS(実績!$W$6:$W$505,DD$3,実績!$AC$6:$AC$505,"&lt;="&amp;$A163,実績!$AD$6:$AD$505,"&gt;"&amp;$A163,実績!$AE$6:$AE$505,"○")&gt;0,1,0))</f>
        <v/>
      </c>
      <c r="DE163">
        <f>IF(DE$4=0,0,IF(COUNTIFS(実績!$W$6:$W$505,DE$3,実績!$AC$6:$AC$505,"&lt;="&amp;$A163,実績!$AD$6:$AD$505,"&gt;"&amp;$A163,実績!$AE$6:$AE$505,"○")&gt;0,1,0))</f>
        <v/>
      </c>
      <c r="DF163">
        <f>IF(DF$4=0,0,IF(COUNTIFS(実績!$W$6:$W$505,DF$3,実績!$AC$6:$AC$505,"&lt;="&amp;$A163,実績!$AD$6:$AD$505,"&gt;"&amp;$A163,実績!$AE$6:$AE$505,"○")&gt;0,1,0))</f>
        <v/>
      </c>
      <c r="DG163">
        <f>IF(DG$4=0,0,IF(COUNTIFS(実績!$W$6:$W$505,DG$3,実績!$AC$6:$AC$505,"&lt;="&amp;$A163,実績!$AD$6:$AD$505,"&gt;"&amp;$A163,実績!$AE$6:$AE$505,"○")&gt;0,1,0))</f>
        <v/>
      </c>
      <c r="DH163">
        <f>IF(DH$4=0,0,IF(COUNTIFS(実績!$W$6:$W$505,DH$3,実績!$AC$6:$AC$505,"&lt;="&amp;$A163,実績!$AD$6:$AD$505,"&gt;"&amp;$A163,実績!$AE$6:$AE$505,"○")&gt;0,1,0))</f>
        <v/>
      </c>
      <c r="DI163">
        <f>IF(DI$4=0,0,IF(COUNTIFS(実績!$W$6:$W$505,DI$3,実績!$AC$6:$AC$505,"&lt;="&amp;$A163,実績!$AD$6:$AD$505,"&gt;"&amp;$A163,実績!$AE$6:$AE$505,"○")&gt;0,1,0))</f>
        <v/>
      </c>
      <c r="DJ163">
        <f>IF(DJ$4=0,0,IF(COUNTIFS(実績!$W$6:$W$505,DJ$3,実績!$AC$6:$AC$505,"&lt;="&amp;$A163,実績!$AD$6:$AD$505,"&gt;"&amp;$A163,実績!$AE$6:$AE$505,"○")&gt;0,1,0))</f>
        <v/>
      </c>
      <c r="DK163">
        <f>IF(DK$4=0,0,IF(COUNTIFS(実績!$W$6:$W$505,DK$3,実績!$AC$6:$AC$505,"&lt;="&amp;$A163,実績!$AD$6:$AD$505,"&gt;"&amp;$A163,実績!$AE$6:$AE$505,"○")&gt;0,1,0))</f>
        <v/>
      </c>
      <c r="DL163">
        <f>IF(DL$4=0,0,IF(COUNTIFS(実績!$W$6:$W$505,DL$3,実績!$AC$6:$AC$505,"&lt;="&amp;$A163,実績!$AD$6:$AD$505,"&gt;"&amp;$A163,実績!$AE$6:$AE$505,"○")&gt;0,1,0))</f>
        <v/>
      </c>
      <c r="DM163">
        <f>IF(DM$4=0,0,IF(COUNTIFS(実績!$W$6:$W$505,DM$3,実績!$AC$6:$AC$505,"&lt;="&amp;$A163,実績!$AD$6:$AD$505,"&gt;"&amp;$A163,実績!$AE$6:$AE$505,"○")&gt;0,1,0))</f>
        <v/>
      </c>
      <c r="DN163">
        <f>IF(DN$4=0,0,IF(COUNTIFS(実績!$W$6:$W$505,DN$3,実績!$AC$6:$AC$505,"&lt;="&amp;$A163,実績!$AD$6:$AD$505,"&gt;"&amp;$A163,実績!$AE$6:$AE$505,"○")&gt;0,1,0))</f>
        <v/>
      </c>
      <c r="DO163">
        <f>IF(DO$4=0,0,IF(COUNTIFS(実績!$W$6:$W$505,DO$3,実績!$AC$6:$AC$505,"&lt;="&amp;$A163,実績!$AD$6:$AD$505,"&gt;"&amp;$A163,実績!$AE$6:$AE$505,"○")&gt;0,1,0))</f>
        <v/>
      </c>
      <c r="DP163">
        <f>IF(DP$4=0,0,IF(COUNTIFS(実績!$W$6:$W$505,DP$3,実績!$AC$6:$AC$505,"&lt;="&amp;$A163,実績!$AD$6:$AD$505,"&gt;"&amp;$A163,実績!$AE$6:$AE$505,"○")&gt;0,1,0))</f>
        <v/>
      </c>
      <c r="DQ163">
        <f>IF(DQ$4=0,0,IF(COUNTIFS(実績!$W$6:$W$505,DQ$3,実績!$AC$6:$AC$505,"&lt;="&amp;$A163,実績!$AD$6:$AD$505,"&gt;"&amp;$A163,実績!$AE$6:$AE$505,"○")&gt;0,1,0))</f>
        <v/>
      </c>
      <c r="DR163">
        <f>IF(DR$4=0,0,IF(COUNTIFS(実績!$W$6:$W$505,DR$3,実績!$AC$6:$AC$505,"&lt;="&amp;$A163,実績!$AD$6:$AD$505,"&gt;"&amp;$A163,実績!$AE$6:$AE$505,"○")&gt;0,1,0))</f>
        <v/>
      </c>
      <c r="DS163">
        <f>SUM(C163:DR163)</f>
        <v/>
      </c>
      <c r="DT163">
        <f>SUMPRODUCT((実績!$C$6:$C$505="○")*ISNUMBER(実績!$AF$6:$AF$505)*(実績!$AF$6:$AF$505&lt;=$A163)*(実績!$AG$6:$AG$505&gt;$A163))</f>
        <v/>
      </c>
      <c r="DU163">
        <f>SUMIF($C$2:$DR$2,"製鉄曳船",C163:DR163)</f>
        <v/>
      </c>
      <c r="DV163">
        <f>SUMIF($C$2:$DR$2,"西日本海運",C163:DR163)</f>
        <v/>
      </c>
    </row>
    <row r="164">
      <c r="A164" t="n">
        <v>790</v>
      </c>
      <c r="B164" s="29">
        <f>A164/1440</f>
        <v/>
      </c>
      <c r="C164">
        <f>IF(C$4=0,0,IF(COUNTIFS(実績!$W$6:$W$505,C$3,実績!$AC$6:$AC$505,"&lt;="&amp;$A164,実績!$AD$6:$AD$505,"&gt;"&amp;$A164,実績!$AE$6:$AE$505,"○")&gt;0,1,0))</f>
        <v/>
      </c>
      <c r="D164">
        <f>IF(D$4=0,0,IF(COUNTIFS(実績!$W$6:$W$505,D$3,実績!$AC$6:$AC$505,"&lt;="&amp;$A164,実績!$AD$6:$AD$505,"&gt;"&amp;$A164,実績!$AE$6:$AE$505,"○")&gt;0,1,0))</f>
        <v/>
      </c>
      <c r="E164">
        <f>IF(E$4=0,0,IF(COUNTIFS(実績!$W$6:$W$505,E$3,実績!$AC$6:$AC$505,"&lt;="&amp;$A164,実績!$AD$6:$AD$505,"&gt;"&amp;$A164,実績!$AE$6:$AE$505,"○")&gt;0,1,0))</f>
        <v/>
      </c>
      <c r="F164">
        <f>IF(F$4=0,0,IF(COUNTIFS(実績!$W$6:$W$505,F$3,実績!$AC$6:$AC$505,"&lt;="&amp;$A164,実績!$AD$6:$AD$505,"&gt;"&amp;$A164,実績!$AE$6:$AE$505,"○")&gt;0,1,0))</f>
        <v/>
      </c>
      <c r="G164">
        <f>IF(G$4=0,0,IF(COUNTIFS(実績!$W$6:$W$505,G$3,実績!$AC$6:$AC$505,"&lt;="&amp;$A164,実績!$AD$6:$AD$505,"&gt;"&amp;$A164,実績!$AE$6:$AE$505,"○")&gt;0,1,0))</f>
        <v/>
      </c>
      <c r="H164">
        <f>IF(H$4=0,0,IF(COUNTIFS(実績!$W$6:$W$505,H$3,実績!$AC$6:$AC$505,"&lt;="&amp;$A164,実績!$AD$6:$AD$505,"&gt;"&amp;$A164,実績!$AE$6:$AE$505,"○")&gt;0,1,0))</f>
        <v/>
      </c>
      <c r="I164">
        <f>IF(I$4=0,0,IF(COUNTIFS(実績!$W$6:$W$505,I$3,実績!$AC$6:$AC$505,"&lt;="&amp;$A164,実績!$AD$6:$AD$505,"&gt;"&amp;$A164,実績!$AE$6:$AE$505,"○")&gt;0,1,0))</f>
        <v/>
      </c>
      <c r="J164">
        <f>IF(J$4=0,0,IF(COUNTIFS(実績!$W$6:$W$505,J$3,実績!$AC$6:$AC$505,"&lt;="&amp;$A164,実績!$AD$6:$AD$505,"&gt;"&amp;$A164,実績!$AE$6:$AE$505,"○")&gt;0,1,0))</f>
        <v/>
      </c>
      <c r="K164">
        <f>IF(K$4=0,0,IF(COUNTIFS(実績!$W$6:$W$505,K$3,実績!$AC$6:$AC$505,"&lt;="&amp;$A164,実績!$AD$6:$AD$505,"&gt;"&amp;$A164,実績!$AE$6:$AE$505,"○")&gt;0,1,0))</f>
        <v/>
      </c>
      <c r="L164">
        <f>IF(L$4=0,0,IF(COUNTIFS(実績!$W$6:$W$505,L$3,実績!$AC$6:$AC$505,"&lt;="&amp;$A164,実績!$AD$6:$AD$505,"&gt;"&amp;$A164,実績!$AE$6:$AE$505,"○")&gt;0,1,0))</f>
        <v/>
      </c>
      <c r="M164">
        <f>IF(M$4=0,0,IF(COUNTIFS(実績!$W$6:$W$505,M$3,実績!$AC$6:$AC$505,"&lt;="&amp;$A164,実績!$AD$6:$AD$505,"&gt;"&amp;$A164,実績!$AE$6:$AE$505,"○")&gt;0,1,0))</f>
        <v/>
      </c>
      <c r="N164">
        <f>IF(N$4=0,0,IF(COUNTIFS(実績!$W$6:$W$505,N$3,実績!$AC$6:$AC$505,"&lt;="&amp;$A164,実績!$AD$6:$AD$505,"&gt;"&amp;$A164,実績!$AE$6:$AE$505,"○")&gt;0,1,0))</f>
        <v/>
      </c>
      <c r="O164">
        <f>IF(O$4=0,0,IF(COUNTIFS(実績!$W$6:$W$505,O$3,実績!$AC$6:$AC$505,"&lt;="&amp;$A164,実績!$AD$6:$AD$505,"&gt;"&amp;$A164,実績!$AE$6:$AE$505,"○")&gt;0,1,0))</f>
        <v/>
      </c>
      <c r="P164">
        <f>IF(P$4=0,0,IF(COUNTIFS(実績!$W$6:$W$505,P$3,実績!$AC$6:$AC$505,"&lt;="&amp;$A164,実績!$AD$6:$AD$505,"&gt;"&amp;$A164,実績!$AE$6:$AE$505,"○")&gt;0,1,0))</f>
        <v/>
      </c>
      <c r="Q164">
        <f>IF(Q$4=0,0,IF(COUNTIFS(実績!$W$6:$W$505,Q$3,実績!$AC$6:$AC$505,"&lt;="&amp;$A164,実績!$AD$6:$AD$505,"&gt;"&amp;$A164,実績!$AE$6:$AE$505,"○")&gt;0,1,0))</f>
        <v/>
      </c>
      <c r="R164">
        <f>IF(R$4=0,0,IF(COUNTIFS(実績!$W$6:$W$505,R$3,実績!$AC$6:$AC$505,"&lt;="&amp;$A164,実績!$AD$6:$AD$505,"&gt;"&amp;$A164,実績!$AE$6:$AE$505,"○")&gt;0,1,0))</f>
        <v/>
      </c>
      <c r="S164">
        <f>IF(S$4=0,0,IF(COUNTIFS(実績!$W$6:$W$505,S$3,実績!$AC$6:$AC$505,"&lt;="&amp;$A164,実績!$AD$6:$AD$505,"&gt;"&amp;$A164,実績!$AE$6:$AE$505,"○")&gt;0,1,0))</f>
        <v/>
      </c>
      <c r="T164">
        <f>IF(T$4=0,0,IF(COUNTIFS(実績!$W$6:$W$505,T$3,実績!$AC$6:$AC$505,"&lt;="&amp;$A164,実績!$AD$6:$AD$505,"&gt;"&amp;$A164,実績!$AE$6:$AE$505,"○")&gt;0,1,0))</f>
        <v/>
      </c>
      <c r="U164">
        <f>IF(U$4=0,0,IF(COUNTIFS(実績!$W$6:$W$505,U$3,実績!$AC$6:$AC$505,"&lt;="&amp;$A164,実績!$AD$6:$AD$505,"&gt;"&amp;$A164,実績!$AE$6:$AE$505,"○")&gt;0,1,0))</f>
        <v/>
      </c>
      <c r="V164">
        <f>IF(V$4=0,0,IF(COUNTIFS(実績!$W$6:$W$505,V$3,実績!$AC$6:$AC$505,"&lt;="&amp;$A164,実績!$AD$6:$AD$505,"&gt;"&amp;$A164,実績!$AE$6:$AE$505,"○")&gt;0,1,0))</f>
        <v/>
      </c>
      <c r="W164">
        <f>IF(W$4=0,0,IF(COUNTIFS(実績!$W$6:$W$505,W$3,実績!$AC$6:$AC$505,"&lt;="&amp;$A164,実績!$AD$6:$AD$505,"&gt;"&amp;$A164,実績!$AE$6:$AE$505,"○")&gt;0,1,0))</f>
        <v/>
      </c>
      <c r="X164">
        <f>IF(X$4=0,0,IF(COUNTIFS(実績!$W$6:$W$505,X$3,実績!$AC$6:$AC$505,"&lt;="&amp;$A164,実績!$AD$6:$AD$505,"&gt;"&amp;$A164,実績!$AE$6:$AE$505,"○")&gt;0,1,0))</f>
        <v/>
      </c>
      <c r="Y164">
        <f>IF(Y$4=0,0,IF(COUNTIFS(実績!$W$6:$W$505,Y$3,実績!$AC$6:$AC$505,"&lt;="&amp;$A164,実績!$AD$6:$AD$505,"&gt;"&amp;$A164,実績!$AE$6:$AE$505,"○")&gt;0,1,0))</f>
        <v/>
      </c>
      <c r="Z164">
        <f>IF(Z$4=0,0,IF(COUNTIFS(実績!$W$6:$W$505,Z$3,実績!$AC$6:$AC$505,"&lt;="&amp;$A164,実績!$AD$6:$AD$505,"&gt;"&amp;$A164,実績!$AE$6:$AE$505,"○")&gt;0,1,0))</f>
        <v/>
      </c>
      <c r="AA164">
        <f>IF(AA$4=0,0,IF(COUNTIFS(実績!$W$6:$W$505,AA$3,実績!$AC$6:$AC$505,"&lt;="&amp;$A164,実績!$AD$6:$AD$505,"&gt;"&amp;$A164,実績!$AE$6:$AE$505,"○")&gt;0,1,0))</f>
        <v/>
      </c>
      <c r="AB164">
        <f>IF(AB$4=0,0,IF(COUNTIFS(実績!$W$6:$W$505,AB$3,実績!$AC$6:$AC$505,"&lt;="&amp;$A164,実績!$AD$6:$AD$505,"&gt;"&amp;$A164,実績!$AE$6:$AE$505,"○")&gt;0,1,0))</f>
        <v/>
      </c>
      <c r="AC164">
        <f>IF(AC$4=0,0,IF(COUNTIFS(実績!$W$6:$W$505,AC$3,実績!$AC$6:$AC$505,"&lt;="&amp;$A164,実績!$AD$6:$AD$505,"&gt;"&amp;$A164,実績!$AE$6:$AE$505,"○")&gt;0,1,0))</f>
        <v/>
      </c>
      <c r="AD164">
        <f>IF(AD$4=0,0,IF(COUNTIFS(実績!$W$6:$W$505,AD$3,実績!$AC$6:$AC$505,"&lt;="&amp;$A164,実績!$AD$6:$AD$505,"&gt;"&amp;$A164,実績!$AE$6:$AE$505,"○")&gt;0,1,0))</f>
        <v/>
      </c>
      <c r="AE164">
        <f>IF(AE$4=0,0,IF(COUNTIFS(実績!$W$6:$W$505,AE$3,実績!$AC$6:$AC$505,"&lt;="&amp;$A164,実績!$AD$6:$AD$505,"&gt;"&amp;$A164,実績!$AE$6:$AE$505,"○")&gt;0,1,0))</f>
        <v/>
      </c>
      <c r="AF164">
        <f>IF(AF$4=0,0,IF(COUNTIFS(実績!$W$6:$W$505,AF$3,実績!$AC$6:$AC$505,"&lt;="&amp;$A164,実績!$AD$6:$AD$505,"&gt;"&amp;$A164,実績!$AE$6:$AE$505,"○")&gt;0,1,0))</f>
        <v/>
      </c>
      <c r="AG164">
        <f>IF(AG$4=0,0,IF(COUNTIFS(実績!$W$6:$W$505,AG$3,実績!$AC$6:$AC$505,"&lt;="&amp;$A164,実績!$AD$6:$AD$505,"&gt;"&amp;$A164,実績!$AE$6:$AE$505,"○")&gt;0,1,0))</f>
        <v/>
      </c>
      <c r="AH164">
        <f>IF(AH$4=0,0,IF(COUNTIFS(実績!$W$6:$W$505,AH$3,実績!$AC$6:$AC$505,"&lt;="&amp;$A164,実績!$AD$6:$AD$505,"&gt;"&amp;$A164,実績!$AE$6:$AE$505,"○")&gt;0,1,0))</f>
        <v/>
      </c>
      <c r="AI164">
        <f>IF(AI$4=0,0,IF(COUNTIFS(実績!$W$6:$W$505,AI$3,実績!$AC$6:$AC$505,"&lt;="&amp;$A164,実績!$AD$6:$AD$505,"&gt;"&amp;$A164,実績!$AE$6:$AE$505,"○")&gt;0,1,0))</f>
        <v/>
      </c>
      <c r="AJ164">
        <f>IF(AJ$4=0,0,IF(COUNTIFS(実績!$W$6:$W$505,AJ$3,実績!$AC$6:$AC$505,"&lt;="&amp;$A164,実績!$AD$6:$AD$505,"&gt;"&amp;$A164,実績!$AE$6:$AE$505,"○")&gt;0,1,0))</f>
        <v/>
      </c>
      <c r="AK164">
        <f>IF(AK$4=0,0,IF(COUNTIFS(実績!$W$6:$W$505,AK$3,実績!$AC$6:$AC$505,"&lt;="&amp;$A164,実績!$AD$6:$AD$505,"&gt;"&amp;$A164,実績!$AE$6:$AE$505,"○")&gt;0,1,0))</f>
        <v/>
      </c>
      <c r="AL164">
        <f>IF(AL$4=0,0,IF(COUNTIFS(実績!$W$6:$W$505,AL$3,実績!$AC$6:$AC$505,"&lt;="&amp;$A164,実績!$AD$6:$AD$505,"&gt;"&amp;$A164,実績!$AE$6:$AE$505,"○")&gt;0,1,0))</f>
        <v/>
      </c>
      <c r="AM164">
        <f>IF(AM$4=0,0,IF(COUNTIFS(実績!$W$6:$W$505,AM$3,実績!$AC$6:$AC$505,"&lt;="&amp;$A164,実績!$AD$6:$AD$505,"&gt;"&amp;$A164,実績!$AE$6:$AE$505,"○")&gt;0,1,0))</f>
        <v/>
      </c>
      <c r="AN164">
        <f>IF(AN$4=0,0,IF(COUNTIFS(実績!$W$6:$W$505,AN$3,実績!$AC$6:$AC$505,"&lt;="&amp;$A164,実績!$AD$6:$AD$505,"&gt;"&amp;$A164,実績!$AE$6:$AE$505,"○")&gt;0,1,0))</f>
        <v/>
      </c>
      <c r="AO164">
        <f>IF(AO$4=0,0,IF(COUNTIFS(実績!$W$6:$W$505,AO$3,実績!$AC$6:$AC$505,"&lt;="&amp;$A164,実績!$AD$6:$AD$505,"&gt;"&amp;$A164,実績!$AE$6:$AE$505,"○")&gt;0,1,0))</f>
        <v/>
      </c>
      <c r="AP164">
        <f>IF(AP$4=0,0,IF(COUNTIFS(実績!$W$6:$W$505,AP$3,実績!$AC$6:$AC$505,"&lt;="&amp;$A164,実績!$AD$6:$AD$505,"&gt;"&amp;$A164,実績!$AE$6:$AE$505,"○")&gt;0,1,0))</f>
        <v/>
      </c>
      <c r="AQ164">
        <f>IF(AQ$4=0,0,IF(COUNTIFS(実績!$W$6:$W$505,AQ$3,実績!$AC$6:$AC$505,"&lt;="&amp;$A164,実績!$AD$6:$AD$505,"&gt;"&amp;$A164,実績!$AE$6:$AE$505,"○")&gt;0,1,0))</f>
        <v/>
      </c>
      <c r="AR164">
        <f>IF(AR$4=0,0,IF(COUNTIFS(実績!$W$6:$W$505,AR$3,実績!$AC$6:$AC$505,"&lt;="&amp;$A164,実績!$AD$6:$AD$505,"&gt;"&amp;$A164,実績!$AE$6:$AE$505,"○")&gt;0,1,0))</f>
        <v/>
      </c>
      <c r="AS164">
        <f>IF(AS$4=0,0,IF(COUNTIFS(実績!$W$6:$W$505,AS$3,実績!$AC$6:$AC$505,"&lt;="&amp;$A164,実績!$AD$6:$AD$505,"&gt;"&amp;$A164,実績!$AE$6:$AE$505,"○")&gt;0,1,0))</f>
        <v/>
      </c>
      <c r="AT164">
        <f>IF(AT$4=0,0,IF(COUNTIFS(実績!$W$6:$W$505,AT$3,実績!$AC$6:$AC$505,"&lt;="&amp;$A164,実績!$AD$6:$AD$505,"&gt;"&amp;$A164,実績!$AE$6:$AE$505,"○")&gt;0,1,0))</f>
        <v/>
      </c>
      <c r="AU164">
        <f>IF(AU$4=0,0,IF(COUNTIFS(実績!$W$6:$W$505,AU$3,実績!$AC$6:$AC$505,"&lt;="&amp;$A164,実績!$AD$6:$AD$505,"&gt;"&amp;$A164,実績!$AE$6:$AE$505,"○")&gt;0,1,0))</f>
        <v/>
      </c>
      <c r="AV164">
        <f>IF(AV$4=0,0,IF(COUNTIFS(実績!$W$6:$W$505,AV$3,実績!$AC$6:$AC$505,"&lt;="&amp;$A164,実績!$AD$6:$AD$505,"&gt;"&amp;$A164,実績!$AE$6:$AE$505,"○")&gt;0,1,0))</f>
        <v/>
      </c>
      <c r="AW164">
        <f>IF(AW$4=0,0,IF(COUNTIFS(実績!$W$6:$W$505,AW$3,実績!$AC$6:$AC$505,"&lt;="&amp;$A164,実績!$AD$6:$AD$505,"&gt;"&amp;$A164,実績!$AE$6:$AE$505,"○")&gt;0,1,0))</f>
        <v/>
      </c>
      <c r="AX164">
        <f>IF(AX$4=0,0,IF(COUNTIFS(実績!$W$6:$W$505,AX$3,実績!$AC$6:$AC$505,"&lt;="&amp;$A164,実績!$AD$6:$AD$505,"&gt;"&amp;$A164,実績!$AE$6:$AE$505,"○")&gt;0,1,0))</f>
        <v/>
      </c>
      <c r="AY164">
        <f>IF(AY$4=0,0,IF(COUNTIFS(実績!$W$6:$W$505,AY$3,実績!$AC$6:$AC$505,"&lt;="&amp;$A164,実績!$AD$6:$AD$505,"&gt;"&amp;$A164,実績!$AE$6:$AE$505,"○")&gt;0,1,0))</f>
        <v/>
      </c>
      <c r="AZ164">
        <f>IF(AZ$4=0,0,IF(COUNTIFS(実績!$W$6:$W$505,AZ$3,実績!$AC$6:$AC$505,"&lt;="&amp;$A164,実績!$AD$6:$AD$505,"&gt;"&amp;$A164,実績!$AE$6:$AE$505,"○")&gt;0,1,0))</f>
        <v/>
      </c>
      <c r="BA164">
        <f>IF(BA$4=0,0,IF(COUNTIFS(実績!$W$6:$W$505,BA$3,実績!$AC$6:$AC$505,"&lt;="&amp;$A164,実績!$AD$6:$AD$505,"&gt;"&amp;$A164,実績!$AE$6:$AE$505,"○")&gt;0,1,0))</f>
        <v/>
      </c>
      <c r="BB164">
        <f>IF(BB$4=0,0,IF(COUNTIFS(実績!$W$6:$W$505,BB$3,実績!$AC$6:$AC$505,"&lt;="&amp;$A164,実績!$AD$6:$AD$505,"&gt;"&amp;$A164,実績!$AE$6:$AE$505,"○")&gt;0,1,0))</f>
        <v/>
      </c>
      <c r="BC164">
        <f>IF(BC$4=0,0,IF(COUNTIFS(実績!$W$6:$W$505,BC$3,実績!$AC$6:$AC$505,"&lt;="&amp;$A164,実績!$AD$6:$AD$505,"&gt;"&amp;$A164,実績!$AE$6:$AE$505,"○")&gt;0,1,0))</f>
        <v/>
      </c>
      <c r="BD164">
        <f>IF(BD$4=0,0,IF(COUNTIFS(実績!$W$6:$W$505,BD$3,実績!$AC$6:$AC$505,"&lt;="&amp;$A164,実績!$AD$6:$AD$505,"&gt;"&amp;$A164,実績!$AE$6:$AE$505,"○")&gt;0,1,0))</f>
        <v/>
      </c>
      <c r="BE164">
        <f>IF(BE$4=0,0,IF(COUNTIFS(実績!$W$6:$W$505,BE$3,実績!$AC$6:$AC$505,"&lt;="&amp;$A164,実績!$AD$6:$AD$505,"&gt;"&amp;$A164,実績!$AE$6:$AE$505,"○")&gt;0,1,0))</f>
        <v/>
      </c>
      <c r="BF164">
        <f>IF(BF$4=0,0,IF(COUNTIFS(実績!$W$6:$W$505,BF$3,実績!$AC$6:$AC$505,"&lt;="&amp;$A164,実績!$AD$6:$AD$505,"&gt;"&amp;$A164,実績!$AE$6:$AE$505,"○")&gt;0,1,0))</f>
        <v/>
      </c>
      <c r="BG164">
        <f>IF(BG$4=0,0,IF(COUNTIFS(実績!$W$6:$W$505,BG$3,実績!$AC$6:$AC$505,"&lt;="&amp;$A164,実績!$AD$6:$AD$505,"&gt;"&amp;$A164,実績!$AE$6:$AE$505,"○")&gt;0,1,0))</f>
        <v/>
      </c>
      <c r="BH164">
        <f>IF(BH$4=0,0,IF(COUNTIFS(実績!$W$6:$W$505,BH$3,実績!$AC$6:$AC$505,"&lt;="&amp;$A164,実績!$AD$6:$AD$505,"&gt;"&amp;$A164,実績!$AE$6:$AE$505,"○")&gt;0,1,0))</f>
        <v/>
      </c>
      <c r="BI164">
        <f>IF(BI$4=0,0,IF(COUNTIFS(実績!$W$6:$W$505,BI$3,実績!$AC$6:$AC$505,"&lt;="&amp;$A164,実績!$AD$6:$AD$505,"&gt;"&amp;$A164,実績!$AE$6:$AE$505,"○")&gt;0,1,0))</f>
        <v/>
      </c>
      <c r="BJ164">
        <f>IF(BJ$4=0,0,IF(COUNTIFS(実績!$W$6:$W$505,BJ$3,実績!$AC$6:$AC$505,"&lt;="&amp;$A164,実績!$AD$6:$AD$505,"&gt;"&amp;$A164,実績!$AE$6:$AE$505,"○")&gt;0,1,0))</f>
        <v/>
      </c>
      <c r="BK164">
        <f>IF(BK$4=0,0,IF(COUNTIFS(実績!$W$6:$W$505,BK$3,実績!$AC$6:$AC$505,"&lt;="&amp;$A164,実績!$AD$6:$AD$505,"&gt;"&amp;$A164,実績!$AE$6:$AE$505,"○")&gt;0,1,0))</f>
        <v/>
      </c>
      <c r="BL164">
        <f>IF(BL$4=0,0,IF(COUNTIFS(実績!$W$6:$W$505,BL$3,実績!$AC$6:$AC$505,"&lt;="&amp;$A164,実績!$AD$6:$AD$505,"&gt;"&amp;$A164,実績!$AE$6:$AE$505,"○")&gt;0,1,0))</f>
        <v/>
      </c>
      <c r="BM164">
        <f>IF(BM$4=0,0,IF(COUNTIFS(実績!$W$6:$W$505,BM$3,実績!$AC$6:$AC$505,"&lt;="&amp;$A164,実績!$AD$6:$AD$505,"&gt;"&amp;$A164,実績!$AE$6:$AE$505,"○")&gt;0,1,0))</f>
        <v/>
      </c>
      <c r="BN164">
        <f>IF(BN$4=0,0,IF(COUNTIFS(実績!$W$6:$W$505,BN$3,実績!$AC$6:$AC$505,"&lt;="&amp;$A164,実績!$AD$6:$AD$505,"&gt;"&amp;$A164,実績!$AE$6:$AE$505,"○")&gt;0,1,0))</f>
        <v/>
      </c>
      <c r="BO164">
        <f>IF(BO$4=0,0,IF(COUNTIFS(実績!$W$6:$W$505,BO$3,実績!$AC$6:$AC$505,"&lt;="&amp;$A164,実績!$AD$6:$AD$505,"&gt;"&amp;$A164,実績!$AE$6:$AE$505,"○")&gt;0,1,0))</f>
        <v/>
      </c>
      <c r="BP164">
        <f>IF(BP$4=0,0,IF(COUNTIFS(実績!$W$6:$W$505,BP$3,実績!$AC$6:$AC$505,"&lt;="&amp;$A164,実績!$AD$6:$AD$505,"&gt;"&amp;$A164,実績!$AE$6:$AE$505,"○")&gt;0,1,0))</f>
        <v/>
      </c>
      <c r="BQ164">
        <f>IF(BQ$4=0,0,IF(COUNTIFS(実績!$W$6:$W$505,BQ$3,実績!$AC$6:$AC$505,"&lt;="&amp;$A164,実績!$AD$6:$AD$505,"&gt;"&amp;$A164,実績!$AE$6:$AE$505,"○")&gt;0,1,0))</f>
        <v/>
      </c>
      <c r="BR164">
        <f>IF(BR$4=0,0,IF(COUNTIFS(実績!$W$6:$W$505,BR$3,実績!$AC$6:$AC$505,"&lt;="&amp;$A164,実績!$AD$6:$AD$505,"&gt;"&amp;$A164,実績!$AE$6:$AE$505,"○")&gt;0,1,0))</f>
        <v/>
      </c>
      <c r="BS164">
        <f>IF(BS$4=0,0,IF(COUNTIFS(実績!$W$6:$W$505,BS$3,実績!$AC$6:$AC$505,"&lt;="&amp;$A164,実績!$AD$6:$AD$505,"&gt;"&amp;$A164,実績!$AE$6:$AE$505,"○")&gt;0,1,0))</f>
        <v/>
      </c>
      <c r="BT164">
        <f>IF(BT$4=0,0,IF(COUNTIFS(実績!$W$6:$W$505,BT$3,実績!$AC$6:$AC$505,"&lt;="&amp;$A164,実績!$AD$6:$AD$505,"&gt;"&amp;$A164,実績!$AE$6:$AE$505,"○")&gt;0,1,0))</f>
        <v/>
      </c>
      <c r="BU164">
        <f>IF(BU$4=0,0,IF(COUNTIFS(実績!$W$6:$W$505,BU$3,実績!$AC$6:$AC$505,"&lt;="&amp;$A164,実績!$AD$6:$AD$505,"&gt;"&amp;$A164,実績!$AE$6:$AE$505,"○")&gt;0,1,0))</f>
        <v/>
      </c>
      <c r="BV164">
        <f>IF(BV$4=0,0,IF(COUNTIFS(実績!$W$6:$W$505,BV$3,実績!$AC$6:$AC$505,"&lt;="&amp;$A164,実績!$AD$6:$AD$505,"&gt;"&amp;$A164,実績!$AE$6:$AE$505,"○")&gt;0,1,0))</f>
        <v/>
      </c>
      <c r="BW164">
        <f>IF(BW$4=0,0,IF(COUNTIFS(実績!$W$6:$W$505,BW$3,実績!$AC$6:$AC$505,"&lt;="&amp;$A164,実績!$AD$6:$AD$505,"&gt;"&amp;$A164,実績!$AE$6:$AE$505,"○")&gt;0,1,0))</f>
        <v/>
      </c>
      <c r="BX164">
        <f>IF(BX$4=0,0,IF(COUNTIFS(実績!$W$6:$W$505,BX$3,実績!$AC$6:$AC$505,"&lt;="&amp;$A164,実績!$AD$6:$AD$505,"&gt;"&amp;$A164,実績!$AE$6:$AE$505,"○")&gt;0,1,0))</f>
        <v/>
      </c>
      <c r="BY164">
        <f>IF(BY$4=0,0,IF(COUNTIFS(実績!$W$6:$W$505,BY$3,実績!$AC$6:$AC$505,"&lt;="&amp;$A164,実績!$AD$6:$AD$505,"&gt;"&amp;$A164,実績!$AE$6:$AE$505,"○")&gt;0,1,0))</f>
        <v/>
      </c>
      <c r="BZ164">
        <f>IF(BZ$4=0,0,IF(COUNTIFS(実績!$W$6:$W$505,BZ$3,実績!$AC$6:$AC$505,"&lt;="&amp;$A164,実績!$AD$6:$AD$505,"&gt;"&amp;$A164,実績!$AE$6:$AE$505,"○")&gt;0,1,0))</f>
        <v/>
      </c>
      <c r="CA164">
        <f>IF(CA$4=0,0,IF(COUNTIFS(実績!$W$6:$W$505,CA$3,実績!$AC$6:$AC$505,"&lt;="&amp;$A164,実績!$AD$6:$AD$505,"&gt;"&amp;$A164,実績!$AE$6:$AE$505,"○")&gt;0,1,0))</f>
        <v/>
      </c>
      <c r="CB164">
        <f>IF(CB$4=0,0,IF(COUNTIFS(実績!$W$6:$W$505,CB$3,実績!$AC$6:$AC$505,"&lt;="&amp;$A164,実績!$AD$6:$AD$505,"&gt;"&amp;$A164,実績!$AE$6:$AE$505,"○")&gt;0,1,0))</f>
        <v/>
      </c>
      <c r="CC164">
        <f>IF(CC$4=0,0,IF(COUNTIFS(実績!$W$6:$W$505,CC$3,実績!$AC$6:$AC$505,"&lt;="&amp;$A164,実績!$AD$6:$AD$505,"&gt;"&amp;$A164,実績!$AE$6:$AE$505,"○")&gt;0,1,0))</f>
        <v/>
      </c>
      <c r="CD164">
        <f>IF(CD$4=0,0,IF(COUNTIFS(実績!$W$6:$W$505,CD$3,実績!$AC$6:$AC$505,"&lt;="&amp;$A164,実績!$AD$6:$AD$505,"&gt;"&amp;$A164,実績!$AE$6:$AE$505,"○")&gt;0,1,0))</f>
        <v/>
      </c>
      <c r="CE164">
        <f>IF(CE$4=0,0,IF(COUNTIFS(実績!$W$6:$W$505,CE$3,実績!$AC$6:$AC$505,"&lt;="&amp;$A164,実績!$AD$6:$AD$505,"&gt;"&amp;$A164,実績!$AE$6:$AE$505,"○")&gt;0,1,0))</f>
        <v/>
      </c>
      <c r="CF164">
        <f>IF(CF$4=0,0,IF(COUNTIFS(実績!$W$6:$W$505,CF$3,実績!$AC$6:$AC$505,"&lt;="&amp;$A164,実績!$AD$6:$AD$505,"&gt;"&amp;$A164,実績!$AE$6:$AE$505,"○")&gt;0,1,0))</f>
        <v/>
      </c>
      <c r="CG164">
        <f>IF(CG$4=0,0,IF(COUNTIFS(実績!$W$6:$W$505,CG$3,実績!$AC$6:$AC$505,"&lt;="&amp;$A164,実績!$AD$6:$AD$505,"&gt;"&amp;$A164,実績!$AE$6:$AE$505,"○")&gt;0,1,0))</f>
        <v/>
      </c>
      <c r="CH164">
        <f>IF(CH$4=0,0,IF(COUNTIFS(実績!$W$6:$W$505,CH$3,実績!$AC$6:$AC$505,"&lt;="&amp;$A164,実績!$AD$6:$AD$505,"&gt;"&amp;$A164,実績!$AE$6:$AE$505,"○")&gt;0,1,0))</f>
        <v/>
      </c>
      <c r="CI164">
        <f>IF(CI$4=0,0,IF(COUNTIFS(実績!$W$6:$W$505,CI$3,実績!$AC$6:$AC$505,"&lt;="&amp;$A164,実績!$AD$6:$AD$505,"&gt;"&amp;$A164,実績!$AE$6:$AE$505,"○")&gt;0,1,0))</f>
        <v/>
      </c>
      <c r="CJ164">
        <f>IF(CJ$4=0,0,IF(COUNTIFS(実績!$W$6:$W$505,CJ$3,実績!$AC$6:$AC$505,"&lt;="&amp;$A164,実績!$AD$6:$AD$505,"&gt;"&amp;$A164,実績!$AE$6:$AE$505,"○")&gt;0,1,0))</f>
        <v/>
      </c>
      <c r="CK164">
        <f>IF(CK$4=0,0,IF(COUNTIFS(実績!$W$6:$W$505,CK$3,実績!$AC$6:$AC$505,"&lt;="&amp;$A164,実績!$AD$6:$AD$505,"&gt;"&amp;$A164,実績!$AE$6:$AE$505,"○")&gt;0,1,0))</f>
        <v/>
      </c>
      <c r="CL164">
        <f>IF(CL$4=0,0,IF(COUNTIFS(実績!$W$6:$W$505,CL$3,実績!$AC$6:$AC$505,"&lt;="&amp;$A164,実績!$AD$6:$AD$505,"&gt;"&amp;$A164,実績!$AE$6:$AE$505,"○")&gt;0,1,0))</f>
        <v/>
      </c>
      <c r="CM164">
        <f>IF(CM$4=0,0,IF(COUNTIFS(実績!$W$6:$W$505,CM$3,実績!$AC$6:$AC$505,"&lt;="&amp;$A164,実績!$AD$6:$AD$505,"&gt;"&amp;$A164,実績!$AE$6:$AE$505,"○")&gt;0,1,0))</f>
        <v/>
      </c>
      <c r="CN164">
        <f>IF(CN$4=0,0,IF(COUNTIFS(実績!$W$6:$W$505,CN$3,実績!$AC$6:$AC$505,"&lt;="&amp;$A164,実績!$AD$6:$AD$505,"&gt;"&amp;$A164,実績!$AE$6:$AE$505,"○")&gt;0,1,0))</f>
        <v/>
      </c>
      <c r="CO164">
        <f>IF(CO$4=0,0,IF(COUNTIFS(実績!$W$6:$W$505,CO$3,実績!$AC$6:$AC$505,"&lt;="&amp;$A164,実績!$AD$6:$AD$505,"&gt;"&amp;$A164,実績!$AE$6:$AE$505,"○")&gt;0,1,0))</f>
        <v/>
      </c>
      <c r="CP164">
        <f>IF(CP$4=0,0,IF(COUNTIFS(実績!$W$6:$W$505,CP$3,実績!$AC$6:$AC$505,"&lt;="&amp;$A164,実績!$AD$6:$AD$505,"&gt;"&amp;$A164,実績!$AE$6:$AE$505,"○")&gt;0,1,0))</f>
        <v/>
      </c>
      <c r="CQ164">
        <f>IF(CQ$4=0,0,IF(COUNTIFS(実績!$W$6:$W$505,CQ$3,実績!$AC$6:$AC$505,"&lt;="&amp;$A164,実績!$AD$6:$AD$505,"&gt;"&amp;$A164,実績!$AE$6:$AE$505,"○")&gt;0,1,0))</f>
        <v/>
      </c>
      <c r="CR164">
        <f>IF(CR$4=0,0,IF(COUNTIFS(実績!$W$6:$W$505,CR$3,実績!$AC$6:$AC$505,"&lt;="&amp;$A164,実績!$AD$6:$AD$505,"&gt;"&amp;$A164,実績!$AE$6:$AE$505,"○")&gt;0,1,0))</f>
        <v/>
      </c>
      <c r="CS164">
        <f>IF(CS$4=0,0,IF(COUNTIFS(実績!$W$6:$W$505,CS$3,実績!$AC$6:$AC$505,"&lt;="&amp;$A164,実績!$AD$6:$AD$505,"&gt;"&amp;$A164,実績!$AE$6:$AE$505,"○")&gt;0,1,0))</f>
        <v/>
      </c>
      <c r="CT164">
        <f>IF(CT$4=0,0,IF(COUNTIFS(実績!$W$6:$W$505,CT$3,実績!$AC$6:$AC$505,"&lt;="&amp;$A164,実績!$AD$6:$AD$505,"&gt;"&amp;$A164,実績!$AE$6:$AE$505,"○")&gt;0,1,0))</f>
        <v/>
      </c>
      <c r="CU164">
        <f>IF(CU$4=0,0,IF(COUNTIFS(実績!$W$6:$W$505,CU$3,実績!$AC$6:$AC$505,"&lt;="&amp;$A164,実績!$AD$6:$AD$505,"&gt;"&amp;$A164,実績!$AE$6:$AE$505,"○")&gt;0,1,0))</f>
        <v/>
      </c>
      <c r="CV164">
        <f>IF(CV$4=0,0,IF(COUNTIFS(実績!$W$6:$W$505,CV$3,実績!$AC$6:$AC$505,"&lt;="&amp;$A164,実績!$AD$6:$AD$505,"&gt;"&amp;$A164,実績!$AE$6:$AE$505,"○")&gt;0,1,0))</f>
        <v/>
      </c>
      <c r="CW164">
        <f>IF(CW$4=0,0,IF(COUNTIFS(実績!$W$6:$W$505,CW$3,実績!$AC$6:$AC$505,"&lt;="&amp;$A164,実績!$AD$6:$AD$505,"&gt;"&amp;$A164,実績!$AE$6:$AE$505,"○")&gt;0,1,0))</f>
        <v/>
      </c>
      <c r="CX164">
        <f>IF(CX$4=0,0,IF(COUNTIFS(実績!$W$6:$W$505,CX$3,実績!$AC$6:$AC$505,"&lt;="&amp;$A164,実績!$AD$6:$AD$505,"&gt;"&amp;$A164,実績!$AE$6:$AE$505,"○")&gt;0,1,0))</f>
        <v/>
      </c>
      <c r="CY164">
        <f>IF(CY$4=0,0,IF(COUNTIFS(実績!$W$6:$W$505,CY$3,実績!$AC$6:$AC$505,"&lt;="&amp;$A164,実績!$AD$6:$AD$505,"&gt;"&amp;$A164,実績!$AE$6:$AE$505,"○")&gt;0,1,0))</f>
        <v/>
      </c>
      <c r="CZ164">
        <f>IF(CZ$4=0,0,IF(COUNTIFS(実績!$W$6:$W$505,CZ$3,実績!$AC$6:$AC$505,"&lt;="&amp;$A164,実績!$AD$6:$AD$505,"&gt;"&amp;$A164,実績!$AE$6:$AE$505,"○")&gt;0,1,0))</f>
        <v/>
      </c>
      <c r="DA164">
        <f>IF(DA$4=0,0,IF(COUNTIFS(実績!$W$6:$W$505,DA$3,実績!$AC$6:$AC$505,"&lt;="&amp;$A164,実績!$AD$6:$AD$505,"&gt;"&amp;$A164,実績!$AE$6:$AE$505,"○")&gt;0,1,0))</f>
        <v/>
      </c>
      <c r="DB164">
        <f>IF(DB$4=0,0,IF(COUNTIFS(実績!$W$6:$W$505,DB$3,実績!$AC$6:$AC$505,"&lt;="&amp;$A164,実績!$AD$6:$AD$505,"&gt;"&amp;$A164,実績!$AE$6:$AE$505,"○")&gt;0,1,0))</f>
        <v/>
      </c>
      <c r="DC164">
        <f>IF(DC$4=0,0,IF(COUNTIFS(実績!$W$6:$W$505,DC$3,実績!$AC$6:$AC$505,"&lt;="&amp;$A164,実績!$AD$6:$AD$505,"&gt;"&amp;$A164,実績!$AE$6:$AE$505,"○")&gt;0,1,0))</f>
        <v/>
      </c>
      <c r="DD164">
        <f>IF(DD$4=0,0,IF(COUNTIFS(実績!$W$6:$W$505,DD$3,実績!$AC$6:$AC$505,"&lt;="&amp;$A164,実績!$AD$6:$AD$505,"&gt;"&amp;$A164,実績!$AE$6:$AE$505,"○")&gt;0,1,0))</f>
        <v/>
      </c>
      <c r="DE164">
        <f>IF(DE$4=0,0,IF(COUNTIFS(実績!$W$6:$W$505,DE$3,実績!$AC$6:$AC$505,"&lt;="&amp;$A164,実績!$AD$6:$AD$505,"&gt;"&amp;$A164,実績!$AE$6:$AE$505,"○")&gt;0,1,0))</f>
        <v/>
      </c>
      <c r="DF164">
        <f>IF(DF$4=0,0,IF(COUNTIFS(実績!$W$6:$W$505,DF$3,実績!$AC$6:$AC$505,"&lt;="&amp;$A164,実績!$AD$6:$AD$505,"&gt;"&amp;$A164,実績!$AE$6:$AE$505,"○")&gt;0,1,0))</f>
        <v/>
      </c>
      <c r="DG164">
        <f>IF(DG$4=0,0,IF(COUNTIFS(実績!$W$6:$W$505,DG$3,実績!$AC$6:$AC$505,"&lt;="&amp;$A164,実績!$AD$6:$AD$505,"&gt;"&amp;$A164,実績!$AE$6:$AE$505,"○")&gt;0,1,0))</f>
        <v/>
      </c>
      <c r="DH164">
        <f>IF(DH$4=0,0,IF(COUNTIFS(実績!$W$6:$W$505,DH$3,実績!$AC$6:$AC$505,"&lt;="&amp;$A164,実績!$AD$6:$AD$505,"&gt;"&amp;$A164,実績!$AE$6:$AE$505,"○")&gt;0,1,0))</f>
        <v/>
      </c>
      <c r="DI164">
        <f>IF(DI$4=0,0,IF(COUNTIFS(実績!$W$6:$W$505,DI$3,実績!$AC$6:$AC$505,"&lt;="&amp;$A164,実績!$AD$6:$AD$505,"&gt;"&amp;$A164,実績!$AE$6:$AE$505,"○")&gt;0,1,0))</f>
        <v/>
      </c>
      <c r="DJ164">
        <f>IF(DJ$4=0,0,IF(COUNTIFS(実績!$W$6:$W$505,DJ$3,実績!$AC$6:$AC$505,"&lt;="&amp;$A164,実績!$AD$6:$AD$505,"&gt;"&amp;$A164,実績!$AE$6:$AE$505,"○")&gt;0,1,0))</f>
        <v/>
      </c>
      <c r="DK164">
        <f>IF(DK$4=0,0,IF(COUNTIFS(実績!$W$6:$W$505,DK$3,実績!$AC$6:$AC$505,"&lt;="&amp;$A164,実績!$AD$6:$AD$505,"&gt;"&amp;$A164,実績!$AE$6:$AE$505,"○")&gt;0,1,0))</f>
        <v/>
      </c>
      <c r="DL164">
        <f>IF(DL$4=0,0,IF(COUNTIFS(実績!$W$6:$W$505,DL$3,実績!$AC$6:$AC$505,"&lt;="&amp;$A164,実績!$AD$6:$AD$505,"&gt;"&amp;$A164,実績!$AE$6:$AE$505,"○")&gt;0,1,0))</f>
        <v/>
      </c>
      <c r="DM164">
        <f>IF(DM$4=0,0,IF(COUNTIFS(実績!$W$6:$W$505,DM$3,実績!$AC$6:$AC$505,"&lt;="&amp;$A164,実績!$AD$6:$AD$505,"&gt;"&amp;$A164,実績!$AE$6:$AE$505,"○")&gt;0,1,0))</f>
        <v/>
      </c>
      <c r="DN164">
        <f>IF(DN$4=0,0,IF(COUNTIFS(実績!$W$6:$W$505,DN$3,実績!$AC$6:$AC$505,"&lt;="&amp;$A164,実績!$AD$6:$AD$505,"&gt;"&amp;$A164,実績!$AE$6:$AE$505,"○")&gt;0,1,0))</f>
        <v/>
      </c>
      <c r="DO164">
        <f>IF(DO$4=0,0,IF(COUNTIFS(実績!$W$6:$W$505,DO$3,実績!$AC$6:$AC$505,"&lt;="&amp;$A164,実績!$AD$6:$AD$505,"&gt;"&amp;$A164,実績!$AE$6:$AE$505,"○")&gt;0,1,0))</f>
        <v/>
      </c>
      <c r="DP164">
        <f>IF(DP$4=0,0,IF(COUNTIFS(実績!$W$6:$W$505,DP$3,実績!$AC$6:$AC$505,"&lt;="&amp;$A164,実績!$AD$6:$AD$505,"&gt;"&amp;$A164,実績!$AE$6:$AE$505,"○")&gt;0,1,0))</f>
        <v/>
      </c>
      <c r="DQ164">
        <f>IF(DQ$4=0,0,IF(COUNTIFS(実績!$W$6:$W$505,DQ$3,実績!$AC$6:$AC$505,"&lt;="&amp;$A164,実績!$AD$6:$AD$505,"&gt;"&amp;$A164,実績!$AE$6:$AE$505,"○")&gt;0,1,0))</f>
        <v/>
      </c>
      <c r="DR164">
        <f>IF(DR$4=0,0,IF(COUNTIFS(実績!$W$6:$W$505,DR$3,実績!$AC$6:$AC$505,"&lt;="&amp;$A164,実績!$AD$6:$AD$505,"&gt;"&amp;$A164,実績!$AE$6:$AE$505,"○")&gt;0,1,0))</f>
        <v/>
      </c>
      <c r="DS164">
        <f>SUM(C164:DR164)</f>
        <v/>
      </c>
      <c r="DT164">
        <f>SUMPRODUCT((実績!$C$6:$C$505="○")*ISNUMBER(実績!$AF$6:$AF$505)*(実績!$AF$6:$AF$505&lt;=$A164)*(実績!$AG$6:$AG$505&gt;$A164))</f>
        <v/>
      </c>
      <c r="DU164">
        <f>SUMIF($C$2:$DR$2,"製鉄曳船",C164:DR164)</f>
        <v/>
      </c>
      <c r="DV164">
        <f>SUMIF($C$2:$DR$2,"西日本海運",C164:DR164)</f>
        <v/>
      </c>
    </row>
    <row r="165">
      <c r="A165" t="n">
        <v>795</v>
      </c>
      <c r="B165" s="29">
        <f>A165/1440</f>
        <v/>
      </c>
      <c r="C165">
        <f>IF(C$4=0,0,IF(COUNTIFS(実績!$W$6:$W$505,C$3,実績!$AC$6:$AC$505,"&lt;="&amp;$A165,実績!$AD$6:$AD$505,"&gt;"&amp;$A165,実績!$AE$6:$AE$505,"○")&gt;0,1,0))</f>
        <v/>
      </c>
      <c r="D165">
        <f>IF(D$4=0,0,IF(COUNTIFS(実績!$W$6:$W$505,D$3,実績!$AC$6:$AC$505,"&lt;="&amp;$A165,実績!$AD$6:$AD$505,"&gt;"&amp;$A165,実績!$AE$6:$AE$505,"○")&gt;0,1,0))</f>
        <v/>
      </c>
      <c r="E165">
        <f>IF(E$4=0,0,IF(COUNTIFS(実績!$W$6:$W$505,E$3,実績!$AC$6:$AC$505,"&lt;="&amp;$A165,実績!$AD$6:$AD$505,"&gt;"&amp;$A165,実績!$AE$6:$AE$505,"○")&gt;0,1,0))</f>
        <v/>
      </c>
      <c r="F165">
        <f>IF(F$4=0,0,IF(COUNTIFS(実績!$W$6:$W$505,F$3,実績!$AC$6:$AC$505,"&lt;="&amp;$A165,実績!$AD$6:$AD$505,"&gt;"&amp;$A165,実績!$AE$6:$AE$505,"○")&gt;0,1,0))</f>
        <v/>
      </c>
      <c r="G165">
        <f>IF(G$4=0,0,IF(COUNTIFS(実績!$W$6:$W$505,G$3,実績!$AC$6:$AC$505,"&lt;="&amp;$A165,実績!$AD$6:$AD$505,"&gt;"&amp;$A165,実績!$AE$6:$AE$505,"○")&gt;0,1,0))</f>
        <v/>
      </c>
      <c r="H165">
        <f>IF(H$4=0,0,IF(COUNTIFS(実績!$W$6:$W$505,H$3,実績!$AC$6:$AC$505,"&lt;="&amp;$A165,実績!$AD$6:$AD$505,"&gt;"&amp;$A165,実績!$AE$6:$AE$505,"○")&gt;0,1,0))</f>
        <v/>
      </c>
      <c r="I165">
        <f>IF(I$4=0,0,IF(COUNTIFS(実績!$W$6:$W$505,I$3,実績!$AC$6:$AC$505,"&lt;="&amp;$A165,実績!$AD$6:$AD$505,"&gt;"&amp;$A165,実績!$AE$6:$AE$505,"○")&gt;0,1,0))</f>
        <v/>
      </c>
      <c r="J165">
        <f>IF(J$4=0,0,IF(COUNTIFS(実績!$W$6:$W$505,J$3,実績!$AC$6:$AC$505,"&lt;="&amp;$A165,実績!$AD$6:$AD$505,"&gt;"&amp;$A165,実績!$AE$6:$AE$505,"○")&gt;0,1,0))</f>
        <v/>
      </c>
      <c r="K165">
        <f>IF(K$4=0,0,IF(COUNTIFS(実績!$W$6:$W$505,K$3,実績!$AC$6:$AC$505,"&lt;="&amp;$A165,実績!$AD$6:$AD$505,"&gt;"&amp;$A165,実績!$AE$6:$AE$505,"○")&gt;0,1,0))</f>
        <v/>
      </c>
      <c r="L165">
        <f>IF(L$4=0,0,IF(COUNTIFS(実績!$W$6:$W$505,L$3,実績!$AC$6:$AC$505,"&lt;="&amp;$A165,実績!$AD$6:$AD$505,"&gt;"&amp;$A165,実績!$AE$6:$AE$505,"○")&gt;0,1,0))</f>
        <v/>
      </c>
      <c r="M165">
        <f>IF(M$4=0,0,IF(COUNTIFS(実績!$W$6:$W$505,M$3,実績!$AC$6:$AC$505,"&lt;="&amp;$A165,実績!$AD$6:$AD$505,"&gt;"&amp;$A165,実績!$AE$6:$AE$505,"○")&gt;0,1,0))</f>
        <v/>
      </c>
      <c r="N165">
        <f>IF(N$4=0,0,IF(COUNTIFS(実績!$W$6:$W$505,N$3,実績!$AC$6:$AC$505,"&lt;="&amp;$A165,実績!$AD$6:$AD$505,"&gt;"&amp;$A165,実績!$AE$6:$AE$505,"○")&gt;0,1,0))</f>
        <v/>
      </c>
      <c r="O165">
        <f>IF(O$4=0,0,IF(COUNTIFS(実績!$W$6:$W$505,O$3,実績!$AC$6:$AC$505,"&lt;="&amp;$A165,実績!$AD$6:$AD$505,"&gt;"&amp;$A165,実績!$AE$6:$AE$505,"○")&gt;0,1,0))</f>
        <v/>
      </c>
      <c r="P165">
        <f>IF(P$4=0,0,IF(COUNTIFS(実績!$W$6:$W$505,P$3,実績!$AC$6:$AC$505,"&lt;="&amp;$A165,実績!$AD$6:$AD$505,"&gt;"&amp;$A165,実績!$AE$6:$AE$505,"○")&gt;0,1,0))</f>
        <v/>
      </c>
      <c r="Q165">
        <f>IF(Q$4=0,0,IF(COUNTIFS(実績!$W$6:$W$505,Q$3,実績!$AC$6:$AC$505,"&lt;="&amp;$A165,実績!$AD$6:$AD$505,"&gt;"&amp;$A165,実績!$AE$6:$AE$505,"○")&gt;0,1,0))</f>
        <v/>
      </c>
      <c r="R165">
        <f>IF(R$4=0,0,IF(COUNTIFS(実績!$W$6:$W$505,R$3,実績!$AC$6:$AC$505,"&lt;="&amp;$A165,実績!$AD$6:$AD$505,"&gt;"&amp;$A165,実績!$AE$6:$AE$505,"○")&gt;0,1,0))</f>
        <v/>
      </c>
      <c r="S165">
        <f>IF(S$4=0,0,IF(COUNTIFS(実績!$W$6:$W$505,S$3,実績!$AC$6:$AC$505,"&lt;="&amp;$A165,実績!$AD$6:$AD$505,"&gt;"&amp;$A165,実績!$AE$6:$AE$505,"○")&gt;0,1,0))</f>
        <v/>
      </c>
      <c r="T165">
        <f>IF(T$4=0,0,IF(COUNTIFS(実績!$W$6:$W$505,T$3,実績!$AC$6:$AC$505,"&lt;="&amp;$A165,実績!$AD$6:$AD$505,"&gt;"&amp;$A165,実績!$AE$6:$AE$505,"○")&gt;0,1,0))</f>
        <v/>
      </c>
      <c r="U165">
        <f>IF(U$4=0,0,IF(COUNTIFS(実績!$W$6:$W$505,U$3,実績!$AC$6:$AC$505,"&lt;="&amp;$A165,実績!$AD$6:$AD$505,"&gt;"&amp;$A165,実績!$AE$6:$AE$505,"○")&gt;0,1,0))</f>
        <v/>
      </c>
      <c r="V165">
        <f>IF(V$4=0,0,IF(COUNTIFS(実績!$W$6:$W$505,V$3,実績!$AC$6:$AC$505,"&lt;="&amp;$A165,実績!$AD$6:$AD$505,"&gt;"&amp;$A165,実績!$AE$6:$AE$505,"○")&gt;0,1,0))</f>
        <v/>
      </c>
      <c r="W165">
        <f>IF(W$4=0,0,IF(COUNTIFS(実績!$W$6:$W$505,W$3,実績!$AC$6:$AC$505,"&lt;="&amp;$A165,実績!$AD$6:$AD$505,"&gt;"&amp;$A165,実績!$AE$6:$AE$505,"○")&gt;0,1,0))</f>
        <v/>
      </c>
      <c r="X165">
        <f>IF(X$4=0,0,IF(COUNTIFS(実績!$W$6:$W$505,X$3,実績!$AC$6:$AC$505,"&lt;="&amp;$A165,実績!$AD$6:$AD$505,"&gt;"&amp;$A165,実績!$AE$6:$AE$505,"○")&gt;0,1,0))</f>
        <v/>
      </c>
      <c r="Y165">
        <f>IF(Y$4=0,0,IF(COUNTIFS(実績!$W$6:$W$505,Y$3,実績!$AC$6:$AC$505,"&lt;="&amp;$A165,実績!$AD$6:$AD$505,"&gt;"&amp;$A165,実績!$AE$6:$AE$505,"○")&gt;0,1,0))</f>
        <v/>
      </c>
      <c r="Z165">
        <f>IF(Z$4=0,0,IF(COUNTIFS(実績!$W$6:$W$505,Z$3,実績!$AC$6:$AC$505,"&lt;="&amp;$A165,実績!$AD$6:$AD$505,"&gt;"&amp;$A165,実績!$AE$6:$AE$505,"○")&gt;0,1,0))</f>
        <v/>
      </c>
      <c r="AA165">
        <f>IF(AA$4=0,0,IF(COUNTIFS(実績!$W$6:$W$505,AA$3,実績!$AC$6:$AC$505,"&lt;="&amp;$A165,実績!$AD$6:$AD$505,"&gt;"&amp;$A165,実績!$AE$6:$AE$505,"○")&gt;0,1,0))</f>
        <v/>
      </c>
      <c r="AB165">
        <f>IF(AB$4=0,0,IF(COUNTIFS(実績!$W$6:$W$505,AB$3,実績!$AC$6:$AC$505,"&lt;="&amp;$A165,実績!$AD$6:$AD$505,"&gt;"&amp;$A165,実績!$AE$6:$AE$505,"○")&gt;0,1,0))</f>
        <v/>
      </c>
      <c r="AC165">
        <f>IF(AC$4=0,0,IF(COUNTIFS(実績!$W$6:$W$505,AC$3,実績!$AC$6:$AC$505,"&lt;="&amp;$A165,実績!$AD$6:$AD$505,"&gt;"&amp;$A165,実績!$AE$6:$AE$505,"○")&gt;0,1,0))</f>
        <v/>
      </c>
      <c r="AD165">
        <f>IF(AD$4=0,0,IF(COUNTIFS(実績!$W$6:$W$505,AD$3,実績!$AC$6:$AC$505,"&lt;="&amp;$A165,実績!$AD$6:$AD$505,"&gt;"&amp;$A165,実績!$AE$6:$AE$505,"○")&gt;0,1,0))</f>
        <v/>
      </c>
      <c r="AE165">
        <f>IF(AE$4=0,0,IF(COUNTIFS(実績!$W$6:$W$505,AE$3,実績!$AC$6:$AC$505,"&lt;="&amp;$A165,実績!$AD$6:$AD$505,"&gt;"&amp;$A165,実績!$AE$6:$AE$505,"○")&gt;0,1,0))</f>
        <v/>
      </c>
      <c r="AF165">
        <f>IF(AF$4=0,0,IF(COUNTIFS(実績!$W$6:$W$505,AF$3,実績!$AC$6:$AC$505,"&lt;="&amp;$A165,実績!$AD$6:$AD$505,"&gt;"&amp;$A165,実績!$AE$6:$AE$505,"○")&gt;0,1,0))</f>
        <v/>
      </c>
      <c r="AG165">
        <f>IF(AG$4=0,0,IF(COUNTIFS(実績!$W$6:$W$505,AG$3,実績!$AC$6:$AC$505,"&lt;="&amp;$A165,実績!$AD$6:$AD$505,"&gt;"&amp;$A165,実績!$AE$6:$AE$505,"○")&gt;0,1,0))</f>
        <v/>
      </c>
      <c r="AH165">
        <f>IF(AH$4=0,0,IF(COUNTIFS(実績!$W$6:$W$505,AH$3,実績!$AC$6:$AC$505,"&lt;="&amp;$A165,実績!$AD$6:$AD$505,"&gt;"&amp;$A165,実績!$AE$6:$AE$505,"○")&gt;0,1,0))</f>
        <v/>
      </c>
      <c r="AI165">
        <f>IF(AI$4=0,0,IF(COUNTIFS(実績!$W$6:$W$505,AI$3,実績!$AC$6:$AC$505,"&lt;="&amp;$A165,実績!$AD$6:$AD$505,"&gt;"&amp;$A165,実績!$AE$6:$AE$505,"○")&gt;0,1,0))</f>
        <v/>
      </c>
      <c r="AJ165">
        <f>IF(AJ$4=0,0,IF(COUNTIFS(実績!$W$6:$W$505,AJ$3,実績!$AC$6:$AC$505,"&lt;="&amp;$A165,実績!$AD$6:$AD$505,"&gt;"&amp;$A165,実績!$AE$6:$AE$505,"○")&gt;0,1,0))</f>
        <v/>
      </c>
      <c r="AK165">
        <f>IF(AK$4=0,0,IF(COUNTIFS(実績!$W$6:$W$505,AK$3,実績!$AC$6:$AC$505,"&lt;="&amp;$A165,実績!$AD$6:$AD$505,"&gt;"&amp;$A165,実績!$AE$6:$AE$505,"○")&gt;0,1,0))</f>
        <v/>
      </c>
      <c r="AL165">
        <f>IF(AL$4=0,0,IF(COUNTIFS(実績!$W$6:$W$505,AL$3,実績!$AC$6:$AC$505,"&lt;="&amp;$A165,実績!$AD$6:$AD$505,"&gt;"&amp;$A165,実績!$AE$6:$AE$505,"○")&gt;0,1,0))</f>
        <v/>
      </c>
      <c r="AM165">
        <f>IF(AM$4=0,0,IF(COUNTIFS(実績!$W$6:$W$505,AM$3,実績!$AC$6:$AC$505,"&lt;="&amp;$A165,実績!$AD$6:$AD$505,"&gt;"&amp;$A165,実績!$AE$6:$AE$505,"○")&gt;0,1,0))</f>
        <v/>
      </c>
      <c r="AN165">
        <f>IF(AN$4=0,0,IF(COUNTIFS(実績!$W$6:$W$505,AN$3,実績!$AC$6:$AC$505,"&lt;="&amp;$A165,実績!$AD$6:$AD$505,"&gt;"&amp;$A165,実績!$AE$6:$AE$505,"○")&gt;0,1,0))</f>
        <v/>
      </c>
      <c r="AO165">
        <f>IF(AO$4=0,0,IF(COUNTIFS(実績!$W$6:$W$505,AO$3,実績!$AC$6:$AC$505,"&lt;="&amp;$A165,実績!$AD$6:$AD$505,"&gt;"&amp;$A165,実績!$AE$6:$AE$505,"○")&gt;0,1,0))</f>
        <v/>
      </c>
      <c r="AP165">
        <f>IF(AP$4=0,0,IF(COUNTIFS(実績!$W$6:$W$505,AP$3,実績!$AC$6:$AC$505,"&lt;="&amp;$A165,実績!$AD$6:$AD$505,"&gt;"&amp;$A165,実績!$AE$6:$AE$505,"○")&gt;0,1,0))</f>
        <v/>
      </c>
      <c r="AQ165">
        <f>IF(AQ$4=0,0,IF(COUNTIFS(実績!$W$6:$W$505,AQ$3,実績!$AC$6:$AC$505,"&lt;="&amp;$A165,実績!$AD$6:$AD$505,"&gt;"&amp;$A165,実績!$AE$6:$AE$505,"○")&gt;0,1,0))</f>
        <v/>
      </c>
      <c r="AR165">
        <f>IF(AR$4=0,0,IF(COUNTIFS(実績!$W$6:$W$505,AR$3,実績!$AC$6:$AC$505,"&lt;="&amp;$A165,実績!$AD$6:$AD$505,"&gt;"&amp;$A165,実績!$AE$6:$AE$505,"○")&gt;0,1,0))</f>
        <v/>
      </c>
      <c r="AS165">
        <f>IF(AS$4=0,0,IF(COUNTIFS(実績!$W$6:$W$505,AS$3,実績!$AC$6:$AC$505,"&lt;="&amp;$A165,実績!$AD$6:$AD$505,"&gt;"&amp;$A165,実績!$AE$6:$AE$505,"○")&gt;0,1,0))</f>
        <v/>
      </c>
      <c r="AT165">
        <f>IF(AT$4=0,0,IF(COUNTIFS(実績!$W$6:$W$505,AT$3,実績!$AC$6:$AC$505,"&lt;="&amp;$A165,実績!$AD$6:$AD$505,"&gt;"&amp;$A165,実績!$AE$6:$AE$505,"○")&gt;0,1,0))</f>
        <v/>
      </c>
      <c r="AU165">
        <f>IF(AU$4=0,0,IF(COUNTIFS(実績!$W$6:$W$505,AU$3,実績!$AC$6:$AC$505,"&lt;="&amp;$A165,実績!$AD$6:$AD$505,"&gt;"&amp;$A165,実績!$AE$6:$AE$505,"○")&gt;0,1,0))</f>
        <v/>
      </c>
      <c r="AV165">
        <f>IF(AV$4=0,0,IF(COUNTIFS(実績!$W$6:$W$505,AV$3,実績!$AC$6:$AC$505,"&lt;="&amp;$A165,実績!$AD$6:$AD$505,"&gt;"&amp;$A165,実績!$AE$6:$AE$505,"○")&gt;0,1,0))</f>
        <v/>
      </c>
      <c r="AW165">
        <f>IF(AW$4=0,0,IF(COUNTIFS(実績!$W$6:$W$505,AW$3,実績!$AC$6:$AC$505,"&lt;="&amp;$A165,実績!$AD$6:$AD$505,"&gt;"&amp;$A165,実績!$AE$6:$AE$505,"○")&gt;0,1,0))</f>
        <v/>
      </c>
      <c r="AX165">
        <f>IF(AX$4=0,0,IF(COUNTIFS(実績!$W$6:$W$505,AX$3,実績!$AC$6:$AC$505,"&lt;="&amp;$A165,実績!$AD$6:$AD$505,"&gt;"&amp;$A165,実績!$AE$6:$AE$505,"○")&gt;0,1,0))</f>
        <v/>
      </c>
      <c r="AY165">
        <f>IF(AY$4=0,0,IF(COUNTIFS(実績!$W$6:$W$505,AY$3,実績!$AC$6:$AC$505,"&lt;="&amp;$A165,実績!$AD$6:$AD$505,"&gt;"&amp;$A165,実績!$AE$6:$AE$505,"○")&gt;0,1,0))</f>
        <v/>
      </c>
      <c r="AZ165">
        <f>IF(AZ$4=0,0,IF(COUNTIFS(実績!$W$6:$W$505,AZ$3,実績!$AC$6:$AC$505,"&lt;="&amp;$A165,実績!$AD$6:$AD$505,"&gt;"&amp;$A165,実績!$AE$6:$AE$505,"○")&gt;0,1,0))</f>
        <v/>
      </c>
      <c r="BA165">
        <f>IF(BA$4=0,0,IF(COUNTIFS(実績!$W$6:$W$505,BA$3,実績!$AC$6:$AC$505,"&lt;="&amp;$A165,実績!$AD$6:$AD$505,"&gt;"&amp;$A165,実績!$AE$6:$AE$505,"○")&gt;0,1,0))</f>
        <v/>
      </c>
      <c r="BB165">
        <f>IF(BB$4=0,0,IF(COUNTIFS(実績!$W$6:$W$505,BB$3,実績!$AC$6:$AC$505,"&lt;="&amp;$A165,実績!$AD$6:$AD$505,"&gt;"&amp;$A165,実績!$AE$6:$AE$505,"○")&gt;0,1,0))</f>
        <v/>
      </c>
      <c r="BC165">
        <f>IF(BC$4=0,0,IF(COUNTIFS(実績!$W$6:$W$505,BC$3,実績!$AC$6:$AC$505,"&lt;="&amp;$A165,実績!$AD$6:$AD$505,"&gt;"&amp;$A165,実績!$AE$6:$AE$505,"○")&gt;0,1,0))</f>
        <v/>
      </c>
      <c r="BD165">
        <f>IF(BD$4=0,0,IF(COUNTIFS(実績!$W$6:$W$505,BD$3,実績!$AC$6:$AC$505,"&lt;="&amp;$A165,実績!$AD$6:$AD$505,"&gt;"&amp;$A165,実績!$AE$6:$AE$505,"○")&gt;0,1,0))</f>
        <v/>
      </c>
      <c r="BE165">
        <f>IF(BE$4=0,0,IF(COUNTIFS(実績!$W$6:$W$505,BE$3,実績!$AC$6:$AC$505,"&lt;="&amp;$A165,実績!$AD$6:$AD$505,"&gt;"&amp;$A165,実績!$AE$6:$AE$505,"○")&gt;0,1,0))</f>
        <v/>
      </c>
      <c r="BF165">
        <f>IF(BF$4=0,0,IF(COUNTIFS(実績!$W$6:$W$505,BF$3,実績!$AC$6:$AC$505,"&lt;="&amp;$A165,実績!$AD$6:$AD$505,"&gt;"&amp;$A165,実績!$AE$6:$AE$505,"○")&gt;0,1,0))</f>
        <v/>
      </c>
      <c r="BG165">
        <f>IF(BG$4=0,0,IF(COUNTIFS(実績!$W$6:$W$505,BG$3,実績!$AC$6:$AC$505,"&lt;="&amp;$A165,実績!$AD$6:$AD$505,"&gt;"&amp;$A165,実績!$AE$6:$AE$505,"○")&gt;0,1,0))</f>
        <v/>
      </c>
      <c r="BH165">
        <f>IF(BH$4=0,0,IF(COUNTIFS(実績!$W$6:$W$505,BH$3,実績!$AC$6:$AC$505,"&lt;="&amp;$A165,実績!$AD$6:$AD$505,"&gt;"&amp;$A165,実績!$AE$6:$AE$505,"○")&gt;0,1,0))</f>
        <v/>
      </c>
      <c r="BI165">
        <f>IF(BI$4=0,0,IF(COUNTIFS(実績!$W$6:$W$505,BI$3,実績!$AC$6:$AC$505,"&lt;="&amp;$A165,実績!$AD$6:$AD$505,"&gt;"&amp;$A165,実績!$AE$6:$AE$505,"○")&gt;0,1,0))</f>
        <v/>
      </c>
      <c r="BJ165">
        <f>IF(BJ$4=0,0,IF(COUNTIFS(実績!$W$6:$W$505,BJ$3,実績!$AC$6:$AC$505,"&lt;="&amp;$A165,実績!$AD$6:$AD$505,"&gt;"&amp;$A165,実績!$AE$6:$AE$505,"○")&gt;0,1,0))</f>
        <v/>
      </c>
      <c r="BK165">
        <f>IF(BK$4=0,0,IF(COUNTIFS(実績!$W$6:$W$505,BK$3,実績!$AC$6:$AC$505,"&lt;="&amp;$A165,実績!$AD$6:$AD$505,"&gt;"&amp;$A165,実績!$AE$6:$AE$505,"○")&gt;0,1,0))</f>
        <v/>
      </c>
      <c r="BL165">
        <f>IF(BL$4=0,0,IF(COUNTIFS(実績!$W$6:$W$505,BL$3,実績!$AC$6:$AC$505,"&lt;="&amp;$A165,実績!$AD$6:$AD$505,"&gt;"&amp;$A165,実績!$AE$6:$AE$505,"○")&gt;0,1,0))</f>
        <v/>
      </c>
      <c r="BM165">
        <f>IF(BM$4=0,0,IF(COUNTIFS(実績!$W$6:$W$505,BM$3,実績!$AC$6:$AC$505,"&lt;="&amp;$A165,実績!$AD$6:$AD$505,"&gt;"&amp;$A165,実績!$AE$6:$AE$505,"○")&gt;0,1,0))</f>
        <v/>
      </c>
      <c r="BN165">
        <f>IF(BN$4=0,0,IF(COUNTIFS(実績!$W$6:$W$505,BN$3,実績!$AC$6:$AC$505,"&lt;="&amp;$A165,実績!$AD$6:$AD$505,"&gt;"&amp;$A165,実績!$AE$6:$AE$505,"○")&gt;0,1,0))</f>
        <v/>
      </c>
      <c r="BO165">
        <f>IF(BO$4=0,0,IF(COUNTIFS(実績!$W$6:$W$505,BO$3,実績!$AC$6:$AC$505,"&lt;="&amp;$A165,実績!$AD$6:$AD$505,"&gt;"&amp;$A165,実績!$AE$6:$AE$505,"○")&gt;0,1,0))</f>
        <v/>
      </c>
      <c r="BP165">
        <f>IF(BP$4=0,0,IF(COUNTIFS(実績!$W$6:$W$505,BP$3,実績!$AC$6:$AC$505,"&lt;="&amp;$A165,実績!$AD$6:$AD$505,"&gt;"&amp;$A165,実績!$AE$6:$AE$505,"○")&gt;0,1,0))</f>
        <v/>
      </c>
      <c r="BQ165">
        <f>IF(BQ$4=0,0,IF(COUNTIFS(実績!$W$6:$W$505,BQ$3,実績!$AC$6:$AC$505,"&lt;="&amp;$A165,実績!$AD$6:$AD$505,"&gt;"&amp;$A165,実績!$AE$6:$AE$505,"○")&gt;0,1,0))</f>
        <v/>
      </c>
      <c r="BR165">
        <f>IF(BR$4=0,0,IF(COUNTIFS(実績!$W$6:$W$505,BR$3,実績!$AC$6:$AC$505,"&lt;="&amp;$A165,実績!$AD$6:$AD$505,"&gt;"&amp;$A165,実績!$AE$6:$AE$505,"○")&gt;0,1,0))</f>
        <v/>
      </c>
      <c r="BS165">
        <f>IF(BS$4=0,0,IF(COUNTIFS(実績!$W$6:$W$505,BS$3,実績!$AC$6:$AC$505,"&lt;="&amp;$A165,実績!$AD$6:$AD$505,"&gt;"&amp;$A165,実績!$AE$6:$AE$505,"○")&gt;0,1,0))</f>
        <v/>
      </c>
      <c r="BT165">
        <f>IF(BT$4=0,0,IF(COUNTIFS(実績!$W$6:$W$505,BT$3,実績!$AC$6:$AC$505,"&lt;="&amp;$A165,実績!$AD$6:$AD$505,"&gt;"&amp;$A165,実績!$AE$6:$AE$505,"○")&gt;0,1,0))</f>
        <v/>
      </c>
      <c r="BU165">
        <f>IF(BU$4=0,0,IF(COUNTIFS(実績!$W$6:$W$505,BU$3,実績!$AC$6:$AC$505,"&lt;="&amp;$A165,実績!$AD$6:$AD$505,"&gt;"&amp;$A165,実績!$AE$6:$AE$505,"○")&gt;0,1,0))</f>
        <v/>
      </c>
      <c r="BV165">
        <f>IF(BV$4=0,0,IF(COUNTIFS(実績!$W$6:$W$505,BV$3,実績!$AC$6:$AC$505,"&lt;="&amp;$A165,実績!$AD$6:$AD$505,"&gt;"&amp;$A165,実績!$AE$6:$AE$505,"○")&gt;0,1,0))</f>
        <v/>
      </c>
      <c r="BW165">
        <f>IF(BW$4=0,0,IF(COUNTIFS(実績!$W$6:$W$505,BW$3,実績!$AC$6:$AC$505,"&lt;="&amp;$A165,実績!$AD$6:$AD$505,"&gt;"&amp;$A165,実績!$AE$6:$AE$505,"○")&gt;0,1,0))</f>
        <v/>
      </c>
      <c r="BX165">
        <f>IF(BX$4=0,0,IF(COUNTIFS(実績!$W$6:$W$505,BX$3,実績!$AC$6:$AC$505,"&lt;="&amp;$A165,実績!$AD$6:$AD$505,"&gt;"&amp;$A165,実績!$AE$6:$AE$505,"○")&gt;0,1,0))</f>
        <v/>
      </c>
      <c r="BY165">
        <f>IF(BY$4=0,0,IF(COUNTIFS(実績!$W$6:$W$505,BY$3,実績!$AC$6:$AC$505,"&lt;="&amp;$A165,実績!$AD$6:$AD$505,"&gt;"&amp;$A165,実績!$AE$6:$AE$505,"○")&gt;0,1,0))</f>
        <v/>
      </c>
      <c r="BZ165">
        <f>IF(BZ$4=0,0,IF(COUNTIFS(実績!$W$6:$W$505,BZ$3,実績!$AC$6:$AC$505,"&lt;="&amp;$A165,実績!$AD$6:$AD$505,"&gt;"&amp;$A165,実績!$AE$6:$AE$505,"○")&gt;0,1,0))</f>
        <v/>
      </c>
      <c r="CA165">
        <f>IF(CA$4=0,0,IF(COUNTIFS(実績!$W$6:$W$505,CA$3,実績!$AC$6:$AC$505,"&lt;="&amp;$A165,実績!$AD$6:$AD$505,"&gt;"&amp;$A165,実績!$AE$6:$AE$505,"○")&gt;0,1,0))</f>
        <v/>
      </c>
      <c r="CB165">
        <f>IF(CB$4=0,0,IF(COUNTIFS(実績!$W$6:$W$505,CB$3,実績!$AC$6:$AC$505,"&lt;="&amp;$A165,実績!$AD$6:$AD$505,"&gt;"&amp;$A165,実績!$AE$6:$AE$505,"○")&gt;0,1,0))</f>
        <v/>
      </c>
      <c r="CC165">
        <f>IF(CC$4=0,0,IF(COUNTIFS(実績!$W$6:$W$505,CC$3,実績!$AC$6:$AC$505,"&lt;="&amp;$A165,実績!$AD$6:$AD$505,"&gt;"&amp;$A165,実績!$AE$6:$AE$505,"○")&gt;0,1,0))</f>
        <v/>
      </c>
      <c r="CD165">
        <f>IF(CD$4=0,0,IF(COUNTIFS(実績!$W$6:$W$505,CD$3,実績!$AC$6:$AC$505,"&lt;="&amp;$A165,実績!$AD$6:$AD$505,"&gt;"&amp;$A165,実績!$AE$6:$AE$505,"○")&gt;0,1,0))</f>
        <v/>
      </c>
      <c r="CE165">
        <f>IF(CE$4=0,0,IF(COUNTIFS(実績!$W$6:$W$505,CE$3,実績!$AC$6:$AC$505,"&lt;="&amp;$A165,実績!$AD$6:$AD$505,"&gt;"&amp;$A165,実績!$AE$6:$AE$505,"○")&gt;0,1,0))</f>
        <v/>
      </c>
      <c r="CF165">
        <f>IF(CF$4=0,0,IF(COUNTIFS(実績!$W$6:$W$505,CF$3,実績!$AC$6:$AC$505,"&lt;="&amp;$A165,実績!$AD$6:$AD$505,"&gt;"&amp;$A165,実績!$AE$6:$AE$505,"○")&gt;0,1,0))</f>
        <v/>
      </c>
      <c r="CG165">
        <f>IF(CG$4=0,0,IF(COUNTIFS(実績!$W$6:$W$505,CG$3,実績!$AC$6:$AC$505,"&lt;="&amp;$A165,実績!$AD$6:$AD$505,"&gt;"&amp;$A165,実績!$AE$6:$AE$505,"○")&gt;0,1,0))</f>
        <v/>
      </c>
      <c r="CH165">
        <f>IF(CH$4=0,0,IF(COUNTIFS(実績!$W$6:$W$505,CH$3,実績!$AC$6:$AC$505,"&lt;="&amp;$A165,実績!$AD$6:$AD$505,"&gt;"&amp;$A165,実績!$AE$6:$AE$505,"○")&gt;0,1,0))</f>
        <v/>
      </c>
      <c r="CI165">
        <f>IF(CI$4=0,0,IF(COUNTIFS(実績!$W$6:$W$505,CI$3,実績!$AC$6:$AC$505,"&lt;="&amp;$A165,実績!$AD$6:$AD$505,"&gt;"&amp;$A165,実績!$AE$6:$AE$505,"○")&gt;0,1,0))</f>
        <v/>
      </c>
      <c r="CJ165">
        <f>IF(CJ$4=0,0,IF(COUNTIFS(実績!$W$6:$W$505,CJ$3,実績!$AC$6:$AC$505,"&lt;="&amp;$A165,実績!$AD$6:$AD$505,"&gt;"&amp;$A165,実績!$AE$6:$AE$505,"○")&gt;0,1,0))</f>
        <v/>
      </c>
      <c r="CK165">
        <f>IF(CK$4=0,0,IF(COUNTIFS(実績!$W$6:$W$505,CK$3,実績!$AC$6:$AC$505,"&lt;="&amp;$A165,実績!$AD$6:$AD$505,"&gt;"&amp;$A165,実績!$AE$6:$AE$505,"○")&gt;0,1,0))</f>
        <v/>
      </c>
      <c r="CL165">
        <f>IF(CL$4=0,0,IF(COUNTIFS(実績!$W$6:$W$505,CL$3,実績!$AC$6:$AC$505,"&lt;="&amp;$A165,実績!$AD$6:$AD$505,"&gt;"&amp;$A165,実績!$AE$6:$AE$505,"○")&gt;0,1,0))</f>
        <v/>
      </c>
      <c r="CM165">
        <f>IF(CM$4=0,0,IF(COUNTIFS(実績!$W$6:$W$505,CM$3,実績!$AC$6:$AC$505,"&lt;="&amp;$A165,実績!$AD$6:$AD$505,"&gt;"&amp;$A165,実績!$AE$6:$AE$505,"○")&gt;0,1,0))</f>
        <v/>
      </c>
      <c r="CN165">
        <f>IF(CN$4=0,0,IF(COUNTIFS(実績!$W$6:$W$505,CN$3,実績!$AC$6:$AC$505,"&lt;="&amp;$A165,実績!$AD$6:$AD$505,"&gt;"&amp;$A165,実績!$AE$6:$AE$505,"○")&gt;0,1,0))</f>
        <v/>
      </c>
      <c r="CO165">
        <f>IF(CO$4=0,0,IF(COUNTIFS(実績!$W$6:$W$505,CO$3,実績!$AC$6:$AC$505,"&lt;="&amp;$A165,実績!$AD$6:$AD$505,"&gt;"&amp;$A165,実績!$AE$6:$AE$505,"○")&gt;0,1,0))</f>
        <v/>
      </c>
      <c r="CP165">
        <f>IF(CP$4=0,0,IF(COUNTIFS(実績!$W$6:$W$505,CP$3,実績!$AC$6:$AC$505,"&lt;="&amp;$A165,実績!$AD$6:$AD$505,"&gt;"&amp;$A165,実績!$AE$6:$AE$505,"○")&gt;0,1,0))</f>
        <v/>
      </c>
      <c r="CQ165">
        <f>IF(CQ$4=0,0,IF(COUNTIFS(実績!$W$6:$W$505,CQ$3,実績!$AC$6:$AC$505,"&lt;="&amp;$A165,実績!$AD$6:$AD$505,"&gt;"&amp;$A165,実績!$AE$6:$AE$505,"○")&gt;0,1,0))</f>
        <v/>
      </c>
      <c r="CR165">
        <f>IF(CR$4=0,0,IF(COUNTIFS(実績!$W$6:$W$505,CR$3,実績!$AC$6:$AC$505,"&lt;="&amp;$A165,実績!$AD$6:$AD$505,"&gt;"&amp;$A165,実績!$AE$6:$AE$505,"○")&gt;0,1,0))</f>
        <v/>
      </c>
      <c r="CS165">
        <f>IF(CS$4=0,0,IF(COUNTIFS(実績!$W$6:$W$505,CS$3,実績!$AC$6:$AC$505,"&lt;="&amp;$A165,実績!$AD$6:$AD$505,"&gt;"&amp;$A165,実績!$AE$6:$AE$505,"○")&gt;0,1,0))</f>
        <v/>
      </c>
      <c r="CT165">
        <f>IF(CT$4=0,0,IF(COUNTIFS(実績!$W$6:$W$505,CT$3,実績!$AC$6:$AC$505,"&lt;="&amp;$A165,実績!$AD$6:$AD$505,"&gt;"&amp;$A165,実績!$AE$6:$AE$505,"○")&gt;0,1,0))</f>
        <v/>
      </c>
      <c r="CU165">
        <f>IF(CU$4=0,0,IF(COUNTIFS(実績!$W$6:$W$505,CU$3,実績!$AC$6:$AC$505,"&lt;="&amp;$A165,実績!$AD$6:$AD$505,"&gt;"&amp;$A165,実績!$AE$6:$AE$505,"○")&gt;0,1,0))</f>
        <v/>
      </c>
      <c r="CV165">
        <f>IF(CV$4=0,0,IF(COUNTIFS(実績!$W$6:$W$505,CV$3,実績!$AC$6:$AC$505,"&lt;="&amp;$A165,実績!$AD$6:$AD$505,"&gt;"&amp;$A165,実績!$AE$6:$AE$505,"○")&gt;0,1,0))</f>
        <v/>
      </c>
      <c r="CW165">
        <f>IF(CW$4=0,0,IF(COUNTIFS(実績!$W$6:$W$505,CW$3,実績!$AC$6:$AC$505,"&lt;="&amp;$A165,実績!$AD$6:$AD$505,"&gt;"&amp;$A165,実績!$AE$6:$AE$505,"○")&gt;0,1,0))</f>
        <v/>
      </c>
      <c r="CX165">
        <f>IF(CX$4=0,0,IF(COUNTIFS(実績!$W$6:$W$505,CX$3,実績!$AC$6:$AC$505,"&lt;="&amp;$A165,実績!$AD$6:$AD$505,"&gt;"&amp;$A165,実績!$AE$6:$AE$505,"○")&gt;0,1,0))</f>
        <v/>
      </c>
      <c r="CY165">
        <f>IF(CY$4=0,0,IF(COUNTIFS(実績!$W$6:$W$505,CY$3,実績!$AC$6:$AC$505,"&lt;="&amp;$A165,実績!$AD$6:$AD$505,"&gt;"&amp;$A165,実績!$AE$6:$AE$505,"○")&gt;0,1,0))</f>
        <v/>
      </c>
      <c r="CZ165">
        <f>IF(CZ$4=0,0,IF(COUNTIFS(実績!$W$6:$W$505,CZ$3,実績!$AC$6:$AC$505,"&lt;="&amp;$A165,実績!$AD$6:$AD$505,"&gt;"&amp;$A165,実績!$AE$6:$AE$505,"○")&gt;0,1,0))</f>
        <v/>
      </c>
      <c r="DA165">
        <f>IF(DA$4=0,0,IF(COUNTIFS(実績!$W$6:$W$505,DA$3,実績!$AC$6:$AC$505,"&lt;="&amp;$A165,実績!$AD$6:$AD$505,"&gt;"&amp;$A165,実績!$AE$6:$AE$505,"○")&gt;0,1,0))</f>
        <v/>
      </c>
      <c r="DB165">
        <f>IF(DB$4=0,0,IF(COUNTIFS(実績!$W$6:$W$505,DB$3,実績!$AC$6:$AC$505,"&lt;="&amp;$A165,実績!$AD$6:$AD$505,"&gt;"&amp;$A165,実績!$AE$6:$AE$505,"○")&gt;0,1,0))</f>
        <v/>
      </c>
      <c r="DC165">
        <f>IF(DC$4=0,0,IF(COUNTIFS(実績!$W$6:$W$505,DC$3,実績!$AC$6:$AC$505,"&lt;="&amp;$A165,実績!$AD$6:$AD$505,"&gt;"&amp;$A165,実績!$AE$6:$AE$505,"○")&gt;0,1,0))</f>
        <v/>
      </c>
      <c r="DD165">
        <f>IF(DD$4=0,0,IF(COUNTIFS(実績!$W$6:$W$505,DD$3,実績!$AC$6:$AC$505,"&lt;="&amp;$A165,実績!$AD$6:$AD$505,"&gt;"&amp;$A165,実績!$AE$6:$AE$505,"○")&gt;0,1,0))</f>
        <v/>
      </c>
      <c r="DE165">
        <f>IF(DE$4=0,0,IF(COUNTIFS(実績!$W$6:$W$505,DE$3,実績!$AC$6:$AC$505,"&lt;="&amp;$A165,実績!$AD$6:$AD$505,"&gt;"&amp;$A165,実績!$AE$6:$AE$505,"○")&gt;0,1,0))</f>
        <v/>
      </c>
      <c r="DF165">
        <f>IF(DF$4=0,0,IF(COUNTIFS(実績!$W$6:$W$505,DF$3,実績!$AC$6:$AC$505,"&lt;="&amp;$A165,実績!$AD$6:$AD$505,"&gt;"&amp;$A165,実績!$AE$6:$AE$505,"○")&gt;0,1,0))</f>
        <v/>
      </c>
      <c r="DG165">
        <f>IF(DG$4=0,0,IF(COUNTIFS(実績!$W$6:$W$505,DG$3,実績!$AC$6:$AC$505,"&lt;="&amp;$A165,実績!$AD$6:$AD$505,"&gt;"&amp;$A165,実績!$AE$6:$AE$505,"○")&gt;0,1,0))</f>
        <v/>
      </c>
      <c r="DH165">
        <f>IF(DH$4=0,0,IF(COUNTIFS(実績!$W$6:$W$505,DH$3,実績!$AC$6:$AC$505,"&lt;="&amp;$A165,実績!$AD$6:$AD$505,"&gt;"&amp;$A165,実績!$AE$6:$AE$505,"○")&gt;0,1,0))</f>
        <v/>
      </c>
      <c r="DI165">
        <f>IF(DI$4=0,0,IF(COUNTIFS(実績!$W$6:$W$505,DI$3,実績!$AC$6:$AC$505,"&lt;="&amp;$A165,実績!$AD$6:$AD$505,"&gt;"&amp;$A165,実績!$AE$6:$AE$505,"○")&gt;0,1,0))</f>
        <v/>
      </c>
      <c r="DJ165">
        <f>IF(DJ$4=0,0,IF(COUNTIFS(実績!$W$6:$W$505,DJ$3,実績!$AC$6:$AC$505,"&lt;="&amp;$A165,実績!$AD$6:$AD$505,"&gt;"&amp;$A165,実績!$AE$6:$AE$505,"○")&gt;0,1,0))</f>
        <v/>
      </c>
      <c r="DK165">
        <f>IF(DK$4=0,0,IF(COUNTIFS(実績!$W$6:$W$505,DK$3,実績!$AC$6:$AC$505,"&lt;="&amp;$A165,実績!$AD$6:$AD$505,"&gt;"&amp;$A165,実績!$AE$6:$AE$505,"○")&gt;0,1,0))</f>
        <v/>
      </c>
      <c r="DL165">
        <f>IF(DL$4=0,0,IF(COUNTIFS(実績!$W$6:$W$505,DL$3,実績!$AC$6:$AC$505,"&lt;="&amp;$A165,実績!$AD$6:$AD$505,"&gt;"&amp;$A165,実績!$AE$6:$AE$505,"○")&gt;0,1,0))</f>
        <v/>
      </c>
      <c r="DM165">
        <f>IF(DM$4=0,0,IF(COUNTIFS(実績!$W$6:$W$505,DM$3,実績!$AC$6:$AC$505,"&lt;="&amp;$A165,実績!$AD$6:$AD$505,"&gt;"&amp;$A165,実績!$AE$6:$AE$505,"○")&gt;0,1,0))</f>
        <v/>
      </c>
      <c r="DN165">
        <f>IF(DN$4=0,0,IF(COUNTIFS(実績!$W$6:$W$505,DN$3,実績!$AC$6:$AC$505,"&lt;="&amp;$A165,実績!$AD$6:$AD$505,"&gt;"&amp;$A165,実績!$AE$6:$AE$505,"○")&gt;0,1,0))</f>
        <v/>
      </c>
      <c r="DO165">
        <f>IF(DO$4=0,0,IF(COUNTIFS(実績!$W$6:$W$505,DO$3,実績!$AC$6:$AC$505,"&lt;="&amp;$A165,実績!$AD$6:$AD$505,"&gt;"&amp;$A165,実績!$AE$6:$AE$505,"○")&gt;0,1,0))</f>
        <v/>
      </c>
      <c r="DP165">
        <f>IF(DP$4=0,0,IF(COUNTIFS(実績!$W$6:$W$505,DP$3,実績!$AC$6:$AC$505,"&lt;="&amp;$A165,実績!$AD$6:$AD$505,"&gt;"&amp;$A165,実績!$AE$6:$AE$505,"○")&gt;0,1,0))</f>
        <v/>
      </c>
      <c r="DQ165">
        <f>IF(DQ$4=0,0,IF(COUNTIFS(実績!$W$6:$W$505,DQ$3,実績!$AC$6:$AC$505,"&lt;="&amp;$A165,実績!$AD$6:$AD$505,"&gt;"&amp;$A165,実績!$AE$6:$AE$505,"○")&gt;0,1,0))</f>
        <v/>
      </c>
      <c r="DR165">
        <f>IF(DR$4=0,0,IF(COUNTIFS(実績!$W$6:$W$505,DR$3,実績!$AC$6:$AC$505,"&lt;="&amp;$A165,実績!$AD$6:$AD$505,"&gt;"&amp;$A165,実績!$AE$6:$AE$505,"○")&gt;0,1,0))</f>
        <v/>
      </c>
      <c r="DS165">
        <f>SUM(C165:DR165)</f>
        <v/>
      </c>
      <c r="DT165">
        <f>SUMPRODUCT((実績!$C$6:$C$505="○")*ISNUMBER(実績!$AF$6:$AF$505)*(実績!$AF$6:$AF$505&lt;=$A165)*(実績!$AG$6:$AG$505&gt;$A165))</f>
        <v/>
      </c>
      <c r="DU165">
        <f>SUMIF($C$2:$DR$2,"製鉄曳船",C165:DR165)</f>
        <v/>
      </c>
      <c r="DV165">
        <f>SUMIF($C$2:$DR$2,"西日本海運",C165:DR165)</f>
        <v/>
      </c>
    </row>
    <row r="166">
      <c r="A166" t="n">
        <v>800</v>
      </c>
      <c r="B166" s="29">
        <f>A166/1440</f>
        <v/>
      </c>
      <c r="C166">
        <f>IF(C$4=0,0,IF(COUNTIFS(実績!$W$6:$W$505,C$3,実績!$AC$6:$AC$505,"&lt;="&amp;$A166,実績!$AD$6:$AD$505,"&gt;"&amp;$A166,実績!$AE$6:$AE$505,"○")&gt;0,1,0))</f>
        <v/>
      </c>
      <c r="D166">
        <f>IF(D$4=0,0,IF(COUNTIFS(実績!$W$6:$W$505,D$3,実績!$AC$6:$AC$505,"&lt;="&amp;$A166,実績!$AD$6:$AD$505,"&gt;"&amp;$A166,実績!$AE$6:$AE$505,"○")&gt;0,1,0))</f>
        <v/>
      </c>
      <c r="E166">
        <f>IF(E$4=0,0,IF(COUNTIFS(実績!$W$6:$W$505,E$3,実績!$AC$6:$AC$505,"&lt;="&amp;$A166,実績!$AD$6:$AD$505,"&gt;"&amp;$A166,実績!$AE$6:$AE$505,"○")&gt;0,1,0))</f>
        <v/>
      </c>
      <c r="F166">
        <f>IF(F$4=0,0,IF(COUNTIFS(実績!$W$6:$W$505,F$3,実績!$AC$6:$AC$505,"&lt;="&amp;$A166,実績!$AD$6:$AD$505,"&gt;"&amp;$A166,実績!$AE$6:$AE$505,"○")&gt;0,1,0))</f>
        <v/>
      </c>
      <c r="G166">
        <f>IF(G$4=0,0,IF(COUNTIFS(実績!$W$6:$W$505,G$3,実績!$AC$6:$AC$505,"&lt;="&amp;$A166,実績!$AD$6:$AD$505,"&gt;"&amp;$A166,実績!$AE$6:$AE$505,"○")&gt;0,1,0))</f>
        <v/>
      </c>
      <c r="H166">
        <f>IF(H$4=0,0,IF(COUNTIFS(実績!$W$6:$W$505,H$3,実績!$AC$6:$AC$505,"&lt;="&amp;$A166,実績!$AD$6:$AD$505,"&gt;"&amp;$A166,実績!$AE$6:$AE$505,"○")&gt;0,1,0))</f>
        <v/>
      </c>
      <c r="I166">
        <f>IF(I$4=0,0,IF(COUNTIFS(実績!$W$6:$W$505,I$3,実績!$AC$6:$AC$505,"&lt;="&amp;$A166,実績!$AD$6:$AD$505,"&gt;"&amp;$A166,実績!$AE$6:$AE$505,"○")&gt;0,1,0))</f>
        <v/>
      </c>
      <c r="J166">
        <f>IF(J$4=0,0,IF(COUNTIFS(実績!$W$6:$W$505,J$3,実績!$AC$6:$AC$505,"&lt;="&amp;$A166,実績!$AD$6:$AD$505,"&gt;"&amp;$A166,実績!$AE$6:$AE$505,"○")&gt;0,1,0))</f>
        <v/>
      </c>
      <c r="K166">
        <f>IF(K$4=0,0,IF(COUNTIFS(実績!$W$6:$W$505,K$3,実績!$AC$6:$AC$505,"&lt;="&amp;$A166,実績!$AD$6:$AD$505,"&gt;"&amp;$A166,実績!$AE$6:$AE$505,"○")&gt;0,1,0))</f>
        <v/>
      </c>
      <c r="L166">
        <f>IF(L$4=0,0,IF(COUNTIFS(実績!$W$6:$W$505,L$3,実績!$AC$6:$AC$505,"&lt;="&amp;$A166,実績!$AD$6:$AD$505,"&gt;"&amp;$A166,実績!$AE$6:$AE$505,"○")&gt;0,1,0))</f>
        <v/>
      </c>
      <c r="M166">
        <f>IF(M$4=0,0,IF(COUNTIFS(実績!$W$6:$W$505,M$3,実績!$AC$6:$AC$505,"&lt;="&amp;$A166,実績!$AD$6:$AD$505,"&gt;"&amp;$A166,実績!$AE$6:$AE$505,"○")&gt;0,1,0))</f>
        <v/>
      </c>
      <c r="N166">
        <f>IF(N$4=0,0,IF(COUNTIFS(実績!$W$6:$W$505,N$3,実績!$AC$6:$AC$505,"&lt;="&amp;$A166,実績!$AD$6:$AD$505,"&gt;"&amp;$A166,実績!$AE$6:$AE$505,"○")&gt;0,1,0))</f>
        <v/>
      </c>
      <c r="O166">
        <f>IF(O$4=0,0,IF(COUNTIFS(実績!$W$6:$W$505,O$3,実績!$AC$6:$AC$505,"&lt;="&amp;$A166,実績!$AD$6:$AD$505,"&gt;"&amp;$A166,実績!$AE$6:$AE$505,"○")&gt;0,1,0))</f>
        <v/>
      </c>
      <c r="P166">
        <f>IF(P$4=0,0,IF(COUNTIFS(実績!$W$6:$W$505,P$3,実績!$AC$6:$AC$505,"&lt;="&amp;$A166,実績!$AD$6:$AD$505,"&gt;"&amp;$A166,実績!$AE$6:$AE$505,"○")&gt;0,1,0))</f>
        <v/>
      </c>
      <c r="Q166">
        <f>IF(Q$4=0,0,IF(COUNTIFS(実績!$W$6:$W$505,Q$3,実績!$AC$6:$AC$505,"&lt;="&amp;$A166,実績!$AD$6:$AD$505,"&gt;"&amp;$A166,実績!$AE$6:$AE$505,"○")&gt;0,1,0))</f>
        <v/>
      </c>
      <c r="R166">
        <f>IF(R$4=0,0,IF(COUNTIFS(実績!$W$6:$W$505,R$3,実績!$AC$6:$AC$505,"&lt;="&amp;$A166,実績!$AD$6:$AD$505,"&gt;"&amp;$A166,実績!$AE$6:$AE$505,"○")&gt;0,1,0))</f>
        <v/>
      </c>
      <c r="S166">
        <f>IF(S$4=0,0,IF(COUNTIFS(実績!$W$6:$W$505,S$3,実績!$AC$6:$AC$505,"&lt;="&amp;$A166,実績!$AD$6:$AD$505,"&gt;"&amp;$A166,実績!$AE$6:$AE$505,"○")&gt;0,1,0))</f>
        <v/>
      </c>
      <c r="T166">
        <f>IF(T$4=0,0,IF(COUNTIFS(実績!$W$6:$W$505,T$3,実績!$AC$6:$AC$505,"&lt;="&amp;$A166,実績!$AD$6:$AD$505,"&gt;"&amp;$A166,実績!$AE$6:$AE$505,"○")&gt;0,1,0))</f>
        <v/>
      </c>
      <c r="U166">
        <f>IF(U$4=0,0,IF(COUNTIFS(実績!$W$6:$W$505,U$3,実績!$AC$6:$AC$505,"&lt;="&amp;$A166,実績!$AD$6:$AD$505,"&gt;"&amp;$A166,実績!$AE$6:$AE$505,"○")&gt;0,1,0))</f>
        <v/>
      </c>
      <c r="V166">
        <f>IF(V$4=0,0,IF(COUNTIFS(実績!$W$6:$W$505,V$3,実績!$AC$6:$AC$505,"&lt;="&amp;$A166,実績!$AD$6:$AD$505,"&gt;"&amp;$A166,実績!$AE$6:$AE$505,"○")&gt;0,1,0))</f>
        <v/>
      </c>
      <c r="W166">
        <f>IF(W$4=0,0,IF(COUNTIFS(実績!$W$6:$W$505,W$3,実績!$AC$6:$AC$505,"&lt;="&amp;$A166,実績!$AD$6:$AD$505,"&gt;"&amp;$A166,実績!$AE$6:$AE$505,"○")&gt;0,1,0))</f>
        <v/>
      </c>
      <c r="X166">
        <f>IF(X$4=0,0,IF(COUNTIFS(実績!$W$6:$W$505,X$3,実績!$AC$6:$AC$505,"&lt;="&amp;$A166,実績!$AD$6:$AD$505,"&gt;"&amp;$A166,実績!$AE$6:$AE$505,"○")&gt;0,1,0))</f>
        <v/>
      </c>
      <c r="Y166">
        <f>IF(Y$4=0,0,IF(COUNTIFS(実績!$W$6:$W$505,Y$3,実績!$AC$6:$AC$505,"&lt;="&amp;$A166,実績!$AD$6:$AD$505,"&gt;"&amp;$A166,実績!$AE$6:$AE$505,"○")&gt;0,1,0))</f>
        <v/>
      </c>
      <c r="Z166">
        <f>IF(Z$4=0,0,IF(COUNTIFS(実績!$W$6:$W$505,Z$3,実績!$AC$6:$AC$505,"&lt;="&amp;$A166,実績!$AD$6:$AD$505,"&gt;"&amp;$A166,実績!$AE$6:$AE$505,"○")&gt;0,1,0))</f>
        <v/>
      </c>
      <c r="AA166">
        <f>IF(AA$4=0,0,IF(COUNTIFS(実績!$W$6:$W$505,AA$3,実績!$AC$6:$AC$505,"&lt;="&amp;$A166,実績!$AD$6:$AD$505,"&gt;"&amp;$A166,実績!$AE$6:$AE$505,"○")&gt;0,1,0))</f>
        <v/>
      </c>
      <c r="AB166">
        <f>IF(AB$4=0,0,IF(COUNTIFS(実績!$W$6:$W$505,AB$3,実績!$AC$6:$AC$505,"&lt;="&amp;$A166,実績!$AD$6:$AD$505,"&gt;"&amp;$A166,実績!$AE$6:$AE$505,"○")&gt;0,1,0))</f>
        <v/>
      </c>
      <c r="AC166">
        <f>IF(AC$4=0,0,IF(COUNTIFS(実績!$W$6:$W$505,AC$3,実績!$AC$6:$AC$505,"&lt;="&amp;$A166,実績!$AD$6:$AD$505,"&gt;"&amp;$A166,実績!$AE$6:$AE$505,"○")&gt;0,1,0))</f>
        <v/>
      </c>
      <c r="AD166">
        <f>IF(AD$4=0,0,IF(COUNTIFS(実績!$W$6:$W$505,AD$3,実績!$AC$6:$AC$505,"&lt;="&amp;$A166,実績!$AD$6:$AD$505,"&gt;"&amp;$A166,実績!$AE$6:$AE$505,"○")&gt;0,1,0))</f>
        <v/>
      </c>
      <c r="AE166">
        <f>IF(AE$4=0,0,IF(COUNTIFS(実績!$W$6:$W$505,AE$3,実績!$AC$6:$AC$505,"&lt;="&amp;$A166,実績!$AD$6:$AD$505,"&gt;"&amp;$A166,実績!$AE$6:$AE$505,"○")&gt;0,1,0))</f>
        <v/>
      </c>
      <c r="AF166">
        <f>IF(AF$4=0,0,IF(COUNTIFS(実績!$W$6:$W$505,AF$3,実績!$AC$6:$AC$505,"&lt;="&amp;$A166,実績!$AD$6:$AD$505,"&gt;"&amp;$A166,実績!$AE$6:$AE$505,"○")&gt;0,1,0))</f>
        <v/>
      </c>
      <c r="AG166">
        <f>IF(AG$4=0,0,IF(COUNTIFS(実績!$W$6:$W$505,AG$3,実績!$AC$6:$AC$505,"&lt;="&amp;$A166,実績!$AD$6:$AD$505,"&gt;"&amp;$A166,実績!$AE$6:$AE$505,"○")&gt;0,1,0))</f>
        <v/>
      </c>
      <c r="AH166">
        <f>IF(AH$4=0,0,IF(COUNTIFS(実績!$W$6:$W$505,AH$3,実績!$AC$6:$AC$505,"&lt;="&amp;$A166,実績!$AD$6:$AD$505,"&gt;"&amp;$A166,実績!$AE$6:$AE$505,"○")&gt;0,1,0))</f>
        <v/>
      </c>
      <c r="AI166">
        <f>IF(AI$4=0,0,IF(COUNTIFS(実績!$W$6:$W$505,AI$3,実績!$AC$6:$AC$505,"&lt;="&amp;$A166,実績!$AD$6:$AD$505,"&gt;"&amp;$A166,実績!$AE$6:$AE$505,"○")&gt;0,1,0))</f>
        <v/>
      </c>
      <c r="AJ166">
        <f>IF(AJ$4=0,0,IF(COUNTIFS(実績!$W$6:$W$505,AJ$3,実績!$AC$6:$AC$505,"&lt;="&amp;$A166,実績!$AD$6:$AD$505,"&gt;"&amp;$A166,実績!$AE$6:$AE$505,"○")&gt;0,1,0))</f>
        <v/>
      </c>
      <c r="AK166">
        <f>IF(AK$4=0,0,IF(COUNTIFS(実績!$W$6:$W$505,AK$3,実績!$AC$6:$AC$505,"&lt;="&amp;$A166,実績!$AD$6:$AD$505,"&gt;"&amp;$A166,実績!$AE$6:$AE$505,"○")&gt;0,1,0))</f>
        <v/>
      </c>
      <c r="AL166">
        <f>IF(AL$4=0,0,IF(COUNTIFS(実績!$W$6:$W$505,AL$3,実績!$AC$6:$AC$505,"&lt;="&amp;$A166,実績!$AD$6:$AD$505,"&gt;"&amp;$A166,実績!$AE$6:$AE$505,"○")&gt;0,1,0))</f>
        <v/>
      </c>
      <c r="AM166">
        <f>IF(AM$4=0,0,IF(COUNTIFS(実績!$W$6:$W$505,AM$3,実績!$AC$6:$AC$505,"&lt;="&amp;$A166,実績!$AD$6:$AD$505,"&gt;"&amp;$A166,実績!$AE$6:$AE$505,"○")&gt;0,1,0))</f>
        <v/>
      </c>
      <c r="AN166">
        <f>IF(AN$4=0,0,IF(COUNTIFS(実績!$W$6:$W$505,AN$3,実績!$AC$6:$AC$505,"&lt;="&amp;$A166,実績!$AD$6:$AD$505,"&gt;"&amp;$A166,実績!$AE$6:$AE$505,"○")&gt;0,1,0))</f>
        <v/>
      </c>
      <c r="AO166">
        <f>IF(AO$4=0,0,IF(COUNTIFS(実績!$W$6:$W$505,AO$3,実績!$AC$6:$AC$505,"&lt;="&amp;$A166,実績!$AD$6:$AD$505,"&gt;"&amp;$A166,実績!$AE$6:$AE$505,"○")&gt;0,1,0))</f>
        <v/>
      </c>
      <c r="AP166">
        <f>IF(AP$4=0,0,IF(COUNTIFS(実績!$W$6:$W$505,AP$3,実績!$AC$6:$AC$505,"&lt;="&amp;$A166,実績!$AD$6:$AD$505,"&gt;"&amp;$A166,実績!$AE$6:$AE$505,"○")&gt;0,1,0))</f>
        <v/>
      </c>
      <c r="AQ166">
        <f>IF(AQ$4=0,0,IF(COUNTIFS(実績!$W$6:$W$505,AQ$3,実績!$AC$6:$AC$505,"&lt;="&amp;$A166,実績!$AD$6:$AD$505,"&gt;"&amp;$A166,実績!$AE$6:$AE$505,"○")&gt;0,1,0))</f>
        <v/>
      </c>
      <c r="AR166">
        <f>IF(AR$4=0,0,IF(COUNTIFS(実績!$W$6:$W$505,AR$3,実績!$AC$6:$AC$505,"&lt;="&amp;$A166,実績!$AD$6:$AD$505,"&gt;"&amp;$A166,実績!$AE$6:$AE$505,"○")&gt;0,1,0))</f>
        <v/>
      </c>
      <c r="AS166">
        <f>IF(AS$4=0,0,IF(COUNTIFS(実績!$W$6:$W$505,AS$3,実績!$AC$6:$AC$505,"&lt;="&amp;$A166,実績!$AD$6:$AD$505,"&gt;"&amp;$A166,実績!$AE$6:$AE$505,"○")&gt;0,1,0))</f>
        <v/>
      </c>
      <c r="AT166">
        <f>IF(AT$4=0,0,IF(COUNTIFS(実績!$W$6:$W$505,AT$3,実績!$AC$6:$AC$505,"&lt;="&amp;$A166,実績!$AD$6:$AD$505,"&gt;"&amp;$A166,実績!$AE$6:$AE$505,"○")&gt;0,1,0))</f>
        <v/>
      </c>
      <c r="AU166">
        <f>IF(AU$4=0,0,IF(COUNTIFS(実績!$W$6:$W$505,AU$3,実績!$AC$6:$AC$505,"&lt;="&amp;$A166,実績!$AD$6:$AD$505,"&gt;"&amp;$A166,実績!$AE$6:$AE$505,"○")&gt;0,1,0))</f>
        <v/>
      </c>
      <c r="AV166">
        <f>IF(AV$4=0,0,IF(COUNTIFS(実績!$W$6:$W$505,AV$3,実績!$AC$6:$AC$505,"&lt;="&amp;$A166,実績!$AD$6:$AD$505,"&gt;"&amp;$A166,実績!$AE$6:$AE$505,"○")&gt;0,1,0))</f>
        <v/>
      </c>
      <c r="AW166">
        <f>IF(AW$4=0,0,IF(COUNTIFS(実績!$W$6:$W$505,AW$3,実績!$AC$6:$AC$505,"&lt;="&amp;$A166,実績!$AD$6:$AD$505,"&gt;"&amp;$A166,実績!$AE$6:$AE$505,"○")&gt;0,1,0))</f>
        <v/>
      </c>
      <c r="AX166">
        <f>IF(AX$4=0,0,IF(COUNTIFS(実績!$W$6:$W$505,AX$3,実績!$AC$6:$AC$505,"&lt;="&amp;$A166,実績!$AD$6:$AD$505,"&gt;"&amp;$A166,実績!$AE$6:$AE$505,"○")&gt;0,1,0))</f>
        <v/>
      </c>
      <c r="AY166">
        <f>IF(AY$4=0,0,IF(COUNTIFS(実績!$W$6:$W$505,AY$3,実績!$AC$6:$AC$505,"&lt;="&amp;$A166,実績!$AD$6:$AD$505,"&gt;"&amp;$A166,実績!$AE$6:$AE$505,"○")&gt;0,1,0))</f>
        <v/>
      </c>
      <c r="AZ166">
        <f>IF(AZ$4=0,0,IF(COUNTIFS(実績!$W$6:$W$505,AZ$3,実績!$AC$6:$AC$505,"&lt;="&amp;$A166,実績!$AD$6:$AD$505,"&gt;"&amp;$A166,実績!$AE$6:$AE$505,"○")&gt;0,1,0))</f>
        <v/>
      </c>
      <c r="BA166">
        <f>IF(BA$4=0,0,IF(COUNTIFS(実績!$W$6:$W$505,BA$3,実績!$AC$6:$AC$505,"&lt;="&amp;$A166,実績!$AD$6:$AD$505,"&gt;"&amp;$A166,実績!$AE$6:$AE$505,"○")&gt;0,1,0))</f>
        <v/>
      </c>
      <c r="BB166">
        <f>IF(BB$4=0,0,IF(COUNTIFS(実績!$W$6:$W$505,BB$3,実績!$AC$6:$AC$505,"&lt;="&amp;$A166,実績!$AD$6:$AD$505,"&gt;"&amp;$A166,実績!$AE$6:$AE$505,"○")&gt;0,1,0))</f>
        <v/>
      </c>
      <c r="BC166">
        <f>IF(BC$4=0,0,IF(COUNTIFS(実績!$W$6:$W$505,BC$3,実績!$AC$6:$AC$505,"&lt;="&amp;$A166,実績!$AD$6:$AD$505,"&gt;"&amp;$A166,実績!$AE$6:$AE$505,"○")&gt;0,1,0))</f>
        <v/>
      </c>
      <c r="BD166">
        <f>IF(BD$4=0,0,IF(COUNTIFS(実績!$W$6:$W$505,BD$3,実績!$AC$6:$AC$505,"&lt;="&amp;$A166,実績!$AD$6:$AD$505,"&gt;"&amp;$A166,実績!$AE$6:$AE$505,"○")&gt;0,1,0))</f>
        <v/>
      </c>
      <c r="BE166">
        <f>IF(BE$4=0,0,IF(COUNTIFS(実績!$W$6:$W$505,BE$3,実績!$AC$6:$AC$505,"&lt;="&amp;$A166,実績!$AD$6:$AD$505,"&gt;"&amp;$A166,実績!$AE$6:$AE$505,"○")&gt;0,1,0))</f>
        <v/>
      </c>
      <c r="BF166">
        <f>IF(BF$4=0,0,IF(COUNTIFS(実績!$W$6:$W$505,BF$3,実績!$AC$6:$AC$505,"&lt;="&amp;$A166,実績!$AD$6:$AD$505,"&gt;"&amp;$A166,実績!$AE$6:$AE$505,"○")&gt;0,1,0))</f>
        <v/>
      </c>
      <c r="BG166">
        <f>IF(BG$4=0,0,IF(COUNTIFS(実績!$W$6:$W$505,BG$3,実績!$AC$6:$AC$505,"&lt;="&amp;$A166,実績!$AD$6:$AD$505,"&gt;"&amp;$A166,実績!$AE$6:$AE$505,"○")&gt;0,1,0))</f>
        <v/>
      </c>
      <c r="BH166">
        <f>IF(BH$4=0,0,IF(COUNTIFS(実績!$W$6:$W$505,BH$3,実績!$AC$6:$AC$505,"&lt;="&amp;$A166,実績!$AD$6:$AD$505,"&gt;"&amp;$A166,実績!$AE$6:$AE$505,"○")&gt;0,1,0))</f>
        <v/>
      </c>
      <c r="BI166">
        <f>IF(BI$4=0,0,IF(COUNTIFS(実績!$W$6:$W$505,BI$3,実績!$AC$6:$AC$505,"&lt;="&amp;$A166,実績!$AD$6:$AD$505,"&gt;"&amp;$A166,実績!$AE$6:$AE$505,"○")&gt;0,1,0))</f>
        <v/>
      </c>
      <c r="BJ166">
        <f>IF(BJ$4=0,0,IF(COUNTIFS(実績!$W$6:$W$505,BJ$3,実績!$AC$6:$AC$505,"&lt;="&amp;$A166,実績!$AD$6:$AD$505,"&gt;"&amp;$A166,実績!$AE$6:$AE$505,"○")&gt;0,1,0))</f>
        <v/>
      </c>
      <c r="BK166">
        <f>IF(BK$4=0,0,IF(COUNTIFS(実績!$W$6:$W$505,BK$3,実績!$AC$6:$AC$505,"&lt;="&amp;$A166,実績!$AD$6:$AD$505,"&gt;"&amp;$A166,実績!$AE$6:$AE$505,"○")&gt;0,1,0))</f>
        <v/>
      </c>
      <c r="BL166">
        <f>IF(BL$4=0,0,IF(COUNTIFS(実績!$W$6:$W$505,BL$3,実績!$AC$6:$AC$505,"&lt;="&amp;$A166,実績!$AD$6:$AD$505,"&gt;"&amp;$A166,実績!$AE$6:$AE$505,"○")&gt;0,1,0))</f>
        <v/>
      </c>
      <c r="BM166">
        <f>IF(BM$4=0,0,IF(COUNTIFS(実績!$W$6:$W$505,BM$3,実績!$AC$6:$AC$505,"&lt;="&amp;$A166,実績!$AD$6:$AD$505,"&gt;"&amp;$A166,実績!$AE$6:$AE$505,"○")&gt;0,1,0))</f>
        <v/>
      </c>
      <c r="BN166">
        <f>IF(BN$4=0,0,IF(COUNTIFS(実績!$W$6:$W$505,BN$3,実績!$AC$6:$AC$505,"&lt;="&amp;$A166,実績!$AD$6:$AD$505,"&gt;"&amp;$A166,実績!$AE$6:$AE$505,"○")&gt;0,1,0))</f>
        <v/>
      </c>
      <c r="BO166">
        <f>IF(BO$4=0,0,IF(COUNTIFS(実績!$W$6:$W$505,BO$3,実績!$AC$6:$AC$505,"&lt;="&amp;$A166,実績!$AD$6:$AD$505,"&gt;"&amp;$A166,実績!$AE$6:$AE$505,"○")&gt;0,1,0))</f>
        <v/>
      </c>
      <c r="BP166">
        <f>IF(BP$4=0,0,IF(COUNTIFS(実績!$W$6:$W$505,BP$3,実績!$AC$6:$AC$505,"&lt;="&amp;$A166,実績!$AD$6:$AD$505,"&gt;"&amp;$A166,実績!$AE$6:$AE$505,"○")&gt;0,1,0))</f>
        <v/>
      </c>
      <c r="BQ166">
        <f>IF(BQ$4=0,0,IF(COUNTIFS(実績!$W$6:$W$505,BQ$3,実績!$AC$6:$AC$505,"&lt;="&amp;$A166,実績!$AD$6:$AD$505,"&gt;"&amp;$A166,実績!$AE$6:$AE$505,"○")&gt;0,1,0))</f>
        <v/>
      </c>
      <c r="BR166">
        <f>IF(BR$4=0,0,IF(COUNTIFS(実績!$W$6:$W$505,BR$3,実績!$AC$6:$AC$505,"&lt;="&amp;$A166,実績!$AD$6:$AD$505,"&gt;"&amp;$A166,実績!$AE$6:$AE$505,"○")&gt;0,1,0))</f>
        <v/>
      </c>
      <c r="BS166">
        <f>IF(BS$4=0,0,IF(COUNTIFS(実績!$W$6:$W$505,BS$3,実績!$AC$6:$AC$505,"&lt;="&amp;$A166,実績!$AD$6:$AD$505,"&gt;"&amp;$A166,実績!$AE$6:$AE$505,"○")&gt;0,1,0))</f>
        <v/>
      </c>
      <c r="BT166">
        <f>IF(BT$4=0,0,IF(COUNTIFS(実績!$W$6:$W$505,BT$3,実績!$AC$6:$AC$505,"&lt;="&amp;$A166,実績!$AD$6:$AD$505,"&gt;"&amp;$A166,実績!$AE$6:$AE$505,"○")&gt;0,1,0))</f>
        <v/>
      </c>
      <c r="BU166">
        <f>IF(BU$4=0,0,IF(COUNTIFS(実績!$W$6:$W$505,BU$3,実績!$AC$6:$AC$505,"&lt;="&amp;$A166,実績!$AD$6:$AD$505,"&gt;"&amp;$A166,実績!$AE$6:$AE$505,"○")&gt;0,1,0))</f>
        <v/>
      </c>
      <c r="BV166">
        <f>IF(BV$4=0,0,IF(COUNTIFS(実績!$W$6:$W$505,BV$3,実績!$AC$6:$AC$505,"&lt;="&amp;$A166,実績!$AD$6:$AD$505,"&gt;"&amp;$A166,実績!$AE$6:$AE$505,"○")&gt;0,1,0))</f>
        <v/>
      </c>
      <c r="BW166">
        <f>IF(BW$4=0,0,IF(COUNTIFS(実績!$W$6:$W$505,BW$3,実績!$AC$6:$AC$505,"&lt;="&amp;$A166,実績!$AD$6:$AD$505,"&gt;"&amp;$A166,実績!$AE$6:$AE$505,"○")&gt;0,1,0))</f>
        <v/>
      </c>
      <c r="BX166">
        <f>IF(BX$4=0,0,IF(COUNTIFS(実績!$W$6:$W$505,BX$3,実績!$AC$6:$AC$505,"&lt;="&amp;$A166,実績!$AD$6:$AD$505,"&gt;"&amp;$A166,実績!$AE$6:$AE$505,"○")&gt;0,1,0))</f>
        <v/>
      </c>
      <c r="BY166">
        <f>IF(BY$4=0,0,IF(COUNTIFS(実績!$W$6:$W$505,BY$3,実績!$AC$6:$AC$505,"&lt;="&amp;$A166,実績!$AD$6:$AD$505,"&gt;"&amp;$A166,実績!$AE$6:$AE$505,"○")&gt;0,1,0))</f>
        <v/>
      </c>
      <c r="BZ166">
        <f>IF(BZ$4=0,0,IF(COUNTIFS(実績!$W$6:$W$505,BZ$3,実績!$AC$6:$AC$505,"&lt;="&amp;$A166,実績!$AD$6:$AD$505,"&gt;"&amp;$A166,実績!$AE$6:$AE$505,"○")&gt;0,1,0))</f>
        <v/>
      </c>
      <c r="CA166">
        <f>IF(CA$4=0,0,IF(COUNTIFS(実績!$W$6:$W$505,CA$3,実績!$AC$6:$AC$505,"&lt;="&amp;$A166,実績!$AD$6:$AD$505,"&gt;"&amp;$A166,実績!$AE$6:$AE$505,"○")&gt;0,1,0))</f>
        <v/>
      </c>
      <c r="CB166">
        <f>IF(CB$4=0,0,IF(COUNTIFS(実績!$W$6:$W$505,CB$3,実績!$AC$6:$AC$505,"&lt;="&amp;$A166,実績!$AD$6:$AD$505,"&gt;"&amp;$A166,実績!$AE$6:$AE$505,"○")&gt;0,1,0))</f>
        <v/>
      </c>
      <c r="CC166">
        <f>IF(CC$4=0,0,IF(COUNTIFS(実績!$W$6:$W$505,CC$3,実績!$AC$6:$AC$505,"&lt;="&amp;$A166,実績!$AD$6:$AD$505,"&gt;"&amp;$A166,実績!$AE$6:$AE$505,"○")&gt;0,1,0))</f>
        <v/>
      </c>
      <c r="CD166">
        <f>IF(CD$4=0,0,IF(COUNTIFS(実績!$W$6:$W$505,CD$3,実績!$AC$6:$AC$505,"&lt;="&amp;$A166,実績!$AD$6:$AD$505,"&gt;"&amp;$A166,実績!$AE$6:$AE$505,"○")&gt;0,1,0))</f>
        <v/>
      </c>
      <c r="CE166">
        <f>IF(CE$4=0,0,IF(COUNTIFS(実績!$W$6:$W$505,CE$3,実績!$AC$6:$AC$505,"&lt;="&amp;$A166,実績!$AD$6:$AD$505,"&gt;"&amp;$A166,実績!$AE$6:$AE$505,"○")&gt;0,1,0))</f>
        <v/>
      </c>
      <c r="CF166">
        <f>IF(CF$4=0,0,IF(COUNTIFS(実績!$W$6:$W$505,CF$3,実績!$AC$6:$AC$505,"&lt;="&amp;$A166,実績!$AD$6:$AD$505,"&gt;"&amp;$A166,実績!$AE$6:$AE$505,"○")&gt;0,1,0))</f>
        <v/>
      </c>
      <c r="CG166">
        <f>IF(CG$4=0,0,IF(COUNTIFS(実績!$W$6:$W$505,CG$3,実績!$AC$6:$AC$505,"&lt;="&amp;$A166,実績!$AD$6:$AD$505,"&gt;"&amp;$A166,実績!$AE$6:$AE$505,"○")&gt;0,1,0))</f>
        <v/>
      </c>
      <c r="CH166">
        <f>IF(CH$4=0,0,IF(COUNTIFS(実績!$W$6:$W$505,CH$3,実績!$AC$6:$AC$505,"&lt;="&amp;$A166,実績!$AD$6:$AD$505,"&gt;"&amp;$A166,実績!$AE$6:$AE$505,"○")&gt;0,1,0))</f>
        <v/>
      </c>
      <c r="CI166">
        <f>IF(CI$4=0,0,IF(COUNTIFS(実績!$W$6:$W$505,CI$3,実績!$AC$6:$AC$505,"&lt;="&amp;$A166,実績!$AD$6:$AD$505,"&gt;"&amp;$A166,実績!$AE$6:$AE$505,"○")&gt;0,1,0))</f>
        <v/>
      </c>
      <c r="CJ166">
        <f>IF(CJ$4=0,0,IF(COUNTIFS(実績!$W$6:$W$505,CJ$3,実績!$AC$6:$AC$505,"&lt;="&amp;$A166,実績!$AD$6:$AD$505,"&gt;"&amp;$A166,実績!$AE$6:$AE$505,"○")&gt;0,1,0))</f>
        <v/>
      </c>
      <c r="CK166">
        <f>IF(CK$4=0,0,IF(COUNTIFS(実績!$W$6:$W$505,CK$3,実績!$AC$6:$AC$505,"&lt;="&amp;$A166,実績!$AD$6:$AD$505,"&gt;"&amp;$A166,実績!$AE$6:$AE$505,"○")&gt;0,1,0))</f>
        <v/>
      </c>
      <c r="CL166">
        <f>IF(CL$4=0,0,IF(COUNTIFS(実績!$W$6:$W$505,CL$3,実績!$AC$6:$AC$505,"&lt;="&amp;$A166,実績!$AD$6:$AD$505,"&gt;"&amp;$A166,実績!$AE$6:$AE$505,"○")&gt;0,1,0))</f>
        <v/>
      </c>
      <c r="CM166">
        <f>IF(CM$4=0,0,IF(COUNTIFS(実績!$W$6:$W$505,CM$3,実績!$AC$6:$AC$505,"&lt;="&amp;$A166,実績!$AD$6:$AD$505,"&gt;"&amp;$A166,実績!$AE$6:$AE$505,"○")&gt;0,1,0))</f>
        <v/>
      </c>
      <c r="CN166">
        <f>IF(CN$4=0,0,IF(COUNTIFS(実績!$W$6:$W$505,CN$3,実績!$AC$6:$AC$505,"&lt;="&amp;$A166,実績!$AD$6:$AD$505,"&gt;"&amp;$A166,実績!$AE$6:$AE$505,"○")&gt;0,1,0))</f>
        <v/>
      </c>
      <c r="CO166">
        <f>IF(CO$4=0,0,IF(COUNTIFS(実績!$W$6:$W$505,CO$3,実績!$AC$6:$AC$505,"&lt;="&amp;$A166,実績!$AD$6:$AD$505,"&gt;"&amp;$A166,実績!$AE$6:$AE$505,"○")&gt;0,1,0))</f>
        <v/>
      </c>
      <c r="CP166">
        <f>IF(CP$4=0,0,IF(COUNTIFS(実績!$W$6:$W$505,CP$3,実績!$AC$6:$AC$505,"&lt;="&amp;$A166,実績!$AD$6:$AD$505,"&gt;"&amp;$A166,実績!$AE$6:$AE$505,"○")&gt;0,1,0))</f>
        <v/>
      </c>
      <c r="CQ166">
        <f>IF(CQ$4=0,0,IF(COUNTIFS(実績!$W$6:$W$505,CQ$3,実績!$AC$6:$AC$505,"&lt;="&amp;$A166,実績!$AD$6:$AD$505,"&gt;"&amp;$A166,実績!$AE$6:$AE$505,"○")&gt;0,1,0))</f>
        <v/>
      </c>
      <c r="CR166">
        <f>IF(CR$4=0,0,IF(COUNTIFS(実績!$W$6:$W$505,CR$3,実績!$AC$6:$AC$505,"&lt;="&amp;$A166,実績!$AD$6:$AD$505,"&gt;"&amp;$A166,実績!$AE$6:$AE$505,"○")&gt;0,1,0))</f>
        <v/>
      </c>
      <c r="CS166">
        <f>IF(CS$4=0,0,IF(COUNTIFS(実績!$W$6:$W$505,CS$3,実績!$AC$6:$AC$505,"&lt;="&amp;$A166,実績!$AD$6:$AD$505,"&gt;"&amp;$A166,実績!$AE$6:$AE$505,"○")&gt;0,1,0))</f>
        <v/>
      </c>
      <c r="CT166">
        <f>IF(CT$4=0,0,IF(COUNTIFS(実績!$W$6:$W$505,CT$3,実績!$AC$6:$AC$505,"&lt;="&amp;$A166,実績!$AD$6:$AD$505,"&gt;"&amp;$A166,実績!$AE$6:$AE$505,"○")&gt;0,1,0))</f>
        <v/>
      </c>
      <c r="CU166">
        <f>IF(CU$4=0,0,IF(COUNTIFS(実績!$W$6:$W$505,CU$3,実績!$AC$6:$AC$505,"&lt;="&amp;$A166,実績!$AD$6:$AD$505,"&gt;"&amp;$A166,実績!$AE$6:$AE$505,"○")&gt;0,1,0))</f>
        <v/>
      </c>
      <c r="CV166">
        <f>IF(CV$4=0,0,IF(COUNTIFS(実績!$W$6:$W$505,CV$3,実績!$AC$6:$AC$505,"&lt;="&amp;$A166,実績!$AD$6:$AD$505,"&gt;"&amp;$A166,実績!$AE$6:$AE$505,"○")&gt;0,1,0))</f>
        <v/>
      </c>
      <c r="CW166">
        <f>IF(CW$4=0,0,IF(COUNTIFS(実績!$W$6:$W$505,CW$3,実績!$AC$6:$AC$505,"&lt;="&amp;$A166,実績!$AD$6:$AD$505,"&gt;"&amp;$A166,実績!$AE$6:$AE$505,"○")&gt;0,1,0))</f>
        <v/>
      </c>
      <c r="CX166">
        <f>IF(CX$4=0,0,IF(COUNTIFS(実績!$W$6:$W$505,CX$3,実績!$AC$6:$AC$505,"&lt;="&amp;$A166,実績!$AD$6:$AD$505,"&gt;"&amp;$A166,実績!$AE$6:$AE$505,"○")&gt;0,1,0))</f>
        <v/>
      </c>
      <c r="CY166">
        <f>IF(CY$4=0,0,IF(COUNTIFS(実績!$W$6:$W$505,CY$3,実績!$AC$6:$AC$505,"&lt;="&amp;$A166,実績!$AD$6:$AD$505,"&gt;"&amp;$A166,実績!$AE$6:$AE$505,"○")&gt;0,1,0))</f>
        <v/>
      </c>
      <c r="CZ166">
        <f>IF(CZ$4=0,0,IF(COUNTIFS(実績!$W$6:$W$505,CZ$3,実績!$AC$6:$AC$505,"&lt;="&amp;$A166,実績!$AD$6:$AD$505,"&gt;"&amp;$A166,実績!$AE$6:$AE$505,"○")&gt;0,1,0))</f>
        <v/>
      </c>
      <c r="DA166">
        <f>IF(DA$4=0,0,IF(COUNTIFS(実績!$W$6:$W$505,DA$3,実績!$AC$6:$AC$505,"&lt;="&amp;$A166,実績!$AD$6:$AD$505,"&gt;"&amp;$A166,実績!$AE$6:$AE$505,"○")&gt;0,1,0))</f>
        <v/>
      </c>
      <c r="DB166">
        <f>IF(DB$4=0,0,IF(COUNTIFS(実績!$W$6:$W$505,DB$3,実績!$AC$6:$AC$505,"&lt;="&amp;$A166,実績!$AD$6:$AD$505,"&gt;"&amp;$A166,実績!$AE$6:$AE$505,"○")&gt;0,1,0))</f>
        <v/>
      </c>
      <c r="DC166">
        <f>IF(DC$4=0,0,IF(COUNTIFS(実績!$W$6:$W$505,DC$3,実績!$AC$6:$AC$505,"&lt;="&amp;$A166,実績!$AD$6:$AD$505,"&gt;"&amp;$A166,実績!$AE$6:$AE$505,"○")&gt;0,1,0))</f>
        <v/>
      </c>
      <c r="DD166">
        <f>IF(DD$4=0,0,IF(COUNTIFS(実績!$W$6:$W$505,DD$3,実績!$AC$6:$AC$505,"&lt;="&amp;$A166,実績!$AD$6:$AD$505,"&gt;"&amp;$A166,実績!$AE$6:$AE$505,"○")&gt;0,1,0))</f>
        <v/>
      </c>
      <c r="DE166">
        <f>IF(DE$4=0,0,IF(COUNTIFS(実績!$W$6:$W$505,DE$3,実績!$AC$6:$AC$505,"&lt;="&amp;$A166,実績!$AD$6:$AD$505,"&gt;"&amp;$A166,実績!$AE$6:$AE$505,"○")&gt;0,1,0))</f>
        <v/>
      </c>
      <c r="DF166">
        <f>IF(DF$4=0,0,IF(COUNTIFS(実績!$W$6:$W$505,DF$3,実績!$AC$6:$AC$505,"&lt;="&amp;$A166,実績!$AD$6:$AD$505,"&gt;"&amp;$A166,実績!$AE$6:$AE$505,"○")&gt;0,1,0))</f>
        <v/>
      </c>
      <c r="DG166">
        <f>IF(DG$4=0,0,IF(COUNTIFS(実績!$W$6:$W$505,DG$3,実績!$AC$6:$AC$505,"&lt;="&amp;$A166,実績!$AD$6:$AD$505,"&gt;"&amp;$A166,実績!$AE$6:$AE$505,"○")&gt;0,1,0))</f>
        <v/>
      </c>
      <c r="DH166">
        <f>IF(DH$4=0,0,IF(COUNTIFS(実績!$W$6:$W$505,DH$3,実績!$AC$6:$AC$505,"&lt;="&amp;$A166,実績!$AD$6:$AD$505,"&gt;"&amp;$A166,実績!$AE$6:$AE$505,"○")&gt;0,1,0))</f>
        <v/>
      </c>
      <c r="DI166">
        <f>IF(DI$4=0,0,IF(COUNTIFS(実績!$W$6:$W$505,DI$3,実績!$AC$6:$AC$505,"&lt;="&amp;$A166,実績!$AD$6:$AD$505,"&gt;"&amp;$A166,実績!$AE$6:$AE$505,"○")&gt;0,1,0))</f>
        <v/>
      </c>
      <c r="DJ166">
        <f>IF(DJ$4=0,0,IF(COUNTIFS(実績!$W$6:$W$505,DJ$3,実績!$AC$6:$AC$505,"&lt;="&amp;$A166,実績!$AD$6:$AD$505,"&gt;"&amp;$A166,実績!$AE$6:$AE$505,"○")&gt;0,1,0))</f>
        <v/>
      </c>
      <c r="DK166">
        <f>IF(DK$4=0,0,IF(COUNTIFS(実績!$W$6:$W$505,DK$3,実績!$AC$6:$AC$505,"&lt;="&amp;$A166,実績!$AD$6:$AD$505,"&gt;"&amp;$A166,実績!$AE$6:$AE$505,"○")&gt;0,1,0))</f>
        <v/>
      </c>
      <c r="DL166">
        <f>IF(DL$4=0,0,IF(COUNTIFS(実績!$W$6:$W$505,DL$3,実績!$AC$6:$AC$505,"&lt;="&amp;$A166,実績!$AD$6:$AD$505,"&gt;"&amp;$A166,実績!$AE$6:$AE$505,"○")&gt;0,1,0))</f>
        <v/>
      </c>
      <c r="DM166">
        <f>IF(DM$4=0,0,IF(COUNTIFS(実績!$W$6:$W$505,DM$3,実績!$AC$6:$AC$505,"&lt;="&amp;$A166,実績!$AD$6:$AD$505,"&gt;"&amp;$A166,実績!$AE$6:$AE$505,"○")&gt;0,1,0))</f>
        <v/>
      </c>
      <c r="DN166">
        <f>IF(DN$4=0,0,IF(COUNTIFS(実績!$W$6:$W$505,DN$3,実績!$AC$6:$AC$505,"&lt;="&amp;$A166,実績!$AD$6:$AD$505,"&gt;"&amp;$A166,実績!$AE$6:$AE$505,"○")&gt;0,1,0))</f>
        <v/>
      </c>
      <c r="DO166">
        <f>IF(DO$4=0,0,IF(COUNTIFS(実績!$W$6:$W$505,DO$3,実績!$AC$6:$AC$505,"&lt;="&amp;$A166,実績!$AD$6:$AD$505,"&gt;"&amp;$A166,実績!$AE$6:$AE$505,"○")&gt;0,1,0))</f>
        <v/>
      </c>
      <c r="DP166">
        <f>IF(DP$4=0,0,IF(COUNTIFS(実績!$W$6:$W$505,DP$3,実績!$AC$6:$AC$505,"&lt;="&amp;$A166,実績!$AD$6:$AD$505,"&gt;"&amp;$A166,実績!$AE$6:$AE$505,"○")&gt;0,1,0))</f>
        <v/>
      </c>
      <c r="DQ166">
        <f>IF(DQ$4=0,0,IF(COUNTIFS(実績!$W$6:$W$505,DQ$3,実績!$AC$6:$AC$505,"&lt;="&amp;$A166,実績!$AD$6:$AD$505,"&gt;"&amp;$A166,実績!$AE$6:$AE$505,"○")&gt;0,1,0))</f>
        <v/>
      </c>
      <c r="DR166">
        <f>IF(DR$4=0,0,IF(COUNTIFS(実績!$W$6:$W$505,DR$3,実績!$AC$6:$AC$505,"&lt;="&amp;$A166,実績!$AD$6:$AD$505,"&gt;"&amp;$A166,実績!$AE$6:$AE$505,"○")&gt;0,1,0))</f>
        <v/>
      </c>
      <c r="DS166">
        <f>SUM(C166:DR166)</f>
        <v/>
      </c>
      <c r="DT166">
        <f>SUMPRODUCT((実績!$C$6:$C$505="○")*ISNUMBER(実績!$AF$6:$AF$505)*(実績!$AF$6:$AF$505&lt;=$A166)*(実績!$AG$6:$AG$505&gt;$A166))</f>
        <v/>
      </c>
      <c r="DU166">
        <f>SUMIF($C$2:$DR$2,"製鉄曳船",C166:DR166)</f>
        <v/>
      </c>
      <c r="DV166">
        <f>SUMIF($C$2:$DR$2,"西日本海運",C166:DR166)</f>
        <v/>
      </c>
    </row>
    <row r="167">
      <c r="A167" t="n">
        <v>805</v>
      </c>
      <c r="B167" s="29">
        <f>A167/1440</f>
        <v/>
      </c>
      <c r="C167">
        <f>IF(C$4=0,0,IF(COUNTIFS(実績!$W$6:$W$505,C$3,実績!$AC$6:$AC$505,"&lt;="&amp;$A167,実績!$AD$6:$AD$505,"&gt;"&amp;$A167,実績!$AE$6:$AE$505,"○")&gt;0,1,0))</f>
        <v/>
      </c>
      <c r="D167">
        <f>IF(D$4=0,0,IF(COUNTIFS(実績!$W$6:$W$505,D$3,実績!$AC$6:$AC$505,"&lt;="&amp;$A167,実績!$AD$6:$AD$505,"&gt;"&amp;$A167,実績!$AE$6:$AE$505,"○")&gt;0,1,0))</f>
        <v/>
      </c>
      <c r="E167">
        <f>IF(E$4=0,0,IF(COUNTIFS(実績!$W$6:$W$505,E$3,実績!$AC$6:$AC$505,"&lt;="&amp;$A167,実績!$AD$6:$AD$505,"&gt;"&amp;$A167,実績!$AE$6:$AE$505,"○")&gt;0,1,0))</f>
        <v/>
      </c>
      <c r="F167">
        <f>IF(F$4=0,0,IF(COUNTIFS(実績!$W$6:$W$505,F$3,実績!$AC$6:$AC$505,"&lt;="&amp;$A167,実績!$AD$6:$AD$505,"&gt;"&amp;$A167,実績!$AE$6:$AE$505,"○")&gt;0,1,0))</f>
        <v/>
      </c>
      <c r="G167">
        <f>IF(G$4=0,0,IF(COUNTIFS(実績!$W$6:$W$505,G$3,実績!$AC$6:$AC$505,"&lt;="&amp;$A167,実績!$AD$6:$AD$505,"&gt;"&amp;$A167,実績!$AE$6:$AE$505,"○")&gt;0,1,0))</f>
        <v/>
      </c>
      <c r="H167">
        <f>IF(H$4=0,0,IF(COUNTIFS(実績!$W$6:$W$505,H$3,実績!$AC$6:$AC$505,"&lt;="&amp;$A167,実績!$AD$6:$AD$505,"&gt;"&amp;$A167,実績!$AE$6:$AE$505,"○")&gt;0,1,0))</f>
        <v/>
      </c>
      <c r="I167">
        <f>IF(I$4=0,0,IF(COUNTIFS(実績!$W$6:$W$505,I$3,実績!$AC$6:$AC$505,"&lt;="&amp;$A167,実績!$AD$6:$AD$505,"&gt;"&amp;$A167,実績!$AE$6:$AE$505,"○")&gt;0,1,0))</f>
        <v/>
      </c>
      <c r="J167">
        <f>IF(J$4=0,0,IF(COUNTIFS(実績!$W$6:$W$505,J$3,実績!$AC$6:$AC$505,"&lt;="&amp;$A167,実績!$AD$6:$AD$505,"&gt;"&amp;$A167,実績!$AE$6:$AE$505,"○")&gt;0,1,0))</f>
        <v/>
      </c>
      <c r="K167">
        <f>IF(K$4=0,0,IF(COUNTIFS(実績!$W$6:$W$505,K$3,実績!$AC$6:$AC$505,"&lt;="&amp;$A167,実績!$AD$6:$AD$505,"&gt;"&amp;$A167,実績!$AE$6:$AE$505,"○")&gt;0,1,0))</f>
        <v/>
      </c>
      <c r="L167">
        <f>IF(L$4=0,0,IF(COUNTIFS(実績!$W$6:$W$505,L$3,実績!$AC$6:$AC$505,"&lt;="&amp;$A167,実績!$AD$6:$AD$505,"&gt;"&amp;$A167,実績!$AE$6:$AE$505,"○")&gt;0,1,0))</f>
        <v/>
      </c>
      <c r="M167">
        <f>IF(M$4=0,0,IF(COUNTIFS(実績!$W$6:$W$505,M$3,実績!$AC$6:$AC$505,"&lt;="&amp;$A167,実績!$AD$6:$AD$505,"&gt;"&amp;$A167,実績!$AE$6:$AE$505,"○")&gt;0,1,0))</f>
        <v/>
      </c>
      <c r="N167">
        <f>IF(N$4=0,0,IF(COUNTIFS(実績!$W$6:$W$505,N$3,実績!$AC$6:$AC$505,"&lt;="&amp;$A167,実績!$AD$6:$AD$505,"&gt;"&amp;$A167,実績!$AE$6:$AE$505,"○")&gt;0,1,0))</f>
        <v/>
      </c>
      <c r="O167">
        <f>IF(O$4=0,0,IF(COUNTIFS(実績!$W$6:$W$505,O$3,実績!$AC$6:$AC$505,"&lt;="&amp;$A167,実績!$AD$6:$AD$505,"&gt;"&amp;$A167,実績!$AE$6:$AE$505,"○")&gt;0,1,0))</f>
        <v/>
      </c>
      <c r="P167">
        <f>IF(P$4=0,0,IF(COUNTIFS(実績!$W$6:$W$505,P$3,実績!$AC$6:$AC$505,"&lt;="&amp;$A167,実績!$AD$6:$AD$505,"&gt;"&amp;$A167,実績!$AE$6:$AE$505,"○")&gt;0,1,0))</f>
        <v/>
      </c>
      <c r="Q167">
        <f>IF(Q$4=0,0,IF(COUNTIFS(実績!$W$6:$W$505,Q$3,実績!$AC$6:$AC$505,"&lt;="&amp;$A167,実績!$AD$6:$AD$505,"&gt;"&amp;$A167,実績!$AE$6:$AE$505,"○")&gt;0,1,0))</f>
        <v/>
      </c>
      <c r="R167">
        <f>IF(R$4=0,0,IF(COUNTIFS(実績!$W$6:$W$505,R$3,実績!$AC$6:$AC$505,"&lt;="&amp;$A167,実績!$AD$6:$AD$505,"&gt;"&amp;$A167,実績!$AE$6:$AE$505,"○")&gt;0,1,0))</f>
        <v/>
      </c>
      <c r="S167">
        <f>IF(S$4=0,0,IF(COUNTIFS(実績!$W$6:$W$505,S$3,実績!$AC$6:$AC$505,"&lt;="&amp;$A167,実績!$AD$6:$AD$505,"&gt;"&amp;$A167,実績!$AE$6:$AE$505,"○")&gt;0,1,0))</f>
        <v/>
      </c>
      <c r="T167">
        <f>IF(T$4=0,0,IF(COUNTIFS(実績!$W$6:$W$505,T$3,実績!$AC$6:$AC$505,"&lt;="&amp;$A167,実績!$AD$6:$AD$505,"&gt;"&amp;$A167,実績!$AE$6:$AE$505,"○")&gt;0,1,0))</f>
        <v/>
      </c>
      <c r="U167">
        <f>IF(U$4=0,0,IF(COUNTIFS(実績!$W$6:$W$505,U$3,実績!$AC$6:$AC$505,"&lt;="&amp;$A167,実績!$AD$6:$AD$505,"&gt;"&amp;$A167,実績!$AE$6:$AE$505,"○")&gt;0,1,0))</f>
        <v/>
      </c>
      <c r="V167">
        <f>IF(V$4=0,0,IF(COUNTIFS(実績!$W$6:$W$505,V$3,実績!$AC$6:$AC$505,"&lt;="&amp;$A167,実績!$AD$6:$AD$505,"&gt;"&amp;$A167,実績!$AE$6:$AE$505,"○")&gt;0,1,0))</f>
        <v/>
      </c>
      <c r="W167">
        <f>IF(W$4=0,0,IF(COUNTIFS(実績!$W$6:$W$505,W$3,実績!$AC$6:$AC$505,"&lt;="&amp;$A167,実績!$AD$6:$AD$505,"&gt;"&amp;$A167,実績!$AE$6:$AE$505,"○")&gt;0,1,0))</f>
        <v/>
      </c>
      <c r="X167">
        <f>IF(X$4=0,0,IF(COUNTIFS(実績!$W$6:$W$505,X$3,実績!$AC$6:$AC$505,"&lt;="&amp;$A167,実績!$AD$6:$AD$505,"&gt;"&amp;$A167,実績!$AE$6:$AE$505,"○")&gt;0,1,0))</f>
        <v/>
      </c>
      <c r="Y167">
        <f>IF(Y$4=0,0,IF(COUNTIFS(実績!$W$6:$W$505,Y$3,実績!$AC$6:$AC$505,"&lt;="&amp;$A167,実績!$AD$6:$AD$505,"&gt;"&amp;$A167,実績!$AE$6:$AE$505,"○")&gt;0,1,0))</f>
        <v/>
      </c>
      <c r="Z167">
        <f>IF(Z$4=0,0,IF(COUNTIFS(実績!$W$6:$W$505,Z$3,実績!$AC$6:$AC$505,"&lt;="&amp;$A167,実績!$AD$6:$AD$505,"&gt;"&amp;$A167,実績!$AE$6:$AE$505,"○")&gt;0,1,0))</f>
        <v/>
      </c>
      <c r="AA167">
        <f>IF(AA$4=0,0,IF(COUNTIFS(実績!$W$6:$W$505,AA$3,実績!$AC$6:$AC$505,"&lt;="&amp;$A167,実績!$AD$6:$AD$505,"&gt;"&amp;$A167,実績!$AE$6:$AE$505,"○")&gt;0,1,0))</f>
        <v/>
      </c>
      <c r="AB167">
        <f>IF(AB$4=0,0,IF(COUNTIFS(実績!$W$6:$W$505,AB$3,実績!$AC$6:$AC$505,"&lt;="&amp;$A167,実績!$AD$6:$AD$505,"&gt;"&amp;$A167,実績!$AE$6:$AE$505,"○")&gt;0,1,0))</f>
        <v/>
      </c>
      <c r="AC167">
        <f>IF(AC$4=0,0,IF(COUNTIFS(実績!$W$6:$W$505,AC$3,実績!$AC$6:$AC$505,"&lt;="&amp;$A167,実績!$AD$6:$AD$505,"&gt;"&amp;$A167,実績!$AE$6:$AE$505,"○")&gt;0,1,0))</f>
        <v/>
      </c>
      <c r="AD167">
        <f>IF(AD$4=0,0,IF(COUNTIFS(実績!$W$6:$W$505,AD$3,実績!$AC$6:$AC$505,"&lt;="&amp;$A167,実績!$AD$6:$AD$505,"&gt;"&amp;$A167,実績!$AE$6:$AE$505,"○")&gt;0,1,0))</f>
        <v/>
      </c>
      <c r="AE167">
        <f>IF(AE$4=0,0,IF(COUNTIFS(実績!$W$6:$W$505,AE$3,実績!$AC$6:$AC$505,"&lt;="&amp;$A167,実績!$AD$6:$AD$505,"&gt;"&amp;$A167,実績!$AE$6:$AE$505,"○")&gt;0,1,0))</f>
        <v/>
      </c>
      <c r="AF167">
        <f>IF(AF$4=0,0,IF(COUNTIFS(実績!$W$6:$W$505,AF$3,実績!$AC$6:$AC$505,"&lt;="&amp;$A167,実績!$AD$6:$AD$505,"&gt;"&amp;$A167,実績!$AE$6:$AE$505,"○")&gt;0,1,0))</f>
        <v/>
      </c>
      <c r="AG167">
        <f>IF(AG$4=0,0,IF(COUNTIFS(実績!$W$6:$W$505,AG$3,実績!$AC$6:$AC$505,"&lt;="&amp;$A167,実績!$AD$6:$AD$505,"&gt;"&amp;$A167,実績!$AE$6:$AE$505,"○")&gt;0,1,0))</f>
        <v/>
      </c>
      <c r="AH167">
        <f>IF(AH$4=0,0,IF(COUNTIFS(実績!$W$6:$W$505,AH$3,実績!$AC$6:$AC$505,"&lt;="&amp;$A167,実績!$AD$6:$AD$505,"&gt;"&amp;$A167,実績!$AE$6:$AE$505,"○")&gt;0,1,0))</f>
        <v/>
      </c>
      <c r="AI167">
        <f>IF(AI$4=0,0,IF(COUNTIFS(実績!$W$6:$W$505,AI$3,実績!$AC$6:$AC$505,"&lt;="&amp;$A167,実績!$AD$6:$AD$505,"&gt;"&amp;$A167,実績!$AE$6:$AE$505,"○")&gt;0,1,0))</f>
        <v/>
      </c>
      <c r="AJ167">
        <f>IF(AJ$4=0,0,IF(COUNTIFS(実績!$W$6:$W$505,AJ$3,実績!$AC$6:$AC$505,"&lt;="&amp;$A167,実績!$AD$6:$AD$505,"&gt;"&amp;$A167,実績!$AE$6:$AE$505,"○")&gt;0,1,0))</f>
        <v/>
      </c>
      <c r="AK167">
        <f>IF(AK$4=0,0,IF(COUNTIFS(実績!$W$6:$W$505,AK$3,実績!$AC$6:$AC$505,"&lt;="&amp;$A167,実績!$AD$6:$AD$505,"&gt;"&amp;$A167,実績!$AE$6:$AE$505,"○")&gt;0,1,0))</f>
        <v/>
      </c>
      <c r="AL167">
        <f>IF(AL$4=0,0,IF(COUNTIFS(実績!$W$6:$W$505,AL$3,実績!$AC$6:$AC$505,"&lt;="&amp;$A167,実績!$AD$6:$AD$505,"&gt;"&amp;$A167,実績!$AE$6:$AE$505,"○")&gt;0,1,0))</f>
        <v/>
      </c>
      <c r="AM167">
        <f>IF(AM$4=0,0,IF(COUNTIFS(実績!$W$6:$W$505,AM$3,実績!$AC$6:$AC$505,"&lt;="&amp;$A167,実績!$AD$6:$AD$505,"&gt;"&amp;$A167,実績!$AE$6:$AE$505,"○")&gt;0,1,0))</f>
        <v/>
      </c>
      <c r="AN167">
        <f>IF(AN$4=0,0,IF(COUNTIFS(実績!$W$6:$W$505,AN$3,実績!$AC$6:$AC$505,"&lt;="&amp;$A167,実績!$AD$6:$AD$505,"&gt;"&amp;$A167,実績!$AE$6:$AE$505,"○")&gt;0,1,0))</f>
        <v/>
      </c>
      <c r="AO167">
        <f>IF(AO$4=0,0,IF(COUNTIFS(実績!$W$6:$W$505,AO$3,実績!$AC$6:$AC$505,"&lt;="&amp;$A167,実績!$AD$6:$AD$505,"&gt;"&amp;$A167,実績!$AE$6:$AE$505,"○")&gt;0,1,0))</f>
        <v/>
      </c>
      <c r="AP167">
        <f>IF(AP$4=0,0,IF(COUNTIFS(実績!$W$6:$W$505,AP$3,実績!$AC$6:$AC$505,"&lt;="&amp;$A167,実績!$AD$6:$AD$505,"&gt;"&amp;$A167,実績!$AE$6:$AE$505,"○")&gt;0,1,0))</f>
        <v/>
      </c>
      <c r="AQ167">
        <f>IF(AQ$4=0,0,IF(COUNTIFS(実績!$W$6:$W$505,AQ$3,実績!$AC$6:$AC$505,"&lt;="&amp;$A167,実績!$AD$6:$AD$505,"&gt;"&amp;$A167,実績!$AE$6:$AE$505,"○")&gt;0,1,0))</f>
        <v/>
      </c>
      <c r="AR167">
        <f>IF(AR$4=0,0,IF(COUNTIFS(実績!$W$6:$W$505,AR$3,実績!$AC$6:$AC$505,"&lt;="&amp;$A167,実績!$AD$6:$AD$505,"&gt;"&amp;$A167,実績!$AE$6:$AE$505,"○")&gt;0,1,0))</f>
        <v/>
      </c>
      <c r="AS167">
        <f>IF(AS$4=0,0,IF(COUNTIFS(実績!$W$6:$W$505,AS$3,実績!$AC$6:$AC$505,"&lt;="&amp;$A167,実績!$AD$6:$AD$505,"&gt;"&amp;$A167,実績!$AE$6:$AE$505,"○")&gt;0,1,0))</f>
        <v/>
      </c>
      <c r="AT167">
        <f>IF(AT$4=0,0,IF(COUNTIFS(実績!$W$6:$W$505,AT$3,実績!$AC$6:$AC$505,"&lt;="&amp;$A167,実績!$AD$6:$AD$505,"&gt;"&amp;$A167,実績!$AE$6:$AE$505,"○")&gt;0,1,0))</f>
        <v/>
      </c>
      <c r="AU167">
        <f>IF(AU$4=0,0,IF(COUNTIFS(実績!$W$6:$W$505,AU$3,実績!$AC$6:$AC$505,"&lt;="&amp;$A167,実績!$AD$6:$AD$505,"&gt;"&amp;$A167,実績!$AE$6:$AE$505,"○")&gt;0,1,0))</f>
        <v/>
      </c>
      <c r="AV167">
        <f>IF(AV$4=0,0,IF(COUNTIFS(実績!$W$6:$W$505,AV$3,実績!$AC$6:$AC$505,"&lt;="&amp;$A167,実績!$AD$6:$AD$505,"&gt;"&amp;$A167,実績!$AE$6:$AE$505,"○")&gt;0,1,0))</f>
        <v/>
      </c>
      <c r="AW167">
        <f>IF(AW$4=0,0,IF(COUNTIFS(実績!$W$6:$W$505,AW$3,実績!$AC$6:$AC$505,"&lt;="&amp;$A167,実績!$AD$6:$AD$505,"&gt;"&amp;$A167,実績!$AE$6:$AE$505,"○")&gt;0,1,0))</f>
        <v/>
      </c>
      <c r="AX167">
        <f>IF(AX$4=0,0,IF(COUNTIFS(実績!$W$6:$W$505,AX$3,実績!$AC$6:$AC$505,"&lt;="&amp;$A167,実績!$AD$6:$AD$505,"&gt;"&amp;$A167,実績!$AE$6:$AE$505,"○")&gt;0,1,0))</f>
        <v/>
      </c>
      <c r="AY167">
        <f>IF(AY$4=0,0,IF(COUNTIFS(実績!$W$6:$W$505,AY$3,実績!$AC$6:$AC$505,"&lt;="&amp;$A167,実績!$AD$6:$AD$505,"&gt;"&amp;$A167,実績!$AE$6:$AE$505,"○")&gt;0,1,0))</f>
        <v/>
      </c>
      <c r="AZ167">
        <f>IF(AZ$4=0,0,IF(COUNTIFS(実績!$W$6:$W$505,AZ$3,実績!$AC$6:$AC$505,"&lt;="&amp;$A167,実績!$AD$6:$AD$505,"&gt;"&amp;$A167,実績!$AE$6:$AE$505,"○")&gt;0,1,0))</f>
        <v/>
      </c>
      <c r="BA167">
        <f>IF(BA$4=0,0,IF(COUNTIFS(実績!$W$6:$W$505,BA$3,実績!$AC$6:$AC$505,"&lt;="&amp;$A167,実績!$AD$6:$AD$505,"&gt;"&amp;$A167,実績!$AE$6:$AE$505,"○")&gt;0,1,0))</f>
        <v/>
      </c>
      <c r="BB167">
        <f>IF(BB$4=0,0,IF(COUNTIFS(実績!$W$6:$W$505,BB$3,実績!$AC$6:$AC$505,"&lt;="&amp;$A167,実績!$AD$6:$AD$505,"&gt;"&amp;$A167,実績!$AE$6:$AE$505,"○")&gt;0,1,0))</f>
        <v/>
      </c>
      <c r="BC167">
        <f>IF(BC$4=0,0,IF(COUNTIFS(実績!$W$6:$W$505,BC$3,実績!$AC$6:$AC$505,"&lt;="&amp;$A167,実績!$AD$6:$AD$505,"&gt;"&amp;$A167,実績!$AE$6:$AE$505,"○")&gt;0,1,0))</f>
        <v/>
      </c>
      <c r="BD167">
        <f>IF(BD$4=0,0,IF(COUNTIFS(実績!$W$6:$W$505,BD$3,実績!$AC$6:$AC$505,"&lt;="&amp;$A167,実績!$AD$6:$AD$505,"&gt;"&amp;$A167,実績!$AE$6:$AE$505,"○")&gt;0,1,0))</f>
        <v/>
      </c>
      <c r="BE167">
        <f>IF(BE$4=0,0,IF(COUNTIFS(実績!$W$6:$W$505,BE$3,実績!$AC$6:$AC$505,"&lt;="&amp;$A167,実績!$AD$6:$AD$505,"&gt;"&amp;$A167,実績!$AE$6:$AE$505,"○")&gt;0,1,0))</f>
        <v/>
      </c>
      <c r="BF167">
        <f>IF(BF$4=0,0,IF(COUNTIFS(実績!$W$6:$W$505,BF$3,実績!$AC$6:$AC$505,"&lt;="&amp;$A167,実績!$AD$6:$AD$505,"&gt;"&amp;$A167,実績!$AE$6:$AE$505,"○")&gt;0,1,0))</f>
        <v/>
      </c>
      <c r="BG167">
        <f>IF(BG$4=0,0,IF(COUNTIFS(実績!$W$6:$W$505,BG$3,実績!$AC$6:$AC$505,"&lt;="&amp;$A167,実績!$AD$6:$AD$505,"&gt;"&amp;$A167,実績!$AE$6:$AE$505,"○")&gt;0,1,0))</f>
        <v/>
      </c>
      <c r="BH167">
        <f>IF(BH$4=0,0,IF(COUNTIFS(実績!$W$6:$W$505,BH$3,実績!$AC$6:$AC$505,"&lt;="&amp;$A167,実績!$AD$6:$AD$505,"&gt;"&amp;$A167,実績!$AE$6:$AE$505,"○")&gt;0,1,0))</f>
        <v/>
      </c>
      <c r="BI167">
        <f>IF(BI$4=0,0,IF(COUNTIFS(実績!$W$6:$W$505,BI$3,実績!$AC$6:$AC$505,"&lt;="&amp;$A167,実績!$AD$6:$AD$505,"&gt;"&amp;$A167,実績!$AE$6:$AE$505,"○")&gt;0,1,0))</f>
        <v/>
      </c>
      <c r="BJ167">
        <f>IF(BJ$4=0,0,IF(COUNTIFS(実績!$W$6:$W$505,BJ$3,実績!$AC$6:$AC$505,"&lt;="&amp;$A167,実績!$AD$6:$AD$505,"&gt;"&amp;$A167,実績!$AE$6:$AE$505,"○")&gt;0,1,0))</f>
        <v/>
      </c>
      <c r="BK167">
        <f>IF(BK$4=0,0,IF(COUNTIFS(実績!$W$6:$W$505,BK$3,実績!$AC$6:$AC$505,"&lt;="&amp;$A167,実績!$AD$6:$AD$505,"&gt;"&amp;$A167,実績!$AE$6:$AE$505,"○")&gt;0,1,0))</f>
        <v/>
      </c>
      <c r="BL167">
        <f>IF(BL$4=0,0,IF(COUNTIFS(実績!$W$6:$W$505,BL$3,実績!$AC$6:$AC$505,"&lt;="&amp;$A167,実績!$AD$6:$AD$505,"&gt;"&amp;$A167,実績!$AE$6:$AE$505,"○")&gt;0,1,0))</f>
        <v/>
      </c>
      <c r="BM167">
        <f>IF(BM$4=0,0,IF(COUNTIFS(実績!$W$6:$W$505,BM$3,実績!$AC$6:$AC$505,"&lt;="&amp;$A167,実績!$AD$6:$AD$505,"&gt;"&amp;$A167,実績!$AE$6:$AE$505,"○")&gt;0,1,0))</f>
        <v/>
      </c>
      <c r="BN167">
        <f>IF(BN$4=0,0,IF(COUNTIFS(実績!$W$6:$W$505,BN$3,実績!$AC$6:$AC$505,"&lt;="&amp;$A167,実績!$AD$6:$AD$505,"&gt;"&amp;$A167,実績!$AE$6:$AE$505,"○")&gt;0,1,0))</f>
        <v/>
      </c>
      <c r="BO167">
        <f>IF(BO$4=0,0,IF(COUNTIFS(実績!$W$6:$W$505,BO$3,実績!$AC$6:$AC$505,"&lt;="&amp;$A167,実績!$AD$6:$AD$505,"&gt;"&amp;$A167,実績!$AE$6:$AE$505,"○")&gt;0,1,0))</f>
        <v/>
      </c>
      <c r="BP167">
        <f>IF(BP$4=0,0,IF(COUNTIFS(実績!$W$6:$W$505,BP$3,実績!$AC$6:$AC$505,"&lt;="&amp;$A167,実績!$AD$6:$AD$505,"&gt;"&amp;$A167,実績!$AE$6:$AE$505,"○")&gt;0,1,0))</f>
        <v/>
      </c>
      <c r="BQ167">
        <f>IF(BQ$4=0,0,IF(COUNTIFS(実績!$W$6:$W$505,BQ$3,実績!$AC$6:$AC$505,"&lt;="&amp;$A167,実績!$AD$6:$AD$505,"&gt;"&amp;$A167,実績!$AE$6:$AE$505,"○")&gt;0,1,0))</f>
        <v/>
      </c>
      <c r="BR167">
        <f>IF(BR$4=0,0,IF(COUNTIFS(実績!$W$6:$W$505,BR$3,実績!$AC$6:$AC$505,"&lt;="&amp;$A167,実績!$AD$6:$AD$505,"&gt;"&amp;$A167,実績!$AE$6:$AE$505,"○")&gt;0,1,0))</f>
        <v/>
      </c>
      <c r="BS167">
        <f>IF(BS$4=0,0,IF(COUNTIFS(実績!$W$6:$W$505,BS$3,実績!$AC$6:$AC$505,"&lt;="&amp;$A167,実績!$AD$6:$AD$505,"&gt;"&amp;$A167,実績!$AE$6:$AE$505,"○")&gt;0,1,0))</f>
        <v/>
      </c>
      <c r="BT167">
        <f>IF(BT$4=0,0,IF(COUNTIFS(実績!$W$6:$W$505,BT$3,実績!$AC$6:$AC$505,"&lt;="&amp;$A167,実績!$AD$6:$AD$505,"&gt;"&amp;$A167,実績!$AE$6:$AE$505,"○")&gt;0,1,0))</f>
        <v/>
      </c>
      <c r="BU167">
        <f>IF(BU$4=0,0,IF(COUNTIFS(実績!$W$6:$W$505,BU$3,実績!$AC$6:$AC$505,"&lt;="&amp;$A167,実績!$AD$6:$AD$505,"&gt;"&amp;$A167,実績!$AE$6:$AE$505,"○")&gt;0,1,0))</f>
        <v/>
      </c>
      <c r="BV167">
        <f>IF(BV$4=0,0,IF(COUNTIFS(実績!$W$6:$W$505,BV$3,実績!$AC$6:$AC$505,"&lt;="&amp;$A167,実績!$AD$6:$AD$505,"&gt;"&amp;$A167,実績!$AE$6:$AE$505,"○")&gt;0,1,0))</f>
        <v/>
      </c>
      <c r="BW167">
        <f>IF(BW$4=0,0,IF(COUNTIFS(実績!$W$6:$W$505,BW$3,実績!$AC$6:$AC$505,"&lt;="&amp;$A167,実績!$AD$6:$AD$505,"&gt;"&amp;$A167,実績!$AE$6:$AE$505,"○")&gt;0,1,0))</f>
        <v/>
      </c>
      <c r="BX167">
        <f>IF(BX$4=0,0,IF(COUNTIFS(実績!$W$6:$W$505,BX$3,実績!$AC$6:$AC$505,"&lt;="&amp;$A167,実績!$AD$6:$AD$505,"&gt;"&amp;$A167,実績!$AE$6:$AE$505,"○")&gt;0,1,0))</f>
        <v/>
      </c>
      <c r="BY167">
        <f>IF(BY$4=0,0,IF(COUNTIFS(実績!$W$6:$W$505,BY$3,実績!$AC$6:$AC$505,"&lt;="&amp;$A167,実績!$AD$6:$AD$505,"&gt;"&amp;$A167,実績!$AE$6:$AE$505,"○")&gt;0,1,0))</f>
        <v/>
      </c>
      <c r="BZ167">
        <f>IF(BZ$4=0,0,IF(COUNTIFS(実績!$W$6:$W$505,BZ$3,実績!$AC$6:$AC$505,"&lt;="&amp;$A167,実績!$AD$6:$AD$505,"&gt;"&amp;$A167,実績!$AE$6:$AE$505,"○")&gt;0,1,0))</f>
        <v/>
      </c>
      <c r="CA167">
        <f>IF(CA$4=0,0,IF(COUNTIFS(実績!$W$6:$W$505,CA$3,実績!$AC$6:$AC$505,"&lt;="&amp;$A167,実績!$AD$6:$AD$505,"&gt;"&amp;$A167,実績!$AE$6:$AE$505,"○")&gt;0,1,0))</f>
        <v/>
      </c>
      <c r="CB167">
        <f>IF(CB$4=0,0,IF(COUNTIFS(実績!$W$6:$W$505,CB$3,実績!$AC$6:$AC$505,"&lt;="&amp;$A167,実績!$AD$6:$AD$505,"&gt;"&amp;$A167,実績!$AE$6:$AE$505,"○")&gt;0,1,0))</f>
        <v/>
      </c>
      <c r="CC167">
        <f>IF(CC$4=0,0,IF(COUNTIFS(実績!$W$6:$W$505,CC$3,実績!$AC$6:$AC$505,"&lt;="&amp;$A167,実績!$AD$6:$AD$505,"&gt;"&amp;$A167,実績!$AE$6:$AE$505,"○")&gt;0,1,0))</f>
        <v/>
      </c>
      <c r="CD167">
        <f>IF(CD$4=0,0,IF(COUNTIFS(実績!$W$6:$W$505,CD$3,実績!$AC$6:$AC$505,"&lt;="&amp;$A167,実績!$AD$6:$AD$505,"&gt;"&amp;$A167,実績!$AE$6:$AE$505,"○")&gt;0,1,0))</f>
        <v/>
      </c>
      <c r="CE167">
        <f>IF(CE$4=0,0,IF(COUNTIFS(実績!$W$6:$W$505,CE$3,実績!$AC$6:$AC$505,"&lt;="&amp;$A167,実績!$AD$6:$AD$505,"&gt;"&amp;$A167,実績!$AE$6:$AE$505,"○")&gt;0,1,0))</f>
        <v/>
      </c>
      <c r="CF167">
        <f>IF(CF$4=0,0,IF(COUNTIFS(実績!$W$6:$W$505,CF$3,実績!$AC$6:$AC$505,"&lt;="&amp;$A167,実績!$AD$6:$AD$505,"&gt;"&amp;$A167,実績!$AE$6:$AE$505,"○")&gt;0,1,0))</f>
        <v/>
      </c>
      <c r="CG167">
        <f>IF(CG$4=0,0,IF(COUNTIFS(実績!$W$6:$W$505,CG$3,実績!$AC$6:$AC$505,"&lt;="&amp;$A167,実績!$AD$6:$AD$505,"&gt;"&amp;$A167,実績!$AE$6:$AE$505,"○")&gt;0,1,0))</f>
        <v/>
      </c>
      <c r="CH167">
        <f>IF(CH$4=0,0,IF(COUNTIFS(実績!$W$6:$W$505,CH$3,実績!$AC$6:$AC$505,"&lt;="&amp;$A167,実績!$AD$6:$AD$505,"&gt;"&amp;$A167,実績!$AE$6:$AE$505,"○")&gt;0,1,0))</f>
        <v/>
      </c>
      <c r="CI167">
        <f>IF(CI$4=0,0,IF(COUNTIFS(実績!$W$6:$W$505,CI$3,実績!$AC$6:$AC$505,"&lt;="&amp;$A167,実績!$AD$6:$AD$505,"&gt;"&amp;$A167,実績!$AE$6:$AE$505,"○")&gt;0,1,0))</f>
        <v/>
      </c>
      <c r="CJ167">
        <f>IF(CJ$4=0,0,IF(COUNTIFS(実績!$W$6:$W$505,CJ$3,実績!$AC$6:$AC$505,"&lt;="&amp;$A167,実績!$AD$6:$AD$505,"&gt;"&amp;$A167,実績!$AE$6:$AE$505,"○")&gt;0,1,0))</f>
        <v/>
      </c>
      <c r="CK167">
        <f>IF(CK$4=0,0,IF(COUNTIFS(実績!$W$6:$W$505,CK$3,実績!$AC$6:$AC$505,"&lt;="&amp;$A167,実績!$AD$6:$AD$505,"&gt;"&amp;$A167,実績!$AE$6:$AE$505,"○")&gt;0,1,0))</f>
        <v/>
      </c>
      <c r="CL167">
        <f>IF(CL$4=0,0,IF(COUNTIFS(実績!$W$6:$W$505,CL$3,実績!$AC$6:$AC$505,"&lt;="&amp;$A167,実績!$AD$6:$AD$505,"&gt;"&amp;$A167,実績!$AE$6:$AE$505,"○")&gt;0,1,0))</f>
        <v/>
      </c>
      <c r="CM167">
        <f>IF(CM$4=0,0,IF(COUNTIFS(実績!$W$6:$W$505,CM$3,実績!$AC$6:$AC$505,"&lt;="&amp;$A167,実績!$AD$6:$AD$505,"&gt;"&amp;$A167,実績!$AE$6:$AE$505,"○")&gt;0,1,0))</f>
        <v/>
      </c>
      <c r="CN167">
        <f>IF(CN$4=0,0,IF(COUNTIFS(実績!$W$6:$W$505,CN$3,実績!$AC$6:$AC$505,"&lt;="&amp;$A167,実績!$AD$6:$AD$505,"&gt;"&amp;$A167,実績!$AE$6:$AE$505,"○")&gt;0,1,0))</f>
        <v/>
      </c>
      <c r="CO167">
        <f>IF(CO$4=0,0,IF(COUNTIFS(実績!$W$6:$W$505,CO$3,実績!$AC$6:$AC$505,"&lt;="&amp;$A167,実績!$AD$6:$AD$505,"&gt;"&amp;$A167,実績!$AE$6:$AE$505,"○")&gt;0,1,0))</f>
        <v/>
      </c>
      <c r="CP167">
        <f>IF(CP$4=0,0,IF(COUNTIFS(実績!$W$6:$W$505,CP$3,実績!$AC$6:$AC$505,"&lt;="&amp;$A167,実績!$AD$6:$AD$505,"&gt;"&amp;$A167,実績!$AE$6:$AE$505,"○")&gt;0,1,0))</f>
        <v/>
      </c>
      <c r="CQ167">
        <f>IF(CQ$4=0,0,IF(COUNTIFS(実績!$W$6:$W$505,CQ$3,実績!$AC$6:$AC$505,"&lt;="&amp;$A167,実績!$AD$6:$AD$505,"&gt;"&amp;$A167,実績!$AE$6:$AE$505,"○")&gt;0,1,0))</f>
        <v/>
      </c>
      <c r="CR167">
        <f>IF(CR$4=0,0,IF(COUNTIFS(実績!$W$6:$W$505,CR$3,実績!$AC$6:$AC$505,"&lt;="&amp;$A167,実績!$AD$6:$AD$505,"&gt;"&amp;$A167,実績!$AE$6:$AE$505,"○")&gt;0,1,0))</f>
        <v/>
      </c>
      <c r="CS167">
        <f>IF(CS$4=0,0,IF(COUNTIFS(実績!$W$6:$W$505,CS$3,実績!$AC$6:$AC$505,"&lt;="&amp;$A167,実績!$AD$6:$AD$505,"&gt;"&amp;$A167,実績!$AE$6:$AE$505,"○")&gt;0,1,0))</f>
        <v/>
      </c>
      <c r="CT167">
        <f>IF(CT$4=0,0,IF(COUNTIFS(実績!$W$6:$W$505,CT$3,実績!$AC$6:$AC$505,"&lt;="&amp;$A167,実績!$AD$6:$AD$505,"&gt;"&amp;$A167,実績!$AE$6:$AE$505,"○")&gt;0,1,0))</f>
        <v/>
      </c>
      <c r="CU167">
        <f>IF(CU$4=0,0,IF(COUNTIFS(実績!$W$6:$W$505,CU$3,実績!$AC$6:$AC$505,"&lt;="&amp;$A167,実績!$AD$6:$AD$505,"&gt;"&amp;$A167,実績!$AE$6:$AE$505,"○")&gt;0,1,0))</f>
        <v/>
      </c>
      <c r="CV167">
        <f>IF(CV$4=0,0,IF(COUNTIFS(実績!$W$6:$W$505,CV$3,実績!$AC$6:$AC$505,"&lt;="&amp;$A167,実績!$AD$6:$AD$505,"&gt;"&amp;$A167,実績!$AE$6:$AE$505,"○")&gt;0,1,0))</f>
        <v/>
      </c>
      <c r="CW167">
        <f>IF(CW$4=0,0,IF(COUNTIFS(実績!$W$6:$W$505,CW$3,実績!$AC$6:$AC$505,"&lt;="&amp;$A167,実績!$AD$6:$AD$505,"&gt;"&amp;$A167,実績!$AE$6:$AE$505,"○")&gt;0,1,0))</f>
        <v/>
      </c>
      <c r="CX167">
        <f>IF(CX$4=0,0,IF(COUNTIFS(実績!$W$6:$W$505,CX$3,実績!$AC$6:$AC$505,"&lt;="&amp;$A167,実績!$AD$6:$AD$505,"&gt;"&amp;$A167,実績!$AE$6:$AE$505,"○")&gt;0,1,0))</f>
        <v/>
      </c>
      <c r="CY167">
        <f>IF(CY$4=0,0,IF(COUNTIFS(実績!$W$6:$W$505,CY$3,実績!$AC$6:$AC$505,"&lt;="&amp;$A167,実績!$AD$6:$AD$505,"&gt;"&amp;$A167,実績!$AE$6:$AE$505,"○")&gt;0,1,0))</f>
        <v/>
      </c>
      <c r="CZ167">
        <f>IF(CZ$4=0,0,IF(COUNTIFS(実績!$W$6:$W$505,CZ$3,実績!$AC$6:$AC$505,"&lt;="&amp;$A167,実績!$AD$6:$AD$505,"&gt;"&amp;$A167,実績!$AE$6:$AE$505,"○")&gt;0,1,0))</f>
        <v/>
      </c>
      <c r="DA167">
        <f>IF(DA$4=0,0,IF(COUNTIFS(実績!$W$6:$W$505,DA$3,実績!$AC$6:$AC$505,"&lt;="&amp;$A167,実績!$AD$6:$AD$505,"&gt;"&amp;$A167,実績!$AE$6:$AE$505,"○")&gt;0,1,0))</f>
        <v/>
      </c>
      <c r="DB167">
        <f>IF(DB$4=0,0,IF(COUNTIFS(実績!$W$6:$W$505,DB$3,実績!$AC$6:$AC$505,"&lt;="&amp;$A167,実績!$AD$6:$AD$505,"&gt;"&amp;$A167,実績!$AE$6:$AE$505,"○")&gt;0,1,0))</f>
        <v/>
      </c>
      <c r="DC167">
        <f>IF(DC$4=0,0,IF(COUNTIFS(実績!$W$6:$W$505,DC$3,実績!$AC$6:$AC$505,"&lt;="&amp;$A167,実績!$AD$6:$AD$505,"&gt;"&amp;$A167,実績!$AE$6:$AE$505,"○")&gt;0,1,0))</f>
        <v/>
      </c>
      <c r="DD167">
        <f>IF(DD$4=0,0,IF(COUNTIFS(実績!$W$6:$W$505,DD$3,実績!$AC$6:$AC$505,"&lt;="&amp;$A167,実績!$AD$6:$AD$505,"&gt;"&amp;$A167,実績!$AE$6:$AE$505,"○")&gt;0,1,0))</f>
        <v/>
      </c>
      <c r="DE167">
        <f>IF(DE$4=0,0,IF(COUNTIFS(実績!$W$6:$W$505,DE$3,実績!$AC$6:$AC$505,"&lt;="&amp;$A167,実績!$AD$6:$AD$505,"&gt;"&amp;$A167,実績!$AE$6:$AE$505,"○")&gt;0,1,0))</f>
        <v/>
      </c>
      <c r="DF167">
        <f>IF(DF$4=0,0,IF(COUNTIFS(実績!$W$6:$W$505,DF$3,実績!$AC$6:$AC$505,"&lt;="&amp;$A167,実績!$AD$6:$AD$505,"&gt;"&amp;$A167,実績!$AE$6:$AE$505,"○")&gt;0,1,0))</f>
        <v/>
      </c>
      <c r="DG167">
        <f>IF(DG$4=0,0,IF(COUNTIFS(実績!$W$6:$W$505,DG$3,実績!$AC$6:$AC$505,"&lt;="&amp;$A167,実績!$AD$6:$AD$505,"&gt;"&amp;$A167,実績!$AE$6:$AE$505,"○")&gt;0,1,0))</f>
        <v/>
      </c>
      <c r="DH167">
        <f>IF(DH$4=0,0,IF(COUNTIFS(実績!$W$6:$W$505,DH$3,実績!$AC$6:$AC$505,"&lt;="&amp;$A167,実績!$AD$6:$AD$505,"&gt;"&amp;$A167,実績!$AE$6:$AE$505,"○")&gt;0,1,0))</f>
        <v/>
      </c>
      <c r="DI167">
        <f>IF(DI$4=0,0,IF(COUNTIFS(実績!$W$6:$W$505,DI$3,実績!$AC$6:$AC$505,"&lt;="&amp;$A167,実績!$AD$6:$AD$505,"&gt;"&amp;$A167,実績!$AE$6:$AE$505,"○")&gt;0,1,0))</f>
        <v/>
      </c>
      <c r="DJ167">
        <f>IF(DJ$4=0,0,IF(COUNTIFS(実績!$W$6:$W$505,DJ$3,実績!$AC$6:$AC$505,"&lt;="&amp;$A167,実績!$AD$6:$AD$505,"&gt;"&amp;$A167,実績!$AE$6:$AE$505,"○")&gt;0,1,0))</f>
        <v/>
      </c>
      <c r="DK167">
        <f>IF(DK$4=0,0,IF(COUNTIFS(実績!$W$6:$W$505,DK$3,実績!$AC$6:$AC$505,"&lt;="&amp;$A167,実績!$AD$6:$AD$505,"&gt;"&amp;$A167,実績!$AE$6:$AE$505,"○")&gt;0,1,0))</f>
        <v/>
      </c>
      <c r="DL167">
        <f>IF(DL$4=0,0,IF(COUNTIFS(実績!$W$6:$W$505,DL$3,実績!$AC$6:$AC$505,"&lt;="&amp;$A167,実績!$AD$6:$AD$505,"&gt;"&amp;$A167,実績!$AE$6:$AE$505,"○")&gt;0,1,0))</f>
        <v/>
      </c>
      <c r="DM167">
        <f>IF(DM$4=0,0,IF(COUNTIFS(実績!$W$6:$W$505,DM$3,実績!$AC$6:$AC$505,"&lt;="&amp;$A167,実績!$AD$6:$AD$505,"&gt;"&amp;$A167,実績!$AE$6:$AE$505,"○")&gt;0,1,0))</f>
        <v/>
      </c>
      <c r="DN167">
        <f>IF(DN$4=0,0,IF(COUNTIFS(実績!$W$6:$W$505,DN$3,実績!$AC$6:$AC$505,"&lt;="&amp;$A167,実績!$AD$6:$AD$505,"&gt;"&amp;$A167,実績!$AE$6:$AE$505,"○")&gt;0,1,0))</f>
        <v/>
      </c>
      <c r="DO167">
        <f>IF(DO$4=0,0,IF(COUNTIFS(実績!$W$6:$W$505,DO$3,実績!$AC$6:$AC$505,"&lt;="&amp;$A167,実績!$AD$6:$AD$505,"&gt;"&amp;$A167,実績!$AE$6:$AE$505,"○")&gt;0,1,0))</f>
        <v/>
      </c>
      <c r="DP167">
        <f>IF(DP$4=0,0,IF(COUNTIFS(実績!$W$6:$W$505,DP$3,実績!$AC$6:$AC$505,"&lt;="&amp;$A167,実績!$AD$6:$AD$505,"&gt;"&amp;$A167,実績!$AE$6:$AE$505,"○")&gt;0,1,0))</f>
        <v/>
      </c>
      <c r="DQ167">
        <f>IF(DQ$4=0,0,IF(COUNTIFS(実績!$W$6:$W$505,DQ$3,実績!$AC$6:$AC$505,"&lt;="&amp;$A167,実績!$AD$6:$AD$505,"&gt;"&amp;$A167,実績!$AE$6:$AE$505,"○")&gt;0,1,0))</f>
        <v/>
      </c>
      <c r="DR167">
        <f>IF(DR$4=0,0,IF(COUNTIFS(実績!$W$6:$W$505,DR$3,実績!$AC$6:$AC$505,"&lt;="&amp;$A167,実績!$AD$6:$AD$505,"&gt;"&amp;$A167,実績!$AE$6:$AE$505,"○")&gt;0,1,0))</f>
        <v/>
      </c>
      <c r="DS167">
        <f>SUM(C167:DR167)</f>
        <v/>
      </c>
      <c r="DT167">
        <f>SUMPRODUCT((実績!$C$6:$C$505="○")*ISNUMBER(実績!$AF$6:$AF$505)*(実績!$AF$6:$AF$505&lt;=$A167)*(実績!$AG$6:$AG$505&gt;$A167))</f>
        <v/>
      </c>
      <c r="DU167">
        <f>SUMIF($C$2:$DR$2,"製鉄曳船",C167:DR167)</f>
        <v/>
      </c>
      <c r="DV167">
        <f>SUMIF($C$2:$DR$2,"西日本海運",C167:DR167)</f>
        <v/>
      </c>
    </row>
    <row r="168">
      <c r="A168" t="n">
        <v>810</v>
      </c>
      <c r="B168" s="29">
        <f>A168/1440</f>
        <v/>
      </c>
      <c r="C168">
        <f>IF(C$4=0,0,IF(COUNTIFS(実績!$W$6:$W$505,C$3,実績!$AC$6:$AC$505,"&lt;="&amp;$A168,実績!$AD$6:$AD$505,"&gt;"&amp;$A168,実績!$AE$6:$AE$505,"○")&gt;0,1,0))</f>
        <v/>
      </c>
      <c r="D168">
        <f>IF(D$4=0,0,IF(COUNTIFS(実績!$W$6:$W$505,D$3,実績!$AC$6:$AC$505,"&lt;="&amp;$A168,実績!$AD$6:$AD$505,"&gt;"&amp;$A168,実績!$AE$6:$AE$505,"○")&gt;0,1,0))</f>
        <v/>
      </c>
      <c r="E168">
        <f>IF(E$4=0,0,IF(COUNTIFS(実績!$W$6:$W$505,E$3,実績!$AC$6:$AC$505,"&lt;="&amp;$A168,実績!$AD$6:$AD$505,"&gt;"&amp;$A168,実績!$AE$6:$AE$505,"○")&gt;0,1,0))</f>
        <v/>
      </c>
      <c r="F168">
        <f>IF(F$4=0,0,IF(COUNTIFS(実績!$W$6:$W$505,F$3,実績!$AC$6:$AC$505,"&lt;="&amp;$A168,実績!$AD$6:$AD$505,"&gt;"&amp;$A168,実績!$AE$6:$AE$505,"○")&gt;0,1,0))</f>
        <v/>
      </c>
      <c r="G168">
        <f>IF(G$4=0,0,IF(COUNTIFS(実績!$W$6:$W$505,G$3,実績!$AC$6:$AC$505,"&lt;="&amp;$A168,実績!$AD$6:$AD$505,"&gt;"&amp;$A168,実績!$AE$6:$AE$505,"○")&gt;0,1,0))</f>
        <v/>
      </c>
      <c r="H168">
        <f>IF(H$4=0,0,IF(COUNTIFS(実績!$W$6:$W$505,H$3,実績!$AC$6:$AC$505,"&lt;="&amp;$A168,実績!$AD$6:$AD$505,"&gt;"&amp;$A168,実績!$AE$6:$AE$505,"○")&gt;0,1,0))</f>
        <v/>
      </c>
      <c r="I168">
        <f>IF(I$4=0,0,IF(COUNTIFS(実績!$W$6:$W$505,I$3,実績!$AC$6:$AC$505,"&lt;="&amp;$A168,実績!$AD$6:$AD$505,"&gt;"&amp;$A168,実績!$AE$6:$AE$505,"○")&gt;0,1,0))</f>
        <v/>
      </c>
      <c r="J168">
        <f>IF(J$4=0,0,IF(COUNTIFS(実績!$W$6:$W$505,J$3,実績!$AC$6:$AC$505,"&lt;="&amp;$A168,実績!$AD$6:$AD$505,"&gt;"&amp;$A168,実績!$AE$6:$AE$505,"○")&gt;0,1,0))</f>
        <v/>
      </c>
      <c r="K168">
        <f>IF(K$4=0,0,IF(COUNTIFS(実績!$W$6:$W$505,K$3,実績!$AC$6:$AC$505,"&lt;="&amp;$A168,実績!$AD$6:$AD$505,"&gt;"&amp;$A168,実績!$AE$6:$AE$505,"○")&gt;0,1,0))</f>
        <v/>
      </c>
      <c r="L168">
        <f>IF(L$4=0,0,IF(COUNTIFS(実績!$W$6:$W$505,L$3,実績!$AC$6:$AC$505,"&lt;="&amp;$A168,実績!$AD$6:$AD$505,"&gt;"&amp;$A168,実績!$AE$6:$AE$505,"○")&gt;0,1,0))</f>
        <v/>
      </c>
      <c r="M168">
        <f>IF(M$4=0,0,IF(COUNTIFS(実績!$W$6:$W$505,M$3,実績!$AC$6:$AC$505,"&lt;="&amp;$A168,実績!$AD$6:$AD$505,"&gt;"&amp;$A168,実績!$AE$6:$AE$505,"○")&gt;0,1,0))</f>
        <v/>
      </c>
      <c r="N168">
        <f>IF(N$4=0,0,IF(COUNTIFS(実績!$W$6:$W$505,N$3,実績!$AC$6:$AC$505,"&lt;="&amp;$A168,実績!$AD$6:$AD$505,"&gt;"&amp;$A168,実績!$AE$6:$AE$505,"○")&gt;0,1,0))</f>
        <v/>
      </c>
      <c r="O168">
        <f>IF(O$4=0,0,IF(COUNTIFS(実績!$W$6:$W$505,O$3,実績!$AC$6:$AC$505,"&lt;="&amp;$A168,実績!$AD$6:$AD$505,"&gt;"&amp;$A168,実績!$AE$6:$AE$505,"○")&gt;0,1,0))</f>
        <v/>
      </c>
      <c r="P168">
        <f>IF(P$4=0,0,IF(COUNTIFS(実績!$W$6:$W$505,P$3,実績!$AC$6:$AC$505,"&lt;="&amp;$A168,実績!$AD$6:$AD$505,"&gt;"&amp;$A168,実績!$AE$6:$AE$505,"○")&gt;0,1,0))</f>
        <v/>
      </c>
      <c r="Q168">
        <f>IF(Q$4=0,0,IF(COUNTIFS(実績!$W$6:$W$505,Q$3,実績!$AC$6:$AC$505,"&lt;="&amp;$A168,実績!$AD$6:$AD$505,"&gt;"&amp;$A168,実績!$AE$6:$AE$505,"○")&gt;0,1,0))</f>
        <v/>
      </c>
      <c r="R168">
        <f>IF(R$4=0,0,IF(COUNTIFS(実績!$W$6:$W$505,R$3,実績!$AC$6:$AC$505,"&lt;="&amp;$A168,実績!$AD$6:$AD$505,"&gt;"&amp;$A168,実績!$AE$6:$AE$505,"○")&gt;0,1,0))</f>
        <v/>
      </c>
      <c r="S168">
        <f>IF(S$4=0,0,IF(COUNTIFS(実績!$W$6:$W$505,S$3,実績!$AC$6:$AC$505,"&lt;="&amp;$A168,実績!$AD$6:$AD$505,"&gt;"&amp;$A168,実績!$AE$6:$AE$505,"○")&gt;0,1,0))</f>
        <v/>
      </c>
      <c r="T168">
        <f>IF(T$4=0,0,IF(COUNTIFS(実績!$W$6:$W$505,T$3,実績!$AC$6:$AC$505,"&lt;="&amp;$A168,実績!$AD$6:$AD$505,"&gt;"&amp;$A168,実績!$AE$6:$AE$505,"○")&gt;0,1,0))</f>
        <v/>
      </c>
      <c r="U168">
        <f>IF(U$4=0,0,IF(COUNTIFS(実績!$W$6:$W$505,U$3,実績!$AC$6:$AC$505,"&lt;="&amp;$A168,実績!$AD$6:$AD$505,"&gt;"&amp;$A168,実績!$AE$6:$AE$505,"○")&gt;0,1,0))</f>
        <v/>
      </c>
      <c r="V168">
        <f>IF(V$4=0,0,IF(COUNTIFS(実績!$W$6:$W$505,V$3,実績!$AC$6:$AC$505,"&lt;="&amp;$A168,実績!$AD$6:$AD$505,"&gt;"&amp;$A168,実績!$AE$6:$AE$505,"○")&gt;0,1,0))</f>
        <v/>
      </c>
      <c r="W168">
        <f>IF(W$4=0,0,IF(COUNTIFS(実績!$W$6:$W$505,W$3,実績!$AC$6:$AC$505,"&lt;="&amp;$A168,実績!$AD$6:$AD$505,"&gt;"&amp;$A168,実績!$AE$6:$AE$505,"○")&gt;0,1,0))</f>
        <v/>
      </c>
      <c r="X168">
        <f>IF(X$4=0,0,IF(COUNTIFS(実績!$W$6:$W$505,X$3,実績!$AC$6:$AC$505,"&lt;="&amp;$A168,実績!$AD$6:$AD$505,"&gt;"&amp;$A168,実績!$AE$6:$AE$505,"○")&gt;0,1,0))</f>
        <v/>
      </c>
      <c r="Y168">
        <f>IF(Y$4=0,0,IF(COUNTIFS(実績!$W$6:$W$505,Y$3,実績!$AC$6:$AC$505,"&lt;="&amp;$A168,実績!$AD$6:$AD$505,"&gt;"&amp;$A168,実績!$AE$6:$AE$505,"○")&gt;0,1,0))</f>
        <v/>
      </c>
      <c r="Z168">
        <f>IF(Z$4=0,0,IF(COUNTIFS(実績!$W$6:$W$505,Z$3,実績!$AC$6:$AC$505,"&lt;="&amp;$A168,実績!$AD$6:$AD$505,"&gt;"&amp;$A168,実績!$AE$6:$AE$505,"○")&gt;0,1,0))</f>
        <v/>
      </c>
      <c r="AA168">
        <f>IF(AA$4=0,0,IF(COUNTIFS(実績!$W$6:$W$505,AA$3,実績!$AC$6:$AC$505,"&lt;="&amp;$A168,実績!$AD$6:$AD$505,"&gt;"&amp;$A168,実績!$AE$6:$AE$505,"○")&gt;0,1,0))</f>
        <v/>
      </c>
      <c r="AB168">
        <f>IF(AB$4=0,0,IF(COUNTIFS(実績!$W$6:$W$505,AB$3,実績!$AC$6:$AC$505,"&lt;="&amp;$A168,実績!$AD$6:$AD$505,"&gt;"&amp;$A168,実績!$AE$6:$AE$505,"○")&gt;0,1,0))</f>
        <v/>
      </c>
      <c r="AC168">
        <f>IF(AC$4=0,0,IF(COUNTIFS(実績!$W$6:$W$505,AC$3,実績!$AC$6:$AC$505,"&lt;="&amp;$A168,実績!$AD$6:$AD$505,"&gt;"&amp;$A168,実績!$AE$6:$AE$505,"○")&gt;0,1,0))</f>
        <v/>
      </c>
      <c r="AD168">
        <f>IF(AD$4=0,0,IF(COUNTIFS(実績!$W$6:$W$505,AD$3,実績!$AC$6:$AC$505,"&lt;="&amp;$A168,実績!$AD$6:$AD$505,"&gt;"&amp;$A168,実績!$AE$6:$AE$505,"○")&gt;0,1,0))</f>
        <v/>
      </c>
      <c r="AE168">
        <f>IF(AE$4=0,0,IF(COUNTIFS(実績!$W$6:$W$505,AE$3,実績!$AC$6:$AC$505,"&lt;="&amp;$A168,実績!$AD$6:$AD$505,"&gt;"&amp;$A168,実績!$AE$6:$AE$505,"○")&gt;0,1,0))</f>
        <v/>
      </c>
      <c r="AF168">
        <f>IF(AF$4=0,0,IF(COUNTIFS(実績!$W$6:$W$505,AF$3,実績!$AC$6:$AC$505,"&lt;="&amp;$A168,実績!$AD$6:$AD$505,"&gt;"&amp;$A168,実績!$AE$6:$AE$505,"○")&gt;0,1,0))</f>
        <v/>
      </c>
      <c r="AG168">
        <f>IF(AG$4=0,0,IF(COUNTIFS(実績!$W$6:$W$505,AG$3,実績!$AC$6:$AC$505,"&lt;="&amp;$A168,実績!$AD$6:$AD$505,"&gt;"&amp;$A168,実績!$AE$6:$AE$505,"○")&gt;0,1,0))</f>
        <v/>
      </c>
      <c r="AH168">
        <f>IF(AH$4=0,0,IF(COUNTIFS(実績!$W$6:$W$505,AH$3,実績!$AC$6:$AC$505,"&lt;="&amp;$A168,実績!$AD$6:$AD$505,"&gt;"&amp;$A168,実績!$AE$6:$AE$505,"○")&gt;0,1,0))</f>
        <v/>
      </c>
      <c r="AI168">
        <f>IF(AI$4=0,0,IF(COUNTIFS(実績!$W$6:$W$505,AI$3,実績!$AC$6:$AC$505,"&lt;="&amp;$A168,実績!$AD$6:$AD$505,"&gt;"&amp;$A168,実績!$AE$6:$AE$505,"○")&gt;0,1,0))</f>
        <v/>
      </c>
      <c r="AJ168">
        <f>IF(AJ$4=0,0,IF(COUNTIFS(実績!$W$6:$W$505,AJ$3,実績!$AC$6:$AC$505,"&lt;="&amp;$A168,実績!$AD$6:$AD$505,"&gt;"&amp;$A168,実績!$AE$6:$AE$505,"○")&gt;0,1,0))</f>
        <v/>
      </c>
      <c r="AK168">
        <f>IF(AK$4=0,0,IF(COUNTIFS(実績!$W$6:$W$505,AK$3,実績!$AC$6:$AC$505,"&lt;="&amp;$A168,実績!$AD$6:$AD$505,"&gt;"&amp;$A168,実績!$AE$6:$AE$505,"○")&gt;0,1,0))</f>
        <v/>
      </c>
      <c r="AL168">
        <f>IF(AL$4=0,0,IF(COUNTIFS(実績!$W$6:$W$505,AL$3,実績!$AC$6:$AC$505,"&lt;="&amp;$A168,実績!$AD$6:$AD$505,"&gt;"&amp;$A168,実績!$AE$6:$AE$505,"○")&gt;0,1,0))</f>
        <v/>
      </c>
      <c r="AM168">
        <f>IF(AM$4=0,0,IF(COUNTIFS(実績!$W$6:$W$505,AM$3,実績!$AC$6:$AC$505,"&lt;="&amp;$A168,実績!$AD$6:$AD$505,"&gt;"&amp;$A168,実績!$AE$6:$AE$505,"○")&gt;0,1,0))</f>
        <v/>
      </c>
      <c r="AN168">
        <f>IF(AN$4=0,0,IF(COUNTIFS(実績!$W$6:$W$505,AN$3,実績!$AC$6:$AC$505,"&lt;="&amp;$A168,実績!$AD$6:$AD$505,"&gt;"&amp;$A168,実績!$AE$6:$AE$505,"○")&gt;0,1,0))</f>
        <v/>
      </c>
      <c r="AO168">
        <f>IF(AO$4=0,0,IF(COUNTIFS(実績!$W$6:$W$505,AO$3,実績!$AC$6:$AC$505,"&lt;="&amp;$A168,実績!$AD$6:$AD$505,"&gt;"&amp;$A168,実績!$AE$6:$AE$505,"○")&gt;0,1,0))</f>
        <v/>
      </c>
      <c r="AP168">
        <f>IF(AP$4=0,0,IF(COUNTIFS(実績!$W$6:$W$505,AP$3,実績!$AC$6:$AC$505,"&lt;="&amp;$A168,実績!$AD$6:$AD$505,"&gt;"&amp;$A168,実績!$AE$6:$AE$505,"○")&gt;0,1,0))</f>
        <v/>
      </c>
      <c r="AQ168">
        <f>IF(AQ$4=0,0,IF(COUNTIFS(実績!$W$6:$W$505,AQ$3,実績!$AC$6:$AC$505,"&lt;="&amp;$A168,実績!$AD$6:$AD$505,"&gt;"&amp;$A168,実績!$AE$6:$AE$505,"○")&gt;0,1,0))</f>
        <v/>
      </c>
      <c r="AR168">
        <f>IF(AR$4=0,0,IF(COUNTIFS(実績!$W$6:$W$505,AR$3,実績!$AC$6:$AC$505,"&lt;="&amp;$A168,実績!$AD$6:$AD$505,"&gt;"&amp;$A168,実績!$AE$6:$AE$505,"○")&gt;0,1,0))</f>
        <v/>
      </c>
      <c r="AS168">
        <f>IF(AS$4=0,0,IF(COUNTIFS(実績!$W$6:$W$505,AS$3,実績!$AC$6:$AC$505,"&lt;="&amp;$A168,実績!$AD$6:$AD$505,"&gt;"&amp;$A168,実績!$AE$6:$AE$505,"○")&gt;0,1,0))</f>
        <v/>
      </c>
      <c r="AT168">
        <f>IF(AT$4=0,0,IF(COUNTIFS(実績!$W$6:$W$505,AT$3,実績!$AC$6:$AC$505,"&lt;="&amp;$A168,実績!$AD$6:$AD$505,"&gt;"&amp;$A168,実績!$AE$6:$AE$505,"○")&gt;0,1,0))</f>
        <v/>
      </c>
      <c r="AU168">
        <f>IF(AU$4=0,0,IF(COUNTIFS(実績!$W$6:$W$505,AU$3,実績!$AC$6:$AC$505,"&lt;="&amp;$A168,実績!$AD$6:$AD$505,"&gt;"&amp;$A168,実績!$AE$6:$AE$505,"○")&gt;0,1,0))</f>
        <v/>
      </c>
      <c r="AV168">
        <f>IF(AV$4=0,0,IF(COUNTIFS(実績!$W$6:$W$505,AV$3,実績!$AC$6:$AC$505,"&lt;="&amp;$A168,実績!$AD$6:$AD$505,"&gt;"&amp;$A168,実績!$AE$6:$AE$505,"○")&gt;0,1,0))</f>
        <v/>
      </c>
      <c r="AW168">
        <f>IF(AW$4=0,0,IF(COUNTIFS(実績!$W$6:$W$505,AW$3,実績!$AC$6:$AC$505,"&lt;="&amp;$A168,実績!$AD$6:$AD$505,"&gt;"&amp;$A168,実績!$AE$6:$AE$505,"○")&gt;0,1,0))</f>
        <v/>
      </c>
      <c r="AX168">
        <f>IF(AX$4=0,0,IF(COUNTIFS(実績!$W$6:$W$505,AX$3,実績!$AC$6:$AC$505,"&lt;="&amp;$A168,実績!$AD$6:$AD$505,"&gt;"&amp;$A168,実績!$AE$6:$AE$505,"○")&gt;0,1,0))</f>
        <v/>
      </c>
      <c r="AY168">
        <f>IF(AY$4=0,0,IF(COUNTIFS(実績!$W$6:$W$505,AY$3,実績!$AC$6:$AC$505,"&lt;="&amp;$A168,実績!$AD$6:$AD$505,"&gt;"&amp;$A168,実績!$AE$6:$AE$505,"○")&gt;0,1,0))</f>
        <v/>
      </c>
      <c r="AZ168">
        <f>IF(AZ$4=0,0,IF(COUNTIFS(実績!$W$6:$W$505,AZ$3,実績!$AC$6:$AC$505,"&lt;="&amp;$A168,実績!$AD$6:$AD$505,"&gt;"&amp;$A168,実績!$AE$6:$AE$505,"○")&gt;0,1,0))</f>
        <v/>
      </c>
      <c r="BA168">
        <f>IF(BA$4=0,0,IF(COUNTIFS(実績!$W$6:$W$505,BA$3,実績!$AC$6:$AC$505,"&lt;="&amp;$A168,実績!$AD$6:$AD$505,"&gt;"&amp;$A168,実績!$AE$6:$AE$505,"○")&gt;0,1,0))</f>
        <v/>
      </c>
      <c r="BB168">
        <f>IF(BB$4=0,0,IF(COUNTIFS(実績!$W$6:$W$505,BB$3,実績!$AC$6:$AC$505,"&lt;="&amp;$A168,実績!$AD$6:$AD$505,"&gt;"&amp;$A168,実績!$AE$6:$AE$505,"○")&gt;0,1,0))</f>
        <v/>
      </c>
      <c r="BC168">
        <f>IF(BC$4=0,0,IF(COUNTIFS(実績!$W$6:$W$505,BC$3,実績!$AC$6:$AC$505,"&lt;="&amp;$A168,実績!$AD$6:$AD$505,"&gt;"&amp;$A168,実績!$AE$6:$AE$505,"○")&gt;0,1,0))</f>
        <v/>
      </c>
      <c r="BD168">
        <f>IF(BD$4=0,0,IF(COUNTIFS(実績!$W$6:$W$505,BD$3,実績!$AC$6:$AC$505,"&lt;="&amp;$A168,実績!$AD$6:$AD$505,"&gt;"&amp;$A168,実績!$AE$6:$AE$505,"○")&gt;0,1,0))</f>
        <v/>
      </c>
      <c r="BE168">
        <f>IF(BE$4=0,0,IF(COUNTIFS(実績!$W$6:$W$505,BE$3,実績!$AC$6:$AC$505,"&lt;="&amp;$A168,実績!$AD$6:$AD$505,"&gt;"&amp;$A168,実績!$AE$6:$AE$505,"○")&gt;0,1,0))</f>
        <v/>
      </c>
      <c r="BF168">
        <f>IF(BF$4=0,0,IF(COUNTIFS(実績!$W$6:$W$505,BF$3,実績!$AC$6:$AC$505,"&lt;="&amp;$A168,実績!$AD$6:$AD$505,"&gt;"&amp;$A168,実績!$AE$6:$AE$505,"○")&gt;0,1,0))</f>
        <v/>
      </c>
      <c r="BG168">
        <f>IF(BG$4=0,0,IF(COUNTIFS(実績!$W$6:$W$505,BG$3,実績!$AC$6:$AC$505,"&lt;="&amp;$A168,実績!$AD$6:$AD$505,"&gt;"&amp;$A168,実績!$AE$6:$AE$505,"○")&gt;0,1,0))</f>
        <v/>
      </c>
      <c r="BH168">
        <f>IF(BH$4=0,0,IF(COUNTIFS(実績!$W$6:$W$505,BH$3,実績!$AC$6:$AC$505,"&lt;="&amp;$A168,実績!$AD$6:$AD$505,"&gt;"&amp;$A168,実績!$AE$6:$AE$505,"○")&gt;0,1,0))</f>
        <v/>
      </c>
      <c r="BI168">
        <f>IF(BI$4=0,0,IF(COUNTIFS(実績!$W$6:$W$505,BI$3,実績!$AC$6:$AC$505,"&lt;="&amp;$A168,実績!$AD$6:$AD$505,"&gt;"&amp;$A168,実績!$AE$6:$AE$505,"○")&gt;0,1,0))</f>
        <v/>
      </c>
      <c r="BJ168">
        <f>IF(BJ$4=0,0,IF(COUNTIFS(実績!$W$6:$W$505,BJ$3,実績!$AC$6:$AC$505,"&lt;="&amp;$A168,実績!$AD$6:$AD$505,"&gt;"&amp;$A168,実績!$AE$6:$AE$505,"○")&gt;0,1,0))</f>
        <v/>
      </c>
      <c r="BK168">
        <f>IF(BK$4=0,0,IF(COUNTIFS(実績!$W$6:$W$505,BK$3,実績!$AC$6:$AC$505,"&lt;="&amp;$A168,実績!$AD$6:$AD$505,"&gt;"&amp;$A168,実績!$AE$6:$AE$505,"○")&gt;0,1,0))</f>
        <v/>
      </c>
      <c r="BL168">
        <f>IF(BL$4=0,0,IF(COUNTIFS(実績!$W$6:$W$505,BL$3,実績!$AC$6:$AC$505,"&lt;="&amp;$A168,実績!$AD$6:$AD$505,"&gt;"&amp;$A168,実績!$AE$6:$AE$505,"○")&gt;0,1,0))</f>
        <v/>
      </c>
      <c r="BM168">
        <f>IF(BM$4=0,0,IF(COUNTIFS(実績!$W$6:$W$505,BM$3,実績!$AC$6:$AC$505,"&lt;="&amp;$A168,実績!$AD$6:$AD$505,"&gt;"&amp;$A168,実績!$AE$6:$AE$505,"○")&gt;0,1,0))</f>
        <v/>
      </c>
      <c r="BN168">
        <f>IF(BN$4=0,0,IF(COUNTIFS(実績!$W$6:$W$505,BN$3,実績!$AC$6:$AC$505,"&lt;="&amp;$A168,実績!$AD$6:$AD$505,"&gt;"&amp;$A168,実績!$AE$6:$AE$505,"○")&gt;0,1,0))</f>
        <v/>
      </c>
      <c r="BO168">
        <f>IF(BO$4=0,0,IF(COUNTIFS(実績!$W$6:$W$505,BO$3,実績!$AC$6:$AC$505,"&lt;="&amp;$A168,実績!$AD$6:$AD$505,"&gt;"&amp;$A168,実績!$AE$6:$AE$505,"○")&gt;0,1,0))</f>
        <v/>
      </c>
      <c r="BP168">
        <f>IF(BP$4=0,0,IF(COUNTIFS(実績!$W$6:$W$505,BP$3,実績!$AC$6:$AC$505,"&lt;="&amp;$A168,実績!$AD$6:$AD$505,"&gt;"&amp;$A168,実績!$AE$6:$AE$505,"○")&gt;0,1,0))</f>
        <v/>
      </c>
      <c r="BQ168">
        <f>IF(BQ$4=0,0,IF(COUNTIFS(実績!$W$6:$W$505,BQ$3,実績!$AC$6:$AC$505,"&lt;="&amp;$A168,実績!$AD$6:$AD$505,"&gt;"&amp;$A168,実績!$AE$6:$AE$505,"○")&gt;0,1,0))</f>
        <v/>
      </c>
      <c r="BR168">
        <f>IF(BR$4=0,0,IF(COUNTIFS(実績!$W$6:$W$505,BR$3,実績!$AC$6:$AC$505,"&lt;="&amp;$A168,実績!$AD$6:$AD$505,"&gt;"&amp;$A168,実績!$AE$6:$AE$505,"○")&gt;0,1,0))</f>
        <v/>
      </c>
      <c r="BS168">
        <f>IF(BS$4=0,0,IF(COUNTIFS(実績!$W$6:$W$505,BS$3,実績!$AC$6:$AC$505,"&lt;="&amp;$A168,実績!$AD$6:$AD$505,"&gt;"&amp;$A168,実績!$AE$6:$AE$505,"○")&gt;0,1,0))</f>
        <v/>
      </c>
      <c r="BT168">
        <f>IF(BT$4=0,0,IF(COUNTIFS(実績!$W$6:$W$505,BT$3,実績!$AC$6:$AC$505,"&lt;="&amp;$A168,実績!$AD$6:$AD$505,"&gt;"&amp;$A168,実績!$AE$6:$AE$505,"○")&gt;0,1,0))</f>
        <v/>
      </c>
      <c r="BU168">
        <f>IF(BU$4=0,0,IF(COUNTIFS(実績!$W$6:$W$505,BU$3,実績!$AC$6:$AC$505,"&lt;="&amp;$A168,実績!$AD$6:$AD$505,"&gt;"&amp;$A168,実績!$AE$6:$AE$505,"○")&gt;0,1,0))</f>
        <v/>
      </c>
      <c r="BV168">
        <f>IF(BV$4=0,0,IF(COUNTIFS(実績!$W$6:$W$505,BV$3,実績!$AC$6:$AC$505,"&lt;="&amp;$A168,実績!$AD$6:$AD$505,"&gt;"&amp;$A168,実績!$AE$6:$AE$505,"○")&gt;0,1,0))</f>
        <v/>
      </c>
      <c r="BW168">
        <f>IF(BW$4=0,0,IF(COUNTIFS(実績!$W$6:$W$505,BW$3,実績!$AC$6:$AC$505,"&lt;="&amp;$A168,実績!$AD$6:$AD$505,"&gt;"&amp;$A168,実績!$AE$6:$AE$505,"○")&gt;0,1,0))</f>
        <v/>
      </c>
      <c r="BX168">
        <f>IF(BX$4=0,0,IF(COUNTIFS(実績!$W$6:$W$505,BX$3,実績!$AC$6:$AC$505,"&lt;="&amp;$A168,実績!$AD$6:$AD$505,"&gt;"&amp;$A168,実績!$AE$6:$AE$505,"○")&gt;0,1,0))</f>
        <v/>
      </c>
      <c r="BY168">
        <f>IF(BY$4=0,0,IF(COUNTIFS(実績!$W$6:$W$505,BY$3,実績!$AC$6:$AC$505,"&lt;="&amp;$A168,実績!$AD$6:$AD$505,"&gt;"&amp;$A168,実績!$AE$6:$AE$505,"○")&gt;0,1,0))</f>
        <v/>
      </c>
      <c r="BZ168">
        <f>IF(BZ$4=0,0,IF(COUNTIFS(実績!$W$6:$W$505,BZ$3,実績!$AC$6:$AC$505,"&lt;="&amp;$A168,実績!$AD$6:$AD$505,"&gt;"&amp;$A168,実績!$AE$6:$AE$505,"○")&gt;0,1,0))</f>
        <v/>
      </c>
      <c r="CA168">
        <f>IF(CA$4=0,0,IF(COUNTIFS(実績!$W$6:$W$505,CA$3,実績!$AC$6:$AC$505,"&lt;="&amp;$A168,実績!$AD$6:$AD$505,"&gt;"&amp;$A168,実績!$AE$6:$AE$505,"○")&gt;0,1,0))</f>
        <v/>
      </c>
      <c r="CB168">
        <f>IF(CB$4=0,0,IF(COUNTIFS(実績!$W$6:$W$505,CB$3,実績!$AC$6:$AC$505,"&lt;="&amp;$A168,実績!$AD$6:$AD$505,"&gt;"&amp;$A168,実績!$AE$6:$AE$505,"○")&gt;0,1,0))</f>
        <v/>
      </c>
      <c r="CC168">
        <f>IF(CC$4=0,0,IF(COUNTIFS(実績!$W$6:$W$505,CC$3,実績!$AC$6:$AC$505,"&lt;="&amp;$A168,実績!$AD$6:$AD$505,"&gt;"&amp;$A168,実績!$AE$6:$AE$505,"○")&gt;0,1,0))</f>
        <v/>
      </c>
      <c r="CD168">
        <f>IF(CD$4=0,0,IF(COUNTIFS(実績!$W$6:$W$505,CD$3,実績!$AC$6:$AC$505,"&lt;="&amp;$A168,実績!$AD$6:$AD$505,"&gt;"&amp;$A168,実績!$AE$6:$AE$505,"○")&gt;0,1,0))</f>
        <v/>
      </c>
      <c r="CE168">
        <f>IF(CE$4=0,0,IF(COUNTIFS(実績!$W$6:$W$505,CE$3,実績!$AC$6:$AC$505,"&lt;="&amp;$A168,実績!$AD$6:$AD$505,"&gt;"&amp;$A168,実績!$AE$6:$AE$505,"○")&gt;0,1,0))</f>
        <v/>
      </c>
      <c r="CF168">
        <f>IF(CF$4=0,0,IF(COUNTIFS(実績!$W$6:$W$505,CF$3,実績!$AC$6:$AC$505,"&lt;="&amp;$A168,実績!$AD$6:$AD$505,"&gt;"&amp;$A168,実績!$AE$6:$AE$505,"○")&gt;0,1,0))</f>
        <v/>
      </c>
      <c r="CG168">
        <f>IF(CG$4=0,0,IF(COUNTIFS(実績!$W$6:$W$505,CG$3,実績!$AC$6:$AC$505,"&lt;="&amp;$A168,実績!$AD$6:$AD$505,"&gt;"&amp;$A168,実績!$AE$6:$AE$505,"○")&gt;0,1,0))</f>
        <v/>
      </c>
      <c r="CH168">
        <f>IF(CH$4=0,0,IF(COUNTIFS(実績!$W$6:$W$505,CH$3,実績!$AC$6:$AC$505,"&lt;="&amp;$A168,実績!$AD$6:$AD$505,"&gt;"&amp;$A168,実績!$AE$6:$AE$505,"○")&gt;0,1,0))</f>
        <v/>
      </c>
      <c r="CI168">
        <f>IF(CI$4=0,0,IF(COUNTIFS(実績!$W$6:$W$505,CI$3,実績!$AC$6:$AC$505,"&lt;="&amp;$A168,実績!$AD$6:$AD$505,"&gt;"&amp;$A168,実績!$AE$6:$AE$505,"○")&gt;0,1,0))</f>
        <v/>
      </c>
      <c r="CJ168">
        <f>IF(CJ$4=0,0,IF(COUNTIFS(実績!$W$6:$W$505,CJ$3,実績!$AC$6:$AC$505,"&lt;="&amp;$A168,実績!$AD$6:$AD$505,"&gt;"&amp;$A168,実績!$AE$6:$AE$505,"○")&gt;0,1,0))</f>
        <v/>
      </c>
      <c r="CK168">
        <f>IF(CK$4=0,0,IF(COUNTIFS(実績!$W$6:$W$505,CK$3,実績!$AC$6:$AC$505,"&lt;="&amp;$A168,実績!$AD$6:$AD$505,"&gt;"&amp;$A168,実績!$AE$6:$AE$505,"○")&gt;0,1,0))</f>
        <v/>
      </c>
      <c r="CL168">
        <f>IF(CL$4=0,0,IF(COUNTIFS(実績!$W$6:$W$505,CL$3,実績!$AC$6:$AC$505,"&lt;="&amp;$A168,実績!$AD$6:$AD$505,"&gt;"&amp;$A168,実績!$AE$6:$AE$505,"○")&gt;0,1,0))</f>
        <v/>
      </c>
      <c r="CM168">
        <f>IF(CM$4=0,0,IF(COUNTIFS(実績!$W$6:$W$505,CM$3,実績!$AC$6:$AC$505,"&lt;="&amp;$A168,実績!$AD$6:$AD$505,"&gt;"&amp;$A168,実績!$AE$6:$AE$505,"○")&gt;0,1,0))</f>
        <v/>
      </c>
      <c r="CN168">
        <f>IF(CN$4=0,0,IF(COUNTIFS(実績!$W$6:$W$505,CN$3,実績!$AC$6:$AC$505,"&lt;="&amp;$A168,実績!$AD$6:$AD$505,"&gt;"&amp;$A168,実績!$AE$6:$AE$505,"○")&gt;0,1,0))</f>
        <v/>
      </c>
      <c r="CO168">
        <f>IF(CO$4=0,0,IF(COUNTIFS(実績!$W$6:$W$505,CO$3,実績!$AC$6:$AC$505,"&lt;="&amp;$A168,実績!$AD$6:$AD$505,"&gt;"&amp;$A168,実績!$AE$6:$AE$505,"○")&gt;0,1,0))</f>
        <v/>
      </c>
      <c r="CP168">
        <f>IF(CP$4=0,0,IF(COUNTIFS(実績!$W$6:$W$505,CP$3,実績!$AC$6:$AC$505,"&lt;="&amp;$A168,実績!$AD$6:$AD$505,"&gt;"&amp;$A168,実績!$AE$6:$AE$505,"○")&gt;0,1,0))</f>
        <v/>
      </c>
      <c r="CQ168">
        <f>IF(CQ$4=0,0,IF(COUNTIFS(実績!$W$6:$W$505,CQ$3,実績!$AC$6:$AC$505,"&lt;="&amp;$A168,実績!$AD$6:$AD$505,"&gt;"&amp;$A168,実績!$AE$6:$AE$505,"○")&gt;0,1,0))</f>
        <v/>
      </c>
      <c r="CR168">
        <f>IF(CR$4=0,0,IF(COUNTIFS(実績!$W$6:$W$505,CR$3,実績!$AC$6:$AC$505,"&lt;="&amp;$A168,実績!$AD$6:$AD$505,"&gt;"&amp;$A168,実績!$AE$6:$AE$505,"○")&gt;0,1,0))</f>
        <v/>
      </c>
      <c r="CS168">
        <f>IF(CS$4=0,0,IF(COUNTIFS(実績!$W$6:$W$505,CS$3,実績!$AC$6:$AC$505,"&lt;="&amp;$A168,実績!$AD$6:$AD$505,"&gt;"&amp;$A168,実績!$AE$6:$AE$505,"○")&gt;0,1,0))</f>
        <v/>
      </c>
      <c r="CT168">
        <f>IF(CT$4=0,0,IF(COUNTIFS(実績!$W$6:$W$505,CT$3,実績!$AC$6:$AC$505,"&lt;="&amp;$A168,実績!$AD$6:$AD$505,"&gt;"&amp;$A168,実績!$AE$6:$AE$505,"○")&gt;0,1,0))</f>
        <v/>
      </c>
      <c r="CU168">
        <f>IF(CU$4=0,0,IF(COUNTIFS(実績!$W$6:$W$505,CU$3,実績!$AC$6:$AC$505,"&lt;="&amp;$A168,実績!$AD$6:$AD$505,"&gt;"&amp;$A168,実績!$AE$6:$AE$505,"○")&gt;0,1,0))</f>
        <v/>
      </c>
      <c r="CV168">
        <f>IF(CV$4=0,0,IF(COUNTIFS(実績!$W$6:$W$505,CV$3,実績!$AC$6:$AC$505,"&lt;="&amp;$A168,実績!$AD$6:$AD$505,"&gt;"&amp;$A168,実績!$AE$6:$AE$505,"○")&gt;0,1,0))</f>
        <v/>
      </c>
      <c r="CW168">
        <f>IF(CW$4=0,0,IF(COUNTIFS(実績!$W$6:$W$505,CW$3,実績!$AC$6:$AC$505,"&lt;="&amp;$A168,実績!$AD$6:$AD$505,"&gt;"&amp;$A168,実績!$AE$6:$AE$505,"○")&gt;0,1,0))</f>
        <v/>
      </c>
      <c r="CX168">
        <f>IF(CX$4=0,0,IF(COUNTIFS(実績!$W$6:$W$505,CX$3,実績!$AC$6:$AC$505,"&lt;="&amp;$A168,実績!$AD$6:$AD$505,"&gt;"&amp;$A168,実績!$AE$6:$AE$505,"○")&gt;0,1,0))</f>
        <v/>
      </c>
      <c r="CY168">
        <f>IF(CY$4=0,0,IF(COUNTIFS(実績!$W$6:$W$505,CY$3,実績!$AC$6:$AC$505,"&lt;="&amp;$A168,実績!$AD$6:$AD$505,"&gt;"&amp;$A168,実績!$AE$6:$AE$505,"○")&gt;0,1,0))</f>
        <v/>
      </c>
      <c r="CZ168">
        <f>IF(CZ$4=0,0,IF(COUNTIFS(実績!$W$6:$W$505,CZ$3,実績!$AC$6:$AC$505,"&lt;="&amp;$A168,実績!$AD$6:$AD$505,"&gt;"&amp;$A168,実績!$AE$6:$AE$505,"○")&gt;0,1,0))</f>
        <v/>
      </c>
      <c r="DA168">
        <f>IF(DA$4=0,0,IF(COUNTIFS(実績!$W$6:$W$505,DA$3,実績!$AC$6:$AC$505,"&lt;="&amp;$A168,実績!$AD$6:$AD$505,"&gt;"&amp;$A168,実績!$AE$6:$AE$505,"○")&gt;0,1,0))</f>
        <v/>
      </c>
      <c r="DB168">
        <f>IF(DB$4=0,0,IF(COUNTIFS(実績!$W$6:$W$505,DB$3,実績!$AC$6:$AC$505,"&lt;="&amp;$A168,実績!$AD$6:$AD$505,"&gt;"&amp;$A168,実績!$AE$6:$AE$505,"○")&gt;0,1,0))</f>
        <v/>
      </c>
      <c r="DC168">
        <f>IF(DC$4=0,0,IF(COUNTIFS(実績!$W$6:$W$505,DC$3,実績!$AC$6:$AC$505,"&lt;="&amp;$A168,実績!$AD$6:$AD$505,"&gt;"&amp;$A168,実績!$AE$6:$AE$505,"○")&gt;0,1,0))</f>
        <v/>
      </c>
      <c r="DD168">
        <f>IF(DD$4=0,0,IF(COUNTIFS(実績!$W$6:$W$505,DD$3,実績!$AC$6:$AC$505,"&lt;="&amp;$A168,実績!$AD$6:$AD$505,"&gt;"&amp;$A168,実績!$AE$6:$AE$505,"○")&gt;0,1,0))</f>
        <v/>
      </c>
      <c r="DE168">
        <f>IF(DE$4=0,0,IF(COUNTIFS(実績!$W$6:$W$505,DE$3,実績!$AC$6:$AC$505,"&lt;="&amp;$A168,実績!$AD$6:$AD$505,"&gt;"&amp;$A168,実績!$AE$6:$AE$505,"○")&gt;0,1,0))</f>
        <v/>
      </c>
      <c r="DF168">
        <f>IF(DF$4=0,0,IF(COUNTIFS(実績!$W$6:$W$505,DF$3,実績!$AC$6:$AC$505,"&lt;="&amp;$A168,実績!$AD$6:$AD$505,"&gt;"&amp;$A168,実績!$AE$6:$AE$505,"○")&gt;0,1,0))</f>
        <v/>
      </c>
      <c r="DG168">
        <f>IF(DG$4=0,0,IF(COUNTIFS(実績!$W$6:$W$505,DG$3,実績!$AC$6:$AC$505,"&lt;="&amp;$A168,実績!$AD$6:$AD$505,"&gt;"&amp;$A168,実績!$AE$6:$AE$505,"○")&gt;0,1,0))</f>
        <v/>
      </c>
      <c r="DH168">
        <f>IF(DH$4=0,0,IF(COUNTIFS(実績!$W$6:$W$505,DH$3,実績!$AC$6:$AC$505,"&lt;="&amp;$A168,実績!$AD$6:$AD$505,"&gt;"&amp;$A168,実績!$AE$6:$AE$505,"○")&gt;0,1,0))</f>
        <v/>
      </c>
      <c r="DI168">
        <f>IF(DI$4=0,0,IF(COUNTIFS(実績!$W$6:$W$505,DI$3,実績!$AC$6:$AC$505,"&lt;="&amp;$A168,実績!$AD$6:$AD$505,"&gt;"&amp;$A168,実績!$AE$6:$AE$505,"○")&gt;0,1,0))</f>
        <v/>
      </c>
      <c r="DJ168">
        <f>IF(DJ$4=0,0,IF(COUNTIFS(実績!$W$6:$W$505,DJ$3,実績!$AC$6:$AC$505,"&lt;="&amp;$A168,実績!$AD$6:$AD$505,"&gt;"&amp;$A168,実績!$AE$6:$AE$505,"○")&gt;0,1,0))</f>
        <v/>
      </c>
      <c r="DK168">
        <f>IF(DK$4=0,0,IF(COUNTIFS(実績!$W$6:$W$505,DK$3,実績!$AC$6:$AC$505,"&lt;="&amp;$A168,実績!$AD$6:$AD$505,"&gt;"&amp;$A168,実績!$AE$6:$AE$505,"○")&gt;0,1,0))</f>
        <v/>
      </c>
      <c r="DL168">
        <f>IF(DL$4=0,0,IF(COUNTIFS(実績!$W$6:$W$505,DL$3,実績!$AC$6:$AC$505,"&lt;="&amp;$A168,実績!$AD$6:$AD$505,"&gt;"&amp;$A168,実績!$AE$6:$AE$505,"○")&gt;0,1,0))</f>
        <v/>
      </c>
      <c r="DM168">
        <f>IF(DM$4=0,0,IF(COUNTIFS(実績!$W$6:$W$505,DM$3,実績!$AC$6:$AC$505,"&lt;="&amp;$A168,実績!$AD$6:$AD$505,"&gt;"&amp;$A168,実績!$AE$6:$AE$505,"○")&gt;0,1,0))</f>
        <v/>
      </c>
      <c r="DN168">
        <f>IF(DN$4=0,0,IF(COUNTIFS(実績!$W$6:$W$505,DN$3,実績!$AC$6:$AC$505,"&lt;="&amp;$A168,実績!$AD$6:$AD$505,"&gt;"&amp;$A168,実績!$AE$6:$AE$505,"○")&gt;0,1,0))</f>
        <v/>
      </c>
      <c r="DO168">
        <f>IF(DO$4=0,0,IF(COUNTIFS(実績!$W$6:$W$505,DO$3,実績!$AC$6:$AC$505,"&lt;="&amp;$A168,実績!$AD$6:$AD$505,"&gt;"&amp;$A168,実績!$AE$6:$AE$505,"○")&gt;0,1,0))</f>
        <v/>
      </c>
      <c r="DP168">
        <f>IF(DP$4=0,0,IF(COUNTIFS(実績!$W$6:$W$505,DP$3,実績!$AC$6:$AC$505,"&lt;="&amp;$A168,実績!$AD$6:$AD$505,"&gt;"&amp;$A168,実績!$AE$6:$AE$505,"○")&gt;0,1,0))</f>
        <v/>
      </c>
      <c r="DQ168">
        <f>IF(DQ$4=0,0,IF(COUNTIFS(実績!$W$6:$W$505,DQ$3,実績!$AC$6:$AC$505,"&lt;="&amp;$A168,実績!$AD$6:$AD$505,"&gt;"&amp;$A168,実績!$AE$6:$AE$505,"○")&gt;0,1,0))</f>
        <v/>
      </c>
      <c r="DR168">
        <f>IF(DR$4=0,0,IF(COUNTIFS(実績!$W$6:$W$505,DR$3,実績!$AC$6:$AC$505,"&lt;="&amp;$A168,実績!$AD$6:$AD$505,"&gt;"&amp;$A168,実績!$AE$6:$AE$505,"○")&gt;0,1,0))</f>
        <v/>
      </c>
      <c r="DS168">
        <f>SUM(C168:DR168)</f>
        <v/>
      </c>
      <c r="DT168">
        <f>SUMPRODUCT((実績!$C$6:$C$505="○")*ISNUMBER(実績!$AF$6:$AF$505)*(実績!$AF$6:$AF$505&lt;=$A168)*(実績!$AG$6:$AG$505&gt;$A168))</f>
        <v/>
      </c>
      <c r="DU168">
        <f>SUMIF($C$2:$DR$2,"製鉄曳船",C168:DR168)</f>
        <v/>
      </c>
      <c r="DV168">
        <f>SUMIF($C$2:$DR$2,"西日本海運",C168:DR168)</f>
        <v/>
      </c>
    </row>
    <row r="169">
      <c r="A169" t="n">
        <v>815</v>
      </c>
      <c r="B169" s="29">
        <f>A169/1440</f>
        <v/>
      </c>
      <c r="C169">
        <f>IF(C$4=0,0,IF(COUNTIFS(実績!$W$6:$W$505,C$3,実績!$AC$6:$AC$505,"&lt;="&amp;$A169,実績!$AD$6:$AD$505,"&gt;"&amp;$A169,実績!$AE$6:$AE$505,"○")&gt;0,1,0))</f>
        <v/>
      </c>
      <c r="D169">
        <f>IF(D$4=0,0,IF(COUNTIFS(実績!$W$6:$W$505,D$3,実績!$AC$6:$AC$505,"&lt;="&amp;$A169,実績!$AD$6:$AD$505,"&gt;"&amp;$A169,実績!$AE$6:$AE$505,"○")&gt;0,1,0))</f>
        <v/>
      </c>
      <c r="E169">
        <f>IF(E$4=0,0,IF(COUNTIFS(実績!$W$6:$W$505,E$3,実績!$AC$6:$AC$505,"&lt;="&amp;$A169,実績!$AD$6:$AD$505,"&gt;"&amp;$A169,実績!$AE$6:$AE$505,"○")&gt;0,1,0))</f>
        <v/>
      </c>
      <c r="F169">
        <f>IF(F$4=0,0,IF(COUNTIFS(実績!$W$6:$W$505,F$3,実績!$AC$6:$AC$505,"&lt;="&amp;$A169,実績!$AD$6:$AD$505,"&gt;"&amp;$A169,実績!$AE$6:$AE$505,"○")&gt;0,1,0))</f>
        <v/>
      </c>
      <c r="G169">
        <f>IF(G$4=0,0,IF(COUNTIFS(実績!$W$6:$W$505,G$3,実績!$AC$6:$AC$505,"&lt;="&amp;$A169,実績!$AD$6:$AD$505,"&gt;"&amp;$A169,実績!$AE$6:$AE$505,"○")&gt;0,1,0))</f>
        <v/>
      </c>
      <c r="H169">
        <f>IF(H$4=0,0,IF(COUNTIFS(実績!$W$6:$W$505,H$3,実績!$AC$6:$AC$505,"&lt;="&amp;$A169,実績!$AD$6:$AD$505,"&gt;"&amp;$A169,実績!$AE$6:$AE$505,"○")&gt;0,1,0))</f>
        <v/>
      </c>
      <c r="I169">
        <f>IF(I$4=0,0,IF(COUNTIFS(実績!$W$6:$W$505,I$3,実績!$AC$6:$AC$505,"&lt;="&amp;$A169,実績!$AD$6:$AD$505,"&gt;"&amp;$A169,実績!$AE$6:$AE$505,"○")&gt;0,1,0))</f>
        <v/>
      </c>
      <c r="J169">
        <f>IF(J$4=0,0,IF(COUNTIFS(実績!$W$6:$W$505,J$3,実績!$AC$6:$AC$505,"&lt;="&amp;$A169,実績!$AD$6:$AD$505,"&gt;"&amp;$A169,実績!$AE$6:$AE$505,"○")&gt;0,1,0))</f>
        <v/>
      </c>
      <c r="K169">
        <f>IF(K$4=0,0,IF(COUNTIFS(実績!$W$6:$W$505,K$3,実績!$AC$6:$AC$505,"&lt;="&amp;$A169,実績!$AD$6:$AD$505,"&gt;"&amp;$A169,実績!$AE$6:$AE$505,"○")&gt;0,1,0))</f>
        <v/>
      </c>
      <c r="L169">
        <f>IF(L$4=0,0,IF(COUNTIFS(実績!$W$6:$W$505,L$3,実績!$AC$6:$AC$505,"&lt;="&amp;$A169,実績!$AD$6:$AD$505,"&gt;"&amp;$A169,実績!$AE$6:$AE$505,"○")&gt;0,1,0))</f>
        <v/>
      </c>
      <c r="M169">
        <f>IF(M$4=0,0,IF(COUNTIFS(実績!$W$6:$W$505,M$3,実績!$AC$6:$AC$505,"&lt;="&amp;$A169,実績!$AD$6:$AD$505,"&gt;"&amp;$A169,実績!$AE$6:$AE$505,"○")&gt;0,1,0))</f>
        <v/>
      </c>
      <c r="N169">
        <f>IF(N$4=0,0,IF(COUNTIFS(実績!$W$6:$W$505,N$3,実績!$AC$6:$AC$505,"&lt;="&amp;$A169,実績!$AD$6:$AD$505,"&gt;"&amp;$A169,実績!$AE$6:$AE$505,"○")&gt;0,1,0))</f>
        <v/>
      </c>
      <c r="O169">
        <f>IF(O$4=0,0,IF(COUNTIFS(実績!$W$6:$W$505,O$3,実績!$AC$6:$AC$505,"&lt;="&amp;$A169,実績!$AD$6:$AD$505,"&gt;"&amp;$A169,実績!$AE$6:$AE$505,"○")&gt;0,1,0))</f>
        <v/>
      </c>
      <c r="P169">
        <f>IF(P$4=0,0,IF(COUNTIFS(実績!$W$6:$W$505,P$3,実績!$AC$6:$AC$505,"&lt;="&amp;$A169,実績!$AD$6:$AD$505,"&gt;"&amp;$A169,実績!$AE$6:$AE$505,"○")&gt;0,1,0))</f>
        <v/>
      </c>
      <c r="Q169">
        <f>IF(Q$4=0,0,IF(COUNTIFS(実績!$W$6:$W$505,Q$3,実績!$AC$6:$AC$505,"&lt;="&amp;$A169,実績!$AD$6:$AD$505,"&gt;"&amp;$A169,実績!$AE$6:$AE$505,"○")&gt;0,1,0))</f>
        <v/>
      </c>
      <c r="R169">
        <f>IF(R$4=0,0,IF(COUNTIFS(実績!$W$6:$W$505,R$3,実績!$AC$6:$AC$505,"&lt;="&amp;$A169,実績!$AD$6:$AD$505,"&gt;"&amp;$A169,実績!$AE$6:$AE$505,"○")&gt;0,1,0))</f>
        <v/>
      </c>
      <c r="S169">
        <f>IF(S$4=0,0,IF(COUNTIFS(実績!$W$6:$W$505,S$3,実績!$AC$6:$AC$505,"&lt;="&amp;$A169,実績!$AD$6:$AD$505,"&gt;"&amp;$A169,実績!$AE$6:$AE$505,"○")&gt;0,1,0))</f>
        <v/>
      </c>
      <c r="T169">
        <f>IF(T$4=0,0,IF(COUNTIFS(実績!$W$6:$W$505,T$3,実績!$AC$6:$AC$505,"&lt;="&amp;$A169,実績!$AD$6:$AD$505,"&gt;"&amp;$A169,実績!$AE$6:$AE$505,"○")&gt;0,1,0))</f>
        <v/>
      </c>
      <c r="U169">
        <f>IF(U$4=0,0,IF(COUNTIFS(実績!$W$6:$W$505,U$3,実績!$AC$6:$AC$505,"&lt;="&amp;$A169,実績!$AD$6:$AD$505,"&gt;"&amp;$A169,実績!$AE$6:$AE$505,"○")&gt;0,1,0))</f>
        <v/>
      </c>
      <c r="V169">
        <f>IF(V$4=0,0,IF(COUNTIFS(実績!$W$6:$W$505,V$3,実績!$AC$6:$AC$505,"&lt;="&amp;$A169,実績!$AD$6:$AD$505,"&gt;"&amp;$A169,実績!$AE$6:$AE$505,"○")&gt;0,1,0))</f>
        <v/>
      </c>
      <c r="W169">
        <f>IF(W$4=0,0,IF(COUNTIFS(実績!$W$6:$W$505,W$3,実績!$AC$6:$AC$505,"&lt;="&amp;$A169,実績!$AD$6:$AD$505,"&gt;"&amp;$A169,実績!$AE$6:$AE$505,"○")&gt;0,1,0))</f>
        <v/>
      </c>
      <c r="X169">
        <f>IF(X$4=0,0,IF(COUNTIFS(実績!$W$6:$W$505,X$3,実績!$AC$6:$AC$505,"&lt;="&amp;$A169,実績!$AD$6:$AD$505,"&gt;"&amp;$A169,実績!$AE$6:$AE$505,"○")&gt;0,1,0))</f>
        <v/>
      </c>
      <c r="Y169">
        <f>IF(Y$4=0,0,IF(COUNTIFS(実績!$W$6:$W$505,Y$3,実績!$AC$6:$AC$505,"&lt;="&amp;$A169,実績!$AD$6:$AD$505,"&gt;"&amp;$A169,実績!$AE$6:$AE$505,"○")&gt;0,1,0))</f>
        <v/>
      </c>
      <c r="Z169">
        <f>IF(Z$4=0,0,IF(COUNTIFS(実績!$W$6:$W$505,Z$3,実績!$AC$6:$AC$505,"&lt;="&amp;$A169,実績!$AD$6:$AD$505,"&gt;"&amp;$A169,実績!$AE$6:$AE$505,"○")&gt;0,1,0))</f>
        <v/>
      </c>
      <c r="AA169">
        <f>IF(AA$4=0,0,IF(COUNTIFS(実績!$W$6:$W$505,AA$3,実績!$AC$6:$AC$505,"&lt;="&amp;$A169,実績!$AD$6:$AD$505,"&gt;"&amp;$A169,実績!$AE$6:$AE$505,"○")&gt;0,1,0))</f>
        <v/>
      </c>
      <c r="AB169">
        <f>IF(AB$4=0,0,IF(COUNTIFS(実績!$W$6:$W$505,AB$3,実績!$AC$6:$AC$505,"&lt;="&amp;$A169,実績!$AD$6:$AD$505,"&gt;"&amp;$A169,実績!$AE$6:$AE$505,"○")&gt;0,1,0))</f>
        <v/>
      </c>
      <c r="AC169">
        <f>IF(AC$4=0,0,IF(COUNTIFS(実績!$W$6:$W$505,AC$3,実績!$AC$6:$AC$505,"&lt;="&amp;$A169,実績!$AD$6:$AD$505,"&gt;"&amp;$A169,実績!$AE$6:$AE$505,"○")&gt;0,1,0))</f>
        <v/>
      </c>
      <c r="AD169">
        <f>IF(AD$4=0,0,IF(COUNTIFS(実績!$W$6:$W$505,AD$3,実績!$AC$6:$AC$505,"&lt;="&amp;$A169,実績!$AD$6:$AD$505,"&gt;"&amp;$A169,実績!$AE$6:$AE$505,"○")&gt;0,1,0))</f>
        <v/>
      </c>
      <c r="AE169">
        <f>IF(AE$4=0,0,IF(COUNTIFS(実績!$W$6:$W$505,AE$3,実績!$AC$6:$AC$505,"&lt;="&amp;$A169,実績!$AD$6:$AD$505,"&gt;"&amp;$A169,実績!$AE$6:$AE$505,"○")&gt;0,1,0))</f>
        <v/>
      </c>
      <c r="AF169">
        <f>IF(AF$4=0,0,IF(COUNTIFS(実績!$W$6:$W$505,AF$3,実績!$AC$6:$AC$505,"&lt;="&amp;$A169,実績!$AD$6:$AD$505,"&gt;"&amp;$A169,実績!$AE$6:$AE$505,"○")&gt;0,1,0))</f>
        <v/>
      </c>
      <c r="AG169">
        <f>IF(AG$4=0,0,IF(COUNTIFS(実績!$W$6:$W$505,AG$3,実績!$AC$6:$AC$505,"&lt;="&amp;$A169,実績!$AD$6:$AD$505,"&gt;"&amp;$A169,実績!$AE$6:$AE$505,"○")&gt;0,1,0))</f>
        <v/>
      </c>
      <c r="AH169">
        <f>IF(AH$4=0,0,IF(COUNTIFS(実績!$W$6:$W$505,AH$3,実績!$AC$6:$AC$505,"&lt;="&amp;$A169,実績!$AD$6:$AD$505,"&gt;"&amp;$A169,実績!$AE$6:$AE$505,"○")&gt;0,1,0))</f>
        <v/>
      </c>
      <c r="AI169">
        <f>IF(AI$4=0,0,IF(COUNTIFS(実績!$W$6:$W$505,AI$3,実績!$AC$6:$AC$505,"&lt;="&amp;$A169,実績!$AD$6:$AD$505,"&gt;"&amp;$A169,実績!$AE$6:$AE$505,"○")&gt;0,1,0))</f>
        <v/>
      </c>
      <c r="AJ169">
        <f>IF(AJ$4=0,0,IF(COUNTIFS(実績!$W$6:$W$505,AJ$3,実績!$AC$6:$AC$505,"&lt;="&amp;$A169,実績!$AD$6:$AD$505,"&gt;"&amp;$A169,実績!$AE$6:$AE$505,"○")&gt;0,1,0))</f>
        <v/>
      </c>
      <c r="AK169">
        <f>IF(AK$4=0,0,IF(COUNTIFS(実績!$W$6:$W$505,AK$3,実績!$AC$6:$AC$505,"&lt;="&amp;$A169,実績!$AD$6:$AD$505,"&gt;"&amp;$A169,実績!$AE$6:$AE$505,"○")&gt;0,1,0))</f>
        <v/>
      </c>
      <c r="AL169">
        <f>IF(AL$4=0,0,IF(COUNTIFS(実績!$W$6:$W$505,AL$3,実績!$AC$6:$AC$505,"&lt;="&amp;$A169,実績!$AD$6:$AD$505,"&gt;"&amp;$A169,実績!$AE$6:$AE$505,"○")&gt;0,1,0))</f>
        <v/>
      </c>
      <c r="AM169">
        <f>IF(AM$4=0,0,IF(COUNTIFS(実績!$W$6:$W$505,AM$3,実績!$AC$6:$AC$505,"&lt;="&amp;$A169,実績!$AD$6:$AD$505,"&gt;"&amp;$A169,実績!$AE$6:$AE$505,"○")&gt;0,1,0))</f>
        <v/>
      </c>
      <c r="AN169">
        <f>IF(AN$4=0,0,IF(COUNTIFS(実績!$W$6:$W$505,AN$3,実績!$AC$6:$AC$505,"&lt;="&amp;$A169,実績!$AD$6:$AD$505,"&gt;"&amp;$A169,実績!$AE$6:$AE$505,"○")&gt;0,1,0))</f>
        <v/>
      </c>
      <c r="AO169">
        <f>IF(AO$4=0,0,IF(COUNTIFS(実績!$W$6:$W$505,AO$3,実績!$AC$6:$AC$505,"&lt;="&amp;$A169,実績!$AD$6:$AD$505,"&gt;"&amp;$A169,実績!$AE$6:$AE$505,"○")&gt;0,1,0))</f>
        <v/>
      </c>
      <c r="AP169">
        <f>IF(AP$4=0,0,IF(COUNTIFS(実績!$W$6:$W$505,AP$3,実績!$AC$6:$AC$505,"&lt;="&amp;$A169,実績!$AD$6:$AD$505,"&gt;"&amp;$A169,実績!$AE$6:$AE$505,"○")&gt;0,1,0))</f>
        <v/>
      </c>
      <c r="AQ169">
        <f>IF(AQ$4=0,0,IF(COUNTIFS(実績!$W$6:$W$505,AQ$3,実績!$AC$6:$AC$505,"&lt;="&amp;$A169,実績!$AD$6:$AD$505,"&gt;"&amp;$A169,実績!$AE$6:$AE$505,"○")&gt;0,1,0))</f>
        <v/>
      </c>
      <c r="AR169">
        <f>IF(AR$4=0,0,IF(COUNTIFS(実績!$W$6:$W$505,AR$3,実績!$AC$6:$AC$505,"&lt;="&amp;$A169,実績!$AD$6:$AD$505,"&gt;"&amp;$A169,実績!$AE$6:$AE$505,"○")&gt;0,1,0))</f>
        <v/>
      </c>
      <c r="AS169">
        <f>IF(AS$4=0,0,IF(COUNTIFS(実績!$W$6:$W$505,AS$3,実績!$AC$6:$AC$505,"&lt;="&amp;$A169,実績!$AD$6:$AD$505,"&gt;"&amp;$A169,実績!$AE$6:$AE$505,"○")&gt;0,1,0))</f>
        <v/>
      </c>
      <c r="AT169">
        <f>IF(AT$4=0,0,IF(COUNTIFS(実績!$W$6:$W$505,AT$3,実績!$AC$6:$AC$505,"&lt;="&amp;$A169,実績!$AD$6:$AD$505,"&gt;"&amp;$A169,実績!$AE$6:$AE$505,"○")&gt;0,1,0))</f>
        <v/>
      </c>
      <c r="AU169">
        <f>IF(AU$4=0,0,IF(COUNTIFS(実績!$W$6:$W$505,AU$3,実績!$AC$6:$AC$505,"&lt;="&amp;$A169,実績!$AD$6:$AD$505,"&gt;"&amp;$A169,実績!$AE$6:$AE$505,"○")&gt;0,1,0))</f>
        <v/>
      </c>
      <c r="AV169">
        <f>IF(AV$4=0,0,IF(COUNTIFS(実績!$W$6:$W$505,AV$3,実績!$AC$6:$AC$505,"&lt;="&amp;$A169,実績!$AD$6:$AD$505,"&gt;"&amp;$A169,実績!$AE$6:$AE$505,"○")&gt;0,1,0))</f>
        <v/>
      </c>
      <c r="AW169">
        <f>IF(AW$4=0,0,IF(COUNTIFS(実績!$W$6:$W$505,AW$3,実績!$AC$6:$AC$505,"&lt;="&amp;$A169,実績!$AD$6:$AD$505,"&gt;"&amp;$A169,実績!$AE$6:$AE$505,"○")&gt;0,1,0))</f>
        <v/>
      </c>
      <c r="AX169">
        <f>IF(AX$4=0,0,IF(COUNTIFS(実績!$W$6:$W$505,AX$3,実績!$AC$6:$AC$505,"&lt;="&amp;$A169,実績!$AD$6:$AD$505,"&gt;"&amp;$A169,実績!$AE$6:$AE$505,"○")&gt;0,1,0))</f>
        <v/>
      </c>
      <c r="AY169">
        <f>IF(AY$4=0,0,IF(COUNTIFS(実績!$W$6:$W$505,AY$3,実績!$AC$6:$AC$505,"&lt;="&amp;$A169,実績!$AD$6:$AD$505,"&gt;"&amp;$A169,実績!$AE$6:$AE$505,"○")&gt;0,1,0))</f>
        <v/>
      </c>
      <c r="AZ169">
        <f>IF(AZ$4=0,0,IF(COUNTIFS(実績!$W$6:$W$505,AZ$3,実績!$AC$6:$AC$505,"&lt;="&amp;$A169,実績!$AD$6:$AD$505,"&gt;"&amp;$A169,実績!$AE$6:$AE$505,"○")&gt;0,1,0))</f>
        <v/>
      </c>
      <c r="BA169">
        <f>IF(BA$4=0,0,IF(COUNTIFS(実績!$W$6:$W$505,BA$3,実績!$AC$6:$AC$505,"&lt;="&amp;$A169,実績!$AD$6:$AD$505,"&gt;"&amp;$A169,実績!$AE$6:$AE$505,"○")&gt;0,1,0))</f>
        <v/>
      </c>
      <c r="BB169">
        <f>IF(BB$4=0,0,IF(COUNTIFS(実績!$W$6:$W$505,BB$3,実績!$AC$6:$AC$505,"&lt;="&amp;$A169,実績!$AD$6:$AD$505,"&gt;"&amp;$A169,実績!$AE$6:$AE$505,"○")&gt;0,1,0))</f>
        <v/>
      </c>
      <c r="BC169">
        <f>IF(BC$4=0,0,IF(COUNTIFS(実績!$W$6:$W$505,BC$3,実績!$AC$6:$AC$505,"&lt;="&amp;$A169,実績!$AD$6:$AD$505,"&gt;"&amp;$A169,実績!$AE$6:$AE$505,"○")&gt;0,1,0))</f>
        <v/>
      </c>
      <c r="BD169">
        <f>IF(BD$4=0,0,IF(COUNTIFS(実績!$W$6:$W$505,BD$3,実績!$AC$6:$AC$505,"&lt;="&amp;$A169,実績!$AD$6:$AD$505,"&gt;"&amp;$A169,実績!$AE$6:$AE$505,"○")&gt;0,1,0))</f>
        <v/>
      </c>
      <c r="BE169">
        <f>IF(BE$4=0,0,IF(COUNTIFS(実績!$W$6:$W$505,BE$3,実績!$AC$6:$AC$505,"&lt;="&amp;$A169,実績!$AD$6:$AD$505,"&gt;"&amp;$A169,実績!$AE$6:$AE$505,"○")&gt;0,1,0))</f>
        <v/>
      </c>
      <c r="BF169">
        <f>IF(BF$4=0,0,IF(COUNTIFS(実績!$W$6:$W$505,BF$3,実績!$AC$6:$AC$505,"&lt;="&amp;$A169,実績!$AD$6:$AD$505,"&gt;"&amp;$A169,実績!$AE$6:$AE$505,"○")&gt;0,1,0))</f>
        <v/>
      </c>
      <c r="BG169">
        <f>IF(BG$4=0,0,IF(COUNTIFS(実績!$W$6:$W$505,BG$3,実績!$AC$6:$AC$505,"&lt;="&amp;$A169,実績!$AD$6:$AD$505,"&gt;"&amp;$A169,実績!$AE$6:$AE$505,"○")&gt;0,1,0))</f>
        <v/>
      </c>
      <c r="BH169">
        <f>IF(BH$4=0,0,IF(COUNTIFS(実績!$W$6:$W$505,BH$3,実績!$AC$6:$AC$505,"&lt;="&amp;$A169,実績!$AD$6:$AD$505,"&gt;"&amp;$A169,実績!$AE$6:$AE$505,"○")&gt;0,1,0))</f>
        <v/>
      </c>
      <c r="BI169">
        <f>IF(BI$4=0,0,IF(COUNTIFS(実績!$W$6:$W$505,BI$3,実績!$AC$6:$AC$505,"&lt;="&amp;$A169,実績!$AD$6:$AD$505,"&gt;"&amp;$A169,実績!$AE$6:$AE$505,"○")&gt;0,1,0))</f>
        <v/>
      </c>
      <c r="BJ169">
        <f>IF(BJ$4=0,0,IF(COUNTIFS(実績!$W$6:$W$505,BJ$3,実績!$AC$6:$AC$505,"&lt;="&amp;$A169,実績!$AD$6:$AD$505,"&gt;"&amp;$A169,実績!$AE$6:$AE$505,"○")&gt;0,1,0))</f>
        <v/>
      </c>
      <c r="BK169">
        <f>IF(BK$4=0,0,IF(COUNTIFS(実績!$W$6:$W$505,BK$3,実績!$AC$6:$AC$505,"&lt;="&amp;$A169,実績!$AD$6:$AD$505,"&gt;"&amp;$A169,実績!$AE$6:$AE$505,"○")&gt;0,1,0))</f>
        <v/>
      </c>
      <c r="BL169">
        <f>IF(BL$4=0,0,IF(COUNTIFS(実績!$W$6:$W$505,BL$3,実績!$AC$6:$AC$505,"&lt;="&amp;$A169,実績!$AD$6:$AD$505,"&gt;"&amp;$A169,実績!$AE$6:$AE$505,"○")&gt;0,1,0))</f>
        <v/>
      </c>
      <c r="BM169">
        <f>IF(BM$4=0,0,IF(COUNTIFS(実績!$W$6:$W$505,BM$3,実績!$AC$6:$AC$505,"&lt;="&amp;$A169,実績!$AD$6:$AD$505,"&gt;"&amp;$A169,実績!$AE$6:$AE$505,"○")&gt;0,1,0))</f>
        <v/>
      </c>
      <c r="BN169">
        <f>IF(BN$4=0,0,IF(COUNTIFS(実績!$W$6:$W$505,BN$3,実績!$AC$6:$AC$505,"&lt;="&amp;$A169,実績!$AD$6:$AD$505,"&gt;"&amp;$A169,実績!$AE$6:$AE$505,"○")&gt;0,1,0))</f>
        <v/>
      </c>
      <c r="BO169">
        <f>IF(BO$4=0,0,IF(COUNTIFS(実績!$W$6:$W$505,BO$3,実績!$AC$6:$AC$505,"&lt;="&amp;$A169,実績!$AD$6:$AD$505,"&gt;"&amp;$A169,実績!$AE$6:$AE$505,"○")&gt;0,1,0))</f>
        <v/>
      </c>
      <c r="BP169">
        <f>IF(BP$4=0,0,IF(COUNTIFS(実績!$W$6:$W$505,BP$3,実績!$AC$6:$AC$505,"&lt;="&amp;$A169,実績!$AD$6:$AD$505,"&gt;"&amp;$A169,実績!$AE$6:$AE$505,"○")&gt;0,1,0))</f>
        <v/>
      </c>
      <c r="BQ169">
        <f>IF(BQ$4=0,0,IF(COUNTIFS(実績!$W$6:$W$505,BQ$3,実績!$AC$6:$AC$505,"&lt;="&amp;$A169,実績!$AD$6:$AD$505,"&gt;"&amp;$A169,実績!$AE$6:$AE$505,"○")&gt;0,1,0))</f>
        <v/>
      </c>
      <c r="BR169">
        <f>IF(BR$4=0,0,IF(COUNTIFS(実績!$W$6:$W$505,BR$3,実績!$AC$6:$AC$505,"&lt;="&amp;$A169,実績!$AD$6:$AD$505,"&gt;"&amp;$A169,実績!$AE$6:$AE$505,"○")&gt;0,1,0))</f>
        <v/>
      </c>
      <c r="BS169">
        <f>IF(BS$4=0,0,IF(COUNTIFS(実績!$W$6:$W$505,BS$3,実績!$AC$6:$AC$505,"&lt;="&amp;$A169,実績!$AD$6:$AD$505,"&gt;"&amp;$A169,実績!$AE$6:$AE$505,"○")&gt;0,1,0))</f>
        <v/>
      </c>
      <c r="BT169">
        <f>IF(BT$4=0,0,IF(COUNTIFS(実績!$W$6:$W$505,BT$3,実績!$AC$6:$AC$505,"&lt;="&amp;$A169,実績!$AD$6:$AD$505,"&gt;"&amp;$A169,実績!$AE$6:$AE$505,"○")&gt;0,1,0))</f>
        <v/>
      </c>
      <c r="BU169">
        <f>IF(BU$4=0,0,IF(COUNTIFS(実績!$W$6:$W$505,BU$3,実績!$AC$6:$AC$505,"&lt;="&amp;$A169,実績!$AD$6:$AD$505,"&gt;"&amp;$A169,実績!$AE$6:$AE$505,"○")&gt;0,1,0))</f>
        <v/>
      </c>
      <c r="BV169">
        <f>IF(BV$4=0,0,IF(COUNTIFS(実績!$W$6:$W$505,BV$3,実績!$AC$6:$AC$505,"&lt;="&amp;$A169,実績!$AD$6:$AD$505,"&gt;"&amp;$A169,実績!$AE$6:$AE$505,"○")&gt;0,1,0))</f>
        <v/>
      </c>
      <c r="BW169">
        <f>IF(BW$4=0,0,IF(COUNTIFS(実績!$W$6:$W$505,BW$3,実績!$AC$6:$AC$505,"&lt;="&amp;$A169,実績!$AD$6:$AD$505,"&gt;"&amp;$A169,実績!$AE$6:$AE$505,"○")&gt;0,1,0))</f>
        <v/>
      </c>
      <c r="BX169">
        <f>IF(BX$4=0,0,IF(COUNTIFS(実績!$W$6:$W$505,BX$3,実績!$AC$6:$AC$505,"&lt;="&amp;$A169,実績!$AD$6:$AD$505,"&gt;"&amp;$A169,実績!$AE$6:$AE$505,"○")&gt;0,1,0))</f>
        <v/>
      </c>
      <c r="BY169">
        <f>IF(BY$4=0,0,IF(COUNTIFS(実績!$W$6:$W$505,BY$3,実績!$AC$6:$AC$505,"&lt;="&amp;$A169,実績!$AD$6:$AD$505,"&gt;"&amp;$A169,実績!$AE$6:$AE$505,"○")&gt;0,1,0))</f>
        <v/>
      </c>
      <c r="BZ169">
        <f>IF(BZ$4=0,0,IF(COUNTIFS(実績!$W$6:$W$505,BZ$3,実績!$AC$6:$AC$505,"&lt;="&amp;$A169,実績!$AD$6:$AD$505,"&gt;"&amp;$A169,実績!$AE$6:$AE$505,"○")&gt;0,1,0))</f>
        <v/>
      </c>
      <c r="CA169">
        <f>IF(CA$4=0,0,IF(COUNTIFS(実績!$W$6:$W$505,CA$3,実績!$AC$6:$AC$505,"&lt;="&amp;$A169,実績!$AD$6:$AD$505,"&gt;"&amp;$A169,実績!$AE$6:$AE$505,"○")&gt;0,1,0))</f>
        <v/>
      </c>
      <c r="CB169">
        <f>IF(CB$4=0,0,IF(COUNTIFS(実績!$W$6:$W$505,CB$3,実績!$AC$6:$AC$505,"&lt;="&amp;$A169,実績!$AD$6:$AD$505,"&gt;"&amp;$A169,実績!$AE$6:$AE$505,"○")&gt;0,1,0))</f>
        <v/>
      </c>
      <c r="CC169">
        <f>IF(CC$4=0,0,IF(COUNTIFS(実績!$W$6:$W$505,CC$3,実績!$AC$6:$AC$505,"&lt;="&amp;$A169,実績!$AD$6:$AD$505,"&gt;"&amp;$A169,実績!$AE$6:$AE$505,"○")&gt;0,1,0))</f>
        <v/>
      </c>
      <c r="CD169">
        <f>IF(CD$4=0,0,IF(COUNTIFS(実績!$W$6:$W$505,CD$3,実績!$AC$6:$AC$505,"&lt;="&amp;$A169,実績!$AD$6:$AD$505,"&gt;"&amp;$A169,実績!$AE$6:$AE$505,"○")&gt;0,1,0))</f>
        <v/>
      </c>
      <c r="CE169">
        <f>IF(CE$4=0,0,IF(COUNTIFS(実績!$W$6:$W$505,CE$3,実績!$AC$6:$AC$505,"&lt;="&amp;$A169,実績!$AD$6:$AD$505,"&gt;"&amp;$A169,実績!$AE$6:$AE$505,"○")&gt;0,1,0))</f>
        <v/>
      </c>
      <c r="CF169">
        <f>IF(CF$4=0,0,IF(COUNTIFS(実績!$W$6:$W$505,CF$3,実績!$AC$6:$AC$505,"&lt;="&amp;$A169,実績!$AD$6:$AD$505,"&gt;"&amp;$A169,実績!$AE$6:$AE$505,"○")&gt;0,1,0))</f>
        <v/>
      </c>
      <c r="CG169">
        <f>IF(CG$4=0,0,IF(COUNTIFS(実績!$W$6:$W$505,CG$3,実績!$AC$6:$AC$505,"&lt;="&amp;$A169,実績!$AD$6:$AD$505,"&gt;"&amp;$A169,実績!$AE$6:$AE$505,"○")&gt;0,1,0))</f>
        <v/>
      </c>
      <c r="CH169">
        <f>IF(CH$4=0,0,IF(COUNTIFS(実績!$W$6:$W$505,CH$3,実績!$AC$6:$AC$505,"&lt;="&amp;$A169,実績!$AD$6:$AD$505,"&gt;"&amp;$A169,実績!$AE$6:$AE$505,"○")&gt;0,1,0))</f>
        <v/>
      </c>
      <c r="CI169">
        <f>IF(CI$4=0,0,IF(COUNTIFS(実績!$W$6:$W$505,CI$3,実績!$AC$6:$AC$505,"&lt;="&amp;$A169,実績!$AD$6:$AD$505,"&gt;"&amp;$A169,実績!$AE$6:$AE$505,"○")&gt;0,1,0))</f>
        <v/>
      </c>
      <c r="CJ169">
        <f>IF(CJ$4=0,0,IF(COUNTIFS(実績!$W$6:$W$505,CJ$3,実績!$AC$6:$AC$505,"&lt;="&amp;$A169,実績!$AD$6:$AD$505,"&gt;"&amp;$A169,実績!$AE$6:$AE$505,"○")&gt;0,1,0))</f>
        <v/>
      </c>
      <c r="CK169">
        <f>IF(CK$4=0,0,IF(COUNTIFS(実績!$W$6:$W$505,CK$3,実績!$AC$6:$AC$505,"&lt;="&amp;$A169,実績!$AD$6:$AD$505,"&gt;"&amp;$A169,実績!$AE$6:$AE$505,"○")&gt;0,1,0))</f>
        <v/>
      </c>
      <c r="CL169">
        <f>IF(CL$4=0,0,IF(COUNTIFS(実績!$W$6:$W$505,CL$3,実績!$AC$6:$AC$505,"&lt;="&amp;$A169,実績!$AD$6:$AD$505,"&gt;"&amp;$A169,実績!$AE$6:$AE$505,"○")&gt;0,1,0))</f>
        <v/>
      </c>
      <c r="CM169">
        <f>IF(CM$4=0,0,IF(COUNTIFS(実績!$W$6:$W$505,CM$3,実績!$AC$6:$AC$505,"&lt;="&amp;$A169,実績!$AD$6:$AD$505,"&gt;"&amp;$A169,実績!$AE$6:$AE$505,"○")&gt;0,1,0))</f>
        <v/>
      </c>
      <c r="CN169">
        <f>IF(CN$4=0,0,IF(COUNTIFS(実績!$W$6:$W$505,CN$3,実績!$AC$6:$AC$505,"&lt;="&amp;$A169,実績!$AD$6:$AD$505,"&gt;"&amp;$A169,実績!$AE$6:$AE$505,"○")&gt;0,1,0))</f>
        <v/>
      </c>
      <c r="CO169">
        <f>IF(CO$4=0,0,IF(COUNTIFS(実績!$W$6:$W$505,CO$3,実績!$AC$6:$AC$505,"&lt;="&amp;$A169,実績!$AD$6:$AD$505,"&gt;"&amp;$A169,実績!$AE$6:$AE$505,"○")&gt;0,1,0))</f>
        <v/>
      </c>
      <c r="CP169">
        <f>IF(CP$4=0,0,IF(COUNTIFS(実績!$W$6:$W$505,CP$3,実績!$AC$6:$AC$505,"&lt;="&amp;$A169,実績!$AD$6:$AD$505,"&gt;"&amp;$A169,実績!$AE$6:$AE$505,"○")&gt;0,1,0))</f>
        <v/>
      </c>
      <c r="CQ169">
        <f>IF(CQ$4=0,0,IF(COUNTIFS(実績!$W$6:$W$505,CQ$3,実績!$AC$6:$AC$505,"&lt;="&amp;$A169,実績!$AD$6:$AD$505,"&gt;"&amp;$A169,実績!$AE$6:$AE$505,"○")&gt;0,1,0))</f>
        <v/>
      </c>
      <c r="CR169">
        <f>IF(CR$4=0,0,IF(COUNTIFS(実績!$W$6:$W$505,CR$3,実績!$AC$6:$AC$505,"&lt;="&amp;$A169,実績!$AD$6:$AD$505,"&gt;"&amp;$A169,実績!$AE$6:$AE$505,"○")&gt;0,1,0))</f>
        <v/>
      </c>
      <c r="CS169">
        <f>IF(CS$4=0,0,IF(COUNTIFS(実績!$W$6:$W$505,CS$3,実績!$AC$6:$AC$505,"&lt;="&amp;$A169,実績!$AD$6:$AD$505,"&gt;"&amp;$A169,実績!$AE$6:$AE$505,"○")&gt;0,1,0))</f>
        <v/>
      </c>
      <c r="CT169">
        <f>IF(CT$4=0,0,IF(COUNTIFS(実績!$W$6:$W$505,CT$3,実績!$AC$6:$AC$505,"&lt;="&amp;$A169,実績!$AD$6:$AD$505,"&gt;"&amp;$A169,実績!$AE$6:$AE$505,"○")&gt;0,1,0))</f>
        <v/>
      </c>
      <c r="CU169">
        <f>IF(CU$4=0,0,IF(COUNTIFS(実績!$W$6:$W$505,CU$3,実績!$AC$6:$AC$505,"&lt;="&amp;$A169,実績!$AD$6:$AD$505,"&gt;"&amp;$A169,実績!$AE$6:$AE$505,"○")&gt;0,1,0))</f>
        <v/>
      </c>
      <c r="CV169">
        <f>IF(CV$4=0,0,IF(COUNTIFS(実績!$W$6:$W$505,CV$3,実績!$AC$6:$AC$505,"&lt;="&amp;$A169,実績!$AD$6:$AD$505,"&gt;"&amp;$A169,実績!$AE$6:$AE$505,"○")&gt;0,1,0))</f>
        <v/>
      </c>
      <c r="CW169">
        <f>IF(CW$4=0,0,IF(COUNTIFS(実績!$W$6:$W$505,CW$3,実績!$AC$6:$AC$505,"&lt;="&amp;$A169,実績!$AD$6:$AD$505,"&gt;"&amp;$A169,実績!$AE$6:$AE$505,"○")&gt;0,1,0))</f>
        <v/>
      </c>
      <c r="CX169">
        <f>IF(CX$4=0,0,IF(COUNTIFS(実績!$W$6:$W$505,CX$3,実績!$AC$6:$AC$505,"&lt;="&amp;$A169,実績!$AD$6:$AD$505,"&gt;"&amp;$A169,実績!$AE$6:$AE$505,"○")&gt;0,1,0))</f>
        <v/>
      </c>
      <c r="CY169">
        <f>IF(CY$4=0,0,IF(COUNTIFS(実績!$W$6:$W$505,CY$3,実績!$AC$6:$AC$505,"&lt;="&amp;$A169,実績!$AD$6:$AD$505,"&gt;"&amp;$A169,実績!$AE$6:$AE$505,"○")&gt;0,1,0))</f>
        <v/>
      </c>
      <c r="CZ169">
        <f>IF(CZ$4=0,0,IF(COUNTIFS(実績!$W$6:$W$505,CZ$3,実績!$AC$6:$AC$505,"&lt;="&amp;$A169,実績!$AD$6:$AD$505,"&gt;"&amp;$A169,実績!$AE$6:$AE$505,"○")&gt;0,1,0))</f>
        <v/>
      </c>
      <c r="DA169">
        <f>IF(DA$4=0,0,IF(COUNTIFS(実績!$W$6:$W$505,DA$3,実績!$AC$6:$AC$505,"&lt;="&amp;$A169,実績!$AD$6:$AD$505,"&gt;"&amp;$A169,実績!$AE$6:$AE$505,"○")&gt;0,1,0))</f>
        <v/>
      </c>
      <c r="DB169">
        <f>IF(DB$4=0,0,IF(COUNTIFS(実績!$W$6:$W$505,DB$3,実績!$AC$6:$AC$505,"&lt;="&amp;$A169,実績!$AD$6:$AD$505,"&gt;"&amp;$A169,実績!$AE$6:$AE$505,"○")&gt;0,1,0))</f>
        <v/>
      </c>
      <c r="DC169">
        <f>IF(DC$4=0,0,IF(COUNTIFS(実績!$W$6:$W$505,DC$3,実績!$AC$6:$AC$505,"&lt;="&amp;$A169,実績!$AD$6:$AD$505,"&gt;"&amp;$A169,実績!$AE$6:$AE$505,"○")&gt;0,1,0))</f>
        <v/>
      </c>
      <c r="DD169">
        <f>IF(DD$4=0,0,IF(COUNTIFS(実績!$W$6:$W$505,DD$3,実績!$AC$6:$AC$505,"&lt;="&amp;$A169,実績!$AD$6:$AD$505,"&gt;"&amp;$A169,実績!$AE$6:$AE$505,"○")&gt;0,1,0))</f>
        <v/>
      </c>
      <c r="DE169">
        <f>IF(DE$4=0,0,IF(COUNTIFS(実績!$W$6:$W$505,DE$3,実績!$AC$6:$AC$505,"&lt;="&amp;$A169,実績!$AD$6:$AD$505,"&gt;"&amp;$A169,実績!$AE$6:$AE$505,"○")&gt;0,1,0))</f>
        <v/>
      </c>
      <c r="DF169">
        <f>IF(DF$4=0,0,IF(COUNTIFS(実績!$W$6:$W$505,DF$3,実績!$AC$6:$AC$505,"&lt;="&amp;$A169,実績!$AD$6:$AD$505,"&gt;"&amp;$A169,実績!$AE$6:$AE$505,"○")&gt;0,1,0))</f>
        <v/>
      </c>
      <c r="DG169">
        <f>IF(DG$4=0,0,IF(COUNTIFS(実績!$W$6:$W$505,DG$3,実績!$AC$6:$AC$505,"&lt;="&amp;$A169,実績!$AD$6:$AD$505,"&gt;"&amp;$A169,実績!$AE$6:$AE$505,"○")&gt;0,1,0))</f>
        <v/>
      </c>
      <c r="DH169">
        <f>IF(DH$4=0,0,IF(COUNTIFS(実績!$W$6:$W$505,DH$3,実績!$AC$6:$AC$505,"&lt;="&amp;$A169,実績!$AD$6:$AD$505,"&gt;"&amp;$A169,実績!$AE$6:$AE$505,"○")&gt;0,1,0))</f>
        <v/>
      </c>
      <c r="DI169">
        <f>IF(DI$4=0,0,IF(COUNTIFS(実績!$W$6:$W$505,DI$3,実績!$AC$6:$AC$505,"&lt;="&amp;$A169,実績!$AD$6:$AD$505,"&gt;"&amp;$A169,実績!$AE$6:$AE$505,"○")&gt;0,1,0))</f>
        <v/>
      </c>
      <c r="DJ169">
        <f>IF(DJ$4=0,0,IF(COUNTIFS(実績!$W$6:$W$505,DJ$3,実績!$AC$6:$AC$505,"&lt;="&amp;$A169,実績!$AD$6:$AD$505,"&gt;"&amp;$A169,実績!$AE$6:$AE$505,"○")&gt;0,1,0))</f>
        <v/>
      </c>
      <c r="DK169">
        <f>IF(DK$4=0,0,IF(COUNTIFS(実績!$W$6:$W$505,DK$3,実績!$AC$6:$AC$505,"&lt;="&amp;$A169,実績!$AD$6:$AD$505,"&gt;"&amp;$A169,実績!$AE$6:$AE$505,"○")&gt;0,1,0))</f>
        <v/>
      </c>
      <c r="DL169">
        <f>IF(DL$4=0,0,IF(COUNTIFS(実績!$W$6:$W$505,DL$3,実績!$AC$6:$AC$505,"&lt;="&amp;$A169,実績!$AD$6:$AD$505,"&gt;"&amp;$A169,実績!$AE$6:$AE$505,"○")&gt;0,1,0))</f>
        <v/>
      </c>
      <c r="DM169">
        <f>IF(DM$4=0,0,IF(COUNTIFS(実績!$W$6:$W$505,DM$3,実績!$AC$6:$AC$505,"&lt;="&amp;$A169,実績!$AD$6:$AD$505,"&gt;"&amp;$A169,実績!$AE$6:$AE$505,"○")&gt;0,1,0))</f>
        <v/>
      </c>
      <c r="DN169">
        <f>IF(DN$4=0,0,IF(COUNTIFS(実績!$W$6:$W$505,DN$3,実績!$AC$6:$AC$505,"&lt;="&amp;$A169,実績!$AD$6:$AD$505,"&gt;"&amp;$A169,実績!$AE$6:$AE$505,"○")&gt;0,1,0))</f>
        <v/>
      </c>
      <c r="DO169">
        <f>IF(DO$4=0,0,IF(COUNTIFS(実績!$W$6:$W$505,DO$3,実績!$AC$6:$AC$505,"&lt;="&amp;$A169,実績!$AD$6:$AD$505,"&gt;"&amp;$A169,実績!$AE$6:$AE$505,"○")&gt;0,1,0))</f>
        <v/>
      </c>
      <c r="DP169">
        <f>IF(DP$4=0,0,IF(COUNTIFS(実績!$W$6:$W$505,DP$3,実績!$AC$6:$AC$505,"&lt;="&amp;$A169,実績!$AD$6:$AD$505,"&gt;"&amp;$A169,実績!$AE$6:$AE$505,"○")&gt;0,1,0))</f>
        <v/>
      </c>
      <c r="DQ169">
        <f>IF(DQ$4=0,0,IF(COUNTIFS(実績!$W$6:$W$505,DQ$3,実績!$AC$6:$AC$505,"&lt;="&amp;$A169,実績!$AD$6:$AD$505,"&gt;"&amp;$A169,実績!$AE$6:$AE$505,"○")&gt;0,1,0))</f>
        <v/>
      </c>
      <c r="DR169">
        <f>IF(DR$4=0,0,IF(COUNTIFS(実績!$W$6:$W$505,DR$3,実績!$AC$6:$AC$505,"&lt;="&amp;$A169,実績!$AD$6:$AD$505,"&gt;"&amp;$A169,実績!$AE$6:$AE$505,"○")&gt;0,1,0))</f>
        <v/>
      </c>
      <c r="DS169">
        <f>SUM(C169:DR169)</f>
        <v/>
      </c>
      <c r="DT169">
        <f>SUMPRODUCT((実績!$C$6:$C$505="○")*ISNUMBER(実績!$AF$6:$AF$505)*(実績!$AF$6:$AF$505&lt;=$A169)*(実績!$AG$6:$AG$505&gt;$A169))</f>
        <v/>
      </c>
      <c r="DU169">
        <f>SUMIF($C$2:$DR$2,"製鉄曳船",C169:DR169)</f>
        <v/>
      </c>
      <c r="DV169">
        <f>SUMIF($C$2:$DR$2,"西日本海運",C169:DR169)</f>
        <v/>
      </c>
    </row>
    <row r="170">
      <c r="A170" t="n">
        <v>820</v>
      </c>
      <c r="B170" s="29">
        <f>A170/1440</f>
        <v/>
      </c>
      <c r="C170">
        <f>IF(C$4=0,0,IF(COUNTIFS(実績!$W$6:$W$505,C$3,実績!$AC$6:$AC$505,"&lt;="&amp;$A170,実績!$AD$6:$AD$505,"&gt;"&amp;$A170,実績!$AE$6:$AE$505,"○")&gt;0,1,0))</f>
        <v/>
      </c>
      <c r="D170">
        <f>IF(D$4=0,0,IF(COUNTIFS(実績!$W$6:$W$505,D$3,実績!$AC$6:$AC$505,"&lt;="&amp;$A170,実績!$AD$6:$AD$505,"&gt;"&amp;$A170,実績!$AE$6:$AE$505,"○")&gt;0,1,0))</f>
        <v/>
      </c>
      <c r="E170">
        <f>IF(E$4=0,0,IF(COUNTIFS(実績!$W$6:$W$505,E$3,実績!$AC$6:$AC$505,"&lt;="&amp;$A170,実績!$AD$6:$AD$505,"&gt;"&amp;$A170,実績!$AE$6:$AE$505,"○")&gt;0,1,0))</f>
        <v/>
      </c>
      <c r="F170">
        <f>IF(F$4=0,0,IF(COUNTIFS(実績!$W$6:$W$505,F$3,実績!$AC$6:$AC$505,"&lt;="&amp;$A170,実績!$AD$6:$AD$505,"&gt;"&amp;$A170,実績!$AE$6:$AE$505,"○")&gt;0,1,0))</f>
        <v/>
      </c>
      <c r="G170">
        <f>IF(G$4=0,0,IF(COUNTIFS(実績!$W$6:$W$505,G$3,実績!$AC$6:$AC$505,"&lt;="&amp;$A170,実績!$AD$6:$AD$505,"&gt;"&amp;$A170,実績!$AE$6:$AE$505,"○")&gt;0,1,0))</f>
        <v/>
      </c>
      <c r="H170">
        <f>IF(H$4=0,0,IF(COUNTIFS(実績!$W$6:$W$505,H$3,実績!$AC$6:$AC$505,"&lt;="&amp;$A170,実績!$AD$6:$AD$505,"&gt;"&amp;$A170,実績!$AE$6:$AE$505,"○")&gt;0,1,0))</f>
        <v/>
      </c>
      <c r="I170">
        <f>IF(I$4=0,0,IF(COUNTIFS(実績!$W$6:$W$505,I$3,実績!$AC$6:$AC$505,"&lt;="&amp;$A170,実績!$AD$6:$AD$505,"&gt;"&amp;$A170,実績!$AE$6:$AE$505,"○")&gt;0,1,0))</f>
        <v/>
      </c>
      <c r="J170">
        <f>IF(J$4=0,0,IF(COUNTIFS(実績!$W$6:$W$505,J$3,実績!$AC$6:$AC$505,"&lt;="&amp;$A170,実績!$AD$6:$AD$505,"&gt;"&amp;$A170,実績!$AE$6:$AE$505,"○")&gt;0,1,0))</f>
        <v/>
      </c>
      <c r="K170">
        <f>IF(K$4=0,0,IF(COUNTIFS(実績!$W$6:$W$505,K$3,実績!$AC$6:$AC$505,"&lt;="&amp;$A170,実績!$AD$6:$AD$505,"&gt;"&amp;$A170,実績!$AE$6:$AE$505,"○")&gt;0,1,0))</f>
        <v/>
      </c>
      <c r="L170">
        <f>IF(L$4=0,0,IF(COUNTIFS(実績!$W$6:$W$505,L$3,実績!$AC$6:$AC$505,"&lt;="&amp;$A170,実績!$AD$6:$AD$505,"&gt;"&amp;$A170,実績!$AE$6:$AE$505,"○")&gt;0,1,0))</f>
        <v/>
      </c>
      <c r="M170">
        <f>IF(M$4=0,0,IF(COUNTIFS(実績!$W$6:$W$505,M$3,実績!$AC$6:$AC$505,"&lt;="&amp;$A170,実績!$AD$6:$AD$505,"&gt;"&amp;$A170,実績!$AE$6:$AE$505,"○")&gt;0,1,0))</f>
        <v/>
      </c>
      <c r="N170">
        <f>IF(N$4=0,0,IF(COUNTIFS(実績!$W$6:$W$505,N$3,実績!$AC$6:$AC$505,"&lt;="&amp;$A170,実績!$AD$6:$AD$505,"&gt;"&amp;$A170,実績!$AE$6:$AE$505,"○")&gt;0,1,0))</f>
        <v/>
      </c>
      <c r="O170">
        <f>IF(O$4=0,0,IF(COUNTIFS(実績!$W$6:$W$505,O$3,実績!$AC$6:$AC$505,"&lt;="&amp;$A170,実績!$AD$6:$AD$505,"&gt;"&amp;$A170,実績!$AE$6:$AE$505,"○")&gt;0,1,0))</f>
        <v/>
      </c>
      <c r="P170">
        <f>IF(P$4=0,0,IF(COUNTIFS(実績!$W$6:$W$505,P$3,実績!$AC$6:$AC$505,"&lt;="&amp;$A170,実績!$AD$6:$AD$505,"&gt;"&amp;$A170,実績!$AE$6:$AE$505,"○")&gt;0,1,0))</f>
        <v/>
      </c>
      <c r="Q170">
        <f>IF(Q$4=0,0,IF(COUNTIFS(実績!$W$6:$W$505,Q$3,実績!$AC$6:$AC$505,"&lt;="&amp;$A170,実績!$AD$6:$AD$505,"&gt;"&amp;$A170,実績!$AE$6:$AE$505,"○")&gt;0,1,0))</f>
        <v/>
      </c>
      <c r="R170">
        <f>IF(R$4=0,0,IF(COUNTIFS(実績!$W$6:$W$505,R$3,実績!$AC$6:$AC$505,"&lt;="&amp;$A170,実績!$AD$6:$AD$505,"&gt;"&amp;$A170,実績!$AE$6:$AE$505,"○")&gt;0,1,0))</f>
        <v/>
      </c>
      <c r="S170">
        <f>IF(S$4=0,0,IF(COUNTIFS(実績!$W$6:$W$505,S$3,実績!$AC$6:$AC$505,"&lt;="&amp;$A170,実績!$AD$6:$AD$505,"&gt;"&amp;$A170,実績!$AE$6:$AE$505,"○")&gt;0,1,0))</f>
        <v/>
      </c>
      <c r="T170">
        <f>IF(T$4=0,0,IF(COUNTIFS(実績!$W$6:$W$505,T$3,実績!$AC$6:$AC$505,"&lt;="&amp;$A170,実績!$AD$6:$AD$505,"&gt;"&amp;$A170,実績!$AE$6:$AE$505,"○")&gt;0,1,0))</f>
        <v/>
      </c>
      <c r="U170">
        <f>IF(U$4=0,0,IF(COUNTIFS(実績!$W$6:$W$505,U$3,実績!$AC$6:$AC$505,"&lt;="&amp;$A170,実績!$AD$6:$AD$505,"&gt;"&amp;$A170,実績!$AE$6:$AE$505,"○")&gt;0,1,0))</f>
        <v/>
      </c>
      <c r="V170">
        <f>IF(V$4=0,0,IF(COUNTIFS(実績!$W$6:$W$505,V$3,実績!$AC$6:$AC$505,"&lt;="&amp;$A170,実績!$AD$6:$AD$505,"&gt;"&amp;$A170,実績!$AE$6:$AE$505,"○")&gt;0,1,0))</f>
        <v/>
      </c>
      <c r="W170">
        <f>IF(W$4=0,0,IF(COUNTIFS(実績!$W$6:$W$505,W$3,実績!$AC$6:$AC$505,"&lt;="&amp;$A170,実績!$AD$6:$AD$505,"&gt;"&amp;$A170,実績!$AE$6:$AE$505,"○")&gt;0,1,0))</f>
        <v/>
      </c>
      <c r="X170">
        <f>IF(X$4=0,0,IF(COUNTIFS(実績!$W$6:$W$505,X$3,実績!$AC$6:$AC$505,"&lt;="&amp;$A170,実績!$AD$6:$AD$505,"&gt;"&amp;$A170,実績!$AE$6:$AE$505,"○")&gt;0,1,0))</f>
        <v/>
      </c>
      <c r="Y170">
        <f>IF(Y$4=0,0,IF(COUNTIFS(実績!$W$6:$W$505,Y$3,実績!$AC$6:$AC$505,"&lt;="&amp;$A170,実績!$AD$6:$AD$505,"&gt;"&amp;$A170,実績!$AE$6:$AE$505,"○")&gt;0,1,0))</f>
        <v/>
      </c>
      <c r="Z170">
        <f>IF(Z$4=0,0,IF(COUNTIFS(実績!$W$6:$W$505,Z$3,実績!$AC$6:$AC$505,"&lt;="&amp;$A170,実績!$AD$6:$AD$505,"&gt;"&amp;$A170,実績!$AE$6:$AE$505,"○")&gt;0,1,0))</f>
        <v/>
      </c>
      <c r="AA170">
        <f>IF(AA$4=0,0,IF(COUNTIFS(実績!$W$6:$W$505,AA$3,実績!$AC$6:$AC$505,"&lt;="&amp;$A170,実績!$AD$6:$AD$505,"&gt;"&amp;$A170,実績!$AE$6:$AE$505,"○")&gt;0,1,0))</f>
        <v/>
      </c>
      <c r="AB170">
        <f>IF(AB$4=0,0,IF(COUNTIFS(実績!$W$6:$W$505,AB$3,実績!$AC$6:$AC$505,"&lt;="&amp;$A170,実績!$AD$6:$AD$505,"&gt;"&amp;$A170,実績!$AE$6:$AE$505,"○")&gt;0,1,0))</f>
        <v/>
      </c>
      <c r="AC170">
        <f>IF(AC$4=0,0,IF(COUNTIFS(実績!$W$6:$W$505,AC$3,実績!$AC$6:$AC$505,"&lt;="&amp;$A170,実績!$AD$6:$AD$505,"&gt;"&amp;$A170,実績!$AE$6:$AE$505,"○")&gt;0,1,0))</f>
        <v/>
      </c>
      <c r="AD170">
        <f>IF(AD$4=0,0,IF(COUNTIFS(実績!$W$6:$W$505,AD$3,実績!$AC$6:$AC$505,"&lt;="&amp;$A170,実績!$AD$6:$AD$505,"&gt;"&amp;$A170,実績!$AE$6:$AE$505,"○")&gt;0,1,0))</f>
        <v/>
      </c>
      <c r="AE170">
        <f>IF(AE$4=0,0,IF(COUNTIFS(実績!$W$6:$W$505,AE$3,実績!$AC$6:$AC$505,"&lt;="&amp;$A170,実績!$AD$6:$AD$505,"&gt;"&amp;$A170,実績!$AE$6:$AE$505,"○")&gt;0,1,0))</f>
        <v/>
      </c>
      <c r="AF170">
        <f>IF(AF$4=0,0,IF(COUNTIFS(実績!$W$6:$W$505,AF$3,実績!$AC$6:$AC$505,"&lt;="&amp;$A170,実績!$AD$6:$AD$505,"&gt;"&amp;$A170,実績!$AE$6:$AE$505,"○")&gt;0,1,0))</f>
        <v/>
      </c>
      <c r="AG170">
        <f>IF(AG$4=0,0,IF(COUNTIFS(実績!$W$6:$W$505,AG$3,実績!$AC$6:$AC$505,"&lt;="&amp;$A170,実績!$AD$6:$AD$505,"&gt;"&amp;$A170,実績!$AE$6:$AE$505,"○")&gt;0,1,0))</f>
        <v/>
      </c>
      <c r="AH170">
        <f>IF(AH$4=0,0,IF(COUNTIFS(実績!$W$6:$W$505,AH$3,実績!$AC$6:$AC$505,"&lt;="&amp;$A170,実績!$AD$6:$AD$505,"&gt;"&amp;$A170,実績!$AE$6:$AE$505,"○")&gt;0,1,0))</f>
        <v/>
      </c>
      <c r="AI170">
        <f>IF(AI$4=0,0,IF(COUNTIFS(実績!$W$6:$W$505,AI$3,実績!$AC$6:$AC$505,"&lt;="&amp;$A170,実績!$AD$6:$AD$505,"&gt;"&amp;$A170,実績!$AE$6:$AE$505,"○")&gt;0,1,0))</f>
        <v/>
      </c>
      <c r="AJ170">
        <f>IF(AJ$4=0,0,IF(COUNTIFS(実績!$W$6:$W$505,AJ$3,実績!$AC$6:$AC$505,"&lt;="&amp;$A170,実績!$AD$6:$AD$505,"&gt;"&amp;$A170,実績!$AE$6:$AE$505,"○")&gt;0,1,0))</f>
        <v/>
      </c>
      <c r="AK170">
        <f>IF(AK$4=0,0,IF(COUNTIFS(実績!$W$6:$W$505,AK$3,実績!$AC$6:$AC$505,"&lt;="&amp;$A170,実績!$AD$6:$AD$505,"&gt;"&amp;$A170,実績!$AE$6:$AE$505,"○")&gt;0,1,0))</f>
        <v/>
      </c>
      <c r="AL170">
        <f>IF(AL$4=0,0,IF(COUNTIFS(実績!$W$6:$W$505,AL$3,実績!$AC$6:$AC$505,"&lt;="&amp;$A170,実績!$AD$6:$AD$505,"&gt;"&amp;$A170,実績!$AE$6:$AE$505,"○")&gt;0,1,0))</f>
        <v/>
      </c>
      <c r="AM170">
        <f>IF(AM$4=0,0,IF(COUNTIFS(実績!$W$6:$W$505,AM$3,実績!$AC$6:$AC$505,"&lt;="&amp;$A170,実績!$AD$6:$AD$505,"&gt;"&amp;$A170,実績!$AE$6:$AE$505,"○")&gt;0,1,0))</f>
        <v/>
      </c>
      <c r="AN170">
        <f>IF(AN$4=0,0,IF(COUNTIFS(実績!$W$6:$W$505,AN$3,実績!$AC$6:$AC$505,"&lt;="&amp;$A170,実績!$AD$6:$AD$505,"&gt;"&amp;$A170,実績!$AE$6:$AE$505,"○")&gt;0,1,0))</f>
        <v/>
      </c>
      <c r="AO170">
        <f>IF(AO$4=0,0,IF(COUNTIFS(実績!$W$6:$W$505,AO$3,実績!$AC$6:$AC$505,"&lt;="&amp;$A170,実績!$AD$6:$AD$505,"&gt;"&amp;$A170,実績!$AE$6:$AE$505,"○")&gt;0,1,0))</f>
        <v/>
      </c>
      <c r="AP170">
        <f>IF(AP$4=0,0,IF(COUNTIFS(実績!$W$6:$W$505,AP$3,実績!$AC$6:$AC$505,"&lt;="&amp;$A170,実績!$AD$6:$AD$505,"&gt;"&amp;$A170,実績!$AE$6:$AE$505,"○")&gt;0,1,0))</f>
        <v/>
      </c>
      <c r="AQ170">
        <f>IF(AQ$4=0,0,IF(COUNTIFS(実績!$W$6:$W$505,AQ$3,実績!$AC$6:$AC$505,"&lt;="&amp;$A170,実績!$AD$6:$AD$505,"&gt;"&amp;$A170,実績!$AE$6:$AE$505,"○")&gt;0,1,0))</f>
        <v/>
      </c>
      <c r="AR170">
        <f>IF(AR$4=0,0,IF(COUNTIFS(実績!$W$6:$W$505,AR$3,実績!$AC$6:$AC$505,"&lt;="&amp;$A170,実績!$AD$6:$AD$505,"&gt;"&amp;$A170,実績!$AE$6:$AE$505,"○")&gt;0,1,0))</f>
        <v/>
      </c>
      <c r="AS170">
        <f>IF(AS$4=0,0,IF(COUNTIFS(実績!$W$6:$W$505,AS$3,実績!$AC$6:$AC$505,"&lt;="&amp;$A170,実績!$AD$6:$AD$505,"&gt;"&amp;$A170,実績!$AE$6:$AE$505,"○")&gt;0,1,0))</f>
        <v/>
      </c>
      <c r="AT170">
        <f>IF(AT$4=0,0,IF(COUNTIFS(実績!$W$6:$W$505,AT$3,実績!$AC$6:$AC$505,"&lt;="&amp;$A170,実績!$AD$6:$AD$505,"&gt;"&amp;$A170,実績!$AE$6:$AE$505,"○")&gt;0,1,0))</f>
        <v/>
      </c>
      <c r="AU170">
        <f>IF(AU$4=0,0,IF(COUNTIFS(実績!$W$6:$W$505,AU$3,実績!$AC$6:$AC$505,"&lt;="&amp;$A170,実績!$AD$6:$AD$505,"&gt;"&amp;$A170,実績!$AE$6:$AE$505,"○")&gt;0,1,0))</f>
        <v/>
      </c>
      <c r="AV170">
        <f>IF(AV$4=0,0,IF(COUNTIFS(実績!$W$6:$W$505,AV$3,実績!$AC$6:$AC$505,"&lt;="&amp;$A170,実績!$AD$6:$AD$505,"&gt;"&amp;$A170,実績!$AE$6:$AE$505,"○")&gt;0,1,0))</f>
        <v/>
      </c>
      <c r="AW170">
        <f>IF(AW$4=0,0,IF(COUNTIFS(実績!$W$6:$W$505,AW$3,実績!$AC$6:$AC$505,"&lt;="&amp;$A170,実績!$AD$6:$AD$505,"&gt;"&amp;$A170,実績!$AE$6:$AE$505,"○")&gt;0,1,0))</f>
        <v/>
      </c>
      <c r="AX170">
        <f>IF(AX$4=0,0,IF(COUNTIFS(実績!$W$6:$W$505,AX$3,実績!$AC$6:$AC$505,"&lt;="&amp;$A170,実績!$AD$6:$AD$505,"&gt;"&amp;$A170,実績!$AE$6:$AE$505,"○")&gt;0,1,0))</f>
        <v/>
      </c>
      <c r="AY170">
        <f>IF(AY$4=0,0,IF(COUNTIFS(実績!$W$6:$W$505,AY$3,実績!$AC$6:$AC$505,"&lt;="&amp;$A170,実績!$AD$6:$AD$505,"&gt;"&amp;$A170,実績!$AE$6:$AE$505,"○")&gt;0,1,0))</f>
        <v/>
      </c>
      <c r="AZ170">
        <f>IF(AZ$4=0,0,IF(COUNTIFS(実績!$W$6:$W$505,AZ$3,実績!$AC$6:$AC$505,"&lt;="&amp;$A170,実績!$AD$6:$AD$505,"&gt;"&amp;$A170,実績!$AE$6:$AE$505,"○")&gt;0,1,0))</f>
        <v/>
      </c>
      <c r="BA170">
        <f>IF(BA$4=0,0,IF(COUNTIFS(実績!$W$6:$W$505,BA$3,実績!$AC$6:$AC$505,"&lt;="&amp;$A170,実績!$AD$6:$AD$505,"&gt;"&amp;$A170,実績!$AE$6:$AE$505,"○")&gt;0,1,0))</f>
        <v/>
      </c>
      <c r="BB170">
        <f>IF(BB$4=0,0,IF(COUNTIFS(実績!$W$6:$W$505,BB$3,実績!$AC$6:$AC$505,"&lt;="&amp;$A170,実績!$AD$6:$AD$505,"&gt;"&amp;$A170,実績!$AE$6:$AE$505,"○")&gt;0,1,0))</f>
        <v/>
      </c>
      <c r="BC170">
        <f>IF(BC$4=0,0,IF(COUNTIFS(実績!$W$6:$W$505,BC$3,実績!$AC$6:$AC$505,"&lt;="&amp;$A170,実績!$AD$6:$AD$505,"&gt;"&amp;$A170,実績!$AE$6:$AE$505,"○")&gt;0,1,0))</f>
        <v/>
      </c>
      <c r="BD170">
        <f>IF(BD$4=0,0,IF(COUNTIFS(実績!$W$6:$W$505,BD$3,実績!$AC$6:$AC$505,"&lt;="&amp;$A170,実績!$AD$6:$AD$505,"&gt;"&amp;$A170,実績!$AE$6:$AE$505,"○")&gt;0,1,0))</f>
        <v/>
      </c>
      <c r="BE170">
        <f>IF(BE$4=0,0,IF(COUNTIFS(実績!$W$6:$W$505,BE$3,実績!$AC$6:$AC$505,"&lt;="&amp;$A170,実績!$AD$6:$AD$505,"&gt;"&amp;$A170,実績!$AE$6:$AE$505,"○")&gt;0,1,0))</f>
        <v/>
      </c>
      <c r="BF170">
        <f>IF(BF$4=0,0,IF(COUNTIFS(実績!$W$6:$W$505,BF$3,実績!$AC$6:$AC$505,"&lt;="&amp;$A170,実績!$AD$6:$AD$505,"&gt;"&amp;$A170,実績!$AE$6:$AE$505,"○")&gt;0,1,0))</f>
        <v/>
      </c>
      <c r="BG170">
        <f>IF(BG$4=0,0,IF(COUNTIFS(実績!$W$6:$W$505,BG$3,実績!$AC$6:$AC$505,"&lt;="&amp;$A170,実績!$AD$6:$AD$505,"&gt;"&amp;$A170,実績!$AE$6:$AE$505,"○")&gt;0,1,0))</f>
        <v/>
      </c>
      <c r="BH170">
        <f>IF(BH$4=0,0,IF(COUNTIFS(実績!$W$6:$W$505,BH$3,実績!$AC$6:$AC$505,"&lt;="&amp;$A170,実績!$AD$6:$AD$505,"&gt;"&amp;$A170,実績!$AE$6:$AE$505,"○")&gt;0,1,0))</f>
        <v/>
      </c>
      <c r="BI170">
        <f>IF(BI$4=0,0,IF(COUNTIFS(実績!$W$6:$W$505,BI$3,実績!$AC$6:$AC$505,"&lt;="&amp;$A170,実績!$AD$6:$AD$505,"&gt;"&amp;$A170,実績!$AE$6:$AE$505,"○")&gt;0,1,0))</f>
        <v/>
      </c>
      <c r="BJ170">
        <f>IF(BJ$4=0,0,IF(COUNTIFS(実績!$W$6:$W$505,BJ$3,実績!$AC$6:$AC$505,"&lt;="&amp;$A170,実績!$AD$6:$AD$505,"&gt;"&amp;$A170,実績!$AE$6:$AE$505,"○")&gt;0,1,0))</f>
        <v/>
      </c>
      <c r="BK170">
        <f>IF(BK$4=0,0,IF(COUNTIFS(実績!$W$6:$W$505,BK$3,実績!$AC$6:$AC$505,"&lt;="&amp;$A170,実績!$AD$6:$AD$505,"&gt;"&amp;$A170,実績!$AE$6:$AE$505,"○")&gt;0,1,0))</f>
        <v/>
      </c>
      <c r="BL170">
        <f>IF(BL$4=0,0,IF(COUNTIFS(実績!$W$6:$W$505,BL$3,実績!$AC$6:$AC$505,"&lt;="&amp;$A170,実績!$AD$6:$AD$505,"&gt;"&amp;$A170,実績!$AE$6:$AE$505,"○")&gt;0,1,0))</f>
        <v/>
      </c>
      <c r="BM170">
        <f>IF(BM$4=0,0,IF(COUNTIFS(実績!$W$6:$W$505,BM$3,実績!$AC$6:$AC$505,"&lt;="&amp;$A170,実績!$AD$6:$AD$505,"&gt;"&amp;$A170,実績!$AE$6:$AE$505,"○")&gt;0,1,0))</f>
        <v/>
      </c>
      <c r="BN170">
        <f>IF(BN$4=0,0,IF(COUNTIFS(実績!$W$6:$W$505,BN$3,実績!$AC$6:$AC$505,"&lt;="&amp;$A170,実績!$AD$6:$AD$505,"&gt;"&amp;$A170,実績!$AE$6:$AE$505,"○")&gt;0,1,0))</f>
        <v/>
      </c>
      <c r="BO170">
        <f>IF(BO$4=0,0,IF(COUNTIFS(実績!$W$6:$W$505,BO$3,実績!$AC$6:$AC$505,"&lt;="&amp;$A170,実績!$AD$6:$AD$505,"&gt;"&amp;$A170,実績!$AE$6:$AE$505,"○")&gt;0,1,0))</f>
        <v/>
      </c>
      <c r="BP170">
        <f>IF(BP$4=0,0,IF(COUNTIFS(実績!$W$6:$W$505,BP$3,実績!$AC$6:$AC$505,"&lt;="&amp;$A170,実績!$AD$6:$AD$505,"&gt;"&amp;$A170,実績!$AE$6:$AE$505,"○")&gt;0,1,0))</f>
        <v/>
      </c>
      <c r="BQ170">
        <f>IF(BQ$4=0,0,IF(COUNTIFS(実績!$W$6:$W$505,BQ$3,実績!$AC$6:$AC$505,"&lt;="&amp;$A170,実績!$AD$6:$AD$505,"&gt;"&amp;$A170,実績!$AE$6:$AE$505,"○")&gt;0,1,0))</f>
        <v/>
      </c>
      <c r="BR170">
        <f>IF(BR$4=0,0,IF(COUNTIFS(実績!$W$6:$W$505,BR$3,実績!$AC$6:$AC$505,"&lt;="&amp;$A170,実績!$AD$6:$AD$505,"&gt;"&amp;$A170,実績!$AE$6:$AE$505,"○")&gt;0,1,0))</f>
        <v/>
      </c>
      <c r="BS170">
        <f>IF(BS$4=0,0,IF(COUNTIFS(実績!$W$6:$W$505,BS$3,実績!$AC$6:$AC$505,"&lt;="&amp;$A170,実績!$AD$6:$AD$505,"&gt;"&amp;$A170,実績!$AE$6:$AE$505,"○")&gt;0,1,0))</f>
        <v/>
      </c>
      <c r="BT170">
        <f>IF(BT$4=0,0,IF(COUNTIFS(実績!$W$6:$W$505,BT$3,実績!$AC$6:$AC$505,"&lt;="&amp;$A170,実績!$AD$6:$AD$505,"&gt;"&amp;$A170,実績!$AE$6:$AE$505,"○")&gt;0,1,0))</f>
        <v/>
      </c>
      <c r="BU170">
        <f>IF(BU$4=0,0,IF(COUNTIFS(実績!$W$6:$W$505,BU$3,実績!$AC$6:$AC$505,"&lt;="&amp;$A170,実績!$AD$6:$AD$505,"&gt;"&amp;$A170,実績!$AE$6:$AE$505,"○")&gt;0,1,0))</f>
        <v/>
      </c>
      <c r="BV170">
        <f>IF(BV$4=0,0,IF(COUNTIFS(実績!$W$6:$W$505,BV$3,実績!$AC$6:$AC$505,"&lt;="&amp;$A170,実績!$AD$6:$AD$505,"&gt;"&amp;$A170,実績!$AE$6:$AE$505,"○")&gt;0,1,0))</f>
        <v/>
      </c>
      <c r="BW170">
        <f>IF(BW$4=0,0,IF(COUNTIFS(実績!$W$6:$W$505,BW$3,実績!$AC$6:$AC$505,"&lt;="&amp;$A170,実績!$AD$6:$AD$505,"&gt;"&amp;$A170,実績!$AE$6:$AE$505,"○")&gt;0,1,0))</f>
        <v/>
      </c>
      <c r="BX170">
        <f>IF(BX$4=0,0,IF(COUNTIFS(実績!$W$6:$W$505,BX$3,実績!$AC$6:$AC$505,"&lt;="&amp;$A170,実績!$AD$6:$AD$505,"&gt;"&amp;$A170,実績!$AE$6:$AE$505,"○")&gt;0,1,0))</f>
        <v/>
      </c>
      <c r="BY170">
        <f>IF(BY$4=0,0,IF(COUNTIFS(実績!$W$6:$W$505,BY$3,実績!$AC$6:$AC$505,"&lt;="&amp;$A170,実績!$AD$6:$AD$505,"&gt;"&amp;$A170,実績!$AE$6:$AE$505,"○")&gt;0,1,0))</f>
        <v/>
      </c>
      <c r="BZ170">
        <f>IF(BZ$4=0,0,IF(COUNTIFS(実績!$W$6:$W$505,BZ$3,実績!$AC$6:$AC$505,"&lt;="&amp;$A170,実績!$AD$6:$AD$505,"&gt;"&amp;$A170,実績!$AE$6:$AE$505,"○")&gt;0,1,0))</f>
        <v/>
      </c>
      <c r="CA170">
        <f>IF(CA$4=0,0,IF(COUNTIFS(実績!$W$6:$W$505,CA$3,実績!$AC$6:$AC$505,"&lt;="&amp;$A170,実績!$AD$6:$AD$505,"&gt;"&amp;$A170,実績!$AE$6:$AE$505,"○")&gt;0,1,0))</f>
        <v/>
      </c>
      <c r="CB170">
        <f>IF(CB$4=0,0,IF(COUNTIFS(実績!$W$6:$W$505,CB$3,実績!$AC$6:$AC$505,"&lt;="&amp;$A170,実績!$AD$6:$AD$505,"&gt;"&amp;$A170,実績!$AE$6:$AE$505,"○")&gt;0,1,0))</f>
        <v/>
      </c>
      <c r="CC170">
        <f>IF(CC$4=0,0,IF(COUNTIFS(実績!$W$6:$W$505,CC$3,実績!$AC$6:$AC$505,"&lt;="&amp;$A170,実績!$AD$6:$AD$505,"&gt;"&amp;$A170,実績!$AE$6:$AE$505,"○")&gt;0,1,0))</f>
        <v/>
      </c>
      <c r="CD170">
        <f>IF(CD$4=0,0,IF(COUNTIFS(実績!$W$6:$W$505,CD$3,実績!$AC$6:$AC$505,"&lt;="&amp;$A170,実績!$AD$6:$AD$505,"&gt;"&amp;$A170,実績!$AE$6:$AE$505,"○")&gt;0,1,0))</f>
        <v/>
      </c>
      <c r="CE170">
        <f>IF(CE$4=0,0,IF(COUNTIFS(実績!$W$6:$W$505,CE$3,実績!$AC$6:$AC$505,"&lt;="&amp;$A170,実績!$AD$6:$AD$505,"&gt;"&amp;$A170,実績!$AE$6:$AE$505,"○")&gt;0,1,0))</f>
        <v/>
      </c>
      <c r="CF170">
        <f>IF(CF$4=0,0,IF(COUNTIFS(実績!$W$6:$W$505,CF$3,実績!$AC$6:$AC$505,"&lt;="&amp;$A170,実績!$AD$6:$AD$505,"&gt;"&amp;$A170,実績!$AE$6:$AE$505,"○")&gt;0,1,0))</f>
        <v/>
      </c>
      <c r="CG170">
        <f>IF(CG$4=0,0,IF(COUNTIFS(実績!$W$6:$W$505,CG$3,実績!$AC$6:$AC$505,"&lt;="&amp;$A170,実績!$AD$6:$AD$505,"&gt;"&amp;$A170,実績!$AE$6:$AE$505,"○")&gt;0,1,0))</f>
        <v/>
      </c>
      <c r="CH170">
        <f>IF(CH$4=0,0,IF(COUNTIFS(実績!$W$6:$W$505,CH$3,実績!$AC$6:$AC$505,"&lt;="&amp;$A170,実績!$AD$6:$AD$505,"&gt;"&amp;$A170,実績!$AE$6:$AE$505,"○")&gt;0,1,0))</f>
        <v/>
      </c>
      <c r="CI170">
        <f>IF(CI$4=0,0,IF(COUNTIFS(実績!$W$6:$W$505,CI$3,実績!$AC$6:$AC$505,"&lt;="&amp;$A170,実績!$AD$6:$AD$505,"&gt;"&amp;$A170,実績!$AE$6:$AE$505,"○")&gt;0,1,0))</f>
        <v/>
      </c>
      <c r="CJ170">
        <f>IF(CJ$4=0,0,IF(COUNTIFS(実績!$W$6:$W$505,CJ$3,実績!$AC$6:$AC$505,"&lt;="&amp;$A170,実績!$AD$6:$AD$505,"&gt;"&amp;$A170,実績!$AE$6:$AE$505,"○")&gt;0,1,0))</f>
        <v/>
      </c>
      <c r="CK170">
        <f>IF(CK$4=0,0,IF(COUNTIFS(実績!$W$6:$W$505,CK$3,実績!$AC$6:$AC$505,"&lt;="&amp;$A170,実績!$AD$6:$AD$505,"&gt;"&amp;$A170,実績!$AE$6:$AE$505,"○")&gt;0,1,0))</f>
        <v/>
      </c>
      <c r="CL170">
        <f>IF(CL$4=0,0,IF(COUNTIFS(実績!$W$6:$W$505,CL$3,実績!$AC$6:$AC$505,"&lt;="&amp;$A170,実績!$AD$6:$AD$505,"&gt;"&amp;$A170,実績!$AE$6:$AE$505,"○")&gt;0,1,0))</f>
        <v/>
      </c>
      <c r="CM170">
        <f>IF(CM$4=0,0,IF(COUNTIFS(実績!$W$6:$W$505,CM$3,実績!$AC$6:$AC$505,"&lt;="&amp;$A170,実績!$AD$6:$AD$505,"&gt;"&amp;$A170,実績!$AE$6:$AE$505,"○")&gt;0,1,0))</f>
        <v/>
      </c>
      <c r="CN170">
        <f>IF(CN$4=0,0,IF(COUNTIFS(実績!$W$6:$W$505,CN$3,実績!$AC$6:$AC$505,"&lt;="&amp;$A170,実績!$AD$6:$AD$505,"&gt;"&amp;$A170,実績!$AE$6:$AE$505,"○")&gt;0,1,0))</f>
        <v/>
      </c>
      <c r="CO170">
        <f>IF(CO$4=0,0,IF(COUNTIFS(実績!$W$6:$W$505,CO$3,実績!$AC$6:$AC$505,"&lt;="&amp;$A170,実績!$AD$6:$AD$505,"&gt;"&amp;$A170,実績!$AE$6:$AE$505,"○")&gt;0,1,0))</f>
        <v/>
      </c>
      <c r="CP170">
        <f>IF(CP$4=0,0,IF(COUNTIFS(実績!$W$6:$W$505,CP$3,実績!$AC$6:$AC$505,"&lt;="&amp;$A170,実績!$AD$6:$AD$505,"&gt;"&amp;$A170,実績!$AE$6:$AE$505,"○")&gt;0,1,0))</f>
        <v/>
      </c>
      <c r="CQ170">
        <f>IF(CQ$4=0,0,IF(COUNTIFS(実績!$W$6:$W$505,CQ$3,実績!$AC$6:$AC$505,"&lt;="&amp;$A170,実績!$AD$6:$AD$505,"&gt;"&amp;$A170,実績!$AE$6:$AE$505,"○")&gt;0,1,0))</f>
        <v/>
      </c>
      <c r="CR170">
        <f>IF(CR$4=0,0,IF(COUNTIFS(実績!$W$6:$W$505,CR$3,実績!$AC$6:$AC$505,"&lt;="&amp;$A170,実績!$AD$6:$AD$505,"&gt;"&amp;$A170,実績!$AE$6:$AE$505,"○")&gt;0,1,0))</f>
        <v/>
      </c>
      <c r="CS170">
        <f>IF(CS$4=0,0,IF(COUNTIFS(実績!$W$6:$W$505,CS$3,実績!$AC$6:$AC$505,"&lt;="&amp;$A170,実績!$AD$6:$AD$505,"&gt;"&amp;$A170,実績!$AE$6:$AE$505,"○")&gt;0,1,0))</f>
        <v/>
      </c>
      <c r="CT170">
        <f>IF(CT$4=0,0,IF(COUNTIFS(実績!$W$6:$W$505,CT$3,実績!$AC$6:$AC$505,"&lt;="&amp;$A170,実績!$AD$6:$AD$505,"&gt;"&amp;$A170,実績!$AE$6:$AE$505,"○")&gt;0,1,0))</f>
        <v/>
      </c>
      <c r="CU170">
        <f>IF(CU$4=0,0,IF(COUNTIFS(実績!$W$6:$W$505,CU$3,実績!$AC$6:$AC$505,"&lt;="&amp;$A170,実績!$AD$6:$AD$505,"&gt;"&amp;$A170,実績!$AE$6:$AE$505,"○")&gt;0,1,0))</f>
        <v/>
      </c>
      <c r="CV170">
        <f>IF(CV$4=0,0,IF(COUNTIFS(実績!$W$6:$W$505,CV$3,実績!$AC$6:$AC$505,"&lt;="&amp;$A170,実績!$AD$6:$AD$505,"&gt;"&amp;$A170,実績!$AE$6:$AE$505,"○")&gt;0,1,0))</f>
        <v/>
      </c>
      <c r="CW170">
        <f>IF(CW$4=0,0,IF(COUNTIFS(実績!$W$6:$W$505,CW$3,実績!$AC$6:$AC$505,"&lt;="&amp;$A170,実績!$AD$6:$AD$505,"&gt;"&amp;$A170,実績!$AE$6:$AE$505,"○")&gt;0,1,0))</f>
        <v/>
      </c>
      <c r="CX170">
        <f>IF(CX$4=0,0,IF(COUNTIFS(実績!$W$6:$W$505,CX$3,実績!$AC$6:$AC$505,"&lt;="&amp;$A170,実績!$AD$6:$AD$505,"&gt;"&amp;$A170,実績!$AE$6:$AE$505,"○")&gt;0,1,0))</f>
        <v/>
      </c>
      <c r="CY170">
        <f>IF(CY$4=0,0,IF(COUNTIFS(実績!$W$6:$W$505,CY$3,実績!$AC$6:$AC$505,"&lt;="&amp;$A170,実績!$AD$6:$AD$505,"&gt;"&amp;$A170,実績!$AE$6:$AE$505,"○")&gt;0,1,0))</f>
        <v/>
      </c>
      <c r="CZ170">
        <f>IF(CZ$4=0,0,IF(COUNTIFS(実績!$W$6:$W$505,CZ$3,実績!$AC$6:$AC$505,"&lt;="&amp;$A170,実績!$AD$6:$AD$505,"&gt;"&amp;$A170,実績!$AE$6:$AE$505,"○")&gt;0,1,0))</f>
        <v/>
      </c>
      <c r="DA170">
        <f>IF(DA$4=0,0,IF(COUNTIFS(実績!$W$6:$W$505,DA$3,実績!$AC$6:$AC$505,"&lt;="&amp;$A170,実績!$AD$6:$AD$505,"&gt;"&amp;$A170,実績!$AE$6:$AE$505,"○")&gt;0,1,0))</f>
        <v/>
      </c>
      <c r="DB170">
        <f>IF(DB$4=0,0,IF(COUNTIFS(実績!$W$6:$W$505,DB$3,実績!$AC$6:$AC$505,"&lt;="&amp;$A170,実績!$AD$6:$AD$505,"&gt;"&amp;$A170,実績!$AE$6:$AE$505,"○")&gt;0,1,0))</f>
        <v/>
      </c>
      <c r="DC170">
        <f>IF(DC$4=0,0,IF(COUNTIFS(実績!$W$6:$W$505,DC$3,実績!$AC$6:$AC$505,"&lt;="&amp;$A170,実績!$AD$6:$AD$505,"&gt;"&amp;$A170,実績!$AE$6:$AE$505,"○")&gt;0,1,0))</f>
        <v/>
      </c>
      <c r="DD170">
        <f>IF(DD$4=0,0,IF(COUNTIFS(実績!$W$6:$W$505,DD$3,実績!$AC$6:$AC$505,"&lt;="&amp;$A170,実績!$AD$6:$AD$505,"&gt;"&amp;$A170,実績!$AE$6:$AE$505,"○")&gt;0,1,0))</f>
        <v/>
      </c>
      <c r="DE170">
        <f>IF(DE$4=0,0,IF(COUNTIFS(実績!$W$6:$W$505,DE$3,実績!$AC$6:$AC$505,"&lt;="&amp;$A170,実績!$AD$6:$AD$505,"&gt;"&amp;$A170,実績!$AE$6:$AE$505,"○")&gt;0,1,0))</f>
        <v/>
      </c>
      <c r="DF170">
        <f>IF(DF$4=0,0,IF(COUNTIFS(実績!$W$6:$W$505,DF$3,実績!$AC$6:$AC$505,"&lt;="&amp;$A170,実績!$AD$6:$AD$505,"&gt;"&amp;$A170,実績!$AE$6:$AE$505,"○")&gt;0,1,0))</f>
        <v/>
      </c>
      <c r="DG170">
        <f>IF(DG$4=0,0,IF(COUNTIFS(実績!$W$6:$W$505,DG$3,実績!$AC$6:$AC$505,"&lt;="&amp;$A170,実績!$AD$6:$AD$505,"&gt;"&amp;$A170,実績!$AE$6:$AE$505,"○")&gt;0,1,0))</f>
        <v/>
      </c>
      <c r="DH170">
        <f>IF(DH$4=0,0,IF(COUNTIFS(実績!$W$6:$W$505,DH$3,実績!$AC$6:$AC$505,"&lt;="&amp;$A170,実績!$AD$6:$AD$505,"&gt;"&amp;$A170,実績!$AE$6:$AE$505,"○")&gt;0,1,0))</f>
        <v/>
      </c>
      <c r="DI170">
        <f>IF(DI$4=0,0,IF(COUNTIFS(実績!$W$6:$W$505,DI$3,実績!$AC$6:$AC$505,"&lt;="&amp;$A170,実績!$AD$6:$AD$505,"&gt;"&amp;$A170,実績!$AE$6:$AE$505,"○")&gt;0,1,0))</f>
        <v/>
      </c>
      <c r="DJ170">
        <f>IF(DJ$4=0,0,IF(COUNTIFS(実績!$W$6:$W$505,DJ$3,実績!$AC$6:$AC$505,"&lt;="&amp;$A170,実績!$AD$6:$AD$505,"&gt;"&amp;$A170,実績!$AE$6:$AE$505,"○")&gt;0,1,0))</f>
        <v/>
      </c>
      <c r="DK170">
        <f>IF(DK$4=0,0,IF(COUNTIFS(実績!$W$6:$W$505,DK$3,実績!$AC$6:$AC$505,"&lt;="&amp;$A170,実績!$AD$6:$AD$505,"&gt;"&amp;$A170,実績!$AE$6:$AE$505,"○")&gt;0,1,0))</f>
        <v/>
      </c>
      <c r="DL170">
        <f>IF(DL$4=0,0,IF(COUNTIFS(実績!$W$6:$W$505,DL$3,実績!$AC$6:$AC$505,"&lt;="&amp;$A170,実績!$AD$6:$AD$505,"&gt;"&amp;$A170,実績!$AE$6:$AE$505,"○")&gt;0,1,0))</f>
        <v/>
      </c>
      <c r="DM170">
        <f>IF(DM$4=0,0,IF(COUNTIFS(実績!$W$6:$W$505,DM$3,実績!$AC$6:$AC$505,"&lt;="&amp;$A170,実績!$AD$6:$AD$505,"&gt;"&amp;$A170,実績!$AE$6:$AE$505,"○")&gt;0,1,0))</f>
        <v/>
      </c>
      <c r="DN170">
        <f>IF(DN$4=0,0,IF(COUNTIFS(実績!$W$6:$W$505,DN$3,実績!$AC$6:$AC$505,"&lt;="&amp;$A170,実績!$AD$6:$AD$505,"&gt;"&amp;$A170,実績!$AE$6:$AE$505,"○")&gt;0,1,0))</f>
        <v/>
      </c>
      <c r="DO170">
        <f>IF(DO$4=0,0,IF(COUNTIFS(実績!$W$6:$W$505,DO$3,実績!$AC$6:$AC$505,"&lt;="&amp;$A170,実績!$AD$6:$AD$505,"&gt;"&amp;$A170,実績!$AE$6:$AE$505,"○")&gt;0,1,0))</f>
        <v/>
      </c>
      <c r="DP170">
        <f>IF(DP$4=0,0,IF(COUNTIFS(実績!$W$6:$W$505,DP$3,実績!$AC$6:$AC$505,"&lt;="&amp;$A170,実績!$AD$6:$AD$505,"&gt;"&amp;$A170,実績!$AE$6:$AE$505,"○")&gt;0,1,0))</f>
        <v/>
      </c>
      <c r="DQ170">
        <f>IF(DQ$4=0,0,IF(COUNTIFS(実績!$W$6:$W$505,DQ$3,実績!$AC$6:$AC$505,"&lt;="&amp;$A170,実績!$AD$6:$AD$505,"&gt;"&amp;$A170,実績!$AE$6:$AE$505,"○")&gt;0,1,0))</f>
        <v/>
      </c>
      <c r="DR170">
        <f>IF(DR$4=0,0,IF(COUNTIFS(実績!$W$6:$W$505,DR$3,実績!$AC$6:$AC$505,"&lt;="&amp;$A170,実績!$AD$6:$AD$505,"&gt;"&amp;$A170,実績!$AE$6:$AE$505,"○")&gt;0,1,0))</f>
        <v/>
      </c>
      <c r="DS170">
        <f>SUM(C170:DR170)</f>
        <v/>
      </c>
      <c r="DT170">
        <f>SUMPRODUCT((実績!$C$6:$C$505="○")*ISNUMBER(実績!$AF$6:$AF$505)*(実績!$AF$6:$AF$505&lt;=$A170)*(実績!$AG$6:$AG$505&gt;$A170))</f>
        <v/>
      </c>
      <c r="DU170">
        <f>SUMIF($C$2:$DR$2,"製鉄曳船",C170:DR170)</f>
        <v/>
      </c>
      <c r="DV170">
        <f>SUMIF($C$2:$DR$2,"西日本海運",C170:DR170)</f>
        <v/>
      </c>
    </row>
    <row r="171">
      <c r="A171" t="n">
        <v>825</v>
      </c>
      <c r="B171" s="29">
        <f>A171/1440</f>
        <v/>
      </c>
      <c r="C171">
        <f>IF(C$4=0,0,IF(COUNTIFS(実績!$W$6:$W$505,C$3,実績!$AC$6:$AC$505,"&lt;="&amp;$A171,実績!$AD$6:$AD$505,"&gt;"&amp;$A171,実績!$AE$6:$AE$505,"○")&gt;0,1,0))</f>
        <v/>
      </c>
      <c r="D171">
        <f>IF(D$4=0,0,IF(COUNTIFS(実績!$W$6:$W$505,D$3,実績!$AC$6:$AC$505,"&lt;="&amp;$A171,実績!$AD$6:$AD$505,"&gt;"&amp;$A171,実績!$AE$6:$AE$505,"○")&gt;0,1,0))</f>
        <v/>
      </c>
      <c r="E171">
        <f>IF(E$4=0,0,IF(COUNTIFS(実績!$W$6:$W$505,E$3,実績!$AC$6:$AC$505,"&lt;="&amp;$A171,実績!$AD$6:$AD$505,"&gt;"&amp;$A171,実績!$AE$6:$AE$505,"○")&gt;0,1,0))</f>
        <v/>
      </c>
      <c r="F171">
        <f>IF(F$4=0,0,IF(COUNTIFS(実績!$W$6:$W$505,F$3,実績!$AC$6:$AC$505,"&lt;="&amp;$A171,実績!$AD$6:$AD$505,"&gt;"&amp;$A171,実績!$AE$6:$AE$505,"○")&gt;0,1,0))</f>
        <v/>
      </c>
      <c r="G171">
        <f>IF(G$4=0,0,IF(COUNTIFS(実績!$W$6:$W$505,G$3,実績!$AC$6:$AC$505,"&lt;="&amp;$A171,実績!$AD$6:$AD$505,"&gt;"&amp;$A171,実績!$AE$6:$AE$505,"○")&gt;0,1,0))</f>
        <v/>
      </c>
      <c r="H171">
        <f>IF(H$4=0,0,IF(COUNTIFS(実績!$W$6:$W$505,H$3,実績!$AC$6:$AC$505,"&lt;="&amp;$A171,実績!$AD$6:$AD$505,"&gt;"&amp;$A171,実績!$AE$6:$AE$505,"○")&gt;0,1,0))</f>
        <v/>
      </c>
      <c r="I171">
        <f>IF(I$4=0,0,IF(COUNTIFS(実績!$W$6:$W$505,I$3,実績!$AC$6:$AC$505,"&lt;="&amp;$A171,実績!$AD$6:$AD$505,"&gt;"&amp;$A171,実績!$AE$6:$AE$505,"○")&gt;0,1,0))</f>
        <v/>
      </c>
      <c r="J171">
        <f>IF(J$4=0,0,IF(COUNTIFS(実績!$W$6:$W$505,J$3,実績!$AC$6:$AC$505,"&lt;="&amp;$A171,実績!$AD$6:$AD$505,"&gt;"&amp;$A171,実績!$AE$6:$AE$505,"○")&gt;0,1,0))</f>
        <v/>
      </c>
      <c r="K171">
        <f>IF(K$4=0,0,IF(COUNTIFS(実績!$W$6:$W$505,K$3,実績!$AC$6:$AC$505,"&lt;="&amp;$A171,実績!$AD$6:$AD$505,"&gt;"&amp;$A171,実績!$AE$6:$AE$505,"○")&gt;0,1,0))</f>
        <v/>
      </c>
      <c r="L171">
        <f>IF(L$4=0,0,IF(COUNTIFS(実績!$W$6:$W$505,L$3,実績!$AC$6:$AC$505,"&lt;="&amp;$A171,実績!$AD$6:$AD$505,"&gt;"&amp;$A171,実績!$AE$6:$AE$505,"○")&gt;0,1,0))</f>
        <v/>
      </c>
      <c r="M171">
        <f>IF(M$4=0,0,IF(COUNTIFS(実績!$W$6:$W$505,M$3,実績!$AC$6:$AC$505,"&lt;="&amp;$A171,実績!$AD$6:$AD$505,"&gt;"&amp;$A171,実績!$AE$6:$AE$505,"○")&gt;0,1,0))</f>
        <v/>
      </c>
      <c r="N171">
        <f>IF(N$4=0,0,IF(COUNTIFS(実績!$W$6:$W$505,N$3,実績!$AC$6:$AC$505,"&lt;="&amp;$A171,実績!$AD$6:$AD$505,"&gt;"&amp;$A171,実績!$AE$6:$AE$505,"○")&gt;0,1,0))</f>
        <v/>
      </c>
      <c r="O171">
        <f>IF(O$4=0,0,IF(COUNTIFS(実績!$W$6:$W$505,O$3,実績!$AC$6:$AC$505,"&lt;="&amp;$A171,実績!$AD$6:$AD$505,"&gt;"&amp;$A171,実績!$AE$6:$AE$505,"○")&gt;0,1,0))</f>
        <v/>
      </c>
      <c r="P171">
        <f>IF(P$4=0,0,IF(COUNTIFS(実績!$W$6:$W$505,P$3,実績!$AC$6:$AC$505,"&lt;="&amp;$A171,実績!$AD$6:$AD$505,"&gt;"&amp;$A171,実績!$AE$6:$AE$505,"○")&gt;0,1,0))</f>
        <v/>
      </c>
      <c r="Q171">
        <f>IF(Q$4=0,0,IF(COUNTIFS(実績!$W$6:$W$505,Q$3,実績!$AC$6:$AC$505,"&lt;="&amp;$A171,実績!$AD$6:$AD$505,"&gt;"&amp;$A171,実績!$AE$6:$AE$505,"○")&gt;0,1,0))</f>
        <v/>
      </c>
      <c r="R171">
        <f>IF(R$4=0,0,IF(COUNTIFS(実績!$W$6:$W$505,R$3,実績!$AC$6:$AC$505,"&lt;="&amp;$A171,実績!$AD$6:$AD$505,"&gt;"&amp;$A171,実績!$AE$6:$AE$505,"○")&gt;0,1,0))</f>
        <v/>
      </c>
      <c r="S171">
        <f>IF(S$4=0,0,IF(COUNTIFS(実績!$W$6:$W$505,S$3,実績!$AC$6:$AC$505,"&lt;="&amp;$A171,実績!$AD$6:$AD$505,"&gt;"&amp;$A171,実績!$AE$6:$AE$505,"○")&gt;0,1,0))</f>
        <v/>
      </c>
      <c r="T171">
        <f>IF(T$4=0,0,IF(COUNTIFS(実績!$W$6:$W$505,T$3,実績!$AC$6:$AC$505,"&lt;="&amp;$A171,実績!$AD$6:$AD$505,"&gt;"&amp;$A171,実績!$AE$6:$AE$505,"○")&gt;0,1,0))</f>
        <v/>
      </c>
      <c r="U171">
        <f>IF(U$4=0,0,IF(COUNTIFS(実績!$W$6:$W$505,U$3,実績!$AC$6:$AC$505,"&lt;="&amp;$A171,実績!$AD$6:$AD$505,"&gt;"&amp;$A171,実績!$AE$6:$AE$505,"○")&gt;0,1,0))</f>
        <v/>
      </c>
      <c r="V171">
        <f>IF(V$4=0,0,IF(COUNTIFS(実績!$W$6:$W$505,V$3,実績!$AC$6:$AC$505,"&lt;="&amp;$A171,実績!$AD$6:$AD$505,"&gt;"&amp;$A171,実績!$AE$6:$AE$505,"○")&gt;0,1,0))</f>
        <v/>
      </c>
      <c r="W171">
        <f>IF(W$4=0,0,IF(COUNTIFS(実績!$W$6:$W$505,W$3,実績!$AC$6:$AC$505,"&lt;="&amp;$A171,実績!$AD$6:$AD$505,"&gt;"&amp;$A171,実績!$AE$6:$AE$505,"○")&gt;0,1,0))</f>
        <v/>
      </c>
      <c r="X171">
        <f>IF(X$4=0,0,IF(COUNTIFS(実績!$W$6:$W$505,X$3,実績!$AC$6:$AC$505,"&lt;="&amp;$A171,実績!$AD$6:$AD$505,"&gt;"&amp;$A171,実績!$AE$6:$AE$505,"○")&gt;0,1,0))</f>
        <v/>
      </c>
      <c r="Y171">
        <f>IF(Y$4=0,0,IF(COUNTIFS(実績!$W$6:$W$505,Y$3,実績!$AC$6:$AC$505,"&lt;="&amp;$A171,実績!$AD$6:$AD$505,"&gt;"&amp;$A171,実績!$AE$6:$AE$505,"○")&gt;0,1,0))</f>
        <v/>
      </c>
      <c r="Z171">
        <f>IF(Z$4=0,0,IF(COUNTIFS(実績!$W$6:$W$505,Z$3,実績!$AC$6:$AC$505,"&lt;="&amp;$A171,実績!$AD$6:$AD$505,"&gt;"&amp;$A171,実績!$AE$6:$AE$505,"○")&gt;0,1,0))</f>
        <v/>
      </c>
      <c r="AA171">
        <f>IF(AA$4=0,0,IF(COUNTIFS(実績!$W$6:$W$505,AA$3,実績!$AC$6:$AC$505,"&lt;="&amp;$A171,実績!$AD$6:$AD$505,"&gt;"&amp;$A171,実績!$AE$6:$AE$505,"○")&gt;0,1,0))</f>
        <v/>
      </c>
      <c r="AB171">
        <f>IF(AB$4=0,0,IF(COUNTIFS(実績!$W$6:$W$505,AB$3,実績!$AC$6:$AC$505,"&lt;="&amp;$A171,実績!$AD$6:$AD$505,"&gt;"&amp;$A171,実績!$AE$6:$AE$505,"○")&gt;0,1,0))</f>
        <v/>
      </c>
      <c r="AC171">
        <f>IF(AC$4=0,0,IF(COUNTIFS(実績!$W$6:$W$505,AC$3,実績!$AC$6:$AC$505,"&lt;="&amp;$A171,実績!$AD$6:$AD$505,"&gt;"&amp;$A171,実績!$AE$6:$AE$505,"○")&gt;0,1,0))</f>
        <v/>
      </c>
      <c r="AD171">
        <f>IF(AD$4=0,0,IF(COUNTIFS(実績!$W$6:$W$505,AD$3,実績!$AC$6:$AC$505,"&lt;="&amp;$A171,実績!$AD$6:$AD$505,"&gt;"&amp;$A171,実績!$AE$6:$AE$505,"○")&gt;0,1,0))</f>
        <v/>
      </c>
      <c r="AE171">
        <f>IF(AE$4=0,0,IF(COUNTIFS(実績!$W$6:$W$505,AE$3,実績!$AC$6:$AC$505,"&lt;="&amp;$A171,実績!$AD$6:$AD$505,"&gt;"&amp;$A171,実績!$AE$6:$AE$505,"○")&gt;0,1,0))</f>
        <v/>
      </c>
      <c r="AF171">
        <f>IF(AF$4=0,0,IF(COUNTIFS(実績!$W$6:$W$505,AF$3,実績!$AC$6:$AC$505,"&lt;="&amp;$A171,実績!$AD$6:$AD$505,"&gt;"&amp;$A171,実績!$AE$6:$AE$505,"○")&gt;0,1,0))</f>
        <v/>
      </c>
      <c r="AG171">
        <f>IF(AG$4=0,0,IF(COUNTIFS(実績!$W$6:$W$505,AG$3,実績!$AC$6:$AC$505,"&lt;="&amp;$A171,実績!$AD$6:$AD$505,"&gt;"&amp;$A171,実績!$AE$6:$AE$505,"○")&gt;0,1,0))</f>
        <v/>
      </c>
      <c r="AH171">
        <f>IF(AH$4=0,0,IF(COUNTIFS(実績!$W$6:$W$505,AH$3,実績!$AC$6:$AC$505,"&lt;="&amp;$A171,実績!$AD$6:$AD$505,"&gt;"&amp;$A171,実績!$AE$6:$AE$505,"○")&gt;0,1,0))</f>
        <v/>
      </c>
      <c r="AI171">
        <f>IF(AI$4=0,0,IF(COUNTIFS(実績!$W$6:$W$505,AI$3,実績!$AC$6:$AC$505,"&lt;="&amp;$A171,実績!$AD$6:$AD$505,"&gt;"&amp;$A171,実績!$AE$6:$AE$505,"○")&gt;0,1,0))</f>
        <v/>
      </c>
      <c r="AJ171">
        <f>IF(AJ$4=0,0,IF(COUNTIFS(実績!$W$6:$W$505,AJ$3,実績!$AC$6:$AC$505,"&lt;="&amp;$A171,実績!$AD$6:$AD$505,"&gt;"&amp;$A171,実績!$AE$6:$AE$505,"○")&gt;0,1,0))</f>
        <v/>
      </c>
      <c r="AK171">
        <f>IF(AK$4=0,0,IF(COUNTIFS(実績!$W$6:$W$505,AK$3,実績!$AC$6:$AC$505,"&lt;="&amp;$A171,実績!$AD$6:$AD$505,"&gt;"&amp;$A171,実績!$AE$6:$AE$505,"○")&gt;0,1,0))</f>
        <v/>
      </c>
      <c r="AL171">
        <f>IF(AL$4=0,0,IF(COUNTIFS(実績!$W$6:$W$505,AL$3,実績!$AC$6:$AC$505,"&lt;="&amp;$A171,実績!$AD$6:$AD$505,"&gt;"&amp;$A171,実績!$AE$6:$AE$505,"○")&gt;0,1,0))</f>
        <v/>
      </c>
      <c r="AM171">
        <f>IF(AM$4=0,0,IF(COUNTIFS(実績!$W$6:$W$505,AM$3,実績!$AC$6:$AC$505,"&lt;="&amp;$A171,実績!$AD$6:$AD$505,"&gt;"&amp;$A171,実績!$AE$6:$AE$505,"○")&gt;0,1,0))</f>
        <v/>
      </c>
      <c r="AN171">
        <f>IF(AN$4=0,0,IF(COUNTIFS(実績!$W$6:$W$505,AN$3,実績!$AC$6:$AC$505,"&lt;="&amp;$A171,実績!$AD$6:$AD$505,"&gt;"&amp;$A171,実績!$AE$6:$AE$505,"○")&gt;0,1,0))</f>
        <v/>
      </c>
      <c r="AO171">
        <f>IF(AO$4=0,0,IF(COUNTIFS(実績!$W$6:$W$505,AO$3,実績!$AC$6:$AC$505,"&lt;="&amp;$A171,実績!$AD$6:$AD$505,"&gt;"&amp;$A171,実績!$AE$6:$AE$505,"○")&gt;0,1,0))</f>
        <v/>
      </c>
      <c r="AP171">
        <f>IF(AP$4=0,0,IF(COUNTIFS(実績!$W$6:$W$505,AP$3,実績!$AC$6:$AC$505,"&lt;="&amp;$A171,実績!$AD$6:$AD$505,"&gt;"&amp;$A171,実績!$AE$6:$AE$505,"○")&gt;0,1,0))</f>
        <v/>
      </c>
      <c r="AQ171">
        <f>IF(AQ$4=0,0,IF(COUNTIFS(実績!$W$6:$W$505,AQ$3,実績!$AC$6:$AC$505,"&lt;="&amp;$A171,実績!$AD$6:$AD$505,"&gt;"&amp;$A171,実績!$AE$6:$AE$505,"○")&gt;0,1,0))</f>
        <v/>
      </c>
      <c r="AR171">
        <f>IF(AR$4=0,0,IF(COUNTIFS(実績!$W$6:$W$505,AR$3,実績!$AC$6:$AC$505,"&lt;="&amp;$A171,実績!$AD$6:$AD$505,"&gt;"&amp;$A171,実績!$AE$6:$AE$505,"○")&gt;0,1,0))</f>
        <v/>
      </c>
      <c r="AS171">
        <f>IF(AS$4=0,0,IF(COUNTIFS(実績!$W$6:$W$505,AS$3,実績!$AC$6:$AC$505,"&lt;="&amp;$A171,実績!$AD$6:$AD$505,"&gt;"&amp;$A171,実績!$AE$6:$AE$505,"○")&gt;0,1,0))</f>
        <v/>
      </c>
      <c r="AT171">
        <f>IF(AT$4=0,0,IF(COUNTIFS(実績!$W$6:$W$505,AT$3,実績!$AC$6:$AC$505,"&lt;="&amp;$A171,実績!$AD$6:$AD$505,"&gt;"&amp;$A171,実績!$AE$6:$AE$505,"○")&gt;0,1,0))</f>
        <v/>
      </c>
      <c r="AU171">
        <f>IF(AU$4=0,0,IF(COUNTIFS(実績!$W$6:$W$505,AU$3,実績!$AC$6:$AC$505,"&lt;="&amp;$A171,実績!$AD$6:$AD$505,"&gt;"&amp;$A171,実績!$AE$6:$AE$505,"○")&gt;0,1,0))</f>
        <v/>
      </c>
      <c r="AV171">
        <f>IF(AV$4=0,0,IF(COUNTIFS(実績!$W$6:$W$505,AV$3,実績!$AC$6:$AC$505,"&lt;="&amp;$A171,実績!$AD$6:$AD$505,"&gt;"&amp;$A171,実績!$AE$6:$AE$505,"○")&gt;0,1,0))</f>
        <v/>
      </c>
      <c r="AW171">
        <f>IF(AW$4=0,0,IF(COUNTIFS(実績!$W$6:$W$505,AW$3,実績!$AC$6:$AC$505,"&lt;="&amp;$A171,実績!$AD$6:$AD$505,"&gt;"&amp;$A171,実績!$AE$6:$AE$505,"○")&gt;0,1,0))</f>
        <v/>
      </c>
      <c r="AX171">
        <f>IF(AX$4=0,0,IF(COUNTIFS(実績!$W$6:$W$505,AX$3,実績!$AC$6:$AC$505,"&lt;="&amp;$A171,実績!$AD$6:$AD$505,"&gt;"&amp;$A171,実績!$AE$6:$AE$505,"○")&gt;0,1,0))</f>
        <v/>
      </c>
      <c r="AY171">
        <f>IF(AY$4=0,0,IF(COUNTIFS(実績!$W$6:$W$505,AY$3,実績!$AC$6:$AC$505,"&lt;="&amp;$A171,実績!$AD$6:$AD$505,"&gt;"&amp;$A171,実績!$AE$6:$AE$505,"○")&gt;0,1,0))</f>
        <v/>
      </c>
      <c r="AZ171">
        <f>IF(AZ$4=0,0,IF(COUNTIFS(実績!$W$6:$W$505,AZ$3,実績!$AC$6:$AC$505,"&lt;="&amp;$A171,実績!$AD$6:$AD$505,"&gt;"&amp;$A171,実績!$AE$6:$AE$505,"○")&gt;0,1,0))</f>
        <v/>
      </c>
      <c r="BA171">
        <f>IF(BA$4=0,0,IF(COUNTIFS(実績!$W$6:$W$505,BA$3,実績!$AC$6:$AC$505,"&lt;="&amp;$A171,実績!$AD$6:$AD$505,"&gt;"&amp;$A171,実績!$AE$6:$AE$505,"○")&gt;0,1,0))</f>
        <v/>
      </c>
      <c r="BB171">
        <f>IF(BB$4=0,0,IF(COUNTIFS(実績!$W$6:$W$505,BB$3,実績!$AC$6:$AC$505,"&lt;="&amp;$A171,実績!$AD$6:$AD$505,"&gt;"&amp;$A171,実績!$AE$6:$AE$505,"○")&gt;0,1,0))</f>
        <v/>
      </c>
      <c r="BC171">
        <f>IF(BC$4=0,0,IF(COUNTIFS(実績!$W$6:$W$505,BC$3,実績!$AC$6:$AC$505,"&lt;="&amp;$A171,実績!$AD$6:$AD$505,"&gt;"&amp;$A171,実績!$AE$6:$AE$505,"○")&gt;0,1,0))</f>
        <v/>
      </c>
      <c r="BD171">
        <f>IF(BD$4=0,0,IF(COUNTIFS(実績!$W$6:$W$505,BD$3,実績!$AC$6:$AC$505,"&lt;="&amp;$A171,実績!$AD$6:$AD$505,"&gt;"&amp;$A171,実績!$AE$6:$AE$505,"○")&gt;0,1,0))</f>
        <v/>
      </c>
      <c r="BE171">
        <f>IF(BE$4=0,0,IF(COUNTIFS(実績!$W$6:$W$505,BE$3,実績!$AC$6:$AC$505,"&lt;="&amp;$A171,実績!$AD$6:$AD$505,"&gt;"&amp;$A171,実績!$AE$6:$AE$505,"○")&gt;0,1,0))</f>
        <v/>
      </c>
      <c r="BF171">
        <f>IF(BF$4=0,0,IF(COUNTIFS(実績!$W$6:$W$505,BF$3,実績!$AC$6:$AC$505,"&lt;="&amp;$A171,実績!$AD$6:$AD$505,"&gt;"&amp;$A171,実績!$AE$6:$AE$505,"○")&gt;0,1,0))</f>
        <v/>
      </c>
      <c r="BG171">
        <f>IF(BG$4=0,0,IF(COUNTIFS(実績!$W$6:$W$505,BG$3,実績!$AC$6:$AC$505,"&lt;="&amp;$A171,実績!$AD$6:$AD$505,"&gt;"&amp;$A171,実績!$AE$6:$AE$505,"○")&gt;0,1,0))</f>
        <v/>
      </c>
      <c r="BH171">
        <f>IF(BH$4=0,0,IF(COUNTIFS(実績!$W$6:$W$505,BH$3,実績!$AC$6:$AC$505,"&lt;="&amp;$A171,実績!$AD$6:$AD$505,"&gt;"&amp;$A171,実績!$AE$6:$AE$505,"○")&gt;0,1,0))</f>
        <v/>
      </c>
      <c r="BI171">
        <f>IF(BI$4=0,0,IF(COUNTIFS(実績!$W$6:$W$505,BI$3,実績!$AC$6:$AC$505,"&lt;="&amp;$A171,実績!$AD$6:$AD$505,"&gt;"&amp;$A171,実績!$AE$6:$AE$505,"○")&gt;0,1,0))</f>
        <v/>
      </c>
      <c r="BJ171">
        <f>IF(BJ$4=0,0,IF(COUNTIFS(実績!$W$6:$W$505,BJ$3,実績!$AC$6:$AC$505,"&lt;="&amp;$A171,実績!$AD$6:$AD$505,"&gt;"&amp;$A171,実績!$AE$6:$AE$505,"○")&gt;0,1,0))</f>
        <v/>
      </c>
      <c r="BK171">
        <f>IF(BK$4=0,0,IF(COUNTIFS(実績!$W$6:$W$505,BK$3,実績!$AC$6:$AC$505,"&lt;="&amp;$A171,実績!$AD$6:$AD$505,"&gt;"&amp;$A171,実績!$AE$6:$AE$505,"○")&gt;0,1,0))</f>
        <v/>
      </c>
      <c r="BL171">
        <f>IF(BL$4=0,0,IF(COUNTIFS(実績!$W$6:$W$505,BL$3,実績!$AC$6:$AC$505,"&lt;="&amp;$A171,実績!$AD$6:$AD$505,"&gt;"&amp;$A171,実績!$AE$6:$AE$505,"○")&gt;0,1,0))</f>
        <v/>
      </c>
      <c r="BM171">
        <f>IF(BM$4=0,0,IF(COUNTIFS(実績!$W$6:$W$505,BM$3,実績!$AC$6:$AC$505,"&lt;="&amp;$A171,実績!$AD$6:$AD$505,"&gt;"&amp;$A171,実績!$AE$6:$AE$505,"○")&gt;0,1,0))</f>
        <v/>
      </c>
      <c r="BN171">
        <f>IF(BN$4=0,0,IF(COUNTIFS(実績!$W$6:$W$505,BN$3,実績!$AC$6:$AC$505,"&lt;="&amp;$A171,実績!$AD$6:$AD$505,"&gt;"&amp;$A171,実績!$AE$6:$AE$505,"○")&gt;0,1,0))</f>
        <v/>
      </c>
      <c r="BO171">
        <f>IF(BO$4=0,0,IF(COUNTIFS(実績!$W$6:$W$505,BO$3,実績!$AC$6:$AC$505,"&lt;="&amp;$A171,実績!$AD$6:$AD$505,"&gt;"&amp;$A171,実績!$AE$6:$AE$505,"○")&gt;0,1,0))</f>
        <v/>
      </c>
      <c r="BP171">
        <f>IF(BP$4=0,0,IF(COUNTIFS(実績!$W$6:$W$505,BP$3,実績!$AC$6:$AC$505,"&lt;="&amp;$A171,実績!$AD$6:$AD$505,"&gt;"&amp;$A171,実績!$AE$6:$AE$505,"○")&gt;0,1,0))</f>
        <v/>
      </c>
      <c r="BQ171">
        <f>IF(BQ$4=0,0,IF(COUNTIFS(実績!$W$6:$W$505,BQ$3,実績!$AC$6:$AC$505,"&lt;="&amp;$A171,実績!$AD$6:$AD$505,"&gt;"&amp;$A171,実績!$AE$6:$AE$505,"○")&gt;0,1,0))</f>
        <v/>
      </c>
      <c r="BR171">
        <f>IF(BR$4=0,0,IF(COUNTIFS(実績!$W$6:$W$505,BR$3,実績!$AC$6:$AC$505,"&lt;="&amp;$A171,実績!$AD$6:$AD$505,"&gt;"&amp;$A171,実績!$AE$6:$AE$505,"○")&gt;0,1,0))</f>
        <v/>
      </c>
      <c r="BS171">
        <f>IF(BS$4=0,0,IF(COUNTIFS(実績!$W$6:$W$505,BS$3,実績!$AC$6:$AC$505,"&lt;="&amp;$A171,実績!$AD$6:$AD$505,"&gt;"&amp;$A171,実績!$AE$6:$AE$505,"○")&gt;0,1,0))</f>
        <v/>
      </c>
      <c r="BT171">
        <f>IF(BT$4=0,0,IF(COUNTIFS(実績!$W$6:$W$505,BT$3,実績!$AC$6:$AC$505,"&lt;="&amp;$A171,実績!$AD$6:$AD$505,"&gt;"&amp;$A171,実績!$AE$6:$AE$505,"○")&gt;0,1,0))</f>
        <v/>
      </c>
      <c r="BU171">
        <f>IF(BU$4=0,0,IF(COUNTIFS(実績!$W$6:$W$505,BU$3,実績!$AC$6:$AC$505,"&lt;="&amp;$A171,実績!$AD$6:$AD$505,"&gt;"&amp;$A171,実績!$AE$6:$AE$505,"○")&gt;0,1,0))</f>
        <v/>
      </c>
      <c r="BV171">
        <f>IF(BV$4=0,0,IF(COUNTIFS(実績!$W$6:$W$505,BV$3,実績!$AC$6:$AC$505,"&lt;="&amp;$A171,実績!$AD$6:$AD$505,"&gt;"&amp;$A171,実績!$AE$6:$AE$505,"○")&gt;0,1,0))</f>
        <v/>
      </c>
      <c r="BW171">
        <f>IF(BW$4=0,0,IF(COUNTIFS(実績!$W$6:$W$505,BW$3,実績!$AC$6:$AC$505,"&lt;="&amp;$A171,実績!$AD$6:$AD$505,"&gt;"&amp;$A171,実績!$AE$6:$AE$505,"○")&gt;0,1,0))</f>
        <v/>
      </c>
      <c r="BX171">
        <f>IF(BX$4=0,0,IF(COUNTIFS(実績!$W$6:$W$505,BX$3,実績!$AC$6:$AC$505,"&lt;="&amp;$A171,実績!$AD$6:$AD$505,"&gt;"&amp;$A171,実績!$AE$6:$AE$505,"○")&gt;0,1,0))</f>
        <v/>
      </c>
      <c r="BY171">
        <f>IF(BY$4=0,0,IF(COUNTIFS(実績!$W$6:$W$505,BY$3,実績!$AC$6:$AC$505,"&lt;="&amp;$A171,実績!$AD$6:$AD$505,"&gt;"&amp;$A171,実績!$AE$6:$AE$505,"○")&gt;0,1,0))</f>
        <v/>
      </c>
      <c r="BZ171">
        <f>IF(BZ$4=0,0,IF(COUNTIFS(実績!$W$6:$W$505,BZ$3,実績!$AC$6:$AC$505,"&lt;="&amp;$A171,実績!$AD$6:$AD$505,"&gt;"&amp;$A171,実績!$AE$6:$AE$505,"○")&gt;0,1,0))</f>
        <v/>
      </c>
      <c r="CA171">
        <f>IF(CA$4=0,0,IF(COUNTIFS(実績!$W$6:$W$505,CA$3,実績!$AC$6:$AC$505,"&lt;="&amp;$A171,実績!$AD$6:$AD$505,"&gt;"&amp;$A171,実績!$AE$6:$AE$505,"○")&gt;0,1,0))</f>
        <v/>
      </c>
      <c r="CB171">
        <f>IF(CB$4=0,0,IF(COUNTIFS(実績!$W$6:$W$505,CB$3,実績!$AC$6:$AC$505,"&lt;="&amp;$A171,実績!$AD$6:$AD$505,"&gt;"&amp;$A171,実績!$AE$6:$AE$505,"○")&gt;0,1,0))</f>
        <v/>
      </c>
      <c r="CC171">
        <f>IF(CC$4=0,0,IF(COUNTIFS(実績!$W$6:$W$505,CC$3,実績!$AC$6:$AC$505,"&lt;="&amp;$A171,実績!$AD$6:$AD$505,"&gt;"&amp;$A171,実績!$AE$6:$AE$505,"○")&gt;0,1,0))</f>
        <v/>
      </c>
      <c r="CD171">
        <f>IF(CD$4=0,0,IF(COUNTIFS(実績!$W$6:$W$505,CD$3,実績!$AC$6:$AC$505,"&lt;="&amp;$A171,実績!$AD$6:$AD$505,"&gt;"&amp;$A171,実績!$AE$6:$AE$505,"○")&gt;0,1,0))</f>
        <v/>
      </c>
      <c r="CE171">
        <f>IF(CE$4=0,0,IF(COUNTIFS(実績!$W$6:$W$505,CE$3,実績!$AC$6:$AC$505,"&lt;="&amp;$A171,実績!$AD$6:$AD$505,"&gt;"&amp;$A171,実績!$AE$6:$AE$505,"○")&gt;0,1,0))</f>
        <v/>
      </c>
      <c r="CF171">
        <f>IF(CF$4=0,0,IF(COUNTIFS(実績!$W$6:$W$505,CF$3,実績!$AC$6:$AC$505,"&lt;="&amp;$A171,実績!$AD$6:$AD$505,"&gt;"&amp;$A171,実績!$AE$6:$AE$505,"○")&gt;0,1,0))</f>
        <v/>
      </c>
      <c r="CG171">
        <f>IF(CG$4=0,0,IF(COUNTIFS(実績!$W$6:$W$505,CG$3,実績!$AC$6:$AC$505,"&lt;="&amp;$A171,実績!$AD$6:$AD$505,"&gt;"&amp;$A171,実績!$AE$6:$AE$505,"○")&gt;0,1,0))</f>
        <v/>
      </c>
      <c r="CH171">
        <f>IF(CH$4=0,0,IF(COUNTIFS(実績!$W$6:$W$505,CH$3,実績!$AC$6:$AC$505,"&lt;="&amp;$A171,実績!$AD$6:$AD$505,"&gt;"&amp;$A171,実績!$AE$6:$AE$505,"○")&gt;0,1,0))</f>
        <v/>
      </c>
      <c r="CI171">
        <f>IF(CI$4=0,0,IF(COUNTIFS(実績!$W$6:$W$505,CI$3,実績!$AC$6:$AC$505,"&lt;="&amp;$A171,実績!$AD$6:$AD$505,"&gt;"&amp;$A171,実績!$AE$6:$AE$505,"○")&gt;0,1,0))</f>
        <v/>
      </c>
      <c r="CJ171">
        <f>IF(CJ$4=0,0,IF(COUNTIFS(実績!$W$6:$W$505,CJ$3,実績!$AC$6:$AC$505,"&lt;="&amp;$A171,実績!$AD$6:$AD$505,"&gt;"&amp;$A171,実績!$AE$6:$AE$505,"○")&gt;0,1,0))</f>
        <v/>
      </c>
      <c r="CK171">
        <f>IF(CK$4=0,0,IF(COUNTIFS(実績!$W$6:$W$505,CK$3,実績!$AC$6:$AC$505,"&lt;="&amp;$A171,実績!$AD$6:$AD$505,"&gt;"&amp;$A171,実績!$AE$6:$AE$505,"○")&gt;0,1,0))</f>
        <v/>
      </c>
      <c r="CL171">
        <f>IF(CL$4=0,0,IF(COUNTIFS(実績!$W$6:$W$505,CL$3,実績!$AC$6:$AC$505,"&lt;="&amp;$A171,実績!$AD$6:$AD$505,"&gt;"&amp;$A171,実績!$AE$6:$AE$505,"○")&gt;0,1,0))</f>
        <v/>
      </c>
      <c r="CM171">
        <f>IF(CM$4=0,0,IF(COUNTIFS(実績!$W$6:$W$505,CM$3,実績!$AC$6:$AC$505,"&lt;="&amp;$A171,実績!$AD$6:$AD$505,"&gt;"&amp;$A171,実績!$AE$6:$AE$505,"○")&gt;0,1,0))</f>
        <v/>
      </c>
      <c r="CN171">
        <f>IF(CN$4=0,0,IF(COUNTIFS(実績!$W$6:$W$505,CN$3,実績!$AC$6:$AC$505,"&lt;="&amp;$A171,実績!$AD$6:$AD$505,"&gt;"&amp;$A171,実績!$AE$6:$AE$505,"○")&gt;0,1,0))</f>
        <v/>
      </c>
      <c r="CO171">
        <f>IF(CO$4=0,0,IF(COUNTIFS(実績!$W$6:$W$505,CO$3,実績!$AC$6:$AC$505,"&lt;="&amp;$A171,実績!$AD$6:$AD$505,"&gt;"&amp;$A171,実績!$AE$6:$AE$505,"○")&gt;0,1,0))</f>
        <v/>
      </c>
      <c r="CP171">
        <f>IF(CP$4=0,0,IF(COUNTIFS(実績!$W$6:$W$505,CP$3,実績!$AC$6:$AC$505,"&lt;="&amp;$A171,実績!$AD$6:$AD$505,"&gt;"&amp;$A171,実績!$AE$6:$AE$505,"○")&gt;0,1,0))</f>
        <v/>
      </c>
      <c r="CQ171">
        <f>IF(CQ$4=0,0,IF(COUNTIFS(実績!$W$6:$W$505,CQ$3,実績!$AC$6:$AC$505,"&lt;="&amp;$A171,実績!$AD$6:$AD$505,"&gt;"&amp;$A171,実績!$AE$6:$AE$505,"○")&gt;0,1,0))</f>
        <v/>
      </c>
      <c r="CR171">
        <f>IF(CR$4=0,0,IF(COUNTIFS(実績!$W$6:$W$505,CR$3,実績!$AC$6:$AC$505,"&lt;="&amp;$A171,実績!$AD$6:$AD$505,"&gt;"&amp;$A171,実績!$AE$6:$AE$505,"○")&gt;0,1,0))</f>
        <v/>
      </c>
      <c r="CS171">
        <f>IF(CS$4=0,0,IF(COUNTIFS(実績!$W$6:$W$505,CS$3,実績!$AC$6:$AC$505,"&lt;="&amp;$A171,実績!$AD$6:$AD$505,"&gt;"&amp;$A171,実績!$AE$6:$AE$505,"○")&gt;0,1,0))</f>
        <v/>
      </c>
      <c r="CT171">
        <f>IF(CT$4=0,0,IF(COUNTIFS(実績!$W$6:$W$505,CT$3,実績!$AC$6:$AC$505,"&lt;="&amp;$A171,実績!$AD$6:$AD$505,"&gt;"&amp;$A171,実績!$AE$6:$AE$505,"○")&gt;0,1,0))</f>
        <v/>
      </c>
      <c r="CU171">
        <f>IF(CU$4=0,0,IF(COUNTIFS(実績!$W$6:$W$505,CU$3,実績!$AC$6:$AC$505,"&lt;="&amp;$A171,実績!$AD$6:$AD$505,"&gt;"&amp;$A171,実績!$AE$6:$AE$505,"○")&gt;0,1,0))</f>
        <v/>
      </c>
      <c r="CV171">
        <f>IF(CV$4=0,0,IF(COUNTIFS(実績!$W$6:$W$505,CV$3,実績!$AC$6:$AC$505,"&lt;="&amp;$A171,実績!$AD$6:$AD$505,"&gt;"&amp;$A171,実績!$AE$6:$AE$505,"○")&gt;0,1,0))</f>
        <v/>
      </c>
      <c r="CW171">
        <f>IF(CW$4=0,0,IF(COUNTIFS(実績!$W$6:$W$505,CW$3,実績!$AC$6:$AC$505,"&lt;="&amp;$A171,実績!$AD$6:$AD$505,"&gt;"&amp;$A171,実績!$AE$6:$AE$505,"○")&gt;0,1,0))</f>
        <v/>
      </c>
      <c r="CX171">
        <f>IF(CX$4=0,0,IF(COUNTIFS(実績!$W$6:$W$505,CX$3,実績!$AC$6:$AC$505,"&lt;="&amp;$A171,実績!$AD$6:$AD$505,"&gt;"&amp;$A171,実績!$AE$6:$AE$505,"○")&gt;0,1,0))</f>
        <v/>
      </c>
      <c r="CY171">
        <f>IF(CY$4=0,0,IF(COUNTIFS(実績!$W$6:$W$505,CY$3,実績!$AC$6:$AC$505,"&lt;="&amp;$A171,実績!$AD$6:$AD$505,"&gt;"&amp;$A171,実績!$AE$6:$AE$505,"○")&gt;0,1,0))</f>
        <v/>
      </c>
      <c r="CZ171">
        <f>IF(CZ$4=0,0,IF(COUNTIFS(実績!$W$6:$W$505,CZ$3,実績!$AC$6:$AC$505,"&lt;="&amp;$A171,実績!$AD$6:$AD$505,"&gt;"&amp;$A171,実績!$AE$6:$AE$505,"○")&gt;0,1,0))</f>
        <v/>
      </c>
      <c r="DA171">
        <f>IF(DA$4=0,0,IF(COUNTIFS(実績!$W$6:$W$505,DA$3,実績!$AC$6:$AC$505,"&lt;="&amp;$A171,実績!$AD$6:$AD$505,"&gt;"&amp;$A171,実績!$AE$6:$AE$505,"○")&gt;0,1,0))</f>
        <v/>
      </c>
      <c r="DB171">
        <f>IF(DB$4=0,0,IF(COUNTIFS(実績!$W$6:$W$505,DB$3,実績!$AC$6:$AC$505,"&lt;="&amp;$A171,実績!$AD$6:$AD$505,"&gt;"&amp;$A171,実績!$AE$6:$AE$505,"○")&gt;0,1,0))</f>
        <v/>
      </c>
      <c r="DC171">
        <f>IF(DC$4=0,0,IF(COUNTIFS(実績!$W$6:$W$505,DC$3,実績!$AC$6:$AC$505,"&lt;="&amp;$A171,実績!$AD$6:$AD$505,"&gt;"&amp;$A171,実績!$AE$6:$AE$505,"○")&gt;0,1,0))</f>
        <v/>
      </c>
      <c r="DD171">
        <f>IF(DD$4=0,0,IF(COUNTIFS(実績!$W$6:$W$505,DD$3,実績!$AC$6:$AC$505,"&lt;="&amp;$A171,実績!$AD$6:$AD$505,"&gt;"&amp;$A171,実績!$AE$6:$AE$505,"○")&gt;0,1,0))</f>
        <v/>
      </c>
      <c r="DE171">
        <f>IF(DE$4=0,0,IF(COUNTIFS(実績!$W$6:$W$505,DE$3,実績!$AC$6:$AC$505,"&lt;="&amp;$A171,実績!$AD$6:$AD$505,"&gt;"&amp;$A171,実績!$AE$6:$AE$505,"○")&gt;0,1,0))</f>
        <v/>
      </c>
      <c r="DF171">
        <f>IF(DF$4=0,0,IF(COUNTIFS(実績!$W$6:$W$505,DF$3,実績!$AC$6:$AC$505,"&lt;="&amp;$A171,実績!$AD$6:$AD$505,"&gt;"&amp;$A171,実績!$AE$6:$AE$505,"○")&gt;0,1,0))</f>
        <v/>
      </c>
      <c r="DG171">
        <f>IF(DG$4=0,0,IF(COUNTIFS(実績!$W$6:$W$505,DG$3,実績!$AC$6:$AC$505,"&lt;="&amp;$A171,実績!$AD$6:$AD$505,"&gt;"&amp;$A171,実績!$AE$6:$AE$505,"○")&gt;0,1,0))</f>
        <v/>
      </c>
      <c r="DH171">
        <f>IF(DH$4=0,0,IF(COUNTIFS(実績!$W$6:$W$505,DH$3,実績!$AC$6:$AC$505,"&lt;="&amp;$A171,実績!$AD$6:$AD$505,"&gt;"&amp;$A171,実績!$AE$6:$AE$505,"○")&gt;0,1,0))</f>
        <v/>
      </c>
      <c r="DI171">
        <f>IF(DI$4=0,0,IF(COUNTIFS(実績!$W$6:$W$505,DI$3,実績!$AC$6:$AC$505,"&lt;="&amp;$A171,実績!$AD$6:$AD$505,"&gt;"&amp;$A171,実績!$AE$6:$AE$505,"○")&gt;0,1,0))</f>
        <v/>
      </c>
      <c r="DJ171">
        <f>IF(DJ$4=0,0,IF(COUNTIFS(実績!$W$6:$W$505,DJ$3,実績!$AC$6:$AC$505,"&lt;="&amp;$A171,実績!$AD$6:$AD$505,"&gt;"&amp;$A171,実績!$AE$6:$AE$505,"○")&gt;0,1,0))</f>
        <v/>
      </c>
      <c r="DK171">
        <f>IF(DK$4=0,0,IF(COUNTIFS(実績!$W$6:$W$505,DK$3,実績!$AC$6:$AC$505,"&lt;="&amp;$A171,実績!$AD$6:$AD$505,"&gt;"&amp;$A171,実績!$AE$6:$AE$505,"○")&gt;0,1,0))</f>
        <v/>
      </c>
      <c r="DL171">
        <f>IF(DL$4=0,0,IF(COUNTIFS(実績!$W$6:$W$505,DL$3,実績!$AC$6:$AC$505,"&lt;="&amp;$A171,実績!$AD$6:$AD$505,"&gt;"&amp;$A171,実績!$AE$6:$AE$505,"○")&gt;0,1,0))</f>
        <v/>
      </c>
      <c r="DM171">
        <f>IF(DM$4=0,0,IF(COUNTIFS(実績!$W$6:$W$505,DM$3,実績!$AC$6:$AC$505,"&lt;="&amp;$A171,実績!$AD$6:$AD$505,"&gt;"&amp;$A171,実績!$AE$6:$AE$505,"○")&gt;0,1,0))</f>
        <v/>
      </c>
      <c r="DN171">
        <f>IF(DN$4=0,0,IF(COUNTIFS(実績!$W$6:$W$505,DN$3,実績!$AC$6:$AC$505,"&lt;="&amp;$A171,実績!$AD$6:$AD$505,"&gt;"&amp;$A171,実績!$AE$6:$AE$505,"○")&gt;0,1,0))</f>
        <v/>
      </c>
      <c r="DO171">
        <f>IF(DO$4=0,0,IF(COUNTIFS(実績!$W$6:$W$505,DO$3,実績!$AC$6:$AC$505,"&lt;="&amp;$A171,実績!$AD$6:$AD$505,"&gt;"&amp;$A171,実績!$AE$6:$AE$505,"○")&gt;0,1,0))</f>
        <v/>
      </c>
      <c r="DP171">
        <f>IF(DP$4=0,0,IF(COUNTIFS(実績!$W$6:$W$505,DP$3,実績!$AC$6:$AC$505,"&lt;="&amp;$A171,実績!$AD$6:$AD$505,"&gt;"&amp;$A171,実績!$AE$6:$AE$505,"○")&gt;0,1,0))</f>
        <v/>
      </c>
      <c r="DQ171">
        <f>IF(DQ$4=0,0,IF(COUNTIFS(実績!$W$6:$W$505,DQ$3,実績!$AC$6:$AC$505,"&lt;="&amp;$A171,実績!$AD$6:$AD$505,"&gt;"&amp;$A171,実績!$AE$6:$AE$505,"○")&gt;0,1,0))</f>
        <v/>
      </c>
      <c r="DR171">
        <f>IF(DR$4=0,0,IF(COUNTIFS(実績!$W$6:$W$505,DR$3,実績!$AC$6:$AC$505,"&lt;="&amp;$A171,実績!$AD$6:$AD$505,"&gt;"&amp;$A171,実績!$AE$6:$AE$505,"○")&gt;0,1,0))</f>
        <v/>
      </c>
      <c r="DS171">
        <f>SUM(C171:DR171)</f>
        <v/>
      </c>
      <c r="DT171">
        <f>SUMPRODUCT((実績!$C$6:$C$505="○")*ISNUMBER(実績!$AF$6:$AF$505)*(実績!$AF$6:$AF$505&lt;=$A171)*(実績!$AG$6:$AG$505&gt;$A171))</f>
        <v/>
      </c>
      <c r="DU171">
        <f>SUMIF($C$2:$DR$2,"製鉄曳船",C171:DR171)</f>
        <v/>
      </c>
      <c r="DV171">
        <f>SUMIF($C$2:$DR$2,"西日本海運",C171:DR171)</f>
        <v/>
      </c>
    </row>
    <row r="172">
      <c r="A172" t="n">
        <v>830</v>
      </c>
      <c r="B172" s="29">
        <f>A172/1440</f>
        <v/>
      </c>
      <c r="C172">
        <f>IF(C$4=0,0,IF(COUNTIFS(実績!$W$6:$W$505,C$3,実績!$AC$6:$AC$505,"&lt;="&amp;$A172,実績!$AD$6:$AD$505,"&gt;"&amp;$A172,実績!$AE$6:$AE$505,"○")&gt;0,1,0))</f>
        <v/>
      </c>
      <c r="D172">
        <f>IF(D$4=0,0,IF(COUNTIFS(実績!$W$6:$W$505,D$3,実績!$AC$6:$AC$505,"&lt;="&amp;$A172,実績!$AD$6:$AD$505,"&gt;"&amp;$A172,実績!$AE$6:$AE$505,"○")&gt;0,1,0))</f>
        <v/>
      </c>
      <c r="E172">
        <f>IF(E$4=0,0,IF(COUNTIFS(実績!$W$6:$W$505,E$3,実績!$AC$6:$AC$505,"&lt;="&amp;$A172,実績!$AD$6:$AD$505,"&gt;"&amp;$A172,実績!$AE$6:$AE$505,"○")&gt;0,1,0))</f>
        <v/>
      </c>
      <c r="F172">
        <f>IF(F$4=0,0,IF(COUNTIFS(実績!$W$6:$W$505,F$3,実績!$AC$6:$AC$505,"&lt;="&amp;$A172,実績!$AD$6:$AD$505,"&gt;"&amp;$A172,実績!$AE$6:$AE$505,"○")&gt;0,1,0))</f>
        <v/>
      </c>
      <c r="G172">
        <f>IF(G$4=0,0,IF(COUNTIFS(実績!$W$6:$W$505,G$3,実績!$AC$6:$AC$505,"&lt;="&amp;$A172,実績!$AD$6:$AD$505,"&gt;"&amp;$A172,実績!$AE$6:$AE$505,"○")&gt;0,1,0))</f>
        <v/>
      </c>
      <c r="H172">
        <f>IF(H$4=0,0,IF(COUNTIFS(実績!$W$6:$W$505,H$3,実績!$AC$6:$AC$505,"&lt;="&amp;$A172,実績!$AD$6:$AD$505,"&gt;"&amp;$A172,実績!$AE$6:$AE$505,"○")&gt;0,1,0))</f>
        <v/>
      </c>
      <c r="I172">
        <f>IF(I$4=0,0,IF(COUNTIFS(実績!$W$6:$W$505,I$3,実績!$AC$6:$AC$505,"&lt;="&amp;$A172,実績!$AD$6:$AD$505,"&gt;"&amp;$A172,実績!$AE$6:$AE$505,"○")&gt;0,1,0))</f>
        <v/>
      </c>
      <c r="J172">
        <f>IF(J$4=0,0,IF(COUNTIFS(実績!$W$6:$W$505,J$3,実績!$AC$6:$AC$505,"&lt;="&amp;$A172,実績!$AD$6:$AD$505,"&gt;"&amp;$A172,実績!$AE$6:$AE$505,"○")&gt;0,1,0))</f>
        <v/>
      </c>
      <c r="K172">
        <f>IF(K$4=0,0,IF(COUNTIFS(実績!$W$6:$W$505,K$3,実績!$AC$6:$AC$505,"&lt;="&amp;$A172,実績!$AD$6:$AD$505,"&gt;"&amp;$A172,実績!$AE$6:$AE$505,"○")&gt;0,1,0))</f>
        <v/>
      </c>
      <c r="L172">
        <f>IF(L$4=0,0,IF(COUNTIFS(実績!$W$6:$W$505,L$3,実績!$AC$6:$AC$505,"&lt;="&amp;$A172,実績!$AD$6:$AD$505,"&gt;"&amp;$A172,実績!$AE$6:$AE$505,"○")&gt;0,1,0))</f>
        <v/>
      </c>
      <c r="M172">
        <f>IF(M$4=0,0,IF(COUNTIFS(実績!$W$6:$W$505,M$3,実績!$AC$6:$AC$505,"&lt;="&amp;$A172,実績!$AD$6:$AD$505,"&gt;"&amp;$A172,実績!$AE$6:$AE$505,"○")&gt;0,1,0))</f>
        <v/>
      </c>
      <c r="N172">
        <f>IF(N$4=0,0,IF(COUNTIFS(実績!$W$6:$W$505,N$3,実績!$AC$6:$AC$505,"&lt;="&amp;$A172,実績!$AD$6:$AD$505,"&gt;"&amp;$A172,実績!$AE$6:$AE$505,"○")&gt;0,1,0))</f>
        <v/>
      </c>
      <c r="O172">
        <f>IF(O$4=0,0,IF(COUNTIFS(実績!$W$6:$W$505,O$3,実績!$AC$6:$AC$505,"&lt;="&amp;$A172,実績!$AD$6:$AD$505,"&gt;"&amp;$A172,実績!$AE$6:$AE$505,"○")&gt;0,1,0))</f>
        <v/>
      </c>
      <c r="P172">
        <f>IF(P$4=0,0,IF(COUNTIFS(実績!$W$6:$W$505,P$3,実績!$AC$6:$AC$505,"&lt;="&amp;$A172,実績!$AD$6:$AD$505,"&gt;"&amp;$A172,実績!$AE$6:$AE$505,"○")&gt;0,1,0))</f>
        <v/>
      </c>
      <c r="Q172">
        <f>IF(Q$4=0,0,IF(COUNTIFS(実績!$W$6:$W$505,Q$3,実績!$AC$6:$AC$505,"&lt;="&amp;$A172,実績!$AD$6:$AD$505,"&gt;"&amp;$A172,実績!$AE$6:$AE$505,"○")&gt;0,1,0))</f>
        <v/>
      </c>
      <c r="R172">
        <f>IF(R$4=0,0,IF(COUNTIFS(実績!$W$6:$W$505,R$3,実績!$AC$6:$AC$505,"&lt;="&amp;$A172,実績!$AD$6:$AD$505,"&gt;"&amp;$A172,実績!$AE$6:$AE$505,"○")&gt;0,1,0))</f>
        <v/>
      </c>
      <c r="S172">
        <f>IF(S$4=0,0,IF(COUNTIFS(実績!$W$6:$W$505,S$3,実績!$AC$6:$AC$505,"&lt;="&amp;$A172,実績!$AD$6:$AD$505,"&gt;"&amp;$A172,実績!$AE$6:$AE$505,"○")&gt;0,1,0))</f>
        <v/>
      </c>
      <c r="T172">
        <f>IF(T$4=0,0,IF(COUNTIFS(実績!$W$6:$W$505,T$3,実績!$AC$6:$AC$505,"&lt;="&amp;$A172,実績!$AD$6:$AD$505,"&gt;"&amp;$A172,実績!$AE$6:$AE$505,"○")&gt;0,1,0))</f>
        <v/>
      </c>
      <c r="U172">
        <f>IF(U$4=0,0,IF(COUNTIFS(実績!$W$6:$W$505,U$3,実績!$AC$6:$AC$505,"&lt;="&amp;$A172,実績!$AD$6:$AD$505,"&gt;"&amp;$A172,実績!$AE$6:$AE$505,"○")&gt;0,1,0))</f>
        <v/>
      </c>
      <c r="V172">
        <f>IF(V$4=0,0,IF(COUNTIFS(実績!$W$6:$W$505,V$3,実績!$AC$6:$AC$505,"&lt;="&amp;$A172,実績!$AD$6:$AD$505,"&gt;"&amp;$A172,実績!$AE$6:$AE$505,"○")&gt;0,1,0))</f>
        <v/>
      </c>
      <c r="W172">
        <f>IF(W$4=0,0,IF(COUNTIFS(実績!$W$6:$W$505,W$3,実績!$AC$6:$AC$505,"&lt;="&amp;$A172,実績!$AD$6:$AD$505,"&gt;"&amp;$A172,実績!$AE$6:$AE$505,"○")&gt;0,1,0))</f>
        <v/>
      </c>
      <c r="X172">
        <f>IF(X$4=0,0,IF(COUNTIFS(実績!$W$6:$W$505,X$3,実績!$AC$6:$AC$505,"&lt;="&amp;$A172,実績!$AD$6:$AD$505,"&gt;"&amp;$A172,実績!$AE$6:$AE$505,"○")&gt;0,1,0))</f>
        <v/>
      </c>
      <c r="Y172">
        <f>IF(Y$4=0,0,IF(COUNTIFS(実績!$W$6:$W$505,Y$3,実績!$AC$6:$AC$505,"&lt;="&amp;$A172,実績!$AD$6:$AD$505,"&gt;"&amp;$A172,実績!$AE$6:$AE$505,"○")&gt;0,1,0))</f>
        <v/>
      </c>
      <c r="Z172">
        <f>IF(Z$4=0,0,IF(COUNTIFS(実績!$W$6:$W$505,Z$3,実績!$AC$6:$AC$505,"&lt;="&amp;$A172,実績!$AD$6:$AD$505,"&gt;"&amp;$A172,実績!$AE$6:$AE$505,"○")&gt;0,1,0))</f>
        <v/>
      </c>
      <c r="AA172">
        <f>IF(AA$4=0,0,IF(COUNTIFS(実績!$W$6:$W$505,AA$3,実績!$AC$6:$AC$505,"&lt;="&amp;$A172,実績!$AD$6:$AD$505,"&gt;"&amp;$A172,実績!$AE$6:$AE$505,"○")&gt;0,1,0))</f>
        <v/>
      </c>
      <c r="AB172">
        <f>IF(AB$4=0,0,IF(COUNTIFS(実績!$W$6:$W$505,AB$3,実績!$AC$6:$AC$505,"&lt;="&amp;$A172,実績!$AD$6:$AD$505,"&gt;"&amp;$A172,実績!$AE$6:$AE$505,"○")&gt;0,1,0))</f>
        <v/>
      </c>
      <c r="AC172">
        <f>IF(AC$4=0,0,IF(COUNTIFS(実績!$W$6:$W$505,AC$3,実績!$AC$6:$AC$505,"&lt;="&amp;$A172,実績!$AD$6:$AD$505,"&gt;"&amp;$A172,実績!$AE$6:$AE$505,"○")&gt;0,1,0))</f>
        <v/>
      </c>
      <c r="AD172">
        <f>IF(AD$4=0,0,IF(COUNTIFS(実績!$W$6:$W$505,AD$3,実績!$AC$6:$AC$505,"&lt;="&amp;$A172,実績!$AD$6:$AD$505,"&gt;"&amp;$A172,実績!$AE$6:$AE$505,"○")&gt;0,1,0))</f>
        <v/>
      </c>
      <c r="AE172">
        <f>IF(AE$4=0,0,IF(COUNTIFS(実績!$W$6:$W$505,AE$3,実績!$AC$6:$AC$505,"&lt;="&amp;$A172,実績!$AD$6:$AD$505,"&gt;"&amp;$A172,実績!$AE$6:$AE$505,"○")&gt;0,1,0))</f>
        <v/>
      </c>
      <c r="AF172">
        <f>IF(AF$4=0,0,IF(COUNTIFS(実績!$W$6:$W$505,AF$3,実績!$AC$6:$AC$505,"&lt;="&amp;$A172,実績!$AD$6:$AD$505,"&gt;"&amp;$A172,実績!$AE$6:$AE$505,"○")&gt;0,1,0))</f>
        <v/>
      </c>
      <c r="AG172">
        <f>IF(AG$4=0,0,IF(COUNTIFS(実績!$W$6:$W$505,AG$3,実績!$AC$6:$AC$505,"&lt;="&amp;$A172,実績!$AD$6:$AD$505,"&gt;"&amp;$A172,実績!$AE$6:$AE$505,"○")&gt;0,1,0))</f>
        <v/>
      </c>
      <c r="AH172">
        <f>IF(AH$4=0,0,IF(COUNTIFS(実績!$W$6:$W$505,AH$3,実績!$AC$6:$AC$505,"&lt;="&amp;$A172,実績!$AD$6:$AD$505,"&gt;"&amp;$A172,実績!$AE$6:$AE$505,"○")&gt;0,1,0))</f>
        <v/>
      </c>
      <c r="AI172">
        <f>IF(AI$4=0,0,IF(COUNTIFS(実績!$W$6:$W$505,AI$3,実績!$AC$6:$AC$505,"&lt;="&amp;$A172,実績!$AD$6:$AD$505,"&gt;"&amp;$A172,実績!$AE$6:$AE$505,"○")&gt;0,1,0))</f>
        <v/>
      </c>
      <c r="AJ172">
        <f>IF(AJ$4=0,0,IF(COUNTIFS(実績!$W$6:$W$505,AJ$3,実績!$AC$6:$AC$505,"&lt;="&amp;$A172,実績!$AD$6:$AD$505,"&gt;"&amp;$A172,実績!$AE$6:$AE$505,"○")&gt;0,1,0))</f>
        <v/>
      </c>
      <c r="AK172">
        <f>IF(AK$4=0,0,IF(COUNTIFS(実績!$W$6:$W$505,AK$3,実績!$AC$6:$AC$505,"&lt;="&amp;$A172,実績!$AD$6:$AD$505,"&gt;"&amp;$A172,実績!$AE$6:$AE$505,"○")&gt;0,1,0))</f>
        <v/>
      </c>
      <c r="AL172">
        <f>IF(AL$4=0,0,IF(COUNTIFS(実績!$W$6:$W$505,AL$3,実績!$AC$6:$AC$505,"&lt;="&amp;$A172,実績!$AD$6:$AD$505,"&gt;"&amp;$A172,実績!$AE$6:$AE$505,"○")&gt;0,1,0))</f>
        <v/>
      </c>
      <c r="AM172">
        <f>IF(AM$4=0,0,IF(COUNTIFS(実績!$W$6:$W$505,AM$3,実績!$AC$6:$AC$505,"&lt;="&amp;$A172,実績!$AD$6:$AD$505,"&gt;"&amp;$A172,実績!$AE$6:$AE$505,"○")&gt;0,1,0))</f>
        <v/>
      </c>
      <c r="AN172">
        <f>IF(AN$4=0,0,IF(COUNTIFS(実績!$W$6:$W$505,AN$3,実績!$AC$6:$AC$505,"&lt;="&amp;$A172,実績!$AD$6:$AD$505,"&gt;"&amp;$A172,実績!$AE$6:$AE$505,"○")&gt;0,1,0))</f>
        <v/>
      </c>
      <c r="AO172">
        <f>IF(AO$4=0,0,IF(COUNTIFS(実績!$W$6:$W$505,AO$3,実績!$AC$6:$AC$505,"&lt;="&amp;$A172,実績!$AD$6:$AD$505,"&gt;"&amp;$A172,実績!$AE$6:$AE$505,"○")&gt;0,1,0))</f>
        <v/>
      </c>
      <c r="AP172">
        <f>IF(AP$4=0,0,IF(COUNTIFS(実績!$W$6:$W$505,AP$3,実績!$AC$6:$AC$505,"&lt;="&amp;$A172,実績!$AD$6:$AD$505,"&gt;"&amp;$A172,実績!$AE$6:$AE$505,"○")&gt;0,1,0))</f>
        <v/>
      </c>
      <c r="AQ172">
        <f>IF(AQ$4=0,0,IF(COUNTIFS(実績!$W$6:$W$505,AQ$3,実績!$AC$6:$AC$505,"&lt;="&amp;$A172,実績!$AD$6:$AD$505,"&gt;"&amp;$A172,実績!$AE$6:$AE$505,"○")&gt;0,1,0))</f>
        <v/>
      </c>
      <c r="AR172">
        <f>IF(AR$4=0,0,IF(COUNTIFS(実績!$W$6:$W$505,AR$3,実績!$AC$6:$AC$505,"&lt;="&amp;$A172,実績!$AD$6:$AD$505,"&gt;"&amp;$A172,実績!$AE$6:$AE$505,"○")&gt;0,1,0))</f>
        <v/>
      </c>
      <c r="AS172">
        <f>IF(AS$4=0,0,IF(COUNTIFS(実績!$W$6:$W$505,AS$3,実績!$AC$6:$AC$505,"&lt;="&amp;$A172,実績!$AD$6:$AD$505,"&gt;"&amp;$A172,実績!$AE$6:$AE$505,"○")&gt;0,1,0))</f>
        <v/>
      </c>
      <c r="AT172">
        <f>IF(AT$4=0,0,IF(COUNTIFS(実績!$W$6:$W$505,AT$3,実績!$AC$6:$AC$505,"&lt;="&amp;$A172,実績!$AD$6:$AD$505,"&gt;"&amp;$A172,実績!$AE$6:$AE$505,"○")&gt;0,1,0))</f>
        <v/>
      </c>
      <c r="AU172">
        <f>IF(AU$4=0,0,IF(COUNTIFS(実績!$W$6:$W$505,AU$3,実績!$AC$6:$AC$505,"&lt;="&amp;$A172,実績!$AD$6:$AD$505,"&gt;"&amp;$A172,実績!$AE$6:$AE$505,"○")&gt;0,1,0))</f>
        <v/>
      </c>
      <c r="AV172">
        <f>IF(AV$4=0,0,IF(COUNTIFS(実績!$W$6:$W$505,AV$3,実績!$AC$6:$AC$505,"&lt;="&amp;$A172,実績!$AD$6:$AD$505,"&gt;"&amp;$A172,実績!$AE$6:$AE$505,"○")&gt;0,1,0))</f>
        <v/>
      </c>
      <c r="AW172">
        <f>IF(AW$4=0,0,IF(COUNTIFS(実績!$W$6:$W$505,AW$3,実績!$AC$6:$AC$505,"&lt;="&amp;$A172,実績!$AD$6:$AD$505,"&gt;"&amp;$A172,実績!$AE$6:$AE$505,"○")&gt;0,1,0))</f>
        <v/>
      </c>
      <c r="AX172">
        <f>IF(AX$4=0,0,IF(COUNTIFS(実績!$W$6:$W$505,AX$3,実績!$AC$6:$AC$505,"&lt;="&amp;$A172,実績!$AD$6:$AD$505,"&gt;"&amp;$A172,実績!$AE$6:$AE$505,"○")&gt;0,1,0))</f>
        <v/>
      </c>
      <c r="AY172">
        <f>IF(AY$4=0,0,IF(COUNTIFS(実績!$W$6:$W$505,AY$3,実績!$AC$6:$AC$505,"&lt;="&amp;$A172,実績!$AD$6:$AD$505,"&gt;"&amp;$A172,実績!$AE$6:$AE$505,"○")&gt;0,1,0))</f>
        <v/>
      </c>
      <c r="AZ172">
        <f>IF(AZ$4=0,0,IF(COUNTIFS(実績!$W$6:$W$505,AZ$3,実績!$AC$6:$AC$505,"&lt;="&amp;$A172,実績!$AD$6:$AD$505,"&gt;"&amp;$A172,実績!$AE$6:$AE$505,"○")&gt;0,1,0))</f>
        <v/>
      </c>
      <c r="BA172">
        <f>IF(BA$4=0,0,IF(COUNTIFS(実績!$W$6:$W$505,BA$3,実績!$AC$6:$AC$505,"&lt;="&amp;$A172,実績!$AD$6:$AD$505,"&gt;"&amp;$A172,実績!$AE$6:$AE$505,"○")&gt;0,1,0))</f>
        <v/>
      </c>
      <c r="BB172">
        <f>IF(BB$4=0,0,IF(COUNTIFS(実績!$W$6:$W$505,BB$3,実績!$AC$6:$AC$505,"&lt;="&amp;$A172,実績!$AD$6:$AD$505,"&gt;"&amp;$A172,実績!$AE$6:$AE$505,"○")&gt;0,1,0))</f>
        <v/>
      </c>
      <c r="BC172">
        <f>IF(BC$4=0,0,IF(COUNTIFS(実績!$W$6:$W$505,BC$3,実績!$AC$6:$AC$505,"&lt;="&amp;$A172,実績!$AD$6:$AD$505,"&gt;"&amp;$A172,実績!$AE$6:$AE$505,"○")&gt;0,1,0))</f>
        <v/>
      </c>
      <c r="BD172">
        <f>IF(BD$4=0,0,IF(COUNTIFS(実績!$W$6:$W$505,BD$3,実績!$AC$6:$AC$505,"&lt;="&amp;$A172,実績!$AD$6:$AD$505,"&gt;"&amp;$A172,実績!$AE$6:$AE$505,"○")&gt;0,1,0))</f>
        <v/>
      </c>
      <c r="BE172">
        <f>IF(BE$4=0,0,IF(COUNTIFS(実績!$W$6:$W$505,BE$3,実績!$AC$6:$AC$505,"&lt;="&amp;$A172,実績!$AD$6:$AD$505,"&gt;"&amp;$A172,実績!$AE$6:$AE$505,"○")&gt;0,1,0))</f>
        <v/>
      </c>
      <c r="BF172">
        <f>IF(BF$4=0,0,IF(COUNTIFS(実績!$W$6:$W$505,BF$3,実績!$AC$6:$AC$505,"&lt;="&amp;$A172,実績!$AD$6:$AD$505,"&gt;"&amp;$A172,実績!$AE$6:$AE$505,"○")&gt;0,1,0))</f>
        <v/>
      </c>
      <c r="BG172">
        <f>IF(BG$4=0,0,IF(COUNTIFS(実績!$W$6:$W$505,BG$3,実績!$AC$6:$AC$505,"&lt;="&amp;$A172,実績!$AD$6:$AD$505,"&gt;"&amp;$A172,実績!$AE$6:$AE$505,"○")&gt;0,1,0))</f>
        <v/>
      </c>
      <c r="BH172">
        <f>IF(BH$4=0,0,IF(COUNTIFS(実績!$W$6:$W$505,BH$3,実績!$AC$6:$AC$505,"&lt;="&amp;$A172,実績!$AD$6:$AD$505,"&gt;"&amp;$A172,実績!$AE$6:$AE$505,"○")&gt;0,1,0))</f>
        <v/>
      </c>
      <c r="BI172">
        <f>IF(BI$4=0,0,IF(COUNTIFS(実績!$W$6:$W$505,BI$3,実績!$AC$6:$AC$505,"&lt;="&amp;$A172,実績!$AD$6:$AD$505,"&gt;"&amp;$A172,実績!$AE$6:$AE$505,"○")&gt;0,1,0))</f>
        <v/>
      </c>
      <c r="BJ172">
        <f>IF(BJ$4=0,0,IF(COUNTIFS(実績!$W$6:$W$505,BJ$3,実績!$AC$6:$AC$505,"&lt;="&amp;$A172,実績!$AD$6:$AD$505,"&gt;"&amp;$A172,実績!$AE$6:$AE$505,"○")&gt;0,1,0))</f>
        <v/>
      </c>
      <c r="BK172">
        <f>IF(BK$4=0,0,IF(COUNTIFS(実績!$W$6:$W$505,BK$3,実績!$AC$6:$AC$505,"&lt;="&amp;$A172,実績!$AD$6:$AD$505,"&gt;"&amp;$A172,実績!$AE$6:$AE$505,"○")&gt;0,1,0))</f>
        <v/>
      </c>
      <c r="BL172">
        <f>IF(BL$4=0,0,IF(COUNTIFS(実績!$W$6:$W$505,BL$3,実績!$AC$6:$AC$505,"&lt;="&amp;$A172,実績!$AD$6:$AD$505,"&gt;"&amp;$A172,実績!$AE$6:$AE$505,"○")&gt;0,1,0))</f>
        <v/>
      </c>
      <c r="BM172">
        <f>IF(BM$4=0,0,IF(COUNTIFS(実績!$W$6:$W$505,BM$3,実績!$AC$6:$AC$505,"&lt;="&amp;$A172,実績!$AD$6:$AD$505,"&gt;"&amp;$A172,実績!$AE$6:$AE$505,"○")&gt;0,1,0))</f>
        <v/>
      </c>
      <c r="BN172">
        <f>IF(BN$4=0,0,IF(COUNTIFS(実績!$W$6:$W$505,BN$3,実績!$AC$6:$AC$505,"&lt;="&amp;$A172,実績!$AD$6:$AD$505,"&gt;"&amp;$A172,実績!$AE$6:$AE$505,"○")&gt;0,1,0))</f>
        <v/>
      </c>
      <c r="BO172">
        <f>IF(BO$4=0,0,IF(COUNTIFS(実績!$W$6:$W$505,BO$3,実績!$AC$6:$AC$505,"&lt;="&amp;$A172,実績!$AD$6:$AD$505,"&gt;"&amp;$A172,実績!$AE$6:$AE$505,"○")&gt;0,1,0))</f>
        <v/>
      </c>
      <c r="BP172">
        <f>IF(BP$4=0,0,IF(COUNTIFS(実績!$W$6:$W$505,BP$3,実績!$AC$6:$AC$505,"&lt;="&amp;$A172,実績!$AD$6:$AD$505,"&gt;"&amp;$A172,実績!$AE$6:$AE$505,"○")&gt;0,1,0))</f>
        <v/>
      </c>
      <c r="BQ172">
        <f>IF(BQ$4=0,0,IF(COUNTIFS(実績!$W$6:$W$505,BQ$3,実績!$AC$6:$AC$505,"&lt;="&amp;$A172,実績!$AD$6:$AD$505,"&gt;"&amp;$A172,実績!$AE$6:$AE$505,"○")&gt;0,1,0))</f>
        <v/>
      </c>
      <c r="BR172">
        <f>IF(BR$4=0,0,IF(COUNTIFS(実績!$W$6:$W$505,BR$3,実績!$AC$6:$AC$505,"&lt;="&amp;$A172,実績!$AD$6:$AD$505,"&gt;"&amp;$A172,実績!$AE$6:$AE$505,"○")&gt;0,1,0))</f>
        <v/>
      </c>
      <c r="BS172">
        <f>IF(BS$4=0,0,IF(COUNTIFS(実績!$W$6:$W$505,BS$3,実績!$AC$6:$AC$505,"&lt;="&amp;$A172,実績!$AD$6:$AD$505,"&gt;"&amp;$A172,実績!$AE$6:$AE$505,"○")&gt;0,1,0))</f>
        <v/>
      </c>
      <c r="BT172">
        <f>IF(BT$4=0,0,IF(COUNTIFS(実績!$W$6:$W$505,BT$3,実績!$AC$6:$AC$505,"&lt;="&amp;$A172,実績!$AD$6:$AD$505,"&gt;"&amp;$A172,実績!$AE$6:$AE$505,"○")&gt;0,1,0))</f>
        <v/>
      </c>
      <c r="BU172">
        <f>IF(BU$4=0,0,IF(COUNTIFS(実績!$W$6:$W$505,BU$3,実績!$AC$6:$AC$505,"&lt;="&amp;$A172,実績!$AD$6:$AD$505,"&gt;"&amp;$A172,実績!$AE$6:$AE$505,"○")&gt;0,1,0))</f>
        <v/>
      </c>
      <c r="BV172">
        <f>IF(BV$4=0,0,IF(COUNTIFS(実績!$W$6:$W$505,BV$3,実績!$AC$6:$AC$505,"&lt;="&amp;$A172,実績!$AD$6:$AD$505,"&gt;"&amp;$A172,実績!$AE$6:$AE$505,"○")&gt;0,1,0))</f>
        <v/>
      </c>
      <c r="BW172">
        <f>IF(BW$4=0,0,IF(COUNTIFS(実績!$W$6:$W$505,BW$3,実績!$AC$6:$AC$505,"&lt;="&amp;$A172,実績!$AD$6:$AD$505,"&gt;"&amp;$A172,実績!$AE$6:$AE$505,"○")&gt;0,1,0))</f>
        <v/>
      </c>
      <c r="BX172">
        <f>IF(BX$4=0,0,IF(COUNTIFS(実績!$W$6:$W$505,BX$3,実績!$AC$6:$AC$505,"&lt;="&amp;$A172,実績!$AD$6:$AD$505,"&gt;"&amp;$A172,実績!$AE$6:$AE$505,"○")&gt;0,1,0))</f>
        <v/>
      </c>
      <c r="BY172">
        <f>IF(BY$4=0,0,IF(COUNTIFS(実績!$W$6:$W$505,BY$3,実績!$AC$6:$AC$505,"&lt;="&amp;$A172,実績!$AD$6:$AD$505,"&gt;"&amp;$A172,実績!$AE$6:$AE$505,"○")&gt;0,1,0))</f>
        <v/>
      </c>
      <c r="BZ172">
        <f>IF(BZ$4=0,0,IF(COUNTIFS(実績!$W$6:$W$505,BZ$3,実績!$AC$6:$AC$505,"&lt;="&amp;$A172,実績!$AD$6:$AD$505,"&gt;"&amp;$A172,実績!$AE$6:$AE$505,"○")&gt;0,1,0))</f>
        <v/>
      </c>
      <c r="CA172">
        <f>IF(CA$4=0,0,IF(COUNTIFS(実績!$W$6:$W$505,CA$3,実績!$AC$6:$AC$505,"&lt;="&amp;$A172,実績!$AD$6:$AD$505,"&gt;"&amp;$A172,実績!$AE$6:$AE$505,"○")&gt;0,1,0))</f>
        <v/>
      </c>
      <c r="CB172">
        <f>IF(CB$4=0,0,IF(COUNTIFS(実績!$W$6:$W$505,CB$3,実績!$AC$6:$AC$505,"&lt;="&amp;$A172,実績!$AD$6:$AD$505,"&gt;"&amp;$A172,実績!$AE$6:$AE$505,"○")&gt;0,1,0))</f>
        <v/>
      </c>
      <c r="CC172">
        <f>IF(CC$4=0,0,IF(COUNTIFS(実績!$W$6:$W$505,CC$3,実績!$AC$6:$AC$505,"&lt;="&amp;$A172,実績!$AD$6:$AD$505,"&gt;"&amp;$A172,実績!$AE$6:$AE$505,"○")&gt;0,1,0))</f>
        <v/>
      </c>
      <c r="CD172">
        <f>IF(CD$4=0,0,IF(COUNTIFS(実績!$W$6:$W$505,CD$3,実績!$AC$6:$AC$505,"&lt;="&amp;$A172,実績!$AD$6:$AD$505,"&gt;"&amp;$A172,実績!$AE$6:$AE$505,"○")&gt;0,1,0))</f>
        <v/>
      </c>
      <c r="CE172">
        <f>IF(CE$4=0,0,IF(COUNTIFS(実績!$W$6:$W$505,CE$3,実績!$AC$6:$AC$505,"&lt;="&amp;$A172,実績!$AD$6:$AD$505,"&gt;"&amp;$A172,実績!$AE$6:$AE$505,"○")&gt;0,1,0))</f>
        <v/>
      </c>
      <c r="CF172">
        <f>IF(CF$4=0,0,IF(COUNTIFS(実績!$W$6:$W$505,CF$3,実績!$AC$6:$AC$505,"&lt;="&amp;$A172,実績!$AD$6:$AD$505,"&gt;"&amp;$A172,実績!$AE$6:$AE$505,"○")&gt;0,1,0))</f>
        <v/>
      </c>
      <c r="CG172">
        <f>IF(CG$4=0,0,IF(COUNTIFS(実績!$W$6:$W$505,CG$3,実績!$AC$6:$AC$505,"&lt;="&amp;$A172,実績!$AD$6:$AD$505,"&gt;"&amp;$A172,実績!$AE$6:$AE$505,"○")&gt;0,1,0))</f>
        <v/>
      </c>
      <c r="CH172">
        <f>IF(CH$4=0,0,IF(COUNTIFS(実績!$W$6:$W$505,CH$3,実績!$AC$6:$AC$505,"&lt;="&amp;$A172,実績!$AD$6:$AD$505,"&gt;"&amp;$A172,実績!$AE$6:$AE$505,"○")&gt;0,1,0))</f>
        <v/>
      </c>
      <c r="CI172">
        <f>IF(CI$4=0,0,IF(COUNTIFS(実績!$W$6:$W$505,CI$3,実績!$AC$6:$AC$505,"&lt;="&amp;$A172,実績!$AD$6:$AD$505,"&gt;"&amp;$A172,実績!$AE$6:$AE$505,"○")&gt;0,1,0))</f>
        <v/>
      </c>
      <c r="CJ172">
        <f>IF(CJ$4=0,0,IF(COUNTIFS(実績!$W$6:$W$505,CJ$3,実績!$AC$6:$AC$505,"&lt;="&amp;$A172,実績!$AD$6:$AD$505,"&gt;"&amp;$A172,実績!$AE$6:$AE$505,"○")&gt;0,1,0))</f>
        <v/>
      </c>
      <c r="CK172">
        <f>IF(CK$4=0,0,IF(COUNTIFS(実績!$W$6:$W$505,CK$3,実績!$AC$6:$AC$505,"&lt;="&amp;$A172,実績!$AD$6:$AD$505,"&gt;"&amp;$A172,実績!$AE$6:$AE$505,"○")&gt;0,1,0))</f>
        <v/>
      </c>
      <c r="CL172">
        <f>IF(CL$4=0,0,IF(COUNTIFS(実績!$W$6:$W$505,CL$3,実績!$AC$6:$AC$505,"&lt;="&amp;$A172,実績!$AD$6:$AD$505,"&gt;"&amp;$A172,実績!$AE$6:$AE$505,"○")&gt;0,1,0))</f>
        <v/>
      </c>
      <c r="CM172">
        <f>IF(CM$4=0,0,IF(COUNTIFS(実績!$W$6:$W$505,CM$3,実績!$AC$6:$AC$505,"&lt;="&amp;$A172,実績!$AD$6:$AD$505,"&gt;"&amp;$A172,実績!$AE$6:$AE$505,"○")&gt;0,1,0))</f>
        <v/>
      </c>
      <c r="CN172">
        <f>IF(CN$4=0,0,IF(COUNTIFS(実績!$W$6:$W$505,CN$3,実績!$AC$6:$AC$505,"&lt;="&amp;$A172,実績!$AD$6:$AD$505,"&gt;"&amp;$A172,実績!$AE$6:$AE$505,"○")&gt;0,1,0))</f>
        <v/>
      </c>
      <c r="CO172">
        <f>IF(CO$4=0,0,IF(COUNTIFS(実績!$W$6:$W$505,CO$3,実績!$AC$6:$AC$505,"&lt;="&amp;$A172,実績!$AD$6:$AD$505,"&gt;"&amp;$A172,実績!$AE$6:$AE$505,"○")&gt;0,1,0))</f>
        <v/>
      </c>
      <c r="CP172">
        <f>IF(CP$4=0,0,IF(COUNTIFS(実績!$W$6:$W$505,CP$3,実績!$AC$6:$AC$505,"&lt;="&amp;$A172,実績!$AD$6:$AD$505,"&gt;"&amp;$A172,実績!$AE$6:$AE$505,"○")&gt;0,1,0))</f>
        <v/>
      </c>
      <c r="CQ172">
        <f>IF(CQ$4=0,0,IF(COUNTIFS(実績!$W$6:$W$505,CQ$3,実績!$AC$6:$AC$505,"&lt;="&amp;$A172,実績!$AD$6:$AD$505,"&gt;"&amp;$A172,実績!$AE$6:$AE$505,"○")&gt;0,1,0))</f>
        <v/>
      </c>
      <c r="CR172">
        <f>IF(CR$4=0,0,IF(COUNTIFS(実績!$W$6:$W$505,CR$3,実績!$AC$6:$AC$505,"&lt;="&amp;$A172,実績!$AD$6:$AD$505,"&gt;"&amp;$A172,実績!$AE$6:$AE$505,"○")&gt;0,1,0))</f>
        <v/>
      </c>
      <c r="CS172">
        <f>IF(CS$4=0,0,IF(COUNTIFS(実績!$W$6:$W$505,CS$3,実績!$AC$6:$AC$505,"&lt;="&amp;$A172,実績!$AD$6:$AD$505,"&gt;"&amp;$A172,実績!$AE$6:$AE$505,"○")&gt;0,1,0))</f>
        <v/>
      </c>
      <c r="CT172">
        <f>IF(CT$4=0,0,IF(COUNTIFS(実績!$W$6:$W$505,CT$3,実績!$AC$6:$AC$505,"&lt;="&amp;$A172,実績!$AD$6:$AD$505,"&gt;"&amp;$A172,実績!$AE$6:$AE$505,"○")&gt;0,1,0))</f>
        <v/>
      </c>
      <c r="CU172">
        <f>IF(CU$4=0,0,IF(COUNTIFS(実績!$W$6:$W$505,CU$3,実績!$AC$6:$AC$505,"&lt;="&amp;$A172,実績!$AD$6:$AD$505,"&gt;"&amp;$A172,実績!$AE$6:$AE$505,"○")&gt;0,1,0))</f>
        <v/>
      </c>
      <c r="CV172">
        <f>IF(CV$4=0,0,IF(COUNTIFS(実績!$W$6:$W$505,CV$3,実績!$AC$6:$AC$505,"&lt;="&amp;$A172,実績!$AD$6:$AD$505,"&gt;"&amp;$A172,実績!$AE$6:$AE$505,"○")&gt;0,1,0))</f>
        <v/>
      </c>
      <c r="CW172">
        <f>IF(CW$4=0,0,IF(COUNTIFS(実績!$W$6:$W$505,CW$3,実績!$AC$6:$AC$505,"&lt;="&amp;$A172,実績!$AD$6:$AD$505,"&gt;"&amp;$A172,実績!$AE$6:$AE$505,"○")&gt;0,1,0))</f>
        <v/>
      </c>
      <c r="CX172">
        <f>IF(CX$4=0,0,IF(COUNTIFS(実績!$W$6:$W$505,CX$3,実績!$AC$6:$AC$505,"&lt;="&amp;$A172,実績!$AD$6:$AD$505,"&gt;"&amp;$A172,実績!$AE$6:$AE$505,"○")&gt;0,1,0))</f>
        <v/>
      </c>
      <c r="CY172">
        <f>IF(CY$4=0,0,IF(COUNTIFS(実績!$W$6:$W$505,CY$3,実績!$AC$6:$AC$505,"&lt;="&amp;$A172,実績!$AD$6:$AD$505,"&gt;"&amp;$A172,実績!$AE$6:$AE$505,"○")&gt;0,1,0))</f>
        <v/>
      </c>
      <c r="CZ172">
        <f>IF(CZ$4=0,0,IF(COUNTIFS(実績!$W$6:$W$505,CZ$3,実績!$AC$6:$AC$505,"&lt;="&amp;$A172,実績!$AD$6:$AD$505,"&gt;"&amp;$A172,実績!$AE$6:$AE$505,"○")&gt;0,1,0))</f>
        <v/>
      </c>
      <c r="DA172">
        <f>IF(DA$4=0,0,IF(COUNTIFS(実績!$W$6:$W$505,DA$3,実績!$AC$6:$AC$505,"&lt;="&amp;$A172,実績!$AD$6:$AD$505,"&gt;"&amp;$A172,実績!$AE$6:$AE$505,"○")&gt;0,1,0))</f>
        <v/>
      </c>
      <c r="DB172">
        <f>IF(DB$4=0,0,IF(COUNTIFS(実績!$W$6:$W$505,DB$3,実績!$AC$6:$AC$505,"&lt;="&amp;$A172,実績!$AD$6:$AD$505,"&gt;"&amp;$A172,実績!$AE$6:$AE$505,"○")&gt;0,1,0))</f>
        <v/>
      </c>
      <c r="DC172">
        <f>IF(DC$4=0,0,IF(COUNTIFS(実績!$W$6:$W$505,DC$3,実績!$AC$6:$AC$505,"&lt;="&amp;$A172,実績!$AD$6:$AD$505,"&gt;"&amp;$A172,実績!$AE$6:$AE$505,"○")&gt;0,1,0))</f>
        <v/>
      </c>
      <c r="DD172">
        <f>IF(DD$4=0,0,IF(COUNTIFS(実績!$W$6:$W$505,DD$3,実績!$AC$6:$AC$505,"&lt;="&amp;$A172,実績!$AD$6:$AD$505,"&gt;"&amp;$A172,実績!$AE$6:$AE$505,"○")&gt;0,1,0))</f>
        <v/>
      </c>
      <c r="DE172">
        <f>IF(DE$4=0,0,IF(COUNTIFS(実績!$W$6:$W$505,DE$3,実績!$AC$6:$AC$505,"&lt;="&amp;$A172,実績!$AD$6:$AD$505,"&gt;"&amp;$A172,実績!$AE$6:$AE$505,"○")&gt;0,1,0))</f>
        <v/>
      </c>
      <c r="DF172">
        <f>IF(DF$4=0,0,IF(COUNTIFS(実績!$W$6:$W$505,DF$3,実績!$AC$6:$AC$505,"&lt;="&amp;$A172,実績!$AD$6:$AD$505,"&gt;"&amp;$A172,実績!$AE$6:$AE$505,"○")&gt;0,1,0))</f>
        <v/>
      </c>
      <c r="DG172">
        <f>IF(DG$4=0,0,IF(COUNTIFS(実績!$W$6:$W$505,DG$3,実績!$AC$6:$AC$505,"&lt;="&amp;$A172,実績!$AD$6:$AD$505,"&gt;"&amp;$A172,実績!$AE$6:$AE$505,"○")&gt;0,1,0))</f>
        <v/>
      </c>
      <c r="DH172">
        <f>IF(DH$4=0,0,IF(COUNTIFS(実績!$W$6:$W$505,DH$3,実績!$AC$6:$AC$505,"&lt;="&amp;$A172,実績!$AD$6:$AD$505,"&gt;"&amp;$A172,実績!$AE$6:$AE$505,"○")&gt;0,1,0))</f>
        <v/>
      </c>
      <c r="DI172">
        <f>IF(DI$4=0,0,IF(COUNTIFS(実績!$W$6:$W$505,DI$3,実績!$AC$6:$AC$505,"&lt;="&amp;$A172,実績!$AD$6:$AD$505,"&gt;"&amp;$A172,実績!$AE$6:$AE$505,"○")&gt;0,1,0))</f>
        <v/>
      </c>
      <c r="DJ172">
        <f>IF(DJ$4=0,0,IF(COUNTIFS(実績!$W$6:$W$505,DJ$3,実績!$AC$6:$AC$505,"&lt;="&amp;$A172,実績!$AD$6:$AD$505,"&gt;"&amp;$A172,実績!$AE$6:$AE$505,"○")&gt;0,1,0))</f>
        <v/>
      </c>
      <c r="DK172">
        <f>IF(DK$4=0,0,IF(COUNTIFS(実績!$W$6:$W$505,DK$3,実績!$AC$6:$AC$505,"&lt;="&amp;$A172,実績!$AD$6:$AD$505,"&gt;"&amp;$A172,実績!$AE$6:$AE$505,"○")&gt;0,1,0))</f>
        <v/>
      </c>
      <c r="DL172">
        <f>IF(DL$4=0,0,IF(COUNTIFS(実績!$W$6:$W$505,DL$3,実績!$AC$6:$AC$505,"&lt;="&amp;$A172,実績!$AD$6:$AD$505,"&gt;"&amp;$A172,実績!$AE$6:$AE$505,"○")&gt;0,1,0))</f>
        <v/>
      </c>
      <c r="DM172">
        <f>IF(DM$4=0,0,IF(COUNTIFS(実績!$W$6:$W$505,DM$3,実績!$AC$6:$AC$505,"&lt;="&amp;$A172,実績!$AD$6:$AD$505,"&gt;"&amp;$A172,実績!$AE$6:$AE$505,"○")&gt;0,1,0))</f>
        <v/>
      </c>
      <c r="DN172">
        <f>IF(DN$4=0,0,IF(COUNTIFS(実績!$W$6:$W$505,DN$3,実績!$AC$6:$AC$505,"&lt;="&amp;$A172,実績!$AD$6:$AD$505,"&gt;"&amp;$A172,実績!$AE$6:$AE$505,"○")&gt;0,1,0))</f>
        <v/>
      </c>
      <c r="DO172">
        <f>IF(DO$4=0,0,IF(COUNTIFS(実績!$W$6:$W$505,DO$3,実績!$AC$6:$AC$505,"&lt;="&amp;$A172,実績!$AD$6:$AD$505,"&gt;"&amp;$A172,実績!$AE$6:$AE$505,"○")&gt;0,1,0))</f>
        <v/>
      </c>
      <c r="DP172">
        <f>IF(DP$4=0,0,IF(COUNTIFS(実績!$W$6:$W$505,DP$3,実績!$AC$6:$AC$505,"&lt;="&amp;$A172,実績!$AD$6:$AD$505,"&gt;"&amp;$A172,実績!$AE$6:$AE$505,"○")&gt;0,1,0))</f>
        <v/>
      </c>
      <c r="DQ172">
        <f>IF(DQ$4=0,0,IF(COUNTIFS(実績!$W$6:$W$505,DQ$3,実績!$AC$6:$AC$505,"&lt;="&amp;$A172,実績!$AD$6:$AD$505,"&gt;"&amp;$A172,実績!$AE$6:$AE$505,"○")&gt;0,1,0))</f>
        <v/>
      </c>
      <c r="DR172">
        <f>IF(DR$4=0,0,IF(COUNTIFS(実績!$W$6:$W$505,DR$3,実績!$AC$6:$AC$505,"&lt;="&amp;$A172,実績!$AD$6:$AD$505,"&gt;"&amp;$A172,実績!$AE$6:$AE$505,"○")&gt;0,1,0))</f>
        <v/>
      </c>
      <c r="DS172">
        <f>SUM(C172:DR172)</f>
        <v/>
      </c>
      <c r="DT172">
        <f>SUMPRODUCT((実績!$C$6:$C$505="○")*ISNUMBER(実績!$AF$6:$AF$505)*(実績!$AF$6:$AF$505&lt;=$A172)*(実績!$AG$6:$AG$505&gt;$A172))</f>
        <v/>
      </c>
      <c r="DU172">
        <f>SUMIF($C$2:$DR$2,"製鉄曳船",C172:DR172)</f>
        <v/>
      </c>
      <c r="DV172">
        <f>SUMIF($C$2:$DR$2,"西日本海運",C172:DR172)</f>
        <v/>
      </c>
    </row>
    <row r="173">
      <c r="A173" t="n">
        <v>835</v>
      </c>
      <c r="B173" s="29">
        <f>A173/1440</f>
        <v/>
      </c>
      <c r="C173">
        <f>IF(C$4=0,0,IF(COUNTIFS(実績!$W$6:$W$505,C$3,実績!$AC$6:$AC$505,"&lt;="&amp;$A173,実績!$AD$6:$AD$505,"&gt;"&amp;$A173,実績!$AE$6:$AE$505,"○")&gt;0,1,0))</f>
        <v/>
      </c>
      <c r="D173">
        <f>IF(D$4=0,0,IF(COUNTIFS(実績!$W$6:$W$505,D$3,実績!$AC$6:$AC$505,"&lt;="&amp;$A173,実績!$AD$6:$AD$505,"&gt;"&amp;$A173,実績!$AE$6:$AE$505,"○")&gt;0,1,0))</f>
        <v/>
      </c>
      <c r="E173">
        <f>IF(E$4=0,0,IF(COUNTIFS(実績!$W$6:$W$505,E$3,実績!$AC$6:$AC$505,"&lt;="&amp;$A173,実績!$AD$6:$AD$505,"&gt;"&amp;$A173,実績!$AE$6:$AE$505,"○")&gt;0,1,0))</f>
        <v/>
      </c>
      <c r="F173">
        <f>IF(F$4=0,0,IF(COUNTIFS(実績!$W$6:$W$505,F$3,実績!$AC$6:$AC$505,"&lt;="&amp;$A173,実績!$AD$6:$AD$505,"&gt;"&amp;$A173,実績!$AE$6:$AE$505,"○")&gt;0,1,0))</f>
        <v/>
      </c>
      <c r="G173">
        <f>IF(G$4=0,0,IF(COUNTIFS(実績!$W$6:$W$505,G$3,実績!$AC$6:$AC$505,"&lt;="&amp;$A173,実績!$AD$6:$AD$505,"&gt;"&amp;$A173,実績!$AE$6:$AE$505,"○")&gt;0,1,0))</f>
        <v/>
      </c>
      <c r="H173">
        <f>IF(H$4=0,0,IF(COUNTIFS(実績!$W$6:$W$505,H$3,実績!$AC$6:$AC$505,"&lt;="&amp;$A173,実績!$AD$6:$AD$505,"&gt;"&amp;$A173,実績!$AE$6:$AE$505,"○")&gt;0,1,0))</f>
        <v/>
      </c>
      <c r="I173">
        <f>IF(I$4=0,0,IF(COUNTIFS(実績!$W$6:$W$505,I$3,実績!$AC$6:$AC$505,"&lt;="&amp;$A173,実績!$AD$6:$AD$505,"&gt;"&amp;$A173,実績!$AE$6:$AE$505,"○")&gt;0,1,0))</f>
        <v/>
      </c>
      <c r="J173">
        <f>IF(J$4=0,0,IF(COUNTIFS(実績!$W$6:$W$505,J$3,実績!$AC$6:$AC$505,"&lt;="&amp;$A173,実績!$AD$6:$AD$505,"&gt;"&amp;$A173,実績!$AE$6:$AE$505,"○")&gt;0,1,0))</f>
        <v/>
      </c>
      <c r="K173">
        <f>IF(K$4=0,0,IF(COUNTIFS(実績!$W$6:$W$505,K$3,実績!$AC$6:$AC$505,"&lt;="&amp;$A173,実績!$AD$6:$AD$505,"&gt;"&amp;$A173,実績!$AE$6:$AE$505,"○")&gt;0,1,0))</f>
        <v/>
      </c>
      <c r="L173">
        <f>IF(L$4=0,0,IF(COUNTIFS(実績!$W$6:$W$505,L$3,実績!$AC$6:$AC$505,"&lt;="&amp;$A173,実績!$AD$6:$AD$505,"&gt;"&amp;$A173,実績!$AE$6:$AE$505,"○")&gt;0,1,0))</f>
        <v/>
      </c>
      <c r="M173">
        <f>IF(M$4=0,0,IF(COUNTIFS(実績!$W$6:$W$505,M$3,実績!$AC$6:$AC$505,"&lt;="&amp;$A173,実績!$AD$6:$AD$505,"&gt;"&amp;$A173,実績!$AE$6:$AE$505,"○")&gt;0,1,0))</f>
        <v/>
      </c>
      <c r="N173">
        <f>IF(N$4=0,0,IF(COUNTIFS(実績!$W$6:$W$505,N$3,実績!$AC$6:$AC$505,"&lt;="&amp;$A173,実績!$AD$6:$AD$505,"&gt;"&amp;$A173,実績!$AE$6:$AE$505,"○")&gt;0,1,0))</f>
        <v/>
      </c>
      <c r="O173">
        <f>IF(O$4=0,0,IF(COUNTIFS(実績!$W$6:$W$505,O$3,実績!$AC$6:$AC$505,"&lt;="&amp;$A173,実績!$AD$6:$AD$505,"&gt;"&amp;$A173,実績!$AE$6:$AE$505,"○")&gt;0,1,0))</f>
        <v/>
      </c>
      <c r="P173">
        <f>IF(P$4=0,0,IF(COUNTIFS(実績!$W$6:$W$505,P$3,実績!$AC$6:$AC$505,"&lt;="&amp;$A173,実績!$AD$6:$AD$505,"&gt;"&amp;$A173,実績!$AE$6:$AE$505,"○")&gt;0,1,0))</f>
        <v/>
      </c>
      <c r="Q173">
        <f>IF(Q$4=0,0,IF(COUNTIFS(実績!$W$6:$W$505,Q$3,実績!$AC$6:$AC$505,"&lt;="&amp;$A173,実績!$AD$6:$AD$505,"&gt;"&amp;$A173,実績!$AE$6:$AE$505,"○")&gt;0,1,0))</f>
        <v/>
      </c>
      <c r="R173">
        <f>IF(R$4=0,0,IF(COUNTIFS(実績!$W$6:$W$505,R$3,実績!$AC$6:$AC$505,"&lt;="&amp;$A173,実績!$AD$6:$AD$505,"&gt;"&amp;$A173,実績!$AE$6:$AE$505,"○")&gt;0,1,0))</f>
        <v/>
      </c>
      <c r="S173">
        <f>IF(S$4=0,0,IF(COUNTIFS(実績!$W$6:$W$505,S$3,実績!$AC$6:$AC$505,"&lt;="&amp;$A173,実績!$AD$6:$AD$505,"&gt;"&amp;$A173,実績!$AE$6:$AE$505,"○")&gt;0,1,0))</f>
        <v/>
      </c>
      <c r="T173">
        <f>IF(T$4=0,0,IF(COUNTIFS(実績!$W$6:$W$505,T$3,実績!$AC$6:$AC$505,"&lt;="&amp;$A173,実績!$AD$6:$AD$505,"&gt;"&amp;$A173,実績!$AE$6:$AE$505,"○")&gt;0,1,0))</f>
        <v/>
      </c>
      <c r="U173">
        <f>IF(U$4=0,0,IF(COUNTIFS(実績!$W$6:$W$505,U$3,実績!$AC$6:$AC$505,"&lt;="&amp;$A173,実績!$AD$6:$AD$505,"&gt;"&amp;$A173,実績!$AE$6:$AE$505,"○")&gt;0,1,0))</f>
        <v/>
      </c>
      <c r="V173">
        <f>IF(V$4=0,0,IF(COUNTIFS(実績!$W$6:$W$505,V$3,実績!$AC$6:$AC$505,"&lt;="&amp;$A173,実績!$AD$6:$AD$505,"&gt;"&amp;$A173,実績!$AE$6:$AE$505,"○")&gt;0,1,0))</f>
        <v/>
      </c>
      <c r="W173">
        <f>IF(W$4=0,0,IF(COUNTIFS(実績!$W$6:$W$505,W$3,実績!$AC$6:$AC$505,"&lt;="&amp;$A173,実績!$AD$6:$AD$505,"&gt;"&amp;$A173,実績!$AE$6:$AE$505,"○")&gt;0,1,0))</f>
        <v/>
      </c>
      <c r="X173">
        <f>IF(X$4=0,0,IF(COUNTIFS(実績!$W$6:$W$505,X$3,実績!$AC$6:$AC$505,"&lt;="&amp;$A173,実績!$AD$6:$AD$505,"&gt;"&amp;$A173,実績!$AE$6:$AE$505,"○")&gt;0,1,0))</f>
        <v/>
      </c>
      <c r="Y173">
        <f>IF(Y$4=0,0,IF(COUNTIFS(実績!$W$6:$W$505,Y$3,実績!$AC$6:$AC$505,"&lt;="&amp;$A173,実績!$AD$6:$AD$505,"&gt;"&amp;$A173,実績!$AE$6:$AE$505,"○")&gt;0,1,0))</f>
        <v/>
      </c>
      <c r="Z173">
        <f>IF(Z$4=0,0,IF(COUNTIFS(実績!$W$6:$W$505,Z$3,実績!$AC$6:$AC$505,"&lt;="&amp;$A173,実績!$AD$6:$AD$505,"&gt;"&amp;$A173,実績!$AE$6:$AE$505,"○")&gt;0,1,0))</f>
        <v/>
      </c>
      <c r="AA173">
        <f>IF(AA$4=0,0,IF(COUNTIFS(実績!$W$6:$W$505,AA$3,実績!$AC$6:$AC$505,"&lt;="&amp;$A173,実績!$AD$6:$AD$505,"&gt;"&amp;$A173,実績!$AE$6:$AE$505,"○")&gt;0,1,0))</f>
        <v/>
      </c>
      <c r="AB173">
        <f>IF(AB$4=0,0,IF(COUNTIFS(実績!$W$6:$W$505,AB$3,実績!$AC$6:$AC$505,"&lt;="&amp;$A173,実績!$AD$6:$AD$505,"&gt;"&amp;$A173,実績!$AE$6:$AE$505,"○")&gt;0,1,0))</f>
        <v/>
      </c>
      <c r="AC173">
        <f>IF(AC$4=0,0,IF(COUNTIFS(実績!$W$6:$W$505,AC$3,実績!$AC$6:$AC$505,"&lt;="&amp;$A173,実績!$AD$6:$AD$505,"&gt;"&amp;$A173,実績!$AE$6:$AE$505,"○")&gt;0,1,0))</f>
        <v/>
      </c>
      <c r="AD173">
        <f>IF(AD$4=0,0,IF(COUNTIFS(実績!$W$6:$W$505,AD$3,実績!$AC$6:$AC$505,"&lt;="&amp;$A173,実績!$AD$6:$AD$505,"&gt;"&amp;$A173,実績!$AE$6:$AE$505,"○")&gt;0,1,0))</f>
        <v/>
      </c>
      <c r="AE173">
        <f>IF(AE$4=0,0,IF(COUNTIFS(実績!$W$6:$W$505,AE$3,実績!$AC$6:$AC$505,"&lt;="&amp;$A173,実績!$AD$6:$AD$505,"&gt;"&amp;$A173,実績!$AE$6:$AE$505,"○")&gt;0,1,0))</f>
        <v/>
      </c>
      <c r="AF173">
        <f>IF(AF$4=0,0,IF(COUNTIFS(実績!$W$6:$W$505,AF$3,実績!$AC$6:$AC$505,"&lt;="&amp;$A173,実績!$AD$6:$AD$505,"&gt;"&amp;$A173,実績!$AE$6:$AE$505,"○")&gt;0,1,0))</f>
        <v/>
      </c>
      <c r="AG173">
        <f>IF(AG$4=0,0,IF(COUNTIFS(実績!$W$6:$W$505,AG$3,実績!$AC$6:$AC$505,"&lt;="&amp;$A173,実績!$AD$6:$AD$505,"&gt;"&amp;$A173,実績!$AE$6:$AE$505,"○")&gt;0,1,0))</f>
        <v/>
      </c>
      <c r="AH173">
        <f>IF(AH$4=0,0,IF(COUNTIFS(実績!$W$6:$W$505,AH$3,実績!$AC$6:$AC$505,"&lt;="&amp;$A173,実績!$AD$6:$AD$505,"&gt;"&amp;$A173,実績!$AE$6:$AE$505,"○")&gt;0,1,0))</f>
        <v/>
      </c>
      <c r="AI173">
        <f>IF(AI$4=0,0,IF(COUNTIFS(実績!$W$6:$W$505,AI$3,実績!$AC$6:$AC$505,"&lt;="&amp;$A173,実績!$AD$6:$AD$505,"&gt;"&amp;$A173,実績!$AE$6:$AE$505,"○")&gt;0,1,0))</f>
        <v/>
      </c>
      <c r="AJ173">
        <f>IF(AJ$4=0,0,IF(COUNTIFS(実績!$W$6:$W$505,AJ$3,実績!$AC$6:$AC$505,"&lt;="&amp;$A173,実績!$AD$6:$AD$505,"&gt;"&amp;$A173,実績!$AE$6:$AE$505,"○")&gt;0,1,0))</f>
        <v/>
      </c>
      <c r="AK173">
        <f>IF(AK$4=0,0,IF(COUNTIFS(実績!$W$6:$W$505,AK$3,実績!$AC$6:$AC$505,"&lt;="&amp;$A173,実績!$AD$6:$AD$505,"&gt;"&amp;$A173,実績!$AE$6:$AE$505,"○")&gt;0,1,0))</f>
        <v/>
      </c>
      <c r="AL173">
        <f>IF(AL$4=0,0,IF(COUNTIFS(実績!$W$6:$W$505,AL$3,実績!$AC$6:$AC$505,"&lt;="&amp;$A173,実績!$AD$6:$AD$505,"&gt;"&amp;$A173,実績!$AE$6:$AE$505,"○")&gt;0,1,0))</f>
        <v/>
      </c>
      <c r="AM173">
        <f>IF(AM$4=0,0,IF(COUNTIFS(実績!$W$6:$W$505,AM$3,実績!$AC$6:$AC$505,"&lt;="&amp;$A173,実績!$AD$6:$AD$505,"&gt;"&amp;$A173,実績!$AE$6:$AE$505,"○")&gt;0,1,0))</f>
        <v/>
      </c>
      <c r="AN173">
        <f>IF(AN$4=0,0,IF(COUNTIFS(実績!$W$6:$W$505,AN$3,実績!$AC$6:$AC$505,"&lt;="&amp;$A173,実績!$AD$6:$AD$505,"&gt;"&amp;$A173,実績!$AE$6:$AE$505,"○")&gt;0,1,0))</f>
        <v/>
      </c>
      <c r="AO173">
        <f>IF(AO$4=0,0,IF(COUNTIFS(実績!$W$6:$W$505,AO$3,実績!$AC$6:$AC$505,"&lt;="&amp;$A173,実績!$AD$6:$AD$505,"&gt;"&amp;$A173,実績!$AE$6:$AE$505,"○")&gt;0,1,0))</f>
        <v/>
      </c>
      <c r="AP173">
        <f>IF(AP$4=0,0,IF(COUNTIFS(実績!$W$6:$W$505,AP$3,実績!$AC$6:$AC$505,"&lt;="&amp;$A173,実績!$AD$6:$AD$505,"&gt;"&amp;$A173,実績!$AE$6:$AE$505,"○")&gt;0,1,0))</f>
        <v/>
      </c>
      <c r="AQ173">
        <f>IF(AQ$4=0,0,IF(COUNTIFS(実績!$W$6:$W$505,AQ$3,実績!$AC$6:$AC$505,"&lt;="&amp;$A173,実績!$AD$6:$AD$505,"&gt;"&amp;$A173,実績!$AE$6:$AE$505,"○")&gt;0,1,0))</f>
        <v/>
      </c>
      <c r="AR173">
        <f>IF(AR$4=0,0,IF(COUNTIFS(実績!$W$6:$W$505,AR$3,実績!$AC$6:$AC$505,"&lt;="&amp;$A173,実績!$AD$6:$AD$505,"&gt;"&amp;$A173,実績!$AE$6:$AE$505,"○")&gt;0,1,0))</f>
        <v/>
      </c>
      <c r="AS173">
        <f>IF(AS$4=0,0,IF(COUNTIFS(実績!$W$6:$W$505,AS$3,実績!$AC$6:$AC$505,"&lt;="&amp;$A173,実績!$AD$6:$AD$505,"&gt;"&amp;$A173,実績!$AE$6:$AE$505,"○")&gt;0,1,0))</f>
        <v/>
      </c>
      <c r="AT173">
        <f>IF(AT$4=0,0,IF(COUNTIFS(実績!$W$6:$W$505,AT$3,実績!$AC$6:$AC$505,"&lt;="&amp;$A173,実績!$AD$6:$AD$505,"&gt;"&amp;$A173,実績!$AE$6:$AE$505,"○")&gt;0,1,0))</f>
        <v/>
      </c>
      <c r="AU173">
        <f>IF(AU$4=0,0,IF(COUNTIFS(実績!$W$6:$W$505,AU$3,実績!$AC$6:$AC$505,"&lt;="&amp;$A173,実績!$AD$6:$AD$505,"&gt;"&amp;$A173,実績!$AE$6:$AE$505,"○")&gt;0,1,0))</f>
        <v/>
      </c>
      <c r="AV173">
        <f>IF(AV$4=0,0,IF(COUNTIFS(実績!$W$6:$W$505,AV$3,実績!$AC$6:$AC$505,"&lt;="&amp;$A173,実績!$AD$6:$AD$505,"&gt;"&amp;$A173,実績!$AE$6:$AE$505,"○")&gt;0,1,0))</f>
        <v/>
      </c>
      <c r="AW173">
        <f>IF(AW$4=0,0,IF(COUNTIFS(実績!$W$6:$W$505,AW$3,実績!$AC$6:$AC$505,"&lt;="&amp;$A173,実績!$AD$6:$AD$505,"&gt;"&amp;$A173,実績!$AE$6:$AE$505,"○")&gt;0,1,0))</f>
        <v/>
      </c>
      <c r="AX173">
        <f>IF(AX$4=0,0,IF(COUNTIFS(実績!$W$6:$W$505,AX$3,実績!$AC$6:$AC$505,"&lt;="&amp;$A173,実績!$AD$6:$AD$505,"&gt;"&amp;$A173,実績!$AE$6:$AE$505,"○")&gt;0,1,0))</f>
        <v/>
      </c>
      <c r="AY173">
        <f>IF(AY$4=0,0,IF(COUNTIFS(実績!$W$6:$W$505,AY$3,実績!$AC$6:$AC$505,"&lt;="&amp;$A173,実績!$AD$6:$AD$505,"&gt;"&amp;$A173,実績!$AE$6:$AE$505,"○")&gt;0,1,0))</f>
        <v/>
      </c>
      <c r="AZ173">
        <f>IF(AZ$4=0,0,IF(COUNTIFS(実績!$W$6:$W$505,AZ$3,実績!$AC$6:$AC$505,"&lt;="&amp;$A173,実績!$AD$6:$AD$505,"&gt;"&amp;$A173,実績!$AE$6:$AE$505,"○")&gt;0,1,0))</f>
        <v/>
      </c>
      <c r="BA173">
        <f>IF(BA$4=0,0,IF(COUNTIFS(実績!$W$6:$W$505,BA$3,実績!$AC$6:$AC$505,"&lt;="&amp;$A173,実績!$AD$6:$AD$505,"&gt;"&amp;$A173,実績!$AE$6:$AE$505,"○")&gt;0,1,0))</f>
        <v/>
      </c>
      <c r="BB173">
        <f>IF(BB$4=0,0,IF(COUNTIFS(実績!$W$6:$W$505,BB$3,実績!$AC$6:$AC$505,"&lt;="&amp;$A173,実績!$AD$6:$AD$505,"&gt;"&amp;$A173,実績!$AE$6:$AE$505,"○")&gt;0,1,0))</f>
        <v/>
      </c>
      <c r="BC173">
        <f>IF(BC$4=0,0,IF(COUNTIFS(実績!$W$6:$W$505,BC$3,実績!$AC$6:$AC$505,"&lt;="&amp;$A173,実績!$AD$6:$AD$505,"&gt;"&amp;$A173,実績!$AE$6:$AE$505,"○")&gt;0,1,0))</f>
        <v/>
      </c>
      <c r="BD173">
        <f>IF(BD$4=0,0,IF(COUNTIFS(実績!$W$6:$W$505,BD$3,実績!$AC$6:$AC$505,"&lt;="&amp;$A173,実績!$AD$6:$AD$505,"&gt;"&amp;$A173,実績!$AE$6:$AE$505,"○")&gt;0,1,0))</f>
        <v/>
      </c>
      <c r="BE173">
        <f>IF(BE$4=0,0,IF(COUNTIFS(実績!$W$6:$W$505,BE$3,実績!$AC$6:$AC$505,"&lt;="&amp;$A173,実績!$AD$6:$AD$505,"&gt;"&amp;$A173,実績!$AE$6:$AE$505,"○")&gt;0,1,0))</f>
        <v/>
      </c>
      <c r="BF173">
        <f>IF(BF$4=0,0,IF(COUNTIFS(実績!$W$6:$W$505,BF$3,実績!$AC$6:$AC$505,"&lt;="&amp;$A173,実績!$AD$6:$AD$505,"&gt;"&amp;$A173,実績!$AE$6:$AE$505,"○")&gt;0,1,0))</f>
        <v/>
      </c>
      <c r="BG173">
        <f>IF(BG$4=0,0,IF(COUNTIFS(実績!$W$6:$W$505,BG$3,実績!$AC$6:$AC$505,"&lt;="&amp;$A173,実績!$AD$6:$AD$505,"&gt;"&amp;$A173,実績!$AE$6:$AE$505,"○")&gt;0,1,0))</f>
        <v/>
      </c>
      <c r="BH173">
        <f>IF(BH$4=0,0,IF(COUNTIFS(実績!$W$6:$W$505,BH$3,実績!$AC$6:$AC$505,"&lt;="&amp;$A173,実績!$AD$6:$AD$505,"&gt;"&amp;$A173,実績!$AE$6:$AE$505,"○")&gt;0,1,0))</f>
        <v/>
      </c>
      <c r="BI173">
        <f>IF(BI$4=0,0,IF(COUNTIFS(実績!$W$6:$W$505,BI$3,実績!$AC$6:$AC$505,"&lt;="&amp;$A173,実績!$AD$6:$AD$505,"&gt;"&amp;$A173,実績!$AE$6:$AE$505,"○")&gt;0,1,0))</f>
        <v/>
      </c>
      <c r="BJ173">
        <f>IF(BJ$4=0,0,IF(COUNTIFS(実績!$W$6:$W$505,BJ$3,実績!$AC$6:$AC$505,"&lt;="&amp;$A173,実績!$AD$6:$AD$505,"&gt;"&amp;$A173,実績!$AE$6:$AE$505,"○")&gt;0,1,0))</f>
        <v/>
      </c>
      <c r="BK173">
        <f>IF(BK$4=0,0,IF(COUNTIFS(実績!$W$6:$W$505,BK$3,実績!$AC$6:$AC$505,"&lt;="&amp;$A173,実績!$AD$6:$AD$505,"&gt;"&amp;$A173,実績!$AE$6:$AE$505,"○")&gt;0,1,0))</f>
        <v/>
      </c>
      <c r="BL173">
        <f>IF(BL$4=0,0,IF(COUNTIFS(実績!$W$6:$W$505,BL$3,実績!$AC$6:$AC$505,"&lt;="&amp;$A173,実績!$AD$6:$AD$505,"&gt;"&amp;$A173,実績!$AE$6:$AE$505,"○")&gt;0,1,0))</f>
        <v/>
      </c>
      <c r="BM173">
        <f>IF(BM$4=0,0,IF(COUNTIFS(実績!$W$6:$W$505,BM$3,実績!$AC$6:$AC$505,"&lt;="&amp;$A173,実績!$AD$6:$AD$505,"&gt;"&amp;$A173,実績!$AE$6:$AE$505,"○")&gt;0,1,0))</f>
        <v/>
      </c>
      <c r="BN173">
        <f>IF(BN$4=0,0,IF(COUNTIFS(実績!$W$6:$W$505,BN$3,実績!$AC$6:$AC$505,"&lt;="&amp;$A173,実績!$AD$6:$AD$505,"&gt;"&amp;$A173,実績!$AE$6:$AE$505,"○")&gt;0,1,0))</f>
        <v/>
      </c>
      <c r="BO173">
        <f>IF(BO$4=0,0,IF(COUNTIFS(実績!$W$6:$W$505,BO$3,実績!$AC$6:$AC$505,"&lt;="&amp;$A173,実績!$AD$6:$AD$505,"&gt;"&amp;$A173,実績!$AE$6:$AE$505,"○")&gt;0,1,0))</f>
        <v/>
      </c>
      <c r="BP173">
        <f>IF(BP$4=0,0,IF(COUNTIFS(実績!$W$6:$W$505,BP$3,実績!$AC$6:$AC$505,"&lt;="&amp;$A173,実績!$AD$6:$AD$505,"&gt;"&amp;$A173,実績!$AE$6:$AE$505,"○")&gt;0,1,0))</f>
        <v/>
      </c>
      <c r="BQ173">
        <f>IF(BQ$4=0,0,IF(COUNTIFS(実績!$W$6:$W$505,BQ$3,実績!$AC$6:$AC$505,"&lt;="&amp;$A173,実績!$AD$6:$AD$505,"&gt;"&amp;$A173,実績!$AE$6:$AE$505,"○")&gt;0,1,0))</f>
        <v/>
      </c>
      <c r="BR173">
        <f>IF(BR$4=0,0,IF(COUNTIFS(実績!$W$6:$W$505,BR$3,実績!$AC$6:$AC$505,"&lt;="&amp;$A173,実績!$AD$6:$AD$505,"&gt;"&amp;$A173,実績!$AE$6:$AE$505,"○")&gt;0,1,0))</f>
        <v/>
      </c>
      <c r="BS173">
        <f>IF(BS$4=0,0,IF(COUNTIFS(実績!$W$6:$W$505,BS$3,実績!$AC$6:$AC$505,"&lt;="&amp;$A173,実績!$AD$6:$AD$505,"&gt;"&amp;$A173,実績!$AE$6:$AE$505,"○")&gt;0,1,0))</f>
        <v/>
      </c>
      <c r="BT173">
        <f>IF(BT$4=0,0,IF(COUNTIFS(実績!$W$6:$W$505,BT$3,実績!$AC$6:$AC$505,"&lt;="&amp;$A173,実績!$AD$6:$AD$505,"&gt;"&amp;$A173,実績!$AE$6:$AE$505,"○")&gt;0,1,0))</f>
        <v/>
      </c>
      <c r="BU173">
        <f>IF(BU$4=0,0,IF(COUNTIFS(実績!$W$6:$W$505,BU$3,実績!$AC$6:$AC$505,"&lt;="&amp;$A173,実績!$AD$6:$AD$505,"&gt;"&amp;$A173,実績!$AE$6:$AE$505,"○")&gt;0,1,0))</f>
        <v/>
      </c>
      <c r="BV173">
        <f>IF(BV$4=0,0,IF(COUNTIFS(実績!$W$6:$W$505,BV$3,実績!$AC$6:$AC$505,"&lt;="&amp;$A173,実績!$AD$6:$AD$505,"&gt;"&amp;$A173,実績!$AE$6:$AE$505,"○")&gt;0,1,0))</f>
        <v/>
      </c>
      <c r="BW173">
        <f>IF(BW$4=0,0,IF(COUNTIFS(実績!$W$6:$W$505,BW$3,実績!$AC$6:$AC$505,"&lt;="&amp;$A173,実績!$AD$6:$AD$505,"&gt;"&amp;$A173,実績!$AE$6:$AE$505,"○")&gt;0,1,0))</f>
        <v/>
      </c>
      <c r="BX173">
        <f>IF(BX$4=0,0,IF(COUNTIFS(実績!$W$6:$W$505,BX$3,実績!$AC$6:$AC$505,"&lt;="&amp;$A173,実績!$AD$6:$AD$505,"&gt;"&amp;$A173,実績!$AE$6:$AE$505,"○")&gt;0,1,0))</f>
        <v/>
      </c>
      <c r="BY173">
        <f>IF(BY$4=0,0,IF(COUNTIFS(実績!$W$6:$W$505,BY$3,実績!$AC$6:$AC$505,"&lt;="&amp;$A173,実績!$AD$6:$AD$505,"&gt;"&amp;$A173,実績!$AE$6:$AE$505,"○")&gt;0,1,0))</f>
        <v/>
      </c>
      <c r="BZ173">
        <f>IF(BZ$4=0,0,IF(COUNTIFS(実績!$W$6:$W$505,BZ$3,実績!$AC$6:$AC$505,"&lt;="&amp;$A173,実績!$AD$6:$AD$505,"&gt;"&amp;$A173,実績!$AE$6:$AE$505,"○")&gt;0,1,0))</f>
        <v/>
      </c>
      <c r="CA173">
        <f>IF(CA$4=0,0,IF(COUNTIFS(実績!$W$6:$W$505,CA$3,実績!$AC$6:$AC$505,"&lt;="&amp;$A173,実績!$AD$6:$AD$505,"&gt;"&amp;$A173,実績!$AE$6:$AE$505,"○")&gt;0,1,0))</f>
        <v/>
      </c>
      <c r="CB173">
        <f>IF(CB$4=0,0,IF(COUNTIFS(実績!$W$6:$W$505,CB$3,実績!$AC$6:$AC$505,"&lt;="&amp;$A173,実績!$AD$6:$AD$505,"&gt;"&amp;$A173,実績!$AE$6:$AE$505,"○")&gt;0,1,0))</f>
        <v/>
      </c>
      <c r="CC173">
        <f>IF(CC$4=0,0,IF(COUNTIFS(実績!$W$6:$W$505,CC$3,実績!$AC$6:$AC$505,"&lt;="&amp;$A173,実績!$AD$6:$AD$505,"&gt;"&amp;$A173,実績!$AE$6:$AE$505,"○")&gt;0,1,0))</f>
        <v/>
      </c>
      <c r="CD173">
        <f>IF(CD$4=0,0,IF(COUNTIFS(実績!$W$6:$W$505,CD$3,実績!$AC$6:$AC$505,"&lt;="&amp;$A173,実績!$AD$6:$AD$505,"&gt;"&amp;$A173,実績!$AE$6:$AE$505,"○")&gt;0,1,0))</f>
        <v/>
      </c>
      <c r="CE173">
        <f>IF(CE$4=0,0,IF(COUNTIFS(実績!$W$6:$W$505,CE$3,実績!$AC$6:$AC$505,"&lt;="&amp;$A173,実績!$AD$6:$AD$505,"&gt;"&amp;$A173,実績!$AE$6:$AE$505,"○")&gt;0,1,0))</f>
        <v/>
      </c>
      <c r="CF173">
        <f>IF(CF$4=0,0,IF(COUNTIFS(実績!$W$6:$W$505,CF$3,実績!$AC$6:$AC$505,"&lt;="&amp;$A173,実績!$AD$6:$AD$505,"&gt;"&amp;$A173,実績!$AE$6:$AE$505,"○")&gt;0,1,0))</f>
        <v/>
      </c>
      <c r="CG173">
        <f>IF(CG$4=0,0,IF(COUNTIFS(実績!$W$6:$W$505,CG$3,実績!$AC$6:$AC$505,"&lt;="&amp;$A173,実績!$AD$6:$AD$505,"&gt;"&amp;$A173,実績!$AE$6:$AE$505,"○")&gt;0,1,0))</f>
        <v/>
      </c>
      <c r="CH173">
        <f>IF(CH$4=0,0,IF(COUNTIFS(実績!$W$6:$W$505,CH$3,実績!$AC$6:$AC$505,"&lt;="&amp;$A173,実績!$AD$6:$AD$505,"&gt;"&amp;$A173,実績!$AE$6:$AE$505,"○")&gt;0,1,0))</f>
        <v/>
      </c>
      <c r="CI173">
        <f>IF(CI$4=0,0,IF(COUNTIFS(実績!$W$6:$W$505,CI$3,実績!$AC$6:$AC$505,"&lt;="&amp;$A173,実績!$AD$6:$AD$505,"&gt;"&amp;$A173,実績!$AE$6:$AE$505,"○")&gt;0,1,0))</f>
        <v/>
      </c>
      <c r="CJ173">
        <f>IF(CJ$4=0,0,IF(COUNTIFS(実績!$W$6:$W$505,CJ$3,実績!$AC$6:$AC$505,"&lt;="&amp;$A173,実績!$AD$6:$AD$505,"&gt;"&amp;$A173,実績!$AE$6:$AE$505,"○")&gt;0,1,0))</f>
        <v/>
      </c>
      <c r="CK173">
        <f>IF(CK$4=0,0,IF(COUNTIFS(実績!$W$6:$W$505,CK$3,実績!$AC$6:$AC$505,"&lt;="&amp;$A173,実績!$AD$6:$AD$505,"&gt;"&amp;$A173,実績!$AE$6:$AE$505,"○")&gt;0,1,0))</f>
        <v/>
      </c>
      <c r="CL173">
        <f>IF(CL$4=0,0,IF(COUNTIFS(実績!$W$6:$W$505,CL$3,実績!$AC$6:$AC$505,"&lt;="&amp;$A173,実績!$AD$6:$AD$505,"&gt;"&amp;$A173,実績!$AE$6:$AE$505,"○")&gt;0,1,0))</f>
        <v/>
      </c>
      <c r="CM173">
        <f>IF(CM$4=0,0,IF(COUNTIFS(実績!$W$6:$W$505,CM$3,実績!$AC$6:$AC$505,"&lt;="&amp;$A173,実績!$AD$6:$AD$505,"&gt;"&amp;$A173,実績!$AE$6:$AE$505,"○")&gt;0,1,0))</f>
        <v/>
      </c>
      <c r="CN173">
        <f>IF(CN$4=0,0,IF(COUNTIFS(実績!$W$6:$W$505,CN$3,実績!$AC$6:$AC$505,"&lt;="&amp;$A173,実績!$AD$6:$AD$505,"&gt;"&amp;$A173,実績!$AE$6:$AE$505,"○")&gt;0,1,0))</f>
        <v/>
      </c>
      <c r="CO173">
        <f>IF(CO$4=0,0,IF(COUNTIFS(実績!$W$6:$W$505,CO$3,実績!$AC$6:$AC$505,"&lt;="&amp;$A173,実績!$AD$6:$AD$505,"&gt;"&amp;$A173,実績!$AE$6:$AE$505,"○")&gt;0,1,0))</f>
        <v/>
      </c>
      <c r="CP173">
        <f>IF(CP$4=0,0,IF(COUNTIFS(実績!$W$6:$W$505,CP$3,実績!$AC$6:$AC$505,"&lt;="&amp;$A173,実績!$AD$6:$AD$505,"&gt;"&amp;$A173,実績!$AE$6:$AE$505,"○")&gt;0,1,0))</f>
        <v/>
      </c>
      <c r="CQ173">
        <f>IF(CQ$4=0,0,IF(COUNTIFS(実績!$W$6:$W$505,CQ$3,実績!$AC$6:$AC$505,"&lt;="&amp;$A173,実績!$AD$6:$AD$505,"&gt;"&amp;$A173,実績!$AE$6:$AE$505,"○")&gt;0,1,0))</f>
        <v/>
      </c>
      <c r="CR173">
        <f>IF(CR$4=0,0,IF(COUNTIFS(実績!$W$6:$W$505,CR$3,実績!$AC$6:$AC$505,"&lt;="&amp;$A173,実績!$AD$6:$AD$505,"&gt;"&amp;$A173,実績!$AE$6:$AE$505,"○")&gt;0,1,0))</f>
        <v/>
      </c>
      <c r="CS173">
        <f>IF(CS$4=0,0,IF(COUNTIFS(実績!$W$6:$W$505,CS$3,実績!$AC$6:$AC$505,"&lt;="&amp;$A173,実績!$AD$6:$AD$505,"&gt;"&amp;$A173,実績!$AE$6:$AE$505,"○")&gt;0,1,0))</f>
        <v/>
      </c>
      <c r="CT173">
        <f>IF(CT$4=0,0,IF(COUNTIFS(実績!$W$6:$W$505,CT$3,実績!$AC$6:$AC$505,"&lt;="&amp;$A173,実績!$AD$6:$AD$505,"&gt;"&amp;$A173,実績!$AE$6:$AE$505,"○")&gt;0,1,0))</f>
        <v/>
      </c>
      <c r="CU173">
        <f>IF(CU$4=0,0,IF(COUNTIFS(実績!$W$6:$W$505,CU$3,実績!$AC$6:$AC$505,"&lt;="&amp;$A173,実績!$AD$6:$AD$505,"&gt;"&amp;$A173,実績!$AE$6:$AE$505,"○")&gt;0,1,0))</f>
        <v/>
      </c>
      <c r="CV173">
        <f>IF(CV$4=0,0,IF(COUNTIFS(実績!$W$6:$W$505,CV$3,実績!$AC$6:$AC$505,"&lt;="&amp;$A173,実績!$AD$6:$AD$505,"&gt;"&amp;$A173,実績!$AE$6:$AE$505,"○")&gt;0,1,0))</f>
        <v/>
      </c>
      <c r="CW173">
        <f>IF(CW$4=0,0,IF(COUNTIFS(実績!$W$6:$W$505,CW$3,実績!$AC$6:$AC$505,"&lt;="&amp;$A173,実績!$AD$6:$AD$505,"&gt;"&amp;$A173,実績!$AE$6:$AE$505,"○")&gt;0,1,0))</f>
        <v/>
      </c>
      <c r="CX173">
        <f>IF(CX$4=0,0,IF(COUNTIFS(実績!$W$6:$W$505,CX$3,実績!$AC$6:$AC$505,"&lt;="&amp;$A173,実績!$AD$6:$AD$505,"&gt;"&amp;$A173,実績!$AE$6:$AE$505,"○")&gt;0,1,0))</f>
        <v/>
      </c>
      <c r="CY173">
        <f>IF(CY$4=0,0,IF(COUNTIFS(実績!$W$6:$W$505,CY$3,実績!$AC$6:$AC$505,"&lt;="&amp;$A173,実績!$AD$6:$AD$505,"&gt;"&amp;$A173,実績!$AE$6:$AE$505,"○")&gt;0,1,0))</f>
        <v/>
      </c>
      <c r="CZ173">
        <f>IF(CZ$4=0,0,IF(COUNTIFS(実績!$W$6:$W$505,CZ$3,実績!$AC$6:$AC$505,"&lt;="&amp;$A173,実績!$AD$6:$AD$505,"&gt;"&amp;$A173,実績!$AE$6:$AE$505,"○")&gt;0,1,0))</f>
        <v/>
      </c>
      <c r="DA173">
        <f>IF(DA$4=0,0,IF(COUNTIFS(実績!$W$6:$W$505,DA$3,実績!$AC$6:$AC$505,"&lt;="&amp;$A173,実績!$AD$6:$AD$505,"&gt;"&amp;$A173,実績!$AE$6:$AE$505,"○")&gt;0,1,0))</f>
        <v/>
      </c>
      <c r="DB173">
        <f>IF(DB$4=0,0,IF(COUNTIFS(実績!$W$6:$W$505,DB$3,実績!$AC$6:$AC$505,"&lt;="&amp;$A173,実績!$AD$6:$AD$505,"&gt;"&amp;$A173,実績!$AE$6:$AE$505,"○")&gt;0,1,0))</f>
        <v/>
      </c>
      <c r="DC173">
        <f>IF(DC$4=0,0,IF(COUNTIFS(実績!$W$6:$W$505,DC$3,実績!$AC$6:$AC$505,"&lt;="&amp;$A173,実績!$AD$6:$AD$505,"&gt;"&amp;$A173,実績!$AE$6:$AE$505,"○")&gt;0,1,0))</f>
        <v/>
      </c>
      <c r="DD173">
        <f>IF(DD$4=0,0,IF(COUNTIFS(実績!$W$6:$W$505,DD$3,実績!$AC$6:$AC$505,"&lt;="&amp;$A173,実績!$AD$6:$AD$505,"&gt;"&amp;$A173,実績!$AE$6:$AE$505,"○")&gt;0,1,0))</f>
        <v/>
      </c>
      <c r="DE173">
        <f>IF(DE$4=0,0,IF(COUNTIFS(実績!$W$6:$W$505,DE$3,実績!$AC$6:$AC$505,"&lt;="&amp;$A173,実績!$AD$6:$AD$505,"&gt;"&amp;$A173,実績!$AE$6:$AE$505,"○")&gt;0,1,0))</f>
        <v/>
      </c>
      <c r="DF173">
        <f>IF(DF$4=0,0,IF(COUNTIFS(実績!$W$6:$W$505,DF$3,実績!$AC$6:$AC$505,"&lt;="&amp;$A173,実績!$AD$6:$AD$505,"&gt;"&amp;$A173,実績!$AE$6:$AE$505,"○")&gt;0,1,0))</f>
        <v/>
      </c>
      <c r="DG173">
        <f>IF(DG$4=0,0,IF(COUNTIFS(実績!$W$6:$W$505,DG$3,実績!$AC$6:$AC$505,"&lt;="&amp;$A173,実績!$AD$6:$AD$505,"&gt;"&amp;$A173,実績!$AE$6:$AE$505,"○")&gt;0,1,0))</f>
        <v/>
      </c>
      <c r="DH173">
        <f>IF(DH$4=0,0,IF(COUNTIFS(実績!$W$6:$W$505,DH$3,実績!$AC$6:$AC$505,"&lt;="&amp;$A173,実績!$AD$6:$AD$505,"&gt;"&amp;$A173,実績!$AE$6:$AE$505,"○")&gt;0,1,0))</f>
        <v/>
      </c>
      <c r="DI173">
        <f>IF(DI$4=0,0,IF(COUNTIFS(実績!$W$6:$W$505,DI$3,実績!$AC$6:$AC$505,"&lt;="&amp;$A173,実績!$AD$6:$AD$505,"&gt;"&amp;$A173,実績!$AE$6:$AE$505,"○")&gt;0,1,0))</f>
        <v/>
      </c>
      <c r="DJ173">
        <f>IF(DJ$4=0,0,IF(COUNTIFS(実績!$W$6:$W$505,DJ$3,実績!$AC$6:$AC$505,"&lt;="&amp;$A173,実績!$AD$6:$AD$505,"&gt;"&amp;$A173,実績!$AE$6:$AE$505,"○")&gt;0,1,0))</f>
        <v/>
      </c>
      <c r="DK173">
        <f>IF(DK$4=0,0,IF(COUNTIFS(実績!$W$6:$W$505,DK$3,実績!$AC$6:$AC$505,"&lt;="&amp;$A173,実績!$AD$6:$AD$505,"&gt;"&amp;$A173,実績!$AE$6:$AE$505,"○")&gt;0,1,0))</f>
        <v/>
      </c>
      <c r="DL173">
        <f>IF(DL$4=0,0,IF(COUNTIFS(実績!$W$6:$W$505,DL$3,実績!$AC$6:$AC$505,"&lt;="&amp;$A173,実績!$AD$6:$AD$505,"&gt;"&amp;$A173,実績!$AE$6:$AE$505,"○")&gt;0,1,0))</f>
        <v/>
      </c>
      <c r="DM173">
        <f>IF(DM$4=0,0,IF(COUNTIFS(実績!$W$6:$W$505,DM$3,実績!$AC$6:$AC$505,"&lt;="&amp;$A173,実績!$AD$6:$AD$505,"&gt;"&amp;$A173,実績!$AE$6:$AE$505,"○")&gt;0,1,0))</f>
        <v/>
      </c>
      <c r="DN173">
        <f>IF(DN$4=0,0,IF(COUNTIFS(実績!$W$6:$W$505,DN$3,実績!$AC$6:$AC$505,"&lt;="&amp;$A173,実績!$AD$6:$AD$505,"&gt;"&amp;$A173,実績!$AE$6:$AE$505,"○")&gt;0,1,0))</f>
        <v/>
      </c>
      <c r="DO173">
        <f>IF(DO$4=0,0,IF(COUNTIFS(実績!$W$6:$W$505,DO$3,実績!$AC$6:$AC$505,"&lt;="&amp;$A173,実績!$AD$6:$AD$505,"&gt;"&amp;$A173,実績!$AE$6:$AE$505,"○")&gt;0,1,0))</f>
        <v/>
      </c>
      <c r="DP173">
        <f>IF(DP$4=0,0,IF(COUNTIFS(実績!$W$6:$W$505,DP$3,実績!$AC$6:$AC$505,"&lt;="&amp;$A173,実績!$AD$6:$AD$505,"&gt;"&amp;$A173,実績!$AE$6:$AE$505,"○")&gt;0,1,0))</f>
        <v/>
      </c>
      <c r="DQ173">
        <f>IF(DQ$4=0,0,IF(COUNTIFS(実績!$W$6:$W$505,DQ$3,実績!$AC$6:$AC$505,"&lt;="&amp;$A173,実績!$AD$6:$AD$505,"&gt;"&amp;$A173,実績!$AE$6:$AE$505,"○")&gt;0,1,0))</f>
        <v/>
      </c>
      <c r="DR173">
        <f>IF(DR$4=0,0,IF(COUNTIFS(実績!$W$6:$W$505,DR$3,実績!$AC$6:$AC$505,"&lt;="&amp;$A173,実績!$AD$6:$AD$505,"&gt;"&amp;$A173,実績!$AE$6:$AE$505,"○")&gt;0,1,0))</f>
        <v/>
      </c>
      <c r="DS173">
        <f>SUM(C173:DR173)</f>
        <v/>
      </c>
      <c r="DT173">
        <f>SUMPRODUCT((実績!$C$6:$C$505="○")*ISNUMBER(実績!$AF$6:$AF$505)*(実績!$AF$6:$AF$505&lt;=$A173)*(実績!$AG$6:$AG$505&gt;$A173))</f>
        <v/>
      </c>
      <c r="DU173">
        <f>SUMIF($C$2:$DR$2,"製鉄曳船",C173:DR173)</f>
        <v/>
      </c>
      <c r="DV173">
        <f>SUMIF($C$2:$DR$2,"西日本海運",C173:DR173)</f>
        <v/>
      </c>
    </row>
    <row r="174">
      <c r="A174" t="n">
        <v>840</v>
      </c>
      <c r="B174" s="29">
        <f>A174/1440</f>
        <v/>
      </c>
      <c r="C174">
        <f>IF(C$4=0,0,IF(COUNTIFS(実績!$W$6:$W$505,C$3,実績!$AC$6:$AC$505,"&lt;="&amp;$A174,実績!$AD$6:$AD$505,"&gt;"&amp;$A174,実績!$AE$6:$AE$505,"○")&gt;0,1,0))</f>
        <v/>
      </c>
      <c r="D174">
        <f>IF(D$4=0,0,IF(COUNTIFS(実績!$W$6:$W$505,D$3,実績!$AC$6:$AC$505,"&lt;="&amp;$A174,実績!$AD$6:$AD$505,"&gt;"&amp;$A174,実績!$AE$6:$AE$505,"○")&gt;0,1,0))</f>
        <v/>
      </c>
      <c r="E174">
        <f>IF(E$4=0,0,IF(COUNTIFS(実績!$W$6:$W$505,E$3,実績!$AC$6:$AC$505,"&lt;="&amp;$A174,実績!$AD$6:$AD$505,"&gt;"&amp;$A174,実績!$AE$6:$AE$505,"○")&gt;0,1,0))</f>
        <v/>
      </c>
      <c r="F174">
        <f>IF(F$4=0,0,IF(COUNTIFS(実績!$W$6:$W$505,F$3,実績!$AC$6:$AC$505,"&lt;="&amp;$A174,実績!$AD$6:$AD$505,"&gt;"&amp;$A174,実績!$AE$6:$AE$505,"○")&gt;0,1,0))</f>
        <v/>
      </c>
      <c r="G174">
        <f>IF(G$4=0,0,IF(COUNTIFS(実績!$W$6:$W$505,G$3,実績!$AC$6:$AC$505,"&lt;="&amp;$A174,実績!$AD$6:$AD$505,"&gt;"&amp;$A174,実績!$AE$6:$AE$505,"○")&gt;0,1,0))</f>
        <v/>
      </c>
      <c r="H174">
        <f>IF(H$4=0,0,IF(COUNTIFS(実績!$W$6:$W$505,H$3,実績!$AC$6:$AC$505,"&lt;="&amp;$A174,実績!$AD$6:$AD$505,"&gt;"&amp;$A174,実績!$AE$6:$AE$505,"○")&gt;0,1,0))</f>
        <v/>
      </c>
      <c r="I174">
        <f>IF(I$4=0,0,IF(COUNTIFS(実績!$W$6:$W$505,I$3,実績!$AC$6:$AC$505,"&lt;="&amp;$A174,実績!$AD$6:$AD$505,"&gt;"&amp;$A174,実績!$AE$6:$AE$505,"○")&gt;0,1,0))</f>
        <v/>
      </c>
      <c r="J174">
        <f>IF(J$4=0,0,IF(COUNTIFS(実績!$W$6:$W$505,J$3,実績!$AC$6:$AC$505,"&lt;="&amp;$A174,実績!$AD$6:$AD$505,"&gt;"&amp;$A174,実績!$AE$6:$AE$505,"○")&gt;0,1,0))</f>
        <v/>
      </c>
      <c r="K174">
        <f>IF(K$4=0,0,IF(COUNTIFS(実績!$W$6:$W$505,K$3,実績!$AC$6:$AC$505,"&lt;="&amp;$A174,実績!$AD$6:$AD$505,"&gt;"&amp;$A174,実績!$AE$6:$AE$505,"○")&gt;0,1,0))</f>
        <v/>
      </c>
      <c r="L174">
        <f>IF(L$4=0,0,IF(COUNTIFS(実績!$W$6:$W$505,L$3,実績!$AC$6:$AC$505,"&lt;="&amp;$A174,実績!$AD$6:$AD$505,"&gt;"&amp;$A174,実績!$AE$6:$AE$505,"○")&gt;0,1,0))</f>
        <v/>
      </c>
      <c r="M174">
        <f>IF(M$4=0,0,IF(COUNTIFS(実績!$W$6:$W$505,M$3,実績!$AC$6:$AC$505,"&lt;="&amp;$A174,実績!$AD$6:$AD$505,"&gt;"&amp;$A174,実績!$AE$6:$AE$505,"○")&gt;0,1,0))</f>
        <v/>
      </c>
      <c r="N174">
        <f>IF(N$4=0,0,IF(COUNTIFS(実績!$W$6:$W$505,N$3,実績!$AC$6:$AC$505,"&lt;="&amp;$A174,実績!$AD$6:$AD$505,"&gt;"&amp;$A174,実績!$AE$6:$AE$505,"○")&gt;0,1,0))</f>
        <v/>
      </c>
      <c r="O174">
        <f>IF(O$4=0,0,IF(COUNTIFS(実績!$W$6:$W$505,O$3,実績!$AC$6:$AC$505,"&lt;="&amp;$A174,実績!$AD$6:$AD$505,"&gt;"&amp;$A174,実績!$AE$6:$AE$505,"○")&gt;0,1,0))</f>
        <v/>
      </c>
      <c r="P174">
        <f>IF(P$4=0,0,IF(COUNTIFS(実績!$W$6:$W$505,P$3,実績!$AC$6:$AC$505,"&lt;="&amp;$A174,実績!$AD$6:$AD$505,"&gt;"&amp;$A174,実績!$AE$6:$AE$505,"○")&gt;0,1,0))</f>
        <v/>
      </c>
      <c r="Q174">
        <f>IF(Q$4=0,0,IF(COUNTIFS(実績!$W$6:$W$505,Q$3,実績!$AC$6:$AC$505,"&lt;="&amp;$A174,実績!$AD$6:$AD$505,"&gt;"&amp;$A174,実績!$AE$6:$AE$505,"○")&gt;0,1,0))</f>
        <v/>
      </c>
      <c r="R174">
        <f>IF(R$4=0,0,IF(COUNTIFS(実績!$W$6:$W$505,R$3,実績!$AC$6:$AC$505,"&lt;="&amp;$A174,実績!$AD$6:$AD$505,"&gt;"&amp;$A174,実績!$AE$6:$AE$505,"○")&gt;0,1,0))</f>
        <v/>
      </c>
      <c r="S174">
        <f>IF(S$4=0,0,IF(COUNTIFS(実績!$W$6:$W$505,S$3,実績!$AC$6:$AC$505,"&lt;="&amp;$A174,実績!$AD$6:$AD$505,"&gt;"&amp;$A174,実績!$AE$6:$AE$505,"○")&gt;0,1,0))</f>
        <v/>
      </c>
      <c r="T174">
        <f>IF(T$4=0,0,IF(COUNTIFS(実績!$W$6:$W$505,T$3,実績!$AC$6:$AC$505,"&lt;="&amp;$A174,実績!$AD$6:$AD$505,"&gt;"&amp;$A174,実績!$AE$6:$AE$505,"○")&gt;0,1,0))</f>
        <v/>
      </c>
      <c r="U174">
        <f>IF(U$4=0,0,IF(COUNTIFS(実績!$W$6:$W$505,U$3,実績!$AC$6:$AC$505,"&lt;="&amp;$A174,実績!$AD$6:$AD$505,"&gt;"&amp;$A174,実績!$AE$6:$AE$505,"○")&gt;0,1,0))</f>
        <v/>
      </c>
      <c r="V174">
        <f>IF(V$4=0,0,IF(COUNTIFS(実績!$W$6:$W$505,V$3,実績!$AC$6:$AC$505,"&lt;="&amp;$A174,実績!$AD$6:$AD$505,"&gt;"&amp;$A174,実績!$AE$6:$AE$505,"○")&gt;0,1,0))</f>
        <v/>
      </c>
      <c r="W174">
        <f>IF(W$4=0,0,IF(COUNTIFS(実績!$W$6:$W$505,W$3,実績!$AC$6:$AC$505,"&lt;="&amp;$A174,実績!$AD$6:$AD$505,"&gt;"&amp;$A174,実績!$AE$6:$AE$505,"○")&gt;0,1,0))</f>
        <v/>
      </c>
      <c r="X174">
        <f>IF(X$4=0,0,IF(COUNTIFS(実績!$W$6:$W$505,X$3,実績!$AC$6:$AC$505,"&lt;="&amp;$A174,実績!$AD$6:$AD$505,"&gt;"&amp;$A174,実績!$AE$6:$AE$505,"○")&gt;0,1,0))</f>
        <v/>
      </c>
      <c r="Y174">
        <f>IF(Y$4=0,0,IF(COUNTIFS(実績!$W$6:$W$505,Y$3,実績!$AC$6:$AC$505,"&lt;="&amp;$A174,実績!$AD$6:$AD$505,"&gt;"&amp;$A174,実績!$AE$6:$AE$505,"○")&gt;0,1,0))</f>
        <v/>
      </c>
      <c r="Z174">
        <f>IF(Z$4=0,0,IF(COUNTIFS(実績!$W$6:$W$505,Z$3,実績!$AC$6:$AC$505,"&lt;="&amp;$A174,実績!$AD$6:$AD$505,"&gt;"&amp;$A174,実績!$AE$6:$AE$505,"○")&gt;0,1,0))</f>
        <v/>
      </c>
      <c r="AA174">
        <f>IF(AA$4=0,0,IF(COUNTIFS(実績!$W$6:$W$505,AA$3,実績!$AC$6:$AC$505,"&lt;="&amp;$A174,実績!$AD$6:$AD$505,"&gt;"&amp;$A174,実績!$AE$6:$AE$505,"○")&gt;0,1,0))</f>
        <v/>
      </c>
      <c r="AB174">
        <f>IF(AB$4=0,0,IF(COUNTIFS(実績!$W$6:$W$505,AB$3,実績!$AC$6:$AC$505,"&lt;="&amp;$A174,実績!$AD$6:$AD$505,"&gt;"&amp;$A174,実績!$AE$6:$AE$505,"○")&gt;0,1,0))</f>
        <v/>
      </c>
      <c r="AC174">
        <f>IF(AC$4=0,0,IF(COUNTIFS(実績!$W$6:$W$505,AC$3,実績!$AC$6:$AC$505,"&lt;="&amp;$A174,実績!$AD$6:$AD$505,"&gt;"&amp;$A174,実績!$AE$6:$AE$505,"○")&gt;0,1,0))</f>
        <v/>
      </c>
      <c r="AD174">
        <f>IF(AD$4=0,0,IF(COUNTIFS(実績!$W$6:$W$505,AD$3,実績!$AC$6:$AC$505,"&lt;="&amp;$A174,実績!$AD$6:$AD$505,"&gt;"&amp;$A174,実績!$AE$6:$AE$505,"○")&gt;0,1,0))</f>
        <v/>
      </c>
      <c r="AE174">
        <f>IF(AE$4=0,0,IF(COUNTIFS(実績!$W$6:$W$505,AE$3,実績!$AC$6:$AC$505,"&lt;="&amp;$A174,実績!$AD$6:$AD$505,"&gt;"&amp;$A174,実績!$AE$6:$AE$505,"○")&gt;0,1,0))</f>
        <v/>
      </c>
      <c r="AF174">
        <f>IF(AF$4=0,0,IF(COUNTIFS(実績!$W$6:$W$505,AF$3,実績!$AC$6:$AC$505,"&lt;="&amp;$A174,実績!$AD$6:$AD$505,"&gt;"&amp;$A174,実績!$AE$6:$AE$505,"○")&gt;0,1,0))</f>
        <v/>
      </c>
      <c r="AG174">
        <f>IF(AG$4=0,0,IF(COUNTIFS(実績!$W$6:$W$505,AG$3,実績!$AC$6:$AC$505,"&lt;="&amp;$A174,実績!$AD$6:$AD$505,"&gt;"&amp;$A174,実績!$AE$6:$AE$505,"○")&gt;0,1,0))</f>
        <v/>
      </c>
      <c r="AH174">
        <f>IF(AH$4=0,0,IF(COUNTIFS(実績!$W$6:$W$505,AH$3,実績!$AC$6:$AC$505,"&lt;="&amp;$A174,実績!$AD$6:$AD$505,"&gt;"&amp;$A174,実績!$AE$6:$AE$505,"○")&gt;0,1,0))</f>
        <v/>
      </c>
      <c r="AI174">
        <f>IF(AI$4=0,0,IF(COUNTIFS(実績!$W$6:$W$505,AI$3,実績!$AC$6:$AC$505,"&lt;="&amp;$A174,実績!$AD$6:$AD$505,"&gt;"&amp;$A174,実績!$AE$6:$AE$505,"○")&gt;0,1,0))</f>
        <v/>
      </c>
      <c r="AJ174">
        <f>IF(AJ$4=0,0,IF(COUNTIFS(実績!$W$6:$W$505,AJ$3,実績!$AC$6:$AC$505,"&lt;="&amp;$A174,実績!$AD$6:$AD$505,"&gt;"&amp;$A174,実績!$AE$6:$AE$505,"○")&gt;0,1,0))</f>
        <v/>
      </c>
      <c r="AK174">
        <f>IF(AK$4=0,0,IF(COUNTIFS(実績!$W$6:$W$505,AK$3,実績!$AC$6:$AC$505,"&lt;="&amp;$A174,実績!$AD$6:$AD$505,"&gt;"&amp;$A174,実績!$AE$6:$AE$505,"○")&gt;0,1,0))</f>
        <v/>
      </c>
      <c r="AL174">
        <f>IF(AL$4=0,0,IF(COUNTIFS(実績!$W$6:$W$505,AL$3,実績!$AC$6:$AC$505,"&lt;="&amp;$A174,実績!$AD$6:$AD$505,"&gt;"&amp;$A174,実績!$AE$6:$AE$505,"○")&gt;0,1,0))</f>
        <v/>
      </c>
      <c r="AM174">
        <f>IF(AM$4=0,0,IF(COUNTIFS(実績!$W$6:$W$505,AM$3,実績!$AC$6:$AC$505,"&lt;="&amp;$A174,実績!$AD$6:$AD$505,"&gt;"&amp;$A174,実績!$AE$6:$AE$505,"○")&gt;0,1,0))</f>
        <v/>
      </c>
      <c r="AN174">
        <f>IF(AN$4=0,0,IF(COUNTIFS(実績!$W$6:$W$505,AN$3,実績!$AC$6:$AC$505,"&lt;="&amp;$A174,実績!$AD$6:$AD$505,"&gt;"&amp;$A174,実績!$AE$6:$AE$505,"○")&gt;0,1,0))</f>
        <v/>
      </c>
      <c r="AO174">
        <f>IF(AO$4=0,0,IF(COUNTIFS(実績!$W$6:$W$505,AO$3,実績!$AC$6:$AC$505,"&lt;="&amp;$A174,実績!$AD$6:$AD$505,"&gt;"&amp;$A174,実績!$AE$6:$AE$505,"○")&gt;0,1,0))</f>
        <v/>
      </c>
      <c r="AP174">
        <f>IF(AP$4=0,0,IF(COUNTIFS(実績!$W$6:$W$505,AP$3,実績!$AC$6:$AC$505,"&lt;="&amp;$A174,実績!$AD$6:$AD$505,"&gt;"&amp;$A174,実績!$AE$6:$AE$505,"○")&gt;0,1,0))</f>
        <v/>
      </c>
      <c r="AQ174">
        <f>IF(AQ$4=0,0,IF(COUNTIFS(実績!$W$6:$W$505,AQ$3,実績!$AC$6:$AC$505,"&lt;="&amp;$A174,実績!$AD$6:$AD$505,"&gt;"&amp;$A174,実績!$AE$6:$AE$505,"○")&gt;0,1,0))</f>
        <v/>
      </c>
      <c r="AR174">
        <f>IF(AR$4=0,0,IF(COUNTIFS(実績!$W$6:$W$505,AR$3,実績!$AC$6:$AC$505,"&lt;="&amp;$A174,実績!$AD$6:$AD$505,"&gt;"&amp;$A174,実績!$AE$6:$AE$505,"○")&gt;0,1,0))</f>
        <v/>
      </c>
      <c r="AS174">
        <f>IF(AS$4=0,0,IF(COUNTIFS(実績!$W$6:$W$505,AS$3,実績!$AC$6:$AC$505,"&lt;="&amp;$A174,実績!$AD$6:$AD$505,"&gt;"&amp;$A174,実績!$AE$6:$AE$505,"○")&gt;0,1,0))</f>
        <v/>
      </c>
      <c r="AT174">
        <f>IF(AT$4=0,0,IF(COUNTIFS(実績!$W$6:$W$505,AT$3,実績!$AC$6:$AC$505,"&lt;="&amp;$A174,実績!$AD$6:$AD$505,"&gt;"&amp;$A174,実績!$AE$6:$AE$505,"○")&gt;0,1,0))</f>
        <v/>
      </c>
      <c r="AU174">
        <f>IF(AU$4=0,0,IF(COUNTIFS(実績!$W$6:$W$505,AU$3,実績!$AC$6:$AC$505,"&lt;="&amp;$A174,実績!$AD$6:$AD$505,"&gt;"&amp;$A174,実績!$AE$6:$AE$505,"○")&gt;0,1,0))</f>
        <v/>
      </c>
      <c r="AV174">
        <f>IF(AV$4=0,0,IF(COUNTIFS(実績!$W$6:$W$505,AV$3,実績!$AC$6:$AC$505,"&lt;="&amp;$A174,実績!$AD$6:$AD$505,"&gt;"&amp;$A174,実績!$AE$6:$AE$505,"○")&gt;0,1,0))</f>
        <v/>
      </c>
      <c r="AW174">
        <f>IF(AW$4=0,0,IF(COUNTIFS(実績!$W$6:$W$505,AW$3,実績!$AC$6:$AC$505,"&lt;="&amp;$A174,実績!$AD$6:$AD$505,"&gt;"&amp;$A174,実績!$AE$6:$AE$505,"○")&gt;0,1,0))</f>
        <v/>
      </c>
      <c r="AX174">
        <f>IF(AX$4=0,0,IF(COUNTIFS(実績!$W$6:$W$505,AX$3,実績!$AC$6:$AC$505,"&lt;="&amp;$A174,実績!$AD$6:$AD$505,"&gt;"&amp;$A174,実績!$AE$6:$AE$505,"○")&gt;0,1,0))</f>
        <v/>
      </c>
      <c r="AY174">
        <f>IF(AY$4=0,0,IF(COUNTIFS(実績!$W$6:$W$505,AY$3,実績!$AC$6:$AC$505,"&lt;="&amp;$A174,実績!$AD$6:$AD$505,"&gt;"&amp;$A174,実績!$AE$6:$AE$505,"○")&gt;0,1,0))</f>
        <v/>
      </c>
      <c r="AZ174">
        <f>IF(AZ$4=0,0,IF(COUNTIFS(実績!$W$6:$W$505,AZ$3,実績!$AC$6:$AC$505,"&lt;="&amp;$A174,実績!$AD$6:$AD$505,"&gt;"&amp;$A174,実績!$AE$6:$AE$505,"○")&gt;0,1,0))</f>
        <v/>
      </c>
      <c r="BA174">
        <f>IF(BA$4=0,0,IF(COUNTIFS(実績!$W$6:$W$505,BA$3,実績!$AC$6:$AC$505,"&lt;="&amp;$A174,実績!$AD$6:$AD$505,"&gt;"&amp;$A174,実績!$AE$6:$AE$505,"○")&gt;0,1,0))</f>
        <v/>
      </c>
      <c r="BB174">
        <f>IF(BB$4=0,0,IF(COUNTIFS(実績!$W$6:$W$505,BB$3,実績!$AC$6:$AC$505,"&lt;="&amp;$A174,実績!$AD$6:$AD$505,"&gt;"&amp;$A174,実績!$AE$6:$AE$505,"○")&gt;0,1,0))</f>
        <v/>
      </c>
      <c r="BC174">
        <f>IF(BC$4=0,0,IF(COUNTIFS(実績!$W$6:$W$505,BC$3,実績!$AC$6:$AC$505,"&lt;="&amp;$A174,実績!$AD$6:$AD$505,"&gt;"&amp;$A174,実績!$AE$6:$AE$505,"○")&gt;0,1,0))</f>
        <v/>
      </c>
      <c r="BD174">
        <f>IF(BD$4=0,0,IF(COUNTIFS(実績!$W$6:$W$505,BD$3,実績!$AC$6:$AC$505,"&lt;="&amp;$A174,実績!$AD$6:$AD$505,"&gt;"&amp;$A174,実績!$AE$6:$AE$505,"○")&gt;0,1,0))</f>
        <v/>
      </c>
      <c r="BE174">
        <f>IF(BE$4=0,0,IF(COUNTIFS(実績!$W$6:$W$505,BE$3,実績!$AC$6:$AC$505,"&lt;="&amp;$A174,実績!$AD$6:$AD$505,"&gt;"&amp;$A174,実績!$AE$6:$AE$505,"○")&gt;0,1,0))</f>
        <v/>
      </c>
      <c r="BF174">
        <f>IF(BF$4=0,0,IF(COUNTIFS(実績!$W$6:$W$505,BF$3,実績!$AC$6:$AC$505,"&lt;="&amp;$A174,実績!$AD$6:$AD$505,"&gt;"&amp;$A174,実績!$AE$6:$AE$505,"○")&gt;0,1,0))</f>
        <v/>
      </c>
      <c r="BG174">
        <f>IF(BG$4=0,0,IF(COUNTIFS(実績!$W$6:$W$505,BG$3,実績!$AC$6:$AC$505,"&lt;="&amp;$A174,実績!$AD$6:$AD$505,"&gt;"&amp;$A174,実績!$AE$6:$AE$505,"○")&gt;0,1,0))</f>
        <v/>
      </c>
      <c r="BH174">
        <f>IF(BH$4=0,0,IF(COUNTIFS(実績!$W$6:$W$505,BH$3,実績!$AC$6:$AC$505,"&lt;="&amp;$A174,実績!$AD$6:$AD$505,"&gt;"&amp;$A174,実績!$AE$6:$AE$505,"○")&gt;0,1,0))</f>
        <v/>
      </c>
      <c r="BI174">
        <f>IF(BI$4=0,0,IF(COUNTIFS(実績!$W$6:$W$505,BI$3,実績!$AC$6:$AC$505,"&lt;="&amp;$A174,実績!$AD$6:$AD$505,"&gt;"&amp;$A174,実績!$AE$6:$AE$505,"○")&gt;0,1,0))</f>
        <v/>
      </c>
      <c r="BJ174">
        <f>IF(BJ$4=0,0,IF(COUNTIFS(実績!$W$6:$W$505,BJ$3,実績!$AC$6:$AC$505,"&lt;="&amp;$A174,実績!$AD$6:$AD$505,"&gt;"&amp;$A174,実績!$AE$6:$AE$505,"○")&gt;0,1,0))</f>
        <v/>
      </c>
      <c r="BK174">
        <f>IF(BK$4=0,0,IF(COUNTIFS(実績!$W$6:$W$505,BK$3,実績!$AC$6:$AC$505,"&lt;="&amp;$A174,実績!$AD$6:$AD$505,"&gt;"&amp;$A174,実績!$AE$6:$AE$505,"○")&gt;0,1,0))</f>
        <v/>
      </c>
      <c r="BL174">
        <f>IF(BL$4=0,0,IF(COUNTIFS(実績!$W$6:$W$505,BL$3,実績!$AC$6:$AC$505,"&lt;="&amp;$A174,実績!$AD$6:$AD$505,"&gt;"&amp;$A174,実績!$AE$6:$AE$505,"○")&gt;0,1,0))</f>
        <v/>
      </c>
      <c r="BM174">
        <f>IF(BM$4=0,0,IF(COUNTIFS(実績!$W$6:$W$505,BM$3,実績!$AC$6:$AC$505,"&lt;="&amp;$A174,実績!$AD$6:$AD$505,"&gt;"&amp;$A174,実績!$AE$6:$AE$505,"○")&gt;0,1,0))</f>
        <v/>
      </c>
      <c r="BN174">
        <f>IF(BN$4=0,0,IF(COUNTIFS(実績!$W$6:$W$505,BN$3,実績!$AC$6:$AC$505,"&lt;="&amp;$A174,実績!$AD$6:$AD$505,"&gt;"&amp;$A174,実績!$AE$6:$AE$505,"○")&gt;0,1,0))</f>
        <v/>
      </c>
      <c r="BO174">
        <f>IF(BO$4=0,0,IF(COUNTIFS(実績!$W$6:$W$505,BO$3,実績!$AC$6:$AC$505,"&lt;="&amp;$A174,実績!$AD$6:$AD$505,"&gt;"&amp;$A174,実績!$AE$6:$AE$505,"○")&gt;0,1,0))</f>
        <v/>
      </c>
      <c r="BP174">
        <f>IF(BP$4=0,0,IF(COUNTIFS(実績!$W$6:$W$505,BP$3,実績!$AC$6:$AC$505,"&lt;="&amp;$A174,実績!$AD$6:$AD$505,"&gt;"&amp;$A174,実績!$AE$6:$AE$505,"○")&gt;0,1,0))</f>
        <v/>
      </c>
      <c r="BQ174">
        <f>IF(BQ$4=0,0,IF(COUNTIFS(実績!$W$6:$W$505,BQ$3,実績!$AC$6:$AC$505,"&lt;="&amp;$A174,実績!$AD$6:$AD$505,"&gt;"&amp;$A174,実績!$AE$6:$AE$505,"○")&gt;0,1,0))</f>
        <v/>
      </c>
      <c r="BR174">
        <f>IF(BR$4=0,0,IF(COUNTIFS(実績!$W$6:$W$505,BR$3,実績!$AC$6:$AC$505,"&lt;="&amp;$A174,実績!$AD$6:$AD$505,"&gt;"&amp;$A174,実績!$AE$6:$AE$505,"○")&gt;0,1,0))</f>
        <v/>
      </c>
      <c r="BS174">
        <f>IF(BS$4=0,0,IF(COUNTIFS(実績!$W$6:$W$505,BS$3,実績!$AC$6:$AC$505,"&lt;="&amp;$A174,実績!$AD$6:$AD$505,"&gt;"&amp;$A174,実績!$AE$6:$AE$505,"○")&gt;0,1,0))</f>
        <v/>
      </c>
      <c r="BT174">
        <f>IF(BT$4=0,0,IF(COUNTIFS(実績!$W$6:$W$505,BT$3,実績!$AC$6:$AC$505,"&lt;="&amp;$A174,実績!$AD$6:$AD$505,"&gt;"&amp;$A174,実績!$AE$6:$AE$505,"○")&gt;0,1,0))</f>
        <v/>
      </c>
      <c r="BU174">
        <f>IF(BU$4=0,0,IF(COUNTIFS(実績!$W$6:$W$505,BU$3,実績!$AC$6:$AC$505,"&lt;="&amp;$A174,実績!$AD$6:$AD$505,"&gt;"&amp;$A174,実績!$AE$6:$AE$505,"○")&gt;0,1,0))</f>
        <v/>
      </c>
      <c r="BV174">
        <f>IF(BV$4=0,0,IF(COUNTIFS(実績!$W$6:$W$505,BV$3,実績!$AC$6:$AC$505,"&lt;="&amp;$A174,実績!$AD$6:$AD$505,"&gt;"&amp;$A174,実績!$AE$6:$AE$505,"○")&gt;0,1,0))</f>
        <v/>
      </c>
      <c r="BW174">
        <f>IF(BW$4=0,0,IF(COUNTIFS(実績!$W$6:$W$505,BW$3,実績!$AC$6:$AC$505,"&lt;="&amp;$A174,実績!$AD$6:$AD$505,"&gt;"&amp;$A174,実績!$AE$6:$AE$505,"○")&gt;0,1,0))</f>
        <v/>
      </c>
      <c r="BX174">
        <f>IF(BX$4=0,0,IF(COUNTIFS(実績!$W$6:$W$505,BX$3,実績!$AC$6:$AC$505,"&lt;="&amp;$A174,実績!$AD$6:$AD$505,"&gt;"&amp;$A174,実績!$AE$6:$AE$505,"○")&gt;0,1,0))</f>
        <v/>
      </c>
      <c r="BY174">
        <f>IF(BY$4=0,0,IF(COUNTIFS(実績!$W$6:$W$505,BY$3,実績!$AC$6:$AC$505,"&lt;="&amp;$A174,実績!$AD$6:$AD$505,"&gt;"&amp;$A174,実績!$AE$6:$AE$505,"○")&gt;0,1,0))</f>
        <v/>
      </c>
      <c r="BZ174">
        <f>IF(BZ$4=0,0,IF(COUNTIFS(実績!$W$6:$W$505,BZ$3,実績!$AC$6:$AC$505,"&lt;="&amp;$A174,実績!$AD$6:$AD$505,"&gt;"&amp;$A174,実績!$AE$6:$AE$505,"○")&gt;0,1,0))</f>
        <v/>
      </c>
      <c r="CA174">
        <f>IF(CA$4=0,0,IF(COUNTIFS(実績!$W$6:$W$505,CA$3,実績!$AC$6:$AC$505,"&lt;="&amp;$A174,実績!$AD$6:$AD$505,"&gt;"&amp;$A174,実績!$AE$6:$AE$505,"○")&gt;0,1,0))</f>
        <v/>
      </c>
      <c r="CB174">
        <f>IF(CB$4=0,0,IF(COUNTIFS(実績!$W$6:$W$505,CB$3,実績!$AC$6:$AC$505,"&lt;="&amp;$A174,実績!$AD$6:$AD$505,"&gt;"&amp;$A174,実績!$AE$6:$AE$505,"○")&gt;0,1,0))</f>
        <v/>
      </c>
      <c r="CC174">
        <f>IF(CC$4=0,0,IF(COUNTIFS(実績!$W$6:$W$505,CC$3,実績!$AC$6:$AC$505,"&lt;="&amp;$A174,実績!$AD$6:$AD$505,"&gt;"&amp;$A174,実績!$AE$6:$AE$505,"○")&gt;0,1,0))</f>
        <v/>
      </c>
      <c r="CD174">
        <f>IF(CD$4=0,0,IF(COUNTIFS(実績!$W$6:$W$505,CD$3,実績!$AC$6:$AC$505,"&lt;="&amp;$A174,実績!$AD$6:$AD$505,"&gt;"&amp;$A174,実績!$AE$6:$AE$505,"○")&gt;0,1,0))</f>
        <v/>
      </c>
      <c r="CE174">
        <f>IF(CE$4=0,0,IF(COUNTIFS(実績!$W$6:$W$505,CE$3,実績!$AC$6:$AC$505,"&lt;="&amp;$A174,実績!$AD$6:$AD$505,"&gt;"&amp;$A174,実績!$AE$6:$AE$505,"○")&gt;0,1,0))</f>
        <v/>
      </c>
      <c r="CF174">
        <f>IF(CF$4=0,0,IF(COUNTIFS(実績!$W$6:$W$505,CF$3,実績!$AC$6:$AC$505,"&lt;="&amp;$A174,実績!$AD$6:$AD$505,"&gt;"&amp;$A174,実績!$AE$6:$AE$505,"○")&gt;0,1,0))</f>
        <v/>
      </c>
      <c r="CG174">
        <f>IF(CG$4=0,0,IF(COUNTIFS(実績!$W$6:$W$505,CG$3,実績!$AC$6:$AC$505,"&lt;="&amp;$A174,実績!$AD$6:$AD$505,"&gt;"&amp;$A174,実績!$AE$6:$AE$505,"○")&gt;0,1,0))</f>
        <v/>
      </c>
      <c r="CH174">
        <f>IF(CH$4=0,0,IF(COUNTIFS(実績!$W$6:$W$505,CH$3,実績!$AC$6:$AC$505,"&lt;="&amp;$A174,実績!$AD$6:$AD$505,"&gt;"&amp;$A174,実績!$AE$6:$AE$505,"○")&gt;0,1,0))</f>
        <v/>
      </c>
      <c r="CI174">
        <f>IF(CI$4=0,0,IF(COUNTIFS(実績!$W$6:$W$505,CI$3,実績!$AC$6:$AC$505,"&lt;="&amp;$A174,実績!$AD$6:$AD$505,"&gt;"&amp;$A174,実績!$AE$6:$AE$505,"○")&gt;0,1,0))</f>
        <v/>
      </c>
      <c r="CJ174">
        <f>IF(CJ$4=0,0,IF(COUNTIFS(実績!$W$6:$W$505,CJ$3,実績!$AC$6:$AC$505,"&lt;="&amp;$A174,実績!$AD$6:$AD$505,"&gt;"&amp;$A174,実績!$AE$6:$AE$505,"○")&gt;0,1,0))</f>
        <v/>
      </c>
      <c r="CK174">
        <f>IF(CK$4=0,0,IF(COUNTIFS(実績!$W$6:$W$505,CK$3,実績!$AC$6:$AC$505,"&lt;="&amp;$A174,実績!$AD$6:$AD$505,"&gt;"&amp;$A174,実績!$AE$6:$AE$505,"○")&gt;0,1,0))</f>
        <v/>
      </c>
      <c r="CL174">
        <f>IF(CL$4=0,0,IF(COUNTIFS(実績!$W$6:$W$505,CL$3,実績!$AC$6:$AC$505,"&lt;="&amp;$A174,実績!$AD$6:$AD$505,"&gt;"&amp;$A174,実績!$AE$6:$AE$505,"○")&gt;0,1,0))</f>
        <v/>
      </c>
      <c r="CM174">
        <f>IF(CM$4=0,0,IF(COUNTIFS(実績!$W$6:$W$505,CM$3,実績!$AC$6:$AC$505,"&lt;="&amp;$A174,実績!$AD$6:$AD$505,"&gt;"&amp;$A174,実績!$AE$6:$AE$505,"○")&gt;0,1,0))</f>
        <v/>
      </c>
      <c r="CN174">
        <f>IF(CN$4=0,0,IF(COUNTIFS(実績!$W$6:$W$505,CN$3,実績!$AC$6:$AC$505,"&lt;="&amp;$A174,実績!$AD$6:$AD$505,"&gt;"&amp;$A174,実績!$AE$6:$AE$505,"○")&gt;0,1,0))</f>
        <v/>
      </c>
      <c r="CO174">
        <f>IF(CO$4=0,0,IF(COUNTIFS(実績!$W$6:$W$505,CO$3,実績!$AC$6:$AC$505,"&lt;="&amp;$A174,実績!$AD$6:$AD$505,"&gt;"&amp;$A174,実績!$AE$6:$AE$505,"○")&gt;0,1,0))</f>
        <v/>
      </c>
      <c r="CP174">
        <f>IF(CP$4=0,0,IF(COUNTIFS(実績!$W$6:$W$505,CP$3,実績!$AC$6:$AC$505,"&lt;="&amp;$A174,実績!$AD$6:$AD$505,"&gt;"&amp;$A174,実績!$AE$6:$AE$505,"○")&gt;0,1,0))</f>
        <v/>
      </c>
      <c r="CQ174">
        <f>IF(CQ$4=0,0,IF(COUNTIFS(実績!$W$6:$W$505,CQ$3,実績!$AC$6:$AC$505,"&lt;="&amp;$A174,実績!$AD$6:$AD$505,"&gt;"&amp;$A174,実績!$AE$6:$AE$505,"○")&gt;0,1,0))</f>
        <v/>
      </c>
      <c r="CR174">
        <f>IF(CR$4=0,0,IF(COUNTIFS(実績!$W$6:$W$505,CR$3,実績!$AC$6:$AC$505,"&lt;="&amp;$A174,実績!$AD$6:$AD$505,"&gt;"&amp;$A174,実績!$AE$6:$AE$505,"○")&gt;0,1,0))</f>
        <v/>
      </c>
      <c r="CS174">
        <f>IF(CS$4=0,0,IF(COUNTIFS(実績!$W$6:$W$505,CS$3,実績!$AC$6:$AC$505,"&lt;="&amp;$A174,実績!$AD$6:$AD$505,"&gt;"&amp;$A174,実績!$AE$6:$AE$505,"○")&gt;0,1,0))</f>
        <v/>
      </c>
      <c r="CT174">
        <f>IF(CT$4=0,0,IF(COUNTIFS(実績!$W$6:$W$505,CT$3,実績!$AC$6:$AC$505,"&lt;="&amp;$A174,実績!$AD$6:$AD$505,"&gt;"&amp;$A174,実績!$AE$6:$AE$505,"○")&gt;0,1,0))</f>
        <v/>
      </c>
      <c r="CU174">
        <f>IF(CU$4=0,0,IF(COUNTIFS(実績!$W$6:$W$505,CU$3,実績!$AC$6:$AC$505,"&lt;="&amp;$A174,実績!$AD$6:$AD$505,"&gt;"&amp;$A174,実績!$AE$6:$AE$505,"○")&gt;0,1,0))</f>
        <v/>
      </c>
      <c r="CV174">
        <f>IF(CV$4=0,0,IF(COUNTIFS(実績!$W$6:$W$505,CV$3,実績!$AC$6:$AC$505,"&lt;="&amp;$A174,実績!$AD$6:$AD$505,"&gt;"&amp;$A174,実績!$AE$6:$AE$505,"○")&gt;0,1,0))</f>
        <v/>
      </c>
      <c r="CW174">
        <f>IF(CW$4=0,0,IF(COUNTIFS(実績!$W$6:$W$505,CW$3,実績!$AC$6:$AC$505,"&lt;="&amp;$A174,実績!$AD$6:$AD$505,"&gt;"&amp;$A174,実績!$AE$6:$AE$505,"○")&gt;0,1,0))</f>
        <v/>
      </c>
      <c r="CX174">
        <f>IF(CX$4=0,0,IF(COUNTIFS(実績!$W$6:$W$505,CX$3,実績!$AC$6:$AC$505,"&lt;="&amp;$A174,実績!$AD$6:$AD$505,"&gt;"&amp;$A174,実績!$AE$6:$AE$505,"○")&gt;0,1,0))</f>
        <v/>
      </c>
      <c r="CY174">
        <f>IF(CY$4=0,0,IF(COUNTIFS(実績!$W$6:$W$505,CY$3,実績!$AC$6:$AC$505,"&lt;="&amp;$A174,実績!$AD$6:$AD$505,"&gt;"&amp;$A174,実績!$AE$6:$AE$505,"○")&gt;0,1,0))</f>
        <v/>
      </c>
      <c r="CZ174">
        <f>IF(CZ$4=0,0,IF(COUNTIFS(実績!$W$6:$W$505,CZ$3,実績!$AC$6:$AC$505,"&lt;="&amp;$A174,実績!$AD$6:$AD$505,"&gt;"&amp;$A174,実績!$AE$6:$AE$505,"○")&gt;0,1,0))</f>
        <v/>
      </c>
      <c r="DA174">
        <f>IF(DA$4=0,0,IF(COUNTIFS(実績!$W$6:$W$505,DA$3,実績!$AC$6:$AC$505,"&lt;="&amp;$A174,実績!$AD$6:$AD$505,"&gt;"&amp;$A174,実績!$AE$6:$AE$505,"○")&gt;0,1,0))</f>
        <v/>
      </c>
      <c r="DB174">
        <f>IF(DB$4=0,0,IF(COUNTIFS(実績!$W$6:$W$505,DB$3,実績!$AC$6:$AC$505,"&lt;="&amp;$A174,実績!$AD$6:$AD$505,"&gt;"&amp;$A174,実績!$AE$6:$AE$505,"○")&gt;0,1,0))</f>
        <v/>
      </c>
      <c r="DC174">
        <f>IF(DC$4=0,0,IF(COUNTIFS(実績!$W$6:$W$505,DC$3,実績!$AC$6:$AC$505,"&lt;="&amp;$A174,実績!$AD$6:$AD$505,"&gt;"&amp;$A174,実績!$AE$6:$AE$505,"○")&gt;0,1,0))</f>
        <v/>
      </c>
      <c r="DD174">
        <f>IF(DD$4=0,0,IF(COUNTIFS(実績!$W$6:$W$505,DD$3,実績!$AC$6:$AC$505,"&lt;="&amp;$A174,実績!$AD$6:$AD$505,"&gt;"&amp;$A174,実績!$AE$6:$AE$505,"○")&gt;0,1,0))</f>
        <v/>
      </c>
      <c r="DE174">
        <f>IF(DE$4=0,0,IF(COUNTIFS(実績!$W$6:$W$505,DE$3,実績!$AC$6:$AC$505,"&lt;="&amp;$A174,実績!$AD$6:$AD$505,"&gt;"&amp;$A174,実績!$AE$6:$AE$505,"○")&gt;0,1,0))</f>
        <v/>
      </c>
      <c r="DF174">
        <f>IF(DF$4=0,0,IF(COUNTIFS(実績!$W$6:$W$505,DF$3,実績!$AC$6:$AC$505,"&lt;="&amp;$A174,実績!$AD$6:$AD$505,"&gt;"&amp;$A174,実績!$AE$6:$AE$505,"○")&gt;0,1,0))</f>
        <v/>
      </c>
      <c r="DG174">
        <f>IF(DG$4=0,0,IF(COUNTIFS(実績!$W$6:$W$505,DG$3,実績!$AC$6:$AC$505,"&lt;="&amp;$A174,実績!$AD$6:$AD$505,"&gt;"&amp;$A174,実績!$AE$6:$AE$505,"○")&gt;0,1,0))</f>
        <v/>
      </c>
      <c r="DH174">
        <f>IF(DH$4=0,0,IF(COUNTIFS(実績!$W$6:$W$505,DH$3,実績!$AC$6:$AC$505,"&lt;="&amp;$A174,実績!$AD$6:$AD$505,"&gt;"&amp;$A174,実績!$AE$6:$AE$505,"○")&gt;0,1,0))</f>
        <v/>
      </c>
      <c r="DI174">
        <f>IF(DI$4=0,0,IF(COUNTIFS(実績!$W$6:$W$505,DI$3,実績!$AC$6:$AC$505,"&lt;="&amp;$A174,実績!$AD$6:$AD$505,"&gt;"&amp;$A174,実績!$AE$6:$AE$505,"○")&gt;0,1,0))</f>
        <v/>
      </c>
      <c r="DJ174">
        <f>IF(DJ$4=0,0,IF(COUNTIFS(実績!$W$6:$W$505,DJ$3,実績!$AC$6:$AC$505,"&lt;="&amp;$A174,実績!$AD$6:$AD$505,"&gt;"&amp;$A174,実績!$AE$6:$AE$505,"○")&gt;0,1,0))</f>
        <v/>
      </c>
      <c r="DK174">
        <f>IF(DK$4=0,0,IF(COUNTIFS(実績!$W$6:$W$505,DK$3,実績!$AC$6:$AC$505,"&lt;="&amp;$A174,実績!$AD$6:$AD$505,"&gt;"&amp;$A174,実績!$AE$6:$AE$505,"○")&gt;0,1,0))</f>
        <v/>
      </c>
      <c r="DL174">
        <f>IF(DL$4=0,0,IF(COUNTIFS(実績!$W$6:$W$505,DL$3,実績!$AC$6:$AC$505,"&lt;="&amp;$A174,実績!$AD$6:$AD$505,"&gt;"&amp;$A174,実績!$AE$6:$AE$505,"○")&gt;0,1,0))</f>
        <v/>
      </c>
      <c r="DM174">
        <f>IF(DM$4=0,0,IF(COUNTIFS(実績!$W$6:$W$505,DM$3,実績!$AC$6:$AC$505,"&lt;="&amp;$A174,実績!$AD$6:$AD$505,"&gt;"&amp;$A174,実績!$AE$6:$AE$505,"○")&gt;0,1,0))</f>
        <v/>
      </c>
      <c r="DN174">
        <f>IF(DN$4=0,0,IF(COUNTIFS(実績!$W$6:$W$505,DN$3,実績!$AC$6:$AC$505,"&lt;="&amp;$A174,実績!$AD$6:$AD$505,"&gt;"&amp;$A174,実績!$AE$6:$AE$505,"○")&gt;0,1,0))</f>
        <v/>
      </c>
      <c r="DO174">
        <f>IF(DO$4=0,0,IF(COUNTIFS(実績!$W$6:$W$505,DO$3,実績!$AC$6:$AC$505,"&lt;="&amp;$A174,実績!$AD$6:$AD$505,"&gt;"&amp;$A174,実績!$AE$6:$AE$505,"○")&gt;0,1,0))</f>
        <v/>
      </c>
      <c r="DP174">
        <f>IF(DP$4=0,0,IF(COUNTIFS(実績!$W$6:$W$505,DP$3,実績!$AC$6:$AC$505,"&lt;="&amp;$A174,実績!$AD$6:$AD$505,"&gt;"&amp;$A174,実績!$AE$6:$AE$505,"○")&gt;0,1,0))</f>
        <v/>
      </c>
      <c r="DQ174">
        <f>IF(DQ$4=0,0,IF(COUNTIFS(実績!$W$6:$W$505,DQ$3,実績!$AC$6:$AC$505,"&lt;="&amp;$A174,実績!$AD$6:$AD$505,"&gt;"&amp;$A174,実績!$AE$6:$AE$505,"○")&gt;0,1,0))</f>
        <v/>
      </c>
      <c r="DR174">
        <f>IF(DR$4=0,0,IF(COUNTIFS(実績!$W$6:$W$505,DR$3,実績!$AC$6:$AC$505,"&lt;="&amp;$A174,実績!$AD$6:$AD$505,"&gt;"&amp;$A174,実績!$AE$6:$AE$505,"○")&gt;0,1,0))</f>
        <v/>
      </c>
      <c r="DS174">
        <f>SUM(C174:DR174)</f>
        <v/>
      </c>
      <c r="DT174">
        <f>SUMPRODUCT((実績!$C$6:$C$505="○")*ISNUMBER(実績!$AF$6:$AF$505)*(実績!$AF$6:$AF$505&lt;=$A174)*(実績!$AG$6:$AG$505&gt;$A174))</f>
        <v/>
      </c>
      <c r="DU174">
        <f>SUMIF($C$2:$DR$2,"製鉄曳船",C174:DR174)</f>
        <v/>
      </c>
      <c r="DV174">
        <f>SUMIF($C$2:$DR$2,"西日本海運",C174:DR174)</f>
        <v/>
      </c>
    </row>
    <row r="175">
      <c r="A175" t="n">
        <v>845</v>
      </c>
      <c r="B175" s="29">
        <f>A175/1440</f>
        <v/>
      </c>
      <c r="C175">
        <f>IF(C$4=0,0,IF(COUNTIFS(実績!$W$6:$W$505,C$3,実績!$AC$6:$AC$505,"&lt;="&amp;$A175,実績!$AD$6:$AD$505,"&gt;"&amp;$A175,実績!$AE$6:$AE$505,"○")&gt;0,1,0))</f>
        <v/>
      </c>
      <c r="D175">
        <f>IF(D$4=0,0,IF(COUNTIFS(実績!$W$6:$W$505,D$3,実績!$AC$6:$AC$505,"&lt;="&amp;$A175,実績!$AD$6:$AD$505,"&gt;"&amp;$A175,実績!$AE$6:$AE$505,"○")&gt;0,1,0))</f>
        <v/>
      </c>
      <c r="E175">
        <f>IF(E$4=0,0,IF(COUNTIFS(実績!$W$6:$W$505,E$3,実績!$AC$6:$AC$505,"&lt;="&amp;$A175,実績!$AD$6:$AD$505,"&gt;"&amp;$A175,実績!$AE$6:$AE$505,"○")&gt;0,1,0))</f>
        <v/>
      </c>
      <c r="F175">
        <f>IF(F$4=0,0,IF(COUNTIFS(実績!$W$6:$W$505,F$3,実績!$AC$6:$AC$505,"&lt;="&amp;$A175,実績!$AD$6:$AD$505,"&gt;"&amp;$A175,実績!$AE$6:$AE$505,"○")&gt;0,1,0))</f>
        <v/>
      </c>
      <c r="G175">
        <f>IF(G$4=0,0,IF(COUNTIFS(実績!$W$6:$W$505,G$3,実績!$AC$6:$AC$505,"&lt;="&amp;$A175,実績!$AD$6:$AD$505,"&gt;"&amp;$A175,実績!$AE$6:$AE$505,"○")&gt;0,1,0))</f>
        <v/>
      </c>
      <c r="H175">
        <f>IF(H$4=0,0,IF(COUNTIFS(実績!$W$6:$W$505,H$3,実績!$AC$6:$AC$505,"&lt;="&amp;$A175,実績!$AD$6:$AD$505,"&gt;"&amp;$A175,実績!$AE$6:$AE$505,"○")&gt;0,1,0))</f>
        <v/>
      </c>
      <c r="I175">
        <f>IF(I$4=0,0,IF(COUNTIFS(実績!$W$6:$W$505,I$3,実績!$AC$6:$AC$505,"&lt;="&amp;$A175,実績!$AD$6:$AD$505,"&gt;"&amp;$A175,実績!$AE$6:$AE$505,"○")&gt;0,1,0))</f>
        <v/>
      </c>
      <c r="J175">
        <f>IF(J$4=0,0,IF(COUNTIFS(実績!$W$6:$W$505,J$3,実績!$AC$6:$AC$505,"&lt;="&amp;$A175,実績!$AD$6:$AD$505,"&gt;"&amp;$A175,実績!$AE$6:$AE$505,"○")&gt;0,1,0))</f>
        <v/>
      </c>
      <c r="K175">
        <f>IF(K$4=0,0,IF(COUNTIFS(実績!$W$6:$W$505,K$3,実績!$AC$6:$AC$505,"&lt;="&amp;$A175,実績!$AD$6:$AD$505,"&gt;"&amp;$A175,実績!$AE$6:$AE$505,"○")&gt;0,1,0))</f>
        <v/>
      </c>
      <c r="L175">
        <f>IF(L$4=0,0,IF(COUNTIFS(実績!$W$6:$W$505,L$3,実績!$AC$6:$AC$505,"&lt;="&amp;$A175,実績!$AD$6:$AD$505,"&gt;"&amp;$A175,実績!$AE$6:$AE$505,"○")&gt;0,1,0))</f>
        <v/>
      </c>
      <c r="M175">
        <f>IF(M$4=0,0,IF(COUNTIFS(実績!$W$6:$W$505,M$3,実績!$AC$6:$AC$505,"&lt;="&amp;$A175,実績!$AD$6:$AD$505,"&gt;"&amp;$A175,実績!$AE$6:$AE$505,"○")&gt;0,1,0))</f>
        <v/>
      </c>
      <c r="N175">
        <f>IF(N$4=0,0,IF(COUNTIFS(実績!$W$6:$W$505,N$3,実績!$AC$6:$AC$505,"&lt;="&amp;$A175,実績!$AD$6:$AD$505,"&gt;"&amp;$A175,実績!$AE$6:$AE$505,"○")&gt;0,1,0))</f>
        <v/>
      </c>
      <c r="O175">
        <f>IF(O$4=0,0,IF(COUNTIFS(実績!$W$6:$W$505,O$3,実績!$AC$6:$AC$505,"&lt;="&amp;$A175,実績!$AD$6:$AD$505,"&gt;"&amp;$A175,実績!$AE$6:$AE$505,"○")&gt;0,1,0))</f>
        <v/>
      </c>
      <c r="P175">
        <f>IF(P$4=0,0,IF(COUNTIFS(実績!$W$6:$W$505,P$3,実績!$AC$6:$AC$505,"&lt;="&amp;$A175,実績!$AD$6:$AD$505,"&gt;"&amp;$A175,実績!$AE$6:$AE$505,"○")&gt;0,1,0))</f>
        <v/>
      </c>
      <c r="Q175">
        <f>IF(Q$4=0,0,IF(COUNTIFS(実績!$W$6:$W$505,Q$3,実績!$AC$6:$AC$505,"&lt;="&amp;$A175,実績!$AD$6:$AD$505,"&gt;"&amp;$A175,実績!$AE$6:$AE$505,"○")&gt;0,1,0))</f>
        <v/>
      </c>
      <c r="R175">
        <f>IF(R$4=0,0,IF(COUNTIFS(実績!$W$6:$W$505,R$3,実績!$AC$6:$AC$505,"&lt;="&amp;$A175,実績!$AD$6:$AD$505,"&gt;"&amp;$A175,実績!$AE$6:$AE$505,"○")&gt;0,1,0))</f>
        <v/>
      </c>
      <c r="S175">
        <f>IF(S$4=0,0,IF(COUNTIFS(実績!$W$6:$W$505,S$3,実績!$AC$6:$AC$505,"&lt;="&amp;$A175,実績!$AD$6:$AD$505,"&gt;"&amp;$A175,実績!$AE$6:$AE$505,"○")&gt;0,1,0))</f>
        <v/>
      </c>
      <c r="T175">
        <f>IF(T$4=0,0,IF(COUNTIFS(実績!$W$6:$W$505,T$3,実績!$AC$6:$AC$505,"&lt;="&amp;$A175,実績!$AD$6:$AD$505,"&gt;"&amp;$A175,実績!$AE$6:$AE$505,"○")&gt;0,1,0))</f>
        <v/>
      </c>
      <c r="U175">
        <f>IF(U$4=0,0,IF(COUNTIFS(実績!$W$6:$W$505,U$3,実績!$AC$6:$AC$505,"&lt;="&amp;$A175,実績!$AD$6:$AD$505,"&gt;"&amp;$A175,実績!$AE$6:$AE$505,"○")&gt;0,1,0))</f>
        <v/>
      </c>
      <c r="V175">
        <f>IF(V$4=0,0,IF(COUNTIFS(実績!$W$6:$W$505,V$3,実績!$AC$6:$AC$505,"&lt;="&amp;$A175,実績!$AD$6:$AD$505,"&gt;"&amp;$A175,実績!$AE$6:$AE$505,"○")&gt;0,1,0))</f>
        <v/>
      </c>
      <c r="W175">
        <f>IF(W$4=0,0,IF(COUNTIFS(実績!$W$6:$W$505,W$3,実績!$AC$6:$AC$505,"&lt;="&amp;$A175,実績!$AD$6:$AD$505,"&gt;"&amp;$A175,実績!$AE$6:$AE$505,"○")&gt;0,1,0))</f>
        <v/>
      </c>
      <c r="X175">
        <f>IF(X$4=0,0,IF(COUNTIFS(実績!$W$6:$W$505,X$3,実績!$AC$6:$AC$505,"&lt;="&amp;$A175,実績!$AD$6:$AD$505,"&gt;"&amp;$A175,実績!$AE$6:$AE$505,"○")&gt;0,1,0))</f>
        <v/>
      </c>
      <c r="Y175">
        <f>IF(Y$4=0,0,IF(COUNTIFS(実績!$W$6:$W$505,Y$3,実績!$AC$6:$AC$505,"&lt;="&amp;$A175,実績!$AD$6:$AD$505,"&gt;"&amp;$A175,実績!$AE$6:$AE$505,"○")&gt;0,1,0))</f>
        <v/>
      </c>
      <c r="Z175">
        <f>IF(Z$4=0,0,IF(COUNTIFS(実績!$W$6:$W$505,Z$3,実績!$AC$6:$AC$505,"&lt;="&amp;$A175,実績!$AD$6:$AD$505,"&gt;"&amp;$A175,実績!$AE$6:$AE$505,"○")&gt;0,1,0))</f>
        <v/>
      </c>
      <c r="AA175">
        <f>IF(AA$4=0,0,IF(COUNTIFS(実績!$W$6:$W$505,AA$3,実績!$AC$6:$AC$505,"&lt;="&amp;$A175,実績!$AD$6:$AD$505,"&gt;"&amp;$A175,実績!$AE$6:$AE$505,"○")&gt;0,1,0))</f>
        <v/>
      </c>
      <c r="AB175">
        <f>IF(AB$4=0,0,IF(COUNTIFS(実績!$W$6:$W$505,AB$3,実績!$AC$6:$AC$505,"&lt;="&amp;$A175,実績!$AD$6:$AD$505,"&gt;"&amp;$A175,実績!$AE$6:$AE$505,"○")&gt;0,1,0))</f>
        <v/>
      </c>
      <c r="AC175">
        <f>IF(AC$4=0,0,IF(COUNTIFS(実績!$W$6:$W$505,AC$3,実績!$AC$6:$AC$505,"&lt;="&amp;$A175,実績!$AD$6:$AD$505,"&gt;"&amp;$A175,実績!$AE$6:$AE$505,"○")&gt;0,1,0))</f>
        <v/>
      </c>
      <c r="AD175">
        <f>IF(AD$4=0,0,IF(COUNTIFS(実績!$W$6:$W$505,AD$3,実績!$AC$6:$AC$505,"&lt;="&amp;$A175,実績!$AD$6:$AD$505,"&gt;"&amp;$A175,実績!$AE$6:$AE$505,"○")&gt;0,1,0))</f>
        <v/>
      </c>
      <c r="AE175">
        <f>IF(AE$4=0,0,IF(COUNTIFS(実績!$W$6:$W$505,AE$3,実績!$AC$6:$AC$505,"&lt;="&amp;$A175,実績!$AD$6:$AD$505,"&gt;"&amp;$A175,実績!$AE$6:$AE$505,"○")&gt;0,1,0))</f>
        <v/>
      </c>
      <c r="AF175">
        <f>IF(AF$4=0,0,IF(COUNTIFS(実績!$W$6:$W$505,AF$3,実績!$AC$6:$AC$505,"&lt;="&amp;$A175,実績!$AD$6:$AD$505,"&gt;"&amp;$A175,実績!$AE$6:$AE$505,"○")&gt;0,1,0))</f>
        <v/>
      </c>
      <c r="AG175">
        <f>IF(AG$4=0,0,IF(COUNTIFS(実績!$W$6:$W$505,AG$3,実績!$AC$6:$AC$505,"&lt;="&amp;$A175,実績!$AD$6:$AD$505,"&gt;"&amp;$A175,実績!$AE$6:$AE$505,"○")&gt;0,1,0))</f>
        <v/>
      </c>
      <c r="AH175">
        <f>IF(AH$4=0,0,IF(COUNTIFS(実績!$W$6:$W$505,AH$3,実績!$AC$6:$AC$505,"&lt;="&amp;$A175,実績!$AD$6:$AD$505,"&gt;"&amp;$A175,実績!$AE$6:$AE$505,"○")&gt;0,1,0))</f>
        <v/>
      </c>
      <c r="AI175">
        <f>IF(AI$4=0,0,IF(COUNTIFS(実績!$W$6:$W$505,AI$3,実績!$AC$6:$AC$505,"&lt;="&amp;$A175,実績!$AD$6:$AD$505,"&gt;"&amp;$A175,実績!$AE$6:$AE$505,"○")&gt;0,1,0))</f>
        <v/>
      </c>
      <c r="AJ175">
        <f>IF(AJ$4=0,0,IF(COUNTIFS(実績!$W$6:$W$505,AJ$3,実績!$AC$6:$AC$505,"&lt;="&amp;$A175,実績!$AD$6:$AD$505,"&gt;"&amp;$A175,実績!$AE$6:$AE$505,"○")&gt;0,1,0))</f>
        <v/>
      </c>
      <c r="AK175">
        <f>IF(AK$4=0,0,IF(COUNTIFS(実績!$W$6:$W$505,AK$3,実績!$AC$6:$AC$505,"&lt;="&amp;$A175,実績!$AD$6:$AD$505,"&gt;"&amp;$A175,実績!$AE$6:$AE$505,"○")&gt;0,1,0))</f>
        <v/>
      </c>
      <c r="AL175">
        <f>IF(AL$4=0,0,IF(COUNTIFS(実績!$W$6:$W$505,AL$3,実績!$AC$6:$AC$505,"&lt;="&amp;$A175,実績!$AD$6:$AD$505,"&gt;"&amp;$A175,実績!$AE$6:$AE$505,"○")&gt;0,1,0))</f>
        <v/>
      </c>
      <c r="AM175">
        <f>IF(AM$4=0,0,IF(COUNTIFS(実績!$W$6:$W$505,AM$3,実績!$AC$6:$AC$505,"&lt;="&amp;$A175,実績!$AD$6:$AD$505,"&gt;"&amp;$A175,実績!$AE$6:$AE$505,"○")&gt;0,1,0))</f>
        <v/>
      </c>
      <c r="AN175">
        <f>IF(AN$4=0,0,IF(COUNTIFS(実績!$W$6:$W$505,AN$3,実績!$AC$6:$AC$505,"&lt;="&amp;$A175,実績!$AD$6:$AD$505,"&gt;"&amp;$A175,実績!$AE$6:$AE$505,"○")&gt;0,1,0))</f>
        <v/>
      </c>
      <c r="AO175">
        <f>IF(AO$4=0,0,IF(COUNTIFS(実績!$W$6:$W$505,AO$3,実績!$AC$6:$AC$505,"&lt;="&amp;$A175,実績!$AD$6:$AD$505,"&gt;"&amp;$A175,実績!$AE$6:$AE$505,"○")&gt;0,1,0))</f>
        <v/>
      </c>
      <c r="AP175">
        <f>IF(AP$4=0,0,IF(COUNTIFS(実績!$W$6:$W$505,AP$3,実績!$AC$6:$AC$505,"&lt;="&amp;$A175,実績!$AD$6:$AD$505,"&gt;"&amp;$A175,実績!$AE$6:$AE$505,"○")&gt;0,1,0))</f>
        <v/>
      </c>
      <c r="AQ175">
        <f>IF(AQ$4=0,0,IF(COUNTIFS(実績!$W$6:$W$505,AQ$3,実績!$AC$6:$AC$505,"&lt;="&amp;$A175,実績!$AD$6:$AD$505,"&gt;"&amp;$A175,実績!$AE$6:$AE$505,"○")&gt;0,1,0))</f>
        <v/>
      </c>
      <c r="AR175">
        <f>IF(AR$4=0,0,IF(COUNTIFS(実績!$W$6:$W$505,AR$3,実績!$AC$6:$AC$505,"&lt;="&amp;$A175,実績!$AD$6:$AD$505,"&gt;"&amp;$A175,実績!$AE$6:$AE$505,"○")&gt;0,1,0))</f>
        <v/>
      </c>
      <c r="AS175">
        <f>IF(AS$4=0,0,IF(COUNTIFS(実績!$W$6:$W$505,AS$3,実績!$AC$6:$AC$505,"&lt;="&amp;$A175,実績!$AD$6:$AD$505,"&gt;"&amp;$A175,実績!$AE$6:$AE$505,"○")&gt;0,1,0))</f>
        <v/>
      </c>
      <c r="AT175">
        <f>IF(AT$4=0,0,IF(COUNTIFS(実績!$W$6:$W$505,AT$3,実績!$AC$6:$AC$505,"&lt;="&amp;$A175,実績!$AD$6:$AD$505,"&gt;"&amp;$A175,実績!$AE$6:$AE$505,"○")&gt;0,1,0))</f>
        <v/>
      </c>
      <c r="AU175">
        <f>IF(AU$4=0,0,IF(COUNTIFS(実績!$W$6:$W$505,AU$3,実績!$AC$6:$AC$505,"&lt;="&amp;$A175,実績!$AD$6:$AD$505,"&gt;"&amp;$A175,実績!$AE$6:$AE$505,"○")&gt;0,1,0))</f>
        <v/>
      </c>
      <c r="AV175">
        <f>IF(AV$4=0,0,IF(COUNTIFS(実績!$W$6:$W$505,AV$3,実績!$AC$6:$AC$505,"&lt;="&amp;$A175,実績!$AD$6:$AD$505,"&gt;"&amp;$A175,実績!$AE$6:$AE$505,"○")&gt;0,1,0))</f>
        <v/>
      </c>
      <c r="AW175">
        <f>IF(AW$4=0,0,IF(COUNTIFS(実績!$W$6:$W$505,AW$3,実績!$AC$6:$AC$505,"&lt;="&amp;$A175,実績!$AD$6:$AD$505,"&gt;"&amp;$A175,実績!$AE$6:$AE$505,"○")&gt;0,1,0))</f>
        <v/>
      </c>
      <c r="AX175">
        <f>IF(AX$4=0,0,IF(COUNTIFS(実績!$W$6:$W$505,AX$3,実績!$AC$6:$AC$505,"&lt;="&amp;$A175,実績!$AD$6:$AD$505,"&gt;"&amp;$A175,実績!$AE$6:$AE$505,"○")&gt;0,1,0))</f>
        <v/>
      </c>
      <c r="AY175">
        <f>IF(AY$4=0,0,IF(COUNTIFS(実績!$W$6:$W$505,AY$3,実績!$AC$6:$AC$505,"&lt;="&amp;$A175,実績!$AD$6:$AD$505,"&gt;"&amp;$A175,実績!$AE$6:$AE$505,"○")&gt;0,1,0))</f>
        <v/>
      </c>
      <c r="AZ175">
        <f>IF(AZ$4=0,0,IF(COUNTIFS(実績!$W$6:$W$505,AZ$3,実績!$AC$6:$AC$505,"&lt;="&amp;$A175,実績!$AD$6:$AD$505,"&gt;"&amp;$A175,実績!$AE$6:$AE$505,"○")&gt;0,1,0))</f>
        <v/>
      </c>
      <c r="BA175">
        <f>IF(BA$4=0,0,IF(COUNTIFS(実績!$W$6:$W$505,BA$3,実績!$AC$6:$AC$505,"&lt;="&amp;$A175,実績!$AD$6:$AD$505,"&gt;"&amp;$A175,実績!$AE$6:$AE$505,"○")&gt;0,1,0))</f>
        <v/>
      </c>
      <c r="BB175">
        <f>IF(BB$4=0,0,IF(COUNTIFS(実績!$W$6:$W$505,BB$3,実績!$AC$6:$AC$505,"&lt;="&amp;$A175,実績!$AD$6:$AD$505,"&gt;"&amp;$A175,実績!$AE$6:$AE$505,"○")&gt;0,1,0))</f>
        <v/>
      </c>
      <c r="BC175">
        <f>IF(BC$4=0,0,IF(COUNTIFS(実績!$W$6:$W$505,BC$3,実績!$AC$6:$AC$505,"&lt;="&amp;$A175,実績!$AD$6:$AD$505,"&gt;"&amp;$A175,実績!$AE$6:$AE$505,"○")&gt;0,1,0))</f>
        <v/>
      </c>
      <c r="BD175">
        <f>IF(BD$4=0,0,IF(COUNTIFS(実績!$W$6:$W$505,BD$3,実績!$AC$6:$AC$505,"&lt;="&amp;$A175,実績!$AD$6:$AD$505,"&gt;"&amp;$A175,実績!$AE$6:$AE$505,"○")&gt;0,1,0))</f>
        <v/>
      </c>
      <c r="BE175">
        <f>IF(BE$4=0,0,IF(COUNTIFS(実績!$W$6:$W$505,BE$3,実績!$AC$6:$AC$505,"&lt;="&amp;$A175,実績!$AD$6:$AD$505,"&gt;"&amp;$A175,実績!$AE$6:$AE$505,"○")&gt;0,1,0))</f>
        <v/>
      </c>
      <c r="BF175">
        <f>IF(BF$4=0,0,IF(COUNTIFS(実績!$W$6:$W$505,BF$3,実績!$AC$6:$AC$505,"&lt;="&amp;$A175,実績!$AD$6:$AD$505,"&gt;"&amp;$A175,実績!$AE$6:$AE$505,"○")&gt;0,1,0))</f>
        <v/>
      </c>
      <c r="BG175">
        <f>IF(BG$4=0,0,IF(COUNTIFS(実績!$W$6:$W$505,BG$3,実績!$AC$6:$AC$505,"&lt;="&amp;$A175,実績!$AD$6:$AD$505,"&gt;"&amp;$A175,実績!$AE$6:$AE$505,"○")&gt;0,1,0))</f>
        <v/>
      </c>
      <c r="BH175">
        <f>IF(BH$4=0,0,IF(COUNTIFS(実績!$W$6:$W$505,BH$3,実績!$AC$6:$AC$505,"&lt;="&amp;$A175,実績!$AD$6:$AD$505,"&gt;"&amp;$A175,実績!$AE$6:$AE$505,"○")&gt;0,1,0))</f>
        <v/>
      </c>
      <c r="BI175">
        <f>IF(BI$4=0,0,IF(COUNTIFS(実績!$W$6:$W$505,BI$3,実績!$AC$6:$AC$505,"&lt;="&amp;$A175,実績!$AD$6:$AD$505,"&gt;"&amp;$A175,実績!$AE$6:$AE$505,"○")&gt;0,1,0))</f>
        <v/>
      </c>
      <c r="BJ175">
        <f>IF(BJ$4=0,0,IF(COUNTIFS(実績!$W$6:$W$505,BJ$3,実績!$AC$6:$AC$505,"&lt;="&amp;$A175,実績!$AD$6:$AD$505,"&gt;"&amp;$A175,実績!$AE$6:$AE$505,"○")&gt;0,1,0))</f>
        <v/>
      </c>
      <c r="BK175">
        <f>IF(BK$4=0,0,IF(COUNTIFS(実績!$W$6:$W$505,BK$3,実績!$AC$6:$AC$505,"&lt;="&amp;$A175,実績!$AD$6:$AD$505,"&gt;"&amp;$A175,実績!$AE$6:$AE$505,"○")&gt;0,1,0))</f>
        <v/>
      </c>
      <c r="BL175">
        <f>IF(BL$4=0,0,IF(COUNTIFS(実績!$W$6:$W$505,BL$3,実績!$AC$6:$AC$505,"&lt;="&amp;$A175,実績!$AD$6:$AD$505,"&gt;"&amp;$A175,実績!$AE$6:$AE$505,"○")&gt;0,1,0))</f>
        <v/>
      </c>
      <c r="BM175">
        <f>IF(BM$4=0,0,IF(COUNTIFS(実績!$W$6:$W$505,BM$3,実績!$AC$6:$AC$505,"&lt;="&amp;$A175,実績!$AD$6:$AD$505,"&gt;"&amp;$A175,実績!$AE$6:$AE$505,"○")&gt;0,1,0))</f>
        <v/>
      </c>
      <c r="BN175">
        <f>IF(BN$4=0,0,IF(COUNTIFS(実績!$W$6:$W$505,BN$3,実績!$AC$6:$AC$505,"&lt;="&amp;$A175,実績!$AD$6:$AD$505,"&gt;"&amp;$A175,実績!$AE$6:$AE$505,"○")&gt;0,1,0))</f>
        <v/>
      </c>
      <c r="BO175">
        <f>IF(BO$4=0,0,IF(COUNTIFS(実績!$W$6:$W$505,BO$3,実績!$AC$6:$AC$505,"&lt;="&amp;$A175,実績!$AD$6:$AD$505,"&gt;"&amp;$A175,実績!$AE$6:$AE$505,"○")&gt;0,1,0))</f>
        <v/>
      </c>
      <c r="BP175">
        <f>IF(BP$4=0,0,IF(COUNTIFS(実績!$W$6:$W$505,BP$3,実績!$AC$6:$AC$505,"&lt;="&amp;$A175,実績!$AD$6:$AD$505,"&gt;"&amp;$A175,実績!$AE$6:$AE$505,"○")&gt;0,1,0))</f>
        <v/>
      </c>
      <c r="BQ175">
        <f>IF(BQ$4=0,0,IF(COUNTIFS(実績!$W$6:$W$505,BQ$3,実績!$AC$6:$AC$505,"&lt;="&amp;$A175,実績!$AD$6:$AD$505,"&gt;"&amp;$A175,実績!$AE$6:$AE$505,"○")&gt;0,1,0))</f>
        <v/>
      </c>
      <c r="BR175">
        <f>IF(BR$4=0,0,IF(COUNTIFS(実績!$W$6:$W$505,BR$3,実績!$AC$6:$AC$505,"&lt;="&amp;$A175,実績!$AD$6:$AD$505,"&gt;"&amp;$A175,実績!$AE$6:$AE$505,"○")&gt;0,1,0))</f>
        <v/>
      </c>
      <c r="BS175">
        <f>IF(BS$4=0,0,IF(COUNTIFS(実績!$W$6:$W$505,BS$3,実績!$AC$6:$AC$505,"&lt;="&amp;$A175,実績!$AD$6:$AD$505,"&gt;"&amp;$A175,実績!$AE$6:$AE$505,"○")&gt;0,1,0))</f>
        <v/>
      </c>
      <c r="BT175">
        <f>IF(BT$4=0,0,IF(COUNTIFS(実績!$W$6:$W$505,BT$3,実績!$AC$6:$AC$505,"&lt;="&amp;$A175,実績!$AD$6:$AD$505,"&gt;"&amp;$A175,実績!$AE$6:$AE$505,"○")&gt;0,1,0))</f>
        <v/>
      </c>
      <c r="BU175">
        <f>IF(BU$4=0,0,IF(COUNTIFS(実績!$W$6:$W$505,BU$3,実績!$AC$6:$AC$505,"&lt;="&amp;$A175,実績!$AD$6:$AD$505,"&gt;"&amp;$A175,実績!$AE$6:$AE$505,"○")&gt;0,1,0))</f>
        <v/>
      </c>
      <c r="BV175">
        <f>IF(BV$4=0,0,IF(COUNTIFS(実績!$W$6:$W$505,BV$3,実績!$AC$6:$AC$505,"&lt;="&amp;$A175,実績!$AD$6:$AD$505,"&gt;"&amp;$A175,実績!$AE$6:$AE$505,"○")&gt;0,1,0))</f>
        <v/>
      </c>
      <c r="BW175">
        <f>IF(BW$4=0,0,IF(COUNTIFS(実績!$W$6:$W$505,BW$3,実績!$AC$6:$AC$505,"&lt;="&amp;$A175,実績!$AD$6:$AD$505,"&gt;"&amp;$A175,実績!$AE$6:$AE$505,"○")&gt;0,1,0))</f>
        <v/>
      </c>
      <c r="BX175">
        <f>IF(BX$4=0,0,IF(COUNTIFS(実績!$W$6:$W$505,BX$3,実績!$AC$6:$AC$505,"&lt;="&amp;$A175,実績!$AD$6:$AD$505,"&gt;"&amp;$A175,実績!$AE$6:$AE$505,"○")&gt;0,1,0))</f>
        <v/>
      </c>
      <c r="BY175">
        <f>IF(BY$4=0,0,IF(COUNTIFS(実績!$W$6:$W$505,BY$3,実績!$AC$6:$AC$505,"&lt;="&amp;$A175,実績!$AD$6:$AD$505,"&gt;"&amp;$A175,実績!$AE$6:$AE$505,"○")&gt;0,1,0))</f>
        <v/>
      </c>
      <c r="BZ175">
        <f>IF(BZ$4=0,0,IF(COUNTIFS(実績!$W$6:$W$505,BZ$3,実績!$AC$6:$AC$505,"&lt;="&amp;$A175,実績!$AD$6:$AD$505,"&gt;"&amp;$A175,実績!$AE$6:$AE$505,"○")&gt;0,1,0))</f>
        <v/>
      </c>
      <c r="CA175">
        <f>IF(CA$4=0,0,IF(COUNTIFS(実績!$W$6:$W$505,CA$3,実績!$AC$6:$AC$505,"&lt;="&amp;$A175,実績!$AD$6:$AD$505,"&gt;"&amp;$A175,実績!$AE$6:$AE$505,"○")&gt;0,1,0))</f>
        <v/>
      </c>
      <c r="CB175">
        <f>IF(CB$4=0,0,IF(COUNTIFS(実績!$W$6:$W$505,CB$3,実績!$AC$6:$AC$505,"&lt;="&amp;$A175,実績!$AD$6:$AD$505,"&gt;"&amp;$A175,実績!$AE$6:$AE$505,"○")&gt;0,1,0))</f>
        <v/>
      </c>
      <c r="CC175">
        <f>IF(CC$4=0,0,IF(COUNTIFS(実績!$W$6:$W$505,CC$3,実績!$AC$6:$AC$505,"&lt;="&amp;$A175,実績!$AD$6:$AD$505,"&gt;"&amp;$A175,実績!$AE$6:$AE$505,"○")&gt;0,1,0))</f>
        <v/>
      </c>
      <c r="CD175">
        <f>IF(CD$4=0,0,IF(COUNTIFS(実績!$W$6:$W$505,CD$3,実績!$AC$6:$AC$505,"&lt;="&amp;$A175,実績!$AD$6:$AD$505,"&gt;"&amp;$A175,実績!$AE$6:$AE$505,"○")&gt;0,1,0))</f>
        <v/>
      </c>
      <c r="CE175">
        <f>IF(CE$4=0,0,IF(COUNTIFS(実績!$W$6:$W$505,CE$3,実績!$AC$6:$AC$505,"&lt;="&amp;$A175,実績!$AD$6:$AD$505,"&gt;"&amp;$A175,実績!$AE$6:$AE$505,"○")&gt;0,1,0))</f>
        <v/>
      </c>
      <c r="CF175">
        <f>IF(CF$4=0,0,IF(COUNTIFS(実績!$W$6:$W$505,CF$3,実績!$AC$6:$AC$505,"&lt;="&amp;$A175,実績!$AD$6:$AD$505,"&gt;"&amp;$A175,実績!$AE$6:$AE$505,"○")&gt;0,1,0))</f>
        <v/>
      </c>
      <c r="CG175">
        <f>IF(CG$4=0,0,IF(COUNTIFS(実績!$W$6:$W$505,CG$3,実績!$AC$6:$AC$505,"&lt;="&amp;$A175,実績!$AD$6:$AD$505,"&gt;"&amp;$A175,実績!$AE$6:$AE$505,"○")&gt;0,1,0))</f>
        <v/>
      </c>
      <c r="CH175">
        <f>IF(CH$4=0,0,IF(COUNTIFS(実績!$W$6:$W$505,CH$3,実績!$AC$6:$AC$505,"&lt;="&amp;$A175,実績!$AD$6:$AD$505,"&gt;"&amp;$A175,実績!$AE$6:$AE$505,"○")&gt;0,1,0))</f>
        <v/>
      </c>
      <c r="CI175">
        <f>IF(CI$4=0,0,IF(COUNTIFS(実績!$W$6:$W$505,CI$3,実績!$AC$6:$AC$505,"&lt;="&amp;$A175,実績!$AD$6:$AD$505,"&gt;"&amp;$A175,実績!$AE$6:$AE$505,"○")&gt;0,1,0))</f>
        <v/>
      </c>
      <c r="CJ175">
        <f>IF(CJ$4=0,0,IF(COUNTIFS(実績!$W$6:$W$505,CJ$3,実績!$AC$6:$AC$505,"&lt;="&amp;$A175,実績!$AD$6:$AD$505,"&gt;"&amp;$A175,実績!$AE$6:$AE$505,"○")&gt;0,1,0))</f>
        <v/>
      </c>
      <c r="CK175">
        <f>IF(CK$4=0,0,IF(COUNTIFS(実績!$W$6:$W$505,CK$3,実績!$AC$6:$AC$505,"&lt;="&amp;$A175,実績!$AD$6:$AD$505,"&gt;"&amp;$A175,実績!$AE$6:$AE$505,"○")&gt;0,1,0))</f>
        <v/>
      </c>
      <c r="CL175">
        <f>IF(CL$4=0,0,IF(COUNTIFS(実績!$W$6:$W$505,CL$3,実績!$AC$6:$AC$505,"&lt;="&amp;$A175,実績!$AD$6:$AD$505,"&gt;"&amp;$A175,実績!$AE$6:$AE$505,"○")&gt;0,1,0))</f>
        <v/>
      </c>
      <c r="CM175">
        <f>IF(CM$4=0,0,IF(COUNTIFS(実績!$W$6:$W$505,CM$3,実績!$AC$6:$AC$505,"&lt;="&amp;$A175,実績!$AD$6:$AD$505,"&gt;"&amp;$A175,実績!$AE$6:$AE$505,"○")&gt;0,1,0))</f>
        <v/>
      </c>
      <c r="CN175">
        <f>IF(CN$4=0,0,IF(COUNTIFS(実績!$W$6:$W$505,CN$3,実績!$AC$6:$AC$505,"&lt;="&amp;$A175,実績!$AD$6:$AD$505,"&gt;"&amp;$A175,実績!$AE$6:$AE$505,"○")&gt;0,1,0))</f>
        <v/>
      </c>
      <c r="CO175">
        <f>IF(CO$4=0,0,IF(COUNTIFS(実績!$W$6:$W$505,CO$3,実績!$AC$6:$AC$505,"&lt;="&amp;$A175,実績!$AD$6:$AD$505,"&gt;"&amp;$A175,実績!$AE$6:$AE$505,"○")&gt;0,1,0))</f>
        <v/>
      </c>
      <c r="CP175">
        <f>IF(CP$4=0,0,IF(COUNTIFS(実績!$W$6:$W$505,CP$3,実績!$AC$6:$AC$505,"&lt;="&amp;$A175,実績!$AD$6:$AD$505,"&gt;"&amp;$A175,実績!$AE$6:$AE$505,"○")&gt;0,1,0))</f>
        <v/>
      </c>
      <c r="CQ175">
        <f>IF(CQ$4=0,0,IF(COUNTIFS(実績!$W$6:$W$505,CQ$3,実績!$AC$6:$AC$505,"&lt;="&amp;$A175,実績!$AD$6:$AD$505,"&gt;"&amp;$A175,実績!$AE$6:$AE$505,"○")&gt;0,1,0))</f>
        <v/>
      </c>
      <c r="CR175">
        <f>IF(CR$4=0,0,IF(COUNTIFS(実績!$W$6:$W$505,CR$3,実績!$AC$6:$AC$505,"&lt;="&amp;$A175,実績!$AD$6:$AD$505,"&gt;"&amp;$A175,実績!$AE$6:$AE$505,"○")&gt;0,1,0))</f>
        <v/>
      </c>
      <c r="CS175">
        <f>IF(CS$4=0,0,IF(COUNTIFS(実績!$W$6:$W$505,CS$3,実績!$AC$6:$AC$505,"&lt;="&amp;$A175,実績!$AD$6:$AD$505,"&gt;"&amp;$A175,実績!$AE$6:$AE$505,"○")&gt;0,1,0))</f>
        <v/>
      </c>
      <c r="CT175">
        <f>IF(CT$4=0,0,IF(COUNTIFS(実績!$W$6:$W$505,CT$3,実績!$AC$6:$AC$505,"&lt;="&amp;$A175,実績!$AD$6:$AD$505,"&gt;"&amp;$A175,実績!$AE$6:$AE$505,"○")&gt;0,1,0))</f>
        <v/>
      </c>
      <c r="CU175">
        <f>IF(CU$4=0,0,IF(COUNTIFS(実績!$W$6:$W$505,CU$3,実績!$AC$6:$AC$505,"&lt;="&amp;$A175,実績!$AD$6:$AD$505,"&gt;"&amp;$A175,実績!$AE$6:$AE$505,"○")&gt;0,1,0))</f>
        <v/>
      </c>
      <c r="CV175">
        <f>IF(CV$4=0,0,IF(COUNTIFS(実績!$W$6:$W$505,CV$3,実績!$AC$6:$AC$505,"&lt;="&amp;$A175,実績!$AD$6:$AD$505,"&gt;"&amp;$A175,実績!$AE$6:$AE$505,"○")&gt;0,1,0))</f>
        <v/>
      </c>
      <c r="CW175">
        <f>IF(CW$4=0,0,IF(COUNTIFS(実績!$W$6:$W$505,CW$3,実績!$AC$6:$AC$505,"&lt;="&amp;$A175,実績!$AD$6:$AD$505,"&gt;"&amp;$A175,実績!$AE$6:$AE$505,"○")&gt;0,1,0))</f>
        <v/>
      </c>
      <c r="CX175">
        <f>IF(CX$4=0,0,IF(COUNTIFS(実績!$W$6:$W$505,CX$3,実績!$AC$6:$AC$505,"&lt;="&amp;$A175,実績!$AD$6:$AD$505,"&gt;"&amp;$A175,実績!$AE$6:$AE$505,"○")&gt;0,1,0))</f>
        <v/>
      </c>
      <c r="CY175">
        <f>IF(CY$4=0,0,IF(COUNTIFS(実績!$W$6:$W$505,CY$3,実績!$AC$6:$AC$505,"&lt;="&amp;$A175,実績!$AD$6:$AD$505,"&gt;"&amp;$A175,実績!$AE$6:$AE$505,"○")&gt;0,1,0))</f>
        <v/>
      </c>
      <c r="CZ175">
        <f>IF(CZ$4=0,0,IF(COUNTIFS(実績!$W$6:$W$505,CZ$3,実績!$AC$6:$AC$505,"&lt;="&amp;$A175,実績!$AD$6:$AD$505,"&gt;"&amp;$A175,実績!$AE$6:$AE$505,"○")&gt;0,1,0))</f>
        <v/>
      </c>
      <c r="DA175">
        <f>IF(DA$4=0,0,IF(COUNTIFS(実績!$W$6:$W$505,DA$3,実績!$AC$6:$AC$505,"&lt;="&amp;$A175,実績!$AD$6:$AD$505,"&gt;"&amp;$A175,実績!$AE$6:$AE$505,"○")&gt;0,1,0))</f>
        <v/>
      </c>
      <c r="DB175">
        <f>IF(DB$4=0,0,IF(COUNTIFS(実績!$W$6:$W$505,DB$3,実績!$AC$6:$AC$505,"&lt;="&amp;$A175,実績!$AD$6:$AD$505,"&gt;"&amp;$A175,実績!$AE$6:$AE$505,"○")&gt;0,1,0))</f>
        <v/>
      </c>
      <c r="DC175">
        <f>IF(DC$4=0,0,IF(COUNTIFS(実績!$W$6:$W$505,DC$3,実績!$AC$6:$AC$505,"&lt;="&amp;$A175,実績!$AD$6:$AD$505,"&gt;"&amp;$A175,実績!$AE$6:$AE$505,"○")&gt;0,1,0))</f>
        <v/>
      </c>
      <c r="DD175">
        <f>IF(DD$4=0,0,IF(COUNTIFS(実績!$W$6:$W$505,DD$3,実績!$AC$6:$AC$505,"&lt;="&amp;$A175,実績!$AD$6:$AD$505,"&gt;"&amp;$A175,実績!$AE$6:$AE$505,"○")&gt;0,1,0))</f>
        <v/>
      </c>
      <c r="DE175">
        <f>IF(DE$4=0,0,IF(COUNTIFS(実績!$W$6:$W$505,DE$3,実績!$AC$6:$AC$505,"&lt;="&amp;$A175,実績!$AD$6:$AD$505,"&gt;"&amp;$A175,実績!$AE$6:$AE$505,"○")&gt;0,1,0))</f>
        <v/>
      </c>
      <c r="DF175">
        <f>IF(DF$4=0,0,IF(COUNTIFS(実績!$W$6:$W$505,DF$3,実績!$AC$6:$AC$505,"&lt;="&amp;$A175,実績!$AD$6:$AD$505,"&gt;"&amp;$A175,実績!$AE$6:$AE$505,"○")&gt;0,1,0))</f>
        <v/>
      </c>
      <c r="DG175">
        <f>IF(DG$4=0,0,IF(COUNTIFS(実績!$W$6:$W$505,DG$3,実績!$AC$6:$AC$505,"&lt;="&amp;$A175,実績!$AD$6:$AD$505,"&gt;"&amp;$A175,実績!$AE$6:$AE$505,"○")&gt;0,1,0))</f>
        <v/>
      </c>
      <c r="DH175">
        <f>IF(DH$4=0,0,IF(COUNTIFS(実績!$W$6:$W$505,DH$3,実績!$AC$6:$AC$505,"&lt;="&amp;$A175,実績!$AD$6:$AD$505,"&gt;"&amp;$A175,実績!$AE$6:$AE$505,"○")&gt;0,1,0))</f>
        <v/>
      </c>
      <c r="DI175">
        <f>IF(DI$4=0,0,IF(COUNTIFS(実績!$W$6:$W$505,DI$3,実績!$AC$6:$AC$505,"&lt;="&amp;$A175,実績!$AD$6:$AD$505,"&gt;"&amp;$A175,実績!$AE$6:$AE$505,"○")&gt;0,1,0))</f>
        <v/>
      </c>
      <c r="DJ175">
        <f>IF(DJ$4=0,0,IF(COUNTIFS(実績!$W$6:$W$505,DJ$3,実績!$AC$6:$AC$505,"&lt;="&amp;$A175,実績!$AD$6:$AD$505,"&gt;"&amp;$A175,実績!$AE$6:$AE$505,"○")&gt;0,1,0))</f>
        <v/>
      </c>
      <c r="DK175">
        <f>IF(DK$4=0,0,IF(COUNTIFS(実績!$W$6:$W$505,DK$3,実績!$AC$6:$AC$505,"&lt;="&amp;$A175,実績!$AD$6:$AD$505,"&gt;"&amp;$A175,実績!$AE$6:$AE$505,"○")&gt;0,1,0))</f>
        <v/>
      </c>
      <c r="DL175">
        <f>IF(DL$4=0,0,IF(COUNTIFS(実績!$W$6:$W$505,DL$3,実績!$AC$6:$AC$505,"&lt;="&amp;$A175,実績!$AD$6:$AD$505,"&gt;"&amp;$A175,実績!$AE$6:$AE$505,"○")&gt;0,1,0))</f>
        <v/>
      </c>
      <c r="DM175">
        <f>IF(DM$4=0,0,IF(COUNTIFS(実績!$W$6:$W$505,DM$3,実績!$AC$6:$AC$505,"&lt;="&amp;$A175,実績!$AD$6:$AD$505,"&gt;"&amp;$A175,実績!$AE$6:$AE$505,"○")&gt;0,1,0))</f>
        <v/>
      </c>
      <c r="DN175">
        <f>IF(DN$4=0,0,IF(COUNTIFS(実績!$W$6:$W$505,DN$3,実績!$AC$6:$AC$505,"&lt;="&amp;$A175,実績!$AD$6:$AD$505,"&gt;"&amp;$A175,実績!$AE$6:$AE$505,"○")&gt;0,1,0))</f>
        <v/>
      </c>
      <c r="DO175">
        <f>IF(DO$4=0,0,IF(COUNTIFS(実績!$W$6:$W$505,DO$3,実績!$AC$6:$AC$505,"&lt;="&amp;$A175,実績!$AD$6:$AD$505,"&gt;"&amp;$A175,実績!$AE$6:$AE$505,"○")&gt;0,1,0))</f>
        <v/>
      </c>
      <c r="DP175">
        <f>IF(DP$4=0,0,IF(COUNTIFS(実績!$W$6:$W$505,DP$3,実績!$AC$6:$AC$505,"&lt;="&amp;$A175,実績!$AD$6:$AD$505,"&gt;"&amp;$A175,実績!$AE$6:$AE$505,"○")&gt;0,1,0))</f>
        <v/>
      </c>
      <c r="DQ175">
        <f>IF(DQ$4=0,0,IF(COUNTIFS(実績!$W$6:$W$505,DQ$3,実績!$AC$6:$AC$505,"&lt;="&amp;$A175,実績!$AD$6:$AD$505,"&gt;"&amp;$A175,実績!$AE$6:$AE$505,"○")&gt;0,1,0))</f>
        <v/>
      </c>
      <c r="DR175">
        <f>IF(DR$4=0,0,IF(COUNTIFS(実績!$W$6:$W$505,DR$3,実績!$AC$6:$AC$505,"&lt;="&amp;$A175,実績!$AD$6:$AD$505,"&gt;"&amp;$A175,実績!$AE$6:$AE$505,"○")&gt;0,1,0))</f>
        <v/>
      </c>
      <c r="DS175">
        <f>SUM(C175:DR175)</f>
        <v/>
      </c>
      <c r="DT175">
        <f>SUMPRODUCT((実績!$C$6:$C$505="○")*ISNUMBER(実績!$AF$6:$AF$505)*(実績!$AF$6:$AF$505&lt;=$A175)*(実績!$AG$6:$AG$505&gt;$A175))</f>
        <v/>
      </c>
      <c r="DU175">
        <f>SUMIF($C$2:$DR$2,"製鉄曳船",C175:DR175)</f>
        <v/>
      </c>
      <c r="DV175">
        <f>SUMIF($C$2:$DR$2,"西日本海運",C175:DR175)</f>
        <v/>
      </c>
    </row>
    <row r="176">
      <c r="A176" t="n">
        <v>850</v>
      </c>
      <c r="B176" s="29">
        <f>A176/1440</f>
        <v/>
      </c>
      <c r="C176">
        <f>IF(C$4=0,0,IF(COUNTIFS(実績!$W$6:$W$505,C$3,実績!$AC$6:$AC$505,"&lt;="&amp;$A176,実績!$AD$6:$AD$505,"&gt;"&amp;$A176,実績!$AE$6:$AE$505,"○")&gt;0,1,0))</f>
        <v/>
      </c>
      <c r="D176">
        <f>IF(D$4=0,0,IF(COUNTIFS(実績!$W$6:$W$505,D$3,実績!$AC$6:$AC$505,"&lt;="&amp;$A176,実績!$AD$6:$AD$505,"&gt;"&amp;$A176,実績!$AE$6:$AE$505,"○")&gt;0,1,0))</f>
        <v/>
      </c>
      <c r="E176">
        <f>IF(E$4=0,0,IF(COUNTIFS(実績!$W$6:$W$505,E$3,実績!$AC$6:$AC$505,"&lt;="&amp;$A176,実績!$AD$6:$AD$505,"&gt;"&amp;$A176,実績!$AE$6:$AE$505,"○")&gt;0,1,0))</f>
        <v/>
      </c>
      <c r="F176">
        <f>IF(F$4=0,0,IF(COUNTIFS(実績!$W$6:$W$505,F$3,実績!$AC$6:$AC$505,"&lt;="&amp;$A176,実績!$AD$6:$AD$505,"&gt;"&amp;$A176,実績!$AE$6:$AE$505,"○")&gt;0,1,0))</f>
        <v/>
      </c>
      <c r="G176">
        <f>IF(G$4=0,0,IF(COUNTIFS(実績!$W$6:$W$505,G$3,実績!$AC$6:$AC$505,"&lt;="&amp;$A176,実績!$AD$6:$AD$505,"&gt;"&amp;$A176,実績!$AE$6:$AE$505,"○")&gt;0,1,0))</f>
        <v/>
      </c>
      <c r="H176">
        <f>IF(H$4=0,0,IF(COUNTIFS(実績!$W$6:$W$505,H$3,実績!$AC$6:$AC$505,"&lt;="&amp;$A176,実績!$AD$6:$AD$505,"&gt;"&amp;$A176,実績!$AE$6:$AE$505,"○")&gt;0,1,0))</f>
        <v/>
      </c>
      <c r="I176">
        <f>IF(I$4=0,0,IF(COUNTIFS(実績!$W$6:$W$505,I$3,実績!$AC$6:$AC$505,"&lt;="&amp;$A176,実績!$AD$6:$AD$505,"&gt;"&amp;$A176,実績!$AE$6:$AE$505,"○")&gt;0,1,0))</f>
        <v/>
      </c>
      <c r="J176">
        <f>IF(J$4=0,0,IF(COUNTIFS(実績!$W$6:$W$505,J$3,実績!$AC$6:$AC$505,"&lt;="&amp;$A176,実績!$AD$6:$AD$505,"&gt;"&amp;$A176,実績!$AE$6:$AE$505,"○")&gt;0,1,0))</f>
        <v/>
      </c>
      <c r="K176">
        <f>IF(K$4=0,0,IF(COUNTIFS(実績!$W$6:$W$505,K$3,実績!$AC$6:$AC$505,"&lt;="&amp;$A176,実績!$AD$6:$AD$505,"&gt;"&amp;$A176,実績!$AE$6:$AE$505,"○")&gt;0,1,0))</f>
        <v/>
      </c>
      <c r="L176">
        <f>IF(L$4=0,0,IF(COUNTIFS(実績!$W$6:$W$505,L$3,実績!$AC$6:$AC$505,"&lt;="&amp;$A176,実績!$AD$6:$AD$505,"&gt;"&amp;$A176,実績!$AE$6:$AE$505,"○")&gt;0,1,0))</f>
        <v/>
      </c>
      <c r="M176">
        <f>IF(M$4=0,0,IF(COUNTIFS(実績!$W$6:$W$505,M$3,実績!$AC$6:$AC$505,"&lt;="&amp;$A176,実績!$AD$6:$AD$505,"&gt;"&amp;$A176,実績!$AE$6:$AE$505,"○")&gt;0,1,0))</f>
        <v/>
      </c>
      <c r="N176">
        <f>IF(N$4=0,0,IF(COUNTIFS(実績!$W$6:$W$505,N$3,実績!$AC$6:$AC$505,"&lt;="&amp;$A176,実績!$AD$6:$AD$505,"&gt;"&amp;$A176,実績!$AE$6:$AE$505,"○")&gt;0,1,0))</f>
        <v/>
      </c>
      <c r="O176">
        <f>IF(O$4=0,0,IF(COUNTIFS(実績!$W$6:$W$505,O$3,実績!$AC$6:$AC$505,"&lt;="&amp;$A176,実績!$AD$6:$AD$505,"&gt;"&amp;$A176,実績!$AE$6:$AE$505,"○")&gt;0,1,0))</f>
        <v/>
      </c>
      <c r="P176">
        <f>IF(P$4=0,0,IF(COUNTIFS(実績!$W$6:$W$505,P$3,実績!$AC$6:$AC$505,"&lt;="&amp;$A176,実績!$AD$6:$AD$505,"&gt;"&amp;$A176,実績!$AE$6:$AE$505,"○")&gt;0,1,0))</f>
        <v/>
      </c>
      <c r="Q176">
        <f>IF(Q$4=0,0,IF(COUNTIFS(実績!$W$6:$W$505,Q$3,実績!$AC$6:$AC$505,"&lt;="&amp;$A176,実績!$AD$6:$AD$505,"&gt;"&amp;$A176,実績!$AE$6:$AE$505,"○")&gt;0,1,0))</f>
        <v/>
      </c>
      <c r="R176">
        <f>IF(R$4=0,0,IF(COUNTIFS(実績!$W$6:$W$505,R$3,実績!$AC$6:$AC$505,"&lt;="&amp;$A176,実績!$AD$6:$AD$505,"&gt;"&amp;$A176,実績!$AE$6:$AE$505,"○")&gt;0,1,0))</f>
        <v/>
      </c>
      <c r="S176">
        <f>IF(S$4=0,0,IF(COUNTIFS(実績!$W$6:$W$505,S$3,実績!$AC$6:$AC$505,"&lt;="&amp;$A176,実績!$AD$6:$AD$505,"&gt;"&amp;$A176,実績!$AE$6:$AE$505,"○")&gt;0,1,0))</f>
        <v/>
      </c>
      <c r="T176">
        <f>IF(T$4=0,0,IF(COUNTIFS(実績!$W$6:$W$505,T$3,実績!$AC$6:$AC$505,"&lt;="&amp;$A176,実績!$AD$6:$AD$505,"&gt;"&amp;$A176,実績!$AE$6:$AE$505,"○")&gt;0,1,0))</f>
        <v/>
      </c>
      <c r="U176">
        <f>IF(U$4=0,0,IF(COUNTIFS(実績!$W$6:$W$505,U$3,実績!$AC$6:$AC$505,"&lt;="&amp;$A176,実績!$AD$6:$AD$505,"&gt;"&amp;$A176,実績!$AE$6:$AE$505,"○")&gt;0,1,0))</f>
        <v/>
      </c>
      <c r="V176">
        <f>IF(V$4=0,0,IF(COUNTIFS(実績!$W$6:$W$505,V$3,実績!$AC$6:$AC$505,"&lt;="&amp;$A176,実績!$AD$6:$AD$505,"&gt;"&amp;$A176,実績!$AE$6:$AE$505,"○")&gt;0,1,0))</f>
        <v/>
      </c>
      <c r="W176">
        <f>IF(W$4=0,0,IF(COUNTIFS(実績!$W$6:$W$505,W$3,実績!$AC$6:$AC$505,"&lt;="&amp;$A176,実績!$AD$6:$AD$505,"&gt;"&amp;$A176,実績!$AE$6:$AE$505,"○")&gt;0,1,0))</f>
        <v/>
      </c>
      <c r="X176">
        <f>IF(X$4=0,0,IF(COUNTIFS(実績!$W$6:$W$505,X$3,実績!$AC$6:$AC$505,"&lt;="&amp;$A176,実績!$AD$6:$AD$505,"&gt;"&amp;$A176,実績!$AE$6:$AE$505,"○")&gt;0,1,0))</f>
        <v/>
      </c>
      <c r="Y176">
        <f>IF(Y$4=0,0,IF(COUNTIFS(実績!$W$6:$W$505,Y$3,実績!$AC$6:$AC$505,"&lt;="&amp;$A176,実績!$AD$6:$AD$505,"&gt;"&amp;$A176,実績!$AE$6:$AE$505,"○")&gt;0,1,0))</f>
        <v/>
      </c>
      <c r="Z176">
        <f>IF(Z$4=0,0,IF(COUNTIFS(実績!$W$6:$W$505,Z$3,実績!$AC$6:$AC$505,"&lt;="&amp;$A176,実績!$AD$6:$AD$505,"&gt;"&amp;$A176,実績!$AE$6:$AE$505,"○")&gt;0,1,0))</f>
        <v/>
      </c>
      <c r="AA176">
        <f>IF(AA$4=0,0,IF(COUNTIFS(実績!$W$6:$W$505,AA$3,実績!$AC$6:$AC$505,"&lt;="&amp;$A176,実績!$AD$6:$AD$505,"&gt;"&amp;$A176,実績!$AE$6:$AE$505,"○")&gt;0,1,0))</f>
        <v/>
      </c>
      <c r="AB176">
        <f>IF(AB$4=0,0,IF(COUNTIFS(実績!$W$6:$W$505,AB$3,実績!$AC$6:$AC$505,"&lt;="&amp;$A176,実績!$AD$6:$AD$505,"&gt;"&amp;$A176,実績!$AE$6:$AE$505,"○")&gt;0,1,0))</f>
        <v/>
      </c>
      <c r="AC176">
        <f>IF(AC$4=0,0,IF(COUNTIFS(実績!$W$6:$W$505,AC$3,実績!$AC$6:$AC$505,"&lt;="&amp;$A176,実績!$AD$6:$AD$505,"&gt;"&amp;$A176,実績!$AE$6:$AE$505,"○")&gt;0,1,0))</f>
        <v/>
      </c>
      <c r="AD176">
        <f>IF(AD$4=0,0,IF(COUNTIFS(実績!$W$6:$W$505,AD$3,実績!$AC$6:$AC$505,"&lt;="&amp;$A176,実績!$AD$6:$AD$505,"&gt;"&amp;$A176,実績!$AE$6:$AE$505,"○")&gt;0,1,0))</f>
        <v/>
      </c>
      <c r="AE176">
        <f>IF(AE$4=0,0,IF(COUNTIFS(実績!$W$6:$W$505,AE$3,実績!$AC$6:$AC$505,"&lt;="&amp;$A176,実績!$AD$6:$AD$505,"&gt;"&amp;$A176,実績!$AE$6:$AE$505,"○")&gt;0,1,0))</f>
        <v/>
      </c>
      <c r="AF176">
        <f>IF(AF$4=0,0,IF(COUNTIFS(実績!$W$6:$W$505,AF$3,実績!$AC$6:$AC$505,"&lt;="&amp;$A176,実績!$AD$6:$AD$505,"&gt;"&amp;$A176,実績!$AE$6:$AE$505,"○")&gt;0,1,0))</f>
        <v/>
      </c>
      <c r="AG176">
        <f>IF(AG$4=0,0,IF(COUNTIFS(実績!$W$6:$W$505,AG$3,実績!$AC$6:$AC$505,"&lt;="&amp;$A176,実績!$AD$6:$AD$505,"&gt;"&amp;$A176,実績!$AE$6:$AE$505,"○")&gt;0,1,0))</f>
        <v/>
      </c>
      <c r="AH176">
        <f>IF(AH$4=0,0,IF(COUNTIFS(実績!$W$6:$W$505,AH$3,実績!$AC$6:$AC$505,"&lt;="&amp;$A176,実績!$AD$6:$AD$505,"&gt;"&amp;$A176,実績!$AE$6:$AE$505,"○")&gt;0,1,0))</f>
        <v/>
      </c>
      <c r="AI176">
        <f>IF(AI$4=0,0,IF(COUNTIFS(実績!$W$6:$W$505,AI$3,実績!$AC$6:$AC$505,"&lt;="&amp;$A176,実績!$AD$6:$AD$505,"&gt;"&amp;$A176,実績!$AE$6:$AE$505,"○")&gt;0,1,0))</f>
        <v/>
      </c>
      <c r="AJ176">
        <f>IF(AJ$4=0,0,IF(COUNTIFS(実績!$W$6:$W$505,AJ$3,実績!$AC$6:$AC$505,"&lt;="&amp;$A176,実績!$AD$6:$AD$505,"&gt;"&amp;$A176,実績!$AE$6:$AE$505,"○")&gt;0,1,0))</f>
        <v/>
      </c>
      <c r="AK176">
        <f>IF(AK$4=0,0,IF(COUNTIFS(実績!$W$6:$W$505,AK$3,実績!$AC$6:$AC$505,"&lt;="&amp;$A176,実績!$AD$6:$AD$505,"&gt;"&amp;$A176,実績!$AE$6:$AE$505,"○")&gt;0,1,0))</f>
        <v/>
      </c>
      <c r="AL176">
        <f>IF(AL$4=0,0,IF(COUNTIFS(実績!$W$6:$W$505,AL$3,実績!$AC$6:$AC$505,"&lt;="&amp;$A176,実績!$AD$6:$AD$505,"&gt;"&amp;$A176,実績!$AE$6:$AE$505,"○")&gt;0,1,0))</f>
        <v/>
      </c>
      <c r="AM176">
        <f>IF(AM$4=0,0,IF(COUNTIFS(実績!$W$6:$W$505,AM$3,実績!$AC$6:$AC$505,"&lt;="&amp;$A176,実績!$AD$6:$AD$505,"&gt;"&amp;$A176,実績!$AE$6:$AE$505,"○")&gt;0,1,0))</f>
        <v/>
      </c>
      <c r="AN176">
        <f>IF(AN$4=0,0,IF(COUNTIFS(実績!$W$6:$W$505,AN$3,実績!$AC$6:$AC$505,"&lt;="&amp;$A176,実績!$AD$6:$AD$505,"&gt;"&amp;$A176,実績!$AE$6:$AE$505,"○")&gt;0,1,0))</f>
        <v/>
      </c>
      <c r="AO176">
        <f>IF(AO$4=0,0,IF(COUNTIFS(実績!$W$6:$W$505,AO$3,実績!$AC$6:$AC$505,"&lt;="&amp;$A176,実績!$AD$6:$AD$505,"&gt;"&amp;$A176,実績!$AE$6:$AE$505,"○")&gt;0,1,0))</f>
        <v/>
      </c>
      <c r="AP176">
        <f>IF(AP$4=0,0,IF(COUNTIFS(実績!$W$6:$W$505,AP$3,実績!$AC$6:$AC$505,"&lt;="&amp;$A176,実績!$AD$6:$AD$505,"&gt;"&amp;$A176,実績!$AE$6:$AE$505,"○")&gt;0,1,0))</f>
        <v/>
      </c>
      <c r="AQ176">
        <f>IF(AQ$4=0,0,IF(COUNTIFS(実績!$W$6:$W$505,AQ$3,実績!$AC$6:$AC$505,"&lt;="&amp;$A176,実績!$AD$6:$AD$505,"&gt;"&amp;$A176,実績!$AE$6:$AE$505,"○")&gt;0,1,0))</f>
        <v/>
      </c>
      <c r="AR176">
        <f>IF(AR$4=0,0,IF(COUNTIFS(実績!$W$6:$W$505,AR$3,実績!$AC$6:$AC$505,"&lt;="&amp;$A176,実績!$AD$6:$AD$505,"&gt;"&amp;$A176,実績!$AE$6:$AE$505,"○")&gt;0,1,0))</f>
        <v/>
      </c>
      <c r="AS176">
        <f>IF(AS$4=0,0,IF(COUNTIFS(実績!$W$6:$W$505,AS$3,実績!$AC$6:$AC$505,"&lt;="&amp;$A176,実績!$AD$6:$AD$505,"&gt;"&amp;$A176,実績!$AE$6:$AE$505,"○")&gt;0,1,0))</f>
        <v/>
      </c>
      <c r="AT176">
        <f>IF(AT$4=0,0,IF(COUNTIFS(実績!$W$6:$W$505,AT$3,実績!$AC$6:$AC$505,"&lt;="&amp;$A176,実績!$AD$6:$AD$505,"&gt;"&amp;$A176,実績!$AE$6:$AE$505,"○")&gt;0,1,0))</f>
        <v/>
      </c>
      <c r="AU176">
        <f>IF(AU$4=0,0,IF(COUNTIFS(実績!$W$6:$W$505,AU$3,実績!$AC$6:$AC$505,"&lt;="&amp;$A176,実績!$AD$6:$AD$505,"&gt;"&amp;$A176,実績!$AE$6:$AE$505,"○")&gt;0,1,0))</f>
        <v/>
      </c>
      <c r="AV176">
        <f>IF(AV$4=0,0,IF(COUNTIFS(実績!$W$6:$W$505,AV$3,実績!$AC$6:$AC$505,"&lt;="&amp;$A176,実績!$AD$6:$AD$505,"&gt;"&amp;$A176,実績!$AE$6:$AE$505,"○")&gt;0,1,0))</f>
        <v/>
      </c>
      <c r="AW176">
        <f>IF(AW$4=0,0,IF(COUNTIFS(実績!$W$6:$W$505,AW$3,実績!$AC$6:$AC$505,"&lt;="&amp;$A176,実績!$AD$6:$AD$505,"&gt;"&amp;$A176,実績!$AE$6:$AE$505,"○")&gt;0,1,0))</f>
        <v/>
      </c>
      <c r="AX176">
        <f>IF(AX$4=0,0,IF(COUNTIFS(実績!$W$6:$W$505,AX$3,実績!$AC$6:$AC$505,"&lt;="&amp;$A176,実績!$AD$6:$AD$505,"&gt;"&amp;$A176,実績!$AE$6:$AE$505,"○")&gt;0,1,0))</f>
        <v/>
      </c>
      <c r="AY176">
        <f>IF(AY$4=0,0,IF(COUNTIFS(実績!$W$6:$W$505,AY$3,実績!$AC$6:$AC$505,"&lt;="&amp;$A176,実績!$AD$6:$AD$505,"&gt;"&amp;$A176,実績!$AE$6:$AE$505,"○")&gt;0,1,0))</f>
        <v/>
      </c>
      <c r="AZ176">
        <f>IF(AZ$4=0,0,IF(COUNTIFS(実績!$W$6:$W$505,AZ$3,実績!$AC$6:$AC$505,"&lt;="&amp;$A176,実績!$AD$6:$AD$505,"&gt;"&amp;$A176,実績!$AE$6:$AE$505,"○")&gt;0,1,0))</f>
        <v/>
      </c>
      <c r="BA176">
        <f>IF(BA$4=0,0,IF(COUNTIFS(実績!$W$6:$W$505,BA$3,実績!$AC$6:$AC$505,"&lt;="&amp;$A176,実績!$AD$6:$AD$505,"&gt;"&amp;$A176,実績!$AE$6:$AE$505,"○")&gt;0,1,0))</f>
        <v/>
      </c>
      <c r="BB176">
        <f>IF(BB$4=0,0,IF(COUNTIFS(実績!$W$6:$W$505,BB$3,実績!$AC$6:$AC$505,"&lt;="&amp;$A176,実績!$AD$6:$AD$505,"&gt;"&amp;$A176,実績!$AE$6:$AE$505,"○")&gt;0,1,0))</f>
        <v/>
      </c>
      <c r="BC176">
        <f>IF(BC$4=0,0,IF(COUNTIFS(実績!$W$6:$W$505,BC$3,実績!$AC$6:$AC$505,"&lt;="&amp;$A176,実績!$AD$6:$AD$505,"&gt;"&amp;$A176,実績!$AE$6:$AE$505,"○")&gt;0,1,0))</f>
        <v/>
      </c>
      <c r="BD176">
        <f>IF(BD$4=0,0,IF(COUNTIFS(実績!$W$6:$W$505,BD$3,実績!$AC$6:$AC$505,"&lt;="&amp;$A176,実績!$AD$6:$AD$505,"&gt;"&amp;$A176,実績!$AE$6:$AE$505,"○")&gt;0,1,0))</f>
        <v/>
      </c>
      <c r="BE176">
        <f>IF(BE$4=0,0,IF(COUNTIFS(実績!$W$6:$W$505,BE$3,実績!$AC$6:$AC$505,"&lt;="&amp;$A176,実績!$AD$6:$AD$505,"&gt;"&amp;$A176,実績!$AE$6:$AE$505,"○")&gt;0,1,0))</f>
        <v/>
      </c>
      <c r="BF176">
        <f>IF(BF$4=0,0,IF(COUNTIFS(実績!$W$6:$W$505,BF$3,実績!$AC$6:$AC$505,"&lt;="&amp;$A176,実績!$AD$6:$AD$505,"&gt;"&amp;$A176,実績!$AE$6:$AE$505,"○")&gt;0,1,0))</f>
        <v/>
      </c>
      <c r="BG176">
        <f>IF(BG$4=0,0,IF(COUNTIFS(実績!$W$6:$W$505,BG$3,実績!$AC$6:$AC$505,"&lt;="&amp;$A176,実績!$AD$6:$AD$505,"&gt;"&amp;$A176,実績!$AE$6:$AE$505,"○")&gt;0,1,0))</f>
        <v/>
      </c>
      <c r="BH176">
        <f>IF(BH$4=0,0,IF(COUNTIFS(実績!$W$6:$W$505,BH$3,実績!$AC$6:$AC$505,"&lt;="&amp;$A176,実績!$AD$6:$AD$505,"&gt;"&amp;$A176,実績!$AE$6:$AE$505,"○")&gt;0,1,0))</f>
        <v/>
      </c>
      <c r="BI176">
        <f>IF(BI$4=0,0,IF(COUNTIFS(実績!$W$6:$W$505,BI$3,実績!$AC$6:$AC$505,"&lt;="&amp;$A176,実績!$AD$6:$AD$505,"&gt;"&amp;$A176,実績!$AE$6:$AE$505,"○")&gt;0,1,0))</f>
        <v/>
      </c>
      <c r="BJ176">
        <f>IF(BJ$4=0,0,IF(COUNTIFS(実績!$W$6:$W$505,BJ$3,実績!$AC$6:$AC$505,"&lt;="&amp;$A176,実績!$AD$6:$AD$505,"&gt;"&amp;$A176,実績!$AE$6:$AE$505,"○")&gt;0,1,0))</f>
        <v/>
      </c>
      <c r="BK176">
        <f>IF(BK$4=0,0,IF(COUNTIFS(実績!$W$6:$W$505,BK$3,実績!$AC$6:$AC$505,"&lt;="&amp;$A176,実績!$AD$6:$AD$505,"&gt;"&amp;$A176,実績!$AE$6:$AE$505,"○")&gt;0,1,0))</f>
        <v/>
      </c>
      <c r="BL176">
        <f>IF(BL$4=0,0,IF(COUNTIFS(実績!$W$6:$W$505,BL$3,実績!$AC$6:$AC$505,"&lt;="&amp;$A176,実績!$AD$6:$AD$505,"&gt;"&amp;$A176,実績!$AE$6:$AE$505,"○")&gt;0,1,0))</f>
        <v/>
      </c>
      <c r="BM176">
        <f>IF(BM$4=0,0,IF(COUNTIFS(実績!$W$6:$W$505,BM$3,実績!$AC$6:$AC$505,"&lt;="&amp;$A176,実績!$AD$6:$AD$505,"&gt;"&amp;$A176,実績!$AE$6:$AE$505,"○")&gt;0,1,0))</f>
        <v/>
      </c>
      <c r="BN176">
        <f>IF(BN$4=0,0,IF(COUNTIFS(実績!$W$6:$W$505,BN$3,実績!$AC$6:$AC$505,"&lt;="&amp;$A176,実績!$AD$6:$AD$505,"&gt;"&amp;$A176,実績!$AE$6:$AE$505,"○")&gt;0,1,0))</f>
        <v/>
      </c>
      <c r="BO176">
        <f>IF(BO$4=0,0,IF(COUNTIFS(実績!$W$6:$W$505,BO$3,実績!$AC$6:$AC$505,"&lt;="&amp;$A176,実績!$AD$6:$AD$505,"&gt;"&amp;$A176,実績!$AE$6:$AE$505,"○")&gt;0,1,0))</f>
        <v/>
      </c>
      <c r="BP176">
        <f>IF(BP$4=0,0,IF(COUNTIFS(実績!$W$6:$W$505,BP$3,実績!$AC$6:$AC$505,"&lt;="&amp;$A176,実績!$AD$6:$AD$505,"&gt;"&amp;$A176,実績!$AE$6:$AE$505,"○")&gt;0,1,0))</f>
        <v/>
      </c>
      <c r="BQ176">
        <f>IF(BQ$4=0,0,IF(COUNTIFS(実績!$W$6:$W$505,BQ$3,実績!$AC$6:$AC$505,"&lt;="&amp;$A176,実績!$AD$6:$AD$505,"&gt;"&amp;$A176,実績!$AE$6:$AE$505,"○")&gt;0,1,0))</f>
        <v/>
      </c>
      <c r="BR176">
        <f>IF(BR$4=0,0,IF(COUNTIFS(実績!$W$6:$W$505,BR$3,実績!$AC$6:$AC$505,"&lt;="&amp;$A176,実績!$AD$6:$AD$505,"&gt;"&amp;$A176,実績!$AE$6:$AE$505,"○")&gt;0,1,0))</f>
        <v/>
      </c>
      <c r="BS176">
        <f>IF(BS$4=0,0,IF(COUNTIFS(実績!$W$6:$W$505,BS$3,実績!$AC$6:$AC$505,"&lt;="&amp;$A176,実績!$AD$6:$AD$505,"&gt;"&amp;$A176,実績!$AE$6:$AE$505,"○")&gt;0,1,0))</f>
        <v/>
      </c>
      <c r="BT176">
        <f>IF(BT$4=0,0,IF(COUNTIFS(実績!$W$6:$W$505,BT$3,実績!$AC$6:$AC$505,"&lt;="&amp;$A176,実績!$AD$6:$AD$505,"&gt;"&amp;$A176,実績!$AE$6:$AE$505,"○")&gt;0,1,0))</f>
        <v/>
      </c>
      <c r="BU176">
        <f>IF(BU$4=0,0,IF(COUNTIFS(実績!$W$6:$W$505,BU$3,実績!$AC$6:$AC$505,"&lt;="&amp;$A176,実績!$AD$6:$AD$505,"&gt;"&amp;$A176,実績!$AE$6:$AE$505,"○")&gt;0,1,0))</f>
        <v/>
      </c>
      <c r="BV176">
        <f>IF(BV$4=0,0,IF(COUNTIFS(実績!$W$6:$W$505,BV$3,実績!$AC$6:$AC$505,"&lt;="&amp;$A176,実績!$AD$6:$AD$505,"&gt;"&amp;$A176,実績!$AE$6:$AE$505,"○")&gt;0,1,0))</f>
        <v/>
      </c>
      <c r="BW176">
        <f>IF(BW$4=0,0,IF(COUNTIFS(実績!$W$6:$W$505,BW$3,実績!$AC$6:$AC$505,"&lt;="&amp;$A176,実績!$AD$6:$AD$505,"&gt;"&amp;$A176,実績!$AE$6:$AE$505,"○")&gt;0,1,0))</f>
        <v/>
      </c>
      <c r="BX176">
        <f>IF(BX$4=0,0,IF(COUNTIFS(実績!$W$6:$W$505,BX$3,実績!$AC$6:$AC$505,"&lt;="&amp;$A176,実績!$AD$6:$AD$505,"&gt;"&amp;$A176,実績!$AE$6:$AE$505,"○")&gt;0,1,0))</f>
        <v/>
      </c>
      <c r="BY176">
        <f>IF(BY$4=0,0,IF(COUNTIFS(実績!$W$6:$W$505,BY$3,実績!$AC$6:$AC$505,"&lt;="&amp;$A176,実績!$AD$6:$AD$505,"&gt;"&amp;$A176,実績!$AE$6:$AE$505,"○")&gt;0,1,0))</f>
        <v/>
      </c>
      <c r="BZ176">
        <f>IF(BZ$4=0,0,IF(COUNTIFS(実績!$W$6:$W$505,BZ$3,実績!$AC$6:$AC$505,"&lt;="&amp;$A176,実績!$AD$6:$AD$505,"&gt;"&amp;$A176,実績!$AE$6:$AE$505,"○")&gt;0,1,0))</f>
        <v/>
      </c>
      <c r="CA176">
        <f>IF(CA$4=0,0,IF(COUNTIFS(実績!$W$6:$W$505,CA$3,実績!$AC$6:$AC$505,"&lt;="&amp;$A176,実績!$AD$6:$AD$505,"&gt;"&amp;$A176,実績!$AE$6:$AE$505,"○")&gt;0,1,0))</f>
        <v/>
      </c>
      <c r="CB176">
        <f>IF(CB$4=0,0,IF(COUNTIFS(実績!$W$6:$W$505,CB$3,実績!$AC$6:$AC$505,"&lt;="&amp;$A176,実績!$AD$6:$AD$505,"&gt;"&amp;$A176,実績!$AE$6:$AE$505,"○")&gt;0,1,0))</f>
        <v/>
      </c>
      <c r="CC176">
        <f>IF(CC$4=0,0,IF(COUNTIFS(実績!$W$6:$W$505,CC$3,実績!$AC$6:$AC$505,"&lt;="&amp;$A176,実績!$AD$6:$AD$505,"&gt;"&amp;$A176,実績!$AE$6:$AE$505,"○")&gt;0,1,0))</f>
        <v/>
      </c>
      <c r="CD176">
        <f>IF(CD$4=0,0,IF(COUNTIFS(実績!$W$6:$W$505,CD$3,実績!$AC$6:$AC$505,"&lt;="&amp;$A176,実績!$AD$6:$AD$505,"&gt;"&amp;$A176,実績!$AE$6:$AE$505,"○")&gt;0,1,0))</f>
        <v/>
      </c>
      <c r="CE176">
        <f>IF(CE$4=0,0,IF(COUNTIFS(実績!$W$6:$W$505,CE$3,実績!$AC$6:$AC$505,"&lt;="&amp;$A176,実績!$AD$6:$AD$505,"&gt;"&amp;$A176,実績!$AE$6:$AE$505,"○")&gt;0,1,0))</f>
        <v/>
      </c>
      <c r="CF176">
        <f>IF(CF$4=0,0,IF(COUNTIFS(実績!$W$6:$W$505,CF$3,実績!$AC$6:$AC$505,"&lt;="&amp;$A176,実績!$AD$6:$AD$505,"&gt;"&amp;$A176,実績!$AE$6:$AE$505,"○")&gt;0,1,0))</f>
        <v/>
      </c>
      <c r="CG176">
        <f>IF(CG$4=0,0,IF(COUNTIFS(実績!$W$6:$W$505,CG$3,実績!$AC$6:$AC$505,"&lt;="&amp;$A176,実績!$AD$6:$AD$505,"&gt;"&amp;$A176,実績!$AE$6:$AE$505,"○")&gt;0,1,0))</f>
        <v/>
      </c>
      <c r="CH176">
        <f>IF(CH$4=0,0,IF(COUNTIFS(実績!$W$6:$W$505,CH$3,実績!$AC$6:$AC$505,"&lt;="&amp;$A176,実績!$AD$6:$AD$505,"&gt;"&amp;$A176,実績!$AE$6:$AE$505,"○")&gt;0,1,0))</f>
        <v/>
      </c>
      <c r="CI176">
        <f>IF(CI$4=0,0,IF(COUNTIFS(実績!$W$6:$W$505,CI$3,実績!$AC$6:$AC$505,"&lt;="&amp;$A176,実績!$AD$6:$AD$505,"&gt;"&amp;$A176,実績!$AE$6:$AE$505,"○")&gt;0,1,0))</f>
        <v/>
      </c>
      <c r="CJ176">
        <f>IF(CJ$4=0,0,IF(COUNTIFS(実績!$W$6:$W$505,CJ$3,実績!$AC$6:$AC$505,"&lt;="&amp;$A176,実績!$AD$6:$AD$505,"&gt;"&amp;$A176,実績!$AE$6:$AE$505,"○")&gt;0,1,0))</f>
        <v/>
      </c>
      <c r="CK176">
        <f>IF(CK$4=0,0,IF(COUNTIFS(実績!$W$6:$W$505,CK$3,実績!$AC$6:$AC$505,"&lt;="&amp;$A176,実績!$AD$6:$AD$505,"&gt;"&amp;$A176,実績!$AE$6:$AE$505,"○")&gt;0,1,0))</f>
        <v/>
      </c>
      <c r="CL176">
        <f>IF(CL$4=0,0,IF(COUNTIFS(実績!$W$6:$W$505,CL$3,実績!$AC$6:$AC$505,"&lt;="&amp;$A176,実績!$AD$6:$AD$505,"&gt;"&amp;$A176,実績!$AE$6:$AE$505,"○")&gt;0,1,0))</f>
        <v/>
      </c>
      <c r="CM176">
        <f>IF(CM$4=0,0,IF(COUNTIFS(実績!$W$6:$W$505,CM$3,実績!$AC$6:$AC$505,"&lt;="&amp;$A176,実績!$AD$6:$AD$505,"&gt;"&amp;$A176,実績!$AE$6:$AE$505,"○")&gt;0,1,0))</f>
        <v/>
      </c>
      <c r="CN176">
        <f>IF(CN$4=0,0,IF(COUNTIFS(実績!$W$6:$W$505,CN$3,実績!$AC$6:$AC$505,"&lt;="&amp;$A176,実績!$AD$6:$AD$505,"&gt;"&amp;$A176,実績!$AE$6:$AE$505,"○")&gt;0,1,0))</f>
        <v/>
      </c>
      <c r="CO176">
        <f>IF(CO$4=0,0,IF(COUNTIFS(実績!$W$6:$W$505,CO$3,実績!$AC$6:$AC$505,"&lt;="&amp;$A176,実績!$AD$6:$AD$505,"&gt;"&amp;$A176,実績!$AE$6:$AE$505,"○")&gt;0,1,0))</f>
        <v/>
      </c>
      <c r="CP176">
        <f>IF(CP$4=0,0,IF(COUNTIFS(実績!$W$6:$W$505,CP$3,実績!$AC$6:$AC$505,"&lt;="&amp;$A176,実績!$AD$6:$AD$505,"&gt;"&amp;$A176,実績!$AE$6:$AE$505,"○")&gt;0,1,0))</f>
        <v/>
      </c>
      <c r="CQ176">
        <f>IF(CQ$4=0,0,IF(COUNTIFS(実績!$W$6:$W$505,CQ$3,実績!$AC$6:$AC$505,"&lt;="&amp;$A176,実績!$AD$6:$AD$505,"&gt;"&amp;$A176,実績!$AE$6:$AE$505,"○")&gt;0,1,0))</f>
        <v/>
      </c>
      <c r="CR176">
        <f>IF(CR$4=0,0,IF(COUNTIFS(実績!$W$6:$W$505,CR$3,実績!$AC$6:$AC$505,"&lt;="&amp;$A176,実績!$AD$6:$AD$505,"&gt;"&amp;$A176,実績!$AE$6:$AE$505,"○")&gt;0,1,0))</f>
        <v/>
      </c>
      <c r="CS176">
        <f>IF(CS$4=0,0,IF(COUNTIFS(実績!$W$6:$W$505,CS$3,実績!$AC$6:$AC$505,"&lt;="&amp;$A176,実績!$AD$6:$AD$505,"&gt;"&amp;$A176,実績!$AE$6:$AE$505,"○")&gt;0,1,0))</f>
        <v/>
      </c>
      <c r="CT176">
        <f>IF(CT$4=0,0,IF(COUNTIFS(実績!$W$6:$W$505,CT$3,実績!$AC$6:$AC$505,"&lt;="&amp;$A176,実績!$AD$6:$AD$505,"&gt;"&amp;$A176,実績!$AE$6:$AE$505,"○")&gt;0,1,0))</f>
        <v/>
      </c>
      <c r="CU176">
        <f>IF(CU$4=0,0,IF(COUNTIFS(実績!$W$6:$W$505,CU$3,実績!$AC$6:$AC$505,"&lt;="&amp;$A176,実績!$AD$6:$AD$505,"&gt;"&amp;$A176,実績!$AE$6:$AE$505,"○")&gt;0,1,0))</f>
        <v/>
      </c>
      <c r="CV176">
        <f>IF(CV$4=0,0,IF(COUNTIFS(実績!$W$6:$W$505,CV$3,実績!$AC$6:$AC$505,"&lt;="&amp;$A176,実績!$AD$6:$AD$505,"&gt;"&amp;$A176,実績!$AE$6:$AE$505,"○")&gt;0,1,0))</f>
        <v/>
      </c>
      <c r="CW176">
        <f>IF(CW$4=0,0,IF(COUNTIFS(実績!$W$6:$W$505,CW$3,実績!$AC$6:$AC$505,"&lt;="&amp;$A176,実績!$AD$6:$AD$505,"&gt;"&amp;$A176,実績!$AE$6:$AE$505,"○")&gt;0,1,0))</f>
        <v/>
      </c>
      <c r="CX176">
        <f>IF(CX$4=0,0,IF(COUNTIFS(実績!$W$6:$W$505,CX$3,実績!$AC$6:$AC$505,"&lt;="&amp;$A176,実績!$AD$6:$AD$505,"&gt;"&amp;$A176,実績!$AE$6:$AE$505,"○")&gt;0,1,0))</f>
        <v/>
      </c>
      <c r="CY176">
        <f>IF(CY$4=0,0,IF(COUNTIFS(実績!$W$6:$W$505,CY$3,実績!$AC$6:$AC$505,"&lt;="&amp;$A176,実績!$AD$6:$AD$505,"&gt;"&amp;$A176,実績!$AE$6:$AE$505,"○")&gt;0,1,0))</f>
        <v/>
      </c>
      <c r="CZ176">
        <f>IF(CZ$4=0,0,IF(COUNTIFS(実績!$W$6:$W$505,CZ$3,実績!$AC$6:$AC$505,"&lt;="&amp;$A176,実績!$AD$6:$AD$505,"&gt;"&amp;$A176,実績!$AE$6:$AE$505,"○")&gt;0,1,0))</f>
        <v/>
      </c>
      <c r="DA176">
        <f>IF(DA$4=0,0,IF(COUNTIFS(実績!$W$6:$W$505,DA$3,実績!$AC$6:$AC$505,"&lt;="&amp;$A176,実績!$AD$6:$AD$505,"&gt;"&amp;$A176,実績!$AE$6:$AE$505,"○")&gt;0,1,0))</f>
        <v/>
      </c>
      <c r="DB176">
        <f>IF(DB$4=0,0,IF(COUNTIFS(実績!$W$6:$W$505,DB$3,実績!$AC$6:$AC$505,"&lt;="&amp;$A176,実績!$AD$6:$AD$505,"&gt;"&amp;$A176,実績!$AE$6:$AE$505,"○")&gt;0,1,0))</f>
        <v/>
      </c>
      <c r="DC176">
        <f>IF(DC$4=0,0,IF(COUNTIFS(実績!$W$6:$W$505,DC$3,実績!$AC$6:$AC$505,"&lt;="&amp;$A176,実績!$AD$6:$AD$505,"&gt;"&amp;$A176,実績!$AE$6:$AE$505,"○")&gt;0,1,0))</f>
        <v/>
      </c>
      <c r="DD176">
        <f>IF(DD$4=0,0,IF(COUNTIFS(実績!$W$6:$W$505,DD$3,実績!$AC$6:$AC$505,"&lt;="&amp;$A176,実績!$AD$6:$AD$505,"&gt;"&amp;$A176,実績!$AE$6:$AE$505,"○")&gt;0,1,0))</f>
        <v/>
      </c>
      <c r="DE176">
        <f>IF(DE$4=0,0,IF(COUNTIFS(実績!$W$6:$W$505,DE$3,実績!$AC$6:$AC$505,"&lt;="&amp;$A176,実績!$AD$6:$AD$505,"&gt;"&amp;$A176,実績!$AE$6:$AE$505,"○")&gt;0,1,0))</f>
        <v/>
      </c>
      <c r="DF176">
        <f>IF(DF$4=0,0,IF(COUNTIFS(実績!$W$6:$W$505,DF$3,実績!$AC$6:$AC$505,"&lt;="&amp;$A176,実績!$AD$6:$AD$505,"&gt;"&amp;$A176,実績!$AE$6:$AE$505,"○")&gt;0,1,0))</f>
        <v/>
      </c>
      <c r="DG176">
        <f>IF(DG$4=0,0,IF(COUNTIFS(実績!$W$6:$W$505,DG$3,実績!$AC$6:$AC$505,"&lt;="&amp;$A176,実績!$AD$6:$AD$505,"&gt;"&amp;$A176,実績!$AE$6:$AE$505,"○")&gt;0,1,0))</f>
        <v/>
      </c>
      <c r="DH176">
        <f>IF(DH$4=0,0,IF(COUNTIFS(実績!$W$6:$W$505,DH$3,実績!$AC$6:$AC$505,"&lt;="&amp;$A176,実績!$AD$6:$AD$505,"&gt;"&amp;$A176,実績!$AE$6:$AE$505,"○")&gt;0,1,0))</f>
        <v/>
      </c>
      <c r="DI176">
        <f>IF(DI$4=0,0,IF(COUNTIFS(実績!$W$6:$W$505,DI$3,実績!$AC$6:$AC$505,"&lt;="&amp;$A176,実績!$AD$6:$AD$505,"&gt;"&amp;$A176,実績!$AE$6:$AE$505,"○")&gt;0,1,0))</f>
        <v/>
      </c>
      <c r="DJ176">
        <f>IF(DJ$4=0,0,IF(COUNTIFS(実績!$W$6:$W$505,DJ$3,実績!$AC$6:$AC$505,"&lt;="&amp;$A176,実績!$AD$6:$AD$505,"&gt;"&amp;$A176,実績!$AE$6:$AE$505,"○")&gt;0,1,0))</f>
        <v/>
      </c>
      <c r="DK176">
        <f>IF(DK$4=0,0,IF(COUNTIFS(実績!$W$6:$W$505,DK$3,実績!$AC$6:$AC$505,"&lt;="&amp;$A176,実績!$AD$6:$AD$505,"&gt;"&amp;$A176,実績!$AE$6:$AE$505,"○")&gt;0,1,0))</f>
        <v/>
      </c>
      <c r="DL176">
        <f>IF(DL$4=0,0,IF(COUNTIFS(実績!$W$6:$W$505,DL$3,実績!$AC$6:$AC$505,"&lt;="&amp;$A176,実績!$AD$6:$AD$505,"&gt;"&amp;$A176,実績!$AE$6:$AE$505,"○")&gt;0,1,0))</f>
        <v/>
      </c>
      <c r="DM176">
        <f>IF(DM$4=0,0,IF(COUNTIFS(実績!$W$6:$W$505,DM$3,実績!$AC$6:$AC$505,"&lt;="&amp;$A176,実績!$AD$6:$AD$505,"&gt;"&amp;$A176,実績!$AE$6:$AE$505,"○")&gt;0,1,0))</f>
        <v/>
      </c>
      <c r="DN176">
        <f>IF(DN$4=0,0,IF(COUNTIFS(実績!$W$6:$W$505,DN$3,実績!$AC$6:$AC$505,"&lt;="&amp;$A176,実績!$AD$6:$AD$505,"&gt;"&amp;$A176,実績!$AE$6:$AE$505,"○")&gt;0,1,0))</f>
        <v/>
      </c>
      <c r="DO176">
        <f>IF(DO$4=0,0,IF(COUNTIFS(実績!$W$6:$W$505,DO$3,実績!$AC$6:$AC$505,"&lt;="&amp;$A176,実績!$AD$6:$AD$505,"&gt;"&amp;$A176,実績!$AE$6:$AE$505,"○")&gt;0,1,0))</f>
        <v/>
      </c>
      <c r="DP176">
        <f>IF(DP$4=0,0,IF(COUNTIFS(実績!$W$6:$W$505,DP$3,実績!$AC$6:$AC$505,"&lt;="&amp;$A176,実績!$AD$6:$AD$505,"&gt;"&amp;$A176,実績!$AE$6:$AE$505,"○")&gt;0,1,0))</f>
        <v/>
      </c>
      <c r="DQ176">
        <f>IF(DQ$4=0,0,IF(COUNTIFS(実績!$W$6:$W$505,DQ$3,実績!$AC$6:$AC$505,"&lt;="&amp;$A176,実績!$AD$6:$AD$505,"&gt;"&amp;$A176,実績!$AE$6:$AE$505,"○")&gt;0,1,0))</f>
        <v/>
      </c>
      <c r="DR176">
        <f>IF(DR$4=0,0,IF(COUNTIFS(実績!$W$6:$W$505,DR$3,実績!$AC$6:$AC$505,"&lt;="&amp;$A176,実績!$AD$6:$AD$505,"&gt;"&amp;$A176,実績!$AE$6:$AE$505,"○")&gt;0,1,0))</f>
        <v/>
      </c>
      <c r="DS176">
        <f>SUM(C176:DR176)</f>
        <v/>
      </c>
      <c r="DT176">
        <f>SUMPRODUCT((実績!$C$6:$C$505="○")*ISNUMBER(実績!$AF$6:$AF$505)*(実績!$AF$6:$AF$505&lt;=$A176)*(実績!$AG$6:$AG$505&gt;$A176))</f>
        <v/>
      </c>
      <c r="DU176">
        <f>SUMIF($C$2:$DR$2,"製鉄曳船",C176:DR176)</f>
        <v/>
      </c>
      <c r="DV176">
        <f>SUMIF($C$2:$DR$2,"西日本海運",C176:DR176)</f>
        <v/>
      </c>
    </row>
    <row r="177">
      <c r="A177" t="n">
        <v>855</v>
      </c>
      <c r="B177" s="29">
        <f>A177/1440</f>
        <v/>
      </c>
      <c r="C177">
        <f>IF(C$4=0,0,IF(COUNTIFS(実績!$W$6:$W$505,C$3,実績!$AC$6:$AC$505,"&lt;="&amp;$A177,実績!$AD$6:$AD$505,"&gt;"&amp;$A177,実績!$AE$6:$AE$505,"○")&gt;0,1,0))</f>
        <v/>
      </c>
      <c r="D177">
        <f>IF(D$4=0,0,IF(COUNTIFS(実績!$W$6:$W$505,D$3,実績!$AC$6:$AC$505,"&lt;="&amp;$A177,実績!$AD$6:$AD$505,"&gt;"&amp;$A177,実績!$AE$6:$AE$505,"○")&gt;0,1,0))</f>
        <v/>
      </c>
      <c r="E177">
        <f>IF(E$4=0,0,IF(COUNTIFS(実績!$W$6:$W$505,E$3,実績!$AC$6:$AC$505,"&lt;="&amp;$A177,実績!$AD$6:$AD$505,"&gt;"&amp;$A177,実績!$AE$6:$AE$505,"○")&gt;0,1,0))</f>
        <v/>
      </c>
      <c r="F177">
        <f>IF(F$4=0,0,IF(COUNTIFS(実績!$W$6:$W$505,F$3,実績!$AC$6:$AC$505,"&lt;="&amp;$A177,実績!$AD$6:$AD$505,"&gt;"&amp;$A177,実績!$AE$6:$AE$505,"○")&gt;0,1,0))</f>
        <v/>
      </c>
      <c r="G177">
        <f>IF(G$4=0,0,IF(COUNTIFS(実績!$W$6:$W$505,G$3,実績!$AC$6:$AC$505,"&lt;="&amp;$A177,実績!$AD$6:$AD$505,"&gt;"&amp;$A177,実績!$AE$6:$AE$505,"○")&gt;0,1,0))</f>
        <v/>
      </c>
      <c r="H177">
        <f>IF(H$4=0,0,IF(COUNTIFS(実績!$W$6:$W$505,H$3,実績!$AC$6:$AC$505,"&lt;="&amp;$A177,実績!$AD$6:$AD$505,"&gt;"&amp;$A177,実績!$AE$6:$AE$505,"○")&gt;0,1,0))</f>
        <v/>
      </c>
      <c r="I177">
        <f>IF(I$4=0,0,IF(COUNTIFS(実績!$W$6:$W$505,I$3,実績!$AC$6:$AC$505,"&lt;="&amp;$A177,実績!$AD$6:$AD$505,"&gt;"&amp;$A177,実績!$AE$6:$AE$505,"○")&gt;0,1,0))</f>
        <v/>
      </c>
      <c r="J177">
        <f>IF(J$4=0,0,IF(COUNTIFS(実績!$W$6:$W$505,J$3,実績!$AC$6:$AC$505,"&lt;="&amp;$A177,実績!$AD$6:$AD$505,"&gt;"&amp;$A177,実績!$AE$6:$AE$505,"○")&gt;0,1,0))</f>
        <v/>
      </c>
      <c r="K177">
        <f>IF(K$4=0,0,IF(COUNTIFS(実績!$W$6:$W$505,K$3,実績!$AC$6:$AC$505,"&lt;="&amp;$A177,実績!$AD$6:$AD$505,"&gt;"&amp;$A177,実績!$AE$6:$AE$505,"○")&gt;0,1,0))</f>
        <v/>
      </c>
      <c r="L177">
        <f>IF(L$4=0,0,IF(COUNTIFS(実績!$W$6:$W$505,L$3,実績!$AC$6:$AC$505,"&lt;="&amp;$A177,実績!$AD$6:$AD$505,"&gt;"&amp;$A177,実績!$AE$6:$AE$505,"○")&gt;0,1,0))</f>
        <v/>
      </c>
      <c r="M177">
        <f>IF(M$4=0,0,IF(COUNTIFS(実績!$W$6:$W$505,M$3,実績!$AC$6:$AC$505,"&lt;="&amp;$A177,実績!$AD$6:$AD$505,"&gt;"&amp;$A177,実績!$AE$6:$AE$505,"○")&gt;0,1,0))</f>
        <v/>
      </c>
      <c r="N177">
        <f>IF(N$4=0,0,IF(COUNTIFS(実績!$W$6:$W$505,N$3,実績!$AC$6:$AC$505,"&lt;="&amp;$A177,実績!$AD$6:$AD$505,"&gt;"&amp;$A177,実績!$AE$6:$AE$505,"○")&gt;0,1,0))</f>
        <v/>
      </c>
      <c r="O177">
        <f>IF(O$4=0,0,IF(COUNTIFS(実績!$W$6:$W$505,O$3,実績!$AC$6:$AC$505,"&lt;="&amp;$A177,実績!$AD$6:$AD$505,"&gt;"&amp;$A177,実績!$AE$6:$AE$505,"○")&gt;0,1,0))</f>
        <v/>
      </c>
      <c r="P177">
        <f>IF(P$4=0,0,IF(COUNTIFS(実績!$W$6:$W$505,P$3,実績!$AC$6:$AC$505,"&lt;="&amp;$A177,実績!$AD$6:$AD$505,"&gt;"&amp;$A177,実績!$AE$6:$AE$505,"○")&gt;0,1,0))</f>
        <v/>
      </c>
      <c r="Q177">
        <f>IF(Q$4=0,0,IF(COUNTIFS(実績!$W$6:$W$505,Q$3,実績!$AC$6:$AC$505,"&lt;="&amp;$A177,実績!$AD$6:$AD$505,"&gt;"&amp;$A177,実績!$AE$6:$AE$505,"○")&gt;0,1,0))</f>
        <v/>
      </c>
      <c r="R177">
        <f>IF(R$4=0,0,IF(COUNTIFS(実績!$W$6:$W$505,R$3,実績!$AC$6:$AC$505,"&lt;="&amp;$A177,実績!$AD$6:$AD$505,"&gt;"&amp;$A177,実績!$AE$6:$AE$505,"○")&gt;0,1,0))</f>
        <v/>
      </c>
      <c r="S177">
        <f>IF(S$4=0,0,IF(COUNTIFS(実績!$W$6:$W$505,S$3,実績!$AC$6:$AC$505,"&lt;="&amp;$A177,実績!$AD$6:$AD$505,"&gt;"&amp;$A177,実績!$AE$6:$AE$505,"○")&gt;0,1,0))</f>
        <v/>
      </c>
      <c r="T177">
        <f>IF(T$4=0,0,IF(COUNTIFS(実績!$W$6:$W$505,T$3,実績!$AC$6:$AC$505,"&lt;="&amp;$A177,実績!$AD$6:$AD$505,"&gt;"&amp;$A177,実績!$AE$6:$AE$505,"○")&gt;0,1,0))</f>
        <v/>
      </c>
      <c r="U177">
        <f>IF(U$4=0,0,IF(COUNTIFS(実績!$W$6:$W$505,U$3,実績!$AC$6:$AC$505,"&lt;="&amp;$A177,実績!$AD$6:$AD$505,"&gt;"&amp;$A177,実績!$AE$6:$AE$505,"○")&gt;0,1,0))</f>
        <v/>
      </c>
      <c r="V177">
        <f>IF(V$4=0,0,IF(COUNTIFS(実績!$W$6:$W$505,V$3,実績!$AC$6:$AC$505,"&lt;="&amp;$A177,実績!$AD$6:$AD$505,"&gt;"&amp;$A177,実績!$AE$6:$AE$505,"○")&gt;0,1,0))</f>
        <v/>
      </c>
      <c r="W177">
        <f>IF(W$4=0,0,IF(COUNTIFS(実績!$W$6:$W$505,W$3,実績!$AC$6:$AC$505,"&lt;="&amp;$A177,実績!$AD$6:$AD$505,"&gt;"&amp;$A177,実績!$AE$6:$AE$505,"○")&gt;0,1,0))</f>
        <v/>
      </c>
      <c r="X177">
        <f>IF(X$4=0,0,IF(COUNTIFS(実績!$W$6:$W$505,X$3,実績!$AC$6:$AC$505,"&lt;="&amp;$A177,実績!$AD$6:$AD$505,"&gt;"&amp;$A177,実績!$AE$6:$AE$505,"○")&gt;0,1,0))</f>
        <v/>
      </c>
      <c r="Y177">
        <f>IF(Y$4=0,0,IF(COUNTIFS(実績!$W$6:$W$505,Y$3,実績!$AC$6:$AC$505,"&lt;="&amp;$A177,実績!$AD$6:$AD$505,"&gt;"&amp;$A177,実績!$AE$6:$AE$505,"○")&gt;0,1,0))</f>
        <v/>
      </c>
      <c r="Z177">
        <f>IF(Z$4=0,0,IF(COUNTIFS(実績!$W$6:$W$505,Z$3,実績!$AC$6:$AC$505,"&lt;="&amp;$A177,実績!$AD$6:$AD$505,"&gt;"&amp;$A177,実績!$AE$6:$AE$505,"○")&gt;0,1,0))</f>
        <v/>
      </c>
      <c r="AA177">
        <f>IF(AA$4=0,0,IF(COUNTIFS(実績!$W$6:$W$505,AA$3,実績!$AC$6:$AC$505,"&lt;="&amp;$A177,実績!$AD$6:$AD$505,"&gt;"&amp;$A177,実績!$AE$6:$AE$505,"○")&gt;0,1,0))</f>
        <v/>
      </c>
      <c r="AB177">
        <f>IF(AB$4=0,0,IF(COUNTIFS(実績!$W$6:$W$505,AB$3,実績!$AC$6:$AC$505,"&lt;="&amp;$A177,実績!$AD$6:$AD$505,"&gt;"&amp;$A177,実績!$AE$6:$AE$505,"○")&gt;0,1,0))</f>
        <v/>
      </c>
      <c r="AC177">
        <f>IF(AC$4=0,0,IF(COUNTIFS(実績!$W$6:$W$505,AC$3,実績!$AC$6:$AC$505,"&lt;="&amp;$A177,実績!$AD$6:$AD$505,"&gt;"&amp;$A177,実績!$AE$6:$AE$505,"○")&gt;0,1,0))</f>
        <v/>
      </c>
      <c r="AD177">
        <f>IF(AD$4=0,0,IF(COUNTIFS(実績!$W$6:$W$505,AD$3,実績!$AC$6:$AC$505,"&lt;="&amp;$A177,実績!$AD$6:$AD$505,"&gt;"&amp;$A177,実績!$AE$6:$AE$505,"○")&gt;0,1,0))</f>
        <v/>
      </c>
      <c r="AE177">
        <f>IF(AE$4=0,0,IF(COUNTIFS(実績!$W$6:$W$505,AE$3,実績!$AC$6:$AC$505,"&lt;="&amp;$A177,実績!$AD$6:$AD$505,"&gt;"&amp;$A177,実績!$AE$6:$AE$505,"○")&gt;0,1,0))</f>
        <v/>
      </c>
      <c r="AF177">
        <f>IF(AF$4=0,0,IF(COUNTIFS(実績!$W$6:$W$505,AF$3,実績!$AC$6:$AC$505,"&lt;="&amp;$A177,実績!$AD$6:$AD$505,"&gt;"&amp;$A177,実績!$AE$6:$AE$505,"○")&gt;0,1,0))</f>
        <v/>
      </c>
      <c r="AG177">
        <f>IF(AG$4=0,0,IF(COUNTIFS(実績!$W$6:$W$505,AG$3,実績!$AC$6:$AC$505,"&lt;="&amp;$A177,実績!$AD$6:$AD$505,"&gt;"&amp;$A177,実績!$AE$6:$AE$505,"○")&gt;0,1,0))</f>
        <v/>
      </c>
      <c r="AH177">
        <f>IF(AH$4=0,0,IF(COUNTIFS(実績!$W$6:$W$505,AH$3,実績!$AC$6:$AC$505,"&lt;="&amp;$A177,実績!$AD$6:$AD$505,"&gt;"&amp;$A177,実績!$AE$6:$AE$505,"○")&gt;0,1,0))</f>
        <v/>
      </c>
      <c r="AI177">
        <f>IF(AI$4=0,0,IF(COUNTIFS(実績!$W$6:$W$505,AI$3,実績!$AC$6:$AC$505,"&lt;="&amp;$A177,実績!$AD$6:$AD$505,"&gt;"&amp;$A177,実績!$AE$6:$AE$505,"○")&gt;0,1,0))</f>
        <v/>
      </c>
      <c r="AJ177">
        <f>IF(AJ$4=0,0,IF(COUNTIFS(実績!$W$6:$W$505,AJ$3,実績!$AC$6:$AC$505,"&lt;="&amp;$A177,実績!$AD$6:$AD$505,"&gt;"&amp;$A177,実績!$AE$6:$AE$505,"○")&gt;0,1,0))</f>
        <v/>
      </c>
      <c r="AK177">
        <f>IF(AK$4=0,0,IF(COUNTIFS(実績!$W$6:$W$505,AK$3,実績!$AC$6:$AC$505,"&lt;="&amp;$A177,実績!$AD$6:$AD$505,"&gt;"&amp;$A177,実績!$AE$6:$AE$505,"○")&gt;0,1,0))</f>
        <v/>
      </c>
      <c r="AL177">
        <f>IF(AL$4=0,0,IF(COUNTIFS(実績!$W$6:$W$505,AL$3,実績!$AC$6:$AC$505,"&lt;="&amp;$A177,実績!$AD$6:$AD$505,"&gt;"&amp;$A177,実績!$AE$6:$AE$505,"○")&gt;0,1,0))</f>
        <v/>
      </c>
      <c r="AM177">
        <f>IF(AM$4=0,0,IF(COUNTIFS(実績!$W$6:$W$505,AM$3,実績!$AC$6:$AC$505,"&lt;="&amp;$A177,実績!$AD$6:$AD$505,"&gt;"&amp;$A177,実績!$AE$6:$AE$505,"○")&gt;0,1,0))</f>
        <v/>
      </c>
      <c r="AN177">
        <f>IF(AN$4=0,0,IF(COUNTIFS(実績!$W$6:$W$505,AN$3,実績!$AC$6:$AC$505,"&lt;="&amp;$A177,実績!$AD$6:$AD$505,"&gt;"&amp;$A177,実績!$AE$6:$AE$505,"○")&gt;0,1,0))</f>
        <v/>
      </c>
      <c r="AO177">
        <f>IF(AO$4=0,0,IF(COUNTIFS(実績!$W$6:$W$505,AO$3,実績!$AC$6:$AC$505,"&lt;="&amp;$A177,実績!$AD$6:$AD$505,"&gt;"&amp;$A177,実績!$AE$6:$AE$505,"○")&gt;0,1,0))</f>
        <v/>
      </c>
      <c r="AP177">
        <f>IF(AP$4=0,0,IF(COUNTIFS(実績!$W$6:$W$505,AP$3,実績!$AC$6:$AC$505,"&lt;="&amp;$A177,実績!$AD$6:$AD$505,"&gt;"&amp;$A177,実績!$AE$6:$AE$505,"○")&gt;0,1,0))</f>
        <v/>
      </c>
      <c r="AQ177">
        <f>IF(AQ$4=0,0,IF(COUNTIFS(実績!$W$6:$W$505,AQ$3,実績!$AC$6:$AC$505,"&lt;="&amp;$A177,実績!$AD$6:$AD$505,"&gt;"&amp;$A177,実績!$AE$6:$AE$505,"○")&gt;0,1,0))</f>
        <v/>
      </c>
      <c r="AR177">
        <f>IF(AR$4=0,0,IF(COUNTIFS(実績!$W$6:$W$505,AR$3,実績!$AC$6:$AC$505,"&lt;="&amp;$A177,実績!$AD$6:$AD$505,"&gt;"&amp;$A177,実績!$AE$6:$AE$505,"○")&gt;0,1,0))</f>
        <v/>
      </c>
      <c r="AS177">
        <f>IF(AS$4=0,0,IF(COUNTIFS(実績!$W$6:$W$505,AS$3,実績!$AC$6:$AC$505,"&lt;="&amp;$A177,実績!$AD$6:$AD$505,"&gt;"&amp;$A177,実績!$AE$6:$AE$505,"○")&gt;0,1,0))</f>
        <v/>
      </c>
      <c r="AT177">
        <f>IF(AT$4=0,0,IF(COUNTIFS(実績!$W$6:$W$505,AT$3,実績!$AC$6:$AC$505,"&lt;="&amp;$A177,実績!$AD$6:$AD$505,"&gt;"&amp;$A177,実績!$AE$6:$AE$505,"○")&gt;0,1,0))</f>
        <v/>
      </c>
      <c r="AU177">
        <f>IF(AU$4=0,0,IF(COUNTIFS(実績!$W$6:$W$505,AU$3,実績!$AC$6:$AC$505,"&lt;="&amp;$A177,実績!$AD$6:$AD$505,"&gt;"&amp;$A177,実績!$AE$6:$AE$505,"○")&gt;0,1,0))</f>
        <v/>
      </c>
      <c r="AV177">
        <f>IF(AV$4=0,0,IF(COUNTIFS(実績!$W$6:$W$505,AV$3,実績!$AC$6:$AC$505,"&lt;="&amp;$A177,実績!$AD$6:$AD$505,"&gt;"&amp;$A177,実績!$AE$6:$AE$505,"○")&gt;0,1,0))</f>
        <v/>
      </c>
      <c r="AW177">
        <f>IF(AW$4=0,0,IF(COUNTIFS(実績!$W$6:$W$505,AW$3,実績!$AC$6:$AC$505,"&lt;="&amp;$A177,実績!$AD$6:$AD$505,"&gt;"&amp;$A177,実績!$AE$6:$AE$505,"○")&gt;0,1,0))</f>
        <v/>
      </c>
      <c r="AX177">
        <f>IF(AX$4=0,0,IF(COUNTIFS(実績!$W$6:$W$505,AX$3,実績!$AC$6:$AC$505,"&lt;="&amp;$A177,実績!$AD$6:$AD$505,"&gt;"&amp;$A177,実績!$AE$6:$AE$505,"○")&gt;0,1,0))</f>
        <v/>
      </c>
      <c r="AY177">
        <f>IF(AY$4=0,0,IF(COUNTIFS(実績!$W$6:$W$505,AY$3,実績!$AC$6:$AC$505,"&lt;="&amp;$A177,実績!$AD$6:$AD$505,"&gt;"&amp;$A177,実績!$AE$6:$AE$505,"○")&gt;0,1,0))</f>
        <v/>
      </c>
      <c r="AZ177">
        <f>IF(AZ$4=0,0,IF(COUNTIFS(実績!$W$6:$W$505,AZ$3,実績!$AC$6:$AC$505,"&lt;="&amp;$A177,実績!$AD$6:$AD$505,"&gt;"&amp;$A177,実績!$AE$6:$AE$505,"○")&gt;0,1,0))</f>
        <v/>
      </c>
      <c r="BA177">
        <f>IF(BA$4=0,0,IF(COUNTIFS(実績!$W$6:$W$505,BA$3,実績!$AC$6:$AC$505,"&lt;="&amp;$A177,実績!$AD$6:$AD$505,"&gt;"&amp;$A177,実績!$AE$6:$AE$505,"○")&gt;0,1,0))</f>
        <v/>
      </c>
      <c r="BB177">
        <f>IF(BB$4=0,0,IF(COUNTIFS(実績!$W$6:$W$505,BB$3,実績!$AC$6:$AC$505,"&lt;="&amp;$A177,実績!$AD$6:$AD$505,"&gt;"&amp;$A177,実績!$AE$6:$AE$505,"○")&gt;0,1,0))</f>
        <v/>
      </c>
      <c r="BC177">
        <f>IF(BC$4=0,0,IF(COUNTIFS(実績!$W$6:$W$505,BC$3,実績!$AC$6:$AC$505,"&lt;="&amp;$A177,実績!$AD$6:$AD$505,"&gt;"&amp;$A177,実績!$AE$6:$AE$505,"○")&gt;0,1,0))</f>
        <v/>
      </c>
      <c r="BD177">
        <f>IF(BD$4=0,0,IF(COUNTIFS(実績!$W$6:$W$505,BD$3,実績!$AC$6:$AC$505,"&lt;="&amp;$A177,実績!$AD$6:$AD$505,"&gt;"&amp;$A177,実績!$AE$6:$AE$505,"○")&gt;0,1,0))</f>
        <v/>
      </c>
      <c r="BE177">
        <f>IF(BE$4=0,0,IF(COUNTIFS(実績!$W$6:$W$505,BE$3,実績!$AC$6:$AC$505,"&lt;="&amp;$A177,実績!$AD$6:$AD$505,"&gt;"&amp;$A177,実績!$AE$6:$AE$505,"○")&gt;0,1,0))</f>
        <v/>
      </c>
      <c r="BF177">
        <f>IF(BF$4=0,0,IF(COUNTIFS(実績!$W$6:$W$505,BF$3,実績!$AC$6:$AC$505,"&lt;="&amp;$A177,実績!$AD$6:$AD$505,"&gt;"&amp;$A177,実績!$AE$6:$AE$505,"○")&gt;0,1,0))</f>
        <v/>
      </c>
      <c r="BG177">
        <f>IF(BG$4=0,0,IF(COUNTIFS(実績!$W$6:$W$505,BG$3,実績!$AC$6:$AC$505,"&lt;="&amp;$A177,実績!$AD$6:$AD$505,"&gt;"&amp;$A177,実績!$AE$6:$AE$505,"○")&gt;0,1,0))</f>
        <v/>
      </c>
      <c r="BH177">
        <f>IF(BH$4=0,0,IF(COUNTIFS(実績!$W$6:$W$505,BH$3,実績!$AC$6:$AC$505,"&lt;="&amp;$A177,実績!$AD$6:$AD$505,"&gt;"&amp;$A177,実績!$AE$6:$AE$505,"○")&gt;0,1,0))</f>
        <v/>
      </c>
      <c r="BI177">
        <f>IF(BI$4=0,0,IF(COUNTIFS(実績!$W$6:$W$505,BI$3,実績!$AC$6:$AC$505,"&lt;="&amp;$A177,実績!$AD$6:$AD$505,"&gt;"&amp;$A177,実績!$AE$6:$AE$505,"○")&gt;0,1,0))</f>
        <v/>
      </c>
      <c r="BJ177">
        <f>IF(BJ$4=0,0,IF(COUNTIFS(実績!$W$6:$W$505,BJ$3,実績!$AC$6:$AC$505,"&lt;="&amp;$A177,実績!$AD$6:$AD$505,"&gt;"&amp;$A177,実績!$AE$6:$AE$505,"○")&gt;0,1,0))</f>
        <v/>
      </c>
      <c r="BK177">
        <f>IF(BK$4=0,0,IF(COUNTIFS(実績!$W$6:$W$505,BK$3,実績!$AC$6:$AC$505,"&lt;="&amp;$A177,実績!$AD$6:$AD$505,"&gt;"&amp;$A177,実績!$AE$6:$AE$505,"○")&gt;0,1,0))</f>
        <v/>
      </c>
      <c r="BL177">
        <f>IF(BL$4=0,0,IF(COUNTIFS(実績!$W$6:$W$505,BL$3,実績!$AC$6:$AC$505,"&lt;="&amp;$A177,実績!$AD$6:$AD$505,"&gt;"&amp;$A177,実績!$AE$6:$AE$505,"○")&gt;0,1,0))</f>
        <v/>
      </c>
      <c r="BM177">
        <f>IF(BM$4=0,0,IF(COUNTIFS(実績!$W$6:$W$505,BM$3,実績!$AC$6:$AC$505,"&lt;="&amp;$A177,実績!$AD$6:$AD$505,"&gt;"&amp;$A177,実績!$AE$6:$AE$505,"○")&gt;0,1,0))</f>
        <v/>
      </c>
      <c r="BN177">
        <f>IF(BN$4=0,0,IF(COUNTIFS(実績!$W$6:$W$505,BN$3,実績!$AC$6:$AC$505,"&lt;="&amp;$A177,実績!$AD$6:$AD$505,"&gt;"&amp;$A177,実績!$AE$6:$AE$505,"○")&gt;0,1,0))</f>
        <v/>
      </c>
      <c r="BO177">
        <f>IF(BO$4=0,0,IF(COUNTIFS(実績!$W$6:$W$505,BO$3,実績!$AC$6:$AC$505,"&lt;="&amp;$A177,実績!$AD$6:$AD$505,"&gt;"&amp;$A177,実績!$AE$6:$AE$505,"○")&gt;0,1,0))</f>
        <v/>
      </c>
      <c r="BP177">
        <f>IF(BP$4=0,0,IF(COUNTIFS(実績!$W$6:$W$505,BP$3,実績!$AC$6:$AC$505,"&lt;="&amp;$A177,実績!$AD$6:$AD$505,"&gt;"&amp;$A177,実績!$AE$6:$AE$505,"○")&gt;0,1,0))</f>
        <v/>
      </c>
      <c r="BQ177">
        <f>IF(BQ$4=0,0,IF(COUNTIFS(実績!$W$6:$W$505,BQ$3,実績!$AC$6:$AC$505,"&lt;="&amp;$A177,実績!$AD$6:$AD$505,"&gt;"&amp;$A177,実績!$AE$6:$AE$505,"○")&gt;0,1,0))</f>
        <v/>
      </c>
      <c r="BR177">
        <f>IF(BR$4=0,0,IF(COUNTIFS(実績!$W$6:$W$505,BR$3,実績!$AC$6:$AC$505,"&lt;="&amp;$A177,実績!$AD$6:$AD$505,"&gt;"&amp;$A177,実績!$AE$6:$AE$505,"○")&gt;0,1,0))</f>
        <v/>
      </c>
      <c r="BS177">
        <f>IF(BS$4=0,0,IF(COUNTIFS(実績!$W$6:$W$505,BS$3,実績!$AC$6:$AC$505,"&lt;="&amp;$A177,実績!$AD$6:$AD$505,"&gt;"&amp;$A177,実績!$AE$6:$AE$505,"○")&gt;0,1,0))</f>
        <v/>
      </c>
      <c r="BT177">
        <f>IF(BT$4=0,0,IF(COUNTIFS(実績!$W$6:$W$505,BT$3,実績!$AC$6:$AC$505,"&lt;="&amp;$A177,実績!$AD$6:$AD$505,"&gt;"&amp;$A177,実績!$AE$6:$AE$505,"○")&gt;0,1,0))</f>
        <v/>
      </c>
      <c r="BU177">
        <f>IF(BU$4=0,0,IF(COUNTIFS(実績!$W$6:$W$505,BU$3,実績!$AC$6:$AC$505,"&lt;="&amp;$A177,実績!$AD$6:$AD$505,"&gt;"&amp;$A177,実績!$AE$6:$AE$505,"○")&gt;0,1,0))</f>
        <v/>
      </c>
      <c r="BV177">
        <f>IF(BV$4=0,0,IF(COUNTIFS(実績!$W$6:$W$505,BV$3,実績!$AC$6:$AC$505,"&lt;="&amp;$A177,実績!$AD$6:$AD$505,"&gt;"&amp;$A177,実績!$AE$6:$AE$505,"○")&gt;0,1,0))</f>
        <v/>
      </c>
      <c r="BW177">
        <f>IF(BW$4=0,0,IF(COUNTIFS(実績!$W$6:$W$505,BW$3,実績!$AC$6:$AC$505,"&lt;="&amp;$A177,実績!$AD$6:$AD$505,"&gt;"&amp;$A177,実績!$AE$6:$AE$505,"○")&gt;0,1,0))</f>
        <v/>
      </c>
      <c r="BX177">
        <f>IF(BX$4=0,0,IF(COUNTIFS(実績!$W$6:$W$505,BX$3,実績!$AC$6:$AC$505,"&lt;="&amp;$A177,実績!$AD$6:$AD$505,"&gt;"&amp;$A177,実績!$AE$6:$AE$505,"○")&gt;0,1,0))</f>
        <v/>
      </c>
      <c r="BY177">
        <f>IF(BY$4=0,0,IF(COUNTIFS(実績!$W$6:$W$505,BY$3,実績!$AC$6:$AC$505,"&lt;="&amp;$A177,実績!$AD$6:$AD$505,"&gt;"&amp;$A177,実績!$AE$6:$AE$505,"○")&gt;0,1,0))</f>
        <v/>
      </c>
      <c r="BZ177">
        <f>IF(BZ$4=0,0,IF(COUNTIFS(実績!$W$6:$W$505,BZ$3,実績!$AC$6:$AC$505,"&lt;="&amp;$A177,実績!$AD$6:$AD$505,"&gt;"&amp;$A177,実績!$AE$6:$AE$505,"○")&gt;0,1,0))</f>
        <v/>
      </c>
      <c r="CA177">
        <f>IF(CA$4=0,0,IF(COUNTIFS(実績!$W$6:$W$505,CA$3,実績!$AC$6:$AC$505,"&lt;="&amp;$A177,実績!$AD$6:$AD$505,"&gt;"&amp;$A177,実績!$AE$6:$AE$505,"○")&gt;0,1,0))</f>
        <v/>
      </c>
      <c r="CB177">
        <f>IF(CB$4=0,0,IF(COUNTIFS(実績!$W$6:$W$505,CB$3,実績!$AC$6:$AC$505,"&lt;="&amp;$A177,実績!$AD$6:$AD$505,"&gt;"&amp;$A177,実績!$AE$6:$AE$505,"○")&gt;0,1,0))</f>
        <v/>
      </c>
      <c r="CC177">
        <f>IF(CC$4=0,0,IF(COUNTIFS(実績!$W$6:$W$505,CC$3,実績!$AC$6:$AC$505,"&lt;="&amp;$A177,実績!$AD$6:$AD$505,"&gt;"&amp;$A177,実績!$AE$6:$AE$505,"○")&gt;0,1,0))</f>
        <v/>
      </c>
      <c r="CD177">
        <f>IF(CD$4=0,0,IF(COUNTIFS(実績!$W$6:$W$505,CD$3,実績!$AC$6:$AC$505,"&lt;="&amp;$A177,実績!$AD$6:$AD$505,"&gt;"&amp;$A177,実績!$AE$6:$AE$505,"○")&gt;0,1,0))</f>
        <v/>
      </c>
      <c r="CE177">
        <f>IF(CE$4=0,0,IF(COUNTIFS(実績!$W$6:$W$505,CE$3,実績!$AC$6:$AC$505,"&lt;="&amp;$A177,実績!$AD$6:$AD$505,"&gt;"&amp;$A177,実績!$AE$6:$AE$505,"○")&gt;0,1,0))</f>
        <v/>
      </c>
      <c r="CF177">
        <f>IF(CF$4=0,0,IF(COUNTIFS(実績!$W$6:$W$505,CF$3,実績!$AC$6:$AC$505,"&lt;="&amp;$A177,実績!$AD$6:$AD$505,"&gt;"&amp;$A177,実績!$AE$6:$AE$505,"○")&gt;0,1,0))</f>
        <v/>
      </c>
      <c r="CG177">
        <f>IF(CG$4=0,0,IF(COUNTIFS(実績!$W$6:$W$505,CG$3,実績!$AC$6:$AC$505,"&lt;="&amp;$A177,実績!$AD$6:$AD$505,"&gt;"&amp;$A177,実績!$AE$6:$AE$505,"○")&gt;0,1,0))</f>
        <v/>
      </c>
      <c r="CH177">
        <f>IF(CH$4=0,0,IF(COUNTIFS(実績!$W$6:$W$505,CH$3,実績!$AC$6:$AC$505,"&lt;="&amp;$A177,実績!$AD$6:$AD$505,"&gt;"&amp;$A177,実績!$AE$6:$AE$505,"○")&gt;0,1,0))</f>
        <v/>
      </c>
      <c r="CI177">
        <f>IF(CI$4=0,0,IF(COUNTIFS(実績!$W$6:$W$505,CI$3,実績!$AC$6:$AC$505,"&lt;="&amp;$A177,実績!$AD$6:$AD$505,"&gt;"&amp;$A177,実績!$AE$6:$AE$505,"○")&gt;0,1,0))</f>
        <v/>
      </c>
      <c r="CJ177">
        <f>IF(CJ$4=0,0,IF(COUNTIFS(実績!$W$6:$W$505,CJ$3,実績!$AC$6:$AC$505,"&lt;="&amp;$A177,実績!$AD$6:$AD$505,"&gt;"&amp;$A177,実績!$AE$6:$AE$505,"○")&gt;0,1,0))</f>
        <v/>
      </c>
      <c r="CK177">
        <f>IF(CK$4=0,0,IF(COUNTIFS(実績!$W$6:$W$505,CK$3,実績!$AC$6:$AC$505,"&lt;="&amp;$A177,実績!$AD$6:$AD$505,"&gt;"&amp;$A177,実績!$AE$6:$AE$505,"○")&gt;0,1,0))</f>
        <v/>
      </c>
      <c r="CL177">
        <f>IF(CL$4=0,0,IF(COUNTIFS(実績!$W$6:$W$505,CL$3,実績!$AC$6:$AC$505,"&lt;="&amp;$A177,実績!$AD$6:$AD$505,"&gt;"&amp;$A177,実績!$AE$6:$AE$505,"○")&gt;0,1,0))</f>
        <v/>
      </c>
      <c r="CM177">
        <f>IF(CM$4=0,0,IF(COUNTIFS(実績!$W$6:$W$505,CM$3,実績!$AC$6:$AC$505,"&lt;="&amp;$A177,実績!$AD$6:$AD$505,"&gt;"&amp;$A177,実績!$AE$6:$AE$505,"○")&gt;0,1,0))</f>
        <v/>
      </c>
      <c r="CN177">
        <f>IF(CN$4=0,0,IF(COUNTIFS(実績!$W$6:$W$505,CN$3,実績!$AC$6:$AC$505,"&lt;="&amp;$A177,実績!$AD$6:$AD$505,"&gt;"&amp;$A177,実績!$AE$6:$AE$505,"○")&gt;0,1,0))</f>
        <v/>
      </c>
      <c r="CO177">
        <f>IF(CO$4=0,0,IF(COUNTIFS(実績!$W$6:$W$505,CO$3,実績!$AC$6:$AC$505,"&lt;="&amp;$A177,実績!$AD$6:$AD$505,"&gt;"&amp;$A177,実績!$AE$6:$AE$505,"○")&gt;0,1,0))</f>
        <v/>
      </c>
      <c r="CP177">
        <f>IF(CP$4=0,0,IF(COUNTIFS(実績!$W$6:$W$505,CP$3,実績!$AC$6:$AC$505,"&lt;="&amp;$A177,実績!$AD$6:$AD$505,"&gt;"&amp;$A177,実績!$AE$6:$AE$505,"○")&gt;0,1,0))</f>
        <v/>
      </c>
      <c r="CQ177">
        <f>IF(CQ$4=0,0,IF(COUNTIFS(実績!$W$6:$W$505,CQ$3,実績!$AC$6:$AC$505,"&lt;="&amp;$A177,実績!$AD$6:$AD$505,"&gt;"&amp;$A177,実績!$AE$6:$AE$505,"○")&gt;0,1,0))</f>
        <v/>
      </c>
      <c r="CR177">
        <f>IF(CR$4=0,0,IF(COUNTIFS(実績!$W$6:$W$505,CR$3,実績!$AC$6:$AC$505,"&lt;="&amp;$A177,実績!$AD$6:$AD$505,"&gt;"&amp;$A177,実績!$AE$6:$AE$505,"○")&gt;0,1,0))</f>
        <v/>
      </c>
      <c r="CS177">
        <f>IF(CS$4=0,0,IF(COUNTIFS(実績!$W$6:$W$505,CS$3,実績!$AC$6:$AC$505,"&lt;="&amp;$A177,実績!$AD$6:$AD$505,"&gt;"&amp;$A177,実績!$AE$6:$AE$505,"○")&gt;0,1,0))</f>
        <v/>
      </c>
      <c r="CT177">
        <f>IF(CT$4=0,0,IF(COUNTIFS(実績!$W$6:$W$505,CT$3,実績!$AC$6:$AC$505,"&lt;="&amp;$A177,実績!$AD$6:$AD$505,"&gt;"&amp;$A177,実績!$AE$6:$AE$505,"○")&gt;0,1,0))</f>
        <v/>
      </c>
      <c r="CU177">
        <f>IF(CU$4=0,0,IF(COUNTIFS(実績!$W$6:$W$505,CU$3,実績!$AC$6:$AC$505,"&lt;="&amp;$A177,実績!$AD$6:$AD$505,"&gt;"&amp;$A177,実績!$AE$6:$AE$505,"○")&gt;0,1,0))</f>
        <v/>
      </c>
      <c r="CV177">
        <f>IF(CV$4=0,0,IF(COUNTIFS(実績!$W$6:$W$505,CV$3,実績!$AC$6:$AC$505,"&lt;="&amp;$A177,実績!$AD$6:$AD$505,"&gt;"&amp;$A177,実績!$AE$6:$AE$505,"○")&gt;0,1,0))</f>
        <v/>
      </c>
      <c r="CW177">
        <f>IF(CW$4=0,0,IF(COUNTIFS(実績!$W$6:$W$505,CW$3,実績!$AC$6:$AC$505,"&lt;="&amp;$A177,実績!$AD$6:$AD$505,"&gt;"&amp;$A177,実績!$AE$6:$AE$505,"○")&gt;0,1,0))</f>
        <v/>
      </c>
      <c r="CX177">
        <f>IF(CX$4=0,0,IF(COUNTIFS(実績!$W$6:$W$505,CX$3,実績!$AC$6:$AC$505,"&lt;="&amp;$A177,実績!$AD$6:$AD$505,"&gt;"&amp;$A177,実績!$AE$6:$AE$505,"○")&gt;0,1,0))</f>
        <v/>
      </c>
      <c r="CY177">
        <f>IF(CY$4=0,0,IF(COUNTIFS(実績!$W$6:$W$505,CY$3,実績!$AC$6:$AC$505,"&lt;="&amp;$A177,実績!$AD$6:$AD$505,"&gt;"&amp;$A177,実績!$AE$6:$AE$505,"○")&gt;0,1,0))</f>
        <v/>
      </c>
      <c r="CZ177">
        <f>IF(CZ$4=0,0,IF(COUNTIFS(実績!$W$6:$W$505,CZ$3,実績!$AC$6:$AC$505,"&lt;="&amp;$A177,実績!$AD$6:$AD$505,"&gt;"&amp;$A177,実績!$AE$6:$AE$505,"○")&gt;0,1,0))</f>
        <v/>
      </c>
      <c r="DA177">
        <f>IF(DA$4=0,0,IF(COUNTIFS(実績!$W$6:$W$505,DA$3,実績!$AC$6:$AC$505,"&lt;="&amp;$A177,実績!$AD$6:$AD$505,"&gt;"&amp;$A177,実績!$AE$6:$AE$505,"○")&gt;0,1,0))</f>
        <v/>
      </c>
      <c r="DB177">
        <f>IF(DB$4=0,0,IF(COUNTIFS(実績!$W$6:$W$505,DB$3,実績!$AC$6:$AC$505,"&lt;="&amp;$A177,実績!$AD$6:$AD$505,"&gt;"&amp;$A177,実績!$AE$6:$AE$505,"○")&gt;0,1,0))</f>
        <v/>
      </c>
      <c r="DC177">
        <f>IF(DC$4=0,0,IF(COUNTIFS(実績!$W$6:$W$505,DC$3,実績!$AC$6:$AC$505,"&lt;="&amp;$A177,実績!$AD$6:$AD$505,"&gt;"&amp;$A177,実績!$AE$6:$AE$505,"○")&gt;0,1,0))</f>
        <v/>
      </c>
      <c r="DD177">
        <f>IF(DD$4=0,0,IF(COUNTIFS(実績!$W$6:$W$505,DD$3,実績!$AC$6:$AC$505,"&lt;="&amp;$A177,実績!$AD$6:$AD$505,"&gt;"&amp;$A177,実績!$AE$6:$AE$505,"○")&gt;0,1,0))</f>
        <v/>
      </c>
      <c r="DE177">
        <f>IF(DE$4=0,0,IF(COUNTIFS(実績!$W$6:$W$505,DE$3,実績!$AC$6:$AC$505,"&lt;="&amp;$A177,実績!$AD$6:$AD$505,"&gt;"&amp;$A177,実績!$AE$6:$AE$505,"○")&gt;0,1,0))</f>
        <v/>
      </c>
      <c r="DF177">
        <f>IF(DF$4=0,0,IF(COUNTIFS(実績!$W$6:$W$505,DF$3,実績!$AC$6:$AC$505,"&lt;="&amp;$A177,実績!$AD$6:$AD$505,"&gt;"&amp;$A177,実績!$AE$6:$AE$505,"○")&gt;0,1,0))</f>
        <v/>
      </c>
      <c r="DG177">
        <f>IF(DG$4=0,0,IF(COUNTIFS(実績!$W$6:$W$505,DG$3,実績!$AC$6:$AC$505,"&lt;="&amp;$A177,実績!$AD$6:$AD$505,"&gt;"&amp;$A177,実績!$AE$6:$AE$505,"○")&gt;0,1,0))</f>
        <v/>
      </c>
      <c r="DH177">
        <f>IF(DH$4=0,0,IF(COUNTIFS(実績!$W$6:$W$505,DH$3,実績!$AC$6:$AC$505,"&lt;="&amp;$A177,実績!$AD$6:$AD$505,"&gt;"&amp;$A177,実績!$AE$6:$AE$505,"○")&gt;0,1,0))</f>
        <v/>
      </c>
      <c r="DI177">
        <f>IF(DI$4=0,0,IF(COUNTIFS(実績!$W$6:$W$505,DI$3,実績!$AC$6:$AC$505,"&lt;="&amp;$A177,実績!$AD$6:$AD$505,"&gt;"&amp;$A177,実績!$AE$6:$AE$505,"○")&gt;0,1,0))</f>
        <v/>
      </c>
      <c r="DJ177">
        <f>IF(DJ$4=0,0,IF(COUNTIFS(実績!$W$6:$W$505,DJ$3,実績!$AC$6:$AC$505,"&lt;="&amp;$A177,実績!$AD$6:$AD$505,"&gt;"&amp;$A177,実績!$AE$6:$AE$505,"○")&gt;0,1,0))</f>
        <v/>
      </c>
      <c r="DK177">
        <f>IF(DK$4=0,0,IF(COUNTIFS(実績!$W$6:$W$505,DK$3,実績!$AC$6:$AC$505,"&lt;="&amp;$A177,実績!$AD$6:$AD$505,"&gt;"&amp;$A177,実績!$AE$6:$AE$505,"○")&gt;0,1,0))</f>
        <v/>
      </c>
      <c r="DL177">
        <f>IF(DL$4=0,0,IF(COUNTIFS(実績!$W$6:$W$505,DL$3,実績!$AC$6:$AC$505,"&lt;="&amp;$A177,実績!$AD$6:$AD$505,"&gt;"&amp;$A177,実績!$AE$6:$AE$505,"○")&gt;0,1,0))</f>
        <v/>
      </c>
      <c r="DM177">
        <f>IF(DM$4=0,0,IF(COUNTIFS(実績!$W$6:$W$505,DM$3,実績!$AC$6:$AC$505,"&lt;="&amp;$A177,実績!$AD$6:$AD$505,"&gt;"&amp;$A177,実績!$AE$6:$AE$505,"○")&gt;0,1,0))</f>
        <v/>
      </c>
      <c r="DN177">
        <f>IF(DN$4=0,0,IF(COUNTIFS(実績!$W$6:$W$505,DN$3,実績!$AC$6:$AC$505,"&lt;="&amp;$A177,実績!$AD$6:$AD$505,"&gt;"&amp;$A177,実績!$AE$6:$AE$505,"○")&gt;0,1,0))</f>
        <v/>
      </c>
      <c r="DO177">
        <f>IF(DO$4=0,0,IF(COUNTIFS(実績!$W$6:$W$505,DO$3,実績!$AC$6:$AC$505,"&lt;="&amp;$A177,実績!$AD$6:$AD$505,"&gt;"&amp;$A177,実績!$AE$6:$AE$505,"○")&gt;0,1,0))</f>
        <v/>
      </c>
      <c r="DP177">
        <f>IF(DP$4=0,0,IF(COUNTIFS(実績!$W$6:$W$505,DP$3,実績!$AC$6:$AC$505,"&lt;="&amp;$A177,実績!$AD$6:$AD$505,"&gt;"&amp;$A177,実績!$AE$6:$AE$505,"○")&gt;0,1,0))</f>
        <v/>
      </c>
      <c r="DQ177">
        <f>IF(DQ$4=0,0,IF(COUNTIFS(実績!$W$6:$W$505,DQ$3,実績!$AC$6:$AC$505,"&lt;="&amp;$A177,実績!$AD$6:$AD$505,"&gt;"&amp;$A177,実績!$AE$6:$AE$505,"○")&gt;0,1,0))</f>
        <v/>
      </c>
      <c r="DR177">
        <f>IF(DR$4=0,0,IF(COUNTIFS(実績!$W$6:$W$505,DR$3,実績!$AC$6:$AC$505,"&lt;="&amp;$A177,実績!$AD$6:$AD$505,"&gt;"&amp;$A177,実績!$AE$6:$AE$505,"○")&gt;0,1,0))</f>
        <v/>
      </c>
      <c r="DS177">
        <f>SUM(C177:DR177)</f>
        <v/>
      </c>
      <c r="DT177">
        <f>SUMPRODUCT((実績!$C$6:$C$505="○")*ISNUMBER(実績!$AF$6:$AF$505)*(実績!$AF$6:$AF$505&lt;=$A177)*(実績!$AG$6:$AG$505&gt;$A177))</f>
        <v/>
      </c>
      <c r="DU177">
        <f>SUMIF($C$2:$DR$2,"製鉄曳船",C177:DR177)</f>
        <v/>
      </c>
      <c r="DV177">
        <f>SUMIF($C$2:$DR$2,"西日本海運",C177:DR177)</f>
        <v/>
      </c>
    </row>
    <row r="178">
      <c r="A178" t="n">
        <v>860</v>
      </c>
      <c r="B178" s="29">
        <f>A178/1440</f>
        <v/>
      </c>
      <c r="C178">
        <f>IF(C$4=0,0,IF(COUNTIFS(実績!$W$6:$W$505,C$3,実績!$AC$6:$AC$505,"&lt;="&amp;$A178,実績!$AD$6:$AD$505,"&gt;"&amp;$A178,実績!$AE$6:$AE$505,"○")&gt;0,1,0))</f>
        <v/>
      </c>
      <c r="D178">
        <f>IF(D$4=0,0,IF(COUNTIFS(実績!$W$6:$W$505,D$3,実績!$AC$6:$AC$505,"&lt;="&amp;$A178,実績!$AD$6:$AD$505,"&gt;"&amp;$A178,実績!$AE$6:$AE$505,"○")&gt;0,1,0))</f>
        <v/>
      </c>
      <c r="E178">
        <f>IF(E$4=0,0,IF(COUNTIFS(実績!$W$6:$W$505,E$3,実績!$AC$6:$AC$505,"&lt;="&amp;$A178,実績!$AD$6:$AD$505,"&gt;"&amp;$A178,実績!$AE$6:$AE$505,"○")&gt;0,1,0))</f>
        <v/>
      </c>
      <c r="F178">
        <f>IF(F$4=0,0,IF(COUNTIFS(実績!$W$6:$W$505,F$3,実績!$AC$6:$AC$505,"&lt;="&amp;$A178,実績!$AD$6:$AD$505,"&gt;"&amp;$A178,実績!$AE$6:$AE$505,"○")&gt;0,1,0))</f>
        <v/>
      </c>
      <c r="G178">
        <f>IF(G$4=0,0,IF(COUNTIFS(実績!$W$6:$W$505,G$3,実績!$AC$6:$AC$505,"&lt;="&amp;$A178,実績!$AD$6:$AD$505,"&gt;"&amp;$A178,実績!$AE$6:$AE$505,"○")&gt;0,1,0))</f>
        <v/>
      </c>
      <c r="H178">
        <f>IF(H$4=0,0,IF(COUNTIFS(実績!$W$6:$W$505,H$3,実績!$AC$6:$AC$505,"&lt;="&amp;$A178,実績!$AD$6:$AD$505,"&gt;"&amp;$A178,実績!$AE$6:$AE$505,"○")&gt;0,1,0))</f>
        <v/>
      </c>
      <c r="I178">
        <f>IF(I$4=0,0,IF(COUNTIFS(実績!$W$6:$W$505,I$3,実績!$AC$6:$AC$505,"&lt;="&amp;$A178,実績!$AD$6:$AD$505,"&gt;"&amp;$A178,実績!$AE$6:$AE$505,"○")&gt;0,1,0))</f>
        <v/>
      </c>
      <c r="J178">
        <f>IF(J$4=0,0,IF(COUNTIFS(実績!$W$6:$W$505,J$3,実績!$AC$6:$AC$505,"&lt;="&amp;$A178,実績!$AD$6:$AD$505,"&gt;"&amp;$A178,実績!$AE$6:$AE$505,"○")&gt;0,1,0))</f>
        <v/>
      </c>
      <c r="K178">
        <f>IF(K$4=0,0,IF(COUNTIFS(実績!$W$6:$W$505,K$3,実績!$AC$6:$AC$505,"&lt;="&amp;$A178,実績!$AD$6:$AD$505,"&gt;"&amp;$A178,実績!$AE$6:$AE$505,"○")&gt;0,1,0))</f>
        <v/>
      </c>
      <c r="L178">
        <f>IF(L$4=0,0,IF(COUNTIFS(実績!$W$6:$W$505,L$3,実績!$AC$6:$AC$505,"&lt;="&amp;$A178,実績!$AD$6:$AD$505,"&gt;"&amp;$A178,実績!$AE$6:$AE$505,"○")&gt;0,1,0))</f>
        <v/>
      </c>
      <c r="M178">
        <f>IF(M$4=0,0,IF(COUNTIFS(実績!$W$6:$W$505,M$3,実績!$AC$6:$AC$505,"&lt;="&amp;$A178,実績!$AD$6:$AD$505,"&gt;"&amp;$A178,実績!$AE$6:$AE$505,"○")&gt;0,1,0))</f>
        <v/>
      </c>
      <c r="N178">
        <f>IF(N$4=0,0,IF(COUNTIFS(実績!$W$6:$W$505,N$3,実績!$AC$6:$AC$505,"&lt;="&amp;$A178,実績!$AD$6:$AD$505,"&gt;"&amp;$A178,実績!$AE$6:$AE$505,"○")&gt;0,1,0))</f>
        <v/>
      </c>
      <c r="O178">
        <f>IF(O$4=0,0,IF(COUNTIFS(実績!$W$6:$W$505,O$3,実績!$AC$6:$AC$505,"&lt;="&amp;$A178,実績!$AD$6:$AD$505,"&gt;"&amp;$A178,実績!$AE$6:$AE$505,"○")&gt;0,1,0))</f>
        <v/>
      </c>
      <c r="P178">
        <f>IF(P$4=0,0,IF(COUNTIFS(実績!$W$6:$W$505,P$3,実績!$AC$6:$AC$505,"&lt;="&amp;$A178,実績!$AD$6:$AD$505,"&gt;"&amp;$A178,実績!$AE$6:$AE$505,"○")&gt;0,1,0))</f>
        <v/>
      </c>
      <c r="Q178">
        <f>IF(Q$4=0,0,IF(COUNTIFS(実績!$W$6:$W$505,Q$3,実績!$AC$6:$AC$505,"&lt;="&amp;$A178,実績!$AD$6:$AD$505,"&gt;"&amp;$A178,実績!$AE$6:$AE$505,"○")&gt;0,1,0))</f>
        <v/>
      </c>
      <c r="R178">
        <f>IF(R$4=0,0,IF(COUNTIFS(実績!$W$6:$W$505,R$3,実績!$AC$6:$AC$505,"&lt;="&amp;$A178,実績!$AD$6:$AD$505,"&gt;"&amp;$A178,実績!$AE$6:$AE$505,"○")&gt;0,1,0))</f>
        <v/>
      </c>
      <c r="S178">
        <f>IF(S$4=0,0,IF(COUNTIFS(実績!$W$6:$W$505,S$3,実績!$AC$6:$AC$505,"&lt;="&amp;$A178,実績!$AD$6:$AD$505,"&gt;"&amp;$A178,実績!$AE$6:$AE$505,"○")&gt;0,1,0))</f>
        <v/>
      </c>
      <c r="T178">
        <f>IF(T$4=0,0,IF(COUNTIFS(実績!$W$6:$W$505,T$3,実績!$AC$6:$AC$505,"&lt;="&amp;$A178,実績!$AD$6:$AD$505,"&gt;"&amp;$A178,実績!$AE$6:$AE$505,"○")&gt;0,1,0))</f>
        <v/>
      </c>
      <c r="U178">
        <f>IF(U$4=0,0,IF(COUNTIFS(実績!$W$6:$W$505,U$3,実績!$AC$6:$AC$505,"&lt;="&amp;$A178,実績!$AD$6:$AD$505,"&gt;"&amp;$A178,実績!$AE$6:$AE$505,"○")&gt;0,1,0))</f>
        <v/>
      </c>
      <c r="V178">
        <f>IF(V$4=0,0,IF(COUNTIFS(実績!$W$6:$W$505,V$3,実績!$AC$6:$AC$505,"&lt;="&amp;$A178,実績!$AD$6:$AD$505,"&gt;"&amp;$A178,実績!$AE$6:$AE$505,"○")&gt;0,1,0))</f>
        <v/>
      </c>
      <c r="W178">
        <f>IF(W$4=0,0,IF(COUNTIFS(実績!$W$6:$W$505,W$3,実績!$AC$6:$AC$505,"&lt;="&amp;$A178,実績!$AD$6:$AD$505,"&gt;"&amp;$A178,実績!$AE$6:$AE$505,"○")&gt;0,1,0))</f>
        <v/>
      </c>
      <c r="X178">
        <f>IF(X$4=0,0,IF(COUNTIFS(実績!$W$6:$W$505,X$3,実績!$AC$6:$AC$505,"&lt;="&amp;$A178,実績!$AD$6:$AD$505,"&gt;"&amp;$A178,実績!$AE$6:$AE$505,"○")&gt;0,1,0))</f>
        <v/>
      </c>
      <c r="Y178">
        <f>IF(Y$4=0,0,IF(COUNTIFS(実績!$W$6:$W$505,Y$3,実績!$AC$6:$AC$505,"&lt;="&amp;$A178,実績!$AD$6:$AD$505,"&gt;"&amp;$A178,実績!$AE$6:$AE$505,"○")&gt;0,1,0))</f>
        <v/>
      </c>
      <c r="Z178">
        <f>IF(Z$4=0,0,IF(COUNTIFS(実績!$W$6:$W$505,Z$3,実績!$AC$6:$AC$505,"&lt;="&amp;$A178,実績!$AD$6:$AD$505,"&gt;"&amp;$A178,実績!$AE$6:$AE$505,"○")&gt;0,1,0))</f>
        <v/>
      </c>
      <c r="AA178">
        <f>IF(AA$4=0,0,IF(COUNTIFS(実績!$W$6:$W$505,AA$3,実績!$AC$6:$AC$505,"&lt;="&amp;$A178,実績!$AD$6:$AD$505,"&gt;"&amp;$A178,実績!$AE$6:$AE$505,"○")&gt;0,1,0))</f>
        <v/>
      </c>
      <c r="AB178">
        <f>IF(AB$4=0,0,IF(COUNTIFS(実績!$W$6:$W$505,AB$3,実績!$AC$6:$AC$505,"&lt;="&amp;$A178,実績!$AD$6:$AD$505,"&gt;"&amp;$A178,実績!$AE$6:$AE$505,"○")&gt;0,1,0))</f>
        <v/>
      </c>
      <c r="AC178">
        <f>IF(AC$4=0,0,IF(COUNTIFS(実績!$W$6:$W$505,AC$3,実績!$AC$6:$AC$505,"&lt;="&amp;$A178,実績!$AD$6:$AD$505,"&gt;"&amp;$A178,実績!$AE$6:$AE$505,"○")&gt;0,1,0))</f>
        <v/>
      </c>
      <c r="AD178">
        <f>IF(AD$4=0,0,IF(COUNTIFS(実績!$W$6:$W$505,AD$3,実績!$AC$6:$AC$505,"&lt;="&amp;$A178,実績!$AD$6:$AD$505,"&gt;"&amp;$A178,実績!$AE$6:$AE$505,"○")&gt;0,1,0))</f>
        <v/>
      </c>
      <c r="AE178">
        <f>IF(AE$4=0,0,IF(COUNTIFS(実績!$W$6:$W$505,AE$3,実績!$AC$6:$AC$505,"&lt;="&amp;$A178,実績!$AD$6:$AD$505,"&gt;"&amp;$A178,実績!$AE$6:$AE$505,"○")&gt;0,1,0))</f>
        <v/>
      </c>
      <c r="AF178">
        <f>IF(AF$4=0,0,IF(COUNTIFS(実績!$W$6:$W$505,AF$3,実績!$AC$6:$AC$505,"&lt;="&amp;$A178,実績!$AD$6:$AD$505,"&gt;"&amp;$A178,実績!$AE$6:$AE$505,"○")&gt;0,1,0))</f>
        <v/>
      </c>
      <c r="AG178">
        <f>IF(AG$4=0,0,IF(COUNTIFS(実績!$W$6:$W$505,AG$3,実績!$AC$6:$AC$505,"&lt;="&amp;$A178,実績!$AD$6:$AD$505,"&gt;"&amp;$A178,実績!$AE$6:$AE$505,"○")&gt;0,1,0))</f>
        <v/>
      </c>
      <c r="AH178">
        <f>IF(AH$4=0,0,IF(COUNTIFS(実績!$W$6:$W$505,AH$3,実績!$AC$6:$AC$505,"&lt;="&amp;$A178,実績!$AD$6:$AD$505,"&gt;"&amp;$A178,実績!$AE$6:$AE$505,"○")&gt;0,1,0))</f>
        <v/>
      </c>
      <c r="AI178">
        <f>IF(AI$4=0,0,IF(COUNTIFS(実績!$W$6:$W$505,AI$3,実績!$AC$6:$AC$505,"&lt;="&amp;$A178,実績!$AD$6:$AD$505,"&gt;"&amp;$A178,実績!$AE$6:$AE$505,"○")&gt;0,1,0))</f>
        <v/>
      </c>
      <c r="AJ178">
        <f>IF(AJ$4=0,0,IF(COUNTIFS(実績!$W$6:$W$505,AJ$3,実績!$AC$6:$AC$505,"&lt;="&amp;$A178,実績!$AD$6:$AD$505,"&gt;"&amp;$A178,実績!$AE$6:$AE$505,"○")&gt;0,1,0))</f>
        <v/>
      </c>
      <c r="AK178">
        <f>IF(AK$4=0,0,IF(COUNTIFS(実績!$W$6:$W$505,AK$3,実績!$AC$6:$AC$505,"&lt;="&amp;$A178,実績!$AD$6:$AD$505,"&gt;"&amp;$A178,実績!$AE$6:$AE$505,"○")&gt;0,1,0))</f>
        <v/>
      </c>
      <c r="AL178">
        <f>IF(AL$4=0,0,IF(COUNTIFS(実績!$W$6:$W$505,AL$3,実績!$AC$6:$AC$505,"&lt;="&amp;$A178,実績!$AD$6:$AD$505,"&gt;"&amp;$A178,実績!$AE$6:$AE$505,"○")&gt;0,1,0))</f>
        <v/>
      </c>
      <c r="AM178">
        <f>IF(AM$4=0,0,IF(COUNTIFS(実績!$W$6:$W$505,AM$3,実績!$AC$6:$AC$505,"&lt;="&amp;$A178,実績!$AD$6:$AD$505,"&gt;"&amp;$A178,実績!$AE$6:$AE$505,"○")&gt;0,1,0))</f>
        <v/>
      </c>
      <c r="AN178">
        <f>IF(AN$4=0,0,IF(COUNTIFS(実績!$W$6:$W$505,AN$3,実績!$AC$6:$AC$505,"&lt;="&amp;$A178,実績!$AD$6:$AD$505,"&gt;"&amp;$A178,実績!$AE$6:$AE$505,"○")&gt;0,1,0))</f>
        <v/>
      </c>
      <c r="AO178">
        <f>IF(AO$4=0,0,IF(COUNTIFS(実績!$W$6:$W$505,AO$3,実績!$AC$6:$AC$505,"&lt;="&amp;$A178,実績!$AD$6:$AD$505,"&gt;"&amp;$A178,実績!$AE$6:$AE$505,"○")&gt;0,1,0))</f>
        <v/>
      </c>
      <c r="AP178">
        <f>IF(AP$4=0,0,IF(COUNTIFS(実績!$W$6:$W$505,AP$3,実績!$AC$6:$AC$505,"&lt;="&amp;$A178,実績!$AD$6:$AD$505,"&gt;"&amp;$A178,実績!$AE$6:$AE$505,"○")&gt;0,1,0))</f>
        <v/>
      </c>
      <c r="AQ178">
        <f>IF(AQ$4=0,0,IF(COUNTIFS(実績!$W$6:$W$505,AQ$3,実績!$AC$6:$AC$505,"&lt;="&amp;$A178,実績!$AD$6:$AD$505,"&gt;"&amp;$A178,実績!$AE$6:$AE$505,"○")&gt;0,1,0))</f>
        <v/>
      </c>
      <c r="AR178">
        <f>IF(AR$4=0,0,IF(COUNTIFS(実績!$W$6:$W$505,AR$3,実績!$AC$6:$AC$505,"&lt;="&amp;$A178,実績!$AD$6:$AD$505,"&gt;"&amp;$A178,実績!$AE$6:$AE$505,"○")&gt;0,1,0))</f>
        <v/>
      </c>
      <c r="AS178">
        <f>IF(AS$4=0,0,IF(COUNTIFS(実績!$W$6:$W$505,AS$3,実績!$AC$6:$AC$505,"&lt;="&amp;$A178,実績!$AD$6:$AD$505,"&gt;"&amp;$A178,実績!$AE$6:$AE$505,"○")&gt;0,1,0))</f>
        <v/>
      </c>
      <c r="AT178">
        <f>IF(AT$4=0,0,IF(COUNTIFS(実績!$W$6:$W$505,AT$3,実績!$AC$6:$AC$505,"&lt;="&amp;$A178,実績!$AD$6:$AD$505,"&gt;"&amp;$A178,実績!$AE$6:$AE$505,"○")&gt;0,1,0))</f>
        <v/>
      </c>
      <c r="AU178">
        <f>IF(AU$4=0,0,IF(COUNTIFS(実績!$W$6:$W$505,AU$3,実績!$AC$6:$AC$505,"&lt;="&amp;$A178,実績!$AD$6:$AD$505,"&gt;"&amp;$A178,実績!$AE$6:$AE$505,"○")&gt;0,1,0))</f>
        <v/>
      </c>
      <c r="AV178">
        <f>IF(AV$4=0,0,IF(COUNTIFS(実績!$W$6:$W$505,AV$3,実績!$AC$6:$AC$505,"&lt;="&amp;$A178,実績!$AD$6:$AD$505,"&gt;"&amp;$A178,実績!$AE$6:$AE$505,"○")&gt;0,1,0))</f>
        <v/>
      </c>
      <c r="AW178">
        <f>IF(AW$4=0,0,IF(COUNTIFS(実績!$W$6:$W$505,AW$3,実績!$AC$6:$AC$505,"&lt;="&amp;$A178,実績!$AD$6:$AD$505,"&gt;"&amp;$A178,実績!$AE$6:$AE$505,"○")&gt;0,1,0))</f>
        <v/>
      </c>
      <c r="AX178">
        <f>IF(AX$4=0,0,IF(COUNTIFS(実績!$W$6:$W$505,AX$3,実績!$AC$6:$AC$505,"&lt;="&amp;$A178,実績!$AD$6:$AD$505,"&gt;"&amp;$A178,実績!$AE$6:$AE$505,"○")&gt;0,1,0))</f>
        <v/>
      </c>
      <c r="AY178">
        <f>IF(AY$4=0,0,IF(COUNTIFS(実績!$W$6:$W$505,AY$3,実績!$AC$6:$AC$505,"&lt;="&amp;$A178,実績!$AD$6:$AD$505,"&gt;"&amp;$A178,実績!$AE$6:$AE$505,"○")&gt;0,1,0))</f>
        <v/>
      </c>
      <c r="AZ178">
        <f>IF(AZ$4=0,0,IF(COUNTIFS(実績!$W$6:$W$505,AZ$3,実績!$AC$6:$AC$505,"&lt;="&amp;$A178,実績!$AD$6:$AD$505,"&gt;"&amp;$A178,実績!$AE$6:$AE$505,"○")&gt;0,1,0))</f>
        <v/>
      </c>
      <c r="BA178">
        <f>IF(BA$4=0,0,IF(COUNTIFS(実績!$W$6:$W$505,BA$3,実績!$AC$6:$AC$505,"&lt;="&amp;$A178,実績!$AD$6:$AD$505,"&gt;"&amp;$A178,実績!$AE$6:$AE$505,"○")&gt;0,1,0))</f>
        <v/>
      </c>
      <c r="BB178">
        <f>IF(BB$4=0,0,IF(COUNTIFS(実績!$W$6:$W$505,BB$3,実績!$AC$6:$AC$505,"&lt;="&amp;$A178,実績!$AD$6:$AD$505,"&gt;"&amp;$A178,実績!$AE$6:$AE$505,"○")&gt;0,1,0))</f>
        <v/>
      </c>
      <c r="BC178">
        <f>IF(BC$4=0,0,IF(COUNTIFS(実績!$W$6:$W$505,BC$3,実績!$AC$6:$AC$505,"&lt;="&amp;$A178,実績!$AD$6:$AD$505,"&gt;"&amp;$A178,実績!$AE$6:$AE$505,"○")&gt;0,1,0))</f>
        <v/>
      </c>
      <c r="BD178">
        <f>IF(BD$4=0,0,IF(COUNTIFS(実績!$W$6:$W$505,BD$3,実績!$AC$6:$AC$505,"&lt;="&amp;$A178,実績!$AD$6:$AD$505,"&gt;"&amp;$A178,実績!$AE$6:$AE$505,"○")&gt;0,1,0))</f>
        <v/>
      </c>
      <c r="BE178">
        <f>IF(BE$4=0,0,IF(COUNTIFS(実績!$W$6:$W$505,BE$3,実績!$AC$6:$AC$505,"&lt;="&amp;$A178,実績!$AD$6:$AD$505,"&gt;"&amp;$A178,実績!$AE$6:$AE$505,"○")&gt;0,1,0))</f>
        <v/>
      </c>
      <c r="BF178">
        <f>IF(BF$4=0,0,IF(COUNTIFS(実績!$W$6:$W$505,BF$3,実績!$AC$6:$AC$505,"&lt;="&amp;$A178,実績!$AD$6:$AD$505,"&gt;"&amp;$A178,実績!$AE$6:$AE$505,"○")&gt;0,1,0))</f>
        <v/>
      </c>
      <c r="BG178">
        <f>IF(BG$4=0,0,IF(COUNTIFS(実績!$W$6:$W$505,BG$3,実績!$AC$6:$AC$505,"&lt;="&amp;$A178,実績!$AD$6:$AD$505,"&gt;"&amp;$A178,実績!$AE$6:$AE$505,"○")&gt;0,1,0))</f>
        <v/>
      </c>
      <c r="BH178">
        <f>IF(BH$4=0,0,IF(COUNTIFS(実績!$W$6:$W$505,BH$3,実績!$AC$6:$AC$505,"&lt;="&amp;$A178,実績!$AD$6:$AD$505,"&gt;"&amp;$A178,実績!$AE$6:$AE$505,"○")&gt;0,1,0))</f>
        <v/>
      </c>
      <c r="BI178">
        <f>IF(BI$4=0,0,IF(COUNTIFS(実績!$W$6:$W$505,BI$3,実績!$AC$6:$AC$505,"&lt;="&amp;$A178,実績!$AD$6:$AD$505,"&gt;"&amp;$A178,実績!$AE$6:$AE$505,"○")&gt;0,1,0))</f>
        <v/>
      </c>
      <c r="BJ178">
        <f>IF(BJ$4=0,0,IF(COUNTIFS(実績!$W$6:$W$505,BJ$3,実績!$AC$6:$AC$505,"&lt;="&amp;$A178,実績!$AD$6:$AD$505,"&gt;"&amp;$A178,実績!$AE$6:$AE$505,"○")&gt;0,1,0))</f>
        <v/>
      </c>
      <c r="BK178">
        <f>IF(BK$4=0,0,IF(COUNTIFS(実績!$W$6:$W$505,BK$3,実績!$AC$6:$AC$505,"&lt;="&amp;$A178,実績!$AD$6:$AD$505,"&gt;"&amp;$A178,実績!$AE$6:$AE$505,"○")&gt;0,1,0))</f>
        <v/>
      </c>
      <c r="BL178">
        <f>IF(BL$4=0,0,IF(COUNTIFS(実績!$W$6:$W$505,BL$3,実績!$AC$6:$AC$505,"&lt;="&amp;$A178,実績!$AD$6:$AD$505,"&gt;"&amp;$A178,実績!$AE$6:$AE$505,"○")&gt;0,1,0))</f>
        <v/>
      </c>
      <c r="BM178">
        <f>IF(BM$4=0,0,IF(COUNTIFS(実績!$W$6:$W$505,BM$3,実績!$AC$6:$AC$505,"&lt;="&amp;$A178,実績!$AD$6:$AD$505,"&gt;"&amp;$A178,実績!$AE$6:$AE$505,"○")&gt;0,1,0))</f>
        <v/>
      </c>
      <c r="BN178">
        <f>IF(BN$4=0,0,IF(COUNTIFS(実績!$W$6:$W$505,BN$3,実績!$AC$6:$AC$505,"&lt;="&amp;$A178,実績!$AD$6:$AD$505,"&gt;"&amp;$A178,実績!$AE$6:$AE$505,"○")&gt;0,1,0))</f>
        <v/>
      </c>
      <c r="BO178">
        <f>IF(BO$4=0,0,IF(COUNTIFS(実績!$W$6:$W$505,BO$3,実績!$AC$6:$AC$505,"&lt;="&amp;$A178,実績!$AD$6:$AD$505,"&gt;"&amp;$A178,実績!$AE$6:$AE$505,"○")&gt;0,1,0))</f>
        <v/>
      </c>
      <c r="BP178">
        <f>IF(BP$4=0,0,IF(COUNTIFS(実績!$W$6:$W$505,BP$3,実績!$AC$6:$AC$505,"&lt;="&amp;$A178,実績!$AD$6:$AD$505,"&gt;"&amp;$A178,実績!$AE$6:$AE$505,"○")&gt;0,1,0))</f>
        <v/>
      </c>
      <c r="BQ178">
        <f>IF(BQ$4=0,0,IF(COUNTIFS(実績!$W$6:$W$505,BQ$3,実績!$AC$6:$AC$505,"&lt;="&amp;$A178,実績!$AD$6:$AD$505,"&gt;"&amp;$A178,実績!$AE$6:$AE$505,"○")&gt;0,1,0))</f>
        <v/>
      </c>
      <c r="BR178">
        <f>IF(BR$4=0,0,IF(COUNTIFS(実績!$W$6:$W$505,BR$3,実績!$AC$6:$AC$505,"&lt;="&amp;$A178,実績!$AD$6:$AD$505,"&gt;"&amp;$A178,実績!$AE$6:$AE$505,"○")&gt;0,1,0))</f>
        <v/>
      </c>
      <c r="BS178">
        <f>IF(BS$4=0,0,IF(COUNTIFS(実績!$W$6:$W$505,BS$3,実績!$AC$6:$AC$505,"&lt;="&amp;$A178,実績!$AD$6:$AD$505,"&gt;"&amp;$A178,実績!$AE$6:$AE$505,"○")&gt;0,1,0))</f>
        <v/>
      </c>
      <c r="BT178">
        <f>IF(BT$4=0,0,IF(COUNTIFS(実績!$W$6:$W$505,BT$3,実績!$AC$6:$AC$505,"&lt;="&amp;$A178,実績!$AD$6:$AD$505,"&gt;"&amp;$A178,実績!$AE$6:$AE$505,"○")&gt;0,1,0))</f>
        <v/>
      </c>
      <c r="BU178">
        <f>IF(BU$4=0,0,IF(COUNTIFS(実績!$W$6:$W$505,BU$3,実績!$AC$6:$AC$505,"&lt;="&amp;$A178,実績!$AD$6:$AD$505,"&gt;"&amp;$A178,実績!$AE$6:$AE$505,"○")&gt;0,1,0))</f>
        <v/>
      </c>
      <c r="BV178">
        <f>IF(BV$4=0,0,IF(COUNTIFS(実績!$W$6:$W$505,BV$3,実績!$AC$6:$AC$505,"&lt;="&amp;$A178,実績!$AD$6:$AD$505,"&gt;"&amp;$A178,実績!$AE$6:$AE$505,"○")&gt;0,1,0))</f>
        <v/>
      </c>
      <c r="BW178">
        <f>IF(BW$4=0,0,IF(COUNTIFS(実績!$W$6:$W$505,BW$3,実績!$AC$6:$AC$505,"&lt;="&amp;$A178,実績!$AD$6:$AD$505,"&gt;"&amp;$A178,実績!$AE$6:$AE$505,"○")&gt;0,1,0))</f>
        <v/>
      </c>
      <c r="BX178">
        <f>IF(BX$4=0,0,IF(COUNTIFS(実績!$W$6:$W$505,BX$3,実績!$AC$6:$AC$505,"&lt;="&amp;$A178,実績!$AD$6:$AD$505,"&gt;"&amp;$A178,実績!$AE$6:$AE$505,"○")&gt;0,1,0))</f>
        <v/>
      </c>
      <c r="BY178">
        <f>IF(BY$4=0,0,IF(COUNTIFS(実績!$W$6:$W$505,BY$3,実績!$AC$6:$AC$505,"&lt;="&amp;$A178,実績!$AD$6:$AD$505,"&gt;"&amp;$A178,実績!$AE$6:$AE$505,"○")&gt;0,1,0))</f>
        <v/>
      </c>
      <c r="BZ178">
        <f>IF(BZ$4=0,0,IF(COUNTIFS(実績!$W$6:$W$505,BZ$3,実績!$AC$6:$AC$505,"&lt;="&amp;$A178,実績!$AD$6:$AD$505,"&gt;"&amp;$A178,実績!$AE$6:$AE$505,"○")&gt;0,1,0))</f>
        <v/>
      </c>
      <c r="CA178">
        <f>IF(CA$4=0,0,IF(COUNTIFS(実績!$W$6:$W$505,CA$3,実績!$AC$6:$AC$505,"&lt;="&amp;$A178,実績!$AD$6:$AD$505,"&gt;"&amp;$A178,実績!$AE$6:$AE$505,"○")&gt;0,1,0))</f>
        <v/>
      </c>
      <c r="CB178">
        <f>IF(CB$4=0,0,IF(COUNTIFS(実績!$W$6:$W$505,CB$3,実績!$AC$6:$AC$505,"&lt;="&amp;$A178,実績!$AD$6:$AD$505,"&gt;"&amp;$A178,実績!$AE$6:$AE$505,"○")&gt;0,1,0))</f>
        <v/>
      </c>
      <c r="CC178">
        <f>IF(CC$4=0,0,IF(COUNTIFS(実績!$W$6:$W$505,CC$3,実績!$AC$6:$AC$505,"&lt;="&amp;$A178,実績!$AD$6:$AD$505,"&gt;"&amp;$A178,実績!$AE$6:$AE$505,"○")&gt;0,1,0))</f>
        <v/>
      </c>
      <c r="CD178">
        <f>IF(CD$4=0,0,IF(COUNTIFS(実績!$W$6:$W$505,CD$3,実績!$AC$6:$AC$505,"&lt;="&amp;$A178,実績!$AD$6:$AD$505,"&gt;"&amp;$A178,実績!$AE$6:$AE$505,"○")&gt;0,1,0))</f>
        <v/>
      </c>
      <c r="CE178">
        <f>IF(CE$4=0,0,IF(COUNTIFS(実績!$W$6:$W$505,CE$3,実績!$AC$6:$AC$505,"&lt;="&amp;$A178,実績!$AD$6:$AD$505,"&gt;"&amp;$A178,実績!$AE$6:$AE$505,"○")&gt;0,1,0))</f>
        <v/>
      </c>
      <c r="CF178">
        <f>IF(CF$4=0,0,IF(COUNTIFS(実績!$W$6:$W$505,CF$3,実績!$AC$6:$AC$505,"&lt;="&amp;$A178,実績!$AD$6:$AD$505,"&gt;"&amp;$A178,実績!$AE$6:$AE$505,"○")&gt;0,1,0))</f>
        <v/>
      </c>
      <c r="CG178">
        <f>IF(CG$4=0,0,IF(COUNTIFS(実績!$W$6:$W$505,CG$3,実績!$AC$6:$AC$505,"&lt;="&amp;$A178,実績!$AD$6:$AD$505,"&gt;"&amp;$A178,実績!$AE$6:$AE$505,"○")&gt;0,1,0))</f>
        <v/>
      </c>
      <c r="CH178">
        <f>IF(CH$4=0,0,IF(COUNTIFS(実績!$W$6:$W$505,CH$3,実績!$AC$6:$AC$505,"&lt;="&amp;$A178,実績!$AD$6:$AD$505,"&gt;"&amp;$A178,実績!$AE$6:$AE$505,"○")&gt;0,1,0))</f>
        <v/>
      </c>
      <c r="CI178">
        <f>IF(CI$4=0,0,IF(COUNTIFS(実績!$W$6:$W$505,CI$3,実績!$AC$6:$AC$505,"&lt;="&amp;$A178,実績!$AD$6:$AD$505,"&gt;"&amp;$A178,実績!$AE$6:$AE$505,"○")&gt;0,1,0))</f>
        <v/>
      </c>
      <c r="CJ178">
        <f>IF(CJ$4=0,0,IF(COUNTIFS(実績!$W$6:$W$505,CJ$3,実績!$AC$6:$AC$505,"&lt;="&amp;$A178,実績!$AD$6:$AD$505,"&gt;"&amp;$A178,実績!$AE$6:$AE$505,"○")&gt;0,1,0))</f>
        <v/>
      </c>
      <c r="CK178">
        <f>IF(CK$4=0,0,IF(COUNTIFS(実績!$W$6:$W$505,CK$3,実績!$AC$6:$AC$505,"&lt;="&amp;$A178,実績!$AD$6:$AD$505,"&gt;"&amp;$A178,実績!$AE$6:$AE$505,"○")&gt;0,1,0))</f>
        <v/>
      </c>
      <c r="CL178">
        <f>IF(CL$4=0,0,IF(COUNTIFS(実績!$W$6:$W$505,CL$3,実績!$AC$6:$AC$505,"&lt;="&amp;$A178,実績!$AD$6:$AD$505,"&gt;"&amp;$A178,実績!$AE$6:$AE$505,"○")&gt;0,1,0))</f>
        <v/>
      </c>
      <c r="CM178">
        <f>IF(CM$4=0,0,IF(COUNTIFS(実績!$W$6:$W$505,CM$3,実績!$AC$6:$AC$505,"&lt;="&amp;$A178,実績!$AD$6:$AD$505,"&gt;"&amp;$A178,実績!$AE$6:$AE$505,"○")&gt;0,1,0))</f>
        <v/>
      </c>
      <c r="CN178">
        <f>IF(CN$4=0,0,IF(COUNTIFS(実績!$W$6:$W$505,CN$3,実績!$AC$6:$AC$505,"&lt;="&amp;$A178,実績!$AD$6:$AD$505,"&gt;"&amp;$A178,実績!$AE$6:$AE$505,"○")&gt;0,1,0))</f>
        <v/>
      </c>
      <c r="CO178">
        <f>IF(CO$4=0,0,IF(COUNTIFS(実績!$W$6:$W$505,CO$3,実績!$AC$6:$AC$505,"&lt;="&amp;$A178,実績!$AD$6:$AD$505,"&gt;"&amp;$A178,実績!$AE$6:$AE$505,"○")&gt;0,1,0))</f>
        <v/>
      </c>
      <c r="CP178">
        <f>IF(CP$4=0,0,IF(COUNTIFS(実績!$W$6:$W$505,CP$3,実績!$AC$6:$AC$505,"&lt;="&amp;$A178,実績!$AD$6:$AD$505,"&gt;"&amp;$A178,実績!$AE$6:$AE$505,"○")&gt;0,1,0))</f>
        <v/>
      </c>
      <c r="CQ178">
        <f>IF(CQ$4=0,0,IF(COUNTIFS(実績!$W$6:$W$505,CQ$3,実績!$AC$6:$AC$505,"&lt;="&amp;$A178,実績!$AD$6:$AD$505,"&gt;"&amp;$A178,実績!$AE$6:$AE$505,"○")&gt;0,1,0))</f>
        <v/>
      </c>
      <c r="CR178">
        <f>IF(CR$4=0,0,IF(COUNTIFS(実績!$W$6:$W$505,CR$3,実績!$AC$6:$AC$505,"&lt;="&amp;$A178,実績!$AD$6:$AD$505,"&gt;"&amp;$A178,実績!$AE$6:$AE$505,"○")&gt;0,1,0))</f>
        <v/>
      </c>
      <c r="CS178">
        <f>IF(CS$4=0,0,IF(COUNTIFS(実績!$W$6:$W$505,CS$3,実績!$AC$6:$AC$505,"&lt;="&amp;$A178,実績!$AD$6:$AD$505,"&gt;"&amp;$A178,実績!$AE$6:$AE$505,"○")&gt;0,1,0))</f>
        <v/>
      </c>
      <c r="CT178">
        <f>IF(CT$4=0,0,IF(COUNTIFS(実績!$W$6:$W$505,CT$3,実績!$AC$6:$AC$505,"&lt;="&amp;$A178,実績!$AD$6:$AD$505,"&gt;"&amp;$A178,実績!$AE$6:$AE$505,"○")&gt;0,1,0))</f>
        <v/>
      </c>
      <c r="CU178">
        <f>IF(CU$4=0,0,IF(COUNTIFS(実績!$W$6:$W$505,CU$3,実績!$AC$6:$AC$505,"&lt;="&amp;$A178,実績!$AD$6:$AD$505,"&gt;"&amp;$A178,実績!$AE$6:$AE$505,"○")&gt;0,1,0))</f>
        <v/>
      </c>
      <c r="CV178">
        <f>IF(CV$4=0,0,IF(COUNTIFS(実績!$W$6:$W$505,CV$3,実績!$AC$6:$AC$505,"&lt;="&amp;$A178,実績!$AD$6:$AD$505,"&gt;"&amp;$A178,実績!$AE$6:$AE$505,"○")&gt;0,1,0))</f>
        <v/>
      </c>
      <c r="CW178">
        <f>IF(CW$4=0,0,IF(COUNTIFS(実績!$W$6:$W$505,CW$3,実績!$AC$6:$AC$505,"&lt;="&amp;$A178,実績!$AD$6:$AD$505,"&gt;"&amp;$A178,実績!$AE$6:$AE$505,"○")&gt;0,1,0))</f>
        <v/>
      </c>
      <c r="CX178">
        <f>IF(CX$4=0,0,IF(COUNTIFS(実績!$W$6:$W$505,CX$3,実績!$AC$6:$AC$505,"&lt;="&amp;$A178,実績!$AD$6:$AD$505,"&gt;"&amp;$A178,実績!$AE$6:$AE$505,"○")&gt;0,1,0))</f>
        <v/>
      </c>
      <c r="CY178">
        <f>IF(CY$4=0,0,IF(COUNTIFS(実績!$W$6:$W$505,CY$3,実績!$AC$6:$AC$505,"&lt;="&amp;$A178,実績!$AD$6:$AD$505,"&gt;"&amp;$A178,実績!$AE$6:$AE$505,"○")&gt;0,1,0))</f>
        <v/>
      </c>
      <c r="CZ178">
        <f>IF(CZ$4=0,0,IF(COUNTIFS(実績!$W$6:$W$505,CZ$3,実績!$AC$6:$AC$505,"&lt;="&amp;$A178,実績!$AD$6:$AD$505,"&gt;"&amp;$A178,実績!$AE$6:$AE$505,"○")&gt;0,1,0))</f>
        <v/>
      </c>
      <c r="DA178">
        <f>IF(DA$4=0,0,IF(COUNTIFS(実績!$W$6:$W$505,DA$3,実績!$AC$6:$AC$505,"&lt;="&amp;$A178,実績!$AD$6:$AD$505,"&gt;"&amp;$A178,実績!$AE$6:$AE$505,"○")&gt;0,1,0))</f>
        <v/>
      </c>
      <c r="DB178">
        <f>IF(DB$4=0,0,IF(COUNTIFS(実績!$W$6:$W$505,DB$3,実績!$AC$6:$AC$505,"&lt;="&amp;$A178,実績!$AD$6:$AD$505,"&gt;"&amp;$A178,実績!$AE$6:$AE$505,"○")&gt;0,1,0))</f>
        <v/>
      </c>
      <c r="DC178">
        <f>IF(DC$4=0,0,IF(COUNTIFS(実績!$W$6:$W$505,DC$3,実績!$AC$6:$AC$505,"&lt;="&amp;$A178,実績!$AD$6:$AD$505,"&gt;"&amp;$A178,実績!$AE$6:$AE$505,"○")&gt;0,1,0))</f>
        <v/>
      </c>
      <c r="DD178">
        <f>IF(DD$4=0,0,IF(COUNTIFS(実績!$W$6:$W$505,DD$3,実績!$AC$6:$AC$505,"&lt;="&amp;$A178,実績!$AD$6:$AD$505,"&gt;"&amp;$A178,実績!$AE$6:$AE$505,"○")&gt;0,1,0))</f>
        <v/>
      </c>
      <c r="DE178">
        <f>IF(DE$4=0,0,IF(COUNTIFS(実績!$W$6:$W$505,DE$3,実績!$AC$6:$AC$505,"&lt;="&amp;$A178,実績!$AD$6:$AD$505,"&gt;"&amp;$A178,実績!$AE$6:$AE$505,"○")&gt;0,1,0))</f>
        <v/>
      </c>
      <c r="DF178">
        <f>IF(DF$4=0,0,IF(COUNTIFS(実績!$W$6:$W$505,DF$3,実績!$AC$6:$AC$505,"&lt;="&amp;$A178,実績!$AD$6:$AD$505,"&gt;"&amp;$A178,実績!$AE$6:$AE$505,"○")&gt;0,1,0))</f>
        <v/>
      </c>
      <c r="DG178">
        <f>IF(DG$4=0,0,IF(COUNTIFS(実績!$W$6:$W$505,DG$3,実績!$AC$6:$AC$505,"&lt;="&amp;$A178,実績!$AD$6:$AD$505,"&gt;"&amp;$A178,実績!$AE$6:$AE$505,"○")&gt;0,1,0))</f>
        <v/>
      </c>
      <c r="DH178">
        <f>IF(DH$4=0,0,IF(COUNTIFS(実績!$W$6:$W$505,DH$3,実績!$AC$6:$AC$505,"&lt;="&amp;$A178,実績!$AD$6:$AD$505,"&gt;"&amp;$A178,実績!$AE$6:$AE$505,"○")&gt;0,1,0))</f>
        <v/>
      </c>
      <c r="DI178">
        <f>IF(DI$4=0,0,IF(COUNTIFS(実績!$W$6:$W$505,DI$3,実績!$AC$6:$AC$505,"&lt;="&amp;$A178,実績!$AD$6:$AD$505,"&gt;"&amp;$A178,実績!$AE$6:$AE$505,"○")&gt;0,1,0))</f>
        <v/>
      </c>
      <c r="DJ178">
        <f>IF(DJ$4=0,0,IF(COUNTIFS(実績!$W$6:$W$505,DJ$3,実績!$AC$6:$AC$505,"&lt;="&amp;$A178,実績!$AD$6:$AD$505,"&gt;"&amp;$A178,実績!$AE$6:$AE$505,"○")&gt;0,1,0))</f>
        <v/>
      </c>
      <c r="DK178">
        <f>IF(DK$4=0,0,IF(COUNTIFS(実績!$W$6:$W$505,DK$3,実績!$AC$6:$AC$505,"&lt;="&amp;$A178,実績!$AD$6:$AD$505,"&gt;"&amp;$A178,実績!$AE$6:$AE$505,"○")&gt;0,1,0))</f>
        <v/>
      </c>
      <c r="DL178">
        <f>IF(DL$4=0,0,IF(COUNTIFS(実績!$W$6:$W$505,DL$3,実績!$AC$6:$AC$505,"&lt;="&amp;$A178,実績!$AD$6:$AD$505,"&gt;"&amp;$A178,実績!$AE$6:$AE$505,"○")&gt;0,1,0))</f>
        <v/>
      </c>
      <c r="DM178">
        <f>IF(DM$4=0,0,IF(COUNTIFS(実績!$W$6:$W$505,DM$3,実績!$AC$6:$AC$505,"&lt;="&amp;$A178,実績!$AD$6:$AD$505,"&gt;"&amp;$A178,実績!$AE$6:$AE$505,"○")&gt;0,1,0))</f>
        <v/>
      </c>
      <c r="DN178">
        <f>IF(DN$4=0,0,IF(COUNTIFS(実績!$W$6:$W$505,DN$3,実績!$AC$6:$AC$505,"&lt;="&amp;$A178,実績!$AD$6:$AD$505,"&gt;"&amp;$A178,実績!$AE$6:$AE$505,"○")&gt;0,1,0))</f>
        <v/>
      </c>
      <c r="DO178">
        <f>IF(DO$4=0,0,IF(COUNTIFS(実績!$W$6:$W$505,DO$3,実績!$AC$6:$AC$505,"&lt;="&amp;$A178,実績!$AD$6:$AD$505,"&gt;"&amp;$A178,実績!$AE$6:$AE$505,"○")&gt;0,1,0))</f>
        <v/>
      </c>
      <c r="DP178">
        <f>IF(DP$4=0,0,IF(COUNTIFS(実績!$W$6:$W$505,DP$3,実績!$AC$6:$AC$505,"&lt;="&amp;$A178,実績!$AD$6:$AD$505,"&gt;"&amp;$A178,実績!$AE$6:$AE$505,"○")&gt;0,1,0))</f>
        <v/>
      </c>
      <c r="DQ178">
        <f>IF(DQ$4=0,0,IF(COUNTIFS(実績!$W$6:$W$505,DQ$3,実績!$AC$6:$AC$505,"&lt;="&amp;$A178,実績!$AD$6:$AD$505,"&gt;"&amp;$A178,実績!$AE$6:$AE$505,"○")&gt;0,1,0))</f>
        <v/>
      </c>
      <c r="DR178">
        <f>IF(DR$4=0,0,IF(COUNTIFS(実績!$W$6:$W$505,DR$3,実績!$AC$6:$AC$505,"&lt;="&amp;$A178,実績!$AD$6:$AD$505,"&gt;"&amp;$A178,実績!$AE$6:$AE$505,"○")&gt;0,1,0))</f>
        <v/>
      </c>
      <c r="DS178">
        <f>SUM(C178:DR178)</f>
        <v/>
      </c>
      <c r="DT178">
        <f>SUMPRODUCT((実績!$C$6:$C$505="○")*ISNUMBER(実績!$AF$6:$AF$505)*(実績!$AF$6:$AF$505&lt;=$A178)*(実績!$AG$6:$AG$505&gt;$A178))</f>
        <v/>
      </c>
      <c r="DU178">
        <f>SUMIF($C$2:$DR$2,"製鉄曳船",C178:DR178)</f>
        <v/>
      </c>
      <c r="DV178">
        <f>SUMIF($C$2:$DR$2,"西日本海運",C178:DR178)</f>
        <v/>
      </c>
    </row>
    <row r="179">
      <c r="A179" t="n">
        <v>865</v>
      </c>
      <c r="B179" s="29">
        <f>A179/1440</f>
        <v/>
      </c>
      <c r="C179">
        <f>IF(C$4=0,0,IF(COUNTIFS(実績!$W$6:$W$505,C$3,実績!$AC$6:$AC$505,"&lt;="&amp;$A179,実績!$AD$6:$AD$505,"&gt;"&amp;$A179,実績!$AE$6:$AE$505,"○")&gt;0,1,0))</f>
        <v/>
      </c>
      <c r="D179">
        <f>IF(D$4=0,0,IF(COUNTIFS(実績!$W$6:$W$505,D$3,実績!$AC$6:$AC$505,"&lt;="&amp;$A179,実績!$AD$6:$AD$505,"&gt;"&amp;$A179,実績!$AE$6:$AE$505,"○")&gt;0,1,0))</f>
        <v/>
      </c>
      <c r="E179">
        <f>IF(E$4=0,0,IF(COUNTIFS(実績!$W$6:$W$505,E$3,実績!$AC$6:$AC$505,"&lt;="&amp;$A179,実績!$AD$6:$AD$505,"&gt;"&amp;$A179,実績!$AE$6:$AE$505,"○")&gt;0,1,0))</f>
        <v/>
      </c>
      <c r="F179">
        <f>IF(F$4=0,0,IF(COUNTIFS(実績!$W$6:$W$505,F$3,実績!$AC$6:$AC$505,"&lt;="&amp;$A179,実績!$AD$6:$AD$505,"&gt;"&amp;$A179,実績!$AE$6:$AE$505,"○")&gt;0,1,0))</f>
        <v/>
      </c>
      <c r="G179">
        <f>IF(G$4=0,0,IF(COUNTIFS(実績!$W$6:$W$505,G$3,実績!$AC$6:$AC$505,"&lt;="&amp;$A179,実績!$AD$6:$AD$505,"&gt;"&amp;$A179,実績!$AE$6:$AE$505,"○")&gt;0,1,0))</f>
        <v/>
      </c>
      <c r="H179">
        <f>IF(H$4=0,0,IF(COUNTIFS(実績!$W$6:$W$505,H$3,実績!$AC$6:$AC$505,"&lt;="&amp;$A179,実績!$AD$6:$AD$505,"&gt;"&amp;$A179,実績!$AE$6:$AE$505,"○")&gt;0,1,0))</f>
        <v/>
      </c>
      <c r="I179">
        <f>IF(I$4=0,0,IF(COUNTIFS(実績!$W$6:$W$505,I$3,実績!$AC$6:$AC$505,"&lt;="&amp;$A179,実績!$AD$6:$AD$505,"&gt;"&amp;$A179,実績!$AE$6:$AE$505,"○")&gt;0,1,0))</f>
        <v/>
      </c>
      <c r="J179">
        <f>IF(J$4=0,0,IF(COUNTIFS(実績!$W$6:$W$505,J$3,実績!$AC$6:$AC$505,"&lt;="&amp;$A179,実績!$AD$6:$AD$505,"&gt;"&amp;$A179,実績!$AE$6:$AE$505,"○")&gt;0,1,0))</f>
        <v/>
      </c>
      <c r="K179">
        <f>IF(K$4=0,0,IF(COUNTIFS(実績!$W$6:$W$505,K$3,実績!$AC$6:$AC$505,"&lt;="&amp;$A179,実績!$AD$6:$AD$505,"&gt;"&amp;$A179,実績!$AE$6:$AE$505,"○")&gt;0,1,0))</f>
        <v/>
      </c>
      <c r="L179">
        <f>IF(L$4=0,0,IF(COUNTIFS(実績!$W$6:$W$505,L$3,実績!$AC$6:$AC$505,"&lt;="&amp;$A179,実績!$AD$6:$AD$505,"&gt;"&amp;$A179,実績!$AE$6:$AE$505,"○")&gt;0,1,0))</f>
        <v/>
      </c>
      <c r="M179">
        <f>IF(M$4=0,0,IF(COUNTIFS(実績!$W$6:$W$505,M$3,実績!$AC$6:$AC$505,"&lt;="&amp;$A179,実績!$AD$6:$AD$505,"&gt;"&amp;$A179,実績!$AE$6:$AE$505,"○")&gt;0,1,0))</f>
        <v/>
      </c>
      <c r="N179">
        <f>IF(N$4=0,0,IF(COUNTIFS(実績!$W$6:$W$505,N$3,実績!$AC$6:$AC$505,"&lt;="&amp;$A179,実績!$AD$6:$AD$505,"&gt;"&amp;$A179,実績!$AE$6:$AE$505,"○")&gt;0,1,0))</f>
        <v/>
      </c>
      <c r="O179">
        <f>IF(O$4=0,0,IF(COUNTIFS(実績!$W$6:$W$505,O$3,実績!$AC$6:$AC$505,"&lt;="&amp;$A179,実績!$AD$6:$AD$505,"&gt;"&amp;$A179,実績!$AE$6:$AE$505,"○")&gt;0,1,0))</f>
        <v/>
      </c>
      <c r="P179">
        <f>IF(P$4=0,0,IF(COUNTIFS(実績!$W$6:$W$505,P$3,実績!$AC$6:$AC$505,"&lt;="&amp;$A179,実績!$AD$6:$AD$505,"&gt;"&amp;$A179,実績!$AE$6:$AE$505,"○")&gt;0,1,0))</f>
        <v/>
      </c>
      <c r="Q179">
        <f>IF(Q$4=0,0,IF(COUNTIFS(実績!$W$6:$W$505,Q$3,実績!$AC$6:$AC$505,"&lt;="&amp;$A179,実績!$AD$6:$AD$505,"&gt;"&amp;$A179,実績!$AE$6:$AE$505,"○")&gt;0,1,0))</f>
        <v/>
      </c>
      <c r="R179">
        <f>IF(R$4=0,0,IF(COUNTIFS(実績!$W$6:$W$505,R$3,実績!$AC$6:$AC$505,"&lt;="&amp;$A179,実績!$AD$6:$AD$505,"&gt;"&amp;$A179,実績!$AE$6:$AE$505,"○")&gt;0,1,0))</f>
        <v/>
      </c>
      <c r="S179">
        <f>IF(S$4=0,0,IF(COUNTIFS(実績!$W$6:$W$505,S$3,実績!$AC$6:$AC$505,"&lt;="&amp;$A179,実績!$AD$6:$AD$505,"&gt;"&amp;$A179,実績!$AE$6:$AE$505,"○")&gt;0,1,0))</f>
        <v/>
      </c>
      <c r="T179">
        <f>IF(T$4=0,0,IF(COUNTIFS(実績!$W$6:$W$505,T$3,実績!$AC$6:$AC$505,"&lt;="&amp;$A179,実績!$AD$6:$AD$505,"&gt;"&amp;$A179,実績!$AE$6:$AE$505,"○")&gt;0,1,0))</f>
        <v/>
      </c>
      <c r="U179">
        <f>IF(U$4=0,0,IF(COUNTIFS(実績!$W$6:$W$505,U$3,実績!$AC$6:$AC$505,"&lt;="&amp;$A179,実績!$AD$6:$AD$505,"&gt;"&amp;$A179,実績!$AE$6:$AE$505,"○")&gt;0,1,0))</f>
        <v/>
      </c>
      <c r="V179">
        <f>IF(V$4=0,0,IF(COUNTIFS(実績!$W$6:$W$505,V$3,実績!$AC$6:$AC$505,"&lt;="&amp;$A179,実績!$AD$6:$AD$505,"&gt;"&amp;$A179,実績!$AE$6:$AE$505,"○")&gt;0,1,0))</f>
        <v/>
      </c>
      <c r="W179">
        <f>IF(W$4=0,0,IF(COUNTIFS(実績!$W$6:$W$505,W$3,実績!$AC$6:$AC$505,"&lt;="&amp;$A179,実績!$AD$6:$AD$505,"&gt;"&amp;$A179,実績!$AE$6:$AE$505,"○")&gt;0,1,0))</f>
        <v/>
      </c>
      <c r="X179">
        <f>IF(X$4=0,0,IF(COUNTIFS(実績!$W$6:$W$505,X$3,実績!$AC$6:$AC$505,"&lt;="&amp;$A179,実績!$AD$6:$AD$505,"&gt;"&amp;$A179,実績!$AE$6:$AE$505,"○")&gt;0,1,0))</f>
        <v/>
      </c>
      <c r="Y179">
        <f>IF(Y$4=0,0,IF(COUNTIFS(実績!$W$6:$W$505,Y$3,実績!$AC$6:$AC$505,"&lt;="&amp;$A179,実績!$AD$6:$AD$505,"&gt;"&amp;$A179,実績!$AE$6:$AE$505,"○")&gt;0,1,0))</f>
        <v/>
      </c>
      <c r="Z179">
        <f>IF(Z$4=0,0,IF(COUNTIFS(実績!$W$6:$W$505,Z$3,実績!$AC$6:$AC$505,"&lt;="&amp;$A179,実績!$AD$6:$AD$505,"&gt;"&amp;$A179,実績!$AE$6:$AE$505,"○")&gt;0,1,0))</f>
        <v/>
      </c>
      <c r="AA179">
        <f>IF(AA$4=0,0,IF(COUNTIFS(実績!$W$6:$W$505,AA$3,実績!$AC$6:$AC$505,"&lt;="&amp;$A179,実績!$AD$6:$AD$505,"&gt;"&amp;$A179,実績!$AE$6:$AE$505,"○")&gt;0,1,0))</f>
        <v/>
      </c>
      <c r="AB179">
        <f>IF(AB$4=0,0,IF(COUNTIFS(実績!$W$6:$W$505,AB$3,実績!$AC$6:$AC$505,"&lt;="&amp;$A179,実績!$AD$6:$AD$505,"&gt;"&amp;$A179,実績!$AE$6:$AE$505,"○")&gt;0,1,0))</f>
        <v/>
      </c>
      <c r="AC179">
        <f>IF(AC$4=0,0,IF(COUNTIFS(実績!$W$6:$W$505,AC$3,実績!$AC$6:$AC$505,"&lt;="&amp;$A179,実績!$AD$6:$AD$505,"&gt;"&amp;$A179,実績!$AE$6:$AE$505,"○")&gt;0,1,0))</f>
        <v/>
      </c>
      <c r="AD179">
        <f>IF(AD$4=0,0,IF(COUNTIFS(実績!$W$6:$W$505,AD$3,実績!$AC$6:$AC$505,"&lt;="&amp;$A179,実績!$AD$6:$AD$505,"&gt;"&amp;$A179,実績!$AE$6:$AE$505,"○")&gt;0,1,0))</f>
        <v/>
      </c>
      <c r="AE179">
        <f>IF(AE$4=0,0,IF(COUNTIFS(実績!$W$6:$W$505,AE$3,実績!$AC$6:$AC$505,"&lt;="&amp;$A179,実績!$AD$6:$AD$505,"&gt;"&amp;$A179,実績!$AE$6:$AE$505,"○")&gt;0,1,0))</f>
        <v/>
      </c>
      <c r="AF179">
        <f>IF(AF$4=0,0,IF(COUNTIFS(実績!$W$6:$W$505,AF$3,実績!$AC$6:$AC$505,"&lt;="&amp;$A179,実績!$AD$6:$AD$505,"&gt;"&amp;$A179,実績!$AE$6:$AE$505,"○")&gt;0,1,0))</f>
        <v/>
      </c>
      <c r="AG179">
        <f>IF(AG$4=0,0,IF(COUNTIFS(実績!$W$6:$W$505,AG$3,実績!$AC$6:$AC$505,"&lt;="&amp;$A179,実績!$AD$6:$AD$505,"&gt;"&amp;$A179,実績!$AE$6:$AE$505,"○")&gt;0,1,0))</f>
        <v/>
      </c>
      <c r="AH179">
        <f>IF(AH$4=0,0,IF(COUNTIFS(実績!$W$6:$W$505,AH$3,実績!$AC$6:$AC$505,"&lt;="&amp;$A179,実績!$AD$6:$AD$505,"&gt;"&amp;$A179,実績!$AE$6:$AE$505,"○")&gt;0,1,0))</f>
        <v/>
      </c>
      <c r="AI179">
        <f>IF(AI$4=0,0,IF(COUNTIFS(実績!$W$6:$W$505,AI$3,実績!$AC$6:$AC$505,"&lt;="&amp;$A179,実績!$AD$6:$AD$505,"&gt;"&amp;$A179,実績!$AE$6:$AE$505,"○")&gt;0,1,0))</f>
        <v/>
      </c>
      <c r="AJ179">
        <f>IF(AJ$4=0,0,IF(COUNTIFS(実績!$W$6:$W$505,AJ$3,実績!$AC$6:$AC$505,"&lt;="&amp;$A179,実績!$AD$6:$AD$505,"&gt;"&amp;$A179,実績!$AE$6:$AE$505,"○")&gt;0,1,0))</f>
        <v/>
      </c>
      <c r="AK179">
        <f>IF(AK$4=0,0,IF(COUNTIFS(実績!$W$6:$W$505,AK$3,実績!$AC$6:$AC$505,"&lt;="&amp;$A179,実績!$AD$6:$AD$505,"&gt;"&amp;$A179,実績!$AE$6:$AE$505,"○")&gt;0,1,0))</f>
        <v/>
      </c>
      <c r="AL179">
        <f>IF(AL$4=0,0,IF(COUNTIFS(実績!$W$6:$W$505,AL$3,実績!$AC$6:$AC$505,"&lt;="&amp;$A179,実績!$AD$6:$AD$505,"&gt;"&amp;$A179,実績!$AE$6:$AE$505,"○")&gt;0,1,0))</f>
        <v/>
      </c>
      <c r="AM179">
        <f>IF(AM$4=0,0,IF(COUNTIFS(実績!$W$6:$W$505,AM$3,実績!$AC$6:$AC$505,"&lt;="&amp;$A179,実績!$AD$6:$AD$505,"&gt;"&amp;$A179,実績!$AE$6:$AE$505,"○")&gt;0,1,0))</f>
        <v/>
      </c>
      <c r="AN179">
        <f>IF(AN$4=0,0,IF(COUNTIFS(実績!$W$6:$W$505,AN$3,実績!$AC$6:$AC$505,"&lt;="&amp;$A179,実績!$AD$6:$AD$505,"&gt;"&amp;$A179,実績!$AE$6:$AE$505,"○")&gt;0,1,0))</f>
        <v/>
      </c>
      <c r="AO179">
        <f>IF(AO$4=0,0,IF(COUNTIFS(実績!$W$6:$W$505,AO$3,実績!$AC$6:$AC$505,"&lt;="&amp;$A179,実績!$AD$6:$AD$505,"&gt;"&amp;$A179,実績!$AE$6:$AE$505,"○")&gt;0,1,0))</f>
        <v/>
      </c>
      <c r="AP179">
        <f>IF(AP$4=0,0,IF(COUNTIFS(実績!$W$6:$W$505,AP$3,実績!$AC$6:$AC$505,"&lt;="&amp;$A179,実績!$AD$6:$AD$505,"&gt;"&amp;$A179,実績!$AE$6:$AE$505,"○")&gt;0,1,0))</f>
        <v/>
      </c>
      <c r="AQ179">
        <f>IF(AQ$4=0,0,IF(COUNTIFS(実績!$W$6:$W$505,AQ$3,実績!$AC$6:$AC$505,"&lt;="&amp;$A179,実績!$AD$6:$AD$505,"&gt;"&amp;$A179,実績!$AE$6:$AE$505,"○")&gt;0,1,0))</f>
        <v/>
      </c>
      <c r="AR179">
        <f>IF(AR$4=0,0,IF(COUNTIFS(実績!$W$6:$W$505,AR$3,実績!$AC$6:$AC$505,"&lt;="&amp;$A179,実績!$AD$6:$AD$505,"&gt;"&amp;$A179,実績!$AE$6:$AE$505,"○")&gt;0,1,0))</f>
        <v/>
      </c>
      <c r="AS179">
        <f>IF(AS$4=0,0,IF(COUNTIFS(実績!$W$6:$W$505,AS$3,実績!$AC$6:$AC$505,"&lt;="&amp;$A179,実績!$AD$6:$AD$505,"&gt;"&amp;$A179,実績!$AE$6:$AE$505,"○")&gt;0,1,0))</f>
        <v/>
      </c>
      <c r="AT179">
        <f>IF(AT$4=0,0,IF(COUNTIFS(実績!$W$6:$W$505,AT$3,実績!$AC$6:$AC$505,"&lt;="&amp;$A179,実績!$AD$6:$AD$505,"&gt;"&amp;$A179,実績!$AE$6:$AE$505,"○")&gt;0,1,0))</f>
        <v/>
      </c>
      <c r="AU179">
        <f>IF(AU$4=0,0,IF(COUNTIFS(実績!$W$6:$W$505,AU$3,実績!$AC$6:$AC$505,"&lt;="&amp;$A179,実績!$AD$6:$AD$505,"&gt;"&amp;$A179,実績!$AE$6:$AE$505,"○")&gt;0,1,0))</f>
        <v/>
      </c>
      <c r="AV179">
        <f>IF(AV$4=0,0,IF(COUNTIFS(実績!$W$6:$W$505,AV$3,実績!$AC$6:$AC$505,"&lt;="&amp;$A179,実績!$AD$6:$AD$505,"&gt;"&amp;$A179,実績!$AE$6:$AE$505,"○")&gt;0,1,0))</f>
        <v/>
      </c>
      <c r="AW179">
        <f>IF(AW$4=0,0,IF(COUNTIFS(実績!$W$6:$W$505,AW$3,実績!$AC$6:$AC$505,"&lt;="&amp;$A179,実績!$AD$6:$AD$505,"&gt;"&amp;$A179,実績!$AE$6:$AE$505,"○")&gt;0,1,0))</f>
        <v/>
      </c>
      <c r="AX179">
        <f>IF(AX$4=0,0,IF(COUNTIFS(実績!$W$6:$W$505,AX$3,実績!$AC$6:$AC$505,"&lt;="&amp;$A179,実績!$AD$6:$AD$505,"&gt;"&amp;$A179,実績!$AE$6:$AE$505,"○")&gt;0,1,0))</f>
        <v/>
      </c>
      <c r="AY179">
        <f>IF(AY$4=0,0,IF(COUNTIFS(実績!$W$6:$W$505,AY$3,実績!$AC$6:$AC$505,"&lt;="&amp;$A179,実績!$AD$6:$AD$505,"&gt;"&amp;$A179,実績!$AE$6:$AE$505,"○")&gt;0,1,0))</f>
        <v/>
      </c>
      <c r="AZ179">
        <f>IF(AZ$4=0,0,IF(COUNTIFS(実績!$W$6:$W$505,AZ$3,実績!$AC$6:$AC$505,"&lt;="&amp;$A179,実績!$AD$6:$AD$505,"&gt;"&amp;$A179,実績!$AE$6:$AE$505,"○")&gt;0,1,0))</f>
        <v/>
      </c>
      <c r="BA179">
        <f>IF(BA$4=0,0,IF(COUNTIFS(実績!$W$6:$W$505,BA$3,実績!$AC$6:$AC$505,"&lt;="&amp;$A179,実績!$AD$6:$AD$505,"&gt;"&amp;$A179,実績!$AE$6:$AE$505,"○")&gt;0,1,0))</f>
        <v/>
      </c>
      <c r="BB179">
        <f>IF(BB$4=0,0,IF(COUNTIFS(実績!$W$6:$W$505,BB$3,実績!$AC$6:$AC$505,"&lt;="&amp;$A179,実績!$AD$6:$AD$505,"&gt;"&amp;$A179,実績!$AE$6:$AE$505,"○")&gt;0,1,0))</f>
        <v/>
      </c>
      <c r="BC179">
        <f>IF(BC$4=0,0,IF(COUNTIFS(実績!$W$6:$W$505,BC$3,実績!$AC$6:$AC$505,"&lt;="&amp;$A179,実績!$AD$6:$AD$505,"&gt;"&amp;$A179,実績!$AE$6:$AE$505,"○")&gt;0,1,0))</f>
        <v/>
      </c>
      <c r="BD179">
        <f>IF(BD$4=0,0,IF(COUNTIFS(実績!$W$6:$W$505,BD$3,実績!$AC$6:$AC$505,"&lt;="&amp;$A179,実績!$AD$6:$AD$505,"&gt;"&amp;$A179,実績!$AE$6:$AE$505,"○")&gt;0,1,0))</f>
        <v/>
      </c>
      <c r="BE179">
        <f>IF(BE$4=0,0,IF(COUNTIFS(実績!$W$6:$W$505,BE$3,実績!$AC$6:$AC$505,"&lt;="&amp;$A179,実績!$AD$6:$AD$505,"&gt;"&amp;$A179,実績!$AE$6:$AE$505,"○")&gt;0,1,0))</f>
        <v/>
      </c>
      <c r="BF179">
        <f>IF(BF$4=0,0,IF(COUNTIFS(実績!$W$6:$W$505,BF$3,実績!$AC$6:$AC$505,"&lt;="&amp;$A179,実績!$AD$6:$AD$505,"&gt;"&amp;$A179,実績!$AE$6:$AE$505,"○")&gt;0,1,0))</f>
        <v/>
      </c>
      <c r="BG179">
        <f>IF(BG$4=0,0,IF(COUNTIFS(実績!$W$6:$W$505,BG$3,実績!$AC$6:$AC$505,"&lt;="&amp;$A179,実績!$AD$6:$AD$505,"&gt;"&amp;$A179,実績!$AE$6:$AE$505,"○")&gt;0,1,0))</f>
        <v/>
      </c>
      <c r="BH179">
        <f>IF(BH$4=0,0,IF(COUNTIFS(実績!$W$6:$W$505,BH$3,実績!$AC$6:$AC$505,"&lt;="&amp;$A179,実績!$AD$6:$AD$505,"&gt;"&amp;$A179,実績!$AE$6:$AE$505,"○")&gt;0,1,0))</f>
        <v/>
      </c>
      <c r="BI179">
        <f>IF(BI$4=0,0,IF(COUNTIFS(実績!$W$6:$W$505,BI$3,実績!$AC$6:$AC$505,"&lt;="&amp;$A179,実績!$AD$6:$AD$505,"&gt;"&amp;$A179,実績!$AE$6:$AE$505,"○")&gt;0,1,0))</f>
        <v/>
      </c>
      <c r="BJ179">
        <f>IF(BJ$4=0,0,IF(COUNTIFS(実績!$W$6:$W$505,BJ$3,実績!$AC$6:$AC$505,"&lt;="&amp;$A179,実績!$AD$6:$AD$505,"&gt;"&amp;$A179,実績!$AE$6:$AE$505,"○")&gt;0,1,0))</f>
        <v/>
      </c>
      <c r="BK179">
        <f>IF(BK$4=0,0,IF(COUNTIFS(実績!$W$6:$W$505,BK$3,実績!$AC$6:$AC$505,"&lt;="&amp;$A179,実績!$AD$6:$AD$505,"&gt;"&amp;$A179,実績!$AE$6:$AE$505,"○")&gt;0,1,0))</f>
        <v/>
      </c>
      <c r="BL179">
        <f>IF(BL$4=0,0,IF(COUNTIFS(実績!$W$6:$W$505,BL$3,実績!$AC$6:$AC$505,"&lt;="&amp;$A179,実績!$AD$6:$AD$505,"&gt;"&amp;$A179,実績!$AE$6:$AE$505,"○")&gt;0,1,0))</f>
        <v/>
      </c>
      <c r="BM179">
        <f>IF(BM$4=0,0,IF(COUNTIFS(実績!$W$6:$W$505,BM$3,実績!$AC$6:$AC$505,"&lt;="&amp;$A179,実績!$AD$6:$AD$505,"&gt;"&amp;$A179,実績!$AE$6:$AE$505,"○")&gt;0,1,0))</f>
        <v/>
      </c>
      <c r="BN179">
        <f>IF(BN$4=0,0,IF(COUNTIFS(実績!$W$6:$W$505,BN$3,実績!$AC$6:$AC$505,"&lt;="&amp;$A179,実績!$AD$6:$AD$505,"&gt;"&amp;$A179,実績!$AE$6:$AE$505,"○")&gt;0,1,0))</f>
        <v/>
      </c>
      <c r="BO179">
        <f>IF(BO$4=0,0,IF(COUNTIFS(実績!$W$6:$W$505,BO$3,実績!$AC$6:$AC$505,"&lt;="&amp;$A179,実績!$AD$6:$AD$505,"&gt;"&amp;$A179,実績!$AE$6:$AE$505,"○")&gt;0,1,0))</f>
        <v/>
      </c>
      <c r="BP179">
        <f>IF(BP$4=0,0,IF(COUNTIFS(実績!$W$6:$W$505,BP$3,実績!$AC$6:$AC$505,"&lt;="&amp;$A179,実績!$AD$6:$AD$505,"&gt;"&amp;$A179,実績!$AE$6:$AE$505,"○")&gt;0,1,0))</f>
        <v/>
      </c>
      <c r="BQ179">
        <f>IF(BQ$4=0,0,IF(COUNTIFS(実績!$W$6:$W$505,BQ$3,実績!$AC$6:$AC$505,"&lt;="&amp;$A179,実績!$AD$6:$AD$505,"&gt;"&amp;$A179,実績!$AE$6:$AE$505,"○")&gt;0,1,0))</f>
        <v/>
      </c>
      <c r="BR179">
        <f>IF(BR$4=0,0,IF(COUNTIFS(実績!$W$6:$W$505,BR$3,実績!$AC$6:$AC$505,"&lt;="&amp;$A179,実績!$AD$6:$AD$505,"&gt;"&amp;$A179,実績!$AE$6:$AE$505,"○")&gt;0,1,0))</f>
        <v/>
      </c>
      <c r="BS179">
        <f>IF(BS$4=0,0,IF(COUNTIFS(実績!$W$6:$W$505,BS$3,実績!$AC$6:$AC$505,"&lt;="&amp;$A179,実績!$AD$6:$AD$505,"&gt;"&amp;$A179,実績!$AE$6:$AE$505,"○")&gt;0,1,0))</f>
        <v/>
      </c>
      <c r="BT179">
        <f>IF(BT$4=0,0,IF(COUNTIFS(実績!$W$6:$W$505,BT$3,実績!$AC$6:$AC$505,"&lt;="&amp;$A179,実績!$AD$6:$AD$505,"&gt;"&amp;$A179,実績!$AE$6:$AE$505,"○")&gt;0,1,0))</f>
        <v/>
      </c>
      <c r="BU179">
        <f>IF(BU$4=0,0,IF(COUNTIFS(実績!$W$6:$W$505,BU$3,実績!$AC$6:$AC$505,"&lt;="&amp;$A179,実績!$AD$6:$AD$505,"&gt;"&amp;$A179,実績!$AE$6:$AE$505,"○")&gt;0,1,0))</f>
        <v/>
      </c>
      <c r="BV179">
        <f>IF(BV$4=0,0,IF(COUNTIFS(実績!$W$6:$W$505,BV$3,実績!$AC$6:$AC$505,"&lt;="&amp;$A179,実績!$AD$6:$AD$505,"&gt;"&amp;$A179,実績!$AE$6:$AE$505,"○")&gt;0,1,0))</f>
        <v/>
      </c>
      <c r="BW179">
        <f>IF(BW$4=0,0,IF(COUNTIFS(実績!$W$6:$W$505,BW$3,実績!$AC$6:$AC$505,"&lt;="&amp;$A179,実績!$AD$6:$AD$505,"&gt;"&amp;$A179,実績!$AE$6:$AE$505,"○")&gt;0,1,0))</f>
        <v/>
      </c>
      <c r="BX179">
        <f>IF(BX$4=0,0,IF(COUNTIFS(実績!$W$6:$W$505,BX$3,実績!$AC$6:$AC$505,"&lt;="&amp;$A179,実績!$AD$6:$AD$505,"&gt;"&amp;$A179,実績!$AE$6:$AE$505,"○")&gt;0,1,0))</f>
        <v/>
      </c>
      <c r="BY179">
        <f>IF(BY$4=0,0,IF(COUNTIFS(実績!$W$6:$W$505,BY$3,実績!$AC$6:$AC$505,"&lt;="&amp;$A179,実績!$AD$6:$AD$505,"&gt;"&amp;$A179,実績!$AE$6:$AE$505,"○")&gt;0,1,0))</f>
        <v/>
      </c>
      <c r="BZ179">
        <f>IF(BZ$4=0,0,IF(COUNTIFS(実績!$W$6:$W$505,BZ$3,実績!$AC$6:$AC$505,"&lt;="&amp;$A179,実績!$AD$6:$AD$505,"&gt;"&amp;$A179,実績!$AE$6:$AE$505,"○")&gt;0,1,0))</f>
        <v/>
      </c>
      <c r="CA179">
        <f>IF(CA$4=0,0,IF(COUNTIFS(実績!$W$6:$W$505,CA$3,実績!$AC$6:$AC$505,"&lt;="&amp;$A179,実績!$AD$6:$AD$505,"&gt;"&amp;$A179,実績!$AE$6:$AE$505,"○")&gt;0,1,0))</f>
        <v/>
      </c>
      <c r="CB179">
        <f>IF(CB$4=0,0,IF(COUNTIFS(実績!$W$6:$W$505,CB$3,実績!$AC$6:$AC$505,"&lt;="&amp;$A179,実績!$AD$6:$AD$505,"&gt;"&amp;$A179,実績!$AE$6:$AE$505,"○")&gt;0,1,0))</f>
        <v/>
      </c>
      <c r="CC179">
        <f>IF(CC$4=0,0,IF(COUNTIFS(実績!$W$6:$W$505,CC$3,実績!$AC$6:$AC$505,"&lt;="&amp;$A179,実績!$AD$6:$AD$505,"&gt;"&amp;$A179,実績!$AE$6:$AE$505,"○")&gt;0,1,0))</f>
        <v/>
      </c>
      <c r="CD179">
        <f>IF(CD$4=0,0,IF(COUNTIFS(実績!$W$6:$W$505,CD$3,実績!$AC$6:$AC$505,"&lt;="&amp;$A179,実績!$AD$6:$AD$505,"&gt;"&amp;$A179,実績!$AE$6:$AE$505,"○")&gt;0,1,0))</f>
        <v/>
      </c>
      <c r="CE179">
        <f>IF(CE$4=0,0,IF(COUNTIFS(実績!$W$6:$W$505,CE$3,実績!$AC$6:$AC$505,"&lt;="&amp;$A179,実績!$AD$6:$AD$505,"&gt;"&amp;$A179,実績!$AE$6:$AE$505,"○")&gt;0,1,0))</f>
        <v/>
      </c>
      <c r="CF179">
        <f>IF(CF$4=0,0,IF(COUNTIFS(実績!$W$6:$W$505,CF$3,実績!$AC$6:$AC$505,"&lt;="&amp;$A179,実績!$AD$6:$AD$505,"&gt;"&amp;$A179,実績!$AE$6:$AE$505,"○")&gt;0,1,0))</f>
        <v/>
      </c>
      <c r="CG179">
        <f>IF(CG$4=0,0,IF(COUNTIFS(実績!$W$6:$W$505,CG$3,実績!$AC$6:$AC$505,"&lt;="&amp;$A179,実績!$AD$6:$AD$505,"&gt;"&amp;$A179,実績!$AE$6:$AE$505,"○")&gt;0,1,0))</f>
        <v/>
      </c>
      <c r="CH179">
        <f>IF(CH$4=0,0,IF(COUNTIFS(実績!$W$6:$W$505,CH$3,実績!$AC$6:$AC$505,"&lt;="&amp;$A179,実績!$AD$6:$AD$505,"&gt;"&amp;$A179,実績!$AE$6:$AE$505,"○")&gt;0,1,0))</f>
        <v/>
      </c>
      <c r="CI179">
        <f>IF(CI$4=0,0,IF(COUNTIFS(実績!$W$6:$W$505,CI$3,実績!$AC$6:$AC$505,"&lt;="&amp;$A179,実績!$AD$6:$AD$505,"&gt;"&amp;$A179,実績!$AE$6:$AE$505,"○")&gt;0,1,0))</f>
        <v/>
      </c>
      <c r="CJ179">
        <f>IF(CJ$4=0,0,IF(COUNTIFS(実績!$W$6:$W$505,CJ$3,実績!$AC$6:$AC$505,"&lt;="&amp;$A179,実績!$AD$6:$AD$505,"&gt;"&amp;$A179,実績!$AE$6:$AE$505,"○")&gt;0,1,0))</f>
        <v/>
      </c>
      <c r="CK179">
        <f>IF(CK$4=0,0,IF(COUNTIFS(実績!$W$6:$W$505,CK$3,実績!$AC$6:$AC$505,"&lt;="&amp;$A179,実績!$AD$6:$AD$505,"&gt;"&amp;$A179,実績!$AE$6:$AE$505,"○")&gt;0,1,0))</f>
        <v/>
      </c>
      <c r="CL179">
        <f>IF(CL$4=0,0,IF(COUNTIFS(実績!$W$6:$W$505,CL$3,実績!$AC$6:$AC$505,"&lt;="&amp;$A179,実績!$AD$6:$AD$505,"&gt;"&amp;$A179,実績!$AE$6:$AE$505,"○")&gt;0,1,0))</f>
        <v/>
      </c>
      <c r="CM179">
        <f>IF(CM$4=0,0,IF(COUNTIFS(実績!$W$6:$W$505,CM$3,実績!$AC$6:$AC$505,"&lt;="&amp;$A179,実績!$AD$6:$AD$505,"&gt;"&amp;$A179,実績!$AE$6:$AE$505,"○")&gt;0,1,0))</f>
        <v/>
      </c>
      <c r="CN179">
        <f>IF(CN$4=0,0,IF(COUNTIFS(実績!$W$6:$W$505,CN$3,実績!$AC$6:$AC$505,"&lt;="&amp;$A179,実績!$AD$6:$AD$505,"&gt;"&amp;$A179,実績!$AE$6:$AE$505,"○")&gt;0,1,0))</f>
        <v/>
      </c>
      <c r="CO179">
        <f>IF(CO$4=0,0,IF(COUNTIFS(実績!$W$6:$W$505,CO$3,実績!$AC$6:$AC$505,"&lt;="&amp;$A179,実績!$AD$6:$AD$505,"&gt;"&amp;$A179,実績!$AE$6:$AE$505,"○")&gt;0,1,0))</f>
        <v/>
      </c>
      <c r="CP179">
        <f>IF(CP$4=0,0,IF(COUNTIFS(実績!$W$6:$W$505,CP$3,実績!$AC$6:$AC$505,"&lt;="&amp;$A179,実績!$AD$6:$AD$505,"&gt;"&amp;$A179,実績!$AE$6:$AE$505,"○")&gt;0,1,0))</f>
        <v/>
      </c>
      <c r="CQ179">
        <f>IF(CQ$4=0,0,IF(COUNTIFS(実績!$W$6:$W$505,CQ$3,実績!$AC$6:$AC$505,"&lt;="&amp;$A179,実績!$AD$6:$AD$505,"&gt;"&amp;$A179,実績!$AE$6:$AE$505,"○")&gt;0,1,0))</f>
        <v/>
      </c>
      <c r="CR179">
        <f>IF(CR$4=0,0,IF(COUNTIFS(実績!$W$6:$W$505,CR$3,実績!$AC$6:$AC$505,"&lt;="&amp;$A179,実績!$AD$6:$AD$505,"&gt;"&amp;$A179,実績!$AE$6:$AE$505,"○")&gt;0,1,0))</f>
        <v/>
      </c>
      <c r="CS179">
        <f>IF(CS$4=0,0,IF(COUNTIFS(実績!$W$6:$W$505,CS$3,実績!$AC$6:$AC$505,"&lt;="&amp;$A179,実績!$AD$6:$AD$505,"&gt;"&amp;$A179,実績!$AE$6:$AE$505,"○")&gt;0,1,0))</f>
        <v/>
      </c>
      <c r="CT179">
        <f>IF(CT$4=0,0,IF(COUNTIFS(実績!$W$6:$W$505,CT$3,実績!$AC$6:$AC$505,"&lt;="&amp;$A179,実績!$AD$6:$AD$505,"&gt;"&amp;$A179,実績!$AE$6:$AE$505,"○")&gt;0,1,0))</f>
        <v/>
      </c>
      <c r="CU179">
        <f>IF(CU$4=0,0,IF(COUNTIFS(実績!$W$6:$W$505,CU$3,実績!$AC$6:$AC$505,"&lt;="&amp;$A179,実績!$AD$6:$AD$505,"&gt;"&amp;$A179,実績!$AE$6:$AE$505,"○")&gt;0,1,0))</f>
        <v/>
      </c>
      <c r="CV179">
        <f>IF(CV$4=0,0,IF(COUNTIFS(実績!$W$6:$W$505,CV$3,実績!$AC$6:$AC$505,"&lt;="&amp;$A179,実績!$AD$6:$AD$505,"&gt;"&amp;$A179,実績!$AE$6:$AE$505,"○")&gt;0,1,0))</f>
        <v/>
      </c>
      <c r="CW179">
        <f>IF(CW$4=0,0,IF(COUNTIFS(実績!$W$6:$W$505,CW$3,実績!$AC$6:$AC$505,"&lt;="&amp;$A179,実績!$AD$6:$AD$505,"&gt;"&amp;$A179,実績!$AE$6:$AE$505,"○")&gt;0,1,0))</f>
        <v/>
      </c>
      <c r="CX179">
        <f>IF(CX$4=0,0,IF(COUNTIFS(実績!$W$6:$W$505,CX$3,実績!$AC$6:$AC$505,"&lt;="&amp;$A179,実績!$AD$6:$AD$505,"&gt;"&amp;$A179,実績!$AE$6:$AE$505,"○")&gt;0,1,0))</f>
        <v/>
      </c>
      <c r="CY179">
        <f>IF(CY$4=0,0,IF(COUNTIFS(実績!$W$6:$W$505,CY$3,実績!$AC$6:$AC$505,"&lt;="&amp;$A179,実績!$AD$6:$AD$505,"&gt;"&amp;$A179,実績!$AE$6:$AE$505,"○")&gt;0,1,0))</f>
        <v/>
      </c>
      <c r="CZ179">
        <f>IF(CZ$4=0,0,IF(COUNTIFS(実績!$W$6:$W$505,CZ$3,実績!$AC$6:$AC$505,"&lt;="&amp;$A179,実績!$AD$6:$AD$505,"&gt;"&amp;$A179,実績!$AE$6:$AE$505,"○")&gt;0,1,0))</f>
        <v/>
      </c>
      <c r="DA179">
        <f>IF(DA$4=0,0,IF(COUNTIFS(実績!$W$6:$W$505,DA$3,実績!$AC$6:$AC$505,"&lt;="&amp;$A179,実績!$AD$6:$AD$505,"&gt;"&amp;$A179,実績!$AE$6:$AE$505,"○")&gt;0,1,0))</f>
        <v/>
      </c>
      <c r="DB179">
        <f>IF(DB$4=0,0,IF(COUNTIFS(実績!$W$6:$W$505,DB$3,実績!$AC$6:$AC$505,"&lt;="&amp;$A179,実績!$AD$6:$AD$505,"&gt;"&amp;$A179,実績!$AE$6:$AE$505,"○")&gt;0,1,0))</f>
        <v/>
      </c>
      <c r="DC179">
        <f>IF(DC$4=0,0,IF(COUNTIFS(実績!$W$6:$W$505,DC$3,実績!$AC$6:$AC$505,"&lt;="&amp;$A179,実績!$AD$6:$AD$505,"&gt;"&amp;$A179,実績!$AE$6:$AE$505,"○")&gt;0,1,0))</f>
        <v/>
      </c>
      <c r="DD179">
        <f>IF(DD$4=0,0,IF(COUNTIFS(実績!$W$6:$W$505,DD$3,実績!$AC$6:$AC$505,"&lt;="&amp;$A179,実績!$AD$6:$AD$505,"&gt;"&amp;$A179,実績!$AE$6:$AE$505,"○")&gt;0,1,0))</f>
        <v/>
      </c>
      <c r="DE179">
        <f>IF(DE$4=0,0,IF(COUNTIFS(実績!$W$6:$W$505,DE$3,実績!$AC$6:$AC$505,"&lt;="&amp;$A179,実績!$AD$6:$AD$505,"&gt;"&amp;$A179,実績!$AE$6:$AE$505,"○")&gt;0,1,0))</f>
        <v/>
      </c>
      <c r="DF179">
        <f>IF(DF$4=0,0,IF(COUNTIFS(実績!$W$6:$W$505,DF$3,実績!$AC$6:$AC$505,"&lt;="&amp;$A179,実績!$AD$6:$AD$505,"&gt;"&amp;$A179,実績!$AE$6:$AE$505,"○")&gt;0,1,0))</f>
        <v/>
      </c>
      <c r="DG179">
        <f>IF(DG$4=0,0,IF(COUNTIFS(実績!$W$6:$W$505,DG$3,実績!$AC$6:$AC$505,"&lt;="&amp;$A179,実績!$AD$6:$AD$505,"&gt;"&amp;$A179,実績!$AE$6:$AE$505,"○")&gt;0,1,0))</f>
        <v/>
      </c>
      <c r="DH179">
        <f>IF(DH$4=0,0,IF(COUNTIFS(実績!$W$6:$W$505,DH$3,実績!$AC$6:$AC$505,"&lt;="&amp;$A179,実績!$AD$6:$AD$505,"&gt;"&amp;$A179,実績!$AE$6:$AE$505,"○")&gt;0,1,0))</f>
        <v/>
      </c>
      <c r="DI179">
        <f>IF(DI$4=0,0,IF(COUNTIFS(実績!$W$6:$W$505,DI$3,実績!$AC$6:$AC$505,"&lt;="&amp;$A179,実績!$AD$6:$AD$505,"&gt;"&amp;$A179,実績!$AE$6:$AE$505,"○")&gt;0,1,0))</f>
        <v/>
      </c>
      <c r="DJ179">
        <f>IF(DJ$4=0,0,IF(COUNTIFS(実績!$W$6:$W$505,DJ$3,実績!$AC$6:$AC$505,"&lt;="&amp;$A179,実績!$AD$6:$AD$505,"&gt;"&amp;$A179,実績!$AE$6:$AE$505,"○")&gt;0,1,0))</f>
        <v/>
      </c>
      <c r="DK179">
        <f>IF(DK$4=0,0,IF(COUNTIFS(実績!$W$6:$W$505,DK$3,実績!$AC$6:$AC$505,"&lt;="&amp;$A179,実績!$AD$6:$AD$505,"&gt;"&amp;$A179,実績!$AE$6:$AE$505,"○")&gt;0,1,0))</f>
        <v/>
      </c>
      <c r="DL179">
        <f>IF(DL$4=0,0,IF(COUNTIFS(実績!$W$6:$W$505,DL$3,実績!$AC$6:$AC$505,"&lt;="&amp;$A179,実績!$AD$6:$AD$505,"&gt;"&amp;$A179,実績!$AE$6:$AE$505,"○")&gt;0,1,0))</f>
        <v/>
      </c>
      <c r="DM179">
        <f>IF(DM$4=0,0,IF(COUNTIFS(実績!$W$6:$W$505,DM$3,実績!$AC$6:$AC$505,"&lt;="&amp;$A179,実績!$AD$6:$AD$505,"&gt;"&amp;$A179,実績!$AE$6:$AE$505,"○")&gt;0,1,0))</f>
        <v/>
      </c>
      <c r="DN179">
        <f>IF(DN$4=0,0,IF(COUNTIFS(実績!$W$6:$W$505,DN$3,実績!$AC$6:$AC$505,"&lt;="&amp;$A179,実績!$AD$6:$AD$505,"&gt;"&amp;$A179,実績!$AE$6:$AE$505,"○")&gt;0,1,0))</f>
        <v/>
      </c>
      <c r="DO179">
        <f>IF(DO$4=0,0,IF(COUNTIFS(実績!$W$6:$W$505,DO$3,実績!$AC$6:$AC$505,"&lt;="&amp;$A179,実績!$AD$6:$AD$505,"&gt;"&amp;$A179,実績!$AE$6:$AE$505,"○")&gt;0,1,0))</f>
        <v/>
      </c>
      <c r="DP179">
        <f>IF(DP$4=0,0,IF(COUNTIFS(実績!$W$6:$W$505,DP$3,実績!$AC$6:$AC$505,"&lt;="&amp;$A179,実績!$AD$6:$AD$505,"&gt;"&amp;$A179,実績!$AE$6:$AE$505,"○")&gt;0,1,0))</f>
        <v/>
      </c>
      <c r="DQ179">
        <f>IF(DQ$4=0,0,IF(COUNTIFS(実績!$W$6:$W$505,DQ$3,実績!$AC$6:$AC$505,"&lt;="&amp;$A179,実績!$AD$6:$AD$505,"&gt;"&amp;$A179,実績!$AE$6:$AE$505,"○")&gt;0,1,0))</f>
        <v/>
      </c>
      <c r="DR179">
        <f>IF(DR$4=0,0,IF(COUNTIFS(実績!$W$6:$W$505,DR$3,実績!$AC$6:$AC$505,"&lt;="&amp;$A179,実績!$AD$6:$AD$505,"&gt;"&amp;$A179,実績!$AE$6:$AE$505,"○")&gt;0,1,0))</f>
        <v/>
      </c>
      <c r="DS179">
        <f>SUM(C179:DR179)</f>
        <v/>
      </c>
      <c r="DT179">
        <f>SUMPRODUCT((実績!$C$6:$C$505="○")*ISNUMBER(実績!$AF$6:$AF$505)*(実績!$AF$6:$AF$505&lt;=$A179)*(実績!$AG$6:$AG$505&gt;$A179))</f>
        <v/>
      </c>
      <c r="DU179">
        <f>SUMIF($C$2:$DR$2,"製鉄曳船",C179:DR179)</f>
        <v/>
      </c>
      <c r="DV179">
        <f>SUMIF($C$2:$DR$2,"西日本海運",C179:DR179)</f>
        <v/>
      </c>
    </row>
    <row r="180">
      <c r="A180" t="n">
        <v>870</v>
      </c>
      <c r="B180" s="29">
        <f>A180/1440</f>
        <v/>
      </c>
      <c r="C180">
        <f>IF(C$4=0,0,IF(COUNTIFS(実績!$W$6:$W$505,C$3,実績!$AC$6:$AC$505,"&lt;="&amp;$A180,実績!$AD$6:$AD$505,"&gt;"&amp;$A180,実績!$AE$6:$AE$505,"○")&gt;0,1,0))</f>
        <v/>
      </c>
      <c r="D180">
        <f>IF(D$4=0,0,IF(COUNTIFS(実績!$W$6:$W$505,D$3,実績!$AC$6:$AC$505,"&lt;="&amp;$A180,実績!$AD$6:$AD$505,"&gt;"&amp;$A180,実績!$AE$6:$AE$505,"○")&gt;0,1,0))</f>
        <v/>
      </c>
      <c r="E180">
        <f>IF(E$4=0,0,IF(COUNTIFS(実績!$W$6:$W$505,E$3,実績!$AC$6:$AC$505,"&lt;="&amp;$A180,実績!$AD$6:$AD$505,"&gt;"&amp;$A180,実績!$AE$6:$AE$505,"○")&gt;0,1,0))</f>
        <v/>
      </c>
      <c r="F180">
        <f>IF(F$4=0,0,IF(COUNTIFS(実績!$W$6:$W$505,F$3,実績!$AC$6:$AC$505,"&lt;="&amp;$A180,実績!$AD$6:$AD$505,"&gt;"&amp;$A180,実績!$AE$6:$AE$505,"○")&gt;0,1,0))</f>
        <v/>
      </c>
      <c r="G180">
        <f>IF(G$4=0,0,IF(COUNTIFS(実績!$W$6:$W$505,G$3,実績!$AC$6:$AC$505,"&lt;="&amp;$A180,実績!$AD$6:$AD$505,"&gt;"&amp;$A180,実績!$AE$6:$AE$505,"○")&gt;0,1,0))</f>
        <v/>
      </c>
      <c r="H180">
        <f>IF(H$4=0,0,IF(COUNTIFS(実績!$W$6:$W$505,H$3,実績!$AC$6:$AC$505,"&lt;="&amp;$A180,実績!$AD$6:$AD$505,"&gt;"&amp;$A180,実績!$AE$6:$AE$505,"○")&gt;0,1,0))</f>
        <v/>
      </c>
      <c r="I180">
        <f>IF(I$4=0,0,IF(COUNTIFS(実績!$W$6:$W$505,I$3,実績!$AC$6:$AC$505,"&lt;="&amp;$A180,実績!$AD$6:$AD$505,"&gt;"&amp;$A180,実績!$AE$6:$AE$505,"○")&gt;0,1,0))</f>
        <v/>
      </c>
      <c r="J180">
        <f>IF(J$4=0,0,IF(COUNTIFS(実績!$W$6:$W$505,J$3,実績!$AC$6:$AC$505,"&lt;="&amp;$A180,実績!$AD$6:$AD$505,"&gt;"&amp;$A180,実績!$AE$6:$AE$505,"○")&gt;0,1,0))</f>
        <v/>
      </c>
      <c r="K180">
        <f>IF(K$4=0,0,IF(COUNTIFS(実績!$W$6:$W$505,K$3,実績!$AC$6:$AC$505,"&lt;="&amp;$A180,実績!$AD$6:$AD$505,"&gt;"&amp;$A180,実績!$AE$6:$AE$505,"○")&gt;0,1,0))</f>
        <v/>
      </c>
      <c r="L180">
        <f>IF(L$4=0,0,IF(COUNTIFS(実績!$W$6:$W$505,L$3,実績!$AC$6:$AC$505,"&lt;="&amp;$A180,実績!$AD$6:$AD$505,"&gt;"&amp;$A180,実績!$AE$6:$AE$505,"○")&gt;0,1,0))</f>
        <v/>
      </c>
      <c r="M180">
        <f>IF(M$4=0,0,IF(COUNTIFS(実績!$W$6:$W$505,M$3,実績!$AC$6:$AC$505,"&lt;="&amp;$A180,実績!$AD$6:$AD$505,"&gt;"&amp;$A180,実績!$AE$6:$AE$505,"○")&gt;0,1,0))</f>
        <v/>
      </c>
      <c r="N180">
        <f>IF(N$4=0,0,IF(COUNTIFS(実績!$W$6:$W$505,N$3,実績!$AC$6:$AC$505,"&lt;="&amp;$A180,実績!$AD$6:$AD$505,"&gt;"&amp;$A180,実績!$AE$6:$AE$505,"○")&gt;0,1,0))</f>
        <v/>
      </c>
      <c r="O180">
        <f>IF(O$4=0,0,IF(COUNTIFS(実績!$W$6:$W$505,O$3,実績!$AC$6:$AC$505,"&lt;="&amp;$A180,実績!$AD$6:$AD$505,"&gt;"&amp;$A180,実績!$AE$6:$AE$505,"○")&gt;0,1,0))</f>
        <v/>
      </c>
      <c r="P180">
        <f>IF(P$4=0,0,IF(COUNTIFS(実績!$W$6:$W$505,P$3,実績!$AC$6:$AC$505,"&lt;="&amp;$A180,実績!$AD$6:$AD$505,"&gt;"&amp;$A180,実績!$AE$6:$AE$505,"○")&gt;0,1,0))</f>
        <v/>
      </c>
      <c r="Q180">
        <f>IF(Q$4=0,0,IF(COUNTIFS(実績!$W$6:$W$505,Q$3,実績!$AC$6:$AC$505,"&lt;="&amp;$A180,実績!$AD$6:$AD$505,"&gt;"&amp;$A180,実績!$AE$6:$AE$505,"○")&gt;0,1,0))</f>
        <v/>
      </c>
      <c r="R180">
        <f>IF(R$4=0,0,IF(COUNTIFS(実績!$W$6:$W$505,R$3,実績!$AC$6:$AC$505,"&lt;="&amp;$A180,実績!$AD$6:$AD$505,"&gt;"&amp;$A180,実績!$AE$6:$AE$505,"○")&gt;0,1,0))</f>
        <v/>
      </c>
      <c r="S180">
        <f>IF(S$4=0,0,IF(COUNTIFS(実績!$W$6:$W$505,S$3,実績!$AC$6:$AC$505,"&lt;="&amp;$A180,実績!$AD$6:$AD$505,"&gt;"&amp;$A180,実績!$AE$6:$AE$505,"○")&gt;0,1,0))</f>
        <v/>
      </c>
      <c r="T180">
        <f>IF(T$4=0,0,IF(COUNTIFS(実績!$W$6:$W$505,T$3,実績!$AC$6:$AC$505,"&lt;="&amp;$A180,実績!$AD$6:$AD$505,"&gt;"&amp;$A180,実績!$AE$6:$AE$505,"○")&gt;0,1,0))</f>
        <v/>
      </c>
      <c r="U180">
        <f>IF(U$4=0,0,IF(COUNTIFS(実績!$W$6:$W$505,U$3,実績!$AC$6:$AC$505,"&lt;="&amp;$A180,実績!$AD$6:$AD$505,"&gt;"&amp;$A180,実績!$AE$6:$AE$505,"○")&gt;0,1,0))</f>
        <v/>
      </c>
      <c r="V180">
        <f>IF(V$4=0,0,IF(COUNTIFS(実績!$W$6:$W$505,V$3,実績!$AC$6:$AC$505,"&lt;="&amp;$A180,実績!$AD$6:$AD$505,"&gt;"&amp;$A180,実績!$AE$6:$AE$505,"○")&gt;0,1,0))</f>
        <v/>
      </c>
      <c r="W180">
        <f>IF(W$4=0,0,IF(COUNTIFS(実績!$W$6:$W$505,W$3,実績!$AC$6:$AC$505,"&lt;="&amp;$A180,実績!$AD$6:$AD$505,"&gt;"&amp;$A180,実績!$AE$6:$AE$505,"○")&gt;0,1,0))</f>
        <v/>
      </c>
      <c r="X180">
        <f>IF(X$4=0,0,IF(COUNTIFS(実績!$W$6:$W$505,X$3,実績!$AC$6:$AC$505,"&lt;="&amp;$A180,実績!$AD$6:$AD$505,"&gt;"&amp;$A180,実績!$AE$6:$AE$505,"○")&gt;0,1,0))</f>
        <v/>
      </c>
      <c r="Y180">
        <f>IF(Y$4=0,0,IF(COUNTIFS(実績!$W$6:$W$505,Y$3,実績!$AC$6:$AC$505,"&lt;="&amp;$A180,実績!$AD$6:$AD$505,"&gt;"&amp;$A180,実績!$AE$6:$AE$505,"○")&gt;0,1,0))</f>
        <v/>
      </c>
      <c r="Z180">
        <f>IF(Z$4=0,0,IF(COUNTIFS(実績!$W$6:$W$505,Z$3,実績!$AC$6:$AC$505,"&lt;="&amp;$A180,実績!$AD$6:$AD$505,"&gt;"&amp;$A180,実績!$AE$6:$AE$505,"○")&gt;0,1,0))</f>
        <v/>
      </c>
      <c r="AA180">
        <f>IF(AA$4=0,0,IF(COUNTIFS(実績!$W$6:$W$505,AA$3,実績!$AC$6:$AC$505,"&lt;="&amp;$A180,実績!$AD$6:$AD$505,"&gt;"&amp;$A180,実績!$AE$6:$AE$505,"○")&gt;0,1,0))</f>
        <v/>
      </c>
      <c r="AB180">
        <f>IF(AB$4=0,0,IF(COUNTIFS(実績!$W$6:$W$505,AB$3,実績!$AC$6:$AC$505,"&lt;="&amp;$A180,実績!$AD$6:$AD$505,"&gt;"&amp;$A180,実績!$AE$6:$AE$505,"○")&gt;0,1,0))</f>
        <v/>
      </c>
      <c r="AC180">
        <f>IF(AC$4=0,0,IF(COUNTIFS(実績!$W$6:$W$505,AC$3,実績!$AC$6:$AC$505,"&lt;="&amp;$A180,実績!$AD$6:$AD$505,"&gt;"&amp;$A180,実績!$AE$6:$AE$505,"○")&gt;0,1,0))</f>
        <v/>
      </c>
      <c r="AD180">
        <f>IF(AD$4=0,0,IF(COUNTIFS(実績!$W$6:$W$505,AD$3,実績!$AC$6:$AC$505,"&lt;="&amp;$A180,実績!$AD$6:$AD$505,"&gt;"&amp;$A180,実績!$AE$6:$AE$505,"○")&gt;0,1,0))</f>
        <v/>
      </c>
      <c r="AE180">
        <f>IF(AE$4=0,0,IF(COUNTIFS(実績!$W$6:$W$505,AE$3,実績!$AC$6:$AC$505,"&lt;="&amp;$A180,実績!$AD$6:$AD$505,"&gt;"&amp;$A180,実績!$AE$6:$AE$505,"○")&gt;0,1,0))</f>
        <v/>
      </c>
      <c r="AF180">
        <f>IF(AF$4=0,0,IF(COUNTIFS(実績!$W$6:$W$505,AF$3,実績!$AC$6:$AC$505,"&lt;="&amp;$A180,実績!$AD$6:$AD$505,"&gt;"&amp;$A180,実績!$AE$6:$AE$505,"○")&gt;0,1,0))</f>
        <v/>
      </c>
      <c r="AG180">
        <f>IF(AG$4=0,0,IF(COUNTIFS(実績!$W$6:$W$505,AG$3,実績!$AC$6:$AC$505,"&lt;="&amp;$A180,実績!$AD$6:$AD$505,"&gt;"&amp;$A180,実績!$AE$6:$AE$505,"○")&gt;0,1,0))</f>
        <v/>
      </c>
      <c r="AH180">
        <f>IF(AH$4=0,0,IF(COUNTIFS(実績!$W$6:$W$505,AH$3,実績!$AC$6:$AC$505,"&lt;="&amp;$A180,実績!$AD$6:$AD$505,"&gt;"&amp;$A180,実績!$AE$6:$AE$505,"○")&gt;0,1,0))</f>
        <v/>
      </c>
      <c r="AI180">
        <f>IF(AI$4=0,0,IF(COUNTIFS(実績!$W$6:$W$505,AI$3,実績!$AC$6:$AC$505,"&lt;="&amp;$A180,実績!$AD$6:$AD$505,"&gt;"&amp;$A180,実績!$AE$6:$AE$505,"○")&gt;0,1,0))</f>
        <v/>
      </c>
      <c r="AJ180">
        <f>IF(AJ$4=0,0,IF(COUNTIFS(実績!$W$6:$W$505,AJ$3,実績!$AC$6:$AC$505,"&lt;="&amp;$A180,実績!$AD$6:$AD$505,"&gt;"&amp;$A180,実績!$AE$6:$AE$505,"○")&gt;0,1,0))</f>
        <v/>
      </c>
      <c r="AK180">
        <f>IF(AK$4=0,0,IF(COUNTIFS(実績!$W$6:$W$505,AK$3,実績!$AC$6:$AC$505,"&lt;="&amp;$A180,実績!$AD$6:$AD$505,"&gt;"&amp;$A180,実績!$AE$6:$AE$505,"○")&gt;0,1,0))</f>
        <v/>
      </c>
      <c r="AL180">
        <f>IF(AL$4=0,0,IF(COUNTIFS(実績!$W$6:$W$505,AL$3,実績!$AC$6:$AC$505,"&lt;="&amp;$A180,実績!$AD$6:$AD$505,"&gt;"&amp;$A180,実績!$AE$6:$AE$505,"○")&gt;0,1,0))</f>
        <v/>
      </c>
      <c r="AM180">
        <f>IF(AM$4=0,0,IF(COUNTIFS(実績!$W$6:$W$505,AM$3,実績!$AC$6:$AC$505,"&lt;="&amp;$A180,実績!$AD$6:$AD$505,"&gt;"&amp;$A180,実績!$AE$6:$AE$505,"○")&gt;0,1,0))</f>
        <v/>
      </c>
      <c r="AN180">
        <f>IF(AN$4=0,0,IF(COUNTIFS(実績!$W$6:$W$505,AN$3,実績!$AC$6:$AC$505,"&lt;="&amp;$A180,実績!$AD$6:$AD$505,"&gt;"&amp;$A180,実績!$AE$6:$AE$505,"○")&gt;0,1,0))</f>
        <v/>
      </c>
      <c r="AO180">
        <f>IF(AO$4=0,0,IF(COUNTIFS(実績!$W$6:$W$505,AO$3,実績!$AC$6:$AC$505,"&lt;="&amp;$A180,実績!$AD$6:$AD$505,"&gt;"&amp;$A180,実績!$AE$6:$AE$505,"○")&gt;0,1,0))</f>
        <v/>
      </c>
      <c r="AP180">
        <f>IF(AP$4=0,0,IF(COUNTIFS(実績!$W$6:$W$505,AP$3,実績!$AC$6:$AC$505,"&lt;="&amp;$A180,実績!$AD$6:$AD$505,"&gt;"&amp;$A180,実績!$AE$6:$AE$505,"○")&gt;0,1,0))</f>
        <v/>
      </c>
      <c r="AQ180">
        <f>IF(AQ$4=0,0,IF(COUNTIFS(実績!$W$6:$W$505,AQ$3,実績!$AC$6:$AC$505,"&lt;="&amp;$A180,実績!$AD$6:$AD$505,"&gt;"&amp;$A180,実績!$AE$6:$AE$505,"○")&gt;0,1,0))</f>
        <v/>
      </c>
      <c r="AR180">
        <f>IF(AR$4=0,0,IF(COUNTIFS(実績!$W$6:$W$505,AR$3,実績!$AC$6:$AC$505,"&lt;="&amp;$A180,実績!$AD$6:$AD$505,"&gt;"&amp;$A180,実績!$AE$6:$AE$505,"○")&gt;0,1,0))</f>
        <v/>
      </c>
      <c r="AS180">
        <f>IF(AS$4=0,0,IF(COUNTIFS(実績!$W$6:$W$505,AS$3,実績!$AC$6:$AC$505,"&lt;="&amp;$A180,実績!$AD$6:$AD$505,"&gt;"&amp;$A180,実績!$AE$6:$AE$505,"○")&gt;0,1,0))</f>
        <v/>
      </c>
      <c r="AT180">
        <f>IF(AT$4=0,0,IF(COUNTIFS(実績!$W$6:$W$505,AT$3,実績!$AC$6:$AC$505,"&lt;="&amp;$A180,実績!$AD$6:$AD$505,"&gt;"&amp;$A180,実績!$AE$6:$AE$505,"○")&gt;0,1,0))</f>
        <v/>
      </c>
      <c r="AU180">
        <f>IF(AU$4=0,0,IF(COUNTIFS(実績!$W$6:$W$505,AU$3,実績!$AC$6:$AC$505,"&lt;="&amp;$A180,実績!$AD$6:$AD$505,"&gt;"&amp;$A180,実績!$AE$6:$AE$505,"○")&gt;0,1,0))</f>
        <v/>
      </c>
      <c r="AV180">
        <f>IF(AV$4=0,0,IF(COUNTIFS(実績!$W$6:$W$505,AV$3,実績!$AC$6:$AC$505,"&lt;="&amp;$A180,実績!$AD$6:$AD$505,"&gt;"&amp;$A180,実績!$AE$6:$AE$505,"○")&gt;0,1,0))</f>
        <v/>
      </c>
      <c r="AW180">
        <f>IF(AW$4=0,0,IF(COUNTIFS(実績!$W$6:$W$505,AW$3,実績!$AC$6:$AC$505,"&lt;="&amp;$A180,実績!$AD$6:$AD$505,"&gt;"&amp;$A180,実績!$AE$6:$AE$505,"○")&gt;0,1,0))</f>
        <v/>
      </c>
      <c r="AX180">
        <f>IF(AX$4=0,0,IF(COUNTIFS(実績!$W$6:$W$505,AX$3,実績!$AC$6:$AC$505,"&lt;="&amp;$A180,実績!$AD$6:$AD$505,"&gt;"&amp;$A180,実績!$AE$6:$AE$505,"○")&gt;0,1,0))</f>
        <v/>
      </c>
      <c r="AY180">
        <f>IF(AY$4=0,0,IF(COUNTIFS(実績!$W$6:$W$505,AY$3,実績!$AC$6:$AC$505,"&lt;="&amp;$A180,実績!$AD$6:$AD$505,"&gt;"&amp;$A180,実績!$AE$6:$AE$505,"○")&gt;0,1,0))</f>
        <v/>
      </c>
      <c r="AZ180">
        <f>IF(AZ$4=0,0,IF(COUNTIFS(実績!$W$6:$W$505,AZ$3,実績!$AC$6:$AC$505,"&lt;="&amp;$A180,実績!$AD$6:$AD$505,"&gt;"&amp;$A180,実績!$AE$6:$AE$505,"○")&gt;0,1,0))</f>
        <v/>
      </c>
      <c r="BA180">
        <f>IF(BA$4=0,0,IF(COUNTIFS(実績!$W$6:$W$505,BA$3,実績!$AC$6:$AC$505,"&lt;="&amp;$A180,実績!$AD$6:$AD$505,"&gt;"&amp;$A180,実績!$AE$6:$AE$505,"○")&gt;0,1,0))</f>
        <v/>
      </c>
      <c r="BB180">
        <f>IF(BB$4=0,0,IF(COUNTIFS(実績!$W$6:$W$505,BB$3,実績!$AC$6:$AC$505,"&lt;="&amp;$A180,実績!$AD$6:$AD$505,"&gt;"&amp;$A180,実績!$AE$6:$AE$505,"○")&gt;0,1,0))</f>
        <v/>
      </c>
      <c r="BC180">
        <f>IF(BC$4=0,0,IF(COUNTIFS(実績!$W$6:$W$505,BC$3,実績!$AC$6:$AC$505,"&lt;="&amp;$A180,実績!$AD$6:$AD$505,"&gt;"&amp;$A180,実績!$AE$6:$AE$505,"○")&gt;0,1,0))</f>
        <v/>
      </c>
      <c r="BD180">
        <f>IF(BD$4=0,0,IF(COUNTIFS(実績!$W$6:$W$505,BD$3,実績!$AC$6:$AC$505,"&lt;="&amp;$A180,実績!$AD$6:$AD$505,"&gt;"&amp;$A180,実績!$AE$6:$AE$505,"○")&gt;0,1,0))</f>
        <v/>
      </c>
      <c r="BE180">
        <f>IF(BE$4=0,0,IF(COUNTIFS(実績!$W$6:$W$505,BE$3,実績!$AC$6:$AC$505,"&lt;="&amp;$A180,実績!$AD$6:$AD$505,"&gt;"&amp;$A180,実績!$AE$6:$AE$505,"○")&gt;0,1,0))</f>
        <v/>
      </c>
      <c r="BF180">
        <f>IF(BF$4=0,0,IF(COUNTIFS(実績!$W$6:$W$505,BF$3,実績!$AC$6:$AC$505,"&lt;="&amp;$A180,実績!$AD$6:$AD$505,"&gt;"&amp;$A180,実績!$AE$6:$AE$505,"○")&gt;0,1,0))</f>
        <v/>
      </c>
      <c r="BG180">
        <f>IF(BG$4=0,0,IF(COUNTIFS(実績!$W$6:$W$505,BG$3,実績!$AC$6:$AC$505,"&lt;="&amp;$A180,実績!$AD$6:$AD$505,"&gt;"&amp;$A180,実績!$AE$6:$AE$505,"○")&gt;0,1,0))</f>
        <v/>
      </c>
      <c r="BH180">
        <f>IF(BH$4=0,0,IF(COUNTIFS(実績!$W$6:$W$505,BH$3,実績!$AC$6:$AC$505,"&lt;="&amp;$A180,実績!$AD$6:$AD$505,"&gt;"&amp;$A180,実績!$AE$6:$AE$505,"○")&gt;0,1,0))</f>
        <v/>
      </c>
      <c r="BI180">
        <f>IF(BI$4=0,0,IF(COUNTIFS(実績!$W$6:$W$505,BI$3,実績!$AC$6:$AC$505,"&lt;="&amp;$A180,実績!$AD$6:$AD$505,"&gt;"&amp;$A180,実績!$AE$6:$AE$505,"○")&gt;0,1,0))</f>
        <v/>
      </c>
      <c r="BJ180">
        <f>IF(BJ$4=0,0,IF(COUNTIFS(実績!$W$6:$W$505,BJ$3,実績!$AC$6:$AC$505,"&lt;="&amp;$A180,実績!$AD$6:$AD$505,"&gt;"&amp;$A180,実績!$AE$6:$AE$505,"○")&gt;0,1,0))</f>
        <v/>
      </c>
      <c r="BK180">
        <f>IF(BK$4=0,0,IF(COUNTIFS(実績!$W$6:$W$505,BK$3,実績!$AC$6:$AC$505,"&lt;="&amp;$A180,実績!$AD$6:$AD$505,"&gt;"&amp;$A180,実績!$AE$6:$AE$505,"○")&gt;0,1,0))</f>
        <v/>
      </c>
      <c r="BL180">
        <f>IF(BL$4=0,0,IF(COUNTIFS(実績!$W$6:$W$505,BL$3,実績!$AC$6:$AC$505,"&lt;="&amp;$A180,実績!$AD$6:$AD$505,"&gt;"&amp;$A180,実績!$AE$6:$AE$505,"○")&gt;0,1,0))</f>
        <v/>
      </c>
      <c r="BM180">
        <f>IF(BM$4=0,0,IF(COUNTIFS(実績!$W$6:$W$505,BM$3,実績!$AC$6:$AC$505,"&lt;="&amp;$A180,実績!$AD$6:$AD$505,"&gt;"&amp;$A180,実績!$AE$6:$AE$505,"○")&gt;0,1,0))</f>
        <v/>
      </c>
      <c r="BN180">
        <f>IF(BN$4=0,0,IF(COUNTIFS(実績!$W$6:$W$505,BN$3,実績!$AC$6:$AC$505,"&lt;="&amp;$A180,実績!$AD$6:$AD$505,"&gt;"&amp;$A180,実績!$AE$6:$AE$505,"○")&gt;0,1,0))</f>
        <v/>
      </c>
      <c r="BO180">
        <f>IF(BO$4=0,0,IF(COUNTIFS(実績!$W$6:$W$505,BO$3,実績!$AC$6:$AC$505,"&lt;="&amp;$A180,実績!$AD$6:$AD$505,"&gt;"&amp;$A180,実績!$AE$6:$AE$505,"○")&gt;0,1,0))</f>
        <v/>
      </c>
      <c r="BP180">
        <f>IF(BP$4=0,0,IF(COUNTIFS(実績!$W$6:$W$505,BP$3,実績!$AC$6:$AC$505,"&lt;="&amp;$A180,実績!$AD$6:$AD$505,"&gt;"&amp;$A180,実績!$AE$6:$AE$505,"○")&gt;0,1,0))</f>
        <v/>
      </c>
      <c r="BQ180">
        <f>IF(BQ$4=0,0,IF(COUNTIFS(実績!$W$6:$W$505,BQ$3,実績!$AC$6:$AC$505,"&lt;="&amp;$A180,実績!$AD$6:$AD$505,"&gt;"&amp;$A180,実績!$AE$6:$AE$505,"○")&gt;0,1,0))</f>
        <v/>
      </c>
      <c r="BR180">
        <f>IF(BR$4=0,0,IF(COUNTIFS(実績!$W$6:$W$505,BR$3,実績!$AC$6:$AC$505,"&lt;="&amp;$A180,実績!$AD$6:$AD$505,"&gt;"&amp;$A180,実績!$AE$6:$AE$505,"○")&gt;0,1,0))</f>
        <v/>
      </c>
      <c r="BS180">
        <f>IF(BS$4=0,0,IF(COUNTIFS(実績!$W$6:$W$505,BS$3,実績!$AC$6:$AC$505,"&lt;="&amp;$A180,実績!$AD$6:$AD$505,"&gt;"&amp;$A180,実績!$AE$6:$AE$505,"○")&gt;0,1,0))</f>
        <v/>
      </c>
      <c r="BT180">
        <f>IF(BT$4=0,0,IF(COUNTIFS(実績!$W$6:$W$505,BT$3,実績!$AC$6:$AC$505,"&lt;="&amp;$A180,実績!$AD$6:$AD$505,"&gt;"&amp;$A180,実績!$AE$6:$AE$505,"○")&gt;0,1,0))</f>
        <v/>
      </c>
      <c r="BU180">
        <f>IF(BU$4=0,0,IF(COUNTIFS(実績!$W$6:$W$505,BU$3,実績!$AC$6:$AC$505,"&lt;="&amp;$A180,実績!$AD$6:$AD$505,"&gt;"&amp;$A180,実績!$AE$6:$AE$505,"○")&gt;0,1,0))</f>
        <v/>
      </c>
      <c r="BV180">
        <f>IF(BV$4=0,0,IF(COUNTIFS(実績!$W$6:$W$505,BV$3,実績!$AC$6:$AC$505,"&lt;="&amp;$A180,実績!$AD$6:$AD$505,"&gt;"&amp;$A180,実績!$AE$6:$AE$505,"○")&gt;0,1,0))</f>
        <v/>
      </c>
      <c r="BW180">
        <f>IF(BW$4=0,0,IF(COUNTIFS(実績!$W$6:$W$505,BW$3,実績!$AC$6:$AC$505,"&lt;="&amp;$A180,実績!$AD$6:$AD$505,"&gt;"&amp;$A180,実績!$AE$6:$AE$505,"○")&gt;0,1,0))</f>
        <v/>
      </c>
      <c r="BX180">
        <f>IF(BX$4=0,0,IF(COUNTIFS(実績!$W$6:$W$505,BX$3,実績!$AC$6:$AC$505,"&lt;="&amp;$A180,実績!$AD$6:$AD$505,"&gt;"&amp;$A180,実績!$AE$6:$AE$505,"○")&gt;0,1,0))</f>
        <v/>
      </c>
      <c r="BY180">
        <f>IF(BY$4=0,0,IF(COUNTIFS(実績!$W$6:$W$505,BY$3,実績!$AC$6:$AC$505,"&lt;="&amp;$A180,実績!$AD$6:$AD$505,"&gt;"&amp;$A180,実績!$AE$6:$AE$505,"○")&gt;0,1,0))</f>
        <v/>
      </c>
      <c r="BZ180">
        <f>IF(BZ$4=0,0,IF(COUNTIFS(実績!$W$6:$W$505,BZ$3,実績!$AC$6:$AC$505,"&lt;="&amp;$A180,実績!$AD$6:$AD$505,"&gt;"&amp;$A180,実績!$AE$6:$AE$505,"○")&gt;0,1,0))</f>
        <v/>
      </c>
      <c r="CA180">
        <f>IF(CA$4=0,0,IF(COUNTIFS(実績!$W$6:$W$505,CA$3,実績!$AC$6:$AC$505,"&lt;="&amp;$A180,実績!$AD$6:$AD$505,"&gt;"&amp;$A180,実績!$AE$6:$AE$505,"○")&gt;0,1,0))</f>
        <v/>
      </c>
      <c r="CB180">
        <f>IF(CB$4=0,0,IF(COUNTIFS(実績!$W$6:$W$505,CB$3,実績!$AC$6:$AC$505,"&lt;="&amp;$A180,実績!$AD$6:$AD$505,"&gt;"&amp;$A180,実績!$AE$6:$AE$505,"○")&gt;0,1,0))</f>
        <v/>
      </c>
      <c r="CC180">
        <f>IF(CC$4=0,0,IF(COUNTIFS(実績!$W$6:$W$505,CC$3,実績!$AC$6:$AC$505,"&lt;="&amp;$A180,実績!$AD$6:$AD$505,"&gt;"&amp;$A180,実績!$AE$6:$AE$505,"○")&gt;0,1,0))</f>
        <v/>
      </c>
      <c r="CD180">
        <f>IF(CD$4=0,0,IF(COUNTIFS(実績!$W$6:$W$505,CD$3,実績!$AC$6:$AC$505,"&lt;="&amp;$A180,実績!$AD$6:$AD$505,"&gt;"&amp;$A180,実績!$AE$6:$AE$505,"○")&gt;0,1,0))</f>
        <v/>
      </c>
      <c r="CE180">
        <f>IF(CE$4=0,0,IF(COUNTIFS(実績!$W$6:$W$505,CE$3,実績!$AC$6:$AC$505,"&lt;="&amp;$A180,実績!$AD$6:$AD$505,"&gt;"&amp;$A180,実績!$AE$6:$AE$505,"○")&gt;0,1,0))</f>
        <v/>
      </c>
      <c r="CF180">
        <f>IF(CF$4=0,0,IF(COUNTIFS(実績!$W$6:$W$505,CF$3,実績!$AC$6:$AC$505,"&lt;="&amp;$A180,実績!$AD$6:$AD$505,"&gt;"&amp;$A180,実績!$AE$6:$AE$505,"○")&gt;0,1,0))</f>
        <v/>
      </c>
      <c r="CG180">
        <f>IF(CG$4=0,0,IF(COUNTIFS(実績!$W$6:$W$505,CG$3,実績!$AC$6:$AC$505,"&lt;="&amp;$A180,実績!$AD$6:$AD$505,"&gt;"&amp;$A180,実績!$AE$6:$AE$505,"○")&gt;0,1,0))</f>
        <v/>
      </c>
      <c r="CH180">
        <f>IF(CH$4=0,0,IF(COUNTIFS(実績!$W$6:$W$505,CH$3,実績!$AC$6:$AC$505,"&lt;="&amp;$A180,実績!$AD$6:$AD$505,"&gt;"&amp;$A180,実績!$AE$6:$AE$505,"○")&gt;0,1,0))</f>
        <v/>
      </c>
      <c r="CI180">
        <f>IF(CI$4=0,0,IF(COUNTIFS(実績!$W$6:$W$505,CI$3,実績!$AC$6:$AC$505,"&lt;="&amp;$A180,実績!$AD$6:$AD$505,"&gt;"&amp;$A180,実績!$AE$6:$AE$505,"○")&gt;0,1,0))</f>
        <v/>
      </c>
      <c r="CJ180">
        <f>IF(CJ$4=0,0,IF(COUNTIFS(実績!$W$6:$W$505,CJ$3,実績!$AC$6:$AC$505,"&lt;="&amp;$A180,実績!$AD$6:$AD$505,"&gt;"&amp;$A180,実績!$AE$6:$AE$505,"○")&gt;0,1,0))</f>
        <v/>
      </c>
      <c r="CK180">
        <f>IF(CK$4=0,0,IF(COUNTIFS(実績!$W$6:$W$505,CK$3,実績!$AC$6:$AC$505,"&lt;="&amp;$A180,実績!$AD$6:$AD$505,"&gt;"&amp;$A180,実績!$AE$6:$AE$505,"○")&gt;0,1,0))</f>
        <v/>
      </c>
      <c r="CL180">
        <f>IF(CL$4=0,0,IF(COUNTIFS(実績!$W$6:$W$505,CL$3,実績!$AC$6:$AC$505,"&lt;="&amp;$A180,実績!$AD$6:$AD$505,"&gt;"&amp;$A180,実績!$AE$6:$AE$505,"○")&gt;0,1,0))</f>
        <v/>
      </c>
      <c r="CM180">
        <f>IF(CM$4=0,0,IF(COUNTIFS(実績!$W$6:$W$505,CM$3,実績!$AC$6:$AC$505,"&lt;="&amp;$A180,実績!$AD$6:$AD$505,"&gt;"&amp;$A180,実績!$AE$6:$AE$505,"○")&gt;0,1,0))</f>
        <v/>
      </c>
      <c r="CN180">
        <f>IF(CN$4=0,0,IF(COUNTIFS(実績!$W$6:$W$505,CN$3,実績!$AC$6:$AC$505,"&lt;="&amp;$A180,実績!$AD$6:$AD$505,"&gt;"&amp;$A180,実績!$AE$6:$AE$505,"○")&gt;0,1,0))</f>
        <v/>
      </c>
      <c r="CO180">
        <f>IF(CO$4=0,0,IF(COUNTIFS(実績!$W$6:$W$505,CO$3,実績!$AC$6:$AC$505,"&lt;="&amp;$A180,実績!$AD$6:$AD$505,"&gt;"&amp;$A180,実績!$AE$6:$AE$505,"○")&gt;0,1,0))</f>
        <v/>
      </c>
      <c r="CP180">
        <f>IF(CP$4=0,0,IF(COUNTIFS(実績!$W$6:$W$505,CP$3,実績!$AC$6:$AC$505,"&lt;="&amp;$A180,実績!$AD$6:$AD$505,"&gt;"&amp;$A180,実績!$AE$6:$AE$505,"○")&gt;0,1,0))</f>
        <v/>
      </c>
      <c r="CQ180">
        <f>IF(CQ$4=0,0,IF(COUNTIFS(実績!$W$6:$W$505,CQ$3,実績!$AC$6:$AC$505,"&lt;="&amp;$A180,実績!$AD$6:$AD$505,"&gt;"&amp;$A180,実績!$AE$6:$AE$505,"○")&gt;0,1,0))</f>
        <v/>
      </c>
      <c r="CR180">
        <f>IF(CR$4=0,0,IF(COUNTIFS(実績!$W$6:$W$505,CR$3,実績!$AC$6:$AC$505,"&lt;="&amp;$A180,実績!$AD$6:$AD$505,"&gt;"&amp;$A180,実績!$AE$6:$AE$505,"○")&gt;0,1,0))</f>
        <v/>
      </c>
      <c r="CS180">
        <f>IF(CS$4=0,0,IF(COUNTIFS(実績!$W$6:$W$505,CS$3,実績!$AC$6:$AC$505,"&lt;="&amp;$A180,実績!$AD$6:$AD$505,"&gt;"&amp;$A180,実績!$AE$6:$AE$505,"○")&gt;0,1,0))</f>
        <v/>
      </c>
      <c r="CT180">
        <f>IF(CT$4=0,0,IF(COUNTIFS(実績!$W$6:$W$505,CT$3,実績!$AC$6:$AC$505,"&lt;="&amp;$A180,実績!$AD$6:$AD$505,"&gt;"&amp;$A180,実績!$AE$6:$AE$505,"○")&gt;0,1,0))</f>
        <v/>
      </c>
      <c r="CU180">
        <f>IF(CU$4=0,0,IF(COUNTIFS(実績!$W$6:$W$505,CU$3,実績!$AC$6:$AC$505,"&lt;="&amp;$A180,実績!$AD$6:$AD$505,"&gt;"&amp;$A180,実績!$AE$6:$AE$505,"○")&gt;0,1,0))</f>
        <v/>
      </c>
      <c r="CV180">
        <f>IF(CV$4=0,0,IF(COUNTIFS(実績!$W$6:$W$505,CV$3,実績!$AC$6:$AC$505,"&lt;="&amp;$A180,実績!$AD$6:$AD$505,"&gt;"&amp;$A180,実績!$AE$6:$AE$505,"○")&gt;0,1,0))</f>
        <v/>
      </c>
      <c r="CW180">
        <f>IF(CW$4=0,0,IF(COUNTIFS(実績!$W$6:$W$505,CW$3,実績!$AC$6:$AC$505,"&lt;="&amp;$A180,実績!$AD$6:$AD$505,"&gt;"&amp;$A180,実績!$AE$6:$AE$505,"○")&gt;0,1,0))</f>
        <v/>
      </c>
      <c r="CX180">
        <f>IF(CX$4=0,0,IF(COUNTIFS(実績!$W$6:$W$505,CX$3,実績!$AC$6:$AC$505,"&lt;="&amp;$A180,実績!$AD$6:$AD$505,"&gt;"&amp;$A180,実績!$AE$6:$AE$505,"○")&gt;0,1,0))</f>
        <v/>
      </c>
      <c r="CY180">
        <f>IF(CY$4=0,0,IF(COUNTIFS(実績!$W$6:$W$505,CY$3,実績!$AC$6:$AC$505,"&lt;="&amp;$A180,実績!$AD$6:$AD$505,"&gt;"&amp;$A180,実績!$AE$6:$AE$505,"○")&gt;0,1,0))</f>
        <v/>
      </c>
      <c r="CZ180">
        <f>IF(CZ$4=0,0,IF(COUNTIFS(実績!$W$6:$W$505,CZ$3,実績!$AC$6:$AC$505,"&lt;="&amp;$A180,実績!$AD$6:$AD$505,"&gt;"&amp;$A180,実績!$AE$6:$AE$505,"○")&gt;0,1,0))</f>
        <v/>
      </c>
      <c r="DA180">
        <f>IF(DA$4=0,0,IF(COUNTIFS(実績!$W$6:$W$505,DA$3,実績!$AC$6:$AC$505,"&lt;="&amp;$A180,実績!$AD$6:$AD$505,"&gt;"&amp;$A180,実績!$AE$6:$AE$505,"○")&gt;0,1,0))</f>
        <v/>
      </c>
      <c r="DB180">
        <f>IF(DB$4=0,0,IF(COUNTIFS(実績!$W$6:$W$505,DB$3,実績!$AC$6:$AC$505,"&lt;="&amp;$A180,実績!$AD$6:$AD$505,"&gt;"&amp;$A180,実績!$AE$6:$AE$505,"○")&gt;0,1,0))</f>
        <v/>
      </c>
      <c r="DC180">
        <f>IF(DC$4=0,0,IF(COUNTIFS(実績!$W$6:$W$505,DC$3,実績!$AC$6:$AC$505,"&lt;="&amp;$A180,実績!$AD$6:$AD$505,"&gt;"&amp;$A180,実績!$AE$6:$AE$505,"○")&gt;0,1,0))</f>
        <v/>
      </c>
      <c r="DD180">
        <f>IF(DD$4=0,0,IF(COUNTIFS(実績!$W$6:$W$505,DD$3,実績!$AC$6:$AC$505,"&lt;="&amp;$A180,実績!$AD$6:$AD$505,"&gt;"&amp;$A180,実績!$AE$6:$AE$505,"○")&gt;0,1,0))</f>
        <v/>
      </c>
      <c r="DE180">
        <f>IF(DE$4=0,0,IF(COUNTIFS(実績!$W$6:$W$505,DE$3,実績!$AC$6:$AC$505,"&lt;="&amp;$A180,実績!$AD$6:$AD$505,"&gt;"&amp;$A180,実績!$AE$6:$AE$505,"○")&gt;0,1,0))</f>
        <v/>
      </c>
      <c r="DF180">
        <f>IF(DF$4=0,0,IF(COUNTIFS(実績!$W$6:$W$505,DF$3,実績!$AC$6:$AC$505,"&lt;="&amp;$A180,実績!$AD$6:$AD$505,"&gt;"&amp;$A180,実績!$AE$6:$AE$505,"○")&gt;0,1,0))</f>
        <v/>
      </c>
      <c r="DG180">
        <f>IF(DG$4=0,0,IF(COUNTIFS(実績!$W$6:$W$505,DG$3,実績!$AC$6:$AC$505,"&lt;="&amp;$A180,実績!$AD$6:$AD$505,"&gt;"&amp;$A180,実績!$AE$6:$AE$505,"○")&gt;0,1,0))</f>
        <v/>
      </c>
      <c r="DH180">
        <f>IF(DH$4=0,0,IF(COUNTIFS(実績!$W$6:$W$505,DH$3,実績!$AC$6:$AC$505,"&lt;="&amp;$A180,実績!$AD$6:$AD$505,"&gt;"&amp;$A180,実績!$AE$6:$AE$505,"○")&gt;0,1,0))</f>
        <v/>
      </c>
      <c r="DI180">
        <f>IF(DI$4=0,0,IF(COUNTIFS(実績!$W$6:$W$505,DI$3,実績!$AC$6:$AC$505,"&lt;="&amp;$A180,実績!$AD$6:$AD$505,"&gt;"&amp;$A180,実績!$AE$6:$AE$505,"○")&gt;0,1,0))</f>
        <v/>
      </c>
      <c r="DJ180">
        <f>IF(DJ$4=0,0,IF(COUNTIFS(実績!$W$6:$W$505,DJ$3,実績!$AC$6:$AC$505,"&lt;="&amp;$A180,実績!$AD$6:$AD$505,"&gt;"&amp;$A180,実績!$AE$6:$AE$505,"○")&gt;0,1,0))</f>
        <v/>
      </c>
      <c r="DK180">
        <f>IF(DK$4=0,0,IF(COUNTIFS(実績!$W$6:$W$505,DK$3,実績!$AC$6:$AC$505,"&lt;="&amp;$A180,実績!$AD$6:$AD$505,"&gt;"&amp;$A180,実績!$AE$6:$AE$505,"○")&gt;0,1,0))</f>
        <v/>
      </c>
      <c r="DL180">
        <f>IF(DL$4=0,0,IF(COUNTIFS(実績!$W$6:$W$505,DL$3,実績!$AC$6:$AC$505,"&lt;="&amp;$A180,実績!$AD$6:$AD$505,"&gt;"&amp;$A180,実績!$AE$6:$AE$505,"○")&gt;0,1,0))</f>
        <v/>
      </c>
      <c r="DM180">
        <f>IF(DM$4=0,0,IF(COUNTIFS(実績!$W$6:$W$505,DM$3,実績!$AC$6:$AC$505,"&lt;="&amp;$A180,実績!$AD$6:$AD$505,"&gt;"&amp;$A180,実績!$AE$6:$AE$505,"○")&gt;0,1,0))</f>
        <v/>
      </c>
      <c r="DN180">
        <f>IF(DN$4=0,0,IF(COUNTIFS(実績!$W$6:$W$505,DN$3,実績!$AC$6:$AC$505,"&lt;="&amp;$A180,実績!$AD$6:$AD$505,"&gt;"&amp;$A180,実績!$AE$6:$AE$505,"○")&gt;0,1,0))</f>
        <v/>
      </c>
      <c r="DO180">
        <f>IF(DO$4=0,0,IF(COUNTIFS(実績!$W$6:$W$505,DO$3,実績!$AC$6:$AC$505,"&lt;="&amp;$A180,実績!$AD$6:$AD$505,"&gt;"&amp;$A180,実績!$AE$6:$AE$505,"○")&gt;0,1,0))</f>
        <v/>
      </c>
      <c r="DP180">
        <f>IF(DP$4=0,0,IF(COUNTIFS(実績!$W$6:$W$505,DP$3,実績!$AC$6:$AC$505,"&lt;="&amp;$A180,実績!$AD$6:$AD$505,"&gt;"&amp;$A180,実績!$AE$6:$AE$505,"○")&gt;0,1,0))</f>
        <v/>
      </c>
      <c r="DQ180">
        <f>IF(DQ$4=0,0,IF(COUNTIFS(実績!$W$6:$W$505,DQ$3,実績!$AC$6:$AC$505,"&lt;="&amp;$A180,実績!$AD$6:$AD$505,"&gt;"&amp;$A180,実績!$AE$6:$AE$505,"○")&gt;0,1,0))</f>
        <v/>
      </c>
      <c r="DR180">
        <f>IF(DR$4=0,0,IF(COUNTIFS(実績!$W$6:$W$505,DR$3,実績!$AC$6:$AC$505,"&lt;="&amp;$A180,実績!$AD$6:$AD$505,"&gt;"&amp;$A180,実績!$AE$6:$AE$505,"○")&gt;0,1,0))</f>
        <v/>
      </c>
      <c r="DS180">
        <f>SUM(C180:DR180)</f>
        <v/>
      </c>
      <c r="DT180">
        <f>SUMPRODUCT((実績!$C$6:$C$505="○")*ISNUMBER(実績!$AF$6:$AF$505)*(実績!$AF$6:$AF$505&lt;=$A180)*(実績!$AG$6:$AG$505&gt;$A180))</f>
        <v/>
      </c>
      <c r="DU180">
        <f>SUMIF($C$2:$DR$2,"製鉄曳船",C180:DR180)</f>
        <v/>
      </c>
      <c r="DV180">
        <f>SUMIF($C$2:$DR$2,"西日本海運",C180:DR180)</f>
        <v/>
      </c>
    </row>
    <row r="181">
      <c r="A181" t="n">
        <v>875</v>
      </c>
      <c r="B181" s="29">
        <f>A181/1440</f>
        <v/>
      </c>
      <c r="C181">
        <f>IF(C$4=0,0,IF(COUNTIFS(実績!$W$6:$W$505,C$3,実績!$AC$6:$AC$505,"&lt;="&amp;$A181,実績!$AD$6:$AD$505,"&gt;"&amp;$A181,実績!$AE$6:$AE$505,"○")&gt;0,1,0))</f>
        <v/>
      </c>
      <c r="D181">
        <f>IF(D$4=0,0,IF(COUNTIFS(実績!$W$6:$W$505,D$3,実績!$AC$6:$AC$505,"&lt;="&amp;$A181,実績!$AD$6:$AD$505,"&gt;"&amp;$A181,実績!$AE$6:$AE$505,"○")&gt;0,1,0))</f>
        <v/>
      </c>
      <c r="E181">
        <f>IF(E$4=0,0,IF(COUNTIFS(実績!$W$6:$W$505,E$3,実績!$AC$6:$AC$505,"&lt;="&amp;$A181,実績!$AD$6:$AD$505,"&gt;"&amp;$A181,実績!$AE$6:$AE$505,"○")&gt;0,1,0))</f>
        <v/>
      </c>
      <c r="F181">
        <f>IF(F$4=0,0,IF(COUNTIFS(実績!$W$6:$W$505,F$3,実績!$AC$6:$AC$505,"&lt;="&amp;$A181,実績!$AD$6:$AD$505,"&gt;"&amp;$A181,実績!$AE$6:$AE$505,"○")&gt;0,1,0))</f>
        <v/>
      </c>
      <c r="G181">
        <f>IF(G$4=0,0,IF(COUNTIFS(実績!$W$6:$W$505,G$3,実績!$AC$6:$AC$505,"&lt;="&amp;$A181,実績!$AD$6:$AD$505,"&gt;"&amp;$A181,実績!$AE$6:$AE$505,"○")&gt;0,1,0))</f>
        <v/>
      </c>
      <c r="H181">
        <f>IF(H$4=0,0,IF(COUNTIFS(実績!$W$6:$W$505,H$3,実績!$AC$6:$AC$505,"&lt;="&amp;$A181,実績!$AD$6:$AD$505,"&gt;"&amp;$A181,実績!$AE$6:$AE$505,"○")&gt;0,1,0))</f>
        <v/>
      </c>
      <c r="I181">
        <f>IF(I$4=0,0,IF(COUNTIFS(実績!$W$6:$W$505,I$3,実績!$AC$6:$AC$505,"&lt;="&amp;$A181,実績!$AD$6:$AD$505,"&gt;"&amp;$A181,実績!$AE$6:$AE$505,"○")&gt;0,1,0))</f>
        <v/>
      </c>
      <c r="J181">
        <f>IF(J$4=0,0,IF(COUNTIFS(実績!$W$6:$W$505,J$3,実績!$AC$6:$AC$505,"&lt;="&amp;$A181,実績!$AD$6:$AD$505,"&gt;"&amp;$A181,実績!$AE$6:$AE$505,"○")&gt;0,1,0))</f>
        <v/>
      </c>
      <c r="K181">
        <f>IF(K$4=0,0,IF(COUNTIFS(実績!$W$6:$W$505,K$3,実績!$AC$6:$AC$505,"&lt;="&amp;$A181,実績!$AD$6:$AD$505,"&gt;"&amp;$A181,実績!$AE$6:$AE$505,"○")&gt;0,1,0))</f>
        <v/>
      </c>
      <c r="L181">
        <f>IF(L$4=0,0,IF(COUNTIFS(実績!$W$6:$W$505,L$3,実績!$AC$6:$AC$505,"&lt;="&amp;$A181,実績!$AD$6:$AD$505,"&gt;"&amp;$A181,実績!$AE$6:$AE$505,"○")&gt;0,1,0))</f>
        <v/>
      </c>
      <c r="M181">
        <f>IF(M$4=0,0,IF(COUNTIFS(実績!$W$6:$W$505,M$3,実績!$AC$6:$AC$505,"&lt;="&amp;$A181,実績!$AD$6:$AD$505,"&gt;"&amp;$A181,実績!$AE$6:$AE$505,"○")&gt;0,1,0))</f>
        <v/>
      </c>
      <c r="N181">
        <f>IF(N$4=0,0,IF(COUNTIFS(実績!$W$6:$W$505,N$3,実績!$AC$6:$AC$505,"&lt;="&amp;$A181,実績!$AD$6:$AD$505,"&gt;"&amp;$A181,実績!$AE$6:$AE$505,"○")&gt;0,1,0))</f>
        <v/>
      </c>
      <c r="O181">
        <f>IF(O$4=0,0,IF(COUNTIFS(実績!$W$6:$W$505,O$3,実績!$AC$6:$AC$505,"&lt;="&amp;$A181,実績!$AD$6:$AD$505,"&gt;"&amp;$A181,実績!$AE$6:$AE$505,"○")&gt;0,1,0))</f>
        <v/>
      </c>
      <c r="P181">
        <f>IF(P$4=0,0,IF(COUNTIFS(実績!$W$6:$W$505,P$3,実績!$AC$6:$AC$505,"&lt;="&amp;$A181,実績!$AD$6:$AD$505,"&gt;"&amp;$A181,実績!$AE$6:$AE$505,"○")&gt;0,1,0))</f>
        <v/>
      </c>
      <c r="Q181">
        <f>IF(Q$4=0,0,IF(COUNTIFS(実績!$W$6:$W$505,Q$3,実績!$AC$6:$AC$505,"&lt;="&amp;$A181,実績!$AD$6:$AD$505,"&gt;"&amp;$A181,実績!$AE$6:$AE$505,"○")&gt;0,1,0))</f>
        <v/>
      </c>
      <c r="R181">
        <f>IF(R$4=0,0,IF(COUNTIFS(実績!$W$6:$W$505,R$3,実績!$AC$6:$AC$505,"&lt;="&amp;$A181,実績!$AD$6:$AD$505,"&gt;"&amp;$A181,実績!$AE$6:$AE$505,"○")&gt;0,1,0))</f>
        <v/>
      </c>
      <c r="S181">
        <f>IF(S$4=0,0,IF(COUNTIFS(実績!$W$6:$W$505,S$3,実績!$AC$6:$AC$505,"&lt;="&amp;$A181,実績!$AD$6:$AD$505,"&gt;"&amp;$A181,実績!$AE$6:$AE$505,"○")&gt;0,1,0))</f>
        <v/>
      </c>
      <c r="T181">
        <f>IF(T$4=0,0,IF(COUNTIFS(実績!$W$6:$W$505,T$3,実績!$AC$6:$AC$505,"&lt;="&amp;$A181,実績!$AD$6:$AD$505,"&gt;"&amp;$A181,実績!$AE$6:$AE$505,"○")&gt;0,1,0))</f>
        <v/>
      </c>
      <c r="U181">
        <f>IF(U$4=0,0,IF(COUNTIFS(実績!$W$6:$W$505,U$3,実績!$AC$6:$AC$505,"&lt;="&amp;$A181,実績!$AD$6:$AD$505,"&gt;"&amp;$A181,実績!$AE$6:$AE$505,"○")&gt;0,1,0))</f>
        <v/>
      </c>
      <c r="V181">
        <f>IF(V$4=0,0,IF(COUNTIFS(実績!$W$6:$W$505,V$3,実績!$AC$6:$AC$505,"&lt;="&amp;$A181,実績!$AD$6:$AD$505,"&gt;"&amp;$A181,実績!$AE$6:$AE$505,"○")&gt;0,1,0))</f>
        <v/>
      </c>
      <c r="W181">
        <f>IF(W$4=0,0,IF(COUNTIFS(実績!$W$6:$W$505,W$3,実績!$AC$6:$AC$505,"&lt;="&amp;$A181,実績!$AD$6:$AD$505,"&gt;"&amp;$A181,実績!$AE$6:$AE$505,"○")&gt;0,1,0))</f>
        <v/>
      </c>
      <c r="X181">
        <f>IF(X$4=0,0,IF(COUNTIFS(実績!$W$6:$W$505,X$3,実績!$AC$6:$AC$505,"&lt;="&amp;$A181,実績!$AD$6:$AD$505,"&gt;"&amp;$A181,実績!$AE$6:$AE$505,"○")&gt;0,1,0))</f>
        <v/>
      </c>
      <c r="Y181">
        <f>IF(Y$4=0,0,IF(COUNTIFS(実績!$W$6:$W$505,Y$3,実績!$AC$6:$AC$505,"&lt;="&amp;$A181,実績!$AD$6:$AD$505,"&gt;"&amp;$A181,実績!$AE$6:$AE$505,"○")&gt;0,1,0))</f>
        <v/>
      </c>
      <c r="Z181">
        <f>IF(Z$4=0,0,IF(COUNTIFS(実績!$W$6:$W$505,Z$3,実績!$AC$6:$AC$505,"&lt;="&amp;$A181,実績!$AD$6:$AD$505,"&gt;"&amp;$A181,実績!$AE$6:$AE$505,"○")&gt;0,1,0))</f>
        <v/>
      </c>
      <c r="AA181">
        <f>IF(AA$4=0,0,IF(COUNTIFS(実績!$W$6:$W$505,AA$3,実績!$AC$6:$AC$505,"&lt;="&amp;$A181,実績!$AD$6:$AD$505,"&gt;"&amp;$A181,実績!$AE$6:$AE$505,"○")&gt;0,1,0))</f>
        <v/>
      </c>
      <c r="AB181">
        <f>IF(AB$4=0,0,IF(COUNTIFS(実績!$W$6:$W$505,AB$3,実績!$AC$6:$AC$505,"&lt;="&amp;$A181,実績!$AD$6:$AD$505,"&gt;"&amp;$A181,実績!$AE$6:$AE$505,"○")&gt;0,1,0))</f>
        <v/>
      </c>
      <c r="AC181">
        <f>IF(AC$4=0,0,IF(COUNTIFS(実績!$W$6:$W$505,AC$3,実績!$AC$6:$AC$505,"&lt;="&amp;$A181,実績!$AD$6:$AD$505,"&gt;"&amp;$A181,実績!$AE$6:$AE$505,"○")&gt;0,1,0))</f>
        <v/>
      </c>
      <c r="AD181">
        <f>IF(AD$4=0,0,IF(COUNTIFS(実績!$W$6:$W$505,AD$3,実績!$AC$6:$AC$505,"&lt;="&amp;$A181,実績!$AD$6:$AD$505,"&gt;"&amp;$A181,実績!$AE$6:$AE$505,"○")&gt;0,1,0))</f>
        <v/>
      </c>
      <c r="AE181">
        <f>IF(AE$4=0,0,IF(COUNTIFS(実績!$W$6:$W$505,AE$3,実績!$AC$6:$AC$505,"&lt;="&amp;$A181,実績!$AD$6:$AD$505,"&gt;"&amp;$A181,実績!$AE$6:$AE$505,"○")&gt;0,1,0))</f>
        <v/>
      </c>
      <c r="AF181">
        <f>IF(AF$4=0,0,IF(COUNTIFS(実績!$W$6:$W$505,AF$3,実績!$AC$6:$AC$505,"&lt;="&amp;$A181,実績!$AD$6:$AD$505,"&gt;"&amp;$A181,実績!$AE$6:$AE$505,"○")&gt;0,1,0))</f>
        <v/>
      </c>
      <c r="AG181">
        <f>IF(AG$4=0,0,IF(COUNTIFS(実績!$W$6:$W$505,AG$3,実績!$AC$6:$AC$505,"&lt;="&amp;$A181,実績!$AD$6:$AD$505,"&gt;"&amp;$A181,実績!$AE$6:$AE$505,"○")&gt;0,1,0))</f>
        <v/>
      </c>
      <c r="AH181">
        <f>IF(AH$4=0,0,IF(COUNTIFS(実績!$W$6:$W$505,AH$3,実績!$AC$6:$AC$505,"&lt;="&amp;$A181,実績!$AD$6:$AD$505,"&gt;"&amp;$A181,実績!$AE$6:$AE$505,"○")&gt;0,1,0))</f>
        <v/>
      </c>
      <c r="AI181">
        <f>IF(AI$4=0,0,IF(COUNTIFS(実績!$W$6:$W$505,AI$3,実績!$AC$6:$AC$505,"&lt;="&amp;$A181,実績!$AD$6:$AD$505,"&gt;"&amp;$A181,実績!$AE$6:$AE$505,"○")&gt;0,1,0))</f>
        <v/>
      </c>
      <c r="AJ181">
        <f>IF(AJ$4=0,0,IF(COUNTIFS(実績!$W$6:$W$505,AJ$3,実績!$AC$6:$AC$505,"&lt;="&amp;$A181,実績!$AD$6:$AD$505,"&gt;"&amp;$A181,実績!$AE$6:$AE$505,"○")&gt;0,1,0))</f>
        <v/>
      </c>
      <c r="AK181">
        <f>IF(AK$4=0,0,IF(COUNTIFS(実績!$W$6:$W$505,AK$3,実績!$AC$6:$AC$505,"&lt;="&amp;$A181,実績!$AD$6:$AD$505,"&gt;"&amp;$A181,実績!$AE$6:$AE$505,"○")&gt;0,1,0))</f>
        <v/>
      </c>
      <c r="AL181">
        <f>IF(AL$4=0,0,IF(COUNTIFS(実績!$W$6:$W$505,AL$3,実績!$AC$6:$AC$505,"&lt;="&amp;$A181,実績!$AD$6:$AD$505,"&gt;"&amp;$A181,実績!$AE$6:$AE$505,"○")&gt;0,1,0))</f>
        <v/>
      </c>
      <c r="AM181">
        <f>IF(AM$4=0,0,IF(COUNTIFS(実績!$W$6:$W$505,AM$3,実績!$AC$6:$AC$505,"&lt;="&amp;$A181,実績!$AD$6:$AD$505,"&gt;"&amp;$A181,実績!$AE$6:$AE$505,"○")&gt;0,1,0))</f>
        <v/>
      </c>
      <c r="AN181">
        <f>IF(AN$4=0,0,IF(COUNTIFS(実績!$W$6:$W$505,AN$3,実績!$AC$6:$AC$505,"&lt;="&amp;$A181,実績!$AD$6:$AD$505,"&gt;"&amp;$A181,実績!$AE$6:$AE$505,"○")&gt;0,1,0))</f>
        <v/>
      </c>
      <c r="AO181">
        <f>IF(AO$4=0,0,IF(COUNTIFS(実績!$W$6:$W$505,AO$3,実績!$AC$6:$AC$505,"&lt;="&amp;$A181,実績!$AD$6:$AD$505,"&gt;"&amp;$A181,実績!$AE$6:$AE$505,"○")&gt;0,1,0))</f>
        <v/>
      </c>
      <c r="AP181">
        <f>IF(AP$4=0,0,IF(COUNTIFS(実績!$W$6:$W$505,AP$3,実績!$AC$6:$AC$505,"&lt;="&amp;$A181,実績!$AD$6:$AD$505,"&gt;"&amp;$A181,実績!$AE$6:$AE$505,"○")&gt;0,1,0))</f>
        <v/>
      </c>
      <c r="AQ181">
        <f>IF(AQ$4=0,0,IF(COUNTIFS(実績!$W$6:$W$505,AQ$3,実績!$AC$6:$AC$505,"&lt;="&amp;$A181,実績!$AD$6:$AD$505,"&gt;"&amp;$A181,実績!$AE$6:$AE$505,"○")&gt;0,1,0))</f>
        <v/>
      </c>
      <c r="AR181">
        <f>IF(AR$4=0,0,IF(COUNTIFS(実績!$W$6:$W$505,AR$3,実績!$AC$6:$AC$505,"&lt;="&amp;$A181,実績!$AD$6:$AD$505,"&gt;"&amp;$A181,実績!$AE$6:$AE$505,"○")&gt;0,1,0))</f>
        <v/>
      </c>
      <c r="AS181">
        <f>IF(AS$4=0,0,IF(COUNTIFS(実績!$W$6:$W$505,AS$3,実績!$AC$6:$AC$505,"&lt;="&amp;$A181,実績!$AD$6:$AD$505,"&gt;"&amp;$A181,実績!$AE$6:$AE$505,"○")&gt;0,1,0))</f>
        <v/>
      </c>
      <c r="AT181">
        <f>IF(AT$4=0,0,IF(COUNTIFS(実績!$W$6:$W$505,AT$3,実績!$AC$6:$AC$505,"&lt;="&amp;$A181,実績!$AD$6:$AD$505,"&gt;"&amp;$A181,実績!$AE$6:$AE$505,"○")&gt;0,1,0))</f>
        <v/>
      </c>
      <c r="AU181">
        <f>IF(AU$4=0,0,IF(COUNTIFS(実績!$W$6:$W$505,AU$3,実績!$AC$6:$AC$505,"&lt;="&amp;$A181,実績!$AD$6:$AD$505,"&gt;"&amp;$A181,実績!$AE$6:$AE$505,"○")&gt;0,1,0))</f>
        <v/>
      </c>
      <c r="AV181">
        <f>IF(AV$4=0,0,IF(COUNTIFS(実績!$W$6:$W$505,AV$3,実績!$AC$6:$AC$505,"&lt;="&amp;$A181,実績!$AD$6:$AD$505,"&gt;"&amp;$A181,実績!$AE$6:$AE$505,"○")&gt;0,1,0))</f>
        <v/>
      </c>
      <c r="AW181">
        <f>IF(AW$4=0,0,IF(COUNTIFS(実績!$W$6:$W$505,AW$3,実績!$AC$6:$AC$505,"&lt;="&amp;$A181,実績!$AD$6:$AD$505,"&gt;"&amp;$A181,実績!$AE$6:$AE$505,"○")&gt;0,1,0))</f>
        <v/>
      </c>
      <c r="AX181">
        <f>IF(AX$4=0,0,IF(COUNTIFS(実績!$W$6:$W$505,AX$3,実績!$AC$6:$AC$505,"&lt;="&amp;$A181,実績!$AD$6:$AD$505,"&gt;"&amp;$A181,実績!$AE$6:$AE$505,"○")&gt;0,1,0))</f>
        <v/>
      </c>
      <c r="AY181">
        <f>IF(AY$4=0,0,IF(COUNTIFS(実績!$W$6:$W$505,AY$3,実績!$AC$6:$AC$505,"&lt;="&amp;$A181,実績!$AD$6:$AD$505,"&gt;"&amp;$A181,実績!$AE$6:$AE$505,"○")&gt;0,1,0))</f>
        <v/>
      </c>
      <c r="AZ181">
        <f>IF(AZ$4=0,0,IF(COUNTIFS(実績!$W$6:$W$505,AZ$3,実績!$AC$6:$AC$505,"&lt;="&amp;$A181,実績!$AD$6:$AD$505,"&gt;"&amp;$A181,実績!$AE$6:$AE$505,"○")&gt;0,1,0))</f>
        <v/>
      </c>
      <c r="BA181">
        <f>IF(BA$4=0,0,IF(COUNTIFS(実績!$W$6:$W$505,BA$3,実績!$AC$6:$AC$505,"&lt;="&amp;$A181,実績!$AD$6:$AD$505,"&gt;"&amp;$A181,実績!$AE$6:$AE$505,"○")&gt;0,1,0))</f>
        <v/>
      </c>
      <c r="BB181">
        <f>IF(BB$4=0,0,IF(COUNTIFS(実績!$W$6:$W$505,BB$3,実績!$AC$6:$AC$505,"&lt;="&amp;$A181,実績!$AD$6:$AD$505,"&gt;"&amp;$A181,実績!$AE$6:$AE$505,"○")&gt;0,1,0))</f>
        <v/>
      </c>
      <c r="BC181">
        <f>IF(BC$4=0,0,IF(COUNTIFS(実績!$W$6:$W$505,BC$3,実績!$AC$6:$AC$505,"&lt;="&amp;$A181,実績!$AD$6:$AD$505,"&gt;"&amp;$A181,実績!$AE$6:$AE$505,"○")&gt;0,1,0))</f>
        <v/>
      </c>
      <c r="BD181">
        <f>IF(BD$4=0,0,IF(COUNTIFS(実績!$W$6:$W$505,BD$3,実績!$AC$6:$AC$505,"&lt;="&amp;$A181,実績!$AD$6:$AD$505,"&gt;"&amp;$A181,実績!$AE$6:$AE$505,"○")&gt;0,1,0))</f>
        <v/>
      </c>
      <c r="BE181">
        <f>IF(BE$4=0,0,IF(COUNTIFS(実績!$W$6:$W$505,BE$3,実績!$AC$6:$AC$505,"&lt;="&amp;$A181,実績!$AD$6:$AD$505,"&gt;"&amp;$A181,実績!$AE$6:$AE$505,"○")&gt;0,1,0))</f>
        <v/>
      </c>
      <c r="BF181">
        <f>IF(BF$4=0,0,IF(COUNTIFS(実績!$W$6:$W$505,BF$3,実績!$AC$6:$AC$505,"&lt;="&amp;$A181,実績!$AD$6:$AD$505,"&gt;"&amp;$A181,実績!$AE$6:$AE$505,"○")&gt;0,1,0))</f>
        <v/>
      </c>
      <c r="BG181">
        <f>IF(BG$4=0,0,IF(COUNTIFS(実績!$W$6:$W$505,BG$3,実績!$AC$6:$AC$505,"&lt;="&amp;$A181,実績!$AD$6:$AD$505,"&gt;"&amp;$A181,実績!$AE$6:$AE$505,"○")&gt;0,1,0))</f>
        <v/>
      </c>
      <c r="BH181">
        <f>IF(BH$4=0,0,IF(COUNTIFS(実績!$W$6:$W$505,BH$3,実績!$AC$6:$AC$505,"&lt;="&amp;$A181,実績!$AD$6:$AD$505,"&gt;"&amp;$A181,実績!$AE$6:$AE$505,"○")&gt;0,1,0))</f>
        <v/>
      </c>
      <c r="BI181">
        <f>IF(BI$4=0,0,IF(COUNTIFS(実績!$W$6:$W$505,BI$3,実績!$AC$6:$AC$505,"&lt;="&amp;$A181,実績!$AD$6:$AD$505,"&gt;"&amp;$A181,実績!$AE$6:$AE$505,"○")&gt;0,1,0))</f>
        <v/>
      </c>
      <c r="BJ181">
        <f>IF(BJ$4=0,0,IF(COUNTIFS(実績!$W$6:$W$505,BJ$3,実績!$AC$6:$AC$505,"&lt;="&amp;$A181,実績!$AD$6:$AD$505,"&gt;"&amp;$A181,実績!$AE$6:$AE$505,"○")&gt;0,1,0))</f>
        <v/>
      </c>
      <c r="BK181">
        <f>IF(BK$4=0,0,IF(COUNTIFS(実績!$W$6:$W$505,BK$3,実績!$AC$6:$AC$505,"&lt;="&amp;$A181,実績!$AD$6:$AD$505,"&gt;"&amp;$A181,実績!$AE$6:$AE$505,"○")&gt;0,1,0))</f>
        <v/>
      </c>
      <c r="BL181">
        <f>IF(BL$4=0,0,IF(COUNTIFS(実績!$W$6:$W$505,BL$3,実績!$AC$6:$AC$505,"&lt;="&amp;$A181,実績!$AD$6:$AD$505,"&gt;"&amp;$A181,実績!$AE$6:$AE$505,"○")&gt;0,1,0))</f>
        <v/>
      </c>
      <c r="BM181">
        <f>IF(BM$4=0,0,IF(COUNTIFS(実績!$W$6:$W$505,BM$3,実績!$AC$6:$AC$505,"&lt;="&amp;$A181,実績!$AD$6:$AD$505,"&gt;"&amp;$A181,実績!$AE$6:$AE$505,"○")&gt;0,1,0))</f>
        <v/>
      </c>
      <c r="BN181">
        <f>IF(BN$4=0,0,IF(COUNTIFS(実績!$W$6:$W$505,BN$3,実績!$AC$6:$AC$505,"&lt;="&amp;$A181,実績!$AD$6:$AD$505,"&gt;"&amp;$A181,実績!$AE$6:$AE$505,"○")&gt;0,1,0))</f>
        <v/>
      </c>
      <c r="BO181">
        <f>IF(BO$4=0,0,IF(COUNTIFS(実績!$W$6:$W$505,BO$3,実績!$AC$6:$AC$505,"&lt;="&amp;$A181,実績!$AD$6:$AD$505,"&gt;"&amp;$A181,実績!$AE$6:$AE$505,"○")&gt;0,1,0))</f>
        <v/>
      </c>
      <c r="BP181">
        <f>IF(BP$4=0,0,IF(COUNTIFS(実績!$W$6:$W$505,BP$3,実績!$AC$6:$AC$505,"&lt;="&amp;$A181,実績!$AD$6:$AD$505,"&gt;"&amp;$A181,実績!$AE$6:$AE$505,"○")&gt;0,1,0))</f>
        <v/>
      </c>
      <c r="BQ181">
        <f>IF(BQ$4=0,0,IF(COUNTIFS(実績!$W$6:$W$505,BQ$3,実績!$AC$6:$AC$505,"&lt;="&amp;$A181,実績!$AD$6:$AD$505,"&gt;"&amp;$A181,実績!$AE$6:$AE$505,"○")&gt;0,1,0))</f>
        <v/>
      </c>
      <c r="BR181">
        <f>IF(BR$4=0,0,IF(COUNTIFS(実績!$W$6:$W$505,BR$3,実績!$AC$6:$AC$505,"&lt;="&amp;$A181,実績!$AD$6:$AD$505,"&gt;"&amp;$A181,実績!$AE$6:$AE$505,"○")&gt;0,1,0))</f>
        <v/>
      </c>
      <c r="BS181">
        <f>IF(BS$4=0,0,IF(COUNTIFS(実績!$W$6:$W$505,BS$3,実績!$AC$6:$AC$505,"&lt;="&amp;$A181,実績!$AD$6:$AD$505,"&gt;"&amp;$A181,実績!$AE$6:$AE$505,"○")&gt;0,1,0))</f>
        <v/>
      </c>
      <c r="BT181">
        <f>IF(BT$4=0,0,IF(COUNTIFS(実績!$W$6:$W$505,BT$3,実績!$AC$6:$AC$505,"&lt;="&amp;$A181,実績!$AD$6:$AD$505,"&gt;"&amp;$A181,実績!$AE$6:$AE$505,"○")&gt;0,1,0))</f>
        <v/>
      </c>
      <c r="BU181">
        <f>IF(BU$4=0,0,IF(COUNTIFS(実績!$W$6:$W$505,BU$3,実績!$AC$6:$AC$505,"&lt;="&amp;$A181,実績!$AD$6:$AD$505,"&gt;"&amp;$A181,実績!$AE$6:$AE$505,"○")&gt;0,1,0))</f>
        <v/>
      </c>
      <c r="BV181">
        <f>IF(BV$4=0,0,IF(COUNTIFS(実績!$W$6:$W$505,BV$3,実績!$AC$6:$AC$505,"&lt;="&amp;$A181,実績!$AD$6:$AD$505,"&gt;"&amp;$A181,実績!$AE$6:$AE$505,"○")&gt;0,1,0))</f>
        <v/>
      </c>
      <c r="BW181">
        <f>IF(BW$4=0,0,IF(COUNTIFS(実績!$W$6:$W$505,BW$3,実績!$AC$6:$AC$505,"&lt;="&amp;$A181,実績!$AD$6:$AD$505,"&gt;"&amp;$A181,実績!$AE$6:$AE$505,"○")&gt;0,1,0))</f>
        <v/>
      </c>
      <c r="BX181">
        <f>IF(BX$4=0,0,IF(COUNTIFS(実績!$W$6:$W$505,BX$3,実績!$AC$6:$AC$505,"&lt;="&amp;$A181,実績!$AD$6:$AD$505,"&gt;"&amp;$A181,実績!$AE$6:$AE$505,"○")&gt;0,1,0))</f>
        <v/>
      </c>
      <c r="BY181">
        <f>IF(BY$4=0,0,IF(COUNTIFS(実績!$W$6:$W$505,BY$3,実績!$AC$6:$AC$505,"&lt;="&amp;$A181,実績!$AD$6:$AD$505,"&gt;"&amp;$A181,実績!$AE$6:$AE$505,"○")&gt;0,1,0))</f>
        <v/>
      </c>
      <c r="BZ181">
        <f>IF(BZ$4=0,0,IF(COUNTIFS(実績!$W$6:$W$505,BZ$3,実績!$AC$6:$AC$505,"&lt;="&amp;$A181,実績!$AD$6:$AD$505,"&gt;"&amp;$A181,実績!$AE$6:$AE$505,"○")&gt;0,1,0))</f>
        <v/>
      </c>
      <c r="CA181">
        <f>IF(CA$4=0,0,IF(COUNTIFS(実績!$W$6:$W$505,CA$3,実績!$AC$6:$AC$505,"&lt;="&amp;$A181,実績!$AD$6:$AD$505,"&gt;"&amp;$A181,実績!$AE$6:$AE$505,"○")&gt;0,1,0))</f>
        <v/>
      </c>
      <c r="CB181">
        <f>IF(CB$4=0,0,IF(COUNTIFS(実績!$W$6:$W$505,CB$3,実績!$AC$6:$AC$505,"&lt;="&amp;$A181,実績!$AD$6:$AD$505,"&gt;"&amp;$A181,実績!$AE$6:$AE$505,"○")&gt;0,1,0))</f>
        <v/>
      </c>
      <c r="CC181">
        <f>IF(CC$4=0,0,IF(COUNTIFS(実績!$W$6:$W$505,CC$3,実績!$AC$6:$AC$505,"&lt;="&amp;$A181,実績!$AD$6:$AD$505,"&gt;"&amp;$A181,実績!$AE$6:$AE$505,"○")&gt;0,1,0))</f>
        <v/>
      </c>
      <c r="CD181">
        <f>IF(CD$4=0,0,IF(COUNTIFS(実績!$W$6:$W$505,CD$3,実績!$AC$6:$AC$505,"&lt;="&amp;$A181,実績!$AD$6:$AD$505,"&gt;"&amp;$A181,実績!$AE$6:$AE$505,"○")&gt;0,1,0))</f>
        <v/>
      </c>
      <c r="CE181">
        <f>IF(CE$4=0,0,IF(COUNTIFS(実績!$W$6:$W$505,CE$3,実績!$AC$6:$AC$505,"&lt;="&amp;$A181,実績!$AD$6:$AD$505,"&gt;"&amp;$A181,実績!$AE$6:$AE$505,"○")&gt;0,1,0))</f>
        <v/>
      </c>
      <c r="CF181">
        <f>IF(CF$4=0,0,IF(COUNTIFS(実績!$W$6:$W$505,CF$3,実績!$AC$6:$AC$505,"&lt;="&amp;$A181,実績!$AD$6:$AD$505,"&gt;"&amp;$A181,実績!$AE$6:$AE$505,"○")&gt;0,1,0))</f>
        <v/>
      </c>
      <c r="CG181">
        <f>IF(CG$4=0,0,IF(COUNTIFS(実績!$W$6:$W$505,CG$3,実績!$AC$6:$AC$505,"&lt;="&amp;$A181,実績!$AD$6:$AD$505,"&gt;"&amp;$A181,実績!$AE$6:$AE$505,"○")&gt;0,1,0))</f>
        <v/>
      </c>
      <c r="CH181">
        <f>IF(CH$4=0,0,IF(COUNTIFS(実績!$W$6:$W$505,CH$3,実績!$AC$6:$AC$505,"&lt;="&amp;$A181,実績!$AD$6:$AD$505,"&gt;"&amp;$A181,実績!$AE$6:$AE$505,"○")&gt;0,1,0))</f>
        <v/>
      </c>
      <c r="CI181">
        <f>IF(CI$4=0,0,IF(COUNTIFS(実績!$W$6:$W$505,CI$3,実績!$AC$6:$AC$505,"&lt;="&amp;$A181,実績!$AD$6:$AD$505,"&gt;"&amp;$A181,実績!$AE$6:$AE$505,"○")&gt;0,1,0))</f>
        <v/>
      </c>
      <c r="CJ181">
        <f>IF(CJ$4=0,0,IF(COUNTIFS(実績!$W$6:$W$505,CJ$3,実績!$AC$6:$AC$505,"&lt;="&amp;$A181,実績!$AD$6:$AD$505,"&gt;"&amp;$A181,実績!$AE$6:$AE$505,"○")&gt;0,1,0))</f>
        <v/>
      </c>
      <c r="CK181">
        <f>IF(CK$4=0,0,IF(COUNTIFS(実績!$W$6:$W$505,CK$3,実績!$AC$6:$AC$505,"&lt;="&amp;$A181,実績!$AD$6:$AD$505,"&gt;"&amp;$A181,実績!$AE$6:$AE$505,"○")&gt;0,1,0))</f>
        <v/>
      </c>
      <c r="CL181">
        <f>IF(CL$4=0,0,IF(COUNTIFS(実績!$W$6:$W$505,CL$3,実績!$AC$6:$AC$505,"&lt;="&amp;$A181,実績!$AD$6:$AD$505,"&gt;"&amp;$A181,実績!$AE$6:$AE$505,"○")&gt;0,1,0))</f>
        <v/>
      </c>
      <c r="CM181">
        <f>IF(CM$4=0,0,IF(COUNTIFS(実績!$W$6:$W$505,CM$3,実績!$AC$6:$AC$505,"&lt;="&amp;$A181,実績!$AD$6:$AD$505,"&gt;"&amp;$A181,実績!$AE$6:$AE$505,"○")&gt;0,1,0))</f>
        <v/>
      </c>
      <c r="CN181">
        <f>IF(CN$4=0,0,IF(COUNTIFS(実績!$W$6:$W$505,CN$3,実績!$AC$6:$AC$505,"&lt;="&amp;$A181,実績!$AD$6:$AD$505,"&gt;"&amp;$A181,実績!$AE$6:$AE$505,"○")&gt;0,1,0))</f>
        <v/>
      </c>
      <c r="CO181">
        <f>IF(CO$4=0,0,IF(COUNTIFS(実績!$W$6:$W$505,CO$3,実績!$AC$6:$AC$505,"&lt;="&amp;$A181,実績!$AD$6:$AD$505,"&gt;"&amp;$A181,実績!$AE$6:$AE$505,"○")&gt;0,1,0))</f>
        <v/>
      </c>
      <c r="CP181">
        <f>IF(CP$4=0,0,IF(COUNTIFS(実績!$W$6:$W$505,CP$3,実績!$AC$6:$AC$505,"&lt;="&amp;$A181,実績!$AD$6:$AD$505,"&gt;"&amp;$A181,実績!$AE$6:$AE$505,"○")&gt;0,1,0))</f>
        <v/>
      </c>
      <c r="CQ181">
        <f>IF(CQ$4=0,0,IF(COUNTIFS(実績!$W$6:$W$505,CQ$3,実績!$AC$6:$AC$505,"&lt;="&amp;$A181,実績!$AD$6:$AD$505,"&gt;"&amp;$A181,実績!$AE$6:$AE$505,"○")&gt;0,1,0))</f>
        <v/>
      </c>
      <c r="CR181">
        <f>IF(CR$4=0,0,IF(COUNTIFS(実績!$W$6:$W$505,CR$3,実績!$AC$6:$AC$505,"&lt;="&amp;$A181,実績!$AD$6:$AD$505,"&gt;"&amp;$A181,実績!$AE$6:$AE$505,"○")&gt;0,1,0))</f>
        <v/>
      </c>
      <c r="CS181">
        <f>IF(CS$4=0,0,IF(COUNTIFS(実績!$W$6:$W$505,CS$3,実績!$AC$6:$AC$505,"&lt;="&amp;$A181,実績!$AD$6:$AD$505,"&gt;"&amp;$A181,実績!$AE$6:$AE$505,"○")&gt;0,1,0))</f>
        <v/>
      </c>
      <c r="CT181">
        <f>IF(CT$4=0,0,IF(COUNTIFS(実績!$W$6:$W$505,CT$3,実績!$AC$6:$AC$505,"&lt;="&amp;$A181,実績!$AD$6:$AD$505,"&gt;"&amp;$A181,実績!$AE$6:$AE$505,"○")&gt;0,1,0))</f>
        <v/>
      </c>
      <c r="CU181">
        <f>IF(CU$4=0,0,IF(COUNTIFS(実績!$W$6:$W$505,CU$3,実績!$AC$6:$AC$505,"&lt;="&amp;$A181,実績!$AD$6:$AD$505,"&gt;"&amp;$A181,実績!$AE$6:$AE$505,"○")&gt;0,1,0))</f>
        <v/>
      </c>
      <c r="CV181">
        <f>IF(CV$4=0,0,IF(COUNTIFS(実績!$W$6:$W$505,CV$3,実績!$AC$6:$AC$505,"&lt;="&amp;$A181,実績!$AD$6:$AD$505,"&gt;"&amp;$A181,実績!$AE$6:$AE$505,"○")&gt;0,1,0))</f>
        <v/>
      </c>
      <c r="CW181">
        <f>IF(CW$4=0,0,IF(COUNTIFS(実績!$W$6:$W$505,CW$3,実績!$AC$6:$AC$505,"&lt;="&amp;$A181,実績!$AD$6:$AD$505,"&gt;"&amp;$A181,実績!$AE$6:$AE$505,"○")&gt;0,1,0))</f>
        <v/>
      </c>
      <c r="CX181">
        <f>IF(CX$4=0,0,IF(COUNTIFS(実績!$W$6:$W$505,CX$3,実績!$AC$6:$AC$505,"&lt;="&amp;$A181,実績!$AD$6:$AD$505,"&gt;"&amp;$A181,実績!$AE$6:$AE$505,"○")&gt;0,1,0))</f>
        <v/>
      </c>
      <c r="CY181">
        <f>IF(CY$4=0,0,IF(COUNTIFS(実績!$W$6:$W$505,CY$3,実績!$AC$6:$AC$505,"&lt;="&amp;$A181,実績!$AD$6:$AD$505,"&gt;"&amp;$A181,実績!$AE$6:$AE$505,"○")&gt;0,1,0))</f>
        <v/>
      </c>
      <c r="CZ181">
        <f>IF(CZ$4=0,0,IF(COUNTIFS(実績!$W$6:$W$505,CZ$3,実績!$AC$6:$AC$505,"&lt;="&amp;$A181,実績!$AD$6:$AD$505,"&gt;"&amp;$A181,実績!$AE$6:$AE$505,"○")&gt;0,1,0))</f>
        <v/>
      </c>
      <c r="DA181">
        <f>IF(DA$4=0,0,IF(COUNTIFS(実績!$W$6:$W$505,DA$3,実績!$AC$6:$AC$505,"&lt;="&amp;$A181,実績!$AD$6:$AD$505,"&gt;"&amp;$A181,実績!$AE$6:$AE$505,"○")&gt;0,1,0))</f>
        <v/>
      </c>
      <c r="DB181">
        <f>IF(DB$4=0,0,IF(COUNTIFS(実績!$W$6:$W$505,DB$3,実績!$AC$6:$AC$505,"&lt;="&amp;$A181,実績!$AD$6:$AD$505,"&gt;"&amp;$A181,実績!$AE$6:$AE$505,"○")&gt;0,1,0))</f>
        <v/>
      </c>
      <c r="DC181">
        <f>IF(DC$4=0,0,IF(COUNTIFS(実績!$W$6:$W$505,DC$3,実績!$AC$6:$AC$505,"&lt;="&amp;$A181,実績!$AD$6:$AD$505,"&gt;"&amp;$A181,実績!$AE$6:$AE$505,"○")&gt;0,1,0))</f>
        <v/>
      </c>
      <c r="DD181">
        <f>IF(DD$4=0,0,IF(COUNTIFS(実績!$W$6:$W$505,DD$3,実績!$AC$6:$AC$505,"&lt;="&amp;$A181,実績!$AD$6:$AD$505,"&gt;"&amp;$A181,実績!$AE$6:$AE$505,"○")&gt;0,1,0))</f>
        <v/>
      </c>
      <c r="DE181">
        <f>IF(DE$4=0,0,IF(COUNTIFS(実績!$W$6:$W$505,DE$3,実績!$AC$6:$AC$505,"&lt;="&amp;$A181,実績!$AD$6:$AD$505,"&gt;"&amp;$A181,実績!$AE$6:$AE$505,"○")&gt;0,1,0))</f>
        <v/>
      </c>
      <c r="DF181">
        <f>IF(DF$4=0,0,IF(COUNTIFS(実績!$W$6:$W$505,DF$3,実績!$AC$6:$AC$505,"&lt;="&amp;$A181,実績!$AD$6:$AD$505,"&gt;"&amp;$A181,実績!$AE$6:$AE$505,"○")&gt;0,1,0))</f>
        <v/>
      </c>
      <c r="DG181">
        <f>IF(DG$4=0,0,IF(COUNTIFS(実績!$W$6:$W$505,DG$3,実績!$AC$6:$AC$505,"&lt;="&amp;$A181,実績!$AD$6:$AD$505,"&gt;"&amp;$A181,実績!$AE$6:$AE$505,"○")&gt;0,1,0))</f>
        <v/>
      </c>
      <c r="DH181">
        <f>IF(DH$4=0,0,IF(COUNTIFS(実績!$W$6:$W$505,DH$3,実績!$AC$6:$AC$505,"&lt;="&amp;$A181,実績!$AD$6:$AD$505,"&gt;"&amp;$A181,実績!$AE$6:$AE$505,"○")&gt;0,1,0))</f>
        <v/>
      </c>
      <c r="DI181">
        <f>IF(DI$4=0,0,IF(COUNTIFS(実績!$W$6:$W$505,DI$3,実績!$AC$6:$AC$505,"&lt;="&amp;$A181,実績!$AD$6:$AD$505,"&gt;"&amp;$A181,実績!$AE$6:$AE$505,"○")&gt;0,1,0))</f>
        <v/>
      </c>
      <c r="DJ181">
        <f>IF(DJ$4=0,0,IF(COUNTIFS(実績!$W$6:$W$505,DJ$3,実績!$AC$6:$AC$505,"&lt;="&amp;$A181,実績!$AD$6:$AD$505,"&gt;"&amp;$A181,実績!$AE$6:$AE$505,"○")&gt;0,1,0))</f>
        <v/>
      </c>
      <c r="DK181">
        <f>IF(DK$4=0,0,IF(COUNTIFS(実績!$W$6:$W$505,DK$3,実績!$AC$6:$AC$505,"&lt;="&amp;$A181,実績!$AD$6:$AD$505,"&gt;"&amp;$A181,実績!$AE$6:$AE$505,"○")&gt;0,1,0))</f>
        <v/>
      </c>
      <c r="DL181">
        <f>IF(DL$4=0,0,IF(COUNTIFS(実績!$W$6:$W$505,DL$3,実績!$AC$6:$AC$505,"&lt;="&amp;$A181,実績!$AD$6:$AD$505,"&gt;"&amp;$A181,実績!$AE$6:$AE$505,"○")&gt;0,1,0))</f>
        <v/>
      </c>
      <c r="DM181">
        <f>IF(DM$4=0,0,IF(COUNTIFS(実績!$W$6:$W$505,DM$3,実績!$AC$6:$AC$505,"&lt;="&amp;$A181,実績!$AD$6:$AD$505,"&gt;"&amp;$A181,実績!$AE$6:$AE$505,"○")&gt;0,1,0))</f>
        <v/>
      </c>
      <c r="DN181">
        <f>IF(DN$4=0,0,IF(COUNTIFS(実績!$W$6:$W$505,DN$3,実績!$AC$6:$AC$505,"&lt;="&amp;$A181,実績!$AD$6:$AD$505,"&gt;"&amp;$A181,実績!$AE$6:$AE$505,"○")&gt;0,1,0))</f>
        <v/>
      </c>
      <c r="DO181">
        <f>IF(DO$4=0,0,IF(COUNTIFS(実績!$W$6:$W$505,DO$3,実績!$AC$6:$AC$505,"&lt;="&amp;$A181,実績!$AD$6:$AD$505,"&gt;"&amp;$A181,実績!$AE$6:$AE$505,"○")&gt;0,1,0))</f>
        <v/>
      </c>
      <c r="DP181">
        <f>IF(DP$4=0,0,IF(COUNTIFS(実績!$W$6:$W$505,DP$3,実績!$AC$6:$AC$505,"&lt;="&amp;$A181,実績!$AD$6:$AD$505,"&gt;"&amp;$A181,実績!$AE$6:$AE$505,"○")&gt;0,1,0))</f>
        <v/>
      </c>
      <c r="DQ181">
        <f>IF(DQ$4=0,0,IF(COUNTIFS(実績!$W$6:$W$505,DQ$3,実績!$AC$6:$AC$505,"&lt;="&amp;$A181,実績!$AD$6:$AD$505,"&gt;"&amp;$A181,実績!$AE$6:$AE$505,"○")&gt;0,1,0))</f>
        <v/>
      </c>
      <c r="DR181">
        <f>IF(DR$4=0,0,IF(COUNTIFS(実績!$W$6:$W$505,DR$3,実績!$AC$6:$AC$505,"&lt;="&amp;$A181,実績!$AD$6:$AD$505,"&gt;"&amp;$A181,実績!$AE$6:$AE$505,"○")&gt;0,1,0))</f>
        <v/>
      </c>
      <c r="DS181">
        <f>SUM(C181:DR181)</f>
        <v/>
      </c>
      <c r="DT181">
        <f>SUMPRODUCT((実績!$C$6:$C$505="○")*ISNUMBER(実績!$AF$6:$AF$505)*(実績!$AF$6:$AF$505&lt;=$A181)*(実績!$AG$6:$AG$505&gt;$A181))</f>
        <v/>
      </c>
      <c r="DU181">
        <f>SUMIF($C$2:$DR$2,"製鉄曳船",C181:DR181)</f>
        <v/>
      </c>
      <c r="DV181">
        <f>SUMIF($C$2:$DR$2,"西日本海運",C181:DR181)</f>
        <v/>
      </c>
    </row>
    <row r="182">
      <c r="A182" t="n">
        <v>880</v>
      </c>
      <c r="B182" s="29">
        <f>A182/1440</f>
        <v/>
      </c>
      <c r="C182">
        <f>IF(C$4=0,0,IF(COUNTIFS(実績!$W$6:$W$505,C$3,実績!$AC$6:$AC$505,"&lt;="&amp;$A182,実績!$AD$6:$AD$505,"&gt;"&amp;$A182,実績!$AE$6:$AE$505,"○")&gt;0,1,0))</f>
        <v/>
      </c>
      <c r="D182">
        <f>IF(D$4=0,0,IF(COUNTIFS(実績!$W$6:$W$505,D$3,実績!$AC$6:$AC$505,"&lt;="&amp;$A182,実績!$AD$6:$AD$505,"&gt;"&amp;$A182,実績!$AE$6:$AE$505,"○")&gt;0,1,0))</f>
        <v/>
      </c>
      <c r="E182">
        <f>IF(E$4=0,0,IF(COUNTIFS(実績!$W$6:$W$505,E$3,実績!$AC$6:$AC$505,"&lt;="&amp;$A182,実績!$AD$6:$AD$505,"&gt;"&amp;$A182,実績!$AE$6:$AE$505,"○")&gt;0,1,0))</f>
        <v/>
      </c>
      <c r="F182">
        <f>IF(F$4=0,0,IF(COUNTIFS(実績!$W$6:$W$505,F$3,実績!$AC$6:$AC$505,"&lt;="&amp;$A182,実績!$AD$6:$AD$505,"&gt;"&amp;$A182,実績!$AE$6:$AE$505,"○")&gt;0,1,0))</f>
        <v/>
      </c>
      <c r="G182">
        <f>IF(G$4=0,0,IF(COUNTIFS(実績!$W$6:$W$505,G$3,実績!$AC$6:$AC$505,"&lt;="&amp;$A182,実績!$AD$6:$AD$505,"&gt;"&amp;$A182,実績!$AE$6:$AE$505,"○")&gt;0,1,0))</f>
        <v/>
      </c>
      <c r="H182">
        <f>IF(H$4=0,0,IF(COUNTIFS(実績!$W$6:$W$505,H$3,実績!$AC$6:$AC$505,"&lt;="&amp;$A182,実績!$AD$6:$AD$505,"&gt;"&amp;$A182,実績!$AE$6:$AE$505,"○")&gt;0,1,0))</f>
        <v/>
      </c>
      <c r="I182">
        <f>IF(I$4=0,0,IF(COUNTIFS(実績!$W$6:$W$505,I$3,実績!$AC$6:$AC$505,"&lt;="&amp;$A182,実績!$AD$6:$AD$505,"&gt;"&amp;$A182,実績!$AE$6:$AE$505,"○")&gt;0,1,0))</f>
        <v/>
      </c>
      <c r="J182">
        <f>IF(J$4=0,0,IF(COUNTIFS(実績!$W$6:$W$505,J$3,実績!$AC$6:$AC$505,"&lt;="&amp;$A182,実績!$AD$6:$AD$505,"&gt;"&amp;$A182,実績!$AE$6:$AE$505,"○")&gt;0,1,0))</f>
        <v/>
      </c>
      <c r="K182">
        <f>IF(K$4=0,0,IF(COUNTIFS(実績!$W$6:$W$505,K$3,実績!$AC$6:$AC$505,"&lt;="&amp;$A182,実績!$AD$6:$AD$505,"&gt;"&amp;$A182,実績!$AE$6:$AE$505,"○")&gt;0,1,0))</f>
        <v/>
      </c>
      <c r="L182">
        <f>IF(L$4=0,0,IF(COUNTIFS(実績!$W$6:$W$505,L$3,実績!$AC$6:$AC$505,"&lt;="&amp;$A182,実績!$AD$6:$AD$505,"&gt;"&amp;$A182,実績!$AE$6:$AE$505,"○")&gt;0,1,0))</f>
        <v/>
      </c>
      <c r="M182">
        <f>IF(M$4=0,0,IF(COUNTIFS(実績!$W$6:$W$505,M$3,実績!$AC$6:$AC$505,"&lt;="&amp;$A182,実績!$AD$6:$AD$505,"&gt;"&amp;$A182,実績!$AE$6:$AE$505,"○")&gt;0,1,0))</f>
        <v/>
      </c>
      <c r="N182">
        <f>IF(N$4=0,0,IF(COUNTIFS(実績!$W$6:$W$505,N$3,実績!$AC$6:$AC$505,"&lt;="&amp;$A182,実績!$AD$6:$AD$505,"&gt;"&amp;$A182,実績!$AE$6:$AE$505,"○")&gt;0,1,0))</f>
        <v/>
      </c>
      <c r="O182">
        <f>IF(O$4=0,0,IF(COUNTIFS(実績!$W$6:$W$505,O$3,実績!$AC$6:$AC$505,"&lt;="&amp;$A182,実績!$AD$6:$AD$505,"&gt;"&amp;$A182,実績!$AE$6:$AE$505,"○")&gt;0,1,0))</f>
        <v/>
      </c>
      <c r="P182">
        <f>IF(P$4=0,0,IF(COUNTIFS(実績!$W$6:$W$505,P$3,実績!$AC$6:$AC$505,"&lt;="&amp;$A182,実績!$AD$6:$AD$505,"&gt;"&amp;$A182,実績!$AE$6:$AE$505,"○")&gt;0,1,0))</f>
        <v/>
      </c>
      <c r="Q182">
        <f>IF(Q$4=0,0,IF(COUNTIFS(実績!$W$6:$W$505,Q$3,実績!$AC$6:$AC$505,"&lt;="&amp;$A182,実績!$AD$6:$AD$505,"&gt;"&amp;$A182,実績!$AE$6:$AE$505,"○")&gt;0,1,0))</f>
        <v/>
      </c>
      <c r="R182">
        <f>IF(R$4=0,0,IF(COUNTIFS(実績!$W$6:$W$505,R$3,実績!$AC$6:$AC$505,"&lt;="&amp;$A182,実績!$AD$6:$AD$505,"&gt;"&amp;$A182,実績!$AE$6:$AE$505,"○")&gt;0,1,0))</f>
        <v/>
      </c>
      <c r="S182">
        <f>IF(S$4=0,0,IF(COUNTIFS(実績!$W$6:$W$505,S$3,実績!$AC$6:$AC$505,"&lt;="&amp;$A182,実績!$AD$6:$AD$505,"&gt;"&amp;$A182,実績!$AE$6:$AE$505,"○")&gt;0,1,0))</f>
        <v/>
      </c>
      <c r="T182">
        <f>IF(T$4=0,0,IF(COUNTIFS(実績!$W$6:$W$505,T$3,実績!$AC$6:$AC$505,"&lt;="&amp;$A182,実績!$AD$6:$AD$505,"&gt;"&amp;$A182,実績!$AE$6:$AE$505,"○")&gt;0,1,0))</f>
        <v/>
      </c>
      <c r="U182">
        <f>IF(U$4=0,0,IF(COUNTIFS(実績!$W$6:$W$505,U$3,実績!$AC$6:$AC$505,"&lt;="&amp;$A182,実績!$AD$6:$AD$505,"&gt;"&amp;$A182,実績!$AE$6:$AE$505,"○")&gt;0,1,0))</f>
        <v/>
      </c>
      <c r="V182">
        <f>IF(V$4=0,0,IF(COUNTIFS(実績!$W$6:$W$505,V$3,実績!$AC$6:$AC$505,"&lt;="&amp;$A182,実績!$AD$6:$AD$505,"&gt;"&amp;$A182,実績!$AE$6:$AE$505,"○")&gt;0,1,0))</f>
        <v/>
      </c>
      <c r="W182">
        <f>IF(W$4=0,0,IF(COUNTIFS(実績!$W$6:$W$505,W$3,実績!$AC$6:$AC$505,"&lt;="&amp;$A182,実績!$AD$6:$AD$505,"&gt;"&amp;$A182,実績!$AE$6:$AE$505,"○")&gt;0,1,0))</f>
        <v/>
      </c>
      <c r="X182">
        <f>IF(X$4=0,0,IF(COUNTIFS(実績!$W$6:$W$505,X$3,実績!$AC$6:$AC$505,"&lt;="&amp;$A182,実績!$AD$6:$AD$505,"&gt;"&amp;$A182,実績!$AE$6:$AE$505,"○")&gt;0,1,0))</f>
        <v/>
      </c>
      <c r="Y182">
        <f>IF(Y$4=0,0,IF(COUNTIFS(実績!$W$6:$W$505,Y$3,実績!$AC$6:$AC$505,"&lt;="&amp;$A182,実績!$AD$6:$AD$505,"&gt;"&amp;$A182,実績!$AE$6:$AE$505,"○")&gt;0,1,0))</f>
        <v/>
      </c>
      <c r="Z182">
        <f>IF(Z$4=0,0,IF(COUNTIFS(実績!$W$6:$W$505,Z$3,実績!$AC$6:$AC$505,"&lt;="&amp;$A182,実績!$AD$6:$AD$505,"&gt;"&amp;$A182,実績!$AE$6:$AE$505,"○")&gt;0,1,0))</f>
        <v/>
      </c>
      <c r="AA182">
        <f>IF(AA$4=0,0,IF(COUNTIFS(実績!$W$6:$W$505,AA$3,実績!$AC$6:$AC$505,"&lt;="&amp;$A182,実績!$AD$6:$AD$505,"&gt;"&amp;$A182,実績!$AE$6:$AE$505,"○")&gt;0,1,0))</f>
        <v/>
      </c>
      <c r="AB182">
        <f>IF(AB$4=0,0,IF(COUNTIFS(実績!$W$6:$W$505,AB$3,実績!$AC$6:$AC$505,"&lt;="&amp;$A182,実績!$AD$6:$AD$505,"&gt;"&amp;$A182,実績!$AE$6:$AE$505,"○")&gt;0,1,0))</f>
        <v/>
      </c>
      <c r="AC182">
        <f>IF(AC$4=0,0,IF(COUNTIFS(実績!$W$6:$W$505,AC$3,実績!$AC$6:$AC$505,"&lt;="&amp;$A182,実績!$AD$6:$AD$505,"&gt;"&amp;$A182,実績!$AE$6:$AE$505,"○")&gt;0,1,0))</f>
        <v/>
      </c>
      <c r="AD182">
        <f>IF(AD$4=0,0,IF(COUNTIFS(実績!$W$6:$W$505,AD$3,実績!$AC$6:$AC$505,"&lt;="&amp;$A182,実績!$AD$6:$AD$505,"&gt;"&amp;$A182,実績!$AE$6:$AE$505,"○")&gt;0,1,0))</f>
        <v/>
      </c>
      <c r="AE182">
        <f>IF(AE$4=0,0,IF(COUNTIFS(実績!$W$6:$W$505,AE$3,実績!$AC$6:$AC$505,"&lt;="&amp;$A182,実績!$AD$6:$AD$505,"&gt;"&amp;$A182,実績!$AE$6:$AE$505,"○")&gt;0,1,0))</f>
        <v/>
      </c>
      <c r="AF182">
        <f>IF(AF$4=0,0,IF(COUNTIFS(実績!$W$6:$W$505,AF$3,実績!$AC$6:$AC$505,"&lt;="&amp;$A182,実績!$AD$6:$AD$505,"&gt;"&amp;$A182,実績!$AE$6:$AE$505,"○")&gt;0,1,0))</f>
        <v/>
      </c>
      <c r="AG182">
        <f>IF(AG$4=0,0,IF(COUNTIFS(実績!$W$6:$W$505,AG$3,実績!$AC$6:$AC$505,"&lt;="&amp;$A182,実績!$AD$6:$AD$505,"&gt;"&amp;$A182,実績!$AE$6:$AE$505,"○")&gt;0,1,0))</f>
        <v/>
      </c>
      <c r="AH182">
        <f>IF(AH$4=0,0,IF(COUNTIFS(実績!$W$6:$W$505,AH$3,実績!$AC$6:$AC$505,"&lt;="&amp;$A182,実績!$AD$6:$AD$505,"&gt;"&amp;$A182,実績!$AE$6:$AE$505,"○")&gt;0,1,0))</f>
        <v/>
      </c>
      <c r="AI182">
        <f>IF(AI$4=0,0,IF(COUNTIFS(実績!$W$6:$W$505,AI$3,実績!$AC$6:$AC$505,"&lt;="&amp;$A182,実績!$AD$6:$AD$505,"&gt;"&amp;$A182,実績!$AE$6:$AE$505,"○")&gt;0,1,0))</f>
        <v/>
      </c>
      <c r="AJ182">
        <f>IF(AJ$4=0,0,IF(COUNTIFS(実績!$W$6:$W$505,AJ$3,実績!$AC$6:$AC$505,"&lt;="&amp;$A182,実績!$AD$6:$AD$505,"&gt;"&amp;$A182,実績!$AE$6:$AE$505,"○")&gt;0,1,0))</f>
        <v/>
      </c>
      <c r="AK182">
        <f>IF(AK$4=0,0,IF(COUNTIFS(実績!$W$6:$W$505,AK$3,実績!$AC$6:$AC$505,"&lt;="&amp;$A182,実績!$AD$6:$AD$505,"&gt;"&amp;$A182,実績!$AE$6:$AE$505,"○")&gt;0,1,0))</f>
        <v/>
      </c>
      <c r="AL182">
        <f>IF(AL$4=0,0,IF(COUNTIFS(実績!$W$6:$W$505,AL$3,実績!$AC$6:$AC$505,"&lt;="&amp;$A182,実績!$AD$6:$AD$505,"&gt;"&amp;$A182,実績!$AE$6:$AE$505,"○")&gt;0,1,0))</f>
        <v/>
      </c>
      <c r="AM182">
        <f>IF(AM$4=0,0,IF(COUNTIFS(実績!$W$6:$W$505,AM$3,実績!$AC$6:$AC$505,"&lt;="&amp;$A182,実績!$AD$6:$AD$505,"&gt;"&amp;$A182,実績!$AE$6:$AE$505,"○")&gt;0,1,0))</f>
        <v/>
      </c>
      <c r="AN182">
        <f>IF(AN$4=0,0,IF(COUNTIFS(実績!$W$6:$W$505,AN$3,実績!$AC$6:$AC$505,"&lt;="&amp;$A182,実績!$AD$6:$AD$505,"&gt;"&amp;$A182,実績!$AE$6:$AE$505,"○")&gt;0,1,0))</f>
        <v/>
      </c>
      <c r="AO182">
        <f>IF(AO$4=0,0,IF(COUNTIFS(実績!$W$6:$W$505,AO$3,実績!$AC$6:$AC$505,"&lt;="&amp;$A182,実績!$AD$6:$AD$505,"&gt;"&amp;$A182,実績!$AE$6:$AE$505,"○")&gt;0,1,0))</f>
        <v/>
      </c>
      <c r="AP182">
        <f>IF(AP$4=0,0,IF(COUNTIFS(実績!$W$6:$W$505,AP$3,実績!$AC$6:$AC$505,"&lt;="&amp;$A182,実績!$AD$6:$AD$505,"&gt;"&amp;$A182,実績!$AE$6:$AE$505,"○")&gt;0,1,0))</f>
        <v/>
      </c>
      <c r="AQ182">
        <f>IF(AQ$4=0,0,IF(COUNTIFS(実績!$W$6:$W$505,AQ$3,実績!$AC$6:$AC$505,"&lt;="&amp;$A182,実績!$AD$6:$AD$505,"&gt;"&amp;$A182,実績!$AE$6:$AE$505,"○")&gt;0,1,0))</f>
        <v/>
      </c>
      <c r="AR182">
        <f>IF(AR$4=0,0,IF(COUNTIFS(実績!$W$6:$W$505,AR$3,実績!$AC$6:$AC$505,"&lt;="&amp;$A182,実績!$AD$6:$AD$505,"&gt;"&amp;$A182,実績!$AE$6:$AE$505,"○")&gt;0,1,0))</f>
        <v/>
      </c>
      <c r="AS182">
        <f>IF(AS$4=0,0,IF(COUNTIFS(実績!$W$6:$W$505,AS$3,実績!$AC$6:$AC$505,"&lt;="&amp;$A182,実績!$AD$6:$AD$505,"&gt;"&amp;$A182,実績!$AE$6:$AE$505,"○")&gt;0,1,0))</f>
        <v/>
      </c>
      <c r="AT182">
        <f>IF(AT$4=0,0,IF(COUNTIFS(実績!$W$6:$W$505,AT$3,実績!$AC$6:$AC$505,"&lt;="&amp;$A182,実績!$AD$6:$AD$505,"&gt;"&amp;$A182,実績!$AE$6:$AE$505,"○")&gt;0,1,0))</f>
        <v/>
      </c>
      <c r="AU182">
        <f>IF(AU$4=0,0,IF(COUNTIFS(実績!$W$6:$W$505,AU$3,実績!$AC$6:$AC$505,"&lt;="&amp;$A182,実績!$AD$6:$AD$505,"&gt;"&amp;$A182,実績!$AE$6:$AE$505,"○")&gt;0,1,0))</f>
        <v/>
      </c>
      <c r="AV182">
        <f>IF(AV$4=0,0,IF(COUNTIFS(実績!$W$6:$W$505,AV$3,実績!$AC$6:$AC$505,"&lt;="&amp;$A182,実績!$AD$6:$AD$505,"&gt;"&amp;$A182,実績!$AE$6:$AE$505,"○")&gt;0,1,0))</f>
        <v/>
      </c>
      <c r="AW182">
        <f>IF(AW$4=0,0,IF(COUNTIFS(実績!$W$6:$W$505,AW$3,実績!$AC$6:$AC$505,"&lt;="&amp;$A182,実績!$AD$6:$AD$505,"&gt;"&amp;$A182,実績!$AE$6:$AE$505,"○")&gt;0,1,0))</f>
        <v/>
      </c>
      <c r="AX182">
        <f>IF(AX$4=0,0,IF(COUNTIFS(実績!$W$6:$W$505,AX$3,実績!$AC$6:$AC$505,"&lt;="&amp;$A182,実績!$AD$6:$AD$505,"&gt;"&amp;$A182,実績!$AE$6:$AE$505,"○")&gt;0,1,0))</f>
        <v/>
      </c>
      <c r="AY182">
        <f>IF(AY$4=0,0,IF(COUNTIFS(実績!$W$6:$W$505,AY$3,実績!$AC$6:$AC$505,"&lt;="&amp;$A182,実績!$AD$6:$AD$505,"&gt;"&amp;$A182,実績!$AE$6:$AE$505,"○")&gt;0,1,0))</f>
        <v/>
      </c>
      <c r="AZ182">
        <f>IF(AZ$4=0,0,IF(COUNTIFS(実績!$W$6:$W$505,AZ$3,実績!$AC$6:$AC$505,"&lt;="&amp;$A182,実績!$AD$6:$AD$505,"&gt;"&amp;$A182,実績!$AE$6:$AE$505,"○")&gt;0,1,0))</f>
        <v/>
      </c>
      <c r="BA182">
        <f>IF(BA$4=0,0,IF(COUNTIFS(実績!$W$6:$W$505,BA$3,実績!$AC$6:$AC$505,"&lt;="&amp;$A182,実績!$AD$6:$AD$505,"&gt;"&amp;$A182,実績!$AE$6:$AE$505,"○")&gt;0,1,0))</f>
        <v/>
      </c>
      <c r="BB182">
        <f>IF(BB$4=0,0,IF(COUNTIFS(実績!$W$6:$W$505,BB$3,実績!$AC$6:$AC$505,"&lt;="&amp;$A182,実績!$AD$6:$AD$505,"&gt;"&amp;$A182,実績!$AE$6:$AE$505,"○")&gt;0,1,0))</f>
        <v/>
      </c>
      <c r="BC182">
        <f>IF(BC$4=0,0,IF(COUNTIFS(実績!$W$6:$W$505,BC$3,実績!$AC$6:$AC$505,"&lt;="&amp;$A182,実績!$AD$6:$AD$505,"&gt;"&amp;$A182,実績!$AE$6:$AE$505,"○")&gt;0,1,0))</f>
        <v/>
      </c>
      <c r="BD182">
        <f>IF(BD$4=0,0,IF(COUNTIFS(実績!$W$6:$W$505,BD$3,実績!$AC$6:$AC$505,"&lt;="&amp;$A182,実績!$AD$6:$AD$505,"&gt;"&amp;$A182,実績!$AE$6:$AE$505,"○")&gt;0,1,0))</f>
        <v/>
      </c>
      <c r="BE182">
        <f>IF(BE$4=0,0,IF(COUNTIFS(実績!$W$6:$W$505,BE$3,実績!$AC$6:$AC$505,"&lt;="&amp;$A182,実績!$AD$6:$AD$505,"&gt;"&amp;$A182,実績!$AE$6:$AE$505,"○")&gt;0,1,0))</f>
        <v/>
      </c>
      <c r="BF182">
        <f>IF(BF$4=0,0,IF(COUNTIFS(実績!$W$6:$W$505,BF$3,実績!$AC$6:$AC$505,"&lt;="&amp;$A182,実績!$AD$6:$AD$505,"&gt;"&amp;$A182,実績!$AE$6:$AE$505,"○")&gt;0,1,0))</f>
        <v/>
      </c>
      <c r="BG182">
        <f>IF(BG$4=0,0,IF(COUNTIFS(実績!$W$6:$W$505,BG$3,実績!$AC$6:$AC$505,"&lt;="&amp;$A182,実績!$AD$6:$AD$505,"&gt;"&amp;$A182,実績!$AE$6:$AE$505,"○")&gt;0,1,0))</f>
        <v/>
      </c>
      <c r="BH182">
        <f>IF(BH$4=0,0,IF(COUNTIFS(実績!$W$6:$W$505,BH$3,実績!$AC$6:$AC$505,"&lt;="&amp;$A182,実績!$AD$6:$AD$505,"&gt;"&amp;$A182,実績!$AE$6:$AE$505,"○")&gt;0,1,0))</f>
        <v/>
      </c>
      <c r="BI182">
        <f>IF(BI$4=0,0,IF(COUNTIFS(実績!$W$6:$W$505,BI$3,実績!$AC$6:$AC$505,"&lt;="&amp;$A182,実績!$AD$6:$AD$505,"&gt;"&amp;$A182,実績!$AE$6:$AE$505,"○")&gt;0,1,0))</f>
        <v/>
      </c>
      <c r="BJ182">
        <f>IF(BJ$4=0,0,IF(COUNTIFS(実績!$W$6:$W$505,BJ$3,実績!$AC$6:$AC$505,"&lt;="&amp;$A182,実績!$AD$6:$AD$505,"&gt;"&amp;$A182,実績!$AE$6:$AE$505,"○")&gt;0,1,0))</f>
        <v/>
      </c>
      <c r="BK182">
        <f>IF(BK$4=0,0,IF(COUNTIFS(実績!$W$6:$W$505,BK$3,実績!$AC$6:$AC$505,"&lt;="&amp;$A182,実績!$AD$6:$AD$505,"&gt;"&amp;$A182,実績!$AE$6:$AE$505,"○")&gt;0,1,0))</f>
        <v/>
      </c>
      <c r="BL182">
        <f>IF(BL$4=0,0,IF(COUNTIFS(実績!$W$6:$W$505,BL$3,実績!$AC$6:$AC$505,"&lt;="&amp;$A182,実績!$AD$6:$AD$505,"&gt;"&amp;$A182,実績!$AE$6:$AE$505,"○")&gt;0,1,0))</f>
        <v/>
      </c>
      <c r="BM182">
        <f>IF(BM$4=0,0,IF(COUNTIFS(実績!$W$6:$W$505,BM$3,実績!$AC$6:$AC$505,"&lt;="&amp;$A182,実績!$AD$6:$AD$505,"&gt;"&amp;$A182,実績!$AE$6:$AE$505,"○")&gt;0,1,0))</f>
        <v/>
      </c>
      <c r="BN182">
        <f>IF(BN$4=0,0,IF(COUNTIFS(実績!$W$6:$W$505,BN$3,実績!$AC$6:$AC$505,"&lt;="&amp;$A182,実績!$AD$6:$AD$505,"&gt;"&amp;$A182,実績!$AE$6:$AE$505,"○")&gt;0,1,0))</f>
        <v/>
      </c>
      <c r="BO182">
        <f>IF(BO$4=0,0,IF(COUNTIFS(実績!$W$6:$W$505,BO$3,実績!$AC$6:$AC$505,"&lt;="&amp;$A182,実績!$AD$6:$AD$505,"&gt;"&amp;$A182,実績!$AE$6:$AE$505,"○")&gt;0,1,0))</f>
        <v/>
      </c>
      <c r="BP182">
        <f>IF(BP$4=0,0,IF(COUNTIFS(実績!$W$6:$W$505,BP$3,実績!$AC$6:$AC$505,"&lt;="&amp;$A182,実績!$AD$6:$AD$505,"&gt;"&amp;$A182,実績!$AE$6:$AE$505,"○")&gt;0,1,0))</f>
        <v/>
      </c>
      <c r="BQ182">
        <f>IF(BQ$4=0,0,IF(COUNTIFS(実績!$W$6:$W$505,BQ$3,実績!$AC$6:$AC$505,"&lt;="&amp;$A182,実績!$AD$6:$AD$505,"&gt;"&amp;$A182,実績!$AE$6:$AE$505,"○")&gt;0,1,0))</f>
        <v/>
      </c>
      <c r="BR182">
        <f>IF(BR$4=0,0,IF(COUNTIFS(実績!$W$6:$W$505,BR$3,実績!$AC$6:$AC$505,"&lt;="&amp;$A182,実績!$AD$6:$AD$505,"&gt;"&amp;$A182,実績!$AE$6:$AE$505,"○")&gt;0,1,0))</f>
        <v/>
      </c>
      <c r="BS182">
        <f>IF(BS$4=0,0,IF(COUNTIFS(実績!$W$6:$W$505,BS$3,実績!$AC$6:$AC$505,"&lt;="&amp;$A182,実績!$AD$6:$AD$505,"&gt;"&amp;$A182,実績!$AE$6:$AE$505,"○")&gt;0,1,0))</f>
        <v/>
      </c>
      <c r="BT182">
        <f>IF(BT$4=0,0,IF(COUNTIFS(実績!$W$6:$W$505,BT$3,実績!$AC$6:$AC$505,"&lt;="&amp;$A182,実績!$AD$6:$AD$505,"&gt;"&amp;$A182,実績!$AE$6:$AE$505,"○")&gt;0,1,0))</f>
        <v/>
      </c>
      <c r="BU182">
        <f>IF(BU$4=0,0,IF(COUNTIFS(実績!$W$6:$W$505,BU$3,実績!$AC$6:$AC$505,"&lt;="&amp;$A182,実績!$AD$6:$AD$505,"&gt;"&amp;$A182,実績!$AE$6:$AE$505,"○")&gt;0,1,0))</f>
        <v/>
      </c>
      <c r="BV182">
        <f>IF(BV$4=0,0,IF(COUNTIFS(実績!$W$6:$W$505,BV$3,実績!$AC$6:$AC$505,"&lt;="&amp;$A182,実績!$AD$6:$AD$505,"&gt;"&amp;$A182,実績!$AE$6:$AE$505,"○")&gt;0,1,0))</f>
        <v/>
      </c>
      <c r="BW182">
        <f>IF(BW$4=0,0,IF(COUNTIFS(実績!$W$6:$W$505,BW$3,実績!$AC$6:$AC$505,"&lt;="&amp;$A182,実績!$AD$6:$AD$505,"&gt;"&amp;$A182,実績!$AE$6:$AE$505,"○")&gt;0,1,0))</f>
        <v/>
      </c>
      <c r="BX182">
        <f>IF(BX$4=0,0,IF(COUNTIFS(実績!$W$6:$W$505,BX$3,実績!$AC$6:$AC$505,"&lt;="&amp;$A182,実績!$AD$6:$AD$505,"&gt;"&amp;$A182,実績!$AE$6:$AE$505,"○")&gt;0,1,0))</f>
        <v/>
      </c>
      <c r="BY182">
        <f>IF(BY$4=0,0,IF(COUNTIFS(実績!$W$6:$W$505,BY$3,実績!$AC$6:$AC$505,"&lt;="&amp;$A182,実績!$AD$6:$AD$505,"&gt;"&amp;$A182,実績!$AE$6:$AE$505,"○")&gt;0,1,0))</f>
        <v/>
      </c>
      <c r="BZ182">
        <f>IF(BZ$4=0,0,IF(COUNTIFS(実績!$W$6:$W$505,BZ$3,実績!$AC$6:$AC$505,"&lt;="&amp;$A182,実績!$AD$6:$AD$505,"&gt;"&amp;$A182,実績!$AE$6:$AE$505,"○")&gt;0,1,0))</f>
        <v/>
      </c>
      <c r="CA182">
        <f>IF(CA$4=0,0,IF(COUNTIFS(実績!$W$6:$W$505,CA$3,実績!$AC$6:$AC$505,"&lt;="&amp;$A182,実績!$AD$6:$AD$505,"&gt;"&amp;$A182,実績!$AE$6:$AE$505,"○")&gt;0,1,0))</f>
        <v/>
      </c>
      <c r="CB182">
        <f>IF(CB$4=0,0,IF(COUNTIFS(実績!$W$6:$W$505,CB$3,実績!$AC$6:$AC$505,"&lt;="&amp;$A182,実績!$AD$6:$AD$505,"&gt;"&amp;$A182,実績!$AE$6:$AE$505,"○")&gt;0,1,0))</f>
        <v/>
      </c>
      <c r="CC182">
        <f>IF(CC$4=0,0,IF(COUNTIFS(実績!$W$6:$W$505,CC$3,実績!$AC$6:$AC$505,"&lt;="&amp;$A182,実績!$AD$6:$AD$505,"&gt;"&amp;$A182,実績!$AE$6:$AE$505,"○")&gt;0,1,0))</f>
        <v/>
      </c>
      <c r="CD182">
        <f>IF(CD$4=0,0,IF(COUNTIFS(実績!$W$6:$W$505,CD$3,実績!$AC$6:$AC$505,"&lt;="&amp;$A182,実績!$AD$6:$AD$505,"&gt;"&amp;$A182,実績!$AE$6:$AE$505,"○")&gt;0,1,0))</f>
        <v/>
      </c>
      <c r="CE182">
        <f>IF(CE$4=0,0,IF(COUNTIFS(実績!$W$6:$W$505,CE$3,実績!$AC$6:$AC$505,"&lt;="&amp;$A182,実績!$AD$6:$AD$505,"&gt;"&amp;$A182,実績!$AE$6:$AE$505,"○")&gt;0,1,0))</f>
        <v/>
      </c>
      <c r="CF182">
        <f>IF(CF$4=0,0,IF(COUNTIFS(実績!$W$6:$W$505,CF$3,実績!$AC$6:$AC$505,"&lt;="&amp;$A182,実績!$AD$6:$AD$505,"&gt;"&amp;$A182,実績!$AE$6:$AE$505,"○")&gt;0,1,0))</f>
        <v/>
      </c>
      <c r="CG182">
        <f>IF(CG$4=0,0,IF(COUNTIFS(実績!$W$6:$W$505,CG$3,実績!$AC$6:$AC$505,"&lt;="&amp;$A182,実績!$AD$6:$AD$505,"&gt;"&amp;$A182,実績!$AE$6:$AE$505,"○")&gt;0,1,0))</f>
        <v/>
      </c>
      <c r="CH182">
        <f>IF(CH$4=0,0,IF(COUNTIFS(実績!$W$6:$W$505,CH$3,実績!$AC$6:$AC$505,"&lt;="&amp;$A182,実績!$AD$6:$AD$505,"&gt;"&amp;$A182,実績!$AE$6:$AE$505,"○")&gt;0,1,0))</f>
        <v/>
      </c>
      <c r="CI182">
        <f>IF(CI$4=0,0,IF(COUNTIFS(実績!$W$6:$W$505,CI$3,実績!$AC$6:$AC$505,"&lt;="&amp;$A182,実績!$AD$6:$AD$505,"&gt;"&amp;$A182,実績!$AE$6:$AE$505,"○")&gt;0,1,0))</f>
        <v/>
      </c>
      <c r="CJ182">
        <f>IF(CJ$4=0,0,IF(COUNTIFS(実績!$W$6:$W$505,CJ$3,実績!$AC$6:$AC$505,"&lt;="&amp;$A182,実績!$AD$6:$AD$505,"&gt;"&amp;$A182,実績!$AE$6:$AE$505,"○")&gt;0,1,0))</f>
        <v/>
      </c>
      <c r="CK182">
        <f>IF(CK$4=0,0,IF(COUNTIFS(実績!$W$6:$W$505,CK$3,実績!$AC$6:$AC$505,"&lt;="&amp;$A182,実績!$AD$6:$AD$505,"&gt;"&amp;$A182,実績!$AE$6:$AE$505,"○")&gt;0,1,0))</f>
        <v/>
      </c>
      <c r="CL182">
        <f>IF(CL$4=0,0,IF(COUNTIFS(実績!$W$6:$W$505,CL$3,実績!$AC$6:$AC$505,"&lt;="&amp;$A182,実績!$AD$6:$AD$505,"&gt;"&amp;$A182,実績!$AE$6:$AE$505,"○")&gt;0,1,0))</f>
        <v/>
      </c>
      <c r="CM182">
        <f>IF(CM$4=0,0,IF(COUNTIFS(実績!$W$6:$W$505,CM$3,実績!$AC$6:$AC$505,"&lt;="&amp;$A182,実績!$AD$6:$AD$505,"&gt;"&amp;$A182,実績!$AE$6:$AE$505,"○")&gt;0,1,0))</f>
        <v/>
      </c>
      <c r="CN182">
        <f>IF(CN$4=0,0,IF(COUNTIFS(実績!$W$6:$W$505,CN$3,実績!$AC$6:$AC$505,"&lt;="&amp;$A182,実績!$AD$6:$AD$505,"&gt;"&amp;$A182,実績!$AE$6:$AE$505,"○")&gt;0,1,0))</f>
        <v/>
      </c>
      <c r="CO182">
        <f>IF(CO$4=0,0,IF(COUNTIFS(実績!$W$6:$W$505,CO$3,実績!$AC$6:$AC$505,"&lt;="&amp;$A182,実績!$AD$6:$AD$505,"&gt;"&amp;$A182,実績!$AE$6:$AE$505,"○")&gt;0,1,0))</f>
        <v/>
      </c>
      <c r="CP182">
        <f>IF(CP$4=0,0,IF(COUNTIFS(実績!$W$6:$W$505,CP$3,実績!$AC$6:$AC$505,"&lt;="&amp;$A182,実績!$AD$6:$AD$505,"&gt;"&amp;$A182,実績!$AE$6:$AE$505,"○")&gt;0,1,0))</f>
        <v/>
      </c>
      <c r="CQ182">
        <f>IF(CQ$4=0,0,IF(COUNTIFS(実績!$W$6:$W$505,CQ$3,実績!$AC$6:$AC$505,"&lt;="&amp;$A182,実績!$AD$6:$AD$505,"&gt;"&amp;$A182,実績!$AE$6:$AE$505,"○")&gt;0,1,0))</f>
        <v/>
      </c>
      <c r="CR182">
        <f>IF(CR$4=0,0,IF(COUNTIFS(実績!$W$6:$W$505,CR$3,実績!$AC$6:$AC$505,"&lt;="&amp;$A182,実績!$AD$6:$AD$505,"&gt;"&amp;$A182,実績!$AE$6:$AE$505,"○")&gt;0,1,0))</f>
        <v/>
      </c>
      <c r="CS182">
        <f>IF(CS$4=0,0,IF(COUNTIFS(実績!$W$6:$W$505,CS$3,実績!$AC$6:$AC$505,"&lt;="&amp;$A182,実績!$AD$6:$AD$505,"&gt;"&amp;$A182,実績!$AE$6:$AE$505,"○")&gt;0,1,0))</f>
        <v/>
      </c>
      <c r="CT182">
        <f>IF(CT$4=0,0,IF(COUNTIFS(実績!$W$6:$W$505,CT$3,実績!$AC$6:$AC$505,"&lt;="&amp;$A182,実績!$AD$6:$AD$505,"&gt;"&amp;$A182,実績!$AE$6:$AE$505,"○")&gt;0,1,0))</f>
        <v/>
      </c>
      <c r="CU182">
        <f>IF(CU$4=0,0,IF(COUNTIFS(実績!$W$6:$W$505,CU$3,実績!$AC$6:$AC$505,"&lt;="&amp;$A182,実績!$AD$6:$AD$505,"&gt;"&amp;$A182,実績!$AE$6:$AE$505,"○")&gt;0,1,0))</f>
        <v/>
      </c>
      <c r="CV182">
        <f>IF(CV$4=0,0,IF(COUNTIFS(実績!$W$6:$W$505,CV$3,実績!$AC$6:$AC$505,"&lt;="&amp;$A182,実績!$AD$6:$AD$505,"&gt;"&amp;$A182,実績!$AE$6:$AE$505,"○")&gt;0,1,0))</f>
        <v/>
      </c>
      <c r="CW182">
        <f>IF(CW$4=0,0,IF(COUNTIFS(実績!$W$6:$W$505,CW$3,実績!$AC$6:$AC$505,"&lt;="&amp;$A182,実績!$AD$6:$AD$505,"&gt;"&amp;$A182,実績!$AE$6:$AE$505,"○")&gt;0,1,0))</f>
        <v/>
      </c>
      <c r="CX182">
        <f>IF(CX$4=0,0,IF(COUNTIFS(実績!$W$6:$W$505,CX$3,実績!$AC$6:$AC$505,"&lt;="&amp;$A182,実績!$AD$6:$AD$505,"&gt;"&amp;$A182,実績!$AE$6:$AE$505,"○")&gt;0,1,0))</f>
        <v/>
      </c>
      <c r="CY182">
        <f>IF(CY$4=0,0,IF(COUNTIFS(実績!$W$6:$W$505,CY$3,実績!$AC$6:$AC$505,"&lt;="&amp;$A182,実績!$AD$6:$AD$505,"&gt;"&amp;$A182,実績!$AE$6:$AE$505,"○")&gt;0,1,0))</f>
        <v/>
      </c>
      <c r="CZ182">
        <f>IF(CZ$4=0,0,IF(COUNTIFS(実績!$W$6:$W$505,CZ$3,実績!$AC$6:$AC$505,"&lt;="&amp;$A182,実績!$AD$6:$AD$505,"&gt;"&amp;$A182,実績!$AE$6:$AE$505,"○")&gt;0,1,0))</f>
        <v/>
      </c>
      <c r="DA182">
        <f>IF(DA$4=0,0,IF(COUNTIFS(実績!$W$6:$W$505,DA$3,実績!$AC$6:$AC$505,"&lt;="&amp;$A182,実績!$AD$6:$AD$505,"&gt;"&amp;$A182,実績!$AE$6:$AE$505,"○")&gt;0,1,0))</f>
        <v/>
      </c>
      <c r="DB182">
        <f>IF(DB$4=0,0,IF(COUNTIFS(実績!$W$6:$W$505,DB$3,実績!$AC$6:$AC$505,"&lt;="&amp;$A182,実績!$AD$6:$AD$505,"&gt;"&amp;$A182,実績!$AE$6:$AE$505,"○")&gt;0,1,0))</f>
        <v/>
      </c>
      <c r="DC182">
        <f>IF(DC$4=0,0,IF(COUNTIFS(実績!$W$6:$W$505,DC$3,実績!$AC$6:$AC$505,"&lt;="&amp;$A182,実績!$AD$6:$AD$505,"&gt;"&amp;$A182,実績!$AE$6:$AE$505,"○")&gt;0,1,0))</f>
        <v/>
      </c>
      <c r="DD182">
        <f>IF(DD$4=0,0,IF(COUNTIFS(実績!$W$6:$W$505,DD$3,実績!$AC$6:$AC$505,"&lt;="&amp;$A182,実績!$AD$6:$AD$505,"&gt;"&amp;$A182,実績!$AE$6:$AE$505,"○")&gt;0,1,0))</f>
        <v/>
      </c>
      <c r="DE182">
        <f>IF(DE$4=0,0,IF(COUNTIFS(実績!$W$6:$W$505,DE$3,実績!$AC$6:$AC$505,"&lt;="&amp;$A182,実績!$AD$6:$AD$505,"&gt;"&amp;$A182,実績!$AE$6:$AE$505,"○")&gt;0,1,0))</f>
        <v/>
      </c>
      <c r="DF182">
        <f>IF(DF$4=0,0,IF(COUNTIFS(実績!$W$6:$W$505,DF$3,実績!$AC$6:$AC$505,"&lt;="&amp;$A182,実績!$AD$6:$AD$505,"&gt;"&amp;$A182,実績!$AE$6:$AE$505,"○")&gt;0,1,0))</f>
        <v/>
      </c>
      <c r="DG182">
        <f>IF(DG$4=0,0,IF(COUNTIFS(実績!$W$6:$W$505,DG$3,実績!$AC$6:$AC$505,"&lt;="&amp;$A182,実績!$AD$6:$AD$505,"&gt;"&amp;$A182,実績!$AE$6:$AE$505,"○")&gt;0,1,0))</f>
        <v/>
      </c>
      <c r="DH182">
        <f>IF(DH$4=0,0,IF(COUNTIFS(実績!$W$6:$W$505,DH$3,実績!$AC$6:$AC$505,"&lt;="&amp;$A182,実績!$AD$6:$AD$505,"&gt;"&amp;$A182,実績!$AE$6:$AE$505,"○")&gt;0,1,0))</f>
        <v/>
      </c>
      <c r="DI182">
        <f>IF(DI$4=0,0,IF(COUNTIFS(実績!$W$6:$W$505,DI$3,実績!$AC$6:$AC$505,"&lt;="&amp;$A182,実績!$AD$6:$AD$505,"&gt;"&amp;$A182,実績!$AE$6:$AE$505,"○")&gt;0,1,0))</f>
        <v/>
      </c>
      <c r="DJ182">
        <f>IF(DJ$4=0,0,IF(COUNTIFS(実績!$W$6:$W$505,DJ$3,実績!$AC$6:$AC$505,"&lt;="&amp;$A182,実績!$AD$6:$AD$505,"&gt;"&amp;$A182,実績!$AE$6:$AE$505,"○")&gt;0,1,0))</f>
        <v/>
      </c>
      <c r="DK182">
        <f>IF(DK$4=0,0,IF(COUNTIFS(実績!$W$6:$W$505,DK$3,実績!$AC$6:$AC$505,"&lt;="&amp;$A182,実績!$AD$6:$AD$505,"&gt;"&amp;$A182,実績!$AE$6:$AE$505,"○")&gt;0,1,0))</f>
        <v/>
      </c>
      <c r="DL182">
        <f>IF(DL$4=0,0,IF(COUNTIFS(実績!$W$6:$W$505,DL$3,実績!$AC$6:$AC$505,"&lt;="&amp;$A182,実績!$AD$6:$AD$505,"&gt;"&amp;$A182,実績!$AE$6:$AE$505,"○")&gt;0,1,0))</f>
        <v/>
      </c>
      <c r="DM182">
        <f>IF(DM$4=0,0,IF(COUNTIFS(実績!$W$6:$W$505,DM$3,実績!$AC$6:$AC$505,"&lt;="&amp;$A182,実績!$AD$6:$AD$505,"&gt;"&amp;$A182,実績!$AE$6:$AE$505,"○")&gt;0,1,0))</f>
        <v/>
      </c>
      <c r="DN182">
        <f>IF(DN$4=0,0,IF(COUNTIFS(実績!$W$6:$W$505,DN$3,実績!$AC$6:$AC$505,"&lt;="&amp;$A182,実績!$AD$6:$AD$505,"&gt;"&amp;$A182,実績!$AE$6:$AE$505,"○")&gt;0,1,0))</f>
        <v/>
      </c>
      <c r="DO182">
        <f>IF(DO$4=0,0,IF(COUNTIFS(実績!$W$6:$W$505,DO$3,実績!$AC$6:$AC$505,"&lt;="&amp;$A182,実績!$AD$6:$AD$505,"&gt;"&amp;$A182,実績!$AE$6:$AE$505,"○")&gt;0,1,0))</f>
        <v/>
      </c>
      <c r="DP182">
        <f>IF(DP$4=0,0,IF(COUNTIFS(実績!$W$6:$W$505,DP$3,実績!$AC$6:$AC$505,"&lt;="&amp;$A182,実績!$AD$6:$AD$505,"&gt;"&amp;$A182,実績!$AE$6:$AE$505,"○")&gt;0,1,0))</f>
        <v/>
      </c>
      <c r="DQ182">
        <f>IF(DQ$4=0,0,IF(COUNTIFS(実績!$W$6:$W$505,DQ$3,実績!$AC$6:$AC$505,"&lt;="&amp;$A182,実績!$AD$6:$AD$505,"&gt;"&amp;$A182,実績!$AE$6:$AE$505,"○")&gt;0,1,0))</f>
        <v/>
      </c>
      <c r="DR182">
        <f>IF(DR$4=0,0,IF(COUNTIFS(実績!$W$6:$W$505,DR$3,実績!$AC$6:$AC$505,"&lt;="&amp;$A182,実績!$AD$6:$AD$505,"&gt;"&amp;$A182,実績!$AE$6:$AE$505,"○")&gt;0,1,0))</f>
        <v/>
      </c>
      <c r="DS182">
        <f>SUM(C182:DR182)</f>
        <v/>
      </c>
      <c r="DT182">
        <f>SUMPRODUCT((実績!$C$6:$C$505="○")*ISNUMBER(実績!$AF$6:$AF$505)*(実績!$AF$6:$AF$505&lt;=$A182)*(実績!$AG$6:$AG$505&gt;$A182))</f>
        <v/>
      </c>
      <c r="DU182">
        <f>SUMIF($C$2:$DR$2,"製鉄曳船",C182:DR182)</f>
        <v/>
      </c>
      <c r="DV182">
        <f>SUMIF($C$2:$DR$2,"西日本海運",C182:DR182)</f>
        <v/>
      </c>
    </row>
    <row r="183">
      <c r="A183" t="n">
        <v>885</v>
      </c>
      <c r="B183" s="29">
        <f>A183/1440</f>
        <v/>
      </c>
      <c r="C183">
        <f>IF(C$4=0,0,IF(COUNTIFS(実績!$W$6:$W$505,C$3,実績!$AC$6:$AC$505,"&lt;="&amp;$A183,実績!$AD$6:$AD$505,"&gt;"&amp;$A183,実績!$AE$6:$AE$505,"○")&gt;0,1,0))</f>
        <v/>
      </c>
      <c r="D183">
        <f>IF(D$4=0,0,IF(COUNTIFS(実績!$W$6:$W$505,D$3,実績!$AC$6:$AC$505,"&lt;="&amp;$A183,実績!$AD$6:$AD$505,"&gt;"&amp;$A183,実績!$AE$6:$AE$505,"○")&gt;0,1,0))</f>
        <v/>
      </c>
      <c r="E183">
        <f>IF(E$4=0,0,IF(COUNTIFS(実績!$W$6:$W$505,E$3,実績!$AC$6:$AC$505,"&lt;="&amp;$A183,実績!$AD$6:$AD$505,"&gt;"&amp;$A183,実績!$AE$6:$AE$505,"○")&gt;0,1,0))</f>
        <v/>
      </c>
      <c r="F183">
        <f>IF(F$4=0,0,IF(COUNTIFS(実績!$W$6:$W$505,F$3,実績!$AC$6:$AC$505,"&lt;="&amp;$A183,実績!$AD$6:$AD$505,"&gt;"&amp;$A183,実績!$AE$6:$AE$505,"○")&gt;0,1,0))</f>
        <v/>
      </c>
      <c r="G183">
        <f>IF(G$4=0,0,IF(COUNTIFS(実績!$W$6:$W$505,G$3,実績!$AC$6:$AC$505,"&lt;="&amp;$A183,実績!$AD$6:$AD$505,"&gt;"&amp;$A183,実績!$AE$6:$AE$505,"○")&gt;0,1,0))</f>
        <v/>
      </c>
      <c r="H183">
        <f>IF(H$4=0,0,IF(COUNTIFS(実績!$W$6:$W$505,H$3,実績!$AC$6:$AC$505,"&lt;="&amp;$A183,実績!$AD$6:$AD$505,"&gt;"&amp;$A183,実績!$AE$6:$AE$505,"○")&gt;0,1,0))</f>
        <v/>
      </c>
      <c r="I183">
        <f>IF(I$4=0,0,IF(COUNTIFS(実績!$W$6:$W$505,I$3,実績!$AC$6:$AC$505,"&lt;="&amp;$A183,実績!$AD$6:$AD$505,"&gt;"&amp;$A183,実績!$AE$6:$AE$505,"○")&gt;0,1,0))</f>
        <v/>
      </c>
      <c r="J183">
        <f>IF(J$4=0,0,IF(COUNTIFS(実績!$W$6:$W$505,J$3,実績!$AC$6:$AC$505,"&lt;="&amp;$A183,実績!$AD$6:$AD$505,"&gt;"&amp;$A183,実績!$AE$6:$AE$505,"○")&gt;0,1,0))</f>
        <v/>
      </c>
      <c r="K183">
        <f>IF(K$4=0,0,IF(COUNTIFS(実績!$W$6:$W$505,K$3,実績!$AC$6:$AC$505,"&lt;="&amp;$A183,実績!$AD$6:$AD$505,"&gt;"&amp;$A183,実績!$AE$6:$AE$505,"○")&gt;0,1,0))</f>
        <v/>
      </c>
      <c r="L183">
        <f>IF(L$4=0,0,IF(COUNTIFS(実績!$W$6:$W$505,L$3,実績!$AC$6:$AC$505,"&lt;="&amp;$A183,実績!$AD$6:$AD$505,"&gt;"&amp;$A183,実績!$AE$6:$AE$505,"○")&gt;0,1,0))</f>
        <v/>
      </c>
      <c r="M183">
        <f>IF(M$4=0,0,IF(COUNTIFS(実績!$W$6:$W$505,M$3,実績!$AC$6:$AC$505,"&lt;="&amp;$A183,実績!$AD$6:$AD$505,"&gt;"&amp;$A183,実績!$AE$6:$AE$505,"○")&gt;0,1,0))</f>
        <v/>
      </c>
      <c r="N183">
        <f>IF(N$4=0,0,IF(COUNTIFS(実績!$W$6:$W$505,N$3,実績!$AC$6:$AC$505,"&lt;="&amp;$A183,実績!$AD$6:$AD$505,"&gt;"&amp;$A183,実績!$AE$6:$AE$505,"○")&gt;0,1,0))</f>
        <v/>
      </c>
      <c r="O183">
        <f>IF(O$4=0,0,IF(COUNTIFS(実績!$W$6:$W$505,O$3,実績!$AC$6:$AC$505,"&lt;="&amp;$A183,実績!$AD$6:$AD$505,"&gt;"&amp;$A183,実績!$AE$6:$AE$505,"○")&gt;0,1,0))</f>
        <v/>
      </c>
      <c r="P183">
        <f>IF(P$4=0,0,IF(COUNTIFS(実績!$W$6:$W$505,P$3,実績!$AC$6:$AC$505,"&lt;="&amp;$A183,実績!$AD$6:$AD$505,"&gt;"&amp;$A183,実績!$AE$6:$AE$505,"○")&gt;0,1,0))</f>
        <v/>
      </c>
      <c r="Q183">
        <f>IF(Q$4=0,0,IF(COUNTIFS(実績!$W$6:$W$505,Q$3,実績!$AC$6:$AC$505,"&lt;="&amp;$A183,実績!$AD$6:$AD$505,"&gt;"&amp;$A183,実績!$AE$6:$AE$505,"○")&gt;0,1,0))</f>
        <v/>
      </c>
      <c r="R183">
        <f>IF(R$4=0,0,IF(COUNTIFS(実績!$W$6:$W$505,R$3,実績!$AC$6:$AC$505,"&lt;="&amp;$A183,実績!$AD$6:$AD$505,"&gt;"&amp;$A183,実績!$AE$6:$AE$505,"○")&gt;0,1,0))</f>
        <v/>
      </c>
      <c r="S183">
        <f>IF(S$4=0,0,IF(COUNTIFS(実績!$W$6:$W$505,S$3,実績!$AC$6:$AC$505,"&lt;="&amp;$A183,実績!$AD$6:$AD$505,"&gt;"&amp;$A183,実績!$AE$6:$AE$505,"○")&gt;0,1,0))</f>
        <v/>
      </c>
      <c r="T183">
        <f>IF(T$4=0,0,IF(COUNTIFS(実績!$W$6:$W$505,T$3,実績!$AC$6:$AC$505,"&lt;="&amp;$A183,実績!$AD$6:$AD$505,"&gt;"&amp;$A183,実績!$AE$6:$AE$505,"○")&gt;0,1,0))</f>
        <v/>
      </c>
      <c r="U183">
        <f>IF(U$4=0,0,IF(COUNTIFS(実績!$W$6:$W$505,U$3,実績!$AC$6:$AC$505,"&lt;="&amp;$A183,実績!$AD$6:$AD$505,"&gt;"&amp;$A183,実績!$AE$6:$AE$505,"○")&gt;0,1,0))</f>
        <v/>
      </c>
      <c r="V183">
        <f>IF(V$4=0,0,IF(COUNTIFS(実績!$W$6:$W$505,V$3,実績!$AC$6:$AC$505,"&lt;="&amp;$A183,実績!$AD$6:$AD$505,"&gt;"&amp;$A183,実績!$AE$6:$AE$505,"○")&gt;0,1,0))</f>
        <v/>
      </c>
      <c r="W183">
        <f>IF(W$4=0,0,IF(COUNTIFS(実績!$W$6:$W$505,W$3,実績!$AC$6:$AC$505,"&lt;="&amp;$A183,実績!$AD$6:$AD$505,"&gt;"&amp;$A183,実績!$AE$6:$AE$505,"○")&gt;0,1,0))</f>
        <v/>
      </c>
      <c r="X183">
        <f>IF(X$4=0,0,IF(COUNTIFS(実績!$W$6:$W$505,X$3,実績!$AC$6:$AC$505,"&lt;="&amp;$A183,実績!$AD$6:$AD$505,"&gt;"&amp;$A183,実績!$AE$6:$AE$505,"○")&gt;0,1,0))</f>
        <v/>
      </c>
      <c r="Y183">
        <f>IF(Y$4=0,0,IF(COUNTIFS(実績!$W$6:$W$505,Y$3,実績!$AC$6:$AC$505,"&lt;="&amp;$A183,実績!$AD$6:$AD$505,"&gt;"&amp;$A183,実績!$AE$6:$AE$505,"○")&gt;0,1,0))</f>
        <v/>
      </c>
      <c r="Z183">
        <f>IF(Z$4=0,0,IF(COUNTIFS(実績!$W$6:$W$505,Z$3,実績!$AC$6:$AC$505,"&lt;="&amp;$A183,実績!$AD$6:$AD$505,"&gt;"&amp;$A183,実績!$AE$6:$AE$505,"○")&gt;0,1,0))</f>
        <v/>
      </c>
      <c r="AA183">
        <f>IF(AA$4=0,0,IF(COUNTIFS(実績!$W$6:$W$505,AA$3,実績!$AC$6:$AC$505,"&lt;="&amp;$A183,実績!$AD$6:$AD$505,"&gt;"&amp;$A183,実績!$AE$6:$AE$505,"○")&gt;0,1,0))</f>
        <v/>
      </c>
      <c r="AB183">
        <f>IF(AB$4=0,0,IF(COUNTIFS(実績!$W$6:$W$505,AB$3,実績!$AC$6:$AC$505,"&lt;="&amp;$A183,実績!$AD$6:$AD$505,"&gt;"&amp;$A183,実績!$AE$6:$AE$505,"○")&gt;0,1,0))</f>
        <v/>
      </c>
      <c r="AC183">
        <f>IF(AC$4=0,0,IF(COUNTIFS(実績!$W$6:$W$505,AC$3,実績!$AC$6:$AC$505,"&lt;="&amp;$A183,実績!$AD$6:$AD$505,"&gt;"&amp;$A183,実績!$AE$6:$AE$505,"○")&gt;0,1,0))</f>
        <v/>
      </c>
      <c r="AD183">
        <f>IF(AD$4=0,0,IF(COUNTIFS(実績!$W$6:$W$505,AD$3,実績!$AC$6:$AC$505,"&lt;="&amp;$A183,実績!$AD$6:$AD$505,"&gt;"&amp;$A183,実績!$AE$6:$AE$505,"○")&gt;0,1,0))</f>
        <v/>
      </c>
      <c r="AE183">
        <f>IF(AE$4=0,0,IF(COUNTIFS(実績!$W$6:$W$505,AE$3,実績!$AC$6:$AC$505,"&lt;="&amp;$A183,実績!$AD$6:$AD$505,"&gt;"&amp;$A183,実績!$AE$6:$AE$505,"○")&gt;0,1,0))</f>
        <v/>
      </c>
      <c r="AF183">
        <f>IF(AF$4=0,0,IF(COUNTIFS(実績!$W$6:$W$505,AF$3,実績!$AC$6:$AC$505,"&lt;="&amp;$A183,実績!$AD$6:$AD$505,"&gt;"&amp;$A183,実績!$AE$6:$AE$505,"○")&gt;0,1,0))</f>
        <v/>
      </c>
      <c r="AG183">
        <f>IF(AG$4=0,0,IF(COUNTIFS(実績!$W$6:$W$505,AG$3,実績!$AC$6:$AC$505,"&lt;="&amp;$A183,実績!$AD$6:$AD$505,"&gt;"&amp;$A183,実績!$AE$6:$AE$505,"○")&gt;0,1,0))</f>
        <v/>
      </c>
      <c r="AH183">
        <f>IF(AH$4=0,0,IF(COUNTIFS(実績!$W$6:$W$505,AH$3,実績!$AC$6:$AC$505,"&lt;="&amp;$A183,実績!$AD$6:$AD$505,"&gt;"&amp;$A183,実績!$AE$6:$AE$505,"○")&gt;0,1,0))</f>
        <v/>
      </c>
      <c r="AI183">
        <f>IF(AI$4=0,0,IF(COUNTIFS(実績!$W$6:$W$505,AI$3,実績!$AC$6:$AC$505,"&lt;="&amp;$A183,実績!$AD$6:$AD$505,"&gt;"&amp;$A183,実績!$AE$6:$AE$505,"○")&gt;0,1,0))</f>
        <v/>
      </c>
      <c r="AJ183">
        <f>IF(AJ$4=0,0,IF(COUNTIFS(実績!$W$6:$W$505,AJ$3,実績!$AC$6:$AC$505,"&lt;="&amp;$A183,実績!$AD$6:$AD$505,"&gt;"&amp;$A183,実績!$AE$6:$AE$505,"○")&gt;0,1,0))</f>
        <v/>
      </c>
      <c r="AK183">
        <f>IF(AK$4=0,0,IF(COUNTIFS(実績!$W$6:$W$505,AK$3,実績!$AC$6:$AC$505,"&lt;="&amp;$A183,実績!$AD$6:$AD$505,"&gt;"&amp;$A183,実績!$AE$6:$AE$505,"○")&gt;0,1,0))</f>
        <v/>
      </c>
      <c r="AL183">
        <f>IF(AL$4=0,0,IF(COUNTIFS(実績!$W$6:$W$505,AL$3,実績!$AC$6:$AC$505,"&lt;="&amp;$A183,実績!$AD$6:$AD$505,"&gt;"&amp;$A183,実績!$AE$6:$AE$505,"○")&gt;0,1,0))</f>
        <v/>
      </c>
      <c r="AM183">
        <f>IF(AM$4=0,0,IF(COUNTIFS(実績!$W$6:$W$505,AM$3,実績!$AC$6:$AC$505,"&lt;="&amp;$A183,実績!$AD$6:$AD$505,"&gt;"&amp;$A183,実績!$AE$6:$AE$505,"○")&gt;0,1,0))</f>
        <v/>
      </c>
      <c r="AN183">
        <f>IF(AN$4=0,0,IF(COUNTIFS(実績!$W$6:$W$505,AN$3,実績!$AC$6:$AC$505,"&lt;="&amp;$A183,実績!$AD$6:$AD$505,"&gt;"&amp;$A183,実績!$AE$6:$AE$505,"○")&gt;0,1,0))</f>
        <v/>
      </c>
      <c r="AO183">
        <f>IF(AO$4=0,0,IF(COUNTIFS(実績!$W$6:$W$505,AO$3,実績!$AC$6:$AC$505,"&lt;="&amp;$A183,実績!$AD$6:$AD$505,"&gt;"&amp;$A183,実績!$AE$6:$AE$505,"○")&gt;0,1,0))</f>
        <v/>
      </c>
      <c r="AP183">
        <f>IF(AP$4=0,0,IF(COUNTIFS(実績!$W$6:$W$505,AP$3,実績!$AC$6:$AC$505,"&lt;="&amp;$A183,実績!$AD$6:$AD$505,"&gt;"&amp;$A183,実績!$AE$6:$AE$505,"○")&gt;0,1,0))</f>
        <v/>
      </c>
      <c r="AQ183">
        <f>IF(AQ$4=0,0,IF(COUNTIFS(実績!$W$6:$W$505,AQ$3,実績!$AC$6:$AC$505,"&lt;="&amp;$A183,実績!$AD$6:$AD$505,"&gt;"&amp;$A183,実績!$AE$6:$AE$505,"○")&gt;0,1,0))</f>
        <v/>
      </c>
      <c r="AR183">
        <f>IF(AR$4=0,0,IF(COUNTIFS(実績!$W$6:$W$505,AR$3,実績!$AC$6:$AC$505,"&lt;="&amp;$A183,実績!$AD$6:$AD$505,"&gt;"&amp;$A183,実績!$AE$6:$AE$505,"○")&gt;0,1,0))</f>
        <v/>
      </c>
      <c r="AS183">
        <f>IF(AS$4=0,0,IF(COUNTIFS(実績!$W$6:$W$505,AS$3,実績!$AC$6:$AC$505,"&lt;="&amp;$A183,実績!$AD$6:$AD$505,"&gt;"&amp;$A183,実績!$AE$6:$AE$505,"○")&gt;0,1,0))</f>
        <v/>
      </c>
      <c r="AT183">
        <f>IF(AT$4=0,0,IF(COUNTIFS(実績!$W$6:$W$505,AT$3,実績!$AC$6:$AC$505,"&lt;="&amp;$A183,実績!$AD$6:$AD$505,"&gt;"&amp;$A183,実績!$AE$6:$AE$505,"○")&gt;0,1,0))</f>
        <v/>
      </c>
      <c r="AU183">
        <f>IF(AU$4=0,0,IF(COUNTIFS(実績!$W$6:$W$505,AU$3,実績!$AC$6:$AC$505,"&lt;="&amp;$A183,実績!$AD$6:$AD$505,"&gt;"&amp;$A183,実績!$AE$6:$AE$505,"○")&gt;0,1,0))</f>
        <v/>
      </c>
      <c r="AV183">
        <f>IF(AV$4=0,0,IF(COUNTIFS(実績!$W$6:$W$505,AV$3,実績!$AC$6:$AC$505,"&lt;="&amp;$A183,実績!$AD$6:$AD$505,"&gt;"&amp;$A183,実績!$AE$6:$AE$505,"○")&gt;0,1,0))</f>
        <v/>
      </c>
      <c r="AW183">
        <f>IF(AW$4=0,0,IF(COUNTIFS(実績!$W$6:$W$505,AW$3,実績!$AC$6:$AC$505,"&lt;="&amp;$A183,実績!$AD$6:$AD$505,"&gt;"&amp;$A183,実績!$AE$6:$AE$505,"○")&gt;0,1,0))</f>
        <v/>
      </c>
      <c r="AX183">
        <f>IF(AX$4=0,0,IF(COUNTIFS(実績!$W$6:$W$505,AX$3,実績!$AC$6:$AC$505,"&lt;="&amp;$A183,実績!$AD$6:$AD$505,"&gt;"&amp;$A183,実績!$AE$6:$AE$505,"○")&gt;0,1,0))</f>
        <v/>
      </c>
      <c r="AY183">
        <f>IF(AY$4=0,0,IF(COUNTIFS(実績!$W$6:$W$505,AY$3,実績!$AC$6:$AC$505,"&lt;="&amp;$A183,実績!$AD$6:$AD$505,"&gt;"&amp;$A183,実績!$AE$6:$AE$505,"○")&gt;0,1,0))</f>
        <v/>
      </c>
      <c r="AZ183">
        <f>IF(AZ$4=0,0,IF(COUNTIFS(実績!$W$6:$W$505,AZ$3,実績!$AC$6:$AC$505,"&lt;="&amp;$A183,実績!$AD$6:$AD$505,"&gt;"&amp;$A183,実績!$AE$6:$AE$505,"○")&gt;0,1,0))</f>
        <v/>
      </c>
      <c r="BA183">
        <f>IF(BA$4=0,0,IF(COUNTIFS(実績!$W$6:$W$505,BA$3,実績!$AC$6:$AC$505,"&lt;="&amp;$A183,実績!$AD$6:$AD$505,"&gt;"&amp;$A183,実績!$AE$6:$AE$505,"○")&gt;0,1,0))</f>
        <v/>
      </c>
      <c r="BB183">
        <f>IF(BB$4=0,0,IF(COUNTIFS(実績!$W$6:$W$505,BB$3,実績!$AC$6:$AC$505,"&lt;="&amp;$A183,実績!$AD$6:$AD$505,"&gt;"&amp;$A183,実績!$AE$6:$AE$505,"○")&gt;0,1,0))</f>
        <v/>
      </c>
      <c r="BC183">
        <f>IF(BC$4=0,0,IF(COUNTIFS(実績!$W$6:$W$505,BC$3,実績!$AC$6:$AC$505,"&lt;="&amp;$A183,実績!$AD$6:$AD$505,"&gt;"&amp;$A183,実績!$AE$6:$AE$505,"○")&gt;0,1,0))</f>
        <v/>
      </c>
      <c r="BD183">
        <f>IF(BD$4=0,0,IF(COUNTIFS(実績!$W$6:$W$505,BD$3,実績!$AC$6:$AC$505,"&lt;="&amp;$A183,実績!$AD$6:$AD$505,"&gt;"&amp;$A183,実績!$AE$6:$AE$505,"○")&gt;0,1,0))</f>
        <v/>
      </c>
      <c r="BE183">
        <f>IF(BE$4=0,0,IF(COUNTIFS(実績!$W$6:$W$505,BE$3,実績!$AC$6:$AC$505,"&lt;="&amp;$A183,実績!$AD$6:$AD$505,"&gt;"&amp;$A183,実績!$AE$6:$AE$505,"○")&gt;0,1,0))</f>
        <v/>
      </c>
      <c r="BF183">
        <f>IF(BF$4=0,0,IF(COUNTIFS(実績!$W$6:$W$505,BF$3,実績!$AC$6:$AC$505,"&lt;="&amp;$A183,実績!$AD$6:$AD$505,"&gt;"&amp;$A183,実績!$AE$6:$AE$505,"○")&gt;0,1,0))</f>
        <v/>
      </c>
      <c r="BG183">
        <f>IF(BG$4=0,0,IF(COUNTIFS(実績!$W$6:$W$505,BG$3,実績!$AC$6:$AC$505,"&lt;="&amp;$A183,実績!$AD$6:$AD$505,"&gt;"&amp;$A183,実績!$AE$6:$AE$505,"○")&gt;0,1,0))</f>
        <v/>
      </c>
      <c r="BH183">
        <f>IF(BH$4=0,0,IF(COUNTIFS(実績!$W$6:$W$505,BH$3,実績!$AC$6:$AC$505,"&lt;="&amp;$A183,実績!$AD$6:$AD$505,"&gt;"&amp;$A183,実績!$AE$6:$AE$505,"○")&gt;0,1,0))</f>
        <v/>
      </c>
      <c r="BI183">
        <f>IF(BI$4=0,0,IF(COUNTIFS(実績!$W$6:$W$505,BI$3,実績!$AC$6:$AC$505,"&lt;="&amp;$A183,実績!$AD$6:$AD$505,"&gt;"&amp;$A183,実績!$AE$6:$AE$505,"○")&gt;0,1,0))</f>
        <v/>
      </c>
      <c r="BJ183">
        <f>IF(BJ$4=0,0,IF(COUNTIFS(実績!$W$6:$W$505,BJ$3,実績!$AC$6:$AC$505,"&lt;="&amp;$A183,実績!$AD$6:$AD$505,"&gt;"&amp;$A183,実績!$AE$6:$AE$505,"○")&gt;0,1,0))</f>
        <v/>
      </c>
      <c r="BK183">
        <f>IF(BK$4=0,0,IF(COUNTIFS(実績!$W$6:$W$505,BK$3,実績!$AC$6:$AC$505,"&lt;="&amp;$A183,実績!$AD$6:$AD$505,"&gt;"&amp;$A183,実績!$AE$6:$AE$505,"○")&gt;0,1,0))</f>
        <v/>
      </c>
      <c r="BL183">
        <f>IF(BL$4=0,0,IF(COUNTIFS(実績!$W$6:$W$505,BL$3,実績!$AC$6:$AC$505,"&lt;="&amp;$A183,実績!$AD$6:$AD$505,"&gt;"&amp;$A183,実績!$AE$6:$AE$505,"○")&gt;0,1,0))</f>
        <v/>
      </c>
      <c r="BM183">
        <f>IF(BM$4=0,0,IF(COUNTIFS(実績!$W$6:$W$505,BM$3,実績!$AC$6:$AC$505,"&lt;="&amp;$A183,実績!$AD$6:$AD$505,"&gt;"&amp;$A183,実績!$AE$6:$AE$505,"○")&gt;0,1,0))</f>
        <v/>
      </c>
      <c r="BN183">
        <f>IF(BN$4=0,0,IF(COUNTIFS(実績!$W$6:$W$505,BN$3,実績!$AC$6:$AC$505,"&lt;="&amp;$A183,実績!$AD$6:$AD$505,"&gt;"&amp;$A183,実績!$AE$6:$AE$505,"○")&gt;0,1,0))</f>
        <v/>
      </c>
      <c r="BO183">
        <f>IF(BO$4=0,0,IF(COUNTIFS(実績!$W$6:$W$505,BO$3,実績!$AC$6:$AC$505,"&lt;="&amp;$A183,実績!$AD$6:$AD$505,"&gt;"&amp;$A183,実績!$AE$6:$AE$505,"○")&gt;0,1,0))</f>
        <v/>
      </c>
      <c r="BP183">
        <f>IF(BP$4=0,0,IF(COUNTIFS(実績!$W$6:$W$505,BP$3,実績!$AC$6:$AC$505,"&lt;="&amp;$A183,実績!$AD$6:$AD$505,"&gt;"&amp;$A183,実績!$AE$6:$AE$505,"○")&gt;0,1,0))</f>
        <v/>
      </c>
      <c r="BQ183">
        <f>IF(BQ$4=0,0,IF(COUNTIFS(実績!$W$6:$W$505,BQ$3,実績!$AC$6:$AC$505,"&lt;="&amp;$A183,実績!$AD$6:$AD$505,"&gt;"&amp;$A183,実績!$AE$6:$AE$505,"○")&gt;0,1,0))</f>
        <v/>
      </c>
      <c r="BR183">
        <f>IF(BR$4=0,0,IF(COUNTIFS(実績!$W$6:$W$505,BR$3,実績!$AC$6:$AC$505,"&lt;="&amp;$A183,実績!$AD$6:$AD$505,"&gt;"&amp;$A183,実績!$AE$6:$AE$505,"○")&gt;0,1,0))</f>
        <v/>
      </c>
      <c r="BS183">
        <f>IF(BS$4=0,0,IF(COUNTIFS(実績!$W$6:$W$505,BS$3,実績!$AC$6:$AC$505,"&lt;="&amp;$A183,実績!$AD$6:$AD$505,"&gt;"&amp;$A183,実績!$AE$6:$AE$505,"○")&gt;0,1,0))</f>
        <v/>
      </c>
      <c r="BT183">
        <f>IF(BT$4=0,0,IF(COUNTIFS(実績!$W$6:$W$505,BT$3,実績!$AC$6:$AC$505,"&lt;="&amp;$A183,実績!$AD$6:$AD$505,"&gt;"&amp;$A183,実績!$AE$6:$AE$505,"○")&gt;0,1,0))</f>
        <v/>
      </c>
      <c r="BU183">
        <f>IF(BU$4=0,0,IF(COUNTIFS(実績!$W$6:$W$505,BU$3,実績!$AC$6:$AC$505,"&lt;="&amp;$A183,実績!$AD$6:$AD$505,"&gt;"&amp;$A183,実績!$AE$6:$AE$505,"○")&gt;0,1,0))</f>
        <v/>
      </c>
      <c r="BV183">
        <f>IF(BV$4=0,0,IF(COUNTIFS(実績!$W$6:$W$505,BV$3,実績!$AC$6:$AC$505,"&lt;="&amp;$A183,実績!$AD$6:$AD$505,"&gt;"&amp;$A183,実績!$AE$6:$AE$505,"○")&gt;0,1,0))</f>
        <v/>
      </c>
      <c r="BW183">
        <f>IF(BW$4=0,0,IF(COUNTIFS(実績!$W$6:$W$505,BW$3,実績!$AC$6:$AC$505,"&lt;="&amp;$A183,実績!$AD$6:$AD$505,"&gt;"&amp;$A183,実績!$AE$6:$AE$505,"○")&gt;0,1,0))</f>
        <v/>
      </c>
      <c r="BX183">
        <f>IF(BX$4=0,0,IF(COUNTIFS(実績!$W$6:$W$505,BX$3,実績!$AC$6:$AC$505,"&lt;="&amp;$A183,実績!$AD$6:$AD$505,"&gt;"&amp;$A183,実績!$AE$6:$AE$505,"○")&gt;0,1,0))</f>
        <v/>
      </c>
      <c r="BY183">
        <f>IF(BY$4=0,0,IF(COUNTIFS(実績!$W$6:$W$505,BY$3,実績!$AC$6:$AC$505,"&lt;="&amp;$A183,実績!$AD$6:$AD$505,"&gt;"&amp;$A183,実績!$AE$6:$AE$505,"○")&gt;0,1,0))</f>
        <v/>
      </c>
      <c r="BZ183">
        <f>IF(BZ$4=0,0,IF(COUNTIFS(実績!$W$6:$W$505,BZ$3,実績!$AC$6:$AC$505,"&lt;="&amp;$A183,実績!$AD$6:$AD$505,"&gt;"&amp;$A183,実績!$AE$6:$AE$505,"○")&gt;0,1,0))</f>
        <v/>
      </c>
      <c r="CA183">
        <f>IF(CA$4=0,0,IF(COUNTIFS(実績!$W$6:$W$505,CA$3,実績!$AC$6:$AC$505,"&lt;="&amp;$A183,実績!$AD$6:$AD$505,"&gt;"&amp;$A183,実績!$AE$6:$AE$505,"○")&gt;0,1,0))</f>
        <v/>
      </c>
      <c r="CB183">
        <f>IF(CB$4=0,0,IF(COUNTIFS(実績!$W$6:$W$505,CB$3,実績!$AC$6:$AC$505,"&lt;="&amp;$A183,実績!$AD$6:$AD$505,"&gt;"&amp;$A183,実績!$AE$6:$AE$505,"○")&gt;0,1,0))</f>
        <v/>
      </c>
      <c r="CC183">
        <f>IF(CC$4=0,0,IF(COUNTIFS(実績!$W$6:$W$505,CC$3,実績!$AC$6:$AC$505,"&lt;="&amp;$A183,実績!$AD$6:$AD$505,"&gt;"&amp;$A183,実績!$AE$6:$AE$505,"○")&gt;0,1,0))</f>
        <v/>
      </c>
      <c r="CD183">
        <f>IF(CD$4=0,0,IF(COUNTIFS(実績!$W$6:$W$505,CD$3,実績!$AC$6:$AC$505,"&lt;="&amp;$A183,実績!$AD$6:$AD$505,"&gt;"&amp;$A183,実績!$AE$6:$AE$505,"○")&gt;0,1,0))</f>
        <v/>
      </c>
      <c r="CE183">
        <f>IF(CE$4=0,0,IF(COUNTIFS(実績!$W$6:$W$505,CE$3,実績!$AC$6:$AC$505,"&lt;="&amp;$A183,実績!$AD$6:$AD$505,"&gt;"&amp;$A183,実績!$AE$6:$AE$505,"○")&gt;0,1,0))</f>
        <v/>
      </c>
      <c r="CF183">
        <f>IF(CF$4=0,0,IF(COUNTIFS(実績!$W$6:$W$505,CF$3,実績!$AC$6:$AC$505,"&lt;="&amp;$A183,実績!$AD$6:$AD$505,"&gt;"&amp;$A183,実績!$AE$6:$AE$505,"○")&gt;0,1,0))</f>
        <v/>
      </c>
      <c r="CG183">
        <f>IF(CG$4=0,0,IF(COUNTIFS(実績!$W$6:$W$505,CG$3,実績!$AC$6:$AC$505,"&lt;="&amp;$A183,実績!$AD$6:$AD$505,"&gt;"&amp;$A183,実績!$AE$6:$AE$505,"○")&gt;0,1,0))</f>
        <v/>
      </c>
      <c r="CH183">
        <f>IF(CH$4=0,0,IF(COUNTIFS(実績!$W$6:$W$505,CH$3,実績!$AC$6:$AC$505,"&lt;="&amp;$A183,実績!$AD$6:$AD$505,"&gt;"&amp;$A183,実績!$AE$6:$AE$505,"○")&gt;0,1,0))</f>
        <v/>
      </c>
      <c r="CI183">
        <f>IF(CI$4=0,0,IF(COUNTIFS(実績!$W$6:$W$505,CI$3,実績!$AC$6:$AC$505,"&lt;="&amp;$A183,実績!$AD$6:$AD$505,"&gt;"&amp;$A183,実績!$AE$6:$AE$505,"○")&gt;0,1,0))</f>
        <v/>
      </c>
      <c r="CJ183">
        <f>IF(CJ$4=0,0,IF(COUNTIFS(実績!$W$6:$W$505,CJ$3,実績!$AC$6:$AC$505,"&lt;="&amp;$A183,実績!$AD$6:$AD$505,"&gt;"&amp;$A183,実績!$AE$6:$AE$505,"○")&gt;0,1,0))</f>
        <v/>
      </c>
      <c r="CK183">
        <f>IF(CK$4=0,0,IF(COUNTIFS(実績!$W$6:$W$505,CK$3,実績!$AC$6:$AC$505,"&lt;="&amp;$A183,実績!$AD$6:$AD$505,"&gt;"&amp;$A183,実績!$AE$6:$AE$505,"○")&gt;0,1,0))</f>
        <v/>
      </c>
      <c r="CL183">
        <f>IF(CL$4=0,0,IF(COUNTIFS(実績!$W$6:$W$505,CL$3,実績!$AC$6:$AC$505,"&lt;="&amp;$A183,実績!$AD$6:$AD$505,"&gt;"&amp;$A183,実績!$AE$6:$AE$505,"○")&gt;0,1,0))</f>
        <v/>
      </c>
      <c r="CM183">
        <f>IF(CM$4=0,0,IF(COUNTIFS(実績!$W$6:$W$505,CM$3,実績!$AC$6:$AC$505,"&lt;="&amp;$A183,実績!$AD$6:$AD$505,"&gt;"&amp;$A183,実績!$AE$6:$AE$505,"○")&gt;0,1,0))</f>
        <v/>
      </c>
      <c r="CN183">
        <f>IF(CN$4=0,0,IF(COUNTIFS(実績!$W$6:$W$505,CN$3,実績!$AC$6:$AC$505,"&lt;="&amp;$A183,実績!$AD$6:$AD$505,"&gt;"&amp;$A183,実績!$AE$6:$AE$505,"○")&gt;0,1,0))</f>
        <v/>
      </c>
      <c r="CO183">
        <f>IF(CO$4=0,0,IF(COUNTIFS(実績!$W$6:$W$505,CO$3,実績!$AC$6:$AC$505,"&lt;="&amp;$A183,実績!$AD$6:$AD$505,"&gt;"&amp;$A183,実績!$AE$6:$AE$505,"○")&gt;0,1,0))</f>
        <v/>
      </c>
      <c r="CP183">
        <f>IF(CP$4=0,0,IF(COUNTIFS(実績!$W$6:$W$505,CP$3,実績!$AC$6:$AC$505,"&lt;="&amp;$A183,実績!$AD$6:$AD$505,"&gt;"&amp;$A183,実績!$AE$6:$AE$505,"○")&gt;0,1,0))</f>
        <v/>
      </c>
      <c r="CQ183">
        <f>IF(CQ$4=0,0,IF(COUNTIFS(実績!$W$6:$W$505,CQ$3,実績!$AC$6:$AC$505,"&lt;="&amp;$A183,実績!$AD$6:$AD$505,"&gt;"&amp;$A183,実績!$AE$6:$AE$505,"○")&gt;0,1,0))</f>
        <v/>
      </c>
      <c r="CR183">
        <f>IF(CR$4=0,0,IF(COUNTIFS(実績!$W$6:$W$505,CR$3,実績!$AC$6:$AC$505,"&lt;="&amp;$A183,実績!$AD$6:$AD$505,"&gt;"&amp;$A183,実績!$AE$6:$AE$505,"○")&gt;0,1,0))</f>
        <v/>
      </c>
      <c r="CS183">
        <f>IF(CS$4=0,0,IF(COUNTIFS(実績!$W$6:$W$505,CS$3,実績!$AC$6:$AC$505,"&lt;="&amp;$A183,実績!$AD$6:$AD$505,"&gt;"&amp;$A183,実績!$AE$6:$AE$505,"○")&gt;0,1,0))</f>
        <v/>
      </c>
      <c r="CT183">
        <f>IF(CT$4=0,0,IF(COUNTIFS(実績!$W$6:$W$505,CT$3,実績!$AC$6:$AC$505,"&lt;="&amp;$A183,実績!$AD$6:$AD$505,"&gt;"&amp;$A183,実績!$AE$6:$AE$505,"○")&gt;0,1,0))</f>
        <v/>
      </c>
      <c r="CU183">
        <f>IF(CU$4=0,0,IF(COUNTIFS(実績!$W$6:$W$505,CU$3,実績!$AC$6:$AC$505,"&lt;="&amp;$A183,実績!$AD$6:$AD$505,"&gt;"&amp;$A183,実績!$AE$6:$AE$505,"○")&gt;0,1,0))</f>
        <v/>
      </c>
      <c r="CV183">
        <f>IF(CV$4=0,0,IF(COUNTIFS(実績!$W$6:$W$505,CV$3,実績!$AC$6:$AC$505,"&lt;="&amp;$A183,実績!$AD$6:$AD$505,"&gt;"&amp;$A183,実績!$AE$6:$AE$505,"○")&gt;0,1,0))</f>
        <v/>
      </c>
      <c r="CW183">
        <f>IF(CW$4=0,0,IF(COUNTIFS(実績!$W$6:$W$505,CW$3,実績!$AC$6:$AC$505,"&lt;="&amp;$A183,実績!$AD$6:$AD$505,"&gt;"&amp;$A183,実績!$AE$6:$AE$505,"○")&gt;0,1,0))</f>
        <v/>
      </c>
      <c r="CX183">
        <f>IF(CX$4=0,0,IF(COUNTIFS(実績!$W$6:$W$505,CX$3,実績!$AC$6:$AC$505,"&lt;="&amp;$A183,実績!$AD$6:$AD$505,"&gt;"&amp;$A183,実績!$AE$6:$AE$505,"○")&gt;0,1,0))</f>
        <v/>
      </c>
      <c r="CY183">
        <f>IF(CY$4=0,0,IF(COUNTIFS(実績!$W$6:$W$505,CY$3,実績!$AC$6:$AC$505,"&lt;="&amp;$A183,実績!$AD$6:$AD$505,"&gt;"&amp;$A183,実績!$AE$6:$AE$505,"○")&gt;0,1,0))</f>
        <v/>
      </c>
      <c r="CZ183">
        <f>IF(CZ$4=0,0,IF(COUNTIFS(実績!$W$6:$W$505,CZ$3,実績!$AC$6:$AC$505,"&lt;="&amp;$A183,実績!$AD$6:$AD$505,"&gt;"&amp;$A183,実績!$AE$6:$AE$505,"○")&gt;0,1,0))</f>
        <v/>
      </c>
      <c r="DA183">
        <f>IF(DA$4=0,0,IF(COUNTIFS(実績!$W$6:$W$505,DA$3,実績!$AC$6:$AC$505,"&lt;="&amp;$A183,実績!$AD$6:$AD$505,"&gt;"&amp;$A183,実績!$AE$6:$AE$505,"○")&gt;0,1,0))</f>
        <v/>
      </c>
      <c r="DB183">
        <f>IF(DB$4=0,0,IF(COUNTIFS(実績!$W$6:$W$505,DB$3,実績!$AC$6:$AC$505,"&lt;="&amp;$A183,実績!$AD$6:$AD$505,"&gt;"&amp;$A183,実績!$AE$6:$AE$505,"○")&gt;0,1,0))</f>
        <v/>
      </c>
      <c r="DC183">
        <f>IF(DC$4=0,0,IF(COUNTIFS(実績!$W$6:$W$505,DC$3,実績!$AC$6:$AC$505,"&lt;="&amp;$A183,実績!$AD$6:$AD$505,"&gt;"&amp;$A183,実績!$AE$6:$AE$505,"○")&gt;0,1,0))</f>
        <v/>
      </c>
      <c r="DD183">
        <f>IF(DD$4=0,0,IF(COUNTIFS(実績!$W$6:$W$505,DD$3,実績!$AC$6:$AC$505,"&lt;="&amp;$A183,実績!$AD$6:$AD$505,"&gt;"&amp;$A183,実績!$AE$6:$AE$505,"○")&gt;0,1,0))</f>
        <v/>
      </c>
      <c r="DE183">
        <f>IF(DE$4=0,0,IF(COUNTIFS(実績!$W$6:$W$505,DE$3,実績!$AC$6:$AC$505,"&lt;="&amp;$A183,実績!$AD$6:$AD$505,"&gt;"&amp;$A183,実績!$AE$6:$AE$505,"○")&gt;0,1,0))</f>
        <v/>
      </c>
      <c r="DF183">
        <f>IF(DF$4=0,0,IF(COUNTIFS(実績!$W$6:$W$505,DF$3,実績!$AC$6:$AC$505,"&lt;="&amp;$A183,実績!$AD$6:$AD$505,"&gt;"&amp;$A183,実績!$AE$6:$AE$505,"○")&gt;0,1,0))</f>
        <v/>
      </c>
      <c r="DG183">
        <f>IF(DG$4=0,0,IF(COUNTIFS(実績!$W$6:$W$505,DG$3,実績!$AC$6:$AC$505,"&lt;="&amp;$A183,実績!$AD$6:$AD$505,"&gt;"&amp;$A183,実績!$AE$6:$AE$505,"○")&gt;0,1,0))</f>
        <v/>
      </c>
      <c r="DH183">
        <f>IF(DH$4=0,0,IF(COUNTIFS(実績!$W$6:$W$505,DH$3,実績!$AC$6:$AC$505,"&lt;="&amp;$A183,実績!$AD$6:$AD$505,"&gt;"&amp;$A183,実績!$AE$6:$AE$505,"○")&gt;0,1,0))</f>
        <v/>
      </c>
      <c r="DI183">
        <f>IF(DI$4=0,0,IF(COUNTIFS(実績!$W$6:$W$505,DI$3,実績!$AC$6:$AC$505,"&lt;="&amp;$A183,実績!$AD$6:$AD$505,"&gt;"&amp;$A183,実績!$AE$6:$AE$505,"○")&gt;0,1,0))</f>
        <v/>
      </c>
      <c r="DJ183">
        <f>IF(DJ$4=0,0,IF(COUNTIFS(実績!$W$6:$W$505,DJ$3,実績!$AC$6:$AC$505,"&lt;="&amp;$A183,実績!$AD$6:$AD$505,"&gt;"&amp;$A183,実績!$AE$6:$AE$505,"○")&gt;0,1,0))</f>
        <v/>
      </c>
      <c r="DK183">
        <f>IF(DK$4=0,0,IF(COUNTIFS(実績!$W$6:$W$505,DK$3,実績!$AC$6:$AC$505,"&lt;="&amp;$A183,実績!$AD$6:$AD$505,"&gt;"&amp;$A183,実績!$AE$6:$AE$505,"○")&gt;0,1,0))</f>
        <v/>
      </c>
      <c r="DL183">
        <f>IF(DL$4=0,0,IF(COUNTIFS(実績!$W$6:$W$505,DL$3,実績!$AC$6:$AC$505,"&lt;="&amp;$A183,実績!$AD$6:$AD$505,"&gt;"&amp;$A183,実績!$AE$6:$AE$505,"○")&gt;0,1,0))</f>
        <v/>
      </c>
      <c r="DM183">
        <f>IF(DM$4=0,0,IF(COUNTIFS(実績!$W$6:$W$505,DM$3,実績!$AC$6:$AC$505,"&lt;="&amp;$A183,実績!$AD$6:$AD$505,"&gt;"&amp;$A183,実績!$AE$6:$AE$505,"○")&gt;0,1,0))</f>
        <v/>
      </c>
      <c r="DN183">
        <f>IF(DN$4=0,0,IF(COUNTIFS(実績!$W$6:$W$505,DN$3,実績!$AC$6:$AC$505,"&lt;="&amp;$A183,実績!$AD$6:$AD$505,"&gt;"&amp;$A183,実績!$AE$6:$AE$505,"○")&gt;0,1,0))</f>
        <v/>
      </c>
      <c r="DO183">
        <f>IF(DO$4=0,0,IF(COUNTIFS(実績!$W$6:$W$505,DO$3,実績!$AC$6:$AC$505,"&lt;="&amp;$A183,実績!$AD$6:$AD$505,"&gt;"&amp;$A183,実績!$AE$6:$AE$505,"○")&gt;0,1,0))</f>
        <v/>
      </c>
      <c r="DP183">
        <f>IF(DP$4=0,0,IF(COUNTIFS(実績!$W$6:$W$505,DP$3,実績!$AC$6:$AC$505,"&lt;="&amp;$A183,実績!$AD$6:$AD$505,"&gt;"&amp;$A183,実績!$AE$6:$AE$505,"○")&gt;0,1,0))</f>
        <v/>
      </c>
      <c r="DQ183">
        <f>IF(DQ$4=0,0,IF(COUNTIFS(実績!$W$6:$W$505,DQ$3,実績!$AC$6:$AC$505,"&lt;="&amp;$A183,実績!$AD$6:$AD$505,"&gt;"&amp;$A183,実績!$AE$6:$AE$505,"○")&gt;0,1,0))</f>
        <v/>
      </c>
      <c r="DR183">
        <f>IF(DR$4=0,0,IF(COUNTIFS(実績!$W$6:$W$505,DR$3,実績!$AC$6:$AC$505,"&lt;="&amp;$A183,実績!$AD$6:$AD$505,"&gt;"&amp;$A183,実績!$AE$6:$AE$505,"○")&gt;0,1,0))</f>
        <v/>
      </c>
      <c r="DS183">
        <f>SUM(C183:DR183)</f>
        <v/>
      </c>
      <c r="DT183">
        <f>SUMPRODUCT((実績!$C$6:$C$505="○")*ISNUMBER(実績!$AF$6:$AF$505)*(実績!$AF$6:$AF$505&lt;=$A183)*(実績!$AG$6:$AG$505&gt;$A183))</f>
        <v/>
      </c>
      <c r="DU183">
        <f>SUMIF($C$2:$DR$2,"製鉄曳船",C183:DR183)</f>
        <v/>
      </c>
      <c r="DV183">
        <f>SUMIF($C$2:$DR$2,"西日本海運",C183:DR183)</f>
        <v/>
      </c>
    </row>
    <row r="184">
      <c r="A184" t="n">
        <v>890</v>
      </c>
      <c r="B184" s="29">
        <f>A184/1440</f>
        <v/>
      </c>
      <c r="C184">
        <f>IF(C$4=0,0,IF(COUNTIFS(実績!$W$6:$W$505,C$3,実績!$AC$6:$AC$505,"&lt;="&amp;$A184,実績!$AD$6:$AD$505,"&gt;"&amp;$A184,実績!$AE$6:$AE$505,"○")&gt;0,1,0))</f>
        <v/>
      </c>
      <c r="D184">
        <f>IF(D$4=0,0,IF(COUNTIFS(実績!$W$6:$W$505,D$3,実績!$AC$6:$AC$505,"&lt;="&amp;$A184,実績!$AD$6:$AD$505,"&gt;"&amp;$A184,実績!$AE$6:$AE$505,"○")&gt;0,1,0))</f>
        <v/>
      </c>
      <c r="E184">
        <f>IF(E$4=0,0,IF(COUNTIFS(実績!$W$6:$W$505,E$3,実績!$AC$6:$AC$505,"&lt;="&amp;$A184,実績!$AD$6:$AD$505,"&gt;"&amp;$A184,実績!$AE$6:$AE$505,"○")&gt;0,1,0))</f>
        <v/>
      </c>
      <c r="F184">
        <f>IF(F$4=0,0,IF(COUNTIFS(実績!$W$6:$W$505,F$3,実績!$AC$6:$AC$505,"&lt;="&amp;$A184,実績!$AD$6:$AD$505,"&gt;"&amp;$A184,実績!$AE$6:$AE$505,"○")&gt;0,1,0))</f>
        <v/>
      </c>
      <c r="G184">
        <f>IF(G$4=0,0,IF(COUNTIFS(実績!$W$6:$W$505,G$3,実績!$AC$6:$AC$505,"&lt;="&amp;$A184,実績!$AD$6:$AD$505,"&gt;"&amp;$A184,実績!$AE$6:$AE$505,"○")&gt;0,1,0))</f>
        <v/>
      </c>
      <c r="H184">
        <f>IF(H$4=0,0,IF(COUNTIFS(実績!$W$6:$W$505,H$3,実績!$AC$6:$AC$505,"&lt;="&amp;$A184,実績!$AD$6:$AD$505,"&gt;"&amp;$A184,実績!$AE$6:$AE$505,"○")&gt;0,1,0))</f>
        <v/>
      </c>
      <c r="I184">
        <f>IF(I$4=0,0,IF(COUNTIFS(実績!$W$6:$W$505,I$3,実績!$AC$6:$AC$505,"&lt;="&amp;$A184,実績!$AD$6:$AD$505,"&gt;"&amp;$A184,実績!$AE$6:$AE$505,"○")&gt;0,1,0))</f>
        <v/>
      </c>
      <c r="J184">
        <f>IF(J$4=0,0,IF(COUNTIFS(実績!$W$6:$W$505,J$3,実績!$AC$6:$AC$505,"&lt;="&amp;$A184,実績!$AD$6:$AD$505,"&gt;"&amp;$A184,実績!$AE$6:$AE$505,"○")&gt;0,1,0))</f>
        <v/>
      </c>
      <c r="K184">
        <f>IF(K$4=0,0,IF(COUNTIFS(実績!$W$6:$W$505,K$3,実績!$AC$6:$AC$505,"&lt;="&amp;$A184,実績!$AD$6:$AD$505,"&gt;"&amp;$A184,実績!$AE$6:$AE$505,"○")&gt;0,1,0))</f>
        <v/>
      </c>
      <c r="L184">
        <f>IF(L$4=0,0,IF(COUNTIFS(実績!$W$6:$W$505,L$3,実績!$AC$6:$AC$505,"&lt;="&amp;$A184,実績!$AD$6:$AD$505,"&gt;"&amp;$A184,実績!$AE$6:$AE$505,"○")&gt;0,1,0))</f>
        <v/>
      </c>
      <c r="M184">
        <f>IF(M$4=0,0,IF(COUNTIFS(実績!$W$6:$W$505,M$3,実績!$AC$6:$AC$505,"&lt;="&amp;$A184,実績!$AD$6:$AD$505,"&gt;"&amp;$A184,実績!$AE$6:$AE$505,"○")&gt;0,1,0))</f>
        <v/>
      </c>
      <c r="N184">
        <f>IF(N$4=0,0,IF(COUNTIFS(実績!$W$6:$W$505,N$3,実績!$AC$6:$AC$505,"&lt;="&amp;$A184,実績!$AD$6:$AD$505,"&gt;"&amp;$A184,実績!$AE$6:$AE$505,"○")&gt;0,1,0))</f>
        <v/>
      </c>
      <c r="O184">
        <f>IF(O$4=0,0,IF(COUNTIFS(実績!$W$6:$W$505,O$3,実績!$AC$6:$AC$505,"&lt;="&amp;$A184,実績!$AD$6:$AD$505,"&gt;"&amp;$A184,実績!$AE$6:$AE$505,"○")&gt;0,1,0))</f>
        <v/>
      </c>
      <c r="P184">
        <f>IF(P$4=0,0,IF(COUNTIFS(実績!$W$6:$W$505,P$3,実績!$AC$6:$AC$505,"&lt;="&amp;$A184,実績!$AD$6:$AD$505,"&gt;"&amp;$A184,実績!$AE$6:$AE$505,"○")&gt;0,1,0))</f>
        <v/>
      </c>
      <c r="Q184">
        <f>IF(Q$4=0,0,IF(COUNTIFS(実績!$W$6:$W$505,Q$3,実績!$AC$6:$AC$505,"&lt;="&amp;$A184,実績!$AD$6:$AD$505,"&gt;"&amp;$A184,実績!$AE$6:$AE$505,"○")&gt;0,1,0))</f>
        <v/>
      </c>
      <c r="R184">
        <f>IF(R$4=0,0,IF(COUNTIFS(実績!$W$6:$W$505,R$3,実績!$AC$6:$AC$505,"&lt;="&amp;$A184,実績!$AD$6:$AD$505,"&gt;"&amp;$A184,実績!$AE$6:$AE$505,"○")&gt;0,1,0))</f>
        <v/>
      </c>
      <c r="S184">
        <f>IF(S$4=0,0,IF(COUNTIFS(実績!$W$6:$W$505,S$3,実績!$AC$6:$AC$505,"&lt;="&amp;$A184,実績!$AD$6:$AD$505,"&gt;"&amp;$A184,実績!$AE$6:$AE$505,"○")&gt;0,1,0))</f>
        <v/>
      </c>
      <c r="T184">
        <f>IF(T$4=0,0,IF(COUNTIFS(実績!$W$6:$W$505,T$3,実績!$AC$6:$AC$505,"&lt;="&amp;$A184,実績!$AD$6:$AD$505,"&gt;"&amp;$A184,実績!$AE$6:$AE$505,"○")&gt;0,1,0))</f>
        <v/>
      </c>
      <c r="U184">
        <f>IF(U$4=0,0,IF(COUNTIFS(実績!$W$6:$W$505,U$3,実績!$AC$6:$AC$505,"&lt;="&amp;$A184,実績!$AD$6:$AD$505,"&gt;"&amp;$A184,実績!$AE$6:$AE$505,"○")&gt;0,1,0))</f>
        <v/>
      </c>
      <c r="V184">
        <f>IF(V$4=0,0,IF(COUNTIFS(実績!$W$6:$W$505,V$3,実績!$AC$6:$AC$505,"&lt;="&amp;$A184,実績!$AD$6:$AD$505,"&gt;"&amp;$A184,実績!$AE$6:$AE$505,"○")&gt;0,1,0))</f>
        <v/>
      </c>
      <c r="W184">
        <f>IF(W$4=0,0,IF(COUNTIFS(実績!$W$6:$W$505,W$3,実績!$AC$6:$AC$505,"&lt;="&amp;$A184,実績!$AD$6:$AD$505,"&gt;"&amp;$A184,実績!$AE$6:$AE$505,"○")&gt;0,1,0))</f>
        <v/>
      </c>
      <c r="X184">
        <f>IF(X$4=0,0,IF(COUNTIFS(実績!$W$6:$W$505,X$3,実績!$AC$6:$AC$505,"&lt;="&amp;$A184,実績!$AD$6:$AD$505,"&gt;"&amp;$A184,実績!$AE$6:$AE$505,"○")&gt;0,1,0))</f>
        <v/>
      </c>
      <c r="Y184">
        <f>IF(Y$4=0,0,IF(COUNTIFS(実績!$W$6:$W$505,Y$3,実績!$AC$6:$AC$505,"&lt;="&amp;$A184,実績!$AD$6:$AD$505,"&gt;"&amp;$A184,実績!$AE$6:$AE$505,"○")&gt;0,1,0))</f>
        <v/>
      </c>
      <c r="Z184">
        <f>IF(Z$4=0,0,IF(COUNTIFS(実績!$W$6:$W$505,Z$3,実績!$AC$6:$AC$505,"&lt;="&amp;$A184,実績!$AD$6:$AD$505,"&gt;"&amp;$A184,実績!$AE$6:$AE$505,"○")&gt;0,1,0))</f>
        <v/>
      </c>
      <c r="AA184">
        <f>IF(AA$4=0,0,IF(COUNTIFS(実績!$W$6:$W$505,AA$3,実績!$AC$6:$AC$505,"&lt;="&amp;$A184,実績!$AD$6:$AD$505,"&gt;"&amp;$A184,実績!$AE$6:$AE$505,"○")&gt;0,1,0))</f>
        <v/>
      </c>
      <c r="AB184">
        <f>IF(AB$4=0,0,IF(COUNTIFS(実績!$W$6:$W$505,AB$3,実績!$AC$6:$AC$505,"&lt;="&amp;$A184,実績!$AD$6:$AD$505,"&gt;"&amp;$A184,実績!$AE$6:$AE$505,"○")&gt;0,1,0))</f>
        <v/>
      </c>
      <c r="AC184">
        <f>IF(AC$4=0,0,IF(COUNTIFS(実績!$W$6:$W$505,AC$3,実績!$AC$6:$AC$505,"&lt;="&amp;$A184,実績!$AD$6:$AD$505,"&gt;"&amp;$A184,実績!$AE$6:$AE$505,"○")&gt;0,1,0))</f>
        <v/>
      </c>
      <c r="AD184">
        <f>IF(AD$4=0,0,IF(COUNTIFS(実績!$W$6:$W$505,AD$3,実績!$AC$6:$AC$505,"&lt;="&amp;$A184,実績!$AD$6:$AD$505,"&gt;"&amp;$A184,実績!$AE$6:$AE$505,"○")&gt;0,1,0))</f>
        <v/>
      </c>
      <c r="AE184">
        <f>IF(AE$4=0,0,IF(COUNTIFS(実績!$W$6:$W$505,AE$3,実績!$AC$6:$AC$505,"&lt;="&amp;$A184,実績!$AD$6:$AD$505,"&gt;"&amp;$A184,実績!$AE$6:$AE$505,"○")&gt;0,1,0))</f>
        <v/>
      </c>
      <c r="AF184">
        <f>IF(AF$4=0,0,IF(COUNTIFS(実績!$W$6:$W$505,AF$3,実績!$AC$6:$AC$505,"&lt;="&amp;$A184,実績!$AD$6:$AD$505,"&gt;"&amp;$A184,実績!$AE$6:$AE$505,"○")&gt;0,1,0))</f>
        <v/>
      </c>
      <c r="AG184">
        <f>IF(AG$4=0,0,IF(COUNTIFS(実績!$W$6:$W$505,AG$3,実績!$AC$6:$AC$505,"&lt;="&amp;$A184,実績!$AD$6:$AD$505,"&gt;"&amp;$A184,実績!$AE$6:$AE$505,"○")&gt;0,1,0))</f>
        <v/>
      </c>
      <c r="AH184">
        <f>IF(AH$4=0,0,IF(COUNTIFS(実績!$W$6:$W$505,AH$3,実績!$AC$6:$AC$505,"&lt;="&amp;$A184,実績!$AD$6:$AD$505,"&gt;"&amp;$A184,実績!$AE$6:$AE$505,"○")&gt;0,1,0))</f>
        <v/>
      </c>
      <c r="AI184">
        <f>IF(AI$4=0,0,IF(COUNTIFS(実績!$W$6:$W$505,AI$3,実績!$AC$6:$AC$505,"&lt;="&amp;$A184,実績!$AD$6:$AD$505,"&gt;"&amp;$A184,実績!$AE$6:$AE$505,"○")&gt;0,1,0))</f>
        <v/>
      </c>
      <c r="AJ184">
        <f>IF(AJ$4=0,0,IF(COUNTIFS(実績!$W$6:$W$505,AJ$3,実績!$AC$6:$AC$505,"&lt;="&amp;$A184,実績!$AD$6:$AD$505,"&gt;"&amp;$A184,実績!$AE$6:$AE$505,"○")&gt;0,1,0))</f>
        <v/>
      </c>
      <c r="AK184">
        <f>IF(AK$4=0,0,IF(COUNTIFS(実績!$W$6:$W$505,AK$3,実績!$AC$6:$AC$505,"&lt;="&amp;$A184,実績!$AD$6:$AD$505,"&gt;"&amp;$A184,実績!$AE$6:$AE$505,"○")&gt;0,1,0))</f>
        <v/>
      </c>
      <c r="AL184">
        <f>IF(AL$4=0,0,IF(COUNTIFS(実績!$W$6:$W$505,AL$3,実績!$AC$6:$AC$505,"&lt;="&amp;$A184,実績!$AD$6:$AD$505,"&gt;"&amp;$A184,実績!$AE$6:$AE$505,"○")&gt;0,1,0))</f>
        <v/>
      </c>
      <c r="AM184">
        <f>IF(AM$4=0,0,IF(COUNTIFS(実績!$W$6:$W$505,AM$3,実績!$AC$6:$AC$505,"&lt;="&amp;$A184,実績!$AD$6:$AD$505,"&gt;"&amp;$A184,実績!$AE$6:$AE$505,"○")&gt;0,1,0))</f>
        <v/>
      </c>
      <c r="AN184">
        <f>IF(AN$4=0,0,IF(COUNTIFS(実績!$W$6:$W$505,AN$3,実績!$AC$6:$AC$505,"&lt;="&amp;$A184,実績!$AD$6:$AD$505,"&gt;"&amp;$A184,実績!$AE$6:$AE$505,"○")&gt;0,1,0))</f>
        <v/>
      </c>
      <c r="AO184">
        <f>IF(AO$4=0,0,IF(COUNTIFS(実績!$W$6:$W$505,AO$3,実績!$AC$6:$AC$505,"&lt;="&amp;$A184,実績!$AD$6:$AD$505,"&gt;"&amp;$A184,実績!$AE$6:$AE$505,"○")&gt;0,1,0))</f>
        <v/>
      </c>
      <c r="AP184">
        <f>IF(AP$4=0,0,IF(COUNTIFS(実績!$W$6:$W$505,AP$3,実績!$AC$6:$AC$505,"&lt;="&amp;$A184,実績!$AD$6:$AD$505,"&gt;"&amp;$A184,実績!$AE$6:$AE$505,"○")&gt;0,1,0))</f>
        <v/>
      </c>
      <c r="AQ184">
        <f>IF(AQ$4=0,0,IF(COUNTIFS(実績!$W$6:$W$505,AQ$3,実績!$AC$6:$AC$505,"&lt;="&amp;$A184,実績!$AD$6:$AD$505,"&gt;"&amp;$A184,実績!$AE$6:$AE$505,"○")&gt;0,1,0))</f>
        <v/>
      </c>
      <c r="AR184">
        <f>IF(AR$4=0,0,IF(COUNTIFS(実績!$W$6:$W$505,AR$3,実績!$AC$6:$AC$505,"&lt;="&amp;$A184,実績!$AD$6:$AD$505,"&gt;"&amp;$A184,実績!$AE$6:$AE$505,"○")&gt;0,1,0))</f>
        <v/>
      </c>
      <c r="AS184">
        <f>IF(AS$4=0,0,IF(COUNTIFS(実績!$W$6:$W$505,AS$3,実績!$AC$6:$AC$505,"&lt;="&amp;$A184,実績!$AD$6:$AD$505,"&gt;"&amp;$A184,実績!$AE$6:$AE$505,"○")&gt;0,1,0))</f>
        <v/>
      </c>
      <c r="AT184">
        <f>IF(AT$4=0,0,IF(COUNTIFS(実績!$W$6:$W$505,AT$3,実績!$AC$6:$AC$505,"&lt;="&amp;$A184,実績!$AD$6:$AD$505,"&gt;"&amp;$A184,実績!$AE$6:$AE$505,"○")&gt;0,1,0))</f>
        <v/>
      </c>
      <c r="AU184">
        <f>IF(AU$4=0,0,IF(COUNTIFS(実績!$W$6:$W$505,AU$3,実績!$AC$6:$AC$505,"&lt;="&amp;$A184,実績!$AD$6:$AD$505,"&gt;"&amp;$A184,実績!$AE$6:$AE$505,"○")&gt;0,1,0))</f>
        <v/>
      </c>
      <c r="AV184">
        <f>IF(AV$4=0,0,IF(COUNTIFS(実績!$W$6:$W$505,AV$3,実績!$AC$6:$AC$505,"&lt;="&amp;$A184,実績!$AD$6:$AD$505,"&gt;"&amp;$A184,実績!$AE$6:$AE$505,"○")&gt;0,1,0))</f>
        <v/>
      </c>
      <c r="AW184">
        <f>IF(AW$4=0,0,IF(COUNTIFS(実績!$W$6:$W$505,AW$3,実績!$AC$6:$AC$505,"&lt;="&amp;$A184,実績!$AD$6:$AD$505,"&gt;"&amp;$A184,実績!$AE$6:$AE$505,"○")&gt;0,1,0))</f>
        <v/>
      </c>
      <c r="AX184">
        <f>IF(AX$4=0,0,IF(COUNTIFS(実績!$W$6:$W$505,AX$3,実績!$AC$6:$AC$505,"&lt;="&amp;$A184,実績!$AD$6:$AD$505,"&gt;"&amp;$A184,実績!$AE$6:$AE$505,"○")&gt;0,1,0))</f>
        <v/>
      </c>
      <c r="AY184">
        <f>IF(AY$4=0,0,IF(COUNTIFS(実績!$W$6:$W$505,AY$3,実績!$AC$6:$AC$505,"&lt;="&amp;$A184,実績!$AD$6:$AD$505,"&gt;"&amp;$A184,実績!$AE$6:$AE$505,"○")&gt;0,1,0))</f>
        <v/>
      </c>
      <c r="AZ184">
        <f>IF(AZ$4=0,0,IF(COUNTIFS(実績!$W$6:$W$505,AZ$3,実績!$AC$6:$AC$505,"&lt;="&amp;$A184,実績!$AD$6:$AD$505,"&gt;"&amp;$A184,実績!$AE$6:$AE$505,"○")&gt;0,1,0))</f>
        <v/>
      </c>
      <c r="BA184">
        <f>IF(BA$4=0,0,IF(COUNTIFS(実績!$W$6:$W$505,BA$3,実績!$AC$6:$AC$505,"&lt;="&amp;$A184,実績!$AD$6:$AD$505,"&gt;"&amp;$A184,実績!$AE$6:$AE$505,"○")&gt;0,1,0))</f>
        <v/>
      </c>
      <c r="BB184">
        <f>IF(BB$4=0,0,IF(COUNTIFS(実績!$W$6:$W$505,BB$3,実績!$AC$6:$AC$505,"&lt;="&amp;$A184,実績!$AD$6:$AD$505,"&gt;"&amp;$A184,実績!$AE$6:$AE$505,"○")&gt;0,1,0))</f>
        <v/>
      </c>
      <c r="BC184">
        <f>IF(BC$4=0,0,IF(COUNTIFS(実績!$W$6:$W$505,BC$3,実績!$AC$6:$AC$505,"&lt;="&amp;$A184,実績!$AD$6:$AD$505,"&gt;"&amp;$A184,実績!$AE$6:$AE$505,"○")&gt;0,1,0))</f>
        <v/>
      </c>
      <c r="BD184">
        <f>IF(BD$4=0,0,IF(COUNTIFS(実績!$W$6:$W$505,BD$3,実績!$AC$6:$AC$505,"&lt;="&amp;$A184,実績!$AD$6:$AD$505,"&gt;"&amp;$A184,実績!$AE$6:$AE$505,"○")&gt;0,1,0))</f>
        <v/>
      </c>
      <c r="BE184">
        <f>IF(BE$4=0,0,IF(COUNTIFS(実績!$W$6:$W$505,BE$3,実績!$AC$6:$AC$505,"&lt;="&amp;$A184,実績!$AD$6:$AD$505,"&gt;"&amp;$A184,実績!$AE$6:$AE$505,"○")&gt;0,1,0))</f>
        <v/>
      </c>
      <c r="BF184">
        <f>IF(BF$4=0,0,IF(COUNTIFS(実績!$W$6:$W$505,BF$3,実績!$AC$6:$AC$505,"&lt;="&amp;$A184,実績!$AD$6:$AD$505,"&gt;"&amp;$A184,実績!$AE$6:$AE$505,"○")&gt;0,1,0))</f>
        <v/>
      </c>
      <c r="BG184">
        <f>IF(BG$4=0,0,IF(COUNTIFS(実績!$W$6:$W$505,BG$3,実績!$AC$6:$AC$505,"&lt;="&amp;$A184,実績!$AD$6:$AD$505,"&gt;"&amp;$A184,実績!$AE$6:$AE$505,"○")&gt;0,1,0))</f>
        <v/>
      </c>
      <c r="BH184">
        <f>IF(BH$4=0,0,IF(COUNTIFS(実績!$W$6:$W$505,BH$3,実績!$AC$6:$AC$505,"&lt;="&amp;$A184,実績!$AD$6:$AD$505,"&gt;"&amp;$A184,実績!$AE$6:$AE$505,"○")&gt;0,1,0))</f>
        <v/>
      </c>
      <c r="BI184">
        <f>IF(BI$4=0,0,IF(COUNTIFS(実績!$W$6:$W$505,BI$3,実績!$AC$6:$AC$505,"&lt;="&amp;$A184,実績!$AD$6:$AD$505,"&gt;"&amp;$A184,実績!$AE$6:$AE$505,"○")&gt;0,1,0))</f>
        <v/>
      </c>
      <c r="BJ184">
        <f>IF(BJ$4=0,0,IF(COUNTIFS(実績!$W$6:$W$505,BJ$3,実績!$AC$6:$AC$505,"&lt;="&amp;$A184,実績!$AD$6:$AD$505,"&gt;"&amp;$A184,実績!$AE$6:$AE$505,"○")&gt;0,1,0))</f>
        <v/>
      </c>
      <c r="BK184">
        <f>IF(BK$4=0,0,IF(COUNTIFS(実績!$W$6:$W$505,BK$3,実績!$AC$6:$AC$505,"&lt;="&amp;$A184,実績!$AD$6:$AD$505,"&gt;"&amp;$A184,実績!$AE$6:$AE$505,"○")&gt;0,1,0))</f>
        <v/>
      </c>
      <c r="BL184">
        <f>IF(BL$4=0,0,IF(COUNTIFS(実績!$W$6:$W$505,BL$3,実績!$AC$6:$AC$505,"&lt;="&amp;$A184,実績!$AD$6:$AD$505,"&gt;"&amp;$A184,実績!$AE$6:$AE$505,"○")&gt;0,1,0))</f>
        <v/>
      </c>
      <c r="BM184">
        <f>IF(BM$4=0,0,IF(COUNTIFS(実績!$W$6:$W$505,BM$3,実績!$AC$6:$AC$505,"&lt;="&amp;$A184,実績!$AD$6:$AD$505,"&gt;"&amp;$A184,実績!$AE$6:$AE$505,"○")&gt;0,1,0))</f>
        <v/>
      </c>
      <c r="BN184">
        <f>IF(BN$4=0,0,IF(COUNTIFS(実績!$W$6:$W$505,BN$3,実績!$AC$6:$AC$505,"&lt;="&amp;$A184,実績!$AD$6:$AD$505,"&gt;"&amp;$A184,実績!$AE$6:$AE$505,"○")&gt;0,1,0))</f>
        <v/>
      </c>
      <c r="BO184">
        <f>IF(BO$4=0,0,IF(COUNTIFS(実績!$W$6:$W$505,BO$3,実績!$AC$6:$AC$505,"&lt;="&amp;$A184,実績!$AD$6:$AD$505,"&gt;"&amp;$A184,実績!$AE$6:$AE$505,"○")&gt;0,1,0))</f>
        <v/>
      </c>
      <c r="BP184">
        <f>IF(BP$4=0,0,IF(COUNTIFS(実績!$W$6:$W$505,BP$3,実績!$AC$6:$AC$505,"&lt;="&amp;$A184,実績!$AD$6:$AD$505,"&gt;"&amp;$A184,実績!$AE$6:$AE$505,"○")&gt;0,1,0))</f>
        <v/>
      </c>
      <c r="BQ184">
        <f>IF(BQ$4=0,0,IF(COUNTIFS(実績!$W$6:$W$505,BQ$3,実績!$AC$6:$AC$505,"&lt;="&amp;$A184,実績!$AD$6:$AD$505,"&gt;"&amp;$A184,実績!$AE$6:$AE$505,"○")&gt;0,1,0))</f>
        <v/>
      </c>
      <c r="BR184">
        <f>IF(BR$4=0,0,IF(COUNTIFS(実績!$W$6:$W$505,BR$3,実績!$AC$6:$AC$505,"&lt;="&amp;$A184,実績!$AD$6:$AD$505,"&gt;"&amp;$A184,実績!$AE$6:$AE$505,"○")&gt;0,1,0))</f>
        <v/>
      </c>
      <c r="BS184">
        <f>IF(BS$4=0,0,IF(COUNTIFS(実績!$W$6:$W$505,BS$3,実績!$AC$6:$AC$505,"&lt;="&amp;$A184,実績!$AD$6:$AD$505,"&gt;"&amp;$A184,実績!$AE$6:$AE$505,"○")&gt;0,1,0))</f>
        <v/>
      </c>
      <c r="BT184">
        <f>IF(BT$4=0,0,IF(COUNTIFS(実績!$W$6:$W$505,BT$3,実績!$AC$6:$AC$505,"&lt;="&amp;$A184,実績!$AD$6:$AD$505,"&gt;"&amp;$A184,実績!$AE$6:$AE$505,"○")&gt;0,1,0))</f>
        <v/>
      </c>
      <c r="BU184">
        <f>IF(BU$4=0,0,IF(COUNTIFS(実績!$W$6:$W$505,BU$3,実績!$AC$6:$AC$505,"&lt;="&amp;$A184,実績!$AD$6:$AD$505,"&gt;"&amp;$A184,実績!$AE$6:$AE$505,"○")&gt;0,1,0))</f>
        <v/>
      </c>
      <c r="BV184">
        <f>IF(BV$4=0,0,IF(COUNTIFS(実績!$W$6:$W$505,BV$3,実績!$AC$6:$AC$505,"&lt;="&amp;$A184,実績!$AD$6:$AD$505,"&gt;"&amp;$A184,実績!$AE$6:$AE$505,"○")&gt;0,1,0))</f>
        <v/>
      </c>
      <c r="BW184">
        <f>IF(BW$4=0,0,IF(COUNTIFS(実績!$W$6:$W$505,BW$3,実績!$AC$6:$AC$505,"&lt;="&amp;$A184,実績!$AD$6:$AD$505,"&gt;"&amp;$A184,実績!$AE$6:$AE$505,"○")&gt;0,1,0))</f>
        <v/>
      </c>
      <c r="BX184">
        <f>IF(BX$4=0,0,IF(COUNTIFS(実績!$W$6:$W$505,BX$3,実績!$AC$6:$AC$505,"&lt;="&amp;$A184,実績!$AD$6:$AD$505,"&gt;"&amp;$A184,実績!$AE$6:$AE$505,"○")&gt;0,1,0))</f>
        <v/>
      </c>
      <c r="BY184">
        <f>IF(BY$4=0,0,IF(COUNTIFS(実績!$W$6:$W$505,BY$3,実績!$AC$6:$AC$505,"&lt;="&amp;$A184,実績!$AD$6:$AD$505,"&gt;"&amp;$A184,実績!$AE$6:$AE$505,"○")&gt;0,1,0))</f>
        <v/>
      </c>
      <c r="BZ184">
        <f>IF(BZ$4=0,0,IF(COUNTIFS(実績!$W$6:$W$505,BZ$3,実績!$AC$6:$AC$505,"&lt;="&amp;$A184,実績!$AD$6:$AD$505,"&gt;"&amp;$A184,実績!$AE$6:$AE$505,"○")&gt;0,1,0))</f>
        <v/>
      </c>
      <c r="CA184">
        <f>IF(CA$4=0,0,IF(COUNTIFS(実績!$W$6:$W$505,CA$3,実績!$AC$6:$AC$505,"&lt;="&amp;$A184,実績!$AD$6:$AD$505,"&gt;"&amp;$A184,実績!$AE$6:$AE$505,"○")&gt;0,1,0))</f>
        <v/>
      </c>
      <c r="CB184">
        <f>IF(CB$4=0,0,IF(COUNTIFS(実績!$W$6:$W$505,CB$3,実績!$AC$6:$AC$505,"&lt;="&amp;$A184,実績!$AD$6:$AD$505,"&gt;"&amp;$A184,実績!$AE$6:$AE$505,"○")&gt;0,1,0))</f>
        <v/>
      </c>
      <c r="CC184">
        <f>IF(CC$4=0,0,IF(COUNTIFS(実績!$W$6:$W$505,CC$3,実績!$AC$6:$AC$505,"&lt;="&amp;$A184,実績!$AD$6:$AD$505,"&gt;"&amp;$A184,実績!$AE$6:$AE$505,"○")&gt;0,1,0))</f>
        <v/>
      </c>
      <c r="CD184">
        <f>IF(CD$4=0,0,IF(COUNTIFS(実績!$W$6:$W$505,CD$3,実績!$AC$6:$AC$505,"&lt;="&amp;$A184,実績!$AD$6:$AD$505,"&gt;"&amp;$A184,実績!$AE$6:$AE$505,"○")&gt;0,1,0))</f>
        <v/>
      </c>
      <c r="CE184">
        <f>IF(CE$4=0,0,IF(COUNTIFS(実績!$W$6:$W$505,CE$3,実績!$AC$6:$AC$505,"&lt;="&amp;$A184,実績!$AD$6:$AD$505,"&gt;"&amp;$A184,実績!$AE$6:$AE$505,"○")&gt;0,1,0))</f>
        <v/>
      </c>
      <c r="CF184">
        <f>IF(CF$4=0,0,IF(COUNTIFS(実績!$W$6:$W$505,CF$3,実績!$AC$6:$AC$505,"&lt;="&amp;$A184,実績!$AD$6:$AD$505,"&gt;"&amp;$A184,実績!$AE$6:$AE$505,"○")&gt;0,1,0))</f>
        <v/>
      </c>
      <c r="CG184">
        <f>IF(CG$4=0,0,IF(COUNTIFS(実績!$W$6:$W$505,CG$3,実績!$AC$6:$AC$505,"&lt;="&amp;$A184,実績!$AD$6:$AD$505,"&gt;"&amp;$A184,実績!$AE$6:$AE$505,"○")&gt;0,1,0))</f>
        <v/>
      </c>
      <c r="CH184">
        <f>IF(CH$4=0,0,IF(COUNTIFS(実績!$W$6:$W$505,CH$3,実績!$AC$6:$AC$505,"&lt;="&amp;$A184,実績!$AD$6:$AD$505,"&gt;"&amp;$A184,実績!$AE$6:$AE$505,"○")&gt;0,1,0))</f>
        <v/>
      </c>
      <c r="CI184">
        <f>IF(CI$4=0,0,IF(COUNTIFS(実績!$W$6:$W$505,CI$3,実績!$AC$6:$AC$505,"&lt;="&amp;$A184,実績!$AD$6:$AD$505,"&gt;"&amp;$A184,実績!$AE$6:$AE$505,"○")&gt;0,1,0))</f>
        <v/>
      </c>
      <c r="CJ184">
        <f>IF(CJ$4=0,0,IF(COUNTIFS(実績!$W$6:$W$505,CJ$3,実績!$AC$6:$AC$505,"&lt;="&amp;$A184,実績!$AD$6:$AD$505,"&gt;"&amp;$A184,実績!$AE$6:$AE$505,"○")&gt;0,1,0))</f>
        <v/>
      </c>
      <c r="CK184">
        <f>IF(CK$4=0,0,IF(COUNTIFS(実績!$W$6:$W$505,CK$3,実績!$AC$6:$AC$505,"&lt;="&amp;$A184,実績!$AD$6:$AD$505,"&gt;"&amp;$A184,実績!$AE$6:$AE$505,"○")&gt;0,1,0))</f>
        <v/>
      </c>
      <c r="CL184">
        <f>IF(CL$4=0,0,IF(COUNTIFS(実績!$W$6:$W$505,CL$3,実績!$AC$6:$AC$505,"&lt;="&amp;$A184,実績!$AD$6:$AD$505,"&gt;"&amp;$A184,実績!$AE$6:$AE$505,"○")&gt;0,1,0))</f>
        <v/>
      </c>
      <c r="CM184">
        <f>IF(CM$4=0,0,IF(COUNTIFS(実績!$W$6:$W$505,CM$3,実績!$AC$6:$AC$505,"&lt;="&amp;$A184,実績!$AD$6:$AD$505,"&gt;"&amp;$A184,実績!$AE$6:$AE$505,"○")&gt;0,1,0))</f>
        <v/>
      </c>
      <c r="CN184">
        <f>IF(CN$4=0,0,IF(COUNTIFS(実績!$W$6:$W$505,CN$3,実績!$AC$6:$AC$505,"&lt;="&amp;$A184,実績!$AD$6:$AD$505,"&gt;"&amp;$A184,実績!$AE$6:$AE$505,"○")&gt;0,1,0))</f>
        <v/>
      </c>
      <c r="CO184">
        <f>IF(CO$4=0,0,IF(COUNTIFS(実績!$W$6:$W$505,CO$3,実績!$AC$6:$AC$505,"&lt;="&amp;$A184,実績!$AD$6:$AD$505,"&gt;"&amp;$A184,実績!$AE$6:$AE$505,"○")&gt;0,1,0))</f>
        <v/>
      </c>
      <c r="CP184">
        <f>IF(CP$4=0,0,IF(COUNTIFS(実績!$W$6:$W$505,CP$3,実績!$AC$6:$AC$505,"&lt;="&amp;$A184,実績!$AD$6:$AD$505,"&gt;"&amp;$A184,実績!$AE$6:$AE$505,"○")&gt;0,1,0))</f>
        <v/>
      </c>
      <c r="CQ184">
        <f>IF(CQ$4=0,0,IF(COUNTIFS(実績!$W$6:$W$505,CQ$3,実績!$AC$6:$AC$505,"&lt;="&amp;$A184,実績!$AD$6:$AD$505,"&gt;"&amp;$A184,実績!$AE$6:$AE$505,"○")&gt;0,1,0))</f>
        <v/>
      </c>
      <c r="CR184">
        <f>IF(CR$4=0,0,IF(COUNTIFS(実績!$W$6:$W$505,CR$3,実績!$AC$6:$AC$505,"&lt;="&amp;$A184,実績!$AD$6:$AD$505,"&gt;"&amp;$A184,実績!$AE$6:$AE$505,"○")&gt;0,1,0))</f>
        <v/>
      </c>
      <c r="CS184">
        <f>IF(CS$4=0,0,IF(COUNTIFS(実績!$W$6:$W$505,CS$3,実績!$AC$6:$AC$505,"&lt;="&amp;$A184,実績!$AD$6:$AD$505,"&gt;"&amp;$A184,実績!$AE$6:$AE$505,"○")&gt;0,1,0))</f>
        <v/>
      </c>
      <c r="CT184">
        <f>IF(CT$4=0,0,IF(COUNTIFS(実績!$W$6:$W$505,CT$3,実績!$AC$6:$AC$505,"&lt;="&amp;$A184,実績!$AD$6:$AD$505,"&gt;"&amp;$A184,実績!$AE$6:$AE$505,"○")&gt;0,1,0))</f>
        <v/>
      </c>
      <c r="CU184">
        <f>IF(CU$4=0,0,IF(COUNTIFS(実績!$W$6:$W$505,CU$3,実績!$AC$6:$AC$505,"&lt;="&amp;$A184,実績!$AD$6:$AD$505,"&gt;"&amp;$A184,実績!$AE$6:$AE$505,"○")&gt;0,1,0))</f>
        <v/>
      </c>
      <c r="CV184">
        <f>IF(CV$4=0,0,IF(COUNTIFS(実績!$W$6:$W$505,CV$3,実績!$AC$6:$AC$505,"&lt;="&amp;$A184,実績!$AD$6:$AD$505,"&gt;"&amp;$A184,実績!$AE$6:$AE$505,"○")&gt;0,1,0))</f>
        <v/>
      </c>
      <c r="CW184">
        <f>IF(CW$4=0,0,IF(COUNTIFS(実績!$W$6:$W$505,CW$3,実績!$AC$6:$AC$505,"&lt;="&amp;$A184,実績!$AD$6:$AD$505,"&gt;"&amp;$A184,実績!$AE$6:$AE$505,"○")&gt;0,1,0))</f>
        <v/>
      </c>
      <c r="CX184">
        <f>IF(CX$4=0,0,IF(COUNTIFS(実績!$W$6:$W$505,CX$3,実績!$AC$6:$AC$505,"&lt;="&amp;$A184,実績!$AD$6:$AD$505,"&gt;"&amp;$A184,実績!$AE$6:$AE$505,"○")&gt;0,1,0))</f>
        <v/>
      </c>
      <c r="CY184">
        <f>IF(CY$4=0,0,IF(COUNTIFS(実績!$W$6:$W$505,CY$3,実績!$AC$6:$AC$505,"&lt;="&amp;$A184,実績!$AD$6:$AD$505,"&gt;"&amp;$A184,実績!$AE$6:$AE$505,"○")&gt;0,1,0))</f>
        <v/>
      </c>
      <c r="CZ184">
        <f>IF(CZ$4=0,0,IF(COUNTIFS(実績!$W$6:$W$505,CZ$3,実績!$AC$6:$AC$505,"&lt;="&amp;$A184,実績!$AD$6:$AD$505,"&gt;"&amp;$A184,実績!$AE$6:$AE$505,"○")&gt;0,1,0))</f>
        <v/>
      </c>
      <c r="DA184">
        <f>IF(DA$4=0,0,IF(COUNTIFS(実績!$W$6:$W$505,DA$3,実績!$AC$6:$AC$505,"&lt;="&amp;$A184,実績!$AD$6:$AD$505,"&gt;"&amp;$A184,実績!$AE$6:$AE$505,"○")&gt;0,1,0))</f>
        <v/>
      </c>
      <c r="DB184">
        <f>IF(DB$4=0,0,IF(COUNTIFS(実績!$W$6:$W$505,DB$3,実績!$AC$6:$AC$505,"&lt;="&amp;$A184,実績!$AD$6:$AD$505,"&gt;"&amp;$A184,実績!$AE$6:$AE$505,"○")&gt;0,1,0))</f>
        <v/>
      </c>
      <c r="DC184">
        <f>IF(DC$4=0,0,IF(COUNTIFS(実績!$W$6:$W$505,DC$3,実績!$AC$6:$AC$505,"&lt;="&amp;$A184,実績!$AD$6:$AD$505,"&gt;"&amp;$A184,実績!$AE$6:$AE$505,"○")&gt;0,1,0))</f>
        <v/>
      </c>
      <c r="DD184">
        <f>IF(DD$4=0,0,IF(COUNTIFS(実績!$W$6:$W$505,DD$3,実績!$AC$6:$AC$505,"&lt;="&amp;$A184,実績!$AD$6:$AD$505,"&gt;"&amp;$A184,実績!$AE$6:$AE$505,"○")&gt;0,1,0))</f>
        <v/>
      </c>
      <c r="DE184">
        <f>IF(DE$4=0,0,IF(COUNTIFS(実績!$W$6:$W$505,DE$3,実績!$AC$6:$AC$505,"&lt;="&amp;$A184,実績!$AD$6:$AD$505,"&gt;"&amp;$A184,実績!$AE$6:$AE$505,"○")&gt;0,1,0))</f>
        <v/>
      </c>
      <c r="DF184">
        <f>IF(DF$4=0,0,IF(COUNTIFS(実績!$W$6:$W$505,DF$3,実績!$AC$6:$AC$505,"&lt;="&amp;$A184,実績!$AD$6:$AD$505,"&gt;"&amp;$A184,実績!$AE$6:$AE$505,"○")&gt;0,1,0))</f>
        <v/>
      </c>
      <c r="DG184">
        <f>IF(DG$4=0,0,IF(COUNTIFS(実績!$W$6:$W$505,DG$3,実績!$AC$6:$AC$505,"&lt;="&amp;$A184,実績!$AD$6:$AD$505,"&gt;"&amp;$A184,実績!$AE$6:$AE$505,"○")&gt;0,1,0))</f>
        <v/>
      </c>
      <c r="DH184">
        <f>IF(DH$4=0,0,IF(COUNTIFS(実績!$W$6:$W$505,DH$3,実績!$AC$6:$AC$505,"&lt;="&amp;$A184,実績!$AD$6:$AD$505,"&gt;"&amp;$A184,実績!$AE$6:$AE$505,"○")&gt;0,1,0))</f>
        <v/>
      </c>
      <c r="DI184">
        <f>IF(DI$4=0,0,IF(COUNTIFS(実績!$W$6:$W$505,DI$3,実績!$AC$6:$AC$505,"&lt;="&amp;$A184,実績!$AD$6:$AD$505,"&gt;"&amp;$A184,実績!$AE$6:$AE$505,"○")&gt;0,1,0))</f>
        <v/>
      </c>
      <c r="DJ184">
        <f>IF(DJ$4=0,0,IF(COUNTIFS(実績!$W$6:$W$505,DJ$3,実績!$AC$6:$AC$505,"&lt;="&amp;$A184,実績!$AD$6:$AD$505,"&gt;"&amp;$A184,実績!$AE$6:$AE$505,"○")&gt;0,1,0))</f>
        <v/>
      </c>
      <c r="DK184">
        <f>IF(DK$4=0,0,IF(COUNTIFS(実績!$W$6:$W$505,DK$3,実績!$AC$6:$AC$505,"&lt;="&amp;$A184,実績!$AD$6:$AD$505,"&gt;"&amp;$A184,実績!$AE$6:$AE$505,"○")&gt;0,1,0))</f>
        <v/>
      </c>
      <c r="DL184">
        <f>IF(DL$4=0,0,IF(COUNTIFS(実績!$W$6:$W$505,DL$3,実績!$AC$6:$AC$505,"&lt;="&amp;$A184,実績!$AD$6:$AD$505,"&gt;"&amp;$A184,実績!$AE$6:$AE$505,"○")&gt;0,1,0))</f>
        <v/>
      </c>
      <c r="DM184">
        <f>IF(DM$4=0,0,IF(COUNTIFS(実績!$W$6:$W$505,DM$3,実績!$AC$6:$AC$505,"&lt;="&amp;$A184,実績!$AD$6:$AD$505,"&gt;"&amp;$A184,実績!$AE$6:$AE$505,"○")&gt;0,1,0))</f>
        <v/>
      </c>
      <c r="DN184">
        <f>IF(DN$4=0,0,IF(COUNTIFS(実績!$W$6:$W$505,DN$3,実績!$AC$6:$AC$505,"&lt;="&amp;$A184,実績!$AD$6:$AD$505,"&gt;"&amp;$A184,実績!$AE$6:$AE$505,"○")&gt;0,1,0))</f>
        <v/>
      </c>
      <c r="DO184">
        <f>IF(DO$4=0,0,IF(COUNTIFS(実績!$W$6:$W$505,DO$3,実績!$AC$6:$AC$505,"&lt;="&amp;$A184,実績!$AD$6:$AD$505,"&gt;"&amp;$A184,実績!$AE$6:$AE$505,"○")&gt;0,1,0))</f>
        <v/>
      </c>
      <c r="DP184">
        <f>IF(DP$4=0,0,IF(COUNTIFS(実績!$W$6:$W$505,DP$3,実績!$AC$6:$AC$505,"&lt;="&amp;$A184,実績!$AD$6:$AD$505,"&gt;"&amp;$A184,実績!$AE$6:$AE$505,"○")&gt;0,1,0))</f>
        <v/>
      </c>
      <c r="DQ184">
        <f>IF(DQ$4=0,0,IF(COUNTIFS(実績!$W$6:$W$505,DQ$3,実績!$AC$6:$AC$505,"&lt;="&amp;$A184,実績!$AD$6:$AD$505,"&gt;"&amp;$A184,実績!$AE$6:$AE$505,"○")&gt;0,1,0))</f>
        <v/>
      </c>
      <c r="DR184">
        <f>IF(DR$4=0,0,IF(COUNTIFS(実績!$W$6:$W$505,DR$3,実績!$AC$6:$AC$505,"&lt;="&amp;$A184,実績!$AD$6:$AD$505,"&gt;"&amp;$A184,実績!$AE$6:$AE$505,"○")&gt;0,1,0))</f>
        <v/>
      </c>
      <c r="DS184">
        <f>SUM(C184:DR184)</f>
        <v/>
      </c>
      <c r="DT184">
        <f>SUMPRODUCT((実績!$C$6:$C$505="○")*ISNUMBER(実績!$AF$6:$AF$505)*(実績!$AF$6:$AF$505&lt;=$A184)*(実績!$AG$6:$AG$505&gt;$A184))</f>
        <v/>
      </c>
      <c r="DU184">
        <f>SUMIF($C$2:$DR$2,"製鉄曳船",C184:DR184)</f>
        <v/>
      </c>
      <c r="DV184">
        <f>SUMIF($C$2:$DR$2,"西日本海運",C184:DR184)</f>
        <v/>
      </c>
    </row>
    <row r="185">
      <c r="A185" t="n">
        <v>895</v>
      </c>
      <c r="B185" s="29">
        <f>A185/1440</f>
        <v/>
      </c>
      <c r="C185">
        <f>IF(C$4=0,0,IF(COUNTIFS(実績!$W$6:$W$505,C$3,実績!$AC$6:$AC$505,"&lt;="&amp;$A185,実績!$AD$6:$AD$505,"&gt;"&amp;$A185,実績!$AE$6:$AE$505,"○")&gt;0,1,0))</f>
        <v/>
      </c>
      <c r="D185">
        <f>IF(D$4=0,0,IF(COUNTIFS(実績!$W$6:$W$505,D$3,実績!$AC$6:$AC$505,"&lt;="&amp;$A185,実績!$AD$6:$AD$505,"&gt;"&amp;$A185,実績!$AE$6:$AE$505,"○")&gt;0,1,0))</f>
        <v/>
      </c>
      <c r="E185">
        <f>IF(E$4=0,0,IF(COUNTIFS(実績!$W$6:$W$505,E$3,実績!$AC$6:$AC$505,"&lt;="&amp;$A185,実績!$AD$6:$AD$505,"&gt;"&amp;$A185,実績!$AE$6:$AE$505,"○")&gt;0,1,0))</f>
        <v/>
      </c>
      <c r="F185">
        <f>IF(F$4=0,0,IF(COUNTIFS(実績!$W$6:$W$505,F$3,実績!$AC$6:$AC$505,"&lt;="&amp;$A185,実績!$AD$6:$AD$505,"&gt;"&amp;$A185,実績!$AE$6:$AE$505,"○")&gt;0,1,0))</f>
        <v/>
      </c>
      <c r="G185">
        <f>IF(G$4=0,0,IF(COUNTIFS(実績!$W$6:$W$505,G$3,実績!$AC$6:$AC$505,"&lt;="&amp;$A185,実績!$AD$6:$AD$505,"&gt;"&amp;$A185,実績!$AE$6:$AE$505,"○")&gt;0,1,0))</f>
        <v/>
      </c>
      <c r="H185">
        <f>IF(H$4=0,0,IF(COUNTIFS(実績!$W$6:$W$505,H$3,実績!$AC$6:$AC$505,"&lt;="&amp;$A185,実績!$AD$6:$AD$505,"&gt;"&amp;$A185,実績!$AE$6:$AE$505,"○")&gt;0,1,0))</f>
        <v/>
      </c>
      <c r="I185">
        <f>IF(I$4=0,0,IF(COUNTIFS(実績!$W$6:$W$505,I$3,実績!$AC$6:$AC$505,"&lt;="&amp;$A185,実績!$AD$6:$AD$505,"&gt;"&amp;$A185,実績!$AE$6:$AE$505,"○")&gt;0,1,0))</f>
        <v/>
      </c>
      <c r="J185">
        <f>IF(J$4=0,0,IF(COUNTIFS(実績!$W$6:$W$505,J$3,実績!$AC$6:$AC$505,"&lt;="&amp;$A185,実績!$AD$6:$AD$505,"&gt;"&amp;$A185,実績!$AE$6:$AE$505,"○")&gt;0,1,0))</f>
        <v/>
      </c>
      <c r="K185">
        <f>IF(K$4=0,0,IF(COUNTIFS(実績!$W$6:$W$505,K$3,実績!$AC$6:$AC$505,"&lt;="&amp;$A185,実績!$AD$6:$AD$505,"&gt;"&amp;$A185,実績!$AE$6:$AE$505,"○")&gt;0,1,0))</f>
        <v/>
      </c>
      <c r="L185">
        <f>IF(L$4=0,0,IF(COUNTIFS(実績!$W$6:$W$505,L$3,実績!$AC$6:$AC$505,"&lt;="&amp;$A185,実績!$AD$6:$AD$505,"&gt;"&amp;$A185,実績!$AE$6:$AE$505,"○")&gt;0,1,0))</f>
        <v/>
      </c>
      <c r="M185">
        <f>IF(M$4=0,0,IF(COUNTIFS(実績!$W$6:$W$505,M$3,実績!$AC$6:$AC$505,"&lt;="&amp;$A185,実績!$AD$6:$AD$505,"&gt;"&amp;$A185,実績!$AE$6:$AE$505,"○")&gt;0,1,0))</f>
        <v/>
      </c>
      <c r="N185">
        <f>IF(N$4=0,0,IF(COUNTIFS(実績!$W$6:$W$505,N$3,実績!$AC$6:$AC$505,"&lt;="&amp;$A185,実績!$AD$6:$AD$505,"&gt;"&amp;$A185,実績!$AE$6:$AE$505,"○")&gt;0,1,0))</f>
        <v/>
      </c>
      <c r="O185">
        <f>IF(O$4=0,0,IF(COUNTIFS(実績!$W$6:$W$505,O$3,実績!$AC$6:$AC$505,"&lt;="&amp;$A185,実績!$AD$6:$AD$505,"&gt;"&amp;$A185,実績!$AE$6:$AE$505,"○")&gt;0,1,0))</f>
        <v/>
      </c>
      <c r="P185">
        <f>IF(P$4=0,0,IF(COUNTIFS(実績!$W$6:$W$505,P$3,実績!$AC$6:$AC$505,"&lt;="&amp;$A185,実績!$AD$6:$AD$505,"&gt;"&amp;$A185,実績!$AE$6:$AE$505,"○")&gt;0,1,0))</f>
        <v/>
      </c>
      <c r="Q185">
        <f>IF(Q$4=0,0,IF(COUNTIFS(実績!$W$6:$W$505,Q$3,実績!$AC$6:$AC$505,"&lt;="&amp;$A185,実績!$AD$6:$AD$505,"&gt;"&amp;$A185,実績!$AE$6:$AE$505,"○")&gt;0,1,0))</f>
        <v/>
      </c>
      <c r="R185">
        <f>IF(R$4=0,0,IF(COUNTIFS(実績!$W$6:$W$505,R$3,実績!$AC$6:$AC$505,"&lt;="&amp;$A185,実績!$AD$6:$AD$505,"&gt;"&amp;$A185,実績!$AE$6:$AE$505,"○")&gt;0,1,0))</f>
        <v/>
      </c>
      <c r="S185">
        <f>IF(S$4=0,0,IF(COUNTIFS(実績!$W$6:$W$505,S$3,実績!$AC$6:$AC$505,"&lt;="&amp;$A185,実績!$AD$6:$AD$505,"&gt;"&amp;$A185,実績!$AE$6:$AE$505,"○")&gt;0,1,0))</f>
        <v/>
      </c>
      <c r="T185">
        <f>IF(T$4=0,0,IF(COUNTIFS(実績!$W$6:$W$505,T$3,実績!$AC$6:$AC$505,"&lt;="&amp;$A185,実績!$AD$6:$AD$505,"&gt;"&amp;$A185,実績!$AE$6:$AE$505,"○")&gt;0,1,0))</f>
        <v/>
      </c>
      <c r="U185">
        <f>IF(U$4=0,0,IF(COUNTIFS(実績!$W$6:$W$505,U$3,実績!$AC$6:$AC$505,"&lt;="&amp;$A185,実績!$AD$6:$AD$505,"&gt;"&amp;$A185,実績!$AE$6:$AE$505,"○")&gt;0,1,0))</f>
        <v/>
      </c>
      <c r="V185">
        <f>IF(V$4=0,0,IF(COUNTIFS(実績!$W$6:$W$505,V$3,実績!$AC$6:$AC$505,"&lt;="&amp;$A185,実績!$AD$6:$AD$505,"&gt;"&amp;$A185,実績!$AE$6:$AE$505,"○")&gt;0,1,0))</f>
        <v/>
      </c>
      <c r="W185">
        <f>IF(W$4=0,0,IF(COUNTIFS(実績!$W$6:$W$505,W$3,実績!$AC$6:$AC$505,"&lt;="&amp;$A185,実績!$AD$6:$AD$505,"&gt;"&amp;$A185,実績!$AE$6:$AE$505,"○")&gt;0,1,0))</f>
        <v/>
      </c>
      <c r="X185">
        <f>IF(X$4=0,0,IF(COUNTIFS(実績!$W$6:$W$505,X$3,実績!$AC$6:$AC$505,"&lt;="&amp;$A185,実績!$AD$6:$AD$505,"&gt;"&amp;$A185,実績!$AE$6:$AE$505,"○")&gt;0,1,0))</f>
        <v/>
      </c>
      <c r="Y185">
        <f>IF(Y$4=0,0,IF(COUNTIFS(実績!$W$6:$W$505,Y$3,実績!$AC$6:$AC$505,"&lt;="&amp;$A185,実績!$AD$6:$AD$505,"&gt;"&amp;$A185,実績!$AE$6:$AE$505,"○")&gt;0,1,0))</f>
        <v/>
      </c>
      <c r="Z185">
        <f>IF(Z$4=0,0,IF(COUNTIFS(実績!$W$6:$W$505,Z$3,実績!$AC$6:$AC$505,"&lt;="&amp;$A185,実績!$AD$6:$AD$505,"&gt;"&amp;$A185,実績!$AE$6:$AE$505,"○")&gt;0,1,0))</f>
        <v/>
      </c>
      <c r="AA185">
        <f>IF(AA$4=0,0,IF(COUNTIFS(実績!$W$6:$W$505,AA$3,実績!$AC$6:$AC$505,"&lt;="&amp;$A185,実績!$AD$6:$AD$505,"&gt;"&amp;$A185,実績!$AE$6:$AE$505,"○")&gt;0,1,0))</f>
        <v/>
      </c>
      <c r="AB185">
        <f>IF(AB$4=0,0,IF(COUNTIFS(実績!$W$6:$W$505,AB$3,実績!$AC$6:$AC$505,"&lt;="&amp;$A185,実績!$AD$6:$AD$505,"&gt;"&amp;$A185,実績!$AE$6:$AE$505,"○")&gt;0,1,0))</f>
        <v/>
      </c>
      <c r="AC185">
        <f>IF(AC$4=0,0,IF(COUNTIFS(実績!$W$6:$W$505,AC$3,実績!$AC$6:$AC$505,"&lt;="&amp;$A185,実績!$AD$6:$AD$505,"&gt;"&amp;$A185,実績!$AE$6:$AE$505,"○")&gt;0,1,0))</f>
        <v/>
      </c>
      <c r="AD185">
        <f>IF(AD$4=0,0,IF(COUNTIFS(実績!$W$6:$W$505,AD$3,実績!$AC$6:$AC$505,"&lt;="&amp;$A185,実績!$AD$6:$AD$505,"&gt;"&amp;$A185,実績!$AE$6:$AE$505,"○")&gt;0,1,0))</f>
        <v/>
      </c>
      <c r="AE185">
        <f>IF(AE$4=0,0,IF(COUNTIFS(実績!$W$6:$W$505,AE$3,実績!$AC$6:$AC$505,"&lt;="&amp;$A185,実績!$AD$6:$AD$505,"&gt;"&amp;$A185,実績!$AE$6:$AE$505,"○")&gt;0,1,0))</f>
        <v/>
      </c>
      <c r="AF185">
        <f>IF(AF$4=0,0,IF(COUNTIFS(実績!$W$6:$W$505,AF$3,実績!$AC$6:$AC$505,"&lt;="&amp;$A185,実績!$AD$6:$AD$505,"&gt;"&amp;$A185,実績!$AE$6:$AE$505,"○")&gt;0,1,0))</f>
        <v/>
      </c>
      <c r="AG185">
        <f>IF(AG$4=0,0,IF(COUNTIFS(実績!$W$6:$W$505,AG$3,実績!$AC$6:$AC$505,"&lt;="&amp;$A185,実績!$AD$6:$AD$505,"&gt;"&amp;$A185,実績!$AE$6:$AE$505,"○")&gt;0,1,0))</f>
        <v/>
      </c>
      <c r="AH185">
        <f>IF(AH$4=0,0,IF(COUNTIFS(実績!$W$6:$W$505,AH$3,実績!$AC$6:$AC$505,"&lt;="&amp;$A185,実績!$AD$6:$AD$505,"&gt;"&amp;$A185,実績!$AE$6:$AE$505,"○")&gt;0,1,0))</f>
        <v/>
      </c>
      <c r="AI185">
        <f>IF(AI$4=0,0,IF(COUNTIFS(実績!$W$6:$W$505,AI$3,実績!$AC$6:$AC$505,"&lt;="&amp;$A185,実績!$AD$6:$AD$505,"&gt;"&amp;$A185,実績!$AE$6:$AE$505,"○")&gt;0,1,0))</f>
        <v/>
      </c>
      <c r="AJ185">
        <f>IF(AJ$4=0,0,IF(COUNTIFS(実績!$W$6:$W$505,AJ$3,実績!$AC$6:$AC$505,"&lt;="&amp;$A185,実績!$AD$6:$AD$505,"&gt;"&amp;$A185,実績!$AE$6:$AE$505,"○")&gt;0,1,0))</f>
        <v/>
      </c>
      <c r="AK185">
        <f>IF(AK$4=0,0,IF(COUNTIFS(実績!$W$6:$W$505,AK$3,実績!$AC$6:$AC$505,"&lt;="&amp;$A185,実績!$AD$6:$AD$505,"&gt;"&amp;$A185,実績!$AE$6:$AE$505,"○")&gt;0,1,0))</f>
        <v/>
      </c>
      <c r="AL185">
        <f>IF(AL$4=0,0,IF(COUNTIFS(実績!$W$6:$W$505,AL$3,実績!$AC$6:$AC$505,"&lt;="&amp;$A185,実績!$AD$6:$AD$505,"&gt;"&amp;$A185,実績!$AE$6:$AE$505,"○")&gt;0,1,0))</f>
        <v/>
      </c>
      <c r="AM185">
        <f>IF(AM$4=0,0,IF(COUNTIFS(実績!$W$6:$W$505,AM$3,実績!$AC$6:$AC$505,"&lt;="&amp;$A185,実績!$AD$6:$AD$505,"&gt;"&amp;$A185,実績!$AE$6:$AE$505,"○")&gt;0,1,0))</f>
        <v/>
      </c>
      <c r="AN185">
        <f>IF(AN$4=0,0,IF(COUNTIFS(実績!$W$6:$W$505,AN$3,実績!$AC$6:$AC$505,"&lt;="&amp;$A185,実績!$AD$6:$AD$505,"&gt;"&amp;$A185,実績!$AE$6:$AE$505,"○")&gt;0,1,0))</f>
        <v/>
      </c>
      <c r="AO185">
        <f>IF(AO$4=0,0,IF(COUNTIFS(実績!$W$6:$W$505,AO$3,実績!$AC$6:$AC$505,"&lt;="&amp;$A185,実績!$AD$6:$AD$505,"&gt;"&amp;$A185,実績!$AE$6:$AE$505,"○")&gt;0,1,0))</f>
        <v/>
      </c>
      <c r="AP185">
        <f>IF(AP$4=0,0,IF(COUNTIFS(実績!$W$6:$W$505,AP$3,実績!$AC$6:$AC$505,"&lt;="&amp;$A185,実績!$AD$6:$AD$505,"&gt;"&amp;$A185,実績!$AE$6:$AE$505,"○")&gt;0,1,0))</f>
        <v/>
      </c>
      <c r="AQ185">
        <f>IF(AQ$4=0,0,IF(COUNTIFS(実績!$W$6:$W$505,AQ$3,実績!$AC$6:$AC$505,"&lt;="&amp;$A185,実績!$AD$6:$AD$505,"&gt;"&amp;$A185,実績!$AE$6:$AE$505,"○")&gt;0,1,0))</f>
        <v/>
      </c>
      <c r="AR185">
        <f>IF(AR$4=0,0,IF(COUNTIFS(実績!$W$6:$W$505,AR$3,実績!$AC$6:$AC$505,"&lt;="&amp;$A185,実績!$AD$6:$AD$505,"&gt;"&amp;$A185,実績!$AE$6:$AE$505,"○")&gt;0,1,0))</f>
        <v/>
      </c>
      <c r="AS185">
        <f>IF(AS$4=0,0,IF(COUNTIFS(実績!$W$6:$W$505,AS$3,実績!$AC$6:$AC$505,"&lt;="&amp;$A185,実績!$AD$6:$AD$505,"&gt;"&amp;$A185,実績!$AE$6:$AE$505,"○")&gt;0,1,0))</f>
        <v/>
      </c>
      <c r="AT185">
        <f>IF(AT$4=0,0,IF(COUNTIFS(実績!$W$6:$W$505,AT$3,実績!$AC$6:$AC$505,"&lt;="&amp;$A185,実績!$AD$6:$AD$505,"&gt;"&amp;$A185,実績!$AE$6:$AE$505,"○")&gt;0,1,0))</f>
        <v/>
      </c>
      <c r="AU185">
        <f>IF(AU$4=0,0,IF(COUNTIFS(実績!$W$6:$W$505,AU$3,実績!$AC$6:$AC$505,"&lt;="&amp;$A185,実績!$AD$6:$AD$505,"&gt;"&amp;$A185,実績!$AE$6:$AE$505,"○")&gt;0,1,0))</f>
        <v/>
      </c>
      <c r="AV185">
        <f>IF(AV$4=0,0,IF(COUNTIFS(実績!$W$6:$W$505,AV$3,実績!$AC$6:$AC$505,"&lt;="&amp;$A185,実績!$AD$6:$AD$505,"&gt;"&amp;$A185,実績!$AE$6:$AE$505,"○")&gt;0,1,0))</f>
        <v/>
      </c>
      <c r="AW185">
        <f>IF(AW$4=0,0,IF(COUNTIFS(実績!$W$6:$W$505,AW$3,実績!$AC$6:$AC$505,"&lt;="&amp;$A185,実績!$AD$6:$AD$505,"&gt;"&amp;$A185,実績!$AE$6:$AE$505,"○")&gt;0,1,0))</f>
        <v/>
      </c>
      <c r="AX185">
        <f>IF(AX$4=0,0,IF(COUNTIFS(実績!$W$6:$W$505,AX$3,実績!$AC$6:$AC$505,"&lt;="&amp;$A185,実績!$AD$6:$AD$505,"&gt;"&amp;$A185,実績!$AE$6:$AE$505,"○")&gt;0,1,0))</f>
        <v/>
      </c>
      <c r="AY185">
        <f>IF(AY$4=0,0,IF(COUNTIFS(実績!$W$6:$W$505,AY$3,実績!$AC$6:$AC$505,"&lt;="&amp;$A185,実績!$AD$6:$AD$505,"&gt;"&amp;$A185,実績!$AE$6:$AE$505,"○")&gt;0,1,0))</f>
        <v/>
      </c>
      <c r="AZ185">
        <f>IF(AZ$4=0,0,IF(COUNTIFS(実績!$W$6:$W$505,AZ$3,実績!$AC$6:$AC$505,"&lt;="&amp;$A185,実績!$AD$6:$AD$505,"&gt;"&amp;$A185,実績!$AE$6:$AE$505,"○")&gt;0,1,0))</f>
        <v/>
      </c>
      <c r="BA185">
        <f>IF(BA$4=0,0,IF(COUNTIFS(実績!$W$6:$W$505,BA$3,実績!$AC$6:$AC$505,"&lt;="&amp;$A185,実績!$AD$6:$AD$505,"&gt;"&amp;$A185,実績!$AE$6:$AE$505,"○")&gt;0,1,0))</f>
        <v/>
      </c>
      <c r="BB185">
        <f>IF(BB$4=0,0,IF(COUNTIFS(実績!$W$6:$W$505,BB$3,実績!$AC$6:$AC$505,"&lt;="&amp;$A185,実績!$AD$6:$AD$505,"&gt;"&amp;$A185,実績!$AE$6:$AE$505,"○")&gt;0,1,0))</f>
        <v/>
      </c>
      <c r="BC185">
        <f>IF(BC$4=0,0,IF(COUNTIFS(実績!$W$6:$W$505,BC$3,実績!$AC$6:$AC$505,"&lt;="&amp;$A185,実績!$AD$6:$AD$505,"&gt;"&amp;$A185,実績!$AE$6:$AE$505,"○")&gt;0,1,0))</f>
        <v/>
      </c>
      <c r="BD185">
        <f>IF(BD$4=0,0,IF(COUNTIFS(実績!$W$6:$W$505,BD$3,実績!$AC$6:$AC$505,"&lt;="&amp;$A185,実績!$AD$6:$AD$505,"&gt;"&amp;$A185,実績!$AE$6:$AE$505,"○")&gt;0,1,0))</f>
        <v/>
      </c>
      <c r="BE185">
        <f>IF(BE$4=0,0,IF(COUNTIFS(実績!$W$6:$W$505,BE$3,実績!$AC$6:$AC$505,"&lt;="&amp;$A185,実績!$AD$6:$AD$505,"&gt;"&amp;$A185,実績!$AE$6:$AE$505,"○")&gt;0,1,0))</f>
        <v/>
      </c>
      <c r="BF185">
        <f>IF(BF$4=0,0,IF(COUNTIFS(実績!$W$6:$W$505,BF$3,実績!$AC$6:$AC$505,"&lt;="&amp;$A185,実績!$AD$6:$AD$505,"&gt;"&amp;$A185,実績!$AE$6:$AE$505,"○")&gt;0,1,0))</f>
        <v/>
      </c>
      <c r="BG185">
        <f>IF(BG$4=0,0,IF(COUNTIFS(実績!$W$6:$W$505,BG$3,実績!$AC$6:$AC$505,"&lt;="&amp;$A185,実績!$AD$6:$AD$505,"&gt;"&amp;$A185,実績!$AE$6:$AE$505,"○")&gt;0,1,0))</f>
        <v/>
      </c>
      <c r="BH185">
        <f>IF(BH$4=0,0,IF(COUNTIFS(実績!$W$6:$W$505,BH$3,実績!$AC$6:$AC$505,"&lt;="&amp;$A185,実績!$AD$6:$AD$505,"&gt;"&amp;$A185,実績!$AE$6:$AE$505,"○")&gt;0,1,0))</f>
        <v/>
      </c>
      <c r="BI185">
        <f>IF(BI$4=0,0,IF(COUNTIFS(実績!$W$6:$W$505,BI$3,実績!$AC$6:$AC$505,"&lt;="&amp;$A185,実績!$AD$6:$AD$505,"&gt;"&amp;$A185,実績!$AE$6:$AE$505,"○")&gt;0,1,0))</f>
        <v/>
      </c>
      <c r="BJ185">
        <f>IF(BJ$4=0,0,IF(COUNTIFS(実績!$W$6:$W$505,BJ$3,実績!$AC$6:$AC$505,"&lt;="&amp;$A185,実績!$AD$6:$AD$505,"&gt;"&amp;$A185,実績!$AE$6:$AE$505,"○")&gt;0,1,0))</f>
        <v/>
      </c>
      <c r="BK185">
        <f>IF(BK$4=0,0,IF(COUNTIFS(実績!$W$6:$W$505,BK$3,実績!$AC$6:$AC$505,"&lt;="&amp;$A185,実績!$AD$6:$AD$505,"&gt;"&amp;$A185,実績!$AE$6:$AE$505,"○")&gt;0,1,0))</f>
        <v/>
      </c>
      <c r="BL185">
        <f>IF(BL$4=0,0,IF(COUNTIFS(実績!$W$6:$W$505,BL$3,実績!$AC$6:$AC$505,"&lt;="&amp;$A185,実績!$AD$6:$AD$505,"&gt;"&amp;$A185,実績!$AE$6:$AE$505,"○")&gt;0,1,0))</f>
        <v/>
      </c>
      <c r="BM185">
        <f>IF(BM$4=0,0,IF(COUNTIFS(実績!$W$6:$W$505,BM$3,実績!$AC$6:$AC$505,"&lt;="&amp;$A185,実績!$AD$6:$AD$505,"&gt;"&amp;$A185,実績!$AE$6:$AE$505,"○")&gt;0,1,0))</f>
        <v/>
      </c>
      <c r="BN185">
        <f>IF(BN$4=0,0,IF(COUNTIFS(実績!$W$6:$W$505,BN$3,実績!$AC$6:$AC$505,"&lt;="&amp;$A185,実績!$AD$6:$AD$505,"&gt;"&amp;$A185,実績!$AE$6:$AE$505,"○")&gt;0,1,0))</f>
        <v/>
      </c>
      <c r="BO185">
        <f>IF(BO$4=0,0,IF(COUNTIFS(実績!$W$6:$W$505,BO$3,実績!$AC$6:$AC$505,"&lt;="&amp;$A185,実績!$AD$6:$AD$505,"&gt;"&amp;$A185,実績!$AE$6:$AE$505,"○")&gt;0,1,0))</f>
        <v/>
      </c>
      <c r="BP185">
        <f>IF(BP$4=0,0,IF(COUNTIFS(実績!$W$6:$W$505,BP$3,実績!$AC$6:$AC$505,"&lt;="&amp;$A185,実績!$AD$6:$AD$505,"&gt;"&amp;$A185,実績!$AE$6:$AE$505,"○")&gt;0,1,0))</f>
        <v/>
      </c>
      <c r="BQ185">
        <f>IF(BQ$4=0,0,IF(COUNTIFS(実績!$W$6:$W$505,BQ$3,実績!$AC$6:$AC$505,"&lt;="&amp;$A185,実績!$AD$6:$AD$505,"&gt;"&amp;$A185,実績!$AE$6:$AE$505,"○")&gt;0,1,0))</f>
        <v/>
      </c>
      <c r="BR185">
        <f>IF(BR$4=0,0,IF(COUNTIFS(実績!$W$6:$W$505,BR$3,実績!$AC$6:$AC$505,"&lt;="&amp;$A185,実績!$AD$6:$AD$505,"&gt;"&amp;$A185,実績!$AE$6:$AE$505,"○")&gt;0,1,0))</f>
        <v/>
      </c>
      <c r="BS185">
        <f>IF(BS$4=0,0,IF(COUNTIFS(実績!$W$6:$W$505,BS$3,実績!$AC$6:$AC$505,"&lt;="&amp;$A185,実績!$AD$6:$AD$505,"&gt;"&amp;$A185,実績!$AE$6:$AE$505,"○")&gt;0,1,0))</f>
        <v/>
      </c>
      <c r="BT185">
        <f>IF(BT$4=0,0,IF(COUNTIFS(実績!$W$6:$W$505,BT$3,実績!$AC$6:$AC$505,"&lt;="&amp;$A185,実績!$AD$6:$AD$505,"&gt;"&amp;$A185,実績!$AE$6:$AE$505,"○")&gt;0,1,0))</f>
        <v/>
      </c>
      <c r="BU185">
        <f>IF(BU$4=0,0,IF(COUNTIFS(実績!$W$6:$W$505,BU$3,実績!$AC$6:$AC$505,"&lt;="&amp;$A185,実績!$AD$6:$AD$505,"&gt;"&amp;$A185,実績!$AE$6:$AE$505,"○")&gt;0,1,0))</f>
        <v/>
      </c>
      <c r="BV185">
        <f>IF(BV$4=0,0,IF(COUNTIFS(実績!$W$6:$W$505,BV$3,実績!$AC$6:$AC$505,"&lt;="&amp;$A185,実績!$AD$6:$AD$505,"&gt;"&amp;$A185,実績!$AE$6:$AE$505,"○")&gt;0,1,0))</f>
        <v/>
      </c>
      <c r="BW185">
        <f>IF(BW$4=0,0,IF(COUNTIFS(実績!$W$6:$W$505,BW$3,実績!$AC$6:$AC$505,"&lt;="&amp;$A185,実績!$AD$6:$AD$505,"&gt;"&amp;$A185,実績!$AE$6:$AE$505,"○")&gt;0,1,0))</f>
        <v/>
      </c>
      <c r="BX185">
        <f>IF(BX$4=0,0,IF(COUNTIFS(実績!$W$6:$W$505,BX$3,実績!$AC$6:$AC$505,"&lt;="&amp;$A185,実績!$AD$6:$AD$505,"&gt;"&amp;$A185,実績!$AE$6:$AE$505,"○")&gt;0,1,0))</f>
        <v/>
      </c>
      <c r="BY185">
        <f>IF(BY$4=0,0,IF(COUNTIFS(実績!$W$6:$W$505,BY$3,実績!$AC$6:$AC$505,"&lt;="&amp;$A185,実績!$AD$6:$AD$505,"&gt;"&amp;$A185,実績!$AE$6:$AE$505,"○")&gt;0,1,0))</f>
        <v/>
      </c>
      <c r="BZ185">
        <f>IF(BZ$4=0,0,IF(COUNTIFS(実績!$W$6:$W$505,BZ$3,実績!$AC$6:$AC$505,"&lt;="&amp;$A185,実績!$AD$6:$AD$505,"&gt;"&amp;$A185,実績!$AE$6:$AE$505,"○")&gt;0,1,0))</f>
        <v/>
      </c>
      <c r="CA185">
        <f>IF(CA$4=0,0,IF(COUNTIFS(実績!$W$6:$W$505,CA$3,実績!$AC$6:$AC$505,"&lt;="&amp;$A185,実績!$AD$6:$AD$505,"&gt;"&amp;$A185,実績!$AE$6:$AE$505,"○")&gt;0,1,0))</f>
        <v/>
      </c>
      <c r="CB185">
        <f>IF(CB$4=0,0,IF(COUNTIFS(実績!$W$6:$W$505,CB$3,実績!$AC$6:$AC$505,"&lt;="&amp;$A185,実績!$AD$6:$AD$505,"&gt;"&amp;$A185,実績!$AE$6:$AE$505,"○")&gt;0,1,0))</f>
        <v/>
      </c>
      <c r="CC185">
        <f>IF(CC$4=0,0,IF(COUNTIFS(実績!$W$6:$W$505,CC$3,実績!$AC$6:$AC$505,"&lt;="&amp;$A185,実績!$AD$6:$AD$505,"&gt;"&amp;$A185,実績!$AE$6:$AE$505,"○")&gt;0,1,0))</f>
        <v/>
      </c>
      <c r="CD185">
        <f>IF(CD$4=0,0,IF(COUNTIFS(実績!$W$6:$W$505,CD$3,実績!$AC$6:$AC$505,"&lt;="&amp;$A185,実績!$AD$6:$AD$505,"&gt;"&amp;$A185,実績!$AE$6:$AE$505,"○")&gt;0,1,0))</f>
        <v/>
      </c>
      <c r="CE185">
        <f>IF(CE$4=0,0,IF(COUNTIFS(実績!$W$6:$W$505,CE$3,実績!$AC$6:$AC$505,"&lt;="&amp;$A185,実績!$AD$6:$AD$505,"&gt;"&amp;$A185,実績!$AE$6:$AE$505,"○")&gt;0,1,0))</f>
        <v/>
      </c>
      <c r="CF185">
        <f>IF(CF$4=0,0,IF(COUNTIFS(実績!$W$6:$W$505,CF$3,実績!$AC$6:$AC$505,"&lt;="&amp;$A185,実績!$AD$6:$AD$505,"&gt;"&amp;$A185,実績!$AE$6:$AE$505,"○")&gt;0,1,0))</f>
        <v/>
      </c>
      <c r="CG185">
        <f>IF(CG$4=0,0,IF(COUNTIFS(実績!$W$6:$W$505,CG$3,実績!$AC$6:$AC$505,"&lt;="&amp;$A185,実績!$AD$6:$AD$505,"&gt;"&amp;$A185,実績!$AE$6:$AE$505,"○")&gt;0,1,0))</f>
        <v/>
      </c>
      <c r="CH185">
        <f>IF(CH$4=0,0,IF(COUNTIFS(実績!$W$6:$W$505,CH$3,実績!$AC$6:$AC$505,"&lt;="&amp;$A185,実績!$AD$6:$AD$505,"&gt;"&amp;$A185,実績!$AE$6:$AE$505,"○")&gt;0,1,0))</f>
        <v/>
      </c>
      <c r="CI185">
        <f>IF(CI$4=0,0,IF(COUNTIFS(実績!$W$6:$W$505,CI$3,実績!$AC$6:$AC$505,"&lt;="&amp;$A185,実績!$AD$6:$AD$505,"&gt;"&amp;$A185,実績!$AE$6:$AE$505,"○")&gt;0,1,0))</f>
        <v/>
      </c>
      <c r="CJ185">
        <f>IF(CJ$4=0,0,IF(COUNTIFS(実績!$W$6:$W$505,CJ$3,実績!$AC$6:$AC$505,"&lt;="&amp;$A185,実績!$AD$6:$AD$505,"&gt;"&amp;$A185,実績!$AE$6:$AE$505,"○")&gt;0,1,0))</f>
        <v/>
      </c>
      <c r="CK185">
        <f>IF(CK$4=0,0,IF(COUNTIFS(実績!$W$6:$W$505,CK$3,実績!$AC$6:$AC$505,"&lt;="&amp;$A185,実績!$AD$6:$AD$505,"&gt;"&amp;$A185,実績!$AE$6:$AE$505,"○")&gt;0,1,0))</f>
        <v/>
      </c>
      <c r="CL185">
        <f>IF(CL$4=0,0,IF(COUNTIFS(実績!$W$6:$W$505,CL$3,実績!$AC$6:$AC$505,"&lt;="&amp;$A185,実績!$AD$6:$AD$505,"&gt;"&amp;$A185,実績!$AE$6:$AE$505,"○")&gt;0,1,0))</f>
        <v/>
      </c>
      <c r="CM185">
        <f>IF(CM$4=0,0,IF(COUNTIFS(実績!$W$6:$W$505,CM$3,実績!$AC$6:$AC$505,"&lt;="&amp;$A185,実績!$AD$6:$AD$505,"&gt;"&amp;$A185,実績!$AE$6:$AE$505,"○")&gt;0,1,0))</f>
        <v/>
      </c>
      <c r="CN185">
        <f>IF(CN$4=0,0,IF(COUNTIFS(実績!$W$6:$W$505,CN$3,実績!$AC$6:$AC$505,"&lt;="&amp;$A185,実績!$AD$6:$AD$505,"&gt;"&amp;$A185,実績!$AE$6:$AE$505,"○")&gt;0,1,0))</f>
        <v/>
      </c>
      <c r="CO185">
        <f>IF(CO$4=0,0,IF(COUNTIFS(実績!$W$6:$W$505,CO$3,実績!$AC$6:$AC$505,"&lt;="&amp;$A185,実績!$AD$6:$AD$505,"&gt;"&amp;$A185,実績!$AE$6:$AE$505,"○")&gt;0,1,0))</f>
        <v/>
      </c>
      <c r="CP185">
        <f>IF(CP$4=0,0,IF(COUNTIFS(実績!$W$6:$W$505,CP$3,実績!$AC$6:$AC$505,"&lt;="&amp;$A185,実績!$AD$6:$AD$505,"&gt;"&amp;$A185,実績!$AE$6:$AE$505,"○")&gt;0,1,0))</f>
        <v/>
      </c>
      <c r="CQ185">
        <f>IF(CQ$4=0,0,IF(COUNTIFS(実績!$W$6:$W$505,CQ$3,実績!$AC$6:$AC$505,"&lt;="&amp;$A185,実績!$AD$6:$AD$505,"&gt;"&amp;$A185,実績!$AE$6:$AE$505,"○")&gt;0,1,0))</f>
        <v/>
      </c>
      <c r="CR185">
        <f>IF(CR$4=0,0,IF(COUNTIFS(実績!$W$6:$W$505,CR$3,実績!$AC$6:$AC$505,"&lt;="&amp;$A185,実績!$AD$6:$AD$505,"&gt;"&amp;$A185,実績!$AE$6:$AE$505,"○")&gt;0,1,0))</f>
        <v/>
      </c>
      <c r="CS185">
        <f>IF(CS$4=0,0,IF(COUNTIFS(実績!$W$6:$W$505,CS$3,実績!$AC$6:$AC$505,"&lt;="&amp;$A185,実績!$AD$6:$AD$505,"&gt;"&amp;$A185,実績!$AE$6:$AE$505,"○")&gt;0,1,0))</f>
        <v/>
      </c>
      <c r="CT185">
        <f>IF(CT$4=0,0,IF(COUNTIFS(実績!$W$6:$W$505,CT$3,実績!$AC$6:$AC$505,"&lt;="&amp;$A185,実績!$AD$6:$AD$505,"&gt;"&amp;$A185,実績!$AE$6:$AE$505,"○")&gt;0,1,0))</f>
        <v/>
      </c>
      <c r="CU185">
        <f>IF(CU$4=0,0,IF(COUNTIFS(実績!$W$6:$W$505,CU$3,実績!$AC$6:$AC$505,"&lt;="&amp;$A185,実績!$AD$6:$AD$505,"&gt;"&amp;$A185,実績!$AE$6:$AE$505,"○")&gt;0,1,0))</f>
        <v/>
      </c>
      <c r="CV185">
        <f>IF(CV$4=0,0,IF(COUNTIFS(実績!$W$6:$W$505,CV$3,実績!$AC$6:$AC$505,"&lt;="&amp;$A185,実績!$AD$6:$AD$505,"&gt;"&amp;$A185,実績!$AE$6:$AE$505,"○")&gt;0,1,0))</f>
        <v/>
      </c>
      <c r="CW185">
        <f>IF(CW$4=0,0,IF(COUNTIFS(実績!$W$6:$W$505,CW$3,実績!$AC$6:$AC$505,"&lt;="&amp;$A185,実績!$AD$6:$AD$505,"&gt;"&amp;$A185,実績!$AE$6:$AE$505,"○")&gt;0,1,0))</f>
        <v/>
      </c>
      <c r="CX185">
        <f>IF(CX$4=0,0,IF(COUNTIFS(実績!$W$6:$W$505,CX$3,実績!$AC$6:$AC$505,"&lt;="&amp;$A185,実績!$AD$6:$AD$505,"&gt;"&amp;$A185,実績!$AE$6:$AE$505,"○")&gt;0,1,0))</f>
        <v/>
      </c>
      <c r="CY185">
        <f>IF(CY$4=0,0,IF(COUNTIFS(実績!$W$6:$W$505,CY$3,実績!$AC$6:$AC$505,"&lt;="&amp;$A185,実績!$AD$6:$AD$505,"&gt;"&amp;$A185,実績!$AE$6:$AE$505,"○")&gt;0,1,0))</f>
        <v/>
      </c>
      <c r="CZ185">
        <f>IF(CZ$4=0,0,IF(COUNTIFS(実績!$W$6:$W$505,CZ$3,実績!$AC$6:$AC$505,"&lt;="&amp;$A185,実績!$AD$6:$AD$505,"&gt;"&amp;$A185,実績!$AE$6:$AE$505,"○")&gt;0,1,0))</f>
        <v/>
      </c>
      <c r="DA185">
        <f>IF(DA$4=0,0,IF(COUNTIFS(実績!$W$6:$W$505,DA$3,実績!$AC$6:$AC$505,"&lt;="&amp;$A185,実績!$AD$6:$AD$505,"&gt;"&amp;$A185,実績!$AE$6:$AE$505,"○")&gt;0,1,0))</f>
        <v/>
      </c>
      <c r="DB185">
        <f>IF(DB$4=0,0,IF(COUNTIFS(実績!$W$6:$W$505,DB$3,実績!$AC$6:$AC$505,"&lt;="&amp;$A185,実績!$AD$6:$AD$505,"&gt;"&amp;$A185,実績!$AE$6:$AE$505,"○")&gt;0,1,0))</f>
        <v/>
      </c>
      <c r="DC185">
        <f>IF(DC$4=0,0,IF(COUNTIFS(実績!$W$6:$W$505,DC$3,実績!$AC$6:$AC$505,"&lt;="&amp;$A185,実績!$AD$6:$AD$505,"&gt;"&amp;$A185,実績!$AE$6:$AE$505,"○")&gt;0,1,0))</f>
        <v/>
      </c>
      <c r="DD185">
        <f>IF(DD$4=0,0,IF(COUNTIFS(実績!$W$6:$W$505,DD$3,実績!$AC$6:$AC$505,"&lt;="&amp;$A185,実績!$AD$6:$AD$505,"&gt;"&amp;$A185,実績!$AE$6:$AE$505,"○")&gt;0,1,0))</f>
        <v/>
      </c>
      <c r="DE185">
        <f>IF(DE$4=0,0,IF(COUNTIFS(実績!$W$6:$W$505,DE$3,実績!$AC$6:$AC$505,"&lt;="&amp;$A185,実績!$AD$6:$AD$505,"&gt;"&amp;$A185,実績!$AE$6:$AE$505,"○")&gt;0,1,0))</f>
        <v/>
      </c>
      <c r="DF185">
        <f>IF(DF$4=0,0,IF(COUNTIFS(実績!$W$6:$W$505,DF$3,実績!$AC$6:$AC$505,"&lt;="&amp;$A185,実績!$AD$6:$AD$505,"&gt;"&amp;$A185,実績!$AE$6:$AE$505,"○")&gt;0,1,0))</f>
        <v/>
      </c>
      <c r="DG185">
        <f>IF(DG$4=0,0,IF(COUNTIFS(実績!$W$6:$W$505,DG$3,実績!$AC$6:$AC$505,"&lt;="&amp;$A185,実績!$AD$6:$AD$505,"&gt;"&amp;$A185,実績!$AE$6:$AE$505,"○")&gt;0,1,0))</f>
        <v/>
      </c>
      <c r="DH185">
        <f>IF(DH$4=0,0,IF(COUNTIFS(実績!$W$6:$W$505,DH$3,実績!$AC$6:$AC$505,"&lt;="&amp;$A185,実績!$AD$6:$AD$505,"&gt;"&amp;$A185,実績!$AE$6:$AE$505,"○")&gt;0,1,0))</f>
        <v/>
      </c>
      <c r="DI185">
        <f>IF(DI$4=0,0,IF(COUNTIFS(実績!$W$6:$W$505,DI$3,実績!$AC$6:$AC$505,"&lt;="&amp;$A185,実績!$AD$6:$AD$505,"&gt;"&amp;$A185,実績!$AE$6:$AE$505,"○")&gt;0,1,0))</f>
        <v/>
      </c>
      <c r="DJ185">
        <f>IF(DJ$4=0,0,IF(COUNTIFS(実績!$W$6:$W$505,DJ$3,実績!$AC$6:$AC$505,"&lt;="&amp;$A185,実績!$AD$6:$AD$505,"&gt;"&amp;$A185,実績!$AE$6:$AE$505,"○")&gt;0,1,0))</f>
        <v/>
      </c>
      <c r="DK185">
        <f>IF(DK$4=0,0,IF(COUNTIFS(実績!$W$6:$W$505,DK$3,実績!$AC$6:$AC$505,"&lt;="&amp;$A185,実績!$AD$6:$AD$505,"&gt;"&amp;$A185,実績!$AE$6:$AE$505,"○")&gt;0,1,0))</f>
        <v/>
      </c>
      <c r="DL185">
        <f>IF(DL$4=0,0,IF(COUNTIFS(実績!$W$6:$W$505,DL$3,実績!$AC$6:$AC$505,"&lt;="&amp;$A185,実績!$AD$6:$AD$505,"&gt;"&amp;$A185,実績!$AE$6:$AE$505,"○")&gt;0,1,0))</f>
        <v/>
      </c>
      <c r="DM185">
        <f>IF(DM$4=0,0,IF(COUNTIFS(実績!$W$6:$W$505,DM$3,実績!$AC$6:$AC$505,"&lt;="&amp;$A185,実績!$AD$6:$AD$505,"&gt;"&amp;$A185,実績!$AE$6:$AE$505,"○")&gt;0,1,0))</f>
        <v/>
      </c>
      <c r="DN185">
        <f>IF(DN$4=0,0,IF(COUNTIFS(実績!$W$6:$W$505,DN$3,実績!$AC$6:$AC$505,"&lt;="&amp;$A185,実績!$AD$6:$AD$505,"&gt;"&amp;$A185,実績!$AE$6:$AE$505,"○")&gt;0,1,0))</f>
        <v/>
      </c>
      <c r="DO185">
        <f>IF(DO$4=0,0,IF(COUNTIFS(実績!$W$6:$W$505,DO$3,実績!$AC$6:$AC$505,"&lt;="&amp;$A185,実績!$AD$6:$AD$505,"&gt;"&amp;$A185,実績!$AE$6:$AE$505,"○")&gt;0,1,0))</f>
        <v/>
      </c>
      <c r="DP185">
        <f>IF(DP$4=0,0,IF(COUNTIFS(実績!$W$6:$W$505,DP$3,実績!$AC$6:$AC$505,"&lt;="&amp;$A185,実績!$AD$6:$AD$505,"&gt;"&amp;$A185,実績!$AE$6:$AE$505,"○")&gt;0,1,0))</f>
        <v/>
      </c>
      <c r="DQ185">
        <f>IF(DQ$4=0,0,IF(COUNTIFS(実績!$W$6:$W$505,DQ$3,実績!$AC$6:$AC$505,"&lt;="&amp;$A185,実績!$AD$6:$AD$505,"&gt;"&amp;$A185,実績!$AE$6:$AE$505,"○")&gt;0,1,0))</f>
        <v/>
      </c>
      <c r="DR185">
        <f>IF(DR$4=0,0,IF(COUNTIFS(実績!$W$6:$W$505,DR$3,実績!$AC$6:$AC$505,"&lt;="&amp;$A185,実績!$AD$6:$AD$505,"&gt;"&amp;$A185,実績!$AE$6:$AE$505,"○")&gt;0,1,0))</f>
        <v/>
      </c>
      <c r="DS185">
        <f>SUM(C185:DR185)</f>
        <v/>
      </c>
      <c r="DT185">
        <f>SUMPRODUCT((実績!$C$6:$C$505="○")*ISNUMBER(実績!$AF$6:$AF$505)*(実績!$AF$6:$AF$505&lt;=$A185)*(実績!$AG$6:$AG$505&gt;$A185))</f>
        <v/>
      </c>
      <c r="DU185">
        <f>SUMIF($C$2:$DR$2,"製鉄曳船",C185:DR185)</f>
        <v/>
      </c>
      <c r="DV185">
        <f>SUMIF($C$2:$DR$2,"西日本海運",C185:DR185)</f>
        <v/>
      </c>
    </row>
    <row r="186">
      <c r="A186" t="n">
        <v>900</v>
      </c>
      <c r="B186" s="29">
        <f>A186/1440</f>
        <v/>
      </c>
      <c r="C186">
        <f>IF(C$4=0,0,IF(COUNTIFS(実績!$W$6:$W$505,C$3,実績!$AC$6:$AC$505,"&lt;="&amp;$A186,実績!$AD$6:$AD$505,"&gt;"&amp;$A186,実績!$AE$6:$AE$505,"○")&gt;0,1,0))</f>
        <v/>
      </c>
      <c r="D186">
        <f>IF(D$4=0,0,IF(COUNTIFS(実績!$W$6:$W$505,D$3,実績!$AC$6:$AC$505,"&lt;="&amp;$A186,実績!$AD$6:$AD$505,"&gt;"&amp;$A186,実績!$AE$6:$AE$505,"○")&gt;0,1,0))</f>
        <v/>
      </c>
      <c r="E186">
        <f>IF(E$4=0,0,IF(COUNTIFS(実績!$W$6:$W$505,E$3,実績!$AC$6:$AC$505,"&lt;="&amp;$A186,実績!$AD$6:$AD$505,"&gt;"&amp;$A186,実績!$AE$6:$AE$505,"○")&gt;0,1,0))</f>
        <v/>
      </c>
      <c r="F186">
        <f>IF(F$4=0,0,IF(COUNTIFS(実績!$W$6:$W$505,F$3,実績!$AC$6:$AC$505,"&lt;="&amp;$A186,実績!$AD$6:$AD$505,"&gt;"&amp;$A186,実績!$AE$6:$AE$505,"○")&gt;0,1,0))</f>
        <v/>
      </c>
      <c r="G186">
        <f>IF(G$4=0,0,IF(COUNTIFS(実績!$W$6:$W$505,G$3,実績!$AC$6:$AC$505,"&lt;="&amp;$A186,実績!$AD$6:$AD$505,"&gt;"&amp;$A186,実績!$AE$6:$AE$505,"○")&gt;0,1,0))</f>
        <v/>
      </c>
      <c r="H186">
        <f>IF(H$4=0,0,IF(COUNTIFS(実績!$W$6:$W$505,H$3,実績!$AC$6:$AC$505,"&lt;="&amp;$A186,実績!$AD$6:$AD$505,"&gt;"&amp;$A186,実績!$AE$6:$AE$505,"○")&gt;0,1,0))</f>
        <v/>
      </c>
      <c r="I186">
        <f>IF(I$4=0,0,IF(COUNTIFS(実績!$W$6:$W$505,I$3,実績!$AC$6:$AC$505,"&lt;="&amp;$A186,実績!$AD$6:$AD$505,"&gt;"&amp;$A186,実績!$AE$6:$AE$505,"○")&gt;0,1,0))</f>
        <v/>
      </c>
      <c r="J186">
        <f>IF(J$4=0,0,IF(COUNTIFS(実績!$W$6:$W$505,J$3,実績!$AC$6:$AC$505,"&lt;="&amp;$A186,実績!$AD$6:$AD$505,"&gt;"&amp;$A186,実績!$AE$6:$AE$505,"○")&gt;0,1,0))</f>
        <v/>
      </c>
      <c r="K186">
        <f>IF(K$4=0,0,IF(COUNTIFS(実績!$W$6:$W$505,K$3,実績!$AC$6:$AC$505,"&lt;="&amp;$A186,実績!$AD$6:$AD$505,"&gt;"&amp;$A186,実績!$AE$6:$AE$505,"○")&gt;0,1,0))</f>
        <v/>
      </c>
      <c r="L186">
        <f>IF(L$4=0,0,IF(COUNTIFS(実績!$W$6:$W$505,L$3,実績!$AC$6:$AC$505,"&lt;="&amp;$A186,実績!$AD$6:$AD$505,"&gt;"&amp;$A186,実績!$AE$6:$AE$505,"○")&gt;0,1,0))</f>
        <v/>
      </c>
      <c r="M186">
        <f>IF(M$4=0,0,IF(COUNTIFS(実績!$W$6:$W$505,M$3,実績!$AC$6:$AC$505,"&lt;="&amp;$A186,実績!$AD$6:$AD$505,"&gt;"&amp;$A186,実績!$AE$6:$AE$505,"○")&gt;0,1,0))</f>
        <v/>
      </c>
      <c r="N186">
        <f>IF(N$4=0,0,IF(COUNTIFS(実績!$W$6:$W$505,N$3,実績!$AC$6:$AC$505,"&lt;="&amp;$A186,実績!$AD$6:$AD$505,"&gt;"&amp;$A186,実績!$AE$6:$AE$505,"○")&gt;0,1,0))</f>
        <v/>
      </c>
      <c r="O186">
        <f>IF(O$4=0,0,IF(COUNTIFS(実績!$W$6:$W$505,O$3,実績!$AC$6:$AC$505,"&lt;="&amp;$A186,実績!$AD$6:$AD$505,"&gt;"&amp;$A186,実績!$AE$6:$AE$505,"○")&gt;0,1,0))</f>
        <v/>
      </c>
      <c r="P186">
        <f>IF(P$4=0,0,IF(COUNTIFS(実績!$W$6:$W$505,P$3,実績!$AC$6:$AC$505,"&lt;="&amp;$A186,実績!$AD$6:$AD$505,"&gt;"&amp;$A186,実績!$AE$6:$AE$505,"○")&gt;0,1,0))</f>
        <v/>
      </c>
      <c r="Q186">
        <f>IF(Q$4=0,0,IF(COUNTIFS(実績!$W$6:$W$505,Q$3,実績!$AC$6:$AC$505,"&lt;="&amp;$A186,実績!$AD$6:$AD$505,"&gt;"&amp;$A186,実績!$AE$6:$AE$505,"○")&gt;0,1,0))</f>
        <v/>
      </c>
      <c r="R186">
        <f>IF(R$4=0,0,IF(COUNTIFS(実績!$W$6:$W$505,R$3,実績!$AC$6:$AC$505,"&lt;="&amp;$A186,実績!$AD$6:$AD$505,"&gt;"&amp;$A186,実績!$AE$6:$AE$505,"○")&gt;0,1,0))</f>
        <v/>
      </c>
      <c r="S186">
        <f>IF(S$4=0,0,IF(COUNTIFS(実績!$W$6:$W$505,S$3,実績!$AC$6:$AC$505,"&lt;="&amp;$A186,実績!$AD$6:$AD$505,"&gt;"&amp;$A186,実績!$AE$6:$AE$505,"○")&gt;0,1,0))</f>
        <v/>
      </c>
      <c r="T186">
        <f>IF(T$4=0,0,IF(COUNTIFS(実績!$W$6:$W$505,T$3,実績!$AC$6:$AC$505,"&lt;="&amp;$A186,実績!$AD$6:$AD$505,"&gt;"&amp;$A186,実績!$AE$6:$AE$505,"○")&gt;0,1,0))</f>
        <v/>
      </c>
      <c r="U186">
        <f>IF(U$4=0,0,IF(COUNTIFS(実績!$W$6:$W$505,U$3,実績!$AC$6:$AC$505,"&lt;="&amp;$A186,実績!$AD$6:$AD$505,"&gt;"&amp;$A186,実績!$AE$6:$AE$505,"○")&gt;0,1,0))</f>
        <v/>
      </c>
      <c r="V186">
        <f>IF(V$4=0,0,IF(COUNTIFS(実績!$W$6:$W$505,V$3,実績!$AC$6:$AC$505,"&lt;="&amp;$A186,実績!$AD$6:$AD$505,"&gt;"&amp;$A186,実績!$AE$6:$AE$505,"○")&gt;0,1,0))</f>
        <v/>
      </c>
      <c r="W186">
        <f>IF(W$4=0,0,IF(COUNTIFS(実績!$W$6:$W$505,W$3,実績!$AC$6:$AC$505,"&lt;="&amp;$A186,実績!$AD$6:$AD$505,"&gt;"&amp;$A186,実績!$AE$6:$AE$505,"○")&gt;0,1,0))</f>
        <v/>
      </c>
      <c r="X186">
        <f>IF(X$4=0,0,IF(COUNTIFS(実績!$W$6:$W$505,X$3,実績!$AC$6:$AC$505,"&lt;="&amp;$A186,実績!$AD$6:$AD$505,"&gt;"&amp;$A186,実績!$AE$6:$AE$505,"○")&gt;0,1,0))</f>
        <v/>
      </c>
      <c r="Y186">
        <f>IF(Y$4=0,0,IF(COUNTIFS(実績!$W$6:$W$505,Y$3,実績!$AC$6:$AC$505,"&lt;="&amp;$A186,実績!$AD$6:$AD$505,"&gt;"&amp;$A186,実績!$AE$6:$AE$505,"○")&gt;0,1,0))</f>
        <v/>
      </c>
      <c r="Z186">
        <f>IF(Z$4=0,0,IF(COUNTIFS(実績!$W$6:$W$505,Z$3,実績!$AC$6:$AC$505,"&lt;="&amp;$A186,実績!$AD$6:$AD$505,"&gt;"&amp;$A186,実績!$AE$6:$AE$505,"○")&gt;0,1,0))</f>
        <v/>
      </c>
      <c r="AA186">
        <f>IF(AA$4=0,0,IF(COUNTIFS(実績!$W$6:$W$505,AA$3,実績!$AC$6:$AC$505,"&lt;="&amp;$A186,実績!$AD$6:$AD$505,"&gt;"&amp;$A186,実績!$AE$6:$AE$505,"○")&gt;0,1,0))</f>
        <v/>
      </c>
      <c r="AB186">
        <f>IF(AB$4=0,0,IF(COUNTIFS(実績!$W$6:$W$505,AB$3,実績!$AC$6:$AC$505,"&lt;="&amp;$A186,実績!$AD$6:$AD$505,"&gt;"&amp;$A186,実績!$AE$6:$AE$505,"○")&gt;0,1,0))</f>
        <v/>
      </c>
      <c r="AC186">
        <f>IF(AC$4=0,0,IF(COUNTIFS(実績!$W$6:$W$505,AC$3,実績!$AC$6:$AC$505,"&lt;="&amp;$A186,実績!$AD$6:$AD$505,"&gt;"&amp;$A186,実績!$AE$6:$AE$505,"○")&gt;0,1,0))</f>
        <v/>
      </c>
      <c r="AD186">
        <f>IF(AD$4=0,0,IF(COUNTIFS(実績!$W$6:$W$505,AD$3,実績!$AC$6:$AC$505,"&lt;="&amp;$A186,実績!$AD$6:$AD$505,"&gt;"&amp;$A186,実績!$AE$6:$AE$505,"○")&gt;0,1,0))</f>
        <v/>
      </c>
      <c r="AE186">
        <f>IF(AE$4=0,0,IF(COUNTIFS(実績!$W$6:$W$505,AE$3,実績!$AC$6:$AC$505,"&lt;="&amp;$A186,実績!$AD$6:$AD$505,"&gt;"&amp;$A186,実績!$AE$6:$AE$505,"○")&gt;0,1,0))</f>
        <v/>
      </c>
      <c r="AF186">
        <f>IF(AF$4=0,0,IF(COUNTIFS(実績!$W$6:$W$505,AF$3,実績!$AC$6:$AC$505,"&lt;="&amp;$A186,実績!$AD$6:$AD$505,"&gt;"&amp;$A186,実績!$AE$6:$AE$505,"○")&gt;0,1,0))</f>
        <v/>
      </c>
      <c r="AG186">
        <f>IF(AG$4=0,0,IF(COUNTIFS(実績!$W$6:$W$505,AG$3,実績!$AC$6:$AC$505,"&lt;="&amp;$A186,実績!$AD$6:$AD$505,"&gt;"&amp;$A186,実績!$AE$6:$AE$505,"○")&gt;0,1,0))</f>
        <v/>
      </c>
      <c r="AH186">
        <f>IF(AH$4=0,0,IF(COUNTIFS(実績!$W$6:$W$505,AH$3,実績!$AC$6:$AC$505,"&lt;="&amp;$A186,実績!$AD$6:$AD$505,"&gt;"&amp;$A186,実績!$AE$6:$AE$505,"○")&gt;0,1,0))</f>
        <v/>
      </c>
      <c r="AI186">
        <f>IF(AI$4=0,0,IF(COUNTIFS(実績!$W$6:$W$505,AI$3,実績!$AC$6:$AC$505,"&lt;="&amp;$A186,実績!$AD$6:$AD$505,"&gt;"&amp;$A186,実績!$AE$6:$AE$505,"○")&gt;0,1,0))</f>
        <v/>
      </c>
      <c r="AJ186">
        <f>IF(AJ$4=0,0,IF(COUNTIFS(実績!$W$6:$W$505,AJ$3,実績!$AC$6:$AC$505,"&lt;="&amp;$A186,実績!$AD$6:$AD$505,"&gt;"&amp;$A186,実績!$AE$6:$AE$505,"○")&gt;0,1,0))</f>
        <v/>
      </c>
      <c r="AK186">
        <f>IF(AK$4=0,0,IF(COUNTIFS(実績!$W$6:$W$505,AK$3,実績!$AC$6:$AC$505,"&lt;="&amp;$A186,実績!$AD$6:$AD$505,"&gt;"&amp;$A186,実績!$AE$6:$AE$505,"○")&gt;0,1,0))</f>
        <v/>
      </c>
      <c r="AL186">
        <f>IF(AL$4=0,0,IF(COUNTIFS(実績!$W$6:$W$505,AL$3,実績!$AC$6:$AC$505,"&lt;="&amp;$A186,実績!$AD$6:$AD$505,"&gt;"&amp;$A186,実績!$AE$6:$AE$505,"○")&gt;0,1,0))</f>
        <v/>
      </c>
      <c r="AM186">
        <f>IF(AM$4=0,0,IF(COUNTIFS(実績!$W$6:$W$505,AM$3,実績!$AC$6:$AC$505,"&lt;="&amp;$A186,実績!$AD$6:$AD$505,"&gt;"&amp;$A186,実績!$AE$6:$AE$505,"○")&gt;0,1,0))</f>
        <v/>
      </c>
      <c r="AN186">
        <f>IF(AN$4=0,0,IF(COUNTIFS(実績!$W$6:$W$505,AN$3,実績!$AC$6:$AC$505,"&lt;="&amp;$A186,実績!$AD$6:$AD$505,"&gt;"&amp;$A186,実績!$AE$6:$AE$505,"○")&gt;0,1,0))</f>
        <v/>
      </c>
      <c r="AO186">
        <f>IF(AO$4=0,0,IF(COUNTIFS(実績!$W$6:$W$505,AO$3,実績!$AC$6:$AC$505,"&lt;="&amp;$A186,実績!$AD$6:$AD$505,"&gt;"&amp;$A186,実績!$AE$6:$AE$505,"○")&gt;0,1,0))</f>
        <v/>
      </c>
      <c r="AP186">
        <f>IF(AP$4=0,0,IF(COUNTIFS(実績!$W$6:$W$505,AP$3,実績!$AC$6:$AC$505,"&lt;="&amp;$A186,実績!$AD$6:$AD$505,"&gt;"&amp;$A186,実績!$AE$6:$AE$505,"○")&gt;0,1,0))</f>
        <v/>
      </c>
      <c r="AQ186">
        <f>IF(AQ$4=0,0,IF(COUNTIFS(実績!$W$6:$W$505,AQ$3,実績!$AC$6:$AC$505,"&lt;="&amp;$A186,実績!$AD$6:$AD$505,"&gt;"&amp;$A186,実績!$AE$6:$AE$505,"○")&gt;0,1,0))</f>
        <v/>
      </c>
      <c r="AR186">
        <f>IF(AR$4=0,0,IF(COUNTIFS(実績!$W$6:$W$505,AR$3,実績!$AC$6:$AC$505,"&lt;="&amp;$A186,実績!$AD$6:$AD$505,"&gt;"&amp;$A186,実績!$AE$6:$AE$505,"○")&gt;0,1,0))</f>
        <v/>
      </c>
      <c r="AS186">
        <f>IF(AS$4=0,0,IF(COUNTIFS(実績!$W$6:$W$505,AS$3,実績!$AC$6:$AC$505,"&lt;="&amp;$A186,実績!$AD$6:$AD$505,"&gt;"&amp;$A186,実績!$AE$6:$AE$505,"○")&gt;0,1,0))</f>
        <v/>
      </c>
      <c r="AT186">
        <f>IF(AT$4=0,0,IF(COUNTIFS(実績!$W$6:$W$505,AT$3,実績!$AC$6:$AC$505,"&lt;="&amp;$A186,実績!$AD$6:$AD$505,"&gt;"&amp;$A186,実績!$AE$6:$AE$505,"○")&gt;0,1,0))</f>
        <v/>
      </c>
      <c r="AU186">
        <f>IF(AU$4=0,0,IF(COUNTIFS(実績!$W$6:$W$505,AU$3,実績!$AC$6:$AC$505,"&lt;="&amp;$A186,実績!$AD$6:$AD$505,"&gt;"&amp;$A186,実績!$AE$6:$AE$505,"○")&gt;0,1,0))</f>
        <v/>
      </c>
      <c r="AV186">
        <f>IF(AV$4=0,0,IF(COUNTIFS(実績!$W$6:$W$505,AV$3,実績!$AC$6:$AC$505,"&lt;="&amp;$A186,実績!$AD$6:$AD$505,"&gt;"&amp;$A186,実績!$AE$6:$AE$505,"○")&gt;0,1,0))</f>
        <v/>
      </c>
      <c r="AW186">
        <f>IF(AW$4=0,0,IF(COUNTIFS(実績!$W$6:$W$505,AW$3,実績!$AC$6:$AC$505,"&lt;="&amp;$A186,実績!$AD$6:$AD$505,"&gt;"&amp;$A186,実績!$AE$6:$AE$505,"○")&gt;0,1,0))</f>
        <v/>
      </c>
      <c r="AX186">
        <f>IF(AX$4=0,0,IF(COUNTIFS(実績!$W$6:$W$505,AX$3,実績!$AC$6:$AC$505,"&lt;="&amp;$A186,実績!$AD$6:$AD$505,"&gt;"&amp;$A186,実績!$AE$6:$AE$505,"○")&gt;0,1,0))</f>
        <v/>
      </c>
      <c r="AY186">
        <f>IF(AY$4=0,0,IF(COUNTIFS(実績!$W$6:$W$505,AY$3,実績!$AC$6:$AC$505,"&lt;="&amp;$A186,実績!$AD$6:$AD$505,"&gt;"&amp;$A186,実績!$AE$6:$AE$505,"○")&gt;0,1,0))</f>
        <v/>
      </c>
      <c r="AZ186">
        <f>IF(AZ$4=0,0,IF(COUNTIFS(実績!$W$6:$W$505,AZ$3,実績!$AC$6:$AC$505,"&lt;="&amp;$A186,実績!$AD$6:$AD$505,"&gt;"&amp;$A186,実績!$AE$6:$AE$505,"○")&gt;0,1,0))</f>
        <v/>
      </c>
      <c r="BA186">
        <f>IF(BA$4=0,0,IF(COUNTIFS(実績!$W$6:$W$505,BA$3,実績!$AC$6:$AC$505,"&lt;="&amp;$A186,実績!$AD$6:$AD$505,"&gt;"&amp;$A186,実績!$AE$6:$AE$505,"○")&gt;0,1,0))</f>
        <v/>
      </c>
      <c r="BB186">
        <f>IF(BB$4=0,0,IF(COUNTIFS(実績!$W$6:$W$505,BB$3,実績!$AC$6:$AC$505,"&lt;="&amp;$A186,実績!$AD$6:$AD$505,"&gt;"&amp;$A186,実績!$AE$6:$AE$505,"○")&gt;0,1,0))</f>
        <v/>
      </c>
      <c r="BC186">
        <f>IF(BC$4=0,0,IF(COUNTIFS(実績!$W$6:$W$505,BC$3,実績!$AC$6:$AC$505,"&lt;="&amp;$A186,実績!$AD$6:$AD$505,"&gt;"&amp;$A186,実績!$AE$6:$AE$505,"○")&gt;0,1,0))</f>
        <v/>
      </c>
      <c r="BD186">
        <f>IF(BD$4=0,0,IF(COUNTIFS(実績!$W$6:$W$505,BD$3,実績!$AC$6:$AC$505,"&lt;="&amp;$A186,実績!$AD$6:$AD$505,"&gt;"&amp;$A186,実績!$AE$6:$AE$505,"○")&gt;0,1,0))</f>
        <v/>
      </c>
      <c r="BE186">
        <f>IF(BE$4=0,0,IF(COUNTIFS(実績!$W$6:$W$505,BE$3,実績!$AC$6:$AC$505,"&lt;="&amp;$A186,実績!$AD$6:$AD$505,"&gt;"&amp;$A186,実績!$AE$6:$AE$505,"○")&gt;0,1,0))</f>
        <v/>
      </c>
      <c r="BF186">
        <f>IF(BF$4=0,0,IF(COUNTIFS(実績!$W$6:$W$505,BF$3,実績!$AC$6:$AC$505,"&lt;="&amp;$A186,実績!$AD$6:$AD$505,"&gt;"&amp;$A186,実績!$AE$6:$AE$505,"○")&gt;0,1,0))</f>
        <v/>
      </c>
      <c r="BG186">
        <f>IF(BG$4=0,0,IF(COUNTIFS(実績!$W$6:$W$505,BG$3,実績!$AC$6:$AC$505,"&lt;="&amp;$A186,実績!$AD$6:$AD$505,"&gt;"&amp;$A186,実績!$AE$6:$AE$505,"○")&gt;0,1,0))</f>
        <v/>
      </c>
      <c r="BH186">
        <f>IF(BH$4=0,0,IF(COUNTIFS(実績!$W$6:$W$505,BH$3,実績!$AC$6:$AC$505,"&lt;="&amp;$A186,実績!$AD$6:$AD$505,"&gt;"&amp;$A186,実績!$AE$6:$AE$505,"○")&gt;0,1,0))</f>
        <v/>
      </c>
      <c r="BI186">
        <f>IF(BI$4=0,0,IF(COUNTIFS(実績!$W$6:$W$505,BI$3,実績!$AC$6:$AC$505,"&lt;="&amp;$A186,実績!$AD$6:$AD$505,"&gt;"&amp;$A186,実績!$AE$6:$AE$505,"○")&gt;0,1,0))</f>
        <v/>
      </c>
      <c r="BJ186">
        <f>IF(BJ$4=0,0,IF(COUNTIFS(実績!$W$6:$W$505,BJ$3,実績!$AC$6:$AC$505,"&lt;="&amp;$A186,実績!$AD$6:$AD$505,"&gt;"&amp;$A186,実績!$AE$6:$AE$505,"○")&gt;0,1,0))</f>
        <v/>
      </c>
      <c r="BK186">
        <f>IF(BK$4=0,0,IF(COUNTIFS(実績!$W$6:$W$505,BK$3,実績!$AC$6:$AC$505,"&lt;="&amp;$A186,実績!$AD$6:$AD$505,"&gt;"&amp;$A186,実績!$AE$6:$AE$505,"○")&gt;0,1,0))</f>
        <v/>
      </c>
      <c r="BL186">
        <f>IF(BL$4=0,0,IF(COUNTIFS(実績!$W$6:$W$505,BL$3,実績!$AC$6:$AC$505,"&lt;="&amp;$A186,実績!$AD$6:$AD$505,"&gt;"&amp;$A186,実績!$AE$6:$AE$505,"○")&gt;0,1,0))</f>
        <v/>
      </c>
      <c r="BM186">
        <f>IF(BM$4=0,0,IF(COUNTIFS(実績!$W$6:$W$505,BM$3,実績!$AC$6:$AC$505,"&lt;="&amp;$A186,実績!$AD$6:$AD$505,"&gt;"&amp;$A186,実績!$AE$6:$AE$505,"○")&gt;0,1,0))</f>
        <v/>
      </c>
      <c r="BN186">
        <f>IF(BN$4=0,0,IF(COUNTIFS(実績!$W$6:$W$505,BN$3,実績!$AC$6:$AC$505,"&lt;="&amp;$A186,実績!$AD$6:$AD$505,"&gt;"&amp;$A186,実績!$AE$6:$AE$505,"○")&gt;0,1,0))</f>
        <v/>
      </c>
      <c r="BO186">
        <f>IF(BO$4=0,0,IF(COUNTIFS(実績!$W$6:$W$505,BO$3,実績!$AC$6:$AC$505,"&lt;="&amp;$A186,実績!$AD$6:$AD$505,"&gt;"&amp;$A186,実績!$AE$6:$AE$505,"○")&gt;0,1,0))</f>
        <v/>
      </c>
      <c r="BP186">
        <f>IF(BP$4=0,0,IF(COUNTIFS(実績!$W$6:$W$505,BP$3,実績!$AC$6:$AC$505,"&lt;="&amp;$A186,実績!$AD$6:$AD$505,"&gt;"&amp;$A186,実績!$AE$6:$AE$505,"○")&gt;0,1,0))</f>
        <v/>
      </c>
      <c r="BQ186">
        <f>IF(BQ$4=0,0,IF(COUNTIFS(実績!$W$6:$W$505,BQ$3,実績!$AC$6:$AC$505,"&lt;="&amp;$A186,実績!$AD$6:$AD$505,"&gt;"&amp;$A186,実績!$AE$6:$AE$505,"○")&gt;0,1,0))</f>
        <v/>
      </c>
      <c r="BR186">
        <f>IF(BR$4=0,0,IF(COUNTIFS(実績!$W$6:$W$505,BR$3,実績!$AC$6:$AC$505,"&lt;="&amp;$A186,実績!$AD$6:$AD$505,"&gt;"&amp;$A186,実績!$AE$6:$AE$505,"○")&gt;0,1,0))</f>
        <v/>
      </c>
      <c r="BS186">
        <f>IF(BS$4=0,0,IF(COUNTIFS(実績!$W$6:$W$505,BS$3,実績!$AC$6:$AC$505,"&lt;="&amp;$A186,実績!$AD$6:$AD$505,"&gt;"&amp;$A186,実績!$AE$6:$AE$505,"○")&gt;0,1,0))</f>
        <v/>
      </c>
      <c r="BT186">
        <f>IF(BT$4=0,0,IF(COUNTIFS(実績!$W$6:$W$505,BT$3,実績!$AC$6:$AC$505,"&lt;="&amp;$A186,実績!$AD$6:$AD$505,"&gt;"&amp;$A186,実績!$AE$6:$AE$505,"○")&gt;0,1,0))</f>
        <v/>
      </c>
      <c r="BU186">
        <f>IF(BU$4=0,0,IF(COUNTIFS(実績!$W$6:$W$505,BU$3,実績!$AC$6:$AC$505,"&lt;="&amp;$A186,実績!$AD$6:$AD$505,"&gt;"&amp;$A186,実績!$AE$6:$AE$505,"○")&gt;0,1,0))</f>
        <v/>
      </c>
      <c r="BV186">
        <f>IF(BV$4=0,0,IF(COUNTIFS(実績!$W$6:$W$505,BV$3,実績!$AC$6:$AC$505,"&lt;="&amp;$A186,実績!$AD$6:$AD$505,"&gt;"&amp;$A186,実績!$AE$6:$AE$505,"○")&gt;0,1,0))</f>
        <v/>
      </c>
      <c r="BW186">
        <f>IF(BW$4=0,0,IF(COUNTIFS(実績!$W$6:$W$505,BW$3,実績!$AC$6:$AC$505,"&lt;="&amp;$A186,実績!$AD$6:$AD$505,"&gt;"&amp;$A186,実績!$AE$6:$AE$505,"○")&gt;0,1,0))</f>
        <v/>
      </c>
      <c r="BX186">
        <f>IF(BX$4=0,0,IF(COUNTIFS(実績!$W$6:$W$505,BX$3,実績!$AC$6:$AC$505,"&lt;="&amp;$A186,実績!$AD$6:$AD$505,"&gt;"&amp;$A186,実績!$AE$6:$AE$505,"○")&gt;0,1,0))</f>
        <v/>
      </c>
      <c r="BY186">
        <f>IF(BY$4=0,0,IF(COUNTIFS(実績!$W$6:$W$505,BY$3,実績!$AC$6:$AC$505,"&lt;="&amp;$A186,実績!$AD$6:$AD$505,"&gt;"&amp;$A186,実績!$AE$6:$AE$505,"○")&gt;0,1,0))</f>
        <v/>
      </c>
      <c r="BZ186">
        <f>IF(BZ$4=0,0,IF(COUNTIFS(実績!$W$6:$W$505,BZ$3,実績!$AC$6:$AC$505,"&lt;="&amp;$A186,実績!$AD$6:$AD$505,"&gt;"&amp;$A186,実績!$AE$6:$AE$505,"○")&gt;0,1,0))</f>
        <v/>
      </c>
      <c r="CA186">
        <f>IF(CA$4=0,0,IF(COUNTIFS(実績!$W$6:$W$505,CA$3,実績!$AC$6:$AC$505,"&lt;="&amp;$A186,実績!$AD$6:$AD$505,"&gt;"&amp;$A186,実績!$AE$6:$AE$505,"○")&gt;0,1,0))</f>
        <v/>
      </c>
      <c r="CB186">
        <f>IF(CB$4=0,0,IF(COUNTIFS(実績!$W$6:$W$505,CB$3,実績!$AC$6:$AC$505,"&lt;="&amp;$A186,実績!$AD$6:$AD$505,"&gt;"&amp;$A186,実績!$AE$6:$AE$505,"○")&gt;0,1,0))</f>
        <v/>
      </c>
      <c r="CC186">
        <f>IF(CC$4=0,0,IF(COUNTIFS(実績!$W$6:$W$505,CC$3,実績!$AC$6:$AC$505,"&lt;="&amp;$A186,実績!$AD$6:$AD$505,"&gt;"&amp;$A186,実績!$AE$6:$AE$505,"○")&gt;0,1,0))</f>
        <v/>
      </c>
      <c r="CD186">
        <f>IF(CD$4=0,0,IF(COUNTIFS(実績!$W$6:$W$505,CD$3,実績!$AC$6:$AC$505,"&lt;="&amp;$A186,実績!$AD$6:$AD$505,"&gt;"&amp;$A186,実績!$AE$6:$AE$505,"○")&gt;0,1,0))</f>
        <v/>
      </c>
      <c r="CE186">
        <f>IF(CE$4=0,0,IF(COUNTIFS(実績!$W$6:$W$505,CE$3,実績!$AC$6:$AC$505,"&lt;="&amp;$A186,実績!$AD$6:$AD$505,"&gt;"&amp;$A186,実績!$AE$6:$AE$505,"○")&gt;0,1,0))</f>
        <v/>
      </c>
      <c r="CF186">
        <f>IF(CF$4=0,0,IF(COUNTIFS(実績!$W$6:$W$505,CF$3,実績!$AC$6:$AC$505,"&lt;="&amp;$A186,実績!$AD$6:$AD$505,"&gt;"&amp;$A186,実績!$AE$6:$AE$505,"○")&gt;0,1,0))</f>
        <v/>
      </c>
      <c r="CG186">
        <f>IF(CG$4=0,0,IF(COUNTIFS(実績!$W$6:$W$505,CG$3,実績!$AC$6:$AC$505,"&lt;="&amp;$A186,実績!$AD$6:$AD$505,"&gt;"&amp;$A186,実績!$AE$6:$AE$505,"○")&gt;0,1,0))</f>
        <v/>
      </c>
      <c r="CH186">
        <f>IF(CH$4=0,0,IF(COUNTIFS(実績!$W$6:$W$505,CH$3,実績!$AC$6:$AC$505,"&lt;="&amp;$A186,実績!$AD$6:$AD$505,"&gt;"&amp;$A186,実績!$AE$6:$AE$505,"○")&gt;0,1,0))</f>
        <v/>
      </c>
      <c r="CI186">
        <f>IF(CI$4=0,0,IF(COUNTIFS(実績!$W$6:$W$505,CI$3,実績!$AC$6:$AC$505,"&lt;="&amp;$A186,実績!$AD$6:$AD$505,"&gt;"&amp;$A186,実績!$AE$6:$AE$505,"○")&gt;0,1,0))</f>
        <v/>
      </c>
      <c r="CJ186">
        <f>IF(CJ$4=0,0,IF(COUNTIFS(実績!$W$6:$W$505,CJ$3,実績!$AC$6:$AC$505,"&lt;="&amp;$A186,実績!$AD$6:$AD$505,"&gt;"&amp;$A186,実績!$AE$6:$AE$505,"○")&gt;0,1,0))</f>
        <v/>
      </c>
      <c r="CK186">
        <f>IF(CK$4=0,0,IF(COUNTIFS(実績!$W$6:$W$505,CK$3,実績!$AC$6:$AC$505,"&lt;="&amp;$A186,実績!$AD$6:$AD$505,"&gt;"&amp;$A186,実績!$AE$6:$AE$505,"○")&gt;0,1,0))</f>
        <v/>
      </c>
      <c r="CL186">
        <f>IF(CL$4=0,0,IF(COUNTIFS(実績!$W$6:$W$505,CL$3,実績!$AC$6:$AC$505,"&lt;="&amp;$A186,実績!$AD$6:$AD$505,"&gt;"&amp;$A186,実績!$AE$6:$AE$505,"○")&gt;0,1,0))</f>
        <v/>
      </c>
      <c r="CM186">
        <f>IF(CM$4=0,0,IF(COUNTIFS(実績!$W$6:$W$505,CM$3,実績!$AC$6:$AC$505,"&lt;="&amp;$A186,実績!$AD$6:$AD$505,"&gt;"&amp;$A186,実績!$AE$6:$AE$505,"○")&gt;0,1,0))</f>
        <v/>
      </c>
      <c r="CN186">
        <f>IF(CN$4=0,0,IF(COUNTIFS(実績!$W$6:$W$505,CN$3,実績!$AC$6:$AC$505,"&lt;="&amp;$A186,実績!$AD$6:$AD$505,"&gt;"&amp;$A186,実績!$AE$6:$AE$505,"○")&gt;0,1,0))</f>
        <v/>
      </c>
      <c r="CO186">
        <f>IF(CO$4=0,0,IF(COUNTIFS(実績!$W$6:$W$505,CO$3,実績!$AC$6:$AC$505,"&lt;="&amp;$A186,実績!$AD$6:$AD$505,"&gt;"&amp;$A186,実績!$AE$6:$AE$505,"○")&gt;0,1,0))</f>
        <v/>
      </c>
      <c r="CP186">
        <f>IF(CP$4=0,0,IF(COUNTIFS(実績!$W$6:$W$505,CP$3,実績!$AC$6:$AC$505,"&lt;="&amp;$A186,実績!$AD$6:$AD$505,"&gt;"&amp;$A186,実績!$AE$6:$AE$505,"○")&gt;0,1,0))</f>
        <v/>
      </c>
      <c r="CQ186">
        <f>IF(CQ$4=0,0,IF(COUNTIFS(実績!$W$6:$W$505,CQ$3,実績!$AC$6:$AC$505,"&lt;="&amp;$A186,実績!$AD$6:$AD$505,"&gt;"&amp;$A186,実績!$AE$6:$AE$505,"○")&gt;0,1,0))</f>
        <v/>
      </c>
      <c r="CR186">
        <f>IF(CR$4=0,0,IF(COUNTIFS(実績!$W$6:$W$505,CR$3,実績!$AC$6:$AC$505,"&lt;="&amp;$A186,実績!$AD$6:$AD$505,"&gt;"&amp;$A186,実績!$AE$6:$AE$505,"○")&gt;0,1,0))</f>
        <v/>
      </c>
      <c r="CS186">
        <f>IF(CS$4=0,0,IF(COUNTIFS(実績!$W$6:$W$505,CS$3,実績!$AC$6:$AC$505,"&lt;="&amp;$A186,実績!$AD$6:$AD$505,"&gt;"&amp;$A186,実績!$AE$6:$AE$505,"○")&gt;0,1,0))</f>
        <v/>
      </c>
      <c r="CT186">
        <f>IF(CT$4=0,0,IF(COUNTIFS(実績!$W$6:$W$505,CT$3,実績!$AC$6:$AC$505,"&lt;="&amp;$A186,実績!$AD$6:$AD$505,"&gt;"&amp;$A186,実績!$AE$6:$AE$505,"○")&gt;0,1,0))</f>
        <v/>
      </c>
      <c r="CU186">
        <f>IF(CU$4=0,0,IF(COUNTIFS(実績!$W$6:$W$505,CU$3,実績!$AC$6:$AC$505,"&lt;="&amp;$A186,実績!$AD$6:$AD$505,"&gt;"&amp;$A186,実績!$AE$6:$AE$505,"○")&gt;0,1,0))</f>
        <v/>
      </c>
      <c r="CV186">
        <f>IF(CV$4=0,0,IF(COUNTIFS(実績!$W$6:$W$505,CV$3,実績!$AC$6:$AC$505,"&lt;="&amp;$A186,実績!$AD$6:$AD$505,"&gt;"&amp;$A186,実績!$AE$6:$AE$505,"○")&gt;0,1,0))</f>
        <v/>
      </c>
      <c r="CW186">
        <f>IF(CW$4=0,0,IF(COUNTIFS(実績!$W$6:$W$505,CW$3,実績!$AC$6:$AC$505,"&lt;="&amp;$A186,実績!$AD$6:$AD$505,"&gt;"&amp;$A186,実績!$AE$6:$AE$505,"○")&gt;0,1,0))</f>
        <v/>
      </c>
      <c r="CX186">
        <f>IF(CX$4=0,0,IF(COUNTIFS(実績!$W$6:$W$505,CX$3,実績!$AC$6:$AC$505,"&lt;="&amp;$A186,実績!$AD$6:$AD$505,"&gt;"&amp;$A186,実績!$AE$6:$AE$505,"○")&gt;0,1,0))</f>
        <v/>
      </c>
      <c r="CY186">
        <f>IF(CY$4=0,0,IF(COUNTIFS(実績!$W$6:$W$505,CY$3,実績!$AC$6:$AC$505,"&lt;="&amp;$A186,実績!$AD$6:$AD$505,"&gt;"&amp;$A186,実績!$AE$6:$AE$505,"○")&gt;0,1,0))</f>
        <v/>
      </c>
      <c r="CZ186">
        <f>IF(CZ$4=0,0,IF(COUNTIFS(実績!$W$6:$W$505,CZ$3,実績!$AC$6:$AC$505,"&lt;="&amp;$A186,実績!$AD$6:$AD$505,"&gt;"&amp;$A186,実績!$AE$6:$AE$505,"○")&gt;0,1,0))</f>
        <v/>
      </c>
      <c r="DA186">
        <f>IF(DA$4=0,0,IF(COUNTIFS(実績!$W$6:$W$505,DA$3,実績!$AC$6:$AC$505,"&lt;="&amp;$A186,実績!$AD$6:$AD$505,"&gt;"&amp;$A186,実績!$AE$6:$AE$505,"○")&gt;0,1,0))</f>
        <v/>
      </c>
      <c r="DB186">
        <f>IF(DB$4=0,0,IF(COUNTIFS(実績!$W$6:$W$505,DB$3,実績!$AC$6:$AC$505,"&lt;="&amp;$A186,実績!$AD$6:$AD$505,"&gt;"&amp;$A186,実績!$AE$6:$AE$505,"○")&gt;0,1,0))</f>
        <v/>
      </c>
      <c r="DC186">
        <f>IF(DC$4=0,0,IF(COUNTIFS(実績!$W$6:$W$505,DC$3,実績!$AC$6:$AC$505,"&lt;="&amp;$A186,実績!$AD$6:$AD$505,"&gt;"&amp;$A186,実績!$AE$6:$AE$505,"○")&gt;0,1,0))</f>
        <v/>
      </c>
      <c r="DD186">
        <f>IF(DD$4=0,0,IF(COUNTIFS(実績!$W$6:$W$505,DD$3,実績!$AC$6:$AC$505,"&lt;="&amp;$A186,実績!$AD$6:$AD$505,"&gt;"&amp;$A186,実績!$AE$6:$AE$505,"○")&gt;0,1,0))</f>
        <v/>
      </c>
      <c r="DE186">
        <f>IF(DE$4=0,0,IF(COUNTIFS(実績!$W$6:$W$505,DE$3,実績!$AC$6:$AC$505,"&lt;="&amp;$A186,実績!$AD$6:$AD$505,"&gt;"&amp;$A186,実績!$AE$6:$AE$505,"○")&gt;0,1,0))</f>
        <v/>
      </c>
      <c r="DF186">
        <f>IF(DF$4=0,0,IF(COUNTIFS(実績!$W$6:$W$505,DF$3,実績!$AC$6:$AC$505,"&lt;="&amp;$A186,実績!$AD$6:$AD$505,"&gt;"&amp;$A186,実績!$AE$6:$AE$505,"○")&gt;0,1,0))</f>
        <v/>
      </c>
      <c r="DG186">
        <f>IF(DG$4=0,0,IF(COUNTIFS(実績!$W$6:$W$505,DG$3,実績!$AC$6:$AC$505,"&lt;="&amp;$A186,実績!$AD$6:$AD$505,"&gt;"&amp;$A186,実績!$AE$6:$AE$505,"○")&gt;0,1,0))</f>
        <v/>
      </c>
      <c r="DH186">
        <f>IF(DH$4=0,0,IF(COUNTIFS(実績!$W$6:$W$505,DH$3,実績!$AC$6:$AC$505,"&lt;="&amp;$A186,実績!$AD$6:$AD$505,"&gt;"&amp;$A186,実績!$AE$6:$AE$505,"○")&gt;0,1,0))</f>
        <v/>
      </c>
      <c r="DI186">
        <f>IF(DI$4=0,0,IF(COUNTIFS(実績!$W$6:$W$505,DI$3,実績!$AC$6:$AC$505,"&lt;="&amp;$A186,実績!$AD$6:$AD$505,"&gt;"&amp;$A186,実績!$AE$6:$AE$505,"○")&gt;0,1,0))</f>
        <v/>
      </c>
      <c r="DJ186">
        <f>IF(DJ$4=0,0,IF(COUNTIFS(実績!$W$6:$W$505,DJ$3,実績!$AC$6:$AC$505,"&lt;="&amp;$A186,実績!$AD$6:$AD$505,"&gt;"&amp;$A186,実績!$AE$6:$AE$505,"○")&gt;0,1,0))</f>
        <v/>
      </c>
      <c r="DK186">
        <f>IF(DK$4=0,0,IF(COUNTIFS(実績!$W$6:$W$505,DK$3,実績!$AC$6:$AC$505,"&lt;="&amp;$A186,実績!$AD$6:$AD$505,"&gt;"&amp;$A186,実績!$AE$6:$AE$505,"○")&gt;0,1,0))</f>
        <v/>
      </c>
      <c r="DL186">
        <f>IF(DL$4=0,0,IF(COUNTIFS(実績!$W$6:$W$505,DL$3,実績!$AC$6:$AC$505,"&lt;="&amp;$A186,実績!$AD$6:$AD$505,"&gt;"&amp;$A186,実績!$AE$6:$AE$505,"○")&gt;0,1,0))</f>
        <v/>
      </c>
      <c r="DM186">
        <f>IF(DM$4=0,0,IF(COUNTIFS(実績!$W$6:$W$505,DM$3,実績!$AC$6:$AC$505,"&lt;="&amp;$A186,実績!$AD$6:$AD$505,"&gt;"&amp;$A186,実績!$AE$6:$AE$505,"○")&gt;0,1,0))</f>
        <v/>
      </c>
      <c r="DN186">
        <f>IF(DN$4=0,0,IF(COUNTIFS(実績!$W$6:$W$505,DN$3,実績!$AC$6:$AC$505,"&lt;="&amp;$A186,実績!$AD$6:$AD$505,"&gt;"&amp;$A186,実績!$AE$6:$AE$505,"○")&gt;0,1,0))</f>
        <v/>
      </c>
      <c r="DO186">
        <f>IF(DO$4=0,0,IF(COUNTIFS(実績!$W$6:$W$505,DO$3,実績!$AC$6:$AC$505,"&lt;="&amp;$A186,実績!$AD$6:$AD$505,"&gt;"&amp;$A186,実績!$AE$6:$AE$505,"○")&gt;0,1,0))</f>
        <v/>
      </c>
      <c r="DP186">
        <f>IF(DP$4=0,0,IF(COUNTIFS(実績!$W$6:$W$505,DP$3,実績!$AC$6:$AC$505,"&lt;="&amp;$A186,実績!$AD$6:$AD$505,"&gt;"&amp;$A186,実績!$AE$6:$AE$505,"○")&gt;0,1,0))</f>
        <v/>
      </c>
      <c r="DQ186">
        <f>IF(DQ$4=0,0,IF(COUNTIFS(実績!$W$6:$W$505,DQ$3,実績!$AC$6:$AC$505,"&lt;="&amp;$A186,実績!$AD$6:$AD$505,"&gt;"&amp;$A186,実績!$AE$6:$AE$505,"○")&gt;0,1,0))</f>
        <v/>
      </c>
      <c r="DR186">
        <f>IF(DR$4=0,0,IF(COUNTIFS(実績!$W$6:$W$505,DR$3,実績!$AC$6:$AC$505,"&lt;="&amp;$A186,実績!$AD$6:$AD$505,"&gt;"&amp;$A186,実績!$AE$6:$AE$505,"○")&gt;0,1,0))</f>
        <v/>
      </c>
      <c r="DS186">
        <f>SUM(C186:DR186)</f>
        <v/>
      </c>
      <c r="DT186">
        <f>SUMPRODUCT((実績!$C$6:$C$505="○")*ISNUMBER(実績!$AF$6:$AF$505)*(実績!$AF$6:$AF$505&lt;=$A186)*(実績!$AG$6:$AG$505&gt;$A186))</f>
        <v/>
      </c>
      <c r="DU186">
        <f>SUMIF($C$2:$DR$2,"製鉄曳船",C186:DR186)</f>
        <v/>
      </c>
      <c r="DV186">
        <f>SUMIF($C$2:$DR$2,"西日本海運",C186:DR186)</f>
        <v/>
      </c>
    </row>
    <row r="187">
      <c r="A187" t="n">
        <v>905</v>
      </c>
      <c r="B187" s="29">
        <f>A187/1440</f>
        <v/>
      </c>
      <c r="C187">
        <f>IF(C$4=0,0,IF(COUNTIFS(実績!$W$6:$W$505,C$3,実績!$AC$6:$AC$505,"&lt;="&amp;$A187,実績!$AD$6:$AD$505,"&gt;"&amp;$A187,実績!$AE$6:$AE$505,"○")&gt;0,1,0))</f>
        <v/>
      </c>
      <c r="D187">
        <f>IF(D$4=0,0,IF(COUNTIFS(実績!$W$6:$W$505,D$3,実績!$AC$6:$AC$505,"&lt;="&amp;$A187,実績!$AD$6:$AD$505,"&gt;"&amp;$A187,実績!$AE$6:$AE$505,"○")&gt;0,1,0))</f>
        <v/>
      </c>
      <c r="E187">
        <f>IF(E$4=0,0,IF(COUNTIFS(実績!$W$6:$W$505,E$3,実績!$AC$6:$AC$505,"&lt;="&amp;$A187,実績!$AD$6:$AD$505,"&gt;"&amp;$A187,実績!$AE$6:$AE$505,"○")&gt;0,1,0))</f>
        <v/>
      </c>
      <c r="F187">
        <f>IF(F$4=0,0,IF(COUNTIFS(実績!$W$6:$W$505,F$3,実績!$AC$6:$AC$505,"&lt;="&amp;$A187,実績!$AD$6:$AD$505,"&gt;"&amp;$A187,実績!$AE$6:$AE$505,"○")&gt;0,1,0))</f>
        <v/>
      </c>
      <c r="G187">
        <f>IF(G$4=0,0,IF(COUNTIFS(実績!$W$6:$W$505,G$3,実績!$AC$6:$AC$505,"&lt;="&amp;$A187,実績!$AD$6:$AD$505,"&gt;"&amp;$A187,実績!$AE$6:$AE$505,"○")&gt;0,1,0))</f>
        <v/>
      </c>
      <c r="H187">
        <f>IF(H$4=0,0,IF(COUNTIFS(実績!$W$6:$W$505,H$3,実績!$AC$6:$AC$505,"&lt;="&amp;$A187,実績!$AD$6:$AD$505,"&gt;"&amp;$A187,実績!$AE$6:$AE$505,"○")&gt;0,1,0))</f>
        <v/>
      </c>
      <c r="I187">
        <f>IF(I$4=0,0,IF(COUNTIFS(実績!$W$6:$W$505,I$3,実績!$AC$6:$AC$505,"&lt;="&amp;$A187,実績!$AD$6:$AD$505,"&gt;"&amp;$A187,実績!$AE$6:$AE$505,"○")&gt;0,1,0))</f>
        <v/>
      </c>
      <c r="J187">
        <f>IF(J$4=0,0,IF(COUNTIFS(実績!$W$6:$W$505,J$3,実績!$AC$6:$AC$505,"&lt;="&amp;$A187,実績!$AD$6:$AD$505,"&gt;"&amp;$A187,実績!$AE$6:$AE$505,"○")&gt;0,1,0))</f>
        <v/>
      </c>
      <c r="K187">
        <f>IF(K$4=0,0,IF(COUNTIFS(実績!$W$6:$W$505,K$3,実績!$AC$6:$AC$505,"&lt;="&amp;$A187,実績!$AD$6:$AD$505,"&gt;"&amp;$A187,実績!$AE$6:$AE$505,"○")&gt;0,1,0))</f>
        <v/>
      </c>
      <c r="L187">
        <f>IF(L$4=0,0,IF(COUNTIFS(実績!$W$6:$W$505,L$3,実績!$AC$6:$AC$505,"&lt;="&amp;$A187,実績!$AD$6:$AD$505,"&gt;"&amp;$A187,実績!$AE$6:$AE$505,"○")&gt;0,1,0))</f>
        <v/>
      </c>
      <c r="M187">
        <f>IF(M$4=0,0,IF(COUNTIFS(実績!$W$6:$W$505,M$3,実績!$AC$6:$AC$505,"&lt;="&amp;$A187,実績!$AD$6:$AD$505,"&gt;"&amp;$A187,実績!$AE$6:$AE$505,"○")&gt;0,1,0))</f>
        <v/>
      </c>
      <c r="N187">
        <f>IF(N$4=0,0,IF(COUNTIFS(実績!$W$6:$W$505,N$3,実績!$AC$6:$AC$505,"&lt;="&amp;$A187,実績!$AD$6:$AD$505,"&gt;"&amp;$A187,実績!$AE$6:$AE$505,"○")&gt;0,1,0))</f>
        <v/>
      </c>
      <c r="O187">
        <f>IF(O$4=0,0,IF(COUNTIFS(実績!$W$6:$W$505,O$3,実績!$AC$6:$AC$505,"&lt;="&amp;$A187,実績!$AD$6:$AD$505,"&gt;"&amp;$A187,実績!$AE$6:$AE$505,"○")&gt;0,1,0))</f>
        <v/>
      </c>
      <c r="P187">
        <f>IF(P$4=0,0,IF(COUNTIFS(実績!$W$6:$W$505,P$3,実績!$AC$6:$AC$505,"&lt;="&amp;$A187,実績!$AD$6:$AD$505,"&gt;"&amp;$A187,実績!$AE$6:$AE$505,"○")&gt;0,1,0))</f>
        <v/>
      </c>
      <c r="Q187">
        <f>IF(Q$4=0,0,IF(COUNTIFS(実績!$W$6:$W$505,Q$3,実績!$AC$6:$AC$505,"&lt;="&amp;$A187,実績!$AD$6:$AD$505,"&gt;"&amp;$A187,実績!$AE$6:$AE$505,"○")&gt;0,1,0))</f>
        <v/>
      </c>
      <c r="R187">
        <f>IF(R$4=0,0,IF(COUNTIFS(実績!$W$6:$W$505,R$3,実績!$AC$6:$AC$505,"&lt;="&amp;$A187,実績!$AD$6:$AD$505,"&gt;"&amp;$A187,実績!$AE$6:$AE$505,"○")&gt;0,1,0))</f>
        <v/>
      </c>
      <c r="S187">
        <f>IF(S$4=0,0,IF(COUNTIFS(実績!$W$6:$W$505,S$3,実績!$AC$6:$AC$505,"&lt;="&amp;$A187,実績!$AD$6:$AD$505,"&gt;"&amp;$A187,実績!$AE$6:$AE$505,"○")&gt;0,1,0))</f>
        <v/>
      </c>
      <c r="T187">
        <f>IF(T$4=0,0,IF(COUNTIFS(実績!$W$6:$W$505,T$3,実績!$AC$6:$AC$505,"&lt;="&amp;$A187,実績!$AD$6:$AD$505,"&gt;"&amp;$A187,実績!$AE$6:$AE$505,"○")&gt;0,1,0))</f>
        <v/>
      </c>
      <c r="U187">
        <f>IF(U$4=0,0,IF(COUNTIFS(実績!$W$6:$W$505,U$3,実績!$AC$6:$AC$505,"&lt;="&amp;$A187,実績!$AD$6:$AD$505,"&gt;"&amp;$A187,実績!$AE$6:$AE$505,"○")&gt;0,1,0))</f>
        <v/>
      </c>
      <c r="V187">
        <f>IF(V$4=0,0,IF(COUNTIFS(実績!$W$6:$W$505,V$3,実績!$AC$6:$AC$505,"&lt;="&amp;$A187,実績!$AD$6:$AD$505,"&gt;"&amp;$A187,実績!$AE$6:$AE$505,"○")&gt;0,1,0))</f>
        <v/>
      </c>
      <c r="W187">
        <f>IF(W$4=0,0,IF(COUNTIFS(実績!$W$6:$W$505,W$3,実績!$AC$6:$AC$505,"&lt;="&amp;$A187,実績!$AD$6:$AD$505,"&gt;"&amp;$A187,実績!$AE$6:$AE$505,"○")&gt;0,1,0))</f>
        <v/>
      </c>
      <c r="X187">
        <f>IF(X$4=0,0,IF(COUNTIFS(実績!$W$6:$W$505,X$3,実績!$AC$6:$AC$505,"&lt;="&amp;$A187,実績!$AD$6:$AD$505,"&gt;"&amp;$A187,実績!$AE$6:$AE$505,"○")&gt;0,1,0))</f>
        <v/>
      </c>
      <c r="Y187">
        <f>IF(Y$4=0,0,IF(COUNTIFS(実績!$W$6:$W$505,Y$3,実績!$AC$6:$AC$505,"&lt;="&amp;$A187,実績!$AD$6:$AD$505,"&gt;"&amp;$A187,実績!$AE$6:$AE$505,"○")&gt;0,1,0))</f>
        <v/>
      </c>
      <c r="Z187">
        <f>IF(Z$4=0,0,IF(COUNTIFS(実績!$W$6:$W$505,Z$3,実績!$AC$6:$AC$505,"&lt;="&amp;$A187,実績!$AD$6:$AD$505,"&gt;"&amp;$A187,実績!$AE$6:$AE$505,"○")&gt;0,1,0))</f>
        <v/>
      </c>
      <c r="AA187">
        <f>IF(AA$4=0,0,IF(COUNTIFS(実績!$W$6:$W$505,AA$3,実績!$AC$6:$AC$505,"&lt;="&amp;$A187,実績!$AD$6:$AD$505,"&gt;"&amp;$A187,実績!$AE$6:$AE$505,"○")&gt;0,1,0))</f>
        <v/>
      </c>
      <c r="AB187">
        <f>IF(AB$4=0,0,IF(COUNTIFS(実績!$W$6:$W$505,AB$3,実績!$AC$6:$AC$505,"&lt;="&amp;$A187,実績!$AD$6:$AD$505,"&gt;"&amp;$A187,実績!$AE$6:$AE$505,"○")&gt;0,1,0))</f>
        <v/>
      </c>
      <c r="AC187">
        <f>IF(AC$4=0,0,IF(COUNTIFS(実績!$W$6:$W$505,AC$3,実績!$AC$6:$AC$505,"&lt;="&amp;$A187,実績!$AD$6:$AD$505,"&gt;"&amp;$A187,実績!$AE$6:$AE$505,"○")&gt;0,1,0))</f>
        <v/>
      </c>
      <c r="AD187">
        <f>IF(AD$4=0,0,IF(COUNTIFS(実績!$W$6:$W$505,AD$3,実績!$AC$6:$AC$505,"&lt;="&amp;$A187,実績!$AD$6:$AD$505,"&gt;"&amp;$A187,実績!$AE$6:$AE$505,"○")&gt;0,1,0))</f>
        <v/>
      </c>
      <c r="AE187">
        <f>IF(AE$4=0,0,IF(COUNTIFS(実績!$W$6:$W$505,AE$3,実績!$AC$6:$AC$505,"&lt;="&amp;$A187,実績!$AD$6:$AD$505,"&gt;"&amp;$A187,実績!$AE$6:$AE$505,"○")&gt;0,1,0))</f>
        <v/>
      </c>
      <c r="AF187">
        <f>IF(AF$4=0,0,IF(COUNTIFS(実績!$W$6:$W$505,AF$3,実績!$AC$6:$AC$505,"&lt;="&amp;$A187,実績!$AD$6:$AD$505,"&gt;"&amp;$A187,実績!$AE$6:$AE$505,"○")&gt;0,1,0))</f>
        <v/>
      </c>
      <c r="AG187">
        <f>IF(AG$4=0,0,IF(COUNTIFS(実績!$W$6:$W$505,AG$3,実績!$AC$6:$AC$505,"&lt;="&amp;$A187,実績!$AD$6:$AD$505,"&gt;"&amp;$A187,実績!$AE$6:$AE$505,"○")&gt;0,1,0))</f>
        <v/>
      </c>
      <c r="AH187">
        <f>IF(AH$4=0,0,IF(COUNTIFS(実績!$W$6:$W$505,AH$3,実績!$AC$6:$AC$505,"&lt;="&amp;$A187,実績!$AD$6:$AD$505,"&gt;"&amp;$A187,実績!$AE$6:$AE$505,"○")&gt;0,1,0))</f>
        <v/>
      </c>
      <c r="AI187">
        <f>IF(AI$4=0,0,IF(COUNTIFS(実績!$W$6:$W$505,AI$3,実績!$AC$6:$AC$505,"&lt;="&amp;$A187,実績!$AD$6:$AD$505,"&gt;"&amp;$A187,実績!$AE$6:$AE$505,"○")&gt;0,1,0))</f>
        <v/>
      </c>
      <c r="AJ187">
        <f>IF(AJ$4=0,0,IF(COUNTIFS(実績!$W$6:$W$505,AJ$3,実績!$AC$6:$AC$505,"&lt;="&amp;$A187,実績!$AD$6:$AD$505,"&gt;"&amp;$A187,実績!$AE$6:$AE$505,"○")&gt;0,1,0))</f>
        <v/>
      </c>
      <c r="AK187">
        <f>IF(AK$4=0,0,IF(COUNTIFS(実績!$W$6:$W$505,AK$3,実績!$AC$6:$AC$505,"&lt;="&amp;$A187,実績!$AD$6:$AD$505,"&gt;"&amp;$A187,実績!$AE$6:$AE$505,"○")&gt;0,1,0))</f>
        <v/>
      </c>
      <c r="AL187">
        <f>IF(AL$4=0,0,IF(COUNTIFS(実績!$W$6:$W$505,AL$3,実績!$AC$6:$AC$505,"&lt;="&amp;$A187,実績!$AD$6:$AD$505,"&gt;"&amp;$A187,実績!$AE$6:$AE$505,"○")&gt;0,1,0))</f>
        <v/>
      </c>
      <c r="AM187">
        <f>IF(AM$4=0,0,IF(COUNTIFS(実績!$W$6:$W$505,AM$3,実績!$AC$6:$AC$505,"&lt;="&amp;$A187,実績!$AD$6:$AD$505,"&gt;"&amp;$A187,実績!$AE$6:$AE$505,"○")&gt;0,1,0))</f>
        <v/>
      </c>
      <c r="AN187">
        <f>IF(AN$4=0,0,IF(COUNTIFS(実績!$W$6:$W$505,AN$3,実績!$AC$6:$AC$505,"&lt;="&amp;$A187,実績!$AD$6:$AD$505,"&gt;"&amp;$A187,実績!$AE$6:$AE$505,"○")&gt;0,1,0))</f>
        <v/>
      </c>
      <c r="AO187">
        <f>IF(AO$4=0,0,IF(COUNTIFS(実績!$W$6:$W$505,AO$3,実績!$AC$6:$AC$505,"&lt;="&amp;$A187,実績!$AD$6:$AD$505,"&gt;"&amp;$A187,実績!$AE$6:$AE$505,"○")&gt;0,1,0))</f>
        <v/>
      </c>
      <c r="AP187">
        <f>IF(AP$4=0,0,IF(COUNTIFS(実績!$W$6:$W$505,AP$3,実績!$AC$6:$AC$505,"&lt;="&amp;$A187,実績!$AD$6:$AD$505,"&gt;"&amp;$A187,実績!$AE$6:$AE$505,"○")&gt;0,1,0))</f>
        <v/>
      </c>
      <c r="AQ187">
        <f>IF(AQ$4=0,0,IF(COUNTIFS(実績!$W$6:$W$505,AQ$3,実績!$AC$6:$AC$505,"&lt;="&amp;$A187,実績!$AD$6:$AD$505,"&gt;"&amp;$A187,実績!$AE$6:$AE$505,"○")&gt;0,1,0))</f>
        <v/>
      </c>
      <c r="AR187">
        <f>IF(AR$4=0,0,IF(COUNTIFS(実績!$W$6:$W$505,AR$3,実績!$AC$6:$AC$505,"&lt;="&amp;$A187,実績!$AD$6:$AD$505,"&gt;"&amp;$A187,実績!$AE$6:$AE$505,"○")&gt;0,1,0))</f>
        <v/>
      </c>
      <c r="AS187">
        <f>IF(AS$4=0,0,IF(COUNTIFS(実績!$W$6:$W$505,AS$3,実績!$AC$6:$AC$505,"&lt;="&amp;$A187,実績!$AD$6:$AD$505,"&gt;"&amp;$A187,実績!$AE$6:$AE$505,"○")&gt;0,1,0))</f>
        <v/>
      </c>
      <c r="AT187">
        <f>IF(AT$4=0,0,IF(COUNTIFS(実績!$W$6:$W$505,AT$3,実績!$AC$6:$AC$505,"&lt;="&amp;$A187,実績!$AD$6:$AD$505,"&gt;"&amp;$A187,実績!$AE$6:$AE$505,"○")&gt;0,1,0))</f>
        <v/>
      </c>
      <c r="AU187">
        <f>IF(AU$4=0,0,IF(COUNTIFS(実績!$W$6:$W$505,AU$3,実績!$AC$6:$AC$505,"&lt;="&amp;$A187,実績!$AD$6:$AD$505,"&gt;"&amp;$A187,実績!$AE$6:$AE$505,"○")&gt;0,1,0))</f>
        <v/>
      </c>
      <c r="AV187">
        <f>IF(AV$4=0,0,IF(COUNTIFS(実績!$W$6:$W$505,AV$3,実績!$AC$6:$AC$505,"&lt;="&amp;$A187,実績!$AD$6:$AD$505,"&gt;"&amp;$A187,実績!$AE$6:$AE$505,"○")&gt;0,1,0))</f>
        <v/>
      </c>
      <c r="AW187">
        <f>IF(AW$4=0,0,IF(COUNTIFS(実績!$W$6:$W$505,AW$3,実績!$AC$6:$AC$505,"&lt;="&amp;$A187,実績!$AD$6:$AD$505,"&gt;"&amp;$A187,実績!$AE$6:$AE$505,"○")&gt;0,1,0))</f>
        <v/>
      </c>
      <c r="AX187">
        <f>IF(AX$4=0,0,IF(COUNTIFS(実績!$W$6:$W$505,AX$3,実績!$AC$6:$AC$505,"&lt;="&amp;$A187,実績!$AD$6:$AD$505,"&gt;"&amp;$A187,実績!$AE$6:$AE$505,"○")&gt;0,1,0))</f>
        <v/>
      </c>
      <c r="AY187">
        <f>IF(AY$4=0,0,IF(COUNTIFS(実績!$W$6:$W$505,AY$3,実績!$AC$6:$AC$505,"&lt;="&amp;$A187,実績!$AD$6:$AD$505,"&gt;"&amp;$A187,実績!$AE$6:$AE$505,"○")&gt;0,1,0))</f>
        <v/>
      </c>
      <c r="AZ187">
        <f>IF(AZ$4=0,0,IF(COUNTIFS(実績!$W$6:$W$505,AZ$3,実績!$AC$6:$AC$505,"&lt;="&amp;$A187,実績!$AD$6:$AD$505,"&gt;"&amp;$A187,実績!$AE$6:$AE$505,"○")&gt;0,1,0))</f>
        <v/>
      </c>
      <c r="BA187">
        <f>IF(BA$4=0,0,IF(COUNTIFS(実績!$W$6:$W$505,BA$3,実績!$AC$6:$AC$505,"&lt;="&amp;$A187,実績!$AD$6:$AD$505,"&gt;"&amp;$A187,実績!$AE$6:$AE$505,"○")&gt;0,1,0))</f>
        <v/>
      </c>
      <c r="BB187">
        <f>IF(BB$4=0,0,IF(COUNTIFS(実績!$W$6:$W$505,BB$3,実績!$AC$6:$AC$505,"&lt;="&amp;$A187,実績!$AD$6:$AD$505,"&gt;"&amp;$A187,実績!$AE$6:$AE$505,"○")&gt;0,1,0))</f>
        <v/>
      </c>
      <c r="BC187">
        <f>IF(BC$4=0,0,IF(COUNTIFS(実績!$W$6:$W$505,BC$3,実績!$AC$6:$AC$505,"&lt;="&amp;$A187,実績!$AD$6:$AD$505,"&gt;"&amp;$A187,実績!$AE$6:$AE$505,"○")&gt;0,1,0))</f>
        <v/>
      </c>
      <c r="BD187">
        <f>IF(BD$4=0,0,IF(COUNTIFS(実績!$W$6:$W$505,BD$3,実績!$AC$6:$AC$505,"&lt;="&amp;$A187,実績!$AD$6:$AD$505,"&gt;"&amp;$A187,実績!$AE$6:$AE$505,"○")&gt;0,1,0))</f>
        <v/>
      </c>
      <c r="BE187">
        <f>IF(BE$4=0,0,IF(COUNTIFS(実績!$W$6:$W$505,BE$3,実績!$AC$6:$AC$505,"&lt;="&amp;$A187,実績!$AD$6:$AD$505,"&gt;"&amp;$A187,実績!$AE$6:$AE$505,"○")&gt;0,1,0))</f>
        <v/>
      </c>
      <c r="BF187">
        <f>IF(BF$4=0,0,IF(COUNTIFS(実績!$W$6:$W$505,BF$3,実績!$AC$6:$AC$505,"&lt;="&amp;$A187,実績!$AD$6:$AD$505,"&gt;"&amp;$A187,実績!$AE$6:$AE$505,"○")&gt;0,1,0))</f>
        <v/>
      </c>
      <c r="BG187">
        <f>IF(BG$4=0,0,IF(COUNTIFS(実績!$W$6:$W$505,BG$3,実績!$AC$6:$AC$505,"&lt;="&amp;$A187,実績!$AD$6:$AD$505,"&gt;"&amp;$A187,実績!$AE$6:$AE$505,"○")&gt;0,1,0))</f>
        <v/>
      </c>
      <c r="BH187">
        <f>IF(BH$4=0,0,IF(COUNTIFS(実績!$W$6:$W$505,BH$3,実績!$AC$6:$AC$505,"&lt;="&amp;$A187,実績!$AD$6:$AD$505,"&gt;"&amp;$A187,実績!$AE$6:$AE$505,"○")&gt;0,1,0))</f>
        <v/>
      </c>
      <c r="BI187">
        <f>IF(BI$4=0,0,IF(COUNTIFS(実績!$W$6:$W$505,BI$3,実績!$AC$6:$AC$505,"&lt;="&amp;$A187,実績!$AD$6:$AD$505,"&gt;"&amp;$A187,実績!$AE$6:$AE$505,"○")&gt;0,1,0))</f>
        <v/>
      </c>
      <c r="BJ187">
        <f>IF(BJ$4=0,0,IF(COUNTIFS(実績!$W$6:$W$505,BJ$3,実績!$AC$6:$AC$505,"&lt;="&amp;$A187,実績!$AD$6:$AD$505,"&gt;"&amp;$A187,実績!$AE$6:$AE$505,"○")&gt;0,1,0))</f>
        <v/>
      </c>
      <c r="BK187">
        <f>IF(BK$4=0,0,IF(COUNTIFS(実績!$W$6:$W$505,BK$3,実績!$AC$6:$AC$505,"&lt;="&amp;$A187,実績!$AD$6:$AD$505,"&gt;"&amp;$A187,実績!$AE$6:$AE$505,"○")&gt;0,1,0))</f>
        <v/>
      </c>
      <c r="BL187">
        <f>IF(BL$4=0,0,IF(COUNTIFS(実績!$W$6:$W$505,BL$3,実績!$AC$6:$AC$505,"&lt;="&amp;$A187,実績!$AD$6:$AD$505,"&gt;"&amp;$A187,実績!$AE$6:$AE$505,"○")&gt;0,1,0))</f>
        <v/>
      </c>
      <c r="BM187">
        <f>IF(BM$4=0,0,IF(COUNTIFS(実績!$W$6:$W$505,BM$3,実績!$AC$6:$AC$505,"&lt;="&amp;$A187,実績!$AD$6:$AD$505,"&gt;"&amp;$A187,実績!$AE$6:$AE$505,"○")&gt;0,1,0))</f>
        <v/>
      </c>
      <c r="BN187">
        <f>IF(BN$4=0,0,IF(COUNTIFS(実績!$W$6:$W$505,BN$3,実績!$AC$6:$AC$505,"&lt;="&amp;$A187,実績!$AD$6:$AD$505,"&gt;"&amp;$A187,実績!$AE$6:$AE$505,"○")&gt;0,1,0))</f>
        <v/>
      </c>
      <c r="BO187">
        <f>IF(BO$4=0,0,IF(COUNTIFS(実績!$W$6:$W$505,BO$3,実績!$AC$6:$AC$505,"&lt;="&amp;$A187,実績!$AD$6:$AD$505,"&gt;"&amp;$A187,実績!$AE$6:$AE$505,"○")&gt;0,1,0))</f>
        <v/>
      </c>
      <c r="BP187">
        <f>IF(BP$4=0,0,IF(COUNTIFS(実績!$W$6:$W$505,BP$3,実績!$AC$6:$AC$505,"&lt;="&amp;$A187,実績!$AD$6:$AD$505,"&gt;"&amp;$A187,実績!$AE$6:$AE$505,"○")&gt;0,1,0))</f>
        <v/>
      </c>
      <c r="BQ187">
        <f>IF(BQ$4=0,0,IF(COUNTIFS(実績!$W$6:$W$505,BQ$3,実績!$AC$6:$AC$505,"&lt;="&amp;$A187,実績!$AD$6:$AD$505,"&gt;"&amp;$A187,実績!$AE$6:$AE$505,"○")&gt;0,1,0))</f>
        <v/>
      </c>
      <c r="BR187">
        <f>IF(BR$4=0,0,IF(COUNTIFS(実績!$W$6:$W$505,BR$3,実績!$AC$6:$AC$505,"&lt;="&amp;$A187,実績!$AD$6:$AD$505,"&gt;"&amp;$A187,実績!$AE$6:$AE$505,"○")&gt;0,1,0))</f>
        <v/>
      </c>
      <c r="BS187">
        <f>IF(BS$4=0,0,IF(COUNTIFS(実績!$W$6:$W$505,BS$3,実績!$AC$6:$AC$505,"&lt;="&amp;$A187,実績!$AD$6:$AD$505,"&gt;"&amp;$A187,実績!$AE$6:$AE$505,"○")&gt;0,1,0))</f>
        <v/>
      </c>
      <c r="BT187">
        <f>IF(BT$4=0,0,IF(COUNTIFS(実績!$W$6:$W$505,BT$3,実績!$AC$6:$AC$505,"&lt;="&amp;$A187,実績!$AD$6:$AD$505,"&gt;"&amp;$A187,実績!$AE$6:$AE$505,"○")&gt;0,1,0))</f>
        <v/>
      </c>
      <c r="BU187">
        <f>IF(BU$4=0,0,IF(COUNTIFS(実績!$W$6:$W$505,BU$3,実績!$AC$6:$AC$505,"&lt;="&amp;$A187,実績!$AD$6:$AD$505,"&gt;"&amp;$A187,実績!$AE$6:$AE$505,"○")&gt;0,1,0))</f>
        <v/>
      </c>
      <c r="BV187">
        <f>IF(BV$4=0,0,IF(COUNTIFS(実績!$W$6:$W$505,BV$3,実績!$AC$6:$AC$505,"&lt;="&amp;$A187,実績!$AD$6:$AD$505,"&gt;"&amp;$A187,実績!$AE$6:$AE$505,"○")&gt;0,1,0))</f>
        <v/>
      </c>
      <c r="BW187">
        <f>IF(BW$4=0,0,IF(COUNTIFS(実績!$W$6:$W$505,BW$3,実績!$AC$6:$AC$505,"&lt;="&amp;$A187,実績!$AD$6:$AD$505,"&gt;"&amp;$A187,実績!$AE$6:$AE$505,"○")&gt;0,1,0))</f>
        <v/>
      </c>
      <c r="BX187">
        <f>IF(BX$4=0,0,IF(COUNTIFS(実績!$W$6:$W$505,BX$3,実績!$AC$6:$AC$505,"&lt;="&amp;$A187,実績!$AD$6:$AD$505,"&gt;"&amp;$A187,実績!$AE$6:$AE$505,"○")&gt;0,1,0))</f>
        <v/>
      </c>
      <c r="BY187">
        <f>IF(BY$4=0,0,IF(COUNTIFS(実績!$W$6:$W$505,BY$3,実績!$AC$6:$AC$505,"&lt;="&amp;$A187,実績!$AD$6:$AD$505,"&gt;"&amp;$A187,実績!$AE$6:$AE$505,"○")&gt;0,1,0))</f>
        <v/>
      </c>
      <c r="BZ187">
        <f>IF(BZ$4=0,0,IF(COUNTIFS(実績!$W$6:$W$505,BZ$3,実績!$AC$6:$AC$505,"&lt;="&amp;$A187,実績!$AD$6:$AD$505,"&gt;"&amp;$A187,実績!$AE$6:$AE$505,"○")&gt;0,1,0))</f>
        <v/>
      </c>
      <c r="CA187">
        <f>IF(CA$4=0,0,IF(COUNTIFS(実績!$W$6:$W$505,CA$3,実績!$AC$6:$AC$505,"&lt;="&amp;$A187,実績!$AD$6:$AD$505,"&gt;"&amp;$A187,実績!$AE$6:$AE$505,"○")&gt;0,1,0))</f>
        <v/>
      </c>
      <c r="CB187">
        <f>IF(CB$4=0,0,IF(COUNTIFS(実績!$W$6:$W$505,CB$3,実績!$AC$6:$AC$505,"&lt;="&amp;$A187,実績!$AD$6:$AD$505,"&gt;"&amp;$A187,実績!$AE$6:$AE$505,"○")&gt;0,1,0))</f>
        <v/>
      </c>
      <c r="CC187">
        <f>IF(CC$4=0,0,IF(COUNTIFS(実績!$W$6:$W$505,CC$3,実績!$AC$6:$AC$505,"&lt;="&amp;$A187,実績!$AD$6:$AD$505,"&gt;"&amp;$A187,実績!$AE$6:$AE$505,"○")&gt;0,1,0))</f>
        <v/>
      </c>
      <c r="CD187">
        <f>IF(CD$4=0,0,IF(COUNTIFS(実績!$W$6:$W$505,CD$3,実績!$AC$6:$AC$505,"&lt;="&amp;$A187,実績!$AD$6:$AD$505,"&gt;"&amp;$A187,実績!$AE$6:$AE$505,"○")&gt;0,1,0))</f>
        <v/>
      </c>
      <c r="CE187">
        <f>IF(CE$4=0,0,IF(COUNTIFS(実績!$W$6:$W$505,CE$3,実績!$AC$6:$AC$505,"&lt;="&amp;$A187,実績!$AD$6:$AD$505,"&gt;"&amp;$A187,実績!$AE$6:$AE$505,"○")&gt;0,1,0))</f>
        <v/>
      </c>
      <c r="CF187">
        <f>IF(CF$4=0,0,IF(COUNTIFS(実績!$W$6:$W$505,CF$3,実績!$AC$6:$AC$505,"&lt;="&amp;$A187,実績!$AD$6:$AD$505,"&gt;"&amp;$A187,実績!$AE$6:$AE$505,"○")&gt;0,1,0))</f>
        <v/>
      </c>
      <c r="CG187">
        <f>IF(CG$4=0,0,IF(COUNTIFS(実績!$W$6:$W$505,CG$3,実績!$AC$6:$AC$505,"&lt;="&amp;$A187,実績!$AD$6:$AD$505,"&gt;"&amp;$A187,実績!$AE$6:$AE$505,"○")&gt;0,1,0))</f>
        <v/>
      </c>
      <c r="CH187">
        <f>IF(CH$4=0,0,IF(COUNTIFS(実績!$W$6:$W$505,CH$3,実績!$AC$6:$AC$505,"&lt;="&amp;$A187,実績!$AD$6:$AD$505,"&gt;"&amp;$A187,実績!$AE$6:$AE$505,"○")&gt;0,1,0))</f>
        <v/>
      </c>
      <c r="CI187">
        <f>IF(CI$4=0,0,IF(COUNTIFS(実績!$W$6:$W$505,CI$3,実績!$AC$6:$AC$505,"&lt;="&amp;$A187,実績!$AD$6:$AD$505,"&gt;"&amp;$A187,実績!$AE$6:$AE$505,"○")&gt;0,1,0))</f>
        <v/>
      </c>
      <c r="CJ187">
        <f>IF(CJ$4=0,0,IF(COUNTIFS(実績!$W$6:$W$505,CJ$3,実績!$AC$6:$AC$505,"&lt;="&amp;$A187,実績!$AD$6:$AD$505,"&gt;"&amp;$A187,実績!$AE$6:$AE$505,"○")&gt;0,1,0))</f>
        <v/>
      </c>
      <c r="CK187">
        <f>IF(CK$4=0,0,IF(COUNTIFS(実績!$W$6:$W$505,CK$3,実績!$AC$6:$AC$505,"&lt;="&amp;$A187,実績!$AD$6:$AD$505,"&gt;"&amp;$A187,実績!$AE$6:$AE$505,"○")&gt;0,1,0))</f>
        <v/>
      </c>
      <c r="CL187">
        <f>IF(CL$4=0,0,IF(COUNTIFS(実績!$W$6:$W$505,CL$3,実績!$AC$6:$AC$505,"&lt;="&amp;$A187,実績!$AD$6:$AD$505,"&gt;"&amp;$A187,実績!$AE$6:$AE$505,"○")&gt;0,1,0))</f>
        <v/>
      </c>
      <c r="CM187">
        <f>IF(CM$4=0,0,IF(COUNTIFS(実績!$W$6:$W$505,CM$3,実績!$AC$6:$AC$505,"&lt;="&amp;$A187,実績!$AD$6:$AD$505,"&gt;"&amp;$A187,実績!$AE$6:$AE$505,"○")&gt;0,1,0))</f>
        <v/>
      </c>
      <c r="CN187">
        <f>IF(CN$4=0,0,IF(COUNTIFS(実績!$W$6:$W$505,CN$3,実績!$AC$6:$AC$505,"&lt;="&amp;$A187,実績!$AD$6:$AD$505,"&gt;"&amp;$A187,実績!$AE$6:$AE$505,"○")&gt;0,1,0))</f>
        <v/>
      </c>
      <c r="CO187">
        <f>IF(CO$4=0,0,IF(COUNTIFS(実績!$W$6:$W$505,CO$3,実績!$AC$6:$AC$505,"&lt;="&amp;$A187,実績!$AD$6:$AD$505,"&gt;"&amp;$A187,実績!$AE$6:$AE$505,"○")&gt;0,1,0))</f>
        <v/>
      </c>
      <c r="CP187">
        <f>IF(CP$4=0,0,IF(COUNTIFS(実績!$W$6:$W$505,CP$3,実績!$AC$6:$AC$505,"&lt;="&amp;$A187,実績!$AD$6:$AD$505,"&gt;"&amp;$A187,実績!$AE$6:$AE$505,"○")&gt;0,1,0))</f>
        <v/>
      </c>
      <c r="CQ187">
        <f>IF(CQ$4=0,0,IF(COUNTIFS(実績!$W$6:$W$505,CQ$3,実績!$AC$6:$AC$505,"&lt;="&amp;$A187,実績!$AD$6:$AD$505,"&gt;"&amp;$A187,実績!$AE$6:$AE$505,"○")&gt;0,1,0))</f>
        <v/>
      </c>
      <c r="CR187">
        <f>IF(CR$4=0,0,IF(COUNTIFS(実績!$W$6:$W$505,CR$3,実績!$AC$6:$AC$505,"&lt;="&amp;$A187,実績!$AD$6:$AD$505,"&gt;"&amp;$A187,実績!$AE$6:$AE$505,"○")&gt;0,1,0))</f>
        <v/>
      </c>
      <c r="CS187">
        <f>IF(CS$4=0,0,IF(COUNTIFS(実績!$W$6:$W$505,CS$3,実績!$AC$6:$AC$505,"&lt;="&amp;$A187,実績!$AD$6:$AD$505,"&gt;"&amp;$A187,実績!$AE$6:$AE$505,"○")&gt;0,1,0))</f>
        <v/>
      </c>
      <c r="CT187">
        <f>IF(CT$4=0,0,IF(COUNTIFS(実績!$W$6:$W$505,CT$3,実績!$AC$6:$AC$505,"&lt;="&amp;$A187,実績!$AD$6:$AD$505,"&gt;"&amp;$A187,実績!$AE$6:$AE$505,"○")&gt;0,1,0))</f>
        <v/>
      </c>
      <c r="CU187">
        <f>IF(CU$4=0,0,IF(COUNTIFS(実績!$W$6:$W$505,CU$3,実績!$AC$6:$AC$505,"&lt;="&amp;$A187,実績!$AD$6:$AD$505,"&gt;"&amp;$A187,実績!$AE$6:$AE$505,"○")&gt;0,1,0))</f>
        <v/>
      </c>
      <c r="CV187">
        <f>IF(CV$4=0,0,IF(COUNTIFS(実績!$W$6:$W$505,CV$3,実績!$AC$6:$AC$505,"&lt;="&amp;$A187,実績!$AD$6:$AD$505,"&gt;"&amp;$A187,実績!$AE$6:$AE$505,"○")&gt;0,1,0))</f>
        <v/>
      </c>
      <c r="CW187">
        <f>IF(CW$4=0,0,IF(COUNTIFS(実績!$W$6:$W$505,CW$3,実績!$AC$6:$AC$505,"&lt;="&amp;$A187,実績!$AD$6:$AD$505,"&gt;"&amp;$A187,実績!$AE$6:$AE$505,"○")&gt;0,1,0))</f>
        <v/>
      </c>
      <c r="CX187">
        <f>IF(CX$4=0,0,IF(COUNTIFS(実績!$W$6:$W$505,CX$3,実績!$AC$6:$AC$505,"&lt;="&amp;$A187,実績!$AD$6:$AD$505,"&gt;"&amp;$A187,実績!$AE$6:$AE$505,"○")&gt;0,1,0))</f>
        <v/>
      </c>
      <c r="CY187">
        <f>IF(CY$4=0,0,IF(COUNTIFS(実績!$W$6:$W$505,CY$3,実績!$AC$6:$AC$505,"&lt;="&amp;$A187,実績!$AD$6:$AD$505,"&gt;"&amp;$A187,実績!$AE$6:$AE$505,"○")&gt;0,1,0))</f>
        <v/>
      </c>
      <c r="CZ187">
        <f>IF(CZ$4=0,0,IF(COUNTIFS(実績!$W$6:$W$505,CZ$3,実績!$AC$6:$AC$505,"&lt;="&amp;$A187,実績!$AD$6:$AD$505,"&gt;"&amp;$A187,実績!$AE$6:$AE$505,"○")&gt;0,1,0))</f>
        <v/>
      </c>
      <c r="DA187">
        <f>IF(DA$4=0,0,IF(COUNTIFS(実績!$W$6:$W$505,DA$3,実績!$AC$6:$AC$505,"&lt;="&amp;$A187,実績!$AD$6:$AD$505,"&gt;"&amp;$A187,実績!$AE$6:$AE$505,"○")&gt;0,1,0))</f>
        <v/>
      </c>
      <c r="DB187">
        <f>IF(DB$4=0,0,IF(COUNTIFS(実績!$W$6:$W$505,DB$3,実績!$AC$6:$AC$505,"&lt;="&amp;$A187,実績!$AD$6:$AD$505,"&gt;"&amp;$A187,実績!$AE$6:$AE$505,"○")&gt;0,1,0))</f>
        <v/>
      </c>
      <c r="DC187">
        <f>IF(DC$4=0,0,IF(COUNTIFS(実績!$W$6:$W$505,DC$3,実績!$AC$6:$AC$505,"&lt;="&amp;$A187,実績!$AD$6:$AD$505,"&gt;"&amp;$A187,実績!$AE$6:$AE$505,"○")&gt;0,1,0))</f>
        <v/>
      </c>
      <c r="DD187">
        <f>IF(DD$4=0,0,IF(COUNTIFS(実績!$W$6:$W$505,DD$3,実績!$AC$6:$AC$505,"&lt;="&amp;$A187,実績!$AD$6:$AD$505,"&gt;"&amp;$A187,実績!$AE$6:$AE$505,"○")&gt;0,1,0))</f>
        <v/>
      </c>
      <c r="DE187">
        <f>IF(DE$4=0,0,IF(COUNTIFS(実績!$W$6:$W$505,DE$3,実績!$AC$6:$AC$505,"&lt;="&amp;$A187,実績!$AD$6:$AD$505,"&gt;"&amp;$A187,実績!$AE$6:$AE$505,"○")&gt;0,1,0))</f>
        <v/>
      </c>
      <c r="DF187">
        <f>IF(DF$4=0,0,IF(COUNTIFS(実績!$W$6:$W$505,DF$3,実績!$AC$6:$AC$505,"&lt;="&amp;$A187,実績!$AD$6:$AD$505,"&gt;"&amp;$A187,実績!$AE$6:$AE$505,"○")&gt;0,1,0))</f>
        <v/>
      </c>
      <c r="DG187">
        <f>IF(DG$4=0,0,IF(COUNTIFS(実績!$W$6:$W$505,DG$3,実績!$AC$6:$AC$505,"&lt;="&amp;$A187,実績!$AD$6:$AD$505,"&gt;"&amp;$A187,実績!$AE$6:$AE$505,"○")&gt;0,1,0))</f>
        <v/>
      </c>
      <c r="DH187">
        <f>IF(DH$4=0,0,IF(COUNTIFS(実績!$W$6:$W$505,DH$3,実績!$AC$6:$AC$505,"&lt;="&amp;$A187,実績!$AD$6:$AD$505,"&gt;"&amp;$A187,実績!$AE$6:$AE$505,"○")&gt;0,1,0))</f>
        <v/>
      </c>
      <c r="DI187">
        <f>IF(DI$4=0,0,IF(COUNTIFS(実績!$W$6:$W$505,DI$3,実績!$AC$6:$AC$505,"&lt;="&amp;$A187,実績!$AD$6:$AD$505,"&gt;"&amp;$A187,実績!$AE$6:$AE$505,"○")&gt;0,1,0))</f>
        <v/>
      </c>
      <c r="DJ187">
        <f>IF(DJ$4=0,0,IF(COUNTIFS(実績!$W$6:$W$505,DJ$3,実績!$AC$6:$AC$505,"&lt;="&amp;$A187,実績!$AD$6:$AD$505,"&gt;"&amp;$A187,実績!$AE$6:$AE$505,"○")&gt;0,1,0))</f>
        <v/>
      </c>
      <c r="DK187">
        <f>IF(DK$4=0,0,IF(COUNTIFS(実績!$W$6:$W$505,DK$3,実績!$AC$6:$AC$505,"&lt;="&amp;$A187,実績!$AD$6:$AD$505,"&gt;"&amp;$A187,実績!$AE$6:$AE$505,"○")&gt;0,1,0))</f>
        <v/>
      </c>
      <c r="DL187">
        <f>IF(DL$4=0,0,IF(COUNTIFS(実績!$W$6:$W$505,DL$3,実績!$AC$6:$AC$505,"&lt;="&amp;$A187,実績!$AD$6:$AD$505,"&gt;"&amp;$A187,実績!$AE$6:$AE$505,"○")&gt;0,1,0))</f>
        <v/>
      </c>
      <c r="DM187">
        <f>IF(DM$4=0,0,IF(COUNTIFS(実績!$W$6:$W$505,DM$3,実績!$AC$6:$AC$505,"&lt;="&amp;$A187,実績!$AD$6:$AD$505,"&gt;"&amp;$A187,実績!$AE$6:$AE$505,"○")&gt;0,1,0))</f>
        <v/>
      </c>
      <c r="DN187">
        <f>IF(DN$4=0,0,IF(COUNTIFS(実績!$W$6:$W$505,DN$3,実績!$AC$6:$AC$505,"&lt;="&amp;$A187,実績!$AD$6:$AD$505,"&gt;"&amp;$A187,実績!$AE$6:$AE$505,"○")&gt;0,1,0))</f>
        <v/>
      </c>
      <c r="DO187">
        <f>IF(DO$4=0,0,IF(COUNTIFS(実績!$W$6:$W$505,DO$3,実績!$AC$6:$AC$505,"&lt;="&amp;$A187,実績!$AD$6:$AD$505,"&gt;"&amp;$A187,実績!$AE$6:$AE$505,"○")&gt;0,1,0))</f>
        <v/>
      </c>
      <c r="DP187">
        <f>IF(DP$4=0,0,IF(COUNTIFS(実績!$W$6:$W$505,DP$3,実績!$AC$6:$AC$505,"&lt;="&amp;$A187,実績!$AD$6:$AD$505,"&gt;"&amp;$A187,実績!$AE$6:$AE$505,"○")&gt;0,1,0))</f>
        <v/>
      </c>
      <c r="DQ187">
        <f>IF(DQ$4=0,0,IF(COUNTIFS(実績!$W$6:$W$505,DQ$3,実績!$AC$6:$AC$505,"&lt;="&amp;$A187,実績!$AD$6:$AD$505,"&gt;"&amp;$A187,実績!$AE$6:$AE$505,"○")&gt;0,1,0))</f>
        <v/>
      </c>
      <c r="DR187">
        <f>IF(DR$4=0,0,IF(COUNTIFS(実績!$W$6:$W$505,DR$3,実績!$AC$6:$AC$505,"&lt;="&amp;$A187,実績!$AD$6:$AD$505,"&gt;"&amp;$A187,実績!$AE$6:$AE$505,"○")&gt;0,1,0))</f>
        <v/>
      </c>
      <c r="DS187">
        <f>SUM(C187:DR187)</f>
        <v/>
      </c>
      <c r="DT187">
        <f>SUMPRODUCT((実績!$C$6:$C$505="○")*ISNUMBER(実績!$AF$6:$AF$505)*(実績!$AF$6:$AF$505&lt;=$A187)*(実績!$AG$6:$AG$505&gt;$A187))</f>
        <v/>
      </c>
      <c r="DU187">
        <f>SUMIF($C$2:$DR$2,"製鉄曳船",C187:DR187)</f>
        <v/>
      </c>
      <c r="DV187">
        <f>SUMIF($C$2:$DR$2,"西日本海運",C187:DR187)</f>
        <v/>
      </c>
    </row>
    <row r="188">
      <c r="A188" t="n">
        <v>910</v>
      </c>
      <c r="B188" s="29">
        <f>A188/1440</f>
        <v/>
      </c>
      <c r="C188">
        <f>IF(C$4=0,0,IF(COUNTIFS(実績!$W$6:$W$505,C$3,実績!$AC$6:$AC$505,"&lt;="&amp;$A188,実績!$AD$6:$AD$505,"&gt;"&amp;$A188,実績!$AE$6:$AE$505,"○")&gt;0,1,0))</f>
        <v/>
      </c>
      <c r="D188">
        <f>IF(D$4=0,0,IF(COUNTIFS(実績!$W$6:$W$505,D$3,実績!$AC$6:$AC$505,"&lt;="&amp;$A188,実績!$AD$6:$AD$505,"&gt;"&amp;$A188,実績!$AE$6:$AE$505,"○")&gt;0,1,0))</f>
        <v/>
      </c>
      <c r="E188">
        <f>IF(E$4=0,0,IF(COUNTIFS(実績!$W$6:$W$505,E$3,実績!$AC$6:$AC$505,"&lt;="&amp;$A188,実績!$AD$6:$AD$505,"&gt;"&amp;$A188,実績!$AE$6:$AE$505,"○")&gt;0,1,0))</f>
        <v/>
      </c>
      <c r="F188">
        <f>IF(F$4=0,0,IF(COUNTIFS(実績!$W$6:$W$505,F$3,実績!$AC$6:$AC$505,"&lt;="&amp;$A188,実績!$AD$6:$AD$505,"&gt;"&amp;$A188,実績!$AE$6:$AE$505,"○")&gt;0,1,0))</f>
        <v/>
      </c>
      <c r="G188">
        <f>IF(G$4=0,0,IF(COUNTIFS(実績!$W$6:$W$505,G$3,実績!$AC$6:$AC$505,"&lt;="&amp;$A188,実績!$AD$6:$AD$505,"&gt;"&amp;$A188,実績!$AE$6:$AE$505,"○")&gt;0,1,0))</f>
        <v/>
      </c>
      <c r="H188">
        <f>IF(H$4=0,0,IF(COUNTIFS(実績!$W$6:$W$505,H$3,実績!$AC$6:$AC$505,"&lt;="&amp;$A188,実績!$AD$6:$AD$505,"&gt;"&amp;$A188,実績!$AE$6:$AE$505,"○")&gt;0,1,0))</f>
        <v/>
      </c>
      <c r="I188">
        <f>IF(I$4=0,0,IF(COUNTIFS(実績!$W$6:$W$505,I$3,実績!$AC$6:$AC$505,"&lt;="&amp;$A188,実績!$AD$6:$AD$505,"&gt;"&amp;$A188,実績!$AE$6:$AE$505,"○")&gt;0,1,0))</f>
        <v/>
      </c>
      <c r="J188">
        <f>IF(J$4=0,0,IF(COUNTIFS(実績!$W$6:$W$505,J$3,実績!$AC$6:$AC$505,"&lt;="&amp;$A188,実績!$AD$6:$AD$505,"&gt;"&amp;$A188,実績!$AE$6:$AE$505,"○")&gt;0,1,0))</f>
        <v/>
      </c>
      <c r="K188">
        <f>IF(K$4=0,0,IF(COUNTIFS(実績!$W$6:$W$505,K$3,実績!$AC$6:$AC$505,"&lt;="&amp;$A188,実績!$AD$6:$AD$505,"&gt;"&amp;$A188,実績!$AE$6:$AE$505,"○")&gt;0,1,0))</f>
        <v/>
      </c>
      <c r="L188">
        <f>IF(L$4=0,0,IF(COUNTIFS(実績!$W$6:$W$505,L$3,実績!$AC$6:$AC$505,"&lt;="&amp;$A188,実績!$AD$6:$AD$505,"&gt;"&amp;$A188,実績!$AE$6:$AE$505,"○")&gt;0,1,0))</f>
        <v/>
      </c>
      <c r="M188">
        <f>IF(M$4=0,0,IF(COUNTIFS(実績!$W$6:$W$505,M$3,実績!$AC$6:$AC$505,"&lt;="&amp;$A188,実績!$AD$6:$AD$505,"&gt;"&amp;$A188,実績!$AE$6:$AE$505,"○")&gt;0,1,0))</f>
        <v/>
      </c>
      <c r="N188">
        <f>IF(N$4=0,0,IF(COUNTIFS(実績!$W$6:$W$505,N$3,実績!$AC$6:$AC$505,"&lt;="&amp;$A188,実績!$AD$6:$AD$505,"&gt;"&amp;$A188,実績!$AE$6:$AE$505,"○")&gt;0,1,0))</f>
        <v/>
      </c>
      <c r="O188">
        <f>IF(O$4=0,0,IF(COUNTIFS(実績!$W$6:$W$505,O$3,実績!$AC$6:$AC$505,"&lt;="&amp;$A188,実績!$AD$6:$AD$505,"&gt;"&amp;$A188,実績!$AE$6:$AE$505,"○")&gt;0,1,0))</f>
        <v/>
      </c>
      <c r="P188">
        <f>IF(P$4=0,0,IF(COUNTIFS(実績!$W$6:$W$505,P$3,実績!$AC$6:$AC$505,"&lt;="&amp;$A188,実績!$AD$6:$AD$505,"&gt;"&amp;$A188,実績!$AE$6:$AE$505,"○")&gt;0,1,0))</f>
        <v/>
      </c>
      <c r="Q188">
        <f>IF(Q$4=0,0,IF(COUNTIFS(実績!$W$6:$W$505,Q$3,実績!$AC$6:$AC$505,"&lt;="&amp;$A188,実績!$AD$6:$AD$505,"&gt;"&amp;$A188,実績!$AE$6:$AE$505,"○")&gt;0,1,0))</f>
        <v/>
      </c>
      <c r="R188">
        <f>IF(R$4=0,0,IF(COUNTIFS(実績!$W$6:$W$505,R$3,実績!$AC$6:$AC$505,"&lt;="&amp;$A188,実績!$AD$6:$AD$505,"&gt;"&amp;$A188,実績!$AE$6:$AE$505,"○")&gt;0,1,0))</f>
        <v/>
      </c>
      <c r="S188">
        <f>IF(S$4=0,0,IF(COUNTIFS(実績!$W$6:$W$505,S$3,実績!$AC$6:$AC$505,"&lt;="&amp;$A188,実績!$AD$6:$AD$505,"&gt;"&amp;$A188,実績!$AE$6:$AE$505,"○")&gt;0,1,0))</f>
        <v/>
      </c>
      <c r="T188">
        <f>IF(T$4=0,0,IF(COUNTIFS(実績!$W$6:$W$505,T$3,実績!$AC$6:$AC$505,"&lt;="&amp;$A188,実績!$AD$6:$AD$505,"&gt;"&amp;$A188,実績!$AE$6:$AE$505,"○")&gt;0,1,0))</f>
        <v/>
      </c>
      <c r="U188">
        <f>IF(U$4=0,0,IF(COUNTIFS(実績!$W$6:$W$505,U$3,実績!$AC$6:$AC$505,"&lt;="&amp;$A188,実績!$AD$6:$AD$505,"&gt;"&amp;$A188,実績!$AE$6:$AE$505,"○")&gt;0,1,0))</f>
        <v/>
      </c>
      <c r="V188">
        <f>IF(V$4=0,0,IF(COUNTIFS(実績!$W$6:$W$505,V$3,実績!$AC$6:$AC$505,"&lt;="&amp;$A188,実績!$AD$6:$AD$505,"&gt;"&amp;$A188,実績!$AE$6:$AE$505,"○")&gt;0,1,0))</f>
        <v/>
      </c>
      <c r="W188">
        <f>IF(W$4=0,0,IF(COUNTIFS(実績!$W$6:$W$505,W$3,実績!$AC$6:$AC$505,"&lt;="&amp;$A188,実績!$AD$6:$AD$505,"&gt;"&amp;$A188,実績!$AE$6:$AE$505,"○")&gt;0,1,0))</f>
        <v/>
      </c>
      <c r="X188">
        <f>IF(X$4=0,0,IF(COUNTIFS(実績!$W$6:$W$505,X$3,実績!$AC$6:$AC$505,"&lt;="&amp;$A188,実績!$AD$6:$AD$505,"&gt;"&amp;$A188,実績!$AE$6:$AE$505,"○")&gt;0,1,0))</f>
        <v/>
      </c>
      <c r="Y188">
        <f>IF(Y$4=0,0,IF(COUNTIFS(実績!$W$6:$W$505,Y$3,実績!$AC$6:$AC$505,"&lt;="&amp;$A188,実績!$AD$6:$AD$505,"&gt;"&amp;$A188,実績!$AE$6:$AE$505,"○")&gt;0,1,0))</f>
        <v/>
      </c>
      <c r="Z188">
        <f>IF(Z$4=0,0,IF(COUNTIFS(実績!$W$6:$W$505,Z$3,実績!$AC$6:$AC$505,"&lt;="&amp;$A188,実績!$AD$6:$AD$505,"&gt;"&amp;$A188,実績!$AE$6:$AE$505,"○")&gt;0,1,0))</f>
        <v/>
      </c>
      <c r="AA188">
        <f>IF(AA$4=0,0,IF(COUNTIFS(実績!$W$6:$W$505,AA$3,実績!$AC$6:$AC$505,"&lt;="&amp;$A188,実績!$AD$6:$AD$505,"&gt;"&amp;$A188,実績!$AE$6:$AE$505,"○")&gt;0,1,0))</f>
        <v/>
      </c>
      <c r="AB188">
        <f>IF(AB$4=0,0,IF(COUNTIFS(実績!$W$6:$W$505,AB$3,実績!$AC$6:$AC$505,"&lt;="&amp;$A188,実績!$AD$6:$AD$505,"&gt;"&amp;$A188,実績!$AE$6:$AE$505,"○")&gt;0,1,0))</f>
        <v/>
      </c>
      <c r="AC188">
        <f>IF(AC$4=0,0,IF(COUNTIFS(実績!$W$6:$W$505,AC$3,実績!$AC$6:$AC$505,"&lt;="&amp;$A188,実績!$AD$6:$AD$505,"&gt;"&amp;$A188,実績!$AE$6:$AE$505,"○")&gt;0,1,0))</f>
        <v/>
      </c>
      <c r="AD188">
        <f>IF(AD$4=0,0,IF(COUNTIFS(実績!$W$6:$W$505,AD$3,実績!$AC$6:$AC$505,"&lt;="&amp;$A188,実績!$AD$6:$AD$505,"&gt;"&amp;$A188,実績!$AE$6:$AE$505,"○")&gt;0,1,0))</f>
        <v/>
      </c>
      <c r="AE188">
        <f>IF(AE$4=0,0,IF(COUNTIFS(実績!$W$6:$W$505,AE$3,実績!$AC$6:$AC$505,"&lt;="&amp;$A188,実績!$AD$6:$AD$505,"&gt;"&amp;$A188,実績!$AE$6:$AE$505,"○")&gt;0,1,0))</f>
        <v/>
      </c>
      <c r="AF188">
        <f>IF(AF$4=0,0,IF(COUNTIFS(実績!$W$6:$W$505,AF$3,実績!$AC$6:$AC$505,"&lt;="&amp;$A188,実績!$AD$6:$AD$505,"&gt;"&amp;$A188,実績!$AE$6:$AE$505,"○")&gt;0,1,0))</f>
        <v/>
      </c>
      <c r="AG188">
        <f>IF(AG$4=0,0,IF(COUNTIFS(実績!$W$6:$W$505,AG$3,実績!$AC$6:$AC$505,"&lt;="&amp;$A188,実績!$AD$6:$AD$505,"&gt;"&amp;$A188,実績!$AE$6:$AE$505,"○")&gt;0,1,0))</f>
        <v/>
      </c>
      <c r="AH188">
        <f>IF(AH$4=0,0,IF(COUNTIFS(実績!$W$6:$W$505,AH$3,実績!$AC$6:$AC$505,"&lt;="&amp;$A188,実績!$AD$6:$AD$505,"&gt;"&amp;$A188,実績!$AE$6:$AE$505,"○")&gt;0,1,0))</f>
        <v/>
      </c>
      <c r="AI188">
        <f>IF(AI$4=0,0,IF(COUNTIFS(実績!$W$6:$W$505,AI$3,実績!$AC$6:$AC$505,"&lt;="&amp;$A188,実績!$AD$6:$AD$505,"&gt;"&amp;$A188,実績!$AE$6:$AE$505,"○")&gt;0,1,0))</f>
        <v/>
      </c>
      <c r="AJ188">
        <f>IF(AJ$4=0,0,IF(COUNTIFS(実績!$W$6:$W$505,AJ$3,実績!$AC$6:$AC$505,"&lt;="&amp;$A188,実績!$AD$6:$AD$505,"&gt;"&amp;$A188,実績!$AE$6:$AE$505,"○")&gt;0,1,0))</f>
        <v/>
      </c>
      <c r="AK188">
        <f>IF(AK$4=0,0,IF(COUNTIFS(実績!$W$6:$W$505,AK$3,実績!$AC$6:$AC$505,"&lt;="&amp;$A188,実績!$AD$6:$AD$505,"&gt;"&amp;$A188,実績!$AE$6:$AE$505,"○")&gt;0,1,0))</f>
        <v/>
      </c>
      <c r="AL188">
        <f>IF(AL$4=0,0,IF(COUNTIFS(実績!$W$6:$W$505,AL$3,実績!$AC$6:$AC$505,"&lt;="&amp;$A188,実績!$AD$6:$AD$505,"&gt;"&amp;$A188,実績!$AE$6:$AE$505,"○")&gt;0,1,0))</f>
        <v/>
      </c>
      <c r="AM188">
        <f>IF(AM$4=0,0,IF(COUNTIFS(実績!$W$6:$W$505,AM$3,実績!$AC$6:$AC$505,"&lt;="&amp;$A188,実績!$AD$6:$AD$505,"&gt;"&amp;$A188,実績!$AE$6:$AE$505,"○")&gt;0,1,0))</f>
        <v/>
      </c>
      <c r="AN188">
        <f>IF(AN$4=0,0,IF(COUNTIFS(実績!$W$6:$W$505,AN$3,実績!$AC$6:$AC$505,"&lt;="&amp;$A188,実績!$AD$6:$AD$505,"&gt;"&amp;$A188,実績!$AE$6:$AE$505,"○")&gt;0,1,0))</f>
        <v/>
      </c>
      <c r="AO188">
        <f>IF(AO$4=0,0,IF(COUNTIFS(実績!$W$6:$W$505,AO$3,実績!$AC$6:$AC$505,"&lt;="&amp;$A188,実績!$AD$6:$AD$505,"&gt;"&amp;$A188,実績!$AE$6:$AE$505,"○")&gt;0,1,0))</f>
        <v/>
      </c>
      <c r="AP188">
        <f>IF(AP$4=0,0,IF(COUNTIFS(実績!$W$6:$W$505,AP$3,実績!$AC$6:$AC$505,"&lt;="&amp;$A188,実績!$AD$6:$AD$505,"&gt;"&amp;$A188,実績!$AE$6:$AE$505,"○")&gt;0,1,0))</f>
        <v/>
      </c>
      <c r="AQ188">
        <f>IF(AQ$4=0,0,IF(COUNTIFS(実績!$W$6:$W$505,AQ$3,実績!$AC$6:$AC$505,"&lt;="&amp;$A188,実績!$AD$6:$AD$505,"&gt;"&amp;$A188,実績!$AE$6:$AE$505,"○")&gt;0,1,0))</f>
        <v/>
      </c>
      <c r="AR188">
        <f>IF(AR$4=0,0,IF(COUNTIFS(実績!$W$6:$W$505,AR$3,実績!$AC$6:$AC$505,"&lt;="&amp;$A188,実績!$AD$6:$AD$505,"&gt;"&amp;$A188,実績!$AE$6:$AE$505,"○")&gt;0,1,0))</f>
        <v/>
      </c>
      <c r="AS188">
        <f>IF(AS$4=0,0,IF(COUNTIFS(実績!$W$6:$W$505,AS$3,実績!$AC$6:$AC$505,"&lt;="&amp;$A188,実績!$AD$6:$AD$505,"&gt;"&amp;$A188,実績!$AE$6:$AE$505,"○")&gt;0,1,0))</f>
        <v/>
      </c>
      <c r="AT188">
        <f>IF(AT$4=0,0,IF(COUNTIFS(実績!$W$6:$W$505,AT$3,実績!$AC$6:$AC$505,"&lt;="&amp;$A188,実績!$AD$6:$AD$505,"&gt;"&amp;$A188,実績!$AE$6:$AE$505,"○")&gt;0,1,0))</f>
        <v/>
      </c>
      <c r="AU188">
        <f>IF(AU$4=0,0,IF(COUNTIFS(実績!$W$6:$W$505,AU$3,実績!$AC$6:$AC$505,"&lt;="&amp;$A188,実績!$AD$6:$AD$505,"&gt;"&amp;$A188,実績!$AE$6:$AE$505,"○")&gt;0,1,0))</f>
        <v/>
      </c>
      <c r="AV188">
        <f>IF(AV$4=0,0,IF(COUNTIFS(実績!$W$6:$W$505,AV$3,実績!$AC$6:$AC$505,"&lt;="&amp;$A188,実績!$AD$6:$AD$505,"&gt;"&amp;$A188,実績!$AE$6:$AE$505,"○")&gt;0,1,0))</f>
        <v/>
      </c>
      <c r="AW188">
        <f>IF(AW$4=0,0,IF(COUNTIFS(実績!$W$6:$W$505,AW$3,実績!$AC$6:$AC$505,"&lt;="&amp;$A188,実績!$AD$6:$AD$505,"&gt;"&amp;$A188,実績!$AE$6:$AE$505,"○")&gt;0,1,0))</f>
        <v/>
      </c>
      <c r="AX188">
        <f>IF(AX$4=0,0,IF(COUNTIFS(実績!$W$6:$W$505,AX$3,実績!$AC$6:$AC$505,"&lt;="&amp;$A188,実績!$AD$6:$AD$505,"&gt;"&amp;$A188,実績!$AE$6:$AE$505,"○")&gt;0,1,0))</f>
        <v/>
      </c>
      <c r="AY188">
        <f>IF(AY$4=0,0,IF(COUNTIFS(実績!$W$6:$W$505,AY$3,実績!$AC$6:$AC$505,"&lt;="&amp;$A188,実績!$AD$6:$AD$505,"&gt;"&amp;$A188,実績!$AE$6:$AE$505,"○")&gt;0,1,0))</f>
        <v/>
      </c>
      <c r="AZ188">
        <f>IF(AZ$4=0,0,IF(COUNTIFS(実績!$W$6:$W$505,AZ$3,実績!$AC$6:$AC$505,"&lt;="&amp;$A188,実績!$AD$6:$AD$505,"&gt;"&amp;$A188,実績!$AE$6:$AE$505,"○")&gt;0,1,0))</f>
        <v/>
      </c>
      <c r="BA188">
        <f>IF(BA$4=0,0,IF(COUNTIFS(実績!$W$6:$W$505,BA$3,実績!$AC$6:$AC$505,"&lt;="&amp;$A188,実績!$AD$6:$AD$505,"&gt;"&amp;$A188,実績!$AE$6:$AE$505,"○")&gt;0,1,0))</f>
        <v/>
      </c>
      <c r="BB188">
        <f>IF(BB$4=0,0,IF(COUNTIFS(実績!$W$6:$W$505,BB$3,実績!$AC$6:$AC$505,"&lt;="&amp;$A188,実績!$AD$6:$AD$505,"&gt;"&amp;$A188,実績!$AE$6:$AE$505,"○")&gt;0,1,0))</f>
        <v/>
      </c>
      <c r="BC188">
        <f>IF(BC$4=0,0,IF(COUNTIFS(実績!$W$6:$W$505,BC$3,実績!$AC$6:$AC$505,"&lt;="&amp;$A188,実績!$AD$6:$AD$505,"&gt;"&amp;$A188,実績!$AE$6:$AE$505,"○")&gt;0,1,0))</f>
        <v/>
      </c>
      <c r="BD188">
        <f>IF(BD$4=0,0,IF(COUNTIFS(実績!$W$6:$W$505,BD$3,実績!$AC$6:$AC$505,"&lt;="&amp;$A188,実績!$AD$6:$AD$505,"&gt;"&amp;$A188,実績!$AE$6:$AE$505,"○")&gt;0,1,0))</f>
        <v/>
      </c>
      <c r="BE188">
        <f>IF(BE$4=0,0,IF(COUNTIFS(実績!$W$6:$W$505,BE$3,実績!$AC$6:$AC$505,"&lt;="&amp;$A188,実績!$AD$6:$AD$505,"&gt;"&amp;$A188,実績!$AE$6:$AE$505,"○")&gt;0,1,0))</f>
        <v/>
      </c>
      <c r="BF188">
        <f>IF(BF$4=0,0,IF(COUNTIFS(実績!$W$6:$W$505,BF$3,実績!$AC$6:$AC$505,"&lt;="&amp;$A188,実績!$AD$6:$AD$505,"&gt;"&amp;$A188,実績!$AE$6:$AE$505,"○")&gt;0,1,0))</f>
        <v/>
      </c>
      <c r="BG188">
        <f>IF(BG$4=0,0,IF(COUNTIFS(実績!$W$6:$W$505,BG$3,実績!$AC$6:$AC$505,"&lt;="&amp;$A188,実績!$AD$6:$AD$505,"&gt;"&amp;$A188,実績!$AE$6:$AE$505,"○")&gt;0,1,0))</f>
        <v/>
      </c>
      <c r="BH188">
        <f>IF(BH$4=0,0,IF(COUNTIFS(実績!$W$6:$W$505,BH$3,実績!$AC$6:$AC$505,"&lt;="&amp;$A188,実績!$AD$6:$AD$505,"&gt;"&amp;$A188,実績!$AE$6:$AE$505,"○")&gt;0,1,0))</f>
        <v/>
      </c>
      <c r="BI188">
        <f>IF(BI$4=0,0,IF(COUNTIFS(実績!$W$6:$W$505,BI$3,実績!$AC$6:$AC$505,"&lt;="&amp;$A188,実績!$AD$6:$AD$505,"&gt;"&amp;$A188,実績!$AE$6:$AE$505,"○")&gt;0,1,0))</f>
        <v/>
      </c>
      <c r="BJ188">
        <f>IF(BJ$4=0,0,IF(COUNTIFS(実績!$W$6:$W$505,BJ$3,実績!$AC$6:$AC$505,"&lt;="&amp;$A188,実績!$AD$6:$AD$505,"&gt;"&amp;$A188,実績!$AE$6:$AE$505,"○")&gt;0,1,0))</f>
        <v/>
      </c>
      <c r="BK188">
        <f>IF(BK$4=0,0,IF(COUNTIFS(実績!$W$6:$W$505,BK$3,実績!$AC$6:$AC$505,"&lt;="&amp;$A188,実績!$AD$6:$AD$505,"&gt;"&amp;$A188,実績!$AE$6:$AE$505,"○")&gt;0,1,0))</f>
        <v/>
      </c>
      <c r="BL188">
        <f>IF(BL$4=0,0,IF(COUNTIFS(実績!$W$6:$W$505,BL$3,実績!$AC$6:$AC$505,"&lt;="&amp;$A188,実績!$AD$6:$AD$505,"&gt;"&amp;$A188,実績!$AE$6:$AE$505,"○")&gt;0,1,0))</f>
        <v/>
      </c>
      <c r="BM188">
        <f>IF(BM$4=0,0,IF(COUNTIFS(実績!$W$6:$W$505,BM$3,実績!$AC$6:$AC$505,"&lt;="&amp;$A188,実績!$AD$6:$AD$505,"&gt;"&amp;$A188,実績!$AE$6:$AE$505,"○")&gt;0,1,0))</f>
        <v/>
      </c>
      <c r="BN188">
        <f>IF(BN$4=0,0,IF(COUNTIFS(実績!$W$6:$W$505,BN$3,実績!$AC$6:$AC$505,"&lt;="&amp;$A188,実績!$AD$6:$AD$505,"&gt;"&amp;$A188,実績!$AE$6:$AE$505,"○")&gt;0,1,0))</f>
        <v/>
      </c>
      <c r="BO188">
        <f>IF(BO$4=0,0,IF(COUNTIFS(実績!$W$6:$W$505,BO$3,実績!$AC$6:$AC$505,"&lt;="&amp;$A188,実績!$AD$6:$AD$505,"&gt;"&amp;$A188,実績!$AE$6:$AE$505,"○")&gt;0,1,0))</f>
        <v/>
      </c>
      <c r="BP188">
        <f>IF(BP$4=0,0,IF(COUNTIFS(実績!$W$6:$W$505,BP$3,実績!$AC$6:$AC$505,"&lt;="&amp;$A188,実績!$AD$6:$AD$505,"&gt;"&amp;$A188,実績!$AE$6:$AE$505,"○")&gt;0,1,0))</f>
        <v/>
      </c>
      <c r="BQ188">
        <f>IF(BQ$4=0,0,IF(COUNTIFS(実績!$W$6:$W$505,BQ$3,実績!$AC$6:$AC$505,"&lt;="&amp;$A188,実績!$AD$6:$AD$505,"&gt;"&amp;$A188,実績!$AE$6:$AE$505,"○")&gt;0,1,0))</f>
        <v/>
      </c>
      <c r="BR188">
        <f>IF(BR$4=0,0,IF(COUNTIFS(実績!$W$6:$W$505,BR$3,実績!$AC$6:$AC$505,"&lt;="&amp;$A188,実績!$AD$6:$AD$505,"&gt;"&amp;$A188,実績!$AE$6:$AE$505,"○")&gt;0,1,0))</f>
        <v/>
      </c>
      <c r="BS188">
        <f>IF(BS$4=0,0,IF(COUNTIFS(実績!$W$6:$W$505,BS$3,実績!$AC$6:$AC$505,"&lt;="&amp;$A188,実績!$AD$6:$AD$505,"&gt;"&amp;$A188,実績!$AE$6:$AE$505,"○")&gt;0,1,0))</f>
        <v/>
      </c>
      <c r="BT188">
        <f>IF(BT$4=0,0,IF(COUNTIFS(実績!$W$6:$W$505,BT$3,実績!$AC$6:$AC$505,"&lt;="&amp;$A188,実績!$AD$6:$AD$505,"&gt;"&amp;$A188,実績!$AE$6:$AE$505,"○")&gt;0,1,0))</f>
        <v/>
      </c>
      <c r="BU188">
        <f>IF(BU$4=0,0,IF(COUNTIFS(実績!$W$6:$W$505,BU$3,実績!$AC$6:$AC$505,"&lt;="&amp;$A188,実績!$AD$6:$AD$505,"&gt;"&amp;$A188,実績!$AE$6:$AE$505,"○")&gt;0,1,0))</f>
        <v/>
      </c>
      <c r="BV188">
        <f>IF(BV$4=0,0,IF(COUNTIFS(実績!$W$6:$W$505,BV$3,実績!$AC$6:$AC$505,"&lt;="&amp;$A188,実績!$AD$6:$AD$505,"&gt;"&amp;$A188,実績!$AE$6:$AE$505,"○")&gt;0,1,0))</f>
        <v/>
      </c>
      <c r="BW188">
        <f>IF(BW$4=0,0,IF(COUNTIFS(実績!$W$6:$W$505,BW$3,実績!$AC$6:$AC$505,"&lt;="&amp;$A188,実績!$AD$6:$AD$505,"&gt;"&amp;$A188,実績!$AE$6:$AE$505,"○")&gt;0,1,0))</f>
        <v/>
      </c>
      <c r="BX188">
        <f>IF(BX$4=0,0,IF(COUNTIFS(実績!$W$6:$W$505,BX$3,実績!$AC$6:$AC$505,"&lt;="&amp;$A188,実績!$AD$6:$AD$505,"&gt;"&amp;$A188,実績!$AE$6:$AE$505,"○")&gt;0,1,0))</f>
        <v/>
      </c>
      <c r="BY188">
        <f>IF(BY$4=0,0,IF(COUNTIFS(実績!$W$6:$W$505,BY$3,実績!$AC$6:$AC$505,"&lt;="&amp;$A188,実績!$AD$6:$AD$505,"&gt;"&amp;$A188,実績!$AE$6:$AE$505,"○")&gt;0,1,0))</f>
        <v/>
      </c>
      <c r="BZ188">
        <f>IF(BZ$4=0,0,IF(COUNTIFS(実績!$W$6:$W$505,BZ$3,実績!$AC$6:$AC$505,"&lt;="&amp;$A188,実績!$AD$6:$AD$505,"&gt;"&amp;$A188,実績!$AE$6:$AE$505,"○")&gt;0,1,0))</f>
        <v/>
      </c>
      <c r="CA188">
        <f>IF(CA$4=0,0,IF(COUNTIFS(実績!$W$6:$W$505,CA$3,実績!$AC$6:$AC$505,"&lt;="&amp;$A188,実績!$AD$6:$AD$505,"&gt;"&amp;$A188,実績!$AE$6:$AE$505,"○")&gt;0,1,0))</f>
        <v/>
      </c>
      <c r="CB188">
        <f>IF(CB$4=0,0,IF(COUNTIFS(実績!$W$6:$W$505,CB$3,実績!$AC$6:$AC$505,"&lt;="&amp;$A188,実績!$AD$6:$AD$505,"&gt;"&amp;$A188,実績!$AE$6:$AE$505,"○")&gt;0,1,0))</f>
        <v/>
      </c>
      <c r="CC188">
        <f>IF(CC$4=0,0,IF(COUNTIFS(実績!$W$6:$W$505,CC$3,実績!$AC$6:$AC$505,"&lt;="&amp;$A188,実績!$AD$6:$AD$505,"&gt;"&amp;$A188,実績!$AE$6:$AE$505,"○")&gt;0,1,0))</f>
        <v/>
      </c>
      <c r="CD188">
        <f>IF(CD$4=0,0,IF(COUNTIFS(実績!$W$6:$W$505,CD$3,実績!$AC$6:$AC$505,"&lt;="&amp;$A188,実績!$AD$6:$AD$505,"&gt;"&amp;$A188,実績!$AE$6:$AE$505,"○")&gt;0,1,0))</f>
        <v/>
      </c>
      <c r="CE188">
        <f>IF(CE$4=0,0,IF(COUNTIFS(実績!$W$6:$W$505,CE$3,実績!$AC$6:$AC$505,"&lt;="&amp;$A188,実績!$AD$6:$AD$505,"&gt;"&amp;$A188,実績!$AE$6:$AE$505,"○")&gt;0,1,0))</f>
        <v/>
      </c>
      <c r="CF188">
        <f>IF(CF$4=0,0,IF(COUNTIFS(実績!$W$6:$W$505,CF$3,実績!$AC$6:$AC$505,"&lt;="&amp;$A188,実績!$AD$6:$AD$505,"&gt;"&amp;$A188,実績!$AE$6:$AE$505,"○")&gt;0,1,0))</f>
        <v/>
      </c>
      <c r="CG188">
        <f>IF(CG$4=0,0,IF(COUNTIFS(実績!$W$6:$W$505,CG$3,実績!$AC$6:$AC$505,"&lt;="&amp;$A188,実績!$AD$6:$AD$505,"&gt;"&amp;$A188,実績!$AE$6:$AE$505,"○")&gt;0,1,0))</f>
        <v/>
      </c>
      <c r="CH188">
        <f>IF(CH$4=0,0,IF(COUNTIFS(実績!$W$6:$W$505,CH$3,実績!$AC$6:$AC$505,"&lt;="&amp;$A188,実績!$AD$6:$AD$505,"&gt;"&amp;$A188,実績!$AE$6:$AE$505,"○")&gt;0,1,0))</f>
        <v/>
      </c>
      <c r="CI188">
        <f>IF(CI$4=0,0,IF(COUNTIFS(実績!$W$6:$W$505,CI$3,実績!$AC$6:$AC$505,"&lt;="&amp;$A188,実績!$AD$6:$AD$505,"&gt;"&amp;$A188,実績!$AE$6:$AE$505,"○")&gt;0,1,0))</f>
        <v/>
      </c>
      <c r="CJ188">
        <f>IF(CJ$4=0,0,IF(COUNTIFS(実績!$W$6:$W$505,CJ$3,実績!$AC$6:$AC$505,"&lt;="&amp;$A188,実績!$AD$6:$AD$505,"&gt;"&amp;$A188,実績!$AE$6:$AE$505,"○")&gt;0,1,0))</f>
        <v/>
      </c>
      <c r="CK188">
        <f>IF(CK$4=0,0,IF(COUNTIFS(実績!$W$6:$W$505,CK$3,実績!$AC$6:$AC$505,"&lt;="&amp;$A188,実績!$AD$6:$AD$505,"&gt;"&amp;$A188,実績!$AE$6:$AE$505,"○")&gt;0,1,0))</f>
        <v/>
      </c>
      <c r="CL188">
        <f>IF(CL$4=0,0,IF(COUNTIFS(実績!$W$6:$W$505,CL$3,実績!$AC$6:$AC$505,"&lt;="&amp;$A188,実績!$AD$6:$AD$505,"&gt;"&amp;$A188,実績!$AE$6:$AE$505,"○")&gt;0,1,0))</f>
        <v/>
      </c>
      <c r="CM188">
        <f>IF(CM$4=0,0,IF(COUNTIFS(実績!$W$6:$W$505,CM$3,実績!$AC$6:$AC$505,"&lt;="&amp;$A188,実績!$AD$6:$AD$505,"&gt;"&amp;$A188,実績!$AE$6:$AE$505,"○")&gt;0,1,0))</f>
        <v/>
      </c>
      <c r="CN188">
        <f>IF(CN$4=0,0,IF(COUNTIFS(実績!$W$6:$W$505,CN$3,実績!$AC$6:$AC$505,"&lt;="&amp;$A188,実績!$AD$6:$AD$505,"&gt;"&amp;$A188,実績!$AE$6:$AE$505,"○")&gt;0,1,0))</f>
        <v/>
      </c>
      <c r="CO188">
        <f>IF(CO$4=0,0,IF(COUNTIFS(実績!$W$6:$W$505,CO$3,実績!$AC$6:$AC$505,"&lt;="&amp;$A188,実績!$AD$6:$AD$505,"&gt;"&amp;$A188,実績!$AE$6:$AE$505,"○")&gt;0,1,0))</f>
        <v/>
      </c>
      <c r="CP188">
        <f>IF(CP$4=0,0,IF(COUNTIFS(実績!$W$6:$W$505,CP$3,実績!$AC$6:$AC$505,"&lt;="&amp;$A188,実績!$AD$6:$AD$505,"&gt;"&amp;$A188,実績!$AE$6:$AE$505,"○")&gt;0,1,0))</f>
        <v/>
      </c>
      <c r="CQ188">
        <f>IF(CQ$4=0,0,IF(COUNTIFS(実績!$W$6:$W$505,CQ$3,実績!$AC$6:$AC$505,"&lt;="&amp;$A188,実績!$AD$6:$AD$505,"&gt;"&amp;$A188,実績!$AE$6:$AE$505,"○")&gt;0,1,0))</f>
        <v/>
      </c>
      <c r="CR188">
        <f>IF(CR$4=0,0,IF(COUNTIFS(実績!$W$6:$W$505,CR$3,実績!$AC$6:$AC$505,"&lt;="&amp;$A188,実績!$AD$6:$AD$505,"&gt;"&amp;$A188,実績!$AE$6:$AE$505,"○")&gt;0,1,0))</f>
        <v/>
      </c>
      <c r="CS188">
        <f>IF(CS$4=0,0,IF(COUNTIFS(実績!$W$6:$W$505,CS$3,実績!$AC$6:$AC$505,"&lt;="&amp;$A188,実績!$AD$6:$AD$505,"&gt;"&amp;$A188,実績!$AE$6:$AE$505,"○")&gt;0,1,0))</f>
        <v/>
      </c>
      <c r="CT188">
        <f>IF(CT$4=0,0,IF(COUNTIFS(実績!$W$6:$W$505,CT$3,実績!$AC$6:$AC$505,"&lt;="&amp;$A188,実績!$AD$6:$AD$505,"&gt;"&amp;$A188,実績!$AE$6:$AE$505,"○")&gt;0,1,0))</f>
        <v/>
      </c>
      <c r="CU188">
        <f>IF(CU$4=0,0,IF(COUNTIFS(実績!$W$6:$W$505,CU$3,実績!$AC$6:$AC$505,"&lt;="&amp;$A188,実績!$AD$6:$AD$505,"&gt;"&amp;$A188,実績!$AE$6:$AE$505,"○")&gt;0,1,0))</f>
        <v/>
      </c>
      <c r="CV188">
        <f>IF(CV$4=0,0,IF(COUNTIFS(実績!$W$6:$W$505,CV$3,実績!$AC$6:$AC$505,"&lt;="&amp;$A188,実績!$AD$6:$AD$505,"&gt;"&amp;$A188,実績!$AE$6:$AE$505,"○")&gt;0,1,0))</f>
        <v/>
      </c>
      <c r="CW188">
        <f>IF(CW$4=0,0,IF(COUNTIFS(実績!$W$6:$W$505,CW$3,実績!$AC$6:$AC$505,"&lt;="&amp;$A188,実績!$AD$6:$AD$505,"&gt;"&amp;$A188,実績!$AE$6:$AE$505,"○")&gt;0,1,0))</f>
        <v/>
      </c>
      <c r="CX188">
        <f>IF(CX$4=0,0,IF(COUNTIFS(実績!$W$6:$W$505,CX$3,実績!$AC$6:$AC$505,"&lt;="&amp;$A188,実績!$AD$6:$AD$505,"&gt;"&amp;$A188,実績!$AE$6:$AE$505,"○")&gt;0,1,0))</f>
        <v/>
      </c>
      <c r="CY188">
        <f>IF(CY$4=0,0,IF(COUNTIFS(実績!$W$6:$W$505,CY$3,実績!$AC$6:$AC$505,"&lt;="&amp;$A188,実績!$AD$6:$AD$505,"&gt;"&amp;$A188,実績!$AE$6:$AE$505,"○")&gt;0,1,0))</f>
        <v/>
      </c>
      <c r="CZ188">
        <f>IF(CZ$4=0,0,IF(COUNTIFS(実績!$W$6:$W$505,CZ$3,実績!$AC$6:$AC$505,"&lt;="&amp;$A188,実績!$AD$6:$AD$505,"&gt;"&amp;$A188,実績!$AE$6:$AE$505,"○")&gt;0,1,0))</f>
        <v/>
      </c>
      <c r="DA188">
        <f>IF(DA$4=0,0,IF(COUNTIFS(実績!$W$6:$W$505,DA$3,実績!$AC$6:$AC$505,"&lt;="&amp;$A188,実績!$AD$6:$AD$505,"&gt;"&amp;$A188,実績!$AE$6:$AE$505,"○")&gt;0,1,0))</f>
        <v/>
      </c>
      <c r="DB188">
        <f>IF(DB$4=0,0,IF(COUNTIFS(実績!$W$6:$W$505,DB$3,実績!$AC$6:$AC$505,"&lt;="&amp;$A188,実績!$AD$6:$AD$505,"&gt;"&amp;$A188,実績!$AE$6:$AE$505,"○")&gt;0,1,0))</f>
        <v/>
      </c>
      <c r="DC188">
        <f>IF(DC$4=0,0,IF(COUNTIFS(実績!$W$6:$W$505,DC$3,実績!$AC$6:$AC$505,"&lt;="&amp;$A188,実績!$AD$6:$AD$505,"&gt;"&amp;$A188,実績!$AE$6:$AE$505,"○")&gt;0,1,0))</f>
        <v/>
      </c>
      <c r="DD188">
        <f>IF(DD$4=0,0,IF(COUNTIFS(実績!$W$6:$W$505,DD$3,実績!$AC$6:$AC$505,"&lt;="&amp;$A188,実績!$AD$6:$AD$505,"&gt;"&amp;$A188,実績!$AE$6:$AE$505,"○")&gt;0,1,0))</f>
        <v/>
      </c>
      <c r="DE188">
        <f>IF(DE$4=0,0,IF(COUNTIFS(実績!$W$6:$W$505,DE$3,実績!$AC$6:$AC$505,"&lt;="&amp;$A188,実績!$AD$6:$AD$505,"&gt;"&amp;$A188,実績!$AE$6:$AE$505,"○")&gt;0,1,0))</f>
        <v/>
      </c>
      <c r="DF188">
        <f>IF(DF$4=0,0,IF(COUNTIFS(実績!$W$6:$W$505,DF$3,実績!$AC$6:$AC$505,"&lt;="&amp;$A188,実績!$AD$6:$AD$505,"&gt;"&amp;$A188,実績!$AE$6:$AE$505,"○")&gt;0,1,0))</f>
        <v/>
      </c>
      <c r="DG188">
        <f>IF(DG$4=0,0,IF(COUNTIFS(実績!$W$6:$W$505,DG$3,実績!$AC$6:$AC$505,"&lt;="&amp;$A188,実績!$AD$6:$AD$505,"&gt;"&amp;$A188,実績!$AE$6:$AE$505,"○")&gt;0,1,0))</f>
        <v/>
      </c>
      <c r="DH188">
        <f>IF(DH$4=0,0,IF(COUNTIFS(実績!$W$6:$W$505,DH$3,実績!$AC$6:$AC$505,"&lt;="&amp;$A188,実績!$AD$6:$AD$505,"&gt;"&amp;$A188,実績!$AE$6:$AE$505,"○")&gt;0,1,0))</f>
        <v/>
      </c>
      <c r="DI188">
        <f>IF(DI$4=0,0,IF(COUNTIFS(実績!$W$6:$W$505,DI$3,実績!$AC$6:$AC$505,"&lt;="&amp;$A188,実績!$AD$6:$AD$505,"&gt;"&amp;$A188,実績!$AE$6:$AE$505,"○")&gt;0,1,0))</f>
        <v/>
      </c>
      <c r="DJ188">
        <f>IF(DJ$4=0,0,IF(COUNTIFS(実績!$W$6:$W$505,DJ$3,実績!$AC$6:$AC$505,"&lt;="&amp;$A188,実績!$AD$6:$AD$505,"&gt;"&amp;$A188,実績!$AE$6:$AE$505,"○")&gt;0,1,0))</f>
        <v/>
      </c>
      <c r="DK188">
        <f>IF(DK$4=0,0,IF(COUNTIFS(実績!$W$6:$W$505,DK$3,実績!$AC$6:$AC$505,"&lt;="&amp;$A188,実績!$AD$6:$AD$505,"&gt;"&amp;$A188,実績!$AE$6:$AE$505,"○")&gt;0,1,0))</f>
        <v/>
      </c>
      <c r="DL188">
        <f>IF(DL$4=0,0,IF(COUNTIFS(実績!$W$6:$W$505,DL$3,実績!$AC$6:$AC$505,"&lt;="&amp;$A188,実績!$AD$6:$AD$505,"&gt;"&amp;$A188,実績!$AE$6:$AE$505,"○")&gt;0,1,0))</f>
        <v/>
      </c>
      <c r="DM188">
        <f>IF(DM$4=0,0,IF(COUNTIFS(実績!$W$6:$W$505,DM$3,実績!$AC$6:$AC$505,"&lt;="&amp;$A188,実績!$AD$6:$AD$505,"&gt;"&amp;$A188,実績!$AE$6:$AE$505,"○")&gt;0,1,0))</f>
        <v/>
      </c>
      <c r="DN188">
        <f>IF(DN$4=0,0,IF(COUNTIFS(実績!$W$6:$W$505,DN$3,実績!$AC$6:$AC$505,"&lt;="&amp;$A188,実績!$AD$6:$AD$505,"&gt;"&amp;$A188,実績!$AE$6:$AE$505,"○")&gt;0,1,0))</f>
        <v/>
      </c>
      <c r="DO188">
        <f>IF(DO$4=0,0,IF(COUNTIFS(実績!$W$6:$W$505,DO$3,実績!$AC$6:$AC$505,"&lt;="&amp;$A188,実績!$AD$6:$AD$505,"&gt;"&amp;$A188,実績!$AE$6:$AE$505,"○")&gt;0,1,0))</f>
        <v/>
      </c>
      <c r="DP188">
        <f>IF(DP$4=0,0,IF(COUNTIFS(実績!$W$6:$W$505,DP$3,実績!$AC$6:$AC$505,"&lt;="&amp;$A188,実績!$AD$6:$AD$505,"&gt;"&amp;$A188,実績!$AE$6:$AE$505,"○")&gt;0,1,0))</f>
        <v/>
      </c>
      <c r="DQ188">
        <f>IF(DQ$4=0,0,IF(COUNTIFS(実績!$W$6:$W$505,DQ$3,実績!$AC$6:$AC$505,"&lt;="&amp;$A188,実績!$AD$6:$AD$505,"&gt;"&amp;$A188,実績!$AE$6:$AE$505,"○")&gt;0,1,0))</f>
        <v/>
      </c>
      <c r="DR188">
        <f>IF(DR$4=0,0,IF(COUNTIFS(実績!$W$6:$W$505,DR$3,実績!$AC$6:$AC$505,"&lt;="&amp;$A188,実績!$AD$6:$AD$505,"&gt;"&amp;$A188,実績!$AE$6:$AE$505,"○")&gt;0,1,0))</f>
        <v/>
      </c>
      <c r="DS188">
        <f>SUM(C188:DR188)</f>
        <v/>
      </c>
      <c r="DT188">
        <f>SUMPRODUCT((実績!$C$6:$C$505="○")*ISNUMBER(実績!$AF$6:$AF$505)*(実績!$AF$6:$AF$505&lt;=$A188)*(実績!$AG$6:$AG$505&gt;$A188))</f>
        <v/>
      </c>
      <c r="DU188">
        <f>SUMIF($C$2:$DR$2,"製鉄曳船",C188:DR188)</f>
        <v/>
      </c>
      <c r="DV188">
        <f>SUMIF($C$2:$DR$2,"西日本海運",C188:DR188)</f>
        <v/>
      </c>
    </row>
    <row r="189">
      <c r="A189" t="n">
        <v>915</v>
      </c>
      <c r="B189" s="29">
        <f>A189/1440</f>
        <v/>
      </c>
      <c r="C189">
        <f>IF(C$4=0,0,IF(COUNTIFS(実績!$W$6:$W$505,C$3,実績!$AC$6:$AC$505,"&lt;="&amp;$A189,実績!$AD$6:$AD$505,"&gt;"&amp;$A189,実績!$AE$6:$AE$505,"○")&gt;0,1,0))</f>
        <v/>
      </c>
      <c r="D189">
        <f>IF(D$4=0,0,IF(COUNTIFS(実績!$W$6:$W$505,D$3,実績!$AC$6:$AC$505,"&lt;="&amp;$A189,実績!$AD$6:$AD$505,"&gt;"&amp;$A189,実績!$AE$6:$AE$505,"○")&gt;0,1,0))</f>
        <v/>
      </c>
      <c r="E189">
        <f>IF(E$4=0,0,IF(COUNTIFS(実績!$W$6:$W$505,E$3,実績!$AC$6:$AC$505,"&lt;="&amp;$A189,実績!$AD$6:$AD$505,"&gt;"&amp;$A189,実績!$AE$6:$AE$505,"○")&gt;0,1,0))</f>
        <v/>
      </c>
      <c r="F189">
        <f>IF(F$4=0,0,IF(COUNTIFS(実績!$W$6:$W$505,F$3,実績!$AC$6:$AC$505,"&lt;="&amp;$A189,実績!$AD$6:$AD$505,"&gt;"&amp;$A189,実績!$AE$6:$AE$505,"○")&gt;0,1,0))</f>
        <v/>
      </c>
      <c r="G189">
        <f>IF(G$4=0,0,IF(COUNTIFS(実績!$W$6:$W$505,G$3,実績!$AC$6:$AC$505,"&lt;="&amp;$A189,実績!$AD$6:$AD$505,"&gt;"&amp;$A189,実績!$AE$6:$AE$505,"○")&gt;0,1,0))</f>
        <v/>
      </c>
      <c r="H189">
        <f>IF(H$4=0,0,IF(COUNTIFS(実績!$W$6:$W$505,H$3,実績!$AC$6:$AC$505,"&lt;="&amp;$A189,実績!$AD$6:$AD$505,"&gt;"&amp;$A189,実績!$AE$6:$AE$505,"○")&gt;0,1,0))</f>
        <v/>
      </c>
      <c r="I189">
        <f>IF(I$4=0,0,IF(COUNTIFS(実績!$W$6:$W$505,I$3,実績!$AC$6:$AC$505,"&lt;="&amp;$A189,実績!$AD$6:$AD$505,"&gt;"&amp;$A189,実績!$AE$6:$AE$505,"○")&gt;0,1,0))</f>
        <v/>
      </c>
      <c r="J189">
        <f>IF(J$4=0,0,IF(COUNTIFS(実績!$W$6:$W$505,J$3,実績!$AC$6:$AC$505,"&lt;="&amp;$A189,実績!$AD$6:$AD$505,"&gt;"&amp;$A189,実績!$AE$6:$AE$505,"○")&gt;0,1,0))</f>
        <v/>
      </c>
      <c r="K189">
        <f>IF(K$4=0,0,IF(COUNTIFS(実績!$W$6:$W$505,K$3,実績!$AC$6:$AC$505,"&lt;="&amp;$A189,実績!$AD$6:$AD$505,"&gt;"&amp;$A189,実績!$AE$6:$AE$505,"○")&gt;0,1,0))</f>
        <v/>
      </c>
      <c r="L189">
        <f>IF(L$4=0,0,IF(COUNTIFS(実績!$W$6:$W$505,L$3,実績!$AC$6:$AC$505,"&lt;="&amp;$A189,実績!$AD$6:$AD$505,"&gt;"&amp;$A189,実績!$AE$6:$AE$505,"○")&gt;0,1,0))</f>
        <v/>
      </c>
      <c r="M189">
        <f>IF(M$4=0,0,IF(COUNTIFS(実績!$W$6:$W$505,M$3,実績!$AC$6:$AC$505,"&lt;="&amp;$A189,実績!$AD$6:$AD$505,"&gt;"&amp;$A189,実績!$AE$6:$AE$505,"○")&gt;0,1,0))</f>
        <v/>
      </c>
      <c r="N189">
        <f>IF(N$4=0,0,IF(COUNTIFS(実績!$W$6:$W$505,N$3,実績!$AC$6:$AC$505,"&lt;="&amp;$A189,実績!$AD$6:$AD$505,"&gt;"&amp;$A189,実績!$AE$6:$AE$505,"○")&gt;0,1,0))</f>
        <v/>
      </c>
      <c r="O189">
        <f>IF(O$4=0,0,IF(COUNTIFS(実績!$W$6:$W$505,O$3,実績!$AC$6:$AC$505,"&lt;="&amp;$A189,実績!$AD$6:$AD$505,"&gt;"&amp;$A189,実績!$AE$6:$AE$505,"○")&gt;0,1,0))</f>
        <v/>
      </c>
      <c r="P189">
        <f>IF(P$4=0,0,IF(COUNTIFS(実績!$W$6:$W$505,P$3,実績!$AC$6:$AC$505,"&lt;="&amp;$A189,実績!$AD$6:$AD$505,"&gt;"&amp;$A189,実績!$AE$6:$AE$505,"○")&gt;0,1,0))</f>
        <v/>
      </c>
      <c r="Q189">
        <f>IF(Q$4=0,0,IF(COUNTIFS(実績!$W$6:$W$505,Q$3,実績!$AC$6:$AC$505,"&lt;="&amp;$A189,実績!$AD$6:$AD$505,"&gt;"&amp;$A189,実績!$AE$6:$AE$505,"○")&gt;0,1,0))</f>
        <v/>
      </c>
      <c r="R189">
        <f>IF(R$4=0,0,IF(COUNTIFS(実績!$W$6:$W$505,R$3,実績!$AC$6:$AC$505,"&lt;="&amp;$A189,実績!$AD$6:$AD$505,"&gt;"&amp;$A189,実績!$AE$6:$AE$505,"○")&gt;0,1,0))</f>
        <v/>
      </c>
      <c r="S189">
        <f>IF(S$4=0,0,IF(COUNTIFS(実績!$W$6:$W$505,S$3,実績!$AC$6:$AC$505,"&lt;="&amp;$A189,実績!$AD$6:$AD$505,"&gt;"&amp;$A189,実績!$AE$6:$AE$505,"○")&gt;0,1,0))</f>
        <v/>
      </c>
      <c r="T189">
        <f>IF(T$4=0,0,IF(COUNTIFS(実績!$W$6:$W$505,T$3,実績!$AC$6:$AC$505,"&lt;="&amp;$A189,実績!$AD$6:$AD$505,"&gt;"&amp;$A189,実績!$AE$6:$AE$505,"○")&gt;0,1,0))</f>
        <v/>
      </c>
      <c r="U189">
        <f>IF(U$4=0,0,IF(COUNTIFS(実績!$W$6:$W$505,U$3,実績!$AC$6:$AC$505,"&lt;="&amp;$A189,実績!$AD$6:$AD$505,"&gt;"&amp;$A189,実績!$AE$6:$AE$505,"○")&gt;0,1,0))</f>
        <v/>
      </c>
      <c r="V189">
        <f>IF(V$4=0,0,IF(COUNTIFS(実績!$W$6:$W$505,V$3,実績!$AC$6:$AC$505,"&lt;="&amp;$A189,実績!$AD$6:$AD$505,"&gt;"&amp;$A189,実績!$AE$6:$AE$505,"○")&gt;0,1,0))</f>
        <v/>
      </c>
      <c r="W189">
        <f>IF(W$4=0,0,IF(COUNTIFS(実績!$W$6:$W$505,W$3,実績!$AC$6:$AC$505,"&lt;="&amp;$A189,実績!$AD$6:$AD$505,"&gt;"&amp;$A189,実績!$AE$6:$AE$505,"○")&gt;0,1,0))</f>
        <v/>
      </c>
      <c r="X189">
        <f>IF(X$4=0,0,IF(COUNTIFS(実績!$W$6:$W$505,X$3,実績!$AC$6:$AC$505,"&lt;="&amp;$A189,実績!$AD$6:$AD$505,"&gt;"&amp;$A189,実績!$AE$6:$AE$505,"○")&gt;0,1,0))</f>
        <v/>
      </c>
      <c r="Y189">
        <f>IF(Y$4=0,0,IF(COUNTIFS(実績!$W$6:$W$505,Y$3,実績!$AC$6:$AC$505,"&lt;="&amp;$A189,実績!$AD$6:$AD$505,"&gt;"&amp;$A189,実績!$AE$6:$AE$505,"○")&gt;0,1,0))</f>
        <v/>
      </c>
      <c r="Z189">
        <f>IF(Z$4=0,0,IF(COUNTIFS(実績!$W$6:$W$505,Z$3,実績!$AC$6:$AC$505,"&lt;="&amp;$A189,実績!$AD$6:$AD$505,"&gt;"&amp;$A189,実績!$AE$6:$AE$505,"○")&gt;0,1,0))</f>
        <v/>
      </c>
      <c r="AA189">
        <f>IF(AA$4=0,0,IF(COUNTIFS(実績!$W$6:$W$505,AA$3,実績!$AC$6:$AC$505,"&lt;="&amp;$A189,実績!$AD$6:$AD$505,"&gt;"&amp;$A189,実績!$AE$6:$AE$505,"○")&gt;0,1,0))</f>
        <v/>
      </c>
      <c r="AB189">
        <f>IF(AB$4=0,0,IF(COUNTIFS(実績!$W$6:$W$505,AB$3,実績!$AC$6:$AC$505,"&lt;="&amp;$A189,実績!$AD$6:$AD$505,"&gt;"&amp;$A189,実績!$AE$6:$AE$505,"○")&gt;0,1,0))</f>
        <v/>
      </c>
      <c r="AC189">
        <f>IF(AC$4=0,0,IF(COUNTIFS(実績!$W$6:$W$505,AC$3,実績!$AC$6:$AC$505,"&lt;="&amp;$A189,実績!$AD$6:$AD$505,"&gt;"&amp;$A189,実績!$AE$6:$AE$505,"○")&gt;0,1,0))</f>
        <v/>
      </c>
      <c r="AD189">
        <f>IF(AD$4=0,0,IF(COUNTIFS(実績!$W$6:$W$505,AD$3,実績!$AC$6:$AC$505,"&lt;="&amp;$A189,実績!$AD$6:$AD$505,"&gt;"&amp;$A189,実績!$AE$6:$AE$505,"○")&gt;0,1,0))</f>
        <v/>
      </c>
      <c r="AE189">
        <f>IF(AE$4=0,0,IF(COUNTIFS(実績!$W$6:$W$505,AE$3,実績!$AC$6:$AC$505,"&lt;="&amp;$A189,実績!$AD$6:$AD$505,"&gt;"&amp;$A189,実績!$AE$6:$AE$505,"○")&gt;0,1,0))</f>
        <v/>
      </c>
      <c r="AF189">
        <f>IF(AF$4=0,0,IF(COUNTIFS(実績!$W$6:$W$505,AF$3,実績!$AC$6:$AC$505,"&lt;="&amp;$A189,実績!$AD$6:$AD$505,"&gt;"&amp;$A189,実績!$AE$6:$AE$505,"○")&gt;0,1,0))</f>
        <v/>
      </c>
      <c r="AG189">
        <f>IF(AG$4=0,0,IF(COUNTIFS(実績!$W$6:$W$505,AG$3,実績!$AC$6:$AC$505,"&lt;="&amp;$A189,実績!$AD$6:$AD$505,"&gt;"&amp;$A189,実績!$AE$6:$AE$505,"○")&gt;0,1,0))</f>
        <v/>
      </c>
      <c r="AH189">
        <f>IF(AH$4=0,0,IF(COUNTIFS(実績!$W$6:$W$505,AH$3,実績!$AC$6:$AC$505,"&lt;="&amp;$A189,実績!$AD$6:$AD$505,"&gt;"&amp;$A189,実績!$AE$6:$AE$505,"○")&gt;0,1,0))</f>
        <v/>
      </c>
      <c r="AI189">
        <f>IF(AI$4=0,0,IF(COUNTIFS(実績!$W$6:$W$505,AI$3,実績!$AC$6:$AC$505,"&lt;="&amp;$A189,実績!$AD$6:$AD$505,"&gt;"&amp;$A189,実績!$AE$6:$AE$505,"○")&gt;0,1,0))</f>
        <v/>
      </c>
      <c r="AJ189">
        <f>IF(AJ$4=0,0,IF(COUNTIFS(実績!$W$6:$W$505,AJ$3,実績!$AC$6:$AC$505,"&lt;="&amp;$A189,実績!$AD$6:$AD$505,"&gt;"&amp;$A189,実績!$AE$6:$AE$505,"○")&gt;0,1,0))</f>
        <v/>
      </c>
      <c r="AK189">
        <f>IF(AK$4=0,0,IF(COUNTIFS(実績!$W$6:$W$505,AK$3,実績!$AC$6:$AC$505,"&lt;="&amp;$A189,実績!$AD$6:$AD$505,"&gt;"&amp;$A189,実績!$AE$6:$AE$505,"○")&gt;0,1,0))</f>
        <v/>
      </c>
      <c r="AL189">
        <f>IF(AL$4=0,0,IF(COUNTIFS(実績!$W$6:$W$505,AL$3,実績!$AC$6:$AC$505,"&lt;="&amp;$A189,実績!$AD$6:$AD$505,"&gt;"&amp;$A189,実績!$AE$6:$AE$505,"○")&gt;0,1,0))</f>
        <v/>
      </c>
      <c r="AM189">
        <f>IF(AM$4=0,0,IF(COUNTIFS(実績!$W$6:$W$505,AM$3,実績!$AC$6:$AC$505,"&lt;="&amp;$A189,実績!$AD$6:$AD$505,"&gt;"&amp;$A189,実績!$AE$6:$AE$505,"○")&gt;0,1,0))</f>
        <v/>
      </c>
      <c r="AN189">
        <f>IF(AN$4=0,0,IF(COUNTIFS(実績!$W$6:$W$505,AN$3,実績!$AC$6:$AC$505,"&lt;="&amp;$A189,実績!$AD$6:$AD$505,"&gt;"&amp;$A189,実績!$AE$6:$AE$505,"○")&gt;0,1,0))</f>
        <v/>
      </c>
      <c r="AO189">
        <f>IF(AO$4=0,0,IF(COUNTIFS(実績!$W$6:$W$505,AO$3,実績!$AC$6:$AC$505,"&lt;="&amp;$A189,実績!$AD$6:$AD$505,"&gt;"&amp;$A189,実績!$AE$6:$AE$505,"○")&gt;0,1,0))</f>
        <v/>
      </c>
      <c r="AP189">
        <f>IF(AP$4=0,0,IF(COUNTIFS(実績!$W$6:$W$505,AP$3,実績!$AC$6:$AC$505,"&lt;="&amp;$A189,実績!$AD$6:$AD$505,"&gt;"&amp;$A189,実績!$AE$6:$AE$505,"○")&gt;0,1,0))</f>
        <v/>
      </c>
      <c r="AQ189">
        <f>IF(AQ$4=0,0,IF(COUNTIFS(実績!$W$6:$W$505,AQ$3,実績!$AC$6:$AC$505,"&lt;="&amp;$A189,実績!$AD$6:$AD$505,"&gt;"&amp;$A189,実績!$AE$6:$AE$505,"○")&gt;0,1,0))</f>
        <v/>
      </c>
      <c r="AR189">
        <f>IF(AR$4=0,0,IF(COUNTIFS(実績!$W$6:$W$505,AR$3,実績!$AC$6:$AC$505,"&lt;="&amp;$A189,実績!$AD$6:$AD$505,"&gt;"&amp;$A189,実績!$AE$6:$AE$505,"○")&gt;0,1,0))</f>
        <v/>
      </c>
      <c r="AS189">
        <f>IF(AS$4=0,0,IF(COUNTIFS(実績!$W$6:$W$505,AS$3,実績!$AC$6:$AC$505,"&lt;="&amp;$A189,実績!$AD$6:$AD$505,"&gt;"&amp;$A189,実績!$AE$6:$AE$505,"○")&gt;0,1,0))</f>
        <v/>
      </c>
      <c r="AT189">
        <f>IF(AT$4=0,0,IF(COUNTIFS(実績!$W$6:$W$505,AT$3,実績!$AC$6:$AC$505,"&lt;="&amp;$A189,実績!$AD$6:$AD$505,"&gt;"&amp;$A189,実績!$AE$6:$AE$505,"○")&gt;0,1,0))</f>
        <v/>
      </c>
      <c r="AU189">
        <f>IF(AU$4=0,0,IF(COUNTIFS(実績!$W$6:$W$505,AU$3,実績!$AC$6:$AC$505,"&lt;="&amp;$A189,実績!$AD$6:$AD$505,"&gt;"&amp;$A189,実績!$AE$6:$AE$505,"○")&gt;0,1,0))</f>
        <v/>
      </c>
      <c r="AV189">
        <f>IF(AV$4=0,0,IF(COUNTIFS(実績!$W$6:$W$505,AV$3,実績!$AC$6:$AC$505,"&lt;="&amp;$A189,実績!$AD$6:$AD$505,"&gt;"&amp;$A189,実績!$AE$6:$AE$505,"○")&gt;0,1,0))</f>
        <v/>
      </c>
      <c r="AW189">
        <f>IF(AW$4=0,0,IF(COUNTIFS(実績!$W$6:$W$505,AW$3,実績!$AC$6:$AC$505,"&lt;="&amp;$A189,実績!$AD$6:$AD$505,"&gt;"&amp;$A189,実績!$AE$6:$AE$505,"○")&gt;0,1,0))</f>
        <v/>
      </c>
      <c r="AX189">
        <f>IF(AX$4=0,0,IF(COUNTIFS(実績!$W$6:$W$505,AX$3,実績!$AC$6:$AC$505,"&lt;="&amp;$A189,実績!$AD$6:$AD$505,"&gt;"&amp;$A189,実績!$AE$6:$AE$505,"○")&gt;0,1,0))</f>
        <v/>
      </c>
      <c r="AY189">
        <f>IF(AY$4=0,0,IF(COUNTIFS(実績!$W$6:$W$505,AY$3,実績!$AC$6:$AC$505,"&lt;="&amp;$A189,実績!$AD$6:$AD$505,"&gt;"&amp;$A189,実績!$AE$6:$AE$505,"○")&gt;0,1,0))</f>
        <v/>
      </c>
      <c r="AZ189">
        <f>IF(AZ$4=0,0,IF(COUNTIFS(実績!$W$6:$W$505,AZ$3,実績!$AC$6:$AC$505,"&lt;="&amp;$A189,実績!$AD$6:$AD$505,"&gt;"&amp;$A189,実績!$AE$6:$AE$505,"○")&gt;0,1,0))</f>
        <v/>
      </c>
      <c r="BA189">
        <f>IF(BA$4=0,0,IF(COUNTIFS(実績!$W$6:$W$505,BA$3,実績!$AC$6:$AC$505,"&lt;="&amp;$A189,実績!$AD$6:$AD$505,"&gt;"&amp;$A189,実績!$AE$6:$AE$505,"○")&gt;0,1,0))</f>
        <v/>
      </c>
      <c r="BB189">
        <f>IF(BB$4=0,0,IF(COUNTIFS(実績!$W$6:$W$505,BB$3,実績!$AC$6:$AC$505,"&lt;="&amp;$A189,実績!$AD$6:$AD$505,"&gt;"&amp;$A189,実績!$AE$6:$AE$505,"○")&gt;0,1,0))</f>
        <v/>
      </c>
      <c r="BC189">
        <f>IF(BC$4=0,0,IF(COUNTIFS(実績!$W$6:$W$505,BC$3,実績!$AC$6:$AC$505,"&lt;="&amp;$A189,実績!$AD$6:$AD$505,"&gt;"&amp;$A189,実績!$AE$6:$AE$505,"○")&gt;0,1,0))</f>
        <v/>
      </c>
      <c r="BD189">
        <f>IF(BD$4=0,0,IF(COUNTIFS(実績!$W$6:$W$505,BD$3,実績!$AC$6:$AC$505,"&lt;="&amp;$A189,実績!$AD$6:$AD$505,"&gt;"&amp;$A189,実績!$AE$6:$AE$505,"○")&gt;0,1,0))</f>
        <v/>
      </c>
      <c r="BE189">
        <f>IF(BE$4=0,0,IF(COUNTIFS(実績!$W$6:$W$505,BE$3,実績!$AC$6:$AC$505,"&lt;="&amp;$A189,実績!$AD$6:$AD$505,"&gt;"&amp;$A189,実績!$AE$6:$AE$505,"○")&gt;0,1,0))</f>
        <v/>
      </c>
      <c r="BF189">
        <f>IF(BF$4=0,0,IF(COUNTIFS(実績!$W$6:$W$505,BF$3,実績!$AC$6:$AC$505,"&lt;="&amp;$A189,実績!$AD$6:$AD$505,"&gt;"&amp;$A189,実績!$AE$6:$AE$505,"○")&gt;0,1,0))</f>
        <v/>
      </c>
      <c r="BG189">
        <f>IF(BG$4=0,0,IF(COUNTIFS(実績!$W$6:$W$505,BG$3,実績!$AC$6:$AC$505,"&lt;="&amp;$A189,実績!$AD$6:$AD$505,"&gt;"&amp;$A189,実績!$AE$6:$AE$505,"○")&gt;0,1,0))</f>
        <v/>
      </c>
      <c r="BH189">
        <f>IF(BH$4=0,0,IF(COUNTIFS(実績!$W$6:$W$505,BH$3,実績!$AC$6:$AC$505,"&lt;="&amp;$A189,実績!$AD$6:$AD$505,"&gt;"&amp;$A189,実績!$AE$6:$AE$505,"○")&gt;0,1,0))</f>
        <v/>
      </c>
      <c r="BI189">
        <f>IF(BI$4=0,0,IF(COUNTIFS(実績!$W$6:$W$505,BI$3,実績!$AC$6:$AC$505,"&lt;="&amp;$A189,実績!$AD$6:$AD$505,"&gt;"&amp;$A189,実績!$AE$6:$AE$505,"○")&gt;0,1,0))</f>
        <v/>
      </c>
      <c r="BJ189">
        <f>IF(BJ$4=0,0,IF(COUNTIFS(実績!$W$6:$W$505,BJ$3,実績!$AC$6:$AC$505,"&lt;="&amp;$A189,実績!$AD$6:$AD$505,"&gt;"&amp;$A189,実績!$AE$6:$AE$505,"○")&gt;0,1,0))</f>
        <v/>
      </c>
      <c r="BK189">
        <f>IF(BK$4=0,0,IF(COUNTIFS(実績!$W$6:$W$505,BK$3,実績!$AC$6:$AC$505,"&lt;="&amp;$A189,実績!$AD$6:$AD$505,"&gt;"&amp;$A189,実績!$AE$6:$AE$505,"○")&gt;0,1,0))</f>
        <v/>
      </c>
      <c r="BL189">
        <f>IF(BL$4=0,0,IF(COUNTIFS(実績!$W$6:$W$505,BL$3,実績!$AC$6:$AC$505,"&lt;="&amp;$A189,実績!$AD$6:$AD$505,"&gt;"&amp;$A189,実績!$AE$6:$AE$505,"○")&gt;0,1,0))</f>
        <v/>
      </c>
      <c r="BM189">
        <f>IF(BM$4=0,0,IF(COUNTIFS(実績!$W$6:$W$505,BM$3,実績!$AC$6:$AC$505,"&lt;="&amp;$A189,実績!$AD$6:$AD$505,"&gt;"&amp;$A189,実績!$AE$6:$AE$505,"○")&gt;0,1,0))</f>
        <v/>
      </c>
      <c r="BN189">
        <f>IF(BN$4=0,0,IF(COUNTIFS(実績!$W$6:$W$505,BN$3,実績!$AC$6:$AC$505,"&lt;="&amp;$A189,実績!$AD$6:$AD$505,"&gt;"&amp;$A189,実績!$AE$6:$AE$505,"○")&gt;0,1,0))</f>
        <v/>
      </c>
      <c r="BO189">
        <f>IF(BO$4=0,0,IF(COUNTIFS(実績!$W$6:$W$505,BO$3,実績!$AC$6:$AC$505,"&lt;="&amp;$A189,実績!$AD$6:$AD$505,"&gt;"&amp;$A189,実績!$AE$6:$AE$505,"○")&gt;0,1,0))</f>
        <v/>
      </c>
      <c r="BP189">
        <f>IF(BP$4=0,0,IF(COUNTIFS(実績!$W$6:$W$505,BP$3,実績!$AC$6:$AC$505,"&lt;="&amp;$A189,実績!$AD$6:$AD$505,"&gt;"&amp;$A189,実績!$AE$6:$AE$505,"○")&gt;0,1,0))</f>
        <v/>
      </c>
      <c r="BQ189">
        <f>IF(BQ$4=0,0,IF(COUNTIFS(実績!$W$6:$W$505,BQ$3,実績!$AC$6:$AC$505,"&lt;="&amp;$A189,実績!$AD$6:$AD$505,"&gt;"&amp;$A189,実績!$AE$6:$AE$505,"○")&gt;0,1,0))</f>
        <v/>
      </c>
      <c r="BR189">
        <f>IF(BR$4=0,0,IF(COUNTIFS(実績!$W$6:$W$505,BR$3,実績!$AC$6:$AC$505,"&lt;="&amp;$A189,実績!$AD$6:$AD$505,"&gt;"&amp;$A189,実績!$AE$6:$AE$505,"○")&gt;0,1,0))</f>
        <v/>
      </c>
      <c r="BS189">
        <f>IF(BS$4=0,0,IF(COUNTIFS(実績!$W$6:$W$505,BS$3,実績!$AC$6:$AC$505,"&lt;="&amp;$A189,実績!$AD$6:$AD$505,"&gt;"&amp;$A189,実績!$AE$6:$AE$505,"○")&gt;0,1,0))</f>
        <v/>
      </c>
      <c r="BT189">
        <f>IF(BT$4=0,0,IF(COUNTIFS(実績!$W$6:$W$505,BT$3,実績!$AC$6:$AC$505,"&lt;="&amp;$A189,実績!$AD$6:$AD$505,"&gt;"&amp;$A189,実績!$AE$6:$AE$505,"○")&gt;0,1,0))</f>
        <v/>
      </c>
      <c r="BU189">
        <f>IF(BU$4=0,0,IF(COUNTIFS(実績!$W$6:$W$505,BU$3,実績!$AC$6:$AC$505,"&lt;="&amp;$A189,実績!$AD$6:$AD$505,"&gt;"&amp;$A189,実績!$AE$6:$AE$505,"○")&gt;0,1,0))</f>
        <v/>
      </c>
      <c r="BV189">
        <f>IF(BV$4=0,0,IF(COUNTIFS(実績!$W$6:$W$505,BV$3,実績!$AC$6:$AC$505,"&lt;="&amp;$A189,実績!$AD$6:$AD$505,"&gt;"&amp;$A189,実績!$AE$6:$AE$505,"○")&gt;0,1,0))</f>
        <v/>
      </c>
      <c r="BW189">
        <f>IF(BW$4=0,0,IF(COUNTIFS(実績!$W$6:$W$505,BW$3,実績!$AC$6:$AC$505,"&lt;="&amp;$A189,実績!$AD$6:$AD$505,"&gt;"&amp;$A189,実績!$AE$6:$AE$505,"○")&gt;0,1,0))</f>
        <v/>
      </c>
      <c r="BX189">
        <f>IF(BX$4=0,0,IF(COUNTIFS(実績!$W$6:$W$505,BX$3,実績!$AC$6:$AC$505,"&lt;="&amp;$A189,実績!$AD$6:$AD$505,"&gt;"&amp;$A189,実績!$AE$6:$AE$505,"○")&gt;0,1,0))</f>
        <v/>
      </c>
      <c r="BY189">
        <f>IF(BY$4=0,0,IF(COUNTIFS(実績!$W$6:$W$505,BY$3,実績!$AC$6:$AC$505,"&lt;="&amp;$A189,実績!$AD$6:$AD$505,"&gt;"&amp;$A189,実績!$AE$6:$AE$505,"○")&gt;0,1,0))</f>
        <v/>
      </c>
      <c r="BZ189">
        <f>IF(BZ$4=0,0,IF(COUNTIFS(実績!$W$6:$W$505,BZ$3,実績!$AC$6:$AC$505,"&lt;="&amp;$A189,実績!$AD$6:$AD$505,"&gt;"&amp;$A189,実績!$AE$6:$AE$505,"○")&gt;0,1,0))</f>
        <v/>
      </c>
      <c r="CA189">
        <f>IF(CA$4=0,0,IF(COUNTIFS(実績!$W$6:$W$505,CA$3,実績!$AC$6:$AC$505,"&lt;="&amp;$A189,実績!$AD$6:$AD$505,"&gt;"&amp;$A189,実績!$AE$6:$AE$505,"○")&gt;0,1,0))</f>
        <v/>
      </c>
      <c r="CB189">
        <f>IF(CB$4=0,0,IF(COUNTIFS(実績!$W$6:$W$505,CB$3,実績!$AC$6:$AC$505,"&lt;="&amp;$A189,実績!$AD$6:$AD$505,"&gt;"&amp;$A189,実績!$AE$6:$AE$505,"○")&gt;0,1,0))</f>
        <v/>
      </c>
      <c r="CC189">
        <f>IF(CC$4=0,0,IF(COUNTIFS(実績!$W$6:$W$505,CC$3,実績!$AC$6:$AC$505,"&lt;="&amp;$A189,実績!$AD$6:$AD$505,"&gt;"&amp;$A189,実績!$AE$6:$AE$505,"○")&gt;0,1,0))</f>
        <v/>
      </c>
      <c r="CD189">
        <f>IF(CD$4=0,0,IF(COUNTIFS(実績!$W$6:$W$505,CD$3,実績!$AC$6:$AC$505,"&lt;="&amp;$A189,実績!$AD$6:$AD$505,"&gt;"&amp;$A189,実績!$AE$6:$AE$505,"○")&gt;0,1,0))</f>
        <v/>
      </c>
      <c r="CE189">
        <f>IF(CE$4=0,0,IF(COUNTIFS(実績!$W$6:$W$505,CE$3,実績!$AC$6:$AC$505,"&lt;="&amp;$A189,実績!$AD$6:$AD$505,"&gt;"&amp;$A189,実績!$AE$6:$AE$505,"○")&gt;0,1,0))</f>
        <v/>
      </c>
      <c r="CF189">
        <f>IF(CF$4=0,0,IF(COUNTIFS(実績!$W$6:$W$505,CF$3,実績!$AC$6:$AC$505,"&lt;="&amp;$A189,実績!$AD$6:$AD$505,"&gt;"&amp;$A189,実績!$AE$6:$AE$505,"○")&gt;0,1,0))</f>
        <v/>
      </c>
      <c r="CG189">
        <f>IF(CG$4=0,0,IF(COUNTIFS(実績!$W$6:$W$505,CG$3,実績!$AC$6:$AC$505,"&lt;="&amp;$A189,実績!$AD$6:$AD$505,"&gt;"&amp;$A189,実績!$AE$6:$AE$505,"○")&gt;0,1,0))</f>
        <v/>
      </c>
      <c r="CH189">
        <f>IF(CH$4=0,0,IF(COUNTIFS(実績!$W$6:$W$505,CH$3,実績!$AC$6:$AC$505,"&lt;="&amp;$A189,実績!$AD$6:$AD$505,"&gt;"&amp;$A189,実績!$AE$6:$AE$505,"○")&gt;0,1,0))</f>
        <v/>
      </c>
      <c r="CI189">
        <f>IF(CI$4=0,0,IF(COUNTIFS(実績!$W$6:$W$505,CI$3,実績!$AC$6:$AC$505,"&lt;="&amp;$A189,実績!$AD$6:$AD$505,"&gt;"&amp;$A189,実績!$AE$6:$AE$505,"○")&gt;0,1,0))</f>
        <v/>
      </c>
      <c r="CJ189">
        <f>IF(CJ$4=0,0,IF(COUNTIFS(実績!$W$6:$W$505,CJ$3,実績!$AC$6:$AC$505,"&lt;="&amp;$A189,実績!$AD$6:$AD$505,"&gt;"&amp;$A189,実績!$AE$6:$AE$505,"○")&gt;0,1,0))</f>
        <v/>
      </c>
      <c r="CK189">
        <f>IF(CK$4=0,0,IF(COUNTIFS(実績!$W$6:$W$505,CK$3,実績!$AC$6:$AC$505,"&lt;="&amp;$A189,実績!$AD$6:$AD$505,"&gt;"&amp;$A189,実績!$AE$6:$AE$505,"○")&gt;0,1,0))</f>
        <v/>
      </c>
      <c r="CL189">
        <f>IF(CL$4=0,0,IF(COUNTIFS(実績!$W$6:$W$505,CL$3,実績!$AC$6:$AC$505,"&lt;="&amp;$A189,実績!$AD$6:$AD$505,"&gt;"&amp;$A189,実績!$AE$6:$AE$505,"○")&gt;0,1,0))</f>
        <v/>
      </c>
      <c r="CM189">
        <f>IF(CM$4=0,0,IF(COUNTIFS(実績!$W$6:$W$505,CM$3,実績!$AC$6:$AC$505,"&lt;="&amp;$A189,実績!$AD$6:$AD$505,"&gt;"&amp;$A189,実績!$AE$6:$AE$505,"○")&gt;0,1,0))</f>
        <v/>
      </c>
      <c r="CN189">
        <f>IF(CN$4=0,0,IF(COUNTIFS(実績!$W$6:$W$505,CN$3,実績!$AC$6:$AC$505,"&lt;="&amp;$A189,実績!$AD$6:$AD$505,"&gt;"&amp;$A189,実績!$AE$6:$AE$505,"○")&gt;0,1,0))</f>
        <v/>
      </c>
      <c r="CO189">
        <f>IF(CO$4=0,0,IF(COUNTIFS(実績!$W$6:$W$505,CO$3,実績!$AC$6:$AC$505,"&lt;="&amp;$A189,実績!$AD$6:$AD$505,"&gt;"&amp;$A189,実績!$AE$6:$AE$505,"○")&gt;0,1,0))</f>
        <v/>
      </c>
      <c r="CP189">
        <f>IF(CP$4=0,0,IF(COUNTIFS(実績!$W$6:$W$505,CP$3,実績!$AC$6:$AC$505,"&lt;="&amp;$A189,実績!$AD$6:$AD$505,"&gt;"&amp;$A189,実績!$AE$6:$AE$505,"○")&gt;0,1,0))</f>
        <v/>
      </c>
      <c r="CQ189">
        <f>IF(CQ$4=0,0,IF(COUNTIFS(実績!$W$6:$W$505,CQ$3,実績!$AC$6:$AC$505,"&lt;="&amp;$A189,実績!$AD$6:$AD$505,"&gt;"&amp;$A189,実績!$AE$6:$AE$505,"○")&gt;0,1,0))</f>
        <v/>
      </c>
      <c r="CR189">
        <f>IF(CR$4=0,0,IF(COUNTIFS(実績!$W$6:$W$505,CR$3,実績!$AC$6:$AC$505,"&lt;="&amp;$A189,実績!$AD$6:$AD$505,"&gt;"&amp;$A189,実績!$AE$6:$AE$505,"○")&gt;0,1,0))</f>
        <v/>
      </c>
      <c r="CS189">
        <f>IF(CS$4=0,0,IF(COUNTIFS(実績!$W$6:$W$505,CS$3,実績!$AC$6:$AC$505,"&lt;="&amp;$A189,実績!$AD$6:$AD$505,"&gt;"&amp;$A189,実績!$AE$6:$AE$505,"○")&gt;0,1,0))</f>
        <v/>
      </c>
      <c r="CT189">
        <f>IF(CT$4=0,0,IF(COUNTIFS(実績!$W$6:$W$505,CT$3,実績!$AC$6:$AC$505,"&lt;="&amp;$A189,実績!$AD$6:$AD$505,"&gt;"&amp;$A189,実績!$AE$6:$AE$505,"○")&gt;0,1,0))</f>
        <v/>
      </c>
      <c r="CU189">
        <f>IF(CU$4=0,0,IF(COUNTIFS(実績!$W$6:$W$505,CU$3,実績!$AC$6:$AC$505,"&lt;="&amp;$A189,実績!$AD$6:$AD$505,"&gt;"&amp;$A189,実績!$AE$6:$AE$505,"○")&gt;0,1,0))</f>
        <v/>
      </c>
      <c r="CV189">
        <f>IF(CV$4=0,0,IF(COUNTIFS(実績!$W$6:$W$505,CV$3,実績!$AC$6:$AC$505,"&lt;="&amp;$A189,実績!$AD$6:$AD$505,"&gt;"&amp;$A189,実績!$AE$6:$AE$505,"○")&gt;0,1,0))</f>
        <v/>
      </c>
      <c r="CW189">
        <f>IF(CW$4=0,0,IF(COUNTIFS(実績!$W$6:$W$505,CW$3,実績!$AC$6:$AC$505,"&lt;="&amp;$A189,実績!$AD$6:$AD$505,"&gt;"&amp;$A189,実績!$AE$6:$AE$505,"○")&gt;0,1,0))</f>
        <v/>
      </c>
      <c r="CX189">
        <f>IF(CX$4=0,0,IF(COUNTIFS(実績!$W$6:$W$505,CX$3,実績!$AC$6:$AC$505,"&lt;="&amp;$A189,実績!$AD$6:$AD$505,"&gt;"&amp;$A189,実績!$AE$6:$AE$505,"○")&gt;0,1,0))</f>
        <v/>
      </c>
      <c r="CY189">
        <f>IF(CY$4=0,0,IF(COUNTIFS(実績!$W$6:$W$505,CY$3,実績!$AC$6:$AC$505,"&lt;="&amp;$A189,実績!$AD$6:$AD$505,"&gt;"&amp;$A189,実績!$AE$6:$AE$505,"○")&gt;0,1,0))</f>
        <v/>
      </c>
      <c r="CZ189">
        <f>IF(CZ$4=0,0,IF(COUNTIFS(実績!$W$6:$W$505,CZ$3,実績!$AC$6:$AC$505,"&lt;="&amp;$A189,実績!$AD$6:$AD$505,"&gt;"&amp;$A189,実績!$AE$6:$AE$505,"○")&gt;0,1,0))</f>
        <v/>
      </c>
      <c r="DA189">
        <f>IF(DA$4=0,0,IF(COUNTIFS(実績!$W$6:$W$505,DA$3,実績!$AC$6:$AC$505,"&lt;="&amp;$A189,実績!$AD$6:$AD$505,"&gt;"&amp;$A189,実績!$AE$6:$AE$505,"○")&gt;0,1,0))</f>
        <v/>
      </c>
      <c r="DB189">
        <f>IF(DB$4=0,0,IF(COUNTIFS(実績!$W$6:$W$505,DB$3,実績!$AC$6:$AC$505,"&lt;="&amp;$A189,実績!$AD$6:$AD$505,"&gt;"&amp;$A189,実績!$AE$6:$AE$505,"○")&gt;0,1,0))</f>
        <v/>
      </c>
      <c r="DC189">
        <f>IF(DC$4=0,0,IF(COUNTIFS(実績!$W$6:$W$505,DC$3,実績!$AC$6:$AC$505,"&lt;="&amp;$A189,実績!$AD$6:$AD$505,"&gt;"&amp;$A189,実績!$AE$6:$AE$505,"○")&gt;0,1,0))</f>
        <v/>
      </c>
      <c r="DD189">
        <f>IF(DD$4=0,0,IF(COUNTIFS(実績!$W$6:$W$505,DD$3,実績!$AC$6:$AC$505,"&lt;="&amp;$A189,実績!$AD$6:$AD$505,"&gt;"&amp;$A189,実績!$AE$6:$AE$505,"○")&gt;0,1,0))</f>
        <v/>
      </c>
      <c r="DE189">
        <f>IF(DE$4=0,0,IF(COUNTIFS(実績!$W$6:$W$505,DE$3,実績!$AC$6:$AC$505,"&lt;="&amp;$A189,実績!$AD$6:$AD$505,"&gt;"&amp;$A189,実績!$AE$6:$AE$505,"○")&gt;0,1,0))</f>
        <v/>
      </c>
      <c r="DF189">
        <f>IF(DF$4=0,0,IF(COUNTIFS(実績!$W$6:$W$505,DF$3,実績!$AC$6:$AC$505,"&lt;="&amp;$A189,実績!$AD$6:$AD$505,"&gt;"&amp;$A189,実績!$AE$6:$AE$505,"○")&gt;0,1,0))</f>
        <v/>
      </c>
      <c r="DG189">
        <f>IF(DG$4=0,0,IF(COUNTIFS(実績!$W$6:$W$505,DG$3,実績!$AC$6:$AC$505,"&lt;="&amp;$A189,実績!$AD$6:$AD$505,"&gt;"&amp;$A189,実績!$AE$6:$AE$505,"○")&gt;0,1,0))</f>
        <v/>
      </c>
      <c r="DH189">
        <f>IF(DH$4=0,0,IF(COUNTIFS(実績!$W$6:$W$505,DH$3,実績!$AC$6:$AC$505,"&lt;="&amp;$A189,実績!$AD$6:$AD$505,"&gt;"&amp;$A189,実績!$AE$6:$AE$505,"○")&gt;0,1,0))</f>
        <v/>
      </c>
      <c r="DI189">
        <f>IF(DI$4=0,0,IF(COUNTIFS(実績!$W$6:$W$505,DI$3,実績!$AC$6:$AC$505,"&lt;="&amp;$A189,実績!$AD$6:$AD$505,"&gt;"&amp;$A189,実績!$AE$6:$AE$505,"○")&gt;0,1,0))</f>
        <v/>
      </c>
      <c r="DJ189">
        <f>IF(DJ$4=0,0,IF(COUNTIFS(実績!$W$6:$W$505,DJ$3,実績!$AC$6:$AC$505,"&lt;="&amp;$A189,実績!$AD$6:$AD$505,"&gt;"&amp;$A189,実績!$AE$6:$AE$505,"○")&gt;0,1,0))</f>
        <v/>
      </c>
      <c r="DK189">
        <f>IF(DK$4=0,0,IF(COUNTIFS(実績!$W$6:$W$505,DK$3,実績!$AC$6:$AC$505,"&lt;="&amp;$A189,実績!$AD$6:$AD$505,"&gt;"&amp;$A189,実績!$AE$6:$AE$505,"○")&gt;0,1,0))</f>
        <v/>
      </c>
      <c r="DL189">
        <f>IF(DL$4=0,0,IF(COUNTIFS(実績!$W$6:$W$505,DL$3,実績!$AC$6:$AC$505,"&lt;="&amp;$A189,実績!$AD$6:$AD$505,"&gt;"&amp;$A189,実績!$AE$6:$AE$505,"○")&gt;0,1,0))</f>
        <v/>
      </c>
      <c r="DM189">
        <f>IF(DM$4=0,0,IF(COUNTIFS(実績!$W$6:$W$505,DM$3,実績!$AC$6:$AC$505,"&lt;="&amp;$A189,実績!$AD$6:$AD$505,"&gt;"&amp;$A189,実績!$AE$6:$AE$505,"○")&gt;0,1,0))</f>
        <v/>
      </c>
      <c r="DN189">
        <f>IF(DN$4=0,0,IF(COUNTIFS(実績!$W$6:$W$505,DN$3,実績!$AC$6:$AC$505,"&lt;="&amp;$A189,実績!$AD$6:$AD$505,"&gt;"&amp;$A189,実績!$AE$6:$AE$505,"○")&gt;0,1,0))</f>
        <v/>
      </c>
      <c r="DO189">
        <f>IF(DO$4=0,0,IF(COUNTIFS(実績!$W$6:$W$505,DO$3,実績!$AC$6:$AC$505,"&lt;="&amp;$A189,実績!$AD$6:$AD$505,"&gt;"&amp;$A189,実績!$AE$6:$AE$505,"○")&gt;0,1,0))</f>
        <v/>
      </c>
      <c r="DP189">
        <f>IF(DP$4=0,0,IF(COUNTIFS(実績!$W$6:$W$505,DP$3,実績!$AC$6:$AC$505,"&lt;="&amp;$A189,実績!$AD$6:$AD$505,"&gt;"&amp;$A189,実績!$AE$6:$AE$505,"○")&gt;0,1,0))</f>
        <v/>
      </c>
      <c r="DQ189">
        <f>IF(DQ$4=0,0,IF(COUNTIFS(実績!$W$6:$W$505,DQ$3,実績!$AC$6:$AC$505,"&lt;="&amp;$A189,実績!$AD$6:$AD$505,"&gt;"&amp;$A189,実績!$AE$6:$AE$505,"○")&gt;0,1,0))</f>
        <v/>
      </c>
      <c r="DR189">
        <f>IF(DR$4=0,0,IF(COUNTIFS(実績!$W$6:$W$505,DR$3,実績!$AC$6:$AC$505,"&lt;="&amp;$A189,実績!$AD$6:$AD$505,"&gt;"&amp;$A189,実績!$AE$6:$AE$505,"○")&gt;0,1,0))</f>
        <v/>
      </c>
      <c r="DS189">
        <f>SUM(C189:DR189)</f>
        <v/>
      </c>
      <c r="DT189">
        <f>SUMPRODUCT((実績!$C$6:$C$505="○")*ISNUMBER(実績!$AF$6:$AF$505)*(実績!$AF$6:$AF$505&lt;=$A189)*(実績!$AG$6:$AG$505&gt;$A189))</f>
        <v/>
      </c>
      <c r="DU189">
        <f>SUMIF($C$2:$DR$2,"製鉄曳船",C189:DR189)</f>
        <v/>
      </c>
      <c r="DV189">
        <f>SUMIF($C$2:$DR$2,"西日本海運",C189:DR189)</f>
        <v/>
      </c>
    </row>
    <row r="190">
      <c r="A190" t="n">
        <v>920</v>
      </c>
      <c r="B190" s="29">
        <f>A190/1440</f>
        <v/>
      </c>
      <c r="C190">
        <f>IF(C$4=0,0,IF(COUNTIFS(実績!$W$6:$W$505,C$3,実績!$AC$6:$AC$505,"&lt;="&amp;$A190,実績!$AD$6:$AD$505,"&gt;"&amp;$A190,実績!$AE$6:$AE$505,"○")&gt;0,1,0))</f>
        <v/>
      </c>
      <c r="D190">
        <f>IF(D$4=0,0,IF(COUNTIFS(実績!$W$6:$W$505,D$3,実績!$AC$6:$AC$505,"&lt;="&amp;$A190,実績!$AD$6:$AD$505,"&gt;"&amp;$A190,実績!$AE$6:$AE$505,"○")&gt;0,1,0))</f>
        <v/>
      </c>
      <c r="E190">
        <f>IF(E$4=0,0,IF(COUNTIFS(実績!$W$6:$W$505,E$3,実績!$AC$6:$AC$505,"&lt;="&amp;$A190,実績!$AD$6:$AD$505,"&gt;"&amp;$A190,実績!$AE$6:$AE$505,"○")&gt;0,1,0))</f>
        <v/>
      </c>
      <c r="F190">
        <f>IF(F$4=0,0,IF(COUNTIFS(実績!$W$6:$W$505,F$3,実績!$AC$6:$AC$505,"&lt;="&amp;$A190,実績!$AD$6:$AD$505,"&gt;"&amp;$A190,実績!$AE$6:$AE$505,"○")&gt;0,1,0))</f>
        <v/>
      </c>
      <c r="G190">
        <f>IF(G$4=0,0,IF(COUNTIFS(実績!$W$6:$W$505,G$3,実績!$AC$6:$AC$505,"&lt;="&amp;$A190,実績!$AD$6:$AD$505,"&gt;"&amp;$A190,実績!$AE$6:$AE$505,"○")&gt;0,1,0))</f>
        <v/>
      </c>
      <c r="H190">
        <f>IF(H$4=0,0,IF(COUNTIFS(実績!$W$6:$W$505,H$3,実績!$AC$6:$AC$505,"&lt;="&amp;$A190,実績!$AD$6:$AD$505,"&gt;"&amp;$A190,実績!$AE$6:$AE$505,"○")&gt;0,1,0))</f>
        <v/>
      </c>
      <c r="I190">
        <f>IF(I$4=0,0,IF(COUNTIFS(実績!$W$6:$W$505,I$3,実績!$AC$6:$AC$505,"&lt;="&amp;$A190,実績!$AD$6:$AD$505,"&gt;"&amp;$A190,実績!$AE$6:$AE$505,"○")&gt;0,1,0))</f>
        <v/>
      </c>
      <c r="J190">
        <f>IF(J$4=0,0,IF(COUNTIFS(実績!$W$6:$W$505,J$3,実績!$AC$6:$AC$505,"&lt;="&amp;$A190,実績!$AD$6:$AD$505,"&gt;"&amp;$A190,実績!$AE$6:$AE$505,"○")&gt;0,1,0))</f>
        <v/>
      </c>
      <c r="K190">
        <f>IF(K$4=0,0,IF(COUNTIFS(実績!$W$6:$W$505,K$3,実績!$AC$6:$AC$505,"&lt;="&amp;$A190,実績!$AD$6:$AD$505,"&gt;"&amp;$A190,実績!$AE$6:$AE$505,"○")&gt;0,1,0))</f>
        <v/>
      </c>
      <c r="L190">
        <f>IF(L$4=0,0,IF(COUNTIFS(実績!$W$6:$W$505,L$3,実績!$AC$6:$AC$505,"&lt;="&amp;$A190,実績!$AD$6:$AD$505,"&gt;"&amp;$A190,実績!$AE$6:$AE$505,"○")&gt;0,1,0))</f>
        <v/>
      </c>
      <c r="M190">
        <f>IF(M$4=0,0,IF(COUNTIFS(実績!$W$6:$W$505,M$3,実績!$AC$6:$AC$505,"&lt;="&amp;$A190,実績!$AD$6:$AD$505,"&gt;"&amp;$A190,実績!$AE$6:$AE$505,"○")&gt;0,1,0))</f>
        <v/>
      </c>
      <c r="N190">
        <f>IF(N$4=0,0,IF(COUNTIFS(実績!$W$6:$W$505,N$3,実績!$AC$6:$AC$505,"&lt;="&amp;$A190,実績!$AD$6:$AD$505,"&gt;"&amp;$A190,実績!$AE$6:$AE$505,"○")&gt;0,1,0))</f>
        <v/>
      </c>
      <c r="O190">
        <f>IF(O$4=0,0,IF(COUNTIFS(実績!$W$6:$W$505,O$3,実績!$AC$6:$AC$505,"&lt;="&amp;$A190,実績!$AD$6:$AD$505,"&gt;"&amp;$A190,実績!$AE$6:$AE$505,"○")&gt;0,1,0))</f>
        <v/>
      </c>
      <c r="P190">
        <f>IF(P$4=0,0,IF(COUNTIFS(実績!$W$6:$W$505,P$3,実績!$AC$6:$AC$505,"&lt;="&amp;$A190,実績!$AD$6:$AD$505,"&gt;"&amp;$A190,実績!$AE$6:$AE$505,"○")&gt;0,1,0))</f>
        <v/>
      </c>
      <c r="Q190">
        <f>IF(Q$4=0,0,IF(COUNTIFS(実績!$W$6:$W$505,Q$3,実績!$AC$6:$AC$505,"&lt;="&amp;$A190,実績!$AD$6:$AD$505,"&gt;"&amp;$A190,実績!$AE$6:$AE$505,"○")&gt;0,1,0))</f>
        <v/>
      </c>
      <c r="R190">
        <f>IF(R$4=0,0,IF(COUNTIFS(実績!$W$6:$W$505,R$3,実績!$AC$6:$AC$505,"&lt;="&amp;$A190,実績!$AD$6:$AD$505,"&gt;"&amp;$A190,実績!$AE$6:$AE$505,"○")&gt;0,1,0))</f>
        <v/>
      </c>
      <c r="S190">
        <f>IF(S$4=0,0,IF(COUNTIFS(実績!$W$6:$W$505,S$3,実績!$AC$6:$AC$505,"&lt;="&amp;$A190,実績!$AD$6:$AD$505,"&gt;"&amp;$A190,実績!$AE$6:$AE$505,"○")&gt;0,1,0))</f>
        <v/>
      </c>
      <c r="T190">
        <f>IF(T$4=0,0,IF(COUNTIFS(実績!$W$6:$W$505,T$3,実績!$AC$6:$AC$505,"&lt;="&amp;$A190,実績!$AD$6:$AD$505,"&gt;"&amp;$A190,実績!$AE$6:$AE$505,"○")&gt;0,1,0))</f>
        <v/>
      </c>
      <c r="U190">
        <f>IF(U$4=0,0,IF(COUNTIFS(実績!$W$6:$W$505,U$3,実績!$AC$6:$AC$505,"&lt;="&amp;$A190,実績!$AD$6:$AD$505,"&gt;"&amp;$A190,実績!$AE$6:$AE$505,"○")&gt;0,1,0))</f>
        <v/>
      </c>
      <c r="V190">
        <f>IF(V$4=0,0,IF(COUNTIFS(実績!$W$6:$W$505,V$3,実績!$AC$6:$AC$505,"&lt;="&amp;$A190,実績!$AD$6:$AD$505,"&gt;"&amp;$A190,実績!$AE$6:$AE$505,"○")&gt;0,1,0))</f>
        <v/>
      </c>
      <c r="W190">
        <f>IF(W$4=0,0,IF(COUNTIFS(実績!$W$6:$W$505,W$3,実績!$AC$6:$AC$505,"&lt;="&amp;$A190,実績!$AD$6:$AD$505,"&gt;"&amp;$A190,実績!$AE$6:$AE$505,"○")&gt;0,1,0))</f>
        <v/>
      </c>
      <c r="X190">
        <f>IF(X$4=0,0,IF(COUNTIFS(実績!$W$6:$W$505,X$3,実績!$AC$6:$AC$505,"&lt;="&amp;$A190,実績!$AD$6:$AD$505,"&gt;"&amp;$A190,実績!$AE$6:$AE$505,"○")&gt;0,1,0))</f>
        <v/>
      </c>
      <c r="Y190">
        <f>IF(Y$4=0,0,IF(COUNTIFS(実績!$W$6:$W$505,Y$3,実績!$AC$6:$AC$505,"&lt;="&amp;$A190,実績!$AD$6:$AD$505,"&gt;"&amp;$A190,実績!$AE$6:$AE$505,"○")&gt;0,1,0))</f>
        <v/>
      </c>
      <c r="Z190">
        <f>IF(Z$4=0,0,IF(COUNTIFS(実績!$W$6:$W$505,Z$3,実績!$AC$6:$AC$505,"&lt;="&amp;$A190,実績!$AD$6:$AD$505,"&gt;"&amp;$A190,実績!$AE$6:$AE$505,"○")&gt;0,1,0))</f>
        <v/>
      </c>
      <c r="AA190">
        <f>IF(AA$4=0,0,IF(COUNTIFS(実績!$W$6:$W$505,AA$3,実績!$AC$6:$AC$505,"&lt;="&amp;$A190,実績!$AD$6:$AD$505,"&gt;"&amp;$A190,実績!$AE$6:$AE$505,"○")&gt;0,1,0))</f>
        <v/>
      </c>
      <c r="AB190">
        <f>IF(AB$4=0,0,IF(COUNTIFS(実績!$W$6:$W$505,AB$3,実績!$AC$6:$AC$505,"&lt;="&amp;$A190,実績!$AD$6:$AD$505,"&gt;"&amp;$A190,実績!$AE$6:$AE$505,"○")&gt;0,1,0))</f>
        <v/>
      </c>
      <c r="AC190">
        <f>IF(AC$4=0,0,IF(COUNTIFS(実績!$W$6:$W$505,AC$3,実績!$AC$6:$AC$505,"&lt;="&amp;$A190,実績!$AD$6:$AD$505,"&gt;"&amp;$A190,実績!$AE$6:$AE$505,"○")&gt;0,1,0))</f>
        <v/>
      </c>
      <c r="AD190">
        <f>IF(AD$4=0,0,IF(COUNTIFS(実績!$W$6:$W$505,AD$3,実績!$AC$6:$AC$505,"&lt;="&amp;$A190,実績!$AD$6:$AD$505,"&gt;"&amp;$A190,実績!$AE$6:$AE$505,"○")&gt;0,1,0))</f>
        <v/>
      </c>
      <c r="AE190">
        <f>IF(AE$4=0,0,IF(COUNTIFS(実績!$W$6:$W$505,AE$3,実績!$AC$6:$AC$505,"&lt;="&amp;$A190,実績!$AD$6:$AD$505,"&gt;"&amp;$A190,実績!$AE$6:$AE$505,"○")&gt;0,1,0))</f>
        <v/>
      </c>
      <c r="AF190">
        <f>IF(AF$4=0,0,IF(COUNTIFS(実績!$W$6:$W$505,AF$3,実績!$AC$6:$AC$505,"&lt;="&amp;$A190,実績!$AD$6:$AD$505,"&gt;"&amp;$A190,実績!$AE$6:$AE$505,"○")&gt;0,1,0))</f>
        <v/>
      </c>
      <c r="AG190">
        <f>IF(AG$4=0,0,IF(COUNTIFS(実績!$W$6:$W$505,AG$3,実績!$AC$6:$AC$505,"&lt;="&amp;$A190,実績!$AD$6:$AD$505,"&gt;"&amp;$A190,実績!$AE$6:$AE$505,"○")&gt;0,1,0))</f>
        <v/>
      </c>
      <c r="AH190">
        <f>IF(AH$4=0,0,IF(COUNTIFS(実績!$W$6:$W$505,AH$3,実績!$AC$6:$AC$505,"&lt;="&amp;$A190,実績!$AD$6:$AD$505,"&gt;"&amp;$A190,実績!$AE$6:$AE$505,"○")&gt;0,1,0))</f>
        <v/>
      </c>
      <c r="AI190">
        <f>IF(AI$4=0,0,IF(COUNTIFS(実績!$W$6:$W$505,AI$3,実績!$AC$6:$AC$505,"&lt;="&amp;$A190,実績!$AD$6:$AD$505,"&gt;"&amp;$A190,実績!$AE$6:$AE$505,"○")&gt;0,1,0))</f>
        <v/>
      </c>
      <c r="AJ190">
        <f>IF(AJ$4=0,0,IF(COUNTIFS(実績!$W$6:$W$505,AJ$3,実績!$AC$6:$AC$505,"&lt;="&amp;$A190,実績!$AD$6:$AD$505,"&gt;"&amp;$A190,実績!$AE$6:$AE$505,"○")&gt;0,1,0))</f>
        <v/>
      </c>
      <c r="AK190">
        <f>IF(AK$4=0,0,IF(COUNTIFS(実績!$W$6:$W$505,AK$3,実績!$AC$6:$AC$505,"&lt;="&amp;$A190,実績!$AD$6:$AD$505,"&gt;"&amp;$A190,実績!$AE$6:$AE$505,"○")&gt;0,1,0))</f>
        <v/>
      </c>
      <c r="AL190">
        <f>IF(AL$4=0,0,IF(COUNTIFS(実績!$W$6:$W$505,AL$3,実績!$AC$6:$AC$505,"&lt;="&amp;$A190,実績!$AD$6:$AD$505,"&gt;"&amp;$A190,実績!$AE$6:$AE$505,"○")&gt;0,1,0))</f>
        <v/>
      </c>
      <c r="AM190">
        <f>IF(AM$4=0,0,IF(COUNTIFS(実績!$W$6:$W$505,AM$3,実績!$AC$6:$AC$505,"&lt;="&amp;$A190,実績!$AD$6:$AD$505,"&gt;"&amp;$A190,実績!$AE$6:$AE$505,"○")&gt;0,1,0))</f>
        <v/>
      </c>
      <c r="AN190">
        <f>IF(AN$4=0,0,IF(COUNTIFS(実績!$W$6:$W$505,AN$3,実績!$AC$6:$AC$505,"&lt;="&amp;$A190,実績!$AD$6:$AD$505,"&gt;"&amp;$A190,実績!$AE$6:$AE$505,"○")&gt;0,1,0))</f>
        <v/>
      </c>
      <c r="AO190">
        <f>IF(AO$4=0,0,IF(COUNTIFS(実績!$W$6:$W$505,AO$3,実績!$AC$6:$AC$505,"&lt;="&amp;$A190,実績!$AD$6:$AD$505,"&gt;"&amp;$A190,実績!$AE$6:$AE$505,"○")&gt;0,1,0))</f>
        <v/>
      </c>
      <c r="AP190">
        <f>IF(AP$4=0,0,IF(COUNTIFS(実績!$W$6:$W$505,AP$3,実績!$AC$6:$AC$505,"&lt;="&amp;$A190,実績!$AD$6:$AD$505,"&gt;"&amp;$A190,実績!$AE$6:$AE$505,"○")&gt;0,1,0))</f>
        <v/>
      </c>
      <c r="AQ190">
        <f>IF(AQ$4=0,0,IF(COUNTIFS(実績!$W$6:$W$505,AQ$3,実績!$AC$6:$AC$505,"&lt;="&amp;$A190,実績!$AD$6:$AD$505,"&gt;"&amp;$A190,実績!$AE$6:$AE$505,"○")&gt;0,1,0))</f>
        <v/>
      </c>
      <c r="AR190">
        <f>IF(AR$4=0,0,IF(COUNTIFS(実績!$W$6:$W$505,AR$3,実績!$AC$6:$AC$505,"&lt;="&amp;$A190,実績!$AD$6:$AD$505,"&gt;"&amp;$A190,実績!$AE$6:$AE$505,"○")&gt;0,1,0))</f>
        <v/>
      </c>
      <c r="AS190">
        <f>IF(AS$4=0,0,IF(COUNTIFS(実績!$W$6:$W$505,AS$3,実績!$AC$6:$AC$505,"&lt;="&amp;$A190,実績!$AD$6:$AD$505,"&gt;"&amp;$A190,実績!$AE$6:$AE$505,"○")&gt;0,1,0))</f>
        <v/>
      </c>
      <c r="AT190">
        <f>IF(AT$4=0,0,IF(COUNTIFS(実績!$W$6:$W$505,AT$3,実績!$AC$6:$AC$505,"&lt;="&amp;$A190,実績!$AD$6:$AD$505,"&gt;"&amp;$A190,実績!$AE$6:$AE$505,"○")&gt;0,1,0))</f>
        <v/>
      </c>
      <c r="AU190">
        <f>IF(AU$4=0,0,IF(COUNTIFS(実績!$W$6:$W$505,AU$3,実績!$AC$6:$AC$505,"&lt;="&amp;$A190,実績!$AD$6:$AD$505,"&gt;"&amp;$A190,実績!$AE$6:$AE$505,"○")&gt;0,1,0))</f>
        <v/>
      </c>
      <c r="AV190">
        <f>IF(AV$4=0,0,IF(COUNTIFS(実績!$W$6:$W$505,AV$3,実績!$AC$6:$AC$505,"&lt;="&amp;$A190,実績!$AD$6:$AD$505,"&gt;"&amp;$A190,実績!$AE$6:$AE$505,"○")&gt;0,1,0))</f>
        <v/>
      </c>
      <c r="AW190">
        <f>IF(AW$4=0,0,IF(COUNTIFS(実績!$W$6:$W$505,AW$3,実績!$AC$6:$AC$505,"&lt;="&amp;$A190,実績!$AD$6:$AD$505,"&gt;"&amp;$A190,実績!$AE$6:$AE$505,"○")&gt;0,1,0))</f>
        <v/>
      </c>
      <c r="AX190">
        <f>IF(AX$4=0,0,IF(COUNTIFS(実績!$W$6:$W$505,AX$3,実績!$AC$6:$AC$505,"&lt;="&amp;$A190,実績!$AD$6:$AD$505,"&gt;"&amp;$A190,実績!$AE$6:$AE$505,"○")&gt;0,1,0))</f>
        <v/>
      </c>
      <c r="AY190">
        <f>IF(AY$4=0,0,IF(COUNTIFS(実績!$W$6:$W$505,AY$3,実績!$AC$6:$AC$505,"&lt;="&amp;$A190,実績!$AD$6:$AD$505,"&gt;"&amp;$A190,実績!$AE$6:$AE$505,"○")&gt;0,1,0))</f>
        <v/>
      </c>
      <c r="AZ190">
        <f>IF(AZ$4=0,0,IF(COUNTIFS(実績!$W$6:$W$505,AZ$3,実績!$AC$6:$AC$505,"&lt;="&amp;$A190,実績!$AD$6:$AD$505,"&gt;"&amp;$A190,実績!$AE$6:$AE$505,"○")&gt;0,1,0))</f>
        <v/>
      </c>
      <c r="BA190">
        <f>IF(BA$4=0,0,IF(COUNTIFS(実績!$W$6:$W$505,BA$3,実績!$AC$6:$AC$505,"&lt;="&amp;$A190,実績!$AD$6:$AD$505,"&gt;"&amp;$A190,実績!$AE$6:$AE$505,"○")&gt;0,1,0))</f>
        <v/>
      </c>
      <c r="BB190">
        <f>IF(BB$4=0,0,IF(COUNTIFS(実績!$W$6:$W$505,BB$3,実績!$AC$6:$AC$505,"&lt;="&amp;$A190,実績!$AD$6:$AD$505,"&gt;"&amp;$A190,実績!$AE$6:$AE$505,"○")&gt;0,1,0))</f>
        <v/>
      </c>
      <c r="BC190">
        <f>IF(BC$4=0,0,IF(COUNTIFS(実績!$W$6:$W$505,BC$3,実績!$AC$6:$AC$505,"&lt;="&amp;$A190,実績!$AD$6:$AD$505,"&gt;"&amp;$A190,実績!$AE$6:$AE$505,"○")&gt;0,1,0))</f>
        <v/>
      </c>
      <c r="BD190">
        <f>IF(BD$4=0,0,IF(COUNTIFS(実績!$W$6:$W$505,BD$3,実績!$AC$6:$AC$505,"&lt;="&amp;$A190,実績!$AD$6:$AD$505,"&gt;"&amp;$A190,実績!$AE$6:$AE$505,"○")&gt;0,1,0))</f>
        <v/>
      </c>
      <c r="BE190">
        <f>IF(BE$4=0,0,IF(COUNTIFS(実績!$W$6:$W$505,BE$3,実績!$AC$6:$AC$505,"&lt;="&amp;$A190,実績!$AD$6:$AD$505,"&gt;"&amp;$A190,実績!$AE$6:$AE$505,"○")&gt;0,1,0))</f>
        <v/>
      </c>
      <c r="BF190">
        <f>IF(BF$4=0,0,IF(COUNTIFS(実績!$W$6:$W$505,BF$3,実績!$AC$6:$AC$505,"&lt;="&amp;$A190,実績!$AD$6:$AD$505,"&gt;"&amp;$A190,実績!$AE$6:$AE$505,"○")&gt;0,1,0))</f>
        <v/>
      </c>
      <c r="BG190">
        <f>IF(BG$4=0,0,IF(COUNTIFS(実績!$W$6:$W$505,BG$3,実績!$AC$6:$AC$505,"&lt;="&amp;$A190,実績!$AD$6:$AD$505,"&gt;"&amp;$A190,実績!$AE$6:$AE$505,"○")&gt;0,1,0))</f>
        <v/>
      </c>
      <c r="BH190">
        <f>IF(BH$4=0,0,IF(COUNTIFS(実績!$W$6:$W$505,BH$3,実績!$AC$6:$AC$505,"&lt;="&amp;$A190,実績!$AD$6:$AD$505,"&gt;"&amp;$A190,実績!$AE$6:$AE$505,"○")&gt;0,1,0))</f>
        <v/>
      </c>
      <c r="BI190">
        <f>IF(BI$4=0,0,IF(COUNTIFS(実績!$W$6:$W$505,BI$3,実績!$AC$6:$AC$505,"&lt;="&amp;$A190,実績!$AD$6:$AD$505,"&gt;"&amp;$A190,実績!$AE$6:$AE$505,"○")&gt;0,1,0))</f>
        <v/>
      </c>
      <c r="BJ190">
        <f>IF(BJ$4=0,0,IF(COUNTIFS(実績!$W$6:$W$505,BJ$3,実績!$AC$6:$AC$505,"&lt;="&amp;$A190,実績!$AD$6:$AD$505,"&gt;"&amp;$A190,実績!$AE$6:$AE$505,"○")&gt;0,1,0))</f>
        <v/>
      </c>
      <c r="BK190">
        <f>IF(BK$4=0,0,IF(COUNTIFS(実績!$W$6:$W$505,BK$3,実績!$AC$6:$AC$505,"&lt;="&amp;$A190,実績!$AD$6:$AD$505,"&gt;"&amp;$A190,実績!$AE$6:$AE$505,"○")&gt;0,1,0))</f>
        <v/>
      </c>
      <c r="BL190">
        <f>IF(BL$4=0,0,IF(COUNTIFS(実績!$W$6:$W$505,BL$3,実績!$AC$6:$AC$505,"&lt;="&amp;$A190,実績!$AD$6:$AD$505,"&gt;"&amp;$A190,実績!$AE$6:$AE$505,"○")&gt;0,1,0))</f>
        <v/>
      </c>
      <c r="BM190">
        <f>IF(BM$4=0,0,IF(COUNTIFS(実績!$W$6:$W$505,BM$3,実績!$AC$6:$AC$505,"&lt;="&amp;$A190,実績!$AD$6:$AD$505,"&gt;"&amp;$A190,実績!$AE$6:$AE$505,"○")&gt;0,1,0))</f>
        <v/>
      </c>
      <c r="BN190">
        <f>IF(BN$4=0,0,IF(COUNTIFS(実績!$W$6:$W$505,BN$3,実績!$AC$6:$AC$505,"&lt;="&amp;$A190,実績!$AD$6:$AD$505,"&gt;"&amp;$A190,実績!$AE$6:$AE$505,"○")&gt;0,1,0))</f>
        <v/>
      </c>
      <c r="BO190">
        <f>IF(BO$4=0,0,IF(COUNTIFS(実績!$W$6:$W$505,BO$3,実績!$AC$6:$AC$505,"&lt;="&amp;$A190,実績!$AD$6:$AD$505,"&gt;"&amp;$A190,実績!$AE$6:$AE$505,"○")&gt;0,1,0))</f>
        <v/>
      </c>
      <c r="BP190">
        <f>IF(BP$4=0,0,IF(COUNTIFS(実績!$W$6:$W$505,BP$3,実績!$AC$6:$AC$505,"&lt;="&amp;$A190,実績!$AD$6:$AD$505,"&gt;"&amp;$A190,実績!$AE$6:$AE$505,"○")&gt;0,1,0))</f>
        <v/>
      </c>
      <c r="BQ190">
        <f>IF(BQ$4=0,0,IF(COUNTIFS(実績!$W$6:$W$505,BQ$3,実績!$AC$6:$AC$505,"&lt;="&amp;$A190,実績!$AD$6:$AD$505,"&gt;"&amp;$A190,実績!$AE$6:$AE$505,"○")&gt;0,1,0))</f>
        <v/>
      </c>
      <c r="BR190">
        <f>IF(BR$4=0,0,IF(COUNTIFS(実績!$W$6:$W$505,BR$3,実績!$AC$6:$AC$505,"&lt;="&amp;$A190,実績!$AD$6:$AD$505,"&gt;"&amp;$A190,実績!$AE$6:$AE$505,"○")&gt;0,1,0))</f>
        <v/>
      </c>
      <c r="BS190">
        <f>IF(BS$4=0,0,IF(COUNTIFS(実績!$W$6:$W$505,BS$3,実績!$AC$6:$AC$505,"&lt;="&amp;$A190,実績!$AD$6:$AD$505,"&gt;"&amp;$A190,実績!$AE$6:$AE$505,"○")&gt;0,1,0))</f>
        <v/>
      </c>
      <c r="BT190">
        <f>IF(BT$4=0,0,IF(COUNTIFS(実績!$W$6:$W$505,BT$3,実績!$AC$6:$AC$505,"&lt;="&amp;$A190,実績!$AD$6:$AD$505,"&gt;"&amp;$A190,実績!$AE$6:$AE$505,"○")&gt;0,1,0))</f>
        <v/>
      </c>
      <c r="BU190">
        <f>IF(BU$4=0,0,IF(COUNTIFS(実績!$W$6:$W$505,BU$3,実績!$AC$6:$AC$505,"&lt;="&amp;$A190,実績!$AD$6:$AD$505,"&gt;"&amp;$A190,実績!$AE$6:$AE$505,"○")&gt;0,1,0))</f>
        <v/>
      </c>
      <c r="BV190">
        <f>IF(BV$4=0,0,IF(COUNTIFS(実績!$W$6:$W$505,BV$3,実績!$AC$6:$AC$505,"&lt;="&amp;$A190,実績!$AD$6:$AD$505,"&gt;"&amp;$A190,実績!$AE$6:$AE$505,"○")&gt;0,1,0))</f>
        <v/>
      </c>
      <c r="BW190">
        <f>IF(BW$4=0,0,IF(COUNTIFS(実績!$W$6:$W$505,BW$3,実績!$AC$6:$AC$505,"&lt;="&amp;$A190,実績!$AD$6:$AD$505,"&gt;"&amp;$A190,実績!$AE$6:$AE$505,"○")&gt;0,1,0))</f>
        <v/>
      </c>
      <c r="BX190">
        <f>IF(BX$4=0,0,IF(COUNTIFS(実績!$W$6:$W$505,BX$3,実績!$AC$6:$AC$505,"&lt;="&amp;$A190,実績!$AD$6:$AD$505,"&gt;"&amp;$A190,実績!$AE$6:$AE$505,"○")&gt;0,1,0))</f>
        <v/>
      </c>
      <c r="BY190">
        <f>IF(BY$4=0,0,IF(COUNTIFS(実績!$W$6:$W$505,BY$3,実績!$AC$6:$AC$505,"&lt;="&amp;$A190,実績!$AD$6:$AD$505,"&gt;"&amp;$A190,実績!$AE$6:$AE$505,"○")&gt;0,1,0))</f>
        <v/>
      </c>
      <c r="BZ190">
        <f>IF(BZ$4=0,0,IF(COUNTIFS(実績!$W$6:$W$505,BZ$3,実績!$AC$6:$AC$505,"&lt;="&amp;$A190,実績!$AD$6:$AD$505,"&gt;"&amp;$A190,実績!$AE$6:$AE$505,"○")&gt;0,1,0))</f>
        <v/>
      </c>
      <c r="CA190">
        <f>IF(CA$4=0,0,IF(COUNTIFS(実績!$W$6:$W$505,CA$3,実績!$AC$6:$AC$505,"&lt;="&amp;$A190,実績!$AD$6:$AD$505,"&gt;"&amp;$A190,実績!$AE$6:$AE$505,"○")&gt;0,1,0))</f>
        <v/>
      </c>
      <c r="CB190">
        <f>IF(CB$4=0,0,IF(COUNTIFS(実績!$W$6:$W$505,CB$3,実績!$AC$6:$AC$505,"&lt;="&amp;$A190,実績!$AD$6:$AD$505,"&gt;"&amp;$A190,実績!$AE$6:$AE$505,"○")&gt;0,1,0))</f>
        <v/>
      </c>
      <c r="CC190">
        <f>IF(CC$4=0,0,IF(COUNTIFS(実績!$W$6:$W$505,CC$3,実績!$AC$6:$AC$505,"&lt;="&amp;$A190,実績!$AD$6:$AD$505,"&gt;"&amp;$A190,実績!$AE$6:$AE$505,"○")&gt;0,1,0))</f>
        <v/>
      </c>
      <c r="CD190">
        <f>IF(CD$4=0,0,IF(COUNTIFS(実績!$W$6:$W$505,CD$3,実績!$AC$6:$AC$505,"&lt;="&amp;$A190,実績!$AD$6:$AD$505,"&gt;"&amp;$A190,実績!$AE$6:$AE$505,"○")&gt;0,1,0))</f>
        <v/>
      </c>
      <c r="CE190">
        <f>IF(CE$4=0,0,IF(COUNTIFS(実績!$W$6:$W$505,CE$3,実績!$AC$6:$AC$505,"&lt;="&amp;$A190,実績!$AD$6:$AD$505,"&gt;"&amp;$A190,実績!$AE$6:$AE$505,"○")&gt;0,1,0))</f>
        <v/>
      </c>
      <c r="CF190">
        <f>IF(CF$4=0,0,IF(COUNTIFS(実績!$W$6:$W$505,CF$3,実績!$AC$6:$AC$505,"&lt;="&amp;$A190,実績!$AD$6:$AD$505,"&gt;"&amp;$A190,実績!$AE$6:$AE$505,"○")&gt;0,1,0))</f>
        <v/>
      </c>
      <c r="CG190">
        <f>IF(CG$4=0,0,IF(COUNTIFS(実績!$W$6:$W$505,CG$3,実績!$AC$6:$AC$505,"&lt;="&amp;$A190,実績!$AD$6:$AD$505,"&gt;"&amp;$A190,実績!$AE$6:$AE$505,"○")&gt;0,1,0))</f>
        <v/>
      </c>
      <c r="CH190">
        <f>IF(CH$4=0,0,IF(COUNTIFS(実績!$W$6:$W$505,CH$3,実績!$AC$6:$AC$505,"&lt;="&amp;$A190,実績!$AD$6:$AD$505,"&gt;"&amp;$A190,実績!$AE$6:$AE$505,"○")&gt;0,1,0))</f>
        <v/>
      </c>
      <c r="CI190">
        <f>IF(CI$4=0,0,IF(COUNTIFS(実績!$W$6:$W$505,CI$3,実績!$AC$6:$AC$505,"&lt;="&amp;$A190,実績!$AD$6:$AD$505,"&gt;"&amp;$A190,実績!$AE$6:$AE$505,"○")&gt;0,1,0))</f>
        <v/>
      </c>
      <c r="CJ190">
        <f>IF(CJ$4=0,0,IF(COUNTIFS(実績!$W$6:$W$505,CJ$3,実績!$AC$6:$AC$505,"&lt;="&amp;$A190,実績!$AD$6:$AD$505,"&gt;"&amp;$A190,実績!$AE$6:$AE$505,"○")&gt;0,1,0))</f>
        <v/>
      </c>
      <c r="CK190">
        <f>IF(CK$4=0,0,IF(COUNTIFS(実績!$W$6:$W$505,CK$3,実績!$AC$6:$AC$505,"&lt;="&amp;$A190,実績!$AD$6:$AD$505,"&gt;"&amp;$A190,実績!$AE$6:$AE$505,"○")&gt;0,1,0))</f>
        <v/>
      </c>
      <c r="CL190">
        <f>IF(CL$4=0,0,IF(COUNTIFS(実績!$W$6:$W$505,CL$3,実績!$AC$6:$AC$505,"&lt;="&amp;$A190,実績!$AD$6:$AD$505,"&gt;"&amp;$A190,実績!$AE$6:$AE$505,"○")&gt;0,1,0))</f>
        <v/>
      </c>
      <c r="CM190">
        <f>IF(CM$4=0,0,IF(COUNTIFS(実績!$W$6:$W$505,CM$3,実績!$AC$6:$AC$505,"&lt;="&amp;$A190,実績!$AD$6:$AD$505,"&gt;"&amp;$A190,実績!$AE$6:$AE$505,"○")&gt;0,1,0))</f>
        <v/>
      </c>
      <c r="CN190">
        <f>IF(CN$4=0,0,IF(COUNTIFS(実績!$W$6:$W$505,CN$3,実績!$AC$6:$AC$505,"&lt;="&amp;$A190,実績!$AD$6:$AD$505,"&gt;"&amp;$A190,実績!$AE$6:$AE$505,"○")&gt;0,1,0))</f>
        <v/>
      </c>
      <c r="CO190">
        <f>IF(CO$4=0,0,IF(COUNTIFS(実績!$W$6:$W$505,CO$3,実績!$AC$6:$AC$505,"&lt;="&amp;$A190,実績!$AD$6:$AD$505,"&gt;"&amp;$A190,実績!$AE$6:$AE$505,"○")&gt;0,1,0))</f>
        <v/>
      </c>
      <c r="CP190">
        <f>IF(CP$4=0,0,IF(COUNTIFS(実績!$W$6:$W$505,CP$3,実績!$AC$6:$AC$505,"&lt;="&amp;$A190,実績!$AD$6:$AD$505,"&gt;"&amp;$A190,実績!$AE$6:$AE$505,"○")&gt;0,1,0))</f>
        <v/>
      </c>
      <c r="CQ190">
        <f>IF(CQ$4=0,0,IF(COUNTIFS(実績!$W$6:$W$505,CQ$3,実績!$AC$6:$AC$505,"&lt;="&amp;$A190,実績!$AD$6:$AD$505,"&gt;"&amp;$A190,実績!$AE$6:$AE$505,"○")&gt;0,1,0))</f>
        <v/>
      </c>
      <c r="CR190">
        <f>IF(CR$4=0,0,IF(COUNTIFS(実績!$W$6:$W$505,CR$3,実績!$AC$6:$AC$505,"&lt;="&amp;$A190,実績!$AD$6:$AD$505,"&gt;"&amp;$A190,実績!$AE$6:$AE$505,"○")&gt;0,1,0))</f>
        <v/>
      </c>
      <c r="CS190">
        <f>IF(CS$4=0,0,IF(COUNTIFS(実績!$W$6:$W$505,CS$3,実績!$AC$6:$AC$505,"&lt;="&amp;$A190,実績!$AD$6:$AD$505,"&gt;"&amp;$A190,実績!$AE$6:$AE$505,"○")&gt;0,1,0))</f>
        <v/>
      </c>
      <c r="CT190">
        <f>IF(CT$4=0,0,IF(COUNTIFS(実績!$W$6:$W$505,CT$3,実績!$AC$6:$AC$505,"&lt;="&amp;$A190,実績!$AD$6:$AD$505,"&gt;"&amp;$A190,実績!$AE$6:$AE$505,"○")&gt;0,1,0))</f>
        <v/>
      </c>
      <c r="CU190">
        <f>IF(CU$4=0,0,IF(COUNTIFS(実績!$W$6:$W$505,CU$3,実績!$AC$6:$AC$505,"&lt;="&amp;$A190,実績!$AD$6:$AD$505,"&gt;"&amp;$A190,実績!$AE$6:$AE$505,"○")&gt;0,1,0))</f>
        <v/>
      </c>
      <c r="CV190">
        <f>IF(CV$4=0,0,IF(COUNTIFS(実績!$W$6:$W$505,CV$3,実績!$AC$6:$AC$505,"&lt;="&amp;$A190,実績!$AD$6:$AD$505,"&gt;"&amp;$A190,実績!$AE$6:$AE$505,"○")&gt;0,1,0))</f>
        <v/>
      </c>
      <c r="CW190">
        <f>IF(CW$4=0,0,IF(COUNTIFS(実績!$W$6:$W$505,CW$3,実績!$AC$6:$AC$505,"&lt;="&amp;$A190,実績!$AD$6:$AD$505,"&gt;"&amp;$A190,実績!$AE$6:$AE$505,"○")&gt;0,1,0))</f>
        <v/>
      </c>
      <c r="CX190">
        <f>IF(CX$4=0,0,IF(COUNTIFS(実績!$W$6:$W$505,CX$3,実績!$AC$6:$AC$505,"&lt;="&amp;$A190,実績!$AD$6:$AD$505,"&gt;"&amp;$A190,実績!$AE$6:$AE$505,"○")&gt;0,1,0))</f>
        <v/>
      </c>
      <c r="CY190">
        <f>IF(CY$4=0,0,IF(COUNTIFS(実績!$W$6:$W$505,CY$3,実績!$AC$6:$AC$505,"&lt;="&amp;$A190,実績!$AD$6:$AD$505,"&gt;"&amp;$A190,実績!$AE$6:$AE$505,"○")&gt;0,1,0))</f>
        <v/>
      </c>
      <c r="CZ190">
        <f>IF(CZ$4=0,0,IF(COUNTIFS(実績!$W$6:$W$505,CZ$3,実績!$AC$6:$AC$505,"&lt;="&amp;$A190,実績!$AD$6:$AD$505,"&gt;"&amp;$A190,実績!$AE$6:$AE$505,"○")&gt;0,1,0))</f>
        <v/>
      </c>
      <c r="DA190">
        <f>IF(DA$4=0,0,IF(COUNTIFS(実績!$W$6:$W$505,DA$3,実績!$AC$6:$AC$505,"&lt;="&amp;$A190,実績!$AD$6:$AD$505,"&gt;"&amp;$A190,実績!$AE$6:$AE$505,"○")&gt;0,1,0))</f>
        <v/>
      </c>
      <c r="DB190">
        <f>IF(DB$4=0,0,IF(COUNTIFS(実績!$W$6:$W$505,DB$3,実績!$AC$6:$AC$505,"&lt;="&amp;$A190,実績!$AD$6:$AD$505,"&gt;"&amp;$A190,実績!$AE$6:$AE$505,"○")&gt;0,1,0))</f>
        <v/>
      </c>
      <c r="DC190">
        <f>IF(DC$4=0,0,IF(COUNTIFS(実績!$W$6:$W$505,DC$3,実績!$AC$6:$AC$505,"&lt;="&amp;$A190,実績!$AD$6:$AD$505,"&gt;"&amp;$A190,実績!$AE$6:$AE$505,"○")&gt;0,1,0))</f>
        <v/>
      </c>
      <c r="DD190">
        <f>IF(DD$4=0,0,IF(COUNTIFS(実績!$W$6:$W$505,DD$3,実績!$AC$6:$AC$505,"&lt;="&amp;$A190,実績!$AD$6:$AD$505,"&gt;"&amp;$A190,実績!$AE$6:$AE$505,"○")&gt;0,1,0))</f>
        <v/>
      </c>
      <c r="DE190">
        <f>IF(DE$4=0,0,IF(COUNTIFS(実績!$W$6:$W$505,DE$3,実績!$AC$6:$AC$505,"&lt;="&amp;$A190,実績!$AD$6:$AD$505,"&gt;"&amp;$A190,実績!$AE$6:$AE$505,"○")&gt;0,1,0))</f>
        <v/>
      </c>
      <c r="DF190">
        <f>IF(DF$4=0,0,IF(COUNTIFS(実績!$W$6:$W$505,DF$3,実績!$AC$6:$AC$505,"&lt;="&amp;$A190,実績!$AD$6:$AD$505,"&gt;"&amp;$A190,実績!$AE$6:$AE$505,"○")&gt;0,1,0))</f>
        <v/>
      </c>
      <c r="DG190">
        <f>IF(DG$4=0,0,IF(COUNTIFS(実績!$W$6:$W$505,DG$3,実績!$AC$6:$AC$505,"&lt;="&amp;$A190,実績!$AD$6:$AD$505,"&gt;"&amp;$A190,実績!$AE$6:$AE$505,"○")&gt;0,1,0))</f>
        <v/>
      </c>
      <c r="DH190">
        <f>IF(DH$4=0,0,IF(COUNTIFS(実績!$W$6:$W$505,DH$3,実績!$AC$6:$AC$505,"&lt;="&amp;$A190,実績!$AD$6:$AD$505,"&gt;"&amp;$A190,実績!$AE$6:$AE$505,"○")&gt;0,1,0))</f>
        <v/>
      </c>
      <c r="DI190">
        <f>IF(DI$4=0,0,IF(COUNTIFS(実績!$W$6:$W$505,DI$3,実績!$AC$6:$AC$505,"&lt;="&amp;$A190,実績!$AD$6:$AD$505,"&gt;"&amp;$A190,実績!$AE$6:$AE$505,"○")&gt;0,1,0))</f>
        <v/>
      </c>
      <c r="DJ190">
        <f>IF(DJ$4=0,0,IF(COUNTIFS(実績!$W$6:$W$505,DJ$3,実績!$AC$6:$AC$505,"&lt;="&amp;$A190,実績!$AD$6:$AD$505,"&gt;"&amp;$A190,実績!$AE$6:$AE$505,"○")&gt;0,1,0))</f>
        <v/>
      </c>
      <c r="DK190">
        <f>IF(DK$4=0,0,IF(COUNTIFS(実績!$W$6:$W$505,DK$3,実績!$AC$6:$AC$505,"&lt;="&amp;$A190,実績!$AD$6:$AD$505,"&gt;"&amp;$A190,実績!$AE$6:$AE$505,"○")&gt;0,1,0))</f>
        <v/>
      </c>
      <c r="DL190">
        <f>IF(DL$4=0,0,IF(COUNTIFS(実績!$W$6:$W$505,DL$3,実績!$AC$6:$AC$505,"&lt;="&amp;$A190,実績!$AD$6:$AD$505,"&gt;"&amp;$A190,実績!$AE$6:$AE$505,"○")&gt;0,1,0))</f>
        <v/>
      </c>
      <c r="DM190">
        <f>IF(DM$4=0,0,IF(COUNTIFS(実績!$W$6:$W$505,DM$3,実績!$AC$6:$AC$505,"&lt;="&amp;$A190,実績!$AD$6:$AD$505,"&gt;"&amp;$A190,実績!$AE$6:$AE$505,"○")&gt;0,1,0))</f>
        <v/>
      </c>
      <c r="DN190">
        <f>IF(DN$4=0,0,IF(COUNTIFS(実績!$W$6:$W$505,DN$3,実績!$AC$6:$AC$505,"&lt;="&amp;$A190,実績!$AD$6:$AD$505,"&gt;"&amp;$A190,実績!$AE$6:$AE$505,"○")&gt;0,1,0))</f>
        <v/>
      </c>
      <c r="DO190">
        <f>IF(DO$4=0,0,IF(COUNTIFS(実績!$W$6:$W$505,DO$3,実績!$AC$6:$AC$505,"&lt;="&amp;$A190,実績!$AD$6:$AD$505,"&gt;"&amp;$A190,実績!$AE$6:$AE$505,"○")&gt;0,1,0))</f>
        <v/>
      </c>
      <c r="DP190">
        <f>IF(DP$4=0,0,IF(COUNTIFS(実績!$W$6:$W$505,DP$3,実績!$AC$6:$AC$505,"&lt;="&amp;$A190,実績!$AD$6:$AD$505,"&gt;"&amp;$A190,実績!$AE$6:$AE$505,"○")&gt;0,1,0))</f>
        <v/>
      </c>
      <c r="DQ190">
        <f>IF(DQ$4=0,0,IF(COUNTIFS(実績!$W$6:$W$505,DQ$3,実績!$AC$6:$AC$505,"&lt;="&amp;$A190,実績!$AD$6:$AD$505,"&gt;"&amp;$A190,実績!$AE$6:$AE$505,"○")&gt;0,1,0))</f>
        <v/>
      </c>
      <c r="DR190">
        <f>IF(DR$4=0,0,IF(COUNTIFS(実績!$W$6:$W$505,DR$3,実績!$AC$6:$AC$505,"&lt;="&amp;$A190,実績!$AD$6:$AD$505,"&gt;"&amp;$A190,実績!$AE$6:$AE$505,"○")&gt;0,1,0))</f>
        <v/>
      </c>
      <c r="DS190">
        <f>SUM(C190:DR190)</f>
        <v/>
      </c>
      <c r="DT190">
        <f>SUMPRODUCT((実績!$C$6:$C$505="○")*ISNUMBER(実績!$AF$6:$AF$505)*(実績!$AF$6:$AF$505&lt;=$A190)*(実績!$AG$6:$AG$505&gt;$A190))</f>
        <v/>
      </c>
      <c r="DU190">
        <f>SUMIF($C$2:$DR$2,"製鉄曳船",C190:DR190)</f>
        <v/>
      </c>
      <c r="DV190">
        <f>SUMIF($C$2:$DR$2,"西日本海運",C190:DR190)</f>
        <v/>
      </c>
    </row>
    <row r="191">
      <c r="A191" t="n">
        <v>925</v>
      </c>
      <c r="B191" s="29">
        <f>A191/1440</f>
        <v/>
      </c>
      <c r="C191">
        <f>IF(C$4=0,0,IF(COUNTIFS(実績!$W$6:$W$505,C$3,実績!$AC$6:$AC$505,"&lt;="&amp;$A191,実績!$AD$6:$AD$505,"&gt;"&amp;$A191,実績!$AE$6:$AE$505,"○")&gt;0,1,0))</f>
        <v/>
      </c>
      <c r="D191">
        <f>IF(D$4=0,0,IF(COUNTIFS(実績!$W$6:$W$505,D$3,実績!$AC$6:$AC$505,"&lt;="&amp;$A191,実績!$AD$6:$AD$505,"&gt;"&amp;$A191,実績!$AE$6:$AE$505,"○")&gt;0,1,0))</f>
        <v/>
      </c>
      <c r="E191">
        <f>IF(E$4=0,0,IF(COUNTIFS(実績!$W$6:$W$505,E$3,実績!$AC$6:$AC$505,"&lt;="&amp;$A191,実績!$AD$6:$AD$505,"&gt;"&amp;$A191,実績!$AE$6:$AE$505,"○")&gt;0,1,0))</f>
        <v/>
      </c>
      <c r="F191">
        <f>IF(F$4=0,0,IF(COUNTIFS(実績!$W$6:$W$505,F$3,実績!$AC$6:$AC$505,"&lt;="&amp;$A191,実績!$AD$6:$AD$505,"&gt;"&amp;$A191,実績!$AE$6:$AE$505,"○")&gt;0,1,0))</f>
        <v/>
      </c>
      <c r="G191">
        <f>IF(G$4=0,0,IF(COUNTIFS(実績!$W$6:$W$505,G$3,実績!$AC$6:$AC$505,"&lt;="&amp;$A191,実績!$AD$6:$AD$505,"&gt;"&amp;$A191,実績!$AE$6:$AE$505,"○")&gt;0,1,0))</f>
        <v/>
      </c>
      <c r="H191">
        <f>IF(H$4=0,0,IF(COUNTIFS(実績!$W$6:$W$505,H$3,実績!$AC$6:$AC$505,"&lt;="&amp;$A191,実績!$AD$6:$AD$505,"&gt;"&amp;$A191,実績!$AE$6:$AE$505,"○")&gt;0,1,0))</f>
        <v/>
      </c>
      <c r="I191">
        <f>IF(I$4=0,0,IF(COUNTIFS(実績!$W$6:$W$505,I$3,実績!$AC$6:$AC$505,"&lt;="&amp;$A191,実績!$AD$6:$AD$505,"&gt;"&amp;$A191,実績!$AE$6:$AE$505,"○")&gt;0,1,0))</f>
        <v/>
      </c>
      <c r="J191">
        <f>IF(J$4=0,0,IF(COUNTIFS(実績!$W$6:$W$505,J$3,実績!$AC$6:$AC$505,"&lt;="&amp;$A191,実績!$AD$6:$AD$505,"&gt;"&amp;$A191,実績!$AE$6:$AE$505,"○")&gt;0,1,0))</f>
        <v/>
      </c>
      <c r="K191">
        <f>IF(K$4=0,0,IF(COUNTIFS(実績!$W$6:$W$505,K$3,実績!$AC$6:$AC$505,"&lt;="&amp;$A191,実績!$AD$6:$AD$505,"&gt;"&amp;$A191,実績!$AE$6:$AE$505,"○")&gt;0,1,0))</f>
        <v/>
      </c>
      <c r="L191">
        <f>IF(L$4=0,0,IF(COUNTIFS(実績!$W$6:$W$505,L$3,実績!$AC$6:$AC$505,"&lt;="&amp;$A191,実績!$AD$6:$AD$505,"&gt;"&amp;$A191,実績!$AE$6:$AE$505,"○")&gt;0,1,0))</f>
        <v/>
      </c>
      <c r="M191">
        <f>IF(M$4=0,0,IF(COUNTIFS(実績!$W$6:$W$505,M$3,実績!$AC$6:$AC$505,"&lt;="&amp;$A191,実績!$AD$6:$AD$505,"&gt;"&amp;$A191,実績!$AE$6:$AE$505,"○")&gt;0,1,0))</f>
        <v/>
      </c>
      <c r="N191">
        <f>IF(N$4=0,0,IF(COUNTIFS(実績!$W$6:$W$505,N$3,実績!$AC$6:$AC$505,"&lt;="&amp;$A191,実績!$AD$6:$AD$505,"&gt;"&amp;$A191,実績!$AE$6:$AE$505,"○")&gt;0,1,0))</f>
        <v/>
      </c>
      <c r="O191">
        <f>IF(O$4=0,0,IF(COUNTIFS(実績!$W$6:$W$505,O$3,実績!$AC$6:$AC$505,"&lt;="&amp;$A191,実績!$AD$6:$AD$505,"&gt;"&amp;$A191,実績!$AE$6:$AE$505,"○")&gt;0,1,0))</f>
        <v/>
      </c>
      <c r="P191">
        <f>IF(P$4=0,0,IF(COUNTIFS(実績!$W$6:$W$505,P$3,実績!$AC$6:$AC$505,"&lt;="&amp;$A191,実績!$AD$6:$AD$505,"&gt;"&amp;$A191,実績!$AE$6:$AE$505,"○")&gt;0,1,0))</f>
        <v/>
      </c>
      <c r="Q191">
        <f>IF(Q$4=0,0,IF(COUNTIFS(実績!$W$6:$W$505,Q$3,実績!$AC$6:$AC$505,"&lt;="&amp;$A191,実績!$AD$6:$AD$505,"&gt;"&amp;$A191,実績!$AE$6:$AE$505,"○")&gt;0,1,0))</f>
        <v/>
      </c>
      <c r="R191">
        <f>IF(R$4=0,0,IF(COUNTIFS(実績!$W$6:$W$505,R$3,実績!$AC$6:$AC$505,"&lt;="&amp;$A191,実績!$AD$6:$AD$505,"&gt;"&amp;$A191,実績!$AE$6:$AE$505,"○")&gt;0,1,0))</f>
        <v/>
      </c>
      <c r="S191">
        <f>IF(S$4=0,0,IF(COUNTIFS(実績!$W$6:$W$505,S$3,実績!$AC$6:$AC$505,"&lt;="&amp;$A191,実績!$AD$6:$AD$505,"&gt;"&amp;$A191,実績!$AE$6:$AE$505,"○")&gt;0,1,0))</f>
        <v/>
      </c>
      <c r="T191">
        <f>IF(T$4=0,0,IF(COUNTIFS(実績!$W$6:$W$505,T$3,実績!$AC$6:$AC$505,"&lt;="&amp;$A191,実績!$AD$6:$AD$505,"&gt;"&amp;$A191,実績!$AE$6:$AE$505,"○")&gt;0,1,0))</f>
        <v/>
      </c>
      <c r="U191">
        <f>IF(U$4=0,0,IF(COUNTIFS(実績!$W$6:$W$505,U$3,実績!$AC$6:$AC$505,"&lt;="&amp;$A191,実績!$AD$6:$AD$505,"&gt;"&amp;$A191,実績!$AE$6:$AE$505,"○")&gt;0,1,0))</f>
        <v/>
      </c>
      <c r="V191">
        <f>IF(V$4=0,0,IF(COUNTIFS(実績!$W$6:$W$505,V$3,実績!$AC$6:$AC$505,"&lt;="&amp;$A191,実績!$AD$6:$AD$505,"&gt;"&amp;$A191,実績!$AE$6:$AE$505,"○")&gt;0,1,0))</f>
        <v/>
      </c>
      <c r="W191">
        <f>IF(W$4=0,0,IF(COUNTIFS(実績!$W$6:$W$505,W$3,実績!$AC$6:$AC$505,"&lt;="&amp;$A191,実績!$AD$6:$AD$505,"&gt;"&amp;$A191,実績!$AE$6:$AE$505,"○")&gt;0,1,0))</f>
        <v/>
      </c>
      <c r="X191">
        <f>IF(X$4=0,0,IF(COUNTIFS(実績!$W$6:$W$505,X$3,実績!$AC$6:$AC$505,"&lt;="&amp;$A191,実績!$AD$6:$AD$505,"&gt;"&amp;$A191,実績!$AE$6:$AE$505,"○")&gt;0,1,0))</f>
        <v/>
      </c>
      <c r="Y191">
        <f>IF(Y$4=0,0,IF(COUNTIFS(実績!$W$6:$W$505,Y$3,実績!$AC$6:$AC$505,"&lt;="&amp;$A191,実績!$AD$6:$AD$505,"&gt;"&amp;$A191,実績!$AE$6:$AE$505,"○")&gt;0,1,0))</f>
        <v/>
      </c>
      <c r="Z191">
        <f>IF(Z$4=0,0,IF(COUNTIFS(実績!$W$6:$W$505,Z$3,実績!$AC$6:$AC$505,"&lt;="&amp;$A191,実績!$AD$6:$AD$505,"&gt;"&amp;$A191,実績!$AE$6:$AE$505,"○")&gt;0,1,0))</f>
        <v/>
      </c>
      <c r="AA191">
        <f>IF(AA$4=0,0,IF(COUNTIFS(実績!$W$6:$W$505,AA$3,実績!$AC$6:$AC$505,"&lt;="&amp;$A191,実績!$AD$6:$AD$505,"&gt;"&amp;$A191,実績!$AE$6:$AE$505,"○")&gt;0,1,0))</f>
        <v/>
      </c>
      <c r="AB191">
        <f>IF(AB$4=0,0,IF(COUNTIFS(実績!$W$6:$W$505,AB$3,実績!$AC$6:$AC$505,"&lt;="&amp;$A191,実績!$AD$6:$AD$505,"&gt;"&amp;$A191,実績!$AE$6:$AE$505,"○")&gt;0,1,0))</f>
        <v/>
      </c>
      <c r="AC191">
        <f>IF(AC$4=0,0,IF(COUNTIFS(実績!$W$6:$W$505,AC$3,実績!$AC$6:$AC$505,"&lt;="&amp;$A191,実績!$AD$6:$AD$505,"&gt;"&amp;$A191,実績!$AE$6:$AE$505,"○")&gt;0,1,0))</f>
        <v/>
      </c>
      <c r="AD191">
        <f>IF(AD$4=0,0,IF(COUNTIFS(実績!$W$6:$W$505,AD$3,実績!$AC$6:$AC$505,"&lt;="&amp;$A191,実績!$AD$6:$AD$505,"&gt;"&amp;$A191,実績!$AE$6:$AE$505,"○")&gt;0,1,0))</f>
        <v/>
      </c>
      <c r="AE191">
        <f>IF(AE$4=0,0,IF(COUNTIFS(実績!$W$6:$W$505,AE$3,実績!$AC$6:$AC$505,"&lt;="&amp;$A191,実績!$AD$6:$AD$505,"&gt;"&amp;$A191,実績!$AE$6:$AE$505,"○")&gt;0,1,0))</f>
        <v/>
      </c>
      <c r="AF191">
        <f>IF(AF$4=0,0,IF(COUNTIFS(実績!$W$6:$W$505,AF$3,実績!$AC$6:$AC$505,"&lt;="&amp;$A191,実績!$AD$6:$AD$505,"&gt;"&amp;$A191,実績!$AE$6:$AE$505,"○")&gt;0,1,0))</f>
        <v/>
      </c>
      <c r="AG191">
        <f>IF(AG$4=0,0,IF(COUNTIFS(実績!$W$6:$W$505,AG$3,実績!$AC$6:$AC$505,"&lt;="&amp;$A191,実績!$AD$6:$AD$505,"&gt;"&amp;$A191,実績!$AE$6:$AE$505,"○")&gt;0,1,0))</f>
        <v/>
      </c>
      <c r="AH191">
        <f>IF(AH$4=0,0,IF(COUNTIFS(実績!$W$6:$W$505,AH$3,実績!$AC$6:$AC$505,"&lt;="&amp;$A191,実績!$AD$6:$AD$505,"&gt;"&amp;$A191,実績!$AE$6:$AE$505,"○")&gt;0,1,0))</f>
        <v/>
      </c>
      <c r="AI191">
        <f>IF(AI$4=0,0,IF(COUNTIFS(実績!$W$6:$W$505,AI$3,実績!$AC$6:$AC$505,"&lt;="&amp;$A191,実績!$AD$6:$AD$505,"&gt;"&amp;$A191,実績!$AE$6:$AE$505,"○")&gt;0,1,0))</f>
        <v/>
      </c>
      <c r="AJ191">
        <f>IF(AJ$4=0,0,IF(COUNTIFS(実績!$W$6:$W$505,AJ$3,実績!$AC$6:$AC$505,"&lt;="&amp;$A191,実績!$AD$6:$AD$505,"&gt;"&amp;$A191,実績!$AE$6:$AE$505,"○")&gt;0,1,0))</f>
        <v/>
      </c>
      <c r="AK191">
        <f>IF(AK$4=0,0,IF(COUNTIFS(実績!$W$6:$W$505,AK$3,実績!$AC$6:$AC$505,"&lt;="&amp;$A191,実績!$AD$6:$AD$505,"&gt;"&amp;$A191,実績!$AE$6:$AE$505,"○")&gt;0,1,0))</f>
        <v/>
      </c>
      <c r="AL191">
        <f>IF(AL$4=0,0,IF(COUNTIFS(実績!$W$6:$W$505,AL$3,実績!$AC$6:$AC$505,"&lt;="&amp;$A191,実績!$AD$6:$AD$505,"&gt;"&amp;$A191,実績!$AE$6:$AE$505,"○")&gt;0,1,0))</f>
        <v/>
      </c>
      <c r="AM191">
        <f>IF(AM$4=0,0,IF(COUNTIFS(実績!$W$6:$W$505,AM$3,実績!$AC$6:$AC$505,"&lt;="&amp;$A191,実績!$AD$6:$AD$505,"&gt;"&amp;$A191,実績!$AE$6:$AE$505,"○")&gt;0,1,0))</f>
        <v/>
      </c>
      <c r="AN191">
        <f>IF(AN$4=0,0,IF(COUNTIFS(実績!$W$6:$W$505,AN$3,実績!$AC$6:$AC$505,"&lt;="&amp;$A191,実績!$AD$6:$AD$505,"&gt;"&amp;$A191,実績!$AE$6:$AE$505,"○")&gt;0,1,0))</f>
        <v/>
      </c>
      <c r="AO191">
        <f>IF(AO$4=0,0,IF(COUNTIFS(実績!$W$6:$W$505,AO$3,実績!$AC$6:$AC$505,"&lt;="&amp;$A191,実績!$AD$6:$AD$505,"&gt;"&amp;$A191,実績!$AE$6:$AE$505,"○")&gt;0,1,0))</f>
        <v/>
      </c>
      <c r="AP191">
        <f>IF(AP$4=0,0,IF(COUNTIFS(実績!$W$6:$W$505,AP$3,実績!$AC$6:$AC$505,"&lt;="&amp;$A191,実績!$AD$6:$AD$505,"&gt;"&amp;$A191,実績!$AE$6:$AE$505,"○")&gt;0,1,0))</f>
        <v/>
      </c>
      <c r="AQ191">
        <f>IF(AQ$4=0,0,IF(COUNTIFS(実績!$W$6:$W$505,AQ$3,実績!$AC$6:$AC$505,"&lt;="&amp;$A191,実績!$AD$6:$AD$505,"&gt;"&amp;$A191,実績!$AE$6:$AE$505,"○")&gt;0,1,0))</f>
        <v/>
      </c>
      <c r="AR191">
        <f>IF(AR$4=0,0,IF(COUNTIFS(実績!$W$6:$W$505,AR$3,実績!$AC$6:$AC$505,"&lt;="&amp;$A191,実績!$AD$6:$AD$505,"&gt;"&amp;$A191,実績!$AE$6:$AE$505,"○")&gt;0,1,0))</f>
        <v/>
      </c>
      <c r="AS191">
        <f>IF(AS$4=0,0,IF(COUNTIFS(実績!$W$6:$W$505,AS$3,実績!$AC$6:$AC$505,"&lt;="&amp;$A191,実績!$AD$6:$AD$505,"&gt;"&amp;$A191,実績!$AE$6:$AE$505,"○")&gt;0,1,0))</f>
        <v/>
      </c>
      <c r="AT191">
        <f>IF(AT$4=0,0,IF(COUNTIFS(実績!$W$6:$W$505,AT$3,実績!$AC$6:$AC$505,"&lt;="&amp;$A191,実績!$AD$6:$AD$505,"&gt;"&amp;$A191,実績!$AE$6:$AE$505,"○")&gt;0,1,0))</f>
        <v/>
      </c>
      <c r="AU191">
        <f>IF(AU$4=0,0,IF(COUNTIFS(実績!$W$6:$W$505,AU$3,実績!$AC$6:$AC$505,"&lt;="&amp;$A191,実績!$AD$6:$AD$505,"&gt;"&amp;$A191,実績!$AE$6:$AE$505,"○")&gt;0,1,0))</f>
        <v/>
      </c>
      <c r="AV191">
        <f>IF(AV$4=0,0,IF(COUNTIFS(実績!$W$6:$W$505,AV$3,実績!$AC$6:$AC$505,"&lt;="&amp;$A191,実績!$AD$6:$AD$505,"&gt;"&amp;$A191,実績!$AE$6:$AE$505,"○")&gt;0,1,0))</f>
        <v/>
      </c>
      <c r="AW191">
        <f>IF(AW$4=0,0,IF(COUNTIFS(実績!$W$6:$W$505,AW$3,実績!$AC$6:$AC$505,"&lt;="&amp;$A191,実績!$AD$6:$AD$505,"&gt;"&amp;$A191,実績!$AE$6:$AE$505,"○")&gt;0,1,0))</f>
        <v/>
      </c>
      <c r="AX191">
        <f>IF(AX$4=0,0,IF(COUNTIFS(実績!$W$6:$W$505,AX$3,実績!$AC$6:$AC$505,"&lt;="&amp;$A191,実績!$AD$6:$AD$505,"&gt;"&amp;$A191,実績!$AE$6:$AE$505,"○")&gt;0,1,0))</f>
        <v/>
      </c>
      <c r="AY191">
        <f>IF(AY$4=0,0,IF(COUNTIFS(実績!$W$6:$W$505,AY$3,実績!$AC$6:$AC$505,"&lt;="&amp;$A191,実績!$AD$6:$AD$505,"&gt;"&amp;$A191,実績!$AE$6:$AE$505,"○")&gt;0,1,0))</f>
        <v/>
      </c>
      <c r="AZ191">
        <f>IF(AZ$4=0,0,IF(COUNTIFS(実績!$W$6:$W$505,AZ$3,実績!$AC$6:$AC$505,"&lt;="&amp;$A191,実績!$AD$6:$AD$505,"&gt;"&amp;$A191,実績!$AE$6:$AE$505,"○")&gt;0,1,0))</f>
        <v/>
      </c>
      <c r="BA191">
        <f>IF(BA$4=0,0,IF(COUNTIFS(実績!$W$6:$W$505,BA$3,実績!$AC$6:$AC$505,"&lt;="&amp;$A191,実績!$AD$6:$AD$505,"&gt;"&amp;$A191,実績!$AE$6:$AE$505,"○")&gt;0,1,0))</f>
        <v/>
      </c>
      <c r="BB191">
        <f>IF(BB$4=0,0,IF(COUNTIFS(実績!$W$6:$W$505,BB$3,実績!$AC$6:$AC$505,"&lt;="&amp;$A191,実績!$AD$6:$AD$505,"&gt;"&amp;$A191,実績!$AE$6:$AE$505,"○")&gt;0,1,0))</f>
        <v/>
      </c>
      <c r="BC191">
        <f>IF(BC$4=0,0,IF(COUNTIFS(実績!$W$6:$W$505,BC$3,実績!$AC$6:$AC$505,"&lt;="&amp;$A191,実績!$AD$6:$AD$505,"&gt;"&amp;$A191,実績!$AE$6:$AE$505,"○")&gt;0,1,0))</f>
        <v/>
      </c>
      <c r="BD191">
        <f>IF(BD$4=0,0,IF(COUNTIFS(実績!$W$6:$W$505,BD$3,実績!$AC$6:$AC$505,"&lt;="&amp;$A191,実績!$AD$6:$AD$505,"&gt;"&amp;$A191,実績!$AE$6:$AE$505,"○")&gt;0,1,0))</f>
        <v/>
      </c>
      <c r="BE191">
        <f>IF(BE$4=0,0,IF(COUNTIFS(実績!$W$6:$W$505,BE$3,実績!$AC$6:$AC$505,"&lt;="&amp;$A191,実績!$AD$6:$AD$505,"&gt;"&amp;$A191,実績!$AE$6:$AE$505,"○")&gt;0,1,0))</f>
        <v/>
      </c>
      <c r="BF191">
        <f>IF(BF$4=0,0,IF(COUNTIFS(実績!$W$6:$W$505,BF$3,実績!$AC$6:$AC$505,"&lt;="&amp;$A191,実績!$AD$6:$AD$505,"&gt;"&amp;$A191,実績!$AE$6:$AE$505,"○")&gt;0,1,0))</f>
        <v/>
      </c>
      <c r="BG191">
        <f>IF(BG$4=0,0,IF(COUNTIFS(実績!$W$6:$W$505,BG$3,実績!$AC$6:$AC$505,"&lt;="&amp;$A191,実績!$AD$6:$AD$505,"&gt;"&amp;$A191,実績!$AE$6:$AE$505,"○")&gt;0,1,0))</f>
        <v/>
      </c>
      <c r="BH191">
        <f>IF(BH$4=0,0,IF(COUNTIFS(実績!$W$6:$W$505,BH$3,実績!$AC$6:$AC$505,"&lt;="&amp;$A191,実績!$AD$6:$AD$505,"&gt;"&amp;$A191,実績!$AE$6:$AE$505,"○")&gt;0,1,0))</f>
        <v/>
      </c>
      <c r="BI191">
        <f>IF(BI$4=0,0,IF(COUNTIFS(実績!$W$6:$W$505,BI$3,実績!$AC$6:$AC$505,"&lt;="&amp;$A191,実績!$AD$6:$AD$505,"&gt;"&amp;$A191,実績!$AE$6:$AE$505,"○")&gt;0,1,0))</f>
        <v/>
      </c>
      <c r="BJ191">
        <f>IF(BJ$4=0,0,IF(COUNTIFS(実績!$W$6:$W$505,BJ$3,実績!$AC$6:$AC$505,"&lt;="&amp;$A191,実績!$AD$6:$AD$505,"&gt;"&amp;$A191,実績!$AE$6:$AE$505,"○")&gt;0,1,0))</f>
        <v/>
      </c>
      <c r="BK191">
        <f>IF(BK$4=0,0,IF(COUNTIFS(実績!$W$6:$W$505,BK$3,実績!$AC$6:$AC$505,"&lt;="&amp;$A191,実績!$AD$6:$AD$505,"&gt;"&amp;$A191,実績!$AE$6:$AE$505,"○")&gt;0,1,0))</f>
        <v/>
      </c>
      <c r="BL191">
        <f>IF(BL$4=0,0,IF(COUNTIFS(実績!$W$6:$W$505,BL$3,実績!$AC$6:$AC$505,"&lt;="&amp;$A191,実績!$AD$6:$AD$505,"&gt;"&amp;$A191,実績!$AE$6:$AE$505,"○")&gt;0,1,0))</f>
        <v/>
      </c>
      <c r="BM191">
        <f>IF(BM$4=0,0,IF(COUNTIFS(実績!$W$6:$W$505,BM$3,実績!$AC$6:$AC$505,"&lt;="&amp;$A191,実績!$AD$6:$AD$505,"&gt;"&amp;$A191,実績!$AE$6:$AE$505,"○")&gt;0,1,0))</f>
        <v/>
      </c>
      <c r="BN191">
        <f>IF(BN$4=0,0,IF(COUNTIFS(実績!$W$6:$W$505,BN$3,実績!$AC$6:$AC$505,"&lt;="&amp;$A191,実績!$AD$6:$AD$505,"&gt;"&amp;$A191,実績!$AE$6:$AE$505,"○")&gt;0,1,0))</f>
        <v/>
      </c>
      <c r="BO191">
        <f>IF(BO$4=0,0,IF(COUNTIFS(実績!$W$6:$W$505,BO$3,実績!$AC$6:$AC$505,"&lt;="&amp;$A191,実績!$AD$6:$AD$505,"&gt;"&amp;$A191,実績!$AE$6:$AE$505,"○")&gt;0,1,0))</f>
        <v/>
      </c>
      <c r="BP191">
        <f>IF(BP$4=0,0,IF(COUNTIFS(実績!$W$6:$W$505,BP$3,実績!$AC$6:$AC$505,"&lt;="&amp;$A191,実績!$AD$6:$AD$505,"&gt;"&amp;$A191,実績!$AE$6:$AE$505,"○")&gt;0,1,0))</f>
        <v/>
      </c>
      <c r="BQ191">
        <f>IF(BQ$4=0,0,IF(COUNTIFS(実績!$W$6:$W$505,BQ$3,実績!$AC$6:$AC$505,"&lt;="&amp;$A191,実績!$AD$6:$AD$505,"&gt;"&amp;$A191,実績!$AE$6:$AE$505,"○")&gt;0,1,0))</f>
        <v/>
      </c>
      <c r="BR191">
        <f>IF(BR$4=0,0,IF(COUNTIFS(実績!$W$6:$W$505,BR$3,実績!$AC$6:$AC$505,"&lt;="&amp;$A191,実績!$AD$6:$AD$505,"&gt;"&amp;$A191,実績!$AE$6:$AE$505,"○")&gt;0,1,0))</f>
        <v/>
      </c>
      <c r="BS191">
        <f>IF(BS$4=0,0,IF(COUNTIFS(実績!$W$6:$W$505,BS$3,実績!$AC$6:$AC$505,"&lt;="&amp;$A191,実績!$AD$6:$AD$505,"&gt;"&amp;$A191,実績!$AE$6:$AE$505,"○")&gt;0,1,0))</f>
        <v/>
      </c>
      <c r="BT191">
        <f>IF(BT$4=0,0,IF(COUNTIFS(実績!$W$6:$W$505,BT$3,実績!$AC$6:$AC$505,"&lt;="&amp;$A191,実績!$AD$6:$AD$505,"&gt;"&amp;$A191,実績!$AE$6:$AE$505,"○")&gt;0,1,0))</f>
        <v/>
      </c>
      <c r="BU191">
        <f>IF(BU$4=0,0,IF(COUNTIFS(実績!$W$6:$W$505,BU$3,実績!$AC$6:$AC$505,"&lt;="&amp;$A191,実績!$AD$6:$AD$505,"&gt;"&amp;$A191,実績!$AE$6:$AE$505,"○")&gt;0,1,0))</f>
        <v/>
      </c>
      <c r="BV191">
        <f>IF(BV$4=0,0,IF(COUNTIFS(実績!$W$6:$W$505,BV$3,実績!$AC$6:$AC$505,"&lt;="&amp;$A191,実績!$AD$6:$AD$505,"&gt;"&amp;$A191,実績!$AE$6:$AE$505,"○")&gt;0,1,0))</f>
        <v/>
      </c>
      <c r="BW191">
        <f>IF(BW$4=0,0,IF(COUNTIFS(実績!$W$6:$W$505,BW$3,実績!$AC$6:$AC$505,"&lt;="&amp;$A191,実績!$AD$6:$AD$505,"&gt;"&amp;$A191,実績!$AE$6:$AE$505,"○")&gt;0,1,0))</f>
        <v/>
      </c>
      <c r="BX191">
        <f>IF(BX$4=0,0,IF(COUNTIFS(実績!$W$6:$W$505,BX$3,実績!$AC$6:$AC$505,"&lt;="&amp;$A191,実績!$AD$6:$AD$505,"&gt;"&amp;$A191,実績!$AE$6:$AE$505,"○")&gt;0,1,0))</f>
        <v/>
      </c>
      <c r="BY191">
        <f>IF(BY$4=0,0,IF(COUNTIFS(実績!$W$6:$W$505,BY$3,実績!$AC$6:$AC$505,"&lt;="&amp;$A191,実績!$AD$6:$AD$505,"&gt;"&amp;$A191,実績!$AE$6:$AE$505,"○")&gt;0,1,0))</f>
        <v/>
      </c>
      <c r="BZ191">
        <f>IF(BZ$4=0,0,IF(COUNTIFS(実績!$W$6:$W$505,BZ$3,実績!$AC$6:$AC$505,"&lt;="&amp;$A191,実績!$AD$6:$AD$505,"&gt;"&amp;$A191,実績!$AE$6:$AE$505,"○")&gt;0,1,0))</f>
        <v/>
      </c>
      <c r="CA191">
        <f>IF(CA$4=0,0,IF(COUNTIFS(実績!$W$6:$W$505,CA$3,実績!$AC$6:$AC$505,"&lt;="&amp;$A191,実績!$AD$6:$AD$505,"&gt;"&amp;$A191,実績!$AE$6:$AE$505,"○")&gt;0,1,0))</f>
        <v/>
      </c>
      <c r="CB191">
        <f>IF(CB$4=0,0,IF(COUNTIFS(実績!$W$6:$W$505,CB$3,実績!$AC$6:$AC$505,"&lt;="&amp;$A191,実績!$AD$6:$AD$505,"&gt;"&amp;$A191,実績!$AE$6:$AE$505,"○")&gt;0,1,0))</f>
        <v/>
      </c>
      <c r="CC191">
        <f>IF(CC$4=0,0,IF(COUNTIFS(実績!$W$6:$W$505,CC$3,実績!$AC$6:$AC$505,"&lt;="&amp;$A191,実績!$AD$6:$AD$505,"&gt;"&amp;$A191,実績!$AE$6:$AE$505,"○")&gt;0,1,0))</f>
        <v/>
      </c>
      <c r="CD191">
        <f>IF(CD$4=0,0,IF(COUNTIFS(実績!$W$6:$W$505,CD$3,実績!$AC$6:$AC$505,"&lt;="&amp;$A191,実績!$AD$6:$AD$505,"&gt;"&amp;$A191,実績!$AE$6:$AE$505,"○")&gt;0,1,0))</f>
        <v/>
      </c>
      <c r="CE191">
        <f>IF(CE$4=0,0,IF(COUNTIFS(実績!$W$6:$W$505,CE$3,実績!$AC$6:$AC$505,"&lt;="&amp;$A191,実績!$AD$6:$AD$505,"&gt;"&amp;$A191,実績!$AE$6:$AE$505,"○")&gt;0,1,0))</f>
        <v/>
      </c>
      <c r="CF191">
        <f>IF(CF$4=0,0,IF(COUNTIFS(実績!$W$6:$W$505,CF$3,実績!$AC$6:$AC$505,"&lt;="&amp;$A191,実績!$AD$6:$AD$505,"&gt;"&amp;$A191,実績!$AE$6:$AE$505,"○")&gt;0,1,0))</f>
        <v/>
      </c>
      <c r="CG191">
        <f>IF(CG$4=0,0,IF(COUNTIFS(実績!$W$6:$W$505,CG$3,実績!$AC$6:$AC$505,"&lt;="&amp;$A191,実績!$AD$6:$AD$505,"&gt;"&amp;$A191,実績!$AE$6:$AE$505,"○")&gt;0,1,0))</f>
        <v/>
      </c>
      <c r="CH191">
        <f>IF(CH$4=0,0,IF(COUNTIFS(実績!$W$6:$W$505,CH$3,実績!$AC$6:$AC$505,"&lt;="&amp;$A191,実績!$AD$6:$AD$505,"&gt;"&amp;$A191,実績!$AE$6:$AE$505,"○")&gt;0,1,0))</f>
        <v/>
      </c>
      <c r="CI191">
        <f>IF(CI$4=0,0,IF(COUNTIFS(実績!$W$6:$W$505,CI$3,実績!$AC$6:$AC$505,"&lt;="&amp;$A191,実績!$AD$6:$AD$505,"&gt;"&amp;$A191,実績!$AE$6:$AE$505,"○")&gt;0,1,0))</f>
        <v/>
      </c>
      <c r="CJ191">
        <f>IF(CJ$4=0,0,IF(COUNTIFS(実績!$W$6:$W$505,CJ$3,実績!$AC$6:$AC$505,"&lt;="&amp;$A191,実績!$AD$6:$AD$505,"&gt;"&amp;$A191,実績!$AE$6:$AE$505,"○")&gt;0,1,0))</f>
        <v/>
      </c>
      <c r="CK191">
        <f>IF(CK$4=0,0,IF(COUNTIFS(実績!$W$6:$W$505,CK$3,実績!$AC$6:$AC$505,"&lt;="&amp;$A191,実績!$AD$6:$AD$505,"&gt;"&amp;$A191,実績!$AE$6:$AE$505,"○")&gt;0,1,0))</f>
        <v/>
      </c>
      <c r="CL191">
        <f>IF(CL$4=0,0,IF(COUNTIFS(実績!$W$6:$W$505,CL$3,実績!$AC$6:$AC$505,"&lt;="&amp;$A191,実績!$AD$6:$AD$505,"&gt;"&amp;$A191,実績!$AE$6:$AE$505,"○")&gt;0,1,0))</f>
        <v/>
      </c>
      <c r="CM191">
        <f>IF(CM$4=0,0,IF(COUNTIFS(実績!$W$6:$W$505,CM$3,実績!$AC$6:$AC$505,"&lt;="&amp;$A191,実績!$AD$6:$AD$505,"&gt;"&amp;$A191,実績!$AE$6:$AE$505,"○")&gt;0,1,0))</f>
        <v/>
      </c>
      <c r="CN191">
        <f>IF(CN$4=0,0,IF(COUNTIFS(実績!$W$6:$W$505,CN$3,実績!$AC$6:$AC$505,"&lt;="&amp;$A191,実績!$AD$6:$AD$505,"&gt;"&amp;$A191,実績!$AE$6:$AE$505,"○")&gt;0,1,0))</f>
        <v/>
      </c>
      <c r="CO191">
        <f>IF(CO$4=0,0,IF(COUNTIFS(実績!$W$6:$W$505,CO$3,実績!$AC$6:$AC$505,"&lt;="&amp;$A191,実績!$AD$6:$AD$505,"&gt;"&amp;$A191,実績!$AE$6:$AE$505,"○")&gt;0,1,0))</f>
        <v/>
      </c>
      <c r="CP191">
        <f>IF(CP$4=0,0,IF(COUNTIFS(実績!$W$6:$W$505,CP$3,実績!$AC$6:$AC$505,"&lt;="&amp;$A191,実績!$AD$6:$AD$505,"&gt;"&amp;$A191,実績!$AE$6:$AE$505,"○")&gt;0,1,0))</f>
        <v/>
      </c>
      <c r="CQ191">
        <f>IF(CQ$4=0,0,IF(COUNTIFS(実績!$W$6:$W$505,CQ$3,実績!$AC$6:$AC$505,"&lt;="&amp;$A191,実績!$AD$6:$AD$505,"&gt;"&amp;$A191,実績!$AE$6:$AE$505,"○")&gt;0,1,0))</f>
        <v/>
      </c>
      <c r="CR191">
        <f>IF(CR$4=0,0,IF(COUNTIFS(実績!$W$6:$W$505,CR$3,実績!$AC$6:$AC$505,"&lt;="&amp;$A191,実績!$AD$6:$AD$505,"&gt;"&amp;$A191,実績!$AE$6:$AE$505,"○")&gt;0,1,0))</f>
        <v/>
      </c>
      <c r="CS191">
        <f>IF(CS$4=0,0,IF(COUNTIFS(実績!$W$6:$W$505,CS$3,実績!$AC$6:$AC$505,"&lt;="&amp;$A191,実績!$AD$6:$AD$505,"&gt;"&amp;$A191,実績!$AE$6:$AE$505,"○")&gt;0,1,0))</f>
        <v/>
      </c>
      <c r="CT191">
        <f>IF(CT$4=0,0,IF(COUNTIFS(実績!$W$6:$W$505,CT$3,実績!$AC$6:$AC$505,"&lt;="&amp;$A191,実績!$AD$6:$AD$505,"&gt;"&amp;$A191,実績!$AE$6:$AE$505,"○")&gt;0,1,0))</f>
        <v/>
      </c>
      <c r="CU191">
        <f>IF(CU$4=0,0,IF(COUNTIFS(実績!$W$6:$W$505,CU$3,実績!$AC$6:$AC$505,"&lt;="&amp;$A191,実績!$AD$6:$AD$505,"&gt;"&amp;$A191,実績!$AE$6:$AE$505,"○")&gt;0,1,0))</f>
        <v/>
      </c>
      <c r="CV191">
        <f>IF(CV$4=0,0,IF(COUNTIFS(実績!$W$6:$W$505,CV$3,実績!$AC$6:$AC$505,"&lt;="&amp;$A191,実績!$AD$6:$AD$505,"&gt;"&amp;$A191,実績!$AE$6:$AE$505,"○")&gt;0,1,0))</f>
        <v/>
      </c>
      <c r="CW191">
        <f>IF(CW$4=0,0,IF(COUNTIFS(実績!$W$6:$W$505,CW$3,実績!$AC$6:$AC$505,"&lt;="&amp;$A191,実績!$AD$6:$AD$505,"&gt;"&amp;$A191,実績!$AE$6:$AE$505,"○")&gt;0,1,0))</f>
        <v/>
      </c>
      <c r="CX191">
        <f>IF(CX$4=0,0,IF(COUNTIFS(実績!$W$6:$W$505,CX$3,実績!$AC$6:$AC$505,"&lt;="&amp;$A191,実績!$AD$6:$AD$505,"&gt;"&amp;$A191,実績!$AE$6:$AE$505,"○")&gt;0,1,0))</f>
        <v/>
      </c>
      <c r="CY191">
        <f>IF(CY$4=0,0,IF(COUNTIFS(実績!$W$6:$W$505,CY$3,実績!$AC$6:$AC$505,"&lt;="&amp;$A191,実績!$AD$6:$AD$505,"&gt;"&amp;$A191,実績!$AE$6:$AE$505,"○")&gt;0,1,0))</f>
        <v/>
      </c>
      <c r="CZ191">
        <f>IF(CZ$4=0,0,IF(COUNTIFS(実績!$W$6:$W$505,CZ$3,実績!$AC$6:$AC$505,"&lt;="&amp;$A191,実績!$AD$6:$AD$505,"&gt;"&amp;$A191,実績!$AE$6:$AE$505,"○")&gt;0,1,0))</f>
        <v/>
      </c>
      <c r="DA191">
        <f>IF(DA$4=0,0,IF(COUNTIFS(実績!$W$6:$W$505,DA$3,実績!$AC$6:$AC$505,"&lt;="&amp;$A191,実績!$AD$6:$AD$505,"&gt;"&amp;$A191,実績!$AE$6:$AE$505,"○")&gt;0,1,0))</f>
        <v/>
      </c>
      <c r="DB191">
        <f>IF(DB$4=0,0,IF(COUNTIFS(実績!$W$6:$W$505,DB$3,実績!$AC$6:$AC$505,"&lt;="&amp;$A191,実績!$AD$6:$AD$505,"&gt;"&amp;$A191,実績!$AE$6:$AE$505,"○")&gt;0,1,0))</f>
        <v/>
      </c>
      <c r="DC191">
        <f>IF(DC$4=0,0,IF(COUNTIFS(実績!$W$6:$W$505,DC$3,実績!$AC$6:$AC$505,"&lt;="&amp;$A191,実績!$AD$6:$AD$505,"&gt;"&amp;$A191,実績!$AE$6:$AE$505,"○")&gt;0,1,0))</f>
        <v/>
      </c>
      <c r="DD191">
        <f>IF(DD$4=0,0,IF(COUNTIFS(実績!$W$6:$W$505,DD$3,実績!$AC$6:$AC$505,"&lt;="&amp;$A191,実績!$AD$6:$AD$505,"&gt;"&amp;$A191,実績!$AE$6:$AE$505,"○")&gt;0,1,0))</f>
        <v/>
      </c>
      <c r="DE191">
        <f>IF(DE$4=0,0,IF(COUNTIFS(実績!$W$6:$W$505,DE$3,実績!$AC$6:$AC$505,"&lt;="&amp;$A191,実績!$AD$6:$AD$505,"&gt;"&amp;$A191,実績!$AE$6:$AE$505,"○")&gt;0,1,0))</f>
        <v/>
      </c>
      <c r="DF191">
        <f>IF(DF$4=0,0,IF(COUNTIFS(実績!$W$6:$W$505,DF$3,実績!$AC$6:$AC$505,"&lt;="&amp;$A191,実績!$AD$6:$AD$505,"&gt;"&amp;$A191,実績!$AE$6:$AE$505,"○")&gt;0,1,0))</f>
        <v/>
      </c>
      <c r="DG191">
        <f>IF(DG$4=0,0,IF(COUNTIFS(実績!$W$6:$W$505,DG$3,実績!$AC$6:$AC$505,"&lt;="&amp;$A191,実績!$AD$6:$AD$505,"&gt;"&amp;$A191,実績!$AE$6:$AE$505,"○")&gt;0,1,0))</f>
        <v/>
      </c>
      <c r="DH191">
        <f>IF(DH$4=0,0,IF(COUNTIFS(実績!$W$6:$W$505,DH$3,実績!$AC$6:$AC$505,"&lt;="&amp;$A191,実績!$AD$6:$AD$505,"&gt;"&amp;$A191,実績!$AE$6:$AE$505,"○")&gt;0,1,0))</f>
        <v/>
      </c>
      <c r="DI191">
        <f>IF(DI$4=0,0,IF(COUNTIFS(実績!$W$6:$W$505,DI$3,実績!$AC$6:$AC$505,"&lt;="&amp;$A191,実績!$AD$6:$AD$505,"&gt;"&amp;$A191,実績!$AE$6:$AE$505,"○")&gt;0,1,0))</f>
        <v/>
      </c>
      <c r="DJ191">
        <f>IF(DJ$4=0,0,IF(COUNTIFS(実績!$W$6:$W$505,DJ$3,実績!$AC$6:$AC$505,"&lt;="&amp;$A191,実績!$AD$6:$AD$505,"&gt;"&amp;$A191,実績!$AE$6:$AE$505,"○")&gt;0,1,0))</f>
        <v/>
      </c>
      <c r="DK191">
        <f>IF(DK$4=0,0,IF(COUNTIFS(実績!$W$6:$W$505,DK$3,実績!$AC$6:$AC$505,"&lt;="&amp;$A191,実績!$AD$6:$AD$505,"&gt;"&amp;$A191,実績!$AE$6:$AE$505,"○")&gt;0,1,0))</f>
        <v/>
      </c>
      <c r="DL191">
        <f>IF(DL$4=0,0,IF(COUNTIFS(実績!$W$6:$W$505,DL$3,実績!$AC$6:$AC$505,"&lt;="&amp;$A191,実績!$AD$6:$AD$505,"&gt;"&amp;$A191,実績!$AE$6:$AE$505,"○")&gt;0,1,0))</f>
        <v/>
      </c>
      <c r="DM191">
        <f>IF(DM$4=0,0,IF(COUNTIFS(実績!$W$6:$W$505,DM$3,実績!$AC$6:$AC$505,"&lt;="&amp;$A191,実績!$AD$6:$AD$505,"&gt;"&amp;$A191,実績!$AE$6:$AE$505,"○")&gt;0,1,0))</f>
        <v/>
      </c>
      <c r="DN191">
        <f>IF(DN$4=0,0,IF(COUNTIFS(実績!$W$6:$W$505,DN$3,実績!$AC$6:$AC$505,"&lt;="&amp;$A191,実績!$AD$6:$AD$505,"&gt;"&amp;$A191,実績!$AE$6:$AE$505,"○")&gt;0,1,0))</f>
        <v/>
      </c>
      <c r="DO191">
        <f>IF(DO$4=0,0,IF(COUNTIFS(実績!$W$6:$W$505,DO$3,実績!$AC$6:$AC$505,"&lt;="&amp;$A191,実績!$AD$6:$AD$505,"&gt;"&amp;$A191,実績!$AE$6:$AE$505,"○")&gt;0,1,0))</f>
        <v/>
      </c>
      <c r="DP191">
        <f>IF(DP$4=0,0,IF(COUNTIFS(実績!$W$6:$W$505,DP$3,実績!$AC$6:$AC$505,"&lt;="&amp;$A191,実績!$AD$6:$AD$505,"&gt;"&amp;$A191,実績!$AE$6:$AE$505,"○")&gt;0,1,0))</f>
        <v/>
      </c>
      <c r="DQ191">
        <f>IF(DQ$4=0,0,IF(COUNTIFS(実績!$W$6:$W$505,DQ$3,実績!$AC$6:$AC$505,"&lt;="&amp;$A191,実績!$AD$6:$AD$505,"&gt;"&amp;$A191,実績!$AE$6:$AE$505,"○")&gt;0,1,0))</f>
        <v/>
      </c>
      <c r="DR191">
        <f>IF(DR$4=0,0,IF(COUNTIFS(実績!$W$6:$W$505,DR$3,実績!$AC$6:$AC$505,"&lt;="&amp;$A191,実績!$AD$6:$AD$505,"&gt;"&amp;$A191,実績!$AE$6:$AE$505,"○")&gt;0,1,0))</f>
        <v/>
      </c>
      <c r="DS191">
        <f>SUM(C191:DR191)</f>
        <v/>
      </c>
      <c r="DT191">
        <f>SUMPRODUCT((実績!$C$6:$C$505="○")*ISNUMBER(実績!$AF$6:$AF$505)*(実績!$AF$6:$AF$505&lt;=$A191)*(実績!$AG$6:$AG$505&gt;$A191))</f>
        <v/>
      </c>
      <c r="DU191">
        <f>SUMIF($C$2:$DR$2,"製鉄曳船",C191:DR191)</f>
        <v/>
      </c>
      <c r="DV191">
        <f>SUMIF($C$2:$DR$2,"西日本海運",C191:DR191)</f>
        <v/>
      </c>
    </row>
    <row r="192">
      <c r="A192" t="n">
        <v>930</v>
      </c>
      <c r="B192" s="29">
        <f>A192/1440</f>
        <v/>
      </c>
      <c r="C192">
        <f>IF(C$4=0,0,IF(COUNTIFS(実績!$W$6:$W$505,C$3,実績!$AC$6:$AC$505,"&lt;="&amp;$A192,実績!$AD$6:$AD$505,"&gt;"&amp;$A192,実績!$AE$6:$AE$505,"○")&gt;0,1,0))</f>
        <v/>
      </c>
      <c r="D192">
        <f>IF(D$4=0,0,IF(COUNTIFS(実績!$W$6:$W$505,D$3,実績!$AC$6:$AC$505,"&lt;="&amp;$A192,実績!$AD$6:$AD$505,"&gt;"&amp;$A192,実績!$AE$6:$AE$505,"○")&gt;0,1,0))</f>
        <v/>
      </c>
      <c r="E192">
        <f>IF(E$4=0,0,IF(COUNTIFS(実績!$W$6:$W$505,E$3,実績!$AC$6:$AC$505,"&lt;="&amp;$A192,実績!$AD$6:$AD$505,"&gt;"&amp;$A192,実績!$AE$6:$AE$505,"○")&gt;0,1,0))</f>
        <v/>
      </c>
      <c r="F192">
        <f>IF(F$4=0,0,IF(COUNTIFS(実績!$W$6:$W$505,F$3,実績!$AC$6:$AC$505,"&lt;="&amp;$A192,実績!$AD$6:$AD$505,"&gt;"&amp;$A192,実績!$AE$6:$AE$505,"○")&gt;0,1,0))</f>
        <v/>
      </c>
      <c r="G192">
        <f>IF(G$4=0,0,IF(COUNTIFS(実績!$W$6:$W$505,G$3,実績!$AC$6:$AC$505,"&lt;="&amp;$A192,実績!$AD$6:$AD$505,"&gt;"&amp;$A192,実績!$AE$6:$AE$505,"○")&gt;0,1,0))</f>
        <v/>
      </c>
      <c r="H192">
        <f>IF(H$4=0,0,IF(COUNTIFS(実績!$W$6:$W$505,H$3,実績!$AC$6:$AC$505,"&lt;="&amp;$A192,実績!$AD$6:$AD$505,"&gt;"&amp;$A192,実績!$AE$6:$AE$505,"○")&gt;0,1,0))</f>
        <v/>
      </c>
      <c r="I192">
        <f>IF(I$4=0,0,IF(COUNTIFS(実績!$W$6:$W$505,I$3,実績!$AC$6:$AC$505,"&lt;="&amp;$A192,実績!$AD$6:$AD$505,"&gt;"&amp;$A192,実績!$AE$6:$AE$505,"○")&gt;0,1,0))</f>
        <v/>
      </c>
      <c r="J192">
        <f>IF(J$4=0,0,IF(COUNTIFS(実績!$W$6:$W$505,J$3,実績!$AC$6:$AC$505,"&lt;="&amp;$A192,実績!$AD$6:$AD$505,"&gt;"&amp;$A192,実績!$AE$6:$AE$505,"○")&gt;0,1,0))</f>
        <v/>
      </c>
      <c r="K192">
        <f>IF(K$4=0,0,IF(COUNTIFS(実績!$W$6:$W$505,K$3,実績!$AC$6:$AC$505,"&lt;="&amp;$A192,実績!$AD$6:$AD$505,"&gt;"&amp;$A192,実績!$AE$6:$AE$505,"○")&gt;0,1,0))</f>
        <v/>
      </c>
      <c r="L192">
        <f>IF(L$4=0,0,IF(COUNTIFS(実績!$W$6:$W$505,L$3,実績!$AC$6:$AC$505,"&lt;="&amp;$A192,実績!$AD$6:$AD$505,"&gt;"&amp;$A192,実績!$AE$6:$AE$505,"○")&gt;0,1,0))</f>
        <v/>
      </c>
      <c r="M192">
        <f>IF(M$4=0,0,IF(COUNTIFS(実績!$W$6:$W$505,M$3,実績!$AC$6:$AC$505,"&lt;="&amp;$A192,実績!$AD$6:$AD$505,"&gt;"&amp;$A192,実績!$AE$6:$AE$505,"○")&gt;0,1,0))</f>
        <v/>
      </c>
      <c r="N192">
        <f>IF(N$4=0,0,IF(COUNTIFS(実績!$W$6:$W$505,N$3,実績!$AC$6:$AC$505,"&lt;="&amp;$A192,実績!$AD$6:$AD$505,"&gt;"&amp;$A192,実績!$AE$6:$AE$505,"○")&gt;0,1,0))</f>
        <v/>
      </c>
      <c r="O192">
        <f>IF(O$4=0,0,IF(COUNTIFS(実績!$W$6:$W$505,O$3,実績!$AC$6:$AC$505,"&lt;="&amp;$A192,実績!$AD$6:$AD$505,"&gt;"&amp;$A192,実績!$AE$6:$AE$505,"○")&gt;0,1,0))</f>
        <v/>
      </c>
      <c r="P192">
        <f>IF(P$4=0,0,IF(COUNTIFS(実績!$W$6:$W$505,P$3,実績!$AC$6:$AC$505,"&lt;="&amp;$A192,実績!$AD$6:$AD$505,"&gt;"&amp;$A192,実績!$AE$6:$AE$505,"○")&gt;0,1,0))</f>
        <v/>
      </c>
      <c r="Q192">
        <f>IF(Q$4=0,0,IF(COUNTIFS(実績!$W$6:$W$505,Q$3,実績!$AC$6:$AC$505,"&lt;="&amp;$A192,実績!$AD$6:$AD$505,"&gt;"&amp;$A192,実績!$AE$6:$AE$505,"○")&gt;0,1,0))</f>
        <v/>
      </c>
      <c r="R192">
        <f>IF(R$4=0,0,IF(COUNTIFS(実績!$W$6:$W$505,R$3,実績!$AC$6:$AC$505,"&lt;="&amp;$A192,実績!$AD$6:$AD$505,"&gt;"&amp;$A192,実績!$AE$6:$AE$505,"○")&gt;0,1,0))</f>
        <v/>
      </c>
      <c r="S192">
        <f>IF(S$4=0,0,IF(COUNTIFS(実績!$W$6:$W$505,S$3,実績!$AC$6:$AC$505,"&lt;="&amp;$A192,実績!$AD$6:$AD$505,"&gt;"&amp;$A192,実績!$AE$6:$AE$505,"○")&gt;0,1,0))</f>
        <v/>
      </c>
      <c r="T192">
        <f>IF(T$4=0,0,IF(COUNTIFS(実績!$W$6:$W$505,T$3,実績!$AC$6:$AC$505,"&lt;="&amp;$A192,実績!$AD$6:$AD$505,"&gt;"&amp;$A192,実績!$AE$6:$AE$505,"○")&gt;0,1,0))</f>
        <v/>
      </c>
      <c r="U192">
        <f>IF(U$4=0,0,IF(COUNTIFS(実績!$W$6:$W$505,U$3,実績!$AC$6:$AC$505,"&lt;="&amp;$A192,実績!$AD$6:$AD$505,"&gt;"&amp;$A192,実績!$AE$6:$AE$505,"○")&gt;0,1,0))</f>
        <v/>
      </c>
      <c r="V192">
        <f>IF(V$4=0,0,IF(COUNTIFS(実績!$W$6:$W$505,V$3,実績!$AC$6:$AC$505,"&lt;="&amp;$A192,実績!$AD$6:$AD$505,"&gt;"&amp;$A192,実績!$AE$6:$AE$505,"○")&gt;0,1,0))</f>
        <v/>
      </c>
      <c r="W192">
        <f>IF(W$4=0,0,IF(COUNTIFS(実績!$W$6:$W$505,W$3,実績!$AC$6:$AC$505,"&lt;="&amp;$A192,実績!$AD$6:$AD$505,"&gt;"&amp;$A192,実績!$AE$6:$AE$505,"○")&gt;0,1,0))</f>
        <v/>
      </c>
      <c r="X192">
        <f>IF(X$4=0,0,IF(COUNTIFS(実績!$W$6:$W$505,X$3,実績!$AC$6:$AC$505,"&lt;="&amp;$A192,実績!$AD$6:$AD$505,"&gt;"&amp;$A192,実績!$AE$6:$AE$505,"○")&gt;0,1,0))</f>
        <v/>
      </c>
      <c r="Y192">
        <f>IF(Y$4=0,0,IF(COUNTIFS(実績!$W$6:$W$505,Y$3,実績!$AC$6:$AC$505,"&lt;="&amp;$A192,実績!$AD$6:$AD$505,"&gt;"&amp;$A192,実績!$AE$6:$AE$505,"○")&gt;0,1,0))</f>
        <v/>
      </c>
      <c r="Z192">
        <f>IF(Z$4=0,0,IF(COUNTIFS(実績!$W$6:$W$505,Z$3,実績!$AC$6:$AC$505,"&lt;="&amp;$A192,実績!$AD$6:$AD$505,"&gt;"&amp;$A192,実績!$AE$6:$AE$505,"○")&gt;0,1,0))</f>
        <v/>
      </c>
      <c r="AA192">
        <f>IF(AA$4=0,0,IF(COUNTIFS(実績!$W$6:$W$505,AA$3,実績!$AC$6:$AC$505,"&lt;="&amp;$A192,実績!$AD$6:$AD$505,"&gt;"&amp;$A192,実績!$AE$6:$AE$505,"○")&gt;0,1,0))</f>
        <v/>
      </c>
      <c r="AB192">
        <f>IF(AB$4=0,0,IF(COUNTIFS(実績!$W$6:$W$505,AB$3,実績!$AC$6:$AC$505,"&lt;="&amp;$A192,実績!$AD$6:$AD$505,"&gt;"&amp;$A192,実績!$AE$6:$AE$505,"○")&gt;0,1,0))</f>
        <v/>
      </c>
      <c r="AC192">
        <f>IF(AC$4=0,0,IF(COUNTIFS(実績!$W$6:$W$505,AC$3,実績!$AC$6:$AC$505,"&lt;="&amp;$A192,実績!$AD$6:$AD$505,"&gt;"&amp;$A192,実績!$AE$6:$AE$505,"○")&gt;0,1,0))</f>
        <v/>
      </c>
      <c r="AD192">
        <f>IF(AD$4=0,0,IF(COUNTIFS(実績!$W$6:$W$505,AD$3,実績!$AC$6:$AC$505,"&lt;="&amp;$A192,実績!$AD$6:$AD$505,"&gt;"&amp;$A192,実績!$AE$6:$AE$505,"○")&gt;0,1,0))</f>
        <v/>
      </c>
      <c r="AE192">
        <f>IF(AE$4=0,0,IF(COUNTIFS(実績!$W$6:$W$505,AE$3,実績!$AC$6:$AC$505,"&lt;="&amp;$A192,実績!$AD$6:$AD$505,"&gt;"&amp;$A192,実績!$AE$6:$AE$505,"○")&gt;0,1,0))</f>
        <v/>
      </c>
      <c r="AF192">
        <f>IF(AF$4=0,0,IF(COUNTIFS(実績!$W$6:$W$505,AF$3,実績!$AC$6:$AC$505,"&lt;="&amp;$A192,実績!$AD$6:$AD$505,"&gt;"&amp;$A192,実績!$AE$6:$AE$505,"○")&gt;0,1,0))</f>
        <v/>
      </c>
      <c r="AG192">
        <f>IF(AG$4=0,0,IF(COUNTIFS(実績!$W$6:$W$505,AG$3,実績!$AC$6:$AC$505,"&lt;="&amp;$A192,実績!$AD$6:$AD$505,"&gt;"&amp;$A192,実績!$AE$6:$AE$505,"○")&gt;0,1,0))</f>
        <v/>
      </c>
      <c r="AH192">
        <f>IF(AH$4=0,0,IF(COUNTIFS(実績!$W$6:$W$505,AH$3,実績!$AC$6:$AC$505,"&lt;="&amp;$A192,実績!$AD$6:$AD$505,"&gt;"&amp;$A192,実績!$AE$6:$AE$505,"○")&gt;0,1,0))</f>
        <v/>
      </c>
      <c r="AI192">
        <f>IF(AI$4=0,0,IF(COUNTIFS(実績!$W$6:$W$505,AI$3,実績!$AC$6:$AC$505,"&lt;="&amp;$A192,実績!$AD$6:$AD$505,"&gt;"&amp;$A192,実績!$AE$6:$AE$505,"○")&gt;0,1,0))</f>
        <v/>
      </c>
      <c r="AJ192">
        <f>IF(AJ$4=0,0,IF(COUNTIFS(実績!$W$6:$W$505,AJ$3,実績!$AC$6:$AC$505,"&lt;="&amp;$A192,実績!$AD$6:$AD$505,"&gt;"&amp;$A192,実績!$AE$6:$AE$505,"○")&gt;0,1,0))</f>
        <v/>
      </c>
      <c r="AK192">
        <f>IF(AK$4=0,0,IF(COUNTIFS(実績!$W$6:$W$505,AK$3,実績!$AC$6:$AC$505,"&lt;="&amp;$A192,実績!$AD$6:$AD$505,"&gt;"&amp;$A192,実績!$AE$6:$AE$505,"○")&gt;0,1,0))</f>
        <v/>
      </c>
      <c r="AL192">
        <f>IF(AL$4=0,0,IF(COUNTIFS(実績!$W$6:$W$505,AL$3,実績!$AC$6:$AC$505,"&lt;="&amp;$A192,実績!$AD$6:$AD$505,"&gt;"&amp;$A192,実績!$AE$6:$AE$505,"○")&gt;0,1,0))</f>
        <v/>
      </c>
      <c r="AM192">
        <f>IF(AM$4=0,0,IF(COUNTIFS(実績!$W$6:$W$505,AM$3,実績!$AC$6:$AC$505,"&lt;="&amp;$A192,実績!$AD$6:$AD$505,"&gt;"&amp;$A192,実績!$AE$6:$AE$505,"○")&gt;0,1,0))</f>
        <v/>
      </c>
      <c r="AN192">
        <f>IF(AN$4=0,0,IF(COUNTIFS(実績!$W$6:$W$505,AN$3,実績!$AC$6:$AC$505,"&lt;="&amp;$A192,実績!$AD$6:$AD$505,"&gt;"&amp;$A192,実績!$AE$6:$AE$505,"○")&gt;0,1,0))</f>
        <v/>
      </c>
      <c r="AO192">
        <f>IF(AO$4=0,0,IF(COUNTIFS(実績!$W$6:$W$505,AO$3,実績!$AC$6:$AC$505,"&lt;="&amp;$A192,実績!$AD$6:$AD$505,"&gt;"&amp;$A192,実績!$AE$6:$AE$505,"○")&gt;0,1,0))</f>
        <v/>
      </c>
      <c r="AP192">
        <f>IF(AP$4=0,0,IF(COUNTIFS(実績!$W$6:$W$505,AP$3,実績!$AC$6:$AC$505,"&lt;="&amp;$A192,実績!$AD$6:$AD$505,"&gt;"&amp;$A192,実績!$AE$6:$AE$505,"○")&gt;0,1,0))</f>
        <v/>
      </c>
      <c r="AQ192">
        <f>IF(AQ$4=0,0,IF(COUNTIFS(実績!$W$6:$W$505,AQ$3,実績!$AC$6:$AC$505,"&lt;="&amp;$A192,実績!$AD$6:$AD$505,"&gt;"&amp;$A192,実績!$AE$6:$AE$505,"○")&gt;0,1,0))</f>
        <v/>
      </c>
      <c r="AR192">
        <f>IF(AR$4=0,0,IF(COUNTIFS(実績!$W$6:$W$505,AR$3,実績!$AC$6:$AC$505,"&lt;="&amp;$A192,実績!$AD$6:$AD$505,"&gt;"&amp;$A192,実績!$AE$6:$AE$505,"○")&gt;0,1,0))</f>
        <v/>
      </c>
      <c r="AS192">
        <f>IF(AS$4=0,0,IF(COUNTIFS(実績!$W$6:$W$505,AS$3,実績!$AC$6:$AC$505,"&lt;="&amp;$A192,実績!$AD$6:$AD$505,"&gt;"&amp;$A192,実績!$AE$6:$AE$505,"○")&gt;0,1,0))</f>
        <v/>
      </c>
      <c r="AT192">
        <f>IF(AT$4=0,0,IF(COUNTIFS(実績!$W$6:$W$505,AT$3,実績!$AC$6:$AC$505,"&lt;="&amp;$A192,実績!$AD$6:$AD$505,"&gt;"&amp;$A192,実績!$AE$6:$AE$505,"○")&gt;0,1,0))</f>
        <v/>
      </c>
      <c r="AU192">
        <f>IF(AU$4=0,0,IF(COUNTIFS(実績!$W$6:$W$505,AU$3,実績!$AC$6:$AC$505,"&lt;="&amp;$A192,実績!$AD$6:$AD$505,"&gt;"&amp;$A192,実績!$AE$6:$AE$505,"○")&gt;0,1,0))</f>
        <v/>
      </c>
      <c r="AV192">
        <f>IF(AV$4=0,0,IF(COUNTIFS(実績!$W$6:$W$505,AV$3,実績!$AC$6:$AC$505,"&lt;="&amp;$A192,実績!$AD$6:$AD$505,"&gt;"&amp;$A192,実績!$AE$6:$AE$505,"○")&gt;0,1,0))</f>
        <v/>
      </c>
      <c r="AW192">
        <f>IF(AW$4=0,0,IF(COUNTIFS(実績!$W$6:$W$505,AW$3,実績!$AC$6:$AC$505,"&lt;="&amp;$A192,実績!$AD$6:$AD$505,"&gt;"&amp;$A192,実績!$AE$6:$AE$505,"○")&gt;0,1,0))</f>
        <v/>
      </c>
      <c r="AX192">
        <f>IF(AX$4=0,0,IF(COUNTIFS(実績!$W$6:$W$505,AX$3,実績!$AC$6:$AC$505,"&lt;="&amp;$A192,実績!$AD$6:$AD$505,"&gt;"&amp;$A192,実績!$AE$6:$AE$505,"○")&gt;0,1,0))</f>
        <v/>
      </c>
      <c r="AY192">
        <f>IF(AY$4=0,0,IF(COUNTIFS(実績!$W$6:$W$505,AY$3,実績!$AC$6:$AC$505,"&lt;="&amp;$A192,実績!$AD$6:$AD$505,"&gt;"&amp;$A192,実績!$AE$6:$AE$505,"○")&gt;0,1,0))</f>
        <v/>
      </c>
      <c r="AZ192">
        <f>IF(AZ$4=0,0,IF(COUNTIFS(実績!$W$6:$W$505,AZ$3,実績!$AC$6:$AC$505,"&lt;="&amp;$A192,実績!$AD$6:$AD$505,"&gt;"&amp;$A192,実績!$AE$6:$AE$505,"○")&gt;0,1,0))</f>
        <v/>
      </c>
      <c r="BA192">
        <f>IF(BA$4=0,0,IF(COUNTIFS(実績!$W$6:$W$505,BA$3,実績!$AC$6:$AC$505,"&lt;="&amp;$A192,実績!$AD$6:$AD$505,"&gt;"&amp;$A192,実績!$AE$6:$AE$505,"○")&gt;0,1,0))</f>
        <v/>
      </c>
      <c r="BB192">
        <f>IF(BB$4=0,0,IF(COUNTIFS(実績!$W$6:$W$505,BB$3,実績!$AC$6:$AC$505,"&lt;="&amp;$A192,実績!$AD$6:$AD$505,"&gt;"&amp;$A192,実績!$AE$6:$AE$505,"○")&gt;0,1,0))</f>
        <v/>
      </c>
      <c r="BC192">
        <f>IF(BC$4=0,0,IF(COUNTIFS(実績!$W$6:$W$505,BC$3,実績!$AC$6:$AC$505,"&lt;="&amp;$A192,実績!$AD$6:$AD$505,"&gt;"&amp;$A192,実績!$AE$6:$AE$505,"○")&gt;0,1,0))</f>
        <v/>
      </c>
      <c r="BD192">
        <f>IF(BD$4=0,0,IF(COUNTIFS(実績!$W$6:$W$505,BD$3,実績!$AC$6:$AC$505,"&lt;="&amp;$A192,実績!$AD$6:$AD$505,"&gt;"&amp;$A192,実績!$AE$6:$AE$505,"○")&gt;0,1,0))</f>
        <v/>
      </c>
      <c r="BE192">
        <f>IF(BE$4=0,0,IF(COUNTIFS(実績!$W$6:$W$505,BE$3,実績!$AC$6:$AC$505,"&lt;="&amp;$A192,実績!$AD$6:$AD$505,"&gt;"&amp;$A192,実績!$AE$6:$AE$505,"○")&gt;0,1,0))</f>
        <v/>
      </c>
      <c r="BF192">
        <f>IF(BF$4=0,0,IF(COUNTIFS(実績!$W$6:$W$505,BF$3,実績!$AC$6:$AC$505,"&lt;="&amp;$A192,実績!$AD$6:$AD$505,"&gt;"&amp;$A192,実績!$AE$6:$AE$505,"○")&gt;0,1,0))</f>
        <v/>
      </c>
      <c r="BG192">
        <f>IF(BG$4=0,0,IF(COUNTIFS(実績!$W$6:$W$505,BG$3,実績!$AC$6:$AC$505,"&lt;="&amp;$A192,実績!$AD$6:$AD$505,"&gt;"&amp;$A192,実績!$AE$6:$AE$505,"○")&gt;0,1,0))</f>
        <v/>
      </c>
      <c r="BH192">
        <f>IF(BH$4=0,0,IF(COUNTIFS(実績!$W$6:$W$505,BH$3,実績!$AC$6:$AC$505,"&lt;="&amp;$A192,実績!$AD$6:$AD$505,"&gt;"&amp;$A192,実績!$AE$6:$AE$505,"○")&gt;0,1,0))</f>
        <v/>
      </c>
      <c r="BI192">
        <f>IF(BI$4=0,0,IF(COUNTIFS(実績!$W$6:$W$505,BI$3,実績!$AC$6:$AC$505,"&lt;="&amp;$A192,実績!$AD$6:$AD$505,"&gt;"&amp;$A192,実績!$AE$6:$AE$505,"○")&gt;0,1,0))</f>
        <v/>
      </c>
      <c r="BJ192">
        <f>IF(BJ$4=0,0,IF(COUNTIFS(実績!$W$6:$W$505,BJ$3,実績!$AC$6:$AC$505,"&lt;="&amp;$A192,実績!$AD$6:$AD$505,"&gt;"&amp;$A192,実績!$AE$6:$AE$505,"○")&gt;0,1,0))</f>
        <v/>
      </c>
      <c r="BK192">
        <f>IF(BK$4=0,0,IF(COUNTIFS(実績!$W$6:$W$505,BK$3,実績!$AC$6:$AC$505,"&lt;="&amp;$A192,実績!$AD$6:$AD$505,"&gt;"&amp;$A192,実績!$AE$6:$AE$505,"○")&gt;0,1,0))</f>
        <v/>
      </c>
      <c r="BL192">
        <f>IF(BL$4=0,0,IF(COUNTIFS(実績!$W$6:$W$505,BL$3,実績!$AC$6:$AC$505,"&lt;="&amp;$A192,実績!$AD$6:$AD$505,"&gt;"&amp;$A192,実績!$AE$6:$AE$505,"○")&gt;0,1,0))</f>
        <v/>
      </c>
      <c r="BM192">
        <f>IF(BM$4=0,0,IF(COUNTIFS(実績!$W$6:$W$505,BM$3,実績!$AC$6:$AC$505,"&lt;="&amp;$A192,実績!$AD$6:$AD$505,"&gt;"&amp;$A192,実績!$AE$6:$AE$505,"○")&gt;0,1,0))</f>
        <v/>
      </c>
      <c r="BN192">
        <f>IF(BN$4=0,0,IF(COUNTIFS(実績!$W$6:$W$505,BN$3,実績!$AC$6:$AC$505,"&lt;="&amp;$A192,実績!$AD$6:$AD$505,"&gt;"&amp;$A192,実績!$AE$6:$AE$505,"○")&gt;0,1,0))</f>
        <v/>
      </c>
      <c r="BO192">
        <f>IF(BO$4=0,0,IF(COUNTIFS(実績!$W$6:$W$505,BO$3,実績!$AC$6:$AC$505,"&lt;="&amp;$A192,実績!$AD$6:$AD$505,"&gt;"&amp;$A192,実績!$AE$6:$AE$505,"○")&gt;0,1,0))</f>
        <v/>
      </c>
      <c r="BP192">
        <f>IF(BP$4=0,0,IF(COUNTIFS(実績!$W$6:$W$505,BP$3,実績!$AC$6:$AC$505,"&lt;="&amp;$A192,実績!$AD$6:$AD$505,"&gt;"&amp;$A192,実績!$AE$6:$AE$505,"○")&gt;0,1,0))</f>
        <v/>
      </c>
      <c r="BQ192">
        <f>IF(BQ$4=0,0,IF(COUNTIFS(実績!$W$6:$W$505,BQ$3,実績!$AC$6:$AC$505,"&lt;="&amp;$A192,実績!$AD$6:$AD$505,"&gt;"&amp;$A192,実績!$AE$6:$AE$505,"○")&gt;0,1,0))</f>
        <v/>
      </c>
      <c r="BR192">
        <f>IF(BR$4=0,0,IF(COUNTIFS(実績!$W$6:$W$505,BR$3,実績!$AC$6:$AC$505,"&lt;="&amp;$A192,実績!$AD$6:$AD$505,"&gt;"&amp;$A192,実績!$AE$6:$AE$505,"○")&gt;0,1,0))</f>
        <v/>
      </c>
      <c r="BS192">
        <f>IF(BS$4=0,0,IF(COUNTIFS(実績!$W$6:$W$505,BS$3,実績!$AC$6:$AC$505,"&lt;="&amp;$A192,実績!$AD$6:$AD$505,"&gt;"&amp;$A192,実績!$AE$6:$AE$505,"○")&gt;0,1,0))</f>
        <v/>
      </c>
      <c r="BT192">
        <f>IF(BT$4=0,0,IF(COUNTIFS(実績!$W$6:$W$505,BT$3,実績!$AC$6:$AC$505,"&lt;="&amp;$A192,実績!$AD$6:$AD$505,"&gt;"&amp;$A192,実績!$AE$6:$AE$505,"○")&gt;0,1,0))</f>
        <v/>
      </c>
      <c r="BU192">
        <f>IF(BU$4=0,0,IF(COUNTIFS(実績!$W$6:$W$505,BU$3,実績!$AC$6:$AC$505,"&lt;="&amp;$A192,実績!$AD$6:$AD$505,"&gt;"&amp;$A192,実績!$AE$6:$AE$505,"○")&gt;0,1,0))</f>
        <v/>
      </c>
      <c r="BV192">
        <f>IF(BV$4=0,0,IF(COUNTIFS(実績!$W$6:$W$505,BV$3,実績!$AC$6:$AC$505,"&lt;="&amp;$A192,実績!$AD$6:$AD$505,"&gt;"&amp;$A192,実績!$AE$6:$AE$505,"○")&gt;0,1,0))</f>
        <v/>
      </c>
      <c r="BW192">
        <f>IF(BW$4=0,0,IF(COUNTIFS(実績!$W$6:$W$505,BW$3,実績!$AC$6:$AC$505,"&lt;="&amp;$A192,実績!$AD$6:$AD$505,"&gt;"&amp;$A192,実績!$AE$6:$AE$505,"○")&gt;0,1,0))</f>
        <v/>
      </c>
      <c r="BX192">
        <f>IF(BX$4=0,0,IF(COUNTIFS(実績!$W$6:$W$505,BX$3,実績!$AC$6:$AC$505,"&lt;="&amp;$A192,実績!$AD$6:$AD$505,"&gt;"&amp;$A192,実績!$AE$6:$AE$505,"○")&gt;0,1,0))</f>
        <v/>
      </c>
      <c r="BY192">
        <f>IF(BY$4=0,0,IF(COUNTIFS(実績!$W$6:$W$505,BY$3,実績!$AC$6:$AC$505,"&lt;="&amp;$A192,実績!$AD$6:$AD$505,"&gt;"&amp;$A192,実績!$AE$6:$AE$505,"○")&gt;0,1,0))</f>
        <v/>
      </c>
      <c r="BZ192">
        <f>IF(BZ$4=0,0,IF(COUNTIFS(実績!$W$6:$W$505,BZ$3,実績!$AC$6:$AC$505,"&lt;="&amp;$A192,実績!$AD$6:$AD$505,"&gt;"&amp;$A192,実績!$AE$6:$AE$505,"○")&gt;0,1,0))</f>
        <v/>
      </c>
      <c r="CA192">
        <f>IF(CA$4=0,0,IF(COUNTIFS(実績!$W$6:$W$505,CA$3,実績!$AC$6:$AC$505,"&lt;="&amp;$A192,実績!$AD$6:$AD$505,"&gt;"&amp;$A192,実績!$AE$6:$AE$505,"○")&gt;0,1,0))</f>
        <v/>
      </c>
      <c r="CB192">
        <f>IF(CB$4=0,0,IF(COUNTIFS(実績!$W$6:$W$505,CB$3,実績!$AC$6:$AC$505,"&lt;="&amp;$A192,実績!$AD$6:$AD$505,"&gt;"&amp;$A192,実績!$AE$6:$AE$505,"○")&gt;0,1,0))</f>
        <v/>
      </c>
      <c r="CC192">
        <f>IF(CC$4=0,0,IF(COUNTIFS(実績!$W$6:$W$505,CC$3,実績!$AC$6:$AC$505,"&lt;="&amp;$A192,実績!$AD$6:$AD$505,"&gt;"&amp;$A192,実績!$AE$6:$AE$505,"○")&gt;0,1,0))</f>
        <v/>
      </c>
      <c r="CD192">
        <f>IF(CD$4=0,0,IF(COUNTIFS(実績!$W$6:$W$505,CD$3,実績!$AC$6:$AC$505,"&lt;="&amp;$A192,実績!$AD$6:$AD$505,"&gt;"&amp;$A192,実績!$AE$6:$AE$505,"○")&gt;0,1,0))</f>
        <v/>
      </c>
      <c r="CE192">
        <f>IF(CE$4=0,0,IF(COUNTIFS(実績!$W$6:$W$505,CE$3,実績!$AC$6:$AC$505,"&lt;="&amp;$A192,実績!$AD$6:$AD$505,"&gt;"&amp;$A192,実績!$AE$6:$AE$505,"○")&gt;0,1,0))</f>
        <v/>
      </c>
      <c r="CF192">
        <f>IF(CF$4=0,0,IF(COUNTIFS(実績!$W$6:$W$505,CF$3,実績!$AC$6:$AC$505,"&lt;="&amp;$A192,実績!$AD$6:$AD$505,"&gt;"&amp;$A192,実績!$AE$6:$AE$505,"○")&gt;0,1,0))</f>
        <v/>
      </c>
      <c r="CG192">
        <f>IF(CG$4=0,0,IF(COUNTIFS(実績!$W$6:$W$505,CG$3,実績!$AC$6:$AC$505,"&lt;="&amp;$A192,実績!$AD$6:$AD$505,"&gt;"&amp;$A192,実績!$AE$6:$AE$505,"○")&gt;0,1,0))</f>
        <v/>
      </c>
      <c r="CH192">
        <f>IF(CH$4=0,0,IF(COUNTIFS(実績!$W$6:$W$505,CH$3,実績!$AC$6:$AC$505,"&lt;="&amp;$A192,実績!$AD$6:$AD$505,"&gt;"&amp;$A192,実績!$AE$6:$AE$505,"○")&gt;0,1,0))</f>
        <v/>
      </c>
      <c r="CI192">
        <f>IF(CI$4=0,0,IF(COUNTIFS(実績!$W$6:$W$505,CI$3,実績!$AC$6:$AC$505,"&lt;="&amp;$A192,実績!$AD$6:$AD$505,"&gt;"&amp;$A192,実績!$AE$6:$AE$505,"○")&gt;0,1,0))</f>
        <v/>
      </c>
      <c r="CJ192">
        <f>IF(CJ$4=0,0,IF(COUNTIFS(実績!$W$6:$W$505,CJ$3,実績!$AC$6:$AC$505,"&lt;="&amp;$A192,実績!$AD$6:$AD$505,"&gt;"&amp;$A192,実績!$AE$6:$AE$505,"○")&gt;0,1,0))</f>
        <v/>
      </c>
      <c r="CK192">
        <f>IF(CK$4=0,0,IF(COUNTIFS(実績!$W$6:$W$505,CK$3,実績!$AC$6:$AC$505,"&lt;="&amp;$A192,実績!$AD$6:$AD$505,"&gt;"&amp;$A192,実績!$AE$6:$AE$505,"○")&gt;0,1,0))</f>
        <v/>
      </c>
      <c r="CL192">
        <f>IF(CL$4=0,0,IF(COUNTIFS(実績!$W$6:$W$505,CL$3,実績!$AC$6:$AC$505,"&lt;="&amp;$A192,実績!$AD$6:$AD$505,"&gt;"&amp;$A192,実績!$AE$6:$AE$505,"○")&gt;0,1,0))</f>
        <v/>
      </c>
      <c r="CM192">
        <f>IF(CM$4=0,0,IF(COUNTIFS(実績!$W$6:$W$505,CM$3,実績!$AC$6:$AC$505,"&lt;="&amp;$A192,実績!$AD$6:$AD$505,"&gt;"&amp;$A192,実績!$AE$6:$AE$505,"○")&gt;0,1,0))</f>
        <v/>
      </c>
      <c r="CN192">
        <f>IF(CN$4=0,0,IF(COUNTIFS(実績!$W$6:$W$505,CN$3,実績!$AC$6:$AC$505,"&lt;="&amp;$A192,実績!$AD$6:$AD$505,"&gt;"&amp;$A192,実績!$AE$6:$AE$505,"○")&gt;0,1,0))</f>
        <v/>
      </c>
      <c r="CO192">
        <f>IF(CO$4=0,0,IF(COUNTIFS(実績!$W$6:$W$505,CO$3,実績!$AC$6:$AC$505,"&lt;="&amp;$A192,実績!$AD$6:$AD$505,"&gt;"&amp;$A192,実績!$AE$6:$AE$505,"○")&gt;0,1,0))</f>
        <v/>
      </c>
      <c r="CP192">
        <f>IF(CP$4=0,0,IF(COUNTIFS(実績!$W$6:$W$505,CP$3,実績!$AC$6:$AC$505,"&lt;="&amp;$A192,実績!$AD$6:$AD$505,"&gt;"&amp;$A192,実績!$AE$6:$AE$505,"○")&gt;0,1,0))</f>
        <v/>
      </c>
      <c r="CQ192">
        <f>IF(CQ$4=0,0,IF(COUNTIFS(実績!$W$6:$W$505,CQ$3,実績!$AC$6:$AC$505,"&lt;="&amp;$A192,実績!$AD$6:$AD$505,"&gt;"&amp;$A192,実績!$AE$6:$AE$505,"○")&gt;0,1,0))</f>
        <v/>
      </c>
      <c r="CR192">
        <f>IF(CR$4=0,0,IF(COUNTIFS(実績!$W$6:$W$505,CR$3,実績!$AC$6:$AC$505,"&lt;="&amp;$A192,実績!$AD$6:$AD$505,"&gt;"&amp;$A192,実績!$AE$6:$AE$505,"○")&gt;0,1,0))</f>
        <v/>
      </c>
      <c r="CS192">
        <f>IF(CS$4=0,0,IF(COUNTIFS(実績!$W$6:$W$505,CS$3,実績!$AC$6:$AC$505,"&lt;="&amp;$A192,実績!$AD$6:$AD$505,"&gt;"&amp;$A192,実績!$AE$6:$AE$505,"○")&gt;0,1,0))</f>
        <v/>
      </c>
      <c r="CT192">
        <f>IF(CT$4=0,0,IF(COUNTIFS(実績!$W$6:$W$505,CT$3,実績!$AC$6:$AC$505,"&lt;="&amp;$A192,実績!$AD$6:$AD$505,"&gt;"&amp;$A192,実績!$AE$6:$AE$505,"○")&gt;0,1,0))</f>
        <v/>
      </c>
      <c r="CU192">
        <f>IF(CU$4=0,0,IF(COUNTIFS(実績!$W$6:$W$505,CU$3,実績!$AC$6:$AC$505,"&lt;="&amp;$A192,実績!$AD$6:$AD$505,"&gt;"&amp;$A192,実績!$AE$6:$AE$505,"○")&gt;0,1,0))</f>
        <v/>
      </c>
      <c r="CV192">
        <f>IF(CV$4=0,0,IF(COUNTIFS(実績!$W$6:$W$505,CV$3,実績!$AC$6:$AC$505,"&lt;="&amp;$A192,実績!$AD$6:$AD$505,"&gt;"&amp;$A192,実績!$AE$6:$AE$505,"○")&gt;0,1,0))</f>
        <v/>
      </c>
      <c r="CW192">
        <f>IF(CW$4=0,0,IF(COUNTIFS(実績!$W$6:$W$505,CW$3,実績!$AC$6:$AC$505,"&lt;="&amp;$A192,実績!$AD$6:$AD$505,"&gt;"&amp;$A192,実績!$AE$6:$AE$505,"○")&gt;0,1,0))</f>
        <v/>
      </c>
      <c r="CX192">
        <f>IF(CX$4=0,0,IF(COUNTIFS(実績!$W$6:$W$505,CX$3,実績!$AC$6:$AC$505,"&lt;="&amp;$A192,実績!$AD$6:$AD$505,"&gt;"&amp;$A192,実績!$AE$6:$AE$505,"○")&gt;0,1,0))</f>
        <v/>
      </c>
      <c r="CY192">
        <f>IF(CY$4=0,0,IF(COUNTIFS(実績!$W$6:$W$505,CY$3,実績!$AC$6:$AC$505,"&lt;="&amp;$A192,実績!$AD$6:$AD$505,"&gt;"&amp;$A192,実績!$AE$6:$AE$505,"○")&gt;0,1,0))</f>
        <v/>
      </c>
      <c r="CZ192">
        <f>IF(CZ$4=0,0,IF(COUNTIFS(実績!$W$6:$W$505,CZ$3,実績!$AC$6:$AC$505,"&lt;="&amp;$A192,実績!$AD$6:$AD$505,"&gt;"&amp;$A192,実績!$AE$6:$AE$505,"○")&gt;0,1,0))</f>
        <v/>
      </c>
      <c r="DA192">
        <f>IF(DA$4=0,0,IF(COUNTIFS(実績!$W$6:$W$505,DA$3,実績!$AC$6:$AC$505,"&lt;="&amp;$A192,実績!$AD$6:$AD$505,"&gt;"&amp;$A192,実績!$AE$6:$AE$505,"○")&gt;0,1,0))</f>
        <v/>
      </c>
      <c r="DB192">
        <f>IF(DB$4=0,0,IF(COUNTIFS(実績!$W$6:$W$505,DB$3,実績!$AC$6:$AC$505,"&lt;="&amp;$A192,実績!$AD$6:$AD$505,"&gt;"&amp;$A192,実績!$AE$6:$AE$505,"○")&gt;0,1,0))</f>
        <v/>
      </c>
      <c r="DC192">
        <f>IF(DC$4=0,0,IF(COUNTIFS(実績!$W$6:$W$505,DC$3,実績!$AC$6:$AC$505,"&lt;="&amp;$A192,実績!$AD$6:$AD$505,"&gt;"&amp;$A192,実績!$AE$6:$AE$505,"○")&gt;0,1,0))</f>
        <v/>
      </c>
      <c r="DD192">
        <f>IF(DD$4=0,0,IF(COUNTIFS(実績!$W$6:$W$505,DD$3,実績!$AC$6:$AC$505,"&lt;="&amp;$A192,実績!$AD$6:$AD$505,"&gt;"&amp;$A192,実績!$AE$6:$AE$505,"○")&gt;0,1,0))</f>
        <v/>
      </c>
      <c r="DE192">
        <f>IF(DE$4=0,0,IF(COUNTIFS(実績!$W$6:$W$505,DE$3,実績!$AC$6:$AC$505,"&lt;="&amp;$A192,実績!$AD$6:$AD$505,"&gt;"&amp;$A192,実績!$AE$6:$AE$505,"○")&gt;0,1,0))</f>
        <v/>
      </c>
      <c r="DF192">
        <f>IF(DF$4=0,0,IF(COUNTIFS(実績!$W$6:$W$505,DF$3,実績!$AC$6:$AC$505,"&lt;="&amp;$A192,実績!$AD$6:$AD$505,"&gt;"&amp;$A192,実績!$AE$6:$AE$505,"○")&gt;0,1,0))</f>
        <v/>
      </c>
      <c r="DG192">
        <f>IF(DG$4=0,0,IF(COUNTIFS(実績!$W$6:$W$505,DG$3,実績!$AC$6:$AC$505,"&lt;="&amp;$A192,実績!$AD$6:$AD$505,"&gt;"&amp;$A192,実績!$AE$6:$AE$505,"○")&gt;0,1,0))</f>
        <v/>
      </c>
      <c r="DH192">
        <f>IF(DH$4=0,0,IF(COUNTIFS(実績!$W$6:$W$505,DH$3,実績!$AC$6:$AC$505,"&lt;="&amp;$A192,実績!$AD$6:$AD$505,"&gt;"&amp;$A192,実績!$AE$6:$AE$505,"○")&gt;0,1,0))</f>
        <v/>
      </c>
      <c r="DI192">
        <f>IF(DI$4=0,0,IF(COUNTIFS(実績!$W$6:$W$505,DI$3,実績!$AC$6:$AC$505,"&lt;="&amp;$A192,実績!$AD$6:$AD$505,"&gt;"&amp;$A192,実績!$AE$6:$AE$505,"○")&gt;0,1,0))</f>
        <v/>
      </c>
      <c r="DJ192">
        <f>IF(DJ$4=0,0,IF(COUNTIFS(実績!$W$6:$W$505,DJ$3,実績!$AC$6:$AC$505,"&lt;="&amp;$A192,実績!$AD$6:$AD$505,"&gt;"&amp;$A192,実績!$AE$6:$AE$505,"○")&gt;0,1,0))</f>
        <v/>
      </c>
      <c r="DK192">
        <f>IF(DK$4=0,0,IF(COUNTIFS(実績!$W$6:$W$505,DK$3,実績!$AC$6:$AC$505,"&lt;="&amp;$A192,実績!$AD$6:$AD$505,"&gt;"&amp;$A192,実績!$AE$6:$AE$505,"○")&gt;0,1,0))</f>
        <v/>
      </c>
      <c r="DL192">
        <f>IF(DL$4=0,0,IF(COUNTIFS(実績!$W$6:$W$505,DL$3,実績!$AC$6:$AC$505,"&lt;="&amp;$A192,実績!$AD$6:$AD$505,"&gt;"&amp;$A192,実績!$AE$6:$AE$505,"○")&gt;0,1,0))</f>
        <v/>
      </c>
      <c r="DM192">
        <f>IF(DM$4=0,0,IF(COUNTIFS(実績!$W$6:$W$505,DM$3,実績!$AC$6:$AC$505,"&lt;="&amp;$A192,実績!$AD$6:$AD$505,"&gt;"&amp;$A192,実績!$AE$6:$AE$505,"○")&gt;0,1,0))</f>
        <v/>
      </c>
      <c r="DN192">
        <f>IF(DN$4=0,0,IF(COUNTIFS(実績!$W$6:$W$505,DN$3,実績!$AC$6:$AC$505,"&lt;="&amp;$A192,実績!$AD$6:$AD$505,"&gt;"&amp;$A192,実績!$AE$6:$AE$505,"○")&gt;0,1,0))</f>
        <v/>
      </c>
      <c r="DO192">
        <f>IF(DO$4=0,0,IF(COUNTIFS(実績!$W$6:$W$505,DO$3,実績!$AC$6:$AC$505,"&lt;="&amp;$A192,実績!$AD$6:$AD$505,"&gt;"&amp;$A192,実績!$AE$6:$AE$505,"○")&gt;0,1,0))</f>
        <v/>
      </c>
      <c r="DP192">
        <f>IF(DP$4=0,0,IF(COUNTIFS(実績!$W$6:$W$505,DP$3,実績!$AC$6:$AC$505,"&lt;="&amp;$A192,実績!$AD$6:$AD$505,"&gt;"&amp;$A192,実績!$AE$6:$AE$505,"○")&gt;0,1,0))</f>
        <v/>
      </c>
      <c r="DQ192">
        <f>IF(DQ$4=0,0,IF(COUNTIFS(実績!$W$6:$W$505,DQ$3,実績!$AC$6:$AC$505,"&lt;="&amp;$A192,実績!$AD$6:$AD$505,"&gt;"&amp;$A192,実績!$AE$6:$AE$505,"○")&gt;0,1,0))</f>
        <v/>
      </c>
      <c r="DR192">
        <f>IF(DR$4=0,0,IF(COUNTIFS(実績!$W$6:$W$505,DR$3,実績!$AC$6:$AC$505,"&lt;="&amp;$A192,実績!$AD$6:$AD$505,"&gt;"&amp;$A192,実績!$AE$6:$AE$505,"○")&gt;0,1,0))</f>
        <v/>
      </c>
      <c r="DS192">
        <f>SUM(C192:DR192)</f>
        <v/>
      </c>
      <c r="DT192">
        <f>SUMPRODUCT((実績!$C$6:$C$505="○")*ISNUMBER(実績!$AF$6:$AF$505)*(実績!$AF$6:$AF$505&lt;=$A192)*(実績!$AG$6:$AG$505&gt;$A192))</f>
        <v/>
      </c>
      <c r="DU192">
        <f>SUMIF($C$2:$DR$2,"製鉄曳船",C192:DR192)</f>
        <v/>
      </c>
      <c r="DV192">
        <f>SUMIF($C$2:$DR$2,"西日本海運",C192:DR192)</f>
        <v/>
      </c>
    </row>
    <row r="193">
      <c r="A193" t="n">
        <v>935</v>
      </c>
      <c r="B193" s="29">
        <f>A193/1440</f>
        <v/>
      </c>
      <c r="C193">
        <f>IF(C$4=0,0,IF(COUNTIFS(実績!$W$6:$W$505,C$3,実績!$AC$6:$AC$505,"&lt;="&amp;$A193,実績!$AD$6:$AD$505,"&gt;"&amp;$A193,実績!$AE$6:$AE$505,"○")&gt;0,1,0))</f>
        <v/>
      </c>
      <c r="D193">
        <f>IF(D$4=0,0,IF(COUNTIFS(実績!$W$6:$W$505,D$3,実績!$AC$6:$AC$505,"&lt;="&amp;$A193,実績!$AD$6:$AD$505,"&gt;"&amp;$A193,実績!$AE$6:$AE$505,"○")&gt;0,1,0))</f>
        <v/>
      </c>
      <c r="E193">
        <f>IF(E$4=0,0,IF(COUNTIFS(実績!$W$6:$W$505,E$3,実績!$AC$6:$AC$505,"&lt;="&amp;$A193,実績!$AD$6:$AD$505,"&gt;"&amp;$A193,実績!$AE$6:$AE$505,"○")&gt;0,1,0))</f>
        <v/>
      </c>
      <c r="F193">
        <f>IF(F$4=0,0,IF(COUNTIFS(実績!$W$6:$W$505,F$3,実績!$AC$6:$AC$505,"&lt;="&amp;$A193,実績!$AD$6:$AD$505,"&gt;"&amp;$A193,実績!$AE$6:$AE$505,"○")&gt;0,1,0))</f>
        <v/>
      </c>
      <c r="G193">
        <f>IF(G$4=0,0,IF(COUNTIFS(実績!$W$6:$W$505,G$3,実績!$AC$6:$AC$505,"&lt;="&amp;$A193,実績!$AD$6:$AD$505,"&gt;"&amp;$A193,実績!$AE$6:$AE$505,"○")&gt;0,1,0))</f>
        <v/>
      </c>
      <c r="H193">
        <f>IF(H$4=0,0,IF(COUNTIFS(実績!$W$6:$W$505,H$3,実績!$AC$6:$AC$505,"&lt;="&amp;$A193,実績!$AD$6:$AD$505,"&gt;"&amp;$A193,実績!$AE$6:$AE$505,"○")&gt;0,1,0))</f>
        <v/>
      </c>
      <c r="I193">
        <f>IF(I$4=0,0,IF(COUNTIFS(実績!$W$6:$W$505,I$3,実績!$AC$6:$AC$505,"&lt;="&amp;$A193,実績!$AD$6:$AD$505,"&gt;"&amp;$A193,実績!$AE$6:$AE$505,"○")&gt;0,1,0))</f>
        <v/>
      </c>
      <c r="J193">
        <f>IF(J$4=0,0,IF(COUNTIFS(実績!$W$6:$W$505,J$3,実績!$AC$6:$AC$505,"&lt;="&amp;$A193,実績!$AD$6:$AD$505,"&gt;"&amp;$A193,実績!$AE$6:$AE$505,"○")&gt;0,1,0))</f>
        <v/>
      </c>
      <c r="K193">
        <f>IF(K$4=0,0,IF(COUNTIFS(実績!$W$6:$W$505,K$3,実績!$AC$6:$AC$505,"&lt;="&amp;$A193,実績!$AD$6:$AD$505,"&gt;"&amp;$A193,実績!$AE$6:$AE$505,"○")&gt;0,1,0))</f>
        <v/>
      </c>
      <c r="L193">
        <f>IF(L$4=0,0,IF(COUNTIFS(実績!$W$6:$W$505,L$3,実績!$AC$6:$AC$505,"&lt;="&amp;$A193,実績!$AD$6:$AD$505,"&gt;"&amp;$A193,実績!$AE$6:$AE$505,"○")&gt;0,1,0))</f>
        <v/>
      </c>
      <c r="M193">
        <f>IF(M$4=0,0,IF(COUNTIFS(実績!$W$6:$W$505,M$3,実績!$AC$6:$AC$505,"&lt;="&amp;$A193,実績!$AD$6:$AD$505,"&gt;"&amp;$A193,実績!$AE$6:$AE$505,"○")&gt;0,1,0))</f>
        <v/>
      </c>
      <c r="N193">
        <f>IF(N$4=0,0,IF(COUNTIFS(実績!$W$6:$W$505,N$3,実績!$AC$6:$AC$505,"&lt;="&amp;$A193,実績!$AD$6:$AD$505,"&gt;"&amp;$A193,実績!$AE$6:$AE$505,"○")&gt;0,1,0))</f>
        <v/>
      </c>
      <c r="O193">
        <f>IF(O$4=0,0,IF(COUNTIFS(実績!$W$6:$W$505,O$3,実績!$AC$6:$AC$505,"&lt;="&amp;$A193,実績!$AD$6:$AD$505,"&gt;"&amp;$A193,実績!$AE$6:$AE$505,"○")&gt;0,1,0))</f>
        <v/>
      </c>
      <c r="P193">
        <f>IF(P$4=0,0,IF(COUNTIFS(実績!$W$6:$W$505,P$3,実績!$AC$6:$AC$505,"&lt;="&amp;$A193,実績!$AD$6:$AD$505,"&gt;"&amp;$A193,実績!$AE$6:$AE$505,"○")&gt;0,1,0))</f>
        <v/>
      </c>
      <c r="Q193">
        <f>IF(Q$4=0,0,IF(COUNTIFS(実績!$W$6:$W$505,Q$3,実績!$AC$6:$AC$505,"&lt;="&amp;$A193,実績!$AD$6:$AD$505,"&gt;"&amp;$A193,実績!$AE$6:$AE$505,"○")&gt;0,1,0))</f>
        <v/>
      </c>
      <c r="R193">
        <f>IF(R$4=0,0,IF(COUNTIFS(実績!$W$6:$W$505,R$3,実績!$AC$6:$AC$505,"&lt;="&amp;$A193,実績!$AD$6:$AD$505,"&gt;"&amp;$A193,実績!$AE$6:$AE$505,"○")&gt;0,1,0))</f>
        <v/>
      </c>
      <c r="S193">
        <f>IF(S$4=0,0,IF(COUNTIFS(実績!$W$6:$W$505,S$3,実績!$AC$6:$AC$505,"&lt;="&amp;$A193,実績!$AD$6:$AD$505,"&gt;"&amp;$A193,実績!$AE$6:$AE$505,"○")&gt;0,1,0))</f>
        <v/>
      </c>
      <c r="T193">
        <f>IF(T$4=0,0,IF(COUNTIFS(実績!$W$6:$W$505,T$3,実績!$AC$6:$AC$505,"&lt;="&amp;$A193,実績!$AD$6:$AD$505,"&gt;"&amp;$A193,実績!$AE$6:$AE$505,"○")&gt;0,1,0))</f>
        <v/>
      </c>
      <c r="U193">
        <f>IF(U$4=0,0,IF(COUNTIFS(実績!$W$6:$W$505,U$3,実績!$AC$6:$AC$505,"&lt;="&amp;$A193,実績!$AD$6:$AD$505,"&gt;"&amp;$A193,実績!$AE$6:$AE$505,"○")&gt;0,1,0))</f>
        <v/>
      </c>
      <c r="V193">
        <f>IF(V$4=0,0,IF(COUNTIFS(実績!$W$6:$W$505,V$3,実績!$AC$6:$AC$505,"&lt;="&amp;$A193,実績!$AD$6:$AD$505,"&gt;"&amp;$A193,実績!$AE$6:$AE$505,"○")&gt;0,1,0))</f>
        <v/>
      </c>
      <c r="W193">
        <f>IF(W$4=0,0,IF(COUNTIFS(実績!$W$6:$W$505,W$3,実績!$AC$6:$AC$505,"&lt;="&amp;$A193,実績!$AD$6:$AD$505,"&gt;"&amp;$A193,実績!$AE$6:$AE$505,"○")&gt;0,1,0))</f>
        <v/>
      </c>
      <c r="X193">
        <f>IF(X$4=0,0,IF(COUNTIFS(実績!$W$6:$W$505,X$3,実績!$AC$6:$AC$505,"&lt;="&amp;$A193,実績!$AD$6:$AD$505,"&gt;"&amp;$A193,実績!$AE$6:$AE$505,"○")&gt;0,1,0))</f>
        <v/>
      </c>
      <c r="Y193">
        <f>IF(Y$4=0,0,IF(COUNTIFS(実績!$W$6:$W$505,Y$3,実績!$AC$6:$AC$505,"&lt;="&amp;$A193,実績!$AD$6:$AD$505,"&gt;"&amp;$A193,実績!$AE$6:$AE$505,"○")&gt;0,1,0))</f>
        <v/>
      </c>
      <c r="Z193">
        <f>IF(Z$4=0,0,IF(COUNTIFS(実績!$W$6:$W$505,Z$3,実績!$AC$6:$AC$505,"&lt;="&amp;$A193,実績!$AD$6:$AD$505,"&gt;"&amp;$A193,実績!$AE$6:$AE$505,"○")&gt;0,1,0))</f>
        <v/>
      </c>
      <c r="AA193">
        <f>IF(AA$4=0,0,IF(COUNTIFS(実績!$W$6:$W$505,AA$3,実績!$AC$6:$AC$505,"&lt;="&amp;$A193,実績!$AD$6:$AD$505,"&gt;"&amp;$A193,実績!$AE$6:$AE$505,"○")&gt;0,1,0))</f>
        <v/>
      </c>
      <c r="AB193">
        <f>IF(AB$4=0,0,IF(COUNTIFS(実績!$W$6:$W$505,AB$3,実績!$AC$6:$AC$505,"&lt;="&amp;$A193,実績!$AD$6:$AD$505,"&gt;"&amp;$A193,実績!$AE$6:$AE$505,"○")&gt;0,1,0))</f>
        <v/>
      </c>
      <c r="AC193">
        <f>IF(AC$4=0,0,IF(COUNTIFS(実績!$W$6:$W$505,AC$3,実績!$AC$6:$AC$505,"&lt;="&amp;$A193,実績!$AD$6:$AD$505,"&gt;"&amp;$A193,実績!$AE$6:$AE$505,"○")&gt;0,1,0))</f>
        <v/>
      </c>
      <c r="AD193">
        <f>IF(AD$4=0,0,IF(COUNTIFS(実績!$W$6:$W$505,AD$3,実績!$AC$6:$AC$505,"&lt;="&amp;$A193,実績!$AD$6:$AD$505,"&gt;"&amp;$A193,実績!$AE$6:$AE$505,"○")&gt;0,1,0))</f>
        <v/>
      </c>
      <c r="AE193">
        <f>IF(AE$4=0,0,IF(COUNTIFS(実績!$W$6:$W$505,AE$3,実績!$AC$6:$AC$505,"&lt;="&amp;$A193,実績!$AD$6:$AD$505,"&gt;"&amp;$A193,実績!$AE$6:$AE$505,"○")&gt;0,1,0))</f>
        <v/>
      </c>
      <c r="AF193">
        <f>IF(AF$4=0,0,IF(COUNTIFS(実績!$W$6:$W$505,AF$3,実績!$AC$6:$AC$505,"&lt;="&amp;$A193,実績!$AD$6:$AD$505,"&gt;"&amp;$A193,実績!$AE$6:$AE$505,"○")&gt;0,1,0))</f>
        <v/>
      </c>
      <c r="AG193">
        <f>IF(AG$4=0,0,IF(COUNTIFS(実績!$W$6:$W$505,AG$3,実績!$AC$6:$AC$505,"&lt;="&amp;$A193,実績!$AD$6:$AD$505,"&gt;"&amp;$A193,実績!$AE$6:$AE$505,"○")&gt;0,1,0))</f>
        <v/>
      </c>
      <c r="AH193">
        <f>IF(AH$4=0,0,IF(COUNTIFS(実績!$W$6:$W$505,AH$3,実績!$AC$6:$AC$505,"&lt;="&amp;$A193,実績!$AD$6:$AD$505,"&gt;"&amp;$A193,実績!$AE$6:$AE$505,"○")&gt;0,1,0))</f>
        <v/>
      </c>
      <c r="AI193">
        <f>IF(AI$4=0,0,IF(COUNTIFS(実績!$W$6:$W$505,AI$3,実績!$AC$6:$AC$505,"&lt;="&amp;$A193,実績!$AD$6:$AD$505,"&gt;"&amp;$A193,実績!$AE$6:$AE$505,"○")&gt;0,1,0))</f>
        <v/>
      </c>
      <c r="AJ193">
        <f>IF(AJ$4=0,0,IF(COUNTIFS(実績!$W$6:$W$505,AJ$3,実績!$AC$6:$AC$505,"&lt;="&amp;$A193,実績!$AD$6:$AD$505,"&gt;"&amp;$A193,実績!$AE$6:$AE$505,"○")&gt;0,1,0))</f>
        <v/>
      </c>
      <c r="AK193">
        <f>IF(AK$4=0,0,IF(COUNTIFS(実績!$W$6:$W$505,AK$3,実績!$AC$6:$AC$505,"&lt;="&amp;$A193,実績!$AD$6:$AD$505,"&gt;"&amp;$A193,実績!$AE$6:$AE$505,"○")&gt;0,1,0))</f>
        <v/>
      </c>
      <c r="AL193">
        <f>IF(AL$4=0,0,IF(COUNTIFS(実績!$W$6:$W$505,AL$3,実績!$AC$6:$AC$505,"&lt;="&amp;$A193,実績!$AD$6:$AD$505,"&gt;"&amp;$A193,実績!$AE$6:$AE$505,"○")&gt;0,1,0))</f>
        <v/>
      </c>
      <c r="AM193">
        <f>IF(AM$4=0,0,IF(COUNTIFS(実績!$W$6:$W$505,AM$3,実績!$AC$6:$AC$505,"&lt;="&amp;$A193,実績!$AD$6:$AD$505,"&gt;"&amp;$A193,実績!$AE$6:$AE$505,"○")&gt;0,1,0))</f>
        <v/>
      </c>
      <c r="AN193">
        <f>IF(AN$4=0,0,IF(COUNTIFS(実績!$W$6:$W$505,AN$3,実績!$AC$6:$AC$505,"&lt;="&amp;$A193,実績!$AD$6:$AD$505,"&gt;"&amp;$A193,実績!$AE$6:$AE$505,"○")&gt;0,1,0))</f>
        <v/>
      </c>
      <c r="AO193">
        <f>IF(AO$4=0,0,IF(COUNTIFS(実績!$W$6:$W$505,AO$3,実績!$AC$6:$AC$505,"&lt;="&amp;$A193,実績!$AD$6:$AD$505,"&gt;"&amp;$A193,実績!$AE$6:$AE$505,"○")&gt;0,1,0))</f>
        <v/>
      </c>
      <c r="AP193">
        <f>IF(AP$4=0,0,IF(COUNTIFS(実績!$W$6:$W$505,AP$3,実績!$AC$6:$AC$505,"&lt;="&amp;$A193,実績!$AD$6:$AD$505,"&gt;"&amp;$A193,実績!$AE$6:$AE$505,"○")&gt;0,1,0))</f>
        <v/>
      </c>
      <c r="AQ193">
        <f>IF(AQ$4=0,0,IF(COUNTIFS(実績!$W$6:$W$505,AQ$3,実績!$AC$6:$AC$505,"&lt;="&amp;$A193,実績!$AD$6:$AD$505,"&gt;"&amp;$A193,実績!$AE$6:$AE$505,"○")&gt;0,1,0))</f>
        <v/>
      </c>
      <c r="AR193">
        <f>IF(AR$4=0,0,IF(COUNTIFS(実績!$W$6:$W$505,AR$3,実績!$AC$6:$AC$505,"&lt;="&amp;$A193,実績!$AD$6:$AD$505,"&gt;"&amp;$A193,実績!$AE$6:$AE$505,"○")&gt;0,1,0))</f>
        <v/>
      </c>
      <c r="AS193">
        <f>IF(AS$4=0,0,IF(COUNTIFS(実績!$W$6:$W$505,AS$3,実績!$AC$6:$AC$505,"&lt;="&amp;$A193,実績!$AD$6:$AD$505,"&gt;"&amp;$A193,実績!$AE$6:$AE$505,"○")&gt;0,1,0))</f>
        <v/>
      </c>
      <c r="AT193">
        <f>IF(AT$4=0,0,IF(COUNTIFS(実績!$W$6:$W$505,AT$3,実績!$AC$6:$AC$505,"&lt;="&amp;$A193,実績!$AD$6:$AD$505,"&gt;"&amp;$A193,実績!$AE$6:$AE$505,"○")&gt;0,1,0))</f>
        <v/>
      </c>
      <c r="AU193">
        <f>IF(AU$4=0,0,IF(COUNTIFS(実績!$W$6:$W$505,AU$3,実績!$AC$6:$AC$505,"&lt;="&amp;$A193,実績!$AD$6:$AD$505,"&gt;"&amp;$A193,実績!$AE$6:$AE$505,"○")&gt;0,1,0))</f>
        <v/>
      </c>
      <c r="AV193">
        <f>IF(AV$4=0,0,IF(COUNTIFS(実績!$W$6:$W$505,AV$3,実績!$AC$6:$AC$505,"&lt;="&amp;$A193,実績!$AD$6:$AD$505,"&gt;"&amp;$A193,実績!$AE$6:$AE$505,"○")&gt;0,1,0))</f>
        <v/>
      </c>
      <c r="AW193">
        <f>IF(AW$4=0,0,IF(COUNTIFS(実績!$W$6:$W$505,AW$3,実績!$AC$6:$AC$505,"&lt;="&amp;$A193,実績!$AD$6:$AD$505,"&gt;"&amp;$A193,実績!$AE$6:$AE$505,"○")&gt;0,1,0))</f>
        <v/>
      </c>
      <c r="AX193">
        <f>IF(AX$4=0,0,IF(COUNTIFS(実績!$W$6:$W$505,AX$3,実績!$AC$6:$AC$505,"&lt;="&amp;$A193,実績!$AD$6:$AD$505,"&gt;"&amp;$A193,実績!$AE$6:$AE$505,"○")&gt;0,1,0))</f>
        <v/>
      </c>
      <c r="AY193">
        <f>IF(AY$4=0,0,IF(COUNTIFS(実績!$W$6:$W$505,AY$3,実績!$AC$6:$AC$505,"&lt;="&amp;$A193,実績!$AD$6:$AD$505,"&gt;"&amp;$A193,実績!$AE$6:$AE$505,"○")&gt;0,1,0))</f>
        <v/>
      </c>
      <c r="AZ193">
        <f>IF(AZ$4=0,0,IF(COUNTIFS(実績!$W$6:$W$505,AZ$3,実績!$AC$6:$AC$505,"&lt;="&amp;$A193,実績!$AD$6:$AD$505,"&gt;"&amp;$A193,実績!$AE$6:$AE$505,"○")&gt;0,1,0))</f>
        <v/>
      </c>
      <c r="BA193">
        <f>IF(BA$4=0,0,IF(COUNTIFS(実績!$W$6:$W$505,BA$3,実績!$AC$6:$AC$505,"&lt;="&amp;$A193,実績!$AD$6:$AD$505,"&gt;"&amp;$A193,実績!$AE$6:$AE$505,"○")&gt;0,1,0))</f>
        <v/>
      </c>
      <c r="BB193">
        <f>IF(BB$4=0,0,IF(COUNTIFS(実績!$W$6:$W$505,BB$3,実績!$AC$6:$AC$505,"&lt;="&amp;$A193,実績!$AD$6:$AD$505,"&gt;"&amp;$A193,実績!$AE$6:$AE$505,"○")&gt;0,1,0))</f>
        <v/>
      </c>
      <c r="BC193">
        <f>IF(BC$4=0,0,IF(COUNTIFS(実績!$W$6:$W$505,BC$3,実績!$AC$6:$AC$505,"&lt;="&amp;$A193,実績!$AD$6:$AD$505,"&gt;"&amp;$A193,実績!$AE$6:$AE$505,"○")&gt;0,1,0))</f>
        <v/>
      </c>
      <c r="BD193">
        <f>IF(BD$4=0,0,IF(COUNTIFS(実績!$W$6:$W$505,BD$3,実績!$AC$6:$AC$505,"&lt;="&amp;$A193,実績!$AD$6:$AD$505,"&gt;"&amp;$A193,実績!$AE$6:$AE$505,"○")&gt;0,1,0))</f>
        <v/>
      </c>
      <c r="BE193">
        <f>IF(BE$4=0,0,IF(COUNTIFS(実績!$W$6:$W$505,BE$3,実績!$AC$6:$AC$505,"&lt;="&amp;$A193,実績!$AD$6:$AD$505,"&gt;"&amp;$A193,実績!$AE$6:$AE$505,"○")&gt;0,1,0))</f>
        <v/>
      </c>
      <c r="BF193">
        <f>IF(BF$4=0,0,IF(COUNTIFS(実績!$W$6:$W$505,BF$3,実績!$AC$6:$AC$505,"&lt;="&amp;$A193,実績!$AD$6:$AD$505,"&gt;"&amp;$A193,実績!$AE$6:$AE$505,"○")&gt;0,1,0))</f>
        <v/>
      </c>
      <c r="BG193">
        <f>IF(BG$4=0,0,IF(COUNTIFS(実績!$W$6:$W$505,BG$3,実績!$AC$6:$AC$505,"&lt;="&amp;$A193,実績!$AD$6:$AD$505,"&gt;"&amp;$A193,実績!$AE$6:$AE$505,"○")&gt;0,1,0))</f>
        <v/>
      </c>
      <c r="BH193">
        <f>IF(BH$4=0,0,IF(COUNTIFS(実績!$W$6:$W$505,BH$3,実績!$AC$6:$AC$505,"&lt;="&amp;$A193,実績!$AD$6:$AD$505,"&gt;"&amp;$A193,実績!$AE$6:$AE$505,"○")&gt;0,1,0))</f>
        <v/>
      </c>
      <c r="BI193">
        <f>IF(BI$4=0,0,IF(COUNTIFS(実績!$W$6:$W$505,BI$3,実績!$AC$6:$AC$505,"&lt;="&amp;$A193,実績!$AD$6:$AD$505,"&gt;"&amp;$A193,実績!$AE$6:$AE$505,"○")&gt;0,1,0))</f>
        <v/>
      </c>
      <c r="BJ193">
        <f>IF(BJ$4=0,0,IF(COUNTIFS(実績!$W$6:$W$505,BJ$3,実績!$AC$6:$AC$505,"&lt;="&amp;$A193,実績!$AD$6:$AD$505,"&gt;"&amp;$A193,実績!$AE$6:$AE$505,"○")&gt;0,1,0))</f>
        <v/>
      </c>
      <c r="BK193">
        <f>IF(BK$4=0,0,IF(COUNTIFS(実績!$W$6:$W$505,BK$3,実績!$AC$6:$AC$505,"&lt;="&amp;$A193,実績!$AD$6:$AD$505,"&gt;"&amp;$A193,実績!$AE$6:$AE$505,"○")&gt;0,1,0))</f>
        <v/>
      </c>
      <c r="BL193">
        <f>IF(BL$4=0,0,IF(COUNTIFS(実績!$W$6:$W$505,BL$3,実績!$AC$6:$AC$505,"&lt;="&amp;$A193,実績!$AD$6:$AD$505,"&gt;"&amp;$A193,実績!$AE$6:$AE$505,"○")&gt;0,1,0))</f>
        <v/>
      </c>
      <c r="BM193">
        <f>IF(BM$4=0,0,IF(COUNTIFS(実績!$W$6:$W$505,BM$3,実績!$AC$6:$AC$505,"&lt;="&amp;$A193,実績!$AD$6:$AD$505,"&gt;"&amp;$A193,実績!$AE$6:$AE$505,"○")&gt;0,1,0))</f>
        <v/>
      </c>
      <c r="BN193">
        <f>IF(BN$4=0,0,IF(COUNTIFS(実績!$W$6:$W$505,BN$3,実績!$AC$6:$AC$505,"&lt;="&amp;$A193,実績!$AD$6:$AD$505,"&gt;"&amp;$A193,実績!$AE$6:$AE$505,"○")&gt;0,1,0))</f>
        <v/>
      </c>
      <c r="BO193">
        <f>IF(BO$4=0,0,IF(COUNTIFS(実績!$W$6:$W$505,BO$3,実績!$AC$6:$AC$505,"&lt;="&amp;$A193,実績!$AD$6:$AD$505,"&gt;"&amp;$A193,実績!$AE$6:$AE$505,"○")&gt;0,1,0))</f>
        <v/>
      </c>
      <c r="BP193">
        <f>IF(BP$4=0,0,IF(COUNTIFS(実績!$W$6:$W$505,BP$3,実績!$AC$6:$AC$505,"&lt;="&amp;$A193,実績!$AD$6:$AD$505,"&gt;"&amp;$A193,実績!$AE$6:$AE$505,"○")&gt;0,1,0))</f>
        <v/>
      </c>
      <c r="BQ193">
        <f>IF(BQ$4=0,0,IF(COUNTIFS(実績!$W$6:$W$505,BQ$3,実績!$AC$6:$AC$505,"&lt;="&amp;$A193,実績!$AD$6:$AD$505,"&gt;"&amp;$A193,実績!$AE$6:$AE$505,"○")&gt;0,1,0))</f>
        <v/>
      </c>
      <c r="BR193">
        <f>IF(BR$4=0,0,IF(COUNTIFS(実績!$W$6:$W$505,BR$3,実績!$AC$6:$AC$505,"&lt;="&amp;$A193,実績!$AD$6:$AD$505,"&gt;"&amp;$A193,実績!$AE$6:$AE$505,"○")&gt;0,1,0))</f>
        <v/>
      </c>
      <c r="BS193">
        <f>IF(BS$4=0,0,IF(COUNTIFS(実績!$W$6:$W$505,BS$3,実績!$AC$6:$AC$505,"&lt;="&amp;$A193,実績!$AD$6:$AD$505,"&gt;"&amp;$A193,実績!$AE$6:$AE$505,"○")&gt;0,1,0))</f>
        <v/>
      </c>
      <c r="BT193">
        <f>IF(BT$4=0,0,IF(COUNTIFS(実績!$W$6:$W$505,BT$3,実績!$AC$6:$AC$505,"&lt;="&amp;$A193,実績!$AD$6:$AD$505,"&gt;"&amp;$A193,実績!$AE$6:$AE$505,"○")&gt;0,1,0))</f>
        <v/>
      </c>
      <c r="BU193">
        <f>IF(BU$4=0,0,IF(COUNTIFS(実績!$W$6:$W$505,BU$3,実績!$AC$6:$AC$505,"&lt;="&amp;$A193,実績!$AD$6:$AD$505,"&gt;"&amp;$A193,実績!$AE$6:$AE$505,"○")&gt;0,1,0))</f>
        <v/>
      </c>
      <c r="BV193">
        <f>IF(BV$4=0,0,IF(COUNTIFS(実績!$W$6:$W$505,BV$3,実績!$AC$6:$AC$505,"&lt;="&amp;$A193,実績!$AD$6:$AD$505,"&gt;"&amp;$A193,実績!$AE$6:$AE$505,"○")&gt;0,1,0))</f>
        <v/>
      </c>
      <c r="BW193">
        <f>IF(BW$4=0,0,IF(COUNTIFS(実績!$W$6:$W$505,BW$3,実績!$AC$6:$AC$505,"&lt;="&amp;$A193,実績!$AD$6:$AD$505,"&gt;"&amp;$A193,実績!$AE$6:$AE$505,"○")&gt;0,1,0))</f>
        <v/>
      </c>
      <c r="BX193">
        <f>IF(BX$4=0,0,IF(COUNTIFS(実績!$W$6:$W$505,BX$3,実績!$AC$6:$AC$505,"&lt;="&amp;$A193,実績!$AD$6:$AD$505,"&gt;"&amp;$A193,実績!$AE$6:$AE$505,"○")&gt;0,1,0))</f>
        <v/>
      </c>
      <c r="BY193">
        <f>IF(BY$4=0,0,IF(COUNTIFS(実績!$W$6:$W$505,BY$3,実績!$AC$6:$AC$505,"&lt;="&amp;$A193,実績!$AD$6:$AD$505,"&gt;"&amp;$A193,実績!$AE$6:$AE$505,"○")&gt;0,1,0))</f>
        <v/>
      </c>
      <c r="BZ193">
        <f>IF(BZ$4=0,0,IF(COUNTIFS(実績!$W$6:$W$505,BZ$3,実績!$AC$6:$AC$505,"&lt;="&amp;$A193,実績!$AD$6:$AD$505,"&gt;"&amp;$A193,実績!$AE$6:$AE$505,"○")&gt;0,1,0))</f>
        <v/>
      </c>
      <c r="CA193">
        <f>IF(CA$4=0,0,IF(COUNTIFS(実績!$W$6:$W$505,CA$3,実績!$AC$6:$AC$505,"&lt;="&amp;$A193,実績!$AD$6:$AD$505,"&gt;"&amp;$A193,実績!$AE$6:$AE$505,"○")&gt;0,1,0))</f>
        <v/>
      </c>
      <c r="CB193">
        <f>IF(CB$4=0,0,IF(COUNTIFS(実績!$W$6:$W$505,CB$3,実績!$AC$6:$AC$505,"&lt;="&amp;$A193,実績!$AD$6:$AD$505,"&gt;"&amp;$A193,実績!$AE$6:$AE$505,"○")&gt;0,1,0))</f>
        <v/>
      </c>
      <c r="CC193">
        <f>IF(CC$4=0,0,IF(COUNTIFS(実績!$W$6:$W$505,CC$3,実績!$AC$6:$AC$505,"&lt;="&amp;$A193,実績!$AD$6:$AD$505,"&gt;"&amp;$A193,実績!$AE$6:$AE$505,"○")&gt;0,1,0))</f>
        <v/>
      </c>
      <c r="CD193">
        <f>IF(CD$4=0,0,IF(COUNTIFS(実績!$W$6:$W$505,CD$3,実績!$AC$6:$AC$505,"&lt;="&amp;$A193,実績!$AD$6:$AD$505,"&gt;"&amp;$A193,実績!$AE$6:$AE$505,"○")&gt;0,1,0))</f>
        <v/>
      </c>
      <c r="CE193">
        <f>IF(CE$4=0,0,IF(COUNTIFS(実績!$W$6:$W$505,CE$3,実績!$AC$6:$AC$505,"&lt;="&amp;$A193,実績!$AD$6:$AD$505,"&gt;"&amp;$A193,実績!$AE$6:$AE$505,"○")&gt;0,1,0))</f>
        <v/>
      </c>
      <c r="CF193">
        <f>IF(CF$4=0,0,IF(COUNTIFS(実績!$W$6:$W$505,CF$3,実績!$AC$6:$AC$505,"&lt;="&amp;$A193,実績!$AD$6:$AD$505,"&gt;"&amp;$A193,実績!$AE$6:$AE$505,"○")&gt;0,1,0))</f>
        <v/>
      </c>
      <c r="CG193">
        <f>IF(CG$4=0,0,IF(COUNTIFS(実績!$W$6:$W$505,CG$3,実績!$AC$6:$AC$505,"&lt;="&amp;$A193,実績!$AD$6:$AD$505,"&gt;"&amp;$A193,実績!$AE$6:$AE$505,"○")&gt;0,1,0))</f>
        <v/>
      </c>
      <c r="CH193">
        <f>IF(CH$4=0,0,IF(COUNTIFS(実績!$W$6:$W$505,CH$3,実績!$AC$6:$AC$505,"&lt;="&amp;$A193,実績!$AD$6:$AD$505,"&gt;"&amp;$A193,実績!$AE$6:$AE$505,"○")&gt;0,1,0))</f>
        <v/>
      </c>
      <c r="CI193">
        <f>IF(CI$4=0,0,IF(COUNTIFS(実績!$W$6:$W$505,CI$3,実績!$AC$6:$AC$505,"&lt;="&amp;$A193,実績!$AD$6:$AD$505,"&gt;"&amp;$A193,実績!$AE$6:$AE$505,"○")&gt;0,1,0))</f>
        <v/>
      </c>
      <c r="CJ193">
        <f>IF(CJ$4=0,0,IF(COUNTIFS(実績!$W$6:$W$505,CJ$3,実績!$AC$6:$AC$505,"&lt;="&amp;$A193,実績!$AD$6:$AD$505,"&gt;"&amp;$A193,実績!$AE$6:$AE$505,"○")&gt;0,1,0))</f>
        <v/>
      </c>
      <c r="CK193">
        <f>IF(CK$4=0,0,IF(COUNTIFS(実績!$W$6:$W$505,CK$3,実績!$AC$6:$AC$505,"&lt;="&amp;$A193,実績!$AD$6:$AD$505,"&gt;"&amp;$A193,実績!$AE$6:$AE$505,"○")&gt;0,1,0))</f>
        <v/>
      </c>
      <c r="CL193">
        <f>IF(CL$4=0,0,IF(COUNTIFS(実績!$W$6:$W$505,CL$3,実績!$AC$6:$AC$505,"&lt;="&amp;$A193,実績!$AD$6:$AD$505,"&gt;"&amp;$A193,実績!$AE$6:$AE$505,"○")&gt;0,1,0))</f>
        <v/>
      </c>
      <c r="CM193">
        <f>IF(CM$4=0,0,IF(COUNTIFS(実績!$W$6:$W$505,CM$3,実績!$AC$6:$AC$505,"&lt;="&amp;$A193,実績!$AD$6:$AD$505,"&gt;"&amp;$A193,実績!$AE$6:$AE$505,"○")&gt;0,1,0))</f>
        <v/>
      </c>
      <c r="CN193">
        <f>IF(CN$4=0,0,IF(COUNTIFS(実績!$W$6:$W$505,CN$3,実績!$AC$6:$AC$505,"&lt;="&amp;$A193,実績!$AD$6:$AD$505,"&gt;"&amp;$A193,実績!$AE$6:$AE$505,"○")&gt;0,1,0))</f>
        <v/>
      </c>
      <c r="CO193">
        <f>IF(CO$4=0,0,IF(COUNTIFS(実績!$W$6:$W$505,CO$3,実績!$AC$6:$AC$505,"&lt;="&amp;$A193,実績!$AD$6:$AD$505,"&gt;"&amp;$A193,実績!$AE$6:$AE$505,"○")&gt;0,1,0))</f>
        <v/>
      </c>
      <c r="CP193">
        <f>IF(CP$4=0,0,IF(COUNTIFS(実績!$W$6:$W$505,CP$3,実績!$AC$6:$AC$505,"&lt;="&amp;$A193,実績!$AD$6:$AD$505,"&gt;"&amp;$A193,実績!$AE$6:$AE$505,"○")&gt;0,1,0))</f>
        <v/>
      </c>
      <c r="CQ193">
        <f>IF(CQ$4=0,0,IF(COUNTIFS(実績!$W$6:$W$505,CQ$3,実績!$AC$6:$AC$505,"&lt;="&amp;$A193,実績!$AD$6:$AD$505,"&gt;"&amp;$A193,実績!$AE$6:$AE$505,"○")&gt;0,1,0))</f>
        <v/>
      </c>
      <c r="CR193">
        <f>IF(CR$4=0,0,IF(COUNTIFS(実績!$W$6:$W$505,CR$3,実績!$AC$6:$AC$505,"&lt;="&amp;$A193,実績!$AD$6:$AD$505,"&gt;"&amp;$A193,実績!$AE$6:$AE$505,"○")&gt;0,1,0))</f>
        <v/>
      </c>
      <c r="CS193">
        <f>IF(CS$4=0,0,IF(COUNTIFS(実績!$W$6:$W$505,CS$3,実績!$AC$6:$AC$505,"&lt;="&amp;$A193,実績!$AD$6:$AD$505,"&gt;"&amp;$A193,実績!$AE$6:$AE$505,"○")&gt;0,1,0))</f>
        <v/>
      </c>
      <c r="CT193">
        <f>IF(CT$4=0,0,IF(COUNTIFS(実績!$W$6:$W$505,CT$3,実績!$AC$6:$AC$505,"&lt;="&amp;$A193,実績!$AD$6:$AD$505,"&gt;"&amp;$A193,実績!$AE$6:$AE$505,"○")&gt;0,1,0))</f>
        <v/>
      </c>
      <c r="CU193">
        <f>IF(CU$4=0,0,IF(COUNTIFS(実績!$W$6:$W$505,CU$3,実績!$AC$6:$AC$505,"&lt;="&amp;$A193,実績!$AD$6:$AD$505,"&gt;"&amp;$A193,実績!$AE$6:$AE$505,"○")&gt;0,1,0))</f>
        <v/>
      </c>
      <c r="CV193">
        <f>IF(CV$4=0,0,IF(COUNTIFS(実績!$W$6:$W$505,CV$3,実績!$AC$6:$AC$505,"&lt;="&amp;$A193,実績!$AD$6:$AD$505,"&gt;"&amp;$A193,実績!$AE$6:$AE$505,"○")&gt;0,1,0))</f>
        <v/>
      </c>
      <c r="CW193">
        <f>IF(CW$4=0,0,IF(COUNTIFS(実績!$W$6:$W$505,CW$3,実績!$AC$6:$AC$505,"&lt;="&amp;$A193,実績!$AD$6:$AD$505,"&gt;"&amp;$A193,実績!$AE$6:$AE$505,"○")&gt;0,1,0))</f>
        <v/>
      </c>
      <c r="CX193">
        <f>IF(CX$4=0,0,IF(COUNTIFS(実績!$W$6:$W$505,CX$3,実績!$AC$6:$AC$505,"&lt;="&amp;$A193,実績!$AD$6:$AD$505,"&gt;"&amp;$A193,実績!$AE$6:$AE$505,"○")&gt;0,1,0))</f>
        <v/>
      </c>
      <c r="CY193">
        <f>IF(CY$4=0,0,IF(COUNTIFS(実績!$W$6:$W$505,CY$3,実績!$AC$6:$AC$505,"&lt;="&amp;$A193,実績!$AD$6:$AD$505,"&gt;"&amp;$A193,実績!$AE$6:$AE$505,"○")&gt;0,1,0))</f>
        <v/>
      </c>
      <c r="CZ193">
        <f>IF(CZ$4=0,0,IF(COUNTIFS(実績!$W$6:$W$505,CZ$3,実績!$AC$6:$AC$505,"&lt;="&amp;$A193,実績!$AD$6:$AD$505,"&gt;"&amp;$A193,実績!$AE$6:$AE$505,"○")&gt;0,1,0))</f>
        <v/>
      </c>
      <c r="DA193">
        <f>IF(DA$4=0,0,IF(COUNTIFS(実績!$W$6:$W$505,DA$3,実績!$AC$6:$AC$505,"&lt;="&amp;$A193,実績!$AD$6:$AD$505,"&gt;"&amp;$A193,実績!$AE$6:$AE$505,"○")&gt;0,1,0))</f>
        <v/>
      </c>
      <c r="DB193">
        <f>IF(DB$4=0,0,IF(COUNTIFS(実績!$W$6:$W$505,DB$3,実績!$AC$6:$AC$505,"&lt;="&amp;$A193,実績!$AD$6:$AD$505,"&gt;"&amp;$A193,実績!$AE$6:$AE$505,"○")&gt;0,1,0))</f>
        <v/>
      </c>
      <c r="DC193">
        <f>IF(DC$4=0,0,IF(COUNTIFS(実績!$W$6:$W$505,DC$3,実績!$AC$6:$AC$505,"&lt;="&amp;$A193,実績!$AD$6:$AD$505,"&gt;"&amp;$A193,実績!$AE$6:$AE$505,"○")&gt;0,1,0))</f>
        <v/>
      </c>
      <c r="DD193">
        <f>IF(DD$4=0,0,IF(COUNTIFS(実績!$W$6:$W$505,DD$3,実績!$AC$6:$AC$505,"&lt;="&amp;$A193,実績!$AD$6:$AD$505,"&gt;"&amp;$A193,実績!$AE$6:$AE$505,"○")&gt;0,1,0))</f>
        <v/>
      </c>
      <c r="DE193">
        <f>IF(DE$4=0,0,IF(COUNTIFS(実績!$W$6:$W$505,DE$3,実績!$AC$6:$AC$505,"&lt;="&amp;$A193,実績!$AD$6:$AD$505,"&gt;"&amp;$A193,実績!$AE$6:$AE$505,"○")&gt;0,1,0))</f>
        <v/>
      </c>
      <c r="DF193">
        <f>IF(DF$4=0,0,IF(COUNTIFS(実績!$W$6:$W$505,DF$3,実績!$AC$6:$AC$505,"&lt;="&amp;$A193,実績!$AD$6:$AD$505,"&gt;"&amp;$A193,実績!$AE$6:$AE$505,"○")&gt;0,1,0))</f>
        <v/>
      </c>
      <c r="DG193">
        <f>IF(DG$4=0,0,IF(COUNTIFS(実績!$W$6:$W$505,DG$3,実績!$AC$6:$AC$505,"&lt;="&amp;$A193,実績!$AD$6:$AD$505,"&gt;"&amp;$A193,実績!$AE$6:$AE$505,"○")&gt;0,1,0))</f>
        <v/>
      </c>
      <c r="DH193">
        <f>IF(DH$4=0,0,IF(COUNTIFS(実績!$W$6:$W$505,DH$3,実績!$AC$6:$AC$505,"&lt;="&amp;$A193,実績!$AD$6:$AD$505,"&gt;"&amp;$A193,実績!$AE$6:$AE$505,"○")&gt;0,1,0))</f>
        <v/>
      </c>
      <c r="DI193">
        <f>IF(DI$4=0,0,IF(COUNTIFS(実績!$W$6:$W$505,DI$3,実績!$AC$6:$AC$505,"&lt;="&amp;$A193,実績!$AD$6:$AD$505,"&gt;"&amp;$A193,実績!$AE$6:$AE$505,"○")&gt;0,1,0))</f>
        <v/>
      </c>
      <c r="DJ193">
        <f>IF(DJ$4=0,0,IF(COUNTIFS(実績!$W$6:$W$505,DJ$3,実績!$AC$6:$AC$505,"&lt;="&amp;$A193,実績!$AD$6:$AD$505,"&gt;"&amp;$A193,実績!$AE$6:$AE$505,"○")&gt;0,1,0))</f>
        <v/>
      </c>
      <c r="DK193">
        <f>IF(DK$4=0,0,IF(COUNTIFS(実績!$W$6:$W$505,DK$3,実績!$AC$6:$AC$505,"&lt;="&amp;$A193,実績!$AD$6:$AD$505,"&gt;"&amp;$A193,実績!$AE$6:$AE$505,"○")&gt;0,1,0))</f>
        <v/>
      </c>
      <c r="DL193">
        <f>IF(DL$4=0,0,IF(COUNTIFS(実績!$W$6:$W$505,DL$3,実績!$AC$6:$AC$505,"&lt;="&amp;$A193,実績!$AD$6:$AD$505,"&gt;"&amp;$A193,実績!$AE$6:$AE$505,"○")&gt;0,1,0))</f>
        <v/>
      </c>
      <c r="DM193">
        <f>IF(DM$4=0,0,IF(COUNTIFS(実績!$W$6:$W$505,DM$3,実績!$AC$6:$AC$505,"&lt;="&amp;$A193,実績!$AD$6:$AD$505,"&gt;"&amp;$A193,実績!$AE$6:$AE$505,"○")&gt;0,1,0))</f>
        <v/>
      </c>
      <c r="DN193">
        <f>IF(DN$4=0,0,IF(COUNTIFS(実績!$W$6:$W$505,DN$3,実績!$AC$6:$AC$505,"&lt;="&amp;$A193,実績!$AD$6:$AD$505,"&gt;"&amp;$A193,実績!$AE$6:$AE$505,"○")&gt;0,1,0))</f>
        <v/>
      </c>
      <c r="DO193">
        <f>IF(DO$4=0,0,IF(COUNTIFS(実績!$W$6:$W$505,DO$3,実績!$AC$6:$AC$505,"&lt;="&amp;$A193,実績!$AD$6:$AD$505,"&gt;"&amp;$A193,実績!$AE$6:$AE$505,"○")&gt;0,1,0))</f>
        <v/>
      </c>
      <c r="DP193">
        <f>IF(DP$4=0,0,IF(COUNTIFS(実績!$W$6:$W$505,DP$3,実績!$AC$6:$AC$505,"&lt;="&amp;$A193,実績!$AD$6:$AD$505,"&gt;"&amp;$A193,実績!$AE$6:$AE$505,"○")&gt;0,1,0))</f>
        <v/>
      </c>
      <c r="DQ193">
        <f>IF(DQ$4=0,0,IF(COUNTIFS(実績!$W$6:$W$505,DQ$3,実績!$AC$6:$AC$505,"&lt;="&amp;$A193,実績!$AD$6:$AD$505,"&gt;"&amp;$A193,実績!$AE$6:$AE$505,"○")&gt;0,1,0))</f>
        <v/>
      </c>
      <c r="DR193">
        <f>IF(DR$4=0,0,IF(COUNTIFS(実績!$W$6:$W$505,DR$3,実績!$AC$6:$AC$505,"&lt;="&amp;$A193,実績!$AD$6:$AD$505,"&gt;"&amp;$A193,実績!$AE$6:$AE$505,"○")&gt;0,1,0))</f>
        <v/>
      </c>
      <c r="DS193">
        <f>SUM(C193:DR193)</f>
        <v/>
      </c>
      <c r="DT193">
        <f>SUMPRODUCT((実績!$C$6:$C$505="○")*ISNUMBER(実績!$AF$6:$AF$505)*(実績!$AF$6:$AF$505&lt;=$A193)*(実績!$AG$6:$AG$505&gt;$A193))</f>
        <v/>
      </c>
      <c r="DU193">
        <f>SUMIF($C$2:$DR$2,"製鉄曳船",C193:DR193)</f>
        <v/>
      </c>
      <c r="DV193">
        <f>SUMIF($C$2:$DR$2,"西日本海運",C193:DR193)</f>
        <v/>
      </c>
    </row>
    <row r="194">
      <c r="A194" t="n">
        <v>940</v>
      </c>
      <c r="B194" s="29">
        <f>A194/1440</f>
        <v/>
      </c>
      <c r="C194">
        <f>IF(C$4=0,0,IF(COUNTIFS(実績!$W$6:$W$505,C$3,実績!$AC$6:$AC$505,"&lt;="&amp;$A194,実績!$AD$6:$AD$505,"&gt;"&amp;$A194,実績!$AE$6:$AE$505,"○")&gt;0,1,0))</f>
        <v/>
      </c>
      <c r="D194">
        <f>IF(D$4=0,0,IF(COUNTIFS(実績!$W$6:$W$505,D$3,実績!$AC$6:$AC$505,"&lt;="&amp;$A194,実績!$AD$6:$AD$505,"&gt;"&amp;$A194,実績!$AE$6:$AE$505,"○")&gt;0,1,0))</f>
        <v/>
      </c>
      <c r="E194">
        <f>IF(E$4=0,0,IF(COUNTIFS(実績!$W$6:$W$505,E$3,実績!$AC$6:$AC$505,"&lt;="&amp;$A194,実績!$AD$6:$AD$505,"&gt;"&amp;$A194,実績!$AE$6:$AE$505,"○")&gt;0,1,0))</f>
        <v/>
      </c>
      <c r="F194">
        <f>IF(F$4=0,0,IF(COUNTIFS(実績!$W$6:$W$505,F$3,実績!$AC$6:$AC$505,"&lt;="&amp;$A194,実績!$AD$6:$AD$505,"&gt;"&amp;$A194,実績!$AE$6:$AE$505,"○")&gt;0,1,0))</f>
        <v/>
      </c>
      <c r="G194">
        <f>IF(G$4=0,0,IF(COUNTIFS(実績!$W$6:$W$505,G$3,実績!$AC$6:$AC$505,"&lt;="&amp;$A194,実績!$AD$6:$AD$505,"&gt;"&amp;$A194,実績!$AE$6:$AE$505,"○")&gt;0,1,0))</f>
        <v/>
      </c>
      <c r="H194">
        <f>IF(H$4=0,0,IF(COUNTIFS(実績!$W$6:$W$505,H$3,実績!$AC$6:$AC$505,"&lt;="&amp;$A194,実績!$AD$6:$AD$505,"&gt;"&amp;$A194,実績!$AE$6:$AE$505,"○")&gt;0,1,0))</f>
        <v/>
      </c>
      <c r="I194">
        <f>IF(I$4=0,0,IF(COUNTIFS(実績!$W$6:$W$505,I$3,実績!$AC$6:$AC$505,"&lt;="&amp;$A194,実績!$AD$6:$AD$505,"&gt;"&amp;$A194,実績!$AE$6:$AE$505,"○")&gt;0,1,0))</f>
        <v/>
      </c>
      <c r="J194">
        <f>IF(J$4=0,0,IF(COUNTIFS(実績!$W$6:$W$505,J$3,実績!$AC$6:$AC$505,"&lt;="&amp;$A194,実績!$AD$6:$AD$505,"&gt;"&amp;$A194,実績!$AE$6:$AE$505,"○")&gt;0,1,0))</f>
        <v/>
      </c>
      <c r="K194">
        <f>IF(K$4=0,0,IF(COUNTIFS(実績!$W$6:$W$505,K$3,実績!$AC$6:$AC$505,"&lt;="&amp;$A194,実績!$AD$6:$AD$505,"&gt;"&amp;$A194,実績!$AE$6:$AE$505,"○")&gt;0,1,0))</f>
        <v/>
      </c>
      <c r="L194">
        <f>IF(L$4=0,0,IF(COUNTIFS(実績!$W$6:$W$505,L$3,実績!$AC$6:$AC$505,"&lt;="&amp;$A194,実績!$AD$6:$AD$505,"&gt;"&amp;$A194,実績!$AE$6:$AE$505,"○")&gt;0,1,0))</f>
        <v/>
      </c>
      <c r="M194">
        <f>IF(M$4=0,0,IF(COUNTIFS(実績!$W$6:$W$505,M$3,実績!$AC$6:$AC$505,"&lt;="&amp;$A194,実績!$AD$6:$AD$505,"&gt;"&amp;$A194,実績!$AE$6:$AE$505,"○")&gt;0,1,0))</f>
        <v/>
      </c>
      <c r="N194">
        <f>IF(N$4=0,0,IF(COUNTIFS(実績!$W$6:$W$505,N$3,実績!$AC$6:$AC$505,"&lt;="&amp;$A194,実績!$AD$6:$AD$505,"&gt;"&amp;$A194,実績!$AE$6:$AE$505,"○")&gt;0,1,0))</f>
        <v/>
      </c>
      <c r="O194">
        <f>IF(O$4=0,0,IF(COUNTIFS(実績!$W$6:$W$505,O$3,実績!$AC$6:$AC$505,"&lt;="&amp;$A194,実績!$AD$6:$AD$505,"&gt;"&amp;$A194,実績!$AE$6:$AE$505,"○")&gt;0,1,0))</f>
        <v/>
      </c>
      <c r="P194">
        <f>IF(P$4=0,0,IF(COUNTIFS(実績!$W$6:$W$505,P$3,実績!$AC$6:$AC$505,"&lt;="&amp;$A194,実績!$AD$6:$AD$505,"&gt;"&amp;$A194,実績!$AE$6:$AE$505,"○")&gt;0,1,0))</f>
        <v/>
      </c>
      <c r="Q194">
        <f>IF(Q$4=0,0,IF(COUNTIFS(実績!$W$6:$W$505,Q$3,実績!$AC$6:$AC$505,"&lt;="&amp;$A194,実績!$AD$6:$AD$505,"&gt;"&amp;$A194,実績!$AE$6:$AE$505,"○")&gt;0,1,0))</f>
        <v/>
      </c>
      <c r="R194">
        <f>IF(R$4=0,0,IF(COUNTIFS(実績!$W$6:$W$505,R$3,実績!$AC$6:$AC$505,"&lt;="&amp;$A194,実績!$AD$6:$AD$505,"&gt;"&amp;$A194,実績!$AE$6:$AE$505,"○")&gt;0,1,0))</f>
        <v/>
      </c>
      <c r="S194">
        <f>IF(S$4=0,0,IF(COUNTIFS(実績!$W$6:$W$505,S$3,実績!$AC$6:$AC$505,"&lt;="&amp;$A194,実績!$AD$6:$AD$505,"&gt;"&amp;$A194,実績!$AE$6:$AE$505,"○")&gt;0,1,0))</f>
        <v/>
      </c>
      <c r="T194">
        <f>IF(T$4=0,0,IF(COUNTIFS(実績!$W$6:$W$505,T$3,実績!$AC$6:$AC$505,"&lt;="&amp;$A194,実績!$AD$6:$AD$505,"&gt;"&amp;$A194,実績!$AE$6:$AE$505,"○")&gt;0,1,0))</f>
        <v/>
      </c>
      <c r="U194">
        <f>IF(U$4=0,0,IF(COUNTIFS(実績!$W$6:$W$505,U$3,実績!$AC$6:$AC$505,"&lt;="&amp;$A194,実績!$AD$6:$AD$505,"&gt;"&amp;$A194,実績!$AE$6:$AE$505,"○")&gt;0,1,0))</f>
        <v/>
      </c>
      <c r="V194">
        <f>IF(V$4=0,0,IF(COUNTIFS(実績!$W$6:$W$505,V$3,実績!$AC$6:$AC$505,"&lt;="&amp;$A194,実績!$AD$6:$AD$505,"&gt;"&amp;$A194,実績!$AE$6:$AE$505,"○")&gt;0,1,0))</f>
        <v/>
      </c>
      <c r="W194">
        <f>IF(W$4=0,0,IF(COUNTIFS(実績!$W$6:$W$505,W$3,実績!$AC$6:$AC$505,"&lt;="&amp;$A194,実績!$AD$6:$AD$505,"&gt;"&amp;$A194,実績!$AE$6:$AE$505,"○")&gt;0,1,0))</f>
        <v/>
      </c>
      <c r="X194">
        <f>IF(X$4=0,0,IF(COUNTIFS(実績!$W$6:$W$505,X$3,実績!$AC$6:$AC$505,"&lt;="&amp;$A194,実績!$AD$6:$AD$505,"&gt;"&amp;$A194,実績!$AE$6:$AE$505,"○")&gt;0,1,0))</f>
        <v/>
      </c>
      <c r="Y194">
        <f>IF(Y$4=0,0,IF(COUNTIFS(実績!$W$6:$W$505,Y$3,実績!$AC$6:$AC$505,"&lt;="&amp;$A194,実績!$AD$6:$AD$505,"&gt;"&amp;$A194,実績!$AE$6:$AE$505,"○")&gt;0,1,0))</f>
        <v/>
      </c>
      <c r="Z194">
        <f>IF(Z$4=0,0,IF(COUNTIFS(実績!$W$6:$W$505,Z$3,実績!$AC$6:$AC$505,"&lt;="&amp;$A194,実績!$AD$6:$AD$505,"&gt;"&amp;$A194,実績!$AE$6:$AE$505,"○")&gt;0,1,0))</f>
        <v/>
      </c>
      <c r="AA194">
        <f>IF(AA$4=0,0,IF(COUNTIFS(実績!$W$6:$W$505,AA$3,実績!$AC$6:$AC$505,"&lt;="&amp;$A194,実績!$AD$6:$AD$505,"&gt;"&amp;$A194,実績!$AE$6:$AE$505,"○")&gt;0,1,0))</f>
        <v/>
      </c>
      <c r="AB194">
        <f>IF(AB$4=0,0,IF(COUNTIFS(実績!$W$6:$W$505,AB$3,実績!$AC$6:$AC$505,"&lt;="&amp;$A194,実績!$AD$6:$AD$505,"&gt;"&amp;$A194,実績!$AE$6:$AE$505,"○")&gt;0,1,0))</f>
        <v/>
      </c>
      <c r="AC194">
        <f>IF(AC$4=0,0,IF(COUNTIFS(実績!$W$6:$W$505,AC$3,実績!$AC$6:$AC$505,"&lt;="&amp;$A194,実績!$AD$6:$AD$505,"&gt;"&amp;$A194,実績!$AE$6:$AE$505,"○")&gt;0,1,0))</f>
        <v/>
      </c>
      <c r="AD194">
        <f>IF(AD$4=0,0,IF(COUNTIFS(実績!$W$6:$W$505,AD$3,実績!$AC$6:$AC$505,"&lt;="&amp;$A194,実績!$AD$6:$AD$505,"&gt;"&amp;$A194,実績!$AE$6:$AE$505,"○")&gt;0,1,0))</f>
        <v/>
      </c>
      <c r="AE194">
        <f>IF(AE$4=0,0,IF(COUNTIFS(実績!$W$6:$W$505,AE$3,実績!$AC$6:$AC$505,"&lt;="&amp;$A194,実績!$AD$6:$AD$505,"&gt;"&amp;$A194,実績!$AE$6:$AE$505,"○")&gt;0,1,0))</f>
        <v/>
      </c>
      <c r="AF194">
        <f>IF(AF$4=0,0,IF(COUNTIFS(実績!$W$6:$W$505,AF$3,実績!$AC$6:$AC$505,"&lt;="&amp;$A194,実績!$AD$6:$AD$505,"&gt;"&amp;$A194,実績!$AE$6:$AE$505,"○")&gt;0,1,0))</f>
        <v/>
      </c>
      <c r="AG194">
        <f>IF(AG$4=0,0,IF(COUNTIFS(実績!$W$6:$W$505,AG$3,実績!$AC$6:$AC$505,"&lt;="&amp;$A194,実績!$AD$6:$AD$505,"&gt;"&amp;$A194,実績!$AE$6:$AE$505,"○")&gt;0,1,0))</f>
        <v/>
      </c>
      <c r="AH194">
        <f>IF(AH$4=0,0,IF(COUNTIFS(実績!$W$6:$W$505,AH$3,実績!$AC$6:$AC$505,"&lt;="&amp;$A194,実績!$AD$6:$AD$505,"&gt;"&amp;$A194,実績!$AE$6:$AE$505,"○")&gt;0,1,0))</f>
        <v/>
      </c>
      <c r="AI194">
        <f>IF(AI$4=0,0,IF(COUNTIFS(実績!$W$6:$W$505,AI$3,実績!$AC$6:$AC$505,"&lt;="&amp;$A194,実績!$AD$6:$AD$505,"&gt;"&amp;$A194,実績!$AE$6:$AE$505,"○")&gt;0,1,0))</f>
        <v/>
      </c>
      <c r="AJ194">
        <f>IF(AJ$4=0,0,IF(COUNTIFS(実績!$W$6:$W$505,AJ$3,実績!$AC$6:$AC$505,"&lt;="&amp;$A194,実績!$AD$6:$AD$505,"&gt;"&amp;$A194,実績!$AE$6:$AE$505,"○")&gt;0,1,0))</f>
        <v/>
      </c>
      <c r="AK194">
        <f>IF(AK$4=0,0,IF(COUNTIFS(実績!$W$6:$W$505,AK$3,実績!$AC$6:$AC$505,"&lt;="&amp;$A194,実績!$AD$6:$AD$505,"&gt;"&amp;$A194,実績!$AE$6:$AE$505,"○")&gt;0,1,0))</f>
        <v/>
      </c>
      <c r="AL194">
        <f>IF(AL$4=0,0,IF(COUNTIFS(実績!$W$6:$W$505,AL$3,実績!$AC$6:$AC$505,"&lt;="&amp;$A194,実績!$AD$6:$AD$505,"&gt;"&amp;$A194,実績!$AE$6:$AE$505,"○")&gt;0,1,0))</f>
        <v/>
      </c>
      <c r="AM194">
        <f>IF(AM$4=0,0,IF(COUNTIFS(実績!$W$6:$W$505,AM$3,実績!$AC$6:$AC$505,"&lt;="&amp;$A194,実績!$AD$6:$AD$505,"&gt;"&amp;$A194,実績!$AE$6:$AE$505,"○")&gt;0,1,0))</f>
        <v/>
      </c>
      <c r="AN194">
        <f>IF(AN$4=0,0,IF(COUNTIFS(実績!$W$6:$W$505,AN$3,実績!$AC$6:$AC$505,"&lt;="&amp;$A194,実績!$AD$6:$AD$505,"&gt;"&amp;$A194,実績!$AE$6:$AE$505,"○")&gt;0,1,0))</f>
        <v/>
      </c>
      <c r="AO194">
        <f>IF(AO$4=0,0,IF(COUNTIFS(実績!$W$6:$W$505,AO$3,実績!$AC$6:$AC$505,"&lt;="&amp;$A194,実績!$AD$6:$AD$505,"&gt;"&amp;$A194,実績!$AE$6:$AE$505,"○")&gt;0,1,0))</f>
        <v/>
      </c>
      <c r="AP194">
        <f>IF(AP$4=0,0,IF(COUNTIFS(実績!$W$6:$W$505,AP$3,実績!$AC$6:$AC$505,"&lt;="&amp;$A194,実績!$AD$6:$AD$505,"&gt;"&amp;$A194,実績!$AE$6:$AE$505,"○")&gt;0,1,0))</f>
        <v/>
      </c>
      <c r="AQ194">
        <f>IF(AQ$4=0,0,IF(COUNTIFS(実績!$W$6:$W$505,AQ$3,実績!$AC$6:$AC$505,"&lt;="&amp;$A194,実績!$AD$6:$AD$505,"&gt;"&amp;$A194,実績!$AE$6:$AE$505,"○")&gt;0,1,0))</f>
        <v/>
      </c>
      <c r="AR194">
        <f>IF(AR$4=0,0,IF(COUNTIFS(実績!$W$6:$W$505,AR$3,実績!$AC$6:$AC$505,"&lt;="&amp;$A194,実績!$AD$6:$AD$505,"&gt;"&amp;$A194,実績!$AE$6:$AE$505,"○")&gt;0,1,0))</f>
        <v/>
      </c>
      <c r="AS194">
        <f>IF(AS$4=0,0,IF(COUNTIFS(実績!$W$6:$W$505,AS$3,実績!$AC$6:$AC$505,"&lt;="&amp;$A194,実績!$AD$6:$AD$505,"&gt;"&amp;$A194,実績!$AE$6:$AE$505,"○")&gt;0,1,0))</f>
        <v/>
      </c>
      <c r="AT194">
        <f>IF(AT$4=0,0,IF(COUNTIFS(実績!$W$6:$W$505,AT$3,実績!$AC$6:$AC$505,"&lt;="&amp;$A194,実績!$AD$6:$AD$505,"&gt;"&amp;$A194,実績!$AE$6:$AE$505,"○")&gt;0,1,0))</f>
        <v/>
      </c>
      <c r="AU194">
        <f>IF(AU$4=0,0,IF(COUNTIFS(実績!$W$6:$W$505,AU$3,実績!$AC$6:$AC$505,"&lt;="&amp;$A194,実績!$AD$6:$AD$505,"&gt;"&amp;$A194,実績!$AE$6:$AE$505,"○")&gt;0,1,0))</f>
        <v/>
      </c>
      <c r="AV194">
        <f>IF(AV$4=0,0,IF(COUNTIFS(実績!$W$6:$W$505,AV$3,実績!$AC$6:$AC$505,"&lt;="&amp;$A194,実績!$AD$6:$AD$505,"&gt;"&amp;$A194,実績!$AE$6:$AE$505,"○")&gt;0,1,0))</f>
        <v/>
      </c>
      <c r="AW194">
        <f>IF(AW$4=0,0,IF(COUNTIFS(実績!$W$6:$W$505,AW$3,実績!$AC$6:$AC$505,"&lt;="&amp;$A194,実績!$AD$6:$AD$505,"&gt;"&amp;$A194,実績!$AE$6:$AE$505,"○")&gt;0,1,0))</f>
        <v/>
      </c>
      <c r="AX194">
        <f>IF(AX$4=0,0,IF(COUNTIFS(実績!$W$6:$W$505,AX$3,実績!$AC$6:$AC$505,"&lt;="&amp;$A194,実績!$AD$6:$AD$505,"&gt;"&amp;$A194,実績!$AE$6:$AE$505,"○")&gt;0,1,0))</f>
        <v/>
      </c>
      <c r="AY194">
        <f>IF(AY$4=0,0,IF(COUNTIFS(実績!$W$6:$W$505,AY$3,実績!$AC$6:$AC$505,"&lt;="&amp;$A194,実績!$AD$6:$AD$505,"&gt;"&amp;$A194,実績!$AE$6:$AE$505,"○")&gt;0,1,0))</f>
        <v/>
      </c>
      <c r="AZ194">
        <f>IF(AZ$4=0,0,IF(COUNTIFS(実績!$W$6:$W$505,AZ$3,実績!$AC$6:$AC$505,"&lt;="&amp;$A194,実績!$AD$6:$AD$505,"&gt;"&amp;$A194,実績!$AE$6:$AE$505,"○")&gt;0,1,0))</f>
        <v/>
      </c>
      <c r="BA194">
        <f>IF(BA$4=0,0,IF(COUNTIFS(実績!$W$6:$W$505,BA$3,実績!$AC$6:$AC$505,"&lt;="&amp;$A194,実績!$AD$6:$AD$505,"&gt;"&amp;$A194,実績!$AE$6:$AE$505,"○")&gt;0,1,0))</f>
        <v/>
      </c>
      <c r="BB194">
        <f>IF(BB$4=0,0,IF(COUNTIFS(実績!$W$6:$W$505,BB$3,実績!$AC$6:$AC$505,"&lt;="&amp;$A194,実績!$AD$6:$AD$505,"&gt;"&amp;$A194,実績!$AE$6:$AE$505,"○")&gt;0,1,0))</f>
        <v/>
      </c>
      <c r="BC194">
        <f>IF(BC$4=0,0,IF(COUNTIFS(実績!$W$6:$W$505,BC$3,実績!$AC$6:$AC$505,"&lt;="&amp;$A194,実績!$AD$6:$AD$505,"&gt;"&amp;$A194,実績!$AE$6:$AE$505,"○")&gt;0,1,0))</f>
        <v/>
      </c>
      <c r="BD194">
        <f>IF(BD$4=0,0,IF(COUNTIFS(実績!$W$6:$W$505,BD$3,実績!$AC$6:$AC$505,"&lt;="&amp;$A194,実績!$AD$6:$AD$505,"&gt;"&amp;$A194,実績!$AE$6:$AE$505,"○")&gt;0,1,0))</f>
        <v/>
      </c>
      <c r="BE194">
        <f>IF(BE$4=0,0,IF(COUNTIFS(実績!$W$6:$W$505,BE$3,実績!$AC$6:$AC$505,"&lt;="&amp;$A194,実績!$AD$6:$AD$505,"&gt;"&amp;$A194,実績!$AE$6:$AE$505,"○")&gt;0,1,0))</f>
        <v/>
      </c>
      <c r="BF194">
        <f>IF(BF$4=0,0,IF(COUNTIFS(実績!$W$6:$W$505,BF$3,実績!$AC$6:$AC$505,"&lt;="&amp;$A194,実績!$AD$6:$AD$505,"&gt;"&amp;$A194,実績!$AE$6:$AE$505,"○")&gt;0,1,0))</f>
        <v/>
      </c>
      <c r="BG194">
        <f>IF(BG$4=0,0,IF(COUNTIFS(実績!$W$6:$W$505,BG$3,実績!$AC$6:$AC$505,"&lt;="&amp;$A194,実績!$AD$6:$AD$505,"&gt;"&amp;$A194,実績!$AE$6:$AE$505,"○")&gt;0,1,0))</f>
        <v/>
      </c>
      <c r="BH194">
        <f>IF(BH$4=0,0,IF(COUNTIFS(実績!$W$6:$W$505,BH$3,実績!$AC$6:$AC$505,"&lt;="&amp;$A194,実績!$AD$6:$AD$505,"&gt;"&amp;$A194,実績!$AE$6:$AE$505,"○")&gt;0,1,0))</f>
        <v/>
      </c>
      <c r="BI194">
        <f>IF(BI$4=0,0,IF(COUNTIFS(実績!$W$6:$W$505,BI$3,実績!$AC$6:$AC$505,"&lt;="&amp;$A194,実績!$AD$6:$AD$505,"&gt;"&amp;$A194,実績!$AE$6:$AE$505,"○")&gt;0,1,0))</f>
        <v/>
      </c>
      <c r="BJ194">
        <f>IF(BJ$4=0,0,IF(COUNTIFS(実績!$W$6:$W$505,BJ$3,実績!$AC$6:$AC$505,"&lt;="&amp;$A194,実績!$AD$6:$AD$505,"&gt;"&amp;$A194,実績!$AE$6:$AE$505,"○")&gt;0,1,0))</f>
        <v/>
      </c>
      <c r="BK194">
        <f>IF(BK$4=0,0,IF(COUNTIFS(実績!$W$6:$W$505,BK$3,実績!$AC$6:$AC$505,"&lt;="&amp;$A194,実績!$AD$6:$AD$505,"&gt;"&amp;$A194,実績!$AE$6:$AE$505,"○")&gt;0,1,0))</f>
        <v/>
      </c>
      <c r="BL194">
        <f>IF(BL$4=0,0,IF(COUNTIFS(実績!$W$6:$W$505,BL$3,実績!$AC$6:$AC$505,"&lt;="&amp;$A194,実績!$AD$6:$AD$505,"&gt;"&amp;$A194,実績!$AE$6:$AE$505,"○")&gt;0,1,0))</f>
        <v/>
      </c>
      <c r="BM194">
        <f>IF(BM$4=0,0,IF(COUNTIFS(実績!$W$6:$W$505,BM$3,実績!$AC$6:$AC$505,"&lt;="&amp;$A194,実績!$AD$6:$AD$505,"&gt;"&amp;$A194,実績!$AE$6:$AE$505,"○")&gt;0,1,0))</f>
        <v/>
      </c>
      <c r="BN194">
        <f>IF(BN$4=0,0,IF(COUNTIFS(実績!$W$6:$W$505,BN$3,実績!$AC$6:$AC$505,"&lt;="&amp;$A194,実績!$AD$6:$AD$505,"&gt;"&amp;$A194,実績!$AE$6:$AE$505,"○")&gt;0,1,0))</f>
        <v/>
      </c>
      <c r="BO194">
        <f>IF(BO$4=0,0,IF(COUNTIFS(実績!$W$6:$W$505,BO$3,実績!$AC$6:$AC$505,"&lt;="&amp;$A194,実績!$AD$6:$AD$505,"&gt;"&amp;$A194,実績!$AE$6:$AE$505,"○")&gt;0,1,0))</f>
        <v/>
      </c>
      <c r="BP194">
        <f>IF(BP$4=0,0,IF(COUNTIFS(実績!$W$6:$W$505,BP$3,実績!$AC$6:$AC$505,"&lt;="&amp;$A194,実績!$AD$6:$AD$505,"&gt;"&amp;$A194,実績!$AE$6:$AE$505,"○")&gt;0,1,0))</f>
        <v/>
      </c>
      <c r="BQ194">
        <f>IF(BQ$4=0,0,IF(COUNTIFS(実績!$W$6:$W$505,BQ$3,実績!$AC$6:$AC$505,"&lt;="&amp;$A194,実績!$AD$6:$AD$505,"&gt;"&amp;$A194,実績!$AE$6:$AE$505,"○")&gt;0,1,0))</f>
        <v/>
      </c>
      <c r="BR194">
        <f>IF(BR$4=0,0,IF(COUNTIFS(実績!$W$6:$W$505,BR$3,実績!$AC$6:$AC$505,"&lt;="&amp;$A194,実績!$AD$6:$AD$505,"&gt;"&amp;$A194,実績!$AE$6:$AE$505,"○")&gt;0,1,0))</f>
        <v/>
      </c>
      <c r="BS194">
        <f>IF(BS$4=0,0,IF(COUNTIFS(実績!$W$6:$W$505,BS$3,実績!$AC$6:$AC$505,"&lt;="&amp;$A194,実績!$AD$6:$AD$505,"&gt;"&amp;$A194,実績!$AE$6:$AE$505,"○")&gt;0,1,0))</f>
        <v/>
      </c>
      <c r="BT194">
        <f>IF(BT$4=0,0,IF(COUNTIFS(実績!$W$6:$W$505,BT$3,実績!$AC$6:$AC$505,"&lt;="&amp;$A194,実績!$AD$6:$AD$505,"&gt;"&amp;$A194,実績!$AE$6:$AE$505,"○")&gt;0,1,0))</f>
        <v/>
      </c>
      <c r="BU194">
        <f>IF(BU$4=0,0,IF(COUNTIFS(実績!$W$6:$W$505,BU$3,実績!$AC$6:$AC$505,"&lt;="&amp;$A194,実績!$AD$6:$AD$505,"&gt;"&amp;$A194,実績!$AE$6:$AE$505,"○")&gt;0,1,0))</f>
        <v/>
      </c>
      <c r="BV194">
        <f>IF(BV$4=0,0,IF(COUNTIFS(実績!$W$6:$W$505,BV$3,実績!$AC$6:$AC$505,"&lt;="&amp;$A194,実績!$AD$6:$AD$505,"&gt;"&amp;$A194,実績!$AE$6:$AE$505,"○")&gt;0,1,0))</f>
        <v/>
      </c>
      <c r="BW194">
        <f>IF(BW$4=0,0,IF(COUNTIFS(実績!$W$6:$W$505,BW$3,実績!$AC$6:$AC$505,"&lt;="&amp;$A194,実績!$AD$6:$AD$505,"&gt;"&amp;$A194,実績!$AE$6:$AE$505,"○")&gt;0,1,0))</f>
        <v/>
      </c>
      <c r="BX194">
        <f>IF(BX$4=0,0,IF(COUNTIFS(実績!$W$6:$W$505,BX$3,実績!$AC$6:$AC$505,"&lt;="&amp;$A194,実績!$AD$6:$AD$505,"&gt;"&amp;$A194,実績!$AE$6:$AE$505,"○")&gt;0,1,0))</f>
        <v/>
      </c>
      <c r="BY194">
        <f>IF(BY$4=0,0,IF(COUNTIFS(実績!$W$6:$W$505,BY$3,実績!$AC$6:$AC$505,"&lt;="&amp;$A194,実績!$AD$6:$AD$505,"&gt;"&amp;$A194,実績!$AE$6:$AE$505,"○")&gt;0,1,0))</f>
        <v/>
      </c>
      <c r="BZ194">
        <f>IF(BZ$4=0,0,IF(COUNTIFS(実績!$W$6:$W$505,BZ$3,実績!$AC$6:$AC$505,"&lt;="&amp;$A194,実績!$AD$6:$AD$505,"&gt;"&amp;$A194,実績!$AE$6:$AE$505,"○")&gt;0,1,0))</f>
        <v/>
      </c>
      <c r="CA194">
        <f>IF(CA$4=0,0,IF(COUNTIFS(実績!$W$6:$W$505,CA$3,実績!$AC$6:$AC$505,"&lt;="&amp;$A194,実績!$AD$6:$AD$505,"&gt;"&amp;$A194,実績!$AE$6:$AE$505,"○")&gt;0,1,0))</f>
        <v/>
      </c>
      <c r="CB194">
        <f>IF(CB$4=0,0,IF(COUNTIFS(実績!$W$6:$W$505,CB$3,実績!$AC$6:$AC$505,"&lt;="&amp;$A194,実績!$AD$6:$AD$505,"&gt;"&amp;$A194,実績!$AE$6:$AE$505,"○")&gt;0,1,0))</f>
        <v/>
      </c>
      <c r="CC194">
        <f>IF(CC$4=0,0,IF(COUNTIFS(実績!$W$6:$W$505,CC$3,実績!$AC$6:$AC$505,"&lt;="&amp;$A194,実績!$AD$6:$AD$505,"&gt;"&amp;$A194,実績!$AE$6:$AE$505,"○")&gt;0,1,0))</f>
        <v/>
      </c>
      <c r="CD194">
        <f>IF(CD$4=0,0,IF(COUNTIFS(実績!$W$6:$W$505,CD$3,実績!$AC$6:$AC$505,"&lt;="&amp;$A194,実績!$AD$6:$AD$505,"&gt;"&amp;$A194,実績!$AE$6:$AE$505,"○")&gt;0,1,0))</f>
        <v/>
      </c>
      <c r="CE194">
        <f>IF(CE$4=0,0,IF(COUNTIFS(実績!$W$6:$W$505,CE$3,実績!$AC$6:$AC$505,"&lt;="&amp;$A194,実績!$AD$6:$AD$505,"&gt;"&amp;$A194,実績!$AE$6:$AE$505,"○")&gt;0,1,0))</f>
        <v/>
      </c>
      <c r="CF194">
        <f>IF(CF$4=0,0,IF(COUNTIFS(実績!$W$6:$W$505,CF$3,実績!$AC$6:$AC$505,"&lt;="&amp;$A194,実績!$AD$6:$AD$505,"&gt;"&amp;$A194,実績!$AE$6:$AE$505,"○")&gt;0,1,0))</f>
        <v/>
      </c>
      <c r="CG194">
        <f>IF(CG$4=0,0,IF(COUNTIFS(実績!$W$6:$W$505,CG$3,実績!$AC$6:$AC$505,"&lt;="&amp;$A194,実績!$AD$6:$AD$505,"&gt;"&amp;$A194,実績!$AE$6:$AE$505,"○")&gt;0,1,0))</f>
        <v/>
      </c>
      <c r="CH194">
        <f>IF(CH$4=0,0,IF(COUNTIFS(実績!$W$6:$W$505,CH$3,実績!$AC$6:$AC$505,"&lt;="&amp;$A194,実績!$AD$6:$AD$505,"&gt;"&amp;$A194,実績!$AE$6:$AE$505,"○")&gt;0,1,0))</f>
        <v/>
      </c>
      <c r="CI194">
        <f>IF(CI$4=0,0,IF(COUNTIFS(実績!$W$6:$W$505,CI$3,実績!$AC$6:$AC$505,"&lt;="&amp;$A194,実績!$AD$6:$AD$505,"&gt;"&amp;$A194,実績!$AE$6:$AE$505,"○")&gt;0,1,0))</f>
        <v/>
      </c>
      <c r="CJ194">
        <f>IF(CJ$4=0,0,IF(COUNTIFS(実績!$W$6:$W$505,CJ$3,実績!$AC$6:$AC$505,"&lt;="&amp;$A194,実績!$AD$6:$AD$505,"&gt;"&amp;$A194,実績!$AE$6:$AE$505,"○")&gt;0,1,0))</f>
        <v/>
      </c>
      <c r="CK194">
        <f>IF(CK$4=0,0,IF(COUNTIFS(実績!$W$6:$W$505,CK$3,実績!$AC$6:$AC$505,"&lt;="&amp;$A194,実績!$AD$6:$AD$505,"&gt;"&amp;$A194,実績!$AE$6:$AE$505,"○")&gt;0,1,0))</f>
        <v/>
      </c>
      <c r="CL194">
        <f>IF(CL$4=0,0,IF(COUNTIFS(実績!$W$6:$W$505,CL$3,実績!$AC$6:$AC$505,"&lt;="&amp;$A194,実績!$AD$6:$AD$505,"&gt;"&amp;$A194,実績!$AE$6:$AE$505,"○")&gt;0,1,0))</f>
        <v/>
      </c>
      <c r="CM194">
        <f>IF(CM$4=0,0,IF(COUNTIFS(実績!$W$6:$W$505,CM$3,実績!$AC$6:$AC$505,"&lt;="&amp;$A194,実績!$AD$6:$AD$505,"&gt;"&amp;$A194,実績!$AE$6:$AE$505,"○")&gt;0,1,0))</f>
        <v/>
      </c>
      <c r="CN194">
        <f>IF(CN$4=0,0,IF(COUNTIFS(実績!$W$6:$W$505,CN$3,実績!$AC$6:$AC$505,"&lt;="&amp;$A194,実績!$AD$6:$AD$505,"&gt;"&amp;$A194,実績!$AE$6:$AE$505,"○")&gt;0,1,0))</f>
        <v/>
      </c>
      <c r="CO194">
        <f>IF(CO$4=0,0,IF(COUNTIFS(実績!$W$6:$W$505,CO$3,実績!$AC$6:$AC$505,"&lt;="&amp;$A194,実績!$AD$6:$AD$505,"&gt;"&amp;$A194,実績!$AE$6:$AE$505,"○")&gt;0,1,0))</f>
        <v/>
      </c>
      <c r="CP194">
        <f>IF(CP$4=0,0,IF(COUNTIFS(実績!$W$6:$W$505,CP$3,実績!$AC$6:$AC$505,"&lt;="&amp;$A194,実績!$AD$6:$AD$505,"&gt;"&amp;$A194,実績!$AE$6:$AE$505,"○")&gt;0,1,0))</f>
        <v/>
      </c>
      <c r="CQ194">
        <f>IF(CQ$4=0,0,IF(COUNTIFS(実績!$W$6:$W$505,CQ$3,実績!$AC$6:$AC$505,"&lt;="&amp;$A194,実績!$AD$6:$AD$505,"&gt;"&amp;$A194,実績!$AE$6:$AE$505,"○")&gt;0,1,0))</f>
        <v/>
      </c>
      <c r="CR194">
        <f>IF(CR$4=0,0,IF(COUNTIFS(実績!$W$6:$W$505,CR$3,実績!$AC$6:$AC$505,"&lt;="&amp;$A194,実績!$AD$6:$AD$505,"&gt;"&amp;$A194,実績!$AE$6:$AE$505,"○")&gt;0,1,0))</f>
        <v/>
      </c>
      <c r="CS194">
        <f>IF(CS$4=0,0,IF(COUNTIFS(実績!$W$6:$W$505,CS$3,実績!$AC$6:$AC$505,"&lt;="&amp;$A194,実績!$AD$6:$AD$505,"&gt;"&amp;$A194,実績!$AE$6:$AE$505,"○")&gt;0,1,0))</f>
        <v/>
      </c>
      <c r="CT194">
        <f>IF(CT$4=0,0,IF(COUNTIFS(実績!$W$6:$W$505,CT$3,実績!$AC$6:$AC$505,"&lt;="&amp;$A194,実績!$AD$6:$AD$505,"&gt;"&amp;$A194,実績!$AE$6:$AE$505,"○")&gt;0,1,0))</f>
        <v/>
      </c>
      <c r="CU194">
        <f>IF(CU$4=0,0,IF(COUNTIFS(実績!$W$6:$W$505,CU$3,実績!$AC$6:$AC$505,"&lt;="&amp;$A194,実績!$AD$6:$AD$505,"&gt;"&amp;$A194,実績!$AE$6:$AE$505,"○")&gt;0,1,0))</f>
        <v/>
      </c>
      <c r="CV194">
        <f>IF(CV$4=0,0,IF(COUNTIFS(実績!$W$6:$W$505,CV$3,実績!$AC$6:$AC$505,"&lt;="&amp;$A194,実績!$AD$6:$AD$505,"&gt;"&amp;$A194,実績!$AE$6:$AE$505,"○")&gt;0,1,0))</f>
        <v/>
      </c>
      <c r="CW194">
        <f>IF(CW$4=0,0,IF(COUNTIFS(実績!$W$6:$W$505,CW$3,実績!$AC$6:$AC$505,"&lt;="&amp;$A194,実績!$AD$6:$AD$505,"&gt;"&amp;$A194,実績!$AE$6:$AE$505,"○")&gt;0,1,0))</f>
        <v/>
      </c>
      <c r="CX194">
        <f>IF(CX$4=0,0,IF(COUNTIFS(実績!$W$6:$W$505,CX$3,実績!$AC$6:$AC$505,"&lt;="&amp;$A194,実績!$AD$6:$AD$505,"&gt;"&amp;$A194,実績!$AE$6:$AE$505,"○")&gt;0,1,0))</f>
        <v/>
      </c>
      <c r="CY194">
        <f>IF(CY$4=0,0,IF(COUNTIFS(実績!$W$6:$W$505,CY$3,実績!$AC$6:$AC$505,"&lt;="&amp;$A194,実績!$AD$6:$AD$505,"&gt;"&amp;$A194,実績!$AE$6:$AE$505,"○")&gt;0,1,0))</f>
        <v/>
      </c>
      <c r="CZ194">
        <f>IF(CZ$4=0,0,IF(COUNTIFS(実績!$W$6:$W$505,CZ$3,実績!$AC$6:$AC$505,"&lt;="&amp;$A194,実績!$AD$6:$AD$505,"&gt;"&amp;$A194,実績!$AE$6:$AE$505,"○")&gt;0,1,0))</f>
        <v/>
      </c>
      <c r="DA194">
        <f>IF(DA$4=0,0,IF(COUNTIFS(実績!$W$6:$W$505,DA$3,実績!$AC$6:$AC$505,"&lt;="&amp;$A194,実績!$AD$6:$AD$505,"&gt;"&amp;$A194,実績!$AE$6:$AE$505,"○")&gt;0,1,0))</f>
        <v/>
      </c>
      <c r="DB194">
        <f>IF(DB$4=0,0,IF(COUNTIFS(実績!$W$6:$W$505,DB$3,実績!$AC$6:$AC$505,"&lt;="&amp;$A194,実績!$AD$6:$AD$505,"&gt;"&amp;$A194,実績!$AE$6:$AE$505,"○")&gt;0,1,0))</f>
        <v/>
      </c>
      <c r="DC194">
        <f>IF(DC$4=0,0,IF(COUNTIFS(実績!$W$6:$W$505,DC$3,実績!$AC$6:$AC$505,"&lt;="&amp;$A194,実績!$AD$6:$AD$505,"&gt;"&amp;$A194,実績!$AE$6:$AE$505,"○")&gt;0,1,0))</f>
        <v/>
      </c>
      <c r="DD194">
        <f>IF(DD$4=0,0,IF(COUNTIFS(実績!$W$6:$W$505,DD$3,実績!$AC$6:$AC$505,"&lt;="&amp;$A194,実績!$AD$6:$AD$505,"&gt;"&amp;$A194,実績!$AE$6:$AE$505,"○")&gt;0,1,0))</f>
        <v/>
      </c>
      <c r="DE194">
        <f>IF(DE$4=0,0,IF(COUNTIFS(実績!$W$6:$W$505,DE$3,実績!$AC$6:$AC$505,"&lt;="&amp;$A194,実績!$AD$6:$AD$505,"&gt;"&amp;$A194,実績!$AE$6:$AE$505,"○")&gt;0,1,0))</f>
        <v/>
      </c>
      <c r="DF194">
        <f>IF(DF$4=0,0,IF(COUNTIFS(実績!$W$6:$W$505,DF$3,実績!$AC$6:$AC$505,"&lt;="&amp;$A194,実績!$AD$6:$AD$505,"&gt;"&amp;$A194,実績!$AE$6:$AE$505,"○")&gt;0,1,0))</f>
        <v/>
      </c>
      <c r="DG194">
        <f>IF(DG$4=0,0,IF(COUNTIFS(実績!$W$6:$W$505,DG$3,実績!$AC$6:$AC$505,"&lt;="&amp;$A194,実績!$AD$6:$AD$505,"&gt;"&amp;$A194,実績!$AE$6:$AE$505,"○")&gt;0,1,0))</f>
        <v/>
      </c>
      <c r="DH194">
        <f>IF(DH$4=0,0,IF(COUNTIFS(実績!$W$6:$W$505,DH$3,実績!$AC$6:$AC$505,"&lt;="&amp;$A194,実績!$AD$6:$AD$505,"&gt;"&amp;$A194,実績!$AE$6:$AE$505,"○")&gt;0,1,0))</f>
        <v/>
      </c>
      <c r="DI194">
        <f>IF(DI$4=0,0,IF(COUNTIFS(実績!$W$6:$W$505,DI$3,実績!$AC$6:$AC$505,"&lt;="&amp;$A194,実績!$AD$6:$AD$505,"&gt;"&amp;$A194,実績!$AE$6:$AE$505,"○")&gt;0,1,0))</f>
        <v/>
      </c>
      <c r="DJ194">
        <f>IF(DJ$4=0,0,IF(COUNTIFS(実績!$W$6:$W$505,DJ$3,実績!$AC$6:$AC$505,"&lt;="&amp;$A194,実績!$AD$6:$AD$505,"&gt;"&amp;$A194,実績!$AE$6:$AE$505,"○")&gt;0,1,0))</f>
        <v/>
      </c>
      <c r="DK194">
        <f>IF(DK$4=0,0,IF(COUNTIFS(実績!$W$6:$W$505,DK$3,実績!$AC$6:$AC$505,"&lt;="&amp;$A194,実績!$AD$6:$AD$505,"&gt;"&amp;$A194,実績!$AE$6:$AE$505,"○")&gt;0,1,0))</f>
        <v/>
      </c>
      <c r="DL194">
        <f>IF(DL$4=0,0,IF(COUNTIFS(実績!$W$6:$W$505,DL$3,実績!$AC$6:$AC$505,"&lt;="&amp;$A194,実績!$AD$6:$AD$505,"&gt;"&amp;$A194,実績!$AE$6:$AE$505,"○")&gt;0,1,0))</f>
        <v/>
      </c>
      <c r="DM194">
        <f>IF(DM$4=0,0,IF(COUNTIFS(実績!$W$6:$W$505,DM$3,実績!$AC$6:$AC$505,"&lt;="&amp;$A194,実績!$AD$6:$AD$505,"&gt;"&amp;$A194,実績!$AE$6:$AE$505,"○")&gt;0,1,0))</f>
        <v/>
      </c>
      <c r="DN194">
        <f>IF(DN$4=0,0,IF(COUNTIFS(実績!$W$6:$W$505,DN$3,実績!$AC$6:$AC$505,"&lt;="&amp;$A194,実績!$AD$6:$AD$505,"&gt;"&amp;$A194,実績!$AE$6:$AE$505,"○")&gt;0,1,0))</f>
        <v/>
      </c>
      <c r="DO194">
        <f>IF(DO$4=0,0,IF(COUNTIFS(実績!$W$6:$W$505,DO$3,実績!$AC$6:$AC$505,"&lt;="&amp;$A194,実績!$AD$6:$AD$505,"&gt;"&amp;$A194,実績!$AE$6:$AE$505,"○")&gt;0,1,0))</f>
        <v/>
      </c>
      <c r="DP194">
        <f>IF(DP$4=0,0,IF(COUNTIFS(実績!$W$6:$W$505,DP$3,実績!$AC$6:$AC$505,"&lt;="&amp;$A194,実績!$AD$6:$AD$505,"&gt;"&amp;$A194,実績!$AE$6:$AE$505,"○")&gt;0,1,0))</f>
        <v/>
      </c>
      <c r="DQ194">
        <f>IF(DQ$4=0,0,IF(COUNTIFS(実績!$W$6:$W$505,DQ$3,実績!$AC$6:$AC$505,"&lt;="&amp;$A194,実績!$AD$6:$AD$505,"&gt;"&amp;$A194,実績!$AE$6:$AE$505,"○")&gt;0,1,0))</f>
        <v/>
      </c>
      <c r="DR194">
        <f>IF(DR$4=0,0,IF(COUNTIFS(実績!$W$6:$W$505,DR$3,実績!$AC$6:$AC$505,"&lt;="&amp;$A194,実績!$AD$6:$AD$505,"&gt;"&amp;$A194,実績!$AE$6:$AE$505,"○")&gt;0,1,0))</f>
        <v/>
      </c>
      <c r="DS194">
        <f>SUM(C194:DR194)</f>
        <v/>
      </c>
      <c r="DT194">
        <f>SUMPRODUCT((実績!$C$6:$C$505="○")*ISNUMBER(実績!$AF$6:$AF$505)*(実績!$AF$6:$AF$505&lt;=$A194)*(実績!$AG$6:$AG$505&gt;$A194))</f>
        <v/>
      </c>
      <c r="DU194">
        <f>SUMIF($C$2:$DR$2,"製鉄曳船",C194:DR194)</f>
        <v/>
      </c>
      <c r="DV194">
        <f>SUMIF($C$2:$DR$2,"西日本海運",C194:DR194)</f>
        <v/>
      </c>
    </row>
    <row r="195">
      <c r="A195" t="n">
        <v>945</v>
      </c>
      <c r="B195" s="29">
        <f>A195/1440</f>
        <v/>
      </c>
      <c r="C195">
        <f>IF(C$4=0,0,IF(COUNTIFS(実績!$W$6:$W$505,C$3,実績!$AC$6:$AC$505,"&lt;="&amp;$A195,実績!$AD$6:$AD$505,"&gt;"&amp;$A195,実績!$AE$6:$AE$505,"○")&gt;0,1,0))</f>
        <v/>
      </c>
      <c r="D195">
        <f>IF(D$4=0,0,IF(COUNTIFS(実績!$W$6:$W$505,D$3,実績!$AC$6:$AC$505,"&lt;="&amp;$A195,実績!$AD$6:$AD$505,"&gt;"&amp;$A195,実績!$AE$6:$AE$505,"○")&gt;0,1,0))</f>
        <v/>
      </c>
      <c r="E195">
        <f>IF(E$4=0,0,IF(COUNTIFS(実績!$W$6:$W$505,E$3,実績!$AC$6:$AC$505,"&lt;="&amp;$A195,実績!$AD$6:$AD$505,"&gt;"&amp;$A195,実績!$AE$6:$AE$505,"○")&gt;0,1,0))</f>
        <v/>
      </c>
      <c r="F195">
        <f>IF(F$4=0,0,IF(COUNTIFS(実績!$W$6:$W$505,F$3,実績!$AC$6:$AC$505,"&lt;="&amp;$A195,実績!$AD$6:$AD$505,"&gt;"&amp;$A195,実績!$AE$6:$AE$505,"○")&gt;0,1,0))</f>
        <v/>
      </c>
      <c r="G195">
        <f>IF(G$4=0,0,IF(COUNTIFS(実績!$W$6:$W$505,G$3,実績!$AC$6:$AC$505,"&lt;="&amp;$A195,実績!$AD$6:$AD$505,"&gt;"&amp;$A195,実績!$AE$6:$AE$505,"○")&gt;0,1,0))</f>
        <v/>
      </c>
      <c r="H195">
        <f>IF(H$4=0,0,IF(COUNTIFS(実績!$W$6:$W$505,H$3,実績!$AC$6:$AC$505,"&lt;="&amp;$A195,実績!$AD$6:$AD$505,"&gt;"&amp;$A195,実績!$AE$6:$AE$505,"○")&gt;0,1,0))</f>
        <v/>
      </c>
      <c r="I195">
        <f>IF(I$4=0,0,IF(COUNTIFS(実績!$W$6:$W$505,I$3,実績!$AC$6:$AC$505,"&lt;="&amp;$A195,実績!$AD$6:$AD$505,"&gt;"&amp;$A195,実績!$AE$6:$AE$505,"○")&gt;0,1,0))</f>
        <v/>
      </c>
      <c r="J195">
        <f>IF(J$4=0,0,IF(COUNTIFS(実績!$W$6:$W$505,J$3,実績!$AC$6:$AC$505,"&lt;="&amp;$A195,実績!$AD$6:$AD$505,"&gt;"&amp;$A195,実績!$AE$6:$AE$505,"○")&gt;0,1,0))</f>
        <v/>
      </c>
      <c r="K195">
        <f>IF(K$4=0,0,IF(COUNTIFS(実績!$W$6:$W$505,K$3,実績!$AC$6:$AC$505,"&lt;="&amp;$A195,実績!$AD$6:$AD$505,"&gt;"&amp;$A195,実績!$AE$6:$AE$505,"○")&gt;0,1,0))</f>
        <v/>
      </c>
      <c r="L195">
        <f>IF(L$4=0,0,IF(COUNTIFS(実績!$W$6:$W$505,L$3,実績!$AC$6:$AC$505,"&lt;="&amp;$A195,実績!$AD$6:$AD$505,"&gt;"&amp;$A195,実績!$AE$6:$AE$505,"○")&gt;0,1,0))</f>
        <v/>
      </c>
      <c r="M195">
        <f>IF(M$4=0,0,IF(COUNTIFS(実績!$W$6:$W$505,M$3,実績!$AC$6:$AC$505,"&lt;="&amp;$A195,実績!$AD$6:$AD$505,"&gt;"&amp;$A195,実績!$AE$6:$AE$505,"○")&gt;0,1,0))</f>
        <v/>
      </c>
      <c r="N195">
        <f>IF(N$4=0,0,IF(COUNTIFS(実績!$W$6:$W$505,N$3,実績!$AC$6:$AC$505,"&lt;="&amp;$A195,実績!$AD$6:$AD$505,"&gt;"&amp;$A195,実績!$AE$6:$AE$505,"○")&gt;0,1,0))</f>
        <v/>
      </c>
      <c r="O195">
        <f>IF(O$4=0,0,IF(COUNTIFS(実績!$W$6:$W$505,O$3,実績!$AC$6:$AC$505,"&lt;="&amp;$A195,実績!$AD$6:$AD$505,"&gt;"&amp;$A195,実績!$AE$6:$AE$505,"○")&gt;0,1,0))</f>
        <v/>
      </c>
      <c r="P195">
        <f>IF(P$4=0,0,IF(COUNTIFS(実績!$W$6:$W$505,P$3,実績!$AC$6:$AC$505,"&lt;="&amp;$A195,実績!$AD$6:$AD$505,"&gt;"&amp;$A195,実績!$AE$6:$AE$505,"○")&gt;0,1,0))</f>
        <v/>
      </c>
      <c r="Q195">
        <f>IF(Q$4=0,0,IF(COUNTIFS(実績!$W$6:$W$505,Q$3,実績!$AC$6:$AC$505,"&lt;="&amp;$A195,実績!$AD$6:$AD$505,"&gt;"&amp;$A195,実績!$AE$6:$AE$505,"○")&gt;0,1,0))</f>
        <v/>
      </c>
      <c r="R195">
        <f>IF(R$4=0,0,IF(COUNTIFS(実績!$W$6:$W$505,R$3,実績!$AC$6:$AC$505,"&lt;="&amp;$A195,実績!$AD$6:$AD$505,"&gt;"&amp;$A195,実績!$AE$6:$AE$505,"○")&gt;0,1,0))</f>
        <v/>
      </c>
      <c r="S195">
        <f>IF(S$4=0,0,IF(COUNTIFS(実績!$W$6:$W$505,S$3,実績!$AC$6:$AC$505,"&lt;="&amp;$A195,実績!$AD$6:$AD$505,"&gt;"&amp;$A195,実績!$AE$6:$AE$505,"○")&gt;0,1,0))</f>
        <v/>
      </c>
      <c r="T195">
        <f>IF(T$4=0,0,IF(COUNTIFS(実績!$W$6:$W$505,T$3,実績!$AC$6:$AC$505,"&lt;="&amp;$A195,実績!$AD$6:$AD$505,"&gt;"&amp;$A195,実績!$AE$6:$AE$505,"○")&gt;0,1,0))</f>
        <v/>
      </c>
      <c r="U195">
        <f>IF(U$4=0,0,IF(COUNTIFS(実績!$W$6:$W$505,U$3,実績!$AC$6:$AC$505,"&lt;="&amp;$A195,実績!$AD$6:$AD$505,"&gt;"&amp;$A195,実績!$AE$6:$AE$505,"○")&gt;0,1,0))</f>
        <v/>
      </c>
      <c r="V195">
        <f>IF(V$4=0,0,IF(COUNTIFS(実績!$W$6:$W$505,V$3,実績!$AC$6:$AC$505,"&lt;="&amp;$A195,実績!$AD$6:$AD$505,"&gt;"&amp;$A195,実績!$AE$6:$AE$505,"○")&gt;0,1,0))</f>
        <v/>
      </c>
      <c r="W195">
        <f>IF(W$4=0,0,IF(COUNTIFS(実績!$W$6:$W$505,W$3,実績!$AC$6:$AC$505,"&lt;="&amp;$A195,実績!$AD$6:$AD$505,"&gt;"&amp;$A195,実績!$AE$6:$AE$505,"○")&gt;0,1,0))</f>
        <v/>
      </c>
      <c r="X195">
        <f>IF(X$4=0,0,IF(COUNTIFS(実績!$W$6:$W$505,X$3,実績!$AC$6:$AC$505,"&lt;="&amp;$A195,実績!$AD$6:$AD$505,"&gt;"&amp;$A195,実績!$AE$6:$AE$505,"○")&gt;0,1,0))</f>
        <v/>
      </c>
      <c r="Y195">
        <f>IF(Y$4=0,0,IF(COUNTIFS(実績!$W$6:$W$505,Y$3,実績!$AC$6:$AC$505,"&lt;="&amp;$A195,実績!$AD$6:$AD$505,"&gt;"&amp;$A195,実績!$AE$6:$AE$505,"○")&gt;0,1,0))</f>
        <v/>
      </c>
      <c r="Z195">
        <f>IF(Z$4=0,0,IF(COUNTIFS(実績!$W$6:$W$505,Z$3,実績!$AC$6:$AC$505,"&lt;="&amp;$A195,実績!$AD$6:$AD$505,"&gt;"&amp;$A195,実績!$AE$6:$AE$505,"○")&gt;0,1,0))</f>
        <v/>
      </c>
      <c r="AA195">
        <f>IF(AA$4=0,0,IF(COUNTIFS(実績!$W$6:$W$505,AA$3,実績!$AC$6:$AC$505,"&lt;="&amp;$A195,実績!$AD$6:$AD$505,"&gt;"&amp;$A195,実績!$AE$6:$AE$505,"○")&gt;0,1,0))</f>
        <v/>
      </c>
      <c r="AB195">
        <f>IF(AB$4=0,0,IF(COUNTIFS(実績!$W$6:$W$505,AB$3,実績!$AC$6:$AC$505,"&lt;="&amp;$A195,実績!$AD$6:$AD$505,"&gt;"&amp;$A195,実績!$AE$6:$AE$505,"○")&gt;0,1,0))</f>
        <v/>
      </c>
      <c r="AC195">
        <f>IF(AC$4=0,0,IF(COUNTIFS(実績!$W$6:$W$505,AC$3,実績!$AC$6:$AC$505,"&lt;="&amp;$A195,実績!$AD$6:$AD$505,"&gt;"&amp;$A195,実績!$AE$6:$AE$505,"○")&gt;0,1,0))</f>
        <v/>
      </c>
      <c r="AD195">
        <f>IF(AD$4=0,0,IF(COUNTIFS(実績!$W$6:$W$505,AD$3,実績!$AC$6:$AC$505,"&lt;="&amp;$A195,実績!$AD$6:$AD$505,"&gt;"&amp;$A195,実績!$AE$6:$AE$505,"○")&gt;0,1,0))</f>
        <v/>
      </c>
      <c r="AE195">
        <f>IF(AE$4=0,0,IF(COUNTIFS(実績!$W$6:$W$505,AE$3,実績!$AC$6:$AC$505,"&lt;="&amp;$A195,実績!$AD$6:$AD$505,"&gt;"&amp;$A195,実績!$AE$6:$AE$505,"○")&gt;0,1,0))</f>
        <v/>
      </c>
      <c r="AF195">
        <f>IF(AF$4=0,0,IF(COUNTIFS(実績!$W$6:$W$505,AF$3,実績!$AC$6:$AC$505,"&lt;="&amp;$A195,実績!$AD$6:$AD$505,"&gt;"&amp;$A195,実績!$AE$6:$AE$505,"○")&gt;0,1,0))</f>
        <v/>
      </c>
      <c r="AG195">
        <f>IF(AG$4=0,0,IF(COUNTIFS(実績!$W$6:$W$505,AG$3,実績!$AC$6:$AC$505,"&lt;="&amp;$A195,実績!$AD$6:$AD$505,"&gt;"&amp;$A195,実績!$AE$6:$AE$505,"○")&gt;0,1,0))</f>
        <v/>
      </c>
      <c r="AH195">
        <f>IF(AH$4=0,0,IF(COUNTIFS(実績!$W$6:$W$505,AH$3,実績!$AC$6:$AC$505,"&lt;="&amp;$A195,実績!$AD$6:$AD$505,"&gt;"&amp;$A195,実績!$AE$6:$AE$505,"○")&gt;0,1,0))</f>
        <v/>
      </c>
      <c r="AI195">
        <f>IF(AI$4=0,0,IF(COUNTIFS(実績!$W$6:$W$505,AI$3,実績!$AC$6:$AC$505,"&lt;="&amp;$A195,実績!$AD$6:$AD$505,"&gt;"&amp;$A195,実績!$AE$6:$AE$505,"○")&gt;0,1,0))</f>
        <v/>
      </c>
      <c r="AJ195">
        <f>IF(AJ$4=0,0,IF(COUNTIFS(実績!$W$6:$W$505,AJ$3,実績!$AC$6:$AC$505,"&lt;="&amp;$A195,実績!$AD$6:$AD$505,"&gt;"&amp;$A195,実績!$AE$6:$AE$505,"○")&gt;0,1,0))</f>
        <v/>
      </c>
      <c r="AK195">
        <f>IF(AK$4=0,0,IF(COUNTIFS(実績!$W$6:$W$505,AK$3,実績!$AC$6:$AC$505,"&lt;="&amp;$A195,実績!$AD$6:$AD$505,"&gt;"&amp;$A195,実績!$AE$6:$AE$505,"○")&gt;0,1,0))</f>
        <v/>
      </c>
      <c r="AL195">
        <f>IF(AL$4=0,0,IF(COUNTIFS(実績!$W$6:$W$505,AL$3,実績!$AC$6:$AC$505,"&lt;="&amp;$A195,実績!$AD$6:$AD$505,"&gt;"&amp;$A195,実績!$AE$6:$AE$505,"○")&gt;0,1,0))</f>
        <v/>
      </c>
      <c r="AM195">
        <f>IF(AM$4=0,0,IF(COUNTIFS(実績!$W$6:$W$505,AM$3,実績!$AC$6:$AC$505,"&lt;="&amp;$A195,実績!$AD$6:$AD$505,"&gt;"&amp;$A195,実績!$AE$6:$AE$505,"○")&gt;0,1,0))</f>
        <v/>
      </c>
      <c r="AN195">
        <f>IF(AN$4=0,0,IF(COUNTIFS(実績!$W$6:$W$505,AN$3,実績!$AC$6:$AC$505,"&lt;="&amp;$A195,実績!$AD$6:$AD$505,"&gt;"&amp;$A195,実績!$AE$6:$AE$505,"○")&gt;0,1,0))</f>
        <v/>
      </c>
      <c r="AO195">
        <f>IF(AO$4=0,0,IF(COUNTIFS(実績!$W$6:$W$505,AO$3,実績!$AC$6:$AC$505,"&lt;="&amp;$A195,実績!$AD$6:$AD$505,"&gt;"&amp;$A195,実績!$AE$6:$AE$505,"○")&gt;0,1,0))</f>
        <v/>
      </c>
      <c r="AP195">
        <f>IF(AP$4=0,0,IF(COUNTIFS(実績!$W$6:$W$505,AP$3,実績!$AC$6:$AC$505,"&lt;="&amp;$A195,実績!$AD$6:$AD$505,"&gt;"&amp;$A195,実績!$AE$6:$AE$505,"○")&gt;0,1,0))</f>
        <v/>
      </c>
      <c r="AQ195">
        <f>IF(AQ$4=0,0,IF(COUNTIFS(実績!$W$6:$W$505,AQ$3,実績!$AC$6:$AC$505,"&lt;="&amp;$A195,実績!$AD$6:$AD$505,"&gt;"&amp;$A195,実績!$AE$6:$AE$505,"○")&gt;0,1,0))</f>
        <v/>
      </c>
      <c r="AR195">
        <f>IF(AR$4=0,0,IF(COUNTIFS(実績!$W$6:$W$505,AR$3,実績!$AC$6:$AC$505,"&lt;="&amp;$A195,実績!$AD$6:$AD$505,"&gt;"&amp;$A195,実績!$AE$6:$AE$505,"○")&gt;0,1,0))</f>
        <v/>
      </c>
      <c r="AS195">
        <f>IF(AS$4=0,0,IF(COUNTIFS(実績!$W$6:$W$505,AS$3,実績!$AC$6:$AC$505,"&lt;="&amp;$A195,実績!$AD$6:$AD$505,"&gt;"&amp;$A195,実績!$AE$6:$AE$505,"○")&gt;0,1,0))</f>
        <v/>
      </c>
      <c r="AT195">
        <f>IF(AT$4=0,0,IF(COUNTIFS(実績!$W$6:$W$505,AT$3,実績!$AC$6:$AC$505,"&lt;="&amp;$A195,実績!$AD$6:$AD$505,"&gt;"&amp;$A195,実績!$AE$6:$AE$505,"○")&gt;0,1,0))</f>
        <v/>
      </c>
      <c r="AU195">
        <f>IF(AU$4=0,0,IF(COUNTIFS(実績!$W$6:$W$505,AU$3,実績!$AC$6:$AC$505,"&lt;="&amp;$A195,実績!$AD$6:$AD$505,"&gt;"&amp;$A195,実績!$AE$6:$AE$505,"○")&gt;0,1,0))</f>
        <v/>
      </c>
      <c r="AV195">
        <f>IF(AV$4=0,0,IF(COUNTIFS(実績!$W$6:$W$505,AV$3,実績!$AC$6:$AC$505,"&lt;="&amp;$A195,実績!$AD$6:$AD$505,"&gt;"&amp;$A195,実績!$AE$6:$AE$505,"○")&gt;0,1,0))</f>
        <v/>
      </c>
      <c r="AW195">
        <f>IF(AW$4=0,0,IF(COUNTIFS(実績!$W$6:$W$505,AW$3,実績!$AC$6:$AC$505,"&lt;="&amp;$A195,実績!$AD$6:$AD$505,"&gt;"&amp;$A195,実績!$AE$6:$AE$505,"○")&gt;0,1,0))</f>
        <v/>
      </c>
      <c r="AX195">
        <f>IF(AX$4=0,0,IF(COUNTIFS(実績!$W$6:$W$505,AX$3,実績!$AC$6:$AC$505,"&lt;="&amp;$A195,実績!$AD$6:$AD$505,"&gt;"&amp;$A195,実績!$AE$6:$AE$505,"○")&gt;0,1,0))</f>
        <v/>
      </c>
      <c r="AY195">
        <f>IF(AY$4=0,0,IF(COUNTIFS(実績!$W$6:$W$505,AY$3,実績!$AC$6:$AC$505,"&lt;="&amp;$A195,実績!$AD$6:$AD$505,"&gt;"&amp;$A195,実績!$AE$6:$AE$505,"○")&gt;0,1,0))</f>
        <v/>
      </c>
      <c r="AZ195">
        <f>IF(AZ$4=0,0,IF(COUNTIFS(実績!$W$6:$W$505,AZ$3,実績!$AC$6:$AC$505,"&lt;="&amp;$A195,実績!$AD$6:$AD$505,"&gt;"&amp;$A195,実績!$AE$6:$AE$505,"○")&gt;0,1,0))</f>
        <v/>
      </c>
      <c r="BA195">
        <f>IF(BA$4=0,0,IF(COUNTIFS(実績!$W$6:$W$505,BA$3,実績!$AC$6:$AC$505,"&lt;="&amp;$A195,実績!$AD$6:$AD$505,"&gt;"&amp;$A195,実績!$AE$6:$AE$505,"○")&gt;0,1,0))</f>
        <v/>
      </c>
      <c r="BB195">
        <f>IF(BB$4=0,0,IF(COUNTIFS(実績!$W$6:$W$505,BB$3,実績!$AC$6:$AC$505,"&lt;="&amp;$A195,実績!$AD$6:$AD$505,"&gt;"&amp;$A195,実績!$AE$6:$AE$505,"○")&gt;0,1,0))</f>
        <v/>
      </c>
      <c r="BC195">
        <f>IF(BC$4=0,0,IF(COUNTIFS(実績!$W$6:$W$505,BC$3,実績!$AC$6:$AC$505,"&lt;="&amp;$A195,実績!$AD$6:$AD$505,"&gt;"&amp;$A195,実績!$AE$6:$AE$505,"○")&gt;0,1,0))</f>
        <v/>
      </c>
      <c r="BD195">
        <f>IF(BD$4=0,0,IF(COUNTIFS(実績!$W$6:$W$505,BD$3,実績!$AC$6:$AC$505,"&lt;="&amp;$A195,実績!$AD$6:$AD$505,"&gt;"&amp;$A195,実績!$AE$6:$AE$505,"○")&gt;0,1,0))</f>
        <v/>
      </c>
      <c r="BE195">
        <f>IF(BE$4=0,0,IF(COUNTIFS(実績!$W$6:$W$505,BE$3,実績!$AC$6:$AC$505,"&lt;="&amp;$A195,実績!$AD$6:$AD$505,"&gt;"&amp;$A195,実績!$AE$6:$AE$505,"○")&gt;0,1,0))</f>
        <v/>
      </c>
      <c r="BF195">
        <f>IF(BF$4=0,0,IF(COUNTIFS(実績!$W$6:$W$505,BF$3,実績!$AC$6:$AC$505,"&lt;="&amp;$A195,実績!$AD$6:$AD$505,"&gt;"&amp;$A195,実績!$AE$6:$AE$505,"○")&gt;0,1,0))</f>
        <v/>
      </c>
      <c r="BG195">
        <f>IF(BG$4=0,0,IF(COUNTIFS(実績!$W$6:$W$505,BG$3,実績!$AC$6:$AC$505,"&lt;="&amp;$A195,実績!$AD$6:$AD$505,"&gt;"&amp;$A195,実績!$AE$6:$AE$505,"○")&gt;0,1,0))</f>
        <v/>
      </c>
      <c r="BH195">
        <f>IF(BH$4=0,0,IF(COUNTIFS(実績!$W$6:$W$505,BH$3,実績!$AC$6:$AC$505,"&lt;="&amp;$A195,実績!$AD$6:$AD$505,"&gt;"&amp;$A195,実績!$AE$6:$AE$505,"○")&gt;0,1,0))</f>
        <v/>
      </c>
      <c r="BI195">
        <f>IF(BI$4=0,0,IF(COUNTIFS(実績!$W$6:$W$505,BI$3,実績!$AC$6:$AC$505,"&lt;="&amp;$A195,実績!$AD$6:$AD$505,"&gt;"&amp;$A195,実績!$AE$6:$AE$505,"○")&gt;0,1,0))</f>
        <v/>
      </c>
      <c r="BJ195">
        <f>IF(BJ$4=0,0,IF(COUNTIFS(実績!$W$6:$W$505,BJ$3,実績!$AC$6:$AC$505,"&lt;="&amp;$A195,実績!$AD$6:$AD$505,"&gt;"&amp;$A195,実績!$AE$6:$AE$505,"○")&gt;0,1,0))</f>
        <v/>
      </c>
      <c r="BK195">
        <f>IF(BK$4=0,0,IF(COUNTIFS(実績!$W$6:$W$505,BK$3,実績!$AC$6:$AC$505,"&lt;="&amp;$A195,実績!$AD$6:$AD$505,"&gt;"&amp;$A195,実績!$AE$6:$AE$505,"○")&gt;0,1,0))</f>
        <v/>
      </c>
      <c r="BL195">
        <f>IF(BL$4=0,0,IF(COUNTIFS(実績!$W$6:$W$505,BL$3,実績!$AC$6:$AC$505,"&lt;="&amp;$A195,実績!$AD$6:$AD$505,"&gt;"&amp;$A195,実績!$AE$6:$AE$505,"○")&gt;0,1,0))</f>
        <v/>
      </c>
      <c r="BM195">
        <f>IF(BM$4=0,0,IF(COUNTIFS(実績!$W$6:$W$505,BM$3,実績!$AC$6:$AC$505,"&lt;="&amp;$A195,実績!$AD$6:$AD$505,"&gt;"&amp;$A195,実績!$AE$6:$AE$505,"○")&gt;0,1,0))</f>
        <v/>
      </c>
      <c r="BN195">
        <f>IF(BN$4=0,0,IF(COUNTIFS(実績!$W$6:$W$505,BN$3,実績!$AC$6:$AC$505,"&lt;="&amp;$A195,実績!$AD$6:$AD$505,"&gt;"&amp;$A195,実績!$AE$6:$AE$505,"○")&gt;0,1,0))</f>
        <v/>
      </c>
      <c r="BO195">
        <f>IF(BO$4=0,0,IF(COUNTIFS(実績!$W$6:$W$505,BO$3,実績!$AC$6:$AC$505,"&lt;="&amp;$A195,実績!$AD$6:$AD$505,"&gt;"&amp;$A195,実績!$AE$6:$AE$505,"○")&gt;0,1,0))</f>
        <v/>
      </c>
      <c r="BP195">
        <f>IF(BP$4=0,0,IF(COUNTIFS(実績!$W$6:$W$505,BP$3,実績!$AC$6:$AC$505,"&lt;="&amp;$A195,実績!$AD$6:$AD$505,"&gt;"&amp;$A195,実績!$AE$6:$AE$505,"○")&gt;0,1,0))</f>
        <v/>
      </c>
      <c r="BQ195">
        <f>IF(BQ$4=0,0,IF(COUNTIFS(実績!$W$6:$W$505,BQ$3,実績!$AC$6:$AC$505,"&lt;="&amp;$A195,実績!$AD$6:$AD$505,"&gt;"&amp;$A195,実績!$AE$6:$AE$505,"○")&gt;0,1,0))</f>
        <v/>
      </c>
      <c r="BR195">
        <f>IF(BR$4=0,0,IF(COUNTIFS(実績!$W$6:$W$505,BR$3,実績!$AC$6:$AC$505,"&lt;="&amp;$A195,実績!$AD$6:$AD$505,"&gt;"&amp;$A195,実績!$AE$6:$AE$505,"○")&gt;0,1,0))</f>
        <v/>
      </c>
      <c r="BS195">
        <f>IF(BS$4=0,0,IF(COUNTIFS(実績!$W$6:$W$505,BS$3,実績!$AC$6:$AC$505,"&lt;="&amp;$A195,実績!$AD$6:$AD$505,"&gt;"&amp;$A195,実績!$AE$6:$AE$505,"○")&gt;0,1,0))</f>
        <v/>
      </c>
      <c r="BT195">
        <f>IF(BT$4=0,0,IF(COUNTIFS(実績!$W$6:$W$505,BT$3,実績!$AC$6:$AC$505,"&lt;="&amp;$A195,実績!$AD$6:$AD$505,"&gt;"&amp;$A195,実績!$AE$6:$AE$505,"○")&gt;0,1,0))</f>
        <v/>
      </c>
      <c r="BU195">
        <f>IF(BU$4=0,0,IF(COUNTIFS(実績!$W$6:$W$505,BU$3,実績!$AC$6:$AC$505,"&lt;="&amp;$A195,実績!$AD$6:$AD$505,"&gt;"&amp;$A195,実績!$AE$6:$AE$505,"○")&gt;0,1,0))</f>
        <v/>
      </c>
      <c r="BV195">
        <f>IF(BV$4=0,0,IF(COUNTIFS(実績!$W$6:$W$505,BV$3,実績!$AC$6:$AC$505,"&lt;="&amp;$A195,実績!$AD$6:$AD$505,"&gt;"&amp;$A195,実績!$AE$6:$AE$505,"○")&gt;0,1,0))</f>
        <v/>
      </c>
      <c r="BW195">
        <f>IF(BW$4=0,0,IF(COUNTIFS(実績!$W$6:$W$505,BW$3,実績!$AC$6:$AC$505,"&lt;="&amp;$A195,実績!$AD$6:$AD$505,"&gt;"&amp;$A195,実績!$AE$6:$AE$505,"○")&gt;0,1,0))</f>
        <v/>
      </c>
      <c r="BX195">
        <f>IF(BX$4=0,0,IF(COUNTIFS(実績!$W$6:$W$505,BX$3,実績!$AC$6:$AC$505,"&lt;="&amp;$A195,実績!$AD$6:$AD$505,"&gt;"&amp;$A195,実績!$AE$6:$AE$505,"○")&gt;0,1,0))</f>
        <v/>
      </c>
      <c r="BY195">
        <f>IF(BY$4=0,0,IF(COUNTIFS(実績!$W$6:$W$505,BY$3,実績!$AC$6:$AC$505,"&lt;="&amp;$A195,実績!$AD$6:$AD$505,"&gt;"&amp;$A195,実績!$AE$6:$AE$505,"○")&gt;0,1,0))</f>
        <v/>
      </c>
      <c r="BZ195">
        <f>IF(BZ$4=0,0,IF(COUNTIFS(実績!$W$6:$W$505,BZ$3,実績!$AC$6:$AC$505,"&lt;="&amp;$A195,実績!$AD$6:$AD$505,"&gt;"&amp;$A195,実績!$AE$6:$AE$505,"○")&gt;0,1,0))</f>
        <v/>
      </c>
      <c r="CA195">
        <f>IF(CA$4=0,0,IF(COUNTIFS(実績!$W$6:$W$505,CA$3,実績!$AC$6:$AC$505,"&lt;="&amp;$A195,実績!$AD$6:$AD$505,"&gt;"&amp;$A195,実績!$AE$6:$AE$505,"○")&gt;0,1,0))</f>
        <v/>
      </c>
      <c r="CB195">
        <f>IF(CB$4=0,0,IF(COUNTIFS(実績!$W$6:$W$505,CB$3,実績!$AC$6:$AC$505,"&lt;="&amp;$A195,実績!$AD$6:$AD$505,"&gt;"&amp;$A195,実績!$AE$6:$AE$505,"○")&gt;0,1,0))</f>
        <v/>
      </c>
      <c r="CC195">
        <f>IF(CC$4=0,0,IF(COUNTIFS(実績!$W$6:$W$505,CC$3,実績!$AC$6:$AC$505,"&lt;="&amp;$A195,実績!$AD$6:$AD$505,"&gt;"&amp;$A195,実績!$AE$6:$AE$505,"○")&gt;0,1,0))</f>
        <v/>
      </c>
      <c r="CD195">
        <f>IF(CD$4=0,0,IF(COUNTIFS(実績!$W$6:$W$505,CD$3,実績!$AC$6:$AC$505,"&lt;="&amp;$A195,実績!$AD$6:$AD$505,"&gt;"&amp;$A195,実績!$AE$6:$AE$505,"○")&gt;0,1,0))</f>
        <v/>
      </c>
      <c r="CE195">
        <f>IF(CE$4=0,0,IF(COUNTIFS(実績!$W$6:$W$505,CE$3,実績!$AC$6:$AC$505,"&lt;="&amp;$A195,実績!$AD$6:$AD$505,"&gt;"&amp;$A195,実績!$AE$6:$AE$505,"○")&gt;0,1,0))</f>
        <v/>
      </c>
      <c r="CF195">
        <f>IF(CF$4=0,0,IF(COUNTIFS(実績!$W$6:$W$505,CF$3,実績!$AC$6:$AC$505,"&lt;="&amp;$A195,実績!$AD$6:$AD$505,"&gt;"&amp;$A195,実績!$AE$6:$AE$505,"○")&gt;0,1,0))</f>
        <v/>
      </c>
      <c r="CG195">
        <f>IF(CG$4=0,0,IF(COUNTIFS(実績!$W$6:$W$505,CG$3,実績!$AC$6:$AC$505,"&lt;="&amp;$A195,実績!$AD$6:$AD$505,"&gt;"&amp;$A195,実績!$AE$6:$AE$505,"○")&gt;0,1,0))</f>
        <v/>
      </c>
      <c r="CH195">
        <f>IF(CH$4=0,0,IF(COUNTIFS(実績!$W$6:$W$505,CH$3,実績!$AC$6:$AC$505,"&lt;="&amp;$A195,実績!$AD$6:$AD$505,"&gt;"&amp;$A195,実績!$AE$6:$AE$505,"○")&gt;0,1,0))</f>
        <v/>
      </c>
      <c r="CI195">
        <f>IF(CI$4=0,0,IF(COUNTIFS(実績!$W$6:$W$505,CI$3,実績!$AC$6:$AC$505,"&lt;="&amp;$A195,実績!$AD$6:$AD$505,"&gt;"&amp;$A195,実績!$AE$6:$AE$505,"○")&gt;0,1,0))</f>
        <v/>
      </c>
      <c r="CJ195">
        <f>IF(CJ$4=0,0,IF(COUNTIFS(実績!$W$6:$W$505,CJ$3,実績!$AC$6:$AC$505,"&lt;="&amp;$A195,実績!$AD$6:$AD$505,"&gt;"&amp;$A195,実績!$AE$6:$AE$505,"○")&gt;0,1,0))</f>
        <v/>
      </c>
      <c r="CK195">
        <f>IF(CK$4=0,0,IF(COUNTIFS(実績!$W$6:$W$505,CK$3,実績!$AC$6:$AC$505,"&lt;="&amp;$A195,実績!$AD$6:$AD$505,"&gt;"&amp;$A195,実績!$AE$6:$AE$505,"○")&gt;0,1,0))</f>
        <v/>
      </c>
      <c r="CL195">
        <f>IF(CL$4=0,0,IF(COUNTIFS(実績!$W$6:$W$505,CL$3,実績!$AC$6:$AC$505,"&lt;="&amp;$A195,実績!$AD$6:$AD$505,"&gt;"&amp;$A195,実績!$AE$6:$AE$505,"○")&gt;0,1,0))</f>
        <v/>
      </c>
      <c r="CM195">
        <f>IF(CM$4=0,0,IF(COUNTIFS(実績!$W$6:$W$505,CM$3,実績!$AC$6:$AC$505,"&lt;="&amp;$A195,実績!$AD$6:$AD$505,"&gt;"&amp;$A195,実績!$AE$6:$AE$505,"○")&gt;0,1,0))</f>
        <v/>
      </c>
      <c r="CN195">
        <f>IF(CN$4=0,0,IF(COUNTIFS(実績!$W$6:$W$505,CN$3,実績!$AC$6:$AC$505,"&lt;="&amp;$A195,実績!$AD$6:$AD$505,"&gt;"&amp;$A195,実績!$AE$6:$AE$505,"○")&gt;0,1,0))</f>
        <v/>
      </c>
      <c r="CO195">
        <f>IF(CO$4=0,0,IF(COUNTIFS(実績!$W$6:$W$505,CO$3,実績!$AC$6:$AC$505,"&lt;="&amp;$A195,実績!$AD$6:$AD$505,"&gt;"&amp;$A195,実績!$AE$6:$AE$505,"○")&gt;0,1,0))</f>
        <v/>
      </c>
      <c r="CP195">
        <f>IF(CP$4=0,0,IF(COUNTIFS(実績!$W$6:$W$505,CP$3,実績!$AC$6:$AC$505,"&lt;="&amp;$A195,実績!$AD$6:$AD$505,"&gt;"&amp;$A195,実績!$AE$6:$AE$505,"○")&gt;0,1,0))</f>
        <v/>
      </c>
      <c r="CQ195">
        <f>IF(CQ$4=0,0,IF(COUNTIFS(実績!$W$6:$W$505,CQ$3,実績!$AC$6:$AC$505,"&lt;="&amp;$A195,実績!$AD$6:$AD$505,"&gt;"&amp;$A195,実績!$AE$6:$AE$505,"○")&gt;0,1,0))</f>
        <v/>
      </c>
      <c r="CR195">
        <f>IF(CR$4=0,0,IF(COUNTIFS(実績!$W$6:$W$505,CR$3,実績!$AC$6:$AC$505,"&lt;="&amp;$A195,実績!$AD$6:$AD$505,"&gt;"&amp;$A195,実績!$AE$6:$AE$505,"○")&gt;0,1,0))</f>
        <v/>
      </c>
      <c r="CS195">
        <f>IF(CS$4=0,0,IF(COUNTIFS(実績!$W$6:$W$505,CS$3,実績!$AC$6:$AC$505,"&lt;="&amp;$A195,実績!$AD$6:$AD$505,"&gt;"&amp;$A195,実績!$AE$6:$AE$505,"○")&gt;0,1,0))</f>
        <v/>
      </c>
      <c r="CT195">
        <f>IF(CT$4=0,0,IF(COUNTIFS(実績!$W$6:$W$505,CT$3,実績!$AC$6:$AC$505,"&lt;="&amp;$A195,実績!$AD$6:$AD$505,"&gt;"&amp;$A195,実績!$AE$6:$AE$505,"○")&gt;0,1,0))</f>
        <v/>
      </c>
      <c r="CU195">
        <f>IF(CU$4=0,0,IF(COUNTIFS(実績!$W$6:$W$505,CU$3,実績!$AC$6:$AC$505,"&lt;="&amp;$A195,実績!$AD$6:$AD$505,"&gt;"&amp;$A195,実績!$AE$6:$AE$505,"○")&gt;0,1,0))</f>
        <v/>
      </c>
      <c r="CV195">
        <f>IF(CV$4=0,0,IF(COUNTIFS(実績!$W$6:$W$505,CV$3,実績!$AC$6:$AC$505,"&lt;="&amp;$A195,実績!$AD$6:$AD$505,"&gt;"&amp;$A195,実績!$AE$6:$AE$505,"○")&gt;0,1,0))</f>
        <v/>
      </c>
      <c r="CW195">
        <f>IF(CW$4=0,0,IF(COUNTIFS(実績!$W$6:$W$505,CW$3,実績!$AC$6:$AC$505,"&lt;="&amp;$A195,実績!$AD$6:$AD$505,"&gt;"&amp;$A195,実績!$AE$6:$AE$505,"○")&gt;0,1,0))</f>
        <v/>
      </c>
      <c r="CX195">
        <f>IF(CX$4=0,0,IF(COUNTIFS(実績!$W$6:$W$505,CX$3,実績!$AC$6:$AC$505,"&lt;="&amp;$A195,実績!$AD$6:$AD$505,"&gt;"&amp;$A195,実績!$AE$6:$AE$505,"○")&gt;0,1,0))</f>
        <v/>
      </c>
      <c r="CY195">
        <f>IF(CY$4=0,0,IF(COUNTIFS(実績!$W$6:$W$505,CY$3,実績!$AC$6:$AC$505,"&lt;="&amp;$A195,実績!$AD$6:$AD$505,"&gt;"&amp;$A195,実績!$AE$6:$AE$505,"○")&gt;0,1,0))</f>
        <v/>
      </c>
      <c r="CZ195">
        <f>IF(CZ$4=0,0,IF(COUNTIFS(実績!$W$6:$W$505,CZ$3,実績!$AC$6:$AC$505,"&lt;="&amp;$A195,実績!$AD$6:$AD$505,"&gt;"&amp;$A195,実績!$AE$6:$AE$505,"○")&gt;0,1,0))</f>
        <v/>
      </c>
      <c r="DA195">
        <f>IF(DA$4=0,0,IF(COUNTIFS(実績!$W$6:$W$505,DA$3,実績!$AC$6:$AC$505,"&lt;="&amp;$A195,実績!$AD$6:$AD$505,"&gt;"&amp;$A195,実績!$AE$6:$AE$505,"○")&gt;0,1,0))</f>
        <v/>
      </c>
      <c r="DB195">
        <f>IF(DB$4=0,0,IF(COUNTIFS(実績!$W$6:$W$505,DB$3,実績!$AC$6:$AC$505,"&lt;="&amp;$A195,実績!$AD$6:$AD$505,"&gt;"&amp;$A195,実績!$AE$6:$AE$505,"○")&gt;0,1,0))</f>
        <v/>
      </c>
      <c r="DC195">
        <f>IF(DC$4=0,0,IF(COUNTIFS(実績!$W$6:$W$505,DC$3,実績!$AC$6:$AC$505,"&lt;="&amp;$A195,実績!$AD$6:$AD$505,"&gt;"&amp;$A195,実績!$AE$6:$AE$505,"○")&gt;0,1,0))</f>
        <v/>
      </c>
      <c r="DD195">
        <f>IF(DD$4=0,0,IF(COUNTIFS(実績!$W$6:$W$505,DD$3,実績!$AC$6:$AC$505,"&lt;="&amp;$A195,実績!$AD$6:$AD$505,"&gt;"&amp;$A195,実績!$AE$6:$AE$505,"○")&gt;0,1,0))</f>
        <v/>
      </c>
      <c r="DE195">
        <f>IF(DE$4=0,0,IF(COUNTIFS(実績!$W$6:$W$505,DE$3,実績!$AC$6:$AC$505,"&lt;="&amp;$A195,実績!$AD$6:$AD$505,"&gt;"&amp;$A195,実績!$AE$6:$AE$505,"○")&gt;0,1,0))</f>
        <v/>
      </c>
      <c r="DF195">
        <f>IF(DF$4=0,0,IF(COUNTIFS(実績!$W$6:$W$505,DF$3,実績!$AC$6:$AC$505,"&lt;="&amp;$A195,実績!$AD$6:$AD$505,"&gt;"&amp;$A195,実績!$AE$6:$AE$505,"○")&gt;0,1,0))</f>
        <v/>
      </c>
      <c r="DG195">
        <f>IF(DG$4=0,0,IF(COUNTIFS(実績!$W$6:$W$505,DG$3,実績!$AC$6:$AC$505,"&lt;="&amp;$A195,実績!$AD$6:$AD$505,"&gt;"&amp;$A195,実績!$AE$6:$AE$505,"○")&gt;0,1,0))</f>
        <v/>
      </c>
      <c r="DH195">
        <f>IF(DH$4=0,0,IF(COUNTIFS(実績!$W$6:$W$505,DH$3,実績!$AC$6:$AC$505,"&lt;="&amp;$A195,実績!$AD$6:$AD$505,"&gt;"&amp;$A195,実績!$AE$6:$AE$505,"○")&gt;0,1,0))</f>
        <v/>
      </c>
      <c r="DI195">
        <f>IF(DI$4=0,0,IF(COUNTIFS(実績!$W$6:$W$505,DI$3,実績!$AC$6:$AC$505,"&lt;="&amp;$A195,実績!$AD$6:$AD$505,"&gt;"&amp;$A195,実績!$AE$6:$AE$505,"○")&gt;0,1,0))</f>
        <v/>
      </c>
      <c r="DJ195">
        <f>IF(DJ$4=0,0,IF(COUNTIFS(実績!$W$6:$W$505,DJ$3,実績!$AC$6:$AC$505,"&lt;="&amp;$A195,実績!$AD$6:$AD$505,"&gt;"&amp;$A195,実績!$AE$6:$AE$505,"○")&gt;0,1,0))</f>
        <v/>
      </c>
      <c r="DK195">
        <f>IF(DK$4=0,0,IF(COUNTIFS(実績!$W$6:$W$505,DK$3,実績!$AC$6:$AC$505,"&lt;="&amp;$A195,実績!$AD$6:$AD$505,"&gt;"&amp;$A195,実績!$AE$6:$AE$505,"○")&gt;0,1,0))</f>
        <v/>
      </c>
      <c r="DL195">
        <f>IF(DL$4=0,0,IF(COUNTIFS(実績!$W$6:$W$505,DL$3,実績!$AC$6:$AC$505,"&lt;="&amp;$A195,実績!$AD$6:$AD$505,"&gt;"&amp;$A195,実績!$AE$6:$AE$505,"○")&gt;0,1,0))</f>
        <v/>
      </c>
      <c r="DM195">
        <f>IF(DM$4=0,0,IF(COUNTIFS(実績!$W$6:$W$505,DM$3,実績!$AC$6:$AC$505,"&lt;="&amp;$A195,実績!$AD$6:$AD$505,"&gt;"&amp;$A195,実績!$AE$6:$AE$505,"○")&gt;0,1,0))</f>
        <v/>
      </c>
      <c r="DN195">
        <f>IF(DN$4=0,0,IF(COUNTIFS(実績!$W$6:$W$505,DN$3,実績!$AC$6:$AC$505,"&lt;="&amp;$A195,実績!$AD$6:$AD$505,"&gt;"&amp;$A195,実績!$AE$6:$AE$505,"○")&gt;0,1,0))</f>
        <v/>
      </c>
      <c r="DO195">
        <f>IF(DO$4=0,0,IF(COUNTIFS(実績!$W$6:$W$505,DO$3,実績!$AC$6:$AC$505,"&lt;="&amp;$A195,実績!$AD$6:$AD$505,"&gt;"&amp;$A195,実績!$AE$6:$AE$505,"○")&gt;0,1,0))</f>
        <v/>
      </c>
      <c r="DP195">
        <f>IF(DP$4=0,0,IF(COUNTIFS(実績!$W$6:$W$505,DP$3,実績!$AC$6:$AC$505,"&lt;="&amp;$A195,実績!$AD$6:$AD$505,"&gt;"&amp;$A195,実績!$AE$6:$AE$505,"○")&gt;0,1,0))</f>
        <v/>
      </c>
      <c r="DQ195">
        <f>IF(DQ$4=0,0,IF(COUNTIFS(実績!$W$6:$W$505,DQ$3,実績!$AC$6:$AC$505,"&lt;="&amp;$A195,実績!$AD$6:$AD$505,"&gt;"&amp;$A195,実績!$AE$6:$AE$505,"○")&gt;0,1,0))</f>
        <v/>
      </c>
      <c r="DR195">
        <f>IF(DR$4=0,0,IF(COUNTIFS(実績!$W$6:$W$505,DR$3,実績!$AC$6:$AC$505,"&lt;="&amp;$A195,実績!$AD$6:$AD$505,"&gt;"&amp;$A195,実績!$AE$6:$AE$505,"○")&gt;0,1,0))</f>
        <v/>
      </c>
      <c r="DS195">
        <f>SUM(C195:DR195)</f>
        <v/>
      </c>
      <c r="DT195">
        <f>SUMPRODUCT((実績!$C$6:$C$505="○")*ISNUMBER(実績!$AF$6:$AF$505)*(実績!$AF$6:$AF$505&lt;=$A195)*(実績!$AG$6:$AG$505&gt;$A195))</f>
        <v/>
      </c>
      <c r="DU195">
        <f>SUMIF($C$2:$DR$2,"製鉄曳船",C195:DR195)</f>
        <v/>
      </c>
      <c r="DV195">
        <f>SUMIF($C$2:$DR$2,"西日本海運",C195:DR195)</f>
        <v/>
      </c>
    </row>
    <row r="196">
      <c r="A196" t="n">
        <v>950</v>
      </c>
      <c r="B196" s="29">
        <f>A196/1440</f>
        <v/>
      </c>
      <c r="C196">
        <f>IF(C$4=0,0,IF(COUNTIFS(実績!$W$6:$W$505,C$3,実績!$AC$6:$AC$505,"&lt;="&amp;$A196,実績!$AD$6:$AD$505,"&gt;"&amp;$A196,実績!$AE$6:$AE$505,"○")&gt;0,1,0))</f>
        <v/>
      </c>
      <c r="D196">
        <f>IF(D$4=0,0,IF(COUNTIFS(実績!$W$6:$W$505,D$3,実績!$AC$6:$AC$505,"&lt;="&amp;$A196,実績!$AD$6:$AD$505,"&gt;"&amp;$A196,実績!$AE$6:$AE$505,"○")&gt;0,1,0))</f>
        <v/>
      </c>
      <c r="E196">
        <f>IF(E$4=0,0,IF(COUNTIFS(実績!$W$6:$W$505,E$3,実績!$AC$6:$AC$505,"&lt;="&amp;$A196,実績!$AD$6:$AD$505,"&gt;"&amp;$A196,実績!$AE$6:$AE$505,"○")&gt;0,1,0))</f>
        <v/>
      </c>
      <c r="F196">
        <f>IF(F$4=0,0,IF(COUNTIFS(実績!$W$6:$W$505,F$3,実績!$AC$6:$AC$505,"&lt;="&amp;$A196,実績!$AD$6:$AD$505,"&gt;"&amp;$A196,実績!$AE$6:$AE$505,"○")&gt;0,1,0))</f>
        <v/>
      </c>
      <c r="G196">
        <f>IF(G$4=0,0,IF(COUNTIFS(実績!$W$6:$W$505,G$3,実績!$AC$6:$AC$505,"&lt;="&amp;$A196,実績!$AD$6:$AD$505,"&gt;"&amp;$A196,実績!$AE$6:$AE$505,"○")&gt;0,1,0))</f>
        <v/>
      </c>
      <c r="H196">
        <f>IF(H$4=0,0,IF(COUNTIFS(実績!$W$6:$W$505,H$3,実績!$AC$6:$AC$505,"&lt;="&amp;$A196,実績!$AD$6:$AD$505,"&gt;"&amp;$A196,実績!$AE$6:$AE$505,"○")&gt;0,1,0))</f>
        <v/>
      </c>
      <c r="I196">
        <f>IF(I$4=0,0,IF(COUNTIFS(実績!$W$6:$W$505,I$3,実績!$AC$6:$AC$505,"&lt;="&amp;$A196,実績!$AD$6:$AD$505,"&gt;"&amp;$A196,実績!$AE$6:$AE$505,"○")&gt;0,1,0))</f>
        <v/>
      </c>
      <c r="J196">
        <f>IF(J$4=0,0,IF(COUNTIFS(実績!$W$6:$W$505,J$3,実績!$AC$6:$AC$505,"&lt;="&amp;$A196,実績!$AD$6:$AD$505,"&gt;"&amp;$A196,実績!$AE$6:$AE$505,"○")&gt;0,1,0))</f>
        <v/>
      </c>
      <c r="K196">
        <f>IF(K$4=0,0,IF(COUNTIFS(実績!$W$6:$W$505,K$3,実績!$AC$6:$AC$505,"&lt;="&amp;$A196,実績!$AD$6:$AD$505,"&gt;"&amp;$A196,実績!$AE$6:$AE$505,"○")&gt;0,1,0))</f>
        <v/>
      </c>
      <c r="L196">
        <f>IF(L$4=0,0,IF(COUNTIFS(実績!$W$6:$W$505,L$3,実績!$AC$6:$AC$505,"&lt;="&amp;$A196,実績!$AD$6:$AD$505,"&gt;"&amp;$A196,実績!$AE$6:$AE$505,"○")&gt;0,1,0))</f>
        <v/>
      </c>
      <c r="M196">
        <f>IF(M$4=0,0,IF(COUNTIFS(実績!$W$6:$W$505,M$3,実績!$AC$6:$AC$505,"&lt;="&amp;$A196,実績!$AD$6:$AD$505,"&gt;"&amp;$A196,実績!$AE$6:$AE$505,"○")&gt;0,1,0))</f>
        <v/>
      </c>
      <c r="N196">
        <f>IF(N$4=0,0,IF(COUNTIFS(実績!$W$6:$W$505,N$3,実績!$AC$6:$AC$505,"&lt;="&amp;$A196,実績!$AD$6:$AD$505,"&gt;"&amp;$A196,実績!$AE$6:$AE$505,"○")&gt;0,1,0))</f>
        <v/>
      </c>
      <c r="O196">
        <f>IF(O$4=0,0,IF(COUNTIFS(実績!$W$6:$W$505,O$3,実績!$AC$6:$AC$505,"&lt;="&amp;$A196,実績!$AD$6:$AD$505,"&gt;"&amp;$A196,実績!$AE$6:$AE$505,"○")&gt;0,1,0))</f>
        <v/>
      </c>
      <c r="P196">
        <f>IF(P$4=0,0,IF(COUNTIFS(実績!$W$6:$W$505,P$3,実績!$AC$6:$AC$505,"&lt;="&amp;$A196,実績!$AD$6:$AD$505,"&gt;"&amp;$A196,実績!$AE$6:$AE$505,"○")&gt;0,1,0))</f>
        <v/>
      </c>
      <c r="Q196">
        <f>IF(Q$4=0,0,IF(COUNTIFS(実績!$W$6:$W$505,Q$3,実績!$AC$6:$AC$505,"&lt;="&amp;$A196,実績!$AD$6:$AD$505,"&gt;"&amp;$A196,実績!$AE$6:$AE$505,"○")&gt;0,1,0))</f>
        <v/>
      </c>
      <c r="R196">
        <f>IF(R$4=0,0,IF(COUNTIFS(実績!$W$6:$W$505,R$3,実績!$AC$6:$AC$505,"&lt;="&amp;$A196,実績!$AD$6:$AD$505,"&gt;"&amp;$A196,実績!$AE$6:$AE$505,"○")&gt;0,1,0))</f>
        <v/>
      </c>
      <c r="S196">
        <f>IF(S$4=0,0,IF(COUNTIFS(実績!$W$6:$W$505,S$3,実績!$AC$6:$AC$505,"&lt;="&amp;$A196,実績!$AD$6:$AD$505,"&gt;"&amp;$A196,実績!$AE$6:$AE$505,"○")&gt;0,1,0))</f>
        <v/>
      </c>
      <c r="T196">
        <f>IF(T$4=0,0,IF(COUNTIFS(実績!$W$6:$W$505,T$3,実績!$AC$6:$AC$505,"&lt;="&amp;$A196,実績!$AD$6:$AD$505,"&gt;"&amp;$A196,実績!$AE$6:$AE$505,"○")&gt;0,1,0))</f>
        <v/>
      </c>
      <c r="U196">
        <f>IF(U$4=0,0,IF(COUNTIFS(実績!$W$6:$W$505,U$3,実績!$AC$6:$AC$505,"&lt;="&amp;$A196,実績!$AD$6:$AD$505,"&gt;"&amp;$A196,実績!$AE$6:$AE$505,"○")&gt;0,1,0))</f>
        <v/>
      </c>
      <c r="V196">
        <f>IF(V$4=0,0,IF(COUNTIFS(実績!$W$6:$W$505,V$3,実績!$AC$6:$AC$505,"&lt;="&amp;$A196,実績!$AD$6:$AD$505,"&gt;"&amp;$A196,実績!$AE$6:$AE$505,"○")&gt;0,1,0))</f>
        <v/>
      </c>
      <c r="W196">
        <f>IF(W$4=0,0,IF(COUNTIFS(実績!$W$6:$W$505,W$3,実績!$AC$6:$AC$505,"&lt;="&amp;$A196,実績!$AD$6:$AD$505,"&gt;"&amp;$A196,実績!$AE$6:$AE$505,"○")&gt;0,1,0))</f>
        <v/>
      </c>
      <c r="X196">
        <f>IF(X$4=0,0,IF(COUNTIFS(実績!$W$6:$W$505,X$3,実績!$AC$6:$AC$505,"&lt;="&amp;$A196,実績!$AD$6:$AD$505,"&gt;"&amp;$A196,実績!$AE$6:$AE$505,"○")&gt;0,1,0))</f>
        <v/>
      </c>
      <c r="Y196">
        <f>IF(Y$4=0,0,IF(COUNTIFS(実績!$W$6:$W$505,Y$3,実績!$AC$6:$AC$505,"&lt;="&amp;$A196,実績!$AD$6:$AD$505,"&gt;"&amp;$A196,実績!$AE$6:$AE$505,"○")&gt;0,1,0))</f>
        <v/>
      </c>
      <c r="Z196">
        <f>IF(Z$4=0,0,IF(COUNTIFS(実績!$W$6:$W$505,Z$3,実績!$AC$6:$AC$505,"&lt;="&amp;$A196,実績!$AD$6:$AD$505,"&gt;"&amp;$A196,実績!$AE$6:$AE$505,"○")&gt;0,1,0))</f>
        <v/>
      </c>
      <c r="AA196">
        <f>IF(AA$4=0,0,IF(COUNTIFS(実績!$W$6:$W$505,AA$3,実績!$AC$6:$AC$505,"&lt;="&amp;$A196,実績!$AD$6:$AD$505,"&gt;"&amp;$A196,実績!$AE$6:$AE$505,"○")&gt;0,1,0))</f>
        <v/>
      </c>
      <c r="AB196">
        <f>IF(AB$4=0,0,IF(COUNTIFS(実績!$W$6:$W$505,AB$3,実績!$AC$6:$AC$505,"&lt;="&amp;$A196,実績!$AD$6:$AD$505,"&gt;"&amp;$A196,実績!$AE$6:$AE$505,"○")&gt;0,1,0))</f>
        <v/>
      </c>
      <c r="AC196">
        <f>IF(AC$4=0,0,IF(COUNTIFS(実績!$W$6:$W$505,AC$3,実績!$AC$6:$AC$505,"&lt;="&amp;$A196,実績!$AD$6:$AD$505,"&gt;"&amp;$A196,実績!$AE$6:$AE$505,"○")&gt;0,1,0))</f>
        <v/>
      </c>
      <c r="AD196">
        <f>IF(AD$4=0,0,IF(COUNTIFS(実績!$W$6:$W$505,AD$3,実績!$AC$6:$AC$505,"&lt;="&amp;$A196,実績!$AD$6:$AD$505,"&gt;"&amp;$A196,実績!$AE$6:$AE$505,"○")&gt;0,1,0))</f>
        <v/>
      </c>
      <c r="AE196">
        <f>IF(AE$4=0,0,IF(COUNTIFS(実績!$W$6:$W$505,AE$3,実績!$AC$6:$AC$505,"&lt;="&amp;$A196,実績!$AD$6:$AD$505,"&gt;"&amp;$A196,実績!$AE$6:$AE$505,"○")&gt;0,1,0))</f>
        <v/>
      </c>
      <c r="AF196">
        <f>IF(AF$4=0,0,IF(COUNTIFS(実績!$W$6:$W$505,AF$3,実績!$AC$6:$AC$505,"&lt;="&amp;$A196,実績!$AD$6:$AD$505,"&gt;"&amp;$A196,実績!$AE$6:$AE$505,"○")&gt;0,1,0))</f>
        <v/>
      </c>
      <c r="AG196">
        <f>IF(AG$4=0,0,IF(COUNTIFS(実績!$W$6:$W$505,AG$3,実績!$AC$6:$AC$505,"&lt;="&amp;$A196,実績!$AD$6:$AD$505,"&gt;"&amp;$A196,実績!$AE$6:$AE$505,"○")&gt;0,1,0))</f>
        <v/>
      </c>
      <c r="AH196">
        <f>IF(AH$4=0,0,IF(COUNTIFS(実績!$W$6:$W$505,AH$3,実績!$AC$6:$AC$505,"&lt;="&amp;$A196,実績!$AD$6:$AD$505,"&gt;"&amp;$A196,実績!$AE$6:$AE$505,"○")&gt;0,1,0))</f>
        <v/>
      </c>
      <c r="AI196">
        <f>IF(AI$4=0,0,IF(COUNTIFS(実績!$W$6:$W$505,AI$3,実績!$AC$6:$AC$505,"&lt;="&amp;$A196,実績!$AD$6:$AD$505,"&gt;"&amp;$A196,実績!$AE$6:$AE$505,"○")&gt;0,1,0))</f>
        <v/>
      </c>
      <c r="AJ196">
        <f>IF(AJ$4=0,0,IF(COUNTIFS(実績!$W$6:$W$505,AJ$3,実績!$AC$6:$AC$505,"&lt;="&amp;$A196,実績!$AD$6:$AD$505,"&gt;"&amp;$A196,実績!$AE$6:$AE$505,"○")&gt;0,1,0))</f>
        <v/>
      </c>
      <c r="AK196">
        <f>IF(AK$4=0,0,IF(COUNTIFS(実績!$W$6:$W$505,AK$3,実績!$AC$6:$AC$505,"&lt;="&amp;$A196,実績!$AD$6:$AD$505,"&gt;"&amp;$A196,実績!$AE$6:$AE$505,"○")&gt;0,1,0))</f>
        <v/>
      </c>
      <c r="AL196">
        <f>IF(AL$4=0,0,IF(COUNTIFS(実績!$W$6:$W$505,AL$3,実績!$AC$6:$AC$505,"&lt;="&amp;$A196,実績!$AD$6:$AD$505,"&gt;"&amp;$A196,実績!$AE$6:$AE$505,"○")&gt;0,1,0))</f>
        <v/>
      </c>
      <c r="AM196">
        <f>IF(AM$4=0,0,IF(COUNTIFS(実績!$W$6:$W$505,AM$3,実績!$AC$6:$AC$505,"&lt;="&amp;$A196,実績!$AD$6:$AD$505,"&gt;"&amp;$A196,実績!$AE$6:$AE$505,"○")&gt;0,1,0))</f>
        <v/>
      </c>
      <c r="AN196">
        <f>IF(AN$4=0,0,IF(COUNTIFS(実績!$W$6:$W$505,AN$3,実績!$AC$6:$AC$505,"&lt;="&amp;$A196,実績!$AD$6:$AD$505,"&gt;"&amp;$A196,実績!$AE$6:$AE$505,"○")&gt;0,1,0))</f>
        <v/>
      </c>
      <c r="AO196">
        <f>IF(AO$4=0,0,IF(COUNTIFS(実績!$W$6:$W$505,AO$3,実績!$AC$6:$AC$505,"&lt;="&amp;$A196,実績!$AD$6:$AD$505,"&gt;"&amp;$A196,実績!$AE$6:$AE$505,"○")&gt;0,1,0))</f>
        <v/>
      </c>
      <c r="AP196">
        <f>IF(AP$4=0,0,IF(COUNTIFS(実績!$W$6:$W$505,AP$3,実績!$AC$6:$AC$505,"&lt;="&amp;$A196,実績!$AD$6:$AD$505,"&gt;"&amp;$A196,実績!$AE$6:$AE$505,"○")&gt;0,1,0))</f>
        <v/>
      </c>
      <c r="AQ196">
        <f>IF(AQ$4=0,0,IF(COUNTIFS(実績!$W$6:$W$505,AQ$3,実績!$AC$6:$AC$505,"&lt;="&amp;$A196,実績!$AD$6:$AD$505,"&gt;"&amp;$A196,実績!$AE$6:$AE$505,"○")&gt;0,1,0))</f>
        <v/>
      </c>
      <c r="AR196">
        <f>IF(AR$4=0,0,IF(COUNTIFS(実績!$W$6:$W$505,AR$3,実績!$AC$6:$AC$505,"&lt;="&amp;$A196,実績!$AD$6:$AD$505,"&gt;"&amp;$A196,実績!$AE$6:$AE$505,"○")&gt;0,1,0))</f>
        <v/>
      </c>
      <c r="AS196">
        <f>IF(AS$4=0,0,IF(COUNTIFS(実績!$W$6:$W$505,AS$3,実績!$AC$6:$AC$505,"&lt;="&amp;$A196,実績!$AD$6:$AD$505,"&gt;"&amp;$A196,実績!$AE$6:$AE$505,"○")&gt;0,1,0))</f>
        <v/>
      </c>
      <c r="AT196">
        <f>IF(AT$4=0,0,IF(COUNTIFS(実績!$W$6:$W$505,AT$3,実績!$AC$6:$AC$505,"&lt;="&amp;$A196,実績!$AD$6:$AD$505,"&gt;"&amp;$A196,実績!$AE$6:$AE$505,"○")&gt;0,1,0))</f>
        <v/>
      </c>
      <c r="AU196">
        <f>IF(AU$4=0,0,IF(COUNTIFS(実績!$W$6:$W$505,AU$3,実績!$AC$6:$AC$505,"&lt;="&amp;$A196,実績!$AD$6:$AD$505,"&gt;"&amp;$A196,実績!$AE$6:$AE$505,"○")&gt;0,1,0))</f>
        <v/>
      </c>
      <c r="AV196">
        <f>IF(AV$4=0,0,IF(COUNTIFS(実績!$W$6:$W$505,AV$3,実績!$AC$6:$AC$505,"&lt;="&amp;$A196,実績!$AD$6:$AD$505,"&gt;"&amp;$A196,実績!$AE$6:$AE$505,"○")&gt;0,1,0))</f>
        <v/>
      </c>
      <c r="AW196">
        <f>IF(AW$4=0,0,IF(COUNTIFS(実績!$W$6:$W$505,AW$3,実績!$AC$6:$AC$505,"&lt;="&amp;$A196,実績!$AD$6:$AD$505,"&gt;"&amp;$A196,実績!$AE$6:$AE$505,"○")&gt;0,1,0))</f>
        <v/>
      </c>
      <c r="AX196">
        <f>IF(AX$4=0,0,IF(COUNTIFS(実績!$W$6:$W$505,AX$3,実績!$AC$6:$AC$505,"&lt;="&amp;$A196,実績!$AD$6:$AD$505,"&gt;"&amp;$A196,実績!$AE$6:$AE$505,"○")&gt;0,1,0))</f>
        <v/>
      </c>
      <c r="AY196">
        <f>IF(AY$4=0,0,IF(COUNTIFS(実績!$W$6:$W$505,AY$3,実績!$AC$6:$AC$505,"&lt;="&amp;$A196,実績!$AD$6:$AD$505,"&gt;"&amp;$A196,実績!$AE$6:$AE$505,"○")&gt;0,1,0))</f>
        <v/>
      </c>
      <c r="AZ196">
        <f>IF(AZ$4=0,0,IF(COUNTIFS(実績!$W$6:$W$505,AZ$3,実績!$AC$6:$AC$505,"&lt;="&amp;$A196,実績!$AD$6:$AD$505,"&gt;"&amp;$A196,実績!$AE$6:$AE$505,"○")&gt;0,1,0))</f>
        <v/>
      </c>
      <c r="BA196">
        <f>IF(BA$4=0,0,IF(COUNTIFS(実績!$W$6:$W$505,BA$3,実績!$AC$6:$AC$505,"&lt;="&amp;$A196,実績!$AD$6:$AD$505,"&gt;"&amp;$A196,実績!$AE$6:$AE$505,"○")&gt;0,1,0))</f>
        <v/>
      </c>
      <c r="BB196">
        <f>IF(BB$4=0,0,IF(COUNTIFS(実績!$W$6:$W$505,BB$3,実績!$AC$6:$AC$505,"&lt;="&amp;$A196,実績!$AD$6:$AD$505,"&gt;"&amp;$A196,実績!$AE$6:$AE$505,"○")&gt;0,1,0))</f>
        <v/>
      </c>
      <c r="BC196">
        <f>IF(BC$4=0,0,IF(COUNTIFS(実績!$W$6:$W$505,BC$3,実績!$AC$6:$AC$505,"&lt;="&amp;$A196,実績!$AD$6:$AD$505,"&gt;"&amp;$A196,実績!$AE$6:$AE$505,"○")&gt;0,1,0))</f>
        <v/>
      </c>
      <c r="BD196">
        <f>IF(BD$4=0,0,IF(COUNTIFS(実績!$W$6:$W$505,BD$3,実績!$AC$6:$AC$505,"&lt;="&amp;$A196,実績!$AD$6:$AD$505,"&gt;"&amp;$A196,実績!$AE$6:$AE$505,"○")&gt;0,1,0))</f>
        <v/>
      </c>
      <c r="BE196">
        <f>IF(BE$4=0,0,IF(COUNTIFS(実績!$W$6:$W$505,BE$3,実績!$AC$6:$AC$505,"&lt;="&amp;$A196,実績!$AD$6:$AD$505,"&gt;"&amp;$A196,実績!$AE$6:$AE$505,"○")&gt;0,1,0))</f>
        <v/>
      </c>
      <c r="BF196">
        <f>IF(BF$4=0,0,IF(COUNTIFS(実績!$W$6:$W$505,BF$3,実績!$AC$6:$AC$505,"&lt;="&amp;$A196,実績!$AD$6:$AD$505,"&gt;"&amp;$A196,実績!$AE$6:$AE$505,"○")&gt;0,1,0))</f>
        <v/>
      </c>
      <c r="BG196">
        <f>IF(BG$4=0,0,IF(COUNTIFS(実績!$W$6:$W$505,BG$3,実績!$AC$6:$AC$505,"&lt;="&amp;$A196,実績!$AD$6:$AD$505,"&gt;"&amp;$A196,実績!$AE$6:$AE$505,"○")&gt;0,1,0))</f>
        <v/>
      </c>
      <c r="BH196">
        <f>IF(BH$4=0,0,IF(COUNTIFS(実績!$W$6:$W$505,BH$3,実績!$AC$6:$AC$505,"&lt;="&amp;$A196,実績!$AD$6:$AD$505,"&gt;"&amp;$A196,実績!$AE$6:$AE$505,"○")&gt;0,1,0))</f>
        <v/>
      </c>
      <c r="BI196">
        <f>IF(BI$4=0,0,IF(COUNTIFS(実績!$W$6:$W$505,BI$3,実績!$AC$6:$AC$505,"&lt;="&amp;$A196,実績!$AD$6:$AD$505,"&gt;"&amp;$A196,実績!$AE$6:$AE$505,"○")&gt;0,1,0))</f>
        <v/>
      </c>
      <c r="BJ196">
        <f>IF(BJ$4=0,0,IF(COUNTIFS(実績!$W$6:$W$505,BJ$3,実績!$AC$6:$AC$505,"&lt;="&amp;$A196,実績!$AD$6:$AD$505,"&gt;"&amp;$A196,実績!$AE$6:$AE$505,"○")&gt;0,1,0))</f>
        <v/>
      </c>
      <c r="BK196">
        <f>IF(BK$4=0,0,IF(COUNTIFS(実績!$W$6:$W$505,BK$3,実績!$AC$6:$AC$505,"&lt;="&amp;$A196,実績!$AD$6:$AD$505,"&gt;"&amp;$A196,実績!$AE$6:$AE$505,"○")&gt;0,1,0))</f>
        <v/>
      </c>
      <c r="BL196">
        <f>IF(BL$4=0,0,IF(COUNTIFS(実績!$W$6:$W$505,BL$3,実績!$AC$6:$AC$505,"&lt;="&amp;$A196,実績!$AD$6:$AD$505,"&gt;"&amp;$A196,実績!$AE$6:$AE$505,"○")&gt;0,1,0))</f>
        <v/>
      </c>
      <c r="BM196">
        <f>IF(BM$4=0,0,IF(COUNTIFS(実績!$W$6:$W$505,BM$3,実績!$AC$6:$AC$505,"&lt;="&amp;$A196,実績!$AD$6:$AD$505,"&gt;"&amp;$A196,実績!$AE$6:$AE$505,"○")&gt;0,1,0))</f>
        <v/>
      </c>
      <c r="BN196">
        <f>IF(BN$4=0,0,IF(COUNTIFS(実績!$W$6:$W$505,BN$3,実績!$AC$6:$AC$505,"&lt;="&amp;$A196,実績!$AD$6:$AD$505,"&gt;"&amp;$A196,実績!$AE$6:$AE$505,"○")&gt;0,1,0))</f>
        <v/>
      </c>
      <c r="BO196">
        <f>IF(BO$4=0,0,IF(COUNTIFS(実績!$W$6:$W$505,BO$3,実績!$AC$6:$AC$505,"&lt;="&amp;$A196,実績!$AD$6:$AD$505,"&gt;"&amp;$A196,実績!$AE$6:$AE$505,"○")&gt;0,1,0))</f>
        <v/>
      </c>
      <c r="BP196">
        <f>IF(BP$4=0,0,IF(COUNTIFS(実績!$W$6:$W$505,BP$3,実績!$AC$6:$AC$505,"&lt;="&amp;$A196,実績!$AD$6:$AD$505,"&gt;"&amp;$A196,実績!$AE$6:$AE$505,"○")&gt;0,1,0))</f>
        <v/>
      </c>
      <c r="BQ196">
        <f>IF(BQ$4=0,0,IF(COUNTIFS(実績!$W$6:$W$505,BQ$3,実績!$AC$6:$AC$505,"&lt;="&amp;$A196,実績!$AD$6:$AD$505,"&gt;"&amp;$A196,実績!$AE$6:$AE$505,"○")&gt;0,1,0))</f>
        <v/>
      </c>
      <c r="BR196">
        <f>IF(BR$4=0,0,IF(COUNTIFS(実績!$W$6:$W$505,BR$3,実績!$AC$6:$AC$505,"&lt;="&amp;$A196,実績!$AD$6:$AD$505,"&gt;"&amp;$A196,実績!$AE$6:$AE$505,"○")&gt;0,1,0))</f>
        <v/>
      </c>
      <c r="BS196">
        <f>IF(BS$4=0,0,IF(COUNTIFS(実績!$W$6:$W$505,BS$3,実績!$AC$6:$AC$505,"&lt;="&amp;$A196,実績!$AD$6:$AD$505,"&gt;"&amp;$A196,実績!$AE$6:$AE$505,"○")&gt;0,1,0))</f>
        <v/>
      </c>
      <c r="BT196">
        <f>IF(BT$4=0,0,IF(COUNTIFS(実績!$W$6:$W$505,BT$3,実績!$AC$6:$AC$505,"&lt;="&amp;$A196,実績!$AD$6:$AD$505,"&gt;"&amp;$A196,実績!$AE$6:$AE$505,"○")&gt;0,1,0))</f>
        <v/>
      </c>
      <c r="BU196">
        <f>IF(BU$4=0,0,IF(COUNTIFS(実績!$W$6:$W$505,BU$3,実績!$AC$6:$AC$505,"&lt;="&amp;$A196,実績!$AD$6:$AD$505,"&gt;"&amp;$A196,実績!$AE$6:$AE$505,"○")&gt;0,1,0))</f>
        <v/>
      </c>
      <c r="BV196">
        <f>IF(BV$4=0,0,IF(COUNTIFS(実績!$W$6:$W$505,BV$3,実績!$AC$6:$AC$505,"&lt;="&amp;$A196,実績!$AD$6:$AD$505,"&gt;"&amp;$A196,実績!$AE$6:$AE$505,"○")&gt;0,1,0))</f>
        <v/>
      </c>
      <c r="BW196">
        <f>IF(BW$4=0,0,IF(COUNTIFS(実績!$W$6:$W$505,BW$3,実績!$AC$6:$AC$505,"&lt;="&amp;$A196,実績!$AD$6:$AD$505,"&gt;"&amp;$A196,実績!$AE$6:$AE$505,"○")&gt;0,1,0))</f>
        <v/>
      </c>
      <c r="BX196">
        <f>IF(BX$4=0,0,IF(COUNTIFS(実績!$W$6:$W$505,BX$3,実績!$AC$6:$AC$505,"&lt;="&amp;$A196,実績!$AD$6:$AD$505,"&gt;"&amp;$A196,実績!$AE$6:$AE$505,"○")&gt;0,1,0))</f>
        <v/>
      </c>
      <c r="BY196">
        <f>IF(BY$4=0,0,IF(COUNTIFS(実績!$W$6:$W$505,BY$3,実績!$AC$6:$AC$505,"&lt;="&amp;$A196,実績!$AD$6:$AD$505,"&gt;"&amp;$A196,実績!$AE$6:$AE$505,"○")&gt;0,1,0))</f>
        <v/>
      </c>
      <c r="BZ196">
        <f>IF(BZ$4=0,0,IF(COUNTIFS(実績!$W$6:$W$505,BZ$3,実績!$AC$6:$AC$505,"&lt;="&amp;$A196,実績!$AD$6:$AD$505,"&gt;"&amp;$A196,実績!$AE$6:$AE$505,"○")&gt;0,1,0))</f>
        <v/>
      </c>
      <c r="CA196">
        <f>IF(CA$4=0,0,IF(COUNTIFS(実績!$W$6:$W$505,CA$3,実績!$AC$6:$AC$505,"&lt;="&amp;$A196,実績!$AD$6:$AD$505,"&gt;"&amp;$A196,実績!$AE$6:$AE$505,"○")&gt;0,1,0))</f>
        <v/>
      </c>
      <c r="CB196">
        <f>IF(CB$4=0,0,IF(COUNTIFS(実績!$W$6:$W$505,CB$3,実績!$AC$6:$AC$505,"&lt;="&amp;$A196,実績!$AD$6:$AD$505,"&gt;"&amp;$A196,実績!$AE$6:$AE$505,"○")&gt;0,1,0))</f>
        <v/>
      </c>
      <c r="CC196">
        <f>IF(CC$4=0,0,IF(COUNTIFS(実績!$W$6:$W$505,CC$3,実績!$AC$6:$AC$505,"&lt;="&amp;$A196,実績!$AD$6:$AD$505,"&gt;"&amp;$A196,実績!$AE$6:$AE$505,"○")&gt;0,1,0))</f>
        <v/>
      </c>
      <c r="CD196">
        <f>IF(CD$4=0,0,IF(COUNTIFS(実績!$W$6:$W$505,CD$3,実績!$AC$6:$AC$505,"&lt;="&amp;$A196,実績!$AD$6:$AD$505,"&gt;"&amp;$A196,実績!$AE$6:$AE$505,"○")&gt;0,1,0))</f>
        <v/>
      </c>
      <c r="CE196">
        <f>IF(CE$4=0,0,IF(COUNTIFS(実績!$W$6:$W$505,CE$3,実績!$AC$6:$AC$505,"&lt;="&amp;$A196,実績!$AD$6:$AD$505,"&gt;"&amp;$A196,実績!$AE$6:$AE$505,"○")&gt;0,1,0))</f>
        <v/>
      </c>
      <c r="CF196">
        <f>IF(CF$4=0,0,IF(COUNTIFS(実績!$W$6:$W$505,CF$3,実績!$AC$6:$AC$505,"&lt;="&amp;$A196,実績!$AD$6:$AD$505,"&gt;"&amp;$A196,実績!$AE$6:$AE$505,"○")&gt;0,1,0))</f>
        <v/>
      </c>
      <c r="CG196">
        <f>IF(CG$4=0,0,IF(COUNTIFS(実績!$W$6:$W$505,CG$3,実績!$AC$6:$AC$505,"&lt;="&amp;$A196,実績!$AD$6:$AD$505,"&gt;"&amp;$A196,実績!$AE$6:$AE$505,"○")&gt;0,1,0))</f>
        <v/>
      </c>
      <c r="CH196">
        <f>IF(CH$4=0,0,IF(COUNTIFS(実績!$W$6:$W$505,CH$3,実績!$AC$6:$AC$505,"&lt;="&amp;$A196,実績!$AD$6:$AD$505,"&gt;"&amp;$A196,実績!$AE$6:$AE$505,"○")&gt;0,1,0))</f>
        <v/>
      </c>
      <c r="CI196">
        <f>IF(CI$4=0,0,IF(COUNTIFS(実績!$W$6:$W$505,CI$3,実績!$AC$6:$AC$505,"&lt;="&amp;$A196,実績!$AD$6:$AD$505,"&gt;"&amp;$A196,実績!$AE$6:$AE$505,"○")&gt;0,1,0))</f>
        <v/>
      </c>
      <c r="CJ196">
        <f>IF(CJ$4=0,0,IF(COUNTIFS(実績!$W$6:$W$505,CJ$3,実績!$AC$6:$AC$505,"&lt;="&amp;$A196,実績!$AD$6:$AD$505,"&gt;"&amp;$A196,実績!$AE$6:$AE$505,"○")&gt;0,1,0))</f>
        <v/>
      </c>
      <c r="CK196">
        <f>IF(CK$4=0,0,IF(COUNTIFS(実績!$W$6:$W$505,CK$3,実績!$AC$6:$AC$505,"&lt;="&amp;$A196,実績!$AD$6:$AD$505,"&gt;"&amp;$A196,実績!$AE$6:$AE$505,"○")&gt;0,1,0))</f>
        <v/>
      </c>
      <c r="CL196">
        <f>IF(CL$4=0,0,IF(COUNTIFS(実績!$W$6:$W$505,CL$3,実績!$AC$6:$AC$505,"&lt;="&amp;$A196,実績!$AD$6:$AD$505,"&gt;"&amp;$A196,実績!$AE$6:$AE$505,"○")&gt;0,1,0))</f>
        <v/>
      </c>
      <c r="CM196">
        <f>IF(CM$4=0,0,IF(COUNTIFS(実績!$W$6:$W$505,CM$3,実績!$AC$6:$AC$505,"&lt;="&amp;$A196,実績!$AD$6:$AD$505,"&gt;"&amp;$A196,実績!$AE$6:$AE$505,"○")&gt;0,1,0))</f>
        <v/>
      </c>
      <c r="CN196">
        <f>IF(CN$4=0,0,IF(COUNTIFS(実績!$W$6:$W$505,CN$3,実績!$AC$6:$AC$505,"&lt;="&amp;$A196,実績!$AD$6:$AD$505,"&gt;"&amp;$A196,実績!$AE$6:$AE$505,"○")&gt;0,1,0))</f>
        <v/>
      </c>
      <c r="CO196">
        <f>IF(CO$4=0,0,IF(COUNTIFS(実績!$W$6:$W$505,CO$3,実績!$AC$6:$AC$505,"&lt;="&amp;$A196,実績!$AD$6:$AD$505,"&gt;"&amp;$A196,実績!$AE$6:$AE$505,"○")&gt;0,1,0))</f>
        <v/>
      </c>
      <c r="CP196">
        <f>IF(CP$4=0,0,IF(COUNTIFS(実績!$W$6:$W$505,CP$3,実績!$AC$6:$AC$505,"&lt;="&amp;$A196,実績!$AD$6:$AD$505,"&gt;"&amp;$A196,実績!$AE$6:$AE$505,"○")&gt;0,1,0))</f>
        <v/>
      </c>
      <c r="CQ196">
        <f>IF(CQ$4=0,0,IF(COUNTIFS(実績!$W$6:$W$505,CQ$3,実績!$AC$6:$AC$505,"&lt;="&amp;$A196,実績!$AD$6:$AD$505,"&gt;"&amp;$A196,実績!$AE$6:$AE$505,"○")&gt;0,1,0))</f>
        <v/>
      </c>
      <c r="CR196">
        <f>IF(CR$4=0,0,IF(COUNTIFS(実績!$W$6:$W$505,CR$3,実績!$AC$6:$AC$505,"&lt;="&amp;$A196,実績!$AD$6:$AD$505,"&gt;"&amp;$A196,実績!$AE$6:$AE$505,"○")&gt;0,1,0))</f>
        <v/>
      </c>
      <c r="CS196">
        <f>IF(CS$4=0,0,IF(COUNTIFS(実績!$W$6:$W$505,CS$3,実績!$AC$6:$AC$505,"&lt;="&amp;$A196,実績!$AD$6:$AD$505,"&gt;"&amp;$A196,実績!$AE$6:$AE$505,"○")&gt;0,1,0))</f>
        <v/>
      </c>
      <c r="CT196">
        <f>IF(CT$4=0,0,IF(COUNTIFS(実績!$W$6:$W$505,CT$3,実績!$AC$6:$AC$505,"&lt;="&amp;$A196,実績!$AD$6:$AD$505,"&gt;"&amp;$A196,実績!$AE$6:$AE$505,"○")&gt;0,1,0))</f>
        <v/>
      </c>
      <c r="CU196">
        <f>IF(CU$4=0,0,IF(COUNTIFS(実績!$W$6:$W$505,CU$3,実績!$AC$6:$AC$505,"&lt;="&amp;$A196,実績!$AD$6:$AD$505,"&gt;"&amp;$A196,実績!$AE$6:$AE$505,"○")&gt;0,1,0))</f>
        <v/>
      </c>
      <c r="CV196">
        <f>IF(CV$4=0,0,IF(COUNTIFS(実績!$W$6:$W$505,CV$3,実績!$AC$6:$AC$505,"&lt;="&amp;$A196,実績!$AD$6:$AD$505,"&gt;"&amp;$A196,実績!$AE$6:$AE$505,"○")&gt;0,1,0))</f>
        <v/>
      </c>
      <c r="CW196">
        <f>IF(CW$4=0,0,IF(COUNTIFS(実績!$W$6:$W$505,CW$3,実績!$AC$6:$AC$505,"&lt;="&amp;$A196,実績!$AD$6:$AD$505,"&gt;"&amp;$A196,実績!$AE$6:$AE$505,"○")&gt;0,1,0))</f>
        <v/>
      </c>
      <c r="CX196">
        <f>IF(CX$4=0,0,IF(COUNTIFS(実績!$W$6:$W$505,CX$3,実績!$AC$6:$AC$505,"&lt;="&amp;$A196,実績!$AD$6:$AD$505,"&gt;"&amp;$A196,実績!$AE$6:$AE$505,"○")&gt;0,1,0))</f>
        <v/>
      </c>
      <c r="CY196">
        <f>IF(CY$4=0,0,IF(COUNTIFS(実績!$W$6:$W$505,CY$3,実績!$AC$6:$AC$505,"&lt;="&amp;$A196,実績!$AD$6:$AD$505,"&gt;"&amp;$A196,実績!$AE$6:$AE$505,"○")&gt;0,1,0))</f>
        <v/>
      </c>
      <c r="CZ196">
        <f>IF(CZ$4=0,0,IF(COUNTIFS(実績!$W$6:$W$505,CZ$3,実績!$AC$6:$AC$505,"&lt;="&amp;$A196,実績!$AD$6:$AD$505,"&gt;"&amp;$A196,実績!$AE$6:$AE$505,"○")&gt;0,1,0))</f>
        <v/>
      </c>
      <c r="DA196">
        <f>IF(DA$4=0,0,IF(COUNTIFS(実績!$W$6:$W$505,DA$3,実績!$AC$6:$AC$505,"&lt;="&amp;$A196,実績!$AD$6:$AD$505,"&gt;"&amp;$A196,実績!$AE$6:$AE$505,"○")&gt;0,1,0))</f>
        <v/>
      </c>
      <c r="DB196">
        <f>IF(DB$4=0,0,IF(COUNTIFS(実績!$W$6:$W$505,DB$3,実績!$AC$6:$AC$505,"&lt;="&amp;$A196,実績!$AD$6:$AD$505,"&gt;"&amp;$A196,実績!$AE$6:$AE$505,"○")&gt;0,1,0))</f>
        <v/>
      </c>
      <c r="DC196">
        <f>IF(DC$4=0,0,IF(COUNTIFS(実績!$W$6:$W$505,DC$3,実績!$AC$6:$AC$505,"&lt;="&amp;$A196,実績!$AD$6:$AD$505,"&gt;"&amp;$A196,実績!$AE$6:$AE$505,"○")&gt;0,1,0))</f>
        <v/>
      </c>
      <c r="DD196">
        <f>IF(DD$4=0,0,IF(COUNTIFS(実績!$W$6:$W$505,DD$3,実績!$AC$6:$AC$505,"&lt;="&amp;$A196,実績!$AD$6:$AD$505,"&gt;"&amp;$A196,実績!$AE$6:$AE$505,"○")&gt;0,1,0))</f>
        <v/>
      </c>
      <c r="DE196">
        <f>IF(DE$4=0,0,IF(COUNTIFS(実績!$W$6:$W$505,DE$3,実績!$AC$6:$AC$505,"&lt;="&amp;$A196,実績!$AD$6:$AD$505,"&gt;"&amp;$A196,実績!$AE$6:$AE$505,"○")&gt;0,1,0))</f>
        <v/>
      </c>
      <c r="DF196">
        <f>IF(DF$4=0,0,IF(COUNTIFS(実績!$W$6:$W$505,DF$3,実績!$AC$6:$AC$505,"&lt;="&amp;$A196,実績!$AD$6:$AD$505,"&gt;"&amp;$A196,実績!$AE$6:$AE$505,"○")&gt;0,1,0))</f>
        <v/>
      </c>
      <c r="DG196">
        <f>IF(DG$4=0,0,IF(COUNTIFS(実績!$W$6:$W$505,DG$3,実績!$AC$6:$AC$505,"&lt;="&amp;$A196,実績!$AD$6:$AD$505,"&gt;"&amp;$A196,実績!$AE$6:$AE$505,"○")&gt;0,1,0))</f>
        <v/>
      </c>
      <c r="DH196">
        <f>IF(DH$4=0,0,IF(COUNTIFS(実績!$W$6:$W$505,DH$3,実績!$AC$6:$AC$505,"&lt;="&amp;$A196,実績!$AD$6:$AD$505,"&gt;"&amp;$A196,実績!$AE$6:$AE$505,"○")&gt;0,1,0))</f>
        <v/>
      </c>
      <c r="DI196">
        <f>IF(DI$4=0,0,IF(COUNTIFS(実績!$W$6:$W$505,DI$3,実績!$AC$6:$AC$505,"&lt;="&amp;$A196,実績!$AD$6:$AD$505,"&gt;"&amp;$A196,実績!$AE$6:$AE$505,"○")&gt;0,1,0))</f>
        <v/>
      </c>
      <c r="DJ196">
        <f>IF(DJ$4=0,0,IF(COUNTIFS(実績!$W$6:$W$505,DJ$3,実績!$AC$6:$AC$505,"&lt;="&amp;$A196,実績!$AD$6:$AD$505,"&gt;"&amp;$A196,実績!$AE$6:$AE$505,"○")&gt;0,1,0))</f>
        <v/>
      </c>
      <c r="DK196">
        <f>IF(DK$4=0,0,IF(COUNTIFS(実績!$W$6:$W$505,DK$3,実績!$AC$6:$AC$505,"&lt;="&amp;$A196,実績!$AD$6:$AD$505,"&gt;"&amp;$A196,実績!$AE$6:$AE$505,"○")&gt;0,1,0))</f>
        <v/>
      </c>
      <c r="DL196">
        <f>IF(DL$4=0,0,IF(COUNTIFS(実績!$W$6:$W$505,DL$3,実績!$AC$6:$AC$505,"&lt;="&amp;$A196,実績!$AD$6:$AD$505,"&gt;"&amp;$A196,実績!$AE$6:$AE$505,"○")&gt;0,1,0))</f>
        <v/>
      </c>
      <c r="DM196">
        <f>IF(DM$4=0,0,IF(COUNTIFS(実績!$W$6:$W$505,DM$3,実績!$AC$6:$AC$505,"&lt;="&amp;$A196,実績!$AD$6:$AD$505,"&gt;"&amp;$A196,実績!$AE$6:$AE$505,"○")&gt;0,1,0))</f>
        <v/>
      </c>
      <c r="DN196">
        <f>IF(DN$4=0,0,IF(COUNTIFS(実績!$W$6:$W$505,DN$3,実績!$AC$6:$AC$505,"&lt;="&amp;$A196,実績!$AD$6:$AD$505,"&gt;"&amp;$A196,実績!$AE$6:$AE$505,"○")&gt;0,1,0))</f>
        <v/>
      </c>
      <c r="DO196">
        <f>IF(DO$4=0,0,IF(COUNTIFS(実績!$W$6:$W$505,DO$3,実績!$AC$6:$AC$505,"&lt;="&amp;$A196,実績!$AD$6:$AD$505,"&gt;"&amp;$A196,実績!$AE$6:$AE$505,"○")&gt;0,1,0))</f>
        <v/>
      </c>
      <c r="DP196">
        <f>IF(DP$4=0,0,IF(COUNTIFS(実績!$W$6:$W$505,DP$3,実績!$AC$6:$AC$505,"&lt;="&amp;$A196,実績!$AD$6:$AD$505,"&gt;"&amp;$A196,実績!$AE$6:$AE$505,"○")&gt;0,1,0))</f>
        <v/>
      </c>
      <c r="DQ196">
        <f>IF(DQ$4=0,0,IF(COUNTIFS(実績!$W$6:$W$505,DQ$3,実績!$AC$6:$AC$505,"&lt;="&amp;$A196,実績!$AD$6:$AD$505,"&gt;"&amp;$A196,実績!$AE$6:$AE$505,"○")&gt;0,1,0))</f>
        <v/>
      </c>
      <c r="DR196">
        <f>IF(DR$4=0,0,IF(COUNTIFS(実績!$W$6:$W$505,DR$3,実績!$AC$6:$AC$505,"&lt;="&amp;$A196,実績!$AD$6:$AD$505,"&gt;"&amp;$A196,実績!$AE$6:$AE$505,"○")&gt;0,1,0))</f>
        <v/>
      </c>
      <c r="DS196">
        <f>SUM(C196:DR196)</f>
        <v/>
      </c>
      <c r="DT196">
        <f>SUMPRODUCT((実績!$C$6:$C$505="○")*ISNUMBER(実績!$AF$6:$AF$505)*(実績!$AF$6:$AF$505&lt;=$A196)*(実績!$AG$6:$AG$505&gt;$A196))</f>
        <v/>
      </c>
      <c r="DU196">
        <f>SUMIF($C$2:$DR$2,"製鉄曳船",C196:DR196)</f>
        <v/>
      </c>
      <c r="DV196">
        <f>SUMIF($C$2:$DR$2,"西日本海運",C196:DR196)</f>
        <v/>
      </c>
    </row>
    <row r="197">
      <c r="A197" t="n">
        <v>955</v>
      </c>
      <c r="B197" s="29">
        <f>A197/1440</f>
        <v/>
      </c>
      <c r="C197">
        <f>IF(C$4=0,0,IF(COUNTIFS(実績!$W$6:$W$505,C$3,実績!$AC$6:$AC$505,"&lt;="&amp;$A197,実績!$AD$6:$AD$505,"&gt;"&amp;$A197,実績!$AE$6:$AE$505,"○")&gt;0,1,0))</f>
        <v/>
      </c>
      <c r="D197">
        <f>IF(D$4=0,0,IF(COUNTIFS(実績!$W$6:$W$505,D$3,実績!$AC$6:$AC$505,"&lt;="&amp;$A197,実績!$AD$6:$AD$505,"&gt;"&amp;$A197,実績!$AE$6:$AE$505,"○")&gt;0,1,0))</f>
        <v/>
      </c>
      <c r="E197">
        <f>IF(E$4=0,0,IF(COUNTIFS(実績!$W$6:$W$505,E$3,実績!$AC$6:$AC$505,"&lt;="&amp;$A197,実績!$AD$6:$AD$505,"&gt;"&amp;$A197,実績!$AE$6:$AE$505,"○")&gt;0,1,0))</f>
        <v/>
      </c>
      <c r="F197">
        <f>IF(F$4=0,0,IF(COUNTIFS(実績!$W$6:$W$505,F$3,実績!$AC$6:$AC$505,"&lt;="&amp;$A197,実績!$AD$6:$AD$505,"&gt;"&amp;$A197,実績!$AE$6:$AE$505,"○")&gt;0,1,0))</f>
        <v/>
      </c>
      <c r="G197">
        <f>IF(G$4=0,0,IF(COUNTIFS(実績!$W$6:$W$505,G$3,実績!$AC$6:$AC$505,"&lt;="&amp;$A197,実績!$AD$6:$AD$505,"&gt;"&amp;$A197,実績!$AE$6:$AE$505,"○")&gt;0,1,0))</f>
        <v/>
      </c>
      <c r="H197">
        <f>IF(H$4=0,0,IF(COUNTIFS(実績!$W$6:$W$505,H$3,実績!$AC$6:$AC$505,"&lt;="&amp;$A197,実績!$AD$6:$AD$505,"&gt;"&amp;$A197,実績!$AE$6:$AE$505,"○")&gt;0,1,0))</f>
        <v/>
      </c>
      <c r="I197">
        <f>IF(I$4=0,0,IF(COUNTIFS(実績!$W$6:$W$505,I$3,実績!$AC$6:$AC$505,"&lt;="&amp;$A197,実績!$AD$6:$AD$505,"&gt;"&amp;$A197,実績!$AE$6:$AE$505,"○")&gt;0,1,0))</f>
        <v/>
      </c>
      <c r="J197">
        <f>IF(J$4=0,0,IF(COUNTIFS(実績!$W$6:$W$505,J$3,実績!$AC$6:$AC$505,"&lt;="&amp;$A197,実績!$AD$6:$AD$505,"&gt;"&amp;$A197,実績!$AE$6:$AE$505,"○")&gt;0,1,0))</f>
        <v/>
      </c>
      <c r="K197">
        <f>IF(K$4=0,0,IF(COUNTIFS(実績!$W$6:$W$505,K$3,実績!$AC$6:$AC$505,"&lt;="&amp;$A197,実績!$AD$6:$AD$505,"&gt;"&amp;$A197,実績!$AE$6:$AE$505,"○")&gt;0,1,0))</f>
        <v/>
      </c>
      <c r="L197">
        <f>IF(L$4=0,0,IF(COUNTIFS(実績!$W$6:$W$505,L$3,実績!$AC$6:$AC$505,"&lt;="&amp;$A197,実績!$AD$6:$AD$505,"&gt;"&amp;$A197,実績!$AE$6:$AE$505,"○")&gt;0,1,0))</f>
        <v/>
      </c>
      <c r="M197">
        <f>IF(M$4=0,0,IF(COUNTIFS(実績!$W$6:$W$505,M$3,実績!$AC$6:$AC$505,"&lt;="&amp;$A197,実績!$AD$6:$AD$505,"&gt;"&amp;$A197,実績!$AE$6:$AE$505,"○")&gt;0,1,0))</f>
        <v/>
      </c>
      <c r="N197">
        <f>IF(N$4=0,0,IF(COUNTIFS(実績!$W$6:$W$505,N$3,実績!$AC$6:$AC$505,"&lt;="&amp;$A197,実績!$AD$6:$AD$505,"&gt;"&amp;$A197,実績!$AE$6:$AE$505,"○")&gt;0,1,0))</f>
        <v/>
      </c>
      <c r="O197">
        <f>IF(O$4=0,0,IF(COUNTIFS(実績!$W$6:$W$505,O$3,実績!$AC$6:$AC$505,"&lt;="&amp;$A197,実績!$AD$6:$AD$505,"&gt;"&amp;$A197,実績!$AE$6:$AE$505,"○")&gt;0,1,0))</f>
        <v/>
      </c>
      <c r="P197">
        <f>IF(P$4=0,0,IF(COUNTIFS(実績!$W$6:$W$505,P$3,実績!$AC$6:$AC$505,"&lt;="&amp;$A197,実績!$AD$6:$AD$505,"&gt;"&amp;$A197,実績!$AE$6:$AE$505,"○")&gt;0,1,0))</f>
        <v/>
      </c>
      <c r="Q197">
        <f>IF(Q$4=0,0,IF(COUNTIFS(実績!$W$6:$W$505,Q$3,実績!$AC$6:$AC$505,"&lt;="&amp;$A197,実績!$AD$6:$AD$505,"&gt;"&amp;$A197,実績!$AE$6:$AE$505,"○")&gt;0,1,0))</f>
        <v/>
      </c>
      <c r="R197">
        <f>IF(R$4=0,0,IF(COUNTIFS(実績!$W$6:$W$505,R$3,実績!$AC$6:$AC$505,"&lt;="&amp;$A197,実績!$AD$6:$AD$505,"&gt;"&amp;$A197,実績!$AE$6:$AE$505,"○")&gt;0,1,0))</f>
        <v/>
      </c>
      <c r="S197">
        <f>IF(S$4=0,0,IF(COUNTIFS(実績!$W$6:$W$505,S$3,実績!$AC$6:$AC$505,"&lt;="&amp;$A197,実績!$AD$6:$AD$505,"&gt;"&amp;$A197,実績!$AE$6:$AE$505,"○")&gt;0,1,0))</f>
        <v/>
      </c>
      <c r="T197">
        <f>IF(T$4=0,0,IF(COUNTIFS(実績!$W$6:$W$505,T$3,実績!$AC$6:$AC$505,"&lt;="&amp;$A197,実績!$AD$6:$AD$505,"&gt;"&amp;$A197,実績!$AE$6:$AE$505,"○")&gt;0,1,0))</f>
        <v/>
      </c>
      <c r="U197">
        <f>IF(U$4=0,0,IF(COUNTIFS(実績!$W$6:$W$505,U$3,実績!$AC$6:$AC$505,"&lt;="&amp;$A197,実績!$AD$6:$AD$505,"&gt;"&amp;$A197,実績!$AE$6:$AE$505,"○")&gt;0,1,0))</f>
        <v/>
      </c>
      <c r="V197">
        <f>IF(V$4=0,0,IF(COUNTIFS(実績!$W$6:$W$505,V$3,実績!$AC$6:$AC$505,"&lt;="&amp;$A197,実績!$AD$6:$AD$505,"&gt;"&amp;$A197,実績!$AE$6:$AE$505,"○")&gt;0,1,0))</f>
        <v/>
      </c>
      <c r="W197">
        <f>IF(W$4=0,0,IF(COUNTIFS(実績!$W$6:$W$505,W$3,実績!$AC$6:$AC$505,"&lt;="&amp;$A197,実績!$AD$6:$AD$505,"&gt;"&amp;$A197,実績!$AE$6:$AE$505,"○")&gt;0,1,0))</f>
        <v/>
      </c>
      <c r="X197">
        <f>IF(X$4=0,0,IF(COUNTIFS(実績!$W$6:$W$505,X$3,実績!$AC$6:$AC$505,"&lt;="&amp;$A197,実績!$AD$6:$AD$505,"&gt;"&amp;$A197,実績!$AE$6:$AE$505,"○")&gt;0,1,0))</f>
        <v/>
      </c>
      <c r="Y197">
        <f>IF(Y$4=0,0,IF(COUNTIFS(実績!$W$6:$W$505,Y$3,実績!$AC$6:$AC$505,"&lt;="&amp;$A197,実績!$AD$6:$AD$505,"&gt;"&amp;$A197,実績!$AE$6:$AE$505,"○")&gt;0,1,0))</f>
        <v/>
      </c>
      <c r="Z197">
        <f>IF(Z$4=0,0,IF(COUNTIFS(実績!$W$6:$W$505,Z$3,実績!$AC$6:$AC$505,"&lt;="&amp;$A197,実績!$AD$6:$AD$505,"&gt;"&amp;$A197,実績!$AE$6:$AE$505,"○")&gt;0,1,0))</f>
        <v/>
      </c>
      <c r="AA197">
        <f>IF(AA$4=0,0,IF(COUNTIFS(実績!$W$6:$W$505,AA$3,実績!$AC$6:$AC$505,"&lt;="&amp;$A197,実績!$AD$6:$AD$505,"&gt;"&amp;$A197,実績!$AE$6:$AE$505,"○")&gt;0,1,0))</f>
        <v/>
      </c>
      <c r="AB197">
        <f>IF(AB$4=0,0,IF(COUNTIFS(実績!$W$6:$W$505,AB$3,実績!$AC$6:$AC$505,"&lt;="&amp;$A197,実績!$AD$6:$AD$505,"&gt;"&amp;$A197,実績!$AE$6:$AE$505,"○")&gt;0,1,0))</f>
        <v/>
      </c>
      <c r="AC197">
        <f>IF(AC$4=0,0,IF(COUNTIFS(実績!$W$6:$W$505,AC$3,実績!$AC$6:$AC$505,"&lt;="&amp;$A197,実績!$AD$6:$AD$505,"&gt;"&amp;$A197,実績!$AE$6:$AE$505,"○")&gt;0,1,0))</f>
        <v/>
      </c>
      <c r="AD197">
        <f>IF(AD$4=0,0,IF(COUNTIFS(実績!$W$6:$W$505,AD$3,実績!$AC$6:$AC$505,"&lt;="&amp;$A197,実績!$AD$6:$AD$505,"&gt;"&amp;$A197,実績!$AE$6:$AE$505,"○")&gt;0,1,0))</f>
        <v/>
      </c>
      <c r="AE197">
        <f>IF(AE$4=0,0,IF(COUNTIFS(実績!$W$6:$W$505,AE$3,実績!$AC$6:$AC$505,"&lt;="&amp;$A197,実績!$AD$6:$AD$505,"&gt;"&amp;$A197,実績!$AE$6:$AE$505,"○")&gt;0,1,0))</f>
        <v/>
      </c>
      <c r="AF197">
        <f>IF(AF$4=0,0,IF(COUNTIFS(実績!$W$6:$W$505,AF$3,実績!$AC$6:$AC$505,"&lt;="&amp;$A197,実績!$AD$6:$AD$505,"&gt;"&amp;$A197,実績!$AE$6:$AE$505,"○")&gt;0,1,0))</f>
        <v/>
      </c>
      <c r="AG197">
        <f>IF(AG$4=0,0,IF(COUNTIFS(実績!$W$6:$W$505,AG$3,実績!$AC$6:$AC$505,"&lt;="&amp;$A197,実績!$AD$6:$AD$505,"&gt;"&amp;$A197,実績!$AE$6:$AE$505,"○")&gt;0,1,0))</f>
        <v/>
      </c>
      <c r="AH197">
        <f>IF(AH$4=0,0,IF(COUNTIFS(実績!$W$6:$W$505,AH$3,実績!$AC$6:$AC$505,"&lt;="&amp;$A197,実績!$AD$6:$AD$505,"&gt;"&amp;$A197,実績!$AE$6:$AE$505,"○")&gt;0,1,0))</f>
        <v/>
      </c>
      <c r="AI197">
        <f>IF(AI$4=0,0,IF(COUNTIFS(実績!$W$6:$W$505,AI$3,実績!$AC$6:$AC$505,"&lt;="&amp;$A197,実績!$AD$6:$AD$505,"&gt;"&amp;$A197,実績!$AE$6:$AE$505,"○")&gt;0,1,0))</f>
        <v/>
      </c>
      <c r="AJ197">
        <f>IF(AJ$4=0,0,IF(COUNTIFS(実績!$W$6:$W$505,AJ$3,実績!$AC$6:$AC$505,"&lt;="&amp;$A197,実績!$AD$6:$AD$505,"&gt;"&amp;$A197,実績!$AE$6:$AE$505,"○")&gt;0,1,0))</f>
        <v/>
      </c>
      <c r="AK197">
        <f>IF(AK$4=0,0,IF(COUNTIFS(実績!$W$6:$W$505,AK$3,実績!$AC$6:$AC$505,"&lt;="&amp;$A197,実績!$AD$6:$AD$505,"&gt;"&amp;$A197,実績!$AE$6:$AE$505,"○")&gt;0,1,0))</f>
        <v/>
      </c>
      <c r="AL197">
        <f>IF(AL$4=0,0,IF(COUNTIFS(実績!$W$6:$W$505,AL$3,実績!$AC$6:$AC$505,"&lt;="&amp;$A197,実績!$AD$6:$AD$505,"&gt;"&amp;$A197,実績!$AE$6:$AE$505,"○")&gt;0,1,0))</f>
        <v/>
      </c>
      <c r="AM197">
        <f>IF(AM$4=0,0,IF(COUNTIFS(実績!$W$6:$W$505,AM$3,実績!$AC$6:$AC$505,"&lt;="&amp;$A197,実績!$AD$6:$AD$505,"&gt;"&amp;$A197,実績!$AE$6:$AE$505,"○")&gt;0,1,0))</f>
        <v/>
      </c>
      <c r="AN197">
        <f>IF(AN$4=0,0,IF(COUNTIFS(実績!$W$6:$W$505,AN$3,実績!$AC$6:$AC$505,"&lt;="&amp;$A197,実績!$AD$6:$AD$505,"&gt;"&amp;$A197,実績!$AE$6:$AE$505,"○")&gt;0,1,0))</f>
        <v/>
      </c>
      <c r="AO197">
        <f>IF(AO$4=0,0,IF(COUNTIFS(実績!$W$6:$W$505,AO$3,実績!$AC$6:$AC$505,"&lt;="&amp;$A197,実績!$AD$6:$AD$505,"&gt;"&amp;$A197,実績!$AE$6:$AE$505,"○")&gt;0,1,0))</f>
        <v/>
      </c>
      <c r="AP197">
        <f>IF(AP$4=0,0,IF(COUNTIFS(実績!$W$6:$W$505,AP$3,実績!$AC$6:$AC$505,"&lt;="&amp;$A197,実績!$AD$6:$AD$505,"&gt;"&amp;$A197,実績!$AE$6:$AE$505,"○")&gt;0,1,0))</f>
        <v/>
      </c>
      <c r="AQ197">
        <f>IF(AQ$4=0,0,IF(COUNTIFS(実績!$W$6:$W$505,AQ$3,実績!$AC$6:$AC$505,"&lt;="&amp;$A197,実績!$AD$6:$AD$505,"&gt;"&amp;$A197,実績!$AE$6:$AE$505,"○")&gt;0,1,0))</f>
        <v/>
      </c>
      <c r="AR197">
        <f>IF(AR$4=0,0,IF(COUNTIFS(実績!$W$6:$W$505,AR$3,実績!$AC$6:$AC$505,"&lt;="&amp;$A197,実績!$AD$6:$AD$505,"&gt;"&amp;$A197,実績!$AE$6:$AE$505,"○")&gt;0,1,0))</f>
        <v/>
      </c>
      <c r="AS197">
        <f>IF(AS$4=0,0,IF(COUNTIFS(実績!$W$6:$W$505,AS$3,実績!$AC$6:$AC$505,"&lt;="&amp;$A197,実績!$AD$6:$AD$505,"&gt;"&amp;$A197,実績!$AE$6:$AE$505,"○")&gt;0,1,0))</f>
        <v/>
      </c>
      <c r="AT197">
        <f>IF(AT$4=0,0,IF(COUNTIFS(実績!$W$6:$W$505,AT$3,実績!$AC$6:$AC$505,"&lt;="&amp;$A197,実績!$AD$6:$AD$505,"&gt;"&amp;$A197,実績!$AE$6:$AE$505,"○")&gt;0,1,0))</f>
        <v/>
      </c>
      <c r="AU197">
        <f>IF(AU$4=0,0,IF(COUNTIFS(実績!$W$6:$W$505,AU$3,実績!$AC$6:$AC$505,"&lt;="&amp;$A197,実績!$AD$6:$AD$505,"&gt;"&amp;$A197,実績!$AE$6:$AE$505,"○")&gt;0,1,0))</f>
        <v/>
      </c>
      <c r="AV197">
        <f>IF(AV$4=0,0,IF(COUNTIFS(実績!$W$6:$W$505,AV$3,実績!$AC$6:$AC$505,"&lt;="&amp;$A197,実績!$AD$6:$AD$505,"&gt;"&amp;$A197,実績!$AE$6:$AE$505,"○")&gt;0,1,0))</f>
        <v/>
      </c>
      <c r="AW197">
        <f>IF(AW$4=0,0,IF(COUNTIFS(実績!$W$6:$W$505,AW$3,実績!$AC$6:$AC$505,"&lt;="&amp;$A197,実績!$AD$6:$AD$505,"&gt;"&amp;$A197,実績!$AE$6:$AE$505,"○")&gt;0,1,0))</f>
        <v/>
      </c>
      <c r="AX197">
        <f>IF(AX$4=0,0,IF(COUNTIFS(実績!$W$6:$W$505,AX$3,実績!$AC$6:$AC$505,"&lt;="&amp;$A197,実績!$AD$6:$AD$505,"&gt;"&amp;$A197,実績!$AE$6:$AE$505,"○")&gt;0,1,0))</f>
        <v/>
      </c>
      <c r="AY197">
        <f>IF(AY$4=0,0,IF(COUNTIFS(実績!$W$6:$W$505,AY$3,実績!$AC$6:$AC$505,"&lt;="&amp;$A197,実績!$AD$6:$AD$505,"&gt;"&amp;$A197,実績!$AE$6:$AE$505,"○")&gt;0,1,0))</f>
        <v/>
      </c>
      <c r="AZ197">
        <f>IF(AZ$4=0,0,IF(COUNTIFS(実績!$W$6:$W$505,AZ$3,実績!$AC$6:$AC$505,"&lt;="&amp;$A197,実績!$AD$6:$AD$505,"&gt;"&amp;$A197,実績!$AE$6:$AE$505,"○")&gt;0,1,0))</f>
        <v/>
      </c>
      <c r="BA197">
        <f>IF(BA$4=0,0,IF(COUNTIFS(実績!$W$6:$W$505,BA$3,実績!$AC$6:$AC$505,"&lt;="&amp;$A197,実績!$AD$6:$AD$505,"&gt;"&amp;$A197,実績!$AE$6:$AE$505,"○")&gt;0,1,0))</f>
        <v/>
      </c>
      <c r="BB197">
        <f>IF(BB$4=0,0,IF(COUNTIFS(実績!$W$6:$W$505,BB$3,実績!$AC$6:$AC$505,"&lt;="&amp;$A197,実績!$AD$6:$AD$505,"&gt;"&amp;$A197,実績!$AE$6:$AE$505,"○")&gt;0,1,0))</f>
        <v/>
      </c>
      <c r="BC197">
        <f>IF(BC$4=0,0,IF(COUNTIFS(実績!$W$6:$W$505,BC$3,実績!$AC$6:$AC$505,"&lt;="&amp;$A197,実績!$AD$6:$AD$505,"&gt;"&amp;$A197,実績!$AE$6:$AE$505,"○")&gt;0,1,0))</f>
        <v/>
      </c>
      <c r="BD197">
        <f>IF(BD$4=0,0,IF(COUNTIFS(実績!$W$6:$W$505,BD$3,実績!$AC$6:$AC$505,"&lt;="&amp;$A197,実績!$AD$6:$AD$505,"&gt;"&amp;$A197,実績!$AE$6:$AE$505,"○")&gt;0,1,0))</f>
        <v/>
      </c>
      <c r="BE197">
        <f>IF(BE$4=0,0,IF(COUNTIFS(実績!$W$6:$W$505,BE$3,実績!$AC$6:$AC$505,"&lt;="&amp;$A197,実績!$AD$6:$AD$505,"&gt;"&amp;$A197,実績!$AE$6:$AE$505,"○")&gt;0,1,0))</f>
        <v/>
      </c>
      <c r="BF197">
        <f>IF(BF$4=0,0,IF(COUNTIFS(実績!$W$6:$W$505,BF$3,実績!$AC$6:$AC$505,"&lt;="&amp;$A197,実績!$AD$6:$AD$505,"&gt;"&amp;$A197,実績!$AE$6:$AE$505,"○")&gt;0,1,0))</f>
        <v/>
      </c>
      <c r="BG197">
        <f>IF(BG$4=0,0,IF(COUNTIFS(実績!$W$6:$W$505,BG$3,実績!$AC$6:$AC$505,"&lt;="&amp;$A197,実績!$AD$6:$AD$505,"&gt;"&amp;$A197,実績!$AE$6:$AE$505,"○")&gt;0,1,0))</f>
        <v/>
      </c>
      <c r="BH197">
        <f>IF(BH$4=0,0,IF(COUNTIFS(実績!$W$6:$W$505,BH$3,実績!$AC$6:$AC$505,"&lt;="&amp;$A197,実績!$AD$6:$AD$505,"&gt;"&amp;$A197,実績!$AE$6:$AE$505,"○")&gt;0,1,0))</f>
        <v/>
      </c>
      <c r="BI197">
        <f>IF(BI$4=0,0,IF(COUNTIFS(実績!$W$6:$W$505,BI$3,実績!$AC$6:$AC$505,"&lt;="&amp;$A197,実績!$AD$6:$AD$505,"&gt;"&amp;$A197,実績!$AE$6:$AE$505,"○")&gt;0,1,0))</f>
        <v/>
      </c>
      <c r="BJ197">
        <f>IF(BJ$4=0,0,IF(COUNTIFS(実績!$W$6:$W$505,BJ$3,実績!$AC$6:$AC$505,"&lt;="&amp;$A197,実績!$AD$6:$AD$505,"&gt;"&amp;$A197,実績!$AE$6:$AE$505,"○")&gt;0,1,0))</f>
        <v/>
      </c>
      <c r="BK197">
        <f>IF(BK$4=0,0,IF(COUNTIFS(実績!$W$6:$W$505,BK$3,実績!$AC$6:$AC$505,"&lt;="&amp;$A197,実績!$AD$6:$AD$505,"&gt;"&amp;$A197,実績!$AE$6:$AE$505,"○")&gt;0,1,0))</f>
        <v/>
      </c>
      <c r="BL197">
        <f>IF(BL$4=0,0,IF(COUNTIFS(実績!$W$6:$W$505,BL$3,実績!$AC$6:$AC$505,"&lt;="&amp;$A197,実績!$AD$6:$AD$505,"&gt;"&amp;$A197,実績!$AE$6:$AE$505,"○")&gt;0,1,0))</f>
        <v/>
      </c>
      <c r="BM197">
        <f>IF(BM$4=0,0,IF(COUNTIFS(実績!$W$6:$W$505,BM$3,実績!$AC$6:$AC$505,"&lt;="&amp;$A197,実績!$AD$6:$AD$505,"&gt;"&amp;$A197,実績!$AE$6:$AE$505,"○")&gt;0,1,0))</f>
        <v/>
      </c>
      <c r="BN197">
        <f>IF(BN$4=0,0,IF(COUNTIFS(実績!$W$6:$W$505,BN$3,実績!$AC$6:$AC$505,"&lt;="&amp;$A197,実績!$AD$6:$AD$505,"&gt;"&amp;$A197,実績!$AE$6:$AE$505,"○")&gt;0,1,0))</f>
        <v/>
      </c>
      <c r="BO197">
        <f>IF(BO$4=0,0,IF(COUNTIFS(実績!$W$6:$W$505,BO$3,実績!$AC$6:$AC$505,"&lt;="&amp;$A197,実績!$AD$6:$AD$505,"&gt;"&amp;$A197,実績!$AE$6:$AE$505,"○")&gt;0,1,0))</f>
        <v/>
      </c>
      <c r="BP197">
        <f>IF(BP$4=0,0,IF(COUNTIFS(実績!$W$6:$W$505,BP$3,実績!$AC$6:$AC$505,"&lt;="&amp;$A197,実績!$AD$6:$AD$505,"&gt;"&amp;$A197,実績!$AE$6:$AE$505,"○")&gt;0,1,0))</f>
        <v/>
      </c>
      <c r="BQ197">
        <f>IF(BQ$4=0,0,IF(COUNTIFS(実績!$W$6:$W$505,BQ$3,実績!$AC$6:$AC$505,"&lt;="&amp;$A197,実績!$AD$6:$AD$505,"&gt;"&amp;$A197,実績!$AE$6:$AE$505,"○")&gt;0,1,0))</f>
        <v/>
      </c>
      <c r="BR197">
        <f>IF(BR$4=0,0,IF(COUNTIFS(実績!$W$6:$W$505,BR$3,実績!$AC$6:$AC$505,"&lt;="&amp;$A197,実績!$AD$6:$AD$505,"&gt;"&amp;$A197,実績!$AE$6:$AE$505,"○")&gt;0,1,0))</f>
        <v/>
      </c>
      <c r="BS197">
        <f>IF(BS$4=0,0,IF(COUNTIFS(実績!$W$6:$W$505,BS$3,実績!$AC$6:$AC$505,"&lt;="&amp;$A197,実績!$AD$6:$AD$505,"&gt;"&amp;$A197,実績!$AE$6:$AE$505,"○")&gt;0,1,0))</f>
        <v/>
      </c>
      <c r="BT197">
        <f>IF(BT$4=0,0,IF(COUNTIFS(実績!$W$6:$W$505,BT$3,実績!$AC$6:$AC$505,"&lt;="&amp;$A197,実績!$AD$6:$AD$505,"&gt;"&amp;$A197,実績!$AE$6:$AE$505,"○")&gt;0,1,0))</f>
        <v/>
      </c>
      <c r="BU197">
        <f>IF(BU$4=0,0,IF(COUNTIFS(実績!$W$6:$W$505,BU$3,実績!$AC$6:$AC$505,"&lt;="&amp;$A197,実績!$AD$6:$AD$505,"&gt;"&amp;$A197,実績!$AE$6:$AE$505,"○")&gt;0,1,0))</f>
        <v/>
      </c>
      <c r="BV197">
        <f>IF(BV$4=0,0,IF(COUNTIFS(実績!$W$6:$W$505,BV$3,実績!$AC$6:$AC$505,"&lt;="&amp;$A197,実績!$AD$6:$AD$505,"&gt;"&amp;$A197,実績!$AE$6:$AE$505,"○")&gt;0,1,0))</f>
        <v/>
      </c>
      <c r="BW197">
        <f>IF(BW$4=0,0,IF(COUNTIFS(実績!$W$6:$W$505,BW$3,実績!$AC$6:$AC$505,"&lt;="&amp;$A197,実績!$AD$6:$AD$505,"&gt;"&amp;$A197,実績!$AE$6:$AE$505,"○")&gt;0,1,0))</f>
        <v/>
      </c>
      <c r="BX197">
        <f>IF(BX$4=0,0,IF(COUNTIFS(実績!$W$6:$W$505,BX$3,実績!$AC$6:$AC$505,"&lt;="&amp;$A197,実績!$AD$6:$AD$505,"&gt;"&amp;$A197,実績!$AE$6:$AE$505,"○")&gt;0,1,0))</f>
        <v/>
      </c>
      <c r="BY197">
        <f>IF(BY$4=0,0,IF(COUNTIFS(実績!$W$6:$W$505,BY$3,実績!$AC$6:$AC$505,"&lt;="&amp;$A197,実績!$AD$6:$AD$505,"&gt;"&amp;$A197,実績!$AE$6:$AE$505,"○")&gt;0,1,0))</f>
        <v/>
      </c>
      <c r="BZ197">
        <f>IF(BZ$4=0,0,IF(COUNTIFS(実績!$W$6:$W$505,BZ$3,実績!$AC$6:$AC$505,"&lt;="&amp;$A197,実績!$AD$6:$AD$505,"&gt;"&amp;$A197,実績!$AE$6:$AE$505,"○")&gt;0,1,0))</f>
        <v/>
      </c>
      <c r="CA197">
        <f>IF(CA$4=0,0,IF(COUNTIFS(実績!$W$6:$W$505,CA$3,実績!$AC$6:$AC$505,"&lt;="&amp;$A197,実績!$AD$6:$AD$505,"&gt;"&amp;$A197,実績!$AE$6:$AE$505,"○")&gt;0,1,0))</f>
        <v/>
      </c>
      <c r="CB197">
        <f>IF(CB$4=0,0,IF(COUNTIFS(実績!$W$6:$W$505,CB$3,実績!$AC$6:$AC$505,"&lt;="&amp;$A197,実績!$AD$6:$AD$505,"&gt;"&amp;$A197,実績!$AE$6:$AE$505,"○")&gt;0,1,0))</f>
        <v/>
      </c>
      <c r="CC197">
        <f>IF(CC$4=0,0,IF(COUNTIFS(実績!$W$6:$W$505,CC$3,実績!$AC$6:$AC$505,"&lt;="&amp;$A197,実績!$AD$6:$AD$505,"&gt;"&amp;$A197,実績!$AE$6:$AE$505,"○")&gt;0,1,0))</f>
        <v/>
      </c>
      <c r="CD197">
        <f>IF(CD$4=0,0,IF(COUNTIFS(実績!$W$6:$W$505,CD$3,実績!$AC$6:$AC$505,"&lt;="&amp;$A197,実績!$AD$6:$AD$505,"&gt;"&amp;$A197,実績!$AE$6:$AE$505,"○")&gt;0,1,0))</f>
        <v/>
      </c>
      <c r="CE197">
        <f>IF(CE$4=0,0,IF(COUNTIFS(実績!$W$6:$W$505,CE$3,実績!$AC$6:$AC$505,"&lt;="&amp;$A197,実績!$AD$6:$AD$505,"&gt;"&amp;$A197,実績!$AE$6:$AE$505,"○")&gt;0,1,0))</f>
        <v/>
      </c>
      <c r="CF197">
        <f>IF(CF$4=0,0,IF(COUNTIFS(実績!$W$6:$W$505,CF$3,実績!$AC$6:$AC$505,"&lt;="&amp;$A197,実績!$AD$6:$AD$505,"&gt;"&amp;$A197,実績!$AE$6:$AE$505,"○")&gt;0,1,0))</f>
        <v/>
      </c>
      <c r="CG197">
        <f>IF(CG$4=0,0,IF(COUNTIFS(実績!$W$6:$W$505,CG$3,実績!$AC$6:$AC$505,"&lt;="&amp;$A197,実績!$AD$6:$AD$505,"&gt;"&amp;$A197,実績!$AE$6:$AE$505,"○")&gt;0,1,0))</f>
        <v/>
      </c>
      <c r="CH197">
        <f>IF(CH$4=0,0,IF(COUNTIFS(実績!$W$6:$W$505,CH$3,実績!$AC$6:$AC$505,"&lt;="&amp;$A197,実績!$AD$6:$AD$505,"&gt;"&amp;$A197,実績!$AE$6:$AE$505,"○")&gt;0,1,0))</f>
        <v/>
      </c>
      <c r="CI197">
        <f>IF(CI$4=0,0,IF(COUNTIFS(実績!$W$6:$W$505,CI$3,実績!$AC$6:$AC$505,"&lt;="&amp;$A197,実績!$AD$6:$AD$505,"&gt;"&amp;$A197,実績!$AE$6:$AE$505,"○")&gt;0,1,0))</f>
        <v/>
      </c>
      <c r="CJ197">
        <f>IF(CJ$4=0,0,IF(COUNTIFS(実績!$W$6:$W$505,CJ$3,実績!$AC$6:$AC$505,"&lt;="&amp;$A197,実績!$AD$6:$AD$505,"&gt;"&amp;$A197,実績!$AE$6:$AE$505,"○")&gt;0,1,0))</f>
        <v/>
      </c>
      <c r="CK197">
        <f>IF(CK$4=0,0,IF(COUNTIFS(実績!$W$6:$W$505,CK$3,実績!$AC$6:$AC$505,"&lt;="&amp;$A197,実績!$AD$6:$AD$505,"&gt;"&amp;$A197,実績!$AE$6:$AE$505,"○")&gt;0,1,0))</f>
        <v/>
      </c>
      <c r="CL197">
        <f>IF(CL$4=0,0,IF(COUNTIFS(実績!$W$6:$W$505,CL$3,実績!$AC$6:$AC$505,"&lt;="&amp;$A197,実績!$AD$6:$AD$505,"&gt;"&amp;$A197,実績!$AE$6:$AE$505,"○")&gt;0,1,0))</f>
        <v/>
      </c>
      <c r="CM197">
        <f>IF(CM$4=0,0,IF(COUNTIFS(実績!$W$6:$W$505,CM$3,実績!$AC$6:$AC$505,"&lt;="&amp;$A197,実績!$AD$6:$AD$505,"&gt;"&amp;$A197,実績!$AE$6:$AE$505,"○")&gt;0,1,0))</f>
        <v/>
      </c>
      <c r="CN197">
        <f>IF(CN$4=0,0,IF(COUNTIFS(実績!$W$6:$W$505,CN$3,実績!$AC$6:$AC$505,"&lt;="&amp;$A197,実績!$AD$6:$AD$505,"&gt;"&amp;$A197,実績!$AE$6:$AE$505,"○")&gt;0,1,0))</f>
        <v/>
      </c>
      <c r="CO197">
        <f>IF(CO$4=0,0,IF(COUNTIFS(実績!$W$6:$W$505,CO$3,実績!$AC$6:$AC$505,"&lt;="&amp;$A197,実績!$AD$6:$AD$505,"&gt;"&amp;$A197,実績!$AE$6:$AE$505,"○")&gt;0,1,0))</f>
        <v/>
      </c>
      <c r="CP197">
        <f>IF(CP$4=0,0,IF(COUNTIFS(実績!$W$6:$W$505,CP$3,実績!$AC$6:$AC$505,"&lt;="&amp;$A197,実績!$AD$6:$AD$505,"&gt;"&amp;$A197,実績!$AE$6:$AE$505,"○")&gt;0,1,0))</f>
        <v/>
      </c>
      <c r="CQ197">
        <f>IF(CQ$4=0,0,IF(COUNTIFS(実績!$W$6:$W$505,CQ$3,実績!$AC$6:$AC$505,"&lt;="&amp;$A197,実績!$AD$6:$AD$505,"&gt;"&amp;$A197,実績!$AE$6:$AE$505,"○")&gt;0,1,0))</f>
        <v/>
      </c>
      <c r="CR197">
        <f>IF(CR$4=0,0,IF(COUNTIFS(実績!$W$6:$W$505,CR$3,実績!$AC$6:$AC$505,"&lt;="&amp;$A197,実績!$AD$6:$AD$505,"&gt;"&amp;$A197,実績!$AE$6:$AE$505,"○")&gt;0,1,0))</f>
        <v/>
      </c>
      <c r="CS197">
        <f>IF(CS$4=0,0,IF(COUNTIFS(実績!$W$6:$W$505,CS$3,実績!$AC$6:$AC$505,"&lt;="&amp;$A197,実績!$AD$6:$AD$505,"&gt;"&amp;$A197,実績!$AE$6:$AE$505,"○")&gt;0,1,0))</f>
        <v/>
      </c>
      <c r="CT197">
        <f>IF(CT$4=0,0,IF(COUNTIFS(実績!$W$6:$W$505,CT$3,実績!$AC$6:$AC$505,"&lt;="&amp;$A197,実績!$AD$6:$AD$505,"&gt;"&amp;$A197,実績!$AE$6:$AE$505,"○")&gt;0,1,0))</f>
        <v/>
      </c>
      <c r="CU197">
        <f>IF(CU$4=0,0,IF(COUNTIFS(実績!$W$6:$W$505,CU$3,実績!$AC$6:$AC$505,"&lt;="&amp;$A197,実績!$AD$6:$AD$505,"&gt;"&amp;$A197,実績!$AE$6:$AE$505,"○")&gt;0,1,0))</f>
        <v/>
      </c>
      <c r="CV197">
        <f>IF(CV$4=0,0,IF(COUNTIFS(実績!$W$6:$W$505,CV$3,実績!$AC$6:$AC$505,"&lt;="&amp;$A197,実績!$AD$6:$AD$505,"&gt;"&amp;$A197,実績!$AE$6:$AE$505,"○")&gt;0,1,0))</f>
        <v/>
      </c>
      <c r="CW197">
        <f>IF(CW$4=0,0,IF(COUNTIFS(実績!$W$6:$W$505,CW$3,実績!$AC$6:$AC$505,"&lt;="&amp;$A197,実績!$AD$6:$AD$505,"&gt;"&amp;$A197,実績!$AE$6:$AE$505,"○")&gt;0,1,0))</f>
        <v/>
      </c>
      <c r="CX197">
        <f>IF(CX$4=0,0,IF(COUNTIFS(実績!$W$6:$W$505,CX$3,実績!$AC$6:$AC$505,"&lt;="&amp;$A197,実績!$AD$6:$AD$505,"&gt;"&amp;$A197,実績!$AE$6:$AE$505,"○")&gt;0,1,0))</f>
        <v/>
      </c>
      <c r="CY197">
        <f>IF(CY$4=0,0,IF(COUNTIFS(実績!$W$6:$W$505,CY$3,実績!$AC$6:$AC$505,"&lt;="&amp;$A197,実績!$AD$6:$AD$505,"&gt;"&amp;$A197,実績!$AE$6:$AE$505,"○")&gt;0,1,0))</f>
        <v/>
      </c>
      <c r="CZ197">
        <f>IF(CZ$4=0,0,IF(COUNTIFS(実績!$W$6:$W$505,CZ$3,実績!$AC$6:$AC$505,"&lt;="&amp;$A197,実績!$AD$6:$AD$505,"&gt;"&amp;$A197,実績!$AE$6:$AE$505,"○")&gt;0,1,0))</f>
        <v/>
      </c>
      <c r="DA197">
        <f>IF(DA$4=0,0,IF(COUNTIFS(実績!$W$6:$W$505,DA$3,実績!$AC$6:$AC$505,"&lt;="&amp;$A197,実績!$AD$6:$AD$505,"&gt;"&amp;$A197,実績!$AE$6:$AE$505,"○")&gt;0,1,0))</f>
        <v/>
      </c>
      <c r="DB197">
        <f>IF(DB$4=0,0,IF(COUNTIFS(実績!$W$6:$W$505,DB$3,実績!$AC$6:$AC$505,"&lt;="&amp;$A197,実績!$AD$6:$AD$505,"&gt;"&amp;$A197,実績!$AE$6:$AE$505,"○")&gt;0,1,0))</f>
        <v/>
      </c>
      <c r="DC197">
        <f>IF(DC$4=0,0,IF(COUNTIFS(実績!$W$6:$W$505,DC$3,実績!$AC$6:$AC$505,"&lt;="&amp;$A197,実績!$AD$6:$AD$505,"&gt;"&amp;$A197,実績!$AE$6:$AE$505,"○")&gt;0,1,0))</f>
        <v/>
      </c>
      <c r="DD197">
        <f>IF(DD$4=0,0,IF(COUNTIFS(実績!$W$6:$W$505,DD$3,実績!$AC$6:$AC$505,"&lt;="&amp;$A197,実績!$AD$6:$AD$505,"&gt;"&amp;$A197,実績!$AE$6:$AE$505,"○")&gt;0,1,0))</f>
        <v/>
      </c>
      <c r="DE197">
        <f>IF(DE$4=0,0,IF(COUNTIFS(実績!$W$6:$W$505,DE$3,実績!$AC$6:$AC$505,"&lt;="&amp;$A197,実績!$AD$6:$AD$505,"&gt;"&amp;$A197,実績!$AE$6:$AE$505,"○")&gt;0,1,0))</f>
        <v/>
      </c>
      <c r="DF197">
        <f>IF(DF$4=0,0,IF(COUNTIFS(実績!$W$6:$W$505,DF$3,実績!$AC$6:$AC$505,"&lt;="&amp;$A197,実績!$AD$6:$AD$505,"&gt;"&amp;$A197,実績!$AE$6:$AE$505,"○")&gt;0,1,0))</f>
        <v/>
      </c>
      <c r="DG197">
        <f>IF(DG$4=0,0,IF(COUNTIFS(実績!$W$6:$W$505,DG$3,実績!$AC$6:$AC$505,"&lt;="&amp;$A197,実績!$AD$6:$AD$505,"&gt;"&amp;$A197,実績!$AE$6:$AE$505,"○")&gt;0,1,0))</f>
        <v/>
      </c>
      <c r="DH197">
        <f>IF(DH$4=0,0,IF(COUNTIFS(実績!$W$6:$W$505,DH$3,実績!$AC$6:$AC$505,"&lt;="&amp;$A197,実績!$AD$6:$AD$505,"&gt;"&amp;$A197,実績!$AE$6:$AE$505,"○")&gt;0,1,0))</f>
        <v/>
      </c>
      <c r="DI197">
        <f>IF(DI$4=0,0,IF(COUNTIFS(実績!$W$6:$W$505,DI$3,実績!$AC$6:$AC$505,"&lt;="&amp;$A197,実績!$AD$6:$AD$505,"&gt;"&amp;$A197,実績!$AE$6:$AE$505,"○")&gt;0,1,0))</f>
        <v/>
      </c>
      <c r="DJ197">
        <f>IF(DJ$4=0,0,IF(COUNTIFS(実績!$W$6:$W$505,DJ$3,実績!$AC$6:$AC$505,"&lt;="&amp;$A197,実績!$AD$6:$AD$505,"&gt;"&amp;$A197,実績!$AE$6:$AE$505,"○")&gt;0,1,0))</f>
        <v/>
      </c>
      <c r="DK197">
        <f>IF(DK$4=0,0,IF(COUNTIFS(実績!$W$6:$W$505,DK$3,実績!$AC$6:$AC$505,"&lt;="&amp;$A197,実績!$AD$6:$AD$505,"&gt;"&amp;$A197,実績!$AE$6:$AE$505,"○")&gt;0,1,0))</f>
        <v/>
      </c>
      <c r="DL197">
        <f>IF(DL$4=0,0,IF(COUNTIFS(実績!$W$6:$W$505,DL$3,実績!$AC$6:$AC$505,"&lt;="&amp;$A197,実績!$AD$6:$AD$505,"&gt;"&amp;$A197,実績!$AE$6:$AE$505,"○")&gt;0,1,0))</f>
        <v/>
      </c>
      <c r="DM197">
        <f>IF(DM$4=0,0,IF(COUNTIFS(実績!$W$6:$W$505,DM$3,実績!$AC$6:$AC$505,"&lt;="&amp;$A197,実績!$AD$6:$AD$505,"&gt;"&amp;$A197,実績!$AE$6:$AE$505,"○")&gt;0,1,0))</f>
        <v/>
      </c>
      <c r="DN197">
        <f>IF(DN$4=0,0,IF(COUNTIFS(実績!$W$6:$W$505,DN$3,実績!$AC$6:$AC$505,"&lt;="&amp;$A197,実績!$AD$6:$AD$505,"&gt;"&amp;$A197,実績!$AE$6:$AE$505,"○")&gt;0,1,0))</f>
        <v/>
      </c>
      <c r="DO197">
        <f>IF(DO$4=0,0,IF(COUNTIFS(実績!$W$6:$W$505,DO$3,実績!$AC$6:$AC$505,"&lt;="&amp;$A197,実績!$AD$6:$AD$505,"&gt;"&amp;$A197,実績!$AE$6:$AE$505,"○")&gt;0,1,0))</f>
        <v/>
      </c>
      <c r="DP197">
        <f>IF(DP$4=0,0,IF(COUNTIFS(実績!$W$6:$W$505,DP$3,実績!$AC$6:$AC$505,"&lt;="&amp;$A197,実績!$AD$6:$AD$505,"&gt;"&amp;$A197,実績!$AE$6:$AE$505,"○")&gt;0,1,0))</f>
        <v/>
      </c>
      <c r="DQ197">
        <f>IF(DQ$4=0,0,IF(COUNTIFS(実績!$W$6:$W$505,DQ$3,実績!$AC$6:$AC$505,"&lt;="&amp;$A197,実績!$AD$6:$AD$505,"&gt;"&amp;$A197,実績!$AE$6:$AE$505,"○")&gt;0,1,0))</f>
        <v/>
      </c>
      <c r="DR197">
        <f>IF(DR$4=0,0,IF(COUNTIFS(実績!$W$6:$W$505,DR$3,実績!$AC$6:$AC$505,"&lt;="&amp;$A197,実績!$AD$6:$AD$505,"&gt;"&amp;$A197,実績!$AE$6:$AE$505,"○")&gt;0,1,0))</f>
        <v/>
      </c>
      <c r="DS197">
        <f>SUM(C197:DR197)</f>
        <v/>
      </c>
      <c r="DT197">
        <f>SUMPRODUCT((実績!$C$6:$C$505="○")*ISNUMBER(実績!$AF$6:$AF$505)*(実績!$AF$6:$AF$505&lt;=$A197)*(実績!$AG$6:$AG$505&gt;$A197))</f>
        <v/>
      </c>
      <c r="DU197">
        <f>SUMIF($C$2:$DR$2,"製鉄曳船",C197:DR197)</f>
        <v/>
      </c>
      <c r="DV197">
        <f>SUMIF($C$2:$DR$2,"西日本海運",C197:DR197)</f>
        <v/>
      </c>
    </row>
    <row r="198">
      <c r="A198" t="n">
        <v>960</v>
      </c>
      <c r="B198" s="29">
        <f>A198/1440</f>
        <v/>
      </c>
      <c r="C198">
        <f>IF(C$4=0,0,IF(COUNTIFS(実績!$W$6:$W$505,C$3,実績!$AC$6:$AC$505,"&lt;="&amp;$A198,実績!$AD$6:$AD$505,"&gt;"&amp;$A198,実績!$AE$6:$AE$505,"○")&gt;0,1,0))</f>
        <v/>
      </c>
      <c r="D198">
        <f>IF(D$4=0,0,IF(COUNTIFS(実績!$W$6:$W$505,D$3,実績!$AC$6:$AC$505,"&lt;="&amp;$A198,実績!$AD$6:$AD$505,"&gt;"&amp;$A198,実績!$AE$6:$AE$505,"○")&gt;0,1,0))</f>
        <v/>
      </c>
      <c r="E198">
        <f>IF(E$4=0,0,IF(COUNTIFS(実績!$W$6:$W$505,E$3,実績!$AC$6:$AC$505,"&lt;="&amp;$A198,実績!$AD$6:$AD$505,"&gt;"&amp;$A198,実績!$AE$6:$AE$505,"○")&gt;0,1,0))</f>
        <v/>
      </c>
      <c r="F198">
        <f>IF(F$4=0,0,IF(COUNTIFS(実績!$W$6:$W$505,F$3,実績!$AC$6:$AC$505,"&lt;="&amp;$A198,実績!$AD$6:$AD$505,"&gt;"&amp;$A198,実績!$AE$6:$AE$505,"○")&gt;0,1,0))</f>
        <v/>
      </c>
      <c r="G198">
        <f>IF(G$4=0,0,IF(COUNTIFS(実績!$W$6:$W$505,G$3,実績!$AC$6:$AC$505,"&lt;="&amp;$A198,実績!$AD$6:$AD$505,"&gt;"&amp;$A198,実績!$AE$6:$AE$505,"○")&gt;0,1,0))</f>
        <v/>
      </c>
      <c r="H198">
        <f>IF(H$4=0,0,IF(COUNTIFS(実績!$W$6:$W$505,H$3,実績!$AC$6:$AC$505,"&lt;="&amp;$A198,実績!$AD$6:$AD$505,"&gt;"&amp;$A198,実績!$AE$6:$AE$505,"○")&gt;0,1,0))</f>
        <v/>
      </c>
      <c r="I198">
        <f>IF(I$4=0,0,IF(COUNTIFS(実績!$W$6:$W$505,I$3,実績!$AC$6:$AC$505,"&lt;="&amp;$A198,実績!$AD$6:$AD$505,"&gt;"&amp;$A198,実績!$AE$6:$AE$505,"○")&gt;0,1,0))</f>
        <v/>
      </c>
      <c r="J198">
        <f>IF(J$4=0,0,IF(COUNTIFS(実績!$W$6:$W$505,J$3,実績!$AC$6:$AC$505,"&lt;="&amp;$A198,実績!$AD$6:$AD$505,"&gt;"&amp;$A198,実績!$AE$6:$AE$505,"○")&gt;0,1,0))</f>
        <v/>
      </c>
      <c r="K198">
        <f>IF(K$4=0,0,IF(COUNTIFS(実績!$W$6:$W$505,K$3,実績!$AC$6:$AC$505,"&lt;="&amp;$A198,実績!$AD$6:$AD$505,"&gt;"&amp;$A198,実績!$AE$6:$AE$505,"○")&gt;0,1,0))</f>
        <v/>
      </c>
      <c r="L198">
        <f>IF(L$4=0,0,IF(COUNTIFS(実績!$W$6:$W$505,L$3,実績!$AC$6:$AC$505,"&lt;="&amp;$A198,実績!$AD$6:$AD$505,"&gt;"&amp;$A198,実績!$AE$6:$AE$505,"○")&gt;0,1,0))</f>
        <v/>
      </c>
      <c r="M198">
        <f>IF(M$4=0,0,IF(COUNTIFS(実績!$W$6:$W$505,M$3,実績!$AC$6:$AC$505,"&lt;="&amp;$A198,実績!$AD$6:$AD$505,"&gt;"&amp;$A198,実績!$AE$6:$AE$505,"○")&gt;0,1,0))</f>
        <v/>
      </c>
      <c r="N198">
        <f>IF(N$4=0,0,IF(COUNTIFS(実績!$W$6:$W$505,N$3,実績!$AC$6:$AC$505,"&lt;="&amp;$A198,実績!$AD$6:$AD$505,"&gt;"&amp;$A198,実績!$AE$6:$AE$505,"○")&gt;0,1,0))</f>
        <v/>
      </c>
      <c r="O198">
        <f>IF(O$4=0,0,IF(COUNTIFS(実績!$W$6:$W$505,O$3,実績!$AC$6:$AC$505,"&lt;="&amp;$A198,実績!$AD$6:$AD$505,"&gt;"&amp;$A198,実績!$AE$6:$AE$505,"○")&gt;0,1,0))</f>
        <v/>
      </c>
      <c r="P198">
        <f>IF(P$4=0,0,IF(COUNTIFS(実績!$W$6:$W$505,P$3,実績!$AC$6:$AC$505,"&lt;="&amp;$A198,実績!$AD$6:$AD$505,"&gt;"&amp;$A198,実績!$AE$6:$AE$505,"○")&gt;0,1,0))</f>
        <v/>
      </c>
      <c r="Q198">
        <f>IF(Q$4=0,0,IF(COUNTIFS(実績!$W$6:$W$505,Q$3,実績!$AC$6:$AC$505,"&lt;="&amp;$A198,実績!$AD$6:$AD$505,"&gt;"&amp;$A198,実績!$AE$6:$AE$505,"○")&gt;0,1,0))</f>
        <v/>
      </c>
      <c r="R198">
        <f>IF(R$4=0,0,IF(COUNTIFS(実績!$W$6:$W$505,R$3,実績!$AC$6:$AC$505,"&lt;="&amp;$A198,実績!$AD$6:$AD$505,"&gt;"&amp;$A198,実績!$AE$6:$AE$505,"○")&gt;0,1,0))</f>
        <v/>
      </c>
      <c r="S198">
        <f>IF(S$4=0,0,IF(COUNTIFS(実績!$W$6:$W$505,S$3,実績!$AC$6:$AC$505,"&lt;="&amp;$A198,実績!$AD$6:$AD$505,"&gt;"&amp;$A198,実績!$AE$6:$AE$505,"○")&gt;0,1,0))</f>
        <v/>
      </c>
      <c r="T198">
        <f>IF(T$4=0,0,IF(COUNTIFS(実績!$W$6:$W$505,T$3,実績!$AC$6:$AC$505,"&lt;="&amp;$A198,実績!$AD$6:$AD$505,"&gt;"&amp;$A198,実績!$AE$6:$AE$505,"○")&gt;0,1,0))</f>
        <v/>
      </c>
      <c r="U198">
        <f>IF(U$4=0,0,IF(COUNTIFS(実績!$W$6:$W$505,U$3,実績!$AC$6:$AC$505,"&lt;="&amp;$A198,実績!$AD$6:$AD$505,"&gt;"&amp;$A198,実績!$AE$6:$AE$505,"○")&gt;0,1,0))</f>
        <v/>
      </c>
      <c r="V198">
        <f>IF(V$4=0,0,IF(COUNTIFS(実績!$W$6:$W$505,V$3,実績!$AC$6:$AC$505,"&lt;="&amp;$A198,実績!$AD$6:$AD$505,"&gt;"&amp;$A198,実績!$AE$6:$AE$505,"○")&gt;0,1,0))</f>
        <v/>
      </c>
      <c r="W198">
        <f>IF(W$4=0,0,IF(COUNTIFS(実績!$W$6:$W$505,W$3,実績!$AC$6:$AC$505,"&lt;="&amp;$A198,実績!$AD$6:$AD$505,"&gt;"&amp;$A198,実績!$AE$6:$AE$505,"○")&gt;0,1,0))</f>
        <v/>
      </c>
      <c r="X198">
        <f>IF(X$4=0,0,IF(COUNTIFS(実績!$W$6:$W$505,X$3,実績!$AC$6:$AC$505,"&lt;="&amp;$A198,実績!$AD$6:$AD$505,"&gt;"&amp;$A198,実績!$AE$6:$AE$505,"○")&gt;0,1,0))</f>
        <v/>
      </c>
      <c r="Y198">
        <f>IF(Y$4=0,0,IF(COUNTIFS(実績!$W$6:$W$505,Y$3,実績!$AC$6:$AC$505,"&lt;="&amp;$A198,実績!$AD$6:$AD$505,"&gt;"&amp;$A198,実績!$AE$6:$AE$505,"○")&gt;0,1,0))</f>
        <v/>
      </c>
      <c r="Z198">
        <f>IF(Z$4=0,0,IF(COUNTIFS(実績!$W$6:$W$505,Z$3,実績!$AC$6:$AC$505,"&lt;="&amp;$A198,実績!$AD$6:$AD$505,"&gt;"&amp;$A198,実績!$AE$6:$AE$505,"○")&gt;0,1,0))</f>
        <v/>
      </c>
      <c r="AA198">
        <f>IF(AA$4=0,0,IF(COUNTIFS(実績!$W$6:$W$505,AA$3,実績!$AC$6:$AC$505,"&lt;="&amp;$A198,実績!$AD$6:$AD$505,"&gt;"&amp;$A198,実績!$AE$6:$AE$505,"○")&gt;0,1,0))</f>
        <v/>
      </c>
      <c r="AB198">
        <f>IF(AB$4=0,0,IF(COUNTIFS(実績!$W$6:$W$505,AB$3,実績!$AC$6:$AC$505,"&lt;="&amp;$A198,実績!$AD$6:$AD$505,"&gt;"&amp;$A198,実績!$AE$6:$AE$505,"○")&gt;0,1,0))</f>
        <v/>
      </c>
      <c r="AC198">
        <f>IF(AC$4=0,0,IF(COUNTIFS(実績!$W$6:$W$505,AC$3,実績!$AC$6:$AC$505,"&lt;="&amp;$A198,実績!$AD$6:$AD$505,"&gt;"&amp;$A198,実績!$AE$6:$AE$505,"○")&gt;0,1,0))</f>
        <v/>
      </c>
      <c r="AD198">
        <f>IF(AD$4=0,0,IF(COUNTIFS(実績!$W$6:$W$505,AD$3,実績!$AC$6:$AC$505,"&lt;="&amp;$A198,実績!$AD$6:$AD$505,"&gt;"&amp;$A198,実績!$AE$6:$AE$505,"○")&gt;0,1,0))</f>
        <v/>
      </c>
      <c r="AE198">
        <f>IF(AE$4=0,0,IF(COUNTIFS(実績!$W$6:$W$505,AE$3,実績!$AC$6:$AC$505,"&lt;="&amp;$A198,実績!$AD$6:$AD$505,"&gt;"&amp;$A198,実績!$AE$6:$AE$505,"○")&gt;0,1,0))</f>
        <v/>
      </c>
      <c r="AF198">
        <f>IF(AF$4=0,0,IF(COUNTIFS(実績!$W$6:$W$505,AF$3,実績!$AC$6:$AC$505,"&lt;="&amp;$A198,実績!$AD$6:$AD$505,"&gt;"&amp;$A198,実績!$AE$6:$AE$505,"○")&gt;0,1,0))</f>
        <v/>
      </c>
      <c r="AG198">
        <f>IF(AG$4=0,0,IF(COUNTIFS(実績!$W$6:$W$505,AG$3,実績!$AC$6:$AC$505,"&lt;="&amp;$A198,実績!$AD$6:$AD$505,"&gt;"&amp;$A198,実績!$AE$6:$AE$505,"○")&gt;0,1,0))</f>
        <v/>
      </c>
      <c r="AH198">
        <f>IF(AH$4=0,0,IF(COUNTIFS(実績!$W$6:$W$505,AH$3,実績!$AC$6:$AC$505,"&lt;="&amp;$A198,実績!$AD$6:$AD$505,"&gt;"&amp;$A198,実績!$AE$6:$AE$505,"○")&gt;0,1,0))</f>
        <v/>
      </c>
      <c r="AI198">
        <f>IF(AI$4=0,0,IF(COUNTIFS(実績!$W$6:$W$505,AI$3,実績!$AC$6:$AC$505,"&lt;="&amp;$A198,実績!$AD$6:$AD$505,"&gt;"&amp;$A198,実績!$AE$6:$AE$505,"○")&gt;0,1,0))</f>
        <v/>
      </c>
      <c r="AJ198">
        <f>IF(AJ$4=0,0,IF(COUNTIFS(実績!$W$6:$W$505,AJ$3,実績!$AC$6:$AC$505,"&lt;="&amp;$A198,実績!$AD$6:$AD$505,"&gt;"&amp;$A198,実績!$AE$6:$AE$505,"○")&gt;0,1,0))</f>
        <v/>
      </c>
      <c r="AK198">
        <f>IF(AK$4=0,0,IF(COUNTIFS(実績!$W$6:$W$505,AK$3,実績!$AC$6:$AC$505,"&lt;="&amp;$A198,実績!$AD$6:$AD$505,"&gt;"&amp;$A198,実績!$AE$6:$AE$505,"○")&gt;0,1,0))</f>
        <v/>
      </c>
      <c r="AL198">
        <f>IF(AL$4=0,0,IF(COUNTIFS(実績!$W$6:$W$505,AL$3,実績!$AC$6:$AC$505,"&lt;="&amp;$A198,実績!$AD$6:$AD$505,"&gt;"&amp;$A198,実績!$AE$6:$AE$505,"○")&gt;0,1,0))</f>
        <v/>
      </c>
      <c r="AM198">
        <f>IF(AM$4=0,0,IF(COUNTIFS(実績!$W$6:$W$505,AM$3,実績!$AC$6:$AC$505,"&lt;="&amp;$A198,実績!$AD$6:$AD$505,"&gt;"&amp;$A198,実績!$AE$6:$AE$505,"○")&gt;0,1,0))</f>
        <v/>
      </c>
      <c r="AN198">
        <f>IF(AN$4=0,0,IF(COUNTIFS(実績!$W$6:$W$505,AN$3,実績!$AC$6:$AC$505,"&lt;="&amp;$A198,実績!$AD$6:$AD$505,"&gt;"&amp;$A198,実績!$AE$6:$AE$505,"○")&gt;0,1,0))</f>
        <v/>
      </c>
      <c r="AO198">
        <f>IF(AO$4=0,0,IF(COUNTIFS(実績!$W$6:$W$505,AO$3,実績!$AC$6:$AC$505,"&lt;="&amp;$A198,実績!$AD$6:$AD$505,"&gt;"&amp;$A198,実績!$AE$6:$AE$505,"○")&gt;0,1,0))</f>
        <v/>
      </c>
      <c r="AP198">
        <f>IF(AP$4=0,0,IF(COUNTIFS(実績!$W$6:$W$505,AP$3,実績!$AC$6:$AC$505,"&lt;="&amp;$A198,実績!$AD$6:$AD$505,"&gt;"&amp;$A198,実績!$AE$6:$AE$505,"○")&gt;0,1,0))</f>
        <v/>
      </c>
      <c r="AQ198">
        <f>IF(AQ$4=0,0,IF(COUNTIFS(実績!$W$6:$W$505,AQ$3,実績!$AC$6:$AC$505,"&lt;="&amp;$A198,実績!$AD$6:$AD$505,"&gt;"&amp;$A198,実績!$AE$6:$AE$505,"○")&gt;0,1,0))</f>
        <v/>
      </c>
      <c r="AR198">
        <f>IF(AR$4=0,0,IF(COUNTIFS(実績!$W$6:$W$505,AR$3,実績!$AC$6:$AC$505,"&lt;="&amp;$A198,実績!$AD$6:$AD$505,"&gt;"&amp;$A198,実績!$AE$6:$AE$505,"○")&gt;0,1,0))</f>
        <v/>
      </c>
      <c r="AS198">
        <f>IF(AS$4=0,0,IF(COUNTIFS(実績!$W$6:$W$505,AS$3,実績!$AC$6:$AC$505,"&lt;="&amp;$A198,実績!$AD$6:$AD$505,"&gt;"&amp;$A198,実績!$AE$6:$AE$505,"○")&gt;0,1,0))</f>
        <v/>
      </c>
      <c r="AT198">
        <f>IF(AT$4=0,0,IF(COUNTIFS(実績!$W$6:$W$505,AT$3,実績!$AC$6:$AC$505,"&lt;="&amp;$A198,実績!$AD$6:$AD$505,"&gt;"&amp;$A198,実績!$AE$6:$AE$505,"○")&gt;0,1,0))</f>
        <v/>
      </c>
      <c r="AU198">
        <f>IF(AU$4=0,0,IF(COUNTIFS(実績!$W$6:$W$505,AU$3,実績!$AC$6:$AC$505,"&lt;="&amp;$A198,実績!$AD$6:$AD$505,"&gt;"&amp;$A198,実績!$AE$6:$AE$505,"○")&gt;0,1,0))</f>
        <v/>
      </c>
      <c r="AV198">
        <f>IF(AV$4=0,0,IF(COUNTIFS(実績!$W$6:$W$505,AV$3,実績!$AC$6:$AC$505,"&lt;="&amp;$A198,実績!$AD$6:$AD$505,"&gt;"&amp;$A198,実績!$AE$6:$AE$505,"○")&gt;0,1,0))</f>
        <v/>
      </c>
      <c r="AW198">
        <f>IF(AW$4=0,0,IF(COUNTIFS(実績!$W$6:$W$505,AW$3,実績!$AC$6:$AC$505,"&lt;="&amp;$A198,実績!$AD$6:$AD$505,"&gt;"&amp;$A198,実績!$AE$6:$AE$505,"○")&gt;0,1,0))</f>
        <v/>
      </c>
      <c r="AX198">
        <f>IF(AX$4=0,0,IF(COUNTIFS(実績!$W$6:$W$505,AX$3,実績!$AC$6:$AC$505,"&lt;="&amp;$A198,実績!$AD$6:$AD$505,"&gt;"&amp;$A198,実績!$AE$6:$AE$505,"○")&gt;0,1,0))</f>
        <v/>
      </c>
      <c r="AY198">
        <f>IF(AY$4=0,0,IF(COUNTIFS(実績!$W$6:$W$505,AY$3,実績!$AC$6:$AC$505,"&lt;="&amp;$A198,実績!$AD$6:$AD$505,"&gt;"&amp;$A198,実績!$AE$6:$AE$505,"○")&gt;0,1,0))</f>
        <v/>
      </c>
      <c r="AZ198">
        <f>IF(AZ$4=0,0,IF(COUNTIFS(実績!$W$6:$W$505,AZ$3,実績!$AC$6:$AC$505,"&lt;="&amp;$A198,実績!$AD$6:$AD$505,"&gt;"&amp;$A198,実績!$AE$6:$AE$505,"○")&gt;0,1,0))</f>
        <v/>
      </c>
      <c r="BA198">
        <f>IF(BA$4=0,0,IF(COUNTIFS(実績!$W$6:$W$505,BA$3,実績!$AC$6:$AC$505,"&lt;="&amp;$A198,実績!$AD$6:$AD$505,"&gt;"&amp;$A198,実績!$AE$6:$AE$505,"○")&gt;0,1,0))</f>
        <v/>
      </c>
      <c r="BB198">
        <f>IF(BB$4=0,0,IF(COUNTIFS(実績!$W$6:$W$505,BB$3,実績!$AC$6:$AC$505,"&lt;="&amp;$A198,実績!$AD$6:$AD$505,"&gt;"&amp;$A198,実績!$AE$6:$AE$505,"○")&gt;0,1,0))</f>
        <v/>
      </c>
      <c r="BC198">
        <f>IF(BC$4=0,0,IF(COUNTIFS(実績!$W$6:$W$505,BC$3,実績!$AC$6:$AC$505,"&lt;="&amp;$A198,実績!$AD$6:$AD$505,"&gt;"&amp;$A198,実績!$AE$6:$AE$505,"○")&gt;0,1,0))</f>
        <v/>
      </c>
      <c r="BD198">
        <f>IF(BD$4=0,0,IF(COUNTIFS(実績!$W$6:$W$505,BD$3,実績!$AC$6:$AC$505,"&lt;="&amp;$A198,実績!$AD$6:$AD$505,"&gt;"&amp;$A198,実績!$AE$6:$AE$505,"○")&gt;0,1,0))</f>
        <v/>
      </c>
      <c r="BE198">
        <f>IF(BE$4=0,0,IF(COUNTIFS(実績!$W$6:$W$505,BE$3,実績!$AC$6:$AC$505,"&lt;="&amp;$A198,実績!$AD$6:$AD$505,"&gt;"&amp;$A198,実績!$AE$6:$AE$505,"○")&gt;0,1,0))</f>
        <v/>
      </c>
      <c r="BF198">
        <f>IF(BF$4=0,0,IF(COUNTIFS(実績!$W$6:$W$505,BF$3,実績!$AC$6:$AC$505,"&lt;="&amp;$A198,実績!$AD$6:$AD$505,"&gt;"&amp;$A198,実績!$AE$6:$AE$505,"○")&gt;0,1,0))</f>
        <v/>
      </c>
      <c r="BG198">
        <f>IF(BG$4=0,0,IF(COUNTIFS(実績!$W$6:$W$505,BG$3,実績!$AC$6:$AC$505,"&lt;="&amp;$A198,実績!$AD$6:$AD$505,"&gt;"&amp;$A198,実績!$AE$6:$AE$505,"○")&gt;0,1,0))</f>
        <v/>
      </c>
      <c r="BH198">
        <f>IF(BH$4=0,0,IF(COUNTIFS(実績!$W$6:$W$505,BH$3,実績!$AC$6:$AC$505,"&lt;="&amp;$A198,実績!$AD$6:$AD$505,"&gt;"&amp;$A198,実績!$AE$6:$AE$505,"○")&gt;0,1,0))</f>
        <v/>
      </c>
      <c r="BI198">
        <f>IF(BI$4=0,0,IF(COUNTIFS(実績!$W$6:$W$505,BI$3,実績!$AC$6:$AC$505,"&lt;="&amp;$A198,実績!$AD$6:$AD$505,"&gt;"&amp;$A198,実績!$AE$6:$AE$505,"○")&gt;0,1,0))</f>
        <v/>
      </c>
      <c r="BJ198">
        <f>IF(BJ$4=0,0,IF(COUNTIFS(実績!$W$6:$W$505,BJ$3,実績!$AC$6:$AC$505,"&lt;="&amp;$A198,実績!$AD$6:$AD$505,"&gt;"&amp;$A198,実績!$AE$6:$AE$505,"○")&gt;0,1,0))</f>
        <v/>
      </c>
      <c r="BK198">
        <f>IF(BK$4=0,0,IF(COUNTIFS(実績!$W$6:$W$505,BK$3,実績!$AC$6:$AC$505,"&lt;="&amp;$A198,実績!$AD$6:$AD$505,"&gt;"&amp;$A198,実績!$AE$6:$AE$505,"○")&gt;0,1,0))</f>
        <v/>
      </c>
      <c r="BL198">
        <f>IF(BL$4=0,0,IF(COUNTIFS(実績!$W$6:$W$505,BL$3,実績!$AC$6:$AC$505,"&lt;="&amp;$A198,実績!$AD$6:$AD$505,"&gt;"&amp;$A198,実績!$AE$6:$AE$505,"○")&gt;0,1,0))</f>
        <v/>
      </c>
      <c r="BM198">
        <f>IF(BM$4=0,0,IF(COUNTIFS(実績!$W$6:$W$505,BM$3,実績!$AC$6:$AC$505,"&lt;="&amp;$A198,実績!$AD$6:$AD$505,"&gt;"&amp;$A198,実績!$AE$6:$AE$505,"○")&gt;0,1,0))</f>
        <v/>
      </c>
      <c r="BN198">
        <f>IF(BN$4=0,0,IF(COUNTIFS(実績!$W$6:$W$505,BN$3,実績!$AC$6:$AC$505,"&lt;="&amp;$A198,実績!$AD$6:$AD$505,"&gt;"&amp;$A198,実績!$AE$6:$AE$505,"○")&gt;0,1,0))</f>
        <v/>
      </c>
      <c r="BO198">
        <f>IF(BO$4=0,0,IF(COUNTIFS(実績!$W$6:$W$505,BO$3,実績!$AC$6:$AC$505,"&lt;="&amp;$A198,実績!$AD$6:$AD$505,"&gt;"&amp;$A198,実績!$AE$6:$AE$505,"○")&gt;0,1,0))</f>
        <v/>
      </c>
      <c r="BP198">
        <f>IF(BP$4=0,0,IF(COUNTIFS(実績!$W$6:$W$505,BP$3,実績!$AC$6:$AC$505,"&lt;="&amp;$A198,実績!$AD$6:$AD$505,"&gt;"&amp;$A198,実績!$AE$6:$AE$505,"○")&gt;0,1,0))</f>
        <v/>
      </c>
      <c r="BQ198">
        <f>IF(BQ$4=0,0,IF(COUNTIFS(実績!$W$6:$W$505,BQ$3,実績!$AC$6:$AC$505,"&lt;="&amp;$A198,実績!$AD$6:$AD$505,"&gt;"&amp;$A198,実績!$AE$6:$AE$505,"○")&gt;0,1,0))</f>
        <v/>
      </c>
      <c r="BR198">
        <f>IF(BR$4=0,0,IF(COUNTIFS(実績!$W$6:$W$505,BR$3,実績!$AC$6:$AC$505,"&lt;="&amp;$A198,実績!$AD$6:$AD$505,"&gt;"&amp;$A198,実績!$AE$6:$AE$505,"○")&gt;0,1,0))</f>
        <v/>
      </c>
      <c r="BS198">
        <f>IF(BS$4=0,0,IF(COUNTIFS(実績!$W$6:$W$505,BS$3,実績!$AC$6:$AC$505,"&lt;="&amp;$A198,実績!$AD$6:$AD$505,"&gt;"&amp;$A198,実績!$AE$6:$AE$505,"○")&gt;0,1,0))</f>
        <v/>
      </c>
      <c r="BT198">
        <f>IF(BT$4=0,0,IF(COUNTIFS(実績!$W$6:$W$505,BT$3,実績!$AC$6:$AC$505,"&lt;="&amp;$A198,実績!$AD$6:$AD$505,"&gt;"&amp;$A198,実績!$AE$6:$AE$505,"○")&gt;0,1,0))</f>
        <v/>
      </c>
      <c r="BU198">
        <f>IF(BU$4=0,0,IF(COUNTIFS(実績!$W$6:$W$505,BU$3,実績!$AC$6:$AC$505,"&lt;="&amp;$A198,実績!$AD$6:$AD$505,"&gt;"&amp;$A198,実績!$AE$6:$AE$505,"○")&gt;0,1,0))</f>
        <v/>
      </c>
      <c r="BV198">
        <f>IF(BV$4=0,0,IF(COUNTIFS(実績!$W$6:$W$505,BV$3,実績!$AC$6:$AC$505,"&lt;="&amp;$A198,実績!$AD$6:$AD$505,"&gt;"&amp;$A198,実績!$AE$6:$AE$505,"○")&gt;0,1,0))</f>
        <v/>
      </c>
      <c r="BW198">
        <f>IF(BW$4=0,0,IF(COUNTIFS(実績!$W$6:$W$505,BW$3,実績!$AC$6:$AC$505,"&lt;="&amp;$A198,実績!$AD$6:$AD$505,"&gt;"&amp;$A198,実績!$AE$6:$AE$505,"○")&gt;0,1,0))</f>
        <v/>
      </c>
      <c r="BX198">
        <f>IF(BX$4=0,0,IF(COUNTIFS(実績!$W$6:$W$505,BX$3,実績!$AC$6:$AC$505,"&lt;="&amp;$A198,実績!$AD$6:$AD$505,"&gt;"&amp;$A198,実績!$AE$6:$AE$505,"○")&gt;0,1,0))</f>
        <v/>
      </c>
      <c r="BY198">
        <f>IF(BY$4=0,0,IF(COUNTIFS(実績!$W$6:$W$505,BY$3,実績!$AC$6:$AC$505,"&lt;="&amp;$A198,実績!$AD$6:$AD$505,"&gt;"&amp;$A198,実績!$AE$6:$AE$505,"○")&gt;0,1,0))</f>
        <v/>
      </c>
      <c r="BZ198">
        <f>IF(BZ$4=0,0,IF(COUNTIFS(実績!$W$6:$W$505,BZ$3,実績!$AC$6:$AC$505,"&lt;="&amp;$A198,実績!$AD$6:$AD$505,"&gt;"&amp;$A198,実績!$AE$6:$AE$505,"○")&gt;0,1,0))</f>
        <v/>
      </c>
      <c r="CA198">
        <f>IF(CA$4=0,0,IF(COUNTIFS(実績!$W$6:$W$505,CA$3,実績!$AC$6:$AC$505,"&lt;="&amp;$A198,実績!$AD$6:$AD$505,"&gt;"&amp;$A198,実績!$AE$6:$AE$505,"○")&gt;0,1,0))</f>
        <v/>
      </c>
      <c r="CB198">
        <f>IF(CB$4=0,0,IF(COUNTIFS(実績!$W$6:$W$505,CB$3,実績!$AC$6:$AC$505,"&lt;="&amp;$A198,実績!$AD$6:$AD$505,"&gt;"&amp;$A198,実績!$AE$6:$AE$505,"○")&gt;0,1,0))</f>
        <v/>
      </c>
      <c r="CC198">
        <f>IF(CC$4=0,0,IF(COUNTIFS(実績!$W$6:$W$505,CC$3,実績!$AC$6:$AC$505,"&lt;="&amp;$A198,実績!$AD$6:$AD$505,"&gt;"&amp;$A198,実績!$AE$6:$AE$505,"○")&gt;0,1,0))</f>
        <v/>
      </c>
      <c r="CD198">
        <f>IF(CD$4=0,0,IF(COUNTIFS(実績!$W$6:$W$505,CD$3,実績!$AC$6:$AC$505,"&lt;="&amp;$A198,実績!$AD$6:$AD$505,"&gt;"&amp;$A198,実績!$AE$6:$AE$505,"○")&gt;0,1,0))</f>
        <v/>
      </c>
      <c r="CE198">
        <f>IF(CE$4=0,0,IF(COUNTIFS(実績!$W$6:$W$505,CE$3,実績!$AC$6:$AC$505,"&lt;="&amp;$A198,実績!$AD$6:$AD$505,"&gt;"&amp;$A198,実績!$AE$6:$AE$505,"○")&gt;0,1,0))</f>
        <v/>
      </c>
      <c r="CF198">
        <f>IF(CF$4=0,0,IF(COUNTIFS(実績!$W$6:$W$505,CF$3,実績!$AC$6:$AC$505,"&lt;="&amp;$A198,実績!$AD$6:$AD$505,"&gt;"&amp;$A198,実績!$AE$6:$AE$505,"○")&gt;0,1,0))</f>
        <v/>
      </c>
      <c r="CG198">
        <f>IF(CG$4=0,0,IF(COUNTIFS(実績!$W$6:$W$505,CG$3,実績!$AC$6:$AC$505,"&lt;="&amp;$A198,実績!$AD$6:$AD$505,"&gt;"&amp;$A198,実績!$AE$6:$AE$505,"○")&gt;0,1,0))</f>
        <v/>
      </c>
      <c r="CH198">
        <f>IF(CH$4=0,0,IF(COUNTIFS(実績!$W$6:$W$505,CH$3,実績!$AC$6:$AC$505,"&lt;="&amp;$A198,実績!$AD$6:$AD$505,"&gt;"&amp;$A198,実績!$AE$6:$AE$505,"○")&gt;0,1,0))</f>
        <v/>
      </c>
      <c r="CI198">
        <f>IF(CI$4=0,0,IF(COUNTIFS(実績!$W$6:$W$505,CI$3,実績!$AC$6:$AC$505,"&lt;="&amp;$A198,実績!$AD$6:$AD$505,"&gt;"&amp;$A198,実績!$AE$6:$AE$505,"○")&gt;0,1,0))</f>
        <v/>
      </c>
      <c r="CJ198">
        <f>IF(CJ$4=0,0,IF(COUNTIFS(実績!$W$6:$W$505,CJ$3,実績!$AC$6:$AC$505,"&lt;="&amp;$A198,実績!$AD$6:$AD$505,"&gt;"&amp;$A198,実績!$AE$6:$AE$505,"○")&gt;0,1,0))</f>
        <v/>
      </c>
      <c r="CK198">
        <f>IF(CK$4=0,0,IF(COUNTIFS(実績!$W$6:$W$505,CK$3,実績!$AC$6:$AC$505,"&lt;="&amp;$A198,実績!$AD$6:$AD$505,"&gt;"&amp;$A198,実績!$AE$6:$AE$505,"○")&gt;0,1,0))</f>
        <v/>
      </c>
      <c r="CL198">
        <f>IF(CL$4=0,0,IF(COUNTIFS(実績!$W$6:$W$505,CL$3,実績!$AC$6:$AC$505,"&lt;="&amp;$A198,実績!$AD$6:$AD$505,"&gt;"&amp;$A198,実績!$AE$6:$AE$505,"○")&gt;0,1,0))</f>
        <v/>
      </c>
      <c r="CM198">
        <f>IF(CM$4=0,0,IF(COUNTIFS(実績!$W$6:$W$505,CM$3,実績!$AC$6:$AC$505,"&lt;="&amp;$A198,実績!$AD$6:$AD$505,"&gt;"&amp;$A198,実績!$AE$6:$AE$505,"○")&gt;0,1,0))</f>
        <v/>
      </c>
      <c r="CN198">
        <f>IF(CN$4=0,0,IF(COUNTIFS(実績!$W$6:$W$505,CN$3,実績!$AC$6:$AC$505,"&lt;="&amp;$A198,実績!$AD$6:$AD$505,"&gt;"&amp;$A198,実績!$AE$6:$AE$505,"○")&gt;0,1,0))</f>
        <v/>
      </c>
      <c r="CO198">
        <f>IF(CO$4=0,0,IF(COUNTIFS(実績!$W$6:$W$505,CO$3,実績!$AC$6:$AC$505,"&lt;="&amp;$A198,実績!$AD$6:$AD$505,"&gt;"&amp;$A198,実績!$AE$6:$AE$505,"○")&gt;0,1,0))</f>
        <v/>
      </c>
      <c r="CP198">
        <f>IF(CP$4=0,0,IF(COUNTIFS(実績!$W$6:$W$505,CP$3,実績!$AC$6:$AC$505,"&lt;="&amp;$A198,実績!$AD$6:$AD$505,"&gt;"&amp;$A198,実績!$AE$6:$AE$505,"○")&gt;0,1,0))</f>
        <v/>
      </c>
      <c r="CQ198">
        <f>IF(CQ$4=0,0,IF(COUNTIFS(実績!$W$6:$W$505,CQ$3,実績!$AC$6:$AC$505,"&lt;="&amp;$A198,実績!$AD$6:$AD$505,"&gt;"&amp;$A198,実績!$AE$6:$AE$505,"○")&gt;0,1,0))</f>
        <v/>
      </c>
      <c r="CR198">
        <f>IF(CR$4=0,0,IF(COUNTIFS(実績!$W$6:$W$505,CR$3,実績!$AC$6:$AC$505,"&lt;="&amp;$A198,実績!$AD$6:$AD$505,"&gt;"&amp;$A198,実績!$AE$6:$AE$505,"○")&gt;0,1,0))</f>
        <v/>
      </c>
      <c r="CS198">
        <f>IF(CS$4=0,0,IF(COUNTIFS(実績!$W$6:$W$505,CS$3,実績!$AC$6:$AC$505,"&lt;="&amp;$A198,実績!$AD$6:$AD$505,"&gt;"&amp;$A198,実績!$AE$6:$AE$505,"○")&gt;0,1,0))</f>
        <v/>
      </c>
      <c r="CT198">
        <f>IF(CT$4=0,0,IF(COUNTIFS(実績!$W$6:$W$505,CT$3,実績!$AC$6:$AC$505,"&lt;="&amp;$A198,実績!$AD$6:$AD$505,"&gt;"&amp;$A198,実績!$AE$6:$AE$505,"○")&gt;0,1,0))</f>
        <v/>
      </c>
      <c r="CU198">
        <f>IF(CU$4=0,0,IF(COUNTIFS(実績!$W$6:$W$505,CU$3,実績!$AC$6:$AC$505,"&lt;="&amp;$A198,実績!$AD$6:$AD$505,"&gt;"&amp;$A198,実績!$AE$6:$AE$505,"○")&gt;0,1,0))</f>
        <v/>
      </c>
      <c r="CV198">
        <f>IF(CV$4=0,0,IF(COUNTIFS(実績!$W$6:$W$505,CV$3,実績!$AC$6:$AC$505,"&lt;="&amp;$A198,実績!$AD$6:$AD$505,"&gt;"&amp;$A198,実績!$AE$6:$AE$505,"○")&gt;0,1,0))</f>
        <v/>
      </c>
      <c r="CW198">
        <f>IF(CW$4=0,0,IF(COUNTIFS(実績!$W$6:$W$505,CW$3,実績!$AC$6:$AC$505,"&lt;="&amp;$A198,実績!$AD$6:$AD$505,"&gt;"&amp;$A198,実績!$AE$6:$AE$505,"○")&gt;0,1,0))</f>
        <v/>
      </c>
      <c r="CX198">
        <f>IF(CX$4=0,0,IF(COUNTIFS(実績!$W$6:$W$505,CX$3,実績!$AC$6:$AC$505,"&lt;="&amp;$A198,実績!$AD$6:$AD$505,"&gt;"&amp;$A198,実績!$AE$6:$AE$505,"○")&gt;0,1,0))</f>
        <v/>
      </c>
      <c r="CY198">
        <f>IF(CY$4=0,0,IF(COUNTIFS(実績!$W$6:$W$505,CY$3,実績!$AC$6:$AC$505,"&lt;="&amp;$A198,実績!$AD$6:$AD$505,"&gt;"&amp;$A198,実績!$AE$6:$AE$505,"○")&gt;0,1,0))</f>
        <v/>
      </c>
      <c r="CZ198">
        <f>IF(CZ$4=0,0,IF(COUNTIFS(実績!$W$6:$W$505,CZ$3,実績!$AC$6:$AC$505,"&lt;="&amp;$A198,実績!$AD$6:$AD$505,"&gt;"&amp;$A198,実績!$AE$6:$AE$505,"○")&gt;0,1,0))</f>
        <v/>
      </c>
      <c r="DA198">
        <f>IF(DA$4=0,0,IF(COUNTIFS(実績!$W$6:$W$505,DA$3,実績!$AC$6:$AC$505,"&lt;="&amp;$A198,実績!$AD$6:$AD$505,"&gt;"&amp;$A198,実績!$AE$6:$AE$505,"○")&gt;0,1,0))</f>
        <v/>
      </c>
      <c r="DB198">
        <f>IF(DB$4=0,0,IF(COUNTIFS(実績!$W$6:$W$505,DB$3,実績!$AC$6:$AC$505,"&lt;="&amp;$A198,実績!$AD$6:$AD$505,"&gt;"&amp;$A198,実績!$AE$6:$AE$505,"○")&gt;0,1,0))</f>
        <v/>
      </c>
      <c r="DC198">
        <f>IF(DC$4=0,0,IF(COUNTIFS(実績!$W$6:$W$505,DC$3,実績!$AC$6:$AC$505,"&lt;="&amp;$A198,実績!$AD$6:$AD$505,"&gt;"&amp;$A198,実績!$AE$6:$AE$505,"○")&gt;0,1,0))</f>
        <v/>
      </c>
      <c r="DD198">
        <f>IF(DD$4=0,0,IF(COUNTIFS(実績!$W$6:$W$505,DD$3,実績!$AC$6:$AC$505,"&lt;="&amp;$A198,実績!$AD$6:$AD$505,"&gt;"&amp;$A198,実績!$AE$6:$AE$505,"○")&gt;0,1,0))</f>
        <v/>
      </c>
      <c r="DE198">
        <f>IF(DE$4=0,0,IF(COUNTIFS(実績!$W$6:$W$505,DE$3,実績!$AC$6:$AC$505,"&lt;="&amp;$A198,実績!$AD$6:$AD$505,"&gt;"&amp;$A198,実績!$AE$6:$AE$505,"○")&gt;0,1,0))</f>
        <v/>
      </c>
      <c r="DF198">
        <f>IF(DF$4=0,0,IF(COUNTIFS(実績!$W$6:$W$505,DF$3,実績!$AC$6:$AC$505,"&lt;="&amp;$A198,実績!$AD$6:$AD$505,"&gt;"&amp;$A198,実績!$AE$6:$AE$505,"○")&gt;0,1,0))</f>
        <v/>
      </c>
      <c r="DG198">
        <f>IF(DG$4=0,0,IF(COUNTIFS(実績!$W$6:$W$505,DG$3,実績!$AC$6:$AC$505,"&lt;="&amp;$A198,実績!$AD$6:$AD$505,"&gt;"&amp;$A198,実績!$AE$6:$AE$505,"○")&gt;0,1,0))</f>
        <v/>
      </c>
      <c r="DH198">
        <f>IF(DH$4=0,0,IF(COUNTIFS(実績!$W$6:$W$505,DH$3,実績!$AC$6:$AC$505,"&lt;="&amp;$A198,実績!$AD$6:$AD$505,"&gt;"&amp;$A198,実績!$AE$6:$AE$505,"○")&gt;0,1,0))</f>
        <v/>
      </c>
      <c r="DI198">
        <f>IF(DI$4=0,0,IF(COUNTIFS(実績!$W$6:$W$505,DI$3,実績!$AC$6:$AC$505,"&lt;="&amp;$A198,実績!$AD$6:$AD$505,"&gt;"&amp;$A198,実績!$AE$6:$AE$505,"○")&gt;0,1,0))</f>
        <v/>
      </c>
      <c r="DJ198">
        <f>IF(DJ$4=0,0,IF(COUNTIFS(実績!$W$6:$W$505,DJ$3,実績!$AC$6:$AC$505,"&lt;="&amp;$A198,実績!$AD$6:$AD$505,"&gt;"&amp;$A198,実績!$AE$6:$AE$505,"○")&gt;0,1,0))</f>
        <v/>
      </c>
      <c r="DK198">
        <f>IF(DK$4=0,0,IF(COUNTIFS(実績!$W$6:$W$505,DK$3,実績!$AC$6:$AC$505,"&lt;="&amp;$A198,実績!$AD$6:$AD$505,"&gt;"&amp;$A198,実績!$AE$6:$AE$505,"○")&gt;0,1,0))</f>
        <v/>
      </c>
      <c r="DL198">
        <f>IF(DL$4=0,0,IF(COUNTIFS(実績!$W$6:$W$505,DL$3,実績!$AC$6:$AC$505,"&lt;="&amp;$A198,実績!$AD$6:$AD$505,"&gt;"&amp;$A198,実績!$AE$6:$AE$505,"○")&gt;0,1,0))</f>
        <v/>
      </c>
      <c r="DM198">
        <f>IF(DM$4=0,0,IF(COUNTIFS(実績!$W$6:$W$505,DM$3,実績!$AC$6:$AC$505,"&lt;="&amp;$A198,実績!$AD$6:$AD$505,"&gt;"&amp;$A198,実績!$AE$6:$AE$505,"○")&gt;0,1,0))</f>
        <v/>
      </c>
      <c r="DN198">
        <f>IF(DN$4=0,0,IF(COUNTIFS(実績!$W$6:$W$505,DN$3,実績!$AC$6:$AC$505,"&lt;="&amp;$A198,実績!$AD$6:$AD$505,"&gt;"&amp;$A198,実績!$AE$6:$AE$505,"○")&gt;0,1,0))</f>
        <v/>
      </c>
      <c r="DO198">
        <f>IF(DO$4=0,0,IF(COUNTIFS(実績!$W$6:$W$505,DO$3,実績!$AC$6:$AC$505,"&lt;="&amp;$A198,実績!$AD$6:$AD$505,"&gt;"&amp;$A198,実績!$AE$6:$AE$505,"○")&gt;0,1,0))</f>
        <v/>
      </c>
      <c r="DP198">
        <f>IF(DP$4=0,0,IF(COUNTIFS(実績!$W$6:$W$505,DP$3,実績!$AC$6:$AC$505,"&lt;="&amp;$A198,実績!$AD$6:$AD$505,"&gt;"&amp;$A198,実績!$AE$6:$AE$505,"○")&gt;0,1,0))</f>
        <v/>
      </c>
      <c r="DQ198">
        <f>IF(DQ$4=0,0,IF(COUNTIFS(実績!$W$6:$W$505,DQ$3,実績!$AC$6:$AC$505,"&lt;="&amp;$A198,実績!$AD$6:$AD$505,"&gt;"&amp;$A198,実績!$AE$6:$AE$505,"○")&gt;0,1,0))</f>
        <v/>
      </c>
      <c r="DR198">
        <f>IF(DR$4=0,0,IF(COUNTIFS(実績!$W$6:$W$505,DR$3,実績!$AC$6:$AC$505,"&lt;="&amp;$A198,実績!$AD$6:$AD$505,"&gt;"&amp;$A198,実績!$AE$6:$AE$505,"○")&gt;0,1,0))</f>
        <v/>
      </c>
      <c r="DS198">
        <f>SUM(C198:DR198)</f>
        <v/>
      </c>
      <c r="DT198">
        <f>SUMPRODUCT((実績!$C$6:$C$505="○")*ISNUMBER(実績!$AF$6:$AF$505)*(実績!$AF$6:$AF$505&lt;=$A198)*(実績!$AG$6:$AG$505&gt;$A198))</f>
        <v/>
      </c>
      <c r="DU198">
        <f>SUMIF($C$2:$DR$2,"製鉄曳船",C198:DR198)</f>
        <v/>
      </c>
      <c r="DV198">
        <f>SUMIF($C$2:$DR$2,"西日本海運",C198:DR198)</f>
        <v/>
      </c>
    </row>
    <row r="199">
      <c r="A199" t="n">
        <v>965</v>
      </c>
      <c r="B199" s="29">
        <f>A199/1440</f>
        <v/>
      </c>
      <c r="C199">
        <f>IF(C$4=0,0,IF(COUNTIFS(実績!$W$6:$W$505,C$3,実績!$AC$6:$AC$505,"&lt;="&amp;$A199,実績!$AD$6:$AD$505,"&gt;"&amp;$A199,実績!$AE$6:$AE$505,"○")&gt;0,1,0))</f>
        <v/>
      </c>
      <c r="D199">
        <f>IF(D$4=0,0,IF(COUNTIFS(実績!$W$6:$W$505,D$3,実績!$AC$6:$AC$505,"&lt;="&amp;$A199,実績!$AD$6:$AD$505,"&gt;"&amp;$A199,実績!$AE$6:$AE$505,"○")&gt;0,1,0))</f>
        <v/>
      </c>
      <c r="E199">
        <f>IF(E$4=0,0,IF(COUNTIFS(実績!$W$6:$W$505,E$3,実績!$AC$6:$AC$505,"&lt;="&amp;$A199,実績!$AD$6:$AD$505,"&gt;"&amp;$A199,実績!$AE$6:$AE$505,"○")&gt;0,1,0))</f>
        <v/>
      </c>
      <c r="F199">
        <f>IF(F$4=0,0,IF(COUNTIFS(実績!$W$6:$W$505,F$3,実績!$AC$6:$AC$505,"&lt;="&amp;$A199,実績!$AD$6:$AD$505,"&gt;"&amp;$A199,実績!$AE$6:$AE$505,"○")&gt;0,1,0))</f>
        <v/>
      </c>
      <c r="G199">
        <f>IF(G$4=0,0,IF(COUNTIFS(実績!$W$6:$W$505,G$3,実績!$AC$6:$AC$505,"&lt;="&amp;$A199,実績!$AD$6:$AD$505,"&gt;"&amp;$A199,実績!$AE$6:$AE$505,"○")&gt;0,1,0))</f>
        <v/>
      </c>
      <c r="H199">
        <f>IF(H$4=0,0,IF(COUNTIFS(実績!$W$6:$W$505,H$3,実績!$AC$6:$AC$505,"&lt;="&amp;$A199,実績!$AD$6:$AD$505,"&gt;"&amp;$A199,実績!$AE$6:$AE$505,"○")&gt;0,1,0))</f>
        <v/>
      </c>
      <c r="I199">
        <f>IF(I$4=0,0,IF(COUNTIFS(実績!$W$6:$W$505,I$3,実績!$AC$6:$AC$505,"&lt;="&amp;$A199,実績!$AD$6:$AD$505,"&gt;"&amp;$A199,実績!$AE$6:$AE$505,"○")&gt;0,1,0))</f>
        <v/>
      </c>
      <c r="J199">
        <f>IF(J$4=0,0,IF(COUNTIFS(実績!$W$6:$W$505,J$3,実績!$AC$6:$AC$505,"&lt;="&amp;$A199,実績!$AD$6:$AD$505,"&gt;"&amp;$A199,実績!$AE$6:$AE$505,"○")&gt;0,1,0))</f>
        <v/>
      </c>
      <c r="K199">
        <f>IF(K$4=0,0,IF(COUNTIFS(実績!$W$6:$W$505,K$3,実績!$AC$6:$AC$505,"&lt;="&amp;$A199,実績!$AD$6:$AD$505,"&gt;"&amp;$A199,実績!$AE$6:$AE$505,"○")&gt;0,1,0))</f>
        <v/>
      </c>
      <c r="L199">
        <f>IF(L$4=0,0,IF(COUNTIFS(実績!$W$6:$W$505,L$3,実績!$AC$6:$AC$505,"&lt;="&amp;$A199,実績!$AD$6:$AD$505,"&gt;"&amp;$A199,実績!$AE$6:$AE$505,"○")&gt;0,1,0))</f>
        <v/>
      </c>
      <c r="M199">
        <f>IF(M$4=0,0,IF(COUNTIFS(実績!$W$6:$W$505,M$3,実績!$AC$6:$AC$505,"&lt;="&amp;$A199,実績!$AD$6:$AD$505,"&gt;"&amp;$A199,実績!$AE$6:$AE$505,"○")&gt;0,1,0))</f>
        <v/>
      </c>
      <c r="N199">
        <f>IF(N$4=0,0,IF(COUNTIFS(実績!$W$6:$W$505,N$3,実績!$AC$6:$AC$505,"&lt;="&amp;$A199,実績!$AD$6:$AD$505,"&gt;"&amp;$A199,実績!$AE$6:$AE$505,"○")&gt;0,1,0))</f>
        <v/>
      </c>
      <c r="O199">
        <f>IF(O$4=0,0,IF(COUNTIFS(実績!$W$6:$W$505,O$3,実績!$AC$6:$AC$505,"&lt;="&amp;$A199,実績!$AD$6:$AD$505,"&gt;"&amp;$A199,実績!$AE$6:$AE$505,"○")&gt;0,1,0))</f>
        <v/>
      </c>
      <c r="P199">
        <f>IF(P$4=0,0,IF(COUNTIFS(実績!$W$6:$W$505,P$3,実績!$AC$6:$AC$505,"&lt;="&amp;$A199,実績!$AD$6:$AD$505,"&gt;"&amp;$A199,実績!$AE$6:$AE$505,"○")&gt;0,1,0))</f>
        <v/>
      </c>
      <c r="Q199">
        <f>IF(Q$4=0,0,IF(COUNTIFS(実績!$W$6:$W$505,Q$3,実績!$AC$6:$AC$505,"&lt;="&amp;$A199,実績!$AD$6:$AD$505,"&gt;"&amp;$A199,実績!$AE$6:$AE$505,"○")&gt;0,1,0))</f>
        <v/>
      </c>
      <c r="R199">
        <f>IF(R$4=0,0,IF(COUNTIFS(実績!$W$6:$W$505,R$3,実績!$AC$6:$AC$505,"&lt;="&amp;$A199,実績!$AD$6:$AD$505,"&gt;"&amp;$A199,実績!$AE$6:$AE$505,"○")&gt;0,1,0))</f>
        <v/>
      </c>
      <c r="S199">
        <f>IF(S$4=0,0,IF(COUNTIFS(実績!$W$6:$W$505,S$3,実績!$AC$6:$AC$505,"&lt;="&amp;$A199,実績!$AD$6:$AD$505,"&gt;"&amp;$A199,実績!$AE$6:$AE$505,"○")&gt;0,1,0))</f>
        <v/>
      </c>
      <c r="T199">
        <f>IF(T$4=0,0,IF(COUNTIFS(実績!$W$6:$W$505,T$3,実績!$AC$6:$AC$505,"&lt;="&amp;$A199,実績!$AD$6:$AD$505,"&gt;"&amp;$A199,実績!$AE$6:$AE$505,"○")&gt;0,1,0))</f>
        <v/>
      </c>
      <c r="U199">
        <f>IF(U$4=0,0,IF(COUNTIFS(実績!$W$6:$W$505,U$3,実績!$AC$6:$AC$505,"&lt;="&amp;$A199,実績!$AD$6:$AD$505,"&gt;"&amp;$A199,実績!$AE$6:$AE$505,"○")&gt;0,1,0))</f>
        <v/>
      </c>
      <c r="V199">
        <f>IF(V$4=0,0,IF(COUNTIFS(実績!$W$6:$W$505,V$3,実績!$AC$6:$AC$505,"&lt;="&amp;$A199,実績!$AD$6:$AD$505,"&gt;"&amp;$A199,実績!$AE$6:$AE$505,"○")&gt;0,1,0))</f>
        <v/>
      </c>
      <c r="W199">
        <f>IF(W$4=0,0,IF(COUNTIFS(実績!$W$6:$W$505,W$3,実績!$AC$6:$AC$505,"&lt;="&amp;$A199,実績!$AD$6:$AD$505,"&gt;"&amp;$A199,実績!$AE$6:$AE$505,"○")&gt;0,1,0))</f>
        <v/>
      </c>
      <c r="X199">
        <f>IF(X$4=0,0,IF(COUNTIFS(実績!$W$6:$W$505,X$3,実績!$AC$6:$AC$505,"&lt;="&amp;$A199,実績!$AD$6:$AD$505,"&gt;"&amp;$A199,実績!$AE$6:$AE$505,"○")&gt;0,1,0))</f>
        <v/>
      </c>
      <c r="Y199">
        <f>IF(Y$4=0,0,IF(COUNTIFS(実績!$W$6:$W$505,Y$3,実績!$AC$6:$AC$505,"&lt;="&amp;$A199,実績!$AD$6:$AD$505,"&gt;"&amp;$A199,実績!$AE$6:$AE$505,"○")&gt;0,1,0))</f>
        <v/>
      </c>
      <c r="Z199">
        <f>IF(Z$4=0,0,IF(COUNTIFS(実績!$W$6:$W$505,Z$3,実績!$AC$6:$AC$505,"&lt;="&amp;$A199,実績!$AD$6:$AD$505,"&gt;"&amp;$A199,実績!$AE$6:$AE$505,"○")&gt;0,1,0))</f>
        <v/>
      </c>
      <c r="AA199">
        <f>IF(AA$4=0,0,IF(COUNTIFS(実績!$W$6:$W$505,AA$3,実績!$AC$6:$AC$505,"&lt;="&amp;$A199,実績!$AD$6:$AD$505,"&gt;"&amp;$A199,実績!$AE$6:$AE$505,"○")&gt;0,1,0))</f>
        <v/>
      </c>
      <c r="AB199">
        <f>IF(AB$4=0,0,IF(COUNTIFS(実績!$W$6:$W$505,AB$3,実績!$AC$6:$AC$505,"&lt;="&amp;$A199,実績!$AD$6:$AD$505,"&gt;"&amp;$A199,実績!$AE$6:$AE$505,"○")&gt;0,1,0))</f>
        <v/>
      </c>
      <c r="AC199">
        <f>IF(AC$4=0,0,IF(COUNTIFS(実績!$W$6:$W$505,AC$3,実績!$AC$6:$AC$505,"&lt;="&amp;$A199,実績!$AD$6:$AD$505,"&gt;"&amp;$A199,実績!$AE$6:$AE$505,"○")&gt;0,1,0))</f>
        <v/>
      </c>
      <c r="AD199">
        <f>IF(AD$4=0,0,IF(COUNTIFS(実績!$W$6:$W$505,AD$3,実績!$AC$6:$AC$505,"&lt;="&amp;$A199,実績!$AD$6:$AD$505,"&gt;"&amp;$A199,実績!$AE$6:$AE$505,"○")&gt;0,1,0))</f>
        <v/>
      </c>
      <c r="AE199">
        <f>IF(AE$4=0,0,IF(COUNTIFS(実績!$W$6:$W$505,AE$3,実績!$AC$6:$AC$505,"&lt;="&amp;$A199,実績!$AD$6:$AD$505,"&gt;"&amp;$A199,実績!$AE$6:$AE$505,"○")&gt;0,1,0))</f>
        <v/>
      </c>
      <c r="AF199">
        <f>IF(AF$4=0,0,IF(COUNTIFS(実績!$W$6:$W$505,AF$3,実績!$AC$6:$AC$505,"&lt;="&amp;$A199,実績!$AD$6:$AD$505,"&gt;"&amp;$A199,実績!$AE$6:$AE$505,"○")&gt;0,1,0))</f>
        <v/>
      </c>
      <c r="AG199">
        <f>IF(AG$4=0,0,IF(COUNTIFS(実績!$W$6:$W$505,AG$3,実績!$AC$6:$AC$505,"&lt;="&amp;$A199,実績!$AD$6:$AD$505,"&gt;"&amp;$A199,実績!$AE$6:$AE$505,"○")&gt;0,1,0))</f>
        <v/>
      </c>
      <c r="AH199">
        <f>IF(AH$4=0,0,IF(COUNTIFS(実績!$W$6:$W$505,AH$3,実績!$AC$6:$AC$505,"&lt;="&amp;$A199,実績!$AD$6:$AD$505,"&gt;"&amp;$A199,実績!$AE$6:$AE$505,"○")&gt;0,1,0))</f>
        <v/>
      </c>
      <c r="AI199">
        <f>IF(AI$4=0,0,IF(COUNTIFS(実績!$W$6:$W$505,AI$3,実績!$AC$6:$AC$505,"&lt;="&amp;$A199,実績!$AD$6:$AD$505,"&gt;"&amp;$A199,実績!$AE$6:$AE$505,"○")&gt;0,1,0))</f>
        <v/>
      </c>
      <c r="AJ199">
        <f>IF(AJ$4=0,0,IF(COUNTIFS(実績!$W$6:$W$505,AJ$3,実績!$AC$6:$AC$505,"&lt;="&amp;$A199,実績!$AD$6:$AD$505,"&gt;"&amp;$A199,実績!$AE$6:$AE$505,"○")&gt;0,1,0))</f>
        <v/>
      </c>
      <c r="AK199">
        <f>IF(AK$4=0,0,IF(COUNTIFS(実績!$W$6:$W$505,AK$3,実績!$AC$6:$AC$505,"&lt;="&amp;$A199,実績!$AD$6:$AD$505,"&gt;"&amp;$A199,実績!$AE$6:$AE$505,"○")&gt;0,1,0))</f>
        <v/>
      </c>
      <c r="AL199">
        <f>IF(AL$4=0,0,IF(COUNTIFS(実績!$W$6:$W$505,AL$3,実績!$AC$6:$AC$505,"&lt;="&amp;$A199,実績!$AD$6:$AD$505,"&gt;"&amp;$A199,実績!$AE$6:$AE$505,"○")&gt;0,1,0))</f>
        <v/>
      </c>
      <c r="AM199">
        <f>IF(AM$4=0,0,IF(COUNTIFS(実績!$W$6:$W$505,AM$3,実績!$AC$6:$AC$505,"&lt;="&amp;$A199,実績!$AD$6:$AD$505,"&gt;"&amp;$A199,実績!$AE$6:$AE$505,"○")&gt;0,1,0))</f>
        <v/>
      </c>
      <c r="AN199">
        <f>IF(AN$4=0,0,IF(COUNTIFS(実績!$W$6:$W$505,AN$3,実績!$AC$6:$AC$505,"&lt;="&amp;$A199,実績!$AD$6:$AD$505,"&gt;"&amp;$A199,実績!$AE$6:$AE$505,"○")&gt;0,1,0))</f>
        <v/>
      </c>
      <c r="AO199">
        <f>IF(AO$4=0,0,IF(COUNTIFS(実績!$W$6:$W$505,AO$3,実績!$AC$6:$AC$505,"&lt;="&amp;$A199,実績!$AD$6:$AD$505,"&gt;"&amp;$A199,実績!$AE$6:$AE$505,"○")&gt;0,1,0))</f>
        <v/>
      </c>
      <c r="AP199">
        <f>IF(AP$4=0,0,IF(COUNTIFS(実績!$W$6:$W$505,AP$3,実績!$AC$6:$AC$505,"&lt;="&amp;$A199,実績!$AD$6:$AD$505,"&gt;"&amp;$A199,実績!$AE$6:$AE$505,"○")&gt;0,1,0))</f>
        <v/>
      </c>
      <c r="AQ199">
        <f>IF(AQ$4=0,0,IF(COUNTIFS(実績!$W$6:$W$505,AQ$3,実績!$AC$6:$AC$505,"&lt;="&amp;$A199,実績!$AD$6:$AD$505,"&gt;"&amp;$A199,実績!$AE$6:$AE$505,"○")&gt;0,1,0))</f>
        <v/>
      </c>
      <c r="AR199">
        <f>IF(AR$4=0,0,IF(COUNTIFS(実績!$W$6:$W$505,AR$3,実績!$AC$6:$AC$505,"&lt;="&amp;$A199,実績!$AD$6:$AD$505,"&gt;"&amp;$A199,実績!$AE$6:$AE$505,"○")&gt;0,1,0))</f>
        <v/>
      </c>
      <c r="AS199">
        <f>IF(AS$4=0,0,IF(COUNTIFS(実績!$W$6:$W$505,AS$3,実績!$AC$6:$AC$505,"&lt;="&amp;$A199,実績!$AD$6:$AD$505,"&gt;"&amp;$A199,実績!$AE$6:$AE$505,"○")&gt;0,1,0))</f>
        <v/>
      </c>
      <c r="AT199">
        <f>IF(AT$4=0,0,IF(COUNTIFS(実績!$W$6:$W$505,AT$3,実績!$AC$6:$AC$505,"&lt;="&amp;$A199,実績!$AD$6:$AD$505,"&gt;"&amp;$A199,実績!$AE$6:$AE$505,"○")&gt;0,1,0))</f>
        <v/>
      </c>
      <c r="AU199">
        <f>IF(AU$4=0,0,IF(COUNTIFS(実績!$W$6:$W$505,AU$3,実績!$AC$6:$AC$505,"&lt;="&amp;$A199,実績!$AD$6:$AD$505,"&gt;"&amp;$A199,実績!$AE$6:$AE$505,"○")&gt;0,1,0))</f>
        <v/>
      </c>
      <c r="AV199">
        <f>IF(AV$4=0,0,IF(COUNTIFS(実績!$W$6:$W$505,AV$3,実績!$AC$6:$AC$505,"&lt;="&amp;$A199,実績!$AD$6:$AD$505,"&gt;"&amp;$A199,実績!$AE$6:$AE$505,"○")&gt;0,1,0))</f>
        <v/>
      </c>
      <c r="AW199">
        <f>IF(AW$4=0,0,IF(COUNTIFS(実績!$W$6:$W$505,AW$3,実績!$AC$6:$AC$505,"&lt;="&amp;$A199,実績!$AD$6:$AD$505,"&gt;"&amp;$A199,実績!$AE$6:$AE$505,"○")&gt;0,1,0))</f>
        <v/>
      </c>
      <c r="AX199">
        <f>IF(AX$4=0,0,IF(COUNTIFS(実績!$W$6:$W$505,AX$3,実績!$AC$6:$AC$505,"&lt;="&amp;$A199,実績!$AD$6:$AD$505,"&gt;"&amp;$A199,実績!$AE$6:$AE$505,"○")&gt;0,1,0))</f>
        <v/>
      </c>
      <c r="AY199">
        <f>IF(AY$4=0,0,IF(COUNTIFS(実績!$W$6:$W$505,AY$3,実績!$AC$6:$AC$505,"&lt;="&amp;$A199,実績!$AD$6:$AD$505,"&gt;"&amp;$A199,実績!$AE$6:$AE$505,"○")&gt;0,1,0))</f>
        <v/>
      </c>
      <c r="AZ199">
        <f>IF(AZ$4=0,0,IF(COUNTIFS(実績!$W$6:$W$505,AZ$3,実績!$AC$6:$AC$505,"&lt;="&amp;$A199,実績!$AD$6:$AD$505,"&gt;"&amp;$A199,実績!$AE$6:$AE$505,"○")&gt;0,1,0))</f>
        <v/>
      </c>
      <c r="BA199">
        <f>IF(BA$4=0,0,IF(COUNTIFS(実績!$W$6:$W$505,BA$3,実績!$AC$6:$AC$505,"&lt;="&amp;$A199,実績!$AD$6:$AD$505,"&gt;"&amp;$A199,実績!$AE$6:$AE$505,"○")&gt;0,1,0))</f>
        <v/>
      </c>
      <c r="BB199">
        <f>IF(BB$4=0,0,IF(COUNTIFS(実績!$W$6:$W$505,BB$3,実績!$AC$6:$AC$505,"&lt;="&amp;$A199,実績!$AD$6:$AD$505,"&gt;"&amp;$A199,実績!$AE$6:$AE$505,"○")&gt;0,1,0))</f>
        <v/>
      </c>
      <c r="BC199">
        <f>IF(BC$4=0,0,IF(COUNTIFS(実績!$W$6:$W$505,BC$3,実績!$AC$6:$AC$505,"&lt;="&amp;$A199,実績!$AD$6:$AD$505,"&gt;"&amp;$A199,実績!$AE$6:$AE$505,"○")&gt;0,1,0))</f>
        <v/>
      </c>
      <c r="BD199">
        <f>IF(BD$4=0,0,IF(COUNTIFS(実績!$W$6:$W$505,BD$3,実績!$AC$6:$AC$505,"&lt;="&amp;$A199,実績!$AD$6:$AD$505,"&gt;"&amp;$A199,実績!$AE$6:$AE$505,"○")&gt;0,1,0))</f>
        <v/>
      </c>
      <c r="BE199">
        <f>IF(BE$4=0,0,IF(COUNTIFS(実績!$W$6:$W$505,BE$3,実績!$AC$6:$AC$505,"&lt;="&amp;$A199,実績!$AD$6:$AD$505,"&gt;"&amp;$A199,実績!$AE$6:$AE$505,"○")&gt;0,1,0))</f>
        <v/>
      </c>
      <c r="BF199">
        <f>IF(BF$4=0,0,IF(COUNTIFS(実績!$W$6:$W$505,BF$3,実績!$AC$6:$AC$505,"&lt;="&amp;$A199,実績!$AD$6:$AD$505,"&gt;"&amp;$A199,実績!$AE$6:$AE$505,"○")&gt;0,1,0))</f>
        <v/>
      </c>
      <c r="BG199">
        <f>IF(BG$4=0,0,IF(COUNTIFS(実績!$W$6:$W$505,BG$3,実績!$AC$6:$AC$505,"&lt;="&amp;$A199,実績!$AD$6:$AD$505,"&gt;"&amp;$A199,実績!$AE$6:$AE$505,"○")&gt;0,1,0))</f>
        <v/>
      </c>
      <c r="BH199">
        <f>IF(BH$4=0,0,IF(COUNTIFS(実績!$W$6:$W$505,BH$3,実績!$AC$6:$AC$505,"&lt;="&amp;$A199,実績!$AD$6:$AD$505,"&gt;"&amp;$A199,実績!$AE$6:$AE$505,"○")&gt;0,1,0))</f>
        <v/>
      </c>
      <c r="BI199">
        <f>IF(BI$4=0,0,IF(COUNTIFS(実績!$W$6:$W$505,BI$3,実績!$AC$6:$AC$505,"&lt;="&amp;$A199,実績!$AD$6:$AD$505,"&gt;"&amp;$A199,実績!$AE$6:$AE$505,"○")&gt;0,1,0))</f>
        <v/>
      </c>
      <c r="BJ199">
        <f>IF(BJ$4=0,0,IF(COUNTIFS(実績!$W$6:$W$505,BJ$3,実績!$AC$6:$AC$505,"&lt;="&amp;$A199,実績!$AD$6:$AD$505,"&gt;"&amp;$A199,実績!$AE$6:$AE$505,"○")&gt;0,1,0))</f>
        <v/>
      </c>
      <c r="BK199">
        <f>IF(BK$4=0,0,IF(COUNTIFS(実績!$W$6:$W$505,BK$3,実績!$AC$6:$AC$505,"&lt;="&amp;$A199,実績!$AD$6:$AD$505,"&gt;"&amp;$A199,実績!$AE$6:$AE$505,"○")&gt;0,1,0))</f>
        <v/>
      </c>
      <c r="BL199">
        <f>IF(BL$4=0,0,IF(COUNTIFS(実績!$W$6:$W$505,BL$3,実績!$AC$6:$AC$505,"&lt;="&amp;$A199,実績!$AD$6:$AD$505,"&gt;"&amp;$A199,実績!$AE$6:$AE$505,"○")&gt;0,1,0))</f>
        <v/>
      </c>
      <c r="BM199">
        <f>IF(BM$4=0,0,IF(COUNTIFS(実績!$W$6:$W$505,BM$3,実績!$AC$6:$AC$505,"&lt;="&amp;$A199,実績!$AD$6:$AD$505,"&gt;"&amp;$A199,実績!$AE$6:$AE$505,"○")&gt;0,1,0))</f>
        <v/>
      </c>
      <c r="BN199">
        <f>IF(BN$4=0,0,IF(COUNTIFS(実績!$W$6:$W$505,BN$3,実績!$AC$6:$AC$505,"&lt;="&amp;$A199,実績!$AD$6:$AD$505,"&gt;"&amp;$A199,実績!$AE$6:$AE$505,"○")&gt;0,1,0))</f>
        <v/>
      </c>
      <c r="BO199">
        <f>IF(BO$4=0,0,IF(COUNTIFS(実績!$W$6:$W$505,BO$3,実績!$AC$6:$AC$505,"&lt;="&amp;$A199,実績!$AD$6:$AD$505,"&gt;"&amp;$A199,実績!$AE$6:$AE$505,"○")&gt;0,1,0))</f>
        <v/>
      </c>
      <c r="BP199">
        <f>IF(BP$4=0,0,IF(COUNTIFS(実績!$W$6:$W$505,BP$3,実績!$AC$6:$AC$505,"&lt;="&amp;$A199,実績!$AD$6:$AD$505,"&gt;"&amp;$A199,実績!$AE$6:$AE$505,"○")&gt;0,1,0))</f>
        <v/>
      </c>
      <c r="BQ199">
        <f>IF(BQ$4=0,0,IF(COUNTIFS(実績!$W$6:$W$505,BQ$3,実績!$AC$6:$AC$505,"&lt;="&amp;$A199,実績!$AD$6:$AD$505,"&gt;"&amp;$A199,実績!$AE$6:$AE$505,"○")&gt;0,1,0))</f>
        <v/>
      </c>
      <c r="BR199">
        <f>IF(BR$4=0,0,IF(COUNTIFS(実績!$W$6:$W$505,BR$3,実績!$AC$6:$AC$505,"&lt;="&amp;$A199,実績!$AD$6:$AD$505,"&gt;"&amp;$A199,実績!$AE$6:$AE$505,"○")&gt;0,1,0))</f>
        <v/>
      </c>
      <c r="BS199">
        <f>IF(BS$4=0,0,IF(COUNTIFS(実績!$W$6:$W$505,BS$3,実績!$AC$6:$AC$505,"&lt;="&amp;$A199,実績!$AD$6:$AD$505,"&gt;"&amp;$A199,実績!$AE$6:$AE$505,"○")&gt;0,1,0))</f>
        <v/>
      </c>
      <c r="BT199">
        <f>IF(BT$4=0,0,IF(COUNTIFS(実績!$W$6:$W$505,BT$3,実績!$AC$6:$AC$505,"&lt;="&amp;$A199,実績!$AD$6:$AD$505,"&gt;"&amp;$A199,実績!$AE$6:$AE$505,"○")&gt;0,1,0))</f>
        <v/>
      </c>
      <c r="BU199">
        <f>IF(BU$4=0,0,IF(COUNTIFS(実績!$W$6:$W$505,BU$3,実績!$AC$6:$AC$505,"&lt;="&amp;$A199,実績!$AD$6:$AD$505,"&gt;"&amp;$A199,実績!$AE$6:$AE$505,"○")&gt;0,1,0))</f>
        <v/>
      </c>
      <c r="BV199">
        <f>IF(BV$4=0,0,IF(COUNTIFS(実績!$W$6:$W$505,BV$3,実績!$AC$6:$AC$505,"&lt;="&amp;$A199,実績!$AD$6:$AD$505,"&gt;"&amp;$A199,実績!$AE$6:$AE$505,"○")&gt;0,1,0))</f>
        <v/>
      </c>
      <c r="BW199">
        <f>IF(BW$4=0,0,IF(COUNTIFS(実績!$W$6:$W$505,BW$3,実績!$AC$6:$AC$505,"&lt;="&amp;$A199,実績!$AD$6:$AD$505,"&gt;"&amp;$A199,実績!$AE$6:$AE$505,"○")&gt;0,1,0))</f>
        <v/>
      </c>
      <c r="BX199">
        <f>IF(BX$4=0,0,IF(COUNTIFS(実績!$W$6:$W$505,BX$3,実績!$AC$6:$AC$505,"&lt;="&amp;$A199,実績!$AD$6:$AD$505,"&gt;"&amp;$A199,実績!$AE$6:$AE$505,"○")&gt;0,1,0))</f>
        <v/>
      </c>
      <c r="BY199">
        <f>IF(BY$4=0,0,IF(COUNTIFS(実績!$W$6:$W$505,BY$3,実績!$AC$6:$AC$505,"&lt;="&amp;$A199,実績!$AD$6:$AD$505,"&gt;"&amp;$A199,実績!$AE$6:$AE$505,"○")&gt;0,1,0))</f>
        <v/>
      </c>
      <c r="BZ199">
        <f>IF(BZ$4=0,0,IF(COUNTIFS(実績!$W$6:$W$505,BZ$3,実績!$AC$6:$AC$505,"&lt;="&amp;$A199,実績!$AD$6:$AD$505,"&gt;"&amp;$A199,実績!$AE$6:$AE$505,"○")&gt;0,1,0))</f>
        <v/>
      </c>
      <c r="CA199">
        <f>IF(CA$4=0,0,IF(COUNTIFS(実績!$W$6:$W$505,CA$3,実績!$AC$6:$AC$505,"&lt;="&amp;$A199,実績!$AD$6:$AD$505,"&gt;"&amp;$A199,実績!$AE$6:$AE$505,"○")&gt;0,1,0))</f>
        <v/>
      </c>
      <c r="CB199">
        <f>IF(CB$4=0,0,IF(COUNTIFS(実績!$W$6:$W$505,CB$3,実績!$AC$6:$AC$505,"&lt;="&amp;$A199,実績!$AD$6:$AD$505,"&gt;"&amp;$A199,実績!$AE$6:$AE$505,"○")&gt;0,1,0))</f>
        <v/>
      </c>
      <c r="CC199">
        <f>IF(CC$4=0,0,IF(COUNTIFS(実績!$W$6:$W$505,CC$3,実績!$AC$6:$AC$505,"&lt;="&amp;$A199,実績!$AD$6:$AD$505,"&gt;"&amp;$A199,実績!$AE$6:$AE$505,"○")&gt;0,1,0))</f>
        <v/>
      </c>
      <c r="CD199">
        <f>IF(CD$4=0,0,IF(COUNTIFS(実績!$W$6:$W$505,CD$3,実績!$AC$6:$AC$505,"&lt;="&amp;$A199,実績!$AD$6:$AD$505,"&gt;"&amp;$A199,実績!$AE$6:$AE$505,"○")&gt;0,1,0))</f>
        <v/>
      </c>
      <c r="CE199">
        <f>IF(CE$4=0,0,IF(COUNTIFS(実績!$W$6:$W$505,CE$3,実績!$AC$6:$AC$505,"&lt;="&amp;$A199,実績!$AD$6:$AD$505,"&gt;"&amp;$A199,実績!$AE$6:$AE$505,"○")&gt;0,1,0))</f>
        <v/>
      </c>
      <c r="CF199">
        <f>IF(CF$4=0,0,IF(COUNTIFS(実績!$W$6:$W$505,CF$3,実績!$AC$6:$AC$505,"&lt;="&amp;$A199,実績!$AD$6:$AD$505,"&gt;"&amp;$A199,実績!$AE$6:$AE$505,"○")&gt;0,1,0))</f>
        <v/>
      </c>
      <c r="CG199">
        <f>IF(CG$4=0,0,IF(COUNTIFS(実績!$W$6:$W$505,CG$3,実績!$AC$6:$AC$505,"&lt;="&amp;$A199,実績!$AD$6:$AD$505,"&gt;"&amp;$A199,実績!$AE$6:$AE$505,"○")&gt;0,1,0))</f>
        <v/>
      </c>
      <c r="CH199">
        <f>IF(CH$4=0,0,IF(COUNTIFS(実績!$W$6:$W$505,CH$3,実績!$AC$6:$AC$505,"&lt;="&amp;$A199,実績!$AD$6:$AD$505,"&gt;"&amp;$A199,実績!$AE$6:$AE$505,"○")&gt;0,1,0))</f>
        <v/>
      </c>
      <c r="CI199">
        <f>IF(CI$4=0,0,IF(COUNTIFS(実績!$W$6:$W$505,CI$3,実績!$AC$6:$AC$505,"&lt;="&amp;$A199,実績!$AD$6:$AD$505,"&gt;"&amp;$A199,実績!$AE$6:$AE$505,"○")&gt;0,1,0))</f>
        <v/>
      </c>
      <c r="CJ199">
        <f>IF(CJ$4=0,0,IF(COUNTIFS(実績!$W$6:$W$505,CJ$3,実績!$AC$6:$AC$505,"&lt;="&amp;$A199,実績!$AD$6:$AD$505,"&gt;"&amp;$A199,実績!$AE$6:$AE$505,"○")&gt;0,1,0))</f>
        <v/>
      </c>
      <c r="CK199">
        <f>IF(CK$4=0,0,IF(COUNTIFS(実績!$W$6:$W$505,CK$3,実績!$AC$6:$AC$505,"&lt;="&amp;$A199,実績!$AD$6:$AD$505,"&gt;"&amp;$A199,実績!$AE$6:$AE$505,"○")&gt;0,1,0))</f>
        <v/>
      </c>
      <c r="CL199">
        <f>IF(CL$4=0,0,IF(COUNTIFS(実績!$W$6:$W$505,CL$3,実績!$AC$6:$AC$505,"&lt;="&amp;$A199,実績!$AD$6:$AD$505,"&gt;"&amp;$A199,実績!$AE$6:$AE$505,"○")&gt;0,1,0))</f>
        <v/>
      </c>
      <c r="CM199">
        <f>IF(CM$4=0,0,IF(COUNTIFS(実績!$W$6:$W$505,CM$3,実績!$AC$6:$AC$505,"&lt;="&amp;$A199,実績!$AD$6:$AD$505,"&gt;"&amp;$A199,実績!$AE$6:$AE$505,"○")&gt;0,1,0))</f>
        <v/>
      </c>
      <c r="CN199">
        <f>IF(CN$4=0,0,IF(COUNTIFS(実績!$W$6:$W$505,CN$3,実績!$AC$6:$AC$505,"&lt;="&amp;$A199,実績!$AD$6:$AD$505,"&gt;"&amp;$A199,実績!$AE$6:$AE$505,"○")&gt;0,1,0))</f>
        <v/>
      </c>
      <c r="CO199">
        <f>IF(CO$4=0,0,IF(COUNTIFS(実績!$W$6:$W$505,CO$3,実績!$AC$6:$AC$505,"&lt;="&amp;$A199,実績!$AD$6:$AD$505,"&gt;"&amp;$A199,実績!$AE$6:$AE$505,"○")&gt;0,1,0))</f>
        <v/>
      </c>
      <c r="CP199">
        <f>IF(CP$4=0,0,IF(COUNTIFS(実績!$W$6:$W$505,CP$3,実績!$AC$6:$AC$505,"&lt;="&amp;$A199,実績!$AD$6:$AD$505,"&gt;"&amp;$A199,実績!$AE$6:$AE$505,"○")&gt;0,1,0))</f>
        <v/>
      </c>
      <c r="CQ199">
        <f>IF(CQ$4=0,0,IF(COUNTIFS(実績!$W$6:$W$505,CQ$3,実績!$AC$6:$AC$505,"&lt;="&amp;$A199,実績!$AD$6:$AD$505,"&gt;"&amp;$A199,実績!$AE$6:$AE$505,"○")&gt;0,1,0))</f>
        <v/>
      </c>
      <c r="CR199">
        <f>IF(CR$4=0,0,IF(COUNTIFS(実績!$W$6:$W$505,CR$3,実績!$AC$6:$AC$505,"&lt;="&amp;$A199,実績!$AD$6:$AD$505,"&gt;"&amp;$A199,実績!$AE$6:$AE$505,"○")&gt;0,1,0))</f>
        <v/>
      </c>
      <c r="CS199">
        <f>IF(CS$4=0,0,IF(COUNTIFS(実績!$W$6:$W$505,CS$3,実績!$AC$6:$AC$505,"&lt;="&amp;$A199,実績!$AD$6:$AD$505,"&gt;"&amp;$A199,実績!$AE$6:$AE$505,"○")&gt;0,1,0))</f>
        <v/>
      </c>
      <c r="CT199">
        <f>IF(CT$4=0,0,IF(COUNTIFS(実績!$W$6:$W$505,CT$3,実績!$AC$6:$AC$505,"&lt;="&amp;$A199,実績!$AD$6:$AD$505,"&gt;"&amp;$A199,実績!$AE$6:$AE$505,"○")&gt;0,1,0))</f>
        <v/>
      </c>
      <c r="CU199">
        <f>IF(CU$4=0,0,IF(COUNTIFS(実績!$W$6:$W$505,CU$3,実績!$AC$6:$AC$505,"&lt;="&amp;$A199,実績!$AD$6:$AD$505,"&gt;"&amp;$A199,実績!$AE$6:$AE$505,"○")&gt;0,1,0))</f>
        <v/>
      </c>
      <c r="CV199">
        <f>IF(CV$4=0,0,IF(COUNTIFS(実績!$W$6:$W$505,CV$3,実績!$AC$6:$AC$505,"&lt;="&amp;$A199,実績!$AD$6:$AD$505,"&gt;"&amp;$A199,実績!$AE$6:$AE$505,"○")&gt;0,1,0))</f>
        <v/>
      </c>
      <c r="CW199">
        <f>IF(CW$4=0,0,IF(COUNTIFS(実績!$W$6:$W$505,CW$3,実績!$AC$6:$AC$505,"&lt;="&amp;$A199,実績!$AD$6:$AD$505,"&gt;"&amp;$A199,実績!$AE$6:$AE$505,"○")&gt;0,1,0))</f>
        <v/>
      </c>
      <c r="CX199">
        <f>IF(CX$4=0,0,IF(COUNTIFS(実績!$W$6:$W$505,CX$3,実績!$AC$6:$AC$505,"&lt;="&amp;$A199,実績!$AD$6:$AD$505,"&gt;"&amp;$A199,実績!$AE$6:$AE$505,"○")&gt;0,1,0))</f>
        <v/>
      </c>
      <c r="CY199">
        <f>IF(CY$4=0,0,IF(COUNTIFS(実績!$W$6:$W$505,CY$3,実績!$AC$6:$AC$505,"&lt;="&amp;$A199,実績!$AD$6:$AD$505,"&gt;"&amp;$A199,実績!$AE$6:$AE$505,"○")&gt;0,1,0))</f>
        <v/>
      </c>
      <c r="CZ199">
        <f>IF(CZ$4=0,0,IF(COUNTIFS(実績!$W$6:$W$505,CZ$3,実績!$AC$6:$AC$505,"&lt;="&amp;$A199,実績!$AD$6:$AD$505,"&gt;"&amp;$A199,実績!$AE$6:$AE$505,"○")&gt;0,1,0))</f>
        <v/>
      </c>
      <c r="DA199">
        <f>IF(DA$4=0,0,IF(COUNTIFS(実績!$W$6:$W$505,DA$3,実績!$AC$6:$AC$505,"&lt;="&amp;$A199,実績!$AD$6:$AD$505,"&gt;"&amp;$A199,実績!$AE$6:$AE$505,"○")&gt;0,1,0))</f>
        <v/>
      </c>
      <c r="DB199">
        <f>IF(DB$4=0,0,IF(COUNTIFS(実績!$W$6:$W$505,DB$3,実績!$AC$6:$AC$505,"&lt;="&amp;$A199,実績!$AD$6:$AD$505,"&gt;"&amp;$A199,実績!$AE$6:$AE$505,"○")&gt;0,1,0))</f>
        <v/>
      </c>
      <c r="DC199">
        <f>IF(DC$4=0,0,IF(COUNTIFS(実績!$W$6:$W$505,DC$3,実績!$AC$6:$AC$505,"&lt;="&amp;$A199,実績!$AD$6:$AD$505,"&gt;"&amp;$A199,実績!$AE$6:$AE$505,"○")&gt;0,1,0))</f>
        <v/>
      </c>
      <c r="DD199">
        <f>IF(DD$4=0,0,IF(COUNTIFS(実績!$W$6:$W$505,DD$3,実績!$AC$6:$AC$505,"&lt;="&amp;$A199,実績!$AD$6:$AD$505,"&gt;"&amp;$A199,実績!$AE$6:$AE$505,"○")&gt;0,1,0))</f>
        <v/>
      </c>
      <c r="DE199">
        <f>IF(DE$4=0,0,IF(COUNTIFS(実績!$W$6:$W$505,DE$3,実績!$AC$6:$AC$505,"&lt;="&amp;$A199,実績!$AD$6:$AD$505,"&gt;"&amp;$A199,実績!$AE$6:$AE$505,"○")&gt;0,1,0))</f>
        <v/>
      </c>
      <c r="DF199">
        <f>IF(DF$4=0,0,IF(COUNTIFS(実績!$W$6:$W$505,DF$3,実績!$AC$6:$AC$505,"&lt;="&amp;$A199,実績!$AD$6:$AD$505,"&gt;"&amp;$A199,実績!$AE$6:$AE$505,"○")&gt;0,1,0))</f>
        <v/>
      </c>
      <c r="DG199">
        <f>IF(DG$4=0,0,IF(COUNTIFS(実績!$W$6:$W$505,DG$3,実績!$AC$6:$AC$505,"&lt;="&amp;$A199,実績!$AD$6:$AD$505,"&gt;"&amp;$A199,実績!$AE$6:$AE$505,"○")&gt;0,1,0))</f>
        <v/>
      </c>
      <c r="DH199">
        <f>IF(DH$4=0,0,IF(COUNTIFS(実績!$W$6:$W$505,DH$3,実績!$AC$6:$AC$505,"&lt;="&amp;$A199,実績!$AD$6:$AD$505,"&gt;"&amp;$A199,実績!$AE$6:$AE$505,"○")&gt;0,1,0))</f>
        <v/>
      </c>
      <c r="DI199">
        <f>IF(DI$4=0,0,IF(COUNTIFS(実績!$W$6:$W$505,DI$3,実績!$AC$6:$AC$505,"&lt;="&amp;$A199,実績!$AD$6:$AD$505,"&gt;"&amp;$A199,実績!$AE$6:$AE$505,"○")&gt;0,1,0))</f>
        <v/>
      </c>
      <c r="DJ199">
        <f>IF(DJ$4=0,0,IF(COUNTIFS(実績!$W$6:$W$505,DJ$3,実績!$AC$6:$AC$505,"&lt;="&amp;$A199,実績!$AD$6:$AD$505,"&gt;"&amp;$A199,実績!$AE$6:$AE$505,"○")&gt;0,1,0))</f>
        <v/>
      </c>
      <c r="DK199">
        <f>IF(DK$4=0,0,IF(COUNTIFS(実績!$W$6:$W$505,DK$3,実績!$AC$6:$AC$505,"&lt;="&amp;$A199,実績!$AD$6:$AD$505,"&gt;"&amp;$A199,実績!$AE$6:$AE$505,"○")&gt;0,1,0))</f>
        <v/>
      </c>
      <c r="DL199">
        <f>IF(DL$4=0,0,IF(COUNTIFS(実績!$W$6:$W$505,DL$3,実績!$AC$6:$AC$505,"&lt;="&amp;$A199,実績!$AD$6:$AD$505,"&gt;"&amp;$A199,実績!$AE$6:$AE$505,"○")&gt;0,1,0))</f>
        <v/>
      </c>
      <c r="DM199">
        <f>IF(DM$4=0,0,IF(COUNTIFS(実績!$W$6:$W$505,DM$3,実績!$AC$6:$AC$505,"&lt;="&amp;$A199,実績!$AD$6:$AD$505,"&gt;"&amp;$A199,実績!$AE$6:$AE$505,"○")&gt;0,1,0))</f>
        <v/>
      </c>
      <c r="DN199">
        <f>IF(DN$4=0,0,IF(COUNTIFS(実績!$W$6:$W$505,DN$3,実績!$AC$6:$AC$505,"&lt;="&amp;$A199,実績!$AD$6:$AD$505,"&gt;"&amp;$A199,実績!$AE$6:$AE$505,"○")&gt;0,1,0))</f>
        <v/>
      </c>
      <c r="DO199">
        <f>IF(DO$4=0,0,IF(COUNTIFS(実績!$W$6:$W$505,DO$3,実績!$AC$6:$AC$505,"&lt;="&amp;$A199,実績!$AD$6:$AD$505,"&gt;"&amp;$A199,実績!$AE$6:$AE$505,"○")&gt;0,1,0))</f>
        <v/>
      </c>
      <c r="DP199">
        <f>IF(DP$4=0,0,IF(COUNTIFS(実績!$W$6:$W$505,DP$3,実績!$AC$6:$AC$505,"&lt;="&amp;$A199,実績!$AD$6:$AD$505,"&gt;"&amp;$A199,実績!$AE$6:$AE$505,"○")&gt;0,1,0))</f>
        <v/>
      </c>
      <c r="DQ199">
        <f>IF(DQ$4=0,0,IF(COUNTIFS(実績!$W$6:$W$505,DQ$3,実績!$AC$6:$AC$505,"&lt;="&amp;$A199,実績!$AD$6:$AD$505,"&gt;"&amp;$A199,実績!$AE$6:$AE$505,"○")&gt;0,1,0))</f>
        <v/>
      </c>
      <c r="DR199">
        <f>IF(DR$4=0,0,IF(COUNTIFS(実績!$W$6:$W$505,DR$3,実績!$AC$6:$AC$505,"&lt;="&amp;$A199,実績!$AD$6:$AD$505,"&gt;"&amp;$A199,実績!$AE$6:$AE$505,"○")&gt;0,1,0))</f>
        <v/>
      </c>
      <c r="DS199">
        <f>SUM(C199:DR199)</f>
        <v/>
      </c>
      <c r="DT199">
        <f>SUMPRODUCT((実績!$C$6:$C$505="○")*ISNUMBER(実績!$AF$6:$AF$505)*(実績!$AF$6:$AF$505&lt;=$A199)*(実績!$AG$6:$AG$505&gt;$A199))</f>
        <v/>
      </c>
      <c r="DU199">
        <f>SUMIF($C$2:$DR$2,"製鉄曳船",C199:DR199)</f>
        <v/>
      </c>
      <c r="DV199">
        <f>SUMIF($C$2:$DR$2,"西日本海運",C199:DR199)</f>
        <v/>
      </c>
    </row>
    <row r="200">
      <c r="A200" t="n">
        <v>970</v>
      </c>
      <c r="B200" s="29">
        <f>A200/1440</f>
        <v/>
      </c>
      <c r="C200">
        <f>IF(C$4=0,0,IF(COUNTIFS(実績!$W$6:$W$505,C$3,実績!$AC$6:$AC$505,"&lt;="&amp;$A200,実績!$AD$6:$AD$505,"&gt;"&amp;$A200,実績!$AE$6:$AE$505,"○")&gt;0,1,0))</f>
        <v/>
      </c>
      <c r="D200">
        <f>IF(D$4=0,0,IF(COUNTIFS(実績!$W$6:$W$505,D$3,実績!$AC$6:$AC$505,"&lt;="&amp;$A200,実績!$AD$6:$AD$505,"&gt;"&amp;$A200,実績!$AE$6:$AE$505,"○")&gt;0,1,0))</f>
        <v/>
      </c>
      <c r="E200">
        <f>IF(E$4=0,0,IF(COUNTIFS(実績!$W$6:$W$505,E$3,実績!$AC$6:$AC$505,"&lt;="&amp;$A200,実績!$AD$6:$AD$505,"&gt;"&amp;$A200,実績!$AE$6:$AE$505,"○")&gt;0,1,0))</f>
        <v/>
      </c>
      <c r="F200">
        <f>IF(F$4=0,0,IF(COUNTIFS(実績!$W$6:$W$505,F$3,実績!$AC$6:$AC$505,"&lt;="&amp;$A200,実績!$AD$6:$AD$505,"&gt;"&amp;$A200,実績!$AE$6:$AE$505,"○")&gt;0,1,0))</f>
        <v/>
      </c>
      <c r="G200">
        <f>IF(G$4=0,0,IF(COUNTIFS(実績!$W$6:$W$505,G$3,実績!$AC$6:$AC$505,"&lt;="&amp;$A200,実績!$AD$6:$AD$505,"&gt;"&amp;$A200,実績!$AE$6:$AE$505,"○")&gt;0,1,0))</f>
        <v/>
      </c>
      <c r="H200">
        <f>IF(H$4=0,0,IF(COUNTIFS(実績!$W$6:$W$505,H$3,実績!$AC$6:$AC$505,"&lt;="&amp;$A200,実績!$AD$6:$AD$505,"&gt;"&amp;$A200,実績!$AE$6:$AE$505,"○")&gt;0,1,0))</f>
        <v/>
      </c>
      <c r="I200">
        <f>IF(I$4=0,0,IF(COUNTIFS(実績!$W$6:$W$505,I$3,実績!$AC$6:$AC$505,"&lt;="&amp;$A200,実績!$AD$6:$AD$505,"&gt;"&amp;$A200,実績!$AE$6:$AE$505,"○")&gt;0,1,0))</f>
        <v/>
      </c>
      <c r="J200">
        <f>IF(J$4=0,0,IF(COUNTIFS(実績!$W$6:$W$505,J$3,実績!$AC$6:$AC$505,"&lt;="&amp;$A200,実績!$AD$6:$AD$505,"&gt;"&amp;$A200,実績!$AE$6:$AE$505,"○")&gt;0,1,0))</f>
        <v/>
      </c>
      <c r="K200">
        <f>IF(K$4=0,0,IF(COUNTIFS(実績!$W$6:$W$505,K$3,実績!$AC$6:$AC$505,"&lt;="&amp;$A200,実績!$AD$6:$AD$505,"&gt;"&amp;$A200,実績!$AE$6:$AE$505,"○")&gt;0,1,0))</f>
        <v/>
      </c>
      <c r="L200">
        <f>IF(L$4=0,0,IF(COUNTIFS(実績!$W$6:$W$505,L$3,実績!$AC$6:$AC$505,"&lt;="&amp;$A200,実績!$AD$6:$AD$505,"&gt;"&amp;$A200,実績!$AE$6:$AE$505,"○")&gt;0,1,0))</f>
        <v/>
      </c>
      <c r="M200">
        <f>IF(M$4=0,0,IF(COUNTIFS(実績!$W$6:$W$505,M$3,実績!$AC$6:$AC$505,"&lt;="&amp;$A200,実績!$AD$6:$AD$505,"&gt;"&amp;$A200,実績!$AE$6:$AE$505,"○")&gt;0,1,0))</f>
        <v/>
      </c>
      <c r="N200">
        <f>IF(N$4=0,0,IF(COUNTIFS(実績!$W$6:$W$505,N$3,実績!$AC$6:$AC$505,"&lt;="&amp;$A200,実績!$AD$6:$AD$505,"&gt;"&amp;$A200,実績!$AE$6:$AE$505,"○")&gt;0,1,0))</f>
        <v/>
      </c>
      <c r="O200">
        <f>IF(O$4=0,0,IF(COUNTIFS(実績!$W$6:$W$505,O$3,実績!$AC$6:$AC$505,"&lt;="&amp;$A200,実績!$AD$6:$AD$505,"&gt;"&amp;$A200,実績!$AE$6:$AE$505,"○")&gt;0,1,0))</f>
        <v/>
      </c>
      <c r="P200">
        <f>IF(P$4=0,0,IF(COUNTIFS(実績!$W$6:$W$505,P$3,実績!$AC$6:$AC$505,"&lt;="&amp;$A200,実績!$AD$6:$AD$505,"&gt;"&amp;$A200,実績!$AE$6:$AE$505,"○")&gt;0,1,0))</f>
        <v/>
      </c>
      <c r="Q200">
        <f>IF(Q$4=0,0,IF(COUNTIFS(実績!$W$6:$W$505,Q$3,実績!$AC$6:$AC$505,"&lt;="&amp;$A200,実績!$AD$6:$AD$505,"&gt;"&amp;$A200,実績!$AE$6:$AE$505,"○")&gt;0,1,0))</f>
        <v/>
      </c>
      <c r="R200">
        <f>IF(R$4=0,0,IF(COUNTIFS(実績!$W$6:$W$505,R$3,実績!$AC$6:$AC$505,"&lt;="&amp;$A200,実績!$AD$6:$AD$505,"&gt;"&amp;$A200,実績!$AE$6:$AE$505,"○")&gt;0,1,0))</f>
        <v/>
      </c>
      <c r="S200">
        <f>IF(S$4=0,0,IF(COUNTIFS(実績!$W$6:$W$505,S$3,実績!$AC$6:$AC$505,"&lt;="&amp;$A200,実績!$AD$6:$AD$505,"&gt;"&amp;$A200,実績!$AE$6:$AE$505,"○")&gt;0,1,0))</f>
        <v/>
      </c>
      <c r="T200">
        <f>IF(T$4=0,0,IF(COUNTIFS(実績!$W$6:$W$505,T$3,実績!$AC$6:$AC$505,"&lt;="&amp;$A200,実績!$AD$6:$AD$505,"&gt;"&amp;$A200,実績!$AE$6:$AE$505,"○")&gt;0,1,0))</f>
        <v/>
      </c>
      <c r="U200">
        <f>IF(U$4=0,0,IF(COUNTIFS(実績!$W$6:$W$505,U$3,実績!$AC$6:$AC$505,"&lt;="&amp;$A200,実績!$AD$6:$AD$505,"&gt;"&amp;$A200,実績!$AE$6:$AE$505,"○")&gt;0,1,0))</f>
        <v/>
      </c>
      <c r="V200">
        <f>IF(V$4=0,0,IF(COUNTIFS(実績!$W$6:$W$505,V$3,実績!$AC$6:$AC$505,"&lt;="&amp;$A200,実績!$AD$6:$AD$505,"&gt;"&amp;$A200,実績!$AE$6:$AE$505,"○")&gt;0,1,0))</f>
        <v/>
      </c>
      <c r="W200">
        <f>IF(W$4=0,0,IF(COUNTIFS(実績!$W$6:$W$505,W$3,実績!$AC$6:$AC$505,"&lt;="&amp;$A200,実績!$AD$6:$AD$505,"&gt;"&amp;$A200,実績!$AE$6:$AE$505,"○")&gt;0,1,0))</f>
        <v/>
      </c>
      <c r="X200">
        <f>IF(X$4=0,0,IF(COUNTIFS(実績!$W$6:$W$505,X$3,実績!$AC$6:$AC$505,"&lt;="&amp;$A200,実績!$AD$6:$AD$505,"&gt;"&amp;$A200,実績!$AE$6:$AE$505,"○")&gt;0,1,0))</f>
        <v/>
      </c>
      <c r="Y200">
        <f>IF(Y$4=0,0,IF(COUNTIFS(実績!$W$6:$W$505,Y$3,実績!$AC$6:$AC$505,"&lt;="&amp;$A200,実績!$AD$6:$AD$505,"&gt;"&amp;$A200,実績!$AE$6:$AE$505,"○")&gt;0,1,0))</f>
        <v/>
      </c>
      <c r="Z200">
        <f>IF(Z$4=0,0,IF(COUNTIFS(実績!$W$6:$W$505,Z$3,実績!$AC$6:$AC$505,"&lt;="&amp;$A200,実績!$AD$6:$AD$505,"&gt;"&amp;$A200,実績!$AE$6:$AE$505,"○")&gt;0,1,0))</f>
        <v/>
      </c>
      <c r="AA200">
        <f>IF(AA$4=0,0,IF(COUNTIFS(実績!$W$6:$W$505,AA$3,実績!$AC$6:$AC$505,"&lt;="&amp;$A200,実績!$AD$6:$AD$505,"&gt;"&amp;$A200,実績!$AE$6:$AE$505,"○")&gt;0,1,0))</f>
        <v/>
      </c>
      <c r="AB200">
        <f>IF(AB$4=0,0,IF(COUNTIFS(実績!$W$6:$W$505,AB$3,実績!$AC$6:$AC$505,"&lt;="&amp;$A200,実績!$AD$6:$AD$505,"&gt;"&amp;$A200,実績!$AE$6:$AE$505,"○")&gt;0,1,0))</f>
        <v/>
      </c>
      <c r="AC200">
        <f>IF(AC$4=0,0,IF(COUNTIFS(実績!$W$6:$W$505,AC$3,実績!$AC$6:$AC$505,"&lt;="&amp;$A200,実績!$AD$6:$AD$505,"&gt;"&amp;$A200,実績!$AE$6:$AE$505,"○")&gt;0,1,0))</f>
        <v/>
      </c>
      <c r="AD200">
        <f>IF(AD$4=0,0,IF(COUNTIFS(実績!$W$6:$W$505,AD$3,実績!$AC$6:$AC$505,"&lt;="&amp;$A200,実績!$AD$6:$AD$505,"&gt;"&amp;$A200,実績!$AE$6:$AE$505,"○")&gt;0,1,0))</f>
        <v/>
      </c>
      <c r="AE200">
        <f>IF(AE$4=0,0,IF(COUNTIFS(実績!$W$6:$W$505,AE$3,実績!$AC$6:$AC$505,"&lt;="&amp;$A200,実績!$AD$6:$AD$505,"&gt;"&amp;$A200,実績!$AE$6:$AE$505,"○")&gt;0,1,0))</f>
        <v/>
      </c>
      <c r="AF200">
        <f>IF(AF$4=0,0,IF(COUNTIFS(実績!$W$6:$W$505,AF$3,実績!$AC$6:$AC$505,"&lt;="&amp;$A200,実績!$AD$6:$AD$505,"&gt;"&amp;$A200,実績!$AE$6:$AE$505,"○")&gt;0,1,0))</f>
        <v/>
      </c>
      <c r="AG200">
        <f>IF(AG$4=0,0,IF(COUNTIFS(実績!$W$6:$W$505,AG$3,実績!$AC$6:$AC$505,"&lt;="&amp;$A200,実績!$AD$6:$AD$505,"&gt;"&amp;$A200,実績!$AE$6:$AE$505,"○")&gt;0,1,0))</f>
        <v/>
      </c>
      <c r="AH200">
        <f>IF(AH$4=0,0,IF(COUNTIFS(実績!$W$6:$W$505,AH$3,実績!$AC$6:$AC$505,"&lt;="&amp;$A200,実績!$AD$6:$AD$505,"&gt;"&amp;$A200,実績!$AE$6:$AE$505,"○")&gt;0,1,0))</f>
        <v/>
      </c>
      <c r="AI200">
        <f>IF(AI$4=0,0,IF(COUNTIFS(実績!$W$6:$W$505,AI$3,実績!$AC$6:$AC$505,"&lt;="&amp;$A200,実績!$AD$6:$AD$505,"&gt;"&amp;$A200,実績!$AE$6:$AE$505,"○")&gt;0,1,0))</f>
        <v/>
      </c>
      <c r="AJ200">
        <f>IF(AJ$4=0,0,IF(COUNTIFS(実績!$W$6:$W$505,AJ$3,実績!$AC$6:$AC$505,"&lt;="&amp;$A200,実績!$AD$6:$AD$505,"&gt;"&amp;$A200,実績!$AE$6:$AE$505,"○")&gt;0,1,0))</f>
        <v/>
      </c>
      <c r="AK200">
        <f>IF(AK$4=0,0,IF(COUNTIFS(実績!$W$6:$W$505,AK$3,実績!$AC$6:$AC$505,"&lt;="&amp;$A200,実績!$AD$6:$AD$505,"&gt;"&amp;$A200,実績!$AE$6:$AE$505,"○")&gt;0,1,0))</f>
        <v/>
      </c>
      <c r="AL200">
        <f>IF(AL$4=0,0,IF(COUNTIFS(実績!$W$6:$W$505,AL$3,実績!$AC$6:$AC$505,"&lt;="&amp;$A200,実績!$AD$6:$AD$505,"&gt;"&amp;$A200,実績!$AE$6:$AE$505,"○")&gt;0,1,0))</f>
        <v/>
      </c>
      <c r="AM200">
        <f>IF(AM$4=0,0,IF(COUNTIFS(実績!$W$6:$W$505,AM$3,実績!$AC$6:$AC$505,"&lt;="&amp;$A200,実績!$AD$6:$AD$505,"&gt;"&amp;$A200,実績!$AE$6:$AE$505,"○")&gt;0,1,0))</f>
        <v/>
      </c>
      <c r="AN200">
        <f>IF(AN$4=0,0,IF(COUNTIFS(実績!$W$6:$W$505,AN$3,実績!$AC$6:$AC$505,"&lt;="&amp;$A200,実績!$AD$6:$AD$505,"&gt;"&amp;$A200,実績!$AE$6:$AE$505,"○")&gt;0,1,0))</f>
        <v/>
      </c>
      <c r="AO200">
        <f>IF(AO$4=0,0,IF(COUNTIFS(実績!$W$6:$W$505,AO$3,実績!$AC$6:$AC$505,"&lt;="&amp;$A200,実績!$AD$6:$AD$505,"&gt;"&amp;$A200,実績!$AE$6:$AE$505,"○")&gt;0,1,0))</f>
        <v/>
      </c>
      <c r="AP200">
        <f>IF(AP$4=0,0,IF(COUNTIFS(実績!$W$6:$W$505,AP$3,実績!$AC$6:$AC$505,"&lt;="&amp;$A200,実績!$AD$6:$AD$505,"&gt;"&amp;$A200,実績!$AE$6:$AE$505,"○")&gt;0,1,0))</f>
        <v/>
      </c>
      <c r="AQ200">
        <f>IF(AQ$4=0,0,IF(COUNTIFS(実績!$W$6:$W$505,AQ$3,実績!$AC$6:$AC$505,"&lt;="&amp;$A200,実績!$AD$6:$AD$505,"&gt;"&amp;$A200,実績!$AE$6:$AE$505,"○")&gt;0,1,0))</f>
        <v/>
      </c>
      <c r="AR200">
        <f>IF(AR$4=0,0,IF(COUNTIFS(実績!$W$6:$W$505,AR$3,実績!$AC$6:$AC$505,"&lt;="&amp;$A200,実績!$AD$6:$AD$505,"&gt;"&amp;$A200,実績!$AE$6:$AE$505,"○")&gt;0,1,0))</f>
        <v/>
      </c>
      <c r="AS200">
        <f>IF(AS$4=0,0,IF(COUNTIFS(実績!$W$6:$W$505,AS$3,実績!$AC$6:$AC$505,"&lt;="&amp;$A200,実績!$AD$6:$AD$505,"&gt;"&amp;$A200,実績!$AE$6:$AE$505,"○")&gt;0,1,0))</f>
        <v/>
      </c>
      <c r="AT200">
        <f>IF(AT$4=0,0,IF(COUNTIFS(実績!$W$6:$W$505,AT$3,実績!$AC$6:$AC$505,"&lt;="&amp;$A200,実績!$AD$6:$AD$505,"&gt;"&amp;$A200,実績!$AE$6:$AE$505,"○")&gt;0,1,0))</f>
        <v/>
      </c>
      <c r="AU200">
        <f>IF(AU$4=0,0,IF(COUNTIFS(実績!$W$6:$W$505,AU$3,実績!$AC$6:$AC$505,"&lt;="&amp;$A200,実績!$AD$6:$AD$505,"&gt;"&amp;$A200,実績!$AE$6:$AE$505,"○")&gt;0,1,0))</f>
        <v/>
      </c>
      <c r="AV200">
        <f>IF(AV$4=0,0,IF(COUNTIFS(実績!$W$6:$W$505,AV$3,実績!$AC$6:$AC$505,"&lt;="&amp;$A200,実績!$AD$6:$AD$505,"&gt;"&amp;$A200,実績!$AE$6:$AE$505,"○")&gt;0,1,0))</f>
        <v/>
      </c>
      <c r="AW200">
        <f>IF(AW$4=0,0,IF(COUNTIFS(実績!$W$6:$W$505,AW$3,実績!$AC$6:$AC$505,"&lt;="&amp;$A200,実績!$AD$6:$AD$505,"&gt;"&amp;$A200,実績!$AE$6:$AE$505,"○")&gt;0,1,0))</f>
        <v/>
      </c>
      <c r="AX200">
        <f>IF(AX$4=0,0,IF(COUNTIFS(実績!$W$6:$W$505,AX$3,実績!$AC$6:$AC$505,"&lt;="&amp;$A200,実績!$AD$6:$AD$505,"&gt;"&amp;$A200,実績!$AE$6:$AE$505,"○")&gt;0,1,0))</f>
        <v/>
      </c>
      <c r="AY200">
        <f>IF(AY$4=0,0,IF(COUNTIFS(実績!$W$6:$W$505,AY$3,実績!$AC$6:$AC$505,"&lt;="&amp;$A200,実績!$AD$6:$AD$505,"&gt;"&amp;$A200,実績!$AE$6:$AE$505,"○")&gt;0,1,0))</f>
        <v/>
      </c>
      <c r="AZ200">
        <f>IF(AZ$4=0,0,IF(COUNTIFS(実績!$W$6:$W$505,AZ$3,実績!$AC$6:$AC$505,"&lt;="&amp;$A200,実績!$AD$6:$AD$505,"&gt;"&amp;$A200,実績!$AE$6:$AE$505,"○")&gt;0,1,0))</f>
        <v/>
      </c>
      <c r="BA200">
        <f>IF(BA$4=0,0,IF(COUNTIFS(実績!$W$6:$W$505,BA$3,実績!$AC$6:$AC$505,"&lt;="&amp;$A200,実績!$AD$6:$AD$505,"&gt;"&amp;$A200,実績!$AE$6:$AE$505,"○")&gt;0,1,0))</f>
        <v/>
      </c>
      <c r="BB200">
        <f>IF(BB$4=0,0,IF(COUNTIFS(実績!$W$6:$W$505,BB$3,実績!$AC$6:$AC$505,"&lt;="&amp;$A200,実績!$AD$6:$AD$505,"&gt;"&amp;$A200,実績!$AE$6:$AE$505,"○")&gt;0,1,0))</f>
        <v/>
      </c>
      <c r="BC200">
        <f>IF(BC$4=0,0,IF(COUNTIFS(実績!$W$6:$W$505,BC$3,実績!$AC$6:$AC$505,"&lt;="&amp;$A200,実績!$AD$6:$AD$505,"&gt;"&amp;$A200,実績!$AE$6:$AE$505,"○")&gt;0,1,0))</f>
        <v/>
      </c>
      <c r="BD200">
        <f>IF(BD$4=0,0,IF(COUNTIFS(実績!$W$6:$W$505,BD$3,実績!$AC$6:$AC$505,"&lt;="&amp;$A200,実績!$AD$6:$AD$505,"&gt;"&amp;$A200,実績!$AE$6:$AE$505,"○")&gt;0,1,0))</f>
        <v/>
      </c>
      <c r="BE200">
        <f>IF(BE$4=0,0,IF(COUNTIFS(実績!$W$6:$W$505,BE$3,実績!$AC$6:$AC$505,"&lt;="&amp;$A200,実績!$AD$6:$AD$505,"&gt;"&amp;$A200,実績!$AE$6:$AE$505,"○")&gt;0,1,0))</f>
        <v/>
      </c>
      <c r="BF200">
        <f>IF(BF$4=0,0,IF(COUNTIFS(実績!$W$6:$W$505,BF$3,実績!$AC$6:$AC$505,"&lt;="&amp;$A200,実績!$AD$6:$AD$505,"&gt;"&amp;$A200,実績!$AE$6:$AE$505,"○")&gt;0,1,0))</f>
        <v/>
      </c>
      <c r="BG200">
        <f>IF(BG$4=0,0,IF(COUNTIFS(実績!$W$6:$W$505,BG$3,実績!$AC$6:$AC$505,"&lt;="&amp;$A200,実績!$AD$6:$AD$505,"&gt;"&amp;$A200,実績!$AE$6:$AE$505,"○")&gt;0,1,0))</f>
        <v/>
      </c>
      <c r="BH200">
        <f>IF(BH$4=0,0,IF(COUNTIFS(実績!$W$6:$W$505,BH$3,実績!$AC$6:$AC$505,"&lt;="&amp;$A200,実績!$AD$6:$AD$505,"&gt;"&amp;$A200,実績!$AE$6:$AE$505,"○")&gt;0,1,0))</f>
        <v/>
      </c>
      <c r="BI200">
        <f>IF(BI$4=0,0,IF(COUNTIFS(実績!$W$6:$W$505,BI$3,実績!$AC$6:$AC$505,"&lt;="&amp;$A200,実績!$AD$6:$AD$505,"&gt;"&amp;$A200,実績!$AE$6:$AE$505,"○")&gt;0,1,0))</f>
        <v/>
      </c>
      <c r="BJ200">
        <f>IF(BJ$4=0,0,IF(COUNTIFS(実績!$W$6:$W$505,BJ$3,実績!$AC$6:$AC$505,"&lt;="&amp;$A200,実績!$AD$6:$AD$505,"&gt;"&amp;$A200,実績!$AE$6:$AE$505,"○")&gt;0,1,0))</f>
        <v/>
      </c>
      <c r="BK200">
        <f>IF(BK$4=0,0,IF(COUNTIFS(実績!$W$6:$W$505,BK$3,実績!$AC$6:$AC$505,"&lt;="&amp;$A200,実績!$AD$6:$AD$505,"&gt;"&amp;$A200,実績!$AE$6:$AE$505,"○")&gt;0,1,0))</f>
        <v/>
      </c>
      <c r="BL200">
        <f>IF(BL$4=0,0,IF(COUNTIFS(実績!$W$6:$W$505,BL$3,実績!$AC$6:$AC$505,"&lt;="&amp;$A200,実績!$AD$6:$AD$505,"&gt;"&amp;$A200,実績!$AE$6:$AE$505,"○")&gt;0,1,0))</f>
        <v/>
      </c>
      <c r="BM200">
        <f>IF(BM$4=0,0,IF(COUNTIFS(実績!$W$6:$W$505,BM$3,実績!$AC$6:$AC$505,"&lt;="&amp;$A200,実績!$AD$6:$AD$505,"&gt;"&amp;$A200,実績!$AE$6:$AE$505,"○")&gt;0,1,0))</f>
        <v/>
      </c>
      <c r="BN200">
        <f>IF(BN$4=0,0,IF(COUNTIFS(実績!$W$6:$W$505,BN$3,実績!$AC$6:$AC$505,"&lt;="&amp;$A200,実績!$AD$6:$AD$505,"&gt;"&amp;$A200,実績!$AE$6:$AE$505,"○")&gt;0,1,0))</f>
        <v/>
      </c>
      <c r="BO200">
        <f>IF(BO$4=0,0,IF(COUNTIFS(実績!$W$6:$W$505,BO$3,実績!$AC$6:$AC$505,"&lt;="&amp;$A200,実績!$AD$6:$AD$505,"&gt;"&amp;$A200,実績!$AE$6:$AE$505,"○")&gt;0,1,0))</f>
        <v/>
      </c>
      <c r="BP200">
        <f>IF(BP$4=0,0,IF(COUNTIFS(実績!$W$6:$W$505,BP$3,実績!$AC$6:$AC$505,"&lt;="&amp;$A200,実績!$AD$6:$AD$505,"&gt;"&amp;$A200,実績!$AE$6:$AE$505,"○")&gt;0,1,0))</f>
        <v/>
      </c>
      <c r="BQ200">
        <f>IF(BQ$4=0,0,IF(COUNTIFS(実績!$W$6:$W$505,BQ$3,実績!$AC$6:$AC$505,"&lt;="&amp;$A200,実績!$AD$6:$AD$505,"&gt;"&amp;$A200,実績!$AE$6:$AE$505,"○")&gt;0,1,0))</f>
        <v/>
      </c>
      <c r="BR200">
        <f>IF(BR$4=0,0,IF(COUNTIFS(実績!$W$6:$W$505,BR$3,実績!$AC$6:$AC$505,"&lt;="&amp;$A200,実績!$AD$6:$AD$505,"&gt;"&amp;$A200,実績!$AE$6:$AE$505,"○")&gt;0,1,0))</f>
        <v/>
      </c>
      <c r="BS200">
        <f>IF(BS$4=0,0,IF(COUNTIFS(実績!$W$6:$W$505,BS$3,実績!$AC$6:$AC$505,"&lt;="&amp;$A200,実績!$AD$6:$AD$505,"&gt;"&amp;$A200,実績!$AE$6:$AE$505,"○")&gt;0,1,0))</f>
        <v/>
      </c>
      <c r="BT200">
        <f>IF(BT$4=0,0,IF(COUNTIFS(実績!$W$6:$W$505,BT$3,実績!$AC$6:$AC$505,"&lt;="&amp;$A200,実績!$AD$6:$AD$505,"&gt;"&amp;$A200,実績!$AE$6:$AE$505,"○")&gt;0,1,0))</f>
        <v/>
      </c>
      <c r="BU200">
        <f>IF(BU$4=0,0,IF(COUNTIFS(実績!$W$6:$W$505,BU$3,実績!$AC$6:$AC$505,"&lt;="&amp;$A200,実績!$AD$6:$AD$505,"&gt;"&amp;$A200,実績!$AE$6:$AE$505,"○")&gt;0,1,0))</f>
        <v/>
      </c>
      <c r="BV200">
        <f>IF(BV$4=0,0,IF(COUNTIFS(実績!$W$6:$W$505,BV$3,実績!$AC$6:$AC$505,"&lt;="&amp;$A200,実績!$AD$6:$AD$505,"&gt;"&amp;$A200,実績!$AE$6:$AE$505,"○")&gt;0,1,0))</f>
        <v/>
      </c>
      <c r="BW200">
        <f>IF(BW$4=0,0,IF(COUNTIFS(実績!$W$6:$W$505,BW$3,実績!$AC$6:$AC$505,"&lt;="&amp;$A200,実績!$AD$6:$AD$505,"&gt;"&amp;$A200,実績!$AE$6:$AE$505,"○")&gt;0,1,0))</f>
        <v/>
      </c>
      <c r="BX200">
        <f>IF(BX$4=0,0,IF(COUNTIFS(実績!$W$6:$W$505,BX$3,実績!$AC$6:$AC$505,"&lt;="&amp;$A200,実績!$AD$6:$AD$505,"&gt;"&amp;$A200,実績!$AE$6:$AE$505,"○")&gt;0,1,0))</f>
        <v/>
      </c>
      <c r="BY200">
        <f>IF(BY$4=0,0,IF(COUNTIFS(実績!$W$6:$W$505,BY$3,実績!$AC$6:$AC$505,"&lt;="&amp;$A200,実績!$AD$6:$AD$505,"&gt;"&amp;$A200,実績!$AE$6:$AE$505,"○")&gt;0,1,0))</f>
        <v/>
      </c>
      <c r="BZ200">
        <f>IF(BZ$4=0,0,IF(COUNTIFS(実績!$W$6:$W$505,BZ$3,実績!$AC$6:$AC$505,"&lt;="&amp;$A200,実績!$AD$6:$AD$505,"&gt;"&amp;$A200,実績!$AE$6:$AE$505,"○")&gt;0,1,0))</f>
        <v/>
      </c>
      <c r="CA200">
        <f>IF(CA$4=0,0,IF(COUNTIFS(実績!$W$6:$W$505,CA$3,実績!$AC$6:$AC$505,"&lt;="&amp;$A200,実績!$AD$6:$AD$505,"&gt;"&amp;$A200,実績!$AE$6:$AE$505,"○")&gt;0,1,0))</f>
        <v/>
      </c>
      <c r="CB200">
        <f>IF(CB$4=0,0,IF(COUNTIFS(実績!$W$6:$W$505,CB$3,実績!$AC$6:$AC$505,"&lt;="&amp;$A200,実績!$AD$6:$AD$505,"&gt;"&amp;$A200,実績!$AE$6:$AE$505,"○")&gt;0,1,0))</f>
        <v/>
      </c>
      <c r="CC200">
        <f>IF(CC$4=0,0,IF(COUNTIFS(実績!$W$6:$W$505,CC$3,実績!$AC$6:$AC$505,"&lt;="&amp;$A200,実績!$AD$6:$AD$505,"&gt;"&amp;$A200,実績!$AE$6:$AE$505,"○")&gt;0,1,0))</f>
        <v/>
      </c>
      <c r="CD200">
        <f>IF(CD$4=0,0,IF(COUNTIFS(実績!$W$6:$W$505,CD$3,実績!$AC$6:$AC$505,"&lt;="&amp;$A200,実績!$AD$6:$AD$505,"&gt;"&amp;$A200,実績!$AE$6:$AE$505,"○")&gt;0,1,0))</f>
        <v/>
      </c>
      <c r="CE200">
        <f>IF(CE$4=0,0,IF(COUNTIFS(実績!$W$6:$W$505,CE$3,実績!$AC$6:$AC$505,"&lt;="&amp;$A200,実績!$AD$6:$AD$505,"&gt;"&amp;$A200,実績!$AE$6:$AE$505,"○")&gt;0,1,0))</f>
        <v/>
      </c>
      <c r="CF200">
        <f>IF(CF$4=0,0,IF(COUNTIFS(実績!$W$6:$W$505,CF$3,実績!$AC$6:$AC$505,"&lt;="&amp;$A200,実績!$AD$6:$AD$505,"&gt;"&amp;$A200,実績!$AE$6:$AE$505,"○")&gt;0,1,0))</f>
        <v/>
      </c>
      <c r="CG200">
        <f>IF(CG$4=0,0,IF(COUNTIFS(実績!$W$6:$W$505,CG$3,実績!$AC$6:$AC$505,"&lt;="&amp;$A200,実績!$AD$6:$AD$505,"&gt;"&amp;$A200,実績!$AE$6:$AE$505,"○")&gt;0,1,0))</f>
        <v/>
      </c>
      <c r="CH200">
        <f>IF(CH$4=0,0,IF(COUNTIFS(実績!$W$6:$W$505,CH$3,実績!$AC$6:$AC$505,"&lt;="&amp;$A200,実績!$AD$6:$AD$505,"&gt;"&amp;$A200,実績!$AE$6:$AE$505,"○")&gt;0,1,0))</f>
        <v/>
      </c>
      <c r="CI200">
        <f>IF(CI$4=0,0,IF(COUNTIFS(実績!$W$6:$W$505,CI$3,実績!$AC$6:$AC$505,"&lt;="&amp;$A200,実績!$AD$6:$AD$505,"&gt;"&amp;$A200,実績!$AE$6:$AE$505,"○")&gt;0,1,0))</f>
        <v/>
      </c>
      <c r="CJ200">
        <f>IF(CJ$4=0,0,IF(COUNTIFS(実績!$W$6:$W$505,CJ$3,実績!$AC$6:$AC$505,"&lt;="&amp;$A200,実績!$AD$6:$AD$505,"&gt;"&amp;$A200,実績!$AE$6:$AE$505,"○")&gt;0,1,0))</f>
        <v/>
      </c>
      <c r="CK200">
        <f>IF(CK$4=0,0,IF(COUNTIFS(実績!$W$6:$W$505,CK$3,実績!$AC$6:$AC$505,"&lt;="&amp;$A200,実績!$AD$6:$AD$505,"&gt;"&amp;$A200,実績!$AE$6:$AE$505,"○")&gt;0,1,0))</f>
        <v/>
      </c>
      <c r="CL200">
        <f>IF(CL$4=0,0,IF(COUNTIFS(実績!$W$6:$W$505,CL$3,実績!$AC$6:$AC$505,"&lt;="&amp;$A200,実績!$AD$6:$AD$505,"&gt;"&amp;$A200,実績!$AE$6:$AE$505,"○")&gt;0,1,0))</f>
        <v/>
      </c>
      <c r="CM200">
        <f>IF(CM$4=0,0,IF(COUNTIFS(実績!$W$6:$W$505,CM$3,実績!$AC$6:$AC$505,"&lt;="&amp;$A200,実績!$AD$6:$AD$505,"&gt;"&amp;$A200,実績!$AE$6:$AE$505,"○")&gt;0,1,0))</f>
        <v/>
      </c>
      <c r="CN200">
        <f>IF(CN$4=0,0,IF(COUNTIFS(実績!$W$6:$W$505,CN$3,実績!$AC$6:$AC$505,"&lt;="&amp;$A200,実績!$AD$6:$AD$505,"&gt;"&amp;$A200,実績!$AE$6:$AE$505,"○")&gt;0,1,0))</f>
        <v/>
      </c>
      <c r="CO200">
        <f>IF(CO$4=0,0,IF(COUNTIFS(実績!$W$6:$W$505,CO$3,実績!$AC$6:$AC$505,"&lt;="&amp;$A200,実績!$AD$6:$AD$505,"&gt;"&amp;$A200,実績!$AE$6:$AE$505,"○")&gt;0,1,0))</f>
        <v/>
      </c>
      <c r="CP200">
        <f>IF(CP$4=0,0,IF(COUNTIFS(実績!$W$6:$W$505,CP$3,実績!$AC$6:$AC$505,"&lt;="&amp;$A200,実績!$AD$6:$AD$505,"&gt;"&amp;$A200,実績!$AE$6:$AE$505,"○")&gt;0,1,0))</f>
        <v/>
      </c>
      <c r="CQ200">
        <f>IF(CQ$4=0,0,IF(COUNTIFS(実績!$W$6:$W$505,CQ$3,実績!$AC$6:$AC$505,"&lt;="&amp;$A200,実績!$AD$6:$AD$505,"&gt;"&amp;$A200,実績!$AE$6:$AE$505,"○")&gt;0,1,0))</f>
        <v/>
      </c>
      <c r="CR200">
        <f>IF(CR$4=0,0,IF(COUNTIFS(実績!$W$6:$W$505,CR$3,実績!$AC$6:$AC$505,"&lt;="&amp;$A200,実績!$AD$6:$AD$505,"&gt;"&amp;$A200,実績!$AE$6:$AE$505,"○")&gt;0,1,0))</f>
        <v/>
      </c>
      <c r="CS200">
        <f>IF(CS$4=0,0,IF(COUNTIFS(実績!$W$6:$W$505,CS$3,実績!$AC$6:$AC$505,"&lt;="&amp;$A200,実績!$AD$6:$AD$505,"&gt;"&amp;$A200,実績!$AE$6:$AE$505,"○")&gt;0,1,0))</f>
        <v/>
      </c>
      <c r="CT200">
        <f>IF(CT$4=0,0,IF(COUNTIFS(実績!$W$6:$W$505,CT$3,実績!$AC$6:$AC$505,"&lt;="&amp;$A200,実績!$AD$6:$AD$505,"&gt;"&amp;$A200,実績!$AE$6:$AE$505,"○")&gt;0,1,0))</f>
        <v/>
      </c>
      <c r="CU200">
        <f>IF(CU$4=0,0,IF(COUNTIFS(実績!$W$6:$W$505,CU$3,実績!$AC$6:$AC$505,"&lt;="&amp;$A200,実績!$AD$6:$AD$505,"&gt;"&amp;$A200,実績!$AE$6:$AE$505,"○")&gt;0,1,0))</f>
        <v/>
      </c>
      <c r="CV200">
        <f>IF(CV$4=0,0,IF(COUNTIFS(実績!$W$6:$W$505,CV$3,実績!$AC$6:$AC$505,"&lt;="&amp;$A200,実績!$AD$6:$AD$505,"&gt;"&amp;$A200,実績!$AE$6:$AE$505,"○")&gt;0,1,0))</f>
        <v/>
      </c>
      <c r="CW200">
        <f>IF(CW$4=0,0,IF(COUNTIFS(実績!$W$6:$W$505,CW$3,実績!$AC$6:$AC$505,"&lt;="&amp;$A200,実績!$AD$6:$AD$505,"&gt;"&amp;$A200,実績!$AE$6:$AE$505,"○")&gt;0,1,0))</f>
        <v/>
      </c>
      <c r="CX200">
        <f>IF(CX$4=0,0,IF(COUNTIFS(実績!$W$6:$W$505,CX$3,実績!$AC$6:$AC$505,"&lt;="&amp;$A200,実績!$AD$6:$AD$505,"&gt;"&amp;$A200,実績!$AE$6:$AE$505,"○")&gt;0,1,0))</f>
        <v/>
      </c>
      <c r="CY200">
        <f>IF(CY$4=0,0,IF(COUNTIFS(実績!$W$6:$W$505,CY$3,実績!$AC$6:$AC$505,"&lt;="&amp;$A200,実績!$AD$6:$AD$505,"&gt;"&amp;$A200,実績!$AE$6:$AE$505,"○")&gt;0,1,0))</f>
        <v/>
      </c>
      <c r="CZ200">
        <f>IF(CZ$4=0,0,IF(COUNTIFS(実績!$W$6:$W$505,CZ$3,実績!$AC$6:$AC$505,"&lt;="&amp;$A200,実績!$AD$6:$AD$505,"&gt;"&amp;$A200,実績!$AE$6:$AE$505,"○")&gt;0,1,0))</f>
        <v/>
      </c>
      <c r="DA200">
        <f>IF(DA$4=0,0,IF(COUNTIFS(実績!$W$6:$W$505,DA$3,実績!$AC$6:$AC$505,"&lt;="&amp;$A200,実績!$AD$6:$AD$505,"&gt;"&amp;$A200,実績!$AE$6:$AE$505,"○")&gt;0,1,0))</f>
        <v/>
      </c>
      <c r="DB200">
        <f>IF(DB$4=0,0,IF(COUNTIFS(実績!$W$6:$W$505,DB$3,実績!$AC$6:$AC$505,"&lt;="&amp;$A200,実績!$AD$6:$AD$505,"&gt;"&amp;$A200,実績!$AE$6:$AE$505,"○")&gt;0,1,0))</f>
        <v/>
      </c>
      <c r="DC200">
        <f>IF(DC$4=0,0,IF(COUNTIFS(実績!$W$6:$W$505,DC$3,実績!$AC$6:$AC$505,"&lt;="&amp;$A200,実績!$AD$6:$AD$505,"&gt;"&amp;$A200,実績!$AE$6:$AE$505,"○")&gt;0,1,0))</f>
        <v/>
      </c>
      <c r="DD200">
        <f>IF(DD$4=0,0,IF(COUNTIFS(実績!$W$6:$W$505,DD$3,実績!$AC$6:$AC$505,"&lt;="&amp;$A200,実績!$AD$6:$AD$505,"&gt;"&amp;$A200,実績!$AE$6:$AE$505,"○")&gt;0,1,0))</f>
        <v/>
      </c>
      <c r="DE200">
        <f>IF(DE$4=0,0,IF(COUNTIFS(実績!$W$6:$W$505,DE$3,実績!$AC$6:$AC$505,"&lt;="&amp;$A200,実績!$AD$6:$AD$505,"&gt;"&amp;$A200,実績!$AE$6:$AE$505,"○")&gt;0,1,0))</f>
        <v/>
      </c>
      <c r="DF200">
        <f>IF(DF$4=0,0,IF(COUNTIFS(実績!$W$6:$W$505,DF$3,実績!$AC$6:$AC$505,"&lt;="&amp;$A200,実績!$AD$6:$AD$505,"&gt;"&amp;$A200,実績!$AE$6:$AE$505,"○")&gt;0,1,0))</f>
        <v/>
      </c>
      <c r="DG200">
        <f>IF(DG$4=0,0,IF(COUNTIFS(実績!$W$6:$W$505,DG$3,実績!$AC$6:$AC$505,"&lt;="&amp;$A200,実績!$AD$6:$AD$505,"&gt;"&amp;$A200,実績!$AE$6:$AE$505,"○")&gt;0,1,0))</f>
        <v/>
      </c>
      <c r="DH200">
        <f>IF(DH$4=0,0,IF(COUNTIFS(実績!$W$6:$W$505,DH$3,実績!$AC$6:$AC$505,"&lt;="&amp;$A200,実績!$AD$6:$AD$505,"&gt;"&amp;$A200,実績!$AE$6:$AE$505,"○")&gt;0,1,0))</f>
        <v/>
      </c>
      <c r="DI200">
        <f>IF(DI$4=0,0,IF(COUNTIFS(実績!$W$6:$W$505,DI$3,実績!$AC$6:$AC$505,"&lt;="&amp;$A200,実績!$AD$6:$AD$505,"&gt;"&amp;$A200,実績!$AE$6:$AE$505,"○")&gt;0,1,0))</f>
        <v/>
      </c>
      <c r="DJ200">
        <f>IF(DJ$4=0,0,IF(COUNTIFS(実績!$W$6:$W$505,DJ$3,実績!$AC$6:$AC$505,"&lt;="&amp;$A200,実績!$AD$6:$AD$505,"&gt;"&amp;$A200,実績!$AE$6:$AE$505,"○")&gt;0,1,0))</f>
        <v/>
      </c>
      <c r="DK200">
        <f>IF(DK$4=0,0,IF(COUNTIFS(実績!$W$6:$W$505,DK$3,実績!$AC$6:$AC$505,"&lt;="&amp;$A200,実績!$AD$6:$AD$505,"&gt;"&amp;$A200,実績!$AE$6:$AE$505,"○")&gt;0,1,0))</f>
        <v/>
      </c>
      <c r="DL200">
        <f>IF(DL$4=0,0,IF(COUNTIFS(実績!$W$6:$W$505,DL$3,実績!$AC$6:$AC$505,"&lt;="&amp;$A200,実績!$AD$6:$AD$505,"&gt;"&amp;$A200,実績!$AE$6:$AE$505,"○")&gt;0,1,0))</f>
        <v/>
      </c>
      <c r="DM200">
        <f>IF(DM$4=0,0,IF(COUNTIFS(実績!$W$6:$W$505,DM$3,実績!$AC$6:$AC$505,"&lt;="&amp;$A200,実績!$AD$6:$AD$505,"&gt;"&amp;$A200,実績!$AE$6:$AE$505,"○")&gt;0,1,0))</f>
        <v/>
      </c>
      <c r="DN200">
        <f>IF(DN$4=0,0,IF(COUNTIFS(実績!$W$6:$W$505,DN$3,実績!$AC$6:$AC$505,"&lt;="&amp;$A200,実績!$AD$6:$AD$505,"&gt;"&amp;$A200,実績!$AE$6:$AE$505,"○")&gt;0,1,0))</f>
        <v/>
      </c>
      <c r="DO200">
        <f>IF(DO$4=0,0,IF(COUNTIFS(実績!$W$6:$W$505,DO$3,実績!$AC$6:$AC$505,"&lt;="&amp;$A200,実績!$AD$6:$AD$505,"&gt;"&amp;$A200,実績!$AE$6:$AE$505,"○")&gt;0,1,0))</f>
        <v/>
      </c>
      <c r="DP200">
        <f>IF(DP$4=0,0,IF(COUNTIFS(実績!$W$6:$W$505,DP$3,実績!$AC$6:$AC$505,"&lt;="&amp;$A200,実績!$AD$6:$AD$505,"&gt;"&amp;$A200,実績!$AE$6:$AE$505,"○")&gt;0,1,0))</f>
        <v/>
      </c>
      <c r="DQ200">
        <f>IF(DQ$4=0,0,IF(COUNTIFS(実績!$W$6:$W$505,DQ$3,実績!$AC$6:$AC$505,"&lt;="&amp;$A200,実績!$AD$6:$AD$505,"&gt;"&amp;$A200,実績!$AE$6:$AE$505,"○")&gt;0,1,0))</f>
        <v/>
      </c>
      <c r="DR200">
        <f>IF(DR$4=0,0,IF(COUNTIFS(実績!$W$6:$W$505,DR$3,実績!$AC$6:$AC$505,"&lt;="&amp;$A200,実績!$AD$6:$AD$505,"&gt;"&amp;$A200,実績!$AE$6:$AE$505,"○")&gt;0,1,0))</f>
        <v/>
      </c>
      <c r="DS200">
        <f>SUM(C200:DR200)</f>
        <v/>
      </c>
      <c r="DT200">
        <f>SUMPRODUCT((実績!$C$6:$C$505="○")*ISNUMBER(実績!$AF$6:$AF$505)*(実績!$AF$6:$AF$505&lt;=$A200)*(実績!$AG$6:$AG$505&gt;$A200))</f>
        <v/>
      </c>
      <c r="DU200">
        <f>SUMIF($C$2:$DR$2,"製鉄曳船",C200:DR200)</f>
        <v/>
      </c>
      <c r="DV200">
        <f>SUMIF($C$2:$DR$2,"西日本海運",C200:DR200)</f>
        <v/>
      </c>
    </row>
    <row r="201">
      <c r="A201" t="n">
        <v>975</v>
      </c>
      <c r="B201" s="29">
        <f>A201/1440</f>
        <v/>
      </c>
      <c r="C201">
        <f>IF(C$4=0,0,IF(COUNTIFS(実績!$W$6:$W$505,C$3,実績!$AC$6:$AC$505,"&lt;="&amp;$A201,実績!$AD$6:$AD$505,"&gt;"&amp;$A201,実績!$AE$6:$AE$505,"○")&gt;0,1,0))</f>
        <v/>
      </c>
      <c r="D201">
        <f>IF(D$4=0,0,IF(COUNTIFS(実績!$W$6:$W$505,D$3,実績!$AC$6:$AC$505,"&lt;="&amp;$A201,実績!$AD$6:$AD$505,"&gt;"&amp;$A201,実績!$AE$6:$AE$505,"○")&gt;0,1,0))</f>
        <v/>
      </c>
      <c r="E201">
        <f>IF(E$4=0,0,IF(COUNTIFS(実績!$W$6:$W$505,E$3,実績!$AC$6:$AC$505,"&lt;="&amp;$A201,実績!$AD$6:$AD$505,"&gt;"&amp;$A201,実績!$AE$6:$AE$505,"○")&gt;0,1,0))</f>
        <v/>
      </c>
      <c r="F201">
        <f>IF(F$4=0,0,IF(COUNTIFS(実績!$W$6:$W$505,F$3,実績!$AC$6:$AC$505,"&lt;="&amp;$A201,実績!$AD$6:$AD$505,"&gt;"&amp;$A201,実績!$AE$6:$AE$505,"○")&gt;0,1,0))</f>
        <v/>
      </c>
      <c r="G201">
        <f>IF(G$4=0,0,IF(COUNTIFS(実績!$W$6:$W$505,G$3,実績!$AC$6:$AC$505,"&lt;="&amp;$A201,実績!$AD$6:$AD$505,"&gt;"&amp;$A201,実績!$AE$6:$AE$505,"○")&gt;0,1,0))</f>
        <v/>
      </c>
      <c r="H201">
        <f>IF(H$4=0,0,IF(COUNTIFS(実績!$W$6:$W$505,H$3,実績!$AC$6:$AC$505,"&lt;="&amp;$A201,実績!$AD$6:$AD$505,"&gt;"&amp;$A201,実績!$AE$6:$AE$505,"○")&gt;0,1,0))</f>
        <v/>
      </c>
      <c r="I201">
        <f>IF(I$4=0,0,IF(COUNTIFS(実績!$W$6:$W$505,I$3,実績!$AC$6:$AC$505,"&lt;="&amp;$A201,実績!$AD$6:$AD$505,"&gt;"&amp;$A201,実績!$AE$6:$AE$505,"○")&gt;0,1,0))</f>
        <v/>
      </c>
      <c r="J201">
        <f>IF(J$4=0,0,IF(COUNTIFS(実績!$W$6:$W$505,J$3,実績!$AC$6:$AC$505,"&lt;="&amp;$A201,実績!$AD$6:$AD$505,"&gt;"&amp;$A201,実績!$AE$6:$AE$505,"○")&gt;0,1,0))</f>
        <v/>
      </c>
      <c r="K201">
        <f>IF(K$4=0,0,IF(COUNTIFS(実績!$W$6:$W$505,K$3,実績!$AC$6:$AC$505,"&lt;="&amp;$A201,実績!$AD$6:$AD$505,"&gt;"&amp;$A201,実績!$AE$6:$AE$505,"○")&gt;0,1,0))</f>
        <v/>
      </c>
      <c r="L201">
        <f>IF(L$4=0,0,IF(COUNTIFS(実績!$W$6:$W$505,L$3,実績!$AC$6:$AC$505,"&lt;="&amp;$A201,実績!$AD$6:$AD$505,"&gt;"&amp;$A201,実績!$AE$6:$AE$505,"○")&gt;0,1,0))</f>
        <v/>
      </c>
      <c r="M201">
        <f>IF(M$4=0,0,IF(COUNTIFS(実績!$W$6:$W$505,M$3,実績!$AC$6:$AC$505,"&lt;="&amp;$A201,実績!$AD$6:$AD$505,"&gt;"&amp;$A201,実績!$AE$6:$AE$505,"○")&gt;0,1,0))</f>
        <v/>
      </c>
      <c r="N201">
        <f>IF(N$4=0,0,IF(COUNTIFS(実績!$W$6:$W$505,N$3,実績!$AC$6:$AC$505,"&lt;="&amp;$A201,実績!$AD$6:$AD$505,"&gt;"&amp;$A201,実績!$AE$6:$AE$505,"○")&gt;0,1,0))</f>
        <v/>
      </c>
      <c r="O201">
        <f>IF(O$4=0,0,IF(COUNTIFS(実績!$W$6:$W$505,O$3,実績!$AC$6:$AC$505,"&lt;="&amp;$A201,実績!$AD$6:$AD$505,"&gt;"&amp;$A201,実績!$AE$6:$AE$505,"○")&gt;0,1,0))</f>
        <v/>
      </c>
      <c r="P201">
        <f>IF(P$4=0,0,IF(COUNTIFS(実績!$W$6:$W$505,P$3,実績!$AC$6:$AC$505,"&lt;="&amp;$A201,実績!$AD$6:$AD$505,"&gt;"&amp;$A201,実績!$AE$6:$AE$505,"○")&gt;0,1,0))</f>
        <v/>
      </c>
      <c r="Q201">
        <f>IF(Q$4=0,0,IF(COUNTIFS(実績!$W$6:$W$505,Q$3,実績!$AC$6:$AC$505,"&lt;="&amp;$A201,実績!$AD$6:$AD$505,"&gt;"&amp;$A201,実績!$AE$6:$AE$505,"○")&gt;0,1,0))</f>
        <v/>
      </c>
      <c r="R201">
        <f>IF(R$4=0,0,IF(COUNTIFS(実績!$W$6:$W$505,R$3,実績!$AC$6:$AC$505,"&lt;="&amp;$A201,実績!$AD$6:$AD$505,"&gt;"&amp;$A201,実績!$AE$6:$AE$505,"○")&gt;0,1,0))</f>
        <v/>
      </c>
      <c r="S201">
        <f>IF(S$4=0,0,IF(COUNTIFS(実績!$W$6:$W$505,S$3,実績!$AC$6:$AC$505,"&lt;="&amp;$A201,実績!$AD$6:$AD$505,"&gt;"&amp;$A201,実績!$AE$6:$AE$505,"○")&gt;0,1,0))</f>
        <v/>
      </c>
      <c r="T201">
        <f>IF(T$4=0,0,IF(COUNTIFS(実績!$W$6:$W$505,T$3,実績!$AC$6:$AC$505,"&lt;="&amp;$A201,実績!$AD$6:$AD$505,"&gt;"&amp;$A201,実績!$AE$6:$AE$505,"○")&gt;0,1,0))</f>
        <v/>
      </c>
      <c r="U201">
        <f>IF(U$4=0,0,IF(COUNTIFS(実績!$W$6:$W$505,U$3,実績!$AC$6:$AC$505,"&lt;="&amp;$A201,実績!$AD$6:$AD$505,"&gt;"&amp;$A201,実績!$AE$6:$AE$505,"○")&gt;0,1,0))</f>
        <v/>
      </c>
      <c r="V201">
        <f>IF(V$4=0,0,IF(COUNTIFS(実績!$W$6:$W$505,V$3,実績!$AC$6:$AC$505,"&lt;="&amp;$A201,実績!$AD$6:$AD$505,"&gt;"&amp;$A201,実績!$AE$6:$AE$505,"○")&gt;0,1,0))</f>
        <v/>
      </c>
      <c r="W201">
        <f>IF(W$4=0,0,IF(COUNTIFS(実績!$W$6:$W$505,W$3,実績!$AC$6:$AC$505,"&lt;="&amp;$A201,実績!$AD$6:$AD$505,"&gt;"&amp;$A201,実績!$AE$6:$AE$505,"○")&gt;0,1,0))</f>
        <v/>
      </c>
      <c r="X201">
        <f>IF(X$4=0,0,IF(COUNTIFS(実績!$W$6:$W$505,X$3,実績!$AC$6:$AC$505,"&lt;="&amp;$A201,実績!$AD$6:$AD$505,"&gt;"&amp;$A201,実績!$AE$6:$AE$505,"○")&gt;0,1,0))</f>
        <v/>
      </c>
      <c r="Y201">
        <f>IF(Y$4=0,0,IF(COUNTIFS(実績!$W$6:$W$505,Y$3,実績!$AC$6:$AC$505,"&lt;="&amp;$A201,実績!$AD$6:$AD$505,"&gt;"&amp;$A201,実績!$AE$6:$AE$505,"○")&gt;0,1,0))</f>
        <v/>
      </c>
      <c r="Z201">
        <f>IF(Z$4=0,0,IF(COUNTIFS(実績!$W$6:$W$505,Z$3,実績!$AC$6:$AC$505,"&lt;="&amp;$A201,実績!$AD$6:$AD$505,"&gt;"&amp;$A201,実績!$AE$6:$AE$505,"○")&gt;0,1,0))</f>
        <v/>
      </c>
      <c r="AA201">
        <f>IF(AA$4=0,0,IF(COUNTIFS(実績!$W$6:$W$505,AA$3,実績!$AC$6:$AC$505,"&lt;="&amp;$A201,実績!$AD$6:$AD$505,"&gt;"&amp;$A201,実績!$AE$6:$AE$505,"○")&gt;0,1,0))</f>
        <v/>
      </c>
      <c r="AB201">
        <f>IF(AB$4=0,0,IF(COUNTIFS(実績!$W$6:$W$505,AB$3,実績!$AC$6:$AC$505,"&lt;="&amp;$A201,実績!$AD$6:$AD$505,"&gt;"&amp;$A201,実績!$AE$6:$AE$505,"○")&gt;0,1,0))</f>
        <v/>
      </c>
      <c r="AC201">
        <f>IF(AC$4=0,0,IF(COUNTIFS(実績!$W$6:$W$505,AC$3,実績!$AC$6:$AC$505,"&lt;="&amp;$A201,実績!$AD$6:$AD$505,"&gt;"&amp;$A201,実績!$AE$6:$AE$505,"○")&gt;0,1,0))</f>
        <v/>
      </c>
      <c r="AD201">
        <f>IF(AD$4=0,0,IF(COUNTIFS(実績!$W$6:$W$505,AD$3,実績!$AC$6:$AC$505,"&lt;="&amp;$A201,実績!$AD$6:$AD$505,"&gt;"&amp;$A201,実績!$AE$6:$AE$505,"○")&gt;0,1,0))</f>
        <v/>
      </c>
      <c r="AE201">
        <f>IF(AE$4=0,0,IF(COUNTIFS(実績!$W$6:$W$505,AE$3,実績!$AC$6:$AC$505,"&lt;="&amp;$A201,実績!$AD$6:$AD$505,"&gt;"&amp;$A201,実績!$AE$6:$AE$505,"○")&gt;0,1,0))</f>
        <v/>
      </c>
      <c r="AF201">
        <f>IF(AF$4=0,0,IF(COUNTIFS(実績!$W$6:$W$505,AF$3,実績!$AC$6:$AC$505,"&lt;="&amp;$A201,実績!$AD$6:$AD$505,"&gt;"&amp;$A201,実績!$AE$6:$AE$505,"○")&gt;0,1,0))</f>
        <v/>
      </c>
      <c r="AG201">
        <f>IF(AG$4=0,0,IF(COUNTIFS(実績!$W$6:$W$505,AG$3,実績!$AC$6:$AC$505,"&lt;="&amp;$A201,実績!$AD$6:$AD$505,"&gt;"&amp;$A201,実績!$AE$6:$AE$505,"○")&gt;0,1,0))</f>
        <v/>
      </c>
      <c r="AH201">
        <f>IF(AH$4=0,0,IF(COUNTIFS(実績!$W$6:$W$505,AH$3,実績!$AC$6:$AC$505,"&lt;="&amp;$A201,実績!$AD$6:$AD$505,"&gt;"&amp;$A201,実績!$AE$6:$AE$505,"○")&gt;0,1,0))</f>
        <v/>
      </c>
      <c r="AI201">
        <f>IF(AI$4=0,0,IF(COUNTIFS(実績!$W$6:$W$505,AI$3,実績!$AC$6:$AC$505,"&lt;="&amp;$A201,実績!$AD$6:$AD$505,"&gt;"&amp;$A201,実績!$AE$6:$AE$505,"○")&gt;0,1,0))</f>
        <v/>
      </c>
      <c r="AJ201">
        <f>IF(AJ$4=0,0,IF(COUNTIFS(実績!$W$6:$W$505,AJ$3,実績!$AC$6:$AC$505,"&lt;="&amp;$A201,実績!$AD$6:$AD$505,"&gt;"&amp;$A201,実績!$AE$6:$AE$505,"○")&gt;0,1,0))</f>
        <v/>
      </c>
      <c r="AK201">
        <f>IF(AK$4=0,0,IF(COUNTIFS(実績!$W$6:$W$505,AK$3,実績!$AC$6:$AC$505,"&lt;="&amp;$A201,実績!$AD$6:$AD$505,"&gt;"&amp;$A201,実績!$AE$6:$AE$505,"○")&gt;0,1,0))</f>
        <v/>
      </c>
      <c r="AL201">
        <f>IF(AL$4=0,0,IF(COUNTIFS(実績!$W$6:$W$505,AL$3,実績!$AC$6:$AC$505,"&lt;="&amp;$A201,実績!$AD$6:$AD$505,"&gt;"&amp;$A201,実績!$AE$6:$AE$505,"○")&gt;0,1,0))</f>
        <v/>
      </c>
      <c r="AM201">
        <f>IF(AM$4=0,0,IF(COUNTIFS(実績!$W$6:$W$505,AM$3,実績!$AC$6:$AC$505,"&lt;="&amp;$A201,実績!$AD$6:$AD$505,"&gt;"&amp;$A201,実績!$AE$6:$AE$505,"○")&gt;0,1,0))</f>
        <v/>
      </c>
      <c r="AN201">
        <f>IF(AN$4=0,0,IF(COUNTIFS(実績!$W$6:$W$505,AN$3,実績!$AC$6:$AC$505,"&lt;="&amp;$A201,実績!$AD$6:$AD$505,"&gt;"&amp;$A201,実績!$AE$6:$AE$505,"○")&gt;0,1,0))</f>
        <v/>
      </c>
      <c r="AO201">
        <f>IF(AO$4=0,0,IF(COUNTIFS(実績!$W$6:$W$505,AO$3,実績!$AC$6:$AC$505,"&lt;="&amp;$A201,実績!$AD$6:$AD$505,"&gt;"&amp;$A201,実績!$AE$6:$AE$505,"○")&gt;0,1,0))</f>
        <v/>
      </c>
      <c r="AP201">
        <f>IF(AP$4=0,0,IF(COUNTIFS(実績!$W$6:$W$505,AP$3,実績!$AC$6:$AC$505,"&lt;="&amp;$A201,実績!$AD$6:$AD$505,"&gt;"&amp;$A201,実績!$AE$6:$AE$505,"○")&gt;0,1,0))</f>
        <v/>
      </c>
      <c r="AQ201">
        <f>IF(AQ$4=0,0,IF(COUNTIFS(実績!$W$6:$W$505,AQ$3,実績!$AC$6:$AC$505,"&lt;="&amp;$A201,実績!$AD$6:$AD$505,"&gt;"&amp;$A201,実績!$AE$6:$AE$505,"○")&gt;0,1,0))</f>
        <v/>
      </c>
      <c r="AR201">
        <f>IF(AR$4=0,0,IF(COUNTIFS(実績!$W$6:$W$505,AR$3,実績!$AC$6:$AC$505,"&lt;="&amp;$A201,実績!$AD$6:$AD$505,"&gt;"&amp;$A201,実績!$AE$6:$AE$505,"○")&gt;0,1,0))</f>
        <v/>
      </c>
      <c r="AS201">
        <f>IF(AS$4=0,0,IF(COUNTIFS(実績!$W$6:$W$505,AS$3,実績!$AC$6:$AC$505,"&lt;="&amp;$A201,実績!$AD$6:$AD$505,"&gt;"&amp;$A201,実績!$AE$6:$AE$505,"○")&gt;0,1,0))</f>
        <v/>
      </c>
      <c r="AT201">
        <f>IF(AT$4=0,0,IF(COUNTIFS(実績!$W$6:$W$505,AT$3,実績!$AC$6:$AC$505,"&lt;="&amp;$A201,実績!$AD$6:$AD$505,"&gt;"&amp;$A201,実績!$AE$6:$AE$505,"○")&gt;0,1,0))</f>
        <v/>
      </c>
      <c r="AU201">
        <f>IF(AU$4=0,0,IF(COUNTIFS(実績!$W$6:$W$505,AU$3,実績!$AC$6:$AC$505,"&lt;="&amp;$A201,実績!$AD$6:$AD$505,"&gt;"&amp;$A201,実績!$AE$6:$AE$505,"○")&gt;0,1,0))</f>
        <v/>
      </c>
      <c r="AV201">
        <f>IF(AV$4=0,0,IF(COUNTIFS(実績!$W$6:$W$505,AV$3,実績!$AC$6:$AC$505,"&lt;="&amp;$A201,実績!$AD$6:$AD$505,"&gt;"&amp;$A201,実績!$AE$6:$AE$505,"○")&gt;0,1,0))</f>
        <v/>
      </c>
      <c r="AW201">
        <f>IF(AW$4=0,0,IF(COUNTIFS(実績!$W$6:$W$505,AW$3,実績!$AC$6:$AC$505,"&lt;="&amp;$A201,実績!$AD$6:$AD$505,"&gt;"&amp;$A201,実績!$AE$6:$AE$505,"○")&gt;0,1,0))</f>
        <v/>
      </c>
      <c r="AX201">
        <f>IF(AX$4=0,0,IF(COUNTIFS(実績!$W$6:$W$505,AX$3,実績!$AC$6:$AC$505,"&lt;="&amp;$A201,実績!$AD$6:$AD$505,"&gt;"&amp;$A201,実績!$AE$6:$AE$505,"○")&gt;0,1,0))</f>
        <v/>
      </c>
      <c r="AY201">
        <f>IF(AY$4=0,0,IF(COUNTIFS(実績!$W$6:$W$505,AY$3,実績!$AC$6:$AC$505,"&lt;="&amp;$A201,実績!$AD$6:$AD$505,"&gt;"&amp;$A201,実績!$AE$6:$AE$505,"○")&gt;0,1,0))</f>
        <v/>
      </c>
      <c r="AZ201">
        <f>IF(AZ$4=0,0,IF(COUNTIFS(実績!$W$6:$W$505,AZ$3,実績!$AC$6:$AC$505,"&lt;="&amp;$A201,実績!$AD$6:$AD$505,"&gt;"&amp;$A201,実績!$AE$6:$AE$505,"○")&gt;0,1,0))</f>
        <v/>
      </c>
      <c r="BA201">
        <f>IF(BA$4=0,0,IF(COUNTIFS(実績!$W$6:$W$505,BA$3,実績!$AC$6:$AC$505,"&lt;="&amp;$A201,実績!$AD$6:$AD$505,"&gt;"&amp;$A201,実績!$AE$6:$AE$505,"○")&gt;0,1,0))</f>
        <v/>
      </c>
      <c r="BB201">
        <f>IF(BB$4=0,0,IF(COUNTIFS(実績!$W$6:$W$505,BB$3,実績!$AC$6:$AC$505,"&lt;="&amp;$A201,実績!$AD$6:$AD$505,"&gt;"&amp;$A201,実績!$AE$6:$AE$505,"○")&gt;0,1,0))</f>
        <v/>
      </c>
      <c r="BC201">
        <f>IF(BC$4=0,0,IF(COUNTIFS(実績!$W$6:$W$505,BC$3,実績!$AC$6:$AC$505,"&lt;="&amp;$A201,実績!$AD$6:$AD$505,"&gt;"&amp;$A201,実績!$AE$6:$AE$505,"○")&gt;0,1,0))</f>
        <v/>
      </c>
      <c r="BD201">
        <f>IF(BD$4=0,0,IF(COUNTIFS(実績!$W$6:$W$505,BD$3,実績!$AC$6:$AC$505,"&lt;="&amp;$A201,実績!$AD$6:$AD$505,"&gt;"&amp;$A201,実績!$AE$6:$AE$505,"○")&gt;0,1,0))</f>
        <v/>
      </c>
      <c r="BE201">
        <f>IF(BE$4=0,0,IF(COUNTIFS(実績!$W$6:$W$505,BE$3,実績!$AC$6:$AC$505,"&lt;="&amp;$A201,実績!$AD$6:$AD$505,"&gt;"&amp;$A201,実績!$AE$6:$AE$505,"○")&gt;0,1,0))</f>
        <v/>
      </c>
      <c r="BF201">
        <f>IF(BF$4=0,0,IF(COUNTIFS(実績!$W$6:$W$505,BF$3,実績!$AC$6:$AC$505,"&lt;="&amp;$A201,実績!$AD$6:$AD$505,"&gt;"&amp;$A201,実績!$AE$6:$AE$505,"○")&gt;0,1,0))</f>
        <v/>
      </c>
      <c r="BG201">
        <f>IF(BG$4=0,0,IF(COUNTIFS(実績!$W$6:$W$505,BG$3,実績!$AC$6:$AC$505,"&lt;="&amp;$A201,実績!$AD$6:$AD$505,"&gt;"&amp;$A201,実績!$AE$6:$AE$505,"○")&gt;0,1,0))</f>
        <v/>
      </c>
      <c r="BH201">
        <f>IF(BH$4=0,0,IF(COUNTIFS(実績!$W$6:$W$505,BH$3,実績!$AC$6:$AC$505,"&lt;="&amp;$A201,実績!$AD$6:$AD$505,"&gt;"&amp;$A201,実績!$AE$6:$AE$505,"○")&gt;0,1,0))</f>
        <v/>
      </c>
      <c r="BI201">
        <f>IF(BI$4=0,0,IF(COUNTIFS(実績!$W$6:$W$505,BI$3,実績!$AC$6:$AC$505,"&lt;="&amp;$A201,実績!$AD$6:$AD$505,"&gt;"&amp;$A201,実績!$AE$6:$AE$505,"○")&gt;0,1,0))</f>
        <v/>
      </c>
      <c r="BJ201">
        <f>IF(BJ$4=0,0,IF(COUNTIFS(実績!$W$6:$W$505,BJ$3,実績!$AC$6:$AC$505,"&lt;="&amp;$A201,実績!$AD$6:$AD$505,"&gt;"&amp;$A201,実績!$AE$6:$AE$505,"○")&gt;0,1,0))</f>
        <v/>
      </c>
      <c r="BK201">
        <f>IF(BK$4=0,0,IF(COUNTIFS(実績!$W$6:$W$505,BK$3,実績!$AC$6:$AC$505,"&lt;="&amp;$A201,実績!$AD$6:$AD$505,"&gt;"&amp;$A201,実績!$AE$6:$AE$505,"○")&gt;0,1,0))</f>
        <v/>
      </c>
      <c r="BL201">
        <f>IF(BL$4=0,0,IF(COUNTIFS(実績!$W$6:$W$505,BL$3,実績!$AC$6:$AC$505,"&lt;="&amp;$A201,実績!$AD$6:$AD$505,"&gt;"&amp;$A201,実績!$AE$6:$AE$505,"○")&gt;0,1,0))</f>
        <v/>
      </c>
      <c r="BM201">
        <f>IF(BM$4=0,0,IF(COUNTIFS(実績!$W$6:$W$505,BM$3,実績!$AC$6:$AC$505,"&lt;="&amp;$A201,実績!$AD$6:$AD$505,"&gt;"&amp;$A201,実績!$AE$6:$AE$505,"○")&gt;0,1,0))</f>
        <v/>
      </c>
      <c r="BN201">
        <f>IF(BN$4=0,0,IF(COUNTIFS(実績!$W$6:$W$505,BN$3,実績!$AC$6:$AC$505,"&lt;="&amp;$A201,実績!$AD$6:$AD$505,"&gt;"&amp;$A201,実績!$AE$6:$AE$505,"○")&gt;0,1,0))</f>
        <v/>
      </c>
      <c r="BO201">
        <f>IF(BO$4=0,0,IF(COUNTIFS(実績!$W$6:$W$505,BO$3,実績!$AC$6:$AC$505,"&lt;="&amp;$A201,実績!$AD$6:$AD$505,"&gt;"&amp;$A201,実績!$AE$6:$AE$505,"○")&gt;0,1,0))</f>
        <v/>
      </c>
      <c r="BP201">
        <f>IF(BP$4=0,0,IF(COUNTIFS(実績!$W$6:$W$505,BP$3,実績!$AC$6:$AC$505,"&lt;="&amp;$A201,実績!$AD$6:$AD$505,"&gt;"&amp;$A201,実績!$AE$6:$AE$505,"○")&gt;0,1,0))</f>
        <v/>
      </c>
      <c r="BQ201">
        <f>IF(BQ$4=0,0,IF(COUNTIFS(実績!$W$6:$W$505,BQ$3,実績!$AC$6:$AC$505,"&lt;="&amp;$A201,実績!$AD$6:$AD$505,"&gt;"&amp;$A201,実績!$AE$6:$AE$505,"○")&gt;0,1,0))</f>
        <v/>
      </c>
      <c r="BR201">
        <f>IF(BR$4=0,0,IF(COUNTIFS(実績!$W$6:$W$505,BR$3,実績!$AC$6:$AC$505,"&lt;="&amp;$A201,実績!$AD$6:$AD$505,"&gt;"&amp;$A201,実績!$AE$6:$AE$505,"○")&gt;0,1,0))</f>
        <v/>
      </c>
      <c r="BS201">
        <f>IF(BS$4=0,0,IF(COUNTIFS(実績!$W$6:$W$505,BS$3,実績!$AC$6:$AC$505,"&lt;="&amp;$A201,実績!$AD$6:$AD$505,"&gt;"&amp;$A201,実績!$AE$6:$AE$505,"○")&gt;0,1,0))</f>
        <v/>
      </c>
      <c r="BT201">
        <f>IF(BT$4=0,0,IF(COUNTIFS(実績!$W$6:$W$505,BT$3,実績!$AC$6:$AC$505,"&lt;="&amp;$A201,実績!$AD$6:$AD$505,"&gt;"&amp;$A201,実績!$AE$6:$AE$505,"○")&gt;0,1,0))</f>
        <v/>
      </c>
      <c r="BU201">
        <f>IF(BU$4=0,0,IF(COUNTIFS(実績!$W$6:$W$505,BU$3,実績!$AC$6:$AC$505,"&lt;="&amp;$A201,実績!$AD$6:$AD$505,"&gt;"&amp;$A201,実績!$AE$6:$AE$505,"○")&gt;0,1,0))</f>
        <v/>
      </c>
      <c r="BV201">
        <f>IF(BV$4=0,0,IF(COUNTIFS(実績!$W$6:$W$505,BV$3,実績!$AC$6:$AC$505,"&lt;="&amp;$A201,実績!$AD$6:$AD$505,"&gt;"&amp;$A201,実績!$AE$6:$AE$505,"○")&gt;0,1,0))</f>
        <v/>
      </c>
      <c r="BW201">
        <f>IF(BW$4=0,0,IF(COUNTIFS(実績!$W$6:$W$505,BW$3,実績!$AC$6:$AC$505,"&lt;="&amp;$A201,実績!$AD$6:$AD$505,"&gt;"&amp;$A201,実績!$AE$6:$AE$505,"○")&gt;0,1,0))</f>
        <v/>
      </c>
      <c r="BX201">
        <f>IF(BX$4=0,0,IF(COUNTIFS(実績!$W$6:$W$505,BX$3,実績!$AC$6:$AC$505,"&lt;="&amp;$A201,実績!$AD$6:$AD$505,"&gt;"&amp;$A201,実績!$AE$6:$AE$505,"○")&gt;0,1,0))</f>
        <v/>
      </c>
      <c r="BY201">
        <f>IF(BY$4=0,0,IF(COUNTIFS(実績!$W$6:$W$505,BY$3,実績!$AC$6:$AC$505,"&lt;="&amp;$A201,実績!$AD$6:$AD$505,"&gt;"&amp;$A201,実績!$AE$6:$AE$505,"○")&gt;0,1,0))</f>
        <v/>
      </c>
      <c r="BZ201">
        <f>IF(BZ$4=0,0,IF(COUNTIFS(実績!$W$6:$W$505,BZ$3,実績!$AC$6:$AC$505,"&lt;="&amp;$A201,実績!$AD$6:$AD$505,"&gt;"&amp;$A201,実績!$AE$6:$AE$505,"○")&gt;0,1,0))</f>
        <v/>
      </c>
      <c r="CA201">
        <f>IF(CA$4=0,0,IF(COUNTIFS(実績!$W$6:$W$505,CA$3,実績!$AC$6:$AC$505,"&lt;="&amp;$A201,実績!$AD$6:$AD$505,"&gt;"&amp;$A201,実績!$AE$6:$AE$505,"○")&gt;0,1,0))</f>
        <v/>
      </c>
      <c r="CB201">
        <f>IF(CB$4=0,0,IF(COUNTIFS(実績!$W$6:$W$505,CB$3,実績!$AC$6:$AC$505,"&lt;="&amp;$A201,実績!$AD$6:$AD$505,"&gt;"&amp;$A201,実績!$AE$6:$AE$505,"○")&gt;0,1,0))</f>
        <v/>
      </c>
      <c r="CC201">
        <f>IF(CC$4=0,0,IF(COUNTIFS(実績!$W$6:$W$505,CC$3,実績!$AC$6:$AC$505,"&lt;="&amp;$A201,実績!$AD$6:$AD$505,"&gt;"&amp;$A201,実績!$AE$6:$AE$505,"○")&gt;0,1,0))</f>
        <v/>
      </c>
      <c r="CD201">
        <f>IF(CD$4=0,0,IF(COUNTIFS(実績!$W$6:$W$505,CD$3,実績!$AC$6:$AC$505,"&lt;="&amp;$A201,実績!$AD$6:$AD$505,"&gt;"&amp;$A201,実績!$AE$6:$AE$505,"○")&gt;0,1,0))</f>
        <v/>
      </c>
      <c r="CE201">
        <f>IF(CE$4=0,0,IF(COUNTIFS(実績!$W$6:$W$505,CE$3,実績!$AC$6:$AC$505,"&lt;="&amp;$A201,実績!$AD$6:$AD$505,"&gt;"&amp;$A201,実績!$AE$6:$AE$505,"○")&gt;0,1,0))</f>
        <v/>
      </c>
      <c r="CF201">
        <f>IF(CF$4=0,0,IF(COUNTIFS(実績!$W$6:$W$505,CF$3,実績!$AC$6:$AC$505,"&lt;="&amp;$A201,実績!$AD$6:$AD$505,"&gt;"&amp;$A201,実績!$AE$6:$AE$505,"○")&gt;0,1,0))</f>
        <v/>
      </c>
      <c r="CG201">
        <f>IF(CG$4=0,0,IF(COUNTIFS(実績!$W$6:$W$505,CG$3,実績!$AC$6:$AC$505,"&lt;="&amp;$A201,実績!$AD$6:$AD$505,"&gt;"&amp;$A201,実績!$AE$6:$AE$505,"○")&gt;0,1,0))</f>
        <v/>
      </c>
      <c r="CH201">
        <f>IF(CH$4=0,0,IF(COUNTIFS(実績!$W$6:$W$505,CH$3,実績!$AC$6:$AC$505,"&lt;="&amp;$A201,実績!$AD$6:$AD$505,"&gt;"&amp;$A201,実績!$AE$6:$AE$505,"○")&gt;0,1,0))</f>
        <v/>
      </c>
      <c r="CI201">
        <f>IF(CI$4=0,0,IF(COUNTIFS(実績!$W$6:$W$505,CI$3,実績!$AC$6:$AC$505,"&lt;="&amp;$A201,実績!$AD$6:$AD$505,"&gt;"&amp;$A201,実績!$AE$6:$AE$505,"○")&gt;0,1,0))</f>
        <v/>
      </c>
      <c r="CJ201">
        <f>IF(CJ$4=0,0,IF(COUNTIFS(実績!$W$6:$W$505,CJ$3,実績!$AC$6:$AC$505,"&lt;="&amp;$A201,実績!$AD$6:$AD$505,"&gt;"&amp;$A201,実績!$AE$6:$AE$505,"○")&gt;0,1,0))</f>
        <v/>
      </c>
      <c r="CK201">
        <f>IF(CK$4=0,0,IF(COUNTIFS(実績!$W$6:$W$505,CK$3,実績!$AC$6:$AC$505,"&lt;="&amp;$A201,実績!$AD$6:$AD$505,"&gt;"&amp;$A201,実績!$AE$6:$AE$505,"○")&gt;0,1,0))</f>
        <v/>
      </c>
      <c r="CL201">
        <f>IF(CL$4=0,0,IF(COUNTIFS(実績!$W$6:$W$505,CL$3,実績!$AC$6:$AC$505,"&lt;="&amp;$A201,実績!$AD$6:$AD$505,"&gt;"&amp;$A201,実績!$AE$6:$AE$505,"○")&gt;0,1,0))</f>
        <v/>
      </c>
      <c r="CM201">
        <f>IF(CM$4=0,0,IF(COUNTIFS(実績!$W$6:$W$505,CM$3,実績!$AC$6:$AC$505,"&lt;="&amp;$A201,実績!$AD$6:$AD$505,"&gt;"&amp;$A201,実績!$AE$6:$AE$505,"○")&gt;0,1,0))</f>
        <v/>
      </c>
      <c r="CN201">
        <f>IF(CN$4=0,0,IF(COUNTIFS(実績!$W$6:$W$505,CN$3,実績!$AC$6:$AC$505,"&lt;="&amp;$A201,実績!$AD$6:$AD$505,"&gt;"&amp;$A201,実績!$AE$6:$AE$505,"○")&gt;0,1,0))</f>
        <v/>
      </c>
      <c r="CO201">
        <f>IF(CO$4=0,0,IF(COUNTIFS(実績!$W$6:$W$505,CO$3,実績!$AC$6:$AC$505,"&lt;="&amp;$A201,実績!$AD$6:$AD$505,"&gt;"&amp;$A201,実績!$AE$6:$AE$505,"○")&gt;0,1,0))</f>
        <v/>
      </c>
      <c r="CP201">
        <f>IF(CP$4=0,0,IF(COUNTIFS(実績!$W$6:$W$505,CP$3,実績!$AC$6:$AC$505,"&lt;="&amp;$A201,実績!$AD$6:$AD$505,"&gt;"&amp;$A201,実績!$AE$6:$AE$505,"○")&gt;0,1,0))</f>
        <v/>
      </c>
      <c r="CQ201">
        <f>IF(CQ$4=0,0,IF(COUNTIFS(実績!$W$6:$W$505,CQ$3,実績!$AC$6:$AC$505,"&lt;="&amp;$A201,実績!$AD$6:$AD$505,"&gt;"&amp;$A201,実績!$AE$6:$AE$505,"○")&gt;0,1,0))</f>
        <v/>
      </c>
      <c r="CR201">
        <f>IF(CR$4=0,0,IF(COUNTIFS(実績!$W$6:$W$505,CR$3,実績!$AC$6:$AC$505,"&lt;="&amp;$A201,実績!$AD$6:$AD$505,"&gt;"&amp;$A201,実績!$AE$6:$AE$505,"○")&gt;0,1,0))</f>
        <v/>
      </c>
      <c r="CS201">
        <f>IF(CS$4=0,0,IF(COUNTIFS(実績!$W$6:$W$505,CS$3,実績!$AC$6:$AC$505,"&lt;="&amp;$A201,実績!$AD$6:$AD$505,"&gt;"&amp;$A201,実績!$AE$6:$AE$505,"○")&gt;0,1,0))</f>
        <v/>
      </c>
      <c r="CT201">
        <f>IF(CT$4=0,0,IF(COUNTIFS(実績!$W$6:$W$505,CT$3,実績!$AC$6:$AC$505,"&lt;="&amp;$A201,実績!$AD$6:$AD$505,"&gt;"&amp;$A201,実績!$AE$6:$AE$505,"○")&gt;0,1,0))</f>
        <v/>
      </c>
      <c r="CU201">
        <f>IF(CU$4=0,0,IF(COUNTIFS(実績!$W$6:$W$505,CU$3,実績!$AC$6:$AC$505,"&lt;="&amp;$A201,実績!$AD$6:$AD$505,"&gt;"&amp;$A201,実績!$AE$6:$AE$505,"○")&gt;0,1,0))</f>
        <v/>
      </c>
      <c r="CV201">
        <f>IF(CV$4=0,0,IF(COUNTIFS(実績!$W$6:$W$505,CV$3,実績!$AC$6:$AC$505,"&lt;="&amp;$A201,実績!$AD$6:$AD$505,"&gt;"&amp;$A201,実績!$AE$6:$AE$505,"○")&gt;0,1,0))</f>
        <v/>
      </c>
      <c r="CW201">
        <f>IF(CW$4=0,0,IF(COUNTIFS(実績!$W$6:$W$505,CW$3,実績!$AC$6:$AC$505,"&lt;="&amp;$A201,実績!$AD$6:$AD$505,"&gt;"&amp;$A201,実績!$AE$6:$AE$505,"○")&gt;0,1,0))</f>
        <v/>
      </c>
      <c r="CX201">
        <f>IF(CX$4=0,0,IF(COUNTIFS(実績!$W$6:$W$505,CX$3,実績!$AC$6:$AC$505,"&lt;="&amp;$A201,実績!$AD$6:$AD$505,"&gt;"&amp;$A201,実績!$AE$6:$AE$505,"○")&gt;0,1,0))</f>
        <v/>
      </c>
      <c r="CY201">
        <f>IF(CY$4=0,0,IF(COUNTIFS(実績!$W$6:$W$505,CY$3,実績!$AC$6:$AC$505,"&lt;="&amp;$A201,実績!$AD$6:$AD$505,"&gt;"&amp;$A201,実績!$AE$6:$AE$505,"○")&gt;0,1,0))</f>
        <v/>
      </c>
      <c r="CZ201">
        <f>IF(CZ$4=0,0,IF(COUNTIFS(実績!$W$6:$W$505,CZ$3,実績!$AC$6:$AC$505,"&lt;="&amp;$A201,実績!$AD$6:$AD$505,"&gt;"&amp;$A201,実績!$AE$6:$AE$505,"○")&gt;0,1,0))</f>
        <v/>
      </c>
      <c r="DA201">
        <f>IF(DA$4=0,0,IF(COUNTIFS(実績!$W$6:$W$505,DA$3,実績!$AC$6:$AC$505,"&lt;="&amp;$A201,実績!$AD$6:$AD$505,"&gt;"&amp;$A201,実績!$AE$6:$AE$505,"○")&gt;0,1,0))</f>
        <v/>
      </c>
      <c r="DB201">
        <f>IF(DB$4=0,0,IF(COUNTIFS(実績!$W$6:$W$505,DB$3,実績!$AC$6:$AC$505,"&lt;="&amp;$A201,実績!$AD$6:$AD$505,"&gt;"&amp;$A201,実績!$AE$6:$AE$505,"○")&gt;0,1,0))</f>
        <v/>
      </c>
      <c r="DC201">
        <f>IF(DC$4=0,0,IF(COUNTIFS(実績!$W$6:$W$505,DC$3,実績!$AC$6:$AC$505,"&lt;="&amp;$A201,実績!$AD$6:$AD$505,"&gt;"&amp;$A201,実績!$AE$6:$AE$505,"○")&gt;0,1,0))</f>
        <v/>
      </c>
      <c r="DD201">
        <f>IF(DD$4=0,0,IF(COUNTIFS(実績!$W$6:$W$505,DD$3,実績!$AC$6:$AC$505,"&lt;="&amp;$A201,実績!$AD$6:$AD$505,"&gt;"&amp;$A201,実績!$AE$6:$AE$505,"○")&gt;0,1,0))</f>
        <v/>
      </c>
      <c r="DE201">
        <f>IF(DE$4=0,0,IF(COUNTIFS(実績!$W$6:$W$505,DE$3,実績!$AC$6:$AC$505,"&lt;="&amp;$A201,実績!$AD$6:$AD$505,"&gt;"&amp;$A201,実績!$AE$6:$AE$505,"○")&gt;0,1,0))</f>
        <v/>
      </c>
      <c r="DF201">
        <f>IF(DF$4=0,0,IF(COUNTIFS(実績!$W$6:$W$505,DF$3,実績!$AC$6:$AC$505,"&lt;="&amp;$A201,実績!$AD$6:$AD$505,"&gt;"&amp;$A201,実績!$AE$6:$AE$505,"○")&gt;0,1,0))</f>
        <v/>
      </c>
      <c r="DG201">
        <f>IF(DG$4=0,0,IF(COUNTIFS(実績!$W$6:$W$505,DG$3,実績!$AC$6:$AC$505,"&lt;="&amp;$A201,実績!$AD$6:$AD$505,"&gt;"&amp;$A201,実績!$AE$6:$AE$505,"○")&gt;0,1,0))</f>
        <v/>
      </c>
      <c r="DH201">
        <f>IF(DH$4=0,0,IF(COUNTIFS(実績!$W$6:$W$505,DH$3,実績!$AC$6:$AC$505,"&lt;="&amp;$A201,実績!$AD$6:$AD$505,"&gt;"&amp;$A201,実績!$AE$6:$AE$505,"○")&gt;0,1,0))</f>
        <v/>
      </c>
      <c r="DI201">
        <f>IF(DI$4=0,0,IF(COUNTIFS(実績!$W$6:$W$505,DI$3,実績!$AC$6:$AC$505,"&lt;="&amp;$A201,実績!$AD$6:$AD$505,"&gt;"&amp;$A201,実績!$AE$6:$AE$505,"○")&gt;0,1,0))</f>
        <v/>
      </c>
      <c r="DJ201">
        <f>IF(DJ$4=0,0,IF(COUNTIFS(実績!$W$6:$W$505,DJ$3,実績!$AC$6:$AC$505,"&lt;="&amp;$A201,実績!$AD$6:$AD$505,"&gt;"&amp;$A201,実績!$AE$6:$AE$505,"○")&gt;0,1,0))</f>
        <v/>
      </c>
      <c r="DK201">
        <f>IF(DK$4=0,0,IF(COUNTIFS(実績!$W$6:$W$505,DK$3,実績!$AC$6:$AC$505,"&lt;="&amp;$A201,実績!$AD$6:$AD$505,"&gt;"&amp;$A201,実績!$AE$6:$AE$505,"○")&gt;0,1,0))</f>
        <v/>
      </c>
      <c r="DL201">
        <f>IF(DL$4=0,0,IF(COUNTIFS(実績!$W$6:$W$505,DL$3,実績!$AC$6:$AC$505,"&lt;="&amp;$A201,実績!$AD$6:$AD$505,"&gt;"&amp;$A201,実績!$AE$6:$AE$505,"○")&gt;0,1,0))</f>
        <v/>
      </c>
      <c r="DM201">
        <f>IF(DM$4=0,0,IF(COUNTIFS(実績!$W$6:$W$505,DM$3,実績!$AC$6:$AC$505,"&lt;="&amp;$A201,実績!$AD$6:$AD$505,"&gt;"&amp;$A201,実績!$AE$6:$AE$505,"○")&gt;0,1,0))</f>
        <v/>
      </c>
      <c r="DN201">
        <f>IF(DN$4=0,0,IF(COUNTIFS(実績!$W$6:$W$505,DN$3,実績!$AC$6:$AC$505,"&lt;="&amp;$A201,実績!$AD$6:$AD$505,"&gt;"&amp;$A201,実績!$AE$6:$AE$505,"○")&gt;0,1,0))</f>
        <v/>
      </c>
      <c r="DO201">
        <f>IF(DO$4=0,0,IF(COUNTIFS(実績!$W$6:$W$505,DO$3,実績!$AC$6:$AC$505,"&lt;="&amp;$A201,実績!$AD$6:$AD$505,"&gt;"&amp;$A201,実績!$AE$6:$AE$505,"○")&gt;0,1,0))</f>
        <v/>
      </c>
      <c r="DP201">
        <f>IF(DP$4=0,0,IF(COUNTIFS(実績!$W$6:$W$505,DP$3,実績!$AC$6:$AC$505,"&lt;="&amp;$A201,実績!$AD$6:$AD$505,"&gt;"&amp;$A201,実績!$AE$6:$AE$505,"○")&gt;0,1,0))</f>
        <v/>
      </c>
      <c r="DQ201">
        <f>IF(DQ$4=0,0,IF(COUNTIFS(実績!$W$6:$W$505,DQ$3,実績!$AC$6:$AC$505,"&lt;="&amp;$A201,実績!$AD$6:$AD$505,"&gt;"&amp;$A201,実績!$AE$6:$AE$505,"○")&gt;0,1,0))</f>
        <v/>
      </c>
      <c r="DR201">
        <f>IF(DR$4=0,0,IF(COUNTIFS(実績!$W$6:$W$505,DR$3,実績!$AC$6:$AC$505,"&lt;="&amp;$A201,実績!$AD$6:$AD$505,"&gt;"&amp;$A201,実績!$AE$6:$AE$505,"○")&gt;0,1,0))</f>
        <v/>
      </c>
      <c r="DS201">
        <f>SUM(C201:DR201)</f>
        <v/>
      </c>
      <c r="DT201">
        <f>SUMPRODUCT((実績!$C$6:$C$505="○")*ISNUMBER(実績!$AF$6:$AF$505)*(実績!$AF$6:$AF$505&lt;=$A201)*(実績!$AG$6:$AG$505&gt;$A201))</f>
        <v/>
      </c>
      <c r="DU201">
        <f>SUMIF($C$2:$DR$2,"製鉄曳船",C201:DR201)</f>
        <v/>
      </c>
      <c r="DV201">
        <f>SUMIF($C$2:$DR$2,"西日本海運",C201:DR201)</f>
        <v/>
      </c>
    </row>
    <row r="202">
      <c r="A202" t="n">
        <v>980</v>
      </c>
      <c r="B202" s="29">
        <f>A202/1440</f>
        <v/>
      </c>
      <c r="C202">
        <f>IF(C$4=0,0,IF(COUNTIFS(実績!$W$6:$W$505,C$3,実績!$AC$6:$AC$505,"&lt;="&amp;$A202,実績!$AD$6:$AD$505,"&gt;"&amp;$A202,実績!$AE$6:$AE$505,"○")&gt;0,1,0))</f>
        <v/>
      </c>
      <c r="D202">
        <f>IF(D$4=0,0,IF(COUNTIFS(実績!$W$6:$W$505,D$3,実績!$AC$6:$AC$505,"&lt;="&amp;$A202,実績!$AD$6:$AD$505,"&gt;"&amp;$A202,実績!$AE$6:$AE$505,"○")&gt;0,1,0))</f>
        <v/>
      </c>
      <c r="E202">
        <f>IF(E$4=0,0,IF(COUNTIFS(実績!$W$6:$W$505,E$3,実績!$AC$6:$AC$505,"&lt;="&amp;$A202,実績!$AD$6:$AD$505,"&gt;"&amp;$A202,実績!$AE$6:$AE$505,"○")&gt;0,1,0))</f>
        <v/>
      </c>
      <c r="F202">
        <f>IF(F$4=0,0,IF(COUNTIFS(実績!$W$6:$W$505,F$3,実績!$AC$6:$AC$505,"&lt;="&amp;$A202,実績!$AD$6:$AD$505,"&gt;"&amp;$A202,実績!$AE$6:$AE$505,"○")&gt;0,1,0))</f>
        <v/>
      </c>
      <c r="G202">
        <f>IF(G$4=0,0,IF(COUNTIFS(実績!$W$6:$W$505,G$3,実績!$AC$6:$AC$505,"&lt;="&amp;$A202,実績!$AD$6:$AD$505,"&gt;"&amp;$A202,実績!$AE$6:$AE$505,"○")&gt;0,1,0))</f>
        <v/>
      </c>
      <c r="H202">
        <f>IF(H$4=0,0,IF(COUNTIFS(実績!$W$6:$W$505,H$3,実績!$AC$6:$AC$505,"&lt;="&amp;$A202,実績!$AD$6:$AD$505,"&gt;"&amp;$A202,実績!$AE$6:$AE$505,"○")&gt;0,1,0))</f>
        <v/>
      </c>
      <c r="I202">
        <f>IF(I$4=0,0,IF(COUNTIFS(実績!$W$6:$W$505,I$3,実績!$AC$6:$AC$505,"&lt;="&amp;$A202,実績!$AD$6:$AD$505,"&gt;"&amp;$A202,実績!$AE$6:$AE$505,"○")&gt;0,1,0))</f>
        <v/>
      </c>
      <c r="J202">
        <f>IF(J$4=0,0,IF(COUNTIFS(実績!$W$6:$W$505,J$3,実績!$AC$6:$AC$505,"&lt;="&amp;$A202,実績!$AD$6:$AD$505,"&gt;"&amp;$A202,実績!$AE$6:$AE$505,"○")&gt;0,1,0))</f>
        <v/>
      </c>
      <c r="K202">
        <f>IF(K$4=0,0,IF(COUNTIFS(実績!$W$6:$W$505,K$3,実績!$AC$6:$AC$505,"&lt;="&amp;$A202,実績!$AD$6:$AD$505,"&gt;"&amp;$A202,実績!$AE$6:$AE$505,"○")&gt;0,1,0))</f>
        <v/>
      </c>
      <c r="L202">
        <f>IF(L$4=0,0,IF(COUNTIFS(実績!$W$6:$W$505,L$3,実績!$AC$6:$AC$505,"&lt;="&amp;$A202,実績!$AD$6:$AD$505,"&gt;"&amp;$A202,実績!$AE$6:$AE$505,"○")&gt;0,1,0))</f>
        <v/>
      </c>
      <c r="M202">
        <f>IF(M$4=0,0,IF(COUNTIFS(実績!$W$6:$W$505,M$3,実績!$AC$6:$AC$505,"&lt;="&amp;$A202,実績!$AD$6:$AD$505,"&gt;"&amp;$A202,実績!$AE$6:$AE$505,"○")&gt;0,1,0))</f>
        <v/>
      </c>
      <c r="N202">
        <f>IF(N$4=0,0,IF(COUNTIFS(実績!$W$6:$W$505,N$3,実績!$AC$6:$AC$505,"&lt;="&amp;$A202,実績!$AD$6:$AD$505,"&gt;"&amp;$A202,実績!$AE$6:$AE$505,"○")&gt;0,1,0))</f>
        <v/>
      </c>
      <c r="O202">
        <f>IF(O$4=0,0,IF(COUNTIFS(実績!$W$6:$W$505,O$3,実績!$AC$6:$AC$505,"&lt;="&amp;$A202,実績!$AD$6:$AD$505,"&gt;"&amp;$A202,実績!$AE$6:$AE$505,"○")&gt;0,1,0))</f>
        <v/>
      </c>
      <c r="P202">
        <f>IF(P$4=0,0,IF(COUNTIFS(実績!$W$6:$W$505,P$3,実績!$AC$6:$AC$505,"&lt;="&amp;$A202,実績!$AD$6:$AD$505,"&gt;"&amp;$A202,実績!$AE$6:$AE$505,"○")&gt;0,1,0))</f>
        <v/>
      </c>
      <c r="Q202">
        <f>IF(Q$4=0,0,IF(COUNTIFS(実績!$W$6:$W$505,Q$3,実績!$AC$6:$AC$505,"&lt;="&amp;$A202,実績!$AD$6:$AD$505,"&gt;"&amp;$A202,実績!$AE$6:$AE$505,"○")&gt;0,1,0))</f>
        <v/>
      </c>
      <c r="R202">
        <f>IF(R$4=0,0,IF(COUNTIFS(実績!$W$6:$W$505,R$3,実績!$AC$6:$AC$505,"&lt;="&amp;$A202,実績!$AD$6:$AD$505,"&gt;"&amp;$A202,実績!$AE$6:$AE$505,"○")&gt;0,1,0))</f>
        <v/>
      </c>
      <c r="S202">
        <f>IF(S$4=0,0,IF(COUNTIFS(実績!$W$6:$W$505,S$3,実績!$AC$6:$AC$505,"&lt;="&amp;$A202,実績!$AD$6:$AD$505,"&gt;"&amp;$A202,実績!$AE$6:$AE$505,"○")&gt;0,1,0))</f>
        <v/>
      </c>
      <c r="T202">
        <f>IF(T$4=0,0,IF(COUNTIFS(実績!$W$6:$W$505,T$3,実績!$AC$6:$AC$505,"&lt;="&amp;$A202,実績!$AD$6:$AD$505,"&gt;"&amp;$A202,実績!$AE$6:$AE$505,"○")&gt;0,1,0))</f>
        <v/>
      </c>
      <c r="U202">
        <f>IF(U$4=0,0,IF(COUNTIFS(実績!$W$6:$W$505,U$3,実績!$AC$6:$AC$505,"&lt;="&amp;$A202,実績!$AD$6:$AD$505,"&gt;"&amp;$A202,実績!$AE$6:$AE$505,"○")&gt;0,1,0))</f>
        <v/>
      </c>
      <c r="V202">
        <f>IF(V$4=0,0,IF(COUNTIFS(実績!$W$6:$W$505,V$3,実績!$AC$6:$AC$505,"&lt;="&amp;$A202,実績!$AD$6:$AD$505,"&gt;"&amp;$A202,実績!$AE$6:$AE$505,"○")&gt;0,1,0))</f>
        <v/>
      </c>
      <c r="W202">
        <f>IF(W$4=0,0,IF(COUNTIFS(実績!$W$6:$W$505,W$3,実績!$AC$6:$AC$505,"&lt;="&amp;$A202,実績!$AD$6:$AD$505,"&gt;"&amp;$A202,実績!$AE$6:$AE$505,"○")&gt;0,1,0))</f>
        <v/>
      </c>
      <c r="X202">
        <f>IF(X$4=0,0,IF(COUNTIFS(実績!$W$6:$W$505,X$3,実績!$AC$6:$AC$505,"&lt;="&amp;$A202,実績!$AD$6:$AD$505,"&gt;"&amp;$A202,実績!$AE$6:$AE$505,"○")&gt;0,1,0))</f>
        <v/>
      </c>
      <c r="Y202">
        <f>IF(Y$4=0,0,IF(COUNTIFS(実績!$W$6:$W$505,Y$3,実績!$AC$6:$AC$505,"&lt;="&amp;$A202,実績!$AD$6:$AD$505,"&gt;"&amp;$A202,実績!$AE$6:$AE$505,"○")&gt;0,1,0))</f>
        <v/>
      </c>
      <c r="Z202">
        <f>IF(Z$4=0,0,IF(COUNTIFS(実績!$W$6:$W$505,Z$3,実績!$AC$6:$AC$505,"&lt;="&amp;$A202,実績!$AD$6:$AD$505,"&gt;"&amp;$A202,実績!$AE$6:$AE$505,"○")&gt;0,1,0))</f>
        <v/>
      </c>
      <c r="AA202">
        <f>IF(AA$4=0,0,IF(COUNTIFS(実績!$W$6:$W$505,AA$3,実績!$AC$6:$AC$505,"&lt;="&amp;$A202,実績!$AD$6:$AD$505,"&gt;"&amp;$A202,実績!$AE$6:$AE$505,"○")&gt;0,1,0))</f>
        <v/>
      </c>
      <c r="AB202">
        <f>IF(AB$4=0,0,IF(COUNTIFS(実績!$W$6:$W$505,AB$3,実績!$AC$6:$AC$505,"&lt;="&amp;$A202,実績!$AD$6:$AD$505,"&gt;"&amp;$A202,実績!$AE$6:$AE$505,"○")&gt;0,1,0))</f>
        <v/>
      </c>
      <c r="AC202">
        <f>IF(AC$4=0,0,IF(COUNTIFS(実績!$W$6:$W$505,AC$3,実績!$AC$6:$AC$505,"&lt;="&amp;$A202,実績!$AD$6:$AD$505,"&gt;"&amp;$A202,実績!$AE$6:$AE$505,"○")&gt;0,1,0))</f>
        <v/>
      </c>
      <c r="AD202">
        <f>IF(AD$4=0,0,IF(COUNTIFS(実績!$W$6:$W$505,AD$3,実績!$AC$6:$AC$505,"&lt;="&amp;$A202,実績!$AD$6:$AD$505,"&gt;"&amp;$A202,実績!$AE$6:$AE$505,"○")&gt;0,1,0))</f>
        <v/>
      </c>
      <c r="AE202">
        <f>IF(AE$4=0,0,IF(COUNTIFS(実績!$W$6:$W$505,AE$3,実績!$AC$6:$AC$505,"&lt;="&amp;$A202,実績!$AD$6:$AD$505,"&gt;"&amp;$A202,実績!$AE$6:$AE$505,"○")&gt;0,1,0))</f>
        <v/>
      </c>
      <c r="AF202">
        <f>IF(AF$4=0,0,IF(COUNTIFS(実績!$W$6:$W$505,AF$3,実績!$AC$6:$AC$505,"&lt;="&amp;$A202,実績!$AD$6:$AD$505,"&gt;"&amp;$A202,実績!$AE$6:$AE$505,"○")&gt;0,1,0))</f>
        <v/>
      </c>
      <c r="AG202">
        <f>IF(AG$4=0,0,IF(COUNTIFS(実績!$W$6:$W$505,AG$3,実績!$AC$6:$AC$505,"&lt;="&amp;$A202,実績!$AD$6:$AD$505,"&gt;"&amp;$A202,実績!$AE$6:$AE$505,"○")&gt;0,1,0))</f>
        <v/>
      </c>
      <c r="AH202">
        <f>IF(AH$4=0,0,IF(COUNTIFS(実績!$W$6:$W$505,AH$3,実績!$AC$6:$AC$505,"&lt;="&amp;$A202,実績!$AD$6:$AD$505,"&gt;"&amp;$A202,実績!$AE$6:$AE$505,"○")&gt;0,1,0))</f>
        <v/>
      </c>
      <c r="AI202">
        <f>IF(AI$4=0,0,IF(COUNTIFS(実績!$W$6:$W$505,AI$3,実績!$AC$6:$AC$505,"&lt;="&amp;$A202,実績!$AD$6:$AD$505,"&gt;"&amp;$A202,実績!$AE$6:$AE$505,"○")&gt;0,1,0))</f>
        <v/>
      </c>
      <c r="AJ202">
        <f>IF(AJ$4=0,0,IF(COUNTIFS(実績!$W$6:$W$505,AJ$3,実績!$AC$6:$AC$505,"&lt;="&amp;$A202,実績!$AD$6:$AD$505,"&gt;"&amp;$A202,実績!$AE$6:$AE$505,"○")&gt;0,1,0))</f>
        <v/>
      </c>
      <c r="AK202">
        <f>IF(AK$4=0,0,IF(COUNTIFS(実績!$W$6:$W$505,AK$3,実績!$AC$6:$AC$505,"&lt;="&amp;$A202,実績!$AD$6:$AD$505,"&gt;"&amp;$A202,実績!$AE$6:$AE$505,"○")&gt;0,1,0))</f>
        <v/>
      </c>
      <c r="AL202">
        <f>IF(AL$4=0,0,IF(COUNTIFS(実績!$W$6:$W$505,AL$3,実績!$AC$6:$AC$505,"&lt;="&amp;$A202,実績!$AD$6:$AD$505,"&gt;"&amp;$A202,実績!$AE$6:$AE$505,"○")&gt;0,1,0))</f>
        <v/>
      </c>
      <c r="AM202">
        <f>IF(AM$4=0,0,IF(COUNTIFS(実績!$W$6:$W$505,AM$3,実績!$AC$6:$AC$505,"&lt;="&amp;$A202,実績!$AD$6:$AD$505,"&gt;"&amp;$A202,実績!$AE$6:$AE$505,"○")&gt;0,1,0))</f>
        <v/>
      </c>
      <c r="AN202">
        <f>IF(AN$4=0,0,IF(COUNTIFS(実績!$W$6:$W$505,AN$3,実績!$AC$6:$AC$505,"&lt;="&amp;$A202,実績!$AD$6:$AD$505,"&gt;"&amp;$A202,実績!$AE$6:$AE$505,"○")&gt;0,1,0))</f>
        <v/>
      </c>
      <c r="AO202">
        <f>IF(AO$4=0,0,IF(COUNTIFS(実績!$W$6:$W$505,AO$3,実績!$AC$6:$AC$505,"&lt;="&amp;$A202,実績!$AD$6:$AD$505,"&gt;"&amp;$A202,実績!$AE$6:$AE$505,"○")&gt;0,1,0))</f>
        <v/>
      </c>
      <c r="AP202">
        <f>IF(AP$4=0,0,IF(COUNTIFS(実績!$W$6:$W$505,AP$3,実績!$AC$6:$AC$505,"&lt;="&amp;$A202,実績!$AD$6:$AD$505,"&gt;"&amp;$A202,実績!$AE$6:$AE$505,"○")&gt;0,1,0))</f>
        <v/>
      </c>
      <c r="AQ202">
        <f>IF(AQ$4=0,0,IF(COUNTIFS(実績!$W$6:$W$505,AQ$3,実績!$AC$6:$AC$505,"&lt;="&amp;$A202,実績!$AD$6:$AD$505,"&gt;"&amp;$A202,実績!$AE$6:$AE$505,"○")&gt;0,1,0))</f>
        <v/>
      </c>
      <c r="AR202">
        <f>IF(AR$4=0,0,IF(COUNTIFS(実績!$W$6:$W$505,AR$3,実績!$AC$6:$AC$505,"&lt;="&amp;$A202,実績!$AD$6:$AD$505,"&gt;"&amp;$A202,実績!$AE$6:$AE$505,"○")&gt;0,1,0))</f>
        <v/>
      </c>
      <c r="AS202">
        <f>IF(AS$4=0,0,IF(COUNTIFS(実績!$W$6:$W$505,AS$3,実績!$AC$6:$AC$505,"&lt;="&amp;$A202,実績!$AD$6:$AD$505,"&gt;"&amp;$A202,実績!$AE$6:$AE$505,"○")&gt;0,1,0))</f>
        <v/>
      </c>
      <c r="AT202">
        <f>IF(AT$4=0,0,IF(COUNTIFS(実績!$W$6:$W$505,AT$3,実績!$AC$6:$AC$505,"&lt;="&amp;$A202,実績!$AD$6:$AD$505,"&gt;"&amp;$A202,実績!$AE$6:$AE$505,"○")&gt;0,1,0))</f>
        <v/>
      </c>
      <c r="AU202">
        <f>IF(AU$4=0,0,IF(COUNTIFS(実績!$W$6:$W$505,AU$3,実績!$AC$6:$AC$505,"&lt;="&amp;$A202,実績!$AD$6:$AD$505,"&gt;"&amp;$A202,実績!$AE$6:$AE$505,"○")&gt;0,1,0))</f>
        <v/>
      </c>
      <c r="AV202">
        <f>IF(AV$4=0,0,IF(COUNTIFS(実績!$W$6:$W$505,AV$3,実績!$AC$6:$AC$505,"&lt;="&amp;$A202,実績!$AD$6:$AD$505,"&gt;"&amp;$A202,実績!$AE$6:$AE$505,"○")&gt;0,1,0))</f>
        <v/>
      </c>
      <c r="AW202">
        <f>IF(AW$4=0,0,IF(COUNTIFS(実績!$W$6:$W$505,AW$3,実績!$AC$6:$AC$505,"&lt;="&amp;$A202,実績!$AD$6:$AD$505,"&gt;"&amp;$A202,実績!$AE$6:$AE$505,"○")&gt;0,1,0))</f>
        <v/>
      </c>
      <c r="AX202">
        <f>IF(AX$4=0,0,IF(COUNTIFS(実績!$W$6:$W$505,AX$3,実績!$AC$6:$AC$505,"&lt;="&amp;$A202,実績!$AD$6:$AD$505,"&gt;"&amp;$A202,実績!$AE$6:$AE$505,"○")&gt;0,1,0))</f>
        <v/>
      </c>
      <c r="AY202">
        <f>IF(AY$4=0,0,IF(COUNTIFS(実績!$W$6:$W$505,AY$3,実績!$AC$6:$AC$505,"&lt;="&amp;$A202,実績!$AD$6:$AD$505,"&gt;"&amp;$A202,実績!$AE$6:$AE$505,"○")&gt;0,1,0))</f>
        <v/>
      </c>
      <c r="AZ202">
        <f>IF(AZ$4=0,0,IF(COUNTIFS(実績!$W$6:$W$505,AZ$3,実績!$AC$6:$AC$505,"&lt;="&amp;$A202,実績!$AD$6:$AD$505,"&gt;"&amp;$A202,実績!$AE$6:$AE$505,"○")&gt;0,1,0))</f>
        <v/>
      </c>
      <c r="BA202">
        <f>IF(BA$4=0,0,IF(COUNTIFS(実績!$W$6:$W$505,BA$3,実績!$AC$6:$AC$505,"&lt;="&amp;$A202,実績!$AD$6:$AD$505,"&gt;"&amp;$A202,実績!$AE$6:$AE$505,"○")&gt;0,1,0))</f>
        <v/>
      </c>
      <c r="BB202">
        <f>IF(BB$4=0,0,IF(COUNTIFS(実績!$W$6:$W$505,BB$3,実績!$AC$6:$AC$505,"&lt;="&amp;$A202,実績!$AD$6:$AD$505,"&gt;"&amp;$A202,実績!$AE$6:$AE$505,"○")&gt;0,1,0))</f>
        <v/>
      </c>
      <c r="BC202">
        <f>IF(BC$4=0,0,IF(COUNTIFS(実績!$W$6:$W$505,BC$3,実績!$AC$6:$AC$505,"&lt;="&amp;$A202,実績!$AD$6:$AD$505,"&gt;"&amp;$A202,実績!$AE$6:$AE$505,"○")&gt;0,1,0))</f>
        <v/>
      </c>
      <c r="BD202">
        <f>IF(BD$4=0,0,IF(COUNTIFS(実績!$W$6:$W$505,BD$3,実績!$AC$6:$AC$505,"&lt;="&amp;$A202,実績!$AD$6:$AD$505,"&gt;"&amp;$A202,実績!$AE$6:$AE$505,"○")&gt;0,1,0))</f>
        <v/>
      </c>
      <c r="BE202">
        <f>IF(BE$4=0,0,IF(COUNTIFS(実績!$W$6:$W$505,BE$3,実績!$AC$6:$AC$505,"&lt;="&amp;$A202,実績!$AD$6:$AD$505,"&gt;"&amp;$A202,実績!$AE$6:$AE$505,"○")&gt;0,1,0))</f>
        <v/>
      </c>
      <c r="BF202">
        <f>IF(BF$4=0,0,IF(COUNTIFS(実績!$W$6:$W$505,BF$3,実績!$AC$6:$AC$505,"&lt;="&amp;$A202,実績!$AD$6:$AD$505,"&gt;"&amp;$A202,実績!$AE$6:$AE$505,"○")&gt;0,1,0))</f>
        <v/>
      </c>
      <c r="BG202">
        <f>IF(BG$4=0,0,IF(COUNTIFS(実績!$W$6:$W$505,BG$3,実績!$AC$6:$AC$505,"&lt;="&amp;$A202,実績!$AD$6:$AD$505,"&gt;"&amp;$A202,実績!$AE$6:$AE$505,"○")&gt;0,1,0))</f>
        <v/>
      </c>
      <c r="BH202">
        <f>IF(BH$4=0,0,IF(COUNTIFS(実績!$W$6:$W$505,BH$3,実績!$AC$6:$AC$505,"&lt;="&amp;$A202,実績!$AD$6:$AD$505,"&gt;"&amp;$A202,実績!$AE$6:$AE$505,"○")&gt;0,1,0))</f>
        <v/>
      </c>
      <c r="BI202">
        <f>IF(BI$4=0,0,IF(COUNTIFS(実績!$W$6:$W$505,BI$3,実績!$AC$6:$AC$505,"&lt;="&amp;$A202,実績!$AD$6:$AD$505,"&gt;"&amp;$A202,実績!$AE$6:$AE$505,"○")&gt;0,1,0))</f>
        <v/>
      </c>
      <c r="BJ202">
        <f>IF(BJ$4=0,0,IF(COUNTIFS(実績!$W$6:$W$505,BJ$3,実績!$AC$6:$AC$505,"&lt;="&amp;$A202,実績!$AD$6:$AD$505,"&gt;"&amp;$A202,実績!$AE$6:$AE$505,"○")&gt;0,1,0))</f>
        <v/>
      </c>
      <c r="BK202">
        <f>IF(BK$4=0,0,IF(COUNTIFS(実績!$W$6:$W$505,BK$3,実績!$AC$6:$AC$505,"&lt;="&amp;$A202,実績!$AD$6:$AD$505,"&gt;"&amp;$A202,実績!$AE$6:$AE$505,"○")&gt;0,1,0))</f>
        <v/>
      </c>
      <c r="BL202">
        <f>IF(BL$4=0,0,IF(COUNTIFS(実績!$W$6:$W$505,BL$3,実績!$AC$6:$AC$505,"&lt;="&amp;$A202,実績!$AD$6:$AD$505,"&gt;"&amp;$A202,実績!$AE$6:$AE$505,"○")&gt;0,1,0))</f>
        <v/>
      </c>
      <c r="BM202">
        <f>IF(BM$4=0,0,IF(COUNTIFS(実績!$W$6:$W$505,BM$3,実績!$AC$6:$AC$505,"&lt;="&amp;$A202,実績!$AD$6:$AD$505,"&gt;"&amp;$A202,実績!$AE$6:$AE$505,"○")&gt;0,1,0))</f>
        <v/>
      </c>
      <c r="BN202">
        <f>IF(BN$4=0,0,IF(COUNTIFS(実績!$W$6:$W$505,BN$3,実績!$AC$6:$AC$505,"&lt;="&amp;$A202,実績!$AD$6:$AD$505,"&gt;"&amp;$A202,実績!$AE$6:$AE$505,"○")&gt;0,1,0))</f>
        <v/>
      </c>
      <c r="BO202">
        <f>IF(BO$4=0,0,IF(COUNTIFS(実績!$W$6:$W$505,BO$3,実績!$AC$6:$AC$505,"&lt;="&amp;$A202,実績!$AD$6:$AD$505,"&gt;"&amp;$A202,実績!$AE$6:$AE$505,"○")&gt;0,1,0))</f>
        <v/>
      </c>
      <c r="BP202">
        <f>IF(BP$4=0,0,IF(COUNTIFS(実績!$W$6:$W$505,BP$3,実績!$AC$6:$AC$505,"&lt;="&amp;$A202,実績!$AD$6:$AD$505,"&gt;"&amp;$A202,実績!$AE$6:$AE$505,"○")&gt;0,1,0))</f>
        <v/>
      </c>
      <c r="BQ202">
        <f>IF(BQ$4=0,0,IF(COUNTIFS(実績!$W$6:$W$505,BQ$3,実績!$AC$6:$AC$505,"&lt;="&amp;$A202,実績!$AD$6:$AD$505,"&gt;"&amp;$A202,実績!$AE$6:$AE$505,"○")&gt;0,1,0))</f>
        <v/>
      </c>
      <c r="BR202">
        <f>IF(BR$4=0,0,IF(COUNTIFS(実績!$W$6:$W$505,BR$3,実績!$AC$6:$AC$505,"&lt;="&amp;$A202,実績!$AD$6:$AD$505,"&gt;"&amp;$A202,実績!$AE$6:$AE$505,"○")&gt;0,1,0))</f>
        <v/>
      </c>
      <c r="BS202">
        <f>IF(BS$4=0,0,IF(COUNTIFS(実績!$W$6:$W$505,BS$3,実績!$AC$6:$AC$505,"&lt;="&amp;$A202,実績!$AD$6:$AD$505,"&gt;"&amp;$A202,実績!$AE$6:$AE$505,"○")&gt;0,1,0))</f>
        <v/>
      </c>
      <c r="BT202">
        <f>IF(BT$4=0,0,IF(COUNTIFS(実績!$W$6:$W$505,BT$3,実績!$AC$6:$AC$505,"&lt;="&amp;$A202,実績!$AD$6:$AD$505,"&gt;"&amp;$A202,実績!$AE$6:$AE$505,"○")&gt;0,1,0))</f>
        <v/>
      </c>
      <c r="BU202">
        <f>IF(BU$4=0,0,IF(COUNTIFS(実績!$W$6:$W$505,BU$3,実績!$AC$6:$AC$505,"&lt;="&amp;$A202,実績!$AD$6:$AD$505,"&gt;"&amp;$A202,実績!$AE$6:$AE$505,"○")&gt;0,1,0))</f>
        <v/>
      </c>
      <c r="BV202">
        <f>IF(BV$4=0,0,IF(COUNTIFS(実績!$W$6:$W$505,BV$3,実績!$AC$6:$AC$505,"&lt;="&amp;$A202,実績!$AD$6:$AD$505,"&gt;"&amp;$A202,実績!$AE$6:$AE$505,"○")&gt;0,1,0))</f>
        <v/>
      </c>
      <c r="BW202">
        <f>IF(BW$4=0,0,IF(COUNTIFS(実績!$W$6:$W$505,BW$3,実績!$AC$6:$AC$505,"&lt;="&amp;$A202,実績!$AD$6:$AD$505,"&gt;"&amp;$A202,実績!$AE$6:$AE$505,"○")&gt;0,1,0))</f>
        <v/>
      </c>
      <c r="BX202">
        <f>IF(BX$4=0,0,IF(COUNTIFS(実績!$W$6:$W$505,BX$3,実績!$AC$6:$AC$505,"&lt;="&amp;$A202,実績!$AD$6:$AD$505,"&gt;"&amp;$A202,実績!$AE$6:$AE$505,"○")&gt;0,1,0))</f>
        <v/>
      </c>
      <c r="BY202">
        <f>IF(BY$4=0,0,IF(COUNTIFS(実績!$W$6:$W$505,BY$3,実績!$AC$6:$AC$505,"&lt;="&amp;$A202,実績!$AD$6:$AD$505,"&gt;"&amp;$A202,実績!$AE$6:$AE$505,"○")&gt;0,1,0))</f>
        <v/>
      </c>
      <c r="BZ202">
        <f>IF(BZ$4=0,0,IF(COUNTIFS(実績!$W$6:$W$505,BZ$3,実績!$AC$6:$AC$505,"&lt;="&amp;$A202,実績!$AD$6:$AD$505,"&gt;"&amp;$A202,実績!$AE$6:$AE$505,"○")&gt;0,1,0))</f>
        <v/>
      </c>
      <c r="CA202">
        <f>IF(CA$4=0,0,IF(COUNTIFS(実績!$W$6:$W$505,CA$3,実績!$AC$6:$AC$505,"&lt;="&amp;$A202,実績!$AD$6:$AD$505,"&gt;"&amp;$A202,実績!$AE$6:$AE$505,"○")&gt;0,1,0))</f>
        <v/>
      </c>
      <c r="CB202">
        <f>IF(CB$4=0,0,IF(COUNTIFS(実績!$W$6:$W$505,CB$3,実績!$AC$6:$AC$505,"&lt;="&amp;$A202,実績!$AD$6:$AD$505,"&gt;"&amp;$A202,実績!$AE$6:$AE$505,"○")&gt;0,1,0))</f>
        <v/>
      </c>
      <c r="CC202">
        <f>IF(CC$4=0,0,IF(COUNTIFS(実績!$W$6:$W$505,CC$3,実績!$AC$6:$AC$505,"&lt;="&amp;$A202,実績!$AD$6:$AD$505,"&gt;"&amp;$A202,実績!$AE$6:$AE$505,"○")&gt;0,1,0))</f>
        <v/>
      </c>
      <c r="CD202">
        <f>IF(CD$4=0,0,IF(COUNTIFS(実績!$W$6:$W$505,CD$3,実績!$AC$6:$AC$505,"&lt;="&amp;$A202,実績!$AD$6:$AD$505,"&gt;"&amp;$A202,実績!$AE$6:$AE$505,"○")&gt;0,1,0))</f>
        <v/>
      </c>
      <c r="CE202">
        <f>IF(CE$4=0,0,IF(COUNTIFS(実績!$W$6:$W$505,CE$3,実績!$AC$6:$AC$505,"&lt;="&amp;$A202,実績!$AD$6:$AD$505,"&gt;"&amp;$A202,実績!$AE$6:$AE$505,"○")&gt;0,1,0))</f>
        <v/>
      </c>
      <c r="CF202">
        <f>IF(CF$4=0,0,IF(COUNTIFS(実績!$W$6:$W$505,CF$3,実績!$AC$6:$AC$505,"&lt;="&amp;$A202,実績!$AD$6:$AD$505,"&gt;"&amp;$A202,実績!$AE$6:$AE$505,"○")&gt;0,1,0))</f>
        <v/>
      </c>
      <c r="CG202">
        <f>IF(CG$4=0,0,IF(COUNTIFS(実績!$W$6:$W$505,CG$3,実績!$AC$6:$AC$505,"&lt;="&amp;$A202,実績!$AD$6:$AD$505,"&gt;"&amp;$A202,実績!$AE$6:$AE$505,"○")&gt;0,1,0))</f>
        <v/>
      </c>
      <c r="CH202">
        <f>IF(CH$4=0,0,IF(COUNTIFS(実績!$W$6:$W$505,CH$3,実績!$AC$6:$AC$505,"&lt;="&amp;$A202,実績!$AD$6:$AD$505,"&gt;"&amp;$A202,実績!$AE$6:$AE$505,"○")&gt;0,1,0))</f>
        <v/>
      </c>
      <c r="CI202">
        <f>IF(CI$4=0,0,IF(COUNTIFS(実績!$W$6:$W$505,CI$3,実績!$AC$6:$AC$505,"&lt;="&amp;$A202,実績!$AD$6:$AD$505,"&gt;"&amp;$A202,実績!$AE$6:$AE$505,"○")&gt;0,1,0))</f>
        <v/>
      </c>
      <c r="CJ202">
        <f>IF(CJ$4=0,0,IF(COUNTIFS(実績!$W$6:$W$505,CJ$3,実績!$AC$6:$AC$505,"&lt;="&amp;$A202,実績!$AD$6:$AD$505,"&gt;"&amp;$A202,実績!$AE$6:$AE$505,"○")&gt;0,1,0))</f>
        <v/>
      </c>
      <c r="CK202">
        <f>IF(CK$4=0,0,IF(COUNTIFS(実績!$W$6:$W$505,CK$3,実績!$AC$6:$AC$505,"&lt;="&amp;$A202,実績!$AD$6:$AD$505,"&gt;"&amp;$A202,実績!$AE$6:$AE$505,"○")&gt;0,1,0))</f>
        <v/>
      </c>
      <c r="CL202">
        <f>IF(CL$4=0,0,IF(COUNTIFS(実績!$W$6:$W$505,CL$3,実績!$AC$6:$AC$505,"&lt;="&amp;$A202,実績!$AD$6:$AD$505,"&gt;"&amp;$A202,実績!$AE$6:$AE$505,"○")&gt;0,1,0))</f>
        <v/>
      </c>
      <c r="CM202">
        <f>IF(CM$4=0,0,IF(COUNTIFS(実績!$W$6:$W$505,CM$3,実績!$AC$6:$AC$505,"&lt;="&amp;$A202,実績!$AD$6:$AD$505,"&gt;"&amp;$A202,実績!$AE$6:$AE$505,"○")&gt;0,1,0))</f>
        <v/>
      </c>
      <c r="CN202">
        <f>IF(CN$4=0,0,IF(COUNTIFS(実績!$W$6:$W$505,CN$3,実績!$AC$6:$AC$505,"&lt;="&amp;$A202,実績!$AD$6:$AD$505,"&gt;"&amp;$A202,実績!$AE$6:$AE$505,"○")&gt;0,1,0))</f>
        <v/>
      </c>
      <c r="CO202">
        <f>IF(CO$4=0,0,IF(COUNTIFS(実績!$W$6:$W$505,CO$3,実績!$AC$6:$AC$505,"&lt;="&amp;$A202,実績!$AD$6:$AD$505,"&gt;"&amp;$A202,実績!$AE$6:$AE$505,"○")&gt;0,1,0))</f>
        <v/>
      </c>
      <c r="CP202">
        <f>IF(CP$4=0,0,IF(COUNTIFS(実績!$W$6:$W$505,CP$3,実績!$AC$6:$AC$505,"&lt;="&amp;$A202,実績!$AD$6:$AD$505,"&gt;"&amp;$A202,実績!$AE$6:$AE$505,"○")&gt;0,1,0))</f>
        <v/>
      </c>
      <c r="CQ202">
        <f>IF(CQ$4=0,0,IF(COUNTIFS(実績!$W$6:$W$505,CQ$3,実績!$AC$6:$AC$505,"&lt;="&amp;$A202,実績!$AD$6:$AD$505,"&gt;"&amp;$A202,実績!$AE$6:$AE$505,"○")&gt;0,1,0))</f>
        <v/>
      </c>
      <c r="CR202">
        <f>IF(CR$4=0,0,IF(COUNTIFS(実績!$W$6:$W$505,CR$3,実績!$AC$6:$AC$505,"&lt;="&amp;$A202,実績!$AD$6:$AD$505,"&gt;"&amp;$A202,実績!$AE$6:$AE$505,"○")&gt;0,1,0))</f>
        <v/>
      </c>
      <c r="CS202">
        <f>IF(CS$4=0,0,IF(COUNTIFS(実績!$W$6:$W$505,CS$3,実績!$AC$6:$AC$505,"&lt;="&amp;$A202,実績!$AD$6:$AD$505,"&gt;"&amp;$A202,実績!$AE$6:$AE$505,"○")&gt;0,1,0))</f>
        <v/>
      </c>
      <c r="CT202">
        <f>IF(CT$4=0,0,IF(COUNTIFS(実績!$W$6:$W$505,CT$3,実績!$AC$6:$AC$505,"&lt;="&amp;$A202,実績!$AD$6:$AD$505,"&gt;"&amp;$A202,実績!$AE$6:$AE$505,"○")&gt;0,1,0))</f>
        <v/>
      </c>
      <c r="CU202">
        <f>IF(CU$4=0,0,IF(COUNTIFS(実績!$W$6:$W$505,CU$3,実績!$AC$6:$AC$505,"&lt;="&amp;$A202,実績!$AD$6:$AD$505,"&gt;"&amp;$A202,実績!$AE$6:$AE$505,"○")&gt;0,1,0))</f>
        <v/>
      </c>
      <c r="CV202">
        <f>IF(CV$4=0,0,IF(COUNTIFS(実績!$W$6:$W$505,CV$3,実績!$AC$6:$AC$505,"&lt;="&amp;$A202,実績!$AD$6:$AD$505,"&gt;"&amp;$A202,実績!$AE$6:$AE$505,"○")&gt;0,1,0))</f>
        <v/>
      </c>
      <c r="CW202">
        <f>IF(CW$4=0,0,IF(COUNTIFS(実績!$W$6:$W$505,CW$3,実績!$AC$6:$AC$505,"&lt;="&amp;$A202,実績!$AD$6:$AD$505,"&gt;"&amp;$A202,実績!$AE$6:$AE$505,"○")&gt;0,1,0))</f>
        <v/>
      </c>
      <c r="CX202">
        <f>IF(CX$4=0,0,IF(COUNTIFS(実績!$W$6:$W$505,CX$3,実績!$AC$6:$AC$505,"&lt;="&amp;$A202,実績!$AD$6:$AD$505,"&gt;"&amp;$A202,実績!$AE$6:$AE$505,"○")&gt;0,1,0))</f>
        <v/>
      </c>
      <c r="CY202">
        <f>IF(CY$4=0,0,IF(COUNTIFS(実績!$W$6:$W$505,CY$3,実績!$AC$6:$AC$505,"&lt;="&amp;$A202,実績!$AD$6:$AD$505,"&gt;"&amp;$A202,実績!$AE$6:$AE$505,"○")&gt;0,1,0))</f>
        <v/>
      </c>
      <c r="CZ202">
        <f>IF(CZ$4=0,0,IF(COUNTIFS(実績!$W$6:$W$505,CZ$3,実績!$AC$6:$AC$505,"&lt;="&amp;$A202,実績!$AD$6:$AD$505,"&gt;"&amp;$A202,実績!$AE$6:$AE$505,"○")&gt;0,1,0))</f>
        <v/>
      </c>
      <c r="DA202">
        <f>IF(DA$4=0,0,IF(COUNTIFS(実績!$W$6:$W$505,DA$3,実績!$AC$6:$AC$505,"&lt;="&amp;$A202,実績!$AD$6:$AD$505,"&gt;"&amp;$A202,実績!$AE$6:$AE$505,"○")&gt;0,1,0))</f>
        <v/>
      </c>
      <c r="DB202">
        <f>IF(DB$4=0,0,IF(COUNTIFS(実績!$W$6:$W$505,DB$3,実績!$AC$6:$AC$505,"&lt;="&amp;$A202,実績!$AD$6:$AD$505,"&gt;"&amp;$A202,実績!$AE$6:$AE$505,"○")&gt;0,1,0))</f>
        <v/>
      </c>
      <c r="DC202">
        <f>IF(DC$4=0,0,IF(COUNTIFS(実績!$W$6:$W$505,DC$3,実績!$AC$6:$AC$505,"&lt;="&amp;$A202,実績!$AD$6:$AD$505,"&gt;"&amp;$A202,実績!$AE$6:$AE$505,"○")&gt;0,1,0))</f>
        <v/>
      </c>
      <c r="DD202">
        <f>IF(DD$4=0,0,IF(COUNTIFS(実績!$W$6:$W$505,DD$3,実績!$AC$6:$AC$505,"&lt;="&amp;$A202,実績!$AD$6:$AD$505,"&gt;"&amp;$A202,実績!$AE$6:$AE$505,"○")&gt;0,1,0))</f>
        <v/>
      </c>
      <c r="DE202">
        <f>IF(DE$4=0,0,IF(COUNTIFS(実績!$W$6:$W$505,DE$3,実績!$AC$6:$AC$505,"&lt;="&amp;$A202,実績!$AD$6:$AD$505,"&gt;"&amp;$A202,実績!$AE$6:$AE$505,"○")&gt;0,1,0))</f>
        <v/>
      </c>
      <c r="DF202">
        <f>IF(DF$4=0,0,IF(COUNTIFS(実績!$W$6:$W$505,DF$3,実績!$AC$6:$AC$505,"&lt;="&amp;$A202,実績!$AD$6:$AD$505,"&gt;"&amp;$A202,実績!$AE$6:$AE$505,"○")&gt;0,1,0))</f>
        <v/>
      </c>
      <c r="DG202">
        <f>IF(DG$4=0,0,IF(COUNTIFS(実績!$W$6:$W$505,DG$3,実績!$AC$6:$AC$505,"&lt;="&amp;$A202,実績!$AD$6:$AD$505,"&gt;"&amp;$A202,実績!$AE$6:$AE$505,"○")&gt;0,1,0))</f>
        <v/>
      </c>
      <c r="DH202">
        <f>IF(DH$4=0,0,IF(COUNTIFS(実績!$W$6:$W$505,DH$3,実績!$AC$6:$AC$505,"&lt;="&amp;$A202,実績!$AD$6:$AD$505,"&gt;"&amp;$A202,実績!$AE$6:$AE$505,"○")&gt;0,1,0))</f>
        <v/>
      </c>
      <c r="DI202">
        <f>IF(DI$4=0,0,IF(COUNTIFS(実績!$W$6:$W$505,DI$3,実績!$AC$6:$AC$505,"&lt;="&amp;$A202,実績!$AD$6:$AD$505,"&gt;"&amp;$A202,実績!$AE$6:$AE$505,"○")&gt;0,1,0))</f>
        <v/>
      </c>
      <c r="DJ202">
        <f>IF(DJ$4=0,0,IF(COUNTIFS(実績!$W$6:$W$505,DJ$3,実績!$AC$6:$AC$505,"&lt;="&amp;$A202,実績!$AD$6:$AD$505,"&gt;"&amp;$A202,実績!$AE$6:$AE$505,"○")&gt;0,1,0))</f>
        <v/>
      </c>
      <c r="DK202">
        <f>IF(DK$4=0,0,IF(COUNTIFS(実績!$W$6:$W$505,DK$3,実績!$AC$6:$AC$505,"&lt;="&amp;$A202,実績!$AD$6:$AD$505,"&gt;"&amp;$A202,実績!$AE$6:$AE$505,"○")&gt;0,1,0))</f>
        <v/>
      </c>
      <c r="DL202">
        <f>IF(DL$4=0,0,IF(COUNTIFS(実績!$W$6:$W$505,DL$3,実績!$AC$6:$AC$505,"&lt;="&amp;$A202,実績!$AD$6:$AD$505,"&gt;"&amp;$A202,実績!$AE$6:$AE$505,"○")&gt;0,1,0))</f>
        <v/>
      </c>
      <c r="DM202">
        <f>IF(DM$4=0,0,IF(COUNTIFS(実績!$W$6:$W$505,DM$3,実績!$AC$6:$AC$505,"&lt;="&amp;$A202,実績!$AD$6:$AD$505,"&gt;"&amp;$A202,実績!$AE$6:$AE$505,"○")&gt;0,1,0))</f>
        <v/>
      </c>
      <c r="DN202">
        <f>IF(DN$4=0,0,IF(COUNTIFS(実績!$W$6:$W$505,DN$3,実績!$AC$6:$AC$505,"&lt;="&amp;$A202,実績!$AD$6:$AD$505,"&gt;"&amp;$A202,実績!$AE$6:$AE$505,"○")&gt;0,1,0))</f>
        <v/>
      </c>
      <c r="DO202">
        <f>IF(DO$4=0,0,IF(COUNTIFS(実績!$W$6:$W$505,DO$3,実績!$AC$6:$AC$505,"&lt;="&amp;$A202,実績!$AD$6:$AD$505,"&gt;"&amp;$A202,実績!$AE$6:$AE$505,"○")&gt;0,1,0))</f>
        <v/>
      </c>
      <c r="DP202">
        <f>IF(DP$4=0,0,IF(COUNTIFS(実績!$W$6:$W$505,DP$3,実績!$AC$6:$AC$505,"&lt;="&amp;$A202,実績!$AD$6:$AD$505,"&gt;"&amp;$A202,実績!$AE$6:$AE$505,"○")&gt;0,1,0))</f>
        <v/>
      </c>
      <c r="DQ202">
        <f>IF(DQ$4=0,0,IF(COUNTIFS(実績!$W$6:$W$505,DQ$3,実績!$AC$6:$AC$505,"&lt;="&amp;$A202,実績!$AD$6:$AD$505,"&gt;"&amp;$A202,実績!$AE$6:$AE$505,"○")&gt;0,1,0))</f>
        <v/>
      </c>
      <c r="DR202">
        <f>IF(DR$4=0,0,IF(COUNTIFS(実績!$W$6:$W$505,DR$3,実績!$AC$6:$AC$505,"&lt;="&amp;$A202,実績!$AD$6:$AD$505,"&gt;"&amp;$A202,実績!$AE$6:$AE$505,"○")&gt;0,1,0))</f>
        <v/>
      </c>
      <c r="DS202">
        <f>SUM(C202:DR202)</f>
        <v/>
      </c>
      <c r="DT202">
        <f>SUMPRODUCT((実績!$C$6:$C$505="○")*ISNUMBER(実績!$AF$6:$AF$505)*(実績!$AF$6:$AF$505&lt;=$A202)*(実績!$AG$6:$AG$505&gt;$A202))</f>
        <v/>
      </c>
      <c r="DU202">
        <f>SUMIF($C$2:$DR$2,"製鉄曳船",C202:DR202)</f>
        <v/>
      </c>
      <c r="DV202">
        <f>SUMIF($C$2:$DR$2,"西日本海運",C202:DR202)</f>
        <v/>
      </c>
    </row>
    <row r="203">
      <c r="A203" t="n">
        <v>985</v>
      </c>
      <c r="B203" s="29">
        <f>A203/1440</f>
        <v/>
      </c>
      <c r="C203">
        <f>IF(C$4=0,0,IF(COUNTIFS(実績!$W$6:$W$505,C$3,実績!$AC$6:$AC$505,"&lt;="&amp;$A203,実績!$AD$6:$AD$505,"&gt;"&amp;$A203,実績!$AE$6:$AE$505,"○")&gt;0,1,0))</f>
        <v/>
      </c>
      <c r="D203">
        <f>IF(D$4=0,0,IF(COUNTIFS(実績!$W$6:$W$505,D$3,実績!$AC$6:$AC$505,"&lt;="&amp;$A203,実績!$AD$6:$AD$505,"&gt;"&amp;$A203,実績!$AE$6:$AE$505,"○")&gt;0,1,0))</f>
        <v/>
      </c>
      <c r="E203">
        <f>IF(E$4=0,0,IF(COUNTIFS(実績!$W$6:$W$505,E$3,実績!$AC$6:$AC$505,"&lt;="&amp;$A203,実績!$AD$6:$AD$505,"&gt;"&amp;$A203,実績!$AE$6:$AE$505,"○")&gt;0,1,0))</f>
        <v/>
      </c>
      <c r="F203">
        <f>IF(F$4=0,0,IF(COUNTIFS(実績!$W$6:$W$505,F$3,実績!$AC$6:$AC$505,"&lt;="&amp;$A203,実績!$AD$6:$AD$505,"&gt;"&amp;$A203,実績!$AE$6:$AE$505,"○")&gt;0,1,0))</f>
        <v/>
      </c>
      <c r="G203">
        <f>IF(G$4=0,0,IF(COUNTIFS(実績!$W$6:$W$505,G$3,実績!$AC$6:$AC$505,"&lt;="&amp;$A203,実績!$AD$6:$AD$505,"&gt;"&amp;$A203,実績!$AE$6:$AE$505,"○")&gt;0,1,0))</f>
        <v/>
      </c>
      <c r="H203">
        <f>IF(H$4=0,0,IF(COUNTIFS(実績!$W$6:$W$505,H$3,実績!$AC$6:$AC$505,"&lt;="&amp;$A203,実績!$AD$6:$AD$505,"&gt;"&amp;$A203,実績!$AE$6:$AE$505,"○")&gt;0,1,0))</f>
        <v/>
      </c>
      <c r="I203">
        <f>IF(I$4=0,0,IF(COUNTIFS(実績!$W$6:$W$505,I$3,実績!$AC$6:$AC$505,"&lt;="&amp;$A203,実績!$AD$6:$AD$505,"&gt;"&amp;$A203,実績!$AE$6:$AE$505,"○")&gt;0,1,0))</f>
        <v/>
      </c>
      <c r="J203">
        <f>IF(J$4=0,0,IF(COUNTIFS(実績!$W$6:$W$505,J$3,実績!$AC$6:$AC$505,"&lt;="&amp;$A203,実績!$AD$6:$AD$505,"&gt;"&amp;$A203,実績!$AE$6:$AE$505,"○")&gt;0,1,0))</f>
        <v/>
      </c>
      <c r="K203">
        <f>IF(K$4=0,0,IF(COUNTIFS(実績!$W$6:$W$505,K$3,実績!$AC$6:$AC$505,"&lt;="&amp;$A203,実績!$AD$6:$AD$505,"&gt;"&amp;$A203,実績!$AE$6:$AE$505,"○")&gt;0,1,0))</f>
        <v/>
      </c>
      <c r="L203">
        <f>IF(L$4=0,0,IF(COUNTIFS(実績!$W$6:$W$505,L$3,実績!$AC$6:$AC$505,"&lt;="&amp;$A203,実績!$AD$6:$AD$505,"&gt;"&amp;$A203,実績!$AE$6:$AE$505,"○")&gt;0,1,0))</f>
        <v/>
      </c>
      <c r="M203">
        <f>IF(M$4=0,0,IF(COUNTIFS(実績!$W$6:$W$505,M$3,実績!$AC$6:$AC$505,"&lt;="&amp;$A203,実績!$AD$6:$AD$505,"&gt;"&amp;$A203,実績!$AE$6:$AE$505,"○")&gt;0,1,0))</f>
        <v/>
      </c>
      <c r="N203">
        <f>IF(N$4=0,0,IF(COUNTIFS(実績!$W$6:$W$505,N$3,実績!$AC$6:$AC$505,"&lt;="&amp;$A203,実績!$AD$6:$AD$505,"&gt;"&amp;$A203,実績!$AE$6:$AE$505,"○")&gt;0,1,0))</f>
        <v/>
      </c>
      <c r="O203">
        <f>IF(O$4=0,0,IF(COUNTIFS(実績!$W$6:$W$505,O$3,実績!$AC$6:$AC$505,"&lt;="&amp;$A203,実績!$AD$6:$AD$505,"&gt;"&amp;$A203,実績!$AE$6:$AE$505,"○")&gt;0,1,0))</f>
        <v/>
      </c>
      <c r="P203">
        <f>IF(P$4=0,0,IF(COUNTIFS(実績!$W$6:$W$505,P$3,実績!$AC$6:$AC$505,"&lt;="&amp;$A203,実績!$AD$6:$AD$505,"&gt;"&amp;$A203,実績!$AE$6:$AE$505,"○")&gt;0,1,0))</f>
        <v/>
      </c>
      <c r="Q203">
        <f>IF(Q$4=0,0,IF(COUNTIFS(実績!$W$6:$W$505,Q$3,実績!$AC$6:$AC$505,"&lt;="&amp;$A203,実績!$AD$6:$AD$505,"&gt;"&amp;$A203,実績!$AE$6:$AE$505,"○")&gt;0,1,0))</f>
        <v/>
      </c>
      <c r="R203">
        <f>IF(R$4=0,0,IF(COUNTIFS(実績!$W$6:$W$505,R$3,実績!$AC$6:$AC$505,"&lt;="&amp;$A203,実績!$AD$6:$AD$505,"&gt;"&amp;$A203,実績!$AE$6:$AE$505,"○")&gt;0,1,0))</f>
        <v/>
      </c>
      <c r="S203">
        <f>IF(S$4=0,0,IF(COUNTIFS(実績!$W$6:$W$505,S$3,実績!$AC$6:$AC$505,"&lt;="&amp;$A203,実績!$AD$6:$AD$505,"&gt;"&amp;$A203,実績!$AE$6:$AE$505,"○")&gt;0,1,0))</f>
        <v/>
      </c>
      <c r="T203">
        <f>IF(T$4=0,0,IF(COUNTIFS(実績!$W$6:$W$505,T$3,実績!$AC$6:$AC$505,"&lt;="&amp;$A203,実績!$AD$6:$AD$505,"&gt;"&amp;$A203,実績!$AE$6:$AE$505,"○")&gt;0,1,0))</f>
        <v/>
      </c>
      <c r="U203">
        <f>IF(U$4=0,0,IF(COUNTIFS(実績!$W$6:$W$505,U$3,実績!$AC$6:$AC$505,"&lt;="&amp;$A203,実績!$AD$6:$AD$505,"&gt;"&amp;$A203,実績!$AE$6:$AE$505,"○")&gt;0,1,0))</f>
        <v/>
      </c>
      <c r="V203">
        <f>IF(V$4=0,0,IF(COUNTIFS(実績!$W$6:$W$505,V$3,実績!$AC$6:$AC$505,"&lt;="&amp;$A203,実績!$AD$6:$AD$505,"&gt;"&amp;$A203,実績!$AE$6:$AE$505,"○")&gt;0,1,0))</f>
        <v/>
      </c>
      <c r="W203">
        <f>IF(W$4=0,0,IF(COUNTIFS(実績!$W$6:$W$505,W$3,実績!$AC$6:$AC$505,"&lt;="&amp;$A203,実績!$AD$6:$AD$505,"&gt;"&amp;$A203,実績!$AE$6:$AE$505,"○")&gt;0,1,0))</f>
        <v/>
      </c>
      <c r="X203">
        <f>IF(X$4=0,0,IF(COUNTIFS(実績!$W$6:$W$505,X$3,実績!$AC$6:$AC$505,"&lt;="&amp;$A203,実績!$AD$6:$AD$505,"&gt;"&amp;$A203,実績!$AE$6:$AE$505,"○")&gt;0,1,0))</f>
        <v/>
      </c>
      <c r="Y203">
        <f>IF(Y$4=0,0,IF(COUNTIFS(実績!$W$6:$W$505,Y$3,実績!$AC$6:$AC$505,"&lt;="&amp;$A203,実績!$AD$6:$AD$505,"&gt;"&amp;$A203,実績!$AE$6:$AE$505,"○")&gt;0,1,0))</f>
        <v/>
      </c>
      <c r="Z203">
        <f>IF(Z$4=0,0,IF(COUNTIFS(実績!$W$6:$W$505,Z$3,実績!$AC$6:$AC$505,"&lt;="&amp;$A203,実績!$AD$6:$AD$505,"&gt;"&amp;$A203,実績!$AE$6:$AE$505,"○")&gt;0,1,0))</f>
        <v/>
      </c>
      <c r="AA203">
        <f>IF(AA$4=0,0,IF(COUNTIFS(実績!$W$6:$W$505,AA$3,実績!$AC$6:$AC$505,"&lt;="&amp;$A203,実績!$AD$6:$AD$505,"&gt;"&amp;$A203,実績!$AE$6:$AE$505,"○")&gt;0,1,0))</f>
        <v/>
      </c>
      <c r="AB203">
        <f>IF(AB$4=0,0,IF(COUNTIFS(実績!$W$6:$W$505,AB$3,実績!$AC$6:$AC$505,"&lt;="&amp;$A203,実績!$AD$6:$AD$505,"&gt;"&amp;$A203,実績!$AE$6:$AE$505,"○")&gt;0,1,0))</f>
        <v/>
      </c>
      <c r="AC203">
        <f>IF(AC$4=0,0,IF(COUNTIFS(実績!$W$6:$W$505,AC$3,実績!$AC$6:$AC$505,"&lt;="&amp;$A203,実績!$AD$6:$AD$505,"&gt;"&amp;$A203,実績!$AE$6:$AE$505,"○")&gt;0,1,0))</f>
        <v/>
      </c>
      <c r="AD203">
        <f>IF(AD$4=0,0,IF(COUNTIFS(実績!$W$6:$W$505,AD$3,実績!$AC$6:$AC$505,"&lt;="&amp;$A203,実績!$AD$6:$AD$505,"&gt;"&amp;$A203,実績!$AE$6:$AE$505,"○")&gt;0,1,0))</f>
        <v/>
      </c>
      <c r="AE203">
        <f>IF(AE$4=0,0,IF(COUNTIFS(実績!$W$6:$W$505,AE$3,実績!$AC$6:$AC$505,"&lt;="&amp;$A203,実績!$AD$6:$AD$505,"&gt;"&amp;$A203,実績!$AE$6:$AE$505,"○")&gt;0,1,0))</f>
        <v/>
      </c>
      <c r="AF203">
        <f>IF(AF$4=0,0,IF(COUNTIFS(実績!$W$6:$W$505,AF$3,実績!$AC$6:$AC$505,"&lt;="&amp;$A203,実績!$AD$6:$AD$505,"&gt;"&amp;$A203,実績!$AE$6:$AE$505,"○")&gt;0,1,0))</f>
        <v/>
      </c>
      <c r="AG203">
        <f>IF(AG$4=0,0,IF(COUNTIFS(実績!$W$6:$W$505,AG$3,実績!$AC$6:$AC$505,"&lt;="&amp;$A203,実績!$AD$6:$AD$505,"&gt;"&amp;$A203,実績!$AE$6:$AE$505,"○")&gt;0,1,0))</f>
        <v/>
      </c>
      <c r="AH203">
        <f>IF(AH$4=0,0,IF(COUNTIFS(実績!$W$6:$W$505,AH$3,実績!$AC$6:$AC$505,"&lt;="&amp;$A203,実績!$AD$6:$AD$505,"&gt;"&amp;$A203,実績!$AE$6:$AE$505,"○")&gt;0,1,0))</f>
        <v/>
      </c>
      <c r="AI203">
        <f>IF(AI$4=0,0,IF(COUNTIFS(実績!$W$6:$W$505,AI$3,実績!$AC$6:$AC$505,"&lt;="&amp;$A203,実績!$AD$6:$AD$505,"&gt;"&amp;$A203,実績!$AE$6:$AE$505,"○")&gt;0,1,0))</f>
        <v/>
      </c>
      <c r="AJ203">
        <f>IF(AJ$4=0,0,IF(COUNTIFS(実績!$W$6:$W$505,AJ$3,実績!$AC$6:$AC$505,"&lt;="&amp;$A203,実績!$AD$6:$AD$505,"&gt;"&amp;$A203,実績!$AE$6:$AE$505,"○")&gt;0,1,0))</f>
        <v/>
      </c>
      <c r="AK203">
        <f>IF(AK$4=0,0,IF(COUNTIFS(実績!$W$6:$W$505,AK$3,実績!$AC$6:$AC$505,"&lt;="&amp;$A203,実績!$AD$6:$AD$505,"&gt;"&amp;$A203,実績!$AE$6:$AE$505,"○")&gt;0,1,0))</f>
        <v/>
      </c>
      <c r="AL203">
        <f>IF(AL$4=0,0,IF(COUNTIFS(実績!$W$6:$W$505,AL$3,実績!$AC$6:$AC$505,"&lt;="&amp;$A203,実績!$AD$6:$AD$505,"&gt;"&amp;$A203,実績!$AE$6:$AE$505,"○")&gt;0,1,0))</f>
        <v/>
      </c>
      <c r="AM203">
        <f>IF(AM$4=0,0,IF(COUNTIFS(実績!$W$6:$W$505,AM$3,実績!$AC$6:$AC$505,"&lt;="&amp;$A203,実績!$AD$6:$AD$505,"&gt;"&amp;$A203,実績!$AE$6:$AE$505,"○")&gt;0,1,0))</f>
        <v/>
      </c>
      <c r="AN203">
        <f>IF(AN$4=0,0,IF(COUNTIFS(実績!$W$6:$W$505,AN$3,実績!$AC$6:$AC$505,"&lt;="&amp;$A203,実績!$AD$6:$AD$505,"&gt;"&amp;$A203,実績!$AE$6:$AE$505,"○")&gt;0,1,0))</f>
        <v/>
      </c>
      <c r="AO203">
        <f>IF(AO$4=0,0,IF(COUNTIFS(実績!$W$6:$W$505,AO$3,実績!$AC$6:$AC$505,"&lt;="&amp;$A203,実績!$AD$6:$AD$505,"&gt;"&amp;$A203,実績!$AE$6:$AE$505,"○")&gt;0,1,0))</f>
        <v/>
      </c>
      <c r="AP203">
        <f>IF(AP$4=0,0,IF(COUNTIFS(実績!$W$6:$W$505,AP$3,実績!$AC$6:$AC$505,"&lt;="&amp;$A203,実績!$AD$6:$AD$505,"&gt;"&amp;$A203,実績!$AE$6:$AE$505,"○")&gt;0,1,0))</f>
        <v/>
      </c>
      <c r="AQ203">
        <f>IF(AQ$4=0,0,IF(COUNTIFS(実績!$W$6:$W$505,AQ$3,実績!$AC$6:$AC$505,"&lt;="&amp;$A203,実績!$AD$6:$AD$505,"&gt;"&amp;$A203,実績!$AE$6:$AE$505,"○")&gt;0,1,0))</f>
        <v/>
      </c>
      <c r="AR203">
        <f>IF(AR$4=0,0,IF(COUNTIFS(実績!$W$6:$W$505,AR$3,実績!$AC$6:$AC$505,"&lt;="&amp;$A203,実績!$AD$6:$AD$505,"&gt;"&amp;$A203,実績!$AE$6:$AE$505,"○")&gt;0,1,0))</f>
        <v/>
      </c>
      <c r="AS203">
        <f>IF(AS$4=0,0,IF(COUNTIFS(実績!$W$6:$W$505,AS$3,実績!$AC$6:$AC$505,"&lt;="&amp;$A203,実績!$AD$6:$AD$505,"&gt;"&amp;$A203,実績!$AE$6:$AE$505,"○")&gt;0,1,0))</f>
        <v/>
      </c>
      <c r="AT203">
        <f>IF(AT$4=0,0,IF(COUNTIFS(実績!$W$6:$W$505,AT$3,実績!$AC$6:$AC$505,"&lt;="&amp;$A203,実績!$AD$6:$AD$505,"&gt;"&amp;$A203,実績!$AE$6:$AE$505,"○")&gt;0,1,0))</f>
        <v/>
      </c>
      <c r="AU203">
        <f>IF(AU$4=0,0,IF(COUNTIFS(実績!$W$6:$W$505,AU$3,実績!$AC$6:$AC$505,"&lt;="&amp;$A203,実績!$AD$6:$AD$505,"&gt;"&amp;$A203,実績!$AE$6:$AE$505,"○")&gt;0,1,0))</f>
        <v/>
      </c>
      <c r="AV203">
        <f>IF(AV$4=0,0,IF(COUNTIFS(実績!$W$6:$W$505,AV$3,実績!$AC$6:$AC$505,"&lt;="&amp;$A203,実績!$AD$6:$AD$505,"&gt;"&amp;$A203,実績!$AE$6:$AE$505,"○")&gt;0,1,0))</f>
        <v/>
      </c>
      <c r="AW203">
        <f>IF(AW$4=0,0,IF(COUNTIFS(実績!$W$6:$W$505,AW$3,実績!$AC$6:$AC$505,"&lt;="&amp;$A203,実績!$AD$6:$AD$505,"&gt;"&amp;$A203,実績!$AE$6:$AE$505,"○")&gt;0,1,0))</f>
        <v/>
      </c>
      <c r="AX203">
        <f>IF(AX$4=0,0,IF(COUNTIFS(実績!$W$6:$W$505,AX$3,実績!$AC$6:$AC$505,"&lt;="&amp;$A203,実績!$AD$6:$AD$505,"&gt;"&amp;$A203,実績!$AE$6:$AE$505,"○")&gt;0,1,0))</f>
        <v/>
      </c>
      <c r="AY203">
        <f>IF(AY$4=0,0,IF(COUNTIFS(実績!$W$6:$W$505,AY$3,実績!$AC$6:$AC$505,"&lt;="&amp;$A203,実績!$AD$6:$AD$505,"&gt;"&amp;$A203,実績!$AE$6:$AE$505,"○")&gt;0,1,0))</f>
        <v/>
      </c>
      <c r="AZ203">
        <f>IF(AZ$4=0,0,IF(COUNTIFS(実績!$W$6:$W$505,AZ$3,実績!$AC$6:$AC$505,"&lt;="&amp;$A203,実績!$AD$6:$AD$505,"&gt;"&amp;$A203,実績!$AE$6:$AE$505,"○")&gt;0,1,0))</f>
        <v/>
      </c>
      <c r="BA203">
        <f>IF(BA$4=0,0,IF(COUNTIFS(実績!$W$6:$W$505,BA$3,実績!$AC$6:$AC$505,"&lt;="&amp;$A203,実績!$AD$6:$AD$505,"&gt;"&amp;$A203,実績!$AE$6:$AE$505,"○")&gt;0,1,0))</f>
        <v/>
      </c>
      <c r="BB203">
        <f>IF(BB$4=0,0,IF(COUNTIFS(実績!$W$6:$W$505,BB$3,実績!$AC$6:$AC$505,"&lt;="&amp;$A203,実績!$AD$6:$AD$505,"&gt;"&amp;$A203,実績!$AE$6:$AE$505,"○")&gt;0,1,0))</f>
        <v/>
      </c>
      <c r="BC203">
        <f>IF(BC$4=0,0,IF(COUNTIFS(実績!$W$6:$W$505,BC$3,実績!$AC$6:$AC$505,"&lt;="&amp;$A203,実績!$AD$6:$AD$505,"&gt;"&amp;$A203,実績!$AE$6:$AE$505,"○")&gt;0,1,0))</f>
        <v/>
      </c>
      <c r="BD203">
        <f>IF(BD$4=0,0,IF(COUNTIFS(実績!$W$6:$W$505,BD$3,実績!$AC$6:$AC$505,"&lt;="&amp;$A203,実績!$AD$6:$AD$505,"&gt;"&amp;$A203,実績!$AE$6:$AE$505,"○")&gt;0,1,0))</f>
        <v/>
      </c>
      <c r="BE203">
        <f>IF(BE$4=0,0,IF(COUNTIFS(実績!$W$6:$W$505,BE$3,実績!$AC$6:$AC$505,"&lt;="&amp;$A203,実績!$AD$6:$AD$505,"&gt;"&amp;$A203,実績!$AE$6:$AE$505,"○")&gt;0,1,0))</f>
        <v/>
      </c>
      <c r="BF203">
        <f>IF(BF$4=0,0,IF(COUNTIFS(実績!$W$6:$W$505,BF$3,実績!$AC$6:$AC$505,"&lt;="&amp;$A203,実績!$AD$6:$AD$505,"&gt;"&amp;$A203,実績!$AE$6:$AE$505,"○")&gt;0,1,0))</f>
        <v/>
      </c>
      <c r="BG203">
        <f>IF(BG$4=0,0,IF(COUNTIFS(実績!$W$6:$W$505,BG$3,実績!$AC$6:$AC$505,"&lt;="&amp;$A203,実績!$AD$6:$AD$505,"&gt;"&amp;$A203,実績!$AE$6:$AE$505,"○")&gt;0,1,0))</f>
        <v/>
      </c>
      <c r="BH203">
        <f>IF(BH$4=0,0,IF(COUNTIFS(実績!$W$6:$W$505,BH$3,実績!$AC$6:$AC$505,"&lt;="&amp;$A203,実績!$AD$6:$AD$505,"&gt;"&amp;$A203,実績!$AE$6:$AE$505,"○")&gt;0,1,0))</f>
        <v/>
      </c>
      <c r="BI203">
        <f>IF(BI$4=0,0,IF(COUNTIFS(実績!$W$6:$W$505,BI$3,実績!$AC$6:$AC$505,"&lt;="&amp;$A203,実績!$AD$6:$AD$505,"&gt;"&amp;$A203,実績!$AE$6:$AE$505,"○")&gt;0,1,0))</f>
        <v/>
      </c>
      <c r="BJ203">
        <f>IF(BJ$4=0,0,IF(COUNTIFS(実績!$W$6:$W$505,BJ$3,実績!$AC$6:$AC$505,"&lt;="&amp;$A203,実績!$AD$6:$AD$505,"&gt;"&amp;$A203,実績!$AE$6:$AE$505,"○")&gt;0,1,0))</f>
        <v/>
      </c>
      <c r="BK203">
        <f>IF(BK$4=0,0,IF(COUNTIFS(実績!$W$6:$W$505,BK$3,実績!$AC$6:$AC$505,"&lt;="&amp;$A203,実績!$AD$6:$AD$505,"&gt;"&amp;$A203,実績!$AE$6:$AE$505,"○")&gt;0,1,0))</f>
        <v/>
      </c>
      <c r="BL203">
        <f>IF(BL$4=0,0,IF(COUNTIFS(実績!$W$6:$W$505,BL$3,実績!$AC$6:$AC$505,"&lt;="&amp;$A203,実績!$AD$6:$AD$505,"&gt;"&amp;$A203,実績!$AE$6:$AE$505,"○")&gt;0,1,0))</f>
        <v/>
      </c>
      <c r="BM203">
        <f>IF(BM$4=0,0,IF(COUNTIFS(実績!$W$6:$W$505,BM$3,実績!$AC$6:$AC$505,"&lt;="&amp;$A203,実績!$AD$6:$AD$505,"&gt;"&amp;$A203,実績!$AE$6:$AE$505,"○")&gt;0,1,0))</f>
        <v/>
      </c>
      <c r="BN203">
        <f>IF(BN$4=0,0,IF(COUNTIFS(実績!$W$6:$W$505,BN$3,実績!$AC$6:$AC$505,"&lt;="&amp;$A203,実績!$AD$6:$AD$505,"&gt;"&amp;$A203,実績!$AE$6:$AE$505,"○")&gt;0,1,0))</f>
        <v/>
      </c>
      <c r="BO203">
        <f>IF(BO$4=0,0,IF(COUNTIFS(実績!$W$6:$W$505,BO$3,実績!$AC$6:$AC$505,"&lt;="&amp;$A203,実績!$AD$6:$AD$505,"&gt;"&amp;$A203,実績!$AE$6:$AE$505,"○")&gt;0,1,0))</f>
        <v/>
      </c>
      <c r="BP203">
        <f>IF(BP$4=0,0,IF(COUNTIFS(実績!$W$6:$W$505,BP$3,実績!$AC$6:$AC$505,"&lt;="&amp;$A203,実績!$AD$6:$AD$505,"&gt;"&amp;$A203,実績!$AE$6:$AE$505,"○")&gt;0,1,0))</f>
        <v/>
      </c>
      <c r="BQ203">
        <f>IF(BQ$4=0,0,IF(COUNTIFS(実績!$W$6:$W$505,BQ$3,実績!$AC$6:$AC$505,"&lt;="&amp;$A203,実績!$AD$6:$AD$505,"&gt;"&amp;$A203,実績!$AE$6:$AE$505,"○")&gt;0,1,0))</f>
        <v/>
      </c>
      <c r="BR203">
        <f>IF(BR$4=0,0,IF(COUNTIFS(実績!$W$6:$W$505,BR$3,実績!$AC$6:$AC$505,"&lt;="&amp;$A203,実績!$AD$6:$AD$505,"&gt;"&amp;$A203,実績!$AE$6:$AE$505,"○")&gt;0,1,0))</f>
        <v/>
      </c>
      <c r="BS203">
        <f>IF(BS$4=0,0,IF(COUNTIFS(実績!$W$6:$W$505,BS$3,実績!$AC$6:$AC$505,"&lt;="&amp;$A203,実績!$AD$6:$AD$505,"&gt;"&amp;$A203,実績!$AE$6:$AE$505,"○")&gt;0,1,0))</f>
        <v/>
      </c>
      <c r="BT203">
        <f>IF(BT$4=0,0,IF(COUNTIFS(実績!$W$6:$W$505,BT$3,実績!$AC$6:$AC$505,"&lt;="&amp;$A203,実績!$AD$6:$AD$505,"&gt;"&amp;$A203,実績!$AE$6:$AE$505,"○")&gt;0,1,0))</f>
        <v/>
      </c>
      <c r="BU203">
        <f>IF(BU$4=0,0,IF(COUNTIFS(実績!$W$6:$W$505,BU$3,実績!$AC$6:$AC$505,"&lt;="&amp;$A203,実績!$AD$6:$AD$505,"&gt;"&amp;$A203,実績!$AE$6:$AE$505,"○")&gt;0,1,0))</f>
        <v/>
      </c>
      <c r="BV203">
        <f>IF(BV$4=0,0,IF(COUNTIFS(実績!$W$6:$W$505,BV$3,実績!$AC$6:$AC$505,"&lt;="&amp;$A203,実績!$AD$6:$AD$505,"&gt;"&amp;$A203,実績!$AE$6:$AE$505,"○")&gt;0,1,0))</f>
        <v/>
      </c>
      <c r="BW203">
        <f>IF(BW$4=0,0,IF(COUNTIFS(実績!$W$6:$W$505,BW$3,実績!$AC$6:$AC$505,"&lt;="&amp;$A203,実績!$AD$6:$AD$505,"&gt;"&amp;$A203,実績!$AE$6:$AE$505,"○")&gt;0,1,0))</f>
        <v/>
      </c>
      <c r="BX203">
        <f>IF(BX$4=0,0,IF(COUNTIFS(実績!$W$6:$W$505,BX$3,実績!$AC$6:$AC$505,"&lt;="&amp;$A203,実績!$AD$6:$AD$505,"&gt;"&amp;$A203,実績!$AE$6:$AE$505,"○")&gt;0,1,0))</f>
        <v/>
      </c>
      <c r="BY203">
        <f>IF(BY$4=0,0,IF(COUNTIFS(実績!$W$6:$W$505,BY$3,実績!$AC$6:$AC$505,"&lt;="&amp;$A203,実績!$AD$6:$AD$505,"&gt;"&amp;$A203,実績!$AE$6:$AE$505,"○")&gt;0,1,0))</f>
        <v/>
      </c>
      <c r="BZ203">
        <f>IF(BZ$4=0,0,IF(COUNTIFS(実績!$W$6:$W$505,BZ$3,実績!$AC$6:$AC$505,"&lt;="&amp;$A203,実績!$AD$6:$AD$505,"&gt;"&amp;$A203,実績!$AE$6:$AE$505,"○")&gt;0,1,0))</f>
        <v/>
      </c>
      <c r="CA203">
        <f>IF(CA$4=0,0,IF(COUNTIFS(実績!$W$6:$W$505,CA$3,実績!$AC$6:$AC$505,"&lt;="&amp;$A203,実績!$AD$6:$AD$505,"&gt;"&amp;$A203,実績!$AE$6:$AE$505,"○")&gt;0,1,0))</f>
        <v/>
      </c>
      <c r="CB203">
        <f>IF(CB$4=0,0,IF(COUNTIFS(実績!$W$6:$W$505,CB$3,実績!$AC$6:$AC$505,"&lt;="&amp;$A203,実績!$AD$6:$AD$505,"&gt;"&amp;$A203,実績!$AE$6:$AE$505,"○")&gt;0,1,0))</f>
        <v/>
      </c>
      <c r="CC203">
        <f>IF(CC$4=0,0,IF(COUNTIFS(実績!$W$6:$W$505,CC$3,実績!$AC$6:$AC$505,"&lt;="&amp;$A203,実績!$AD$6:$AD$505,"&gt;"&amp;$A203,実績!$AE$6:$AE$505,"○")&gt;0,1,0))</f>
        <v/>
      </c>
      <c r="CD203">
        <f>IF(CD$4=0,0,IF(COUNTIFS(実績!$W$6:$W$505,CD$3,実績!$AC$6:$AC$505,"&lt;="&amp;$A203,実績!$AD$6:$AD$505,"&gt;"&amp;$A203,実績!$AE$6:$AE$505,"○")&gt;0,1,0))</f>
        <v/>
      </c>
      <c r="CE203">
        <f>IF(CE$4=0,0,IF(COUNTIFS(実績!$W$6:$W$505,CE$3,実績!$AC$6:$AC$505,"&lt;="&amp;$A203,実績!$AD$6:$AD$505,"&gt;"&amp;$A203,実績!$AE$6:$AE$505,"○")&gt;0,1,0))</f>
        <v/>
      </c>
      <c r="CF203">
        <f>IF(CF$4=0,0,IF(COUNTIFS(実績!$W$6:$W$505,CF$3,実績!$AC$6:$AC$505,"&lt;="&amp;$A203,実績!$AD$6:$AD$505,"&gt;"&amp;$A203,実績!$AE$6:$AE$505,"○")&gt;0,1,0))</f>
        <v/>
      </c>
      <c r="CG203">
        <f>IF(CG$4=0,0,IF(COUNTIFS(実績!$W$6:$W$505,CG$3,実績!$AC$6:$AC$505,"&lt;="&amp;$A203,実績!$AD$6:$AD$505,"&gt;"&amp;$A203,実績!$AE$6:$AE$505,"○")&gt;0,1,0))</f>
        <v/>
      </c>
      <c r="CH203">
        <f>IF(CH$4=0,0,IF(COUNTIFS(実績!$W$6:$W$505,CH$3,実績!$AC$6:$AC$505,"&lt;="&amp;$A203,実績!$AD$6:$AD$505,"&gt;"&amp;$A203,実績!$AE$6:$AE$505,"○")&gt;0,1,0))</f>
        <v/>
      </c>
      <c r="CI203">
        <f>IF(CI$4=0,0,IF(COUNTIFS(実績!$W$6:$W$505,CI$3,実績!$AC$6:$AC$505,"&lt;="&amp;$A203,実績!$AD$6:$AD$505,"&gt;"&amp;$A203,実績!$AE$6:$AE$505,"○")&gt;0,1,0))</f>
        <v/>
      </c>
      <c r="CJ203">
        <f>IF(CJ$4=0,0,IF(COUNTIFS(実績!$W$6:$W$505,CJ$3,実績!$AC$6:$AC$505,"&lt;="&amp;$A203,実績!$AD$6:$AD$505,"&gt;"&amp;$A203,実績!$AE$6:$AE$505,"○")&gt;0,1,0))</f>
        <v/>
      </c>
      <c r="CK203">
        <f>IF(CK$4=0,0,IF(COUNTIFS(実績!$W$6:$W$505,CK$3,実績!$AC$6:$AC$505,"&lt;="&amp;$A203,実績!$AD$6:$AD$505,"&gt;"&amp;$A203,実績!$AE$6:$AE$505,"○")&gt;0,1,0))</f>
        <v/>
      </c>
      <c r="CL203">
        <f>IF(CL$4=0,0,IF(COUNTIFS(実績!$W$6:$W$505,CL$3,実績!$AC$6:$AC$505,"&lt;="&amp;$A203,実績!$AD$6:$AD$505,"&gt;"&amp;$A203,実績!$AE$6:$AE$505,"○")&gt;0,1,0))</f>
        <v/>
      </c>
      <c r="CM203">
        <f>IF(CM$4=0,0,IF(COUNTIFS(実績!$W$6:$W$505,CM$3,実績!$AC$6:$AC$505,"&lt;="&amp;$A203,実績!$AD$6:$AD$505,"&gt;"&amp;$A203,実績!$AE$6:$AE$505,"○")&gt;0,1,0))</f>
        <v/>
      </c>
      <c r="CN203">
        <f>IF(CN$4=0,0,IF(COUNTIFS(実績!$W$6:$W$505,CN$3,実績!$AC$6:$AC$505,"&lt;="&amp;$A203,実績!$AD$6:$AD$505,"&gt;"&amp;$A203,実績!$AE$6:$AE$505,"○")&gt;0,1,0))</f>
        <v/>
      </c>
      <c r="CO203">
        <f>IF(CO$4=0,0,IF(COUNTIFS(実績!$W$6:$W$505,CO$3,実績!$AC$6:$AC$505,"&lt;="&amp;$A203,実績!$AD$6:$AD$505,"&gt;"&amp;$A203,実績!$AE$6:$AE$505,"○")&gt;0,1,0))</f>
        <v/>
      </c>
      <c r="CP203">
        <f>IF(CP$4=0,0,IF(COUNTIFS(実績!$W$6:$W$505,CP$3,実績!$AC$6:$AC$505,"&lt;="&amp;$A203,実績!$AD$6:$AD$505,"&gt;"&amp;$A203,実績!$AE$6:$AE$505,"○")&gt;0,1,0))</f>
        <v/>
      </c>
      <c r="CQ203">
        <f>IF(CQ$4=0,0,IF(COUNTIFS(実績!$W$6:$W$505,CQ$3,実績!$AC$6:$AC$505,"&lt;="&amp;$A203,実績!$AD$6:$AD$505,"&gt;"&amp;$A203,実績!$AE$6:$AE$505,"○")&gt;0,1,0))</f>
        <v/>
      </c>
      <c r="CR203">
        <f>IF(CR$4=0,0,IF(COUNTIFS(実績!$W$6:$W$505,CR$3,実績!$AC$6:$AC$505,"&lt;="&amp;$A203,実績!$AD$6:$AD$505,"&gt;"&amp;$A203,実績!$AE$6:$AE$505,"○")&gt;0,1,0))</f>
        <v/>
      </c>
      <c r="CS203">
        <f>IF(CS$4=0,0,IF(COUNTIFS(実績!$W$6:$W$505,CS$3,実績!$AC$6:$AC$505,"&lt;="&amp;$A203,実績!$AD$6:$AD$505,"&gt;"&amp;$A203,実績!$AE$6:$AE$505,"○")&gt;0,1,0))</f>
        <v/>
      </c>
      <c r="CT203">
        <f>IF(CT$4=0,0,IF(COUNTIFS(実績!$W$6:$W$505,CT$3,実績!$AC$6:$AC$505,"&lt;="&amp;$A203,実績!$AD$6:$AD$505,"&gt;"&amp;$A203,実績!$AE$6:$AE$505,"○")&gt;0,1,0))</f>
        <v/>
      </c>
      <c r="CU203">
        <f>IF(CU$4=0,0,IF(COUNTIFS(実績!$W$6:$W$505,CU$3,実績!$AC$6:$AC$505,"&lt;="&amp;$A203,実績!$AD$6:$AD$505,"&gt;"&amp;$A203,実績!$AE$6:$AE$505,"○")&gt;0,1,0))</f>
        <v/>
      </c>
      <c r="CV203">
        <f>IF(CV$4=0,0,IF(COUNTIFS(実績!$W$6:$W$505,CV$3,実績!$AC$6:$AC$505,"&lt;="&amp;$A203,実績!$AD$6:$AD$505,"&gt;"&amp;$A203,実績!$AE$6:$AE$505,"○")&gt;0,1,0))</f>
        <v/>
      </c>
      <c r="CW203">
        <f>IF(CW$4=0,0,IF(COUNTIFS(実績!$W$6:$W$505,CW$3,実績!$AC$6:$AC$505,"&lt;="&amp;$A203,実績!$AD$6:$AD$505,"&gt;"&amp;$A203,実績!$AE$6:$AE$505,"○")&gt;0,1,0))</f>
        <v/>
      </c>
      <c r="CX203">
        <f>IF(CX$4=0,0,IF(COUNTIFS(実績!$W$6:$W$505,CX$3,実績!$AC$6:$AC$505,"&lt;="&amp;$A203,実績!$AD$6:$AD$505,"&gt;"&amp;$A203,実績!$AE$6:$AE$505,"○")&gt;0,1,0))</f>
        <v/>
      </c>
      <c r="CY203">
        <f>IF(CY$4=0,0,IF(COUNTIFS(実績!$W$6:$W$505,CY$3,実績!$AC$6:$AC$505,"&lt;="&amp;$A203,実績!$AD$6:$AD$505,"&gt;"&amp;$A203,実績!$AE$6:$AE$505,"○")&gt;0,1,0))</f>
        <v/>
      </c>
      <c r="CZ203">
        <f>IF(CZ$4=0,0,IF(COUNTIFS(実績!$W$6:$W$505,CZ$3,実績!$AC$6:$AC$505,"&lt;="&amp;$A203,実績!$AD$6:$AD$505,"&gt;"&amp;$A203,実績!$AE$6:$AE$505,"○")&gt;0,1,0))</f>
        <v/>
      </c>
      <c r="DA203">
        <f>IF(DA$4=0,0,IF(COUNTIFS(実績!$W$6:$W$505,DA$3,実績!$AC$6:$AC$505,"&lt;="&amp;$A203,実績!$AD$6:$AD$505,"&gt;"&amp;$A203,実績!$AE$6:$AE$505,"○")&gt;0,1,0))</f>
        <v/>
      </c>
      <c r="DB203">
        <f>IF(DB$4=0,0,IF(COUNTIFS(実績!$W$6:$W$505,DB$3,実績!$AC$6:$AC$505,"&lt;="&amp;$A203,実績!$AD$6:$AD$505,"&gt;"&amp;$A203,実績!$AE$6:$AE$505,"○")&gt;0,1,0))</f>
        <v/>
      </c>
      <c r="DC203">
        <f>IF(DC$4=0,0,IF(COUNTIFS(実績!$W$6:$W$505,DC$3,実績!$AC$6:$AC$505,"&lt;="&amp;$A203,実績!$AD$6:$AD$505,"&gt;"&amp;$A203,実績!$AE$6:$AE$505,"○")&gt;0,1,0))</f>
        <v/>
      </c>
      <c r="DD203">
        <f>IF(DD$4=0,0,IF(COUNTIFS(実績!$W$6:$W$505,DD$3,実績!$AC$6:$AC$505,"&lt;="&amp;$A203,実績!$AD$6:$AD$505,"&gt;"&amp;$A203,実績!$AE$6:$AE$505,"○")&gt;0,1,0))</f>
        <v/>
      </c>
      <c r="DE203">
        <f>IF(DE$4=0,0,IF(COUNTIFS(実績!$W$6:$W$505,DE$3,実績!$AC$6:$AC$505,"&lt;="&amp;$A203,実績!$AD$6:$AD$505,"&gt;"&amp;$A203,実績!$AE$6:$AE$505,"○")&gt;0,1,0))</f>
        <v/>
      </c>
      <c r="DF203">
        <f>IF(DF$4=0,0,IF(COUNTIFS(実績!$W$6:$W$505,DF$3,実績!$AC$6:$AC$505,"&lt;="&amp;$A203,実績!$AD$6:$AD$505,"&gt;"&amp;$A203,実績!$AE$6:$AE$505,"○")&gt;0,1,0))</f>
        <v/>
      </c>
      <c r="DG203">
        <f>IF(DG$4=0,0,IF(COUNTIFS(実績!$W$6:$W$505,DG$3,実績!$AC$6:$AC$505,"&lt;="&amp;$A203,実績!$AD$6:$AD$505,"&gt;"&amp;$A203,実績!$AE$6:$AE$505,"○")&gt;0,1,0))</f>
        <v/>
      </c>
      <c r="DH203">
        <f>IF(DH$4=0,0,IF(COUNTIFS(実績!$W$6:$W$505,DH$3,実績!$AC$6:$AC$505,"&lt;="&amp;$A203,実績!$AD$6:$AD$505,"&gt;"&amp;$A203,実績!$AE$6:$AE$505,"○")&gt;0,1,0))</f>
        <v/>
      </c>
      <c r="DI203">
        <f>IF(DI$4=0,0,IF(COUNTIFS(実績!$W$6:$W$505,DI$3,実績!$AC$6:$AC$505,"&lt;="&amp;$A203,実績!$AD$6:$AD$505,"&gt;"&amp;$A203,実績!$AE$6:$AE$505,"○")&gt;0,1,0))</f>
        <v/>
      </c>
      <c r="DJ203">
        <f>IF(DJ$4=0,0,IF(COUNTIFS(実績!$W$6:$W$505,DJ$3,実績!$AC$6:$AC$505,"&lt;="&amp;$A203,実績!$AD$6:$AD$505,"&gt;"&amp;$A203,実績!$AE$6:$AE$505,"○")&gt;0,1,0))</f>
        <v/>
      </c>
      <c r="DK203">
        <f>IF(DK$4=0,0,IF(COUNTIFS(実績!$W$6:$W$505,DK$3,実績!$AC$6:$AC$505,"&lt;="&amp;$A203,実績!$AD$6:$AD$505,"&gt;"&amp;$A203,実績!$AE$6:$AE$505,"○")&gt;0,1,0))</f>
        <v/>
      </c>
      <c r="DL203">
        <f>IF(DL$4=0,0,IF(COUNTIFS(実績!$W$6:$W$505,DL$3,実績!$AC$6:$AC$505,"&lt;="&amp;$A203,実績!$AD$6:$AD$505,"&gt;"&amp;$A203,実績!$AE$6:$AE$505,"○")&gt;0,1,0))</f>
        <v/>
      </c>
      <c r="DM203">
        <f>IF(DM$4=0,0,IF(COUNTIFS(実績!$W$6:$W$505,DM$3,実績!$AC$6:$AC$505,"&lt;="&amp;$A203,実績!$AD$6:$AD$505,"&gt;"&amp;$A203,実績!$AE$6:$AE$505,"○")&gt;0,1,0))</f>
        <v/>
      </c>
      <c r="DN203">
        <f>IF(DN$4=0,0,IF(COUNTIFS(実績!$W$6:$W$505,DN$3,実績!$AC$6:$AC$505,"&lt;="&amp;$A203,実績!$AD$6:$AD$505,"&gt;"&amp;$A203,実績!$AE$6:$AE$505,"○")&gt;0,1,0))</f>
        <v/>
      </c>
      <c r="DO203">
        <f>IF(DO$4=0,0,IF(COUNTIFS(実績!$W$6:$W$505,DO$3,実績!$AC$6:$AC$505,"&lt;="&amp;$A203,実績!$AD$6:$AD$505,"&gt;"&amp;$A203,実績!$AE$6:$AE$505,"○")&gt;0,1,0))</f>
        <v/>
      </c>
      <c r="DP203">
        <f>IF(DP$4=0,0,IF(COUNTIFS(実績!$W$6:$W$505,DP$3,実績!$AC$6:$AC$505,"&lt;="&amp;$A203,実績!$AD$6:$AD$505,"&gt;"&amp;$A203,実績!$AE$6:$AE$505,"○")&gt;0,1,0))</f>
        <v/>
      </c>
      <c r="DQ203">
        <f>IF(DQ$4=0,0,IF(COUNTIFS(実績!$W$6:$W$505,DQ$3,実績!$AC$6:$AC$505,"&lt;="&amp;$A203,実績!$AD$6:$AD$505,"&gt;"&amp;$A203,実績!$AE$6:$AE$505,"○")&gt;0,1,0))</f>
        <v/>
      </c>
      <c r="DR203">
        <f>IF(DR$4=0,0,IF(COUNTIFS(実績!$W$6:$W$505,DR$3,実績!$AC$6:$AC$505,"&lt;="&amp;$A203,実績!$AD$6:$AD$505,"&gt;"&amp;$A203,実績!$AE$6:$AE$505,"○")&gt;0,1,0))</f>
        <v/>
      </c>
      <c r="DS203">
        <f>SUM(C203:DR203)</f>
        <v/>
      </c>
      <c r="DT203">
        <f>SUMPRODUCT((実績!$C$6:$C$505="○")*ISNUMBER(実績!$AF$6:$AF$505)*(実績!$AF$6:$AF$505&lt;=$A203)*(実績!$AG$6:$AG$505&gt;$A203))</f>
        <v/>
      </c>
      <c r="DU203">
        <f>SUMIF($C$2:$DR$2,"製鉄曳船",C203:DR203)</f>
        <v/>
      </c>
      <c r="DV203">
        <f>SUMIF($C$2:$DR$2,"西日本海運",C203:DR203)</f>
        <v/>
      </c>
    </row>
    <row r="204">
      <c r="A204" t="n">
        <v>990</v>
      </c>
      <c r="B204" s="29">
        <f>A204/1440</f>
        <v/>
      </c>
      <c r="C204">
        <f>IF(C$4=0,0,IF(COUNTIFS(実績!$W$6:$W$505,C$3,実績!$AC$6:$AC$505,"&lt;="&amp;$A204,実績!$AD$6:$AD$505,"&gt;"&amp;$A204,実績!$AE$6:$AE$505,"○")&gt;0,1,0))</f>
        <v/>
      </c>
      <c r="D204">
        <f>IF(D$4=0,0,IF(COUNTIFS(実績!$W$6:$W$505,D$3,実績!$AC$6:$AC$505,"&lt;="&amp;$A204,実績!$AD$6:$AD$505,"&gt;"&amp;$A204,実績!$AE$6:$AE$505,"○")&gt;0,1,0))</f>
        <v/>
      </c>
      <c r="E204">
        <f>IF(E$4=0,0,IF(COUNTIFS(実績!$W$6:$W$505,E$3,実績!$AC$6:$AC$505,"&lt;="&amp;$A204,実績!$AD$6:$AD$505,"&gt;"&amp;$A204,実績!$AE$6:$AE$505,"○")&gt;0,1,0))</f>
        <v/>
      </c>
      <c r="F204">
        <f>IF(F$4=0,0,IF(COUNTIFS(実績!$W$6:$W$505,F$3,実績!$AC$6:$AC$505,"&lt;="&amp;$A204,実績!$AD$6:$AD$505,"&gt;"&amp;$A204,実績!$AE$6:$AE$505,"○")&gt;0,1,0))</f>
        <v/>
      </c>
      <c r="G204">
        <f>IF(G$4=0,0,IF(COUNTIFS(実績!$W$6:$W$505,G$3,実績!$AC$6:$AC$505,"&lt;="&amp;$A204,実績!$AD$6:$AD$505,"&gt;"&amp;$A204,実績!$AE$6:$AE$505,"○")&gt;0,1,0))</f>
        <v/>
      </c>
      <c r="H204">
        <f>IF(H$4=0,0,IF(COUNTIFS(実績!$W$6:$W$505,H$3,実績!$AC$6:$AC$505,"&lt;="&amp;$A204,実績!$AD$6:$AD$505,"&gt;"&amp;$A204,実績!$AE$6:$AE$505,"○")&gt;0,1,0))</f>
        <v/>
      </c>
      <c r="I204">
        <f>IF(I$4=0,0,IF(COUNTIFS(実績!$W$6:$W$505,I$3,実績!$AC$6:$AC$505,"&lt;="&amp;$A204,実績!$AD$6:$AD$505,"&gt;"&amp;$A204,実績!$AE$6:$AE$505,"○")&gt;0,1,0))</f>
        <v/>
      </c>
      <c r="J204">
        <f>IF(J$4=0,0,IF(COUNTIFS(実績!$W$6:$W$505,J$3,実績!$AC$6:$AC$505,"&lt;="&amp;$A204,実績!$AD$6:$AD$505,"&gt;"&amp;$A204,実績!$AE$6:$AE$505,"○")&gt;0,1,0))</f>
        <v/>
      </c>
      <c r="K204">
        <f>IF(K$4=0,0,IF(COUNTIFS(実績!$W$6:$W$505,K$3,実績!$AC$6:$AC$505,"&lt;="&amp;$A204,実績!$AD$6:$AD$505,"&gt;"&amp;$A204,実績!$AE$6:$AE$505,"○")&gt;0,1,0))</f>
        <v/>
      </c>
      <c r="L204">
        <f>IF(L$4=0,0,IF(COUNTIFS(実績!$W$6:$W$505,L$3,実績!$AC$6:$AC$505,"&lt;="&amp;$A204,実績!$AD$6:$AD$505,"&gt;"&amp;$A204,実績!$AE$6:$AE$505,"○")&gt;0,1,0))</f>
        <v/>
      </c>
      <c r="M204">
        <f>IF(M$4=0,0,IF(COUNTIFS(実績!$W$6:$W$505,M$3,実績!$AC$6:$AC$505,"&lt;="&amp;$A204,実績!$AD$6:$AD$505,"&gt;"&amp;$A204,実績!$AE$6:$AE$505,"○")&gt;0,1,0))</f>
        <v/>
      </c>
      <c r="N204">
        <f>IF(N$4=0,0,IF(COUNTIFS(実績!$W$6:$W$505,N$3,実績!$AC$6:$AC$505,"&lt;="&amp;$A204,実績!$AD$6:$AD$505,"&gt;"&amp;$A204,実績!$AE$6:$AE$505,"○")&gt;0,1,0))</f>
        <v/>
      </c>
      <c r="O204">
        <f>IF(O$4=0,0,IF(COUNTIFS(実績!$W$6:$W$505,O$3,実績!$AC$6:$AC$505,"&lt;="&amp;$A204,実績!$AD$6:$AD$505,"&gt;"&amp;$A204,実績!$AE$6:$AE$505,"○")&gt;0,1,0))</f>
        <v/>
      </c>
      <c r="P204">
        <f>IF(P$4=0,0,IF(COUNTIFS(実績!$W$6:$W$505,P$3,実績!$AC$6:$AC$505,"&lt;="&amp;$A204,実績!$AD$6:$AD$505,"&gt;"&amp;$A204,実績!$AE$6:$AE$505,"○")&gt;0,1,0))</f>
        <v/>
      </c>
      <c r="Q204">
        <f>IF(Q$4=0,0,IF(COUNTIFS(実績!$W$6:$W$505,Q$3,実績!$AC$6:$AC$505,"&lt;="&amp;$A204,実績!$AD$6:$AD$505,"&gt;"&amp;$A204,実績!$AE$6:$AE$505,"○")&gt;0,1,0))</f>
        <v/>
      </c>
      <c r="R204">
        <f>IF(R$4=0,0,IF(COUNTIFS(実績!$W$6:$W$505,R$3,実績!$AC$6:$AC$505,"&lt;="&amp;$A204,実績!$AD$6:$AD$505,"&gt;"&amp;$A204,実績!$AE$6:$AE$505,"○")&gt;0,1,0))</f>
        <v/>
      </c>
      <c r="S204">
        <f>IF(S$4=0,0,IF(COUNTIFS(実績!$W$6:$W$505,S$3,実績!$AC$6:$AC$505,"&lt;="&amp;$A204,実績!$AD$6:$AD$505,"&gt;"&amp;$A204,実績!$AE$6:$AE$505,"○")&gt;0,1,0))</f>
        <v/>
      </c>
      <c r="T204">
        <f>IF(T$4=0,0,IF(COUNTIFS(実績!$W$6:$W$505,T$3,実績!$AC$6:$AC$505,"&lt;="&amp;$A204,実績!$AD$6:$AD$505,"&gt;"&amp;$A204,実績!$AE$6:$AE$505,"○")&gt;0,1,0))</f>
        <v/>
      </c>
      <c r="U204">
        <f>IF(U$4=0,0,IF(COUNTIFS(実績!$W$6:$W$505,U$3,実績!$AC$6:$AC$505,"&lt;="&amp;$A204,実績!$AD$6:$AD$505,"&gt;"&amp;$A204,実績!$AE$6:$AE$505,"○")&gt;0,1,0))</f>
        <v/>
      </c>
      <c r="V204">
        <f>IF(V$4=0,0,IF(COUNTIFS(実績!$W$6:$W$505,V$3,実績!$AC$6:$AC$505,"&lt;="&amp;$A204,実績!$AD$6:$AD$505,"&gt;"&amp;$A204,実績!$AE$6:$AE$505,"○")&gt;0,1,0))</f>
        <v/>
      </c>
      <c r="W204">
        <f>IF(W$4=0,0,IF(COUNTIFS(実績!$W$6:$W$505,W$3,実績!$AC$6:$AC$505,"&lt;="&amp;$A204,実績!$AD$6:$AD$505,"&gt;"&amp;$A204,実績!$AE$6:$AE$505,"○")&gt;0,1,0))</f>
        <v/>
      </c>
      <c r="X204">
        <f>IF(X$4=0,0,IF(COUNTIFS(実績!$W$6:$W$505,X$3,実績!$AC$6:$AC$505,"&lt;="&amp;$A204,実績!$AD$6:$AD$505,"&gt;"&amp;$A204,実績!$AE$6:$AE$505,"○")&gt;0,1,0))</f>
        <v/>
      </c>
      <c r="Y204">
        <f>IF(Y$4=0,0,IF(COUNTIFS(実績!$W$6:$W$505,Y$3,実績!$AC$6:$AC$505,"&lt;="&amp;$A204,実績!$AD$6:$AD$505,"&gt;"&amp;$A204,実績!$AE$6:$AE$505,"○")&gt;0,1,0))</f>
        <v/>
      </c>
      <c r="Z204">
        <f>IF(Z$4=0,0,IF(COUNTIFS(実績!$W$6:$W$505,Z$3,実績!$AC$6:$AC$505,"&lt;="&amp;$A204,実績!$AD$6:$AD$505,"&gt;"&amp;$A204,実績!$AE$6:$AE$505,"○")&gt;0,1,0))</f>
        <v/>
      </c>
      <c r="AA204">
        <f>IF(AA$4=0,0,IF(COUNTIFS(実績!$W$6:$W$505,AA$3,実績!$AC$6:$AC$505,"&lt;="&amp;$A204,実績!$AD$6:$AD$505,"&gt;"&amp;$A204,実績!$AE$6:$AE$505,"○")&gt;0,1,0))</f>
        <v/>
      </c>
      <c r="AB204">
        <f>IF(AB$4=0,0,IF(COUNTIFS(実績!$W$6:$W$505,AB$3,実績!$AC$6:$AC$505,"&lt;="&amp;$A204,実績!$AD$6:$AD$505,"&gt;"&amp;$A204,実績!$AE$6:$AE$505,"○")&gt;0,1,0))</f>
        <v/>
      </c>
      <c r="AC204">
        <f>IF(AC$4=0,0,IF(COUNTIFS(実績!$W$6:$W$505,AC$3,実績!$AC$6:$AC$505,"&lt;="&amp;$A204,実績!$AD$6:$AD$505,"&gt;"&amp;$A204,実績!$AE$6:$AE$505,"○")&gt;0,1,0))</f>
        <v/>
      </c>
      <c r="AD204">
        <f>IF(AD$4=0,0,IF(COUNTIFS(実績!$W$6:$W$505,AD$3,実績!$AC$6:$AC$505,"&lt;="&amp;$A204,実績!$AD$6:$AD$505,"&gt;"&amp;$A204,実績!$AE$6:$AE$505,"○")&gt;0,1,0))</f>
        <v/>
      </c>
      <c r="AE204">
        <f>IF(AE$4=0,0,IF(COUNTIFS(実績!$W$6:$W$505,AE$3,実績!$AC$6:$AC$505,"&lt;="&amp;$A204,実績!$AD$6:$AD$505,"&gt;"&amp;$A204,実績!$AE$6:$AE$505,"○")&gt;0,1,0))</f>
        <v/>
      </c>
      <c r="AF204">
        <f>IF(AF$4=0,0,IF(COUNTIFS(実績!$W$6:$W$505,AF$3,実績!$AC$6:$AC$505,"&lt;="&amp;$A204,実績!$AD$6:$AD$505,"&gt;"&amp;$A204,実績!$AE$6:$AE$505,"○")&gt;0,1,0))</f>
        <v/>
      </c>
      <c r="AG204">
        <f>IF(AG$4=0,0,IF(COUNTIFS(実績!$W$6:$W$505,AG$3,実績!$AC$6:$AC$505,"&lt;="&amp;$A204,実績!$AD$6:$AD$505,"&gt;"&amp;$A204,実績!$AE$6:$AE$505,"○")&gt;0,1,0))</f>
        <v/>
      </c>
      <c r="AH204">
        <f>IF(AH$4=0,0,IF(COUNTIFS(実績!$W$6:$W$505,AH$3,実績!$AC$6:$AC$505,"&lt;="&amp;$A204,実績!$AD$6:$AD$505,"&gt;"&amp;$A204,実績!$AE$6:$AE$505,"○")&gt;0,1,0))</f>
        <v/>
      </c>
      <c r="AI204">
        <f>IF(AI$4=0,0,IF(COUNTIFS(実績!$W$6:$W$505,AI$3,実績!$AC$6:$AC$505,"&lt;="&amp;$A204,実績!$AD$6:$AD$505,"&gt;"&amp;$A204,実績!$AE$6:$AE$505,"○")&gt;0,1,0))</f>
        <v/>
      </c>
      <c r="AJ204">
        <f>IF(AJ$4=0,0,IF(COUNTIFS(実績!$W$6:$W$505,AJ$3,実績!$AC$6:$AC$505,"&lt;="&amp;$A204,実績!$AD$6:$AD$505,"&gt;"&amp;$A204,実績!$AE$6:$AE$505,"○")&gt;0,1,0))</f>
        <v/>
      </c>
      <c r="AK204">
        <f>IF(AK$4=0,0,IF(COUNTIFS(実績!$W$6:$W$505,AK$3,実績!$AC$6:$AC$505,"&lt;="&amp;$A204,実績!$AD$6:$AD$505,"&gt;"&amp;$A204,実績!$AE$6:$AE$505,"○")&gt;0,1,0))</f>
        <v/>
      </c>
      <c r="AL204">
        <f>IF(AL$4=0,0,IF(COUNTIFS(実績!$W$6:$W$505,AL$3,実績!$AC$6:$AC$505,"&lt;="&amp;$A204,実績!$AD$6:$AD$505,"&gt;"&amp;$A204,実績!$AE$6:$AE$505,"○")&gt;0,1,0))</f>
        <v/>
      </c>
      <c r="AM204">
        <f>IF(AM$4=0,0,IF(COUNTIFS(実績!$W$6:$W$505,AM$3,実績!$AC$6:$AC$505,"&lt;="&amp;$A204,実績!$AD$6:$AD$505,"&gt;"&amp;$A204,実績!$AE$6:$AE$505,"○")&gt;0,1,0))</f>
        <v/>
      </c>
      <c r="AN204">
        <f>IF(AN$4=0,0,IF(COUNTIFS(実績!$W$6:$W$505,AN$3,実績!$AC$6:$AC$505,"&lt;="&amp;$A204,実績!$AD$6:$AD$505,"&gt;"&amp;$A204,実績!$AE$6:$AE$505,"○")&gt;0,1,0))</f>
        <v/>
      </c>
      <c r="AO204">
        <f>IF(AO$4=0,0,IF(COUNTIFS(実績!$W$6:$W$505,AO$3,実績!$AC$6:$AC$505,"&lt;="&amp;$A204,実績!$AD$6:$AD$505,"&gt;"&amp;$A204,実績!$AE$6:$AE$505,"○")&gt;0,1,0))</f>
        <v/>
      </c>
      <c r="AP204">
        <f>IF(AP$4=0,0,IF(COUNTIFS(実績!$W$6:$W$505,AP$3,実績!$AC$6:$AC$505,"&lt;="&amp;$A204,実績!$AD$6:$AD$505,"&gt;"&amp;$A204,実績!$AE$6:$AE$505,"○")&gt;0,1,0))</f>
        <v/>
      </c>
      <c r="AQ204">
        <f>IF(AQ$4=0,0,IF(COUNTIFS(実績!$W$6:$W$505,AQ$3,実績!$AC$6:$AC$505,"&lt;="&amp;$A204,実績!$AD$6:$AD$505,"&gt;"&amp;$A204,実績!$AE$6:$AE$505,"○")&gt;0,1,0))</f>
        <v/>
      </c>
      <c r="AR204">
        <f>IF(AR$4=0,0,IF(COUNTIFS(実績!$W$6:$W$505,AR$3,実績!$AC$6:$AC$505,"&lt;="&amp;$A204,実績!$AD$6:$AD$505,"&gt;"&amp;$A204,実績!$AE$6:$AE$505,"○")&gt;0,1,0))</f>
        <v/>
      </c>
      <c r="AS204">
        <f>IF(AS$4=0,0,IF(COUNTIFS(実績!$W$6:$W$505,AS$3,実績!$AC$6:$AC$505,"&lt;="&amp;$A204,実績!$AD$6:$AD$505,"&gt;"&amp;$A204,実績!$AE$6:$AE$505,"○")&gt;0,1,0))</f>
        <v/>
      </c>
      <c r="AT204">
        <f>IF(AT$4=0,0,IF(COUNTIFS(実績!$W$6:$W$505,AT$3,実績!$AC$6:$AC$505,"&lt;="&amp;$A204,実績!$AD$6:$AD$505,"&gt;"&amp;$A204,実績!$AE$6:$AE$505,"○")&gt;0,1,0))</f>
        <v/>
      </c>
      <c r="AU204">
        <f>IF(AU$4=0,0,IF(COUNTIFS(実績!$W$6:$W$505,AU$3,実績!$AC$6:$AC$505,"&lt;="&amp;$A204,実績!$AD$6:$AD$505,"&gt;"&amp;$A204,実績!$AE$6:$AE$505,"○")&gt;0,1,0))</f>
        <v/>
      </c>
      <c r="AV204">
        <f>IF(AV$4=0,0,IF(COUNTIFS(実績!$W$6:$W$505,AV$3,実績!$AC$6:$AC$505,"&lt;="&amp;$A204,実績!$AD$6:$AD$505,"&gt;"&amp;$A204,実績!$AE$6:$AE$505,"○")&gt;0,1,0))</f>
        <v/>
      </c>
      <c r="AW204">
        <f>IF(AW$4=0,0,IF(COUNTIFS(実績!$W$6:$W$505,AW$3,実績!$AC$6:$AC$505,"&lt;="&amp;$A204,実績!$AD$6:$AD$505,"&gt;"&amp;$A204,実績!$AE$6:$AE$505,"○")&gt;0,1,0))</f>
        <v/>
      </c>
      <c r="AX204">
        <f>IF(AX$4=0,0,IF(COUNTIFS(実績!$W$6:$W$505,AX$3,実績!$AC$6:$AC$505,"&lt;="&amp;$A204,実績!$AD$6:$AD$505,"&gt;"&amp;$A204,実績!$AE$6:$AE$505,"○")&gt;0,1,0))</f>
        <v/>
      </c>
      <c r="AY204">
        <f>IF(AY$4=0,0,IF(COUNTIFS(実績!$W$6:$W$505,AY$3,実績!$AC$6:$AC$505,"&lt;="&amp;$A204,実績!$AD$6:$AD$505,"&gt;"&amp;$A204,実績!$AE$6:$AE$505,"○")&gt;0,1,0))</f>
        <v/>
      </c>
      <c r="AZ204">
        <f>IF(AZ$4=0,0,IF(COUNTIFS(実績!$W$6:$W$505,AZ$3,実績!$AC$6:$AC$505,"&lt;="&amp;$A204,実績!$AD$6:$AD$505,"&gt;"&amp;$A204,実績!$AE$6:$AE$505,"○")&gt;0,1,0))</f>
        <v/>
      </c>
      <c r="BA204">
        <f>IF(BA$4=0,0,IF(COUNTIFS(実績!$W$6:$W$505,BA$3,実績!$AC$6:$AC$505,"&lt;="&amp;$A204,実績!$AD$6:$AD$505,"&gt;"&amp;$A204,実績!$AE$6:$AE$505,"○")&gt;0,1,0))</f>
        <v/>
      </c>
      <c r="BB204">
        <f>IF(BB$4=0,0,IF(COUNTIFS(実績!$W$6:$W$505,BB$3,実績!$AC$6:$AC$505,"&lt;="&amp;$A204,実績!$AD$6:$AD$505,"&gt;"&amp;$A204,実績!$AE$6:$AE$505,"○")&gt;0,1,0))</f>
        <v/>
      </c>
      <c r="BC204">
        <f>IF(BC$4=0,0,IF(COUNTIFS(実績!$W$6:$W$505,BC$3,実績!$AC$6:$AC$505,"&lt;="&amp;$A204,実績!$AD$6:$AD$505,"&gt;"&amp;$A204,実績!$AE$6:$AE$505,"○")&gt;0,1,0))</f>
        <v/>
      </c>
      <c r="BD204">
        <f>IF(BD$4=0,0,IF(COUNTIFS(実績!$W$6:$W$505,BD$3,実績!$AC$6:$AC$505,"&lt;="&amp;$A204,実績!$AD$6:$AD$505,"&gt;"&amp;$A204,実績!$AE$6:$AE$505,"○")&gt;0,1,0))</f>
        <v/>
      </c>
      <c r="BE204">
        <f>IF(BE$4=0,0,IF(COUNTIFS(実績!$W$6:$W$505,BE$3,実績!$AC$6:$AC$505,"&lt;="&amp;$A204,実績!$AD$6:$AD$505,"&gt;"&amp;$A204,実績!$AE$6:$AE$505,"○")&gt;0,1,0))</f>
        <v/>
      </c>
      <c r="BF204">
        <f>IF(BF$4=0,0,IF(COUNTIFS(実績!$W$6:$W$505,BF$3,実績!$AC$6:$AC$505,"&lt;="&amp;$A204,実績!$AD$6:$AD$505,"&gt;"&amp;$A204,実績!$AE$6:$AE$505,"○")&gt;0,1,0))</f>
        <v/>
      </c>
      <c r="BG204">
        <f>IF(BG$4=0,0,IF(COUNTIFS(実績!$W$6:$W$505,BG$3,実績!$AC$6:$AC$505,"&lt;="&amp;$A204,実績!$AD$6:$AD$505,"&gt;"&amp;$A204,実績!$AE$6:$AE$505,"○")&gt;0,1,0))</f>
        <v/>
      </c>
      <c r="BH204">
        <f>IF(BH$4=0,0,IF(COUNTIFS(実績!$W$6:$W$505,BH$3,実績!$AC$6:$AC$505,"&lt;="&amp;$A204,実績!$AD$6:$AD$505,"&gt;"&amp;$A204,実績!$AE$6:$AE$505,"○")&gt;0,1,0))</f>
        <v/>
      </c>
      <c r="BI204">
        <f>IF(BI$4=0,0,IF(COUNTIFS(実績!$W$6:$W$505,BI$3,実績!$AC$6:$AC$505,"&lt;="&amp;$A204,実績!$AD$6:$AD$505,"&gt;"&amp;$A204,実績!$AE$6:$AE$505,"○")&gt;0,1,0))</f>
        <v/>
      </c>
      <c r="BJ204">
        <f>IF(BJ$4=0,0,IF(COUNTIFS(実績!$W$6:$W$505,BJ$3,実績!$AC$6:$AC$505,"&lt;="&amp;$A204,実績!$AD$6:$AD$505,"&gt;"&amp;$A204,実績!$AE$6:$AE$505,"○")&gt;0,1,0))</f>
        <v/>
      </c>
      <c r="BK204">
        <f>IF(BK$4=0,0,IF(COUNTIFS(実績!$W$6:$W$505,BK$3,実績!$AC$6:$AC$505,"&lt;="&amp;$A204,実績!$AD$6:$AD$505,"&gt;"&amp;$A204,実績!$AE$6:$AE$505,"○")&gt;0,1,0))</f>
        <v/>
      </c>
      <c r="BL204">
        <f>IF(BL$4=0,0,IF(COUNTIFS(実績!$W$6:$W$505,BL$3,実績!$AC$6:$AC$505,"&lt;="&amp;$A204,実績!$AD$6:$AD$505,"&gt;"&amp;$A204,実績!$AE$6:$AE$505,"○")&gt;0,1,0))</f>
        <v/>
      </c>
      <c r="BM204">
        <f>IF(BM$4=0,0,IF(COUNTIFS(実績!$W$6:$W$505,BM$3,実績!$AC$6:$AC$505,"&lt;="&amp;$A204,実績!$AD$6:$AD$505,"&gt;"&amp;$A204,実績!$AE$6:$AE$505,"○")&gt;0,1,0))</f>
        <v/>
      </c>
      <c r="BN204">
        <f>IF(BN$4=0,0,IF(COUNTIFS(実績!$W$6:$W$505,BN$3,実績!$AC$6:$AC$505,"&lt;="&amp;$A204,実績!$AD$6:$AD$505,"&gt;"&amp;$A204,実績!$AE$6:$AE$505,"○")&gt;0,1,0))</f>
        <v/>
      </c>
      <c r="BO204">
        <f>IF(BO$4=0,0,IF(COUNTIFS(実績!$W$6:$W$505,BO$3,実績!$AC$6:$AC$505,"&lt;="&amp;$A204,実績!$AD$6:$AD$505,"&gt;"&amp;$A204,実績!$AE$6:$AE$505,"○")&gt;0,1,0))</f>
        <v/>
      </c>
      <c r="BP204">
        <f>IF(BP$4=0,0,IF(COUNTIFS(実績!$W$6:$W$505,BP$3,実績!$AC$6:$AC$505,"&lt;="&amp;$A204,実績!$AD$6:$AD$505,"&gt;"&amp;$A204,実績!$AE$6:$AE$505,"○")&gt;0,1,0))</f>
        <v/>
      </c>
      <c r="BQ204">
        <f>IF(BQ$4=0,0,IF(COUNTIFS(実績!$W$6:$W$505,BQ$3,実績!$AC$6:$AC$505,"&lt;="&amp;$A204,実績!$AD$6:$AD$505,"&gt;"&amp;$A204,実績!$AE$6:$AE$505,"○")&gt;0,1,0))</f>
        <v/>
      </c>
      <c r="BR204">
        <f>IF(BR$4=0,0,IF(COUNTIFS(実績!$W$6:$W$505,BR$3,実績!$AC$6:$AC$505,"&lt;="&amp;$A204,実績!$AD$6:$AD$505,"&gt;"&amp;$A204,実績!$AE$6:$AE$505,"○")&gt;0,1,0))</f>
        <v/>
      </c>
      <c r="BS204">
        <f>IF(BS$4=0,0,IF(COUNTIFS(実績!$W$6:$W$505,BS$3,実績!$AC$6:$AC$505,"&lt;="&amp;$A204,実績!$AD$6:$AD$505,"&gt;"&amp;$A204,実績!$AE$6:$AE$505,"○")&gt;0,1,0))</f>
        <v/>
      </c>
      <c r="BT204">
        <f>IF(BT$4=0,0,IF(COUNTIFS(実績!$W$6:$W$505,BT$3,実績!$AC$6:$AC$505,"&lt;="&amp;$A204,実績!$AD$6:$AD$505,"&gt;"&amp;$A204,実績!$AE$6:$AE$505,"○")&gt;0,1,0))</f>
        <v/>
      </c>
      <c r="BU204">
        <f>IF(BU$4=0,0,IF(COUNTIFS(実績!$W$6:$W$505,BU$3,実績!$AC$6:$AC$505,"&lt;="&amp;$A204,実績!$AD$6:$AD$505,"&gt;"&amp;$A204,実績!$AE$6:$AE$505,"○")&gt;0,1,0))</f>
        <v/>
      </c>
      <c r="BV204">
        <f>IF(BV$4=0,0,IF(COUNTIFS(実績!$W$6:$W$505,BV$3,実績!$AC$6:$AC$505,"&lt;="&amp;$A204,実績!$AD$6:$AD$505,"&gt;"&amp;$A204,実績!$AE$6:$AE$505,"○")&gt;0,1,0))</f>
        <v/>
      </c>
      <c r="BW204">
        <f>IF(BW$4=0,0,IF(COUNTIFS(実績!$W$6:$W$505,BW$3,実績!$AC$6:$AC$505,"&lt;="&amp;$A204,実績!$AD$6:$AD$505,"&gt;"&amp;$A204,実績!$AE$6:$AE$505,"○")&gt;0,1,0))</f>
        <v/>
      </c>
      <c r="BX204">
        <f>IF(BX$4=0,0,IF(COUNTIFS(実績!$W$6:$W$505,BX$3,実績!$AC$6:$AC$505,"&lt;="&amp;$A204,実績!$AD$6:$AD$505,"&gt;"&amp;$A204,実績!$AE$6:$AE$505,"○")&gt;0,1,0))</f>
        <v/>
      </c>
      <c r="BY204">
        <f>IF(BY$4=0,0,IF(COUNTIFS(実績!$W$6:$W$505,BY$3,実績!$AC$6:$AC$505,"&lt;="&amp;$A204,実績!$AD$6:$AD$505,"&gt;"&amp;$A204,実績!$AE$6:$AE$505,"○")&gt;0,1,0))</f>
        <v/>
      </c>
      <c r="BZ204">
        <f>IF(BZ$4=0,0,IF(COUNTIFS(実績!$W$6:$W$505,BZ$3,実績!$AC$6:$AC$505,"&lt;="&amp;$A204,実績!$AD$6:$AD$505,"&gt;"&amp;$A204,実績!$AE$6:$AE$505,"○")&gt;0,1,0))</f>
        <v/>
      </c>
      <c r="CA204">
        <f>IF(CA$4=0,0,IF(COUNTIFS(実績!$W$6:$W$505,CA$3,実績!$AC$6:$AC$505,"&lt;="&amp;$A204,実績!$AD$6:$AD$505,"&gt;"&amp;$A204,実績!$AE$6:$AE$505,"○")&gt;0,1,0))</f>
        <v/>
      </c>
      <c r="CB204">
        <f>IF(CB$4=0,0,IF(COUNTIFS(実績!$W$6:$W$505,CB$3,実績!$AC$6:$AC$505,"&lt;="&amp;$A204,実績!$AD$6:$AD$505,"&gt;"&amp;$A204,実績!$AE$6:$AE$505,"○")&gt;0,1,0))</f>
        <v/>
      </c>
      <c r="CC204">
        <f>IF(CC$4=0,0,IF(COUNTIFS(実績!$W$6:$W$505,CC$3,実績!$AC$6:$AC$505,"&lt;="&amp;$A204,実績!$AD$6:$AD$505,"&gt;"&amp;$A204,実績!$AE$6:$AE$505,"○")&gt;0,1,0))</f>
        <v/>
      </c>
      <c r="CD204">
        <f>IF(CD$4=0,0,IF(COUNTIFS(実績!$W$6:$W$505,CD$3,実績!$AC$6:$AC$505,"&lt;="&amp;$A204,実績!$AD$6:$AD$505,"&gt;"&amp;$A204,実績!$AE$6:$AE$505,"○")&gt;0,1,0))</f>
        <v/>
      </c>
      <c r="CE204">
        <f>IF(CE$4=0,0,IF(COUNTIFS(実績!$W$6:$W$505,CE$3,実績!$AC$6:$AC$505,"&lt;="&amp;$A204,実績!$AD$6:$AD$505,"&gt;"&amp;$A204,実績!$AE$6:$AE$505,"○")&gt;0,1,0))</f>
        <v/>
      </c>
      <c r="CF204">
        <f>IF(CF$4=0,0,IF(COUNTIFS(実績!$W$6:$W$505,CF$3,実績!$AC$6:$AC$505,"&lt;="&amp;$A204,実績!$AD$6:$AD$505,"&gt;"&amp;$A204,実績!$AE$6:$AE$505,"○")&gt;0,1,0))</f>
        <v/>
      </c>
      <c r="CG204">
        <f>IF(CG$4=0,0,IF(COUNTIFS(実績!$W$6:$W$505,CG$3,実績!$AC$6:$AC$505,"&lt;="&amp;$A204,実績!$AD$6:$AD$505,"&gt;"&amp;$A204,実績!$AE$6:$AE$505,"○")&gt;0,1,0))</f>
        <v/>
      </c>
      <c r="CH204">
        <f>IF(CH$4=0,0,IF(COUNTIFS(実績!$W$6:$W$505,CH$3,実績!$AC$6:$AC$505,"&lt;="&amp;$A204,実績!$AD$6:$AD$505,"&gt;"&amp;$A204,実績!$AE$6:$AE$505,"○")&gt;0,1,0))</f>
        <v/>
      </c>
      <c r="CI204">
        <f>IF(CI$4=0,0,IF(COUNTIFS(実績!$W$6:$W$505,CI$3,実績!$AC$6:$AC$505,"&lt;="&amp;$A204,実績!$AD$6:$AD$505,"&gt;"&amp;$A204,実績!$AE$6:$AE$505,"○")&gt;0,1,0))</f>
        <v/>
      </c>
      <c r="CJ204">
        <f>IF(CJ$4=0,0,IF(COUNTIFS(実績!$W$6:$W$505,CJ$3,実績!$AC$6:$AC$505,"&lt;="&amp;$A204,実績!$AD$6:$AD$505,"&gt;"&amp;$A204,実績!$AE$6:$AE$505,"○")&gt;0,1,0))</f>
        <v/>
      </c>
      <c r="CK204">
        <f>IF(CK$4=0,0,IF(COUNTIFS(実績!$W$6:$W$505,CK$3,実績!$AC$6:$AC$505,"&lt;="&amp;$A204,実績!$AD$6:$AD$505,"&gt;"&amp;$A204,実績!$AE$6:$AE$505,"○")&gt;0,1,0))</f>
        <v/>
      </c>
      <c r="CL204">
        <f>IF(CL$4=0,0,IF(COUNTIFS(実績!$W$6:$W$505,CL$3,実績!$AC$6:$AC$505,"&lt;="&amp;$A204,実績!$AD$6:$AD$505,"&gt;"&amp;$A204,実績!$AE$6:$AE$505,"○")&gt;0,1,0))</f>
        <v/>
      </c>
      <c r="CM204">
        <f>IF(CM$4=0,0,IF(COUNTIFS(実績!$W$6:$W$505,CM$3,実績!$AC$6:$AC$505,"&lt;="&amp;$A204,実績!$AD$6:$AD$505,"&gt;"&amp;$A204,実績!$AE$6:$AE$505,"○")&gt;0,1,0))</f>
        <v/>
      </c>
      <c r="CN204">
        <f>IF(CN$4=0,0,IF(COUNTIFS(実績!$W$6:$W$505,CN$3,実績!$AC$6:$AC$505,"&lt;="&amp;$A204,実績!$AD$6:$AD$505,"&gt;"&amp;$A204,実績!$AE$6:$AE$505,"○")&gt;0,1,0))</f>
        <v/>
      </c>
      <c r="CO204">
        <f>IF(CO$4=0,0,IF(COUNTIFS(実績!$W$6:$W$505,CO$3,実績!$AC$6:$AC$505,"&lt;="&amp;$A204,実績!$AD$6:$AD$505,"&gt;"&amp;$A204,実績!$AE$6:$AE$505,"○")&gt;0,1,0))</f>
        <v/>
      </c>
      <c r="CP204">
        <f>IF(CP$4=0,0,IF(COUNTIFS(実績!$W$6:$W$505,CP$3,実績!$AC$6:$AC$505,"&lt;="&amp;$A204,実績!$AD$6:$AD$505,"&gt;"&amp;$A204,実績!$AE$6:$AE$505,"○")&gt;0,1,0))</f>
        <v/>
      </c>
      <c r="CQ204">
        <f>IF(CQ$4=0,0,IF(COUNTIFS(実績!$W$6:$W$505,CQ$3,実績!$AC$6:$AC$505,"&lt;="&amp;$A204,実績!$AD$6:$AD$505,"&gt;"&amp;$A204,実績!$AE$6:$AE$505,"○")&gt;0,1,0))</f>
        <v/>
      </c>
      <c r="CR204">
        <f>IF(CR$4=0,0,IF(COUNTIFS(実績!$W$6:$W$505,CR$3,実績!$AC$6:$AC$505,"&lt;="&amp;$A204,実績!$AD$6:$AD$505,"&gt;"&amp;$A204,実績!$AE$6:$AE$505,"○")&gt;0,1,0))</f>
        <v/>
      </c>
      <c r="CS204">
        <f>IF(CS$4=0,0,IF(COUNTIFS(実績!$W$6:$W$505,CS$3,実績!$AC$6:$AC$505,"&lt;="&amp;$A204,実績!$AD$6:$AD$505,"&gt;"&amp;$A204,実績!$AE$6:$AE$505,"○")&gt;0,1,0))</f>
        <v/>
      </c>
      <c r="CT204">
        <f>IF(CT$4=0,0,IF(COUNTIFS(実績!$W$6:$W$505,CT$3,実績!$AC$6:$AC$505,"&lt;="&amp;$A204,実績!$AD$6:$AD$505,"&gt;"&amp;$A204,実績!$AE$6:$AE$505,"○")&gt;0,1,0))</f>
        <v/>
      </c>
      <c r="CU204">
        <f>IF(CU$4=0,0,IF(COUNTIFS(実績!$W$6:$W$505,CU$3,実績!$AC$6:$AC$505,"&lt;="&amp;$A204,実績!$AD$6:$AD$505,"&gt;"&amp;$A204,実績!$AE$6:$AE$505,"○")&gt;0,1,0))</f>
        <v/>
      </c>
      <c r="CV204">
        <f>IF(CV$4=0,0,IF(COUNTIFS(実績!$W$6:$W$505,CV$3,実績!$AC$6:$AC$505,"&lt;="&amp;$A204,実績!$AD$6:$AD$505,"&gt;"&amp;$A204,実績!$AE$6:$AE$505,"○")&gt;0,1,0))</f>
        <v/>
      </c>
      <c r="CW204">
        <f>IF(CW$4=0,0,IF(COUNTIFS(実績!$W$6:$W$505,CW$3,実績!$AC$6:$AC$505,"&lt;="&amp;$A204,実績!$AD$6:$AD$505,"&gt;"&amp;$A204,実績!$AE$6:$AE$505,"○")&gt;0,1,0))</f>
        <v/>
      </c>
      <c r="CX204">
        <f>IF(CX$4=0,0,IF(COUNTIFS(実績!$W$6:$W$505,CX$3,実績!$AC$6:$AC$505,"&lt;="&amp;$A204,実績!$AD$6:$AD$505,"&gt;"&amp;$A204,実績!$AE$6:$AE$505,"○")&gt;0,1,0))</f>
        <v/>
      </c>
      <c r="CY204">
        <f>IF(CY$4=0,0,IF(COUNTIFS(実績!$W$6:$W$505,CY$3,実績!$AC$6:$AC$505,"&lt;="&amp;$A204,実績!$AD$6:$AD$505,"&gt;"&amp;$A204,実績!$AE$6:$AE$505,"○")&gt;0,1,0))</f>
        <v/>
      </c>
      <c r="CZ204">
        <f>IF(CZ$4=0,0,IF(COUNTIFS(実績!$W$6:$W$505,CZ$3,実績!$AC$6:$AC$505,"&lt;="&amp;$A204,実績!$AD$6:$AD$505,"&gt;"&amp;$A204,実績!$AE$6:$AE$505,"○")&gt;0,1,0))</f>
        <v/>
      </c>
      <c r="DA204">
        <f>IF(DA$4=0,0,IF(COUNTIFS(実績!$W$6:$W$505,DA$3,実績!$AC$6:$AC$505,"&lt;="&amp;$A204,実績!$AD$6:$AD$505,"&gt;"&amp;$A204,実績!$AE$6:$AE$505,"○")&gt;0,1,0))</f>
        <v/>
      </c>
      <c r="DB204">
        <f>IF(DB$4=0,0,IF(COUNTIFS(実績!$W$6:$W$505,DB$3,実績!$AC$6:$AC$505,"&lt;="&amp;$A204,実績!$AD$6:$AD$505,"&gt;"&amp;$A204,実績!$AE$6:$AE$505,"○")&gt;0,1,0))</f>
        <v/>
      </c>
      <c r="DC204">
        <f>IF(DC$4=0,0,IF(COUNTIFS(実績!$W$6:$W$505,DC$3,実績!$AC$6:$AC$505,"&lt;="&amp;$A204,実績!$AD$6:$AD$505,"&gt;"&amp;$A204,実績!$AE$6:$AE$505,"○")&gt;0,1,0))</f>
        <v/>
      </c>
      <c r="DD204">
        <f>IF(DD$4=0,0,IF(COUNTIFS(実績!$W$6:$W$505,DD$3,実績!$AC$6:$AC$505,"&lt;="&amp;$A204,実績!$AD$6:$AD$505,"&gt;"&amp;$A204,実績!$AE$6:$AE$505,"○")&gt;0,1,0))</f>
        <v/>
      </c>
      <c r="DE204">
        <f>IF(DE$4=0,0,IF(COUNTIFS(実績!$W$6:$W$505,DE$3,実績!$AC$6:$AC$505,"&lt;="&amp;$A204,実績!$AD$6:$AD$505,"&gt;"&amp;$A204,実績!$AE$6:$AE$505,"○")&gt;0,1,0))</f>
        <v/>
      </c>
      <c r="DF204">
        <f>IF(DF$4=0,0,IF(COUNTIFS(実績!$W$6:$W$505,DF$3,実績!$AC$6:$AC$505,"&lt;="&amp;$A204,実績!$AD$6:$AD$505,"&gt;"&amp;$A204,実績!$AE$6:$AE$505,"○")&gt;0,1,0))</f>
        <v/>
      </c>
      <c r="DG204">
        <f>IF(DG$4=0,0,IF(COUNTIFS(実績!$W$6:$W$505,DG$3,実績!$AC$6:$AC$505,"&lt;="&amp;$A204,実績!$AD$6:$AD$505,"&gt;"&amp;$A204,実績!$AE$6:$AE$505,"○")&gt;0,1,0))</f>
        <v/>
      </c>
      <c r="DH204">
        <f>IF(DH$4=0,0,IF(COUNTIFS(実績!$W$6:$W$505,DH$3,実績!$AC$6:$AC$505,"&lt;="&amp;$A204,実績!$AD$6:$AD$505,"&gt;"&amp;$A204,実績!$AE$6:$AE$505,"○")&gt;0,1,0))</f>
        <v/>
      </c>
      <c r="DI204">
        <f>IF(DI$4=0,0,IF(COUNTIFS(実績!$W$6:$W$505,DI$3,実績!$AC$6:$AC$505,"&lt;="&amp;$A204,実績!$AD$6:$AD$505,"&gt;"&amp;$A204,実績!$AE$6:$AE$505,"○")&gt;0,1,0))</f>
        <v/>
      </c>
      <c r="DJ204">
        <f>IF(DJ$4=0,0,IF(COUNTIFS(実績!$W$6:$W$505,DJ$3,実績!$AC$6:$AC$505,"&lt;="&amp;$A204,実績!$AD$6:$AD$505,"&gt;"&amp;$A204,実績!$AE$6:$AE$505,"○")&gt;0,1,0))</f>
        <v/>
      </c>
      <c r="DK204">
        <f>IF(DK$4=0,0,IF(COUNTIFS(実績!$W$6:$W$505,DK$3,実績!$AC$6:$AC$505,"&lt;="&amp;$A204,実績!$AD$6:$AD$505,"&gt;"&amp;$A204,実績!$AE$6:$AE$505,"○")&gt;0,1,0))</f>
        <v/>
      </c>
      <c r="DL204">
        <f>IF(DL$4=0,0,IF(COUNTIFS(実績!$W$6:$W$505,DL$3,実績!$AC$6:$AC$505,"&lt;="&amp;$A204,実績!$AD$6:$AD$505,"&gt;"&amp;$A204,実績!$AE$6:$AE$505,"○")&gt;0,1,0))</f>
        <v/>
      </c>
      <c r="DM204">
        <f>IF(DM$4=0,0,IF(COUNTIFS(実績!$W$6:$W$505,DM$3,実績!$AC$6:$AC$505,"&lt;="&amp;$A204,実績!$AD$6:$AD$505,"&gt;"&amp;$A204,実績!$AE$6:$AE$505,"○")&gt;0,1,0))</f>
        <v/>
      </c>
      <c r="DN204">
        <f>IF(DN$4=0,0,IF(COUNTIFS(実績!$W$6:$W$505,DN$3,実績!$AC$6:$AC$505,"&lt;="&amp;$A204,実績!$AD$6:$AD$505,"&gt;"&amp;$A204,実績!$AE$6:$AE$505,"○")&gt;0,1,0))</f>
        <v/>
      </c>
      <c r="DO204">
        <f>IF(DO$4=0,0,IF(COUNTIFS(実績!$W$6:$W$505,DO$3,実績!$AC$6:$AC$505,"&lt;="&amp;$A204,実績!$AD$6:$AD$505,"&gt;"&amp;$A204,実績!$AE$6:$AE$505,"○")&gt;0,1,0))</f>
        <v/>
      </c>
      <c r="DP204">
        <f>IF(DP$4=0,0,IF(COUNTIFS(実績!$W$6:$W$505,DP$3,実績!$AC$6:$AC$505,"&lt;="&amp;$A204,実績!$AD$6:$AD$505,"&gt;"&amp;$A204,実績!$AE$6:$AE$505,"○")&gt;0,1,0))</f>
        <v/>
      </c>
      <c r="DQ204">
        <f>IF(DQ$4=0,0,IF(COUNTIFS(実績!$W$6:$W$505,DQ$3,実績!$AC$6:$AC$505,"&lt;="&amp;$A204,実績!$AD$6:$AD$505,"&gt;"&amp;$A204,実績!$AE$6:$AE$505,"○")&gt;0,1,0))</f>
        <v/>
      </c>
      <c r="DR204">
        <f>IF(DR$4=0,0,IF(COUNTIFS(実績!$W$6:$W$505,DR$3,実績!$AC$6:$AC$505,"&lt;="&amp;$A204,実績!$AD$6:$AD$505,"&gt;"&amp;$A204,実績!$AE$6:$AE$505,"○")&gt;0,1,0))</f>
        <v/>
      </c>
      <c r="DS204">
        <f>SUM(C204:DR204)</f>
        <v/>
      </c>
      <c r="DT204">
        <f>SUMPRODUCT((実績!$C$6:$C$505="○")*ISNUMBER(実績!$AF$6:$AF$505)*(実績!$AF$6:$AF$505&lt;=$A204)*(実績!$AG$6:$AG$505&gt;$A204))</f>
        <v/>
      </c>
      <c r="DU204">
        <f>SUMIF($C$2:$DR$2,"製鉄曳船",C204:DR204)</f>
        <v/>
      </c>
      <c r="DV204">
        <f>SUMIF($C$2:$DR$2,"西日本海運",C204:DR204)</f>
        <v/>
      </c>
    </row>
    <row r="205">
      <c r="A205" t="n">
        <v>995</v>
      </c>
      <c r="B205" s="29">
        <f>A205/1440</f>
        <v/>
      </c>
      <c r="C205">
        <f>IF(C$4=0,0,IF(COUNTIFS(実績!$W$6:$W$505,C$3,実績!$AC$6:$AC$505,"&lt;="&amp;$A205,実績!$AD$6:$AD$505,"&gt;"&amp;$A205,実績!$AE$6:$AE$505,"○")&gt;0,1,0))</f>
        <v/>
      </c>
      <c r="D205">
        <f>IF(D$4=0,0,IF(COUNTIFS(実績!$W$6:$W$505,D$3,実績!$AC$6:$AC$505,"&lt;="&amp;$A205,実績!$AD$6:$AD$505,"&gt;"&amp;$A205,実績!$AE$6:$AE$505,"○")&gt;0,1,0))</f>
        <v/>
      </c>
      <c r="E205">
        <f>IF(E$4=0,0,IF(COUNTIFS(実績!$W$6:$W$505,E$3,実績!$AC$6:$AC$505,"&lt;="&amp;$A205,実績!$AD$6:$AD$505,"&gt;"&amp;$A205,実績!$AE$6:$AE$505,"○")&gt;0,1,0))</f>
        <v/>
      </c>
      <c r="F205">
        <f>IF(F$4=0,0,IF(COUNTIFS(実績!$W$6:$W$505,F$3,実績!$AC$6:$AC$505,"&lt;="&amp;$A205,実績!$AD$6:$AD$505,"&gt;"&amp;$A205,実績!$AE$6:$AE$505,"○")&gt;0,1,0))</f>
        <v/>
      </c>
      <c r="G205">
        <f>IF(G$4=0,0,IF(COUNTIFS(実績!$W$6:$W$505,G$3,実績!$AC$6:$AC$505,"&lt;="&amp;$A205,実績!$AD$6:$AD$505,"&gt;"&amp;$A205,実績!$AE$6:$AE$505,"○")&gt;0,1,0))</f>
        <v/>
      </c>
      <c r="H205">
        <f>IF(H$4=0,0,IF(COUNTIFS(実績!$W$6:$W$505,H$3,実績!$AC$6:$AC$505,"&lt;="&amp;$A205,実績!$AD$6:$AD$505,"&gt;"&amp;$A205,実績!$AE$6:$AE$505,"○")&gt;0,1,0))</f>
        <v/>
      </c>
      <c r="I205">
        <f>IF(I$4=0,0,IF(COUNTIFS(実績!$W$6:$W$505,I$3,実績!$AC$6:$AC$505,"&lt;="&amp;$A205,実績!$AD$6:$AD$505,"&gt;"&amp;$A205,実績!$AE$6:$AE$505,"○")&gt;0,1,0))</f>
        <v/>
      </c>
      <c r="J205">
        <f>IF(J$4=0,0,IF(COUNTIFS(実績!$W$6:$W$505,J$3,実績!$AC$6:$AC$505,"&lt;="&amp;$A205,実績!$AD$6:$AD$505,"&gt;"&amp;$A205,実績!$AE$6:$AE$505,"○")&gt;0,1,0))</f>
        <v/>
      </c>
      <c r="K205">
        <f>IF(K$4=0,0,IF(COUNTIFS(実績!$W$6:$W$505,K$3,実績!$AC$6:$AC$505,"&lt;="&amp;$A205,実績!$AD$6:$AD$505,"&gt;"&amp;$A205,実績!$AE$6:$AE$505,"○")&gt;0,1,0))</f>
        <v/>
      </c>
      <c r="L205">
        <f>IF(L$4=0,0,IF(COUNTIFS(実績!$W$6:$W$505,L$3,実績!$AC$6:$AC$505,"&lt;="&amp;$A205,実績!$AD$6:$AD$505,"&gt;"&amp;$A205,実績!$AE$6:$AE$505,"○")&gt;0,1,0))</f>
        <v/>
      </c>
      <c r="M205">
        <f>IF(M$4=0,0,IF(COUNTIFS(実績!$W$6:$W$505,M$3,実績!$AC$6:$AC$505,"&lt;="&amp;$A205,実績!$AD$6:$AD$505,"&gt;"&amp;$A205,実績!$AE$6:$AE$505,"○")&gt;0,1,0))</f>
        <v/>
      </c>
      <c r="N205">
        <f>IF(N$4=0,0,IF(COUNTIFS(実績!$W$6:$W$505,N$3,実績!$AC$6:$AC$505,"&lt;="&amp;$A205,実績!$AD$6:$AD$505,"&gt;"&amp;$A205,実績!$AE$6:$AE$505,"○")&gt;0,1,0))</f>
        <v/>
      </c>
      <c r="O205">
        <f>IF(O$4=0,0,IF(COUNTIFS(実績!$W$6:$W$505,O$3,実績!$AC$6:$AC$505,"&lt;="&amp;$A205,実績!$AD$6:$AD$505,"&gt;"&amp;$A205,実績!$AE$6:$AE$505,"○")&gt;0,1,0))</f>
        <v/>
      </c>
      <c r="P205">
        <f>IF(P$4=0,0,IF(COUNTIFS(実績!$W$6:$W$505,P$3,実績!$AC$6:$AC$505,"&lt;="&amp;$A205,実績!$AD$6:$AD$505,"&gt;"&amp;$A205,実績!$AE$6:$AE$505,"○")&gt;0,1,0))</f>
        <v/>
      </c>
      <c r="Q205">
        <f>IF(Q$4=0,0,IF(COUNTIFS(実績!$W$6:$W$505,Q$3,実績!$AC$6:$AC$505,"&lt;="&amp;$A205,実績!$AD$6:$AD$505,"&gt;"&amp;$A205,実績!$AE$6:$AE$505,"○")&gt;0,1,0))</f>
        <v/>
      </c>
      <c r="R205">
        <f>IF(R$4=0,0,IF(COUNTIFS(実績!$W$6:$W$505,R$3,実績!$AC$6:$AC$505,"&lt;="&amp;$A205,実績!$AD$6:$AD$505,"&gt;"&amp;$A205,実績!$AE$6:$AE$505,"○")&gt;0,1,0))</f>
        <v/>
      </c>
      <c r="S205">
        <f>IF(S$4=0,0,IF(COUNTIFS(実績!$W$6:$W$505,S$3,実績!$AC$6:$AC$505,"&lt;="&amp;$A205,実績!$AD$6:$AD$505,"&gt;"&amp;$A205,実績!$AE$6:$AE$505,"○")&gt;0,1,0))</f>
        <v/>
      </c>
      <c r="T205">
        <f>IF(T$4=0,0,IF(COUNTIFS(実績!$W$6:$W$505,T$3,実績!$AC$6:$AC$505,"&lt;="&amp;$A205,実績!$AD$6:$AD$505,"&gt;"&amp;$A205,実績!$AE$6:$AE$505,"○")&gt;0,1,0))</f>
        <v/>
      </c>
      <c r="U205">
        <f>IF(U$4=0,0,IF(COUNTIFS(実績!$W$6:$W$505,U$3,実績!$AC$6:$AC$505,"&lt;="&amp;$A205,実績!$AD$6:$AD$505,"&gt;"&amp;$A205,実績!$AE$6:$AE$505,"○")&gt;0,1,0))</f>
        <v/>
      </c>
      <c r="V205">
        <f>IF(V$4=0,0,IF(COUNTIFS(実績!$W$6:$W$505,V$3,実績!$AC$6:$AC$505,"&lt;="&amp;$A205,実績!$AD$6:$AD$505,"&gt;"&amp;$A205,実績!$AE$6:$AE$505,"○")&gt;0,1,0))</f>
        <v/>
      </c>
      <c r="W205">
        <f>IF(W$4=0,0,IF(COUNTIFS(実績!$W$6:$W$505,W$3,実績!$AC$6:$AC$505,"&lt;="&amp;$A205,実績!$AD$6:$AD$505,"&gt;"&amp;$A205,実績!$AE$6:$AE$505,"○")&gt;0,1,0))</f>
        <v/>
      </c>
      <c r="X205">
        <f>IF(X$4=0,0,IF(COUNTIFS(実績!$W$6:$W$505,X$3,実績!$AC$6:$AC$505,"&lt;="&amp;$A205,実績!$AD$6:$AD$505,"&gt;"&amp;$A205,実績!$AE$6:$AE$505,"○")&gt;0,1,0))</f>
        <v/>
      </c>
      <c r="Y205">
        <f>IF(Y$4=0,0,IF(COUNTIFS(実績!$W$6:$W$505,Y$3,実績!$AC$6:$AC$505,"&lt;="&amp;$A205,実績!$AD$6:$AD$505,"&gt;"&amp;$A205,実績!$AE$6:$AE$505,"○")&gt;0,1,0))</f>
        <v/>
      </c>
      <c r="Z205">
        <f>IF(Z$4=0,0,IF(COUNTIFS(実績!$W$6:$W$505,Z$3,実績!$AC$6:$AC$505,"&lt;="&amp;$A205,実績!$AD$6:$AD$505,"&gt;"&amp;$A205,実績!$AE$6:$AE$505,"○")&gt;0,1,0))</f>
        <v/>
      </c>
      <c r="AA205">
        <f>IF(AA$4=0,0,IF(COUNTIFS(実績!$W$6:$W$505,AA$3,実績!$AC$6:$AC$505,"&lt;="&amp;$A205,実績!$AD$6:$AD$505,"&gt;"&amp;$A205,実績!$AE$6:$AE$505,"○")&gt;0,1,0))</f>
        <v/>
      </c>
      <c r="AB205">
        <f>IF(AB$4=0,0,IF(COUNTIFS(実績!$W$6:$W$505,AB$3,実績!$AC$6:$AC$505,"&lt;="&amp;$A205,実績!$AD$6:$AD$505,"&gt;"&amp;$A205,実績!$AE$6:$AE$505,"○")&gt;0,1,0))</f>
        <v/>
      </c>
      <c r="AC205">
        <f>IF(AC$4=0,0,IF(COUNTIFS(実績!$W$6:$W$505,AC$3,実績!$AC$6:$AC$505,"&lt;="&amp;$A205,実績!$AD$6:$AD$505,"&gt;"&amp;$A205,実績!$AE$6:$AE$505,"○")&gt;0,1,0))</f>
        <v/>
      </c>
      <c r="AD205">
        <f>IF(AD$4=0,0,IF(COUNTIFS(実績!$W$6:$W$505,AD$3,実績!$AC$6:$AC$505,"&lt;="&amp;$A205,実績!$AD$6:$AD$505,"&gt;"&amp;$A205,実績!$AE$6:$AE$505,"○")&gt;0,1,0))</f>
        <v/>
      </c>
      <c r="AE205">
        <f>IF(AE$4=0,0,IF(COUNTIFS(実績!$W$6:$W$505,AE$3,実績!$AC$6:$AC$505,"&lt;="&amp;$A205,実績!$AD$6:$AD$505,"&gt;"&amp;$A205,実績!$AE$6:$AE$505,"○")&gt;0,1,0))</f>
        <v/>
      </c>
      <c r="AF205">
        <f>IF(AF$4=0,0,IF(COUNTIFS(実績!$W$6:$W$505,AF$3,実績!$AC$6:$AC$505,"&lt;="&amp;$A205,実績!$AD$6:$AD$505,"&gt;"&amp;$A205,実績!$AE$6:$AE$505,"○")&gt;0,1,0))</f>
        <v/>
      </c>
      <c r="AG205">
        <f>IF(AG$4=0,0,IF(COUNTIFS(実績!$W$6:$W$505,AG$3,実績!$AC$6:$AC$505,"&lt;="&amp;$A205,実績!$AD$6:$AD$505,"&gt;"&amp;$A205,実績!$AE$6:$AE$505,"○")&gt;0,1,0))</f>
        <v/>
      </c>
      <c r="AH205">
        <f>IF(AH$4=0,0,IF(COUNTIFS(実績!$W$6:$W$505,AH$3,実績!$AC$6:$AC$505,"&lt;="&amp;$A205,実績!$AD$6:$AD$505,"&gt;"&amp;$A205,実績!$AE$6:$AE$505,"○")&gt;0,1,0))</f>
        <v/>
      </c>
      <c r="AI205">
        <f>IF(AI$4=0,0,IF(COUNTIFS(実績!$W$6:$W$505,AI$3,実績!$AC$6:$AC$505,"&lt;="&amp;$A205,実績!$AD$6:$AD$505,"&gt;"&amp;$A205,実績!$AE$6:$AE$505,"○")&gt;0,1,0))</f>
        <v/>
      </c>
      <c r="AJ205">
        <f>IF(AJ$4=0,0,IF(COUNTIFS(実績!$W$6:$W$505,AJ$3,実績!$AC$6:$AC$505,"&lt;="&amp;$A205,実績!$AD$6:$AD$505,"&gt;"&amp;$A205,実績!$AE$6:$AE$505,"○")&gt;0,1,0))</f>
        <v/>
      </c>
      <c r="AK205">
        <f>IF(AK$4=0,0,IF(COUNTIFS(実績!$W$6:$W$505,AK$3,実績!$AC$6:$AC$505,"&lt;="&amp;$A205,実績!$AD$6:$AD$505,"&gt;"&amp;$A205,実績!$AE$6:$AE$505,"○")&gt;0,1,0))</f>
        <v/>
      </c>
      <c r="AL205">
        <f>IF(AL$4=0,0,IF(COUNTIFS(実績!$W$6:$W$505,AL$3,実績!$AC$6:$AC$505,"&lt;="&amp;$A205,実績!$AD$6:$AD$505,"&gt;"&amp;$A205,実績!$AE$6:$AE$505,"○")&gt;0,1,0))</f>
        <v/>
      </c>
      <c r="AM205">
        <f>IF(AM$4=0,0,IF(COUNTIFS(実績!$W$6:$W$505,AM$3,実績!$AC$6:$AC$505,"&lt;="&amp;$A205,実績!$AD$6:$AD$505,"&gt;"&amp;$A205,実績!$AE$6:$AE$505,"○")&gt;0,1,0))</f>
        <v/>
      </c>
      <c r="AN205">
        <f>IF(AN$4=0,0,IF(COUNTIFS(実績!$W$6:$W$505,AN$3,実績!$AC$6:$AC$505,"&lt;="&amp;$A205,実績!$AD$6:$AD$505,"&gt;"&amp;$A205,実績!$AE$6:$AE$505,"○")&gt;0,1,0))</f>
        <v/>
      </c>
      <c r="AO205">
        <f>IF(AO$4=0,0,IF(COUNTIFS(実績!$W$6:$W$505,AO$3,実績!$AC$6:$AC$505,"&lt;="&amp;$A205,実績!$AD$6:$AD$505,"&gt;"&amp;$A205,実績!$AE$6:$AE$505,"○")&gt;0,1,0))</f>
        <v/>
      </c>
      <c r="AP205">
        <f>IF(AP$4=0,0,IF(COUNTIFS(実績!$W$6:$W$505,AP$3,実績!$AC$6:$AC$505,"&lt;="&amp;$A205,実績!$AD$6:$AD$505,"&gt;"&amp;$A205,実績!$AE$6:$AE$505,"○")&gt;0,1,0))</f>
        <v/>
      </c>
      <c r="AQ205">
        <f>IF(AQ$4=0,0,IF(COUNTIFS(実績!$W$6:$W$505,AQ$3,実績!$AC$6:$AC$505,"&lt;="&amp;$A205,実績!$AD$6:$AD$505,"&gt;"&amp;$A205,実績!$AE$6:$AE$505,"○")&gt;0,1,0))</f>
        <v/>
      </c>
      <c r="AR205">
        <f>IF(AR$4=0,0,IF(COUNTIFS(実績!$W$6:$W$505,AR$3,実績!$AC$6:$AC$505,"&lt;="&amp;$A205,実績!$AD$6:$AD$505,"&gt;"&amp;$A205,実績!$AE$6:$AE$505,"○")&gt;0,1,0))</f>
        <v/>
      </c>
      <c r="AS205">
        <f>IF(AS$4=0,0,IF(COUNTIFS(実績!$W$6:$W$505,AS$3,実績!$AC$6:$AC$505,"&lt;="&amp;$A205,実績!$AD$6:$AD$505,"&gt;"&amp;$A205,実績!$AE$6:$AE$505,"○")&gt;0,1,0))</f>
        <v/>
      </c>
      <c r="AT205">
        <f>IF(AT$4=0,0,IF(COUNTIFS(実績!$W$6:$W$505,AT$3,実績!$AC$6:$AC$505,"&lt;="&amp;$A205,実績!$AD$6:$AD$505,"&gt;"&amp;$A205,実績!$AE$6:$AE$505,"○")&gt;0,1,0))</f>
        <v/>
      </c>
      <c r="AU205">
        <f>IF(AU$4=0,0,IF(COUNTIFS(実績!$W$6:$W$505,AU$3,実績!$AC$6:$AC$505,"&lt;="&amp;$A205,実績!$AD$6:$AD$505,"&gt;"&amp;$A205,実績!$AE$6:$AE$505,"○")&gt;0,1,0))</f>
        <v/>
      </c>
      <c r="AV205">
        <f>IF(AV$4=0,0,IF(COUNTIFS(実績!$W$6:$W$505,AV$3,実績!$AC$6:$AC$505,"&lt;="&amp;$A205,実績!$AD$6:$AD$505,"&gt;"&amp;$A205,実績!$AE$6:$AE$505,"○")&gt;0,1,0))</f>
        <v/>
      </c>
      <c r="AW205">
        <f>IF(AW$4=0,0,IF(COUNTIFS(実績!$W$6:$W$505,AW$3,実績!$AC$6:$AC$505,"&lt;="&amp;$A205,実績!$AD$6:$AD$505,"&gt;"&amp;$A205,実績!$AE$6:$AE$505,"○")&gt;0,1,0))</f>
        <v/>
      </c>
      <c r="AX205">
        <f>IF(AX$4=0,0,IF(COUNTIFS(実績!$W$6:$W$505,AX$3,実績!$AC$6:$AC$505,"&lt;="&amp;$A205,実績!$AD$6:$AD$505,"&gt;"&amp;$A205,実績!$AE$6:$AE$505,"○")&gt;0,1,0))</f>
        <v/>
      </c>
      <c r="AY205">
        <f>IF(AY$4=0,0,IF(COUNTIFS(実績!$W$6:$W$505,AY$3,実績!$AC$6:$AC$505,"&lt;="&amp;$A205,実績!$AD$6:$AD$505,"&gt;"&amp;$A205,実績!$AE$6:$AE$505,"○")&gt;0,1,0))</f>
        <v/>
      </c>
      <c r="AZ205">
        <f>IF(AZ$4=0,0,IF(COUNTIFS(実績!$W$6:$W$505,AZ$3,実績!$AC$6:$AC$505,"&lt;="&amp;$A205,実績!$AD$6:$AD$505,"&gt;"&amp;$A205,実績!$AE$6:$AE$505,"○")&gt;0,1,0))</f>
        <v/>
      </c>
      <c r="BA205">
        <f>IF(BA$4=0,0,IF(COUNTIFS(実績!$W$6:$W$505,BA$3,実績!$AC$6:$AC$505,"&lt;="&amp;$A205,実績!$AD$6:$AD$505,"&gt;"&amp;$A205,実績!$AE$6:$AE$505,"○")&gt;0,1,0))</f>
        <v/>
      </c>
      <c r="BB205">
        <f>IF(BB$4=0,0,IF(COUNTIFS(実績!$W$6:$W$505,BB$3,実績!$AC$6:$AC$505,"&lt;="&amp;$A205,実績!$AD$6:$AD$505,"&gt;"&amp;$A205,実績!$AE$6:$AE$505,"○")&gt;0,1,0))</f>
        <v/>
      </c>
      <c r="BC205">
        <f>IF(BC$4=0,0,IF(COUNTIFS(実績!$W$6:$W$505,BC$3,実績!$AC$6:$AC$505,"&lt;="&amp;$A205,実績!$AD$6:$AD$505,"&gt;"&amp;$A205,実績!$AE$6:$AE$505,"○")&gt;0,1,0))</f>
        <v/>
      </c>
      <c r="BD205">
        <f>IF(BD$4=0,0,IF(COUNTIFS(実績!$W$6:$W$505,BD$3,実績!$AC$6:$AC$505,"&lt;="&amp;$A205,実績!$AD$6:$AD$505,"&gt;"&amp;$A205,実績!$AE$6:$AE$505,"○")&gt;0,1,0))</f>
        <v/>
      </c>
      <c r="BE205">
        <f>IF(BE$4=0,0,IF(COUNTIFS(実績!$W$6:$W$505,BE$3,実績!$AC$6:$AC$505,"&lt;="&amp;$A205,実績!$AD$6:$AD$505,"&gt;"&amp;$A205,実績!$AE$6:$AE$505,"○")&gt;0,1,0))</f>
        <v/>
      </c>
      <c r="BF205">
        <f>IF(BF$4=0,0,IF(COUNTIFS(実績!$W$6:$W$505,BF$3,実績!$AC$6:$AC$505,"&lt;="&amp;$A205,実績!$AD$6:$AD$505,"&gt;"&amp;$A205,実績!$AE$6:$AE$505,"○")&gt;0,1,0))</f>
        <v/>
      </c>
      <c r="BG205">
        <f>IF(BG$4=0,0,IF(COUNTIFS(実績!$W$6:$W$505,BG$3,実績!$AC$6:$AC$505,"&lt;="&amp;$A205,実績!$AD$6:$AD$505,"&gt;"&amp;$A205,実績!$AE$6:$AE$505,"○")&gt;0,1,0))</f>
        <v/>
      </c>
      <c r="BH205">
        <f>IF(BH$4=0,0,IF(COUNTIFS(実績!$W$6:$W$505,BH$3,実績!$AC$6:$AC$505,"&lt;="&amp;$A205,実績!$AD$6:$AD$505,"&gt;"&amp;$A205,実績!$AE$6:$AE$505,"○")&gt;0,1,0))</f>
        <v/>
      </c>
      <c r="BI205">
        <f>IF(BI$4=0,0,IF(COUNTIFS(実績!$W$6:$W$505,BI$3,実績!$AC$6:$AC$505,"&lt;="&amp;$A205,実績!$AD$6:$AD$505,"&gt;"&amp;$A205,実績!$AE$6:$AE$505,"○")&gt;0,1,0))</f>
        <v/>
      </c>
      <c r="BJ205">
        <f>IF(BJ$4=0,0,IF(COUNTIFS(実績!$W$6:$W$505,BJ$3,実績!$AC$6:$AC$505,"&lt;="&amp;$A205,実績!$AD$6:$AD$505,"&gt;"&amp;$A205,実績!$AE$6:$AE$505,"○")&gt;0,1,0))</f>
        <v/>
      </c>
      <c r="BK205">
        <f>IF(BK$4=0,0,IF(COUNTIFS(実績!$W$6:$W$505,BK$3,実績!$AC$6:$AC$505,"&lt;="&amp;$A205,実績!$AD$6:$AD$505,"&gt;"&amp;$A205,実績!$AE$6:$AE$505,"○")&gt;0,1,0))</f>
        <v/>
      </c>
      <c r="BL205">
        <f>IF(BL$4=0,0,IF(COUNTIFS(実績!$W$6:$W$505,BL$3,実績!$AC$6:$AC$505,"&lt;="&amp;$A205,実績!$AD$6:$AD$505,"&gt;"&amp;$A205,実績!$AE$6:$AE$505,"○")&gt;0,1,0))</f>
        <v/>
      </c>
      <c r="BM205">
        <f>IF(BM$4=0,0,IF(COUNTIFS(実績!$W$6:$W$505,BM$3,実績!$AC$6:$AC$505,"&lt;="&amp;$A205,実績!$AD$6:$AD$505,"&gt;"&amp;$A205,実績!$AE$6:$AE$505,"○")&gt;0,1,0))</f>
        <v/>
      </c>
      <c r="BN205">
        <f>IF(BN$4=0,0,IF(COUNTIFS(実績!$W$6:$W$505,BN$3,実績!$AC$6:$AC$505,"&lt;="&amp;$A205,実績!$AD$6:$AD$505,"&gt;"&amp;$A205,実績!$AE$6:$AE$505,"○")&gt;0,1,0))</f>
        <v/>
      </c>
      <c r="BO205">
        <f>IF(BO$4=0,0,IF(COUNTIFS(実績!$W$6:$W$505,BO$3,実績!$AC$6:$AC$505,"&lt;="&amp;$A205,実績!$AD$6:$AD$505,"&gt;"&amp;$A205,実績!$AE$6:$AE$505,"○")&gt;0,1,0))</f>
        <v/>
      </c>
      <c r="BP205">
        <f>IF(BP$4=0,0,IF(COUNTIFS(実績!$W$6:$W$505,BP$3,実績!$AC$6:$AC$505,"&lt;="&amp;$A205,実績!$AD$6:$AD$505,"&gt;"&amp;$A205,実績!$AE$6:$AE$505,"○")&gt;0,1,0))</f>
        <v/>
      </c>
      <c r="BQ205">
        <f>IF(BQ$4=0,0,IF(COUNTIFS(実績!$W$6:$W$505,BQ$3,実績!$AC$6:$AC$505,"&lt;="&amp;$A205,実績!$AD$6:$AD$505,"&gt;"&amp;$A205,実績!$AE$6:$AE$505,"○")&gt;0,1,0))</f>
        <v/>
      </c>
      <c r="BR205">
        <f>IF(BR$4=0,0,IF(COUNTIFS(実績!$W$6:$W$505,BR$3,実績!$AC$6:$AC$505,"&lt;="&amp;$A205,実績!$AD$6:$AD$505,"&gt;"&amp;$A205,実績!$AE$6:$AE$505,"○")&gt;0,1,0))</f>
        <v/>
      </c>
      <c r="BS205">
        <f>IF(BS$4=0,0,IF(COUNTIFS(実績!$W$6:$W$505,BS$3,実績!$AC$6:$AC$505,"&lt;="&amp;$A205,実績!$AD$6:$AD$505,"&gt;"&amp;$A205,実績!$AE$6:$AE$505,"○")&gt;0,1,0))</f>
        <v/>
      </c>
      <c r="BT205">
        <f>IF(BT$4=0,0,IF(COUNTIFS(実績!$W$6:$W$505,BT$3,実績!$AC$6:$AC$505,"&lt;="&amp;$A205,実績!$AD$6:$AD$505,"&gt;"&amp;$A205,実績!$AE$6:$AE$505,"○")&gt;0,1,0))</f>
        <v/>
      </c>
      <c r="BU205">
        <f>IF(BU$4=0,0,IF(COUNTIFS(実績!$W$6:$W$505,BU$3,実績!$AC$6:$AC$505,"&lt;="&amp;$A205,実績!$AD$6:$AD$505,"&gt;"&amp;$A205,実績!$AE$6:$AE$505,"○")&gt;0,1,0))</f>
        <v/>
      </c>
      <c r="BV205">
        <f>IF(BV$4=0,0,IF(COUNTIFS(実績!$W$6:$W$505,BV$3,実績!$AC$6:$AC$505,"&lt;="&amp;$A205,実績!$AD$6:$AD$505,"&gt;"&amp;$A205,実績!$AE$6:$AE$505,"○")&gt;0,1,0))</f>
        <v/>
      </c>
      <c r="BW205">
        <f>IF(BW$4=0,0,IF(COUNTIFS(実績!$W$6:$W$505,BW$3,実績!$AC$6:$AC$505,"&lt;="&amp;$A205,実績!$AD$6:$AD$505,"&gt;"&amp;$A205,実績!$AE$6:$AE$505,"○")&gt;0,1,0))</f>
        <v/>
      </c>
      <c r="BX205">
        <f>IF(BX$4=0,0,IF(COUNTIFS(実績!$W$6:$W$505,BX$3,実績!$AC$6:$AC$505,"&lt;="&amp;$A205,実績!$AD$6:$AD$505,"&gt;"&amp;$A205,実績!$AE$6:$AE$505,"○")&gt;0,1,0))</f>
        <v/>
      </c>
      <c r="BY205">
        <f>IF(BY$4=0,0,IF(COUNTIFS(実績!$W$6:$W$505,BY$3,実績!$AC$6:$AC$505,"&lt;="&amp;$A205,実績!$AD$6:$AD$505,"&gt;"&amp;$A205,実績!$AE$6:$AE$505,"○")&gt;0,1,0))</f>
        <v/>
      </c>
      <c r="BZ205">
        <f>IF(BZ$4=0,0,IF(COUNTIFS(実績!$W$6:$W$505,BZ$3,実績!$AC$6:$AC$505,"&lt;="&amp;$A205,実績!$AD$6:$AD$505,"&gt;"&amp;$A205,実績!$AE$6:$AE$505,"○")&gt;0,1,0))</f>
        <v/>
      </c>
      <c r="CA205">
        <f>IF(CA$4=0,0,IF(COUNTIFS(実績!$W$6:$W$505,CA$3,実績!$AC$6:$AC$505,"&lt;="&amp;$A205,実績!$AD$6:$AD$505,"&gt;"&amp;$A205,実績!$AE$6:$AE$505,"○")&gt;0,1,0))</f>
        <v/>
      </c>
      <c r="CB205">
        <f>IF(CB$4=0,0,IF(COUNTIFS(実績!$W$6:$W$505,CB$3,実績!$AC$6:$AC$505,"&lt;="&amp;$A205,実績!$AD$6:$AD$505,"&gt;"&amp;$A205,実績!$AE$6:$AE$505,"○")&gt;0,1,0))</f>
        <v/>
      </c>
      <c r="CC205">
        <f>IF(CC$4=0,0,IF(COUNTIFS(実績!$W$6:$W$505,CC$3,実績!$AC$6:$AC$505,"&lt;="&amp;$A205,実績!$AD$6:$AD$505,"&gt;"&amp;$A205,実績!$AE$6:$AE$505,"○")&gt;0,1,0))</f>
        <v/>
      </c>
      <c r="CD205">
        <f>IF(CD$4=0,0,IF(COUNTIFS(実績!$W$6:$W$505,CD$3,実績!$AC$6:$AC$505,"&lt;="&amp;$A205,実績!$AD$6:$AD$505,"&gt;"&amp;$A205,実績!$AE$6:$AE$505,"○")&gt;0,1,0))</f>
        <v/>
      </c>
      <c r="CE205">
        <f>IF(CE$4=0,0,IF(COUNTIFS(実績!$W$6:$W$505,CE$3,実績!$AC$6:$AC$505,"&lt;="&amp;$A205,実績!$AD$6:$AD$505,"&gt;"&amp;$A205,実績!$AE$6:$AE$505,"○")&gt;0,1,0))</f>
        <v/>
      </c>
      <c r="CF205">
        <f>IF(CF$4=0,0,IF(COUNTIFS(実績!$W$6:$W$505,CF$3,実績!$AC$6:$AC$505,"&lt;="&amp;$A205,実績!$AD$6:$AD$505,"&gt;"&amp;$A205,実績!$AE$6:$AE$505,"○")&gt;0,1,0))</f>
        <v/>
      </c>
      <c r="CG205">
        <f>IF(CG$4=0,0,IF(COUNTIFS(実績!$W$6:$W$505,CG$3,実績!$AC$6:$AC$505,"&lt;="&amp;$A205,実績!$AD$6:$AD$505,"&gt;"&amp;$A205,実績!$AE$6:$AE$505,"○")&gt;0,1,0))</f>
        <v/>
      </c>
      <c r="CH205">
        <f>IF(CH$4=0,0,IF(COUNTIFS(実績!$W$6:$W$505,CH$3,実績!$AC$6:$AC$505,"&lt;="&amp;$A205,実績!$AD$6:$AD$505,"&gt;"&amp;$A205,実績!$AE$6:$AE$505,"○")&gt;0,1,0))</f>
        <v/>
      </c>
      <c r="CI205">
        <f>IF(CI$4=0,0,IF(COUNTIFS(実績!$W$6:$W$505,CI$3,実績!$AC$6:$AC$505,"&lt;="&amp;$A205,実績!$AD$6:$AD$505,"&gt;"&amp;$A205,実績!$AE$6:$AE$505,"○")&gt;0,1,0))</f>
        <v/>
      </c>
      <c r="CJ205">
        <f>IF(CJ$4=0,0,IF(COUNTIFS(実績!$W$6:$W$505,CJ$3,実績!$AC$6:$AC$505,"&lt;="&amp;$A205,実績!$AD$6:$AD$505,"&gt;"&amp;$A205,実績!$AE$6:$AE$505,"○")&gt;0,1,0))</f>
        <v/>
      </c>
      <c r="CK205">
        <f>IF(CK$4=0,0,IF(COUNTIFS(実績!$W$6:$W$505,CK$3,実績!$AC$6:$AC$505,"&lt;="&amp;$A205,実績!$AD$6:$AD$505,"&gt;"&amp;$A205,実績!$AE$6:$AE$505,"○")&gt;0,1,0))</f>
        <v/>
      </c>
      <c r="CL205">
        <f>IF(CL$4=0,0,IF(COUNTIFS(実績!$W$6:$W$505,CL$3,実績!$AC$6:$AC$505,"&lt;="&amp;$A205,実績!$AD$6:$AD$505,"&gt;"&amp;$A205,実績!$AE$6:$AE$505,"○")&gt;0,1,0))</f>
        <v/>
      </c>
      <c r="CM205">
        <f>IF(CM$4=0,0,IF(COUNTIFS(実績!$W$6:$W$505,CM$3,実績!$AC$6:$AC$505,"&lt;="&amp;$A205,実績!$AD$6:$AD$505,"&gt;"&amp;$A205,実績!$AE$6:$AE$505,"○")&gt;0,1,0))</f>
        <v/>
      </c>
      <c r="CN205">
        <f>IF(CN$4=0,0,IF(COUNTIFS(実績!$W$6:$W$505,CN$3,実績!$AC$6:$AC$505,"&lt;="&amp;$A205,実績!$AD$6:$AD$505,"&gt;"&amp;$A205,実績!$AE$6:$AE$505,"○")&gt;0,1,0))</f>
        <v/>
      </c>
      <c r="CO205">
        <f>IF(CO$4=0,0,IF(COUNTIFS(実績!$W$6:$W$505,CO$3,実績!$AC$6:$AC$505,"&lt;="&amp;$A205,実績!$AD$6:$AD$505,"&gt;"&amp;$A205,実績!$AE$6:$AE$505,"○")&gt;0,1,0))</f>
        <v/>
      </c>
      <c r="CP205">
        <f>IF(CP$4=0,0,IF(COUNTIFS(実績!$W$6:$W$505,CP$3,実績!$AC$6:$AC$505,"&lt;="&amp;$A205,実績!$AD$6:$AD$505,"&gt;"&amp;$A205,実績!$AE$6:$AE$505,"○")&gt;0,1,0))</f>
        <v/>
      </c>
      <c r="CQ205">
        <f>IF(CQ$4=0,0,IF(COUNTIFS(実績!$W$6:$W$505,CQ$3,実績!$AC$6:$AC$505,"&lt;="&amp;$A205,実績!$AD$6:$AD$505,"&gt;"&amp;$A205,実績!$AE$6:$AE$505,"○")&gt;0,1,0))</f>
        <v/>
      </c>
      <c r="CR205">
        <f>IF(CR$4=0,0,IF(COUNTIFS(実績!$W$6:$W$505,CR$3,実績!$AC$6:$AC$505,"&lt;="&amp;$A205,実績!$AD$6:$AD$505,"&gt;"&amp;$A205,実績!$AE$6:$AE$505,"○")&gt;0,1,0))</f>
        <v/>
      </c>
      <c r="CS205">
        <f>IF(CS$4=0,0,IF(COUNTIFS(実績!$W$6:$W$505,CS$3,実績!$AC$6:$AC$505,"&lt;="&amp;$A205,実績!$AD$6:$AD$505,"&gt;"&amp;$A205,実績!$AE$6:$AE$505,"○")&gt;0,1,0))</f>
        <v/>
      </c>
      <c r="CT205">
        <f>IF(CT$4=0,0,IF(COUNTIFS(実績!$W$6:$W$505,CT$3,実績!$AC$6:$AC$505,"&lt;="&amp;$A205,実績!$AD$6:$AD$505,"&gt;"&amp;$A205,実績!$AE$6:$AE$505,"○")&gt;0,1,0))</f>
        <v/>
      </c>
      <c r="CU205">
        <f>IF(CU$4=0,0,IF(COUNTIFS(実績!$W$6:$W$505,CU$3,実績!$AC$6:$AC$505,"&lt;="&amp;$A205,実績!$AD$6:$AD$505,"&gt;"&amp;$A205,実績!$AE$6:$AE$505,"○")&gt;0,1,0))</f>
        <v/>
      </c>
      <c r="CV205">
        <f>IF(CV$4=0,0,IF(COUNTIFS(実績!$W$6:$W$505,CV$3,実績!$AC$6:$AC$505,"&lt;="&amp;$A205,実績!$AD$6:$AD$505,"&gt;"&amp;$A205,実績!$AE$6:$AE$505,"○")&gt;0,1,0))</f>
        <v/>
      </c>
      <c r="CW205">
        <f>IF(CW$4=0,0,IF(COUNTIFS(実績!$W$6:$W$505,CW$3,実績!$AC$6:$AC$505,"&lt;="&amp;$A205,実績!$AD$6:$AD$505,"&gt;"&amp;$A205,実績!$AE$6:$AE$505,"○")&gt;0,1,0))</f>
        <v/>
      </c>
      <c r="CX205">
        <f>IF(CX$4=0,0,IF(COUNTIFS(実績!$W$6:$W$505,CX$3,実績!$AC$6:$AC$505,"&lt;="&amp;$A205,実績!$AD$6:$AD$505,"&gt;"&amp;$A205,実績!$AE$6:$AE$505,"○")&gt;0,1,0))</f>
        <v/>
      </c>
      <c r="CY205">
        <f>IF(CY$4=0,0,IF(COUNTIFS(実績!$W$6:$W$505,CY$3,実績!$AC$6:$AC$505,"&lt;="&amp;$A205,実績!$AD$6:$AD$505,"&gt;"&amp;$A205,実績!$AE$6:$AE$505,"○")&gt;0,1,0))</f>
        <v/>
      </c>
      <c r="CZ205">
        <f>IF(CZ$4=0,0,IF(COUNTIFS(実績!$W$6:$W$505,CZ$3,実績!$AC$6:$AC$505,"&lt;="&amp;$A205,実績!$AD$6:$AD$505,"&gt;"&amp;$A205,実績!$AE$6:$AE$505,"○")&gt;0,1,0))</f>
        <v/>
      </c>
      <c r="DA205">
        <f>IF(DA$4=0,0,IF(COUNTIFS(実績!$W$6:$W$505,DA$3,実績!$AC$6:$AC$505,"&lt;="&amp;$A205,実績!$AD$6:$AD$505,"&gt;"&amp;$A205,実績!$AE$6:$AE$505,"○")&gt;0,1,0))</f>
        <v/>
      </c>
      <c r="DB205">
        <f>IF(DB$4=0,0,IF(COUNTIFS(実績!$W$6:$W$505,DB$3,実績!$AC$6:$AC$505,"&lt;="&amp;$A205,実績!$AD$6:$AD$505,"&gt;"&amp;$A205,実績!$AE$6:$AE$505,"○")&gt;0,1,0))</f>
        <v/>
      </c>
      <c r="DC205">
        <f>IF(DC$4=0,0,IF(COUNTIFS(実績!$W$6:$W$505,DC$3,実績!$AC$6:$AC$505,"&lt;="&amp;$A205,実績!$AD$6:$AD$505,"&gt;"&amp;$A205,実績!$AE$6:$AE$505,"○")&gt;0,1,0))</f>
        <v/>
      </c>
      <c r="DD205">
        <f>IF(DD$4=0,0,IF(COUNTIFS(実績!$W$6:$W$505,DD$3,実績!$AC$6:$AC$505,"&lt;="&amp;$A205,実績!$AD$6:$AD$505,"&gt;"&amp;$A205,実績!$AE$6:$AE$505,"○")&gt;0,1,0))</f>
        <v/>
      </c>
      <c r="DE205">
        <f>IF(DE$4=0,0,IF(COUNTIFS(実績!$W$6:$W$505,DE$3,実績!$AC$6:$AC$505,"&lt;="&amp;$A205,実績!$AD$6:$AD$505,"&gt;"&amp;$A205,実績!$AE$6:$AE$505,"○")&gt;0,1,0))</f>
        <v/>
      </c>
      <c r="DF205">
        <f>IF(DF$4=0,0,IF(COUNTIFS(実績!$W$6:$W$505,DF$3,実績!$AC$6:$AC$505,"&lt;="&amp;$A205,実績!$AD$6:$AD$505,"&gt;"&amp;$A205,実績!$AE$6:$AE$505,"○")&gt;0,1,0))</f>
        <v/>
      </c>
      <c r="DG205">
        <f>IF(DG$4=0,0,IF(COUNTIFS(実績!$W$6:$W$505,DG$3,実績!$AC$6:$AC$505,"&lt;="&amp;$A205,実績!$AD$6:$AD$505,"&gt;"&amp;$A205,実績!$AE$6:$AE$505,"○")&gt;0,1,0))</f>
        <v/>
      </c>
      <c r="DH205">
        <f>IF(DH$4=0,0,IF(COUNTIFS(実績!$W$6:$W$505,DH$3,実績!$AC$6:$AC$505,"&lt;="&amp;$A205,実績!$AD$6:$AD$505,"&gt;"&amp;$A205,実績!$AE$6:$AE$505,"○")&gt;0,1,0))</f>
        <v/>
      </c>
      <c r="DI205">
        <f>IF(DI$4=0,0,IF(COUNTIFS(実績!$W$6:$W$505,DI$3,実績!$AC$6:$AC$505,"&lt;="&amp;$A205,実績!$AD$6:$AD$505,"&gt;"&amp;$A205,実績!$AE$6:$AE$505,"○")&gt;0,1,0))</f>
        <v/>
      </c>
      <c r="DJ205">
        <f>IF(DJ$4=0,0,IF(COUNTIFS(実績!$W$6:$W$505,DJ$3,実績!$AC$6:$AC$505,"&lt;="&amp;$A205,実績!$AD$6:$AD$505,"&gt;"&amp;$A205,実績!$AE$6:$AE$505,"○")&gt;0,1,0))</f>
        <v/>
      </c>
      <c r="DK205">
        <f>IF(DK$4=0,0,IF(COUNTIFS(実績!$W$6:$W$505,DK$3,実績!$AC$6:$AC$505,"&lt;="&amp;$A205,実績!$AD$6:$AD$505,"&gt;"&amp;$A205,実績!$AE$6:$AE$505,"○")&gt;0,1,0))</f>
        <v/>
      </c>
      <c r="DL205">
        <f>IF(DL$4=0,0,IF(COUNTIFS(実績!$W$6:$W$505,DL$3,実績!$AC$6:$AC$505,"&lt;="&amp;$A205,実績!$AD$6:$AD$505,"&gt;"&amp;$A205,実績!$AE$6:$AE$505,"○")&gt;0,1,0))</f>
        <v/>
      </c>
      <c r="DM205">
        <f>IF(DM$4=0,0,IF(COUNTIFS(実績!$W$6:$W$505,DM$3,実績!$AC$6:$AC$505,"&lt;="&amp;$A205,実績!$AD$6:$AD$505,"&gt;"&amp;$A205,実績!$AE$6:$AE$505,"○")&gt;0,1,0))</f>
        <v/>
      </c>
      <c r="DN205">
        <f>IF(DN$4=0,0,IF(COUNTIFS(実績!$W$6:$W$505,DN$3,実績!$AC$6:$AC$505,"&lt;="&amp;$A205,実績!$AD$6:$AD$505,"&gt;"&amp;$A205,実績!$AE$6:$AE$505,"○")&gt;0,1,0))</f>
        <v/>
      </c>
      <c r="DO205">
        <f>IF(DO$4=0,0,IF(COUNTIFS(実績!$W$6:$W$505,DO$3,実績!$AC$6:$AC$505,"&lt;="&amp;$A205,実績!$AD$6:$AD$505,"&gt;"&amp;$A205,実績!$AE$6:$AE$505,"○")&gt;0,1,0))</f>
        <v/>
      </c>
      <c r="DP205">
        <f>IF(DP$4=0,0,IF(COUNTIFS(実績!$W$6:$W$505,DP$3,実績!$AC$6:$AC$505,"&lt;="&amp;$A205,実績!$AD$6:$AD$505,"&gt;"&amp;$A205,実績!$AE$6:$AE$505,"○")&gt;0,1,0))</f>
        <v/>
      </c>
      <c r="DQ205">
        <f>IF(DQ$4=0,0,IF(COUNTIFS(実績!$W$6:$W$505,DQ$3,実績!$AC$6:$AC$505,"&lt;="&amp;$A205,実績!$AD$6:$AD$505,"&gt;"&amp;$A205,実績!$AE$6:$AE$505,"○")&gt;0,1,0))</f>
        <v/>
      </c>
      <c r="DR205">
        <f>IF(DR$4=0,0,IF(COUNTIFS(実績!$W$6:$W$505,DR$3,実績!$AC$6:$AC$505,"&lt;="&amp;$A205,実績!$AD$6:$AD$505,"&gt;"&amp;$A205,実績!$AE$6:$AE$505,"○")&gt;0,1,0))</f>
        <v/>
      </c>
      <c r="DS205">
        <f>SUM(C205:DR205)</f>
        <v/>
      </c>
      <c r="DT205">
        <f>SUMPRODUCT((実績!$C$6:$C$505="○")*ISNUMBER(実績!$AF$6:$AF$505)*(実績!$AF$6:$AF$505&lt;=$A205)*(実績!$AG$6:$AG$505&gt;$A205))</f>
        <v/>
      </c>
      <c r="DU205">
        <f>SUMIF($C$2:$DR$2,"製鉄曳船",C205:DR205)</f>
        <v/>
      </c>
      <c r="DV205">
        <f>SUMIF($C$2:$DR$2,"西日本海運",C205:DR205)</f>
        <v/>
      </c>
    </row>
    <row r="206">
      <c r="A206" t="n">
        <v>1000</v>
      </c>
      <c r="B206" s="29">
        <f>A206/1440</f>
        <v/>
      </c>
      <c r="C206">
        <f>IF(C$4=0,0,IF(COUNTIFS(実績!$W$6:$W$505,C$3,実績!$AC$6:$AC$505,"&lt;="&amp;$A206,実績!$AD$6:$AD$505,"&gt;"&amp;$A206,実績!$AE$6:$AE$505,"○")&gt;0,1,0))</f>
        <v/>
      </c>
      <c r="D206">
        <f>IF(D$4=0,0,IF(COUNTIFS(実績!$W$6:$W$505,D$3,実績!$AC$6:$AC$505,"&lt;="&amp;$A206,実績!$AD$6:$AD$505,"&gt;"&amp;$A206,実績!$AE$6:$AE$505,"○")&gt;0,1,0))</f>
        <v/>
      </c>
      <c r="E206">
        <f>IF(E$4=0,0,IF(COUNTIFS(実績!$W$6:$W$505,E$3,実績!$AC$6:$AC$505,"&lt;="&amp;$A206,実績!$AD$6:$AD$505,"&gt;"&amp;$A206,実績!$AE$6:$AE$505,"○")&gt;0,1,0))</f>
        <v/>
      </c>
      <c r="F206">
        <f>IF(F$4=0,0,IF(COUNTIFS(実績!$W$6:$W$505,F$3,実績!$AC$6:$AC$505,"&lt;="&amp;$A206,実績!$AD$6:$AD$505,"&gt;"&amp;$A206,実績!$AE$6:$AE$505,"○")&gt;0,1,0))</f>
        <v/>
      </c>
      <c r="G206">
        <f>IF(G$4=0,0,IF(COUNTIFS(実績!$W$6:$W$505,G$3,実績!$AC$6:$AC$505,"&lt;="&amp;$A206,実績!$AD$6:$AD$505,"&gt;"&amp;$A206,実績!$AE$6:$AE$505,"○")&gt;0,1,0))</f>
        <v/>
      </c>
      <c r="H206">
        <f>IF(H$4=0,0,IF(COUNTIFS(実績!$W$6:$W$505,H$3,実績!$AC$6:$AC$505,"&lt;="&amp;$A206,実績!$AD$6:$AD$505,"&gt;"&amp;$A206,実績!$AE$6:$AE$505,"○")&gt;0,1,0))</f>
        <v/>
      </c>
      <c r="I206">
        <f>IF(I$4=0,0,IF(COUNTIFS(実績!$W$6:$W$505,I$3,実績!$AC$6:$AC$505,"&lt;="&amp;$A206,実績!$AD$6:$AD$505,"&gt;"&amp;$A206,実績!$AE$6:$AE$505,"○")&gt;0,1,0))</f>
        <v/>
      </c>
      <c r="J206">
        <f>IF(J$4=0,0,IF(COUNTIFS(実績!$W$6:$W$505,J$3,実績!$AC$6:$AC$505,"&lt;="&amp;$A206,実績!$AD$6:$AD$505,"&gt;"&amp;$A206,実績!$AE$6:$AE$505,"○")&gt;0,1,0))</f>
        <v/>
      </c>
      <c r="K206">
        <f>IF(K$4=0,0,IF(COUNTIFS(実績!$W$6:$W$505,K$3,実績!$AC$6:$AC$505,"&lt;="&amp;$A206,実績!$AD$6:$AD$505,"&gt;"&amp;$A206,実績!$AE$6:$AE$505,"○")&gt;0,1,0))</f>
        <v/>
      </c>
      <c r="L206">
        <f>IF(L$4=0,0,IF(COUNTIFS(実績!$W$6:$W$505,L$3,実績!$AC$6:$AC$505,"&lt;="&amp;$A206,実績!$AD$6:$AD$505,"&gt;"&amp;$A206,実績!$AE$6:$AE$505,"○")&gt;0,1,0))</f>
        <v/>
      </c>
      <c r="M206">
        <f>IF(M$4=0,0,IF(COUNTIFS(実績!$W$6:$W$505,M$3,実績!$AC$6:$AC$505,"&lt;="&amp;$A206,実績!$AD$6:$AD$505,"&gt;"&amp;$A206,実績!$AE$6:$AE$505,"○")&gt;0,1,0))</f>
        <v/>
      </c>
      <c r="N206">
        <f>IF(N$4=0,0,IF(COUNTIFS(実績!$W$6:$W$505,N$3,実績!$AC$6:$AC$505,"&lt;="&amp;$A206,実績!$AD$6:$AD$505,"&gt;"&amp;$A206,実績!$AE$6:$AE$505,"○")&gt;0,1,0))</f>
        <v/>
      </c>
      <c r="O206">
        <f>IF(O$4=0,0,IF(COUNTIFS(実績!$W$6:$W$505,O$3,実績!$AC$6:$AC$505,"&lt;="&amp;$A206,実績!$AD$6:$AD$505,"&gt;"&amp;$A206,実績!$AE$6:$AE$505,"○")&gt;0,1,0))</f>
        <v/>
      </c>
      <c r="P206">
        <f>IF(P$4=0,0,IF(COUNTIFS(実績!$W$6:$W$505,P$3,実績!$AC$6:$AC$505,"&lt;="&amp;$A206,実績!$AD$6:$AD$505,"&gt;"&amp;$A206,実績!$AE$6:$AE$505,"○")&gt;0,1,0))</f>
        <v/>
      </c>
      <c r="Q206">
        <f>IF(Q$4=0,0,IF(COUNTIFS(実績!$W$6:$W$505,Q$3,実績!$AC$6:$AC$505,"&lt;="&amp;$A206,実績!$AD$6:$AD$505,"&gt;"&amp;$A206,実績!$AE$6:$AE$505,"○")&gt;0,1,0))</f>
        <v/>
      </c>
      <c r="R206">
        <f>IF(R$4=0,0,IF(COUNTIFS(実績!$W$6:$W$505,R$3,実績!$AC$6:$AC$505,"&lt;="&amp;$A206,実績!$AD$6:$AD$505,"&gt;"&amp;$A206,実績!$AE$6:$AE$505,"○")&gt;0,1,0))</f>
        <v/>
      </c>
      <c r="S206">
        <f>IF(S$4=0,0,IF(COUNTIFS(実績!$W$6:$W$505,S$3,実績!$AC$6:$AC$505,"&lt;="&amp;$A206,実績!$AD$6:$AD$505,"&gt;"&amp;$A206,実績!$AE$6:$AE$505,"○")&gt;0,1,0))</f>
        <v/>
      </c>
      <c r="T206">
        <f>IF(T$4=0,0,IF(COUNTIFS(実績!$W$6:$W$505,T$3,実績!$AC$6:$AC$505,"&lt;="&amp;$A206,実績!$AD$6:$AD$505,"&gt;"&amp;$A206,実績!$AE$6:$AE$505,"○")&gt;0,1,0))</f>
        <v/>
      </c>
      <c r="U206">
        <f>IF(U$4=0,0,IF(COUNTIFS(実績!$W$6:$W$505,U$3,実績!$AC$6:$AC$505,"&lt;="&amp;$A206,実績!$AD$6:$AD$505,"&gt;"&amp;$A206,実績!$AE$6:$AE$505,"○")&gt;0,1,0))</f>
        <v/>
      </c>
      <c r="V206">
        <f>IF(V$4=0,0,IF(COUNTIFS(実績!$W$6:$W$505,V$3,実績!$AC$6:$AC$505,"&lt;="&amp;$A206,実績!$AD$6:$AD$505,"&gt;"&amp;$A206,実績!$AE$6:$AE$505,"○")&gt;0,1,0))</f>
        <v/>
      </c>
      <c r="W206">
        <f>IF(W$4=0,0,IF(COUNTIFS(実績!$W$6:$W$505,W$3,実績!$AC$6:$AC$505,"&lt;="&amp;$A206,実績!$AD$6:$AD$505,"&gt;"&amp;$A206,実績!$AE$6:$AE$505,"○")&gt;0,1,0))</f>
        <v/>
      </c>
      <c r="X206">
        <f>IF(X$4=0,0,IF(COUNTIFS(実績!$W$6:$W$505,X$3,実績!$AC$6:$AC$505,"&lt;="&amp;$A206,実績!$AD$6:$AD$505,"&gt;"&amp;$A206,実績!$AE$6:$AE$505,"○")&gt;0,1,0))</f>
        <v/>
      </c>
      <c r="Y206">
        <f>IF(Y$4=0,0,IF(COUNTIFS(実績!$W$6:$W$505,Y$3,実績!$AC$6:$AC$505,"&lt;="&amp;$A206,実績!$AD$6:$AD$505,"&gt;"&amp;$A206,実績!$AE$6:$AE$505,"○")&gt;0,1,0))</f>
        <v/>
      </c>
      <c r="Z206">
        <f>IF(Z$4=0,0,IF(COUNTIFS(実績!$W$6:$W$505,Z$3,実績!$AC$6:$AC$505,"&lt;="&amp;$A206,実績!$AD$6:$AD$505,"&gt;"&amp;$A206,実績!$AE$6:$AE$505,"○")&gt;0,1,0))</f>
        <v/>
      </c>
      <c r="AA206">
        <f>IF(AA$4=0,0,IF(COUNTIFS(実績!$W$6:$W$505,AA$3,実績!$AC$6:$AC$505,"&lt;="&amp;$A206,実績!$AD$6:$AD$505,"&gt;"&amp;$A206,実績!$AE$6:$AE$505,"○")&gt;0,1,0))</f>
        <v/>
      </c>
      <c r="AB206">
        <f>IF(AB$4=0,0,IF(COUNTIFS(実績!$W$6:$W$505,AB$3,実績!$AC$6:$AC$505,"&lt;="&amp;$A206,実績!$AD$6:$AD$505,"&gt;"&amp;$A206,実績!$AE$6:$AE$505,"○")&gt;0,1,0))</f>
        <v/>
      </c>
      <c r="AC206">
        <f>IF(AC$4=0,0,IF(COUNTIFS(実績!$W$6:$W$505,AC$3,実績!$AC$6:$AC$505,"&lt;="&amp;$A206,実績!$AD$6:$AD$505,"&gt;"&amp;$A206,実績!$AE$6:$AE$505,"○")&gt;0,1,0))</f>
        <v/>
      </c>
      <c r="AD206">
        <f>IF(AD$4=0,0,IF(COUNTIFS(実績!$W$6:$W$505,AD$3,実績!$AC$6:$AC$505,"&lt;="&amp;$A206,実績!$AD$6:$AD$505,"&gt;"&amp;$A206,実績!$AE$6:$AE$505,"○")&gt;0,1,0))</f>
        <v/>
      </c>
      <c r="AE206">
        <f>IF(AE$4=0,0,IF(COUNTIFS(実績!$W$6:$W$505,AE$3,実績!$AC$6:$AC$505,"&lt;="&amp;$A206,実績!$AD$6:$AD$505,"&gt;"&amp;$A206,実績!$AE$6:$AE$505,"○")&gt;0,1,0))</f>
        <v/>
      </c>
      <c r="AF206">
        <f>IF(AF$4=0,0,IF(COUNTIFS(実績!$W$6:$W$505,AF$3,実績!$AC$6:$AC$505,"&lt;="&amp;$A206,実績!$AD$6:$AD$505,"&gt;"&amp;$A206,実績!$AE$6:$AE$505,"○")&gt;0,1,0))</f>
        <v/>
      </c>
      <c r="AG206">
        <f>IF(AG$4=0,0,IF(COUNTIFS(実績!$W$6:$W$505,AG$3,実績!$AC$6:$AC$505,"&lt;="&amp;$A206,実績!$AD$6:$AD$505,"&gt;"&amp;$A206,実績!$AE$6:$AE$505,"○")&gt;0,1,0))</f>
        <v/>
      </c>
      <c r="AH206">
        <f>IF(AH$4=0,0,IF(COUNTIFS(実績!$W$6:$W$505,AH$3,実績!$AC$6:$AC$505,"&lt;="&amp;$A206,実績!$AD$6:$AD$505,"&gt;"&amp;$A206,実績!$AE$6:$AE$505,"○")&gt;0,1,0))</f>
        <v/>
      </c>
      <c r="AI206">
        <f>IF(AI$4=0,0,IF(COUNTIFS(実績!$W$6:$W$505,AI$3,実績!$AC$6:$AC$505,"&lt;="&amp;$A206,実績!$AD$6:$AD$505,"&gt;"&amp;$A206,実績!$AE$6:$AE$505,"○")&gt;0,1,0))</f>
        <v/>
      </c>
      <c r="AJ206">
        <f>IF(AJ$4=0,0,IF(COUNTIFS(実績!$W$6:$W$505,AJ$3,実績!$AC$6:$AC$505,"&lt;="&amp;$A206,実績!$AD$6:$AD$505,"&gt;"&amp;$A206,実績!$AE$6:$AE$505,"○")&gt;0,1,0))</f>
        <v/>
      </c>
      <c r="AK206">
        <f>IF(AK$4=0,0,IF(COUNTIFS(実績!$W$6:$W$505,AK$3,実績!$AC$6:$AC$505,"&lt;="&amp;$A206,実績!$AD$6:$AD$505,"&gt;"&amp;$A206,実績!$AE$6:$AE$505,"○")&gt;0,1,0))</f>
        <v/>
      </c>
      <c r="AL206">
        <f>IF(AL$4=0,0,IF(COUNTIFS(実績!$W$6:$W$505,AL$3,実績!$AC$6:$AC$505,"&lt;="&amp;$A206,実績!$AD$6:$AD$505,"&gt;"&amp;$A206,実績!$AE$6:$AE$505,"○")&gt;0,1,0))</f>
        <v/>
      </c>
      <c r="AM206">
        <f>IF(AM$4=0,0,IF(COUNTIFS(実績!$W$6:$W$505,AM$3,実績!$AC$6:$AC$505,"&lt;="&amp;$A206,実績!$AD$6:$AD$505,"&gt;"&amp;$A206,実績!$AE$6:$AE$505,"○")&gt;0,1,0))</f>
        <v/>
      </c>
      <c r="AN206">
        <f>IF(AN$4=0,0,IF(COUNTIFS(実績!$W$6:$W$505,AN$3,実績!$AC$6:$AC$505,"&lt;="&amp;$A206,実績!$AD$6:$AD$505,"&gt;"&amp;$A206,実績!$AE$6:$AE$505,"○")&gt;0,1,0))</f>
        <v/>
      </c>
      <c r="AO206">
        <f>IF(AO$4=0,0,IF(COUNTIFS(実績!$W$6:$W$505,AO$3,実績!$AC$6:$AC$505,"&lt;="&amp;$A206,実績!$AD$6:$AD$505,"&gt;"&amp;$A206,実績!$AE$6:$AE$505,"○")&gt;0,1,0))</f>
        <v/>
      </c>
      <c r="AP206">
        <f>IF(AP$4=0,0,IF(COUNTIFS(実績!$W$6:$W$505,AP$3,実績!$AC$6:$AC$505,"&lt;="&amp;$A206,実績!$AD$6:$AD$505,"&gt;"&amp;$A206,実績!$AE$6:$AE$505,"○")&gt;0,1,0))</f>
        <v/>
      </c>
      <c r="AQ206">
        <f>IF(AQ$4=0,0,IF(COUNTIFS(実績!$W$6:$W$505,AQ$3,実績!$AC$6:$AC$505,"&lt;="&amp;$A206,実績!$AD$6:$AD$505,"&gt;"&amp;$A206,実績!$AE$6:$AE$505,"○")&gt;0,1,0))</f>
        <v/>
      </c>
      <c r="AR206">
        <f>IF(AR$4=0,0,IF(COUNTIFS(実績!$W$6:$W$505,AR$3,実績!$AC$6:$AC$505,"&lt;="&amp;$A206,実績!$AD$6:$AD$505,"&gt;"&amp;$A206,実績!$AE$6:$AE$505,"○")&gt;0,1,0))</f>
        <v/>
      </c>
      <c r="AS206">
        <f>IF(AS$4=0,0,IF(COUNTIFS(実績!$W$6:$W$505,AS$3,実績!$AC$6:$AC$505,"&lt;="&amp;$A206,実績!$AD$6:$AD$505,"&gt;"&amp;$A206,実績!$AE$6:$AE$505,"○")&gt;0,1,0))</f>
        <v/>
      </c>
      <c r="AT206">
        <f>IF(AT$4=0,0,IF(COUNTIFS(実績!$W$6:$W$505,AT$3,実績!$AC$6:$AC$505,"&lt;="&amp;$A206,実績!$AD$6:$AD$505,"&gt;"&amp;$A206,実績!$AE$6:$AE$505,"○")&gt;0,1,0))</f>
        <v/>
      </c>
      <c r="AU206">
        <f>IF(AU$4=0,0,IF(COUNTIFS(実績!$W$6:$W$505,AU$3,実績!$AC$6:$AC$505,"&lt;="&amp;$A206,実績!$AD$6:$AD$505,"&gt;"&amp;$A206,実績!$AE$6:$AE$505,"○")&gt;0,1,0))</f>
        <v/>
      </c>
      <c r="AV206">
        <f>IF(AV$4=0,0,IF(COUNTIFS(実績!$W$6:$W$505,AV$3,実績!$AC$6:$AC$505,"&lt;="&amp;$A206,実績!$AD$6:$AD$505,"&gt;"&amp;$A206,実績!$AE$6:$AE$505,"○")&gt;0,1,0))</f>
        <v/>
      </c>
      <c r="AW206">
        <f>IF(AW$4=0,0,IF(COUNTIFS(実績!$W$6:$W$505,AW$3,実績!$AC$6:$AC$505,"&lt;="&amp;$A206,実績!$AD$6:$AD$505,"&gt;"&amp;$A206,実績!$AE$6:$AE$505,"○")&gt;0,1,0))</f>
        <v/>
      </c>
      <c r="AX206">
        <f>IF(AX$4=0,0,IF(COUNTIFS(実績!$W$6:$W$505,AX$3,実績!$AC$6:$AC$505,"&lt;="&amp;$A206,実績!$AD$6:$AD$505,"&gt;"&amp;$A206,実績!$AE$6:$AE$505,"○")&gt;0,1,0))</f>
        <v/>
      </c>
      <c r="AY206">
        <f>IF(AY$4=0,0,IF(COUNTIFS(実績!$W$6:$W$505,AY$3,実績!$AC$6:$AC$505,"&lt;="&amp;$A206,実績!$AD$6:$AD$505,"&gt;"&amp;$A206,実績!$AE$6:$AE$505,"○")&gt;0,1,0))</f>
        <v/>
      </c>
      <c r="AZ206">
        <f>IF(AZ$4=0,0,IF(COUNTIFS(実績!$W$6:$W$505,AZ$3,実績!$AC$6:$AC$505,"&lt;="&amp;$A206,実績!$AD$6:$AD$505,"&gt;"&amp;$A206,実績!$AE$6:$AE$505,"○")&gt;0,1,0))</f>
        <v/>
      </c>
      <c r="BA206">
        <f>IF(BA$4=0,0,IF(COUNTIFS(実績!$W$6:$W$505,BA$3,実績!$AC$6:$AC$505,"&lt;="&amp;$A206,実績!$AD$6:$AD$505,"&gt;"&amp;$A206,実績!$AE$6:$AE$505,"○")&gt;0,1,0))</f>
        <v/>
      </c>
      <c r="BB206">
        <f>IF(BB$4=0,0,IF(COUNTIFS(実績!$W$6:$W$505,BB$3,実績!$AC$6:$AC$505,"&lt;="&amp;$A206,実績!$AD$6:$AD$505,"&gt;"&amp;$A206,実績!$AE$6:$AE$505,"○")&gt;0,1,0))</f>
        <v/>
      </c>
      <c r="BC206">
        <f>IF(BC$4=0,0,IF(COUNTIFS(実績!$W$6:$W$505,BC$3,実績!$AC$6:$AC$505,"&lt;="&amp;$A206,実績!$AD$6:$AD$505,"&gt;"&amp;$A206,実績!$AE$6:$AE$505,"○")&gt;0,1,0))</f>
        <v/>
      </c>
      <c r="BD206">
        <f>IF(BD$4=0,0,IF(COUNTIFS(実績!$W$6:$W$505,BD$3,実績!$AC$6:$AC$505,"&lt;="&amp;$A206,実績!$AD$6:$AD$505,"&gt;"&amp;$A206,実績!$AE$6:$AE$505,"○")&gt;0,1,0))</f>
        <v/>
      </c>
      <c r="BE206">
        <f>IF(BE$4=0,0,IF(COUNTIFS(実績!$W$6:$W$505,BE$3,実績!$AC$6:$AC$505,"&lt;="&amp;$A206,実績!$AD$6:$AD$505,"&gt;"&amp;$A206,実績!$AE$6:$AE$505,"○")&gt;0,1,0))</f>
        <v/>
      </c>
      <c r="BF206">
        <f>IF(BF$4=0,0,IF(COUNTIFS(実績!$W$6:$W$505,BF$3,実績!$AC$6:$AC$505,"&lt;="&amp;$A206,実績!$AD$6:$AD$505,"&gt;"&amp;$A206,実績!$AE$6:$AE$505,"○")&gt;0,1,0))</f>
        <v/>
      </c>
      <c r="BG206">
        <f>IF(BG$4=0,0,IF(COUNTIFS(実績!$W$6:$W$505,BG$3,実績!$AC$6:$AC$505,"&lt;="&amp;$A206,実績!$AD$6:$AD$505,"&gt;"&amp;$A206,実績!$AE$6:$AE$505,"○")&gt;0,1,0))</f>
        <v/>
      </c>
      <c r="BH206">
        <f>IF(BH$4=0,0,IF(COUNTIFS(実績!$W$6:$W$505,BH$3,実績!$AC$6:$AC$505,"&lt;="&amp;$A206,実績!$AD$6:$AD$505,"&gt;"&amp;$A206,実績!$AE$6:$AE$505,"○")&gt;0,1,0))</f>
        <v/>
      </c>
      <c r="BI206">
        <f>IF(BI$4=0,0,IF(COUNTIFS(実績!$W$6:$W$505,BI$3,実績!$AC$6:$AC$505,"&lt;="&amp;$A206,実績!$AD$6:$AD$505,"&gt;"&amp;$A206,実績!$AE$6:$AE$505,"○")&gt;0,1,0))</f>
        <v/>
      </c>
      <c r="BJ206">
        <f>IF(BJ$4=0,0,IF(COUNTIFS(実績!$W$6:$W$505,BJ$3,実績!$AC$6:$AC$505,"&lt;="&amp;$A206,実績!$AD$6:$AD$505,"&gt;"&amp;$A206,実績!$AE$6:$AE$505,"○")&gt;0,1,0))</f>
        <v/>
      </c>
      <c r="BK206">
        <f>IF(BK$4=0,0,IF(COUNTIFS(実績!$W$6:$W$505,BK$3,実績!$AC$6:$AC$505,"&lt;="&amp;$A206,実績!$AD$6:$AD$505,"&gt;"&amp;$A206,実績!$AE$6:$AE$505,"○")&gt;0,1,0))</f>
        <v/>
      </c>
      <c r="BL206">
        <f>IF(BL$4=0,0,IF(COUNTIFS(実績!$W$6:$W$505,BL$3,実績!$AC$6:$AC$505,"&lt;="&amp;$A206,実績!$AD$6:$AD$505,"&gt;"&amp;$A206,実績!$AE$6:$AE$505,"○")&gt;0,1,0))</f>
        <v/>
      </c>
      <c r="BM206">
        <f>IF(BM$4=0,0,IF(COUNTIFS(実績!$W$6:$W$505,BM$3,実績!$AC$6:$AC$505,"&lt;="&amp;$A206,実績!$AD$6:$AD$505,"&gt;"&amp;$A206,実績!$AE$6:$AE$505,"○")&gt;0,1,0))</f>
        <v/>
      </c>
      <c r="BN206">
        <f>IF(BN$4=0,0,IF(COUNTIFS(実績!$W$6:$W$505,BN$3,実績!$AC$6:$AC$505,"&lt;="&amp;$A206,実績!$AD$6:$AD$505,"&gt;"&amp;$A206,実績!$AE$6:$AE$505,"○")&gt;0,1,0))</f>
        <v/>
      </c>
      <c r="BO206">
        <f>IF(BO$4=0,0,IF(COUNTIFS(実績!$W$6:$W$505,BO$3,実績!$AC$6:$AC$505,"&lt;="&amp;$A206,実績!$AD$6:$AD$505,"&gt;"&amp;$A206,実績!$AE$6:$AE$505,"○")&gt;0,1,0))</f>
        <v/>
      </c>
      <c r="BP206">
        <f>IF(BP$4=0,0,IF(COUNTIFS(実績!$W$6:$W$505,BP$3,実績!$AC$6:$AC$505,"&lt;="&amp;$A206,実績!$AD$6:$AD$505,"&gt;"&amp;$A206,実績!$AE$6:$AE$505,"○")&gt;0,1,0))</f>
        <v/>
      </c>
      <c r="BQ206">
        <f>IF(BQ$4=0,0,IF(COUNTIFS(実績!$W$6:$W$505,BQ$3,実績!$AC$6:$AC$505,"&lt;="&amp;$A206,実績!$AD$6:$AD$505,"&gt;"&amp;$A206,実績!$AE$6:$AE$505,"○")&gt;0,1,0))</f>
        <v/>
      </c>
      <c r="BR206">
        <f>IF(BR$4=0,0,IF(COUNTIFS(実績!$W$6:$W$505,BR$3,実績!$AC$6:$AC$505,"&lt;="&amp;$A206,実績!$AD$6:$AD$505,"&gt;"&amp;$A206,実績!$AE$6:$AE$505,"○")&gt;0,1,0))</f>
        <v/>
      </c>
      <c r="BS206">
        <f>IF(BS$4=0,0,IF(COUNTIFS(実績!$W$6:$W$505,BS$3,実績!$AC$6:$AC$505,"&lt;="&amp;$A206,実績!$AD$6:$AD$505,"&gt;"&amp;$A206,実績!$AE$6:$AE$505,"○")&gt;0,1,0))</f>
        <v/>
      </c>
      <c r="BT206">
        <f>IF(BT$4=0,0,IF(COUNTIFS(実績!$W$6:$W$505,BT$3,実績!$AC$6:$AC$505,"&lt;="&amp;$A206,実績!$AD$6:$AD$505,"&gt;"&amp;$A206,実績!$AE$6:$AE$505,"○")&gt;0,1,0))</f>
        <v/>
      </c>
      <c r="BU206">
        <f>IF(BU$4=0,0,IF(COUNTIFS(実績!$W$6:$W$505,BU$3,実績!$AC$6:$AC$505,"&lt;="&amp;$A206,実績!$AD$6:$AD$505,"&gt;"&amp;$A206,実績!$AE$6:$AE$505,"○")&gt;0,1,0))</f>
        <v/>
      </c>
      <c r="BV206">
        <f>IF(BV$4=0,0,IF(COUNTIFS(実績!$W$6:$W$505,BV$3,実績!$AC$6:$AC$505,"&lt;="&amp;$A206,実績!$AD$6:$AD$505,"&gt;"&amp;$A206,実績!$AE$6:$AE$505,"○")&gt;0,1,0))</f>
        <v/>
      </c>
      <c r="BW206">
        <f>IF(BW$4=0,0,IF(COUNTIFS(実績!$W$6:$W$505,BW$3,実績!$AC$6:$AC$505,"&lt;="&amp;$A206,実績!$AD$6:$AD$505,"&gt;"&amp;$A206,実績!$AE$6:$AE$505,"○")&gt;0,1,0))</f>
        <v/>
      </c>
      <c r="BX206">
        <f>IF(BX$4=0,0,IF(COUNTIFS(実績!$W$6:$W$505,BX$3,実績!$AC$6:$AC$505,"&lt;="&amp;$A206,実績!$AD$6:$AD$505,"&gt;"&amp;$A206,実績!$AE$6:$AE$505,"○")&gt;0,1,0))</f>
        <v/>
      </c>
      <c r="BY206">
        <f>IF(BY$4=0,0,IF(COUNTIFS(実績!$W$6:$W$505,BY$3,実績!$AC$6:$AC$505,"&lt;="&amp;$A206,実績!$AD$6:$AD$505,"&gt;"&amp;$A206,実績!$AE$6:$AE$505,"○")&gt;0,1,0))</f>
        <v/>
      </c>
      <c r="BZ206">
        <f>IF(BZ$4=0,0,IF(COUNTIFS(実績!$W$6:$W$505,BZ$3,実績!$AC$6:$AC$505,"&lt;="&amp;$A206,実績!$AD$6:$AD$505,"&gt;"&amp;$A206,実績!$AE$6:$AE$505,"○")&gt;0,1,0))</f>
        <v/>
      </c>
      <c r="CA206">
        <f>IF(CA$4=0,0,IF(COUNTIFS(実績!$W$6:$W$505,CA$3,実績!$AC$6:$AC$505,"&lt;="&amp;$A206,実績!$AD$6:$AD$505,"&gt;"&amp;$A206,実績!$AE$6:$AE$505,"○")&gt;0,1,0))</f>
        <v/>
      </c>
      <c r="CB206">
        <f>IF(CB$4=0,0,IF(COUNTIFS(実績!$W$6:$W$505,CB$3,実績!$AC$6:$AC$505,"&lt;="&amp;$A206,実績!$AD$6:$AD$505,"&gt;"&amp;$A206,実績!$AE$6:$AE$505,"○")&gt;0,1,0))</f>
        <v/>
      </c>
      <c r="CC206">
        <f>IF(CC$4=0,0,IF(COUNTIFS(実績!$W$6:$W$505,CC$3,実績!$AC$6:$AC$505,"&lt;="&amp;$A206,実績!$AD$6:$AD$505,"&gt;"&amp;$A206,実績!$AE$6:$AE$505,"○")&gt;0,1,0))</f>
        <v/>
      </c>
      <c r="CD206">
        <f>IF(CD$4=0,0,IF(COUNTIFS(実績!$W$6:$W$505,CD$3,実績!$AC$6:$AC$505,"&lt;="&amp;$A206,実績!$AD$6:$AD$505,"&gt;"&amp;$A206,実績!$AE$6:$AE$505,"○")&gt;0,1,0))</f>
        <v/>
      </c>
      <c r="CE206">
        <f>IF(CE$4=0,0,IF(COUNTIFS(実績!$W$6:$W$505,CE$3,実績!$AC$6:$AC$505,"&lt;="&amp;$A206,実績!$AD$6:$AD$505,"&gt;"&amp;$A206,実績!$AE$6:$AE$505,"○")&gt;0,1,0))</f>
        <v/>
      </c>
      <c r="CF206">
        <f>IF(CF$4=0,0,IF(COUNTIFS(実績!$W$6:$W$505,CF$3,実績!$AC$6:$AC$505,"&lt;="&amp;$A206,実績!$AD$6:$AD$505,"&gt;"&amp;$A206,実績!$AE$6:$AE$505,"○")&gt;0,1,0))</f>
        <v/>
      </c>
      <c r="CG206">
        <f>IF(CG$4=0,0,IF(COUNTIFS(実績!$W$6:$W$505,CG$3,実績!$AC$6:$AC$505,"&lt;="&amp;$A206,実績!$AD$6:$AD$505,"&gt;"&amp;$A206,実績!$AE$6:$AE$505,"○")&gt;0,1,0))</f>
        <v/>
      </c>
      <c r="CH206">
        <f>IF(CH$4=0,0,IF(COUNTIFS(実績!$W$6:$W$505,CH$3,実績!$AC$6:$AC$505,"&lt;="&amp;$A206,実績!$AD$6:$AD$505,"&gt;"&amp;$A206,実績!$AE$6:$AE$505,"○")&gt;0,1,0))</f>
        <v/>
      </c>
      <c r="CI206">
        <f>IF(CI$4=0,0,IF(COUNTIFS(実績!$W$6:$W$505,CI$3,実績!$AC$6:$AC$505,"&lt;="&amp;$A206,実績!$AD$6:$AD$505,"&gt;"&amp;$A206,実績!$AE$6:$AE$505,"○")&gt;0,1,0))</f>
        <v/>
      </c>
      <c r="CJ206">
        <f>IF(CJ$4=0,0,IF(COUNTIFS(実績!$W$6:$W$505,CJ$3,実績!$AC$6:$AC$505,"&lt;="&amp;$A206,実績!$AD$6:$AD$505,"&gt;"&amp;$A206,実績!$AE$6:$AE$505,"○")&gt;0,1,0))</f>
        <v/>
      </c>
      <c r="CK206">
        <f>IF(CK$4=0,0,IF(COUNTIFS(実績!$W$6:$W$505,CK$3,実績!$AC$6:$AC$505,"&lt;="&amp;$A206,実績!$AD$6:$AD$505,"&gt;"&amp;$A206,実績!$AE$6:$AE$505,"○")&gt;0,1,0))</f>
        <v/>
      </c>
      <c r="CL206">
        <f>IF(CL$4=0,0,IF(COUNTIFS(実績!$W$6:$W$505,CL$3,実績!$AC$6:$AC$505,"&lt;="&amp;$A206,実績!$AD$6:$AD$505,"&gt;"&amp;$A206,実績!$AE$6:$AE$505,"○")&gt;0,1,0))</f>
        <v/>
      </c>
      <c r="CM206">
        <f>IF(CM$4=0,0,IF(COUNTIFS(実績!$W$6:$W$505,CM$3,実績!$AC$6:$AC$505,"&lt;="&amp;$A206,実績!$AD$6:$AD$505,"&gt;"&amp;$A206,実績!$AE$6:$AE$505,"○")&gt;0,1,0))</f>
        <v/>
      </c>
      <c r="CN206">
        <f>IF(CN$4=0,0,IF(COUNTIFS(実績!$W$6:$W$505,CN$3,実績!$AC$6:$AC$505,"&lt;="&amp;$A206,実績!$AD$6:$AD$505,"&gt;"&amp;$A206,実績!$AE$6:$AE$505,"○")&gt;0,1,0))</f>
        <v/>
      </c>
      <c r="CO206">
        <f>IF(CO$4=0,0,IF(COUNTIFS(実績!$W$6:$W$505,CO$3,実績!$AC$6:$AC$505,"&lt;="&amp;$A206,実績!$AD$6:$AD$505,"&gt;"&amp;$A206,実績!$AE$6:$AE$505,"○")&gt;0,1,0))</f>
        <v/>
      </c>
      <c r="CP206">
        <f>IF(CP$4=0,0,IF(COUNTIFS(実績!$W$6:$W$505,CP$3,実績!$AC$6:$AC$505,"&lt;="&amp;$A206,実績!$AD$6:$AD$505,"&gt;"&amp;$A206,実績!$AE$6:$AE$505,"○")&gt;0,1,0))</f>
        <v/>
      </c>
      <c r="CQ206">
        <f>IF(CQ$4=0,0,IF(COUNTIFS(実績!$W$6:$W$505,CQ$3,実績!$AC$6:$AC$505,"&lt;="&amp;$A206,実績!$AD$6:$AD$505,"&gt;"&amp;$A206,実績!$AE$6:$AE$505,"○")&gt;0,1,0))</f>
        <v/>
      </c>
      <c r="CR206">
        <f>IF(CR$4=0,0,IF(COUNTIFS(実績!$W$6:$W$505,CR$3,実績!$AC$6:$AC$505,"&lt;="&amp;$A206,実績!$AD$6:$AD$505,"&gt;"&amp;$A206,実績!$AE$6:$AE$505,"○")&gt;0,1,0))</f>
        <v/>
      </c>
      <c r="CS206">
        <f>IF(CS$4=0,0,IF(COUNTIFS(実績!$W$6:$W$505,CS$3,実績!$AC$6:$AC$505,"&lt;="&amp;$A206,実績!$AD$6:$AD$505,"&gt;"&amp;$A206,実績!$AE$6:$AE$505,"○")&gt;0,1,0))</f>
        <v/>
      </c>
      <c r="CT206">
        <f>IF(CT$4=0,0,IF(COUNTIFS(実績!$W$6:$W$505,CT$3,実績!$AC$6:$AC$505,"&lt;="&amp;$A206,実績!$AD$6:$AD$505,"&gt;"&amp;$A206,実績!$AE$6:$AE$505,"○")&gt;0,1,0))</f>
        <v/>
      </c>
      <c r="CU206">
        <f>IF(CU$4=0,0,IF(COUNTIFS(実績!$W$6:$W$505,CU$3,実績!$AC$6:$AC$505,"&lt;="&amp;$A206,実績!$AD$6:$AD$505,"&gt;"&amp;$A206,実績!$AE$6:$AE$505,"○")&gt;0,1,0))</f>
        <v/>
      </c>
      <c r="CV206">
        <f>IF(CV$4=0,0,IF(COUNTIFS(実績!$W$6:$W$505,CV$3,実績!$AC$6:$AC$505,"&lt;="&amp;$A206,実績!$AD$6:$AD$505,"&gt;"&amp;$A206,実績!$AE$6:$AE$505,"○")&gt;0,1,0))</f>
        <v/>
      </c>
      <c r="CW206">
        <f>IF(CW$4=0,0,IF(COUNTIFS(実績!$W$6:$W$505,CW$3,実績!$AC$6:$AC$505,"&lt;="&amp;$A206,実績!$AD$6:$AD$505,"&gt;"&amp;$A206,実績!$AE$6:$AE$505,"○")&gt;0,1,0))</f>
        <v/>
      </c>
      <c r="CX206">
        <f>IF(CX$4=0,0,IF(COUNTIFS(実績!$W$6:$W$505,CX$3,実績!$AC$6:$AC$505,"&lt;="&amp;$A206,実績!$AD$6:$AD$505,"&gt;"&amp;$A206,実績!$AE$6:$AE$505,"○")&gt;0,1,0))</f>
        <v/>
      </c>
      <c r="CY206">
        <f>IF(CY$4=0,0,IF(COUNTIFS(実績!$W$6:$W$505,CY$3,実績!$AC$6:$AC$505,"&lt;="&amp;$A206,実績!$AD$6:$AD$505,"&gt;"&amp;$A206,実績!$AE$6:$AE$505,"○")&gt;0,1,0))</f>
        <v/>
      </c>
      <c r="CZ206">
        <f>IF(CZ$4=0,0,IF(COUNTIFS(実績!$W$6:$W$505,CZ$3,実績!$AC$6:$AC$505,"&lt;="&amp;$A206,実績!$AD$6:$AD$505,"&gt;"&amp;$A206,実績!$AE$6:$AE$505,"○")&gt;0,1,0))</f>
        <v/>
      </c>
      <c r="DA206">
        <f>IF(DA$4=0,0,IF(COUNTIFS(実績!$W$6:$W$505,DA$3,実績!$AC$6:$AC$505,"&lt;="&amp;$A206,実績!$AD$6:$AD$505,"&gt;"&amp;$A206,実績!$AE$6:$AE$505,"○")&gt;0,1,0))</f>
        <v/>
      </c>
      <c r="DB206">
        <f>IF(DB$4=0,0,IF(COUNTIFS(実績!$W$6:$W$505,DB$3,実績!$AC$6:$AC$505,"&lt;="&amp;$A206,実績!$AD$6:$AD$505,"&gt;"&amp;$A206,実績!$AE$6:$AE$505,"○")&gt;0,1,0))</f>
        <v/>
      </c>
      <c r="DC206">
        <f>IF(DC$4=0,0,IF(COUNTIFS(実績!$W$6:$W$505,DC$3,実績!$AC$6:$AC$505,"&lt;="&amp;$A206,実績!$AD$6:$AD$505,"&gt;"&amp;$A206,実績!$AE$6:$AE$505,"○")&gt;0,1,0))</f>
        <v/>
      </c>
      <c r="DD206">
        <f>IF(DD$4=0,0,IF(COUNTIFS(実績!$W$6:$W$505,DD$3,実績!$AC$6:$AC$505,"&lt;="&amp;$A206,実績!$AD$6:$AD$505,"&gt;"&amp;$A206,実績!$AE$6:$AE$505,"○")&gt;0,1,0))</f>
        <v/>
      </c>
      <c r="DE206">
        <f>IF(DE$4=0,0,IF(COUNTIFS(実績!$W$6:$W$505,DE$3,実績!$AC$6:$AC$505,"&lt;="&amp;$A206,実績!$AD$6:$AD$505,"&gt;"&amp;$A206,実績!$AE$6:$AE$505,"○")&gt;0,1,0))</f>
        <v/>
      </c>
      <c r="DF206">
        <f>IF(DF$4=0,0,IF(COUNTIFS(実績!$W$6:$W$505,DF$3,実績!$AC$6:$AC$505,"&lt;="&amp;$A206,実績!$AD$6:$AD$505,"&gt;"&amp;$A206,実績!$AE$6:$AE$505,"○")&gt;0,1,0))</f>
        <v/>
      </c>
      <c r="DG206">
        <f>IF(DG$4=0,0,IF(COUNTIFS(実績!$W$6:$W$505,DG$3,実績!$AC$6:$AC$505,"&lt;="&amp;$A206,実績!$AD$6:$AD$505,"&gt;"&amp;$A206,実績!$AE$6:$AE$505,"○")&gt;0,1,0))</f>
        <v/>
      </c>
      <c r="DH206">
        <f>IF(DH$4=0,0,IF(COUNTIFS(実績!$W$6:$W$505,DH$3,実績!$AC$6:$AC$505,"&lt;="&amp;$A206,実績!$AD$6:$AD$505,"&gt;"&amp;$A206,実績!$AE$6:$AE$505,"○")&gt;0,1,0))</f>
        <v/>
      </c>
      <c r="DI206">
        <f>IF(DI$4=0,0,IF(COUNTIFS(実績!$W$6:$W$505,DI$3,実績!$AC$6:$AC$505,"&lt;="&amp;$A206,実績!$AD$6:$AD$505,"&gt;"&amp;$A206,実績!$AE$6:$AE$505,"○")&gt;0,1,0))</f>
        <v/>
      </c>
      <c r="DJ206">
        <f>IF(DJ$4=0,0,IF(COUNTIFS(実績!$W$6:$W$505,DJ$3,実績!$AC$6:$AC$505,"&lt;="&amp;$A206,実績!$AD$6:$AD$505,"&gt;"&amp;$A206,実績!$AE$6:$AE$505,"○")&gt;0,1,0))</f>
        <v/>
      </c>
      <c r="DK206">
        <f>IF(DK$4=0,0,IF(COUNTIFS(実績!$W$6:$W$505,DK$3,実績!$AC$6:$AC$505,"&lt;="&amp;$A206,実績!$AD$6:$AD$505,"&gt;"&amp;$A206,実績!$AE$6:$AE$505,"○")&gt;0,1,0))</f>
        <v/>
      </c>
      <c r="DL206">
        <f>IF(DL$4=0,0,IF(COUNTIFS(実績!$W$6:$W$505,DL$3,実績!$AC$6:$AC$505,"&lt;="&amp;$A206,実績!$AD$6:$AD$505,"&gt;"&amp;$A206,実績!$AE$6:$AE$505,"○")&gt;0,1,0))</f>
        <v/>
      </c>
      <c r="DM206">
        <f>IF(DM$4=0,0,IF(COUNTIFS(実績!$W$6:$W$505,DM$3,実績!$AC$6:$AC$505,"&lt;="&amp;$A206,実績!$AD$6:$AD$505,"&gt;"&amp;$A206,実績!$AE$6:$AE$505,"○")&gt;0,1,0))</f>
        <v/>
      </c>
      <c r="DN206">
        <f>IF(DN$4=0,0,IF(COUNTIFS(実績!$W$6:$W$505,DN$3,実績!$AC$6:$AC$505,"&lt;="&amp;$A206,実績!$AD$6:$AD$505,"&gt;"&amp;$A206,実績!$AE$6:$AE$505,"○")&gt;0,1,0))</f>
        <v/>
      </c>
      <c r="DO206">
        <f>IF(DO$4=0,0,IF(COUNTIFS(実績!$W$6:$W$505,DO$3,実績!$AC$6:$AC$505,"&lt;="&amp;$A206,実績!$AD$6:$AD$505,"&gt;"&amp;$A206,実績!$AE$6:$AE$505,"○")&gt;0,1,0))</f>
        <v/>
      </c>
      <c r="DP206">
        <f>IF(DP$4=0,0,IF(COUNTIFS(実績!$W$6:$W$505,DP$3,実績!$AC$6:$AC$505,"&lt;="&amp;$A206,実績!$AD$6:$AD$505,"&gt;"&amp;$A206,実績!$AE$6:$AE$505,"○")&gt;0,1,0))</f>
        <v/>
      </c>
      <c r="DQ206">
        <f>IF(DQ$4=0,0,IF(COUNTIFS(実績!$W$6:$W$505,DQ$3,実績!$AC$6:$AC$505,"&lt;="&amp;$A206,実績!$AD$6:$AD$505,"&gt;"&amp;$A206,実績!$AE$6:$AE$505,"○")&gt;0,1,0))</f>
        <v/>
      </c>
      <c r="DR206">
        <f>IF(DR$4=0,0,IF(COUNTIFS(実績!$W$6:$W$505,DR$3,実績!$AC$6:$AC$505,"&lt;="&amp;$A206,実績!$AD$6:$AD$505,"&gt;"&amp;$A206,実績!$AE$6:$AE$505,"○")&gt;0,1,0))</f>
        <v/>
      </c>
      <c r="DS206">
        <f>SUM(C206:DR206)</f>
        <v/>
      </c>
      <c r="DT206">
        <f>SUMPRODUCT((実績!$C$6:$C$505="○")*ISNUMBER(実績!$AF$6:$AF$505)*(実績!$AF$6:$AF$505&lt;=$A206)*(実績!$AG$6:$AG$505&gt;$A206))</f>
        <v/>
      </c>
      <c r="DU206">
        <f>SUMIF($C$2:$DR$2,"製鉄曳船",C206:DR206)</f>
        <v/>
      </c>
      <c r="DV206">
        <f>SUMIF($C$2:$DR$2,"西日本海運",C206:DR206)</f>
        <v/>
      </c>
    </row>
    <row r="207">
      <c r="A207" t="n">
        <v>1005</v>
      </c>
      <c r="B207" s="29">
        <f>A207/1440</f>
        <v/>
      </c>
      <c r="C207">
        <f>IF(C$4=0,0,IF(COUNTIFS(実績!$W$6:$W$505,C$3,実績!$AC$6:$AC$505,"&lt;="&amp;$A207,実績!$AD$6:$AD$505,"&gt;"&amp;$A207,実績!$AE$6:$AE$505,"○")&gt;0,1,0))</f>
        <v/>
      </c>
      <c r="D207">
        <f>IF(D$4=0,0,IF(COUNTIFS(実績!$W$6:$W$505,D$3,実績!$AC$6:$AC$505,"&lt;="&amp;$A207,実績!$AD$6:$AD$505,"&gt;"&amp;$A207,実績!$AE$6:$AE$505,"○")&gt;0,1,0))</f>
        <v/>
      </c>
      <c r="E207">
        <f>IF(E$4=0,0,IF(COUNTIFS(実績!$W$6:$W$505,E$3,実績!$AC$6:$AC$505,"&lt;="&amp;$A207,実績!$AD$6:$AD$505,"&gt;"&amp;$A207,実績!$AE$6:$AE$505,"○")&gt;0,1,0))</f>
        <v/>
      </c>
      <c r="F207">
        <f>IF(F$4=0,0,IF(COUNTIFS(実績!$W$6:$W$505,F$3,実績!$AC$6:$AC$505,"&lt;="&amp;$A207,実績!$AD$6:$AD$505,"&gt;"&amp;$A207,実績!$AE$6:$AE$505,"○")&gt;0,1,0))</f>
        <v/>
      </c>
      <c r="G207">
        <f>IF(G$4=0,0,IF(COUNTIFS(実績!$W$6:$W$505,G$3,実績!$AC$6:$AC$505,"&lt;="&amp;$A207,実績!$AD$6:$AD$505,"&gt;"&amp;$A207,実績!$AE$6:$AE$505,"○")&gt;0,1,0))</f>
        <v/>
      </c>
      <c r="H207">
        <f>IF(H$4=0,0,IF(COUNTIFS(実績!$W$6:$W$505,H$3,実績!$AC$6:$AC$505,"&lt;="&amp;$A207,実績!$AD$6:$AD$505,"&gt;"&amp;$A207,実績!$AE$6:$AE$505,"○")&gt;0,1,0))</f>
        <v/>
      </c>
      <c r="I207">
        <f>IF(I$4=0,0,IF(COUNTIFS(実績!$W$6:$W$505,I$3,実績!$AC$6:$AC$505,"&lt;="&amp;$A207,実績!$AD$6:$AD$505,"&gt;"&amp;$A207,実績!$AE$6:$AE$505,"○")&gt;0,1,0))</f>
        <v/>
      </c>
      <c r="J207">
        <f>IF(J$4=0,0,IF(COUNTIFS(実績!$W$6:$W$505,J$3,実績!$AC$6:$AC$505,"&lt;="&amp;$A207,実績!$AD$6:$AD$505,"&gt;"&amp;$A207,実績!$AE$6:$AE$505,"○")&gt;0,1,0))</f>
        <v/>
      </c>
      <c r="K207">
        <f>IF(K$4=0,0,IF(COUNTIFS(実績!$W$6:$W$505,K$3,実績!$AC$6:$AC$505,"&lt;="&amp;$A207,実績!$AD$6:$AD$505,"&gt;"&amp;$A207,実績!$AE$6:$AE$505,"○")&gt;0,1,0))</f>
        <v/>
      </c>
      <c r="L207">
        <f>IF(L$4=0,0,IF(COUNTIFS(実績!$W$6:$W$505,L$3,実績!$AC$6:$AC$505,"&lt;="&amp;$A207,実績!$AD$6:$AD$505,"&gt;"&amp;$A207,実績!$AE$6:$AE$505,"○")&gt;0,1,0))</f>
        <v/>
      </c>
      <c r="M207">
        <f>IF(M$4=0,0,IF(COUNTIFS(実績!$W$6:$W$505,M$3,実績!$AC$6:$AC$505,"&lt;="&amp;$A207,実績!$AD$6:$AD$505,"&gt;"&amp;$A207,実績!$AE$6:$AE$505,"○")&gt;0,1,0))</f>
        <v/>
      </c>
      <c r="N207">
        <f>IF(N$4=0,0,IF(COUNTIFS(実績!$W$6:$W$505,N$3,実績!$AC$6:$AC$505,"&lt;="&amp;$A207,実績!$AD$6:$AD$505,"&gt;"&amp;$A207,実績!$AE$6:$AE$505,"○")&gt;0,1,0))</f>
        <v/>
      </c>
      <c r="O207">
        <f>IF(O$4=0,0,IF(COUNTIFS(実績!$W$6:$W$505,O$3,実績!$AC$6:$AC$505,"&lt;="&amp;$A207,実績!$AD$6:$AD$505,"&gt;"&amp;$A207,実績!$AE$6:$AE$505,"○")&gt;0,1,0))</f>
        <v/>
      </c>
      <c r="P207">
        <f>IF(P$4=0,0,IF(COUNTIFS(実績!$W$6:$W$505,P$3,実績!$AC$6:$AC$505,"&lt;="&amp;$A207,実績!$AD$6:$AD$505,"&gt;"&amp;$A207,実績!$AE$6:$AE$505,"○")&gt;0,1,0))</f>
        <v/>
      </c>
      <c r="Q207">
        <f>IF(Q$4=0,0,IF(COUNTIFS(実績!$W$6:$W$505,Q$3,実績!$AC$6:$AC$505,"&lt;="&amp;$A207,実績!$AD$6:$AD$505,"&gt;"&amp;$A207,実績!$AE$6:$AE$505,"○")&gt;0,1,0))</f>
        <v/>
      </c>
      <c r="R207">
        <f>IF(R$4=0,0,IF(COUNTIFS(実績!$W$6:$W$505,R$3,実績!$AC$6:$AC$505,"&lt;="&amp;$A207,実績!$AD$6:$AD$505,"&gt;"&amp;$A207,実績!$AE$6:$AE$505,"○")&gt;0,1,0))</f>
        <v/>
      </c>
      <c r="S207">
        <f>IF(S$4=0,0,IF(COUNTIFS(実績!$W$6:$W$505,S$3,実績!$AC$6:$AC$505,"&lt;="&amp;$A207,実績!$AD$6:$AD$505,"&gt;"&amp;$A207,実績!$AE$6:$AE$505,"○")&gt;0,1,0))</f>
        <v/>
      </c>
      <c r="T207">
        <f>IF(T$4=0,0,IF(COUNTIFS(実績!$W$6:$W$505,T$3,実績!$AC$6:$AC$505,"&lt;="&amp;$A207,実績!$AD$6:$AD$505,"&gt;"&amp;$A207,実績!$AE$6:$AE$505,"○")&gt;0,1,0))</f>
        <v/>
      </c>
      <c r="U207">
        <f>IF(U$4=0,0,IF(COUNTIFS(実績!$W$6:$W$505,U$3,実績!$AC$6:$AC$505,"&lt;="&amp;$A207,実績!$AD$6:$AD$505,"&gt;"&amp;$A207,実績!$AE$6:$AE$505,"○")&gt;0,1,0))</f>
        <v/>
      </c>
      <c r="V207">
        <f>IF(V$4=0,0,IF(COUNTIFS(実績!$W$6:$W$505,V$3,実績!$AC$6:$AC$505,"&lt;="&amp;$A207,実績!$AD$6:$AD$505,"&gt;"&amp;$A207,実績!$AE$6:$AE$505,"○")&gt;0,1,0))</f>
        <v/>
      </c>
      <c r="W207">
        <f>IF(W$4=0,0,IF(COUNTIFS(実績!$W$6:$W$505,W$3,実績!$AC$6:$AC$505,"&lt;="&amp;$A207,実績!$AD$6:$AD$505,"&gt;"&amp;$A207,実績!$AE$6:$AE$505,"○")&gt;0,1,0))</f>
        <v/>
      </c>
      <c r="X207">
        <f>IF(X$4=0,0,IF(COUNTIFS(実績!$W$6:$W$505,X$3,実績!$AC$6:$AC$505,"&lt;="&amp;$A207,実績!$AD$6:$AD$505,"&gt;"&amp;$A207,実績!$AE$6:$AE$505,"○")&gt;0,1,0))</f>
        <v/>
      </c>
      <c r="Y207">
        <f>IF(Y$4=0,0,IF(COUNTIFS(実績!$W$6:$W$505,Y$3,実績!$AC$6:$AC$505,"&lt;="&amp;$A207,実績!$AD$6:$AD$505,"&gt;"&amp;$A207,実績!$AE$6:$AE$505,"○")&gt;0,1,0))</f>
        <v/>
      </c>
      <c r="Z207">
        <f>IF(Z$4=0,0,IF(COUNTIFS(実績!$W$6:$W$505,Z$3,実績!$AC$6:$AC$505,"&lt;="&amp;$A207,実績!$AD$6:$AD$505,"&gt;"&amp;$A207,実績!$AE$6:$AE$505,"○")&gt;0,1,0))</f>
        <v/>
      </c>
      <c r="AA207">
        <f>IF(AA$4=0,0,IF(COUNTIFS(実績!$W$6:$W$505,AA$3,実績!$AC$6:$AC$505,"&lt;="&amp;$A207,実績!$AD$6:$AD$505,"&gt;"&amp;$A207,実績!$AE$6:$AE$505,"○")&gt;0,1,0))</f>
        <v/>
      </c>
      <c r="AB207">
        <f>IF(AB$4=0,0,IF(COUNTIFS(実績!$W$6:$W$505,AB$3,実績!$AC$6:$AC$505,"&lt;="&amp;$A207,実績!$AD$6:$AD$505,"&gt;"&amp;$A207,実績!$AE$6:$AE$505,"○")&gt;0,1,0))</f>
        <v/>
      </c>
      <c r="AC207">
        <f>IF(AC$4=0,0,IF(COUNTIFS(実績!$W$6:$W$505,AC$3,実績!$AC$6:$AC$505,"&lt;="&amp;$A207,実績!$AD$6:$AD$505,"&gt;"&amp;$A207,実績!$AE$6:$AE$505,"○")&gt;0,1,0))</f>
        <v/>
      </c>
      <c r="AD207">
        <f>IF(AD$4=0,0,IF(COUNTIFS(実績!$W$6:$W$505,AD$3,実績!$AC$6:$AC$505,"&lt;="&amp;$A207,実績!$AD$6:$AD$505,"&gt;"&amp;$A207,実績!$AE$6:$AE$505,"○")&gt;0,1,0))</f>
        <v/>
      </c>
      <c r="AE207">
        <f>IF(AE$4=0,0,IF(COUNTIFS(実績!$W$6:$W$505,AE$3,実績!$AC$6:$AC$505,"&lt;="&amp;$A207,実績!$AD$6:$AD$505,"&gt;"&amp;$A207,実績!$AE$6:$AE$505,"○")&gt;0,1,0))</f>
        <v/>
      </c>
      <c r="AF207">
        <f>IF(AF$4=0,0,IF(COUNTIFS(実績!$W$6:$W$505,AF$3,実績!$AC$6:$AC$505,"&lt;="&amp;$A207,実績!$AD$6:$AD$505,"&gt;"&amp;$A207,実績!$AE$6:$AE$505,"○")&gt;0,1,0))</f>
        <v/>
      </c>
      <c r="AG207">
        <f>IF(AG$4=0,0,IF(COUNTIFS(実績!$W$6:$W$505,AG$3,実績!$AC$6:$AC$505,"&lt;="&amp;$A207,実績!$AD$6:$AD$505,"&gt;"&amp;$A207,実績!$AE$6:$AE$505,"○")&gt;0,1,0))</f>
        <v/>
      </c>
      <c r="AH207">
        <f>IF(AH$4=0,0,IF(COUNTIFS(実績!$W$6:$W$505,AH$3,実績!$AC$6:$AC$505,"&lt;="&amp;$A207,実績!$AD$6:$AD$505,"&gt;"&amp;$A207,実績!$AE$6:$AE$505,"○")&gt;0,1,0))</f>
        <v/>
      </c>
      <c r="AI207">
        <f>IF(AI$4=0,0,IF(COUNTIFS(実績!$W$6:$W$505,AI$3,実績!$AC$6:$AC$505,"&lt;="&amp;$A207,実績!$AD$6:$AD$505,"&gt;"&amp;$A207,実績!$AE$6:$AE$505,"○")&gt;0,1,0))</f>
        <v/>
      </c>
      <c r="AJ207">
        <f>IF(AJ$4=0,0,IF(COUNTIFS(実績!$W$6:$W$505,AJ$3,実績!$AC$6:$AC$505,"&lt;="&amp;$A207,実績!$AD$6:$AD$505,"&gt;"&amp;$A207,実績!$AE$6:$AE$505,"○")&gt;0,1,0))</f>
        <v/>
      </c>
      <c r="AK207">
        <f>IF(AK$4=0,0,IF(COUNTIFS(実績!$W$6:$W$505,AK$3,実績!$AC$6:$AC$505,"&lt;="&amp;$A207,実績!$AD$6:$AD$505,"&gt;"&amp;$A207,実績!$AE$6:$AE$505,"○")&gt;0,1,0))</f>
        <v/>
      </c>
      <c r="AL207">
        <f>IF(AL$4=0,0,IF(COUNTIFS(実績!$W$6:$W$505,AL$3,実績!$AC$6:$AC$505,"&lt;="&amp;$A207,実績!$AD$6:$AD$505,"&gt;"&amp;$A207,実績!$AE$6:$AE$505,"○")&gt;0,1,0))</f>
        <v/>
      </c>
      <c r="AM207">
        <f>IF(AM$4=0,0,IF(COUNTIFS(実績!$W$6:$W$505,AM$3,実績!$AC$6:$AC$505,"&lt;="&amp;$A207,実績!$AD$6:$AD$505,"&gt;"&amp;$A207,実績!$AE$6:$AE$505,"○")&gt;0,1,0))</f>
        <v/>
      </c>
      <c r="AN207">
        <f>IF(AN$4=0,0,IF(COUNTIFS(実績!$W$6:$W$505,AN$3,実績!$AC$6:$AC$505,"&lt;="&amp;$A207,実績!$AD$6:$AD$505,"&gt;"&amp;$A207,実績!$AE$6:$AE$505,"○")&gt;0,1,0))</f>
        <v/>
      </c>
      <c r="AO207">
        <f>IF(AO$4=0,0,IF(COUNTIFS(実績!$W$6:$W$505,AO$3,実績!$AC$6:$AC$505,"&lt;="&amp;$A207,実績!$AD$6:$AD$505,"&gt;"&amp;$A207,実績!$AE$6:$AE$505,"○")&gt;0,1,0))</f>
        <v/>
      </c>
      <c r="AP207">
        <f>IF(AP$4=0,0,IF(COUNTIFS(実績!$W$6:$W$505,AP$3,実績!$AC$6:$AC$505,"&lt;="&amp;$A207,実績!$AD$6:$AD$505,"&gt;"&amp;$A207,実績!$AE$6:$AE$505,"○")&gt;0,1,0))</f>
        <v/>
      </c>
      <c r="AQ207">
        <f>IF(AQ$4=0,0,IF(COUNTIFS(実績!$W$6:$W$505,AQ$3,実績!$AC$6:$AC$505,"&lt;="&amp;$A207,実績!$AD$6:$AD$505,"&gt;"&amp;$A207,実績!$AE$6:$AE$505,"○")&gt;0,1,0))</f>
        <v/>
      </c>
      <c r="AR207">
        <f>IF(AR$4=0,0,IF(COUNTIFS(実績!$W$6:$W$505,AR$3,実績!$AC$6:$AC$505,"&lt;="&amp;$A207,実績!$AD$6:$AD$505,"&gt;"&amp;$A207,実績!$AE$6:$AE$505,"○")&gt;0,1,0))</f>
        <v/>
      </c>
      <c r="AS207">
        <f>IF(AS$4=0,0,IF(COUNTIFS(実績!$W$6:$W$505,AS$3,実績!$AC$6:$AC$505,"&lt;="&amp;$A207,実績!$AD$6:$AD$505,"&gt;"&amp;$A207,実績!$AE$6:$AE$505,"○")&gt;0,1,0))</f>
        <v/>
      </c>
      <c r="AT207">
        <f>IF(AT$4=0,0,IF(COUNTIFS(実績!$W$6:$W$505,AT$3,実績!$AC$6:$AC$505,"&lt;="&amp;$A207,実績!$AD$6:$AD$505,"&gt;"&amp;$A207,実績!$AE$6:$AE$505,"○")&gt;0,1,0))</f>
        <v/>
      </c>
      <c r="AU207">
        <f>IF(AU$4=0,0,IF(COUNTIFS(実績!$W$6:$W$505,AU$3,実績!$AC$6:$AC$505,"&lt;="&amp;$A207,実績!$AD$6:$AD$505,"&gt;"&amp;$A207,実績!$AE$6:$AE$505,"○")&gt;0,1,0))</f>
        <v/>
      </c>
      <c r="AV207">
        <f>IF(AV$4=0,0,IF(COUNTIFS(実績!$W$6:$W$505,AV$3,実績!$AC$6:$AC$505,"&lt;="&amp;$A207,実績!$AD$6:$AD$505,"&gt;"&amp;$A207,実績!$AE$6:$AE$505,"○")&gt;0,1,0))</f>
        <v/>
      </c>
      <c r="AW207">
        <f>IF(AW$4=0,0,IF(COUNTIFS(実績!$W$6:$W$505,AW$3,実績!$AC$6:$AC$505,"&lt;="&amp;$A207,実績!$AD$6:$AD$505,"&gt;"&amp;$A207,実績!$AE$6:$AE$505,"○")&gt;0,1,0))</f>
        <v/>
      </c>
      <c r="AX207">
        <f>IF(AX$4=0,0,IF(COUNTIFS(実績!$W$6:$W$505,AX$3,実績!$AC$6:$AC$505,"&lt;="&amp;$A207,実績!$AD$6:$AD$505,"&gt;"&amp;$A207,実績!$AE$6:$AE$505,"○")&gt;0,1,0))</f>
        <v/>
      </c>
      <c r="AY207">
        <f>IF(AY$4=0,0,IF(COUNTIFS(実績!$W$6:$W$505,AY$3,実績!$AC$6:$AC$505,"&lt;="&amp;$A207,実績!$AD$6:$AD$505,"&gt;"&amp;$A207,実績!$AE$6:$AE$505,"○")&gt;0,1,0))</f>
        <v/>
      </c>
      <c r="AZ207">
        <f>IF(AZ$4=0,0,IF(COUNTIFS(実績!$W$6:$W$505,AZ$3,実績!$AC$6:$AC$505,"&lt;="&amp;$A207,実績!$AD$6:$AD$505,"&gt;"&amp;$A207,実績!$AE$6:$AE$505,"○")&gt;0,1,0))</f>
        <v/>
      </c>
      <c r="BA207">
        <f>IF(BA$4=0,0,IF(COUNTIFS(実績!$W$6:$W$505,BA$3,実績!$AC$6:$AC$505,"&lt;="&amp;$A207,実績!$AD$6:$AD$505,"&gt;"&amp;$A207,実績!$AE$6:$AE$505,"○")&gt;0,1,0))</f>
        <v/>
      </c>
      <c r="BB207">
        <f>IF(BB$4=0,0,IF(COUNTIFS(実績!$W$6:$W$505,BB$3,実績!$AC$6:$AC$505,"&lt;="&amp;$A207,実績!$AD$6:$AD$505,"&gt;"&amp;$A207,実績!$AE$6:$AE$505,"○")&gt;0,1,0))</f>
        <v/>
      </c>
      <c r="BC207">
        <f>IF(BC$4=0,0,IF(COUNTIFS(実績!$W$6:$W$505,BC$3,実績!$AC$6:$AC$505,"&lt;="&amp;$A207,実績!$AD$6:$AD$505,"&gt;"&amp;$A207,実績!$AE$6:$AE$505,"○")&gt;0,1,0))</f>
        <v/>
      </c>
      <c r="BD207">
        <f>IF(BD$4=0,0,IF(COUNTIFS(実績!$W$6:$W$505,BD$3,実績!$AC$6:$AC$505,"&lt;="&amp;$A207,実績!$AD$6:$AD$505,"&gt;"&amp;$A207,実績!$AE$6:$AE$505,"○")&gt;0,1,0))</f>
        <v/>
      </c>
      <c r="BE207">
        <f>IF(BE$4=0,0,IF(COUNTIFS(実績!$W$6:$W$505,BE$3,実績!$AC$6:$AC$505,"&lt;="&amp;$A207,実績!$AD$6:$AD$505,"&gt;"&amp;$A207,実績!$AE$6:$AE$505,"○")&gt;0,1,0))</f>
        <v/>
      </c>
      <c r="BF207">
        <f>IF(BF$4=0,0,IF(COUNTIFS(実績!$W$6:$W$505,BF$3,実績!$AC$6:$AC$505,"&lt;="&amp;$A207,実績!$AD$6:$AD$505,"&gt;"&amp;$A207,実績!$AE$6:$AE$505,"○")&gt;0,1,0))</f>
        <v/>
      </c>
      <c r="BG207">
        <f>IF(BG$4=0,0,IF(COUNTIFS(実績!$W$6:$W$505,BG$3,実績!$AC$6:$AC$505,"&lt;="&amp;$A207,実績!$AD$6:$AD$505,"&gt;"&amp;$A207,実績!$AE$6:$AE$505,"○")&gt;0,1,0))</f>
        <v/>
      </c>
      <c r="BH207">
        <f>IF(BH$4=0,0,IF(COUNTIFS(実績!$W$6:$W$505,BH$3,実績!$AC$6:$AC$505,"&lt;="&amp;$A207,実績!$AD$6:$AD$505,"&gt;"&amp;$A207,実績!$AE$6:$AE$505,"○")&gt;0,1,0))</f>
        <v/>
      </c>
      <c r="BI207">
        <f>IF(BI$4=0,0,IF(COUNTIFS(実績!$W$6:$W$505,BI$3,実績!$AC$6:$AC$505,"&lt;="&amp;$A207,実績!$AD$6:$AD$505,"&gt;"&amp;$A207,実績!$AE$6:$AE$505,"○")&gt;0,1,0))</f>
        <v/>
      </c>
      <c r="BJ207">
        <f>IF(BJ$4=0,0,IF(COUNTIFS(実績!$W$6:$W$505,BJ$3,実績!$AC$6:$AC$505,"&lt;="&amp;$A207,実績!$AD$6:$AD$505,"&gt;"&amp;$A207,実績!$AE$6:$AE$505,"○")&gt;0,1,0))</f>
        <v/>
      </c>
      <c r="BK207">
        <f>IF(BK$4=0,0,IF(COUNTIFS(実績!$W$6:$W$505,BK$3,実績!$AC$6:$AC$505,"&lt;="&amp;$A207,実績!$AD$6:$AD$505,"&gt;"&amp;$A207,実績!$AE$6:$AE$505,"○")&gt;0,1,0))</f>
        <v/>
      </c>
      <c r="BL207">
        <f>IF(BL$4=0,0,IF(COUNTIFS(実績!$W$6:$W$505,BL$3,実績!$AC$6:$AC$505,"&lt;="&amp;$A207,実績!$AD$6:$AD$505,"&gt;"&amp;$A207,実績!$AE$6:$AE$505,"○")&gt;0,1,0))</f>
        <v/>
      </c>
      <c r="BM207">
        <f>IF(BM$4=0,0,IF(COUNTIFS(実績!$W$6:$W$505,BM$3,実績!$AC$6:$AC$505,"&lt;="&amp;$A207,実績!$AD$6:$AD$505,"&gt;"&amp;$A207,実績!$AE$6:$AE$505,"○")&gt;0,1,0))</f>
        <v/>
      </c>
      <c r="BN207">
        <f>IF(BN$4=0,0,IF(COUNTIFS(実績!$W$6:$W$505,BN$3,実績!$AC$6:$AC$505,"&lt;="&amp;$A207,実績!$AD$6:$AD$505,"&gt;"&amp;$A207,実績!$AE$6:$AE$505,"○")&gt;0,1,0))</f>
        <v/>
      </c>
      <c r="BO207">
        <f>IF(BO$4=0,0,IF(COUNTIFS(実績!$W$6:$W$505,BO$3,実績!$AC$6:$AC$505,"&lt;="&amp;$A207,実績!$AD$6:$AD$505,"&gt;"&amp;$A207,実績!$AE$6:$AE$505,"○")&gt;0,1,0))</f>
        <v/>
      </c>
      <c r="BP207">
        <f>IF(BP$4=0,0,IF(COUNTIFS(実績!$W$6:$W$505,BP$3,実績!$AC$6:$AC$505,"&lt;="&amp;$A207,実績!$AD$6:$AD$505,"&gt;"&amp;$A207,実績!$AE$6:$AE$505,"○")&gt;0,1,0))</f>
        <v/>
      </c>
      <c r="BQ207">
        <f>IF(BQ$4=0,0,IF(COUNTIFS(実績!$W$6:$W$505,BQ$3,実績!$AC$6:$AC$505,"&lt;="&amp;$A207,実績!$AD$6:$AD$505,"&gt;"&amp;$A207,実績!$AE$6:$AE$505,"○")&gt;0,1,0))</f>
        <v/>
      </c>
      <c r="BR207">
        <f>IF(BR$4=0,0,IF(COUNTIFS(実績!$W$6:$W$505,BR$3,実績!$AC$6:$AC$505,"&lt;="&amp;$A207,実績!$AD$6:$AD$505,"&gt;"&amp;$A207,実績!$AE$6:$AE$505,"○")&gt;0,1,0))</f>
        <v/>
      </c>
      <c r="BS207">
        <f>IF(BS$4=0,0,IF(COUNTIFS(実績!$W$6:$W$505,BS$3,実績!$AC$6:$AC$505,"&lt;="&amp;$A207,実績!$AD$6:$AD$505,"&gt;"&amp;$A207,実績!$AE$6:$AE$505,"○")&gt;0,1,0))</f>
        <v/>
      </c>
      <c r="BT207">
        <f>IF(BT$4=0,0,IF(COUNTIFS(実績!$W$6:$W$505,BT$3,実績!$AC$6:$AC$505,"&lt;="&amp;$A207,実績!$AD$6:$AD$505,"&gt;"&amp;$A207,実績!$AE$6:$AE$505,"○")&gt;0,1,0))</f>
        <v/>
      </c>
      <c r="BU207">
        <f>IF(BU$4=0,0,IF(COUNTIFS(実績!$W$6:$W$505,BU$3,実績!$AC$6:$AC$505,"&lt;="&amp;$A207,実績!$AD$6:$AD$505,"&gt;"&amp;$A207,実績!$AE$6:$AE$505,"○")&gt;0,1,0))</f>
        <v/>
      </c>
      <c r="BV207">
        <f>IF(BV$4=0,0,IF(COUNTIFS(実績!$W$6:$W$505,BV$3,実績!$AC$6:$AC$505,"&lt;="&amp;$A207,実績!$AD$6:$AD$505,"&gt;"&amp;$A207,実績!$AE$6:$AE$505,"○")&gt;0,1,0))</f>
        <v/>
      </c>
      <c r="BW207">
        <f>IF(BW$4=0,0,IF(COUNTIFS(実績!$W$6:$W$505,BW$3,実績!$AC$6:$AC$505,"&lt;="&amp;$A207,実績!$AD$6:$AD$505,"&gt;"&amp;$A207,実績!$AE$6:$AE$505,"○")&gt;0,1,0))</f>
        <v/>
      </c>
      <c r="BX207">
        <f>IF(BX$4=0,0,IF(COUNTIFS(実績!$W$6:$W$505,BX$3,実績!$AC$6:$AC$505,"&lt;="&amp;$A207,実績!$AD$6:$AD$505,"&gt;"&amp;$A207,実績!$AE$6:$AE$505,"○")&gt;0,1,0))</f>
        <v/>
      </c>
      <c r="BY207">
        <f>IF(BY$4=0,0,IF(COUNTIFS(実績!$W$6:$W$505,BY$3,実績!$AC$6:$AC$505,"&lt;="&amp;$A207,実績!$AD$6:$AD$505,"&gt;"&amp;$A207,実績!$AE$6:$AE$505,"○")&gt;0,1,0))</f>
        <v/>
      </c>
      <c r="BZ207">
        <f>IF(BZ$4=0,0,IF(COUNTIFS(実績!$W$6:$W$505,BZ$3,実績!$AC$6:$AC$505,"&lt;="&amp;$A207,実績!$AD$6:$AD$505,"&gt;"&amp;$A207,実績!$AE$6:$AE$505,"○")&gt;0,1,0))</f>
        <v/>
      </c>
      <c r="CA207">
        <f>IF(CA$4=0,0,IF(COUNTIFS(実績!$W$6:$W$505,CA$3,実績!$AC$6:$AC$505,"&lt;="&amp;$A207,実績!$AD$6:$AD$505,"&gt;"&amp;$A207,実績!$AE$6:$AE$505,"○")&gt;0,1,0))</f>
        <v/>
      </c>
      <c r="CB207">
        <f>IF(CB$4=0,0,IF(COUNTIFS(実績!$W$6:$W$505,CB$3,実績!$AC$6:$AC$505,"&lt;="&amp;$A207,実績!$AD$6:$AD$505,"&gt;"&amp;$A207,実績!$AE$6:$AE$505,"○")&gt;0,1,0))</f>
        <v/>
      </c>
      <c r="CC207">
        <f>IF(CC$4=0,0,IF(COUNTIFS(実績!$W$6:$W$505,CC$3,実績!$AC$6:$AC$505,"&lt;="&amp;$A207,実績!$AD$6:$AD$505,"&gt;"&amp;$A207,実績!$AE$6:$AE$505,"○")&gt;0,1,0))</f>
        <v/>
      </c>
      <c r="CD207">
        <f>IF(CD$4=0,0,IF(COUNTIFS(実績!$W$6:$W$505,CD$3,実績!$AC$6:$AC$505,"&lt;="&amp;$A207,実績!$AD$6:$AD$505,"&gt;"&amp;$A207,実績!$AE$6:$AE$505,"○")&gt;0,1,0))</f>
        <v/>
      </c>
      <c r="CE207">
        <f>IF(CE$4=0,0,IF(COUNTIFS(実績!$W$6:$W$505,CE$3,実績!$AC$6:$AC$505,"&lt;="&amp;$A207,実績!$AD$6:$AD$505,"&gt;"&amp;$A207,実績!$AE$6:$AE$505,"○")&gt;0,1,0))</f>
        <v/>
      </c>
      <c r="CF207">
        <f>IF(CF$4=0,0,IF(COUNTIFS(実績!$W$6:$W$505,CF$3,実績!$AC$6:$AC$505,"&lt;="&amp;$A207,実績!$AD$6:$AD$505,"&gt;"&amp;$A207,実績!$AE$6:$AE$505,"○")&gt;0,1,0))</f>
        <v/>
      </c>
      <c r="CG207">
        <f>IF(CG$4=0,0,IF(COUNTIFS(実績!$W$6:$W$505,CG$3,実績!$AC$6:$AC$505,"&lt;="&amp;$A207,実績!$AD$6:$AD$505,"&gt;"&amp;$A207,実績!$AE$6:$AE$505,"○")&gt;0,1,0))</f>
        <v/>
      </c>
      <c r="CH207">
        <f>IF(CH$4=0,0,IF(COUNTIFS(実績!$W$6:$W$505,CH$3,実績!$AC$6:$AC$505,"&lt;="&amp;$A207,実績!$AD$6:$AD$505,"&gt;"&amp;$A207,実績!$AE$6:$AE$505,"○")&gt;0,1,0))</f>
        <v/>
      </c>
      <c r="CI207">
        <f>IF(CI$4=0,0,IF(COUNTIFS(実績!$W$6:$W$505,CI$3,実績!$AC$6:$AC$505,"&lt;="&amp;$A207,実績!$AD$6:$AD$505,"&gt;"&amp;$A207,実績!$AE$6:$AE$505,"○")&gt;0,1,0))</f>
        <v/>
      </c>
      <c r="CJ207">
        <f>IF(CJ$4=0,0,IF(COUNTIFS(実績!$W$6:$W$505,CJ$3,実績!$AC$6:$AC$505,"&lt;="&amp;$A207,実績!$AD$6:$AD$505,"&gt;"&amp;$A207,実績!$AE$6:$AE$505,"○")&gt;0,1,0))</f>
        <v/>
      </c>
      <c r="CK207">
        <f>IF(CK$4=0,0,IF(COUNTIFS(実績!$W$6:$W$505,CK$3,実績!$AC$6:$AC$505,"&lt;="&amp;$A207,実績!$AD$6:$AD$505,"&gt;"&amp;$A207,実績!$AE$6:$AE$505,"○")&gt;0,1,0))</f>
        <v/>
      </c>
      <c r="CL207">
        <f>IF(CL$4=0,0,IF(COUNTIFS(実績!$W$6:$W$505,CL$3,実績!$AC$6:$AC$505,"&lt;="&amp;$A207,実績!$AD$6:$AD$505,"&gt;"&amp;$A207,実績!$AE$6:$AE$505,"○")&gt;0,1,0))</f>
        <v/>
      </c>
      <c r="CM207">
        <f>IF(CM$4=0,0,IF(COUNTIFS(実績!$W$6:$W$505,CM$3,実績!$AC$6:$AC$505,"&lt;="&amp;$A207,実績!$AD$6:$AD$505,"&gt;"&amp;$A207,実績!$AE$6:$AE$505,"○")&gt;0,1,0))</f>
        <v/>
      </c>
      <c r="CN207">
        <f>IF(CN$4=0,0,IF(COUNTIFS(実績!$W$6:$W$505,CN$3,実績!$AC$6:$AC$505,"&lt;="&amp;$A207,実績!$AD$6:$AD$505,"&gt;"&amp;$A207,実績!$AE$6:$AE$505,"○")&gt;0,1,0))</f>
        <v/>
      </c>
      <c r="CO207">
        <f>IF(CO$4=0,0,IF(COUNTIFS(実績!$W$6:$W$505,CO$3,実績!$AC$6:$AC$505,"&lt;="&amp;$A207,実績!$AD$6:$AD$505,"&gt;"&amp;$A207,実績!$AE$6:$AE$505,"○")&gt;0,1,0))</f>
        <v/>
      </c>
      <c r="CP207">
        <f>IF(CP$4=0,0,IF(COUNTIFS(実績!$W$6:$W$505,CP$3,実績!$AC$6:$AC$505,"&lt;="&amp;$A207,実績!$AD$6:$AD$505,"&gt;"&amp;$A207,実績!$AE$6:$AE$505,"○")&gt;0,1,0))</f>
        <v/>
      </c>
      <c r="CQ207">
        <f>IF(CQ$4=0,0,IF(COUNTIFS(実績!$W$6:$W$505,CQ$3,実績!$AC$6:$AC$505,"&lt;="&amp;$A207,実績!$AD$6:$AD$505,"&gt;"&amp;$A207,実績!$AE$6:$AE$505,"○")&gt;0,1,0))</f>
        <v/>
      </c>
      <c r="CR207">
        <f>IF(CR$4=0,0,IF(COUNTIFS(実績!$W$6:$W$505,CR$3,実績!$AC$6:$AC$505,"&lt;="&amp;$A207,実績!$AD$6:$AD$505,"&gt;"&amp;$A207,実績!$AE$6:$AE$505,"○")&gt;0,1,0))</f>
        <v/>
      </c>
      <c r="CS207">
        <f>IF(CS$4=0,0,IF(COUNTIFS(実績!$W$6:$W$505,CS$3,実績!$AC$6:$AC$505,"&lt;="&amp;$A207,実績!$AD$6:$AD$505,"&gt;"&amp;$A207,実績!$AE$6:$AE$505,"○")&gt;0,1,0))</f>
        <v/>
      </c>
      <c r="CT207">
        <f>IF(CT$4=0,0,IF(COUNTIFS(実績!$W$6:$W$505,CT$3,実績!$AC$6:$AC$505,"&lt;="&amp;$A207,実績!$AD$6:$AD$505,"&gt;"&amp;$A207,実績!$AE$6:$AE$505,"○")&gt;0,1,0))</f>
        <v/>
      </c>
      <c r="CU207">
        <f>IF(CU$4=0,0,IF(COUNTIFS(実績!$W$6:$W$505,CU$3,実績!$AC$6:$AC$505,"&lt;="&amp;$A207,実績!$AD$6:$AD$505,"&gt;"&amp;$A207,実績!$AE$6:$AE$505,"○")&gt;0,1,0))</f>
        <v/>
      </c>
      <c r="CV207">
        <f>IF(CV$4=0,0,IF(COUNTIFS(実績!$W$6:$W$505,CV$3,実績!$AC$6:$AC$505,"&lt;="&amp;$A207,実績!$AD$6:$AD$505,"&gt;"&amp;$A207,実績!$AE$6:$AE$505,"○")&gt;0,1,0))</f>
        <v/>
      </c>
      <c r="CW207">
        <f>IF(CW$4=0,0,IF(COUNTIFS(実績!$W$6:$W$505,CW$3,実績!$AC$6:$AC$505,"&lt;="&amp;$A207,実績!$AD$6:$AD$505,"&gt;"&amp;$A207,実績!$AE$6:$AE$505,"○")&gt;0,1,0))</f>
        <v/>
      </c>
      <c r="CX207">
        <f>IF(CX$4=0,0,IF(COUNTIFS(実績!$W$6:$W$505,CX$3,実績!$AC$6:$AC$505,"&lt;="&amp;$A207,実績!$AD$6:$AD$505,"&gt;"&amp;$A207,実績!$AE$6:$AE$505,"○")&gt;0,1,0))</f>
        <v/>
      </c>
      <c r="CY207">
        <f>IF(CY$4=0,0,IF(COUNTIFS(実績!$W$6:$W$505,CY$3,実績!$AC$6:$AC$505,"&lt;="&amp;$A207,実績!$AD$6:$AD$505,"&gt;"&amp;$A207,実績!$AE$6:$AE$505,"○")&gt;0,1,0))</f>
        <v/>
      </c>
      <c r="CZ207">
        <f>IF(CZ$4=0,0,IF(COUNTIFS(実績!$W$6:$W$505,CZ$3,実績!$AC$6:$AC$505,"&lt;="&amp;$A207,実績!$AD$6:$AD$505,"&gt;"&amp;$A207,実績!$AE$6:$AE$505,"○")&gt;0,1,0))</f>
        <v/>
      </c>
      <c r="DA207">
        <f>IF(DA$4=0,0,IF(COUNTIFS(実績!$W$6:$W$505,DA$3,実績!$AC$6:$AC$505,"&lt;="&amp;$A207,実績!$AD$6:$AD$505,"&gt;"&amp;$A207,実績!$AE$6:$AE$505,"○")&gt;0,1,0))</f>
        <v/>
      </c>
      <c r="DB207">
        <f>IF(DB$4=0,0,IF(COUNTIFS(実績!$W$6:$W$505,DB$3,実績!$AC$6:$AC$505,"&lt;="&amp;$A207,実績!$AD$6:$AD$505,"&gt;"&amp;$A207,実績!$AE$6:$AE$505,"○")&gt;0,1,0))</f>
        <v/>
      </c>
      <c r="DC207">
        <f>IF(DC$4=0,0,IF(COUNTIFS(実績!$W$6:$W$505,DC$3,実績!$AC$6:$AC$505,"&lt;="&amp;$A207,実績!$AD$6:$AD$505,"&gt;"&amp;$A207,実績!$AE$6:$AE$505,"○")&gt;0,1,0))</f>
        <v/>
      </c>
      <c r="DD207">
        <f>IF(DD$4=0,0,IF(COUNTIFS(実績!$W$6:$W$505,DD$3,実績!$AC$6:$AC$505,"&lt;="&amp;$A207,実績!$AD$6:$AD$505,"&gt;"&amp;$A207,実績!$AE$6:$AE$505,"○")&gt;0,1,0))</f>
        <v/>
      </c>
      <c r="DE207">
        <f>IF(DE$4=0,0,IF(COUNTIFS(実績!$W$6:$W$505,DE$3,実績!$AC$6:$AC$505,"&lt;="&amp;$A207,実績!$AD$6:$AD$505,"&gt;"&amp;$A207,実績!$AE$6:$AE$505,"○")&gt;0,1,0))</f>
        <v/>
      </c>
      <c r="DF207">
        <f>IF(DF$4=0,0,IF(COUNTIFS(実績!$W$6:$W$505,DF$3,実績!$AC$6:$AC$505,"&lt;="&amp;$A207,実績!$AD$6:$AD$505,"&gt;"&amp;$A207,実績!$AE$6:$AE$505,"○")&gt;0,1,0))</f>
        <v/>
      </c>
      <c r="DG207">
        <f>IF(DG$4=0,0,IF(COUNTIFS(実績!$W$6:$W$505,DG$3,実績!$AC$6:$AC$505,"&lt;="&amp;$A207,実績!$AD$6:$AD$505,"&gt;"&amp;$A207,実績!$AE$6:$AE$505,"○")&gt;0,1,0))</f>
        <v/>
      </c>
      <c r="DH207">
        <f>IF(DH$4=0,0,IF(COUNTIFS(実績!$W$6:$W$505,DH$3,実績!$AC$6:$AC$505,"&lt;="&amp;$A207,実績!$AD$6:$AD$505,"&gt;"&amp;$A207,実績!$AE$6:$AE$505,"○")&gt;0,1,0))</f>
        <v/>
      </c>
      <c r="DI207">
        <f>IF(DI$4=0,0,IF(COUNTIFS(実績!$W$6:$W$505,DI$3,実績!$AC$6:$AC$505,"&lt;="&amp;$A207,実績!$AD$6:$AD$505,"&gt;"&amp;$A207,実績!$AE$6:$AE$505,"○")&gt;0,1,0))</f>
        <v/>
      </c>
      <c r="DJ207">
        <f>IF(DJ$4=0,0,IF(COUNTIFS(実績!$W$6:$W$505,DJ$3,実績!$AC$6:$AC$505,"&lt;="&amp;$A207,実績!$AD$6:$AD$505,"&gt;"&amp;$A207,実績!$AE$6:$AE$505,"○")&gt;0,1,0))</f>
        <v/>
      </c>
      <c r="DK207">
        <f>IF(DK$4=0,0,IF(COUNTIFS(実績!$W$6:$W$505,DK$3,実績!$AC$6:$AC$505,"&lt;="&amp;$A207,実績!$AD$6:$AD$505,"&gt;"&amp;$A207,実績!$AE$6:$AE$505,"○")&gt;0,1,0))</f>
        <v/>
      </c>
      <c r="DL207">
        <f>IF(DL$4=0,0,IF(COUNTIFS(実績!$W$6:$W$505,DL$3,実績!$AC$6:$AC$505,"&lt;="&amp;$A207,実績!$AD$6:$AD$505,"&gt;"&amp;$A207,実績!$AE$6:$AE$505,"○")&gt;0,1,0))</f>
        <v/>
      </c>
      <c r="DM207">
        <f>IF(DM$4=0,0,IF(COUNTIFS(実績!$W$6:$W$505,DM$3,実績!$AC$6:$AC$505,"&lt;="&amp;$A207,実績!$AD$6:$AD$505,"&gt;"&amp;$A207,実績!$AE$6:$AE$505,"○")&gt;0,1,0))</f>
        <v/>
      </c>
      <c r="DN207">
        <f>IF(DN$4=0,0,IF(COUNTIFS(実績!$W$6:$W$505,DN$3,実績!$AC$6:$AC$505,"&lt;="&amp;$A207,実績!$AD$6:$AD$505,"&gt;"&amp;$A207,実績!$AE$6:$AE$505,"○")&gt;0,1,0))</f>
        <v/>
      </c>
      <c r="DO207">
        <f>IF(DO$4=0,0,IF(COUNTIFS(実績!$W$6:$W$505,DO$3,実績!$AC$6:$AC$505,"&lt;="&amp;$A207,実績!$AD$6:$AD$505,"&gt;"&amp;$A207,実績!$AE$6:$AE$505,"○")&gt;0,1,0))</f>
        <v/>
      </c>
      <c r="DP207">
        <f>IF(DP$4=0,0,IF(COUNTIFS(実績!$W$6:$W$505,DP$3,実績!$AC$6:$AC$505,"&lt;="&amp;$A207,実績!$AD$6:$AD$505,"&gt;"&amp;$A207,実績!$AE$6:$AE$505,"○")&gt;0,1,0))</f>
        <v/>
      </c>
      <c r="DQ207">
        <f>IF(DQ$4=0,0,IF(COUNTIFS(実績!$W$6:$W$505,DQ$3,実績!$AC$6:$AC$505,"&lt;="&amp;$A207,実績!$AD$6:$AD$505,"&gt;"&amp;$A207,実績!$AE$6:$AE$505,"○")&gt;0,1,0))</f>
        <v/>
      </c>
      <c r="DR207">
        <f>IF(DR$4=0,0,IF(COUNTIFS(実績!$W$6:$W$505,DR$3,実績!$AC$6:$AC$505,"&lt;="&amp;$A207,実績!$AD$6:$AD$505,"&gt;"&amp;$A207,実績!$AE$6:$AE$505,"○")&gt;0,1,0))</f>
        <v/>
      </c>
      <c r="DS207">
        <f>SUM(C207:DR207)</f>
        <v/>
      </c>
      <c r="DT207">
        <f>SUMPRODUCT((実績!$C$6:$C$505="○")*ISNUMBER(実績!$AF$6:$AF$505)*(実績!$AF$6:$AF$505&lt;=$A207)*(実績!$AG$6:$AG$505&gt;$A207))</f>
        <v/>
      </c>
      <c r="DU207">
        <f>SUMIF($C$2:$DR$2,"製鉄曳船",C207:DR207)</f>
        <v/>
      </c>
      <c r="DV207">
        <f>SUMIF($C$2:$DR$2,"西日本海運",C207:DR207)</f>
        <v/>
      </c>
    </row>
    <row r="208">
      <c r="A208" t="n">
        <v>1010</v>
      </c>
      <c r="B208" s="29">
        <f>A208/1440</f>
        <v/>
      </c>
      <c r="C208">
        <f>IF(C$4=0,0,IF(COUNTIFS(実績!$W$6:$W$505,C$3,実績!$AC$6:$AC$505,"&lt;="&amp;$A208,実績!$AD$6:$AD$505,"&gt;"&amp;$A208,実績!$AE$6:$AE$505,"○")&gt;0,1,0))</f>
        <v/>
      </c>
      <c r="D208">
        <f>IF(D$4=0,0,IF(COUNTIFS(実績!$W$6:$W$505,D$3,実績!$AC$6:$AC$505,"&lt;="&amp;$A208,実績!$AD$6:$AD$505,"&gt;"&amp;$A208,実績!$AE$6:$AE$505,"○")&gt;0,1,0))</f>
        <v/>
      </c>
      <c r="E208">
        <f>IF(E$4=0,0,IF(COUNTIFS(実績!$W$6:$W$505,E$3,実績!$AC$6:$AC$505,"&lt;="&amp;$A208,実績!$AD$6:$AD$505,"&gt;"&amp;$A208,実績!$AE$6:$AE$505,"○")&gt;0,1,0))</f>
        <v/>
      </c>
      <c r="F208">
        <f>IF(F$4=0,0,IF(COUNTIFS(実績!$W$6:$W$505,F$3,実績!$AC$6:$AC$505,"&lt;="&amp;$A208,実績!$AD$6:$AD$505,"&gt;"&amp;$A208,実績!$AE$6:$AE$505,"○")&gt;0,1,0))</f>
        <v/>
      </c>
      <c r="G208">
        <f>IF(G$4=0,0,IF(COUNTIFS(実績!$W$6:$W$505,G$3,実績!$AC$6:$AC$505,"&lt;="&amp;$A208,実績!$AD$6:$AD$505,"&gt;"&amp;$A208,実績!$AE$6:$AE$505,"○")&gt;0,1,0))</f>
        <v/>
      </c>
      <c r="H208">
        <f>IF(H$4=0,0,IF(COUNTIFS(実績!$W$6:$W$505,H$3,実績!$AC$6:$AC$505,"&lt;="&amp;$A208,実績!$AD$6:$AD$505,"&gt;"&amp;$A208,実績!$AE$6:$AE$505,"○")&gt;0,1,0))</f>
        <v/>
      </c>
      <c r="I208">
        <f>IF(I$4=0,0,IF(COUNTIFS(実績!$W$6:$W$505,I$3,実績!$AC$6:$AC$505,"&lt;="&amp;$A208,実績!$AD$6:$AD$505,"&gt;"&amp;$A208,実績!$AE$6:$AE$505,"○")&gt;0,1,0))</f>
        <v/>
      </c>
      <c r="J208">
        <f>IF(J$4=0,0,IF(COUNTIFS(実績!$W$6:$W$505,J$3,実績!$AC$6:$AC$505,"&lt;="&amp;$A208,実績!$AD$6:$AD$505,"&gt;"&amp;$A208,実績!$AE$6:$AE$505,"○")&gt;0,1,0))</f>
        <v/>
      </c>
      <c r="K208">
        <f>IF(K$4=0,0,IF(COUNTIFS(実績!$W$6:$W$505,K$3,実績!$AC$6:$AC$505,"&lt;="&amp;$A208,実績!$AD$6:$AD$505,"&gt;"&amp;$A208,実績!$AE$6:$AE$505,"○")&gt;0,1,0))</f>
        <v/>
      </c>
      <c r="L208">
        <f>IF(L$4=0,0,IF(COUNTIFS(実績!$W$6:$W$505,L$3,実績!$AC$6:$AC$505,"&lt;="&amp;$A208,実績!$AD$6:$AD$505,"&gt;"&amp;$A208,実績!$AE$6:$AE$505,"○")&gt;0,1,0))</f>
        <v/>
      </c>
      <c r="M208">
        <f>IF(M$4=0,0,IF(COUNTIFS(実績!$W$6:$W$505,M$3,実績!$AC$6:$AC$505,"&lt;="&amp;$A208,実績!$AD$6:$AD$505,"&gt;"&amp;$A208,実績!$AE$6:$AE$505,"○")&gt;0,1,0))</f>
        <v/>
      </c>
      <c r="N208">
        <f>IF(N$4=0,0,IF(COUNTIFS(実績!$W$6:$W$505,N$3,実績!$AC$6:$AC$505,"&lt;="&amp;$A208,実績!$AD$6:$AD$505,"&gt;"&amp;$A208,実績!$AE$6:$AE$505,"○")&gt;0,1,0))</f>
        <v/>
      </c>
      <c r="O208">
        <f>IF(O$4=0,0,IF(COUNTIFS(実績!$W$6:$W$505,O$3,実績!$AC$6:$AC$505,"&lt;="&amp;$A208,実績!$AD$6:$AD$505,"&gt;"&amp;$A208,実績!$AE$6:$AE$505,"○")&gt;0,1,0))</f>
        <v/>
      </c>
      <c r="P208">
        <f>IF(P$4=0,0,IF(COUNTIFS(実績!$W$6:$W$505,P$3,実績!$AC$6:$AC$505,"&lt;="&amp;$A208,実績!$AD$6:$AD$505,"&gt;"&amp;$A208,実績!$AE$6:$AE$505,"○")&gt;0,1,0))</f>
        <v/>
      </c>
      <c r="Q208">
        <f>IF(Q$4=0,0,IF(COUNTIFS(実績!$W$6:$W$505,Q$3,実績!$AC$6:$AC$505,"&lt;="&amp;$A208,実績!$AD$6:$AD$505,"&gt;"&amp;$A208,実績!$AE$6:$AE$505,"○")&gt;0,1,0))</f>
        <v/>
      </c>
      <c r="R208">
        <f>IF(R$4=0,0,IF(COUNTIFS(実績!$W$6:$W$505,R$3,実績!$AC$6:$AC$505,"&lt;="&amp;$A208,実績!$AD$6:$AD$505,"&gt;"&amp;$A208,実績!$AE$6:$AE$505,"○")&gt;0,1,0))</f>
        <v/>
      </c>
      <c r="S208">
        <f>IF(S$4=0,0,IF(COUNTIFS(実績!$W$6:$W$505,S$3,実績!$AC$6:$AC$505,"&lt;="&amp;$A208,実績!$AD$6:$AD$505,"&gt;"&amp;$A208,実績!$AE$6:$AE$505,"○")&gt;0,1,0))</f>
        <v/>
      </c>
      <c r="T208">
        <f>IF(T$4=0,0,IF(COUNTIFS(実績!$W$6:$W$505,T$3,実績!$AC$6:$AC$505,"&lt;="&amp;$A208,実績!$AD$6:$AD$505,"&gt;"&amp;$A208,実績!$AE$6:$AE$505,"○")&gt;0,1,0))</f>
        <v/>
      </c>
      <c r="U208">
        <f>IF(U$4=0,0,IF(COUNTIFS(実績!$W$6:$W$505,U$3,実績!$AC$6:$AC$505,"&lt;="&amp;$A208,実績!$AD$6:$AD$505,"&gt;"&amp;$A208,実績!$AE$6:$AE$505,"○")&gt;0,1,0))</f>
        <v/>
      </c>
      <c r="V208">
        <f>IF(V$4=0,0,IF(COUNTIFS(実績!$W$6:$W$505,V$3,実績!$AC$6:$AC$505,"&lt;="&amp;$A208,実績!$AD$6:$AD$505,"&gt;"&amp;$A208,実績!$AE$6:$AE$505,"○")&gt;0,1,0))</f>
        <v/>
      </c>
      <c r="W208">
        <f>IF(W$4=0,0,IF(COUNTIFS(実績!$W$6:$W$505,W$3,実績!$AC$6:$AC$505,"&lt;="&amp;$A208,実績!$AD$6:$AD$505,"&gt;"&amp;$A208,実績!$AE$6:$AE$505,"○")&gt;0,1,0))</f>
        <v/>
      </c>
      <c r="X208">
        <f>IF(X$4=0,0,IF(COUNTIFS(実績!$W$6:$W$505,X$3,実績!$AC$6:$AC$505,"&lt;="&amp;$A208,実績!$AD$6:$AD$505,"&gt;"&amp;$A208,実績!$AE$6:$AE$505,"○")&gt;0,1,0))</f>
        <v/>
      </c>
      <c r="Y208">
        <f>IF(Y$4=0,0,IF(COUNTIFS(実績!$W$6:$W$505,Y$3,実績!$AC$6:$AC$505,"&lt;="&amp;$A208,実績!$AD$6:$AD$505,"&gt;"&amp;$A208,実績!$AE$6:$AE$505,"○")&gt;0,1,0))</f>
        <v/>
      </c>
      <c r="Z208">
        <f>IF(Z$4=0,0,IF(COUNTIFS(実績!$W$6:$W$505,Z$3,実績!$AC$6:$AC$505,"&lt;="&amp;$A208,実績!$AD$6:$AD$505,"&gt;"&amp;$A208,実績!$AE$6:$AE$505,"○")&gt;0,1,0))</f>
        <v/>
      </c>
      <c r="AA208">
        <f>IF(AA$4=0,0,IF(COUNTIFS(実績!$W$6:$W$505,AA$3,実績!$AC$6:$AC$505,"&lt;="&amp;$A208,実績!$AD$6:$AD$505,"&gt;"&amp;$A208,実績!$AE$6:$AE$505,"○")&gt;0,1,0))</f>
        <v/>
      </c>
      <c r="AB208">
        <f>IF(AB$4=0,0,IF(COUNTIFS(実績!$W$6:$W$505,AB$3,実績!$AC$6:$AC$505,"&lt;="&amp;$A208,実績!$AD$6:$AD$505,"&gt;"&amp;$A208,実績!$AE$6:$AE$505,"○")&gt;0,1,0))</f>
        <v/>
      </c>
      <c r="AC208">
        <f>IF(AC$4=0,0,IF(COUNTIFS(実績!$W$6:$W$505,AC$3,実績!$AC$6:$AC$505,"&lt;="&amp;$A208,実績!$AD$6:$AD$505,"&gt;"&amp;$A208,実績!$AE$6:$AE$505,"○")&gt;0,1,0))</f>
        <v/>
      </c>
      <c r="AD208">
        <f>IF(AD$4=0,0,IF(COUNTIFS(実績!$W$6:$W$505,AD$3,実績!$AC$6:$AC$505,"&lt;="&amp;$A208,実績!$AD$6:$AD$505,"&gt;"&amp;$A208,実績!$AE$6:$AE$505,"○")&gt;0,1,0))</f>
        <v/>
      </c>
      <c r="AE208">
        <f>IF(AE$4=0,0,IF(COUNTIFS(実績!$W$6:$W$505,AE$3,実績!$AC$6:$AC$505,"&lt;="&amp;$A208,実績!$AD$6:$AD$505,"&gt;"&amp;$A208,実績!$AE$6:$AE$505,"○")&gt;0,1,0))</f>
        <v/>
      </c>
      <c r="AF208">
        <f>IF(AF$4=0,0,IF(COUNTIFS(実績!$W$6:$W$505,AF$3,実績!$AC$6:$AC$505,"&lt;="&amp;$A208,実績!$AD$6:$AD$505,"&gt;"&amp;$A208,実績!$AE$6:$AE$505,"○")&gt;0,1,0))</f>
        <v/>
      </c>
      <c r="AG208">
        <f>IF(AG$4=0,0,IF(COUNTIFS(実績!$W$6:$W$505,AG$3,実績!$AC$6:$AC$505,"&lt;="&amp;$A208,実績!$AD$6:$AD$505,"&gt;"&amp;$A208,実績!$AE$6:$AE$505,"○")&gt;0,1,0))</f>
        <v/>
      </c>
      <c r="AH208">
        <f>IF(AH$4=0,0,IF(COUNTIFS(実績!$W$6:$W$505,AH$3,実績!$AC$6:$AC$505,"&lt;="&amp;$A208,実績!$AD$6:$AD$505,"&gt;"&amp;$A208,実績!$AE$6:$AE$505,"○")&gt;0,1,0))</f>
        <v/>
      </c>
      <c r="AI208">
        <f>IF(AI$4=0,0,IF(COUNTIFS(実績!$W$6:$W$505,AI$3,実績!$AC$6:$AC$505,"&lt;="&amp;$A208,実績!$AD$6:$AD$505,"&gt;"&amp;$A208,実績!$AE$6:$AE$505,"○")&gt;0,1,0))</f>
        <v/>
      </c>
      <c r="AJ208">
        <f>IF(AJ$4=0,0,IF(COUNTIFS(実績!$W$6:$W$505,AJ$3,実績!$AC$6:$AC$505,"&lt;="&amp;$A208,実績!$AD$6:$AD$505,"&gt;"&amp;$A208,実績!$AE$6:$AE$505,"○")&gt;0,1,0))</f>
        <v/>
      </c>
      <c r="AK208">
        <f>IF(AK$4=0,0,IF(COUNTIFS(実績!$W$6:$W$505,AK$3,実績!$AC$6:$AC$505,"&lt;="&amp;$A208,実績!$AD$6:$AD$505,"&gt;"&amp;$A208,実績!$AE$6:$AE$505,"○")&gt;0,1,0))</f>
        <v/>
      </c>
      <c r="AL208">
        <f>IF(AL$4=0,0,IF(COUNTIFS(実績!$W$6:$W$505,AL$3,実績!$AC$6:$AC$505,"&lt;="&amp;$A208,実績!$AD$6:$AD$505,"&gt;"&amp;$A208,実績!$AE$6:$AE$505,"○")&gt;0,1,0))</f>
        <v/>
      </c>
      <c r="AM208">
        <f>IF(AM$4=0,0,IF(COUNTIFS(実績!$W$6:$W$505,AM$3,実績!$AC$6:$AC$505,"&lt;="&amp;$A208,実績!$AD$6:$AD$505,"&gt;"&amp;$A208,実績!$AE$6:$AE$505,"○")&gt;0,1,0))</f>
        <v/>
      </c>
      <c r="AN208">
        <f>IF(AN$4=0,0,IF(COUNTIFS(実績!$W$6:$W$505,AN$3,実績!$AC$6:$AC$505,"&lt;="&amp;$A208,実績!$AD$6:$AD$505,"&gt;"&amp;$A208,実績!$AE$6:$AE$505,"○")&gt;0,1,0))</f>
        <v/>
      </c>
      <c r="AO208">
        <f>IF(AO$4=0,0,IF(COUNTIFS(実績!$W$6:$W$505,AO$3,実績!$AC$6:$AC$505,"&lt;="&amp;$A208,実績!$AD$6:$AD$505,"&gt;"&amp;$A208,実績!$AE$6:$AE$505,"○")&gt;0,1,0))</f>
        <v/>
      </c>
      <c r="AP208">
        <f>IF(AP$4=0,0,IF(COUNTIFS(実績!$W$6:$W$505,AP$3,実績!$AC$6:$AC$505,"&lt;="&amp;$A208,実績!$AD$6:$AD$505,"&gt;"&amp;$A208,実績!$AE$6:$AE$505,"○")&gt;0,1,0))</f>
        <v/>
      </c>
      <c r="AQ208">
        <f>IF(AQ$4=0,0,IF(COUNTIFS(実績!$W$6:$W$505,AQ$3,実績!$AC$6:$AC$505,"&lt;="&amp;$A208,実績!$AD$6:$AD$505,"&gt;"&amp;$A208,実績!$AE$6:$AE$505,"○")&gt;0,1,0))</f>
        <v/>
      </c>
      <c r="AR208">
        <f>IF(AR$4=0,0,IF(COUNTIFS(実績!$W$6:$W$505,AR$3,実績!$AC$6:$AC$505,"&lt;="&amp;$A208,実績!$AD$6:$AD$505,"&gt;"&amp;$A208,実績!$AE$6:$AE$505,"○")&gt;0,1,0))</f>
        <v/>
      </c>
      <c r="AS208">
        <f>IF(AS$4=0,0,IF(COUNTIFS(実績!$W$6:$W$505,AS$3,実績!$AC$6:$AC$505,"&lt;="&amp;$A208,実績!$AD$6:$AD$505,"&gt;"&amp;$A208,実績!$AE$6:$AE$505,"○")&gt;0,1,0))</f>
        <v/>
      </c>
      <c r="AT208">
        <f>IF(AT$4=0,0,IF(COUNTIFS(実績!$W$6:$W$505,AT$3,実績!$AC$6:$AC$505,"&lt;="&amp;$A208,実績!$AD$6:$AD$505,"&gt;"&amp;$A208,実績!$AE$6:$AE$505,"○")&gt;0,1,0))</f>
        <v/>
      </c>
      <c r="AU208">
        <f>IF(AU$4=0,0,IF(COUNTIFS(実績!$W$6:$W$505,AU$3,実績!$AC$6:$AC$505,"&lt;="&amp;$A208,実績!$AD$6:$AD$505,"&gt;"&amp;$A208,実績!$AE$6:$AE$505,"○")&gt;0,1,0))</f>
        <v/>
      </c>
      <c r="AV208">
        <f>IF(AV$4=0,0,IF(COUNTIFS(実績!$W$6:$W$505,AV$3,実績!$AC$6:$AC$505,"&lt;="&amp;$A208,実績!$AD$6:$AD$505,"&gt;"&amp;$A208,実績!$AE$6:$AE$505,"○")&gt;0,1,0))</f>
        <v/>
      </c>
      <c r="AW208">
        <f>IF(AW$4=0,0,IF(COUNTIFS(実績!$W$6:$W$505,AW$3,実績!$AC$6:$AC$505,"&lt;="&amp;$A208,実績!$AD$6:$AD$505,"&gt;"&amp;$A208,実績!$AE$6:$AE$505,"○")&gt;0,1,0))</f>
        <v/>
      </c>
      <c r="AX208">
        <f>IF(AX$4=0,0,IF(COUNTIFS(実績!$W$6:$W$505,AX$3,実績!$AC$6:$AC$505,"&lt;="&amp;$A208,実績!$AD$6:$AD$505,"&gt;"&amp;$A208,実績!$AE$6:$AE$505,"○")&gt;0,1,0))</f>
        <v/>
      </c>
      <c r="AY208">
        <f>IF(AY$4=0,0,IF(COUNTIFS(実績!$W$6:$W$505,AY$3,実績!$AC$6:$AC$505,"&lt;="&amp;$A208,実績!$AD$6:$AD$505,"&gt;"&amp;$A208,実績!$AE$6:$AE$505,"○")&gt;0,1,0))</f>
        <v/>
      </c>
      <c r="AZ208">
        <f>IF(AZ$4=0,0,IF(COUNTIFS(実績!$W$6:$W$505,AZ$3,実績!$AC$6:$AC$505,"&lt;="&amp;$A208,実績!$AD$6:$AD$505,"&gt;"&amp;$A208,実績!$AE$6:$AE$505,"○")&gt;0,1,0))</f>
        <v/>
      </c>
      <c r="BA208">
        <f>IF(BA$4=0,0,IF(COUNTIFS(実績!$W$6:$W$505,BA$3,実績!$AC$6:$AC$505,"&lt;="&amp;$A208,実績!$AD$6:$AD$505,"&gt;"&amp;$A208,実績!$AE$6:$AE$505,"○")&gt;0,1,0))</f>
        <v/>
      </c>
      <c r="BB208">
        <f>IF(BB$4=0,0,IF(COUNTIFS(実績!$W$6:$W$505,BB$3,実績!$AC$6:$AC$505,"&lt;="&amp;$A208,実績!$AD$6:$AD$505,"&gt;"&amp;$A208,実績!$AE$6:$AE$505,"○")&gt;0,1,0))</f>
        <v/>
      </c>
      <c r="BC208">
        <f>IF(BC$4=0,0,IF(COUNTIFS(実績!$W$6:$W$505,BC$3,実績!$AC$6:$AC$505,"&lt;="&amp;$A208,実績!$AD$6:$AD$505,"&gt;"&amp;$A208,実績!$AE$6:$AE$505,"○")&gt;0,1,0))</f>
        <v/>
      </c>
      <c r="BD208">
        <f>IF(BD$4=0,0,IF(COUNTIFS(実績!$W$6:$W$505,BD$3,実績!$AC$6:$AC$505,"&lt;="&amp;$A208,実績!$AD$6:$AD$505,"&gt;"&amp;$A208,実績!$AE$6:$AE$505,"○")&gt;0,1,0))</f>
        <v/>
      </c>
      <c r="BE208">
        <f>IF(BE$4=0,0,IF(COUNTIFS(実績!$W$6:$W$505,BE$3,実績!$AC$6:$AC$505,"&lt;="&amp;$A208,実績!$AD$6:$AD$505,"&gt;"&amp;$A208,実績!$AE$6:$AE$505,"○")&gt;0,1,0))</f>
        <v/>
      </c>
      <c r="BF208">
        <f>IF(BF$4=0,0,IF(COUNTIFS(実績!$W$6:$W$505,BF$3,実績!$AC$6:$AC$505,"&lt;="&amp;$A208,実績!$AD$6:$AD$505,"&gt;"&amp;$A208,実績!$AE$6:$AE$505,"○")&gt;0,1,0))</f>
        <v/>
      </c>
      <c r="BG208">
        <f>IF(BG$4=0,0,IF(COUNTIFS(実績!$W$6:$W$505,BG$3,実績!$AC$6:$AC$505,"&lt;="&amp;$A208,実績!$AD$6:$AD$505,"&gt;"&amp;$A208,実績!$AE$6:$AE$505,"○")&gt;0,1,0))</f>
        <v/>
      </c>
      <c r="BH208">
        <f>IF(BH$4=0,0,IF(COUNTIFS(実績!$W$6:$W$505,BH$3,実績!$AC$6:$AC$505,"&lt;="&amp;$A208,実績!$AD$6:$AD$505,"&gt;"&amp;$A208,実績!$AE$6:$AE$505,"○")&gt;0,1,0))</f>
        <v/>
      </c>
      <c r="BI208">
        <f>IF(BI$4=0,0,IF(COUNTIFS(実績!$W$6:$W$505,BI$3,実績!$AC$6:$AC$505,"&lt;="&amp;$A208,実績!$AD$6:$AD$505,"&gt;"&amp;$A208,実績!$AE$6:$AE$505,"○")&gt;0,1,0))</f>
        <v/>
      </c>
      <c r="BJ208">
        <f>IF(BJ$4=0,0,IF(COUNTIFS(実績!$W$6:$W$505,BJ$3,実績!$AC$6:$AC$505,"&lt;="&amp;$A208,実績!$AD$6:$AD$505,"&gt;"&amp;$A208,実績!$AE$6:$AE$505,"○")&gt;0,1,0))</f>
        <v/>
      </c>
      <c r="BK208">
        <f>IF(BK$4=0,0,IF(COUNTIFS(実績!$W$6:$W$505,BK$3,実績!$AC$6:$AC$505,"&lt;="&amp;$A208,実績!$AD$6:$AD$505,"&gt;"&amp;$A208,実績!$AE$6:$AE$505,"○")&gt;0,1,0))</f>
        <v/>
      </c>
      <c r="BL208">
        <f>IF(BL$4=0,0,IF(COUNTIFS(実績!$W$6:$W$505,BL$3,実績!$AC$6:$AC$505,"&lt;="&amp;$A208,実績!$AD$6:$AD$505,"&gt;"&amp;$A208,実績!$AE$6:$AE$505,"○")&gt;0,1,0))</f>
        <v/>
      </c>
      <c r="BM208">
        <f>IF(BM$4=0,0,IF(COUNTIFS(実績!$W$6:$W$505,BM$3,実績!$AC$6:$AC$505,"&lt;="&amp;$A208,実績!$AD$6:$AD$505,"&gt;"&amp;$A208,実績!$AE$6:$AE$505,"○")&gt;0,1,0))</f>
        <v/>
      </c>
      <c r="BN208">
        <f>IF(BN$4=0,0,IF(COUNTIFS(実績!$W$6:$W$505,BN$3,実績!$AC$6:$AC$505,"&lt;="&amp;$A208,実績!$AD$6:$AD$505,"&gt;"&amp;$A208,実績!$AE$6:$AE$505,"○")&gt;0,1,0))</f>
        <v/>
      </c>
      <c r="BO208">
        <f>IF(BO$4=0,0,IF(COUNTIFS(実績!$W$6:$W$505,BO$3,実績!$AC$6:$AC$505,"&lt;="&amp;$A208,実績!$AD$6:$AD$505,"&gt;"&amp;$A208,実績!$AE$6:$AE$505,"○")&gt;0,1,0))</f>
        <v/>
      </c>
      <c r="BP208">
        <f>IF(BP$4=0,0,IF(COUNTIFS(実績!$W$6:$W$505,BP$3,実績!$AC$6:$AC$505,"&lt;="&amp;$A208,実績!$AD$6:$AD$505,"&gt;"&amp;$A208,実績!$AE$6:$AE$505,"○")&gt;0,1,0))</f>
        <v/>
      </c>
      <c r="BQ208">
        <f>IF(BQ$4=0,0,IF(COUNTIFS(実績!$W$6:$W$505,BQ$3,実績!$AC$6:$AC$505,"&lt;="&amp;$A208,実績!$AD$6:$AD$505,"&gt;"&amp;$A208,実績!$AE$6:$AE$505,"○")&gt;0,1,0))</f>
        <v/>
      </c>
      <c r="BR208">
        <f>IF(BR$4=0,0,IF(COUNTIFS(実績!$W$6:$W$505,BR$3,実績!$AC$6:$AC$505,"&lt;="&amp;$A208,実績!$AD$6:$AD$505,"&gt;"&amp;$A208,実績!$AE$6:$AE$505,"○")&gt;0,1,0))</f>
        <v/>
      </c>
      <c r="BS208">
        <f>IF(BS$4=0,0,IF(COUNTIFS(実績!$W$6:$W$505,BS$3,実績!$AC$6:$AC$505,"&lt;="&amp;$A208,実績!$AD$6:$AD$505,"&gt;"&amp;$A208,実績!$AE$6:$AE$505,"○")&gt;0,1,0))</f>
        <v/>
      </c>
      <c r="BT208">
        <f>IF(BT$4=0,0,IF(COUNTIFS(実績!$W$6:$W$505,BT$3,実績!$AC$6:$AC$505,"&lt;="&amp;$A208,実績!$AD$6:$AD$505,"&gt;"&amp;$A208,実績!$AE$6:$AE$505,"○")&gt;0,1,0))</f>
        <v/>
      </c>
      <c r="BU208">
        <f>IF(BU$4=0,0,IF(COUNTIFS(実績!$W$6:$W$505,BU$3,実績!$AC$6:$AC$505,"&lt;="&amp;$A208,実績!$AD$6:$AD$505,"&gt;"&amp;$A208,実績!$AE$6:$AE$505,"○")&gt;0,1,0))</f>
        <v/>
      </c>
      <c r="BV208">
        <f>IF(BV$4=0,0,IF(COUNTIFS(実績!$W$6:$W$505,BV$3,実績!$AC$6:$AC$505,"&lt;="&amp;$A208,実績!$AD$6:$AD$505,"&gt;"&amp;$A208,実績!$AE$6:$AE$505,"○")&gt;0,1,0))</f>
        <v/>
      </c>
      <c r="BW208">
        <f>IF(BW$4=0,0,IF(COUNTIFS(実績!$W$6:$W$505,BW$3,実績!$AC$6:$AC$505,"&lt;="&amp;$A208,実績!$AD$6:$AD$505,"&gt;"&amp;$A208,実績!$AE$6:$AE$505,"○")&gt;0,1,0))</f>
        <v/>
      </c>
      <c r="BX208">
        <f>IF(BX$4=0,0,IF(COUNTIFS(実績!$W$6:$W$505,BX$3,実績!$AC$6:$AC$505,"&lt;="&amp;$A208,実績!$AD$6:$AD$505,"&gt;"&amp;$A208,実績!$AE$6:$AE$505,"○")&gt;0,1,0))</f>
        <v/>
      </c>
      <c r="BY208">
        <f>IF(BY$4=0,0,IF(COUNTIFS(実績!$W$6:$W$505,BY$3,実績!$AC$6:$AC$505,"&lt;="&amp;$A208,実績!$AD$6:$AD$505,"&gt;"&amp;$A208,実績!$AE$6:$AE$505,"○")&gt;0,1,0))</f>
        <v/>
      </c>
      <c r="BZ208">
        <f>IF(BZ$4=0,0,IF(COUNTIFS(実績!$W$6:$W$505,BZ$3,実績!$AC$6:$AC$505,"&lt;="&amp;$A208,実績!$AD$6:$AD$505,"&gt;"&amp;$A208,実績!$AE$6:$AE$505,"○")&gt;0,1,0))</f>
        <v/>
      </c>
      <c r="CA208">
        <f>IF(CA$4=0,0,IF(COUNTIFS(実績!$W$6:$W$505,CA$3,実績!$AC$6:$AC$505,"&lt;="&amp;$A208,実績!$AD$6:$AD$505,"&gt;"&amp;$A208,実績!$AE$6:$AE$505,"○")&gt;0,1,0))</f>
        <v/>
      </c>
      <c r="CB208">
        <f>IF(CB$4=0,0,IF(COUNTIFS(実績!$W$6:$W$505,CB$3,実績!$AC$6:$AC$505,"&lt;="&amp;$A208,実績!$AD$6:$AD$505,"&gt;"&amp;$A208,実績!$AE$6:$AE$505,"○")&gt;0,1,0))</f>
        <v/>
      </c>
      <c r="CC208">
        <f>IF(CC$4=0,0,IF(COUNTIFS(実績!$W$6:$W$505,CC$3,実績!$AC$6:$AC$505,"&lt;="&amp;$A208,実績!$AD$6:$AD$505,"&gt;"&amp;$A208,実績!$AE$6:$AE$505,"○")&gt;0,1,0))</f>
        <v/>
      </c>
      <c r="CD208">
        <f>IF(CD$4=0,0,IF(COUNTIFS(実績!$W$6:$W$505,CD$3,実績!$AC$6:$AC$505,"&lt;="&amp;$A208,実績!$AD$6:$AD$505,"&gt;"&amp;$A208,実績!$AE$6:$AE$505,"○")&gt;0,1,0))</f>
        <v/>
      </c>
      <c r="CE208">
        <f>IF(CE$4=0,0,IF(COUNTIFS(実績!$W$6:$W$505,CE$3,実績!$AC$6:$AC$505,"&lt;="&amp;$A208,実績!$AD$6:$AD$505,"&gt;"&amp;$A208,実績!$AE$6:$AE$505,"○")&gt;0,1,0))</f>
        <v/>
      </c>
      <c r="CF208">
        <f>IF(CF$4=0,0,IF(COUNTIFS(実績!$W$6:$W$505,CF$3,実績!$AC$6:$AC$505,"&lt;="&amp;$A208,実績!$AD$6:$AD$505,"&gt;"&amp;$A208,実績!$AE$6:$AE$505,"○")&gt;0,1,0))</f>
        <v/>
      </c>
      <c r="CG208">
        <f>IF(CG$4=0,0,IF(COUNTIFS(実績!$W$6:$W$505,CG$3,実績!$AC$6:$AC$505,"&lt;="&amp;$A208,実績!$AD$6:$AD$505,"&gt;"&amp;$A208,実績!$AE$6:$AE$505,"○")&gt;0,1,0))</f>
        <v/>
      </c>
      <c r="CH208">
        <f>IF(CH$4=0,0,IF(COUNTIFS(実績!$W$6:$W$505,CH$3,実績!$AC$6:$AC$505,"&lt;="&amp;$A208,実績!$AD$6:$AD$505,"&gt;"&amp;$A208,実績!$AE$6:$AE$505,"○")&gt;0,1,0))</f>
        <v/>
      </c>
      <c r="CI208">
        <f>IF(CI$4=0,0,IF(COUNTIFS(実績!$W$6:$W$505,CI$3,実績!$AC$6:$AC$505,"&lt;="&amp;$A208,実績!$AD$6:$AD$505,"&gt;"&amp;$A208,実績!$AE$6:$AE$505,"○")&gt;0,1,0))</f>
        <v/>
      </c>
      <c r="CJ208">
        <f>IF(CJ$4=0,0,IF(COUNTIFS(実績!$W$6:$W$505,CJ$3,実績!$AC$6:$AC$505,"&lt;="&amp;$A208,実績!$AD$6:$AD$505,"&gt;"&amp;$A208,実績!$AE$6:$AE$505,"○")&gt;0,1,0))</f>
        <v/>
      </c>
      <c r="CK208">
        <f>IF(CK$4=0,0,IF(COUNTIFS(実績!$W$6:$W$505,CK$3,実績!$AC$6:$AC$505,"&lt;="&amp;$A208,実績!$AD$6:$AD$505,"&gt;"&amp;$A208,実績!$AE$6:$AE$505,"○")&gt;0,1,0))</f>
        <v/>
      </c>
      <c r="CL208">
        <f>IF(CL$4=0,0,IF(COUNTIFS(実績!$W$6:$W$505,CL$3,実績!$AC$6:$AC$505,"&lt;="&amp;$A208,実績!$AD$6:$AD$505,"&gt;"&amp;$A208,実績!$AE$6:$AE$505,"○")&gt;0,1,0))</f>
        <v/>
      </c>
      <c r="CM208">
        <f>IF(CM$4=0,0,IF(COUNTIFS(実績!$W$6:$W$505,CM$3,実績!$AC$6:$AC$505,"&lt;="&amp;$A208,実績!$AD$6:$AD$505,"&gt;"&amp;$A208,実績!$AE$6:$AE$505,"○")&gt;0,1,0))</f>
        <v/>
      </c>
      <c r="CN208">
        <f>IF(CN$4=0,0,IF(COUNTIFS(実績!$W$6:$W$505,CN$3,実績!$AC$6:$AC$505,"&lt;="&amp;$A208,実績!$AD$6:$AD$505,"&gt;"&amp;$A208,実績!$AE$6:$AE$505,"○")&gt;0,1,0))</f>
        <v/>
      </c>
      <c r="CO208">
        <f>IF(CO$4=0,0,IF(COUNTIFS(実績!$W$6:$W$505,CO$3,実績!$AC$6:$AC$505,"&lt;="&amp;$A208,実績!$AD$6:$AD$505,"&gt;"&amp;$A208,実績!$AE$6:$AE$505,"○")&gt;0,1,0))</f>
        <v/>
      </c>
      <c r="CP208">
        <f>IF(CP$4=0,0,IF(COUNTIFS(実績!$W$6:$W$505,CP$3,実績!$AC$6:$AC$505,"&lt;="&amp;$A208,実績!$AD$6:$AD$505,"&gt;"&amp;$A208,実績!$AE$6:$AE$505,"○")&gt;0,1,0))</f>
        <v/>
      </c>
      <c r="CQ208">
        <f>IF(CQ$4=0,0,IF(COUNTIFS(実績!$W$6:$W$505,CQ$3,実績!$AC$6:$AC$505,"&lt;="&amp;$A208,実績!$AD$6:$AD$505,"&gt;"&amp;$A208,実績!$AE$6:$AE$505,"○")&gt;0,1,0))</f>
        <v/>
      </c>
      <c r="CR208">
        <f>IF(CR$4=0,0,IF(COUNTIFS(実績!$W$6:$W$505,CR$3,実績!$AC$6:$AC$505,"&lt;="&amp;$A208,実績!$AD$6:$AD$505,"&gt;"&amp;$A208,実績!$AE$6:$AE$505,"○")&gt;0,1,0))</f>
        <v/>
      </c>
      <c r="CS208">
        <f>IF(CS$4=0,0,IF(COUNTIFS(実績!$W$6:$W$505,CS$3,実績!$AC$6:$AC$505,"&lt;="&amp;$A208,実績!$AD$6:$AD$505,"&gt;"&amp;$A208,実績!$AE$6:$AE$505,"○")&gt;0,1,0))</f>
        <v/>
      </c>
      <c r="CT208">
        <f>IF(CT$4=0,0,IF(COUNTIFS(実績!$W$6:$W$505,CT$3,実績!$AC$6:$AC$505,"&lt;="&amp;$A208,実績!$AD$6:$AD$505,"&gt;"&amp;$A208,実績!$AE$6:$AE$505,"○")&gt;0,1,0))</f>
        <v/>
      </c>
      <c r="CU208">
        <f>IF(CU$4=0,0,IF(COUNTIFS(実績!$W$6:$W$505,CU$3,実績!$AC$6:$AC$505,"&lt;="&amp;$A208,実績!$AD$6:$AD$505,"&gt;"&amp;$A208,実績!$AE$6:$AE$505,"○")&gt;0,1,0))</f>
        <v/>
      </c>
      <c r="CV208">
        <f>IF(CV$4=0,0,IF(COUNTIFS(実績!$W$6:$W$505,CV$3,実績!$AC$6:$AC$505,"&lt;="&amp;$A208,実績!$AD$6:$AD$505,"&gt;"&amp;$A208,実績!$AE$6:$AE$505,"○")&gt;0,1,0))</f>
        <v/>
      </c>
      <c r="CW208">
        <f>IF(CW$4=0,0,IF(COUNTIFS(実績!$W$6:$W$505,CW$3,実績!$AC$6:$AC$505,"&lt;="&amp;$A208,実績!$AD$6:$AD$505,"&gt;"&amp;$A208,実績!$AE$6:$AE$505,"○")&gt;0,1,0))</f>
        <v/>
      </c>
      <c r="CX208">
        <f>IF(CX$4=0,0,IF(COUNTIFS(実績!$W$6:$W$505,CX$3,実績!$AC$6:$AC$505,"&lt;="&amp;$A208,実績!$AD$6:$AD$505,"&gt;"&amp;$A208,実績!$AE$6:$AE$505,"○")&gt;0,1,0))</f>
        <v/>
      </c>
      <c r="CY208">
        <f>IF(CY$4=0,0,IF(COUNTIFS(実績!$W$6:$W$505,CY$3,実績!$AC$6:$AC$505,"&lt;="&amp;$A208,実績!$AD$6:$AD$505,"&gt;"&amp;$A208,実績!$AE$6:$AE$505,"○")&gt;0,1,0))</f>
        <v/>
      </c>
      <c r="CZ208">
        <f>IF(CZ$4=0,0,IF(COUNTIFS(実績!$W$6:$W$505,CZ$3,実績!$AC$6:$AC$505,"&lt;="&amp;$A208,実績!$AD$6:$AD$505,"&gt;"&amp;$A208,実績!$AE$6:$AE$505,"○")&gt;0,1,0))</f>
        <v/>
      </c>
      <c r="DA208">
        <f>IF(DA$4=0,0,IF(COUNTIFS(実績!$W$6:$W$505,DA$3,実績!$AC$6:$AC$505,"&lt;="&amp;$A208,実績!$AD$6:$AD$505,"&gt;"&amp;$A208,実績!$AE$6:$AE$505,"○")&gt;0,1,0))</f>
        <v/>
      </c>
      <c r="DB208">
        <f>IF(DB$4=0,0,IF(COUNTIFS(実績!$W$6:$W$505,DB$3,実績!$AC$6:$AC$505,"&lt;="&amp;$A208,実績!$AD$6:$AD$505,"&gt;"&amp;$A208,実績!$AE$6:$AE$505,"○")&gt;0,1,0))</f>
        <v/>
      </c>
      <c r="DC208">
        <f>IF(DC$4=0,0,IF(COUNTIFS(実績!$W$6:$W$505,DC$3,実績!$AC$6:$AC$505,"&lt;="&amp;$A208,実績!$AD$6:$AD$505,"&gt;"&amp;$A208,実績!$AE$6:$AE$505,"○")&gt;0,1,0))</f>
        <v/>
      </c>
      <c r="DD208">
        <f>IF(DD$4=0,0,IF(COUNTIFS(実績!$W$6:$W$505,DD$3,実績!$AC$6:$AC$505,"&lt;="&amp;$A208,実績!$AD$6:$AD$505,"&gt;"&amp;$A208,実績!$AE$6:$AE$505,"○")&gt;0,1,0))</f>
        <v/>
      </c>
      <c r="DE208">
        <f>IF(DE$4=0,0,IF(COUNTIFS(実績!$W$6:$W$505,DE$3,実績!$AC$6:$AC$505,"&lt;="&amp;$A208,実績!$AD$6:$AD$505,"&gt;"&amp;$A208,実績!$AE$6:$AE$505,"○")&gt;0,1,0))</f>
        <v/>
      </c>
      <c r="DF208">
        <f>IF(DF$4=0,0,IF(COUNTIFS(実績!$W$6:$W$505,DF$3,実績!$AC$6:$AC$505,"&lt;="&amp;$A208,実績!$AD$6:$AD$505,"&gt;"&amp;$A208,実績!$AE$6:$AE$505,"○")&gt;0,1,0))</f>
        <v/>
      </c>
      <c r="DG208">
        <f>IF(DG$4=0,0,IF(COUNTIFS(実績!$W$6:$W$505,DG$3,実績!$AC$6:$AC$505,"&lt;="&amp;$A208,実績!$AD$6:$AD$505,"&gt;"&amp;$A208,実績!$AE$6:$AE$505,"○")&gt;0,1,0))</f>
        <v/>
      </c>
      <c r="DH208">
        <f>IF(DH$4=0,0,IF(COUNTIFS(実績!$W$6:$W$505,DH$3,実績!$AC$6:$AC$505,"&lt;="&amp;$A208,実績!$AD$6:$AD$505,"&gt;"&amp;$A208,実績!$AE$6:$AE$505,"○")&gt;0,1,0))</f>
        <v/>
      </c>
      <c r="DI208">
        <f>IF(DI$4=0,0,IF(COUNTIFS(実績!$W$6:$W$505,DI$3,実績!$AC$6:$AC$505,"&lt;="&amp;$A208,実績!$AD$6:$AD$505,"&gt;"&amp;$A208,実績!$AE$6:$AE$505,"○")&gt;0,1,0))</f>
        <v/>
      </c>
      <c r="DJ208">
        <f>IF(DJ$4=0,0,IF(COUNTIFS(実績!$W$6:$W$505,DJ$3,実績!$AC$6:$AC$505,"&lt;="&amp;$A208,実績!$AD$6:$AD$505,"&gt;"&amp;$A208,実績!$AE$6:$AE$505,"○")&gt;0,1,0))</f>
        <v/>
      </c>
      <c r="DK208">
        <f>IF(DK$4=0,0,IF(COUNTIFS(実績!$W$6:$W$505,DK$3,実績!$AC$6:$AC$505,"&lt;="&amp;$A208,実績!$AD$6:$AD$505,"&gt;"&amp;$A208,実績!$AE$6:$AE$505,"○")&gt;0,1,0))</f>
        <v/>
      </c>
      <c r="DL208">
        <f>IF(DL$4=0,0,IF(COUNTIFS(実績!$W$6:$W$505,DL$3,実績!$AC$6:$AC$505,"&lt;="&amp;$A208,実績!$AD$6:$AD$505,"&gt;"&amp;$A208,実績!$AE$6:$AE$505,"○")&gt;0,1,0))</f>
        <v/>
      </c>
      <c r="DM208">
        <f>IF(DM$4=0,0,IF(COUNTIFS(実績!$W$6:$W$505,DM$3,実績!$AC$6:$AC$505,"&lt;="&amp;$A208,実績!$AD$6:$AD$505,"&gt;"&amp;$A208,実績!$AE$6:$AE$505,"○")&gt;0,1,0))</f>
        <v/>
      </c>
      <c r="DN208">
        <f>IF(DN$4=0,0,IF(COUNTIFS(実績!$W$6:$W$505,DN$3,実績!$AC$6:$AC$505,"&lt;="&amp;$A208,実績!$AD$6:$AD$505,"&gt;"&amp;$A208,実績!$AE$6:$AE$505,"○")&gt;0,1,0))</f>
        <v/>
      </c>
      <c r="DO208">
        <f>IF(DO$4=0,0,IF(COUNTIFS(実績!$W$6:$W$505,DO$3,実績!$AC$6:$AC$505,"&lt;="&amp;$A208,実績!$AD$6:$AD$505,"&gt;"&amp;$A208,実績!$AE$6:$AE$505,"○")&gt;0,1,0))</f>
        <v/>
      </c>
      <c r="DP208">
        <f>IF(DP$4=0,0,IF(COUNTIFS(実績!$W$6:$W$505,DP$3,実績!$AC$6:$AC$505,"&lt;="&amp;$A208,実績!$AD$6:$AD$505,"&gt;"&amp;$A208,実績!$AE$6:$AE$505,"○")&gt;0,1,0))</f>
        <v/>
      </c>
      <c r="DQ208">
        <f>IF(DQ$4=0,0,IF(COUNTIFS(実績!$W$6:$W$505,DQ$3,実績!$AC$6:$AC$505,"&lt;="&amp;$A208,実績!$AD$6:$AD$505,"&gt;"&amp;$A208,実績!$AE$6:$AE$505,"○")&gt;0,1,0))</f>
        <v/>
      </c>
      <c r="DR208">
        <f>IF(DR$4=0,0,IF(COUNTIFS(実績!$W$6:$W$505,DR$3,実績!$AC$6:$AC$505,"&lt;="&amp;$A208,実績!$AD$6:$AD$505,"&gt;"&amp;$A208,実績!$AE$6:$AE$505,"○")&gt;0,1,0))</f>
        <v/>
      </c>
      <c r="DS208">
        <f>SUM(C208:DR208)</f>
        <v/>
      </c>
      <c r="DT208">
        <f>SUMPRODUCT((実績!$C$6:$C$505="○")*ISNUMBER(実績!$AF$6:$AF$505)*(実績!$AF$6:$AF$505&lt;=$A208)*(実績!$AG$6:$AG$505&gt;$A208))</f>
        <v/>
      </c>
      <c r="DU208">
        <f>SUMIF($C$2:$DR$2,"製鉄曳船",C208:DR208)</f>
        <v/>
      </c>
      <c r="DV208">
        <f>SUMIF($C$2:$DR$2,"西日本海運",C208:DR208)</f>
        <v/>
      </c>
    </row>
    <row r="209">
      <c r="A209" t="n">
        <v>1015</v>
      </c>
      <c r="B209" s="29">
        <f>A209/1440</f>
        <v/>
      </c>
      <c r="C209">
        <f>IF(C$4=0,0,IF(COUNTIFS(実績!$W$6:$W$505,C$3,実績!$AC$6:$AC$505,"&lt;="&amp;$A209,実績!$AD$6:$AD$505,"&gt;"&amp;$A209,実績!$AE$6:$AE$505,"○")&gt;0,1,0))</f>
        <v/>
      </c>
      <c r="D209">
        <f>IF(D$4=0,0,IF(COUNTIFS(実績!$W$6:$W$505,D$3,実績!$AC$6:$AC$505,"&lt;="&amp;$A209,実績!$AD$6:$AD$505,"&gt;"&amp;$A209,実績!$AE$6:$AE$505,"○")&gt;0,1,0))</f>
        <v/>
      </c>
      <c r="E209">
        <f>IF(E$4=0,0,IF(COUNTIFS(実績!$W$6:$W$505,E$3,実績!$AC$6:$AC$505,"&lt;="&amp;$A209,実績!$AD$6:$AD$505,"&gt;"&amp;$A209,実績!$AE$6:$AE$505,"○")&gt;0,1,0))</f>
        <v/>
      </c>
      <c r="F209">
        <f>IF(F$4=0,0,IF(COUNTIFS(実績!$W$6:$W$505,F$3,実績!$AC$6:$AC$505,"&lt;="&amp;$A209,実績!$AD$6:$AD$505,"&gt;"&amp;$A209,実績!$AE$6:$AE$505,"○")&gt;0,1,0))</f>
        <v/>
      </c>
      <c r="G209">
        <f>IF(G$4=0,0,IF(COUNTIFS(実績!$W$6:$W$505,G$3,実績!$AC$6:$AC$505,"&lt;="&amp;$A209,実績!$AD$6:$AD$505,"&gt;"&amp;$A209,実績!$AE$6:$AE$505,"○")&gt;0,1,0))</f>
        <v/>
      </c>
      <c r="H209">
        <f>IF(H$4=0,0,IF(COUNTIFS(実績!$W$6:$W$505,H$3,実績!$AC$6:$AC$505,"&lt;="&amp;$A209,実績!$AD$6:$AD$505,"&gt;"&amp;$A209,実績!$AE$6:$AE$505,"○")&gt;0,1,0))</f>
        <v/>
      </c>
      <c r="I209">
        <f>IF(I$4=0,0,IF(COUNTIFS(実績!$W$6:$W$505,I$3,実績!$AC$6:$AC$505,"&lt;="&amp;$A209,実績!$AD$6:$AD$505,"&gt;"&amp;$A209,実績!$AE$6:$AE$505,"○")&gt;0,1,0))</f>
        <v/>
      </c>
      <c r="J209">
        <f>IF(J$4=0,0,IF(COUNTIFS(実績!$W$6:$W$505,J$3,実績!$AC$6:$AC$505,"&lt;="&amp;$A209,実績!$AD$6:$AD$505,"&gt;"&amp;$A209,実績!$AE$6:$AE$505,"○")&gt;0,1,0))</f>
        <v/>
      </c>
      <c r="K209">
        <f>IF(K$4=0,0,IF(COUNTIFS(実績!$W$6:$W$505,K$3,実績!$AC$6:$AC$505,"&lt;="&amp;$A209,実績!$AD$6:$AD$505,"&gt;"&amp;$A209,実績!$AE$6:$AE$505,"○")&gt;0,1,0))</f>
        <v/>
      </c>
      <c r="L209">
        <f>IF(L$4=0,0,IF(COUNTIFS(実績!$W$6:$W$505,L$3,実績!$AC$6:$AC$505,"&lt;="&amp;$A209,実績!$AD$6:$AD$505,"&gt;"&amp;$A209,実績!$AE$6:$AE$505,"○")&gt;0,1,0))</f>
        <v/>
      </c>
      <c r="M209">
        <f>IF(M$4=0,0,IF(COUNTIFS(実績!$W$6:$W$505,M$3,実績!$AC$6:$AC$505,"&lt;="&amp;$A209,実績!$AD$6:$AD$505,"&gt;"&amp;$A209,実績!$AE$6:$AE$505,"○")&gt;0,1,0))</f>
        <v/>
      </c>
      <c r="N209">
        <f>IF(N$4=0,0,IF(COUNTIFS(実績!$W$6:$W$505,N$3,実績!$AC$6:$AC$505,"&lt;="&amp;$A209,実績!$AD$6:$AD$505,"&gt;"&amp;$A209,実績!$AE$6:$AE$505,"○")&gt;0,1,0))</f>
        <v/>
      </c>
      <c r="O209">
        <f>IF(O$4=0,0,IF(COUNTIFS(実績!$W$6:$W$505,O$3,実績!$AC$6:$AC$505,"&lt;="&amp;$A209,実績!$AD$6:$AD$505,"&gt;"&amp;$A209,実績!$AE$6:$AE$505,"○")&gt;0,1,0))</f>
        <v/>
      </c>
      <c r="P209">
        <f>IF(P$4=0,0,IF(COUNTIFS(実績!$W$6:$W$505,P$3,実績!$AC$6:$AC$505,"&lt;="&amp;$A209,実績!$AD$6:$AD$505,"&gt;"&amp;$A209,実績!$AE$6:$AE$505,"○")&gt;0,1,0))</f>
        <v/>
      </c>
      <c r="Q209">
        <f>IF(Q$4=0,0,IF(COUNTIFS(実績!$W$6:$W$505,Q$3,実績!$AC$6:$AC$505,"&lt;="&amp;$A209,実績!$AD$6:$AD$505,"&gt;"&amp;$A209,実績!$AE$6:$AE$505,"○")&gt;0,1,0))</f>
        <v/>
      </c>
      <c r="R209">
        <f>IF(R$4=0,0,IF(COUNTIFS(実績!$W$6:$W$505,R$3,実績!$AC$6:$AC$505,"&lt;="&amp;$A209,実績!$AD$6:$AD$505,"&gt;"&amp;$A209,実績!$AE$6:$AE$505,"○")&gt;0,1,0))</f>
        <v/>
      </c>
      <c r="S209">
        <f>IF(S$4=0,0,IF(COUNTIFS(実績!$W$6:$W$505,S$3,実績!$AC$6:$AC$505,"&lt;="&amp;$A209,実績!$AD$6:$AD$505,"&gt;"&amp;$A209,実績!$AE$6:$AE$505,"○")&gt;0,1,0))</f>
        <v/>
      </c>
      <c r="T209">
        <f>IF(T$4=0,0,IF(COUNTIFS(実績!$W$6:$W$505,T$3,実績!$AC$6:$AC$505,"&lt;="&amp;$A209,実績!$AD$6:$AD$505,"&gt;"&amp;$A209,実績!$AE$6:$AE$505,"○")&gt;0,1,0))</f>
        <v/>
      </c>
      <c r="U209">
        <f>IF(U$4=0,0,IF(COUNTIFS(実績!$W$6:$W$505,U$3,実績!$AC$6:$AC$505,"&lt;="&amp;$A209,実績!$AD$6:$AD$505,"&gt;"&amp;$A209,実績!$AE$6:$AE$505,"○")&gt;0,1,0))</f>
        <v/>
      </c>
      <c r="V209">
        <f>IF(V$4=0,0,IF(COUNTIFS(実績!$W$6:$W$505,V$3,実績!$AC$6:$AC$505,"&lt;="&amp;$A209,実績!$AD$6:$AD$505,"&gt;"&amp;$A209,実績!$AE$6:$AE$505,"○")&gt;0,1,0))</f>
        <v/>
      </c>
      <c r="W209">
        <f>IF(W$4=0,0,IF(COUNTIFS(実績!$W$6:$W$505,W$3,実績!$AC$6:$AC$505,"&lt;="&amp;$A209,実績!$AD$6:$AD$505,"&gt;"&amp;$A209,実績!$AE$6:$AE$505,"○")&gt;0,1,0))</f>
        <v/>
      </c>
      <c r="X209">
        <f>IF(X$4=0,0,IF(COUNTIFS(実績!$W$6:$W$505,X$3,実績!$AC$6:$AC$505,"&lt;="&amp;$A209,実績!$AD$6:$AD$505,"&gt;"&amp;$A209,実績!$AE$6:$AE$505,"○")&gt;0,1,0))</f>
        <v/>
      </c>
      <c r="Y209">
        <f>IF(Y$4=0,0,IF(COUNTIFS(実績!$W$6:$W$505,Y$3,実績!$AC$6:$AC$505,"&lt;="&amp;$A209,実績!$AD$6:$AD$505,"&gt;"&amp;$A209,実績!$AE$6:$AE$505,"○")&gt;0,1,0))</f>
        <v/>
      </c>
      <c r="Z209">
        <f>IF(Z$4=0,0,IF(COUNTIFS(実績!$W$6:$W$505,Z$3,実績!$AC$6:$AC$505,"&lt;="&amp;$A209,実績!$AD$6:$AD$505,"&gt;"&amp;$A209,実績!$AE$6:$AE$505,"○")&gt;0,1,0))</f>
        <v/>
      </c>
      <c r="AA209">
        <f>IF(AA$4=0,0,IF(COUNTIFS(実績!$W$6:$W$505,AA$3,実績!$AC$6:$AC$505,"&lt;="&amp;$A209,実績!$AD$6:$AD$505,"&gt;"&amp;$A209,実績!$AE$6:$AE$505,"○")&gt;0,1,0))</f>
        <v/>
      </c>
      <c r="AB209">
        <f>IF(AB$4=0,0,IF(COUNTIFS(実績!$W$6:$W$505,AB$3,実績!$AC$6:$AC$505,"&lt;="&amp;$A209,実績!$AD$6:$AD$505,"&gt;"&amp;$A209,実績!$AE$6:$AE$505,"○")&gt;0,1,0))</f>
        <v/>
      </c>
      <c r="AC209">
        <f>IF(AC$4=0,0,IF(COUNTIFS(実績!$W$6:$W$505,AC$3,実績!$AC$6:$AC$505,"&lt;="&amp;$A209,実績!$AD$6:$AD$505,"&gt;"&amp;$A209,実績!$AE$6:$AE$505,"○")&gt;0,1,0))</f>
        <v/>
      </c>
      <c r="AD209">
        <f>IF(AD$4=0,0,IF(COUNTIFS(実績!$W$6:$W$505,AD$3,実績!$AC$6:$AC$505,"&lt;="&amp;$A209,実績!$AD$6:$AD$505,"&gt;"&amp;$A209,実績!$AE$6:$AE$505,"○")&gt;0,1,0))</f>
        <v/>
      </c>
      <c r="AE209">
        <f>IF(AE$4=0,0,IF(COUNTIFS(実績!$W$6:$W$505,AE$3,実績!$AC$6:$AC$505,"&lt;="&amp;$A209,実績!$AD$6:$AD$505,"&gt;"&amp;$A209,実績!$AE$6:$AE$505,"○")&gt;0,1,0))</f>
        <v/>
      </c>
      <c r="AF209">
        <f>IF(AF$4=0,0,IF(COUNTIFS(実績!$W$6:$W$505,AF$3,実績!$AC$6:$AC$505,"&lt;="&amp;$A209,実績!$AD$6:$AD$505,"&gt;"&amp;$A209,実績!$AE$6:$AE$505,"○")&gt;0,1,0))</f>
        <v/>
      </c>
      <c r="AG209">
        <f>IF(AG$4=0,0,IF(COUNTIFS(実績!$W$6:$W$505,AG$3,実績!$AC$6:$AC$505,"&lt;="&amp;$A209,実績!$AD$6:$AD$505,"&gt;"&amp;$A209,実績!$AE$6:$AE$505,"○")&gt;0,1,0))</f>
        <v/>
      </c>
      <c r="AH209">
        <f>IF(AH$4=0,0,IF(COUNTIFS(実績!$W$6:$W$505,AH$3,実績!$AC$6:$AC$505,"&lt;="&amp;$A209,実績!$AD$6:$AD$505,"&gt;"&amp;$A209,実績!$AE$6:$AE$505,"○")&gt;0,1,0))</f>
        <v/>
      </c>
      <c r="AI209">
        <f>IF(AI$4=0,0,IF(COUNTIFS(実績!$W$6:$W$505,AI$3,実績!$AC$6:$AC$505,"&lt;="&amp;$A209,実績!$AD$6:$AD$505,"&gt;"&amp;$A209,実績!$AE$6:$AE$505,"○")&gt;0,1,0))</f>
        <v/>
      </c>
      <c r="AJ209">
        <f>IF(AJ$4=0,0,IF(COUNTIFS(実績!$W$6:$W$505,AJ$3,実績!$AC$6:$AC$505,"&lt;="&amp;$A209,実績!$AD$6:$AD$505,"&gt;"&amp;$A209,実績!$AE$6:$AE$505,"○")&gt;0,1,0))</f>
        <v/>
      </c>
      <c r="AK209">
        <f>IF(AK$4=0,0,IF(COUNTIFS(実績!$W$6:$W$505,AK$3,実績!$AC$6:$AC$505,"&lt;="&amp;$A209,実績!$AD$6:$AD$505,"&gt;"&amp;$A209,実績!$AE$6:$AE$505,"○")&gt;0,1,0))</f>
        <v/>
      </c>
      <c r="AL209">
        <f>IF(AL$4=0,0,IF(COUNTIFS(実績!$W$6:$W$505,AL$3,実績!$AC$6:$AC$505,"&lt;="&amp;$A209,実績!$AD$6:$AD$505,"&gt;"&amp;$A209,実績!$AE$6:$AE$505,"○")&gt;0,1,0))</f>
        <v/>
      </c>
      <c r="AM209">
        <f>IF(AM$4=0,0,IF(COUNTIFS(実績!$W$6:$W$505,AM$3,実績!$AC$6:$AC$505,"&lt;="&amp;$A209,実績!$AD$6:$AD$505,"&gt;"&amp;$A209,実績!$AE$6:$AE$505,"○")&gt;0,1,0))</f>
        <v/>
      </c>
      <c r="AN209">
        <f>IF(AN$4=0,0,IF(COUNTIFS(実績!$W$6:$W$505,AN$3,実績!$AC$6:$AC$505,"&lt;="&amp;$A209,実績!$AD$6:$AD$505,"&gt;"&amp;$A209,実績!$AE$6:$AE$505,"○")&gt;0,1,0))</f>
        <v/>
      </c>
      <c r="AO209">
        <f>IF(AO$4=0,0,IF(COUNTIFS(実績!$W$6:$W$505,AO$3,実績!$AC$6:$AC$505,"&lt;="&amp;$A209,実績!$AD$6:$AD$505,"&gt;"&amp;$A209,実績!$AE$6:$AE$505,"○")&gt;0,1,0))</f>
        <v/>
      </c>
      <c r="AP209">
        <f>IF(AP$4=0,0,IF(COUNTIFS(実績!$W$6:$W$505,AP$3,実績!$AC$6:$AC$505,"&lt;="&amp;$A209,実績!$AD$6:$AD$505,"&gt;"&amp;$A209,実績!$AE$6:$AE$505,"○")&gt;0,1,0))</f>
        <v/>
      </c>
      <c r="AQ209">
        <f>IF(AQ$4=0,0,IF(COUNTIFS(実績!$W$6:$W$505,AQ$3,実績!$AC$6:$AC$505,"&lt;="&amp;$A209,実績!$AD$6:$AD$505,"&gt;"&amp;$A209,実績!$AE$6:$AE$505,"○")&gt;0,1,0))</f>
        <v/>
      </c>
      <c r="AR209">
        <f>IF(AR$4=0,0,IF(COUNTIFS(実績!$W$6:$W$505,AR$3,実績!$AC$6:$AC$505,"&lt;="&amp;$A209,実績!$AD$6:$AD$505,"&gt;"&amp;$A209,実績!$AE$6:$AE$505,"○")&gt;0,1,0))</f>
        <v/>
      </c>
      <c r="AS209">
        <f>IF(AS$4=0,0,IF(COUNTIFS(実績!$W$6:$W$505,AS$3,実績!$AC$6:$AC$505,"&lt;="&amp;$A209,実績!$AD$6:$AD$505,"&gt;"&amp;$A209,実績!$AE$6:$AE$505,"○")&gt;0,1,0))</f>
        <v/>
      </c>
      <c r="AT209">
        <f>IF(AT$4=0,0,IF(COUNTIFS(実績!$W$6:$W$505,AT$3,実績!$AC$6:$AC$505,"&lt;="&amp;$A209,実績!$AD$6:$AD$505,"&gt;"&amp;$A209,実績!$AE$6:$AE$505,"○")&gt;0,1,0))</f>
        <v/>
      </c>
      <c r="AU209">
        <f>IF(AU$4=0,0,IF(COUNTIFS(実績!$W$6:$W$505,AU$3,実績!$AC$6:$AC$505,"&lt;="&amp;$A209,実績!$AD$6:$AD$505,"&gt;"&amp;$A209,実績!$AE$6:$AE$505,"○")&gt;0,1,0))</f>
        <v/>
      </c>
      <c r="AV209">
        <f>IF(AV$4=0,0,IF(COUNTIFS(実績!$W$6:$W$505,AV$3,実績!$AC$6:$AC$505,"&lt;="&amp;$A209,実績!$AD$6:$AD$505,"&gt;"&amp;$A209,実績!$AE$6:$AE$505,"○")&gt;0,1,0))</f>
        <v/>
      </c>
      <c r="AW209">
        <f>IF(AW$4=0,0,IF(COUNTIFS(実績!$W$6:$W$505,AW$3,実績!$AC$6:$AC$505,"&lt;="&amp;$A209,実績!$AD$6:$AD$505,"&gt;"&amp;$A209,実績!$AE$6:$AE$505,"○")&gt;0,1,0))</f>
        <v/>
      </c>
      <c r="AX209">
        <f>IF(AX$4=0,0,IF(COUNTIFS(実績!$W$6:$W$505,AX$3,実績!$AC$6:$AC$505,"&lt;="&amp;$A209,実績!$AD$6:$AD$505,"&gt;"&amp;$A209,実績!$AE$6:$AE$505,"○")&gt;0,1,0))</f>
        <v/>
      </c>
      <c r="AY209">
        <f>IF(AY$4=0,0,IF(COUNTIFS(実績!$W$6:$W$505,AY$3,実績!$AC$6:$AC$505,"&lt;="&amp;$A209,実績!$AD$6:$AD$505,"&gt;"&amp;$A209,実績!$AE$6:$AE$505,"○")&gt;0,1,0))</f>
        <v/>
      </c>
      <c r="AZ209">
        <f>IF(AZ$4=0,0,IF(COUNTIFS(実績!$W$6:$W$505,AZ$3,実績!$AC$6:$AC$505,"&lt;="&amp;$A209,実績!$AD$6:$AD$505,"&gt;"&amp;$A209,実績!$AE$6:$AE$505,"○")&gt;0,1,0))</f>
        <v/>
      </c>
      <c r="BA209">
        <f>IF(BA$4=0,0,IF(COUNTIFS(実績!$W$6:$W$505,BA$3,実績!$AC$6:$AC$505,"&lt;="&amp;$A209,実績!$AD$6:$AD$505,"&gt;"&amp;$A209,実績!$AE$6:$AE$505,"○")&gt;0,1,0))</f>
        <v/>
      </c>
      <c r="BB209">
        <f>IF(BB$4=0,0,IF(COUNTIFS(実績!$W$6:$W$505,BB$3,実績!$AC$6:$AC$505,"&lt;="&amp;$A209,実績!$AD$6:$AD$505,"&gt;"&amp;$A209,実績!$AE$6:$AE$505,"○")&gt;0,1,0))</f>
        <v/>
      </c>
      <c r="BC209">
        <f>IF(BC$4=0,0,IF(COUNTIFS(実績!$W$6:$W$505,BC$3,実績!$AC$6:$AC$505,"&lt;="&amp;$A209,実績!$AD$6:$AD$505,"&gt;"&amp;$A209,実績!$AE$6:$AE$505,"○")&gt;0,1,0))</f>
        <v/>
      </c>
      <c r="BD209">
        <f>IF(BD$4=0,0,IF(COUNTIFS(実績!$W$6:$W$505,BD$3,実績!$AC$6:$AC$505,"&lt;="&amp;$A209,実績!$AD$6:$AD$505,"&gt;"&amp;$A209,実績!$AE$6:$AE$505,"○")&gt;0,1,0))</f>
        <v/>
      </c>
      <c r="BE209">
        <f>IF(BE$4=0,0,IF(COUNTIFS(実績!$W$6:$W$505,BE$3,実績!$AC$6:$AC$505,"&lt;="&amp;$A209,実績!$AD$6:$AD$505,"&gt;"&amp;$A209,実績!$AE$6:$AE$505,"○")&gt;0,1,0))</f>
        <v/>
      </c>
      <c r="BF209">
        <f>IF(BF$4=0,0,IF(COUNTIFS(実績!$W$6:$W$505,BF$3,実績!$AC$6:$AC$505,"&lt;="&amp;$A209,実績!$AD$6:$AD$505,"&gt;"&amp;$A209,実績!$AE$6:$AE$505,"○")&gt;0,1,0))</f>
        <v/>
      </c>
      <c r="BG209">
        <f>IF(BG$4=0,0,IF(COUNTIFS(実績!$W$6:$W$505,BG$3,実績!$AC$6:$AC$505,"&lt;="&amp;$A209,実績!$AD$6:$AD$505,"&gt;"&amp;$A209,実績!$AE$6:$AE$505,"○")&gt;0,1,0))</f>
        <v/>
      </c>
      <c r="BH209">
        <f>IF(BH$4=0,0,IF(COUNTIFS(実績!$W$6:$W$505,BH$3,実績!$AC$6:$AC$505,"&lt;="&amp;$A209,実績!$AD$6:$AD$505,"&gt;"&amp;$A209,実績!$AE$6:$AE$505,"○")&gt;0,1,0))</f>
        <v/>
      </c>
      <c r="BI209">
        <f>IF(BI$4=0,0,IF(COUNTIFS(実績!$W$6:$W$505,BI$3,実績!$AC$6:$AC$505,"&lt;="&amp;$A209,実績!$AD$6:$AD$505,"&gt;"&amp;$A209,実績!$AE$6:$AE$505,"○")&gt;0,1,0))</f>
        <v/>
      </c>
      <c r="BJ209">
        <f>IF(BJ$4=0,0,IF(COUNTIFS(実績!$W$6:$W$505,BJ$3,実績!$AC$6:$AC$505,"&lt;="&amp;$A209,実績!$AD$6:$AD$505,"&gt;"&amp;$A209,実績!$AE$6:$AE$505,"○")&gt;0,1,0))</f>
        <v/>
      </c>
      <c r="BK209">
        <f>IF(BK$4=0,0,IF(COUNTIFS(実績!$W$6:$W$505,BK$3,実績!$AC$6:$AC$505,"&lt;="&amp;$A209,実績!$AD$6:$AD$505,"&gt;"&amp;$A209,実績!$AE$6:$AE$505,"○")&gt;0,1,0))</f>
        <v/>
      </c>
      <c r="BL209">
        <f>IF(BL$4=0,0,IF(COUNTIFS(実績!$W$6:$W$505,BL$3,実績!$AC$6:$AC$505,"&lt;="&amp;$A209,実績!$AD$6:$AD$505,"&gt;"&amp;$A209,実績!$AE$6:$AE$505,"○")&gt;0,1,0))</f>
        <v/>
      </c>
      <c r="BM209">
        <f>IF(BM$4=0,0,IF(COUNTIFS(実績!$W$6:$W$505,BM$3,実績!$AC$6:$AC$505,"&lt;="&amp;$A209,実績!$AD$6:$AD$505,"&gt;"&amp;$A209,実績!$AE$6:$AE$505,"○")&gt;0,1,0))</f>
        <v/>
      </c>
      <c r="BN209">
        <f>IF(BN$4=0,0,IF(COUNTIFS(実績!$W$6:$W$505,BN$3,実績!$AC$6:$AC$505,"&lt;="&amp;$A209,実績!$AD$6:$AD$505,"&gt;"&amp;$A209,実績!$AE$6:$AE$505,"○")&gt;0,1,0))</f>
        <v/>
      </c>
      <c r="BO209">
        <f>IF(BO$4=0,0,IF(COUNTIFS(実績!$W$6:$W$505,BO$3,実績!$AC$6:$AC$505,"&lt;="&amp;$A209,実績!$AD$6:$AD$505,"&gt;"&amp;$A209,実績!$AE$6:$AE$505,"○")&gt;0,1,0))</f>
        <v/>
      </c>
      <c r="BP209">
        <f>IF(BP$4=0,0,IF(COUNTIFS(実績!$W$6:$W$505,BP$3,実績!$AC$6:$AC$505,"&lt;="&amp;$A209,実績!$AD$6:$AD$505,"&gt;"&amp;$A209,実績!$AE$6:$AE$505,"○")&gt;0,1,0))</f>
        <v/>
      </c>
      <c r="BQ209">
        <f>IF(BQ$4=0,0,IF(COUNTIFS(実績!$W$6:$W$505,BQ$3,実績!$AC$6:$AC$505,"&lt;="&amp;$A209,実績!$AD$6:$AD$505,"&gt;"&amp;$A209,実績!$AE$6:$AE$505,"○")&gt;0,1,0))</f>
        <v/>
      </c>
      <c r="BR209">
        <f>IF(BR$4=0,0,IF(COUNTIFS(実績!$W$6:$W$505,BR$3,実績!$AC$6:$AC$505,"&lt;="&amp;$A209,実績!$AD$6:$AD$505,"&gt;"&amp;$A209,実績!$AE$6:$AE$505,"○")&gt;0,1,0))</f>
        <v/>
      </c>
      <c r="BS209">
        <f>IF(BS$4=0,0,IF(COUNTIFS(実績!$W$6:$W$505,BS$3,実績!$AC$6:$AC$505,"&lt;="&amp;$A209,実績!$AD$6:$AD$505,"&gt;"&amp;$A209,実績!$AE$6:$AE$505,"○")&gt;0,1,0))</f>
        <v/>
      </c>
      <c r="BT209">
        <f>IF(BT$4=0,0,IF(COUNTIFS(実績!$W$6:$W$505,BT$3,実績!$AC$6:$AC$505,"&lt;="&amp;$A209,実績!$AD$6:$AD$505,"&gt;"&amp;$A209,実績!$AE$6:$AE$505,"○")&gt;0,1,0))</f>
        <v/>
      </c>
      <c r="BU209">
        <f>IF(BU$4=0,0,IF(COUNTIFS(実績!$W$6:$W$505,BU$3,実績!$AC$6:$AC$505,"&lt;="&amp;$A209,実績!$AD$6:$AD$505,"&gt;"&amp;$A209,実績!$AE$6:$AE$505,"○")&gt;0,1,0))</f>
        <v/>
      </c>
      <c r="BV209">
        <f>IF(BV$4=0,0,IF(COUNTIFS(実績!$W$6:$W$505,BV$3,実績!$AC$6:$AC$505,"&lt;="&amp;$A209,実績!$AD$6:$AD$505,"&gt;"&amp;$A209,実績!$AE$6:$AE$505,"○")&gt;0,1,0))</f>
        <v/>
      </c>
      <c r="BW209">
        <f>IF(BW$4=0,0,IF(COUNTIFS(実績!$W$6:$W$505,BW$3,実績!$AC$6:$AC$505,"&lt;="&amp;$A209,実績!$AD$6:$AD$505,"&gt;"&amp;$A209,実績!$AE$6:$AE$505,"○")&gt;0,1,0))</f>
        <v/>
      </c>
      <c r="BX209">
        <f>IF(BX$4=0,0,IF(COUNTIFS(実績!$W$6:$W$505,BX$3,実績!$AC$6:$AC$505,"&lt;="&amp;$A209,実績!$AD$6:$AD$505,"&gt;"&amp;$A209,実績!$AE$6:$AE$505,"○")&gt;0,1,0))</f>
        <v/>
      </c>
      <c r="BY209">
        <f>IF(BY$4=0,0,IF(COUNTIFS(実績!$W$6:$W$505,BY$3,実績!$AC$6:$AC$505,"&lt;="&amp;$A209,実績!$AD$6:$AD$505,"&gt;"&amp;$A209,実績!$AE$6:$AE$505,"○")&gt;0,1,0))</f>
        <v/>
      </c>
      <c r="BZ209">
        <f>IF(BZ$4=0,0,IF(COUNTIFS(実績!$W$6:$W$505,BZ$3,実績!$AC$6:$AC$505,"&lt;="&amp;$A209,実績!$AD$6:$AD$505,"&gt;"&amp;$A209,実績!$AE$6:$AE$505,"○")&gt;0,1,0))</f>
        <v/>
      </c>
      <c r="CA209">
        <f>IF(CA$4=0,0,IF(COUNTIFS(実績!$W$6:$W$505,CA$3,実績!$AC$6:$AC$505,"&lt;="&amp;$A209,実績!$AD$6:$AD$505,"&gt;"&amp;$A209,実績!$AE$6:$AE$505,"○")&gt;0,1,0))</f>
        <v/>
      </c>
      <c r="CB209">
        <f>IF(CB$4=0,0,IF(COUNTIFS(実績!$W$6:$W$505,CB$3,実績!$AC$6:$AC$505,"&lt;="&amp;$A209,実績!$AD$6:$AD$505,"&gt;"&amp;$A209,実績!$AE$6:$AE$505,"○")&gt;0,1,0))</f>
        <v/>
      </c>
      <c r="CC209">
        <f>IF(CC$4=0,0,IF(COUNTIFS(実績!$W$6:$W$505,CC$3,実績!$AC$6:$AC$505,"&lt;="&amp;$A209,実績!$AD$6:$AD$505,"&gt;"&amp;$A209,実績!$AE$6:$AE$505,"○")&gt;0,1,0))</f>
        <v/>
      </c>
      <c r="CD209">
        <f>IF(CD$4=0,0,IF(COUNTIFS(実績!$W$6:$W$505,CD$3,実績!$AC$6:$AC$505,"&lt;="&amp;$A209,実績!$AD$6:$AD$505,"&gt;"&amp;$A209,実績!$AE$6:$AE$505,"○")&gt;0,1,0))</f>
        <v/>
      </c>
      <c r="CE209">
        <f>IF(CE$4=0,0,IF(COUNTIFS(実績!$W$6:$W$505,CE$3,実績!$AC$6:$AC$505,"&lt;="&amp;$A209,実績!$AD$6:$AD$505,"&gt;"&amp;$A209,実績!$AE$6:$AE$505,"○")&gt;0,1,0))</f>
        <v/>
      </c>
      <c r="CF209">
        <f>IF(CF$4=0,0,IF(COUNTIFS(実績!$W$6:$W$505,CF$3,実績!$AC$6:$AC$505,"&lt;="&amp;$A209,実績!$AD$6:$AD$505,"&gt;"&amp;$A209,実績!$AE$6:$AE$505,"○")&gt;0,1,0))</f>
        <v/>
      </c>
      <c r="CG209">
        <f>IF(CG$4=0,0,IF(COUNTIFS(実績!$W$6:$W$505,CG$3,実績!$AC$6:$AC$505,"&lt;="&amp;$A209,実績!$AD$6:$AD$505,"&gt;"&amp;$A209,実績!$AE$6:$AE$505,"○")&gt;0,1,0))</f>
        <v/>
      </c>
      <c r="CH209">
        <f>IF(CH$4=0,0,IF(COUNTIFS(実績!$W$6:$W$505,CH$3,実績!$AC$6:$AC$505,"&lt;="&amp;$A209,実績!$AD$6:$AD$505,"&gt;"&amp;$A209,実績!$AE$6:$AE$505,"○")&gt;0,1,0))</f>
        <v/>
      </c>
      <c r="CI209">
        <f>IF(CI$4=0,0,IF(COUNTIFS(実績!$W$6:$W$505,CI$3,実績!$AC$6:$AC$505,"&lt;="&amp;$A209,実績!$AD$6:$AD$505,"&gt;"&amp;$A209,実績!$AE$6:$AE$505,"○")&gt;0,1,0))</f>
        <v/>
      </c>
      <c r="CJ209">
        <f>IF(CJ$4=0,0,IF(COUNTIFS(実績!$W$6:$W$505,CJ$3,実績!$AC$6:$AC$505,"&lt;="&amp;$A209,実績!$AD$6:$AD$505,"&gt;"&amp;$A209,実績!$AE$6:$AE$505,"○")&gt;0,1,0))</f>
        <v/>
      </c>
      <c r="CK209">
        <f>IF(CK$4=0,0,IF(COUNTIFS(実績!$W$6:$W$505,CK$3,実績!$AC$6:$AC$505,"&lt;="&amp;$A209,実績!$AD$6:$AD$505,"&gt;"&amp;$A209,実績!$AE$6:$AE$505,"○")&gt;0,1,0))</f>
        <v/>
      </c>
      <c r="CL209">
        <f>IF(CL$4=0,0,IF(COUNTIFS(実績!$W$6:$W$505,CL$3,実績!$AC$6:$AC$505,"&lt;="&amp;$A209,実績!$AD$6:$AD$505,"&gt;"&amp;$A209,実績!$AE$6:$AE$505,"○")&gt;0,1,0))</f>
        <v/>
      </c>
      <c r="CM209">
        <f>IF(CM$4=0,0,IF(COUNTIFS(実績!$W$6:$W$505,CM$3,実績!$AC$6:$AC$505,"&lt;="&amp;$A209,実績!$AD$6:$AD$505,"&gt;"&amp;$A209,実績!$AE$6:$AE$505,"○")&gt;0,1,0))</f>
        <v/>
      </c>
      <c r="CN209">
        <f>IF(CN$4=0,0,IF(COUNTIFS(実績!$W$6:$W$505,CN$3,実績!$AC$6:$AC$505,"&lt;="&amp;$A209,実績!$AD$6:$AD$505,"&gt;"&amp;$A209,実績!$AE$6:$AE$505,"○")&gt;0,1,0))</f>
        <v/>
      </c>
      <c r="CO209">
        <f>IF(CO$4=0,0,IF(COUNTIFS(実績!$W$6:$W$505,CO$3,実績!$AC$6:$AC$505,"&lt;="&amp;$A209,実績!$AD$6:$AD$505,"&gt;"&amp;$A209,実績!$AE$6:$AE$505,"○")&gt;0,1,0))</f>
        <v/>
      </c>
      <c r="CP209">
        <f>IF(CP$4=0,0,IF(COUNTIFS(実績!$W$6:$W$505,CP$3,実績!$AC$6:$AC$505,"&lt;="&amp;$A209,実績!$AD$6:$AD$505,"&gt;"&amp;$A209,実績!$AE$6:$AE$505,"○")&gt;0,1,0))</f>
        <v/>
      </c>
      <c r="CQ209">
        <f>IF(CQ$4=0,0,IF(COUNTIFS(実績!$W$6:$W$505,CQ$3,実績!$AC$6:$AC$505,"&lt;="&amp;$A209,実績!$AD$6:$AD$505,"&gt;"&amp;$A209,実績!$AE$6:$AE$505,"○")&gt;0,1,0))</f>
        <v/>
      </c>
      <c r="CR209">
        <f>IF(CR$4=0,0,IF(COUNTIFS(実績!$W$6:$W$505,CR$3,実績!$AC$6:$AC$505,"&lt;="&amp;$A209,実績!$AD$6:$AD$505,"&gt;"&amp;$A209,実績!$AE$6:$AE$505,"○")&gt;0,1,0))</f>
        <v/>
      </c>
      <c r="CS209">
        <f>IF(CS$4=0,0,IF(COUNTIFS(実績!$W$6:$W$505,CS$3,実績!$AC$6:$AC$505,"&lt;="&amp;$A209,実績!$AD$6:$AD$505,"&gt;"&amp;$A209,実績!$AE$6:$AE$505,"○")&gt;0,1,0))</f>
        <v/>
      </c>
      <c r="CT209">
        <f>IF(CT$4=0,0,IF(COUNTIFS(実績!$W$6:$W$505,CT$3,実績!$AC$6:$AC$505,"&lt;="&amp;$A209,実績!$AD$6:$AD$505,"&gt;"&amp;$A209,実績!$AE$6:$AE$505,"○")&gt;0,1,0))</f>
        <v/>
      </c>
      <c r="CU209">
        <f>IF(CU$4=0,0,IF(COUNTIFS(実績!$W$6:$W$505,CU$3,実績!$AC$6:$AC$505,"&lt;="&amp;$A209,実績!$AD$6:$AD$505,"&gt;"&amp;$A209,実績!$AE$6:$AE$505,"○")&gt;0,1,0))</f>
        <v/>
      </c>
      <c r="CV209">
        <f>IF(CV$4=0,0,IF(COUNTIFS(実績!$W$6:$W$505,CV$3,実績!$AC$6:$AC$505,"&lt;="&amp;$A209,実績!$AD$6:$AD$505,"&gt;"&amp;$A209,実績!$AE$6:$AE$505,"○")&gt;0,1,0))</f>
        <v/>
      </c>
      <c r="CW209">
        <f>IF(CW$4=0,0,IF(COUNTIFS(実績!$W$6:$W$505,CW$3,実績!$AC$6:$AC$505,"&lt;="&amp;$A209,実績!$AD$6:$AD$505,"&gt;"&amp;$A209,実績!$AE$6:$AE$505,"○")&gt;0,1,0))</f>
        <v/>
      </c>
      <c r="CX209">
        <f>IF(CX$4=0,0,IF(COUNTIFS(実績!$W$6:$W$505,CX$3,実績!$AC$6:$AC$505,"&lt;="&amp;$A209,実績!$AD$6:$AD$505,"&gt;"&amp;$A209,実績!$AE$6:$AE$505,"○")&gt;0,1,0))</f>
        <v/>
      </c>
      <c r="CY209">
        <f>IF(CY$4=0,0,IF(COUNTIFS(実績!$W$6:$W$505,CY$3,実績!$AC$6:$AC$505,"&lt;="&amp;$A209,実績!$AD$6:$AD$505,"&gt;"&amp;$A209,実績!$AE$6:$AE$505,"○")&gt;0,1,0))</f>
        <v/>
      </c>
      <c r="CZ209">
        <f>IF(CZ$4=0,0,IF(COUNTIFS(実績!$W$6:$W$505,CZ$3,実績!$AC$6:$AC$505,"&lt;="&amp;$A209,実績!$AD$6:$AD$505,"&gt;"&amp;$A209,実績!$AE$6:$AE$505,"○")&gt;0,1,0))</f>
        <v/>
      </c>
      <c r="DA209">
        <f>IF(DA$4=0,0,IF(COUNTIFS(実績!$W$6:$W$505,DA$3,実績!$AC$6:$AC$505,"&lt;="&amp;$A209,実績!$AD$6:$AD$505,"&gt;"&amp;$A209,実績!$AE$6:$AE$505,"○")&gt;0,1,0))</f>
        <v/>
      </c>
      <c r="DB209">
        <f>IF(DB$4=0,0,IF(COUNTIFS(実績!$W$6:$W$505,DB$3,実績!$AC$6:$AC$505,"&lt;="&amp;$A209,実績!$AD$6:$AD$505,"&gt;"&amp;$A209,実績!$AE$6:$AE$505,"○")&gt;0,1,0))</f>
        <v/>
      </c>
      <c r="DC209">
        <f>IF(DC$4=0,0,IF(COUNTIFS(実績!$W$6:$W$505,DC$3,実績!$AC$6:$AC$505,"&lt;="&amp;$A209,実績!$AD$6:$AD$505,"&gt;"&amp;$A209,実績!$AE$6:$AE$505,"○")&gt;0,1,0))</f>
        <v/>
      </c>
      <c r="DD209">
        <f>IF(DD$4=0,0,IF(COUNTIFS(実績!$W$6:$W$505,DD$3,実績!$AC$6:$AC$505,"&lt;="&amp;$A209,実績!$AD$6:$AD$505,"&gt;"&amp;$A209,実績!$AE$6:$AE$505,"○")&gt;0,1,0))</f>
        <v/>
      </c>
      <c r="DE209">
        <f>IF(DE$4=0,0,IF(COUNTIFS(実績!$W$6:$W$505,DE$3,実績!$AC$6:$AC$505,"&lt;="&amp;$A209,実績!$AD$6:$AD$505,"&gt;"&amp;$A209,実績!$AE$6:$AE$505,"○")&gt;0,1,0))</f>
        <v/>
      </c>
      <c r="DF209">
        <f>IF(DF$4=0,0,IF(COUNTIFS(実績!$W$6:$W$505,DF$3,実績!$AC$6:$AC$505,"&lt;="&amp;$A209,実績!$AD$6:$AD$505,"&gt;"&amp;$A209,実績!$AE$6:$AE$505,"○")&gt;0,1,0))</f>
        <v/>
      </c>
      <c r="DG209">
        <f>IF(DG$4=0,0,IF(COUNTIFS(実績!$W$6:$W$505,DG$3,実績!$AC$6:$AC$505,"&lt;="&amp;$A209,実績!$AD$6:$AD$505,"&gt;"&amp;$A209,実績!$AE$6:$AE$505,"○")&gt;0,1,0))</f>
        <v/>
      </c>
      <c r="DH209">
        <f>IF(DH$4=0,0,IF(COUNTIFS(実績!$W$6:$W$505,DH$3,実績!$AC$6:$AC$505,"&lt;="&amp;$A209,実績!$AD$6:$AD$505,"&gt;"&amp;$A209,実績!$AE$6:$AE$505,"○")&gt;0,1,0))</f>
        <v/>
      </c>
      <c r="DI209">
        <f>IF(DI$4=0,0,IF(COUNTIFS(実績!$W$6:$W$505,DI$3,実績!$AC$6:$AC$505,"&lt;="&amp;$A209,実績!$AD$6:$AD$505,"&gt;"&amp;$A209,実績!$AE$6:$AE$505,"○")&gt;0,1,0))</f>
        <v/>
      </c>
      <c r="DJ209">
        <f>IF(DJ$4=0,0,IF(COUNTIFS(実績!$W$6:$W$505,DJ$3,実績!$AC$6:$AC$505,"&lt;="&amp;$A209,実績!$AD$6:$AD$505,"&gt;"&amp;$A209,実績!$AE$6:$AE$505,"○")&gt;0,1,0))</f>
        <v/>
      </c>
      <c r="DK209">
        <f>IF(DK$4=0,0,IF(COUNTIFS(実績!$W$6:$W$505,DK$3,実績!$AC$6:$AC$505,"&lt;="&amp;$A209,実績!$AD$6:$AD$505,"&gt;"&amp;$A209,実績!$AE$6:$AE$505,"○")&gt;0,1,0))</f>
        <v/>
      </c>
      <c r="DL209">
        <f>IF(DL$4=0,0,IF(COUNTIFS(実績!$W$6:$W$505,DL$3,実績!$AC$6:$AC$505,"&lt;="&amp;$A209,実績!$AD$6:$AD$505,"&gt;"&amp;$A209,実績!$AE$6:$AE$505,"○")&gt;0,1,0))</f>
        <v/>
      </c>
      <c r="DM209">
        <f>IF(DM$4=0,0,IF(COUNTIFS(実績!$W$6:$W$505,DM$3,実績!$AC$6:$AC$505,"&lt;="&amp;$A209,実績!$AD$6:$AD$505,"&gt;"&amp;$A209,実績!$AE$6:$AE$505,"○")&gt;0,1,0))</f>
        <v/>
      </c>
      <c r="DN209">
        <f>IF(DN$4=0,0,IF(COUNTIFS(実績!$W$6:$W$505,DN$3,実績!$AC$6:$AC$505,"&lt;="&amp;$A209,実績!$AD$6:$AD$505,"&gt;"&amp;$A209,実績!$AE$6:$AE$505,"○")&gt;0,1,0))</f>
        <v/>
      </c>
      <c r="DO209">
        <f>IF(DO$4=0,0,IF(COUNTIFS(実績!$W$6:$W$505,DO$3,実績!$AC$6:$AC$505,"&lt;="&amp;$A209,実績!$AD$6:$AD$505,"&gt;"&amp;$A209,実績!$AE$6:$AE$505,"○")&gt;0,1,0))</f>
        <v/>
      </c>
      <c r="DP209">
        <f>IF(DP$4=0,0,IF(COUNTIFS(実績!$W$6:$W$505,DP$3,実績!$AC$6:$AC$505,"&lt;="&amp;$A209,実績!$AD$6:$AD$505,"&gt;"&amp;$A209,実績!$AE$6:$AE$505,"○")&gt;0,1,0))</f>
        <v/>
      </c>
      <c r="DQ209">
        <f>IF(DQ$4=0,0,IF(COUNTIFS(実績!$W$6:$W$505,DQ$3,実績!$AC$6:$AC$505,"&lt;="&amp;$A209,実績!$AD$6:$AD$505,"&gt;"&amp;$A209,実績!$AE$6:$AE$505,"○")&gt;0,1,0))</f>
        <v/>
      </c>
      <c r="DR209">
        <f>IF(DR$4=0,0,IF(COUNTIFS(実績!$W$6:$W$505,DR$3,実績!$AC$6:$AC$505,"&lt;="&amp;$A209,実績!$AD$6:$AD$505,"&gt;"&amp;$A209,実績!$AE$6:$AE$505,"○")&gt;0,1,0))</f>
        <v/>
      </c>
      <c r="DS209">
        <f>SUM(C209:DR209)</f>
        <v/>
      </c>
      <c r="DT209">
        <f>SUMPRODUCT((実績!$C$6:$C$505="○")*ISNUMBER(実績!$AF$6:$AF$505)*(実績!$AF$6:$AF$505&lt;=$A209)*(実績!$AG$6:$AG$505&gt;$A209))</f>
        <v/>
      </c>
      <c r="DU209">
        <f>SUMIF($C$2:$DR$2,"製鉄曳船",C209:DR209)</f>
        <v/>
      </c>
      <c r="DV209">
        <f>SUMIF($C$2:$DR$2,"西日本海運",C209:DR209)</f>
        <v/>
      </c>
    </row>
    <row r="210">
      <c r="A210" t="n">
        <v>1020</v>
      </c>
      <c r="B210" s="29">
        <f>A210/1440</f>
        <v/>
      </c>
      <c r="C210">
        <f>IF(C$4=0,0,IF(COUNTIFS(実績!$W$6:$W$505,C$3,実績!$AC$6:$AC$505,"&lt;="&amp;$A210,実績!$AD$6:$AD$505,"&gt;"&amp;$A210,実績!$AE$6:$AE$505,"○")&gt;0,1,0))</f>
        <v/>
      </c>
      <c r="D210">
        <f>IF(D$4=0,0,IF(COUNTIFS(実績!$W$6:$W$505,D$3,実績!$AC$6:$AC$505,"&lt;="&amp;$A210,実績!$AD$6:$AD$505,"&gt;"&amp;$A210,実績!$AE$6:$AE$505,"○")&gt;0,1,0))</f>
        <v/>
      </c>
      <c r="E210">
        <f>IF(E$4=0,0,IF(COUNTIFS(実績!$W$6:$W$505,E$3,実績!$AC$6:$AC$505,"&lt;="&amp;$A210,実績!$AD$6:$AD$505,"&gt;"&amp;$A210,実績!$AE$6:$AE$505,"○")&gt;0,1,0))</f>
        <v/>
      </c>
      <c r="F210">
        <f>IF(F$4=0,0,IF(COUNTIFS(実績!$W$6:$W$505,F$3,実績!$AC$6:$AC$505,"&lt;="&amp;$A210,実績!$AD$6:$AD$505,"&gt;"&amp;$A210,実績!$AE$6:$AE$505,"○")&gt;0,1,0))</f>
        <v/>
      </c>
      <c r="G210">
        <f>IF(G$4=0,0,IF(COUNTIFS(実績!$W$6:$W$505,G$3,実績!$AC$6:$AC$505,"&lt;="&amp;$A210,実績!$AD$6:$AD$505,"&gt;"&amp;$A210,実績!$AE$6:$AE$505,"○")&gt;0,1,0))</f>
        <v/>
      </c>
      <c r="H210">
        <f>IF(H$4=0,0,IF(COUNTIFS(実績!$W$6:$W$505,H$3,実績!$AC$6:$AC$505,"&lt;="&amp;$A210,実績!$AD$6:$AD$505,"&gt;"&amp;$A210,実績!$AE$6:$AE$505,"○")&gt;0,1,0))</f>
        <v/>
      </c>
      <c r="I210">
        <f>IF(I$4=0,0,IF(COUNTIFS(実績!$W$6:$W$505,I$3,実績!$AC$6:$AC$505,"&lt;="&amp;$A210,実績!$AD$6:$AD$505,"&gt;"&amp;$A210,実績!$AE$6:$AE$505,"○")&gt;0,1,0))</f>
        <v/>
      </c>
      <c r="J210">
        <f>IF(J$4=0,0,IF(COUNTIFS(実績!$W$6:$W$505,J$3,実績!$AC$6:$AC$505,"&lt;="&amp;$A210,実績!$AD$6:$AD$505,"&gt;"&amp;$A210,実績!$AE$6:$AE$505,"○")&gt;0,1,0))</f>
        <v/>
      </c>
      <c r="K210">
        <f>IF(K$4=0,0,IF(COUNTIFS(実績!$W$6:$W$505,K$3,実績!$AC$6:$AC$505,"&lt;="&amp;$A210,実績!$AD$6:$AD$505,"&gt;"&amp;$A210,実績!$AE$6:$AE$505,"○")&gt;0,1,0))</f>
        <v/>
      </c>
      <c r="L210">
        <f>IF(L$4=0,0,IF(COUNTIFS(実績!$W$6:$W$505,L$3,実績!$AC$6:$AC$505,"&lt;="&amp;$A210,実績!$AD$6:$AD$505,"&gt;"&amp;$A210,実績!$AE$6:$AE$505,"○")&gt;0,1,0))</f>
        <v/>
      </c>
      <c r="M210">
        <f>IF(M$4=0,0,IF(COUNTIFS(実績!$W$6:$W$505,M$3,実績!$AC$6:$AC$505,"&lt;="&amp;$A210,実績!$AD$6:$AD$505,"&gt;"&amp;$A210,実績!$AE$6:$AE$505,"○")&gt;0,1,0))</f>
        <v/>
      </c>
      <c r="N210">
        <f>IF(N$4=0,0,IF(COUNTIFS(実績!$W$6:$W$505,N$3,実績!$AC$6:$AC$505,"&lt;="&amp;$A210,実績!$AD$6:$AD$505,"&gt;"&amp;$A210,実績!$AE$6:$AE$505,"○")&gt;0,1,0))</f>
        <v/>
      </c>
      <c r="O210">
        <f>IF(O$4=0,0,IF(COUNTIFS(実績!$W$6:$W$505,O$3,実績!$AC$6:$AC$505,"&lt;="&amp;$A210,実績!$AD$6:$AD$505,"&gt;"&amp;$A210,実績!$AE$6:$AE$505,"○")&gt;0,1,0))</f>
        <v/>
      </c>
      <c r="P210">
        <f>IF(P$4=0,0,IF(COUNTIFS(実績!$W$6:$W$505,P$3,実績!$AC$6:$AC$505,"&lt;="&amp;$A210,実績!$AD$6:$AD$505,"&gt;"&amp;$A210,実績!$AE$6:$AE$505,"○")&gt;0,1,0))</f>
        <v/>
      </c>
      <c r="Q210">
        <f>IF(Q$4=0,0,IF(COUNTIFS(実績!$W$6:$W$505,Q$3,実績!$AC$6:$AC$505,"&lt;="&amp;$A210,実績!$AD$6:$AD$505,"&gt;"&amp;$A210,実績!$AE$6:$AE$505,"○")&gt;0,1,0))</f>
        <v/>
      </c>
      <c r="R210">
        <f>IF(R$4=0,0,IF(COUNTIFS(実績!$W$6:$W$505,R$3,実績!$AC$6:$AC$505,"&lt;="&amp;$A210,実績!$AD$6:$AD$505,"&gt;"&amp;$A210,実績!$AE$6:$AE$505,"○")&gt;0,1,0))</f>
        <v/>
      </c>
      <c r="S210">
        <f>IF(S$4=0,0,IF(COUNTIFS(実績!$W$6:$W$505,S$3,実績!$AC$6:$AC$505,"&lt;="&amp;$A210,実績!$AD$6:$AD$505,"&gt;"&amp;$A210,実績!$AE$6:$AE$505,"○")&gt;0,1,0))</f>
        <v/>
      </c>
      <c r="T210">
        <f>IF(T$4=0,0,IF(COUNTIFS(実績!$W$6:$W$505,T$3,実績!$AC$6:$AC$505,"&lt;="&amp;$A210,実績!$AD$6:$AD$505,"&gt;"&amp;$A210,実績!$AE$6:$AE$505,"○")&gt;0,1,0))</f>
        <v/>
      </c>
      <c r="U210">
        <f>IF(U$4=0,0,IF(COUNTIFS(実績!$W$6:$W$505,U$3,実績!$AC$6:$AC$505,"&lt;="&amp;$A210,実績!$AD$6:$AD$505,"&gt;"&amp;$A210,実績!$AE$6:$AE$505,"○")&gt;0,1,0))</f>
        <v/>
      </c>
      <c r="V210">
        <f>IF(V$4=0,0,IF(COUNTIFS(実績!$W$6:$W$505,V$3,実績!$AC$6:$AC$505,"&lt;="&amp;$A210,実績!$AD$6:$AD$505,"&gt;"&amp;$A210,実績!$AE$6:$AE$505,"○")&gt;0,1,0))</f>
        <v/>
      </c>
      <c r="W210">
        <f>IF(W$4=0,0,IF(COUNTIFS(実績!$W$6:$W$505,W$3,実績!$AC$6:$AC$505,"&lt;="&amp;$A210,実績!$AD$6:$AD$505,"&gt;"&amp;$A210,実績!$AE$6:$AE$505,"○")&gt;0,1,0))</f>
        <v/>
      </c>
      <c r="X210">
        <f>IF(X$4=0,0,IF(COUNTIFS(実績!$W$6:$W$505,X$3,実績!$AC$6:$AC$505,"&lt;="&amp;$A210,実績!$AD$6:$AD$505,"&gt;"&amp;$A210,実績!$AE$6:$AE$505,"○")&gt;0,1,0))</f>
        <v/>
      </c>
      <c r="Y210">
        <f>IF(Y$4=0,0,IF(COUNTIFS(実績!$W$6:$W$505,Y$3,実績!$AC$6:$AC$505,"&lt;="&amp;$A210,実績!$AD$6:$AD$505,"&gt;"&amp;$A210,実績!$AE$6:$AE$505,"○")&gt;0,1,0))</f>
        <v/>
      </c>
      <c r="Z210">
        <f>IF(Z$4=0,0,IF(COUNTIFS(実績!$W$6:$W$505,Z$3,実績!$AC$6:$AC$505,"&lt;="&amp;$A210,実績!$AD$6:$AD$505,"&gt;"&amp;$A210,実績!$AE$6:$AE$505,"○")&gt;0,1,0))</f>
        <v/>
      </c>
      <c r="AA210">
        <f>IF(AA$4=0,0,IF(COUNTIFS(実績!$W$6:$W$505,AA$3,実績!$AC$6:$AC$505,"&lt;="&amp;$A210,実績!$AD$6:$AD$505,"&gt;"&amp;$A210,実績!$AE$6:$AE$505,"○")&gt;0,1,0))</f>
        <v/>
      </c>
      <c r="AB210">
        <f>IF(AB$4=0,0,IF(COUNTIFS(実績!$W$6:$W$505,AB$3,実績!$AC$6:$AC$505,"&lt;="&amp;$A210,実績!$AD$6:$AD$505,"&gt;"&amp;$A210,実績!$AE$6:$AE$505,"○")&gt;0,1,0))</f>
        <v/>
      </c>
      <c r="AC210">
        <f>IF(AC$4=0,0,IF(COUNTIFS(実績!$W$6:$W$505,AC$3,実績!$AC$6:$AC$505,"&lt;="&amp;$A210,実績!$AD$6:$AD$505,"&gt;"&amp;$A210,実績!$AE$6:$AE$505,"○")&gt;0,1,0))</f>
        <v/>
      </c>
      <c r="AD210">
        <f>IF(AD$4=0,0,IF(COUNTIFS(実績!$W$6:$W$505,AD$3,実績!$AC$6:$AC$505,"&lt;="&amp;$A210,実績!$AD$6:$AD$505,"&gt;"&amp;$A210,実績!$AE$6:$AE$505,"○")&gt;0,1,0))</f>
        <v/>
      </c>
      <c r="AE210">
        <f>IF(AE$4=0,0,IF(COUNTIFS(実績!$W$6:$W$505,AE$3,実績!$AC$6:$AC$505,"&lt;="&amp;$A210,実績!$AD$6:$AD$505,"&gt;"&amp;$A210,実績!$AE$6:$AE$505,"○")&gt;0,1,0))</f>
        <v/>
      </c>
      <c r="AF210">
        <f>IF(AF$4=0,0,IF(COUNTIFS(実績!$W$6:$W$505,AF$3,実績!$AC$6:$AC$505,"&lt;="&amp;$A210,実績!$AD$6:$AD$505,"&gt;"&amp;$A210,実績!$AE$6:$AE$505,"○")&gt;0,1,0))</f>
        <v/>
      </c>
      <c r="AG210">
        <f>IF(AG$4=0,0,IF(COUNTIFS(実績!$W$6:$W$505,AG$3,実績!$AC$6:$AC$505,"&lt;="&amp;$A210,実績!$AD$6:$AD$505,"&gt;"&amp;$A210,実績!$AE$6:$AE$505,"○")&gt;0,1,0))</f>
        <v/>
      </c>
      <c r="AH210">
        <f>IF(AH$4=0,0,IF(COUNTIFS(実績!$W$6:$W$505,AH$3,実績!$AC$6:$AC$505,"&lt;="&amp;$A210,実績!$AD$6:$AD$505,"&gt;"&amp;$A210,実績!$AE$6:$AE$505,"○")&gt;0,1,0))</f>
        <v/>
      </c>
      <c r="AI210">
        <f>IF(AI$4=0,0,IF(COUNTIFS(実績!$W$6:$W$505,AI$3,実績!$AC$6:$AC$505,"&lt;="&amp;$A210,実績!$AD$6:$AD$505,"&gt;"&amp;$A210,実績!$AE$6:$AE$505,"○")&gt;0,1,0))</f>
        <v/>
      </c>
      <c r="AJ210">
        <f>IF(AJ$4=0,0,IF(COUNTIFS(実績!$W$6:$W$505,AJ$3,実績!$AC$6:$AC$505,"&lt;="&amp;$A210,実績!$AD$6:$AD$505,"&gt;"&amp;$A210,実績!$AE$6:$AE$505,"○")&gt;0,1,0))</f>
        <v/>
      </c>
      <c r="AK210">
        <f>IF(AK$4=0,0,IF(COUNTIFS(実績!$W$6:$W$505,AK$3,実績!$AC$6:$AC$505,"&lt;="&amp;$A210,実績!$AD$6:$AD$505,"&gt;"&amp;$A210,実績!$AE$6:$AE$505,"○")&gt;0,1,0))</f>
        <v/>
      </c>
      <c r="AL210">
        <f>IF(AL$4=0,0,IF(COUNTIFS(実績!$W$6:$W$505,AL$3,実績!$AC$6:$AC$505,"&lt;="&amp;$A210,実績!$AD$6:$AD$505,"&gt;"&amp;$A210,実績!$AE$6:$AE$505,"○")&gt;0,1,0))</f>
        <v/>
      </c>
      <c r="AM210">
        <f>IF(AM$4=0,0,IF(COUNTIFS(実績!$W$6:$W$505,AM$3,実績!$AC$6:$AC$505,"&lt;="&amp;$A210,実績!$AD$6:$AD$505,"&gt;"&amp;$A210,実績!$AE$6:$AE$505,"○")&gt;0,1,0))</f>
        <v/>
      </c>
      <c r="AN210">
        <f>IF(AN$4=0,0,IF(COUNTIFS(実績!$W$6:$W$505,AN$3,実績!$AC$6:$AC$505,"&lt;="&amp;$A210,実績!$AD$6:$AD$505,"&gt;"&amp;$A210,実績!$AE$6:$AE$505,"○")&gt;0,1,0))</f>
        <v/>
      </c>
      <c r="AO210">
        <f>IF(AO$4=0,0,IF(COUNTIFS(実績!$W$6:$W$505,AO$3,実績!$AC$6:$AC$505,"&lt;="&amp;$A210,実績!$AD$6:$AD$505,"&gt;"&amp;$A210,実績!$AE$6:$AE$505,"○")&gt;0,1,0))</f>
        <v/>
      </c>
      <c r="AP210">
        <f>IF(AP$4=0,0,IF(COUNTIFS(実績!$W$6:$W$505,AP$3,実績!$AC$6:$AC$505,"&lt;="&amp;$A210,実績!$AD$6:$AD$505,"&gt;"&amp;$A210,実績!$AE$6:$AE$505,"○")&gt;0,1,0))</f>
        <v/>
      </c>
      <c r="AQ210">
        <f>IF(AQ$4=0,0,IF(COUNTIFS(実績!$W$6:$W$505,AQ$3,実績!$AC$6:$AC$505,"&lt;="&amp;$A210,実績!$AD$6:$AD$505,"&gt;"&amp;$A210,実績!$AE$6:$AE$505,"○")&gt;0,1,0))</f>
        <v/>
      </c>
      <c r="AR210">
        <f>IF(AR$4=0,0,IF(COUNTIFS(実績!$W$6:$W$505,AR$3,実績!$AC$6:$AC$505,"&lt;="&amp;$A210,実績!$AD$6:$AD$505,"&gt;"&amp;$A210,実績!$AE$6:$AE$505,"○")&gt;0,1,0))</f>
        <v/>
      </c>
      <c r="AS210">
        <f>IF(AS$4=0,0,IF(COUNTIFS(実績!$W$6:$W$505,AS$3,実績!$AC$6:$AC$505,"&lt;="&amp;$A210,実績!$AD$6:$AD$505,"&gt;"&amp;$A210,実績!$AE$6:$AE$505,"○")&gt;0,1,0))</f>
        <v/>
      </c>
      <c r="AT210">
        <f>IF(AT$4=0,0,IF(COUNTIFS(実績!$W$6:$W$505,AT$3,実績!$AC$6:$AC$505,"&lt;="&amp;$A210,実績!$AD$6:$AD$505,"&gt;"&amp;$A210,実績!$AE$6:$AE$505,"○")&gt;0,1,0))</f>
        <v/>
      </c>
      <c r="AU210">
        <f>IF(AU$4=0,0,IF(COUNTIFS(実績!$W$6:$W$505,AU$3,実績!$AC$6:$AC$505,"&lt;="&amp;$A210,実績!$AD$6:$AD$505,"&gt;"&amp;$A210,実績!$AE$6:$AE$505,"○")&gt;0,1,0))</f>
        <v/>
      </c>
      <c r="AV210">
        <f>IF(AV$4=0,0,IF(COUNTIFS(実績!$W$6:$W$505,AV$3,実績!$AC$6:$AC$505,"&lt;="&amp;$A210,実績!$AD$6:$AD$505,"&gt;"&amp;$A210,実績!$AE$6:$AE$505,"○")&gt;0,1,0))</f>
        <v/>
      </c>
      <c r="AW210">
        <f>IF(AW$4=0,0,IF(COUNTIFS(実績!$W$6:$W$505,AW$3,実績!$AC$6:$AC$505,"&lt;="&amp;$A210,実績!$AD$6:$AD$505,"&gt;"&amp;$A210,実績!$AE$6:$AE$505,"○")&gt;0,1,0))</f>
        <v/>
      </c>
      <c r="AX210">
        <f>IF(AX$4=0,0,IF(COUNTIFS(実績!$W$6:$W$505,AX$3,実績!$AC$6:$AC$505,"&lt;="&amp;$A210,実績!$AD$6:$AD$505,"&gt;"&amp;$A210,実績!$AE$6:$AE$505,"○")&gt;0,1,0))</f>
        <v/>
      </c>
      <c r="AY210">
        <f>IF(AY$4=0,0,IF(COUNTIFS(実績!$W$6:$W$505,AY$3,実績!$AC$6:$AC$505,"&lt;="&amp;$A210,実績!$AD$6:$AD$505,"&gt;"&amp;$A210,実績!$AE$6:$AE$505,"○")&gt;0,1,0))</f>
        <v/>
      </c>
      <c r="AZ210">
        <f>IF(AZ$4=0,0,IF(COUNTIFS(実績!$W$6:$W$505,AZ$3,実績!$AC$6:$AC$505,"&lt;="&amp;$A210,実績!$AD$6:$AD$505,"&gt;"&amp;$A210,実績!$AE$6:$AE$505,"○")&gt;0,1,0))</f>
        <v/>
      </c>
      <c r="BA210">
        <f>IF(BA$4=0,0,IF(COUNTIFS(実績!$W$6:$W$505,BA$3,実績!$AC$6:$AC$505,"&lt;="&amp;$A210,実績!$AD$6:$AD$505,"&gt;"&amp;$A210,実績!$AE$6:$AE$505,"○")&gt;0,1,0))</f>
        <v/>
      </c>
      <c r="BB210">
        <f>IF(BB$4=0,0,IF(COUNTIFS(実績!$W$6:$W$505,BB$3,実績!$AC$6:$AC$505,"&lt;="&amp;$A210,実績!$AD$6:$AD$505,"&gt;"&amp;$A210,実績!$AE$6:$AE$505,"○")&gt;0,1,0))</f>
        <v/>
      </c>
      <c r="BC210">
        <f>IF(BC$4=0,0,IF(COUNTIFS(実績!$W$6:$W$505,BC$3,実績!$AC$6:$AC$505,"&lt;="&amp;$A210,実績!$AD$6:$AD$505,"&gt;"&amp;$A210,実績!$AE$6:$AE$505,"○")&gt;0,1,0))</f>
        <v/>
      </c>
      <c r="BD210">
        <f>IF(BD$4=0,0,IF(COUNTIFS(実績!$W$6:$W$505,BD$3,実績!$AC$6:$AC$505,"&lt;="&amp;$A210,実績!$AD$6:$AD$505,"&gt;"&amp;$A210,実績!$AE$6:$AE$505,"○")&gt;0,1,0))</f>
        <v/>
      </c>
      <c r="BE210">
        <f>IF(BE$4=0,0,IF(COUNTIFS(実績!$W$6:$W$505,BE$3,実績!$AC$6:$AC$505,"&lt;="&amp;$A210,実績!$AD$6:$AD$505,"&gt;"&amp;$A210,実績!$AE$6:$AE$505,"○")&gt;0,1,0))</f>
        <v/>
      </c>
      <c r="BF210">
        <f>IF(BF$4=0,0,IF(COUNTIFS(実績!$W$6:$W$505,BF$3,実績!$AC$6:$AC$505,"&lt;="&amp;$A210,実績!$AD$6:$AD$505,"&gt;"&amp;$A210,実績!$AE$6:$AE$505,"○")&gt;0,1,0))</f>
        <v/>
      </c>
      <c r="BG210">
        <f>IF(BG$4=0,0,IF(COUNTIFS(実績!$W$6:$W$505,BG$3,実績!$AC$6:$AC$505,"&lt;="&amp;$A210,実績!$AD$6:$AD$505,"&gt;"&amp;$A210,実績!$AE$6:$AE$505,"○")&gt;0,1,0))</f>
        <v/>
      </c>
      <c r="BH210">
        <f>IF(BH$4=0,0,IF(COUNTIFS(実績!$W$6:$W$505,BH$3,実績!$AC$6:$AC$505,"&lt;="&amp;$A210,実績!$AD$6:$AD$505,"&gt;"&amp;$A210,実績!$AE$6:$AE$505,"○")&gt;0,1,0))</f>
        <v/>
      </c>
      <c r="BI210">
        <f>IF(BI$4=0,0,IF(COUNTIFS(実績!$W$6:$W$505,BI$3,実績!$AC$6:$AC$505,"&lt;="&amp;$A210,実績!$AD$6:$AD$505,"&gt;"&amp;$A210,実績!$AE$6:$AE$505,"○")&gt;0,1,0))</f>
        <v/>
      </c>
      <c r="BJ210">
        <f>IF(BJ$4=0,0,IF(COUNTIFS(実績!$W$6:$W$505,BJ$3,実績!$AC$6:$AC$505,"&lt;="&amp;$A210,実績!$AD$6:$AD$505,"&gt;"&amp;$A210,実績!$AE$6:$AE$505,"○")&gt;0,1,0))</f>
        <v/>
      </c>
      <c r="BK210">
        <f>IF(BK$4=0,0,IF(COUNTIFS(実績!$W$6:$W$505,BK$3,実績!$AC$6:$AC$505,"&lt;="&amp;$A210,実績!$AD$6:$AD$505,"&gt;"&amp;$A210,実績!$AE$6:$AE$505,"○")&gt;0,1,0))</f>
        <v/>
      </c>
      <c r="BL210">
        <f>IF(BL$4=0,0,IF(COUNTIFS(実績!$W$6:$W$505,BL$3,実績!$AC$6:$AC$505,"&lt;="&amp;$A210,実績!$AD$6:$AD$505,"&gt;"&amp;$A210,実績!$AE$6:$AE$505,"○")&gt;0,1,0))</f>
        <v/>
      </c>
      <c r="BM210">
        <f>IF(BM$4=0,0,IF(COUNTIFS(実績!$W$6:$W$505,BM$3,実績!$AC$6:$AC$505,"&lt;="&amp;$A210,実績!$AD$6:$AD$505,"&gt;"&amp;$A210,実績!$AE$6:$AE$505,"○")&gt;0,1,0))</f>
        <v/>
      </c>
      <c r="BN210">
        <f>IF(BN$4=0,0,IF(COUNTIFS(実績!$W$6:$W$505,BN$3,実績!$AC$6:$AC$505,"&lt;="&amp;$A210,実績!$AD$6:$AD$505,"&gt;"&amp;$A210,実績!$AE$6:$AE$505,"○")&gt;0,1,0))</f>
        <v/>
      </c>
      <c r="BO210">
        <f>IF(BO$4=0,0,IF(COUNTIFS(実績!$W$6:$W$505,BO$3,実績!$AC$6:$AC$505,"&lt;="&amp;$A210,実績!$AD$6:$AD$505,"&gt;"&amp;$A210,実績!$AE$6:$AE$505,"○")&gt;0,1,0))</f>
        <v/>
      </c>
      <c r="BP210">
        <f>IF(BP$4=0,0,IF(COUNTIFS(実績!$W$6:$W$505,BP$3,実績!$AC$6:$AC$505,"&lt;="&amp;$A210,実績!$AD$6:$AD$505,"&gt;"&amp;$A210,実績!$AE$6:$AE$505,"○")&gt;0,1,0))</f>
        <v/>
      </c>
      <c r="BQ210">
        <f>IF(BQ$4=0,0,IF(COUNTIFS(実績!$W$6:$W$505,BQ$3,実績!$AC$6:$AC$505,"&lt;="&amp;$A210,実績!$AD$6:$AD$505,"&gt;"&amp;$A210,実績!$AE$6:$AE$505,"○")&gt;0,1,0))</f>
        <v/>
      </c>
      <c r="BR210">
        <f>IF(BR$4=0,0,IF(COUNTIFS(実績!$W$6:$W$505,BR$3,実績!$AC$6:$AC$505,"&lt;="&amp;$A210,実績!$AD$6:$AD$505,"&gt;"&amp;$A210,実績!$AE$6:$AE$505,"○")&gt;0,1,0))</f>
        <v/>
      </c>
      <c r="BS210">
        <f>IF(BS$4=0,0,IF(COUNTIFS(実績!$W$6:$W$505,BS$3,実績!$AC$6:$AC$505,"&lt;="&amp;$A210,実績!$AD$6:$AD$505,"&gt;"&amp;$A210,実績!$AE$6:$AE$505,"○")&gt;0,1,0))</f>
        <v/>
      </c>
      <c r="BT210">
        <f>IF(BT$4=0,0,IF(COUNTIFS(実績!$W$6:$W$505,BT$3,実績!$AC$6:$AC$505,"&lt;="&amp;$A210,実績!$AD$6:$AD$505,"&gt;"&amp;$A210,実績!$AE$6:$AE$505,"○")&gt;0,1,0))</f>
        <v/>
      </c>
      <c r="BU210">
        <f>IF(BU$4=0,0,IF(COUNTIFS(実績!$W$6:$W$505,BU$3,実績!$AC$6:$AC$505,"&lt;="&amp;$A210,実績!$AD$6:$AD$505,"&gt;"&amp;$A210,実績!$AE$6:$AE$505,"○")&gt;0,1,0))</f>
        <v/>
      </c>
      <c r="BV210">
        <f>IF(BV$4=0,0,IF(COUNTIFS(実績!$W$6:$W$505,BV$3,実績!$AC$6:$AC$505,"&lt;="&amp;$A210,実績!$AD$6:$AD$505,"&gt;"&amp;$A210,実績!$AE$6:$AE$505,"○")&gt;0,1,0))</f>
        <v/>
      </c>
      <c r="BW210">
        <f>IF(BW$4=0,0,IF(COUNTIFS(実績!$W$6:$W$505,BW$3,実績!$AC$6:$AC$505,"&lt;="&amp;$A210,実績!$AD$6:$AD$505,"&gt;"&amp;$A210,実績!$AE$6:$AE$505,"○")&gt;0,1,0))</f>
        <v/>
      </c>
      <c r="BX210">
        <f>IF(BX$4=0,0,IF(COUNTIFS(実績!$W$6:$W$505,BX$3,実績!$AC$6:$AC$505,"&lt;="&amp;$A210,実績!$AD$6:$AD$505,"&gt;"&amp;$A210,実績!$AE$6:$AE$505,"○")&gt;0,1,0))</f>
        <v/>
      </c>
      <c r="BY210">
        <f>IF(BY$4=0,0,IF(COUNTIFS(実績!$W$6:$W$505,BY$3,実績!$AC$6:$AC$505,"&lt;="&amp;$A210,実績!$AD$6:$AD$505,"&gt;"&amp;$A210,実績!$AE$6:$AE$505,"○")&gt;0,1,0))</f>
        <v/>
      </c>
      <c r="BZ210">
        <f>IF(BZ$4=0,0,IF(COUNTIFS(実績!$W$6:$W$505,BZ$3,実績!$AC$6:$AC$505,"&lt;="&amp;$A210,実績!$AD$6:$AD$505,"&gt;"&amp;$A210,実績!$AE$6:$AE$505,"○")&gt;0,1,0))</f>
        <v/>
      </c>
      <c r="CA210">
        <f>IF(CA$4=0,0,IF(COUNTIFS(実績!$W$6:$W$505,CA$3,実績!$AC$6:$AC$505,"&lt;="&amp;$A210,実績!$AD$6:$AD$505,"&gt;"&amp;$A210,実績!$AE$6:$AE$505,"○")&gt;0,1,0))</f>
        <v/>
      </c>
      <c r="CB210">
        <f>IF(CB$4=0,0,IF(COUNTIFS(実績!$W$6:$W$505,CB$3,実績!$AC$6:$AC$505,"&lt;="&amp;$A210,実績!$AD$6:$AD$505,"&gt;"&amp;$A210,実績!$AE$6:$AE$505,"○")&gt;0,1,0))</f>
        <v/>
      </c>
      <c r="CC210">
        <f>IF(CC$4=0,0,IF(COUNTIFS(実績!$W$6:$W$505,CC$3,実績!$AC$6:$AC$505,"&lt;="&amp;$A210,実績!$AD$6:$AD$505,"&gt;"&amp;$A210,実績!$AE$6:$AE$505,"○")&gt;0,1,0))</f>
        <v/>
      </c>
      <c r="CD210">
        <f>IF(CD$4=0,0,IF(COUNTIFS(実績!$W$6:$W$505,CD$3,実績!$AC$6:$AC$505,"&lt;="&amp;$A210,実績!$AD$6:$AD$505,"&gt;"&amp;$A210,実績!$AE$6:$AE$505,"○")&gt;0,1,0))</f>
        <v/>
      </c>
      <c r="CE210">
        <f>IF(CE$4=0,0,IF(COUNTIFS(実績!$W$6:$W$505,CE$3,実績!$AC$6:$AC$505,"&lt;="&amp;$A210,実績!$AD$6:$AD$505,"&gt;"&amp;$A210,実績!$AE$6:$AE$505,"○")&gt;0,1,0))</f>
        <v/>
      </c>
      <c r="CF210">
        <f>IF(CF$4=0,0,IF(COUNTIFS(実績!$W$6:$W$505,CF$3,実績!$AC$6:$AC$505,"&lt;="&amp;$A210,実績!$AD$6:$AD$505,"&gt;"&amp;$A210,実績!$AE$6:$AE$505,"○")&gt;0,1,0))</f>
        <v/>
      </c>
      <c r="CG210">
        <f>IF(CG$4=0,0,IF(COUNTIFS(実績!$W$6:$W$505,CG$3,実績!$AC$6:$AC$505,"&lt;="&amp;$A210,実績!$AD$6:$AD$505,"&gt;"&amp;$A210,実績!$AE$6:$AE$505,"○")&gt;0,1,0))</f>
        <v/>
      </c>
      <c r="CH210">
        <f>IF(CH$4=0,0,IF(COUNTIFS(実績!$W$6:$W$505,CH$3,実績!$AC$6:$AC$505,"&lt;="&amp;$A210,実績!$AD$6:$AD$505,"&gt;"&amp;$A210,実績!$AE$6:$AE$505,"○")&gt;0,1,0))</f>
        <v/>
      </c>
      <c r="CI210">
        <f>IF(CI$4=0,0,IF(COUNTIFS(実績!$W$6:$W$505,CI$3,実績!$AC$6:$AC$505,"&lt;="&amp;$A210,実績!$AD$6:$AD$505,"&gt;"&amp;$A210,実績!$AE$6:$AE$505,"○")&gt;0,1,0))</f>
        <v/>
      </c>
      <c r="CJ210">
        <f>IF(CJ$4=0,0,IF(COUNTIFS(実績!$W$6:$W$505,CJ$3,実績!$AC$6:$AC$505,"&lt;="&amp;$A210,実績!$AD$6:$AD$505,"&gt;"&amp;$A210,実績!$AE$6:$AE$505,"○")&gt;0,1,0))</f>
        <v/>
      </c>
      <c r="CK210">
        <f>IF(CK$4=0,0,IF(COUNTIFS(実績!$W$6:$W$505,CK$3,実績!$AC$6:$AC$505,"&lt;="&amp;$A210,実績!$AD$6:$AD$505,"&gt;"&amp;$A210,実績!$AE$6:$AE$505,"○")&gt;0,1,0))</f>
        <v/>
      </c>
      <c r="CL210">
        <f>IF(CL$4=0,0,IF(COUNTIFS(実績!$W$6:$W$505,CL$3,実績!$AC$6:$AC$505,"&lt;="&amp;$A210,実績!$AD$6:$AD$505,"&gt;"&amp;$A210,実績!$AE$6:$AE$505,"○")&gt;0,1,0))</f>
        <v/>
      </c>
      <c r="CM210">
        <f>IF(CM$4=0,0,IF(COUNTIFS(実績!$W$6:$W$505,CM$3,実績!$AC$6:$AC$505,"&lt;="&amp;$A210,実績!$AD$6:$AD$505,"&gt;"&amp;$A210,実績!$AE$6:$AE$505,"○")&gt;0,1,0))</f>
        <v/>
      </c>
      <c r="CN210">
        <f>IF(CN$4=0,0,IF(COUNTIFS(実績!$W$6:$W$505,CN$3,実績!$AC$6:$AC$505,"&lt;="&amp;$A210,実績!$AD$6:$AD$505,"&gt;"&amp;$A210,実績!$AE$6:$AE$505,"○")&gt;0,1,0))</f>
        <v/>
      </c>
      <c r="CO210">
        <f>IF(CO$4=0,0,IF(COUNTIFS(実績!$W$6:$W$505,CO$3,実績!$AC$6:$AC$505,"&lt;="&amp;$A210,実績!$AD$6:$AD$505,"&gt;"&amp;$A210,実績!$AE$6:$AE$505,"○")&gt;0,1,0))</f>
        <v/>
      </c>
      <c r="CP210">
        <f>IF(CP$4=0,0,IF(COUNTIFS(実績!$W$6:$W$505,CP$3,実績!$AC$6:$AC$505,"&lt;="&amp;$A210,実績!$AD$6:$AD$505,"&gt;"&amp;$A210,実績!$AE$6:$AE$505,"○")&gt;0,1,0))</f>
        <v/>
      </c>
      <c r="CQ210">
        <f>IF(CQ$4=0,0,IF(COUNTIFS(実績!$W$6:$W$505,CQ$3,実績!$AC$6:$AC$505,"&lt;="&amp;$A210,実績!$AD$6:$AD$505,"&gt;"&amp;$A210,実績!$AE$6:$AE$505,"○")&gt;0,1,0))</f>
        <v/>
      </c>
      <c r="CR210">
        <f>IF(CR$4=0,0,IF(COUNTIFS(実績!$W$6:$W$505,CR$3,実績!$AC$6:$AC$505,"&lt;="&amp;$A210,実績!$AD$6:$AD$505,"&gt;"&amp;$A210,実績!$AE$6:$AE$505,"○")&gt;0,1,0))</f>
        <v/>
      </c>
      <c r="CS210">
        <f>IF(CS$4=0,0,IF(COUNTIFS(実績!$W$6:$W$505,CS$3,実績!$AC$6:$AC$505,"&lt;="&amp;$A210,実績!$AD$6:$AD$505,"&gt;"&amp;$A210,実績!$AE$6:$AE$505,"○")&gt;0,1,0))</f>
        <v/>
      </c>
      <c r="CT210">
        <f>IF(CT$4=0,0,IF(COUNTIFS(実績!$W$6:$W$505,CT$3,実績!$AC$6:$AC$505,"&lt;="&amp;$A210,実績!$AD$6:$AD$505,"&gt;"&amp;$A210,実績!$AE$6:$AE$505,"○")&gt;0,1,0))</f>
        <v/>
      </c>
      <c r="CU210">
        <f>IF(CU$4=0,0,IF(COUNTIFS(実績!$W$6:$W$505,CU$3,実績!$AC$6:$AC$505,"&lt;="&amp;$A210,実績!$AD$6:$AD$505,"&gt;"&amp;$A210,実績!$AE$6:$AE$505,"○")&gt;0,1,0))</f>
        <v/>
      </c>
      <c r="CV210">
        <f>IF(CV$4=0,0,IF(COUNTIFS(実績!$W$6:$W$505,CV$3,実績!$AC$6:$AC$505,"&lt;="&amp;$A210,実績!$AD$6:$AD$505,"&gt;"&amp;$A210,実績!$AE$6:$AE$505,"○")&gt;0,1,0))</f>
        <v/>
      </c>
      <c r="CW210">
        <f>IF(CW$4=0,0,IF(COUNTIFS(実績!$W$6:$W$505,CW$3,実績!$AC$6:$AC$505,"&lt;="&amp;$A210,実績!$AD$6:$AD$505,"&gt;"&amp;$A210,実績!$AE$6:$AE$505,"○")&gt;0,1,0))</f>
        <v/>
      </c>
      <c r="CX210">
        <f>IF(CX$4=0,0,IF(COUNTIFS(実績!$W$6:$W$505,CX$3,実績!$AC$6:$AC$505,"&lt;="&amp;$A210,実績!$AD$6:$AD$505,"&gt;"&amp;$A210,実績!$AE$6:$AE$505,"○")&gt;0,1,0))</f>
        <v/>
      </c>
      <c r="CY210">
        <f>IF(CY$4=0,0,IF(COUNTIFS(実績!$W$6:$W$505,CY$3,実績!$AC$6:$AC$505,"&lt;="&amp;$A210,実績!$AD$6:$AD$505,"&gt;"&amp;$A210,実績!$AE$6:$AE$505,"○")&gt;0,1,0))</f>
        <v/>
      </c>
      <c r="CZ210">
        <f>IF(CZ$4=0,0,IF(COUNTIFS(実績!$W$6:$W$505,CZ$3,実績!$AC$6:$AC$505,"&lt;="&amp;$A210,実績!$AD$6:$AD$505,"&gt;"&amp;$A210,実績!$AE$6:$AE$505,"○")&gt;0,1,0))</f>
        <v/>
      </c>
      <c r="DA210">
        <f>IF(DA$4=0,0,IF(COUNTIFS(実績!$W$6:$W$505,DA$3,実績!$AC$6:$AC$505,"&lt;="&amp;$A210,実績!$AD$6:$AD$505,"&gt;"&amp;$A210,実績!$AE$6:$AE$505,"○")&gt;0,1,0))</f>
        <v/>
      </c>
      <c r="DB210">
        <f>IF(DB$4=0,0,IF(COUNTIFS(実績!$W$6:$W$505,DB$3,実績!$AC$6:$AC$505,"&lt;="&amp;$A210,実績!$AD$6:$AD$505,"&gt;"&amp;$A210,実績!$AE$6:$AE$505,"○")&gt;0,1,0))</f>
        <v/>
      </c>
      <c r="DC210">
        <f>IF(DC$4=0,0,IF(COUNTIFS(実績!$W$6:$W$505,DC$3,実績!$AC$6:$AC$505,"&lt;="&amp;$A210,実績!$AD$6:$AD$505,"&gt;"&amp;$A210,実績!$AE$6:$AE$505,"○")&gt;0,1,0))</f>
        <v/>
      </c>
      <c r="DD210">
        <f>IF(DD$4=0,0,IF(COUNTIFS(実績!$W$6:$W$505,DD$3,実績!$AC$6:$AC$505,"&lt;="&amp;$A210,実績!$AD$6:$AD$505,"&gt;"&amp;$A210,実績!$AE$6:$AE$505,"○")&gt;0,1,0))</f>
        <v/>
      </c>
      <c r="DE210">
        <f>IF(DE$4=0,0,IF(COUNTIFS(実績!$W$6:$W$505,DE$3,実績!$AC$6:$AC$505,"&lt;="&amp;$A210,実績!$AD$6:$AD$505,"&gt;"&amp;$A210,実績!$AE$6:$AE$505,"○")&gt;0,1,0))</f>
        <v/>
      </c>
      <c r="DF210">
        <f>IF(DF$4=0,0,IF(COUNTIFS(実績!$W$6:$W$505,DF$3,実績!$AC$6:$AC$505,"&lt;="&amp;$A210,実績!$AD$6:$AD$505,"&gt;"&amp;$A210,実績!$AE$6:$AE$505,"○")&gt;0,1,0))</f>
        <v/>
      </c>
      <c r="DG210">
        <f>IF(DG$4=0,0,IF(COUNTIFS(実績!$W$6:$W$505,DG$3,実績!$AC$6:$AC$505,"&lt;="&amp;$A210,実績!$AD$6:$AD$505,"&gt;"&amp;$A210,実績!$AE$6:$AE$505,"○")&gt;0,1,0))</f>
        <v/>
      </c>
      <c r="DH210">
        <f>IF(DH$4=0,0,IF(COUNTIFS(実績!$W$6:$W$505,DH$3,実績!$AC$6:$AC$505,"&lt;="&amp;$A210,実績!$AD$6:$AD$505,"&gt;"&amp;$A210,実績!$AE$6:$AE$505,"○")&gt;0,1,0))</f>
        <v/>
      </c>
      <c r="DI210">
        <f>IF(DI$4=0,0,IF(COUNTIFS(実績!$W$6:$W$505,DI$3,実績!$AC$6:$AC$505,"&lt;="&amp;$A210,実績!$AD$6:$AD$505,"&gt;"&amp;$A210,実績!$AE$6:$AE$505,"○")&gt;0,1,0))</f>
        <v/>
      </c>
      <c r="DJ210">
        <f>IF(DJ$4=0,0,IF(COUNTIFS(実績!$W$6:$W$505,DJ$3,実績!$AC$6:$AC$505,"&lt;="&amp;$A210,実績!$AD$6:$AD$505,"&gt;"&amp;$A210,実績!$AE$6:$AE$505,"○")&gt;0,1,0))</f>
        <v/>
      </c>
      <c r="DK210">
        <f>IF(DK$4=0,0,IF(COUNTIFS(実績!$W$6:$W$505,DK$3,実績!$AC$6:$AC$505,"&lt;="&amp;$A210,実績!$AD$6:$AD$505,"&gt;"&amp;$A210,実績!$AE$6:$AE$505,"○")&gt;0,1,0))</f>
        <v/>
      </c>
      <c r="DL210">
        <f>IF(DL$4=0,0,IF(COUNTIFS(実績!$W$6:$W$505,DL$3,実績!$AC$6:$AC$505,"&lt;="&amp;$A210,実績!$AD$6:$AD$505,"&gt;"&amp;$A210,実績!$AE$6:$AE$505,"○")&gt;0,1,0))</f>
        <v/>
      </c>
      <c r="DM210">
        <f>IF(DM$4=0,0,IF(COUNTIFS(実績!$W$6:$W$505,DM$3,実績!$AC$6:$AC$505,"&lt;="&amp;$A210,実績!$AD$6:$AD$505,"&gt;"&amp;$A210,実績!$AE$6:$AE$505,"○")&gt;0,1,0))</f>
        <v/>
      </c>
      <c r="DN210">
        <f>IF(DN$4=0,0,IF(COUNTIFS(実績!$W$6:$W$505,DN$3,実績!$AC$6:$AC$505,"&lt;="&amp;$A210,実績!$AD$6:$AD$505,"&gt;"&amp;$A210,実績!$AE$6:$AE$505,"○")&gt;0,1,0))</f>
        <v/>
      </c>
      <c r="DO210">
        <f>IF(DO$4=0,0,IF(COUNTIFS(実績!$W$6:$W$505,DO$3,実績!$AC$6:$AC$505,"&lt;="&amp;$A210,実績!$AD$6:$AD$505,"&gt;"&amp;$A210,実績!$AE$6:$AE$505,"○")&gt;0,1,0))</f>
        <v/>
      </c>
      <c r="DP210">
        <f>IF(DP$4=0,0,IF(COUNTIFS(実績!$W$6:$W$505,DP$3,実績!$AC$6:$AC$505,"&lt;="&amp;$A210,実績!$AD$6:$AD$505,"&gt;"&amp;$A210,実績!$AE$6:$AE$505,"○")&gt;0,1,0))</f>
        <v/>
      </c>
      <c r="DQ210">
        <f>IF(DQ$4=0,0,IF(COUNTIFS(実績!$W$6:$W$505,DQ$3,実績!$AC$6:$AC$505,"&lt;="&amp;$A210,実績!$AD$6:$AD$505,"&gt;"&amp;$A210,実績!$AE$6:$AE$505,"○")&gt;0,1,0))</f>
        <v/>
      </c>
      <c r="DR210">
        <f>IF(DR$4=0,0,IF(COUNTIFS(実績!$W$6:$W$505,DR$3,実績!$AC$6:$AC$505,"&lt;="&amp;$A210,実績!$AD$6:$AD$505,"&gt;"&amp;$A210,実績!$AE$6:$AE$505,"○")&gt;0,1,0))</f>
        <v/>
      </c>
      <c r="DS210">
        <f>SUM(C210:DR210)</f>
        <v/>
      </c>
      <c r="DT210">
        <f>SUMPRODUCT((実績!$C$6:$C$505="○")*ISNUMBER(実績!$AF$6:$AF$505)*(実績!$AF$6:$AF$505&lt;=$A210)*(実績!$AG$6:$AG$505&gt;$A210))</f>
        <v/>
      </c>
      <c r="DU210">
        <f>SUMIF($C$2:$DR$2,"製鉄曳船",C210:DR210)</f>
        <v/>
      </c>
      <c r="DV210">
        <f>SUMIF($C$2:$DR$2,"西日本海運",C210:DR210)</f>
        <v/>
      </c>
    </row>
    <row r="211">
      <c r="A211" t="n">
        <v>1025</v>
      </c>
      <c r="B211" s="29">
        <f>A211/1440</f>
        <v/>
      </c>
      <c r="C211">
        <f>IF(C$4=0,0,IF(COUNTIFS(実績!$W$6:$W$505,C$3,実績!$AC$6:$AC$505,"&lt;="&amp;$A211,実績!$AD$6:$AD$505,"&gt;"&amp;$A211,実績!$AE$6:$AE$505,"○")&gt;0,1,0))</f>
        <v/>
      </c>
      <c r="D211">
        <f>IF(D$4=0,0,IF(COUNTIFS(実績!$W$6:$W$505,D$3,実績!$AC$6:$AC$505,"&lt;="&amp;$A211,実績!$AD$6:$AD$505,"&gt;"&amp;$A211,実績!$AE$6:$AE$505,"○")&gt;0,1,0))</f>
        <v/>
      </c>
      <c r="E211">
        <f>IF(E$4=0,0,IF(COUNTIFS(実績!$W$6:$W$505,E$3,実績!$AC$6:$AC$505,"&lt;="&amp;$A211,実績!$AD$6:$AD$505,"&gt;"&amp;$A211,実績!$AE$6:$AE$505,"○")&gt;0,1,0))</f>
        <v/>
      </c>
      <c r="F211">
        <f>IF(F$4=0,0,IF(COUNTIFS(実績!$W$6:$W$505,F$3,実績!$AC$6:$AC$505,"&lt;="&amp;$A211,実績!$AD$6:$AD$505,"&gt;"&amp;$A211,実績!$AE$6:$AE$505,"○")&gt;0,1,0))</f>
        <v/>
      </c>
      <c r="G211">
        <f>IF(G$4=0,0,IF(COUNTIFS(実績!$W$6:$W$505,G$3,実績!$AC$6:$AC$505,"&lt;="&amp;$A211,実績!$AD$6:$AD$505,"&gt;"&amp;$A211,実績!$AE$6:$AE$505,"○")&gt;0,1,0))</f>
        <v/>
      </c>
      <c r="H211">
        <f>IF(H$4=0,0,IF(COUNTIFS(実績!$W$6:$W$505,H$3,実績!$AC$6:$AC$505,"&lt;="&amp;$A211,実績!$AD$6:$AD$505,"&gt;"&amp;$A211,実績!$AE$6:$AE$505,"○")&gt;0,1,0))</f>
        <v/>
      </c>
      <c r="I211">
        <f>IF(I$4=0,0,IF(COUNTIFS(実績!$W$6:$W$505,I$3,実績!$AC$6:$AC$505,"&lt;="&amp;$A211,実績!$AD$6:$AD$505,"&gt;"&amp;$A211,実績!$AE$6:$AE$505,"○")&gt;0,1,0))</f>
        <v/>
      </c>
      <c r="J211">
        <f>IF(J$4=0,0,IF(COUNTIFS(実績!$W$6:$W$505,J$3,実績!$AC$6:$AC$505,"&lt;="&amp;$A211,実績!$AD$6:$AD$505,"&gt;"&amp;$A211,実績!$AE$6:$AE$505,"○")&gt;0,1,0))</f>
        <v/>
      </c>
      <c r="K211">
        <f>IF(K$4=0,0,IF(COUNTIFS(実績!$W$6:$W$505,K$3,実績!$AC$6:$AC$505,"&lt;="&amp;$A211,実績!$AD$6:$AD$505,"&gt;"&amp;$A211,実績!$AE$6:$AE$505,"○")&gt;0,1,0))</f>
        <v/>
      </c>
      <c r="L211">
        <f>IF(L$4=0,0,IF(COUNTIFS(実績!$W$6:$W$505,L$3,実績!$AC$6:$AC$505,"&lt;="&amp;$A211,実績!$AD$6:$AD$505,"&gt;"&amp;$A211,実績!$AE$6:$AE$505,"○")&gt;0,1,0))</f>
        <v/>
      </c>
      <c r="M211">
        <f>IF(M$4=0,0,IF(COUNTIFS(実績!$W$6:$W$505,M$3,実績!$AC$6:$AC$505,"&lt;="&amp;$A211,実績!$AD$6:$AD$505,"&gt;"&amp;$A211,実績!$AE$6:$AE$505,"○")&gt;0,1,0))</f>
        <v/>
      </c>
      <c r="N211">
        <f>IF(N$4=0,0,IF(COUNTIFS(実績!$W$6:$W$505,N$3,実績!$AC$6:$AC$505,"&lt;="&amp;$A211,実績!$AD$6:$AD$505,"&gt;"&amp;$A211,実績!$AE$6:$AE$505,"○")&gt;0,1,0))</f>
        <v/>
      </c>
      <c r="O211">
        <f>IF(O$4=0,0,IF(COUNTIFS(実績!$W$6:$W$505,O$3,実績!$AC$6:$AC$505,"&lt;="&amp;$A211,実績!$AD$6:$AD$505,"&gt;"&amp;$A211,実績!$AE$6:$AE$505,"○")&gt;0,1,0))</f>
        <v/>
      </c>
      <c r="P211">
        <f>IF(P$4=0,0,IF(COUNTIFS(実績!$W$6:$W$505,P$3,実績!$AC$6:$AC$505,"&lt;="&amp;$A211,実績!$AD$6:$AD$505,"&gt;"&amp;$A211,実績!$AE$6:$AE$505,"○")&gt;0,1,0))</f>
        <v/>
      </c>
      <c r="Q211">
        <f>IF(Q$4=0,0,IF(COUNTIFS(実績!$W$6:$W$505,Q$3,実績!$AC$6:$AC$505,"&lt;="&amp;$A211,実績!$AD$6:$AD$505,"&gt;"&amp;$A211,実績!$AE$6:$AE$505,"○")&gt;0,1,0))</f>
        <v/>
      </c>
      <c r="R211">
        <f>IF(R$4=0,0,IF(COUNTIFS(実績!$W$6:$W$505,R$3,実績!$AC$6:$AC$505,"&lt;="&amp;$A211,実績!$AD$6:$AD$505,"&gt;"&amp;$A211,実績!$AE$6:$AE$505,"○")&gt;0,1,0))</f>
        <v/>
      </c>
      <c r="S211">
        <f>IF(S$4=0,0,IF(COUNTIFS(実績!$W$6:$W$505,S$3,実績!$AC$6:$AC$505,"&lt;="&amp;$A211,実績!$AD$6:$AD$505,"&gt;"&amp;$A211,実績!$AE$6:$AE$505,"○")&gt;0,1,0))</f>
        <v/>
      </c>
      <c r="T211">
        <f>IF(T$4=0,0,IF(COUNTIFS(実績!$W$6:$W$505,T$3,実績!$AC$6:$AC$505,"&lt;="&amp;$A211,実績!$AD$6:$AD$505,"&gt;"&amp;$A211,実績!$AE$6:$AE$505,"○")&gt;0,1,0))</f>
        <v/>
      </c>
      <c r="U211">
        <f>IF(U$4=0,0,IF(COUNTIFS(実績!$W$6:$W$505,U$3,実績!$AC$6:$AC$505,"&lt;="&amp;$A211,実績!$AD$6:$AD$505,"&gt;"&amp;$A211,実績!$AE$6:$AE$505,"○")&gt;0,1,0))</f>
        <v/>
      </c>
      <c r="V211">
        <f>IF(V$4=0,0,IF(COUNTIFS(実績!$W$6:$W$505,V$3,実績!$AC$6:$AC$505,"&lt;="&amp;$A211,実績!$AD$6:$AD$505,"&gt;"&amp;$A211,実績!$AE$6:$AE$505,"○")&gt;0,1,0))</f>
        <v/>
      </c>
      <c r="W211">
        <f>IF(W$4=0,0,IF(COUNTIFS(実績!$W$6:$W$505,W$3,実績!$AC$6:$AC$505,"&lt;="&amp;$A211,実績!$AD$6:$AD$505,"&gt;"&amp;$A211,実績!$AE$6:$AE$505,"○")&gt;0,1,0))</f>
        <v/>
      </c>
      <c r="X211">
        <f>IF(X$4=0,0,IF(COUNTIFS(実績!$W$6:$W$505,X$3,実績!$AC$6:$AC$505,"&lt;="&amp;$A211,実績!$AD$6:$AD$505,"&gt;"&amp;$A211,実績!$AE$6:$AE$505,"○")&gt;0,1,0))</f>
        <v/>
      </c>
      <c r="Y211">
        <f>IF(Y$4=0,0,IF(COUNTIFS(実績!$W$6:$W$505,Y$3,実績!$AC$6:$AC$505,"&lt;="&amp;$A211,実績!$AD$6:$AD$505,"&gt;"&amp;$A211,実績!$AE$6:$AE$505,"○")&gt;0,1,0))</f>
        <v/>
      </c>
      <c r="Z211">
        <f>IF(Z$4=0,0,IF(COUNTIFS(実績!$W$6:$W$505,Z$3,実績!$AC$6:$AC$505,"&lt;="&amp;$A211,実績!$AD$6:$AD$505,"&gt;"&amp;$A211,実績!$AE$6:$AE$505,"○")&gt;0,1,0))</f>
        <v/>
      </c>
      <c r="AA211">
        <f>IF(AA$4=0,0,IF(COUNTIFS(実績!$W$6:$W$505,AA$3,実績!$AC$6:$AC$505,"&lt;="&amp;$A211,実績!$AD$6:$AD$505,"&gt;"&amp;$A211,実績!$AE$6:$AE$505,"○")&gt;0,1,0))</f>
        <v/>
      </c>
      <c r="AB211">
        <f>IF(AB$4=0,0,IF(COUNTIFS(実績!$W$6:$W$505,AB$3,実績!$AC$6:$AC$505,"&lt;="&amp;$A211,実績!$AD$6:$AD$505,"&gt;"&amp;$A211,実績!$AE$6:$AE$505,"○")&gt;0,1,0))</f>
        <v/>
      </c>
      <c r="AC211">
        <f>IF(AC$4=0,0,IF(COUNTIFS(実績!$W$6:$W$505,AC$3,実績!$AC$6:$AC$505,"&lt;="&amp;$A211,実績!$AD$6:$AD$505,"&gt;"&amp;$A211,実績!$AE$6:$AE$505,"○")&gt;0,1,0))</f>
        <v/>
      </c>
      <c r="AD211">
        <f>IF(AD$4=0,0,IF(COUNTIFS(実績!$W$6:$W$505,AD$3,実績!$AC$6:$AC$505,"&lt;="&amp;$A211,実績!$AD$6:$AD$505,"&gt;"&amp;$A211,実績!$AE$6:$AE$505,"○")&gt;0,1,0))</f>
        <v/>
      </c>
      <c r="AE211">
        <f>IF(AE$4=0,0,IF(COUNTIFS(実績!$W$6:$W$505,AE$3,実績!$AC$6:$AC$505,"&lt;="&amp;$A211,実績!$AD$6:$AD$505,"&gt;"&amp;$A211,実績!$AE$6:$AE$505,"○")&gt;0,1,0))</f>
        <v/>
      </c>
      <c r="AF211">
        <f>IF(AF$4=0,0,IF(COUNTIFS(実績!$W$6:$W$505,AF$3,実績!$AC$6:$AC$505,"&lt;="&amp;$A211,実績!$AD$6:$AD$505,"&gt;"&amp;$A211,実績!$AE$6:$AE$505,"○")&gt;0,1,0))</f>
        <v/>
      </c>
      <c r="AG211">
        <f>IF(AG$4=0,0,IF(COUNTIFS(実績!$W$6:$W$505,AG$3,実績!$AC$6:$AC$505,"&lt;="&amp;$A211,実績!$AD$6:$AD$505,"&gt;"&amp;$A211,実績!$AE$6:$AE$505,"○")&gt;0,1,0))</f>
        <v/>
      </c>
      <c r="AH211">
        <f>IF(AH$4=0,0,IF(COUNTIFS(実績!$W$6:$W$505,AH$3,実績!$AC$6:$AC$505,"&lt;="&amp;$A211,実績!$AD$6:$AD$505,"&gt;"&amp;$A211,実績!$AE$6:$AE$505,"○")&gt;0,1,0))</f>
        <v/>
      </c>
      <c r="AI211">
        <f>IF(AI$4=0,0,IF(COUNTIFS(実績!$W$6:$W$505,AI$3,実績!$AC$6:$AC$505,"&lt;="&amp;$A211,実績!$AD$6:$AD$505,"&gt;"&amp;$A211,実績!$AE$6:$AE$505,"○")&gt;0,1,0))</f>
        <v/>
      </c>
      <c r="AJ211">
        <f>IF(AJ$4=0,0,IF(COUNTIFS(実績!$W$6:$W$505,AJ$3,実績!$AC$6:$AC$505,"&lt;="&amp;$A211,実績!$AD$6:$AD$505,"&gt;"&amp;$A211,実績!$AE$6:$AE$505,"○")&gt;0,1,0))</f>
        <v/>
      </c>
      <c r="AK211">
        <f>IF(AK$4=0,0,IF(COUNTIFS(実績!$W$6:$W$505,AK$3,実績!$AC$6:$AC$505,"&lt;="&amp;$A211,実績!$AD$6:$AD$505,"&gt;"&amp;$A211,実績!$AE$6:$AE$505,"○")&gt;0,1,0))</f>
        <v/>
      </c>
      <c r="AL211">
        <f>IF(AL$4=0,0,IF(COUNTIFS(実績!$W$6:$W$505,AL$3,実績!$AC$6:$AC$505,"&lt;="&amp;$A211,実績!$AD$6:$AD$505,"&gt;"&amp;$A211,実績!$AE$6:$AE$505,"○")&gt;0,1,0))</f>
        <v/>
      </c>
      <c r="AM211">
        <f>IF(AM$4=0,0,IF(COUNTIFS(実績!$W$6:$W$505,AM$3,実績!$AC$6:$AC$505,"&lt;="&amp;$A211,実績!$AD$6:$AD$505,"&gt;"&amp;$A211,実績!$AE$6:$AE$505,"○")&gt;0,1,0))</f>
        <v/>
      </c>
      <c r="AN211">
        <f>IF(AN$4=0,0,IF(COUNTIFS(実績!$W$6:$W$505,AN$3,実績!$AC$6:$AC$505,"&lt;="&amp;$A211,実績!$AD$6:$AD$505,"&gt;"&amp;$A211,実績!$AE$6:$AE$505,"○")&gt;0,1,0))</f>
        <v/>
      </c>
      <c r="AO211">
        <f>IF(AO$4=0,0,IF(COUNTIFS(実績!$W$6:$W$505,AO$3,実績!$AC$6:$AC$505,"&lt;="&amp;$A211,実績!$AD$6:$AD$505,"&gt;"&amp;$A211,実績!$AE$6:$AE$505,"○")&gt;0,1,0))</f>
        <v/>
      </c>
      <c r="AP211">
        <f>IF(AP$4=0,0,IF(COUNTIFS(実績!$W$6:$W$505,AP$3,実績!$AC$6:$AC$505,"&lt;="&amp;$A211,実績!$AD$6:$AD$505,"&gt;"&amp;$A211,実績!$AE$6:$AE$505,"○")&gt;0,1,0))</f>
        <v/>
      </c>
      <c r="AQ211">
        <f>IF(AQ$4=0,0,IF(COUNTIFS(実績!$W$6:$W$505,AQ$3,実績!$AC$6:$AC$505,"&lt;="&amp;$A211,実績!$AD$6:$AD$505,"&gt;"&amp;$A211,実績!$AE$6:$AE$505,"○")&gt;0,1,0))</f>
        <v/>
      </c>
      <c r="AR211">
        <f>IF(AR$4=0,0,IF(COUNTIFS(実績!$W$6:$W$505,AR$3,実績!$AC$6:$AC$505,"&lt;="&amp;$A211,実績!$AD$6:$AD$505,"&gt;"&amp;$A211,実績!$AE$6:$AE$505,"○")&gt;0,1,0))</f>
        <v/>
      </c>
      <c r="AS211">
        <f>IF(AS$4=0,0,IF(COUNTIFS(実績!$W$6:$W$505,AS$3,実績!$AC$6:$AC$505,"&lt;="&amp;$A211,実績!$AD$6:$AD$505,"&gt;"&amp;$A211,実績!$AE$6:$AE$505,"○")&gt;0,1,0))</f>
        <v/>
      </c>
      <c r="AT211">
        <f>IF(AT$4=0,0,IF(COUNTIFS(実績!$W$6:$W$505,AT$3,実績!$AC$6:$AC$505,"&lt;="&amp;$A211,実績!$AD$6:$AD$505,"&gt;"&amp;$A211,実績!$AE$6:$AE$505,"○")&gt;0,1,0))</f>
        <v/>
      </c>
      <c r="AU211">
        <f>IF(AU$4=0,0,IF(COUNTIFS(実績!$W$6:$W$505,AU$3,実績!$AC$6:$AC$505,"&lt;="&amp;$A211,実績!$AD$6:$AD$505,"&gt;"&amp;$A211,実績!$AE$6:$AE$505,"○")&gt;0,1,0))</f>
        <v/>
      </c>
      <c r="AV211">
        <f>IF(AV$4=0,0,IF(COUNTIFS(実績!$W$6:$W$505,AV$3,実績!$AC$6:$AC$505,"&lt;="&amp;$A211,実績!$AD$6:$AD$505,"&gt;"&amp;$A211,実績!$AE$6:$AE$505,"○")&gt;0,1,0))</f>
        <v/>
      </c>
      <c r="AW211">
        <f>IF(AW$4=0,0,IF(COUNTIFS(実績!$W$6:$W$505,AW$3,実績!$AC$6:$AC$505,"&lt;="&amp;$A211,実績!$AD$6:$AD$505,"&gt;"&amp;$A211,実績!$AE$6:$AE$505,"○")&gt;0,1,0))</f>
        <v/>
      </c>
      <c r="AX211">
        <f>IF(AX$4=0,0,IF(COUNTIFS(実績!$W$6:$W$505,AX$3,実績!$AC$6:$AC$505,"&lt;="&amp;$A211,実績!$AD$6:$AD$505,"&gt;"&amp;$A211,実績!$AE$6:$AE$505,"○")&gt;0,1,0))</f>
        <v/>
      </c>
      <c r="AY211">
        <f>IF(AY$4=0,0,IF(COUNTIFS(実績!$W$6:$W$505,AY$3,実績!$AC$6:$AC$505,"&lt;="&amp;$A211,実績!$AD$6:$AD$505,"&gt;"&amp;$A211,実績!$AE$6:$AE$505,"○")&gt;0,1,0))</f>
        <v/>
      </c>
      <c r="AZ211">
        <f>IF(AZ$4=0,0,IF(COUNTIFS(実績!$W$6:$W$505,AZ$3,実績!$AC$6:$AC$505,"&lt;="&amp;$A211,実績!$AD$6:$AD$505,"&gt;"&amp;$A211,実績!$AE$6:$AE$505,"○")&gt;0,1,0))</f>
        <v/>
      </c>
      <c r="BA211">
        <f>IF(BA$4=0,0,IF(COUNTIFS(実績!$W$6:$W$505,BA$3,実績!$AC$6:$AC$505,"&lt;="&amp;$A211,実績!$AD$6:$AD$505,"&gt;"&amp;$A211,実績!$AE$6:$AE$505,"○")&gt;0,1,0))</f>
        <v/>
      </c>
      <c r="BB211">
        <f>IF(BB$4=0,0,IF(COUNTIFS(実績!$W$6:$W$505,BB$3,実績!$AC$6:$AC$505,"&lt;="&amp;$A211,実績!$AD$6:$AD$505,"&gt;"&amp;$A211,実績!$AE$6:$AE$505,"○")&gt;0,1,0))</f>
        <v/>
      </c>
      <c r="BC211">
        <f>IF(BC$4=0,0,IF(COUNTIFS(実績!$W$6:$W$505,BC$3,実績!$AC$6:$AC$505,"&lt;="&amp;$A211,実績!$AD$6:$AD$505,"&gt;"&amp;$A211,実績!$AE$6:$AE$505,"○")&gt;0,1,0))</f>
        <v/>
      </c>
      <c r="BD211">
        <f>IF(BD$4=0,0,IF(COUNTIFS(実績!$W$6:$W$505,BD$3,実績!$AC$6:$AC$505,"&lt;="&amp;$A211,実績!$AD$6:$AD$505,"&gt;"&amp;$A211,実績!$AE$6:$AE$505,"○")&gt;0,1,0))</f>
        <v/>
      </c>
      <c r="BE211">
        <f>IF(BE$4=0,0,IF(COUNTIFS(実績!$W$6:$W$505,BE$3,実績!$AC$6:$AC$505,"&lt;="&amp;$A211,実績!$AD$6:$AD$505,"&gt;"&amp;$A211,実績!$AE$6:$AE$505,"○")&gt;0,1,0))</f>
        <v/>
      </c>
      <c r="BF211">
        <f>IF(BF$4=0,0,IF(COUNTIFS(実績!$W$6:$W$505,BF$3,実績!$AC$6:$AC$505,"&lt;="&amp;$A211,実績!$AD$6:$AD$505,"&gt;"&amp;$A211,実績!$AE$6:$AE$505,"○")&gt;0,1,0))</f>
        <v/>
      </c>
      <c r="BG211">
        <f>IF(BG$4=0,0,IF(COUNTIFS(実績!$W$6:$W$505,BG$3,実績!$AC$6:$AC$505,"&lt;="&amp;$A211,実績!$AD$6:$AD$505,"&gt;"&amp;$A211,実績!$AE$6:$AE$505,"○")&gt;0,1,0))</f>
        <v/>
      </c>
      <c r="BH211">
        <f>IF(BH$4=0,0,IF(COUNTIFS(実績!$W$6:$W$505,BH$3,実績!$AC$6:$AC$505,"&lt;="&amp;$A211,実績!$AD$6:$AD$505,"&gt;"&amp;$A211,実績!$AE$6:$AE$505,"○")&gt;0,1,0))</f>
        <v/>
      </c>
      <c r="BI211">
        <f>IF(BI$4=0,0,IF(COUNTIFS(実績!$W$6:$W$505,BI$3,実績!$AC$6:$AC$505,"&lt;="&amp;$A211,実績!$AD$6:$AD$505,"&gt;"&amp;$A211,実績!$AE$6:$AE$505,"○")&gt;0,1,0))</f>
        <v/>
      </c>
      <c r="BJ211">
        <f>IF(BJ$4=0,0,IF(COUNTIFS(実績!$W$6:$W$505,BJ$3,実績!$AC$6:$AC$505,"&lt;="&amp;$A211,実績!$AD$6:$AD$505,"&gt;"&amp;$A211,実績!$AE$6:$AE$505,"○")&gt;0,1,0))</f>
        <v/>
      </c>
      <c r="BK211">
        <f>IF(BK$4=0,0,IF(COUNTIFS(実績!$W$6:$W$505,BK$3,実績!$AC$6:$AC$505,"&lt;="&amp;$A211,実績!$AD$6:$AD$505,"&gt;"&amp;$A211,実績!$AE$6:$AE$505,"○")&gt;0,1,0))</f>
        <v/>
      </c>
      <c r="BL211">
        <f>IF(BL$4=0,0,IF(COUNTIFS(実績!$W$6:$W$505,BL$3,実績!$AC$6:$AC$505,"&lt;="&amp;$A211,実績!$AD$6:$AD$505,"&gt;"&amp;$A211,実績!$AE$6:$AE$505,"○")&gt;0,1,0))</f>
        <v/>
      </c>
      <c r="BM211">
        <f>IF(BM$4=0,0,IF(COUNTIFS(実績!$W$6:$W$505,BM$3,実績!$AC$6:$AC$505,"&lt;="&amp;$A211,実績!$AD$6:$AD$505,"&gt;"&amp;$A211,実績!$AE$6:$AE$505,"○")&gt;0,1,0))</f>
        <v/>
      </c>
      <c r="BN211">
        <f>IF(BN$4=0,0,IF(COUNTIFS(実績!$W$6:$W$505,BN$3,実績!$AC$6:$AC$505,"&lt;="&amp;$A211,実績!$AD$6:$AD$505,"&gt;"&amp;$A211,実績!$AE$6:$AE$505,"○")&gt;0,1,0))</f>
        <v/>
      </c>
      <c r="BO211">
        <f>IF(BO$4=0,0,IF(COUNTIFS(実績!$W$6:$W$505,BO$3,実績!$AC$6:$AC$505,"&lt;="&amp;$A211,実績!$AD$6:$AD$505,"&gt;"&amp;$A211,実績!$AE$6:$AE$505,"○")&gt;0,1,0))</f>
        <v/>
      </c>
      <c r="BP211">
        <f>IF(BP$4=0,0,IF(COUNTIFS(実績!$W$6:$W$505,BP$3,実績!$AC$6:$AC$505,"&lt;="&amp;$A211,実績!$AD$6:$AD$505,"&gt;"&amp;$A211,実績!$AE$6:$AE$505,"○")&gt;0,1,0))</f>
        <v/>
      </c>
      <c r="BQ211">
        <f>IF(BQ$4=0,0,IF(COUNTIFS(実績!$W$6:$W$505,BQ$3,実績!$AC$6:$AC$505,"&lt;="&amp;$A211,実績!$AD$6:$AD$505,"&gt;"&amp;$A211,実績!$AE$6:$AE$505,"○")&gt;0,1,0))</f>
        <v/>
      </c>
      <c r="BR211">
        <f>IF(BR$4=0,0,IF(COUNTIFS(実績!$W$6:$W$505,BR$3,実績!$AC$6:$AC$505,"&lt;="&amp;$A211,実績!$AD$6:$AD$505,"&gt;"&amp;$A211,実績!$AE$6:$AE$505,"○")&gt;0,1,0))</f>
        <v/>
      </c>
      <c r="BS211">
        <f>IF(BS$4=0,0,IF(COUNTIFS(実績!$W$6:$W$505,BS$3,実績!$AC$6:$AC$505,"&lt;="&amp;$A211,実績!$AD$6:$AD$505,"&gt;"&amp;$A211,実績!$AE$6:$AE$505,"○")&gt;0,1,0))</f>
        <v/>
      </c>
      <c r="BT211">
        <f>IF(BT$4=0,0,IF(COUNTIFS(実績!$W$6:$W$505,BT$3,実績!$AC$6:$AC$505,"&lt;="&amp;$A211,実績!$AD$6:$AD$505,"&gt;"&amp;$A211,実績!$AE$6:$AE$505,"○")&gt;0,1,0))</f>
        <v/>
      </c>
      <c r="BU211">
        <f>IF(BU$4=0,0,IF(COUNTIFS(実績!$W$6:$W$505,BU$3,実績!$AC$6:$AC$505,"&lt;="&amp;$A211,実績!$AD$6:$AD$505,"&gt;"&amp;$A211,実績!$AE$6:$AE$505,"○")&gt;0,1,0))</f>
        <v/>
      </c>
      <c r="BV211">
        <f>IF(BV$4=0,0,IF(COUNTIFS(実績!$W$6:$W$505,BV$3,実績!$AC$6:$AC$505,"&lt;="&amp;$A211,実績!$AD$6:$AD$505,"&gt;"&amp;$A211,実績!$AE$6:$AE$505,"○")&gt;0,1,0))</f>
        <v/>
      </c>
      <c r="BW211">
        <f>IF(BW$4=0,0,IF(COUNTIFS(実績!$W$6:$W$505,BW$3,実績!$AC$6:$AC$505,"&lt;="&amp;$A211,実績!$AD$6:$AD$505,"&gt;"&amp;$A211,実績!$AE$6:$AE$505,"○")&gt;0,1,0))</f>
        <v/>
      </c>
      <c r="BX211">
        <f>IF(BX$4=0,0,IF(COUNTIFS(実績!$W$6:$W$505,BX$3,実績!$AC$6:$AC$505,"&lt;="&amp;$A211,実績!$AD$6:$AD$505,"&gt;"&amp;$A211,実績!$AE$6:$AE$505,"○")&gt;0,1,0))</f>
        <v/>
      </c>
      <c r="BY211">
        <f>IF(BY$4=0,0,IF(COUNTIFS(実績!$W$6:$W$505,BY$3,実績!$AC$6:$AC$505,"&lt;="&amp;$A211,実績!$AD$6:$AD$505,"&gt;"&amp;$A211,実績!$AE$6:$AE$505,"○")&gt;0,1,0))</f>
        <v/>
      </c>
      <c r="BZ211">
        <f>IF(BZ$4=0,0,IF(COUNTIFS(実績!$W$6:$W$505,BZ$3,実績!$AC$6:$AC$505,"&lt;="&amp;$A211,実績!$AD$6:$AD$505,"&gt;"&amp;$A211,実績!$AE$6:$AE$505,"○")&gt;0,1,0))</f>
        <v/>
      </c>
      <c r="CA211">
        <f>IF(CA$4=0,0,IF(COUNTIFS(実績!$W$6:$W$505,CA$3,実績!$AC$6:$AC$505,"&lt;="&amp;$A211,実績!$AD$6:$AD$505,"&gt;"&amp;$A211,実績!$AE$6:$AE$505,"○")&gt;0,1,0))</f>
        <v/>
      </c>
      <c r="CB211">
        <f>IF(CB$4=0,0,IF(COUNTIFS(実績!$W$6:$W$505,CB$3,実績!$AC$6:$AC$505,"&lt;="&amp;$A211,実績!$AD$6:$AD$505,"&gt;"&amp;$A211,実績!$AE$6:$AE$505,"○")&gt;0,1,0))</f>
        <v/>
      </c>
      <c r="CC211">
        <f>IF(CC$4=0,0,IF(COUNTIFS(実績!$W$6:$W$505,CC$3,実績!$AC$6:$AC$505,"&lt;="&amp;$A211,実績!$AD$6:$AD$505,"&gt;"&amp;$A211,実績!$AE$6:$AE$505,"○")&gt;0,1,0))</f>
        <v/>
      </c>
      <c r="CD211">
        <f>IF(CD$4=0,0,IF(COUNTIFS(実績!$W$6:$W$505,CD$3,実績!$AC$6:$AC$505,"&lt;="&amp;$A211,実績!$AD$6:$AD$505,"&gt;"&amp;$A211,実績!$AE$6:$AE$505,"○")&gt;0,1,0))</f>
        <v/>
      </c>
      <c r="CE211">
        <f>IF(CE$4=0,0,IF(COUNTIFS(実績!$W$6:$W$505,CE$3,実績!$AC$6:$AC$505,"&lt;="&amp;$A211,実績!$AD$6:$AD$505,"&gt;"&amp;$A211,実績!$AE$6:$AE$505,"○")&gt;0,1,0))</f>
        <v/>
      </c>
      <c r="CF211">
        <f>IF(CF$4=0,0,IF(COUNTIFS(実績!$W$6:$W$505,CF$3,実績!$AC$6:$AC$505,"&lt;="&amp;$A211,実績!$AD$6:$AD$505,"&gt;"&amp;$A211,実績!$AE$6:$AE$505,"○")&gt;0,1,0))</f>
        <v/>
      </c>
      <c r="CG211">
        <f>IF(CG$4=0,0,IF(COUNTIFS(実績!$W$6:$W$505,CG$3,実績!$AC$6:$AC$505,"&lt;="&amp;$A211,実績!$AD$6:$AD$505,"&gt;"&amp;$A211,実績!$AE$6:$AE$505,"○")&gt;0,1,0))</f>
        <v/>
      </c>
      <c r="CH211">
        <f>IF(CH$4=0,0,IF(COUNTIFS(実績!$W$6:$W$505,CH$3,実績!$AC$6:$AC$505,"&lt;="&amp;$A211,実績!$AD$6:$AD$505,"&gt;"&amp;$A211,実績!$AE$6:$AE$505,"○")&gt;0,1,0))</f>
        <v/>
      </c>
      <c r="CI211">
        <f>IF(CI$4=0,0,IF(COUNTIFS(実績!$W$6:$W$505,CI$3,実績!$AC$6:$AC$505,"&lt;="&amp;$A211,実績!$AD$6:$AD$505,"&gt;"&amp;$A211,実績!$AE$6:$AE$505,"○")&gt;0,1,0))</f>
        <v/>
      </c>
      <c r="CJ211">
        <f>IF(CJ$4=0,0,IF(COUNTIFS(実績!$W$6:$W$505,CJ$3,実績!$AC$6:$AC$505,"&lt;="&amp;$A211,実績!$AD$6:$AD$505,"&gt;"&amp;$A211,実績!$AE$6:$AE$505,"○")&gt;0,1,0))</f>
        <v/>
      </c>
      <c r="CK211">
        <f>IF(CK$4=0,0,IF(COUNTIFS(実績!$W$6:$W$505,CK$3,実績!$AC$6:$AC$505,"&lt;="&amp;$A211,実績!$AD$6:$AD$505,"&gt;"&amp;$A211,実績!$AE$6:$AE$505,"○")&gt;0,1,0))</f>
        <v/>
      </c>
      <c r="CL211">
        <f>IF(CL$4=0,0,IF(COUNTIFS(実績!$W$6:$W$505,CL$3,実績!$AC$6:$AC$505,"&lt;="&amp;$A211,実績!$AD$6:$AD$505,"&gt;"&amp;$A211,実績!$AE$6:$AE$505,"○")&gt;0,1,0))</f>
        <v/>
      </c>
      <c r="CM211">
        <f>IF(CM$4=0,0,IF(COUNTIFS(実績!$W$6:$W$505,CM$3,実績!$AC$6:$AC$505,"&lt;="&amp;$A211,実績!$AD$6:$AD$505,"&gt;"&amp;$A211,実績!$AE$6:$AE$505,"○")&gt;0,1,0))</f>
        <v/>
      </c>
      <c r="CN211">
        <f>IF(CN$4=0,0,IF(COUNTIFS(実績!$W$6:$W$505,CN$3,実績!$AC$6:$AC$505,"&lt;="&amp;$A211,実績!$AD$6:$AD$505,"&gt;"&amp;$A211,実績!$AE$6:$AE$505,"○")&gt;0,1,0))</f>
        <v/>
      </c>
      <c r="CO211">
        <f>IF(CO$4=0,0,IF(COUNTIFS(実績!$W$6:$W$505,CO$3,実績!$AC$6:$AC$505,"&lt;="&amp;$A211,実績!$AD$6:$AD$505,"&gt;"&amp;$A211,実績!$AE$6:$AE$505,"○")&gt;0,1,0))</f>
        <v/>
      </c>
      <c r="CP211">
        <f>IF(CP$4=0,0,IF(COUNTIFS(実績!$W$6:$W$505,CP$3,実績!$AC$6:$AC$505,"&lt;="&amp;$A211,実績!$AD$6:$AD$505,"&gt;"&amp;$A211,実績!$AE$6:$AE$505,"○")&gt;0,1,0))</f>
        <v/>
      </c>
      <c r="CQ211">
        <f>IF(CQ$4=0,0,IF(COUNTIFS(実績!$W$6:$W$505,CQ$3,実績!$AC$6:$AC$505,"&lt;="&amp;$A211,実績!$AD$6:$AD$505,"&gt;"&amp;$A211,実績!$AE$6:$AE$505,"○")&gt;0,1,0))</f>
        <v/>
      </c>
      <c r="CR211">
        <f>IF(CR$4=0,0,IF(COUNTIFS(実績!$W$6:$W$505,CR$3,実績!$AC$6:$AC$505,"&lt;="&amp;$A211,実績!$AD$6:$AD$505,"&gt;"&amp;$A211,実績!$AE$6:$AE$505,"○")&gt;0,1,0))</f>
        <v/>
      </c>
      <c r="CS211">
        <f>IF(CS$4=0,0,IF(COUNTIFS(実績!$W$6:$W$505,CS$3,実績!$AC$6:$AC$505,"&lt;="&amp;$A211,実績!$AD$6:$AD$505,"&gt;"&amp;$A211,実績!$AE$6:$AE$505,"○")&gt;0,1,0))</f>
        <v/>
      </c>
      <c r="CT211">
        <f>IF(CT$4=0,0,IF(COUNTIFS(実績!$W$6:$W$505,CT$3,実績!$AC$6:$AC$505,"&lt;="&amp;$A211,実績!$AD$6:$AD$505,"&gt;"&amp;$A211,実績!$AE$6:$AE$505,"○")&gt;0,1,0))</f>
        <v/>
      </c>
      <c r="CU211">
        <f>IF(CU$4=0,0,IF(COUNTIFS(実績!$W$6:$W$505,CU$3,実績!$AC$6:$AC$505,"&lt;="&amp;$A211,実績!$AD$6:$AD$505,"&gt;"&amp;$A211,実績!$AE$6:$AE$505,"○")&gt;0,1,0))</f>
        <v/>
      </c>
      <c r="CV211">
        <f>IF(CV$4=0,0,IF(COUNTIFS(実績!$W$6:$W$505,CV$3,実績!$AC$6:$AC$505,"&lt;="&amp;$A211,実績!$AD$6:$AD$505,"&gt;"&amp;$A211,実績!$AE$6:$AE$505,"○")&gt;0,1,0))</f>
        <v/>
      </c>
      <c r="CW211">
        <f>IF(CW$4=0,0,IF(COUNTIFS(実績!$W$6:$W$505,CW$3,実績!$AC$6:$AC$505,"&lt;="&amp;$A211,実績!$AD$6:$AD$505,"&gt;"&amp;$A211,実績!$AE$6:$AE$505,"○")&gt;0,1,0))</f>
        <v/>
      </c>
      <c r="CX211">
        <f>IF(CX$4=0,0,IF(COUNTIFS(実績!$W$6:$W$505,CX$3,実績!$AC$6:$AC$505,"&lt;="&amp;$A211,実績!$AD$6:$AD$505,"&gt;"&amp;$A211,実績!$AE$6:$AE$505,"○")&gt;0,1,0))</f>
        <v/>
      </c>
      <c r="CY211">
        <f>IF(CY$4=0,0,IF(COUNTIFS(実績!$W$6:$W$505,CY$3,実績!$AC$6:$AC$505,"&lt;="&amp;$A211,実績!$AD$6:$AD$505,"&gt;"&amp;$A211,実績!$AE$6:$AE$505,"○")&gt;0,1,0))</f>
        <v/>
      </c>
      <c r="CZ211">
        <f>IF(CZ$4=0,0,IF(COUNTIFS(実績!$W$6:$W$505,CZ$3,実績!$AC$6:$AC$505,"&lt;="&amp;$A211,実績!$AD$6:$AD$505,"&gt;"&amp;$A211,実績!$AE$6:$AE$505,"○")&gt;0,1,0))</f>
        <v/>
      </c>
      <c r="DA211">
        <f>IF(DA$4=0,0,IF(COUNTIFS(実績!$W$6:$W$505,DA$3,実績!$AC$6:$AC$505,"&lt;="&amp;$A211,実績!$AD$6:$AD$505,"&gt;"&amp;$A211,実績!$AE$6:$AE$505,"○")&gt;0,1,0))</f>
        <v/>
      </c>
      <c r="DB211">
        <f>IF(DB$4=0,0,IF(COUNTIFS(実績!$W$6:$W$505,DB$3,実績!$AC$6:$AC$505,"&lt;="&amp;$A211,実績!$AD$6:$AD$505,"&gt;"&amp;$A211,実績!$AE$6:$AE$505,"○")&gt;0,1,0))</f>
        <v/>
      </c>
      <c r="DC211">
        <f>IF(DC$4=0,0,IF(COUNTIFS(実績!$W$6:$W$505,DC$3,実績!$AC$6:$AC$505,"&lt;="&amp;$A211,実績!$AD$6:$AD$505,"&gt;"&amp;$A211,実績!$AE$6:$AE$505,"○")&gt;0,1,0))</f>
        <v/>
      </c>
      <c r="DD211">
        <f>IF(DD$4=0,0,IF(COUNTIFS(実績!$W$6:$W$505,DD$3,実績!$AC$6:$AC$505,"&lt;="&amp;$A211,実績!$AD$6:$AD$505,"&gt;"&amp;$A211,実績!$AE$6:$AE$505,"○")&gt;0,1,0))</f>
        <v/>
      </c>
      <c r="DE211">
        <f>IF(DE$4=0,0,IF(COUNTIFS(実績!$W$6:$W$505,DE$3,実績!$AC$6:$AC$505,"&lt;="&amp;$A211,実績!$AD$6:$AD$505,"&gt;"&amp;$A211,実績!$AE$6:$AE$505,"○")&gt;0,1,0))</f>
        <v/>
      </c>
      <c r="DF211">
        <f>IF(DF$4=0,0,IF(COUNTIFS(実績!$W$6:$W$505,DF$3,実績!$AC$6:$AC$505,"&lt;="&amp;$A211,実績!$AD$6:$AD$505,"&gt;"&amp;$A211,実績!$AE$6:$AE$505,"○")&gt;0,1,0))</f>
        <v/>
      </c>
      <c r="DG211">
        <f>IF(DG$4=0,0,IF(COUNTIFS(実績!$W$6:$W$505,DG$3,実績!$AC$6:$AC$505,"&lt;="&amp;$A211,実績!$AD$6:$AD$505,"&gt;"&amp;$A211,実績!$AE$6:$AE$505,"○")&gt;0,1,0))</f>
        <v/>
      </c>
      <c r="DH211">
        <f>IF(DH$4=0,0,IF(COUNTIFS(実績!$W$6:$W$505,DH$3,実績!$AC$6:$AC$505,"&lt;="&amp;$A211,実績!$AD$6:$AD$505,"&gt;"&amp;$A211,実績!$AE$6:$AE$505,"○")&gt;0,1,0))</f>
        <v/>
      </c>
      <c r="DI211">
        <f>IF(DI$4=0,0,IF(COUNTIFS(実績!$W$6:$W$505,DI$3,実績!$AC$6:$AC$505,"&lt;="&amp;$A211,実績!$AD$6:$AD$505,"&gt;"&amp;$A211,実績!$AE$6:$AE$505,"○")&gt;0,1,0))</f>
        <v/>
      </c>
      <c r="DJ211">
        <f>IF(DJ$4=0,0,IF(COUNTIFS(実績!$W$6:$W$505,DJ$3,実績!$AC$6:$AC$505,"&lt;="&amp;$A211,実績!$AD$6:$AD$505,"&gt;"&amp;$A211,実績!$AE$6:$AE$505,"○")&gt;0,1,0))</f>
        <v/>
      </c>
      <c r="DK211">
        <f>IF(DK$4=0,0,IF(COUNTIFS(実績!$W$6:$W$505,DK$3,実績!$AC$6:$AC$505,"&lt;="&amp;$A211,実績!$AD$6:$AD$505,"&gt;"&amp;$A211,実績!$AE$6:$AE$505,"○")&gt;0,1,0))</f>
        <v/>
      </c>
      <c r="DL211">
        <f>IF(DL$4=0,0,IF(COUNTIFS(実績!$W$6:$W$505,DL$3,実績!$AC$6:$AC$505,"&lt;="&amp;$A211,実績!$AD$6:$AD$505,"&gt;"&amp;$A211,実績!$AE$6:$AE$505,"○")&gt;0,1,0))</f>
        <v/>
      </c>
      <c r="DM211">
        <f>IF(DM$4=0,0,IF(COUNTIFS(実績!$W$6:$W$505,DM$3,実績!$AC$6:$AC$505,"&lt;="&amp;$A211,実績!$AD$6:$AD$505,"&gt;"&amp;$A211,実績!$AE$6:$AE$505,"○")&gt;0,1,0))</f>
        <v/>
      </c>
      <c r="DN211">
        <f>IF(DN$4=0,0,IF(COUNTIFS(実績!$W$6:$W$505,DN$3,実績!$AC$6:$AC$505,"&lt;="&amp;$A211,実績!$AD$6:$AD$505,"&gt;"&amp;$A211,実績!$AE$6:$AE$505,"○")&gt;0,1,0))</f>
        <v/>
      </c>
      <c r="DO211">
        <f>IF(DO$4=0,0,IF(COUNTIFS(実績!$W$6:$W$505,DO$3,実績!$AC$6:$AC$505,"&lt;="&amp;$A211,実績!$AD$6:$AD$505,"&gt;"&amp;$A211,実績!$AE$6:$AE$505,"○")&gt;0,1,0))</f>
        <v/>
      </c>
      <c r="DP211">
        <f>IF(DP$4=0,0,IF(COUNTIFS(実績!$W$6:$W$505,DP$3,実績!$AC$6:$AC$505,"&lt;="&amp;$A211,実績!$AD$6:$AD$505,"&gt;"&amp;$A211,実績!$AE$6:$AE$505,"○")&gt;0,1,0))</f>
        <v/>
      </c>
      <c r="DQ211">
        <f>IF(DQ$4=0,0,IF(COUNTIFS(実績!$W$6:$W$505,DQ$3,実績!$AC$6:$AC$505,"&lt;="&amp;$A211,実績!$AD$6:$AD$505,"&gt;"&amp;$A211,実績!$AE$6:$AE$505,"○")&gt;0,1,0))</f>
        <v/>
      </c>
      <c r="DR211">
        <f>IF(DR$4=0,0,IF(COUNTIFS(実績!$W$6:$W$505,DR$3,実績!$AC$6:$AC$505,"&lt;="&amp;$A211,実績!$AD$6:$AD$505,"&gt;"&amp;$A211,実績!$AE$6:$AE$505,"○")&gt;0,1,0))</f>
        <v/>
      </c>
      <c r="DS211">
        <f>SUM(C211:DR211)</f>
        <v/>
      </c>
      <c r="DT211">
        <f>SUMPRODUCT((実績!$C$6:$C$505="○")*ISNUMBER(実績!$AF$6:$AF$505)*(実績!$AF$6:$AF$505&lt;=$A211)*(実績!$AG$6:$AG$505&gt;$A211))</f>
        <v/>
      </c>
      <c r="DU211">
        <f>SUMIF($C$2:$DR$2,"製鉄曳船",C211:DR211)</f>
        <v/>
      </c>
      <c r="DV211">
        <f>SUMIF($C$2:$DR$2,"西日本海運",C211:DR211)</f>
        <v/>
      </c>
    </row>
    <row r="212">
      <c r="A212" t="n">
        <v>1030</v>
      </c>
      <c r="B212" s="29">
        <f>A212/1440</f>
        <v/>
      </c>
      <c r="C212">
        <f>IF(C$4=0,0,IF(COUNTIFS(実績!$W$6:$W$505,C$3,実績!$AC$6:$AC$505,"&lt;="&amp;$A212,実績!$AD$6:$AD$505,"&gt;"&amp;$A212,実績!$AE$6:$AE$505,"○")&gt;0,1,0))</f>
        <v/>
      </c>
      <c r="D212">
        <f>IF(D$4=0,0,IF(COUNTIFS(実績!$W$6:$W$505,D$3,実績!$AC$6:$AC$505,"&lt;="&amp;$A212,実績!$AD$6:$AD$505,"&gt;"&amp;$A212,実績!$AE$6:$AE$505,"○")&gt;0,1,0))</f>
        <v/>
      </c>
      <c r="E212">
        <f>IF(E$4=0,0,IF(COUNTIFS(実績!$W$6:$W$505,E$3,実績!$AC$6:$AC$505,"&lt;="&amp;$A212,実績!$AD$6:$AD$505,"&gt;"&amp;$A212,実績!$AE$6:$AE$505,"○")&gt;0,1,0))</f>
        <v/>
      </c>
      <c r="F212">
        <f>IF(F$4=0,0,IF(COUNTIFS(実績!$W$6:$W$505,F$3,実績!$AC$6:$AC$505,"&lt;="&amp;$A212,実績!$AD$6:$AD$505,"&gt;"&amp;$A212,実績!$AE$6:$AE$505,"○")&gt;0,1,0))</f>
        <v/>
      </c>
      <c r="G212">
        <f>IF(G$4=0,0,IF(COUNTIFS(実績!$W$6:$W$505,G$3,実績!$AC$6:$AC$505,"&lt;="&amp;$A212,実績!$AD$6:$AD$505,"&gt;"&amp;$A212,実績!$AE$6:$AE$505,"○")&gt;0,1,0))</f>
        <v/>
      </c>
      <c r="H212">
        <f>IF(H$4=0,0,IF(COUNTIFS(実績!$W$6:$W$505,H$3,実績!$AC$6:$AC$505,"&lt;="&amp;$A212,実績!$AD$6:$AD$505,"&gt;"&amp;$A212,実績!$AE$6:$AE$505,"○")&gt;0,1,0))</f>
        <v/>
      </c>
      <c r="I212">
        <f>IF(I$4=0,0,IF(COUNTIFS(実績!$W$6:$W$505,I$3,実績!$AC$6:$AC$505,"&lt;="&amp;$A212,実績!$AD$6:$AD$505,"&gt;"&amp;$A212,実績!$AE$6:$AE$505,"○")&gt;0,1,0))</f>
        <v/>
      </c>
      <c r="J212">
        <f>IF(J$4=0,0,IF(COUNTIFS(実績!$W$6:$W$505,J$3,実績!$AC$6:$AC$505,"&lt;="&amp;$A212,実績!$AD$6:$AD$505,"&gt;"&amp;$A212,実績!$AE$6:$AE$505,"○")&gt;0,1,0))</f>
        <v/>
      </c>
      <c r="K212">
        <f>IF(K$4=0,0,IF(COUNTIFS(実績!$W$6:$W$505,K$3,実績!$AC$6:$AC$505,"&lt;="&amp;$A212,実績!$AD$6:$AD$505,"&gt;"&amp;$A212,実績!$AE$6:$AE$505,"○")&gt;0,1,0))</f>
        <v/>
      </c>
      <c r="L212">
        <f>IF(L$4=0,0,IF(COUNTIFS(実績!$W$6:$W$505,L$3,実績!$AC$6:$AC$505,"&lt;="&amp;$A212,実績!$AD$6:$AD$505,"&gt;"&amp;$A212,実績!$AE$6:$AE$505,"○")&gt;0,1,0))</f>
        <v/>
      </c>
      <c r="M212">
        <f>IF(M$4=0,0,IF(COUNTIFS(実績!$W$6:$W$505,M$3,実績!$AC$6:$AC$505,"&lt;="&amp;$A212,実績!$AD$6:$AD$505,"&gt;"&amp;$A212,実績!$AE$6:$AE$505,"○")&gt;0,1,0))</f>
        <v/>
      </c>
      <c r="N212">
        <f>IF(N$4=0,0,IF(COUNTIFS(実績!$W$6:$W$505,N$3,実績!$AC$6:$AC$505,"&lt;="&amp;$A212,実績!$AD$6:$AD$505,"&gt;"&amp;$A212,実績!$AE$6:$AE$505,"○")&gt;0,1,0))</f>
        <v/>
      </c>
      <c r="O212">
        <f>IF(O$4=0,0,IF(COUNTIFS(実績!$W$6:$W$505,O$3,実績!$AC$6:$AC$505,"&lt;="&amp;$A212,実績!$AD$6:$AD$505,"&gt;"&amp;$A212,実績!$AE$6:$AE$505,"○")&gt;0,1,0))</f>
        <v/>
      </c>
      <c r="P212">
        <f>IF(P$4=0,0,IF(COUNTIFS(実績!$W$6:$W$505,P$3,実績!$AC$6:$AC$505,"&lt;="&amp;$A212,実績!$AD$6:$AD$505,"&gt;"&amp;$A212,実績!$AE$6:$AE$505,"○")&gt;0,1,0))</f>
        <v/>
      </c>
      <c r="Q212">
        <f>IF(Q$4=0,0,IF(COUNTIFS(実績!$W$6:$W$505,Q$3,実績!$AC$6:$AC$505,"&lt;="&amp;$A212,実績!$AD$6:$AD$505,"&gt;"&amp;$A212,実績!$AE$6:$AE$505,"○")&gt;0,1,0))</f>
        <v/>
      </c>
      <c r="R212">
        <f>IF(R$4=0,0,IF(COUNTIFS(実績!$W$6:$W$505,R$3,実績!$AC$6:$AC$505,"&lt;="&amp;$A212,実績!$AD$6:$AD$505,"&gt;"&amp;$A212,実績!$AE$6:$AE$505,"○")&gt;0,1,0))</f>
        <v/>
      </c>
      <c r="S212">
        <f>IF(S$4=0,0,IF(COUNTIFS(実績!$W$6:$W$505,S$3,実績!$AC$6:$AC$505,"&lt;="&amp;$A212,実績!$AD$6:$AD$505,"&gt;"&amp;$A212,実績!$AE$6:$AE$505,"○")&gt;0,1,0))</f>
        <v/>
      </c>
      <c r="T212">
        <f>IF(T$4=0,0,IF(COUNTIFS(実績!$W$6:$W$505,T$3,実績!$AC$6:$AC$505,"&lt;="&amp;$A212,実績!$AD$6:$AD$505,"&gt;"&amp;$A212,実績!$AE$6:$AE$505,"○")&gt;0,1,0))</f>
        <v/>
      </c>
      <c r="U212">
        <f>IF(U$4=0,0,IF(COUNTIFS(実績!$W$6:$W$505,U$3,実績!$AC$6:$AC$505,"&lt;="&amp;$A212,実績!$AD$6:$AD$505,"&gt;"&amp;$A212,実績!$AE$6:$AE$505,"○")&gt;0,1,0))</f>
        <v/>
      </c>
      <c r="V212">
        <f>IF(V$4=0,0,IF(COUNTIFS(実績!$W$6:$W$505,V$3,実績!$AC$6:$AC$505,"&lt;="&amp;$A212,実績!$AD$6:$AD$505,"&gt;"&amp;$A212,実績!$AE$6:$AE$505,"○")&gt;0,1,0))</f>
        <v/>
      </c>
      <c r="W212">
        <f>IF(W$4=0,0,IF(COUNTIFS(実績!$W$6:$W$505,W$3,実績!$AC$6:$AC$505,"&lt;="&amp;$A212,実績!$AD$6:$AD$505,"&gt;"&amp;$A212,実績!$AE$6:$AE$505,"○")&gt;0,1,0))</f>
        <v/>
      </c>
      <c r="X212">
        <f>IF(X$4=0,0,IF(COUNTIFS(実績!$W$6:$W$505,X$3,実績!$AC$6:$AC$505,"&lt;="&amp;$A212,実績!$AD$6:$AD$505,"&gt;"&amp;$A212,実績!$AE$6:$AE$505,"○")&gt;0,1,0))</f>
        <v/>
      </c>
      <c r="Y212">
        <f>IF(Y$4=0,0,IF(COUNTIFS(実績!$W$6:$W$505,Y$3,実績!$AC$6:$AC$505,"&lt;="&amp;$A212,実績!$AD$6:$AD$505,"&gt;"&amp;$A212,実績!$AE$6:$AE$505,"○")&gt;0,1,0))</f>
        <v/>
      </c>
      <c r="Z212">
        <f>IF(Z$4=0,0,IF(COUNTIFS(実績!$W$6:$W$505,Z$3,実績!$AC$6:$AC$505,"&lt;="&amp;$A212,実績!$AD$6:$AD$505,"&gt;"&amp;$A212,実績!$AE$6:$AE$505,"○")&gt;0,1,0))</f>
        <v/>
      </c>
      <c r="AA212">
        <f>IF(AA$4=0,0,IF(COUNTIFS(実績!$W$6:$W$505,AA$3,実績!$AC$6:$AC$505,"&lt;="&amp;$A212,実績!$AD$6:$AD$505,"&gt;"&amp;$A212,実績!$AE$6:$AE$505,"○")&gt;0,1,0))</f>
        <v/>
      </c>
      <c r="AB212">
        <f>IF(AB$4=0,0,IF(COUNTIFS(実績!$W$6:$W$505,AB$3,実績!$AC$6:$AC$505,"&lt;="&amp;$A212,実績!$AD$6:$AD$505,"&gt;"&amp;$A212,実績!$AE$6:$AE$505,"○")&gt;0,1,0))</f>
        <v/>
      </c>
      <c r="AC212">
        <f>IF(AC$4=0,0,IF(COUNTIFS(実績!$W$6:$W$505,AC$3,実績!$AC$6:$AC$505,"&lt;="&amp;$A212,実績!$AD$6:$AD$505,"&gt;"&amp;$A212,実績!$AE$6:$AE$505,"○")&gt;0,1,0))</f>
        <v/>
      </c>
      <c r="AD212">
        <f>IF(AD$4=0,0,IF(COUNTIFS(実績!$W$6:$W$505,AD$3,実績!$AC$6:$AC$505,"&lt;="&amp;$A212,実績!$AD$6:$AD$505,"&gt;"&amp;$A212,実績!$AE$6:$AE$505,"○")&gt;0,1,0))</f>
        <v/>
      </c>
      <c r="AE212">
        <f>IF(AE$4=0,0,IF(COUNTIFS(実績!$W$6:$W$505,AE$3,実績!$AC$6:$AC$505,"&lt;="&amp;$A212,実績!$AD$6:$AD$505,"&gt;"&amp;$A212,実績!$AE$6:$AE$505,"○")&gt;0,1,0))</f>
        <v/>
      </c>
      <c r="AF212">
        <f>IF(AF$4=0,0,IF(COUNTIFS(実績!$W$6:$W$505,AF$3,実績!$AC$6:$AC$505,"&lt;="&amp;$A212,実績!$AD$6:$AD$505,"&gt;"&amp;$A212,実績!$AE$6:$AE$505,"○")&gt;0,1,0))</f>
        <v/>
      </c>
      <c r="AG212">
        <f>IF(AG$4=0,0,IF(COUNTIFS(実績!$W$6:$W$505,AG$3,実績!$AC$6:$AC$505,"&lt;="&amp;$A212,実績!$AD$6:$AD$505,"&gt;"&amp;$A212,実績!$AE$6:$AE$505,"○")&gt;0,1,0))</f>
        <v/>
      </c>
      <c r="AH212">
        <f>IF(AH$4=0,0,IF(COUNTIFS(実績!$W$6:$W$505,AH$3,実績!$AC$6:$AC$505,"&lt;="&amp;$A212,実績!$AD$6:$AD$505,"&gt;"&amp;$A212,実績!$AE$6:$AE$505,"○")&gt;0,1,0))</f>
        <v/>
      </c>
      <c r="AI212">
        <f>IF(AI$4=0,0,IF(COUNTIFS(実績!$W$6:$W$505,AI$3,実績!$AC$6:$AC$505,"&lt;="&amp;$A212,実績!$AD$6:$AD$505,"&gt;"&amp;$A212,実績!$AE$6:$AE$505,"○")&gt;0,1,0))</f>
        <v/>
      </c>
      <c r="AJ212">
        <f>IF(AJ$4=0,0,IF(COUNTIFS(実績!$W$6:$W$505,AJ$3,実績!$AC$6:$AC$505,"&lt;="&amp;$A212,実績!$AD$6:$AD$505,"&gt;"&amp;$A212,実績!$AE$6:$AE$505,"○")&gt;0,1,0))</f>
        <v/>
      </c>
      <c r="AK212">
        <f>IF(AK$4=0,0,IF(COUNTIFS(実績!$W$6:$W$505,AK$3,実績!$AC$6:$AC$505,"&lt;="&amp;$A212,実績!$AD$6:$AD$505,"&gt;"&amp;$A212,実績!$AE$6:$AE$505,"○")&gt;0,1,0))</f>
        <v/>
      </c>
      <c r="AL212">
        <f>IF(AL$4=0,0,IF(COUNTIFS(実績!$W$6:$W$505,AL$3,実績!$AC$6:$AC$505,"&lt;="&amp;$A212,実績!$AD$6:$AD$505,"&gt;"&amp;$A212,実績!$AE$6:$AE$505,"○")&gt;0,1,0))</f>
        <v/>
      </c>
      <c r="AM212">
        <f>IF(AM$4=0,0,IF(COUNTIFS(実績!$W$6:$W$505,AM$3,実績!$AC$6:$AC$505,"&lt;="&amp;$A212,実績!$AD$6:$AD$505,"&gt;"&amp;$A212,実績!$AE$6:$AE$505,"○")&gt;0,1,0))</f>
        <v/>
      </c>
      <c r="AN212">
        <f>IF(AN$4=0,0,IF(COUNTIFS(実績!$W$6:$W$505,AN$3,実績!$AC$6:$AC$505,"&lt;="&amp;$A212,実績!$AD$6:$AD$505,"&gt;"&amp;$A212,実績!$AE$6:$AE$505,"○")&gt;0,1,0))</f>
        <v/>
      </c>
      <c r="AO212">
        <f>IF(AO$4=0,0,IF(COUNTIFS(実績!$W$6:$W$505,AO$3,実績!$AC$6:$AC$505,"&lt;="&amp;$A212,実績!$AD$6:$AD$505,"&gt;"&amp;$A212,実績!$AE$6:$AE$505,"○")&gt;0,1,0))</f>
        <v/>
      </c>
      <c r="AP212">
        <f>IF(AP$4=0,0,IF(COUNTIFS(実績!$W$6:$W$505,AP$3,実績!$AC$6:$AC$505,"&lt;="&amp;$A212,実績!$AD$6:$AD$505,"&gt;"&amp;$A212,実績!$AE$6:$AE$505,"○")&gt;0,1,0))</f>
        <v/>
      </c>
      <c r="AQ212">
        <f>IF(AQ$4=0,0,IF(COUNTIFS(実績!$W$6:$W$505,AQ$3,実績!$AC$6:$AC$505,"&lt;="&amp;$A212,実績!$AD$6:$AD$505,"&gt;"&amp;$A212,実績!$AE$6:$AE$505,"○")&gt;0,1,0))</f>
        <v/>
      </c>
      <c r="AR212">
        <f>IF(AR$4=0,0,IF(COUNTIFS(実績!$W$6:$W$505,AR$3,実績!$AC$6:$AC$505,"&lt;="&amp;$A212,実績!$AD$6:$AD$505,"&gt;"&amp;$A212,実績!$AE$6:$AE$505,"○")&gt;0,1,0))</f>
        <v/>
      </c>
      <c r="AS212">
        <f>IF(AS$4=0,0,IF(COUNTIFS(実績!$W$6:$W$505,AS$3,実績!$AC$6:$AC$505,"&lt;="&amp;$A212,実績!$AD$6:$AD$505,"&gt;"&amp;$A212,実績!$AE$6:$AE$505,"○")&gt;0,1,0))</f>
        <v/>
      </c>
      <c r="AT212">
        <f>IF(AT$4=0,0,IF(COUNTIFS(実績!$W$6:$W$505,AT$3,実績!$AC$6:$AC$505,"&lt;="&amp;$A212,実績!$AD$6:$AD$505,"&gt;"&amp;$A212,実績!$AE$6:$AE$505,"○")&gt;0,1,0))</f>
        <v/>
      </c>
      <c r="AU212">
        <f>IF(AU$4=0,0,IF(COUNTIFS(実績!$W$6:$W$505,AU$3,実績!$AC$6:$AC$505,"&lt;="&amp;$A212,実績!$AD$6:$AD$505,"&gt;"&amp;$A212,実績!$AE$6:$AE$505,"○")&gt;0,1,0))</f>
        <v/>
      </c>
      <c r="AV212">
        <f>IF(AV$4=0,0,IF(COUNTIFS(実績!$W$6:$W$505,AV$3,実績!$AC$6:$AC$505,"&lt;="&amp;$A212,実績!$AD$6:$AD$505,"&gt;"&amp;$A212,実績!$AE$6:$AE$505,"○")&gt;0,1,0))</f>
        <v/>
      </c>
      <c r="AW212">
        <f>IF(AW$4=0,0,IF(COUNTIFS(実績!$W$6:$W$505,AW$3,実績!$AC$6:$AC$505,"&lt;="&amp;$A212,実績!$AD$6:$AD$505,"&gt;"&amp;$A212,実績!$AE$6:$AE$505,"○")&gt;0,1,0))</f>
        <v/>
      </c>
      <c r="AX212">
        <f>IF(AX$4=0,0,IF(COUNTIFS(実績!$W$6:$W$505,AX$3,実績!$AC$6:$AC$505,"&lt;="&amp;$A212,実績!$AD$6:$AD$505,"&gt;"&amp;$A212,実績!$AE$6:$AE$505,"○")&gt;0,1,0))</f>
        <v/>
      </c>
      <c r="AY212">
        <f>IF(AY$4=0,0,IF(COUNTIFS(実績!$W$6:$W$505,AY$3,実績!$AC$6:$AC$505,"&lt;="&amp;$A212,実績!$AD$6:$AD$505,"&gt;"&amp;$A212,実績!$AE$6:$AE$505,"○")&gt;0,1,0))</f>
        <v/>
      </c>
      <c r="AZ212">
        <f>IF(AZ$4=0,0,IF(COUNTIFS(実績!$W$6:$W$505,AZ$3,実績!$AC$6:$AC$505,"&lt;="&amp;$A212,実績!$AD$6:$AD$505,"&gt;"&amp;$A212,実績!$AE$6:$AE$505,"○")&gt;0,1,0))</f>
        <v/>
      </c>
      <c r="BA212">
        <f>IF(BA$4=0,0,IF(COUNTIFS(実績!$W$6:$W$505,BA$3,実績!$AC$6:$AC$505,"&lt;="&amp;$A212,実績!$AD$6:$AD$505,"&gt;"&amp;$A212,実績!$AE$6:$AE$505,"○")&gt;0,1,0))</f>
        <v/>
      </c>
      <c r="BB212">
        <f>IF(BB$4=0,0,IF(COUNTIFS(実績!$W$6:$W$505,BB$3,実績!$AC$6:$AC$505,"&lt;="&amp;$A212,実績!$AD$6:$AD$505,"&gt;"&amp;$A212,実績!$AE$6:$AE$505,"○")&gt;0,1,0))</f>
        <v/>
      </c>
      <c r="BC212">
        <f>IF(BC$4=0,0,IF(COUNTIFS(実績!$W$6:$W$505,BC$3,実績!$AC$6:$AC$505,"&lt;="&amp;$A212,実績!$AD$6:$AD$505,"&gt;"&amp;$A212,実績!$AE$6:$AE$505,"○")&gt;0,1,0))</f>
        <v/>
      </c>
      <c r="BD212">
        <f>IF(BD$4=0,0,IF(COUNTIFS(実績!$W$6:$W$505,BD$3,実績!$AC$6:$AC$505,"&lt;="&amp;$A212,実績!$AD$6:$AD$505,"&gt;"&amp;$A212,実績!$AE$6:$AE$505,"○")&gt;0,1,0))</f>
        <v/>
      </c>
      <c r="BE212">
        <f>IF(BE$4=0,0,IF(COUNTIFS(実績!$W$6:$W$505,BE$3,実績!$AC$6:$AC$505,"&lt;="&amp;$A212,実績!$AD$6:$AD$505,"&gt;"&amp;$A212,実績!$AE$6:$AE$505,"○")&gt;0,1,0))</f>
        <v/>
      </c>
      <c r="BF212">
        <f>IF(BF$4=0,0,IF(COUNTIFS(実績!$W$6:$W$505,BF$3,実績!$AC$6:$AC$505,"&lt;="&amp;$A212,実績!$AD$6:$AD$505,"&gt;"&amp;$A212,実績!$AE$6:$AE$505,"○")&gt;0,1,0))</f>
        <v/>
      </c>
      <c r="BG212">
        <f>IF(BG$4=0,0,IF(COUNTIFS(実績!$W$6:$W$505,BG$3,実績!$AC$6:$AC$505,"&lt;="&amp;$A212,実績!$AD$6:$AD$505,"&gt;"&amp;$A212,実績!$AE$6:$AE$505,"○")&gt;0,1,0))</f>
        <v/>
      </c>
      <c r="BH212">
        <f>IF(BH$4=0,0,IF(COUNTIFS(実績!$W$6:$W$505,BH$3,実績!$AC$6:$AC$505,"&lt;="&amp;$A212,実績!$AD$6:$AD$505,"&gt;"&amp;$A212,実績!$AE$6:$AE$505,"○")&gt;0,1,0))</f>
        <v/>
      </c>
      <c r="BI212">
        <f>IF(BI$4=0,0,IF(COUNTIFS(実績!$W$6:$W$505,BI$3,実績!$AC$6:$AC$505,"&lt;="&amp;$A212,実績!$AD$6:$AD$505,"&gt;"&amp;$A212,実績!$AE$6:$AE$505,"○")&gt;0,1,0))</f>
        <v/>
      </c>
      <c r="BJ212">
        <f>IF(BJ$4=0,0,IF(COUNTIFS(実績!$W$6:$W$505,BJ$3,実績!$AC$6:$AC$505,"&lt;="&amp;$A212,実績!$AD$6:$AD$505,"&gt;"&amp;$A212,実績!$AE$6:$AE$505,"○")&gt;0,1,0))</f>
        <v/>
      </c>
      <c r="BK212">
        <f>IF(BK$4=0,0,IF(COUNTIFS(実績!$W$6:$W$505,BK$3,実績!$AC$6:$AC$505,"&lt;="&amp;$A212,実績!$AD$6:$AD$505,"&gt;"&amp;$A212,実績!$AE$6:$AE$505,"○")&gt;0,1,0))</f>
        <v/>
      </c>
      <c r="BL212">
        <f>IF(BL$4=0,0,IF(COUNTIFS(実績!$W$6:$W$505,BL$3,実績!$AC$6:$AC$505,"&lt;="&amp;$A212,実績!$AD$6:$AD$505,"&gt;"&amp;$A212,実績!$AE$6:$AE$505,"○")&gt;0,1,0))</f>
        <v/>
      </c>
      <c r="BM212">
        <f>IF(BM$4=0,0,IF(COUNTIFS(実績!$W$6:$W$505,BM$3,実績!$AC$6:$AC$505,"&lt;="&amp;$A212,実績!$AD$6:$AD$505,"&gt;"&amp;$A212,実績!$AE$6:$AE$505,"○")&gt;0,1,0))</f>
        <v/>
      </c>
      <c r="BN212">
        <f>IF(BN$4=0,0,IF(COUNTIFS(実績!$W$6:$W$505,BN$3,実績!$AC$6:$AC$505,"&lt;="&amp;$A212,実績!$AD$6:$AD$505,"&gt;"&amp;$A212,実績!$AE$6:$AE$505,"○")&gt;0,1,0))</f>
        <v/>
      </c>
      <c r="BO212">
        <f>IF(BO$4=0,0,IF(COUNTIFS(実績!$W$6:$W$505,BO$3,実績!$AC$6:$AC$505,"&lt;="&amp;$A212,実績!$AD$6:$AD$505,"&gt;"&amp;$A212,実績!$AE$6:$AE$505,"○")&gt;0,1,0))</f>
        <v/>
      </c>
      <c r="BP212">
        <f>IF(BP$4=0,0,IF(COUNTIFS(実績!$W$6:$W$505,BP$3,実績!$AC$6:$AC$505,"&lt;="&amp;$A212,実績!$AD$6:$AD$505,"&gt;"&amp;$A212,実績!$AE$6:$AE$505,"○")&gt;0,1,0))</f>
        <v/>
      </c>
      <c r="BQ212">
        <f>IF(BQ$4=0,0,IF(COUNTIFS(実績!$W$6:$W$505,BQ$3,実績!$AC$6:$AC$505,"&lt;="&amp;$A212,実績!$AD$6:$AD$505,"&gt;"&amp;$A212,実績!$AE$6:$AE$505,"○")&gt;0,1,0))</f>
        <v/>
      </c>
      <c r="BR212">
        <f>IF(BR$4=0,0,IF(COUNTIFS(実績!$W$6:$W$505,BR$3,実績!$AC$6:$AC$505,"&lt;="&amp;$A212,実績!$AD$6:$AD$505,"&gt;"&amp;$A212,実績!$AE$6:$AE$505,"○")&gt;0,1,0))</f>
        <v/>
      </c>
      <c r="BS212">
        <f>IF(BS$4=0,0,IF(COUNTIFS(実績!$W$6:$W$505,BS$3,実績!$AC$6:$AC$505,"&lt;="&amp;$A212,実績!$AD$6:$AD$505,"&gt;"&amp;$A212,実績!$AE$6:$AE$505,"○")&gt;0,1,0))</f>
        <v/>
      </c>
      <c r="BT212">
        <f>IF(BT$4=0,0,IF(COUNTIFS(実績!$W$6:$W$505,BT$3,実績!$AC$6:$AC$505,"&lt;="&amp;$A212,実績!$AD$6:$AD$505,"&gt;"&amp;$A212,実績!$AE$6:$AE$505,"○")&gt;0,1,0))</f>
        <v/>
      </c>
      <c r="BU212">
        <f>IF(BU$4=0,0,IF(COUNTIFS(実績!$W$6:$W$505,BU$3,実績!$AC$6:$AC$505,"&lt;="&amp;$A212,実績!$AD$6:$AD$505,"&gt;"&amp;$A212,実績!$AE$6:$AE$505,"○")&gt;0,1,0))</f>
        <v/>
      </c>
      <c r="BV212">
        <f>IF(BV$4=0,0,IF(COUNTIFS(実績!$W$6:$W$505,BV$3,実績!$AC$6:$AC$505,"&lt;="&amp;$A212,実績!$AD$6:$AD$505,"&gt;"&amp;$A212,実績!$AE$6:$AE$505,"○")&gt;0,1,0))</f>
        <v/>
      </c>
      <c r="BW212">
        <f>IF(BW$4=0,0,IF(COUNTIFS(実績!$W$6:$W$505,BW$3,実績!$AC$6:$AC$505,"&lt;="&amp;$A212,実績!$AD$6:$AD$505,"&gt;"&amp;$A212,実績!$AE$6:$AE$505,"○")&gt;0,1,0))</f>
        <v/>
      </c>
      <c r="BX212">
        <f>IF(BX$4=0,0,IF(COUNTIFS(実績!$W$6:$W$505,BX$3,実績!$AC$6:$AC$505,"&lt;="&amp;$A212,実績!$AD$6:$AD$505,"&gt;"&amp;$A212,実績!$AE$6:$AE$505,"○")&gt;0,1,0))</f>
        <v/>
      </c>
      <c r="BY212">
        <f>IF(BY$4=0,0,IF(COUNTIFS(実績!$W$6:$W$505,BY$3,実績!$AC$6:$AC$505,"&lt;="&amp;$A212,実績!$AD$6:$AD$505,"&gt;"&amp;$A212,実績!$AE$6:$AE$505,"○")&gt;0,1,0))</f>
        <v/>
      </c>
      <c r="BZ212">
        <f>IF(BZ$4=0,0,IF(COUNTIFS(実績!$W$6:$W$505,BZ$3,実績!$AC$6:$AC$505,"&lt;="&amp;$A212,実績!$AD$6:$AD$505,"&gt;"&amp;$A212,実績!$AE$6:$AE$505,"○")&gt;0,1,0))</f>
        <v/>
      </c>
      <c r="CA212">
        <f>IF(CA$4=0,0,IF(COUNTIFS(実績!$W$6:$W$505,CA$3,実績!$AC$6:$AC$505,"&lt;="&amp;$A212,実績!$AD$6:$AD$505,"&gt;"&amp;$A212,実績!$AE$6:$AE$505,"○")&gt;0,1,0))</f>
        <v/>
      </c>
      <c r="CB212">
        <f>IF(CB$4=0,0,IF(COUNTIFS(実績!$W$6:$W$505,CB$3,実績!$AC$6:$AC$505,"&lt;="&amp;$A212,実績!$AD$6:$AD$505,"&gt;"&amp;$A212,実績!$AE$6:$AE$505,"○")&gt;0,1,0))</f>
        <v/>
      </c>
      <c r="CC212">
        <f>IF(CC$4=0,0,IF(COUNTIFS(実績!$W$6:$W$505,CC$3,実績!$AC$6:$AC$505,"&lt;="&amp;$A212,実績!$AD$6:$AD$505,"&gt;"&amp;$A212,実績!$AE$6:$AE$505,"○")&gt;0,1,0))</f>
        <v/>
      </c>
      <c r="CD212">
        <f>IF(CD$4=0,0,IF(COUNTIFS(実績!$W$6:$W$505,CD$3,実績!$AC$6:$AC$505,"&lt;="&amp;$A212,実績!$AD$6:$AD$505,"&gt;"&amp;$A212,実績!$AE$6:$AE$505,"○")&gt;0,1,0))</f>
        <v/>
      </c>
      <c r="CE212">
        <f>IF(CE$4=0,0,IF(COUNTIFS(実績!$W$6:$W$505,CE$3,実績!$AC$6:$AC$505,"&lt;="&amp;$A212,実績!$AD$6:$AD$505,"&gt;"&amp;$A212,実績!$AE$6:$AE$505,"○")&gt;0,1,0))</f>
        <v/>
      </c>
      <c r="CF212">
        <f>IF(CF$4=0,0,IF(COUNTIFS(実績!$W$6:$W$505,CF$3,実績!$AC$6:$AC$505,"&lt;="&amp;$A212,実績!$AD$6:$AD$505,"&gt;"&amp;$A212,実績!$AE$6:$AE$505,"○")&gt;0,1,0))</f>
        <v/>
      </c>
      <c r="CG212">
        <f>IF(CG$4=0,0,IF(COUNTIFS(実績!$W$6:$W$505,CG$3,実績!$AC$6:$AC$505,"&lt;="&amp;$A212,実績!$AD$6:$AD$505,"&gt;"&amp;$A212,実績!$AE$6:$AE$505,"○")&gt;0,1,0))</f>
        <v/>
      </c>
      <c r="CH212">
        <f>IF(CH$4=0,0,IF(COUNTIFS(実績!$W$6:$W$505,CH$3,実績!$AC$6:$AC$505,"&lt;="&amp;$A212,実績!$AD$6:$AD$505,"&gt;"&amp;$A212,実績!$AE$6:$AE$505,"○")&gt;0,1,0))</f>
        <v/>
      </c>
      <c r="CI212">
        <f>IF(CI$4=0,0,IF(COUNTIFS(実績!$W$6:$W$505,CI$3,実績!$AC$6:$AC$505,"&lt;="&amp;$A212,実績!$AD$6:$AD$505,"&gt;"&amp;$A212,実績!$AE$6:$AE$505,"○")&gt;0,1,0))</f>
        <v/>
      </c>
      <c r="CJ212">
        <f>IF(CJ$4=0,0,IF(COUNTIFS(実績!$W$6:$W$505,CJ$3,実績!$AC$6:$AC$505,"&lt;="&amp;$A212,実績!$AD$6:$AD$505,"&gt;"&amp;$A212,実績!$AE$6:$AE$505,"○")&gt;0,1,0))</f>
        <v/>
      </c>
      <c r="CK212">
        <f>IF(CK$4=0,0,IF(COUNTIFS(実績!$W$6:$W$505,CK$3,実績!$AC$6:$AC$505,"&lt;="&amp;$A212,実績!$AD$6:$AD$505,"&gt;"&amp;$A212,実績!$AE$6:$AE$505,"○")&gt;0,1,0))</f>
        <v/>
      </c>
      <c r="CL212">
        <f>IF(CL$4=0,0,IF(COUNTIFS(実績!$W$6:$W$505,CL$3,実績!$AC$6:$AC$505,"&lt;="&amp;$A212,実績!$AD$6:$AD$505,"&gt;"&amp;$A212,実績!$AE$6:$AE$505,"○")&gt;0,1,0))</f>
        <v/>
      </c>
      <c r="CM212">
        <f>IF(CM$4=0,0,IF(COUNTIFS(実績!$W$6:$W$505,CM$3,実績!$AC$6:$AC$505,"&lt;="&amp;$A212,実績!$AD$6:$AD$505,"&gt;"&amp;$A212,実績!$AE$6:$AE$505,"○")&gt;0,1,0))</f>
        <v/>
      </c>
      <c r="CN212">
        <f>IF(CN$4=0,0,IF(COUNTIFS(実績!$W$6:$W$505,CN$3,実績!$AC$6:$AC$505,"&lt;="&amp;$A212,実績!$AD$6:$AD$505,"&gt;"&amp;$A212,実績!$AE$6:$AE$505,"○")&gt;0,1,0))</f>
        <v/>
      </c>
      <c r="CO212">
        <f>IF(CO$4=0,0,IF(COUNTIFS(実績!$W$6:$W$505,CO$3,実績!$AC$6:$AC$505,"&lt;="&amp;$A212,実績!$AD$6:$AD$505,"&gt;"&amp;$A212,実績!$AE$6:$AE$505,"○")&gt;0,1,0))</f>
        <v/>
      </c>
      <c r="CP212">
        <f>IF(CP$4=0,0,IF(COUNTIFS(実績!$W$6:$W$505,CP$3,実績!$AC$6:$AC$505,"&lt;="&amp;$A212,実績!$AD$6:$AD$505,"&gt;"&amp;$A212,実績!$AE$6:$AE$505,"○")&gt;0,1,0))</f>
        <v/>
      </c>
      <c r="CQ212">
        <f>IF(CQ$4=0,0,IF(COUNTIFS(実績!$W$6:$W$505,CQ$3,実績!$AC$6:$AC$505,"&lt;="&amp;$A212,実績!$AD$6:$AD$505,"&gt;"&amp;$A212,実績!$AE$6:$AE$505,"○")&gt;0,1,0))</f>
        <v/>
      </c>
      <c r="CR212">
        <f>IF(CR$4=0,0,IF(COUNTIFS(実績!$W$6:$W$505,CR$3,実績!$AC$6:$AC$505,"&lt;="&amp;$A212,実績!$AD$6:$AD$505,"&gt;"&amp;$A212,実績!$AE$6:$AE$505,"○")&gt;0,1,0))</f>
        <v/>
      </c>
      <c r="CS212">
        <f>IF(CS$4=0,0,IF(COUNTIFS(実績!$W$6:$W$505,CS$3,実績!$AC$6:$AC$505,"&lt;="&amp;$A212,実績!$AD$6:$AD$505,"&gt;"&amp;$A212,実績!$AE$6:$AE$505,"○")&gt;0,1,0))</f>
        <v/>
      </c>
      <c r="CT212">
        <f>IF(CT$4=0,0,IF(COUNTIFS(実績!$W$6:$W$505,CT$3,実績!$AC$6:$AC$505,"&lt;="&amp;$A212,実績!$AD$6:$AD$505,"&gt;"&amp;$A212,実績!$AE$6:$AE$505,"○")&gt;0,1,0))</f>
        <v/>
      </c>
      <c r="CU212">
        <f>IF(CU$4=0,0,IF(COUNTIFS(実績!$W$6:$W$505,CU$3,実績!$AC$6:$AC$505,"&lt;="&amp;$A212,実績!$AD$6:$AD$505,"&gt;"&amp;$A212,実績!$AE$6:$AE$505,"○")&gt;0,1,0))</f>
        <v/>
      </c>
      <c r="CV212">
        <f>IF(CV$4=0,0,IF(COUNTIFS(実績!$W$6:$W$505,CV$3,実績!$AC$6:$AC$505,"&lt;="&amp;$A212,実績!$AD$6:$AD$505,"&gt;"&amp;$A212,実績!$AE$6:$AE$505,"○")&gt;0,1,0))</f>
        <v/>
      </c>
      <c r="CW212">
        <f>IF(CW$4=0,0,IF(COUNTIFS(実績!$W$6:$W$505,CW$3,実績!$AC$6:$AC$505,"&lt;="&amp;$A212,実績!$AD$6:$AD$505,"&gt;"&amp;$A212,実績!$AE$6:$AE$505,"○")&gt;0,1,0))</f>
        <v/>
      </c>
      <c r="CX212">
        <f>IF(CX$4=0,0,IF(COUNTIFS(実績!$W$6:$W$505,CX$3,実績!$AC$6:$AC$505,"&lt;="&amp;$A212,実績!$AD$6:$AD$505,"&gt;"&amp;$A212,実績!$AE$6:$AE$505,"○")&gt;0,1,0))</f>
        <v/>
      </c>
      <c r="CY212">
        <f>IF(CY$4=0,0,IF(COUNTIFS(実績!$W$6:$W$505,CY$3,実績!$AC$6:$AC$505,"&lt;="&amp;$A212,実績!$AD$6:$AD$505,"&gt;"&amp;$A212,実績!$AE$6:$AE$505,"○")&gt;0,1,0))</f>
        <v/>
      </c>
      <c r="CZ212">
        <f>IF(CZ$4=0,0,IF(COUNTIFS(実績!$W$6:$W$505,CZ$3,実績!$AC$6:$AC$505,"&lt;="&amp;$A212,実績!$AD$6:$AD$505,"&gt;"&amp;$A212,実績!$AE$6:$AE$505,"○")&gt;0,1,0))</f>
        <v/>
      </c>
      <c r="DA212">
        <f>IF(DA$4=0,0,IF(COUNTIFS(実績!$W$6:$W$505,DA$3,実績!$AC$6:$AC$505,"&lt;="&amp;$A212,実績!$AD$6:$AD$505,"&gt;"&amp;$A212,実績!$AE$6:$AE$505,"○")&gt;0,1,0))</f>
        <v/>
      </c>
      <c r="DB212">
        <f>IF(DB$4=0,0,IF(COUNTIFS(実績!$W$6:$W$505,DB$3,実績!$AC$6:$AC$505,"&lt;="&amp;$A212,実績!$AD$6:$AD$505,"&gt;"&amp;$A212,実績!$AE$6:$AE$505,"○")&gt;0,1,0))</f>
        <v/>
      </c>
      <c r="DC212">
        <f>IF(DC$4=0,0,IF(COUNTIFS(実績!$W$6:$W$505,DC$3,実績!$AC$6:$AC$505,"&lt;="&amp;$A212,実績!$AD$6:$AD$505,"&gt;"&amp;$A212,実績!$AE$6:$AE$505,"○")&gt;0,1,0))</f>
        <v/>
      </c>
      <c r="DD212">
        <f>IF(DD$4=0,0,IF(COUNTIFS(実績!$W$6:$W$505,DD$3,実績!$AC$6:$AC$505,"&lt;="&amp;$A212,実績!$AD$6:$AD$505,"&gt;"&amp;$A212,実績!$AE$6:$AE$505,"○")&gt;0,1,0))</f>
        <v/>
      </c>
      <c r="DE212">
        <f>IF(DE$4=0,0,IF(COUNTIFS(実績!$W$6:$W$505,DE$3,実績!$AC$6:$AC$505,"&lt;="&amp;$A212,実績!$AD$6:$AD$505,"&gt;"&amp;$A212,実績!$AE$6:$AE$505,"○")&gt;0,1,0))</f>
        <v/>
      </c>
      <c r="DF212">
        <f>IF(DF$4=0,0,IF(COUNTIFS(実績!$W$6:$W$505,DF$3,実績!$AC$6:$AC$505,"&lt;="&amp;$A212,実績!$AD$6:$AD$505,"&gt;"&amp;$A212,実績!$AE$6:$AE$505,"○")&gt;0,1,0))</f>
        <v/>
      </c>
      <c r="DG212">
        <f>IF(DG$4=0,0,IF(COUNTIFS(実績!$W$6:$W$505,DG$3,実績!$AC$6:$AC$505,"&lt;="&amp;$A212,実績!$AD$6:$AD$505,"&gt;"&amp;$A212,実績!$AE$6:$AE$505,"○")&gt;0,1,0))</f>
        <v/>
      </c>
      <c r="DH212">
        <f>IF(DH$4=0,0,IF(COUNTIFS(実績!$W$6:$W$505,DH$3,実績!$AC$6:$AC$505,"&lt;="&amp;$A212,実績!$AD$6:$AD$505,"&gt;"&amp;$A212,実績!$AE$6:$AE$505,"○")&gt;0,1,0))</f>
        <v/>
      </c>
      <c r="DI212">
        <f>IF(DI$4=0,0,IF(COUNTIFS(実績!$W$6:$W$505,DI$3,実績!$AC$6:$AC$505,"&lt;="&amp;$A212,実績!$AD$6:$AD$505,"&gt;"&amp;$A212,実績!$AE$6:$AE$505,"○")&gt;0,1,0))</f>
        <v/>
      </c>
      <c r="DJ212">
        <f>IF(DJ$4=0,0,IF(COUNTIFS(実績!$W$6:$W$505,DJ$3,実績!$AC$6:$AC$505,"&lt;="&amp;$A212,実績!$AD$6:$AD$505,"&gt;"&amp;$A212,実績!$AE$6:$AE$505,"○")&gt;0,1,0))</f>
        <v/>
      </c>
      <c r="DK212">
        <f>IF(DK$4=0,0,IF(COUNTIFS(実績!$W$6:$W$505,DK$3,実績!$AC$6:$AC$505,"&lt;="&amp;$A212,実績!$AD$6:$AD$505,"&gt;"&amp;$A212,実績!$AE$6:$AE$505,"○")&gt;0,1,0))</f>
        <v/>
      </c>
      <c r="DL212">
        <f>IF(DL$4=0,0,IF(COUNTIFS(実績!$W$6:$W$505,DL$3,実績!$AC$6:$AC$505,"&lt;="&amp;$A212,実績!$AD$6:$AD$505,"&gt;"&amp;$A212,実績!$AE$6:$AE$505,"○")&gt;0,1,0))</f>
        <v/>
      </c>
      <c r="DM212">
        <f>IF(DM$4=0,0,IF(COUNTIFS(実績!$W$6:$W$505,DM$3,実績!$AC$6:$AC$505,"&lt;="&amp;$A212,実績!$AD$6:$AD$505,"&gt;"&amp;$A212,実績!$AE$6:$AE$505,"○")&gt;0,1,0))</f>
        <v/>
      </c>
      <c r="DN212">
        <f>IF(DN$4=0,0,IF(COUNTIFS(実績!$W$6:$W$505,DN$3,実績!$AC$6:$AC$505,"&lt;="&amp;$A212,実績!$AD$6:$AD$505,"&gt;"&amp;$A212,実績!$AE$6:$AE$505,"○")&gt;0,1,0))</f>
        <v/>
      </c>
      <c r="DO212">
        <f>IF(DO$4=0,0,IF(COUNTIFS(実績!$W$6:$W$505,DO$3,実績!$AC$6:$AC$505,"&lt;="&amp;$A212,実績!$AD$6:$AD$505,"&gt;"&amp;$A212,実績!$AE$6:$AE$505,"○")&gt;0,1,0))</f>
        <v/>
      </c>
      <c r="DP212">
        <f>IF(DP$4=0,0,IF(COUNTIFS(実績!$W$6:$W$505,DP$3,実績!$AC$6:$AC$505,"&lt;="&amp;$A212,実績!$AD$6:$AD$505,"&gt;"&amp;$A212,実績!$AE$6:$AE$505,"○")&gt;0,1,0))</f>
        <v/>
      </c>
      <c r="DQ212">
        <f>IF(DQ$4=0,0,IF(COUNTIFS(実績!$W$6:$W$505,DQ$3,実績!$AC$6:$AC$505,"&lt;="&amp;$A212,実績!$AD$6:$AD$505,"&gt;"&amp;$A212,実績!$AE$6:$AE$505,"○")&gt;0,1,0))</f>
        <v/>
      </c>
      <c r="DR212">
        <f>IF(DR$4=0,0,IF(COUNTIFS(実績!$W$6:$W$505,DR$3,実績!$AC$6:$AC$505,"&lt;="&amp;$A212,実績!$AD$6:$AD$505,"&gt;"&amp;$A212,実績!$AE$6:$AE$505,"○")&gt;0,1,0))</f>
        <v/>
      </c>
      <c r="DS212">
        <f>SUM(C212:DR212)</f>
        <v/>
      </c>
      <c r="DT212">
        <f>SUMPRODUCT((実績!$C$6:$C$505="○")*ISNUMBER(実績!$AF$6:$AF$505)*(実績!$AF$6:$AF$505&lt;=$A212)*(実績!$AG$6:$AG$505&gt;$A212))</f>
        <v/>
      </c>
      <c r="DU212">
        <f>SUMIF($C$2:$DR$2,"製鉄曳船",C212:DR212)</f>
        <v/>
      </c>
      <c r="DV212">
        <f>SUMIF($C$2:$DR$2,"西日本海運",C212:DR212)</f>
        <v/>
      </c>
    </row>
    <row r="213">
      <c r="A213" t="n">
        <v>1035</v>
      </c>
      <c r="B213" s="29">
        <f>A213/1440</f>
        <v/>
      </c>
      <c r="C213">
        <f>IF(C$4=0,0,IF(COUNTIFS(実績!$W$6:$W$505,C$3,実績!$AC$6:$AC$505,"&lt;="&amp;$A213,実績!$AD$6:$AD$505,"&gt;"&amp;$A213,実績!$AE$6:$AE$505,"○")&gt;0,1,0))</f>
        <v/>
      </c>
      <c r="D213">
        <f>IF(D$4=0,0,IF(COUNTIFS(実績!$W$6:$W$505,D$3,実績!$AC$6:$AC$505,"&lt;="&amp;$A213,実績!$AD$6:$AD$505,"&gt;"&amp;$A213,実績!$AE$6:$AE$505,"○")&gt;0,1,0))</f>
        <v/>
      </c>
      <c r="E213">
        <f>IF(E$4=0,0,IF(COUNTIFS(実績!$W$6:$W$505,E$3,実績!$AC$6:$AC$505,"&lt;="&amp;$A213,実績!$AD$6:$AD$505,"&gt;"&amp;$A213,実績!$AE$6:$AE$505,"○")&gt;0,1,0))</f>
        <v/>
      </c>
      <c r="F213">
        <f>IF(F$4=0,0,IF(COUNTIFS(実績!$W$6:$W$505,F$3,実績!$AC$6:$AC$505,"&lt;="&amp;$A213,実績!$AD$6:$AD$505,"&gt;"&amp;$A213,実績!$AE$6:$AE$505,"○")&gt;0,1,0))</f>
        <v/>
      </c>
      <c r="G213">
        <f>IF(G$4=0,0,IF(COUNTIFS(実績!$W$6:$W$505,G$3,実績!$AC$6:$AC$505,"&lt;="&amp;$A213,実績!$AD$6:$AD$505,"&gt;"&amp;$A213,実績!$AE$6:$AE$505,"○")&gt;0,1,0))</f>
        <v/>
      </c>
      <c r="H213">
        <f>IF(H$4=0,0,IF(COUNTIFS(実績!$W$6:$W$505,H$3,実績!$AC$6:$AC$505,"&lt;="&amp;$A213,実績!$AD$6:$AD$505,"&gt;"&amp;$A213,実績!$AE$6:$AE$505,"○")&gt;0,1,0))</f>
        <v/>
      </c>
      <c r="I213">
        <f>IF(I$4=0,0,IF(COUNTIFS(実績!$W$6:$W$505,I$3,実績!$AC$6:$AC$505,"&lt;="&amp;$A213,実績!$AD$6:$AD$505,"&gt;"&amp;$A213,実績!$AE$6:$AE$505,"○")&gt;0,1,0))</f>
        <v/>
      </c>
      <c r="J213">
        <f>IF(J$4=0,0,IF(COUNTIFS(実績!$W$6:$W$505,J$3,実績!$AC$6:$AC$505,"&lt;="&amp;$A213,実績!$AD$6:$AD$505,"&gt;"&amp;$A213,実績!$AE$6:$AE$505,"○")&gt;0,1,0))</f>
        <v/>
      </c>
      <c r="K213">
        <f>IF(K$4=0,0,IF(COUNTIFS(実績!$W$6:$W$505,K$3,実績!$AC$6:$AC$505,"&lt;="&amp;$A213,実績!$AD$6:$AD$505,"&gt;"&amp;$A213,実績!$AE$6:$AE$505,"○")&gt;0,1,0))</f>
        <v/>
      </c>
      <c r="L213">
        <f>IF(L$4=0,0,IF(COUNTIFS(実績!$W$6:$W$505,L$3,実績!$AC$6:$AC$505,"&lt;="&amp;$A213,実績!$AD$6:$AD$505,"&gt;"&amp;$A213,実績!$AE$6:$AE$505,"○")&gt;0,1,0))</f>
        <v/>
      </c>
      <c r="M213">
        <f>IF(M$4=0,0,IF(COUNTIFS(実績!$W$6:$W$505,M$3,実績!$AC$6:$AC$505,"&lt;="&amp;$A213,実績!$AD$6:$AD$505,"&gt;"&amp;$A213,実績!$AE$6:$AE$505,"○")&gt;0,1,0))</f>
        <v/>
      </c>
      <c r="N213">
        <f>IF(N$4=0,0,IF(COUNTIFS(実績!$W$6:$W$505,N$3,実績!$AC$6:$AC$505,"&lt;="&amp;$A213,実績!$AD$6:$AD$505,"&gt;"&amp;$A213,実績!$AE$6:$AE$505,"○")&gt;0,1,0))</f>
        <v/>
      </c>
      <c r="O213">
        <f>IF(O$4=0,0,IF(COUNTIFS(実績!$W$6:$W$505,O$3,実績!$AC$6:$AC$505,"&lt;="&amp;$A213,実績!$AD$6:$AD$505,"&gt;"&amp;$A213,実績!$AE$6:$AE$505,"○")&gt;0,1,0))</f>
        <v/>
      </c>
      <c r="P213">
        <f>IF(P$4=0,0,IF(COUNTIFS(実績!$W$6:$W$505,P$3,実績!$AC$6:$AC$505,"&lt;="&amp;$A213,実績!$AD$6:$AD$505,"&gt;"&amp;$A213,実績!$AE$6:$AE$505,"○")&gt;0,1,0))</f>
        <v/>
      </c>
      <c r="Q213">
        <f>IF(Q$4=0,0,IF(COUNTIFS(実績!$W$6:$W$505,Q$3,実績!$AC$6:$AC$505,"&lt;="&amp;$A213,実績!$AD$6:$AD$505,"&gt;"&amp;$A213,実績!$AE$6:$AE$505,"○")&gt;0,1,0))</f>
        <v/>
      </c>
      <c r="R213">
        <f>IF(R$4=0,0,IF(COUNTIFS(実績!$W$6:$W$505,R$3,実績!$AC$6:$AC$505,"&lt;="&amp;$A213,実績!$AD$6:$AD$505,"&gt;"&amp;$A213,実績!$AE$6:$AE$505,"○")&gt;0,1,0))</f>
        <v/>
      </c>
      <c r="S213">
        <f>IF(S$4=0,0,IF(COUNTIFS(実績!$W$6:$W$505,S$3,実績!$AC$6:$AC$505,"&lt;="&amp;$A213,実績!$AD$6:$AD$505,"&gt;"&amp;$A213,実績!$AE$6:$AE$505,"○")&gt;0,1,0))</f>
        <v/>
      </c>
      <c r="T213">
        <f>IF(T$4=0,0,IF(COUNTIFS(実績!$W$6:$W$505,T$3,実績!$AC$6:$AC$505,"&lt;="&amp;$A213,実績!$AD$6:$AD$505,"&gt;"&amp;$A213,実績!$AE$6:$AE$505,"○")&gt;0,1,0))</f>
        <v/>
      </c>
      <c r="U213">
        <f>IF(U$4=0,0,IF(COUNTIFS(実績!$W$6:$W$505,U$3,実績!$AC$6:$AC$505,"&lt;="&amp;$A213,実績!$AD$6:$AD$505,"&gt;"&amp;$A213,実績!$AE$6:$AE$505,"○")&gt;0,1,0))</f>
        <v/>
      </c>
      <c r="V213">
        <f>IF(V$4=0,0,IF(COUNTIFS(実績!$W$6:$W$505,V$3,実績!$AC$6:$AC$505,"&lt;="&amp;$A213,実績!$AD$6:$AD$505,"&gt;"&amp;$A213,実績!$AE$6:$AE$505,"○")&gt;0,1,0))</f>
        <v/>
      </c>
      <c r="W213">
        <f>IF(W$4=0,0,IF(COUNTIFS(実績!$W$6:$W$505,W$3,実績!$AC$6:$AC$505,"&lt;="&amp;$A213,実績!$AD$6:$AD$505,"&gt;"&amp;$A213,実績!$AE$6:$AE$505,"○")&gt;0,1,0))</f>
        <v/>
      </c>
      <c r="X213">
        <f>IF(X$4=0,0,IF(COUNTIFS(実績!$W$6:$W$505,X$3,実績!$AC$6:$AC$505,"&lt;="&amp;$A213,実績!$AD$6:$AD$505,"&gt;"&amp;$A213,実績!$AE$6:$AE$505,"○")&gt;0,1,0))</f>
        <v/>
      </c>
      <c r="Y213">
        <f>IF(Y$4=0,0,IF(COUNTIFS(実績!$W$6:$W$505,Y$3,実績!$AC$6:$AC$505,"&lt;="&amp;$A213,実績!$AD$6:$AD$505,"&gt;"&amp;$A213,実績!$AE$6:$AE$505,"○")&gt;0,1,0))</f>
        <v/>
      </c>
      <c r="Z213">
        <f>IF(Z$4=0,0,IF(COUNTIFS(実績!$W$6:$W$505,Z$3,実績!$AC$6:$AC$505,"&lt;="&amp;$A213,実績!$AD$6:$AD$505,"&gt;"&amp;$A213,実績!$AE$6:$AE$505,"○")&gt;0,1,0))</f>
        <v/>
      </c>
      <c r="AA213">
        <f>IF(AA$4=0,0,IF(COUNTIFS(実績!$W$6:$W$505,AA$3,実績!$AC$6:$AC$505,"&lt;="&amp;$A213,実績!$AD$6:$AD$505,"&gt;"&amp;$A213,実績!$AE$6:$AE$505,"○")&gt;0,1,0))</f>
        <v/>
      </c>
      <c r="AB213">
        <f>IF(AB$4=0,0,IF(COUNTIFS(実績!$W$6:$W$505,AB$3,実績!$AC$6:$AC$505,"&lt;="&amp;$A213,実績!$AD$6:$AD$505,"&gt;"&amp;$A213,実績!$AE$6:$AE$505,"○")&gt;0,1,0))</f>
        <v/>
      </c>
      <c r="AC213">
        <f>IF(AC$4=0,0,IF(COUNTIFS(実績!$W$6:$W$505,AC$3,実績!$AC$6:$AC$505,"&lt;="&amp;$A213,実績!$AD$6:$AD$505,"&gt;"&amp;$A213,実績!$AE$6:$AE$505,"○")&gt;0,1,0))</f>
        <v/>
      </c>
      <c r="AD213">
        <f>IF(AD$4=0,0,IF(COUNTIFS(実績!$W$6:$W$505,AD$3,実績!$AC$6:$AC$505,"&lt;="&amp;$A213,実績!$AD$6:$AD$505,"&gt;"&amp;$A213,実績!$AE$6:$AE$505,"○")&gt;0,1,0))</f>
        <v/>
      </c>
      <c r="AE213">
        <f>IF(AE$4=0,0,IF(COUNTIFS(実績!$W$6:$W$505,AE$3,実績!$AC$6:$AC$505,"&lt;="&amp;$A213,実績!$AD$6:$AD$505,"&gt;"&amp;$A213,実績!$AE$6:$AE$505,"○")&gt;0,1,0))</f>
        <v/>
      </c>
      <c r="AF213">
        <f>IF(AF$4=0,0,IF(COUNTIFS(実績!$W$6:$W$505,AF$3,実績!$AC$6:$AC$505,"&lt;="&amp;$A213,実績!$AD$6:$AD$505,"&gt;"&amp;$A213,実績!$AE$6:$AE$505,"○")&gt;0,1,0))</f>
        <v/>
      </c>
      <c r="AG213">
        <f>IF(AG$4=0,0,IF(COUNTIFS(実績!$W$6:$W$505,AG$3,実績!$AC$6:$AC$505,"&lt;="&amp;$A213,実績!$AD$6:$AD$505,"&gt;"&amp;$A213,実績!$AE$6:$AE$505,"○")&gt;0,1,0))</f>
        <v/>
      </c>
      <c r="AH213">
        <f>IF(AH$4=0,0,IF(COUNTIFS(実績!$W$6:$W$505,AH$3,実績!$AC$6:$AC$505,"&lt;="&amp;$A213,実績!$AD$6:$AD$505,"&gt;"&amp;$A213,実績!$AE$6:$AE$505,"○")&gt;0,1,0))</f>
        <v/>
      </c>
      <c r="AI213">
        <f>IF(AI$4=0,0,IF(COUNTIFS(実績!$W$6:$W$505,AI$3,実績!$AC$6:$AC$505,"&lt;="&amp;$A213,実績!$AD$6:$AD$505,"&gt;"&amp;$A213,実績!$AE$6:$AE$505,"○")&gt;0,1,0))</f>
        <v/>
      </c>
      <c r="AJ213">
        <f>IF(AJ$4=0,0,IF(COUNTIFS(実績!$W$6:$W$505,AJ$3,実績!$AC$6:$AC$505,"&lt;="&amp;$A213,実績!$AD$6:$AD$505,"&gt;"&amp;$A213,実績!$AE$6:$AE$505,"○")&gt;0,1,0))</f>
        <v/>
      </c>
      <c r="AK213">
        <f>IF(AK$4=0,0,IF(COUNTIFS(実績!$W$6:$W$505,AK$3,実績!$AC$6:$AC$505,"&lt;="&amp;$A213,実績!$AD$6:$AD$505,"&gt;"&amp;$A213,実績!$AE$6:$AE$505,"○")&gt;0,1,0))</f>
        <v/>
      </c>
      <c r="AL213">
        <f>IF(AL$4=0,0,IF(COUNTIFS(実績!$W$6:$W$505,AL$3,実績!$AC$6:$AC$505,"&lt;="&amp;$A213,実績!$AD$6:$AD$505,"&gt;"&amp;$A213,実績!$AE$6:$AE$505,"○")&gt;0,1,0))</f>
        <v/>
      </c>
      <c r="AM213">
        <f>IF(AM$4=0,0,IF(COUNTIFS(実績!$W$6:$W$505,AM$3,実績!$AC$6:$AC$505,"&lt;="&amp;$A213,実績!$AD$6:$AD$505,"&gt;"&amp;$A213,実績!$AE$6:$AE$505,"○")&gt;0,1,0))</f>
        <v/>
      </c>
      <c r="AN213">
        <f>IF(AN$4=0,0,IF(COUNTIFS(実績!$W$6:$W$505,AN$3,実績!$AC$6:$AC$505,"&lt;="&amp;$A213,実績!$AD$6:$AD$505,"&gt;"&amp;$A213,実績!$AE$6:$AE$505,"○")&gt;0,1,0))</f>
        <v/>
      </c>
      <c r="AO213">
        <f>IF(AO$4=0,0,IF(COUNTIFS(実績!$W$6:$W$505,AO$3,実績!$AC$6:$AC$505,"&lt;="&amp;$A213,実績!$AD$6:$AD$505,"&gt;"&amp;$A213,実績!$AE$6:$AE$505,"○")&gt;0,1,0))</f>
        <v/>
      </c>
      <c r="AP213">
        <f>IF(AP$4=0,0,IF(COUNTIFS(実績!$W$6:$W$505,AP$3,実績!$AC$6:$AC$505,"&lt;="&amp;$A213,実績!$AD$6:$AD$505,"&gt;"&amp;$A213,実績!$AE$6:$AE$505,"○")&gt;0,1,0))</f>
        <v/>
      </c>
      <c r="AQ213">
        <f>IF(AQ$4=0,0,IF(COUNTIFS(実績!$W$6:$W$505,AQ$3,実績!$AC$6:$AC$505,"&lt;="&amp;$A213,実績!$AD$6:$AD$505,"&gt;"&amp;$A213,実績!$AE$6:$AE$505,"○")&gt;0,1,0))</f>
        <v/>
      </c>
      <c r="AR213">
        <f>IF(AR$4=0,0,IF(COUNTIFS(実績!$W$6:$W$505,AR$3,実績!$AC$6:$AC$505,"&lt;="&amp;$A213,実績!$AD$6:$AD$505,"&gt;"&amp;$A213,実績!$AE$6:$AE$505,"○")&gt;0,1,0))</f>
        <v/>
      </c>
      <c r="AS213">
        <f>IF(AS$4=0,0,IF(COUNTIFS(実績!$W$6:$W$505,AS$3,実績!$AC$6:$AC$505,"&lt;="&amp;$A213,実績!$AD$6:$AD$505,"&gt;"&amp;$A213,実績!$AE$6:$AE$505,"○")&gt;0,1,0))</f>
        <v/>
      </c>
      <c r="AT213">
        <f>IF(AT$4=0,0,IF(COUNTIFS(実績!$W$6:$W$505,AT$3,実績!$AC$6:$AC$505,"&lt;="&amp;$A213,実績!$AD$6:$AD$505,"&gt;"&amp;$A213,実績!$AE$6:$AE$505,"○")&gt;0,1,0))</f>
        <v/>
      </c>
      <c r="AU213">
        <f>IF(AU$4=0,0,IF(COUNTIFS(実績!$W$6:$W$505,AU$3,実績!$AC$6:$AC$505,"&lt;="&amp;$A213,実績!$AD$6:$AD$505,"&gt;"&amp;$A213,実績!$AE$6:$AE$505,"○")&gt;0,1,0))</f>
        <v/>
      </c>
      <c r="AV213">
        <f>IF(AV$4=0,0,IF(COUNTIFS(実績!$W$6:$W$505,AV$3,実績!$AC$6:$AC$505,"&lt;="&amp;$A213,実績!$AD$6:$AD$505,"&gt;"&amp;$A213,実績!$AE$6:$AE$505,"○")&gt;0,1,0))</f>
        <v/>
      </c>
      <c r="AW213">
        <f>IF(AW$4=0,0,IF(COUNTIFS(実績!$W$6:$W$505,AW$3,実績!$AC$6:$AC$505,"&lt;="&amp;$A213,実績!$AD$6:$AD$505,"&gt;"&amp;$A213,実績!$AE$6:$AE$505,"○")&gt;0,1,0))</f>
        <v/>
      </c>
      <c r="AX213">
        <f>IF(AX$4=0,0,IF(COUNTIFS(実績!$W$6:$W$505,AX$3,実績!$AC$6:$AC$505,"&lt;="&amp;$A213,実績!$AD$6:$AD$505,"&gt;"&amp;$A213,実績!$AE$6:$AE$505,"○")&gt;0,1,0))</f>
        <v/>
      </c>
      <c r="AY213">
        <f>IF(AY$4=0,0,IF(COUNTIFS(実績!$W$6:$W$505,AY$3,実績!$AC$6:$AC$505,"&lt;="&amp;$A213,実績!$AD$6:$AD$505,"&gt;"&amp;$A213,実績!$AE$6:$AE$505,"○")&gt;0,1,0))</f>
        <v/>
      </c>
      <c r="AZ213">
        <f>IF(AZ$4=0,0,IF(COUNTIFS(実績!$W$6:$W$505,AZ$3,実績!$AC$6:$AC$505,"&lt;="&amp;$A213,実績!$AD$6:$AD$505,"&gt;"&amp;$A213,実績!$AE$6:$AE$505,"○")&gt;0,1,0))</f>
        <v/>
      </c>
      <c r="BA213">
        <f>IF(BA$4=0,0,IF(COUNTIFS(実績!$W$6:$W$505,BA$3,実績!$AC$6:$AC$505,"&lt;="&amp;$A213,実績!$AD$6:$AD$505,"&gt;"&amp;$A213,実績!$AE$6:$AE$505,"○")&gt;0,1,0))</f>
        <v/>
      </c>
      <c r="BB213">
        <f>IF(BB$4=0,0,IF(COUNTIFS(実績!$W$6:$W$505,BB$3,実績!$AC$6:$AC$505,"&lt;="&amp;$A213,実績!$AD$6:$AD$505,"&gt;"&amp;$A213,実績!$AE$6:$AE$505,"○")&gt;0,1,0))</f>
        <v/>
      </c>
      <c r="BC213">
        <f>IF(BC$4=0,0,IF(COUNTIFS(実績!$W$6:$W$505,BC$3,実績!$AC$6:$AC$505,"&lt;="&amp;$A213,実績!$AD$6:$AD$505,"&gt;"&amp;$A213,実績!$AE$6:$AE$505,"○")&gt;0,1,0))</f>
        <v/>
      </c>
      <c r="BD213">
        <f>IF(BD$4=0,0,IF(COUNTIFS(実績!$W$6:$W$505,BD$3,実績!$AC$6:$AC$505,"&lt;="&amp;$A213,実績!$AD$6:$AD$505,"&gt;"&amp;$A213,実績!$AE$6:$AE$505,"○")&gt;0,1,0))</f>
        <v/>
      </c>
      <c r="BE213">
        <f>IF(BE$4=0,0,IF(COUNTIFS(実績!$W$6:$W$505,BE$3,実績!$AC$6:$AC$505,"&lt;="&amp;$A213,実績!$AD$6:$AD$505,"&gt;"&amp;$A213,実績!$AE$6:$AE$505,"○")&gt;0,1,0))</f>
        <v/>
      </c>
      <c r="BF213">
        <f>IF(BF$4=0,0,IF(COUNTIFS(実績!$W$6:$W$505,BF$3,実績!$AC$6:$AC$505,"&lt;="&amp;$A213,実績!$AD$6:$AD$505,"&gt;"&amp;$A213,実績!$AE$6:$AE$505,"○")&gt;0,1,0))</f>
        <v/>
      </c>
      <c r="BG213">
        <f>IF(BG$4=0,0,IF(COUNTIFS(実績!$W$6:$W$505,BG$3,実績!$AC$6:$AC$505,"&lt;="&amp;$A213,実績!$AD$6:$AD$505,"&gt;"&amp;$A213,実績!$AE$6:$AE$505,"○")&gt;0,1,0))</f>
        <v/>
      </c>
      <c r="BH213">
        <f>IF(BH$4=0,0,IF(COUNTIFS(実績!$W$6:$W$505,BH$3,実績!$AC$6:$AC$505,"&lt;="&amp;$A213,実績!$AD$6:$AD$505,"&gt;"&amp;$A213,実績!$AE$6:$AE$505,"○")&gt;0,1,0))</f>
        <v/>
      </c>
      <c r="BI213">
        <f>IF(BI$4=0,0,IF(COUNTIFS(実績!$W$6:$W$505,BI$3,実績!$AC$6:$AC$505,"&lt;="&amp;$A213,実績!$AD$6:$AD$505,"&gt;"&amp;$A213,実績!$AE$6:$AE$505,"○")&gt;0,1,0))</f>
        <v/>
      </c>
      <c r="BJ213">
        <f>IF(BJ$4=0,0,IF(COUNTIFS(実績!$W$6:$W$505,BJ$3,実績!$AC$6:$AC$505,"&lt;="&amp;$A213,実績!$AD$6:$AD$505,"&gt;"&amp;$A213,実績!$AE$6:$AE$505,"○")&gt;0,1,0))</f>
        <v/>
      </c>
      <c r="BK213">
        <f>IF(BK$4=0,0,IF(COUNTIFS(実績!$W$6:$W$505,BK$3,実績!$AC$6:$AC$505,"&lt;="&amp;$A213,実績!$AD$6:$AD$505,"&gt;"&amp;$A213,実績!$AE$6:$AE$505,"○")&gt;0,1,0))</f>
        <v/>
      </c>
      <c r="BL213">
        <f>IF(BL$4=0,0,IF(COUNTIFS(実績!$W$6:$W$505,BL$3,実績!$AC$6:$AC$505,"&lt;="&amp;$A213,実績!$AD$6:$AD$505,"&gt;"&amp;$A213,実績!$AE$6:$AE$505,"○")&gt;0,1,0))</f>
        <v/>
      </c>
      <c r="BM213">
        <f>IF(BM$4=0,0,IF(COUNTIFS(実績!$W$6:$W$505,BM$3,実績!$AC$6:$AC$505,"&lt;="&amp;$A213,実績!$AD$6:$AD$505,"&gt;"&amp;$A213,実績!$AE$6:$AE$505,"○")&gt;0,1,0))</f>
        <v/>
      </c>
      <c r="BN213">
        <f>IF(BN$4=0,0,IF(COUNTIFS(実績!$W$6:$W$505,BN$3,実績!$AC$6:$AC$505,"&lt;="&amp;$A213,実績!$AD$6:$AD$505,"&gt;"&amp;$A213,実績!$AE$6:$AE$505,"○")&gt;0,1,0))</f>
        <v/>
      </c>
      <c r="BO213">
        <f>IF(BO$4=0,0,IF(COUNTIFS(実績!$W$6:$W$505,BO$3,実績!$AC$6:$AC$505,"&lt;="&amp;$A213,実績!$AD$6:$AD$505,"&gt;"&amp;$A213,実績!$AE$6:$AE$505,"○")&gt;0,1,0))</f>
        <v/>
      </c>
      <c r="BP213">
        <f>IF(BP$4=0,0,IF(COUNTIFS(実績!$W$6:$W$505,BP$3,実績!$AC$6:$AC$505,"&lt;="&amp;$A213,実績!$AD$6:$AD$505,"&gt;"&amp;$A213,実績!$AE$6:$AE$505,"○")&gt;0,1,0))</f>
        <v/>
      </c>
      <c r="BQ213">
        <f>IF(BQ$4=0,0,IF(COUNTIFS(実績!$W$6:$W$505,BQ$3,実績!$AC$6:$AC$505,"&lt;="&amp;$A213,実績!$AD$6:$AD$505,"&gt;"&amp;$A213,実績!$AE$6:$AE$505,"○")&gt;0,1,0))</f>
        <v/>
      </c>
      <c r="BR213">
        <f>IF(BR$4=0,0,IF(COUNTIFS(実績!$W$6:$W$505,BR$3,実績!$AC$6:$AC$505,"&lt;="&amp;$A213,実績!$AD$6:$AD$505,"&gt;"&amp;$A213,実績!$AE$6:$AE$505,"○")&gt;0,1,0))</f>
        <v/>
      </c>
      <c r="BS213">
        <f>IF(BS$4=0,0,IF(COUNTIFS(実績!$W$6:$W$505,BS$3,実績!$AC$6:$AC$505,"&lt;="&amp;$A213,実績!$AD$6:$AD$505,"&gt;"&amp;$A213,実績!$AE$6:$AE$505,"○")&gt;0,1,0))</f>
        <v/>
      </c>
      <c r="BT213">
        <f>IF(BT$4=0,0,IF(COUNTIFS(実績!$W$6:$W$505,BT$3,実績!$AC$6:$AC$505,"&lt;="&amp;$A213,実績!$AD$6:$AD$505,"&gt;"&amp;$A213,実績!$AE$6:$AE$505,"○")&gt;0,1,0))</f>
        <v/>
      </c>
      <c r="BU213">
        <f>IF(BU$4=0,0,IF(COUNTIFS(実績!$W$6:$W$505,BU$3,実績!$AC$6:$AC$505,"&lt;="&amp;$A213,実績!$AD$6:$AD$505,"&gt;"&amp;$A213,実績!$AE$6:$AE$505,"○")&gt;0,1,0))</f>
        <v/>
      </c>
      <c r="BV213">
        <f>IF(BV$4=0,0,IF(COUNTIFS(実績!$W$6:$W$505,BV$3,実績!$AC$6:$AC$505,"&lt;="&amp;$A213,実績!$AD$6:$AD$505,"&gt;"&amp;$A213,実績!$AE$6:$AE$505,"○")&gt;0,1,0))</f>
        <v/>
      </c>
      <c r="BW213">
        <f>IF(BW$4=0,0,IF(COUNTIFS(実績!$W$6:$W$505,BW$3,実績!$AC$6:$AC$505,"&lt;="&amp;$A213,実績!$AD$6:$AD$505,"&gt;"&amp;$A213,実績!$AE$6:$AE$505,"○")&gt;0,1,0))</f>
        <v/>
      </c>
      <c r="BX213">
        <f>IF(BX$4=0,0,IF(COUNTIFS(実績!$W$6:$W$505,BX$3,実績!$AC$6:$AC$505,"&lt;="&amp;$A213,実績!$AD$6:$AD$505,"&gt;"&amp;$A213,実績!$AE$6:$AE$505,"○")&gt;0,1,0))</f>
        <v/>
      </c>
      <c r="BY213">
        <f>IF(BY$4=0,0,IF(COUNTIFS(実績!$W$6:$W$505,BY$3,実績!$AC$6:$AC$505,"&lt;="&amp;$A213,実績!$AD$6:$AD$505,"&gt;"&amp;$A213,実績!$AE$6:$AE$505,"○")&gt;0,1,0))</f>
        <v/>
      </c>
      <c r="BZ213">
        <f>IF(BZ$4=0,0,IF(COUNTIFS(実績!$W$6:$W$505,BZ$3,実績!$AC$6:$AC$505,"&lt;="&amp;$A213,実績!$AD$6:$AD$505,"&gt;"&amp;$A213,実績!$AE$6:$AE$505,"○")&gt;0,1,0))</f>
        <v/>
      </c>
      <c r="CA213">
        <f>IF(CA$4=0,0,IF(COUNTIFS(実績!$W$6:$W$505,CA$3,実績!$AC$6:$AC$505,"&lt;="&amp;$A213,実績!$AD$6:$AD$505,"&gt;"&amp;$A213,実績!$AE$6:$AE$505,"○")&gt;0,1,0))</f>
        <v/>
      </c>
      <c r="CB213">
        <f>IF(CB$4=0,0,IF(COUNTIFS(実績!$W$6:$W$505,CB$3,実績!$AC$6:$AC$505,"&lt;="&amp;$A213,実績!$AD$6:$AD$505,"&gt;"&amp;$A213,実績!$AE$6:$AE$505,"○")&gt;0,1,0))</f>
        <v/>
      </c>
      <c r="CC213">
        <f>IF(CC$4=0,0,IF(COUNTIFS(実績!$W$6:$W$505,CC$3,実績!$AC$6:$AC$505,"&lt;="&amp;$A213,実績!$AD$6:$AD$505,"&gt;"&amp;$A213,実績!$AE$6:$AE$505,"○")&gt;0,1,0))</f>
        <v/>
      </c>
      <c r="CD213">
        <f>IF(CD$4=0,0,IF(COUNTIFS(実績!$W$6:$W$505,CD$3,実績!$AC$6:$AC$505,"&lt;="&amp;$A213,実績!$AD$6:$AD$505,"&gt;"&amp;$A213,実績!$AE$6:$AE$505,"○")&gt;0,1,0))</f>
        <v/>
      </c>
      <c r="CE213">
        <f>IF(CE$4=0,0,IF(COUNTIFS(実績!$W$6:$W$505,CE$3,実績!$AC$6:$AC$505,"&lt;="&amp;$A213,実績!$AD$6:$AD$505,"&gt;"&amp;$A213,実績!$AE$6:$AE$505,"○")&gt;0,1,0))</f>
        <v/>
      </c>
      <c r="CF213">
        <f>IF(CF$4=0,0,IF(COUNTIFS(実績!$W$6:$W$505,CF$3,実績!$AC$6:$AC$505,"&lt;="&amp;$A213,実績!$AD$6:$AD$505,"&gt;"&amp;$A213,実績!$AE$6:$AE$505,"○")&gt;0,1,0))</f>
        <v/>
      </c>
      <c r="CG213">
        <f>IF(CG$4=0,0,IF(COUNTIFS(実績!$W$6:$W$505,CG$3,実績!$AC$6:$AC$505,"&lt;="&amp;$A213,実績!$AD$6:$AD$505,"&gt;"&amp;$A213,実績!$AE$6:$AE$505,"○")&gt;0,1,0))</f>
        <v/>
      </c>
      <c r="CH213">
        <f>IF(CH$4=0,0,IF(COUNTIFS(実績!$W$6:$W$505,CH$3,実績!$AC$6:$AC$505,"&lt;="&amp;$A213,実績!$AD$6:$AD$505,"&gt;"&amp;$A213,実績!$AE$6:$AE$505,"○")&gt;0,1,0))</f>
        <v/>
      </c>
      <c r="CI213">
        <f>IF(CI$4=0,0,IF(COUNTIFS(実績!$W$6:$W$505,CI$3,実績!$AC$6:$AC$505,"&lt;="&amp;$A213,実績!$AD$6:$AD$505,"&gt;"&amp;$A213,実績!$AE$6:$AE$505,"○")&gt;0,1,0))</f>
        <v/>
      </c>
      <c r="CJ213">
        <f>IF(CJ$4=0,0,IF(COUNTIFS(実績!$W$6:$W$505,CJ$3,実績!$AC$6:$AC$505,"&lt;="&amp;$A213,実績!$AD$6:$AD$505,"&gt;"&amp;$A213,実績!$AE$6:$AE$505,"○")&gt;0,1,0))</f>
        <v/>
      </c>
      <c r="CK213">
        <f>IF(CK$4=0,0,IF(COUNTIFS(実績!$W$6:$W$505,CK$3,実績!$AC$6:$AC$505,"&lt;="&amp;$A213,実績!$AD$6:$AD$505,"&gt;"&amp;$A213,実績!$AE$6:$AE$505,"○")&gt;0,1,0))</f>
        <v/>
      </c>
      <c r="CL213">
        <f>IF(CL$4=0,0,IF(COUNTIFS(実績!$W$6:$W$505,CL$3,実績!$AC$6:$AC$505,"&lt;="&amp;$A213,実績!$AD$6:$AD$505,"&gt;"&amp;$A213,実績!$AE$6:$AE$505,"○")&gt;0,1,0))</f>
        <v/>
      </c>
      <c r="CM213">
        <f>IF(CM$4=0,0,IF(COUNTIFS(実績!$W$6:$W$505,CM$3,実績!$AC$6:$AC$505,"&lt;="&amp;$A213,実績!$AD$6:$AD$505,"&gt;"&amp;$A213,実績!$AE$6:$AE$505,"○")&gt;0,1,0))</f>
        <v/>
      </c>
      <c r="CN213">
        <f>IF(CN$4=0,0,IF(COUNTIFS(実績!$W$6:$W$505,CN$3,実績!$AC$6:$AC$505,"&lt;="&amp;$A213,実績!$AD$6:$AD$505,"&gt;"&amp;$A213,実績!$AE$6:$AE$505,"○")&gt;0,1,0))</f>
        <v/>
      </c>
      <c r="CO213">
        <f>IF(CO$4=0,0,IF(COUNTIFS(実績!$W$6:$W$505,CO$3,実績!$AC$6:$AC$505,"&lt;="&amp;$A213,実績!$AD$6:$AD$505,"&gt;"&amp;$A213,実績!$AE$6:$AE$505,"○")&gt;0,1,0))</f>
        <v/>
      </c>
      <c r="CP213">
        <f>IF(CP$4=0,0,IF(COUNTIFS(実績!$W$6:$W$505,CP$3,実績!$AC$6:$AC$505,"&lt;="&amp;$A213,実績!$AD$6:$AD$505,"&gt;"&amp;$A213,実績!$AE$6:$AE$505,"○")&gt;0,1,0))</f>
        <v/>
      </c>
      <c r="CQ213">
        <f>IF(CQ$4=0,0,IF(COUNTIFS(実績!$W$6:$W$505,CQ$3,実績!$AC$6:$AC$505,"&lt;="&amp;$A213,実績!$AD$6:$AD$505,"&gt;"&amp;$A213,実績!$AE$6:$AE$505,"○")&gt;0,1,0))</f>
        <v/>
      </c>
      <c r="CR213">
        <f>IF(CR$4=0,0,IF(COUNTIFS(実績!$W$6:$W$505,CR$3,実績!$AC$6:$AC$505,"&lt;="&amp;$A213,実績!$AD$6:$AD$505,"&gt;"&amp;$A213,実績!$AE$6:$AE$505,"○")&gt;0,1,0))</f>
        <v/>
      </c>
      <c r="CS213">
        <f>IF(CS$4=0,0,IF(COUNTIFS(実績!$W$6:$W$505,CS$3,実績!$AC$6:$AC$505,"&lt;="&amp;$A213,実績!$AD$6:$AD$505,"&gt;"&amp;$A213,実績!$AE$6:$AE$505,"○")&gt;0,1,0))</f>
        <v/>
      </c>
      <c r="CT213">
        <f>IF(CT$4=0,0,IF(COUNTIFS(実績!$W$6:$W$505,CT$3,実績!$AC$6:$AC$505,"&lt;="&amp;$A213,実績!$AD$6:$AD$505,"&gt;"&amp;$A213,実績!$AE$6:$AE$505,"○")&gt;0,1,0))</f>
        <v/>
      </c>
      <c r="CU213">
        <f>IF(CU$4=0,0,IF(COUNTIFS(実績!$W$6:$W$505,CU$3,実績!$AC$6:$AC$505,"&lt;="&amp;$A213,実績!$AD$6:$AD$505,"&gt;"&amp;$A213,実績!$AE$6:$AE$505,"○")&gt;0,1,0))</f>
        <v/>
      </c>
      <c r="CV213">
        <f>IF(CV$4=0,0,IF(COUNTIFS(実績!$W$6:$W$505,CV$3,実績!$AC$6:$AC$505,"&lt;="&amp;$A213,実績!$AD$6:$AD$505,"&gt;"&amp;$A213,実績!$AE$6:$AE$505,"○")&gt;0,1,0))</f>
        <v/>
      </c>
      <c r="CW213">
        <f>IF(CW$4=0,0,IF(COUNTIFS(実績!$W$6:$W$505,CW$3,実績!$AC$6:$AC$505,"&lt;="&amp;$A213,実績!$AD$6:$AD$505,"&gt;"&amp;$A213,実績!$AE$6:$AE$505,"○")&gt;0,1,0))</f>
        <v/>
      </c>
      <c r="CX213">
        <f>IF(CX$4=0,0,IF(COUNTIFS(実績!$W$6:$W$505,CX$3,実績!$AC$6:$AC$505,"&lt;="&amp;$A213,実績!$AD$6:$AD$505,"&gt;"&amp;$A213,実績!$AE$6:$AE$505,"○")&gt;0,1,0))</f>
        <v/>
      </c>
      <c r="CY213">
        <f>IF(CY$4=0,0,IF(COUNTIFS(実績!$W$6:$W$505,CY$3,実績!$AC$6:$AC$505,"&lt;="&amp;$A213,実績!$AD$6:$AD$505,"&gt;"&amp;$A213,実績!$AE$6:$AE$505,"○")&gt;0,1,0))</f>
        <v/>
      </c>
      <c r="CZ213">
        <f>IF(CZ$4=0,0,IF(COUNTIFS(実績!$W$6:$W$505,CZ$3,実績!$AC$6:$AC$505,"&lt;="&amp;$A213,実績!$AD$6:$AD$505,"&gt;"&amp;$A213,実績!$AE$6:$AE$505,"○")&gt;0,1,0))</f>
        <v/>
      </c>
      <c r="DA213">
        <f>IF(DA$4=0,0,IF(COUNTIFS(実績!$W$6:$W$505,DA$3,実績!$AC$6:$AC$505,"&lt;="&amp;$A213,実績!$AD$6:$AD$505,"&gt;"&amp;$A213,実績!$AE$6:$AE$505,"○")&gt;0,1,0))</f>
        <v/>
      </c>
      <c r="DB213">
        <f>IF(DB$4=0,0,IF(COUNTIFS(実績!$W$6:$W$505,DB$3,実績!$AC$6:$AC$505,"&lt;="&amp;$A213,実績!$AD$6:$AD$505,"&gt;"&amp;$A213,実績!$AE$6:$AE$505,"○")&gt;0,1,0))</f>
        <v/>
      </c>
      <c r="DC213">
        <f>IF(DC$4=0,0,IF(COUNTIFS(実績!$W$6:$W$505,DC$3,実績!$AC$6:$AC$505,"&lt;="&amp;$A213,実績!$AD$6:$AD$505,"&gt;"&amp;$A213,実績!$AE$6:$AE$505,"○")&gt;0,1,0))</f>
        <v/>
      </c>
      <c r="DD213">
        <f>IF(DD$4=0,0,IF(COUNTIFS(実績!$W$6:$W$505,DD$3,実績!$AC$6:$AC$505,"&lt;="&amp;$A213,実績!$AD$6:$AD$505,"&gt;"&amp;$A213,実績!$AE$6:$AE$505,"○")&gt;0,1,0))</f>
        <v/>
      </c>
      <c r="DE213">
        <f>IF(DE$4=0,0,IF(COUNTIFS(実績!$W$6:$W$505,DE$3,実績!$AC$6:$AC$505,"&lt;="&amp;$A213,実績!$AD$6:$AD$505,"&gt;"&amp;$A213,実績!$AE$6:$AE$505,"○")&gt;0,1,0))</f>
        <v/>
      </c>
      <c r="DF213">
        <f>IF(DF$4=0,0,IF(COUNTIFS(実績!$W$6:$W$505,DF$3,実績!$AC$6:$AC$505,"&lt;="&amp;$A213,実績!$AD$6:$AD$505,"&gt;"&amp;$A213,実績!$AE$6:$AE$505,"○")&gt;0,1,0))</f>
        <v/>
      </c>
      <c r="DG213">
        <f>IF(DG$4=0,0,IF(COUNTIFS(実績!$W$6:$W$505,DG$3,実績!$AC$6:$AC$505,"&lt;="&amp;$A213,実績!$AD$6:$AD$505,"&gt;"&amp;$A213,実績!$AE$6:$AE$505,"○")&gt;0,1,0))</f>
        <v/>
      </c>
      <c r="DH213">
        <f>IF(DH$4=0,0,IF(COUNTIFS(実績!$W$6:$W$505,DH$3,実績!$AC$6:$AC$505,"&lt;="&amp;$A213,実績!$AD$6:$AD$505,"&gt;"&amp;$A213,実績!$AE$6:$AE$505,"○")&gt;0,1,0))</f>
        <v/>
      </c>
      <c r="DI213">
        <f>IF(DI$4=0,0,IF(COUNTIFS(実績!$W$6:$W$505,DI$3,実績!$AC$6:$AC$505,"&lt;="&amp;$A213,実績!$AD$6:$AD$505,"&gt;"&amp;$A213,実績!$AE$6:$AE$505,"○")&gt;0,1,0))</f>
        <v/>
      </c>
      <c r="DJ213">
        <f>IF(DJ$4=0,0,IF(COUNTIFS(実績!$W$6:$W$505,DJ$3,実績!$AC$6:$AC$505,"&lt;="&amp;$A213,実績!$AD$6:$AD$505,"&gt;"&amp;$A213,実績!$AE$6:$AE$505,"○")&gt;0,1,0))</f>
        <v/>
      </c>
      <c r="DK213">
        <f>IF(DK$4=0,0,IF(COUNTIFS(実績!$W$6:$W$505,DK$3,実績!$AC$6:$AC$505,"&lt;="&amp;$A213,実績!$AD$6:$AD$505,"&gt;"&amp;$A213,実績!$AE$6:$AE$505,"○")&gt;0,1,0))</f>
        <v/>
      </c>
      <c r="DL213">
        <f>IF(DL$4=0,0,IF(COUNTIFS(実績!$W$6:$W$505,DL$3,実績!$AC$6:$AC$505,"&lt;="&amp;$A213,実績!$AD$6:$AD$505,"&gt;"&amp;$A213,実績!$AE$6:$AE$505,"○")&gt;0,1,0))</f>
        <v/>
      </c>
      <c r="DM213">
        <f>IF(DM$4=0,0,IF(COUNTIFS(実績!$W$6:$W$505,DM$3,実績!$AC$6:$AC$505,"&lt;="&amp;$A213,実績!$AD$6:$AD$505,"&gt;"&amp;$A213,実績!$AE$6:$AE$505,"○")&gt;0,1,0))</f>
        <v/>
      </c>
      <c r="DN213">
        <f>IF(DN$4=0,0,IF(COUNTIFS(実績!$W$6:$W$505,DN$3,実績!$AC$6:$AC$505,"&lt;="&amp;$A213,実績!$AD$6:$AD$505,"&gt;"&amp;$A213,実績!$AE$6:$AE$505,"○")&gt;0,1,0))</f>
        <v/>
      </c>
      <c r="DO213">
        <f>IF(DO$4=0,0,IF(COUNTIFS(実績!$W$6:$W$505,DO$3,実績!$AC$6:$AC$505,"&lt;="&amp;$A213,実績!$AD$6:$AD$505,"&gt;"&amp;$A213,実績!$AE$6:$AE$505,"○")&gt;0,1,0))</f>
        <v/>
      </c>
      <c r="DP213">
        <f>IF(DP$4=0,0,IF(COUNTIFS(実績!$W$6:$W$505,DP$3,実績!$AC$6:$AC$505,"&lt;="&amp;$A213,実績!$AD$6:$AD$505,"&gt;"&amp;$A213,実績!$AE$6:$AE$505,"○")&gt;0,1,0))</f>
        <v/>
      </c>
      <c r="DQ213">
        <f>IF(DQ$4=0,0,IF(COUNTIFS(実績!$W$6:$W$505,DQ$3,実績!$AC$6:$AC$505,"&lt;="&amp;$A213,実績!$AD$6:$AD$505,"&gt;"&amp;$A213,実績!$AE$6:$AE$505,"○")&gt;0,1,0))</f>
        <v/>
      </c>
      <c r="DR213">
        <f>IF(DR$4=0,0,IF(COUNTIFS(実績!$W$6:$W$505,DR$3,実績!$AC$6:$AC$505,"&lt;="&amp;$A213,実績!$AD$6:$AD$505,"&gt;"&amp;$A213,実績!$AE$6:$AE$505,"○")&gt;0,1,0))</f>
        <v/>
      </c>
      <c r="DS213">
        <f>SUM(C213:DR213)</f>
        <v/>
      </c>
      <c r="DT213">
        <f>SUMPRODUCT((実績!$C$6:$C$505="○")*ISNUMBER(実績!$AF$6:$AF$505)*(実績!$AF$6:$AF$505&lt;=$A213)*(実績!$AG$6:$AG$505&gt;$A213))</f>
        <v/>
      </c>
      <c r="DU213">
        <f>SUMIF($C$2:$DR$2,"製鉄曳船",C213:DR213)</f>
        <v/>
      </c>
      <c r="DV213">
        <f>SUMIF($C$2:$DR$2,"西日本海運",C213:DR213)</f>
        <v/>
      </c>
    </row>
    <row r="214">
      <c r="A214" t="n">
        <v>1040</v>
      </c>
      <c r="B214" s="29">
        <f>A214/1440</f>
        <v/>
      </c>
      <c r="C214">
        <f>IF(C$4=0,0,IF(COUNTIFS(実績!$W$6:$W$505,C$3,実績!$AC$6:$AC$505,"&lt;="&amp;$A214,実績!$AD$6:$AD$505,"&gt;"&amp;$A214,実績!$AE$6:$AE$505,"○")&gt;0,1,0))</f>
        <v/>
      </c>
      <c r="D214">
        <f>IF(D$4=0,0,IF(COUNTIFS(実績!$W$6:$W$505,D$3,実績!$AC$6:$AC$505,"&lt;="&amp;$A214,実績!$AD$6:$AD$505,"&gt;"&amp;$A214,実績!$AE$6:$AE$505,"○")&gt;0,1,0))</f>
        <v/>
      </c>
      <c r="E214">
        <f>IF(E$4=0,0,IF(COUNTIFS(実績!$W$6:$W$505,E$3,実績!$AC$6:$AC$505,"&lt;="&amp;$A214,実績!$AD$6:$AD$505,"&gt;"&amp;$A214,実績!$AE$6:$AE$505,"○")&gt;0,1,0))</f>
        <v/>
      </c>
      <c r="F214">
        <f>IF(F$4=0,0,IF(COUNTIFS(実績!$W$6:$W$505,F$3,実績!$AC$6:$AC$505,"&lt;="&amp;$A214,実績!$AD$6:$AD$505,"&gt;"&amp;$A214,実績!$AE$6:$AE$505,"○")&gt;0,1,0))</f>
        <v/>
      </c>
      <c r="G214">
        <f>IF(G$4=0,0,IF(COUNTIFS(実績!$W$6:$W$505,G$3,実績!$AC$6:$AC$505,"&lt;="&amp;$A214,実績!$AD$6:$AD$505,"&gt;"&amp;$A214,実績!$AE$6:$AE$505,"○")&gt;0,1,0))</f>
        <v/>
      </c>
      <c r="H214">
        <f>IF(H$4=0,0,IF(COUNTIFS(実績!$W$6:$W$505,H$3,実績!$AC$6:$AC$505,"&lt;="&amp;$A214,実績!$AD$6:$AD$505,"&gt;"&amp;$A214,実績!$AE$6:$AE$505,"○")&gt;0,1,0))</f>
        <v/>
      </c>
      <c r="I214">
        <f>IF(I$4=0,0,IF(COUNTIFS(実績!$W$6:$W$505,I$3,実績!$AC$6:$AC$505,"&lt;="&amp;$A214,実績!$AD$6:$AD$505,"&gt;"&amp;$A214,実績!$AE$6:$AE$505,"○")&gt;0,1,0))</f>
        <v/>
      </c>
      <c r="J214">
        <f>IF(J$4=0,0,IF(COUNTIFS(実績!$W$6:$W$505,J$3,実績!$AC$6:$AC$505,"&lt;="&amp;$A214,実績!$AD$6:$AD$505,"&gt;"&amp;$A214,実績!$AE$6:$AE$505,"○")&gt;0,1,0))</f>
        <v/>
      </c>
      <c r="K214">
        <f>IF(K$4=0,0,IF(COUNTIFS(実績!$W$6:$W$505,K$3,実績!$AC$6:$AC$505,"&lt;="&amp;$A214,実績!$AD$6:$AD$505,"&gt;"&amp;$A214,実績!$AE$6:$AE$505,"○")&gt;0,1,0))</f>
        <v/>
      </c>
      <c r="L214">
        <f>IF(L$4=0,0,IF(COUNTIFS(実績!$W$6:$W$505,L$3,実績!$AC$6:$AC$505,"&lt;="&amp;$A214,実績!$AD$6:$AD$505,"&gt;"&amp;$A214,実績!$AE$6:$AE$505,"○")&gt;0,1,0))</f>
        <v/>
      </c>
      <c r="M214">
        <f>IF(M$4=0,0,IF(COUNTIFS(実績!$W$6:$W$505,M$3,実績!$AC$6:$AC$505,"&lt;="&amp;$A214,実績!$AD$6:$AD$505,"&gt;"&amp;$A214,実績!$AE$6:$AE$505,"○")&gt;0,1,0))</f>
        <v/>
      </c>
      <c r="N214">
        <f>IF(N$4=0,0,IF(COUNTIFS(実績!$W$6:$W$505,N$3,実績!$AC$6:$AC$505,"&lt;="&amp;$A214,実績!$AD$6:$AD$505,"&gt;"&amp;$A214,実績!$AE$6:$AE$505,"○")&gt;0,1,0))</f>
        <v/>
      </c>
      <c r="O214">
        <f>IF(O$4=0,0,IF(COUNTIFS(実績!$W$6:$W$505,O$3,実績!$AC$6:$AC$505,"&lt;="&amp;$A214,実績!$AD$6:$AD$505,"&gt;"&amp;$A214,実績!$AE$6:$AE$505,"○")&gt;0,1,0))</f>
        <v/>
      </c>
      <c r="P214">
        <f>IF(P$4=0,0,IF(COUNTIFS(実績!$W$6:$W$505,P$3,実績!$AC$6:$AC$505,"&lt;="&amp;$A214,実績!$AD$6:$AD$505,"&gt;"&amp;$A214,実績!$AE$6:$AE$505,"○")&gt;0,1,0))</f>
        <v/>
      </c>
      <c r="Q214">
        <f>IF(Q$4=0,0,IF(COUNTIFS(実績!$W$6:$W$505,Q$3,実績!$AC$6:$AC$505,"&lt;="&amp;$A214,実績!$AD$6:$AD$505,"&gt;"&amp;$A214,実績!$AE$6:$AE$505,"○")&gt;0,1,0))</f>
        <v/>
      </c>
      <c r="R214">
        <f>IF(R$4=0,0,IF(COUNTIFS(実績!$W$6:$W$505,R$3,実績!$AC$6:$AC$505,"&lt;="&amp;$A214,実績!$AD$6:$AD$505,"&gt;"&amp;$A214,実績!$AE$6:$AE$505,"○")&gt;0,1,0))</f>
        <v/>
      </c>
      <c r="S214">
        <f>IF(S$4=0,0,IF(COUNTIFS(実績!$W$6:$W$505,S$3,実績!$AC$6:$AC$505,"&lt;="&amp;$A214,実績!$AD$6:$AD$505,"&gt;"&amp;$A214,実績!$AE$6:$AE$505,"○")&gt;0,1,0))</f>
        <v/>
      </c>
      <c r="T214">
        <f>IF(T$4=0,0,IF(COUNTIFS(実績!$W$6:$W$505,T$3,実績!$AC$6:$AC$505,"&lt;="&amp;$A214,実績!$AD$6:$AD$505,"&gt;"&amp;$A214,実績!$AE$6:$AE$505,"○")&gt;0,1,0))</f>
        <v/>
      </c>
      <c r="U214">
        <f>IF(U$4=0,0,IF(COUNTIFS(実績!$W$6:$W$505,U$3,実績!$AC$6:$AC$505,"&lt;="&amp;$A214,実績!$AD$6:$AD$505,"&gt;"&amp;$A214,実績!$AE$6:$AE$505,"○")&gt;0,1,0))</f>
        <v/>
      </c>
      <c r="V214">
        <f>IF(V$4=0,0,IF(COUNTIFS(実績!$W$6:$W$505,V$3,実績!$AC$6:$AC$505,"&lt;="&amp;$A214,実績!$AD$6:$AD$505,"&gt;"&amp;$A214,実績!$AE$6:$AE$505,"○")&gt;0,1,0))</f>
        <v/>
      </c>
      <c r="W214">
        <f>IF(W$4=0,0,IF(COUNTIFS(実績!$W$6:$W$505,W$3,実績!$AC$6:$AC$505,"&lt;="&amp;$A214,実績!$AD$6:$AD$505,"&gt;"&amp;$A214,実績!$AE$6:$AE$505,"○")&gt;0,1,0))</f>
        <v/>
      </c>
      <c r="X214">
        <f>IF(X$4=0,0,IF(COUNTIFS(実績!$W$6:$W$505,X$3,実績!$AC$6:$AC$505,"&lt;="&amp;$A214,実績!$AD$6:$AD$505,"&gt;"&amp;$A214,実績!$AE$6:$AE$505,"○")&gt;0,1,0))</f>
        <v/>
      </c>
      <c r="Y214">
        <f>IF(Y$4=0,0,IF(COUNTIFS(実績!$W$6:$W$505,Y$3,実績!$AC$6:$AC$505,"&lt;="&amp;$A214,実績!$AD$6:$AD$505,"&gt;"&amp;$A214,実績!$AE$6:$AE$505,"○")&gt;0,1,0))</f>
        <v/>
      </c>
      <c r="Z214">
        <f>IF(Z$4=0,0,IF(COUNTIFS(実績!$W$6:$W$505,Z$3,実績!$AC$6:$AC$505,"&lt;="&amp;$A214,実績!$AD$6:$AD$505,"&gt;"&amp;$A214,実績!$AE$6:$AE$505,"○")&gt;0,1,0))</f>
        <v/>
      </c>
      <c r="AA214">
        <f>IF(AA$4=0,0,IF(COUNTIFS(実績!$W$6:$W$505,AA$3,実績!$AC$6:$AC$505,"&lt;="&amp;$A214,実績!$AD$6:$AD$505,"&gt;"&amp;$A214,実績!$AE$6:$AE$505,"○")&gt;0,1,0))</f>
        <v/>
      </c>
      <c r="AB214">
        <f>IF(AB$4=0,0,IF(COUNTIFS(実績!$W$6:$W$505,AB$3,実績!$AC$6:$AC$505,"&lt;="&amp;$A214,実績!$AD$6:$AD$505,"&gt;"&amp;$A214,実績!$AE$6:$AE$505,"○")&gt;0,1,0))</f>
        <v/>
      </c>
      <c r="AC214">
        <f>IF(AC$4=0,0,IF(COUNTIFS(実績!$W$6:$W$505,AC$3,実績!$AC$6:$AC$505,"&lt;="&amp;$A214,実績!$AD$6:$AD$505,"&gt;"&amp;$A214,実績!$AE$6:$AE$505,"○")&gt;0,1,0))</f>
        <v/>
      </c>
      <c r="AD214">
        <f>IF(AD$4=0,0,IF(COUNTIFS(実績!$W$6:$W$505,AD$3,実績!$AC$6:$AC$505,"&lt;="&amp;$A214,実績!$AD$6:$AD$505,"&gt;"&amp;$A214,実績!$AE$6:$AE$505,"○")&gt;0,1,0))</f>
        <v/>
      </c>
      <c r="AE214">
        <f>IF(AE$4=0,0,IF(COUNTIFS(実績!$W$6:$W$505,AE$3,実績!$AC$6:$AC$505,"&lt;="&amp;$A214,実績!$AD$6:$AD$505,"&gt;"&amp;$A214,実績!$AE$6:$AE$505,"○")&gt;0,1,0))</f>
        <v/>
      </c>
      <c r="AF214">
        <f>IF(AF$4=0,0,IF(COUNTIFS(実績!$W$6:$W$505,AF$3,実績!$AC$6:$AC$505,"&lt;="&amp;$A214,実績!$AD$6:$AD$505,"&gt;"&amp;$A214,実績!$AE$6:$AE$505,"○")&gt;0,1,0))</f>
        <v/>
      </c>
      <c r="AG214">
        <f>IF(AG$4=0,0,IF(COUNTIFS(実績!$W$6:$W$505,AG$3,実績!$AC$6:$AC$505,"&lt;="&amp;$A214,実績!$AD$6:$AD$505,"&gt;"&amp;$A214,実績!$AE$6:$AE$505,"○")&gt;0,1,0))</f>
        <v/>
      </c>
      <c r="AH214">
        <f>IF(AH$4=0,0,IF(COUNTIFS(実績!$W$6:$W$505,AH$3,実績!$AC$6:$AC$505,"&lt;="&amp;$A214,実績!$AD$6:$AD$505,"&gt;"&amp;$A214,実績!$AE$6:$AE$505,"○")&gt;0,1,0))</f>
        <v/>
      </c>
      <c r="AI214">
        <f>IF(AI$4=0,0,IF(COUNTIFS(実績!$W$6:$W$505,AI$3,実績!$AC$6:$AC$505,"&lt;="&amp;$A214,実績!$AD$6:$AD$505,"&gt;"&amp;$A214,実績!$AE$6:$AE$505,"○")&gt;0,1,0))</f>
        <v/>
      </c>
      <c r="AJ214">
        <f>IF(AJ$4=0,0,IF(COUNTIFS(実績!$W$6:$W$505,AJ$3,実績!$AC$6:$AC$505,"&lt;="&amp;$A214,実績!$AD$6:$AD$505,"&gt;"&amp;$A214,実績!$AE$6:$AE$505,"○")&gt;0,1,0))</f>
        <v/>
      </c>
      <c r="AK214">
        <f>IF(AK$4=0,0,IF(COUNTIFS(実績!$W$6:$W$505,AK$3,実績!$AC$6:$AC$505,"&lt;="&amp;$A214,実績!$AD$6:$AD$505,"&gt;"&amp;$A214,実績!$AE$6:$AE$505,"○")&gt;0,1,0))</f>
        <v/>
      </c>
      <c r="AL214">
        <f>IF(AL$4=0,0,IF(COUNTIFS(実績!$W$6:$W$505,AL$3,実績!$AC$6:$AC$505,"&lt;="&amp;$A214,実績!$AD$6:$AD$505,"&gt;"&amp;$A214,実績!$AE$6:$AE$505,"○")&gt;0,1,0))</f>
        <v/>
      </c>
      <c r="AM214">
        <f>IF(AM$4=0,0,IF(COUNTIFS(実績!$W$6:$W$505,AM$3,実績!$AC$6:$AC$505,"&lt;="&amp;$A214,実績!$AD$6:$AD$505,"&gt;"&amp;$A214,実績!$AE$6:$AE$505,"○")&gt;0,1,0))</f>
        <v/>
      </c>
      <c r="AN214">
        <f>IF(AN$4=0,0,IF(COUNTIFS(実績!$W$6:$W$505,AN$3,実績!$AC$6:$AC$505,"&lt;="&amp;$A214,実績!$AD$6:$AD$505,"&gt;"&amp;$A214,実績!$AE$6:$AE$505,"○")&gt;0,1,0))</f>
        <v/>
      </c>
      <c r="AO214">
        <f>IF(AO$4=0,0,IF(COUNTIFS(実績!$W$6:$W$505,AO$3,実績!$AC$6:$AC$505,"&lt;="&amp;$A214,実績!$AD$6:$AD$505,"&gt;"&amp;$A214,実績!$AE$6:$AE$505,"○")&gt;0,1,0))</f>
        <v/>
      </c>
      <c r="AP214">
        <f>IF(AP$4=0,0,IF(COUNTIFS(実績!$W$6:$W$505,AP$3,実績!$AC$6:$AC$505,"&lt;="&amp;$A214,実績!$AD$6:$AD$505,"&gt;"&amp;$A214,実績!$AE$6:$AE$505,"○")&gt;0,1,0))</f>
        <v/>
      </c>
      <c r="AQ214">
        <f>IF(AQ$4=0,0,IF(COUNTIFS(実績!$W$6:$W$505,AQ$3,実績!$AC$6:$AC$505,"&lt;="&amp;$A214,実績!$AD$6:$AD$505,"&gt;"&amp;$A214,実績!$AE$6:$AE$505,"○")&gt;0,1,0))</f>
        <v/>
      </c>
      <c r="AR214">
        <f>IF(AR$4=0,0,IF(COUNTIFS(実績!$W$6:$W$505,AR$3,実績!$AC$6:$AC$505,"&lt;="&amp;$A214,実績!$AD$6:$AD$505,"&gt;"&amp;$A214,実績!$AE$6:$AE$505,"○")&gt;0,1,0))</f>
        <v/>
      </c>
      <c r="AS214">
        <f>IF(AS$4=0,0,IF(COUNTIFS(実績!$W$6:$W$505,AS$3,実績!$AC$6:$AC$505,"&lt;="&amp;$A214,実績!$AD$6:$AD$505,"&gt;"&amp;$A214,実績!$AE$6:$AE$505,"○")&gt;0,1,0))</f>
        <v/>
      </c>
      <c r="AT214">
        <f>IF(AT$4=0,0,IF(COUNTIFS(実績!$W$6:$W$505,AT$3,実績!$AC$6:$AC$505,"&lt;="&amp;$A214,実績!$AD$6:$AD$505,"&gt;"&amp;$A214,実績!$AE$6:$AE$505,"○")&gt;0,1,0))</f>
        <v/>
      </c>
      <c r="AU214">
        <f>IF(AU$4=0,0,IF(COUNTIFS(実績!$W$6:$W$505,AU$3,実績!$AC$6:$AC$505,"&lt;="&amp;$A214,実績!$AD$6:$AD$505,"&gt;"&amp;$A214,実績!$AE$6:$AE$505,"○")&gt;0,1,0))</f>
        <v/>
      </c>
      <c r="AV214">
        <f>IF(AV$4=0,0,IF(COUNTIFS(実績!$W$6:$W$505,AV$3,実績!$AC$6:$AC$505,"&lt;="&amp;$A214,実績!$AD$6:$AD$505,"&gt;"&amp;$A214,実績!$AE$6:$AE$505,"○")&gt;0,1,0))</f>
        <v/>
      </c>
      <c r="AW214">
        <f>IF(AW$4=0,0,IF(COUNTIFS(実績!$W$6:$W$505,AW$3,実績!$AC$6:$AC$505,"&lt;="&amp;$A214,実績!$AD$6:$AD$505,"&gt;"&amp;$A214,実績!$AE$6:$AE$505,"○")&gt;0,1,0))</f>
        <v/>
      </c>
      <c r="AX214">
        <f>IF(AX$4=0,0,IF(COUNTIFS(実績!$W$6:$W$505,AX$3,実績!$AC$6:$AC$505,"&lt;="&amp;$A214,実績!$AD$6:$AD$505,"&gt;"&amp;$A214,実績!$AE$6:$AE$505,"○")&gt;0,1,0))</f>
        <v/>
      </c>
      <c r="AY214">
        <f>IF(AY$4=0,0,IF(COUNTIFS(実績!$W$6:$W$505,AY$3,実績!$AC$6:$AC$505,"&lt;="&amp;$A214,実績!$AD$6:$AD$505,"&gt;"&amp;$A214,実績!$AE$6:$AE$505,"○")&gt;0,1,0))</f>
        <v/>
      </c>
      <c r="AZ214">
        <f>IF(AZ$4=0,0,IF(COUNTIFS(実績!$W$6:$W$505,AZ$3,実績!$AC$6:$AC$505,"&lt;="&amp;$A214,実績!$AD$6:$AD$505,"&gt;"&amp;$A214,実績!$AE$6:$AE$505,"○")&gt;0,1,0))</f>
        <v/>
      </c>
      <c r="BA214">
        <f>IF(BA$4=0,0,IF(COUNTIFS(実績!$W$6:$W$505,BA$3,実績!$AC$6:$AC$505,"&lt;="&amp;$A214,実績!$AD$6:$AD$505,"&gt;"&amp;$A214,実績!$AE$6:$AE$505,"○")&gt;0,1,0))</f>
        <v/>
      </c>
      <c r="BB214">
        <f>IF(BB$4=0,0,IF(COUNTIFS(実績!$W$6:$W$505,BB$3,実績!$AC$6:$AC$505,"&lt;="&amp;$A214,実績!$AD$6:$AD$505,"&gt;"&amp;$A214,実績!$AE$6:$AE$505,"○")&gt;0,1,0))</f>
        <v/>
      </c>
      <c r="BC214">
        <f>IF(BC$4=0,0,IF(COUNTIFS(実績!$W$6:$W$505,BC$3,実績!$AC$6:$AC$505,"&lt;="&amp;$A214,実績!$AD$6:$AD$505,"&gt;"&amp;$A214,実績!$AE$6:$AE$505,"○")&gt;0,1,0))</f>
        <v/>
      </c>
      <c r="BD214">
        <f>IF(BD$4=0,0,IF(COUNTIFS(実績!$W$6:$W$505,BD$3,実績!$AC$6:$AC$505,"&lt;="&amp;$A214,実績!$AD$6:$AD$505,"&gt;"&amp;$A214,実績!$AE$6:$AE$505,"○")&gt;0,1,0))</f>
        <v/>
      </c>
      <c r="BE214">
        <f>IF(BE$4=0,0,IF(COUNTIFS(実績!$W$6:$W$505,BE$3,実績!$AC$6:$AC$505,"&lt;="&amp;$A214,実績!$AD$6:$AD$505,"&gt;"&amp;$A214,実績!$AE$6:$AE$505,"○")&gt;0,1,0))</f>
        <v/>
      </c>
      <c r="BF214">
        <f>IF(BF$4=0,0,IF(COUNTIFS(実績!$W$6:$W$505,BF$3,実績!$AC$6:$AC$505,"&lt;="&amp;$A214,実績!$AD$6:$AD$505,"&gt;"&amp;$A214,実績!$AE$6:$AE$505,"○")&gt;0,1,0))</f>
        <v/>
      </c>
      <c r="BG214">
        <f>IF(BG$4=0,0,IF(COUNTIFS(実績!$W$6:$W$505,BG$3,実績!$AC$6:$AC$505,"&lt;="&amp;$A214,実績!$AD$6:$AD$505,"&gt;"&amp;$A214,実績!$AE$6:$AE$505,"○")&gt;0,1,0))</f>
        <v/>
      </c>
      <c r="BH214">
        <f>IF(BH$4=0,0,IF(COUNTIFS(実績!$W$6:$W$505,BH$3,実績!$AC$6:$AC$505,"&lt;="&amp;$A214,実績!$AD$6:$AD$505,"&gt;"&amp;$A214,実績!$AE$6:$AE$505,"○")&gt;0,1,0))</f>
        <v/>
      </c>
      <c r="BI214">
        <f>IF(BI$4=0,0,IF(COUNTIFS(実績!$W$6:$W$505,BI$3,実績!$AC$6:$AC$505,"&lt;="&amp;$A214,実績!$AD$6:$AD$505,"&gt;"&amp;$A214,実績!$AE$6:$AE$505,"○")&gt;0,1,0))</f>
        <v/>
      </c>
      <c r="BJ214">
        <f>IF(BJ$4=0,0,IF(COUNTIFS(実績!$W$6:$W$505,BJ$3,実績!$AC$6:$AC$505,"&lt;="&amp;$A214,実績!$AD$6:$AD$505,"&gt;"&amp;$A214,実績!$AE$6:$AE$505,"○")&gt;0,1,0))</f>
        <v/>
      </c>
      <c r="BK214">
        <f>IF(BK$4=0,0,IF(COUNTIFS(実績!$W$6:$W$505,BK$3,実績!$AC$6:$AC$505,"&lt;="&amp;$A214,実績!$AD$6:$AD$505,"&gt;"&amp;$A214,実績!$AE$6:$AE$505,"○")&gt;0,1,0))</f>
        <v/>
      </c>
      <c r="BL214">
        <f>IF(BL$4=0,0,IF(COUNTIFS(実績!$W$6:$W$505,BL$3,実績!$AC$6:$AC$505,"&lt;="&amp;$A214,実績!$AD$6:$AD$505,"&gt;"&amp;$A214,実績!$AE$6:$AE$505,"○")&gt;0,1,0))</f>
        <v/>
      </c>
      <c r="BM214">
        <f>IF(BM$4=0,0,IF(COUNTIFS(実績!$W$6:$W$505,BM$3,実績!$AC$6:$AC$505,"&lt;="&amp;$A214,実績!$AD$6:$AD$505,"&gt;"&amp;$A214,実績!$AE$6:$AE$505,"○")&gt;0,1,0))</f>
        <v/>
      </c>
      <c r="BN214">
        <f>IF(BN$4=0,0,IF(COUNTIFS(実績!$W$6:$W$505,BN$3,実績!$AC$6:$AC$505,"&lt;="&amp;$A214,実績!$AD$6:$AD$505,"&gt;"&amp;$A214,実績!$AE$6:$AE$505,"○")&gt;0,1,0))</f>
        <v/>
      </c>
      <c r="BO214">
        <f>IF(BO$4=0,0,IF(COUNTIFS(実績!$W$6:$W$505,BO$3,実績!$AC$6:$AC$505,"&lt;="&amp;$A214,実績!$AD$6:$AD$505,"&gt;"&amp;$A214,実績!$AE$6:$AE$505,"○")&gt;0,1,0))</f>
        <v/>
      </c>
      <c r="BP214">
        <f>IF(BP$4=0,0,IF(COUNTIFS(実績!$W$6:$W$505,BP$3,実績!$AC$6:$AC$505,"&lt;="&amp;$A214,実績!$AD$6:$AD$505,"&gt;"&amp;$A214,実績!$AE$6:$AE$505,"○")&gt;0,1,0))</f>
        <v/>
      </c>
      <c r="BQ214">
        <f>IF(BQ$4=0,0,IF(COUNTIFS(実績!$W$6:$W$505,BQ$3,実績!$AC$6:$AC$505,"&lt;="&amp;$A214,実績!$AD$6:$AD$505,"&gt;"&amp;$A214,実績!$AE$6:$AE$505,"○")&gt;0,1,0))</f>
        <v/>
      </c>
      <c r="BR214">
        <f>IF(BR$4=0,0,IF(COUNTIFS(実績!$W$6:$W$505,BR$3,実績!$AC$6:$AC$505,"&lt;="&amp;$A214,実績!$AD$6:$AD$505,"&gt;"&amp;$A214,実績!$AE$6:$AE$505,"○")&gt;0,1,0))</f>
        <v/>
      </c>
      <c r="BS214">
        <f>IF(BS$4=0,0,IF(COUNTIFS(実績!$W$6:$W$505,BS$3,実績!$AC$6:$AC$505,"&lt;="&amp;$A214,実績!$AD$6:$AD$505,"&gt;"&amp;$A214,実績!$AE$6:$AE$505,"○")&gt;0,1,0))</f>
        <v/>
      </c>
      <c r="BT214">
        <f>IF(BT$4=0,0,IF(COUNTIFS(実績!$W$6:$W$505,BT$3,実績!$AC$6:$AC$505,"&lt;="&amp;$A214,実績!$AD$6:$AD$505,"&gt;"&amp;$A214,実績!$AE$6:$AE$505,"○")&gt;0,1,0))</f>
        <v/>
      </c>
      <c r="BU214">
        <f>IF(BU$4=0,0,IF(COUNTIFS(実績!$W$6:$W$505,BU$3,実績!$AC$6:$AC$505,"&lt;="&amp;$A214,実績!$AD$6:$AD$505,"&gt;"&amp;$A214,実績!$AE$6:$AE$505,"○")&gt;0,1,0))</f>
        <v/>
      </c>
      <c r="BV214">
        <f>IF(BV$4=0,0,IF(COUNTIFS(実績!$W$6:$W$505,BV$3,実績!$AC$6:$AC$505,"&lt;="&amp;$A214,実績!$AD$6:$AD$505,"&gt;"&amp;$A214,実績!$AE$6:$AE$505,"○")&gt;0,1,0))</f>
        <v/>
      </c>
      <c r="BW214">
        <f>IF(BW$4=0,0,IF(COUNTIFS(実績!$W$6:$W$505,BW$3,実績!$AC$6:$AC$505,"&lt;="&amp;$A214,実績!$AD$6:$AD$505,"&gt;"&amp;$A214,実績!$AE$6:$AE$505,"○")&gt;0,1,0))</f>
        <v/>
      </c>
      <c r="BX214">
        <f>IF(BX$4=0,0,IF(COUNTIFS(実績!$W$6:$W$505,BX$3,実績!$AC$6:$AC$505,"&lt;="&amp;$A214,実績!$AD$6:$AD$505,"&gt;"&amp;$A214,実績!$AE$6:$AE$505,"○")&gt;0,1,0))</f>
        <v/>
      </c>
      <c r="BY214">
        <f>IF(BY$4=0,0,IF(COUNTIFS(実績!$W$6:$W$505,BY$3,実績!$AC$6:$AC$505,"&lt;="&amp;$A214,実績!$AD$6:$AD$505,"&gt;"&amp;$A214,実績!$AE$6:$AE$505,"○")&gt;0,1,0))</f>
        <v/>
      </c>
      <c r="BZ214">
        <f>IF(BZ$4=0,0,IF(COUNTIFS(実績!$W$6:$W$505,BZ$3,実績!$AC$6:$AC$505,"&lt;="&amp;$A214,実績!$AD$6:$AD$505,"&gt;"&amp;$A214,実績!$AE$6:$AE$505,"○")&gt;0,1,0))</f>
        <v/>
      </c>
      <c r="CA214">
        <f>IF(CA$4=0,0,IF(COUNTIFS(実績!$W$6:$W$505,CA$3,実績!$AC$6:$AC$505,"&lt;="&amp;$A214,実績!$AD$6:$AD$505,"&gt;"&amp;$A214,実績!$AE$6:$AE$505,"○")&gt;0,1,0))</f>
        <v/>
      </c>
      <c r="CB214">
        <f>IF(CB$4=0,0,IF(COUNTIFS(実績!$W$6:$W$505,CB$3,実績!$AC$6:$AC$505,"&lt;="&amp;$A214,実績!$AD$6:$AD$505,"&gt;"&amp;$A214,実績!$AE$6:$AE$505,"○")&gt;0,1,0))</f>
        <v/>
      </c>
      <c r="CC214">
        <f>IF(CC$4=0,0,IF(COUNTIFS(実績!$W$6:$W$505,CC$3,実績!$AC$6:$AC$505,"&lt;="&amp;$A214,実績!$AD$6:$AD$505,"&gt;"&amp;$A214,実績!$AE$6:$AE$505,"○")&gt;0,1,0))</f>
        <v/>
      </c>
      <c r="CD214">
        <f>IF(CD$4=0,0,IF(COUNTIFS(実績!$W$6:$W$505,CD$3,実績!$AC$6:$AC$505,"&lt;="&amp;$A214,実績!$AD$6:$AD$505,"&gt;"&amp;$A214,実績!$AE$6:$AE$505,"○")&gt;0,1,0))</f>
        <v/>
      </c>
      <c r="CE214">
        <f>IF(CE$4=0,0,IF(COUNTIFS(実績!$W$6:$W$505,CE$3,実績!$AC$6:$AC$505,"&lt;="&amp;$A214,実績!$AD$6:$AD$505,"&gt;"&amp;$A214,実績!$AE$6:$AE$505,"○")&gt;0,1,0))</f>
        <v/>
      </c>
      <c r="CF214">
        <f>IF(CF$4=0,0,IF(COUNTIFS(実績!$W$6:$W$505,CF$3,実績!$AC$6:$AC$505,"&lt;="&amp;$A214,実績!$AD$6:$AD$505,"&gt;"&amp;$A214,実績!$AE$6:$AE$505,"○")&gt;0,1,0))</f>
        <v/>
      </c>
      <c r="CG214">
        <f>IF(CG$4=0,0,IF(COUNTIFS(実績!$W$6:$W$505,CG$3,実績!$AC$6:$AC$505,"&lt;="&amp;$A214,実績!$AD$6:$AD$505,"&gt;"&amp;$A214,実績!$AE$6:$AE$505,"○")&gt;0,1,0))</f>
        <v/>
      </c>
      <c r="CH214">
        <f>IF(CH$4=0,0,IF(COUNTIFS(実績!$W$6:$W$505,CH$3,実績!$AC$6:$AC$505,"&lt;="&amp;$A214,実績!$AD$6:$AD$505,"&gt;"&amp;$A214,実績!$AE$6:$AE$505,"○")&gt;0,1,0))</f>
        <v/>
      </c>
      <c r="CI214">
        <f>IF(CI$4=0,0,IF(COUNTIFS(実績!$W$6:$W$505,CI$3,実績!$AC$6:$AC$505,"&lt;="&amp;$A214,実績!$AD$6:$AD$505,"&gt;"&amp;$A214,実績!$AE$6:$AE$505,"○")&gt;0,1,0))</f>
        <v/>
      </c>
      <c r="CJ214">
        <f>IF(CJ$4=0,0,IF(COUNTIFS(実績!$W$6:$W$505,CJ$3,実績!$AC$6:$AC$505,"&lt;="&amp;$A214,実績!$AD$6:$AD$505,"&gt;"&amp;$A214,実績!$AE$6:$AE$505,"○")&gt;0,1,0))</f>
        <v/>
      </c>
      <c r="CK214">
        <f>IF(CK$4=0,0,IF(COUNTIFS(実績!$W$6:$W$505,CK$3,実績!$AC$6:$AC$505,"&lt;="&amp;$A214,実績!$AD$6:$AD$505,"&gt;"&amp;$A214,実績!$AE$6:$AE$505,"○")&gt;0,1,0))</f>
        <v/>
      </c>
      <c r="CL214">
        <f>IF(CL$4=0,0,IF(COUNTIFS(実績!$W$6:$W$505,CL$3,実績!$AC$6:$AC$505,"&lt;="&amp;$A214,実績!$AD$6:$AD$505,"&gt;"&amp;$A214,実績!$AE$6:$AE$505,"○")&gt;0,1,0))</f>
        <v/>
      </c>
      <c r="CM214">
        <f>IF(CM$4=0,0,IF(COUNTIFS(実績!$W$6:$W$505,CM$3,実績!$AC$6:$AC$505,"&lt;="&amp;$A214,実績!$AD$6:$AD$505,"&gt;"&amp;$A214,実績!$AE$6:$AE$505,"○")&gt;0,1,0))</f>
        <v/>
      </c>
      <c r="CN214">
        <f>IF(CN$4=0,0,IF(COUNTIFS(実績!$W$6:$W$505,CN$3,実績!$AC$6:$AC$505,"&lt;="&amp;$A214,実績!$AD$6:$AD$505,"&gt;"&amp;$A214,実績!$AE$6:$AE$505,"○")&gt;0,1,0))</f>
        <v/>
      </c>
      <c r="CO214">
        <f>IF(CO$4=0,0,IF(COUNTIFS(実績!$W$6:$W$505,CO$3,実績!$AC$6:$AC$505,"&lt;="&amp;$A214,実績!$AD$6:$AD$505,"&gt;"&amp;$A214,実績!$AE$6:$AE$505,"○")&gt;0,1,0))</f>
        <v/>
      </c>
      <c r="CP214">
        <f>IF(CP$4=0,0,IF(COUNTIFS(実績!$W$6:$W$505,CP$3,実績!$AC$6:$AC$505,"&lt;="&amp;$A214,実績!$AD$6:$AD$505,"&gt;"&amp;$A214,実績!$AE$6:$AE$505,"○")&gt;0,1,0))</f>
        <v/>
      </c>
      <c r="CQ214">
        <f>IF(CQ$4=0,0,IF(COUNTIFS(実績!$W$6:$W$505,CQ$3,実績!$AC$6:$AC$505,"&lt;="&amp;$A214,実績!$AD$6:$AD$505,"&gt;"&amp;$A214,実績!$AE$6:$AE$505,"○")&gt;0,1,0))</f>
        <v/>
      </c>
      <c r="CR214">
        <f>IF(CR$4=0,0,IF(COUNTIFS(実績!$W$6:$W$505,CR$3,実績!$AC$6:$AC$505,"&lt;="&amp;$A214,実績!$AD$6:$AD$505,"&gt;"&amp;$A214,実績!$AE$6:$AE$505,"○")&gt;0,1,0))</f>
        <v/>
      </c>
      <c r="CS214">
        <f>IF(CS$4=0,0,IF(COUNTIFS(実績!$W$6:$W$505,CS$3,実績!$AC$6:$AC$505,"&lt;="&amp;$A214,実績!$AD$6:$AD$505,"&gt;"&amp;$A214,実績!$AE$6:$AE$505,"○")&gt;0,1,0))</f>
        <v/>
      </c>
      <c r="CT214">
        <f>IF(CT$4=0,0,IF(COUNTIFS(実績!$W$6:$W$505,CT$3,実績!$AC$6:$AC$505,"&lt;="&amp;$A214,実績!$AD$6:$AD$505,"&gt;"&amp;$A214,実績!$AE$6:$AE$505,"○")&gt;0,1,0))</f>
        <v/>
      </c>
      <c r="CU214">
        <f>IF(CU$4=0,0,IF(COUNTIFS(実績!$W$6:$W$505,CU$3,実績!$AC$6:$AC$505,"&lt;="&amp;$A214,実績!$AD$6:$AD$505,"&gt;"&amp;$A214,実績!$AE$6:$AE$505,"○")&gt;0,1,0))</f>
        <v/>
      </c>
      <c r="CV214">
        <f>IF(CV$4=0,0,IF(COUNTIFS(実績!$W$6:$W$505,CV$3,実績!$AC$6:$AC$505,"&lt;="&amp;$A214,実績!$AD$6:$AD$505,"&gt;"&amp;$A214,実績!$AE$6:$AE$505,"○")&gt;0,1,0))</f>
        <v/>
      </c>
      <c r="CW214">
        <f>IF(CW$4=0,0,IF(COUNTIFS(実績!$W$6:$W$505,CW$3,実績!$AC$6:$AC$505,"&lt;="&amp;$A214,実績!$AD$6:$AD$505,"&gt;"&amp;$A214,実績!$AE$6:$AE$505,"○")&gt;0,1,0))</f>
        <v/>
      </c>
      <c r="CX214">
        <f>IF(CX$4=0,0,IF(COUNTIFS(実績!$W$6:$W$505,CX$3,実績!$AC$6:$AC$505,"&lt;="&amp;$A214,実績!$AD$6:$AD$505,"&gt;"&amp;$A214,実績!$AE$6:$AE$505,"○")&gt;0,1,0))</f>
        <v/>
      </c>
      <c r="CY214">
        <f>IF(CY$4=0,0,IF(COUNTIFS(実績!$W$6:$W$505,CY$3,実績!$AC$6:$AC$505,"&lt;="&amp;$A214,実績!$AD$6:$AD$505,"&gt;"&amp;$A214,実績!$AE$6:$AE$505,"○")&gt;0,1,0))</f>
        <v/>
      </c>
      <c r="CZ214">
        <f>IF(CZ$4=0,0,IF(COUNTIFS(実績!$W$6:$W$505,CZ$3,実績!$AC$6:$AC$505,"&lt;="&amp;$A214,実績!$AD$6:$AD$505,"&gt;"&amp;$A214,実績!$AE$6:$AE$505,"○")&gt;0,1,0))</f>
        <v/>
      </c>
      <c r="DA214">
        <f>IF(DA$4=0,0,IF(COUNTIFS(実績!$W$6:$W$505,DA$3,実績!$AC$6:$AC$505,"&lt;="&amp;$A214,実績!$AD$6:$AD$505,"&gt;"&amp;$A214,実績!$AE$6:$AE$505,"○")&gt;0,1,0))</f>
        <v/>
      </c>
      <c r="DB214">
        <f>IF(DB$4=0,0,IF(COUNTIFS(実績!$W$6:$W$505,DB$3,実績!$AC$6:$AC$505,"&lt;="&amp;$A214,実績!$AD$6:$AD$505,"&gt;"&amp;$A214,実績!$AE$6:$AE$505,"○")&gt;0,1,0))</f>
        <v/>
      </c>
      <c r="DC214">
        <f>IF(DC$4=0,0,IF(COUNTIFS(実績!$W$6:$W$505,DC$3,実績!$AC$6:$AC$505,"&lt;="&amp;$A214,実績!$AD$6:$AD$505,"&gt;"&amp;$A214,実績!$AE$6:$AE$505,"○")&gt;0,1,0))</f>
        <v/>
      </c>
      <c r="DD214">
        <f>IF(DD$4=0,0,IF(COUNTIFS(実績!$W$6:$W$505,DD$3,実績!$AC$6:$AC$505,"&lt;="&amp;$A214,実績!$AD$6:$AD$505,"&gt;"&amp;$A214,実績!$AE$6:$AE$505,"○")&gt;0,1,0))</f>
        <v/>
      </c>
      <c r="DE214">
        <f>IF(DE$4=0,0,IF(COUNTIFS(実績!$W$6:$W$505,DE$3,実績!$AC$6:$AC$505,"&lt;="&amp;$A214,実績!$AD$6:$AD$505,"&gt;"&amp;$A214,実績!$AE$6:$AE$505,"○")&gt;0,1,0))</f>
        <v/>
      </c>
      <c r="DF214">
        <f>IF(DF$4=0,0,IF(COUNTIFS(実績!$W$6:$W$505,DF$3,実績!$AC$6:$AC$505,"&lt;="&amp;$A214,実績!$AD$6:$AD$505,"&gt;"&amp;$A214,実績!$AE$6:$AE$505,"○")&gt;0,1,0))</f>
        <v/>
      </c>
      <c r="DG214">
        <f>IF(DG$4=0,0,IF(COUNTIFS(実績!$W$6:$W$505,DG$3,実績!$AC$6:$AC$505,"&lt;="&amp;$A214,実績!$AD$6:$AD$505,"&gt;"&amp;$A214,実績!$AE$6:$AE$505,"○")&gt;0,1,0))</f>
        <v/>
      </c>
      <c r="DH214">
        <f>IF(DH$4=0,0,IF(COUNTIFS(実績!$W$6:$W$505,DH$3,実績!$AC$6:$AC$505,"&lt;="&amp;$A214,実績!$AD$6:$AD$505,"&gt;"&amp;$A214,実績!$AE$6:$AE$505,"○")&gt;0,1,0))</f>
        <v/>
      </c>
      <c r="DI214">
        <f>IF(DI$4=0,0,IF(COUNTIFS(実績!$W$6:$W$505,DI$3,実績!$AC$6:$AC$505,"&lt;="&amp;$A214,実績!$AD$6:$AD$505,"&gt;"&amp;$A214,実績!$AE$6:$AE$505,"○")&gt;0,1,0))</f>
        <v/>
      </c>
      <c r="DJ214">
        <f>IF(DJ$4=0,0,IF(COUNTIFS(実績!$W$6:$W$505,DJ$3,実績!$AC$6:$AC$505,"&lt;="&amp;$A214,実績!$AD$6:$AD$505,"&gt;"&amp;$A214,実績!$AE$6:$AE$505,"○")&gt;0,1,0))</f>
        <v/>
      </c>
      <c r="DK214">
        <f>IF(DK$4=0,0,IF(COUNTIFS(実績!$W$6:$W$505,DK$3,実績!$AC$6:$AC$505,"&lt;="&amp;$A214,実績!$AD$6:$AD$505,"&gt;"&amp;$A214,実績!$AE$6:$AE$505,"○")&gt;0,1,0))</f>
        <v/>
      </c>
      <c r="DL214">
        <f>IF(DL$4=0,0,IF(COUNTIFS(実績!$W$6:$W$505,DL$3,実績!$AC$6:$AC$505,"&lt;="&amp;$A214,実績!$AD$6:$AD$505,"&gt;"&amp;$A214,実績!$AE$6:$AE$505,"○")&gt;0,1,0))</f>
        <v/>
      </c>
      <c r="DM214">
        <f>IF(DM$4=0,0,IF(COUNTIFS(実績!$W$6:$W$505,DM$3,実績!$AC$6:$AC$505,"&lt;="&amp;$A214,実績!$AD$6:$AD$505,"&gt;"&amp;$A214,実績!$AE$6:$AE$505,"○")&gt;0,1,0))</f>
        <v/>
      </c>
      <c r="DN214">
        <f>IF(DN$4=0,0,IF(COUNTIFS(実績!$W$6:$W$505,DN$3,実績!$AC$6:$AC$505,"&lt;="&amp;$A214,実績!$AD$6:$AD$505,"&gt;"&amp;$A214,実績!$AE$6:$AE$505,"○")&gt;0,1,0))</f>
        <v/>
      </c>
      <c r="DO214">
        <f>IF(DO$4=0,0,IF(COUNTIFS(実績!$W$6:$W$505,DO$3,実績!$AC$6:$AC$505,"&lt;="&amp;$A214,実績!$AD$6:$AD$505,"&gt;"&amp;$A214,実績!$AE$6:$AE$505,"○")&gt;0,1,0))</f>
        <v/>
      </c>
      <c r="DP214">
        <f>IF(DP$4=0,0,IF(COUNTIFS(実績!$W$6:$W$505,DP$3,実績!$AC$6:$AC$505,"&lt;="&amp;$A214,実績!$AD$6:$AD$505,"&gt;"&amp;$A214,実績!$AE$6:$AE$505,"○")&gt;0,1,0))</f>
        <v/>
      </c>
      <c r="DQ214">
        <f>IF(DQ$4=0,0,IF(COUNTIFS(実績!$W$6:$W$505,DQ$3,実績!$AC$6:$AC$505,"&lt;="&amp;$A214,実績!$AD$6:$AD$505,"&gt;"&amp;$A214,実績!$AE$6:$AE$505,"○")&gt;0,1,0))</f>
        <v/>
      </c>
      <c r="DR214">
        <f>IF(DR$4=0,0,IF(COUNTIFS(実績!$W$6:$W$505,DR$3,実績!$AC$6:$AC$505,"&lt;="&amp;$A214,実績!$AD$6:$AD$505,"&gt;"&amp;$A214,実績!$AE$6:$AE$505,"○")&gt;0,1,0))</f>
        <v/>
      </c>
      <c r="DS214">
        <f>SUM(C214:DR214)</f>
        <v/>
      </c>
      <c r="DT214">
        <f>SUMPRODUCT((実績!$C$6:$C$505="○")*ISNUMBER(実績!$AF$6:$AF$505)*(実績!$AF$6:$AF$505&lt;=$A214)*(実績!$AG$6:$AG$505&gt;$A214))</f>
        <v/>
      </c>
      <c r="DU214">
        <f>SUMIF($C$2:$DR$2,"製鉄曳船",C214:DR214)</f>
        <v/>
      </c>
      <c r="DV214">
        <f>SUMIF($C$2:$DR$2,"西日本海運",C214:DR214)</f>
        <v/>
      </c>
    </row>
    <row r="215">
      <c r="A215" t="n">
        <v>1045</v>
      </c>
      <c r="B215" s="29">
        <f>A215/1440</f>
        <v/>
      </c>
      <c r="C215">
        <f>IF(C$4=0,0,IF(COUNTIFS(実績!$W$6:$W$505,C$3,実績!$AC$6:$AC$505,"&lt;="&amp;$A215,実績!$AD$6:$AD$505,"&gt;"&amp;$A215,実績!$AE$6:$AE$505,"○")&gt;0,1,0))</f>
        <v/>
      </c>
      <c r="D215">
        <f>IF(D$4=0,0,IF(COUNTIFS(実績!$W$6:$W$505,D$3,実績!$AC$6:$AC$505,"&lt;="&amp;$A215,実績!$AD$6:$AD$505,"&gt;"&amp;$A215,実績!$AE$6:$AE$505,"○")&gt;0,1,0))</f>
        <v/>
      </c>
      <c r="E215">
        <f>IF(E$4=0,0,IF(COUNTIFS(実績!$W$6:$W$505,E$3,実績!$AC$6:$AC$505,"&lt;="&amp;$A215,実績!$AD$6:$AD$505,"&gt;"&amp;$A215,実績!$AE$6:$AE$505,"○")&gt;0,1,0))</f>
        <v/>
      </c>
      <c r="F215">
        <f>IF(F$4=0,0,IF(COUNTIFS(実績!$W$6:$W$505,F$3,実績!$AC$6:$AC$505,"&lt;="&amp;$A215,実績!$AD$6:$AD$505,"&gt;"&amp;$A215,実績!$AE$6:$AE$505,"○")&gt;0,1,0))</f>
        <v/>
      </c>
      <c r="G215">
        <f>IF(G$4=0,0,IF(COUNTIFS(実績!$W$6:$W$505,G$3,実績!$AC$6:$AC$505,"&lt;="&amp;$A215,実績!$AD$6:$AD$505,"&gt;"&amp;$A215,実績!$AE$6:$AE$505,"○")&gt;0,1,0))</f>
        <v/>
      </c>
      <c r="H215">
        <f>IF(H$4=0,0,IF(COUNTIFS(実績!$W$6:$W$505,H$3,実績!$AC$6:$AC$505,"&lt;="&amp;$A215,実績!$AD$6:$AD$505,"&gt;"&amp;$A215,実績!$AE$6:$AE$505,"○")&gt;0,1,0))</f>
        <v/>
      </c>
      <c r="I215">
        <f>IF(I$4=0,0,IF(COUNTIFS(実績!$W$6:$W$505,I$3,実績!$AC$6:$AC$505,"&lt;="&amp;$A215,実績!$AD$6:$AD$505,"&gt;"&amp;$A215,実績!$AE$6:$AE$505,"○")&gt;0,1,0))</f>
        <v/>
      </c>
      <c r="J215">
        <f>IF(J$4=0,0,IF(COUNTIFS(実績!$W$6:$W$505,J$3,実績!$AC$6:$AC$505,"&lt;="&amp;$A215,実績!$AD$6:$AD$505,"&gt;"&amp;$A215,実績!$AE$6:$AE$505,"○")&gt;0,1,0))</f>
        <v/>
      </c>
      <c r="K215">
        <f>IF(K$4=0,0,IF(COUNTIFS(実績!$W$6:$W$505,K$3,実績!$AC$6:$AC$505,"&lt;="&amp;$A215,実績!$AD$6:$AD$505,"&gt;"&amp;$A215,実績!$AE$6:$AE$505,"○")&gt;0,1,0))</f>
        <v/>
      </c>
      <c r="L215">
        <f>IF(L$4=0,0,IF(COUNTIFS(実績!$W$6:$W$505,L$3,実績!$AC$6:$AC$505,"&lt;="&amp;$A215,実績!$AD$6:$AD$505,"&gt;"&amp;$A215,実績!$AE$6:$AE$505,"○")&gt;0,1,0))</f>
        <v/>
      </c>
      <c r="M215">
        <f>IF(M$4=0,0,IF(COUNTIFS(実績!$W$6:$W$505,M$3,実績!$AC$6:$AC$505,"&lt;="&amp;$A215,実績!$AD$6:$AD$505,"&gt;"&amp;$A215,実績!$AE$6:$AE$505,"○")&gt;0,1,0))</f>
        <v/>
      </c>
      <c r="N215">
        <f>IF(N$4=0,0,IF(COUNTIFS(実績!$W$6:$W$505,N$3,実績!$AC$6:$AC$505,"&lt;="&amp;$A215,実績!$AD$6:$AD$505,"&gt;"&amp;$A215,実績!$AE$6:$AE$505,"○")&gt;0,1,0))</f>
        <v/>
      </c>
      <c r="O215">
        <f>IF(O$4=0,0,IF(COUNTIFS(実績!$W$6:$W$505,O$3,実績!$AC$6:$AC$505,"&lt;="&amp;$A215,実績!$AD$6:$AD$505,"&gt;"&amp;$A215,実績!$AE$6:$AE$505,"○")&gt;0,1,0))</f>
        <v/>
      </c>
      <c r="P215">
        <f>IF(P$4=0,0,IF(COUNTIFS(実績!$W$6:$W$505,P$3,実績!$AC$6:$AC$505,"&lt;="&amp;$A215,実績!$AD$6:$AD$505,"&gt;"&amp;$A215,実績!$AE$6:$AE$505,"○")&gt;0,1,0))</f>
        <v/>
      </c>
      <c r="Q215">
        <f>IF(Q$4=0,0,IF(COUNTIFS(実績!$W$6:$W$505,Q$3,実績!$AC$6:$AC$505,"&lt;="&amp;$A215,実績!$AD$6:$AD$505,"&gt;"&amp;$A215,実績!$AE$6:$AE$505,"○")&gt;0,1,0))</f>
        <v/>
      </c>
      <c r="R215">
        <f>IF(R$4=0,0,IF(COUNTIFS(実績!$W$6:$W$505,R$3,実績!$AC$6:$AC$505,"&lt;="&amp;$A215,実績!$AD$6:$AD$505,"&gt;"&amp;$A215,実績!$AE$6:$AE$505,"○")&gt;0,1,0))</f>
        <v/>
      </c>
      <c r="S215">
        <f>IF(S$4=0,0,IF(COUNTIFS(実績!$W$6:$W$505,S$3,実績!$AC$6:$AC$505,"&lt;="&amp;$A215,実績!$AD$6:$AD$505,"&gt;"&amp;$A215,実績!$AE$6:$AE$505,"○")&gt;0,1,0))</f>
        <v/>
      </c>
      <c r="T215">
        <f>IF(T$4=0,0,IF(COUNTIFS(実績!$W$6:$W$505,T$3,実績!$AC$6:$AC$505,"&lt;="&amp;$A215,実績!$AD$6:$AD$505,"&gt;"&amp;$A215,実績!$AE$6:$AE$505,"○")&gt;0,1,0))</f>
        <v/>
      </c>
      <c r="U215">
        <f>IF(U$4=0,0,IF(COUNTIFS(実績!$W$6:$W$505,U$3,実績!$AC$6:$AC$505,"&lt;="&amp;$A215,実績!$AD$6:$AD$505,"&gt;"&amp;$A215,実績!$AE$6:$AE$505,"○")&gt;0,1,0))</f>
        <v/>
      </c>
      <c r="V215">
        <f>IF(V$4=0,0,IF(COUNTIFS(実績!$W$6:$W$505,V$3,実績!$AC$6:$AC$505,"&lt;="&amp;$A215,実績!$AD$6:$AD$505,"&gt;"&amp;$A215,実績!$AE$6:$AE$505,"○")&gt;0,1,0))</f>
        <v/>
      </c>
      <c r="W215">
        <f>IF(W$4=0,0,IF(COUNTIFS(実績!$W$6:$W$505,W$3,実績!$AC$6:$AC$505,"&lt;="&amp;$A215,実績!$AD$6:$AD$505,"&gt;"&amp;$A215,実績!$AE$6:$AE$505,"○")&gt;0,1,0))</f>
        <v/>
      </c>
      <c r="X215">
        <f>IF(X$4=0,0,IF(COUNTIFS(実績!$W$6:$W$505,X$3,実績!$AC$6:$AC$505,"&lt;="&amp;$A215,実績!$AD$6:$AD$505,"&gt;"&amp;$A215,実績!$AE$6:$AE$505,"○")&gt;0,1,0))</f>
        <v/>
      </c>
      <c r="Y215">
        <f>IF(Y$4=0,0,IF(COUNTIFS(実績!$W$6:$W$505,Y$3,実績!$AC$6:$AC$505,"&lt;="&amp;$A215,実績!$AD$6:$AD$505,"&gt;"&amp;$A215,実績!$AE$6:$AE$505,"○")&gt;0,1,0))</f>
        <v/>
      </c>
      <c r="Z215">
        <f>IF(Z$4=0,0,IF(COUNTIFS(実績!$W$6:$W$505,Z$3,実績!$AC$6:$AC$505,"&lt;="&amp;$A215,実績!$AD$6:$AD$505,"&gt;"&amp;$A215,実績!$AE$6:$AE$505,"○")&gt;0,1,0))</f>
        <v/>
      </c>
      <c r="AA215">
        <f>IF(AA$4=0,0,IF(COUNTIFS(実績!$W$6:$W$505,AA$3,実績!$AC$6:$AC$505,"&lt;="&amp;$A215,実績!$AD$6:$AD$505,"&gt;"&amp;$A215,実績!$AE$6:$AE$505,"○")&gt;0,1,0))</f>
        <v/>
      </c>
      <c r="AB215">
        <f>IF(AB$4=0,0,IF(COUNTIFS(実績!$W$6:$W$505,AB$3,実績!$AC$6:$AC$505,"&lt;="&amp;$A215,実績!$AD$6:$AD$505,"&gt;"&amp;$A215,実績!$AE$6:$AE$505,"○")&gt;0,1,0))</f>
        <v/>
      </c>
      <c r="AC215">
        <f>IF(AC$4=0,0,IF(COUNTIFS(実績!$W$6:$W$505,AC$3,実績!$AC$6:$AC$505,"&lt;="&amp;$A215,実績!$AD$6:$AD$505,"&gt;"&amp;$A215,実績!$AE$6:$AE$505,"○")&gt;0,1,0))</f>
        <v/>
      </c>
      <c r="AD215">
        <f>IF(AD$4=0,0,IF(COUNTIFS(実績!$W$6:$W$505,AD$3,実績!$AC$6:$AC$505,"&lt;="&amp;$A215,実績!$AD$6:$AD$505,"&gt;"&amp;$A215,実績!$AE$6:$AE$505,"○")&gt;0,1,0))</f>
        <v/>
      </c>
      <c r="AE215">
        <f>IF(AE$4=0,0,IF(COUNTIFS(実績!$W$6:$W$505,AE$3,実績!$AC$6:$AC$505,"&lt;="&amp;$A215,実績!$AD$6:$AD$505,"&gt;"&amp;$A215,実績!$AE$6:$AE$505,"○")&gt;0,1,0))</f>
        <v/>
      </c>
      <c r="AF215">
        <f>IF(AF$4=0,0,IF(COUNTIFS(実績!$W$6:$W$505,AF$3,実績!$AC$6:$AC$505,"&lt;="&amp;$A215,実績!$AD$6:$AD$505,"&gt;"&amp;$A215,実績!$AE$6:$AE$505,"○")&gt;0,1,0))</f>
        <v/>
      </c>
      <c r="AG215">
        <f>IF(AG$4=0,0,IF(COUNTIFS(実績!$W$6:$W$505,AG$3,実績!$AC$6:$AC$505,"&lt;="&amp;$A215,実績!$AD$6:$AD$505,"&gt;"&amp;$A215,実績!$AE$6:$AE$505,"○")&gt;0,1,0))</f>
        <v/>
      </c>
      <c r="AH215">
        <f>IF(AH$4=0,0,IF(COUNTIFS(実績!$W$6:$W$505,AH$3,実績!$AC$6:$AC$505,"&lt;="&amp;$A215,実績!$AD$6:$AD$505,"&gt;"&amp;$A215,実績!$AE$6:$AE$505,"○")&gt;0,1,0))</f>
        <v/>
      </c>
      <c r="AI215">
        <f>IF(AI$4=0,0,IF(COUNTIFS(実績!$W$6:$W$505,AI$3,実績!$AC$6:$AC$505,"&lt;="&amp;$A215,実績!$AD$6:$AD$505,"&gt;"&amp;$A215,実績!$AE$6:$AE$505,"○")&gt;0,1,0))</f>
        <v/>
      </c>
      <c r="AJ215">
        <f>IF(AJ$4=0,0,IF(COUNTIFS(実績!$W$6:$W$505,AJ$3,実績!$AC$6:$AC$505,"&lt;="&amp;$A215,実績!$AD$6:$AD$505,"&gt;"&amp;$A215,実績!$AE$6:$AE$505,"○")&gt;0,1,0))</f>
        <v/>
      </c>
      <c r="AK215">
        <f>IF(AK$4=0,0,IF(COUNTIFS(実績!$W$6:$W$505,AK$3,実績!$AC$6:$AC$505,"&lt;="&amp;$A215,実績!$AD$6:$AD$505,"&gt;"&amp;$A215,実績!$AE$6:$AE$505,"○")&gt;0,1,0))</f>
        <v/>
      </c>
      <c r="AL215">
        <f>IF(AL$4=0,0,IF(COUNTIFS(実績!$W$6:$W$505,AL$3,実績!$AC$6:$AC$505,"&lt;="&amp;$A215,実績!$AD$6:$AD$505,"&gt;"&amp;$A215,実績!$AE$6:$AE$505,"○")&gt;0,1,0))</f>
        <v/>
      </c>
      <c r="AM215">
        <f>IF(AM$4=0,0,IF(COUNTIFS(実績!$W$6:$W$505,AM$3,実績!$AC$6:$AC$505,"&lt;="&amp;$A215,実績!$AD$6:$AD$505,"&gt;"&amp;$A215,実績!$AE$6:$AE$505,"○")&gt;0,1,0))</f>
        <v/>
      </c>
      <c r="AN215">
        <f>IF(AN$4=0,0,IF(COUNTIFS(実績!$W$6:$W$505,AN$3,実績!$AC$6:$AC$505,"&lt;="&amp;$A215,実績!$AD$6:$AD$505,"&gt;"&amp;$A215,実績!$AE$6:$AE$505,"○")&gt;0,1,0))</f>
        <v/>
      </c>
      <c r="AO215">
        <f>IF(AO$4=0,0,IF(COUNTIFS(実績!$W$6:$W$505,AO$3,実績!$AC$6:$AC$505,"&lt;="&amp;$A215,実績!$AD$6:$AD$505,"&gt;"&amp;$A215,実績!$AE$6:$AE$505,"○")&gt;0,1,0))</f>
        <v/>
      </c>
      <c r="AP215">
        <f>IF(AP$4=0,0,IF(COUNTIFS(実績!$W$6:$W$505,AP$3,実績!$AC$6:$AC$505,"&lt;="&amp;$A215,実績!$AD$6:$AD$505,"&gt;"&amp;$A215,実績!$AE$6:$AE$505,"○")&gt;0,1,0))</f>
        <v/>
      </c>
      <c r="AQ215">
        <f>IF(AQ$4=0,0,IF(COUNTIFS(実績!$W$6:$W$505,AQ$3,実績!$AC$6:$AC$505,"&lt;="&amp;$A215,実績!$AD$6:$AD$505,"&gt;"&amp;$A215,実績!$AE$6:$AE$505,"○")&gt;0,1,0))</f>
        <v/>
      </c>
      <c r="AR215">
        <f>IF(AR$4=0,0,IF(COUNTIFS(実績!$W$6:$W$505,AR$3,実績!$AC$6:$AC$505,"&lt;="&amp;$A215,実績!$AD$6:$AD$505,"&gt;"&amp;$A215,実績!$AE$6:$AE$505,"○")&gt;0,1,0))</f>
        <v/>
      </c>
      <c r="AS215">
        <f>IF(AS$4=0,0,IF(COUNTIFS(実績!$W$6:$W$505,AS$3,実績!$AC$6:$AC$505,"&lt;="&amp;$A215,実績!$AD$6:$AD$505,"&gt;"&amp;$A215,実績!$AE$6:$AE$505,"○")&gt;0,1,0))</f>
        <v/>
      </c>
      <c r="AT215">
        <f>IF(AT$4=0,0,IF(COUNTIFS(実績!$W$6:$W$505,AT$3,実績!$AC$6:$AC$505,"&lt;="&amp;$A215,実績!$AD$6:$AD$505,"&gt;"&amp;$A215,実績!$AE$6:$AE$505,"○")&gt;0,1,0))</f>
        <v/>
      </c>
      <c r="AU215">
        <f>IF(AU$4=0,0,IF(COUNTIFS(実績!$W$6:$W$505,AU$3,実績!$AC$6:$AC$505,"&lt;="&amp;$A215,実績!$AD$6:$AD$505,"&gt;"&amp;$A215,実績!$AE$6:$AE$505,"○")&gt;0,1,0))</f>
        <v/>
      </c>
      <c r="AV215">
        <f>IF(AV$4=0,0,IF(COUNTIFS(実績!$W$6:$W$505,AV$3,実績!$AC$6:$AC$505,"&lt;="&amp;$A215,実績!$AD$6:$AD$505,"&gt;"&amp;$A215,実績!$AE$6:$AE$505,"○")&gt;0,1,0))</f>
        <v/>
      </c>
      <c r="AW215">
        <f>IF(AW$4=0,0,IF(COUNTIFS(実績!$W$6:$W$505,AW$3,実績!$AC$6:$AC$505,"&lt;="&amp;$A215,実績!$AD$6:$AD$505,"&gt;"&amp;$A215,実績!$AE$6:$AE$505,"○")&gt;0,1,0))</f>
        <v/>
      </c>
      <c r="AX215">
        <f>IF(AX$4=0,0,IF(COUNTIFS(実績!$W$6:$W$505,AX$3,実績!$AC$6:$AC$505,"&lt;="&amp;$A215,実績!$AD$6:$AD$505,"&gt;"&amp;$A215,実績!$AE$6:$AE$505,"○")&gt;0,1,0))</f>
        <v/>
      </c>
      <c r="AY215">
        <f>IF(AY$4=0,0,IF(COUNTIFS(実績!$W$6:$W$505,AY$3,実績!$AC$6:$AC$505,"&lt;="&amp;$A215,実績!$AD$6:$AD$505,"&gt;"&amp;$A215,実績!$AE$6:$AE$505,"○")&gt;0,1,0))</f>
        <v/>
      </c>
      <c r="AZ215">
        <f>IF(AZ$4=0,0,IF(COUNTIFS(実績!$W$6:$W$505,AZ$3,実績!$AC$6:$AC$505,"&lt;="&amp;$A215,実績!$AD$6:$AD$505,"&gt;"&amp;$A215,実績!$AE$6:$AE$505,"○")&gt;0,1,0))</f>
        <v/>
      </c>
      <c r="BA215">
        <f>IF(BA$4=0,0,IF(COUNTIFS(実績!$W$6:$W$505,BA$3,実績!$AC$6:$AC$505,"&lt;="&amp;$A215,実績!$AD$6:$AD$505,"&gt;"&amp;$A215,実績!$AE$6:$AE$505,"○")&gt;0,1,0))</f>
        <v/>
      </c>
      <c r="BB215">
        <f>IF(BB$4=0,0,IF(COUNTIFS(実績!$W$6:$W$505,BB$3,実績!$AC$6:$AC$505,"&lt;="&amp;$A215,実績!$AD$6:$AD$505,"&gt;"&amp;$A215,実績!$AE$6:$AE$505,"○")&gt;0,1,0))</f>
        <v/>
      </c>
      <c r="BC215">
        <f>IF(BC$4=0,0,IF(COUNTIFS(実績!$W$6:$W$505,BC$3,実績!$AC$6:$AC$505,"&lt;="&amp;$A215,実績!$AD$6:$AD$505,"&gt;"&amp;$A215,実績!$AE$6:$AE$505,"○")&gt;0,1,0))</f>
        <v/>
      </c>
      <c r="BD215">
        <f>IF(BD$4=0,0,IF(COUNTIFS(実績!$W$6:$W$505,BD$3,実績!$AC$6:$AC$505,"&lt;="&amp;$A215,実績!$AD$6:$AD$505,"&gt;"&amp;$A215,実績!$AE$6:$AE$505,"○")&gt;0,1,0))</f>
        <v/>
      </c>
      <c r="BE215">
        <f>IF(BE$4=0,0,IF(COUNTIFS(実績!$W$6:$W$505,BE$3,実績!$AC$6:$AC$505,"&lt;="&amp;$A215,実績!$AD$6:$AD$505,"&gt;"&amp;$A215,実績!$AE$6:$AE$505,"○")&gt;0,1,0))</f>
        <v/>
      </c>
      <c r="BF215">
        <f>IF(BF$4=0,0,IF(COUNTIFS(実績!$W$6:$W$505,BF$3,実績!$AC$6:$AC$505,"&lt;="&amp;$A215,実績!$AD$6:$AD$505,"&gt;"&amp;$A215,実績!$AE$6:$AE$505,"○")&gt;0,1,0))</f>
        <v/>
      </c>
      <c r="BG215">
        <f>IF(BG$4=0,0,IF(COUNTIFS(実績!$W$6:$W$505,BG$3,実績!$AC$6:$AC$505,"&lt;="&amp;$A215,実績!$AD$6:$AD$505,"&gt;"&amp;$A215,実績!$AE$6:$AE$505,"○")&gt;0,1,0))</f>
        <v/>
      </c>
      <c r="BH215">
        <f>IF(BH$4=0,0,IF(COUNTIFS(実績!$W$6:$W$505,BH$3,実績!$AC$6:$AC$505,"&lt;="&amp;$A215,実績!$AD$6:$AD$505,"&gt;"&amp;$A215,実績!$AE$6:$AE$505,"○")&gt;0,1,0))</f>
        <v/>
      </c>
      <c r="BI215">
        <f>IF(BI$4=0,0,IF(COUNTIFS(実績!$W$6:$W$505,BI$3,実績!$AC$6:$AC$505,"&lt;="&amp;$A215,実績!$AD$6:$AD$505,"&gt;"&amp;$A215,実績!$AE$6:$AE$505,"○")&gt;0,1,0))</f>
        <v/>
      </c>
      <c r="BJ215">
        <f>IF(BJ$4=0,0,IF(COUNTIFS(実績!$W$6:$W$505,BJ$3,実績!$AC$6:$AC$505,"&lt;="&amp;$A215,実績!$AD$6:$AD$505,"&gt;"&amp;$A215,実績!$AE$6:$AE$505,"○")&gt;0,1,0))</f>
        <v/>
      </c>
      <c r="BK215">
        <f>IF(BK$4=0,0,IF(COUNTIFS(実績!$W$6:$W$505,BK$3,実績!$AC$6:$AC$505,"&lt;="&amp;$A215,実績!$AD$6:$AD$505,"&gt;"&amp;$A215,実績!$AE$6:$AE$505,"○")&gt;0,1,0))</f>
        <v/>
      </c>
      <c r="BL215">
        <f>IF(BL$4=0,0,IF(COUNTIFS(実績!$W$6:$W$505,BL$3,実績!$AC$6:$AC$505,"&lt;="&amp;$A215,実績!$AD$6:$AD$505,"&gt;"&amp;$A215,実績!$AE$6:$AE$505,"○")&gt;0,1,0))</f>
        <v/>
      </c>
      <c r="BM215">
        <f>IF(BM$4=0,0,IF(COUNTIFS(実績!$W$6:$W$505,BM$3,実績!$AC$6:$AC$505,"&lt;="&amp;$A215,実績!$AD$6:$AD$505,"&gt;"&amp;$A215,実績!$AE$6:$AE$505,"○")&gt;0,1,0))</f>
        <v/>
      </c>
      <c r="BN215">
        <f>IF(BN$4=0,0,IF(COUNTIFS(実績!$W$6:$W$505,BN$3,実績!$AC$6:$AC$505,"&lt;="&amp;$A215,実績!$AD$6:$AD$505,"&gt;"&amp;$A215,実績!$AE$6:$AE$505,"○")&gt;0,1,0))</f>
        <v/>
      </c>
      <c r="BO215">
        <f>IF(BO$4=0,0,IF(COUNTIFS(実績!$W$6:$W$505,BO$3,実績!$AC$6:$AC$505,"&lt;="&amp;$A215,実績!$AD$6:$AD$505,"&gt;"&amp;$A215,実績!$AE$6:$AE$505,"○")&gt;0,1,0))</f>
        <v/>
      </c>
      <c r="BP215">
        <f>IF(BP$4=0,0,IF(COUNTIFS(実績!$W$6:$W$505,BP$3,実績!$AC$6:$AC$505,"&lt;="&amp;$A215,実績!$AD$6:$AD$505,"&gt;"&amp;$A215,実績!$AE$6:$AE$505,"○")&gt;0,1,0))</f>
        <v/>
      </c>
      <c r="BQ215">
        <f>IF(BQ$4=0,0,IF(COUNTIFS(実績!$W$6:$W$505,BQ$3,実績!$AC$6:$AC$505,"&lt;="&amp;$A215,実績!$AD$6:$AD$505,"&gt;"&amp;$A215,実績!$AE$6:$AE$505,"○")&gt;0,1,0))</f>
        <v/>
      </c>
      <c r="BR215">
        <f>IF(BR$4=0,0,IF(COUNTIFS(実績!$W$6:$W$505,BR$3,実績!$AC$6:$AC$505,"&lt;="&amp;$A215,実績!$AD$6:$AD$505,"&gt;"&amp;$A215,実績!$AE$6:$AE$505,"○")&gt;0,1,0))</f>
        <v/>
      </c>
      <c r="BS215">
        <f>IF(BS$4=0,0,IF(COUNTIFS(実績!$W$6:$W$505,BS$3,実績!$AC$6:$AC$505,"&lt;="&amp;$A215,実績!$AD$6:$AD$505,"&gt;"&amp;$A215,実績!$AE$6:$AE$505,"○")&gt;0,1,0))</f>
        <v/>
      </c>
      <c r="BT215">
        <f>IF(BT$4=0,0,IF(COUNTIFS(実績!$W$6:$W$505,BT$3,実績!$AC$6:$AC$505,"&lt;="&amp;$A215,実績!$AD$6:$AD$505,"&gt;"&amp;$A215,実績!$AE$6:$AE$505,"○")&gt;0,1,0))</f>
        <v/>
      </c>
      <c r="BU215">
        <f>IF(BU$4=0,0,IF(COUNTIFS(実績!$W$6:$W$505,BU$3,実績!$AC$6:$AC$505,"&lt;="&amp;$A215,実績!$AD$6:$AD$505,"&gt;"&amp;$A215,実績!$AE$6:$AE$505,"○")&gt;0,1,0))</f>
        <v/>
      </c>
      <c r="BV215">
        <f>IF(BV$4=0,0,IF(COUNTIFS(実績!$W$6:$W$505,BV$3,実績!$AC$6:$AC$505,"&lt;="&amp;$A215,実績!$AD$6:$AD$505,"&gt;"&amp;$A215,実績!$AE$6:$AE$505,"○")&gt;0,1,0))</f>
        <v/>
      </c>
      <c r="BW215">
        <f>IF(BW$4=0,0,IF(COUNTIFS(実績!$W$6:$W$505,BW$3,実績!$AC$6:$AC$505,"&lt;="&amp;$A215,実績!$AD$6:$AD$505,"&gt;"&amp;$A215,実績!$AE$6:$AE$505,"○")&gt;0,1,0))</f>
        <v/>
      </c>
      <c r="BX215">
        <f>IF(BX$4=0,0,IF(COUNTIFS(実績!$W$6:$W$505,BX$3,実績!$AC$6:$AC$505,"&lt;="&amp;$A215,実績!$AD$6:$AD$505,"&gt;"&amp;$A215,実績!$AE$6:$AE$505,"○")&gt;0,1,0))</f>
        <v/>
      </c>
      <c r="BY215">
        <f>IF(BY$4=0,0,IF(COUNTIFS(実績!$W$6:$W$505,BY$3,実績!$AC$6:$AC$505,"&lt;="&amp;$A215,実績!$AD$6:$AD$505,"&gt;"&amp;$A215,実績!$AE$6:$AE$505,"○")&gt;0,1,0))</f>
        <v/>
      </c>
      <c r="BZ215">
        <f>IF(BZ$4=0,0,IF(COUNTIFS(実績!$W$6:$W$505,BZ$3,実績!$AC$6:$AC$505,"&lt;="&amp;$A215,実績!$AD$6:$AD$505,"&gt;"&amp;$A215,実績!$AE$6:$AE$505,"○")&gt;0,1,0))</f>
        <v/>
      </c>
      <c r="CA215">
        <f>IF(CA$4=0,0,IF(COUNTIFS(実績!$W$6:$W$505,CA$3,実績!$AC$6:$AC$505,"&lt;="&amp;$A215,実績!$AD$6:$AD$505,"&gt;"&amp;$A215,実績!$AE$6:$AE$505,"○")&gt;0,1,0))</f>
        <v/>
      </c>
      <c r="CB215">
        <f>IF(CB$4=0,0,IF(COUNTIFS(実績!$W$6:$W$505,CB$3,実績!$AC$6:$AC$505,"&lt;="&amp;$A215,実績!$AD$6:$AD$505,"&gt;"&amp;$A215,実績!$AE$6:$AE$505,"○")&gt;0,1,0))</f>
        <v/>
      </c>
      <c r="CC215">
        <f>IF(CC$4=0,0,IF(COUNTIFS(実績!$W$6:$W$505,CC$3,実績!$AC$6:$AC$505,"&lt;="&amp;$A215,実績!$AD$6:$AD$505,"&gt;"&amp;$A215,実績!$AE$6:$AE$505,"○")&gt;0,1,0))</f>
        <v/>
      </c>
      <c r="CD215">
        <f>IF(CD$4=0,0,IF(COUNTIFS(実績!$W$6:$W$505,CD$3,実績!$AC$6:$AC$505,"&lt;="&amp;$A215,実績!$AD$6:$AD$505,"&gt;"&amp;$A215,実績!$AE$6:$AE$505,"○")&gt;0,1,0))</f>
        <v/>
      </c>
      <c r="CE215">
        <f>IF(CE$4=0,0,IF(COUNTIFS(実績!$W$6:$W$505,CE$3,実績!$AC$6:$AC$505,"&lt;="&amp;$A215,実績!$AD$6:$AD$505,"&gt;"&amp;$A215,実績!$AE$6:$AE$505,"○")&gt;0,1,0))</f>
        <v/>
      </c>
      <c r="CF215">
        <f>IF(CF$4=0,0,IF(COUNTIFS(実績!$W$6:$W$505,CF$3,実績!$AC$6:$AC$505,"&lt;="&amp;$A215,実績!$AD$6:$AD$505,"&gt;"&amp;$A215,実績!$AE$6:$AE$505,"○")&gt;0,1,0))</f>
        <v/>
      </c>
      <c r="CG215">
        <f>IF(CG$4=0,0,IF(COUNTIFS(実績!$W$6:$W$505,CG$3,実績!$AC$6:$AC$505,"&lt;="&amp;$A215,実績!$AD$6:$AD$505,"&gt;"&amp;$A215,実績!$AE$6:$AE$505,"○")&gt;0,1,0))</f>
        <v/>
      </c>
      <c r="CH215">
        <f>IF(CH$4=0,0,IF(COUNTIFS(実績!$W$6:$W$505,CH$3,実績!$AC$6:$AC$505,"&lt;="&amp;$A215,実績!$AD$6:$AD$505,"&gt;"&amp;$A215,実績!$AE$6:$AE$505,"○")&gt;0,1,0))</f>
        <v/>
      </c>
      <c r="CI215">
        <f>IF(CI$4=0,0,IF(COUNTIFS(実績!$W$6:$W$505,CI$3,実績!$AC$6:$AC$505,"&lt;="&amp;$A215,実績!$AD$6:$AD$505,"&gt;"&amp;$A215,実績!$AE$6:$AE$505,"○")&gt;0,1,0))</f>
        <v/>
      </c>
      <c r="CJ215">
        <f>IF(CJ$4=0,0,IF(COUNTIFS(実績!$W$6:$W$505,CJ$3,実績!$AC$6:$AC$505,"&lt;="&amp;$A215,実績!$AD$6:$AD$505,"&gt;"&amp;$A215,実績!$AE$6:$AE$505,"○")&gt;0,1,0))</f>
        <v/>
      </c>
      <c r="CK215">
        <f>IF(CK$4=0,0,IF(COUNTIFS(実績!$W$6:$W$505,CK$3,実績!$AC$6:$AC$505,"&lt;="&amp;$A215,実績!$AD$6:$AD$505,"&gt;"&amp;$A215,実績!$AE$6:$AE$505,"○")&gt;0,1,0))</f>
        <v/>
      </c>
      <c r="CL215">
        <f>IF(CL$4=0,0,IF(COUNTIFS(実績!$W$6:$W$505,CL$3,実績!$AC$6:$AC$505,"&lt;="&amp;$A215,実績!$AD$6:$AD$505,"&gt;"&amp;$A215,実績!$AE$6:$AE$505,"○")&gt;0,1,0))</f>
        <v/>
      </c>
      <c r="CM215">
        <f>IF(CM$4=0,0,IF(COUNTIFS(実績!$W$6:$W$505,CM$3,実績!$AC$6:$AC$505,"&lt;="&amp;$A215,実績!$AD$6:$AD$505,"&gt;"&amp;$A215,実績!$AE$6:$AE$505,"○")&gt;0,1,0))</f>
        <v/>
      </c>
      <c r="CN215">
        <f>IF(CN$4=0,0,IF(COUNTIFS(実績!$W$6:$W$505,CN$3,実績!$AC$6:$AC$505,"&lt;="&amp;$A215,実績!$AD$6:$AD$505,"&gt;"&amp;$A215,実績!$AE$6:$AE$505,"○")&gt;0,1,0))</f>
        <v/>
      </c>
      <c r="CO215">
        <f>IF(CO$4=0,0,IF(COUNTIFS(実績!$W$6:$W$505,CO$3,実績!$AC$6:$AC$505,"&lt;="&amp;$A215,実績!$AD$6:$AD$505,"&gt;"&amp;$A215,実績!$AE$6:$AE$505,"○")&gt;0,1,0))</f>
        <v/>
      </c>
      <c r="CP215">
        <f>IF(CP$4=0,0,IF(COUNTIFS(実績!$W$6:$W$505,CP$3,実績!$AC$6:$AC$505,"&lt;="&amp;$A215,実績!$AD$6:$AD$505,"&gt;"&amp;$A215,実績!$AE$6:$AE$505,"○")&gt;0,1,0))</f>
        <v/>
      </c>
      <c r="CQ215">
        <f>IF(CQ$4=0,0,IF(COUNTIFS(実績!$W$6:$W$505,CQ$3,実績!$AC$6:$AC$505,"&lt;="&amp;$A215,実績!$AD$6:$AD$505,"&gt;"&amp;$A215,実績!$AE$6:$AE$505,"○")&gt;0,1,0))</f>
        <v/>
      </c>
      <c r="CR215">
        <f>IF(CR$4=0,0,IF(COUNTIFS(実績!$W$6:$W$505,CR$3,実績!$AC$6:$AC$505,"&lt;="&amp;$A215,実績!$AD$6:$AD$505,"&gt;"&amp;$A215,実績!$AE$6:$AE$505,"○")&gt;0,1,0))</f>
        <v/>
      </c>
      <c r="CS215">
        <f>IF(CS$4=0,0,IF(COUNTIFS(実績!$W$6:$W$505,CS$3,実績!$AC$6:$AC$505,"&lt;="&amp;$A215,実績!$AD$6:$AD$505,"&gt;"&amp;$A215,実績!$AE$6:$AE$505,"○")&gt;0,1,0))</f>
        <v/>
      </c>
      <c r="CT215">
        <f>IF(CT$4=0,0,IF(COUNTIFS(実績!$W$6:$W$505,CT$3,実績!$AC$6:$AC$505,"&lt;="&amp;$A215,実績!$AD$6:$AD$505,"&gt;"&amp;$A215,実績!$AE$6:$AE$505,"○")&gt;0,1,0))</f>
        <v/>
      </c>
      <c r="CU215">
        <f>IF(CU$4=0,0,IF(COUNTIFS(実績!$W$6:$W$505,CU$3,実績!$AC$6:$AC$505,"&lt;="&amp;$A215,実績!$AD$6:$AD$505,"&gt;"&amp;$A215,実績!$AE$6:$AE$505,"○")&gt;0,1,0))</f>
        <v/>
      </c>
      <c r="CV215">
        <f>IF(CV$4=0,0,IF(COUNTIFS(実績!$W$6:$W$505,CV$3,実績!$AC$6:$AC$505,"&lt;="&amp;$A215,実績!$AD$6:$AD$505,"&gt;"&amp;$A215,実績!$AE$6:$AE$505,"○")&gt;0,1,0))</f>
        <v/>
      </c>
      <c r="CW215">
        <f>IF(CW$4=0,0,IF(COUNTIFS(実績!$W$6:$W$505,CW$3,実績!$AC$6:$AC$505,"&lt;="&amp;$A215,実績!$AD$6:$AD$505,"&gt;"&amp;$A215,実績!$AE$6:$AE$505,"○")&gt;0,1,0))</f>
        <v/>
      </c>
      <c r="CX215">
        <f>IF(CX$4=0,0,IF(COUNTIFS(実績!$W$6:$W$505,CX$3,実績!$AC$6:$AC$505,"&lt;="&amp;$A215,実績!$AD$6:$AD$505,"&gt;"&amp;$A215,実績!$AE$6:$AE$505,"○")&gt;0,1,0))</f>
        <v/>
      </c>
      <c r="CY215">
        <f>IF(CY$4=0,0,IF(COUNTIFS(実績!$W$6:$W$505,CY$3,実績!$AC$6:$AC$505,"&lt;="&amp;$A215,実績!$AD$6:$AD$505,"&gt;"&amp;$A215,実績!$AE$6:$AE$505,"○")&gt;0,1,0))</f>
        <v/>
      </c>
      <c r="CZ215">
        <f>IF(CZ$4=0,0,IF(COUNTIFS(実績!$W$6:$W$505,CZ$3,実績!$AC$6:$AC$505,"&lt;="&amp;$A215,実績!$AD$6:$AD$505,"&gt;"&amp;$A215,実績!$AE$6:$AE$505,"○")&gt;0,1,0))</f>
        <v/>
      </c>
      <c r="DA215">
        <f>IF(DA$4=0,0,IF(COUNTIFS(実績!$W$6:$W$505,DA$3,実績!$AC$6:$AC$505,"&lt;="&amp;$A215,実績!$AD$6:$AD$505,"&gt;"&amp;$A215,実績!$AE$6:$AE$505,"○")&gt;0,1,0))</f>
        <v/>
      </c>
      <c r="DB215">
        <f>IF(DB$4=0,0,IF(COUNTIFS(実績!$W$6:$W$505,DB$3,実績!$AC$6:$AC$505,"&lt;="&amp;$A215,実績!$AD$6:$AD$505,"&gt;"&amp;$A215,実績!$AE$6:$AE$505,"○")&gt;0,1,0))</f>
        <v/>
      </c>
      <c r="DC215">
        <f>IF(DC$4=0,0,IF(COUNTIFS(実績!$W$6:$W$505,DC$3,実績!$AC$6:$AC$505,"&lt;="&amp;$A215,実績!$AD$6:$AD$505,"&gt;"&amp;$A215,実績!$AE$6:$AE$505,"○")&gt;0,1,0))</f>
        <v/>
      </c>
      <c r="DD215">
        <f>IF(DD$4=0,0,IF(COUNTIFS(実績!$W$6:$W$505,DD$3,実績!$AC$6:$AC$505,"&lt;="&amp;$A215,実績!$AD$6:$AD$505,"&gt;"&amp;$A215,実績!$AE$6:$AE$505,"○")&gt;0,1,0))</f>
        <v/>
      </c>
      <c r="DE215">
        <f>IF(DE$4=0,0,IF(COUNTIFS(実績!$W$6:$W$505,DE$3,実績!$AC$6:$AC$505,"&lt;="&amp;$A215,実績!$AD$6:$AD$505,"&gt;"&amp;$A215,実績!$AE$6:$AE$505,"○")&gt;0,1,0))</f>
        <v/>
      </c>
      <c r="DF215">
        <f>IF(DF$4=0,0,IF(COUNTIFS(実績!$W$6:$W$505,DF$3,実績!$AC$6:$AC$505,"&lt;="&amp;$A215,実績!$AD$6:$AD$505,"&gt;"&amp;$A215,実績!$AE$6:$AE$505,"○")&gt;0,1,0))</f>
        <v/>
      </c>
      <c r="DG215">
        <f>IF(DG$4=0,0,IF(COUNTIFS(実績!$W$6:$W$505,DG$3,実績!$AC$6:$AC$505,"&lt;="&amp;$A215,実績!$AD$6:$AD$505,"&gt;"&amp;$A215,実績!$AE$6:$AE$505,"○")&gt;0,1,0))</f>
        <v/>
      </c>
      <c r="DH215">
        <f>IF(DH$4=0,0,IF(COUNTIFS(実績!$W$6:$W$505,DH$3,実績!$AC$6:$AC$505,"&lt;="&amp;$A215,実績!$AD$6:$AD$505,"&gt;"&amp;$A215,実績!$AE$6:$AE$505,"○")&gt;0,1,0))</f>
        <v/>
      </c>
      <c r="DI215">
        <f>IF(DI$4=0,0,IF(COUNTIFS(実績!$W$6:$W$505,DI$3,実績!$AC$6:$AC$505,"&lt;="&amp;$A215,実績!$AD$6:$AD$505,"&gt;"&amp;$A215,実績!$AE$6:$AE$505,"○")&gt;0,1,0))</f>
        <v/>
      </c>
      <c r="DJ215">
        <f>IF(DJ$4=0,0,IF(COUNTIFS(実績!$W$6:$W$505,DJ$3,実績!$AC$6:$AC$505,"&lt;="&amp;$A215,実績!$AD$6:$AD$505,"&gt;"&amp;$A215,実績!$AE$6:$AE$505,"○")&gt;0,1,0))</f>
        <v/>
      </c>
      <c r="DK215">
        <f>IF(DK$4=0,0,IF(COUNTIFS(実績!$W$6:$W$505,DK$3,実績!$AC$6:$AC$505,"&lt;="&amp;$A215,実績!$AD$6:$AD$505,"&gt;"&amp;$A215,実績!$AE$6:$AE$505,"○")&gt;0,1,0))</f>
        <v/>
      </c>
      <c r="DL215">
        <f>IF(DL$4=0,0,IF(COUNTIFS(実績!$W$6:$W$505,DL$3,実績!$AC$6:$AC$505,"&lt;="&amp;$A215,実績!$AD$6:$AD$505,"&gt;"&amp;$A215,実績!$AE$6:$AE$505,"○")&gt;0,1,0))</f>
        <v/>
      </c>
      <c r="DM215">
        <f>IF(DM$4=0,0,IF(COUNTIFS(実績!$W$6:$W$505,DM$3,実績!$AC$6:$AC$505,"&lt;="&amp;$A215,実績!$AD$6:$AD$505,"&gt;"&amp;$A215,実績!$AE$6:$AE$505,"○")&gt;0,1,0))</f>
        <v/>
      </c>
      <c r="DN215">
        <f>IF(DN$4=0,0,IF(COUNTIFS(実績!$W$6:$W$505,DN$3,実績!$AC$6:$AC$505,"&lt;="&amp;$A215,実績!$AD$6:$AD$505,"&gt;"&amp;$A215,実績!$AE$6:$AE$505,"○")&gt;0,1,0))</f>
        <v/>
      </c>
      <c r="DO215">
        <f>IF(DO$4=0,0,IF(COUNTIFS(実績!$W$6:$W$505,DO$3,実績!$AC$6:$AC$505,"&lt;="&amp;$A215,実績!$AD$6:$AD$505,"&gt;"&amp;$A215,実績!$AE$6:$AE$505,"○")&gt;0,1,0))</f>
        <v/>
      </c>
      <c r="DP215">
        <f>IF(DP$4=0,0,IF(COUNTIFS(実績!$W$6:$W$505,DP$3,実績!$AC$6:$AC$505,"&lt;="&amp;$A215,実績!$AD$6:$AD$505,"&gt;"&amp;$A215,実績!$AE$6:$AE$505,"○")&gt;0,1,0))</f>
        <v/>
      </c>
      <c r="DQ215">
        <f>IF(DQ$4=0,0,IF(COUNTIFS(実績!$W$6:$W$505,DQ$3,実績!$AC$6:$AC$505,"&lt;="&amp;$A215,実績!$AD$6:$AD$505,"&gt;"&amp;$A215,実績!$AE$6:$AE$505,"○")&gt;0,1,0))</f>
        <v/>
      </c>
      <c r="DR215">
        <f>IF(DR$4=0,0,IF(COUNTIFS(実績!$W$6:$W$505,DR$3,実績!$AC$6:$AC$505,"&lt;="&amp;$A215,実績!$AD$6:$AD$505,"&gt;"&amp;$A215,実績!$AE$6:$AE$505,"○")&gt;0,1,0))</f>
        <v/>
      </c>
      <c r="DS215">
        <f>SUM(C215:DR215)</f>
        <v/>
      </c>
      <c r="DT215">
        <f>SUMPRODUCT((実績!$C$6:$C$505="○")*ISNUMBER(実績!$AF$6:$AF$505)*(実績!$AF$6:$AF$505&lt;=$A215)*(実績!$AG$6:$AG$505&gt;$A215))</f>
        <v/>
      </c>
      <c r="DU215">
        <f>SUMIF($C$2:$DR$2,"製鉄曳船",C215:DR215)</f>
        <v/>
      </c>
      <c r="DV215">
        <f>SUMIF($C$2:$DR$2,"西日本海運",C215:DR215)</f>
        <v/>
      </c>
    </row>
    <row r="216">
      <c r="A216" t="n">
        <v>1050</v>
      </c>
      <c r="B216" s="29">
        <f>A216/1440</f>
        <v/>
      </c>
      <c r="C216">
        <f>IF(C$4=0,0,IF(COUNTIFS(実績!$W$6:$W$505,C$3,実績!$AC$6:$AC$505,"&lt;="&amp;$A216,実績!$AD$6:$AD$505,"&gt;"&amp;$A216,実績!$AE$6:$AE$505,"○")&gt;0,1,0))</f>
        <v/>
      </c>
      <c r="D216">
        <f>IF(D$4=0,0,IF(COUNTIFS(実績!$W$6:$W$505,D$3,実績!$AC$6:$AC$505,"&lt;="&amp;$A216,実績!$AD$6:$AD$505,"&gt;"&amp;$A216,実績!$AE$6:$AE$505,"○")&gt;0,1,0))</f>
        <v/>
      </c>
      <c r="E216">
        <f>IF(E$4=0,0,IF(COUNTIFS(実績!$W$6:$W$505,E$3,実績!$AC$6:$AC$505,"&lt;="&amp;$A216,実績!$AD$6:$AD$505,"&gt;"&amp;$A216,実績!$AE$6:$AE$505,"○")&gt;0,1,0))</f>
        <v/>
      </c>
      <c r="F216">
        <f>IF(F$4=0,0,IF(COUNTIFS(実績!$W$6:$W$505,F$3,実績!$AC$6:$AC$505,"&lt;="&amp;$A216,実績!$AD$6:$AD$505,"&gt;"&amp;$A216,実績!$AE$6:$AE$505,"○")&gt;0,1,0))</f>
        <v/>
      </c>
      <c r="G216">
        <f>IF(G$4=0,0,IF(COUNTIFS(実績!$W$6:$W$505,G$3,実績!$AC$6:$AC$505,"&lt;="&amp;$A216,実績!$AD$6:$AD$505,"&gt;"&amp;$A216,実績!$AE$6:$AE$505,"○")&gt;0,1,0))</f>
        <v/>
      </c>
      <c r="H216">
        <f>IF(H$4=0,0,IF(COUNTIFS(実績!$W$6:$W$505,H$3,実績!$AC$6:$AC$505,"&lt;="&amp;$A216,実績!$AD$6:$AD$505,"&gt;"&amp;$A216,実績!$AE$6:$AE$505,"○")&gt;0,1,0))</f>
        <v/>
      </c>
      <c r="I216">
        <f>IF(I$4=0,0,IF(COUNTIFS(実績!$W$6:$W$505,I$3,実績!$AC$6:$AC$505,"&lt;="&amp;$A216,実績!$AD$6:$AD$505,"&gt;"&amp;$A216,実績!$AE$6:$AE$505,"○")&gt;0,1,0))</f>
        <v/>
      </c>
      <c r="J216">
        <f>IF(J$4=0,0,IF(COUNTIFS(実績!$W$6:$W$505,J$3,実績!$AC$6:$AC$505,"&lt;="&amp;$A216,実績!$AD$6:$AD$505,"&gt;"&amp;$A216,実績!$AE$6:$AE$505,"○")&gt;0,1,0))</f>
        <v/>
      </c>
      <c r="K216">
        <f>IF(K$4=0,0,IF(COUNTIFS(実績!$W$6:$W$505,K$3,実績!$AC$6:$AC$505,"&lt;="&amp;$A216,実績!$AD$6:$AD$505,"&gt;"&amp;$A216,実績!$AE$6:$AE$505,"○")&gt;0,1,0))</f>
        <v/>
      </c>
      <c r="L216">
        <f>IF(L$4=0,0,IF(COUNTIFS(実績!$W$6:$W$505,L$3,実績!$AC$6:$AC$505,"&lt;="&amp;$A216,実績!$AD$6:$AD$505,"&gt;"&amp;$A216,実績!$AE$6:$AE$505,"○")&gt;0,1,0))</f>
        <v/>
      </c>
      <c r="M216">
        <f>IF(M$4=0,0,IF(COUNTIFS(実績!$W$6:$W$505,M$3,実績!$AC$6:$AC$505,"&lt;="&amp;$A216,実績!$AD$6:$AD$505,"&gt;"&amp;$A216,実績!$AE$6:$AE$505,"○")&gt;0,1,0))</f>
        <v/>
      </c>
      <c r="N216">
        <f>IF(N$4=0,0,IF(COUNTIFS(実績!$W$6:$W$505,N$3,実績!$AC$6:$AC$505,"&lt;="&amp;$A216,実績!$AD$6:$AD$505,"&gt;"&amp;$A216,実績!$AE$6:$AE$505,"○")&gt;0,1,0))</f>
        <v/>
      </c>
      <c r="O216">
        <f>IF(O$4=0,0,IF(COUNTIFS(実績!$W$6:$W$505,O$3,実績!$AC$6:$AC$505,"&lt;="&amp;$A216,実績!$AD$6:$AD$505,"&gt;"&amp;$A216,実績!$AE$6:$AE$505,"○")&gt;0,1,0))</f>
        <v/>
      </c>
      <c r="P216">
        <f>IF(P$4=0,0,IF(COUNTIFS(実績!$W$6:$W$505,P$3,実績!$AC$6:$AC$505,"&lt;="&amp;$A216,実績!$AD$6:$AD$505,"&gt;"&amp;$A216,実績!$AE$6:$AE$505,"○")&gt;0,1,0))</f>
        <v/>
      </c>
      <c r="Q216">
        <f>IF(Q$4=0,0,IF(COUNTIFS(実績!$W$6:$W$505,Q$3,実績!$AC$6:$AC$505,"&lt;="&amp;$A216,実績!$AD$6:$AD$505,"&gt;"&amp;$A216,実績!$AE$6:$AE$505,"○")&gt;0,1,0))</f>
        <v/>
      </c>
      <c r="R216">
        <f>IF(R$4=0,0,IF(COUNTIFS(実績!$W$6:$W$505,R$3,実績!$AC$6:$AC$505,"&lt;="&amp;$A216,実績!$AD$6:$AD$505,"&gt;"&amp;$A216,実績!$AE$6:$AE$505,"○")&gt;0,1,0))</f>
        <v/>
      </c>
      <c r="S216">
        <f>IF(S$4=0,0,IF(COUNTIFS(実績!$W$6:$W$505,S$3,実績!$AC$6:$AC$505,"&lt;="&amp;$A216,実績!$AD$6:$AD$505,"&gt;"&amp;$A216,実績!$AE$6:$AE$505,"○")&gt;0,1,0))</f>
        <v/>
      </c>
      <c r="T216">
        <f>IF(T$4=0,0,IF(COUNTIFS(実績!$W$6:$W$505,T$3,実績!$AC$6:$AC$505,"&lt;="&amp;$A216,実績!$AD$6:$AD$505,"&gt;"&amp;$A216,実績!$AE$6:$AE$505,"○")&gt;0,1,0))</f>
        <v/>
      </c>
      <c r="U216">
        <f>IF(U$4=0,0,IF(COUNTIFS(実績!$W$6:$W$505,U$3,実績!$AC$6:$AC$505,"&lt;="&amp;$A216,実績!$AD$6:$AD$505,"&gt;"&amp;$A216,実績!$AE$6:$AE$505,"○")&gt;0,1,0))</f>
        <v/>
      </c>
      <c r="V216">
        <f>IF(V$4=0,0,IF(COUNTIFS(実績!$W$6:$W$505,V$3,実績!$AC$6:$AC$505,"&lt;="&amp;$A216,実績!$AD$6:$AD$505,"&gt;"&amp;$A216,実績!$AE$6:$AE$505,"○")&gt;0,1,0))</f>
        <v/>
      </c>
      <c r="W216">
        <f>IF(W$4=0,0,IF(COUNTIFS(実績!$W$6:$W$505,W$3,実績!$AC$6:$AC$505,"&lt;="&amp;$A216,実績!$AD$6:$AD$505,"&gt;"&amp;$A216,実績!$AE$6:$AE$505,"○")&gt;0,1,0))</f>
        <v/>
      </c>
      <c r="X216">
        <f>IF(X$4=0,0,IF(COUNTIFS(実績!$W$6:$W$505,X$3,実績!$AC$6:$AC$505,"&lt;="&amp;$A216,実績!$AD$6:$AD$505,"&gt;"&amp;$A216,実績!$AE$6:$AE$505,"○")&gt;0,1,0))</f>
        <v/>
      </c>
      <c r="Y216">
        <f>IF(Y$4=0,0,IF(COUNTIFS(実績!$W$6:$W$505,Y$3,実績!$AC$6:$AC$505,"&lt;="&amp;$A216,実績!$AD$6:$AD$505,"&gt;"&amp;$A216,実績!$AE$6:$AE$505,"○")&gt;0,1,0))</f>
        <v/>
      </c>
      <c r="Z216">
        <f>IF(Z$4=0,0,IF(COUNTIFS(実績!$W$6:$W$505,Z$3,実績!$AC$6:$AC$505,"&lt;="&amp;$A216,実績!$AD$6:$AD$505,"&gt;"&amp;$A216,実績!$AE$6:$AE$505,"○")&gt;0,1,0))</f>
        <v/>
      </c>
      <c r="AA216">
        <f>IF(AA$4=0,0,IF(COUNTIFS(実績!$W$6:$W$505,AA$3,実績!$AC$6:$AC$505,"&lt;="&amp;$A216,実績!$AD$6:$AD$505,"&gt;"&amp;$A216,実績!$AE$6:$AE$505,"○")&gt;0,1,0))</f>
        <v/>
      </c>
      <c r="AB216">
        <f>IF(AB$4=0,0,IF(COUNTIFS(実績!$W$6:$W$505,AB$3,実績!$AC$6:$AC$505,"&lt;="&amp;$A216,実績!$AD$6:$AD$505,"&gt;"&amp;$A216,実績!$AE$6:$AE$505,"○")&gt;0,1,0))</f>
        <v/>
      </c>
      <c r="AC216">
        <f>IF(AC$4=0,0,IF(COUNTIFS(実績!$W$6:$W$505,AC$3,実績!$AC$6:$AC$505,"&lt;="&amp;$A216,実績!$AD$6:$AD$505,"&gt;"&amp;$A216,実績!$AE$6:$AE$505,"○")&gt;0,1,0))</f>
        <v/>
      </c>
      <c r="AD216">
        <f>IF(AD$4=0,0,IF(COUNTIFS(実績!$W$6:$W$505,AD$3,実績!$AC$6:$AC$505,"&lt;="&amp;$A216,実績!$AD$6:$AD$505,"&gt;"&amp;$A216,実績!$AE$6:$AE$505,"○")&gt;0,1,0))</f>
        <v/>
      </c>
      <c r="AE216">
        <f>IF(AE$4=0,0,IF(COUNTIFS(実績!$W$6:$W$505,AE$3,実績!$AC$6:$AC$505,"&lt;="&amp;$A216,実績!$AD$6:$AD$505,"&gt;"&amp;$A216,実績!$AE$6:$AE$505,"○")&gt;0,1,0))</f>
        <v/>
      </c>
      <c r="AF216">
        <f>IF(AF$4=0,0,IF(COUNTIFS(実績!$W$6:$W$505,AF$3,実績!$AC$6:$AC$505,"&lt;="&amp;$A216,実績!$AD$6:$AD$505,"&gt;"&amp;$A216,実績!$AE$6:$AE$505,"○")&gt;0,1,0))</f>
        <v/>
      </c>
      <c r="AG216">
        <f>IF(AG$4=0,0,IF(COUNTIFS(実績!$W$6:$W$505,AG$3,実績!$AC$6:$AC$505,"&lt;="&amp;$A216,実績!$AD$6:$AD$505,"&gt;"&amp;$A216,実績!$AE$6:$AE$505,"○")&gt;0,1,0))</f>
        <v/>
      </c>
      <c r="AH216">
        <f>IF(AH$4=0,0,IF(COUNTIFS(実績!$W$6:$W$505,AH$3,実績!$AC$6:$AC$505,"&lt;="&amp;$A216,実績!$AD$6:$AD$505,"&gt;"&amp;$A216,実績!$AE$6:$AE$505,"○")&gt;0,1,0))</f>
        <v/>
      </c>
      <c r="AI216">
        <f>IF(AI$4=0,0,IF(COUNTIFS(実績!$W$6:$W$505,AI$3,実績!$AC$6:$AC$505,"&lt;="&amp;$A216,実績!$AD$6:$AD$505,"&gt;"&amp;$A216,実績!$AE$6:$AE$505,"○")&gt;0,1,0))</f>
        <v/>
      </c>
      <c r="AJ216">
        <f>IF(AJ$4=0,0,IF(COUNTIFS(実績!$W$6:$W$505,AJ$3,実績!$AC$6:$AC$505,"&lt;="&amp;$A216,実績!$AD$6:$AD$505,"&gt;"&amp;$A216,実績!$AE$6:$AE$505,"○")&gt;0,1,0))</f>
        <v/>
      </c>
      <c r="AK216">
        <f>IF(AK$4=0,0,IF(COUNTIFS(実績!$W$6:$W$505,AK$3,実績!$AC$6:$AC$505,"&lt;="&amp;$A216,実績!$AD$6:$AD$505,"&gt;"&amp;$A216,実績!$AE$6:$AE$505,"○")&gt;0,1,0))</f>
        <v/>
      </c>
      <c r="AL216">
        <f>IF(AL$4=0,0,IF(COUNTIFS(実績!$W$6:$W$505,AL$3,実績!$AC$6:$AC$505,"&lt;="&amp;$A216,実績!$AD$6:$AD$505,"&gt;"&amp;$A216,実績!$AE$6:$AE$505,"○")&gt;0,1,0))</f>
        <v/>
      </c>
      <c r="AM216">
        <f>IF(AM$4=0,0,IF(COUNTIFS(実績!$W$6:$W$505,AM$3,実績!$AC$6:$AC$505,"&lt;="&amp;$A216,実績!$AD$6:$AD$505,"&gt;"&amp;$A216,実績!$AE$6:$AE$505,"○")&gt;0,1,0))</f>
        <v/>
      </c>
      <c r="AN216">
        <f>IF(AN$4=0,0,IF(COUNTIFS(実績!$W$6:$W$505,AN$3,実績!$AC$6:$AC$505,"&lt;="&amp;$A216,実績!$AD$6:$AD$505,"&gt;"&amp;$A216,実績!$AE$6:$AE$505,"○")&gt;0,1,0))</f>
        <v/>
      </c>
      <c r="AO216">
        <f>IF(AO$4=0,0,IF(COUNTIFS(実績!$W$6:$W$505,AO$3,実績!$AC$6:$AC$505,"&lt;="&amp;$A216,実績!$AD$6:$AD$505,"&gt;"&amp;$A216,実績!$AE$6:$AE$505,"○")&gt;0,1,0))</f>
        <v/>
      </c>
      <c r="AP216">
        <f>IF(AP$4=0,0,IF(COUNTIFS(実績!$W$6:$W$505,AP$3,実績!$AC$6:$AC$505,"&lt;="&amp;$A216,実績!$AD$6:$AD$505,"&gt;"&amp;$A216,実績!$AE$6:$AE$505,"○")&gt;0,1,0))</f>
        <v/>
      </c>
      <c r="AQ216">
        <f>IF(AQ$4=0,0,IF(COUNTIFS(実績!$W$6:$W$505,AQ$3,実績!$AC$6:$AC$505,"&lt;="&amp;$A216,実績!$AD$6:$AD$505,"&gt;"&amp;$A216,実績!$AE$6:$AE$505,"○")&gt;0,1,0))</f>
        <v/>
      </c>
      <c r="AR216">
        <f>IF(AR$4=0,0,IF(COUNTIFS(実績!$W$6:$W$505,AR$3,実績!$AC$6:$AC$505,"&lt;="&amp;$A216,実績!$AD$6:$AD$505,"&gt;"&amp;$A216,実績!$AE$6:$AE$505,"○")&gt;0,1,0))</f>
        <v/>
      </c>
      <c r="AS216">
        <f>IF(AS$4=0,0,IF(COUNTIFS(実績!$W$6:$W$505,AS$3,実績!$AC$6:$AC$505,"&lt;="&amp;$A216,実績!$AD$6:$AD$505,"&gt;"&amp;$A216,実績!$AE$6:$AE$505,"○")&gt;0,1,0))</f>
        <v/>
      </c>
      <c r="AT216">
        <f>IF(AT$4=0,0,IF(COUNTIFS(実績!$W$6:$W$505,AT$3,実績!$AC$6:$AC$505,"&lt;="&amp;$A216,実績!$AD$6:$AD$505,"&gt;"&amp;$A216,実績!$AE$6:$AE$505,"○")&gt;0,1,0))</f>
        <v/>
      </c>
      <c r="AU216">
        <f>IF(AU$4=0,0,IF(COUNTIFS(実績!$W$6:$W$505,AU$3,実績!$AC$6:$AC$505,"&lt;="&amp;$A216,実績!$AD$6:$AD$505,"&gt;"&amp;$A216,実績!$AE$6:$AE$505,"○")&gt;0,1,0))</f>
        <v/>
      </c>
      <c r="AV216">
        <f>IF(AV$4=0,0,IF(COUNTIFS(実績!$W$6:$W$505,AV$3,実績!$AC$6:$AC$505,"&lt;="&amp;$A216,実績!$AD$6:$AD$505,"&gt;"&amp;$A216,実績!$AE$6:$AE$505,"○")&gt;0,1,0))</f>
        <v/>
      </c>
      <c r="AW216">
        <f>IF(AW$4=0,0,IF(COUNTIFS(実績!$W$6:$W$505,AW$3,実績!$AC$6:$AC$505,"&lt;="&amp;$A216,実績!$AD$6:$AD$505,"&gt;"&amp;$A216,実績!$AE$6:$AE$505,"○")&gt;0,1,0))</f>
        <v/>
      </c>
      <c r="AX216">
        <f>IF(AX$4=0,0,IF(COUNTIFS(実績!$W$6:$W$505,AX$3,実績!$AC$6:$AC$505,"&lt;="&amp;$A216,実績!$AD$6:$AD$505,"&gt;"&amp;$A216,実績!$AE$6:$AE$505,"○")&gt;0,1,0))</f>
        <v/>
      </c>
      <c r="AY216">
        <f>IF(AY$4=0,0,IF(COUNTIFS(実績!$W$6:$W$505,AY$3,実績!$AC$6:$AC$505,"&lt;="&amp;$A216,実績!$AD$6:$AD$505,"&gt;"&amp;$A216,実績!$AE$6:$AE$505,"○")&gt;0,1,0))</f>
        <v/>
      </c>
      <c r="AZ216">
        <f>IF(AZ$4=0,0,IF(COUNTIFS(実績!$W$6:$W$505,AZ$3,実績!$AC$6:$AC$505,"&lt;="&amp;$A216,実績!$AD$6:$AD$505,"&gt;"&amp;$A216,実績!$AE$6:$AE$505,"○")&gt;0,1,0))</f>
        <v/>
      </c>
      <c r="BA216">
        <f>IF(BA$4=0,0,IF(COUNTIFS(実績!$W$6:$W$505,BA$3,実績!$AC$6:$AC$505,"&lt;="&amp;$A216,実績!$AD$6:$AD$505,"&gt;"&amp;$A216,実績!$AE$6:$AE$505,"○")&gt;0,1,0))</f>
        <v/>
      </c>
      <c r="BB216">
        <f>IF(BB$4=0,0,IF(COUNTIFS(実績!$W$6:$W$505,BB$3,実績!$AC$6:$AC$505,"&lt;="&amp;$A216,実績!$AD$6:$AD$505,"&gt;"&amp;$A216,実績!$AE$6:$AE$505,"○")&gt;0,1,0))</f>
        <v/>
      </c>
      <c r="BC216">
        <f>IF(BC$4=0,0,IF(COUNTIFS(実績!$W$6:$W$505,BC$3,実績!$AC$6:$AC$505,"&lt;="&amp;$A216,実績!$AD$6:$AD$505,"&gt;"&amp;$A216,実績!$AE$6:$AE$505,"○")&gt;0,1,0))</f>
        <v/>
      </c>
      <c r="BD216">
        <f>IF(BD$4=0,0,IF(COUNTIFS(実績!$W$6:$W$505,BD$3,実績!$AC$6:$AC$505,"&lt;="&amp;$A216,実績!$AD$6:$AD$505,"&gt;"&amp;$A216,実績!$AE$6:$AE$505,"○")&gt;0,1,0))</f>
        <v/>
      </c>
      <c r="BE216">
        <f>IF(BE$4=0,0,IF(COUNTIFS(実績!$W$6:$W$505,BE$3,実績!$AC$6:$AC$505,"&lt;="&amp;$A216,実績!$AD$6:$AD$505,"&gt;"&amp;$A216,実績!$AE$6:$AE$505,"○")&gt;0,1,0))</f>
        <v/>
      </c>
      <c r="BF216">
        <f>IF(BF$4=0,0,IF(COUNTIFS(実績!$W$6:$W$505,BF$3,実績!$AC$6:$AC$505,"&lt;="&amp;$A216,実績!$AD$6:$AD$505,"&gt;"&amp;$A216,実績!$AE$6:$AE$505,"○")&gt;0,1,0))</f>
        <v/>
      </c>
      <c r="BG216">
        <f>IF(BG$4=0,0,IF(COUNTIFS(実績!$W$6:$W$505,BG$3,実績!$AC$6:$AC$505,"&lt;="&amp;$A216,実績!$AD$6:$AD$505,"&gt;"&amp;$A216,実績!$AE$6:$AE$505,"○")&gt;0,1,0))</f>
        <v/>
      </c>
      <c r="BH216">
        <f>IF(BH$4=0,0,IF(COUNTIFS(実績!$W$6:$W$505,BH$3,実績!$AC$6:$AC$505,"&lt;="&amp;$A216,実績!$AD$6:$AD$505,"&gt;"&amp;$A216,実績!$AE$6:$AE$505,"○")&gt;0,1,0))</f>
        <v/>
      </c>
      <c r="BI216">
        <f>IF(BI$4=0,0,IF(COUNTIFS(実績!$W$6:$W$505,BI$3,実績!$AC$6:$AC$505,"&lt;="&amp;$A216,実績!$AD$6:$AD$505,"&gt;"&amp;$A216,実績!$AE$6:$AE$505,"○")&gt;0,1,0))</f>
        <v/>
      </c>
      <c r="BJ216">
        <f>IF(BJ$4=0,0,IF(COUNTIFS(実績!$W$6:$W$505,BJ$3,実績!$AC$6:$AC$505,"&lt;="&amp;$A216,実績!$AD$6:$AD$505,"&gt;"&amp;$A216,実績!$AE$6:$AE$505,"○")&gt;0,1,0))</f>
        <v/>
      </c>
      <c r="BK216">
        <f>IF(BK$4=0,0,IF(COUNTIFS(実績!$W$6:$W$505,BK$3,実績!$AC$6:$AC$505,"&lt;="&amp;$A216,実績!$AD$6:$AD$505,"&gt;"&amp;$A216,実績!$AE$6:$AE$505,"○")&gt;0,1,0))</f>
        <v/>
      </c>
      <c r="BL216">
        <f>IF(BL$4=0,0,IF(COUNTIFS(実績!$W$6:$W$505,BL$3,実績!$AC$6:$AC$505,"&lt;="&amp;$A216,実績!$AD$6:$AD$505,"&gt;"&amp;$A216,実績!$AE$6:$AE$505,"○")&gt;0,1,0))</f>
        <v/>
      </c>
      <c r="BM216">
        <f>IF(BM$4=0,0,IF(COUNTIFS(実績!$W$6:$W$505,BM$3,実績!$AC$6:$AC$505,"&lt;="&amp;$A216,実績!$AD$6:$AD$505,"&gt;"&amp;$A216,実績!$AE$6:$AE$505,"○")&gt;0,1,0))</f>
        <v/>
      </c>
      <c r="BN216">
        <f>IF(BN$4=0,0,IF(COUNTIFS(実績!$W$6:$W$505,BN$3,実績!$AC$6:$AC$505,"&lt;="&amp;$A216,実績!$AD$6:$AD$505,"&gt;"&amp;$A216,実績!$AE$6:$AE$505,"○")&gt;0,1,0))</f>
        <v/>
      </c>
      <c r="BO216">
        <f>IF(BO$4=0,0,IF(COUNTIFS(実績!$W$6:$W$505,BO$3,実績!$AC$6:$AC$505,"&lt;="&amp;$A216,実績!$AD$6:$AD$505,"&gt;"&amp;$A216,実績!$AE$6:$AE$505,"○")&gt;0,1,0))</f>
        <v/>
      </c>
      <c r="BP216">
        <f>IF(BP$4=0,0,IF(COUNTIFS(実績!$W$6:$W$505,BP$3,実績!$AC$6:$AC$505,"&lt;="&amp;$A216,実績!$AD$6:$AD$505,"&gt;"&amp;$A216,実績!$AE$6:$AE$505,"○")&gt;0,1,0))</f>
        <v/>
      </c>
      <c r="BQ216">
        <f>IF(BQ$4=0,0,IF(COUNTIFS(実績!$W$6:$W$505,BQ$3,実績!$AC$6:$AC$505,"&lt;="&amp;$A216,実績!$AD$6:$AD$505,"&gt;"&amp;$A216,実績!$AE$6:$AE$505,"○")&gt;0,1,0))</f>
        <v/>
      </c>
      <c r="BR216">
        <f>IF(BR$4=0,0,IF(COUNTIFS(実績!$W$6:$W$505,BR$3,実績!$AC$6:$AC$505,"&lt;="&amp;$A216,実績!$AD$6:$AD$505,"&gt;"&amp;$A216,実績!$AE$6:$AE$505,"○")&gt;0,1,0))</f>
        <v/>
      </c>
      <c r="BS216">
        <f>IF(BS$4=0,0,IF(COUNTIFS(実績!$W$6:$W$505,BS$3,実績!$AC$6:$AC$505,"&lt;="&amp;$A216,実績!$AD$6:$AD$505,"&gt;"&amp;$A216,実績!$AE$6:$AE$505,"○")&gt;0,1,0))</f>
        <v/>
      </c>
      <c r="BT216">
        <f>IF(BT$4=0,0,IF(COUNTIFS(実績!$W$6:$W$505,BT$3,実績!$AC$6:$AC$505,"&lt;="&amp;$A216,実績!$AD$6:$AD$505,"&gt;"&amp;$A216,実績!$AE$6:$AE$505,"○")&gt;0,1,0))</f>
        <v/>
      </c>
      <c r="BU216">
        <f>IF(BU$4=0,0,IF(COUNTIFS(実績!$W$6:$W$505,BU$3,実績!$AC$6:$AC$505,"&lt;="&amp;$A216,実績!$AD$6:$AD$505,"&gt;"&amp;$A216,実績!$AE$6:$AE$505,"○")&gt;0,1,0))</f>
        <v/>
      </c>
      <c r="BV216">
        <f>IF(BV$4=0,0,IF(COUNTIFS(実績!$W$6:$W$505,BV$3,実績!$AC$6:$AC$505,"&lt;="&amp;$A216,実績!$AD$6:$AD$505,"&gt;"&amp;$A216,実績!$AE$6:$AE$505,"○")&gt;0,1,0))</f>
        <v/>
      </c>
      <c r="BW216">
        <f>IF(BW$4=0,0,IF(COUNTIFS(実績!$W$6:$W$505,BW$3,実績!$AC$6:$AC$505,"&lt;="&amp;$A216,実績!$AD$6:$AD$505,"&gt;"&amp;$A216,実績!$AE$6:$AE$505,"○")&gt;0,1,0))</f>
        <v/>
      </c>
      <c r="BX216">
        <f>IF(BX$4=0,0,IF(COUNTIFS(実績!$W$6:$W$505,BX$3,実績!$AC$6:$AC$505,"&lt;="&amp;$A216,実績!$AD$6:$AD$505,"&gt;"&amp;$A216,実績!$AE$6:$AE$505,"○")&gt;0,1,0))</f>
        <v/>
      </c>
      <c r="BY216">
        <f>IF(BY$4=0,0,IF(COUNTIFS(実績!$W$6:$W$505,BY$3,実績!$AC$6:$AC$505,"&lt;="&amp;$A216,実績!$AD$6:$AD$505,"&gt;"&amp;$A216,実績!$AE$6:$AE$505,"○")&gt;0,1,0))</f>
        <v/>
      </c>
      <c r="BZ216">
        <f>IF(BZ$4=0,0,IF(COUNTIFS(実績!$W$6:$W$505,BZ$3,実績!$AC$6:$AC$505,"&lt;="&amp;$A216,実績!$AD$6:$AD$505,"&gt;"&amp;$A216,実績!$AE$6:$AE$505,"○")&gt;0,1,0))</f>
        <v/>
      </c>
      <c r="CA216">
        <f>IF(CA$4=0,0,IF(COUNTIFS(実績!$W$6:$W$505,CA$3,実績!$AC$6:$AC$505,"&lt;="&amp;$A216,実績!$AD$6:$AD$505,"&gt;"&amp;$A216,実績!$AE$6:$AE$505,"○")&gt;0,1,0))</f>
        <v/>
      </c>
      <c r="CB216">
        <f>IF(CB$4=0,0,IF(COUNTIFS(実績!$W$6:$W$505,CB$3,実績!$AC$6:$AC$505,"&lt;="&amp;$A216,実績!$AD$6:$AD$505,"&gt;"&amp;$A216,実績!$AE$6:$AE$505,"○")&gt;0,1,0))</f>
        <v/>
      </c>
      <c r="CC216">
        <f>IF(CC$4=0,0,IF(COUNTIFS(実績!$W$6:$W$505,CC$3,実績!$AC$6:$AC$505,"&lt;="&amp;$A216,実績!$AD$6:$AD$505,"&gt;"&amp;$A216,実績!$AE$6:$AE$505,"○")&gt;0,1,0))</f>
        <v/>
      </c>
      <c r="CD216">
        <f>IF(CD$4=0,0,IF(COUNTIFS(実績!$W$6:$W$505,CD$3,実績!$AC$6:$AC$505,"&lt;="&amp;$A216,実績!$AD$6:$AD$505,"&gt;"&amp;$A216,実績!$AE$6:$AE$505,"○")&gt;0,1,0))</f>
        <v/>
      </c>
      <c r="CE216">
        <f>IF(CE$4=0,0,IF(COUNTIFS(実績!$W$6:$W$505,CE$3,実績!$AC$6:$AC$505,"&lt;="&amp;$A216,実績!$AD$6:$AD$505,"&gt;"&amp;$A216,実績!$AE$6:$AE$505,"○")&gt;0,1,0))</f>
        <v/>
      </c>
      <c r="CF216">
        <f>IF(CF$4=0,0,IF(COUNTIFS(実績!$W$6:$W$505,CF$3,実績!$AC$6:$AC$505,"&lt;="&amp;$A216,実績!$AD$6:$AD$505,"&gt;"&amp;$A216,実績!$AE$6:$AE$505,"○")&gt;0,1,0))</f>
        <v/>
      </c>
      <c r="CG216">
        <f>IF(CG$4=0,0,IF(COUNTIFS(実績!$W$6:$W$505,CG$3,実績!$AC$6:$AC$505,"&lt;="&amp;$A216,実績!$AD$6:$AD$505,"&gt;"&amp;$A216,実績!$AE$6:$AE$505,"○")&gt;0,1,0))</f>
        <v/>
      </c>
      <c r="CH216">
        <f>IF(CH$4=0,0,IF(COUNTIFS(実績!$W$6:$W$505,CH$3,実績!$AC$6:$AC$505,"&lt;="&amp;$A216,実績!$AD$6:$AD$505,"&gt;"&amp;$A216,実績!$AE$6:$AE$505,"○")&gt;0,1,0))</f>
        <v/>
      </c>
      <c r="CI216">
        <f>IF(CI$4=0,0,IF(COUNTIFS(実績!$W$6:$W$505,CI$3,実績!$AC$6:$AC$505,"&lt;="&amp;$A216,実績!$AD$6:$AD$505,"&gt;"&amp;$A216,実績!$AE$6:$AE$505,"○")&gt;0,1,0))</f>
        <v/>
      </c>
      <c r="CJ216">
        <f>IF(CJ$4=0,0,IF(COUNTIFS(実績!$W$6:$W$505,CJ$3,実績!$AC$6:$AC$505,"&lt;="&amp;$A216,実績!$AD$6:$AD$505,"&gt;"&amp;$A216,実績!$AE$6:$AE$505,"○")&gt;0,1,0))</f>
        <v/>
      </c>
      <c r="CK216">
        <f>IF(CK$4=0,0,IF(COUNTIFS(実績!$W$6:$W$505,CK$3,実績!$AC$6:$AC$505,"&lt;="&amp;$A216,実績!$AD$6:$AD$505,"&gt;"&amp;$A216,実績!$AE$6:$AE$505,"○")&gt;0,1,0))</f>
        <v/>
      </c>
      <c r="CL216">
        <f>IF(CL$4=0,0,IF(COUNTIFS(実績!$W$6:$W$505,CL$3,実績!$AC$6:$AC$505,"&lt;="&amp;$A216,実績!$AD$6:$AD$505,"&gt;"&amp;$A216,実績!$AE$6:$AE$505,"○")&gt;0,1,0))</f>
        <v/>
      </c>
      <c r="CM216">
        <f>IF(CM$4=0,0,IF(COUNTIFS(実績!$W$6:$W$505,CM$3,実績!$AC$6:$AC$505,"&lt;="&amp;$A216,実績!$AD$6:$AD$505,"&gt;"&amp;$A216,実績!$AE$6:$AE$505,"○")&gt;0,1,0))</f>
        <v/>
      </c>
      <c r="CN216">
        <f>IF(CN$4=0,0,IF(COUNTIFS(実績!$W$6:$W$505,CN$3,実績!$AC$6:$AC$505,"&lt;="&amp;$A216,実績!$AD$6:$AD$505,"&gt;"&amp;$A216,実績!$AE$6:$AE$505,"○")&gt;0,1,0))</f>
        <v/>
      </c>
      <c r="CO216">
        <f>IF(CO$4=0,0,IF(COUNTIFS(実績!$W$6:$W$505,CO$3,実績!$AC$6:$AC$505,"&lt;="&amp;$A216,実績!$AD$6:$AD$505,"&gt;"&amp;$A216,実績!$AE$6:$AE$505,"○")&gt;0,1,0))</f>
        <v/>
      </c>
      <c r="CP216">
        <f>IF(CP$4=0,0,IF(COUNTIFS(実績!$W$6:$W$505,CP$3,実績!$AC$6:$AC$505,"&lt;="&amp;$A216,実績!$AD$6:$AD$505,"&gt;"&amp;$A216,実績!$AE$6:$AE$505,"○")&gt;0,1,0))</f>
        <v/>
      </c>
      <c r="CQ216">
        <f>IF(CQ$4=0,0,IF(COUNTIFS(実績!$W$6:$W$505,CQ$3,実績!$AC$6:$AC$505,"&lt;="&amp;$A216,実績!$AD$6:$AD$505,"&gt;"&amp;$A216,実績!$AE$6:$AE$505,"○")&gt;0,1,0))</f>
        <v/>
      </c>
      <c r="CR216">
        <f>IF(CR$4=0,0,IF(COUNTIFS(実績!$W$6:$W$505,CR$3,実績!$AC$6:$AC$505,"&lt;="&amp;$A216,実績!$AD$6:$AD$505,"&gt;"&amp;$A216,実績!$AE$6:$AE$505,"○")&gt;0,1,0))</f>
        <v/>
      </c>
      <c r="CS216">
        <f>IF(CS$4=0,0,IF(COUNTIFS(実績!$W$6:$W$505,CS$3,実績!$AC$6:$AC$505,"&lt;="&amp;$A216,実績!$AD$6:$AD$505,"&gt;"&amp;$A216,実績!$AE$6:$AE$505,"○")&gt;0,1,0))</f>
        <v/>
      </c>
      <c r="CT216">
        <f>IF(CT$4=0,0,IF(COUNTIFS(実績!$W$6:$W$505,CT$3,実績!$AC$6:$AC$505,"&lt;="&amp;$A216,実績!$AD$6:$AD$505,"&gt;"&amp;$A216,実績!$AE$6:$AE$505,"○")&gt;0,1,0))</f>
        <v/>
      </c>
      <c r="CU216">
        <f>IF(CU$4=0,0,IF(COUNTIFS(実績!$W$6:$W$505,CU$3,実績!$AC$6:$AC$505,"&lt;="&amp;$A216,実績!$AD$6:$AD$505,"&gt;"&amp;$A216,実績!$AE$6:$AE$505,"○")&gt;0,1,0))</f>
        <v/>
      </c>
      <c r="CV216">
        <f>IF(CV$4=0,0,IF(COUNTIFS(実績!$W$6:$W$505,CV$3,実績!$AC$6:$AC$505,"&lt;="&amp;$A216,実績!$AD$6:$AD$505,"&gt;"&amp;$A216,実績!$AE$6:$AE$505,"○")&gt;0,1,0))</f>
        <v/>
      </c>
      <c r="CW216">
        <f>IF(CW$4=0,0,IF(COUNTIFS(実績!$W$6:$W$505,CW$3,実績!$AC$6:$AC$505,"&lt;="&amp;$A216,実績!$AD$6:$AD$505,"&gt;"&amp;$A216,実績!$AE$6:$AE$505,"○")&gt;0,1,0))</f>
        <v/>
      </c>
      <c r="CX216">
        <f>IF(CX$4=0,0,IF(COUNTIFS(実績!$W$6:$W$505,CX$3,実績!$AC$6:$AC$505,"&lt;="&amp;$A216,実績!$AD$6:$AD$505,"&gt;"&amp;$A216,実績!$AE$6:$AE$505,"○")&gt;0,1,0))</f>
        <v/>
      </c>
      <c r="CY216">
        <f>IF(CY$4=0,0,IF(COUNTIFS(実績!$W$6:$W$505,CY$3,実績!$AC$6:$AC$505,"&lt;="&amp;$A216,実績!$AD$6:$AD$505,"&gt;"&amp;$A216,実績!$AE$6:$AE$505,"○")&gt;0,1,0))</f>
        <v/>
      </c>
      <c r="CZ216">
        <f>IF(CZ$4=0,0,IF(COUNTIFS(実績!$W$6:$W$505,CZ$3,実績!$AC$6:$AC$505,"&lt;="&amp;$A216,実績!$AD$6:$AD$505,"&gt;"&amp;$A216,実績!$AE$6:$AE$505,"○")&gt;0,1,0))</f>
        <v/>
      </c>
      <c r="DA216">
        <f>IF(DA$4=0,0,IF(COUNTIFS(実績!$W$6:$W$505,DA$3,実績!$AC$6:$AC$505,"&lt;="&amp;$A216,実績!$AD$6:$AD$505,"&gt;"&amp;$A216,実績!$AE$6:$AE$505,"○")&gt;0,1,0))</f>
        <v/>
      </c>
      <c r="DB216">
        <f>IF(DB$4=0,0,IF(COUNTIFS(実績!$W$6:$W$505,DB$3,実績!$AC$6:$AC$505,"&lt;="&amp;$A216,実績!$AD$6:$AD$505,"&gt;"&amp;$A216,実績!$AE$6:$AE$505,"○")&gt;0,1,0))</f>
        <v/>
      </c>
      <c r="DC216">
        <f>IF(DC$4=0,0,IF(COUNTIFS(実績!$W$6:$W$505,DC$3,実績!$AC$6:$AC$505,"&lt;="&amp;$A216,実績!$AD$6:$AD$505,"&gt;"&amp;$A216,実績!$AE$6:$AE$505,"○")&gt;0,1,0))</f>
        <v/>
      </c>
      <c r="DD216">
        <f>IF(DD$4=0,0,IF(COUNTIFS(実績!$W$6:$W$505,DD$3,実績!$AC$6:$AC$505,"&lt;="&amp;$A216,実績!$AD$6:$AD$505,"&gt;"&amp;$A216,実績!$AE$6:$AE$505,"○")&gt;0,1,0))</f>
        <v/>
      </c>
      <c r="DE216">
        <f>IF(DE$4=0,0,IF(COUNTIFS(実績!$W$6:$W$505,DE$3,実績!$AC$6:$AC$505,"&lt;="&amp;$A216,実績!$AD$6:$AD$505,"&gt;"&amp;$A216,実績!$AE$6:$AE$505,"○")&gt;0,1,0))</f>
        <v/>
      </c>
      <c r="DF216">
        <f>IF(DF$4=0,0,IF(COUNTIFS(実績!$W$6:$W$505,DF$3,実績!$AC$6:$AC$505,"&lt;="&amp;$A216,実績!$AD$6:$AD$505,"&gt;"&amp;$A216,実績!$AE$6:$AE$505,"○")&gt;0,1,0))</f>
        <v/>
      </c>
      <c r="DG216">
        <f>IF(DG$4=0,0,IF(COUNTIFS(実績!$W$6:$W$505,DG$3,実績!$AC$6:$AC$505,"&lt;="&amp;$A216,実績!$AD$6:$AD$505,"&gt;"&amp;$A216,実績!$AE$6:$AE$505,"○")&gt;0,1,0))</f>
        <v/>
      </c>
      <c r="DH216">
        <f>IF(DH$4=0,0,IF(COUNTIFS(実績!$W$6:$W$505,DH$3,実績!$AC$6:$AC$505,"&lt;="&amp;$A216,実績!$AD$6:$AD$505,"&gt;"&amp;$A216,実績!$AE$6:$AE$505,"○")&gt;0,1,0))</f>
        <v/>
      </c>
      <c r="DI216">
        <f>IF(DI$4=0,0,IF(COUNTIFS(実績!$W$6:$W$505,DI$3,実績!$AC$6:$AC$505,"&lt;="&amp;$A216,実績!$AD$6:$AD$505,"&gt;"&amp;$A216,実績!$AE$6:$AE$505,"○")&gt;0,1,0))</f>
        <v/>
      </c>
      <c r="DJ216">
        <f>IF(DJ$4=0,0,IF(COUNTIFS(実績!$W$6:$W$505,DJ$3,実績!$AC$6:$AC$505,"&lt;="&amp;$A216,実績!$AD$6:$AD$505,"&gt;"&amp;$A216,実績!$AE$6:$AE$505,"○")&gt;0,1,0))</f>
        <v/>
      </c>
      <c r="DK216">
        <f>IF(DK$4=0,0,IF(COUNTIFS(実績!$W$6:$W$505,DK$3,実績!$AC$6:$AC$505,"&lt;="&amp;$A216,実績!$AD$6:$AD$505,"&gt;"&amp;$A216,実績!$AE$6:$AE$505,"○")&gt;0,1,0))</f>
        <v/>
      </c>
      <c r="DL216">
        <f>IF(DL$4=0,0,IF(COUNTIFS(実績!$W$6:$W$505,DL$3,実績!$AC$6:$AC$505,"&lt;="&amp;$A216,実績!$AD$6:$AD$505,"&gt;"&amp;$A216,実績!$AE$6:$AE$505,"○")&gt;0,1,0))</f>
        <v/>
      </c>
      <c r="DM216">
        <f>IF(DM$4=0,0,IF(COUNTIFS(実績!$W$6:$W$505,DM$3,実績!$AC$6:$AC$505,"&lt;="&amp;$A216,実績!$AD$6:$AD$505,"&gt;"&amp;$A216,実績!$AE$6:$AE$505,"○")&gt;0,1,0))</f>
        <v/>
      </c>
      <c r="DN216">
        <f>IF(DN$4=0,0,IF(COUNTIFS(実績!$W$6:$W$505,DN$3,実績!$AC$6:$AC$505,"&lt;="&amp;$A216,実績!$AD$6:$AD$505,"&gt;"&amp;$A216,実績!$AE$6:$AE$505,"○")&gt;0,1,0))</f>
        <v/>
      </c>
      <c r="DO216">
        <f>IF(DO$4=0,0,IF(COUNTIFS(実績!$W$6:$W$505,DO$3,実績!$AC$6:$AC$505,"&lt;="&amp;$A216,実績!$AD$6:$AD$505,"&gt;"&amp;$A216,実績!$AE$6:$AE$505,"○")&gt;0,1,0))</f>
        <v/>
      </c>
      <c r="DP216">
        <f>IF(DP$4=0,0,IF(COUNTIFS(実績!$W$6:$W$505,DP$3,実績!$AC$6:$AC$505,"&lt;="&amp;$A216,実績!$AD$6:$AD$505,"&gt;"&amp;$A216,実績!$AE$6:$AE$505,"○")&gt;0,1,0))</f>
        <v/>
      </c>
      <c r="DQ216">
        <f>IF(DQ$4=0,0,IF(COUNTIFS(実績!$W$6:$W$505,DQ$3,実績!$AC$6:$AC$505,"&lt;="&amp;$A216,実績!$AD$6:$AD$505,"&gt;"&amp;$A216,実績!$AE$6:$AE$505,"○")&gt;0,1,0))</f>
        <v/>
      </c>
      <c r="DR216">
        <f>IF(DR$4=0,0,IF(COUNTIFS(実績!$W$6:$W$505,DR$3,実績!$AC$6:$AC$505,"&lt;="&amp;$A216,実績!$AD$6:$AD$505,"&gt;"&amp;$A216,実績!$AE$6:$AE$505,"○")&gt;0,1,0))</f>
        <v/>
      </c>
      <c r="DS216">
        <f>SUM(C216:DR216)</f>
        <v/>
      </c>
      <c r="DT216">
        <f>SUMPRODUCT((実績!$C$6:$C$505="○")*ISNUMBER(実績!$AF$6:$AF$505)*(実績!$AF$6:$AF$505&lt;=$A216)*(実績!$AG$6:$AG$505&gt;$A216))</f>
        <v/>
      </c>
      <c r="DU216">
        <f>SUMIF($C$2:$DR$2,"製鉄曳船",C216:DR216)</f>
        <v/>
      </c>
      <c r="DV216">
        <f>SUMIF($C$2:$DR$2,"西日本海運",C216:DR216)</f>
        <v/>
      </c>
    </row>
    <row r="217">
      <c r="A217" t="n">
        <v>1055</v>
      </c>
      <c r="B217" s="29">
        <f>A217/1440</f>
        <v/>
      </c>
      <c r="C217">
        <f>IF(C$4=0,0,IF(COUNTIFS(実績!$W$6:$W$505,C$3,実績!$AC$6:$AC$505,"&lt;="&amp;$A217,実績!$AD$6:$AD$505,"&gt;"&amp;$A217,実績!$AE$6:$AE$505,"○")&gt;0,1,0))</f>
        <v/>
      </c>
      <c r="D217">
        <f>IF(D$4=0,0,IF(COUNTIFS(実績!$W$6:$W$505,D$3,実績!$AC$6:$AC$505,"&lt;="&amp;$A217,実績!$AD$6:$AD$505,"&gt;"&amp;$A217,実績!$AE$6:$AE$505,"○")&gt;0,1,0))</f>
        <v/>
      </c>
      <c r="E217">
        <f>IF(E$4=0,0,IF(COUNTIFS(実績!$W$6:$W$505,E$3,実績!$AC$6:$AC$505,"&lt;="&amp;$A217,実績!$AD$6:$AD$505,"&gt;"&amp;$A217,実績!$AE$6:$AE$505,"○")&gt;0,1,0))</f>
        <v/>
      </c>
      <c r="F217">
        <f>IF(F$4=0,0,IF(COUNTIFS(実績!$W$6:$W$505,F$3,実績!$AC$6:$AC$505,"&lt;="&amp;$A217,実績!$AD$6:$AD$505,"&gt;"&amp;$A217,実績!$AE$6:$AE$505,"○")&gt;0,1,0))</f>
        <v/>
      </c>
      <c r="G217">
        <f>IF(G$4=0,0,IF(COUNTIFS(実績!$W$6:$W$505,G$3,実績!$AC$6:$AC$505,"&lt;="&amp;$A217,実績!$AD$6:$AD$505,"&gt;"&amp;$A217,実績!$AE$6:$AE$505,"○")&gt;0,1,0))</f>
        <v/>
      </c>
      <c r="H217">
        <f>IF(H$4=0,0,IF(COUNTIFS(実績!$W$6:$W$505,H$3,実績!$AC$6:$AC$505,"&lt;="&amp;$A217,実績!$AD$6:$AD$505,"&gt;"&amp;$A217,実績!$AE$6:$AE$505,"○")&gt;0,1,0))</f>
        <v/>
      </c>
      <c r="I217">
        <f>IF(I$4=0,0,IF(COUNTIFS(実績!$W$6:$W$505,I$3,実績!$AC$6:$AC$505,"&lt;="&amp;$A217,実績!$AD$6:$AD$505,"&gt;"&amp;$A217,実績!$AE$6:$AE$505,"○")&gt;0,1,0))</f>
        <v/>
      </c>
      <c r="J217">
        <f>IF(J$4=0,0,IF(COUNTIFS(実績!$W$6:$W$505,J$3,実績!$AC$6:$AC$505,"&lt;="&amp;$A217,実績!$AD$6:$AD$505,"&gt;"&amp;$A217,実績!$AE$6:$AE$505,"○")&gt;0,1,0))</f>
        <v/>
      </c>
      <c r="K217">
        <f>IF(K$4=0,0,IF(COUNTIFS(実績!$W$6:$W$505,K$3,実績!$AC$6:$AC$505,"&lt;="&amp;$A217,実績!$AD$6:$AD$505,"&gt;"&amp;$A217,実績!$AE$6:$AE$505,"○")&gt;0,1,0))</f>
        <v/>
      </c>
      <c r="L217">
        <f>IF(L$4=0,0,IF(COUNTIFS(実績!$W$6:$W$505,L$3,実績!$AC$6:$AC$505,"&lt;="&amp;$A217,実績!$AD$6:$AD$505,"&gt;"&amp;$A217,実績!$AE$6:$AE$505,"○")&gt;0,1,0))</f>
        <v/>
      </c>
      <c r="M217">
        <f>IF(M$4=0,0,IF(COUNTIFS(実績!$W$6:$W$505,M$3,実績!$AC$6:$AC$505,"&lt;="&amp;$A217,実績!$AD$6:$AD$505,"&gt;"&amp;$A217,実績!$AE$6:$AE$505,"○")&gt;0,1,0))</f>
        <v/>
      </c>
      <c r="N217">
        <f>IF(N$4=0,0,IF(COUNTIFS(実績!$W$6:$W$505,N$3,実績!$AC$6:$AC$505,"&lt;="&amp;$A217,実績!$AD$6:$AD$505,"&gt;"&amp;$A217,実績!$AE$6:$AE$505,"○")&gt;0,1,0))</f>
        <v/>
      </c>
      <c r="O217">
        <f>IF(O$4=0,0,IF(COUNTIFS(実績!$W$6:$W$505,O$3,実績!$AC$6:$AC$505,"&lt;="&amp;$A217,実績!$AD$6:$AD$505,"&gt;"&amp;$A217,実績!$AE$6:$AE$505,"○")&gt;0,1,0))</f>
        <v/>
      </c>
      <c r="P217">
        <f>IF(P$4=0,0,IF(COUNTIFS(実績!$W$6:$W$505,P$3,実績!$AC$6:$AC$505,"&lt;="&amp;$A217,実績!$AD$6:$AD$505,"&gt;"&amp;$A217,実績!$AE$6:$AE$505,"○")&gt;0,1,0))</f>
        <v/>
      </c>
      <c r="Q217">
        <f>IF(Q$4=0,0,IF(COUNTIFS(実績!$W$6:$W$505,Q$3,実績!$AC$6:$AC$505,"&lt;="&amp;$A217,実績!$AD$6:$AD$505,"&gt;"&amp;$A217,実績!$AE$6:$AE$505,"○")&gt;0,1,0))</f>
        <v/>
      </c>
      <c r="R217">
        <f>IF(R$4=0,0,IF(COUNTIFS(実績!$W$6:$W$505,R$3,実績!$AC$6:$AC$505,"&lt;="&amp;$A217,実績!$AD$6:$AD$505,"&gt;"&amp;$A217,実績!$AE$6:$AE$505,"○")&gt;0,1,0))</f>
        <v/>
      </c>
      <c r="S217">
        <f>IF(S$4=0,0,IF(COUNTIFS(実績!$W$6:$W$505,S$3,実績!$AC$6:$AC$505,"&lt;="&amp;$A217,実績!$AD$6:$AD$505,"&gt;"&amp;$A217,実績!$AE$6:$AE$505,"○")&gt;0,1,0))</f>
        <v/>
      </c>
      <c r="T217">
        <f>IF(T$4=0,0,IF(COUNTIFS(実績!$W$6:$W$505,T$3,実績!$AC$6:$AC$505,"&lt;="&amp;$A217,実績!$AD$6:$AD$505,"&gt;"&amp;$A217,実績!$AE$6:$AE$505,"○")&gt;0,1,0))</f>
        <v/>
      </c>
      <c r="U217">
        <f>IF(U$4=0,0,IF(COUNTIFS(実績!$W$6:$W$505,U$3,実績!$AC$6:$AC$505,"&lt;="&amp;$A217,実績!$AD$6:$AD$505,"&gt;"&amp;$A217,実績!$AE$6:$AE$505,"○")&gt;0,1,0))</f>
        <v/>
      </c>
      <c r="V217">
        <f>IF(V$4=0,0,IF(COUNTIFS(実績!$W$6:$W$505,V$3,実績!$AC$6:$AC$505,"&lt;="&amp;$A217,実績!$AD$6:$AD$505,"&gt;"&amp;$A217,実績!$AE$6:$AE$505,"○")&gt;0,1,0))</f>
        <v/>
      </c>
      <c r="W217">
        <f>IF(W$4=0,0,IF(COUNTIFS(実績!$W$6:$W$505,W$3,実績!$AC$6:$AC$505,"&lt;="&amp;$A217,実績!$AD$6:$AD$505,"&gt;"&amp;$A217,実績!$AE$6:$AE$505,"○")&gt;0,1,0))</f>
        <v/>
      </c>
      <c r="X217">
        <f>IF(X$4=0,0,IF(COUNTIFS(実績!$W$6:$W$505,X$3,実績!$AC$6:$AC$505,"&lt;="&amp;$A217,実績!$AD$6:$AD$505,"&gt;"&amp;$A217,実績!$AE$6:$AE$505,"○")&gt;0,1,0))</f>
        <v/>
      </c>
      <c r="Y217">
        <f>IF(Y$4=0,0,IF(COUNTIFS(実績!$W$6:$W$505,Y$3,実績!$AC$6:$AC$505,"&lt;="&amp;$A217,実績!$AD$6:$AD$505,"&gt;"&amp;$A217,実績!$AE$6:$AE$505,"○")&gt;0,1,0))</f>
        <v/>
      </c>
      <c r="Z217">
        <f>IF(Z$4=0,0,IF(COUNTIFS(実績!$W$6:$W$505,Z$3,実績!$AC$6:$AC$505,"&lt;="&amp;$A217,実績!$AD$6:$AD$505,"&gt;"&amp;$A217,実績!$AE$6:$AE$505,"○")&gt;0,1,0))</f>
        <v/>
      </c>
      <c r="AA217">
        <f>IF(AA$4=0,0,IF(COUNTIFS(実績!$W$6:$W$505,AA$3,実績!$AC$6:$AC$505,"&lt;="&amp;$A217,実績!$AD$6:$AD$505,"&gt;"&amp;$A217,実績!$AE$6:$AE$505,"○")&gt;0,1,0))</f>
        <v/>
      </c>
      <c r="AB217">
        <f>IF(AB$4=0,0,IF(COUNTIFS(実績!$W$6:$W$505,AB$3,実績!$AC$6:$AC$505,"&lt;="&amp;$A217,実績!$AD$6:$AD$505,"&gt;"&amp;$A217,実績!$AE$6:$AE$505,"○")&gt;0,1,0))</f>
        <v/>
      </c>
      <c r="AC217">
        <f>IF(AC$4=0,0,IF(COUNTIFS(実績!$W$6:$W$505,AC$3,実績!$AC$6:$AC$505,"&lt;="&amp;$A217,実績!$AD$6:$AD$505,"&gt;"&amp;$A217,実績!$AE$6:$AE$505,"○")&gt;0,1,0))</f>
        <v/>
      </c>
      <c r="AD217">
        <f>IF(AD$4=0,0,IF(COUNTIFS(実績!$W$6:$W$505,AD$3,実績!$AC$6:$AC$505,"&lt;="&amp;$A217,実績!$AD$6:$AD$505,"&gt;"&amp;$A217,実績!$AE$6:$AE$505,"○")&gt;0,1,0))</f>
        <v/>
      </c>
      <c r="AE217">
        <f>IF(AE$4=0,0,IF(COUNTIFS(実績!$W$6:$W$505,AE$3,実績!$AC$6:$AC$505,"&lt;="&amp;$A217,実績!$AD$6:$AD$505,"&gt;"&amp;$A217,実績!$AE$6:$AE$505,"○")&gt;0,1,0))</f>
        <v/>
      </c>
      <c r="AF217">
        <f>IF(AF$4=0,0,IF(COUNTIFS(実績!$W$6:$W$505,AF$3,実績!$AC$6:$AC$505,"&lt;="&amp;$A217,実績!$AD$6:$AD$505,"&gt;"&amp;$A217,実績!$AE$6:$AE$505,"○")&gt;0,1,0))</f>
        <v/>
      </c>
      <c r="AG217">
        <f>IF(AG$4=0,0,IF(COUNTIFS(実績!$W$6:$W$505,AG$3,実績!$AC$6:$AC$505,"&lt;="&amp;$A217,実績!$AD$6:$AD$505,"&gt;"&amp;$A217,実績!$AE$6:$AE$505,"○")&gt;0,1,0))</f>
        <v/>
      </c>
      <c r="AH217">
        <f>IF(AH$4=0,0,IF(COUNTIFS(実績!$W$6:$W$505,AH$3,実績!$AC$6:$AC$505,"&lt;="&amp;$A217,実績!$AD$6:$AD$505,"&gt;"&amp;$A217,実績!$AE$6:$AE$505,"○")&gt;0,1,0))</f>
        <v/>
      </c>
      <c r="AI217">
        <f>IF(AI$4=0,0,IF(COUNTIFS(実績!$W$6:$W$505,AI$3,実績!$AC$6:$AC$505,"&lt;="&amp;$A217,実績!$AD$6:$AD$505,"&gt;"&amp;$A217,実績!$AE$6:$AE$505,"○")&gt;0,1,0))</f>
        <v/>
      </c>
      <c r="AJ217">
        <f>IF(AJ$4=0,0,IF(COUNTIFS(実績!$W$6:$W$505,AJ$3,実績!$AC$6:$AC$505,"&lt;="&amp;$A217,実績!$AD$6:$AD$505,"&gt;"&amp;$A217,実績!$AE$6:$AE$505,"○")&gt;0,1,0))</f>
        <v/>
      </c>
      <c r="AK217">
        <f>IF(AK$4=0,0,IF(COUNTIFS(実績!$W$6:$W$505,AK$3,実績!$AC$6:$AC$505,"&lt;="&amp;$A217,実績!$AD$6:$AD$505,"&gt;"&amp;$A217,実績!$AE$6:$AE$505,"○")&gt;0,1,0))</f>
        <v/>
      </c>
      <c r="AL217">
        <f>IF(AL$4=0,0,IF(COUNTIFS(実績!$W$6:$W$505,AL$3,実績!$AC$6:$AC$505,"&lt;="&amp;$A217,実績!$AD$6:$AD$505,"&gt;"&amp;$A217,実績!$AE$6:$AE$505,"○")&gt;0,1,0))</f>
        <v/>
      </c>
      <c r="AM217">
        <f>IF(AM$4=0,0,IF(COUNTIFS(実績!$W$6:$W$505,AM$3,実績!$AC$6:$AC$505,"&lt;="&amp;$A217,実績!$AD$6:$AD$505,"&gt;"&amp;$A217,実績!$AE$6:$AE$505,"○")&gt;0,1,0))</f>
        <v/>
      </c>
      <c r="AN217">
        <f>IF(AN$4=0,0,IF(COUNTIFS(実績!$W$6:$W$505,AN$3,実績!$AC$6:$AC$505,"&lt;="&amp;$A217,実績!$AD$6:$AD$505,"&gt;"&amp;$A217,実績!$AE$6:$AE$505,"○")&gt;0,1,0))</f>
        <v/>
      </c>
      <c r="AO217">
        <f>IF(AO$4=0,0,IF(COUNTIFS(実績!$W$6:$W$505,AO$3,実績!$AC$6:$AC$505,"&lt;="&amp;$A217,実績!$AD$6:$AD$505,"&gt;"&amp;$A217,実績!$AE$6:$AE$505,"○")&gt;0,1,0))</f>
        <v/>
      </c>
      <c r="AP217">
        <f>IF(AP$4=0,0,IF(COUNTIFS(実績!$W$6:$W$505,AP$3,実績!$AC$6:$AC$505,"&lt;="&amp;$A217,実績!$AD$6:$AD$505,"&gt;"&amp;$A217,実績!$AE$6:$AE$505,"○")&gt;0,1,0))</f>
        <v/>
      </c>
      <c r="AQ217">
        <f>IF(AQ$4=0,0,IF(COUNTIFS(実績!$W$6:$W$505,AQ$3,実績!$AC$6:$AC$505,"&lt;="&amp;$A217,実績!$AD$6:$AD$505,"&gt;"&amp;$A217,実績!$AE$6:$AE$505,"○")&gt;0,1,0))</f>
        <v/>
      </c>
      <c r="AR217">
        <f>IF(AR$4=0,0,IF(COUNTIFS(実績!$W$6:$W$505,AR$3,実績!$AC$6:$AC$505,"&lt;="&amp;$A217,実績!$AD$6:$AD$505,"&gt;"&amp;$A217,実績!$AE$6:$AE$505,"○")&gt;0,1,0))</f>
        <v/>
      </c>
      <c r="AS217">
        <f>IF(AS$4=0,0,IF(COUNTIFS(実績!$W$6:$W$505,AS$3,実績!$AC$6:$AC$505,"&lt;="&amp;$A217,実績!$AD$6:$AD$505,"&gt;"&amp;$A217,実績!$AE$6:$AE$505,"○")&gt;0,1,0))</f>
        <v/>
      </c>
      <c r="AT217">
        <f>IF(AT$4=0,0,IF(COUNTIFS(実績!$W$6:$W$505,AT$3,実績!$AC$6:$AC$505,"&lt;="&amp;$A217,実績!$AD$6:$AD$505,"&gt;"&amp;$A217,実績!$AE$6:$AE$505,"○")&gt;0,1,0))</f>
        <v/>
      </c>
      <c r="AU217">
        <f>IF(AU$4=0,0,IF(COUNTIFS(実績!$W$6:$W$505,AU$3,実績!$AC$6:$AC$505,"&lt;="&amp;$A217,実績!$AD$6:$AD$505,"&gt;"&amp;$A217,実績!$AE$6:$AE$505,"○")&gt;0,1,0))</f>
        <v/>
      </c>
      <c r="AV217">
        <f>IF(AV$4=0,0,IF(COUNTIFS(実績!$W$6:$W$505,AV$3,実績!$AC$6:$AC$505,"&lt;="&amp;$A217,実績!$AD$6:$AD$505,"&gt;"&amp;$A217,実績!$AE$6:$AE$505,"○")&gt;0,1,0))</f>
        <v/>
      </c>
      <c r="AW217">
        <f>IF(AW$4=0,0,IF(COUNTIFS(実績!$W$6:$W$505,AW$3,実績!$AC$6:$AC$505,"&lt;="&amp;$A217,実績!$AD$6:$AD$505,"&gt;"&amp;$A217,実績!$AE$6:$AE$505,"○")&gt;0,1,0))</f>
        <v/>
      </c>
      <c r="AX217">
        <f>IF(AX$4=0,0,IF(COUNTIFS(実績!$W$6:$W$505,AX$3,実績!$AC$6:$AC$505,"&lt;="&amp;$A217,実績!$AD$6:$AD$505,"&gt;"&amp;$A217,実績!$AE$6:$AE$505,"○")&gt;0,1,0))</f>
        <v/>
      </c>
      <c r="AY217">
        <f>IF(AY$4=0,0,IF(COUNTIFS(実績!$W$6:$W$505,AY$3,実績!$AC$6:$AC$505,"&lt;="&amp;$A217,実績!$AD$6:$AD$505,"&gt;"&amp;$A217,実績!$AE$6:$AE$505,"○")&gt;0,1,0))</f>
        <v/>
      </c>
      <c r="AZ217">
        <f>IF(AZ$4=0,0,IF(COUNTIFS(実績!$W$6:$W$505,AZ$3,実績!$AC$6:$AC$505,"&lt;="&amp;$A217,実績!$AD$6:$AD$505,"&gt;"&amp;$A217,実績!$AE$6:$AE$505,"○")&gt;0,1,0))</f>
        <v/>
      </c>
      <c r="BA217">
        <f>IF(BA$4=0,0,IF(COUNTIFS(実績!$W$6:$W$505,BA$3,実績!$AC$6:$AC$505,"&lt;="&amp;$A217,実績!$AD$6:$AD$505,"&gt;"&amp;$A217,実績!$AE$6:$AE$505,"○")&gt;0,1,0))</f>
        <v/>
      </c>
      <c r="BB217">
        <f>IF(BB$4=0,0,IF(COUNTIFS(実績!$W$6:$W$505,BB$3,実績!$AC$6:$AC$505,"&lt;="&amp;$A217,実績!$AD$6:$AD$505,"&gt;"&amp;$A217,実績!$AE$6:$AE$505,"○")&gt;0,1,0))</f>
        <v/>
      </c>
      <c r="BC217">
        <f>IF(BC$4=0,0,IF(COUNTIFS(実績!$W$6:$W$505,BC$3,実績!$AC$6:$AC$505,"&lt;="&amp;$A217,実績!$AD$6:$AD$505,"&gt;"&amp;$A217,実績!$AE$6:$AE$505,"○")&gt;0,1,0))</f>
        <v/>
      </c>
      <c r="BD217">
        <f>IF(BD$4=0,0,IF(COUNTIFS(実績!$W$6:$W$505,BD$3,実績!$AC$6:$AC$505,"&lt;="&amp;$A217,実績!$AD$6:$AD$505,"&gt;"&amp;$A217,実績!$AE$6:$AE$505,"○")&gt;0,1,0))</f>
        <v/>
      </c>
      <c r="BE217">
        <f>IF(BE$4=0,0,IF(COUNTIFS(実績!$W$6:$W$505,BE$3,実績!$AC$6:$AC$505,"&lt;="&amp;$A217,実績!$AD$6:$AD$505,"&gt;"&amp;$A217,実績!$AE$6:$AE$505,"○")&gt;0,1,0))</f>
        <v/>
      </c>
      <c r="BF217">
        <f>IF(BF$4=0,0,IF(COUNTIFS(実績!$W$6:$W$505,BF$3,実績!$AC$6:$AC$505,"&lt;="&amp;$A217,実績!$AD$6:$AD$505,"&gt;"&amp;$A217,実績!$AE$6:$AE$505,"○")&gt;0,1,0))</f>
        <v/>
      </c>
      <c r="BG217">
        <f>IF(BG$4=0,0,IF(COUNTIFS(実績!$W$6:$W$505,BG$3,実績!$AC$6:$AC$505,"&lt;="&amp;$A217,実績!$AD$6:$AD$505,"&gt;"&amp;$A217,実績!$AE$6:$AE$505,"○")&gt;0,1,0))</f>
        <v/>
      </c>
      <c r="BH217">
        <f>IF(BH$4=0,0,IF(COUNTIFS(実績!$W$6:$W$505,BH$3,実績!$AC$6:$AC$505,"&lt;="&amp;$A217,実績!$AD$6:$AD$505,"&gt;"&amp;$A217,実績!$AE$6:$AE$505,"○")&gt;0,1,0))</f>
        <v/>
      </c>
      <c r="BI217">
        <f>IF(BI$4=0,0,IF(COUNTIFS(実績!$W$6:$W$505,BI$3,実績!$AC$6:$AC$505,"&lt;="&amp;$A217,実績!$AD$6:$AD$505,"&gt;"&amp;$A217,実績!$AE$6:$AE$505,"○")&gt;0,1,0))</f>
        <v/>
      </c>
      <c r="BJ217">
        <f>IF(BJ$4=0,0,IF(COUNTIFS(実績!$W$6:$W$505,BJ$3,実績!$AC$6:$AC$505,"&lt;="&amp;$A217,実績!$AD$6:$AD$505,"&gt;"&amp;$A217,実績!$AE$6:$AE$505,"○")&gt;0,1,0))</f>
        <v/>
      </c>
      <c r="BK217">
        <f>IF(BK$4=0,0,IF(COUNTIFS(実績!$W$6:$W$505,BK$3,実績!$AC$6:$AC$505,"&lt;="&amp;$A217,実績!$AD$6:$AD$505,"&gt;"&amp;$A217,実績!$AE$6:$AE$505,"○")&gt;0,1,0))</f>
        <v/>
      </c>
      <c r="BL217">
        <f>IF(BL$4=0,0,IF(COUNTIFS(実績!$W$6:$W$505,BL$3,実績!$AC$6:$AC$505,"&lt;="&amp;$A217,実績!$AD$6:$AD$505,"&gt;"&amp;$A217,実績!$AE$6:$AE$505,"○")&gt;0,1,0))</f>
        <v/>
      </c>
      <c r="BM217">
        <f>IF(BM$4=0,0,IF(COUNTIFS(実績!$W$6:$W$505,BM$3,実績!$AC$6:$AC$505,"&lt;="&amp;$A217,実績!$AD$6:$AD$505,"&gt;"&amp;$A217,実績!$AE$6:$AE$505,"○")&gt;0,1,0))</f>
        <v/>
      </c>
      <c r="BN217">
        <f>IF(BN$4=0,0,IF(COUNTIFS(実績!$W$6:$W$505,BN$3,実績!$AC$6:$AC$505,"&lt;="&amp;$A217,実績!$AD$6:$AD$505,"&gt;"&amp;$A217,実績!$AE$6:$AE$505,"○")&gt;0,1,0))</f>
        <v/>
      </c>
      <c r="BO217">
        <f>IF(BO$4=0,0,IF(COUNTIFS(実績!$W$6:$W$505,BO$3,実績!$AC$6:$AC$505,"&lt;="&amp;$A217,実績!$AD$6:$AD$505,"&gt;"&amp;$A217,実績!$AE$6:$AE$505,"○")&gt;0,1,0))</f>
        <v/>
      </c>
      <c r="BP217">
        <f>IF(BP$4=0,0,IF(COUNTIFS(実績!$W$6:$W$505,BP$3,実績!$AC$6:$AC$505,"&lt;="&amp;$A217,実績!$AD$6:$AD$505,"&gt;"&amp;$A217,実績!$AE$6:$AE$505,"○")&gt;0,1,0))</f>
        <v/>
      </c>
      <c r="BQ217">
        <f>IF(BQ$4=0,0,IF(COUNTIFS(実績!$W$6:$W$505,BQ$3,実績!$AC$6:$AC$505,"&lt;="&amp;$A217,実績!$AD$6:$AD$505,"&gt;"&amp;$A217,実績!$AE$6:$AE$505,"○")&gt;0,1,0))</f>
        <v/>
      </c>
      <c r="BR217">
        <f>IF(BR$4=0,0,IF(COUNTIFS(実績!$W$6:$W$505,BR$3,実績!$AC$6:$AC$505,"&lt;="&amp;$A217,実績!$AD$6:$AD$505,"&gt;"&amp;$A217,実績!$AE$6:$AE$505,"○")&gt;0,1,0))</f>
        <v/>
      </c>
      <c r="BS217">
        <f>IF(BS$4=0,0,IF(COUNTIFS(実績!$W$6:$W$505,BS$3,実績!$AC$6:$AC$505,"&lt;="&amp;$A217,実績!$AD$6:$AD$505,"&gt;"&amp;$A217,実績!$AE$6:$AE$505,"○")&gt;0,1,0))</f>
        <v/>
      </c>
      <c r="BT217">
        <f>IF(BT$4=0,0,IF(COUNTIFS(実績!$W$6:$W$505,BT$3,実績!$AC$6:$AC$505,"&lt;="&amp;$A217,実績!$AD$6:$AD$505,"&gt;"&amp;$A217,実績!$AE$6:$AE$505,"○")&gt;0,1,0))</f>
        <v/>
      </c>
      <c r="BU217">
        <f>IF(BU$4=0,0,IF(COUNTIFS(実績!$W$6:$W$505,BU$3,実績!$AC$6:$AC$505,"&lt;="&amp;$A217,実績!$AD$6:$AD$505,"&gt;"&amp;$A217,実績!$AE$6:$AE$505,"○")&gt;0,1,0))</f>
        <v/>
      </c>
      <c r="BV217">
        <f>IF(BV$4=0,0,IF(COUNTIFS(実績!$W$6:$W$505,BV$3,実績!$AC$6:$AC$505,"&lt;="&amp;$A217,実績!$AD$6:$AD$505,"&gt;"&amp;$A217,実績!$AE$6:$AE$505,"○")&gt;0,1,0))</f>
        <v/>
      </c>
      <c r="BW217">
        <f>IF(BW$4=0,0,IF(COUNTIFS(実績!$W$6:$W$505,BW$3,実績!$AC$6:$AC$505,"&lt;="&amp;$A217,実績!$AD$6:$AD$505,"&gt;"&amp;$A217,実績!$AE$6:$AE$505,"○")&gt;0,1,0))</f>
        <v/>
      </c>
      <c r="BX217">
        <f>IF(BX$4=0,0,IF(COUNTIFS(実績!$W$6:$W$505,BX$3,実績!$AC$6:$AC$505,"&lt;="&amp;$A217,実績!$AD$6:$AD$505,"&gt;"&amp;$A217,実績!$AE$6:$AE$505,"○")&gt;0,1,0))</f>
        <v/>
      </c>
      <c r="BY217">
        <f>IF(BY$4=0,0,IF(COUNTIFS(実績!$W$6:$W$505,BY$3,実績!$AC$6:$AC$505,"&lt;="&amp;$A217,実績!$AD$6:$AD$505,"&gt;"&amp;$A217,実績!$AE$6:$AE$505,"○")&gt;0,1,0))</f>
        <v/>
      </c>
      <c r="BZ217">
        <f>IF(BZ$4=0,0,IF(COUNTIFS(実績!$W$6:$W$505,BZ$3,実績!$AC$6:$AC$505,"&lt;="&amp;$A217,実績!$AD$6:$AD$505,"&gt;"&amp;$A217,実績!$AE$6:$AE$505,"○")&gt;0,1,0))</f>
        <v/>
      </c>
      <c r="CA217">
        <f>IF(CA$4=0,0,IF(COUNTIFS(実績!$W$6:$W$505,CA$3,実績!$AC$6:$AC$505,"&lt;="&amp;$A217,実績!$AD$6:$AD$505,"&gt;"&amp;$A217,実績!$AE$6:$AE$505,"○")&gt;0,1,0))</f>
        <v/>
      </c>
      <c r="CB217">
        <f>IF(CB$4=0,0,IF(COUNTIFS(実績!$W$6:$W$505,CB$3,実績!$AC$6:$AC$505,"&lt;="&amp;$A217,実績!$AD$6:$AD$505,"&gt;"&amp;$A217,実績!$AE$6:$AE$505,"○")&gt;0,1,0))</f>
        <v/>
      </c>
      <c r="CC217">
        <f>IF(CC$4=0,0,IF(COUNTIFS(実績!$W$6:$W$505,CC$3,実績!$AC$6:$AC$505,"&lt;="&amp;$A217,実績!$AD$6:$AD$505,"&gt;"&amp;$A217,実績!$AE$6:$AE$505,"○")&gt;0,1,0))</f>
        <v/>
      </c>
      <c r="CD217">
        <f>IF(CD$4=0,0,IF(COUNTIFS(実績!$W$6:$W$505,CD$3,実績!$AC$6:$AC$505,"&lt;="&amp;$A217,実績!$AD$6:$AD$505,"&gt;"&amp;$A217,実績!$AE$6:$AE$505,"○")&gt;0,1,0))</f>
        <v/>
      </c>
      <c r="CE217">
        <f>IF(CE$4=0,0,IF(COUNTIFS(実績!$W$6:$W$505,CE$3,実績!$AC$6:$AC$505,"&lt;="&amp;$A217,実績!$AD$6:$AD$505,"&gt;"&amp;$A217,実績!$AE$6:$AE$505,"○")&gt;0,1,0))</f>
        <v/>
      </c>
      <c r="CF217">
        <f>IF(CF$4=0,0,IF(COUNTIFS(実績!$W$6:$W$505,CF$3,実績!$AC$6:$AC$505,"&lt;="&amp;$A217,実績!$AD$6:$AD$505,"&gt;"&amp;$A217,実績!$AE$6:$AE$505,"○")&gt;0,1,0))</f>
        <v/>
      </c>
      <c r="CG217">
        <f>IF(CG$4=0,0,IF(COUNTIFS(実績!$W$6:$W$505,CG$3,実績!$AC$6:$AC$505,"&lt;="&amp;$A217,実績!$AD$6:$AD$505,"&gt;"&amp;$A217,実績!$AE$6:$AE$505,"○")&gt;0,1,0))</f>
        <v/>
      </c>
      <c r="CH217">
        <f>IF(CH$4=0,0,IF(COUNTIFS(実績!$W$6:$W$505,CH$3,実績!$AC$6:$AC$505,"&lt;="&amp;$A217,実績!$AD$6:$AD$505,"&gt;"&amp;$A217,実績!$AE$6:$AE$505,"○")&gt;0,1,0))</f>
        <v/>
      </c>
      <c r="CI217">
        <f>IF(CI$4=0,0,IF(COUNTIFS(実績!$W$6:$W$505,CI$3,実績!$AC$6:$AC$505,"&lt;="&amp;$A217,実績!$AD$6:$AD$505,"&gt;"&amp;$A217,実績!$AE$6:$AE$505,"○")&gt;0,1,0))</f>
        <v/>
      </c>
      <c r="CJ217">
        <f>IF(CJ$4=0,0,IF(COUNTIFS(実績!$W$6:$W$505,CJ$3,実績!$AC$6:$AC$505,"&lt;="&amp;$A217,実績!$AD$6:$AD$505,"&gt;"&amp;$A217,実績!$AE$6:$AE$505,"○")&gt;0,1,0))</f>
        <v/>
      </c>
      <c r="CK217">
        <f>IF(CK$4=0,0,IF(COUNTIFS(実績!$W$6:$W$505,CK$3,実績!$AC$6:$AC$505,"&lt;="&amp;$A217,実績!$AD$6:$AD$505,"&gt;"&amp;$A217,実績!$AE$6:$AE$505,"○")&gt;0,1,0))</f>
        <v/>
      </c>
      <c r="CL217">
        <f>IF(CL$4=0,0,IF(COUNTIFS(実績!$W$6:$W$505,CL$3,実績!$AC$6:$AC$505,"&lt;="&amp;$A217,実績!$AD$6:$AD$505,"&gt;"&amp;$A217,実績!$AE$6:$AE$505,"○")&gt;0,1,0))</f>
        <v/>
      </c>
      <c r="CM217">
        <f>IF(CM$4=0,0,IF(COUNTIFS(実績!$W$6:$W$505,CM$3,実績!$AC$6:$AC$505,"&lt;="&amp;$A217,実績!$AD$6:$AD$505,"&gt;"&amp;$A217,実績!$AE$6:$AE$505,"○")&gt;0,1,0))</f>
        <v/>
      </c>
      <c r="CN217">
        <f>IF(CN$4=0,0,IF(COUNTIFS(実績!$W$6:$W$505,CN$3,実績!$AC$6:$AC$505,"&lt;="&amp;$A217,実績!$AD$6:$AD$505,"&gt;"&amp;$A217,実績!$AE$6:$AE$505,"○")&gt;0,1,0))</f>
        <v/>
      </c>
      <c r="CO217">
        <f>IF(CO$4=0,0,IF(COUNTIFS(実績!$W$6:$W$505,CO$3,実績!$AC$6:$AC$505,"&lt;="&amp;$A217,実績!$AD$6:$AD$505,"&gt;"&amp;$A217,実績!$AE$6:$AE$505,"○")&gt;0,1,0))</f>
        <v/>
      </c>
      <c r="CP217">
        <f>IF(CP$4=0,0,IF(COUNTIFS(実績!$W$6:$W$505,CP$3,実績!$AC$6:$AC$505,"&lt;="&amp;$A217,実績!$AD$6:$AD$505,"&gt;"&amp;$A217,実績!$AE$6:$AE$505,"○")&gt;0,1,0))</f>
        <v/>
      </c>
      <c r="CQ217">
        <f>IF(CQ$4=0,0,IF(COUNTIFS(実績!$W$6:$W$505,CQ$3,実績!$AC$6:$AC$505,"&lt;="&amp;$A217,実績!$AD$6:$AD$505,"&gt;"&amp;$A217,実績!$AE$6:$AE$505,"○")&gt;0,1,0))</f>
        <v/>
      </c>
      <c r="CR217">
        <f>IF(CR$4=0,0,IF(COUNTIFS(実績!$W$6:$W$505,CR$3,実績!$AC$6:$AC$505,"&lt;="&amp;$A217,実績!$AD$6:$AD$505,"&gt;"&amp;$A217,実績!$AE$6:$AE$505,"○")&gt;0,1,0))</f>
        <v/>
      </c>
      <c r="CS217">
        <f>IF(CS$4=0,0,IF(COUNTIFS(実績!$W$6:$W$505,CS$3,実績!$AC$6:$AC$505,"&lt;="&amp;$A217,実績!$AD$6:$AD$505,"&gt;"&amp;$A217,実績!$AE$6:$AE$505,"○")&gt;0,1,0))</f>
        <v/>
      </c>
      <c r="CT217">
        <f>IF(CT$4=0,0,IF(COUNTIFS(実績!$W$6:$W$505,CT$3,実績!$AC$6:$AC$505,"&lt;="&amp;$A217,実績!$AD$6:$AD$505,"&gt;"&amp;$A217,実績!$AE$6:$AE$505,"○")&gt;0,1,0))</f>
        <v/>
      </c>
      <c r="CU217">
        <f>IF(CU$4=0,0,IF(COUNTIFS(実績!$W$6:$W$505,CU$3,実績!$AC$6:$AC$505,"&lt;="&amp;$A217,実績!$AD$6:$AD$505,"&gt;"&amp;$A217,実績!$AE$6:$AE$505,"○")&gt;0,1,0))</f>
        <v/>
      </c>
      <c r="CV217">
        <f>IF(CV$4=0,0,IF(COUNTIFS(実績!$W$6:$W$505,CV$3,実績!$AC$6:$AC$505,"&lt;="&amp;$A217,実績!$AD$6:$AD$505,"&gt;"&amp;$A217,実績!$AE$6:$AE$505,"○")&gt;0,1,0))</f>
        <v/>
      </c>
      <c r="CW217">
        <f>IF(CW$4=0,0,IF(COUNTIFS(実績!$W$6:$W$505,CW$3,実績!$AC$6:$AC$505,"&lt;="&amp;$A217,実績!$AD$6:$AD$505,"&gt;"&amp;$A217,実績!$AE$6:$AE$505,"○")&gt;0,1,0))</f>
        <v/>
      </c>
      <c r="CX217">
        <f>IF(CX$4=0,0,IF(COUNTIFS(実績!$W$6:$W$505,CX$3,実績!$AC$6:$AC$505,"&lt;="&amp;$A217,実績!$AD$6:$AD$505,"&gt;"&amp;$A217,実績!$AE$6:$AE$505,"○")&gt;0,1,0))</f>
        <v/>
      </c>
      <c r="CY217">
        <f>IF(CY$4=0,0,IF(COUNTIFS(実績!$W$6:$W$505,CY$3,実績!$AC$6:$AC$505,"&lt;="&amp;$A217,実績!$AD$6:$AD$505,"&gt;"&amp;$A217,実績!$AE$6:$AE$505,"○")&gt;0,1,0))</f>
        <v/>
      </c>
      <c r="CZ217">
        <f>IF(CZ$4=0,0,IF(COUNTIFS(実績!$W$6:$W$505,CZ$3,実績!$AC$6:$AC$505,"&lt;="&amp;$A217,実績!$AD$6:$AD$505,"&gt;"&amp;$A217,実績!$AE$6:$AE$505,"○")&gt;0,1,0))</f>
        <v/>
      </c>
      <c r="DA217">
        <f>IF(DA$4=0,0,IF(COUNTIFS(実績!$W$6:$W$505,DA$3,実績!$AC$6:$AC$505,"&lt;="&amp;$A217,実績!$AD$6:$AD$505,"&gt;"&amp;$A217,実績!$AE$6:$AE$505,"○")&gt;0,1,0))</f>
        <v/>
      </c>
      <c r="DB217">
        <f>IF(DB$4=0,0,IF(COUNTIFS(実績!$W$6:$W$505,DB$3,実績!$AC$6:$AC$505,"&lt;="&amp;$A217,実績!$AD$6:$AD$505,"&gt;"&amp;$A217,実績!$AE$6:$AE$505,"○")&gt;0,1,0))</f>
        <v/>
      </c>
      <c r="DC217">
        <f>IF(DC$4=0,0,IF(COUNTIFS(実績!$W$6:$W$505,DC$3,実績!$AC$6:$AC$505,"&lt;="&amp;$A217,実績!$AD$6:$AD$505,"&gt;"&amp;$A217,実績!$AE$6:$AE$505,"○")&gt;0,1,0))</f>
        <v/>
      </c>
      <c r="DD217">
        <f>IF(DD$4=0,0,IF(COUNTIFS(実績!$W$6:$W$505,DD$3,実績!$AC$6:$AC$505,"&lt;="&amp;$A217,実績!$AD$6:$AD$505,"&gt;"&amp;$A217,実績!$AE$6:$AE$505,"○")&gt;0,1,0))</f>
        <v/>
      </c>
      <c r="DE217">
        <f>IF(DE$4=0,0,IF(COUNTIFS(実績!$W$6:$W$505,DE$3,実績!$AC$6:$AC$505,"&lt;="&amp;$A217,実績!$AD$6:$AD$505,"&gt;"&amp;$A217,実績!$AE$6:$AE$505,"○")&gt;0,1,0))</f>
        <v/>
      </c>
      <c r="DF217">
        <f>IF(DF$4=0,0,IF(COUNTIFS(実績!$W$6:$W$505,DF$3,実績!$AC$6:$AC$505,"&lt;="&amp;$A217,実績!$AD$6:$AD$505,"&gt;"&amp;$A217,実績!$AE$6:$AE$505,"○")&gt;0,1,0))</f>
        <v/>
      </c>
      <c r="DG217">
        <f>IF(DG$4=0,0,IF(COUNTIFS(実績!$W$6:$W$505,DG$3,実績!$AC$6:$AC$505,"&lt;="&amp;$A217,実績!$AD$6:$AD$505,"&gt;"&amp;$A217,実績!$AE$6:$AE$505,"○")&gt;0,1,0))</f>
        <v/>
      </c>
      <c r="DH217">
        <f>IF(DH$4=0,0,IF(COUNTIFS(実績!$W$6:$W$505,DH$3,実績!$AC$6:$AC$505,"&lt;="&amp;$A217,実績!$AD$6:$AD$505,"&gt;"&amp;$A217,実績!$AE$6:$AE$505,"○")&gt;0,1,0))</f>
        <v/>
      </c>
      <c r="DI217">
        <f>IF(DI$4=0,0,IF(COUNTIFS(実績!$W$6:$W$505,DI$3,実績!$AC$6:$AC$505,"&lt;="&amp;$A217,実績!$AD$6:$AD$505,"&gt;"&amp;$A217,実績!$AE$6:$AE$505,"○")&gt;0,1,0))</f>
        <v/>
      </c>
      <c r="DJ217">
        <f>IF(DJ$4=0,0,IF(COUNTIFS(実績!$W$6:$W$505,DJ$3,実績!$AC$6:$AC$505,"&lt;="&amp;$A217,実績!$AD$6:$AD$505,"&gt;"&amp;$A217,実績!$AE$6:$AE$505,"○")&gt;0,1,0))</f>
        <v/>
      </c>
      <c r="DK217">
        <f>IF(DK$4=0,0,IF(COUNTIFS(実績!$W$6:$W$505,DK$3,実績!$AC$6:$AC$505,"&lt;="&amp;$A217,実績!$AD$6:$AD$505,"&gt;"&amp;$A217,実績!$AE$6:$AE$505,"○")&gt;0,1,0))</f>
        <v/>
      </c>
      <c r="DL217">
        <f>IF(DL$4=0,0,IF(COUNTIFS(実績!$W$6:$W$505,DL$3,実績!$AC$6:$AC$505,"&lt;="&amp;$A217,実績!$AD$6:$AD$505,"&gt;"&amp;$A217,実績!$AE$6:$AE$505,"○")&gt;0,1,0))</f>
        <v/>
      </c>
      <c r="DM217">
        <f>IF(DM$4=0,0,IF(COUNTIFS(実績!$W$6:$W$505,DM$3,実績!$AC$6:$AC$505,"&lt;="&amp;$A217,実績!$AD$6:$AD$505,"&gt;"&amp;$A217,実績!$AE$6:$AE$505,"○")&gt;0,1,0))</f>
        <v/>
      </c>
      <c r="DN217">
        <f>IF(DN$4=0,0,IF(COUNTIFS(実績!$W$6:$W$505,DN$3,実績!$AC$6:$AC$505,"&lt;="&amp;$A217,実績!$AD$6:$AD$505,"&gt;"&amp;$A217,実績!$AE$6:$AE$505,"○")&gt;0,1,0))</f>
        <v/>
      </c>
      <c r="DO217">
        <f>IF(DO$4=0,0,IF(COUNTIFS(実績!$W$6:$W$505,DO$3,実績!$AC$6:$AC$505,"&lt;="&amp;$A217,実績!$AD$6:$AD$505,"&gt;"&amp;$A217,実績!$AE$6:$AE$505,"○")&gt;0,1,0))</f>
        <v/>
      </c>
      <c r="DP217">
        <f>IF(DP$4=0,0,IF(COUNTIFS(実績!$W$6:$W$505,DP$3,実績!$AC$6:$AC$505,"&lt;="&amp;$A217,実績!$AD$6:$AD$505,"&gt;"&amp;$A217,実績!$AE$6:$AE$505,"○")&gt;0,1,0))</f>
        <v/>
      </c>
      <c r="DQ217">
        <f>IF(DQ$4=0,0,IF(COUNTIFS(実績!$W$6:$W$505,DQ$3,実績!$AC$6:$AC$505,"&lt;="&amp;$A217,実績!$AD$6:$AD$505,"&gt;"&amp;$A217,実績!$AE$6:$AE$505,"○")&gt;0,1,0))</f>
        <v/>
      </c>
      <c r="DR217">
        <f>IF(DR$4=0,0,IF(COUNTIFS(実績!$W$6:$W$505,DR$3,実績!$AC$6:$AC$505,"&lt;="&amp;$A217,実績!$AD$6:$AD$505,"&gt;"&amp;$A217,実績!$AE$6:$AE$505,"○")&gt;0,1,0))</f>
        <v/>
      </c>
      <c r="DS217">
        <f>SUM(C217:DR217)</f>
        <v/>
      </c>
      <c r="DT217">
        <f>SUMPRODUCT((実績!$C$6:$C$505="○")*ISNUMBER(実績!$AF$6:$AF$505)*(実績!$AF$6:$AF$505&lt;=$A217)*(実績!$AG$6:$AG$505&gt;$A217))</f>
        <v/>
      </c>
      <c r="DU217">
        <f>SUMIF($C$2:$DR$2,"製鉄曳船",C217:DR217)</f>
        <v/>
      </c>
      <c r="DV217">
        <f>SUMIF($C$2:$DR$2,"西日本海運",C217:DR217)</f>
        <v/>
      </c>
    </row>
    <row r="218">
      <c r="A218" t="n">
        <v>1060</v>
      </c>
      <c r="B218" s="29">
        <f>A218/1440</f>
        <v/>
      </c>
      <c r="C218">
        <f>IF(C$4=0,0,IF(COUNTIFS(実績!$W$6:$W$505,C$3,実績!$AC$6:$AC$505,"&lt;="&amp;$A218,実績!$AD$6:$AD$505,"&gt;"&amp;$A218,実績!$AE$6:$AE$505,"○")&gt;0,1,0))</f>
        <v/>
      </c>
      <c r="D218">
        <f>IF(D$4=0,0,IF(COUNTIFS(実績!$W$6:$W$505,D$3,実績!$AC$6:$AC$505,"&lt;="&amp;$A218,実績!$AD$6:$AD$505,"&gt;"&amp;$A218,実績!$AE$6:$AE$505,"○")&gt;0,1,0))</f>
        <v/>
      </c>
      <c r="E218">
        <f>IF(E$4=0,0,IF(COUNTIFS(実績!$W$6:$W$505,E$3,実績!$AC$6:$AC$505,"&lt;="&amp;$A218,実績!$AD$6:$AD$505,"&gt;"&amp;$A218,実績!$AE$6:$AE$505,"○")&gt;0,1,0))</f>
        <v/>
      </c>
      <c r="F218">
        <f>IF(F$4=0,0,IF(COUNTIFS(実績!$W$6:$W$505,F$3,実績!$AC$6:$AC$505,"&lt;="&amp;$A218,実績!$AD$6:$AD$505,"&gt;"&amp;$A218,実績!$AE$6:$AE$505,"○")&gt;0,1,0))</f>
        <v/>
      </c>
      <c r="G218">
        <f>IF(G$4=0,0,IF(COUNTIFS(実績!$W$6:$W$505,G$3,実績!$AC$6:$AC$505,"&lt;="&amp;$A218,実績!$AD$6:$AD$505,"&gt;"&amp;$A218,実績!$AE$6:$AE$505,"○")&gt;0,1,0))</f>
        <v/>
      </c>
      <c r="H218">
        <f>IF(H$4=0,0,IF(COUNTIFS(実績!$W$6:$W$505,H$3,実績!$AC$6:$AC$505,"&lt;="&amp;$A218,実績!$AD$6:$AD$505,"&gt;"&amp;$A218,実績!$AE$6:$AE$505,"○")&gt;0,1,0))</f>
        <v/>
      </c>
      <c r="I218">
        <f>IF(I$4=0,0,IF(COUNTIFS(実績!$W$6:$W$505,I$3,実績!$AC$6:$AC$505,"&lt;="&amp;$A218,実績!$AD$6:$AD$505,"&gt;"&amp;$A218,実績!$AE$6:$AE$505,"○")&gt;0,1,0))</f>
        <v/>
      </c>
      <c r="J218">
        <f>IF(J$4=0,0,IF(COUNTIFS(実績!$W$6:$W$505,J$3,実績!$AC$6:$AC$505,"&lt;="&amp;$A218,実績!$AD$6:$AD$505,"&gt;"&amp;$A218,実績!$AE$6:$AE$505,"○")&gt;0,1,0))</f>
        <v/>
      </c>
      <c r="K218">
        <f>IF(K$4=0,0,IF(COUNTIFS(実績!$W$6:$W$505,K$3,実績!$AC$6:$AC$505,"&lt;="&amp;$A218,実績!$AD$6:$AD$505,"&gt;"&amp;$A218,実績!$AE$6:$AE$505,"○")&gt;0,1,0))</f>
        <v/>
      </c>
      <c r="L218">
        <f>IF(L$4=0,0,IF(COUNTIFS(実績!$W$6:$W$505,L$3,実績!$AC$6:$AC$505,"&lt;="&amp;$A218,実績!$AD$6:$AD$505,"&gt;"&amp;$A218,実績!$AE$6:$AE$505,"○")&gt;0,1,0))</f>
        <v/>
      </c>
      <c r="M218">
        <f>IF(M$4=0,0,IF(COUNTIFS(実績!$W$6:$W$505,M$3,実績!$AC$6:$AC$505,"&lt;="&amp;$A218,実績!$AD$6:$AD$505,"&gt;"&amp;$A218,実績!$AE$6:$AE$505,"○")&gt;0,1,0))</f>
        <v/>
      </c>
      <c r="N218">
        <f>IF(N$4=0,0,IF(COUNTIFS(実績!$W$6:$W$505,N$3,実績!$AC$6:$AC$505,"&lt;="&amp;$A218,実績!$AD$6:$AD$505,"&gt;"&amp;$A218,実績!$AE$6:$AE$505,"○")&gt;0,1,0))</f>
        <v/>
      </c>
      <c r="O218">
        <f>IF(O$4=0,0,IF(COUNTIFS(実績!$W$6:$W$505,O$3,実績!$AC$6:$AC$505,"&lt;="&amp;$A218,実績!$AD$6:$AD$505,"&gt;"&amp;$A218,実績!$AE$6:$AE$505,"○")&gt;0,1,0))</f>
        <v/>
      </c>
      <c r="P218">
        <f>IF(P$4=0,0,IF(COUNTIFS(実績!$W$6:$W$505,P$3,実績!$AC$6:$AC$505,"&lt;="&amp;$A218,実績!$AD$6:$AD$505,"&gt;"&amp;$A218,実績!$AE$6:$AE$505,"○")&gt;0,1,0))</f>
        <v/>
      </c>
      <c r="Q218">
        <f>IF(Q$4=0,0,IF(COUNTIFS(実績!$W$6:$W$505,Q$3,実績!$AC$6:$AC$505,"&lt;="&amp;$A218,実績!$AD$6:$AD$505,"&gt;"&amp;$A218,実績!$AE$6:$AE$505,"○")&gt;0,1,0))</f>
        <v/>
      </c>
      <c r="R218">
        <f>IF(R$4=0,0,IF(COUNTIFS(実績!$W$6:$W$505,R$3,実績!$AC$6:$AC$505,"&lt;="&amp;$A218,実績!$AD$6:$AD$505,"&gt;"&amp;$A218,実績!$AE$6:$AE$505,"○")&gt;0,1,0))</f>
        <v/>
      </c>
      <c r="S218">
        <f>IF(S$4=0,0,IF(COUNTIFS(実績!$W$6:$W$505,S$3,実績!$AC$6:$AC$505,"&lt;="&amp;$A218,実績!$AD$6:$AD$505,"&gt;"&amp;$A218,実績!$AE$6:$AE$505,"○")&gt;0,1,0))</f>
        <v/>
      </c>
      <c r="T218">
        <f>IF(T$4=0,0,IF(COUNTIFS(実績!$W$6:$W$505,T$3,実績!$AC$6:$AC$505,"&lt;="&amp;$A218,実績!$AD$6:$AD$505,"&gt;"&amp;$A218,実績!$AE$6:$AE$505,"○")&gt;0,1,0))</f>
        <v/>
      </c>
      <c r="U218">
        <f>IF(U$4=0,0,IF(COUNTIFS(実績!$W$6:$W$505,U$3,実績!$AC$6:$AC$505,"&lt;="&amp;$A218,実績!$AD$6:$AD$505,"&gt;"&amp;$A218,実績!$AE$6:$AE$505,"○")&gt;0,1,0))</f>
        <v/>
      </c>
      <c r="V218">
        <f>IF(V$4=0,0,IF(COUNTIFS(実績!$W$6:$W$505,V$3,実績!$AC$6:$AC$505,"&lt;="&amp;$A218,実績!$AD$6:$AD$505,"&gt;"&amp;$A218,実績!$AE$6:$AE$505,"○")&gt;0,1,0))</f>
        <v/>
      </c>
      <c r="W218">
        <f>IF(W$4=0,0,IF(COUNTIFS(実績!$W$6:$W$505,W$3,実績!$AC$6:$AC$505,"&lt;="&amp;$A218,実績!$AD$6:$AD$505,"&gt;"&amp;$A218,実績!$AE$6:$AE$505,"○")&gt;0,1,0))</f>
        <v/>
      </c>
      <c r="X218">
        <f>IF(X$4=0,0,IF(COUNTIFS(実績!$W$6:$W$505,X$3,実績!$AC$6:$AC$505,"&lt;="&amp;$A218,実績!$AD$6:$AD$505,"&gt;"&amp;$A218,実績!$AE$6:$AE$505,"○")&gt;0,1,0))</f>
        <v/>
      </c>
      <c r="Y218">
        <f>IF(Y$4=0,0,IF(COUNTIFS(実績!$W$6:$W$505,Y$3,実績!$AC$6:$AC$505,"&lt;="&amp;$A218,実績!$AD$6:$AD$505,"&gt;"&amp;$A218,実績!$AE$6:$AE$505,"○")&gt;0,1,0))</f>
        <v/>
      </c>
      <c r="Z218">
        <f>IF(Z$4=0,0,IF(COUNTIFS(実績!$W$6:$W$505,Z$3,実績!$AC$6:$AC$505,"&lt;="&amp;$A218,実績!$AD$6:$AD$505,"&gt;"&amp;$A218,実績!$AE$6:$AE$505,"○")&gt;0,1,0))</f>
        <v/>
      </c>
      <c r="AA218">
        <f>IF(AA$4=0,0,IF(COUNTIFS(実績!$W$6:$W$505,AA$3,実績!$AC$6:$AC$505,"&lt;="&amp;$A218,実績!$AD$6:$AD$505,"&gt;"&amp;$A218,実績!$AE$6:$AE$505,"○")&gt;0,1,0))</f>
        <v/>
      </c>
      <c r="AB218">
        <f>IF(AB$4=0,0,IF(COUNTIFS(実績!$W$6:$W$505,AB$3,実績!$AC$6:$AC$505,"&lt;="&amp;$A218,実績!$AD$6:$AD$505,"&gt;"&amp;$A218,実績!$AE$6:$AE$505,"○")&gt;0,1,0))</f>
        <v/>
      </c>
      <c r="AC218">
        <f>IF(AC$4=0,0,IF(COUNTIFS(実績!$W$6:$W$505,AC$3,実績!$AC$6:$AC$505,"&lt;="&amp;$A218,実績!$AD$6:$AD$505,"&gt;"&amp;$A218,実績!$AE$6:$AE$505,"○")&gt;0,1,0))</f>
        <v/>
      </c>
      <c r="AD218">
        <f>IF(AD$4=0,0,IF(COUNTIFS(実績!$W$6:$W$505,AD$3,実績!$AC$6:$AC$505,"&lt;="&amp;$A218,実績!$AD$6:$AD$505,"&gt;"&amp;$A218,実績!$AE$6:$AE$505,"○")&gt;0,1,0))</f>
        <v/>
      </c>
      <c r="AE218">
        <f>IF(AE$4=0,0,IF(COUNTIFS(実績!$W$6:$W$505,AE$3,実績!$AC$6:$AC$505,"&lt;="&amp;$A218,実績!$AD$6:$AD$505,"&gt;"&amp;$A218,実績!$AE$6:$AE$505,"○")&gt;0,1,0))</f>
        <v/>
      </c>
      <c r="AF218">
        <f>IF(AF$4=0,0,IF(COUNTIFS(実績!$W$6:$W$505,AF$3,実績!$AC$6:$AC$505,"&lt;="&amp;$A218,実績!$AD$6:$AD$505,"&gt;"&amp;$A218,実績!$AE$6:$AE$505,"○")&gt;0,1,0))</f>
        <v/>
      </c>
      <c r="AG218">
        <f>IF(AG$4=0,0,IF(COUNTIFS(実績!$W$6:$W$505,AG$3,実績!$AC$6:$AC$505,"&lt;="&amp;$A218,実績!$AD$6:$AD$505,"&gt;"&amp;$A218,実績!$AE$6:$AE$505,"○")&gt;0,1,0))</f>
        <v/>
      </c>
      <c r="AH218">
        <f>IF(AH$4=0,0,IF(COUNTIFS(実績!$W$6:$W$505,AH$3,実績!$AC$6:$AC$505,"&lt;="&amp;$A218,実績!$AD$6:$AD$505,"&gt;"&amp;$A218,実績!$AE$6:$AE$505,"○")&gt;0,1,0))</f>
        <v/>
      </c>
      <c r="AI218">
        <f>IF(AI$4=0,0,IF(COUNTIFS(実績!$W$6:$W$505,AI$3,実績!$AC$6:$AC$505,"&lt;="&amp;$A218,実績!$AD$6:$AD$505,"&gt;"&amp;$A218,実績!$AE$6:$AE$505,"○")&gt;0,1,0))</f>
        <v/>
      </c>
      <c r="AJ218">
        <f>IF(AJ$4=0,0,IF(COUNTIFS(実績!$W$6:$W$505,AJ$3,実績!$AC$6:$AC$505,"&lt;="&amp;$A218,実績!$AD$6:$AD$505,"&gt;"&amp;$A218,実績!$AE$6:$AE$505,"○")&gt;0,1,0))</f>
        <v/>
      </c>
      <c r="AK218">
        <f>IF(AK$4=0,0,IF(COUNTIFS(実績!$W$6:$W$505,AK$3,実績!$AC$6:$AC$505,"&lt;="&amp;$A218,実績!$AD$6:$AD$505,"&gt;"&amp;$A218,実績!$AE$6:$AE$505,"○")&gt;0,1,0))</f>
        <v/>
      </c>
      <c r="AL218">
        <f>IF(AL$4=0,0,IF(COUNTIFS(実績!$W$6:$W$505,AL$3,実績!$AC$6:$AC$505,"&lt;="&amp;$A218,実績!$AD$6:$AD$505,"&gt;"&amp;$A218,実績!$AE$6:$AE$505,"○")&gt;0,1,0))</f>
        <v/>
      </c>
      <c r="AM218">
        <f>IF(AM$4=0,0,IF(COUNTIFS(実績!$W$6:$W$505,AM$3,実績!$AC$6:$AC$505,"&lt;="&amp;$A218,実績!$AD$6:$AD$505,"&gt;"&amp;$A218,実績!$AE$6:$AE$505,"○")&gt;0,1,0))</f>
        <v/>
      </c>
      <c r="AN218">
        <f>IF(AN$4=0,0,IF(COUNTIFS(実績!$W$6:$W$505,AN$3,実績!$AC$6:$AC$505,"&lt;="&amp;$A218,実績!$AD$6:$AD$505,"&gt;"&amp;$A218,実績!$AE$6:$AE$505,"○")&gt;0,1,0))</f>
        <v/>
      </c>
      <c r="AO218">
        <f>IF(AO$4=0,0,IF(COUNTIFS(実績!$W$6:$W$505,AO$3,実績!$AC$6:$AC$505,"&lt;="&amp;$A218,実績!$AD$6:$AD$505,"&gt;"&amp;$A218,実績!$AE$6:$AE$505,"○")&gt;0,1,0))</f>
        <v/>
      </c>
      <c r="AP218">
        <f>IF(AP$4=0,0,IF(COUNTIFS(実績!$W$6:$W$505,AP$3,実績!$AC$6:$AC$505,"&lt;="&amp;$A218,実績!$AD$6:$AD$505,"&gt;"&amp;$A218,実績!$AE$6:$AE$505,"○")&gt;0,1,0))</f>
        <v/>
      </c>
      <c r="AQ218">
        <f>IF(AQ$4=0,0,IF(COUNTIFS(実績!$W$6:$W$505,AQ$3,実績!$AC$6:$AC$505,"&lt;="&amp;$A218,実績!$AD$6:$AD$505,"&gt;"&amp;$A218,実績!$AE$6:$AE$505,"○")&gt;0,1,0))</f>
        <v/>
      </c>
      <c r="AR218">
        <f>IF(AR$4=0,0,IF(COUNTIFS(実績!$W$6:$W$505,AR$3,実績!$AC$6:$AC$505,"&lt;="&amp;$A218,実績!$AD$6:$AD$505,"&gt;"&amp;$A218,実績!$AE$6:$AE$505,"○")&gt;0,1,0))</f>
        <v/>
      </c>
      <c r="AS218">
        <f>IF(AS$4=0,0,IF(COUNTIFS(実績!$W$6:$W$505,AS$3,実績!$AC$6:$AC$505,"&lt;="&amp;$A218,実績!$AD$6:$AD$505,"&gt;"&amp;$A218,実績!$AE$6:$AE$505,"○")&gt;0,1,0))</f>
        <v/>
      </c>
      <c r="AT218">
        <f>IF(AT$4=0,0,IF(COUNTIFS(実績!$W$6:$W$505,AT$3,実績!$AC$6:$AC$505,"&lt;="&amp;$A218,実績!$AD$6:$AD$505,"&gt;"&amp;$A218,実績!$AE$6:$AE$505,"○")&gt;0,1,0))</f>
        <v/>
      </c>
      <c r="AU218">
        <f>IF(AU$4=0,0,IF(COUNTIFS(実績!$W$6:$W$505,AU$3,実績!$AC$6:$AC$505,"&lt;="&amp;$A218,実績!$AD$6:$AD$505,"&gt;"&amp;$A218,実績!$AE$6:$AE$505,"○")&gt;0,1,0))</f>
        <v/>
      </c>
      <c r="AV218">
        <f>IF(AV$4=0,0,IF(COUNTIFS(実績!$W$6:$W$505,AV$3,実績!$AC$6:$AC$505,"&lt;="&amp;$A218,実績!$AD$6:$AD$505,"&gt;"&amp;$A218,実績!$AE$6:$AE$505,"○")&gt;0,1,0))</f>
        <v/>
      </c>
      <c r="AW218">
        <f>IF(AW$4=0,0,IF(COUNTIFS(実績!$W$6:$W$505,AW$3,実績!$AC$6:$AC$505,"&lt;="&amp;$A218,実績!$AD$6:$AD$505,"&gt;"&amp;$A218,実績!$AE$6:$AE$505,"○")&gt;0,1,0))</f>
        <v/>
      </c>
      <c r="AX218">
        <f>IF(AX$4=0,0,IF(COUNTIFS(実績!$W$6:$W$505,AX$3,実績!$AC$6:$AC$505,"&lt;="&amp;$A218,実績!$AD$6:$AD$505,"&gt;"&amp;$A218,実績!$AE$6:$AE$505,"○")&gt;0,1,0))</f>
        <v/>
      </c>
      <c r="AY218">
        <f>IF(AY$4=0,0,IF(COUNTIFS(実績!$W$6:$W$505,AY$3,実績!$AC$6:$AC$505,"&lt;="&amp;$A218,実績!$AD$6:$AD$505,"&gt;"&amp;$A218,実績!$AE$6:$AE$505,"○")&gt;0,1,0))</f>
        <v/>
      </c>
      <c r="AZ218">
        <f>IF(AZ$4=0,0,IF(COUNTIFS(実績!$W$6:$W$505,AZ$3,実績!$AC$6:$AC$505,"&lt;="&amp;$A218,実績!$AD$6:$AD$505,"&gt;"&amp;$A218,実績!$AE$6:$AE$505,"○")&gt;0,1,0))</f>
        <v/>
      </c>
      <c r="BA218">
        <f>IF(BA$4=0,0,IF(COUNTIFS(実績!$W$6:$W$505,BA$3,実績!$AC$6:$AC$505,"&lt;="&amp;$A218,実績!$AD$6:$AD$505,"&gt;"&amp;$A218,実績!$AE$6:$AE$505,"○")&gt;0,1,0))</f>
        <v/>
      </c>
      <c r="BB218">
        <f>IF(BB$4=0,0,IF(COUNTIFS(実績!$W$6:$W$505,BB$3,実績!$AC$6:$AC$505,"&lt;="&amp;$A218,実績!$AD$6:$AD$505,"&gt;"&amp;$A218,実績!$AE$6:$AE$505,"○")&gt;0,1,0))</f>
        <v/>
      </c>
      <c r="BC218">
        <f>IF(BC$4=0,0,IF(COUNTIFS(実績!$W$6:$W$505,BC$3,実績!$AC$6:$AC$505,"&lt;="&amp;$A218,実績!$AD$6:$AD$505,"&gt;"&amp;$A218,実績!$AE$6:$AE$505,"○")&gt;0,1,0))</f>
        <v/>
      </c>
      <c r="BD218">
        <f>IF(BD$4=0,0,IF(COUNTIFS(実績!$W$6:$W$505,BD$3,実績!$AC$6:$AC$505,"&lt;="&amp;$A218,実績!$AD$6:$AD$505,"&gt;"&amp;$A218,実績!$AE$6:$AE$505,"○")&gt;0,1,0))</f>
        <v/>
      </c>
      <c r="BE218">
        <f>IF(BE$4=0,0,IF(COUNTIFS(実績!$W$6:$W$505,BE$3,実績!$AC$6:$AC$505,"&lt;="&amp;$A218,実績!$AD$6:$AD$505,"&gt;"&amp;$A218,実績!$AE$6:$AE$505,"○")&gt;0,1,0))</f>
        <v/>
      </c>
      <c r="BF218">
        <f>IF(BF$4=0,0,IF(COUNTIFS(実績!$W$6:$W$505,BF$3,実績!$AC$6:$AC$505,"&lt;="&amp;$A218,実績!$AD$6:$AD$505,"&gt;"&amp;$A218,実績!$AE$6:$AE$505,"○")&gt;0,1,0))</f>
        <v/>
      </c>
      <c r="BG218">
        <f>IF(BG$4=0,0,IF(COUNTIFS(実績!$W$6:$W$505,BG$3,実績!$AC$6:$AC$505,"&lt;="&amp;$A218,実績!$AD$6:$AD$505,"&gt;"&amp;$A218,実績!$AE$6:$AE$505,"○")&gt;0,1,0))</f>
        <v/>
      </c>
      <c r="BH218">
        <f>IF(BH$4=0,0,IF(COUNTIFS(実績!$W$6:$W$505,BH$3,実績!$AC$6:$AC$505,"&lt;="&amp;$A218,実績!$AD$6:$AD$505,"&gt;"&amp;$A218,実績!$AE$6:$AE$505,"○")&gt;0,1,0))</f>
        <v/>
      </c>
      <c r="BI218">
        <f>IF(BI$4=0,0,IF(COUNTIFS(実績!$W$6:$W$505,BI$3,実績!$AC$6:$AC$505,"&lt;="&amp;$A218,実績!$AD$6:$AD$505,"&gt;"&amp;$A218,実績!$AE$6:$AE$505,"○")&gt;0,1,0))</f>
        <v/>
      </c>
      <c r="BJ218">
        <f>IF(BJ$4=0,0,IF(COUNTIFS(実績!$W$6:$W$505,BJ$3,実績!$AC$6:$AC$505,"&lt;="&amp;$A218,実績!$AD$6:$AD$505,"&gt;"&amp;$A218,実績!$AE$6:$AE$505,"○")&gt;0,1,0))</f>
        <v/>
      </c>
      <c r="BK218">
        <f>IF(BK$4=0,0,IF(COUNTIFS(実績!$W$6:$W$505,BK$3,実績!$AC$6:$AC$505,"&lt;="&amp;$A218,実績!$AD$6:$AD$505,"&gt;"&amp;$A218,実績!$AE$6:$AE$505,"○")&gt;0,1,0))</f>
        <v/>
      </c>
      <c r="BL218">
        <f>IF(BL$4=0,0,IF(COUNTIFS(実績!$W$6:$W$505,BL$3,実績!$AC$6:$AC$505,"&lt;="&amp;$A218,実績!$AD$6:$AD$505,"&gt;"&amp;$A218,実績!$AE$6:$AE$505,"○")&gt;0,1,0))</f>
        <v/>
      </c>
      <c r="BM218">
        <f>IF(BM$4=0,0,IF(COUNTIFS(実績!$W$6:$W$505,BM$3,実績!$AC$6:$AC$505,"&lt;="&amp;$A218,実績!$AD$6:$AD$505,"&gt;"&amp;$A218,実績!$AE$6:$AE$505,"○")&gt;0,1,0))</f>
        <v/>
      </c>
      <c r="BN218">
        <f>IF(BN$4=0,0,IF(COUNTIFS(実績!$W$6:$W$505,BN$3,実績!$AC$6:$AC$505,"&lt;="&amp;$A218,実績!$AD$6:$AD$505,"&gt;"&amp;$A218,実績!$AE$6:$AE$505,"○")&gt;0,1,0))</f>
        <v/>
      </c>
      <c r="BO218">
        <f>IF(BO$4=0,0,IF(COUNTIFS(実績!$W$6:$W$505,BO$3,実績!$AC$6:$AC$505,"&lt;="&amp;$A218,実績!$AD$6:$AD$505,"&gt;"&amp;$A218,実績!$AE$6:$AE$505,"○")&gt;0,1,0))</f>
        <v/>
      </c>
      <c r="BP218">
        <f>IF(BP$4=0,0,IF(COUNTIFS(実績!$W$6:$W$505,BP$3,実績!$AC$6:$AC$505,"&lt;="&amp;$A218,実績!$AD$6:$AD$505,"&gt;"&amp;$A218,実績!$AE$6:$AE$505,"○")&gt;0,1,0))</f>
        <v/>
      </c>
      <c r="BQ218">
        <f>IF(BQ$4=0,0,IF(COUNTIFS(実績!$W$6:$W$505,BQ$3,実績!$AC$6:$AC$505,"&lt;="&amp;$A218,実績!$AD$6:$AD$505,"&gt;"&amp;$A218,実績!$AE$6:$AE$505,"○")&gt;0,1,0))</f>
        <v/>
      </c>
      <c r="BR218">
        <f>IF(BR$4=0,0,IF(COUNTIFS(実績!$W$6:$W$505,BR$3,実績!$AC$6:$AC$505,"&lt;="&amp;$A218,実績!$AD$6:$AD$505,"&gt;"&amp;$A218,実績!$AE$6:$AE$505,"○")&gt;0,1,0))</f>
        <v/>
      </c>
      <c r="BS218">
        <f>IF(BS$4=0,0,IF(COUNTIFS(実績!$W$6:$W$505,BS$3,実績!$AC$6:$AC$505,"&lt;="&amp;$A218,実績!$AD$6:$AD$505,"&gt;"&amp;$A218,実績!$AE$6:$AE$505,"○")&gt;0,1,0))</f>
        <v/>
      </c>
      <c r="BT218">
        <f>IF(BT$4=0,0,IF(COUNTIFS(実績!$W$6:$W$505,BT$3,実績!$AC$6:$AC$505,"&lt;="&amp;$A218,実績!$AD$6:$AD$505,"&gt;"&amp;$A218,実績!$AE$6:$AE$505,"○")&gt;0,1,0))</f>
        <v/>
      </c>
      <c r="BU218">
        <f>IF(BU$4=0,0,IF(COUNTIFS(実績!$W$6:$W$505,BU$3,実績!$AC$6:$AC$505,"&lt;="&amp;$A218,実績!$AD$6:$AD$505,"&gt;"&amp;$A218,実績!$AE$6:$AE$505,"○")&gt;0,1,0))</f>
        <v/>
      </c>
      <c r="BV218">
        <f>IF(BV$4=0,0,IF(COUNTIFS(実績!$W$6:$W$505,BV$3,実績!$AC$6:$AC$505,"&lt;="&amp;$A218,実績!$AD$6:$AD$505,"&gt;"&amp;$A218,実績!$AE$6:$AE$505,"○")&gt;0,1,0))</f>
        <v/>
      </c>
      <c r="BW218">
        <f>IF(BW$4=0,0,IF(COUNTIFS(実績!$W$6:$W$505,BW$3,実績!$AC$6:$AC$505,"&lt;="&amp;$A218,実績!$AD$6:$AD$505,"&gt;"&amp;$A218,実績!$AE$6:$AE$505,"○")&gt;0,1,0))</f>
        <v/>
      </c>
      <c r="BX218">
        <f>IF(BX$4=0,0,IF(COUNTIFS(実績!$W$6:$W$505,BX$3,実績!$AC$6:$AC$505,"&lt;="&amp;$A218,実績!$AD$6:$AD$505,"&gt;"&amp;$A218,実績!$AE$6:$AE$505,"○")&gt;0,1,0))</f>
        <v/>
      </c>
      <c r="BY218">
        <f>IF(BY$4=0,0,IF(COUNTIFS(実績!$W$6:$W$505,BY$3,実績!$AC$6:$AC$505,"&lt;="&amp;$A218,実績!$AD$6:$AD$505,"&gt;"&amp;$A218,実績!$AE$6:$AE$505,"○")&gt;0,1,0))</f>
        <v/>
      </c>
      <c r="BZ218">
        <f>IF(BZ$4=0,0,IF(COUNTIFS(実績!$W$6:$W$505,BZ$3,実績!$AC$6:$AC$505,"&lt;="&amp;$A218,実績!$AD$6:$AD$505,"&gt;"&amp;$A218,実績!$AE$6:$AE$505,"○")&gt;0,1,0))</f>
        <v/>
      </c>
      <c r="CA218">
        <f>IF(CA$4=0,0,IF(COUNTIFS(実績!$W$6:$W$505,CA$3,実績!$AC$6:$AC$505,"&lt;="&amp;$A218,実績!$AD$6:$AD$505,"&gt;"&amp;$A218,実績!$AE$6:$AE$505,"○")&gt;0,1,0))</f>
        <v/>
      </c>
      <c r="CB218">
        <f>IF(CB$4=0,0,IF(COUNTIFS(実績!$W$6:$W$505,CB$3,実績!$AC$6:$AC$505,"&lt;="&amp;$A218,実績!$AD$6:$AD$505,"&gt;"&amp;$A218,実績!$AE$6:$AE$505,"○")&gt;0,1,0))</f>
        <v/>
      </c>
      <c r="CC218">
        <f>IF(CC$4=0,0,IF(COUNTIFS(実績!$W$6:$W$505,CC$3,実績!$AC$6:$AC$505,"&lt;="&amp;$A218,実績!$AD$6:$AD$505,"&gt;"&amp;$A218,実績!$AE$6:$AE$505,"○")&gt;0,1,0))</f>
        <v/>
      </c>
      <c r="CD218">
        <f>IF(CD$4=0,0,IF(COUNTIFS(実績!$W$6:$W$505,CD$3,実績!$AC$6:$AC$505,"&lt;="&amp;$A218,実績!$AD$6:$AD$505,"&gt;"&amp;$A218,実績!$AE$6:$AE$505,"○")&gt;0,1,0))</f>
        <v/>
      </c>
      <c r="CE218">
        <f>IF(CE$4=0,0,IF(COUNTIFS(実績!$W$6:$W$505,CE$3,実績!$AC$6:$AC$505,"&lt;="&amp;$A218,実績!$AD$6:$AD$505,"&gt;"&amp;$A218,実績!$AE$6:$AE$505,"○")&gt;0,1,0))</f>
        <v/>
      </c>
      <c r="CF218">
        <f>IF(CF$4=0,0,IF(COUNTIFS(実績!$W$6:$W$505,CF$3,実績!$AC$6:$AC$505,"&lt;="&amp;$A218,実績!$AD$6:$AD$505,"&gt;"&amp;$A218,実績!$AE$6:$AE$505,"○")&gt;0,1,0))</f>
        <v/>
      </c>
      <c r="CG218">
        <f>IF(CG$4=0,0,IF(COUNTIFS(実績!$W$6:$W$505,CG$3,実績!$AC$6:$AC$505,"&lt;="&amp;$A218,実績!$AD$6:$AD$505,"&gt;"&amp;$A218,実績!$AE$6:$AE$505,"○")&gt;0,1,0))</f>
        <v/>
      </c>
      <c r="CH218">
        <f>IF(CH$4=0,0,IF(COUNTIFS(実績!$W$6:$W$505,CH$3,実績!$AC$6:$AC$505,"&lt;="&amp;$A218,実績!$AD$6:$AD$505,"&gt;"&amp;$A218,実績!$AE$6:$AE$505,"○")&gt;0,1,0))</f>
        <v/>
      </c>
      <c r="CI218">
        <f>IF(CI$4=0,0,IF(COUNTIFS(実績!$W$6:$W$505,CI$3,実績!$AC$6:$AC$505,"&lt;="&amp;$A218,実績!$AD$6:$AD$505,"&gt;"&amp;$A218,実績!$AE$6:$AE$505,"○")&gt;0,1,0))</f>
        <v/>
      </c>
      <c r="CJ218">
        <f>IF(CJ$4=0,0,IF(COUNTIFS(実績!$W$6:$W$505,CJ$3,実績!$AC$6:$AC$505,"&lt;="&amp;$A218,実績!$AD$6:$AD$505,"&gt;"&amp;$A218,実績!$AE$6:$AE$505,"○")&gt;0,1,0))</f>
        <v/>
      </c>
      <c r="CK218">
        <f>IF(CK$4=0,0,IF(COUNTIFS(実績!$W$6:$W$505,CK$3,実績!$AC$6:$AC$505,"&lt;="&amp;$A218,実績!$AD$6:$AD$505,"&gt;"&amp;$A218,実績!$AE$6:$AE$505,"○")&gt;0,1,0))</f>
        <v/>
      </c>
      <c r="CL218">
        <f>IF(CL$4=0,0,IF(COUNTIFS(実績!$W$6:$W$505,CL$3,実績!$AC$6:$AC$505,"&lt;="&amp;$A218,実績!$AD$6:$AD$505,"&gt;"&amp;$A218,実績!$AE$6:$AE$505,"○")&gt;0,1,0))</f>
        <v/>
      </c>
      <c r="CM218">
        <f>IF(CM$4=0,0,IF(COUNTIFS(実績!$W$6:$W$505,CM$3,実績!$AC$6:$AC$505,"&lt;="&amp;$A218,実績!$AD$6:$AD$505,"&gt;"&amp;$A218,実績!$AE$6:$AE$505,"○")&gt;0,1,0))</f>
        <v/>
      </c>
      <c r="CN218">
        <f>IF(CN$4=0,0,IF(COUNTIFS(実績!$W$6:$W$505,CN$3,実績!$AC$6:$AC$505,"&lt;="&amp;$A218,実績!$AD$6:$AD$505,"&gt;"&amp;$A218,実績!$AE$6:$AE$505,"○")&gt;0,1,0))</f>
        <v/>
      </c>
      <c r="CO218">
        <f>IF(CO$4=0,0,IF(COUNTIFS(実績!$W$6:$W$505,CO$3,実績!$AC$6:$AC$505,"&lt;="&amp;$A218,実績!$AD$6:$AD$505,"&gt;"&amp;$A218,実績!$AE$6:$AE$505,"○")&gt;0,1,0))</f>
        <v/>
      </c>
      <c r="CP218">
        <f>IF(CP$4=0,0,IF(COUNTIFS(実績!$W$6:$W$505,CP$3,実績!$AC$6:$AC$505,"&lt;="&amp;$A218,実績!$AD$6:$AD$505,"&gt;"&amp;$A218,実績!$AE$6:$AE$505,"○")&gt;0,1,0))</f>
        <v/>
      </c>
      <c r="CQ218">
        <f>IF(CQ$4=0,0,IF(COUNTIFS(実績!$W$6:$W$505,CQ$3,実績!$AC$6:$AC$505,"&lt;="&amp;$A218,実績!$AD$6:$AD$505,"&gt;"&amp;$A218,実績!$AE$6:$AE$505,"○")&gt;0,1,0))</f>
        <v/>
      </c>
      <c r="CR218">
        <f>IF(CR$4=0,0,IF(COUNTIFS(実績!$W$6:$W$505,CR$3,実績!$AC$6:$AC$505,"&lt;="&amp;$A218,実績!$AD$6:$AD$505,"&gt;"&amp;$A218,実績!$AE$6:$AE$505,"○")&gt;0,1,0))</f>
        <v/>
      </c>
      <c r="CS218">
        <f>IF(CS$4=0,0,IF(COUNTIFS(実績!$W$6:$W$505,CS$3,実績!$AC$6:$AC$505,"&lt;="&amp;$A218,実績!$AD$6:$AD$505,"&gt;"&amp;$A218,実績!$AE$6:$AE$505,"○")&gt;0,1,0))</f>
        <v/>
      </c>
      <c r="CT218">
        <f>IF(CT$4=0,0,IF(COUNTIFS(実績!$W$6:$W$505,CT$3,実績!$AC$6:$AC$505,"&lt;="&amp;$A218,実績!$AD$6:$AD$505,"&gt;"&amp;$A218,実績!$AE$6:$AE$505,"○")&gt;0,1,0))</f>
        <v/>
      </c>
      <c r="CU218">
        <f>IF(CU$4=0,0,IF(COUNTIFS(実績!$W$6:$W$505,CU$3,実績!$AC$6:$AC$505,"&lt;="&amp;$A218,実績!$AD$6:$AD$505,"&gt;"&amp;$A218,実績!$AE$6:$AE$505,"○")&gt;0,1,0))</f>
        <v/>
      </c>
      <c r="CV218">
        <f>IF(CV$4=0,0,IF(COUNTIFS(実績!$W$6:$W$505,CV$3,実績!$AC$6:$AC$505,"&lt;="&amp;$A218,実績!$AD$6:$AD$505,"&gt;"&amp;$A218,実績!$AE$6:$AE$505,"○")&gt;0,1,0))</f>
        <v/>
      </c>
      <c r="CW218">
        <f>IF(CW$4=0,0,IF(COUNTIFS(実績!$W$6:$W$505,CW$3,実績!$AC$6:$AC$505,"&lt;="&amp;$A218,実績!$AD$6:$AD$505,"&gt;"&amp;$A218,実績!$AE$6:$AE$505,"○")&gt;0,1,0))</f>
        <v/>
      </c>
      <c r="CX218">
        <f>IF(CX$4=0,0,IF(COUNTIFS(実績!$W$6:$W$505,CX$3,実績!$AC$6:$AC$505,"&lt;="&amp;$A218,実績!$AD$6:$AD$505,"&gt;"&amp;$A218,実績!$AE$6:$AE$505,"○")&gt;0,1,0))</f>
        <v/>
      </c>
      <c r="CY218">
        <f>IF(CY$4=0,0,IF(COUNTIFS(実績!$W$6:$W$505,CY$3,実績!$AC$6:$AC$505,"&lt;="&amp;$A218,実績!$AD$6:$AD$505,"&gt;"&amp;$A218,実績!$AE$6:$AE$505,"○")&gt;0,1,0))</f>
        <v/>
      </c>
      <c r="CZ218">
        <f>IF(CZ$4=0,0,IF(COUNTIFS(実績!$W$6:$W$505,CZ$3,実績!$AC$6:$AC$505,"&lt;="&amp;$A218,実績!$AD$6:$AD$505,"&gt;"&amp;$A218,実績!$AE$6:$AE$505,"○")&gt;0,1,0))</f>
        <v/>
      </c>
      <c r="DA218">
        <f>IF(DA$4=0,0,IF(COUNTIFS(実績!$W$6:$W$505,DA$3,実績!$AC$6:$AC$505,"&lt;="&amp;$A218,実績!$AD$6:$AD$505,"&gt;"&amp;$A218,実績!$AE$6:$AE$505,"○")&gt;0,1,0))</f>
        <v/>
      </c>
      <c r="DB218">
        <f>IF(DB$4=0,0,IF(COUNTIFS(実績!$W$6:$W$505,DB$3,実績!$AC$6:$AC$505,"&lt;="&amp;$A218,実績!$AD$6:$AD$505,"&gt;"&amp;$A218,実績!$AE$6:$AE$505,"○")&gt;0,1,0))</f>
        <v/>
      </c>
      <c r="DC218">
        <f>IF(DC$4=0,0,IF(COUNTIFS(実績!$W$6:$W$505,DC$3,実績!$AC$6:$AC$505,"&lt;="&amp;$A218,実績!$AD$6:$AD$505,"&gt;"&amp;$A218,実績!$AE$6:$AE$505,"○")&gt;0,1,0))</f>
        <v/>
      </c>
      <c r="DD218">
        <f>IF(DD$4=0,0,IF(COUNTIFS(実績!$W$6:$W$505,DD$3,実績!$AC$6:$AC$505,"&lt;="&amp;$A218,実績!$AD$6:$AD$505,"&gt;"&amp;$A218,実績!$AE$6:$AE$505,"○")&gt;0,1,0))</f>
        <v/>
      </c>
      <c r="DE218">
        <f>IF(DE$4=0,0,IF(COUNTIFS(実績!$W$6:$W$505,DE$3,実績!$AC$6:$AC$505,"&lt;="&amp;$A218,実績!$AD$6:$AD$505,"&gt;"&amp;$A218,実績!$AE$6:$AE$505,"○")&gt;0,1,0))</f>
        <v/>
      </c>
      <c r="DF218">
        <f>IF(DF$4=0,0,IF(COUNTIFS(実績!$W$6:$W$505,DF$3,実績!$AC$6:$AC$505,"&lt;="&amp;$A218,実績!$AD$6:$AD$505,"&gt;"&amp;$A218,実績!$AE$6:$AE$505,"○")&gt;0,1,0))</f>
        <v/>
      </c>
      <c r="DG218">
        <f>IF(DG$4=0,0,IF(COUNTIFS(実績!$W$6:$W$505,DG$3,実績!$AC$6:$AC$505,"&lt;="&amp;$A218,実績!$AD$6:$AD$505,"&gt;"&amp;$A218,実績!$AE$6:$AE$505,"○")&gt;0,1,0))</f>
        <v/>
      </c>
      <c r="DH218">
        <f>IF(DH$4=0,0,IF(COUNTIFS(実績!$W$6:$W$505,DH$3,実績!$AC$6:$AC$505,"&lt;="&amp;$A218,実績!$AD$6:$AD$505,"&gt;"&amp;$A218,実績!$AE$6:$AE$505,"○")&gt;0,1,0))</f>
        <v/>
      </c>
      <c r="DI218">
        <f>IF(DI$4=0,0,IF(COUNTIFS(実績!$W$6:$W$505,DI$3,実績!$AC$6:$AC$505,"&lt;="&amp;$A218,実績!$AD$6:$AD$505,"&gt;"&amp;$A218,実績!$AE$6:$AE$505,"○")&gt;0,1,0))</f>
        <v/>
      </c>
      <c r="DJ218">
        <f>IF(DJ$4=0,0,IF(COUNTIFS(実績!$W$6:$W$505,DJ$3,実績!$AC$6:$AC$505,"&lt;="&amp;$A218,実績!$AD$6:$AD$505,"&gt;"&amp;$A218,実績!$AE$6:$AE$505,"○")&gt;0,1,0))</f>
        <v/>
      </c>
      <c r="DK218">
        <f>IF(DK$4=0,0,IF(COUNTIFS(実績!$W$6:$W$505,DK$3,実績!$AC$6:$AC$505,"&lt;="&amp;$A218,実績!$AD$6:$AD$505,"&gt;"&amp;$A218,実績!$AE$6:$AE$505,"○")&gt;0,1,0))</f>
        <v/>
      </c>
      <c r="DL218">
        <f>IF(DL$4=0,0,IF(COUNTIFS(実績!$W$6:$W$505,DL$3,実績!$AC$6:$AC$505,"&lt;="&amp;$A218,実績!$AD$6:$AD$505,"&gt;"&amp;$A218,実績!$AE$6:$AE$505,"○")&gt;0,1,0))</f>
        <v/>
      </c>
      <c r="DM218">
        <f>IF(DM$4=0,0,IF(COUNTIFS(実績!$W$6:$W$505,DM$3,実績!$AC$6:$AC$505,"&lt;="&amp;$A218,実績!$AD$6:$AD$505,"&gt;"&amp;$A218,実績!$AE$6:$AE$505,"○")&gt;0,1,0))</f>
        <v/>
      </c>
      <c r="DN218">
        <f>IF(DN$4=0,0,IF(COUNTIFS(実績!$W$6:$W$505,DN$3,実績!$AC$6:$AC$505,"&lt;="&amp;$A218,実績!$AD$6:$AD$505,"&gt;"&amp;$A218,実績!$AE$6:$AE$505,"○")&gt;0,1,0))</f>
        <v/>
      </c>
      <c r="DO218">
        <f>IF(DO$4=0,0,IF(COUNTIFS(実績!$W$6:$W$505,DO$3,実績!$AC$6:$AC$505,"&lt;="&amp;$A218,実績!$AD$6:$AD$505,"&gt;"&amp;$A218,実績!$AE$6:$AE$505,"○")&gt;0,1,0))</f>
        <v/>
      </c>
      <c r="DP218">
        <f>IF(DP$4=0,0,IF(COUNTIFS(実績!$W$6:$W$505,DP$3,実績!$AC$6:$AC$505,"&lt;="&amp;$A218,実績!$AD$6:$AD$505,"&gt;"&amp;$A218,実績!$AE$6:$AE$505,"○")&gt;0,1,0))</f>
        <v/>
      </c>
      <c r="DQ218">
        <f>IF(DQ$4=0,0,IF(COUNTIFS(実績!$W$6:$W$505,DQ$3,実績!$AC$6:$AC$505,"&lt;="&amp;$A218,実績!$AD$6:$AD$505,"&gt;"&amp;$A218,実績!$AE$6:$AE$505,"○")&gt;0,1,0))</f>
        <v/>
      </c>
      <c r="DR218">
        <f>IF(DR$4=0,0,IF(COUNTIFS(実績!$W$6:$W$505,DR$3,実績!$AC$6:$AC$505,"&lt;="&amp;$A218,実績!$AD$6:$AD$505,"&gt;"&amp;$A218,実績!$AE$6:$AE$505,"○")&gt;0,1,0))</f>
        <v/>
      </c>
      <c r="DS218">
        <f>SUM(C218:DR218)</f>
        <v/>
      </c>
      <c r="DT218">
        <f>SUMPRODUCT((実績!$C$6:$C$505="○")*ISNUMBER(実績!$AF$6:$AF$505)*(実績!$AF$6:$AF$505&lt;=$A218)*(実績!$AG$6:$AG$505&gt;$A218))</f>
        <v/>
      </c>
      <c r="DU218">
        <f>SUMIF($C$2:$DR$2,"製鉄曳船",C218:DR218)</f>
        <v/>
      </c>
      <c r="DV218">
        <f>SUMIF($C$2:$DR$2,"西日本海運",C218:DR218)</f>
        <v/>
      </c>
    </row>
    <row r="219">
      <c r="A219" t="n">
        <v>1065</v>
      </c>
      <c r="B219" s="29">
        <f>A219/1440</f>
        <v/>
      </c>
      <c r="C219">
        <f>IF(C$4=0,0,IF(COUNTIFS(実績!$W$6:$W$505,C$3,実績!$AC$6:$AC$505,"&lt;="&amp;$A219,実績!$AD$6:$AD$505,"&gt;"&amp;$A219,実績!$AE$6:$AE$505,"○")&gt;0,1,0))</f>
        <v/>
      </c>
      <c r="D219">
        <f>IF(D$4=0,0,IF(COUNTIFS(実績!$W$6:$W$505,D$3,実績!$AC$6:$AC$505,"&lt;="&amp;$A219,実績!$AD$6:$AD$505,"&gt;"&amp;$A219,実績!$AE$6:$AE$505,"○")&gt;0,1,0))</f>
        <v/>
      </c>
      <c r="E219">
        <f>IF(E$4=0,0,IF(COUNTIFS(実績!$W$6:$W$505,E$3,実績!$AC$6:$AC$505,"&lt;="&amp;$A219,実績!$AD$6:$AD$505,"&gt;"&amp;$A219,実績!$AE$6:$AE$505,"○")&gt;0,1,0))</f>
        <v/>
      </c>
      <c r="F219">
        <f>IF(F$4=0,0,IF(COUNTIFS(実績!$W$6:$W$505,F$3,実績!$AC$6:$AC$505,"&lt;="&amp;$A219,実績!$AD$6:$AD$505,"&gt;"&amp;$A219,実績!$AE$6:$AE$505,"○")&gt;0,1,0))</f>
        <v/>
      </c>
      <c r="G219">
        <f>IF(G$4=0,0,IF(COUNTIFS(実績!$W$6:$W$505,G$3,実績!$AC$6:$AC$505,"&lt;="&amp;$A219,実績!$AD$6:$AD$505,"&gt;"&amp;$A219,実績!$AE$6:$AE$505,"○")&gt;0,1,0))</f>
        <v/>
      </c>
      <c r="H219">
        <f>IF(H$4=0,0,IF(COUNTIFS(実績!$W$6:$W$505,H$3,実績!$AC$6:$AC$505,"&lt;="&amp;$A219,実績!$AD$6:$AD$505,"&gt;"&amp;$A219,実績!$AE$6:$AE$505,"○")&gt;0,1,0))</f>
        <v/>
      </c>
      <c r="I219">
        <f>IF(I$4=0,0,IF(COUNTIFS(実績!$W$6:$W$505,I$3,実績!$AC$6:$AC$505,"&lt;="&amp;$A219,実績!$AD$6:$AD$505,"&gt;"&amp;$A219,実績!$AE$6:$AE$505,"○")&gt;0,1,0))</f>
        <v/>
      </c>
      <c r="J219">
        <f>IF(J$4=0,0,IF(COUNTIFS(実績!$W$6:$W$505,J$3,実績!$AC$6:$AC$505,"&lt;="&amp;$A219,実績!$AD$6:$AD$505,"&gt;"&amp;$A219,実績!$AE$6:$AE$505,"○")&gt;0,1,0))</f>
        <v/>
      </c>
      <c r="K219">
        <f>IF(K$4=0,0,IF(COUNTIFS(実績!$W$6:$W$505,K$3,実績!$AC$6:$AC$505,"&lt;="&amp;$A219,実績!$AD$6:$AD$505,"&gt;"&amp;$A219,実績!$AE$6:$AE$505,"○")&gt;0,1,0))</f>
        <v/>
      </c>
      <c r="L219">
        <f>IF(L$4=0,0,IF(COUNTIFS(実績!$W$6:$W$505,L$3,実績!$AC$6:$AC$505,"&lt;="&amp;$A219,実績!$AD$6:$AD$505,"&gt;"&amp;$A219,実績!$AE$6:$AE$505,"○")&gt;0,1,0))</f>
        <v/>
      </c>
      <c r="M219">
        <f>IF(M$4=0,0,IF(COUNTIFS(実績!$W$6:$W$505,M$3,実績!$AC$6:$AC$505,"&lt;="&amp;$A219,実績!$AD$6:$AD$505,"&gt;"&amp;$A219,実績!$AE$6:$AE$505,"○")&gt;0,1,0))</f>
        <v/>
      </c>
      <c r="N219">
        <f>IF(N$4=0,0,IF(COUNTIFS(実績!$W$6:$W$505,N$3,実績!$AC$6:$AC$505,"&lt;="&amp;$A219,実績!$AD$6:$AD$505,"&gt;"&amp;$A219,実績!$AE$6:$AE$505,"○")&gt;0,1,0))</f>
        <v/>
      </c>
      <c r="O219">
        <f>IF(O$4=0,0,IF(COUNTIFS(実績!$W$6:$W$505,O$3,実績!$AC$6:$AC$505,"&lt;="&amp;$A219,実績!$AD$6:$AD$505,"&gt;"&amp;$A219,実績!$AE$6:$AE$505,"○")&gt;0,1,0))</f>
        <v/>
      </c>
      <c r="P219">
        <f>IF(P$4=0,0,IF(COUNTIFS(実績!$W$6:$W$505,P$3,実績!$AC$6:$AC$505,"&lt;="&amp;$A219,実績!$AD$6:$AD$505,"&gt;"&amp;$A219,実績!$AE$6:$AE$505,"○")&gt;0,1,0))</f>
        <v/>
      </c>
      <c r="Q219">
        <f>IF(Q$4=0,0,IF(COUNTIFS(実績!$W$6:$W$505,Q$3,実績!$AC$6:$AC$505,"&lt;="&amp;$A219,実績!$AD$6:$AD$505,"&gt;"&amp;$A219,実績!$AE$6:$AE$505,"○")&gt;0,1,0))</f>
        <v/>
      </c>
      <c r="R219">
        <f>IF(R$4=0,0,IF(COUNTIFS(実績!$W$6:$W$505,R$3,実績!$AC$6:$AC$505,"&lt;="&amp;$A219,実績!$AD$6:$AD$505,"&gt;"&amp;$A219,実績!$AE$6:$AE$505,"○")&gt;0,1,0))</f>
        <v/>
      </c>
      <c r="S219">
        <f>IF(S$4=0,0,IF(COUNTIFS(実績!$W$6:$W$505,S$3,実績!$AC$6:$AC$505,"&lt;="&amp;$A219,実績!$AD$6:$AD$505,"&gt;"&amp;$A219,実績!$AE$6:$AE$505,"○")&gt;0,1,0))</f>
        <v/>
      </c>
      <c r="T219">
        <f>IF(T$4=0,0,IF(COUNTIFS(実績!$W$6:$W$505,T$3,実績!$AC$6:$AC$505,"&lt;="&amp;$A219,実績!$AD$6:$AD$505,"&gt;"&amp;$A219,実績!$AE$6:$AE$505,"○")&gt;0,1,0))</f>
        <v/>
      </c>
      <c r="U219">
        <f>IF(U$4=0,0,IF(COUNTIFS(実績!$W$6:$W$505,U$3,実績!$AC$6:$AC$505,"&lt;="&amp;$A219,実績!$AD$6:$AD$505,"&gt;"&amp;$A219,実績!$AE$6:$AE$505,"○")&gt;0,1,0))</f>
        <v/>
      </c>
      <c r="V219">
        <f>IF(V$4=0,0,IF(COUNTIFS(実績!$W$6:$W$505,V$3,実績!$AC$6:$AC$505,"&lt;="&amp;$A219,実績!$AD$6:$AD$505,"&gt;"&amp;$A219,実績!$AE$6:$AE$505,"○")&gt;0,1,0))</f>
        <v/>
      </c>
      <c r="W219">
        <f>IF(W$4=0,0,IF(COUNTIFS(実績!$W$6:$W$505,W$3,実績!$AC$6:$AC$505,"&lt;="&amp;$A219,実績!$AD$6:$AD$505,"&gt;"&amp;$A219,実績!$AE$6:$AE$505,"○")&gt;0,1,0))</f>
        <v/>
      </c>
      <c r="X219">
        <f>IF(X$4=0,0,IF(COUNTIFS(実績!$W$6:$W$505,X$3,実績!$AC$6:$AC$505,"&lt;="&amp;$A219,実績!$AD$6:$AD$505,"&gt;"&amp;$A219,実績!$AE$6:$AE$505,"○")&gt;0,1,0))</f>
        <v/>
      </c>
      <c r="Y219">
        <f>IF(Y$4=0,0,IF(COUNTIFS(実績!$W$6:$W$505,Y$3,実績!$AC$6:$AC$505,"&lt;="&amp;$A219,実績!$AD$6:$AD$505,"&gt;"&amp;$A219,実績!$AE$6:$AE$505,"○")&gt;0,1,0))</f>
        <v/>
      </c>
      <c r="Z219">
        <f>IF(Z$4=0,0,IF(COUNTIFS(実績!$W$6:$W$505,Z$3,実績!$AC$6:$AC$505,"&lt;="&amp;$A219,実績!$AD$6:$AD$505,"&gt;"&amp;$A219,実績!$AE$6:$AE$505,"○")&gt;0,1,0))</f>
        <v/>
      </c>
      <c r="AA219">
        <f>IF(AA$4=0,0,IF(COUNTIFS(実績!$W$6:$W$505,AA$3,実績!$AC$6:$AC$505,"&lt;="&amp;$A219,実績!$AD$6:$AD$505,"&gt;"&amp;$A219,実績!$AE$6:$AE$505,"○")&gt;0,1,0))</f>
        <v/>
      </c>
      <c r="AB219">
        <f>IF(AB$4=0,0,IF(COUNTIFS(実績!$W$6:$W$505,AB$3,実績!$AC$6:$AC$505,"&lt;="&amp;$A219,実績!$AD$6:$AD$505,"&gt;"&amp;$A219,実績!$AE$6:$AE$505,"○")&gt;0,1,0))</f>
        <v/>
      </c>
      <c r="AC219">
        <f>IF(AC$4=0,0,IF(COUNTIFS(実績!$W$6:$W$505,AC$3,実績!$AC$6:$AC$505,"&lt;="&amp;$A219,実績!$AD$6:$AD$505,"&gt;"&amp;$A219,実績!$AE$6:$AE$505,"○")&gt;0,1,0))</f>
        <v/>
      </c>
      <c r="AD219">
        <f>IF(AD$4=0,0,IF(COUNTIFS(実績!$W$6:$W$505,AD$3,実績!$AC$6:$AC$505,"&lt;="&amp;$A219,実績!$AD$6:$AD$505,"&gt;"&amp;$A219,実績!$AE$6:$AE$505,"○")&gt;0,1,0))</f>
        <v/>
      </c>
      <c r="AE219">
        <f>IF(AE$4=0,0,IF(COUNTIFS(実績!$W$6:$W$505,AE$3,実績!$AC$6:$AC$505,"&lt;="&amp;$A219,実績!$AD$6:$AD$505,"&gt;"&amp;$A219,実績!$AE$6:$AE$505,"○")&gt;0,1,0))</f>
        <v/>
      </c>
      <c r="AF219">
        <f>IF(AF$4=0,0,IF(COUNTIFS(実績!$W$6:$W$505,AF$3,実績!$AC$6:$AC$505,"&lt;="&amp;$A219,実績!$AD$6:$AD$505,"&gt;"&amp;$A219,実績!$AE$6:$AE$505,"○")&gt;0,1,0))</f>
        <v/>
      </c>
      <c r="AG219">
        <f>IF(AG$4=0,0,IF(COUNTIFS(実績!$W$6:$W$505,AG$3,実績!$AC$6:$AC$505,"&lt;="&amp;$A219,実績!$AD$6:$AD$505,"&gt;"&amp;$A219,実績!$AE$6:$AE$505,"○")&gt;0,1,0))</f>
        <v/>
      </c>
      <c r="AH219">
        <f>IF(AH$4=0,0,IF(COUNTIFS(実績!$W$6:$W$505,AH$3,実績!$AC$6:$AC$505,"&lt;="&amp;$A219,実績!$AD$6:$AD$505,"&gt;"&amp;$A219,実績!$AE$6:$AE$505,"○")&gt;0,1,0))</f>
        <v/>
      </c>
      <c r="AI219">
        <f>IF(AI$4=0,0,IF(COUNTIFS(実績!$W$6:$W$505,AI$3,実績!$AC$6:$AC$505,"&lt;="&amp;$A219,実績!$AD$6:$AD$505,"&gt;"&amp;$A219,実績!$AE$6:$AE$505,"○")&gt;0,1,0))</f>
        <v/>
      </c>
      <c r="AJ219">
        <f>IF(AJ$4=0,0,IF(COUNTIFS(実績!$W$6:$W$505,AJ$3,実績!$AC$6:$AC$505,"&lt;="&amp;$A219,実績!$AD$6:$AD$505,"&gt;"&amp;$A219,実績!$AE$6:$AE$505,"○")&gt;0,1,0))</f>
        <v/>
      </c>
      <c r="AK219">
        <f>IF(AK$4=0,0,IF(COUNTIFS(実績!$W$6:$W$505,AK$3,実績!$AC$6:$AC$505,"&lt;="&amp;$A219,実績!$AD$6:$AD$505,"&gt;"&amp;$A219,実績!$AE$6:$AE$505,"○")&gt;0,1,0))</f>
        <v/>
      </c>
      <c r="AL219">
        <f>IF(AL$4=0,0,IF(COUNTIFS(実績!$W$6:$W$505,AL$3,実績!$AC$6:$AC$505,"&lt;="&amp;$A219,実績!$AD$6:$AD$505,"&gt;"&amp;$A219,実績!$AE$6:$AE$505,"○")&gt;0,1,0))</f>
        <v/>
      </c>
      <c r="AM219">
        <f>IF(AM$4=0,0,IF(COUNTIFS(実績!$W$6:$W$505,AM$3,実績!$AC$6:$AC$505,"&lt;="&amp;$A219,実績!$AD$6:$AD$505,"&gt;"&amp;$A219,実績!$AE$6:$AE$505,"○")&gt;0,1,0))</f>
        <v/>
      </c>
      <c r="AN219">
        <f>IF(AN$4=0,0,IF(COUNTIFS(実績!$W$6:$W$505,AN$3,実績!$AC$6:$AC$505,"&lt;="&amp;$A219,実績!$AD$6:$AD$505,"&gt;"&amp;$A219,実績!$AE$6:$AE$505,"○")&gt;0,1,0))</f>
        <v/>
      </c>
      <c r="AO219">
        <f>IF(AO$4=0,0,IF(COUNTIFS(実績!$W$6:$W$505,AO$3,実績!$AC$6:$AC$505,"&lt;="&amp;$A219,実績!$AD$6:$AD$505,"&gt;"&amp;$A219,実績!$AE$6:$AE$505,"○")&gt;0,1,0))</f>
        <v/>
      </c>
      <c r="AP219">
        <f>IF(AP$4=0,0,IF(COUNTIFS(実績!$W$6:$W$505,AP$3,実績!$AC$6:$AC$505,"&lt;="&amp;$A219,実績!$AD$6:$AD$505,"&gt;"&amp;$A219,実績!$AE$6:$AE$505,"○")&gt;0,1,0))</f>
        <v/>
      </c>
      <c r="AQ219">
        <f>IF(AQ$4=0,0,IF(COUNTIFS(実績!$W$6:$W$505,AQ$3,実績!$AC$6:$AC$505,"&lt;="&amp;$A219,実績!$AD$6:$AD$505,"&gt;"&amp;$A219,実績!$AE$6:$AE$505,"○")&gt;0,1,0))</f>
        <v/>
      </c>
      <c r="AR219">
        <f>IF(AR$4=0,0,IF(COUNTIFS(実績!$W$6:$W$505,AR$3,実績!$AC$6:$AC$505,"&lt;="&amp;$A219,実績!$AD$6:$AD$505,"&gt;"&amp;$A219,実績!$AE$6:$AE$505,"○")&gt;0,1,0))</f>
        <v/>
      </c>
      <c r="AS219">
        <f>IF(AS$4=0,0,IF(COUNTIFS(実績!$W$6:$W$505,AS$3,実績!$AC$6:$AC$505,"&lt;="&amp;$A219,実績!$AD$6:$AD$505,"&gt;"&amp;$A219,実績!$AE$6:$AE$505,"○")&gt;0,1,0))</f>
        <v/>
      </c>
      <c r="AT219">
        <f>IF(AT$4=0,0,IF(COUNTIFS(実績!$W$6:$W$505,AT$3,実績!$AC$6:$AC$505,"&lt;="&amp;$A219,実績!$AD$6:$AD$505,"&gt;"&amp;$A219,実績!$AE$6:$AE$505,"○")&gt;0,1,0))</f>
        <v/>
      </c>
      <c r="AU219">
        <f>IF(AU$4=0,0,IF(COUNTIFS(実績!$W$6:$W$505,AU$3,実績!$AC$6:$AC$505,"&lt;="&amp;$A219,実績!$AD$6:$AD$505,"&gt;"&amp;$A219,実績!$AE$6:$AE$505,"○")&gt;0,1,0))</f>
        <v/>
      </c>
      <c r="AV219">
        <f>IF(AV$4=0,0,IF(COUNTIFS(実績!$W$6:$W$505,AV$3,実績!$AC$6:$AC$505,"&lt;="&amp;$A219,実績!$AD$6:$AD$505,"&gt;"&amp;$A219,実績!$AE$6:$AE$505,"○")&gt;0,1,0))</f>
        <v/>
      </c>
      <c r="AW219">
        <f>IF(AW$4=0,0,IF(COUNTIFS(実績!$W$6:$W$505,AW$3,実績!$AC$6:$AC$505,"&lt;="&amp;$A219,実績!$AD$6:$AD$505,"&gt;"&amp;$A219,実績!$AE$6:$AE$505,"○")&gt;0,1,0))</f>
        <v/>
      </c>
      <c r="AX219">
        <f>IF(AX$4=0,0,IF(COUNTIFS(実績!$W$6:$W$505,AX$3,実績!$AC$6:$AC$505,"&lt;="&amp;$A219,実績!$AD$6:$AD$505,"&gt;"&amp;$A219,実績!$AE$6:$AE$505,"○")&gt;0,1,0))</f>
        <v/>
      </c>
      <c r="AY219">
        <f>IF(AY$4=0,0,IF(COUNTIFS(実績!$W$6:$W$505,AY$3,実績!$AC$6:$AC$505,"&lt;="&amp;$A219,実績!$AD$6:$AD$505,"&gt;"&amp;$A219,実績!$AE$6:$AE$505,"○")&gt;0,1,0))</f>
        <v/>
      </c>
      <c r="AZ219">
        <f>IF(AZ$4=0,0,IF(COUNTIFS(実績!$W$6:$W$505,AZ$3,実績!$AC$6:$AC$505,"&lt;="&amp;$A219,実績!$AD$6:$AD$505,"&gt;"&amp;$A219,実績!$AE$6:$AE$505,"○")&gt;0,1,0))</f>
        <v/>
      </c>
      <c r="BA219">
        <f>IF(BA$4=0,0,IF(COUNTIFS(実績!$W$6:$W$505,BA$3,実績!$AC$6:$AC$505,"&lt;="&amp;$A219,実績!$AD$6:$AD$505,"&gt;"&amp;$A219,実績!$AE$6:$AE$505,"○")&gt;0,1,0))</f>
        <v/>
      </c>
      <c r="BB219">
        <f>IF(BB$4=0,0,IF(COUNTIFS(実績!$W$6:$W$505,BB$3,実績!$AC$6:$AC$505,"&lt;="&amp;$A219,実績!$AD$6:$AD$505,"&gt;"&amp;$A219,実績!$AE$6:$AE$505,"○")&gt;0,1,0))</f>
        <v/>
      </c>
      <c r="BC219">
        <f>IF(BC$4=0,0,IF(COUNTIFS(実績!$W$6:$W$505,BC$3,実績!$AC$6:$AC$505,"&lt;="&amp;$A219,実績!$AD$6:$AD$505,"&gt;"&amp;$A219,実績!$AE$6:$AE$505,"○")&gt;0,1,0))</f>
        <v/>
      </c>
      <c r="BD219">
        <f>IF(BD$4=0,0,IF(COUNTIFS(実績!$W$6:$W$505,BD$3,実績!$AC$6:$AC$505,"&lt;="&amp;$A219,実績!$AD$6:$AD$505,"&gt;"&amp;$A219,実績!$AE$6:$AE$505,"○")&gt;0,1,0))</f>
        <v/>
      </c>
      <c r="BE219">
        <f>IF(BE$4=0,0,IF(COUNTIFS(実績!$W$6:$W$505,BE$3,実績!$AC$6:$AC$505,"&lt;="&amp;$A219,実績!$AD$6:$AD$505,"&gt;"&amp;$A219,実績!$AE$6:$AE$505,"○")&gt;0,1,0))</f>
        <v/>
      </c>
      <c r="BF219">
        <f>IF(BF$4=0,0,IF(COUNTIFS(実績!$W$6:$W$505,BF$3,実績!$AC$6:$AC$505,"&lt;="&amp;$A219,実績!$AD$6:$AD$505,"&gt;"&amp;$A219,実績!$AE$6:$AE$505,"○")&gt;0,1,0))</f>
        <v/>
      </c>
      <c r="BG219">
        <f>IF(BG$4=0,0,IF(COUNTIFS(実績!$W$6:$W$505,BG$3,実績!$AC$6:$AC$505,"&lt;="&amp;$A219,実績!$AD$6:$AD$505,"&gt;"&amp;$A219,実績!$AE$6:$AE$505,"○")&gt;0,1,0))</f>
        <v/>
      </c>
      <c r="BH219">
        <f>IF(BH$4=0,0,IF(COUNTIFS(実績!$W$6:$W$505,BH$3,実績!$AC$6:$AC$505,"&lt;="&amp;$A219,実績!$AD$6:$AD$505,"&gt;"&amp;$A219,実績!$AE$6:$AE$505,"○")&gt;0,1,0))</f>
        <v/>
      </c>
      <c r="BI219">
        <f>IF(BI$4=0,0,IF(COUNTIFS(実績!$W$6:$W$505,BI$3,実績!$AC$6:$AC$505,"&lt;="&amp;$A219,実績!$AD$6:$AD$505,"&gt;"&amp;$A219,実績!$AE$6:$AE$505,"○")&gt;0,1,0))</f>
        <v/>
      </c>
      <c r="BJ219">
        <f>IF(BJ$4=0,0,IF(COUNTIFS(実績!$W$6:$W$505,BJ$3,実績!$AC$6:$AC$505,"&lt;="&amp;$A219,実績!$AD$6:$AD$505,"&gt;"&amp;$A219,実績!$AE$6:$AE$505,"○")&gt;0,1,0))</f>
        <v/>
      </c>
      <c r="BK219">
        <f>IF(BK$4=0,0,IF(COUNTIFS(実績!$W$6:$W$505,BK$3,実績!$AC$6:$AC$505,"&lt;="&amp;$A219,実績!$AD$6:$AD$505,"&gt;"&amp;$A219,実績!$AE$6:$AE$505,"○")&gt;0,1,0))</f>
        <v/>
      </c>
      <c r="BL219">
        <f>IF(BL$4=0,0,IF(COUNTIFS(実績!$W$6:$W$505,BL$3,実績!$AC$6:$AC$505,"&lt;="&amp;$A219,実績!$AD$6:$AD$505,"&gt;"&amp;$A219,実績!$AE$6:$AE$505,"○")&gt;0,1,0))</f>
        <v/>
      </c>
      <c r="BM219">
        <f>IF(BM$4=0,0,IF(COUNTIFS(実績!$W$6:$W$505,BM$3,実績!$AC$6:$AC$505,"&lt;="&amp;$A219,実績!$AD$6:$AD$505,"&gt;"&amp;$A219,実績!$AE$6:$AE$505,"○")&gt;0,1,0))</f>
        <v/>
      </c>
      <c r="BN219">
        <f>IF(BN$4=0,0,IF(COUNTIFS(実績!$W$6:$W$505,BN$3,実績!$AC$6:$AC$505,"&lt;="&amp;$A219,実績!$AD$6:$AD$505,"&gt;"&amp;$A219,実績!$AE$6:$AE$505,"○")&gt;0,1,0))</f>
        <v/>
      </c>
      <c r="BO219">
        <f>IF(BO$4=0,0,IF(COUNTIFS(実績!$W$6:$W$505,BO$3,実績!$AC$6:$AC$505,"&lt;="&amp;$A219,実績!$AD$6:$AD$505,"&gt;"&amp;$A219,実績!$AE$6:$AE$505,"○")&gt;0,1,0))</f>
        <v/>
      </c>
      <c r="BP219">
        <f>IF(BP$4=0,0,IF(COUNTIFS(実績!$W$6:$W$505,BP$3,実績!$AC$6:$AC$505,"&lt;="&amp;$A219,実績!$AD$6:$AD$505,"&gt;"&amp;$A219,実績!$AE$6:$AE$505,"○")&gt;0,1,0))</f>
        <v/>
      </c>
      <c r="BQ219">
        <f>IF(BQ$4=0,0,IF(COUNTIFS(実績!$W$6:$W$505,BQ$3,実績!$AC$6:$AC$505,"&lt;="&amp;$A219,実績!$AD$6:$AD$505,"&gt;"&amp;$A219,実績!$AE$6:$AE$505,"○")&gt;0,1,0))</f>
        <v/>
      </c>
      <c r="BR219">
        <f>IF(BR$4=0,0,IF(COUNTIFS(実績!$W$6:$W$505,BR$3,実績!$AC$6:$AC$505,"&lt;="&amp;$A219,実績!$AD$6:$AD$505,"&gt;"&amp;$A219,実績!$AE$6:$AE$505,"○")&gt;0,1,0))</f>
        <v/>
      </c>
      <c r="BS219">
        <f>IF(BS$4=0,0,IF(COUNTIFS(実績!$W$6:$W$505,BS$3,実績!$AC$6:$AC$505,"&lt;="&amp;$A219,実績!$AD$6:$AD$505,"&gt;"&amp;$A219,実績!$AE$6:$AE$505,"○")&gt;0,1,0))</f>
        <v/>
      </c>
      <c r="BT219">
        <f>IF(BT$4=0,0,IF(COUNTIFS(実績!$W$6:$W$505,BT$3,実績!$AC$6:$AC$505,"&lt;="&amp;$A219,実績!$AD$6:$AD$505,"&gt;"&amp;$A219,実績!$AE$6:$AE$505,"○")&gt;0,1,0))</f>
        <v/>
      </c>
      <c r="BU219">
        <f>IF(BU$4=0,0,IF(COUNTIFS(実績!$W$6:$W$505,BU$3,実績!$AC$6:$AC$505,"&lt;="&amp;$A219,実績!$AD$6:$AD$505,"&gt;"&amp;$A219,実績!$AE$6:$AE$505,"○")&gt;0,1,0))</f>
        <v/>
      </c>
      <c r="BV219">
        <f>IF(BV$4=0,0,IF(COUNTIFS(実績!$W$6:$W$505,BV$3,実績!$AC$6:$AC$505,"&lt;="&amp;$A219,実績!$AD$6:$AD$505,"&gt;"&amp;$A219,実績!$AE$6:$AE$505,"○")&gt;0,1,0))</f>
        <v/>
      </c>
      <c r="BW219">
        <f>IF(BW$4=0,0,IF(COUNTIFS(実績!$W$6:$W$505,BW$3,実績!$AC$6:$AC$505,"&lt;="&amp;$A219,実績!$AD$6:$AD$505,"&gt;"&amp;$A219,実績!$AE$6:$AE$505,"○")&gt;0,1,0))</f>
        <v/>
      </c>
      <c r="BX219">
        <f>IF(BX$4=0,0,IF(COUNTIFS(実績!$W$6:$W$505,BX$3,実績!$AC$6:$AC$505,"&lt;="&amp;$A219,実績!$AD$6:$AD$505,"&gt;"&amp;$A219,実績!$AE$6:$AE$505,"○")&gt;0,1,0))</f>
        <v/>
      </c>
      <c r="BY219">
        <f>IF(BY$4=0,0,IF(COUNTIFS(実績!$W$6:$W$505,BY$3,実績!$AC$6:$AC$505,"&lt;="&amp;$A219,実績!$AD$6:$AD$505,"&gt;"&amp;$A219,実績!$AE$6:$AE$505,"○")&gt;0,1,0))</f>
        <v/>
      </c>
      <c r="BZ219">
        <f>IF(BZ$4=0,0,IF(COUNTIFS(実績!$W$6:$W$505,BZ$3,実績!$AC$6:$AC$505,"&lt;="&amp;$A219,実績!$AD$6:$AD$505,"&gt;"&amp;$A219,実績!$AE$6:$AE$505,"○")&gt;0,1,0))</f>
        <v/>
      </c>
      <c r="CA219">
        <f>IF(CA$4=0,0,IF(COUNTIFS(実績!$W$6:$W$505,CA$3,実績!$AC$6:$AC$505,"&lt;="&amp;$A219,実績!$AD$6:$AD$505,"&gt;"&amp;$A219,実績!$AE$6:$AE$505,"○")&gt;0,1,0))</f>
        <v/>
      </c>
      <c r="CB219">
        <f>IF(CB$4=0,0,IF(COUNTIFS(実績!$W$6:$W$505,CB$3,実績!$AC$6:$AC$505,"&lt;="&amp;$A219,実績!$AD$6:$AD$505,"&gt;"&amp;$A219,実績!$AE$6:$AE$505,"○")&gt;0,1,0))</f>
        <v/>
      </c>
      <c r="CC219">
        <f>IF(CC$4=0,0,IF(COUNTIFS(実績!$W$6:$W$505,CC$3,実績!$AC$6:$AC$505,"&lt;="&amp;$A219,実績!$AD$6:$AD$505,"&gt;"&amp;$A219,実績!$AE$6:$AE$505,"○")&gt;0,1,0))</f>
        <v/>
      </c>
      <c r="CD219">
        <f>IF(CD$4=0,0,IF(COUNTIFS(実績!$W$6:$W$505,CD$3,実績!$AC$6:$AC$505,"&lt;="&amp;$A219,実績!$AD$6:$AD$505,"&gt;"&amp;$A219,実績!$AE$6:$AE$505,"○")&gt;0,1,0))</f>
        <v/>
      </c>
      <c r="CE219">
        <f>IF(CE$4=0,0,IF(COUNTIFS(実績!$W$6:$W$505,CE$3,実績!$AC$6:$AC$505,"&lt;="&amp;$A219,実績!$AD$6:$AD$505,"&gt;"&amp;$A219,実績!$AE$6:$AE$505,"○")&gt;0,1,0))</f>
        <v/>
      </c>
      <c r="CF219">
        <f>IF(CF$4=0,0,IF(COUNTIFS(実績!$W$6:$W$505,CF$3,実績!$AC$6:$AC$505,"&lt;="&amp;$A219,実績!$AD$6:$AD$505,"&gt;"&amp;$A219,実績!$AE$6:$AE$505,"○")&gt;0,1,0))</f>
        <v/>
      </c>
      <c r="CG219">
        <f>IF(CG$4=0,0,IF(COUNTIFS(実績!$W$6:$W$505,CG$3,実績!$AC$6:$AC$505,"&lt;="&amp;$A219,実績!$AD$6:$AD$505,"&gt;"&amp;$A219,実績!$AE$6:$AE$505,"○")&gt;0,1,0))</f>
        <v/>
      </c>
      <c r="CH219">
        <f>IF(CH$4=0,0,IF(COUNTIFS(実績!$W$6:$W$505,CH$3,実績!$AC$6:$AC$505,"&lt;="&amp;$A219,実績!$AD$6:$AD$505,"&gt;"&amp;$A219,実績!$AE$6:$AE$505,"○")&gt;0,1,0))</f>
        <v/>
      </c>
      <c r="CI219">
        <f>IF(CI$4=0,0,IF(COUNTIFS(実績!$W$6:$W$505,CI$3,実績!$AC$6:$AC$505,"&lt;="&amp;$A219,実績!$AD$6:$AD$505,"&gt;"&amp;$A219,実績!$AE$6:$AE$505,"○")&gt;0,1,0))</f>
        <v/>
      </c>
      <c r="CJ219">
        <f>IF(CJ$4=0,0,IF(COUNTIFS(実績!$W$6:$W$505,CJ$3,実績!$AC$6:$AC$505,"&lt;="&amp;$A219,実績!$AD$6:$AD$505,"&gt;"&amp;$A219,実績!$AE$6:$AE$505,"○")&gt;0,1,0))</f>
        <v/>
      </c>
      <c r="CK219">
        <f>IF(CK$4=0,0,IF(COUNTIFS(実績!$W$6:$W$505,CK$3,実績!$AC$6:$AC$505,"&lt;="&amp;$A219,実績!$AD$6:$AD$505,"&gt;"&amp;$A219,実績!$AE$6:$AE$505,"○")&gt;0,1,0))</f>
        <v/>
      </c>
      <c r="CL219">
        <f>IF(CL$4=0,0,IF(COUNTIFS(実績!$W$6:$W$505,CL$3,実績!$AC$6:$AC$505,"&lt;="&amp;$A219,実績!$AD$6:$AD$505,"&gt;"&amp;$A219,実績!$AE$6:$AE$505,"○")&gt;0,1,0))</f>
        <v/>
      </c>
      <c r="CM219">
        <f>IF(CM$4=0,0,IF(COUNTIFS(実績!$W$6:$W$505,CM$3,実績!$AC$6:$AC$505,"&lt;="&amp;$A219,実績!$AD$6:$AD$505,"&gt;"&amp;$A219,実績!$AE$6:$AE$505,"○")&gt;0,1,0))</f>
        <v/>
      </c>
      <c r="CN219">
        <f>IF(CN$4=0,0,IF(COUNTIFS(実績!$W$6:$W$505,CN$3,実績!$AC$6:$AC$505,"&lt;="&amp;$A219,実績!$AD$6:$AD$505,"&gt;"&amp;$A219,実績!$AE$6:$AE$505,"○")&gt;0,1,0))</f>
        <v/>
      </c>
      <c r="CO219">
        <f>IF(CO$4=0,0,IF(COUNTIFS(実績!$W$6:$W$505,CO$3,実績!$AC$6:$AC$505,"&lt;="&amp;$A219,実績!$AD$6:$AD$505,"&gt;"&amp;$A219,実績!$AE$6:$AE$505,"○")&gt;0,1,0))</f>
        <v/>
      </c>
      <c r="CP219">
        <f>IF(CP$4=0,0,IF(COUNTIFS(実績!$W$6:$W$505,CP$3,実績!$AC$6:$AC$505,"&lt;="&amp;$A219,実績!$AD$6:$AD$505,"&gt;"&amp;$A219,実績!$AE$6:$AE$505,"○")&gt;0,1,0))</f>
        <v/>
      </c>
      <c r="CQ219">
        <f>IF(CQ$4=0,0,IF(COUNTIFS(実績!$W$6:$W$505,CQ$3,実績!$AC$6:$AC$505,"&lt;="&amp;$A219,実績!$AD$6:$AD$505,"&gt;"&amp;$A219,実績!$AE$6:$AE$505,"○")&gt;0,1,0))</f>
        <v/>
      </c>
      <c r="CR219">
        <f>IF(CR$4=0,0,IF(COUNTIFS(実績!$W$6:$W$505,CR$3,実績!$AC$6:$AC$505,"&lt;="&amp;$A219,実績!$AD$6:$AD$505,"&gt;"&amp;$A219,実績!$AE$6:$AE$505,"○")&gt;0,1,0))</f>
        <v/>
      </c>
      <c r="CS219">
        <f>IF(CS$4=0,0,IF(COUNTIFS(実績!$W$6:$W$505,CS$3,実績!$AC$6:$AC$505,"&lt;="&amp;$A219,実績!$AD$6:$AD$505,"&gt;"&amp;$A219,実績!$AE$6:$AE$505,"○")&gt;0,1,0))</f>
        <v/>
      </c>
      <c r="CT219">
        <f>IF(CT$4=0,0,IF(COUNTIFS(実績!$W$6:$W$505,CT$3,実績!$AC$6:$AC$505,"&lt;="&amp;$A219,実績!$AD$6:$AD$505,"&gt;"&amp;$A219,実績!$AE$6:$AE$505,"○")&gt;0,1,0))</f>
        <v/>
      </c>
      <c r="CU219">
        <f>IF(CU$4=0,0,IF(COUNTIFS(実績!$W$6:$W$505,CU$3,実績!$AC$6:$AC$505,"&lt;="&amp;$A219,実績!$AD$6:$AD$505,"&gt;"&amp;$A219,実績!$AE$6:$AE$505,"○")&gt;0,1,0))</f>
        <v/>
      </c>
      <c r="CV219">
        <f>IF(CV$4=0,0,IF(COUNTIFS(実績!$W$6:$W$505,CV$3,実績!$AC$6:$AC$505,"&lt;="&amp;$A219,実績!$AD$6:$AD$505,"&gt;"&amp;$A219,実績!$AE$6:$AE$505,"○")&gt;0,1,0))</f>
        <v/>
      </c>
      <c r="CW219">
        <f>IF(CW$4=0,0,IF(COUNTIFS(実績!$W$6:$W$505,CW$3,実績!$AC$6:$AC$505,"&lt;="&amp;$A219,実績!$AD$6:$AD$505,"&gt;"&amp;$A219,実績!$AE$6:$AE$505,"○")&gt;0,1,0))</f>
        <v/>
      </c>
      <c r="CX219">
        <f>IF(CX$4=0,0,IF(COUNTIFS(実績!$W$6:$W$505,CX$3,実績!$AC$6:$AC$505,"&lt;="&amp;$A219,実績!$AD$6:$AD$505,"&gt;"&amp;$A219,実績!$AE$6:$AE$505,"○")&gt;0,1,0))</f>
        <v/>
      </c>
      <c r="CY219">
        <f>IF(CY$4=0,0,IF(COUNTIFS(実績!$W$6:$W$505,CY$3,実績!$AC$6:$AC$505,"&lt;="&amp;$A219,実績!$AD$6:$AD$505,"&gt;"&amp;$A219,実績!$AE$6:$AE$505,"○")&gt;0,1,0))</f>
        <v/>
      </c>
      <c r="CZ219">
        <f>IF(CZ$4=0,0,IF(COUNTIFS(実績!$W$6:$W$505,CZ$3,実績!$AC$6:$AC$505,"&lt;="&amp;$A219,実績!$AD$6:$AD$505,"&gt;"&amp;$A219,実績!$AE$6:$AE$505,"○")&gt;0,1,0))</f>
        <v/>
      </c>
      <c r="DA219">
        <f>IF(DA$4=0,0,IF(COUNTIFS(実績!$W$6:$W$505,DA$3,実績!$AC$6:$AC$505,"&lt;="&amp;$A219,実績!$AD$6:$AD$505,"&gt;"&amp;$A219,実績!$AE$6:$AE$505,"○")&gt;0,1,0))</f>
        <v/>
      </c>
      <c r="DB219">
        <f>IF(DB$4=0,0,IF(COUNTIFS(実績!$W$6:$W$505,DB$3,実績!$AC$6:$AC$505,"&lt;="&amp;$A219,実績!$AD$6:$AD$505,"&gt;"&amp;$A219,実績!$AE$6:$AE$505,"○")&gt;0,1,0))</f>
        <v/>
      </c>
      <c r="DC219">
        <f>IF(DC$4=0,0,IF(COUNTIFS(実績!$W$6:$W$505,DC$3,実績!$AC$6:$AC$505,"&lt;="&amp;$A219,実績!$AD$6:$AD$505,"&gt;"&amp;$A219,実績!$AE$6:$AE$505,"○")&gt;0,1,0))</f>
        <v/>
      </c>
      <c r="DD219">
        <f>IF(DD$4=0,0,IF(COUNTIFS(実績!$W$6:$W$505,DD$3,実績!$AC$6:$AC$505,"&lt;="&amp;$A219,実績!$AD$6:$AD$505,"&gt;"&amp;$A219,実績!$AE$6:$AE$505,"○")&gt;0,1,0))</f>
        <v/>
      </c>
      <c r="DE219">
        <f>IF(DE$4=0,0,IF(COUNTIFS(実績!$W$6:$W$505,DE$3,実績!$AC$6:$AC$505,"&lt;="&amp;$A219,実績!$AD$6:$AD$505,"&gt;"&amp;$A219,実績!$AE$6:$AE$505,"○")&gt;0,1,0))</f>
        <v/>
      </c>
      <c r="DF219">
        <f>IF(DF$4=0,0,IF(COUNTIFS(実績!$W$6:$W$505,DF$3,実績!$AC$6:$AC$505,"&lt;="&amp;$A219,実績!$AD$6:$AD$505,"&gt;"&amp;$A219,実績!$AE$6:$AE$505,"○")&gt;0,1,0))</f>
        <v/>
      </c>
      <c r="DG219">
        <f>IF(DG$4=0,0,IF(COUNTIFS(実績!$W$6:$W$505,DG$3,実績!$AC$6:$AC$505,"&lt;="&amp;$A219,実績!$AD$6:$AD$505,"&gt;"&amp;$A219,実績!$AE$6:$AE$505,"○")&gt;0,1,0))</f>
        <v/>
      </c>
      <c r="DH219">
        <f>IF(DH$4=0,0,IF(COUNTIFS(実績!$W$6:$W$505,DH$3,実績!$AC$6:$AC$505,"&lt;="&amp;$A219,実績!$AD$6:$AD$505,"&gt;"&amp;$A219,実績!$AE$6:$AE$505,"○")&gt;0,1,0))</f>
        <v/>
      </c>
      <c r="DI219">
        <f>IF(DI$4=0,0,IF(COUNTIFS(実績!$W$6:$W$505,DI$3,実績!$AC$6:$AC$505,"&lt;="&amp;$A219,実績!$AD$6:$AD$505,"&gt;"&amp;$A219,実績!$AE$6:$AE$505,"○")&gt;0,1,0))</f>
        <v/>
      </c>
      <c r="DJ219">
        <f>IF(DJ$4=0,0,IF(COUNTIFS(実績!$W$6:$W$505,DJ$3,実績!$AC$6:$AC$505,"&lt;="&amp;$A219,実績!$AD$6:$AD$505,"&gt;"&amp;$A219,実績!$AE$6:$AE$505,"○")&gt;0,1,0))</f>
        <v/>
      </c>
      <c r="DK219">
        <f>IF(DK$4=0,0,IF(COUNTIFS(実績!$W$6:$W$505,DK$3,実績!$AC$6:$AC$505,"&lt;="&amp;$A219,実績!$AD$6:$AD$505,"&gt;"&amp;$A219,実績!$AE$6:$AE$505,"○")&gt;0,1,0))</f>
        <v/>
      </c>
      <c r="DL219">
        <f>IF(DL$4=0,0,IF(COUNTIFS(実績!$W$6:$W$505,DL$3,実績!$AC$6:$AC$505,"&lt;="&amp;$A219,実績!$AD$6:$AD$505,"&gt;"&amp;$A219,実績!$AE$6:$AE$505,"○")&gt;0,1,0))</f>
        <v/>
      </c>
      <c r="DM219">
        <f>IF(DM$4=0,0,IF(COUNTIFS(実績!$W$6:$W$505,DM$3,実績!$AC$6:$AC$505,"&lt;="&amp;$A219,実績!$AD$6:$AD$505,"&gt;"&amp;$A219,実績!$AE$6:$AE$505,"○")&gt;0,1,0))</f>
        <v/>
      </c>
      <c r="DN219">
        <f>IF(DN$4=0,0,IF(COUNTIFS(実績!$W$6:$W$505,DN$3,実績!$AC$6:$AC$505,"&lt;="&amp;$A219,実績!$AD$6:$AD$505,"&gt;"&amp;$A219,実績!$AE$6:$AE$505,"○")&gt;0,1,0))</f>
        <v/>
      </c>
      <c r="DO219">
        <f>IF(DO$4=0,0,IF(COUNTIFS(実績!$W$6:$W$505,DO$3,実績!$AC$6:$AC$505,"&lt;="&amp;$A219,実績!$AD$6:$AD$505,"&gt;"&amp;$A219,実績!$AE$6:$AE$505,"○")&gt;0,1,0))</f>
        <v/>
      </c>
      <c r="DP219">
        <f>IF(DP$4=0,0,IF(COUNTIFS(実績!$W$6:$W$505,DP$3,実績!$AC$6:$AC$505,"&lt;="&amp;$A219,実績!$AD$6:$AD$505,"&gt;"&amp;$A219,実績!$AE$6:$AE$505,"○")&gt;0,1,0))</f>
        <v/>
      </c>
      <c r="DQ219">
        <f>IF(DQ$4=0,0,IF(COUNTIFS(実績!$W$6:$W$505,DQ$3,実績!$AC$6:$AC$505,"&lt;="&amp;$A219,実績!$AD$6:$AD$505,"&gt;"&amp;$A219,実績!$AE$6:$AE$505,"○")&gt;0,1,0))</f>
        <v/>
      </c>
      <c r="DR219">
        <f>IF(DR$4=0,0,IF(COUNTIFS(実績!$W$6:$W$505,DR$3,実績!$AC$6:$AC$505,"&lt;="&amp;$A219,実績!$AD$6:$AD$505,"&gt;"&amp;$A219,実績!$AE$6:$AE$505,"○")&gt;0,1,0))</f>
        <v/>
      </c>
      <c r="DS219">
        <f>SUM(C219:DR219)</f>
        <v/>
      </c>
      <c r="DT219">
        <f>SUMPRODUCT((実績!$C$6:$C$505="○")*ISNUMBER(実績!$AF$6:$AF$505)*(実績!$AF$6:$AF$505&lt;=$A219)*(実績!$AG$6:$AG$505&gt;$A219))</f>
        <v/>
      </c>
      <c r="DU219">
        <f>SUMIF($C$2:$DR$2,"製鉄曳船",C219:DR219)</f>
        <v/>
      </c>
      <c r="DV219">
        <f>SUMIF($C$2:$DR$2,"西日本海運",C219:DR219)</f>
        <v/>
      </c>
    </row>
    <row r="220">
      <c r="A220" t="n">
        <v>1070</v>
      </c>
      <c r="B220" s="29">
        <f>A220/1440</f>
        <v/>
      </c>
      <c r="C220">
        <f>IF(C$4=0,0,IF(COUNTIFS(実績!$W$6:$W$505,C$3,実績!$AC$6:$AC$505,"&lt;="&amp;$A220,実績!$AD$6:$AD$505,"&gt;"&amp;$A220,実績!$AE$6:$AE$505,"○")&gt;0,1,0))</f>
        <v/>
      </c>
      <c r="D220">
        <f>IF(D$4=0,0,IF(COUNTIFS(実績!$W$6:$W$505,D$3,実績!$AC$6:$AC$505,"&lt;="&amp;$A220,実績!$AD$6:$AD$505,"&gt;"&amp;$A220,実績!$AE$6:$AE$505,"○")&gt;0,1,0))</f>
        <v/>
      </c>
      <c r="E220">
        <f>IF(E$4=0,0,IF(COUNTIFS(実績!$W$6:$W$505,E$3,実績!$AC$6:$AC$505,"&lt;="&amp;$A220,実績!$AD$6:$AD$505,"&gt;"&amp;$A220,実績!$AE$6:$AE$505,"○")&gt;0,1,0))</f>
        <v/>
      </c>
      <c r="F220">
        <f>IF(F$4=0,0,IF(COUNTIFS(実績!$W$6:$W$505,F$3,実績!$AC$6:$AC$505,"&lt;="&amp;$A220,実績!$AD$6:$AD$505,"&gt;"&amp;$A220,実績!$AE$6:$AE$505,"○")&gt;0,1,0))</f>
        <v/>
      </c>
      <c r="G220">
        <f>IF(G$4=0,0,IF(COUNTIFS(実績!$W$6:$W$505,G$3,実績!$AC$6:$AC$505,"&lt;="&amp;$A220,実績!$AD$6:$AD$505,"&gt;"&amp;$A220,実績!$AE$6:$AE$505,"○")&gt;0,1,0))</f>
        <v/>
      </c>
      <c r="H220">
        <f>IF(H$4=0,0,IF(COUNTIFS(実績!$W$6:$W$505,H$3,実績!$AC$6:$AC$505,"&lt;="&amp;$A220,実績!$AD$6:$AD$505,"&gt;"&amp;$A220,実績!$AE$6:$AE$505,"○")&gt;0,1,0))</f>
        <v/>
      </c>
      <c r="I220">
        <f>IF(I$4=0,0,IF(COUNTIFS(実績!$W$6:$W$505,I$3,実績!$AC$6:$AC$505,"&lt;="&amp;$A220,実績!$AD$6:$AD$505,"&gt;"&amp;$A220,実績!$AE$6:$AE$505,"○")&gt;0,1,0))</f>
        <v/>
      </c>
      <c r="J220">
        <f>IF(J$4=0,0,IF(COUNTIFS(実績!$W$6:$W$505,J$3,実績!$AC$6:$AC$505,"&lt;="&amp;$A220,実績!$AD$6:$AD$505,"&gt;"&amp;$A220,実績!$AE$6:$AE$505,"○")&gt;0,1,0))</f>
        <v/>
      </c>
      <c r="K220">
        <f>IF(K$4=0,0,IF(COUNTIFS(実績!$W$6:$W$505,K$3,実績!$AC$6:$AC$505,"&lt;="&amp;$A220,実績!$AD$6:$AD$505,"&gt;"&amp;$A220,実績!$AE$6:$AE$505,"○")&gt;0,1,0))</f>
        <v/>
      </c>
      <c r="L220">
        <f>IF(L$4=0,0,IF(COUNTIFS(実績!$W$6:$W$505,L$3,実績!$AC$6:$AC$505,"&lt;="&amp;$A220,実績!$AD$6:$AD$505,"&gt;"&amp;$A220,実績!$AE$6:$AE$505,"○")&gt;0,1,0))</f>
        <v/>
      </c>
      <c r="M220">
        <f>IF(M$4=0,0,IF(COUNTIFS(実績!$W$6:$W$505,M$3,実績!$AC$6:$AC$505,"&lt;="&amp;$A220,実績!$AD$6:$AD$505,"&gt;"&amp;$A220,実績!$AE$6:$AE$505,"○")&gt;0,1,0))</f>
        <v/>
      </c>
      <c r="N220">
        <f>IF(N$4=0,0,IF(COUNTIFS(実績!$W$6:$W$505,N$3,実績!$AC$6:$AC$505,"&lt;="&amp;$A220,実績!$AD$6:$AD$505,"&gt;"&amp;$A220,実績!$AE$6:$AE$505,"○")&gt;0,1,0))</f>
        <v/>
      </c>
      <c r="O220">
        <f>IF(O$4=0,0,IF(COUNTIFS(実績!$W$6:$W$505,O$3,実績!$AC$6:$AC$505,"&lt;="&amp;$A220,実績!$AD$6:$AD$505,"&gt;"&amp;$A220,実績!$AE$6:$AE$505,"○")&gt;0,1,0))</f>
        <v/>
      </c>
      <c r="P220">
        <f>IF(P$4=0,0,IF(COUNTIFS(実績!$W$6:$W$505,P$3,実績!$AC$6:$AC$505,"&lt;="&amp;$A220,実績!$AD$6:$AD$505,"&gt;"&amp;$A220,実績!$AE$6:$AE$505,"○")&gt;0,1,0))</f>
        <v/>
      </c>
      <c r="Q220">
        <f>IF(Q$4=0,0,IF(COUNTIFS(実績!$W$6:$W$505,Q$3,実績!$AC$6:$AC$505,"&lt;="&amp;$A220,実績!$AD$6:$AD$505,"&gt;"&amp;$A220,実績!$AE$6:$AE$505,"○")&gt;0,1,0))</f>
        <v/>
      </c>
      <c r="R220">
        <f>IF(R$4=0,0,IF(COUNTIFS(実績!$W$6:$W$505,R$3,実績!$AC$6:$AC$505,"&lt;="&amp;$A220,実績!$AD$6:$AD$505,"&gt;"&amp;$A220,実績!$AE$6:$AE$505,"○")&gt;0,1,0))</f>
        <v/>
      </c>
      <c r="S220">
        <f>IF(S$4=0,0,IF(COUNTIFS(実績!$W$6:$W$505,S$3,実績!$AC$6:$AC$505,"&lt;="&amp;$A220,実績!$AD$6:$AD$505,"&gt;"&amp;$A220,実績!$AE$6:$AE$505,"○")&gt;0,1,0))</f>
        <v/>
      </c>
      <c r="T220">
        <f>IF(T$4=0,0,IF(COUNTIFS(実績!$W$6:$W$505,T$3,実績!$AC$6:$AC$505,"&lt;="&amp;$A220,実績!$AD$6:$AD$505,"&gt;"&amp;$A220,実績!$AE$6:$AE$505,"○")&gt;0,1,0))</f>
        <v/>
      </c>
      <c r="U220">
        <f>IF(U$4=0,0,IF(COUNTIFS(実績!$W$6:$W$505,U$3,実績!$AC$6:$AC$505,"&lt;="&amp;$A220,実績!$AD$6:$AD$505,"&gt;"&amp;$A220,実績!$AE$6:$AE$505,"○")&gt;0,1,0))</f>
        <v/>
      </c>
      <c r="V220">
        <f>IF(V$4=0,0,IF(COUNTIFS(実績!$W$6:$W$505,V$3,実績!$AC$6:$AC$505,"&lt;="&amp;$A220,実績!$AD$6:$AD$505,"&gt;"&amp;$A220,実績!$AE$6:$AE$505,"○")&gt;0,1,0))</f>
        <v/>
      </c>
      <c r="W220">
        <f>IF(W$4=0,0,IF(COUNTIFS(実績!$W$6:$W$505,W$3,実績!$AC$6:$AC$505,"&lt;="&amp;$A220,実績!$AD$6:$AD$505,"&gt;"&amp;$A220,実績!$AE$6:$AE$505,"○")&gt;0,1,0))</f>
        <v/>
      </c>
      <c r="X220">
        <f>IF(X$4=0,0,IF(COUNTIFS(実績!$W$6:$W$505,X$3,実績!$AC$6:$AC$505,"&lt;="&amp;$A220,実績!$AD$6:$AD$505,"&gt;"&amp;$A220,実績!$AE$6:$AE$505,"○")&gt;0,1,0))</f>
        <v/>
      </c>
      <c r="Y220">
        <f>IF(Y$4=0,0,IF(COUNTIFS(実績!$W$6:$W$505,Y$3,実績!$AC$6:$AC$505,"&lt;="&amp;$A220,実績!$AD$6:$AD$505,"&gt;"&amp;$A220,実績!$AE$6:$AE$505,"○")&gt;0,1,0))</f>
        <v/>
      </c>
      <c r="Z220">
        <f>IF(Z$4=0,0,IF(COUNTIFS(実績!$W$6:$W$505,Z$3,実績!$AC$6:$AC$505,"&lt;="&amp;$A220,実績!$AD$6:$AD$505,"&gt;"&amp;$A220,実績!$AE$6:$AE$505,"○")&gt;0,1,0))</f>
        <v/>
      </c>
      <c r="AA220">
        <f>IF(AA$4=0,0,IF(COUNTIFS(実績!$W$6:$W$505,AA$3,実績!$AC$6:$AC$505,"&lt;="&amp;$A220,実績!$AD$6:$AD$505,"&gt;"&amp;$A220,実績!$AE$6:$AE$505,"○")&gt;0,1,0))</f>
        <v/>
      </c>
      <c r="AB220">
        <f>IF(AB$4=0,0,IF(COUNTIFS(実績!$W$6:$W$505,AB$3,実績!$AC$6:$AC$505,"&lt;="&amp;$A220,実績!$AD$6:$AD$505,"&gt;"&amp;$A220,実績!$AE$6:$AE$505,"○")&gt;0,1,0))</f>
        <v/>
      </c>
      <c r="AC220">
        <f>IF(AC$4=0,0,IF(COUNTIFS(実績!$W$6:$W$505,AC$3,実績!$AC$6:$AC$505,"&lt;="&amp;$A220,実績!$AD$6:$AD$505,"&gt;"&amp;$A220,実績!$AE$6:$AE$505,"○")&gt;0,1,0))</f>
        <v/>
      </c>
      <c r="AD220">
        <f>IF(AD$4=0,0,IF(COUNTIFS(実績!$W$6:$W$505,AD$3,実績!$AC$6:$AC$505,"&lt;="&amp;$A220,実績!$AD$6:$AD$505,"&gt;"&amp;$A220,実績!$AE$6:$AE$505,"○")&gt;0,1,0))</f>
        <v/>
      </c>
      <c r="AE220">
        <f>IF(AE$4=0,0,IF(COUNTIFS(実績!$W$6:$W$505,AE$3,実績!$AC$6:$AC$505,"&lt;="&amp;$A220,実績!$AD$6:$AD$505,"&gt;"&amp;$A220,実績!$AE$6:$AE$505,"○")&gt;0,1,0))</f>
        <v/>
      </c>
      <c r="AF220">
        <f>IF(AF$4=0,0,IF(COUNTIFS(実績!$W$6:$W$505,AF$3,実績!$AC$6:$AC$505,"&lt;="&amp;$A220,実績!$AD$6:$AD$505,"&gt;"&amp;$A220,実績!$AE$6:$AE$505,"○")&gt;0,1,0))</f>
        <v/>
      </c>
      <c r="AG220">
        <f>IF(AG$4=0,0,IF(COUNTIFS(実績!$W$6:$W$505,AG$3,実績!$AC$6:$AC$505,"&lt;="&amp;$A220,実績!$AD$6:$AD$505,"&gt;"&amp;$A220,実績!$AE$6:$AE$505,"○")&gt;0,1,0))</f>
        <v/>
      </c>
      <c r="AH220">
        <f>IF(AH$4=0,0,IF(COUNTIFS(実績!$W$6:$W$505,AH$3,実績!$AC$6:$AC$505,"&lt;="&amp;$A220,実績!$AD$6:$AD$505,"&gt;"&amp;$A220,実績!$AE$6:$AE$505,"○")&gt;0,1,0))</f>
        <v/>
      </c>
      <c r="AI220">
        <f>IF(AI$4=0,0,IF(COUNTIFS(実績!$W$6:$W$505,AI$3,実績!$AC$6:$AC$505,"&lt;="&amp;$A220,実績!$AD$6:$AD$505,"&gt;"&amp;$A220,実績!$AE$6:$AE$505,"○")&gt;0,1,0))</f>
        <v/>
      </c>
      <c r="AJ220">
        <f>IF(AJ$4=0,0,IF(COUNTIFS(実績!$W$6:$W$505,AJ$3,実績!$AC$6:$AC$505,"&lt;="&amp;$A220,実績!$AD$6:$AD$505,"&gt;"&amp;$A220,実績!$AE$6:$AE$505,"○")&gt;0,1,0))</f>
        <v/>
      </c>
      <c r="AK220">
        <f>IF(AK$4=0,0,IF(COUNTIFS(実績!$W$6:$W$505,AK$3,実績!$AC$6:$AC$505,"&lt;="&amp;$A220,実績!$AD$6:$AD$505,"&gt;"&amp;$A220,実績!$AE$6:$AE$505,"○")&gt;0,1,0))</f>
        <v/>
      </c>
      <c r="AL220">
        <f>IF(AL$4=0,0,IF(COUNTIFS(実績!$W$6:$W$505,AL$3,実績!$AC$6:$AC$505,"&lt;="&amp;$A220,実績!$AD$6:$AD$505,"&gt;"&amp;$A220,実績!$AE$6:$AE$505,"○")&gt;0,1,0))</f>
        <v/>
      </c>
      <c r="AM220">
        <f>IF(AM$4=0,0,IF(COUNTIFS(実績!$W$6:$W$505,AM$3,実績!$AC$6:$AC$505,"&lt;="&amp;$A220,実績!$AD$6:$AD$505,"&gt;"&amp;$A220,実績!$AE$6:$AE$505,"○")&gt;0,1,0))</f>
        <v/>
      </c>
      <c r="AN220">
        <f>IF(AN$4=0,0,IF(COUNTIFS(実績!$W$6:$W$505,AN$3,実績!$AC$6:$AC$505,"&lt;="&amp;$A220,実績!$AD$6:$AD$505,"&gt;"&amp;$A220,実績!$AE$6:$AE$505,"○")&gt;0,1,0))</f>
        <v/>
      </c>
      <c r="AO220">
        <f>IF(AO$4=0,0,IF(COUNTIFS(実績!$W$6:$W$505,AO$3,実績!$AC$6:$AC$505,"&lt;="&amp;$A220,実績!$AD$6:$AD$505,"&gt;"&amp;$A220,実績!$AE$6:$AE$505,"○")&gt;0,1,0))</f>
        <v/>
      </c>
      <c r="AP220">
        <f>IF(AP$4=0,0,IF(COUNTIFS(実績!$W$6:$W$505,AP$3,実績!$AC$6:$AC$505,"&lt;="&amp;$A220,実績!$AD$6:$AD$505,"&gt;"&amp;$A220,実績!$AE$6:$AE$505,"○")&gt;0,1,0))</f>
        <v/>
      </c>
      <c r="AQ220">
        <f>IF(AQ$4=0,0,IF(COUNTIFS(実績!$W$6:$W$505,AQ$3,実績!$AC$6:$AC$505,"&lt;="&amp;$A220,実績!$AD$6:$AD$505,"&gt;"&amp;$A220,実績!$AE$6:$AE$505,"○")&gt;0,1,0))</f>
        <v/>
      </c>
      <c r="AR220">
        <f>IF(AR$4=0,0,IF(COUNTIFS(実績!$W$6:$W$505,AR$3,実績!$AC$6:$AC$505,"&lt;="&amp;$A220,実績!$AD$6:$AD$505,"&gt;"&amp;$A220,実績!$AE$6:$AE$505,"○")&gt;0,1,0))</f>
        <v/>
      </c>
      <c r="AS220">
        <f>IF(AS$4=0,0,IF(COUNTIFS(実績!$W$6:$W$505,AS$3,実績!$AC$6:$AC$505,"&lt;="&amp;$A220,実績!$AD$6:$AD$505,"&gt;"&amp;$A220,実績!$AE$6:$AE$505,"○")&gt;0,1,0))</f>
        <v/>
      </c>
      <c r="AT220">
        <f>IF(AT$4=0,0,IF(COUNTIFS(実績!$W$6:$W$505,AT$3,実績!$AC$6:$AC$505,"&lt;="&amp;$A220,実績!$AD$6:$AD$505,"&gt;"&amp;$A220,実績!$AE$6:$AE$505,"○")&gt;0,1,0))</f>
        <v/>
      </c>
      <c r="AU220">
        <f>IF(AU$4=0,0,IF(COUNTIFS(実績!$W$6:$W$505,AU$3,実績!$AC$6:$AC$505,"&lt;="&amp;$A220,実績!$AD$6:$AD$505,"&gt;"&amp;$A220,実績!$AE$6:$AE$505,"○")&gt;0,1,0))</f>
        <v/>
      </c>
      <c r="AV220">
        <f>IF(AV$4=0,0,IF(COUNTIFS(実績!$W$6:$W$505,AV$3,実績!$AC$6:$AC$505,"&lt;="&amp;$A220,実績!$AD$6:$AD$505,"&gt;"&amp;$A220,実績!$AE$6:$AE$505,"○")&gt;0,1,0))</f>
        <v/>
      </c>
      <c r="AW220">
        <f>IF(AW$4=0,0,IF(COUNTIFS(実績!$W$6:$W$505,AW$3,実績!$AC$6:$AC$505,"&lt;="&amp;$A220,実績!$AD$6:$AD$505,"&gt;"&amp;$A220,実績!$AE$6:$AE$505,"○")&gt;0,1,0))</f>
        <v/>
      </c>
      <c r="AX220">
        <f>IF(AX$4=0,0,IF(COUNTIFS(実績!$W$6:$W$505,AX$3,実績!$AC$6:$AC$505,"&lt;="&amp;$A220,実績!$AD$6:$AD$505,"&gt;"&amp;$A220,実績!$AE$6:$AE$505,"○")&gt;0,1,0))</f>
        <v/>
      </c>
      <c r="AY220">
        <f>IF(AY$4=0,0,IF(COUNTIFS(実績!$W$6:$W$505,AY$3,実績!$AC$6:$AC$505,"&lt;="&amp;$A220,実績!$AD$6:$AD$505,"&gt;"&amp;$A220,実績!$AE$6:$AE$505,"○")&gt;0,1,0))</f>
        <v/>
      </c>
      <c r="AZ220">
        <f>IF(AZ$4=0,0,IF(COUNTIFS(実績!$W$6:$W$505,AZ$3,実績!$AC$6:$AC$505,"&lt;="&amp;$A220,実績!$AD$6:$AD$505,"&gt;"&amp;$A220,実績!$AE$6:$AE$505,"○")&gt;0,1,0))</f>
        <v/>
      </c>
      <c r="BA220">
        <f>IF(BA$4=0,0,IF(COUNTIFS(実績!$W$6:$W$505,BA$3,実績!$AC$6:$AC$505,"&lt;="&amp;$A220,実績!$AD$6:$AD$505,"&gt;"&amp;$A220,実績!$AE$6:$AE$505,"○")&gt;0,1,0))</f>
        <v/>
      </c>
      <c r="BB220">
        <f>IF(BB$4=0,0,IF(COUNTIFS(実績!$W$6:$W$505,BB$3,実績!$AC$6:$AC$505,"&lt;="&amp;$A220,実績!$AD$6:$AD$505,"&gt;"&amp;$A220,実績!$AE$6:$AE$505,"○")&gt;0,1,0))</f>
        <v/>
      </c>
      <c r="BC220">
        <f>IF(BC$4=0,0,IF(COUNTIFS(実績!$W$6:$W$505,BC$3,実績!$AC$6:$AC$505,"&lt;="&amp;$A220,実績!$AD$6:$AD$505,"&gt;"&amp;$A220,実績!$AE$6:$AE$505,"○")&gt;0,1,0))</f>
        <v/>
      </c>
      <c r="BD220">
        <f>IF(BD$4=0,0,IF(COUNTIFS(実績!$W$6:$W$505,BD$3,実績!$AC$6:$AC$505,"&lt;="&amp;$A220,実績!$AD$6:$AD$505,"&gt;"&amp;$A220,実績!$AE$6:$AE$505,"○")&gt;0,1,0))</f>
        <v/>
      </c>
      <c r="BE220">
        <f>IF(BE$4=0,0,IF(COUNTIFS(実績!$W$6:$W$505,BE$3,実績!$AC$6:$AC$505,"&lt;="&amp;$A220,実績!$AD$6:$AD$505,"&gt;"&amp;$A220,実績!$AE$6:$AE$505,"○")&gt;0,1,0))</f>
        <v/>
      </c>
      <c r="BF220">
        <f>IF(BF$4=0,0,IF(COUNTIFS(実績!$W$6:$W$505,BF$3,実績!$AC$6:$AC$505,"&lt;="&amp;$A220,実績!$AD$6:$AD$505,"&gt;"&amp;$A220,実績!$AE$6:$AE$505,"○")&gt;0,1,0))</f>
        <v/>
      </c>
      <c r="BG220">
        <f>IF(BG$4=0,0,IF(COUNTIFS(実績!$W$6:$W$505,BG$3,実績!$AC$6:$AC$505,"&lt;="&amp;$A220,実績!$AD$6:$AD$505,"&gt;"&amp;$A220,実績!$AE$6:$AE$505,"○")&gt;0,1,0))</f>
        <v/>
      </c>
      <c r="BH220">
        <f>IF(BH$4=0,0,IF(COUNTIFS(実績!$W$6:$W$505,BH$3,実績!$AC$6:$AC$505,"&lt;="&amp;$A220,実績!$AD$6:$AD$505,"&gt;"&amp;$A220,実績!$AE$6:$AE$505,"○")&gt;0,1,0))</f>
        <v/>
      </c>
      <c r="BI220">
        <f>IF(BI$4=0,0,IF(COUNTIFS(実績!$W$6:$W$505,BI$3,実績!$AC$6:$AC$505,"&lt;="&amp;$A220,実績!$AD$6:$AD$505,"&gt;"&amp;$A220,実績!$AE$6:$AE$505,"○")&gt;0,1,0))</f>
        <v/>
      </c>
      <c r="BJ220">
        <f>IF(BJ$4=0,0,IF(COUNTIFS(実績!$W$6:$W$505,BJ$3,実績!$AC$6:$AC$505,"&lt;="&amp;$A220,実績!$AD$6:$AD$505,"&gt;"&amp;$A220,実績!$AE$6:$AE$505,"○")&gt;0,1,0))</f>
        <v/>
      </c>
      <c r="BK220">
        <f>IF(BK$4=0,0,IF(COUNTIFS(実績!$W$6:$W$505,BK$3,実績!$AC$6:$AC$505,"&lt;="&amp;$A220,実績!$AD$6:$AD$505,"&gt;"&amp;$A220,実績!$AE$6:$AE$505,"○")&gt;0,1,0))</f>
        <v/>
      </c>
      <c r="BL220">
        <f>IF(BL$4=0,0,IF(COUNTIFS(実績!$W$6:$W$505,BL$3,実績!$AC$6:$AC$505,"&lt;="&amp;$A220,実績!$AD$6:$AD$505,"&gt;"&amp;$A220,実績!$AE$6:$AE$505,"○")&gt;0,1,0))</f>
        <v/>
      </c>
      <c r="BM220">
        <f>IF(BM$4=0,0,IF(COUNTIFS(実績!$W$6:$W$505,BM$3,実績!$AC$6:$AC$505,"&lt;="&amp;$A220,実績!$AD$6:$AD$505,"&gt;"&amp;$A220,実績!$AE$6:$AE$505,"○")&gt;0,1,0))</f>
        <v/>
      </c>
      <c r="BN220">
        <f>IF(BN$4=0,0,IF(COUNTIFS(実績!$W$6:$W$505,BN$3,実績!$AC$6:$AC$505,"&lt;="&amp;$A220,実績!$AD$6:$AD$505,"&gt;"&amp;$A220,実績!$AE$6:$AE$505,"○")&gt;0,1,0))</f>
        <v/>
      </c>
      <c r="BO220">
        <f>IF(BO$4=0,0,IF(COUNTIFS(実績!$W$6:$W$505,BO$3,実績!$AC$6:$AC$505,"&lt;="&amp;$A220,実績!$AD$6:$AD$505,"&gt;"&amp;$A220,実績!$AE$6:$AE$505,"○")&gt;0,1,0))</f>
        <v/>
      </c>
      <c r="BP220">
        <f>IF(BP$4=0,0,IF(COUNTIFS(実績!$W$6:$W$505,BP$3,実績!$AC$6:$AC$505,"&lt;="&amp;$A220,実績!$AD$6:$AD$505,"&gt;"&amp;$A220,実績!$AE$6:$AE$505,"○")&gt;0,1,0))</f>
        <v/>
      </c>
      <c r="BQ220">
        <f>IF(BQ$4=0,0,IF(COUNTIFS(実績!$W$6:$W$505,BQ$3,実績!$AC$6:$AC$505,"&lt;="&amp;$A220,実績!$AD$6:$AD$505,"&gt;"&amp;$A220,実績!$AE$6:$AE$505,"○")&gt;0,1,0))</f>
        <v/>
      </c>
      <c r="BR220">
        <f>IF(BR$4=0,0,IF(COUNTIFS(実績!$W$6:$W$505,BR$3,実績!$AC$6:$AC$505,"&lt;="&amp;$A220,実績!$AD$6:$AD$505,"&gt;"&amp;$A220,実績!$AE$6:$AE$505,"○")&gt;0,1,0))</f>
        <v/>
      </c>
      <c r="BS220">
        <f>IF(BS$4=0,0,IF(COUNTIFS(実績!$W$6:$W$505,BS$3,実績!$AC$6:$AC$505,"&lt;="&amp;$A220,実績!$AD$6:$AD$505,"&gt;"&amp;$A220,実績!$AE$6:$AE$505,"○")&gt;0,1,0))</f>
        <v/>
      </c>
      <c r="BT220">
        <f>IF(BT$4=0,0,IF(COUNTIFS(実績!$W$6:$W$505,BT$3,実績!$AC$6:$AC$505,"&lt;="&amp;$A220,実績!$AD$6:$AD$505,"&gt;"&amp;$A220,実績!$AE$6:$AE$505,"○")&gt;0,1,0))</f>
        <v/>
      </c>
      <c r="BU220">
        <f>IF(BU$4=0,0,IF(COUNTIFS(実績!$W$6:$W$505,BU$3,実績!$AC$6:$AC$505,"&lt;="&amp;$A220,実績!$AD$6:$AD$505,"&gt;"&amp;$A220,実績!$AE$6:$AE$505,"○")&gt;0,1,0))</f>
        <v/>
      </c>
      <c r="BV220">
        <f>IF(BV$4=0,0,IF(COUNTIFS(実績!$W$6:$W$505,BV$3,実績!$AC$6:$AC$505,"&lt;="&amp;$A220,実績!$AD$6:$AD$505,"&gt;"&amp;$A220,実績!$AE$6:$AE$505,"○")&gt;0,1,0))</f>
        <v/>
      </c>
      <c r="BW220">
        <f>IF(BW$4=0,0,IF(COUNTIFS(実績!$W$6:$W$505,BW$3,実績!$AC$6:$AC$505,"&lt;="&amp;$A220,実績!$AD$6:$AD$505,"&gt;"&amp;$A220,実績!$AE$6:$AE$505,"○")&gt;0,1,0))</f>
        <v/>
      </c>
      <c r="BX220">
        <f>IF(BX$4=0,0,IF(COUNTIFS(実績!$W$6:$W$505,BX$3,実績!$AC$6:$AC$505,"&lt;="&amp;$A220,実績!$AD$6:$AD$505,"&gt;"&amp;$A220,実績!$AE$6:$AE$505,"○")&gt;0,1,0))</f>
        <v/>
      </c>
      <c r="BY220">
        <f>IF(BY$4=0,0,IF(COUNTIFS(実績!$W$6:$W$505,BY$3,実績!$AC$6:$AC$505,"&lt;="&amp;$A220,実績!$AD$6:$AD$505,"&gt;"&amp;$A220,実績!$AE$6:$AE$505,"○")&gt;0,1,0))</f>
        <v/>
      </c>
      <c r="BZ220">
        <f>IF(BZ$4=0,0,IF(COUNTIFS(実績!$W$6:$W$505,BZ$3,実績!$AC$6:$AC$505,"&lt;="&amp;$A220,実績!$AD$6:$AD$505,"&gt;"&amp;$A220,実績!$AE$6:$AE$505,"○")&gt;0,1,0))</f>
        <v/>
      </c>
      <c r="CA220">
        <f>IF(CA$4=0,0,IF(COUNTIFS(実績!$W$6:$W$505,CA$3,実績!$AC$6:$AC$505,"&lt;="&amp;$A220,実績!$AD$6:$AD$505,"&gt;"&amp;$A220,実績!$AE$6:$AE$505,"○")&gt;0,1,0))</f>
        <v/>
      </c>
      <c r="CB220">
        <f>IF(CB$4=0,0,IF(COUNTIFS(実績!$W$6:$W$505,CB$3,実績!$AC$6:$AC$505,"&lt;="&amp;$A220,実績!$AD$6:$AD$505,"&gt;"&amp;$A220,実績!$AE$6:$AE$505,"○")&gt;0,1,0))</f>
        <v/>
      </c>
      <c r="CC220">
        <f>IF(CC$4=0,0,IF(COUNTIFS(実績!$W$6:$W$505,CC$3,実績!$AC$6:$AC$505,"&lt;="&amp;$A220,実績!$AD$6:$AD$505,"&gt;"&amp;$A220,実績!$AE$6:$AE$505,"○")&gt;0,1,0))</f>
        <v/>
      </c>
      <c r="CD220">
        <f>IF(CD$4=0,0,IF(COUNTIFS(実績!$W$6:$W$505,CD$3,実績!$AC$6:$AC$505,"&lt;="&amp;$A220,実績!$AD$6:$AD$505,"&gt;"&amp;$A220,実績!$AE$6:$AE$505,"○")&gt;0,1,0))</f>
        <v/>
      </c>
      <c r="CE220">
        <f>IF(CE$4=0,0,IF(COUNTIFS(実績!$W$6:$W$505,CE$3,実績!$AC$6:$AC$505,"&lt;="&amp;$A220,実績!$AD$6:$AD$505,"&gt;"&amp;$A220,実績!$AE$6:$AE$505,"○")&gt;0,1,0))</f>
        <v/>
      </c>
      <c r="CF220">
        <f>IF(CF$4=0,0,IF(COUNTIFS(実績!$W$6:$W$505,CF$3,実績!$AC$6:$AC$505,"&lt;="&amp;$A220,実績!$AD$6:$AD$505,"&gt;"&amp;$A220,実績!$AE$6:$AE$505,"○")&gt;0,1,0))</f>
        <v/>
      </c>
      <c r="CG220">
        <f>IF(CG$4=0,0,IF(COUNTIFS(実績!$W$6:$W$505,CG$3,実績!$AC$6:$AC$505,"&lt;="&amp;$A220,実績!$AD$6:$AD$505,"&gt;"&amp;$A220,実績!$AE$6:$AE$505,"○")&gt;0,1,0))</f>
        <v/>
      </c>
      <c r="CH220">
        <f>IF(CH$4=0,0,IF(COUNTIFS(実績!$W$6:$W$505,CH$3,実績!$AC$6:$AC$505,"&lt;="&amp;$A220,実績!$AD$6:$AD$505,"&gt;"&amp;$A220,実績!$AE$6:$AE$505,"○")&gt;0,1,0))</f>
        <v/>
      </c>
      <c r="CI220">
        <f>IF(CI$4=0,0,IF(COUNTIFS(実績!$W$6:$W$505,CI$3,実績!$AC$6:$AC$505,"&lt;="&amp;$A220,実績!$AD$6:$AD$505,"&gt;"&amp;$A220,実績!$AE$6:$AE$505,"○")&gt;0,1,0))</f>
        <v/>
      </c>
      <c r="CJ220">
        <f>IF(CJ$4=0,0,IF(COUNTIFS(実績!$W$6:$W$505,CJ$3,実績!$AC$6:$AC$505,"&lt;="&amp;$A220,実績!$AD$6:$AD$505,"&gt;"&amp;$A220,実績!$AE$6:$AE$505,"○")&gt;0,1,0))</f>
        <v/>
      </c>
      <c r="CK220">
        <f>IF(CK$4=0,0,IF(COUNTIFS(実績!$W$6:$W$505,CK$3,実績!$AC$6:$AC$505,"&lt;="&amp;$A220,実績!$AD$6:$AD$505,"&gt;"&amp;$A220,実績!$AE$6:$AE$505,"○")&gt;0,1,0))</f>
        <v/>
      </c>
      <c r="CL220">
        <f>IF(CL$4=0,0,IF(COUNTIFS(実績!$W$6:$W$505,CL$3,実績!$AC$6:$AC$505,"&lt;="&amp;$A220,実績!$AD$6:$AD$505,"&gt;"&amp;$A220,実績!$AE$6:$AE$505,"○")&gt;0,1,0))</f>
        <v/>
      </c>
      <c r="CM220">
        <f>IF(CM$4=0,0,IF(COUNTIFS(実績!$W$6:$W$505,CM$3,実績!$AC$6:$AC$505,"&lt;="&amp;$A220,実績!$AD$6:$AD$505,"&gt;"&amp;$A220,実績!$AE$6:$AE$505,"○")&gt;0,1,0))</f>
        <v/>
      </c>
      <c r="CN220">
        <f>IF(CN$4=0,0,IF(COUNTIFS(実績!$W$6:$W$505,CN$3,実績!$AC$6:$AC$505,"&lt;="&amp;$A220,実績!$AD$6:$AD$505,"&gt;"&amp;$A220,実績!$AE$6:$AE$505,"○")&gt;0,1,0))</f>
        <v/>
      </c>
      <c r="CO220">
        <f>IF(CO$4=0,0,IF(COUNTIFS(実績!$W$6:$W$505,CO$3,実績!$AC$6:$AC$505,"&lt;="&amp;$A220,実績!$AD$6:$AD$505,"&gt;"&amp;$A220,実績!$AE$6:$AE$505,"○")&gt;0,1,0))</f>
        <v/>
      </c>
      <c r="CP220">
        <f>IF(CP$4=0,0,IF(COUNTIFS(実績!$W$6:$W$505,CP$3,実績!$AC$6:$AC$505,"&lt;="&amp;$A220,実績!$AD$6:$AD$505,"&gt;"&amp;$A220,実績!$AE$6:$AE$505,"○")&gt;0,1,0))</f>
        <v/>
      </c>
      <c r="CQ220">
        <f>IF(CQ$4=0,0,IF(COUNTIFS(実績!$W$6:$W$505,CQ$3,実績!$AC$6:$AC$505,"&lt;="&amp;$A220,実績!$AD$6:$AD$505,"&gt;"&amp;$A220,実績!$AE$6:$AE$505,"○")&gt;0,1,0))</f>
        <v/>
      </c>
      <c r="CR220">
        <f>IF(CR$4=0,0,IF(COUNTIFS(実績!$W$6:$W$505,CR$3,実績!$AC$6:$AC$505,"&lt;="&amp;$A220,実績!$AD$6:$AD$505,"&gt;"&amp;$A220,実績!$AE$6:$AE$505,"○")&gt;0,1,0))</f>
        <v/>
      </c>
      <c r="CS220">
        <f>IF(CS$4=0,0,IF(COUNTIFS(実績!$W$6:$W$505,CS$3,実績!$AC$6:$AC$505,"&lt;="&amp;$A220,実績!$AD$6:$AD$505,"&gt;"&amp;$A220,実績!$AE$6:$AE$505,"○")&gt;0,1,0))</f>
        <v/>
      </c>
      <c r="CT220">
        <f>IF(CT$4=0,0,IF(COUNTIFS(実績!$W$6:$W$505,CT$3,実績!$AC$6:$AC$505,"&lt;="&amp;$A220,実績!$AD$6:$AD$505,"&gt;"&amp;$A220,実績!$AE$6:$AE$505,"○")&gt;0,1,0))</f>
        <v/>
      </c>
      <c r="CU220">
        <f>IF(CU$4=0,0,IF(COUNTIFS(実績!$W$6:$W$505,CU$3,実績!$AC$6:$AC$505,"&lt;="&amp;$A220,実績!$AD$6:$AD$505,"&gt;"&amp;$A220,実績!$AE$6:$AE$505,"○")&gt;0,1,0))</f>
        <v/>
      </c>
      <c r="CV220">
        <f>IF(CV$4=0,0,IF(COUNTIFS(実績!$W$6:$W$505,CV$3,実績!$AC$6:$AC$505,"&lt;="&amp;$A220,実績!$AD$6:$AD$505,"&gt;"&amp;$A220,実績!$AE$6:$AE$505,"○")&gt;0,1,0))</f>
        <v/>
      </c>
      <c r="CW220">
        <f>IF(CW$4=0,0,IF(COUNTIFS(実績!$W$6:$W$505,CW$3,実績!$AC$6:$AC$505,"&lt;="&amp;$A220,実績!$AD$6:$AD$505,"&gt;"&amp;$A220,実績!$AE$6:$AE$505,"○")&gt;0,1,0))</f>
        <v/>
      </c>
      <c r="CX220">
        <f>IF(CX$4=0,0,IF(COUNTIFS(実績!$W$6:$W$505,CX$3,実績!$AC$6:$AC$505,"&lt;="&amp;$A220,実績!$AD$6:$AD$505,"&gt;"&amp;$A220,実績!$AE$6:$AE$505,"○")&gt;0,1,0))</f>
        <v/>
      </c>
      <c r="CY220">
        <f>IF(CY$4=0,0,IF(COUNTIFS(実績!$W$6:$W$505,CY$3,実績!$AC$6:$AC$505,"&lt;="&amp;$A220,実績!$AD$6:$AD$505,"&gt;"&amp;$A220,実績!$AE$6:$AE$505,"○")&gt;0,1,0))</f>
        <v/>
      </c>
      <c r="CZ220">
        <f>IF(CZ$4=0,0,IF(COUNTIFS(実績!$W$6:$W$505,CZ$3,実績!$AC$6:$AC$505,"&lt;="&amp;$A220,実績!$AD$6:$AD$505,"&gt;"&amp;$A220,実績!$AE$6:$AE$505,"○")&gt;0,1,0))</f>
        <v/>
      </c>
      <c r="DA220">
        <f>IF(DA$4=0,0,IF(COUNTIFS(実績!$W$6:$W$505,DA$3,実績!$AC$6:$AC$505,"&lt;="&amp;$A220,実績!$AD$6:$AD$505,"&gt;"&amp;$A220,実績!$AE$6:$AE$505,"○")&gt;0,1,0))</f>
        <v/>
      </c>
      <c r="DB220">
        <f>IF(DB$4=0,0,IF(COUNTIFS(実績!$W$6:$W$505,DB$3,実績!$AC$6:$AC$505,"&lt;="&amp;$A220,実績!$AD$6:$AD$505,"&gt;"&amp;$A220,実績!$AE$6:$AE$505,"○")&gt;0,1,0))</f>
        <v/>
      </c>
      <c r="DC220">
        <f>IF(DC$4=0,0,IF(COUNTIFS(実績!$W$6:$W$505,DC$3,実績!$AC$6:$AC$505,"&lt;="&amp;$A220,実績!$AD$6:$AD$505,"&gt;"&amp;$A220,実績!$AE$6:$AE$505,"○")&gt;0,1,0))</f>
        <v/>
      </c>
      <c r="DD220">
        <f>IF(DD$4=0,0,IF(COUNTIFS(実績!$W$6:$W$505,DD$3,実績!$AC$6:$AC$505,"&lt;="&amp;$A220,実績!$AD$6:$AD$505,"&gt;"&amp;$A220,実績!$AE$6:$AE$505,"○")&gt;0,1,0))</f>
        <v/>
      </c>
      <c r="DE220">
        <f>IF(DE$4=0,0,IF(COUNTIFS(実績!$W$6:$W$505,DE$3,実績!$AC$6:$AC$505,"&lt;="&amp;$A220,実績!$AD$6:$AD$505,"&gt;"&amp;$A220,実績!$AE$6:$AE$505,"○")&gt;0,1,0))</f>
        <v/>
      </c>
      <c r="DF220">
        <f>IF(DF$4=0,0,IF(COUNTIFS(実績!$W$6:$W$505,DF$3,実績!$AC$6:$AC$505,"&lt;="&amp;$A220,実績!$AD$6:$AD$505,"&gt;"&amp;$A220,実績!$AE$6:$AE$505,"○")&gt;0,1,0))</f>
        <v/>
      </c>
      <c r="DG220">
        <f>IF(DG$4=0,0,IF(COUNTIFS(実績!$W$6:$W$505,DG$3,実績!$AC$6:$AC$505,"&lt;="&amp;$A220,実績!$AD$6:$AD$505,"&gt;"&amp;$A220,実績!$AE$6:$AE$505,"○")&gt;0,1,0))</f>
        <v/>
      </c>
      <c r="DH220">
        <f>IF(DH$4=0,0,IF(COUNTIFS(実績!$W$6:$W$505,DH$3,実績!$AC$6:$AC$505,"&lt;="&amp;$A220,実績!$AD$6:$AD$505,"&gt;"&amp;$A220,実績!$AE$6:$AE$505,"○")&gt;0,1,0))</f>
        <v/>
      </c>
      <c r="DI220">
        <f>IF(DI$4=0,0,IF(COUNTIFS(実績!$W$6:$W$505,DI$3,実績!$AC$6:$AC$505,"&lt;="&amp;$A220,実績!$AD$6:$AD$505,"&gt;"&amp;$A220,実績!$AE$6:$AE$505,"○")&gt;0,1,0))</f>
        <v/>
      </c>
      <c r="DJ220">
        <f>IF(DJ$4=0,0,IF(COUNTIFS(実績!$W$6:$W$505,DJ$3,実績!$AC$6:$AC$505,"&lt;="&amp;$A220,実績!$AD$6:$AD$505,"&gt;"&amp;$A220,実績!$AE$6:$AE$505,"○")&gt;0,1,0))</f>
        <v/>
      </c>
      <c r="DK220">
        <f>IF(DK$4=0,0,IF(COUNTIFS(実績!$W$6:$W$505,DK$3,実績!$AC$6:$AC$505,"&lt;="&amp;$A220,実績!$AD$6:$AD$505,"&gt;"&amp;$A220,実績!$AE$6:$AE$505,"○")&gt;0,1,0))</f>
        <v/>
      </c>
      <c r="DL220">
        <f>IF(DL$4=0,0,IF(COUNTIFS(実績!$W$6:$W$505,DL$3,実績!$AC$6:$AC$505,"&lt;="&amp;$A220,実績!$AD$6:$AD$505,"&gt;"&amp;$A220,実績!$AE$6:$AE$505,"○")&gt;0,1,0))</f>
        <v/>
      </c>
      <c r="DM220">
        <f>IF(DM$4=0,0,IF(COUNTIFS(実績!$W$6:$W$505,DM$3,実績!$AC$6:$AC$505,"&lt;="&amp;$A220,実績!$AD$6:$AD$505,"&gt;"&amp;$A220,実績!$AE$6:$AE$505,"○")&gt;0,1,0))</f>
        <v/>
      </c>
      <c r="DN220">
        <f>IF(DN$4=0,0,IF(COUNTIFS(実績!$W$6:$W$505,DN$3,実績!$AC$6:$AC$505,"&lt;="&amp;$A220,実績!$AD$6:$AD$505,"&gt;"&amp;$A220,実績!$AE$6:$AE$505,"○")&gt;0,1,0))</f>
        <v/>
      </c>
      <c r="DO220">
        <f>IF(DO$4=0,0,IF(COUNTIFS(実績!$W$6:$W$505,DO$3,実績!$AC$6:$AC$505,"&lt;="&amp;$A220,実績!$AD$6:$AD$505,"&gt;"&amp;$A220,実績!$AE$6:$AE$505,"○")&gt;0,1,0))</f>
        <v/>
      </c>
      <c r="DP220">
        <f>IF(DP$4=0,0,IF(COUNTIFS(実績!$W$6:$W$505,DP$3,実績!$AC$6:$AC$505,"&lt;="&amp;$A220,実績!$AD$6:$AD$505,"&gt;"&amp;$A220,実績!$AE$6:$AE$505,"○")&gt;0,1,0))</f>
        <v/>
      </c>
      <c r="DQ220">
        <f>IF(DQ$4=0,0,IF(COUNTIFS(実績!$W$6:$W$505,DQ$3,実績!$AC$6:$AC$505,"&lt;="&amp;$A220,実績!$AD$6:$AD$505,"&gt;"&amp;$A220,実績!$AE$6:$AE$505,"○")&gt;0,1,0))</f>
        <v/>
      </c>
      <c r="DR220">
        <f>IF(DR$4=0,0,IF(COUNTIFS(実績!$W$6:$W$505,DR$3,実績!$AC$6:$AC$505,"&lt;="&amp;$A220,実績!$AD$6:$AD$505,"&gt;"&amp;$A220,実績!$AE$6:$AE$505,"○")&gt;0,1,0))</f>
        <v/>
      </c>
      <c r="DS220">
        <f>SUM(C220:DR220)</f>
        <v/>
      </c>
      <c r="DT220">
        <f>SUMPRODUCT((実績!$C$6:$C$505="○")*ISNUMBER(実績!$AF$6:$AF$505)*(実績!$AF$6:$AF$505&lt;=$A220)*(実績!$AG$6:$AG$505&gt;$A220))</f>
        <v/>
      </c>
      <c r="DU220">
        <f>SUMIF($C$2:$DR$2,"製鉄曳船",C220:DR220)</f>
        <v/>
      </c>
      <c r="DV220">
        <f>SUMIF($C$2:$DR$2,"西日本海運",C220:DR220)</f>
        <v/>
      </c>
    </row>
    <row r="221">
      <c r="A221" t="n">
        <v>1075</v>
      </c>
      <c r="B221" s="29">
        <f>A221/1440</f>
        <v/>
      </c>
      <c r="C221">
        <f>IF(C$4=0,0,IF(COUNTIFS(実績!$W$6:$W$505,C$3,実績!$AC$6:$AC$505,"&lt;="&amp;$A221,実績!$AD$6:$AD$505,"&gt;"&amp;$A221,実績!$AE$6:$AE$505,"○")&gt;0,1,0))</f>
        <v/>
      </c>
      <c r="D221">
        <f>IF(D$4=0,0,IF(COUNTIFS(実績!$W$6:$W$505,D$3,実績!$AC$6:$AC$505,"&lt;="&amp;$A221,実績!$AD$6:$AD$505,"&gt;"&amp;$A221,実績!$AE$6:$AE$505,"○")&gt;0,1,0))</f>
        <v/>
      </c>
      <c r="E221">
        <f>IF(E$4=0,0,IF(COUNTIFS(実績!$W$6:$W$505,E$3,実績!$AC$6:$AC$505,"&lt;="&amp;$A221,実績!$AD$6:$AD$505,"&gt;"&amp;$A221,実績!$AE$6:$AE$505,"○")&gt;0,1,0))</f>
        <v/>
      </c>
      <c r="F221">
        <f>IF(F$4=0,0,IF(COUNTIFS(実績!$W$6:$W$505,F$3,実績!$AC$6:$AC$505,"&lt;="&amp;$A221,実績!$AD$6:$AD$505,"&gt;"&amp;$A221,実績!$AE$6:$AE$505,"○")&gt;0,1,0))</f>
        <v/>
      </c>
      <c r="G221">
        <f>IF(G$4=0,0,IF(COUNTIFS(実績!$W$6:$W$505,G$3,実績!$AC$6:$AC$505,"&lt;="&amp;$A221,実績!$AD$6:$AD$505,"&gt;"&amp;$A221,実績!$AE$6:$AE$505,"○")&gt;0,1,0))</f>
        <v/>
      </c>
      <c r="H221">
        <f>IF(H$4=0,0,IF(COUNTIFS(実績!$W$6:$W$505,H$3,実績!$AC$6:$AC$505,"&lt;="&amp;$A221,実績!$AD$6:$AD$505,"&gt;"&amp;$A221,実績!$AE$6:$AE$505,"○")&gt;0,1,0))</f>
        <v/>
      </c>
      <c r="I221">
        <f>IF(I$4=0,0,IF(COUNTIFS(実績!$W$6:$W$505,I$3,実績!$AC$6:$AC$505,"&lt;="&amp;$A221,実績!$AD$6:$AD$505,"&gt;"&amp;$A221,実績!$AE$6:$AE$505,"○")&gt;0,1,0))</f>
        <v/>
      </c>
      <c r="J221">
        <f>IF(J$4=0,0,IF(COUNTIFS(実績!$W$6:$W$505,J$3,実績!$AC$6:$AC$505,"&lt;="&amp;$A221,実績!$AD$6:$AD$505,"&gt;"&amp;$A221,実績!$AE$6:$AE$505,"○")&gt;0,1,0))</f>
        <v/>
      </c>
      <c r="K221">
        <f>IF(K$4=0,0,IF(COUNTIFS(実績!$W$6:$W$505,K$3,実績!$AC$6:$AC$505,"&lt;="&amp;$A221,実績!$AD$6:$AD$505,"&gt;"&amp;$A221,実績!$AE$6:$AE$505,"○")&gt;0,1,0))</f>
        <v/>
      </c>
      <c r="L221">
        <f>IF(L$4=0,0,IF(COUNTIFS(実績!$W$6:$W$505,L$3,実績!$AC$6:$AC$505,"&lt;="&amp;$A221,実績!$AD$6:$AD$505,"&gt;"&amp;$A221,実績!$AE$6:$AE$505,"○")&gt;0,1,0))</f>
        <v/>
      </c>
      <c r="M221">
        <f>IF(M$4=0,0,IF(COUNTIFS(実績!$W$6:$W$505,M$3,実績!$AC$6:$AC$505,"&lt;="&amp;$A221,実績!$AD$6:$AD$505,"&gt;"&amp;$A221,実績!$AE$6:$AE$505,"○")&gt;0,1,0))</f>
        <v/>
      </c>
      <c r="N221">
        <f>IF(N$4=0,0,IF(COUNTIFS(実績!$W$6:$W$505,N$3,実績!$AC$6:$AC$505,"&lt;="&amp;$A221,実績!$AD$6:$AD$505,"&gt;"&amp;$A221,実績!$AE$6:$AE$505,"○")&gt;0,1,0))</f>
        <v/>
      </c>
      <c r="O221">
        <f>IF(O$4=0,0,IF(COUNTIFS(実績!$W$6:$W$505,O$3,実績!$AC$6:$AC$505,"&lt;="&amp;$A221,実績!$AD$6:$AD$505,"&gt;"&amp;$A221,実績!$AE$6:$AE$505,"○")&gt;0,1,0))</f>
        <v/>
      </c>
      <c r="P221">
        <f>IF(P$4=0,0,IF(COUNTIFS(実績!$W$6:$W$505,P$3,実績!$AC$6:$AC$505,"&lt;="&amp;$A221,実績!$AD$6:$AD$505,"&gt;"&amp;$A221,実績!$AE$6:$AE$505,"○")&gt;0,1,0))</f>
        <v/>
      </c>
      <c r="Q221">
        <f>IF(Q$4=0,0,IF(COUNTIFS(実績!$W$6:$W$505,Q$3,実績!$AC$6:$AC$505,"&lt;="&amp;$A221,実績!$AD$6:$AD$505,"&gt;"&amp;$A221,実績!$AE$6:$AE$505,"○")&gt;0,1,0))</f>
        <v/>
      </c>
      <c r="R221">
        <f>IF(R$4=0,0,IF(COUNTIFS(実績!$W$6:$W$505,R$3,実績!$AC$6:$AC$505,"&lt;="&amp;$A221,実績!$AD$6:$AD$505,"&gt;"&amp;$A221,実績!$AE$6:$AE$505,"○")&gt;0,1,0))</f>
        <v/>
      </c>
      <c r="S221">
        <f>IF(S$4=0,0,IF(COUNTIFS(実績!$W$6:$W$505,S$3,実績!$AC$6:$AC$505,"&lt;="&amp;$A221,実績!$AD$6:$AD$505,"&gt;"&amp;$A221,実績!$AE$6:$AE$505,"○")&gt;0,1,0))</f>
        <v/>
      </c>
      <c r="T221">
        <f>IF(T$4=0,0,IF(COUNTIFS(実績!$W$6:$W$505,T$3,実績!$AC$6:$AC$505,"&lt;="&amp;$A221,実績!$AD$6:$AD$505,"&gt;"&amp;$A221,実績!$AE$6:$AE$505,"○")&gt;0,1,0))</f>
        <v/>
      </c>
      <c r="U221">
        <f>IF(U$4=0,0,IF(COUNTIFS(実績!$W$6:$W$505,U$3,実績!$AC$6:$AC$505,"&lt;="&amp;$A221,実績!$AD$6:$AD$505,"&gt;"&amp;$A221,実績!$AE$6:$AE$505,"○")&gt;0,1,0))</f>
        <v/>
      </c>
      <c r="V221">
        <f>IF(V$4=0,0,IF(COUNTIFS(実績!$W$6:$W$505,V$3,実績!$AC$6:$AC$505,"&lt;="&amp;$A221,実績!$AD$6:$AD$505,"&gt;"&amp;$A221,実績!$AE$6:$AE$505,"○")&gt;0,1,0))</f>
        <v/>
      </c>
      <c r="W221">
        <f>IF(W$4=0,0,IF(COUNTIFS(実績!$W$6:$W$505,W$3,実績!$AC$6:$AC$505,"&lt;="&amp;$A221,実績!$AD$6:$AD$505,"&gt;"&amp;$A221,実績!$AE$6:$AE$505,"○")&gt;0,1,0))</f>
        <v/>
      </c>
      <c r="X221">
        <f>IF(X$4=0,0,IF(COUNTIFS(実績!$W$6:$W$505,X$3,実績!$AC$6:$AC$505,"&lt;="&amp;$A221,実績!$AD$6:$AD$505,"&gt;"&amp;$A221,実績!$AE$6:$AE$505,"○")&gt;0,1,0))</f>
        <v/>
      </c>
      <c r="Y221">
        <f>IF(Y$4=0,0,IF(COUNTIFS(実績!$W$6:$W$505,Y$3,実績!$AC$6:$AC$505,"&lt;="&amp;$A221,実績!$AD$6:$AD$505,"&gt;"&amp;$A221,実績!$AE$6:$AE$505,"○")&gt;0,1,0))</f>
        <v/>
      </c>
      <c r="Z221">
        <f>IF(Z$4=0,0,IF(COUNTIFS(実績!$W$6:$W$505,Z$3,実績!$AC$6:$AC$505,"&lt;="&amp;$A221,実績!$AD$6:$AD$505,"&gt;"&amp;$A221,実績!$AE$6:$AE$505,"○")&gt;0,1,0))</f>
        <v/>
      </c>
      <c r="AA221">
        <f>IF(AA$4=0,0,IF(COUNTIFS(実績!$W$6:$W$505,AA$3,実績!$AC$6:$AC$505,"&lt;="&amp;$A221,実績!$AD$6:$AD$505,"&gt;"&amp;$A221,実績!$AE$6:$AE$505,"○")&gt;0,1,0))</f>
        <v/>
      </c>
      <c r="AB221">
        <f>IF(AB$4=0,0,IF(COUNTIFS(実績!$W$6:$W$505,AB$3,実績!$AC$6:$AC$505,"&lt;="&amp;$A221,実績!$AD$6:$AD$505,"&gt;"&amp;$A221,実績!$AE$6:$AE$505,"○")&gt;0,1,0))</f>
        <v/>
      </c>
      <c r="AC221">
        <f>IF(AC$4=0,0,IF(COUNTIFS(実績!$W$6:$W$505,AC$3,実績!$AC$6:$AC$505,"&lt;="&amp;$A221,実績!$AD$6:$AD$505,"&gt;"&amp;$A221,実績!$AE$6:$AE$505,"○")&gt;0,1,0))</f>
        <v/>
      </c>
      <c r="AD221">
        <f>IF(AD$4=0,0,IF(COUNTIFS(実績!$W$6:$W$505,AD$3,実績!$AC$6:$AC$505,"&lt;="&amp;$A221,実績!$AD$6:$AD$505,"&gt;"&amp;$A221,実績!$AE$6:$AE$505,"○")&gt;0,1,0))</f>
        <v/>
      </c>
      <c r="AE221">
        <f>IF(AE$4=0,0,IF(COUNTIFS(実績!$W$6:$W$505,AE$3,実績!$AC$6:$AC$505,"&lt;="&amp;$A221,実績!$AD$6:$AD$505,"&gt;"&amp;$A221,実績!$AE$6:$AE$505,"○")&gt;0,1,0))</f>
        <v/>
      </c>
      <c r="AF221">
        <f>IF(AF$4=0,0,IF(COUNTIFS(実績!$W$6:$W$505,AF$3,実績!$AC$6:$AC$505,"&lt;="&amp;$A221,実績!$AD$6:$AD$505,"&gt;"&amp;$A221,実績!$AE$6:$AE$505,"○")&gt;0,1,0))</f>
        <v/>
      </c>
      <c r="AG221">
        <f>IF(AG$4=0,0,IF(COUNTIFS(実績!$W$6:$W$505,AG$3,実績!$AC$6:$AC$505,"&lt;="&amp;$A221,実績!$AD$6:$AD$505,"&gt;"&amp;$A221,実績!$AE$6:$AE$505,"○")&gt;0,1,0))</f>
        <v/>
      </c>
      <c r="AH221">
        <f>IF(AH$4=0,0,IF(COUNTIFS(実績!$W$6:$W$505,AH$3,実績!$AC$6:$AC$505,"&lt;="&amp;$A221,実績!$AD$6:$AD$505,"&gt;"&amp;$A221,実績!$AE$6:$AE$505,"○")&gt;0,1,0))</f>
        <v/>
      </c>
      <c r="AI221">
        <f>IF(AI$4=0,0,IF(COUNTIFS(実績!$W$6:$W$505,AI$3,実績!$AC$6:$AC$505,"&lt;="&amp;$A221,実績!$AD$6:$AD$505,"&gt;"&amp;$A221,実績!$AE$6:$AE$505,"○")&gt;0,1,0))</f>
        <v/>
      </c>
      <c r="AJ221">
        <f>IF(AJ$4=0,0,IF(COUNTIFS(実績!$W$6:$W$505,AJ$3,実績!$AC$6:$AC$505,"&lt;="&amp;$A221,実績!$AD$6:$AD$505,"&gt;"&amp;$A221,実績!$AE$6:$AE$505,"○")&gt;0,1,0))</f>
        <v/>
      </c>
      <c r="AK221">
        <f>IF(AK$4=0,0,IF(COUNTIFS(実績!$W$6:$W$505,AK$3,実績!$AC$6:$AC$505,"&lt;="&amp;$A221,実績!$AD$6:$AD$505,"&gt;"&amp;$A221,実績!$AE$6:$AE$505,"○")&gt;0,1,0))</f>
        <v/>
      </c>
      <c r="AL221">
        <f>IF(AL$4=0,0,IF(COUNTIFS(実績!$W$6:$W$505,AL$3,実績!$AC$6:$AC$505,"&lt;="&amp;$A221,実績!$AD$6:$AD$505,"&gt;"&amp;$A221,実績!$AE$6:$AE$505,"○")&gt;0,1,0))</f>
        <v/>
      </c>
      <c r="AM221">
        <f>IF(AM$4=0,0,IF(COUNTIFS(実績!$W$6:$W$505,AM$3,実績!$AC$6:$AC$505,"&lt;="&amp;$A221,実績!$AD$6:$AD$505,"&gt;"&amp;$A221,実績!$AE$6:$AE$505,"○")&gt;0,1,0))</f>
        <v/>
      </c>
      <c r="AN221">
        <f>IF(AN$4=0,0,IF(COUNTIFS(実績!$W$6:$W$505,AN$3,実績!$AC$6:$AC$505,"&lt;="&amp;$A221,実績!$AD$6:$AD$505,"&gt;"&amp;$A221,実績!$AE$6:$AE$505,"○")&gt;0,1,0))</f>
        <v/>
      </c>
      <c r="AO221">
        <f>IF(AO$4=0,0,IF(COUNTIFS(実績!$W$6:$W$505,AO$3,実績!$AC$6:$AC$505,"&lt;="&amp;$A221,実績!$AD$6:$AD$505,"&gt;"&amp;$A221,実績!$AE$6:$AE$505,"○")&gt;0,1,0))</f>
        <v/>
      </c>
      <c r="AP221">
        <f>IF(AP$4=0,0,IF(COUNTIFS(実績!$W$6:$W$505,AP$3,実績!$AC$6:$AC$505,"&lt;="&amp;$A221,実績!$AD$6:$AD$505,"&gt;"&amp;$A221,実績!$AE$6:$AE$505,"○")&gt;0,1,0))</f>
        <v/>
      </c>
      <c r="AQ221">
        <f>IF(AQ$4=0,0,IF(COUNTIFS(実績!$W$6:$W$505,AQ$3,実績!$AC$6:$AC$505,"&lt;="&amp;$A221,実績!$AD$6:$AD$505,"&gt;"&amp;$A221,実績!$AE$6:$AE$505,"○")&gt;0,1,0))</f>
        <v/>
      </c>
      <c r="AR221">
        <f>IF(AR$4=0,0,IF(COUNTIFS(実績!$W$6:$W$505,AR$3,実績!$AC$6:$AC$505,"&lt;="&amp;$A221,実績!$AD$6:$AD$505,"&gt;"&amp;$A221,実績!$AE$6:$AE$505,"○")&gt;0,1,0))</f>
        <v/>
      </c>
      <c r="AS221">
        <f>IF(AS$4=0,0,IF(COUNTIFS(実績!$W$6:$W$505,AS$3,実績!$AC$6:$AC$505,"&lt;="&amp;$A221,実績!$AD$6:$AD$505,"&gt;"&amp;$A221,実績!$AE$6:$AE$505,"○")&gt;0,1,0))</f>
        <v/>
      </c>
      <c r="AT221">
        <f>IF(AT$4=0,0,IF(COUNTIFS(実績!$W$6:$W$505,AT$3,実績!$AC$6:$AC$505,"&lt;="&amp;$A221,実績!$AD$6:$AD$505,"&gt;"&amp;$A221,実績!$AE$6:$AE$505,"○")&gt;0,1,0))</f>
        <v/>
      </c>
      <c r="AU221">
        <f>IF(AU$4=0,0,IF(COUNTIFS(実績!$W$6:$W$505,AU$3,実績!$AC$6:$AC$505,"&lt;="&amp;$A221,実績!$AD$6:$AD$505,"&gt;"&amp;$A221,実績!$AE$6:$AE$505,"○")&gt;0,1,0))</f>
        <v/>
      </c>
      <c r="AV221">
        <f>IF(AV$4=0,0,IF(COUNTIFS(実績!$W$6:$W$505,AV$3,実績!$AC$6:$AC$505,"&lt;="&amp;$A221,実績!$AD$6:$AD$505,"&gt;"&amp;$A221,実績!$AE$6:$AE$505,"○")&gt;0,1,0))</f>
        <v/>
      </c>
      <c r="AW221">
        <f>IF(AW$4=0,0,IF(COUNTIFS(実績!$W$6:$W$505,AW$3,実績!$AC$6:$AC$505,"&lt;="&amp;$A221,実績!$AD$6:$AD$505,"&gt;"&amp;$A221,実績!$AE$6:$AE$505,"○")&gt;0,1,0))</f>
        <v/>
      </c>
      <c r="AX221">
        <f>IF(AX$4=0,0,IF(COUNTIFS(実績!$W$6:$W$505,AX$3,実績!$AC$6:$AC$505,"&lt;="&amp;$A221,実績!$AD$6:$AD$505,"&gt;"&amp;$A221,実績!$AE$6:$AE$505,"○")&gt;0,1,0))</f>
        <v/>
      </c>
      <c r="AY221">
        <f>IF(AY$4=0,0,IF(COUNTIFS(実績!$W$6:$W$505,AY$3,実績!$AC$6:$AC$505,"&lt;="&amp;$A221,実績!$AD$6:$AD$505,"&gt;"&amp;$A221,実績!$AE$6:$AE$505,"○")&gt;0,1,0))</f>
        <v/>
      </c>
      <c r="AZ221">
        <f>IF(AZ$4=0,0,IF(COUNTIFS(実績!$W$6:$W$505,AZ$3,実績!$AC$6:$AC$505,"&lt;="&amp;$A221,実績!$AD$6:$AD$505,"&gt;"&amp;$A221,実績!$AE$6:$AE$505,"○")&gt;0,1,0))</f>
        <v/>
      </c>
      <c r="BA221">
        <f>IF(BA$4=0,0,IF(COUNTIFS(実績!$W$6:$W$505,BA$3,実績!$AC$6:$AC$505,"&lt;="&amp;$A221,実績!$AD$6:$AD$505,"&gt;"&amp;$A221,実績!$AE$6:$AE$505,"○")&gt;0,1,0))</f>
        <v/>
      </c>
      <c r="BB221">
        <f>IF(BB$4=0,0,IF(COUNTIFS(実績!$W$6:$W$505,BB$3,実績!$AC$6:$AC$505,"&lt;="&amp;$A221,実績!$AD$6:$AD$505,"&gt;"&amp;$A221,実績!$AE$6:$AE$505,"○")&gt;0,1,0))</f>
        <v/>
      </c>
      <c r="BC221">
        <f>IF(BC$4=0,0,IF(COUNTIFS(実績!$W$6:$W$505,BC$3,実績!$AC$6:$AC$505,"&lt;="&amp;$A221,実績!$AD$6:$AD$505,"&gt;"&amp;$A221,実績!$AE$6:$AE$505,"○")&gt;0,1,0))</f>
        <v/>
      </c>
      <c r="BD221">
        <f>IF(BD$4=0,0,IF(COUNTIFS(実績!$W$6:$W$505,BD$3,実績!$AC$6:$AC$505,"&lt;="&amp;$A221,実績!$AD$6:$AD$505,"&gt;"&amp;$A221,実績!$AE$6:$AE$505,"○")&gt;0,1,0))</f>
        <v/>
      </c>
      <c r="BE221">
        <f>IF(BE$4=0,0,IF(COUNTIFS(実績!$W$6:$W$505,BE$3,実績!$AC$6:$AC$505,"&lt;="&amp;$A221,実績!$AD$6:$AD$505,"&gt;"&amp;$A221,実績!$AE$6:$AE$505,"○")&gt;0,1,0))</f>
        <v/>
      </c>
      <c r="BF221">
        <f>IF(BF$4=0,0,IF(COUNTIFS(実績!$W$6:$W$505,BF$3,実績!$AC$6:$AC$505,"&lt;="&amp;$A221,実績!$AD$6:$AD$505,"&gt;"&amp;$A221,実績!$AE$6:$AE$505,"○")&gt;0,1,0))</f>
        <v/>
      </c>
      <c r="BG221">
        <f>IF(BG$4=0,0,IF(COUNTIFS(実績!$W$6:$W$505,BG$3,実績!$AC$6:$AC$505,"&lt;="&amp;$A221,実績!$AD$6:$AD$505,"&gt;"&amp;$A221,実績!$AE$6:$AE$505,"○")&gt;0,1,0))</f>
        <v/>
      </c>
      <c r="BH221">
        <f>IF(BH$4=0,0,IF(COUNTIFS(実績!$W$6:$W$505,BH$3,実績!$AC$6:$AC$505,"&lt;="&amp;$A221,実績!$AD$6:$AD$505,"&gt;"&amp;$A221,実績!$AE$6:$AE$505,"○")&gt;0,1,0))</f>
        <v/>
      </c>
      <c r="BI221">
        <f>IF(BI$4=0,0,IF(COUNTIFS(実績!$W$6:$W$505,BI$3,実績!$AC$6:$AC$505,"&lt;="&amp;$A221,実績!$AD$6:$AD$505,"&gt;"&amp;$A221,実績!$AE$6:$AE$505,"○")&gt;0,1,0))</f>
        <v/>
      </c>
      <c r="BJ221">
        <f>IF(BJ$4=0,0,IF(COUNTIFS(実績!$W$6:$W$505,BJ$3,実績!$AC$6:$AC$505,"&lt;="&amp;$A221,実績!$AD$6:$AD$505,"&gt;"&amp;$A221,実績!$AE$6:$AE$505,"○")&gt;0,1,0))</f>
        <v/>
      </c>
      <c r="BK221">
        <f>IF(BK$4=0,0,IF(COUNTIFS(実績!$W$6:$W$505,BK$3,実績!$AC$6:$AC$505,"&lt;="&amp;$A221,実績!$AD$6:$AD$505,"&gt;"&amp;$A221,実績!$AE$6:$AE$505,"○")&gt;0,1,0))</f>
        <v/>
      </c>
      <c r="BL221">
        <f>IF(BL$4=0,0,IF(COUNTIFS(実績!$W$6:$W$505,BL$3,実績!$AC$6:$AC$505,"&lt;="&amp;$A221,実績!$AD$6:$AD$505,"&gt;"&amp;$A221,実績!$AE$6:$AE$505,"○")&gt;0,1,0))</f>
        <v/>
      </c>
      <c r="BM221">
        <f>IF(BM$4=0,0,IF(COUNTIFS(実績!$W$6:$W$505,BM$3,実績!$AC$6:$AC$505,"&lt;="&amp;$A221,実績!$AD$6:$AD$505,"&gt;"&amp;$A221,実績!$AE$6:$AE$505,"○")&gt;0,1,0))</f>
        <v/>
      </c>
      <c r="BN221">
        <f>IF(BN$4=0,0,IF(COUNTIFS(実績!$W$6:$W$505,BN$3,実績!$AC$6:$AC$505,"&lt;="&amp;$A221,実績!$AD$6:$AD$505,"&gt;"&amp;$A221,実績!$AE$6:$AE$505,"○")&gt;0,1,0))</f>
        <v/>
      </c>
      <c r="BO221">
        <f>IF(BO$4=0,0,IF(COUNTIFS(実績!$W$6:$W$505,BO$3,実績!$AC$6:$AC$505,"&lt;="&amp;$A221,実績!$AD$6:$AD$505,"&gt;"&amp;$A221,実績!$AE$6:$AE$505,"○")&gt;0,1,0))</f>
        <v/>
      </c>
      <c r="BP221">
        <f>IF(BP$4=0,0,IF(COUNTIFS(実績!$W$6:$W$505,BP$3,実績!$AC$6:$AC$505,"&lt;="&amp;$A221,実績!$AD$6:$AD$505,"&gt;"&amp;$A221,実績!$AE$6:$AE$505,"○")&gt;0,1,0))</f>
        <v/>
      </c>
      <c r="BQ221">
        <f>IF(BQ$4=0,0,IF(COUNTIFS(実績!$W$6:$W$505,BQ$3,実績!$AC$6:$AC$505,"&lt;="&amp;$A221,実績!$AD$6:$AD$505,"&gt;"&amp;$A221,実績!$AE$6:$AE$505,"○")&gt;0,1,0))</f>
        <v/>
      </c>
      <c r="BR221">
        <f>IF(BR$4=0,0,IF(COUNTIFS(実績!$W$6:$W$505,BR$3,実績!$AC$6:$AC$505,"&lt;="&amp;$A221,実績!$AD$6:$AD$505,"&gt;"&amp;$A221,実績!$AE$6:$AE$505,"○")&gt;0,1,0))</f>
        <v/>
      </c>
      <c r="BS221">
        <f>IF(BS$4=0,0,IF(COUNTIFS(実績!$W$6:$W$505,BS$3,実績!$AC$6:$AC$505,"&lt;="&amp;$A221,実績!$AD$6:$AD$505,"&gt;"&amp;$A221,実績!$AE$6:$AE$505,"○")&gt;0,1,0))</f>
        <v/>
      </c>
      <c r="BT221">
        <f>IF(BT$4=0,0,IF(COUNTIFS(実績!$W$6:$W$505,BT$3,実績!$AC$6:$AC$505,"&lt;="&amp;$A221,実績!$AD$6:$AD$505,"&gt;"&amp;$A221,実績!$AE$6:$AE$505,"○")&gt;0,1,0))</f>
        <v/>
      </c>
      <c r="BU221">
        <f>IF(BU$4=0,0,IF(COUNTIFS(実績!$W$6:$W$505,BU$3,実績!$AC$6:$AC$505,"&lt;="&amp;$A221,実績!$AD$6:$AD$505,"&gt;"&amp;$A221,実績!$AE$6:$AE$505,"○")&gt;0,1,0))</f>
        <v/>
      </c>
      <c r="BV221">
        <f>IF(BV$4=0,0,IF(COUNTIFS(実績!$W$6:$W$505,BV$3,実績!$AC$6:$AC$505,"&lt;="&amp;$A221,実績!$AD$6:$AD$505,"&gt;"&amp;$A221,実績!$AE$6:$AE$505,"○")&gt;0,1,0))</f>
        <v/>
      </c>
      <c r="BW221">
        <f>IF(BW$4=0,0,IF(COUNTIFS(実績!$W$6:$W$505,BW$3,実績!$AC$6:$AC$505,"&lt;="&amp;$A221,実績!$AD$6:$AD$505,"&gt;"&amp;$A221,実績!$AE$6:$AE$505,"○")&gt;0,1,0))</f>
        <v/>
      </c>
      <c r="BX221">
        <f>IF(BX$4=0,0,IF(COUNTIFS(実績!$W$6:$W$505,BX$3,実績!$AC$6:$AC$505,"&lt;="&amp;$A221,実績!$AD$6:$AD$505,"&gt;"&amp;$A221,実績!$AE$6:$AE$505,"○")&gt;0,1,0))</f>
        <v/>
      </c>
      <c r="BY221">
        <f>IF(BY$4=0,0,IF(COUNTIFS(実績!$W$6:$W$505,BY$3,実績!$AC$6:$AC$505,"&lt;="&amp;$A221,実績!$AD$6:$AD$505,"&gt;"&amp;$A221,実績!$AE$6:$AE$505,"○")&gt;0,1,0))</f>
        <v/>
      </c>
      <c r="BZ221">
        <f>IF(BZ$4=0,0,IF(COUNTIFS(実績!$W$6:$W$505,BZ$3,実績!$AC$6:$AC$505,"&lt;="&amp;$A221,実績!$AD$6:$AD$505,"&gt;"&amp;$A221,実績!$AE$6:$AE$505,"○")&gt;0,1,0))</f>
        <v/>
      </c>
      <c r="CA221">
        <f>IF(CA$4=0,0,IF(COUNTIFS(実績!$W$6:$W$505,CA$3,実績!$AC$6:$AC$505,"&lt;="&amp;$A221,実績!$AD$6:$AD$505,"&gt;"&amp;$A221,実績!$AE$6:$AE$505,"○")&gt;0,1,0))</f>
        <v/>
      </c>
      <c r="CB221">
        <f>IF(CB$4=0,0,IF(COUNTIFS(実績!$W$6:$W$505,CB$3,実績!$AC$6:$AC$505,"&lt;="&amp;$A221,実績!$AD$6:$AD$505,"&gt;"&amp;$A221,実績!$AE$6:$AE$505,"○")&gt;0,1,0))</f>
        <v/>
      </c>
      <c r="CC221">
        <f>IF(CC$4=0,0,IF(COUNTIFS(実績!$W$6:$W$505,CC$3,実績!$AC$6:$AC$505,"&lt;="&amp;$A221,実績!$AD$6:$AD$505,"&gt;"&amp;$A221,実績!$AE$6:$AE$505,"○")&gt;0,1,0))</f>
        <v/>
      </c>
      <c r="CD221">
        <f>IF(CD$4=0,0,IF(COUNTIFS(実績!$W$6:$W$505,CD$3,実績!$AC$6:$AC$505,"&lt;="&amp;$A221,実績!$AD$6:$AD$505,"&gt;"&amp;$A221,実績!$AE$6:$AE$505,"○")&gt;0,1,0))</f>
        <v/>
      </c>
      <c r="CE221">
        <f>IF(CE$4=0,0,IF(COUNTIFS(実績!$W$6:$W$505,CE$3,実績!$AC$6:$AC$505,"&lt;="&amp;$A221,実績!$AD$6:$AD$505,"&gt;"&amp;$A221,実績!$AE$6:$AE$505,"○")&gt;0,1,0))</f>
        <v/>
      </c>
      <c r="CF221">
        <f>IF(CF$4=0,0,IF(COUNTIFS(実績!$W$6:$W$505,CF$3,実績!$AC$6:$AC$505,"&lt;="&amp;$A221,実績!$AD$6:$AD$505,"&gt;"&amp;$A221,実績!$AE$6:$AE$505,"○")&gt;0,1,0))</f>
        <v/>
      </c>
      <c r="CG221">
        <f>IF(CG$4=0,0,IF(COUNTIFS(実績!$W$6:$W$505,CG$3,実績!$AC$6:$AC$505,"&lt;="&amp;$A221,実績!$AD$6:$AD$505,"&gt;"&amp;$A221,実績!$AE$6:$AE$505,"○")&gt;0,1,0))</f>
        <v/>
      </c>
      <c r="CH221">
        <f>IF(CH$4=0,0,IF(COUNTIFS(実績!$W$6:$W$505,CH$3,実績!$AC$6:$AC$505,"&lt;="&amp;$A221,実績!$AD$6:$AD$505,"&gt;"&amp;$A221,実績!$AE$6:$AE$505,"○")&gt;0,1,0))</f>
        <v/>
      </c>
      <c r="CI221">
        <f>IF(CI$4=0,0,IF(COUNTIFS(実績!$W$6:$W$505,CI$3,実績!$AC$6:$AC$505,"&lt;="&amp;$A221,実績!$AD$6:$AD$505,"&gt;"&amp;$A221,実績!$AE$6:$AE$505,"○")&gt;0,1,0))</f>
        <v/>
      </c>
      <c r="CJ221">
        <f>IF(CJ$4=0,0,IF(COUNTIFS(実績!$W$6:$W$505,CJ$3,実績!$AC$6:$AC$505,"&lt;="&amp;$A221,実績!$AD$6:$AD$505,"&gt;"&amp;$A221,実績!$AE$6:$AE$505,"○")&gt;0,1,0))</f>
        <v/>
      </c>
      <c r="CK221">
        <f>IF(CK$4=0,0,IF(COUNTIFS(実績!$W$6:$W$505,CK$3,実績!$AC$6:$AC$505,"&lt;="&amp;$A221,実績!$AD$6:$AD$505,"&gt;"&amp;$A221,実績!$AE$6:$AE$505,"○")&gt;0,1,0))</f>
        <v/>
      </c>
      <c r="CL221">
        <f>IF(CL$4=0,0,IF(COUNTIFS(実績!$W$6:$W$505,CL$3,実績!$AC$6:$AC$505,"&lt;="&amp;$A221,実績!$AD$6:$AD$505,"&gt;"&amp;$A221,実績!$AE$6:$AE$505,"○")&gt;0,1,0))</f>
        <v/>
      </c>
      <c r="CM221">
        <f>IF(CM$4=0,0,IF(COUNTIFS(実績!$W$6:$W$505,CM$3,実績!$AC$6:$AC$505,"&lt;="&amp;$A221,実績!$AD$6:$AD$505,"&gt;"&amp;$A221,実績!$AE$6:$AE$505,"○")&gt;0,1,0))</f>
        <v/>
      </c>
      <c r="CN221">
        <f>IF(CN$4=0,0,IF(COUNTIFS(実績!$W$6:$W$505,CN$3,実績!$AC$6:$AC$505,"&lt;="&amp;$A221,実績!$AD$6:$AD$505,"&gt;"&amp;$A221,実績!$AE$6:$AE$505,"○")&gt;0,1,0))</f>
        <v/>
      </c>
      <c r="CO221">
        <f>IF(CO$4=0,0,IF(COUNTIFS(実績!$W$6:$W$505,CO$3,実績!$AC$6:$AC$505,"&lt;="&amp;$A221,実績!$AD$6:$AD$505,"&gt;"&amp;$A221,実績!$AE$6:$AE$505,"○")&gt;0,1,0))</f>
        <v/>
      </c>
      <c r="CP221">
        <f>IF(CP$4=0,0,IF(COUNTIFS(実績!$W$6:$W$505,CP$3,実績!$AC$6:$AC$505,"&lt;="&amp;$A221,実績!$AD$6:$AD$505,"&gt;"&amp;$A221,実績!$AE$6:$AE$505,"○")&gt;0,1,0))</f>
        <v/>
      </c>
      <c r="CQ221">
        <f>IF(CQ$4=0,0,IF(COUNTIFS(実績!$W$6:$W$505,CQ$3,実績!$AC$6:$AC$505,"&lt;="&amp;$A221,実績!$AD$6:$AD$505,"&gt;"&amp;$A221,実績!$AE$6:$AE$505,"○")&gt;0,1,0))</f>
        <v/>
      </c>
      <c r="CR221">
        <f>IF(CR$4=0,0,IF(COUNTIFS(実績!$W$6:$W$505,CR$3,実績!$AC$6:$AC$505,"&lt;="&amp;$A221,実績!$AD$6:$AD$505,"&gt;"&amp;$A221,実績!$AE$6:$AE$505,"○")&gt;0,1,0))</f>
        <v/>
      </c>
      <c r="CS221">
        <f>IF(CS$4=0,0,IF(COUNTIFS(実績!$W$6:$W$505,CS$3,実績!$AC$6:$AC$505,"&lt;="&amp;$A221,実績!$AD$6:$AD$505,"&gt;"&amp;$A221,実績!$AE$6:$AE$505,"○")&gt;0,1,0))</f>
        <v/>
      </c>
      <c r="CT221">
        <f>IF(CT$4=0,0,IF(COUNTIFS(実績!$W$6:$W$505,CT$3,実績!$AC$6:$AC$505,"&lt;="&amp;$A221,実績!$AD$6:$AD$505,"&gt;"&amp;$A221,実績!$AE$6:$AE$505,"○")&gt;0,1,0))</f>
        <v/>
      </c>
      <c r="CU221">
        <f>IF(CU$4=0,0,IF(COUNTIFS(実績!$W$6:$W$505,CU$3,実績!$AC$6:$AC$505,"&lt;="&amp;$A221,実績!$AD$6:$AD$505,"&gt;"&amp;$A221,実績!$AE$6:$AE$505,"○")&gt;0,1,0))</f>
        <v/>
      </c>
      <c r="CV221">
        <f>IF(CV$4=0,0,IF(COUNTIFS(実績!$W$6:$W$505,CV$3,実績!$AC$6:$AC$505,"&lt;="&amp;$A221,実績!$AD$6:$AD$505,"&gt;"&amp;$A221,実績!$AE$6:$AE$505,"○")&gt;0,1,0))</f>
        <v/>
      </c>
      <c r="CW221">
        <f>IF(CW$4=0,0,IF(COUNTIFS(実績!$W$6:$W$505,CW$3,実績!$AC$6:$AC$505,"&lt;="&amp;$A221,実績!$AD$6:$AD$505,"&gt;"&amp;$A221,実績!$AE$6:$AE$505,"○")&gt;0,1,0))</f>
        <v/>
      </c>
      <c r="CX221">
        <f>IF(CX$4=0,0,IF(COUNTIFS(実績!$W$6:$W$505,CX$3,実績!$AC$6:$AC$505,"&lt;="&amp;$A221,実績!$AD$6:$AD$505,"&gt;"&amp;$A221,実績!$AE$6:$AE$505,"○")&gt;0,1,0))</f>
        <v/>
      </c>
      <c r="CY221">
        <f>IF(CY$4=0,0,IF(COUNTIFS(実績!$W$6:$W$505,CY$3,実績!$AC$6:$AC$505,"&lt;="&amp;$A221,実績!$AD$6:$AD$505,"&gt;"&amp;$A221,実績!$AE$6:$AE$505,"○")&gt;0,1,0))</f>
        <v/>
      </c>
      <c r="CZ221">
        <f>IF(CZ$4=0,0,IF(COUNTIFS(実績!$W$6:$W$505,CZ$3,実績!$AC$6:$AC$505,"&lt;="&amp;$A221,実績!$AD$6:$AD$505,"&gt;"&amp;$A221,実績!$AE$6:$AE$505,"○")&gt;0,1,0))</f>
        <v/>
      </c>
      <c r="DA221">
        <f>IF(DA$4=0,0,IF(COUNTIFS(実績!$W$6:$W$505,DA$3,実績!$AC$6:$AC$505,"&lt;="&amp;$A221,実績!$AD$6:$AD$505,"&gt;"&amp;$A221,実績!$AE$6:$AE$505,"○")&gt;0,1,0))</f>
        <v/>
      </c>
      <c r="DB221">
        <f>IF(DB$4=0,0,IF(COUNTIFS(実績!$W$6:$W$505,DB$3,実績!$AC$6:$AC$505,"&lt;="&amp;$A221,実績!$AD$6:$AD$505,"&gt;"&amp;$A221,実績!$AE$6:$AE$505,"○")&gt;0,1,0))</f>
        <v/>
      </c>
      <c r="DC221">
        <f>IF(DC$4=0,0,IF(COUNTIFS(実績!$W$6:$W$505,DC$3,実績!$AC$6:$AC$505,"&lt;="&amp;$A221,実績!$AD$6:$AD$505,"&gt;"&amp;$A221,実績!$AE$6:$AE$505,"○")&gt;0,1,0))</f>
        <v/>
      </c>
      <c r="DD221">
        <f>IF(DD$4=0,0,IF(COUNTIFS(実績!$W$6:$W$505,DD$3,実績!$AC$6:$AC$505,"&lt;="&amp;$A221,実績!$AD$6:$AD$505,"&gt;"&amp;$A221,実績!$AE$6:$AE$505,"○")&gt;0,1,0))</f>
        <v/>
      </c>
      <c r="DE221">
        <f>IF(DE$4=0,0,IF(COUNTIFS(実績!$W$6:$W$505,DE$3,実績!$AC$6:$AC$505,"&lt;="&amp;$A221,実績!$AD$6:$AD$505,"&gt;"&amp;$A221,実績!$AE$6:$AE$505,"○")&gt;0,1,0))</f>
        <v/>
      </c>
      <c r="DF221">
        <f>IF(DF$4=0,0,IF(COUNTIFS(実績!$W$6:$W$505,DF$3,実績!$AC$6:$AC$505,"&lt;="&amp;$A221,実績!$AD$6:$AD$505,"&gt;"&amp;$A221,実績!$AE$6:$AE$505,"○")&gt;0,1,0))</f>
        <v/>
      </c>
      <c r="DG221">
        <f>IF(DG$4=0,0,IF(COUNTIFS(実績!$W$6:$W$505,DG$3,実績!$AC$6:$AC$505,"&lt;="&amp;$A221,実績!$AD$6:$AD$505,"&gt;"&amp;$A221,実績!$AE$6:$AE$505,"○")&gt;0,1,0))</f>
        <v/>
      </c>
      <c r="DH221">
        <f>IF(DH$4=0,0,IF(COUNTIFS(実績!$W$6:$W$505,DH$3,実績!$AC$6:$AC$505,"&lt;="&amp;$A221,実績!$AD$6:$AD$505,"&gt;"&amp;$A221,実績!$AE$6:$AE$505,"○")&gt;0,1,0))</f>
        <v/>
      </c>
      <c r="DI221">
        <f>IF(DI$4=0,0,IF(COUNTIFS(実績!$W$6:$W$505,DI$3,実績!$AC$6:$AC$505,"&lt;="&amp;$A221,実績!$AD$6:$AD$505,"&gt;"&amp;$A221,実績!$AE$6:$AE$505,"○")&gt;0,1,0))</f>
        <v/>
      </c>
      <c r="DJ221">
        <f>IF(DJ$4=0,0,IF(COUNTIFS(実績!$W$6:$W$505,DJ$3,実績!$AC$6:$AC$505,"&lt;="&amp;$A221,実績!$AD$6:$AD$505,"&gt;"&amp;$A221,実績!$AE$6:$AE$505,"○")&gt;0,1,0))</f>
        <v/>
      </c>
      <c r="DK221">
        <f>IF(DK$4=0,0,IF(COUNTIFS(実績!$W$6:$W$505,DK$3,実績!$AC$6:$AC$505,"&lt;="&amp;$A221,実績!$AD$6:$AD$505,"&gt;"&amp;$A221,実績!$AE$6:$AE$505,"○")&gt;0,1,0))</f>
        <v/>
      </c>
      <c r="DL221">
        <f>IF(DL$4=0,0,IF(COUNTIFS(実績!$W$6:$W$505,DL$3,実績!$AC$6:$AC$505,"&lt;="&amp;$A221,実績!$AD$6:$AD$505,"&gt;"&amp;$A221,実績!$AE$6:$AE$505,"○")&gt;0,1,0))</f>
        <v/>
      </c>
      <c r="DM221">
        <f>IF(DM$4=0,0,IF(COUNTIFS(実績!$W$6:$W$505,DM$3,実績!$AC$6:$AC$505,"&lt;="&amp;$A221,実績!$AD$6:$AD$505,"&gt;"&amp;$A221,実績!$AE$6:$AE$505,"○")&gt;0,1,0))</f>
        <v/>
      </c>
      <c r="DN221">
        <f>IF(DN$4=0,0,IF(COUNTIFS(実績!$W$6:$W$505,DN$3,実績!$AC$6:$AC$505,"&lt;="&amp;$A221,実績!$AD$6:$AD$505,"&gt;"&amp;$A221,実績!$AE$6:$AE$505,"○")&gt;0,1,0))</f>
        <v/>
      </c>
      <c r="DO221">
        <f>IF(DO$4=0,0,IF(COUNTIFS(実績!$W$6:$W$505,DO$3,実績!$AC$6:$AC$505,"&lt;="&amp;$A221,実績!$AD$6:$AD$505,"&gt;"&amp;$A221,実績!$AE$6:$AE$505,"○")&gt;0,1,0))</f>
        <v/>
      </c>
      <c r="DP221">
        <f>IF(DP$4=0,0,IF(COUNTIFS(実績!$W$6:$W$505,DP$3,実績!$AC$6:$AC$505,"&lt;="&amp;$A221,実績!$AD$6:$AD$505,"&gt;"&amp;$A221,実績!$AE$6:$AE$505,"○")&gt;0,1,0))</f>
        <v/>
      </c>
      <c r="DQ221">
        <f>IF(DQ$4=0,0,IF(COUNTIFS(実績!$W$6:$W$505,DQ$3,実績!$AC$6:$AC$505,"&lt;="&amp;$A221,実績!$AD$6:$AD$505,"&gt;"&amp;$A221,実績!$AE$6:$AE$505,"○")&gt;0,1,0))</f>
        <v/>
      </c>
      <c r="DR221">
        <f>IF(DR$4=0,0,IF(COUNTIFS(実績!$W$6:$W$505,DR$3,実績!$AC$6:$AC$505,"&lt;="&amp;$A221,実績!$AD$6:$AD$505,"&gt;"&amp;$A221,実績!$AE$6:$AE$505,"○")&gt;0,1,0))</f>
        <v/>
      </c>
      <c r="DS221">
        <f>SUM(C221:DR221)</f>
        <v/>
      </c>
      <c r="DT221">
        <f>SUMPRODUCT((実績!$C$6:$C$505="○")*ISNUMBER(実績!$AF$6:$AF$505)*(実績!$AF$6:$AF$505&lt;=$A221)*(実績!$AG$6:$AG$505&gt;$A221))</f>
        <v/>
      </c>
      <c r="DU221">
        <f>SUMIF($C$2:$DR$2,"製鉄曳船",C221:DR221)</f>
        <v/>
      </c>
      <c r="DV221">
        <f>SUMIF($C$2:$DR$2,"西日本海運",C221:DR221)</f>
        <v/>
      </c>
    </row>
    <row r="222">
      <c r="A222" t="n">
        <v>1080</v>
      </c>
      <c r="B222" s="29">
        <f>A222/1440</f>
        <v/>
      </c>
      <c r="C222">
        <f>IF(C$4=0,0,IF(COUNTIFS(実績!$W$6:$W$505,C$3,実績!$AC$6:$AC$505,"&lt;="&amp;$A222,実績!$AD$6:$AD$505,"&gt;"&amp;$A222,実績!$AE$6:$AE$505,"○")&gt;0,1,0))</f>
        <v/>
      </c>
      <c r="D222">
        <f>IF(D$4=0,0,IF(COUNTIFS(実績!$W$6:$W$505,D$3,実績!$AC$6:$AC$505,"&lt;="&amp;$A222,実績!$AD$6:$AD$505,"&gt;"&amp;$A222,実績!$AE$6:$AE$505,"○")&gt;0,1,0))</f>
        <v/>
      </c>
      <c r="E222">
        <f>IF(E$4=0,0,IF(COUNTIFS(実績!$W$6:$W$505,E$3,実績!$AC$6:$AC$505,"&lt;="&amp;$A222,実績!$AD$6:$AD$505,"&gt;"&amp;$A222,実績!$AE$6:$AE$505,"○")&gt;0,1,0))</f>
        <v/>
      </c>
      <c r="F222">
        <f>IF(F$4=0,0,IF(COUNTIFS(実績!$W$6:$W$505,F$3,実績!$AC$6:$AC$505,"&lt;="&amp;$A222,実績!$AD$6:$AD$505,"&gt;"&amp;$A222,実績!$AE$6:$AE$505,"○")&gt;0,1,0))</f>
        <v/>
      </c>
      <c r="G222">
        <f>IF(G$4=0,0,IF(COUNTIFS(実績!$W$6:$W$505,G$3,実績!$AC$6:$AC$505,"&lt;="&amp;$A222,実績!$AD$6:$AD$505,"&gt;"&amp;$A222,実績!$AE$6:$AE$505,"○")&gt;0,1,0))</f>
        <v/>
      </c>
      <c r="H222">
        <f>IF(H$4=0,0,IF(COUNTIFS(実績!$W$6:$W$505,H$3,実績!$AC$6:$AC$505,"&lt;="&amp;$A222,実績!$AD$6:$AD$505,"&gt;"&amp;$A222,実績!$AE$6:$AE$505,"○")&gt;0,1,0))</f>
        <v/>
      </c>
      <c r="I222">
        <f>IF(I$4=0,0,IF(COUNTIFS(実績!$W$6:$W$505,I$3,実績!$AC$6:$AC$505,"&lt;="&amp;$A222,実績!$AD$6:$AD$505,"&gt;"&amp;$A222,実績!$AE$6:$AE$505,"○")&gt;0,1,0))</f>
        <v/>
      </c>
      <c r="J222">
        <f>IF(J$4=0,0,IF(COUNTIFS(実績!$W$6:$W$505,J$3,実績!$AC$6:$AC$505,"&lt;="&amp;$A222,実績!$AD$6:$AD$505,"&gt;"&amp;$A222,実績!$AE$6:$AE$505,"○")&gt;0,1,0))</f>
        <v/>
      </c>
      <c r="K222">
        <f>IF(K$4=0,0,IF(COUNTIFS(実績!$W$6:$W$505,K$3,実績!$AC$6:$AC$505,"&lt;="&amp;$A222,実績!$AD$6:$AD$505,"&gt;"&amp;$A222,実績!$AE$6:$AE$505,"○")&gt;0,1,0))</f>
        <v/>
      </c>
      <c r="L222">
        <f>IF(L$4=0,0,IF(COUNTIFS(実績!$W$6:$W$505,L$3,実績!$AC$6:$AC$505,"&lt;="&amp;$A222,実績!$AD$6:$AD$505,"&gt;"&amp;$A222,実績!$AE$6:$AE$505,"○")&gt;0,1,0))</f>
        <v/>
      </c>
      <c r="M222">
        <f>IF(M$4=0,0,IF(COUNTIFS(実績!$W$6:$W$505,M$3,実績!$AC$6:$AC$505,"&lt;="&amp;$A222,実績!$AD$6:$AD$505,"&gt;"&amp;$A222,実績!$AE$6:$AE$505,"○")&gt;0,1,0))</f>
        <v/>
      </c>
      <c r="N222">
        <f>IF(N$4=0,0,IF(COUNTIFS(実績!$W$6:$W$505,N$3,実績!$AC$6:$AC$505,"&lt;="&amp;$A222,実績!$AD$6:$AD$505,"&gt;"&amp;$A222,実績!$AE$6:$AE$505,"○")&gt;0,1,0))</f>
        <v/>
      </c>
      <c r="O222">
        <f>IF(O$4=0,0,IF(COUNTIFS(実績!$W$6:$W$505,O$3,実績!$AC$6:$AC$505,"&lt;="&amp;$A222,実績!$AD$6:$AD$505,"&gt;"&amp;$A222,実績!$AE$6:$AE$505,"○")&gt;0,1,0))</f>
        <v/>
      </c>
      <c r="P222">
        <f>IF(P$4=0,0,IF(COUNTIFS(実績!$W$6:$W$505,P$3,実績!$AC$6:$AC$505,"&lt;="&amp;$A222,実績!$AD$6:$AD$505,"&gt;"&amp;$A222,実績!$AE$6:$AE$505,"○")&gt;0,1,0))</f>
        <v/>
      </c>
      <c r="Q222">
        <f>IF(Q$4=0,0,IF(COUNTIFS(実績!$W$6:$W$505,Q$3,実績!$AC$6:$AC$505,"&lt;="&amp;$A222,実績!$AD$6:$AD$505,"&gt;"&amp;$A222,実績!$AE$6:$AE$505,"○")&gt;0,1,0))</f>
        <v/>
      </c>
      <c r="R222">
        <f>IF(R$4=0,0,IF(COUNTIFS(実績!$W$6:$W$505,R$3,実績!$AC$6:$AC$505,"&lt;="&amp;$A222,実績!$AD$6:$AD$505,"&gt;"&amp;$A222,実績!$AE$6:$AE$505,"○")&gt;0,1,0))</f>
        <v/>
      </c>
      <c r="S222">
        <f>IF(S$4=0,0,IF(COUNTIFS(実績!$W$6:$W$505,S$3,実績!$AC$6:$AC$505,"&lt;="&amp;$A222,実績!$AD$6:$AD$505,"&gt;"&amp;$A222,実績!$AE$6:$AE$505,"○")&gt;0,1,0))</f>
        <v/>
      </c>
      <c r="T222">
        <f>IF(T$4=0,0,IF(COUNTIFS(実績!$W$6:$W$505,T$3,実績!$AC$6:$AC$505,"&lt;="&amp;$A222,実績!$AD$6:$AD$505,"&gt;"&amp;$A222,実績!$AE$6:$AE$505,"○")&gt;0,1,0))</f>
        <v/>
      </c>
      <c r="U222">
        <f>IF(U$4=0,0,IF(COUNTIFS(実績!$W$6:$W$505,U$3,実績!$AC$6:$AC$505,"&lt;="&amp;$A222,実績!$AD$6:$AD$505,"&gt;"&amp;$A222,実績!$AE$6:$AE$505,"○")&gt;0,1,0))</f>
        <v/>
      </c>
      <c r="V222">
        <f>IF(V$4=0,0,IF(COUNTIFS(実績!$W$6:$W$505,V$3,実績!$AC$6:$AC$505,"&lt;="&amp;$A222,実績!$AD$6:$AD$505,"&gt;"&amp;$A222,実績!$AE$6:$AE$505,"○")&gt;0,1,0))</f>
        <v/>
      </c>
      <c r="W222">
        <f>IF(W$4=0,0,IF(COUNTIFS(実績!$W$6:$W$505,W$3,実績!$AC$6:$AC$505,"&lt;="&amp;$A222,実績!$AD$6:$AD$505,"&gt;"&amp;$A222,実績!$AE$6:$AE$505,"○")&gt;0,1,0))</f>
        <v/>
      </c>
      <c r="X222">
        <f>IF(X$4=0,0,IF(COUNTIFS(実績!$W$6:$W$505,X$3,実績!$AC$6:$AC$505,"&lt;="&amp;$A222,実績!$AD$6:$AD$505,"&gt;"&amp;$A222,実績!$AE$6:$AE$505,"○")&gt;0,1,0))</f>
        <v/>
      </c>
      <c r="Y222">
        <f>IF(Y$4=0,0,IF(COUNTIFS(実績!$W$6:$W$505,Y$3,実績!$AC$6:$AC$505,"&lt;="&amp;$A222,実績!$AD$6:$AD$505,"&gt;"&amp;$A222,実績!$AE$6:$AE$505,"○")&gt;0,1,0))</f>
        <v/>
      </c>
      <c r="Z222">
        <f>IF(Z$4=0,0,IF(COUNTIFS(実績!$W$6:$W$505,Z$3,実績!$AC$6:$AC$505,"&lt;="&amp;$A222,実績!$AD$6:$AD$505,"&gt;"&amp;$A222,実績!$AE$6:$AE$505,"○")&gt;0,1,0))</f>
        <v/>
      </c>
      <c r="AA222">
        <f>IF(AA$4=0,0,IF(COUNTIFS(実績!$W$6:$W$505,AA$3,実績!$AC$6:$AC$505,"&lt;="&amp;$A222,実績!$AD$6:$AD$505,"&gt;"&amp;$A222,実績!$AE$6:$AE$505,"○")&gt;0,1,0))</f>
        <v/>
      </c>
      <c r="AB222">
        <f>IF(AB$4=0,0,IF(COUNTIFS(実績!$W$6:$W$505,AB$3,実績!$AC$6:$AC$505,"&lt;="&amp;$A222,実績!$AD$6:$AD$505,"&gt;"&amp;$A222,実績!$AE$6:$AE$505,"○")&gt;0,1,0))</f>
        <v/>
      </c>
      <c r="AC222">
        <f>IF(AC$4=0,0,IF(COUNTIFS(実績!$W$6:$W$505,AC$3,実績!$AC$6:$AC$505,"&lt;="&amp;$A222,実績!$AD$6:$AD$505,"&gt;"&amp;$A222,実績!$AE$6:$AE$505,"○")&gt;0,1,0))</f>
        <v/>
      </c>
      <c r="AD222">
        <f>IF(AD$4=0,0,IF(COUNTIFS(実績!$W$6:$W$505,AD$3,実績!$AC$6:$AC$505,"&lt;="&amp;$A222,実績!$AD$6:$AD$505,"&gt;"&amp;$A222,実績!$AE$6:$AE$505,"○")&gt;0,1,0))</f>
        <v/>
      </c>
      <c r="AE222">
        <f>IF(AE$4=0,0,IF(COUNTIFS(実績!$W$6:$W$505,AE$3,実績!$AC$6:$AC$505,"&lt;="&amp;$A222,実績!$AD$6:$AD$505,"&gt;"&amp;$A222,実績!$AE$6:$AE$505,"○")&gt;0,1,0))</f>
        <v/>
      </c>
      <c r="AF222">
        <f>IF(AF$4=0,0,IF(COUNTIFS(実績!$W$6:$W$505,AF$3,実績!$AC$6:$AC$505,"&lt;="&amp;$A222,実績!$AD$6:$AD$505,"&gt;"&amp;$A222,実績!$AE$6:$AE$505,"○")&gt;0,1,0))</f>
        <v/>
      </c>
      <c r="AG222">
        <f>IF(AG$4=0,0,IF(COUNTIFS(実績!$W$6:$W$505,AG$3,実績!$AC$6:$AC$505,"&lt;="&amp;$A222,実績!$AD$6:$AD$505,"&gt;"&amp;$A222,実績!$AE$6:$AE$505,"○")&gt;0,1,0))</f>
        <v/>
      </c>
      <c r="AH222">
        <f>IF(AH$4=0,0,IF(COUNTIFS(実績!$W$6:$W$505,AH$3,実績!$AC$6:$AC$505,"&lt;="&amp;$A222,実績!$AD$6:$AD$505,"&gt;"&amp;$A222,実績!$AE$6:$AE$505,"○")&gt;0,1,0))</f>
        <v/>
      </c>
      <c r="AI222">
        <f>IF(AI$4=0,0,IF(COUNTIFS(実績!$W$6:$W$505,AI$3,実績!$AC$6:$AC$505,"&lt;="&amp;$A222,実績!$AD$6:$AD$505,"&gt;"&amp;$A222,実績!$AE$6:$AE$505,"○")&gt;0,1,0))</f>
        <v/>
      </c>
      <c r="AJ222">
        <f>IF(AJ$4=0,0,IF(COUNTIFS(実績!$W$6:$W$505,AJ$3,実績!$AC$6:$AC$505,"&lt;="&amp;$A222,実績!$AD$6:$AD$505,"&gt;"&amp;$A222,実績!$AE$6:$AE$505,"○")&gt;0,1,0))</f>
        <v/>
      </c>
      <c r="AK222">
        <f>IF(AK$4=0,0,IF(COUNTIFS(実績!$W$6:$W$505,AK$3,実績!$AC$6:$AC$505,"&lt;="&amp;$A222,実績!$AD$6:$AD$505,"&gt;"&amp;$A222,実績!$AE$6:$AE$505,"○")&gt;0,1,0))</f>
        <v/>
      </c>
      <c r="AL222">
        <f>IF(AL$4=0,0,IF(COUNTIFS(実績!$W$6:$W$505,AL$3,実績!$AC$6:$AC$505,"&lt;="&amp;$A222,実績!$AD$6:$AD$505,"&gt;"&amp;$A222,実績!$AE$6:$AE$505,"○")&gt;0,1,0))</f>
        <v/>
      </c>
      <c r="AM222">
        <f>IF(AM$4=0,0,IF(COUNTIFS(実績!$W$6:$W$505,AM$3,実績!$AC$6:$AC$505,"&lt;="&amp;$A222,実績!$AD$6:$AD$505,"&gt;"&amp;$A222,実績!$AE$6:$AE$505,"○")&gt;0,1,0))</f>
        <v/>
      </c>
      <c r="AN222">
        <f>IF(AN$4=0,0,IF(COUNTIFS(実績!$W$6:$W$505,AN$3,実績!$AC$6:$AC$505,"&lt;="&amp;$A222,実績!$AD$6:$AD$505,"&gt;"&amp;$A222,実績!$AE$6:$AE$505,"○")&gt;0,1,0))</f>
        <v/>
      </c>
      <c r="AO222">
        <f>IF(AO$4=0,0,IF(COUNTIFS(実績!$W$6:$W$505,AO$3,実績!$AC$6:$AC$505,"&lt;="&amp;$A222,実績!$AD$6:$AD$505,"&gt;"&amp;$A222,実績!$AE$6:$AE$505,"○")&gt;0,1,0))</f>
        <v/>
      </c>
      <c r="AP222">
        <f>IF(AP$4=0,0,IF(COUNTIFS(実績!$W$6:$W$505,AP$3,実績!$AC$6:$AC$505,"&lt;="&amp;$A222,実績!$AD$6:$AD$505,"&gt;"&amp;$A222,実績!$AE$6:$AE$505,"○")&gt;0,1,0))</f>
        <v/>
      </c>
      <c r="AQ222">
        <f>IF(AQ$4=0,0,IF(COUNTIFS(実績!$W$6:$W$505,AQ$3,実績!$AC$6:$AC$505,"&lt;="&amp;$A222,実績!$AD$6:$AD$505,"&gt;"&amp;$A222,実績!$AE$6:$AE$505,"○")&gt;0,1,0))</f>
        <v/>
      </c>
      <c r="AR222">
        <f>IF(AR$4=0,0,IF(COUNTIFS(実績!$W$6:$W$505,AR$3,実績!$AC$6:$AC$505,"&lt;="&amp;$A222,実績!$AD$6:$AD$505,"&gt;"&amp;$A222,実績!$AE$6:$AE$505,"○")&gt;0,1,0))</f>
        <v/>
      </c>
      <c r="AS222">
        <f>IF(AS$4=0,0,IF(COUNTIFS(実績!$W$6:$W$505,AS$3,実績!$AC$6:$AC$505,"&lt;="&amp;$A222,実績!$AD$6:$AD$505,"&gt;"&amp;$A222,実績!$AE$6:$AE$505,"○")&gt;0,1,0))</f>
        <v/>
      </c>
      <c r="AT222">
        <f>IF(AT$4=0,0,IF(COUNTIFS(実績!$W$6:$W$505,AT$3,実績!$AC$6:$AC$505,"&lt;="&amp;$A222,実績!$AD$6:$AD$505,"&gt;"&amp;$A222,実績!$AE$6:$AE$505,"○")&gt;0,1,0))</f>
        <v/>
      </c>
      <c r="AU222">
        <f>IF(AU$4=0,0,IF(COUNTIFS(実績!$W$6:$W$505,AU$3,実績!$AC$6:$AC$505,"&lt;="&amp;$A222,実績!$AD$6:$AD$505,"&gt;"&amp;$A222,実績!$AE$6:$AE$505,"○")&gt;0,1,0))</f>
        <v/>
      </c>
      <c r="AV222">
        <f>IF(AV$4=0,0,IF(COUNTIFS(実績!$W$6:$W$505,AV$3,実績!$AC$6:$AC$505,"&lt;="&amp;$A222,実績!$AD$6:$AD$505,"&gt;"&amp;$A222,実績!$AE$6:$AE$505,"○")&gt;0,1,0))</f>
        <v/>
      </c>
      <c r="AW222">
        <f>IF(AW$4=0,0,IF(COUNTIFS(実績!$W$6:$W$505,AW$3,実績!$AC$6:$AC$505,"&lt;="&amp;$A222,実績!$AD$6:$AD$505,"&gt;"&amp;$A222,実績!$AE$6:$AE$505,"○")&gt;0,1,0))</f>
        <v/>
      </c>
      <c r="AX222">
        <f>IF(AX$4=0,0,IF(COUNTIFS(実績!$W$6:$W$505,AX$3,実績!$AC$6:$AC$505,"&lt;="&amp;$A222,実績!$AD$6:$AD$505,"&gt;"&amp;$A222,実績!$AE$6:$AE$505,"○")&gt;0,1,0))</f>
        <v/>
      </c>
      <c r="AY222">
        <f>IF(AY$4=0,0,IF(COUNTIFS(実績!$W$6:$W$505,AY$3,実績!$AC$6:$AC$505,"&lt;="&amp;$A222,実績!$AD$6:$AD$505,"&gt;"&amp;$A222,実績!$AE$6:$AE$505,"○")&gt;0,1,0))</f>
        <v/>
      </c>
      <c r="AZ222">
        <f>IF(AZ$4=0,0,IF(COUNTIFS(実績!$W$6:$W$505,AZ$3,実績!$AC$6:$AC$505,"&lt;="&amp;$A222,実績!$AD$6:$AD$505,"&gt;"&amp;$A222,実績!$AE$6:$AE$505,"○")&gt;0,1,0))</f>
        <v/>
      </c>
      <c r="BA222">
        <f>IF(BA$4=0,0,IF(COUNTIFS(実績!$W$6:$W$505,BA$3,実績!$AC$6:$AC$505,"&lt;="&amp;$A222,実績!$AD$6:$AD$505,"&gt;"&amp;$A222,実績!$AE$6:$AE$505,"○")&gt;0,1,0))</f>
        <v/>
      </c>
      <c r="BB222">
        <f>IF(BB$4=0,0,IF(COUNTIFS(実績!$W$6:$W$505,BB$3,実績!$AC$6:$AC$505,"&lt;="&amp;$A222,実績!$AD$6:$AD$505,"&gt;"&amp;$A222,実績!$AE$6:$AE$505,"○")&gt;0,1,0))</f>
        <v/>
      </c>
      <c r="BC222">
        <f>IF(BC$4=0,0,IF(COUNTIFS(実績!$W$6:$W$505,BC$3,実績!$AC$6:$AC$505,"&lt;="&amp;$A222,実績!$AD$6:$AD$505,"&gt;"&amp;$A222,実績!$AE$6:$AE$505,"○")&gt;0,1,0))</f>
        <v/>
      </c>
      <c r="BD222">
        <f>IF(BD$4=0,0,IF(COUNTIFS(実績!$W$6:$W$505,BD$3,実績!$AC$6:$AC$505,"&lt;="&amp;$A222,実績!$AD$6:$AD$505,"&gt;"&amp;$A222,実績!$AE$6:$AE$505,"○")&gt;0,1,0))</f>
        <v/>
      </c>
      <c r="BE222">
        <f>IF(BE$4=0,0,IF(COUNTIFS(実績!$W$6:$W$505,BE$3,実績!$AC$6:$AC$505,"&lt;="&amp;$A222,実績!$AD$6:$AD$505,"&gt;"&amp;$A222,実績!$AE$6:$AE$505,"○")&gt;0,1,0))</f>
        <v/>
      </c>
      <c r="BF222">
        <f>IF(BF$4=0,0,IF(COUNTIFS(実績!$W$6:$W$505,BF$3,実績!$AC$6:$AC$505,"&lt;="&amp;$A222,実績!$AD$6:$AD$505,"&gt;"&amp;$A222,実績!$AE$6:$AE$505,"○")&gt;0,1,0))</f>
        <v/>
      </c>
      <c r="BG222">
        <f>IF(BG$4=0,0,IF(COUNTIFS(実績!$W$6:$W$505,BG$3,実績!$AC$6:$AC$505,"&lt;="&amp;$A222,実績!$AD$6:$AD$505,"&gt;"&amp;$A222,実績!$AE$6:$AE$505,"○")&gt;0,1,0))</f>
        <v/>
      </c>
      <c r="BH222">
        <f>IF(BH$4=0,0,IF(COUNTIFS(実績!$W$6:$W$505,BH$3,実績!$AC$6:$AC$505,"&lt;="&amp;$A222,実績!$AD$6:$AD$505,"&gt;"&amp;$A222,実績!$AE$6:$AE$505,"○")&gt;0,1,0))</f>
        <v/>
      </c>
      <c r="BI222">
        <f>IF(BI$4=0,0,IF(COUNTIFS(実績!$W$6:$W$505,BI$3,実績!$AC$6:$AC$505,"&lt;="&amp;$A222,実績!$AD$6:$AD$505,"&gt;"&amp;$A222,実績!$AE$6:$AE$505,"○")&gt;0,1,0))</f>
        <v/>
      </c>
      <c r="BJ222">
        <f>IF(BJ$4=0,0,IF(COUNTIFS(実績!$W$6:$W$505,BJ$3,実績!$AC$6:$AC$505,"&lt;="&amp;$A222,実績!$AD$6:$AD$505,"&gt;"&amp;$A222,実績!$AE$6:$AE$505,"○")&gt;0,1,0))</f>
        <v/>
      </c>
      <c r="BK222">
        <f>IF(BK$4=0,0,IF(COUNTIFS(実績!$W$6:$W$505,BK$3,実績!$AC$6:$AC$505,"&lt;="&amp;$A222,実績!$AD$6:$AD$505,"&gt;"&amp;$A222,実績!$AE$6:$AE$505,"○")&gt;0,1,0))</f>
        <v/>
      </c>
      <c r="BL222">
        <f>IF(BL$4=0,0,IF(COUNTIFS(実績!$W$6:$W$505,BL$3,実績!$AC$6:$AC$505,"&lt;="&amp;$A222,実績!$AD$6:$AD$505,"&gt;"&amp;$A222,実績!$AE$6:$AE$505,"○")&gt;0,1,0))</f>
        <v/>
      </c>
      <c r="BM222">
        <f>IF(BM$4=0,0,IF(COUNTIFS(実績!$W$6:$W$505,BM$3,実績!$AC$6:$AC$505,"&lt;="&amp;$A222,実績!$AD$6:$AD$505,"&gt;"&amp;$A222,実績!$AE$6:$AE$505,"○")&gt;0,1,0))</f>
        <v/>
      </c>
      <c r="BN222">
        <f>IF(BN$4=0,0,IF(COUNTIFS(実績!$W$6:$W$505,BN$3,実績!$AC$6:$AC$505,"&lt;="&amp;$A222,実績!$AD$6:$AD$505,"&gt;"&amp;$A222,実績!$AE$6:$AE$505,"○")&gt;0,1,0))</f>
        <v/>
      </c>
      <c r="BO222">
        <f>IF(BO$4=0,0,IF(COUNTIFS(実績!$W$6:$W$505,BO$3,実績!$AC$6:$AC$505,"&lt;="&amp;$A222,実績!$AD$6:$AD$505,"&gt;"&amp;$A222,実績!$AE$6:$AE$505,"○")&gt;0,1,0))</f>
        <v/>
      </c>
      <c r="BP222">
        <f>IF(BP$4=0,0,IF(COUNTIFS(実績!$W$6:$W$505,BP$3,実績!$AC$6:$AC$505,"&lt;="&amp;$A222,実績!$AD$6:$AD$505,"&gt;"&amp;$A222,実績!$AE$6:$AE$505,"○")&gt;0,1,0))</f>
        <v/>
      </c>
      <c r="BQ222">
        <f>IF(BQ$4=0,0,IF(COUNTIFS(実績!$W$6:$W$505,BQ$3,実績!$AC$6:$AC$505,"&lt;="&amp;$A222,実績!$AD$6:$AD$505,"&gt;"&amp;$A222,実績!$AE$6:$AE$505,"○")&gt;0,1,0))</f>
        <v/>
      </c>
      <c r="BR222">
        <f>IF(BR$4=0,0,IF(COUNTIFS(実績!$W$6:$W$505,BR$3,実績!$AC$6:$AC$505,"&lt;="&amp;$A222,実績!$AD$6:$AD$505,"&gt;"&amp;$A222,実績!$AE$6:$AE$505,"○")&gt;0,1,0))</f>
        <v/>
      </c>
      <c r="BS222">
        <f>IF(BS$4=0,0,IF(COUNTIFS(実績!$W$6:$W$505,BS$3,実績!$AC$6:$AC$505,"&lt;="&amp;$A222,実績!$AD$6:$AD$505,"&gt;"&amp;$A222,実績!$AE$6:$AE$505,"○")&gt;0,1,0))</f>
        <v/>
      </c>
      <c r="BT222">
        <f>IF(BT$4=0,0,IF(COUNTIFS(実績!$W$6:$W$505,BT$3,実績!$AC$6:$AC$505,"&lt;="&amp;$A222,実績!$AD$6:$AD$505,"&gt;"&amp;$A222,実績!$AE$6:$AE$505,"○")&gt;0,1,0))</f>
        <v/>
      </c>
      <c r="BU222">
        <f>IF(BU$4=0,0,IF(COUNTIFS(実績!$W$6:$W$505,BU$3,実績!$AC$6:$AC$505,"&lt;="&amp;$A222,実績!$AD$6:$AD$505,"&gt;"&amp;$A222,実績!$AE$6:$AE$505,"○")&gt;0,1,0))</f>
        <v/>
      </c>
      <c r="BV222">
        <f>IF(BV$4=0,0,IF(COUNTIFS(実績!$W$6:$W$505,BV$3,実績!$AC$6:$AC$505,"&lt;="&amp;$A222,実績!$AD$6:$AD$505,"&gt;"&amp;$A222,実績!$AE$6:$AE$505,"○")&gt;0,1,0))</f>
        <v/>
      </c>
      <c r="BW222">
        <f>IF(BW$4=0,0,IF(COUNTIFS(実績!$W$6:$W$505,BW$3,実績!$AC$6:$AC$505,"&lt;="&amp;$A222,実績!$AD$6:$AD$505,"&gt;"&amp;$A222,実績!$AE$6:$AE$505,"○")&gt;0,1,0))</f>
        <v/>
      </c>
      <c r="BX222">
        <f>IF(BX$4=0,0,IF(COUNTIFS(実績!$W$6:$W$505,BX$3,実績!$AC$6:$AC$505,"&lt;="&amp;$A222,実績!$AD$6:$AD$505,"&gt;"&amp;$A222,実績!$AE$6:$AE$505,"○")&gt;0,1,0))</f>
        <v/>
      </c>
      <c r="BY222">
        <f>IF(BY$4=0,0,IF(COUNTIFS(実績!$W$6:$W$505,BY$3,実績!$AC$6:$AC$505,"&lt;="&amp;$A222,実績!$AD$6:$AD$505,"&gt;"&amp;$A222,実績!$AE$6:$AE$505,"○")&gt;0,1,0))</f>
        <v/>
      </c>
      <c r="BZ222">
        <f>IF(BZ$4=0,0,IF(COUNTIFS(実績!$W$6:$W$505,BZ$3,実績!$AC$6:$AC$505,"&lt;="&amp;$A222,実績!$AD$6:$AD$505,"&gt;"&amp;$A222,実績!$AE$6:$AE$505,"○")&gt;0,1,0))</f>
        <v/>
      </c>
      <c r="CA222">
        <f>IF(CA$4=0,0,IF(COUNTIFS(実績!$W$6:$W$505,CA$3,実績!$AC$6:$AC$505,"&lt;="&amp;$A222,実績!$AD$6:$AD$505,"&gt;"&amp;$A222,実績!$AE$6:$AE$505,"○")&gt;0,1,0))</f>
        <v/>
      </c>
      <c r="CB222">
        <f>IF(CB$4=0,0,IF(COUNTIFS(実績!$W$6:$W$505,CB$3,実績!$AC$6:$AC$505,"&lt;="&amp;$A222,実績!$AD$6:$AD$505,"&gt;"&amp;$A222,実績!$AE$6:$AE$505,"○")&gt;0,1,0))</f>
        <v/>
      </c>
      <c r="CC222">
        <f>IF(CC$4=0,0,IF(COUNTIFS(実績!$W$6:$W$505,CC$3,実績!$AC$6:$AC$505,"&lt;="&amp;$A222,実績!$AD$6:$AD$505,"&gt;"&amp;$A222,実績!$AE$6:$AE$505,"○")&gt;0,1,0))</f>
        <v/>
      </c>
      <c r="CD222">
        <f>IF(CD$4=0,0,IF(COUNTIFS(実績!$W$6:$W$505,CD$3,実績!$AC$6:$AC$505,"&lt;="&amp;$A222,実績!$AD$6:$AD$505,"&gt;"&amp;$A222,実績!$AE$6:$AE$505,"○")&gt;0,1,0))</f>
        <v/>
      </c>
      <c r="CE222">
        <f>IF(CE$4=0,0,IF(COUNTIFS(実績!$W$6:$W$505,CE$3,実績!$AC$6:$AC$505,"&lt;="&amp;$A222,実績!$AD$6:$AD$505,"&gt;"&amp;$A222,実績!$AE$6:$AE$505,"○")&gt;0,1,0))</f>
        <v/>
      </c>
      <c r="CF222">
        <f>IF(CF$4=0,0,IF(COUNTIFS(実績!$W$6:$W$505,CF$3,実績!$AC$6:$AC$505,"&lt;="&amp;$A222,実績!$AD$6:$AD$505,"&gt;"&amp;$A222,実績!$AE$6:$AE$505,"○")&gt;0,1,0))</f>
        <v/>
      </c>
      <c r="CG222">
        <f>IF(CG$4=0,0,IF(COUNTIFS(実績!$W$6:$W$505,CG$3,実績!$AC$6:$AC$505,"&lt;="&amp;$A222,実績!$AD$6:$AD$505,"&gt;"&amp;$A222,実績!$AE$6:$AE$505,"○")&gt;0,1,0))</f>
        <v/>
      </c>
      <c r="CH222">
        <f>IF(CH$4=0,0,IF(COUNTIFS(実績!$W$6:$W$505,CH$3,実績!$AC$6:$AC$505,"&lt;="&amp;$A222,実績!$AD$6:$AD$505,"&gt;"&amp;$A222,実績!$AE$6:$AE$505,"○")&gt;0,1,0))</f>
        <v/>
      </c>
      <c r="CI222">
        <f>IF(CI$4=0,0,IF(COUNTIFS(実績!$W$6:$W$505,CI$3,実績!$AC$6:$AC$505,"&lt;="&amp;$A222,実績!$AD$6:$AD$505,"&gt;"&amp;$A222,実績!$AE$6:$AE$505,"○")&gt;0,1,0))</f>
        <v/>
      </c>
      <c r="CJ222">
        <f>IF(CJ$4=0,0,IF(COUNTIFS(実績!$W$6:$W$505,CJ$3,実績!$AC$6:$AC$505,"&lt;="&amp;$A222,実績!$AD$6:$AD$505,"&gt;"&amp;$A222,実績!$AE$6:$AE$505,"○")&gt;0,1,0))</f>
        <v/>
      </c>
      <c r="CK222">
        <f>IF(CK$4=0,0,IF(COUNTIFS(実績!$W$6:$W$505,CK$3,実績!$AC$6:$AC$505,"&lt;="&amp;$A222,実績!$AD$6:$AD$505,"&gt;"&amp;$A222,実績!$AE$6:$AE$505,"○")&gt;0,1,0))</f>
        <v/>
      </c>
      <c r="CL222">
        <f>IF(CL$4=0,0,IF(COUNTIFS(実績!$W$6:$W$505,CL$3,実績!$AC$6:$AC$505,"&lt;="&amp;$A222,実績!$AD$6:$AD$505,"&gt;"&amp;$A222,実績!$AE$6:$AE$505,"○")&gt;0,1,0))</f>
        <v/>
      </c>
      <c r="CM222">
        <f>IF(CM$4=0,0,IF(COUNTIFS(実績!$W$6:$W$505,CM$3,実績!$AC$6:$AC$505,"&lt;="&amp;$A222,実績!$AD$6:$AD$505,"&gt;"&amp;$A222,実績!$AE$6:$AE$505,"○")&gt;0,1,0))</f>
        <v/>
      </c>
      <c r="CN222">
        <f>IF(CN$4=0,0,IF(COUNTIFS(実績!$W$6:$W$505,CN$3,実績!$AC$6:$AC$505,"&lt;="&amp;$A222,実績!$AD$6:$AD$505,"&gt;"&amp;$A222,実績!$AE$6:$AE$505,"○")&gt;0,1,0))</f>
        <v/>
      </c>
      <c r="CO222">
        <f>IF(CO$4=0,0,IF(COUNTIFS(実績!$W$6:$W$505,CO$3,実績!$AC$6:$AC$505,"&lt;="&amp;$A222,実績!$AD$6:$AD$505,"&gt;"&amp;$A222,実績!$AE$6:$AE$505,"○")&gt;0,1,0))</f>
        <v/>
      </c>
      <c r="CP222">
        <f>IF(CP$4=0,0,IF(COUNTIFS(実績!$W$6:$W$505,CP$3,実績!$AC$6:$AC$505,"&lt;="&amp;$A222,実績!$AD$6:$AD$505,"&gt;"&amp;$A222,実績!$AE$6:$AE$505,"○")&gt;0,1,0))</f>
        <v/>
      </c>
      <c r="CQ222">
        <f>IF(CQ$4=0,0,IF(COUNTIFS(実績!$W$6:$W$505,CQ$3,実績!$AC$6:$AC$505,"&lt;="&amp;$A222,実績!$AD$6:$AD$505,"&gt;"&amp;$A222,実績!$AE$6:$AE$505,"○")&gt;0,1,0))</f>
        <v/>
      </c>
      <c r="CR222">
        <f>IF(CR$4=0,0,IF(COUNTIFS(実績!$W$6:$W$505,CR$3,実績!$AC$6:$AC$505,"&lt;="&amp;$A222,実績!$AD$6:$AD$505,"&gt;"&amp;$A222,実績!$AE$6:$AE$505,"○")&gt;0,1,0))</f>
        <v/>
      </c>
      <c r="CS222">
        <f>IF(CS$4=0,0,IF(COUNTIFS(実績!$W$6:$W$505,CS$3,実績!$AC$6:$AC$505,"&lt;="&amp;$A222,実績!$AD$6:$AD$505,"&gt;"&amp;$A222,実績!$AE$6:$AE$505,"○")&gt;0,1,0))</f>
        <v/>
      </c>
      <c r="CT222">
        <f>IF(CT$4=0,0,IF(COUNTIFS(実績!$W$6:$W$505,CT$3,実績!$AC$6:$AC$505,"&lt;="&amp;$A222,実績!$AD$6:$AD$505,"&gt;"&amp;$A222,実績!$AE$6:$AE$505,"○")&gt;0,1,0))</f>
        <v/>
      </c>
      <c r="CU222">
        <f>IF(CU$4=0,0,IF(COUNTIFS(実績!$W$6:$W$505,CU$3,実績!$AC$6:$AC$505,"&lt;="&amp;$A222,実績!$AD$6:$AD$505,"&gt;"&amp;$A222,実績!$AE$6:$AE$505,"○")&gt;0,1,0))</f>
        <v/>
      </c>
      <c r="CV222">
        <f>IF(CV$4=0,0,IF(COUNTIFS(実績!$W$6:$W$505,CV$3,実績!$AC$6:$AC$505,"&lt;="&amp;$A222,実績!$AD$6:$AD$505,"&gt;"&amp;$A222,実績!$AE$6:$AE$505,"○")&gt;0,1,0))</f>
        <v/>
      </c>
      <c r="CW222">
        <f>IF(CW$4=0,0,IF(COUNTIFS(実績!$W$6:$W$505,CW$3,実績!$AC$6:$AC$505,"&lt;="&amp;$A222,実績!$AD$6:$AD$505,"&gt;"&amp;$A222,実績!$AE$6:$AE$505,"○")&gt;0,1,0))</f>
        <v/>
      </c>
      <c r="CX222">
        <f>IF(CX$4=0,0,IF(COUNTIFS(実績!$W$6:$W$505,CX$3,実績!$AC$6:$AC$505,"&lt;="&amp;$A222,実績!$AD$6:$AD$505,"&gt;"&amp;$A222,実績!$AE$6:$AE$505,"○")&gt;0,1,0))</f>
        <v/>
      </c>
      <c r="CY222">
        <f>IF(CY$4=0,0,IF(COUNTIFS(実績!$W$6:$W$505,CY$3,実績!$AC$6:$AC$505,"&lt;="&amp;$A222,実績!$AD$6:$AD$505,"&gt;"&amp;$A222,実績!$AE$6:$AE$505,"○")&gt;0,1,0))</f>
        <v/>
      </c>
      <c r="CZ222">
        <f>IF(CZ$4=0,0,IF(COUNTIFS(実績!$W$6:$W$505,CZ$3,実績!$AC$6:$AC$505,"&lt;="&amp;$A222,実績!$AD$6:$AD$505,"&gt;"&amp;$A222,実績!$AE$6:$AE$505,"○")&gt;0,1,0))</f>
        <v/>
      </c>
      <c r="DA222">
        <f>IF(DA$4=0,0,IF(COUNTIFS(実績!$W$6:$W$505,DA$3,実績!$AC$6:$AC$505,"&lt;="&amp;$A222,実績!$AD$6:$AD$505,"&gt;"&amp;$A222,実績!$AE$6:$AE$505,"○")&gt;0,1,0))</f>
        <v/>
      </c>
      <c r="DB222">
        <f>IF(DB$4=0,0,IF(COUNTIFS(実績!$W$6:$W$505,DB$3,実績!$AC$6:$AC$505,"&lt;="&amp;$A222,実績!$AD$6:$AD$505,"&gt;"&amp;$A222,実績!$AE$6:$AE$505,"○")&gt;0,1,0))</f>
        <v/>
      </c>
      <c r="DC222">
        <f>IF(DC$4=0,0,IF(COUNTIFS(実績!$W$6:$W$505,DC$3,実績!$AC$6:$AC$505,"&lt;="&amp;$A222,実績!$AD$6:$AD$505,"&gt;"&amp;$A222,実績!$AE$6:$AE$505,"○")&gt;0,1,0))</f>
        <v/>
      </c>
      <c r="DD222">
        <f>IF(DD$4=0,0,IF(COUNTIFS(実績!$W$6:$W$505,DD$3,実績!$AC$6:$AC$505,"&lt;="&amp;$A222,実績!$AD$6:$AD$505,"&gt;"&amp;$A222,実績!$AE$6:$AE$505,"○")&gt;0,1,0))</f>
        <v/>
      </c>
      <c r="DE222">
        <f>IF(DE$4=0,0,IF(COUNTIFS(実績!$W$6:$W$505,DE$3,実績!$AC$6:$AC$505,"&lt;="&amp;$A222,実績!$AD$6:$AD$505,"&gt;"&amp;$A222,実績!$AE$6:$AE$505,"○")&gt;0,1,0))</f>
        <v/>
      </c>
      <c r="DF222">
        <f>IF(DF$4=0,0,IF(COUNTIFS(実績!$W$6:$W$505,DF$3,実績!$AC$6:$AC$505,"&lt;="&amp;$A222,実績!$AD$6:$AD$505,"&gt;"&amp;$A222,実績!$AE$6:$AE$505,"○")&gt;0,1,0))</f>
        <v/>
      </c>
      <c r="DG222">
        <f>IF(DG$4=0,0,IF(COUNTIFS(実績!$W$6:$W$505,DG$3,実績!$AC$6:$AC$505,"&lt;="&amp;$A222,実績!$AD$6:$AD$505,"&gt;"&amp;$A222,実績!$AE$6:$AE$505,"○")&gt;0,1,0))</f>
        <v/>
      </c>
      <c r="DH222">
        <f>IF(DH$4=0,0,IF(COUNTIFS(実績!$W$6:$W$505,DH$3,実績!$AC$6:$AC$505,"&lt;="&amp;$A222,実績!$AD$6:$AD$505,"&gt;"&amp;$A222,実績!$AE$6:$AE$505,"○")&gt;0,1,0))</f>
        <v/>
      </c>
      <c r="DI222">
        <f>IF(DI$4=0,0,IF(COUNTIFS(実績!$W$6:$W$505,DI$3,実績!$AC$6:$AC$505,"&lt;="&amp;$A222,実績!$AD$6:$AD$505,"&gt;"&amp;$A222,実績!$AE$6:$AE$505,"○")&gt;0,1,0))</f>
        <v/>
      </c>
      <c r="DJ222">
        <f>IF(DJ$4=0,0,IF(COUNTIFS(実績!$W$6:$W$505,DJ$3,実績!$AC$6:$AC$505,"&lt;="&amp;$A222,実績!$AD$6:$AD$505,"&gt;"&amp;$A222,実績!$AE$6:$AE$505,"○")&gt;0,1,0))</f>
        <v/>
      </c>
      <c r="DK222">
        <f>IF(DK$4=0,0,IF(COUNTIFS(実績!$W$6:$W$505,DK$3,実績!$AC$6:$AC$505,"&lt;="&amp;$A222,実績!$AD$6:$AD$505,"&gt;"&amp;$A222,実績!$AE$6:$AE$505,"○")&gt;0,1,0))</f>
        <v/>
      </c>
      <c r="DL222">
        <f>IF(DL$4=0,0,IF(COUNTIFS(実績!$W$6:$W$505,DL$3,実績!$AC$6:$AC$505,"&lt;="&amp;$A222,実績!$AD$6:$AD$505,"&gt;"&amp;$A222,実績!$AE$6:$AE$505,"○")&gt;0,1,0))</f>
        <v/>
      </c>
      <c r="DM222">
        <f>IF(DM$4=0,0,IF(COUNTIFS(実績!$W$6:$W$505,DM$3,実績!$AC$6:$AC$505,"&lt;="&amp;$A222,実績!$AD$6:$AD$505,"&gt;"&amp;$A222,実績!$AE$6:$AE$505,"○")&gt;0,1,0))</f>
        <v/>
      </c>
      <c r="DN222">
        <f>IF(DN$4=0,0,IF(COUNTIFS(実績!$W$6:$W$505,DN$3,実績!$AC$6:$AC$505,"&lt;="&amp;$A222,実績!$AD$6:$AD$505,"&gt;"&amp;$A222,実績!$AE$6:$AE$505,"○")&gt;0,1,0))</f>
        <v/>
      </c>
      <c r="DO222">
        <f>IF(DO$4=0,0,IF(COUNTIFS(実績!$W$6:$W$505,DO$3,実績!$AC$6:$AC$505,"&lt;="&amp;$A222,実績!$AD$6:$AD$505,"&gt;"&amp;$A222,実績!$AE$6:$AE$505,"○")&gt;0,1,0))</f>
        <v/>
      </c>
      <c r="DP222">
        <f>IF(DP$4=0,0,IF(COUNTIFS(実績!$W$6:$W$505,DP$3,実績!$AC$6:$AC$505,"&lt;="&amp;$A222,実績!$AD$6:$AD$505,"&gt;"&amp;$A222,実績!$AE$6:$AE$505,"○")&gt;0,1,0))</f>
        <v/>
      </c>
      <c r="DQ222">
        <f>IF(DQ$4=0,0,IF(COUNTIFS(実績!$W$6:$W$505,DQ$3,実績!$AC$6:$AC$505,"&lt;="&amp;$A222,実績!$AD$6:$AD$505,"&gt;"&amp;$A222,実績!$AE$6:$AE$505,"○")&gt;0,1,0))</f>
        <v/>
      </c>
      <c r="DR222">
        <f>IF(DR$4=0,0,IF(COUNTIFS(実績!$W$6:$W$505,DR$3,実績!$AC$6:$AC$505,"&lt;="&amp;$A222,実績!$AD$6:$AD$505,"&gt;"&amp;$A222,実績!$AE$6:$AE$505,"○")&gt;0,1,0))</f>
        <v/>
      </c>
      <c r="DS222">
        <f>SUM(C222:DR222)</f>
        <v/>
      </c>
      <c r="DT222">
        <f>SUMPRODUCT((実績!$C$6:$C$505="○")*ISNUMBER(実績!$AF$6:$AF$505)*(実績!$AF$6:$AF$505&lt;=$A222)*(実績!$AG$6:$AG$505&gt;$A222))</f>
        <v/>
      </c>
      <c r="DU222">
        <f>SUMIF($C$2:$DR$2,"製鉄曳船",C222:DR222)</f>
        <v/>
      </c>
      <c r="DV222">
        <f>SUMIF($C$2:$DR$2,"西日本海運",C222:DR222)</f>
        <v/>
      </c>
    </row>
    <row r="223">
      <c r="A223" t="n">
        <v>1085</v>
      </c>
      <c r="B223" s="29">
        <f>A223/1440</f>
        <v/>
      </c>
      <c r="C223">
        <f>IF(C$4=0,0,IF(COUNTIFS(実績!$W$6:$W$505,C$3,実績!$AC$6:$AC$505,"&lt;="&amp;$A223,実績!$AD$6:$AD$505,"&gt;"&amp;$A223,実績!$AE$6:$AE$505,"○")&gt;0,1,0))</f>
        <v/>
      </c>
      <c r="D223">
        <f>IF(D$4=0,0,IF(COUNTIFS(実績!$W$6:$W$505,D$3,実績!$AC$6:$AC$505,"&lt;="&amp;$A223,実績!$AD$6:$AD$505,"&gt;"&amp;$A223,実績!$AE$6:$AE$505,"○")&gt;0,1,0))</f>
        <v/>
      </c>
      <c r="E223">
        <f>IF(E$4=0,0,IF(COUNTIFS(実績!$W$6:$W$505,E$3,実績!$AC$6:$AC$505,"&lt;="&amp;$A223,実績!$AD$6:$AD$505,"&gt;"&amp;$A223,実績!$AE$6:$AE$505,"○")&gt;0,1,0))</f>
        <v/>
      </c>
      <c r="F223">
        <f>IF(F$4=0,0,IF(COUNTIFS(実績!$W$6:$W$505,F$3,実績!$AC$6:$AC$505,"&lt;="&amp;$A223,実績!$AD$6:$AD$505,"&gt;"&amp;$A223,実績!$AE$6:$AE$505,"○")&gt;0,1,0))</f>
        <v/>
      </c>
      <c r="G223">
        <f>IF(G$4=0,0,IF(COUNTIFS(実績!$W$6:$W$505,G$3,実績!$AC$6:$AC$505,"&lt;="&amp;$A223,実績!$AD$6:$AD$505,"&gt;"&amp;$A223,実績!$AE$6:$AE$505,"○")&gt;0,1,0))</f>
        <v/>
      </c>
      <c r="H223">
        <f>IF(H$4=0,0,IF(COUNTIFS(実績!$W$6:$W$505,H$3,実績!$AC$6:$AC$505,"&lt;="&amp;$A223,実績!$AD$6:$AD$505,"&gt;"&amp;$A223,実績!$AE$6:$AE$505,"○")&gt;0,1,0))</f>
        <v/>
      </c>
      <c r="I223">
        <f>IF(I$4=0,0,IF(COUNTIFS(実績!$W$6:$W$505,I$3,実績!$AC$6:$AC$505,"&lt;="&amp;$A223,実績!$AD$6:$AD$505,"&gt;"&amp;$A223,実績!$AE$6:$AE$505,"○")&gt;0,1,0))</f>
        <v/>
      </c>
      <c r="J223">
        <f>IF(J$4=0,0,IF(COUNTIFS(実績!$W$6:$W$505,J$3,実績!$AC$6:$AC$505,"&lt;="&amp;$A223,実績!$AD$6:$AD$505,"&gt;"&amp;$A223,実績!$AE$6:$AE$505,"○")&gt;0,1,0))</f>
        <v/>
      </c>
      <c r="K223">
        <f>IF(K$4=0,0,IF(COUNTIFS(実績!$W$6:$W$505,K$3,実績!$AC$6:$AC$505,"&lt;="&amp;$A223,実績!$AD$6:$AD$505,"&gt;"&amp;$A223,実績!$AE$6:$AE$505,"○")&gt;0,1,0))</f>
        <v/>
      </c>
      <c r="L223">
        <f>IF(L$4=0,0,IF(COUNTIFS(実績!$W$6:$W$505,L$3,実績!$AC$6:$AC$505,"&lt;="&amp;$A223,実績!$AD$6:$AD$505,"&gt;"&amp;$A223,実績!$AE$6:$AE$505,"○")&gt;0,1,0))</f>
        <v/>
      </c>
      <c r="M223">
        <f>IF(M$4=0,0,IF(COUNTIFS(実績!$W$6:$W$505,M$3,実績!$AC$6:$AC$505,"&lt;="&amp;$A223,実績!$AD$6:$AD$505,"&gt;"&amp;$A223,実績!$AE$6:$AE$505,"○")&gt;0,1,0))</f>
        <v/>
      </c>
      <c r="N223">
        <f>IF(N$4=0,0,IF(COUNTIFS(実績!$W$6:$W$505,N$3,実績!$AC$6:$AC$505,"&lt;="&amp;$A223,実績!$AD$6:$AD$505,"&gt;"&amp;$A223,実績!$AE$6:$AE$505,"○")&gt;0,1,0))</f>
        <v/>
      </c>
      <c r="O223">
        <f>IF(O$4=0,0,IF(COUNTIFS(実績!$W$6:$W$505,O$3,実績!$AC$6:$AC$505,"&lt;="&amp;$A223,実績!$AD$6:$AD$505,"&gt;"&amp;$A223,実績!$AE$6:$AE$505,"○")&gt;0,1,0))</f>
        <v/>
      </c>
      <c r="P223">
        <f>IF(P$4=0,0,IF(COUNTIFS(実績!$W$6:$W$505,P$3,実績!$AC$6:$AC$505,"&lt;="&amp;$A223,実績!$AD$6:$AD$505,"&gt;"&amp;$A223,実績!$AE$6:$AE$505,"○")&gt;0,1,0))</f>
        <v/>
      </c>
      <c r="Q223">
        <f>IF(Q$4=0,0,IF(COUNTIFS(実績!$W$6:$W$505,Q$3,実績!$AC$6:$AC$505,"&lt;="&amp;$A223,実績!$AD$6:$AD$505,"&gt;"&amp;$A223,実績!$AE$6:$AE$505,"○")&gt;0,1,0))</f>
        <v/>
      </c>
      <c r="R223">
        <f>IF(R$4=0,0,IF(COUNTIFS(実績!$W$6:$W$505,R$3,実績!$AC$6:$AC$505,"&lt;="&amp;$A223,実績!$AD$6:$AD$505,"&gt;"&amp;$A223,実績!$AE$6:$AE$505,"○")&gt;0,1,0))</f>
        <v/>
      </c>
      <c r="S223">
        <f>IF(S$4=0,0,IF(COUNTIFS(実績!$W$6:$W$505,S$3,実績!$AC$6:$AC$505,"&lt;="&amp;$A223,実績!$AD$6:$AD$505,"&gt;"&amp;$A223,実績!$AE$6:$AE$505,"○")&gt;0,1,0))</f>
        <v/>
      </c>
      <c r="T223">
        <f>IF(T$4=0,0,IF(COUNTIFS(実績!$W$6:$W$505,T$3,実績!$AC$6:$AC$505,"&lt;="&amp;$A223,実績!$AD$6:$AD$505,"&gt;"&amp;$A223,実績!$AE$6:$AE$505,"○")&gt;0,1,0))</f>
        <v/>
      </c>
      <c r="U223">
        <f>IF(U$4=0,0,IF(COUNTIFS(実績!$W$6:$W$505,U$3,実績!$AC$6:$AC$505,"&lt;="&amp;$A223,実績!$AD$6:$AD$505,"&gt;"&amp;$A223,実績!$AE$6:$AE$505,"○")&gt;0,1,0))</f>
        <v/>
      </c>
      <c r="V223">
        <f>IF(V$4=0,0,IF(COUNTIFS(実績!$W$6:$W$505,V$3,実績!$AC$6:$AC$505,"&lt;="&amp;$A223,実績!$AD$6:$AD$505,"&gt;"&amp;$A223,実績!$AE$6:$AE$505,"○")&gt;0,1,0))</f>
        <v/>
      </c>
      <c r="W223">
        <f>IF(W$4=0,0,IF(COUNTIFS(実績!$W$6:$W$505,W$3,実績!$AC$6:$AC$505,"&lt;="&amp;$A223,実績!$AD$6:$AD$505,"&gt;"&amp;$A223,実績!$AE$6:$AE$505,"○")&gt;0,1,0))</f>
        <v/>
      </c>
      <c r="X223">
        <f>IF(X$4=0,0,IF(COUNTIFS(実績!$W$6:$W$505,X$3,実績!$AC$6:$AC$505,"&lt;="&amp;$A223,実績!$AD$6:$AD$505,"&gt;"&amp;$A223,実績!$AE$6:$AE$505,"○")&gt;0,1,0))</f>
        <v/>
      </c>
      <c r="Y223">
        <f>IF(Y$4=0,0,IF(COUNTIFS(実績!$W$6:$W$505,Y$3,実績!$AC$6:$AC$505,"&lt;="&amp;$A223,実績!$AD$6:$AD$505,"&gt;"&amp;$A223,実績!$AE$6:$AE$505,"○")&gt;0,1,0))</f>
        <v/>
      </c>
      <c r="Z223">
        <f>IF(Z$4=0,0,IF(COUNTIFS(実績!$W$6:$W$505,Z$3,実績!$AC$6:$AC$505,"&lt;="&amp;$A223,実績!$AD$6:$AD$505,"&gt;"&amp;$A223,実績!$AE$6:$AE$505,"○")&gt;0,1,0))</f>
        <v/>
      </c>
      <c r="AA223">
        <f>IF(AA$4=0,0,IF(COUNTIFS(実績!$W$6:$W$505,AA$3,実績!$AC$6:$AC$505,"&lt;="&amp;$A223,実績!$AD$6:$AD$505,"&gt;"&amp;$A223,実績!$AE$6:$AE$505,"○")&gt;0,1,0))</f>
        <v/>
      </c>
      <c r="AB223">
        <f>IF(AB$4=0,0,IF(COUNTIFS(実績!$W$6:$W$505,AB$3,実績!$AC$6:$AC$505,"&lt;="&amp;$A223,実績!$AD$6:$AD$505,"&gt;"&amp;$A223,実績!$AE$6:$AE$505,"○")&gt;0,1,0))</f>
        <v/>
      </c>
      <c r="AC223">
        <f>IF(AC$4=0,0,IF(COUNTIFS(実績!$W$6:$W$505,AC$3,実績!$AC$6:$AC$505,"&lt;="&amp;$A223,実績!$AD$6:$AD$505,"&gt;"&amp;$A223,実績!$AE$6:$AE$505,"○")&gt;0,1,0))</f>
        <v/>
      </c>
      <c r="AD223">
        <f>IF(AD$4=0,0,IF(COUNTIFS(実績!$W$6:$W$505,AD$3,実績!$AC$6:$AC$505,"&lt;="&amp;$A223,実績!$AD$6:$AD$505,"&gt;"&amp;$A223,実績!$AE$6:$AE$505,"○")&gt;0,1,0))</f>
        <v/>
      </c>
      <c r="AE223">
        <f>IF(AE$4=0,0,IF(COUNTIFS(実績!$W$6:$W$505,AE$3,実績!$AC$6:$AC$505,"&lt;="&amp;$A223,実績!$AD$6:$AD$505,"&gt;"&amp;$A223,実績!$AE$6:$AE$505,"○")&gt;0,1,0))</f>
        <v/>
      </c>
      <c r="AF223">
        <f>IF(AF$4=0,0,IF(COUNTIFS(実績!$W$6:$W$505,AF$3,実績!$AC$6:$AC$505,"&lt;="&amp;$A223,実績!$AD$6:$AD$505,"&gt;"&amp;$A223,実績!$AE$6:$AE$505,"○")&gt;0,1,0))</f>
        <v/>
      </c>
      <c r="AG223">
        <f>IF(AG$4=0,0,IF(COUNTIFS(実績!$W$6:$W$505,AG$3,実績!$AC$6:$AC$505,"&lt;="&amp;$A223,実績!$AD$6:$AD$505,"&gt;"&amp;$A223,実績!$AE$6:$AE$505,"○")&gt;0,1,0))</f>
        <v/>
      </c>
      <c r="AH223">
        <f>IF(AH$4=0,0,IF(COUNTIFS(実績!$W$6:$W$505,AH$3,実績!$AC$6:$AC$505,"&lt;="&amp;$A223,実績!$AD$6:$AD$505,"&gt;"&amp;$A223,実績!$AE$6:$AE$505,"○")&gt;0,1,0))</f>
        <v/>
      </c>
      <c r="AI223">
        <f>IF(AI$4=0,0,IF(COUNTIFS(実績!$W$6:$W$505,AI$3,実績!$AC$6:$AC$505,"&lt;="&amp;$A223,実績!$AD$6:$AD$505,"&gt;"&amp;$A223,実績!$AE$6:$AE$505,"○")&gt;0,1,0))</f>
        <v/>
      </c>
      <c r="AJ223">
        <f>IF(AJ$4=0,0,IF(COUNTIFS(実績!$W$6:$W$505,AJ$3,実績!$AC$6:$AC$505,"&lt;="&amp;$A223,実績!$AD$6:$AD$505,"&gt;"&amp;$A223,実績!$AE$6:$AE$505,"○")&gt;0,1,0))</f>
        <v/>
      </c>
      <c r="AK223">
        <f>IF(AK$4=0,0,IF(COUNTIFS(実績!$W$6:$W$505,AK$3,実績!$AC$6:$AC$505,"&lt;="&amp;$A223,実績!$AD$6:$AD$505,"&gt;"&amp;$A223,実績!$AE$6:$AE$505,"○")&gt;0,1,0))</f>
        <v/>
      </c>
      <c r="AL223">
        <f>IF(AL$4=0,0,IF(COUNTIFS(実績!$W$6:$W$505,AL$3,実績!$AC$6:$AC$505,"&lt;="&amp;$A223,実績!$AD$6:$AD$505,"&gt;"&amp;$A223,実績!$AE$6:$AE$505,"○")&gt;0,1,0))</f>
        <v/>
      </c>
      <c r="AM223">
        <f>IF(AM$4=0,0,IF(COUNTIFS(実績!$W$6:$W$505,AM$3,実績!$AC$6:$AC$505,"&lt;="&amp;$A223,実績!$AD$6:$AD$505,"&gt;"&amp;$A223,実績!$AE$6:$AE$505,"○")&gt;0,1,0))</f>
        <v/>
      </c>
      <c r="AN223">
        <f>IF(AN$4=0,0,IF(COUNTIFS(実績!$W$6:$W$505,AN$3,実績!$AC$6:$AC$505,"&lt;="&amp;$A223,実績!$AD$6:$AD$505,"&gt;"&amp;$A223,実績!$AE$6:$AE$505,"○")&gt;0,1,0))</f>
        <v/>
      </c>
      <c r="AO223">
        <f>IF(AO$4=0,0,IF(COUNTIFS(実績!$W$6:$W$505,AO$3,実績!$AC$6:$AC$505,"&lt;="&amp;$A223,実績!$AD$6:$AD$505,"&gt;"&amp;$A223,実績!$AE$6:$AE$505,"○")&gt;0,1,0))</f>
        <v/>
      </c>
      <c r="AP223">
        <f>IF(AP$4=0,0,IF(COUNTIFS(実績!$W$6:$W$505,AP$3,実績!$AC$6:$AC$505,"&lt;="&amp;$A223,実績!$AD$6:$AD$505,"&gt;"&amp;$A223,実績!$AE$6:$AE$505,"○")&gt;0,1,0))</f>
        <v/>
      </c>
      <c r="AQ223">
        <f>IF(AQ$4=0,0,IF(COUNTIFS(実績!$W$6:$W$505,AQ$3,実績!$AC$6:$AC$505,"&lt;="&amp;$A223,実績!$AD$6:$AD$505,"&gt;"&amp;$A223,実績!$AE$6:$AE$505,"○")&gt;0,1,0))</f>
        <v/>
      </c>
      <c r="AR223">
        <f>IF(AR$4=0,0,IF(COUNTIFS(実績!$W$6:$W$505,AR$3,実績!$AC$6:$AC$505,"&lt;="&amp;$A223,実績!$AD$6:$AD$505,"&gt;"&amp;$A223,実績!$AE$6:$AE$505,"○")&gt;0,1,0))</f>
        <v/>
      </c>
      <c r="AS223">
        <f>IF(AS$4=0,0,IF(COUNTIFS(実績!$W$6:$W$505,AS$3,実績!$AC$6:$AC$505,"&lt;="&amp;$A223,実績!$AD$6:$AD$505,"&gt;"&amp;$A223,実績!$AE$6:$AE$505,"○")&gt;0,1,0))</f>
        <v/>
      </c>
      <c r="AT223">
        <f>IF(AT$4=0,0,IF(COUNTIFS(実績!$W$6:$W$505,AT$3,実績!$AC$6:$AC$505,"&lt;="&amp;$A223,実績!$AD$6:$AD$505,"&gt;"&amp;$A223,実績!$AE$6:$AE$505,"○")&gt;0,1,0))</f>
        <v/>
      </c>
      <c r="AU223">
        <f>IF(AU$4=0,0,IF(COUNTIFS(実績!$W$6:$W$505,AU$3,実績!$AC$6:$AC$505,"&lt;="&amp;$A223,実績!$AD$6:$AD$505,"&gt;"&amp;$A223,実績!$AE$6:$AE$505,"○")&gt;0,1,0))</f>
        <v/>
      </c>
      <c r="AV223">
        <f>IF(AV$4=0,0,IF(COUNTIFS(実績!$W$6:$W$505,AV$3,実績!$AC$6:$AC$505,"&lt;="&amp;$A223,実績!$AD$6:$AD$505,"&gt;"&amp;$A223,実績!$AE$6:$AE$505,"○")&gt;0,1,0))</f>
        <v/>
      </c>
      <c r="AW223">
        <f>IF(AW$4=0,0,IF(COUNTIFS(実績!$W$6:$W$505,AW$3,実績!$AC$6:$AC$505,"&lt;="&amp;$A223,実績!$AD$6:$AD$505,"&gt;"&amp;$A223,実績!$AE$6:$AE$505,"○")&gt;0,1,0))</f>
        <v/>
      </c>
      <c r="AX223">
        <f>IF(AX$4=0,0,IF(COUNTIFS(実績!$W$6:$W$505,AX$3,実績!$AC$6:$AC$505,"&lt;="&amp;$A223,実績!$AD$6:$AD$505,"&gt;"&amp;$A223,実績!$AE$6:$AE$505,"○")&gt;0,1,0))</f>
        <v/>
      </c>
      <c r="AY223">
        <f>IF(AY$4=0,0,IF(COUNTIFS(実績!$W$6:$W$505,AY$3,実績!$AC$6:$AC$505,"&lt;="&amp;$A223,実績!$AD$6:$AD$505,"&gt;"&amp;$A223,実績!$AE$6:$AE$505,"○")&gt;0,1,0))</f>
        <v/>
      </c>
      <c r="AZ223">
        <f>IF(AZ$4=0,0,IF(COUNTIFS(実績!$W$6:$W$505,AZ$3,実績!$AC$6:$AC$505,"&lt;="&amp;$A223,実績!$AD$6:$AD$505,"&gt;"&amp;$A223,実績!$AE$6:$AE$505,"○")&gt;0,1,0))</f>
        <v/>
      </c>
      <c r="BA223">
        <f>IF(BA$4=0,0,IF(COUNTIFS(実績!$W$6:$W$505,BA$3,実績!$AC$6:$AC$505,"&lt;="&amp;$A223,実績!$AD$6:$AD$505,"&gt;"&amp;$A223,実績!$AE$6:$AE$505,"○")&gt;0,1,0))</f>
        <v/>
      </c>
      <c r="BB223">
        <f>IF(BB$4=0,0,IF(COUNTIFS(実績!$W$6:$W$505,BB$3,実績!$AC$6:$AC$505,"&lt;="&amp;$A223,実績!$AD$6:$AD$505,"&gt;"&amp;$A223,実績!$AE$6:$AE$505,"○")&gt;0,1,0))</f>
        <v/>
      </c>
      <c r="BC223">
        <f>IF(BC$4=0,0,IF(COUNTIFS(実績!$W$6:$W$505,BC$3,実績!$AC$6:$AC$505,"&lt;="&amp;$A223,実績!$AD$6:$AD$505,"&gt;"&amp;$A223,実績!$AE$6:$AE$505,"○")&gt;0,1,0))</f>
        <v/>
      </c>
      <c r="BD223">
        <f>IF(BD$4=0,0,IF(COUNTIFS(実績!$W$6:$W$505,BD$3,実績!$AC$6:$AC$505,"&lt;="&amp;$A223,実績!$AD$6:$AD$505,"&gt;"&amp;$A223,実績!$AE$6:$AE$505,"○")&gt;0,1,0))</f>
        <v/>
      </c>
      <c r="BE223">
        <f>IF(BE$4=0,0,IF(COUNTIFS(実績!$W$6:$W$505,BE$3,実績!$AC$6:$AC$505,"&lt;="&amp;$A223,実績!$AD$6:$AD$505,"&gt;"&amp;$A223,実績!$AE$6:$AE$505,"○")&gt;0,1,0))</f>
        <v/>
      </c>
      <c r="BF223">
        <f>IF(BF$4=0,0,IF(COUNTIFS(実績!$W$6:$W$505,BF$3,実績!$AC$6:$AC$505,"&lt;="&amp;$A223,実績!$AD$6:$AD$505,"&gt;"&amp;$A223,実績!$AE$6:$AE$505,"○")&gt;0,1,0))</f>
        <v/>
      </c>
      <c r="BG223">
        <f>IF(BG$4=0,0,IF(COUNTIFS(実績!$W$6:$W$505,BG$3,実績!$AC$6:$AC$505,"&lt;="&amp;$A223,実績!$AD$6:$AD$505,"&gt;"&amp;$A223,実績!$AE$6:$AE$505,"○")&gt;0,1,0))</f>
        <v/>
      </c>
      <c r="BH223">
        <f>IF(BH$4=0,0,IF(COUNTIFS(実績!$W$6:$W$505,BH$3,実績!$AC$6:$AC$505,"&lt;="&amp;$A223,実績!$AD$6:$AD$505,"&gt;"&amp;$A223,実績!$AE$6:$AE$505,"○")&gt;0,1,0))</f>
        <v/>
      </c>
      <c r="BI223">
        <f>IF(BI$4=0,0,IF(COUNTIFS(実績!$W$6:$W$505,BI$3,実績!$AC$6:$AC$505,"&lt;="&amp;$A223,実績!$AD$6:$AD$505,"&gt;"&amp;$A223,実績!$AE$6:$AE$505,"○")&gt;0,1,0))</f>
        <v/>
      </c>
      <c r="BJ223">
        <f>IF(BJ$4=0,0,IF(COUNTIFS(実績!$W$6:$W$505,BJ$3,実績!$AC$6:$AC$505,"&lt;="&amp;$A223,実績!$AD$6:$AD$505,"&gt;"&amp;$A223,実績!$AE$6:$AE$505,"○")&gt;0,1,0))</f>
        <v/>
      </c>
      <c r="BK223">
        <f>IF(BK$4=0,0,IF(COUNTIFS(実績!$W$6:$W$505,BK$3,実績!$AC$6:$AC$505,"&lt;="&amp;$A223,実績!$AD$6:$AD$505,"&gt;"&amp;$A223,実績!$AE$6:$AE$505,"○")&gt;0,1,0))</f>
        <v/>
      </c>
      <c r="BL223">
        <f>IF(BL$4=0,0,IF(COUNTIFS(実績!$W$6:$W$505,BL$3,実績!$AC$6:$AC$505,"&lt;="&amp;$A223,実績!$AD$6:$AD$505,"&gt;"&amp;$A223,実績!$AE$6:$AE$505,"○")&gt;0,1,0))</f>
        <v/>
      </c>
      <c r="BM223">
        <f>IF(BM$4=0,0,IF(COUNTIFS(実績!$W$6:$W$505,BM$3,実績!$AC$6:$AC$505,"&lt;="&amp;$A223,実績!$AD$6:$AD$505,"&gt;"&amp;$A223,実績!$AE$6:$AE$505,"○")&gt;0,1,0))</f>
        <v/>
      </c>
      <c r="BN223">
        <f>IF(BN$4=0,0,IF(COUNTIFS(実績!$W$6:$W$505,BN$3,実績!$AC$6:$AC$505,"&lt;="&amp;$A223,実績!$AD$6:$AD$505,"&gt;"&amp;$A223,実績!$AE$6:$AE$505,"○")&gt;0,1,0))</f>
        <v/>
      </c>
      <c r="BO223">
        <f>IF(BO$4=0,0,IF(COUNTIFS(実績!$W$6:$W$505,BO$3,実績!$AC$6:$AC$505,"&lt;="&amp;$A223,実績!$AD$6:$AD$505,"&gt;"&amp;$A223,実績!$AE$6:$AE$505,"○")&gt;0,1,0))</f>
        <v/>
      </c>
      <c r="BP223">
        <f>IF(BP$4=0,0,IF(COUNTIFS(実績!$W$6:$W$505,BP$3,実績!$AC$6:$AC$505,"&lt;="&amp;$A223,実績!$AD$6:$AD$505,"&gt;"&amp;$A223,実績!$AE$6:$AE$505,"○")&gt;0,1,0))</f>
        <v/>
      </c>
      <c r="BQ223">
        <f>IF(BQ$4=0,0,IF(COUNTIFS(実績!$W$6:$W$505,BQ$3,実績!$AC$6:$AC$505,"&lt;="&amp;$A223,実績!$AD$6:$AD$505,"&gt;"&amp;$A223,実績!$AE$6:$AE$505,"○")&gt;0,1,0))</f>
        <v/>
      </c>
      <c r="BR223">
        <f>IF(BR$4=0,0,IF(COUNTIFS(実績!$W$6:$W$505,BR$3,実績!$AC$6:$AC$505,"&lt;="&amp;$A223,実績!$AD$6:$AD$505,"&gt;"&amp;$A223,実績!$AE$6:$AE$505,"○")&gt;0,1,0))</f>
        <v/>
      </c>
      <c r="BS223">
        <f>IF(BS$4=0,0,IF(COUNTIFS(実績!$W$6:$W$505,BS$3,実績!$AC$6:$AC$505,"&lt;="&amp;$A223,実績!$AD$6:$AD$505,"&gt;"&amp;$A223,実績!$AE$6:$AE$505,"○")&gt;0,1,0))</f>
        <v/>
      </c>
      <c r="BT223">
        <f>IF(BT$4=0,0,IF(COUNTIFS(実績!$W$6:$W$505,BT$3,実績!$AC$6:$AC$505,"&lt;="&amp;$A223,実績!$AD$6:$AD$505,"&gt;"&amp;$A223,実績!$AE$6:$AE$505,"○")&gt;0,1,0))</f>
        <v/>
      </c>
      <c r="BU223">
        <f>IF(BU$4=0,0,IF(COUNTIFS(実績!$W$6:$W$505,BU$3,実績!$AC$6:$AC$505,"&lt;="&amp;$A223,実績!$AD$6:$AD$505,"&gt;"&amp;$A223,実績!$AE$6:$AE$505,"○")&gt;0,1,0))</f>
        <v/>
      </c>
      <c r="BV223">
        <f>IF(BV$4=0,0,IF(COUNTIFS(実績!$W$6:$W$505,BV$3,実績!$AC$6:$AC$505,"&lt;="&amp;$A223,実績!$AD$6:$AD$505,"&gt;"&amp;$A223,実績!$AE$6:$AE$505,"○")&gt;0,1,0))</f>
        <v/>
      </c>
      <c r="BW223">
        <f>IF(BW$4=0,0,IF(COUNTIFS(実績!$W$6:$W$505,BW$3,実績!$AC$6:$AC$505,"&lt;="&amp;$A223,実績!$AD$6:$AD$505,"&gt;"&amp;$A223,実績!$AE$6:$AE$505,"○")&gt;0,1,0))</f>
        <v/>
      </c>
      <c r="BX223">
        <f>IF(BX$4=0,0,IF(COUNTIFS(実績!$W$6:$W$505,BX$3,実績!$AC$6:$AC$505,"&lt;="&amp;$A223,実績!$AD$6:$AD$505,"&gt;"&amp;$A223,実績!$AE$6:$AE$505,"○")&gt;0,1,0))</f>
        <v/>
      </c>
      <c r="BY223">
        <f>IF(BY$4=0,0,IF(COUNTIFS(実績!$W$6:$W$505,BY$3,実績!$AC$6:$AC$505,"&lt;="&amp;$A223,実績!$AD$6:$AD$505,"&gt;"&amp;$A223,実績!$AE$6:$AE$505,"○")&gt;0,1,0))</f>
        <v/>
      </c>
      <c r="BZ223">
        <f>IF(BZ$4=0,0,IF(COUNTIFS(実績!$W$6:$W$505,BZ$3,実績!$AC$6:$AC$505,"&lt;="&amp;$A223,実績!$AD$6:$AD$505,"&gt;"&amp;$A223,実績!$AE$6:$AE$505,"○")&gt;0,1,0))</f>
        <v/>
      </c>
      <c r="CA223">
        <f>IF(CA$4=0,0,IF(COUNTIFS(実績!$W$6:$W$505,CA$3,実績!$AC$6:$AC$505,"&lt;="&amp;$A223,実績!$AD$6:$AD$505,"&gt;"&amp;$A223,実績!$AE$6:$AE$505,"○")&gt;0,1,0))</f>
        <v/>
      </c>
      <c r="CB223">
        <f>IF(CB$4=0,0,IF(COUNTIFS(実績!$W$6:$W$505,CB$3,実績!$AC$6:$AC$505,"&lt;="&amp;$A223,実績!$AD$6:$AD$505,"&gt;"&amp;$A223,実績!$AE$6:$AE$505,"○")&gt;0,1,0))</f>
        <v/>
      </c>
      <c r="CC223">
        <f>IF(CC$4=0,0,IF(COUNTIFS(実績!$W$6:$W$505,CC$3,実績!$AC$6:$AC$505,"&lt;="&amp;$A223,実績!$AD$6:$AD$505,"&gt;"&amp;$A223,実績!$AE$6:$AE$505,"○")&gt;0,1,0))</f>
        <v/>
      </c>
      <c r="CD223">
        <f>IF(CD$4=0,0,IF(COUNTIFS(実績!$W$6:$W$505,CD$3,実績!$AC$6:$AC$505,"&lt;="&amp;$A223,実績!$AD$6:$AD$505,"&gt;"&amp;$A223,実績!$AE$6:$AE$505,"○")&gt;0,1,0))</f>
        <v/>
      </c>
      <c r="CE223">
        <f>IF(CE$4=0,0,IF(COUNTIFS(実績!$W$6:$W$505,CE$3,実績!$AC$6:$AC$505,"&lt;="&amp;$A223,実績!$AD$6:$AD$505,"&gt;"&amp;$A223,実績!$AE$6:$AE$505,"○")&gt;0,1,0))</f>
        <v/>
      </c>
      <c r="CF223">
        <f>IF(CF$4=0,0,IF(COUNTIFS(実績!$W$6:$W$505,CF$3,実績!$AC$6:$AC$505,"&lt;="&amp;$A223,実績!$AD$6:$AD$505,"&gt;"&amp;$A223,実績!$AE$6:$AE$505,"○")&gt;0,1,0))</f>
        <v/>
      </c>
      <c r="CG223">
        <f>IF(CG$4=0,0,IF(COUNTIFS(実績!$W$6:$W$505,CG$3,実績!$AC$6:$AC$505,"&lt;="&amp;$A223,実績!$AD$6:$AD$505,"&gt;"&amp;$A223,実績!$AE$6:$AE$505,"○")&gt;0,1,0))</f>
        <v/>
      </c>
      <c r="CH223">
        <f>IF(CH$4=0,0,IF(COUNTIFS(実績!$W$6:$W$505,CH$3,実績!$AC$6:$AC$505,"&lt;="&amp;$A223,実績!$AD$6:$AD$505,"&gt;"&amp;$A223,実績!$AE$6:$AE$505,"○")&gt;0,1,0))</f>
        <v/>
      </c>
      <c r="CI223">
        <f>IF(CI$4=0,0,IF(COUNTIFS(実績!$W$6:$W$505,CI$3,実績!$AC$6:$AC$505,"&lt;="&amp;$A223,実績!$AD$6:$AD$505,"&gt;"&amp;$A223,実績!$AE$6:$AE$505,"○")&gt;0,1,0))</f>
        <v/>
      </c>
      <c r="CJ223">
        <f>IF(CJ$4=0,0,IF(COUNTIFS(実績!$W$6:$W$505,CJ$3,実績!$AC$6:$AC$505,"&lt;="&amp;$A223,実績!$AD$6:$AD$505,"&gt;"&amp;$A223,実績!$AE$6:$AE$505,"○")&gt;0,1,0))</f>
        <v/>
      </c>
      <c r="CK223">
        <f>IF(CK$4=0,0,IF(COUNTIFS(実績!$W$6:$W$505,CK$3,実績!$AC$6:$AC$505,"&lt;="&amp;$A223,実績!$AD$6:$AD$505,"&gt;"&amp;$A223,実績!$AE$6:$AE$505,"○")&gt;0,1,0))</f>
        <v/>
      </c>
      <c r="CL223">
        <f>IF(CL$4=0,0,IF(COUNTIFS(実績!$W$6:$W$505,CL$3,実績!$AC$6:$AC$505,"&lt;="&amp;$A223,実績!$AD$6:$AD$505,"&gt;"&amp;$A223,実績!$AE$6:$AE$505,"○")&gt;0,1,0))</f>
        <v/>
      </c>
      <c r="CM223">
        <f>IF(CM$4=0,0,IF(COUNTIFS(実績!$W$6:$W$505,CM$3,実績!$AC$6:$AC$505,"&lt;="&amp;$A223,実績!$AD$6:$AD$505,"&gt;"&amp;$A223,実績!$AE$6:$AE$505,"○")&gt;0,1,0))</f>
        <v/>
      </c>
      <c r="CN223">
        <f>IF(CN$4=0,0,IF(COUNTIFS(実績!$W$6:$W$505,CN$3,実績!$AC$6:$AC$505,"&lt;="&amp;$A223,実績!$AD$6:$AD$505,"&gt;"&amp;$A223,実績!$AE$6:$AE$505,"○")&gt;0,1,0))</f>
        <v/>
      </c>
      <c r="CO223">
        <f>IF(CO$4=0,0,IF(COUNTIFS(実績!$W$6:$W$505,CO$3,実績!$AC$6:$AC$505,"&lt;="&amp;$A223,実績!$AD$6:$AD$505,"&gt;"&amp;$A223,実績!$AE$6:$AE$505,"○")&gt;0,1,0))</f>
        <v/>
      </c>
      <c r="CP223">
        <f>IF(CP$4=0,0,IF(COUNTIFS(実績!$W$6:$W$505,CP$3,実績!$AC$6:$AC$505,"&lt;="&amp;$A223,実績!$AD$6:$AD$505,"&gt;"&amp;$A223,実績!$AE$6:$AE$505,"○")&gt;0,1,0))</f>
        <v/>
      </c>
      <c r="CQ223">
        <f>IF(CQ$4=0,0,IF(COUNTIFS(実績!$W$6:$W$505,CQ$3,実績!$AC$6:$AC$505,"&lt;="&amp;$A223,実績!$AD$6:$AD$505,"&gt;"&amp;$A223,実績!$AE$6:$AE$505,"○")&gt;0,1,0))</f>
        <v/>
      </c>
      <c r="CR223">
        <f>IF(CR$4=0,0,IF(COUNTIFS(実績!$W$6:$W$505,CR$3,実績!$AC$6:$AC$505,"&lt;="&amp;$A223,実績!$AD$6:$AD$505,"&gt;"&amp;$A223,実績!$AE$6:$AE$505,"○")&gt;0,1,0))</f>
        <v/>
      </c>
      <c r="CS223">
        <f>IF(CS$4=0,0,IF(COUNTIFS(実績!$W$6:$W$505,CS$3,実績!$AC$6:$AC$505,"&lt;="&amp;$A223,実績!$AD$6:$AD$505,"&gt;"&amp;$A223,実績!$AE$6:$AE$505,"○")&gt;0,1,0))</f>
        <v/>
      </c>
      <c r="CT223">
        <f>IF(CT$4=0,0,IF(COUNTIFS(実績!$W$6:$W$505,CT$3,実績!$AC$6:$AC$505,"&lt;="&amp;$A223,実績!$AD$6:$AD$505,"&gt;"&amp;$A223,実績!$AE$6:$AE$505,"○")&gt;0,1,0))</f>
        <v/>
      </c>
      <c r="CU223">
        <f>IF(CU$4=0,0,IF(COUNTIFS(実績!$W$6:$W$505,CU$3,実績!$AC$6:$AC$505,"&lt;="&amp;$A223,実績!$AD$6:$AD$505,"&gt;"&amp;$A223,実績!$AE$6:$AE$505,"○")&gt;0,1,0))</f>
        <v/>
      </c>
      <c r="CV223">
        <f>IF(CV$4=0,0,IF(COUNTIFS(実績!$W$6:$W$505,CV$3,実績!$AC$6:$AC$505,"&lt;="&amp;$A223,実績!$AD$6:$AD$505,"&gt;"&amp;$A223,実績!$AE$6:$AE$505,"○")&gt;0,1,0))</f>
        <v/>
      </c>
      <c r="CW223">
        <f>IF(CW$4=0,0,IF(COUNTIFS(実績!$W$6:$W$505,CW$3,実績!$AC$6:$AC$505,"&lt;="&amp;$A223,実績!$AD$6:$AD$505,"&gt;"&amp;$A223,実績!$AE$6:$AE$505,"○")&gt;0,1,0))</f>
        <v/>
      </c>
      <c r="CX223">
        <f>IF(CX$4=0,0,IF(COUNTIFS(実績!$W$6:$W$505,CX$3,実績!$AC$6:$AC$505,"&lt;="&amp;$A223,実績!$AD$6:$AD$505,"&gt;"&amp;$A223,実績!$AE$6:$AE$505,"○")&gt;0,1,0))</f>
        <v/>
      </c>
      <c r="CY223">
        <f>IF(CY$4=0,0,IF(COUNTIFS(実績!$W$6:$W$505,CY$3,実績!$AC$6:$AC$505,"&lt;="&amp;$A223,実績!$AD$6:$AD$505,"&gt;"&amp;$A223,実績!$AE$6:$AE$505,"○")&gt;0,1,0))</f>
        <v/>
      </c>
      <c r="CZ223">
        <f>IF(CZ$4=0,0,IF(COUNTIFS(実績!$W$6:$W$505,CZ$3,実績!$AC$6:$AC$505,"&lt;="&amp;$A223,実績!$AD$6:$AD$505,"&gt;"&amp;$A223,実績!$AE$6:$AE$505,"○")&gt;0,1,0))</f>
        <v/>
      </c>
      <c r="DA223">
        <f>IF(DA$4=0,0,IF(COUNTIFS(実績!$W$6:$W$505,DA$3,実績!$AC$6:$AC$505,"&lt;="&amp;$A223,実績!$AD$6:$AD$505,"&gt;"&amp;$A223,実績!$AE$6:$AE$505,"○")&gt;0,1,0))</f>
        <v/>
      </c>
      <c r="DB223">
        <f>IF(DB$4=0,0,IF(COUNTIFS(実績!$W$6:$W$505,DB$3,実績!$AC$6:$AC$505,"&lt;="&amp;$A223,実績!$AD$6:$AD$505,"&gt;"&amp;$A223,実績!$AE$6:$AE$505,"○")&gt;0,1,0))</f>
        <v/>
      </c>
      <c r="DC223">
        <f>IF(DC$4=0,0,IF(COUNTIFS(実績!$W$6:$W$505,DC$3,実績!$AC$6:$AC$505,"&lt;="&amp;$A223,実績!$AD$6:$AD$505,"&gt;"&amp;$A223,実績!$AE$6:$AE$505,"○")&gt;0,1,0))</f>
        <v/>
      </c>
      <c r="DD223">
        <f>IF(DD$4=0,0,IF(COUNTIFS(実績!$W$6:$W$505,DD$3,実績!$AC$6:$AC$505,"&lt;="&amp;$A223,実績!$AD$6:$AD$505,"&gt;"&amp;$A223,実績!$AE$6:$AE$505,"○")&gt;0,1,0))</f>
        <v/>
      </c>
      <c r="DE223">
        <f>IF(DE$4=0,0,IF(COUNTIFS(実績!$W$6:$W$505,DE$3,実績!$AC$6:$AC$505,"&lt;="&amp;$A223,実績!$AD$6:$AD$505,"&gt;"&amp;$A223,実績!$AE$6:$AE$505,"○")&gt;0,1,0))</f>
        <v/>
      </c>
      <c r="DF223">
        <f>IF(DF$4=0,0,IF(COUNTIFS(実績!$W$6:$W$505,DF$3,実績!$AC$6:$AC$505,"&lt;="&amp;$A223,実績!$AD$6:$AD$505,"&gt;"&amp;$A223,実績!$AE$6:$AE$505,"○")&gt;0,1,0))</f>
        <v/>
      </c>
      <c r="DG223">
        <f>IF(DG$4=0,0,IF(COUNTIFS(実績!$W$6:$W$505,DG$3,実績!$AC$6:$AC$505,"&lt;="&amp;$A223,実績!$AD$6:$AD$505,"&gt;"&amp;$A223,実績!$AE$6:$AE$505,"○")&gt;0,1,0))</f>
        <v/>
      </c>
      <c r="DH223">
        <f>IF(DH$4=0,0,IF(COUNTIFS(実績!$W$6:$W$505,DH$3,実績!$AC$6:$AC$505,"&lt;="&amp;$A223,実績!$AD$6:$AD$505,"&gt;"&amp;$A223,実績!$AE$6:$AE$505,"○")&gt;0,1,0))</f>
        <v/>
      </c>
      <c r="DI223">
        <f>IF(DI$4=0,0,IF(COUNTIFS(実績!$W$6:$W$505,DI$3,実績!$AC$6:$AC$505,"&lt;="&amp;$A223,実績!$AD$6:$AD$505,"&gt;"&amp;$A223,実績!$AE$6:$AE$505,"○")&gt;0,1,0))</f>
        <v/>
      </c>
      <c r="DJ223">
        <f>IF(DJ$4=0,0,IF(COUNTIFS(実績!$W$6:$W$505,DJ$3,実績!$AC$6:$AC$505,"&lt;="&amp;$A223,実績!$AD$6:$AD$505,"&gt;"&amp;$A223,実績!$AE$6:$AE$505,"○")&gt;0,1,0))</f>
        <v/>
      </c>
      <c r="DK223">
        <f>IF(DK$4=0,0,IF(COUNTIFS(実績!$W$6:$W$505,DK$3,実績!$AC$6:$AC$505,"&lt;="&amp;$A223,実績!$AD$6:$AD$505,"&gt;"&amp;$A223,実績!$AE$6:$AE$505,"○")&gt;0,1,0))</f>
        <v/>
      </c>
      <c r="DL223">
        <f>IF(DL$4=0,0,IF(COUNTIFS(実績!$W$6:$W$505,DL$3,実績!$AC$6:$AC$505,"&lt;="&amp;$A223,実績!$AD$6:$AD$505,"&gt;"&amp;$A223,実績!$AE$6:$AE$505,"○")&gt;0,1,0))</f>
        <v/>
      </c>
      <c r="DM223">
        <f>IF(DM$4=0,0,IF(COUNTIFS(実績!$W$6:$W$505,DM$3,実績!$AC$6:$AC$505,"&lt;="&amp;$A223,実績!$AD$6:$AD$505,"&gt;"&amp;$A223,実績!$AE$6:$AE$505,"○")&gt;0,1,0))</f>
        <v/>
      </c>
      <c r="DN223">
        <f>IF(DN$4=0,0,IF(COUNTIFS(実績!$W$6:$W$505,DN$3,実績!$AC$6:$AC$505,"&lt;="&amp;$A223,実績!$AD$6:$AD$505,"&gt;"&amp;$A223,実績!$AE$6:$AE$505,"○")&gt;0,1,0))</f>
        <v/>
      </c>
      <c r="DO223">
        <f>IF(DO$4=0,0,IF(COUNTIFS(実績!$W$6:$W$505,DO$3,実績!$AC$6:$AC$505,"&lt;="&amp;$A223,実績!$AD$6:$AD$505,"&gt;"&amp;$A223,実績!$AE$6:$AE$505,"○")&gt;0,1,0))</f>
        <v/>
      </c>
      <c r="DP223">
        <f>IF(DP$4=0,0,IF(COUNTIFS(実績!$W$6:$W$505,DP$3,実績!$AC$6:$AC$505,"&lt;="&amp;$A223,実績!$AD$6:$AD$505,"&gt;"&amp;$A223,実績!$AE$6:$AE$505,"○")&gt;0,1,0))</f>
        <v/>
      </c>
      <c r="DQ223">
        <f>IF(DQ$4=0,0,IF(COUNTIFS(実績!$W$6:$W$505,DQ$3,実績!$AC$6:$AC$505,"&lt;="&amp;$A223,実績!$AD$6:$AD$505,"&gt;"&amp;$A223,実績!$AE$6:$AE$505,"○")&gt;0,1,0))</f>
        <v/>
      </c>
      <c r="DR223">
        <f>IF(DR$4=0,0,IF(COUNTIFS(実績!$W$6:$W$505,DR$3,実績!$AC$6:$AC$505,"&lt;="&amp;$A223,実績!$AD$6:$AD$505,"&gt;"&amp;$A223,実績!$AE$6:$AE$505,"○")&gt;0,1,0))</f>
        <v/>
      </c>
      <c r="DS223">
        <f>SUM(C223:DR223)</f>
        <v/>
      </c>
      <c r="DT223">
        <f>SUMPRODUCT((実績!$C$6:$C$505="○")*ISNUMBER(実績!$AF$6:$AF$505)*(実績!$AF$6:$AF$505&lt;=$A223)*(実績!$AG$6:$AG$505&gt;$A223))</f>
        <v/>
      </c>
      <c r="DU223">
        <f>SUMIF($C$2:$DR$2,"製鉄曳船",C223:DR223)</f>
        <v/>
      </c>
      <c r="DV223">
        <f>SUMIF($C$2:$DR$2,"西日本海運",C223:DR223)</f>
        <v/>
      </c>
    </row>
    <row r="224">
      <c r="A224" t="n">
        <v>1090</v>
      </c>
      <c r="B224" s="29">
        <f>A224/1440</f>
        <v/>
      </c>
      <c r="C224">
        <f>IF(C$4=0,0,IF(COUNTIFS(実績!$W$6:$W$505,C$3,実績!$AC$6:$AC$505,"&lt;="&amp;$A224,実績!$AD$6:$AD$505,"&gt;"&amp;$A224,実績!$AE$6:$AE$505,"○")&gt;0,1,0))</f>
        <v/>
      </c>
      <c r="D224">
        <f>IF(D$4=0,0,IF(COUNTIFS(実績!$W$6:$W$505,D$3,実績!$AC$6:$AC$505,"&lt;="&amp;$A224,実績!$AD$6:$AD$505,"&gt;"&amp;$A224,実績!$AE$6:$AE$505,"○")&gt;0,1,0))</f>
        <v/>
      </c>
      <c r="E224">
        <f>IF(E$4=0,0,IF(COUNTIFS(実績!$W$6:$W$505,E$3,実績!$AC$6:$AC$505,"&lt;="&amp;$A224,実績!$AD$6:$AD$505,"&gt;"&amp;$A224,実績!$AE$6:$AE$505,"○")&gt;0,1,0))</f>
        <v/>
      </c>
      <c r="F224">
        <f>IF(F$4=0,0,IF(COUNTIFS(実績!$W$6:$W$505,F$3,実績!$AC$6:$AC$505,"&lt;="&amp;$A224,実績!$AD$6:$AD$505,"&gt;"&amp;$A224,実績!$AE$6:$AE$505,"○")&gt;0,1,0))</f>
        <v/>
      </c>
      <c r="G224">
        <f>IF(G$4=0,0,IF(COUNTIFS(実績!$W$6:$W$505,G$3,実績!$AC$6:$AC$505,"&lt;="&amp;$A224,実績!$AD$6:$AD$505,"&gt;"&amp;$A224,実績!$AE$6:$AE$505,"○")&gt;0,1,0))</f>
        <v/>
      </c>
      <c r="H224">
        <f>IF(H$4=0,0,IF(COUNTIFS(実績!$W$6:$W$505,H$3,実績!$AC$6:$AC$505,"&lt;="&amp;$A224,実績!$AD$6:$AD$505,"&gt;"&amp;$A224,実績!$AE$6:$AE$505,"○")&gt;0,1,0))</f>
        <v/>
      </c>
      <c r="I224">
        <f>IF(I$4=0,0,IF(COUNTIFS(実績!$W$6:$W$505,I$3,実績!$AC$6:$AC$505,"&lt;="&amp;$A224,実績!$AD$6:$AD$505,"&gt;"&amp;$A224,実績!$AE$6:$AE$505,"○")&gt;0,1,0))</f>
        <v/>
      </c>
      <c r="J224">
        <f>IF(J$4=0,0,IF(COUNTIFS(実績!$W$6:$W$505,J$3,実績!$AC$6:$AC$505,"&lt;="&amp;$A224,実績!$AD$6:$AD$505,"&gt;"&amp;$A224,実績!$AE$6:$AE$505,"○")&gt;0,1,0))</f>
        <v/>
      </c>
      <c r="K224">
        <f>IF(K$4=0,0,IF(COUNTIFS(実績!$W$6:$W$505,K$3,実績!$AC$6:$AC$505,"&lt;="&amp;$A224,実績!$AD$6:$AD$505,"&gt;"&amp;$A224,実績!$AE$6:$AE$505,"○")&gt;0,1,0))</f>
        <v/>
      </c>
      <c r="L224">
        <f>IF(L$4=0,0,IF(COUNTIFS(実績!$W$6:$W$505,L$3,実績!$AC$6:$AC$505,"&lt;="&amp;$A224,実績!$AD$6:$AD$505,"&gt;"&amp;$A224,実績!$AE$6:$AE$505,"○")&gt;0,1,0))</f>
        <v/>
      </c>
      <c r="M224">
        <f>IF(M$4=0,0,IF(COUNTIFS(実績!$W$6:$W$505,M$3,実績!$AC$6:$AC$505,"&lt;="&amp;$A224,実績!$AD$6:$AD$505,"&gt;"&amp;$A224,実績!$AE$6:$AE$505,"○")&gt;0,1,0))</f>
        <v/>
      </c>
      <c r="N224">
        <f>IF(N$4=0,0,IF(COUNTIFS(実績!$W$6:$W$505,N$3,実績!$AC$6:$AC$505,"&lt;="&amp;$A224,実績!$AD$6:$AD$505,"&gt;"&amp;$A224,実績!$AE$6:$AE$505,"○")&gt;0,1,0))</f>
        <v/>
      </c>
      <c r="O224">
        <f>IF(O$4=0,0,IF(COUNTIFS(実績!$W$6:$W$505,O$3,実績!$AC$6:$AC$505,"&lt;="&amp;$A224,実績!$AD$6:$AD$505,"&gt;"&amp;$A224,実績!$AE$6:$AE$505,"○")&gt;0,1,0))</f>
        <v/>
      </c>
      <c r="P224">
        <f>IF(P$4=0,0,IF(COUNTIFS(実績!$W$6:$W$505,P$3,実績!$AC$6:$AC$505,"&lt;="&amp;$A224,実績!$AD$6:$AD$505,"&gt;"&amp;$A224,実績!$AE$6:$AE$505,"○")&gt;0,1,0))</f>
        <v/>
      </c>
      <c r="Q224">
        <f>IF(Q$4=0,0,IF(COUNTIFS(実績!$W$6:$W$505,Q$3,実績!$AC$6:$AC$505,"&lt;="&amp;$A224,実績!$AD$6:$AD$505,"&gt;"&amp;$A224,実績!$AE$6:$AE$505,"○")&gt;0,1,0))</f>
        <v/>
      </c>
      <c r="R224">
        <f>IF(R$4=0,0,IF(COUNTIFS(実績!$W$6:$W$505,R$3,実績!$AC$6:$AC$505,"&lt;="&amp;$A224,実績!$AD$6:$AD$505,"&gt;"&amp;$A224,実績!$AE$6:$AE$505,"○")&gt;0,1,0))</f>
        <v/>
      </c>
      <c r="S224">
        <f>IF(S$4=0,0,IF(COUNTIFS(実績!$W$6:$W$505,S$3,実績!$AC$6:$AC$505,"&lt;="&amp;$A224,実績!$AD$6:$AD$505,"&gt;"&amp;$A224,実績!$AE$6:$AE$505,"○")&gt;0,1,0))</f>
        <v/>
      </c>
      <c r="T224">
        <f>IF(T$4=0,0,IF(COUNTIFS(実績!$W$6:$W$505,T$3,実績!$AC$6:$AC$505,"&lt;="&amp;$A224,実績!$AD$6:$AD$505,"&gt;"&amp;$A224,実績!$AE$6:$AE$505,"○")&gt;0,1,0))</f>
        <v/>
      </c>
      <c r="U224">
        <f>IF(U$4=0,0,IF(COUNTIFS(実績!$W$6:$W$505,U$3,実績!$AC$6:$AC$505,"&lt;="&amp;$A224,実績!$AD$6:$AD$505,"&gt;"&amp;$A224,実績!$AE$6:$AE$505,"○")&gt;0,1,0))</f>
        <v/>
      </c>
      <c r="V224">
        <f>IF(V$4=0,0,IF(COUNTIFS(実績!$W$6:$W$505,V$3,実績!$AC$6:$AC$505,"&lt;="&amp;$A224,実績!$AD$6:$AD$505,"&gt;"&amp;$A224,実績!$AE$6:$AE$505,"○")&gt;0,1,0))</f>
        <v/>
      </c>
      <c r="W224">
        <f>IF(W$4=0,0,IF(COUNTIFS(実績!$W$6:$W$505,W$3,実績!$AC$6:$AC$505,"&lt;="&amp;$A224,実績!$AD$6:$AD$505,"&gt;"&amp;$A224,実績!$AE$6:$AE$505,"○")&gt;0,1,0))</f>
        <v/>
      </c>
      <c r="X224">
        <f>IF(X$4=0,0,IF(COUNTIFS(実績!$W$6:$W$505,X$3,実績!$AC$6:$AC$505,"&lt;="&amp;$A224,実績!$AD$6:$AD$505,"&gt;"&amp;$A224,実績!$AE$6:$AE$505,"○")&gt;0,1,0))</f>
        <v/>
      </c>
      <c r="Y224">
        <f>IF(Y$4=0,0,IF(COUNTIFS(実績!$W$6:$W$505,Y$3,実績!$AC$6:$AC$505,"&lt;="&amp;$A224,実績!$AD$6:$AD$505,"&gt;"&amp;$A224,実績!$AE$6:$AE$505,"○")&gt;0,1,0))</f>
        <v/>
      </c>
      <c r="Z224">
        <f>IF(Z$4=0,0,IF(COUNTIFS(実績!$W$6:$W$505,Z$3,実績!$AC$6:$AC$505,"&lt;="&amp;$A224,実績!$AD$6:$AD$505,"&gt;"&amp;$A224,実績!$AE$6:$AE$505,"○")&gt;0,1,0))</f>
        <v/>
      </c>
      <c r="AA224">
        <f>IF(AA$4=0,0,IF(COUNTIFS(実績!$W$6:$W$505,AA$3,実績!$AC$6:$AC$505,"&lt;="&amp;$A224,実績!$AD$6:$AD$505,"&gt;"&amp;$A224,実績!$AE$6:$AE$505,"○")&gt;0,1,0))</f>
        <v/>
      </c>
      <c r="AB224">
        <f>IF(AB$4=0,0,IF(COUNTIFS(実績!$W$6:$W$505,AB$3,実績!$AC$6:$AC$505,"&lt;="&amp;$A224,実績!$AD$6:$AD$505,"&gt;"&amp;$A224,実績!$AE$6:$AE$505,"○")&gt;0,1,0))</f>
        <v/>
      </c>
      <c r="AC224">
        <f>IF(AC$4=0,0,IF(COUNTIFS(実績!$W$6:$W$505,AC$3,実績!$AC$6:$AC$505,"&lt;="&amp;$A224,実績!$AD$6:$AD$505,"&gt;"&amp;$A224,実績!$AE$6:$AE$505,"○")&gt;0,1,0))</f>
        <v/>
      </c>
      <c r="AD224">
        <f>IF(AD$4=0,0,IF(COUNTIFS(実績!$W$6:$W$505,AD$3,実績!$AC$6:$AC$505,"&lt;="&amp;$A224,実績!$AD$6:$AD$505,"&gt;"&amp;$A224,実績!$AE$6:$AE$505,"○")&gt;0,1,0))</f>
        <v/>
      </c>
      <c r="AE224">
        <f>IF(AE$4=0,0,IF(COUNTIFS(実績!$W$6:$W$505,AE$3,実績!$AC$6:$AC$505,"&lt;="&amp;$A224,実績!$AD$6:$AD$505,"&gt;"&amp;$A224,実績!$AE$6:$AE$505,"○")&gt;0,1,0))</f>
        <v/>
      </c>
      <c r="AF224">
        <f>IF(AF$4=0,0,IF(COUNTIFS(実績!$W$6:$W$505,AF$3,実績!$AC$6:$AC$505,"&lt;="&amp;$A224,実績!$AD$6:$AD$505,"&gt;"&amp;$A224,実績!$AE$6:$AE$505,"○")&gt;0,1,0))</f>
        <v/>
      </c>
      <c r="AG224">
        <f>IF(AG$4=0,0,IF(COUNTIFS(実績!$W$6:$W$505,AG$3,実績!$AC$6:$AC$505,"&lt;="&amp;$A224,実績!$AD$6:$AD$505,"&gt;"&amp;$A224,実績!$AE$6:$AE$505,"○")&gt;0,1,0))</f>
        <v/>
      </c>
      <c r="AH224">
        <f>IF(AH$4=0,0,IF(COUNTIFS(実績!$W$6:$W$505,AH$3,実績!$AC$6:$AC$505,"&lt;="&amp;$A224,実績!$AD$6:$AD$505,"&gt;"&amp;$A224,実績!$AE$6:$AE$505,"○")&gt;0,1,0))</f>
        <v/>
      </c>
      <c r="AI224">
        <f>IF(AI$4=0,0,IF(COUNTIFS(実績!$W$6:$W$505,AI$3,実績!$AC$6:$AC$505,"&lt;="&amp;$A224,実績!$AD$6:$AD$505,"&gt;"&amp;$A224,実績!$AE$6:$AE$505,"○")&gt;0,1,0))</f>
        <v/>
      </c>
      <c r="AJ224">
        <f>IF(AJ$4=0,0,IF(COUNTIFS(実績!$W$6:$W$505,AJ$3,実績!$AC$6:$AC$505,"&lt;="&amp;$A224,実績!$AD$6:$AD$505,"&gt;"&amp;$A224,実績!$AE$6:$AE$505,"○")&gt;0,1,0))</f>
        <v/>
      </c>
      <c r="AK224">
        <f>IF(AK$4=0,0,IF(COUNTIFS(実績!$W$6:$W$505,AK$3,実績!$AC$6:$AC$505,"&lt;="&amp;$A224,実績!$AD$6:$AD$505,"&gt;"&amp;$A224,実績!$AE$6:$AE$505,"○")&gt;0,1,0))</f>
        <v/>
      </c>
      <c r="AL224">
        <f>IF(AL$4=0,0,IF(COUNTIFS(実績!$W$6:$W$505,AL$3,実績!$AC$6:$AC$505,"&lt;="&amp;$A224,実績!$AD$6:$AD$505,"&gt;"&amp;$A224,実績!$AE$6:$AE$505,"○")&gt;0,1,0))</f>
        <v/>
      </c>
      <c r="AM224">
        <f>IF(AM$4=0,0,IF(COUNTIFS(実績!$W$6:$W$505,AM$3,実績!$AC$6:$AC$505,"&lt;="&amp;$A224,実績!$AD$6:$AD$505,"&gt;"&amp;$A224,実績!$AE$6:$AE$505,"○")&gt;0,1,0))</f>
        <v/>
      </c>
      <c r="AN224">
        <f>IF(AN$4=0,0,IF(COUNTIFS(実績!$W$6:$W$505,AN$3,実績!$AC$6:$AC$505,"&lt;="&amp;$A224,実績!$AD$6:$AD$505,"&gt;"&amp;$A224,実績!$AE$6:$AE$505,"○")&gt;0,1,0))</f>
        <v/>
      </c>
      <c r="AO224">
        <f>IF(AO$4=0,0,IF(COUNTIFS(実績!$W$6:$W$505,AO$3,実績!$AC$6:$AC$505,"&lt;="&amp;$A224,実績!$AD$6:$AD$505,"&gt;"&amp;$A224,実績!$AE$6:$AE$505,"○")&gt;0,1,0))</f>
        <v/>
      </c>
      <c r="AP224">
        <f>IF(AP$4=0,0,IF(COUNTIFS(実績!$W$6:$W$505,AP$3,実績!$AC$6:$AC$505,"&lt;="&amp;$A224,実績!$AD$6:$AD$505,"&gt;"&amp;$A224,実績!$AE$6:$AE$505,"○")&gt;0,1,0))</f>
        <v/>
      </c>
      <c r="AQ224">
        <f>IF(AQ$4=0,0,IF(COUNTIFS(実績!$W$6:$W$505,AQ$3,実績!$AC$6:$AC$505,"&lt;="&amp;$A224,実績!$AD$6:$AD$505,"&gt;"&amp;$A224,実績!$AE$6:$AE$505,"○")&gt;0,1,0))</f>
        <v/>
      </c>
      <c r="AR224">
        <f>IF(AR$4=0,0,IF(COUNTIFS(実績!$W$6:$W$505,AR$3,実績!$AC$6:$AC$505,"&lt;="&amp;$A224,実績!$AD$6:$AD$505,"&gt;"&amp;$A224,実績!$AE$6:$AE$505,"○")&gt;0,1,0))</f>
        <v/>
      </c>
      <c r="AS224">
        <f>IF(AS$4=0,0,IF(COUNTIFS(実績!$W$6:$W$505,AS$3,実績!$AC$6:$AC$505,"&lt;="&amp;$A224,実績!$AD$6:$AD$505,"&gt;"&amp;$A224,実績!$AE$6:$AE$505,"○")&gt;0,1,0))</f>
        <v/>
      </c>
      <c r="AT224">
        <f>IF(AT$4=0,0,IF(COUNTIFS(実績!$W$6:$W$505,AT$3,実績!$AC$6:$AC$505,"&lt;="&amp;$A224,実績!$AD$6:$AD$505,"&gt;"&amp;$A224,実績!$AE$6:$AE$505,"○")&gt;0,1,0))</f>
        <v/>
      </c>
      <c r="AU224">
        <f>IF(AU$4=0,0,IF(COUNTIFS(実績!$W$6:$W$505,AU$3,実績!$AC$6:$AC$505,"&lt;="&amp;$A224,実績!$AD$6:$AD$505,"&gt;"&amp;$A224,実績!$AE$6:$AE$505,"○")&gt;0,1,0))</f>
        <v/>
      </c>
      <c r="AV224">
        <f>IF(AV$4=0,0,IF(COUNTIFS(実績!$W$6:$W$505,AV$3,実績!$AC$6:$AC$505,"&lt;="&amp;$A224,実績!$AD$6:$AD$505,"&gt;"&amp;$A224,実績!$AE$6:$AE$505,"○")&gt;0,1,0))</f>
        <v/>
      </c>
      <c r="AW224">
        <f>IF(AW$4=0,0,IF(COUNTIFS(実績!$W$6:$W$505,AW$3,実績!$AC$6:$AC$505,"&lt;="&amp;$A224,実績!$AD$6:$AD$505,"&gt;"&amp;$A224,実績!$AE$6:$AE$505,"○")&gt;0,1,0))</f>
        <v/>
      </c>
      <c r="AX224">
        <f>IF(AX$4=0,0,IF(COUNTIFS(実績!$W$6:$W$505,AX$3,実績!$AC$6:$AC$505,"&lt;="&amp;$A224,実績!$AD$6:$AD$505,"&gt;"&amp;$A224,実績!$AE$6:$AE$505,"○")&gt;0,1,0))</f>
        <v/>
      </c>
      <c r="AY224">
        <f>IF(AY$4=0,0,IF(COUNTIFS(実績!$W$6:$W$505,AY$3,実績!$AC$6:$AC$505,"&lt;="&amp;$A224,実績!$AD$6:$AD$505,"&gt;"&amp;$A224,実績!$AE$6:$AE$505,"○")&gt;0,1,0))</f>
        <v/>
      </c>
      <c r="AZ224">
        <f>IF(AZ$4=0,0,IF(COUNTIFS(実績!$W$6:$W$505,AZ$3,実績!$AC$6:$AC$505,"&lt;="&amp;$A224,実績!$AD$6:$AD$505,"&gt;"&amp;$A224,実績!$AE$6:$AE$505,"○")&gt;0,1,0))</f>
        <v/>
      </c>
      <c r="BA224">
        <f>IF(BA$4=0,0,IF(COUNTIFS(実績!$W$6:$W$505,BA$3,実績!$AC$6:$AC$505,"&lt;="&amp;$A224,実績!$AD$6:$AD$505,"&gt;"&amp;$A224,実績!$AE$6:$AE$505,"○")&gt;0,1,0))</f>
        <v/>
      </c>
      <c r="BB224">
        <f>IF(BB$4=0,0,IF(COUNTIFS(実績!$W$6:$W$505,BB$3,実績!$AC$6:$AC$505,"&lt;="&amp;$A224,実績!$AD$6:$AD$505,"&gt;"&amp;$A224,実績!$AE$6:$AE$505,"○")&gt;0,1,0))</f>
        <v/>
      </c>
      <c r="BC224">
        <f>IF(BC$4=0,0,IF(COUNTIFS(実績!$W$6:$W$505,BC$3,実績!$AC$6:$AC$505,"&lt;="&amp;$A224,実績!$AD$6:$AD$505,"&gt;"&amp;$A224,実績!$AE$6:$AE$505,"○")&gt;0,1,0))</f>
        <v/>
      </c>
      <c r="BD224">
        <f>IF(BD$4=0,0,IF(COUNTIFS(実績!$W$6:$W$505,BD$3,実績!$AC$6:$AC$505,"&lt;="&amp;$A224,実績!$AD$6:$AD$505,"&gt;"&amp;$A224,実績!$AE$6:$AE$505,"○")&gt;0,1,0))</f>
        <v/>
      </c>
      <c r="BE224">
        <f>IF(BE$4=0,0,IF(COUNTIFS(実績!$W$6:$W$505,BE$3,実績!$AC$6:$AC$505,"&lt;="&amp;$A224,実績!$AD$6:$AD$505,"&gt;"&amp;$A224,実績!$AE$6:$AE$505,"○")&gt;0,1,0))</f>
        <v/>
      </c>
      <c r="BF224">
        <f>IF(BF$4=0,0,IF(COUNTIFS(実績!$W$6:$W$505,BF$3,実績!$AC$6:$AC$505,"&lt;="&amp;$A224,実績!$AD$6:$AD$505,"&gt;"&amp;$A224,実績!$AE$6:$AE$505,"○")&gt;0,1,0))</f>
        <v/>
      </c>
      <c r="BG224">
        <f>IF(BG$4=0,0,IF(COUNTIFS(実績!$W$6:$W$505,BG$3,実績!$AC$6:$AC$505,"&lt;="&amp;$A224,実績!$AD$6:$AD$505,"&gt;"&amp;$A224,実績!$AE$6:$AE$505,"○")&gt;0,1,0))</f>
        <v/>
      </c>
      <c r="BH224">
        <f>IF(BH$4=0,0,IF(COUNTIFS(実績!$W$6:$W$505,BH$3,実績!$AC$6:$AC$505,"&lt;="&amp;$A224,実績!$AD$6:$AD$505,"&gt;"&amp;$A224,実績!$AE$6:$AE$505,"○")&gt;0,1,0))</f>
        <v/>
      </c>
      <c r="BI224">
        <f>IF(BI$4=0,0,IF(COUNTIFS(実績!$W$6:$W$505,BI$3,実績!$AC$6:$AC$505,"&lt;="&amp;$A224,実績!$AD$6:$AD$505,"&gt;"&amp;$A224,実績!$AE$6:$AE$505,"○")&gt;0,1,0))</f>
        <v/>
      </c>
      <c r="BJ224">
        <f>IF(BJ$4=0,0,IF(COUNTIFS(実績!$W$6:$W$505,BJ$3,実績!$AC$6:$AC$505,"&lt;="&amp;$A224,実績!$AD$6:$AD$505,"&gt;"&amp;$A224,実績!$AE$6:$AE$505,"○")&gt;0,1,0))</f>
        <v/>
      </c>
      <c r="BK224">
        <f>IF(BK$4=0,0,IF(COUNTIFS(実績!$W$6:$W$505,BK$3,実績!$AC$6:$AC$505,"&lt;="&amp;$A224,実績!$AD$6:$AD$505,"&gt;"&amp;$A224,実績!$AE$6:$AE$505,"○")&gt;0,1,0))</f>
        <v/>
      </c>
      <c r="BL224">
        <f>IF(BL$4=0,0,IF(COUNTIFS(実績!$W$6:$W$505,BL$3,実績!$AC$6:$AC$505,"&lt;="&amp;$A224,実績!$AD$6:$AD$505,"&gt;"&amp;$A224,実績!$AE$6:$AE$505,"○")&gt;0,1,0))</f>
        <v/>
      </c>
      <c r="BM224">
        <f>IF(BM$4=0,0,IF(COUNTIFS(実績!$W$6:$W$505,BM$3,実績!$AC$6:$AC$505,"&lt;="&amp;$A224,実績!$AD$6:$AD$505,"&gt;"&amp;$A224,実績!$AE$6:$AE$505,"○")&gt;0,1,0))</f>
        <v/>
      </c>
      <c r="BN224">
        <f>IF(BN$4=0,0,IF(COUNTIFS(実績!$W$6:$W$505,BN$3,実績!$AC$6:$AC$505,"&lt;="&amp;$A224,実績!$AD$6:$AD$505,"&gt;"&amp;$A224,実績!$AE$6:$AE$505,"○")&gt;0,1,0))</f>
        <v/>
      </c>
      <c r="BO224">
        <f>IF(BO$4=0,0,IF(COUNTIFS(実績!$W$6:$W$505,BO$3,実績!$AC$6:$AC$505,"&lt;="&amp;$A224,実績!$AD$6:$AD$505,"&gt;"&amp;$A224,実績!$AE$6:$AE$505,"○")&gt;0,1,0))</f>
        <v/>
      </c>
      <c r="BP224">
        <f>IF(BP$4=0,0,IF(COUNTIFS(実績!$W$6:$W$505,BP$3,実績!$AC$6:$AC$505,"&lt;="&amp;$A224,実績!$AD$6:$AD$505,"&gt;"&amp;$A224,実績!$AE$6:$AE$505,"○")&gt;0,1,0))</f>
        <v/>
      </c>
      <c r="BQ224">
        <f>IF(BQ$4=0,0,IF(COUNTIFS(実績!$W$6:$W$505,BQ$3,実績!$AC$6:$AC$505,"&lt;="&amp;$A224,実績!$AD$6:$AD$505,"&gt;"&amp;$A224,実績!$AE$6:$AE$505,"○")&gt;0,1,0))</f>
        <v/>
      </c>
      <c r="BR224">
        <f>IF(BR$4=0,0,IF(COUNTIFS(実績!$W$6:$W$505,BR$3,実績!$AC$6:$AC$505,"&lt;="&amp;$A224,実績!$AD$6:$AD$505,"&gt;"&amp;$A224,実績!$AE$6:$AE$505,"○")&gt;0,1,0))</f>
        <v/>
      </c>
      <c r="BS224">
        <f>IF(BS$4=0,0,IF(COUNTIFS(実績!$W$6:$W$505,BS$3,実績!$AC$6:$AC$505,"&lt;="&amp;$A224,実績!$AD$6:$AD$505,"&gt;"&amp;$A224,実績!$AE$6:$AE$505,"○")&gt;0,1,0))</f>
        <v/>
      </c>
      <c r="BT224">
        <f>IF(BT$4=0,0,IF(COUNTIFS(実績!$W$6:$W$505,BT$3,実績!$AC$6:$AC$505,"&lt;="&amp;$A224,実績!$AD$6:$AD$505,"&gt;"&amp;$A224,実績!$AE$6:$AE$505,"○")&gt;0,1,0))</f>
        <v/>
      </c>
      <c r="BU224">
        <f>IF(BU$4=0,0,IF(COUNTIFS(実績!$W$6:$W$505,BU$3,実績!$AC$6:$AC$505,"&lt;="&amp;$A224,実績!$AD$6:$AD$505,"&gt;"&amp;$A224,実績!$AE$6:$AE$505,"○")&gt;0,1,0))</f>
        <v/>
      </c>
      <c r="BV224">
        <f>IF(BV$4=0,0,IF(COUNTIFS(実績!$W$6:$W$505,BV$3,実績!$AC$6:$AC$505,"&lt;="&amp;$A224,実績!$AD$6:$AD$505,"&gt;"&amp;$A224,実績!$AE$6:$AE$505,"○")&gt;0,1,0))</f>
        <v/>
      </c>
      <c r="BW224">
        <f>IF(BW$4=0,0,IF(COUNTIFS(実績!$W$6:$W$505,BW$3,実績!$AC$6:$AC$505,"&lt;="&amp;$A224,実績!$AD$6:$AD$505,"&gt;"&amp;$A224,実績!$AE$6:$AE$505,"○")&gt;0,1,0))</f>
        <v/>
      </c>
      <c r="BX224">
        <f>IF(BX$4=0,0,IF(COUNTIFS(実績!$W$6:$W$505,BX$3,実績!$AC$6:$AC$505,"&lt;="&amp;$A224,実績!$AD$6:$AD$505,"&gt;"&amp;$A224,実績!$AE$6:$AE$505,"○")&gt;0,1,0))</f>
        <v/>
      </c>
      <c r="BY224">
        <f>IF(BY$4=0,0,IF(COUNTIFS(実績!$W$6:$W$505,BY$3,実績!$AC$6:$AC$505,"&lt;="&amp;$A224,実績!$AD$6:$AD$505,"&gt;"&amp;$A224,実績!$AE$6:$AE$505,"○")&gt;0,1,0))</f>
        <v/>
      </c>
      <c r="BZ224">
        <f>IF(BZ$4=0,0,IF(COUNTIFS(実績!$W$6:$W$505,BZ$3,実績!$AC$6:$AC$505,"&lt;="&amp;$A224,実績!$AD$6:$AD$505,"&gt;"&amp;$A224,実績!$AE$6:$AE$505,"○")&gt;0,1,0))</f>
        <v/>
      </c>
      <c r="CA224">
        <f>IF(CA$4=0,0,IF(COUNTIFS(実績!$W$6:$W$505,CA$3,実績!$AC$6:$AC$505,"&lt;="&amp;$A224,実績!$AD$6:$AD$505,"&gt;"&amp;$A224,実績!$AE$6:$AE$505,"○")&gt;0,1,0))</f>
        <v/>
      </c>
      <c r="CB224">
        <f>IF(CB$4=0,0,IF(COUNTIFS(実績!$W$6:$W$505,CB$3,実績!$AC$6:$AC$505,"&lt;="&amp;$A224,実績!$AD$6:$AD$505,"&gt;"&amp;$A224,実績!$AE$6:$AE$505,"○")&gt;0,1,0))</f>
        <v/>
      </c>
      <c r="CC224">
        <f>IF(CC$4=0,0,IF(COUNTIFS(実績!$W$6:$W$505,CC$3,実績!$AC$6:$AC$505,"&lt;="&amp;$A224,実績!$AD$6:$AD$505,"&gt;"&amp;$A224,実績!$AE$6:$AE$505,"○")&gt;0,1,0))</f>
        <v/>
      </c>
      <c r="CD224">
        <f>IF(CD$4=0,0,IF(COUNTIFS(実績!$W$6:$W$505,CD$3,実績!$AC$6:$AC$505,"&lt;="&amp;$A224,実績!$AD$6:$AD$505,"&gt;"&amp;$A224,実績!$AE$6:$AE$505,"○")&gt;0,1,0))</f>
        <v/>
      </c>
      <c r="CE224">
        <f>IF(CE$4=0,0,IF(COUNTIFS(実績!$W$6:$W$505,CE$3,実績!$AC$6:$AC$505,"&lt;="&amp;$A224,実績!$AD$6:$AD$505,"&gt;"&amp;$A224,実績!$AE$6:$AE$505,"○")&gt;0,1,0))</f>
        <v/>
      </c>
      <c r="CF224">
        <f>IF(CF$4=0,0,IF(COUNTIFS(実績!$W$6:$W$505,CF$3,実績!$AC$6:$AC$505,"&lt;="&amp;$A224,実績!$AD$6:$AD$505,"&gt;"&amp;$A224,実績!$AE$6:$AE$505,"○")&gt;0,1,0))</f>
        <v/>
      </c>
      <c r="CG224">
        <f>IF(CG$4=0,0,IF(COUNTIFS(実績!$W$6:$W$505,CG$3,実績!$AC$6:$AC$505,"&lt;="&amp;$A224,実績!$AD$6:$AD$505,"&gt;"&amp;$A224,実績!$AE$6:$AE$505,"○")&gt;0,1,0))</f>
        <v/>
      </c>
      <c r="CH224">
        <f>IF(CH$4=0,0,IF(COUNTIFS(実績!$W$6:$W$505,CH$3,実績!$AC$6:$AC$505,"&lt;="&amp;$A224,実績!$AD$6:$AD$505,"&gt;"&amp;$A224,実績!$AE$6:$AE$505,"○")&gt;0,1,0))</f>
        <v/>
      </c>
      <c r="CI224">
        <f>IF(CI$4=0,0,IF(COUNTIFS(実績!$W$6:$W$505,CI$3,実績!$AC$6:$AC$505,"&lt;="&amp;$A224,実績!$AD$6:$AD$505,"&gt;"&amp;$A224,実績!$AE$6:$AE$505,"○")&gt;0,1,0))</f>
        <v/>
      </c>
      <c r="CJ224">
        <f>IF(CJ$4=0,0,IF(COUNTIFS(実績!$W$6:$W$505,CJ$3,実績!$AC$6:$AC$505,"&lt;="&amp;$A224,実績!$AD$6:$AD$505,"&gt;"&amp;$A224,実績!$AE$6:$AE$505,"○")&gt;0,1,0))</f>
        <v/>
      </c>
      <c r="CK224">
        <f>IF(CK$4=0,0,IF(COUNTIFS(実績!$W$6:$W$505,CK$3,実績!$AC$6:$AC$505,"&lt;="&amp;$A224,実績!$AD$6:$AD$505,"&gt;"&amp;$A224,実績!$AE$6:$AE$505,"○")&gt;0,1,0))</f>
        <v/>
      </c>
      <c r="CL224">
        <f>IF(CL$4=0,0,IF(COUNTIFS(実績!$W$6:$W$505,CL$3,実績!$AC$6:$AC$505,"&lt;="&amp;$A224,実績!$AD$6:$AD$505,"&gt;"&amp;$A224,実績!$AE$6:$AE$505,"○")&gt;0,1,0))</f>
        <v/>
      </c>
      <c r="CM224">
        <f>IF(CM$4=0,0,IF(COUNTIFS(実績!$W$6:$W$505,CM$3,実績!$AC$6:$AC$505,"&lt;="&amp;$A224,実績!$AD$6:$AD$505,"&gt;"&amp;$A224,実績!$AE$6:$AE$505,"○")&gt;0,1,0))</f>
        <v/>
      </c>
      <c r="CN224">
        <f>IF(CN$4=0,0,IF(COUNTIFS(実績!$W$6:$W$505,CN$3,実績!$AC$6:$AC$505,"&lt;="&amp;$A224,実績!$AD$6:$AD$505,"&gt;"&amp;$A224,実績!$AE$6:$AE$505,"○")&gt;0,1,0))</f>
        <v/>
      </c>
      <c r="CO224">
        <f>IF(CO$4=0,0,IF(COUNTIFS(実績!$W$6:$W$505,CO$3,実績!$AC$6:$AC$505,"&lt;="&amp;$A224,実績!$AD$6:$AD$505,"&gt;"&amp;$A224,実績!$AE$6:$AE$505,"○")&gt;0,1,0))</f>
        <v/>
      </c>
      <c r="CP224">
        <f>IF(CP$4=0,0,IF(COUNTIFS(実績!$W$6:$W$505,CP$3,実績!$AC$6:$AC$505,"&lt;="&amp;$A224,実績!$AD$6:$AD$505,"&gt;"&amp;$A224,実績!$AE$6:$AE$505,"○")&gt;0,1,0))</f>
        <v/>
      </c>
      <c r="CQ224">
        <f>IF(CQ$4=0,0,IF(COUNTIFS(実績!$W$6:$W$505,CQ$3,実績!$AC$6:$AC$505,"&lt;="&amp;$A224,実績!$AD$6:$AD$505,"&gt;"&amp;$A224,実績!$AE$6:$AE$505,"○")&gt;0,1,0))</f>
        <v/>
      </c>
      <c r="CR224">
        <f>IF(CR$4=0,0,IF(COUNTIFS(実績!$W$6:$W$505,CR$3,実績!$AC$6:$AC$505,"&lt;="&amp;$A224,実績!$AD$6:$AD$505,"&gt;"&amp;$A224,実績!$AE$6:$AE$505,"○")&gt;0,1,0))</f>
        <v/>
      </c>
      <c r="CS224">
        <f>IF(CS$4=0,0,IF(COUNTIFS(実績!$W$6:$W$505,CS$3,実績!$AC$6:$AC$505,"&lt;="&amp;$A224,実績!$AD$6:$AD$505,"&gt;"&amp;$A224,実績!$AE$6:$AE$505,"○")&gt;0,1,0))</f>
        <v/>
      </c>
      <c r="CT224">
        <f>IF(CT$4=0,0,IF(COUNTIFS(実績!$W$6:$W$505,CT$3,実績!$AC$6:$AC$505,"&lt;="&amp;$A224,実績!$AD$6:$AD$505,"&gt;"&amp;$A224,実績!$AE$6:$AE$505,"○")&gt;0,1,0))</f>
        <v/>
      </c>
      <c r="CU224">
        <f>IF(CU$4=0,0,IF(COUNTIFS(実績!$W$6:$W$505,CU$3,実績!$AC$6:$AC$505,"&lt;="&amp;$A224,実績!$AD$6:$AD$505,"&gt;"&amp;$A224,実績!$AE$6:$AE$505,"○")&gt;0,1,0))</f>
        <v/>
      </c>
      <c r="CV224">
        <f>IF(CV$4=0,0,IF(COUNTIFS(実績!$W$6:$W$505,CV$3,実績!$AC$6:$AC$505,"&lt;="&amp;$A224,実績!$AD$6:$AD$505,"&gt;"&amp;$A224,実績!$AE$6:$AE$505,"○")&gt;0,1,0))</f>
        <v/>
      </c>
      <c r="CW224">
        <f>IF(CW$4=0,0,IF(COUNTIFS(実績!$W$6:$W$505,CW$3,実績!$AC$6:$AC$505,"&lt;="&amp;$A224,実績!$AD$6:$AD$505,"&gt;"&amp;$A224,実績!$AE$6:$AE$505,"○")&gt;0,1,0))</f>
        <v/>
      </c>
      <c r="CX224">
        <f>IF(CX$4=0,0,IF(COUNTIFS(実績!$W$6:$W$505,CX$3,実績!$AC$6:$AC$505,"&lt;="&amp;$A224,実績!$AD$6:$AD$505,"&gt;"&amp;$A224,実績!$AE$6:$AE$505,"○")&gt;0,1,0))</f>
        <v/>
      </c>
      <c r="CY224">
        <f>IF(CY$4=0,0,IF(COUNTIFS(実績!$W$6:$W$505,CY$3,実績!$AC$6:$AC$505,"&lt;="&amp;$A224,実績!$AD$6:$AD$505,"&gt;"&amp;$A224,実績!$AE$6:$AE$505,"○")&gt;0,1,0))</f>
        <v/>
      </c>
      <c r="CZ224">
        <f>IF(CZ$4=0,0,IF(COUNTIFS(実績!$W$6:$W$505,CZ$3,実績!$AC$6:$AC$505,"&lt;="&amp;$A224,実績!$AD$6:$AD$505,"&gt;"&amp;$A224,実績!$AE$6:$AE$505,"○")&gt;0,1,0))</f>
        <v/>
      </c>
      <c r="DA224">
        <f>IF(DA$4=0,0,IF(COUNTIFS(実績!$W$6:$W$505,DA$3,実績!$AC$6:$AC$505,"&lt;="&amp;$A224,実績!$AD$6:$AD$505,"&gt;"&amp;$A224,実績!$AE$6:$AE$505,"○")&gt;0,1,0))</f>
        <v/>
      </c>
      <c r="DB224">
        <f>IF(DB$4=0,0,IF(COUNTIFS(実績!$W$6:$W$505,DB$3,実績!$AC$6:$AC$505,"&lt;="&amp;$A224,実績!$AD$6:$AD$505,"&gt;"&amp;$A224,実績!$AE$6:$AE$505,"○")&gt;0,1,0))</f>
        <v/>
      </c>
      <c r="DC224">
        <f>IF(DC$4=0,0,IF(COUNTIFS(実績!$W$6:$W$505,DC$3,実績!$AC$6:$AC$505,"&lt;="&amp;$A224,実績!$AD$6:$AD$505,"&gt;"&amp;$A224,実績!$AE$6:$AE$505,"○")&gt;0,1,0))</f>
        <v/>
      </c>
      <c r="DD224">
        <f>IF(DD$4=0,0,IF(COUNTIFS(実績!$W$6:$W$505,DD$3,実績!$AC$6:$AC$505,"&lt;="&amp;$A224,実績!$AD$6:$AD$505,"&gt;"&amp;$A224,実績!$AE$6:$AE$505,"○")&gt;0,1,0))</f>
        <v/>
      </c>
      <c r="DE224">
        <f>IF(DE$4=0,0,IF(COUNTIFS(実績!$W$6:$W$505,DE$3,実績!$AC$6:$AC$505,"&lt;="&amp;$A224,実績!$AD$6:$AD$505,"&gt;"&amp;$A224,実績!$AE$6:$AE$505,"○")&gt;0,1,0))</f>
        <v/>
      </c>
      <c r="DF224">
        <f>IF(DF$4=0,0,IF(COUNTIFS(実績!$W$6:$W$505,DF$3,実績!$AC$6:$AC$505,"&lt;="&amp;$A224,実績!$AD$6:$AD$505,"&gt;"&amp;$A224,実績!$AE$6:$AE$505,"○")&gt;0,1,0))</f>
        <v/>
      </c>
      <c r="DG224">
        <f>IF(DG$4=0,0,IF(COUNTIFS(実績!$W$6:$W$505,DG$3,実績!$AC$6:$AC$505,"&lt;="&amp;$A224,実績!$AD$6:$AD$505,"&gt;"&amp;$A224,実績!$AE$6:$AE$505,"○")&gt;0,1,0))</f>
        <v/>
      </c>
      <c r="DH224">
        <f>IF(DH$4=0,0,IF(COUNTIFS(実績!$W$6:$W$505,DH$3,実績!$AC$6:$AC$505,"&lt;="&amp;$A224,実績!$AD$6:$AD$505,"&gt;"&amp;$A224,実績!$AE$6:$AE$505,"○")&gt;0,1,0))</f>
        <v/>
      </c>
      <c r="DI224">
        <f>IF(DI$4=0,0,IF(COUNTIFS(実績!$W$6:$W$505,DI$3,実績!$AC$6:$AC$505,"&lt;="&amp;$A224,実績!$AD$6:$AD$505,"&gt;"&amp;$A224,実績!$AE$6:$AE$505,"○")&gt;0,1,0))</f>
        <v/>
      </c>
      <c r="DJ224">
        <f>IF(DJ$4=0,0,IF(COUNTIFS(実績!$W$6:$W$505,DJ$3,実績!$AC$6:$AC$505,"&lt;="&amp;$A224,実績!$AD$6:$AD$505,"&gt;"&amp;$A224,実績!$AE$6:$AE$505,"○")&gt;0,1,0))</f>
        <v/>
      </c>
      <c r="DK224">
        <f>IF(DK$4=0,0,IF(COUNTIFS(実績!$W$6:$W$505,DK$3,実績!$AC$6:$AC$505,"&lt;="&amp;$A224,実績!$AD$6:$AD$505,"&gt;"&amp;$A224,実績!$AE$6:$AE$505,"○")&gt;0,1,0))</f>
        <v/>
      </c>
      <c r="DL224">
        <f>IF(DL$4=0,0,IF(COUNTIFS(実績!$W$6:$W$505,DL$3,実績!$AC$6:$AC$505,"&lt;="&amp;$A224,実績!$AD$6:$AD$505,"&gt;"&amp;$A224,実績!$AE$6:$AE$505,"○")&gt;0,1,0))</f>
        <v/>
      </c>
      <c r="DM224">
        <f>IF(DM$4=0,0,IF(COUNTIFS(実績!$W$6:$W$505,DM$3,実績!$AC$6:$AC$505,"&lt;="&amp;$A224,実績!$AD$6:$AD$505,"&gt;"&amp;$A224,実績!$AE$6:$AE$505,"○")&gt;0,1,0))</f>
        <v/>
      </c>
      <c r="DN224">
        <f>IF(DN$4=0,0,IF(COUNTIFS(実績!$W$6:$W$505,DN$3,実績!$AC$6:$AC$505,"&lt;="&amp;$A224,実績!$AD$6:$AD$505,"&gt;"&amp;$A224,実績!$AE$6:$AE$505,"○")&gt;0,1,0))</f>
        <v/>
      </c>
      <c r="DO224">
        <f>IF(DO$4=0,0,IF(COUNTIFS(実績!$W$6:$W$505,DO$3,実績!$AC$6:$AC$505,"&lt;="&amp;$A224,実績!$AD$6:$AD$505,"&gt;"&amp;$A224,実績!$AE$6:$AE$505,"○")&gt;0,1,0))</f>
        <v/>
      </c>
      <c r="DP224">
        <f>IF(DP$4=0,0,IF(COUNTIFS(実績!$W$6:$W$505,DP$3,実績!$AC$6:$AC$505,"&lt;="&amp;$A224,実績!$AD$6:$AD$505,"&gt;"&amp;$A224,実績!$AE$6:$AE$505,"○")&gt;0,1,0))</f>
        <v/>
      </c>
      <c r="DQ224">
        <f>IF(DQ$4=0,0,IF(COUNTIFS(実績!$W$6:$W$505,DQ$3,実績!$AC$6:$AC$505,"&lt;="&amp;$A224,実績!$AD$6:$AD$505,"&gt;"&amp;$A224,実績!$AE$6:$AE$505,"○")&gt;0,1,0))</f>
        <v/>
      </c>
      <c r="DR224">
        <f>IF(DR$4=0,0,IF(COUNTIFS(実績!$W$6:$W$505,DR$3,実績!$AC$6:$AC$505,"&lt;="&amp;$A224,実績!$AD$6:$AD$505,"&gt;"&amp;$A224,実績!$AE$6:$AE$505,"○")&gt;0,1,0))</f>
        <v/>
      </c>
      <c r="DS224">
        <f>SUM(C224:DR224)</f>
        <v/>
      </c>
      <c r="DT224">
        <f>SUMPRODUCT((実績!$C$6:$C$505="○")*ISNUMBER(実績!$AF$6:$AF$505)*(実績!$AF$6:$AF$505&lt;=$A224)*(実績!$AG$6:$AG$505&gt;$A224))</f>
        <v/>
      </c>
      <c r="DU224">
        <f>SUMIF($C$2:$DR$2,"製鉄曳船",C224:DR224)</f>
        <v/>
      </c>
      <c r="DV224">
        <f>SUMIF($C$2:$DR$2,"西日本海運",C224:DR224)</f>
        <v/>
      </c>
    </row>
    <row r="225">
      <c r="A225" t="n">
        <v>1095</v>
      </c>
      <c r="B225" s="29">
        <f>A225/1440</f>
        <v/>
      </c>
      <c r="C225">
        <f>IF(C$4=0,0,IF(COUNTIFS(実績!$W$6:$W$505,C$3,実績!$AC$6:$AC$505,"&lt;="&amp;$A225,実績!$AD$6:$AD$505,"&gt;"&amp;$A225,実績!$AE$6:$AE$505,"○")&gt;0,1,0))</f>
        <v/>
      </c>
      <c r="D225">
        <f>IF(D$4=0,0,IF(COUNTIFS(実績!$W$6:$W$505,D$3,実績!$AC$6:$AC$505,"&lt;="&amp;$A225,実績!$AD$6:$AD$505,"&gt;"&amp;$A225,実績!$AE$6:$AE$505,"○")&gt;0,1,0))</f>
        <v/>
      </c>
      <c r="E225">
        <f>IF(E$4=0,0,IF(COUNTIFS(実績!$W$6:$W$505,E$3,実績!$AC$6:$AC$505,"&lt;="&amp;$A225,実績!$AD$6:$AD$505,"&gt;"&amp;$A225,実績!$AE$6:$AE$505,"○")&gt;0,1,0))</f>
        <v/>
      </c>
      <c r="F225">
        <f>IF(F$4=0,0,IF(COUNTIFS(実績!$W$6:$W$505,F$3,実績!$AC$6:$AC$505,"&lt;="&amp;$A225,実績!$AD$6:$AD$505,"&gt;"&amp;$A225,実績!$AE$6:$AE$505,"○")&gt;0,1,0))</f>
        <v/>
      </c>
      <c r="G225">
        <f>IF(G$4=0,0,IF(COUNTIFS(実績!$W$6:$W$505,G$3,実績!$AC$6:$AC$505,"&lt;="&amp;$A225,実績!$AD$6:$AD$505,"&gt;"&amp;$A225,実績!$AE$6:$AE$505,"○")&gt;0,1,0))</f>
        <v/>
      </c>
      <c r="H225">
        <f>IF(H$4=0,0,IF(COUNTIFS(実績!$W$6:$W$505,H$3,実績!$AC$6:$AC$505,"&lt;="&amp;$A225,実績!$AD$6:$AD$505,"&gt;"&amp;$A225,実績!$AE$6:$AE$505,"○")&gt;0,1,0))</f>
        <v/>
      </c>
      <c r="I225">
        <f>IF(I$4=0,0,IF(COUNTIFS(実績!$W$6:$W$505,I$3,実績!$AC$6:$AC$505,"&lt;="&amp;$A225,実績!$AD$6:$AD$505,"&gt;"&amp;$A225,実績!$AE$6:$AE$505,"○")&gt;0,1,0))</f>
        <v/>
      </c>
      <c r="J225">
        <f>IF(J$4=0,0,IF(COUNTIFS(実績!$W$6:$W$505,J$3,実績!$AC$6:$AC$505,"&lt;="&amp;$A225,実績!$AD$6:$AD$505,"&gt;"&amp;$A225,実績!$AE$6:$AE$505,"○")&gt;0,1,0))</f>
        <v/>
      </c>
      <c r="K225">
        <f>IF(K$4=0,0,IF(COUNTIFS(実績!$W$6:$W$505,K$3,実績!$AC$6:$AC$505,"&lt;="&amp;$A225,実績!$AD$6:$AD$505,"&gt;"&amp;$A225,実績!$AE$6:$AE$505,"○")&gt;0,1,0))</f>
        <v/>
      </c>
      <c r="L225">
        <f>IF(L$4=0,0,IF(COUNTIFS(実績!$W$6:$W$505,L$3,実績!$AC$6:$AC$505,"&lt;="&amp;$A225,実績!$AD$6:$AD$505,"&gt;"&amp;$A225,実績!$AE$6:$AE$505,"○")&gt;0,1,0))</f>
        <v/>
      </c>
      <c r="M225">
        <f>IF(M$4=0,0,IF(COUNTIFS(実績!$W$6:$W$505,M$3,実績!$AC$6:$AC$505,"&lt;="&amp;$A225,実績!$AD$6:$AD$505,"&gt;"&amp;$A225,実績!$AE$6:$AE$505,"○")&gt;0,1,0))</f>
        <v/>
      </c>
      <c r="N225">
        <f>IF(N$4=0,0,IF(COUNTIFS(実績!$W$6:$W$505,N$3,実績!$AC$6:$AC$505,"&lt;="&amp;$A225,実績!$AD$6:$AD$505,"&gt;"&amp;$A225,実績!$AE$6:$AE$505,"○")&gt;0,1,0))</f>
        <v/>
      </c>
      <c r="O225">
        <f>IF(O$4=0,0,IF(COUNTIFS(実績!$W$6:$W$505,O$3,実績!$AC$6:$AC$505,"&lt;="&amp;$A225,実績!$AD$6:$AD$505,"&gt;"&amp;$A225,実績!$AE$6:$AE$505,"○")&gt;0,1,0))</f>
        <v/>
      </c>
      <c r="P225">
        <f>IF(P$4=0,0,IF(COUNTIFS(実績!$W$6:$W$505,P$3,実績!$AC$6:$AC$505,"&lt;="&amp;$A225,実績!$AD$6:$AD$505,"&gt;"&amp;$A225,実績!$AE$6:$AE$505,"○")&gt;0,1,0))</f>
        <v/>
      </c>
      <c r="Q225">
        <f>IF(Q$4=0,0,IF(COUNTIFS(実績!$W$6:$W$505,Q$3,実績!$AC$6:$AC$505,"&lt;="&amp;$A225,実績!$AD$6:$AD$505,"&gt;"&amp;$A225,実績!$AE$6:$AE$505,"○")&gt;0,1,0))</f>
        <v/>
      </c>
      <c r="R225">
        <f>IF(R$4=0,0,IF(COUNTIFS(実績!$W$6:$W$505,R$3,実績!$AC$6:$AC$505,"&lt;="&amp;$A225,実績!$AD$6:$AD$505,"&gt;"&amp;$A225,実績!$AE$6:$AE$505,"○")&gt;0,1,0))</f>
        <v/>
      </c>
      <c r="S225">
        <f>IF(S$4=0,0,IF(COUNTIFS(実績!$W$6:$W$505,S$3,実績!$AC$6:$AC$505,"&lt;="&amp;$A225,実績!$AD$6:$AD$505,"&gt;"&amp;$A225,実績!$AE$6:$AE$505,"○")&gt;0,1,0))</f>
        <v/>
      </c>
      <c r="T225">
        <f>IF(T$4=0,0,IF(COUNTIFS(実績!$W$6:$W$505,T$3,実績!$AC$6:$AC$505,"&lt;="&amp;$A225,実績!$AD$6:$AD$505,"&gt;"&amp;$A225,実績!$AE$6:$AE$505,"○")&gt;0,1,0))</f>
        <v/>
      </c>
      <c r="U225">
        <f>IF(U$4=0,0,IF(COUNTIFS(実績!$W$6:$W$505,U$3,実績!$AC$6:$AC$505,"&lt;="&amp;$A225,実績!$AD$6:$AD$505,"&gt;"&amp;$A225,実績!$AE$6:$AE$505,"○")&gt;0,1,0))</f>
        <v/>
      </c>
      <c r="V225">
        <f>IF(V$4=0,0,IF(COUNTIFS(実績!$W$6:$W$505,V$3,実績!$AC$6:$AC$505,"&lt;="&amp;$A225,実績!$AD$6:$AD$505,"&gt;"&amp;$A225,実績!$AE$6:$AE$505,"○")&gt;0,1,0))</f>
        <v/>
      </c>
      <c r="W225">
        <f>IF(W$4=0,0,IF(COUNTIFS(実績!$W$6:$W$505,W$3,実績!$AC$6:$AC$505,"&lt;="&amp;$A225,実績!$AD$6:$AD$505,"&gt;"&amp;$A225,実績!$AE$6:$AE$505,"○")&gt;0,1,0))</f>
        <v/>
      </c>
      <c r="X225">
        <f>IF(X$4=0,0,IF(COUNTIFS(実績!$W$6:$W$505,X$3,実績!$AC$6:$AC$505,"&lt;="&amp;$A225,実績!$AD$6:$AD$505,"&gt;"&amp;$A225,実績!$AE$6:$AE$505,"○")&gt;0,1,0))</f>
        <v/>
      </c>
      <c r="Y225">
        <f>IF(Y$4=0,0,IF(COUNTIFS(実績!$W$6:$W$505,Y$3,実績!$AC$6:$AC$505,"&lt;="&amp;$A225,実績!$AD$6:$AD$505,"&gt;"&amp;$A225,実績!$AE$6:$AE$505,"○")&gt;0,1,0))</f>
        <v/>
      </c>
      <c r="Z225">
        <f>IF(Z$4=0,0,IF(COUNTIFS(実績!$W$6:$W$505,Z$3,実績!$AC$6:$AC$505,"&lt;="&amp;$A225,実績!$AD$6:$AD$505,"&gt;"&amp;$A225,実績!$AE$6:$AE$505,"○")&gt;0,1,0))</f>
        <v/>
      </c>
      <c r="AA225">
        <f>IF(AA$4=0,0,IF(COUNTIFS(実績!$W$6:$W$505,AA$3,実績!$AC$6:$AC$505,"&lt;="&amp;$A225,実績!$AD$6:$AD$505,"&gt;"&amp;$A225,実績!$AE$6:$AE$505,"○")&gt;0,1,0))</f>
        <v/>
      </c>
      <c r="AB225">
        <f>IF(AB$4=0,0,IF(COUNTIFS(実績!$W$6:$W$505,AB$3,実績!$AC$6:$AC$505,"&lt;="&amp;$A225,実績!$AD$6:$AD$505,"&gt;"&amp;$A225,実績!$AE$6:$AE$505,"○")&gt;0,1,0))</f>
        <v/>
      </c>
      <c r="AC225">
        <f>IF(AC$4=0,0,IF(COUNTIFS(実績!$W$6:$W$505,AC$3,実績!$AC$6:$AC$505,"&lt;="&amp;$A225,実績!$AD$6:$AD$505,"&gt;"&amp;$A225,実績!$AE$6:$AE$505,"○")&gt;0,1,0))</f>
        <v/>
      </c>
      <c r="AD225">
        <f>IF(AD$4=0,0,IF(COUNTIFS(実績!$W$6:$W$505,AD$3,実績!$AC$6:$AC$505,"&lt;="&amp;$A225,実績!$AD$6:$AD$505,"&gt;"&amp;$A225,実績!$AE$6:$AE$505,"○")&gt;0,1,0))</f>
        <v/>
      </c>
      <c r="AE225">
        <f>IF(AE$4=0,0,IF(COUNTIFS(実績!$W$6:$W$505,AE$3,実績!$AC$6:$AC$505,"&lt;="&amp;$A225,実績!$AD$6:$AD$505,"&gt;"&amp;$A225,実績!$AE$6:$AE$505,"○")&gt;0,1,0))</f>
        <v/>
      </c>
      <c r="AF225">
        <f>IF(AF$4=0,0,IF(COUNTIFS(実績!$W$6:$W$505,AF$3,実績!$AC$6:$AC$505,"&lt;="&amp;$A225,実績!$AD$6:$AD$505,"&gt;"&amp;$A225,実績!$AE$6:$AE$505,"○")&gt;0,1,0))</f>
        <v/>
      </c>
      <c r="AG225">
        <f>IF(AG$4=0,0,IF(COUNTIFS(実績!$W$6:$W$505,AG$3,実績!$AC$6:$AC$505,"&lt;="&amp;$A225,実績!$AD$6:$AD$505,"&gt;"&amp;$A225,実績!$AE$6:$AE$505,"○")&gt;0,1,0))</f>
        <v/>
      </c>
      <c r="AH225">
        <f>IF(AH$4=0,0,IF(COUNTIFS(実績!$W$6:$W$505,AH$3,実績!$AC$6:$AC$505,"&lt;="&amp;$A225,実績!$AD$6:$AD$505,"&gt;"&amp;$A225,実績!$AE$6:$AE$505,"○")&gt;0,1,0))</f>
        <v/>
      </c>
      <c r="AI225">
        <f>IF(AI$4=0,0,IF(COUNTIFS(実績!$W$6:$W$505,AI$3,実績!$AC$6:$AC$505,"&lt;="&amp;$A225,実績!$AD$6:$AD$505,"&gt;"&amp;$A225,実績!$AE$6:$AE$505,"○")&gt;0,1,0))</f>
        <v/>
      </c>
      <c r="AJ225">
        <f>IF(AJ$4=0,0,IF(COUNTIFS(実績!$W$6:$W$505,AJ$3,実績!$AC$6:$AC$505,"&lt;="&amp;$A225,実績!$AD$6:$AD$505,"&gt;"&amp;$A225,実績!$AE$6:$AE$505,"○")&gt;0,1,0))</f>
        <v/>
      </c>
      <c r="AK225">
        <f>IF(AK$4=0,0,IF(COUNTIFS(実績!$W$6:$W$505,AK$3,実績!$AC$6:$AC$505,"&lt;="&amp;$A225,実績!$AD$6:$AD$505,"&gt;"&amp;$A225,実績!$AE$6:$AE$505,"○")&gt;0,1,0))</f>
        <v/>
      </c>
      <c r="AL225">
        <f>IF(AL$4=0,0,IF(COUNTIFS(実績!$W$6:$W$505,AL$3,実績!$AC$6:$AC$505,"&lt;="&amp;$A225,実績!$AD$6:$AD$505,"&gt;"&amp;$A225,実績!$AE$6:$AE$505,"○")&gt;0,1,0))</f>
        <v/>
      </c>
      <c r="AM225">
        <f>IF(AM$4=0,0,IF(COUNTIFS(実績!$W$6:$W$505,AM$3,実績!$AC$6:$AC$505,"&lt;="&amp;$A225,実績!$AD$6:$AD$505,"&gt;"&amp;$A225,実績!$AE$6:$AE$505,"○")&gt;0,1,0))</f>
        <v/>
      </c>
      <c r="AN225">
        <f>IF(AN$4=0,0,IF(COUNTIFS(実績!$W$6:$W$505,AN$3,実績!$AC$6:$AC$505,"&lt;="&amp;$A225,実績!$AD$6:$AD$505,"&gt;"&amp;$A225,実績!$AE$6:$AE$505,"○")&gt;0,1,0))</f>
        <v/>
      </c>
      <c r="AO225">
        <f>IF(AO$4=0,0,IF(COUNTIFS(実績!$W$6:$W$505,AO$3,実績!$AC$6:$AC$505,"&lt;="&amp;$A225,実績!$AD$6:$AD$505,"&gt;"&amp;$A225,実績!$AE$6:$AE$505,"○")&gt;0,1,0))</f>
        <v/>
      </c>
      <c r="AP225">
        <f>IF(AP$4=0,0,IF(COUNTIFS(実績!$W$6:$W$505,AP$3,実績!$AC$6:$AC$505,"&lt;="&amp;$A225,実績!$AD$6:$AD$505,"&gt;"&amp;$A225,実績!$AE$6:$AE$505,"○")&gt;0,1,0))</f>
        <v/>
      </c>
      <c r="AQ225">
        <f>IF(AQ$4=0,0,IF(COUNTIFS(実績!$W$6:$W$505,AQ$3,実績!$AC$6:$AC$505,"&lt;="&amp;$A225,実績!$AD$6:$AD$505,"&gt;"&amp;$A225,実績!$AE$6:$AE$505,"○")&gt;0,1,0))</f>
        <v/>
      </c>
      <c r="AR225">
        <f>IF(AR$4=0,0,IF(COUNTIFS(実績!$W$6:$W$505,AR$3,実績!$AC$6:$AC$505,"&lt;="&amp;$A225,実績!$AD$6:$AD$505,"&gt;"&amp;$A225,実績!$AE$6:$AE$505,"○")&gt;0,1,0))</f>
        <v/>
      </c>
      <c r="AS225">
        <f>IF(AS$4=0,0,IF(COUNTIFS(実績!$W$6:$W$505,AS$3,実績!$AC$6:$AC$505,"&lt;="&amp;$A225,実績!$AD$6:$AD$505,"&gt;"&amp;$A225,実績!$AE$6:$AE$505,"○")&gt;0,1,0))</f>
        <v/>
      </c>
      <c r="AT225">
        <f>IF(AT$4=0,0,IF(COUNTIFS(実績!$W$6:$W$505,AT$3,実績!$AC$6:$AC$505,"&lt;="&amp;$A225,実績!$AD$6:$AD$505,"&gt;"&amp;$A225,実績!$AE$6:$AE$505,"○")&gt;0,1,0))</f>
        <v/>
      </c>
      <c r="AU225">
        <f>IF(AU$4=0,0,IF(COUNTIFS(実績!$W$6:$W$505,AU$3,実績!$AC$6:$AC$505,"&lt;="&amp;$A225,実績!$AD$6:$AD$505,"&gt;"&amp;$A225,実績!$AE$6:$AE$505,"○")&gt;0,1,0))</f>
        <v/>
      </c>
      <c r="AV225">
        <f>IF(AV$4=0,0,IF(COUNTIFS(実績!$W$6:$W$505,AV$3,実績!$AC$6:$AC$505,"&lt;="&amp;$A225,実績!$AD$6:$AD$505,"&gt;"&amp;$A225,実績!$AE$6:$AE$505,"○")&gt;0,1,0))</f>
        <v/>
      </c>
      <c r="AW225">
        <f>IF(AW$4=0,0,IF(COUNTIFS(実績!$W$6:$W$505,AW$3,実績!$AC$6:$AC$505,"&lt;="&amp;$A225,実績!$AD$6:$AD$505,"&gt;"&amp;$A225,実績!$AE$6:$AE$505,"○")&gt;0,1,0))</f>
        <v/>
      </c>
      <c r="AX225">
        <f>IF(AX$4=0,0,IF(COUNTIFS(実績!$W$6:$W$505,AX$3,実績!$AC$6:$AC$505,"&lt;="&amp;$A225,実績!$AD$6:$AD$505,"&gt;"&amp;$A225,実績!$AE$6:$AE$505,"○")&gt;0,1,0))</f>
        <v/>
      </c>
      <c r="AY225">
        <f>IF(AY$4=0,0,IF(COUNTIFS(実績!$W$6:$W$505,AY$3,実績!$AC$6:$AC$505,"&lt;="&amp;$A225,実績!$AD$6:$AD$505,"&gt;"&amp;$A225,実績!$AE$6:$AE$505,"○")&gt;0,1,0))</f>
        <v/>
      </c>
      <c r="AZ225">
        <f>IF(AZ$4=0,0,IF(COUNTIFS(実績!$W$6:$W$505,AZ$3,実績!$AC$6:$AC$505,"&lt;="&amp;$A225,実績!$AD$6:$AD$505,"&gt;"&amp;$A225,実績!$AE$6:$AE$505,"○")&gt;0,1,0))</f>
        <v/>
      </c>
      <c r="BA225">
        <f>IF(BA$4=0,0,IF(COUNTIFS(実績!$W$6:$W$505,BA$3,実績!$AC$6:$AC$505,"&lt;="&amp;$A225,実績!$AD$6:$AD$505,"&gt;"&amp;$A225,実績!$AE$6:$AE$505,"○")&gt;0,1,0))</f>
        <v/>
      </c>
      <c r="BB225">
        <f>IF(BB$4=0,0,IF(COUNTIFS(実績!$W$6:$W$505,BB$3,実績!$AC$6:$AC$505,"&lt;="&amp;$A225,実績!$AD$6:$AD$505,"&gt;"&amp;$A225,実績!$AE$6:$AE$505,"○")&gt;0,1,0))</f>
        <v/>
      </c>
      <c r="BC225">
        <f>IF(BC$4=0,0,IF(COUNTIFS(実績!$W$6:$W$505,BC$3,実績!$AC$6:$AC$505,"&lt;="&amp;$A225,実績!$AD$6:$AD$505,"&gt;"&amp;$A225,実績!$AE$6:$AE$505,"○")&gt;0,1,0))</f>
        <v/>
      </c>
      <c r="BD225">
        <f>IF(BD$4=0,0,IF(COUNTIFS(実績!$W$6:$W$505,BD$3,実績!$AC$6:$AC$505,"&lt;="&amp;$A225,実績!$AD$6:$AD$505,"&gt;"&amp;$A225,実績!$AE$6:$AE$505,"○")&gt;0,1,0))</f>
        <v/>
      </c>
      <c r="BE225">
        <f>IF(BE$4=0,0,IF(COUNTIFS(実績!$W$6:$W$505,BE$3,実績!$AC$6:$AC$505,"&lt;="&amp;$A225,実績!$AD$6:$AD$505,"&gt;"&amp;$A225,実績!$AE$6:$AE$505,"○")&gt;0,1,0))</f>
        <v/>
      </c>
      <c r="BF225">
        <f>IF(BF$4=0,0,IF(COUNTIFS(実績!$W$6:$W$505,BF$3,実績!$AC$6:$AC$505,"&lt;="&amp;$A225,実績!$AD$6:$AD$505,"&gt;"&amp;$A225,実績!$AE$6:$AE$505,"○")&gt;0,1,0))</f>
        <v/>
      </c>
      <c r="BG225">
        <f>IF(BG$4=0,0,IF(COUNTIFS(実績!$W$6:$W$505,BG$3,実績!$AC$6:$AC$505,"&lt;="&amp;$A225,実績!$AD$6:$AD$505,"&gt;"&amp;$A225,実績!$AE$6:$AE$505,"○")&gt;0,1,0))</f>
        <v/>
      </c>
      <c r="BH225">
        <f>IF(BH$4=0,0,IF(COUNTIFS(実績!$W$6:$W$505,BH$3,実績!$AC$6:$AC$505,"&lt;="&amp;$A225,実績!$AD$6:$AD$505,"&gt;"&amp;$A225,実績!$AE$6:$AE$505,"○")&gt;0,1,0))</f>
        <v/>
      </c>
      <c r="BI225">
        <f>IF(BI$4=0,0,IF(COUNTIFS(実績!$W$6:$W$505,BI$3,実績!$AC$6:$AC$505,"&lt;="&amp;$A225,実績!$AD$6:$AD$505,"&gt;"&amp;$A225,実績!$AE$6:$AE$505,"○")&gt;0,1,0))</f>
        <v/>
      </c>
      <c r="BJ225">
        <f>IF(BJ$4=0,0,IF(COUNTIFS(実績!$W$6:$W$505,BJ$3,実績!$AC$6:$AC$505,"&lt;="&amp;$A225,実績!$AD$6:$AD$505,"&gt;"&amp;$A225,実績!$AE$6:$AE$505,"○")&gt;0,1,0))</f>
        <v/>
      </c>
      <c r="BK225">
        <f>IF(BK$4=0,0,IF(COUNTIFS(実績!$W$6:$W$505,BK$3,実績!$AC$6:$AC$505,"&lt;="&amp;$A225,実績!$AD$6:$AD$505,"&gt;"&amp;$A225,実績!$AE$6:$AE$505,"○")&gt;0,1,0))</f>
        <v/>
      </c>
      <c r="BL225">
        <f>IF(BL$4=0,0,IF(COUNTIFS(実績!$W$6:$W$505,BL$3,実績!$AC$6:$AC$505,"&lt;="&amp;$A225,実績!$AD$6:$AD$505,"&gt;"&amp;$A225,実績!$AE$6:$AE$505,"○")&gt;0,1,0))</f>
        <v/>
      </c>
      <c r="BM225">
        <f>IF(BM$4=0,0,IF(COUNTIFS(実績!$W$6:$W$505,BM$3,実績!$AC$6:$AC$505,"&lt;="&amp;$A225,実績!$AD$6:$AD$505,"&gt;"&amp;$A225,実績!$AE$6:$AE$505,"○")&gt;0,1,0))</f>
        <v/>
      </c>
      <c r="BN225">
        <f>IF(BN$4=0,0,IF(COUNTIFS(実績!$W$6:$W$505,BN$3,実績!$AC$6:$AC$505,"&lt;="&amp;$A225,実績!$AD$6:$AD$505,"&gt;"&amp;$A225,実績!$AE$6:$AE$505,"○")&gt;0,1,0))</f>
        <v/>
      </c>
      <c r="BO225">
        <f>IF(BO$4=0,0,IF(COUNTIFS(実績!$W$6:$W$505,BO$3,実績!$AC$6:$AC$505,"&lt;="&amp;$A225,実績!$AD$6:$AD$505,"&gt;"&amp;$A225,実績!$AE$6:$AE$505,"○")&gt;0,1,0))</f>
        <v/>
      </c>
      <c r="BP225">
        <f>IF(BP$4=0,0,IF(COUNTIFS(実績!$W$6:$W$505,BP$3,実績!$AC$6:$AC$505,"&lt;="&amp;$A225,実績!$AD$6:$AD$505,"&gt;"&amp;$A225,実績!$AE$6:$AE$505,"○")&gt;0,1,0))</f>
        <v/>
      </c>
      <c r="BQ225">
        <f>IF(BQ$4=0,0,IF(COUNTIFS(実績!$W$6:$W$505,BQ$3,実績!$AC$6:$AC$505,"&lt;="&amp;$A225,実績!$AD$6:$AD$505,"&gt;"&amp;$A225,実績!$AE$6:$AE$505,"○")&gt;0,1,0))</f>
        <v/>
      </c>
      <c r="BR225">
        <f>IF(BR$4=0,0,IF(COUNTIFS(実績!$W$6:$W$505,BR$3,実績!$AC$6:$AC$505,"&lt;="&amp;$A225,実績!$AD$6:$AD$505,"&gt;"&amp;$A225,実績!$AE$6:$AE$505,"○")&gt;0,1,0))</f>
        <v/>
      </c>
      <c r="BS225">
        <f>IF(BS$4=0,0,IF(COUNTIFS(実績!$W$6:$W$505,BS$3,実績!$AC$6:$AC$505,"&lt;="&amp;$A225,実績!$AD$6:$AD$505,"&gt;"&amp;$A225,実績!$AE$6:$AE$505,"○")&gt;0,1,0))</f>
        <v/>
      </c>
      <c r="BT225">
        <f>IF(BT$4=0,0,IF(COUNTIFS(実績!$W$6:$W$505,BT$3,実績!$AC$6:$AC$505,"&lt;="&amp;$A225,実績!$AD$6:$AD$505,"&gt;"&amp;$A225,実績!$AE$6:$AE$505,"○")&gt;0,1,0))</f>
        <v/>
      </c>
      <c r="BU225">
        <f>IF(BU$4=0,0,IF(COUNTIFS(実績!$W$6:$W$505,BU$3,実績!$AC$6:$AC$505,"&lt;="&amp;$A225,実績!$AD$6:$AD$505,"&gt;"&amp;$A225,実績!$AE$6:$AE$505,"○")&gt;0,1,0))</f>
        <v/>
      </c>
      <c r="BV225">
        <f>IF(BV$4=0,0,IF(COUNTIFS(実績!$W$6:$W$505,BV$3,実績!$AC$6:$AC$505,"&lt;="&amp;$A225,実績!$AD$6:$AD$505,"&gt;"&amp;$A225,実績!$AE$6:$AE$505,"○")&gt;0,1,0))</f>
        <v/>
      </c>
      <c r="BW225">
        <f>IF(BW$4=0,0,IF(COUNTIFS(実績!$W$6:$W$505,BW$3,実績!$AC$6:$AC$505,"&lt;="&amp;$A225,実績!$AD$6:$AD$505,"&gt;"&amp;$A225,実績!$AE$6:$AE$505,"○")&gt;0,1,0))</f>
        <v/>
      </c>
      <c r="BX225">
        <f>IF(BX$4=0,0,IF(COUNTIFS(実績!$W$6:$W$505,BX$3,実績!$AC$6:$AC$505,"&lt;="&amp;$A225,実績!$AD$6:$AD$505,"&gt;"&amp;$A225,実績!$AE$6:$AE$505,"○")&gt;0,1,0))</f>
        <v/>
      </c>
      <c r="BY225">
        <f>IF(BY$4=0,0,IF(COUNTIFS(実績!$W$6:$W$505,BY$3,実績!$AC$6:$AC$505,"&lt;="&amp;$A225,実績!$AD$6:$AD$505,"&gt;"&amp;$A225,実績!$AE$6:$AE$505,"○")&gt;0,1,0))</f>
        <v/>
      </c>
      <c r="BZ225">
        <f>IF(BZ$4=0,0,IF(COUNTIFS(実績!$W$6:$W$505,BZ$3,実績!$AC$6:$AC$505,"&lt;="&amp;$A225,実績!$AD$6:$AD$505,"&gt;"&amp;$A225,実績!$AE$6:$AE$505,"○")&gt;0,1,0))</f>
        <v/>
      </c>
      <c r="CA225">
        <f>IF(CA$4=0,0,IF(COUNTIFS(実績!$W$6:$W$505,CA$3,実績!$AC$6:$AC$505,"&lt;="&amp;$A225,実績!$AD$6:$AD$505,"&gt;"&amp;$A225,実績!$AE$6:$AE$505,"○")&gt;0,1,0))</f>
        <v/>
      </c>
      <c r="CB225">
        <f>IF(CB$4=0,0,IF(COUNTIFS(実績!$W$6:$W$505,CB$3,実績!$AC$6:$AC$505,"&lt;="&amp;$A225,実績!$AD$6:$AD$505,"&gt;"&amp;$A225,実績!$AE$6:$AE$505,"○")&gt;0,1,0))</f>
        <v/>
      </c>
      <c r="CC225">
        <f>IF(CC$4=0,0,IF(COUNTIFS(実績!$W$6:$W$505,CC$3,実績!$AC$6:$AC$505,"&lt;="&amp;$A225,実績!$AD$6:$AD$505,"&gt;"&amp;$A225,実績!$AE$6:$AE$505,"○")&gt;0,1,0))</f>
        <v/>
      </c>
      <c r="CD225">
        <f>IF(CD$4=0,0,IF(COUNTIFS(実績!$W$6:$W$505,CD$3,実績!$AC$6:$AC$505,"&lt;="&amp;$A225,実績!$AD$6:$AD$505,"&gt;"&amp;$A225,実績!$AE$6:$AE$505,"○")&gt;0,1,0))</f>
        <v/>
      </c>
      <c r="CE225">
        <f>IF(CE$4=0,0,IF(COUNTIFS(実績!$W$6:$W$505,CE$3,実績!$AC$6:$AC$505,"&lt;="&amp;$A225,実績!$AD$6:$AD$505,"&gt;"&amp;$A225,実績!$AE$6:$AE$505,"○")&gt;0,1,0))</f>
        <v/>
      </c>
      <c r="CF225">
        <f>IF(CF$4=0,0,IF(COUNTIFS(実績!$W$6:$W$505,CF$3,実績!$AC$6:$AC$505,"&lt;="&amp;$A225,実績!$AD$6:$AD$505,"&gt;"&amp;$A225,実績!$AE$6:$AE$505,"○")&gt;0,1,0))</f>
        <v/>
      </c>
      <c r="CG225">
        <f>IF(CG$4=0,0,IF(COUNTIFS(実績!$W$6:$W$505,CG$3,実績!$AC$6:$AC$505,"&lt;="&amp;$A225,実績!$AD$6:$AD$505,"&gt;"&amp;$A225,実績!$AE$6:$AE$505,"○")&gt;0,1,0))</f>
        <v/>
      </c>
      <c r="CH225">
        <f>IF(CH$4=0,0,IF(COUNTIFS(実績!$W$6:$W$505,CH$3,実績!$AC$6:$AC$505,"&lt;="&amp;$A225,実績!$AD$6:$AD$505,"&gt;"&amp;$A225,実績!$AE$6:$AE$505,"○")&gt;0,1,0))</f>
        <v/>
      </c>
      <c r="CI225">
        <f>IF(CI$4=0,0,IF(COUNTIFS(実績!$W$6:$W$505,CI$3,実績!$AC$6:$AC$505,"&lt;="&amp;$A225,実績!$AD$6:$AD$505,"&gt;"&amp;$A225,実績!$AE$6:$AE$505,"○")&gt;0,1,0))</f>
        <v/>
      </c>
      <c r="CJ225">
        <f>IF(CJ$4=0,0,IF(COUNTIFS(実績!$W$6:$W$505,CJ$3,実績!$AC$6:$AC$505,"&lt;="&amp;$A225,実績!$AD$6:$AD$505,"&gt;"&amp;$A225,実績!$AE$6:$AE$505,"○")&gt;0,1,0))</f>
        <v/>
      </c>
      <c r="CK225">
        <f>IF(CK$4=0,0,IF(COUNTIFS(実績!$W$6:$W$505,CK$3,実績!$AC$6:$AC$505,"&lt;="&amp;$A225,実績!$AD$6:$AD$505,"&gt;"&amp;$A225,実績!$AE$6:$AE$505,"○")&gt;0,1,0))</f>
        <v/>
      </c>
      <c r="CL225">
        <f>IF(CL$4=0,0,IF(COUNTIFS(実績!$W$6:$W$505,CL$3,実績!$AC$6:$AC$505,"&lt;="&amp;$A225,実績!$AD$6:$AD$505,"&gt;"&amp;$A225,実績!$AE$6:$AE$505,"○")&gt;0,1,0))</f>
        <v/>
      </c>
      <c r="CM225">
        <f>IF(CM$4=0,0,IF(COUNTIFS(実績!$W$6:$W$505,CM$3,実績!$AC$6:$AC$505,"&lt;="&amp;$A225,実績!$AD$6:$AD$505,"&gt;"&amp;$A225,実績!$AE$6:$AE$505,"○")&gt;0,1,0))</f>
        <v/>
      </c>
      <c r="CN225">
        <f>IF(CN$4=0,0,IF(COUNTIFS(実績!$W$6:$W$505,CN$3,実績!$AC$6:$AC$505,"&lt;="&amp;$A225,実績!$AD$6:$AD$505,"&gt;"&amp;$A225,実績!$AE$6:$AE$505,"○")&gt;0,1,0))</f>
        <v/>
      </c>
      <c r="CO225">
        <f>IF(CO$4=0,0,IF(COUNTIFS(実績!$W$6:$W$505,CO$3,実績!$AC$6:$AC$505,"&lt;="&amp;$A225,実績!$AD$6:$AD$505,"&gt;"&amp;$A225,実績!$AE$6:$AE$505,"○")&gt;0,1,0))</f>
        <v/>
      </c>
      <c r="CP225">
        <f>IF(CP$4=0,0,IF(COUNTIFS(実績!$W$6:$W$505,CP$3,実績!$AC$6:$AC$505,"&lt;="&amp;$A225,実績!$AD$6:$AD$505,"&gt;"&amp;$A225,実績!$AE$6:$AE$505,"○")&gt;0,1,0))</f>
        <v/>
      </c>
      <c r="CQ225">
        <f>IF(CQ$4=0,0,IF(COUNTIFS(実績!$W$6:$W$505,CQ$3,実績!$AC$6:$AC$505,"&lt;="&amp;$A225,実績!$AD$6:$AD$505,"&gt;"&amp;$A225,実績!$AE$6:$AE$505,"○")&gt;0,1,0))</f>
        <v/>
      </c>
      <c r="CR225">
        <f>IF(CR$4=0,0,IF(COUNTIFS(実績!$W$6:$W$505,CR$3,実績!$AC$6:$AC$505,"&lt;="&amp;$A225,実績!$AD$6:$AD$505,"&gt;"&amp;$A225,実績!$AE$6:$AE$505,"○")&gt;0,1,0))</f>
        <v/>
      </c>
      <c r="CS225">
        <f>IF(CS$4=0,0,IF(COUNTIFS(実績!$W$6:$W$505,CS$3,実績!$AC$6:$AC$505,"&lt;="&amp;$A225,実績!$AD$6:$AD$505,"&gt;"&amp;$A225,実績!$AE$6:$AE$505,"○")&gt;0,1,0))</f>
        <v/>
      </c>
      <c r="CT225">
        <f>IF(CT$4=0,0,IF(COUNTIFS(実績!$W$6:$W$505,CT$3,実績!$AC$6:$AC$505,"&lt;="&amp;$A225,実績!$AD$6:$AD$505,"&gt;"&amp;$A225,実績!$AE$6:$AE$505,"○")&gt;0,1,0))</f>
        <v/>
      </c>
      <c r="CU225">
        <f>IF(CU$4=0,0,IF(COUNTIFS(実績!$W$6:$W$505,CU$3,実績!$AC$6:$AC$505,"&lt;="&amp;$A225,実績!$AD$6:$AD$505,"&gt;"&amp;$A225,実績!$AE$6:$AE$505,"○")&gt;0,1,0))</f>
        <v/>
      </c>
      <c r="CV225">
        <f>IF(CV$4=0,0,IF(COUNTIFS(実績!$W$6:$W$505,CV$3,実績!$AC$6:$AC$505,"&lt;="&amp;$A225,実績!$AD$6:$AD$505,"&gt;"&amp;$A225,実績!$AE$6:$AE$505,"○")&gt;0,1,0))</f>
        <v/>
      </c>
      <c r="CW225">
        <f>IF(CW$4=0,0,IF(COUNTIFS(実績!$W$6:$W$505,CW$3,実績!$AC$6:$AC$505,"&lt;="&amp;$A225,実績!$AD$6:$AD$505,"&gt;"&amp;$A225,実績!$AE$6:$AE$505,"○")&gt;0,1,0))</f>
        <v/>
      </c>
      <c r="CX225">
        <f>IF(CX$4=0,0,IF(COUNTIFS(実績!$W$6:$W$505,CX$3,実績!$AC$6:$AC$505,"&lt;="&amp;$A225,実績!$AD$6:$AD$505,"&gt;"&amp;$A225,実績!$AE$6:$AE$505,"○")&gt;0,1,0))</f>
        <v/>
      </c>
      <c r="CY225">
        <f>IF(CY$4=0,0,IF(COUNTIFS(実績!$W$6:$W$505,CY$3,実績!$AC$6:$AC$505,"&lt;="&amp;$A225,実績!$AD$6:$AD$505,"&gt;"&amp;$A225,実績!$AE$6:$AE$505,"○")&gt;0,1,0))</f>
        <v/>
      </c>
      <c r="CZ225">
        <f>IF(CZ$4=0,0,IF(COUNTIFS(実績!$W$6:$W$505,CZ$3,実績!$AC$6:$AC$505,"&lt;="&amp;$A225,実績!$AD$6:$AD$505,"&gt;"&amp;$A225,実績!$AE$6:$AE$505,"○")&gt;0,1,0))</f>
        <v/>
      </c>
      <c r="DA225">
        <f>IF(DA$4=0,0,IF(COUNTIFS(実績!$W$6:$W$505,DA$3,実績!$AC$6:$AC$505,"&lt;="&amp;$A225,実績!$AD$6:$AD$505,"&gt;"&amp;$A225,実績!$AE$6:$AE$505,"○")&gt;0,1,0))</f>
        <v/>
      </c>
      <c r="DB225">
        <f>IF(DB$4=0,0,IF(COUNTIFS(実績!$W$6:$W$505,DB$3,実績!$AC$6:$AC$505,"&lt;="&amp;$A225,実績!$AD$6:$AD$505,"&gt;"&amp;$A225,実績!$AE$6:$AE$505,"○")&gt;0,1,0))</f>
        <v/>
      </c>
      <c r="DC225">
        <f>IF(DC$4=0,0,IF(COUNTIFS(実績!$W$6:$W$505,DC$3,実績!$AC$6:$AC$505,"&lt;="&amp;$A225,実績!$AD$6:$AD$505,"&gt;"&amp;$A225,実績!$AE$6:$AE$505,"○")&gt;0,1,0))</f>
        <v/>
      </c>
      <c r="DD225">
        <f>IF(DD$4=0,0,IF(COUNTIFS(実績!$W$6:$W$505,DD$3,実績!$AC$6:$AC$505,"&lt;="&amp;$A225,実績!$AD$6:$AD$505,"&gt;"&amp;$A225,実績!$AE$6:$AE$505,"○")&gt;0,1,0))</f>
        <v/>
      </c>
      <c r="DE225">
        <f>IF(DE$4=0,0,IF(COUNTIFS(実績!$W$6:$W$505,DE$3,実績!$AC$6:$AC$505,"&lt;="&amp;$A225,実績!$AD$6:$AD$505,"&gt;"&amp;$A225,実績!$AE$6:$AE$505,"○")&gt;0,1,0))</f>
        <v/>
      </c>
      <c r="DF225">
        <f>IF(DF$4=0,0,IF(COUNTIFS(実績!$W$6:$W$505,DF$3,実績!$AC$6:$AC$505,"&lt;="&amp;$A225,実績!$AD$6:$AD$505,"&gt;"&amp;$A225,実績!$AE$6:$AE$505,"○")&gt;0,1,0))</f>
        <v/>
      </c>
      <c r="DG225">
        <f>IF(DG$4=0,0,IF(COUNTIFS(実績!$W$6:$W$505,DG$3,実績!$AC$6:$AC$505,"&lt;="&amp;$A225,実績!$AD$6:$AD$505,"&gt;"&amp;$A225,実績!$AE$6:$AE$505,"○")&gt;0,1,0))</f>
        <v/>
      </c>
      <c r="DH225">
        <f>IF(DH$4=0,0,IF(COUNTIFS(実績!$W$6:$W$505,DH$3,実績!$AC$6:$AC$505,"&lt;="&amp;$A225,実績!$AD$6:$AD$505,"&gt;"&amp;$A225,実績!$AE$6:$AE$505,"○")&gt;0,1,0))</f>
        <v/>
      </c>
      <c r="DI225">
        <f>IF(DI$4=0,0,IF(COUNTIFS(実績!$W$6:$W$505,DI$3,実績!$AC$6:$AC$505,"&lt;="&amp;$A225,実績!$AD$6:$AD$505,"&gt;"&amp;$A225,実績!$AE$6:$AE$505,"○")&gt;0,1,0))</f>
        <v/>
      </c>
      <c r="DJ225">
        <f>IF(DJ$4=0,0,IF(COUNTIFS(実績!$W$6:$W$505,DJ$3,実績!$AC$6:$AC$505,"&lt;="&amp;$A225,実績!$AD$6:$AD$505,"&gt;"&amp;$A225,実績!$AE$6:$AE$505,"○")&gt;0,1,0))</f>
        <v/>
      </c>
      <c r="DK225">
        <f>IF(DK$4=0,0,IF(COUNTIFS(実績!$W$6:$W$505,DK$3,実績!$AC$6:$AC$505,"&lt;="&amp;$A225,実績!$AD$6:$AD$505,"&gt;"&amp;$A225,実績!$AE$6:$AE$505,"○")&gt;0,1,0))</f>
        <v/>
      </c>
      <c r="DL225">
        <f>IF(DL$4=0,0,IF(COUNTIFS(実績!$W$6:$W$505,DL$3,実績!$AC$6:$AC$505,"&lt;="&amp;$A225,実績!$AD$6:$AD$505,"&gt;"&amp;$A225,実績!$AE$6:$AE$505,"○")&gt;0,1,0))</f>
        <v/>
      </c>
      <c r="DM225">
        <f>IF(DM$4=0,0,IF(COUNTIFS(実績!$W$6:$W$505,DM$3,実績!$AC$6:$AC$505,"&lt;="&amp;$A225,実績!$AD$6:$AD$505,"&gt;"&amp;$A225,実績!$AE$6:$AE$505,"○")&gt;0,1,0))</f>
        <v/>
      </c>
      <c r="DN225">
        <f>IF(DN$4=0,0,IF(COUNTIFS(実績!$W$6:$W$505,DN$3,実績!$AC$6:$AC$505,"&lt;="&amp;$A225,実績!$AD$6:$AD$505,"&gt;"&amp;$A225,実績!$AE$6:$AE$505,"○")&gt;0,1,0))</f>
        <v/>
      </c>
      <c r="DO225">
        <f>IF(DO$4=0,0,IF(COUNTIFS(実績!$W$6:$W$505,DO$3,実績!$AC$6:$AC$505,"&lt;="&amp;$A225,実績!$AD$6:$AD$505,"&gt;"&amp;$A225,実績!$AE$6:$AE$505,"○")&gt;0,1,0))</f>
        <v/>
      </c>
      <c r="DP225">
        <f>IF(DP$4=0,0,IF(COUNTIFS(実績!$W$6:$W$505,DP$3,実績!$AC$6:$AC$505,"&lt;="&amp;$A225,実績!$AD$6:$AD$505,"&gt;"&amp;$A225,実績!$AE$6:$AE$505,"○")&gt;0,1,0))</f>
        <v/>
      </c>
      <c r="DQ225">
        <f>IF(DQ$4=0,0,IF(COUNTIFS(実績!$W$6:$W$505,DQ$3,実績!$AC$6:$AC$505,"&lt;="&amp;$A225,実績!$AD$6:$AD$505,"&gt;"&amp;$A225,実績!$AE$6:$AE$505,"○")&gt;0,1,0))</f>
        <v/>
      </c>
      <c r="DR225">
        <f>IF(DR$4=0,0,IF(COUNTIFS(実績!$W$6:$W$505,DR$3,実績!$AC$6:$AC$505,"&lt;="&amp;$A225,実績!$AD$6:$AD$505,"&gt;"&amp;$A225,実績!$AE$6:$AE$505,"○")&gt;0,1,0))</f>
        <v/>
      </c>
      <c r="DS225">
        <f>SUM(C225:DR225)</f>
        <v/>
      </c>
      <c r="DT225">
        <f>SUMPRODUCT((実績!$C$6:$C$505="○")*ISNUMBER(実績!$AF$6:$AF$505)*(実績!$AF$6:$AF$505&lt;=$A225)*(実績!$AG$6:$AG$505&gt;$A225))</f>
        <v/>
      </c>
      <c r="DU225">
        <f>SUMIF($C$2:$DR$2,"製鉄曳船",C225:DR225)</f>
        <v/>
      </c>
      <c r="DV225">
        <f>SUMIF($C$2:$DR$2,"西日本海運",C225:DR225)</f>
        <v/>
      </c>
    </row>
    <row r="226">
      <c r="A226" t="n">
        <v>1100</v>
      </c>
      <c r="B226" s="29">
        <f>A226/1440</f>
        <v/>
      </c>
      <c r="C226">
        <f>IF(C$4=0,0,IF(COUNTIFS(実績!$W$6:$W$505,C$3,実績!$AC$6:$AC$505,"&lt;="&amp;$A226,実績!$AD$6:$AD$505,"&gt;"&amp;$A226,実績!$AE$6:$AE$505,"○")&gt;0,1,0))</f>
        <v/>
      </c>
      <c r="D226">
        <f>IF(D$4=0,0,IF(COUNTIFS(実績!$W$6:$W$505,D$3,実績!$AC$6:$AC$505,"&lt;="&amp;$A226,実績!$AD$6:$AD$505,"&gt;"&amp;$A226,実績!$AE$6:$AE$505,"○")&gt;0,1,0))</f>
        <v/>
      </c>
      <c r="E226">
        <f>IF(E$4=0,0,IF(COUNTIFS(実績!$W$6:$W$505,E$3,実績!$AC$6:$AC$505,"&lt;="&amp;$A226,実績!$AD$6:$AD$505,"&gt;"&amp;$A226,実績!$AE$6:$AE$505,"○")&gt;0,1,0))</f>
        <v/>
      </c>
      <c r="F226">
        <f>IF(F$4=0,0,IF(COUNTIFS(実績!$W$6:$W$505,F$3,実績!$AC$6:$AC$505,"&lt;="&amp;$A226,実績!$AD$6:$AD$505,"&gt;"&amp;$A226,実績!$AE$6:$AE$505,"○")&gt;0,1,0))</f>
        <v/>
      </c>
      <c r="G226">
        <f>IF(G$4=0,0,IF(COUNTIFS(実績!$W$6:$W$505,G$3,実績!$AC$6:$AC$505,"&lt;="&amp;$A226,実績!$AD$6:$AD$505,"&gt;"&amp;$A226,実績!$AE$6:$AE$505,"○")&gt;0,1,0))</f>
        <v/>
      </c>
      <c r="H226">
        <f>IF(H$4=0,0,IF(COUNTIFS(実績!$W$6:$W$505,H$3,実績!$AC$6:$AC$505,"&lt;="&amp;$A226,実績!$AD$6:$AD$505,"&gt;"&amp;$A226,実績!$AE$6:$AE$505,"○")&gt;0,1,0))</f>
        <v/>
      </c>
      <c r="I226">
        <f>IF(I$4=0,0,IF(COUNTIFS(実績!$W$6:$W$505,I$3,実績!$AC$6:$AC$505,"&lt;="&amp;$A226,実績!$AD$6:$AD$505,"&gt;"&amp;$A226,実績!$AE$6:$AE$505,"○")&gt;0,1,0))</f>
        <v/>
      </c>
      <c r="J226">
        <f>IF(J$4=0,0,IF(COUNTIFS(実績!$W$6:$W$505,J$3,実績!$AC$6:$AC$505,"&lt;="&amp;$A226,実績!$AD$6:$AD$505,"&gt;"&amp;$A226,実績!$AE$6:$AE$505,"○")&gt;0,1,0))</f>
        <v/>
      </c>
      <c r="K226">
        <f>IF(K$4=0,0,IF(COUNTIFS(実績!$W$6:$W$505,K$3,実績!$AC$6:$AC$505,"&lt;="&amp;$A226,実績!$AD$6:$AD$505,"&gt;"&amp;$A226,実績!$AE$6:$AE$505,"○")&gt;0,1,0))</f>
        <v/>
      </c>
      <c r="L226">
        <f>IF(L$4=0,0,IF(COUNTIFS(実績!$W$6:$W$505,L$3,実績!$AC$6:$AC$505,"&lt;="&amp;$A226,実績!$AD$6:$AD$505,"&gt;"&amp;$A226,実績!$AE$6:$AE$505,"○")&gt;0,1,0))</f>
        <v/>
      </c>
      <c r="M226">
        <f>IF(M$4=0,0,IF(COUNTIFS(実績!$W$6:$W$505,M$3,実績!$AC$6:$AC$505,"&lt;="&amp;$A226,実績!$AD$6:$AD$505,"&gt;"&amp;$A226,実績!$AE$6:$AE$505,"○")&gt;0,1,0))</f>
        <v/>
      </c>
      <c r="N226">
        <f>IF(N$4=0,0,IF(COUNTIFS(実績!$W$6:$W$505,N$3,実績!$AC$6:$AC$505,"&lt;="&amp;$A226,実績!$AD$6:$AD$505,"&gt;"&amp;$A226,実績!$AE$6:$AE$505,"○")&gt;0,1,0))</f>
        <v/>
      </c>
      <c r="O226">
        <f>IF(O$4=0,0,IF(COUNTIFS(実績!$W$6:$W$505,O$3,実績!$AC$6:$AC$505,"&lt;="&amp;$A226,実績!$AD$6:$AD$505,"&gt;"&amp;$A226,実績!$AE$6:$AE$505,"○")&gt;0,1,0))</f>
        <v/>
      </c>
      <c r="P226">
        <f>IF(P$4=0,0,IF(COUNTIFS(実績!$W$6:$W$505,P$3,実績!$AC$6:$AC$505,"&lt;="&amp;$A226,実績!$AD$6:$AD$505,"&gt;"&amp;$A226,実績!$AE$6:$AE$505,"○")&gt;0,1,0))</f>
        <v/>
      </c>
      <c r="Q226">
        <f>IF(Q$4=0,0,IF(COUNTIFS(実績!$W$6:$W$505,Q$3,実績!$AC$6:$AC$505,"&lt;="&amp;$A226,実績!$AD$6:$AD$505,"&gt;"&amp;$A226,実績!$AE$6:$AE$505,"○")&gt;0,1,0))</f>
        <v/>
      </c>
      <c r="R226">
        <f>IF(R$4=0,0,IF(COUNTIFS(実績!$W$6:$W$505,R$3,実績!$AC$6:$AC$505,"&lt;="&amp;$A226,実績!$AD$6:$AD$505,"&gt;"&amp;$A226,実績!$AE$6:$AE$505,"○")&gt;0,1,0))</f>
        <v/>
      </c>
      <c r="S226">
        <f>IF(S$4=0,0,IF(COUNTIFS(実績!$W$6:$W$505,S$3,実績!$AC$6:$AC$505,"&lt;="&amp;$A226,実績!$AD$6:$AD$505,"&gt;"&amp;$A226,実績!$AE$6:$AE$505,"○")&gt;0,1,0))</f>
        <v/>
      </c>
      <c r="T226">
        <f>IF(T$4=0,0,IF(COUNTIFS(実績!$W$6:$W$505,T$3,実績!$AC$6:$AC$505,"&lt;="&amp;$A226,実績!$AD$6:$AD$505,"&gt;"&amp;$A226,実績!$AE$6:$AE$505,"○")&gt;0,1,0))</f>
        <v/>
      </c>
      <c r="U226">
        <f>IF(U$4=0,0,IF(COUNTIFS(実績!$W$6:$W$505,U$3,実績!$AC$6:$AC$505,"&lt;="&amp;$A226,実績!$AD$6:$AD$505,"&gt;"&amp;$A226,実績!$AE$6:$AE$505,"○")&gt;0,1,0))</f>
        <v/>
      </c>
      <c r="V226">
        <f>IF(V$4=0,0,IF(COUNTIFS(実績!$W$6:$W$505,V$3,実績!$AC$6:$AC$505,"&lt;="&amp;$A226,実績!$AD$6:$AD$505,"&gt;"&amp;$A226,実績!$AE$6:$AE$505,"○")&gt;0,1,0))</f>
        <v/>
      </c>
      <c r="W226">
        <f>IF(W$4=0,0,IF(COUNTIFS(実績!$W$6:$W$505,W$3,実績!$AC$6:$AC$505,"&lt;="&amp;$A226,実績!$AD$6:$AD$505,"&gt;"&amp;$A226,実績!$AE$6:$AE$505,"○")&gt;0,1,0))</f>
        <v/>
      </c>
      <c r="X226">
        <f>IF(X$4=0,0,IF(COUNTIFS(実績!$W$6:$W$505,X$3,実績!$AC$6:$AC$505,"&lt;="&amp;$A226,実績!$AD$6:$AD$505,"&gt;"&amp;$A226,実績!$AE$6:$AE$505,"○")&gt;0,1,0))</f>
        <v/>
      </c>
      <c r="Y226">
        <f>IF(Y$4=0,0,IF(COUNTIFS(実績!$W$6:$W$505,Y$3,実績!$AC$6:$AC$505,"&lt;="&amp;$A226,実績!$AD$6:$AD$505,"&gt;"&amp;$A226,実績!$AE$6:$AE$505,"○")&gt;0,1,0))</f>
        <v/>
      </c>
      <c r="Z226">
        <f>IF(Z$4=0,0,IF(COUNTIFS(実績!$W$6:$W$505,Z$3,実績!$AC$6:$AC$505,"&lt;="&amp;$A226,実績!$AD$6:$AD$505,"&gt;"&amp;$A226,実績!$AE$6:$AE$505,"○")&gt;0,1,0))</f>
        <v/>
      </c>
      <c r="AA226">
        <f>IF(AA$4=0,0,IF(COUNTIFS(実績!$W$6:$W$505,AA$3,実績!$AC$6:$AC$505,"&lt;="&amp;$A226,実績!$AD$6:$AD$505,"&gt;"&amp;$A226,実績!$AE$6:$AE$505,"○")&gt;0,1,0))</f>
        <v/>
      </c>
      <c r="AB226">
        <f>IF(AB$4=0,0,IF(COUNTIFS(実績!$W$6:$W$505,AB$3,実績!$AC$6:$AC$505,"&lt;="&amp;$A226,実績!$AD$6:$AD$505,"&gt;"&amp;$A226,実績!$AE$6:$AE$505,"○")&gt;0,1,0))</f>
        <v/>
      </c>
      <c r="AC226">
        <f>IF(AC$4=0,0,IF(COUNTIFS(実績!$W$6:$W$505,AC$3,実績!$AC$6:$AC$505,"&lt;="&amp;$A226,実績!$AD$6:$AD$505,"&gt;"&amp;$A226,実績!$AE$6:$AE$505,"○")&gt;0,1,0))</f>
        <v/>
      </c>
      <c r="AD226">
        <f>IF(AD$4=0,0,IF(COUNTIFS(実績!$W$6:$W$505,AD$3,実績!$AC$6:$AC$505,"&lt;="&amp;$A226,実績!$AD$6:$AD$505,"&gt;"&amp;$A226,実績!$AE$6:$AE$505,"○")&gt;0,1,0))</f>
        <v/>
      </c>
      <c r="AE226">
        <f>IF(AE$4=0,0,IF(COUNTIFS(実績!$W$6:$W$505,AE$3,実績!$AC$6:$AC$505,"&lt;="&amp;$A226,実績!$AD$6:$AD$505,"&gt;"&amp;$A226,実績!$AE$6:$AE$505,"○")&gt;0,1,0))</f>
        <v/>
      </c>
      <c r="AF226">
        <f>IF(AF$4=0,0,IF(COUNTIFS(実績!$W$6:$W$505,AF$3,実績!$AC$6:$AC$505,"&lt;="&amp;$A226,実績!$AD$6:$AD$505,"&gt;"&amp;$A226,実績!$AE$6:$AE$505,"○")&gt;0,1,0))</f>
        <v/>
      </c>
      <c r="AG226">
        <f>IF(AG$4=0,0,IF(COUNTIFS(実績!$W$6:$W$505,AG$3,実績!$AC$6:$AC$505,"&lt;="&amp;$A226,実績!$AD$6:$AD$505,"&gt;"&amp;$A226,実績!$AE$6:$AE$505,"○")&gt;0,1,0))</f>
        <v/>
      </c>
      <c r="AH226">
        <f>IF(AH$4=0,0,IF(COUNTIFS(実績!$W$6:$W$505,AH$3,実績!$AC$6:$AC$505,"&lt;="&amp;$A226,実績!$AD$6:$AD$505,"&gt;"&amp;$A226,実績!$AE$6:$AE$505,"○")&gt;0,1,0))</f>
        <v/>
      </c>
      <c r="AI226">
        <f>IF(AI$4=0,0,IF(COUNTIFS(実績!$W$6:$W$505,AI$3,実績!$AC$6:$AC$505,"&lt;="&amp;$A226,実績!$AD$6:$AD$505,"&gt;"&amp;$A226,実績!$AE$6:$AE$505,"○")&gt;0,1,0))</f>
        <v/>
      </c>
      <c r="AJ226">
        <f>IF(AJ$4=0,0,IF(COUNTIFS(実績!$W$6:$W$505,AJ$3,実績!$AC$6:$AC$505,"&lt;="&amp;$A226,実績!$AD$6:$AD$505,"&gt;"&amp;$A226,実績!$AE$6:$AE$505,"○")&gt;0,1,0))</f>
        <v/>
      </c>
      <c r="AK226">
        <f>IF(AK$4=0,0,IF(COUNTIFS(実績!$W$6:$W$505,AK$3,実績!$AC$6:$AC$505,"&lt;="&amp;$A226,実績!$AD$6:$AD$505,"&gt;"&amp;$A226,実績!$AE$6:$AE$505,"○")&gt;0,1,0))</f>
        <v/>
      </c>
      <c r="AL226">
        <f>IF(AL$4=0,0,IF(COUNTIFS(実績!$W$6:$W$505,AL$3,実績!$AC$6:$AC$505,"&lt;="&amp;$A226,実績!$AD$6:$AD$505,"&gt;"&amp;$A226,実績!$AE$6:$AE$505,"○")&gt;0,1,0))</f>
        <v/>
      </c>
      <c r="AM226">
        <f>IF(AM$4=0,0,IF(COUNTIFS(実績!$W$6:$W$505,AM$3,実績!$AC$6:$AC$505,"&lt;="&amp;$A226,実績!$AD$6:$AD$505,"&gt;"&amp;$A226,実績!$AE$6:$AE$505,"○")&gt;0,1,0))</f>
        <v/>
      </c>
      <c r="AN226">
        <f>IF(AN$4=0,0,IF(COUNTIFS(実績!$W$6:$W$505,AN$3,実績!$AC$6:$AC$505,"&lt;="&amp;$A226,実績!$AD$6:$AD$505,"&gt;"&amp;$A226,実績!$AE$6:$AE$505,"○")&gt;0,1,0))</f>
        <v/>
      </c>
      <c r="AO226">
        <f>IF(AO$4=0,0,IF(COUNTIFS(実績!$W$6:$W$505,AO$3,実績!$AC$6:$AC$505,"&lt;="&amp;$A226,実績!$AD$6:$AD$505,"&gt;"&amp;$A226,実績!$AE$6:$AE$505,"○")&gt;0,1,0))</f>
        <v/>
      </c>
      <c r="AP226">
        <f>IF(AP$4=0,0,IF(COUNTIFS(実績!$W$6:$W$505,AP$3,実績!$AC$6:$AC$505,"&lt;="&amp;$A226,実績!$AD$6:$AD$505,"&gt;"&amp;$A226,実績!$AE$6:$AE$505,"○")&gt;0,1,0))</f>
        <v/>
      </c>
      <c r="AQ226">
        <f>IF(AQ$4=0,0,IF(COUNTIFS(実績!$W$6:$W$505,AQ$3,実績!$AC$6:$AC$505,"&lt;="&amp;$A226,実績!$AD$6:$AD$505,"&gt;"&amp;$A226,実績!$AE$6:$AE$505,"○")&gt;0,1,0))</f>
        <v/>
      </c>
      <c r="AR226">
        <f>IF(AR$4=0,0,IF(COUNTIFS(実績!$W$6:$W$505,AR$3,実績!$AC$6:$AC$505,"&lt;="&amp;$A226,実績!$AD$6:$AD$505,"&gt;"&amp;$A226,実績!$AE$6:$AE$505,"○")&gt;0,1,0))</f>
        <v/>
      </c>
      <c r="AS226">
        <f>IF(AS$4=0,0,IF(COUNTIFS(実績!$W$6:$W$505,AS$3,実績!$AC$6:$AC$505,"&lt;="&amp;$A226,実績!$AD$6:$AD$505,"&gt;"&amp;$A226,実績!$AE$6:$AE$505,"○")&gt;0,1,0))</f>
        <v/>
      </c>
      <c r="AT226">
        <f>IF(AT$4=0,0,IF(COUNTIFS(実績!$W$6:$W$505,AT$3,実績!$AC$6:$AC$505,"&lt;="&amp;$A226,実績!$AD$6:$AD$505,"&gt;"&amp;$A226,実績!$AE$6:$AE$505,"○")&gt;0,1,0))</f>
        <v/>
      </c>
      <c r="AU226">
        <f>IF(AU$4=0,0,IF(COUNTIFS(実績!$W$6:$W$505,AU$3,実績!$AC$6:$AC$505,"&lt;="&amp;$A226,実績!$AD$6:$AD$505,"&gt;"&amp;$A226,実績!$AE$6:$AE$505,"○")&gt;0,1,0))</f>
        <v/>
      </c>
      <c r="AV226">
        <f>IF(AV$4=0,0,IF(COUNTIFS(実績!$W$6:$W$505,AV$3,実績!$AC$6:$AC$505,"&lt;="&amp;$A226,実績!$AD$6:$AD$505,"&gt;"&amp;$A226,実績!$AE$6:$AE$505,"○")&gt;0,1,0))</f>
        <v/>
      </c>
      <c r="AW226">
        <f>IF(AW$4=0,0,IF(COUNTIFS(実績!$W$6:$W$505,AW$3,実績!$AC$6:$AC$505,"&lt;="&amp;$A226,実績!$AD$6:$AD$505,"&gt;"&amp;$A226,実績!$AE$6:$AE$505,"○")&gt;0,1,0))</f>
        <v/>
      </c>
      <c r="AX226">
        <f>IF(AX$4=0,0,IF(COUNTIFS(実績!$W$6:$W$505,AX$3,実績!$AC$6:$AC$505,"&lt;="&amp;$A226,実績!$AD$6:$AD$505,"&gt;"&amp;$A226,実績!$AE$6:$AE$505,"○")&gt;0,1,0))</f>
        <v/>
      </c>
      <c r="AY226">
        <f>IF(AY$4=0,0,IF(COUNTIFS(実績!$W$6:$W$505,AY$3,実績!$AC$6:$AC$505,"&lt;="&amp;$A226,実績!$AD$6:$AD$505,"&gt;"&amp;$A226,実績!$AE$6:$AE$505,"○")&gt;0,1,0))</f>
        <v/>
      </c>
      <c r="AZ226">
        <f>IF(AZ$4=0,0,IF(COUNTIFS(実績!$W$6:$W$505,AZ$3,実績!$AC$6:$AC$505,"&lt;="&amp;$A226,実績!$AD$6:$AD$505,"&gt;"&amp;$A226,実績!$AE$6:$AE$505,"○")&gt;0,1,0))</f>
        <v/>
      </c>
      <c r="BA226">
        <f>IF(BA$4=0,0,IF(COUNTIFS(実績!$W$6:$W$505,BA$3,実績!$AC$6:$AC$505,"&lt;="&amp;$A226,実績!$AD$6:$AD$505,"&gt;"&amp;$A226,実績!$AE$6:$AE$505,"○")&gt;0,1,0))</f>
        <v/>
      </c>
      <c r="BB226">
        <f>IF(BB$4=0,0,IF(COUNTIFS(実績!$W$6:$W$505,BB$3,実績!$AC$6:$AC$505,"&lt;="&amp;$A226,実績!$AD$6:$AD$505,"&gt;"&amp;$A226,実績!$AE$6:$AE$505,"○")&gt;0,1,0))</f>
        <v/>
      </c>
      <c r="BC226">
        <f>IF(BC$4=0,0,IF(COUNTIFS(実績!$W$6:$W$505,BC$3,実績!$AC$6:$AC$505,"&lt;="&amp;$A226,実績!$AD$6:$AD$505,"&gt;"&amp;$A226,実績!$AE$6:$AE$505,"○")&gt;0,1,0))</f>
        <v/>
      </c>
      <c r="BD226">
        <f>IF(BD$4=0,0,IF(COUNTIFS(実績!$W$6:$W$505,BD$3,実績!$AC$6:$AC$505,"&lt;="&amp;$A226,実績!$AD$6:$AD$505,"&gt;"&amp;$A226,実績!$AE$6:$AE$505,"○")&gt;0,1,0))</f>
        <v/>
      </c>
      <c r="BE226">
        <f>IF(BE$4=0,0,IF(COUNTIFS(実績!$W$6:$W$505,BE$3,実績!$AC$6:$AC$505,"&lt;="&amp;$A226,実績!$AD$6:$AD$505,"&gt;"&amp;$A226,実績!$AE$6:$AE$505,"○")&gt;0,1,0))</f>
        <v/>
      </c>
      <c r="BF226">
        <f>IF(BF$4=0,0,IF(COUNTIFS(実績!$W$6:$W$505,BF$3,実績!$AC$6:$AC$505,"&lt;="&amp;$A226,実績!$AD$6:$AD$505,"&gt;"&amp;$A226,実績!$AE$6:$AE$505,"○")&gt;0,1,0))</f>
        <v/>
      </c>
      <c r="BG226">
        <f>IF(BG$4=0,0,IF(COUNTIFS(実績!$W$6:$W$505,BG$3,実績!$AC$6:$AC$505,"&lt;="&amp;$A226,実績!$AD$6:$AD$505,"&gt;"&amp;$A226,実績!$AE$6:$AE$505,"○")&gt;0,1,0))</f>
        <v/>
      </c>
      <c r="BH226">
        <f>IF(BH$4=0,0,IF(COUNTIFS(実績!$W$6:$W$505,BH$3,実績!$AC$6:$AC$505,"&lt;="&amp;$A226,実績!$AD$6:$AD$505,"&gt;"&amp;$A226,実績!$AE$6:$AE$505,"○")&gt;0,1,0))</f>
        <v/>
      </c>
      <c r="BI226">
        <f>IF(BI$4=0,0,IF(COUNTIFS(実績!$W$6:$W$505,BI$3,実績!$AC$6:$AC$505,"&lt;="&amp;$A226,実績!$AD$6:$AD$505,"&gt;"&amp;$A226,実績!$AE$6:$AE$505,"○")&gt;0,1,0))</f>
        <v/>
      </c>
      <c r="BJ226">
        <f>IF(BJ$4=0,0,IF(COUNTIFS(実績!$W$6:$W$505,BJ$3,実績!$AC$6:$AC$505,"&lt;="&amp;$A226,実績!$AD$6:$AD$505,"&gt;"&amp;$A226,実績!$AE$6:$AE$505,"○")&gt;0,1,0))</f>
        <v/>
      </c>
      <c r="BK226">
        <f>IF(BK$4=0,0,IF(COUNTIFS(実績!$W$6:$W$505,BK$3,実績!$AC$6:$AC$505,"&lt;="&amp;$A226,実績!$AD$6:$AD$505,"&gt;"&amp;$A226,実績!$AE$6:$AE$505,"○")&gt;0,1,0))</f>
        <v/>
      </c>
      <c r="BL226">
        <f>IF(BL$4=0,0,IF(COUNTIFS(実績!$W$6:$W$505,BL$3,実績!$AC$6:$AC$505,"&lt;="&amp;$A226,実績!$AD$6:$AD$505,"&gt;"&amp;$A226,実績!$AE$6:$AE$505,"○")&gt;0,1,0))</f>
        <v/>
      </c>
      <c r="BM226">
        <f>IF(BM$4=0,0,IF(COUNTIFS(実績!$W$6:$W$505,BM$3,実績!$AC$6:$AC$505,"&lt;="&amp;$A226,実績!$AD$6:$AD$505,"&gt;"&amp;$A226,実績!$AE$6:$AE$505,"○")&gt;0,1,0))</f>
        <v/>
      </c>
      <c r="BN226">
        <f>IF(BN$4=0,0,IF(COUNTIFS(実績!$W$6:$W$505,BN$3,実績!$AC$6:$AC$505,"&lt;="&amp;$A226,実績!$AD$6:$AD$505,"&gt;"&amp;$A226,実績!$AE$6:$AE$505,"○")&gt;0,1,0))</f>
        <v/>
      </c>
      <c r="BO226">
        <f>IF(BO$4=0,0,IF(COUNTIFS(実績!$W$6:$W$505,BO$3,実績!$AC$6:$AC$505,"&lt;="&amp;$A226,実績!$AD$6:$AD$505,"&gt;"&amp;$A226,実績!$AE$6:$AE$505,"○")&gt;0,1,0))</f>
        <v/>
      </c>
      <c r="BP226">
        <f>IF(BP$4=0,0,IF(COUNTIFS(実績!$W$6:$W$505,BP$3,実績!$AC$6:$AC$505,"&lt;="&amp;$A226,実績!$AD$6:$AD$505,"&gt;"&amp;$A226,実績!$AE$6:$AE$505,"○")&gt;0,1,0))</f>
        <v/>
      </c>
      <c r="BQ226">
        <f>IF(BQ$4=0,0,IF(COUNTIFS(実績!$W$6:$W$505,BQ$3,実績!$AC$6:$AC$505,"&lt;="&amp;$A226,実績!$AD$6:$AD$505,"&gt;"&amp;$A226,実績!$AE$6:$AE$505,"○")&gt;0,1,0))</f>
        <v/>
      </c>
      <c r="BR226">
        <f>IF(BR$4=0,0,IF(COUNTIFS(実績!$W$6:$W$505,BR$3,実績!$AC$6:$AC$505,"&lt;="&amp;$A226,実績!$AD$6:$AD$505,"&gt;"&amp;$A226,実績!$AE$6:$AE$505,"○")&gt;0,1,0))</f>
        <v/>
      </c>
      <c r="BS226">
        <f>IF(BS$4=0,0,IF(COUNTIFS(実績!$W$6:$W$505,BS$3,実績!$AC$6:$AC$505,"&lt;="&amp;$A226,実績!$AD$6:$AD$505,"&gt;"&amp;$A226,実績!$AE$6:$AE$505,"○")&gt;0,1,0))</f>
        <v/>
      </c>
      <c r="BT226">
        <f>IF(BT$4=0,0,IF(COUNTIFS(実績!$W$6:$W$505,BT$3,実績!$AC$6:$AC$505,"&lt;="&amp;$A226,実績!$AD$6:$AD$505,"&gt;"&amp;$A226,実績!$AE$6:$AE$505,"○")&gt;0,1,0))</f>
        <v/>
      </c>
      <c r="BU226">
        <f>IF(BU$4=0,0,IF(COUNTIFS(実績!$W$6:$W$505,BU$3,実績!$AC$6:$AC$505,"&lt;="&amp;$A226,実績!$AD$6:$AD$505,"&gt;"&amp;$A226,実績!$AE$6:$AE$505,"○")&gt;0,1,0))</f>
        <v/>
      </c>
      <c r="BV226">
        <f>IF(BV$4=0,0,IF(COUNTIFS(実績!$W$6:$W$505,BV$3,実績!$AC$6:$AC$505,"&lt;="&amp;$A226,実績!$AD$6:$AD$505,"&gt;"&amp;$A226,実績!$AE$6:$AE$505,"○")&gt;0,1,0))</f>
        <v/>
      </c>
      <c r="BW226">
        <f>IF(BW$4=0,0,IF(COUNTIFS(実績!$W$6:$W$505,BW$3,実績!$AC$6:$AC$505,"&lt;="&amp;$A226,実績!$AD$6:$AD$505,"&gt;"&amp;$A226,実績!$AE$6:$AE$505,"○")&gt;0,1,0))</f>
        <v/>
      </c>
      <c r="BX226">
        <f>IF(BX$4=0,0,IF(COUNTIFS(実績!$W$6:$W$505,BX$3,実績!$AC$6:$AC$505,"&lt;="&amp;$A226,実績!$AD$6:$AD$505,"&gt;"&amp;$A226,実績!$AE$6:$AE$505,"○")&gt;0,1,0))</f>
        <v/>
      </c>
      <c r="BY226">
        <f>IF(BY$4=0,0,IF(COUNTIFS(実績!$W$6:$W$505,BY$3,実績!$AC$6:$AC$505,"&lt;="&amp;$A226,実績!$AD$6:$AD$505,"&gt;"&amp;$A226,実績!$AE$6:$AE$505,"○")&gt;0,1,0))</f>
        <v/>
      </c>
      <c r="BZ226">
        <f>IF(BZ$4=0,0,IF(COUNTIFS(実績!$W$6:$W$505,BZ$3,実績!$AC$6:$AC$505,"&lt;="&amp;$A226,実績!$AD$6:$AD$505,"&gt;"&amp;$A226,実績!$AE$6:$AE$505,"○")&gt;0,1,0))</f>
        <v/>
      </c>
      <c r="CA226">
        <f>IF(CA$4=0,0,IF(COUNTIFS(実績!$W$6:$W$505,CA$3,実績!$AC$6:$AC$505,"&lt;="&amp;$A226,実績!$AD$6:$AD$505,"&gt;"&amp;$A226,実績!$AE$6:$AE$505,"○")&gt;0,1,0))</f>
        <v/>
      </c>
      <c r="CB226">
        <f>IF(CB$4=0,0,IF(COUNTIFS(実績!$W$6:$W$505,CB$3,実績!$AC$6:$AC$505,"&lt;="&amp;$A226,実績!$AD$6:$AD$505,"&gt;"&amp;$A226,実績!$AE$6:$AE$505,"○")&gt;0,1,0))</f>
        <v/>
      </c>
      <c r="CC226">
        <f>IF(CC$4=0,0,IF(COUNTIFS(実績!$W$6:$W$505,CC$3,実績!$AC$6:$AC$505,"&lt;="&amp;$A226,実績!$AD$6:$AD$505,"&gt;"&amp;$A226,実績!$AE$6:$AE$505,"○")&gt;0,1,0))</f>
        <v/>
      </c>
      <c r="CD226">
        <f>IF(CD$4=0,0,IF(COUNTIFS(実績!$W$6:$W$505,CD$3,実績!$AC$6:$AC$505,"&lt;="&amp;$A226,実績!$AD$6:$AD$505,"&gt;"&amp;$A226,実績!$AE$6:$AE$505,"○")&gt;0,1,0))</f>
        <v/>
      </c>
      <c r="CE226">
        <f>IF(CE$4=0,0,IF(COUNTIFS(実績!$W$6:$W$505,CE$3,実績!$AC$6:$AC$505,"&lt;="&amp;$A226,実績!$AD$6:$AD$505,"&gt;"&amp;$A226,実績!$AE$6:$AE$505,"○")&gt;0,1,0))</f>
        <v/>
      </c>
      <c r="CF226">
        <f>IF(CF$4=0,0,IF(COUNTIFS(実績!$W$6:$W$505,CF$3,実績!$AC$6:$AC$505,"&lt;="&amp;$A226,実績!$AD$6:$AD$505,"&gt;"&amp;$A226,実績!$AE$6:$AE$505,"○")&gt;0,1,0))</f>
        <v/>
      </c>
      <c r="CG226">
        <f>IF(CG$4=0,0,IF(COUNTIFS(実績!$W$6:$W$505,CG$3,実績!$AC$6:$AC$505,"&lt;="&amp;$A226,実績!$AD$6:$AD$505,"&gt;"&amp;$A226,実績!$AE$6:$AE$505,"○")&gt;0,1,0))</f>
        <v/>
      </c>
      <c r="CH226">
        <f>IF(CH$4=0,0,IF(COUNTIFS(実績!$W$6:$W$505,CH$3,実績!$AC$6:$AC$505,"&lt;="&amp;$A226,実績!$AD$6:$AD$505,"&gt;"&amp;$A226,実績!$AE$6:$AE$505,"○")&gt;0,1,0))</f>
        <v/>
      </c>
      <c r="CI226">
        <f>IF(CI$4=0,0,IF(COUNTIFS(実績!$W$6:$W$505,CI$3,実績!$AC$6:$AC$505,"&lt;="&amp;$A226,実績!$AD$6:$AD$505,"&gt;"&amp;$A226,実績!$AE$6:$AE$505,"○")&gt;0,1,0))</f>
        <v/>
      </c>
      <c r="CJ226">
        <f>IF(CJ$4=0,0,IF(COUNTIFS(実績!$W$6:$W$505,CJ$3,実績!$AC$6:$AC$505,"&lt;="&amp;$A226,実績!$AD$6:$AD$505,"&gt;"&amp;$A226,実績!$AE$6:$AE$505,"○")&gt;0,1,0))</f>
        <v/>
      </c>
      <c r="CK226">
        <f>IF(CK$4=0,0,IF(COUNTIFS(実績!$W$6:$W$505,CK$3,実績!$AC$6:$AC$505,"&lt;="&amp;$A226,実績!$AD$6:$AD$505,"&gt;"&amp;$A226,実績!$AE$6:$AE$505,"○")&gt;0,1,0))</f>
        <v/>
      </c>
      <c r="CL226">
        <f>IF(CL$4=0,0,IF(COUNTIFS(実績!$W$6:$W$505,CL$3,実績!$AC$6:$AC$505,"&lt;="&amp;$A226,実績!$AD$6:$AD$505,"&gt;"&amp;$A226,実績!$AE$6:$AE$505,"○")&gt;0,1,0))</f>
        <v/>
      </c>
      <c r="CM226">
        <f>IF(CM$4=0,0,IF(COUNTIFS(実績!$W$6:$W$505,CM$3,実績!$AC$6:$AC$505,"&lt;="&amp;$A226,実績!$AD$6:$AD$505,"&gt;"&amp;$A226,実績!$AE$6:$AE$505,"○")&gt;0,1,0))</f>
        <v/>
      </c>
      <c r="CN226">
        <f>IF(CN$4=0,0,IF(COUNTIFS(実績!$W$6:$W$505,CN$3,実績!$AC$6:$AC$505,"&lt;="&amp;$A226,実績!$AD$6:$AD$505,"&gt;"&amp;$A226,実績!$AE$6:$AE$505,"○")&gt;0,1,0))</f>
        <v/>
      </c>
      <c r="CO226">
        <f>IF(CO$4=0,0,IF(COUNTIFS(実績!$W$6:$W$505,CO$3,実績!$AC$6:$AC$505,"&lt;="&amp;$A226,実績!$AD$6:$AD$505,"&gt;"&amp;$A226,実績!$AE$6:$AE$505,"○")&gt;0,1,0))</f>
        <v/>
      </c>
      <c r="CP226">
        <f>IF(CP$4=0,0,IF(COUNTIFS(実績!$W$6:$W$505,CP$3,実績!$AC$6:$AC$505,"&lt;="&amp;$A226,実績!$AD$6:$AD$505,"&gt;"&amp;$A226,実績!$AE$6:$AE$505,"○")&gt;0,1,0))</f>
        <v/>
      </c>
      <c r="CQ226">
        <f>IF(CQ$4=0,0,IF(COUNTIFS(実績!$W$6:$W$505,CQ$3,実績!$AC$6:$AC$505,"&lt;="&amp;$A226,実績!$AD$6:$AD$505,"&gt;"&amp;$A226,実績!$AE$6:$AE$505,"○")&gt;0,1,0))</f>
        <v/>
      </c>
      <c r="CR226">
        <f>IF(CR$4=0,0,IF(COUNTIFS(実績!$W$6:$W$505,CR$3,実績!$AC$6:$AC$505,"&lt;="&amp;$A226,実績!$AD$6:$AD$505,"&gt;"&amp;$A226,実績!$AE$6:$AE$505,"○")&gt;0,1,0))</f>
        <v/>
      </c>
      <c r="CS226">
        <f>IF(CS$4=0,0,IF(COUNTIFS(実績!$W$6:$W$505,CS$3,実績!$AC$6:$AC$505,"&lt;="&amp;$A226,実績!$AD$6:$AD$505,"&gt;"&amp;$A226,実績!$AE$6:$AE$505,"○")&gt;0,1,0))</f>
        <v/>
      </c>
      <c r="CT226">
        <f>IF(CT$4=0,0,IF(COUNTIFS(実績!$W$6:$W$505,CT$3,実績!$AC$6:$AC$505,"&lt;="&amp;$A226,実績!$AD$6:$AD$505,"&gt;"&amp;$A226,実績!$AE$6:$AE$505,"○")&gt;0,1,0))</f>
        <v/>
      </c>
      <c r="CU226">
        <f>IF(CU$4=0,0,IF(COUNTIFS(実績!$W$6:$W$505,CU$3,実績!$AC$6:$AC$505,"&lt;="&amp;$A226,実績!$AD$6:$AD$505,"&gt;"&amp;$A226,実績!$AE$6:$AE$505,"○")&gt;0,1,0))</f>
        <v/>
      </c>
      <c r="CV226">
        <f>IF(CV$4=0,0,IF(COUNTIFS(実績!$W$6:$W$505,CV$3,実績!$AC$6:$AC$505,"&lt;="&amp;$A226,実績!$AD$6:$AD$505,"&gt;"&amp;$A226,実績!$AE$6:$AE$505,"○")&gt;0,1,0))</f>
        <v/>
      </c>
      <c r="CW226">
        <f>IF(CW$4=0,0,IF(COUNTIFS(実績!$W$6:$W$505,CW$3,実績!$AC$6:$AC$505,"&lt;="&amp;$A226,実績!$AD$6:$AD$505,"&gt;"&amp;$A226,実績!$AE$6:$AE$505,"○")&gt;0,1,0))</f>
        <v/>
      </c>
      <c r="CX226">
        <f>IF(CX$4=0,0,IF(COUNTIFS(実績!$W$6:$W$505,CX$3,実績!$AC$6:$AC$505,"&lt;="&amp;$A226,実績!$AD$6:$AD$505,"&gt;"&amp;$A226,実績!$AE$6:$AE$505,"○")&gt;0,1,0))</f>
        <v/>
      </c>
      <c r="CY226">
        <f>IF(CY$4=0,0,IF(COUNTIFS(実績!$W$6:$W$505,CY$3,実績!$AC$6:$AC$505,"&lt;="&amp;$A226,実績!$AD$6:$AD$505,"&gt;"&amp;$A226,実績!$AE$6:$AE$505,"○")&gt;0,1,0))</f>
        <v/>
      </c>
      <c r="CZ226">
        <f>IF(CZ$4=0,0,IF(COUNTIFS(実績!$W$6:$W$505,CZ$3,実績!$AC$6:$AC$505,"&lt;="&amp;$A226,実績!$AD$6:$AD$505,"&gt;"&amp;$A226,実績!$AE$6:$AE$505,"○")&gt;0,1,0))</f>
        <v/>
      </c>
      <c r="DA226">
        <f>IF(DA$4=0,0,IF(COUNTIFS(実績!$W$6:$W$505,DA$3,実績!$AC$6:$AC$505,"&lt;="&amp;$A226,実績!$AD$6:$AD$505,"&gt;"&amp;$A226,実績!$AE$6:$AE$505,"○")&gt;0,1,0))</f>
        <v/>
      </c>
      <c r="DB226">
        <f>IF(DB$4=0,0,IF(COUNTIFS(実績!$W$6:$W$505,DB$3,実績!$AC$6:$AC$505,"&lt;="&amp;$A226,実績!$AD$6:$AD$505,"&gt;"&amp;$A226,実績!$AE$6:$AE$505,"○")&gt;0,1,0))</f>
        <v/>
      </c>
      <c r="DC226">
        <f>IF(DC$4=0,0,IF(COUNTIFS(実績!$W$6:$W$505,DC$3,実績!$AC$6:$AC$505,"&lt;="&amp;$A226,実績!$AD$6:$AD$505,"&gt;"&amp;$A226,実績!$AE$6:$AE$505,"○")&gt;0,1,0))</f>
        <v/>
      </c>
      <c r="DD226">
        <f>IF(DD$4=0,0,IF(COUNTIFS(実績!$W$6:$W$505,DD$3,実績!$AC$6:$AC$505,"&lt;="&amp;$A226,実績!$AD$6:$AD$505,"&gt;"&amp;$A226,実績!$AE$6:$AE$505,"○")&gt;0,1,0))</f>
        <v/>
      </c>
      <c r="DE226">
        <f>IF(DE$4=0,0,IF(COUNTIFS(実績!$W$6:$W$505,DE$3,実績!$AC$6:$AC$505,"&lt;="&amp;$A226,実績!$AD$6:$AD$505,"&gt;"&amp;$A226,実績!$AE$6:$AE$505,"○")&gt;0,1,0))</f>
        <v/>
      </c>
      <c r="DF226">
        <f>IF(DF$4=0,0,IF(COUNTIFS(実績!$W$6:$W$505,DF$3,実績!$AC$6:$AC$505,"&lt;="&amp;$A226,実績!$AD$6:$AD$505,"&gt;"&amp;$A226,実績!$AE$6:$AE$505,"○")&gt;0,1,0))</f>
        <v/>
      </c>
      <c r="DG226">
        <f>IF(DG$4=0,0,IF(COUNTIFS(実績!$W$6:$W$505,DG$3,実績!$AC$6:$AC$505,"&lt;="&amp;$A226,実績!$AD$6:$AD$505,"&gt;"&amp;$A226,実績!$AE$6:$AE$505,"○")&gt;0,1,0))</f>
        <v/>
      </c>
      <c r="DH226">
        <f>IF(DH$4=0,0,IF(COUNTIFS(実績!$W$6:$W$505,DH$3,実績!$AC$6:$AC$505,"&lt;="&amp;$A226,実績!$AD$6:$AD$505,"&gt;"&amp;$A226,実績!$AE$6:$AE$505,"○")&gt;0,1,0))</f>
        <v/>
      </c>
      <c r="DI226">
        <f>IF(DI$4=0,0,IF(COUNTIFS(実績!$W$6:$W$505,DI$3,実績!$AC$6:$AC$505,"&lt;="&amp;$A226,実績!$AD$6:$AD$505,"&gt;"&amp;$A226,実績!$AE$6:$AE$505,"○")&gt;0,1,0))</f>
        <v/>
      </c>
      <c r="DJ226">
        <f>IF(DJ$4=0,0,IF(COUNTIFS(実績!$W$6:$W$505,DJ$3,実績!$AC$6:$AC$505,"&lt;="&amp;$A226,実績!$AD$6:$AD$505,"&gt;"&amp;$A226,実績!$AE$6:$AE$505,"○")&gt;0,1,0))</f>
        <v/>
      </c>
      <c r="DK226">
        <f>IF(DK$4=0,0,IF(COUNTIFS(実績!$W$6:$W$505,DK$3,実績!$AC$6:$AC$505,"&lt;="&amp;$A226,実績!$AD$6:$AD$505,"&gt;"&amp;$A226,実績!$AE$6:$AE$505,"○")&gt;0,1,0))</f>
        <v/>
      </c>
      <c r="DL226">
        <f>IF(DL$4=0,0,IF(COUNTIFS(実績!$W$6:$W$505,DL$3,実績!$AC$6:$AC$505,"&lt;="&amp;$A226,実績!$AD$6:$AD$505,"&gt;"&amp;$A226,実績!$AE$6:$AE$505,"○")&gt;0,1,0))</f>
        <v/>
      </c>
      <c r="DM226">
        <f>IF(DM$4=0,0,IF(COUNTIFS(実績!$W$6:$W$505,DM$3,実績!$AC$6:$AC$505,"&lt;="&amp;$A226,実績!$AD$6:$AD$505,"&gt;"&amp;$A226,実績!$AE$6:$AE$505,"○")&gt;0,1,0))</f>
        <v/>
      </c>
      <c r="DN226">
        <f>IF(DN$4=0,0,IF(COUNTIFS(実績!$W$6:$W$505,DN$3,実績!$AC$6:$AC$505,"&lt;="&amp;$A226,実績!$AD$6:$AD$505,"&gt;"&amp;$A226,実績!$AE$6:$AE$505,"○")&gt;0,1,0))</f>
        <v/>
      </c>
      <c r="DO226">
        <f>IF(DO$4=0,0,IF(COUNTIFS(実績!$W$6:$W$505,DO$3,実績!$AC$6:$AC$505,"&lt;="&amp;$A226,実績!$AD$6:$AD$505,"&gt;"&amp;$A226,実績!$AE$6:$AE$505,"○")&gt;0,1,0))</f>
        <v/>
      </c>
      <c r="DP226">
        <f>IF(DP$4=0,0,IF(COUNTIFS(実績!$W$6:$W$505,DP$3,実績!$AC$6:$AC$505,"&lt;="&amp;$A226,実績!$AD$6:$AD$505,"&gt;"&amp;$A226,実績!$AE$6:$AE$505,"○")&gt;0,1,0))</f>
        <v/>
      </c>
      <c r="DQ226">
        <f>IF(DQ$4=0,0,IF(COUNTIFS(実績!$W$6:$W$505,DQ$3,実績!$AC$6:$AC$505,"&lt;="&amp;$A226,実績!$AD$6:$AD$505,"&gt;"&amp;$A226,実績!$AE$6:$AE$505,"○")&gt;0,1,0))</f>
        <v/>
      </c>
      <c r="DR226">
        <f>IF(DR$4=0,0,IF(COUNTIFS(実績!$W$6:$W$505,DR$3,実績!$AC$6:$AC$505,"&lt;="&amp;$A226,実績!$AD$6:$AD$505,"&gt;"&amp;$A226,実績!$AE$6:$AE$505,"○")&gt;0,1,0))</f>
        <v/>
      </c>
      <c r="DS226">
        <f>SUM(C226:DR226)</f>
        <v/>
      </c>
      <c r="DT226">
        <f>SUMPRODUCT((実績!$C$6:$C$505="○")*ISNUMBER(実績!$AF$6:$AF$505)*(実績!$AF$6:$AF$505&lt;=$A226)*(実績!$AG$6:$AG$505&gt;$A226))</f>
        <v/>
      </c>
      <c r="DU226">
        <f>SUMIF($C$2:$DR$2,"製鉄曳船",C226:DR226)</f>
        <v/>
      </c>
      <c r="DV226">
        <f>SUMIF($C$2:$DR$2,"西日本海運",C226:DR226)</f>
        <v/>
      </c>
    </row>
    <row r="227">
      <c r="A227" t="n">
        <v>1105</v>
      </c>
      <c r="B227" s="29">
        <f>A227/1440</f>
        <v/>
      </c>
      <c r="C227">
        <f>IF(C$4=0,0,IF(COUNTIFS(実績!$W$6:$W$505,C$3,実績!$AC$6:$AC$505,"&lt;="&amp;$A227,実績!$AD$6:$AD$505,"&gt;"&amp;$A227,実績!$AE$6:$AE$505,"○")&gt;0,1,0))</f>
        <v/>
      </c>
      <c r="D227">
        <f>IF(D$4=0,0,IF(COUNTIFS(実績!$W$6:$W$505,D$3,実績!$AC$6:$AC$505,"&lt;="&amp;$A227,実績!$AD$6:$AD$505,"&gt;"&amp;$A227,実績!$AE$6:$AE$505,"○")&gt;0,1,0))</f>
        <v/>
      </c>
      <c r="E227">
        <f>IF(E$4=0,0,IF(COUNTIFS(実績!$W$6:$W$505,E$3,実績!$AC$6:$AC$505,"&lt;="&amp;$A227,実績!$AD$6:$AD$505,"&gt;"&amp;$A227,実績!$AE$6:$AE$505,"○")&gt;0,1,0))</f>
        <v/>
      </c>
      <c r="F227">
        <f>IF(F$4=0,0,IF(COUNTIFS(実績!$W$6:$W$505,F$3,実績!$AC$6:$AC$505,"&lt;="&amp;$A227,実績!$AD$6:$AD$505,"&gt;"&amp;$A227,実績!$AE$6:$AE$505,"○")&gt;0,1,0))</f>
        <v/>
      </c>
      <c r="G227">
        <f>IF(G$4=0,0,IF(COUNTIFS(実績!$W$6:$W$505,G$3,実績!$AC$6:$AC$505,"&lt;="&amp;$A227,実績!$AD$6:$AD$505,"&gt;"&amp;$A227,実績!$AE$6:$AE$505,"○")&gt;0,1,0))</f>
        <v/>
      </c>
      <c r="H227">
        <f>IF(H$4=0,0,IF(COUNTIFS(実績!$W$6:$W$505,H$3,実績!$AC$6:$AC$505,"&lt;="&amp;$A227,実績!$AD$6:$AD$505,"&gt;"&amp;$A227,実績!$AE$6:$AE$505,"○")&gt;0,1,0))</f>
        <v/>
      </c>
      <c r="I227">
        <f>IF(I$4=0,0,IF(COUNTIFS(実績!$W$6:$W$505,I$3,実績!$AC$6:$AC$505,"&lt;="&amp;$A227,実績!$AD$6:$AD$505,"&gt;"&amp;$A227,実績!$AE$6:$AE$505,"○")&gt;0,1,0))</f>
        <v/>
      </c>
      <c r="J227">
        <f>IF(J$4=0,0,IF(COUNTIFS(実績!$W$6:$W$505,J$3,実績!$AC$6:$AC$505,"&lt;="&amp;$A227,実績!$AD$6:$AD$505,"&gt;"&amp;$A227,実績!$AE$6:$AE$505,"○")&gt;0,1,0))</f>
        <v/>
      </c>
      <c r="K227">
        <f>IF(K$4=0,0,IF(COUNTIFS(実績!$W$6:$W$505,K$3,実績!$AC$6:$AC$505,"&lt;="&amp;$A227,実績!$AD$6:$AD$505,"&gt;"&amp;$A227,実績!$AE$6:$AE$505,"○")&gt;0,1,0))</f>
        <v/>
      </c>
      <c r="L227">
        <f>IF(L$4=0,0,IF(COUNTIFS(実績!$W$6:$W$505,L$3,実績!$AC$6:$AC$505,"&lt;="&amp;$A227,実績!$AD$6:$AD$505,"&gt;"&amp;$A227,実績!$AE$6:$AE$505,"○")&gt;0,1,0))</f>
        <v/>
      </c>
      <c r="M227">
        <f>IF(M$4=0,0,IF(COUNTIFS(実績!$W$6:$W$505,M$3,実績!$AC$6:$AC$505,"&lt;="&amp;$A227,実績!$AD$6:$AD$505,"&gt;"&amp;$A227,実績!$AE$6:$AE$505,"○")&gt;0,1,0))</f>
        <v/>
      </c>
      <c r="N227">
        <f>IF(N$4=0,0,IF(COUNTIFS(実績!$W$6:$W$505,N$3,実績!$AC$6:$AC$505,"&lt;="&amp;$A227,実績!$AD$6:$AD$505,"&gt;"&amp;$A227,実績!$AE$6:$AE$505,"○")&gt;0,1,0))</f>
        <v/>
      </c>
      <c r="O227">
        <f>IF(O$4=0,0,IF(COUNTIFS(実績!$W$6:$W$505,O$3,実績!$AC$6:$AC$505,"&lt;="&amp;$A227,実績!$AD$6:$AD$505,"&gt;"&amp;$A227,実績!$AE$6:$AE$505,"○")&gt;0,1,0))</f>
        <v/>
      </c>
      <c r="P227">
        <f>IF(P$4=0,0,IF(COUNTIFS(実績!$W$6:$W$505,P$3,実績!$AC$6:$AC$505,"&lt;="&amp;$A227,実績!$AD$6:$AD$505,"&gt;"&amp;$A227,実績!$AE$6:$AE$505,"○")&gt;0,1,0))</f>
        <v/>
      </c>
      <c r="Q227">
        <f>IF(Q$4=0,0,IF(COUNTIFS(実績!$W$6:$W$505,Q$3,実績!$AC$6:$AC$505,"&lt;="&amp;$A227,実績!$AD$6:$AD$505,"&gt;"&amp;$A227,実績!$AE$6:$AE$505,"○")&gt;0,1,0))</f>
        <v/>
      </c>
      <c r="R227">
        <f>IF(R$4=0,0,IF(COUNTIFS(実績!$W$6:$W$505,R$3,実績!$AC$6:$AC$505,"&lt;="&amp;$A227,実績!$AD$6:$AD$505,"&gt;"&amp;$A227,実績!$AE$6:$AE$505,"○")&gt;0,1,0))</f>
        <v/>
      </c>
      <c r="S227">
        <f>IF(S$4=0,0,IF(COUNTIFS(実績!$W$6:$W$505,S$3,実績!$AC$6:$AC$505,"&lt;="&amp;$A227,実績!$AD$6:$AD$505,"&gt;"&amp;$A227,実績!$AE$6:$AE$505,"○")&gt;0,1,0))</f>
        <v/>
      </c>
      <c r="T227">
        <f>IF(T$4=0,0,IF(COUNTIFS(実績!$W$6:$W$505,T$3,実績!$AC$6:$AC$505,"&lt;="&amp;$A227,実績!$AD$6:$AD$505,"&gt;"&amp;$A227,実績!$AE$6:$AE$505,"○")&gt;0,1,0))</f>
        <v/>
      </c>
      <c r="U227">
        <f>IF(U$4=0,0,IF(COUNTIFS(実績!$W$6:$W$505,U$3,実績!$AC$6:$AC$505,"&lt;="&amp;$A227,実績!$AD$6:$AD$505,"&gt;"&amp;$A227,実績!$AE$6:$AE$505,"○")&gt;0,1,0))</f>
        <v/>
      </c>
      <c r="V227">
        <f>IF(V$4=0,0,IF(COUNTIFS(実績!$W$6:$W$505,V$3,実績!$AC$6:$AC$505,"&lt;="&amp;$A227,実績!$AD$6:$AD$505,"&gt;"&amp;$A227,実績!$AE$6:$AE$505,"○")&gt;0,1,0))</f>
        <v/>
      </c>
      <c r="W227">
        <f>IF(W$4=0,0,IF(COUNTIFS(実績!$W$6:$W$505,W$3,実績!$AC$6:$AC$505,"&lt;="&amp;$A227,実績!$AD$6:$AD$505,"&gt;"&amp;$A227,実績!$AE$6:$AE$505,"○")&gt;0,1,0))</f>
        <v/>
      </c>
      <c r="X227">
        <f>IF(X$4=0,0,IF(COUNTIFS(実績!$W$6:$W$505,X$3,実績!$AC$6:$AC$505,"&lt;="&amp;$A227,実績!$AD$6:$AD$505,"&gt;"&amp;$A227,実績!$AE$6:$AE$505,"○")&gt;0,1,0))</f>
        <v/>
      </c>
      <c r="Y227">
        <f>IF(Y$4=0,0,IF(COUNTIFS(実績!$W$6:$W$505,Y$3,実績!$AC$6:$AC$505,"&lt;="&amp;$A227,実績!$AD$6:$AD$505,"&gt;"&amp;$A227,実績!$AE$6:$AE$505,"○")&gt;0,1,0))</f>
        <v/>
      </c>
      <c r="Z227">
        <f>IF(Z$4=0,0,IF(COUNTIFS(実績!$W$6:$W$505,Z$3,実績!$AC$6:$AC$505,"&lt;="&amp;$A227,実績!$AD$6:$AD$505,"&gt;"&amp;$A227,実績!$AE$6:$AE$505,"○")&gt;0,1,0))</f>
        <v/>
      </c>
      <c r="AA227">
        <f>IF(AA$4=0,0,IF(COUNTIFS(実績!$W$6:$W$505,AA$3,実績!$AC$6:$AC$505,"&lt;="&amp;$A227,実績!$AD$6:$AD$505,"&gt;"&amp;$A227,実績!$AE$6:$AE$505,"○")&gt;0,1,0))</f>
        <v/>
      </c>
      <c r="AB227">
        <f>IF(AB$4=0,0,IF(COUNTIFS(実績!$W$6:$W$505,AB$3,実績!$AC$6:$AC$505,"&lt;="&amp;$A227,実績!$AD$6:$AD$505,"&gt;"&amp;$A227,実績!$AE$6:$AE$505,"○")&gt;0,1,0))</f>
        <v/>
      </c>
      <c r="AC227">
        <f>IF(AC$4=0,0,IF(COUNTIFS(実績!$W$6:$W$505,AC$3,実績!$AC$6:$AC$505,"&lt;="&amp;$A227,実績!$AD$6:$AD$505,"&gt;"&amp;$A227,実績!$AE$6:$AE$505,"○")&gt;0,1,0))</f>
        <v/>
      </c>
      <c r="AD227">
        <f>IF(AD$4=0,0,IF(COUNTIFS(実績!$W$6:$W$505,AD$3,実績!$AC$6:$AC$505,"&lt;="&amp;$A227,実績!$AD$6:$AD$505,"&gt;"&amp;$A227,実績!$AE$6:$AE$505,"○")&gt;0,1,0))</f>
        <v/>
      </c>
      <c r="AE227">
        <f>IF(AE$4=0,0,IF(COUNTIFS(実績!$W$6:$W$505,AE$3,実績!$AC$6:$AC$505,"&lt;="&amp;$A227,実績!$AD$6:$AD$505,"&gt;"&amp;$A227,実績!$AE$6:$AE$505,"○")&gt;0,1,0))</f>
        <v/>
      </c>
      <c r="AF227">
        <f>IF(AF$4=0,0,IF(COUNTIFS(実績!$W$6:$W$505,AF$3,実績!$AC$6:$AC$505,"&lt;="&amp;$A227,実績!$AD$6:$AD$505,"&gt;"&amp;$A227,実績!$AE$6:$AE$505,"○")&gt;0,1,0))</f>
        <v/>
      </c>
      <c r="AG227">
        <f>IF(AG$4=0,0,IF(COUNTIFS(実績!$W$6:$W$505,AG$3,実績!$AC$6:$AC$505,"&lt;="&amp;$A227,実績!$AD$6:$AD$505,"&gt;"&amp;$A227,実績!$AE$6:$AE$505,"○")&gt;0,1,0))</f>
        <v/>
      </c>
      <c r="AH227">
        <f>IF(AH$4=0,0,IF(COUNTIFS(実績!$W$6:$W$505,AH$3,実績!$AC$6:$AC$505,"&lt;="&amp;$A227,実績!$AD$6:$AD$505,"&gt;"&amp;$A227,実績!$AE$6:$AE$505,"○")&gt;0,1,0))</f>
        <v/>
      </c>
      <c r="AI227">
        <f>IF(AI$4=0,0,IF(COUNTIFS(実績!$W$6:$W$505,AI$3,実績!$AC$6:$AC$505,"&lt;="&amp;$A227,実績!$AD$6:$AD$505,"&gt;"&amp;$A227,実績!$AE$6:$AE$505,"○")&gt;0,1,0))</f>
        <v/>
      </c>
      <c r="AJ227">
        <f>IF(AJ$4=0,0,IF(COUNTIFS(実績!$W$6:$W$505,AJ$3,実績!$AC$6:$AC$505,"&lt;="&amp;$A227,実績!$AD$6:$AD$505,"&gt;"&amp;$A227,実績!$AE$6:$AE$505,"○")&gt;0,1,0))</f>
        <v/>
      </c>
      <c r="AK227">
        <f>IF(AK$4=0,0,IF(COUNTIFS(実績!$W$6:$W$505,AK$3,実績!$AC$6:$AC$505,"&lt;="&amp;$A227,実績!$AD$6:$AD$505,"&gt;"&amp;$A227,実績!$AE$6:$AE$505,"○")&gt;0,1,0))</f>
        <v/>
      </c>
      <c r="AL227">
        <f>IF(AL$4=0,0,IF(COUNTIFS(実績!$W$6:$W$505,AL$3,実績!$AC$6:$AC$505,"&lt;="&amp;$A227,実績!$AD$6:$AD$505,"&gt;"&amp;$A227,実績!$AE$6:$AE$505,"○")&gt;0,1,0))</f>
        <v/>
      </c>
      <c r="AM227">
        <f>IF(AM$4=0,0,IF(COUNTIFS(実績!$W$6:$W$505,AM$3,実績!$AC$6:$AC$505,"&lt;="&amp;$A227,実績!$AD$6:$AD$505,"&gt;"&amp;$A227,実績!$AE$6:$AE$505,"○")&gt;0,1,0))</f>
        <v/>
      </c>
      <c r="AN227">
        <f>IF(AN$4=0,0,IF(COUNTIFS(実績!$W$6:$W$505,AN$3,実績!$AC$6:$AC$505,"&lt;="&amp;$A227,実績!$AD$6:$AD$505,"&gt;"&amp;$A227,実績!$AE$6:$AE$505,"○")&gt;0,1,0))</f>
        <v/>
      </c>
      <c r="AO227">
        <f>IF(AO$4=0,0,IF(COUNTIFS(実績!$W$6:$W$505,AO$3,実績!$AC$6:$AC$505,"&lt;="&amp;$A227,実績!$AD$6:$AD$505,"&gt;"&amp;$A227,実績!$AE$6:$AE$505,"○")&gt;0,1,0))</f>
        <v/>
      </c>
      <c r="AP227">
        <f>IF(AP$4=0,0,IF(COUNTIFS(実績!$W$6:$W$505,AP$3,実績!$AC$6:$AC$505,"&lt;="&amp;$A227,実績!$AD$6:$AD$505,"&gt;"&amp;$A227,実績!$AE$6:$AE$505,"○")&gt;0,1,0))</f>
        <v/>
      </c>
      <c r="AQ227">
        <f>IF(AQ$4=0,0,IF(COUNTIFS(実績!$W$6:$W$505,AQ$3,実績!$AC$6:$AC$505,"&lt;="&amp;$A227,実績!$AD$6:$AD$505,"&gt;"&amp;$A227,実績!$AE$6:$AE$505,"○")&gt;0,1,0))</f>
        <v/>
      </c>
      <c r="AR227">
        <f>IF(AR$4=0,0,IF(COUNTIFS(実績!$W$6:$W$505,AR$3,実績!$AC$6:$AC$505,"&lt;="&amp;$A227,実績!$AD$6:$AD$505,"&gt;"&amp;$A227,実績!$AE$6:$AE$505,"○")&gt;0,1,0))</f>
        <v/>
      </c>
      <c r="AS227">
        <f>IF(AS$4=0,0,IF(COUNTIFS(実績!$W$6:$W$505,AS$3,実績!$AC$6:$AC$505,"&lt;="&amp;$A227,実績!$AD$6:$AD$505,"&gt;"&amp;$A227,実績!$AE$6:$AE$505,"○")&gt;0,1,0))</f>
        <v/>
      </c>
      <c r="AT227">
        <f>IF(AT$4=0,0,IF(COUNTIFS(実績!$W$6:$W$505,AT$3,実績!$AC$6:$AC$505,"&lt;="&amp;$A227,実績!$AD$6:$AD$505,"&gt;"&amp;$A227,実績!$AE$6:$AE$505,"○")&gt;0,1,0))</f>
        <v/>
      </c>
      <c r="AU227">
        <f>IF(AU$4=0,0,IF(COUNTIFS(実績!$W$6:$W$505,AU$3,実績!$AC$6:$AC$505,"&lt;="&amp;$A227,実績!$AD$6:$AD$505,"&gt;"&amp;$A227,実績!$AE$6:$AE$505,"○")&gt;0,1,0))</f>
        <v/>
      </c>
      <c r="AV227">
        <f>IF(AV$4=0,0,IF(COUNTIFS(実績!$W$6:$W$505,AV$3,実績!$AC$6:$AC$505,"&lt;="&amp;$A227,実績!$AD$6:$AD$505,"&gt;"&amp;$A227,実績!$AE$6:$AE$505,"○")&gt;0,1,0))</f>
        <v/>
      </c>
      <c r="AW227">
        <f>IF(AW$4=0,0,IF(COUNTIFS(実績!$W$6:$W$505,AW$3,実績!$AC$6:$AC$505,"&lt;="&amp;$A227,実績!$AD$6:$AD$505,"&gt;"&amp;$A227,実績!$AE$6:$AE$505,"○")&gt;0,1,0))</f>
        <v/>
      </c>
      <c r="AX227">
        <f>IF(AX$4=0,0,IF(COUNTIFS(実績!$W$6:$W$505,AX$3,実績!$AC$6:$AC$505,"&lt;="&amp;$A227,実績!$AD$6:$AD$505,"&gt;"&amp;$A227,実績!$AE$6:$AE$505,"○")&gt;0,1,0))</f>
        <v/>
      </c>
      <c r="AY227">
        <f>IF(AY$4=0,0,IF(COUNTIFS(実績!$W$6:$W$505,AY$3,実績!$AC$6:$AC$505,"&lt;="&amp;$A227,実績!$AD$6:$AD$505,"&gt;"&amp;$A227,実績!$AE$6:$AE$505,"○")&gt;0,1,0))</f>
        <v/>
      </c>
      <c r="AZ227">
        <f>IF(AZ$4=0,0,IF(COUNTIFS(実績!$W$6:$W$505,AZ$3,実績!$AC$6:$AC$505,"&lt;="&amp;$A227,実績!$AD$6:$AD$505,"&gt;"&amp;$A227,実績!$AE$6:$AE$505,"○")&gt;0,1,0))</f>
        <v/>
      </c>
      <c r="BA227">
        <f>IF(BA$4=0,0,IF(COUNTIFS(実績!$W$6:$W$505,BA$3,実績!$AC$6:$AC$505,"&lt;="&amp;$A227,実績!$AD$6:$AD$505,"&gt;"&amp;$A227,実績!$AE$6:$AE$505,"○")&gt;0,1,0))</f>
        <v/>
      </c>
      <c r="BB227">
        <f>IF(BB$4=0,0,IF(COUNTIFS(実績!$W$6:$W$505,BB$3,実績!$AC$6:$AC$505,"&lt;="&amp;$A227,実績!$AD$6:$AD$505,"&gt;"&amp;$A227,実績!$AE$6:$AE$505,"○")&gt;0,1,0))</f>
        <v/>
      </c>
      <c r="BC227">
        <f>IF(BC$4=0,0,IF(COUNTIFS(実績!$W$6:$W$505,BC$3,実績!$AC$6:$AC$505,"&lt;="&amp;$A227,実績!$AD$6:$AD$505,"&gt;"&amp;$A227,実績!$AE$6:$AE$505,"○")&gt;0,1,0))</f>
        <v/>
      </c>
      <c r="BD227">
        <f>IF(BD$4=0,0,IF(COUNTIFS(実績!$W$6:$W$505,BD$3,実績!$AC$6:$AC$505,"&lt;="&amp;$A227,実績!$AD$6:$AD$505,"&gt;"&amp;$A227,実績!$AE$6:$AE$505,"○")&gt;0,1,0))</f>
        <v/>
      </c>
      <c r="BE227">
        <f>IF(BE$4=0,0,IF(COUNTIFS(実績!$W$6:$W$505,BE$3,実績!$AC$6:$AC$505,"&lt;="&amp;$A227,実績!$AD$6:$AD$505,"&gt;"&amp;$A227,実績!$AE$6:$AE$505,"○")&gt;0,1,0))</f>
        <v/>
      </c>
      <c r="BF227">
        <f>IF(BF$4=0,0,IF(COUNTIFS(実績!$W$6:$W$505,BF$3,実績!$AC$6:$AC$505,"&lt;="&amp;$A227,実績!$AD$6:$AD$505,"&gt;"&amp;$A227,実績!$AE$6:$AE$505,"○")&gt;0,1,0))</f>
        <v/>
      </c>
      <c r="BG227">
        <f>IF(BG$4=0,0,IF(COUNTIFS(実績!$W$6:$W$505,BG$3,実績!$AC$6:$AC$505,"&lt;="&amp;$A227,実績!$AD$6:$AD$505,"&gt;"&amp;$A227,実績!$AE$6:$AE$505,"○")&gt;0,1,0))</f>
        <v/>
      </c>
      <c r="BH227">
        <f>IF(BH$4=0,0,IF(COUNTIFS(実績!$W$6:$W$505,BH$3,実績!$AC$6:$AC$505,"&lt;="&amp;$A227,実績!$AD$6:$AD$505,"&gt;"&amp;$A227,実績!$AE$6:$AE$505,"○")&gt;0,1,0))</f>
        <v/>
      </c>
      <c r="BI227">
        <f>IF(BI$4=0,0,IF(COUNTIFS(実績!$W$6:$W$505,BI$3,実績!$AC$6:$AC$505,"&lt;="&amp;$A227,実績!$AD$6:$AD$505,"&gt;"&amp;$A227,実績!$AE$6:$AE$505,"○")&gt;0,1,0))</f>
        <v/>
      </c>
      <c r="BJ227">
        <f>IF(BJ$4=0,0,IF(COUNTIFS(実績!$W$6:$W$505,BJ$3,実績!$AC$6:$AC$505,"&lt;="&amp;$A227,実績!$AD$6:$AD$505,"&gt;"&amp;$A227,実績!$AE$6:$AE$505,"○")&gt;0,1,0))</f>
        <v/>
      </c>
      <c r="BK227">
        <f>IF(BK$4=0,0,IF(COUNTIFS(実績!$W$6:$W$505,BK$3,実績!$AC$6:$AC$505,"&lt;="&amp;$A227,実績!$AD$6:$AD$505,"&gt;"&amp;$A227,実績!$AE$6:$AE$505,"○")&gt;0,1,0))</f>
        <v/>
      </c>
      <c r="BL227">
        <f>IF(BL$4=0,0,IF(COUNTIFS(実績!$W$6:$W$505,BL$3,実績!$AC$6:$AC$505,"&lt;="&amp;$A227,実績!$AD$6:$AD$505,"&gt;"&amp;$A227,実績!$AE$6:$AE$505,"○")&gt;0,1,0))</f>
        <v/>
      </c>
      <c r="BM227">
        <f>IF(BM$4=0,0,IF(COUNTIFS(実績!$W$6:$W$505,BM$3,実績!$AC$6:$AC$505,"&lt;="&amp;$A227,実績!$AD$6:$AD$505,"&gt;"&amp;$A227,実績!$AE$6:$AE$505,"○")&gt;0,1,0))</f>
        <v/>
      </c>
      <c r="BN227">
        <f>IF(BN$4=0,0,IF(COUNTIFS(実績!$W$6:$W$505,BN$3,実績!$AC$6:$AC$505,"&lt;="&amp;$A227,実績!$AD$6:$AD$505,"&gt;"&amp;$A227,実績!$AE$6:$AE$505,"○")&gt;0,1,0))</f>
        <v/>
      </c>
      <c r="BO227">
        <f>IF(BO$4=0,0,IF(COUNTIFS(実績!$W$6:$W$505,BO$3,実績!$AC$6:$AC$505,"&lt;="&amp;$A227,実績!$AD$6:$AD$505,"&gt;"&amp;$A227,実績!$AE$6:$AE$505,"○")&gt;0,1,0))</f>
        <v/>
      </c>
      <c r="BP227">
        <f>IF(BP$4=0,0,IF(COUNTIFS(実績!$W$6:$W$505,BP$3,実績!$AC$6:$AC$505,"&lt;="&amp;$A227,実績!$AD$6:$AD$505,"&gt;"&amp;$A227,実績!$AE$6:$AE$505,"○")&gt;0,1,0))</f>
        <v/>
      </c>
      <c r="BQ227">
        <f>IF(BQ$4=0,0,IF(COUNTIFS(実績!$W$6:$W$505,BQ$3,実績!$AC$6:$AC$505,"&lt;="&amp;$A227,実績!$AD$6:$AD$505,"&gt;"&amp;$A227,実績!$AE$6:$AE$505,"○")&gt;0,1,0))</f>
        <v/>
      </c>
      <c r="BR227">
        <f>IF(BR$4=0,0,IF(COUNTIFS(実績!$W$6:$W$505,BR$3,実績!$AC$6:$AC$505,"&lt;="&amp;$A227,実績!$AD$6:$AD$505,"&gt;"&amp;$A227,実績!$AE$6:$AE$505,"○")&gt;0,1,0))</f>
        <v/>
      </c>
      <c r="BS227">
        <f>IF(BS$4=0,0,IF(COUNTIFS(実績!$W$6:$W$505,BS$3,実績!$AC$6:$AC$505,"&lt;="&amp;$A227,実績!$AD$6:$AD$505,"&gt;"&amp;$A227,実績!$AE$6:$AE$505,"○")&gt;0,1,0))</f>
        <v/>
      </c>
      <c r="BT227">
        <f>IF(BT$4=0,0,IF(COUNTIFS(実績!$W$6:$W$505,BT$3,実績!$AC$6:$AC$505,"&lt;="&amp;$A227,実績!$AD$6:$AD$505,"&gt;"&amp;$A227,実績!$AE$6:$AE$505,"○")&gt;0,1,0))</f>
        <v/>
      </c>
      <c r="BU227">
        <f>IF(BU$4=0,0,IF(COUNTIFS(実績!$W$6:$W$505,BU$3,実績!$AC$6:$AC$505,"&lt;="&amp;$A227,実績!$AD$6:$AD$505,"&gt;"&amp;$A227,実績!$AE$6:$AE$505,"○")&gt;0,1,0))</f>
        <v/>
      </c>
      <c r="BV227">
        <f>IF(BV$4=0,0,IF(COUNTIFS(実績!$W$6:$W$505,BV$3,実績!$AC$6:$AC$505,"&lt;="&amp;$A227,実績!$AD$6:$AD$505,"&gt;"&amp;$A227,実績!$AE$6:$AE$505,"○")&gt;0,1,0))</f>
        <v/>
      </c>
      <c r="BW227">
        <f>IF(BW$4=0,0,IF(COUNTIFS(実績!$W$6:$W$505,BW$3,実績!$AC$6:$AC$505,"&lt;="&amp;$A227,実績!$AD$6:$AD$505,"&gt;"&amp;$A227,実績!$AE$6:$AE$505,"○")&gt;0,1,0))</f>
        <v/>
      </c>
      <c r="BX227">
        <f>IF(BX$4=0,0,IF(COUNTIFS(実績!$W$6:$W$505,BX$3,実績!$AC$6:$AC$505,"&lt;="&amp;$A227,実績!$AD$6:$AD$505,"&gt;"&amp;$A227,実績!$AE$6:$AE$505,"○")&gt;0,1,0))</f>
        <v/>
      </c>
      <c r="BY227">
        <f>IF(BY$4=0,0,IF(COUNTIFS(実績!$W$6:$W$505,BY$3,実績!$AC$6:$AC$505,"&lt;="&amp;$A227,実績!$AD$6:$AD$505,"&gt;"&amp;$A227,実績!$AE$6:$AE$505,"○")&gt;0,1,0))</f>
        <v/>
      </c>
      <c r="BZ227">
        <f>IF(BZ$4=0,0,IF(COUNTIFS(実績!$W$6:$W$505,BZ$3,実績!$AC$6:$AC$505,"&lt;="&amp;$A227,実績!$AD$6:$AD$505,"&gt;"&amp;$A227,実績!$AE$6:$AE$505,"○")&gt;0,1,0))</f>
        <v/>
      </c>
      <c r="CA227">
        <f>IF(CA$4=0,0,IF(COUNTIFS(実績!$W$6:$W$505,CA$3,実績!$AC$6:$AC$505,"&lt;="&amp;$A227,実績!$AD$6:$AD$505,"&gt;"&amp;$A227,実績!$AE$6:$AE$505,"○")&gt;0,1,0))</f>
        <v/>
      </c>
      <c r="CB227">
        <f>IF(CB$4=0,0,IF(COUNTIFS(実績!$W$6:$W$505,CB$3,実績!$AC$6:$AC$505,"&lt;="&amp;$A227,実績!$AD$6:$AD$505,"&gt;"&amp;$A227,実績!$AE$6:$AE$505,"○")&gt;0,1,0))</f>
        <v/>
      </c>
      <c r="CC227">
        <f>IF(CC$4=0,0,IF(COUNTIFS(実績!$W$6:$W$505,CC$3,実績!$AC$6:$AC$505,"&lt;="&amp;$A227,実績!$AD$6:$AD$505,"&gt;"&amp;$A227,実績!$AE$6:$AE$505,"○")&gt;0,1,0))</f>
        <v/>
      </c>
      <c r="CD227">
        <f>IF(CD$4=0,0,IF(COUNTIFS(実績!$W$6:$W$505,CD$3,実績!$AC$6:$AC$505,"&lt;="&amp;$A227,実績!$AD$6:$AD$505,"&gt;"&amp;$A227,実績!$AE$6:$AE$505,"○")&gt;0,1,0))</f>
        <v/>
      </c>
      <c r="CE227">
        <f>IF(CE$4=0,0,IF(COUNTIFS(実績!$W$6:$W$505,CE$3,実績!$AC$6:$AC$505,"&lt;="&amp;$A227,実績!$AD$6:$AD$505,"&gt;"&amp;$A227,実績!$AE$6:$AE$505,"○")&gt;0,1,0))</f>
        <v/>
      </c>
      <c r="CF227">
        <f>IF(CF$4=0,0,IF(COUNTIFS(実績!$W$6:$W$505,CF$3,実績!$AC$6:$AC$505,"&lt;="&amp;$A227,実績!$AD$6:$AD$505,"&gt;"&amp;$A227,実績!$AE$6:$AE$505,"○")&gt;0,1,0))</f>
        <v/>
      </c>
      <c r="CG227">
        <f>IF(CG$4=0,0,IF(COUNTIFS(実績!$W$6:$W$505,CG$3,実績!$AC$6:$AC$505,"&lt;="&amp;$A227,実績!$AD$6:$AD$505,"&gt;"&amp;$A227,実績!$AE$6:$AE$505,"○")&gt;0,1,0))</f>
        <v/>
      </c>
      <c r="CH227">
        <f>IF(CH$4=0,0,IF(COUNTIFS(実績!$W$6:$W$505,CH$3,実績!$AC$6:$AC$505,"&lt;="&amp;$A227,実績!$AD$6:$AD$505,"&gt;"&amp;$A227,実績!$AE$6:$AE$505,"○")&gt;0,1,0))</f>
        <v/>
      </c>
      <c r="CI227">
        <f>IF(CI$4=0,0,IF(COUNTIFS(実績!$W$6:$W$505,CI$3,実績!$AC$6:$AC$505,"&lt;="&amp;$A227,実績!$AD$6:$AD$505,"&gt;"&amp;$A227,実績!$AE$6:$AE$505,"○")&gt;0,1,0))</f>
        <v/>
      </c>
      <c r="CJ227">
        <f>IF(CJ$4=0,0,IF(COUNTIFS(実績!$W$6:$W$505,CJ$3,実績!$AC$6:$AC$505,"&lt;="&amp;$A227,実績!$AD$6:$AD$505,"&gt;"&amp;$A227,実績!$AE$6:$AE$505,"○")&gt;0,1,0))</f>
        <v/>
      </c>
      <c r="CK227">
        <f>IF(CK$4=0,0,IF(COUNTIFS(実績!$W$6:$W$505,CK$3,実績!$AC$6:$AC$505,"&lt;="&amp;$A227,実績!$AD$6:$AD$505,"&gt;"&amp;$A227,実績!$AE$6:$AE$505,"○")&gt;0,1,0))</f>
        <v/>
      </c>
      <c r="CL227">
        <f>IF(CL$4=0,0,IF(COUNTIFS(実績!$W$6:$W$505,CL$3,実績!$AC$6:$AC$505,"&lt;="&amp;$A227,実績!$AD$6:$AD$505,"&gt;"&amp;$A227,実績!$AE$6:$AE$505,"○")&gt;0,1,0))</f>
        <v/>
      </c>
      <c r="CM227">
        <f>IF(CM$4=0,0,IF(COUNTIFS(実績!$W$6:$W$505,CM$3,実績!$AC$6:$AC$505,"&lt;="&amp;$A227,実績!$AD$6:$AD$505,"&gt;"&amp;$A227,実績!$AE$6:$AE$505,"○")&gt;0,1,0))</f>
        <v/>
      </c>
      <c r="CN227">
        <f>IF(CN$4=0,0,IF(COUNTIFS(実績!$W$6:$W$505,CN$3,実績!$AC$6:$AC$505,"&lt;="&amp;$A227,実績!$AD$6:$AD$505,"&gt;"&amp;$A227,実績!$AE$6:$AE$505,"○")&gt;0,1,0))</f>
        <v/>
      </c>
      <c r="CO227">
        <f>IF(CO$4=0,0,IF(COUNTIFS(実績!$W$6:$W$505,CO$3,実績!$AC$6:$AC$505,"&lt;="&amp;$A227,実績!$AD$6:$AD$505,"&gt;"&amp;$A227,実績!$AE$6:$AE$505,"○")&gt;0,1,0))</f>
        <v/>
      </c>
      <c r="CP227">
        <f>IF(CP$4=0,0,IF(COUNTIFS(実績!$W$6:$W$505,CP$3,実績!$AC$6:$AC$505,"&lt;="&amp;$A227,実績!$AD$6:$AD$505,"&gt;"&amp;$A227,実績!$AE$6:$AE$505,"○")&gt;0,1,0))</f>
        <v/>
      </c>
      <c r="CQ227">
        <f>IF(CQ$4=0,0,IF(COUNTIFS(実績!$W$6:$W$505,CQ$3,実績!$AC$6:$AC$505,"&lt;="&amp;$A227,実績!$AD$6:$AD$505,"&gt;"&amp;$A227,実績!$AE$6:$AE$505,"○")&gt;0,1,0))</f>
        <v/>
      </c>
      <c r="CR227">
        <f>IF(CR$4=0,0,IF(COUNTIFS(実績!$W$6:$W$505,CR$3,実績!$AC$6:$AC$505,"&lt;="&amp;$A227,実績!$AD$6:$AD$505,"&gt;"&amp;$A227,実績!$AE$6:$AE$505,"○")&gt;0,1,0))</f>
        <v/>
      </c>
      <c r="CS227">
        <f>IF(CS$4=0,0,IF(COUNTIFS(実績!$W$6:$W$505,CS$3,実績!$AC$6:$AC$505,"&lt;="&amp;$A227,実績!$AD$6:$AD$505,"&gt;"&amp;$A227,実績!$AE$6:$AE$505,"○")&gt;0,1,0))</f>
        <v/>
      </c>
      <c r="CT227">
        <f>IF(CT$4=0,0,IF(COUNTIFS(実績!$W$6:$W$505,CT$3,実績!$AC$6:$AC$505,"&lt;="&amp;$A227,実績!$AD$6:$AD$505,"&gt;"&amp;$A227,実績!$AE$6:$AE$505,"○")&gt;0,1,0))</f>
        <v/>
      </c>
      <c r="CU227">
        <f>IF(CU$4=0,0,IF(COUNTIFS(実績!$W$6:$W$505,CU$3,実績!$AC$6:$AC$505,"&lt;="&amp;$A227,実績!$AD$6:$AD$505,"&gt;"&amp;$A227,実績!$AE$6:$AE$505,"○")&gt;0,1,0))</f>
        <v/>
      </c>
      <c r="CV227">
        <f>IF(CV$4=0,0,IF(COUNTIFS(実績!$W$6:$W$505,CV$3,実績!$AC$6:$AC$505,"&lt;="&amp;$A227,実績!$AD$6:$AD$505,"&gt;"&amp;$A227,実績!$AE$6:$AE$505,"○")&gt;0,1,0))</f>
        <v/>
      </c>
      <c r="CW227">
        <f>IF(CW$4=0,0,IF(COUNTIFS(実績!$W$6:$W$505,CW$3,実績!$AC$6:$AC$505,"&lt;="&amp;$A227,実績!$AD$6:$AD$505,"&gt;"&amp;$A227,実績!$AE$6:$AE$505,"○")&gt;0,1,0))</f>
        <v/>
      </c>
      <c r="CX227">
        <f>IF(CX$4=0,0,IF(COUNTIFS(実績!$W$6:$W$505,CX$3,実績!$AC$6:$AC$505,"&lt;="&amp;$A227,実績!$AD$6:$AD$505,"&gt;"&amp;$A227,実績!$AE$6:$AE$505,"○")&gt;0,1,0))</f>
        <v/>
      </c>
      <c r="CY227">
        <f>IF(CY$4=0,0,IF(COUNTIFS(実績!$W$6:$W$505,CY$3,実績!$AC$6:$AC$505,"&lt;="&amp;$A227,実績!$AD$6:$AD$505,"&gt;"&amp;$A227,実績!$AE$6:$AE$505,"○")&gt;0,1,0))</f>
        <v/>
      </c>
      <c r="CZ227">
        <f>IF(CZ$4=0,0,IF(COUNTIFS(実績!$W$6:$W$505,CZ$3,実績!$AC$6:$AC$505,"&lt;="&amp;$A227,実績!$AD$6:$AD$505,"&gt;"&amp;$A227,実績!$AE$6:$AE$505,"○")&gt;0,1,0))</f>
        <v/>
      </c>
      <c r="DA227">
        <f>IF(DA$4=0,0,IF(COUNTIFS(実績!$W$6:$W$505,DA$3,実績!$AC$6:$AC$505,"&lt;="&amp;$A227,実績!$AD$6:$AD$505,"&gt;"&amp;$A227,実績!$AE$6:$AE$505,"○")&gt;0,1,0))</f>
        <v/>
      </c>
      <c r="DB227">
        <f>IF(DB$4=0,0,IF(COUNTIFS(実績!$W$6:$W$505,DB$3,実績!$AC$6:$AC$505,"&lt;="&amp;$A227,実績!$AD$6:$AD$505,"&gt;"&amp;$A227,実績!$AE$6:$AE$505,"○")&gt;0,1,0))</f>
        <v/>
      </c>
      <c r="DC227">
        <f>IF(DC$4=0,0,IF(COUNTIFS(実績!$W$6:$W$505,DC$3,実績!$AC$6:$AC$505,"&lt;="&amp;$A227,実績!$AD$6:$AD$505,"&gt;"&amp;$A227,実績!$AE$6:$AE$505,"○")&gt;0,1,0))</f>
        <v/>
      </c>
      <c r="DD227">
        <f>IF(DD$4=0,0,IF(COUNTIFS(実績!$W$6:$W$505,DD$3,実績!$AC$6:$AC$505,"&lt;="&amp;$A227,実績!$AD$6:$AD$505,"&gt;"&amp;$A227,実績!$AE$6:$AE$505,"○")&gt;0,1,0))</f>
        <v/>
      </c>
      <c r="DE227">
        <f>IF(DE$4=0,0,IF(COUNTIFS(実績!$W$6:$W$505,DE$3,実績!$AC$6:$AC$505,"&lt;="&amp;$A227,実績!$AD$6:$AD$505,"&gt;"&amp;$A227,実績!$AE$6:$AE$505,"○")&gt;0,1,0))</f>
        <v/>
      </c>
      <c r="DF227">
        <f>IF(DF$4=0,0,IF(COUNTIFS(実績!$W$6:$W$505,DF$3,実績!$AC$6:$AC$505,"&lt;="&amp;$A227,実績!$AD$6:$AD$505,"&gt;"&amp;$A227,実績!$AE$6:$AE$505,"○")&gt;0,1,0))</f>
        <v/>
      </c>
      <c r="DG227">
        <f>IF(DG$4=0,0,IF(COUNTIFS(実績!$W$6:$W$505,DG$3,実績!$AC$6:$AC$505,"&lt;="&amp;$A227,実績!$AD$6:$AD$505,"&gt;"&amp;$A227,実績!$AE$6:$AE$505,"○")&gt;0,1,0))</f>
        <v/>
      </c>
      <c r="DH227">
        <f>IF(DH$4=0,0,IF(COUNTIFS(実績!$W$6:$W$505,DH$3,実績!$AC$6:$AC$505,"&lt;="&amp;$A227,実績!$AD$6:$AD$505,"&gt;"&amp;$A227,実績!$AE$6:$AE$505,"○")&gt;0,1,0))</f>
        <v/>
      </c>
      <c r="DI227">
        <f>IF(DI$4=0,0,IF(COUNTIFS(実績!$W$6:$W$505,DI$3,実績!$AC$6:$AC$505,"&lt;="&amp;$A227,実績!$AD$6:$AD$505,"&gt;"&amp;$A227,実績!$AE$6:$AE$505,"○")&gt;0,1,0))</f>
        <v/>
      </c>
      <c r="DJ227">
        <f>IF(DJ$4=0,0,IF(COUNTIFS(実績!$W$6:$W$505,DJ$3,実績!$AC$6:$AC$505,"&lt;="&amp;$A227,実績!$AD$6:$AD$505,"&gt;"&amp;$A227,実績!$AE$6:$AE$505,"○")&gt;0,1,0))</f>
        <v/>
      </c>
      <c r="DK227">
        <f>IF(DK$4=0,0,IF(COUNTIFS(実績!$W$6:$W$505,DK$3,実績!$AC$6:$AC$505,"&lt;="&amp;$A227,実績!$AD$6:$AD$505,"&gt;"&amp;$A227,実績!$AE$6:$AE$505,"○")&gt;0,1,0))</f>
        <v/>
      </c>
      <c r="DL227">
        <f>IF(DL$4=0,0,IF(COUNTIFS(実績!$W$6:$W$505,DL$3,実績!$AC$6:$AC$505,"&lt;="&amp;$A227,実績!$AD$6:$AD$505,"&gt;"&amp;$A227,実績!$AE$6:$AE$505,"○")&gt;0,1,0))</f>
        <v/>
      </c>
      <c r="DM227">
        <f>IF(DM$4=0,0,IF(COUNTIFS(実績!$W$6:$W$505,DM$3,実績!$AC$6:$AC$505,"&lt;="&amp;$A227,実績!$AD$6:$AD$505,"&gt;"&amp;$A227,実績!$AE$6:$AE$505,"○")&gt;0,1,0))</f>
        <v/>
      </c>
      <c r="DN227">
        <f>IF(DN$4=0,0,IF(COUNTIFS(実績!$W$6:$W$505,DN$3,実績!$AC$6:$AC$505,"&lt;="&amp;$A227,実績!$AD$6:$AD$505,"&gt;"&amp;$A227,実績!$AE$6:$AE$505,"○")&gt;0,1,0))</f>
        <v/>
      </c>
      <c r="DO227">
        <f>IF(DO$4=0,0,IF(COUNTIFS(実績!$W$6:$W$505,DO$3,実績!$AC$6:$AC$505,"&lt;="&amp;$A227,実績!$AD$6:$AD$505,"&gt;"&amp;$A227,実績!$AE$6:$AE$505,"○")&gt;0,1,0))</f>
        <v/>
      </c>
      <c r="DP227">
        <f>IF(DP$4=0,0,IF(COUNTIFS(実績!$W$6:$W$505,DP$3,実績!$AC$6:$AC$505,"&lt;="&amp;$A227,実績!$AD$6:$AD$505,"&gt;"&amp;$A227,実績!$AE$6:$AE$505,"○")&gt;0,1,0))</f>
        <v/>
      </c>
      <c r="DQ227">
        <f>IF(DQ$4=0,0,IF(COUNTIFS(実績!$W$6:$W$505,DQ$3,実績!$AC$6:$AC$505,"&lt;="&amp;$A227,実績!$AD$6:$AD$505,"&gt;"&amp;$A227,実績!$AE$6:$AE$505,"○")&gt;0,1,0))</f>
        <v/>
      </c>
      <c r="DR227">
        <f>IF(DR$4=0,0,IF(COUNTIFS(実績!$W$6:$W$505,DR$3,実績!$AC$6:$AC$505,"&lt;="&amp;$A227,実績!$AD$6:$AD$505,"&gt;"&amp;$A227,実績!$AE$6:$AE$505,"○")&gt;0,1,0))</f>
        <v/>
      </c>
      <c r="DS227">
        <f>SUM(C227:DR227)</f>
        <v/>
      </c>
      <c r="DT227">
        <f>SUMPRODUCT((実績!$C$6:$C$505="○")*ISNUMBER(実績!$AF$6:$AF$505)*(実績!$AF$6:$AF$505&lt;=$A227)*(実績!$AG$6:$AG$505&gt;$A227))</f>
        <v/>
      </c>
      <c r="DU227">
        <f>SUMIF($C$2:$DR$2,"製鉄曳船",C227:DR227)</f>
        <v/>
      </c>
      <c r="DV227">
        <f>SUMIF($C$2:$DR$2,"西日本海運",C227:DR227)</f>
        <v/>
      </c>
    </row>
    <row r="228">
      <c r="A228" t="n">
        <v>1110</v>
      </c>
      <c r="B228" s="29">
        <f>A228/1440</f>
        <v/>
      </c>
      <c r="C228">
        <f>IF(C$4=0,0,IF(COUNTIFS(実績!$W$6:$W$505,C$3,実績!$AC$6:$AC$505,"&lt;="&amp;$A228,実績!$AD$6:$AD$505,"&gt;"&amp;$A228,実績!$AE$6:$AE$505,"○")&gt;0,1,0))</f>
        <v/>
      </c>
      <c r="D228">
        <f>IF(D$4=0,0,IF(COUNTIFS(実績!$W$6:$W$505,D$3,実績!$AC$6:$AC$505,"&lt;="&amp;$A228,実績!$AD$6:$AD$505,"&gt;"&amp;$A228,実績!$AE$6:$AE$505,"○")&gt;0,1,0))</f>
        <v/>
      </c>
      <c r="E228">
        <f>IF(E$4=0,0,IF(COUNTIFS(実績!$W$6:$W$505,E$3,実績!$AC$6:$AC$505,"&lt;="&amp;$A228,実績!$AD$6:$AD$505,"&gt;"&amp;$A228,実績!$AE$6:$AE$505,"○")&gt;0,1,0))</f>
        <v/>
      </c>
      <c r="F228">
        <f>IF(F$4=0,0,IF(COUNTIFS(実績!$W$6:$W$505,F$3,実績!$AC$6:$AC$505,"&lt;="&amp;$A228,実績!$AD$6:$AD$505,"&gt;"&amp;$A228,実績!$AE$6:$AE$505,"○")&gt;0,1,0))</f>
        <v/>
      </c>
      <c r="G228">
        <f>IF(G$4=0,0,IF(COUNTIFS(実績!$W$6:$W$505,G$3,実績!$AC$6:$AC$505,"&lt;="&amp;$A228,実績!$AD$6:$AD$505,"&gt;"&amp;$A228,実績!$AE$6:$AE$505,"○")&gt;0,1,0))</f>
        <v/>
      </c>
      <c r="H228">
        <f>IF(H$4=0,0,IF(COUNTIFS(実績!$W$6:$W$505,H$3,実績!$AC$6:$AC$505,"&lt;="&amp;$A228,実績!$AD$6:$AD$505,"&gt;"&amp;$A228,実績!$AE$6:$AE$505,"○")&gt;0,1,0))</f>
        <v/>
      </c>
      <c r="I228">
        <f>IF(I$4=0,0,IF(COUNTIFS(実績!$W$6:$W$505,I$3,実績!$AC$6:$AC$505,"&lt;="&amp;$A228,実績!$AD$6:$AD$505,"&gt;"&amp;$A228,実績!$AE$6:$AE$505,"○")&gt;0,1,0))</f>
        <v/>
      </c>
      <c r="J228">
        <f>IF(J$4=0,0,IF(COUNTIFS(実績!$W$6:$W$505,J$3,実績!$AC$6:$AC$505,"&lt;="&amp;$A228,実績!$AD$6:$AD$505,"&gt;"&amp;$A228,実績!$AE$6:$AE$505,"○")&gt;0,1,0))</f>
        <v/>
      </c>
      <c r="K228">
        <f>IF(K$4=0,0,IF(COUNTIFS(実績!$W$6:$W$505,K$3,実績!$AC$6:$AC$505,"&lt;="&amp;$A228,実績!$AD$6:$AD$505,"&gt;"&amp;$A228,実績!$AE$6:$AE$505,"○")&gt;0,1,0))</f>
        <v/>
      </c>
      <c r="L228">
        <f>IF(L$4=0,0,IF(COUNTIFS(実績!$W$6:$W$505,L$3,実績!$AC$6:$AC$505,"&lt;="&amp;$A228,実績!$AD$6:$AD$505,"&gt;"&amp;$A228,実績!$AE$6:$AE$505,"○")&gt;0,1,0))</f>
        <v/>
      </c>
      <c r="M228">
        <f>IF(M$4=0,0,IF(COUNTIFS(実績!$W$6:$W$505,M$3,実績!$AC$6:$AC$505,"&lt;="&amp;$A228,実績!$AD$6:$AD$505,"&gt;"&amp;$A228,実績!$AE$6:$AE$505,"○")&gt;0,1,0))</f>
        <v/>
      </c>
      <c r="N228">
        <f>IF(N$4=0,0,IF(COUNTIFS(実績!$W$6:$W$505,N$3,実績!$AC$6:$AC$505,"&lt;="&amp;$A228,実績!$AD$6:$AD$505,"&gt;"&amp;$A228,実績!$AE$6:$AE$505,"○")&gt;0,1,0))</f>
        <v/>
      </c>
      <c r="O228">
        <f>IF(O$4=0,0,IF(COUNTIFS(実績!$W$6:$W$505,O$3,実績!$AC$6:$AC$505,"&lt;="&amp;$A228,実績!$AD$6:$AD$505,"&gt;"&amp;$A228,実績!$AE$6:$AE$505,"○")&gt;0,1,0))</f>
        <v/>
      </c>
      <c r="P228">
        <f>IF(P$4=0,0,IF(COUNTIFS(実績!$W$6:$W$505,P$3,実績!$AC$6:$AC$505,"&lt;="&amp;$A228,実績!$AD$6:$AD$505,"&gt;"&amp;$A228,実績!$AE$6:$AE$505,"○")&gt;0,1,0))</f>
        <v/>
      </c>
      <c r="Q228">
        <f>IF(Q$4=0,0,IF(COUNTIFS(実績!$W$6:$W$505,Q$3,実績!$AC$6:$AC$505,"&lt;="&amp;$A228,実績!$AD$6:$AD$505,"&gt;"&amp;$A228,実績!$AE$6:$AE$505,"○")&gt;0,1,0))</f>
        <v/>
      </c>
      <c r="R228">
        <f>IF(R$4=0,0,IF(COUNTIFS(実績!$W$6:$W$505,R$3,実績!$AC$6:$AC$505,"&lt;="&amp;$A228,実績!$AD$6:$AD$505,"&gt;"&amp;$A228,実績!$AE$6:$AE$505,"○")&gt;0,1,0))</f>
        <v/>
      </c>
      <c r="S228">
        <f>IF(S$4=0,0,IF(COUNTIFS(実績!$W$6:$W$505,S$3,実績!$AC$6:$AC$505,"&lt;="&amp;$A228,実績!$AD$6:$AD$505,"&gt;"&amp;$A228,実績!$AE$6:$AE$505,"○")&gt;0,1,0))</f>
        <v/>
      </c>
      <c r="T228">
        <f>IF(T$4=0,0,IF(COUNTIFS(実績!$W$6:$W$505,T$3,実績!$AC$6:$AC$505,"&lt;="&amp;$A228,実績!$AD$6:$AD$505,"&gt;"&amp;$A228,実績!$AE$6:$AE$505,"○")&gt;0,1,0))</f>
        <v/>
      </c>
      <c r="U228">
        <f>IF(U$4=0,0,IF(COUNTIFS(実績!$W$6:$W$505,U$3,実績!$AC$6:$AC$505,"&lt;="&amp;$A228,実績!$AD$6:$AD$505,"&gt;"&amp;$A228,実績!$AE$6:$AE$505,"○")&gt;0,1,0))</f>
        <v/>
      </c>
      <c r="V228">
        <f>IF(V$4=0,0,IF(COUNTIFS(実績!$W$6:$W$505,V$3,実績!$AC$6:$AC$505,"&lt;="&amp;$A228,実績!$AD$6:$AD$505,"&gt;"&amp;$A228,実績!$AE$6:$AE$505,"○")&gt;0,1,0))</f>
        <v/>
      </c>
      <c r="W228">
        <f>IF(W$4=0,0,IF(COUNTIFS(実績!$W$6:$W$505,W$3,実績!$AC$6:$AC$505,"&lt;="&amp;$A228,実績!$AD$6:$AD$505,"&gt;"&amp;$A228,実績!$AE$6:$AE$505,"○")&gt;0,1,0))</f>
        <v/>
      </c>
      <c r="X228">
        <f>IF(X$4=0,0,IF(COUNTIFS(実績!$W$6:$W$505,X$3,実績!$AC$6:$AC$505,"&lt;="&amp;$A228,実績!$AD$6:$AD$505,"&gt;"&amp;$A228,実績!$AE$6:$AE$505,"○")&gt;0,1,0))</f>
        <v/>
      </c>
      <c r="Y228">
        <f>IF(Y$4=0,0,IF(COUNTIFS(実績!$W$6:$W$505,Y$3,実績!$AC$6:$AC$505,"&lt;="&amp;$A228,実績!$AD$6:$AD$505,"&gt;"&amp;$A228,実績!$AE$6:$AE$505,"○")&gt;0,1,0))</f>
        <v/>
      </c>
      <c r="Z228">
        <f>IF(Z$4=0,0,IF(COUNTIFS(実績!$W$6:$W$505,Z$3,実績!$AC$6:$AC$505,"&lt;="&amp;$A228,実績!$AD$6:$AD$505,"&gt;"&amp;$A228,実績!$AE$6:$AE$505,"○")&gt;0,1,0))</f>
        <v/>
      </c>
      <c r="AA228">
        <f>IF(AA$4=0,0,IF(COUNTIFS(実績!$W$6:$W$505,AA$3,実績!$AC$6:$AC$505,"&lt;="&amp;$A228,実績!$AD$6:$AD$505,"&gt;"&amp;$A228,実績!$AE$6:$AE$505,"○")&gt;0,1,0))</f>
        <v/>
      </c>
      <c r="AB228">
        <f>IF(AB$4=0,0,IF(COUNTIFS(実績!$W$6:$W$505,AB$3,実績!$AC$6:$AC$505,"&lt;="&amp;$A228,実績!$AD$6:$AD$505,"&gt;"&amp;$A228,実績!$AE$6:$AE$505,"○")&gt;0,1,0))</f>
        <v/>
      </c>
      <c r="AC228">
        <f>IF(AC$4=0,0,IF(COUNTIFS(実績!$W$6:$W$505,AC$3,実績!$AC$6:$AC$505,"&lt;="&amp;$A228,実績!$AD$6:$AD$505,"&gt;"&amp;$A228,実績!$AE$6:$AE$505,"○")&gt;0,1,0))</f>
        <v/>
      </c>
      <c r="AD228">
        <f>IF(AD$4=0,0,IF(COUNTIFS(実績!$W$6:$W$505,AD$3,実績!$AC$6:$AC$505,"&lt;="&amp;$A228,実績!$AD$6:$AD$505,"&gt;"&amp;$A228,実績!$AE$6:$AE$505,"○")&gt;0,1,0))</f>
        <v/>
      </c>
      <c r="AE228">
        <f>IF(AE$4=0,0,IF(COUNTIFS(実績!$W$6:$W$505,AE$3,実績!$AC$6:$AC$505,"&lt;="&amp;$A228,実績!$AD$6:$AD$505,"&gt;"&amp;$A228,実績!$AE$6:$AE$505,"○")&gt;0,1,0))</f>
        <v/>
      </c>
      <c r="AF228">
        <f>IF(AF$4=0,0,IF(COUNTIFS(実績!$W$6:$W$505,AF$3,実績!$AC$6:$AC$505,"&lt;="&amp;$A228,実績!$AD$6:$AD$505,"&gt;"&amp;$A228,実績!$AE$6:$AE$505,"○")&gt;0,1,0))</f>
        <v/>
      </c>
      <c r="AG228">
        <f>IF(AG$4=0,0,IF(COUNTIFS(実績!$W$6:$W$505,AG$3,実績!$AC$6:$AC$505,"&lt;="&amp;$A228,実績!$AD$6:$AD$505,"&gt;"&amp;$A228,実績!$AE$6:$AE$505,"○")&gt;0,1,0))</f>
        <v/>
      </c>
      <c r="AH228">
        <f>IF(AH$4=0,0,IF(COUNTIFS(実績!$W$6:$W$505,AH$3,実績!$AC$6:$AC$505,"&lt;="&amp;$A228,実績!$AD$6:$AD$505,"&gt;"&amp;$A228,実績!$AE$6:$AE$505,"○")&gt;0,1,0))</f>
        <v/>
      </c>
      <c r="AI228">
        <f>IF(AI$4=0,0,IF(COUNTIFS(実績!$W$6:$W$505,AI$3,実績!$AC$6:$AC$505,"&lt;="&amp;$A228,実績!$AD$6:$AD$505,"&gt;"&amp;$A228,実績!$AE$6:$AE$505,"○")&gt;0,1,0))</f>
        <v/>
      </c>
      <c r="AJ228">
        <f>IF(AJ$4=0,0,IF(COUNTIFS(実績!$W$6:$W$505,AJ$3,実績!$AC$6:$AC$505,"&lt;="&amp;$A228,実績!$AD$6:$AD$505,"&gt;"&amp;$A228,実績!$AE$6:$AE$505,"○")&gt;0,1,0))</f>
        <v/>
      </c>
      <c r="AK228">
        <f>IF(AK$4=0,0,IF(COUNTIFS(実績!$W$6:$W$505,AK$3,実績!$AC$6:$AC$505,"&lt;="&amp;$A228,実績!$AD$6:$AD$505,"&gt;"&amp;$A228,実績!$AE$6:$AE$505,"○")&gt;0,1,0))</f>
        <v/>
      </c>
      <c r="AL228">
        <f>IF(AL$4=0,0,IF(COUNTIFS(実績!$W$6:$W$505,AL$3,実績!$AC$6:$AC$505,"&lt;="&amp;$A228,実績!$AD$6:$AD$505,"&gt;"&amp;$A228,実績!$AE$6:$AE$505,"○")&gt;0,1,0))</f>
        <v/>
      </c>
      <c r="AM228">
        <f>IF(AM$4=0,0,IF(COUNTIFS(実績!$W$6:$W$505,AM$3,実績!$AC$6:$AC$505,"&lt;="&amp;$A228,実績!$AD$6:$AD$505,"&gt;"&amp;$A228,実績!$AE$6:$AE$505,"○")&gt;0,1,0))</f>
        <v/>
      </c>
      <c r="AN228">
        <f>IF(AN$4=0,0,IF(COUNTIFS(実績!$W$6:$W$505,AN$3,実績!$AC$6:$AC$505,"&lt;="&amp;$A228,実績!$AD$6:$AD$505,"&gt;"&amp;$A228,実績!$AE$6:$AE$505,"○")&gt;0,1,0))</f>
        <v/>
      </c>
      <c r="AO228">
        <f>IF(AO$4=0,0,IF(COUNTIFS(実績!$W$6:$W$505,AO$3,実績!$AC$6:$AC$505,"&lt;="&amp;$A228,実績!$AD$6:$AD$505,"&gt;"&amp;$A228,実績!$AE$6:$AE$505,"○")&gt;0,1,0))</f>
        <v/>
      </c>
      <c r="AP228">
        <f>IF(AP$4=0,0,IF(COUNTIFS(実績!$W$6:$W$505,AP$3,実績!$AC$6:$AC$505,"&lt;="&amp;$A228,実績!$AD$6:$AD$505,"&gt;"&amp;$A228,実績!$AE$6:$AE$505,"○")&gt;0,1,0))</f>
        <v/>
      </c>
      <c r="AQ228">
        <f>IF(AQ$4=0,0,IF(COUNTIFS(実績!$W$6:$W$505,AQ$3,実績!$AC$6:$AC$505,"&lt;="&amp;$A228,実績!$AD$6:$AD$505,"&gt;"&amp;$A228,実績!$AE$6:$AE$505,"○")&gt;0,1,0))</f>
        <v/>
      </c>
      <c r="AR228">
        <f>IF(AR$4=0,0,IF(COUNTIFS(実績!$W$6:$W$505,AR$3,実績!$AC$6:$AC$505,"&lt;="&amp;$A228,実績!$AD$6:$AD$505,"&gt;"&amp;$A228,実績!$AE$6:$AE$505,"○")&gt;0,1,0))</f>
        <v/>
      </c>
      <c r="AS228">
        <f>IF(AS$4=0,0,IF(COUNTIFS(実績!$W$6:$W$505,AS$3,実績!$AC$6:$AC$505,"&lt;="&amp;$A228,実績!$AD$6:$AD$505,"&gt;"&amp;$A228,実績!$AE$6:$AE$505,"○")&gt;0,1,0))</f>
        <v/>
      </c>
      <c r="AT228">
        <f>IF(AT$4=0,0,IF(COUNTIFS(実績!$W$6:$W$505,AT$3,実績!$AC$6:$AC$505,"&lt;="&amp;$A228,実績!$AD$6:$AD$505,"&gt;"&amp;$A228,実績!$AE$6:$AE$505,"○")&gt;0,1,0))</f>
        <v/>
      </c>
      <c r="AU228">
        <f>IF(AU$4=0,0,IF(COUNTIFS(実績!$W$6:$W$505,AU$3,実績!$AC$6:$AC$505,"&lt;="&amp;$A228,実績!$AD$6:$AD$505,"&gt;"&amp;$A228,実績!$AE$6:$AE$505,"○")&gt;0,1,0))</f>
        <v/>
      </c>
      <c r="AV228">
        <f>IF(AV$4=0,0,IF(COUNTIFS(実績!$W$6:$W$505,AV$3,実績!$AC$6:$AC$505,"&lt;="&amp;$A228,実績!$AD$6:$AD$505,"&gt;"&amp;$A228,実績!$AE$6:$AE$505,"○")&gt;0,1,0))</f>
        <v/>
      </c>
      <c r="AW228">
        <f>IF(AW$4=0,0,IF(COUNTIFS(実績!$W$6:$W$505,AW$3,実績!$AC$6:$AC$505,"&lt;="&amp;$A228,実績!$AD$6:$AD$505,"&gt;"&amp;$A228,実績!$AE$6:$AE$505,"○")&gt;0,1,0))</f>
        <v/>
      </c>
      <c r="AX228">
        <f>IF(AX$4=0,0,IF(COUNTIFS(実績!$W$6:$W$505,AX$3,実績!$AC$6:$AC$505,"&lt;="&amp;$A228,実績!$AD$6:$AD$505,"&gt;"&amp;$A228,実績!$AE$6:$AE$505,"○")&gt;0,1,0))</f>
        <v/>
      </c>
      <c r="AY228">
        <f>IF(AY$4=0,0,IF(COUNTIFS(実績!$W$6:$W$505,AY$3,実績!$AC$6:$AC$505,"&lt;="&amp;$A228,実績!$AD$6:$AD$505,"&gt;"&amp;$A228,実績!$AE$6:$AE$505,"○")&gt;0,1,0))</f>
        <v/>
      </c>
      <c r="AZ228">
        <f>IF(AZ$4=0,0,IF(COUNTIFS(実績!$W$6:$W$505,AZ$3,実績!$AC$6:$AC$505,"&lt;="&amp;$A228,実績!$AD$6:$AD$505,"&gt;"&amp;$A228,実績!$AE$6:$AE$505,"○")&gt;0,1,0))</f>
        <v/>
      </c>
      <c r="BA228">
        <f>IF(BA$4=0,0,IF(COUNTIFS(実績!$W$6:$W$505,BA$3,実績!$AC$6:$AC$505,"&lt;="&amp;$A228,実績!$AD$6:$AD$505,"&gt;"&amp;$A228,実績!$AE$6:$AE$505,"○")&gt;0,1,0))</f>
        <v/>
      </c>
      <c r="BB228">
        <f>IF(BB$4=0,0,IF(COUNTIFS(実績!$W$6:$W$505,BB$3,実績!$AC$6:$AC$505,"&lt;="&amp;$A228,実績!$AD$6:$AD$505,"&gt;"&amp;$A228,実績!$AE$6:$AE$505,"○")&gt;0,1,0))</f>
        <v/>
      </c>
      <c r="BC228">
        <f>IF(BC$4=0,0,IF(COUNTIFS(実績!$W$6:$W$505,BC$3,実績!$AC$6:$AC$505,"&lt;="&amp;$A228,実績!$AD$6:$AD$505,"&gt;"&amp;$A228,実績!$AE$6:$AE$505,"○")&gt;0,1,0))</f>
        <v/>
      </c>
      <c r="BD228">
        <f>IF(BD$4=0,0,IF(COUNTIFS(実績!$W$6:$W$505,BD$3,実績!$AC$6:$AC$505,"&lt;="&amp;$A228,実績!$AD$6:$AD$505,"&gt;"&amp;$A228,実績!$AE$6:$AE$505,"○")&gt;0,1,0))</f>
        <v/>
      </c>
      <c r="BE228">
        <f>IF(BE$4=0,0,IF(COUNTIFS(実績!$W$6:$W$505,BE$3,実績!$AC$6:$AC$505,"&lt;="&amp;$A228,実績!$AD$6:$AD$505,"&gt;"&amp;$A228,実績!$AE$6:$AE$505,"○")&gt;0,1,0))</f>
        <v/>
      </c>
      <c r="BF228">
        <f>IF(BF$4=0,0,IF(COUNTIFS(実績!$W$6:$W$505,BF$3,実績!$AC$6:$AC$505,"&lt;="&amp;$A228,実績!$AD$6:$AD$505,"&gt;"&amp;$A228,実績!$AE$6:$AE$505,"○")&gt;0,1,0))</f>
        <v/>
      </c>
      <c r="BG228">
        <f>IF(BG$4=0,0,IF(COUNTIFS(実績!$W$6:$W$505,BG$3,実績!$AC$6:$AC$505,"&lt;="&amp;$A228,実績!$AD$6:$AD$505,"&gt;"&amp;$A228,実績!$AE$6:$AE$505,"○")&gt;0,1,0))</f>
        <v/>
      </c>
      <c r="BH228">
        <f>IF(BH$4=0,0,IF(COUNTIFS(実績!$W$6:$W$505,BH$3,実績!$AC$6:$AC$505,"&lt;="&amp;$A228,実績!$AD$6:$AD$505,"&gt;"&amp;$A228,実績!$AE$6:$AE$505,"○")&gt;0,1,0))</f>
        <v/>
      </c>
      <c r="BI228">
        <f>IF(BI$4=0,0,IF(COUNTIFS(実績!$W$6:$W$505,BI$3,実績!$AC$6:$AC$505,"&lt;="&amp;$A228,実績!$AD$6:$AD$505,"&gt;"&amp;$A228,実績!$AE$6:$AE$505,"○")&gt;0,1,0))</f>
        <v/>
      </c>
      <c r="BJ228">
        <f>IF(BJ$4=0,0,IF(COUNTIFS(実績!$W$6:$W$505,BJ$3,実績!$AC$6:$AC$505,"&lt;="&amp;$A228,実績!$AD$6:$AD$505,"&gt;"&amp;$A228,実績!$AE$6:$AE$505,"○")&gt;0,1,0))</f>
        <v/>
      </c>
      <c r="BK228">
        <f>IF(BK$4=0,0,IF(COUNTIFS(実績!$W$6:$W$505,BK$3,実績!$AC$6:$AC$505,"&lt;="&amp;$A228,実績!$AD$6:$AD$505,"&gt;"&amp;$A228,実績!$AE$6:$AE$505,"○")&gt;0,1,0))</f>
        <v/>
      </c>
      <c r="BL228">
        <f>IF(BL$4=0,0,IF(COUNTIFS(実績!$W$6:$W$505,BL$3,実績!$AC$6:$AC$505,"&lt;="&amp;$A228,実績!$AD$6:$AD$505,"&gt;"&amp;$A228,実績!$AE$6:$AE$505,"○")&gt;0,1,0))</f>
        <v/>
      </c>
      <c r="BM228">
        <f>IF(BM$4=0,0,IF(COUNTIFS(実績!$W$6:$W$505,BM$3,実績!$AC$6:$AC$505,"&lt;="&amp;$A228,実績!$AD$6:$AD$505,"&gt;"&amp;$A228,実績!$AE$6:$AE$505,"○")&gt;0,1,0))</f>
        <v/>
      </c>
      <c r="BN228">
        <f>IF(BN$4=0,0,IF(COUNTIFS(実績!$W$6:$W$505,BN$3,実績!$AC$6:$AC$505,"&lt;="&amp;$A228,実績!$AD$6:$AD$505,"&gt;"&amp;$A228,実績!$AE$6:$AE$505,"○")&gt;0,1,0))</f>
        <v/>
      </c>
      <c r="BO228">
        <f>IF(BO$4=0,0,IF(COUNTIFS(実績!$W$6:$W$505,BO$3,実績!$AC$6:$AC$505,"&lt;="&amp;$A228,実績!$AD$6:$AD$505,"&gt;"&amp;$A228,実績!$AE$6:$AE$505,"○")&gt;0,1,0))</f>
        <v/>
      </c>
      <c r="BP228">
        <f>IF(BP$4=0,0,IF(COUNTIFS(実績!$W$6:$W$505,BP$3,実績!$AC$6:$AC$505,"&lt;="&amp;$A228,実績!$AD$6:$AD$505,"&gt;"&amp;$A228,実績!$AE$6:$AE$505,"○")&gt;0,1,0))</f>
        <v/>
      </c>
      <c r="BQ228">
        <f>IF(BQ$4=0,0,IF(COUNTIFS(実績!$W$6:$W$505,BQ$3,実績!$AC$6:$AC$505,"&lt;="&amp;$A228,実績!$AD$6:$AD$505,"&gt;"&amp;$A228,実績!$AE$6:$AE$505,"○")&gt;0,1,0))</f>
        <v/>
      </c>
      <c r="BR228">
        <f>IF(BR$4=0,0,IF(COUNTIFS(実績!$W$6:$W$505,BR$3,実績!$AC$6:$AC$505,"&lt;="&amp;$A228,実績!$AD$6:$AD$505,"&gt;"&amp;$A228,実績!$AE$6:$AE$505,"○")&gt;0,1,0))</f>
        <v/>
      </c>
      <c r="BS228">
        <f>IF(BS$4=0,0,IF(COUNTIFS(実績!$W$6:$W$505,BS$3,実績!$AC$6:$AC$505,"&lt;="&amp;$A228,実績!$AD$6:$AD$505,"&gt;"&amp;$A228,実績!$AE$6:$AE$505,"○")&gt;0,1,0))</f>
        <v/>
      </c>
      <c r="BT228">
        <f>IF(BT$4=0,0,IF(COUNTIFS(実績!$W$6:$W$505,BT$3,実績!$AC$6:$AC$505,"&lt;="&amp;$A228,実績!$AD$6:$AD$505,"&gt;"&amp;$A228,実績!$AE$6:$AE$505,"○")&gt;0,1,0))</f>
        <v/>
      </c>
      <c r="BU228">
        <f>IF(BU$4=0,0,IF(COUNTIFS(実績!$W$6:$W$505,BU$3,実績!$AC$6:$AC$505,"&lt;="&amp;$A228,実績!$AD$6:$AD$505,"&gt;"&amp;$A228,実績!$AE$6:$AE$505,"○")&gt;0,1,0))</f>
        <v/>
      </c>
      <c r="BV228">
        <f>IF(BV$4=0,0,IF(COUNTIFS(実績!$W$6:$W$505,BV$3,実績!$AC$6:$AC$505,"&lt;="&amp;$A228,実績!$AD$6:$AD$505,"&gt;"&amp;$A228,実績!$AE$6:$AE$505,"○")&gt;0,1,0))</f>
        <v/>
      </c>
      <c r="BW228">
        <f>IF(BW$4=0,0,IF(COUNTIFS(実績!$W$6:$W$505,BW$3,実績!$AC$6:$AC$505,"&lt;="&amp;$A228,実績!$AD$6:$AD$505,"&gt;"&amp;$A228,実績!$AE$6:$AE$505,"○")&gt;0,1,0))</f>
        <v/>
      </c>
      <c r="BX228">
        <f>IF(BX$4=0,0,IF(COUNTIFS(実績!$W$6:$W$505,BX$3,実績!$AC$6:$AC$505,"&lt;="&amp;$A228,実績!$AD$6:$AD$505,"&gt;"&amp;$A228,実績!$AE$6:$AE$505,"○")&gt;0,1,0))</f>
        <v/>
      </c>
      <c r="BY228">
        <f>IF(BY$4=0,0,IF(COUNTIFS(実績!$W$6:$W$505,BY$3,実績!$AC$6:$AC$505,"&lt;="&amp;$A228,実績!$AD$6:$AD$505,"&gt;"&amp;$A228,実績!$AE$6:$AE$505,"○")&gt;0,1,0))</f>
        <v/>
      </c>
      <c r="BZ228">
        <f>IF(BZ$4=0,0,IF(COUNTIFS(実績!$W$6:$W$505,BZ$3,実績!$AC$6:$AC$505,"&lt;="&amp;$A228,実績!$AD$6:$AD$505,"&gt;"&amp;$A228,実績!$AE$6:$AE$505,"○")&gt;0,1,0))</f>
        <v/>
      </c>
      <c r="CA228">
        <f>IF(CA$4=0,0,IF(COUNTIFS(実績!$W$6:$W$505,CA$3,実績!$AC$6:$AC$505,"&lt;="&amp;$A228,実績!$AD$6:$AD$505,"&gt;"&amp;$A228,実績!$AE$6:$AE$505,"○")&gt;0,1,0))</f>
        <v/>
      </c>
      <c r="CB228">
        <f>IF(CB$4=0,0,IF(COUNTIFS(実績!$W$6:$W$505,CB$3,実績!$AC$6:$AC$505,"&lt;="&amp;$A228,実績!$AD$6:$AD$505,"&gt;"&amp;$A228,実績!$AE$6:$AE$505,"○")&gt;0,1,0))</f>
        <v/>
      </c>
      <c r="CC228">
        <f>IF(CC$4=0,0,IF(COUNTIFS(実績!$W$6:$W$505,CC$3,実績!$AC$6:$AC$505,"&lt;="&amp;$A228,実績!$AD$6:$AD$505,"&gt;"&amp;$A228,実績!$AE$6:$AE$505,"○")&gt;0,1,0))</f>
        <v/>
      </c>
      <c r="CD228">
        <f>IF(CD$4=0,0,IF(COUNTIFS(実績!$W$6:$W$505,CD$3,実績!$AC$6:$AC$505,"&lt;="&amp;$A228,実績!$AD$6:$AD$505,"&gt;"&amp;$A228,実績!$AE$6:$AE$505,"○")&gt;0,1,0))</f>
        <v/>
      </c>
      <c r="CE228">
        <f>IF(CE$4=0,0,IF(COUNTIFS(実績!$W$6:$W$505,CE$3,実績!$AC$6:$AC$505,"&lt;="&amp;$A228,実績!$AD$6:$AD$505,"&gt;"&amp;$A228,実績!$AE$6:$AE$505,"○")&gt;0,1,0))</f>
        <v/>
      </c>
      <c r="CF228">
        <f>IF(CF$4=0,0,IF(COUNTIFS(実績!$W$6:$W$505,CF$3,実績!$AC$6:$AC$505,"&lt;="&amp;$A228,実績!$AD$6:$AD$505,"&gt;"&amp;$A228,実績!$AE$6:$AE$505,"○")&gt;0,1,0))</f>
        <v/>
      </c>
      <c r="CG228">
        <f>IF(CG$4=0,0,IF(COUNTIFS(実績!$W$6:$W$505,CG$3,実績!$AC$6:$AC$505,"&lt;="&amp;$A228,実績!$AD$6:$AD$505,"&gt;"&amp;$A228,実績!$AE$6:$AE$505,"○")&gt;0,1,0))</f>
        <v/>
      </c>
      <c r="CH228">
        <f>IF(CH$4=0,0,IF(COUNTIFS(実績!$W$6:$W$505,CH$3,実績!$AC$6:$AC$505,"&lt;="&amp;$A228,実績!$AD$6:$AD$505,"&gt;"&amp;$A228,実績!$AE$6:$AE$505,"○")&gt;0,1,0))</f>
        <v/>
      </c>
      <c r="CI228">
        <f>IF(CI$4=0,0,IF(COUNTIFS(実績!$W$6:$W$505,CI$3,実績!$AC$6:$AC$505,"&lt;="&amp;$A228,実績!$AD$6:$AD$505,"&gt;"&amp;$A228,実績!$AE$6:$AE$505,"○")&gt;0,1,0))</f>
        <v/>
      </c>
      <c r="CJ228">
        <f>IF(CJ$4=0,0,IF(COUNTIFS(実績!$W$6:$W$505,CJ$3,実績!$AC$6:$AC$505,"&lt;="&amp;$A228,実績!$AD$6:$AD$505,"&gt;"&amp;$A228,実績!$AE$6:$AE$505,"○")&gt;0,1,0))</f>
        <v/>
      </c>
      <c r="CK228">
        <f>IF(CK$4=0,0,IF(COUNTIFS(実績!$W$6:$W$505,CK$3,実績!$AC$6:$AC$505,"&lt;="&amp;$A228,実績!$AD$6:$AD$505,"&gt;"&amp;$A228,実績!$AE$6:$AE$505,"○")&gt;0,1,0))</f>
        <v/>
      </c>
      <c r="CL228">
        <f>IF(CL$4=0,0,IF(COUNTIFS(実績!$W$6:$W$505,CL$3,実績!$AC$6:$AC$505,"&lt;="&amp;$A228,実績!$AD$6:$AD$505,"&gt;"&amp;$A228,実績!$AE$6:$AE$505,"○")&gt;0,1,0))</f>
        <v/>
      </c>
      <c r="CM228">
        <f>IF(CM$4=0,0,IF(COUNTIFS(実績!$W$6:$W$505,CM$3,実績!$AC$6:$AC$505,"&lt;="&amp;$A228,実績!$AD$6:$AD$505,"&gt;"&amp;$A228,実績!$AE$6:$AE$505,"○")&gt;0,1,0))</f>
        <v/>
      </c>
      <c r="CN228">
        <f>IF(CN$4=0,0,IF(COUNTIFS(実績!$W$6:$W$505,CN$3,実績!$AC$6:$AC$505,"&lt;="&amp;$A228,実績!$AD$6:$AD$505,"&gt;"&amp;$A228,実績!$AE$6:$AE$505,"○")&gt;0,1,0))</f>
        <v/>
      </c>
      <c r="CO228">
        <f>IF(CO$4=0,0,IF(COUNTIFS(実績!$W$6:$W$505,CO$3,実績!$AC$6:$AC$505,"&lt;="&amp;$A228,実績!$AD$6:$AD$505,"&gt;"&amp;$A228,実績!$AE$6:$AE$505,"○")&gt;0,1,0))</f>
        <v/>
      </c>
      <c r="CP228">
        <f>IF(CP$4=0,0,IF(COUNTIFS(実績!$W$6:$W$505,CP$3,実績!$AC$6:$AC$505,"&lt;="&amp;$A228,実績!$AD$6:$AD$505,"&gt;"&amp;$A228,実績!$AE$6:$AE$505,"○")&gt;0,1,0))</f>
        <v/>
      </c>
      <c r="CQ228">
        <f>IF(CQ$4=0,0,IF(COUNTIFS(実績!$W$6:$W$505,CQ$3,実績!$AC$6:$AC$505,"&lt;="&amp;$A228,実績!$AD$6:$AD$505,"&gt;"&amp;$A228,実績!$AE$6:$AE$505,"○")&gt;0,1,0))</f>
        <v/>
      </c>
      <c r="CR228">
        <f>IF(CR$4=0,0,IF(COUNTIFS(実績!$W$6:$W$505,CR$3,実績!$AC$6:$AC$505,"&lt;="&amp;$A228,実績!$AD$6:$AD$505,"&gt;"&amp;$A228,実績!$AE$6:$AE$505,"○")&gt;0,1,0))</f>
        <v/>
      </c>
      <c r="CS228">
        <f>IF(CS$4=0,0,IF(COUNTIFS(実績!$W$6:$W$505,CS$3,実績!$AC$6:$AC$505,"&lt;="&amp;$A228,実績!$AD$6:$AD$505,"&gt;"&amp;$A228,実績!$AE$6:$AE$505,"○")&gt;0,1,0))</f>
        <v/>
      </c>
      <c r="CT228">
        <f>IF(CT$4=0,0,IF(COUNTIFS(実績!$W$6:$W$505,CT$3,実績!$AC$6:$AC$505,"&lt;="&amp;$A228,実績!$AD$6:$AD$505,"&gt;"&amp;$A228,実績!$AE$6:$AE$505,"○")&gt;0,1,0))</f>
        <v/>
      </c>
      <c r="CU228">
        <f>IF(CU$4=0,0,IF(COUNTIFS(実績!$W$6:$W$505,CU$3,実績!$AC$6:$AC$505,"&lt;="&amp;$A228,実績!$AD$6:$AD$505,"&gt;"&amp;$A228,実績!$AE$6:$AE$505,"○")&gt;0,1,0))</f>
        <v/>
      </c>
      <c r="CV228">
        <f>IF(CV$4=0,0,IF(COUNTIFS(実績!$W$6:$W$505,CV$3,実績!$AC$6:$AC$505,"&lt;="&amp;$A228,実績!$AD$6:$AD$505,"&gt;"&amp;$A228,実績!$AE$6:$AE$505,"○")&gt;0,1,0))</f>
        <v/>
      </c>
      <c r="CW228">
        <f>IF(CW$4=0,0,IF(COUNTIFS(実績!$W$6:$W$505,CW$3,実績!$AC$6:$AC$505,"&lt;="&amp;$A228,実績!$AD$6:$AD$505,"&gt;"&amp;$A228,実績!$AE$6:$AE$505,"○")&gt;0,1,0))</f>
        <v/>
      </c>
      <c r="CX228">
        <f>IF(CX$4=0,0,IF(COUNTIFS(実績!$W$6:$W$505,CX$3,実績!$AC$6:$AC$505,"&lt;="&amp;$A228,実績!$AD$6:$AD$505,"&gt;"&amp;$A228,実績!$AE$6:$AE$505,"○")&gt;0,1,0))</f>
        <v/>
      </c>
      <c r="CY228">
        <f>IF(CY$4=0,0,IF(COUNTIFS(実績!$W$6:$W$505,CY$3,実績!$AC$6:$AC$505,"&lt;="&amp;$A228,実績!$AD$6:$AD$505,"&gt;"&amp;$A228,実績!$AE$6:$AE$505,"○")&gt;0,1,0))</f>
        <v/>
      </c>
      <c r="CZ228">
        <f>IF(CZ$4=0,0,IF(COUNTIFS(実績!$W$6:$W$505,CZ$3,実績!$AC$6:$AC$505,"&lt;="&amp;$A228,実績!$AD$6:$AD$505,"&gt;"&amp;$A228,実績!$AE$6:$AE$505,"○")&gt;0,1,0))</f>
        <v/>
      </c>
      <c r="DA228">
        <f>IF(DA$4=0,0,IF(COUNTIFS(実績!$W$6:$W$505,DA$3,実績!$AC$6:$AC$505,"&lt;="&amp;$A228,実績!$AD$6:$AD$505,"&gt;"&amp;$A228,実績!$AE$6:$AE$505,"○")&gt;0,1,0))</f>
        <v/>
      </c>
      <c r="DB228">
        <f>IF(DB$4=0,0,IF(COUNTIFS(実績!$W$6:$W$505,DB$3,実績!$AC$6:$AC$505,"&lt;="&amp;$A228,実績!$AD$6:$AD$505,"&gt;"&amp;$A228,実績!$AE$6:$AE$505,"○")&gt;0,1,0))</f>
        <v/>
      </c>
      <c r="DC228">
        <f>IF(DC$4=0,0,IF(COUNTIFS(実績!$W$6:$W$505,DC$3,実績!$AC$6:$AC$505,"&lt;="&amp;$A228,実績!$AD$6:$AD$505,"&gt;"&amp;$A228,実績!$AE$6:$AE$505,"○")&gt;0,1,0))</f>
        <v/>
      </c>
      <c r="DD228">
        <f>IF(DD$4=0,0,IF(COUNTIFS(実績!$W$6:$W$505,DD$3,実績!$AC$6:$AC$505,"&lt;="&amp;$A228,実績!$AD$6:$AD$505,"&gt;"&amp;$A228,実績!$AE$6:$AE$505,"○")&gt;0,1,0))</f>
        <v/>
      </c>
      <c r="DE228">
        <f>IF(DE$4=0,0,IF(COUNTIFS(実績!$W$6:$W$505,DE$3,実績!$AC$6:$AC$505,"&lt;="&amp;$A228,実績!$AD$6:$AD$505,"&gt;"&amp;$A228,実績!$AE$6:$AE$505,"○")&gt;0,1,0))</f>
        <v/>
      </c>
      <c r="DF228">
        <f>IF(DF$4=0,0,IF(COUNTIFS(実績!$W$6:$W$505,DF$3,実績!$AC$6:$AC$505,"&lt;="&amp;$A228,実績!$AD$6:$AD$505,"&gt;"&amp;$A228,実績!$AE$6:$AE$505,"○")&gt;0,1,0))</f>
        <v/>
      </c>
      <c r="DG228">
        <f>IF(DG$4=0,0,IF(COUNTIFS(実績!$W$6:$W$505,DG$3,実績!$AC$6:$AC$505,"&lt;="&amp;$A228,実績!$AD$6:$AD$505,"&gt;"&amp;$A228,実績!$AE$6:$AE$505,"○")&gt;0,1,0))</f>
        <v/>
      </c>
      <c r="DH228">
        <f>IF(DH$4=0,0,IF(COUNTIFS(実績!$W$6:$W$505,DH$3,実績!$AC$6:$AC$505,"&lt;="&amp;$A228,実績!$AD$6:$AD$505,"&gt;"&amp;$A228,実績!$AE$6:$AE$505,"○")&gt;0,1,0))</f>
        <v/>
      </c>
      <c r="DI228">
        <f>IF(DI$4=0,0,IF(COUNTIFS(実績!$W$6:$W$505,DI$3,実績!$AC$6:$AC$505,"&lt;="&amp;$A228,実績!$AD$6:$AD$505,"&gt;"&amp;$A228,実績!$AE$6:$AE$505,"○")&gt;0,1,0))</f>
        <v/>
      </c>
      <c r="DJ228">
        <f>IF(DJ$4=0,0,IF(COUNTIFS(実績!$W$6:$W$505,DJ$3,実績!$AC$6:$AC$505,"&lt;="&amp;$A228,実績!$AD$6:$AD$505,"&gt;"&amp;$A228,実績!$AE$6:$AE$505,"○")&gt;0,1,0))</f>
        <v/>
      </c>
      <c r="DK228">
        <f>IF(DK$4=0,0,IF(COUNTIFS(実績!$W$6:$W$505,DK$3,実績!$AC$6:$AC$505,"&lt;="&amp;$A228,実績!$AD$6:$AD$505,"&gt;"&amp;$A228,実績!$AE$6:$AE$505,"○")&gt;0,1,0))</f>
        <v/>
      </c>
      <c r="DL228">
        <f>IF(DL$4=0,0,IF(COUNTIFS(実績!$W$6:$W$505,DL$3,実績!$AC$6:$AC$505,"&lt;="&amp;$A228,実績!$AD$6:$AD$505,"&gt;"&amp;$A228,実績!$AE$6:$AE$505,"○")&gt;0,1,0))</f>
        <v/>
      </c>
      <c r="DM228">
        <f>IF(DM$4=0,0,IF(COUNTIFS(実績!$W$6:$W$505,DM$3,実績!$AC$6:$AC$505,"&lt;="&amp;$A228,実績!$AD$6:$AD$505,"&gt;"&amp;$A228,実績!$AE$6:$AE$505,"○")&gt;0,1,0))</f>
        <v/>
      </c>
      <c r="DN228">
        <f>IF(DN$4=0,0,IF(COUNTIFS(実績!$W$6:$W$505,DN$3,実績!$AC$6:$AC$505,"&lt;="&amp;$A228,実績!$AD$6:$AD$505,"&gt;"&amp;$A228,実績!$AE$6:$AE$505,"○")&gt;0,1,0))</f>
        <v/>
      </c>
      <c r="DO228">
        <f>IF(DO$4=0,0,IF(COUNTIFS(実績!$W$6:$W$505,DO$3,実績!$AC$6:$AC$505,"&lt;="&amp;$A228,実績!$AD$6:$AD$505,"&gt;"&amp;$A228,実績!$AE$6:$AE$505,"○")&gt;0,1,0))</f>
        <v/>
      </c>
      <c r="DP228">
        <f>IF(DP$4=0,0,IF(COUNTIFS(実績!$W$6:$W$505,DP$3,実績!$AC$6:$AC$505,"&lt;="&amp;$A228,実績!$AD$6:$AD$505,"&gt;"&amp;$A228,実績!$AE$6:$AE$505,"○")&gt;0,1,0))</f>
        <v/>
      </c>
      <c r="DQ228">
        <f>IF(DQ$4=0,0,IF(COUNTIFS(実績!$W$6:$W$505,DQ$3,実績!$AC$6:$AC$505,"&lt;="&amp;$A228,実績!$AD$6:$AD$505,"&gt;"&amp;$A228,実績!$AE$6:$AE$505,"○")&gt;0,1,0))</f>
        <v/>
      </c>
      <c r="DR228">
        <f>IF(DR$4=0,0,IF(COUNTIFS(実績!$W$6:$W$505,DR$3,実績!$AC$6:$AC$505,"&lt;="&amp;$A228,実績!$AD$6:$AD$505,"&gt;"&amp;$A228,実績!$AE$6:$AE$505,"○")&gt;0,1,0))</f>
        <v/>
      </c>
      <c r="DS228">
        <f>SUM(C228:DR228)</f>
        <v/>
      </c>
      <c r="DT228">
        <f>SUMPRODUCT((実績!$C$6:$C$505="○")*ISNUMBER(実績!$AF$6:$AF$505)*(実績!$AF$6:$AF$505&lt;=$A228)*(実績!$AG$6:$AG$505&gt;$A228))</f>
        <v/>
      </c>
      <c r="DU228">
        <f>SUMIF($C$2:$DR$2,"製鉄曳船",C228:DR228)</f>
        <v/>
      </c>
      <c r="DV228">
        <f>SUMIF($C$2:$DR$2,"西日本海運",C228:DR228)</f>
        <v/>
      </c>
    </row>
    <row r="229">
      <c r="A229" t="n">
        <v>1115</v>
      </c>
      <c r="B229" s="29">
        <f>A229/1440</f>
        <v/>
      </c>
      <c r="C229">
        <f>IF(C$4=0,0,IF(COUNTIFS(実績!$W$6:$W$505,C$3,実績!$AC$6:$AC$505,"&lt;="&amp;$A229,実績!$AD$6:$AD$505,"&gt;"&amp;$A229,実績!$AE$6:$AE$505,"○")&gt;0,1,0))</f>
        <v/>
      </c>
      <c r="D229">
        <f>IF(D$4=0,0,IF(COUNTIFS(実績!$W$6:$W$505,D$3,実績!$AC$6:$AC$505,"&lt;="&amp;$A229,実績!$AD$6:$AD$505,"&gt;"&amp;$A229,実績!$AE$6:$AE$505,"○")&gt;0,1,0))</f>
        <v/>
      </c>
      <c r="E229">
        <f>IF(E$4=0,0,IF(COUNTIFS(実績!$W$6:$W$505,E$3,実績!$AC$6:$AC$505,"&lt;="&amp;$A229,実績!$AD$6:$AD$505,"&gt;"&amp;$A229,実績!$AE$6:$AE$505,"○")&gt;0,1,0))</f>
        <v/>
      </c>
      <c r="F229">
        <f>IF(F$4=0,0,IF(COUNTIFS(実績!$W$6:$W$505,F$3,実績!$AC$6:$AC$505,"&lt;="&amp;$A229,実績!$AD$6:$AD$505,"&gt;"&amp;$A229,実績!$AE$6:$AE$505,"○")&gt;0,1,0))</f>
        <v/>
      </c>
      <c r="G229">
        <f>IF(G$4=0,0,IF(COUNTIFS(実績!$W$6:$W$505,G$3,実績!$AC$6:$AC$505,"&lt;="&amp;$A229,実績!$AD$6:$AD$505,"&gt;"&amp;$A229,実績!$AE$6:$AE$505,"○")&gt;0,1,0))</f>
        <v/>
      </c>
      <c r="H229">
        <f>IF(H$4=0,0,IF(COUNTIFS(実績!$W$6:$W$505,H$3,実績!$AC$6:$AC$505,"&lt;="&amp;$A229,実績!$AD$6:$AD$505,"&gt;"&amp;$A229,実績!$AE$6:$AE$505,"○")&gt;0,1,0))</f>
        <v/>
      </c>
      <c r="I229">
        <f>IF(I$4=0,0,IF(COUNTIFS(実績!$W$6:$W$505,I$3,実績!$AC$6:$AC$505,"&lt;="&amp;$A229,実績!$AD$6:$AD$505,"&gt;"&amp;$A229,実績!$AE$6:$AE$505,"○")&gt;0,1,0))</f>
        <v/>
      </c>
      <c r="J229">
        <f>IF(J$4=0,0,IF(COUNTIFS(実績!$W$6:$W$505,J$3,実績!$AC$6:$AC$505,"&lt;="&amp;$A229,実績!$AD$6:$AD$505,"&gt;"&amp;$A229,実績!$AE$6:$AE$505,"○")&gt;0,1,0))</f>
        <v/>
      </c>
      <c r="K229">
        <f>IF(K$4=0,0,IF(COUNTIFS(実績!$W$6:$W$505,K$3,実績!$AC$6:$AC$505,"&lt;="&amp;$A229,実績!$AD$6:$AD$505,"&gt;"&amp;$A229,実績!$AE$6:$AE$505,"○")&gt;0,1,0))</f>
        <v/>
      </c>
      <c r="L229">
        <f>IF(L$4=0,0,IF(COUNTIFS(実績!$W$6:$W$505,L$3,実績!$AC$6:$AC$505,"&lt;="&amp;$A229,実績!$AD$6:$AD$505,"&gt;"&amp;$A229,実績!$AE$6:$AE$505,"○")&gt;0,1,0))</f>
        <v/>
      </c>
      <c r="M229">
        <f>IF(M$4=0,0,IF(COUNTIFS(実績!$W$6:$W$505,M$3,実績!$AC$6:$AC$505,"&lt;="&amp;$A229,実績!$AD$6:$AD$505,"&gt;"&amp;$A229,実績!$AE$6:$AE$505,"○")&gt;0,1,0))</f>
        <v/>
      </c>
      <c r="N229">
        <f>IF(N$4=0,0,IF(COUNTIFS(実績!$W$6:$W$505,N$3,実績!$AC$6:$AC$505,"&lt;="&amp;$A229,実績!$AD$6:$AD$505,"&gt;"&amp;$A229,実績!$AE$6:$AE$505,"○")&gt;0,1,0))</f>
        <v/>
      </c>
      <c r="O229">
        <f>IF(O$4=0,0,IF(COUNTIFS(実績!$W$6:$W$505,O$3,実績!$AC$6:$AC$505,"&lt;="&amp;$A229,実績!$AD$6:$AD$505,"&gt;"&amp;$A229,実績!$AE$6:$AE$505,"○")&gt;0,1,0))</f>
        <v/>
      </c>
      <c r="P229">
        <f>IF(P$4=0,0,IF(COUNTIFS(実績!$W$6:$W$505,P$3,実績!$AC$6:$AC$505,"&lt;="&amp;$A229,実績!$AD$6:$AD$505,"&gt;"&amp;$A229,実績!$AE$6:$AE$505,"○")&gt;0,1,0))</f>
        <v/>
      </c>
      <c r="Q229">
        <f>IF(Q$4=0,0,IF(COUNTIFS(実績!$W$6:$W$505,Q$3,実績!$AC$6:$AC$505,"&lt;="&amp;$A229,実績!$AD$6:$AD$505,"&gt;"&amp;$A229,実績!$AE$6:$AE$505,"○")&gt;0,1,0))</f>
        <v/>
      </c>
      <c r="R229">
        <f>IF(R$4=0,0,IF(COUNTIFS(実績!$W$6:$W$505,R$3,実績!$AC$6:$AC$505,"&lt;="&amp;$A229,実績!$AD$6:$AD$505,"&gt;"&amp;$A229,実績!$AE$6:$AE$505,"○")&gt;0,1,0))</f>
        <v/>
      </c>
      <c r="S229">
        <f>IF(S$4=0,0,IF(COUNTIFS(実績!$W$6:$W$505,S$3,実績!$AC$6:$AC$505,"&lt;="&amp;$A229,実績!$AD$6:$AD$505,"&gt;"&amp;$A229,実績!$AE$6:$AE$505,"○")&gt;0,1,0))</f>
        <v/>
      </c>
      <c r="T229">
        <f>IF(T$4=0,0,IF(COUNTIFS(実績!$W$6:$W$505,T$3,実績!$AC$6:$AC$505,"&lt;="&amp;$A229,実績!$AD$6:$AD$505,"&gt;"&amp;$A229,実績!$AE$6:$AE$505,"○")&gt;0,1,0))</f>
        <v/>
      </c>
      <c r="U229">
        <f>IF(U$4=0,0,IF(COUNTIFS(実績!$W$6:$W$505,U$3,実績!$AC$6:$AC$505,"&lt;="&amp;$A229,実績!$AD$6:$AD$505,"&gt;"&amp;$A229,実績!$AE$6:$AE$505,"○")&gt;0,1,0))</f>
        <v/>
      </c>
      <c r="V229">
        <f>IF(V$4=0,0,IF(COUNTIFS(実績!$W$6:$W$505,V$3,実績!$AC$6:$AC$505,"&lt;="&amp;$A229,実績!$AD$6:$AD$505,"&gt;"&amp;$A229,実績!$AE$6:$AE$505,"○")&gt;0,1,0))</f>
        <v/>
      </c>
      <c r="W229">
        <f>IF(W$4=0,0,IF(COUNTIFS(実績!$W$6:$W$505,W$3,実績!$AC$6:$AC$505,"&lt;="&amp;$A229,実績!$AD$6:$AD$505,"&gt;"&amp;$A229,実績!$AE$6:$AE$505,"○")&gt;0,1,0))</f>
        <v/>
      </c>
      <c r="X229">
        <f>IF(X$4=0,0,IF(COUNTIFS(実績!$W$6:$W$505,X$3,実績!$AC$6:$AC$505,"&lt;="&amp;$A229,実績!$AD$6:$AD$505,"&gt;"&amp;$A229,実績!$AE$6:$AE$505,"○")&gt;0,1,0))</f>
        <v/>
      </c>
      <c r="Y229">
        <f>IF(Y$4=0,0,IF(COUNTIFS(実績!$W$6:$W$505,Y$3,実績!$AC$6:$AC$505,"&lt;="&amp;$A229,実績!$AD$6:$AD$505,"&gt;"&amp;$A229,実績!$AE$6:$AE$505,"○")&gt;0,1,0))</f>
        <v/>
      </c>
      <c r="Z229">
        <f>IF(Z$4=0,0,IF(COUNTIFS(実績!$W$6:$W$505,Z$3,実績!$AC$6:$AC$505,"&lt;="&amp;$A229,実績!$AD$6:$AD$505,"&gt;"&amp;$A229,実績!$AE$6:$AE$505,"○")&gt;0,1,0))</f>
        <v/>
      </c>
      <c r="AA229">
        <f>IF(AA$4=0,0,IF(COUNTIFS(実績!$W$6:$W$505,AA$3,実績!$AC$6:$AC$505,"&lt;="&amp;$A229,実績!$AD$6:$AD$505,"&gt;"&amp;$A229,実績!$AE$6:$AE$505,"○")&gt;0,1,0))</f>
        <v/>
      </c>
      <c r="AB229">
        <f>IF(AB$4=0,0,IF(COUNTIFS(実績!$W$6:$W$505,AB$3,実績!$AC$6:$AC$505,"&lt;="&amp;$A229,実績!$AD$6:$AD$505,"&gt;"&amp;$A229,実績!$AE$6:$AE$505,"○")&gt;0,1,0))</f>
        <v/>
      </c>
      <c r="AC229">
        <f>IF(AC$4=0,0,IF(COUNTIFS(実績!$W$6:$W$505,AC$3,実績!$AC$6:$AC$505,"&lt;="&amp;$A229,実績!$AD$6:$AD$505,"&gt;"&amp;$A229,実績!$AE$6:$AE$505,"○")&gt;0,1,0))</f>
        <v/>
      </c>
      <c r="AD229">
        <f>IF(AD$4=0,0,IF(COUNTIFS(実績!$W$6:$W$505,AD$3,実績!$AC$6:$AC$505,"&lt;="&amp;$A229,実績!$AD$6:$AD$505,"&gt;"&amp;$A229,実績!$AE$6:$AE$505,"○")&gt;0,1,0))</f>
        <v/>
      </c>
      <c r="AE229">
        <f>IF(AE$4=0,0,IF(COUNTIFS(実績!$W$6:$W$505,AE$3,実績!$AC$6:$AC$505,"&lt;="&amp;$A229,実績!$AD$6:$AD$505,"&gt;"&amp;$A229,実績!$AE$6:$AE$505,"○")&gt;0,1,0))</f>
        <v/>
      </c>
      <c r="AF229">
        <f>IF(AF$4=0,0,IF(COUNTIFS(実績!$W$6:$W$505,AF$3,実績!$AC$6:$AC$505,"&lt;="&amp;$A229,実績!$AD$6:$AD$505,"&gt;"&amp;$A229,実績!$AE$6:$AE$505,"○")&gt;0,1,0))</f>
        <v/>
      </c>
      <c r="AG229">
        <f>IF(AG$4=0,0,IF(COUNTIFS(実績!$W$6:$W$505,AG$3,実績!$AC$6:$AC$505,"&lt;="&amp;$A229,実績!$AD$6:$AD$505,"&gt;"&amp;$A229,実績!$AE$6:$AE$505,"○")&gt;0,1,0))</f>
        <v/>
      </c>
      <c r="AH229">
        <f>IF(AH$4=0,0,IF(COUNTIFS(実績!$W$6:$W$505,AH$3,実績!$AC$6:$AC$505,"&lt;="&amp;$A229,実績!$AD$6:$AD$505,"&gt;"&amp;$A229,実績!$AE$6:$AE$505,"○")&gt;0,1,0))</f>
        <v/>
      </c>
      <c r="AI229">
        <f>IF(AI$4=0,0,IF(COUNTIFS(実績!$W$6:$W$505,AI$3,実績!$AC$6:$AC$505,"&lt;="&amp;$A229,実績!$AD$6:$AD$505,"&gt;"&amp;$A229,実績!$AE$6:$AE$505,"○")&gt;0,1,0))</f>
        <v/>
      </c>
      <c r="AJ229">
        <f>IF(AJ$4=0,0,IF(COUNTIFS(実績!$W$6:$W$505,AJ$3,実績!$AC$6:$AC$505,"&lt;="&amp;$A229,実績!$AD$6:$AD$505,"&gt;"&amp;$A229,実績!$AE$6:$AE$505,"○")&gt;0,1,0))</f>
        <v/>
      </c>
      <c r="AK229">
        <f>IF(AK$4=0,0,IF(COUNTIFS(実績!$W$6:$W$505,AK$3,実績!$AC$6:$AC$505,"&lt;="&amp;$A229,実績!$AD$6:$AD$505,"&gt;"&amp;$A229,実績!$AE$6:$AE$505,"○")&gt;0,1,0))</f>
        <v/>
      </c>
      <c r="AL229">
        <f>IF(AL$4=0,0,IF(COUNTIFS(実績!$W$6:$W$505,AL$3,実績!$AC$6:$AC$505,"&lt;="&amp;$A229,実績!$AD$6:$AD$505,"&gt;"&amp;$A229,実績!$AE$6:$AE$505,"○")&gt;0,1,0))</f>
        <v/>
      </c>
      <c r="AM229">
        <f>IF(AM$4=0,0,IF(COUNTIFS(実績!$W$6:$W$505,AM$3,実績!$AC$6:$AC$505,"&lt;="&amp;$A229,実績!$AD$6:$AD$505,"&gt;"&amp;$A229,実績!$AE$6:$AE$505,"○")&gt;0,1,0))</f>
        <v/>
      </c>
      <c r="AN229">
        <f>IF(AN$4=0,0,IF(COUNTIFS(実績!$W$6:$W$505,AN$3,実績!$AC$6:$AC$505,"&lt;="&amp;$A229,実績!$AD$6:$AD$505,"&gt;"&amp;$A229,実績!$AE$6:$AE$505,"○")&gt;0,1,0))</f>
        <v/>
      </c>
      <c r="AO229">
        <f>IF(AO$4=0,0,IF(COUNTIFS(実績!$W$6:$W$505,AO$3,実績!$AC$6:$AC$505,"&lt;="&amp;$A229,実績!$AD$6:$AD$505,"&gt;"&amp;$A229,実績!$AE$6:$AE$505,"○")&gt;0,1,0))</f>
        <v/>
      </c>
      <c r="AP229">
        <f>IF(AP$4=0,0,IF(COUNTIFS(実績!$W$6:$W$505,AP$3,実績!$AC$6:$AC$505,"&lt;="&amp;$A229,実績!$AD$6:$AD$505,"&gt;"&amp;$A229,実績!$AE$6:$AE$505,"○")&gt;0,1,0))</f>
        <v/>
      </c>
      <c r="AQ229">
        <f>IF(AQ$4=0,0,IF(COUNTIFS(実績!$W$6:$W$505,AQ$3,実績!$AC$6:$AC$505,"&lt;="&amp;$A229,実績!$AD$6:$AD$505,"&gt;"&amp;$A229,実績!$AE$6:$AE$505,"○")&gt;0,1,0))</f>
        <v/>
      </c>
      <c r="AR229">
        <f>IF(AR$4=0,0,IF(COUNTIFS(実績!$W$6:$W$505,AR$3,実績!$AC$6:$AC$505,"&lt;="&amp;$A229,実績!$AD$6:$AD$505,"&gt;"&amp;$A229,実績!$AE$6:$AE$505,"○")&gt;0,1,0))</f>
        <v/>
      </c>
      <c r="AS229">
        <f>IF(AS$4=0,0,IF(COUNTIFS(実績!$W$6:$W$505,AS$3,実績!$AC$6:$AC$505,"&lt;="&amp;$A229,実績!$AD$6:$AD$505,"&gt;"&amp;$A229,実績!$AE$6:$AE$505,"○")&gt;0,1,0))</f>
        <v/>
      </c>
      <c r="AT229">
        <f>IF(AT$4=0,0,IF(COUNTIFS(実績!$W$6:$W$505,AT$3,実績!$AC$6:$AC$505,"&lt;="&amp;$A229,実績!$AD$6:$AD$505,"&gt;"&amp;$A229,実績!$AE$6:$AE$505,"○")&gt;0,1,0))</f>
        <v/>
      </c>
      <c r="AU229">
        <f>IF(AU$4=0,0,IF(COUNTIFS(実績!$W$6:$W$505,AU$3,実績!$AC$6:$AC$505,"&lt;="&amp;$A229,実績!$AD$6:$AD$505,"&gt;"&amp;$A229,実績!$AE$6:$AE$505,"○")&gt;0,1,0))</f>
        <v/>
      </c>
      <c r="AV229">
        <f>IF(AV$4=0,0,IF(COUNTIFS(実績!$W$6:$W$505,AV$3,実績!$AC$6:$AC$505,"&lt;="&amp;$A229,実績!$AD$6:$AD$505,"&gt;"&amp;$A229,実績!$AE$6:$AE$505,"○")&gt;0,1,0))</f>
        <v/>
      </c>
      <c r="AW229">
        <f>IF(AW$4=0,0,IF(COUNTIFS(実績!$W$6:$W$505,AW$3,実績!$AC$6:$AC$505,"&lt;="&amp;$A229,実績!$AD$6:$AD$505,"&gt;"&amp;$A229,実績!$AE$6:$AE$505,"○")&gt;0,1,0))</f>
        <v/>
      </c>
      <c r="AX229">
        <f>IF(AX$4=0,0,IF(COUNTIFS(実績!$W$6:$W$505,AX$3,実績!$AC$6:$AC$505,"&lt;="&amp;$A229,実績!$AD$6:$AD$505,"&gt;"&amp;$A229,実績!$AE$6:$AE$505,"○")&gt;0,1,0))</f>
        <v/>
      </c>
      <c r="AY229">
        <f>IF(AY$4=0,0,IF(COUNTIFS(実績!$W$6:$W$505,AY$3,実績!$AC$6:$AC$505,"&lt;="&amp;$A229,実績!$AD$6:$AD$505,"&gt;"&amp;$A229,実績!$AE$6:$AE$505,"○")&gt;0,1,0))</f>
        <v/>
      </c>
      <c r="AZ229">
        <f>IF(AZ$4=0,0,IF(COUNTIFS(実績!$W$6:$W$505,AZ$3,実績!$AC$6:$AC$505,"&lt;="&amp;$A229,実績!$AD$6:$AD$505,"&gt;"&amp;$A229,実績!$AE$6:$AE$505,"○")&gt;0,1,0))</f>
        <v/>
      </c>
      <c r="BA229">
        <f>IF(BA$4=0,0,IF(COUNTIFS(実績!$W$6:$W$505,BA$3,実績!$AC$6:$AC$505,"&lt;="&amp;$A229,実績!$AD$6:$AD$505,"&gt;"&amp;$A229,実績!$AE$6:$AE$505,"○")&gt;0,1,0))</f>
        <v/>
      </c>
      <c r="BB229">
        <f>IF(BB$4=0,0,IF(COUNTIFS(実績!$W$6:$W$505,BB$3,実績!$AC$6:$AC$505,"&lt;="&amp;$A229,実績!$AD$6:$AD$505,"&gt;"&amp;$A229,実績!$AE$6:$AE$505,"○")&gt;0,1,0))</f>
        <v/>
      </c>
      <c r="BC229">
        <f>IF(BC$4=0,0,IF(COUNTIFS(実績!$W$6:$W$505,BC$3,実績!$AC$6:$AC$505,"&lt;="&amp;$A229,実績!$AD$6:$AD$505,"&gt;"&amp;$A229,実績!$AE$6:$AE$505,"○")&gt;0,1,0))</f>
        <v/>
      </c>
      <c r="BD229">
        <f>IF(BD$4=0,0,IF(COUNTIFS(実績!$W$6:$W$505,BD$3,実績!$AC$6:$AC$505,"&lt;="&amp;$A229,実績!$AD$6:$AD$505,"&gt;"&amp;$A229,実績!$AE$6:$AE$505,"○")&gt;0,1,0))</f>
        <v/>
      </c>
      <c r="BE229">
        <f>IF(BE$4=0,0,IF(COUNTIFS(実績!$W$6:$W$505,BE$3,実績!$AC$6:$AC$505,"&lt;="&amp;$A229,実績!$AD$6:$AD$505,"&gt;"&amp;$A229,実績!$AE$6:$AE$505,"○")&gt;0,1,0))</f>
        <v/>
      </c>
      <c r="BF229">
        <f>IF(BF$4=0,0,IF(COUNTIFS(実績!$W$6:$W$505,BF$3,実績!$AC$6:$AC$505,"&lt;="&amp;$A229,実績!$AD$6:$AD$505,"&gt;"&amp;$A229,実績!$AE$6:$AE$505,"○")&gt;0,1,0))</f>
        <v/>
      </c>
      <c r="BG229">
        <f>IF(BG$4=0,0,IF(COUNTIFS(実績!$W$6:$W$505,BG$3,実績!$AC$6:$AC$505,"&lt;="&amp;$A229,実績!$AD$6:$AD$505,"&gt;"&amp;$A229,実績!$AE$6:$AE$505,"○")&gt;0,1,0))</f>
        <v/>
      </c>
      <c r="BH229">
        <f>IF(BH$4=0,0,IF(COUNTIFS(実績!$W$6:$W$505,BH$3,実績!$AC$6:$AC$505,"&lt;="&amp;$A229,実績!$AD$6:$AD$505,"&gt;"&amp;$A229,実績!$AE$6:$AE$505,"○")&gt;0,1,0))</f>
        <v/>
      </c>
      <c r="BI229">
        <f>IF(BI$4=0,0,IF(COUNTIFS(実績!$W$6:$W$505,BI$3,実績!$AC$6:$AC$505,"&lt;="&amp;$A229,実績!$AD$6:$AD$505,"&gt;"&amp;$A229,実績!$AE$6:$AE$505,"○")&gt;0,1,0))</f>
        <v/>
      </c>
      <c r="BJ229">
        <f>IF(BJ$4=0,0,IF(COUNTIFS(実績!$W$6:$W$505,BJ$3,実績!$AC$6:$AC$505,"&lt;="&amp;$A229,実績!$AD$6:$AD$505,"&gt;"&amp;$A229,実績!$AE$6:$AE$505,"○")&gt;0,1,0))</f>
        <v/>
      </c>
      <c r="BK229">
        <f>IF(BK$4=0,0,IF(COUNTIFS(実績!$W$6:$W$505,BK$3,実績!$AC$6:$AC$505,"&lt;="&amp;$A229,実績!$AD$6:$AD$505,"&gt;"&amp;$A229,実績!$AE$6:$AE$505,"○")&gt;0,1,0))</f>
        <v/>
      </c>
      <c r="BL229">
        <f>IF(BL$4=0,0,IF(COUNTIFS(実績!$W$6:$W$505,BL$3,実績!$AC$6:$AC$505,"&lt;="&amp;$A229,実績!$AD$6:$AD$505,"&gt;"&amp;$A229,実績!$AE$6:$AE$505,"○")&gt;0,1,0))</f>
        <v/>
      </c>
      <c r="BM229">
        <f>IF(BM$4=0,0,IF(COUNTIFS(実績!$W$6:$W$505,BM$3,実績!$AC$6:$AC$505,"&lt;="&amp;$A229,実績!$AD$6:$AD$505,"&gt;"&amp;$A229,実績!$AE$6:$AE$505,"○")&gt;0,1,0))</f>
        <v/>
      </c>
      <c r="BN229">
        <f>IF(BN$4=0,0,IF(COUNTIFS(実績!$W$6:$W$505,BN$3,実績!$AC$6:$AC$505,"&lt;="&amp;$A229,実績!$AD$6:$AD$505,"&gt;"&amp;$A229,実績!$AE$6:$AE$505,"○")&gt;0,1,0))</f>
        <v/>
      </c>
      <c r="BO229">
        <f>IF(BO$4=0,0,IF(COUNTIFS(実績!$W$6:$W$505,BO$3,実績!$AC$6:$AC$505,"&lt;="&amp;$A229,実績!$AD$6:$AD$505,"&gt;"&amp;$A229,実績!$AE$6:$AE$505,"○")&gt;0,1,0))</f>
        <v/>
      </c>
      <c r="BP229">
        <f>IF(BP$4=0,0,IF(COUNTIFS(実績!$W$6:$W$505,BP$3,実績!$AC$6:$AC$505,"&lt;="&amp;$A229,実績!$AD$6:$AD$505,"&gt;"&amp;$A229,実績!$AE$6:$AE$505,"○")&gt;0,1,0))</f>
        <v/>
      </c>
      <c r="BQ229">
        <f>IF(BQ$4=0,0,IF(COUNTIFS(実績!$W$6:$W$505,BQ$3,実績!$AC$6:$AC$505,"&lt;="&amp;$A229,実績!$AD$6:$AD$505,"&gt;"&amp;$A229,実績!$AE$6:$AE$505,"○")&gt;0,1,0))</f>
        <v/>
      </c>
      <c r="BR229">
        <f>IF(BR$4=0,0,IF(COUNTIFS(実績!$W$6:$W$505,BR$3,実績!$AC$6:$AC$505,"&lt;="&amp;$A229,実績!$AD$6:$AD$505,"&gt;"&amp;$A229,実績!$AE$6:$AE$505,"○")&gt;0,1,0))</f>
        <v/>
      </c>
      <c r="BS229">
        <f>IF(BS$4=0,0,IF(COUNTIFS(実績!$W$6:$W$505,BS$3,実績!$AC$6:$AC$505,"&lt;="&amp;$A229,実績!$AD$6:$AD$505,"&gt;"&amp;$A229,実績!$AE$6:$AE$505,"○")&gt;0,1,0))</f>
        <v/>
      </c>
      <c r="BT229">
        <f>IF(BT$4=0,0,IF(COUNTIFS(実績!$W$6:$W$505,BT$3,実績!$AC$6:$AC$505,"&lt;="&amp;$A229,実績!$AD$6:$AD$505,"&gt;"&amp;$A229,実績!$AE$6:$AE$505,"○")&gt;0,1,0))</f>
        <v/>
      </c>
      <c r="BU229">
        <f>IF(BU$4=0,0,IF(COUNTIFS(実績!$W$6:$W$505,BU$3,実績!$AC$6:$AC$505,"&lt;="&amp;$A229,実績!$AD$6:$AD$505,"&gt;"&amp;$A229,実績!$AE$6:$AE$505,"○")&gt;0,1,0))</f>
        <v/>
      </c>
      <c r="BV229">
        <f>IF(BV$4=0,0,IF(COUNTIFS(実績!$W$6:$W$505,BV$3,実績!$AC$6:$AC$505,"&lt;="&amp;$A229,実績!$AD$6:$AD$505,"&gt;"&amp;$A229,実績!$AE$6:$AE$505,"○")&gt;0,1,0))</f>
        <v/>
      </c>
      <c r="BW229">
        <f>IF(BW$4=0,0,IF(COUNTIFS(実績!$W$6:$W$505,BW$3,実績!$AC$6:$AC$505,"&lt;="&amp;$A229,実績!$AD$6:$AD$505,"&gt;"&amp;$A229,実績!$AE$6:$AE$505,"○")&gt;0,1,0))</f>
        <v/>
      </c>
      <c r="BX229">
        <f>IF(BX$4=0,0,IF(COUNTIFS(実績!$W$6:$W$505,BX$3,実績!$AC$6:$AC$505,"&lt;="&amp;$A229,実績!$AD$6:$AD$505,"&gt;"&amp;$A229,実績!$AE$6:$AE$505,"○")&gt;0,1,0))</f>
        <v/>
      </c>
      <c r="BY229">
        <f>IF(BY$4=0,0,IF(COUNTIFS(実績!$W$6:$W$505,BY$3,実績!$AC$6:$AC$505,"&lt;="&amp;$A229,実績!$AD$6:$AD$505,"&gt;"&amp;$A229,実績!$AE$6:$AE$505,"○")&gt;0,1,0))</f>
        <v/>
      </c>
      <c r="BZ229">
        <f>IF(BZ$4=0,0,IF(COUNTIFS(実績!$W$6:$W$505,BZ$3,実績!$AC$6:$AC$505,"&lt;="&amp;$A229,実績!$AD$6:$AD$505,"&gt;"&amp;$A229,実績!$AE$6:$AE$505,"○")&gt;0,1,0))</f>
        <v/>
      </c>
      <c r="CA229">
        <f>IF(CA$4=0,0,IF(COUNTIFS(実績!$W$6:$W$505,CA$3,実績!$AC$6:$AC$505,"&lt;="&amp;$A229,実績!$AD$6:$AD$505,"&gt;"&amp;$A229,実績!$AE$6:$AE$505,"○")&gt;0,1,0))</f>
        <v/>
      </c>
      <c r="CB229">
        <f>IF(CB$4=0,0,IF(COUNTIFS(実績!$W$6:$W$505,CB$3,実績!$AC$6:$AC$505,"&lt;="&amp;$A229,実績!$AD$6:$AD$505,"&gt;"&amp;$A229,実績!$AE$6:$AE$505,"○")&gt;0,1,0))</f>
        <v/>
      </c>
      <c r="CC229">
        <f>IF(CC$4=0,0,IF(COUNTIFS(実績!$W$6:$W$505,CC$3,実績!$AC$6:$AC$505,"&lt;="&amp;$A229,実績!$AD$6:$AD$505,"&gt;"&amp;$A229,実績!$AE$6:$AE$505,"○")&gt;0,1,0))</f>
        <v/>
      </c>
      <c r="CD229">
        <f>IF(CD$4=0,0,IF(COUNTIFS(実績!$W$6:$W$505,CD$3,実績!$AC$6:$AC$505,"&lt;="&amp;$A229,実績!$AD$6:$AD$505,"&gt;"&amp;$A229,実績!$AE$6:$AE$505,"○")&gt;0,1,0))</f>
        <v/>
      </c>
      <c r="CE229">
        <f>IF(CE$4=0,0,IF(COUNTIFS(実績!$W$6:$W$505,CE$3,実績!$AC$6:$AC$505,"&lt;="&amp;$A229,実績!$AD$6:$AD$505,"&gt;"&amp;$A229,実績!$AE$6:$AE$505,"○")&gt;0,1,0))</f>
        <v/>
      </c>
      <c r="CF229">
        <f>IF(CF$4=0,0,IF(COUNTIFS(実績!$W$6:$W$505,CF$3,実績!$AC$6:$AC$505,"&lt;="&amp;$A229,実績!$AD$6:$AD$505,"&gt;"&amp;$A229,実績!$AE$6:$AE$505,"○")&gt;0,1,0))</f>
        <v/>
      </c>
      <c r="CG229">
        <f>IF(CG$4=0,0,IF(COUNTIFS(実績!$W$6:$W$505,CG$3,実績!$AC$6:$AC$505,"&lt;="&amp;$A229,実績!$AD$6:$AD$505,"&gt;"&amp;$A229,実績!$AE$6:$AE$505,"○")&gt;0,1,0))</f>
        <v/>
      </c>
      <c r="CH229">
        <f>IF(CH$4=0,0,IF(COUNTIFS(実績!$W$6:$W$505,CH$3,実績!$AC$6:$AC$505,"&lt;="&amp;$A229,実績!$AD$6:$AD$505,"&gt;"&amp;$A229,実績!$AE$6:$AE$505,"○")&gt;0,1,0))</f>
        <v/>
      </c>
      <c r="CI229">
        <f>IF(CI$4=0,0,IF(COUNTIFS(実績!$W$6:$W$505,CI$3,実績!$AC$6:$AC$505,"&lt;="&amp;$A229,実績!$AD$6:$AD$505,"&gt;"&amp;$A229,実績!$AE$6:$AE$505,"○")&gt;0,1,0))</f>
        <v/>
      </c>
      <c r="CJ229">
        <f>IF(CJ$4=0,0,IF(COUNTIFS(実績!$W$6:$W$505,CJ$3,実績!$AC$6:$AC$505,"&lt;="&amp;$A229,実績!$AD$6:$AD$505,"&gt;"&amp;$A229,実績!$AE$6:$AE$505,"○")&gt;0,1,0))</f>
        <v/>
      </c>
      <c r="CK229">
        <f>IF(CK$4=0,0,IF(COUNTIFS(実績!$W$6:$W$505,CK$3,実績!$AC$6:$AC$505,"&lt;="&amp;$A229,実績!$AD$6:$AD$505,"&gt;"&amp;$A229,実績!$AE$6:$AE$505,"○")&gt;0,1,0))</f>
        <v/>
      </c>
      <c r="CL229">
        <f>IF(CL$4=0,0,IF(COUNTIFS(実績!$W$6:$W$505,CL$3,実績!$AC$6:$AC$505,"&lt;="&amp;$A229,実績!$AD$6:$AD$505,"&gt;"&amp;$A229,実績!$AE$6:$AE$505,"○")&gt;0,1,0))</f>
        <v/>
      </c>
      <c r="CM229">
        <f>IF(CM$4=0,0,IF(COUNTIFS(実績!$W$6:$W$505,CM$3,実績!$AC$6:$AC$505,"&lt;="&amp;$A229,実績!$AD$6:$AD$505,"&gt;"&amp;$A229,実績!$AE$6:$AE$505,"○")&gt;0,1,0))</f>
        <v/>
      </c>
      <c r="CN229">
        <f>IF(CN$4=0,0,IF(COUNTIFS(実績!$W$6:$W$505,CN$3,実績!$AC$6:$AC$505,"&lt;="&amp;$A229,実績!$AD$6:$AD$505,"&gt;"&amp;$A229,実績!$AE$6:$AE$505,"○")&gt;0,1,0))</f>
        <v/>
      </c>
      <c r="CO229">
        <f>IF(CO$4=0,0,IF(COUNTIFS(実績!$W$6:$W$505,CO$3,実績!$AC$6:$AC$505,"&lt;="&amp;$A229,実績!$AD$6:$AD$505,"&gt;"&amp;$A229,実績!$AE$6:$AE$505,"○")&gt;0,1,0))</f>
        <v/>
      </c>
      <c r="CP229">
        <f>IF(CP$4=0,0,IF(COUNTIFS(実績!$W$6:$W$505,CP$3,実績!$AC$6:$AC$505,"&lt;="&amp;$A229,実績!$AD$6:$AD$505,"&gt;"&amp;$A229,実績!$AE$6:$AE$505,"○")&gt;0,1,0))</f>
        <v/>
      </c>
      <c r="CQ229">
        <f>IF(CQ$4=0,0,IF(COUNTIFS(実績!$W$6:$W$505,CQ$3,実績!$AC$6:$AC$505,"&lt;="&amp;$A229,実績!$AD$6:$AD$505,"&gt;"&amp;$A229,実績!$AE$6:$AE$505,"○")&gt;0,1,0))</f>
        <v/>
      </c>
      <c r="CR229">
        <f>IF(CR$4=0,0,IF(COUNTIFS(実績!$W$6:$W$505,CR$3,実績!$AC$6:$AC$505,"&lt;="&amp;$A229,実績!$AD$6:$AD$505,"&gt;"&amp;$A229,実績!$AE$6:$AE$505,"○")&gt;0,1,0))</f>
        <v/>
      </c>
      <c r="CS229">
        <f>IF(CS$4=0,0,IF(COUNTIFS(実績!$W$6:$W$505,CS$3,実績!$AC$6:$AC$505,"&lt;="&amp;$A229,実績!$AD$6:$AD$505,"&gt;"&amp;$A229,実績!$AE$6:$AE$505,"○")&gt;0,1,0))</f>
        <v/>
      </c>
      <c r="CT229">
        <f>IF(CT$4=0,0,IF(COUNTIFS(実績!$W$6:$W$505,CT$3,実績!$AC$6:$AC$505,"&lt;="&amp;$A229,実績!$AD$6:$AD$505,"&gt;"&amp;$A229,実績!$AE$6:$AE$505,"○")&gt;0,1,0))</f>
        <v/>
      </c>
      <c r="CU229">
        <f>IF(CU$4=0,0,IF(COUNTIFS(実績!$W$6:$W$505,CU$3,実績!$AC$6:$AC$505,"&lt;="&amp;$A229,実績!$AD$6:$AD$505,"&gt;"&amp;$A229,実績!$AE$6:$AE$505,"○")&gt;0,1,0))</f>
        <v/>
      </c>
      <c r="CV229">
        <f>IF(CV$4=0,0,IF(COUNTIFS(実績!$W$6:$W$505,CV$3,実績!$AC$6:$AC$505,"&lt;="&amp;$A229,実績!$AD$6:$AD$505,"&gt;"&amp;$A229,実績!$AE$6:$AE$505,"○")&gt;0,1,0))</f>
        <v/>
      </c>
      <c r="CW229">
        <f>IF(CW$4=0,0,IF(COUNTIFS(実績!$W$6:$W$505,CW$3,実績!$AC$6:$AC$505,"&lt;="&amp;$A229,実績!$AD$6:$AD$505,"&gt;"&amp;$A229,実績!$AE$6:$AE$505,"○")&gt;0,1,0))</f>
        <v/>
      </c>
      <c r="CX229">
        <f>IF(CX$4=0,0,IF(COUNTIFS(実績!$W$6:$W$505,CX$3,実績!$AC$6:$AC$505,"&lt;="&amp;$A229,実績!$AD$6:$AD$505,"&gt;"&amp;$A229,実績!$AE$6:$AE$505,"○")&gt;0,1,0))</f>
        <v/>
      </c>
      <c r="CY229">
        <f>IF(CY$4=0,0,IF(COUNTIFS(実績!$W$6:$W$505,CY$3,実績!$AC$6:$AC$505,"&lt;="&amp;$A229,実績!$AD$6:$AD$505,"&gt;"&amp;$A229,実績!$AE$6:$AE$505,"○")&gt;0,1,0))</f>
        <v/>
      </c>
      <c r="CZ229">
        <f>IF(CZ$4=0,0,IF(COUNTIFS(実績!$W$6:$W$505,CZ$3,実績!$AC$6:$AC$505,"&lt;="&amp;$A229,実績!$AD$6:$AD$505,"&gt;"&amp;$A229,実績!$AE$6:$AE$505,"○")&gt;0,1,0))</f>
        <v/>
      </c>
      <c r="DA229">
        <f>IF(DA$4=0,0,IF(COUNTIFS(実績!$W$6:$W$505,DA$3,実績!$AC$6:$AC$505,"&lt;="&amp;$A229,実績!$AD$6:$AD$505,"&gt;"&amp;$A229,実績!$AE$6:$AE$505,"○")&gt;0,1,0))</f>
        <v/>
      </c>
      <c r="DB229">
        <f>IF(DB$4=0,0,IF(COUNTIFS(実績!$W$6:$W$505,DB$3,実績!$AC$6:$AC$505,"&lt;="&amp;$A229,実績!$AD$6:$AD$505,"&gt;"&amp;$A229,実績!$AE$6:$AE$505,"○")&gt;0,1,0))</f>
        <v/>
      </c>
      <c r="DC229">
        <f>IF(DC$4=0,0,IF(COUNTIFS(実績!$W$6:$W$505,DC$3,実績!$AC$6:$AC$505,"&lt;="&amp;$A229,実績!$AD$6:$AD$505,"&gt;"&amp;$A229,実績!$AE$6:$AE$505,"○")&gt;0,1,0))</f>
        <v/>
      </c>
      <c r="DD229">
        <f>IF(DD$4=0,0,IF(COUNTIFS(実績!$W$6:$W$505,DD$3,実績!$AC$6:$AC$505,"&lt;="&amp;$A229,実績!$AD$6:$AD$505,"&gt;"&amp;$A229,実績!$AE$6:$AE$505,"○")&gt;0,1,0))</f>
        <v/>
      </c>
      <c r="DE229">
        <f>IF(DE$4=0,0,IF(COUNTIFS(実績!$W$6:$W$505,DE$3,実績!$AC$6:$AC$505,"&lt;="&amp;$A229,実績!$AD$6:$AD$505,"&gt;"&amp;$A229,実績!$AE$6:$AE$505,"○")&gt;0,1,0))</f>
        <v/>
      </c>
      <c r="DF229">
        <f>IF(DF$4=0,0,IF(COUNTIFS(実績!$W$6:$W$505,DF$3,実績!$AC$6:$AC$505,"&lt;="&amp;$A229,実績!$AD$6:$AD$505,"&gt;"&amp;$A229,実績!$AE$6:$AE$505,"○")&gt;0,1,0))</f>
        <v/>
      </c>
      <c r="DG229">
        <f>IF(DG$4=0,0,IF(COUNTIFS(実績!$W$6:$W$505,DG$3,実績!$AC$6:$AC$505,"&lt;="&amp;$A229,実績!$AD$6:$AD$505,"&gt;"&amp;$A229,実績!$AE$6:$AE$505,"○")&gt;0,1,0))</f>
        <v/>
      </c>
      <c r="DH229">
        <f>IF(DH$4=0,0,IF(COUNTIFS(実績!$W$6:$W$505,DH$3,実績!$AC$6:$AC$505,"&lt;="&amp;$A229,実績!$AD$6:$AD$505,"&gt;"&amp;$A229,実績!$AE$6:$AE$505,"○")&gt;0,1,0))</f>
        <v/>
      </c>
      <c r="DI229">
        <f>IF(DI$4=0,0,IF(COUNTIFS(実績!$W$6:$W$505,DI$3,実績!$AC$6:$AC$505,"&lt;="&amp;$A229,実績!$AD$6:$AD$505,"&gt;"&amp;$A229,実績!$AE$6:$AE$505,"○")&gt;0,1,0))</f>
        <v/>
      </c>
      <c r="DJ229">
        <f>IF(DJ$4=0,0,IF(COUNTIFS(実績!$W$6:$W$505,DJ$3,実績!$AC$6:$AC$505,"&lt;="&amp;$A229,実績!$AD$6:$AD$505,"&gt;"&amp;$A229,実績!$AE$6:$AE$505,"○")&gt;0,1,0))</f>
        <v/>
      </c>
      <c r="DK229">
        <f>IF(DK$4=0,0,IF(COUNTIFS(実績!$W$6:$W$505,DK$3,実績!$AC$6:$AC$505,"&lt;="&amp;$A229,実績!$AD$6:$AD$505,"&gt;"&amp;$A229,実績!$AE$6:$AE$505,"○")&gt;0,1,0))</f>
        <v/>
      </c>
      <c r="DL229">
        <f>IF(DL$4=0,0,IF(COUNTIFS(実績!$W$6:$W$505,DL$3,実績!$AC$6:$AC$505,"&lt;="&amp;$A229,実績!$AD$6:$AD$505,"&gt;"&amp;$A229,実績!$AE$6:$AE$505,"○")&gt;0,1,0))</f>
        <v/>
      </c>
      <c r="DM229">
        <f>IF(DM$4=0,0,IF(COUNTIFS(実績!$W$6:$W$505,DM$3,実績!$AC$6:$AC$505,"&lt;="&amp;$A229,実績!$AD$6:$AD$505,"&gt;"&amp;$A229,実績!$AE$6:$AE$505,"○")&gt;0,1,0))</f>
        <v/>
      </c>
      <c r="DN229">
        <f>IF(DN$4=0,0,IF(COUNTIFS(実績!$W$6:$W$505,DN$3,実績!$AC$6:$AC$505,"&lt;="&amp;$A229,実績!$AD$6:$AD$505,"&gt;"&amp;$A229,実績!$AE$6:$AE$505,"○")&gt;0,1,0))</f>
        <v/>
      </c>
      <c r="DO229">
        <f>IF(DO$4=0,0,IF(COUNTIFS(実績!$W$6:$W$505,DO$3,実績!$AC$6:$AC$505,"&lt;="&amp;$A229,実績!$AD$6:$AD$505,"&gt;"&amp;$A229,実績!$AE$6:$AE$505,"○")&gt;0,1,0))</f>
        <v/>
      </c>
      <c r="DP229">
        <f>IF(DP$4=0,0,IF(COUNTIFS(実績!$W$6:$W$505,DP$3,実績!$AC$6:$AC$505,"&lt;="&amp;$A229,実績!$AD$6:$AD$505,"&gt;"&amp;$A229,実績!$AE$6:$AE$505,"○")&gt;0,1,0))</f>
        <v/>
      </c>
      <c r="DQ229">
        <f>IF(DQ$4=0,0,IF(COUNTIFS(実績!$W$6:$W$505,DQ$3,実績!$AC$6:$AC$505,"&lt;="&amp;$A229,実績!$AD$6:$AD$505,"&gt;"&amp;$A229,実績!$AE$6:$AE$505,"○")&gt;0,1,0))</f>
        <v/>
      </c>
      <c r="DR229">
        <f>IF(DR$4=0,0,IF(COUNTIFS(実績!$W$6:$W$505,DR$3,実績!$AC$6:$AC$505,"&lt;="&amp;$A229,実績!$AD$6:$AD$505,"&gt;"&amp;$A229,実績!$AE$6:$AE$505,"○")&gt;0,1,0))</f>
        <v/>
      </c>
      <c r="DS229">
        <f>SUM(C229:DR229)</f>
        <v/>
      </c>
      <c r="DT229">
        <f>SUMPRODUCT((実績!$C$6:$C$505="○")*ISNUMBER(実績!$AF$6:$AF$505)*(実績!$AF$6:$AF$505&lt;=$A229)*(実績!$AG$6:$AG$505&gt;$A229))</f>
        <v/>
      </c>
      <c r="DU229">
        <f>SUMIF($C$2:$DR$2,"製鉄曳船",C229:DR229)</f>
        <v/>
      </c>
      <c r="DV229">
        <f>SUMIF($C$2:$DR$2,"西日本海運",C229:DR229)</f>
        <v/>
      </c>
    </row>
    <row r="230">
      <c r="A230" t="n">
        <v>1120</v>
      </c>
      <c r="B230" s="29">
        <f>A230/1440</f>
        <v/>
      </c>
      <c r="C230">
        <f>IF(C$4=0,0,IF(COUNTIFS(実績!$W$6:$W$505,C$3,実績!$AC$6:$AC$505,"&lt;="&amp;$A230,実績!$AD$6:$AD$505,"&gt;"&amp;$A230,実績!$AE$6:$AE$505,"○")&gt;0,1,0))</f>
        <v/>
      </c>
      <c r="D230">
        <f>IF(D$4=0,0,IF(COUNTIFS(実績!$W$6:$W$505,D$3,実績!$AC$6:$AC$505,"&lt;="&amp;$A230,実績!$AD$6:$AD$505,"&gt;"&amp;$A230,実績!$AE$6:$AE$505,"○")&gt;0,1,0))</f>
        <v/>
      </c>
      <c r="E230">
        <f>IF(E$4=0,0,IF(COUNTIFS(実績!$W$6:$W$505,E$3,実績!$AC$6:$AC$505,"&lt;="&amp;$A230,実績!$AD$6:$AD$505,"&gt;"&amp;$A230,実績!$AE$6:$AE$505,"○")&gt;0,1,0))</f>
        <v/>
      </c>
      <c r="F230">
        <f>IF(F$4=0,0,IF(COUNTIFS(実績!$W$6:$W$505,F$3,実績!$AC$6:$AC$505,"&lt;="&amp;$A230,実績!$AD$6:$AD$505,"&gt;"&amp;$A230,実績!$AE$6:$AE$505,"○")&gt;0,1,0))</f>
        <v/>
      </c>
      <c r="G230">
        <f>IF(G$4=0,0,IF(COUNTIFS(実績!$W$6:$W$505,G$3,実績!$AC$6:$AC$505,"&lt;="&amp;$A230,実績!$AD$6:$AD$505,"&gt;"&amp;$A230,実績!$AE$6:$AE$505,"○")&gt;0,1,0))</f>
        <v/>
      </c>
      <c r="H230">
        <f>IF(H$4=0,0,IF(COUNTIFS(実績!$W$6:$W$505,H$3,実績!$AC$6:$AC$505,"&lt;="&amp;$A230,実績!$AD$6:$AD$505,"&gt;"&amp;$A230,実績!$AE$6:$AE$505,"○")&gt;0,1,0))</f>
        <v/>
      </c>
      <c r="I230">
        <f>IF(I$4=0,0,IF(COUNTIFS(実績!$W$6:$W$505,I$3,実績!$AC$6:$AC$505,"&lt;="&amp;$A230,実績!$AD$6:$AD$505,"&gt;"&amp;$A230,実績!$AE$6:$AE$505,"○")&gt;0,1,0))</f>
        <v/>
      </c>
      <c r="J230">
        <f>IF(J$4=0,0,IF(COUNTIFS(実績!$W$6:$W$505,J$3,実績!$AC$6:$AC$505,"&lt;="&amp;$A230,実績!$AD$6:$AD$505,"&gt;"&amp;$A230,実績!$AE$6:$AE$505,"○")&gt;0,1,0))</f>
        <v/>
      </c>
      <c r="K230">
        <f>IF(K$4=0,0,IF(COUNTIFS(実績!$W$6:$W$505,K$3,実績!$AC$6:$AC$505,"&lt;="&amp;$A230,実績!$AD$6:$AD$505,"&gt;"&amp;$A230,実績!$AE$6:$AE$505,"○")&gt;0,1,0))</f>
        <v/>
      </c>
      <c r="L230">
        <f>IF(L$4=0,0,IF(COUNTIFS(実績!$W$6:$W$505,L$3,実績!$AC$6:$AC$505,"&lt;="&amp;$A230,実績!$AD$6:$AD$505,"&gt;"&amp;$A230,実績!$AE$6:$AE$505,"○")&gt;0,1,0))</f>
        <v/>
      </c>
      <c r="M230">
        <f>IF(M$4=0,0,IF(COUNTIFS(実績!$W$6:$W$505,M$3,実績!$AC$6:$AC$505,"&lt;="&amp;$A230,実績!$AD$6:$AD$505,"&gt;"&amp;$A230,実績!$AE$6:$AE$505,"○")&gt;0,1,0))</f>
        <v/>
      </c>
      <c r="N230">
        <f>IF(N$4=0,0,IF(COUNTIFS(実績!$W$6:$W$505,N$3,実績!$AC$6:$AC$505,"&lt;="&amp;$A230,実績!$AD$6:$AD$505,"&gt;"&amp;$A230,実績!$AE$6:$AE$505,"○")&gt;0,1,0))</f>
        <v/>
      </c>
      <c r="O230">
        <f>IF(O$4=0,0,IF(COUNTIFS(実績!$W$6:$W$505,O$3,実績!$AC$6:$AC$505,"&lt;="&amp;$A230,実績!$AD$6:$AD$505,"&gt;"&amp;$A230,実績!$AE$6:$AE$505,"○")&gt;0,1,0))</f>
        <v/>
      </c>
      <c r="P230">
        <f>IF(P$4=0,0,IF(COUNTIFS(実績!$W$6:$W$505,P$3,実績!$AC$6:$AC$505,"&lt;="&amp;$A230,実績!$AD$6:$AD$505,"&gt;"&amp;$A230,実績!$AE$6:$AE$505,"○")&gt;0,1,0))</f>
        <v/>
      </c>
      <c r="Q230">
        <f>IF(Q$4=0,0,IF(COUNTIFS(実績!$W$6:$W$505,Q$3,実績!$AC$6:$AC$505,"&lt;="&amp;$A230,実績!$AD$6:$AD$505,"&gt;"&amp;$A230,実績!$AE$6:$AE$505,"○")&gt;0,1,0))</f>
        <v/>
      </c>
      <c r="R230">
        <f>IF(R$4=0,0,IF(COUNTIFS(実績!$W$6:$W$505,R$3,実績!$AC$6:$AC$505,"&lt;="&amp;$A230,実績!$AD$6:$AD$505,"&gt;"&amp;$A230,実績!$AE$6:$AE$505,"○")&gt;0,1,0))</f>
        <v/>
      </c>
      <c r="S230">
        <f>IF(S$4=0,0,IF(COUNTIFS(実績!$W$6:$W$505,S$3,実績!$AC$6:$AC$505,"&lt;="&amp;$A230,実績!$AD$6:$AD$505,"&gt;"&amp;$A230,実績!$AE$6:$AE$505,"○")&gt;0,1,0))</f>
        <v/>
      </c>
      <c r="T230">
        <f>IF(T$4=0,0,IF(COUNTIFS(実績!$W$6:$W$505,T$3,実績!$AC$6:$AC$505,"&lt;="&amp;$A230,実績!$AD$6:$AD$505,"&gt;"&amp;$A230,実績!$AE$6:$AE$505,"○")&gt;0,1,0))</f>
        <v/>
      </c>
      <c r="U230">
        <f>IF(U$4=0,0,IF(COUNTIFS(実績!$W$6:$W$505,U$3,実績!$AC$6:$AC$505,"&lt;="&amp;$A230,実績!$AD$6:$AD$505,"&gt;"&amp;$A230,実績!$AE$6:$AE$505,"○")&gt;0,1,0))</f>
        <v/>
      </c>
      <c r="V230">
        <f>IF(V$4=0,0,IF(COUNTIFS(実績!$W$6:$W$505,V$3,実績!$AC$6:$AC$505,"&lt;="&amp;$A230,実績!$AD$6:$AD$505,"&gt;"&amp;$A230,実績!$AE$6:$AE$505,"○")&gt;0,1,0))</f>
        <v/>
      </c>
      <c r="W230">
        <f>IF(W$4=0,0,IF(COUNTIFS(実績!$W$6:$W$505,W$3,実績!$AC$6:$AC$505,"&lt;="&amp;$A230,実績!$AD$6:$AD$505,"&gt;"&amp;$A230,実績!$AE$6:$AE$505,"○")&gt;0,1,0))</f>
        <v/>
      </c>
      <c r="X230">
        <f>IF(X$4=0,0,IF(COUNTIFS(実績!$W$6:$W$505,X$3,実績!$AC$6:$AC$505,"&lt;="&amp;$A230,実績!$AD$6:$AD$505,"&gt;"&amp;$A230,実績!$AE$6:$AE$505,"○")&gt;0,1,0))</f>
        <v/>
      </c>
      <c r="Y230">
        <f>IF(Y$4=0,0,IF(COUNTIFS(実績!$W$6:$W$505,Y$3,実績!$AC$6:$AC$505,"&lt;="&amp;$A230,実績!$AD$6:$AD$505,"&gt;"&amp;$A230,実績!$AE$6:$AE$505,"○")&gt;0,1,0))</f>
        <v/>
      </c>
      <c r="Z230">
        <f>IF(Z$4=0,0,IF(COUNTIFS(実績!$W$6:$W$505,Z$3,実績!$AC$6:$AC$505,"&lt;="&amp;$A230,実績!$AD$6:$AD$505,"&gt;"&amp;$A230,実績!$AE$6:$AE$505,"○")&gt;0,1,0))</f>
        <v/>
      </c>
      <c r="AA230">
        <f>IF(AA$4=0,0,IF(COUNTIFS(実績!$W$6:$W$505,AA$3,実績!$AC$6:$AC$505,"&lt;="&amp;$A230,実績!$AD$6:$AD$505,"&gt;"&amp;$A230,実績!$AE$6:$AE$505,"○")&gt;0,1,0))</f>
        <v/>
      </c>
      <c r="AB230">
        <f>IF(AB$4=0,0,IF(COUNTIFS(実績!$W$6:$W$505,AB$3,実績!$AC$6:$AC$505,"&lt;="&amp;$A230,実績!$AD$6:$AD$505,"&gt;"&amp;$A230,実績!$AE$6:$AE$505,"○")&gt;0,1,0))</f>
        <v/>
      </c>
      <c r="AC230">
        <f>IF(AC$4=0,0,IF(COUNTIFS(実績!$W$6:$W$505,AC$3,実績!$AC$6:$AC$505,"&lt;="&amp;$A230,実績!$AD$6:$AD$505,"&gt;"&amp;$A230,実績!$AE$6:$AE$505,"○")&gt;0,1,0))</f>
        <v/>
      </c>
      <c r="AD230">
        <f>IF(AD$4=0,0,IF(COUNTIFS(実績!$W$6:$W$505,AD$3,実績!$AC$6:$AC$505,"&lt;="&amp;$A230,実績!$AD$6:$AD$505,"&gt;"&amp;$A230,実績!$AE$6:$AE$505,"○")&gt;0,1,0))</f>
        <v/>
      </c>
      <c r="AE230">
        <f>IF(AE$4=0,0,IF(COUNTIFS(実績!$W$6:$W$505,AE$3,実績!$AC$6:$AC$505,"&lt;="&amp;$A230,実績!$AD$6:$AD$505,"&gt;"&amp;$A230,実績!$AE$6:$AE$505,"○")&gt;0,1,0))</f>
        <v/>
      </c>
      <c r="AF230">
        <f>IF(AF$4=0,0,IF(COUNTIFS(実績!$W$6:$W$505,AF$3,実績!$AC$6:$AC$505,"&lt;="&amp;$A230,実績!$AD$6:$AD$505,"&gt;"&amp;$A230,実績!$AE$6:$AE$505,"○")&gt;0,1,0))</f>
        <v/>
      </c>
      <c r="AG230">
        <f>IF(AG$4=0,0,IF(COUNTIFS(実績!$W$6:$W$505,AG$3,実績!$AC$6:$AC$505,"&lt;="&amp;$A230,実績!$AD$6:$AD$505,"&gt;"&amp;$A230,実績!$AE$6:$AE$505,"○")&gt;0,1,0))</f>
        <v/>
      </c>
      <c r="AH230">
        <f>IF(AH$4=0,0,IF(COUNTIFS(実績!$W$6:$W$505,AH$3,実績!$AC$6:$AC$505,"&lt;="&amp;$A230,実績!$AD$6:$AD$505,"&gt;"&amp;$A230,実績!$AE$6:$AE$505,"○")&gt;0,1,0))</f>
        <v/>
      </c>
      <c r="AI230">
        <f>IF(AI$4=0,0,IF(COUNTIFS(実績!$W$6:$W$505,AI$3,実績!$AC$6:$AC$505,"&lt;="&amp;$A230,実績!$AD$6:$AD$505,"&gt;"&amp;$A230,実績!$AE$6:$AE$505,"○")&gt;0,1,0))</f>
        <v/>
      </c>
      <c r="AJ230">
        <f>IF(AJ$4=0,0,IF(COUNTIFS(実績!$W$6:$W$505,AJ$3,実績!$AC$6:$AC$505,"&lt;="&amp;$A230,実績!$AD$6:$AD$505,"&gt;"&amp;$A230,実績!$AE$6:$AE$505,"○")&gt;0,1,0))</f>
        <v/>
      </c>
      <c r="AK230">
        <f>IF(AK$4=0,0,IF(COUNTIFS(実績!$W$6:$W$505,AK$3,実績!$AC$6:$AC$505,"&lt;="&amp;$A230,実績!$AD$6:$AD$505,"&gt;"&amp;$A230,実績!$AE$6:$AE$505,"○")&gt;0,1,0))</f>
        <v/>
      </c>
      <c r="AL230">
        <f>IF(AL$4=0,0,IF(COUNTIFS(実績!$W$6:$W$505,AL$3,実績!$AC$6:$AC$505,"&lt;="&amp;$A230,実績!$AD$6:$AD$505,"&gt;"&amp;$A230,実績!$AE$6:$AE$505,"○")&gt;0,1,0))</f>
        <v/>
      </c>
      <c r="AM230">
        <f>IF(AM$4=0,0,IF(COUNTIFS(実績!$W$6:$W$505,AM$3,実績!$AC$6:$AC$505,"&lt;="&amp;$A230,実績!$AD$6:$AD$505,"&gt;"&amp;$A230,実績!$AE$6:$AE$505,"○")&gt;0,1,0))</f>
        <v/>
      </c>
      <c r="AN230">
        <f>IF(AN$4=0,0,IF(COUNTIFS(実績!$W$6:$W$505,AN$3,実績!$AC$6:$AC$505,"&lt;="&amp;$A230,実績!$AD$6:$AD$505,"&gt;"&amp;$A230,実績!$AE$6:$AE$505,"○")&gt;0,1,0))</f>
        <v/>
      </c>
      <c r="AO230">
        <f>IF(AO$4=0,0,IF(COUNTIFS(実績!$W$6:$W$505,AO$3,実績!$AC$6:$AC$505,"&lt;="&amp;$A230,実績!$AD$6:$AD$505,"&gt;"&amp;$A230,実績!$AE$6:$AE$505,"○")&gt;0,1,0))</f>
        <v/>
      </c>
      <c r="AP230">
        <f>IF(AP$4=0,0,IF(COUNTIFS(実績!$W$6:$W$505,AP$3,実績!$AC$6:$AC$505,"&lt;="&amp;$A230,実績!$AD$6:$AD$505,"&gt;"&amp;$A230,実績!$AE$6:$AE$505,"○")&gt;0,1,0))</f>
        <v/>
      </c>
      <c r="AQ230">
        <f>IF(AQ$4=0,0,IF(COUNTIFS(実績!$W$6:$W$505,AQ$3,実績!$AC$6:$AC$505,"&lt;="&amp;$A230,実績!$AD$6:$AD$505,"&gt;"&amp;$A230,実績!$AE$6:$AE$505,"○")&gt;0,1,0))</f>
        <v/>
      </c>
      <c r="AR230">
        <f>IF(AR$4=0,0,IF(COUNTIFS(実績!$W$6:$W$505,AR$3,実績!$AC$6:$AC$505,"&lt;="&amp;$A230,実績!$AD$6:$AD$505,"&gt;"&amp;$A230,実績!$AE$6:$AE$505,"○")&gt;0,1,0))</f>
        <v/>
      </c>
      <c r="AS230">
        <f>IF(AS$4=0,0,IF(COUNTIFS(実績!$W$6:$W$505,AS$3,実績!$AC$6:$AC$505,"&lt;="&amp;$A230,実績!$AD$6:$AD$505,"&gt;"&amp;$A230,実績!$AE$6:$AE$505,"○")&gt;0,1,0))</f>
        <v/>
      </c>
      <c r="AT230">
        <f>IF(AT$4=0,0,IF(COUNTIFS(実績!$W$6:$W$505,AT$3,実績!$AC$6:$AC$505,"&lt;="&amp;$A230,実績!$AD$6:$AD$505,"&gt;"&amp;$A230,実績!$AE$6:$AE$505,"○")&gt;0,1,0))</f>
        <v/>
      </c>
      <c r="AU230">
        <f>IF(AU$4=0,0,IF(COUNTIFS(実績!$W$6:$W$505,AU$3,実績!$AC$6:$AC$505,"&lt;="&amp;$A230,実績!$AD$6:$AD$505,"&gt;"&amp;$A230,実績!$AE$6:$AE$505,"○")&gt;0,1,0))</f>
        <v/>
      </c>
      <c r="AV230">
        <f>IF(AV$4=0,0,IF(COUNTIFS(実績!$W$6:$W$505,AV$3,実績!$AC$6:$AC$505,"&lt;="&amp;$A230,実績!$AD$6:$AD$505,"&gt;"&amp;$A230,実績!$AE$6:$AE$505,"○")&gt;0,1,0))</f>
        <v/>
      </c>
      <c r="AW230">
        <f>IF(AW$4=0,0,IF(COUNTIFS(実績!$W$6:$W$505,AW$3,実績!$AC$6:$AC$505,"&lt;="&amp;$A230,実績!$AD$6:$AD$505,"&gt;"&amp;$A230,実績!$AE$6:$AE$505,"○")&gt;0,1,0))</f>
        <v/>
      </c>
      <c r="AX230">
        <f>IF(AX$4=0,0,IF(COUNTIFS(実績!$W$6:$W$505,AX$3,実績!$AC$6:$AC$505,"&lt;="&amp;$A230,実績!$AD$6:$AD$505,"&gt;"&amp;$A230,実績!$AE$6:$AE$505,"○")&gt;0,1,0))</f>
        <v/>
      </c>
      <c r="AY230">
        <f>IF(AY$4=0,0,IF(COUNTIFS(実績!$W$6:$W$505,AY$3,実績!$AC$6:$AC$505,"&lt;="&amp;$A230,実績!$AD$6:$AD$505,"&gt;"&amp;$A230,実績!$AE$6:$AE$505,"○")&gt;0,1,0))</f>
        <v/>
      </c>
      <c r="AZ230">
        <f>IF(AZ$4=0,0,IF(COUNTIFS(実績!$W$6:$W$505,AZ$3,実績!$AC$6:$AC$505,"&lt;="&amp;$A230,実績!$AD$6:$AD$505,"&gt;"&amp;$A230,実績!$AE$6:$AE$505,"○")&gt;0,1,0))</f>
        <v/>
      </c>
      <c r="BA230">
        <f>IF(BA$4=0,0,IF(COUNTIFS(実績!$W$6:$W$505,BA$3,実績!$AC$6:$AC$505,"&lt;="&amp;$A230,実績!$AD$6:$AD$505,"&gt;"&amp;$A230,実績!$AE$6:$AE$505,"○")&gt;0,1,0))</f>
        <v/>
      </c>
      <c r="BB230">
        <f>IF(BB$4=0,0,IF(COUNTIFS(実績!$W$6:$W$505,BB$3,実績!$AC$6:$AC$505,"&lt;="&amp;$A230,実績!$AD$6:$AD$505,"&gt;"&amp;$A230,実績!$AE$6:$AE$505,"○")&gt;0,1,0))</f>
        <v/>
      </c>
      <c r="BC230">
        <f>IF(BC$4=0,0,IF(COUNTIFS(実績!$W$6:$W$505,BC$3,実績!$AC$6:$AC$505,"&lt;="&amp;$A230,実績!$AD$6:$AD$505,"&gt;"&amp;$A230,実績!$AE$6:$AE$505,"○")&gt;0,1,0))</f>
        <v/>
      </c>
      <c r="BD230">
        <f>IF(BD$4=0,0,IF(COUNTIFS(実績!$W$6:$W$505,BD$3,実績!$AC$6:$AC$505,"&lt;="&amp;$A230,実績!$AD$6:$AD$505,"&gt;"&amp;$A230,実績!$AE$6:$AE$505,"○")&gt;0,1,0))</f>
        <v/>
      </c>
      <c r="BE230">
        <f>IF(BE$4=0,0,IF(COUNTIFS(実績!$W$6:$W$505,BE$3,実績!$AC$6:$AC$505,"&lt;="&amp;$A230,実績!$AD$6:$AD$505,"&gt;"&amp;$A230,実績!$AE$6:$AE$505,"○")&gt;0,1,0))</f>
        <v/>
      </c>
      <c r="BF230">
        <f>IF(BF$4=0,0,IF(COUNTIFS(実績!$W$6:$W$505,BF$3,実績!$AC$6:$AC$505,"&lt;="&amp;$A230,実績!$AD$6:$AD$505,"&gt;"&amp;$A230,実績!$AE$6:$AE$505,"○")&gt;0,1,0))</f>
        <v/>
      </c>
      <c r="BG230">
        <f>IF(BG$4=0,0,IF(COUNTIFS(実績!$W$6:$W$505,BG$3,実績!$AC$6:$AC$505,"&lt;="&amp;$A230,実績!$AD$6:$AD$505,"&gt;"&amp;$A230,実績!$AE$6:$AE$505,"○")&gt;0,1,0))</f>
        <v/>
      </c>
      <c r="BH230">
        <f>IF(BH$4=0,0,IF(COUNTIFS(実績!$W$6:$W$505,BH$3,実績!$AC$6:$AC$505,"&lt;="&amp;$A230,実績!$AD$6:$AD$505,"&gt;"&amp;$A230,実績!$AE$6:$AE$505,"○")&gt;0,1,0))</f>
        <v/>
      </c>
      <c r="BI230">
        <f>IF(BI$4=0,0,IF(COUNTIFS(実績!$W$6:$W$505,BI$3,実績!$AC$6:$AC$505,"&lt;="&amp;$A230,実績!$AD$6:$AD$505,"&gt;"&amp;$A230,実績!$AE$6:$AE$505,"○")&gt;0,1,0))</f>
        <v/>
      </c>
      <c r="BJ230">
        <f>IF(BJ$4=0,0,IF(COUNTIFS(実績!$W$6:$W$505,BJ$3,実績!$AC$6:$AC$505,"&lt;="&amp;$A230,実績!$AD$6:$AD$505,"&gt;"&amp;$A230,実績!$AE$6:$AE$505,"○")&gt;0,1,0))</f>
        <v/>
      </c>
      <c r="BK230">
        <f>IF(BK$4=0,0,IF(COUNTIFS(実績!$W$6:$W$505,BK$3,実績!$AC$6:$AC$505,"&lt;="&amp;$A230,実績!$AD$6:$AD$505,"&gt;"&amp;$A230,実績!$AE$6:$AE$505,"○")&gt;0,1,0))</f>
        <v/>
      </c>
      <c r="BL230">
        <f>IF(BL$4=0,0,IF(COUNTIFS(実績!$W$6:$W$505,BL$3,実績!$AC$6:$AC$505,"&lt;="&amp;$A230,実績!$AD$6:$AD$505,"&gt;"&amp;$A230,実績!$AE$6:$AE$505,"○")&gt;0,1,0))</f>
        <v/>
      </c>
      <c r="BM230">
        <f>IF(BM$4=0,0,IF(COUNTIFS(実績!$W$6:$W$505,BM$3,実績!$AC$6:$AC$505,"&lt;="&amp;$A230,実績!$AD$6:$AD$505,"&gt;"&amp;$A230,実績!$AE$6:$AE$505,"○")&gt;0,1,0))</f>
        <v/>
      </c>
      <c r="BN230">
        <f>IF(BN$4=0,0,IF(COUNTIFS(実績!$W$6:$W$505,BN$3,実績!$AC$6:$AC$505,"&lt;="&amp;$A230,実績!$AD$6:$AD$505,"&gt;"&amp;$A230,実績!$AE$6:$AE$505,"○")&gt;0,1,0))</f>
        <v/>
      </c>
      <c r="BO230">
        <f>IF(BO$4=0,0,IF(COUNTIFS(実績!$W$6:$W$505,BO$3,実績!$AC$6:$AC$505,"&lt;="&amp;$A230,実績!$AD$6:$AD$505,"&gt;"&amp;$A230,実績!$AE$6:$AE$505,"○")&gt;0,1,0))</f>
        <v/>
      </c>
      <c r="BP230">
        <f>IF(BP$4=0,0,IF(COUNTIFS(実績!$W$6:$W$505,BP$3,実績!$AC$6:$AC$505,"&lt;="&amp;$A230,実績!$AD$6:$AD$505,"&gt;"&amp;$A230,実績!$AE$6:$AE$505,"○")&gt;0,1,0))</f>
        <v/>
      </c>
      <c r="BQ230">
        <f>IF(BQ$4=0,0,IF(COUNTIFS(実績!$W$6:$W$505,BQ$3,実績!$AC$6:$AC$505,"&lt;="&amp;$A230,実績!$AD$6:$AD$505,"&gt;"&amp;$A230,実績!$AE$6:$AE$505,"○")&gt;0,1,0))</f>
        <v/>
      </c>
      <c r="BR230">
        <f>IF(BR$4=0,0,IF(COUNTIFS(実績!$W$6:$W$505,BR$3,実績!$AC$6:$AC$505,"&lt;="&amp;$A230,実績!$AD$6:$AD$505,"&gt;"&amp;$A230,実績!$AE$6:$AE$505,"○")&gt;0,1,0))</f>
        <v/>
      </c>
      <c r="BS230">
        <f>IF(BS$4=0,0,IF(COUNTIFS(実績!$W$6:$W$505,BS$3,実績!$AC$6:$AC$505,"&lt;="&amp;$A230,実績!$AD$6:$AD$505,"&gt;"&amp;$A230,実績!$AE$6:$AE$505,"○")&gt;0,1,0))</f>
        <v/>
      </c>
      <c r="BT230">
        <f>IF(BT$4=0,0,IF(COUNTIFS(実績!$W$6:$W$505,BT$3,実績!$AC$6:$AC$505,"&lt;="&amp;$A230,実績!$AD$6:$AD$505,"&gt;"&amp;$A230,実績!$AE$6:$AE$505,"○")&gt;0,1,0))</f>
        <v/>
      </c>
      <c r="BU230">
        <f>IF(BU$4=0,0,IF(COUNTIFS(実績!$W$6:$W$505,BU$3,実績!$AC$6:$AC$505,"&lt;="&amp;$A230,実績!$AD$6:$AD$505,"&gt;"&amp;$A230,実績!$AE$6:$AE$505,"○")&gt;0,1,0))</f>
        <v/>
      </c>
      <c r="BV230">
        <f>IF(BV$4=0,0,IF(COUNTIFS(実績!$W$6:$W$505,BV$3,実績!$AC$6:$AC$505,"&lt;="&amp;$A230,実績!$AD$6:$AD$505,"&gt;"&amp;$A230,実績!$AE$6:$AE$505,"○")&gt;0,1,0))</f>
        <v/>
      </c>
      <c r="BW230">
        <f>IF(BW$4=0,0,IF(COUNTIFS(実績!$W$6:$W$505,BW$3,実績!$AC$6:$AC$505,"&lt;="&amp;$A230,実績!$AD$6:$AD$505,"&gt;"&amp;$A230,実績!$AE$6:$AE$505,"○")&gt;0,1,0))</f>
        <v/>
      </c>
      <c r="BX230">
        <f>IF(BX$4=0,0,IF(COUNTIFS(実績!$W$6:$W$505,BX$3,実績!$AC$6:$AC$505,"&lt;="&amp;$A230,実績!$AD$6:$AD$505,"&gt;"&amp;$A230,実績!$AE$6:$AE$505,"○")&gt;0,1,0))</f>
        <v/>
      </c>
      <c r="BY230">
        <f>IF(BY$4=0,0,IF(COUNTIFS(実績!$W$6:$W$505,BY$3,実績!$AC$6:$AC$505,"&lt;="&amp;$A230,実績!$AD$6:$AD$505,"&gt;"&amp;$A230,実績!$AE$6:$AE$505,"○")&gt;0,1,0))</f>
        <v/>
      </c>
      <c r="BZ230">
        <f>IF(BZ$4=0,0,IF(COUNTIFS(実績!$W$6:$W$505,BZ$3,実績!$AC$6:$AC$505,"&lt;="&amp;$A230,実績!$AD$6:$AD$505,"&gt;"&amp;$A230,実績!$AE$6:$AE$505,"○")&gt;0,1,0))</f>
        <v/>
      </c>
      <c r="CA230">
        <f>IF(CA$4=0,0,IF(COUNTIFS(実績!$W$6:$W$505,CA$3,実績!$AC$6:$AC$505,"&lt;="&amp;$A230,実績!$AD$6:$AD$505,"&gt;"&amp;$A230,実績!$AE$6:$AE$505,"○")&gt;0,1,0))</f>
        <v/>
      </c>
      <c r="CB230">
        <f>IF(CB$4=0,0,IF(COUNTIFS(実績!$W$6:$W$505,CB$3,実績!$AC$6:$AC$505,"&lt;="&amp;$A230,実績!$AD$6:$AD$505,"&gt;"&amp;$A230,実績!$AE$6:$AE$505,"○")&gt;0,1,0))</f>
        <v/>
      </c>
      <c r="CC230">
        <f>IF(CC$4=0,0,IF(COUNTIFS(実績!$W$6:$W$505,CC$3,実績!$AC$6:$AC$505,"&lt;="&amp;$A230,実績!$AD$6:$AD$505,"&gt;"&amp;$A230,実績!$AE$6:$AE$505,"○")&gt;0,1,0))</f>
        <v/>
      </c>
      <c r="CD230">
        <f>IF(CD$4=0,0,IF(COUNTIFS(実績!$W$6:$W$505,CD$3,実績!$AC$6:$AC$505,"&lt;="&amp;$A230,実績!$AD$6:$AD$505,"&gt;"&amp;$A230,実績!$AE$6:$AE$505,"○")&gt;0,1,0))</f>
        <v/>
      </c>
      <c r="CE230">
        <f>IF(CE$4=0,0,IF(COUNTIFS(実績!$W$6:$W$505,CE$3,実績!$AC$6:$AC$505,"&lt;="&amp;$A230,実績!$AD$6:$AD$505,"&gt;"&amp;$A230,実績!$AE$6:$AE$505,"○")&gt;0,1,0))</f>
        <v/>
      </c>
      <c r="CF230">
        <f>IF(CF$4=0,0,IF(COUNTIFS(実績!$W$6:$W$505,CF$3,実績!$AC$6:$AC$505,"&lt;="&amp;$A230,実績!$AD$6:$AD$505,"&gt;"&amp;$A230,実績!$AE$6:$AE$505,"○")&gt;0,1,0))</f>
        <v/>
      </c>
      <c r="CG230">
        <f>IF(CG$4=0,0,IF(COUNTIFS(実績!$W$6:$W$505,CG$3,実績!$AC$6:$AC$505,"&lt;="&amp;$A230,実績!$AD$6:$AD$505,"&gt;"&amp;$A230,実績!$AE$6:$AE$505,"○")&gt;0,1,0))</f>
        <v/>
      </c>
      <c r="CH230">
        <f>IF(CH$4=0,0,IF(COUNTIFS(実績!$W$6:$W$505,CH$3,実績!$AC$6:$AC$505,"&lt;="&amp;$A230,実績!$AD$6:$AD$505,"&gt;"&amp;$A230,実績!$AE$6:$AE$505,"○")&gt;0,1,0))</f>
        <v/>
      </c>
      <c r="CI230">
        <f>IF(CI$4=0,0,IF(COUNTIFS(実績!$W$6:$W$505,CI$3,実績!$AC$6:$AC$505,"&lt;="&amp;$A230,実績!$AD$6:$AD$505,"&gt;"&amp;$A230,実績!$AE$6:$AE$505,"○")&gt;0,1,0))</f>
        <v/>
      </c>
      <c r="CJ230">
        <f>IF(CJ$4=0,0,IF(COUNTIFS(実績!$W$6:$W$505,CJ$3,実績!$AC$6:$AC$505,"&lt;="&amp;$A230,実績!$AD$6:$AD$505,"&gt;"&amp;$A230,実績!$AE$6:$AE$505,"○")&gt;0,1,0))</f>
        <v/>
      </c>
      <c r="CK230">
        <f>IF(CK$4=0,0,IF(COUNTIFS(実績!$W$6:$W$505,CK$3,実績!$AC$6:$AC$505,"&lt;="&amp;$A230,実績!$AD$6:$AD$505,"&gt;"&amp;$A230,実績!$AE$6:$AE$505,"○")&gt;0,1,0))</f>
        <v/>
      </c>
      <c r="CL230">
        <f>IF(CL$4=0,0,IF(COUNTIFS(実績!$W$6:$W$505,CL$3,実績!$AC$6:$AC$505,"&lt;="&amp;$A230,実績!$AD$6:$AD$505,"&gt;"&amp;$A230,実績!$AE$6:$AE$505,"○")&gt;0,1,0))</f>
        <v/>
      </c>
      <c r="CM230">
        <f>IF(CM$4=0,0,IF(COUNTIFS(実績!$W$6:$W$505,CM$3,実績!$AC$6:$AC$505,"&lt;="&amp;$A230,実績!$AD$6:$AD$505,"&gt;"&amp;$A230,実績!$AE$6:$AE$505,"○")&gt;0,1,0))</f>
        <v/>
      </c>
      <c r="CN230">
        <f>IF(CN$4=0,0,IF(COUNTIFS(実績!$W$6:$W$505,CN$3,実績!$AC$6:$AC$505,"&lt;="&amp;$A230,実績!$AD$6:$AD$505,"&gt;"&amp;$A230,実績!$AE$6:$AE$505,"○")&gt;0,1,0))</f>
        <v/>
      </c>
      <c r="CO230">
        <f>IF(CO$4=0,0,IF(COUNTIFS(実績!$W$6:$W$505,CO$3,実績!$AC$6:$AC$505,"&lt;="&amp;$A230,実績!$AD$6:$AD$505,"&gt;"&amp;$A230,実績!$AE$6:$AE$505,"○")&gt;0,1,0))</f>
        <v/>
      </c>
      <c r="CP230">
        <f>IF(CP$4=0,0,IF(COUNTIFS(実績!$W$6:$W$505,CP$3,実績!$AC$6:$AC$505,"&lt;="&amp;$A230,実績!$AD$6:$AD$505,"&gt;"&amp;$A230,実績!$AE$6:$AE$505,"○")&gt;0,1,0))</f>
        <v/>
      </c>
      <c r="CQ230">
        <f>IF(CQ$4=0,0,IF(COUNTIFS(実績!$W$6:$W$505,CQ$3,実績!$AC$6:$AC$505,"&lt;="&amp;$A230,実績!$AD$6:$AD$505,"&gt;"&amp;$A230,実績!$AE$6:$AE$505,"○")&gt;0,1,0))</f>
        <v/>
      </c>
      <c r="CR230">
        <f>IF(CR$4=0,0,IF(COUNTIFS(実績!$W$6:$W$505,CR$3,実績!$AC$6:$AC$505,"&lt;="&amp;$A230,実績!$AD$6:$AD$505,"&gt;"&amp;$A230,実績!$AE$6:$AE$505,"○")&gt;0,1,0))</f>
        <v/>
      </c>
      <c r="CS230">
        <f>IF(CS$4=0,0,IF(COUNTIFS(実績!$W$6:$W$505,CS$3,実績!$AC$6:$AC$505,"&lt;="&amp;$A230,実績!$AD$6:$AD$505,"&gt;"&amp;$A230,実績!$AE$6:$AE$505,"○")&gt;0,1,0))</f>
        <v/>
      </c>
      <c r="CT230">
        <f>IF(CT$4=0,0,IF(COUNTIFS(実績!$W$6:$W$505,CT$3,実績!$AC$6:$AC$505,"&lt;="&amp;$A230,実績!$AD$6:$AD$505,"&gt;"&amp;$A230,実績!$AE$6:$AE$505,"○")&gt;0,1,0))</f>
        <v/>
      </c>
      <c r="CU230">
        <f>IF(CU$4=0,0,IF(COUNTIFS(実績!$W$6:$W$505,CU$3,実績!$AC$6:$AC$505,"&lt;="&amp;$A230,実績!$AD$6:$AD$505,"&gt;"&amp;$A230,実績!$AE$6:$AE$505,"○")&gt;0,1,0))</f>
        <v/>
      </c>
      <c r="CV230">
        <f>IF(CV$4=0,0,IF(COUNTIFS(実績!$W$6:$W$505,CV$3,実績!$AC$6:$AC$505,"&lt;="&amp;$A230,実績!$AD$6:$AD$505,"&gt;"&amp;$A230,実績!$AE$6:$AE$505,"○")&gt;0,1,0))</f>
        <v/>
      </c>
      <c r="CW230">
        <f>IF(CW$4=0,0,IF(COUNTIFS(実績!$W$6:$W$505,CW$3,実績!$AC$6:$AC$505,"&lt;="&amp;$A230,実績!$AD$6:$AD$505,"&gt;"&amp;$A230,実績!$AE$6:$AE$505,"○")&gt;0,1,0))</f>
        <v/>
      </c>
      <c r="CX230">
        <f>IF(CX$4=0,0,IF(COUNTIFS(実績!$W$6:$W$505,CX$3,実績!$AC$6:$AC$505,"&lt;="&amp;$A230,実績!$AD$6:$AD$505,"&gt;"&amp;$A230,実績!$AE$6:$AE$505,"○")&gt;0,1,0))</f>
        <v/>
      </c>
      <c r="CY230">
        <f>IF(CY$4=0,0,IF(COUNTIFS(実績!$W$6:$W$505,CY$3,実績!$AC$6:$AC$505,"&lt;="&amp;$A230,実績!$AD$6:$AD$505,"&gt;"&amp;$A230,実績!$AE$6:$AE$505,"○")&gt;0,1,0))</f>
        <v/>
      </c>
      <c r="CZ230">
        <f>IF(CZ$4=0,0,IF(COUNTIFS(実績!$W$6:$W$505,CZ$3,実績!$AC$6:$AC$505,"&lt;="&amp;$A230,実績!$AD$6:$AD$505,"&gt;"&amp;$A230,実績!$AE$6:$AE$505,"○")&gt;0,1,0))</f>
        <v/>
      </c>
      <c r="DA230">
        <f>IF(DA$4=0,0,IF(COUNTIFS(実績!$W$6:$W$505,DA$3,実績!$AC$6:$AC$505,"&lt;="&amp;$A230,実績!$AD$6:$AD$505,"&gt;"&amp;$A230,実績!$AE$6:$AE$505,"○")&gt;0,1,0))</f>
        <v/>
      </c>
      <c r="DB230">
        <f>IF(DB$4=0,0,IF(COUNTIFS(実績!$W$6:$W$505,DB$3,実績!$AC$6:$AC$505,"&lt;="&amp;$A230,実績!$AD$6:$AD$505,"&gt;"&amp;$A230,実績!$AE$6:$AE$505,"○")&gt;0,1,0))</f>
        <v/>
      </c>
      <c r="DC230">
        <f>IF(DC$4=0,0,IF(COUNTIFS(実績!$W$6:$W$505,DC$3,実績!$AC$6:$AC$505,"&lt;="&amp;$A230,実績!$AD$6:$AD$505,"&gt;"&amp;$A230,実績!$AE$6:$AE$505,"○")&gt;0,1,0))</f>
        <v/>
      </c>
      <c r="DD230">
        <f>IF(DD$4=0,0,IF(COUNTIFS(実績!$W$6:$W$505,DD$3,実績!$AC$6:$AC$505,"&lt;="&amp;$A230,実績!$AD$6:$AD$505,"&gt;"&amp;$A230,実績!$AE$6:$AE$505,"○")&gt;0,1,0))</f>
        <v/>
      </c>
      <c r="DE230">
        <f>IF(DE$4=0,0,IF(COUNTIFS(実績!$W$6:$W$505,DE$3,実績!$AC$6:$AC$505,"&lt;="&amp;$A230,実績!$AD$6:$AD$505,"&gt;"&amp;$A230,実績!$AE$6:$AE$505,"○")&gt;0,1,0))</f>
        <v/>
      </c>
      <c r="DF230">
        <f>IF(DF$4=0,0,IF(COUNTIFS(実績!$W$6:$W$505,DF$3,実績!$AC$6:$AC$505,"&lt;="&amp;$A230,実績!$AD$6:$AD$505,"&gt;"&amp;$A230,実績!$AE$6:$AE$505,"○")&gt;0,1,0))</f>
        <v/>
      </c>
      <c r="DG230">
        <f>IF(DG$4=0,0,IF(COUNTIFS(実績!$W$6:$W$505,DG$3,実績!$AC$6:$AC$505,"&lt;="&amp;$A230,実績!$AD$6:$AD$505,"&gt;"&amp;$A230,実績!$AE$6:$AE$505,"○")&gt;0,1,0))</f>
        <v/>
      </c>
      <c r="DH230">
        <f>IF(DH$4=0,0,IF(COUNTIFS(実績!$W$6:$W$505,DH$3,実績!$AC$6:$AC$505,"&lt;="&amp;$A230,実績!$AD$6:$AD$505,"&gt;"&amp;$A230,実績!$AE$6:$AE$505,"○")&gt;0,1,0))</f>
        <v/>
      </c>
      <c r="DI230">
        <f>IF(DI$4=0,0,IF(COUNTIFS(実績!$W$6:$W$505,DI$3,実績!$AC$6:$AC$505,"&lt;="&amp;$A230,実績!$AD$6:$AD$505,"&gt;"&amp;$A230,実績!$AE$6:$AE$505,"○")&gt;0,1,0))</f>
        <v/>
      </c>
      <c r="DJ230">
        <f>IF(DJ$4=0,0,IF(COUNTIFS(実績!$W$6:$W$505,DJ$3,実績!$AC$6:$AC$505,"&lt;="&amp;$A230,実績!$AD$6:$AD$505,"&gt;"&amp;$A230,実績!$AE$6:$AE$505,"○")&gt;0,1,0))</f>
        <v/>
      </c>
      <c r="DK230">
        <f>IF(DK$4=0,0,IF(COUNTIFS(実績!$W$6:$W$505,DK$3,実績!$AC$6:$AC$505,"&lt;="&amp;$A230,実績!$AD$6:$AD$505,"&gt;"&amp;$A230,実績!$AE$6:$AE$505,"○")&gt;0,1,0))</f>
        <v/>
      </c>
      <c r="DL230">
        <f>IF(DL$4=0,0,IF(COUNTIFS(実績!$W$6:$W$505,DL$3,実績!$AC$6:$AC$505,"&lt;="&amp;$A230,実績!$AD$6:$AD$505,"&gt;"&amp;$A230,実績!$AE$6:$AE$505,"○")&gt;0,1,0))</f>
        <v/>
      </c>
      <c r="DM230">
        <f>IF(DM$4=0,0,IF(COUNTIFS(実績!$W$6:$W$505,DM$3,実績!$AC$6:$AC$505,"&lt;="&amp;$A230,実績!$AD$6:$AD$505,"&gt;"&amp;$A230,実績!$AE$6:$AE$505,"○")&gt;0,1,0))</f>
        <v/>
      </c>
      <c r="DN230">
        <f>IF(DN$4=0,0,IF(COUNTIFS(実績!$W$6:$W$505,DN$3,実績!$AC$6:$AC$505,"&lt;="&amp;$A230,実績!$AD$6:$AD$505,"&gt;"&amp;$A230,実績!$AE$6:$AE$505,"○")&gt;0,1,0))</f>
        <v/>
      </c>
      <c r="DO230">
        <f>IF(DO$4=0,0,IF(COUNTIFS(実績!$W$6:$W$505,DO$3,実績!$AC$6:$AC$505,"&lt;="&amp;$A230,実績!$AD$6:$AD$505,"&gt;"&amp;$A230,実績!$AE$6:$AE$505,"○")&gt;0,1,0))</f>
        <v/>
      </c>
      <c r="DP230">
        <f>IF(DP$4=0,0,IF(COUNTIFS(実績!$W$6:$W$505,DP$3,実績!$AC$6:$AC$505,"&lt;="&amp;$A230,実績!$AD$6:$AD$505,"&gt;"&amp;$A230,実績!$AE$6:$AE$505,"○")&gt;0,1,0))</f>
        <v/>
      </c>
      <c r="DQ230">
        <f>IF(DQ$4=0,0,IF(COUNTIFS(実績!$W$6:$W$505,DQ$3,実績!$AC$6:$AC$505,"&lt;="&amp;$A230,実績!$AD$6:$AD$505,"&gt;"&amp;$A230,実績!$AE$6:$AE$505,"○")&gt;0,1,0))</f>
        <v/>
      </c>
      <c r="DR230">
        <f>IF(DR$4=0,0,IF(COUNTIFS(実績!$W$6:$W$505,DR$3,実績!$AC$6:$AC$505,"&lt;="&amp;$A230,実績!$AD$6:$AD$505,"&gt;"&amp;$A230,実績!$AE$6:$AE$505,"○")&gt;0,1,0))</f>
        <v/>
      </c>
      <c r="DS230">
        <f>SUM(C230:DR230)</f>
        <v/>
      </c>
      <c r="DT230">
        <f>SUMPRODUCT((実績!$C$6:$C$505="○")*ISNUMBER(実績!$AF$6:$AF$505)*(実績!$AF$6:$AF$505&lt;=$A230)*(実績!$AG$6:$AG$505&gt;$A230))</f>
        <v/>
      </c>
      <c r="DU230">
        <f>SUMIF($C$2:$DR$2,"製鉄曳船",C230:DR230)</f>
        <v/>
      </c>
      <c r="DV230">
        <f>SUMIF($C$2:$DR$2,"西日本海運",C230:DR230)</f>
        <v/>
      </c>
    </row>
    <row r="231">
      <c r="A231" t="n">
        <v>1125</v>
      </c>
      <c r="B231" s="29">
        <f>A231/1440</f>
        <v/>
      </c>
      <c r="C231">
        <f>IF(C$4=0,0,IF(COUNTIFS(実績!$W$6:$W$505,C$3,実績!$AC$6:$AC$505,"&lt;="&amp;$A231,実績!$AD$6:$AD$505,"&gt;"&amp;$A231,実績!$AE$6:$AE$505,"○")&gt;0,1,0))</f>
        <v/>
      </c>
      <c r="D231">
        <f>IF(D$4=0,0,IF(COUNTIFS(実績!$W$6:$W$505,D$3,実績!$AC$6:$AC$505,"&lt;="&amp;$A231,実績!$AD$6:$AD$505,"&gt;"&amp;$A231,実績!$AE$6:$AE$505,"○")&gt;0,1,0))</f>
        <v/>
      </c>
      <c r="E231">
        <f>IF(E$4=0,0,IF(COUNTIFS(実績!$W$6:$W$505,E$3,実績!$AC$6:$AC$505,"&lt;="&amp;$A231,実績!$AD$6:$AD$505,"&gt;"&amp;$A231,実績!$AE$6:$AE$505,"○")&gt;0,1,0))</f>
        <v/>
      </c>
      <c r="F231">
        <f>IF(F$4=0,0,IF(COUNTIFS(実績!$W$6:$W$505,F$3,実績!$AC$6:$AC$505,"&lt;="&amp;$A231,実績!$AD$6:$AD$505,"&gt;"&amp;$A231,実績!$AE$6:$AE$505,"○")&gt;0,1,0))</f>
        <v/>
      </c>
      <c r="G231">
        <f>IF(G$4=0,0,IF(COUNTIFS(実績!$W$6:$W$505,G$3,実績!$AC$6:$AC$505,"&lt;="&amp;$A231,実績!$AD$6:$AD$505,"&gt;"&amp;$A231,実績!$AE$6:$AE$505,"○")&gt;0,1,0))</f>
        <v/>
      </c>
      <c r="H231">
        <f>IF(H$4=0,0,IF(COUNTIFS(実績!$W$6:$W$505,H$3,実績!$AC$6:$AC$505,"&lt;="&amp;$A231,実績!$AD$6:$AD$505,"&gt;"&amp;$A231,実績!$AE$6:$AE$505,"○")&gt;0,1,0))</f>
        <v/>
      </c>
      <c r="I231">
        <f>IF(I$4=0,0,IF(COUNTIFS(実績!$W$6:$W$505,I$3,実績!$AC$6:$AC$505,"&lt;="&amp;$A231,実績!$AD$6:$AD$505,"&gt;"&amp;$A231,実績!$AE$6:$AE$505,"○")&gt;0,1,0))</f>
        <v/>
      </c>
      <c r="J231">
        <f>IF(J$4=0,0,IF(COUNTIFS(実績!$W$6:$W$505,J$3,実績!$AC$6:$AC$505,"&lt;="&amp;$A231,実績!$AD$6:$AD$505,"&gt;"&amp;$A231,実績!$AE$6:$AE$505,"○")&gt;0,1,0))</f>
        <v/>
      </c>
      <c r="K231">
        <f>IF(K$4=0,0,IF(COUNTIFS(実績!$W$6:$W$505,K$3,実績!$AC$6:$AC$505,"&lt;="&amp;$A231,実績!$AD$6:$AD$505,"&gt;"&amp;$A231,実績!$AE$6:$AE$505,"○")&gt;0,1,0))</f>
        <v/>
      </c>
      <c r="L231">
        <f>IF(L$4=0,0,IF(COUNTIFS(実績!$W$6:$W$505,L$3,実績!$AC$6:$AC$505,"&lt;="&amp;$A231,実績!$AD$6:$AD$505,"&gt;"&amp;$A231,実績!$AE$6:$AE$505,"○")&gt;0,1,0))</f>
        <v/>
      </c>
      <c r="M231">
        <f>IF(M$4=0,0,IF(COUNTIFS(実績!$W$6:$W$505,M$3,実績!$AC$6:$AC$505,"&lt;="&amp;$A231,実績!$AD$6:$AD$505,"&gt;"&amp;$A231,実績!$AE$6:$AE$505,"○")&gt;0,1,0))</f>
        <v/>
      </c>
      <c r="N231">
        <f>IF(N$4=0,0,IF(COUNTIFS(実績!$W$6:$W$505,N$3,実績!$AC$6:$AC$505,"&lt;="&amp;$A231,実績!$AD$6:$AD$505,"&gt;"&amp;$A231,実績!$AE$6:$AE$505,"○")&gt;0,1,0))</f>
        <v/>
      </c>
      <c r="O231">
        <f>IF(O$4=0,0,IF(COUNTIFS(実績!$W$6:$W$505,O$3,実績!$AC$6:$AC$505,"&lt;="&amp;$A231,実績!$AD$6:$AD$505,"&gt;"&amp;$A231,実績!$AE$6:$AE$505,"○")&gt;0,1,0))</f>
        <v/>
      </c>
      <c r="P231">
        <f>IF(P$4=0,0,IF(COUNTIFS(実績!$W$6:$W$505,P$3,実績!$AC$6:$AC$505,"&lt;="&amp;$A231,実績!$AD$6:$AD$505,"&gt;"&amp;$A231,実績!$AE$6:$AE$505,"○")&gt;0,1,0))</f>
        <v/>
      </c>
      <c r="Q231">
        <f>IF(Q$4=0,0,IF(COUNTIFS(実績!$W$6:$W$505,Q$3,実績!$AC$6:$AC$505,"&lt;="&amp;$A231,実績!$AD$6:$AD$505,"&gt;"&amp;$A231,実績!$AE$6:$AE$505,"○")&gt;0,1,0))</f>
        <v/>
      </c>
      <c r="R231">
        <f>IF(R$4=0,0,IF(COUNTIFS(実績!$W$6:$W$505,R$3,実績!$AC$6:$AC$505,"&lt;="&amp;$A231,実績!$AD$6:$AD$505,"&gt;"&amp;$A231,実績!$AE$6:$AE$505,"○")&gt;0,1,0))</f>
        <v/>
      </c>
      <c r="S231">
        <f>IF(S$4=0,0,IF(COUNTIFS(実績!$W$6:$W$505,S$3,実績!$AC$6:$AC$505,"&lt;="&amp;$A231,実績!$AD$6:$AD$505,"&gt;"&amp;$A231,実績!$AE$6:$AE$505,"○")&gt;0,1,0))</f>
        <v/>
      </c>
      <c r="T231">
        <f>IF(T$4=0,0,IF(COUNTIFS(実績!$W$6:$W$505,T$3,実績!$AC$6:$AC$505,"&lt;="&amp;$A231,実績!$AD$6:$AD$505,"&gt;"&amp;$A231,実績!$AE$6:$AE$505,"○")&gt;0,1,0))</f>
        <v/>
      </c>
      <c r="U231">
        <f>IF(U$4=0,0,IF(COUNTIFS(実績!$W$6:$W$505,U$3,実績!$AC$6:$AC$505,"&lt;="&amp;$A231,実績!$AD$6:$AD$505,"&gt;"&amp;$A231,実績!$AE$6:$AE$505,"○")&gt;0,1,0))</f>
        <v/>
      </c>
      <c r="V231">
        <f>IF(V$4=0,0,IF(COUNTIFS(実績!$W$6:$W$505,V$3,実績!$AC$6:$AC$505,"&lt;="&amp;$A231,実績!$AD$6:$AD$505,"&gt;"&amp;$A231,実績!$AE$6:$AE$505,"○")&gt;0,1,0))</f>
        <v/>
      </c>
      <c r="W231">
        <f>IF(W$4=0,0,IF(COUNTIFS(実績!$W$6:$W$505,W$3,実績!$AC$6:$AC$505,"&lt;="&amp;$A231,実績!$AD$6:$AD$505,"&gt;"&amp;$A231,実績!$AE$6:$AE$505,"○")&gt;0,1,0))</f>
        <v/>
      </c>
      <c r="X231">
        <f>IF(X$4=0,0,IF(COUNTIFS(実績!$W$6:$W$505,X$3,実績!$AC$6:$AC$505,"&lt;="&amp;$A231,実績!$AD$6:$AD$505,"&gt;"&amp;$A231,実績!$AE$6:$AE$505,"○")&gt;0,1,0))</f>
        <v/>
      </c>
      <c r="Y231">
        <f>IF(Y$4=0,0,IF(COUNTIFS(実績!$W$6:$W$505,Y$3,実績!$AC$6:$AC$505,"&lt;="&amp;$A231,実績!$AD$6:$AD$505,"&gt;"&amp;$A231,実績!$AE$6:$AE$505,"○")&gt;0,1,0))</f>
        <v/>
      </c>
      <c r="Z231">
        <f>IF(Z$4=0,0,IF(COUNTIFS(実績!$W$6:$W$505,Z$3,実績!$AC$6:$AC$505,"&lt;="&amp;$A231,実績!$AD$6:$AD$505,"&gt;"&amp;$A231,実績!$AE$6:$AE$505,"○")&gt;0,1,0))</f>
        <v/>
      </c>
      <c r="AA231">
        <f>IF(AA$4=0,0,IF(COUNTIFS(実績!$W$6:$W$505,AA$3,実績!$AC$6:$AC$505,"&lt;="&amp;$A231,実績!$AD$6:$AD$505,"&gt;"&amp;$A231,実績!$AE$6:$AE$505,"○")&gt;0,1,0))</f>
        <v/>
      </c>
      <c r="AB231">
        <f>IF(AB$4=0,0,IF(COUNTIFS(実績!$W$6:$W$505,AB$3,実績!$AC$6:$AC$505,"&lt;="&amp;$A231,実績!$AD$6:$AD$505,"&gt;"&amp;$A231,実績!$AE$6:$AE$505,"○")&gt;0,1,0))</f>
        <v/>
      </c>
      <c r="AC231">
        <f>IF(AC$4=0,0,IF(COUNTIFS(実績!$W$6:$W$505,AC$3,実績!$AC$6:$AC$505,"&lt;="&amp;$A231,実績!$AD$6:$AD$505,"&gt;"&amp;$A231,実績!$AE$6:$AE$505,"○")&gt;0,1,0))</f>
        <v/>
      </c>
      <c r="AD231">
        <f>IF(AD$4=0,0,IF(COUNTIFS(実績!$W$6:$W$505,AD$3,実績!$AC$6:$AC$505,"&lt;="&amp;$A231,実績!$AD$6:$AD$505,"&gt;"&amp;$A231,実績!$AE$6:$AE$505,"○")&gt;0,1,0))</f>
        <v/>
      </c>
      <c r="AE231">
        <f>IF(AE$4=0,0,IF(COUNTIFS(実績!$W$6:$W$505,AE$3,実績!$AC$6:$AC$505,"&lt;="&amp;$A231,実績!$AD$6:$AD$505,"&gt;"&amp;$A231,実績!$AE$6:$AE$505,"○")&gt;0,1,0))</f>
        <v/>
      </c>
      <c r="AF231">
        <f>IF(AF$4=0,0,IF(COUNTIFS(実績!$W$6:$W$505,AF$3,実績!$AC$6:$AC$505,"&lt;="&amp;$A231,実績!$AD$6:$AD$505,"&gt;"&amp;$A231,実績!$AE$6:$AE$505,"○")&gt;0,1,0))</f>
        <v/>
      </c>
      <c r="AG231">
        <f>IF(AG$4=0,0,IF(COUNTIFS(実績!$W$6:$W$505,AG$3,実績!$AC$6:$AC$505,"&lt;="&amp;$A231,実績!$AD$6:$AD$505,"&gt;"&amp;$A231,実績!$AE$6:$AE$505,"○")&gt;0,1,0))</f>
        <v/>
      </c>
      <c r="AH231">
        <f>IF(AH$4=0,0,IF(COUNTIFS(実績!$W$6:$W$505,AH$3,実績!$AC$6:$AC$505,"&lt;="&amp;$A231,実績!$AD$6:$AD$505,"&gt;"&amp;$A231,実績!$AE$6:$AE$505,"○")&gt;0,1,0))</f>
        <v/>
      </c>
      <c r="AI231">
        <f>IF(AI$4=0,0,IF(COUNTIFS(実績!$W$6:$W$505,AI$3,実績!$AC$6:$AC$505,"&lt;="&amp;$A231,実績!$AD$6:$AD$505,"&gt;"&amp;$A231,実績!$AE$6:$AE$505,"○")&gt;0,1,0))</f>
        <v/>
      </c>
      <c r="AJ231">
        <f>IF(AJ$4=0,0,IF(COUNTIFS(実績!$W$6:$W$505,AJ$3,実績!$AC$6:$AC$505,"&lt;="&amp;$A231,実績!$AD$6:$AD$505,"&gt;"&amp;$A231,実績!$AE$6:$AE$505,"○")&gt;0,1,0))</f>
        <v/>
      </c>
      <c r="AK231">
        <f>IF(AK$4=0,0,IF(COUNTIFS(実績!$W$6:$W$505,AK$3,実績!$AC$6:$AC$505,"&lt;="&amp;$A231,実績!$AD$6:$AD$505,"&gt;"&amp;$A231,実績!$AE$6:$AE$505,"○")&gt;0,1,0))</f>
        <v/>
      </c>
      <c r="AL231">
        <f>IF(AL$4=0,0,IF(COUNTIFS(実績!$W$6:$W$505,AL$3,実績!$AC$6:$AC$505,"&lt;="&amp;$A231,実績!$AD$6:$AD$505,"&gt;"&amp;$A231,実績!$AE$6:$AE$505,"○")&gt;0,1,0))</f>
        <v/>
      </c>
      <c r="AM231">
        <f>IF(AM$4=0,0,IF(COUNTIFS(実績!$W$6:$W$505,AM$3,実績!$AC$6:$AC$505,"&lt;="&amp;$A231,実績!$AD$6:$AD$505,"&gt;"&amp;$A231,実績!$AE$6:$AE$505,"○")&gt;0,1,0))</f>
        <v/>
      </c>
      <c r="AN231">
        <f>IF(AN$4=0,0,IF(COUNTIFS(実績!$W$6:$W$505,AN$3,実績!$AC$6:$AC$505,"&lt;="&amp;$A231,実績!$AD$6:$AD$505,"&gt;"&amp;$A231,実績!$AE$6:$AE$505,"○")&gt;0,1,0))</f>
        <v/>
      </c>
      <c r="AO231">
        <f>IF(AO$4=0,0,IF(COUNTIFS(実績!$W$6:$W$505,AO$3,実績!$AC$6:$AC$505,"&lt;="&amp;$A231,実績!$AD$6:$AD$505,"&gt;"&amp;$A231,実績!$AE$6:$AE$505,"○")&gt;0,1,0))</f>
        <v/>
      </c>
      <c r="AP231">
        <f>IF(AP$4=0,0,IF(COUNTIFS(実績!$W$6:$W$505,AP$3,実績!$AC$6:$AC$505,"&lt;="&amp;$A231,実績!$AD$6:$AD$505,"&gt;"&amp;$A231,実績!$AE$6:$AE$505,"○")&gt;0,1,0))</f>
        <v/>
      </c>
      <c r="AQ231">
        <f>IF(AQ$4=0,0,IF(COUNTIFS(実績!$W$6:$W$505,AQ$3,実績!$AC$6:$AC$505,"&lt;="&amp;$A231,実績!$AD$6:$AD$505,"&gt;"&amp;$A231,実績!$AE$6:$AE$505,"○")&gt;0,1,0))</f>
        <v/>
      </c>
      <c r="AR231">
        <f>IF(AR$4=0,0,IF(COUNTIFS(実績!$W$6:$W$505,AR$3,実績!$AC$6:$AC$505,"&lt;="&amp;$A231,実績!$AD$6:$AD$505,"&gt;"&amp;$A231,実績!$AE$6:$AE$505,"○")&gt;0,1,0))</f>
        <v/>
      </c>
      <c r="AS231">
        <f>IF(AS$4=0,0,IF(COUNTIFS(実績!$W$6:$W$505,AS$3,実績!$AC$6:$AC$505,"&lt;="&amp;$A231,実績!$AD$6:$AD$505,"&gt;"&amp;$A231,実績!$AE$6:$AE$505,"○")&gt;0,1,0))</f>
        <v/>
      </c>
      <c r="AT231">
        <f>IF(AT$4=0,0,IF(COUNTIFS(実績!$W$6:$W$505,AT$3,実績!$AC$6:$AC$505,"&lt;="&amp;$A231,実績!$AD$6:$AD$505,"&gt;"&amp;$A231,実績!$AE$6:$AE$505,"○")&gt;0,1,0))</f>
        <v/>
      </c>
      <c r="AU231">
        <f>IF(AU$4=0,0,IF(COUNTIFS(実績!$W$6:$W$505,AU$3,実績!$AC$6:$AC$505,"&lt;="&amp;$A231,実績!$AD$6:$AD$505,"&gt;"&amp;$A231,実績!$AE$6:$AE$505,"○")&gt;0,1,0))</f>
        <v/>
      </c>
      <c r="AV231">
        <f>IF(AV$4=0,0,IF(COUNTIFS(実績!$W$6:$W$505,AV$3,実績!$AC$6:$AC$505,"&lt;="&amp;$A231,実績!$AD$6:$AD$505,"&gt;"&amp;$A231,実績!$AE$6:$AE$505,"○")&gt;0,1,0))</f>
        <v/>
      </c>
      <c r="AW231">
        <f>IF(AW$4=0,0,IF(COUNTIFS(実績!$W$6:$W$505,AW$3,実績!$AC$6:$AC$505,"&lt;="&amp;$A231,実績!$AD$6:$AD$505,"&gt;"&amp;$A231,実績!$AE$6:$AE$505,"○")&gt;0,1,0))</f>
        <v/>
      </c>
      <c r="AX231">
        <f>IF(AX$4=0,0,IF(COUNTIFS(実績!$W$6:$W$505,AX$3,実績!$AC$6:$AC$505,"&lt;="&amp;$A231,実績!$AD$6:$AD$505,"&gt;"&amp;$A231,実績!$AE$6:$AE$505,"○")&gt;0,1,0))</f>
        <v/>
      </c>
      <c r="AY231">
        <f>IF(AY$4=0,0,IF(COUNTIFS(実績!$W$6:$W$505,AY$3,実績!$AC$6:$AC$505,"&lt;="&amp;$A231,実績!$AD$6:$AD$505,"&gt;"&amp;$A231,実績!$AE$6:$AE$505,"○")&gt;0,1,0))</f>
        <v/>
      </c>
      <c r="AZ231">
        <f>IF(AZ$4=0,0,IF(COUNTIFS(実績!$W$6:$W$505,AZ$3,実績!$AC$6:$AC$505,"&lt;="&amp;$A231,実績!$AD$6:$AD$505,"&gt;"&amp;$A231,実績!$AE$6:$AE$505,"○")&gt;0,1,0))</f>
        <v/>
      </c>
      <c r="BA231">
        <f>IF(BA$4=0,0,IF(COUNTIFS(実績!$W$6:$W$505,BA$3,実績!$AC$6:$AC$505,"&lt;="&amp;$A231,実績!$AD$6:$AD$505,"&gt;"&amp;$A231,実績!$AE$6:$AE$505,"○")&gt;0,1,0))</f>
        <v/>
      </c>
      <c r="BB231">
        <f>IF(BB$4=0,0,IF(COUNTIFS(実績!$W$6:$W$505,BB$3,実績!$AC$6:$AC$505,"&lt;="&amp;$A231,実績!$AD$6:$AD$505,"&gt;"&amp;$A231,実績!$AE$6:$AE$505,"○")&gt;0,1,0))</f>
        <v/>
      </c>
      <c r="BC231">
        <f>IF(BC$4=0,0,IF(COUNTIFS(実績!$W$6:$W$505,BC$3,実績!$AC$6:$AC$505,"&lt;="&amp;$A231,実績!$AD$6:$AD$505,"&gt;"&amp;$A231,実績!$AE$6:$AE$505,"○")&gt;0,1,0))</f>
        <v/>
      </c>
      <c r="BD231">
        <f>IF(BD$4=0,0,IF(COUNTIFS(実績!$W$6:$W$505,BD$3,実績!$AC$6:$AC$505,"&lt;="&amp;$A231,実績!$AD$6:$AD$505,"&gt;"&amp;$A231,実績!$AE$6:$AE$505,"○")&gt;0,1,0))</f>
        <v/>
      </c>
      <c r="BE231">
        <f>IF(BE$4=0,0,IF(COUNTIFS(実績!$W$6:$W$505,BE$3,実績!$AC$6:$AC$505,"&lt;="&amp;$A231,実績!$AD$6:$AD$505,"&gt;"&amp;$A231,実績!$AE$6:$AE$505,"○")&gt;0,1,0))</f>
        <v/>
      </c>
      <c r="BF231">
        <f>IF(BF$4=0,0,IF(COUNTIFS(実績!$W$6:$W$505,BF$3,実績!$AC$6:$AC$505,"&lt;="&amp;$A231,実績!$AD$6:$AD$505,"&gt;"&amp;$A231,実績!$AE$6:$AE$505,"○")&gt;0,1,0))</f>
        <v/>
      </c>
      <c r="BG231">
        <f>IF(BG$4=0,0,IF(COUNTIFS(実績!$W$6:$W$505,BG$3,実績!$AC$6:$AC$505,"&lt;="&amp;$A231,実績!$AD$6:$AD$505,"&gt;"&amp;$A231,実績!$AE$6:$AE$505,"○")&gt;0,1,0))</f>
        <v/>
      </c>
      <c r="BH231">
        <f>IF(BH$4=0,0,IF(COUNTIFS(実績!$W$6:$W$505,BH$3,実績!$AC$6:$AC$505,"&lt;="&amp;$A231,実績!$AD$6:$AD$505,"&gt;"&amp;$A231,実績!$AE$6:$AE$505,"○")&gt;0,1,0))</f>
        <v/>
      </c>
      <c r="BI231">
        <f>IF(BI$4=0,0,IF(COUNTIFS(実績!$W$6:$W$505,BI$3,実績!$AC$6:$AC$505,"&lt;="&amp;$A231,実績!$AD$6:$AD$505,"&gt;"&amp;$A231,実績!$AE$6:$AE$505,"○")&gt;0,1,0))</f>
        <v/>
      </c>
      <c r="BJ231">
        <f>IF(BJ$4=0,0,IF(COUNTIFS(実績!$W$6:$W$505,BJ$3,実績!$AC$6:$AC$505,"&lt;="&amp;$A231,実績!$AD$6:$AD$505,"&gt;"&amp;$A231,実績!$AE$6:$AE$505,"○")&gt;0,1,0))</f>
        <v/>
      </c>
      <c r="BK231">
        <f>IF(BK$4=0,0,IF(COUNTIFS(実績!$W$6:$W$505,BK$3,実績!$AC$6:$AC$505,"&lt;="&amp;$A231,実績!$AD$6:$AD$505,"&gt;"&amp;$A231,実績!$AE$6:$AE$505,"○")&gt;0,1,0))</f>
        <v/>
      </c>
      <c r="BL231">
        <f>IF(BL$4=0,0,IF(COUNTIFS(実績!$W$6:$W$505,BL$3,実績!$AC$6:$AC$505,"&lt;="&amp;$A231,実績!$AD$6:$AD$505,"&gt;"&amp;$A231,実績!$AE$6:$AE$505,"○")&gt;0,1,0))</f>
        <v/>
      </c>
      <c r="BM231">
        <f>IF(BM$4=0,0,IF(COUNTIFS(実績!$W$6:$W$505,BM$3,実績!$AC$6:$AC$505,"&lt;="&amp;$A231,実績!$AD$6:$AD$505,"&gt;"&amp;$A231,実績!$AE$6:$AE$505,"○")&gt;0,1,0))</f>
        <v/>
      </c>
      <c r="BN231">
        <f>IF(BN$4=0,0,IF(COUNTIFS(実績!$W$6:$W$505,BN$3,実績!$AC$6:$AC$505,"&lt;="&amp;$A231,実績!$AD$6:$AD$505,"&gt;"&amp;$A231,実績!$AE$6:$AE$505,"○")&gt;0,1,0))</f>
        <v/>
      </c>
      <c r="BO231">
        <f>IF(BO$4=0,0,IF(COUNTIFS(実績!$W$6:$W$505,BO$3,実績!$AC$6:$AC$505,"&lt;="&amp;$A231,実績!$AD$6:$AD$505,"&gt;"&amp;$A231,実績!$AE$6:$AE$505,"○")&gt;0,1,0))</f>
        <v/>
      </c>
      <c r="BP231">
        <f>IF(BP$4=0,0,IF(COUNTIFS(実績!$W$6:$W$505,BP$3,実績!$AC$6:$AC$505,"&lt;="&amp;$A231,実績!$AD$6:$AD$505,"&gt;"&amp;$A231,実績!$AE$6:$AE$505,"○")&gt;0,1,0))</f>
        <v/>
      </c>
      <c r="BQ231">
        <f>IF(BQ$4=0,0,IF(COUNTIFS(実績!$W$6:$W$505,BQ$3,実績!$AC$6:$AC$505,"&lt;="&amp;$A231,実績!$AD$6:$AD$505,"&gt;"&amp;$A231,実績!$AE$6:$AE$505,"○")&gt;0,1,0))</f>
        <v/>
      </c>
      <c r="BR231">
        <f>IF(BR$4=0,0,IF(COUNTIFS(実績!$W$6:$W$505,BR$3,実績!$AC$6:$AC$505,"&lt;="&amp;$A231,実績!$AD$6:$AD$505,"&gt;"&amp;$A231,実績!$AE$6:$AE$505,"○")&gt;0,1,0))</f>
        <v/>
      </c>
      <c r="BS231">
        <f>IF(BS$4=0,0,IF(COUNTIFS(実績!$W$6:$W$505,BS$3,実績!$AC$6:$AC$505,"&lt;="&amp;$A231,実績!$AD$6:$AD$505,"&gt;"&amp;$A231,実績!$AE$6:$AE$505,"○")&gt;0,1,0))</f>
        <v/>
      </c>
      <c r="BT231">
        <f>IF(BT$4=0,0,IF(COUNTIFS(実績!$W$6:$W$505,BT$3,実績!$AC$6:$AC$505,"&lt;="&amp;$A231,実績!$AD$6:$AD$505,"&gt;"&amp;$A231,実績!$AE$6:$AE$505,"○")&gt;0,1,0))</f>
        <v/>
      </c>
      <c r="BU231">
        <f>IF(BU$4=0,0,IF(COUNTIFS(実績!$W$6:$W$505,BU$3,実績!$AC$6:$AC$505,"&lt;="&amp;$A231,実績!$AD$6:$AD$505,"&gt;"&amp;$A231,実績!$AE$6:$AE$505,"○")&gt;0,1,0))</f>
        <v/>
      </c>
      <c r="BV231">
        <f>IF(BV$4=0,0,IF(COUNTIFS(実績!$W$6:$W$505,BV$3,実績!$AC$6:$AC$505,"&lt;="&amp;$A231,実績!$AD$6:$AD$505,"&gt;"&amp;$A231,実績!$AE$6:$AE$505,"○")&gt;0,1,0))</f>
        <v/>
      </c>
      <c r="BW231">
        <f>IF(BW$4=0,0,IF(COUNTIFS(実績!$W$6:$W$505,BW$3,実績!$AC$6:$AC$505,"&lt;="&amp;$A231,実績!$AD$6:$AD$505,"&gt;"&amp;$A231,実績!$AE$6:$AE$505,"○")&gt;0,1,0))</f>
        <v/>
      </c>
      <c r="BX231">
        <f>IF(BX$4=0,0,IF(COUNTIFS(実績!$W$6:$W$505,BX$3,実績!$AC$6:$AC$505,"&lt;="&amp;$A231,実績!$AD$6:$AD$505,"&gt;"&amp;$A231,実績!$AE$6:$AE$505,"○")&gt;0,1,0))</f>
        <v/>
      </c>
      <c r="BY231">
        <f>IF(BY$4=0,0,IF(COUNTIFS(実績!$W$6:$W$505,BY$3,実績!$AC$6:$AC$505,"&lt;="&amp;$A231,実績!$AD$6:$AD$505,"&gt;"&amp;$A231,実績!$AE$6:$AE$505,"○")&gt;0,1,0))</f>
        <v/>
      </c>
      <c r="BZ231">
        <f>IF(BZ$4=0,0,IF(COUNTIFS(実績!$W$6:$W$505,BZ$3,実績!$AC$6:$AC$505,"&lt;="&amp;$A231,実績!$AD$6:$AD$505,"&gt;"&amp;$A231,実績!$AE$6:$AE$505,"○")&gt;0,1,0))</f>
        <v/>
      </c>
      <c r="CA231">
        <f>IF(CA$4=0,0,IF(COUNTIFS(実績!$W$6:$W$505,CA$3,実績!$AC$6:$AC$505,"&lt;="&amp;$A231,実績!$AD$6:$AD$505,"&gt;"&amp;$A231,実績!$AE$6:$AE$505,"○")&gt;0,1,0))</f>
        <v/>
      </c>
      <c r="CB231">
        <f>IF(CB$4=0,0,IF(COUNTIFS(実績!$W$6:$W$505,CB$3,実績!$AC$6:$AC$505,"&lt;="&amp;$A231,実績!$AD$6:$AD$505,"&gt;"&amp;$A231,実績!$AE$6:$AE$505,"○")&gt;0,1,0))</f>
        <v/>
      </c>
      <c r="CC231">
        <f>IF(CC$4=0,0,IF(COUNTIFS(実績!$W$6:$W$505,CC$3,実績!$AC$6:$AC$505,"&lt;="&amp;$A231,実績!$AD$6:$AD$505,"&gt;"&amp;$A231,実績!$AE$6:$AE$505,"○")&gt;0,1,0))</f>
        <v/>
      </c>
      <c r="CD231">
        <f>IF(CD$4=0,0,IF(COUNTIFS(実績!$W$6:$W$505,CD$3,実績!$AC$6:$AC$505,"&lt;="&amp;$A231,実績!$AD$6:$AD$505,"&gt;"&amp;$A231,実績!$AE$6:$AE$505,"○")&gt;0,1,0))</f>
        <v/>
      </c>
      <c r="CE231">
        <f>IF(CE$4=0,0,IF(COUNTIFS(実績!$W$6:$W$505,CE$3,実績!$AC$6:$AC$505,"&lt;="&amp;$A231,実績!$AD$6:$AD$505,"&gt;"&amp;$A231,実績!$AE$6:$AE$505,"○")&gt;0,1,0))</f>
        <v/>
      </c>
      <c r="CF231">
        <f>IF(CF$4=0,0,IF(COUNTIFS(実績!$W$6:$W$505,CF$3,実績!$AC$6:$AC$505,"&lt;="&amp;$A231,実績!$AD$6:$AD$505,"&gt;"&amp;$A231,実績!$AE$6:$AE$505,"○")&gt;0,1,0))</f>
        <v/>
      </c>
      <c r="CG231">
        <f>IF(CG$4=0,0,IF(COUNTIFS(実績!$W$6:$W$505,CG$3,実績!$AC$6:$AC$505,"&lt;="&amp;$A231,実績!$AD$6:$AD$505,"&gt;"&amp;$A231,実績!$AE$6:$AE$505,"○")&gt;0,1,0))</f>
        <v/>
      </c>
      <c r="CH231">
        <f>IF(CH$4=0,0,IF(COUNTIFS(実績!$W$6:$W$505,CH$3,実績!$AC$6:$AC$505,"&lt;="&amp;$A231,実績!$AD$6:$AD$505,"&gt;"&amp;$A231,実績!$AE$6:$AE$505,"○")&gt;0,1,0))</f>
        <v/>
      </c>
      <c r="CI231">
        <f>IF(CI$4=0,0,IF(COUNTIFS(実績!$W$6:$W$505,CI$3,実績!$AC$6:$AC$505,"&lt;="&amp;$A231,実績!$AD$6:$AD$505,"&gt;"&amp;$A231,実績!$AE$6:$AE$505,"○")&gt;0,1,0))</f>
        <v/>
      </c>
      <c r="CJ231">
        <f>IF(CJ$4=0,0,IF(COUNTIFS(実績!$W$6:$W$505,CJ$3,実績!$AC$6:$AC$505,"&lt;="&amp;$A231,実績!$AD$6:$AD$505,"&gt;"&amp;$A231,実績!$AE$6:$AE$505,"○")&gt;0,1,0))</f>
        <v/>
      </c>
      <c r="CK231">
        <f>IF(CK$4=0,0,IF(COUNTIFS(実績!$W$6:$W$505,CK$3,実績!$AC$6:$AC$505,"&lt;="&amp;$A231,実績!$AD$6:$AD$505,"&gt;"&amp;$A231,実績!$AE$6:$AE$505,"○")&gt;0,1,0))</f>
        <v/>
      </c>
      <c r="CL231">
        <f>IF(CL$4=0,0,IF(COUNTIFS(実績!$W$6:$W$505,CL$3,実績!$AC$6:$AC$505,"&lt;="&amp;$A231,実績!$AD$6:$AD$505,"&gt;"&amp;$A231,実績!$AE$6:$AE$505,"○")&gt;0,1,0))</f>
        <v/>
      </c>
      <c r="CM231">
        <f>IF(CM$4=0,0,IF(COUNTIFS(実績!$W$6:$W$505,CM$3,実績!$AC$6:$AC$505,"&lt;="&amp;$A231,実績!$AD$6:$AD$505,"&gt;"&amp;$A231,実績!$AE$6:$AE$505,"○")&gt;0,1,0))</f>
        <v/>
      </c>
      <c r="CN231">
        <f>IF(CN$4=0,0,IF(COUNTIFS(実績!$W$6:$W$505,CN$3,実績!$AC$6:$AC$505,"&lt;="&amp;$A231,実績!$AD$6:$AD$505,"&gt;"&amp;$A231,実績!$AE$6:$AE$505,"○")&gt;0,1,0))</f>
        <v/>
      </c>
      <c r="CO231">
        <f>IF(CO$4=0,0,IF(COUNTIFS(実績!$W$6:$W$505,CO$3,実績!$AC$6:$AC$505,"&lt;="&amp;$A231,実績!$AD$6:$AD$505,"&gt;"&amp;$A231,実績!$AE$6:$AE$505,"○")&gt;0,1,0))</f>
        <v/>
      </c>
      <c r="CP231">
        <f>IF(CP$4=0,0,IF(COUNTIFS(実績!$W$6:$W$505,CP$3,実績!$AC$6:$AC$505,"&lt;="&amp;$A231,実績!$AD$6:$AD$505,"&gt;"&amp;$A231,実績!$AE$6:$AE$505,"○")&gt;0,1,0))</f>
        <v/>
      </c>
      <c r="CQ231">
        <f>IF(CQ$4=0,0,IF(COUNTIFS(実績!$W$6:$W$505,CQ$3,実績!$AC$6:$AC$505,"&lt;="&amp;$A231,実績!$AD$6:$AD$505,"&gt;"&amp;$A231,実績!$AE$6:$AE$505,"○")&gt;0,1,0))</f>
        <v/>
      </c>
      <c r="CR231">
        <f>IF(CR$4=0,0,IF(COUNTIFS(実績!$W$6:$W$505,CR$3,実績!$AC$6:$AC$505,"&lt;="&amp;$A231,実績!$AD$6:$AD$505,"&gt;"&amp;$A231,実績!$AE$6:$AE$505,"○")&gt;0,1,0))</f>
        <v/>
      </c>
      <c r="CS231">
        <f>IF(CS$4=0,0,IF(COUNTIFS(実績!$W$6:$W$505,CS$3,実績!$AC$6:$AC$505,"&lt;="&amp;$A231,実績!$AD$6:$AD$505,"&gt;"&amp;$A231,実績!$AE$6:$AE$505,"○")&gt;0,1,0))</f>
        <v/>
      </c>
      <c r="CT231">
        <f>IF(CT$4=0,0,IF(COUNTIFS(実績!$W$6:$W$505,CT$3,実績!$AC$6:$AC$505,"&lt;="&amp;$A231,実績!$AD$6:$AD$505,"&gt;"&amp;$A231,実績!$AE$6:$AE$505,"○")&gt;0,1,0))</f>
        <v/>
      </c>
      <c r="CU231">
        <f>IF(CU$4=0,0,IF(COUNTIFS(実績!$W$6:$W$505,CU$3,実績!$AC$6:$AC$505,"&lt;="&amp;$A231,実績!$AD$6:$AD$505,"&gt;"&amp;$A231,実績!$AE$6:$AE$505,"○")&gt;0,1,0))</f>
        <v/>
      </c>
      <c r="CV231">
        <f>IF(CV$4=0,0,IF(COUNTIFS(実績!$W$6:$W$505,CV$3,実績!$AC$6:$AC$505,"&lt;="&amp;$A231,実績!$AD$6:$AD$505,"&gt;"&amp;$A231,実績!$AE$6:$AE$505,"○")&gt;0,1,0))</f>
        <v/>
      </c>
      <c r="CW231">
        <f>IF(CW$4=0,0,IF(COUNTIFS(実績!$W$6:$W$505,CW$3,実績!$AC$6:$AC$505,"&lt;="&amp;$A231,実績!$AD$6:$AD$505,"&gt;"&amp;$A231,実績!$AE$6:$AE$505,"○")&gt;0,1,0))</f>
        <v/>
      </c>
      <c r="CX231">
        <f>IF(CX$4=0,0,IF(COUNTIFS(実績!$W$6:$W$505,CX$3,実績!$AC$6:$AC$505,"&lt;="&amp;$A231,実績!$AD$6:$AD$505,"&gt;"&amp;$A231,実績!$AE$6:$AE$505,"○")&gt;0,1,0))</f>
        <v/>
      </c>
      <c r="CY231">
        <f>IF(CY$4=0,0,IF(COUNTIFS(実績!$W$6:$W$505,CY$3,実績!$AC$6:$AC$505,"&lt;="&amp;$A231,実績!$AD$6:$AD$505,"&gt;"&amp;$A231,実績!$AE$6:$AE$505,"○")&gt;0,1,0))</f>
        <v/>
      </c>
      <c r="CZ231">
        <f>IF(CZ$4=0,0,IF(COUNTIFS(実績!$W$6:$W$505,CZ$3,実績!$AC$6:$AC$505,"&lt;="&amp;$A231,実績!$AD$6:$AD$505,"&gt;"&amp;$A231,実績!$AE$6:$AE$505,"○")&gt;0,1,0))</f>
        <v/>
      </c>
      <c r="DA231">
        <f>IF(DA$4=0,0,IF(COUNTIFS(実績!$W$6:$W$505,DA$3,実績!$AC$6:$AC$505,"&lt;="&amp;$A231,実績!$AD$6:$AD$505,"&gt;"&amp;$A231,実績!$AE$6:$AE$505,"○")&gt;0,1,0))</f>
        <v/>
      </c>
      <c r="DB231">
        <f>IF(DB$4=0,0,IF(COUNTIFS(実績!$W$6:$W$505,DB$3,実績!$AC$6:$AC$505,"&lt;="&amp;$A231,実績!$AD$6:$AD$505,"&gt;"&amp;$A231,実績!$AE$6:$AE$505,"○")&gt;0,1,0))</f>
        <v/>
      </c>
      <c r="DC231">
        <f>IF(DC$4=0,0,IF(COUNTIFS(実績!$W$6:$W$505,DC$3,実績!$AC$6:$AC$505,"&lt;="&amp;$A231,実績!$AD$6:$AD$505,"&gt;"&amp;$A231,実績!$AE$6:$AE$505,"○")&gt;0,1,0))</f>
        <v/>
      </c>
      <c r="DD231">
        <f>IF(DD$4=0,0,IF(COUNTIFS(実績!$W$6:$W$505,DD$3,実績!$AC$6:$AC$505,"&lt;="&amp;$A231,実績!$AD$6:$AD$505,"&gt;"&amp;$A231,実績!$AE$6:$AE$505,"○")&gt;0,1,0))</f>
        <v/>
      </c>
      <c r="DE231">
        <f>IF(DE$4=0,0,IF(COUNTIFS(実績!$W$6:$W$505,DE$3,実績!$AC$6:$AC$505,"&lt;="&amp;$A231,実績!$AD$6:$AD$505,"&gt;"&amp;$A231,実績!$AE$6:$AE$505,"○")&gt;0,1,0))</f>
        <v/>
      </c>
      <c r="DF231">
        <f>IF(DF$4=0,0,IF(COUNTIFS(実績!$W$6:$W$505,DF$3,実績!$AC$6:$AC$505,"&lt;="&amp;$A231,実績!$AD$6:$AD$505,"&gt;"&amp;$A231,実績!$AE$6:$AE$505,"○")&gt;0,1,0))</f>
        <v/>
      </c>
      <c r="DG231">
        <f>IF(DG$4=0,0,IF(COUNTIFS(実績!$W$6:$W$505,DG$3,実績!$AC$6:$AC$505,"&lt;="&amp;$A231,実績!$AD$6:$AD$505,"&gt;"&amp;$A231,実績!$AE$6:$AE$505,"○")&gt;0,1,0))</f>
        <v/>
      </c>
      <c r="DH231">
        <f>IF(DH$4=0,0,IF(COUNTIFS(実績!$W$6:$W$505,DH$3,実績!$AC$6:$AC$505,"&lt;="&amp;$A231,実績!$AD$6:$AD$505,"&gt;"&amp;$A231,実績!$AE$6:$AE$505,"○")&gt;0,1,0))</f>
        <v/>
      </c>
      <c r="DI231">
        <f>IF(DI$4=0,0,IF(COUNTIFS(実績!$W$6:$W$505,DI$3,実績!$AC$6:$AC$505,"&lt;="&amp;$A231,実績!$AD$6:$AD$505,"&gt;"&amp;$A231,実績!$AE$6:$AE$505,"○")&gt;0,1,0))</f>
        <v/>
      </c>
      <c r="DJ231">
        <f>IF(DJ$4=0,0,IF(COUNTIFS(実績!$W$6:$W$505,DJ$3,実績!$AC$6:$AC$505,"&lt;="&amp;$A231,実績!$AD$6:$AD$505,"&gt;"&amp;$A231,実績!$AE$6:$AE$505,"○")&gt;0,1,0))</f>
        <v/>
      </c>
      <c r="DK231">
        <f>IF(DK$4=0,0,IF(COUNTIFS(実績!$W$6:$W$505,DK$3,実績!$AC$6:$AC$505,"&lt;="&amp;$A231,実績!$AD$6:$AD$505,"&gt;"&amp;$A231,実績!$AE$6:$AE$505,"○")&gt;0,1,0))</f>
        <v/>
      </c>
      <c r="DL231">
        <f>IF(DL$4=0,0,IF(COUNTIFS(実績!$W$6:$W$505,DL$3,実績!$AC$6:$AC$505,"&lt;="&amp;$A231,実績!$AD$6:$AD$505,"&gt;"&amp;$A231,実績!$AE$6:$AE$505,"○")&gt;0,1,0))</f>
        <v/>
      </c>
      <c r="DM231">
        <f>IF(DM$4=0,0,IF(COUNTIFS(実績!$W$6:$W$505,DM$3,実績!$AC$6:$AC$505,"&lt;="&amp;$A231,実績!$AD$6:$AD$505,"&gt;"&amp;$A231,実績!$AE$6:$AE$505,"○")&gt;0,1,0))</f>
        <v/>
      </c>
      <c r="DN231">
        <f>IF(DN$4=0,0,IF(COUNTIFS(実績!$W$6:$W$505,DN$3,実績!$AC$6:$AC$505,"&lt;="&amp;$A231,実績!$AD$6:$AD$505,"&gt;"&amp;$A231,実績!$AE$6:$AE$505,"○")&gt;0,1,0))</f>
        <v/>
      </c>
      <c r="DO231">
        <f>IF(DO$4=0,0,IF(COUNTIFS(実績!$W$6:$W$505,DO$3,実績!$AC$6:$AC$505,"&lt;="&amp;$A231,実績!$AD$6:$AD$505,"&gt;"&amp;$A231,実績!$AE$6:$AE$505,"○")&gt;0,1,0))</f>
        <v/>
      </c>
      <c r="DP231">
        <f>IF(DP$4=0,0,IF(COUNTIFS(実績!$W$6:$W$505,DP$3,実績!$AC$6:$AC$505,"&lt;="&amp;$A231,実績!$AD$6:$AD$505,"&gt;"&amp;$A231,実績!$AE$6:$AE$505,"○")&gt;0,1,0))</f>
        <v/>
      </c>
      <c r="DQ231">
        <f>IF(DQ$4=0,0,IF(COUNTIFS(実績!$W$6:$W$505,DQ$3,実績!$AC$6:$AC$505,"&lt;="&amp;$A231,実績!$AD$6:$AD$505,"&gt;"&amp;$A231,実績!$AE$6:$AE$505,"○")&gt;0,1,0))</f>
        <v/>
      </c>
      <c r="DR231">
        <f>IF(DR$4=0,0,IF(COUNTIFS(実績!$W$6:$W$505,DR$3,実績!$AC$6:$AC$505,"&lt;="&amp;$A231,実績!$AD$6:$AD$505,"&gt;"&amp;$A231,実績!$AE$6:$AE$505,"○")&gt;0,1,0))</f>
        <v/>
      </c>
      <c r="DS231">
        <f>SUM(C231:DR231)</f>
        <v/>
      </c>
      <c r="DT231">
        <f>SUMPRODUCT((実績!$C$6:$C$505="○")*ISNUMBER(実績!$AF$6:$AF$505)*(実績!$AF$6:$AF$505&lt;=$A231)*(実績!$AG$6:$AG$505&gt;$A231))</f>
        <v/>
      </c>
      <c r="DU231">
        <f>SUMIF($C$2:$DR$2,"製鉄曳船",C231:DR231)</f>
        <v/>
      </c>
      <c r="DV231">
        <f>SUMIF($C$2:$DR$2,"西日本海運",C231:DR231)</f>
        <v/>
      </c>
    </row>
    <row r="232">
      <c r="A232" t="n">
        <v>1130</v>
      </c>
      <c r="B232" s="29">
        <f>A232/1440</f>
        <v/>
      </c>
      <c r="C232">
        <f>IF(C$4=0,0,IF(COUNTIFS(実績!$W$6:$W$505,C$3,実績!$AC$6:$AC$505,"&lt;="&amp;$A232,実績!$AD$6:$AD$505,"&gt;"&amp;$A232,実績!$AE$6:$AE$505,"○")&gt;0,1,0))</f>
        <v/>
      </c>
      <c r="D232">
        <f>IF(D$4=0,0,IF(COUNTIFS(実績!$W$6:$W$505,D$3,実績!$AC$6:$AC$505,"&lt;="&amp;$A232,実績!$AD$6:$AD$505,"&gt;"&amp;$A232,実績!$AE$6:$AE$505,"○")&gt;0,1,0))</f>
        <v/>
      </c>
      <c r="E232">
        <f>IF(E$4=0,0,IF(COUNTIFS(実績!$W$6:$W$505,E$3,実績!$AC$6:$AC$505,"&lt;="&amp;$A232,実績!$AD$6:$AD$505,"&gt;"&amp;$A232,実績!$AE$6:$AE$505,"○")&gt;0,1,0))</f>
        <v/>
      </c>
      <c r="F232">
        <f>IF(F$4=0,0,IF(COUNTIFS(実績!$W$6:$W$505,F$3,実績!$AC$6:$AC$505,"&lt;="&amp;$A232,実績!$AD$6:$AD$505,"&gt;"&amp;$A232,実績!$AE$6:$AE$505,"○")&gt;0,1,0))</f>
        <v/>
      </c>
      <c r="G232">
        <f>IF(G$4=0,0,IF(COUNTIFS(実績!$W$6:$W$505,G$3,実績!$AC$6:$AC$505,"&lt;="&amp;$A232,実績!$AD$6:$AD$505,"&gt;"&amp;$A232,実績!$AE$6:$AE$505,"○")&gt;0,1,0))</f>
        <v/>
      </c>
      <c r="H232">
        <f>IF(H$4=0,0,IF(COUNTIFS(実績!$W$6:$W$505,H$3,実績!$AC$6:$AC$505,"&lt;="&amp;$A232,実績!$AD$6:$AD$505,"&gt;"&amp;$A232,実績!$AE$6:$AE$505,"○")&gt;0,1,0))</f>
        <v/>
      </c>
      <c r="I232">
        <f>IF(I$4=0,0,IF(COUNTIFS(実績!$W$6:$W$505,I$3,実績!$AC$6:$AC$505,"&lt;="&amp;$A232,実績!$AD$6:$AD$505,"&gt;"&amp;$A232,実績!$AE$6:$AE$505,"○")&gt;0,1,0))</f>
        <v/>
      </c>
      <c r="J232">
        <f>IF(J$4=0,0,IF(COUNTIFS(実績!$W$6:$W$505,J$3,実績!$AC$6:$AC$505,"&lt;="&amp;$A232,実績!$AD$6:$AD$505,"&gt;"&amp;$A232,実績!$AE$6:$AE$505,"○")&gt;0,1,0))</f>
        <v/>
      </c>
      <c r="K232">
        <f>IF(K$4=0,0,IF(COUNTIFS(実績!$W$6:$W$505,K$3,実績!$AC$6:$AC$505,"&lt;="&amp;$A232,実績!$AD$6:$AD$505,"&gt;"&amp;$A232,実績!$AE$6:$AE$505,"○")&gt;0,1,0))</f>
        <v/>
      </c>
      <c r="L232">
        <f>IF(L$4=0,0,IF(COUNTIFS(実績!$W$6:$W$505,L$3,実績!$AC$6:$AC$505,"&lt;="&amp;$A232,実績!$AD$6:$AD$505,"&gt;"&amp;$A232,実績!$AE$6:$AE$505,"○")&gt;0,1,0))</f>
        <v/>
      </c>
      <c r="M232">
        <f>IF(M$4=0,0,IF(COUNTIFS(実績!$W$6:$W$505,M$3,実績!$AC$6:$AC$505,"&lt;="&amp;$A232,実績!$AD$6:$AD$505,"&gt;"&amp;$A232,実績!$AE$6:$AE$505,"○")&gt;0,1,0))</f>
        <v/>
      </c>
      <c r="N232">
        <f>IF(N$4=0,0,IF(COUNTIFS(実績!$W$6:$W$505,N$3,実績!$AC$6:$AC$505,"&lt;="&amp;$A232,実績!$AD$6:$AD$505,"&gt;"&amp;$A232,実績!$AE$6:$AE$505,"○")&gt;0,1,0))</f>
        <v/>
      </c>
      <c r="O232">
        <f>IF(O$4=0,0,IF(COUNTIFS(実績!$W$6:$W$505,O$3,実績!$AC$6:$AC$505,"&lt;="&amp;$A232,実績!$AD$6:$AD$505,"&gt;"&amp;$A232,実績!$AE$6:$AE$505,"○")&gt;0,1,0))</f>
        <v/>
      </c>
      <c r="P232">
        <f>IF(P$4=0,0,IF(COUNTIFS(実績!$W$6:$W$505,P$3,実績!$AC$6:$AC$505,"&lt;="&amp;$A232,実績!$AD$6:$AD$505,"&gt;"&amp;$A232,実績!$AE$6:$AE$505,"○")&gt;0,1,0))</f>
        <v/>
      </c>
      <c r="Q232">
        <f>IF(Q$4=0,0,IF(COUNTIFS(実績!$W$6:$W$505,Q$3,実績!$AC$6:$AC$505,"&lt;="&amp;$A232,実績!$AD$6:$AD$505,"&gt;"&amp;$A232,実績!$AE$6:$AE$505,"○")&gt;0,1,0))</f>
        <v/>
      </c>
      <c r="R232">
        <f>IF(R$4=0,0,IF(COUNTIFS(実績!$W$6:$W$505,R$3,実績!$AC$6:$AC$505,"&lt;="&amp;$A232,実績!$AD$6:$AD$505,"&gt;"&amp;$A232,実績!$AE$6:$AE$505,"○")&gt;0,1,0))</f>
        <v/>
      </c>
      <c r="S232">
        <f>IF(S$4=0,0,IF(COUNTIFS(実績!$W$6:$W$505,S$3,実績!$AC$6:$AC$505,"&lt;="&amp;$A232,実績!$AD$6:$AD$505,"&gt;"&amp;$A232,実績!$AE$6:$AE$505,"○")&gt;0,1,0))</f>
        <v/>
      </c>
      <c r="T232">
        <f>IF(T$4=0,0,IF(COUNTIFS(実績!$W$6:$W$505,T$3,実績!$AC$6:$AC$505,"&lt;="&amp;$A232,実績!$AD$6:$AD$505,"&gt;"&amp;$A232,実績!$AE$6:$AE$505,"○")&gt;0,1,0))</f>
        <v/>
      </c>
      <c r="U232">
        <f>IF(U$4=0,0,IF(COUNTIFS(実績!$W$6:$W$505,U$3,実績!$AC$6:$AC$505,"&lt;="&amp;$A232,実績!$AD$6:$AD$505,"&gt;"&amp;$A232,実績!$AE$6:$AE$505,"○")&gt;0,1,0))</f>
        <v/>
      </c>
      <c r="V232">
        <f>IF(V$4=0,0,IF(COUNTIFS(実績!$W$6:$W$505,V$3,実績!$AC$6:$AC$505,"&lt;="&amp;$A232,実績!$AD$6:$AD$505,"&gt;"&amp;$A232,実績!$AE$6:$AE$505,"○")&gt;0,1,0))</f>
        <v/>
      </c>
      <c r="W232">
        <f>IF(W$4=0,0,IF(COUNTIFS(実績!$W$6:$W$505,W$3,実績!$AC$6:$AC$505,"&lt;="&amp;$A232,実績!$AD$6:$AD$505,"&gt;"&amp;$A232,実績!$AE$6:$AE$505,"○")&gt;0,1,0))</f>
        <v/>
      </c>
      <c r="X232">
        <f>IF(X$4=0,0,IF(COUNTIFS(実績!$W$6:$W$505,X$3,実績!$AC$6:$AC$505,"&lt;="&amp;$A232,実績!$AD$6:$AD$505,"&gt;"&amp;$A232,実績!$AE$6:$AE$505,"○")&gt;0,1,0))</f>
        <v/>
      </c>
      <c r="Y232">
        <f>IF(Y$4=0,0,IF(COUNTIFS(実績!$W$6:$W$505,Y$3,実績!$AC$6:$AC$505,"&lt;="&amp;$A232,実績!$AD$6:$AD$505,"&gt;"&amp;$A232,実績!$AE$6:$AE$505,"○")&gt;0,1,0))</f>
        <v/>
      </c>
      <c r="Z232">
        <f>IF(Z$4=0,0,IF(COUNTIFS(実績!$W$6:$W$505,Z$3,実績!$AC$6:$AC$505,"&lt;="&amp;$A232,実績!$AD$6:$AD$505,"&gt;"&amp;$A232,実績!$AE$6:$AE$505,"○")&gt;0,1,0))</f>
        <v/>
      </c>
      <c r="AA232">
        <f>IF(AA$4=0,0,IF(COUNTIFS(実績!$W$6:$W$505,AA$3,実績!$AC$6:$AC$505,"&lt;="&amp;$A232,実績!$AD$6:$AD$505,"&gt;"&amp;$A232,実績!$AE$6:$AE$505,"○")&gt;0,1,0))</f>
        <v/>
      </c>
      <c r="AB232">
        <f>IF(AB$4=0,0,IF(COUNTIFS(実績!$W$6:$W$505,AB$3,実績!$AC$6:$AC$505,"&lt;="&amp;$A232,実績!$AD$6:$AD$505,"&gt;"&amp;$A232,実績!$AE$6:$AE$505,"○")&gt;0,1,0))</f>
        <v/>
      </c>
      <c r="AC232">
        <f>IF(AC$4=0,0,IF(COUNTIFS(実績!$W$6:$W$505,AC$3,実績!$AC$6:$AC$505,"&lt;="&amp;$A232,実績!$AD$6:$AD$505,"&gt;"&amp;$A232,実績!$AE$6:$AE$505,"○")&gt;0,1,0))</f>
        <v/>
      </c>
      <c r="AD232">
        <f>IF(AD$4=0,0,IF(COUNTIFS(実績!$W$6:$W$505,AD$3,実績!$AC$6:$AC$505,"&lt;="&amp;$A232,実績!$AD$6:$AD$505,"&gt;"&amp;$A232,実績!$AE$6:$AE$505,"○")&gt;0,1,0))</f>
        <v/>
      </c>
      <c r="AE232">
        <f>IF(AE$4=0,0,IF(COUNTIFS(実績!$W$6:$W$505,AE$3,実績!$AC$6:$AC$505,"&lt;="&amp;$A232,実績!$AD$6:$AD$505,"&gt;"&amp;$A232,実績!$AE$6:$AE$505,"○")&gt;0,1,0))</f>
        <v/>
      </c>
      <c r="AF232">
        <f>IF(AF$4=0,0,IF(COUNTIFS(実績!$W$6:$W$505,AF$3,実績!$AC$6:$AC$505,"&lt;="&amp;$A232,実績!$AD$6:$AD$505,"&gt;"&amp;$A232,実績!$AE$6:$AE$505,"○")&gt;0,1,0))</f>
        <v/>
      </c>
      <c r="AG232">
        <f>IF(AG$4=0,0,IF(COUNTIFS(実績!$W$6:$W$505,AG$3,実績!$AC$6:$AC$505,"&lt;="&amp;$A232,実績!$AD$6:$AD$505,"&gt;"&amp;$A232,実績!$AE$6:$AE$505,"○")&gt;0,1,0))</f>
        <v/>
      </c>
      <c r="AH232">
        <f>IF(AH$4=0,0,IF(COUNTIFS(実績!$W$6:$W$505,AH$3,実績!$AC$6:$AC$505,"&lt;="&amp;$A232,実績!$AD$6:$AD$505,"&gt;"&amp;$A232,実績!$AE$6:$AE$505,"○")&gt;0,1,0))</f>
        <v/>
      </c>
      <c r="AI232">
        <f>IF(AI$4=0,0,IF(COUNTIFS(実績!$W$6:$W$505,AI$3,実績!$AC$6:$AC$505,"&lt;="&amp;$A232,実績!$AD$6:$AD$505,"&gt;"&amp;$A232,実績!$AE$6:$AE$505,"○")&gt;0,1,0))</f>
        <v/>
      </c>
      <c r="AJ232">
        <f>IF(AJ$4=0,0,IF(COUNTIFS(実績!$W$6:$W$505,AJ$3,実績!$AC$6:$AC$505,"&lt;="&amp;$A232,実績!$AD$6:$AD$505,"&gt;"&amp;$A232,実績!$AE$6:$AE$505,"○")&gt;0,1,0))</f>
        <v/>
      </c>
      <c r="AK232">
        <f>IF(AK$4=0,0,IF(COUNTIFS(実績!$W$6:$W$505,AK$3,実績!$AC$6:$AC$505,"&lt;="&amp;$A232,実績!$AD$6:$AD$505,"&gt;"&amp;$A232,実績!$AE$6:$AE$505,"○")&gt;0,1,0))</f>
        <v/>
      </c>
      <c r="AL232">
        <f>IF(AL$4=0,0,IF(COUNTIFS(実績!$W$6:$W$505,AL$3,実績!$AC$6:$AC$505,"&lt;="&amp;$A232,実績!$AD$6:$AD$505,"&gt;"&amp;$A232,実績!$AE$6:$AE$505,"○")&gt;0,1,0))</f>
        <v/>
      </c>
      <c r="AM232">
        <f>IF(AM$4=0,0,IF(COUNTIFS(実績!$W$6:$W$505,AM$3,実績!$AC$6:$AC$505,"&lt;="&amp;$A232,実績!$AD$6:$AD$505,"&gt;"&amp;$A232,実績!$AE$6:$AE$505,"○")&gt;0,1,0))</f>
        <v/>
      </c>
      <c r="AN232">
        <f>IF(AN$4=0,0,IF(COUNTIFS(実績!$W$6:$W$505,AN$3,実績!$AC$6:$AC$505,"&lt;="&amp;$A232,実績!$AD$6:$AD$505,"&gt;"&amp;$A232,実績!$AE$6:$AE$505,"○")&gt;0,1,0))</f>
        <v/>
      </c>
      <c r="AO232">
        <f>IF(AO$4=0,0,IF(COUNTIFS(実績!$W$6:$W$505,AO$3,実績!$AC$6:$AC$505,"&lt;="&amp;$A232,実績!$AD$6:$AD$505,"&gt;"&amp;$A232,実績!$AE$6:$AE$505,"○")&gt;0,1,0))</f>
        <v/>
      </c>
      <c r="AP232">
        <f>IF(AP$4=0,0,IF(COUNTIFS(実績!$W$6:$W$505,AP$3,実績!$AC$6:$AC$505,"&lt;="&amp;$A232,実績!$AD$6:$AD$505,"&gt;"&amp;$A232,実績!$AE$6:$AE$505,"○")&gt;0,1,0))</f>
        <v/>
      </c>
      <c r="AQ232">
        <f>IF(AQ$4=0,0,IF(COUNTIFS(実績!$W$6:$W$505,AQ$3,実績!$AC$6:$AC$505,"&lt;="&amp;$A232,実績!$AD$6:$AD$505,"&gt;"&amp;$A232,実績!$AE$6:$AE$505,"○")&gt;0,1,0))</f>
        <v/>
      </c>
      <c r="AR232">
        <f>IF(AR$4=0,0,IF(COUNTIFS(実績!$W$6:$W$505,AR$3,実績!$AC$6:$AC$505,"&lt;="&amp;$A232,実績!$AD$6:$AD$505,"&gt;"&amp;$A232,実績!$AE$6:$AE$505,"○")&gt;0,1,0))</f>
        <v/>
      </c>
      <c r="AS232">
        <f>IF(AS$4=0,0,IF(COUNTIFS(実績!$W$6:$W$505,AS$3,実績!$AC$6:$AC$505,"&lt;="&amp;$A232,実績!$AD$6:$AD$505,"&gt;"&amp;$A232,実績!$AE$6:$AE$505,"○")&gt;0,1,0))</f>
        <v/>
      </c>
      <c r="AT232">
        <f>IF(AT$4=0,0,IF(COUNTIFS(実績!$W$6:$W$505,AT$3,実績!$AC$6:$AC$505,"&lt;="&amp;$A232,実績!$AD$6:$AD$505,"&gt;"&amp;$A232,実績!$AE$6:$AE$505,"○")&gt;0,1,0))</f>
        <v/>
      </c>
      <c r="AU232">
        <f>IF(AU$4=0,0,IF(COUNTIFS(実績!$W$6:$W$505,AU$3,実績!$AC$6:$AC$505,"&lt;="&amp;$A232,実績!$AD$6:$AD$505,"&gt;"&amp;$A232,実績!$AE$6:$AE$505,"○")&gt;0,1,0))</f>
        <v/>
      </c>
      <c r="AV232">
        <f>IF(AV$4=0,0,IF(COUNTIFS(実績!$W$6:$W$505,AV$3,実績!$AC$6:$AC$505,"&lt;="&amp;$A232,実績!$AD$6:$AD$505,"&gt;"&amp;$A232,実績!$AE$6:$AE$505,"○")&gt;0,1,0))</f>
        <v/>
      </c>
      <c r="AW232">
        <f>IF(AW$4=0,0,IF(COUNTIFS(実績!$W$6:$W$505,AW$3,実績!$AC$6:$AC$505,"&lt;="&amp;$A232,実績!$AD$6:$AD$505,"&gt;"&amp;$A232,実績!$AE$6:$AE$505,"○")&gt;0,1,0))</f>
        <v/>
      </c>
      <c r="AX232">
        <f>IF(AX$4=0,0,IF(COUNTIFS(実績!$W$6:$W$505,AX$3,実績!$AC$6:$AC$505,"&lt;="&amp;$A232,実績!$AD$6:$AD$505,"&gt;"&amp;$A232,実績!$AE$6:$AE$505,"○")&gt;0,1,0))</f>
        <v/>
      </c>
      <c r="AY232">
        <f>IF(AY$4=0,0,IF(COUNTIFS(実績!$W$6:$W$505,AY$3,実績!$AC$6:$AC$505,"&lt;="&amp;$A232,実績!$AD$6:$AD$505,"&gt;"&amp;$A232,実績!$AE$6:$AE$505,"○")&gt;0,1,0))</f>
        <v/>
      </c>
      <c r="AZ232">
        <f>IF(AZ$4=0,0,IF(COUNTIFS(実績!$W$6:$W$505,AZ$3,実績!$AC$6:$AC$505,"&lt;="&amp;$A232,実績!$AD$6:$AD$505,"&gt;"&amp;$A232,実績!$AE$6:$AE$505,"○")&gt;0,1,0))</f>
        <v/>
      </c>
      <c r="BA232">
        <f>IF(BA$4=0,0,IF(COUNTIFS(実績!$W$6:$W$505,BA$3,実績!$AC$6:$AC$505,"&lt;="&amp;$A232,実績!$AD$6:$AD$505,"&gt;"&amp;$A232,実績!$AE$6:$AE$505,"○")&gt;0,1,0))</f>
        <v/>
      </c>
      <c r="BB232">
        <f>IF(BB$4=0,0,IF(COUNTIFS(実績!$W$6:$W$505,BB$3,実績!$AC$6:$AC$505,"&lt;="&amp;$A232,実績!$AD$6:$AD$505,"&gt;"&amp;$A232,実績!$AE$6:$AE$505,"○")&gt;0,1,0))</f>
        <v/>
      </c>
      <c r="BC232">
        <f>IF(BC$4=0,0,IF(COUNTIFS(実績!$W$6:$W$505,BC$3,実績!$AC$6:$AC$505,"&lt;="&amp;$A232,実績!$AD$6:$AD$505,"&gt;"&amp;$A232,実績!$AE$6:$AE$505,"○")&gt;0,1,0))</f>
        <v/>
      </c>
      <c r="BD232">
        <f>IF(BD$4=0,0,IF(COUNTIFS(実績!$W$6:$W$505,BD$3,実績!$AC$6:$AC$505,"&lt;="&amp;$A232,実績!$AD$6:$AD$505,"&gt;"&amp;$A232,実績!$AE$6:$AE$505,"○")&gt;0,1,0))</f>
        <v/>
      </c>
      <c r="BE232">
        <f>IF(BE$4=0,0,IF(COUNTIFS(実績!$W$6:$W$505,BE$3,実績!$AC$6:$AC$505,"&lt;="&amp;$A232,実績!$AD$6:$AD$505,"&gt;"&amp;$A232,実績!$AE$6:$AE$505,"○")&gt;0,1,0))</f>
        <v/>
      </c>
      <c r="BF232">
        <f>IF(BF$4=0,0,IF(COUNTIFS(実績!$W$6:$W$505,BF$3,実績!$AC$6:$AC$505,"&lt;="&amp;$A232,実績!$AD$6:$AD$505,"&gt;"&amp;$A232,実績!$AE$6:$AE$505,"○")&gt;0,1,0))</f>
        <v/>
      </c>
      <c r="BG232">
        <f>IF(BG$4=0,0,IF(COUNTIFS(実績!$W$6:$W$505,BG$3,実績!$AC$6:$AC$505,"&lt;="&amp;$A232,実績!$AD$6:$AD$505,"&gt;"&amp;$A232,実績!$AE$6:$AE$505,"○")&gt;0,1,0))</f>
        <v/>
      </c>
      <c r="BH232">
        <f>IF(BH$4=0,0,IF(COUNTIFS(実績!$W$6:$W$505,BH$3,実績!$AC$6:$AC$505,"&lt;="&amp;$A232,実績!$AD$6:$AD$505,"&gt;"&amp;$A232,実績!$AE$6:$AE$505,"○")&gt;0,1,0))</f>
        <v/>
      </c>
      <c r="BI232">
        <f>IF(BI$4=0,0,IF(COUNTIFS(実績!$W$6:$W$505,BI$3,実績!$AC$6:$AC$505,"&lt;="&amp;$A232,実績!$AD$6:$AD$505,"&gt;"&amp;$A232,実績!$AE$6:$AE$505,"○")&gt;0,1,0))</f>
        <v/>
      </c>
      <c r="BJ232">
        <f>IF(BJ$4=0,0,IF(COUNTIFS(実績!$W$6:$W$505,BJ$3,実績!$AC$6:$AC$505,"&lt;="&amp;$A232,実績!$AD$6:$AD$505,"&gt;"&amp;$A232,実績!$AE$6:$AE$505,"○")&gt;0,1,0))</f>
        <v/>
      </c>
      <c r="BK232">
        <f>IF(BK$4=0,0,IF(COUNTIFS(実績!$W$6:$W$505,BK$3,実績!$AC$6:$AC$505,"&lt;="&amp;$A232,実績!$AD$6:$AD$505,"&gt;"&amp;$A232,実績!$AE$6:$AE$505,"○")&gt;0,1,0))</f>
        <v/>
      </c>
      <c r="BL232">
        <f>IF(BL$4=0,0,IF(COUNTIFS(実績!$W$6:$W$505,BL$3,実績!$AC$6:$AC$505,"&lt;="&amp;$A232,実績!$AD$6:$AD$505,"&gt;"&amp;$A232,実績!$AE$6:$AE$505,"○")&gt;0,1,0))</f>
        <v/>
      </c>
      <c r="BM232">
        <f>IF(BM$4=0,0,IF(COUNTIFS(実績!$W$6:$W$505,BM$3,実績!$AC$6:$AC$505,"&lt;="&amp;$A232,実績!$AD$6:$AD$505,"&gt;"&amp;$A232,実績!$AE$6:$AE$505,"○")&gt;0,1,0))</f>
        <v/>
      </c>
      <c r="BN232">
        <f>IF(BN$4=0,0,IF(COUNTIFS(実績!$W$6:$W$505,BN$3,実績!$AC$6:$AC$505,"&lt;="&amp;$A232,実績!$AD$6:$AD$505,"&gt;"&amp;$A232,実績!$AE$6:$AE$505,"○")&gt;0,1,0))</f>
        <v/>
      </c>
      <c r="BO232">
        <f>IF(BO$4=0,0,IF(COUNTIFS(実績!$W$6:$W$505,BO$3,実績!$AC$6:$AC$505,"&lt;="&amp;$A232,実績!$AD$6:$AD$505,"&gt;"&amp;$A232,実績!$AE$6:$AE$505,"○")&gt;0,1,0))</f>
        <v/>
      </c>
      <c r="BP232">
        <f>IF(BP$4=0,0,IF(COUNTIFS(実績!$W$6:$W$505,BP$3,実績!$AC$6:$AC$505,"&lt;="&amp;$A232,実績!$AD$6:$AD$505,"&gt;"&amp;$A232,実績!$AE$6:$AE$505,"○")&gt;0,1,0))</f>
        <v/>
      </c>
      <c r="BQ232">
        <f>IF(BQ$4=0,0,IF(COUNTIFS(実績!$W$6:$W$505,BQ$3,実績!$AC$6:$AC$505,"&lt;="&amp;$A232,実績!$AD$6:$AD$505,"&gt;"&amp;$A232,実績!$AE$6:$AE$505,"○")&gt;0,1,0))</f>
        <v/>
      </c>
      <c r="BR232">
        <f>IF(BR$4=0,0,IF(COUNTIFS(実績!$W$6:$W$505,BR$3,実績!$AC$6:$AC$505,"&lt;="&amp;$A232,実績!$AD$6:$AD$505,"&gt;"&amp;$A232,実績!$AE$6:$AE$505,"○")&gt;0,1,0))</f>
        <v/>
      </c>
      <c r="BS232">
        <f>IF(BS$4=0,0,IF(COUNTIFS(実績!$W$6:$W$505,BS$3,実績!$AC$6:$AC$505,"&lt;="&amp;$A232,実績!$AD$6:$AD$505,"&gt;"&amp;$A232,実績!$AE$6:$AE$505,"○")&gt;0,1,0))</f>
        <v/>
      </c>
      <c r="BT232">
        <f>IF(BT$4=0,0,IF(COUNTIFS(実績!$W$6:$W$505,BT$3,実績!$AC$6:$AC$505,"&lt;="&amp;$A232,実績!$AD$6:$AD$505,"&gt;"&amp;$A232,実績!$AE$6:$AE$505,"○")&gt;0,1,0))</f>
        <v/>
      </c>
      <c r="BU232">
        <f>IF(BU$4=0,0,IF(COUNTIFS(実績!$W$6:$W$505,BU$3,実績!$AC$6:$AC$505,"&lt;="&amp;$A232,実績!$AD$6:$AD$505,"&gt;"&amp;$A232,実績!$AE$6:$AE$505,"○")&gt;0,1,0))</f>
        <v/>
      </c>
      <c r="BV232">
        <f>IF(BV$4=0,0,IF(COUNTIFS(実績!$W$6:$W$505,BV$3,実績!$AC$6:$AC$505,"&lt;="&amp;$A232,実績!$AD$6:$AD$505,"&gt;"&amp;$A232,実績!$AE$6:$AE$505,"○")&gt;0,1,0))</f>
        <v/>
      </c>
      <c r="BW232">
        <f>IF(BW$4=0,0,IF(COUNTIFS(実績!$W$6:$W$505,BW$3,実績!$AC$6:$AC$505,"&lt;="&amp;$A232,実績!$AD$6:$AD$505,"&gt;"&amp;$A232,実績!$AE$6:$AE$505,"○")&gt;0,1,0))</f>
        <v/>
      </c>
      <c r="BX232">
        <f>IF(BX$4=0,0,IF(COUNTIFS(実績!$W$6:$W$505,BX$3,実績!$AC$6:$AC$505,"&lt;="&amp;$A232,実績!$AD$6:$AD$505,"&gt;"&amp;$A232,実績!$AE$6:$AE$505,"○")&gt;0,1,0))</f>
        <v/>
      </c>
      <c r="BY232">
        <f>IF(BY$4=0,0,IF(COUNTIFS(実績!$W$6:$W$505,BY$3,実績!$AC$6:$AC$505,"&lt;="&amp;$A232,実績!$AD$6:$AD$505,"&gt;"&amp;$A232,実績!$AE$6:$AE$505,"○")&gt;0,1,0))</f>
        <v/>
      </c>
      <c r="BZ232">
        <f>IF(BZ$4=0,0,IF(COUNTIFS(実績!$W$6:$W$505,BZ$3,実績!$AC$6:$AC$505,"&lt;="&amp;$A232,実績!$AD$6:$AD$505,"&gt;"&amp;$A232,実績!$AE$6:$AE$505,"○")&gt;0,1,0))</f>
        <v/>
      </c>
      <c r="CA232">
        <f>IF(CA$4=0,0,IF(COUNTIFS(実績!$W$6:$W$505,CA$3,実績!$AC$6:$AC$505,"&lt;="&amp;$A232,実績!$AD$6:$AD$505,"&gt;"&amp;$A232,実績!$AE$6:$AE$505,"○")&gt;0,1,0))</f>
        <v/>
      </c>
      <c r="CB232">
        <f>IF(CB$4=0,0,IF(COUNTIFS(実績!$W$6:$W$505,CB$3,実績!$AC$6:$AC$505,"&lt;="&amp;$A232,実績!$AD$6:$AD$505,"&gt;"&amp;$A232,実績!$AE$6:$AE$505,"○")&gt;0,1,0))</f>
        <v/>
      </c>
      <c r="CC232">
        <f>IF(CC$4=0,0,IF(COUNTIFS(実績!$W$6:$W$505,CC$3,実績!$AC$6:$AC$505,"&lt;="&amp;$A232,実績!$AD$6:$AD$505,"&gt;"&amp;$A232,実績!$AE$6:$AE$505,"○")&gt;0,1,0))</f>
        <v/>
      </c>
      <c r="CD232">
        <f>IF(CD$4=0,0,IF(COUNTIFS(実績!$W$6:$W$505,CD$3,実績!$AC$6:$AC$505,"&lt;="&amp;$A232,実績!$AD$6:$AD$505,"&gt;"&amp;$A232,実績!$AE$6:$AE$505,"○")&gt;0,1,0))</f>
        <v/>
      </c>
      <c r="CE232">
        <f>IF(CE$4=0,0,IF(COUNTIFS(実績!$W$6:$W$505,CE$3,実績!$AC$6:$AC$505,"&lt;="&amp;$A232,実績!$AD$6:$AD$505,"&gt;"&amp;$A232,実績!$AE$6:$AE$505,"○")&gt;0,1,0))</f>
        <v/>
      </c>
      <c r="CF232">
        <f>IF(CF$4=0,0,IF(COUNTIFS(実績!$W$6:$W$505,CF$3,実績!$AC$6:$AC$505,"&lt;="&amp;$A232,実績!$AD$6:$AD$505,"&gt;"&amp;$A232,実績!$AE$6:$AE$505,"○")&gt;0,1,0))</f>
        <v/>
      </c>
      <c r="CG232">
        <f>IF(CG$4=0,0,IF(COUNTIFS(実績!$W$6:$W$505,CG$3,実績!$AC$6:$AC$505,"&lt;="&amp;$A232,実績!$AD$6:$AD$505,"&gt;"&amp;$A232,実績!$AE$6:$AE$505,"○")&gt;0,1,0))</f>
        <v/>
      </c>
      <c r="CH232">
        <f>IF(CH$4=0,0,IF(COUNTIFS(実績!$W$6:$W$505,CH$3,実績!$AC$6:$AC$505,"&lt;="&amp;$A232,実績!$AD$6:$AD$505,"&gt;"&amp;$A232,実績!$AE$6:$AE$505,"○")&gt;0,1,0))</f>
        <v/>
      </c>
      <c r="CI232">
        <f>IF(CI$4=0,0,IF(COUNTIFS(実績!$W$6:$W$505,CI$3,実績!$AC$6:$AC$505,"&lt;="&amp;$A232,実績!$AD$6:$AD$505,"&gt;"&amp;$A232,実績!$AE$6:$AE$505,"○")&gt;0,1,0))</f>
        <v/>
      </c>
      <c r="CJ232">
        <f>IF(CJ$4=0,0,IF(COUNTIFS(実績!$W$6:$W$505,CJ$3,実績!$AC$6:$AC$505,"&lt;="&amp;$A232,実績!$AD$6:$AD$505,"&gt;"&amp;$A232,実績!$AE$6:$AE$505,"○")&gt;0,1,0))</f>
        <v/>
      </c>
      <c r="CK232">
        <f>IF(CK$4=0,0,IF(COUNTIFS(実績!$W$6:$W$505,CK$3,実績!$AC$6:$AC$505,"&lt;="&amp;$A232,実績!$AD$6:$AD$505,"&gt;"&amp;$A232,実績!$AE$6:$AE$505,"○")&gt;0,1,0))</f>
        <v/>
      </c>
      <c r="CL232">
        <f>IF(CL$4=0,0,IF(COUNTIFS(実績!$W$6:$W$505,CL$3,実績!$AC$6:$AC$505,"&lt;="&amp;$A232,実績!$AD$6:$AD$505,"&gt;"&amp;$A232,実績!$AE$6:$AE$505,"○")&gt;0,1,0))</f>
        <v/>
      </c>
      <c r="CM232">
        <f>IF(CM$4=0,0,IF(COUNTIFS(実績!$W$6:$W$505,CM$3,実績!$AC$6:$AC$505,"&lt;="&amp;$A232,実績!$AD$6:$AD$505,"&gt;"&amp;$A232,実績!$AE$6:$AE$505,"○")&gt;0,1,0))</f>
        <v/>
      </c>
      <c r="CN232">
        <f>IF(CN$4=0,0,IF(COUNTIFS(実績!$W$6:$W$505,CN$3,実績!$AC$6:$AC$505,"&lt;="&amp;$A232,実績!$AD$6:$AD$505,"&gt;"&amp;$A232,実績!$AE$6:$AE$505,"○")&gt;0,1,0))</f>
        <v/>
      </c>
      <c r="CO232">
        <f>IF(CO$4=0,0,IF(COUNTIFS(実績!$W$6:$W$505,CO$3,実績!$AC$6:$AC$505,"&lt;="&amp;$A232,実績!$AD$6:$AD$505,"&gt;"&amp;$A232,実績!$AE$6:$AE$505,"○")&gt;0,1,0))</f>
        <v/>
      </c>
      <c r="CP232">
        <f>IF(CP$4=0,0,IF(COUNTIFS(実績!$W$6:$W$505,CP$3,実績!$AC$6:$AC$505,"&lt;="&amp;$A232,実績!$AD$6:$AD$505,"&gt;"&amp;$A232,実績!$AE$6:$AE$505,"○")&gt;0,1,0))</f>
        <v/>
      </c>
      <c r="CQ232">
        <f>IF(CQ$4=0,0,IF(COUNTIFS(実績!$W$6:$W$505,CQ$3,実績!$AC$6:$AC$505,"&lt;="&amp;$A232,実績!$AD$6:$AD$505,"&gt;"&amp;$A232,実績!$AE$6:$AE$505,"○")&gt;0,1,0))</f>
        <v/>
      </c>
      <c r="CR232">
        <f>IF(CR$4=0,0,IF(COUNTIFS(実績!$W$6:$W$505,CR$3,実績!$AC$6:$AC$505,"&lt;="&amp;$A232,実績!$AD$6:$AD$505,"&gt;"&amp;$A232,実績!$AE$6:$AE$505,"○")&gt;0,1,0))</f>
        <v/>
      </c>
      <c r="CS232">
        <f>IF(CS$4=0,0,IF(COUNTIFS(実績!$W$6:$W$505,CS$3,実績!$AC$6:$AC$505,"&lt;="&amp;$A232,実績!$AD$6:$AD$505,"&gt;"&amp;$A232,実績!$AE$6:$AE$505,"○")&gt;0,1,0))</f>
        <v/>
      </c>
      <c r="CT232">
        <f>IF(CT$4=0,0,IF(COUNTIFS(実績!$W$6:$W$505,CT$3,実績!$AC$6:$AC$505,"&lt;="&amp;$A232,実績!$AD$6:$AD$505,"&gt;"&amp;$A232,実績!$AE$6:$AE$505,"○")&gt;0,1,0))</f>
        <v/>
      </c>
      <c r="CU232">
        <f>IF(CU$4=0,0,IF(COUNTIFS(実績!$W$6:$W$505,CU$3,実績!$AC$6:$AC$505,"&lt;="&amp;$A232,実績!$AD$6:$AD$505,"&gt;"&amp;$A232,実績!$AE$6:$AE$505,"○")&gt;0,1,0))</f>
        <v/>
      </c>
      <c r="CV232">
        <f>IF(CV$4=0,0,IF(COUNTIFS(実績!$W$6:$W$505,CV$3,実績!$AC$6:$AC$505,"&lt;="&amp;$A232,実績!$AD$6:$AD$505,"&gt;"&amp;$A232,実績!$AE$6:$AE$505,"○")&gt;0,1,0))</f>
        <v/>
      </c>
      <c r="CW232">
        <f>IF(CW$4=0,0,IF(COUNTIFS(実績!$W$6:$W$505,CW$3,実績!$AC$6:$AC$505,"&lt;="&amp;$A232,実績!$AD$6:$AD$505,"&gt;"&amp;$A232,実績!$AE$6:$AE$505,"○")&gt;0,1,0))</f>
        <v/>
      </c>
      <c r="CX232">
        <f>IF(CX$4=0,0,IF(COUNTIFS(実績!$W$6:$W$505,CX$3,実績!$AC$6:$AC$505,"&lt;="&amp;$A232,実績!$AD$6:$AD$505,"&gt;"&amp;$A232,実績!$AE$6:$AE$505,"○")&gt;0,1,0))</f>
        <v/>
      </c>
      <c r="CY232">
        <f>IF(CY$4=0,0,IF(COUNTIFS(実績!$W$6:$W$505,CY$3,実績!$AC$6:$AC$505,"&lt;="&amp;$A232,実績!$AD$6:$AD$505,"&gt;"&amp;$A232,実績!$AE$6:$AE$505,"○")&gt;0,1,0))</f>
        <v/>
      </c>
      <c r="CZ232">
        <f>IF(CZ$4=0,0,IF(COUNTIFS(実績!$W$6:$W$505,CZ$3,実績!$AC$6:$AC$505,"&lt;="&amp;$A232,実績!$AD$6:$AD$505,"&gt;"&amp;$A232,実績!$AE$6:$AE$505,"○")&gt;0,1,0))</f>
        <v/>
      </c>
      <c r="DA232">
        <f>IF(DA$4=0,0,IF(COUNTIFS(実績!$W$6:$W$505,DA$3,実績!$AC$6:$AC$505,"&lt;="&amp;$A232,実績!$AD$6:$AD$505,"&gt;"&amp;$A232,実績!$AE$6:$AE$505,"○")&gt;0,1,0))</f>
        <v/>
      </c>
      <c r="DB232">
        <f>IF(DB$4=0,0,IF(COUNTIFS(実績!$W$6:$W$505,DB$3,実績!$AC$6:$AC$505,"&lt;="&amp;$A232,実績!$AD$6:$AD$505,"&gt;"&amp;$A232,実績!$AE$6:$AE$505,"○")&gt;0,1,0))</f>
        <v/>
      </c>
      <c r="DC232">
        <f>IF(DC$4=0,0,IF(COUNTIFS(実績!$W$6:$W$505,DC$3,実績!$AC$6:$AC$505,"&lt;="&amp;$A232,実績!$AD$6:$AD$505,"&gt;"&amp;$A232,実績!$AE$6:$AE$505,"○")&gt;0,1,0))</f>
        <v/>
      </c>
      <c r="DD232">
        <f>IF(DD$4=0,0,IF(COUNTIFS(実績!$W$6:$W$505,DD$3,実績!$AC$6:$AC$505,"&lt;="&amp;$A232,実績!$AD$6:$AD$505,"&gt;"&amp;$A232,実績!$AE$6:$AE$505,"○")&gt;0,1,0))</f>
        <v/>
      </c>
      <c r="DE232">
        <f>IF(DE$4=0,0,IF(COUNTIFS(実績!$W$6:$W$505,DE$3,実績!$AC$6:$AC$505,"&lt;="&amp;$A232,実績!$AD$6:$AD$505,"&gt;"&amp;$A232,実績!$AE$6:$AE$505,"○")&gt;0,1,0))</f>
        <v/>
      </c>
      <c r="DF232">
        <f>IF(DF$4=0,0,IF(COUNTIFS(実績!$W$6:$W$505,DF$3,実績!$AC$6:$AC$505,"&lt;="&amp;$A232,実績!$AD$6:$AD$505,"&gt;"&amp;$A232,実績!$AE$6:$AE$505,"○")&gt;0,1,0))</f>
        <v/>
      </c>
      <c r="DG232">
        <f>IF(DG$4=0,0,IF(COUNTIFS(実績!$W$6:$W$505,DG$3,実績!$AC$6:$AC$505,"&lt;="&amp;$A232,実績!$AD$6:$AD$505,"&gt;"&amp;$A232,実績!$AE$6:$AE$505,"○")&gt;0,1,0))</f>
        <v/>
      </c>
      <c r="DH232">
        <f>IF(DH$4=0,0,IF(COUNTIFS(実績!$W$6:$W$505,DH$3,実績!$AC$6:$AC$505,"&lt;="&amp;$A232,実績!$AD$6:$AD$505,"&gt;"&amp;$A232,実績!$AE$6:$AE$505,"○")&gt;0,1,0))</f>
        <v/>
      </c>
      <c r="DI232">
        <f>IF(DI$4=0,0,IF(COUNTIFS(実績!$W$6:$W$505,DI$3,実績!$AC$6:$AC$505,"&lt;="&amp;$A232,実績!$AD$6:$AD$505,"&gt;"&amp;$A232,実績!$AE$6:$AE$505,"○")&gt;0,1,0))</f>
        <v/>
      </c>
      <c r="DJ232">
        <f>IF(DJ$4=0,0,IF(COUNTIFS(実績!$W$6:$W$505,DJ$3,実績!$AC$6:$AC$505,"&lt;="&amp;$A232,実績!$AD$6:$AD$505,"&gt;"&amp;$A232,実績!$AE$6:$AE$505,"○")&gt;0,1,0))</f>
        <v/>
      </c>
      <c r="DK232">
        <f>IF(DK$4=0,0,IF(COUNTIFS(実績!$W$6:$W$505,DK$3,実績!$AC$6:$AC$505,"&lt;="&amp;$A232,実績!$AD$6:$AD$505,"&gt;"&amp;$A232,実績!$AE$6:$AE$505,"○")&gt;0,1,0))</f>
        <v/>
      </c>
      <c r="DL232">
        <f>IF(DL$4=0,0,IF(COUNTIFS(実績!$W$6:$W$505,DL$3,実績!$AC$6:$AC$505,"&lt;="&amp;$A232,実績!$AD$6:$AD$505,"&gt;"&amp;$A232,実績!$AE$6:$AE$505,"○")&gt;0,1,0))</f>
        <v/>
      </c>
      <c r="DM232">
        <f>IF(DM$4=0,0,IF(COUNTIFS(実績!$W$6:$W$505,DM$3,実績!$AC$6:$AC$505,"&lt;="&amp;$A232,実績!$AD$6:$AD$505,"&gt;"&amp;$A232,実績!$AE$6:$AE$505,"○")&gt;0,1,0))</f>
        <v/>
      </c>
      <c r="DN232">
        <f>IF(DN$4=0,0,IF(COUNTIFS(実績!$W$6:$W$505,DN$3,実績!$AC$6:$AC$505,"&lt;="&amp;$A232,実績!$AD$6:$AD$505,"&gt;"&amp;$A232,実績!$AE$6:$AE$505,"○")&gt;0,1,0))</f>
        <v/>
      </c>
      <c r="DO232">
        <f>IF(DO$4=0,0,IF(COUNTIFS(実績!$W$6:$W$505,DO$3,実績!$AC$6:$AC$505,"&lt;="&amp;$A232,実績!$AD$6:$AD$505,"&gt;"&amp;$A232,実績!$AE$6:$AE$505,"○")&gt;0,1,0))</f>
        <v/>
      </c>
      <c r="DP232">
        <f>IF(DP$4=0,0,IF(COUNTIFS(実績!$W$6:$W$505,DP$3,実績!$AC$6:$AC$505,"&lt;="&amp;$A232,実績!$AD$6:$AD$505,"&gt;"&amp;$A232,実績!$AE$6:$AE$505,"○")&gt;0,1,0))</f>
        <v/>
      </c>
      <c r="DQ232">
        <f>IF(DQ$4=0,0,IF(COUNTIFS(実績!$W$6:$W$505,DQ$3,実績!$AC$6:$AC$505,"&lt;="&amp;$A232,実績!$AD$6:$AD$505,"&gt;"&amp;$A232,実績!$AE$6:$AE$505,"○")&gt;0,1,0))</f>
        <v/>
      </c>
      <c r="DR232">
        <f>IF(DR$4=0,0,IF(COUNTIFS(実績!$W$6:$W$505,DR$3,実績!$AC$6:$AC$505,"&lt;="&amp;$A232,実績!$AD$6:$AD$505,"&gt;"&amp;$A232,実績!$AE$6:$AE$505,"○")&gt;0,1,0))</f>
        <v/>
      </c>
      <c r="DS232">
        <f>SUM(C232:DR232)</f>
        <v/>
      </c>
      <c r="DT232">
        <f>SUMPRODUCT((実績!$C$6:$C$505="○")*ISNUMBER(実績!$AF$6:$AF$505)*(実績!$AF$6:$AF$505&lt;=$A232)*(実績!$AG$6:$AG$505&gt;$A232))</f>
        <v/>
      </c>
      <c r="DU232">
        <f>SUMIF($C$2:$DR$2,"製鉄曳船",C232:DR232)</f>
        <v/>
      </c>
      <c r="DV232">
        <f>SUMIF($C$2:$DR$2,"西日本海運",C232:DR232)</f>
        <v/>
      </c>
    </row>
    <row r="233">
      <c r="A233" t="n">
        <v>1135</v>
      </c>
      <c r="B233" s="29">
        <f>A233/1440</f>
        <v/>
      </c>
      <c r="C233">
        <f>IF(C$4=0,0,IF(COUNTIFS(実績!$W$6:$W$505,C$3,実績!$AC$6:$AC$505,"&lt;="&amp;$A233,実績!$AD$6:$AD$505,"&gt;"&amp;$A233,実績!$AE$6:$AE$505,"○")&gt;0,1,0))</f>
        <v/>
      </c>
      <c r="D233">
        <f>IF(D$4=0,0,IF(COUNTIFS(実績!$W$6:$W$505,D$3,実績!$AC$6:$AC$505,"&lt;="&amp;$A233,実績!$AD$6:$AD$505,"&gt;"&amp;$A233,実績!$AE$6:$AE$505,"○")&gt;0,1,0))</f>
        <v/>
      </c>
      <c r="E233">
        <f>IF(E$4=0,0,IF(COUNTIFS(実績!$W$6:$W$505,E$3,実績!$AC$6:$AC$505,"&lt;="&amp;$A233,実績!$AD$6:$AD$505,"&gt;"&amp;$A233,実績!$AE$6:$AE$505,"○")&gt;0,1,0))</f>
        <v/>
      </c>
      <c r="F233">
        <f>IF(F$4=0,0,IF(COUNTIFS(実績!$W$6:$W$505,F$3,実績!$AC$6:$AC$505,"&lt;="&amp;$A233,実績!$AD$6:$AD$505,"&gt;"&amp;$A233,実績!$AE$6:$AE$505,"○")&gt;0,1,0))</f>
        <v/>
      </c>
      <c r="G233">
        <f>IF(G$4=0,0,IF(COUNTIFS(実績!$W$6:$W$505,G$3,実績!$AC$6:$AC$505,"&lt;="&amp;$A233,実績!$AD$6:$AD$505,"&gt;"&amp;$A233,実績!$AE$6:$AE$505,"○")&gt;0,1,0))</f>
        <v/>
      </c>
      <c r="H233">
        <f>IF(H$4=0,0,IF(COUNTIFS(実績!$W$6:$W$505,H$3,実績!$AC$6:$AC$505,"&lt;="&amp;$A233,実績!$AD$6:$AD$505,"&gt;"&amp;$A233,実績!$AE$6:$AE$505,"○")&gt;0,1,0))</f>
        <v/>
      </c>
      <c r="I233">
        <f>IF(I$4=0,0,IF(COUNTIFS(実績!$W$6:$W$505,I$3,実績!$AC$6:$AC$505,"&lt;="&amp;$A233,実績!$AD$6:$AD$505,"&gt;"&amp;$A233,実績!$AE$6:$AE$505,"○")&gt;0,1,0))</f>
        <v/>
      </c>
      <c r="J233">
        <f>IF(J$4=0,0,IF(COUNTIFS(実績!$W$6:$W$505,J$3,実績!$AC$6:$AC$505,"&lt;="&amp;$A233,実績!$AD$6:$AD$505,"&gt;"&amp;$A233,実績!$AE$6:$AE$505,"○")&gt;0,1,0))</f>
        <v/>
      </c>
      <c r="K233">
        <f>IF(K$4=0,0,IF(COUNTIFS(実績!$W$6:$W$505,K$3,実績!$AC$6:$AC$505,"&lt;="&amp;$A233,実績!$AD$6:$AD$505,"&gt;"&amp;$A233,実績!$AE$6:$AE$505,"○")&gt;0,1,0))</f>
        <v/>
      </c>
      <c r="L233">
        <f>IF(L$4=0,0,IF(COUNTIFS(実績!$W$6:$W$505,L$3,実績!$AC$6:$AC$505,"&lt;="&amp;$A233,実績!$AD$6:$AD$505,"&gt;"&amp;$A233,実績!$AE$6:$AE$505,"○")&gt;0,1,0))</f>
        <v/>
      </c>
      <c r="M233">
        <f>IF(M$4=0,0,IF(COUNTIFS(実績!$W$6:$W$505,M$3,実績!$AC$6:$AC$505,"&lt;="&amp;$A233,実績!$AD$6:$AD$505,"&gt;"&amp;$A233,実績!$AE$6:$AE$505,"○")&gt;0,1,0))</f>
        <v/>
      </c>
      <c r="N233">
        <f>IF(N$4=0,0,IF(COUNTIFS(実績!$W$6:$W$505,N$3,実績!$AC$6:$AC$505,"&lt;="&amp;$A233,実績!$AD$6:$AD$505,"&gt;"&amp;$A233,実績!$AE$6:$AE$505,"○")&gt;0,1,0))</f>
        <v/>
      </c>
      <c r="O233">
        <f>IF(O$4=0,0,IF(COUNTIFS(実績!$W$6:$W$505,O$3,実績!$AC$6:$AC$505,"&lt;="&amp;$A233,実績!$AD$6:$AD$505,"&gt;"&amp;$A233,実績!$AE$6:$AE$505,"○")&gt;0,1,0))</f>
        <v/>
      </c>
      <c r="P233">
        <f>IF(P$4=0,0,IF(COUNTIFS(実績!$W$6:$W$505,P$3,実績!$AC$6:$AC$505,"&lt;="&amp;$A233,実績!$AD$6:$AD$505,"&gt;"&amp;$A233,実績!$AE$6:$AE$505,"○")&gt;0,1,0))</f>
        <v/>
      </c>
      <c r="Q233">
        <f>IF(Q$4=0,0,IF(COUNTIFS(実績!$W$6:$W$505,Q$3,実績!$AC$6:$AC$505,"&lt;="&amp;$A233,実績!$AD$6:$AD$505,"&gt;"&amp;$A233,実績!$AE$6:$AE$505,"○")&gt;0,1,0))</f>
        <v/>
      </c>
      <c r="R233">
        <f>IF(R$4=0,0,IF(COUNTIFS(実績!$W$6:$W$505,R$3,実績!$AC$6:$AC$505,"&lt;="&amp;$A233,実績!$AD$6:$AD$505,"&gt;"&amp;$A233,実績!$AE$6:$AE$505,"○")&gt;0,1,0))</f>
        <v/>
      </c>
      <c r="S233">
        <f>IF(S$4=0,0,IF(COUNTIFS(実績!$W$6:$W$505,S$3,実績!$AC$6:$AC$505,"&lt;="&amp;$A233,実績!$AD$6:$AD$505,"&gt;"&amp;$A233,実績!$AE$6:$AE$505,"○")&gt;0,1,0))</f>
        <v/>
      </c>
      <c r="T233">
        <f>IF(T$4=0,0,IF(COUNTIFS(実績!$W$6:$W$505,T$3,実績!$AC$6:$AC$505,"&lt;="&amp;$A233,実績!$AD$6:$AD$505,"&gt;"&amp;$A233,実績!$AE$6:$AE$505,"○")&gt;0,1,0))</f>
        <v/>
      </c>
      <c r="U233">
        <f>IF(U$4=0,0,IF(COUNTIFS(実績!$W$6:$W$505,U$3,実績!$AC$6:$AC$505,"&lt;="&amp;$A233,実績!$AD$6:$AD$505,"&gt;"&amp;$A233,実績!$AE$6:$AE$505,"○")&gt;0,1,0))</f>
        <v/>
      </c>
      <c r="V233">
        <f>IF(V$4=0,0,IF(COUNTIFS(実績!$W$6:$W$505,V$3,実績!$AC$6:$AC$505,"&lt;="&amp;$A233,実績!$AD$6:$AD$505,"&gt;"&amp;$A233,実績!$AE$6:$AE$505,"○")&gt;0,1,0))</f>
        <v/>
      </c>
      <c r="W233">
        <f>IF(W$4=0,0,IF(COUNTIFS(実績!$W$6:$W$505,W$3,実績!$AC$6:$AC$505,"&lt;="&amp;$A233,実績!$AD$6:$AD$505,"&gt;"&amp;$A233,実績!$AE$6:$AE$505,"○")&gt;0,1,0))</f>
        <v/>
      </c>
      <c r="X233">
        <f>IF(X$4=0,0,IF(COUNTIFS(実績!$W$6:$W$505,X$3,実績!$AC$6:$AC$505,"&lt;="&amp;$A233,実績!$AD$6:$AD$505,"&gt;"&amp;$A233,実績!$AE$6:$AE$505,"○")&gt;0,1,0))</f>
        <v/>
      </c>
      <c r="Y233">
        <f>IF(Y$4=0,0,IF(COUNTIFS(実績!$W$6:$W$505,Y$3,実績!$AC$6:$AC$505,"&lt;="&amp;$A233,実績!$AD$6:$AD$505,"&gt;"&amp;$A233,実績!$AE$6:$AE$505,"○")&gt;0,1,0))</f>
        <v/>
      </c>
      <c r="Z233">
        <f>IF(Z$4=0,0,IF(COUNTIFS(実績!$W$6:$W$505,Z$3,実績!$AC$6:$AC$505,"&lt;="&amp;$A233,実績!$AD$6:$AD$505,"&gt;"&amp;$A233,実績!$AE$6:$AE$505,"○")&gt;0,1,0))</f>
        <v/>
      </c>
      <c r="AA233">
        <f>IF(AA$4=0,0,IF(COUNTIFS(実績!$W$6:$W$505,AA$3,実績!$AC$6:$AC$505,"&lt;="&amp;$A233,実績!$AD$6:$AD$505,"&gt;"&amp;$A233,実績!$AE$6:$AE$505,"○")&gt;0,1,0))</f>
        <v/>
      </c>
      <c r="AB233">
        <f>IF(AB$4=0,0,IF(COUNTIFS(実績!$W$6:$W$505,AB$3,実績!$AC$6:$AC$505,"&lt;="&amp;$A233,実績!$AD$6:$AD$505,"&gt;"&amp;$A233,実績!$AE$6:$AE$505,"○")&gt;0,1,0))</f>
        <v/>
      </c>
      <c r="AC233">
        <f>IF(AC$4=0,0,IF(COUNTIFS(実績!$W$6:$W$505,AC$3,実績!$AC$6:$AC$505,"&lt;="&amp;$A233,実績!$AD$6:$AD$505,"&gt;"&amp;$A233,実績!$AE$6:$AE$505,"○")&gt;0,1,0))</f>
        <v/>
      </c>
      <c r="AD233">
        <f>IF(AD$4=0,0,IF(COUNTIFS(実績!$W$6:$W$505,AD$3,実績!$AC$6:$AC$505,"&lt;="&amp;$A233,実績!$AD$6:$AD$505,"&gt;"&amp;$A233,実績!$AE$6:$AE$505,"○")&gt;0,1,0))</f>
        <v/>
      </c>
      <c r="AE233">
        <f>IF(AE$4=0,0,IF(COUNTIFS(実績!$W$6:$W$505,AE$3,実績!$AC$6:$AC$505,"&lt;="&amp;$A233,実績!$AD$6:$AD$505,"&gt;"&amp;$A233,実績!$AE$6:$AE$505,"○")&gt;0,1,0))</f>
        <v/>
      </c>
      <c r="AF233">
        <f>IF(AF$4=0,0,IF(COUNTIFS(実績!$W$6:$W$505,AF$3,実績!$AC$6:$AC$505,"&lt;="&amp;$A233,実績!$AD$6:$AD$505,"&gt;"&amp;$A233,実績!$AE$6:$AE$505,"○")&gt;0,1,0))</f>
        <v/>
      </c>
      <c r="AG233">
        <f>IF(AG$4=0,0,IF(COUNTIFS(実績!$W$6:$W$505,AG$3,実績!$AC$6:$AC$505,"&lt;="&amp;$A233,実績!$AD$6:$AD$505,"&gt;"&amp;$A233,実績!$AE$6:$AE$505,"○")&gt;0,1,0))</f>
        <v/>
      </c>
      <c r="AH233">
        <f>IF(AH$4=0,0,IF(COUNTIFS(実績!$W$6:$W$505,AH$3,実績!$AC$6:$AC$505,"&lt;="&amp;$A233,実績!$AD$6:$AD$505,"&gt;"&amp;$A233,実績!$AE$6:$AE$505,"○")&gt;0,1,0))</f>
        <v/>
      </c>
      <c r="AI233">
        <f>IF(AI$4=0,0,IF(COUNTIFS(実績!$W$6:$W$505,AI$3,実績!$AC$6:$AC$505,"&lt;="&amp;$A233,実績!$AD$6:$AD$505,"&gt;"&amp;$A233,実績!$AE$6:$AE$505,"○")&gt;0,1,0))</f>
        <v/>
      </c>
      <c r="AJ233">
        <f>IF(AJ$4=0,0,IF(COUNTIFS(実績!$W$6:$W$505,AJ$3,実績!$AC$6:$AC$505,"&lt;="&amp;$A233,実績!$AD$6:$AD$505,"&gt;"&amp;$A233,実績!$AE$6:$AE$505,"○")&gt;0,1,0))</f>
        <v/>
      </c>
      <c r="AK233">
        <f>IF(AK$4=0,0,IF(COUNTIFS(実績!$W$6:$W$505,AK$3,実績!$AC$6:$AC$505,"&lt;="&amp;$A233,実績!$AD$6:$AD$505,"&gt;"&amp;$A233,実績!$AE$6:$AE$505,"○")&gt;0,1,0))</f>
        <v/>
      </c>
      <c r="AL233">
        <f>IF(AL$4=0,0,IF(COUNTIFS(実績!$W$6:$W$505,AL$3,実績!$AC$6:$AC$505,"&lt;="&amp;$A233,実績!$AD$6:$AD$505,"&gt;"&amp;$A233,実績!$AE$6:$AE$505,"○")&gt;0,1,0))</f>
        <v/>
      </c>
      <c r="AM233">
        <f>IF(AM$4=0,0,IF(COUNTIFS(実績!$W$6:$W$505,AM$3,実績!$AC$6:$AC$505,"&lt;="&amp;$A233,実績!$AD$6:$AD$505,"&gt;"&amp;$A233,実績!$AE$6:$AE$505,"○")&gt;0,1,0))</f>
        <v/>
      </c>
      <c r="AN233">
        <f>IF(AN$4=0,0,IF(COUNTIFS(実績!$W$6:$W$505,AN$3,実績!$AC$6:$AC$505,"&lt;="&amp;$A233,実績!$AD$6:$AD$505,"&gt;"&amp;$A233,実績!$AE$6:$AE$505,"○")&gt;0,1,0))</f>
        <v/>
      </c>
      <c r="AO233">
        <f>IF(AO$4=0,0,IF(COUNTIFS(実績!$W$6:$W$505,AO$3,実績!$AC$6:$AC$505,"&lt;="&amp;$A233,実績!$AD$6:$AD$505,"&gt;"&amp;$A233,実績!$AE$6:$AE$505,"○")&gt;0,1,0))</f>
        <v/>
      </c>
      <c r="AP233">
        <f>IF(AP$4=0,0,IF(COUNTIFS(実績!$W$6:$W$505,AP$3,実績!$AC$6:$AC$505,"&lt;="&amp;$A233,実績!$AD$6:$AD$505,"&gt;"&amp;$A233,実績!$AE$6:$AE$505,"○")&gt;0,1,0))</f>
        <v/>
      </c>
      <c r="AQ233">
        <f>IF(AQ$4=0,0,IF(COUNTIFS(実績!$W$6:$W$505,AQ$3,実績!$AC$6:$AC$505,"&lt;="&amp;$A233,実績!$AD$6:$AD$505,"&gt;"&amp;$A233,実績!$AE$6:$AE$505,"○")&gt;0,1,0))</f>
        <v/>
      </c>
      <c r="AR233">
        <f>IF(AR$4=0,0,IF(COUNTIFS(実績!$W$6:$W$505,AR$3,実績!$AC$6:$AC$505,"&lt;="&amp;$A233,実績!$AD$6:$AD$505,"&gt;"&amp;$A233,実績!$AE$6:$AE$505,"○")&gt;0,1,0))</f>
        <v/>
      </c>
      <c r="AS233">
        <f>IF(AS$4=0,0,IF(COUNTIFS(実績!$W$6:$W$505,AS$3,実績!$AC$6:$AC$505,"&lt;="&amp;$A233,実績!$AD$6:$AD$505,"&gt;"&amp;$A233,実績!$AE$6:$AE$505,"○")&gt;0,1,0))</f>
        <v/>
      </c>
      <c r="AT233">
        <f>IF(AT$4=0,0,IF(COUNTIFS(実績!$W$6:$W$505,AT$3,実績!$AC$6:$AC$505,"&lt;="&amp;$A233,実績!$AD$6:$AD$505,"&gt;"&amp;$A233,実績!$AE$6:$AE$505,"○")&gt;0,1,0))</f>
        <v/>
      </c>
      <c r="AU233">
        <f>IF(AU$4=0,0,IF(COUNTIFS(実績!$W$6:$W$505,AU$3,実績!$AC$6:$AC$505,"&lt;="&amp;$A233,実績!$AD$6:$AD$505,"&gt;"&amp;$A233,実績!$AE$6:$AE$505,"○")&gt;0,1,0))</f>
        <v/>
      </c>
      <c r="AV233">
        <f>IF(AV$4=0,0,IF(COUNTIFS(実績!$W$6:$W$505,AV$3,実績!$AC$6:$AC$505,"&lt;="&amp;$A233,実績!$AD$6:$AD$505,"&gt;"&amp;$A233,実績!$AE$6:$AE$505,"○")&gt;0,1,0))</f>
        <v/>
      </c>
      <c r="AW233">
        <f>IF(AW$4=0,0,IF(COUNTIFS(実績!$W$6:$W$505,AW$3,実績!$AC$6:$AC$505,"&lt;="&amp;$A233,実績!$AD$6:$AD$505,"&gt;"&amp;$A233,実績!$AE$6:$AE$505,"○")&gt;0,1,0))</f>
        <v/>
      </c>
      <c r="AX233">
        <f>IF(AX$4=0,0,IF(COUNTIFS(実績!$W$6:$W$505,AX$3,実績!$AC$6:$AC$505,"&lt;="&amp;$A233,実績!$AD$6:$AD$505,"&gt;"&amp;$A233,実績!$AE$6:$AE$505,"○")&gt;0,1,0))</f>
        <v/>
      </c>
      <c r="AY233">
        <f>IF(AY$4=0,0,IF(COUNTIFS(実績!$W$6:$W$505,AY$3,実績!$AC$6:$AC$505,"&lt;="&amp;$A233,実績!$AD$6:$AD$505,"&gt;"&amp;$A233,実績!$AE$6:$AE$505,"○")&gt;0,1,0))</f>
        <v/>
      </c>
      <c r="AZ233">
        <f>IF(AZ$4=0,0,IF(COUNTIFS(実績!$W$6:$W$505,AZ$3,実績!$AC$6:$AC$505,"&lt;="&amp;$A233,実績!$AD$6:$AD$505,"&gt;"&amp;$A233,実績!$AE$6:$AE$505,"○")&gt;0,1,0))</f>
        <v/>
      </c>
      <c r="BA233">
        <f>IF(BA$4=0,0,IF(COUNTIFS(実績!$W$6:$W$505,BA$3,実績!$AC$6:$AC$505,"&lt;="&amp;$A233,実績!$AD$6:$AD$505,"&gt;"&amp;$A233,実績!$AE$6:$AE$505,"○")&gt;0,1,0))</f>
        <v/>
      </c>
      <c r="BB233">
        <f>IF(BB$4=0,0,IF(COUNTIFS(実績!$W$6:$W$505,BB$3,実績!$AC$6:$AC$505,"&lt;="&amp;$A233,実績!$AD$6:$AD$505,"&gt;"&amp;$A233,実績!$AE$6:$AE$505,"○")&gt;0,1,0))</f>
        <v/>
      </c>
      <c r="BC233">
        <f>IF(BC$4=0,0,IF(COUNTIFS(実績!$W$6:$W$505,BC$3,実績!$AC$6:$AC$505,"&lt;="&amp;$A233,実績!$AD$6:$AD$505,"&gt;"&amp;$A233,実績!$AE$6:$AE$505,"○")&gt;0,1,0))</f>
        <v/>
      </c>
      <c r="BD233">
        <f>IF(BD$4=0,0,IF(COUNTIFS(実績!$W$6:$W$505,BD$3,実績!$AC$6:$AC$505,"&lt;="&amp;$A233,実績!$AD$6:$AD$505,"&gt;"&amp;$A233,実績!$AE$6:$AE$505,"○")&gt;0,1,0))</f>
        <v/>
      </c>
      <c r="BE233">
        <f>IF(BE$4=0,0,IF(COUNTIFS(実績!$W$6:$W$505,BE$3,実績!$AC$6:$AC$505,"&lt;="&amp;$A233,実績!$AD$6:$AD$505,"&gt;"&amp;$A233,実績!$AE$6:$AE$505,"○")&gt;0,1,0))</f>
        <v/>
      </c>
      <c r="BF233">
        <f>IF(BF$4=0,0,IF(COUNTIFS(実績!$W$6:$W$505,BF$3,実績!$AC$6:$AC$505,"&lt;="&amp;$A233,実績!$AD$6:$AD$505,"&gt;"&amp;$A233,実績!$AE$6:$AE$505,"○")&gt;0,1,0))</f>
        <v/>
      </c>
      <c r="BG233">
        <f>IF(BG$4=0,0,IF(COUNTIFS(実績!$W$6:$W$505,BG$3,実績!$AC$6:$AC$505,"&lt;="&amp;$A233,実績!$AD$6:$AD$505,"&gt;"&amp;$A233,実績!$AE$6:$AE$505,"○")&gt;0,1,0))</f>
        <v/>
      </c>
      <c r="BH233">
        <f>IF(BH$4=0,0,IF(COUNTIFS(実績!$W$6:$W$505,BH$3,実績!$AC$6:$AC$505,"&lt;="&amp;$A233,実績!$AD$6:$AD$505,"&gt;"&amp;$A233,実績!$AE$6:$AE$505,"○")&gt;0,1,0))</f>
        <v/>
      </c>
      <c r="BI233">
        <f>IF(BI$4=0,0,IF(COUNTIFS(実績!$W$6:$W$505,BI$3,実績!$AC$6:$AC$505,"&lt;="&amp;$A233,実績!$AD$6:$AD$505,"&gt;"&amp;$A233,実績!$AE$6:$AE$505,"○")&gt;0,1,0))</f>
        <v/>
      </c>
      <c r="BJ233">
        <f>IF(BJ$4=0,0,IF(COUNTIFS(実績!$W$6:$W$505,BJ$3,実績!$AC$6:$AC$505,"&lt;="&amp;$A233,実績!$AD$6:$AD$505,"&gt;"&amp;$A233,実績!$AE$6:$AE$505,"○")&gt;0,1,0))</f>
        <v/>
      </c>
      <c r="BK233">
        <f>IF(BK$4=0,0,IF(COUNTIFS(実績!$W$6:$W$505,BK$3,実績!$AC$6:$AC$505,"&lt;="&amp;$A233,実績!$AD$6:$AD$505,"&gt;"&amp;$A233,実績!$AE$6:$AE$505,"○")&gt;0,1,0))</f>
        <v/>
      </c>
      <c r="BL233">
        <f>IF(BL$4=0,0,IF(COUNTIFS(実績!$W$6:$W$505,BL$3,実績!$AC$6:$AC$505,"&lt;="&amp;$A233,実績!$AD$6:$AD$505,"&gt;"&amp;$A233,実績!$AE$6:$AE$505,"○")&gt;0,1,0))</f>
        <v/>
      </c>
      <c r="BM233">
        <f>IF(BM$4=0,0,IF(COUNTIFS(実績!$W$6:$W$505,BM$3,実績!$AC$6:$AC$505,"&lt;="&amp;$A233,実績!$AD$6:$AD$505,"&gt;"&amp;$A233,実績!$AE$6:$AE$505,"○")&gt;0,1,0))</f>
        <v/>
      </c>
      <c r="BN233">
        <f>IF(BN$4=0,0,IF(COUNTIFS(実績!$W$6:$W$505,BN$3,実績!$AC$6:$AC$505,"&lt;="&amp;$A233,実績!$AD$6:$AD$505,"&gt;"&amp;$A233,実績!$AE$6:$AE$505,"○")&gt;0,1,0))</f>
        <v/>
      </c>
      <c r="BO233">
        <f>IF(BO$4=0,0,IF(COUNTIFS(実績!$W$6:$W$505,BO$3,実績!$AC$6:$AC$505,"&lt;="&amp;$A233,実績!$AD$6:$AD$505,"&gt;"&amp;$A233,実績!$AE$6:$AE$505,"○")&gt;0,1,0))</f>
        <v/>
      </c>
      <c r="BP233">
        <f>IF(BP$4=0,0,IF(COUNTIFS(実績!$W$6:$W$505,BP$3,実績!$AC$6:$AC$505,"&lt;="&amp;$A233,実績!$AD$6:$AD$505,"&gt;"&amp;$A233,実績!$AE$6:$AE$505,"○")&gt;0,1,0))</f>
        <v/>
      </c>
      <c r="BQ233">
        <f>IF(BQ$4=0,0,IF(COUNTIFS(実績!$W$6:$W$505,BQ$3,実績!$AC$6:$AC$505,"&lt;="&amp;$A233,実績!$AD$6:$AD$505,"&gt;"&amp;$A233,実績!$AE$6:$AE$505,"○")&gt;0,1,0))</f>
        <v/>
      </c>
      <c r="BR233">
        <f>IF(BR$4=0,0,IF(COUNTIFS(実績!$W$6:$W$505,BR$3,実績!$AC$6:$AC$505,"&lt;="&amp;$A233,実績!$AD$6:$AD$505,"&gt;"&amp;$A233,実績!$AE$6:$AE$505,"○")&gt;0,1,0))</f>
        <v/>
      </c>
      <c r="BS233">
        <f>IF(BS$4=0,0,IF(COUNTIFS(実績!$W$6:$W$505,BS$3,実績!$AC$6:$AC$505,"&lt;="&amp;$A233,実績!$AD$6:$AD$505,"&gt;"&amp;$A233,実績!$AE$6:$AE$505,"○")&gt;0,1,0))</f>
        <v/>
      </c>
      <c r="BT233">
        <f>IF(BT$4=0,0,IF(COUNTIFS(実績!$W$6:$W$505,BT$3,実績!$AC$6:$AC$505,"&lt;="&amp;$A233,実績!$AD$6:$AD$505,"&gt;"&amp;$A233,実績!$AE$6:$AE$505,"○")&gt;0,1,0))</f>
        <v/>
      </c>
      <c r="BU233">
        <f>IF(BU$4=0,0,IF(COUNTIFS(実績!$W$6:$W$505,BU$3,実績!$AC$6:$AC$505,"&lt;="&amp;$A233,実績!$AD$6:$AD$505,"&gt;"&amp;$A233,実績!$AE$6:$AE$505,"○")&gt;0,1,0))</f>
        <v/>
      </c>
      <c r="BV233">
        <f>IF(BV$4=0,0,IF(COUNTIFS(実績!$W$6:$W$505,BV$3,実績!$AC$6:$AC$505,"&lt;="&amp;$A233,実績!$AD$6:$AD$505,"&gt;"&amp;$A233,実績!$AE$6:$AE$505,"○")&gt;0,1,0))</f>
        <v/>
      </c>
      <c r="BW233">
        <f>IF(BW$4=0,0,IF(COUNTIFS(実績!$W$6:$W$505,BW$3,実績!$AC$6:$AC$505,"&lt;="&amp;$A233,実績!$AD$6:$AD$505,"&gt;"&amp;$A233,実績!$AE$6:$AE$505,"○")&gt;0,1,0))</f>
        <v/>
      </c>
      <c r="BX233">
        <f>IF(BX$4=0,0,IF(COUNTIFS(実績!$W$6:$W$505,BX$3,実績!$AC$6:$AC$505,"&lt;="&amp;$A233,実績!$AD$6:$AD$505,"&gt;"&amp;$A233,実績!$AE$6:$AE$505,"○")&gt;0,1,0))</f>
        <v/>
      </c>
      <c r="BY233">
        <f>IF(BY$4=0,0,IF(COUNTIFS(実績!$W$6:$W$505,BY$3,実績!$AC$6:$AC$505,"&lt;="&amp;$A233,実績!$AD$6:$AD$505,"&gt;"&amp;$A233,実績!$AE$6:$AE$505,"○")&gt;0,1,0))</f>
        <v/>
      </c>
      <c r="BZ233">
        <f>IF(BZ$4=0,0,IF(COUNTIFS(実績!$W$6:$W$505,BZ$3,実績!$AC$6:$AC$505,"&lt;="&amp;$A233,実績!$AD$6:$AD$505,"&gt;"&amp;$A233,実績!$AE$6:$AE$505,"○")&gt;0,1,0))</f>
        <v/>
      </c>
      <c r="CA233">
        <f>IF(CA$4=0,0,IF(COUNTIFS(実績!$W$6:$W$505,CA$3,実績!$AC$6:$AC$505,"&lt;="&amp;$A233,実績!$AD$6:$AD$505,"&gt;"&amp;$A233,実績!$AE$6:$AE$505,"○")&gt;0,1,0))</f>
        <v/>
      </c>
      <c r="CB233">
        <f>IF(CB$4=0,0,IF(COUNTIFS(実績!$W$6:$W$505,CB$3,実績!$AC$6:$AC$505,"&lt;="&amp;$A233,実績!$AD$6:$AD$505,"&gt;"&amp;$A233,実績!$AE$6:$AE$505,"○")&gt;0,1,0))</f>
        <v/>
      </c>
      <c r="CC233">
        <f>IF(CC$4=0,0,IF(COUNTIFS(実績!$W$6:$W$505,CC$3,実績!$AC$6:$AC$505,"&lt;="&amp;$A233,実績!$AD$6:$AD$505,"&gt;"&amp;$A233,実績!$AE$6:$AE$505,"○")&gt;0,1,0))</f>
        <v/>
      </c>
      <c r="CD233">
        <f>IF(CD$4=0,0,IF(COUNTIFS(実績!$W$6:$W$505,CD$3,実績!$AC$6:$AC$505,"&lt;="&amp;$A233,実績!$AD$6:$AD$505,"&gt;"&amp;$A233,実績!$AE$6:$AE$505,"○")&gt;0,1,0))</f>
        <v/>
      </c>
      <c r="CE233">
        <f>IF(CE$4=0,0,IF(COUNTIFS(実績!$W$6:$W$505,CE$3,実績!$AC$6:$AC$505,"&lt;="&amp;$A233,実績!$AD$6:$AD$505,"&gt;"&amp;$A233,実績!$AE$6:$AE$505,"○")&gt;0,1,0))</f>
        <v/>
      </c>
      <c r="CF233">
        <f>IF(CF$4=0,0,IF(COUNTIFS(実績!$W$6:$W$505,CF$3,実績!$AC$6:$AC$505,"&lt;="&amp;$A233,実績!$AD$6:$AD$505,"&gt;"&amp;$A233,実績!$AE$6:$AE$505,"○")&gt;0,1,0))</f>
        <v/>
      </c>
      <c r="CG233">
        <f>IF(CG$4=0,0,IF(COUNTIFS(実績!$W$6:$W$505,CG$3,実績!$AC$6:$AC$505,"&lt;="&amp;$A233,実績!$AD$6:$AD$505,"&gt;"&amp;$A233,実績!$AE$6:$AE$505,"○")&gt;0,1,0))</f>
        <v/>
      </c>
      <c r="CH233">
        <f>IF(CH$4=0,0,IF(COUNTIFS(実績!$W$6:$W$505,CH$3,実績!$AC$6:$AC$505,"&lt;="&amp;$A233,実績!$AD$6:$AD$505,"&gt;"&amp;$A233,実績!$AE$6:$AE$505,"○")&gt;0,1,0))</f>
        <v/>
      </c>
      <c r="CI233">
        <f>IF(CI$4=0,0,IF(COUNTIFS(実績!$W$6:$W$505,CI$3,実績!$AC$6:$AC$505,"&lt;="&amp;$A233,実績!$AD$6:$AD$505,"&gt;"&amp;$A233,実績!$AE$6:$AE$505,"○")&gt;0,1,0))</f>
        <v/>
      </c>
      <c r="CJ233">
        <f>IF(CJ$4=0,0,IF(COUNTIFS(実績!$W$6:$W$505,CJ$3,実績!$AC$6:$AC$505,"&lt;="&amp;$A233,実績!$AD$6:$AD$505,"&gt;"&amp;$A233,実績!$AE$6:$AE$505,"○")&gt;0,1,0))</f>
        <v/>
      </c>
      <c r="CK233">
        <f>IF(CK$4=0,0,IF(COUNTIFS(実績!$W$6:$W$505,CK$3,実績!$AC$6:$AC$505,"&lt;="&amp;$A233,実績!$AD$6:$AD$505,"&gt;"&amp;$A233,実績!$AE$6:$AE$505,"○")&gt;0,1,0))</f>
        <v/>
      </c>
      <c r="CL233">
        <f>IF(CL$4=0,0,IF(COUNTIFS(実績!$W$6:$W$505,CL$3,実績!$AC$6:$AC$505,"&lt;="&amp;$A233,実績!$AD$6:$AD$505,"&gt;"&amp;$A233,実績!$AE$6:$AE$505,"○")&gt;0,1,0))</f>
        <v/>
      </c>
      <c r="CM233">
        <f>IF(CM$4=0,0,IF(COUNTIFS(実績!$W$6:$W$505,CM$3,実績!$AC$6:$AC$505,"&lt;="&amp;$A233,実績!$AD$6:$AD$505,"&gt;"&amp;$A233,実績!$AE$6:$AE$505,"○")&gt;0,1,0))</f>
        <v/>
      </c>
      <c r="CN233">
        <f>IF(CN$4=0,0,IF(COUNTIFS(実績!$W$6:$W$505,CN$3,実績!$AC$6:$AC$505,"&lt;="&amp;$A233,実績!$AD$6:$AD$505,"&gt;"&amp;$A233,実績!$AE$6:$AE$505,"○")&gt;0,1,0))</f>
        <v/>
      </c>
      <c r="CO233">
        <f>IF(CO$4=0,0,IF(COUNTIFS(実績!$W$6:$W$505,CO$3,実績!$AC$6:$AC$505,"&lt;="&amp;$A233,実績!$AD$6:$AD$505,"&gt;"&amp;$A233,実績!$AE$6:$AE$505,"○")&gt;0,1,0))</f>
        <v/>
      </c>
      <c r="CP233">
        <f>IF(CP$4=0,0,IF(COUNTIFS(実績!$W$6:$W$505,CP$3,実績!$AC$6:$AC$505,"&lt;="&amp;$A233,実績!$AD$6:$AD$505,"&gt;"&amp;$A233,実績!$AE$6:$AE$505,"○")&gt;0,1,0))</f>
        <v/>
      </c>
      <c r="CQ233">
        <f>IF(CQ$4=0,0,IF(COUNTIFS(実績!$W$6:$W$505,CQ$3,実績!$AC$6:$AC$505,"&lt;="&amp;$A233,実績!$AD$6:$AD$505,"&gt;"&amp;$A233,実績!$AE$6:$AE$505,"○")&gt;0,1,0))</f>
        <v/>
      </c>
      <c r="CR233">
        <f>IF(CR$4=0,0,IF(COUNTIFS(実績!$W$6:$W$505,CR$3,実績!$AC$6:$AC$505,"&lt;="&amp;$A233,実績!$AD$6:$AD$505,"&gt;"&amp;$A233,実績!$AE$6:$AE$505,"○")&gt;0,1,0))</f>
        <v/>
      </c>
      <c r="CS233">
        <f>IF(CS$4=0,0,IF(COUNTIFS(実績!$W$6:$W$505,CS$3,実績!$AC$6:$AC$505,"&lt;="&amp;$A233,実績!$AD$6:$AD$505,"&gt;"&amp;$A233,実績!$AE$6:$AE$505,"○")&gt;0,1,0))</f>
        <v/>
      </c>
      <c r="CT233">
        <f>IF(CT$4=0,0,IF(COUNTIFS(実績!$W$6:$W$505,CT$3,実績!$AC$6:$AC$505,"&lt;="&amp;$A233,実績!$AD$6:$AD$505,"&gt;"&amp;$A233,実績!$AE$6:$AE$505,"○")&gt;0,1,0))</f>
        <v/>
      </c>
      <c r="CU233">
        <f>IF(CU$4=0,0,IF(COUNTIFS(実績!$W$6:$W$505,CU$3,実績!$AC$6:$AC$505,"&lt;="&amp;$A233,実績!$AD$6:$AD$505,"&gt;"&amp;$A233,実績!$AE$6:$AE$505,"○")&gt;0,1,0))</f>
        <v/>
      </c>
      <c r="CV233">
        <f>IF(CV$4=0,0,IF(COUNTIFS(実績!$W$6:$W$505,CV$3,実績!$AC$6:$AC$505,"&lt;="&amp;$A233,実績!$AD$6:$AD$505,"&gt;"&amp;$A233,実績!$AE$6:$AE$505,"○")&gt;0,1,0))</f>
        <v/>
      </c>
      <c r="CW233">
        <f>IF(CW$4=0,0,IF(COUNTIFS(実績!$W$6:$W$505,CW$3,実績!$AC$6:$AC$505,"&lt;="&amp;$A233,実績!$AD$6:$AD$505,"&gt;"&amp;$A233,実績!$AE$6:$AE$505,"○")&gt;0,1,0))</f>
        <v/>
      </c>
      <c r="CX233">
        <f>IF(CX$4=0,0,IF(COUNTIFS(実績!$W$6:$W$505,CX$3,実績!$AC$6:$AC$505,"&lt;="&amp;$A233,実績!$AD$6:$AD$505,"&gt;"&amp;$A233,実績!$AE$6:$AE$505,"○")&gt;0,1,0))</f>
        <v/>
      </c>
      <c r="CY233">
        <f>IF(CY$4=0,0,IF(COUNTIFS(実績!$W$6:$W$505,CY$3,実績!$AC$6:$AC$505,"&lt;="&amp;$A233,実績!$AD$6:$AD$505,"&gt;"&amp;$A233,実績!$AE$6:$AE$505,"○")&gt;0,1,0))</f>
        <v/>
      </c>
      <c r="CZ233">
        <f>IF(CZ$4=0,0,IF(COUNTIFS(実績!$W$6:$W$505,CZ$3,実績!$AC$6:$AC$505,"&lt;="&amp;$A233,実績!$AD$6:$AD$505,"&gt;"&amp;$A233,実績!$AE$6:$AE$505,"○")&gt;0,1,0))</f>
        <v/>
      </c>
      <c r="DA233">
        <f>IF(DA$4=0,0,IF(COUNTIFS(実績!$W$6:$W$505,DA$3,実績!$AC$6:$AC$505,"&lt;="&amp;$A233,実績!$AD$6:$AD$505,"&gt;"&amp;$A233,実績!$AE$6:$AE$505,"○")&gt;0,1,0))</f>
        <v/>
      </c>
      <c r="DB233">
        <f>IF(DB$4=0,0,IF(COUNTIFS(実績!$W$6:$W$505,DB$3,実績!$AC$6:$AC$505,"&lt;="&amp;$A233,実績!$AD$6:$AD$505,"&gt;"&amp;$A233,実績!$AE$6:$AE$505,"○")&gt;0,1,0))</f>
        <v/>
      </c>
      <c r="DC233">
        <f>IF(DC$4=0,0,IF(COUNTIFS(実績!$W$6:$W$505,DC$3,実績!$AC$6:$AC$505,"&lt;="&amp;$A233,実績!$AD$6:$AD$505,"&gt;"&amp;$A233,実績!$AE$6:$AE$505,"○")&gt;0,1,0))</f>
        <v/>
      </c>
      <c r="DD233">
        <f>IF(DD$4=0,0,IF(COUNTIFS(実績!$W$6:$W$505,DD$3,実績!$AC$6:$AC$505,"&lt;="&amp;$A233,実績!$AD$6:$AD$505,"&gt;"&amp;$A233,実績!$AE$6:$AE$505,"○")&gt;0,1,0))</f>
        <v/>
      </c>
      <c r="DE233">
        <f>IF(DE$4=0,0,IF(COUNTIFS(実績!$W$6:$W$505,DE$3,実績!$AC$6:$AC$505,"&lt;="&amp;$A233,実績!$AD$6:$AD$505,"&gt;"&amp;$A233,実績!$AE$6:$AE$505,"○")&gt;0,1,0))</f>
        <v/>
      </c>
      <c r="DF233">
        <f>IF(DF$4=0,0,IF(COUNTIFS(実績!$W$6:$W$505,DF$3,実績!$AC$6:$AC$505,"&lt;="&amp;$A233,実績!$AD$6:$AD$505,"&gt;"&amp;$A233,実績!$AE$6:$AE$505,"○")&gt;0,1,0))</f>
        <v/>
      </c>
      <c r="DG233">
        <f>IF(DG$4=0,0,IF(COUNTIFS(実績!$W$6:$W$505,DG$3,実績!$AC$6:$AC$505,"&lt;="&amp;$A233,実績!$AD$6:$AD$505,"&gt;"&amp;$A233,実績!$AE$6:$AE$505,"○")&gt;0,1,0))</f>
        <v/>
      </c>
      <c r="DH233">
        <f>IF(DH$4=0,0,IF(COUNTIFS(実績!$W$6:$W$505,DH$3,実績!$AC$6:$AC$505,"&lt;="&amp;$A233,実績!$AD$6:$AD$505,"&gt;"&amp;$A233,実績!$AE$6:$AE$505,"○")&gt;0,1,0))</f>
        <v/>
      </c>
      <c r="DI233">
        <f>IF(DI$4=0,0,IF(COUNTIFS(実績!$W$6:$W$505,DI$3,実績!$AC$6:$AC$505,"&lt;="&amp;$A233,実績!$AD$6:$AD$505,"&gt;"&amp;$A233,実績!$AE$6:$AE$505,"○")&gt;0,1,0))</f>
        <v/>
      </c>
      <c r="DJ233">
        <f>IF(DJ$4=0,0,IF(COUNTIFS(実績!$W$6:$W$505,DJ$3,実績!$AC$6:$AC$505,"&lt;="&amp;$A233,実績!$AD$6:$AD$505,"&gt;"&amp;$A233,実績!$AE$6:$AE$505,"○")&gt;0,1,0))</f>
        <v/>
      </c>
      <c r="DK233">
        <f>IF(DK$4=0,0,IF(COUNTIFS(実績!$W$6:$W$505,DK$3,実績!$AC$6:$AC$505,"&lt;="&amp;$A233,実績!$AD$6:$AD$505,"&gt;"&amp;$A233,実績!$AE$6:$AE$505,"○")&gt;0,1,0))</f>
        <v/>
      </c>
      <c r="DL233">
        <f>IF(DL$4=0,0,IF(COUNTIFS(実績!$W$6:$W$505,DL$3,実績!$AC$6:$AC$505,"&lt;="&amp;$A233,実績!$AD$6:$AD$505,"&gt;"&amp;$A233,実績!$AE$6:$AE$505,"○")&gt;0,1,0))</f>
        <v/>
      </c>
      <c r="DM233">
        <f>IF(DM$4=0,0,IF(COUNTIFS(実績!$W$6:$W$505,DM$3,実績!$AC$6:$AC$505,"&lt;="&amp;$A233,実績!$AD$6:$AD$505,"&gt;"&amp;$A233,実績!$AE$6:$AE$505,"○")&gt;0,1,0))</f>
        <v/>
      </c>
      <c r="DN233">
        <f>IF(DN$4=0,0,IF(COUNTIFS(実績!$W$6:$W$505,DN$3,実績!$AC$6:$AC$505,"&lt;="&amp;$A233,実績!$AD$6:$AD$505,"&gt;"&amp;$A233,実績!$AE$6:$AE$505,"○")&gt;0,1,0))</f>
        <v/>
      </c>
      <c r="DO233">
        <f>IF(DO$4=0,0,IF(COUNTIFS(実績!$W$6:$W$505,DO$3,実績!$AC$6:$AC$505,"&lt;="&amp;$A233,実績!$AD$6:$AD$505,"&gt;"&amp;$A233,実績!$AE$6:$AE$505,"○")&gt;0,1,0))</f>
        <v/>
      </c>
      <c r="DP233">
        <f>IF(DP$4=0,0,IF(COUNTIFS(実績!$W$6:$W$505,DP$3,実績!$AC$6:$AC$505,"&lt;="&amp;$A233,実績!$AD$6:$AD$505,"&gt;"&amp;$A233,実績!$AE$6:$AE$505,"○")&gt;0,1,0))</f>
        <v/>
      </c>
      <c r="DQ233">
        <f>IF(DQ$4=0,0,IF(COUNTIFS(実績!$W$6:$W$505,DQ$3,実績!$AC$6:$AC$505,"&lt;="&amp;$A233,実績!$AD$6:$AD$505,"&gt;"&amp;$A233,実績!$AE$6:$AE$505,"○")&gt;0,1,0))</f>
        <v/>
      </c>
      <c r="DR233">
        <f>IF(DR$4=0,0,IF(COUNTIFS(実績!$W$6:$W$505,DR$3,実績!$AC$6:$AC$505,"&lt;="&amp;$A233,実績!$AD$6:$AD$505,"&gt;"&amp;$A233,実績!$AE$6:$AE$505,"○")&gt;0,1,0))</f>
        <v/>
      </c>
      <c r="DS233">
        <f>SUM(C233:DR233)</f>
        <v/>
      </c>
      <c r="DT233">
        <f>SUMPRODUCT((実績!$C$6:$C$505="○")*ISNUMBER(実績!$AF$6:$AF$505)*(実績!$AF$6:$AF$505&lt;=$A233)*(実績!$AG$6:$AG$505&gt;$A233))</f>
        <v/>
      </c>
      <c r="DU233">
        <f>SUMIF($C$2:$DR$2,"製鉄曳船",C233:DR233)</f>
        <v/>
      </c>
      <c r="DV233">
        <f>SUMIF($C$2:$DR$2,"西日本海運",C233:DR233)</f>
        <v/>
      </c>
    </row>
    <row r="234">
      <c r="A234" t="n">
        <v>1140</v>
      </c>
      <c r="B234" s="29">
        <f>A234/1440</f>
        <v/>
      </c>
      <c r="C234">
        <f>IF(C$4=0,0,IF(COUNTIFS(実績!$W$6:$W$505,C$3,実績!$AC$6:$AC$505,"&lt;="&amp;$A234,実績!$AD$6:$AD$505,"&gt;"&amp;$A234,実績!$AE$6:$AE$505,"○")&gt;0,1,0))</f>
        <v/>
      </c>
      <c r="D234">
        <f>IF(D$4=0,0,IF(COUNTIFS(実績!$W$6:$W$505,D$3,実績!$AC$6:$AC$505,"&lt;="&amp;$A234,実績!$AD$6:$AD$505,"&gt;"&amp;$A234,実績!$AE$6:$AE$505,"○")&gt;0,1,0))</f>
        <v/>
      </c>
      <c r="E234">
        <f>IF(E$4=0,0,IF(COUNTIFS(実績!$W$6:$W$505,E$3,実績!$AC$6:$AC$505,"&lt;="&amp;$A234,実績!$AD$6:$AD$505,"&gt;"&amp;$A234,実績!$AE$6:$AE$505,"○")&gt;0,1,0))</f>
        <v/>
      </c>
      <c r="F234">
        <f>IF(F$4=0,0,IF(COUNTIFS(実績!$W$6:$W$505,F$3,実績!$AC$6:$AC$505,"&lt;="&amp;$A234,実績!$AD$6:$AD$505,"&gt;"&amp;$A234,実績!$AE$6:$AE$505,"○")&gt;0,1,0))</f>
        <v/>
      </c>
      <c r="G234">
        <f>IF(G$4=0,0,IF(COUNTIFS(実績!$W$6:$W$505,G$3,実績!$AC$6:$AC$505,"&lt;="&amp;$A234,実績!$AD$6:$AD$505,"&gt;"&amp;$A234,実績!$AE$6:$AE$505,"○")&gt;0,1,0))</f>
        <v/>
      </c>
      <c r="H234">
        <f>IF(H$4=0,0,IF(COUNTIFS(実績!$W$6:$W$505,H$3,実績!$AC$6:$AC$505,"&lt;="&amp;$A234,実績!$AD$6:$AD$505,"&gt;"&amp;$A234,実績!$AE$6:$AE$505,"○")&gt;0,1,0))</f>
        <v/>
      </c>
      <c r="I234">
        <f>IF(I$4=0,0,IF(COUNTIFS(実績!$W$6:$W$505,I$3,実績!$AC$6:$AC$505,"&lt;="&amp;$A234,実績!$AD$6:$AD$505,"&gt;"&amp;$A234,実績!$AE$6:$AE$505,"○")&gt;0,1,0))</f>
        <v/>
      </c>
      <c r="J234">
        <f>IF(J$4=0,0,IF(COUNTIFS(実績!$W$6:$W$505,J$3,実績!$AC$6:$AC$505,"&lt;="&amp;$A234,実績!$AD$6:$AD$505,"&gt;"&amp;$A234,実績!$AE$6:$AE$505,"○")&gt;0,1,0))</f>
        <v/>
      </c>
      <c r="K234">
        <f>IF(K$4=0,0,IF(COUNTIFS(実績!$W$6:$W$505,K$3,実績!$AC$6:$AC$505,"&lt;="&amp;$A234,実績!$AD$6:$AD$505,"&gt;"&amp;$A234,実績!$AE$6:$AE$505,"○")&gt;0,1,0))</f>
        <v/>
      </c>
      <c r="L234">
        <f>IF(L$4=0,0,IF(COUNTIFS(実績!$W$6:$W$505,L$3,実績!$AC$6:$AC$505,"&lt;="&amp;$A234,実績!$AD$6:$AD$505,"&gt;"&amp;$A234,実績!$AE$6:$AE$505,"○")&gt;0,1,0))</f>
        <v/>
      </c>
      <c r="M234">
        <f>IF(M$4=0,0,IF(COUNTIFS(実績!$W$6:$W$505,M$3,実績!$AC$6:$AC$505,"&lt;="&amp;$A234,実績!$AD$6:$AD$505,"&gt;"&amp;$A234,実績!$AE$6:$AE$505,"○")&gt;0,1,0))</f>
        <v/>
      </c>
      <c r="N234">
        <f>IF(N$4=0,0,IF(COUNTIFS(実績!$W$6:$W$505,N$3,実績!$AC$6:$AC$505,"&lt;="&amp;$A234,実績!$AD$6:$AD$505,"&gt;"&amp;$A234,実績!$AE$6:$AE$505,"○")&gt;0,1,0))</f>
        <v/>
      </c>
      <c r="O234">
        <f>IF(O$4=0,0,IF(COUNTIFS(実績!$W$6:$W$505,O$3,実績!$AC$6:$AC$505,"&lt;="&amp;$A234,実績!$AD$6:$AD$505,"&gt;"&amp;$A234,実績!$AE$6:$AE$505,"○")&gt;0,1,0))</f>
        <v/>
      </c>
      <c r="P234">
        <f>IF(P$4=0,0,IF(COUNTIFS(実績!$W$6:$W$505,P$3,実績!$AC$6:$AC$505,"&lt;="&amp;$A234,実績!$AD$6:$AD$505,"&gt;"&amp;$A234,実績!$AE$6:$AE$505,"○")&gt;0,1,0))</f>
        <v/>
      </c>
      <c r="Q234">
        <f>IF(Q$4=0,0,IF(COUNTIFS(実績!$W$6:$W$505,Q$3,実績!$AC$6:$AC$505,"&lt;="&amp;$A234,実績!$AD$6:$AD$505,"&gt;"&amp;$A234,実績!$AE$6:$AE$505,"○")&gt;0,1,0))</f>
        <v/>
      </c>
      <c r="R234">
        <f>IF(R$4=0,0,IF(COUNTIFS(実績!$W$6:$W$505,R$3,実績!$AC$6:$AC$505,"&lt;="&amp;$A234,実績!$AD$6:$AD$505,"&gt;"&amp;$A234,実績!$AE$6:$AE$505,"○")&gt;0,1,0))</f>
        <v/>
      </c>
      <c r="S234">
        <f>IF(S$4=0,0,IF(COUNTIFS(実績!$W$6:$W$505,S$3,実績!$AC$6:$AC$505,"&lt;="&amp;$A234,実績!$AD$6:$AD$505,"&gt;"&amp;$A234,実績!$AE$6:$AE$505,"○")&gt;0,1,0))</f>
        <v/>
      </c>
      <c r="T234">
        <f>IF(T$4=0,0,IF(COUNTIFS(実績!$W$6:$W$505,T$3,実績!$AC$6:$AC$505,"&lt;="&amp;$A234,実績!$AD$6:$AD$505,"&gt;"&amp;$A234,実績!$AE$6:$AE$505,"○")&gt;0,1,0))</f>
        <v/>
      </c>
      <c r="U234">
        <f>IF(U$4=0,0,IF(COUNTIFS(実績!$W$6:$W$505,U$3,実績!$AC$6:$AC$505,"&lt;="&amp;$A234,実績!$AD$6:$AD$505,"&gt;"&amp;$A234,実績!$AE$6:$AE$505,"○")&gt;0,1,0))</f>
        <v/>
      </c>
      <c r="V234">
        <f>IF(V$4=0,0,IF(COUNTIFS(実績!$W$6:$W$505,V$3,実績!$AC$6:$AC$505,"&lt;="&amp;$A234,実績!$AD$6:$AD$505,"&gt;"&amp;$A234,実績!$AE$6:$AE$505,"○")&gt;0,1,0))</f>
        <v/>
      </c>
      <c r="W234">
        <f>IF(W$4=0,0,IF(COUNTIFS(実績!$W$6:$W$505,W$3,実績!$AC$6:$AC$505,"&lt;="&amp;$A234,実績!$AD$6:$AD$505,"&gt;"&amp;$A234,実績!$AE$6:$AE$505,"○")&gt;0,1,0))</f>
        <v/>
      </c>
      <c r="X234">
        <f>IF(X$4=0,0,IF(COUNTIFS(実績!$W$6:$W$505,X$3,実績!$AC$6:$AC$505,"&lt;="&amp;$A234,実績!$AD$6:$AD$505,"&gt;"&amp;$A234,実績!$AE$6:$AE$505,"○")&gt;0,1,0))</f>
        <v/>
      </c>
      <c r="Y234">
        <f>IF(Y$4=0,0,IF(COUNTIFS(実績!$W$6:$W$505,Y$3,実績!$AC$6:$AC$505,"&lt;="&amp;$A234,実績!$AD$6:$AD$505,"&gt;"&amp;$A234,実績!$AE$6:$AE$505,"○")&gt;0,1,0))</f>
        <v/>
      </c>
      <c r="Z234">
        <f>IF(Z$4=0,0,IF(COUNTIFS(実績!$W$6:$W$505,Z$3,実績!$AC$6:$AC$505,"&lt;="&amp;$A234,実績!$AD$6:$AD$505,"&gt;"&amp;$A234,実績!$AE$6:$AE$505,"○")&gt;0,1,0))</f>
        <v/>
      </c>
      <c r="AA234">
        <f>IF(AA$4=0,0,IF(COUNTIFS(実績!$W$6:$W$505,AA$3,実績!$AC$6:$AC$505,"&lt;="&amp;$A234,実績!$AD$6:$AD$505,"&gt;"&amp;$A234,実績!$AE$6:$AE$505,"○")&gt;0,1,0))</f>
        <v/>
      </c>
      <c r="AB234">
        <f>IF(AB$4=0,0,IF(COUNTIFS(実績!$W$6:$W$505,AB$3,実績!$AC$6:$AC$505,"&lt;="&amp;$A234,実績!$AD$6:$AD$505,"&gt;"&amp;$A234,実績!$AE$6:$AE$505,"○")&gt;0,1,0))</f>
        <v/>
      </c>
      <c r="AC234">
        <f>IF(AC$4=0,0,IF(COUNTIFS(実績!$W$6:$W$505,AC$3,実績!$AC$6:$AC$505,"&lt;="&amp;$A234,実績!$AD$6:$AD$505,"&gt;"&amp;$A234,実績!$AE$6:$AE$505,"○")&gt;0,1,0))</f>
        <v/>
      </c>
      <c r="AD234">
        <f>IF(AD$4=0,0,IF(COUNTIFS(実績!$W$6:$W$505,AD$3,実績!$AC$6:$AC$505,"&lt;="&amp;$A234,実績!$AD$6:$AD$505,"&gt;"&amp;$A234,実績!$AE$6:$AE$505,"○")&gt;0,1,0))</f>
        <v/>
      </c>
      <c r="AE234">
        <f>IF(AE$4=0,0,IF(COUNTIFS(実績!$W$6:$W$505,AE$3,実績!$AC$6:$AC$505,"&lt;="&amp;$A234,実績!$AD$6:$AD$505,"&gt;"&amp;$A234,実績!$AE$6:$AE$505,"○")&gt;0,1,0))</f>
        <v/>
      </c>
      <c r="AF234">
        <f>IF(AF$4=0,0,IF(COUNTIFS(実績!$W$6:$W$505,AF$3,実績!$AC$6:$AC$505,"&lt;="&amp;$A234,実績!$AD$6:$AD$505,"&gt;"&amp;$A234,実績!$AE$6:$AE$505,"○")&gt;0,1,0))</f>
        <v/>
      </c>
      <c r="AG234">
        <f>IF(AG$4=0,0,IF(COUNTIFS(実績!$W$6:$W$505,AG$3,実績!$AC$6:$AC$505,"&lt;="&amp;$A234,実績!$AD$6:$AD$505,"&gt;"&amp;$A234,実績!$AE$6:$AE$505,"○")&gt;0,1,0))</f>
        <v/>
      </c>
      <c r="AH234">
        <f>IF(AH$4=0,0,IF(COUNTIFS(実績!$W$6:$W$505,AH$3,実績!$AC$6:$AC$505,"&lt;="&amp;$A234,実績!$AD$6:$AD$505,"&gt;"&amp;$A234,実績!$AE$6:$AE$505,"○")&gt;0,1,0))</f>
        <v/>
      </c>
      <c r="AI234">
        <f>IF(AI$4=0,0,IF(COUNTIFS(実績!$W$6:$W$505,AI$3,実績!$AC$6:$AC$505,"&lt;="&amp;$A234,実績!$AD$6:$AD$505,"&gt;"&amp;$A234,実績!$AE$6:$AE$505,"○")&gt;0,1,0))</f>
        <v/>
      </c>
      <c r="AJ234">
        <f>IF(AJ$4=0,0,IF(COUNTIFS(実績!$W$6:$W$505,AJ$3,実績!$AC$6:$AC$505,"&lt;="&amp;$A234,実績!$AD$6:$AD$505,"&gt;"&amp;$A234,実績!$AE$6:$AE$505,"○")&gt;0,1,0))</f>
        <v/>
      </c>
      <c r="AK234">
        <f>IF(AK$4=0,0,IF(COUNTIFS(実績!$W$6:$W$505,AK$3,実績!$AC$6:$AC$505,"&lt;="&amp;$A234,実績!$AD$6:$AD$505,"&gt;"&amp;$A234,実績!$AE$6:$AE$505,"○")&gt;0,1,0))</f>
        <v/>
      </c>
      <c r="AL234">
        <f>IF(AL$4=0,0,IF(COUNTIFS(実績!$W$6:$W$505,AL$3,実績!$AC$6:$AC$505,"&lt;="&amp;$A234,実績!$AD$6:$AD$505,"&gt;"&amp;$A234,実績!$AE$6:$AE$505,"○")&gt;0,1,0))</f>
        <v/>
      </c>
      <c r="AM234">
        <f>IF(AM$4=0,0,IF(COUNTIFS(実績!$W$6:$W$505,AM$3,実績!$AC$6:$AC$505,"&lt;="&amp;$A234,実績!$AD$6:$AD$505,"&gt;"&amp;$A234,実績!$AE$6:$AE$505,"○")&gt;0,1,0))</f>
        <v/>
      </c>
      <c r="AN234">
        <f>IF(AN$4=0,0,IF(COUNTIFS(実績!$W$6:$W$505,AN$3,実績!$AC$6:$AC$505,"&lt;="&amp;$A234,実績!$AD$6:$AD$505,"&gt;"&amp;$A234,実績!$AE$6:$AE$505,"○")&gt;0,1,0))</f>
        <v/>
      </c>
      <c r="AO234">
        <f>IF(AO$4=0,0,IF(COUNTIFS(実績!$W$6:$W$505,AO$3,実績!$AC$6:$AC$505,"&lt;="&amp;$A234,実績!$AD$6:$AD$505,"&gt;"&amp;$A234,実績!$AE$6:$AE$505,"○")&gt;0,1,0))</f>
        <v/>
      </c>
      <c r="AP234">
        <f>IF(AP$4=0,0,IF(COUNTIFS(実績!$W$6:$W$505,AP$3,実績!$AC$6:$AC$505,"&lt;="&amp;$A234,実績!$AD$6:$AD$505,"&gt;"&amp;$A234,実績!$AE$6:$AE$505,"○")&gt;0,1,0))</f>
        <v/>
      </c>
      <c r="AQ234">
        <f>IF(AQ$4=0,0,IF(COUNTIFS(実績!$W$6:$W$505,AQ$3,実績!$AC$6:$AC$505,"&lt;="&amp;$A234,実績!$AD$6:$AD$505,"&gt;"&amp;$A234,実績!$AE$6:$AE$505,"○")&gt;0,1,0))</f>
        <v/>
      </c>
      <c r="AR234">
        <f>IF(AR$4=0,0,IF(COUNTIFS(実績!$W$6:$W$505,AR$3,実績!$AC$6:$AC$505,"&lt;="&amp;$A234,実績!$AD$6:$AD$505,"&gt;"&amp;$A234,実績!$AE$6:$AE$505,"○")&gt;0,1,0))</f>
        <v/>
      </c>
      <c r="AS234">
        <f>IF(AS$4=0,0,IF(COUNTIFS(実績!$W$6:$W$505,AS$3,実績!$AC$6:$AC$505,"&lt;="&amp;$A234,実績!$AD$6:$AD$505,"&gt;"&amp;$A234,実績!$AE$6:$AE$505,"○")&gt;0,1,0))</f>
        <v/>
      </c>
      <c r="AT234">
        <f>IF(AT$4=0,0,IF(COUNTIFS(実績!$W$6:$W$505,AT$3,実績!$AC$6:$AC$505,"&lt;="&amp;$A234,実績!$AD$6:$AD$505,"&gt;"&amp;$A234,実績!$AE$6:$AE$505,"○")&gt;0,1,0))</f>
        <v/>
      </c>
      <c r="AU234">
        <f>IF(AU$4=0,0,IF(COUNTIFS(実績!$W$6:$W$505,AU$3,実績!$AC$6:$AC$505,"&lt;="&amp;$A234,実績!$AD$6:$AD$505,"&gt;"&amp;$A234,実績!$AE$6:$AE$505,"○")&gt;0,1,0))</f>
        <v/>
      </c>
      <c r="AV234">
        <f>IF(AV$4=0,0,IF(COUNTIFS(実績!$W$6:$W$505,AV$3,実績!$AC$6:$AC$505,"&lt;="&amp;$A234,実績!$AD$6:$AD$505,"&gt;"&amp;$A234,実績!$AE$6:$AE$505,"○")&gt;0,1,0))</f>
        <v/>
      </c>
      <c r="AW234">
        <f>IF(AW$4=0,0,IF(COUNTIFS(実績!$W$6:$W$505,AW$3,実績!$AC$6:$AC$505,"&lt;="&amp;$A234,実績!$AD$6:$AD$505,"&gt;"&amp;$A234,実績!$AE$6:$AE$505,"○")&gt;0,1,0))</f>
        <v/>
      </c>
      <c r="AX234">
        <f>IF(AX$4=0,0,IF(COUNTIFS(実績!$W$6:$W$505,AX$3,実績!$AC$6:$AC$505,"&lt;="&amp;$A234,実績!$AD$6:$AD$505,"&gt;"&amp;$A234,実績!$AE$6:$AE$505,"○")&gt;0,1,0))</f>
        <v/>
      </c>
      <c r="AY234">
        <f>IF(AY$4=0,0,IF(COUNTIFS(実績!$W$6:$W$505,AY$3,実績!$AC$6:$AC$505,"&lt;="&amp;$A234,実績!$AD$6:$AD$505,"&gt;"&amp;$A234,実績!$AE$6:$AE$505,"○")&gt;0,1,0))</f>
        <v/>
      </c>
      <c r="AZ234">
        <f>IF(AZ$4=0,0,IF(COUNTIFS(実績!$W$6:$W$505,AZ$3,実績!$AC$6:$AC$505,"&lt;="&amp;$A234,実績!$AD$6:$AD$505,"&gt;"&amp;$A234,実績!$AE$6:$AE$505,"○")&gt;0,1,0))</f>
        <v/>
      </c>
      <c r="BA234">
        <f>IF(BA$4=0,0,IF(COUNTIFS(実績!$W$6:$W$505,BA$3,実績!$AC$6:$AC$505,"&lt;="&amp;$A234,実績!$AD$6:$AD$505,"&gt;"&amp;$A234,実績!$AE$6:$AE$505,"○")&gt;0,1,0))</f>
        <v/>
      </c>
      <c r="BB234">
        <f>IF(BB$4=0,0,IF(COUNTIFS(実績!$W$6:$W$505,BB$3,実績!$AC$6:$AC$505,"&lt;="&amp;$A234,実績!$AD$6:$AD$505,"&gt;"&amp;$A234,実績!$AE$6:$AE$505,"○")&gt;0,1,0))</f>
        <v/>
      </c>
      <c r="BC234">
        <f>IF(BC$4=0,0,IF(COUNTIFS(実績!$W$6:$W$505,BC$3,実績!$AC$6:$AC$505,"&lt;="&amp;$A234,実績!$AD$6:$AD$505,"&gt;"&amp;$A234,実績!$AE$6:$AE$505,"○")&gt;0,1,0))</f>
        <v/>
      </c>
      <c r="BD234">
        <f>IF(BD$4=0,0,IF(COUNTIFS(実績!$W$6:$W$505,BD$3,実績!$AC$6:$AC$505,"&lt;="&amp;$A234,実績!$AD$6:$AD$505,"&gt;"&amp;$A234,実績!$AE$6:$AE$505,"○")&gt;0,1,0))</f>
        <v/>
      </c>
      <c r="BE234">
        <f>IF(BE$4=0,0,IF(COUNTIFS(実績!$W$6:$W$505,BE$3,実績!$AC$6:$AC$505,"&lt;="&amp;$A234,実績!$AD$6:$AD$505,"&gt;"&amp;$A234,実績!$AE$6:$AE$505,"○")&gt;0,1,0))</f>
        <v/>
      </c>
      <c r="BF234">
        <f>IF(BF$4=0,0,IF(COUNTIFS(実績!$W$6:$W$505,BF$3,実績!$AC$6:$AC$505,"&lt;="&amp;$A234,実績!$AD$6:$AD$505,"&gt;"&amp;$A234,実績!$AE$6:$AE$505,"○")&gt;0,1,0))</f>
        <v/>
      </c>
      <c r="BG234">
        <f>IF(BG$4=0,0,IF(COUNTIFS(実績!$W$6:$W$505,BG$3,実績!$AC$6:$AC$505,"&lt;="&amp;$A234,実績!$AD$6:$AD$505,"&gt;"&amp;$A234,実績!$AE$6:$AE$505,"○")&gt;0,1,0))</f>
        <v/>
      </c>
      <c r="BH234">
        <f>IF(BH$4=0,0,IF(COUNTIFS(実績!$W$6:$W$505,BH$3,実績!$AC$6:$AC$505,"&lt;="&amp;$A234,実績!$AD$6:$AD$505,"&gt;"&amp;$A234,実績!$AE$6:$AE$505,"○")&gt;0,1,0))</f>
        <v/>
      </c>
      <c r="BI234">
        <f>IF(BI$4=0,0,IF(COUNTIFS(実績!$W$6:$W$505,BI$3,実績!$AC$6:$AC$505,"&lt;="&amp;$A234,実績!$AD$6:$AD$505,"&gt;"&amp;$A234,実績!$AE$6:$AE$505,"○")&gt;0,1,0))</f>
        <v/>
      </c>
      <c r="BJ234">
        <f>IF(BJ$4=0,0,IF(COUNTIFS(実績!$W$6:$W$505,BJ$3,実績!$AC$6:$AC$505,"&lt;="&amp;$A234,実績!$AD$6:$AD$505,"&gt;"&amp;$A234,実績!$AE$6:$AE$505,"○")&gt;0,1,0))</f>
        <v/>
      </c>
      <c r="BK234">
        <f>IF(BK$4=0,0,IF(COUNTIFS(実績!$W$6:$W$505,BK$3,実績!$AC$6:$AC$505,"&lt;="&amp;$A234,実績!$AD$6:$AD$505,"&gt;"&amp;$A234,実績!$AE$6:$AE$505,"○")&gt;0,1,0))</f>
        <v/>
      </c>
      <c r="BL234">
        <f>IF(BL$4=0,0,IF(COUNTIFS(実績!$W$6:$W$505,BL$3,実績!$AC$6:$AC$505,"&lt;="&amp;$A234,実績!$AD$6:$AD$505,"&gt;"&amp;$A234,実績!$AE$6:$AE$505,"○")&gt;0,1,0))</f>
        <v/>
      </c>
      <c r="BM234">
        <f>IF(BM$4=0,0,IF(COUNTIFS(実績!$W$6:$W$505,BM$3,実績!$AC$6:$AC$505,"&lt;="&amp;$A234,実績!$AD$6:$AD$505,"&gt;"&amp;$A234,実績!$AE$6:$AE$505,"○")&gt;0,1,0))</f>
        <v/>
      </c>
      <c r="BN234">
        <f>IF(BN$4=0,0,IF(COUNTIFS(実績!$W$6:$W$505,BN$3,実績!$AC$6:$AC$505,"&lt;="&amp;$A234,実績!$AD$6:$AD$505,"&gt;"&amp;$A234,実績!$AE$6:$AE$505,"○")&gt;0,1,0))</f>
        <v/>
      </c>
      <c r="BO234">
        <f>IF(BO$4=0,0,IF(COUNTIFS(実績!$W$6:$W$505,BO$3,実績!$AC$6:$AC$505,"&lt;="&amp;$A234,実績!$AD$6:$AD$505,"&gt;"&amp;$A234,実績!$AE$6:$AE$505,"○")&gt;0,1,0))</f>
        <v/>
      </c>
      <c r="BP234">
        <f>IF(BP$4=0,0,IF(COUNTIFS(実績!$W$6:$W$505,BP$3,実績!$AC$6:$AC$505,"&lt;="&amp;$A234,実績!$AD$6:$AD$505,"&gt;"&amp;$A234,実績!$AE$6:$AE$505,"○")&gt;0,1,0))</f>
        <v/>
      </c>
      <c r="BQ234">
        <f>IF(BQ$4=0,0,IF(COUNTIFS(実績!$W$6:$W$505,BQ$3,実績!$AC$6:$AC$505,"&lt;="&amp;$A234,実績!$AD$6:$AD$505,"&gt;"&amp;$A234,実績!$AE$6:$AE$505,"○")&gt;0,1,0))</f>
        <v/>
      </c>
      <c r="BR234">
        <f>IF(BR$4=0,0,IF(COUNTIFS(実績!$W$6:$W$505,BR$3,実績!$AC$6:$AC$505,"&lt;="&amp;$A234,実績!$AD$6:$AD$505,"&gt;"&amp;$A234,実績!$AE$6:$AE$505,"○")&gt;0,1,0))</f>
        <v/>
      </c>
      <c r="BS234">
        <f>IF(BS$4=0,0,IF(COUNTIFS(実績!$W$6:$W$505,BS$3,実績!$AC$6:$AC$505,"&lt;="&amp;$A234,実績!$AD$6:$AD$505,"&gt;"&amp;$A234,実績!$AE$6:$AE$505,"○")&gt;0,1,0))</f>
        <v/>
      </c>
      <c r="BT234">
        <f>IF(BT$4=0,0,IF(COUNTIFS(実績!$W$6:$W$505,BT$3,実績!$AC$6:$AC$505,"&lt;="&amp;$A234,実績!$AD$6:$AD$505,"&gt;"&amp;$A234,実績!$AE$6:$AE$505,"○")&gt;0,1,0))</f>
        <v/>
      </c>
      <c r="BU234">
        <f>IF(BU$4=0,0,IF(COUNTIFS(実績!$W$6:$W$505,BU$3,実績!$AC$6:$AC$505,"&lt;="&amp;$A234,実績!$AD$6:$AD$505,"&gt;"&amp;$A234,実績!$AE$6:$AE$505,"○")&gt;0,1,0))</f>
        <v/>
      </c>
      <c r="BV234">
        <f>IF(BV$4=0,0,IF(COUNTIFS(実績!$W$6:$W$505,BV$3,実績!$AC$6:$AC$505,"&lt;="&amp;$A234,実績!$AD$6:$AD$505,"&gt;"&amp;$A234,実績!$AE$6:$AE$505,"○")&gt;0,1,0))</f>
        <v/>
      </c>
      <c r="BW234">
        <f>IF(BW$4=0,0,IF(COUNTIFS(実績!$W$6:$W$505,BW$3,実績!$AC$6:$AC$505,"&lt;="&amp;$A234,実績!$AD$6:$AD$505,"&gt;"&amp;$A234,実績!$AE$6:$AE$505,"○")&gt;0,1,0))</f>
        <v/>
      </c>
      <c r="BX234">
        <f>IF(BX$4=0,0,IF(COUNTIFS(実績!$W$6:$W$505,BX$3,実績!$AC$6:$AC$505,"&lt;="&amp;$A234,実績!$AD$6:$AD$505,"&gt;"&amp;$A234,実績!$AE$6:$AE$505,"○")&gt;0,1,0))</f>
        <v/>
      </c>
      <c r="BY234">
        <f>IF(BY$4=0,0,IF(COUNTIFS(実績!$W$6:$W$505,BY$3,実績!$AC$6:$AC$505,"&lt;="&amp;$A234,実績!$AD$6:$AD$505,"&gt;"&amp;$A234,実績!$AE$6:$AE$505,"○")&gt;0,1,0))</f>
        <v/>
      </c>
      <c r="BZ234">
        <f>IF(BZ$4=0,0,IF(COUNTIFS(実績!$W$6:$W$505,BZ$3,実績!$AC$6:$AC$505,"&lt;="&amp;$A234,実績!$AD$6:$AD$505,"&gt;"&amp;$A234,実績!$AE$6:$AE$505,"○")&gt;0,1,0))</f>
        <v/>
      </c>
      <c r="CA234">
        <f>IF(CA$4=0,0,IF(COUNTIFS(実績!$W$6:$W$505,CA$3,実績!$AC$6:$AC$505,"&lt;="&amp;$A234,実績!$AD$6:$AD$505,"&gt;"&amp;$A234,実績!$AE$6:$AE$505,"○")&gt;0,1,0))</f>
        <v/>
      </c>
      <c r="CB234">
        <f>IF(CB$4=0,0,IF(COUNTIFS(実績!$W$6:$W$505,CB$3,実績!$AC$6:$AC$505,"&lt;="&amp;$A234,実績!$AD$6:$AD$505,"&gt;"&amp;$A234,実績!$AE$6:$AE$505,"○")&gt;0,1,0))</f>
        <v/>
      </c>
      <c r="CC234">
        <f>IF(CC$4=0,0,IF(COUNTIFS(実績!$W$6:$W$505,CC$3,実績!$AC$6:$AC$505,"&lt;="&amp;$A234,実績!$AD$6:$AD$505,"&gt;"&amp;$A234,実績!$AE$6:$AE$505,"○")&gt;0,1,0))</f>
        <v/>
      </c>
      <c r="CD234">
        <f>IF(CD$4=0,0,IF(COUNTIFS(実績!$W$6:$W$505,CD$3,実績!$AC$6:$AC$505,"&lt;="&amp;$A234,実績!$AD$6:$AD$505,"&gt;"&amp;$A234,実績!$AE$6:$AE$505,"○")&gt;0,1,0))</f>
        <v/>
      </c>
      <c r="CE234">
        <f>IF(CE$4=0,0,IF(COUNTIFS(実績!$W$6:$W$505,CE$3,実績!$AC$6:$AC$505,"&lt;="&amp;$A234,実績!$AD$6:$AD$505,"&gt;"&amp;$A234,実績!$AE$6:$AE$505,"○")&gt;0,1,0))</f>
        <v/>
      </c>
      <c r="CF234">
        <f>IF(CF$4=0,0,IF(COUNTIFS(実績!$W$6:$W$505,CF$3,実績!$AC$6:$AC$505,"&lt;="&amp;$A234,実績!$AD$6:$AD$505,"&gt;"&amp;$A234,実績!$AE$6:$AE$505,"○")&gt;0,1,0))</f>
        <v/>
      </c>
      <c r="CG234">
        <f>IF(CG$4=0,0,IF(COUNTIFS(実績!$W$6:$W$505,CG$3,実績!$AC$6:$AC$505,"&lt;="&amp;$A234,実績!$AD$6:$AD$505,"&gt;"&amp;$A234,実績!$AE$6:$AE$505,"○")&gt;0,1,0))</f>
        <v/>
      </c>
      <c r="CH234">
        <f>IF(CH$4=0,0,IF(COUNTIFS(実績!$W$6:$W$505,CH$3,実績!$AC$6:$AC$505,"&lt;="&amp;$A234,実績!$AD$6:$AD$505,"&gt;"&amp;$A234,実績!$AE$6:$AE$505,"○")&gt;0,1,0))</f>
        <v/>
      </c>
      <c r="CI234">
        <f>IF(CI$4=0,0,IF(COUNTIFS(実績!$W$6:$W$505,CI$3,実績!$AC$6:$AC$505,"&lt;="&amp;$A234,実績!$AD$6:$AD$505,"&gt;"&amp;$A234,実績!$AE$6:$AE$505,"○")&gt;0,1,0))</f>
        <v/>
      </c>
      <c r="CJ234">
        <f>IF(CJ$4=0,0,IF(COUNTIFS(実績!$W$6:$W$505,CJ$3,実績!$AC$6:$AC$505,"&lt;="&amp;$A234,実績!$AD$6:$AD$505,"&gt;"&amp;$A234,実績!$AE$6:$AE$505,"○")&gt;0,1,0))</f>
        <v/>
      </c>
      <c r="CK234">
        <f>IF(CK$4=0,0,IF(COUNTIFS(実績!$W$6:$W$505,CK$3,実績!$AC$6:$AC$505,"&lt;="&amp;$A234,実績!$AD$6:$AD$505,"&gt;"&amp;$A234,実績!$AE$6:$AE$505,"○")&gt;0,1,0))</f>
        <v/>
      </c>
      <c r="CL234">
        <f>IF(CL$4=0,0,IF(COUNTIFS(実績!$W$6:$W$505,CL$3,実績!$AC$6:$AC$505,"&lt;="&amp;$A234,実績!$AD$6:$AD$505,"&gt;"&amp;$A234,実績!$AE$6:$AE$505,"○")&gt;0,1,0))</f>
        <v/>
      </c>
      <c r="CM234">
        <f>IF(CM$4=0,0,IF(COUNTIFS(実績!$W$6:$W$505,CM$3,実績!$AC$6:$AC$505,"&lt;="&amp;$A234,実績!$AD$6:$AD$505,"&gt;"&amp;$A234,実績!$AE$6:$AE$505,"○")&gt;0,1,0))</f>
        <v/>
      </c>
      <c r="CN234">
        <f>IF(CN$4=0,0,IF(COUNTIFS(実績!$W$6:$W$505,CN$3,実績!$AC$6:$AC$505,"&lt;="&amp;$A234,実績!$AD$6:$AD$505,"&gt;"&amp;$A234,実績!$AE$6:$AE$505,"○")&gt;0,1,0))</f>
        <v/>
      </c>
      <c r="CO234">
        <f>IF(CO$4=0,0,IF(COUNTIFS(実績!$W$6:$W$505,CO$3,実績!$AC$6:$AC$505,"&lt;="&amp;$A234,実績!$AD$6:$AD$505,"&gt;"&amp;$A234,実績!$AE$6:$AE$505,"○")&gt;0,1,0))</f>
        <v/>
      </c>
      <c r="CP234">
        <f>IF(CP$4=0,0,IF(COUNTIFS(実績!$W$6:$W$505,CP$3,実績!$AC$6:$AC$505,"&lt;="&amp;$A234,実績!$AD$6:$AD$505,"&gt;"&amp;$A234,実績!$AE$6:$AE$505,"○")&gt;0,1,0))</f>
        <v/>
      </c>
      <c r="CQ234">
        <f>IF(CQ$4=0,0,IF(COUNTIFS(実績!$W$6:$W$505,CQ$3,実績!$AC$6:$AC$505,"&lt;="&amp;$A234,実績!$AD$6:$AD$505,"&gt;"&amp;$A234,実績!$AE$6:$AE$505,"○")&gt;0,1,0))</f>
        <v/>
      </c>
      <c r="CR234">
        <f>IF(CR$4=0,0,IF(COUNTIFS(実績!$W$6:$W$505,CR$3,実績!$AC$6:$AC$505,"&lt;="&amp;$A234,実績!$AD$6:$AD$505,"&gt;"&amp;$A234,実績!$AE$6:$AE$505,"○")&gt;0,1,0))</f>
        <v/>
      </c>
      <c r="CS234">
        <f>IF(CS$4=0,0,IF(COUNTIFS(実績!$W$6:$W$505,CS$3,実績!$AC$6:$AC$505,"&lt;="&amp;$A234,実績!$AD$6:$AD$505,"&gt;"&amp;$A234,実績!$AE$6:$AE$505,"○")&gt;0,1,0))</f>
        <v/>
      </c>
      <c r="CT234">
        <f>IF(CT$4=0,0,IF(COUNTIFS(実績!$W$6:$W$505,CT$3,実績!$AC$6:$AC$505,"&lt;="&amp;$A234,実績!$AD$6:$AD$505,"&gt;"&amp;$A234,実績!$AE$6:$AE$505,"○")&gt;0,1,0))</f>
        <v/>
      </c>
      <c r="CU234">
        <f>IF(CU$4=0,0,IF(COUNTIFS(実績!$W$6:$W$505,CU$3,実績!$AC$6:$AC$505,"&lt;="&amp;$A234,実績!$AD$6:$AD$505,"&gt;"&amp;$A234,実績!$AE$6:$AE$505,"○")&gt;0,1,0))</f>
        <v/>
      </c>
      <c r="CV234">
        <f>IF(CV$4=0,0,IF(COUNTIFS(実績!$W$6:$W$505,CV$3,実績!$AC$6:$AC$505,"&lt;="&amp;$A234,実績!$AD$6:$AD$505,"&gt;"&amp;$A234,実績!$AE$6:$AE$505,"○")&gt;0,1,0))</f>
        <v/>
      </c>
      <c r="CW234">
        <f>IF(CW$4=0,0,IF(COUNTIFS(実績!$W$6:$W$505,CW$3,実績!$AC$6:$AC$505,"&lt;="&amp;$A234,実績!$AD$6:$AD$505,"&gt;"&amp;$A234,実績!$AE$6:$AE$505,"○")&gt;0,1,0))</f>
        <v/>
      </c>
      <c r="CX234">
        <f>IF(CX$4=0,0,IF(COUNTIFS(実績!$W$6:$W$505,CX$3,実績!$AC$6:$AC$505,"&lt;="&amp;$A234,実績!$AD$6:$AD$505,"&gt;"&amp;$A234,実績!$AE$6:$AE$505,"○")&gt;0,1,0))</f>
        <v/>
      </c>
      <c r="CY234">
        <f>IF(CY$4=0,0,IF(COUNTIFS(実績!$W$6:$W$505,CY$3,実績!$AC$6:$AC$505,"&lt;="&amp;$A234,実績!$AD$6:$AD$505,"&gt;"&amp;$A234,実績!$AE$6:$AE$505,"○")&gt;0,1,0))</f>
        <v/>
      </c>
      <c r="CZ234">
        <f>IF(CZ$4=0,0,IF(COUNTIFS(実績!$W$6:$W$505,CZ$3,実績!$AC$6:$AC$505,"&lt;="&amp;$A234,実績!$AD$6:$AD$505,"&gt;"&amp;$A234,実績!$AE$6:$AE$505,"○")&gt;0,1,0))</f>
        <v/>
      </c>
      <c r="DA234">
        <f>IF(DA$4=0,0,IF(COUNTIFS(実績!$W$6:$W$505,DA$3,実績!$AC$6:$AC$505,"&lt;="&amp;$A234,実績!$AD$6:$AD$505,"&gt;"&amp;$A234,実績!$AE$6:$AE$505,"○")&gt;0,1,0))</f>
        <v/>
      </c>
      <c r="DB234">
        <f>IF(DB$4=0,0,IF(COUNTIFS(実績!$W$6:$W$505,DB$3,実績!$AC$6:$AC$505,"&lt;="&amp;$A234,実績!$AD$6:$AD$505,"&gt;"&amp;$A234,実績!$AE$6:$AE$505,"○")&gt;0,1,0))</f>
        <v/>
      </c>
      <c r="DC234">
        <f>IF(DC$4=0,0,IF(COUNTIFS(実績!$W$6:$W$505,DC$3,実績!$AC$6:$AC$505,"&lt;="&amp;$A234,実績!$AD$6:$AD$505,"&gt;"&amp;$A234,実績!$AE$6:$AE$505,"○")&gt;0,1,0))</f>
        <v/>
      </c>
      <c r="DD234">
        <f>IF(DD$4=0,0,IF(COUNTIFS(実績!$W$6:$W$505,DD$3,実績!$AC$6:$AC$505,"&lt;="&amp;$A234,実績!$AD$6:$AD$505,"&gt;"&amp;$A234,実績!$AE$6:$AE$505,"○")&gt;0,1,0))</f>
        <v/>
      </c>
      <c r="DE234">
        <f>IF(DE$4=0,0,IF(COUNTIFS(実績!$W$6:$W$505,DE$3,実績!$AC$6:$AC$505,"&lt;="&amp;$A234,実績!$AD$6:$AD$505,"&gt;"&amp;$A234,実績!$AE$6:$AE$505,"○")&gt;0,1,0))</f>
        <v/>
      </c>
      <c r="DF234">
        <f>IF(DF$4=0,0,IF(COUNTIFS(実績!$W$6:$W$505,DF$3,実績!$AC$6:$AC$505,"&lt;="&amp;$A234,実績!$AD$6:$AD$505,"&gt;"&amp;$A234,実績!$AE$6:$AE$505,"○")&gt;0,1,0))</f>
        <v/>
      </c>
      <c r="DG234">
        <f>IF(DG$4=0,0,IF(COUNTIFS(実績!$W$6:$W$505,DG$3,実績!$AC$6:$AC$505,"&lt;="&amp;$A234,実績!$AD$6:$AD$505,"&gt;"&amp;$A234,実績!$AE$6:$AE$505,"○")&gt;0,1,0))</f>
        <v/>
      </c>
      <c r="DH234">
        <f>IF(DH$4=0,0,IF(COUNTIFS(実績!$W$6:$W$505,DH$3,実績!$AC$6:$AC$505,"&lt;="&amp;$A234,実績!$AD$6:$AD$505,"&gt;"&amp;$A234,実績!$AE$6:$AE$505,"○")&gt;0,1,0))</f>
        <v/>
      </c>
      <c r="DI234">
        <f>IF(DI$4=0,0,IF(COUNTIFS(実績!$W$6:$W$505,DI$3,実績!$AC$6:$AC$505,"&lt;="&amp;$A234,実績!$AD$6:$AD$505,"&gt;"&amp;$A234,実績!$AE$6:$AE$505,"○")&gt;0,1,0))</f>
        <v/>
      </c>
      <c r="DJ234">
        <f>IF(DJ$4=0,0,IF(COUNTIFS(実績!$W$6:$W$505,DJ$3,実績!$AC$6:$AC$505,"&lt;="&amp;$A234,実績!$AD$6:$AD$505,"&gt;"&amp;$A234,実績!$AE$6:$AE$505,"○")&gt;0,1,0))</f>
        <v/>
      </c>
      <c r="DK234">
        <f>IF(DK$4=0,0,IF(COUNTIFS(実績!$W$6:$W$505,DK$3,実績!$AC$6:$AC$505,"&lt;="&amp;$A234,実績!$AD$6:$AD$505,"&gt;"&amp;$A234,実績!$AE$6:$AE$505,"○")&gt;0,1,0))</f>
        <v/>
      </c>
      <c r="DL234">
        <f>IF(DL$4=0,0,IF(COUNTIFS(実績!$W$6:$W$505,DL$3,実績!$AC$6:$AC$505,"&lt;="&amp;$A234,実績!$AD$6:$AD$505,"&gt;"&amp;$A234,実績!$AE$6:$AE$505,"○")&gt;0,1,0))</f>
        <v/>
      </c>
      <c r="DM234">
        <f>IF(DM$4=0,0,IF(COUNTIFS(実績!$W$6:$W$505,DM$3,実績!$AC$6:$AC$505,"&lt;="&amp;$A234,実績!$AD$6:$AD$505,"&gt;"&amp;$A234,実績!$AE$6:$AE$505,"○")&gt;0,1,0))</f>
        <v/>
      </c>
      <c r="DN234">
        <f>IF(DN$4=0,0,IF(COUNTIFS(実績!$W$6:$W$505,DN$3,実績!$AC$6:$AC$505,"&lt;="&amp;$A234,実績!$AD$6:$AD$505,"&gt;"&amp;$A234,実績!$AE$6:$AE$505,"○")&gt;0,1,0))</f>
        <v/>
      </c>
      <c r="DO234">
        <f>IF(DO$4=0,0,IF(COUNTIFS(実績!$W$6:$W$505,DO$3,実績!$AC$6:$AC$505,"&lt;="&amp;$A234,実績!$AD$6:$AD$505,"&gt;"&amp;$A234,実績!$AE$6:$AE$505,"○")&gt;0,1,0))</f>
        <v/>
      </c>
      <c r="DP234">
        <f>IF(DP$4=0,0,IF(COUNTIFS(実績!$W$6:$W$505,DP$3,実績!$AC$6:$AC$505,"&lt;="&amp;$A234,実績!$AD$6:$AD$505,"&gt;"&amp;$A234,実績!$AE$6:$AE$505,"○")&gt;0,1,0))</f>
        <v/>
      </c>
      <c r="DQ234">
        <f>IF(DQ$4=0,0,IF(COUNTIFS(実績!$W$6:$W$505,DQ$3,実績!$AC$6:$AC$505,"&lt;="&amp;$A234,実績!$AD$6:$AD$505,"&gt;"&amp;$A234,実績!$AE$6:$AE$505,"○")&gt;0,1,0))</f>
        <v/>
      </c>
      <c r="DR234">
        <f>IF(DR$4=0,0,IF(COUNTIFS(実績!$W$6:$W$505,DR$3,実績!$AC$6:$AC$505,"&lt;="&amp;$A234,実績!$AD$6:$AD$505,"&gt;"&amp;$A234,実績!$AE$6:$AE$505,"○")&gt;0,1,0))</f>
        <v/>
      </c>
      <c r="DS234">
        <f>SUM(C234:DR234)</f>
        <v/>
      </c>
      <c r="DT234">
        <f>SUMPRODUCT((実績!$C$6:$C$505="○")*ISNUMBER(実績!$AF$6:$AF$505)*(実績!$AF$6:$AF$505&lt;=$A234)*(実績!$AG$6:$AG$505&gt;$A234))</f>
        <v/>
      </c>
      <c r="DU234">
        <f>SUMIF($C$2:$DR$2,"製鉄曳船",C234:DR234)</f>
        <v/>
      </c>
      <c r="DV234">
        <f>SUMIF($C$2:$DR$2,"西日本海運",C234:DR234)</f>
        <v/>
      </c>
    </row>
    <row r="235">
      <c r="A235" t="n">
        <v>1145</v>
      </c>
      <c r="B235" s="29">
        <f>A235/1440</f>
        <v/>
      </c>
      <c r="C235">
        <f>IF(C$4=0,0,IF(COUNTIFS(実績!$W$6:$W$505,C$3,実績!$AC$6:$AC$505,"&lt;="&amp;$A235,実績!$AD$6:$AD$505,"&gt;"&amp;$A235,実績!$AE$6:$AE$505,"○")&gt;0,1,0))</f>
        <v/>
      </c>
      <c r="D235">
        <f>IF(D$4=0,0,IF(COUNTIFS(実績!$W$6:$W$505,D$3,実績!$AC$6:$AC$505,"&lt;="&amp;$A235,実績!$AD$6:$AD$505,"&gt;"&amp;$A235,実績!$AE$6:$AE$505,"○")&gt;0,1,0))</f>
        <v/>
      </c>
      <c r="E235">
        <f>IF(E$4=0,0,IF(COUNTIFS(実績!$W$6:$W$505,E$3,実績!$AC$6:$AC$505,"&lt;="&amp;$A235,実績!$AD$6:$AD$505,"&gt;"&amp;$A235,実績!$AE$6:$AE$505,"○")&gt;0,1,0))</f>
        <v/>
      </c>
      <c r="F235">
        <f>IF(F$4=0,0,IF(COUNTIFS(実績!$W$6:$W$505,F$3,実績!$AC$6:$AC$505,"&lt;="&amp;$A235,実績!$AD$6:$AD$505,"&gt;"&amp;$A235,実績!$AE$6:$AE$505,"○")&gt;0,1,0))</f>
        <v/>
      </c>
      <c r="G235">
        <f>IF(G$4=0,0,IF(COUNTIFS(実績!$W$6:$W$505,G$3,実績!$AC$6:$AC$505,"&lt;="&amp;$A235,実績!$AD$6:$AD$505,"&gt;"&amp;$A235,実績!$AE$6:$AE$505,"○")&gt;0,1,0))</f>
        <v/>
      </c>
      <c r="H235">
        <f>IF(H$4=0,0,IF(COUNTIFS(実績!$W$6:$W$505,H$3,実績!$AC$6:$AC$505,"&lt;="&amp;$A235,実績!$AD$6:$AD$505,"&gt;"&amp;$A235,実績!$AE$6:$AE$505,"○")&gt;0,1,0))</f>
        <v/>
      </c>
      <c r="I235">
        <f>IF(I$4=0,0,IF(COUNTIFS(実績!$W$6:$W$505,I$3,実績!$AC$6:$AC$505,"&lt;="&amp;$A235,実績!$AD$6:$AD$505,"&gt;"&amp;$A235,実績!$AE$6:$AE$505,"○")&gt;0,1,0))</f>
        <v/>
      </c>
      <c r="J235">
        <f>IF(J$4=0,0,IF(COUNTIFS(実績!$W$6:$W$505,J$3,実績!$AC$6:$AC$505,"&lt;="&amp;$A235,実績!$AD$6:$AD$505,"&gt;"&amp;$A235,実績!$AE$6:$AE$505,"○")&gt;0,1,0))</f>
        <v/>
      </c>
      <c r="K235">
        <f>IF(K$4=0,0,IF(COUNTIFS(実績!$W$6:$W$505,K$3,実績!$AC$6:$AC$505,"&lt;="&amp;$A235,実績!$AD$6:$AD$505,"&gt;"&amp;$A235,実績!$AE$6:$AE$505,"○")&gt;0,1,0))</f>
        <v/>
      </c>
      <c r="L235">
        <f>IF(L$4=0,0,IF(COUNTIFS(実績!$W$6:$W$505,L$3,実績!$AC$6:$AC$505,"&lt;="&amp;$A235,実績!$AD$6:$AD$505,"&gt;"&amp;$A235,実績!$AE$6:$AE$505,"○")&gt;0,1,0))</f>
        <v/>
      </c>
      <c r="M235">
        <f>IF(M$4=0,0,IF(COUNTIFS(実績!$W$6:$W$505,M$3,実績!$AC$6:$AC$505,"&lt;="&amp;$A235,実績!$AD$6:$AD$505,"&gt;"&amp;$A235,実績!$AE$6:$AE$505,"○")&gt;0,1,0))</f>
        <v/>
      </c>
      <c r="N235">
        <f>IF(N$4=0,0,IF(COUNTIFS(実績!$W$6:$W$505,N$3,実績!$AC$6:$AC$505,"&lt;="&amp;$A235,実績!$AD$6:$AD$505,"&gt;"&amp;$A235,実績!$AE$6:$AE$505,"○")&gt;0,1,0))</f>
        <v/>
      </c>
      <c r="O235">
        <f>IF(O$4=0,0,IF(COUNTIFS(実績!$W$6:$W$505,O$3,実績!$AC$6:$AC$505,"&lt;="&amp;$A235,実績!$AD$6:$AD$505,"&gt;"&amp;$A235,実績!$AE$6:$AE$505,"○")&gt;0,1,0))</f>
        <v/>
      </c>
      <c r="P235">
        <f>IF(P$4=0,0,IF(COUNTIFS(実績!$W$6:$W$505,P$3,実績!$AC$6:$AC$505,"&lt;="&amp;$A235,実績!$AD$6:$AD$505,"&gt;"&amp;$A235,実績!$AE$6:$AE$505,"○")&gt;0,1,0))</f>
        <v/>
      </c>
      <c r="Q235">
        <f>IF(Q$4=0,0,IF(COUNTIFS(実績!$W$6:$W$505,Q$3,実績!$AC$6:$AC$505,"&lt;="&amp;$A235,実績!$AD$6:$AD$505,"&gt;"&amp;$A235,実績!$AE$6:$AE$505,"○")&gt;0,1,0))</f>
        <v/>
      </c>
      <c r="R235">
        <f>IF(R$4=0,0,IF(COUNTIFS(実績!$W$6:$W$505,R$3,実績!$AC$6:$AC$505,"&lt;="&amp;$A235,実績!$AD$6:$AD$505,"&gt;"&amp;$A235,実績!$AE$6:$AE$505,"○")&gt;0,1,0))</f>
        <v/>
      </c>
      <c r="S235">
        <f>IF(S$4=0,0,IF(COUNTIFS(実績!$W$6:$W$505,S$3,実績!$AC$6:$AC$505,"&lt;="&amp;$A235,実績!$AD$6:$AD$505,"&gt;"&amp;$A235,実績!$AE$6:$AE$505,"○")&gt;0,1,0))</f>
        <v/>
      </c>
      <c r="T235">
        <f>IF(T$4=0,0,IF(COUNTIFS(実績!$W$6:$W$505,T$3,実績!$AC$6:$AC$505,"&lt;="&amp;$A235,実績!$AD$6:$AD$505,"&gt;"&amp;$A235,実績!$AE$6:$AE$505,"○")&gt;0,1,0))</f>
        <v/>
      </c>
      <c r="U235">
        <f>IF(U$4=0,0,IF(COUNTIFS(実績!$W$6:$W$505,U$3,実績!$AC$6:$AC$505,"&lt;="&amp;$A235,実績!$AD$6:$AD$505,"&gt;"&amp;$A235,実績!$AE$6:$AE$505,"○")&gt;0,1,0))</f>
        <v/>
      </c>
      <c r="V235">
        <f>IF(V$4=0,0,IF(COUNTIFS(実績!$W$6:$W$505,V$3,実績!$AC$6:$AC$505,"&lt;="&amp;$A235,実績!$AD$6:$AD$505,"&gt;"&amp;$A235,実績!$AE$6:$AE$505,"○")&gt;0,1,0))</f>
        <v/>
      </c>
      <c r="W235">
        <f>IF(W$4=0,0,IF(COUNTIFS(実績!$W$6:$W$505,W$3,実績!$AC$6:$AC$505,"&lt;="&amp;$A235,実績!$AD$6:$AD$505,"&gt;"&amp;$A235,実績!$AE$6:$AE$505,"○")&gt;0,1,0))</f>
        <v/>
      </c>
      <c r="X235">
        <f>IF(X$4=0,0,IF(COUNTIFS(実績!$W$6:$W$505,X$3,実績!$AC$6:$AC$505,"&lt;="&amp;$A235,実績!$AD$6:$AD$505,"&gt;"&amp;$A235,実績!$AE$6:$AE$505,"○")&gt;0,1,0))</f>
        <v/>
      </c>
      <c r="Y235">
        <f>IF(Y$4=0,0,IF(COUNTIFS(実績!$W$6:$W$505,Y$3,実績!$AC$6:$AC$505,"&lt;="&amp;$A235,実績!$AD$6:$AD$505,"&gt;"&amp;$A235,実績!$AE$6:$AE$505,"○")&gt;0,1,0))</f>
        <v/>
      </c>
      <c r="Z235">
        <f>IF(Z$4=0,0,IF(COUNTIFS(実績!$W$6:$W$505,Z$3,実績!$AC$6:$AC$505,"&lt;="&amp;$A235,実績!$AD$6:$AD$505,"&gt;"&amp;$A235,実績!$AE$6:$AE$505,"○")&gt;0,1,0))</f>
        <v/>
      </c>
      <c r="AA235">
        <f>IF(AA$4=0,0,IF(COUNTIFS(実績!$W$6:$W$505,AA$3,実績!$AC$6:$AC$505,"&lt;="&amp;$A235,実績!$AD$6:$AD$505,"&gt;"&amp;$A235,実績!$AE$6:$AE$505,"○")&gt;0,1,0))</f>
        <v/>
      </c>
      <c r="AB235">
        <f>IF(AB$4=0,0,IF(COUNTIFS(実績!$W$6:$W$505,AB$3,実績!$AC$6:$AC$505,"&lt;="&amp;$A235,実績!$AD$6:$AD$505,"&gt;"&amp;$A235,実績!$AE$6:$AE$505,"○")&gt;0,1,0))</f>
        <v/>
      </c>
      <c r="AC235">
        <f>IF(AC$4=0,0,IF(COUNTIFS(実績!$W$6:$W$505,AC$3,実績!$AC$6:$AC$505,"&lt;="&amp;$A235,実績!$AD$6:$AD$505,"&gt;"&amp;$A235,実績!$AE$6:$AE$505,"○")&gt;0,1,0))</f>
        <v/>
      </c>
      <c r="AD235">
        <f>IF(AD$4=0,0,IF(COUNTIFS(実績!$W$6:$W$505,AD$3,実績!$AC$6:$AC$505,"&lt;="&amp;$A235,実績!$AD$6:$AD$505,"&gt;"&amp;$A235,実績!$AE$6:$AE$505,"○")&gt;0,1,0))</f>
        <v/>
      </c>
      <c r="AE235">
        <f>IF(AE$4=0,0,IF(COUNTIFS(実績!$W$6:$W$505,AE$3,実績!$AC$6:$AC$505,"&lt;="&amp;$A235,実績!$AD$6:$AD$505,"&gt;"&amp;$A235,実績!$AE$6:$AE$505,"○")&gt;0,1,0))</f>
        <v/>
      </c>
      <c r="AF235">
        <f>IF(AF$4=0,0,IF(COUNTIFS(実績!$W$6:$W$505,AF$3,実績!$AC$6:$AC$505,"&lt;="&amp;$A235,実績!$AD$6:$AD$505,"&gt;"&amp;$A235,実績!$AE$6:$AE$505,"○")&gt;0,1,0))</f>
        <v/>
      </c>
      <c r="AG235">
        <f>IF(AG$4=0,0,IF(COUNTIFS(実績!$W$6:$W$505,AG$3,実績!$AC$6:$AC$505,"&lt;="&amp;$A235,実績!$AD$6:$AD$505,"&gt;"&amp;$A235,実績!$AE$6:$AE$505,"○")&gt;0,1,0))</f>
        <v/>
      </c>
      <c r="AH235">
        <f>IF(AH$4=0,0,IF(COUNTIFS(実績!$W$6:$W$505,AH$3,実績!$AC$6:$AC$505,"&lt;="&amp;$A235,実績!$AD$6:$AD$505,"&gt;"&amp;$A235,実績!$AE$6:$AE$505,"○")&gt;0,1,0))</f>
        <v/>
      </c>
      <c r="AI235">
        <f>IF(AI$4=0,0,IF(COUNTIFS(実績!$W$6:$W$505,AI$3,実績!$AC$6:$AC$505,"&lt;="&amp;$A235,実績!$AD$6:$AD$505,"&gt;"&amp;$A235,実績!$AE$6:$AE$505,"○")&gt;0,1,0))</f>
        <v/>
      </c>
      <c r="AJ235">
        <f>IF(AJ$4=0,0,IF(COUNTIFS(実績!$W$6:$W$505,AJ$3,実績!$AC$6:$AC$505,"&lt;="&amp;$A235,実績!$AD$6:$AD$505,"&gt;"&amp;$A235,実績!$AE$6:$AE$505,"○")&gt;0,1,0))</f>
        <v/>
      </c>
      <c r="AK235">
        <f>IF(AK$4=0,0,IF(COUNTIFS(実績!$W$6:$W$505,AK$3,実績!$AC$6:$AC$505,"&lt;="&amp;$A235,実績!$AD$6:$AD$505,"&gt;"&amp;$A235,実績!$AE$6:$AE$505,"○")&gt;0,1,0))</f>
        <v/>
      </c>
      <c r="AL235">
        <f>IF(AL$4=0,0,IF(COUNTIFS(実績!$W$6:$W$505,AL$3,実績!$AC$6:$AC$505,"&lt;="&amp;$A235,実績!$AD$6:$AD$505,"&gt;"&amp;$A235,実績!$AE$6:$AE$505,"○")&gt;0,1,0))</f>
        <v/>
      </c>
      <c r="AM235">
        <f>IF(AM$4=0,0,IF(COUNTIFS(実績!$W$6:$W$505,AM$3,実績!$AC$6:$AC$505,"&lt;="&amp;$A235,実績!$AD$6:$AD$505,"&gt;"&amp;$A235,実績!$AE$6:$AE$505,"○")&gt;0,1,0))</f>
        <v/>
      </c>
      <c r="AN235">
        <f>IF(AN$4=0,0,IF(COUNTIFS(実績!$W$6:$W$505,AN$3,実績!$AC$6:$AC$505,"&lt;="&amp;$A235,実績!$AD$6:$AD$505,"&gt;"&amp;$A235,実績!$AE$6:$AE$505,"○")&gt;0,1,0))</f>
        <v/>
      </c>
      <c r="AO235">
        <f>IF(AO$4=0,0,IF(COUNTIFS(実績!$W$6:$W$505,AO$3,実績!$AC$6:$AC$505,"&lt;="&amp;$A235,実績!$AD$6:$AD$505,"&gt;"&amp;$A235,実績!$AE$6:$AE$505,"○")&gt;0,1,0))</f>
        <v/>
      </c>
      <c r="AP235">
        <f>IF(AP$4=0,0,IF(COUNTIFS(実績!$W$6:$W$505,AP$3,実績!$AC$6:$AC$505,"&lt;="&amp;$A235,実績!$AD$6:$AD$505,"&gt;"&amp;$A235,実績!$AE$6:$AE$505,"○")&gt;0,1,0))</f>
        <v/>
      </c>
      <c r="AQ235">
        <f>IF(AQ$4=0,0,IF(COUNTIFS(実績!$W$6:$W$505,AQ$3,実績!$AC$6:$AC$505,"&lt;="&amp;$A235,実績!$AD$6:$AD$505,"&gt;"&amp;$A235,実績!$AE$6:$AE$505,"○")&gt;0,1,0))</f>
        <v/>
      </c>
      <c r="AR235">
        <f>IF(AR$4=0,0,IF(COUNTIFS(実績!$W$6:$W$505,AR$3,実績!$AC$6:$AC$505,"&lt;="&amp;$A235,実績!$AD$6:$AD$505,"&gt;"&amp;$A235,実績!$AE$6:$AE$505,"○")&gt;0,1,0))</f>
        <v/>
      </c>
      <c r="AS235">
        <f>IF(AS$4=0,0,IF(COUNTIFS(実績!$W$6:$W$505,AS$3,実績!$AC$6:$AC$505,"&lt;="&amp;$A235,実績!$AD$6:$AD$505,"&gt;"&amp;$A235,実績!$AE$6:$AE$505,"○")&gt;0,1,0))</f>
        <v/>
      </c>
      <c r="AT235">
        <f>IF(AT$4=0,0,IF(COUNTIFS(実績!$W$6:$W$505,AT$3,実績!$AC$6:$AC$505,"&lt;="&amp;$A235,実績!$AD$6:$AD$505,"&gt;"&amp;$A235,実績!$AE$6:$AE$505,"○")&gt;0,1,0))</f>
        <v/>
      </c>
      <c r="AU235">
        <f>IF(AU$4=0,0,IF(COUNTIFS(実績!$W$6:$W$505,AU$3,実績!$AC$6:$AC$505,"&lt;="&amp;$A235,実績!$AD$6:$AD$505,"&gt;"&amp;$A235,実績!$AE$6:$AE$505,"○")&gt;0,1,0))</f>
        <v/>
      </c>
      <c r="AV235">
        <f>IF(AV$4=0,0,IF(COUNTIFS(実績!$W$6:$W$505,AV$3,実績!$AC$6:$AC$505,"&lt;="&amp;$A235,実績!$AD$6:$AD$505,"&gt;"&amp;$A235,実績!$AE$6:$AE$505,"○")&gt;0,1,0))</f>
        <v/>
      </c>
      <c r="AW235">
        <f>IF(AW$4=0,0,IF(COUNTIFS(実績!$W$6:$W$505,AW$3,実績!$AC$6:$AC$505,"&lt;="&amp;$A235,実績!$AD$6:$AD$505,"&gt;"&amp;$A235,実績!$AE$6:$AE$505,"○")&gt;0,1,0))</f>
        <v/>
      </c>
      <c r="AX235">
        <f>IF(AX$4=0,0,IF(COUNTIFS(実績!$W$6:$W$505,AX$3,実績!$AC$6:$AC$505,"&lt;="&amp;$A235,実績!$AD$6:$AD$505,"&gt;"&amp;$A235,実績!$AE$6:$AE$505,"○")&gt;0,1,0))</f>
        <v/>
      </c>
      <c r="AY235">
        <f>IF(AY$4=0,0,IF(COUNTIFS(実績!$W$6:$W$505,AY$3,実績!$AC$6:$AC$505,"&lt;="&amp;$A235,実績!$AD$6:$AD$505,"&gt;"&amp;$A235,実績!$AE$6:$AE$505,"○")&gt;0,1,0))</f>
        <v/>
      </c>
      <c r="AZ235">
        <f>IF(AZ$4=0,0,IF(COUNTIFS(実績!$W$6:$W$505,AZ$3,実績!$AC$6:$AC$505,"&lt;="&amp;$A235,実績!$AD$6:$AD$505,"&gt;"&amp;$A235,実績!$AE$6:$AE$505,"○")&gt;0,1,0))</f>
        <v/>
      </c>
      <c r="BA235">
        <f>IF(BA$4=0,0,IF(COUNTIFS(実績!$W$6:$W$505,BA$3,実績!$AC$6:$AC$505,"&lt;="&amp;$A235,実績!$AD$6:$AD$505,"&gt;"&amp;$A235,実績!$AE$6:$AE$505,"○")&gt;0,1,0))</f>
        <v/>
      </c>
      <c r="BB235">
        <f>IF(BB$4=0,0,IF(COUNTIFS(実績!$W$6:$W$505,BB$3,実績!$AC$6:$AC$505,"&lt;="&amp;$A235,実績!$AD$6:$AD$505,"&gt;"&amp;$A235,実績!$AE$6:$AE$505,"○")&gt;0,1,0))</f>
        <v/>
      </c>
      <c r="BC235">
        <f>IF(BC$4=0,0,IF(COUNTIFS(実績!$W$6:$W$505,BC$3,実績!$AC$6:$AC$505,"&lt;="&amp;$A235,実績!$AD$6:$AD$505,"&gt;"&amp;$A235,実績!$AE$6:$AE$505,"○")&gt;0,1,0))</f>
        <v/>
      </c>
      <c r="BD235">
        <f>IF(BD$4=0,0,IF(COUNTIFS(実績!$W$6:$W$505,BD$3,実績!$AC$6:$AC$505,"&lt;="&amp;$A235,実績!$AD$6:$AD$505,"&gt;"&amp;$A235,実績!$AE$6:$AE$505,"○")&gt;0,1,0))</f>
        <v/>
      </c>
      <c r="BE235">
        <f>IF(BE$4=0,0,IF(COUNTIFS(実績!$W$6:$W$505,BE$3,実績!$AC$6:$AC$505,"&lt;="&amp;$A235,実績!$AD$6:$AD$505,"&gt;"&amp;$A235,実績!$AE$6:$AE$505,"○")&gt;0,1,0))</f>
        <v/>
      </c>
      <c r="BF235">
        <f>IF(BF$4=0,0,IF(COUNTIFS(実績!$W$6:$W$505,BF$3,実績!$AC$6:$AC$505,"&lt;="&amp;$A235,実績!$AD$6:$AD$505,"&gt;"&amp;$A235,実績!$AE$6:$AE$505,"○")&gt;0,1,0))</f>
        <v/>
      </c>
      <c r="BG235">
        <f>IF(BG$4=0,0,IF(COUNTIFS(実績!$W$6:$W$505,BG$3,実績!$AC$6:$AC$505,"&lt;="&amp;$A235,実績!$AD$6:$AD$505,"&gt;"&amp;$A235,実績!$AE$6:$AE$505,"○")&gt;0,1,0))</f>
        <v/>
      </c>
      <c r="BH235">
        <f>IF(BH$4=0,0,IF(COUNTIFS(実績!$W$6:$W$505,BH$3,実績!$AC$6:$AC$505,"&lt;="&amp;$A235,実績!$AD$6:$AD$505,"&gt;"&amp;$A235,実績!$AE$6:$AE$505,"○")&gt;0,1,0))</f>
        <v/>
      </c>
      <c r="BI235">
        <f>IF(BI$4=0,0,IF(COUNTIFS(実績!$W$6:$W$505,BI$3,実績!$AC$6:$AC$505,"&lt;="&amp;$A235,実績!$AD$6:$AD$505,"&gt;"&amp;$A235,実績!$AE$6:$AE$505,"○")&gt;0,1,0))</f>
        <v/>
      </c>
      <c r="BJ235">
        <f>IF(BJ$4=0,0,IF(COUNTIFS(実績!$W$6:$W$505,BJ$3,実績!$AC$6:$AC$505,"&lt;="&amp;$A235,実績!$AD$6:$AD$505,"&gt;"&amp;$A235,実績!$AE$6:$AE$505,"○")&gt;0,1,0))</f>
        <v/>
      </c>
      <c r="BK235">
        <f>IF(BK$4=0,0,IF(COUNTIFS(実績!$W$6:$W$505,BK$3,実績!$AC$6:$AC$505,"&lt;="&amp;$A235,実績!$AD$6:$AD$505,"&gt;"&amp;$A235,実績!$AE$6:$AE$505,"○")&gt;0,1,0))</f>
        <v/>
      </c>
      <c r="BL235">
        <f>IF(BL$4=0,0,IF(COUNTIFS(実績!$W$6:$W$505,BL$3,実績!$AC$6:$AC$505,"&lt;="&amp;$A235,実績!$AD$6:$AD$505,"&gt;"&amp;$A235,実績!$AE$6:$AE$505,"○")&gt;0,1,0))</f>
        <v/>
      </c>
      <c r="BM235">
        <f>IF(BM$4=0,0,IF(COUNTIFS(実績!$W$6:$W$505,BM$3,実績!$AC$6:$AC$505,"&lt;="&amp;$A235,実績!$AD$6:$AD$505,"&gt;"&amp;$A235,実績!$AE$6:$AE$505,"○")&gt;0,1,0))</f>
        <v/>
      </c>
      <c r="BN235">
        <f>IF(BN$4=0,0,IF(COUNTIFS(実績!$W$6:$W$505,BN$3,実績!$AC$6:$AC$505,"&lt;="&amp;$A235,実績!$AD$6:$AD$505,"&gt;"&amp;$A235,実績!$AE$6:$AE$505,"○")&gt;0,1,0))</f>
        <v/>
      </c>
      <c r="BO235">
        <f>IF(BO$4=0,0,IF(COUNTIFS(実績!$W$6:$W$505,BO$3,実績!$AC$6:$AC$505,"&lt;="&amp;$A235,実績!$AD$6:$AD$505,"&gt;"&amp;$A235,実績!$AE$6:$AE$505,"○")&gt;0,1,0))</f>
        <v/>
      </c>
      <c r="BP235">
        <f>IF(BP$4=0,0,IF(COUNTIFS(実績!$W$6:$W$505,BP$3,実績!$AC$6:$AC$505,"&lt;="&amp;$A235,実績!$AD$6:$AD$505,"&gt;"&amp;$A235,実績!$AE$6:$AE$505,"○")&gt;0,1,0))</f>
        <v/>
      </c>
      <c r="BQ235">
        <f>IF(BQ$4=0,0,IF(COUNTIFS(実績!$W$6:$W$505,BQ$3,実績!$AC$6:$AC$505,"&lt;="&amp;$A235,実績!$AD$6:$AD$505,"&gt;"&amp;$A235,実績!$AE$6:$AE$505,"○")&gt;0,1,0))</f>
        <v/>
      </c>
      <c r="BR235">
        <f>IF(BR$4=0,0,IF(COUNTIFS(実績!$W$6:$W$505,BR$3,実績!$AC$6:$AC$505,"&lt;="&amp;$A235,実績!$AD$6:$AD$505,"&gt;"&amp;$A235,実績!$AE$6:$AE$505,"○")&gt;0,1,0))</f>
        <v/>
      </c>
      <c r="BS235">
        <f>IF(BS$4=0,0,IF(COUNTIFS(実績!$W$6:$W$505,BS$3,実績!$AC$6:$AC$505,"&lt;="&amp;$A235,実績!$AD$6:$AD$505,"&gt;"&amp;$A235,実績!$AE$6:$AE$505,"○")&gt;0,1,0))</f>
        <v/>
      </c>
      <c r="BT235">
        <f>IF(BT$4=0,0,IF(COUNTIFS(実績!$W$6:$W$505,BT$3,実績!$AC$6:$AC$505,"&lt;="&amp;$A235,実績!$AD$6:$AD$505,"&gt;"&amp;$A235,実績!$AE$6:$AE$505,"○")&gt;0,1,0))</f>
        <v/>
      </c>
      <c r="BU235">
        <f>IF(BU$4=0,0,IF(COUNTIFS(実績!$W$6:$W$505,BU$3,実績!$AC$6:$AC$505,"&lt;="&amp;$A235,実績!$AD$6:$AD$505,"&gt;"&amp;$A235,実績!$AE$6:$AE$505,"○")&gt;0,1,0))</f>
        <v/>
      </c>
      <c r="BV235">
        <f>IF(BV$4=0,0,IF(COUNTIFS(実績!$W$6:$W$505,BV$3,実績!$AC$6:$AC$505,"&lt;="&amp;$A235,実績!$AD$6:$AD$505,"&gt;"&amp;$A235,実績!$AE$6:$AE$505,"○")&gt;0,1,0))</f>
        <v/>
      </c>
      <c r="BW235">
        <f>IF(BW$4=0,0,IF(COUNTIFS(実績!$W$6:$W$505,BW$3,実績!$AC$6:$AC$505,"&lt;="&amp;$A235,実績!$AD$6:$AD$505,"&gt;"&amp;$A235,実績!$AE$6:$AE$505,"○")&gt;0,1,0))</f>
        <v/>
      </c>
      <c r="BX235">
        <f>IF(BX$4=0,0,IF(COUNTIFS(実績!$W$6:$W$505,BX$3,実績!$AC$6:$AC$505,"&lt;="&amp;$A235,実績!$AD$6:$AD$505,"&gt;"&amp;$A235,実績!$AE$6:$AE$505,"○")&gt;0,1,0))</f>
        <v/>
      </c>
      <c r="BY235">
        <f>IF(BY$4=0,0,IF(COUNTIFS(実績!$W$6:$W$505,BY$3,実績!$AC$6:$AC$505,"&lt;="&amp;$A235,実績!$AD$6:$AD$505,"&gt;"&amp;$A235,実績!$AE$6:$AE$505,"○")&gt;0,1,0))</f>
        <v/>
      </c>
      <c r="BZ235">
        <f>IF(BZ$4=0,0,IF(COUNTIFS(実績!$W$6:$W$505,BZ$3,実績!$AC$6:$AC$505,"&lt;="&amp;$A235,実績!$AD$6:$AD$505,"&gt;"&amp;$A235,実績!$AE$6:$AE$505,"○")&gt;0,1,0))</f>
        <v/>
      </c>
      <c r="CA235">
        <f>IF(CA$4=0,0,IF(COUNTIFS(実績!$W$6:$W$505,CA$3,実績!$AC$6:$AC$505,"&lt;="&amp;$A235,実績!$AD$6:$AD$505,"&gt;"&amp;$A235,実績!$AE$6:$AE$505,"○")&gt;0,1,0))</f>
        <v/>
      </c>
      <c r="CB235">
        <f>IF(CB$4=0,0,IF(COUNTIFS(実績!$W$6:$W$505,CB$3,実績!$AC$6:$AC$505,"&lt;="&amp;$A235,実績!$AD$6:$AD$505,"&gt;"&amp;$A235,実績!$AE$6:$AE$505,"○")&gt;0,1,0))</f>
        <v/>
      </c>
      <c r="CC235">
        <f>IF(CC$4=0,0,IF(COUNTIFS(実績!$W$6:$W$505,CC$3,実績!$AC$6:$AC$505,"&lt;="&amp;$A235,実績!$AD$6:$AD$505,"&gt;"&amp;$A235,実績!$AE$6:$AE$505,"○")&gt;0,1,0))</f>
        <v/>
      </c>
      <c r="CD235">
        <f>IF(CD$4=0,0,IF(COUNTIFS(実績!$W$6:$W$505,CD$3,実績!$AC$6:$AC$505,"&lt;="&amp;$A235,実績!$AD$6:$AD$505,"&gt;"&amp;$A235,実績!$AE$6:$AE$505,"○")&gt;0,1,0))</f>
        <v/>
      </c>
      <c r="CE235">
        <f>IF(CE$4=0,0,IF(COUNTIFS(実績!$W$6:$W$505,CE$3,実績!$AC$6:$AC$505,"&lt;="&amp;$A235,実績!$AD$6:$AD$505,"&gt;"&amp;$A235,実績!$AE$6:$AE$505,"○")&gt;0,1,0))</f>
        <v/>
      </c>
      <c r="CF235">
        <f>IF(CF$4=0,0,IF(COUNTIFS(実績!$W$6:$W$505,CF$3,実績!$AC$6:$AC$505,"&lt;="&amp;$A235,実績!$AD$6:$AD$505,"&gt;"&amp;$A235,実績!$AE$6:$AE$505,"○")&gt;0,1,0))</f>
        <v/>
      </c>
      <c r="CG235">
        <f>IF(CG$4=0,0,IF(COUNTIFS(実績!$W$6:$W$505,CG$3,実績!$AC$6:$AC$505,"&lt;="&amp;$A235,実績!$AD$6:$AD$505,"&gt;"&amp;$A235,実績!$AE$6:$AE$505,"○")&gt;0,1,0))</f>
        <v/>
      </c>
      <c r="CH235">
        <f>IF(CH$4=0,0,IF(COUNTIFS(実績!$W$6:$W$505,CH$3,実績!$AC$6:$AC$505,"&lt;="&amp;$A235,実績!$AD$6:$AD$505,"&gt;"&amp;$A235,実績!$AE$6:$AE$505,"○")&gt;0,1,0))</f>
        <v/>
      </c>
      <c r="CI235">
        <f>IF(CI$4=0,0,IF(COUNTIFS(実績!$W$6:$W$505,CI$3,実績!$AC$6:$AC$505,"&lt;="&amp;$A235,実績!$AD$6:$AD$505,"&gt;"&amp;$A235,実績!$AE$6:$AE$505,"○")&gt;0,1,0))</f>
        <v/>
      </c>
      <c r="CJ235">
        <f>IF(CJ$4=0,0,IF(COUNTIFS(実績!$W$6:$W$505,CJ$3,実績!$AC$6:$AC$505,"&lt;="&amp;$A235,実績!$AD$6:$AD$505,"&gt;"&amp;$A235,実績!$AE$6:$AE$505,"○")&gt;0,1,0))</f>
        <v/>
      </c>
      <c r="CK235">
        <f>IF(CK$4=0,0,IF(COUNTIFS(実績!$W$6:$W$505,CK$3,実績!$AC$6:$AC$505,"&lt;="&amp;$A235,実績!$AD$6:$AD$505,"&gt;"&amp;$A235,実績!$AE$6:$AE$505,"○")&gt;0,1,0))</f>
        <v/>
      </c>
      <c r="CL235">
        <f>IF(CL$4=0,0,IF(COUNTIFS(実績!$W$6:$W$505,CL$3,実績!$AC$6:$AC$505,"&lt;="&amp;$A235,実績!$AD$6:$AD$505,"&gt;"&amp;$A235,実績!$AE$6:$AE$505,"○")&gt;0,1,0))</f>
        <v/>
      </c>
      <c r="CM235">
        <f>IF(CM$4=0,0,IF(COUNTIFS(実績!$W$6:$W$505,CM$3,実績!$AC$6:$AC$505,"&lt;="&amp;$A235,実績!$AD$6:$AD$505,"&gt;"&amp;$A235,実績!$AE$6:$AE$505,"○")&gt;0,1,0))</f>
        <v/>
      </c>
      <c r="CN235">
        <f>IF(CN$4=0,0,IF(COUNTIFS(実績!$W$6:$W$505,CN$3,実績!$AC$6:$AC$505,"&lt;="&amp;$A235,実績!$AD$6:$AD$505,"&gt;"&amp;$A235,実績!$AE$6:$AE$505,"○")&gt;0,1,0))</f>
        <v/>
      </c>
      <c r="CO235">
        <f>IF(CO$4=0,0,IF(COUNTIFS(実績!$W$6:$W$505,CO$3,実績!$AC$6:$AC$505,"&lt;="&amp;$A235,実績!$AD$6:$AD$505,"&gt;"&amp;$A235,実績!$AE$6:$AE$505,"○")&gt;0,1,0))</f>
        <v/>
      </c>
      <c r="CP235">
        <f>IF(CP$4=0,0,IF(COUNTIFS(実績!$W$6:$W$505,CP$3,実績!$AC$6:$AC$505,"&lt;="&amp;$A235,実績!$AD$6:$AD$505,"&gt;"&amp;$A235,実績!$AE$6:$AE$505,"○")&gt;0,1,0))</f>
        <v/>
      </c>
      <c r="CQ235">
        <f>IF(CQ$4=0,0,IF(COUNTIFS(実績!$W$6:$W$505,CQ$3,実績!$AC$6:$AC$505,"&lt;="&amp;$A235,実績!$AD$6:$AD$505,"&gt;"&amp;$A235,実績!$AE$6:$AE$505,"○")&gt;0,1,0))</f>
        <v/>
      </c>
      <c r="CR235">
        <f>IF(CR$4=0,0,IF(COUNTIFS(実績!$W$6:$W$505,CR$3,実績!$AC$6:$AC$505,"&lt;="&amp;$A235,実績!$AD$6:$AD$505,"&gt;"&amp;$A235,実績!$AE$6:$AE$505,"○")&gt;0,1,0))</f>
        <v/>
      </c>
      <c r="CS235">
        <f>IF(CS$4=0,0,IF(COUNTIFS(実績!$W$6:$W$505,CS$3,実績!$AC$6:$AC$505,"&lt;="&amp;$A235,実績!$AD$6:$AD$505,"&gt;"&amp;$A235,実績!$AE$6:$AE$505,"○")&gt;0,1,0))</f>
        <v/>
      </c>
      <c r="CT235">
        <f>IF(CT$4=0,0,IF(COUNTIFS(実績!$W$6:$W$505,CT$3,実績!$AC$6:$AC$505,"&lt;="&amp;$A235,実績!$AD$6:$AD$505,"&gt;"&amp;$A235,実績!$AE$6:$AE$505,"○")&gt;0,1,0))</f>
        <v/>
      </c>
      <c r="CU235">
        <f>IF(CU$4=0,0,IF(COUNTIFS(実績!$W$6:$W$505,CU$3,実績!$AC$6:$AC$505,"&lt;="&amp;$A235,実績!$AD$6:$AD$505,"&gt;"&amp;$A235,実績!$AE$6:$AE$505,"○")&gt;0,1,0))</f>
        <v/>
      </c>
      <c r="CV235">
        <f>IF(CV$4=0,0,IF(COUNTIFS(実績!$W$6:$W$505,CV$3,実績!$AC$6:$AC$505,"&lt;="&amp;$A235,実績!$AD$6:$AD$505,"&gt;"&amp;$A235,実績!$AE$6:$AE$505,"○")&gt;0,1,0))</f>
        <v/>
      </c>
      <c r="CW235">
        <f>IF(CW$4=0,0,IF(COUNTIFS(実績!$W$6:$W$505,CW$3,実績!$AC$6:$AC$505,"&lt;="&amp;$A235,実績!$AD$6:$AD$505,"&gt;"&amp;$A235,実績!$AE$6:$AE$505,"○")&gt;0,1,0))</f>
        <v/>
      </c>
      <c r="CX235">
        <f>IF(CX$4=0,0,IF(COUNTIFS(実績!$W$6:$W$505,CX$3,実績!$AC$6:$AC$505,"&lt;="&amp;$A235,実績!$AD$6:$AD$505,"&gt;"&amp;$A235,実績!$AE$6:$AE$505,"○")&gt;0,1,0))</f>
        <v/>
      </c>
      <c r="CY235">
        <f>IF(CY$4=0,0,IF(COUNTIFS(実績!$W$6:$W$505,CY$3,実績!$AC$6:$AC$505,"&lt;="&amp;$A235,実績!$AD$6:$AD$505,"&gt;"&amp;$A235,実績!$AE$6:$AE$505,"○")&gt;0,1,0))</f>
        <v/>
      </c>
      <c r="CZ235">
        <f>IF(CZ$4=0,0,IF(COUNTIFS(実績!$W$6:$W$505,CZ$3,実績!$AC$6:$AC$505,"&lt;="&amp;$A235,実績!$AD$6:$AD$505,"&gt;"&amp;$A235,実績!$AE$6:$AE$505,"○")&gt;0,1,0))</f>
        <v/>
      </c>
      <c r="DA235">
        <f>IF(DA$4=0,0,IF(COUNTIFS(実績!$W$6:$W$505,DA$3,実績!$AC$6:$AC$505,"&lt;="&amp;$A235,実績!$AD$6:$AD$505,"&gt;"&amp;$A235,実績!$AE$6:$AE$505,"○")&gt;0,1,0))</f>
        <v/>
      </c>
      <c r="DB235">
        <f>IF(DB$4=0,0,IF(COUNTIFS(実績!$W$6:$W$505,DB$3,実績!$AC$6:$AC$505,"&lt;="&amp;$A235,実績!$AD$6:$AD$505,"&gt;"&amp;$A235,実績!$AE$6:$AE$505,"○")&gt;0,1,0))</f>
        <v/>
      </c>
      <c r="DC235">
        <f>IF(DC$4=0,0,IF(COUNTIFS(実績!$W$6:$W$505,DC$3,実績!$AC$6:$AC$505,"&lt;="&amp;$A235,実績!$AD$6:$AD$505,"&gt;"&amp;$A235,実績!$AE$6:$AE$505,"○")&gt;0,1,0))</f>
        <v/>
      </c>
      <c r="DD235">
        <f>IF(DD$4=0,0,IF(COUNTIFS(実績!$W$6:$W$505,DD$3,実績!$AC$6:$AC$505,"&lt;="&amp;$A235,実績!$AD$6:$AD$505,"&gt;"&amp;$A235,実績!$AE$6:$AE$505,"○")&gt;0,1,0))</f>
        <v/>
      </c>
      <c r="DE235">
        <f>IF(DE$4=0,0,IF(COUNTIFS(実績!$W$6:$W$505,DE$3,実績!$AC$6:$AC$505,"&lt;="&amp;$A235,実績!$AD$6:$AD$505,"&gt;"&amp;$A235,実績!$AE$6:$AE$505,"○")&gt;0,1,0))</f>
        <v/>
      </c>
      <c r="DF235">
        <f>IF(DF$4=0,0,IF(COUNTIFS(実績!$W$6:$W$505,DF$3,実績!$AC$6:$AC$505,"&lt;="&amp;$A235,実績!$AD$6:$AD$505,"&gt;"&amp;$A235,実績!$AE$6:$AE$505,"○")&gt;0,1,0))</f>
        <v/>
      </c>
      <c r="DG235">
        <f>IF(DG$4=0,0,IF(COUNTIFS(実績!$W$6:$W$505,DG$3,実績!$AC$6:$AC$505,"&lt;="&amp;$A235,実績!$AD$6:$AD$505,"&gt;"&amp;$A235,実績!$AE$6:$AE$505,"○")&gt;0,1,0))</f>
        <v/>
      </c>
      <c r="DH235">
        <f>IF(DH$4=0,0,IF(COUNTIFS(実績!$W$6:$W$505,DH$3,実績!$AC$6:$AC$505,"&lt;="&amp;$A235,実績!$AD$6:$AD$505,"&gt;"&amp;$A235,実績!$AE$6:$AE$505,"○")&gt;0,1,0))</f>
        <v/>
      </c>
      <c r="DI235">
        <f>IF(DI$4=0,0,IF(COUNTIFS(実績!$W$6:$W$505,DI$3,実績!$AC$6:$AC$505,"&lt;="&amp;$A235,実績!$AD$6:$AD$505,"&gt;"&amp;$A235,実績!$AE$6:$AE$505,"○")&gt;0,1,0))</f>
        <v/>
      </c>
      <c r="DJ235">
        <f>IF(DJ$4=0,0,IF(COUNTIFS(実績!$W$6:$W$505,DJ$3,実績!$AC$6:$AC$505,"&lt;="&amp;$A235,実績!$AD$6:$AD$505,"&gt;"&amp;$A235,実績!$AE$6:$AE$505,"○")&gt;0,1,0))</f>
        <v/>
      </c>
      <c r="DK235">
        <f>IF(DK$4=0,0,IF(COUNTIFS(実績!$W$6:$W$505,DK$3,実績!$AC$6:$AC$505,"&lt;="&amp;$A235,実績!$AD$6:$AD$505,"&gt;"&amp;$A235,実績!$AE$6:$AE$505,"○")&gt;0,1,0))</f>
        <v/>
      </c>
      <c r="DL235">
        <f>IF(DL$4=0,0,IF(COUNTIFS(実績!$W$6:$W$505,DL$3,実績!$AC$6:$AC$505,"&lt;="&amp;$A235,実績!$AD$6:$AD$505,"&gt;"&amp;$A235,実績!$AE$6:$AE$505,"○")&gt;0,1,0))</f>
        <v/>
      </c>
      <c r="DM235">
        <f>IF(DM$4=0,0,IF(COUNTIFS(実績!$W$6:$W$505,DM$3,実績!$AC$6:$AC$505,"&lt;="&amp;$A235,実績!$AD$6:$AD$505,"&gt;"&amp;$A235,実績!$AE$6:$AE$505,"○")&gt;0,1,0))</f>
        <v/>
      </c>
      <c r="DN235">
        <f>IF(DN$4=0,0,IF(COUNTIFS(実績!$W$6:$W$505,DN$3,実績!$AC$6:$AC$505,"&lt;="&amp;$A235,実績!$AD$6:$AD$505,"&gt;"&amp;$A235,実績!$AE$6:$AE$505,"○")&gt;0,1,0))</f>
        <v/>
      </c>
      <c r="DO235">
        <f>IF(DO$4=0,0,IF(COUNTIFS(実績!$W$6:$W$505,DO$3,実績!$AC$6:$AC$505,"&lt;="&amp;$A235,実績!$AD$6:$AD$505,"&gt;"&amp;$A235,実績!$AE$6:$AE$505,"○")&gt;0,1,0))</f>
        <v/>
      </c>
      <c r="DP235">
        <f>IF(DP$4=0,0,IF(COUNTIFS(実績!$W$6:$W$505,DP$3,実績!$AC$6:$AC$505,"&lt;="&amp;$A235,実績!$AD$6:$AD$505,"&gt;"&amp;$A235,実績!$AE$6:$AE$505,"○")&gt;0,1,0))</f>
        <v/>
      </c>
      <c r="DQ235">
        <f>IF(DQ$4=0,0,IF(COUNTIFS(実績!$W$6:$W$505,DQ$3,実績!$AC$6:$AC$505,"&lt;="&amp;$A235,実績!$AD$6:$AD$505,"&gt;"&amp;$A235,実績!$AE$6:$AE$505,"○")&gt;0,1,0))</f>
        <v/>
      </c>
      <c r="DR235">
        <f>IF(DR$4=0,0,IF(COUNTIFS(実績!$W$6:$W$505,DR$3,実績!$AC$6:$AC$505,"&lt;="&amp;$A235,実績!$AD$6:$AD$505,"&gt;"&amp;$A235,実績!$AE$6:$AE$505,"○")&gt;0,1,0))</f>
        <v/>
      </c>
      <c r="DS235">
        <f>SUM(C235:DR235)</f>
        <v/>
      </c>
      <c r="DT235">
        <f>SUMPRODUCT((実績!$C$6:$C$505="○")*ISNUMBER(実績!$AF$6:$AF$505)*(実績!$AF$6:$AF$505&lt;=$A235)*(実績!$AG$6:$AG$505&gt;$A235))</f>
        <v/>
      </c>
      <c r="DU235">
        <f>SUMIF($C$2:$DR$2,"製鉄曳船",C235:DR235)</f>
        <v/>
      </c>
      <c r="DV235">
        <f>SUMIF($C$2:$DR$2,"西日本海運",C235:DR235)</f>
        <v/>
      </c>
    </row>
    <row r="236">
      <c r="A236" t="n">
        <v>1150</v>
      </c>
      <c r="B236" s="29">
        <f>A236/1440</f>
        <v/>
      </c>
      <c r="C236">
        <f>IF(C$4=0,0,IF(COUNTIFS(実績!$W$6:$W$505,C$3,実績!$AC$6:$AC$505,"&lt;="&amp;$A236,実績!$AD$6:$AD$505,"&gt;"&amp;$A236,実績!$AE$6:$AE$505,"○")&gt;0,1,0))</f>
        <v/>
      </c>
      <c r="D236">
        <f>IF(D$4=0,0,IF(COUNTIFS(実績!$W$6:$W$505,D$3,実績!$AC$6:$AC$505,"&lt;="&amp;$A236,実績!$AD$6:$AD$505,"&gt;"&amp;$A236,実績!$AE$6:$AE$505,"○")&gt;0,1,0))</f>
        <v/>
      </c>
      <c r="E236">
        <f>IF(E$4=0,0,IF(COUNTIFS(実績!$W$6:$W$505,E$3,実績!$AC$6:$AC$505,"&lt;="&amp;$A236,実績!$AD$6:$AD$505,"&gt;"&amp;$A236,実績!$AE$6:$AE$505,"○")&gt;0,1,0))</f>
        <v/>
      </c>
      <c r="F236">
        <f>IF(F$4=0,0,IF(COUNTIFS(実績!$W$6:$W$505,F$3,実績!$AC$6:$AC$505,"&lt;="&amp;$A236,実績!$AD$6:$AD$505,"&gt;"&amp;$A236,実績!$AE$6:$AE$505,"○")&gt;0,1,0))</f>
        <v/>
      </c>
      <c r="G236">
        <f>IF(G$4=0,0,IF(COUNTIFS(実績!$W$6:$W$505,G$3,実績!$AC$6:$AC$505,"&lt;="&amp;$A236,実績!$AD$6:$AD$505,"&gt;"&amp;$A236,実績!$AE$6:$AE$505,"○")&gt;0,1,0))</f>
        <v/>
      </c>
      <c r="H236">
        <f>IF(H$4=0,0,IF(COUNTIFS(実績!$W$6:$W$505,H$3,実績!$AC$6:$AC$505,"&lt;="&amp;$A236,実績!$AD$6:$AD$505,"&gt;"&amp;$A236,実績!$AE$6:$AE$505,"○")&gt;0,1,0))</f>
        <v/>
      </c>
      <c r="I236">
        <f>IF(I$4=0,0,IF(COUNTIFS(実績!$W$6:$W$505,I$3,実績!$AC$6:$AC$505,"&lt;="&amp;$A236,実績!$AD$6:$AD$505,"&gt;"&amp;$A236,実績!$AE$6:$AE$505,"○")&gt;0,1,0))</f>
        <v/>
      </c>
      <c r="J236">
        <f>IF(J$4=0,0,IF(COUNTIFS(実績!$W$6:$W$505,J$3,実績!$AC$6:$AC$505,"&lt;="&amp;$A236,実績!$AD$6:$AD$505,"&gt;"&amp;$A236,実績!$AE$6:$AE$505,"○")&gt;0,1,0))</f>
        <v/>
      </c>
      <c r="K236">
        <f>IF(K$4=0,0,IF(COUNTIFS(実績!$W$6:$W$505,K$3,実績!$AC$6:$AC$505,"&lt;="&amp;$A236,実績!$AD$6:$AD$505,"&gt;"&amp;$A236,実績!$AE$6:$AE$505,"○")&gt;0,1,0))</f>
        <v/>
      </c>
      <c r="L236">
        <f>IF(L$4=0,0,IF(COUNTIFS(実績!$W$6:$W$505,L$3,実績!$AC$6:$AC$505,"&lt;="&amp;$A236,実績!$AD$6:$AD$505,"&gt;"&amp;$A236,実績!$AE$6:$AE$505,"○")&gt;0,1,0))</f>
        <v/>
      </c>
      <c r="M236">
        <f>IF(M$4=0,0,IF(COUNTIFS(実績!$W$6:$W$505,M$3,実績!$AC$6:$AC$505,"&lt;="&amp;$A236,実績!$AD$6:$AD$505,"&gt;"&amp;$A236,実績!$AE$6:$AE$505,"○")&gt;0,1,0))</f>
        <v/>
      </c>
      <c r="N236">
        <f>IF(N$4=0,0,IF(COUNTIFS(実績!$W$6:$W$505,N$3,実績!$AC$6:$AC$505,"&lt;="&amp;$A236,実績!$AD$6:$AD$505,"&gt;"&amp;$A236,実績!$AE$6:$AE$505,"○")&gt;0,1,0))</f>
        <v/>
      </c>
      <c r="O236">
        <f>IF(O$4=0,0,IF(COUNTIFS(実績!$W$6:$W$505,O$3,実績!$AC$6:$AC$505,"&lt;="&amp;$A236,実績!$AD$6:$AD$505,"&gt;"&amp;$A236,実績!$AE$6:$AE$505,"○")&gt;0,1,0))</f>
        <v/>
      </c>
      <c r="P236">
        <f>IF(P$4=0,0,IF(COUNTIFS(実績!$W$6:$W$505,P$3,実績!$AC$6:$AC$505,"&lt;="&amp;$A236,実績!$AD$6:$AD$505,"&gt;"&amp;$A236,実績!$AE$6:$AE$505,"○")&gt;0,1,0))</f>
        <v/>
      </c>
      <c r="Q236">
        <f>IF(Q$4=0,0,IF(COUNTIFS(実績!$W$6:$W$505,Q$3,実績!$AC$6:$AC$505,"&lt;="&amp;$A236,実績!$AD$6:$AD$505,"&gt;"&amp;$A236,実績!$AE$6:$AE$505,"○")&gt;0,1,0))</f>
        <v/>
      </c>
      <c r="R236">
        <f>IF(R$4=0,0,IF(COUNTIFS(実績!$W$6:$W$505,R$3,実績!$AC$6:$AC$505,"&lt;="&amp;$A236,実績!$AD$6:$AD$505,"&gt;"&amp;$A236,実績!$AE$6:$AE$505,"○")&gt;0,1,0))</f>
        <v/>
      </c>
      <c r="S236">
        <f>IF(S$4=0,0,IF(COUNTIFS(実績!$W$6:$W$505,S$3,実績!$AC$6:$AC$505,"&lt;="&amp;$A236,実績!$AD$6:$AD$505,"&gt;"&amp;$A236,実績!$AE$6:$AE$505,"○")&gt;0,1,0))</f>
        <v/>
      </c>
      <c r="T236">
        <f>IF(T$4=0,0,IF(COUNTIFS(実績!$W$6:$W$505,T$3,実績!$AC$6:$AC$505,"&lt;="&amp;$A236,実績!$AD$6:$AD$505,"&gt;"&amp;$A236,実績!$AE$6:$AE$505,"○")&gt;0,1,0))</f>
        <v/>
      </c>
      <c r="U236">
        <f>IF(U$4=0,0,IF(COUNTIFS(実績!$W$6:$W$505,U$3,実績!$AC$6:$AC$505,"&lt;="&amp;$A236,実績!$AD$6:$AD$505,"&gt;"&amp;$A236,実績!$AE$6:$AE$505,"○")&gt;0,1,0))</f>
        <v/>
      </c>
      <c r="V236">
        <f>IF(V$4=0,0,IF(COUNTIFS(実績!$W$6:$W$505,V$3,実績!$AC$6:$AC$505,"&lt;="&amp;$A236,実績!$AD$6:$AD$505,"&gt;"&amp;$A236,実績!$AE$6:$AE$505,"○")&gt;0,1,0))</f>
        <v/>
      </c>
      <c r="W236">
        <f>IF(W$4=0,0,IF(COUNTIFS(実績!$W$6:$W$505,W$3,実績!$AC$6:$AC$505,"&lt;="&amp;$A236,実績!$AD$6:$AD$505,"&gt;"&amp;$A236,実績!$AE$6:$AE$505,"○")&gt;0,1,0))</f>
        <v/>
      </c>
      <c r="X236">
        <f>IF(X$4=0,0,IF(COUNTIFS(実績!$W$6:$W$505,X$3,実績!$AC$6:$AC$505,"&lt;="&amp;$A236,実績!$AD$6:$AD$505,"&gt;"&amp;$A236,実績!$AE$6:$AE$505,"○")&gt;0,1,0))</f>
        <v/>
      </c>
      <c r="Y236">
        <f>IF(Y$4=0,0,IF(COUNTIFS(実績!$W$6:$W$505,Y$3,実績!$AC$6:$AC$505,"&lt;="&amp;$A236,実績!$AD$6:$AD$505,"&gt;"&amp;$A236,実績!$AE$6:$AE$505,"○")&gt;0,1,0))</f>
        <v/>
      </c>
      <c r="Z236">
        <f>IF(Z$4=0,0,IF(COUNTIFS(実績!$W$6:$W$505,Z$3,実績!$AC$6:$AC$505,"&lt;="&amp;$A236,実績!$AD$6:$AD$505,"&gt;"&amp;$A236,実績!$AE$6:$AE$505,"○")&gt;0,1,0))</f>
        <v/>
      </c>
      <c r="AA236">
        <f>IF(AA$4=0,0,IF(COUNTIFS(実績!$W$6:$W$505,AA$3,実績!$AC$6:$AC$505,"&lt;="&amp;$A236,実績!$AD$6:$AD$505,"&gt;"&amp;$A236,実績!$AE$6:$AE$505,"○")&gt;0,1,0))</f>
        <v/>
      </c>
      <c r="AB236">
        <f>IF(AB$4=0,0,IF(COUNTIFS(実績!$W$6:$W$505,AB$3,実績!$AC$6:$AC$505,"&lt;="&amp;$A236,実績!$AD$6:$AD$505,"&gt;"&amp;$A236,実績!$AE$6:$AE$505,"○")&gt;0,1,0))</f>
        <v/>
      </c>
      <c r="AC236">
        <f>IF(AC$4=0,0,IF(COUNTIFS(実績!$W$6:$W$505,AC$3,実績!$AC$6:$AC$505,"&lt;="&amp;$A236,実績!$AD$6:$AD$505,"&gt;"&amp;$A236,実績!$AE$6:$AE$505,"○")&gt;0,1,0))</f>
        <v/>
      </c>
      <c r="AD236">
        <f>IF(AD$4=0,0,IF(COUNTIFS(実績!$W$6:$W$505,AD$3,実績!$AC$6:$AC$505,"&lt;="&amp;$A236,実績!$AD$6:$AD$505,"&gt;"&amp;$A236,実績!$AE$6:$AE$505,"○")&gt;0,1,0))</f>
        <v/>
      </c>
      <c r="AE236">
        <f>IF(AE$4=0,0,IF(COUNTIFS(実績!$W$6:$W$505,AE$3,実績!$AC$6:$AC$505,"&lt;="&amp;$A236,実績!$AD$6:$AD$505,"&gt;"&amp;$A236,実績!$AE$6:$AE$505,"○")&gt;0,1,0))</f>
        <v/>
      </c>
      <c r="AF236">
        <f>IF(AF$4=0,0,IF(COUNTIFS(実績!$W$6:$W$505,AF$3,実績!$AC$6:$AC$505,"&lt;="&amp;$A236,実績!$AD$6:$AD$505,"&gt;"&amp;$A236,実績!$AE$6:$AE$505,"○")&gt;0,1,0))</f>
        <v/>
      </c>
      <c r="AG236">
        <f>IF(AG$4=0,0,IF(COUNTIFS(実績!$W$6:$W$505,AG$3,実績!$AC$6:$AC$505,"&lt;="&amp;$A236,実績!$AD$6:$AD$505,"&gt;"&amp;$A236,実績!$AE$6:$AE$505,"○")&gt;0,1,0))</f>
        <v/>
      </c>
      <c r="AH236">
        <f>IF(AH$4=0,0,IF(COUNTIFS(実績!$W$6:$W$505,AH$3,実績!$AC$6:$AC$505,"&lt;="&amp;$A236,実績!$AD$6:$AD$505,"&gt;"&amp;$A236,実績!$AE$6:$AE$505,"○")&gt;0,1,0))</f>
        <v/>
      </c>
      <c r="AI236">
        <f>IF(AI$4=0,0,IF(COUNTIFS(実績!$W$6:$W$505,AI$3,実績!$AC$6:$AC$505,"&lt;="&amp;$A236,実績!$AD$6:$AD$505,"&gt;"&amp;$A236,実績!$AE$6:$AE$505,"○")&gt;0,1,0))</f>
        <v/>
      </c>
      <c r="AJ236">
        <f>IF(AJ$4=0,0,IF(COUNTIFS(実績!$W$6:$W$505,AJ$3,実績!$AC$6:$AC$505,"&lt;="&amp;$A236,実績!$AD$6:$AD$505,"&gt;"&amp;$A236,実績!$AE$6:$AE$505,"○")&gt;0,1,0))</f>
        <v/>
      </c>
      <c r="AK236">
        <f>IF(AK$4=0,0,IF(COUNTIFS(実績!$W$6:$W$505,AK$3,実績!$AC$6:$AC$505,"&lt;="&amp;$A236,実績!$AD$6:$AD$505,"&gt;"&amp;$A236,実績!$AE$6:$AE$505,"○")&gt;0,1,0))</f>
        <v/>
      </c>
      <c r="AL236">
        <f>IF(AL$4=0,0,IF(COUNTIFS(実績!$W$6:$W$505,AL$3,実績!$AC$6:$AC$505,"&lt;="&amp;$A236,実績!$AD$6:$AD$505,"&gt;"&amp;$A236,実績!$AE$6:$AE$505,"○")&gt;0,1,0))</f>
        <v/>
      </c>
      <c r="AM236">
        <f>IF(AM$4=0,0,IF(COUNTIFS(実績!$W$6:$W$505,AM$3,実績!$AC$6:$AC$505,"&lt;="&amp;$A236,実績!$AD$6:$AD$505,"&gt;"&amp;$A236,実績!$AE$6:$AE$505,"○")&gt;0,1,0))</f>
        <v/>
      </c>
      <c r="AN236">
        <f>IF(AN$4=0,0,IF(COUNTIFS(実績!$W$6:$W$505,AN$3,実績!$AC$6:$AC$505,"&lt;="&amp;$A236,実績!$AD$6:$AD$505,"&gt;"&amp;$A236,実績!$AE$6:$AE$505,"○")&gt;0,1,0))</f>
        <v/>
      </c>
      <c r="AO236">
        <f>IF(AO$4=0,0,IF(COUNTIFS(実績!$W$6:$W$505,AO$3,実績!$AC$6:$AC$505,"&lt;="&amp;$A236,実績!$AD$6:$AD$505,"&gt;"&amp;$A236,実績!$AE$6:$AE$505,"○")&gt;0,1,0))</f>
        <v/>
      </c>
      <c r="AP236">
        <f>IF(AP$4=0,0,IF(COUNTIFS(実績!$W$6:$W$505,AP$3,実績!$AC$6:$AC$505,"&lt;="&amp;$A236,実績!$AD$6:$AD$505,"&gt;"&amp;$A236,実績!$AE$6:$AE$505,"○")&gt;0,1,0))</f>
        <v/>
      </c>
      <c r="AQ236">
        <f>IF(AQ$4=0,0,IF(COUNTIFS(実績!$W$6:$W$505,AQ$3,実績!$AC$6:$AC$505,"&lt;="&amp;$A236,実績!$AD$6:$AD$505,"&gt;"&amp;$A236,実績!$AE$6:$AE$505,"○")&gt;0,1,0))</f>
        <v/>
      </c>
      <c r="AR236">
        <f>IF(AR$4=0,0,IF(COUNTIFS(実績!$W$6:$W$505,AR$3,実績!$AC$6:$AC$505,"&lt;="&amp;$A236,実績!$AD$6:$AD$505,"&gt;"&amp;$A236,実績!$AE$6:$AE$505,"○")&gt;0,1,0))</f>
        <v/>
      </c>
      <c r="AS236">
        <f>IF(AS$4=0,0,IF(COUNTIFS(実績!$W$6:$W$505,AS$3,実績!$AC$6:$AC$505,"&lt;="&amp;$A236,実績!$AD$6:$AD$505,"&gt;"&amp;$A236,実績!$AE$6:$AE$505,"○")&gt;0,1,0))</f>
        <v/>
      </c>
      <c r="AT236">
        <f>IF(AT$4=0,0,IF(COUNTIFS(実績!$W$6:$W$505,AT$3,実績!$AC$6:$AC$505,"&lt;="&amp;$A236,実績!$AD$6:$AD$505,"&gt;"&amp;$A236,実績!$AE$6:$AE$505,"○")&gt;0,1,0))</f>
        <v/>
      </c>
      <c r="AU236">
        <f>IF(AU$4=0,0,IF(COUNTIFS(実績!$W$6:$W$505,AU$3,実績!$AC$6:$AC$505,"&lt;="&amp;$A236,実績!$AD$6:$AD$505,"&gt;"&amp;$A236,実績!$AE$6:$AE$505,"○")&gt;0,1,0))</f>
        <v/>
      </c>
      <c r="AV236">
        <f>IF(AV$4=0,0,IF(COUNTIFS(実績!$W$6:$W$505,AV$3,実績!$AC$6:$AC$505,"&lt;="&amp;$A236,実績!$AD$6:$AD$505,"&gt;"&amp;$A236,実績!$AE$6:$AE$505,"○")&gt;0,1,0))</f>
        <v/>
      </c>
      <c r="AW236">
        <f>IF(AW$4=0,0,IF(COUNTIFS(実績!$W$6:$W$505,AW$3,実績!$AC$6:$AC$505,"&lt;="&amp;$A236,実績!$AD$6:$AD$505,"&gt;"&amp;$A236,実績!$AE$6:$AE$505,"○")&gt;0,1,0))</f>
        <v/>
      </c>
      <c r="AX236">
        <f>IF(AX$4=0,0,IF(COUNTIFS(実績!$W$6:$W$505,AX$3,実績!$AC$6:$AC$505,"&lt;="&amp;$A236,実績!$AD$6:$AD$505,"&gt;"&amp;$A236,実績!$AE$6:$AE$505,"○")&gt;0,1,0))</f>
        <v/>
      </c>
      <c r="AY236">
        <f>IF(AY$4=0,0,IF(COUNTIFS(実績!$W$6:$W$505,AY$3,実績!$AC$6:$AC$505,"&lt;="&amp;$A236,実績!$AD$6:$AD$505,"&gt;"&amp;$A236,実績!$AE$6:$AE$505,"○")&gt;0,1,0))</f>
        <v/>
      </c>
      <c r="AZ236">
        <f>IF(AZ$4=0,0,IF(COUNTIFS(実績!$W$6:$W$505,AZ$3,実績!$AC$6:$AC$505,"&lt;="&amp;$A236,実績!$AD$6:$AD$505,"&gt;"&amp;$A236,実績!$AE$6:$AE$505,"○")&gt;0,1,0))</f>
        <v/>
      </c>
      <c r="BA236">
        <f>IF(BA$4=0,0,IF(COUNTIFS(実績!$W$6:$W$505,BA$3,実績!$AC$6:$AC$505,"&lt;="&amp;$A236,実績!$AD$6:$AD$505,"&gt;"&amp;$A236,実績!$AE$6:$AE$505,"○")&gt;0,1,0))</f>
        <v/>
      </c>
      <c r="BB236">
        <f>IF(BB$4=0,0,IF(COUNTIFS(実績!$W$6:$W$505,BB$3,実績!$AC$6:$AC$505,"&lt;="&amp;$A236,実績!$AD$6:$AD$505,"&gt;"&amp;$A236,実績!$AE$6:$AE$505,"○")&gt;0,1,0))</f>
        <v/>
      </c>
      <c r="BC236">
        <f>IF(BC$4=0,0,IF(COUNTIFS(実績!$W$6:$W$505,BC$3,実績!$AC$6:$AC$505,"&lt;="&amp;$A236,実績!$AD$6:$AD$505,"&gt;"&amp;$A236,実績!$AE$6:$AE$505,"○")&gt;0,1,0))</f>
        <v/>
      </c>
      <c r="BD236">
        <f>IF(BD$4=0,0,IF(COUNTIFS(実績!$W$6:$W$505,BD$3,実績!$AC$6:$AC$505,"&lt;="&amp;$A236,実績!$AD$6:$AD$505,"&gt;"&amp;$A236,実績!$AE$6:$AE$505,"○")&gt;0,1,0))</f>
        <v/>
      </c>
      <c r="BE236">
        <f>IF(BE$4=0,0,IF(COUNTIFS(実績!$W$6:$W$505,BE$3,実績!$AC$6:$AC$505,"&lt;="&amp;$A236,実績!$AD$6:$AD$505,"&gt;"&amp;$A236,実績!$AE$6:$AE$505,"○")&gt;0,1,0))</f>
        <v/>
      </c>
      <c r="BF236">
        <f>IF(BF$4=0,0,IF(COUNTIFS(実績!$W$6:$W$505,BF$3,実績!$AC$6:$AC$505,"&lt;="&amp;$A236,実績!$AD$6:$AD$505,"&gt;"&amp;$A236,実績!$AE$6:$AE$505,"○")&gt;0,1,0))</f>
        <v/>
      </c>
      <c r="BG236">
        <f>IF(BG$4=0,0,IF(COUNTIFS(実績!$W$6:$W$505,BG$3,実績!$AC$6:$AC$505,"&lt;="&amp;$A236,実績!$AD$6:$AD$505,"&gt;"&amp;$A236,実績!$AE$6:$AE$505,"○")&gt;0,1,0))</f>
        <v/>
      </c>
      <c r="BH236">
        <f>IF(BH$4=0,0,IF(COUNTIFS(実績!$W$6:$W$505,BH$3,実績!$AC$6:$AC$505,"&lt;="&amp;$A236,実績!$AD$6:$AD$505,"&gt;"&amp;$A236,実績!$AE$6:$AE$505,"○")&gt;0,1,0))</f>
        <v/>
      </c>
      <c r="BI236">
        <f>IF(BI$4=0,0,IF(COUNTIFS(実績!$W$6:$W$505,BI$3,実績!$AC$6:$AC$505,"&lt;="&amp;$A236,実績!$AD$6:$AD$505,"&gt;"&amp;$A236,実績!$AE$6:$AE$505,"○")&gt;0,1,0))</f>
        <v/>
      </c>
      <c r="BJ236">
        <f>IF(BJ$4=0,0,IF(COUNTIFS(実績!$W$6:$W$505,BJ$3,実績!$AC$6:$AC$505,"&lt;="&amp;$A236,実績!$AD$6:$AD$505,"&gt;"&amp;$A236,実績!$AE$6:$AE$505,"○")&gt;0,1,0))</f>
        <v/>
      </c>
      <c r="BK236">
        <f>IF(BK$4=0,0,IF(COUNTIFS(実績!$W$6:$W$505,BK$3,実績!$AC$6:$AC$505,"&lt;="&amp;$A236,実績!$AD$6:$AD$505,"&gt;"&amp;$A236,実績!$AE$6:$AE$505,"○")&gt;0,1,0))</f>
        <v/>
      </c>
      <c r="BL236">
        <f>IF(BL$4=0,0,IF(COUNTIFS(実績!$W$6:$W$505,BL$3,実績!$AC$6:$AC$505,"&lt;="&amp;$A236,実績!$AD$6:$AD$505,"&gt;"&amp;$A236,実績!$AE$6:$AE$505,"○")&gt;0,1,0))</f>
        <v/>
      </c>
      <c r="BM236">
        <f>IF(BM$4=0,0,IF(COUNTIFS(実績!$W$6:$W$505,BM$3,実績!$AC$6:$AC$505,"&lt;="&amp;$A236,実績!$AD$6:$AD$505,"&gt;"&amp;$A236,実績!$AE$6:$AE$505,"○")&gt;0,1,0))</f>
        <v/>
      </c>
      <c r="BN236">
        <f>IF(BN$4=0,0,IF(COUNTIFS(実績!$W$6:$W$505,BN$3,実績!$AC$6:$AC$505,"&lt;="&amp;$A236,実績!$AD$6:$AD$505,"&gt;"&amp;$A236,実績!$AE$6:$AE$505,"○")&gt;0,1,0))</f>
        <v/>
      </c>
      <c r="BO236">
        <f>IF(BO$4=0,0,IF(COUNTIFS(実績!$W$6:$W$505,BO$3,実績!$AC$6:$AC$505,"&lt;="&amp;$A236,実績!$AD$6:$AD$505,"&gt;"&amp;$A236,実績!$AE$6:$AE$505,"○")&gt;0,1,0))</f>
        <v/>
      </c>
      <c r="BP236">
        <f>IF(BP$4=0,0,IF(COUNTIFS(実績!$W$6:$W$505,BP$3,実績!$AC$6:$AC$505,"&lt;="&amp;$A236,実績!$AD$6:$AD$505,"&gt;"&amp;$A236,実績!$AE$6:$AE$505,"○")&gt;0,1,0))</f>
        <v/>
      </c>
      <c r="BQ236">
        <f>IF(BQ$4=0,0,IF(COUNTIFS(実績!$W$6:$W$505,BQ$3,実績!$AC$6:$AC$505,"&lt;="&amp;$A236,実績!$AD$6:$AD$505,"&gt;"&amp;$A236,実績!$AE$6:$AE$505,"○")&gt;0,1,0))</f>
        <v/>
      </c>
      <c r="BR236">
        <f>IF(BR$4=0,0,IF(COUNTIFS(実績!$W$6:$W$505,BR$3,実績!$AC$6:$AC$505,"&lt;="&amp;$A236,実績!$AD$6:$AD$505,"&gt;"&amp;$A236,実績!$AE$6:$AE$505,"○")&gt;0,1,0))</f>
        <v/>
      </c>
      <c r="BS236">
        <f>IF(BS$4=0,0,IF(COUNTIFS(実績!$W$6:$W$505,BS$3,実績!$AC$6:$AC$505,"&lt;="&amp;$A236,実績!$AD$6:$AD$505,"&gt;"&amp;$A236,実績!$AE$6:$AE$505,"○")&gt;0,1,0))</f>
        <v/>
      </c>
      <c r="BT236">
        <f>IF(BT$4=0,0,IF(COUNTIFS(実績!$W$6:$W$505,BT$3,実績!$AC$6:$AC$505,"&lt;="&amp;$A236,実績!$AD$6:$AD$505,"&gt;"&amp;$A236,実績!$AE$6:$AE$505,"○")&gt;0,1,0))</f>
        <v/>
      </c>
      <c r="BU236">
        <f>IF(BU$4=0,0,IF(COUNTIFS(実績!$W$6:$W$505,BU$3,実績!$AC$6:$AC$505,"&lt;="&amp;$A236,実績!$AD$6:$AD$505,"&gt;"&amp;$A236,実績!$AE$6:$AE$505,"○")&gt;0,1,0))</f>
        <v/>
      </c>
      <c r="BV236">
        <f>IF(BV$4=0,0,IF(COUNTIFS(実績!$W$6:$W$505,BV$3,実績!$AC$6:$AC$505,"&lt;="&amp;$A236,実績!$AD$6:$AD$505,"&gt;"&amp;$A236,実績!$AE$6:$AE$505,"○")&gt;0,1,0))</f>
        <v/>
      </c>
      <c r="BW236">
        <f>IF(BW$4=0,0,IF(COUNTIFS(実績!$W$6:$W$505,BW$3,実績!$AC$6:$AC$505,"&lt;="&amp;$A236,実績!$AD$6:$AD$505,"&gt;"&amp;$A236,実績!$AE$6:$AE$505,"○")&gt;0,1,0))</f>
        <v/>
      </c>
      <c r="BX236">
        <f>IF(BX$4=0,0,IF(COUNTIFS(実績!$W$6:$W$505,BX$3,実績!$AC$6:$AC$505,"&lt;="&amp;$A236,実績!$AD$6:$AD$505,"&gt;"&amp;$A236,実績!$AE$6:$AE$505,"○")&gt;0,1,0))</f>
        <v/>
      </c>
      <c r="BY236">
        <f>IF(BY$4=0,0,IF(COUNTIFS(実績!$W$6:$W$505,BY$3,実績!$AC$6:$AC$505,"&lt;="&amp;$A236,実績!$AD$6:$AD$505,"&gt;"&amp;$A236,実績!$AE$6:$AE$505,"○")&gt;0,1,0))</f>
        <v/>
      </c>
      <c r="BZ236">
        <f>IF(BZ$4=0,0,IF(COUNTIFS(実績!$W$6:$W$505,BZ$3,実績!$AC$6:$AC$505,"&lt;="&amp;$A236,実績!$AD$6:$AD$505,"&gt;"&amp;$A236,実績!$AE$6:$AE$505,"○")&gt;0,1,0))</f>
        <v/>
      </c>
      <c r="CA236">
        <f>IF(CA$4=0,0,IF(COUNTIFS(実績!$W$6:$W$505,CA$3,実績!$AC$6:$AC$505,"&lt;="&amp;$A236,実績!$AD$6:$AD$505,"&gt;"&amp;$A236,実績!$AE$6:$AE$505,"○")&gt;0,1,0))</f>
        <v/>
      </c>
      <c r="CB236">
        <f>IF(CB$4=0,0,IF(COUNTIFS(実績!$W$6:$W$505,CB$3,実績!$AC$6:$AC$505,"&lt;="&amp;$A236,実績!$AD$6:$AD$505,"&gt;"&amp;$A236,実績!$AE$6:$AE$505,"○")&gt;0,1,0))</f>
        <v/>
      </c>
      <c r="CC236">
        <f>IF(CC$4=0,0,IF(COUNTIFS(実績!$W$6:$W$505,CC$3,実績!$AC$6:$AC$505,"&lt;="&amp;$A236,実績!$AD$6:$AD$505,"&gt;"&amp;$A236,実績!$AE$6:$AE$505,"○")&gt;0,1,0))</f>
        <v/>
      </c>
      <c r="CD236">
        <f>IF(CD$4=0,0,IF(COUNTIFS(実績!$W$6:$W$505,CD$3,実績!$AC$6:$AC$505,"&lt;="&amp;$A236,実績!$AD$6:$AD$505,"&gt;"&amp;$A236,実績!$AE$6:$AE$505,"○")&gt;0,1,0))</f>
        <v/>
      </c>
      <c r="CE236">
        <f>IF(CE$4=0,0,IF(COUNTIFS(実績!$W$6:$W$505,CE$3,実績!$AC$6:$AC$505,"&lt;="&amp;$A236,実績!$AD$6:$AD$505,"&gt;"&amp;$A236,実績!$AE$6:$AE$505,"○")&gt;0,1,0))</f>
        <v/>
      </c>
      <c r="CF236">
        <f>IF(CF$4=0,0,IF(COUNTIFS(実績!$W$6:$W$505,CF$3,実績!$AC$6:$AC$505,"&lt;="&amp;$A236,実績!$AD$6:$AD$505,"&gt;"&amp;$A236,実績!$AE$6:$AE$505,"○")&gt;0,1,0))</f>
        <v/>
      </c>
      <c r="CG236">
        <f>IF(CG$4=0,0,IF(COUNTIFS(実績!$W$6:$W$505,CG$3,実績!$AC$6:$AC$505,"&lt;="&amp;$A236,実績!$AD$6:$AD$505,"&gt;"&amp;$A236,実績!$AE$6:$AE$505,"○")&gt;0,1,0))</f>
        <v/>
      </c>
      <c r="CH236">
        <f>IF(CH$4=0,0,IF(COUNTIFS(実績!$W$6:$W$505,CH$3,実績!$AC$6:$AC$505,"&lt;="&amp;$A236,実績!$AD$6:$AD$505,"&gt;"&amp;$A236,実績!$AE$6:$AE$505,"○")&gt;0,1,0))</f>
        <v/>
      </c>
      <c r="CI236">
        <f>IF(CI$4=0,0,IF(COUNTIFS(実績!$W$6:$W$505,CI$3,実績!$AC$6:$AC$505,"&lt;="&amp;$A236,実績!$AD$6:$AD$505,"&gt;"&amp;$A236,実績!$AE$6:$AE$505,"○")&gt;0,1,0))</f>
        <v/>
      </c>
      <c r="CJ236">
        <f>IF(CJ$4=0,0,IF(COUNTIFS(実績!$W$6:$W$505,CJ$3,実績!$AC$6:$AC$505,"&lt;="&amp;$A236,実績!$AD$6:$AD$505,"&gt;"&amp;$A236,実績!$AE$6:$AE$505,"○")&gt;0,1,0))</f>
        <v/>
      </c>
      <c r="CK236">
        <f>IF(CK$4=0,0,IF(COUNTIFS(実績!$W$6:$W$505,CK$3,実績!$AC$6:$AC$505,"&lt;="&amp;$A236,実績!$AD$6:$AD$505,"&gt;"&amp;$A236,実績!$AE$6:$AE$505,"○")&gt;0,1,0))</f>
        <v/>
      </c>
      <c r="CL236">
        <f>IF(CL$4=0,0,IF(COUNTIFS(実績!$W$6:$W$505,CL$3,実績!$AC$6:$AC$505,"&lt;="&amp;$A236,実績!$AD$6:$AD$505,"&gt;"&amp;$A236,実績!$AE$6:$AE$505,"○")&gt;0,1,0))</f>
        <v/>
      </c>
      <c r="CM236">
        <f>IF(CM$4=0,0,IF(COUNTIFS(実績!$W$6:$W$505,CM$3,実績!$AC$6:$AC$505,"&lt;="&amp;$A236,実績!$AD$6:$AD$505,"&gt;"&amp;$A236,実績!$AE$6:$AE$505,"○")&gt;0,1,0))</f>
        <v/>
      </c>
      <c r="CN236">
        <f>IF(CN$4=0,0,IF(COUNTIFS(実績!$W$6:$W$505,CN$3,実績!$AC$6:$AC$505,"&lt;="&amp;$A236,実績!$AD$6:$AD$505,"&gt;"&amp;$A236,実績!$AE$6:$AE$505,"○")&gt;0,1,0))</f>
        <v/>
      </c>
      <c r="CO236">
        <f>IF(CO$4=0,0,IF(COUNTIFS(実績!$W$6:$W$505,CO$3,実績!$AC$6:$AC$505,"&lt;="&amp;$A236,実績!$AD$6:$AD$505,"&gt;"&amp;$A236,実績!$AE$6:$AE$505,"○")&gt;0,1,0))</f>
        <v/>
      </c>
      <c r="CP236">
        <f>IF(CP$4=0,0,IF(COUNTIFS(実績!$W$6:$W$505,CP$3,実績!$AC$6:$AC$505,"&lt;="&amp;$A236,実績!$AD$6:$AD$505,"&gt;"&amp;$A236,実績!$AE$6:$AE$505,"○")&gt;0,1,0))</f>
        <v/>
      </c>
      <c r="CQ236">
        <f>IF(CQ$4=0,0,IF(COUNTIFS(実績!$W$6:$W$505,CQ$3,実績!$AC$6:$AC$505,"&lt;="&amp;$A236,実績!$AD$6:$AD$505,"&gt;"&amp;$A236,実績!$AE$6:$AE$505,"○")&gt;0,1,0))</f>
        <v/>
      </c>
      <c r="CR236">
        <f>IF(CR$4=0,0,IF(COUNTIFS(実績!$W$6:$W$505,CR$3,実績!$AC$6:$AC$505,"&lt;="&amp;$A236,実績!$AD$6:$AD$505,"&gt;"&amp;$A236,実績!$AE$6:$AE$505,"○")&gt;0,1,0))</f>
        <v/>
      </c>
      <c r="CS236">
        <f>IF(CS$4=0,0,IF(COUNTIFS(実績!$W$6:$W$505,CS$3,実績!$AC$6:$AC$505,"&lt;="&amp;$A236,実績!$AD$6:$AD$505,"&gt;"&amp;$A236,実績!$AE$6:$AE$505,"○")&gt;0,1,0))</f>
        <v/>
      </c>
      <c r="CT236">
        <f>IF(CT$4=0,0,IF(COUNTIFS(実績!$W$6:$W$505,CT$3,実績!$AC$6:$AC$505,"&lt;="&amp;$A236,実績!$AD$6:$AD$505,"&gt;"&amp;$A236,実績!$AE$6:$AE$505,"○")&gt;0,1,0))</f>
        <v/>
      </c>
      <c r="CU236">
        <f>IF(CU$4=0,0,IF(COUNTIFS(実績!$W$6:$W$505,CU$3,実績!$AC$6:$AC$505,"&lt;="&amp;$A236,実績!$AD$6:$AD$505,"&gt;"&amp;$A236,実績!$AE$6:$AE$505,"○")&gt;0,1,0))</f>
        <v/>
      </c>
      <c r="CV236">
        <f>IF(CV$4=0,0,IF(COUNTIFS(実績!$W$6:$W$505,CV$3,実績!$AC$6:$AC$505,"&lt;="&amp;$A236,実績!$AD$6:$AD$505,"&gt;"&amp;$A236,実績!$AE$6:$AE$505,"○")&gt;0,1,0))</f>
        <v/>
      </c>
      <c r="CW236">
        <f>IF(CW$4=0,0,IF(COUNTIFS(実績!$W$6:$W$505,CW$3,実績!$AC$6:$AC$505,"&lt;="&amp;$A236,実績!$AD$6:$AD$505,"&gt;"&amp;$A236,実績!$AE$6:$AE$505,"○")&gt;0,1,0))</f>
        <v/>
      </c>
      <c r="CX236">
        <f>IF(CX$4=0,0,IF(COUNTIFS(実績!$W$6:$W$505,CX$3,実績!$AC$6:$AC$505,"&lt;="&amp;$A236,実績!$AD$6:$AD$505,"&gt;"&amp;$A236,実績!$AE$6:$AE$505,"○")&gt;0,1,0))</f>
        <v/>
      </c>
      <c r="CY236">
        <f>IF(CY$4=0,0,IF(COUNTIFS(実績!$W$6:$W$505,CY$3,実績!$AC$6:$AC$505,"&lt;="&amp;$A236,実績!$AD$6:$AD$505,"&gt;"&amp;$A236,実績!$AE$6:$AE$505,"○")&gt;0,1,0))</f>
        <v/>
      </c>
      <c r="CZ236">
        <f>IF(CZ$4=0,0,IF(COUNTIFS(実績!$W$6:$W$505,CZ$3,実績!$AC$6:$AC$505,"&lt;="&amp;$A236,実績!$AD$6:$AD$505,"&gt;"&amp;$A236,実績!$AE$6:$AE$505,"○")&gt;0,1,0))</f>
        <v/>
      </c>
      <c r="DA236">
        <f>IF(DA$4=0,0,IF(COUNTIFS(実績!$W$6:$W$505,DA$3,実績!$AC$6:$AC$505,"&lt;="&amp;$A236,実績!$AD$6:$AD$505,"&gt;"&amp;$A236,実績!$AE$6:$AE$505,"○")&gt;0,1,0))</f>
        <v/>
      </c>
      <c r="DB236">
        <f>IF(DB$4=0,0,IF(COUNTIFS(実績!$W$6:$W$505,DB$3,実績!$AC$6:$AC$505,"&lt;="&amp;$A236,実績!$AD$6:$AD$505,"&gt;"&amp;$A236,実績!$AE$6:$AE$505,"○")&gt;0,1,0))</f>
        <v/>
      </c>
      <c r="DC236">
        <f>IF(DC$4=0,0,IF(COUNTIFS(実績!$W$6:$W$505,DC$3,実績!$AC$6:$AC$505,"&lt;="&amp;$A236,実績!$AD$6:$AD$505,"&gt;"&amp;$A236,実績!$AE$6:$AE$505,"○")&gt;0,1,0))</f>
        <v/>
      </c>
      <c r="DD236">
        <f>IF(DD$4=0,0,IF(COUNTIFS(実績!$W$6:$W$505,DD$3,実績!$AC$6:$AC$505,"&lt;="&amp;$A236,実績!$AD$6:$AD$505,"&gt;"&amp;$A236,実績!$AE$6:$AE$505,"○")&gt;0,1,0))</f>
        <v/>
      </c>
      <c r="DE236">
        <f>IF(DE$4=0,0,IF(COUNTIFS(実績!$W$6:$W$505,DE$3,実績!$AC$6:$AC$505,"&lt;="&amp;$A236,実績!$AD$6:$AD$505,"&gt;"&amp;$A236,実績!$AE$6:$AE$505,"○")&gt;0,1,0))</f>
        <v/>
      </c>
      <c r="DF236">
        <f>IF(DF$4=0,0,IF(COUNTIFS(実績!$W$6:$W$505,DF$3,実績!$AC$6:$AC$505,"&lt;="&amp;$A236,実績!$AD$6:$AD$505,"&gt;"&amp;$A236,実績!$AE$6:$AE$505,"○")&gt;0,1,0))</f>
        <v/>
      </c>
      <c r="DG236">
        <f>IF(DG$4=0,0,IF(COUNTIFS(実績!$W$6:$W$505,DG$3,実績!$AC$6:$AC$505,"&lt;="&amp;$A236,実績!$AD$6:$AD$505,"&gt;"&amp;$A236,実績!$AE$6:$AE$505,"○")&gt;0,1,0))</f>
        <v/>
      </c>
      <c r="DH236">
        <f>IF(DH$4=0,0,IF(COUNTIFS(実績!$W$6:$W$505,DH$3,実績!$AC$6:$AC$505,"&lt;="&amp;$A236,実績!$AD$6:$AD$505,"&gt;"&amp;$A236,実績!$AE$6:$AE$505,"○")&gt;0,1,0))</f>
        <v/>
      </c>
      <c r="DI236">
        <f>IF(DI$4=0,0,IF(COUNTIFS(実績!$W$6:$W$505,DI$3,実績!$AC$6:$AC$505,"&lt;="&amp;$A236,実績!$AD$6:$AD$505,"&gt;"&amp;$A236,実績!$AE$6:$AE$505,"○")&gt;0,1,0))</f>
        <v/>
      </c>
      <c r="DJ236">
        <f>IF(DJ$4=0,0,IF(COUNTIFS(実績!$W$6:$W$505,DJ$3,実績!$AC$6:$AC$505,"&lt;="&amp;$A236,実績!$AD$6:$AD$505,"&gt;"&amp;$A236,実績!$AE$6:$AE$505,"○")&gt;0,1,0))</f>
        <v/>
      </c>
      <c r="DK236">
        <f>IF(DK$4=0,0,IF(COUNTIFS(実績!$W$6:$W$505,DK$3,実績!$AC$6:$AC$505,"&lt;="&amp;$A236,実績!$AD$6:$AD$505,"&gt;"&amp;$A236,実績!$AE$6:$AE$505,"○")&gt;0,1,0))</f>
        <v/>
      </c>
      <c r="DL236">
        <f>IF(DL$4=0,0,IF(COUNTIFS(実績!$W$6:$W$505,DL$3,実績!$AC$6:$AC$505,"&lt;="&amp;$A236,実績!$AD$6:$AD$505,"&gt;"&amp;$A236,実績!$AE$6:$AE$505,"○")&gt;0,1,0))</f>
        <v/>
      </c>
      <c r="DM236">
        <f>IF(DM$4=0,0,IF(COUNTIFS(実績!$W$6:$W$505,DM$3,実績!$AC$6:$AC$505,"&lt;="&amp;$A236,実績!$AD$6:$AD$505,"&gt;"&amp;$A236,実績!$AE$6:$AE$505,"○")&gt;0,1,0))</f>
        <v/>
      </c>
      <c r="DN236">
        <f>IF(DN$4=0,0,IF(COUNTIFS(実績!$W$6:$W$505,DN$3,実績!$AC$6:$AC$505,"&lt;="&amp;$A236,実績!$AD$6:$AD$505,"&gt;"&amp;$A236,実績!$AE$6:$AE$505,"○")&gt;0,1,0))</f>
        <v/>
      </c>
      <c r="DO236">
        <f>IF(DO$4=0,0,IF(COUNTIFS(実績!$W$6:$W$505,DO$3,実績!$AC$6:$AC$505,"&lt;="&amp;$A236,実績!$AD$6:$AD$505,"&gt;"&amp;$A236,実績!$AE$6:$AE$505,"○")&gt;0,1,0))</f>
        <v/>
      </c>
      <c r="DP236">
        <f>IF(DP$4=0,0,IF(COUNTIFS(実績!$W$6:$W$505,DP$3,実績!$AC$6:$AC$505,"&lt;="&amp;$A236,実績!$AD$6:$AD$505,"&gt;"&amp;$A236,実績!$AE$6:$AE$505,"○")&gt;0,1,0))</f>
        <v/>
      </c>
      <c r="DQ236">
        <f>IF(DQ$4=0,0,IF(COUNTIFS(実績!$W$6:$W$505,DQ$3,実績!$AC$6:$AC$505,"&lt;="&amp;$A236,実績!$AD$6:$AD$505,"&gt;"&amp;$A236,実績!$AE$6:$AE$505,"○")&gt;0,1,0))</f>
        <v/>
      </c>
      <c r="DR236">
        <f>IF(DR$4=0,0,IF(COUNTIFS(実績!$W$6:$W$505,DR$3,実績!$AC$6:$AC$505,"&lt;="&amp;$A236,実績!$AD$6:$AD$505,"&gt;"&amp;$A236,実績!$AE$6:$AE$505,"○")&gt;0,1,0))</f>
        <v/>
      </c>
      <c r="DS236">
        <f>SUM(C236:DR236)</f>
        <v/>
      </c>
      <c r="DT236">
        <f>SUMPRODUCT((実績!$C$6:$C$505="○")*ISNUMBER(実績!$AF$6:$AF$505)*(実績!$AF$6:$AF$505&lt;=$A236)*(実績!$AG$6:$AG$505&gt;$A236))</f>
        <v/>
      </c>
      <c r="DU236">
        <f>SUMIF($C$2:$DR$2,"製鉄曳船",C236:DR236)</f>
        <v/>
      </c>
      <c r="DV236">
        <f>SUMIF($C$2:$DR$2,"西日本海運",C236:DR236)</f>
        <v/>
      </c>
    </row>
    <row r="237">
      <c r="A237" t="n">
        <v>1155</v>
      </c>
      <c r="B237" s="29">
        <f>A237/1440</f>
        <v/>
      </c>
      <c r="C237">
        <f>IF(C$4=0,0,IF(COUNTIFS(実績!$W$6:$W$505,C$3,実績!$AC$6:$AC$505,"&lt;="&amp;$A237,実績!$AD$6:$AD$505,"&gt;"&amp;$A237,実績!$AE$6:$AE$505,"○")&gt;0,1,0))</f>
        <v/>
      </c>
      <c r="D237">
        <f>IF(D$4=0,0,IF(COUNTIFS(実績!$W$6:$W$505,D$3,実績!$AC$6:$AC$505,"&lt;="&amp;$A237,実績!$AD$6:$AD$505,"&gt;"&amp;$A237,実績!$AE$6:$AE$505,"○")&gt;0,1,0))</f>
        <v/>
      </c>
      <c r="E237">
        <f>IF(E$4=0,0,IF(COUNTIFS(実績!$W$6:$W$505,E$3,実績!$AC$6:$AC$505,"&lt;="&amp;$A237,実績!$AD$6:$AD$505,"&gt;"&amp;$A237,実績!$AE$6:$AE$505,"○")&gt;0,1,0))</f>
        <v/>
      </c>
      <c r="F237">
        <f>IF(F$4=0,0,IF(COUNTIFS(実績!$W$6:$W$505,F$3,実績!$AC$6:$AC$505,"&lt;="&amp;$A237,実績!$AD$6:$AD$505,"&gt;"&amp;$A237,実績!$AE$6:$AE$505,"○")&gt;0,1,0))</f>
        <v/>
      </c>
      <c r="G237">
        <f>IF(G$4=0,0,IF(COUNTIFS(実績!$W$6:$W$505,G$3,実績!$AC$6:$AC$505,"&lt;="&amp;$A237,実績!$AD$6:$AD$505,"&gt;"&amp;$A237,実績!$AE$6:$AE$505,"○")&gt;0,1,0))</f>
        <v/>
      </c>
      <c r="H237">
        <f>IF(H$4=0,0,IF(COUNTIFS(実績!$W$6:$W$505,H$3,実績!$AC$6:$AC$505,"&lt;="&amp;$A237,実績!$AD$6:$AD$505,"&gt;"&amp;$A237,実績!$AE$6:$AE$505,"○")&gt;0,1,0))</f>
        <v/>
      </c>
      <c r="I237">
        <f>IF(I$4=0,0,IF(COUNTIFS(実績!$W$6:$W$505,I$3,実績!$AC$6:$AC$505,"&lt;="&amp;$A237,実績!$AD$6:$AD$505,"&gt;"&amp;$A237,実績!$AE$6:$AE$505,"○")&gt;0,1,0))</f>
        <v/>
      </c>
      <c r="J237">
        <f>IF(J$4=0,0,IF(COUNTIFS(実績!$W$6:$W$505,J$3,実績!$AC$6:$AC$505,"&lt;="&amp;$A237,実績!$AD$6:$AD$505,"&gt;"&amp;$A237,実績!$AE$6:$AE$505,"○")&gt;0,1,0))</f>
        <v/>
      </c>
      <c r="K237">
        <f>IF(K$4=0,0,IF(COUNTIFS(実績!$W$6:$W$505,K$3,実績!$AC$6:$AC$505,"&lt;="&amp;$A237,実績!$AD$6:$AD$505,"&gt;"&amp;$A237,実績!$AE$6:$AE$505,"○")&gt;0,1,0))</f>
        <v/>
      </c>
      <c r="L237">
        <f>IF(L$4=0,0,IF(COUNTIFS(実績!$W$6:$W$505,L$3,実績!$AC$6:$AC$505,"&lt;="&amp;$A237,実績!$AD$6:$AD$505,"&gt;"&amp;$A237,実績!$AE$6:$AE$505,"○")&gt;0,1,0))</f>
        <v/>
      </c>
      <c r="M237">
        <f>IF(M$4=0,0,IF(COUNTIFS(実績!$W$6:$W$505,M$3,実績!$AC$6:$AC$505,"&lt;="&amp;$A237,実績!$AD$6:$AD$505,"&gt;"&amp;$A237,実績!$AE$6:$AE$505,"○")&gt;0,1,0))</f>
        <v/>
      </c>
      <c r="N237">
        <f>IF(N$4=0,0,IF(COUNTIFS(実績!$W$6:$W$505,N$3,実績!$AC$6:$AC$505,"&lt;="&amp;$A237,実績!$AD$6:$AD$505,"&gt;"&amp;$A237,実績!$AE$6:$AE$505,"○")&gt;0,1,0))</f>
        <v/>
      </c>
      <c r="O237">
        <f>IF(O$4=0,0,IF(COUNTIFS(実績!$W$6:$W$505,O$3,実績!$AC$6:$AC$505,"&lt;="&amp;$A237,実績!$AD$6:$AD$505,"&gt;"&amp;$A237,実績!$AE$6:$AE$505,"○")&gt;0,1,0))</f>
        <v/>
      </c>
      <c r="P237">
        <f>IF(P$4=0,0,IF(COUNTIFS(実績!$W$6:$W$505,P$3,実績!$AC$6:$AC$505,"&lt;="&amp;$A237,実績!$AD$6:$AD$505,"&gt;"&amp;$A237,実績!$AE$6:$AE$505,"○")&gt;0,1,0))</f>
        <v/>
      </c>
      <c r="Q237">
        <f>IF(Q$4=0,0,IF(COUNTIFS(実績!$W$6:$W$505,Q$3,実績!$AC$6:$AC$505,"&lt;="&amp;$A237,実績!$AD$6:$AD$505,"&gt;"&amp;$A237,実績!$AE$6:$AE$505,"○")&gt;0,1,0))</f>
        <v/>
      </c>
      <c r="R237">
        <f>IF(R$4=0,0,IF(COUNTIFS(実績!$W$6:$W$505,R$3,実績!$AC$6:$AC$505,"&lt;="&amp;$A237,実績!$AD$6:$AD$505,"&gt;"&amp;$A237,実績!$AE$6:$AE$505,"○")&gt;0,1,0))</f>
        <v/>
      </c>
      <c r="S237">
        <f>IF(S$4=0,0,IF(COUNTIFS(実績!$W$6:$W$505,S$3,実績!$AC$6:$AC$505,"&lt;="&amp;$A237,実績!$AD$6:$AD$505,"&gt;"&amp;$A237,実績!$AE$6:$AE$505,"○")&gt;0,1,0))</f>
        <v/>
      </c>
      <c r="T237">
        <f>IF(T$4=0,0,IF(COUNTIFS(実績!$W$6:$W$505,T$3,実績!$AC$6:$AC$505,"&lt;="&amp;$A237,実績!$AD$6:$AD$505,"&gt;"&amp;$A237,実績!$AE$6:$AE$505,"○")&gt;0,1,0))</f>
        <v/>
      </c>
      <c r="U237">
        <f>IF(U$4=0,0,IF(COUNTIFS(実績!$W$6:$W$505,U$3,実績!$AC$6:$AC$505,"&lt;="&amp;$A237,実績!$AD$6:$AD$505,"&gt;"&amp;$A237,実績!$AE$6:$AE$505,"○")&gt;0,1,0))</f>
        <v/>
      </c>
      <c r="V237">
        <f>IF(V$4=0,0,IF(COUNTIFS(実績!$W$6:$W$505,V$3,実績!$AC$6:$AC$505,"&lt;="&amp;$A237,実績!$AD$6:$AD$505,"&gt;"&amp;$A237,実績!$AE$6:$AE$505,"○")&gt;0,1,0))</f>
        <v/>
      </c>
      <c r="W237">
        <f>IF(W$4=0,0,IF(COUNTIFS(実績!$W$6:$W$505,W$3,実績!$AC$6:$AC$505,"&lt;="&amp;$A237,実績!$AD$6:$AD$505,"&gt;"&amp;$A237,実績!$AE$6:$AE$505,"○")&gt;0,1,0))</f>
        <v/>
      </c>
      <c r="X237">
        <f>IF(X$4=0,0,IF(COUNTIFS(実績!$W$6:$W$505,X$3,実績!$AC$6:$AC$505,"&lt;="&amp;$A237,実績!$AD$6:$AD$505,"&gt;"&amp;$A237,実績!$AE$6:$AE$505,"○")&gt;0,1,0))</f>
        <v/>
      </c>
      <c r="Y237">
        <f>IF(Y$4=0,0,IF(COUNTIFS(実績!$W$6:$W$505,Y$3,実績!$AC$6:$AC$505,"&lt;="&amp;$A237,実績!$AD$6:$AD$505,"&gt;"&amp;$A237,実績!$AE$6:$AE$505,"○")&gt;0,1,0))</f>
        <v/>
      </c>
      <c r="Z237">
        <f>IF(Z$4=0,0,IF(COUNTIFS(実績!$W$6:$W$505,Z$3,実績!$AC$6:$AC$505,"&lt;="&amp;$A237,実績!$AD$6:$AD$505,"&gt;"&amp;$A237,実績!$AE$6:$AE$505,"○")&gt;0,1,0))</f>
        <v/>
      </c>
      <c r="AA237">
        <f>IF(AA$4=0,0,IF(COUNTIFS(実績!$W$6:$W$505,AA$3,実績!$AC$6:$AC$505,"&lt;="&amp;$A237,実績!$AD$6:$AD$505,"&gt;"&amp;$A237,実績!$AE$6:$AE$505,"○")&gt;0,1,0))</f>
        <v/>
      </c>
      <c r="AB237">
        <f>IF(AB$4=0,0,IF(COUNTIFS(実績!$W$6:$W$505,AB$3,実績!$AC$6:$AC$505,"&lt;="&amp;$A237,実績!$AD$6:$AD$505,"&gt;"&amp;$A237,実績!$AE$6:$AE$505,"○")&gt;0,1,0))</f>
        <v/>
      </c>
      <c r="AC237">
        <f>IF(AC$4=0,0,IF(COUNTIFS(実績!$W$6:$W$505,AC$3,実績!$AC$6:$AC$505,"&lt;="&amp;$A237,実績!$AD$6:$AD$505,"&gt;"&amp;$A237,実績!$AE$6:$AE$505,"○")&gt;0,1,0))</f>
        <v/>
      </c>
      <c r="AD237">
        <f>IF(AD$4=0,0,IF(COUNTIFS(実績!$W$6:$W$505,AD$3,実績!$AC$6:$AC$505,"&lt;="&amp;$A237,実績!$AD$6:$AD$505,"&gt;"&amp;$A237,実績!$AE$6:$AE$505,"○")&gt;0,1,0))</f>
        <v/>
      </c>
      <c r="AE237">
        <f>IF(AE$4=0,0,IF(COUNTIFS(実績!$W$6:$W$505,AE$3,実績!$AC$6:$AC$505,"&lt;="&amp;$A237,実績!$AD$6:$AD$505,"&gt;"&amp;$A237,実績!$AE$6:$AE$505,"○")&gt;0,1,0))</f>
        <v/>
      </c>
      <c r="AF237">
        <f>IF(AF$4=0,0,IF(COUNTIFS(実績!$W$6:$W$505,AF$3,実績!$AC$6:$AC$505,"&lt;="&amp;$A237,実績!$AD$6:$AD$505,"&gt;"&amp;$A237,実績!$AE$6:$AE$505,"○")&gt;0,1,0))</f>
        <v/>
      </c>
      <c r="AG237">
        <f>IF(AG$4=0,0,IF(COUNTIFS(実績!$W$6:$W$505,AG$3,実績!$AC$6:$AC$505,"&lt;="&amp;$A237,実績!$AD$6:$AD$505,"&gt;"&amp;$A237,実績!$AE$6:$AE$505,"○")&gt;0,1,0))</f>
        <v/>
      </c>
      <c r="AH237">
        <f>IF(AH$4=0,0,IF(COUNTIFS(実績!$W$6:$W$505,AH$3,実績!$AC$6:$AC$505,"&lt;="&amp;$A237,実績!$AD$6:$AD$505,"&gt;"&amp;$A237,実績!$AE$6:$AE$505,"○")&gt;0,1,0))</f>
        <v/>
      </c>
      <c r="AI237">
        <f>IF(AI$4=0,0,IF(COUNTIFS(実績!$W$6:$W$505,AI$3,実績!$AC$6:$AC$505,"&lt;="&amp;$A237,実績!$AD$6:$AD$505,"&gt;"&amp;$A237,実績!$AE$6:$AE$505,"○")&gt;0,1,0))</f>
        <v/>
      </c>
      <c r="AJ237">
        <f>IF(AJ$4=0,0,IF(COUNTIFS(実績!$W$6:$W$505,AJ$3,実績!$AC$6:$AC$505,"&lt;="&amp;$A237,実績!$AD$6:$AD$505,"&gt;"&amp;$A237,実績!$AE$6:$AE$505,"○")&gt;0,1,0))</f>
        <v/>
      </c>
      <c r="AK237">
        <f>IF(AK$4=0,0,IF(COUNTIFS(実績!$W$6:$W$505,AK$3,実績!$AC$6:$AC$505,"&lt;="&amp;$A237,実績!$AD$6:$AD$505,"&gt;"&amp;$A237,実績!$AE$6:$AE$505,"○")&gt;0,1,0))</f>
        <v/>
      </c>
      <c r="AL237">
        <f>IF(AL$4=0,0,IF(COUNTIFS(実績!$W$6:$W$505,AL$3,実績!$AC$6:$AC$505,"&lt;="&amp;$A237,実績!$AD$6:$AD$505,"&gt;"&amp;$A237,実績!$AE$6:$AE$505,"○")&gt;0,1,0))</f>
        <v/>
      </c>
      <c r="AM237">
        <f>IF(AM$4=0,0,IF(COUNTIFS(実績!$W$6:$W$505,AM$3,実績!$AC$6:$AC$505,"&lt;="&amp;$A237,実績!$AD$6:$AD$505,"&gt;"&amp;$A237,実績!$AE$6:$AE$505,"○")&gt;0,1,0))</f>
        <v/>
      </c>
      <c r="AN237">
        <f>IF(AN$4=0,0,IF(COUNTIFS(実績!$W$6:$W$505,AN$3,実績!$AC$6:$AC$505,"&lt;="&amp;$A237,実績!$AD$6:$AD$505,"&gt;"&amp;$A237,実績!$AE$6:$AE$505,"○")&gt;0,1,0))</f>
        <v/>
      </c>
      <c r="AO237">
        <f>IF(AO$4=0,0,IF(COUNTIFS(実績!$W$6:$W$505,AO$3,実績!$AC$6:$AC$505,"&lt;="&amp;$A237,実績!$AD$6:$AD$505,"&gt;"&amp;$A237,実績!$AE$6:$AE$505,"○")&gt;0,1,0))</f>
        <v/>
      </c>
      <c r="AP237">
        <f>IF(AP$4=0,0,IF(COUNTIFS(実績!$W$6:$W$505,AP$3,実績!$AC$6:$AC$505,"&lt;="&amp;$A237,実績!$AD$6:$AD$505,"&gt;"&amp;$A237,実績!$AE$6:$AE$505,"○")&gt;0,1,0))</f>
        <v/>
      </c>
      <c r="AQ237">
        <f>IF(AQ$4=0,0,IF(COUNTIFS(実績!$W$6:$W$505,AQ$3,実績!$AC$6:$AC$505,"&lt;="&amp;$A237,実績!$AD$6:$AD$505,"&gt;"&amp;$A237,実績!$AE$6:$AE$505,"○")&gt;0,1,0))</f>
        <v/>
      </c>
      <c r="AR237">
        <f>IF(AR$4=0,0,IF(COUNTIFS(実績!$W$6:$W$505,AR$3,実績!$AC$6:$AC$505,"&lt;="&amp;$A237,実績!$AD$6:$AD$505,"&gt;"&amp;$A237,実績!$AE$6:$AE$505,"○")&gt;0,1,0))</f>
        <v/>
      </c>
      <c r="AS237">
        <f>IF(AS$4=0,0,IF(COUNTIFS(実績!$W$6:$W$505,AS$3,実績!$AC$6:$AC$505,"&lt;="&amp;$A237,実績!$AD$6:$AD$505,"&gt;"&amp;$A237,実績!$AE$6:$AE$505,"○")&gt;0,1,0))</f>
        <v/>
      </c>
      <c r="AT237">
        <f>IF(AT$4=0,0,IF(COUNTIFS(実績!$W$6:$W$505,AT$3,実績!$AC$6:$AC$505,"&lt;="&amp;$A237,実績!$AD$6:$AD$505,"&gt;"&amp;$A237,実績!$AE$6:$AE$505,"○")&gt;0,1,0))</f>
        <v/>
      </c>
      <c r="AU237">
        <f>IF(AU$4=0,0,IF(COUNTIFS(実績!$W$6:$W$505,AU$3,実績!$AC$6:$AC$505,"&lt;="&amp;$A237,実績!$AD$6:$AD$505,"&gt;"&amp;$A237,実績!$AE$6:$AE$505,"○")&gt;0,1,0))</f>
        <v/>
      </c>
      <c r="AV237">
        <f>IF(AV$4=0,0,IF(COUNTIFS(実績!$W$6:$W$505,AV$3,実績!$AC$6:$AC$505,"&lt;="&amp;$A237,実績!$AD$6:$AD$505,"&gt;"&amp;$A237,実績!$AE$6:$AE$505,"○")&gt;0,1,0))</f>
        <v/>
      </c>
      <c r="AW237">
        <f>IF(AW$4=0,0,IF(COUNTIFS(実績!$W$6:$W$505,AW$3,実績!$AC$6:$AC$505,"&lt;="&amp;$A237,実績!$AD$6:$AD$505,"&gt;"&amp;$A237,実績!$AE$6:$AE$505,"○")&gt;0,1,0))</f>
        <v/>
      </c>
      <c r="AX237">
        <f>IF(AX$4=0,0,IF(COUNTIFS(実績!$W$6:$W$505,AX$3,実績!$AC$6:$AC$505,"&lt;="&amp;$A237,実績!$AD$6:$AD$505,"&gt;"&amp;$A237,実績!$AE$6:$AE$505,"○")&gt;0,1,0))</f>
        <v/>
      </c>
      <c r="AY237">
        <f>IF(AY$4=0,0,IF(COUNTIFS(実績!$W$6:$W$505,AY$3,実績!$AC$6:$AC$505,"&lt;="&amp;$A237,実績!$AD$6:$AD$505,"&gt;"&amp;$A237,実績!$AE$6:$AE$505,"○")&gt;0,1,0))</f>
        <v/>
      </c>
      <c r="AZ237">
        <f>IF(AZ$4=0,0,IF(COUNTIFS(実績!$W$6:$W$505,AZ$3,実績!$AC$6:$AC$505,"&lt;="&amp;$A237,実績!$AD$6:$AD$505,"&gt;"&amp;$A237,実績!$AE$6:$AE$505,"○")&gt;0,1,0))</f>
        <v/>
      </c>
      <c r="BA237">
        <f>IF(BA$4=0,0,IF(COUNTIFS(実績!$W$6:$W$505,BA$3,実績!$AC$6:$AC$505,"&lt;="&amp;$A237,実績!$AD$6:$AD$505,"&gt;"&amp;$A237,実績!$AE$6:$AE$505,"○")&gt;0,1,0))</f>
        <v/>
      </c>
      <c r="BB237">
        <f>IF(BB$4=0,0,IF(COUNTIFS(実績!$W$6:$W$505,BB$3,実績!$AC$6:$AC$505,"&lt;="&amp;$A237,実績!$AD$6:$AD$505,"&gt;"&amp;$A237,実績!$AE$6:$AE$505,"○")&gt;0,1,0))</f>
        <v/>
      </c>
      <c r="BC237">
        <f>IF(BC$4=0,0,IF(COUNTIFS(実績!$W$6:$W$505,BC$3,実績!$AC$6:$AC$505,"&lt;="&amp;$A237,実績!$AD$6:$AD$505,"&gt;"&amp;$A237,実績!$AE$6:$AE$505,"○")&gt;0,1,0))</f>
        <v/>
      </c>
      <c r="BD237">
        <f>IF(BD$4=0,0,IF(COUNTIFS(実績!$W$6:$W$505,BD$3,実績!$AC$6:$AC$505,"&lt;="&amp;$A237,実績!$AD$6:$AD$505,"&gt;"&amp;$A237,実績!$AE$6:$AE$505,"○")&gt;0,1,0))</f>
        <v/>
      </c>
      <c r="BE237">
        <f>IF(BE$4=0,0,IF(COUNTIFS(実績!$W$6:$W$505,BE$3,実績!$AC$6:$AC$505,"&lt;="&amp;$A237,実績!$AD$6:$AD$505,"&gt;"&amp;$A237,実績!$AE$6:$AE$505,"○")&gt;0,1,0))</f>
        <v/>
      </c>
      <c r="BF237">
        <f>IF(BF$4=0,0,IF(COUNTIFS(実績!$W$6:$W$505,BF$3,実績!$AC$6:$AC$505,"&lt;="&amp;$A237,実績!$AD$6:$AD$505,"&gt;"&amp;$A237,実績!$AE$6:$AE$505,"○")&gt;0,1,0))</f>
        <v/>
      </c>
      <c r="BG237">
        <f>IF(BG$4=0,0,IF(COUNTIFS(実績!$W$6:$W$505,BG$3,実績!$AC$6:$AC$505,"&lt;="&amp;$A237,実績!$AD$6:$AD$505,"&gt;"&amp;$A237,実績!$AE$6:$AE$505,"○")&gt;0,1,0))</f>
        <v/>
      </c>
      <c r="BH237">
        <f>IF(BH$4=0,0,IF(COUNTIFS(実績!$W$6:$W$505,BH$3,実績!$AC$6:$AC$505,"&lt;="&amp;$A237,実績!$AD$6:$AD$505,"&gt;"&amp;$A237,実績!$AE$6:$AE$505,"○")&gt;0,1,0))</f>
        <v/>
      </c>
      <c r="BI237">
        <f>IF(BI$4=0,0,IF(COUNTIFS(実績!$W$6:$W$505,BI$3,実績!$AC$6:$AC$505,"&lt;="&amp;$A237,実績!$AD$6:$AD$505,"&gt;"&amp;$A237,実績!$AE$6:$AE$505,"○")&gt;0,1,0))</f>
        <v/>
      </c>
      <c r="BJ237">
        <f>IF(BJ$4=0,0,IF(COUNTIFS(実績!$W$6:$W$505,BJ$3,実績!$AC$6:$AC$505,"&lt;="&amp;$A237,実績!$AD$6:$AD$505,"&gt;"&amp;$A237,実績!$AE$6:$AE$505,"○")&gt;0,1,0))</f>
        <v/>
      </c>
      <c r="BK237">
        <f>IF(BK$4=0,0,IF(COUNTIFS(実績!$W$6:$W$505,BK$3,実績!$AC$6:$AC$505,"&lt;="&amp;$A237,実績!$AD$6:$AD$505,"&gt;"&amp;$A237,実績!$AE$6:$AE$505,"○")&gt;0,1,0))</f>
        <v/>
      </c>
      <c r="BL237">
        <f>IF(BL$4=0,0,IF(COUNTIFS(実績!$W$6:$W$505,BL$3,実績!$AC$6:$AC$505,"&lt;="&amp;$A237,実績!$AD$6:$AD$505,"&gt;"&amp;$A237,実績!$AE$6:$AE$505,"○")&gt;0,1,0))</f>
        <v/>
      </c>
      <c r="BM237">
        <f>IF(BM$4=0,0,IF(COUNTIFS(実績!$W$6:$W$505,BM$3,実績!$AC$6:$AC$505,"&lt;="&amp;$A237,実績!$AD$6:$AD$505,"&gt;"&amp;$A237,実績!$AE$6:$AE$505,"○")&gt;0,1,0))</f>
        <v/>
      </c>
      <c r="BN237">
        <f>IF(BN$4=0,0,IF(COUNTIFS(実績!$W$6:$W$505,BN$3,実績!$AC$6:$AC$505,"&lt;="&amp;$A237,実績!$AD$6:$AD$505,"&gt;"&amp;$A237,実績!$AE$6:$AE$505,"○")&gt;0,1,0))</f>
        <v/>
      </c>
      <c r="BO237">
        <f>IF(BO$4=0,0,IF(COUNTIFS(実績!$W$6:$W$505,BO$3,実績!$AC$6:$AC$505,"&lt;="&amp;$A237,実績!$AD$6:$AD$505,"&gt;"&amp;$A237,実績!$AE$6:$AE$505,"○")&gt;0,1,0))</f>
        <v/>
      </c>
      <c r="BP237">
        <f>IF(BP$4=0,0,IF(COUNTIFS(実績!$W$6:$W$505,BP$3,実績!$AC$6:$AC$505,"&lt;="&amp;$A237,実績!$AD$6:$AD$505,"&gt;"&amp;$A237,実績!$AE$6:$AE$505,"○")&gt;0,1,0))</f>
        <v/>
      </c>
      <c r="BQ237">
        <f>IF(BQ$4=0,0,IF(COUNTIFS(実績!$W$6:$W$505,BQ$3,実績!$AC$6:$AC$505,"&lt;="&amp;$A237,実績!$AD$6:$AD$505,"&gt;"&amp;$A237,実績!$AE$6:$AE$505,"○")&gt;0,1,0))</f>
        <v/>
      </c>
      <c r="BR237">
        <f>IF(BR$4=0,0,IF(COUNTIFS(実績!$W$6:$W$505,BR$3,実績!$AC$6:$AC$505,"&lt;="&amp;$A237,実績!$AD$6:$AD$505,"&gt;"&amp;$A237,実績!$AE$6:$AE$505,"○")&gt;0,1,0))</f>
        <v/>
      </c>
      <c r="BS237">
        <f>IF(BS$4=0,0,IF(COUNTIFS(実績!$W$6:$W$505,BS$3,実績!$AC$6:$AC$505,"&lt;="&amp;$A237,実績!$AD$6:$AD$505,"&gt;"&amp;$A237,実績!$AE$6:$AE$505,"○")&gt;0,1,0))</f>
        <v/>
      </c>
      <c r="BT237">
        <f>IF(BT$4=0,0,IF(COUNTIFS(実績!$W$6:$W$505,BT$3,実績!$AC$6:$AC$505,"&lt;="&amp;$A237,実績!$AD$6:$AD$505,"&gt;"&amp;$A237,実績!$AE$6:$AE$505,"○")&gt;0,1,0))</f>
        <v/>
      </c>
      <c r="BU237">
        <f>IF(BU$4=0,0,IF(COUNTIFS(実績!$W$6:$W$505,BU$3,実績!$AC$6:$AC$505,"&lt;="&amp;$A237,実績!$AD$6:$AD$505,"&gt;"&amp;$A237,実績!$AE$6:$AE$505,"○")&gt;0,1,0))</f>
        <v/>
      </c>
      <c r="BV237">
        <f>IF(BV$4=0,0,IF(COUNTIFS(実績!$W$6:$W$505,BV$3,実績!$AC$6:$AC$505,"&lt;="&amp;$A237,実績!$AD$6:$AD$505,"&gt;"&amp;$A237,実績!$AE$6:$AE$505,"○")&gt;0,1,0))</f>
        <v/>
      </c>
      <c r="BW237">
        <f>IF(BW$4=0,0,IF(COUNTIFS(実績!$W$6:$W$505,BW$3,実績!$AC$6:$AC$505,"&lt;="&amp;$A237,実績!$AD$6:$AD$505,"&gt;"&amp;$A237,実績!$AE$6:$AE$505,"○")&gt;0,1,0))</f>
        <v/>
      </c>
      <c r="BX237">
        <f>IF(BX$4=0,0,IF(COUNTIFS(実績!$W$6:$W$505,BX$3,実績!$AC$6:$AC$505,"&lt;="&amp;$A237,実績!$AD$6:$AD$505,"&gt;"&amp;$A237,実績!$AE$6:$AE$505,"○")&gt;0,1,0))</f>
        <v/>
      </c>
      <c r="BY237">
        <f>IF(BY$4=0,0,IF(COUNTIFS(実績!$W$6:$W$505,BY$3,実績!$AC$6:$AC$505,"&lt;="&amp;$A237,実績!$AD$6:$AD$505,"&gt;"&amp;$A237,実績!$AE$6:$AE$505,"○")&gt;0,1,0))</f>
        <v/>
      </c>
      <c r="BZ237">
        <f>IF(BZ$4=0,0,IF(COUNTIFS(実績!$W$6:$W$505,BZ$3,実績!$AC$6:$AC$505,"&lt;="&amp;$A237,実績!$AD$6:$AD$505,"&gt;"&amp;$A237,実績!$AE$6:$AE$505,"○")&gt;0,1,0))</f>
        <v/>
      </c>
      <c r="CA237">
        <f>IF(CA$4=0,0,IF(COUNTIFS(実績!$W$6:$W$505,CA$3,実績!$AC$6:$AC$505,"&lt;="&amp;$A237,実績!$AD$6:$AD$505,"&gt;"&amp;$A237,実績!$AE$6:$AE$505,"○")&gt;0,1,0))</f>
        <v/>
      </c>
      <c r="CB237">
        <f>IF(CB$4=0,0,IF(COUNTIFS(実績!$W$6:$W$505,CB$3,実績!$AC$6:$AC$505,"&lt;="&amp;$A237,実績!$AD$6:$AD$505,"&gt;"&amp;$A237,実績!$AE$6:$AE$505,"○")&gt;0,1,0))</f>
        <v/>
      </c>
      <c r="CC237">
        <f>IF(CC$4=0,0,IF(COUNTIFS(実績!$W$6:$W$505,CC$3,実績!$AC$6:$AC$505,"&lt;="&amp;$A237,実績!$AD$6:$AD$505,"&gt;"&amp;$A237,実績!$AE$6:$AE$505,"○")&gt;0,1,0))</f>
        <v/>
      </c>
      <c r="CD237">
        <f>IF(CD$4=0,0,IF(COUNTIFS(実績!$W$6:$W$505,CD$3,実績!$AC$6:$AC$505,"&lt;="&amp;$A237,実績!$AD$6:$AD$505,"&gt;"&amp;$A237,実績!$AE$6:$AE$505,"○")&gt;0,1,0))</f>
        <v/>
      </c>
      <c r="CE237">
        <f>IF(CE$4=0,0,IF(COUNTIFS(実績!$W$6:$W$505,CE$3,実績!$AC$6:$AC$505,"&lt;="&amp;$A237,実績!$AD$6:$AD$505,"&gt;"&amp;$A237,実績!$AE$6:$AE$505,"○")&gt;0,1,0))</f>
        <v/>
      </c>
      <c r="CF237">
        <f>IF(CF$4=0,0,IF(COUNTIFS(実績!$W$6:$W$505,CF$3,実績!$AC$6:$AC$505,"&lt;="&amp;$A237,実績!$AD$6:$AD$505,"&gt;"&amp;$A237,実績!$AE$6:$AE$505,"○")&gt;0,1,0))</f>
        <v/>
      </c>
      <c r="CG237">
        <f>IF(CG$4=0,0,IF(COUNTIFS(実績!$W$6:$W$505,CG$3,実績!$AC$6:$AC$505,"&lt;="&amp;$A237,実績!$AD$6:$AD$505,"&gt;"&amp;$A237,実績!$AE$6:$AE$505,"○")&gt;0,1,0))</f>
        <v/>
      </c>
      <c r="CH237">
        <f>IF(CH$4=0,0,IF(COUNTIFS(実績!$W$6:$W$505,CH$3,実績!$AC$6:$AC$505,"&lt;="&amp;$A237,実績!$AD$6:$AD$505,"&gt;"&amp;$A237,実績!$AE$6:$AE$505,"○")&gt;0,1,0))</f>
        <v/>
      </c>
      <c r="CI237">
        <f>IF(CI$4=0,0,IF(COUNTIFS(実績!$W$6:$W$505,CI$3,実績!$AC$6:$AC$505,"&lt;="&amp;$A237,実績!$AD$6:$AD$505,"&gt;"&amp;$A237,実績!$AE$6:$AE$505,"○")&gt;0,1,0))</f>
        <v/>
      </c>
      <c r="CJ237">
        <f>IF(CJ$4=0,0,IF(COUNTIFS(実績!$W$6:$W$505,CJ$3,実績!$AC$6:$AC$505,"&lt;="&amp;$A237,実績!$AD$6:$AD$505,"&gt;"&amp;$A237,実績!$AE$6:$AE$505,"○")&gt;0,1,0))</f>
        <v/>
      </c>
      <c r="CK237">
        <f>IF(CK$4=0,0,IF(COUNTIFS(実績!$W$6:$W$505,CK$3,実績!$AC$6:$AC$505,"&lt;="&amp;$A237,実績!$AD$6:$AD$505,"&gt;"&amp;$A237,実績!$AE$6:$AE$505,"○")&gt;0,1,0))</f>
        <v/>
      </c>
      <c r="CL237">
        <f>IF(CL$4=0,0,IF(COUNTIFS(実績!$W$6:$W$505,CL$3,実績!$AC$6:$AC$505,"&lt;="&amp;$A237,実績!$AD$6:$AD$505,"&gt;"&amp;$A237,実績!$AE$6:$AE$505,"○")&gt;0,1,0))</f>
        <v/>
      </c>
      <c r="CM237">
        <f>IF(CM$4=0,0,IF(COUNTIFS(実績!$W$6:$W$505,CM$3,実績!$AC$6:$AC$505,"&lt;="&amp;$A237,実績!$AD$6:$AD$505,"&gt;"&amp;$A237,実績!$AE$6:$AE$505,"○")&gt;0,1,0))</f>
        <v/>
      </c>
      <c r="CN237">
        <f>IF(CN$4=0,0,IF(COUNTIFS(実績!$W$6:$W$505,CN$3,実績!$AC$6:$AC$505,"&lt;="&amp;$A237,実績!$AD$6:$AD$505,"&gt;"&amp;$A237,実績!$AE$6:$AE$505,"○")&gt;0,1,0))</f>
        <v/>
      </c>
      <c r="CO237">
        <f>IF(CO$4=0,0,IF(COUNTIFS(実績!$W$6:$W$505,CO$3,実績!$AC$6:$AC$505,"&lt;="&amp;$A237,実績!$AD$6:$AD$505,"&gt;"&amp;$A237,実績!$AE$6:$AE$505,"○")&gt;0,1,0))</f>
        <v/>
      </c>
      <c r="CP237">
        <f>IF(CP$4=0,0,IF(COUNTIFS(実績!$W$6:$W$505,CP$3,実績!$AC$6:$AC$505,"&lt;="&amp;$A237,実績!$AD$6:$AD$505,"&gt;"&amp;$A237,実績!$AE$6:$AE$505,"○")&gt;0,1,0))</f>
        <v/>
      </c>
      <c r="CQ237">
        <f>IF(CQ$4=0,0,IF(COUNTIFS(実績!$W$6:$W$505,CQ$3,実績!$AC$6:$AC$505,"&lt;="&amp;$A237,実績!$AD$6:$AD$505,"&gt;"&amp;$A237,実績!$AE$6:$AE$505,"○")&gt;0,1,0))</f>
        <v/>
      </c>
      <c r="CR237">
        <f>IF(CR$4=0,0,IF(COUNTIFS(実績!$W$6:$W$505,CR$3,実績!$AC$6:$AC$505,"&lt;="&amp;$A237,実績!$AD$6:$AD$505,"&gt;"&amp;$A237,実績!$AE$6:$AE$505,"○")&gt;0,1,0))</f>
        <v/>
      </c>
      <c r="CS237">
        <f>IF(CS$4=0,0,IF(COUNTIFS(実績!$W$6:$W$505,CS$3,実績!$AC$6:$AC$505,"&lt;="&amp;$A237,実績!$AD$6:$AD$505,"&gt;"&amp;$A237,実績!$AE$6:$AE$505,"○")&gt;0,1,0))</f>
        <v/>
      </c>
      <c r="CT237">
        <f>IF(CT$4=0,0,IF(COUNTIFS(実績!$W$6:$W$505,CT$3,実績!$AC$6:$AC$505,"&lt;="&amp;$A237,実績!$AD$6:$AD$505,"&gt;"&amp;$A237,実績!$AE$6:$AE$505,"○")&gt;0,1,0))</f>
        <v/>
      </c>
      <c r="CU237">
        <f>IF(CU$4=0,0,IF(COUNTIFS(実績!$W$6:$W$505,CU$3,実績!$AC$6:$AC$505,"&lt;="&amp;$A237,実績!$AD$6:$AD$505,"&gt;"&amp;$A237,実績!$AE$6:$AE$505,"○")&gt;0,1,0))</f>
        <v/>
      </c>
      <c r="CV237">
        <f>IF(CV$4=0,0,IF(COUNTIFS(実績!$W$6:$W$505,CV$3,実績!$AC$6:$AC$505,"&lt;="&amp;$A237,実績!$AD$6:$AD$505,"&gt;"&amp;$A237,実績!$AE$6:$AE$505,"○")&gt;0,1,0))</f>
        <v/>
      </c>
      <c r="CW237">
        <f>IF(CW$4=0,0,IF(COUNTIFS(実績!$W$6:$W$505,CW$3,実績!$AC$6:$AC$505,"&lt;="&amp;$A237,実績!$AD$6:$AD$505,"&gt;"&amp;$A237,実績!$AE$6:$AE$505,"○")&gt;0,1,0))</f>
        <v/>
      </c>
      <c r="CX237">
        <f>IF(CX$4=0,0,IF(COUNTIFS(実績!$W$6:$W$505,CX$3,実績!$AC$6:$AC$505,"&lt;="&amp;$A237,実績!$AD$6:$AD$505,"&gt;"&amp;$A237,実績!$AE$6:$AE$505,"○")&gt;0,1,0))</f>
        <v/>
      </c>
      <c r="CY237">
        <f>IF(CY$4=0,0,IF(COUNTIFS(実績!$W$6:$W$505,CY$3,実績!$AC$6:$AC$505,"&lt;="&amp;$A237,実績!$AD$6:$AD$505,"&gt;"&amp;$A237,実績!$AE$6:$AE$505,"○")&gt;0,1,0))</f>
        <v/>
      </c>
      <c r="CZ237">
        <f>IF(CZ$4=0,0,IF(COUNTIFS(実績!$W$6:$W$505,CZ$3,実績!$AC$6:$AC$505,"&lt;="&amp;$A237,実績!$AD$6:$AD$505,"&gt;"&amp;$A237,実績!$AE$6:$AE$505,"○")&gt;0,1,0))</f>
        <v/>
      </c>
      <c r="DA237">
        <f>IF(DA$4=0,0,IF(COUNTIFS(実績!$W$6:$W$505,DA$3,実績!$AC$6:$AC$505,"&lt;="&amp;$A237,実績!$AD$6:$AD$505,"&gt;"&amp;$A237,実績!$AE$6:$AE$505,"○")&gt;0,1,0))</f>
        <v/>
      </c>
      <c r="DB237">
        <f>IF(DB$4=0,0,IF(COUNTIFS(実績!$W$6:$W$505,DB$3,実績!$AC$6:$AC$505,"&lt;="&amp;$A237,実績!$AD$6:$AD$505,"&gt;"&amp;$A237,実績!$AE$6:$AE$505,"○")&gt;0,1,0))</f>
        <v/>
      </c>
      <c r="DC237">
        <f>IF(DC$4=0,0,IF(COUNTIFS(実績!$W$6:$W$505,DC$3,実績!$AC$6:$AC$505,"&lt;="&amp;$A237,実績!$AD$6:$AD$505,"&gt;"&amp;$A237,実績!$AE$6:$AE$505,"○")&gt;0,1,0))</f>
        <v/>
      </c>
      <c r="DD237">
        <f>IF(DD$4=0,0,IF(COUNTIFS(実績!$W$6:$W$505,DD$3,実績!$AC$6:$AC$505,"&lt;="&amp;$A237,実績!$AD$6:$AD$505,"&gt;"&amp;$A237,実績!$AE$6:$AE$505,"○")&gt;0,1,0))</f>
        <v/>
      </c>
      <c r="DE237">
        <f>IF(DE$4=0,0,IF(COUNTIFS(実績!$W$6:$W$505,DE$3,実績!$AC$6:$AC$505,"&lt;="&amp;$A237,実績!$AD$6:$AD$505,"&gt;"&amp;$A237,実績!$AE$6:$AE$505,"○")&gt;0,1,0))</f>
        <v/>
      </c>
      <c r="DF237">
        <f>IF(DF$4=0,0,IF(COUNTIFS(実績!$W$6:$W$505,DF$3,実績!$AC$6:$AC$505,"&lt;="&amp;$A237,実績!$AD$6:$AD$505,"&gt;"&amp;$A237,実績!$AE$6:$AE$505,"○")&gt;0,1,0))</f>
        <v/>
      </c>
      <c r="DG237">
        <f>IF(DG$4=0,0,IF(COUNTIFS(実績!$W$6:$W$505,DG$3,実績!$AC$6:$AC$505,"&lt;="&amp;$A237,実績!$AD$6:$AD$505,"&gt;"&amp;$A237,実績!$AE$6:$AE$505,"○")&gt;0,1,0))</f>
        <v/>
      </c>
      <c r="DH237">
        <f>IF(DH$4=0,0,IF(COUNTIFS(実績!$W$6:$W$505,DH$3,実績!$AC$6:$AC$505,"&lt;="&amp;$A237,実績!$AD$6:$AD$505,"&gt;"&amp;$A237,実績!$AE$6:$AE$505,"○")&gt;0,1,0))</f>
        <v/>
      </c>
      <c r="DI237">
        <f>IF(DI$4=0,0,IF(COUNTIFS(実績!$W$6:$W$505,DI$3,実績!$AC$6:$AC$505,"&lt;="&amp;$A237,実績!$AD$6:$AD$505,"&gt;"&amp;$A237,実績!$AE$6:$AE$505,"○")&gt;0,1,0))</f>
        <v/>
      </c>
      <c r="DJ237">
        <f>IF(DJ$4=0,0,IF(COUNTIFS(実績!$W$6:$W$505,DJ$3,実績!$AC$6:$AC$505,"&lt;="&amp;$A237,実績!$AD$6:$AD$505,"&gt;"&amp;$A237,実績!$AE$6:$AE$505,"○")&gt;0,1,0))</f>
        <v/>
      </c>
      <c r="DK237">
        <f>IF(DK$4=0,0,IF(COUNTIFS(実績!$W$6:$W$505,DK$3,実績!$AC$6:$AC$505,"&lt;="&amp;$A237,実績!$AD$6:$AD$505,"&gt;"&amp;$A237,実績!$AE$6:$AE$505,"○")&gt;0,1,0))</f>
        <v/>
      </c>
      <c r="DL237">
        <f>IF(DL$4=0,0,IF(COUNTIFS(実績!$W$6:$W$505,DL$3,実績!$AC$6:$AC$505,"&lt;="&amp;$A237,実績!$AD$6:$AD$505,"&gt;"&amp;$A237,実績!$AE$6:$AE$505,"○")&gt;0,1,0))</f>
        <v/>
      </c>
      <c r="DM237">
        <f>IF(DM$4=0,0,IF(COUNTIFS(実績!$W$6:$W$505,DM$3,実績!$AC$6:$AC$505,"&lt;="&amp;$A237,実績!$AD$6:$AD$505,"&gt;"&amp;$A237,実績!$AE$6:$AE$505,"○")&gt;0,1,0))</f>
        <v/>
      </c>
      <c r="DN237">
        <f>IF(DN$4=0,0,IF(COUNTIFS(実績!$W$6:$W$505,DN$3,実績!$AC$6:$AC$505,"&lt;="&amp;$A237,実績!$AD$6:$AD$505,"&gt;"&amp;$A237,実績!$AE$6:$AE$505,"○")&gt;0,1,0))</f>
        <v/>
      </c>
      <c r="DO237">
        <f>IF(DO$4=0,0,IF(COUNTIFS(実績!$W$6:$W$505,DO$3,実績!$AC$6:$AC$505,"&lt;="&amp;$A237,実績!$AD$6:$AD$505,"&gt;"&amp;$A237,実績!$AE$6:$AE$505,"○")&gt;0,1,0))</f>
        <v/>
      </c>
      <c r="DP237">
        <f>IF(DP$4=0,0,IF(COUNTIFS(実績!$W$6:$W$505,DP$3,実績!$AC$6:$AC$505,"&lt;="&amp;$A237,実績!$AD$6:$AD$505,"&gt;"&amp;$A237,実績!$AE$6:$AE$505,"○")&gt;0,1,0))</f>
        <v/>
      </c>
      <c r="DQ237">
        <f>IF(DQ$4=0,0,IF(COUNTIFS(実績!$W$6:$W$505,DQ$3,実績!$AC$6:$AC$505,"&lt;="&amp;$A237,実績!$AD$6:$AD$505,"&gt;"&amp;$A237,実績!$AE$6:$AE$505,"○")&gt;0,1,0))</f>
        <v/>
      </c>
      <c r="DR237">
        <f>IF(DR$4=0,0,IF(COUNTIFS(実績!$W$6:$W$505,DR$3,実績!$AC$6:$AC$505,"&lt;="&amp;$A237,実績!$AD$6:$AD$505,"&gt;"&amp;$A237,実績!$AE$6:$AE$505,"○")&gt;0,1,0))</f>
        <v/>
      </c>
      <c r="DS237">
        <f>SUM(C237:DR237)</f>
        <v/>
      </c>
      <c r="DT237">
        <f>SUMPRODUCT((実績!$C$6:$C$505="○")*ISNUMBER(実績!$AF$6:$AF$505)*(実績!$AF$6:$AF$505&lt;=$A237)*(実績!$AG$6:$AG$505&gt;$A237))</f>
        <v/>
      </c>
      <c r="DU237">
        <f>SUMIF($C$2:$DR$2,"製鉄曳船",C237:DR237)</f>
        <v/>
      </c>
      <c r="DV237">
        <f>SUMIF($C$2:$DR$2,"西日本海運",C237:DR237)</f>
        <v/>
      </c>
    </row>
    <row r="238">
      <c r="A238" t="n">
        <v>1160</v>
      </c>
      <c r="B238" s="29">
        <f>A238/1440</f>
        <v/>
      </c>
      <c r="C238">
        <f>IF(C$4=0,0,IF(COUNTIFS(実績!$W$6:$W$505,C$3,実績!$AC$6:$AC$505,"&lt;="&amp;$A238,実績!$AD$6:$AD$505,"&gt;"&amp;$A238,実績!$AE$6:$AE$505,"○")&gt;0,1,0))</f>
        <v/>
      </c>
      <c r="D238">
        <f>IF(D$4=0,0,IF(COUNTIFS(実績!$W$6:$W$505,D$3,実績!$AC$6:$AC$505,"&lt;="&amp;$A238,実績!$AD$6:$AD$505,"&gt;"&amp;$A238,実績!$AE$6:$AE$505,"○")&gt;0,1,0))</f>
        <v/>
      </c>
      <c r="E238">
        <f>IF(E$4=0,0,IF(COUNTIFS(実績!$W$6:$W$505,E$3,実績!$AC$6:$AC$505,"&lt;="&amp;$A238,実績!$AD$6:$AD$505,"&gt;"&amp;$A238,実績!$AE$6:$AE$505,"○")&gt;0,1,0))</f>
        <v/>
      </c>
      <c r="F238">
        <f>IF(F$4=0,0,IF(COUNTIFS(実績!$W$6:$W$505,F$3,実績!$AC$6:$AC$505,"&lt;="&amp;$A238,実績!$AD$6:$AD$505,"&gt;"&amp;$A238,実績!$AE$6:$AE$505,"○")&gt;0,1,0))</f>
        <v/>
      </c>
      <c r="G238">
        <f>IF(G$4=0,0,IF(COUNTIFS(実績!$W$6:$W$505,G$3,実績!$AC$6:$AC$505,"&lt;="&amp;$A238,実績!$AD$6:$AD$505,"&gt;"&amp;$A238,実績!$AE$6:$AE$505,"○")&gt;0,1,0))</f>
        <v/>
      </c>
      <c r="H238">
        <f>IF(H$4=0,0,IF(COUNTIFS(実績!$W$6:$W$505,H$3,実績!$AC$6:$AC$505,"&lt;="&amp;$A238,実績!$AD$6:$AD$505,"&gt;"&amp;$A238,実績!$AE$6:$AE$505,"○")&gt;0,1,0))</f>
        <v/>
      </c>
      <c r="I238">
        <f>IF(I$4=0,0,IF(COUNTIFS(実績!$W$6:$W$505,I$3,実績!$AC$6:$AC$505,"&lt;="&amp;$A238,実績!$AD$6:$AD$505,"&gt;"&amp;$A238,実績!$AE$6:$AE$505,"○")&gt;0,1,0))</f>
        <v/>
      </c>
      <c r="J238">
        <f>IF(J$4=0,0,IF(COUNTIFS(実績!$W$6:$W$505,J$3,実績!$AC$6:$AC$505,"&lt;="&amp;$A238,実績!$AD$6:$AD$505,"&gt;"&amp;$A238,実績!$AE$6:$AE$505,"○")&gt;0,1,0))</f>
        <v/>
      </c>
      <c r="K238">
        <f>IF(K$4=0,0,IF(COUNTIFS(実績!$W$6:$W$505,K$3,実績!$AC$6:$AC$505,"&lt;="&amp;$A238,実績!$AD$6:$AD$505,"&gt;"&amp;$A238,実績!$AE$6:$AE$505,"○")&gt;0,1,0))</f>
        <v/>
      </c>
      <c r="L238">
        <f>IF(L$4=0,0,IF(COUNTIFS(実績!$W$6:$W$505,L$3,実績!$AC$6:$AC$505,"&lt;="&amp;$A238,実績!$AD$6:$AD$505,"&gt;"&amp;$A238,実績!$AE$6:$AE$505,"○")&gt;0,1,0))</f>
        <v/>
      </c>
      <c r="M238">
        <f>IF(M$4=0,0,IF(COUNTIFS(実績!$W$6:$W$505,M$3,実績!$AC$6:$AC$505,"&lt;="&amp;$A238,実績!$AD$6:$AD$505,"&gt;"&amp;$A238,実績!$AE$6:$AE$505,"○")&gt;0,1,0))</f>
        <v/>
      </c>
      <c r="N238">
        <f>IF(N$4=0,0,IF(COUNTIFS(実績!$W$6:$W$505,N$3,実績!$AC$6:$AC$505,"&lt;="&amp;$A238,実績!$AD$6:$AD$505,"&gt;"&amp;$A238,実績!$AE$6:$AE$505,"○")&gt;0,1,0))</f>
        <v/>
      </c>
      <c r="O238">
        <f>IF(O$4=0,0,IF(COUNTIFS(実績!$W$6:$W$505,O$3,実績!$AC$6:$AC$505,"&lt;="&amp;$A238,実績!$AD$6:$AD$505,"&gt;"&amp;$A238,実績!$AE$6:$AE$505,"○")&gt;0,1,0))</f>
        <v/>
      </c>
      <c r="P238">
        <f>IF(P$4=0,0,IF(COUNTIFS(実績!$W$6:$W$505,P$3,実績!$AC$6:$AC$505,"&lt;="&amp;$A238,実績!$AD$6:$AD$505,"&gt;"&amp;$A238,実績!$AE$6:$AE$505,"○")&gt;0,1,0))</f>
        <v/>
      </c>
      <c r="Q238">
        <f>IF(Q$4=0,0,IF(COUNTIFS(実績!$W$6:$W$505,Q$3,実績!$AC$6:$AC$505,"&lt;="&amp;$A238,実績!$AD$6:$AD$505,"&gt;"&amp;$A238,実績!$AE$6:$AE$505,"○")&gt;0,1,0))</f>
        <v/>
      </c>
      <c r="R238">
        <f>IF(R$4=0,0,IF(COUNTIFS(実績!$W$6:$W$505,R$3,実績!$AC$6:$AC$505,"&lt;="&amp;$A238,実績!$AD$6:$AD$505,"&gt;"&amp;$A238,実績!$AE$6:$AE$505,"○")&gt;0,1,0))</f>
        <v/>
      </c>
      <c r="S238">
        <f>IF(S$4=0,0,IF(COUNTIFS(実績!$W$6:$W$505,S$3,実績!$AC$6:$AC$505,"&lt;="&amp;$A238,実績!$AD$6:$AD$505,"&gt;"&amp;$A238,実績!$AE$6:$AE$505,"○")&gt;0,1,0))</f>
        <v/>
      </c>
      <c r="T238">
        <f>IF(T$4=0,0,IF(COUNTIFS(実績!$W$6:$W$505,T$3,実績!$AC$6:$AC$505,"&lt;="&amp;$A238,実績!$AD$6:$AD$505,"&gt;"&amp;$A238,実績!$AE$6:$AE$505,"○")&gt;0,1,0))</f>
        <v/>
      </c>
      <c r="U238">
        <f>IF(U$4=0,0,IF(COUNTIFS(実績!$W$6:$W$505,U$3,実績!$AC$6:$AC$505,"&lt;="&amp;$A238,実績!$AD$6:$AD$505,"&gt;"&amp;$A238,実績!$AE$6:$AE$505,"○")&gt;0,1,0))</f>
        <v/>
      </c>
      <c r="V238">
        <f>IF(V$4=0,0,IF(COUNTIFS(実績!$W$6:$W$505,V$3,実績!$AC$6:$AC$505,"&lt;="&amp;$A238,実績!$AD$6:$AD$505,"&gt;"&amp;$A238,実績!$AE$6:$AE$505,"○")&gt;0,1,0))</f>
        <v/>
      </c>
      <c r="W238">
        <f>IF(W$4=0,0,IF(COUNTIFS(実績!$W$6:$W$505,W$3,実績!$AC$6:$AC$505,"&lt;="&amp;$A238,実績!$AD$6:$AD$505,"&gt;"&amp;$A238,実績!$AE$6:$AE$505,"○")&gt;0,1,0))</f>
        <v/>
      </c>
      <c r="X238">
        <f>IF(X$4=0,0,IF(COUNTIFS(実績!$W$6:$W$505,X$3,実績!$AC$6:$AC$505,"&lt;="&amp;$A238,実績!$AD$6:$AD$505,"&gt;"&amp;$A238,実績!$AE$6:$AE$505,"○")&gt;0,1,0))</f>
        <v/>
      </c>
      <c r="Y238">
        <f>IF(Y$4=0,0,IF(COUNTIFS(実績!$W$6:$W$505,Y$3,実績!$AC$6:$AC$505,"&lt;="&amp;$A238,実績!$AD$6:$AD$505,"&gt;"&amp;$A238,実績!$AE$6:$AE$505,"○")&gt;0,1,0))</f>
        <v/>
      </c>
      <c r="Z238">
        <f>IF(Z$4=0,0,IF(COUNTIFS(実績!$W$6:$W$505,Z$3,実績!$AC$6:$AC$505,"&lt;="&amp;$A238,実績!$AD$6:$AD$505,"&gt;"&amp;$A238,実績!$AE$6:$AE$505,"○")&gt;0,1,0))</f>
        <v/>
      </c>
      <c r="AA238">
        <f>IF(AA$4=0,0,IF(COUNTIFS(実績!$W$6:$W$505,AA$3,実績!$AC$6:$AC$505,"&lt;="&amp;$A238,実績!$AD$6:$AD$505,"&gt;"&amp;$A238,実績!$AE$6:$AE$505,"○")&gt;0,1,0))</f>
        <v/>
      </c>
      <c r="AB238">
        <f>IF(AB$4=0,0,IF(COUNTIFS(実績!$W$6:$W$505,AB$3,実績!$AC$6:$AC$505,"&lt;="&amp;$A238,実績!$AD$6:$AD$505,"&gt;"&amp;$A238,実績!$AE$6:$AE$505,"○")&gt;0,1,0))</f>
        <v/>
      </c>
      <c r="AC238">
        <f>IF(AC$4=0,0,IF(COUNTIFS(実績!$W$6:$W$505,AC$3,実績!$AC$6:$AC$505,"&lt;="&amp;$A238,実績!$AD$6:$AD$505,"&gt;"&amp;$A238,実績!$AE$6:$AE$505,"○")&gt;0,1,0))</f>
        <v/>
      </c>
      <c r="AD238">
        <f>IF(AD$4=0,0,IF(COUNTIFS(実績!$W$6:$W$505,AD$3,実績!$AC$6:$AC$505,"&lt;="&amp;$A238,実績!$AD$6:$AD$505,"&gt;"&amp;$A238,実績!$AE$6:$AE$505,"○")&gt;0,1,0))</f>
        <v/>
      </c>
      <c r="AE238">
        <f>IF(AE$4=0,0,IF(COUNTIFS(実績!$W$6:$W$505,AE$3,実績!$AC$6:$AC$505,"&lt;="&amp;$A238,実績!$AD$6:$AD$505,"&gt;"&amp;$A238,実績!$AE$6:$AE$505,"○")&gt;0,1,0))</f>
        <v/>
      </c>
      <c r="AF238">
        <f>IF(AF$4=0,0,IF(COUNTIFS(実績!$W$6:$W$505,AF$3,実績!$AC$6:$AC$505,"&lt;="&amp;$A238,実績!$AD$6:$AD$505,"&gt;"&amp;$A238,実績!$AE$6:$AE$505,"○")&gt;0,1,0))</f>
        <v/>
      </c>
      <c r="AG238">
        <f>IF(AG$4=0,0,IF(COUNTIFS(実績!$W$6:$W$505,AG$3,実績!$AC$6:$AC$505,"&lt;="&amp;$A238,実績!$AD$6:$AD$505,"&gt;"&amp;$A238,実績!$AE$6:$AE$505,"○")&gt;0,1,0))</f>
        <v/>
      </c>
      <c r="AH238">
        <f>IF(AH$4=0,0,IF(COUNTIFS(実績!$W$6:$W$505,AH$3,実績!$AC$6:$AC$505,"&lt;="&amp;$A238,実績!$AD$6:$AD$505,"&gt;"&amp;$A238,実績!$AE$6:$AE$505,"○")&gt;0,1,0))</f>
        <v/>
      </c>
      <c r="AI238">
        <f>IF(AI$4=0,0,IF(COUNTIFS(実績!$W$6:$W$505,AI$3,実績!$AC$6:$AC$505,"&lt;="&amp;$A238,実績!$AD$6:$AD$505,"&gt;"&amp;$A238,実績!$AE$6:$AE$505,"○")&gt;0,1,0))</f>
        <v/>
      </c>
      <c r="AJ238">
        <f>IF(AJ$4=0,0,IF(COUNTIFS(実績!$W$6:$W$505,AJ$3,実績!$AC$6:$AC$505,"&lt;="&amp;$A238,実績!$AD$6:$AD$505,"&gt;"&amp;$A238,実績!$AE$6:$AE$505,"○")&gt;0,1,0))</f>
        <v/>
      </c>
      <c r="AK238">
        <f>IF(AK$4=0,0,IF(COUNTIFS(実績!$W$6:$W$505,AK$3,実績!$AC$6:$AC$505,"&lt;="&amp;$A238,実績!$AD$6:$AD$505,"&gt;"&amp;$A238,実績!$AE$6:$AE$505,"○")&gt;0,1,0))</f>
        <v/>
      </c>
      <c r="AL238">
        <f>IF(AL$4=0,0,IF(COUNTIFS(実績!$W$6:$W$505,AL$3,実績!$AC$6:$AC$505,"&lt;="&amp;$A238,実績!$AD$6:$AD$505,"&gt;"&amp;$A238,実績!$AE$6:$AE$505,"○")&gt;0,1,0))</f>
        <v/>
      </c>
      <c r="AM238">
        <f>IF(AM$4=0,0,IF(COUNTIFS(実績!$W$6:$W$505,AM$3,実績!$AC$6:$AC$505,"&lt;="&amp;$A238,実績!$AD$6:$AD$505,"&gt;"&amp;$A238,実績!$AE$6:$AE$505,"○")&gt;0,1,0))</f>
        <v/>
      </c>
      <c r="AN238">
        <f>IF(AN$4=0,0,IF(COUNTIFS(実績!$W$6:$W$505,AN$3,実績!$AC$6:$AC$505,"&lt;="&amp;$A238,実績!$AD$6:$AD$505,"&gt;"&amp;$A238,実績!$AE$6:$AE$505,"○")&gt;0,1,0))</f>
        <v/>
      </c>
      <c r="AO238">
        <f>IF(AO$4=0,0,IF(COUNTIFS(実績!$W$6:$W$505,AO$3,実績!$AC$6:$AC$505,"&lt;="&amp;$A238,実績!$AD$6:$AD$505,"&gt;"&amp;$A238,実績!$AE$6:$AE$505,"○")&gt;0,1,0))</f>
        <v/>
      </c>
      <c r="AP238">
        <f>IF(AP$4=0,0,IF(COUNTIFS(実績!$W$6:$W$505,AP$3,実績!$AC$6:$AC$505,"&lt;="&amp;$A238,実績!$AD$6:$AD$505,"&gt;"&amp;$A238,実績!$AE$6:$AE$505,"○")&gt;0,1,0))</f>
        <v/>
      </c>
      <c r="AQ238">
        <f>IF(AQ$4=0,0,IF(COUNTIFS(実績!$W$6:$W$505,AQ$3,実績!$AC$6:$AC$505,"&lt;="&amp;$A238,実績!$AD$6:$AD$505,"&gt;"&amp;$A238,実績!$AE$6:$AE$505,"○")&gt;0,1,0))</f>
        <v/>
      </c>
      <c r="AR238">
        <f>IF(AR$4=0,0,IF(COUNTIFS(実績!$W$6:$W$505,AR$3,実績!$AC$6:$AC$505,"&lt;="&amp;$A238,実績!$AD$6:$AD$505,"&gt;"&amp;$A238,実績!$AE$6:$AE$505,"○")&gt;0,1,0))</f>
        <v/>
      </c>
      <c r="AS238">
        <f>IF(AS$4=0,0,IF(COUNTIFS(実績!$W$6:$W$505,AS$3,実績!$AC$6:$AC$505,"&lt;="&amp;$A238,実績!$AD$6:$AD$505,"&gt;"&amp;$A238,実績!$AE$6:$AE$505,"○")&gt;0,1,0))</f>
        <v/>
      </c>
      <c r="AT238">
        <f>IF(AT$4=0,0,IF(COUNTIFS(実績!$W$6:$W$505,AT$3,実績!$AC$6:$AC$505,"&lt;="&amp;$A238,実績!$AD$6:$AD$505,"&gt;"&amp;$A238,実績!$AE$6:$AE$505,"○")&gt;0,1,0))</f>
        <v/>
      </c>
      <c r="AU238">
        <f>IF(AU$4=0,0,IF(COUNTIFS(実績!$W$6:$W$505,AU$3,実績!$AC$6:$AC$505,"&lt;="&amp;$A238,実績!$AD$6:$AD$505,"&gt;"&amp;$A238,実績!$AE$6:$AE$505,"○")&gt;0,1,0))</f>
        <v/>
      </c>
      <c r="AV238">
        <f>IF(AV$4=0,0,IF(COUNTIFS(実績!$W$6:$W$505,AV$3,実績!$AC$6:$AC$505,"&lt;="&amp;$A238,実績!$AD$6:$AD$505,"&gt;"&amp;$A238,実績!$AE$6:$AE$505,"○")&gt;0,1,0))</f>
        <v/>
      </c>
      <c r="AW238">
        <f>IF(AW$4=0,0,IF(COUNTIFS(実績!$W$6:$W$505,AW$3,実績!$AC$6:$AC$505,"&lt;="&amp;$A238,実績!$AD$6:$AD$505,"&gt;"&amp;$A238,実績!$AE$6:$AE$505,"○")&gt;0,1,0))</f>
        <v/>
      </c>
      <c r="AX238">
        <f>IF(AX$4=0,0,IF(COUNTIFS(実績!$W$6:$W$505,AX$3,実績!$AC$6:$AC$505,"&lt;="&amp;$A238,実績!$AD$6:$AD$505,"&gt;"&amp;$A238,実績!$AE$6:$AE$505,"○")&gt;0,1,0))</f>
        <v/>
      </c>
      <c r="AY238">
        <f>IF(AY$4=0,0,IF(COUNTIFS(実績!$W$6:$W$505,AY$3,実績!$AC$6:$AC$505,"&lt;="&amp;$A238,実績!$AD$6:$AD$505,"&gt;"&amp;$A238,実績!$AE$6:$AE$505,"○")&gt;0,1,0))</f>
        <v/>
      </c>
      <c r="AZ238">
        <f>IF(AZ$4=0,0,IF(COUNTIFS(実績!$W$6:$W$505,AZ$3,実績!$AC$6:$AC$505,"&lt;="&amp;$A238,実績!$AD$6:$AD$505,"&gt;"&amp;$A238,実績!$AE$6:$AE$505,"○")&gt;0,1,0))</f>
        <v/>
      </c>
      <c r="BA238">
        <f>IF(BA$4=0,0,IF(COUNTIFS(実績!$W$6:$W$505,BA$3,実績!$AC$6:$AC$505,"&lt;="&amp;$A238,実績!$AD$6:$AD$505,"&gt;"&amp;$A238,実績!$AE$6:$AE$505,"○")&gt;0,1,0))</f>
        <v/>
      </c>
      <c r="BB238">
        <f>IF(BB$4=0,0,IF(COUNTIFS(実績!$W$6:$W$505,BB$3,実績!$AC$6:$AC$505,"&lt;="&amp;$A238,実績!$AD$6:$AD$505,"&gt;"&amp;$A238,実績!$AE$6:$AE$505,"○")&gt;0,1,0))</f>
        <v/>
      </c>
      <c r="BC238">
        <f>IF(BC$4=0,0,IF(COUNTIFS(実績!$W$6:$W$505,BC$3,実績!$AC$6:$AC$505,"&lt;="&amp;$A238,実績!$AD$6:$AD$505,"&gt;"&amp;$A238,実績!$AE$6:$AE$505,"○")&gt;0,1,0))</f>
        <v/>
      </c>
      <c r="BD238">
        <f>IF(BD$4=0,0,IF(COUNTIFS(実績!$W$6:$W$505,BD$3,実績!$AC$6:$AC$505,"&lt;="&amp;$A238,実績!$AD$6:$AD$505,"&gt;"&amp;$A238,実績!$AE$6:$AE$505,"○")&gt;0,1,0))</f>
        <v/>
      </c>
      <c r="BE238">
        <f>IF(BE$4=0,0,IF(COUNTIFS(実績!$W$6:$W$505,BE$3,実績!$AC$6:$AC$505,"&lt;="&amp;$A238,実績!$AD$6:$AD$505,"&gt;"&amp;$A238,実績!$AE$6:$AE$505,"○")&gt;0,1,0))</f>
        <v/>
      </c>
      <c r="BF238">
        <f>IF(BF$4=0,0,IF(COUNTIFS(実績!$W$6:$W$505,BF$3,実績!$AC$6:$AC$505,"&lt;="&amp;$A238,実績!$AD$6:$AD$505,"&gt;"&amp;$A238,実績!$AE$6:$AE$505,"○")&gt;0,1,0))</f>
        <v/>
      </c>
      <c r="BG238">
        <f>IF(BG$4=0,0,IF(COUNTIFS(実績!$W$6:$W$505,BG$3,実績!$AC$6:$AC$505,"&lt;="&amp;$A238,実績!$AD$6:$AD$505,"&gt;"&amp;$A238,実績!$AE$6:$AE$505,"○")&gt;0,1,0))</f>
        <v/>
      </c>
      <c r="BH238">
        <f>IF(BH$4=0,0,IF(COUNTIFS(実績!$W$6:$W$505,BH$3,実績!$AC$6:$AC$505,"&lt;="&amp;$A238,実績!$AD$6:$AD$505,"&gt;"&amp;$A238,実績!$AE$6:$AE$505,"○")&gt;0,1,0))</f>
        <v/>
      </c>
      <c r="BI238">
        <f>IF(BI$4=0,0,IF(COUNTIFS(実績!$W$6:$W$505,BI$3,実績!$AC$6:$AC$505,"&lt;="&amp;$A238,実績!$AD$6:$AD$505,"&gt;"&amp;$A238,実績!$AE$6:$AE$505,"○")&gt;0,1,0))</f>
        <v/>
      </c>
      <c r="BJ238">
        <f>IF(BJ$4=0,0,IF(COUNTIFS(実績!$W$6:$W$505,BJ$3,実績!$AC$6:$AC$505,"&lt;="&amp;$A238,実績!$AD$6:$AD$505,"&gt;"&amp;$A238,実績!$AE$6:$AE$505,"○")&gt;0,1,0))</f>
        <v/>
      </c>
      <c r="BK238">
        <f>IF(BK$4=0,0,IF(COUNTIFS(実績!$W$6:$W$505,BK$3,実績!$AC$6:$AC$505,"&lt;="&amp;$A238,実績!$AD$6:$AD$505,"&gt;"&amp;$A238,実績!$AE$6:$AE$505,"○")&gt;0,1,0))</f>
        <v/>
      </c>
      <c r="BL238">
        <f>IF(BL$4=0,0,IF(COUNTIFS(実績!$W$6:$W$505,BL$3,実績!$AC$6:$AC$505,"&lt;="&amp;$A238,実績!$AD$6:$AD$505,"&gt;"&amp;$A238,実績!$AE$6:$AE$505,"○")&gt;0,1,0))</f>
        <v/>
      </c>
      <c r="BM238">
        <f>IF(BM$4=0,0,IF(COUNTIFS(実績!$W$6:$W$505,BM$3,実績!$AC$6:$AC$505,"&lt;="&amp;$A238,実績!$AD$6:$AD$505,"&gt;"&amp;$A238,実績!$AE$6:$AE$505,"○")&gt;0,1,0))</f>
        <v/>
      </c>
      <c r="BN238">
        <f>IF(BN$4=0,0,IF(COUNTIFS(実績!$W$6:$W$505,BN$3,実績!$AC$6:$AC$505,"&lt;="&amp;$A238,実績!$AD$6:$AD$505,"&gt;"&amp;$A238,実績!$AE$6:$AE$505,"○")&gt;0,1,0))</f>
        <v/>
      </c>
      <c r="BO238">
        <f>IF(BO$4=0,0,IF(COUNTIFS(実績!$W$6:$W$505,BO$3,実績!$AC$6:$AC$505,"&lt;="&amp;$A238,実績!$AD$6:$AD$505,"&gt;"&amp;$A238,実績!$AE$6:$AE$505,"○")&gt;0,1,0))</f>
        <v/>
      </c>
      <c r="BP238">
        <f>IF(BP$4=0,0,IF(COUNTIFS(実績!$W$6:$W$505,BP$3,実績!$AC$6:$AC$505,"&lt;="&amp;$A238,実績!$AD$6:$AD$505,"&gt;"&amp;$A238,実績!$AE$6:$AE$505,"○")&gt;0,1,0))</f>
        <v/>
      </c>
      <c r="BQ238">
        <f>IF(BQ$4=0,0,IF(COUNTIFS(実績!$W$6:$W$505,BQ$3,実績!$AC$6:$AC$505,"&lt;="&amp;$A238,実績!$AD$6:$AD$505,"&gt;"&amp;$A238,実績!$AE$6:$AE$505,"○")&gt;0,1,0))</f>
        <v/>
      </c>
      <c r="BR238">
        <f>IF(BR$4=0,0,IF(COUNTIFS(実績!$W$6:$W$505,BR$3,実績!$AC$6:$AC$505,"&lt;="&amp;$A238,実績!$AD$6:$AD$505,"&gt;"&amp;$A238,実績!$AE$6:$AE$505,"○")&gt;0,1,0))</f>
        <v/>
      </c>
      <c r="BS238">
        <f>IF(BS$4=0,0,IF(COUNTIFS(実績!$W$6:$W$505,BS$3,実績!$AC$6:$AC$505,"&lt;="&amp;$A238,実績!$AD$6:$AD$505,"&gt;"&amp;$A238,実績!$AE$6:$AE$505,"○")&gt;0,1,0))</f>
        <v/>
      </c>
      <c r="BT238">
        <f>IF(BT$4=0,0,IF(COUNTIFS(実績!$W$6:$W$505,BT$3,実績!$AC$6:$AC$505,"&lt;="&amp;$A238,実績!$AD$6:$AD$505,"&gt;"&amp;$A238,実績!$AE$6:$AE$505,"○")&gt;0,1,0))</f>
        <v/>
      </c>
      <c r="BU238">
        <f>IF(BU$4=0,0,IF(COUNTIFS(実績!$W$6:$W$505,BU$3,実績!$AC$6:$AC$505,"&lt;="&amp;$A238,実績!$AD$6:$AD$505,"&gt;"&amp;$A238,実績!$AE$6:$AE$505,"○")&gt;0,1,0))</f>
        <v/>
      </c>
      <c r="BV238">
        <f>IF(BV$4=0,0,IF(COUNTIFS(実績!$W$6:$W$505,BV$3,実績!$AC$6:$AC$505,"&lt;="&amp;$A238,実績!$AD$6:$AD$505,"&gt;"&amp;$A238,実績!$AE$6:$AE$505,"○")&gt;0,1,0))</f>
        <v/>
      </c>
      <c r="BW238">
        <f>IF(BW$4=0,0,IF(COUNTIFS(実績!$W$6:$W$505,BW$3,実績!$AC$6:$AC$505,"&lt;="&amp;$A238,実績!$AD$6:$AD$505,"&gt;"&amp;$A238,実績!$AE$6:$AE$505,"○")&gt;0,1,0))</f>
        <v/>
      </c>
      <c r="BX238">
        <f>IF(BX$4=0,0,IF(COUNTIFS(実績!$W$6:$W$505,BX$3,実績!$AC$6:$AC$505,"&lt;="&amp;$A238,実績!$AD$6:$AD$505,"&gt;"&amp;$A238,実績!$AE$6:$AE$505,"○")&gt;0,1,0))</f>
        <v/>
      </c>
      <c r="BY238">
        <f>IF(BY$4=0,0,IF(COUNTIFS(実績!$W$6:$W$505,BY$3,実績!$AC$6:$AC$505,"&lt;="&amp;$A238,実績!$AD$6:$AD$505,"&gt;"&amp;$A238,実績!$AE$6:$AE$505,"○")&gt;0,1,0))</f>
        <v/>
      </c>
      <c r="BZ238">
        <f>IF(BZ$4=0,0,IF(COUNTIFS(実績!$W$6:$W$505,BZ$3,実績!$AC$6:$AC$505,"&lt;="&amp;$A238,実績!$AD$6:$AD$505,"&gt;"&amp;$A238,実績!$AE$6:$AE$505,"○")&gt;0,1,0))</f>
        <v/>
      </c>
      <c r="CA238">
        <f>IF(CA$4=0,0,IF(COUNTIFS(実績!$W$6:$W$505,CA$3,実績!$AC$6:$AC$505,"&lt;="&amp;$A238,実績!$AD$6:$AD$505,"&gt;"&amp;$A238,実績!$AE$6:$AE$505,"○")&gt;0,1,0))</f>
        <v/>
      </c>
      <c r="CB238">
        <f>IF(CB$4=0,0,IF(COUNTIFS(実績!$W$6:$W$505,CB$3,実績!$AC$6:$AC$505,"&lt;="&amp;$A238,実績!$AD$6:$AD$505,"&gt;"&amp;$A238,実績!$AE$6:$AE$505,"○")&gt;0,1,0))</f>
        <v/>
      </c>
      <c r="CC238">
        <f>IF(CC$4=0,0,IF(COUNTIFS(実績!$W$6:$W$505,CC$3,実績!$AC$6:$AC$505,"&lt;="&amp;$A238,実績!$AD$6:$AD$505,"&gt;"&amp;$A238,実績!$AE$6:$AE$505,"○")&gt;0,1,0))</f>
        <v/>
      </c>
      <c r="CD238">
        <f>IF(CD$4=0,0,IF(COUNTIFS(実績!$W$6:$W$505,CD$3,実績!$AC$6:$AC$505,"&lt;="&amp;$A238,実績!$AD$6:$AD$505,"&gt;"&amp;$A238,実績!$AE$6:$AE$505,"○")&gt;0,1,0))</f>
        <v/>
      </c>
      <c r="CE238">
        <f>IF(CE$4=0,0,IF(COUNTIFS(実績!$W$6:$W$505,CE$3,実績!$AC$6:$AC$505,"&lt;="&amp;$A238,実績!$AD$6:$AD$505,"&gt;"&amp;$A238,実績!$AE$6:$AE$505,"○")&gt;0,1,0))</f>
        <v/>
      </c>
      <c r="CF238">
        <f>IF(CF$4=0,0,IF(COUNTIFS(実績!$W$6:$W$505,CF$3,実績!$AC$6:$AC$505,"&lt;="&amp;$A238,実績!$AD$6:$AD$505,"&gt;"&amp;$A238,実績!$AE$6:$AE$505,"○")&gt;0,1,0))</f>
        <v/>
      </c>
      <c r="CG238">
        <f>IF(CG$4=0,0,IF(COUNTIFS(実績!$W$6:$W$505,CG$3,実績!$AC$6:$AC$505,"&lt;="&amp;$A238,実績!$AD$6:$AD$505,"&gt;"&amp;$A238,実績!$AE$6:$AE$505,"○")&gt;0,1,0))</f>
        <v/>
      </c>
      <c r="CH238">
        <f>IF(CH$4=0,0,IF(COUNTIFS(実績!$W$6:$W$505,CH$3,実績!$AC$6:$AC$505,"&lt;="&amp;$A238,実績!$AD$6:$AD$505,"&gt;"&amp;$A238,実績!$AE$6:$AE$505,"○")&gt;0,1,0))</f>
        <v/>
      </c>
      <c r="CI238">
        <f>IF(CI$4=0,0,IF(COUNTIFS(実績!$W$6:$W$505,CI$3,実績!$AC$6:$AC$505,"&lt;="&amp;$A238,実績!$AD$6:$AD$505,"&gt;"&amp;$A238,実績!$AE$6:$AE$505,"○")&gt;0,1,0))</f>
        <v/>
      </c>
      <c r="CJ238">
        <f>IF(CJ$4=0,0,IF(COUNTIFS(実績!$W$6:$W$505,CJ$3,実績!$AC$6:$AC$505,"&lt;="&amp;$A238,実績!$AD$6:$AD$505,"&gt;"&amp;$A238,実績!$AE$6:$AE$505,"○")&gt;0,1,0))</f>
        <v/>
      </c>
      <c r="CK238">
        <f>IF(CK$4=0,0,IF(COUNTIFS(実績!$W$6:$W$505,CK$3,実績!$AC$6:$AC$505,"&lt;="&amp;$A238,実績!$AD$6:$AD$505,"&gt;"&amp;$A238,実績!$AE$6:$AE$505,"○")&gt;0,1,0))</f>
        <v/>
      </c>
      <c r="CL238">
        <f>IF(CL$4=0,0,IF(COUNTIFS(実績!$W$6:$W$505,CL$3,実績!$AC$6:$AC$505,"&lt;="&amp;$A238,実績!$AD$6:$AD$505,"&gt;"&amp;$A238,実績!$AE$6:$AE$505,"○")&gt;0,1,0))</f>
        <v/>
      </c>
      <c r="CM238">
        <f>IF(CM$4=0,0,IF(COUNTIFS(実績!$W$6:$W$505,CM$3,実績!$AC$6:$AC$505,"&lt;="&amp;$A238,実績!$AD$6:$AD$505,"&gt;"&amp;$A238,実績!$AE$6:$AE$505,"○")&gt;0,1,0))</f>
        <v/>
      </c>
      <c r="CN238">
        <f>IF(CN$4=0,0,IF(COUNTIFS(実績!$W$6:$W$505,CN$3,実績!$AC$6:$AC$505,"&lt;="&amp;$A238,実績!$AD$6:$AD$505,"&gt;"&amp;$A238,実績!$AE$6:$AE$505,"○")&gt;0,1,0))</f>
        <v/>
      </c>
      <c r="CO238">
        <f>IF(CO$4=0,0,IF(COUNTIFS(実績!$W$6:$W$505,CO$3,実績!$AC$6:$AC$505,"&lt;="&amp;$A238,実績!$AD$6:$AD$505,"&gt;"&amp;$A238,実績!$AE$6:$AE$505,"○")&gt;0,1,0))</f>
        <v/>
      </c>
      <c r="CP238">
        <f>IF(CP$4=0,0,IF(COUNTIFS(実績!$W$6:$W$505,CP$3,実績!$AC$6:$AC$505,"&lt;="&amp;$A238,実績!$AD$6:$AD$505,"&gt;"&amp;$A238,実績!$AE$6:$AE$505,"○")&gt;0,1,0))</f>
        <v/>
      </c>
      <c r="CQ238">
        <f>IF(CQ$4=0,0,IF(COUNTIFS(実績!$W$6:$W$505,CQ$3,実績!$AC$6:$AC$505,"&lt;="&amp;$A238,実績!$AD$6:$AD$505,"&gt;"&amp;$A238,実績!$AE$6:$AE$505,"○")&gt;0,1,0))</f>
        <v/>
      </c>
      <c r="CR238">
        <f>IF(CR$4=0,0,IF(COUNTIFS(実績!$W$6:$W$505,CR$3,実績!$AC$6:$AC$505,"&lt;="&amp;$A238,実績!$AD$6:$AD$505,"&gt;"&amp;$A238,実績!$AE$6:$AE$505,"○")&gt;0,1,0))</f>
        <v/>
      </c>
      <c r="CS238">
        <f>IF(CS$4=0,0,IF(COUNTIFS(実績!$W$6:$W$505,CS$3,実績!$AC$6:$AC$505,"&lt;="&amp;$A238,実績!$AD$6:$AD$505,"&gt;"&amp;$A238,実績!$AE$6:$AE$505,"○")&gt;0,1,0))</f>
        <v/>
      </c>
      <c r="CT238">
        <f>IF(CT$4=0,0,IF(COUNTIFS(実績!$W$6:$W$505,CT$3,実績!$AC$6:$AC$505,"&lt;="&amp;$A238,実績!$AD$6:$AD$505,"&gt;"&amp;$A238,実績!$AE$6:$AE$505,"○")&gt;0,1,0))</f>
        <v/>
      </c>
      <c r="CU238">
        <f>IF(CU$4=0,0,IF(COUNTIFS(実績!$W$6:$W$505,CU$3,実績!$AC$6:$AC$505,"&lt;="&amp;$A238,実績!$AD$6:$AD$505,"&gt;"&amp;$A238,実績!$AE$6:$AE$505,"○")&gt;0,1,0))</f>
        <v/>
      </c>
      <c r="CV238">
        <f>IF(CV$4=0,0,IF(COUNTIFS(実績!$W$6:$W$505,CV$3,実績!$AC$6:$AC$505,"&lt;="&amp;$A238,実績!$AD$6:$AD$505,"&gt;"&amp;$A238,実績!$AE$6:$AE$505,"○")&gt;0,1,0))</f>
        <v/>
      </c>
      <c r="CW238">
        <f>IF(CW$4=0,0,IF(COUNTIFS(実績!$W$6:$W$505,CW$3,実績!$AC$6:$AC$505,"&lt;="&amp;$A238,実績!$AD$6:$AD$505,"&gt;"&amp;$A238,実績!$AE$6:$AE$505,"○")&gt;0,1,0))</f>
        <v/>
      </c>
      <c r="CX238">
        <f>IF(CX$4=0,0,IF(COUNTIFS(実績!$W$6:$W$505,CX$3,実績!$AC$6:$AC$505,"&lt;="&amp;$A238,実績!$AD$6:$AD$505,"&gt;"&amp;$A238,実績!$AE$6:$AE$505,"○")&gt;0,1,0))</f>
        <v/>
      </c>
      <c r="CY238">
        <f>IF(CY$4=0,0,IF(COUNTIFS(実績!$W$6:$W$505,CY$3,実績!$AC$6:$AC$505,"&lt;="&amp;$A238,実績!$AD$6:$AD$505,"&gt;"&amp;$A238,実績!$AE$6:$AE$505,"○")&gt;0,1,0))</f>
        <v/>
      </c>
      <c r="CZ238">
        <f>IF(CZ$4=0,0,IF(COUNTIFS(実績!$W$6:$W$505,CZ$3,実績!$AC$6:$AC$505,"&lt;="&amp;$A238,実績!$AD$6:$AD$505,"&gt;"&amp;$A238,実績!$AE$6:$AE$505,"○")&gt;0,1,0))</f>
        <v/>
      </c>
      <c r="DA238">
        <f>IF(DA$4=0,0,IF(COUNTIFS(実績!$W$6:$W$505,DA$3,実績!$AC$6:$AC$505,"&lt;="&amp;$A238,実績!$AD$6:$AD$505,"&gt;"&amp;$A238,実績!$AE$6:$AE$505,"○")&gt;0,1,0))</f>
        <v/>
      </c>
      <c r="DB238">
        <f>IF(DB$4=0,0,IF(COUNTIFS(実績!$W$6:$W$505,DB$3,実績!$AC$6:$AC$505,"&lt;="&amp;$A238,実績!$AD$6:$AD$505,"&gt;"&amp;$A238,実績!$AE$6:$AE$505,"○")&gt;0,1,0))</f>
        <v/>
      </c>
      <c r="DC238">
        <f>IF(DC$4=0,0,IF(COUNTIFS(実績!$W$6:$W$505,DC$3,実績!$AC$6:$AC$505,"&lt;="&amp;$A238,実績!$AD$6:$AD$505,"&gt;"&amp;$A238,実績!$AE$6:$AE$505,"○")&gt;0,1,0))</f>
        <v/>
      </c>
      <c r="DD238">
        <f>IF(DD$4=0,0,IF(COUNTIFS(実績!$W$6:$W$505,DD$3,実績!$AC$6:$AC$505,"&lt;="&amp;$A238,実績!$AD$6:$AD$505,"&gt;"&amp;$A238,実績!$AE$6:$AE$505,"○")&gt;0,1,0))</f>
        <v/>
      </c>
      <c r="DE238">
        <f>IF(DE$4=0,0,IF(COUNTIFS(実績!$W$6:$W$505,DE$3,実績!$AC$6:$AC$505,"&lt;="&amp;$A238,実績!$AD$6:$AD$505,"&gt;"&amp;$A238,実績!$AE$6:$AE$505,"○")&gt;0,1,0))</f>
        <v/>
      </c>
      <c r="DF238">
        <f>IF(DF$4=0,0,IF(COUNTIFS(実績!$W$6:$W$505,DF$3,実績!$AC$6:$AC$505,"&lt;="&amp;$A238,実績!$AD$6:$AD$505,"&gt;"&amp;$A238,実績!$AE$6:$AE$505,"○")&gt;0,1,0))</f>
        <v/>
      </c>
      <c r="DG238">
        <f>IF(DG$4=0,0,IF(COUNTIFS(実績!$W$6:$W$505,DG$3,実績!$AC$6:$AC$505,"&lt;="&amp;$A238,実績!$AD$6:$AD$505,"&gt;"&amp;$A238,実績!$AE$6:$AE$505,"○")&gt;0,1,0))</f>
        <v/>
      </c>
      <c r="DH238">
        <f>IF(DH$4=0,0,IF(COUNTIFS(実績!$W$6:$W$505,DH$3,実績!$AC$6:$AC$505,"&lt;="&amp;$A238,実績!$AD$6:$AD$505,"&gt;"&amp;$A238,実績!$AE$6:$AE$505,"○")&gt;0,1,0))</f>
        <v/>
      </c>
      <c r="DI238">
        <f>IF(DI$4=0,0,IF(COUNTIFS(実績!$W$6:$W$505,DI$3,実績!$AC$6:$AC$505,"&lt;="&amp;$A238,実績!$AD$6:$AD$505,"&gt;"&amp;$A238,実績!$AE$6:$AE$505,"○")&gt;0,1,0))</f>
        <v/>
      </c>
      <c r="DJ238">
        <f>IF(DJ$4=0,0,IF(COUNTIFS(実績!$W$6:$W$505,DJ$3,実績!$AC$6:$AC$505,"&lt;="&amp;$A238,実績!$AD$6:$AD$505,"&gt;"&amp;$A238,実績!$AE$6:$AE$505,"○")&gt;0,1,0))</f>
        <v/>
      </c>
      <c r="DK238">
        <f>IF(DK$4=0,0,IF(COUNTIFS(実績!$W$6:$W$505,DK$3,実績!$AC$6:$AC$505,"&lt;="&amp;$A238,実績!$AD$6:$AD$505,"&gt;"&amp;$A238,実績!$AE$6:$AE$505,"○")&gt;0,1,0))</f>
        <v/>
      </c>
      <c r="DL238">
        <f>IF(DL$4=0,0,IF(COUNTIFS(実績!$W$6:$W$505,DL$3,実績!$AC$6:$AC$505,"&lt;="&amp;$A238,実績!$AD$6:$AD$505,"&gt;"&amp;$A238,実績!$AE$6:$AE$505,"○")&gt;0,1,0))</f>
        <v/>
      </c>
      <c r="DM238">
        <f>IF(DM$4=0,0,IF(COUNTIFS(実績!$W$6:$W$505,DM$3,実績!$AC$6:$AC$505,"&lt;="&amp;$A238,実績!$AD$6:$AD$505,"&gt;"&amp;$A238,実績!$AE$6:$AE$505,"○")&gt;0,1,0))</f>
        <v/>
      </c>
      <c r="DN238">
        <f>IF(DN$4=0,0,IF(COUNTIFS(実績!$W$6:$W$505,DN$3,実績!$AC$6:$AC$505,"&lt;="&amp;$A238,実績!$AD$6:$AD$505,"&gt;"&amp;$A238,実績!$AE$6:$AE$505,"○")&gt;0,1,0))</f>
        <v/>
      </c>
      <c r="DO238">
        <f>IF(DO$4=0,0,IF(COUNTIFS(実績!$W$6:$W$505,DO$3,実績!$AC$6:$AC$505,"&lt;="&amp;$A238,実績!$AD$6:$AD$505,"&gt;"&amp;$A238,実績!$AE$6:$AE$505,"○")&gt;0,1,0))</f>
        <v/>
      </c>
      <c r="DP238">
        <f>IF(DP$4=0,0,IF(COUNTIFS(実績!$W$6:$W$505,DP$3,実績!$AC$6:$AC$505,"&lt;="&amp;$A238,実績!$AD$6:$AD$505,"&gt;"&amp;$A238,実績!$AE$6:$AE$505,"○")&gt;0,1,0))</f>
        <v/>
      </c>
      <c r="DQ238">
        <f>IF(DQ$4=0,0,IF(COUNTIFS(実績!$W$6:$W$505,DQ$3,実績!$AC$6:$AC$505,"&lt;="&amp;$A238,実績!$AD$6:$AD$505,"&gt;"&amp;$A238,実績!$AE$6:$AE$505,"○")&gt;0,1,0))</f>
        <v/>
      </c>
      <c r="DR238">
        <f>IF(DR$4=0,0,IF(COUNTIFS(実績!$W$6:$W$505,DR$3,実績!$AC$6:$AC$505,"&lt;="&amp;$A238,実績!$AD$6:$AD$505,"&gt;"&amp;$A238,実績!$AE$6:$AE$505,"○")&gt;0,1,0))</f>
        <v/>
      </c>
      <c r="DS238">
        <f>SUM(C238:DR238)</f>
        <v/>
      </c>
      <c r="DT238">
        <f>SUMPRODUCT((実績!$C$6:$C$505="○")*ISNUMBER(実績!$AF$6:$AF$505)*(実績!$AF$6:$AF$505&lt;=$A238)*(実績!$AG$6:$AG$505&gt;$A238))</f>
        <v/>
      </c>
      <c r="DU238">
        <f>SUMIF($C$2:$DR$2,"製鉄曳船",C238:DR238)</f>
        <v/>
      </c>
      <c r="DV238">
        <f>SUMIF($C$2:$DR$2,"西日本海運",C238:DR238)</f>
        <v/>
      </c>
    </row>
    <row r="239">
      <c r="A239" t="n">
        <v>1165</v>
      </c>
      <c r="B239" s="29">
        <f>A239/1440</f>
        <v/>
      </c>
      <c r="C239">
        <f>IF(C$4=0,0,IF(COUNTIFS(実績!$W$6:$W$505,C$3,実績!$AC$6:$AC$505,"&lt;="&amp;$A239,実績!$AD$6:$AD$505,"&gt;"&amp;$A239,実績!$AE$6:$AE$505,"○")&gt;0,1,0))</f>
        <v/>
      </c>
      <c r="D239">
        <f>IF(D$4=0,0,IF(COUNTIFS(実績!$W$6:$W$505,D$3,実績!$AC$6:$AC$505,"&lt;="&amp;$A239,実績!$AD$6:$AD$505,"&gt;"&amp;$A239,実績!$AE$6:$AE$505,"○")&gt;0,1,0))</f>
        <v/>
      </c>
      <c r="E239">
        <f>IF(E$4=0,0,IF(COUNTIFS(実績!$W$6:$W$505,E$3,実績!$AC$6:$AC$505,"&lt;="&amp;$A239,実績!$AD$6:$AD$505,"&gt;"&amp;$A239,実績!$AE$6:$AE$505,"○")&gt;0,1,0))</f>
        <v/>
      </c>
      <c r="F239">
        <f>IF(F$4=0,0,IF(COUNTIFS(実績!$W$6:$W$505,F$3,実績!$AC$6:$AC$505,"&lt;="&amp;$A239,実績!$AD$6:$AD$505,"&gt;"&amp;$A239,実績!$AE$6:$AE$505,"○")&gt;0,1,0))</f>
        <v/>
      </c>
      <c r="G239">
        <f>IF(G$4=0,0,IF(COUNTIFS(実績!$W$6:$W$505,G$3,実績!$AC$6:$AC$505,"&lt;="&amp;$A239,実績!$AD$6:$AD$505,"&gt;"&amp;$A239,実績!$AE$6:$AE$505,"○")&gt;0,1,0))</f>
        <v/>
      </c>
      <c r="H239">
        <f>IF(H$4=0,0,IF(COUNTIFS(実績!$W$6:$W$505,H$3,実績!$AC$6:$AC$505,"&lt;="&amp;$A239,実績!$AD$6:$AD$505,"&gt;"&amp;$A239,実績!$AE$6:$AE$505,"○")&gt;0,1,0))</f>
        <v/>
      </c>
      <c r="I239">
        <f>IF(I$4=0,0,IF(COUNTIFS(実績!$W$6:$W$505,I$3,実績!$AC$6:$AC$505,"&lt;="&amp;$A239,実績!$AD$6:$AD$505,"&gt;"&amp;$A239,実績!$AE$6:$AE$505,"○")&gt;0,1,0))</f>
        <v/>
      </c>
      <c r="J239">
        <f>IF(J$4=0,0,IF(COUNTIFS(実績!$W$6:$W$505,J$3,実績!$AC$6:$AC$505,"&lt;="&amp;$A239,実績!$AD$6:$AD$505,"&gt;"&amp;$A239,実績!$AE$6:$AE$505,"○")&gt;0,1,0))</f>
        <v/>
      </c>
      <c r="K239">
        <f>IF(K$4=0,0,IF(COUNTIFS(実績!$W$6:$W$505,K$3,実績!$AC$6:$AC$505,"&lt;="&amp;$A239,実績!$AD$6:$AD$505,"&gt;"&amp;$A239,実績!$AE$6:$AE$505,"○")&gt;0,1,0))</f>
        <v/>
      </c>
      <c r="L239">
        <f>IF(L$4=0,0,IF(COUNTIFS(実績!$W$6:$W$505,L$3,実績!$AC$6:$AC$505,"&lt;="&amp;$A239,実績!$AD$6:$AD$505,"&gt;"&amp;$A239,実績!$AE$6:$AE$505,"○")&gt;0,1,0))</f>
        <v/>
      </c>
      <c r="M239">
        <f>IF(M$4=0,0,IF(COUNTIFS(実績!$W$6:$W$505,M$3,実績!$AC$6:$AC$505,"&lt;="&amp;$A239,実績!$AD$6:$AD$505,"&gt;"&amp;$A239,実績!$AE$6:$AE$505,"○")&gt;0,1,0))</f>
        <v/>
      </c>
      <c r="N239">
        <f>IF(N$4=0,0,IF(COUNTIFS(実績!$W$6:$W$505,N$3,実績!$AC$6:$AC$505,"&lt;="&amp;$A239,実績!$AD$6:$AD$505,"&gt;"&amp;$A239,実績!$AE$6:$AE$505,"○")&gt;0,1,0))</f>
        <v/>
      </c>
      <c r="O239">
        <f>IF(O$4=0,0,IF(COUNTIFS(実績!$W$6:$W$505,O$3,実績!$AC$6:$AC$505,"&lt;="&amp;$A239,実績!$AD$6:$AD$505,"&gt;"&amp;$A239,実績!$AE$6:$AE$505,"○")&gt;0,1,0))</f>
        <v/>
      </c>
      <c r="P239">
        <f>IF(P$4=0,0,IF(COUNTIFS(実績!$W$6:$W$505,P$3,実績!$AC$6:$AC$505,"&lt;="&amp;$A239,実績!$AD$6:$AD$505,"&gt;"&amp;$A239,実績!$AE$6:$AE$505,"○")&gt;0,1,0))</f>
        <v/>
      </c>
      <c r="Q239">
        <f>IF(Q$4=0,0,IF(COUNTIFS(実績!$W$6:$W$505,Q$3,実績!$AC$6:$AC$505,"&lt;="&amp;$A239,実績!$AD$6:$AD$505,"&gt;"&amp;$A239,実績!$AE$6:$AE$505,"○")&gt;0,1,0))</f>
        <v/>
      </c>
      <c r="R239">
        <f>IF(R$4=0,0,IF(COUNTIFS(実績!$W$6:$W$505,R$3,実績!$AC$6:$AC$505,"&lt;="&amp;$A239,実績!$AD$6:$AD$505,"&gt;"&amp;$A239,実績!$AE$6:$AE$505,"○")&gt;0,1,0))</f>
        <v/>
      </c>
      <c r="S239">
        <f>IF(S$4=0,0,IF(COUNTIFS(実績!$W$6:$W$505,S$3,実績!$AC$6:$AC$505,"&lt;="&amp;$A239,実績!$AD$6:$AD$505,"&gt;"&amp;$A239,実績!$AE$6:$AE$505,"○")&gt;0,1,0))</f>
        <v/>
      </c>
      <c r="T239">
        <f>IF(T$4=0,0,IF(COUNTIFS(実績!$W$6:$W$505,T$3,実績!$AC$6:$AC$505,"&lt;="&amp;$A239,実績!$AD$6:$AD$505,"&gt;"&amp;$A239,実績!$AE$6:$AE$505,"○")&gt;0,1,0))</f>
        <v/>
      </c>
      <c r="U239">
        <f>IF(U$4=0,0,IF(COUNTIFS(実績!$W$6:$W$505,U$3,実績!$AC$6:$AC$505,"&lt;="&amp;$A239,実績!$AD$6:$AD$505,"&gt;"&amp;$A239,実績!$AE$6:$AE$505,"○")&gt;0,1,0))</f>
        <v/>
      </c>
      <c r="V239">
        <f>IF(V$4=0,0,IF(COUNTIFS(実績!$W$6:$W$505,V$3,実績!$AC$6:$AC$505,"&lt;="&amp;$A239,実績!$AD$6:$AD$505,"&gt;"&amp;$A239,実績!$AE$6:$AE$505,"○")&gt;0,1,0))</f>
        <v/>
      </c>
      <c r="W239">
        <f>IF(W$4=0,0,IF(COUNTIFS(実績!$W$6:$W$505,W$3,実績!$AC$6:$AC$505,"&lt;="&amp;$A239,実績!$AD$6:$AD$505,"&gt;"&amp;$A239,実績!$AE$6:$AE$505,"○")&gt;0,1,0))</f>
        <v/>
      </c>
      <c r="X239">
        <f>IF(X$4=0,0,IF(COUNTIFS(実績!$W$6:$W$505,X$3,実績!$AC$6:$AC$505,"&lt;="&amp;$A239,実績!$AD$6:$AD$505,"&gt;"&amp;$A239,実績!$AE$6:$AE$505,"○")&gt;0,1,0))</f>
        <v/>
      </c>
      <c r="Y239">
        <f>IF(Y$4=0,0,IF(COUNTIFS(実績!$W$6:$W$505,Y$3,実績!$AC$6:$AC$505,"&lt;="&amp;$A239,実績!$AD$6:$AD$505,"&gt;"&amp;$A239,実績!$AE$6:$AE$505,"○")&gt;0,1,0))</f>
        <v/>
      </c>
      <c r="Z239">
        <f>IF(Z$4=0,0,IF(COUNTIFS(実績!$W$6:$W$505,Z$3,実績!$AC$6:$AC$505,"&lt;="&amp;$A239,実績!$AD$6:$AD$505,"&gt;"&amp;$A239,実績!$AE$6:$AE$505,"○")&gt;0,1,0))</f>
        <v/>
      </c>
      <c r="AA239">
        <f>IF(AA$4=0,0,IF(COUNTIFS(実績!$W$6:$W$505,AA$3,実績!$AC$6:$AC$505,"&lt;="&amp;$A239,実績!$AD$6:$AD$505,"&gt;"&amp;$A239,実績!$AE$6:$AE$505,"○")&gt;0,1,0))</f>
        <v/>
      </c>
      <c r="AB239">
        <f>IF(AB$4=0,0,IF(COUNTIFS(実績!$W$6:$W$505,AB$3,実績!$AC$6:$AC$505,"&lt;="&amp;$A239,実績!$AD$6:$AD$505,"&gt;"&amp;$A239,実績!$AE$6:$AE$505,"○")&gt;0,1,0))</f>
        <v/>
      </c>
      <c r="AC239">
        <f>IF(AC$4=0,0,IF(COUNTIFS(実績!$W$6:$W$505,AC$3,実績!$AC$6:$AC$505,"&lt;="&amp;$A239,実績!$AD$6:$AD$505,"&gt;"&amp;$A239,実績!$AE$6:$AE$505,"○")&gt;0,1,0))</f>
        <v/>
      </c>
      <c r="AD239">
        <f>IF(AD$4=0,0,IF(COUNTIFS(実績!$W$6:$W$505,AD$3,実績!$AC$6:$AC$505,"&lt;="&amp;$A239,実績!$AD$6:$AD$505,"&gt;"&amp;$A239,実績!$AE$6:$AE$505,"○")&gt;0,1,0))</f>
        <v/>
      </c>
      <c r="AE239">
        <f>IF(AE$4=0,0,IF(COUNTIFS(実績!$W$6:$W$505,AE$3,実績!$AC$6:$AC$505,"&lt;="&amp;$A239,実績!$AD$6:$AD$505,"&gt;"&amp;$A239,実績!$AE$6:$AE$505,"○")&gt;0,1,0))</f>
        <v/>
      </c>
      <c r="AF239">
        <f>IF(AF$4=0,0,IF(COUNTIFS(実績!$W$6:$W$505,AF$3,実績!$AC$6:$AC$505,"&lt;="&amp;$A239,実績!$AD$6:$AD$505,"&gt;"&amp;$A239,実績!$AE$6:$AE$505,"○")&gt;0,1,0))</f>
        <v/>
      </c>
      <c r="AG239">
        <f>IF(AG$4=0,0,IF(COUNTIFS(実績!$W$6:$W$505,AG$3,実績!$AC$6:$AC$505,"&lt;="&amp;$A239,実績!$AD$6:$AD$505,"&gt;"&amp;$A239,実績!$AE$6:$AE$505,"○")&gt;0,1,0))</f>
        <v/>
      </c>
      <c r="AH239">
        <f>IF(AH$4=0,0,IF(COUNTIFS(実績!$W$6:$W$505,AH$3,実績!$AC$6:$AC$505,"&lt;="&amp;$A239,実績!$AD$6:$AD$505,"&gt;"&amp;$A239,実績!$AE$6:$AE$505,"○")&gt;0,1,0))</f>
        <v/>
      </c>
      <c r="AI239">
        <f>IF(AI$4=0,0,IF(COUNTIFS(実績!$W$6:$W$505,AI$3,実績!$AC$6:$AC$505,"&lt;="&amp;$A239,実績!$AD$6:$AD$505,"&gt;"&amp;$A239,実績!$AE$6:$AE$505,"○")&gt;0,1,0))</f>
        <v/>
      </c>
      <c r="AJ239">
        <f>IF(AJ$4=0,0,IF(COUNTIFS(実績!$W$6:$W$505,AJ$3,実績!$AC$6:$AC$505,"&lt;="&amp;$A239,実績!$AD$6:$AD$505,"&gt;"&amp;$A239,実績!$AE$6:$AE$505,"○")&gt;0,1,0))</f>
        <v/>
      </c>
      <c r="AK239">
        <f>IF(AK$4=0,0,IF(COUNTIFS(実績!$W$6:$W$505,AK$3,実績!$AC$6:$AC$505,"&lt;="&amp;$A239,実績!$AD$6:$AD$505,"&gt;"&amp;$A239,実績!$AE$6:$AE$505,"○")&gt;0,1,0))</f>
        <v/>
      </c>
      <c r="AL239">
        <f>IF(AL$4=0,0,IF(COUNTIFS(実績!$W$6:$W$505,AL$3,実績!$AC$6:$AC$505,"&lt;="&amp;$A239,実績!$AD$6:$AD$505,"&gt;"&amp;$A239,実績!$AE$6:$AE$505,"○")&gt;0,1,0))</f>
        <v/>
      </c>
      <c r="AM239">
        <f>IF(AM$4=0,0,IF(COUNTIFS(実績!$W$6:$W$505,AM$3,実績!$AC$6:$AC$505,"&lt;="&amp;$A239,実績!$AD$6:$AD$505,"&gt;"&amp;$A239,実績!$AE$6:$AE$505,"○")&gt;0,1,0))</f>
        <v/>
      </c>
      <c r="AN239">
        <f>IF(AN$4=0,0,IF(COUNTIFS(実績!$W$6:$W$505,AN$3,実績!$AC$6:$AC$505,"&lt;="&amp;$A239,実績!$AD$6:$AD$505,"&gt;"&amp;$A239,実績!$AE$6:$AE$505,"○")&gt;0,1,0))</f>
        <v/>
      </c>
      <c r="AO239">
        <f>IF(AO$4=0,0,IF(COUNTIFS(実績!$W$6:$W$505,AO$3,実績!$AC$6:$AC$505,"&lt;="&amp;$A239,実績!$AD$6:$AD$505,"&gt;"&amp;$A239,実績!$AE$6:$AE$505,"○")&gt;0,1,0))</f>
        <v/>
      </c>
      <c r="AP239">
        <f>IF(AP$4=0,0,IF(COUNTIFS(実績!$W$6:$W$505,AP$3,実績!$AC$6:$AC$505,"&lt;="&amp;$A239,実績!$AD$6:$AD$505,"&gt;"&amp;$A239,実績!$AE$6:$AE$505,"○")&gt;0,1,0))</f>
        <v/>
      </c>
      <c r="AQ239">
        <f>IF(AQ$4=0,0,IF(COUNTIFS(実績!$W$6:$W$505,AQ$3,実績!$AC$6:$AC$505,"&lt;="&amp;$A239,実績!$AD$6:$AD$505,"&gt;"&amp;$A239,実績!$AE$6:$AE$505,"○")&gt;0,1,0))</f>
        <v/>
      </c>
      <c r="AR239">
        <f>IF(AR$4=0,0,IF(COUNTIFS(実績!$W$6:$W$505,AR$3,実績!$AC$6:$AC$505,"&lt;="&amp;$A239,実績!$AD$6:$AD$505,"&gt;"&amp;$A239,実績!$AE$6:$AE$505,"○")&gt;0,1,0))</f>
        <v/>
      </c>
      <c r="AS239">
        <f>IF(AS$4=0,0,IF(COUNTIFS(実績!$W$6:$W$505,AS$3,実績!$AC$6:$AC$505,"&lt;="&amp;$A239,実績!$AD$6:$AD$505,"&gt;"&amp;$A239,実績!$AE$6:$AE$505,"○")&gt;0,1,0))</f>
        <v/>
      </c>
      <c r="AT239">
        <f>IF(AT$4=0,0,IF(COUNTIFS(実績!$W$6:$W$505,AT$3,実績!$AC$6:$AC$505,"&lt;="&amp;$A239,実績!$AD$6:$AD$505,"&gt;"&amp;$A239,実績!$AE$6:$AE$505,"○")&gt;0,1,0))</f>
        <v/>
      </c>
      <c r="AU239">
        <f>IF(AU$4=0,0,IF(COUNTIFS(実績!$W$6:$W$505,AU$3,実績!$AC$6:$AC$505,"&lt;="&amp;$A239,実績!$AD$6:$AD$505,"&gt;"&amp;$A239,実績!$AE$6:$AE$505,"○")&gt;0,1,0))</f>
        <v/>
      </c>
      <c r="AV239">
        <f>IF(AV$4=0,0,IF(COUNTIFS(実績!$W$6:$W$505,AV$3,実績!$AC$6:$AC$505,"&lt;="&amp;$A239,実績!$AD$6:$AD$505,"&gt;"&amp;$A239,実績!$AE$6:$AE$505,"○")&gt;0,1,0))</f>
        <v/>
      </c>
      <c r="AW239">
        <f>IF(AW$4=0,0,IF(COUNTIFS(実績!$W$6:$W$505,AW$3,実績!$AC$6:$AC$505,"&lt;="&amp;$A239,実績!$AD$6:$AD$505,"&gt;"&amp;$A239,実績!$AE$6:$AE$505,"○")&gt;0,1,0))</f>
        <v/>
      </c>
      <c r="AX239">
        <f>IF(AX$4=0,0,IF(COUNTIFS(実績!$W$6:$W$505,AX$3,実績!$AC$6:$AC$505,"&lt;="&amp;$A239,実績!$AD$6:$AD$505,"&gt;"&amp;$A239,実績!$AE$6:$AE$505,"○")&gt;0,1,0))</f>
        <v/>
      </c>
      <c r="AY239">
        <f>IF(AY$4=0,0,IF(COUNTIFS(実績!$W$6:$W$505,AY$3,実績!$AC$6:$AC$505,"&lt;="&amp;$A239,実績!$AD$6:$AD$505,"&gt;"&amp;$A239,実績!$AE$6:$AE$505,"○")&gt;0,1,0))</f>
        <v/>
      </c>
      <c r="AZ239">
        <f>IF(AZ$4=0,0,IF(COUNTIFS(実績!$W$6:$W$505,AZ$3,実績!$AC$6:$AC$505,"&lt;="&amp;$A239,実績!$AD$6:$AD$505,"&gt;"&amp;$A239,実績!$AE$6:$AE$505,"○")&gt;0,1,0))</f>
        <v/>
      </c>
      <c r="BA239">
        <f>IF(BA$4=0,0,IF(COUNTIFS(実績!$W$6:$W$505,BA$3,実績!$AC$6:$AC$505,"&lt;="&amp;$A239,実績!$AD$6:$AD$505,"&gt;"&amp;$A239,実績!$AE$6:$AE$505,"○")&gt;0,1,0))</f>
        <v/>
      </c>
      <c r="BB239">
        <f>IF(BB$4=0,0,IF(COUNTIFS(実績!$W$6:$W$505,BB$3,実績!$AC$6:$AC$505,"&lt;="&amp;$A239,実績!$AD$6:$AD$505,"&gt;"&amp;$A239,実績!$AE$6:$AE$505,"○")&gt;0,1,0))</f>
        <v/>
      </c>
      <c r="BC239">
        <f>IF(BC$4=0,0,IF(COUNTIFS(実績!$W$6:$W$505,BC$3,実績!$AC$6:$AC$505,"&lt;="&amp;$A239,実績!$AD$6:$AD$505,"&gt;"&amp;$A239,実績!$AE$6:$AE$505,"○")&gt;0,1,0))</f>
        <v/>
      </c>
      <c r="BD239">
        <f>IF(BD$4=0,0,IF(COUNTIFS(実績!$W$6:$W$505,BD$3,実績!$AC$6:$AC$505,"&lt;="&amp;$A239,実績!$AD$6:$AD$505,"&gt;"&amp;$A239,実績!$AE$6:$AE$505,"○")&gt;0,1,0))</f>
        <v/>
      </c>
      <c r="BE239">
        <f>IF(BE$4=0,0,IF(COUNTIFS(実績!$W$6:$W$505,BE$3,実績!$AC$6:$AC$505,"&lt;="&amp;$A239,実績!$AD$6:$AD$505,"&gt;"&amp;$A239,実績!$AE$6:$AE$505,"○")&gt;0,1,0))</f>
        <v/>
      </c>
      <c r="BF239">
        <f>IF(BF$4=0,0,IF(COUNTIFS(実績!$W$6:$W$505,BF$3,実績!$AC$6:$AC$505,"&lt;="&amp;$A239,実績!$AD$6:$AD$505,"&gt;"&amp;$A239,実績!$AE$6:$AE$505,"○")&gt;0,1,0))</f>
        <v/>
      </c>
      <c r="BG239">
        <f>IF(BG$4=0,0,IF(COUNTIFS(実績!$W$6:$W$505,BG$3,実績!$AC$6:$AC$505,"&lt;="&amp;$A239,実績!$AD$6:$AD$505,"&gt;"&amp;$A239,実績!$AE$6:$AE$505,"○")&gt;0,1,0))</f>
        <v/>
      </c>
      <c r="BH239">
        <f>IF(BH$4=0,0,IF(COUNTIFS(実績!$W$6:$W$505,BH$3,実績!$AC$6:$AC$505,"&lt;="&amp;$A239,実績!$AD$6:$AD$505,"&gt;"&amp;$A239,実績!$AE$6:$AE$505,"○")&gt;0,1,0))</f>
        <v/>
      </c>
      <c r="BI239">
        <f>IF(BI$4=0,0,IF(COUNTIFS(実績!$W$6:$W$505,BI$3,実績!$AC$6:$AC$505,"&lt;="&amp;$A239,実績!$AD$6:$AD$505,"&gt;"&amp;$A239,実績!$AE$6:$AE$505,"○")&gt;0,1,0))</f>
        <v/>
      </c>
      <c r="BJ239">
        <f>IF(BJ$4=0,0,IF(COUNTIFS(実績!$W$6:$W$505,BJ$3,実績!$AC$6:$AC$505,"&lt;="&amp;$A239,実績!$AD$6:$AD$505,"&gt;"&amp;$A239,実績!$AE$6:$AE$505,"○")&gt;0,1,0))</f>
        <v/>
      </c>
      <c r="BK239">
        <f>IF(BK$4=0,0,IF(COUNTIFS(実績!$W$6:$W$505,BK$3,実績!$AC$6:$AC$505,"&lt;="&amp;$A239,実績!$AD$6:$AD$505,"&gt;"&amp;$A239,実績!$AE$6:$AE$505,"○")&gt;0,1,0))</f>
        <v/>
      </c>
      <c r="BL239">
        <f>IF(BL$4=0,0,IF(COUNTIFS(実績!$W$6:$W$505,BL$3,実績!$AC$6:$AC$505,"&lt;="&amp;$A239,実績!$AD$6:$AD$505,"&gt;"&amp;$A239,実績!$AE$6:$AE$505,"○")&gt;0,1,0))</f>
        <v/>
      </c>
      <c r="BM239">
        <f>IF(BM$4=0,0,IF(COUNTIFS(実績!$W$6:$W$505,BM$3,実績!$AC$6:$AC$505,"&lt;="&amp;$A239,実績!$AD$6:$AD$505,"&gt;"&amp;$A239,実績!$AE$6:$AE$505,"○")&gt;0,1,0))</f>
        <v/>
      </c>
      <c r="BN239">
        <f>IF(BN$4=0,0,IF(COUNTIFS(実績!$W$6:$W$505,BN$3,実績!$AC$6:$AC$505,"&lt;="&amp;$A239,実績!$AD$6:$AD$505,"&gt;"&amp;$A239,実績!$AE$6:$AE$505,"○")&gt;0,1,0))</f>
        <v/>
      </c>
      <c r="BO239">
        <f>IF(BO$4=0,0,IF(COUNTIFS(実績!$W$6:$W$505,BO$3,実績!$AC$6:$AC$505,"&lt;="&amp;$A239,実績!$AD$6:$AD$505,"&gt;"&amp;$A239,実績!$AE$6:$AE$505,"○")&gt;0,1,0))</f>
        <v/>
      </c>
      <c r="BP239">
        <f>IF(BP$4=0,0,IF(COUNTIFS(実績!$W$6:$W$505,BP$3,実績!$AC$6:$AC$505,"&lt;="&amp;$A239,実績!$AD$6:$AD$505,"&gt;"&amp;$A239,実績!$AE$6:$AE$505,"○")&gt;0,1,0))</f>
        <v/>
      </c>
      <c r="BQ239">
        <f>IF(BQ$4=0,0,IF(COUNTIFS(実績!$W$6:$W$505,BQ$3,実績!$AC$6:$AC$505,"&lt;="&amp;$A239,実績!$AD$6:$AD$505,"&gt;"&amp;$A239,実績!$AE$6:$AE$505,"○")&gt;0,1,0))</f>
        <v/>
      </c>
      <c r="BR239">
        <f>IF(BR$4=0,0,IF(COUNTIFS(実績!$W$6:$W$505,BR$3,実績!$AC$6:$AC$505,"&lt;="&amp;$A239,実績!$AD$6:$AD$505,"&gt;"&amp;$A239,実績!$AE$6:$AE$505,"○")&gt;0,1,0))</f>
        <v/>
      </c>
      <c r="BS239">
        <f>IF(BS$4=0,0,IF(COUNTIFS(実績!$W$6:$W$505,BS$3,実績!$AC$6:$AC$505,"&lt;="&amp;$A239,実績!$AD$6:$AD$505,"&gt;"&amp;$A239,実績!$AE$6:$AE$505,"○")&gt;0,1,0))</f>
        <v/>
      </c>
      <c r="BT239">
        <f>IF(BT$4=0,0,IF(COUNTIFS(実績!$W$6:$W$505,BT$3,実績!$AC$6:$AC$505,"&lt;="&amp;$A239,実績!$AD$6:$AD$505,"&gt;"&amp;$A239,実績!$AE$6:$AE$505,"○")&gt;0,1,0))</f>
        <v/>
      </c>
      <c r="BU239">
        <f>IF(BU$4=0,0,IF(COUNTIFS(実績!$W$6:$W$505,BU$3,実績!$AC$6:$AC$505,"&lt;="&amp;$A239,実績!$AD$6:$AD$505,"&gt;"&amp;$A239,実績!$AE$6:$AE$505,"○")&gt;0,1,0))</f>
        <v/>
      </c>
      <c r="BV239">
        <f>IF(BV$4=0,0,IF(COUNTIFS(実績!$W$6:$W$505,BV$3,実績!$AC$6:$AC$505,"&lt;="&amp;$A239,実績!$AD$6:$AD$505,"&gt;"&amp;$A239,実績!$AE$6:$AE$505,"○")&gt;0,1,0))</f>
        <v/>
      </c>
      <c r="BW239">
        <f>IF(BW$4=0,0,IF(COUNTIFS(実績!$W$6:$W$505,BW$3,実績!$AC$6:$AC$505,"&lt;="&amp;$A239,実績!$AD$6:$AD$505,"&gt;"&amp;$A239,実績!$AE$6:$AE$505,"○")&gt;0,1,0))</f>
        <v/>
      </c>
      <c r="BX239">
        <f>IF(BX$4=0,0,IF(COUNTIFS(実績!$W$6:$W$505,BX$3,実績!$AC$6:$AC$505,"&lt;="&amp;$A239,実績!$AD$6:$AD$505,"&gt;"&amp;$A239,実績!$AE$6:$AE$505,"○")&gt;0,1,0))</f>
        <v/>
      </c>
      <c r="BY239">
        <f>IF(BY$4=0,0,IF(COUNTIFS(実績!$W$6:$W$505,BY$3,実績!$AC$6:$AC$505,"&lt;="&amp;$A239,実績!$AD$6:$AD$505,"&gt;"&amp;$A239,実績!$AE$6:$AE$505,"○")&gt;0,1,0))</f>
        <v/>
      </c>
      <c r="BZ239">
        <f>IF(BZ$4=0,0,IF(COUNTIFS(実績!$W$6:$W$505,BZ$3,実績!$AC$6:$AC$505,"&lt;="&amp;$A239,実績!$AD$6:$AD$505,"&gt;"&amp;$A239,実績!$AE$6:$AE$505,"○")&gt;0,1,0))</f>
        <v/>
      </c>
      <c r="CA239">
        <f>IF(CA$4=0,0,IF(COUNTIFS(実績!$W$6:$W$505,CA$3,実績!$AC$6:$AC$505,"&lt;="&amp;$A239,実績!$AD$6:$AD$505,"&gt;"&amp;$A239,実績!$AE$6:$AE$505,"○")&gt;0,1,0))</f>
        <v/>
      </c>
      <c r="CB239">
        <f>IF(CB$4=0,0,IF(COUNTIFS(実績!$W$6:$W$505,CB$3,実績!$AC$6:$AC$505,"&lt;="&amp;$A239,実績!$AD$6:$AD$505,"&gt;"&amp;$A239,実績!$AE$6:$AE$505,"○")&gt;0,1,0))</f>
        <v/>
      </c>
      <c r="CC239">
        <f>IF(CC$4=0,0,IF(COUNTIFS(実績!$W$6:$W$505,CC$3,実績!$AC$6:$AC$505,"&lt;="&amp;$A239,実績!$AD$6:$AD$505,"&gt;"&amp;$A239,実績!$AE$6:$AE$505,"○")&gt;0,1,0))</f>
        <v/>
      </c>
      <c r="CD239">
        <f>IF(CD$4=0,0,IF(COUNTIFS(実績!$W$6:$W$505,CD$3,実績!$AC$6:$AC$505,"&lt;="&amp;$A239,実績!$AD$6:$AD$505,"&gt;"&amp;$A239,実績!$AE$6:$AE$505,"○")&gt;0,1,0))</f>
        <v/>
      </c>
      <c r="CE239">
        <f>IF(CE$4=0,0,IF(COUNTIFS(実績!$W$6:$W$505,CE$3,実績!$AC$6:$AC$505,"&lt;="&amp;$A239,実績!$AD$6:$AD$505,"&gt;"&amp;$A239,実績!$AE$6:$AE$505,"○")&gt;0,1,0))</f>
        <v/>
      </c>
      <c r="CF239">
        <f>IF(CF$4=0,0,IF(COUNTIFS(実績!$W$6:$W$505,CF$3,実績!$AC$6:$AC$505,"&lt;="&amp;$A239,実績!$AD$6:$AD$505,"&gt;"&amp;$A239,実績!$AE$6:$AE$505,"○")&gt;0,1,0))</f>
        <v/>
      </c>
      <c r="CG239">
        <f>IF(CG$4=0,0,IF(COUNTIFS(実績!$W$6:$W$505,CG$3,実績!$AC$6:$AC$505,"&lt;="&amp;$A239,実績!$AD$6:$AD$505,"&gt;"&amp;$A239,実績!$AE$6:$AE$505,"○")&gt;0,1,0))</f>
        <v/>
      </c>
      <c r="CH239">
        <f>IF(CH$4=0,0,IF(COUNTIFS(実績!$W$6:$W$505,CH$3,実績!$AC$6:$AC$505,"&lt;="&amp;$A239,実績!$AD$6:$AD$505,"&gt;"&amp;$A239,実績!$AE$6:$AE$505,"○")&gt;0,1,0))</f>
        <v/>
      </c>
      <c r="CI239">
        <f>IF(CI$4=0,0,IF(COUNTIFS(実績!$W$6:$W$505,CI$3,実績!$AC$6:$AC$505,"&lt;="&amp;$A239,実績!$AD$6:$AD$505,"&gt;"&amp;$A239,実績!$AE$6:$AE$505,"○")&gt;0,1,0))</f>
        <v/>
      </c>
      <c r="CJ239">
        <f>IF(CJ$4=0,0,IF(COUNTIFS(実績!$W$6:$W$505,CJ$3,実績!$AC$6:$AC$505,"&lt;="&amp;$A239,実績!$AD$6:$AD$505,"&gt;"&amp;$A239,実績!$AE$6:$AE$505,"○")&gt;0,1,0))</f>
        <v/>
      </c>
      <c r="CK239">
        <f>IF(CK$4=0,0,IF(COUNTIFS(実績!$W$6:$W$505,CK$3,実績!$AC$6:$AC$505,"&lt;="&amp;$A239,実績!$AD$6:$AD$505,"&gt;"&amp;$A239,実績!$AE$6:$AE$505,"○")&gt;0,1,0))</f>
        <v/>
      </c>
      <c r="CL239">
        <f>IF(CL$4=0,0,IF(COUNTIFS(実績!$W$6:$W$505,CL$3,実績!$AC$6:$AC$505,"&lt;="&amp;$A239,実績!$AD$6:$AD$505,"&gt;"&amp;$A239,実績!$AE$6:$AE$505,"○")&gt;0,1,0))</f>
        <v/>
      </c>
      <c r="CM239">
        <f>IF(CM$4=0,0,IF(COUNTIFS(実績!$W$6:$W$505,CM$3,実績!$AC$6:$AC$505,"&lt;="&amp;$A239,実績!$AD$6:$AD$505,"&gt;"&amp;$A239,実績!$AE$6:$AE$505,"○")&gt;0,1,0))</f>
        <v/>
      </c>
      <c r="CN239">
        <f>IF(CN$4=0,0,IF(COUNTIFS(実績!$W$6:$W$505,CN$3,実績!$AC$6:$AC$505,"&lt;="&amp;$A239,実績!$AD$6:$AD$505,"&gt;"&amp;$A239,実績!$AE$6:$AE$505,"○")&gt;0,1,0))</f>
        <v/>
      </c>
      <c r="CO239">
        <f>IF(CO$4=0,0,IF(COUNTIFS(実績!$W$6:$W$505,CO$3,実績!$AC$6:$AC$505,"&lt;="&amp;$A239,実績!$AD$6:$AD$505,"&gt;"&amp;$A239,実績!$AE$6:$AE$505,"○")&gt;0,1,0))</f>
        <v/>
      </c>
      <c r="CP239">
        <f>IF(CP$4=0,0,IF(COUNTIFS(実績!$W$6:$W$505,CP$3,実績!$AC$6:$AC$505,"&lt;="&amp;$A239,実績!$AD$6:$AD$505,"&gt;"&amp;$A239,実績!$AE$6:$AE$505,"○")&gt;0,1,0))</f>
        <v/>
      </c>
      <c r="CQ239">
        <f>IF(CQ$4=0,0,IF(COUNTIFS(実績!$W$6:$W$505,CQ$3,実績!$AC$6:$AC$505,"&lt;="&amp;$A239,実績!$AD$6:$AD$505,"&gt;"&amp;$A239,実績!$AE$6:$AE$505,"○")&gt;0,1,0))</f>
        <v/>
      </c>
      <c r="CR239">
        <f>IF(CR$4=0,0,IF(COUNTIFS(実績!$W$6:$W$505,CR$3,実績!$AC$6:$AC$505,"&lt;="&amp;$A239,実績!$AD$6:$AD$505,"&gt;"&amp;$A239,実績!$AE$6:$AE$505,"○")&gt;0,1,0))</f>
        <v/>
      </c>
      <c r="CS239">
        <f>IF(CS$4=0,0,IF(COUNTIFS(実績!$W$6:$W$505,CS$3,実績!$AC$6:$AC$505,"&lt;="&amp;$A239,実績!$AD$6:$AD$505,"&gt;"&amp;$A239,実績!$AE$6:$AE$505,"○")&gt;0,1,0))</f>
        <v/>
      </c>
      <c r="CT239">
        <f>IF(CT$4=0,0,IF(COUNTIFS(実績!$W$6:$W$505,CT$3,実績!$AC$6:$AC$505,"&lt;="&amp;$A239,実績!$AD$6:$AD$505,"&gt;"&amp;$A239,実績!$AE$6:$AE$505,"○")&gt;0,1,0))</f>
        <v/>
      </c>
      <c r="CU239">
        <f>IF(CU$4=0,0,IF(COUNTIFS(実績!$W$6:$W$505,CU$3,実績!$AC$6:$AC$505,"&lt;="&amp;$A239,実績!$AD$6:$AD$505,"&gt;"&amp;$A239,実績!$AE$6:$AE$505,"○")&gt;0,1,0))</f>
        <v/>
      </c>
      <c r="CV239">
        <f>IF(CV$4=0,0,IF(COUNTIFS(実績!$W$6:$W$505,CV$3,実績!$AC$6:$AC$505,"&lt;="&amp;$A239,実績!$AD$6:$AD$505,"&gt;"&amp;$A239,実績!$AE$6:$AE$505,"○")&gt;0,1,0))</f>
        <v/>
      </c>
      <c r="CW239">
        <f>IF(CW$4=0,0,IF(COUNTIFS(実績!$W$6:$W$505,CW$3,実績!$AC$6:$AC$505,"&lt;="&amp;$A239,実績!$AD$6:$AD$505,"&gt;"&amp;$A239,実績!$AE$6:$AE$505,"○")&gt;0,1,0))</f>
        <v/>
      </c>
      <c r="CX239">
        <f>IF(CX$4=0,0,IF(COUNTIFS(実績!$W$6:$W$505,CX$3,実績!$AC$6:$AC$505,"&lt;="&amp;$A239,実績!$AD$6:$AD$505,"&gt;"&amp;$A239,実績!$AE$6:$AE$505,"○")&gt;0,1,0))</f>
        <v/>
      </c>
      <c r="CY239">
        <f>IF(CY$4=0,0,IF(COUNTIFS(実績!$W$6:$W$505,CY$3,実績!$AC$6:$AC$505,"&lt;="&amp;$A239,実績!$AD$6:$AD$505,"&gt;"&amp;$A239,実績!$AE$6:$AE$505,"○")&gt;0,1,0))</f>
        <v/>
      </c>
      <c r="CZ239">
        <f>IF(CZ$4=0,0,IF(COUNTIFS(実績!$W$6:$W$505,CZ$3,実績!$AC$6:$AC$505,"&lt;="&amp;$A239,実績!$AD$6:$AD$505,"&gt;"&amp;$A239,実績!$AE$6:$AE$505,"○")&gt;0,1,0))</f>
        <v/>
      </c>
      <c r="DA239">
        <f>IF(DA$4=0,0,IF(COUNTIFS(実績!$W$6:$W$505,DA$3,実績!$AC$6:$AC$505,"&lt;="&amp;$A239,実績!$AD$6:$AD$505,"&gt;"&amp;$A239,実績!$AE$6:$AE$505,"○")&gt;0,1,0))</f>
        <v/>
      </c>
      <c r="DB239">
        <f>IF(DB$4=0,0,IF(COUNTIFS(実績!$W$6:$W$505,DB$3,実績!$AC$6:$AC$505,"&lt;="&amp;$A239,実績!$AD$6:$AD$505,"&gt;"&amp;$A239,実績!$AE$6:$AE$505,"○")&gt;0,1,0))</f>
        <v/>
      </c>
      <c r="DC239">
        <f>IF(DC$4=0,0,IF(COUNTIFS(実績!$W$6:$W$505,DC$3,実績!$AC$6:$AC$505,"&lt;="&amp;$A239,実績!$AD$6:$AD$505,"&gt;"&amp;$A239,実績!$AE$6:$AE$505,"○")&gt;0,1,0))</f>
        <v/>
      </c>
      <c r="DD239">
        <f>IF(DD$4=0,0,IF(COUNTIFS(実績!$W$6:$W$505,DD$3,実績!$AC$6:$AC$505,"&lt;="&amp;$A239,実績!$AD$6:$AD$505,"&gt;"&amp;$A239,実績!$AE$6:$AE$505,"○")&gt;0,1,0))</f>
        <v/>
      </c>
      <c r="DE239">
        <f>IF(DE$4=0,0,IF(COUNTIFS(実績!$W$6:$W$505,DE$3,実績!$AC$6:$AC$505,"&lt;="&amp;$A239,実績!$AD$6:$AD$505,"&gt;"&amp;$A239,実績!$AE$6:$AE$505,"○")&gt;0,1,0))</f>
        <v/>
      </c>
      <c r="DF239">
        <f>IF(DF$4=0,0,IF(COUNTIFS(実績!$W$6:$W$505,DF$3,実績!$AC$6:$AC$505,"&lt;="&amp;$A239,実績!$AD$6:$AD$505,"&gt;"&amp;$A239,実績!$AE$6:$AE$505,"○")&gt;0,1,0))</f>
        <v/>
      </c>
      <c r="DG239">
        <f>IF(DG$4=0,0,IF(COUNTIFS(実績!$W$6:$W$505,DG$3,実績!$AC$6:$AC$505,"&lt;="&amp;$A239,実績!$AD$6:$AD$505,"&gt;"&amp;$A239,実績!$AE$6:$AE$505,"○")&gt;0,1,0))</f>
        <v/>
      </c>
      <c r="DH239">
        <f>IF(DH$4=0,0,IF(COUNTIFS(実績!$W$6:$W$505,DH$3,実績!$AC$6:$AC$505,"&lt;="&amp;$A239,実績!$AD$6:$AD$505,"&gt;"&amp;$A239,実績!$AE$6:$AE$505,"○")&gt;0,1,0))</f>
        <v/>
      </c>
      <c r="DI239">
        <f>IF(DI$4=0,0,IF(COUNTIFS(実績!$W$6:$W$505,DI$3,実績!$AC$6:$AC$505,"&lt;="&amp;$A239,実績!$AD$6:$AD$505,"&gt;"&amp;$A239,実績!$AE$6:$AE$505,"○")&gt;0,1,0))</f>
        <v/>
      </c>
      <c r="DJ239">
        <f>IF(DJ$4=0,0,IF(COUNTIFS(実績!$W$6:$W$505,DJ$3,実績!$AC$6:$AC$505,"&lt;="&amp;$A239,実績!$AD$6:$AD$505,"&gt;"&amp;$A239,実績!$AE$6:$AE$505,"○")&gt;0,1,0))</f>
        <v/>
      </c>
      <c r="DK239">
        <f>IF(DK$4=0,0,IF(COUNTIFS(実績!$W$6:$W$505,DK$3,実績!$AC$6:$AC$505,"&lt;="&amp;$A239,実績!$AD$6:$AD$505,"&gt;"&amp;$A239,実績!$AE$6:$AE$505,"○")&gt;0,1,0))</f>
        <v/>
      </c>
      <c r="DL239">
        <f>IF(DL$4=0,0,IF(COUNTIFS(実績!$W$6:$W$505,DL$3,実績!$AC$6:$AC$505,"&lt;="&amp;$A239,実績!$AD$6:$AD$505,"&gt;"&amp;$A239,実績!$AE$6:$AE$505,"○")&gt;0,1,0))</f>
        <v/>
      </c>
      <c r="DM239">
        <f>IF(DM$4=0,0,IF(COUNTIFS(実績!$W$6:$W$505,DM$3,実績!$AC$6:$AC$505,"&lt;="&amp;$A239,実績!$AD$6:$AD$505,"&gt;"&amp;$A239,実績!$AE$6:$AE$505,"○")&gt;0,1,0))</f>
        <v/>
      </c>
      <c r="DN239">
        <f>IF(DN$4=0,0,IF(COUNTIFS(実績!$W$6:$W$505,DN$3,実績!$AC$6:$AC$505,"&lt;="&amp;$A239,実績!$AD$6:$AD$505,"&gt;"&amp;$A239,実績!$AE$6:$AE$505,"○")&gt;0,1,0))</f>
        <v/>
      </c>
      <c r="DO239">
        <f>IF(DO$4=0,0,IF(COUNTIFS(実績!$W$6:$W$505,DO$3,実績!$AC$6:$AC$505,"&lt;="&amp;$A239,実績!$AD$6:$AD$505,"&gt;"&amp;$A239,実績!$AE$6:$AE$505,"○")&gt;0,1,0))</f>
        <v/>
      </c>
      <c r="DP239">
        <f>IF(DP$4=0,0,IF(COUNTIFS(実績!$W$6:$W$505,DP$3,実績!$AC$6:$AC$505,"&lt;="&amp;$A239,実績!$AD$6:$AD$505,"&gt;"&amp;$A239,実績!$AE$6:$AE$505,"○")&gt;0,1,0))</f>
        <v/>
      </c>
      <c r="DQ239">
        <f>IF(DQ$4=0,0,IF(COUNTIFS(実績!$W$6:$W$505,DQ$3,実績!$AC$6:$AC$505,"&lt;="&amp;$A239,実績!$AD$6:$AD$505,"&gt;"&amp;$A239,実績!$AE$6:$AE$505,"○")&gt;0,1,0))</f>
        <v/>
      </c>
      <c r="DR239">
        <f>IF(DR$4=0,0,IF(COUNTIFS(実績!$W$6:$W$505,DR$3,実績!$AC$6:$AC$505,"&lt;="&amp;$A239,実績!$AD$6:$AD$505,"&gt;"&amp;$A239,実績!$AE$6:$AE$505,"○")&gt;0,1,0))</f>
        <v/>
      </c>
      <c r="DS239">
        <f>SUM(C239:DR239)</f>
        <v/>
      </c>
      <c r="DT239">
        <f>SUMPRODUCT((実績!$C$6:$C$505="○")*ISNUMBER(実績!$AF$6:$AF$505)*(実績!$AF$6:$AF$505&lt;=$A239)*(実績!$AG$6:$AG$505&gt;$A239))</f>
        <v/>
      </c>
      <c r="DU239">
        <f>SUMIF($C$2:$DR$2,"製鉄曳船",C239:DR239)</f>
        <v/>
      </c>
      <c r="DV239">
        <f>SUMIF($C$2:$DR$2,"西日本海運",C239:DR239)</f>
        <v/>
      </c>
    </row>
    <row r="240">
      <c r="A240" t="n">
        <v>1170</v>
      </c>
      <c r="B240" s="29">
        <f>A240/1440</f>
        <v/>
      </c>
      <c r="C240">
        <f>IF(C$4=0,0,IF(COUNTIFS(実績!$W$6:$W$505,C$3,実績!$AC$6:$AC$505,"&lt;="&amp;$A240,実績!$AD$6:$AD$505,"&gt;"&amp;$A240,実績!$AE$6:$AE$505,"○")&gt;0,1,0))</f>
        <v/>
      </c>
      <c r="D240">
        <f>IF(D$4=0,0,IF(COUNTIFS(実績!$W$6:$W$505,D$3,実績!$AC$6:$AC$505,"&lt;="&amp;$A240,実績!$AD$6:$AD$505,"&gt;"&amp;$A240,実績!$AE$6:$AE$505,"○")&gt;0,1,0))</f>
        <v/>
      </c>
      <c r="E240">
        <f>IF(E$4=0,0,IF(COUNTIFS(実績!$W$6:$W$505,E$3,実績!$AC$6:$AC$505,"&lt;="&amp;$A240,実績!$AD$6:$AD$505,"&gt;"&amp;$A240,実績!$AE$6:$AE$505,"○")&gt;0,1,0))</f>
        <v/>
      </c>
      <c r="F240">
        <f>IF(F$4=0,0,IF(COUNTIFS(実績!$W$6:$W$505,F$3,実績!$AC$6:$AC$505,"&lt;="&amp;$A240,実績!$AD$6:$AD$505,"&gt;"&amp;$A240,実績!$AE$6:$AE$505,"○")&gt;0,1,0))</f>
        <v/>
      </c>
      <c r="G240">
        <f>IF(G$4=0,0,IF(COUNTIFS(実績!$W$6:$W$505,G$3,実績!$AC$6:$AC$505,"&lt;="&amp;$A240,実績!$AD$6:$AD$505,"&gt;"&amp;$A240,実績!$AE$6:$AE$505,"○")&gt;0,1,0))</f>
        <v/>
      </c>
      <c r="H240">
        <f>IF(H$4=0,0,IF(COUNTIFS(実績!$W$6:$W$505,H$3,実績!$AC$6:$AC$505,"&lt;="&amp;$A240,実績!$AD$6:$AD$505,"&gt;"&amp;$A240,実績!$AE$6:$AE$505,"○")&gt;0,1,0))</f>
        <v/>
      </c>
      <c r="I240">
        <f>IF(I$4=0,0,IF(COUNTIFS(実績!$W$6:$W$505,I$3,実績!$AC$6:$AC$505,"&lt;="&amp;$A240,実績!$AD$6:$AD$505,"&gt;"&amp;$A240,実績!$AE$6:$AE$505,"○")&gt;0,1,0))</f>
        <v/>
      </c>
      <c r="J240">
        <f>IF(J$4=0,0,IF(COUNTIFS(実績!$W$6:$W$505,J$3,実績!$AC$6:$AC$505,"&lt;="&amp;$A240,実績!$AD$6:$AD$505,"&gt;"&amp;$A240,実績!$AE$6:$AE$505,"○")&gt;0,1,0))</f>
        <v/>
      </c>
      <c r="K240">
        <f>IF(K$4=0,0,IF(COUNTIFS(実績!$W$6:$W$505,K$3,実績!$AC$6:$AC$505,"&lt;="&amp;$A240,実績!$AD$6:$AD$505,"&gt;"&amp;$A240,実績!$AE$6:$AE$505,"○")&gt;0,1,0))</f>
        <v/>
      </c>
      <c r="L240">
        <f>IF(L$4=0,0,IF(COUNTIFS(実績!$W$6:$W$505,L$3,実績!$AC$6:$AC$505,"&lt;="&amp;$A240,実績!$AD$6:$AD$505,"&gt;"&amp;$A240,実績!$AE$6:$AE$505,"○")&gt;0,1,0))</f>
        <v/>
      </c>
      <c r="M240">
        <f>IF(M$4=0,0,IF(COUNTIFS(実績!$W$6:$W$505,M$3,実績!$AC$6:$AC$505,"&lt;="&amp;$A240,実績!$AD$6:$AD$505,"&gt;"&amp;$A240,実績!$AE$6:$AE$505,"○")&gt;0,1,0))</f>
        <v/>
      </c>
      <c r="N240">
        <f>IF(N$4=0,0,IF(COUNTIFS(実績!$W$6:$W$505,N$3,実績!$AC$6:$AC$505,"&lt;="&amp;$A240,実績!$AD$6:$AD$505,"&gt;"&amp;$A240,実績!$AE$6:$AE$505,"○")&gt;0,1,0))</f>
        <v/>
      </c>
      <c r="O240">
        <f>IF(O$4=0,0,IF(COUNTIFS(実績!$W$6:$W$505,O$3,実績!$AC$6:$AC$505,"&lt;="&amp;$A240,実績!$AD$6:$AD$505,"&gt;"&amp;$A240,実績!$AE$6:$AE$505,"○")&gt;0,1,0))</f>
        <v/>
      </c>
      <c r="P240">
        <f>IF(P$4=0,0,IF(COUNTIFS(実績!$W$6:$W$505,P$3,実績!$AC$6:$AC$505,"&lt;="&amp;$A240,実績!$AD$6:$AD$505,"&gt;"&amp;$A240,実績!$AE$6:$AE$505,"○")&gt;0,1,0))</f>
        <v/>
      </c>
      <c r="Q240">
        <f>IF(Q$4=0,0,IF(COUNTIFS(実績!$W$6:$W$505,Q$3,実績!$AC$6:$AC$505,"&lt;="&amp;$A240,実績!$AD$6:$AD$505,"&gt;"&amp;$A240,実績!$AE$6:$AE$505,"○")&gt;0,1,0))</f>
        <v/>
      </c>
      <c r="R240">
        <f>IF(R$4=0,0,IF(COUNTIFS(実績!$W$6:$W$505,R$3,実績!$AC$6:$AC$505,"&lt;="&amp;$A240,実績!$AD$6:$AD$505,"&gt;"&amp;$A240,実績!$AE$6:$AE$505,"○")&gt;0,1,0))</f>
        <v/>
      </c>
      <c r="S240">
        <f>IF(S$4=0,0,IF(COUNTIFS(実績!$W$6:$W$505,S$3,実績!$AC$6:$AC$505,"&lt;="&amp;$A240,実績!$AD$6:$AD$505,"&gt;"&amp;$A240,実績!$AE$6:$AE$505,"○")&gt;0,1,0))</f>
        <v/>
      </c>
      <c r="T240">
        <f>IF(T$4=0,0,IF(COUNTIFS(実績!$W$6:$W$505,T$3,実績!$AC$6:$AC$505,"&lt;="&amp;$A240,実績!$AD$6:$AD$505,"&gt;"&amp;$A240,実績!$AE$6:$AE$505,"○")&gt;0,1,0))</f>
        <v/>
      </c>
      <c r="U240">
        <f>IF(U$4=0,0,IF(COUNTIFS(実績!$W$6:$W$505,U$3,実績!$AC$6:$AC$505,"&lt;="&amp;$A240,実績!$AD$6:$AD$505,"&gt;"&amp;$A240,実績!$AE$6:$AE$505,"○")&gt;0,1,0))</f>
        <v/>
      </c>
      <c r="V240">
        <f>IF(V$4=0,0,IF(COUNTIFS(実績!$W$6:$W$505,V$3,実績!$AC$6:$AC$505,"&lt;="&amp;$A240,実績!$AD$6:$AD$505,"&gt;"&amp;$A240,実績!$AE$6:$AE$505,"○")&gt;0,1,0))</f>
        <v/>
      </c>
      <c r="W240">
        <f>IF(W$4=0,0,IF(COUNTIFS(実績!$W$6:$W$505,W$3,実績!$AC$6:$AC$505,"&lt;="&amp;$A240,実績!$AD$6:$AD$505,"&gt;"&amp;$A240,実績!$AE$6:$AE$505,"○")&gt;0,1,0))</f>
        <v/>
      </c>
      <c r="X240">
        <f>IF(X$4=0,0,IF(COUNTIFS(実績!$W$6:$W$505,X$3,実績!$AC$6:$AC$505,"&lt;="&amp;$A240,実績!$AD$6:$AD$505,"&gt;"&amp;$A240,実績!$AE$6:$AE$505,"○")&gt;0,1,0))</f>
        <v/>
      </c>
      <c r="Y240">
        <f>IF(Y$4=0,0,IF(COUNTIFS(実績!$W$6:$W$505,Y$3,実績!$AC$6:$AC$505,"&lt;="&amp;$A240,実績!$AD$6:$AD$505,"&gt;"&amp;$A240,実績!$AE$6:$AE$505,"○")&gt;0,1,0))</f>
        <v/>
      </c>
      <c r="Z240">
        <f>IF(Z$4=0,0,IF(COUNTIFS(実績!$W$6:$W$505,Z$3,実績!$AC$6:$AC$505,"&lt;="&amp;$A240,実績!$AD$6:$AD$505,"&gt;"&amp;$A240,実績!$AE$6:$AE$505,"○")&gt;0,1,0))</f>
        <v/>
      </c>
      <c r="AA240">
        <f>IF(AA$4=0,0,IF(COUNTIFS(実績!$W$6:$W$505,AA$3,実績!$AC$6:$AC$505,"&lt;="&amp;$A240,実績!$AD$6:$AD$505,"&gt;"&amp;$A240,実績!$AE$6:$AE$505,"○")&gt;0,1,0))</f>
        <v/>
      </c>
      <c r="AB240">
        <f>IF(AB$4=0,0,IF(COUNTIFS(実績!$W$6:$W$505,AB$3,実績!$AC$6:$AC$505,"&lt;="&amp;$A240,実績!$AD$6:$AD$505,"&gt;"&amp;$A240,実績!$AE$6:$AE$505,"○")&gt;0,1,0))</f>
        <v/>
      </c>
      <c r="AC240">
        <f>IF(AC$4=0,0,IF(COUNTIFS(実績!$W$6:$W$505,AC$3,実績!$AC$6:$AC$505,"&lt;="&amp;$A240,実績!$AD$6:$AD$505,"&gt;"&amp;$A240,実績!$AE$6:$AE$505,"○")&gt;0,1,0))</f>
        <v/>
      </c>
      <c r="AD240">
        <f>IF(AD$4=0,0,IF(COUNTIFS(実績!$W$6:$W$505,AD$3,実績!$AC$6:$AC$505,"&lt;="&amp;$A240,実績!$AD$6:$AD$505,"&gt;"&amp;$A240,実績!$AE$6:$AE$505,"○")&gt;0,1,0))</f>
        <v/>
      </c>
      <c r="AE240">
        <f>IF(AE$4=0,0,IF(COUNTIFS(実績!$W$6:$W$505,AE$3,実績!$AC$6:$AC$505,"&lt;="&amp;$A240,実績!$AD$6:$AD$505,"&gt;"&amp;$A240,実績!$AE$6:$AE$505,"○")&gt;0,1,0))</f>
        <v/>
      </c>
      <c r="AF240">
        <f>IF(AF$4=0,0,IF(COUNTIFS(実績!$W$6:$W$505,AF$3,実績!$AC$6:$AC$505,"&lt;="&amp;$A240,実績!$AD$6:$AD$505,"&gt;"&amp;$A240,実績!$AE$6:$AE$505,"○")&gt;0,1,0))</f>
        <v/>
      </c>
      <c r="AG240">
        <f>IF(AG$4=0,0,IF(COUNTIFS(実績!$W$6:$W$505,AG$3,実績!$AC$6:$AC$505,"&lt;="&amp;$A240,実績!$AD$6:$AD$505,"&gt;"&amp;$A240,実績!$AE$6:$AE$505,"○")&gt;0,1,0))</f>
        <v/>
      </c>
      <c r="AH240">
        <f>IF(AH$4=0,0,IF(COUNTIFS(実績!$W$6:$W$505,AH$3,実績!$AC$6:$AC$505,"&lt;="&amp;$A240,実績!$AD$6:$AD$505,"&gt;"&amp;$A240,実績!$AE$6:$AE$505,"○")&gt;0,1,0))</f>
        <v/>
      </c>
      <c r="AI240">
        <f>IF(AI$4=0,0,IF(COUNTIFS(実績!$W$6:$W$505,AI$3,実績!$AC$6:$AC$505,"&lt;="&amp;$A240,実績!$AD$6:$AD$505,"&gt;"&amp;$A240,実績!$AE$6:$AE$505,"○")&gt;0,1,0))</f>
        <v/>
      </c>
      <c r="AJ240">
        <f>IF(AJ$4=0,0,IF(COUNTIFS(実績!$W$6:$W$505,AJ$3,実績!$AC$6:$AC$505,"&lt;="&amp;$A240,実績!$AD$6:$AD$505,"&gt;"&amp;$A240,実績!$AE$6:$AE$505,"○")&gt;0,1,0))</f>
        <v/>
      </c>
      <c r="AK240">
        <f>IF(AK$4=0,0,IF(COUNTIFS(実績!$W$6:$W$505,AK$3,実績!$AC$6:$AC$505,"&lt;="&amp;$A240,実績!$AD$6:$AD$505,"&gt;"&amp;$A240,実績!$AE$6:$AE$505,"○")&gt;0,1,0))</f>
        <v/>
      </c>
      <c r="AL240">
        <f>IF(AL$4=0,0,IF(COUNTIFS(実績!$W$6:$W$505,AL$3,実績!$AC$6:$AC$505,"&lt;="&amp;$A240,実績!$AD$6:$AD$505,"&gt;"&amp;$A240,実績!$AE$6:$AE$505,"○")&gt;0,1,0))</f>
        <v/>
      </c>
      <c r="AM240">
        <f>IF(AM$4=0,0,IF(COUNTIFS(実績!$W$6:$W$505,AM$3,実績!$AC$6:$AC$505,"&lt;="&amp;$A240,実績!$AD$6:$AD$505,"&gt;"&amp;$A240,実績!$AE$6:$AE$505,"○")&gt;0,1,0))</f>
        <v/>
      </c>
      <c r="AN240">
        <f>IF(AN$4=0,0,IF(COUNTIFS(実績!$W$6:$W$505,AN$3,実績!$AC$6:$AC$505,"&lt;="&amp;$A240,実績!$AD$6:$AD$505,"&gt;"&amp;$A240,実績!$AE$6:$AE$505,"○")&gt;0,1,0))</f>
        <v/>
      </c>
      <c r="AO240">
        <f>IF(AO$4=0,0,IF(COUNTIFS(実績!$W$6:$W$505,AO$3,実績!$AC$6:$AC$505,"&lt;="&amp;$A240,実績!$AD$6:$AD$505,"&gt;"&amp;$A240,実績!$AE$6:$AE$505,"○")&gt;0,1,0))</f>
        <v/>
      </c>
      <c r="AP240">
        <f>IF(AP$4=0,0,IF(COUNTIFS(実績!$W$6:$W$505,AP$3,実績!$AC$6:$AC$505,"&lt;="&amp;$A240,実績!$AD$6:$AD$505,"&gt;"&amp;$A240,実績!$AE$6:$AE$505,"○")&gt;0,1,0))</f>
        <v/>
      </c>
      <c r="AQ240">
        <f>IF(AQ$4=0,0,IF(COUNTIFS(実績!$W$6:$W$505,AQ$3,実績!$AC$6:$AC$505,"&lt;="&amp;$A240,実績!$AD$6:$AD$505,"&gt;"&amp;$A240,実績!$AE$6:$AE$505,"○")&gt;0,1,0))</f>
        <v/>
      </c>
      <c r="AR240">
        <f>IF(AR$4=0,0,IF(COUNTIFS(実績!$W$6:$W$505,AR$3,実績!$AC$6:$AC$505,"&lt;="&amp;$A240,実績!$AD$6:$AD$505,"&gt;"&amp;$A240,実績!$AE$6:$AE$505,"○")&gt;0,1,0))</f>
        <v/>
      </c>
      <c r="AS240">
        <f>IF(AS$4=0,0,IF(COUNTIFS(実績!$W$6:$W$505,AS$3,実績!$AC$6:$AC$505,"&lt;="&amp;$A240,実績!$AD$6:$AD$505,"&gt;"&amp;$A240,実績!$AE$6:$AE$505,"○")&gt;0,1,0))</f>
        <v/>
      </c>
      <c r="AT240">
        <f>IF(AT$4=0,0,IF(COUNTIFS(実績!$W$6:$W$505,AT$3,実績!$AC$6:$AC$505,"&lt;="&amp;$A240,実績!$AD$6:$AD$505,"&gt;"&amp;$A240,実績!$AE$6:$AE$505,"○")&gt;0,1,0))</f>
        <v/>
      </c>
      <c r="AU240">
        <f>IF(AU$4=0,0,IF(COUNTIFS(実績!$W$6:$W$505,AU$3,実績!$AC$6:$AC$505,"&lt;="&amp;$A240,実績!$AD$6:$AD$505,"&gt;"&amp;$A240,実績!$AE$6:$AE$505,"○")&gt;0,1,0))</f>
        <v/>
      </c>
      <c r="AV240">
        <f>IF(AV$4=0,0,IF(COUNTIFS(実績!$W$6:$W$505,AV$3,実績!$AC$6:$AC$505,"&lt;="&amp;$A240,実績!$AD$6:$AD$505,"&gt;"&amp;$A240,実績!$AE$6:$AE$505,"○")&gt;0,1,0))</f>
        <v/>
      </c>
      <c r="AW240">
        <f>IF(AW$4=0,0,IF(COUNTIFS(実績!$W$6:$W$505,AW$3,実績!$AC$6:$AC$505,"&lt;="&amp;$A240,実績!$AD$6:$AD$505,"&gt;"&amp;$A240,実績!$AE$6:$AE$505,"○")&gt;0,1,0))</f>
        <v/>
      </c>
      <c r="AX240">
        <f>IF(AX$4=0,0,IF(COUNTIFS(実績!$W$6:$W$505,AX$3,実績!$AC$6:$AC$505,"&lt;="&amp;$A240,実績!$AD$6:$AD$505,"&gt;"&amp;$A240,実績!$AE$6:$AE$505,"○")&gt;0,1,0))</f>
        <v/>
      </c>
      <c r="AY240">
        <f>IF(AY$4=0,0,IF(COUNTIFS(実績!$W$6:$W$505,AY$3,実績!$AC$6:$AC$505,"&lt;="&amp;$A240,実績!$AD$6:$AD$505,"&gt;"&amp;$A240,実績!$AE$6:$AE$505,"○")&gt;0,1,0))</f>
        <v/>
      </c>
      <c r="AZ240">
        <f>IF(AZ$4=0,0,IF(COUNTIFS(実績!$W$6:$W$505,AZ$3,実績!$AC$6:$AC$505,"&lt;="&amp;$A240,実績!$AD$6:$AD$505,"&gt;"&amp;$A240,実績!$AE$6:$AE$505,"○")&gt;0,1,0))</f>
        <v/>
      </c>
      <c r="BA240">
        <f>IF(BA$4=0,0,IF(COUNTIFS(実績!$W$6:$W$505,BA$3,実績!$AC$6:$AC$505,"&lt;="&amp;$A240,実績!$AD$6:$AD$505,"&gt;"&amp;$A240,実績!$AE$6:$AE$505,"○")&gt;0,1,0))</f>
        <v/>
      </c>
      <c r="BB240">
        <f>IF(BB$4=0,0,IF(COUNTIFS(実績!$W$6:$W$505,BB$3,実績!$AC$6:$AC$505,"&lt;="&amp;$A240,実績!$AD$6:$AD$505,"&gt;"&amp;$A240,実績!$AE$6:$AE$505,"○")&gt;0,1,0))</f>
        <v/>
      </c>
      <c r="BC240">
        <f>IF(BC$4=0,0,IF(COUNTIFS(実績!$W$6:$W$505,BC$3,実績!$AC$6:$AC$505,"&lt;="&amp;$A240,実績!$AD$6:$AD$505,"&gt;"&amp;$A240,実績!$AE$6:$AE$505,"○")&gt;0,1,0))</f>
        <v/>
      </c>
      <c r="BD240">
        <f>IF(BD$4=0,0,IF(COUNTIFS(実績!$W$6:$W$505,BD$3,実績!$AC$6:$AC$505,"&lt;="&amp;$A240,実績!$AD$6:$AD$505,"&gt;"&amp;$A240,実績!$AE$6:$AE$505,"○")&gt;0,1,0))</f>
        <v/>
      </c>
      <c r="BE240">
        <f>IF(BE$4=0,0,IF(COUNTIFS(実績!$W$6:$W$505,BE$3,実績!$AC$6:$AC$505,"&lt;="&amp;$A240,実績!$AD$6:$AD$505,"&gt;"&amp;$A240,実績!$AE$6:$AE$505,"○")&gt;0,1,0))</f>
        <v/>
      </c>
      <c r="BF240">
        <f>IF(BF$4=0,0,IF(COUNTIFS(実績!$W$6:$W$505,BF$3,実績!$AC$6:$AC$505,"&lt;="&amp;$A240,実績!$AD$6:$AD$505,"&gt;"&amp;$A240,実績!$AE$6:$AE$505,"○")&gt;0,1,0))</f>
        <v/>
      </c>
      <c r="BG240">
        <f>IF(BG$4=0,0,IF(COUNTIFS(実績!$W$6:$W$505,BG$3,実績!$AC$6:$AC$505,"&lt;="&amp;$A240,実績!$AD$6:$AD$505,"&gt;"&amp;$A240,実績!$AE$6:$AE$505,"○")&gt;0,1,0))</f>
        <v/>
      </c>
      <c r="BH240">
        <f>IF(BH$4=0,0,IF(COUNTIFS(実績!$W$6:$W$505,BH$3,実績!$AC$6:$AC$505,"&lt;="&amp;$A240,実績!$AD$6:$AD$505,"&gt;"&amp;$A240,実績!$AE$6:$AE$505,"○")&gt;0,1,0))</f>
        <v/>
      </c>
      <c r="BI240">
        <f>IF(BI$4=0,0,IF(COUNTIFS(実績!$W$6:$W$505,BI$3,実績!$AC$6:$AC$505,"&lt;="&amp;$A240,実績!$AD$6:$AD$505,"&gt;"&amp;$A240,実績!$AE$6:$AE$505,"○")&gt;0,1,0))</f>
        <v/>
      </c>
      <c r="BJ240">
        <f>IF(BJ$4=0,0,IF(COUNTIFS(実績!$W$6:$W$505,BJ$3,実績!$AC$6:$AC$505,"&lt;="&amp;$A240,実績!$AD$6:$AD$505,"&gt;"&amp;$A240,実績!$AE$6:$AE$505,"○")&gt;0,1,0))</f>
        <v/>
      </c>
      <c r="BK240">
        <f>IF(BK$4=0,0,IF(COUNTIFS(実績!$W$6:$W$505,BK$3,実績!$AC$6:$AC$505,"&lt;="&amp;$A240,実績!$AD$6:$AD$505,"&gt;"&amp;$A240,実績!$AE$6:$AE$505,"○")&gt;0,1,0))</f>
        <v/>
      </c>
      <c r="BL240">
        <f>IF(BL$4=0,0,IF(COUNTIFS(実績!$W$6:$W$505,BL$3,実績!$AC$6:$AC$505,"&lt;="&amp;$A240,実績!$AD$6:$AD$505,"&gt;"&amp;$A240,実績!$AE$6:$AE$505,"○")&gt;0,1,0))</f>
        <v/>
      </c>
      <c r="BM240">
        <f>IF(BM$4=0,0,IF(COUNTIFS(実績!$W$6:$W$505,BM$3,実績!$AC$6:$AC$505,"&lt;="&amp;$A240,実績!$AD$6:$AD$505,"&gt;"&amp;$A240,実績!$AE$6:$AE$505,"○")&gt;0,1,0))</f>
        <v/>
      </c>
      <c r="BN240">
        <f>IF(BN$4=0,0,IF(COUNTIFS(実績!$W$6:$W$505,BN$3,実績!$AC$6:$AC$505,"&lt;="&amp;$A240,実績!$AD$6:$AD$505,"&gt;"&amp;$A240,実績!$AE$6:$AE$505,"○")&gt;0,1,0))</f>
        <v/>
      </c>
      <c r="BO240">
        <f>IF(BO$4=0,0,IF(COUNTIFS(実績!$W$6:$W$505,BO$3,実績!$AC$6:$AC$505,"&lt;="&amp;$A240,実績!$AD$6:$AD$505,"&gt;"&amp;$A240,実績!$AE$6:$AE$505,"○")&gt;0,1,0))</f>
        <v/>
      </c>
      <c r="BP240">
        <f>IF(BP$4=0,0,IF(COUNTIFS(実績!$W$6:$W$505,BP$3,実績!$AC$6:$AC$505,"&lt;="&amp;$A240,実績!$AD$6:$AD$505,"&gt;"&amp;$A240,実績!$AE$6:$AE$505,"○")&gt;0,1,0))</f>
        <v/>
      </c>
      <c r="BQ240">
        <f>IF(BQ$4=0,0,IF(COUNTIFS(実績!$W$6:$W$505,BQ$3,実績!$AC$6:$AC$505,"&lt;="&amp;$A240,実績!$AD$6:$AD$505,"&gt;"&amp;$A240,実績!$AE$6:$AE$505,"○")&gt;0,1,0))</f>
        <v/>
      </c>
      <c r="BR240">
        <f>IF(BR$4=0,0,IF(COUNTIFS(実績!$W$6:$W$505,BR$3,実績!$AC$6:$AC$505,"&lt;="&amp;$A240,実績!$AD$6:$AD$505,"&gt;"&amp;$A240,実績!$AE$6:$AE$505,"○")&gt;0,1,0))</f>
        <v/>
      </c>
      <c r="BS240">
        <f>IF(BS$4=0,0,IF(COUNTIFS(実績!$W$6:$W$505,BS$3,実績!$AC$6:$AC$505,"&lt;="&amp;$A240,実績!$AD$6:$AD$505,"&gt;"&amp;$A240,実績!$AE$6:$AE$505,"○")&gt;0,1,0))</f>
        <v/>
      </c>
      <c r="BT240">
        <f>IF(BT$4=0,0,IF(COUNTIFS(実績!$W$6:$W$505,BT$3,実績!$AC$6:$AC$505,"&lt;="&amp;$A240,実績!$AD$6:$AD$505,"&gt;"&amp;$A240,実績!$AE$6:$AE$505,"○")&gt;0,1,0))</f>
        <v/>
      </c>
      <c r="BU240">
        <f>IF(BU$4=0,0,IF(COUNTIFS(実績!$W$6:$W$505,BU$3,実績!$AC$6:$AC$505,"&lt;="&amp;$A240,実績!$AD$6:$AD$505,"&gt;"&amp;$A240,実績!$AE$6:$AE$505,"○")&gt;0,1,0))</f>
        <v/>
      </c>
      <c r="BV240">
        <f>IF(BV$4=0,0,IF(COUNTIFS(実績!$W$6:$W$505,BV$3,実績!$AC$6:$AC$505,"&lt;="&amp;$A240,実績!$AD$6:$AD$505,"&gt;"&amp;$A240,実績!$AE$6:$AE$505,"○")&gt;0,1,0))</f>
        <v/>
      </c>
      <c r="BW240">
        <f>IF(BW$4=0,0,IF(COUNTIFS(実績!$W$6:$W$505,BW$3,実績!$AC$6:$AC$505,"&lt;="&amp;$A240,実績!$AD$6:$AD$505,"&gt;"&amp;$A240,実績!$AE$6:$AE$505,"○")&gt;0,1,0))</f>
        <v/>
      </c>
      <c r="BX240">
        <f>IF(BX$4=0,0,IF(COUNTIFS(実績!$W$6:$W$505,BX$3,実績!$AC$6:$AC$505,"&lt;="&amp;$A240,実績!$AD$6:$AD$505,"&gt;"&amp;$A240,実績!$AE$6:$AE$505,"○")&gt;0,1,0))</f>
        <v/>
      </c>
      <c r="BY240">
        <f>IF(BY$4=0,0,IF(COUNTIFS(実績!$W$6:$W$505,BY$3,実績!$AC$6:$AC$505,"&lt;="&amp;$A240,実績!$AD$6:$AD$505,"&gt;"&amp;$A240,実績!$AE$6:$AE$505,"○")&gt;0,1,0))</f>
        <v/>
      </c>
      <c r="BZ240">
        <f>IF(BZ$4=0,0,IF(COUNTIFS(実績!$W$6:$W$505,BZ$3,実績!$AC$6:$AC$505,"&lt;="&amp;$A240,実績!$AD$6:$AD$505,"&gt;"&amp;$A240,実績!$AE$6:$AE$505,"○")&gt;0,1,0))</f>
        <v/>
      </c>
      <c r="CA240">
        <f>IF(CA$4=0,0,IF(COUNTIFS(実績!$W$6:$W$505,CA$3,実績!$AC$6:$AC$505,"&lt;="&amp;$A240,実績!$AD$6:$AD$505,"&gt;"&amp;$A240,実績!$AE$6:$AE$505,"○")&gt;0,1,0))</f>
        <v/>
      </c>
      <c r="CB240">
        <f>IF(CB$4=0,0,IF(COUNTIFS(実績!$W$6:$W$505,CB$3,実績!$AC$6:$AC$505,"&lt;="&amp;$A240,実績!$AD$6:$AD$505,"&gt;"&amp;$A240,実績!$AE$6:$AE$505,"○")&gt;0,1,0))</f>
        <v/>
      </c>
      <c r="CC240">
        <f>IF(CC$4=0,0,IF(COUNTIFS(実績!$W$6:$W$505,CC$3,実績!$AC$6:$AC$505,"&lt;="&amp;$A240,実績!$AD$6:$AD$505,"&gt;"&amp;$A240,実績!$AE$6:$AE$505,"○")&gt;0,1,0))</f>
        <v/>
      </c>
      <c r="CD240">
        <f>IF(CD$4=0,0,IF(COUNTIFS(実績!$W$6:$W$505,CD$3,実績!$AC$6:$AC$505,"&lt;="&amp;$A240,実績!$AD$6:$AD$505,"&gt;"&amp;$A240,実績!$AE$6:$AE$505,"○")&gt;0,1,0))</f>
        <v/>
      </c>
      <c r="CE240">
        <f>IF(CE$4=0,0,IF(COUNTIFS(実績!$W$6:$W$505,CE$3,実績!$AC$6:$AC$505,"&lt;="&amp;$A240,実績!$AD$6:$AD$505,"&gt;"&amp;$A240,実績!$AE$6:$AE$505,"○")&gt;0,1,0))</f>
        <v/>
      </c>
      <c r="CF240">
        <f>IF(CF$4=0,0,IF(COUNTIFS(実績!$W$6:$W$505,CF$3,実績!$AC$6:$AC$505,"&lt;="&amp;$A240,実績!$AD$6:$AD$505,"&gt;"&amp;$A240,実績!$AE$6:$AE$505,"○")&gt;0,1,0))</f>
        <v/>
      </c>
      <c r="CG240">
        <f>IF(CG$4=0,0,IF(COUNTIFS(実績!$W$6:$W$505,CG$3,実績!$AC$6:$AC$505,"&lt;="&amp;$A240,実績!$AD$6:$AD$505,"&gt;"&amp;$A240,実績!$AE$6:$AE$505,"○")&gt;0,1,0))</f>
        <v/>
      </c>
      <c r="CH240">
        <f>IF(CH$4=0,0,IF(COUNTIFS(実績!$W$6:$W$505,CH$3,実績!$AC$6:$AC$505,"&lt;="&amp;$A240,実績!$AD$6:$AD$505,"&gt;"&amp;$A240,実績!$AE$6:$AE$505,"○")&gt;0,1,0))</f>
        <v/>
      </c>
      <c r="CI240">
        <f>IF(CI$4=0,0,IF(COUNTIFS(実績!$W$6:$W$505,CI$3,実績!$AC$6:$AC$505,"&lt;="&amp;$A240,実績!$AD$6:$AD$505,"&gt;"&amp;$A240,実績!$AE$6:$AE$505,"○")&gt;0,1,0))</f>
        <v/>
      </c>
      <c r="CJ240">
        <f>IF(CJ$4=0,0,IF(COUNTIFS(実績!$W$6:$W$505,CJ$3,実績!$AC$6:$AC$505,"&lt;="&amp;$A240,実績!$AD$6:$AD$505,"&gt;"&amp;$A240,実績!$AE$6:$AE$505,"○")&gt;0,1,0))</f>
        <v/>
      </c>
      <c r="CK240">
        <f>IF(CK$4=0,0,IF(COUNTIFS(実績!$W$6:$W$505,CK$3,実績!$AC$6:$AC$505,"&lt;="&amp;$A240,実績!$AD$6:$AD$505,"&gt;"&amp;$A240,実績!$AE$6:$AE$505,"○")&gt;0,1,0))</f>
        <v/>
      </c>
      <c r="CL240">
        <f>IF(CL$4=0,0,IF(COUNTIFS(実績!$W$6:$W$505,CL$3,実績!$AC$6:$AC$505,"&lt;="&amp;$A240,実績!$AD$6:$AD$505,"&gt;"&amp;$A240,実績!$AE$6:$AE$505,"○")&gt;0,1,0))</f>
        <v/>
      </c>
      <c r="CM240">
        <f>IF(CM$4=0,0,IF(COUNTIFS(実績!$W$6:$W$505,CM$3,実績!$AC$6:$AC$505,"&lt;="&amp;$A240,実績!$AD$6:$AD$505,"&gt;"&amp;$A240,実績!$AE$6:$AE$505,"○")&gt;0,1,0))</f>
        <v/>
      </c>
      <c r="CN240">
        <f>IF(CN$4=0,0,IF(COUNTIFS(実績!$W$6:$W$505,CN$3,実績!$AC$6:$AC$505,"&lt;="&amp;$A240,実績!$AD$6:$AD$505,"&gt;"&amp;$A240,実績!$AE$6:$AE$505,"○")&gt;0,1,0))</f>
        <v/>
      </c>
      <c r="CO240">
        <f>IF(CO$4=0,0,IF(COUNTIFS(実績!$W$6:$W$505,CO$3,実績!$AC$6:$AC$505,"&lt;="&amp;$A240,実績!$AD$6:$AD$505,"&gt;"&amp;$A240,実績!$AE$6:$AE$505,"○")&gt;0,1,0))</f>
        <v/>
      </c>
      <c r="CP240">
        <f>IF(CP$4=0,0,IF(COUNTIFS(実績!$W$6:$W$505,CP$3,実績!$AC$6:$AC$505,"&lt;="&amp;$A240,実績!$AD$6:$AD$505,"&gt;"&amp;$A240,実績!$AE$6:$AE$505,"○")&gt;0,1,0))</f>
        <v/>
      </c>
      <c r="CQ240">
        <f>IF(CQ$4=0,0,IF(COUNTIFS(実績!$W$6:$W$505,CQ$3,実績!$AC$6:$AC$505,"&lt;="&amp;$A240,実績!$AD$6:$AD$505,"&gt;"&amp;$A240,実績!$AE$6:$AE$505,"○")&gt;0,1,0))</f>
        <v/>
      </c>
      <c r="CR240">
        <f>IF(CR$4=0,0,IF(COUNTIFS(実績!$W$6:$W$505,CR$3,実績!$AC$6:$AC$505,"&lt;="&amp;$A240,実績!$AD$6:$AD$505,"&gt;"&amp;$A240,実績!$AE$6:$AE$505,"○")&gt;0,1,0))</f>
        <v/>
      </c>
      <c r="CS240">
        <f>IF(CS$4=0,0,IF(COUNTIFS(実績!$W$6:$W$505,CS$3,実績!$AC$6:$AC$505,"&lt;="&amp;$A240,実績!$AD$6:$AD$505,"&gt;"&amp;$A240,実績!$AE$6:$AE$505,"○")&gt;0,1,0))</f>
        <v/>
      </c>
      <c r="CT240">
        <f>IF(CT$4=0,0,IF(COUNTIFS(実績!$W$6:$W$505,CT$3,実績!$AC$6:$AC$505,"&lt;="&amp;$A240,実績!$AD$6:$AD$505,"&gt;"&amp;$A240,実績!$AE$6:$AE$505,"○")&gt;0,1,0))</f>
        <v/>
      </c>
      <c r="CU240">
        <f>IF(CU$4=0,0,IF(COUNTIFS(実績!$W$6:$W$505,CU$3,実績!$AC$6:$AC$505,"&lt;="&amp;$A240,実績!$AD$6:$AD$505,"&gt;"&amp;$A240,実績!$AE$6:$AE$505,"○")&gt;0,1,0))</f>
        <v/>
      </c>
      <c r="CV240">
        <f>IF(CV$4=0,0,IF(COUNTIFS(実績!$W$6:$W$505,CV$3,実績!$AC$6:$AC$505,"&lt;="&amp;$A240,実績!$AD$6:$AD$505,"&gt;"&amp;$A240,実績!$AE$6:$AE$505,"○")&gt;0,1,0))</f>
        <v/>
      </c>
      <c r="CW240">
        <f>IF(CW$4=0,0,IF(COUNTIFS(実績!$W$6:$W$505,CW$3,実績!$AC$6:$AC$505,"&lt;="&amp;$A240,実績!$AD$6:$AD$505,"&gt;"&amp;$A240,実績!$AE$6:$AE$505,"○")&gt;0,1,0))</f>
        <v/>
      </c>
      <c r="CX240">
        <f>IF(CX$4=0,0,IF(COUNTIFS(実績!$W$6:$W$505,CX$3,実績!$AC$6:$AC$505,"&lt;="&amp;$A240,実績!$AD$6:$AD$505,"&gt;"&amp;$A240,実績!$AE$6:$AE$505,"○")&gt;0,1,0))</f>
        <v/>
      </c>
      <c r="CY240">
        <f>IF(CY$4=0,0,IF(COUNTIFS(実績!$W$6:$W$505,CY$3,実績!$AC$6:$AC$505,"&lt;="&amp;$A240,実績!$AD$6:$AD$505,"&gt;"&amp;$A240,実績!$AE$6:$AE$505,"○")&gt;0,1,0))</f>
        <v/>
      </c>
      <c r="CZ240">
        <f>IF(CZ$4=0,0,IF(COUNTIFS(実績!$W$6:$W$505,CZ$3,実績!$AC$6:$AC$505,"&lt;="&amp;$A240,実績!$AD$6:$AD$505,"&gt;"&amp;$A240,実績!$AE$6:$AE$505,"○")&gt;0,1,0))</f>
        <v/>
      </c>
      <c r="DA240">
        <f>IF(DA$4=0,0,IF(COUNTIFS(実績!$W$6:$W$505,DA$3,実績!$AC$6:$AC$505,"&lt;="&amp;$A240,実績!$AD$6:$AD$505,"&gt;"&amp;$A240,実績!$AE$6:$AE$505,"○")&gt;0,1,0))</f>
        <v/>
      </c>
      <c r="DB240">
        <f>IF(DB$4=0,0,IF(COUNTIFS(実績!$W$6:$W$505,DB$3,実績!$AC$6:$AC$505,"&lt;="&amp;$A240,実績!$AD$6:$AD$505,"&gt;"&amp;$A240,実績!$AE$6:$AE$505,"○")&gt;0,1,0))</f>
        <v/>
      </c>
      <c r="DC240">
        <f>IF(DC$4=0,0,IF(COUNTIFS(実績!$W$6:$W$505,DC$3,実績!$AC$6:$AC$505,"&lt;="&amp;$A240,実績!$AD$6:$AD$505,"&gt;"&amp;$A240,実績!$AE$6:$AE$505,"○")&gt;0,1,0))</f>
        <v/>
      </c>
      <c r="DD240">
        <f>IF(DD$4=0,0,IF(COUNTIFS(実績!$W$6:$W$505,DD$3,実績!$AC$6:$AC$505,"&lt;="&amp;$A240,実績!$AD$6:$AD$505,"&gt;"&amp;$A240,実績!$AE$6:$AE$505,"○")&gt;0,1,0))</f>
        <v/>
      </c>
      <c r="DE240">
        <f>IF(DE$4=0,0,IF(COUNTIFS(実績!$W$6:$W$505,DE$3,実績!$AC$6:$AC$505,"&lt;="&amp;$A240,実績!$AD$6:$AD$505,"&gt;"&amp;$A240,実績!$AE$6:$AE$505,"○")&gt;0,1,0))</f>
        <v/>
      </c>
      <c r="DF240">
        <f>IF(DF$4=0,0,IF(COUNTIFS(実績!$W$6:$W$505,DF$3,実績!$AC$6:$AC$505,"&lt;="&amp;$A240,実績!$AD$6:$AD$505,"&gt;"&amp;$A240,実績!$AE$6:$AE$505,"○")&gt;0,1,0))</f>
        <v/>
      </c>
      <c r="DG240">
        <f>IF(DG$4=0,0,IF(COUNTIFS(実績!$W$6:$W$505,DG$3,実績!$AC$6:$AC$505,"&lt;="&amp;$A240,実績!$AD$6:$AD$505,"&gt;"&amp;$A240,実績!$AE$6:$AE$505,"○")&gt;0,1,0))</f>
        <v/>
      </c>
      <c r="DH240">
        <f>IF(DH$4=0,0,IF(COUNTIFS(実績!$W$6:$W$505,DH$3,実績!$AC$6:$AC$505,"&lt;="&amp;$A240,実績!$AD$6:$AD$505,"&gt;"&amp;$A240,実績!$AE$6:$AE$505,"○")&gt;0,1,0))</f>
        <v/>
      </c>
      <c r="DI240">
        <f>IF(DI$4=0,0,IF(COUNTIFS(実績!$W$6:$W$505,DI$3,実績!$AC$6:$AC$505,"&lt;="&amp;$A240,実績!$AD$6:$AD$505,"&gt;"&amp;$A240,実績!$AE$6:$AE$505,"○")&gt;0,1,0))</f>
        <v/>
      </c>
      <c r="DJ240">
        <f>IF(DJ$4=0,0,IF(COUNTIFS(実績!$W$6:$W$505,DJ$3,実績!$AC$6:$AC$505,"&lt;="&amp;$A240,実績!$AD$6:$AD$505,"&gt;"&amp;$A240,実績!$AE$6:$AE$505,"○")&gt;0,1,0))</f>
        <v/>
      </c>
      <c r="DK240">
        <f>IF(DK$4=0,0,IF(COUNTIFS(実績!$W$6:$W$505,DK$3,実績!$AC$6:$AC$505,"&lt;="&amp;$A240,実績!$AD$6:$AD$505,"&gt;"&amp;$A240,実績!$AE$6:$AE$505,"○")&gt;0,1,0))</f>
        <v/>
      </c>
      <c r="DL240">
        <f>IF(DL$4=0,0,IF(COUNTIFS(実績!$W$6:$W$505,DL$3,実績!$AC$6:$AC$505,"&lt;="&amp;$A240,実績!$AD$6:$AD$505,"&gt;"&amp;$A240,実績!$AE$6:$AE$505,"○")&gt;0,1,0))</f>
        <v/>
      </c>
      <c r="DM240">
        <f>IF(DM$4=0,0,IF(COUNTIFS(実績!$W$6:$W$505,DM$3,実績!$AC$6:$AC$505,"&lt;="&amp;$A240,実績!$AD$6:$AD$505,"&gt;"&amp;$A240,実績!$AE$6:$AE$505,"○")&gt;0,1,0))</f>
        <v/>
      </c>
      <c r="DN240">
        <f>IF(DN$4=0,0,IF(COUNTIFS(実績!$W$6:$W$505,DN$3,実績!$AC$6:$AC$505,"&lt;="&amp;$A240,実績!$AD$6:$AD$505,"&gt;"&amp;$A240,実績!$AE$6:$AE$505,"○")&gt;0,1,0))</f>
        <v/>
      </c>
      <c r="DO240">
        <f>IF(DO$4=0,0,IF(COUNTIFS(実績!$W$6:$W$505,DO$3,実績!$AC$6:$AC$505,"&lt;="&amp;$A240,実績!$AD$6:$AD$505,"&gt;"&amp;$A240,実績!$AE$6:$AE$505,"○")&gt;0,1,0))</f>
        <v/>
      </c>
      <c r="DP240">
        <f>IF(DP$4=0,0,IF(COUNTIFS(実績!$W$6:$W$505,DP$3,実績!$AC$6:$AC$505,"&lt;="&amp;$A240,実績!$AD$6:$AD$505,"&gt;"&amp;$A240,実績!$AE$6:$AE$505,"○")&gt;0,1,0))</f>
        <v/>
      </c>
      <c r="DQ240">
        <f>IF(DQ$4=0,0,IF(COUNTIFS(実績!$W$6:$W$505,DQ$3,実績!$AC$6:$AC$505,"&lt;="&amp;$A240,実績!$AD$6:$AD$505,"&gt;"&amp;$A240,実績!$AE$6:$AE$505,"○")&gt;0,1,0))</f>
        <v/>
      </c>
      <c r="DR240">
        <f>IF(DR$4=0,0,IF(COUNTIFS(実績!$W$6:$W$505,DR$3,実績!$AC$6:$AC$505,"&lt;="&amp;$A240,実績!$AD$6:$AD$505,"&gt;"&amp;$A240,実績!$AE$6:$AE$505,"○")&gt;0,1,0))</f>
        <v/>
      </c>
      <c r="DS240">
        <f>SUM(C240:DR240)</f>
        <v/>
      </c>
      <c r="DT240">
        <f>SUMPRODUCT((実績!$C$6:$C$505="○")*ISNUMBER(実績!$AF$6:$AF$505)*(実績!$AF$6:$AF$505&lt;=$A240)*(実績!$AG$6:$AG$505&gt;$A240))</f>
        <v/>
      </c>
      <c r="DU240">
        <f>SUMIF($C$2:$DR$2,"製鉄曳船",C240:DR240)</f>
        <v/>
      </c>
      <c r="DV240">
        <f>SUMIF($C$2:$DR$2,"西日本海運",C240:DR240)</f>
        <v/>
      </c>
    </row>
    <row r="241">
      <c r="A241" t="n">
        <v>1175</v>
      </c>
      <c r="B241" s="29">
        <f>A241/1440</f>
        <v/>
      </c>
      <c r="C241">
        <f>IF(C$4=0,0,IF(COUNTIFS(実績!$W$6:$W$505,C$3,実績!$AC$6:$AC$505,"&lt;="&amp;$A241,実績!$AD$6:$AD$505,"&gt;"&amp;$A241,実績!$AE$6:$AE$505,"○")&gt;0,1,0))</f>
        <v/>
      </c>
      <c r="D241">
        <f>IF(D$4=0,0,IF(COUNTIFS(実績!$W$6:$W$505,D$3,実績!$AC$6:$AC$505,"&lt;="&amp;$A241,実績!$AD$6:$AD$505,"&gt;"&amp;$A241,実績!$AE$6:$AE$505,"○")&gt;0,1,0))</f>
        <v/>
      </c>
      <c r="E241">
        <f>IF(E$4=0,0,IF(COUNTIFS(実績!$W$6:$W$505,E$3,実績!$AC$6:$AC$505,"&lt;="&amp;$A241,実績!$AD$6:$AD$505,"&gt;"&amp;$A241,実績!$AE$6:$AE$505,"○")&gt;0,1,0))</f>
        <v/>
      </c>
      <c r="F241">
        <f>IF(F$4=0,0,IF(COUNTIFS(実績!$W$6:$W$505,F$3,実績!$AC$6:$AC$505,"&lt;="&amp;$A241,実績!$AD$6:$AD$505,"&gt;"&amp;$A241,実績!$AE$6:$AE$505,"○")&gt;0,1,0))</f>
        <v/>
      </c>
      <c r="G241">
        <f>IF(G$4=0,0,IF(COUNTIFS(実績!$W$6:$W$505,G$3,実績!$AC$6:$AC$505,"&lt;="&amp;$A241,実績!$AD$6:$AD$505,"&gt;"&amp;$A241,実績!$AE$6:$AE$505,"○")&gt;0,1,0))</f>
        <v/>
      </c>
      <c r="H241">
        <f>IF(H$4=0,0,IF(COUNTIFS(実績!$W$6:$W$505,H$3,実績!$AC$6:$AC$505,"&lt;="&amp;$A241,実績!$AD$6:$AD$505,"&gt;"&amp;$A241,実績!$AE$6:$AE$505,"○")&gt;0,1,0))</f>
        <v/>
      </c>
      <c r="I241">
        <f>IF(I$4=0,0,IF(COUNTIFS(実績!$W$6:$W$505,I$3,実績!$AC$6:$AC$505,"&lt;="&amp;$A241,実績!$AD$6:$AD$505,"&gt;"&amp;$A241,実績!$AE$6:$AE$505,"○")&gt;0,1,0))</f>
        <v/>
      </c>
      <c r="J241">
        <f>IF(J$4=0,0,IF(COUNTIFS(実績!$W$6:$W$505,J$3,実績!$AC$6:$AC$505,"&lt;="&amp;$A241,実績!$AD$6:$AD$505,"&gt;"&amp;$A241,実績!$AE$6:$AE$505,"○")&gt;0,1,0))</f>
        <v/>
      </c>
      <c r="K241">
        <f>IF(K$4=0,0,IF(COUNTIFS(実績!$W$6:$W$505,K$3,実績!$AC$6:$AC$505,"&lt;="&amp;$A241,実績!$AD$6:$AD$505,"&gt;"&amp;$A241,実績!$AE$6:$AE$505,"○")&gt;0,1,0))</f>
        <v/>
      </c>
      <c r="L241">
        <f>IF(L$4=0,0,IF(COUNTIFS(実績!$W$6:$W$505,L$3,実績!$AC$6:$AC$505,"&lt;="&amp;$A241,実績!$AD$6:$AD$505,"&gt;"&amp;$A241,実績!$AE$6:$AE$505,"○")&gt;0,1,0))</f>
        <v/>
      </c>
      <c r="M241">
        <f>IF(M$4=0,0,IF(COUNTIFS(実績!$W$6:$W$505,M$3,実績!$AC$6:$AC$505,"&lt;="&amp;$A241,実績!$AD$6:$AD$505,"&gt;"&amp;$A241,実績!$AE$6:$AE$505,"○")&gt;0,1,0))</f>
        <v/>
      </c>
      <c r="N241">
        <f>IF(N$4=0,0,IF(COUNTIFS(実績!$W$6:$W$505,N$3,実績!$AC$6:$AC$505,"&lt;="&amp;$A241,実績!$AD$6:$AD$505,"&gt;"&amp;$A241,実績!$AE$6:$AE$505,"○")&gt;0,1,0))</f>
        <v/>
      </c>
      <c r="O241">
        <f>IF(O$4=0,0,IF(COUNTIFS(実績!$W$6:$W$505,O$3,実績!$AC$6:$AC$505,"&lt;="&amp;$A241,実績!$AD$6:$AD$505,"&gt;"&amp;$A241,実績!$AE$6:$AE$505,"○")&gt;0,1,0))</f>
        <v/>
      </c>
      <c r="P241">
        <f>IF(P$4=0,0,IF(COUNTIFS(実績!$W$6:$W$505,P$3,実績!$AC$6:$AC$505,"&lt;="&amp;$A241,実績!$AD$6:$AD$505,"&gt;"&amp;$A241,実績!$AE$6:$AE$505,"○")&gt;0,1,0))</f>
        <v/>
      </c>
      <c r="Q241">
        <f>IF(Q$4=0,0,IF(COUNTIFS(実績!$W$6:$W$505,Q$3,実績!$AC$6:$AC$505,"&lt;="&amp;$A241,実績!$AD$6:$AD$505,"&gt;"&amp;$A241,実績!$AE$6:$AE$505,"○")&gt;0,1,0))</f>
        <v/>
      </c>
      <c r="R241">
        <f>IF(R$4=0,0,IF(COUNTIFS(実績!$W$6:$W$505,R$3,実績!$AC$6:$AC$505,"&lt;="&amp;$A241,実績!$AD$6:$AD$505,"&gt;"&amp;$A241,実績!$AE$6:$AE$505,"○")&gt;0,1,0))</f>
        <v/>
      </c>
      <c r="S241">
        <f>IF(S$4=0,0,IF(COUNTIFS(実績!$W$6:$W$505,S$3,実績!$AC$6:$AC$505,"&lt;="&amp;$A241,実績!$AD$6:$AD$505,"&gt;"&amp;$A241,実績!$AE$6:$AE$505,"○")&gt;0,1,0))</f>
        <v/>
      </c>
      <c r="T241">
        <f>IF(T$4=0,0,IF(COUNTIFS(実績!$W$6:$W$505,T$3,実績!$AC$6:$AC$505,"&lt;="&amp;$A241,実績!$AD$6:$AD$505,"&gt;"&amp;$A241,実績!$AE$6:$AE$505,"○")&gt;0,1,0))</f>
        <v/>
      </c>
      <c r="U241">
        <f>IF(U$4=0,0,IF(COUNTIFS(実績!$W$6:$W$505,U$3,実績!$AC$6:$AC$505,"&lt;="&amp;$A241,実績!$AD$6:$AD$505,"&gt;"&amp;$A241,実績!$AE$6:$AE$505,"○")&gt;0,1,0))</f>
        <v/>
      </c>
      <c r="V241">
        <f>IF(V$4=0,0,IF(COUNTIFS(実績!$W$6:$W$505,V$3,実績!$AC$6:$AC$505,"&lt;="&amp;$A241,実績!$AD$6:$AD$505,"&gt;"&amp;$A241,実績!$AE$6:$AE$505,"○")&gt;0,1,0))</f>
        <v/>
      </c>
      <c r="W241">
        <f>IF(W$4=0,0,IF(COUNTIFS(実績!$W$6:$W$505,W$3,実績!$AC$6:$AC$505,"&lt;="&amp;$A241,実績!$AD$6:$AD$505,"&gt;"&amp;$A241,実績!$AE$6:$AE$505,"○")&gt;0,1,0))</f>
        <v/>
      </c>
      <c r="X241">
        <f>IF(X$4=0,0,IF(COUNTIFS(実績!$W$6:$W$505,X$3,実績!$AC$6:$AC$505,"&lt;="&amp;$A241,実績!$AD$6:$AD$505,"&gt;"&amp;$A241,実績!$AE$6:$AE$505,"○")&gt;0,1,0))</f>
        <v/>
      </c>
      <c r="Y241">
        <f>IF(Y$4=0,0,IF(COUNTIFS(実績!$W$6:$W$505,Y$3,実績!$AC$6:$AC$505,"&lt;="&amp;$A241,実績!$AD$6:$AD$505,"&gt;"&amp;$A241,実績!$AE$6:$AE$505,"○")&gt;0,1,0))</f>
        <v/>
      </c>
      <c r="Z241">
        <f>IF(Z$4=0,0,IF(COUNTIFS(実績!$W$6:$W$505,Z$3,実績!$AC$6:$AC$505,"&lt;="&amp;$A241,実績!$AD$6:$AD$505,"&gt;"&amp;$A241,実績!$AE$6:$AE$505,"○")&gt;0,1,0))</f>
        <v/>
      </c>
      <c r="AA241">
        <f>IF(AA$4=0,0,IF(COUNTIFS(実績!$W$6:$W$505,AA$3,実績!$AC$6:$AC$505,"&lt;="&amp;$A241,実績!$AD$6:$AD$505,"&gt;"&amp;$A241,実績!$AE$6:$AE$505,"○")&gt;0,1,0))</f>
        <v/>
      </c>
      <c r="AB241">
        <f>IF(AB$4=0,0,IF(COUNTIFS(実績!$W$6:$W$505,AB$3,実績!$AC$6:$AC$505,"&lt;="&amp;$A241,実績!$AD$6:$AD$505,"&gt;"&amp;$A241,実績!$AE$6:$AE$505,"○")&gt;0,1,0))</f>
        <v/>
      </c>
      <c r="AC241">
        <f>IF(AC$4=0,0,IF(COUNTIFS(実績!$W$6:$W$505,AC$3,実績!$AC$6:$AC$505,"&lt;="&amp;$A241,実績!$AD$6:$AD$505,"&gt;"&amp;$A241,実績!$AE$6:$AE$505,"○")&gt;0,1,0))</f>
        <v/>
      </c>
      <c r="AD241">
        <f>IF(AD$4=0,0,IF(COUNTIFS(実績!$W$6:$W$505,AD$3,実績!$AC$6:$AC$505,"&lt;="&amp;$A241,実績!$AD$6:$AD$505,"&gt;"&amp;$A241,実績!$AE$6:$AE$505,"○")&gt;0,1,0))</f>
        <v/>
      </c>
      <c r="AE241">
        <f>IF(AE$4=0,0,IF(COUNTIFS(実績!$W$6:$W$505,AE$3,実績!$AC$6:$AC$505,"&lt;="&amp;$A241,実績!$AD$6:$AD$505,"&gt;"&amp;$A241,実績!$AE$6:$AE$505,"○")&gt;0,1,0))</f>
        <v/>
      </c>
      <c r="AF241">
        <f>IF(AF$4=0,0,IF(COUNTIFS(実績!$W$6:$W$505,AF$3,実績!$AC$6:$AC$505,"&lt;="&amp;$A241,実績!$AD$6:$AD$505,"&gt;"&amp;$A241,実績!$AE$6:$AE$505,"○")&gt;0,1,0))</f>
        <v/>
      </c>
      <c r="AG241">
        <f>IF(AG$4=0,0,IF(COUNTIFS(実績!$W$6:$W$505,AG$3,実績!$AC$6:$AC$505,"&lt;="&amp;$A241,実績!$AD$6:$AD$505,"&gt;"&amp;$A241,実績!$AE$6:$AE$505,"○")&gt;0,1,0))</f>
        <v/>
      </c>
      <c r="AH241">
        <f>IF(AH$4=0,0,IF(COUNTIFS(実績!$W$6:$W$505,AH$3,実績!$AC$6:$AC$505,"&lt;="&amp;$A241,実績!$AD$6:$AD$505,"&gt;"&amp;$A241,実績!$AE$6:$AE$505,"○")&gt;0,1,0))</f>
        <v/>
      </c>
      <c r="AI241">
        <f>IF(AI$4=0,0,IF(COUNTIFS(実績!$W$6:$W$505,AI$3,実績!$AC$6:$AC$505,"&lt;="&amp;$A241,実績!$AD$6:$AD$505,"&gt;"&amp;$A241,実績!$AE$6:$AE$505,"○")&gt;0,1,0))</f>
        <v/>
      </c>
      <c r="AJ241">
        <f>IF(AJ$4=0,0,IF(COUNTIFS(実績!$W$6:$W$505,AJ$3,実績!$AC$6:$AC$505,"&lt;="&amp;$A241,実績!$AD$6:$AD$505,"&gt;"&amp;$A241,実績!$AE$6:$AE$505,"○")&gt;0,1,0))</f>
        <v/>
      </c>
      <c r="AK241">
        <f>IF(AK$4=0,0,IF(COUNTIFS(実績!$W$6:$W$505,AK$3,実績!$AC$6:$AC$505,"&lt;="&amp;$A241,実績!$AD$6:$AD$505,"&gt;"&amp;$A241,実績!$AE$6:$AE$505,"○")&gt;0,1,0))</f>
        <v/>
      </c>
      <c r="AL241">
        <f>IF(AL$4=0,0,IF(COUNTIFS(実績!$W$6:$W$505,AL$3,実績!$AC$6:$AC$505,"&lt;="&amp;$A241,実績!$AD$6:$AD$505,"&gt;"&amp;$A241,実績!$AE$6:$AE$505,"○")&gt;0,1,0))</f>
        <v/>
      </c>
      <c r="AM241">
        <f>IF(AM$4=0,0,IF(COUNTIFS(実績!$W$6:$W$505,AM$3,実績!$AC$6:$AC$505,"&lt;="&amp;$A241,実績!$AD$6:$AD$505,"&gt;"&amp;$A241,実績!$AE$6:$AE$505,"○")&gt;0,1,0))</f>
        <v/>
      </c>
      <c r="AN241">
        <f>IF(AN$4=0,0,IF(COUNTIFS(実績!$W$6:$W$505,AN$3,実績!$AC$6:$AC$505,"&lt;="&amp;$A241,実績!$AD$6:$AD$505,"&gt;"&amp;$A241,実績!$AE$6:$AE$505,"○")&gt;0,1,0))</f>
        <v/>
      </c>
      <c r="AO241">
        <f>IF(AO$4=0,0,IF(COUNTIFS(実績!$W$6:$W$505,AO$3,実績!$AC$6:$AC$505,"&lt;="&amp;$A241,実績!$AD$6:$AD$505,"&gt;"&amp;$A241,実績!$AE$6:$AE$505,"○")&gt;0,1,0))</f>
        <v/>
      </c>
      <c r="AP241">
        <f>IF(AP$4=0,0,IF(COUNTIFS(実績!$W$6:$W$505,AP$3,実績!$AC$6:$AC$505,"&lt;="&amp;$A241,実績!$AD$6:$AD$505,"&gt;"&amp;$A241,実績!$AE$6:$AE$505,"○")&gt;0,1,0))</f>
        <v/>
      </c>
      <c r="AQ241">
        <f>IF(AQ$4=0,0,IF(COUNTIFS(実績!$W$6:$W$505,AQ$3,実績!$AC$6:$AC$505,"&lt;="&amp;$A241,実績!$AD$6:$AD$505,"&gt;"&amp;$A241,実績!$AE$6:$AE$505,"○")&gt;0,1,0))</f>
        <v/>
      </c>
      <c r="AR241">
        <f>IF(AR$4=0,0,IF(COUNTIFS(実績!$W$6:$W$505,AR$3,実績!$AC$6:$AC$505,"&lt;="&amp;$A241,実績!$AD$6:$AD$505,"&gt;"&amp;$A241,実績!$AE$6:$AE$505,"○")&gt;0,1,0))</f>
        <v/>
      </c>
      <c r="AS241">
        <f>IF(AS$4=0,0,IF(COUNTIFS(実績!$W$6:$W$505,AS$3,実績!$AC$6:$AC$505,"&lt;="&amp;$A241,実績!$AD$6:$AD$505,"&gt;"&amp;$A241,実績!$AE$6:$AE$505,"○")&gt;0,1,0))</f>
        <v/>
      </c>
      <c r="AT241">
        <f>IF(AT$4=0,0,IF(COUNTIFS(実績!$W$6:$W$505,AT$3,実績!$AC$6:$AC$505,"&lt;="&amp;$A241,実績!$AD$6:$AD$505,"&gt;"&amp;$A241,実績!$AE$6:$AE$505,"○")&gt;0,1,0))</f>
        <v/>
      </c>
      <c r="AU241">
        <f>IF(AU$4=0,0,IF(COUNTIFS(実績!$W$6:$W$505,AU$3,実績!$AC$6:$AC$505,"&lt;="&amp;$A241,実績!$AD$6:$AD$505,"&gt;"&amp;$A241,実績!$AE$6:$AE$505,"○")&gt;0,1,0))</f>
        <v/>
      </c>
      <c r="AV241">
        <f>IF(AV$4=0,0,IF(COUNTIFS(実績!$W$6:$W$505,AV$3,実績!$AC$6:$AC$505,"&lt;="&amp;$A241,実績!$AD$6:$AD$505,"&gt;"&amp;$A241,実績!$AE$6:$AE$505,"○")&gt;0,1,0))</f>
        <v/>
      </c>
      <c r="AW241">
        <f>IF(AW$4=0,0,IF(COUNTIFS(実績!$W$6:$W$505,AW$3,実績!$AC$6:$AC$505,"&lt;="&amp;$A241,実績!$AD$6:$AD$505,"&gt;"&amp;$A241,実績!$AE$6:$AE$505,"○")&gt;0,1,0))</f>
        <v/>
      </c>
      <c r="AX241">
        <f>IF(AX$4=0,0,IF(COUNTIFS(実績!$W$6:$W$505,AX$3,実績!$AC$6:$AC$505,"&lt;="&amp;$A241,実績!$AD$6:$AD$505,"&gt;"&amp;$A241,実績!$AE$6:$AE$505,"○")&gt;0,1,0))</f>
        <v/>
      </c>
      <c r="AY241">
        <f>IF(AY$4=0,0,IF(COUNTIFS(実績!$W$6:$W$505,AY$3,実績!$AC$6:$AC$505,"&lt;="&amp;$A241,実績!$AD$6:$AD$505,"&gt;"&amp;$A241,実績!$AE$6:$AE$505,"○")&gt;0,1,0))</f>
        <v/>
      </c>
      <c r="AZ241">
        <f>IF(AZ$4=0,0,IF(COUNTIFS(実績!$W$6:$W$505,AZ$3,実績!$AC$6:$AC$505,"&lt;="&amp;$A241,実績!$AD$6:$AD$505,"&gt;"&amp;$A241,実績!$AE$6:$AE$505,"○")&gt;0,1,0))</f>
        <v/>
      </c>
      <c r="BA241">
        <f>IF(BA$4=0,0,IF(COUNTIFS(実績!$W$6:$W$505,BA$3,実績!$AC$6:$AC$505,"&lt;="&amp;$A241,実績!$AD$6:$AD$505,"&gt;"&amp;$A241,実績!$AE$6:$AE$505,"○")&gt;0,1,0))</f>
        <v/>
      </c>
      <c r="BB241">
        <f>IF(BB$4=0,0,IF(COUNTIFS(実績!$W$6:$W$505,BB$3,実績!$AC$6:$AC$505,"&lt;="&amp;$A241,実績!$AD$6:$AD$505,"&gt;"&amp;$A241,実績!$AE$6:$AE$505,"○")&gt;0,1,0))</f>
        <v/>
      </c>
      <c r="BC241">
        <f>IF(BC$4=0,0,IF(COUNTIFS(実績!$W$6:$W$505,BC$3,実績!$AC$6:$AC$505,"&lt;="&amp;$A241,実績!$AD$6:$AD$505,"&gt;"&amp;$A241,実績!$AE$6:$AE$505,"○")&gt;0,1,0))</f>
        <v/>
      </c>
      <c r="BD241">
        <f>IF(BD$4=0,0,IF(COUNTIFS(実績!$W$6:$W$505,BD$3,実績!$AC$6:$AC$505,"&lt;="&amp;$A241,実績!$AD$6:$AD$505,"&gt;"&amp;$A241,実績!$AE$6:$AE$505,"○")&gt;0,1,0))</f>
        <v/>
      </c>
      <c r="BE241">
        <f>IF(BE$4=0,0,IF(COUNTIFS(実績!$W$6:$W$505,BE$3,実績!$AC$6:$AC$505,"&lt;="&amp;$A241,実績!$AD$6:$AD$505,"&gt;"&amp;$A241,実績!$AE$6:$AE$505,"○")&gt;0,1,0))</f>
        <v/>
      </c>
      <c r="BF241">
        <f>IF(BF$4=0,0,IF(COUNTIFS(実績!$W$6:$W$505,BF$3,実績!$AC$6:$AC$505,"&lt;="&amp;$A241,実績!$AD$6:$AD$505,"&gt;"&amp;$A241,実績!$AE$6:$AE$505,"○")&gt;0,1,0))</f>
        <v/>
      </c>
      <c r="BG241">
        <f>IF(BG$4=0,0,IF(COUNTIFS(実績!$W$6:$W$505,BG$3,実績!$AC$6:$AC$505,"&lt;="&amp;$A241,実績!$AD$6:$AD$505,"&gt;"&amp;$A241,実績!$AE$6:$AE$505,"○")&gt;0,1,0))</f>
        <v/>
      </c>
      <c r="BH241">
        <f>IF(BH$4=0,0,IF(COUNTIFS(実績!$W$6:$W$505,BH$3,実績!$AC$6:$AC$505,"&lt;="&amp;$A241,実績!$AD$6:$AD$505,"&gt;"&amp;$A241,実績!$AE$6:$AE$505,"○")&gt;0,1,0))</f>
        <v/>
      </c>
      <c r="BI241">
        <f>IF(BI$4=0,0,IF(COUNTIFS(実績!$W$6:$W$505,BI$3,実績!$AC$6:$AC$505,"&lt;="&amp;$A241,実績!$AD$6:$AD$505,"&gt;"&amp;$A241,実績!$AE$6:$AE$505,"○")&gt;0,1,0))</f>
        <v/>
      </c>
      <c r="BJ241">
        <f>IF(BJ$4=0,0,IF(COUNTIFS(実績!$W$6:$W$505,BJ$3,実績!$AC$6:$AC$505,"&lt;="&amp;$A241,実績!$AD$6:$AD$505,"&gt;"&amp;$A241,実績!$AE$6:$AE$505,"○")&gt;0,1,0))</f>
        <v/>
      </c>
      <c r="BK241">
        <f>IF(BK$4=0,0,IF(COUNTIFS(実績!$W$6:$W$505,BK$3,実績!$AC$6:$AC$505,"&lt;="&amp;$A241,実績!$AD$6:$AD$505,"&gt;"&amp;$A241,実績!$AE$6:$AE$505,"○")&gt;0,1,0))</f>
        <v/>
      </c>
      <c r="BL241">
        <f>IF(BL$4=0,0,IF(COUNTIFS(実績!$W$6:$W$505,BL$3,実績!$AC$6:$AC$505,"&lt;="&amp;$A241,実績!$AD$6:$AD$505,"&gt;"&amp;$A241,実績!$AE$6:$AE$505,"○")&gt;0,1,0))</f>
        <v/>
      </c>
      <c r="BM241">
        <f>IF(BM$4=0,0,IF(COUNTIFS(実績!$W$6:$W$505,BM$3,実績!$AC$6:$AC$505,"&lt;="&amp;$A241,実績!$AD$6:$AD$505,"&gt;"&amp;$A241,実績!$AE$6:$AE$505,"○")&gt;0,1,0))</f>
        <v/>
      </c>
      <c r="BN241">
        <f>IF(BN$4=0,0,IF(COUNTIFS(実績!$W$6:$W$505,BN$3,実績!$AC$6:$AC$505,"&lt;="&amp;$A241,実績!$AD$6:$AD$505,"&gt;"&amp;$A241,実績!$AE$6:$AE$505,"○")&gt;0,1,0))</f>
        <v/>
      </c>
      <c r="BO241">
        <f>IF(BO$4=0,0,IF(COUNTIFS(実績!$W$6:$W$505,BO$3,実績!$AC$6:$AC$505,"&lt;="&amp;$A241,実績!$AD$6:$AD$505,"&gt;"&amp;$A241,実績!$AE$6:$AE$505,"○")&gt;0,1,0))</f>
        <v/>
      </c>
      <c r="BP241">
        <f>IF(BP$4=0,0,IF(COUNTIFS(実績!$W$6:$W$505,BP$3,実績!$AC$6:$AC$505,"&lt;="&amp;$A241,実績!$AD$6:$AD$505,"&gt;"&amp;$A241,実績!$AE$6:$AE$505,"○")&gt;0,1,0))</f>
        <v/>
      </c>
      <c r="BQ241">
        <f>IF(BQ$4=0,0,IF(COUNTIFS(実績!$W$6:$W$505,BQ$3,実績!$AC$6:$AC$505,"&lt;="&amp;$A241,実績!$AD$6:$AD$505,"&gt;"&amp;$A241,実績!$AE$6:$AE$505,"○")&gt;0,1,0))</f>
        <v/>
      </c>
      <c r="BR241">
        <f>IF(BR$4=0,0,IF(COUNTIFS(実績!$W$6:$W$505,BR$3,実績!$AC$6:$AC$505,"&lt;="&amp;$A241,実績!$AD$6:$AD$505,"&gt;"&amp;$A241,実績!$AE$6:$AE$505,"○")&gt;0,1,0))</f>
        <v/>
      </c>
      <c r="BS241">
        <f>IF(BS$4=0,0,IF(COUNTIFS(実績!$W$6:$W$505,BS$3,実績!$AC$6:$AC$505,"&lt;="&amp;$A241,実績!$AD$6:$AD$505,"&gt;"&amp;$A241,実績!$AE$6:$AE$505,"○")&gt;0,1,0))</f>
        <v/>
      </c>
      <c r="BT241">
        <f>IF(BT$4=0,0,IF(COUNTIFS(実績!$W$6:$W$505,BT$3,実績!$AC$6:$AC$505,"&lt;="&amp;$A241,実績!$AD$6:$AD$505,"&gt;"&amp;$A241,実績!$AE$6:$AE$505,"○")&gt;0,1,0))</f>
        <v/>
      </c>
      <c r="BU241">
        <f>IF(BU$4=0,0,IF(COUNTIFS(実績!$W$6:$W$505,BU$3,実績!$AC$6:$AC$505,"&lt;="&amp;$A241,実績!$AD$6:$AD$505,"&gt;"&amp;$A241,実績!$AE$6:$AE$505,"○")&gt;0,1,0))</f>
        <v/>
      </c>
      <c r="BV241">
        <f>IF(BV$4=0,0,IF(COUNTIFS(実績!$W$6:$W$505,BV$3,実績!$AC$6:$AC$505,"&lt;="&amp;$A241,実績!$AD$6:$AD$505,"&gt;"&amp;$A241,実績!$AE$6:$AE$505,"○")&gt;0,1,0))</f>
        <v/>
      </c>
      <c r="BW241">
        <f>IF(BW$4=0,0,IF(COUNTIFS(実績!$W$6:$W$505,BW$3,実績!$AC$6:$AC$505,"&lt;="&amp;$A241,実績!$AD$6:$AD$505,"&gt;"&amp;$A241,実績!$AE$6:$AE$505,"○")&gt;0,1,0))</f>
        <v/>
      </c>
      <c r="BX241">
        <f>IF(BX$4=0,0,IF(COUNTIFS(実績!$W$6:$W$505,BX$3,実績!$AC$6:$AC$505,"&lt;="&amp;$A241,実績!$AD$6:$AD$505,"&gt;"&amp;$A241,実績!$AE$6:$AE$505,"○")&gt;0,1,0))</f>
        <v/>
      </c>
      <c r="BY241">
        <f>IF(BY$4=0,0,IF(COUNTIFS(実績!$W$6:$W$505,BY$3,実績!$AC$6:$AC$505,"&lt;="&amp;$A241,実績!$AD$6:$AD$505,"&gt;"&amp;$A241,実績!$AE$6:$AE$505,"○")&gt;0,1,0))</f>
        <v/>
      </c>
      <c r="BZ241">
        <f>IF(BZ$4=0,0,IF(COUNTIFS(実績!$W$6:$W$505,BZ$3,実績!$AC$6:$AC$505,"&lt;="&amp;$A241,実績!$AD$6:$AD$505,"&gt;"&amp;$A241,実績!$AE$6:$AE$505,"○")&gt;0,1,0))</f>
        <v/>
      </c>
      <c r="CA241">
        <f>IF(CA$4=0,0,IF(COUNTIFS(実績!$W$6:$W$505,CA$3,実績!$AC$6:$AC$505,"&lt;="&amp;$A241,実績!$AD$6:$AD$505,"&gt;"&amp;$A241,実績!$AE$6:$AE$505,"○")&gt;0,1,0))</f>
        <v/>
      </c>
      <c r="CB241">
        <f>IF(CB$4=0,0,IF(COUNTIFS(実績!$W$6:$W$505,CB$3,実績!$AC$6:$AC$505,"&lt;="&amp;$A241,実績!$AD$6:$AD$505,"&gt;"&amp;$A241,実績!$AE$6:$AE$505,"○")&gt;0,1,0))</f>
        <v/>
      </c>
      <c r="CC241">
        <f>IF(CC$4=0,0,IF(COUNTIFS(実績!$W$6:$W$505,CC$3,実績!$AC$6:$AC$505,"&lt;="&amp;$A241,実績!$AD$6:$AD$505,"&gt;"&amp;$A241,実績!$AE$6:$AE$505,"○")&gt;0,1,0))</f>
        <v/>
      </c>
      <c r="CD241">
        <f>IF(CD$4=0,0,IF(COUNTIFS(実績!$W$6:$W$505,CD$3,実績!$AC$6:$AC$505,"&lt;="&amp;$A241,実績!$AD$6:$AD$505,"&gt;"&amp;$A241,実績!$AE$6:$AE$505,"○")&gt;0,1,0))</f>
        <v/>
      </c>
      <c r="CE241">
        <f>IF(CE$4=0,0,IF(COUNTIFS(実績!$W$6:$W$505,CE$3,実績!$AC$6:$AC$505,"&lt;="&amp;$A241,実績!$AD$6:$AD$505,"&gt;"&amp;$A241,実績!$AE$6:$AE$505,"○")&gt;0,1,0))</f>
        <v/>
      </c>
      <c r="CF241">
        <f>IF(CF$4=0,0,IF(COUNTIFS(実績!$W$6:$W$505,CF$3,実績!$AC$6:$AC$505,"&lt;="&amp;$A241,実績!$AD$6:$AD$505,"&gt;"&amp;$A241,実績!$AE$6:$AE$505,"○")&gt;0,1,0))</f>
        <v/>
      </c>
      <c r="CG241">
        <f>IF(CG$4=0,0,IF(COUNTIFS(実績!$W$6:$W$505,CG$3,実績!$AC$6:$AC$505,"&lt;="&amp;$A241,実績!$AD$6:$AD$505,"&gt;"&amp;$A241,実績!$AE$6:$AE$505,"○")&gt;0,1,0))</f>
        <v/>
      </c>
      <c r="CH241">
        <f>IF(CH$4=0,0,IF(COUNTIFS(実績!$W$6:$W$505,CH$3,実績!$AC$6:$AC$505,"&lt;="&amp;$A241,実績!$AD$6:$AD$505,"&gt;"&amp;$A241,実績!$AE$6:$AE$505,"○")&gt;0,1,0))</f>
        <v/>
      </c>
      <c r="CI241">
        <f>IF(CI$4=0,0,IF(COUNTIFS(実績!$W$6:$W$505,CI$3,実績!$AC$6:$AC$505,"&lt;="&amp;$A241,実績!$AD$6:$AD$505,"&gt;"&amp;$A241,実績!$AE$6:$AE$505,"○")&gt;0,1,0))</f>
        <v/>
      </c>
      <c r="CJ241">
        <f>IF(CJ$4=0,0,IF(COUNTIFS(実績!$W$6:$W$505,CJ$3,実績!$AC$6:$AC$505,"&lt;="&amp;$A241,実績!$AD$6:$AD$505,"&gt;"&amp;$A241,実績!$AE$6:$AE$505,"○")&gt;0,1,0))</f>
        <v/>
      </c>
      <c r="CK241">
        <f>IF(CK$4=0,0,IF(COUNTIFS(実績!$W$6:$W$505,CK$3,実績!$AC$6:$AC$505,"&lt;="&amp;$A241,実績!$AD$6:$AD$505,"&gt;"&amp;$A241,実績!$AE$6:$AE$505,"○")&gt;0,1,0))</f>
        <v/>
      </c>
      <c r="CL241">
        <f>IF(CL$4=0,0,IF(COUNTIFS(実績!$W$6:$W$505,CL$3,実績!$AC$6:$AC$505,"&lt;="&amp;$A241,実績!$AD$6:$AD$505,"&gt;"&amp;$A241,実績!$AE$6:$AE$505,"○")&gt;0,1,0))</f>
        <v/>
      </c>
      <c r="CM241">
        <f>IF(CM$4=0,0,IF(COUNTIFS(実績!$W$6:$W$505,CM$3,実績!$AC$6:$AC$505,"&lt;="&amp;$A241,実績!$AD$6:$AD$505,"&gt;"&amp;$A241,実績!$AE$6:$AE$505,"○")&gt;0,1,0))</f>
        <v/>
      </c>
      <c r="CN241">
        <f>IF(CN$4=0,0,IF(COUNTIFS(実績!$W$6:$W$505,CN$3,実績!$AC$6:$AC$505,"&lt;="&amp;$A241,実績!$AD$6:$AD$505,"&gt;"&amp;$A241,実績!$AE$6:$AE$505,"○")&gt;0,1,0))</f>
        <v/>
      </c>
      <c r="CO241">
        <f>IF(CO$4=0,0,IF(COUNTIFS(実績!$W$6:$W$505,CO$3,実績!$AC$6:$AC$505,"&lt;="&amp;$A241,実績!$AD$6:$AD$505,"&gt;"&amp;$A241,実績!$AE$6:$AE$505,"○")&gt;0,1,0))</f>
        <v/>
      </c>
      <c r="CP241">
        <f>IF(CP$4=0,0,IF(COUNTIFS(実績!$W$6:$W$505,CP$3,実績!$AC$6:$AC$505,"&lt;="&amp;$A241,実績!$AD$6:$AD$505,"&gt;"&amp;$A241,実績!$AE$6:$AE$505,"○")&gt;0,1,0))</f>
        <v/>
      </c>
      <c r="CQ241">
        <f>IF(CQ$4=0,0,IF(COUNTIFS(実績!$W$6:$W$505,CQ$3,実績!$AC$6:$AC$505,"&lt;="&amp;$A241,実績!$AD$6:$AD$505,"&gt;"&amp;$A241,実績!$AE$6:$AE$505,"○")&gt;0,1,0))</f>
        <v/>
      </c>
      <c r="CR241">
        <f>IF(CR$4=0,0,IF(COUNTIFS(実績!$W$6:$W$505,CR$3,実績!$AC$6:$AC$505,"&lt;="&amp;$A241,実績!$AD$6:$AD$505,"&gt;"&amp;$A241,実績!$AE$6:$AE$505,"○")&gt;0,1,0))</f>
        <v/>
      </c>
      <c r="CS241">
        <f>IF(CS$4=0,0,IF(COUNTIFS(実績!$W$6:$W$505,CS$3,実績!$AC$6:$AC$505,"&lt;="&amp;$A241,実績!$AD$6:$AD$505,"&gt;"&amp;$A241,実績!$AE$6:$AE$505,"○")&gt;0,1,0))</f>
        <v/>
      </c>
      <c r="CT241">
        <f>IF(CT$4=0,0,IF(COUNTIFS(実績!$W$6:$W$505,CT$3,実績!$AC$6:$AC$505,"&lt;="&amp;$A241,実績!$AD$6:$AD$505,"&gt;"&amp;$A241,実績!$AE$6:$AE$505,"○")&gt;0,1,0))</f>
        <v/>
      </c>
      <c r="CU241">
        <f>IF(CU$4=0,0,IF(COUNTIFS(実績!$W$6:$W$505,CU$3,実績!$AC$6:$AC$505,"&lt;="&amp;$A241,実績!$AD$6:$AD$505,"&gt;"&amp;$A241,実績!$AE$6:$AE$505,"○")&gt;0,1,0))</f>
        <v/>
      </c>
      <c r="CV241">
        <f>IF(CV$4=0,0,IF(COUNTIFS(実績!$W$6:$W$505,CV$3,実績!$AC$6:$AC$505,"&lt;="&amp;$A241,実績!$AD$6:$AD$505,"&gt;"&amp;$A241,実績!$AE$6:$AE$505,"○")&gt;0,1,0))</f>
        <v/>
      </c>
      <c r="CW241">
        <f>IF(CW$4=0,0,IF(COUNTIFS(実績!$W$6:$W$505,CW$3,実績!$AC$6:$AC$505,"&lt;="&amp;$A241,実績!$AD$6:$AD$505,"&gt;"&amp;$A241,実績!$AE$6:$AE$505,"○")&gt;0,1,0))</f>
        <v/>
      </c>
      <c r="CX241">
        <f>IF(CX$4=0,0,IF(COUNTIFS(実績!$W$6:$W$505,CX$3,実績!$AC$6:$AC$505,"&lt;="&amp;$A241,実績!$AD$6:$AD$505,"&gt;"&amp;$A241,実績!$AE$6:$AE$505,"○")&gt;0,1,0))</f>
        <v/>
      </c>
      <c r="CY241">
        <f>IF(CY$4=0,0,IF(COUNTIFS(実績!$W$6:$W$505,CY$3,実績!$AC$6:$AC$505,"&lt;="&amp;$A241,実績!$AD$6:$AD$505,"&gt;"&amp;$A241,実績!$AE$6:$AE$505,"○")&gt;0,1,0))</f>
        <v/>
      </c>
      <c r="CZ241">
        <f>IF(CZ$4=0,0,IF(COUNTIFS(実績!$W$6:$W$505,CZ$3,実績!$AC$6:$AC$505,"&lt;="&amp;$A241,実績!$AD$6:$AD$505,"&gt;"&amp;$A241,実績!$AE$6:$AE$505,"○")&gt;0,1,0))</f>
        <v/>
      </c>
      <c r="DA241">
        <f>IF(DA$4=0,0,IF(COUNTIFS(実績!$W$6:$W$505,DA$3,実績!$AC$6:$AC$505,"&lt;="&amp;$A241,実績!$AD$6:$AD$505,"&gt;"&amp;$A241,実績!$AE$6:$AE$505,"○")&gt;0,1,0))</f>
        <v/>
      </c>
      <c r="DB241">
        <f>IF(DB$4=0,0,IF(COUNTIFS(実績!$W$6:$W$505,DB$3,実績!$AC$6:$AC$505,"&lt;="&amp;$A241,実績!$AD$6:$AD$505,"&gt;"&amp;$A241,実績!$AE$6:$AE$505,"○")&gt;0,1,0))</f>
        <v/>
      </c>
      <c r="DC241">
        <f>IF(DC$4=0,0,IF(COUNTIFS(実績!$W$6:$W$505,DC$3,実績!$AC$6:$AC$505,"&lt;="&amp;$A241,実績!$AD$6:$AD$505,"&gt;"&amp;$A241,実績!$AE$6:$AE$505,"○")&gt;0,1,0))</f>
        <v/>
      </c>
      <c r="DD241">
        <f>IF(DD$4=0,0,IF(COUNTIFS(実績!$W$6:$W$505,DD$3,実績!$AC$6:$AC$505,"&lt;="&amp;$A241,実績!$AD$6:$AD$505,"&gt;"&amp;$A241,実績!$AE$6:$AE$505,"○")&gt;0,1,0))</f>
        <v/>
      </c>
      <c r="DE241">
        <f>IF(DE$4=0,0,IF(COUNTIFS(実績!$W$6:$W$505,DE$3,実績!$AC$6:$AC$505,"&lt;="&amp;$A241,実績!$AD$6:$AD$505,"&gt;"&amp;$A241,実績!$AE$6:$AE$505,"○")&gt;0,1,0))</f>
        <v/>
      </c>
      <c r="DF241">
        <f>IF(DF$4=0,0,IF(COUNTIFS(実績!$W$6:$W$505,DF$3,実績!$AC$6:$AC$505,"&lt;="&amp;$A241,実績!$AD$6:$AD$505,"&gt;"&amp;$A241,実績!$AE$6:$AE$505,"○")&gt;0,1,0))</f>
        <v/>
      </c>
      <c r="DG241">
        <f>IF(DG$4=0,0,IF(COUNTIFS(実績!$W$6:$W$505,DG$3,実績!$AC$6:$AC$505,"&lt;="&amp;$A241,実績!$AD$6:$AD$505,"&gt;"&amp;$A241,実績!$AE$6:$AE$505,"○")&gt;0,1,0))</f>
        <v/>
      </c>
      <c r="DH241">
        <f>IF(DH$4=0,0,IF(COUNTIFS(実績!$W$6:$W$505,DH$3,実績!$AC$6:$AC$505,"&lt;="&amp;$A241,実績!$AD$6:$AD$505,"&gt;"&amp;$A241,実績!$AE$6:$AE$505,"○")&gt;0,1,0))</f>
        <v/>
      </c>
      <c r="DI241">
        <f>IF(DI$4=0,0,IF(COUNTIFS(実績!$W$6:$W$505,DI$3,実績!$AC$6:$AC$505,"&lt;="&amp;$A241,実績!$AD$6:$AD$505,"&gt;"&amp;$A241,実績!$AE$6:$AE$505,"○")&gt;0,1,0))</f>
        <v/>
      </c>
      <c r="DJ241">
        <f>IF(DJ$4=0,0,IF(COUNTIFS(実績!$W$6:$W$505,DJ$3,実績!$AC$6:$AC$505,"&lt;="&amp;$A241,実績!$AD$6:$AD$505,"&gt;"&amp;$A241,実績!$AE$6:$AE$505,"○")&gt;0,1,0))</f>
        <v/>
      </c>
      <c r="DK241">
        <f>IF(DK$4=0,0,IF(COUNTIFS(実績!$W$6:$W$505,DK$3,実績!$AC$6:$AC$505,"&lt;="&amp;$A241,実績!$AD$6:$AD$505,"&gt;"&amp;$A241,実績!$AE$6:$AE$505,"○")&gt;0,1,0))</f>
        <v/>
      </c>
      <c r="DL241">
        <f>IF(DL$4=0,0,IF(COUNTIFS(実績!$W$6:$W$505,DL$3,実績!$AC$6:$AC$505,"&lt;="&amp;$A241,実績!$AD$6:$AD$505,"&gt;"&amp;$A241,実績!$AE$6:$AE$505,"○")&gt;0,1,0))</f>
        <v/>
      </c>
      <c r="DM241">
        <f>IF(DM$4=0,0,IF(COUNTIFS(実績!$W$6:$W$505,DM$3,実績!$AC$6:$AC$505,"&lt;="&amp;$A241,実績!$AD$6:$AD$505,"&gt;"&amp;$A241,実績!$AE$6:$AE$505,"○")&gt;0,1,0))</f>
        <v/>
      </c>
      <c r="DN241">
        <f>IF(DN$4=0,0,IF(COUNTIFS(実績!$W$6:$W$505,DN$3,実績!$AC$6:$AC$505,"&lt;="&amp;$A241,実績!$AD$6:$AD$505,"&gt;"&amp;$A241,実績!$AE$6:$AE$505,"○")&gt;0,1,0))</f>
        <v/>
      </c>
      <c r="DO241">
        <f>IF(DO$4=0,0,IF(COUNTIFS(実績!$W$6:$W$505,DO$3,実績!$AC$6:$AC$505,"&lt;="&amp;$A241,実績!$AD$6:$AD$505,"&gt;"&amp;$A241,実績!$AE$6:$AE$505,"○")&gt;0,1,0))</f>
        <v/>
      </c>
      <c r="DP241">
        <f>IF(DP$4=0,0,IF(COUNTIFS(実績!$W$6:$W$505,DP$3,実績!$AC$6:$AC$505,"&lt;="&amp;$A241,実績!$AD$6:$AD$505,"&gt;"&amp;$A241,実績!$AE$6:$AE$505,"○")&gt;0,1,0))</f>
        <v/>
      </c>
      <c r="DQ241">
        <f>IF(DQ$4=0,0,IF(COUNTIFS(実績!$W$6:$W$505,DQ$3,実績!$AC$6:$AC$505,"&lt;="&amp;$A241,実績!$AD$6:$AD$505,"&gt;"&amp;$A241,実績!$AE$6:$AE$505,"○")&gt;0,1,0))</f>
        <v/>
      </c>
      <c r="DR241">
        <f>IF(DR$4=0,0,IF(COUNTIFS(実績!$W$6:$W$505,DR$3,実績!$AC$6:$AC$505,"&lt;="&amp;$A241,実績!$AD$6:$AD$505,"&gt;"&amp;$A241,実績!$AE$6:$AE$505,"○")&gt;0,1,0))</f>
        <v/>
      </c>
      <c r="DS241">
        <f>SUM(C241:DR241)</f>
        <v/>
      </c>
      <c r="DT241">
        <f>SUMPRODUCT((実績!$C$6:$C$505="○")*ISNUMBER(実績!$AF$6:$AF$505)*(実績!$AF$6:$AF$505&lt;=$A241)*(実績!$AG$6:$AG$505&gt;$A241))</f>
        <v/>
      </c>
      <c r="DU241">
        <f>SUMIF($C$2:$DR$2,"製鉄曳船",C241:DR241)</f>
        <v/>
      </c>
      <c r="DV241">
        <f>SUMIF($C$2:$DR$2,"西日本海運",C241:DR241)</f>
        <v/>
      </c>
    </row>
    <row r="242">
      <c r="A242" t="n">
        <v>1180</v>
      </c>
      <c r="B242" s="29">
        <f>A242/1440</f>
        <v/>
      </c>
      <c r="C242">
        <f>IF(C$4=0,0,IF(COUNTIFS(実績!$W$6:$W$505,C$3,実績!$AC$6:$AC$505,"&lt;="&amp;$A242,実績!$AD$6:$AD$505,"&gt;"&amp;$A242,実績!$AE$6:$AE$505,"○")&gt;0,1,0))</f>
        <v/>
      </c>
      <c r="D242">
        <f>IF(D$4=0,0,IF(COUNTIFS(実績!$W$6:$W$505,D$3,実績!$AC$6:$AC$505,"&lt;="&amp;$A242,実績!$AD$6:$AD$505,"&gt;"&amp;$A242,実績!$AE$6:$AE$505,"○")&gt;0,1,0))</f>
        <v/>
      </c>
      <c r="E242">
        <f>IF(E$4=0,0,IF(COUNTIFS(実績!$W$6:$W$505,E$3,実績!$AC$6:$AC$505,"&lt;="&amp;$A242,実績!$AD$6:$AD$505,"&gt;"&amp;$A242,実績!$AE$6:$AE$505,"○")&gt;0,1,0))</f>
        <v/>
      </c>
      <c r="F242">
        <f>IF(F$4=0,0,IF(COUNTIFS(実績!$W$6:$W$505,F$3,実績!$AC$6:$AC$505,"&lt;="&amp;$A242,実績!$AD$6:$AD$505,"&gt;"&amp;$A242,実績!$AE$6:$AE$505,"○")&gt;0,1,0))</f>
        <v/>
      </c>
      <c r="G242">
        <f>IF(G$4=0,0,IF(COUNTIFS(実績!$W$6:$W$505,G$3,実績!$AC$6:$AC$505,"&lt;="&amp;$A242,実績!$AD$6:$AD$505,"&gt;"&amp;$A242,実績!$AE$6:$AE$505,"○")&gt;0,1,0))</f>
        <v/>
      </c>
      <c r="H242">
        <f>IF(H$4=0,0,IF(COUNTIFS(実績!$W$6:$W$505,H$3,実績!$AC$6:$AC$505,"&lt;="&amp;$A242,実績!$AD$6:$AD$505,"&gt;"&amp;$A242,実績!$AE$6:$AE$505,"○")&gt;0,1,0))</f>
        <v/>
      </c>
      <c r="I242">
        <f>IF(I$4=0,0,IF(COUNTIFS(実績!$W$6:$W$505,I$3,実績!$AC$6:$AC$505,"&lt;="&amp;$A242,実績!$AD$6:$AD$505,"&gt;"&amp;$A242,実績!$AE$6:$AE$505,"○")&gt;0,1,0))</f>
        <v/>
      </c>
      <c r="J242">
        <f>IF(J$4=0,0,IF(COUNTIFS(実績!$W$6:$W$505,J$3,実績!$AC$6:$AC$505,"&lt;="&amp;$A242,実績!$AD$6:$AD$505,"&gt;"&amp;$A242,実績!$AE$6:$AE$505,"○")&gt;0,1,0))</f>
        <v/>
      </c>
      <c r="K242">
        <f>IF(K$4=0,0,IF(COUNTIFS(実績!$W$6:$W$505,K$3,実績!$AC$6:$AC$505,"&lt;="&amp;$A242,実績!$AD$6:$AD$505,"&gt;"&amp;$A242,実績!$AE$6:$AE$505,"○")&gt;0,1,0))</f>
        <v/>
      </c>
      <c r="L242">
        <f>IF(L$4=0,0,IF(COUNTIFS(実績!$W$6:$W$505,L$3,実績!$AC$6:$AC$505,"&lt;="&amp;$A242,実績!$AD$6:$AD$505,"&gt;"&amp;$A242,実績!$AE$6:$AE$505,"○")&gt;0,1,0))</f>
        <v/>
      </c>
      <c r="M242">
        <f>IF(M$4=0,0,IF(COUNTIFS(実績!$W$6:$W$505,M$3,実績!$AC$6:$AC$505,"&lt;="&amp;$A242,実績!$AD$6:$AD$505,"&gt;"&amp;$A242,実績!$AE$6:$AE$505,"○")&gt;0,1,0))</f>
        <v/>
      </c>
      <c r="N242">
        <f>IF(N$4=0,0,IF(COUNTIFS(実績!$W$6:$W$505,N$3,実績!$AC$6:$AC$505,"&lt;="&amp;$A242,実績!$AD$6:$AD$505,"&gt;"&amp;$A242,実績!$AE$6:$AE$505,"○")&gt;0,1,0))</f>
        <v/>
      </c>
      <c r="O242">
        <f>IF(O$4=0,0,IF(COUNTIFS(実績!$W$6:$W$505,O$3,実績!$AC$6:$AC$505,"&lt;="&amp;$A242,実績!$AD$6:$AD$505,"&gt;"&amp;$A242,実績!$AE$6:$AE$505,"○")&gt;0,1,0))</f>
        <v/>
      </c>
      <c r="P242">
        <f>IF(P$4=0,0,IF(COUNTIFS(実績!$W$6:$W$505,P$3,実績!$AC$6:$AC$505,"&lt;="&amp;$A242,実績!$AD$6:$AD$505,"&gt;"&amp;$A242,実績!$AE$6:$AE$505,"○")&gt;0,1,0))</f>
        <v/>
      </c>
      <c r="Q242">
        <f>IF(Q$4=0,0,IF(COUNTIFS(実績!$W$6:$W$505,Q$3,実績!$AC$6:$AC$505,"&lt;="&amp;$A242,実績!$AD$6:$AD$505,"&gt;"&amp;$A242,実績!$AE$6:$AE$505,"○")&gt;0,1,0))</f>
        <v/>
      </c>
      <c r="R242">
        <f>IF(R$4=0,0,IF(COUNTIFS(実績!$W$6:$W$505,R$3,実績!$AC$6:$AC$505,"&lt;="&amp;$A242,実績!$AD$6:$AD$505,"&gt;"&amp;$A242,実績!$AE$6:$AE$505,"○")&gt;0,1,0))</f>
        <v/>
      </c>
      <c r="S242">
        <f>IF(S$4=0,0,IF(COUNTIFS(実績!$W$6:$W$505,S$3,実績!$AC$6:$AC$505,"&lt;="&amp;$A242,実績!$AD$6:$AD$505,"&gt;"&amp;$A242,実績!$AE$6:$AE$505,"○")&gt;0,1,0))</f>
        <v/>
      </c>
      <c r="T242">
        <f>IF(T$4=0,0,IF(COUNTIFS(実績!$W$6:$W$505,T$3,実績!$AC$6:$AC$505,"&lt;="&amp;$A242,実績!$AD$6:$AD$505,"&gt;"&amp;$A242,実績!$AE$6:$AE$505,"○")&gt;0,1,0))</f>
        <v/>
      </c>
      <c r="U242">
        <f>IF(U$4=0,0,IF(COUNTIFS(実績!$W$6:$W$505,U$3,実績!$AC$6:$AC$505,"&lt;="&amp;$A242,実績!$AD$6:$AD$505,"&gt;"&amp;$A242,実績!$AE$6:$AE$505,"○")&gt;0,1,0))</f>
        <v/>
      </c>
      <c r="V242">
        <f>IF(V$4=0,0,IF(COUNTIFS(実績!$W$6:$W$505,V$3,実績!$AC$6:$AC$505,"&lt;="&amp;$A242,実績!$AD$6:$AD$505,"&gt;"&amp;$A242,実績!$AE$6:$AE$505,"○")&gt;0,1,0))</f>
        <v/>
      </c>
      <c r="W242">
        <f>IF(W$4=0,0,IF(COUNTIFS(実績!$W$6:$W$505,W$3,実績!$AC$6:$AC$505,"&lt;="&amp;$A242,実績!$AD$6:$AD$505,"&gt;"&amp;$A242,実績!$AE$6:$AE$505,"○")&gt;0,1,0))</f>
        <v/>
      </c>
      <c r="X242">
        <f>IF(X$4=0,0,IF(COUNTIFS(実績!$W$6:$W$505,X$3,実績!$AC$6:$AC$505,"&lt;="&amp;$A242,実績!$AD$6:$AD$505,"&gt;"&amp;$A242,実績!$AE$6:$AE$505,"○")&gt;0,1,0))</f>
        <v/>
      </c>
      <c r="Y242">
        <f>IF(Y$4=0,0,IF(COUNTIFS(実績!$W$6:$W$505,Y$3,実績!$AC$6:$AC$505,"&lt;="&amp;$A242,実績!$AD$6:$AD$505,"&gt;"&amp;$A242,実績!$AE$6:$AE$505,"○")&gt;0,1,0))</f>
        <v/>
      </c>
      <c r="Z242">
        <f>IF(Z$4=0,0,IF(COUNTIFS(実績!$W$6:$W$505,Z$3,実績!$AC$6:$AC$505,"&lt;="&amp;$A242,実績!$AD$6:$AD$505,"&gt;"&amp;$A242,実績!$AE$6:$AE$505,"○")&gt;0,1,0))</f>
        <v/>
      </c>
      <c r="AA242">
        <f>IF(AA$4=0,0,IF(COUNTIFS(実績!$W$6:$W$505,AA$3,実績!$AC$6:$AC$505,"&lt;="&amp;$A242,実績!$AD$6:$AD$505,"&gt;"&amp;$A242,実績!$AE$6:$AE$505,"○")&gt;0,1,0))</f>
        <v/>
      </c>
      <c r="AB242">
        <f>IF(AB$4=0,0,IF(COUNTIFS(実績!$W$6:$W$505,AB$3,実績!$AC$6:$AC$505,"&lt;="&amp;$A242,実績!$AD$6:$AD$505,"&gt;"&amp;$A242,実績!$AE$6:$AE$505,"○")&gt;0,1,0))</f>
        <v/>
      </c>
      <c r="AC242">
        <f>IF(AC$4=0,0,IF(COUNTIFS(実績!$W$6:$W$505,AC$3,実績!$AC$6:$AC$505,"&lt;="&amp;$A242,実績!$AD$6:$AD$505,"&gt;"&amp;$A242,実績!$AE$6:$AE$505,"○")&gt;0,1,0))</f>
        <v/>
      </c>
      <c r="AD242">
        <f>IF(AD$4=0,0,IF(COUNTIFS(実績!$W$6:$W$505,AD$3,実績!$AC$6:$AC$505,"&lt;="&amp;$A242,実績!$AD$6:$AD$505,"&gt;"&amp;$A242,実績!$AE$6:$AE$505,"○")&gt;0,1,0))</f>
        <v/>
      </c>
      <c r="AE242">
        <f>IF(AE$4=0,0,IF(COUNTIFS(実績!$W$6:$W$505,AE$3,実績!$AC$6:$AC$505,"&lt;="&amp;$A242,実績!$AD$6:$AD$505,"&gt;"&amp;$A242,実績!$AE$6:$AE$505,"○")&gt;0,1,0))</f>
        <v/>
      </c>
      <c r="AF242">
        <f>IF(AF$4=0,0,IF(COUNTIFS(実績!$W$6:$W$505,AF$3,実績!$AC$6:$AC$505,"&lt;="&amp;$A242,実績!$AD$6:$AD$505,"&gt;"&amp;$A242,実績!$AE$6:$AE$505,"○")&gt;0,1,0))</f>
        <v/>
      </c>
      <c r="AG242">
        <f>IF(AG$4=0,0,IF(COUNTIFS(実績!$W$6:$W$505,AG$3,実績!$AC$6:$AC$505,"&lt;="&amp;$A242,実績!$AD$6:$AD$505,"&gt;"&amp;$A242,実績!$AE$6:$AE$505,"○")&gt;0,1,0))</f>
        <v/>
      </c>
      <c r="AH242">
        <f>IF(AH$4=0,0,IF(COUNTIFS(実績!$W$6:$W$505,AH$3,実績!$AC$6:$AC$505,"&lt;="&amp;$A242,実績!$AD$6:$AD$505,"&gt;"&amp;$A242,実績!$AE$6:$AE$505,"○")&gt;0,1,0))</f>
        <v/>
      </c>
      <c r="AI242">
        <f>IF(AI$4=0,0,IF(COUNTIFS(実績!$W$6:$W$505,AI$3,実績!$AC$6:$AC$505,"&lt;="&amp;$A242,実績!$AD$6:$AD$505,"&gt;"&amp;$A242,実績!$AE$6:$AE$505,"○")&gt;0,1,0))</f>
        <v/>
      </c>
      <c r="AJ242">
        <f>IF(AJ$4=0,0,IF(COUNTIFS(実績!$W$6:$W$505,AJ$3,実績!$AC$6:$AC$505,"&lt;="&amp;$A242,実績!$AD$6:$AD$505,"&gt;"&amp;$A242,実績!$AE$6:$AE$505,"○")&gt;0,1,0))</f>
        <v/>
      </c>
      <c r="AK242">
        <f>IF(AK$4=0,0,IF(COUNTIFS(実績!$W$6:$W$505,AK$3,実績!$AC$6:$AC$505,"&lt;="&amp;$A242,実績!$AD$6:$AD$505,"&gt;"&amp;$A242,実績!$AE$6:$AE$505,"○")&gt;0,1,0))</f>
        <v/>
      </c>
      <c r="AL242">
        <f>IF(AL$4=0,0,IF(COUNTIFS(実績!$W$6:$W$505,AL$3,実績!$AC$6:$AC$505,"&lt;="&amp;$A242,実績!$AD$6:$AD$505,"&gt;"&amp;$A242,実績!$AE$6:$AE$505,"○")&gt;0,1,0))</f>
        <v/>
      </c>
      <c r="AM242">
        <f>IF(AM$4=0,0,IF(COUNTIFS(実績!$W$6:$W$505,AM$3,実績!$AC$6:$AC$505,"&lt;="&amp;$A242,実績!$AD$6:$AD$505,"&gt;"&amp;$A242,実績!$AE$6:$AE$505,"○")&gt;0,1,0))</f>
        <v/>
      </c>
      <c r="AN242">
        <f>IF(AN$4=0,0,IF(COUNTIFS(実績!$W$6:$W$505,AN$3,実績!$AC$6:$AC$505,"&lt;="&amp;$A242,実績!$AD$6:$AD$505,"&gt;"&amp;$A242,実績!$AE$6:$AE$505,"○")&gt;0,1,0))</f>
        <v/>
      </c>
      <c r="AO242">
        <f>IF(AO$4=0,0,IF(COUNTIFS(実績!$W$6:$W$505,AO$3,実績!$AC$6:$AC$505,"&lt;="&amp;$A242,実績!$AD$6:$AD$505,"&gt;"&amp;$A242,実績!$AE$6:$AE$505,"○")&gt;0,1,0))</f>
        <v/>
      </c>
      <c r="AP242">
        <f>IF(AP$4=0,0,IF(COUNTIFS(実績!$W$6:$W$505,AP$3,実績!$AC$6:$AC$505,"&lt;="&amp;$A242,実績!$AD$6:$AD$505,"&gt;"&amp;$A242,実績!$AE$6:$AE$505,"○")&gt;0,1,0))</f>
        <v/>
      </c>
      <c r="AQ242">
        <f>IF(AQ$4=0,0,IF(COUNTIFS(実績!$W$6:$W$505,AQ$3,実績!$AC$6:$AC$505,"&lt;="&amp;$A242,実績!$AD$6:$AD$505,"&gt;"&amp;$A242,実績!$AE$6:$AE$505,"○")&gt;0,1,0))</f>
        <v/>
      </c>
      <c r="AR242">
        <f>IF(AR$4=0,0,IF(COUNTIFS(実績!$W$6:$W$505,AR$3,実績!$AC$6:$AC$505,"&lt;="&amp;$A242,実績!$AD$6:$AD$505,"&gt;"&amp;$A242,実績!$AE$6:$AE$505,"○")&gt;0,1,0))</f>
        <v/>
      </c>
      <c r="AS242">
        <f>IF(AS$4=0,0,IF(COUNTIFS(実績!$W$6:$W$505,AS$3,実績!$AC$6:$AC$505,"&lt;="&amp;$A242,実績!$AD$6:$AD$505,"&gt;"&amp;$A242,実績!$AE$6:$AE$505,"○")&gt;0,1,0))</f>
        <v/>
      </c>
      <c r="AT242">
        <f>IF(AT$4=0,0,IF(COUNTIFS(実績!$W$6:$W$505,AT$3,実績!$AC$6:$AC$505,"&lt;="&amp;$A242,実績!$AD$6:$AD$505,"&gt;"&amp;$A242,実績!$AE$6:$AE$505,"○")&gt;0,1,0))</f>
        <v/>
      </c>
      <c r="AU242">
        <f>IF(AU$4=0,0,IF(COUNTIFS(実績!$W$6:$W$505,AU$3,実績!$AC$6:$AC$505,"&lt;="&amp;$A242,実績!$AD$6:$AD$505,"&gt;"&amp;$A242,実績!$AE$6:$AE$505,"○")&gt;0,1,0))</f>
        <v/>
      </c>
      <c r="AV242">
        <f>IF(AV$4=0,0,IF(COUNTIFS(実績!$W$6:$W$505,AV$3,実績!$AC$6:$AC$505,"&lt;="&amp;$A242,実績!$AD$6:$AD$505,"&gt;"&amp;$A242,実績!$AE$6:$AE$505,"○")&gt;0,1,0))</f>
        <v/>
      </c>
      <c r="AW242">
        <f>IF(AW$4=0,0,IF(COUNTIFS(実績!$W$6:$W$505,AW$3,実績!$AC$6:$AC$505,"&lt;="&amp;$A242,実績!$AD$6:$AD$505,"&gt;"&amp;$A242,実績!$AE$6:$AE$505,"○")&gt;0,1,0))</f>
        <v/>
      </c>
      <c r="AX242">
        <f>IF(AX$4=0,0,IF(COUNTIFS(実績!$W$6:$W$505,AX$3,実績!$AC$6:$AC$505,"&lt;="&amp;$A242,実績!$AD$6:$AD$505,"&gt;"&amp;$A242,実績!$AE$6:$AE$505,"○")&gt;0,1,0))</f>
        <v/>
      </c>
      <c r="AY242">
        <f>IF(AY$4=0,0,IF(COUNTIFS(実績!$W$6:$W$505,AY$3,実績!$AC$6:$AC$505,"&lt;="&amp;$A242,実績!$AD$6:$AD$505,"&gt;"&amp;$A242,実績!$AE$6:$AE$505,"○")&gt;0,1,0))</f>
        <v/>
      </c>
      <c r="AZ242">
        <f>IF(AZ$4=0,0,IF(COUNTIFS(実績!$W$6:$W$505,AZ$3,実績!$AC$6:$AC$505,"&lt;="&amp;$A242,実績!$AD$6:$AD$505,"&gt;"&amp;$A242,実績!$AE$6:$AE$505,"○")&gt;0,1,0))</f>
        <v/>
      </c>
      <c r="BA242">
        <f>IF(BA$4=0,0,IF(COUNTIFS(実績!$W$6:$W$505,BA$3,実績!$AC$6:$AC$505,"&lt;="&amp;$A242,実績!$AD$6:$AD$505,"&gt;"&amp;$A242,実績!$AE$6:$AE$505,"○")&gt;0,1,0))</f>
        <v/>
      </c>
      <c r="BB242">
        <f>IF(BB$4=0,0,IF(COUNTIFS(実績!$W$6:$W$505,BB$3,実績!$AC$6:$AC$505,"&lt;="&amp;$A242,実績!$AD$6:$AD$505,"&gt;"&amp;$A242,実績!$AE$6:$AE$505,"○")&gt;0,1,0))</f>
        <v/>
      </c>
      <c r="BC242">
        <f>IF(BC$4=0,0,IF(COUNTIFS(実績!$W$6:$W$505,BC$3,実績!$AC$6:$AC$505,"&lt;="&amp;$A242,実績!$AD$6:$AD$505,"&gt;"&amp;$A242,実績!$AE$6:$AE$505,"○")&gt;0,1,0))</f>
        <v/>
      </c>
      <c r="BD242">
        <f>IF(BD$4=0,0,IF(COUNTIFS(実績!$W$6:$W$505,BD$3,実績!$AC$6:$AC$505,"&lt;="&amp;$A242,実績!$AD$6:$AD$505,"&gt;"&amp;$A242,実績!$AE$6:$AE$505,"○")&gt;0,1,0))</f>
        <v/>
      </c>
      <c r="BE242">
        <f>IF(BE$4=0,0,IF(COUNTIFS(実績!$W$6:$W$505,BE$3,実績!$AC$6:$AC$505,"&lt;="&amp;$A242,実績!$AD$6:$AD$505,"&gt;"&amp;$A242,実績!$AE$6:$AE$505,"○")&gt;0,1,0))</f>
        <v/>
      </c>
      <c r="BF242">
        <f>IF(BF$4=0,0,IF(COUNTIFS(実績!$W$6:$W$505,BF$3,実績!$AC$6:$AC$505,"&lt;="&amp;$A242,実績!$AD$6:$AD$505,"&gt;"&amp;$A242,実績!$AE$6:$AE$505,"○")&gt;0,1,0))</f>
        <v/>
      </c>
      <c r="BG242">
        <f>IF(BG$4=0,0,IF(COUNTIFS(実績!$W$6:$W$505,BG$3,実績!$AC$6:$AC$505,"&lt;="&amp;$A242,実績!$AD$6:$AD$505,"&gt;"&amp;$A242,実績!$AE$6:$AE$505,"○")&gt;0,1,0))</f>
        <v/>
      </c>
      <c r="BH242">
        <f>IF(BH$4=0,0,IF(COUNTIFS(実績!$W$6:$W$505,BH$3,実績!$AC$6:$AC$505,"&lt;="&amp;$A242,実績!$AD$6:$AD$505,"&gt;"&amp;$A242,実績!$AE$6:$AE$505,"○")&gt;0,1,0))</f>
        <v/>
      </c>
      <c r="BI242">
        <f>IF(BI$4=0,0,IF(COUNTIFS(実績!$W$6:$W$505,BI$3,実績!$AC$6:$AC$505,"&lt;="&amp;$A242,実績!$AD$6:$AD$505,"&gt;"&amp;$A242,実績!$AE$6:$AE$505,"○")&gt;0,1,0))</f>
        <v/>
      </c>
      <c r="BJ242">
        <f>IF(BJ$4=0,0,IF(COUNTIFS(実績!$W$6:$W$505,BJ$3,実績!$AC$6:$AC$505,"&lt;="&amp;$A242,実績!$AD$6:$AD$505,"&gt;"&amp;$A242,実績!$AE$6:$AE$505,"○")&gt;0,1,0))</f>
        <v/>
      </c>
      <c r="BK242">
        <f>IF(BK$4=0,0,IF(COUNTIFS(実績!$W$6:$W$505,BK$3,実績!$AC$6:$AC$505,"&lt;="&amp;$A242,実績!$AD$6:$AD$505,"&gt;"&amp;$A242,実績!$AE$6:$AE$505,"○")&gt;0,1,0))</f>
        <v/>
      </c>
      <c r="BL242">
        <f>IF(BL$4=0,0,IF(COUNTIFS(実績!$W$6:$W$505,BL$3,実績!$AC$6:$AC$505,"&lt;="&amp;$A242,実績!$AD$6:$AD$505,"&gt;"&amp;$A242,実績!$AE$6:$AE$505,"○")&gt;0,1,0))</f>
        <v/>
      </c>
      <c r="BM242">
        <f>IF(BM$4=0,0,IF(COUNTIFS(実績!$W$6:$W$505,BM$3,実績!$AC$6:$AC$505,"&lt;="&amp;$A242,実績!$AD$6:$AD$505,"&gt;"&amp;$A242,実績!$AE$6:$AE$505,"○")&gt;0,1,0))</f>
        <v/>
      </c>
      <c r="BN242">
        <f>IF(BN$4=0,0,IF(COUNTIFS(実績!$W$6:$W$505,BN$3,実績!$AC$6:$AC$505,"&lt;="&amp;$A242,実績!$AD$6:$AD$505,"&gt;"&amp;$A242,実績!$AE$6:$AE$505,"○")&gt;0,1,0))</f>
        <v/>
      </c>
      <c r="BO242">
        <f>IF(BO$4=0,0,IF(COUNTIFS(実績!$W$6:$W$505,BO$3,実績!$AC$6:$AC$505,"&lt;="&amp;$A242,実績!$AD$6:$AD$505,"&gt;"&amp;$A242,実績!$AE$6:$AE$505,"○")&gt;0,1,0))</f>
        <v/>
      </c>
      <c r="BP242">
        <f>IF(BP$4=0,0,IF(COUNTIFS(実績!$W$6:$W$505,BP$3,実績!$AC$6:$AC$505,"&lt;="&amp;$A242,実績!$AD$6:$AD$505,"&gt;"&amp;$A242,実績!$AE$6:$AE$505,"○")&gt;0,1,0))</f>
        <v/>
      </c>
      <c r="BQ242">
        <f>IF(BQ$4=0,0,IF(COUNTIFS(実績!$W$6:$W$505,BQ$3,実績!$AC$6:$AC$505,"&lt;="&amp;$A242,実績!$AD$6:$AD$505,"&gt;"&amp;$A242,実績!$AE$6:$AE$505,"○")&gt;0,1,0))</f>
        <v/>
      </c>
      <c r="BR242">
        <f>IF(BR$4=0,0,IF(COUNTIFS(実績!$W$6:$W$505,BR$3,実績!$AC$6:$AC$505,"&lt;="&amp;$A242,実績!$AD$6:$AD$505,"&gt;"&amp;$A242,実績!$AE$6:$AE$505,"○")&gt;0,1,0))</f>
        <v/>
      </c>
      <c r="BS242">
        <f>IF(BS$4=0,0,IF(COUNTIFS(実績!$W$6:$W$505,BS$3,実績!$AC$6:$AC$505,"&lt;="&amp;$A242,実績!$AD$6:$AD$505,"&gt;"&amp;$A242,実績!$AE$6:$AE$505,"○")&gt;0,1,0))</f>
        <v/>
      </c>
      <c r="BT242">
        <f>IF(BT$4=0,0,IF(COUNTIFS(実績!$W$6:$W$505,BT$3,実績!$AC$6:$AC$505,"&lt;="&amp;$A242,実績!$AD$6:$AD$505,"&gt;"&amp;$A242,実績!$AE$6:$AE$505,"○")&gt;0,1,0))</f>
        <v/>
      </c>
      <c r="BU242">
        <f>IF(BU$4=0,0,IF(COUNTIFS(実績!$W$6:$W$505,BU$3,実績!$AC$6:$AC$505,"&lt;="&amp;$A242,実績!$AD$6:$AD$505,"&gt;"&amp;$A242,実績!$AE$6:$AE$505,"○")&gt;0,1,0))</f>
        <v/>
      </c>
      <c r="BV242">
        <f>IF(BV$4=0,0,IF(COUNTIFS(実績!$W$6:$W$505,BV$3,実績!$AC$6:$AC$505,"&lt;="&amp;$A242,実績!$AD$6:$AD$505,"&gt;"&amp;$A242,実績!$AE$6:$AE$505,"○")&gt;0,1,0))</f>
        <v/>
      </c>
      <c r="BW242">
        <f>IF(BW$4=0,0,IF(COUNTIFS(実績!$W$6:$W$505,BW$3,実績!$AC$6:$AC$505,"&lt;="&amp;$A242,実績!$AD$6:$AD$505,"&gt;"&amp;$A242,実績!$AE$6:$AE$505,"○")&gt;0,1,0))</f>
        <v/>
      </c>
      <c r="BX242">
        <f>IF(BX$4=0,0,IF(COUNTIFS(実績!$W$6:$W$505,BX$3,実績!$AC$6:$AC$505,"&lt;="&amp;$A242,実績!$AD$6:$AD$505,"&gt;"&amp;$A242,実績!$AE$6:$AE$505,"○")&gt;0,1,0))</f>
        <v/>
      </c>
      <c r="BY242">
        <f>IF(BY$4=0,0,IF(COUNTIFS(実績!$W$6:$W$505,BY$3,実績!$AC$6:$AC$505,"&lt;="&amp;$A242,実績!$AD$6:$AD$505,"&gt;"&amp;$A242,実績!$AE$6:$AE$505,"○")&gt;0,1,0))</f>
        <v/>
      </c>
      <c r="BZ242">
        <f>IF(BZ$4=0,0,IF(COUNTIFS(実績!$W$6:$W$505,BZ$3,実績!$AC$6:$AC$505,"&lt;="&amp;$A242,実績!$AD$6:$AD$505,"&gt;"&amp;$A242,実績!$AE$6:$AE$505,"○")&gt;0,1,0))</f>
        <v/>
      </c>
      <c r="CA242">
        <f>IF(CA$4=0,0,IF(COUNTIFS(実績!$W$6:$W$505,CA$3,実績!$AC$6:$AC$505,"&lt;="&amp;$A242,実績!$AD$6:$AD$505,"&gt;"&amp;$A242,実績!$AE$6:$AE$505,"○")&gt;0,1,0))</f>
        <v/>
      </c>
      <c r="CB242">
        <f>IF(CB$4=0,0,IF(COUNTIFS(実績!$W$6:$W$505,CB$3,実績!$AC$6:$AC$505,"&lt;="&amp;$A242,実績!$AD$6:$AD$505,"&gt;"&amp;$A242,実績!$AE$6:$AE$505,"○")&gt;0,1,0))</f>
        <v/>
      </c>
      <c r="CC242">
        <f>IF(CC$4=0,0,IF(COUNTIFS(実績!$W$6:$W$505,CC$3,実績!$AC$6:$AC$505,"&lt;="&amp;$A242,実績!$AD$6:$AD$505,"&gt;"&amp;$A242,実績!$AE$6:$AE$505,"○")&gt;0,1,0))</f>
        <v/>
      </c>
      <c r="CD242">
        <f>IF(CD$4=0,0,IF(COUNTIFS(実績!$W$6:$W$505,CD$3,実績!$AC$6:$AC$505,"&lt;="&amp;$A242,実績!$AD$6:$AD$505,"&gt;"&amp;$A242,実績!$AE$6:$AE$505,"○")&gt;0,1,0))</f>
        <v/>
      </c>
      <c r="CE242">
        <f>IF(CE$4=0,0,IF(COUNTIFS(実績!$W$6:$W$505,CE$3,実績!$AC$6:$AC$505,"&lt;="&amp;$A242,実績!$AD$6:$AD$505,"&gt;"&amp;$A242,実績!$AE$6:$AE$505,"○")&gt;0,1,0))</f>
        <v/>
      </c>
      <c r="CF242">
        <f>IF(CF$4=0,0,IF(COUNTIFS(実績!$W$6:$W$505,CF$3,実績!$AC$6:$AC$505,"&lt;="&amp;$A242,実績!$AD$6:$AD$505,"&gt;"&amp;$A242,実績!$AE$6:$AE$505,"○")&gt;0,1,0))</f>
        <v/>
      </c>
      <c r="CG242">
        <f>IF(CG$4=0,0,IF(COUNTIFS(実績!$W$6:$W$505,CG$3,実績!$AC$6:$AC$505,"&lt;="&amp;$A242,実績!$AD$6:$AD$505,"&gt;"&amp;$A242,実績!$AE$6:$AE$505,"○")&gt;0,1,0))</f>
        <v/>
      </c>
      <c r="CH242">
        <f>IF(CH$4=0,0,IF(COUNTIFS(実績!$W$6:$W$505,CH$3,実績!$AC$6:$AC$505,"&lt;="&amp;$A242,実績!$AD$6:$AD$505,"&gt;"&amp;$A242,実績!$AE$6:$AE$505,"○")&gt;0,1,0))</f>
        <v/>
      </c>
      <c r="CI242">
        <f>IF(CI$4=0,0,IF(COUNTIFS(実績!$W$6:$W$505,CI$3,実績!$AC$6:$AC$505,"&lt;="&amp;$A242,実績!$AD$6:$AD$505,"&gt;"&amp;$A242,実績!$AE$6:$AE$505,"○")&gt;0,1,0))</f>
        <v/>
      </c>
      <c r="CJ242">
        <f>IF(CJ$4=0,0,IF(COUNTIFS(実績!$W$6:$W$505,CJ$3,実績!$AC$6:$AC$505,"&lt;="&amp;$A242,実績!$AD$6:$AD$505,"&gt;"&amp;$A242,実績!$AE$6:$AE$505,"○")&gt;0,1,0))</f>
        <v/>
      </c>
      <c r="CK242">
        <f>IF(CK$4=0,0,IF(COUNTIFS(実績!$W$6:$W$505,CK$3,実績!$AC$6:$AC$505,"&lt;="&amp;$A242,実績!$AD$6:$AD$505,"&gt;"&amp;$A242,実績!$AE$6:$AE$505,"○")&gt;0,1,0))</f>
        <v/>
      </c>
      <c r="CL242">
        <f>IF(CL$4=0,0,IF(COUNTIFS(実績!$W$6:$W$505,CL$3,実績!$AC$6:$AC$505,"&lt;="&amp;$A242,実績!$AD$6:$AD$505,"&gt;"&amp;$A242,実績!$AE$6:$AE$505,"○")&gt;0,1,0))</f>
        <v/>
      </c>
      <c r="CM242">
        <f>IF(CM$4=0,0,IF(COUNTIFS(実績!$W$6:$W$505,CM$3,実績!$AC$6:$AC$505,"&lt;="&amp;$A242,実績!$AD$6:$AD$505,"&gt;"&amp;$A242,実績!$AE$6:$AE$505,"○")&gt;0,1,0))</f>
        <v/>
      </c>
      <c r="CN242">
        <f>IF(CN$4=0,0,IF(COUNTIFS(実績!$W$6:$W$505,CN$3,実績!$AC$6:$AC$505,"&lt;="&amp;$A242,実績!$AD$6:$AD$505,"&gt;"&amp;$A242,実績!$AE$6:$AE$505,"○")&gt;0,1,0))</f>
        <v/>
      </c>
      <c r="CO242">
        <f>IF(CO$4=0,0,IF(COUNTIFS(実績!$W$6:$W$505,CO$3,実績!$AC$6:$AC$505,"&lt;="&amp;$A242,実績!$AD$6:$AD$505,"&gt;"&amp;$A242,実績!$AE$6:$AE$505,"○")&gt;0,1,0))</f>
        <v/>
      </c>
      <c r="CP242">
        <f>IF(CP$4=0,0,IF(COUNTIFS(実績!$W$6:$W$505,CP$3,実績!$AC$6:$AC$505,"&lt;="&amp;$A242,実績!$AD$6:$AD$505,"&gt;"&amp;$A242,実績!$AE$6:$AE$505,"○")&gt;0,1,0))</f>
        <v/>
      </c>
      <c r="CQ242">
        <f>IF(CQ$4=0,0,IF(COUNTIFS(実績!$W$6:$W$505,CQ$3,実績!$AC$6:$AC$505,"&lt;="&amp;$A242,実績!$AD$6:$AD$505,"&gt;"&amp;$A242,実績!$AE$6:$AE$505,"○")&gt;0,1,0))</f>
        <v/>
      </c>
      <c r="CR242">
        <f>IF(CR$4=0,0,IF(COUNTIFS(実績!$W$6:$W$505,CR$3,実績!$AC$6:$AC$505,"&lt;="&amp;$A242,実績!$AD$6:$AD$505,"&gt;"&amp;$A242,実績!$AE$6:$AE$505,"○")&gt;0,1,0))</f>
        <v/>
      </c>
      <c r="CS242">
        <f>IF(CS$4=0,0,IF(COUNTIFS(実績!$W$6:$W$505,CS$3,実績!$AC$6:$AC$505,"&lt;="&amp;$A242,実績!$AD$6:$AD$505,"&gt;"&amp;$A242,実績!$AE$6:$AE$505,"○")&gt;0,1,0))</f>
        <v/>
      </c>
      <c r="CT242">
        <f>IF(CT$4=0,0,IF(COUNTIFS(実績!$W$6:$W$505,CT$3,実績!$AC$6:$AC$505,"&lt;="&amp;$A242,実績!$AD$6:$AD$505,"&gt;"&amp;$A242,実績!$AE$6:$AE$505,"○")&gt;0,1,0))</f>
        <v/>
      </c>
      <c r="CU242">
        <f>IF(CU$4=0,0,IF(COUNTIFS(実績!$W$6:$W$505,CU$3,実績!$AC$6:$AC$505,"&lt;="&amp;$A242,実績!$AD$6:$AD$505,"&gt;"&amp;$A242,実績!$AE$6:$AE$505,"○")&gt;0,1,0))</f>
        <v/>
      </c>
      <c r="CV242">
        <f>IF(CV$4=0,0,IF(COUNTIFS(実績!$W$6:$W$505,CV$3,実績!$AC$6:$AC$505,"&lt;="&amp;$A242,実績!$AD$6:$AD$505,"&gt;"&amp;$A242,実績!$AE$6:$AE$505,"○")&gt;0,1,0))</f>
        <v/>
      </c>
      <c r="CW242">
        <f>IF(CW$4=0,0,IF(COUNTIFS(実績!$W$6:$W$505,CW$3,実績!$AC$6:$AC$505,"&lt;="&amp;$A242,実績!$AD$6:$AD$505,"&gt;"&amp;$A242,実績!$AE$6:$AE$505,"○")&gt;0,1,0))</f>
        <v/>
      </c>
      <c r="CX242">
        <f>IF(CX$4=0,0,IF(COUNTIFS(実績!$W$6:$W$505,CX$3,実績!$AC$6:$AC$505,"&lt;="&amp;$A242,実績!$AD$6:$AD$505,"&gt;"&amp;$A242,実績!$AE$6:$AE$505,"○")&gt;0,1,0))</f>
        <v/>
      </c>
      <c r="CY242">
        <f>IF(CY$4=0,0,IF(COUNTIFS(実績!$W$6:$W$505,CY$3,実績!$AC$6:$AC$505,"&lt;="&amp;$A242,実績!$AD$6:$AD$505,"&gt;"&amp;$A242,実績!$AE$6:$AE$505,"○")&gt;0,1,0))</f>
        <v/>
      </c>
      <c r="CZ242">
        <f>IF(CZ$4=0,0,IF(COUNTIFS(実績!$W$6:$W$505,CZ$3,実績!$AC$6:$AC$505,"&lt;="&amp;$A242,実績!$AD$6:$AD$505,"&gt;"&amp;$A242,実績!$AE$6:$AE$505,"○")&gt;0,1,0))</f>
        <v/>
      </c>
      <c r="DA242">
        <f>IF(DA$4=0,0,IF(COUNTIFS(実績!$W$6:$W$505,DA$3,実績!$AC$6:$AC$505,"&lt;="&amp;$A242,実績!$AD$6:$AD$505,"&gt;"&amp;$A242,実績!$AE$6:$AE$505,"○")&gt;0,1,0))</f>
        <v/>
      </c>
      <c r="DB242">
        <f>IF(DB$4=0,0,IF(COUNTIFS(実績!$W$6:$W$505,DB$3,実績!$AC$6:$AC$505,"&lt;="&amp;$A242,実績!$AD$6:$AD$505,"&gt;"&amp;$A242,実績!$AE$6:$AE$505,"○")&gt;0,1,0))</f>
        <v/>
      </c>
      <c r="DC242">
        <f>IF(DC$4=0,0,IF(COUNTIFS(実績!$W$6:$W$505,DC$3,実績!$AC$6:$AC$505,"&lt;="&amp;$A242,実績!$AD$6:$AD$505,"&gt;"&amp;$A242,実績!$AE$6:$AE$505,"○")&gt;0,1,0))</f>
        <v/>
      </c>
      <c r="DD242">
        <f>IF(DD$4=0,0,IF(COUNTIFS(実績!$W$6:$W$505,DD$3,実績!$AC$6:$AC$505,"&lt;="&amp;$A242,実績!$AD$6:$AD$505,"&gt;"&amp;$A242,実績!$AE$6:$AE$505,"○")&gt;0,1,0))</f>
        <v/>
      </c>
      <c r="DE242">
        <f>IF(DE$4=0,0,IF(COUNTIFS(実績!$W$6:$W$505,DE$3,実績!$AC$6:$AC$505,"&lt;="&amp;$A242,実績!$AD$6:$AD$505,"&gt;"&amp;$A242,実績!$AE$6:$AE$505,"○")&gt;0,1,0))</f>
        <v/>
      </c>
      <c r="DF242">
        <f>IF(DF$4=0,0,IF(COUNTIFS(実績!$W$6:$W$505,DF$3,実績!$AC$6:$AC$505,"&lt;="&amp;$A242,実績!$AD$6:$AD$505,"&gt;"&amp;$A242,実績!$AE$6:$AE$505,"○")&gt;0,1,0))</f>
        <v/>
      </c>
      <c r="DG242">
        <f>IF(DG$4=0,0,IF(COUNTIFS(実績!$W$6:$W$505,DG$3,実績!$AC$6:$AC$505,"&lt;="&amp;$A242,実績!$AD$6:$AD$505,"&gt;"&amp;$A242,実績!$AE$6:$AE$505,"○")&gt;0,1,0))</f>
        <v/>
      </c>
      <c r="DH242">
        <f>IF(DH$4=0,0,IF(COUNTIFS(実績!$W$6:$W$505,DH$3,実績!$AC$6:$AC$505,"&lt;="&amp;$A242,実績!$AD$6:$AD$505,"&gt;"&amp;$A242,実績!$AE$6:$AE$505,"○")&gt;0,1,0))</f>
        <v/>
      </c>
      <c r="DI242">
        <f>IF(DI$4=0,0,IF(COUNTIFS(実績!$W$6:$W$505,DI$3,実績!$AC$6:$AC$505,"&lt;="&amp;$A242,実績!$AD$6:$AD$505,"&gt;"&amp;$A242,実績!$AE$6:$AE$505,"○")&gt;0,1,0))</f>
        <v/>
      </c>
      <c r="DJ242">
        <f>IF(DJ$4=0,0,IF(COUNTIFS(実績!$W$6:$W$505,DJ$3,実績!$AC$6:$AC$505,"&lt;="&amp;$A242,実績!$AD$6:$AD$505,"&gt;"&amp;$A242,実績!$AE$6:$AE$505,"○")&gt;0,1,0))</f>
        <v/>
      </c>
      <c r="DK242">
        <f>IF(DK$4=0,0,IF(COUNTIFS(実績!$W$6:$W$505,DK$3,実績!$AC$6:$AC$505,"&lt;="&amp;$A242,実績!$AD$6:$AD$505,"&gt;"&amp;$A242,実績!$AE$6:$AE$505,"○")&gt;0,1,0))</f>
        <v/>
      </c>
      <c r="DL242">
        <f>IF(DL$4=0,0,IF(COUNTIFS(実績!$W$6:$W$505,DL$3,実績!$AC$6:$AC$505,"&lt;="&amp;$A242,実績!$AD$6:$AD$505,"&gt;"&amp;$A242,実績!$AE$6:$AE$505,"○")&gt;0,1,0))</f>
        <v/>
      </c>
      <c r="DM242">
        <f>IF(DM$4=0,0,IF(COUNTIFS(実績!$W$6:$W$505,DM$3,実績!$AC$6:$AC$505,"&lt;="&amp;$A242,実績!$AD$6:$AD$505,"&gt;"&amp;$A242,実績!$AE$6:$AE$505,"○")&gt;0,1,0))</f>
        <v/>
      </c>
      <c r="DN242">
        <f>IF(DN$4=0,0,IF(COUNTIFS(実績!$W$6:$W$505,DN$3,実績!$AC$6:$AC$505,"&lt;="&amp;$A242,実績!$AD$6:$AD$505,"&gt;"&amp;$A242,実績!$AE$6:$AE$505,"○")&gt;0,1,0))</f>
        <v/>
      </c>
      <c r="DO242">
        <f>IF(DO$4=0,0,IF(COUNTIFS(実績!$W$6:$W$505,DO$3,実績!$AC$6:$AC$505,"&lt;="&amp;$A242,実績!$AD$6:$AD$505,"&gt;"&amp;$A242,実績!$AE$6:$AE$505,"○")&gt;0,1,0))</f>
        <v/>
      </c>
      <c r="DP242">
        <f>IF(DP$4=0,0,IF(COUNTIFS(実績!$W$6:$W$505,DP$3,実績!$AC$6:$AC$505,"&lt;="&amp;$A242,実績!$AD$6:$AD$505,"&gt;"&amp;$A242,実績!$AE$6:$AE$505,"○")&gt;0,1,0))</f>
        <v/>
      </c>
      <c r="DQ242">
        <f>IF(DQ$4=0,0,IF(COUNTIFS(実績!$W$6:$W$505,DQ$3,実績!$AC$6:$AC$505,"&lt;="&amp;$A242,実績!$AD$6:$AD$505,"&gt;"&amp;$A242,実績!$AE$6:$AE$505,"○")&gt;0,1,0))</f>
        <v/>
      </c>
      <c r="DR242">
        <f>IF(DR$4=0,0,IF(COUNTIFS(実績!$W$6:$W$505,DR$3,実績!$AC$6:$AC$505,"&lt;="&amp;$A242,実績!$AD$6:$AD$505,"&gt;"&amp;$A242,実績!$AE$6:$AE$505,"○")&gt;0,1,0))</f>
        <v/>
      </c>
      <c r="DS242">
        <f>SUM(C242:DR242)</f>
        <v/>
      </c>
      <c r="DT242">
        <f>SUMPRODUCT((実績!$C$6:$C$505="○")*ISNUMBER(実績!$AF$6:$AF$505)*(実績!$AF$6:$AF$505&lt;=$A242)*(実績!$AG$6:$AG$505&gt;$A242))</f>
        <v/>
      </c>
      <c r="DU242">
        <f>SUMIF($C$2:$DR$2,"製鉄曳船",C242:DR242)</f>
        <v/>
      </c>
      <c r="DV242">
        <f>SUMIF($C$2:$DR$2,"西日本海運",C242:DR242)</f>
        <v/>
      </c>
    </row>
    <row r="243">
      <c r="A243" t="n">
        <v>1185</v>
      </c>
      <c r="B243" s="29">
        <f>A243/1440</f>
        <v/>
      </c>
      <c r="C243">
        <f>IF(C$4=0,0,IF(COUNTIFS(実績!$W$6:$W$505,C$3,実績!$AC$6:$AC$505,"&lt;="&amp;$A243,実績!$AD$6:$AD$505,"&gt;"&amp;$A243,実績!$AE$6:$AE$505,"○")&gt;0,1,0))</f>
        <v/>
      </c>
      <c r="D243">
        <f>IF(D$4=0,0,IF(COUNTIFS(実績!$W$6:$W$505,D$3,実績!$AC$6:$AC$505,"&lt;="&amp;$A243,実績!$AD$6:$AD$505,"&gt;"&amp;$A243,実績!$AE$6:$AE$505,"○")&gt;0,1,0))</f>
        <v/>
      </c>
      <c r="E243">
        <f>IF(E$4=0,0,IF(COUNTIFS(実績!$W$6:$W$505,E$3,実績!$AC$6:$AC$505,"&lt;="&amp;$A243,実績!$AD$6:$AD$505,"&gt;"&amp;$A243,実績!$AE$6:$AE$505,"○")&gt;0,1,0))</f>
        <v/>
      </c>
      <c r="F243">
        <f>IF(F$4=0,0,IF(COUNTIFS(実績!$W$6:$W$505,F$3,実績!$AC$6:$AC$505,"&lt;="&amp;$A243,実績!$AD$6:$AD$505,"&gt;"&amp;$A243,実績!$AE$6:$AE$505,"○")&gt;0,1,0))</f>
        <v/>
      </c>
      <c r="G243">
        <f>IF(G$4=0,0,IF(COUNTIFS(実績!$W$6:$W$505,G$3,実績!$AC$6:$AC$505,"&lt;="&amp;$A243,実績!$AD$6:$AD$505,"&gt;"&amp;$A243,実績!$AE$6:$AE$505,"○")&gt;0,1,0))</f>
        <v/>
      </c>
      <c r="H243">
        <f>IF(H$4=0,0,IF(COUNTIFS(実績!$W$6:$W$505,H$3,実績!$AC$6:$AC$505,"&lt;="&amp;$A243,実績!$AD$6:$AD$505,"&gt;"&amp;$A243,実績!$AE$6:$AE$505,"○")&gt;0,1,0))</f>
        <v/>
      </c>
      <c r="I243">
        <f>IF(I$4=0,0,IF(COUNTIFS(実績!$W$6:$W$505,I$3,実績!$AC$6:$AC$505,"&lt;="&amp;$A243,実績!$AD$6:$AD$505,"&gt;"&amp;$A243,実績!$AE$6:$AE$505,"○")&gt;0,1,0))</f>
        <v/>
      </c>
      <c r="J243">
        <f>IF(J$4=0,0,IF(COUNTIFS(実績!$W$6:$W$505,J$3,実績!$AC$6:$AC$505,"&lt;="&amp;$A243,実績!$AD$6:$AD$505,"&gt;"&amp;$A243,実績!$AE$6:$AE$505,"○")&gt;0,1,0))</f>
        <v/>
      </c>
      <c r="K243">
        <f>IF(K$4=0,0,IF(COUNTIFS(実績!$W$6:$W$505,K$3,実績!$AC$6:$AC$505,"&lt;="&amp;$A243,実績!$AD$6:$AD$505,"&gt;"&amp;$A243,実績!$AE$6:$AE$505,"○")&gt;0,1,0))</f>
        <v/>
      </c>
      <c r="L243">
        <f>IF(L$4=0,0,IF(COUNTIFS(実績!$W$6:$W$505,L$3,実績!$AC$6:$AC$505,"&lt;="&amp;$A243,実績!$AD$6:$AD$505,"&gt;"&amp;$A243,実績!$AE$6:$AE$505,"○")&gt;0,1,0))</f>
        <v/>
      </c>
      <c r="M243">
        <f>IF(M$4=0,0,IF(COUNTIFS(実績!$W$6:$W$505,M$3,実績!$AC$6:$AC$505,"&lt;="&amp;$A243,実績!$AD$6:$AD$505,"&gt;"&amp;$A243,実績!$AE$6:$AE$505,"○")&gt;0,1,0))</f>
        <v/>
      </c>
      <c r="N243">
        <f>IF(N$4=0,0,IF(COUNTIFS(実績!$W$6:$W$505,N$3,実績!$AC$6:$AC$505,"&lt;="&amp;$A243,実績!$AD$6:$AD$505,"&gt;"&amp;$A243,実績!$AE$6:$AE$505,"○")&gt;0,1,0))</f>
        <v/>
      </c>
      <c r="O243">
        <f>IF(O$4=0,0,IF(COUNTIFS(実績!$W$6:$W$505,O$3,実績!$AC$6:$AC$505,"&lt;="&amp;$A243,実績!$AD$6:$AD$505,"&gt;"&amp;$A243,実績!$AE$6:$AE$505,"○")&gt;0,1,0))</f>
        <v/>
      </c>
      <c r="P243">
        <f>IF(P$4=0,0,IF(COUNTIFS(実績!$W$6:$W$505,P$3,実績!$AC$6:$AC$505,"&lt;="&amp;$A243,実績!$AD$6:$AD$505,"&gt;"&amp;$A243,実績!$AE$6:$AE$505,"○")&gt;0,1,0))</f>
        <v/>
      </c>
      <c r="Q243">
        <f>IF(Q$4=0,0,IF(COUNTIFS(実績!$W$6:$W$505,Q$3,実績!$AC$6:$AC$505,"&lt;="&amp;$A243,実績!$AD$6:$AD$505,"&gt;"&amp;$A243,実績!$AE$6:$AE$505,"○")&gt;0,1,0))</f>
        <v/>
      </c>
      <c r="R243">
        <f>IF(R$4=0,0,IF(COUNTIFS(実績!$W$6:$W$505,R$3,実績!$AC$6:$AC$505,"&lt;="&amp;$A243,実績!$AD$6:$AD$505,"&gt;"&amp;$A243,実績!$AE$6:$AE$505,"○")&gt;0,1,0))</f>
        <v/>
      </c>
      <c r="S243">
        <f>IF(S$4=0,0,IF(COUNTIFS(実績!$W$6:$W$505,S$3,実績!$AC$6:$AC$505,"&lt;="&amp;$A243,実績!$AD$6:$AD$505,"&gt;"&amp;$A243,実績!$AE$6:$AE$505,"○")&gt;0,1,0))</f>
        <v/>
      </c>
      <c r="T243">
        <f>IF(T$4=0,0,IF(COUNTIFS(実績!$W$6:$W$505,T$3,実績!$AC$6:$AC$505,"&lt;="&amp;$A243,実績!$AD$6:$AD$505,"&gt;"&amp;$A243,実績!$AE$6:$AE$505,"○")&gt;0,1,0))</f>
        <v/>
      </c>
      <c r="U243">
        <f>IF(U$4=0,0,IF(COUNTIFS(実績!$W$6:$W$505,U$3,実績!$AC$6:$AC$505,"&lt;="&amp;$A243,実績!$AD$6:$AD$505,"&gt;"&amp;$A243,実績!$AE$6:$AE$505,"○")&gt;0,1,0))</f>
        <v/>
      </c>
      <c r="V243">
        <f>IF(V$4=0,0,IF(COUNTIFS(実績!$W$6:$W$505,V$3,実績!$AC$6:$AC$505,"&lt;="&amp;$A243,実績!$AD$6:$AD$505,"&gt;"&amp;$A243,実績!$AE$6:$AE$505,"○")&gt;0,1,0))</f>
        <v/>
      </c>
      <c r="W243">
        <f>IF(W$4=0,0,IF(COUNTIFS(実績!$W$6:$W$505,W$3,実績!$AC$6:$AC$505,"&lt;="&amp;$A243,実績!$AD$6:$AD$505,"&gt;"&amp;$A243,実績!$AE$6:$AE$505,"○")&gt;0,1,0))</f>
        <v/>
      </c>
      <c r="X243">
        <f>IF(X$4=0,0,IF(COUNTIFS(実績!$W$6:$W$505,X$3,実績!$AC$6:$AC$505,"&lt;="&amp;$A243,実績!$AD$6:$AD$505,"&gt;"&amp;$A243,実績!$AE$6:$AE$505,"○")&gt;0,1,0))</f>
        <v/>
      </c>
      <c r="Y243">
        <f>IF(Y$4=0,0,IF(COUNTIFS(実績!$W$6:$W$505,Y$3,実績!$AC$6:$AC$505,"&lt;="&amp;$A243,実績!$AD$6:$AD$505,"&gt;"&amp;$A243,実績!$AE$6:$AE$505,"○")&gt;0,1,0))</f>
        <v/>
      </c>
      <c r="Z243">
        <f>IF(Z$4=0,0,IF(COUNTIFS(実績!$W$6:$W$505,Z$3,実績!$AC$6:$AC$505,"&lt;="&amp;$A243,実績!$AD$6:$AD$505,"&gt;"&amp;$A243,実績!$AE$6:$AE$505,"○")&gt;0,1,0))</f>
        <v/>
      </c>
      <c r="AA243">
        <f>IF(AA$4=0,0,IF(COUNTIFS(実績!$W$6:$W$505,AA$3,実績!$AC$6:$AC$505,"&lt;="&amp;$A243,実績!$AD$6:$AD$505,"&gt;"&amp;$A243,実績!$AE$6:$AE$505,"○")&gt;0,1,0))</f>
        <v/>
      </c>
      <c r="AB243">
        <f>IF(AB$4=0,0,IF(COUNTIFS(実績!$W$6:$W$505,AB$3,実績!$AC$6:$AC$505,"&lt;="&amp;$A243,実績!$AD$6:$AD$505,"&gt;"&amp;$A243,実績!$AE$6:$AE$505,"○")&gt;0,1,0))</f>
        <v/>
      </c>
      <c r="AC243">
        <f>IF(AC$4=0,0,IF(COUNTIFS(実績!$W$6:$W$505,AC$3,実績!$AC$6:$AC$505,"&lt;="&amp;$A243,実績!$AD$6:$AD$505,"&gt;"&amp;$A243,実績!$AE$6:$AE$505,"○")&gt;0,1,0))</f>
        <v/>
      </c>
      <c r="AD243">
        <f>IF(AD$4=0,0,IF(COUNTIFS(実績!$W$6:$W$505,AD$3,実績!$AC$6:$AC$505,"&lt;="&amp;$A243,実績!$AD$6:$AD$505,"&gt;"&amp;$A243,実績!$AE$6:$AE$505,"○")&gt;0,1,0))</f>
        <v/>
      </c>
      <c r="AE243">
        <f>IF(AE$4=0,0,IF(COUNTIFS(実績!$W$6:$W$505,AE$3,実績!$AC$6:$AC$505,"&lt;="&amp;$A243,実績!$AD$6:$AD$505,"&gt;"&amp;$A243,実績!$AE$6:$AE$505,"○")&gt;0,1,0))</f>
        <v/>
      </c>
      <c r="AF243">
        <f>IF(AF$4=0,0,IF(COUNTIFS(実績!$W$6:$W$505,AF$3,実績!$AC$6:$AC$505,"&lt;="&amp;$A243,実績!$AD$6:$AD$505,"&gt;"&amp;$A243,実績!$AE$6:$AE$505,"○")&gt;0,1,0))</f>
        <v/>
      </c>
      <c r="AG243">
        <f>IF(AG$4=0,0,IF(COUNTIFS(実績!$W$6:$W$505,AG$3,実績!$AC$6:$AC$505,"&lt;="&amp;$A243,実績!$AD$6:$AD$505,"&gt;"&amp;$A243,実績!$AE$6:$AE$505,"○")&gt;0,1,0))</f>
        <v/>
      </c>
      <c r="AH243">
        <f>IF(AH$4=0,0,IF(COUNTIFS(実績!$W$6:$W$505,AH$3,実績!$AC$6:$AC$505,"&lt;="&amp;$A243,実績!$AD$6:$AD$505,"&gt;"&amp;$A243,実績!$AE$6:$AE$505,"○")&gt;0,1,0))</f>
        <v/>
      </c>
      <c r="AI243">
        <f>IF(AI$4=0,0,IF(COUNTIFS(実績!$W$6:$W$505,AI$3,実績!$AC$6:$AC$505,"&lt;="&amp;$A243,実績!$AD$6:$AD$505,"&gt;"&amp;$A243,実績!$AE$6:$AE$505,"○")&gt;0,1,0))</f>
        <v/>
      </c>
      <c r="AJ243">
        <f>IF(AJ$4=0,0,IF(COUNTIFS(実績!$W$6:$W$505,AJ$3,実績!$AC$6:$AC$505,"&lt;="&amp;$A243,実績!$AD$6:$AD$505,"&gt;"&amp;$A243,実績!$AE$6:$AE$505,"○")&gt;0,1,0))</f>
        <v/>
      </c>
      <c r="AK243">
        <f>IF(AK$4=0,0,IF(COUNTIFS(実績!$W$6:$W$505,AK$3,実績!$AC$6:$AC$505,"&lt;="&amp;$A243,実績!$AD$6:$AD$505,"&gt;"&amp;$A243,実績!$AE$6:$AE$505,"○")&gt;0,1,0))</f>
        <v/>
      </c>
      <c r="AL243">
        <f>IF(AL$4=0,0,IF(COUNTIFS(実績!$W$6:$W$505,AL$3,実績!$AC$6:$AC$505,"&lt;="&amp;$A243,実績!$AD$6:$AD$505,"&gt;"&amp;$A243,実績!$AE$6:$AE$505,"○")&gt;0,1,0))</f>
        <v/>
      </c>
      <c r="AM243">
        <f>IF(AM$4=0,0,IF(COUNTIFS(実績!$W$6:$W$505,AM$3,実績!$AC$6:$AC$505,"&lt;="&amp;$A243,実績!$AD$6:$AD$505,"&gt;"&amp;$A243,実績!$AE$6:$AE$505,"○")&gt;0,1,0))</f>
        <v/>
      </c>
      <c r="AN243">
        <f>IF(AN$4=0,0,IF(COUNTIFS(実績!$W$6:$W$505,AN$3,実績!$AC$6:$AC$505,"&lt;="&amp;$A243,実績!$AD$6:$AD$505,"&gt;"&amp;$A243,実績!$AE$6:$AE$505,"○")&gt;0,1,0))</f>
        <v/>
      </c>
      <c r="AO243">
        <f>IF(AO$4=0,0,IF(COUNTIFS(実績!$W$6:$W$505,AO$3,実績!$AC$6:$AC$505,"&lt;="&amp;$A243,実績!$AD$6:$AD$505,"&gt;"&amp;$A243,実績!$AE$6:$AE$505,"○")&gt;0,1,0))</f>
        <v/>
      </c>
      <c r="AP243">
        <f>IF(AP$4=0,0,IF(COUNTIFS(実績!$W$6:$W$505,AP$3,実績!$AC$6:$AC$505,"&lt;="&amp;$A243,実績!$AD$6:$AD$505,"&gt;"&amp;$A243,実績!$AE$6:$AE$505,"○")&gt;0,1,0))</f>
        <v/>
      </c>
      <c r="AQ243">
        <f>IF(AQ$4=0,0,IF(COUNTIFS(実績!$W$6:$W$505,AQ$3,実績!$AC$6:$AC$505,"&lt;="&amp;$A243,実績!$AD$6:$AD$505,"&gt;"&amp;$A243,実績!$AE$6:$AE$505,"○")&gt;0,1,0))</f>
        <v/>
      </c>
      <c r="AR243">
        <f>IF(AR$4=0,0,IF(COUNTIFS(実績!$W$6:$W$505,AR$3,実績!$AC$6:$AC$505,"&lt;="&amp;$A243,実績!$AD$6:$AD$505,"&gt;"&amp;$A243,実績!$AE$6:$AE$505,"○")&gt;0,1,0))</f>
        <v/>
      </c>
      <c r="AS243">
        <f>IF(AS$4=0,0,IF(COUNTIFS(実績!$W$6:$W$505,AS$3,実績!$AC$6:$AC$505,"&lt;="&amp;$A243,実績!$AD$6:$AD$505,"&gt;"&amp;$A243,実績!$AE$6:$AE$505,"○")&gt;0,1,0))</f>
        <v/>
      </c>
      <c r="AT243">
        <f>IF(AT$4=0,0,IF(COUNTIFS(実績!$W$6:$W$505,AT$3,実績!$AC$6:$AC$505,"&lt;="&amp;$A243,実績!$AD$6:$AD$505,"&gt;"&amp;$A243,実績!$AE$6:$AE$505,"○")&gt;0,1,0))</f>
        <v/>
      </c>
      <c r="AU243">
        <f>IF(AU$4=0,0,IF(COUNTIFS(実績!$W$6:$W$505,AU$3,実績!$AC$6:$AC$505,"&lt;="&amp;$A243,実績!$AD$6:$AD$505,"&gt;"&amp;$A243,実績!$AE$6:$AE$505,"○")&gt;0,1,0))</f>
        <v/>
      </c>
      <c r="AV243">
        <f>IF(AV$4=0,0,IF(COUNTIFS(実績!$W$6:$W$505,AV$3,実績!$AC$6:$AC$505,"&lt;="&amp;$A243,実績!$AD$6:$AD$505,"&gt;"&amp;$A243,実績!$AE$6:$AE$505,"○")&gt;0,1,0))</f>
        <v/>
      </c>
      <c r="AW243">
        <f>IF(AW$4=0,0,IF(COUNTIFS(実績!$W$6:$W$505,AW$3,実績!$AC$6:$AC$505,"&lt;="&amp;$A243,実績!$AD$6:$AD$505,"&gt;"&amp;$A243,実績!$AE$6:$AE$505,"○")&gt;0,1,0))</f>
        <v/>
      </c>
      <c r="AX243">
        <f>IF(AX$4=0,0,IF(COUNTIFS(実績!$W$6:$W$505,AX$3,実績!$AC$6:$AC$505,"&lt;="&amp;$A243,実績!$AD$6:$AD$505,"&gt;"&amp;$A243,実績!$AE$6:$AE$505,"○")&gt;0,1,0))</f>
        <v/>
      </c>
      <c r="AY243">
        <f>IF(AY$4=0,0,IF(COUNTIFS(実績!$W$6:$W$505,AY$3,実績!$AC$6:$AC$505,"&lt;="&amp;$A243,実績!$AD$6:$AD$505,"&gt;"&amp;$A243,実績!$AE$6:$AE$505,"○")&gt;0,1,0))</f>
        <v/>
      </c>
      <c r="AZ243">
        <f>IF(AZ$4=0,0,IF(COUNTIFS(実績!$W$6:$W$505,AZ$3,実績!$AC$6:$AC$505,"&lt;="&amp;$A243,実績!$AD$6:$AD$505,"&gt;"&amp;$A243,実績!$AE$6:$AE$505,"○")&gt;0,1,0))</f>
        <v/>
      </c>
      <c r="BA243">
        <f>IF(BA$4=0,0,IF(COUNTIFS(実績!$W$6:$W$505,BA$3,実績!$AC$6:$AC$505,"&lt;="&amp;$A243,実績!$AD$6:$AD$505,"&gt;"&amp;$A243,実績!$AE$6:$AE$505,"○")&gt;0,1,0))</f>
        <v/>
      </c>
      <c r="BB243">
        <f>IF(BB$4=0,0,IF(COUNTIFS(実績!$W$6:$W$505,BB$3,実績!$AC$6:$AC$505,"&lt;="&amp;$A243,実績!$AD$6:$AD$505,"&gt;"&amp;$A243,実績!$AE$6:$AE$505,"○")&gt;0,1,0))</f>
        <v/>
      </c>
      <c r="BC243">
        <f>IF(BC$4=0,0,IF(COUNTIFS(実績!$W$6:$W$505,BC$3,実績!$AC$6:$AC$505,"&lt;="&amp;$A243,実績!$AD$6:$AD$505,"&gt;"&amp;$A243,実績!$AE$6:$AE$505,"○")&gt;0,1,0))</f>
        <v/>
      </c>
      <c r="BD243">
        <f>IF(BD$4=0,0,IF(COUNTIFS(実績!$W$6:$W$505,BD$3,実績!$AC$6:$AC$505,"&lt;="&amp;$A243,実績!$AD$6:$AD$505,"&gt;"&amp;$A243,実績!$AE$6:$AE$505,"○")&gt;0,1,0))</f>
        <v/>
      </c>
      <c r="BE243">
        <f>IF(BE$4=0,0,IF(COUNTIFS(実績!$W$6:$W$505,BE$3,実績!$AC$6:$AC$505,"&lt;="&amp;$A243,実績!$AD$6:$AD$505,"&gt;"&amp;$A243,実績!$AE$6:$AE$505,"○")&gt;0,1,0))</f>
        <v/>
      </c>
      <c r="BF243">
        <f>IF(BF$4=0,0,IF(COUNTIFS(実績!$W$6:$W$505,BF$3,実績!$AC$6:$AC$505,"&lt;="&amp;$A243,実績!$AD$6:$AD$505,"&gt;"&amp;$A243,実績!$AE$6:$AE$505,"○")&gt;0,1,0))</f>
        <v/>
      </c>
      <c r="BG243">
        <f>IF(BG$4=0,0,IF(COUNTIFS(実績!$W$6:$W$505,BG$3,実績!$AC$6:$AC$505,"&lt;="&amp;$A243,実績!$AD$6:$AD$505,"&gt;"&amp;$A243,実績!$AE$6:$AE$505,"○")&gt;0,1,0))</f>
        <v/>
      </c>
      <c r="BH243">
        <f>IF(BH$4=0,0,IF(COUNTIFS(実績!$W$6:$W$505,BH$3,実績!$AC$6:$AC$505,"&lt;="&amp;$A243,実績!$AD$6:$AD$505,"&gt;"&amp;$A243,実績!$AE$6:$AE$505,"○")&gt;0,1,0))</f>
        <v/>
      </c>
      <c r="BI243">
        <f>IF(BI$4=0,0,IF(COUNTIFS(実績!$W$6:$W$505,BI$3,実績!$AC$6:$AC$505,"&lt;="&amp;$A243,実績!$AD$6:$AD$505,"&gt;"&amp;$A243,実績!$AE$6:$AE$505,"○")&gt;0,1,0))</f>
        <v/>
      </c>
      <c r="BJ243">
        <f>IF(BJ$4=0,0,IF(COUNTIFS(実績!$W$6:$W$505,BJ$3,実績!$AC$6:$AC$505,"&lt;="&amp;$A243,実績!$AD$6:$AD$505,"&gt;"&amp;$A243,実績!$AE$6:$AE$505,"○")&gt;0,1,0))</f>
        <v/>
      </c>
      <c r="BK243">
        <f>IF(BK$4=0,0,IF(COUNTIFS(実績!$W$6:$W$505,BK$3,実績!$AC$6:$AC$505,"&lt;="&amp;$A243,実績!$AD$6:$AD$505,"&gt;"&amp;$A243,実績!$AE$6:$AE$505,"○")&gt;0,1,0))</f>
        <v/>
      </c>
      <c r="BL243">
        <f>IF(BL$4=0,0,IF(COUNTIFS(実績!$W$6:$W$505,BL$3,実績!$AC$6:$AC$505,"&lt;="&amp;$A243,実績!$AD$6:$AD$505,"&gt;"&amp;$A243,実績!$AE$6:$AE$505,"○")&gt;0,1,0))</f>
        <v/>
      </c>
      <c r="BM243">
        <f>IF(BM$4=0,0,IF(COUNTIFS(実績!$W$6:$W$505,BM$3,実績!$AC$6:$AC$505,"&lt;="&amp;$A243,実績!$AD$6:$AD$505,"&gt;"&amp;$A243,実績!$AE$6:$AE$505,"○")&gt;0,1,0))</f>
        <v/>
      </c>
      <c r="BN243">
        <f>IF(BN$4=0,0,IF(COUNTIFS(実績!$W$6:$W$505,BN$3,実績!$AC$6:$AC$505,"&lt;="&amp;$A243,実績!$AD$6:$AD$505,"&gt;"&amp;$A243,実績!$AE$6:$AE$505,"○")&gt;0,1,0))</f>
        <v/>
      </c>
      <c r="BO243">
        <f>IF(BO$4=0,0,IF(COUNTIFS(実績!$W$6:$W$505,BO$3,実績!$AC$6:$AC$505,"&lt;="&amp;$A243,実績!$AD$6:$AD$505,"&gt;"&amp;$A243,実績!$AE$6:$AE$505,"○")&gt;0,1,0))</f>
        <v/>
      </c>
      <c r="BP243">
        <f>IF(BP$4=0,0,IF(COUNTIFS(実績!$W$6:$W$505,BP$3,実績!$AC$6:$AC$505,"&lt;="&amp;$A243,実績!$AD$6:$AD$505,"&gt;"&amp;$A243,実績!$AE$6:$AE$505,"○")&gt;0,1,0))</f>
        <v/>
      </c>
      <c r="BQ243">
        <f>IF(BQ$4=0,0,IF(COUNTIFS(実績!$W$6:$W$505,BQ$3,実績!$AC$6:$AC$505,"&lt;="&amp;$A243,実績!$AD$6:$AD$505,"&gt;"&amp;$A243,実績!$AE$6:$AE$505,"○")&gt;0,1,0))</f>
        <v/>
      </c>
      <c r="BR243">
        <f>IF(BR$4=0,0,IF(COUNTIFS(実績!$W$6:$W$505,BR$3,実績!$AC$6:$AC$505,"&lt;="&amp;$A243,実績!$AD$6:$AD$505,"&gt;"&amp;$A243,実績!$AE$6:$AE$505,"○")&gt;0,1,0))</f>
        <v/>
      </c>
      <c r="BS243">
        <f>IF(BS$4=0,0,IF(COUNTIFS(実績!$W$6:$W$505,BS$3,実績!$AC$6:$AC$505,"&lt;="&amp;$A243,実績!$AD$6:$AD$505,"&gt;"&amp;$A243,実績!$AE$6:$AE$505,"○")&gt;0,1,0))</f>
        <v/>
      </c>
      <c r="BT243">
        <f>IF(BT$4=0,0,IF(COUNTIFS(実績!$W$6:$W$505,BT$3,実績!$AC$6:$AC$505,"&lt;="&amp;$A243,実績!$AD$6:$AD$505,"&gt;"&amp;$A243,実績!$AE$6:$AE$505,"○")&gt;0,1,0))</f>
        <v/>
      </c>
      <c r="BU243">
        <f>IF(BU$4=0,0,IF(COUNTIFS(実績!$W$6:$W$505,BU$3,実績!$AC$6:$AC$505,"&lt;="&amp;$A243,実績!$AD$6:$AD$505,"&gt;"&amp;$A243,実績!$AE$6:$AE$505,"○")&gt;0,1,0))</f>
        <v/>
      </c>
      <c r="BV243">
        <f>IF(BV$4=0,0,IF(COUNTIFS(実績!$W$6:$W$505,BV$3,実績!$AC$6:$AC$505,"&lt;="&amp;$A243,実績!$AD$6:$AD$505,"&gt;"&amp;$A243,実績!$AE$6:$AE$505,"○")&gt;0,1,0))</f>
        <v/>
      </c>
      <c r="BW243">
        <f>IF(BW$4=0,0,IF(COUNTIFS(実績!$W$6:$W$505,BW$3,実績!$AC$6:$AC$505,"&lt;="&amp;$A243,実績!$AD$6:$AD$505,"&gt;"&amp;$A243,実績!$AE$6:$AE$505,"○")&gt;0,1,0))</f>
        <v/>
      </c>
      <c r="BX243">
        <f>IF(BX$4=0,0,IF(COUNTIFS(実績!$W$6:$W$505,BX$3,実績!$AC$6:$AC$505,"&lt;="&amp;$A243,実績!$AD$6:$AD$505,"&gt;"&amp;$A243,実績!$AE$6:$AE$505,"○")&gt;0,1,0))</f>
        <v/>
      </c>
      <c r="BY243">
        <f>IF(BY$4=0,0,IF(COUNTIFS(実績!$W$6:$W$505,BY$3,実績!$AC$6:$AC$505,"&lt;="&amp;$A243,実績!$AD$6:$AD$505,"&gt;"&amp;$A243,実績!$AE$6:$AE$505,"○")&gt;0,1,0))</f>
        <v/>
      </c>
      <c r="BZ243">
        <f>IF(BZ$4=0,0,IF(COUNTIFS(実績!$W$6:$W$505,BZ$3,実績!$AC$6:$AC$505,"&lt;="&amp;$A243,実績!$AD$6:$AD$505,"&gt;"&amp;$A243,実績!$AE$6:$AE$505,"○")&gt;0,1,0))</f>
        <v/>
      </c>
      <c r="CA243">
        <f>IF(CA$4=0,0,IF(COUNTIFS(実績!$W$6:$W$505,CA$3,実績!$AC$6:$AC$505,"&lt;="&amp;$A243,実績!$AD$6:$AD$505,"&gt;"&amp;$A243,実績!$AE$6:$AE$505,"○")&gt;0,1,0))</f>
        <v/>
      </c>
      <c r="CB243">
        <f>IF(CB$4=0,0,IF(COUNTIFS(実績!$W$6:$W$505,CB$3,実績!$AC$6:$AC$505,"&lt;="&amp;$A243,実績!$AD$6:$AD$505,"&gt;"&amp;$A243,実績!$AE$6:$AE$505,"○")&gt;0,1,0))</f>
        <v/>
      </c>
      <c r="CC243">
        <f>IF(CC$4=0,0,IF(COUNTIFS(実績!$W$6:$W$505,CC$3,実績!$AC$6:$AC$505,"&lt;="&amp;$A243,実績!$AD$6:$AD$505,"&gt;"&amp;$A243,実績!$AE$6:$AE$505,"○")&gt;0,1,0))</f>
        <v/>
      </c>
      <c r="CD243">
        <f>IF(CD$4=0,0,IF(COUNTIFS(実績!$W$6:$W$505,CD$3,実績!$AC$6:$AC$505,"&lt;="&amp;$A243,実績!$AD$6:$AD$505,"&gt;"&amp;$A243,実績!$AE$6:$AE$505,"○")&gt;0,1,0))</f>
        <v/>
      </c>
      <c r="CE243">
        <f>IF(CE$4=0,0,IF(COUNTIFS(実績!$W$6:$W$505,CE$3,実績!$AC$6:$AC$505,"&lt;="&amp;$A243,実績!$AD$6:$AD$505,"&gt;"&amp;$A243,実績!$AE$6:$AE$505,"○")&gt;0,1,0))</f>
        <v/>
      </c>
      <c r="CF243">
        <f>IF(CF$4=0,0,IF(COUNTIFS(実績!$W$6:$W$505,CF$3,実績!$AC$6:$AC$505,"&lt;="&amp;$A243,実績!$AD$6:$AD$505,"&gt;"&amp;$A243,実績!$AE$6:$AE$505,"○")&gt;0,1,0))</f>
        <v/>
      </c>
      <c r="CG243">
        <f>IF(CG$4=0,0,IF(COUNTIFS(実績!$W$6:$W$505,CG$3,実績!$AC$6:$AC$505,"&lt;="&amp;$A243,実績!$AD$6:$AD$505,"&gt;"&amp;$A243,実績!$AE$6:$AE$505,"○")&gt;0,1,0))</f>
        <v/>
      </c>
      <c r="CH243">
        <f>IF(CH$4=0,0,IF(COUNTIFS(実績!$W$6:$W$505,CH$3,実績!$AC$6:$AC$505,"&lt;="&amp;$A243,実績!$AD$6:$AD$505,"&gt;"&amp;$A243,実績!$AE$6:$AE$505,"○")&gt;0,1,0))</f>
        <v/>
      </c>
      <c r="CI243">
        <f>IF(CI$4=0,0,IF(COUNTIFS(実績!$W$6:$W$505,CI$3,実績!$AC$6:$AC$505,"&lt;="&amp;$A243,実績!$AD$6:$AD$505,"&gt;"&amp;$A243,実績!$AE$6:$AE$505,"○")&gt;0,1,0))</f>
        <v/>
      </c>
      <c r="CJ243">
        <f>IF(CJ$4=0,0,IF(COUNTIFS(実績!$W$6:$W$505,CJ$3,実績!$AC$6:$AC$505,"&lt;="&amp;$A243,実績!$AD$6:$AD$505,"&gt;"&amp;$A243,実績!$AE$6:$AE$505,"○")&gt;0,1,0))</f>
        <v/>
      </c>
      <c r="CK243">
        <f>IF(CK$4=0,0,IF(COUNTIFS(実績!$W$6:$W$505,CK$3,実績!$AC$6:$AC$505,"&lt;="&amp;$A243,実績!$AD$6:$AD$505,"&gt;"&amp;$A243,実績!$AE$6:$AE$505,"○")&gt;0,1,0))</f>
        <v/>
      </c>
      <c r="CL243">
        <f>IF(CL$4=0,0,IF(COUNTIFS(実績!$W$6:$W$505,CL$3,実績!$AC$6:$AC$505,"&lt;="&amp;$A243,実績!$AD$6:$AD$505,"&gt;"&amp;$A243,実績!$AE$6:$AE$505,"○")&gt;0,1,0))</f>
        <v/>
      </c>
      <c r="CM243">
        <f>IF(CM$4=0,0,IF(COUNTIFS(実績!$W$6:$W$505,CM$3,実績!$AC$6:$AC$505,"&lt;="&amp;$A243,実績!$AD$6:$AD$505,"&gt;"&amp;$A243,実績!$AE$6:$AE$505,"○")&gt;0,1,0))</f>
        <v/>
      </c>
      <c r="CN243">
        <f>IF(CN$4=0,0,IF(COUNTIFS(実績!$W$6:$W$505,CN$3,実績!$AC$6:$AC$505,"&lt;="&amp;$A243,実績!$AD$6:$AD$505,"&gt;"&amp;$A243,実績!$AE$6:$AE$505,"○")&gt;0,1,0))</f>
        <v/>
      </c>
      <c r="CO243">
        <f>IF(CO$4=0,0,IF(COUNTIFS(実績!$W$6:$W$505,CO$3,実績!$AC$6:$AC$505,"&lt;="&amp;$A243,実績!$AD$6:$AD$505,"&gt;"&amp;$A243,実績!$AE$6:$AE$505,"○")&gt;0,1,0))</f>
        <v/>
      </c>
      <c r="CP243">
        <f>IF(CP$4=0,0,IF(COUNTIFS(実績!$W$6:$W$505,CP$3,実績!$AC$6:$AC$505,"&lt;="&amp;$A243,実績!$AD$6:$AD$505,"&gt;"&amp;$A243,実績!$AE$6:$AE$505,"○")&gt;0,1,0))</f>
        <v/>
      </c>
      <c r="CQ243">
        <f>IF(CQ$4=0,0,IF(COUNTIFS(実績!$W$6:$W$505,CQ$3,実績!$AC$6:$AC$505,"&lt;="&amp;$A243,実績!$AD$6:$AD$505,"&gt;"&amp;$A243,実績!$AE$6:$AE$505,"○")&gt;0,1,0))</f>
        <v/>
      </c>
      <c r="CR243">
        <f>IF(CR$4=0,0,IF(COUNTIFS(実績!$W$6:$W$505,CR$3,実績!$AC$6:$AC$505,"&lt;="&amp;$A243,実績!$AD$6:$AD$505,"&gt;"&amp;$A243,実績!$AE$6:$AE$505,"○")&gt;0,1,0))</f>
        <v/>
      </c>
      <c r="CS243">
        <f>IF(CS$4=0,0,IF(COUNTIFS(実績!$W$6:$W$505,CS$3,実績!$AC$6:$AC$505,"&lt;="&amp;$A243,実績!$AD$6:$AD$505,"&gt;"&amp;$A243,実績!$AE$6:$AE$505,"○")&gt;0,1,0))</f>
        <v/>
      </c>
      <c r="CT243">
        <f>IF(CT$4=0,0,IF(COUNTIFS(実績!$W$6:$W$505,CT$3,実績!$AC$6:$AC$505,"&lt;="&amp;$A243,実績!$AD$6:$AD$505,"&gt;"&amp;$A243,実績!$AE$6:$AE$505,"○")&gt;0,1,0))</f>
        <v/>
      </c>
      <c r="CU243">
        <f>IF(CU$4=0,0,IF(COUNTIFS(実績!$W$6:$W$505,CU$3,実績!$AC$6:$AC$505,"&lt;="&amp;$A243,実績!$AD$6:$AD$505,"&gt;"&amp;$A243,実績!$AE$6:$AE$505,"○")&gt;0,1,0))</f>
        <v/>
      </c>
      <c r="CV243">
        <f>IF(CV$4=0,0,IF(COUNTIFS(実績!$W$6:$W$505,CV$3,実績!$AC$6:$AC$505,"&lt;="&amp;$A243,実績!$AD$6:$AD$505,"&gt;"&amp;$A243,実績!$AE$6:$AE$505,"○")&gt;0,1,0))</f>
        <v/>
      </c>
      <c r="CW243">
        <f>IF(CW$4=0,0,IF(COUNTIFS(実績!$W$6:$W$505,CW$3,実績!$AC$6:$AC$505,"&lt;="&amp;$A243,実績!$AD$6:$AD$505,"&gt;"&amp;$A243,実績!$AE$6:$AE$505,"○")&gt;0,1,0))</f>
        <v/>
      </c>
      <c r="CX243">
        <f>IF(CX$4=0,0,IF(COUNTIFS(実績!$W$6:$W$505,CX$3,実績!$AC$6:$AC$505,"&lt;="&amp;$A243,実績!$AD$6:$AD$505,"&gt;"&amp;$A243,実績!$AE$6:$AE$505,"○")&gt;0,1,0))</f>
        <v/>
      </c>
      <c r="CY243">
        <f>IF(CY$4=0,0,IF(COUNTIFS(実績!$W$6:$W$505,CY$3,実績!$AC$6:$AC$505,"&lt;="&amp;$A243,実績!$AD$6:$AD$505,"&gt;"&amp;$A243,実績!$AE$6:$AE$505,"○")&gt;0,1,0))</f>
        <v/>
      </c>
      <c r="CZ243">
        <f>IF(CZ$4=0,0,IF(COUNTIFS(実績!$W$6:$W$505,CZ$3,実績!$AC$6:$AC$505,"&lt;="&amp;$A243,実績!$AD$6:$AD$505,"&gt;"&amp;$A243,実績!$AE$6:$AE$505,"○")&gt;0,1,0))</f>
        <v/>
      </c>
      <c r="DA243">
        <f>IF(DA$4=0,0,IF(COUNTIFS(実績!$W$6:$W$505,DA$3,実績!$AC$6:$AC$505,"&lt;="&amp;$A243,実績!$AD$6:$AD$505,"&gt;"&amp;$A243,実績!$AE$6:$AE$505,"○")&gt;0,1,0))</f>
        <v/>
      </c>
      <c r="DB243">
        <f>IF(DB$4=0,0,IF(COUNTIFS(実績!$W$6:$W$505,DB$3,実績!$AC$6:$AC$505,"&lt;="&amp;$A243,実績!$AD$6:$AD$505,"&gt;"&amp;$A243,実績!$AE$6:$AE$505,"○")&gt;0,1,0))</f>
        <v/>
      </c>
      <c r="DC243">
        <f>IF(DC$4=0,0,IF(COUNTIFS(実績!$W$6:$W$505,DC$3,実績!$AC$6:$AC$505,"&lt;="&amp;$A243,実績!$AD$6:$AD$505,"&gt;"&amp;$A243,実績!$AE$6:$AE$505,"○")&gt;0,1,0))</f>
        <v/>
      </c>
      <c r="DD243">
        <f>IF(DD$4=0,0,IF(COUNTIFS(実績!$W$6:$W$505,DD$3,実績!$AC$6:$AC$505,"&lt;="&amp;$A243,実績!$AD$6:$AD$505,"&gt;"&amp;$A243,実績!$AE$6:$AE$505,"○")&gt;0,1,0))</f>
        <v/>
      </c>
      <c r="DE243">
        <f>IF(DE$4=0,0,IF(COUNTIFS(実績!$W$6:$W$505,DE$3,実績!$AC$6:$AC$505,"&lt;="&amp;$A243,実績!$AD$6:$AD$505,"&gt;"&amp;$A243,実績!$AE$6:$AE$505,"○")&gt;0,1,0))</f>
        <v/>
      </c>
      <c r="DF243">
        <f>IF(DF$4=0,0,IF(COUNTIFS(実績!$W$6:$W$505,DF$3,実績!$AC$6:$AC$505,"&lt;="&amp;$A243,実績!$AD$6:$AD$505,"&gt;"&amp;$A243,実績!$AE$6:$AE$505,"○")&gt;0,1,0))</f>
        <v/>
      </c>
      <c r="DG243">
        <f>IF(DG$4=0,0,IF(COUNTIFS(実績!$W$6:$W$505,DG$3,実績!$AC$6:$AC$505,"&lt;="&amp;$A243,実績!$AD$6:$AD$505,"&gt;"&amp;$A243,実績!$AE$6:$AE$505,"○")&gt;0,1,0))</f>
        <v/>
      </c>
      <c r="DH243">
        <f>IF(DH$4=0,0,IF(COUNTIFS(実績!$W$6:$W$505,DH$3,実績!$AC$6:$AC$505,"&lt;="&amp;$A243,実績!$AD$6:$AD$505,"&gt;"&amp;$A243,実績!$AE$6:$AE$505,"○")&gt;0,1,0))</f>
        <v/>
      </c>
      <c r="DI243">
        <f>IF(DI$4=0,0,IF(COUNTIFS(実績!$W$6:$W$505,DI$3,実績!$AC$6:$AC$505,"&lt;="&amp;$A243,実績!$AD$6:$AD$505,"&gt;"&amp;$A243,実績!$AE$6:$AE$505,"○")&gt;0,1,0))</f>
        <v/>
      </c>
      <c r="DJ243">
        <f>IF(DJ$4=0,0,IF(COUNTIFS(実績!$W$6:$W$505,DJ$3,実績!$AC$6:$AC$505,"&lt;="&amp;$A243,実績!$AD$6:$AD$505,"&gt;"&amp;$A243,実績!$AE$6:$AE$505,"○")&gt;0,1,0))</f>
        <v/>
      </c>
      <c r="DK243">
        <f>IF(DK$4=0,0,IF(COUNTIFS(実績!$W$6:$W$505,DK$3,実績!$AC$6:$AC$505,"&lt;="&amp;$A243,実績!$AD$6:$AD$505,"&gt;"&amp;$A243,実績!$AE$6:$AE$505,"○")&gt;0,1,0))</f>
        <v/>
      </c>
      <c r="DL243">
        <f>IF(DL$4=0,0,IF(COUNTIFS(実績!$W$6:$W$505,DL$3,実績!$AC$6:$AC$505,"&lt;="&amp;$A243,実績!$AD$6:$AD$505,"&gt;"&amp;$A243,実績!$AE$6:$AE$505,"○")&gt;0,1,0))</f>
        <v/>
      </c>
      <c r="DM243">
        <f>IF(DM$4=0,0,IF(COUNTIFS(実績!$W$6:$W$505,DM$3,実績!$AC$6:$AC$505,"&lt;="&amp;$A243,実績!$AD$6:$AD$505,"&gt;"&amp;$A243,実績!$AE$6:$AE$505,"○")&gt;0,1,0))</f>
        <v/>
      </c>
      <c r="DN243">
        <f>IF(DN$4=0,0,IF(COUNTIFS(実績!$W$6:$W$505,DN$3,実績!$AC$6:$AC$505,"&lt;="&amp;$A243,実績!$AD$6:$AD$505,"&gt;"&amp;$A243,実績!$AE$6:$AE$505,"○")&gt;0,1,0))</f>
        <v/>
      </c>
      <c r="DO243">
        <f>IF(DO$4=0,0,IF(COUNTIFS(実績!$W$6:$W$505,DO$3,実績!$AC$6:$AC$505,"&lt;="&amp;$A243,実績!$AD$6:$AD$505,"&gt;"&amp;$A243,実績!$AE$6:$AE$505,"○")&gt;0,1,0))</f>
        <v/>
      </c>
      <c r="DP243">
        <f>IF(DP$4=0,0,IF(COUNTIFS(実績!$W$6:$W$505,DP$3,実績!$AC$6:$AC$505,"&lt;="&amp;$A243,実績!$AD$6:$AD$505,"&gt;"&amp;$A243,実績!$AE$6:$AE$505,"○")&gt;0,1,0))</f>
        <v/>
      </c>
      <c r="DQ243">
        <f>IF(DQ$4=0,0,IF(COUNTIFS(実績!$W$6:$W$505,DQ$3,実績!$AC$6:$AC$505,"&lt;="&amp;$A243,実績!$AD$6:$AD$505,"&gt;"&amp;$A243,実績!$AE$6:$AE$505,"○")&gt;0,1,0))</f>
        <v/>
      </c>
      <c r="DR243">
        <f>IF(DR$4=0,0,IF(COUNTIFS(実績!$W$6:$W$505,DR$3,実績!$AC$6:$AC$505,"&lt;="&amp;$A243,実績!$AD$6:$AD$505,"&gt;"&amp;$A243,実績!$AE$6:$AE$505,"○")&gt;0,1,0))</f>
        <v/>
      </c>
      <c r="DS243">
        <f>SUM(C243:DR243)</f>
        <v/>
      </c>
      <c r="DT243">
        <f>SUMPRODUCT((実績!$C$6:$C$505="○")*ISNUMBER(実績!$AF$6:$AF$505)*(実績!$AF$6:$AF$505&lt;=$A243)*(実績!$AG$6:$AG$505&gt;$A243))</f>
        <v/>
      </c>
      <c r="DU243">
        <f>SUMIF($C$2:$DR$2,"製鉄曳船",C243:DR243)</f>
        <v/>
      </c>
      <c r="DV243">
        <f>SUMIF($C$2:$DR$2,"西日本海運",C243:DR243)</f>
        <v/>
      </c>
    </row>
    <row r="244">
      <c r="A244" t="n">
        <v>1190</v>
      </c>
      <c r="B244" s="29">
        <f>A244/1440</f>
        <v/>
      </c>
      <c r="C244">
        <f>IF(C$4=0,0,IF(COUNTIFS(実績!$W$6:$W$505,C$3,実績!$AC$6:$AC$505,"&lt;="&amp;$A244,実績!$AD$6:$AD$505,"&gt;"&amp;$A244,実績!$AE$6:$AE$505,"○")&gt;0,1,0))</f>
        <v/>
      </c>
      <c r="D244">
        <f>IF(D$4=0,0,IF(COUNTIFS(実績!$W$6:$W$505,D$3,実績!$AC$6:$AC$505,"&lt;="&amp;$A244,実績!$AD$6:$AD$505,"&gt;"&amp;$A244,実績!$AE$6:$AE$505,"○")&gt;0,1,0))</f>
        <v/>
      </c>
      <c r="E244">
        <f>IF(E$4=0,0,IF(COUNTIFS(実績!$W$6:$W$505,E$3,実績!$AC$6:$AC$505,"&lt;="&amp;$A244,実績!$AD$6:$AD$505,"&gt;"&amp;$A244,実績!$AE$6:$AE$505,"○")&gt;0,1,0))</f>
        <v/>
      </c>
      <c r="F244">
        <f>IF(F$4=0,0,IF(COUNTIFS(実績!$W$6:$W$505,F$3,実績!$AC$6:$AC$505,"&lt;="&amp;$A244,実績!$AD$6:$AD$505,"&gt;"&amp;$A244,実績!$AE$6:$AE$505,"○")&gt;0,1,0))</f>
        <v/>
      </c>
      <c r="G244">
        <f>IF(G$4=0,0,IF(COUNTIFS(実績!$W$6:$W$505,G$3,実績!$AC$6:$AC$505,"&lt;="&amp;$A244,実績!$AD$6:$AD$505,"&gt;"&amp;$A244,実績!$AE$6:$AE$505,"○")&gt;0,1,0))</f>
        <v/>
      </c>
      <c r="H244">
        <f>IF(H$4=0,0,IF(COUNTIFS(実績!$W$6:$W$505,H$3,実績!$AC$6:$AC$505,"&lt;="&amp;$A244,実績!$AD$6:$AD$505,"&gt;"&amp;$A244,実績!$AE$6:$AE$505,"○")&gt;0,1,0))</f>
        <v/>
      </c>
      <c r="I244">
        <f>IF(I$4=0,0,IF(COUNTIFS(実績!$W$6:$W$505,I$3,実績!$AC$6:$AC$505,"&lt;="&amp;$A244,実績!$AD$6:$AD$505,"&gt;"&amp;$A244,実績!$AE$6:$AE$505,"○")&gt;0,1,0))</f>
        <v/>
      </c>
      <c r="J244">
        <f>IF(J$4=0,0,IF(COUNTIFS(実績!$W$6:$W$505,J$3,実績!$AC$6:$AC$505,"&lt;="&amp;$A244,実績!$AD$6:$AD$505,"&gt;"&amp;$A244,実績!$AE$6:$AE$505,"○")&gt;0,1,0))</f>
        <v/>
      </c>
      <c r="K244">
        <f>IF(K$4=0,0,IF(COUNTIFS(実績!$W$6:$W$505,K$3,実績!$AC$6:$AC$505,"&lt;="&amp;$A244,実績!$AD$6:$AD$505,"&gt;"&amp;$A244,実績!$AE$6:$AE$505,"○")&gt;0,1,0))</f>
        <v/>
      </c>
      <c r="L244">
        <f>IF(L$4=0,0,IF(COUNTIFS(実績!$W$6:$W$505,L$3,実績!$AC$6:$AC$505,"&lt;="&amp;$A244,実績!$AD$6:$AD$505,"&gt;"&amp;$A244,実績!$AE$6:$AE$505,"○")&gt;0,1,0))</f>
        <v/>
      </c>
      <c r="M244">
        <f>IF(M$4=0,0,IF(COUNTIFS(実績!$W$6:$W$505,M$3,実績!$AC$6:$AC$505,"&lt;="&amp;$A244,実績!$AD$6:$AD$505,"&gt;"&amp;$A244,実績!$AE$6:$AE$505,"○")&gt;0,1,0))</f>
        <v/>
      </c>
      <c r="N244">
        <f>IF(N$4=0,0,IF(COUNTIFS(実績!$W$6:$W$505,N$3,実績!$AC$6:$AC$505,"&lt;="&amp;$A244,実績!$AD$6:$AD$505,"&gt;"&amp;$A244,実績!$AE$6:$AE$505,"○")&gt;0,1,0))</f>
        <v/>
      </c>
      <c r="O244">
        <f>IF(O$4=0,0,IF(COUNTIFS(実績!$W$6:$W$505,O$3,実績!$AC$6:$AC$505,"&lt;="&amp;$A244,実績!$AD$6:$AD$505,"&gt;"&amp;$A244,実績!$AE$6:$AE$505,"○")&gt;0,1,0))</f>
        <v/>
      </c>
      <c r="P244">
        <f>IF(P$4=0,0,IF(COUNTIFS(実績!$W$6:$W$505,P$3,実績!$AC$6:$AC$505,"&lt;="&amp;$A244,実績!$AD$6:$AD$505,"&gt;"&amp;$A244,実績!$AE$6:$AE$505,"○")&gt;0,1,0))</f>
        <v/>
      </c>
      <c r="Q244">
        <f>IF(Q$4=0,0,IF(COUNTIFS(実績!$W$6:$W$505,Q$3,実績!$AC$6:$AC$505,"&lt;="&amp;$A244,実績!$AD$6:$AD$505,"&gt;"&amp;$A244,実績!$AE$6:$AE$505,"○")&gt;0,1,0))</f>
        <v/>
      </c>
      <c r="R244">
        <f>IF(R$4=0,0,IF(COUNTIFS(実績!$W$6:$W$505,R$3,実績!$AC$6:$AC$505,"&lt;="&amp;$A244,実績!$AD$6:$AD$505,"&gt;"&amp;$A244,実績!$AE$6:$AE$505,"○")&gt;0,1,0))</f>
        <v/>
      </c>
      <c r="S244">
        <f>IF(S$4=0,0,IF(COUNTIFS(実績!$W$6:$W$505,S$3,実績!$AC$6:$AC$505,"&lt;="&amp;$A244,実績!$AD$6:$AD$505,"&gt;"&amp;$A244,実績!$AE$6:$AE$505,"○")&gt;0,1,0))</f>
        <v/>
      </c>
      <c r="T244">
        <f>IF(T$4=0,0,IF(COUNTIFS(実績!$W$6:$W$505,T$3,実績!$AC$6:$AC$505,"&lt;="&amp;$A244,実績!$AD$6:$AD$505,"&gt;"&amp;$A244,実績!$AE$6:$AE$505,"○")&gt;0,1,0))</f>
        <v/>
      </c>
      <c r="U244">
        <f>IF(U$4=0,0,IF(COUNTIFS(実績!$W$6:$W$505,U$3,実績!$AC$6:$AC$505,"&lt;="&amp;$A244,実績!$AD$6:$AD$505,"&gt;"&amp;$A244,実績!$AE$6:$AE$505,"○")&gt;0,1,0))</f>
        <v/>
      </c>
      <c r="V244">
        <f>IF(V$4=0,0,IF(COUNTIFS(実績!$W$6:$W$505,V$3,実績!$AC$6:$AC$505,"&lt;="&amp;$A244,実績!$AD$6:$AD$505,"&gt;"&amp;$A244,実績!$AE$6:$AE$505,"○")&gt;0,1,0))</f>
        <v/>
      </c>
      <c r="W244">
        <f>IF(W$4=0,0,IF(COUNTIFS(実績!$W$6:$W$505,W$3,実績!$AC$6:$AC$505,"&lt;="&amp;$A244,実績!$AD$6:$AD$505,"&gt;"&amp;$A244,実績!$AE$6:$AE$505,"○")&gt;0,1,0))</f>
        <v/>
      </c>
      <c r="X244">
        <f>IF(X$4=0,0,IF(COUNTIFS(実績!$W$6:$W$505,X$3,実績!$AC$6:$AC$505,"&lt;="&amp;$A244,実績!$AD$6:$AD$505,"&gt;"&amp;$A244,実績!$AE$6:$AE$505,"○")&gt;0,1,0))</f>
        <v/>
      </c>
      <c r="Y244">
        <f>IF(Y$4=0,0,IF(COUNTIFS(実績!$W$6:$W$505,Y$3,実績!$AC$6:$AC$505,"&lt;="&amp;$A244,実績!$AD$6:$AD$505,"&gt;"&amp;$A244,実績!$AE$6:$AE$505,"○")&gt;0,1,0))</f>
        <v/>
      </c>
      <c r="Z244">
        <f>IF(Z$4=0,0,IF(COUNTIFS(実績!$W$6:$W$505,Z$3,実績!$AC$6:$AC$505,"&lt;="&amp;$A244,実績!$AD$6:$AD$505,"&gt;"&amp;$A244,実績!$AE$6:$AE$505,"○")&gt;0,1,0))</f>
        <v/>
      </c>
      <c r="AA244">
        <f>IF(AA$4=0,0,IF(COUNTIFS(実績!$W$6:$W$505,AA$3,実績!$AC$6:$AC$505,"&lt;="&amp;$A244,実績!$AD$6:$AD$505,"&gt;"&amp;$A244,実績!$AE$6:$AE$505,"○")&gt;0,1,0))</f>
        <v/>
      </c>
      <c r="AB244">
        <f>IF(AB$4=0,0,IF(COUNTIFS(実績!$W$6:$W$505,AB$3,実績!$AC$6:$AC$505,"&lt;="&amp;$A244,実績!$AD$6:$AD$505,"&gt;"&amp;$A244,実績!$AE$6:$AE$505,"○")&gt;0,1,0))</f>
        <v/>
      </c>
      <c r="AC244">
        <f>IF(AC$4=0,0,IF(COUNTIFS(実績!$W$6:$W$505,AC$3,実績!$AC$6:$AC$505,"&lt;="&amp;$A244,実績!$AD$6:$AD$505,"&gt;"&amp;$A244,実績!$AE$6:$AE$505,"○")&gt;0,1,0))</f>
        <v/>
      </c>
      <c r="AD244">
        <f>IF(AD$4=0,0,IF(COUNTIFS(実績!$W$6:$W$505,AD$3,実績!$AC$6:$AC$505,"&lt;="&amp;$A244,実績!$AD$6:$AD$505,"&gt;"&amp;$A244,実績!$AE$6:$AE$505,"○")&gt;0,1,0))</f>
        <v/>
      </c>
      <c r="AE244">
        <f>IF(AE$4=0,0,IF(COUNTIFS(実績!$W$6:$W$505,AE$3,実績!$AC$6:$AC$505,"&lt;="&amp;$A244,実績!$AD$6:$AD$505,"&gt;"&amp;$A244,実績!$AE$6:$AE$505,"○")&gt;0,1,0))</f>
        <v/>
      </c>
      <c r="AF244">
        <f>IF(AF$4=0,0,IF(COUNTIFS(実績!$W$6:$W$505,AF$3,実績!$AC$6:$AC$505,"&lt;="&amp;$A244,実績!$AD$6:$AD$505,"&gt;"&amp;$A244,実績!$AE$6:$AE$505,"○")&gt;0,1,0))</f>
        <v/>
      </c>
      <c r="AG244">
        <f>IF(AG$4=0,0,IF(COUNTIFS(実績!$W$6:$W$505,AG$3,実績!$AC$6:$AC$505,"&lt;="&amp;$A244,実績!$AD$6:$AD$505,"&gt;"&amp;$A244,実績!$AE$6:$AE$505,"○")&gt;0,1,0))</f>
        <v/>
      </c>
      <c r="AH244">
        <f>IF(AH$4=0,0,IF(COUNTIFS(実績!$W$6:$W$505,AH$3,実績!$AC$6:$AC$505,"&lt;="&amp;$A244,実績!$AD$6:$AD$505,"&gt;"&amp;$A244,実績!$AE$6:$AE$505,"○")&gt;0,1,0))</f>
        <v/>
      </c>
      <c r="AI244">
        <f>IF(AI$4=0,0,IF(COUNTIFS(実績!$W$6:$W$505,AI$3,実績!$AC$6:$AC$505,"&lt;="&amp;$A244,実績!$AD$6:$AD$505,"&gt;"&amp;$A244,実績!$AE$6:$AE$505,"○")&gt;0,1,0))</f>
        <v/>
      </c>
      <c r="AJ244">
        <f>IF(AJ$4=0,0,IF(COUNTIFS(実績!$W$6:$W$505,AJ$3,実績!$AC$6:$AC$505,"&lt;="&amp;$A244,実績!$AD$6:$AD$505,"&gt;"&amp;$A244,実績!$AE$6:$AE$505,"○")&gt;0,1,0))</f>
        <v/>
      </c>
      <c r="AK244">
        <f>IF(AK$4=0,0,IF(COUNTIFS(実績!$W$6:$W$505,AK$3,実績!$AC$6:$AC$505,"&lt;="&amp;$A244,実績!$AD$6:$AD$505,"&gt;"&amp;$A244,実績!$AE$6:$AE$505,"○")&gt;0,1,0))</f>
        <v/>
      </c>
      <c r="AL244">
        <f>IF(AL$4=0,0,IF(COUNTIFS(実績!$W$6:$W$505,AL$3,実績!$AC$6:$AC$505,"&lt;="&amp;$A244,実績!$AD$6:$AD$505,"&gt;"&amp;$A244,実績!$AE$6:$AE$505,"○")&gt;0,1,0))</f>
        <v/>
      </c>
      <c r="AM244">
        <f>IF(AM$4=0,0,IF(COUNTIFS(実績!$W$6:$W$505,AM$3,実績!$AC$6:$AC$505,"&lt;="&amp;$A244,実績!$AD$6:$AD$505,"&gt;"&amp;$A244,実績!$AE$6:$AE$505,"○")&gt;0,1,0))</f>
        <v/>
      </c>
      <c r="AN244">
        <f>IF(AN$4=0,0,IF(COUNTIFS(実績!$W$6:$W$505,AN$3,実績!$AC$6:$AC$505,"&lt;="&amp;$A244,実績!$AD$6:$AD$505,"&gt;"&amp;$A244,実績!$AE$6:$AE$505,"○")&gt;0,1,0))</f>
        <v/>
      </c>
      <c r="AO244">
        <f>IF(AO$4=0,0,IF(COUNTIFS(実績!$W$6:$W$505,AO$3,実績!$AC$6:$AC$505,"&lt;="&amp;$A244,実績!$AD$6:$AD$505,"&gt;"&amp;$A244,実績!$AE$6:$AE$505,"○")&gt;0,1,0))</f>
        <v/>
      </c>
      <c r="AP244">
        <f>IF(AP$4=0,0,IF(COUNTIFS(実績!$W$6:$W$505,AP$3,実績!$AC$6:$AC$505,"&lt;="&amp;$A244,実績!$AD$6:$AD$505,"&gt;"&amp;$A244,実績!$AE$6:$AE$505,"○")&gt;0,1,0))</f>
        <v/>
      </c>
      <c r="AQ244">
        <f>IF(AQ$4=0,0,IF(COUNTIFS(実績!$W$6:$W$505,AQ$3,実績!$AC$6:$AC$505,"&lt;="&amp;$A244,実績!$AD$6:$AD$505,"&gt;"&amp;$A244,実績!$AE$6:$AE$505,"○")&gt;0,1,0))</f>
        <v/>
      </c>
      <c r="AR244">
        <f>IF(AR$4=0,0,IF(COUNTIFS(実績!$W$6:$W$505,AR$3,実績!$AC$6:$AC$505,"&lt;="&amp;$A244,実績!$AD$6:$AD$505,"&gt;"&amp;$A244,実績!$AE$6:$AE$505,"○")&gt;0,1,0))</f>
        <v/>
      </c>
      <c r="AS244">
        <f>IF(AS$4=0,0,IF(COUNTIFS(実績!$W$6:$W$505,AS$3,実績!$AC$6:$AC$505,"&lt;="&amp;$A244,実績!$AD$6:$AD$505,"&gt;"&amp;$A244,実績!$AE$6:$AE$505,"○")&gt;0,1,0))</f>
        <v/>
      </c>
      <c r="AT244">
        <f>IF(AT$4=0,0,IF(COUNTIFS(実績!$W$6:$W$505,AT$3,実績!$AC$6:$AC$505,"&lt;="&amp;$A244,実績!$AD$6:$AD$505,"&gt;"&amp;$A244,実績!$AE$6:$AE$505,"○")&gt;0,1,0))</f>
        <v/>
      </c>
      <c r="AU244">
        <f>IF(AU$4=0,0,IF(COUNTIFS(実績!$W$6:$W$505,AU$3,実績!$AC$6:$AC$505,"&lt;="&amp;$A244,実績!$AD$6:$AD$505,"&gt;"&amp;$A244,実績!$AE$6:$AE$505,"○")&gt;0,1,0))</f>
        <v/>
      </c>
      <c r="AV244">
        <f>IF(AV$4=0,0,IF(COUNTIFS(実績!$W$6:$W$505,AV$3,実績!$AC$6:$AC$505,"&lt;="&amp;$A244,実績!$AD$6:$AD$505,"&gt;"&amp;$A244,実績!$AE$6:$AE$505,"○")&gt;0,1,0))</f>
        <v/>
      </c>
      <c r="AW244">
        <f>IF(AW$4=0,0,IF(COUNTIFS(実績!$W$6:$W$505,AW$3,実績!$AC$6:$AC$505,"&lt;="&amp;$A244,実績!$AD$6:$AD$505,"&gt;"&amp;$A244,実績!$AE$6:$AE$505,"○")&gt;0,1,0))</f>
        <v/>
      </c>
      <c r="AX244">
        <f>IF(AX$4=0,0,IF(COUNTIFS(実績!$W$6:$W$505,AX$3,実績!$AC$6:$AC$505,"&lt;="&amp;$A244,実績!$AD$6:$AD$505,"&gt;"&amp;$A244,実績!$AE$6:$AE$505,"○")&gt;0,1,0))</f>
        <v/>
      </c>
      <c r="AY244">
        <f>IF(AY$4=0,0,IF(COUNTIFS(実績!$W$6:$W$505,AY$3,実績!$AC$6:$AC$505,"&lt;="&amp;$A244,実績!$AD$6:$AD$505,"&gt;"&amp;$A244,実績!$AE$6:$AE$505,"○")&gt;0,1,0))</f>
        <v/>
      </c>
      <c r="AZ244">
        <f>IF(AZ$4=0,0,IF(COUNTIFS(実績!$W$6:$W$505,AZ$3,実績!$AC$6:$AC$505,"&lt;="&amp;$A244,実績!$AD$6:$AD$505,"&gt;"&amp;$A244,実績!$AE$6:$AE$505,"○")&gt;0,1,0))</f>
        <v/>
      </c>
      <c r="BA244">
        <f>IF(BA$4=0,0,IF(COUNTIFS(実績!$W$6:$W$505,BA$3,実績!$AC$6:$AC$505,"&lt;="&amp;$A244,実績!$AD$6:$AD$505,"&gt;"&amp;$A244,実績!$AE$6:$AE$505,"○")&gt;0,1,0))</f>
        <v/>
      </c>
      <c r="BB244">
        <f>IF(BB$4=0,0,IF(COUNTIFS(実績!$W$6:$W$505,BB$3,実績!$AC$6:$AC$505,"&lt;="&amp;$A244,実績!$AD$6:$AD$505,"&gt;"&amp;$A244,実績!$AE$6:$AE$505,"○")&gt;0,1,0))</f>
        <v/>
      </c>
      <c r="BC244">
        <f>IF(BC$4=0,0,IF(COUNTIFS(実績!$W$6:$W$505,BC$3,実績!$AC$6:$AC$505,"&lt;="&amp;$A244,実績!$AD$6:$AD$505,"&gt;"&amp;$A244,実績!$AE$6:$AE$505,"○")&gt;0,1,0))</f>
        <v/>
      </c>
      <c r="BD244">
        <f>IF(BD$4=0,0,IF(COUNTIFS(実績!$W$6:$W$505,BD$3,実績!$AC$6:$AC$505,"&lt;="&amp;$A244,実績!$AD$6:$AD$505,"&gt;"&amp;$A244,実績!$AE$6:$AE$505,"○")&gt;0,1,0))</f>
        <v/>
      </c>
      <c r="BE244">
        <f>IF(BE$4=0,0,IF(COUNTIFS(実績!$W$6:$W$505,BE$3,実績!$AC$6:$AC$505,"&lt;="&amp;$A244,実績!$AD$6:$AD$505,"&gt;"&amp;$A244,実績!$AE$6:$AE$505,"○")&gt;0,1,0))</f>
        <v/>
      </c>
      <c r="BF244">
        <f>IF(BF$4=0,0,IF(COUNTIFS(実績!$W$6:$W$505,BF$3,実績!$AC$6:$AC$505,"&lt;="&amp;$A244,実績!$AD$6:$AD$505,"&gt;"&amp;$A244,実績!$AE$6:$AE$505,"○")&gt;0,1,0))</f>
        <v/>
      </c>
      <c r="BG244">
        <f>IF(BG$4=0,0,IF(COUNTIFS(実績!$W$6:$W$505,BG$3,実績!$AC$6:$AC$505,"&lt;="&amp;$A244,実績!$AD$6:$AD$505,"&gt;"&amp;$A244,実績!$AE$6:$AE$505,"○")&gt;0,1,0))</f>
        <v/>
      </c>
      <c r="BH244">
        <f>IF(BH$4=0,0,IF(COUNTIFS(実績!$W$6:$W$505,BH$3,実績!$AC$6:$AC$505,"&lt;="&amp;$A244,実績!$AD$6:$AD$505,"&gt;"&amp;$A244,実績!$AE$6:$AE$505,"○")&gt;0,1,0))</f>
        <v/>
      </c>
      <c r="BI244">
        <f>IF(BI$4=0,0,IF(COUNTIFS(実績!$W$6:$W$505,BI$3,実績!$AC$6:$AC$505,"&lt;="&amp;$A244,実績!$AD$6:$AD$505,"&gt;"&amp;$A244,実績!$AE$6:$AE$505,"○")&gt;0,1,0))</f>
        <v/>
      </c>
      <c r="BJ244">
        <f>IF(BJ$4=0,0,IF(COUNTIFS(実績!$W$6:$W$505,BJ$3,実績!$AC$6:$AC$505,"&lt;="&amp;$A244,実績!$AD$6:$AD$505,"&gt;"&amp;$A244,実績!$AE$6:$AE$505,"○")&gt;0,1,0))</f>
        <v/>
      </c>
      <c r="BK244">
        <f>IF(BK$4=0,0,IF(COUNTIFS(実績!$W$6:$W$505,BK$3,実績!$AC$6:$AC$505,"&lt;="&amp;$A244,実績!$AD$6:$AD$505,"&gt;"&amp;$A244,実績!$AE$6:$AE$505,"○")&gt;0,1,0))</f>
        <v/>
      </c>
      <c r="BL244">
        <f>IF(BL$4=0,0,IF(COUNTIFS(実績!$W$6:$W$505,BL$3,実績!$AC$6:$AC$505,"&lt;="&amp;$A244,実績!$AD$6:$AD$505,"&gt;"&amp;$A244,実績!$AE$6:$AE$505,"○")&gt;0,1,0))</f>
        <v/>
      </c>
      <c r="BM244">
        <f>IF(BM$4=0,0,IF(COUNTIFS(実績!$W$6:$W$505,BM$3,実績!$AC$6:$AC$505,"&lt;="&amp;$A244,実績!$AD$6:$AD$505,"&gt;"&amp;$A244,実績!$AE$6:$AE$505,"○")&gt;0,1,0))</f>
        <v/>
      </c>
      <c r="BN244">
        <f>IF(BN$4=0,0,IF(COUNTIFS(実績!$W$6:$W$505,BN$3,実績!$AC$6:$AC$505,"&lt;="&amp;$A244,実績!$AD$6:$AD$505,"&gt;"&amp;$A244,実績!$AE$6:$AE$505,"○")&gt;0,1,0))</f>
        <v/>
      </c>
      <c r="BO244">
        <f>IF(BO$4=0,0,IF(COUNTIFS(実績!$W$6:$W$505,BO$3,実績!$AC$6:$AC$505,"&lt;="&amp;$A244,実績!$AD$6:$AD$505,"&gt;"&amp;$A244,実績!$AE$6:$AE$505,"○")&gt;0,1,0))</f>
        <v/>
      </c>
      <c r="BP244">
        <f>IF(BP$4=0,0,IF(COUNTIFS(実績!$W$6:$W$505,BP$3,実績!$AC$6:$AC$505,"&lt;="&amp;$A244,実績!$AD$6:$AD$505,"&gt;"&amp;$A244,実績!$AE$6:$AE$505,"○")&gt;0,1,0))</f>
        <v/>
      </c>
      <c r="BQ244">
        <f>IF(BQ$4=0,0,IF(COUNTIFS(実績!$W$6:$W$505,BQ$3,実績!$AC$6:$AC$505,"&lt;="&amp;$A244,実績!$AD$6:$AD$505,"&gt;"&amp;$A244,実績!$AE$6:$AE$505,"○")&gt;0,1,0))</f>
        <v/>
      </c>
      <c r="BR244">
        <f>IF(BR$4=0,0,IF(COUNTIFS(実績!$W$6:$W$505,BR$3,実績!$AC$6:$AC$505,"&lt;="&amp;$A244,実績!$AD$6:$AD$505,"&gt;"&amp;$A244,実績!$AE$6:$AE$505,"○")&gt;0,1,0))</f>
        <v/>
      </c>
      <c r="BS244">
        <f>IF(BS$4=0,0,IF(COUNTIFS(実績!$W$6:$W$505,BS$3,実績!$AC$6:$AC$505,"&lt;="&amp;$A244,実績!$AD$6:$AD$505,"&gt;"&amp;$A244,実績!$AE$6:$AE$505,"○")&gt;0,1,0))</f>
        <v/>
      </c>
      <c r="BT244">
        <f>IF(BT$4=0,0,IF(COUNTIFS(実績!$W$6:$W$505,BT$3,実績!$AC$6:$AC$505,"&lt;="&amp;$A244,実績!$AD$6:$AD$505,"&gt;"&amp;$A244,実績!$AE$6:$AE$505,"○")&gt;0,1,0))</f>
        <v/>
      </c>
      <c r="BU244">
        <f>IF(BU$4=0,0,IF(COUNTIFS(実績!$W$6:$W$505,BU$3,実績!$AC$6:$AC$505,"&lt;="&amp;$A244,実績!$AD$6:$AD$505,"&gt;"&amp;$A244,実績!$AE$6:$AE$505,"○")&gt;0,1,0))</f>
        <v/>
      </c>
      <c r="BV244">
        <f>IF(BV$4=0,0,IF(COUNTIFS(実績!$W$6:$W$505,BV$3,実績!$AC$6:$AC$505,"&lt;="&amp;$A244,実績!$AD$6:$AD$505,"&gt;"&amp;$A244,実績!$AE$6:$AE$505,"○")&gt;0,1,0))</f>
        <v/>
      </c>
      <c r="BW244">
        <f>IF(BW$4=0,0,IF(COUNTIFS(実績!$W$6:$W$505,BW$3,実績!$AC$6:$AC$505,"&lt;="&amp;$A244,実績!$AD$6:$AD$505,"&gt;"&amp;$A244,実績!$AE$6:$AE$505,"○")&gt;0,1,0))</f>
        <v/>
      </c>
      <c r="BX244">
        <f>IF(BX$4=0,0,IF(COUNTIFS(実績!$W$6:$W$505,BX$3,実績!$AC$6:$AC$505,"&lt;="&amp;$A244,実績!$AD$6:$AD$505,"&gt;"&amp;$A244,実績!$AE$6:$AE$505,"○")&gt;0,1,0))</f>
        <v/>
      </c>
      <c r="BY244">
        <f>IF(BY$4=0,0,IF(COUNTIFS(実績!$W$6:$W$505,BY$3,実績!$AC$6:$AC$505,"&lt;="&amp;$A244,実績!$AD$6:$AD$505,"&gt;"&amp;$A244,実績!$AE$6:$AE$505,"○")&gt;0,1,0))</f>
        <v/>
      </c>
      <c r="BZ244">
        <f>IF(BZ$4=0,0,IF(COUNTIFS(実績!$W$6:$W$505,BZ$3,実績!$AC$6:$AC$505,"&lt;="&amp;$A244,実績!$AD$6:$AD$505,"&gt;"&amp;$A244,実績!$AE$6:$AE$505,"○")&gt;0,1,0))</f>
        <v/>
      </c>
      <c r="CA244">
        <f>IF(CA$4=0,0,IF(COUNTIFS(実績!$W$6:$W$505,CA$3,実績!$AC$6:$AC$505,"&lt;="&amp;$A244,実績!$AD$6:$AD$505,"&gt;"&amp;$A244,実績!$AE$6:$AE$505,"○")&gt;0,1,0))</f>
        <v/>
      </c>
      <c r="CB244">
        <f>IF(CB$4=0,0,IF(COUNTIFS(実績!$W$6:$W$505,CB$3,実績!$AC$6:$AC$505,"&lt;="&amp;$A244,実績!$AD$6:$AD$505,"&gt;"&amp;$A244,実績!$AE$6:$AE$505,"○")&gt;0,1,0))</f>
        <v/>
      </c>
      <c r="CC244">
        <f>IF(CC$4=0,0,IF(COUNTIFS(実績!$W$6:$W$505,CC$3,実績!$AC$6:$AC$505,"&lt;="&amp;$A244,実績!$AD$6:$AD$505,"&gt;"&amp;$A244,実績!$AE$6:$AE$505,"○")&gt;0,1,0))</f>
        <v/>
      </c>
      <c r="CD244">
        <f>IF(CD$4=0,0,IF(COUNTIFS(実績!$W$6:$W$505,CD$3,実績!$AC$6:$AC$505,"&lt;="&amp;$A244,実績!$AD$6:$AD$505,"&gt;"&amp;$A244,実績!$AE$6:$AE$505,"○")&gt;0,1,0))</f>
        <v/>
      </c>
      <c r="CE244">
        <f>IF(CE$4=0,0,IF(COUNTIFS(実績!$W$6:$W$505,CE$3,実績!$AC$6:$AC$505,"&lt;="&amp;$A244,実績!$AD$6:$AD$505,"&gt;"&amp;$A244,実績!$AE$6:$AE$505,"○")&gt;0,1,0))</f>
        <v/>
      </c>
      <c r="CF244">
        <f>IF(CF$4=0,0,IF(COUNTIFS(実績!$W$6:$W$505,CF$3,実績!$AC$6:$AC$505,"&lt;="&amp;$A244,実績!$AD$6:$AD$505,"&gt;"&amp;$A244,実績!$AE$6:$AE$505,"○")&gt;0,1,0))</f>
        <v/>
      </c>
      <c r="CG244">
        <f>IF(CG$4=0,0,IF(COUNTIFS(実績!$W$6:$W$505,CG$3,実績!$AC$6:$AC$505,"&lt;="&amp;$A244,実績!$AD$6:$AD$505,"&gt;"&amp;$A244,実績!$AE$6:$AE$505,"○")&gt;0,1,0))</f>
        <v/>
      </c>
      <c r="CH244">
        <f>IF(CH$4=0,0,IF(COUNTIFS(実績!$W$6:$W$505,CH$3,実績!$AC$6:$AC$505,"&lt;="&amp;$A244,実績!$AD$6:$AD$505,"&gt;"&amp;$A244,実績!$AE$6:$AE$505,"○")&gt;0,1,0))</f>
        <v/>
      </c>
      <c r="CI244">
        <f>IF(CI$4=0,0,IF(COUNTIFS(実績!$W$6:$W$505,CI$3,実績!$AC$6:$AC$505,"&lt;="&amp;$A244,実績!$AD$6:$AD$505,"&gt;"&amp;$A244,実績!$AE$6:$AE$505,"○")&gt;0,1,0))</f>
        <v/>
      </c>
      <c r="CJ244">
        <f>IF(CJ$4=0,0,IF(COUNTIFS(実績!$W$6:$W$505,CJ$3,実績!$AC$6:$AC$505,"&lt;="&amp;$A244,実績!$AD$6:$AD$505,"&gt;"&amp;$A244,実績!$AE$6:$AE$505,"○")&gt;0,1,0))</f>
        <v/>
      </c>
      <c r="CK244">
        <f>IF(CK$4=0,0,IF(COUNTIFS(実績!$W$6:$W$505,CK$3,実績!$AC$6:$AC$505,"&lt;="&amp;$A244,実績!$AD$6:$AD$505,"&gt;"&amp;$A244,実績!$AE$6:$AE$505,"○")&gt;0,1,0))</f>
        <v/>
      </c>
      <c r="CL244">
        <f>IF(CL$4=0,0,IF(COUNTIFS(実績!$W$6:$W$505,CL$3,実績!$AC$6:$AC$505,"&lt;="&amp;$A244,実績!$AD$6:$AD$505,"&gt;"&amp;$A244,実績!$AE$6:$AE$505,"○")&gt;0,1,0))</f>
        <v/>
      </c>
      <c r="CM244">
        <f>IF(CM$4=0,0,IF(COUNTIFS(実績!$W$6:$W$505,CM$3,実績!$AC$6:$AC$505,"&lt;="&amp;$A244,実績!$AD$6:$AD$505,"&gt;"&amp;$A244,実績!$AE$6:$AE$505,"○")&gt;0,1,0))</f>
        <v/>
      </c>
      <c r="CN244">
        <f>IF(CN$4=0,0,IF(COUNTIFS(実績!$W$6:$W$505,CN$3,実績!$AC$6:$AC$505,"&lt;="&amp;$A244,実績!$AD$6:$AD$505,"&gt;"&amp;$A244,実績!$AE$6:$AE$505,"○")&gt;0,1,0))</f>
        <v/>
      </c>
      <c r="CO244">
        <f>IF(CO$4=0,0,IF(COUNTIFS(実績!$W$6:$W$505,CO$3,実績!$AC$6:$AC$505,"&lt;="&amp;$A244,実績!$AD$6:$AD$505,"&gt;"&amp;$A244,実績!$AE$6:$AE$505,"○")&gt;0,1,0))</f>
        <v/>
      </c>
      <c r="CP244">
        <f>IF(CP$4=0,0,IF(COUNTIFS(実績!$W$6:$W$505,CP$3,実績!$AC$6:$AC$505,"&lt;="&amp;$A244,実績!$AD$6:$AD$505,"&gt;"&amp;$A244,実績!$AE$6:$AE$505,"○")&gt;0,1,0))</f>
        <v/>
      </c>
      <c r="CQ244">
        <f>IF(CQ$4=0,0,IF(COUNTIFS(実績!$W$6:$W$505,CQ$3,実績!$AC$6:$AC$505,"&lt;="&amp;$A244,実績!$AD$6:$AD$505,"&gt;"&amp;$A244,実績!$AE$6:$AE$505,"○")&gt;0,1,0))</f>
        <v/>
      </c>
      <c r="CR244">
        <f>IF(CR$4=0,0,IF(COUNTIFS(実績!$W$6:$W$505,CR$3,実績!$AC$6:$AC$505,"&lt;="&amp;$A244,実績!$AD$6:$AD$505,"&gt;"&amp;$A244,実績!$AE$6:$AE$505,"○")&gt;0,1,0))</f>
        <v/>
      </c>
      <c r="CS244">
        <f>IF(CS$4=0,0,IF(COUNTIFS(実績!$W$6:$W$505,CS$3,実績!$AC$6:$AC$505,"&lt;="&amp;$A244,実績!$AD$6:$AD$505,"&gt;"&amp;$A244,実績!$AE$6:$AE$505,"○")&gt;0,1,0))</f>
        <v/>
      </c>
      <c r="CT244">
        <f>IF(CT$4=0,0,IF(COUNTIFS(実績!$W$6:$W$505,CT$3,実績!$AC$6:$AC$505,"&lt;="&amp;$A244,実績!$AD$6:$AD$505,"&gt;"&amp;$A244,実績!$AE$6:$AE$505,"○")&gt;0,1,0))</f>
        <v/>
      </c>
      <c r="CU244">
        <f>IF(CU$4=0,0,IF(COUNTIFS(実績!$W$6:$W$505,CU$3,実績!$AC$6:$AC$505,"&lt;="&amp;$A244,実績!$AD$6:$AD$505,"&gt;"&amp;$A244,実績!$AE$6:$AE$505,"○")&gt;0,1,0))</f>
        <v/>
      </c>
      <c r="CV244">
        <f>IF(CV$4=0,0,IF(COUNTIFS(実績!$W$6:$W$505,CV$3,実績!$AC$6:$AC$505,"&lt;="&amp;$A244,実績!$AD$6:$AD$505,"&gt;"&amp;$A244,実績!$AE$6:$AE$505,"○")&gt;0,1,0))</f>
        <v/>
      </c>
      <c r="CW244">
        <f>IF(CW$4=0,0,IF(COUNTIFS(実績!$W$6:$W$505,CW$3,実績!$AC$6:$AC$505,"&lt;="&amp;$A244,実績!$AD$6:$AD$505,"&gt;"&amp;$A244,実績!$AE$6:$AE$505,"○")&gt;0,1,0))</f>
        <v/>
      </c>
      <c r="CX244">
        <f>IF(CX$4=0,0,IF(COUNTIFS(実績!$W$6:$W$505,CX$3,実績!$AC$6:$AC$505,"&lt;="&amp;$A244,実績!$AD$6:$AD$505,"&gt;"&amp;$A244,実績!$AE$6:$AE$505,"○")&gt;0,1,0))</f>
        <v/>
      </c>
      <c r="CY244">
        <f>IF(CY$4=0,0,IF(COUNTIFS(実績!$W$6:$W$505,CY$3,実績!$AC$6:$AC$505,"&lt;="&amp;$A244,実績!$AD$6:$AD$505,"&gt;"&amp;$A244,実績!$AE$6:$AE$505,"○")&gt;0,1,0))</f>
        <v/>
      </c>
      <c r="CZ244">
        <f>IF(CZ$4=0,0,IF(COUNTIFS(実績!$W$6:$W$505,CZ$3,実績!$AC$6:$AC$505,"&lt;="&amp;$A244,実績!$AD$6:$AD$505,"&gt;"&amp;$A244,実績!$AE$6:$AE$505,"○")&gt;0,1,0))</f>
        <v/>
      </c>
      <c r="DA244">
        <f>IF(DA$4=0,0,IF(COUNTIFS(実績!$W$6:$W$505,DA$3,実績!$AC$6:$AC$505,"&lt;="&amp;$A244,実績!$AD$6:$AD$505,"&gt;"&amp;$A244,実績!$AE$6:$AE$505,"○")&gt;0,1,0))</f>
        <v/>
      </c>
      <c r="DB244">
        <f>IF(DB$4=0,0,IF(COUNTIFS(実績!$W$6:$W$505,DB$3,実績!$AC$6:$AC$505,"&lt;="&amp;$A244,実績!$AD$6:$AD$505,"&gt;"&amp;$A244,実績!$AE$6:$AE$505,"○")&gt;0,1,0))</f>
        <v/>
      </c>
      <c r="DC244">
        <f>IF(DC$4=0,0,IF(COUNTIFS(実績!$W$6:$W$505,DC$3,実績!$AC$6:$AC$505,"&lt;="&amp;$A244,実績!$AD$6:$AD$505,"&gt;"&amp;$A244,実績!$AE$6:$AE$505,"○")&gt;0,1,0))</f>
        <v/>
      </c>
      <c r="DD244">
        <f>IF(DD$4=0,0,IF(COUNTIFS(実績!$W$6:$W$505,DD$3,実績!$AC$6:$AC$505,"&lt;="&amp;$A244,実績!$AD$6:$AD$505,"&gt;"&amp;$A244,実績!$AE$6:$AE$505,"○")&gt;0,1,0))</f>
        <v/>
      </c>
      <c r="DE244">
        <f>IF(DE$4=0,0,IF(COUNTIFS(実績!$W$6:$W$505,DE$3,実績!$AC$6:$AC$505,"&lt;="&amp;$A244,実績!$AD$6:$AD$505,"&gt;"&amp;$A244,実績!$AE$6:$AE$505,"○")&gt;0,1,0))</f>
        <v/>
      </c>
      <c r="DF244">
        <f>IF(DF$4=0,0,IF(COUNTIFS(実績!$W$6:$W$505,DF$3,実績!$AC$6:$AC$505,"&lt;="&amp;$A244,実績!$AD$6:$AD$505,"&gt;"&amp;$A244,実績!$AE$6:$AE$505,"○")&gt;0,1,0))</f>
        <v/>
      </c>
      <c r="DG244">
        <f>IF(DG$4=0,0,IF(COUNTIFS(実績!$W$6:$W$505,DG$3,実績!$AC$6:$AC$505,"&lt;="&amp;$A244,実績!$AD$6:$AD$505,"&gt;"&amp;$A244,実績!$AE$6:$AE$505,"○")&gt;0,1,0))</f>
        <v/>
      </c>
      <c r="DH244">
        <f>IF(DH$4=0,0,IF(COUNTIFS(実績!$W$6:$W$505,DH$3,実績!$AC$6:$AC$505,"&lt;="&amp;$A244,実績!$AD$6:$AD$505,"&gt;"&amp;$A244,実績!$AE$6:$AE$505,"○")&gt;0,1,0))</f>
        <v/>
      </c>
      <c r="DI244">
        <f>IF(DI$4=0,0,IF(COUNTIFS(実績!$W$6:$W$505,DI$3,実績!$AC$6:$AC$505,"&lt;="&amp;$A244,実績!$AD$6:$AD$505,"&gt;"&amp;$A244,実績!$AE$6:$AE$505,"○")&gt;0,1,0))</f>
        <v/>
      </c>
      <c r="DJ244">
        <f>IF(DJ$4=0,0,IF(COUNTIFS(実績!$W$6:$W$505,DJ$3,実績!$AC$6:$AC$505,"&lt;="&amp;$A244,実績!$AD$6:$AD$505,"&gt;"&amp;$A244,実績!$AE$6:$AE$505,"○")&gt;0,1,0))</f>
        <v/>
      </c>
      <c r="DK244">
        <f>IF(DK$4=0,0,IF(COUNTIFS(実績!$W$6:$W$505,DK$3,実績!$AC$6:$AC$505,"&lt;="&amp;$A244,実績!$AD$6:$AD$505,"&gt;"&amp;$A244,実績!$AE$6:$AE$505,"○")&gt;0,1,0))</f>
        <v/>
      </c>
      <c r="DL244">
        <f>IF(DL$4=0,0,IF(COUNTIFS(実績!$W$6:$W$505,DL$3,実績!$AC$6:$AC$505,"&lt;="&amp;$A244,実績!$AD$6:$AD$505,"&gt;"&amp;$A244,実績!$AE$6:$AE$505,"○")&gt;0,1,0))</f>
        <v/>
      </c>
      <c r="DM244">
        <f>IF(DM$4=0,0,IF(COUNTIFS(実績!$W$6:$W$505,DM$3,実績!$AC$6:$AC$505,"&lt;="&amp;$A244,実績!$AD$6:$AD$505,"&gt;"&amp;$A244,実績!$AE$6:$AE$505,"○")&gt;0,1,0))</f>
        <v/>
      </c>
      <c r="DN244">
        <f>IF(DN$4=0,0,IF(COUNTIFS(実績!$W$6:$W$505,DN$3,実績!$AC$6:$AC$505,"&lt;="&amp;$A244,実績!$AD$6:$AD$505,"&gt;"&amp;$A244,実績!$AE$6:$AE$505,"○")&gt;0,1,0))</f>
        <v/>
      </c>
      <c r="DO244">
        <f>IF(DO$4=0,0,IF(COUNTIFS(実績!$W$6:$W$505,DO$3,実績!$AC$6:$AC$505,"&lt;="&amp;$A244,実績!$AD$6:$AD$505,"&gt;"&amp;$A244,実績!$AE$6:$AE$505,"○")&gt;0,1,0))</f>
        <v/>
      </c>
      <c r="DP244">
        <f>IF(DP$4=0,0,IF(COUNTIFS(実績!$W$6:$W$505,DP$3,実績!$AC$6:$AC$505,"&lt;="&amp;$A244,実績!$AD$6:$AD$505,"&gt;"&amp;$A244,実績!$AE$6:$AE$505,"○")&gt;0,1,0))</f>
        <v/>
      </c>
      <c r="DQ244">
        <f>IF(DQ$4=0,0,IF(COUNTIFS(実績!$W$6:$W$505,DQ$3,実績!$AC$6:$AC$505,"&lt;="&amp;$A244,実績!$AD$6:$AD$505,"&gt;"&amp;$A244,実績!$AE$6:$AE$505,"○")&gt;0,1,0))</f>
        <v/>
      </c>
      <c r="DR244">
        <f>IF(DR$4=0,0,IF(COUNTIFS(実績!$W$6:$W$505,DR$3,実績!$AC$6:$AC$505,"&lt;="&amp;$A244,実績!$AD$6:$AD$505,"&gt;"&amp;$A244,実績!$AE$6:$AE$505,"○")&gt;0,1,0))</f>
        <v/>
      </c>
      <c r="DS244">
        <f>SUM(C244:DR244)</f>
        <v/>
      </c>
      <c r="DT244">
        <f>SUMPRODUCT((実績!$C$6:$C$505="○")*ISNUMBER(実績!$AF$6:$AF$505)*(実績!$AF$6:$AF$505&lt;=$A244)*(実績!$AG$6:$AG$505&gt;$A244))</f>
        <v/>
      </c>
      <c r="DU244">
        <f>SUMIF($C$2:$DR$2,"製鉄曳船",C244:DR244)</f>
        <v/>
      </c>
      <c r="DV244">
        <f>SUMIF($C$2:$DR$2,"西日本海運",C244:DR244)</f>
        <v/>
      </c>
    </row>
    <row r="245">
      <c r="A245" t="n">
        <v>1195</v>
      </c>
      <c r="B245" s="29">
        <f>A245/1440</f>
        <v/>
      </c>
      <c r="C245">
        <f>IF(C$4=0,0,IF(COUNTIFS(実績!$W$6:$W$505,C$3,実績!$AC$6:$AC$505,"&lt;="&amp;$A245,実績!$AD$6:$AD$505,"&gt;"&amp;$A245,実績!$AE$6:$AE$505,"○")&gt;0,1,0))</f>
        <v/>
      </c>
      <c r="D245">
        <f>IF(D$4=0,0,IF(COUNTIFS(実績!$W$6:$W$505,D$3,実績!$AC$6:$AC$505,"&lt;="&amp;$A245,実績!$AD$6:$AD$505,"&gt;"&amp;$A245,実績!$AE$6:$AE$505,"○")&gt;0,1,0))</f>
        <v/>
      </c>
      <c r="E245">
        <f>IF(E$4=0,0,IF(COUNTIFS(実績!$W$6:$W$505,E$3,実績!$AC$6:$AC$505,"&lt;="&amp;$A245,実績!$AD$6:$AD$505,"&gt;"&amp;$A245,実績!$AE$6:$AE$505,"○")&gt;0,1,0))</f>
        <v/>
      </c>
      <c r="F245">
        <f>IF(F$4=0,0,IF(COUNTIFS(実績!$W$6:$W$505,F$3,実績!$AC$6:$AC$505,"&lt;="&amp;$A245,実績!$AD$6:$AD$505,"&gt;"&amp;$A245,実績!$AE$6:$AE$505,"○")&gt;0,1,0))</f>
        <v/>
      </c>
      <c r="G245">
        <f>IF(G$4=0,0,IF(COUNTIFS(実績!$W$6:$W$505,G$3,実績!$AC$6:$AC$505,"&lt;="&amp;$A245,実績!$AD$6:$AD$505,"&gt;"&amp;$A245,実績!$AE$6:$AE$505,"○")&gt;0,1,0))</f>
        <v/>
      </c>
      <c r="H245">
        <f>IF(H$4=0,0,IF(COUNTIFS(実績!$W$6:$W$505,H$3,実績!$AC$6:$AC$505,"&lt;="&amp;$A245,実績!$AD$6:$AD$505,"&gt;"&amp;$A245,実績!$AE$6:$AE$505,"○")&gt;0,1,0))</f>
        <v/>
      </c>
      <c r="I245">
        <f>IF(I$4=0,0,IF(COUNTIFS(実績!$W$6:$W$505,I$3,実績!$AC$6:$AC$505,"&lt;="&amp;$A245,実績!$AD$6:$AD$505,"&gt;"&amp;$A245,実績!$AE$6:$AE$505,"○")&gt;0,1,0))</f>
        <v/>
      </c>
      <c r="J245">
        <f>IF(J$4=0,0,IF(COUNTIFS(実績!$W$6:$W$505,J$3,実績!$AC$6:$AC$505,"&lt;="&amp;$A245,実績!$AD$6:$AD$505,"&gt;"&amp;$A245,実績!$AE$6:$AE$505,"○")&gt;0,1,0))</f>
        <v/>
      </c>
      <c r="K245">
        <f>IF(K$4=0,0,IF(COUNTIFS(実績!$W$6:$W$505,K$3,実績!$AC$6:$AC$505,"&lt;="&amp;$A245,実績!$AD$6:$AD$505,"&gt;"&amp;$A245,実績!$AE$6:$AE$505,"○")&gt;0,1,0))</f>
        <v/>
      </c>
      <c r="L245">
        <f>IF(L$4=0,0,IF(COUNTIFS(実績!$W$6:$W$505,L$3,実績!$AC$6:$AC$505,"&lt;="&amp;$A245,実績!$AD$6:$AD$505,"&gt;"&amp;$A245,実績!$AE$6:$AE$505,"○")&gt;0,1,0))</f>
        <v/>
      </c>
      <c r="M245">
        <f>IF(M$4=0,0,IF(COUNTIFS(実績!$W$6:$W$505,M$3,実績!$AC$6:$AC$505,"&lt;="&amp;$A245,実績!$AD$6:$AD$505,"&gt;"&amp;$A245,実績!$AE$6:$AE$505,"○")&gt;0,1,0))</f>
        <v/>
      </c>
      <c r="N245">
        <f>IF(N$4=0,0,IF(COUNTIFS(実績!$W$6:$W$505,N$3,実績!$AC$6:$AC$505,"&lt;="&amp;$A245,実績!$AD$6:$AD$505,"&gt;"&amp;$A245,実績!$AE$6:$AE$505,"○")&gt;0,1,0))</f>
        <v/>
      </c>
      <c r="O245">
        <f>IF(O$4=0,0,IF(COUNTIFS(実績!$W$6:$W$505,O$3,実績!$AC$6:$AC$505,"&lt;="&amp;$A245,実績!$AD$6:$AD$505,"&gt;"&amp;$A245,実績!$AE$6:$AE$505,"○")&gt;0,1,0))</f>
        <v/>
      </c>
      <c r="P245">
        <f>IF(P$4=0,0,IF(COUNTIFS(実績!$W$6:$W$505,P$3,実績!$AC$6:$AC$505,"&lt;="&amp;$A245,実績!$AD$6:$AD$505,"&gt;"&amp;$A245,実績!$AE$6:$AE$505,"○")&gt;0,1,0))</f>
        <v/>
      </c>
      <c r="Q245">
        <f>IF(Q$4=0,0,IF(COUNTIFS(実績!$W$6:$W$505,Q$3,実績!$AC$6:$AC$505,"&lt;="&amp;$A245,実績!$AD$6:$AD$505,"&gt;"&amp;$A245,実績!$AE$6:$AE$505,"○")&gt;0,1,0))</f>
        <v/>
      </c>
      <c r="R245">
        <f>IF(R$4=0,0,IF(COUNTIFS(実績!$W$6:$W$505,R$3,実績!$AC$6:$AC$505,"&lt;="&amp;$A245,実績!$AD$6:$AD$505,"&gt;"&amp;$A245,実績!$AE$6:$AE$505,"○")&gt;0,1,0))</f>
        <v/>
      </c>
      <c r="S245">
        <f>IF(S$4=0,0,IF(COUNTIFS(実績!$W$6:$W$505,S$3,実績!$AC$6:$AC$505,"&lt;="&amp;$A245,実績!$AD$6:$AD$505,"&gt;"&amp;$A245,実績!$AE$6:$AE$505,"○")&gt;0,1,0))</f>
        <v/>
      </c>
      <c r="T245">
        <f>IF(T$4=0,0,IF(COUNTIFS(実績!$W$6:$W$505,T$3,実績!$AC$6:$AC$505,"&lt;="&amp;$A245,実績!$AD$6:$AD$505,"&gt;"&amp;$A245,実績!$AE$6:$AE$505,"○")&gt;0,1,0))</f>
        <v/>
      </c>
      <c r="U245">
        <f>IF(U$4=0,0,IF(COUNTIFS(実績!$W$6:$W$505,U$3,実績!$AC$6:$AC$505,"&lt;="&amp;$A245,実績!$AD$6:$AD$505,"&gt;"&amp;$A245,実績!$AE$6:$AE$505,"○")&gt;0,1,0))</f>
        <v/>
      </c>
      <c r="V245">
        <f>IF(V$4=0,0,IF(COUNTIFS(実績!$W$6:$W$505,V$3,実績!$AC$6:$AC$505,"&lt;="&amp;$A245,実績!$AD$6:$AD$505,"&gt;"&amp;$A245,実績!$AE$6:$AE$505,"○")&gt;0,1,0))</f>
        <v/>
      </c>
      <c r="W245">
        <f>IF(W$4=0,0,IF(COUNTIFS(実績!$W$6:$W$505,W$3,実績!$AC$6:$AC$505,"&lt;="&amp;$A245,実績!$AD$6:$AD$505,"&gt;"&amp;$A245,実績!$AE$6:$AE$505,"○")&gt;0,1,0))</f>
        <v/>
      </c>
      <c r="X245">
        <f>IF(X$4=0,0,IF(COUNTIFS(実績!$W$6:$W$505,X$3,実績!$AC$6:$AC$505,"&lt;="&amp;$A245,実績!$AD$6:$AD$505,"&gt;"&amp;$A245,実績!$AE$6:$AE$505,"○")&gt;0,1,0))</f>
        <v/>
      </c>
      <c r="Y245">
        <f>IF(Y$4=0,0,IF(COUNTIFS(実績!$W$6:$W$505,Y$3,実績!$AC$6:$AC$505,"&lt;="&amp;$A245,実績!$AD$6:$AD$505,"&gt;"&amp;$A245,実績!$AE$6:$AE$505,"○")&gt;0,1,0))</f>
        <v/>
      </c>
      <c r="Z245">
        <f>IF(Z$4=0,0,IF(COUNTIFS(実績!$W$6:$W$505,Z$3,実績!$AC$6:$AC$505,"&lt;="&amp;$A245,実績!$AD$6:$AD$505,"&gt;"&amp;$A245,実績!$AE$6:$AE$505,"○")&gt;0,1,0))</f>
        <v/>
      </c>
      <c r="AA245">
        <f>IF(AA$4=0,0,IF(COUNTIFS(実績!$W$6:$W$505,AA$3,実績!$AC$6:$AC$505,"&lt;="&amp;$A245,実績!$AD$6:$AD$505,"&gt;"&amp;$A245,実績!$AE$6:$AE$505,"○")&gt;0,1,0))</f>
        <v/>
      </c>
      <c r="AB245">
        <f>IF(AB$4=0,0,IF(COUNTIFS(実績!$W$6:$W$505,AB$3,実績!$AC$6:$AC$505,"&lt;="&amp;$A245,実績!$AD$6:$AD$505,"&gt;"&amp;$A245,実績!$AE$6:$AE$505,"○")&gt;0,1,0))</f>
        <v/>
      </c>
      <c r="AC245">
        <f>IF(AC$4=0,0,IF(COUNTIFS(実績!$W$6:$W$505,AC$3,実績!$AC$6:$AC$505,"&lt;="&amp;$A245,実績!$AD$6:$AD$505,"&gt;"&amp;$A245,実績!$AE$6:$AE$505,"○")&gt;0,1,0))</f>
        <v/>
      </c>
      <c r="AD245">
        <f>IF(AD$4=0,0,IF(COUNTIFS(実績!$W$6:$W$505,AD$3,実績!$AC$6:$AC$505,"&lt;="&amp;$A245,実績!$AD$6:$AD$505,"&gt;"&amp;$A245,実績!$AE$6:$AE$505,"○")&gt;0,1,0))</f>
        <v/>
      </c>
      <c r="AE245">
        <f>IF(AE$4=0,0,IF(COUNTIFS(実績!$W$6:$W$505,AE$3,実績!$AC$6:$AC$505,"&lt;="&amp;$A245,実績!$AD$6:$AD$505,"&gt;"&amp;$A245,実績!$AE$6:$AE$505,"○")&gt;0,1,0))</f>
        <v/>
      </c>
      <c r="AF245">
        <f>IF(AF$4=0,0,IF(COUNTIFS(実績!$W$6:$W$505,AF$3,実績!$AC$6:$AC$505,"&lt;="&amp;$A245,実績!$AD$6:$AD$505,"&gt;"&amp;$A245,実績!$AE$6:$AE$505,"○")&gt;0,1,0))</f>
        <v/>
      </c>
      <c r="AG245">
        <f>IF(AG$4=0,0,IF(COUNTIFS(実績!$W$6:$W$505,AG$3,実績!$AC$6:$AC$505,"&lt;="&amp;$A245,実績!$AD$6:$AD$505,"&gt;"&amp;$A245,実績!$AE$6:$AE$505,"○")&gt;0,1,0))</f>
        <v/>
      </c>
      <c r="AH245">
        <f>IF(AH$4=0,0,IF(COUNTIFS(実績!$W$6:$W$505,AH$3,実績!$AC$6:$AC$505,"&lt;="&amp;$A245,実績!$AD$6:$AD$505,"&gt;"&amp;$A245,実績!$AE$6:$AE$505,"○")&gt;0,1,0))</f>
        <v/>
      </c>
      <c r="AI245">
        <f>IF(AI$4=0,0,IF(COUNTIFS(実績!$W$6:$W$505,AI$3,実績!$AC$6:$AC$505,"&lt;="&amp;$A245,実績!$AD$6:$AD$505,"&gt;"&amp;$A245,実績!$AE$6:$AE$505,"○")&gt;0,1,0))</f>
        <v/>
      </c>
      <c r="AJ245">
        <f>IF(AJ$4=0,0,IF(COUNTIFS(実績!$W$6:$W$505,AJ$3,実績!$AC$6:$AC$505,"&lt;="&amp;$A245,実績!$AD$6:$AD$505,"&gt;"&amp;$A245,実績!$AE$6:$AE$505,"○")&gt;0,1,0))</f>
        <v/>
      </c>
      <c r="AK245">
        <f>IF(AK$4=0,0,IF(COUNTIFS(実績!$W$6:$W$505,AK$3,実績!$AC$6:$AC$505,"&lt;="&amp;$A245,実績!$AD$6:$AD$505,"&gt;"&amp;$A245,実績!$AE$6:$AE$505,"○")&gt;0,1,0))</f>
        <v/>
      </c>
      <c r="AL245">
        <f>IF(AL$4=0,0,IF(COUNTIFS(実績!$W$6:$W$505,AL$3,実績!$AC$6:$AC$505,"&lt;="&amp;$A245,実績!$AD$6:$AD$505,"&gt;"&amp;$A245,実績!$AE$6:$AE$505,"○")&gt;0,1,0))</f>
        <v/>
      </c>
      <c r="AM245">
        <f>IF(AM$4=0,0,IF(COUNTIFS(実績!$W$6:$W$505,AM$3,実績!$AC$6:$AC$505,"&lt;="&amp;$A245,実績!$AD$6:$AD$505,"&gt;"&amp;$A245,実績!$AE$6:$AE$505,"○")&gt;0,1,0))</f>
        <v/>
      </c>
      <c r="AN245">
        <f>IF(AN$4=0,0,IF(COUNTIFS(実績!$W$6:$W$505,AN$3,実績!$AC$6:$AC$505,"&lt;="&amp;$A245,実績!$AD$6:$AD$505,"&gt;"&amp;$A245,実績!$AE$6:$AE$505,"○")&gt;0,1,0))</f>
        <v/>
      </c>
      <c r="AO245">
        <f>IF(AO$4=0,0,IF(COUNTIFS(実績!$W$6:$W$505,AO$3,実績!$AC$6:$AC$505,"&lt;="&amp;$A245,実績!$AD$6:$AD$505,"&gt;"&amp;$A245,実績!$AE$6:$AE$505,"○")&gt;0,1,0))</f>
        <v/>
      </c>
      <c r="AP245">
        <f>IF(AP$4=0,0,IF(COUNTIFS(実績!$W$6:$W$505,AP$3,実績!$AC$6:$AC$505,"&lt;="&amp;$A245,実績!$AD$6:$AD$505,"&gt;"&amp;$A245,実績!$AE$6:$AE$505,"○")&gt;0,1,0))</f>
        <v/>
      </c>
      <c r="AQ245">
        <f>IF(AQ$4=0,0,IF(COUNTIFS(実績!$W$6:$W$505,AQ$3,実績!$AC$6:$AC$505,"&lt;="&amp;$A245,実績!$AD$6:$AD$505,"&gt;"&amp;$A245,実績!$AE$6:$AE$505,"○")&gt;0,1,0))</f>
        <v/>
      </c>
      <c r="AR245">
        <f>IF(AR$4=0,0,IF(COUNTIFS(実績!$W$6:$W$505,AR$3,実績!$AC$6:$AC$505,"&lt;="&amp;$A245,実績!$AD$6:$AD$505,"&gt;"&amp;$A245,実績!$AE$6:$AE$505,"○")&gt;0,1,0))</f>
        <v/>
      </c>
      <c r="AS245">
        <f>IF(AS$4=0,0,IF(COUNTIFS(実績!$W$6:$W$505,AS$3,実績!$AC$6:$AC$505,"&lt;="&amp;$A245,実績!$AD$6:$AD$505,"&gt;"&amp;$A245,実績!$AE$6:$AE$505,"○")&gt;0,1,0))</f>
        <v/>
      </c>
      <c r="AT245">
        <f>IF(AT$4=0,0,IF(COUNTIFS(実績!$W$6:$W$505,AT$3,実績!$AC$6:$AC$505,"&lt;="&amp;$A245,実績!$AD$6:$AD$505,"&gt;"&amp;$A245,実績!$AE$6:$AE$505,"○")&gt;0,1,0))</f>
        <v/>
      </c>
      <c r="AU245">
        <f>IF(AU$4=0,0,IF(COUNTIFS(実績!$W$6:$W$505,AU$3,実績!$AC$6:$AC$505,"&lt;="&amp;$A245,実績!$AD$6:$AD$505,"&gt;"&amp;$A245,実績!$AE$6:$AE$505,"○")&gt;0,1,0))</f>
        <v/>
      </c>
      <c r="AV245">
        <f>IF(AV$4=0,0,IF(COUNTIFS(実績!$W$6:$W$505,AV$3,実績!$AC$6:$AC$505,"&lt;="&amp;$A245,実績!$AD$6:$AD$505,"&gt;"&amp;$A245,実績!$AE$6:$AE$505,"○")&gt;0,1,0))</f>
        <v/>
      </c>
      <c r="AW245">
        <f>IF(AW$4=0,0,IF(COUNTIFS(実績!$W$6:$W$505,AW$3,実績!$AC$6:$AC$505,"&lt;="&amp;$A245,実績!$AD$6:$AD$505,"&gt;"&amp;$A245,実績!$AE$6:$AE$505,"○")&gt;0,1,0))</f>
        <v/>
      </c>
      <c r="AX245">
        <f>IF(AX$4=0,0,IF(COUNTIFS(実績!$W$6:$W$505,AX$3,実績!$AC$6:$AC$505,"&lt;="&amp;$A245,実績!$AD$6:$AD$505,"&gt;"&amp;$A245,実績!$AE$6:$AE$505,"○")&gt;0,1,0))</f>
        <v/>
      </c>
      <c r="AY245">
        <f>IF(AY$4=0,0,IF(COUNTIFS(実績!$W$6:$W$505,AY$3,実績!$AC$6:$AC$505,"&lt;="&amp;$A245,実績!$AD$6:$AD$505,"&gt;"&amp;$A245,実績!$AE$6:$AE$505,"○")&gt;0,1,0))</f>
        <v/>
      </c>
      <c r="AZ245">
        <f>IF(AZ$4=0,0,IF(COUNTIFS(実績!$W$6:$W$505,AZ$3,実績!$AC$6:$AC$505,"&lt;="&amp;$A245,実績!$AD$6:$AD$505,"&gt;"&amp;$A245,実績!$AE$6:$AE$505,"○")&gt;0,1,0))</f>
        <v/>
      </c>
      <c r="BA245">
        <f>IF(BA$4=0,0,IF(COUNTIFS(実績!$W$6:$W$505,BA$3,実績!$AC$6:$AC$505,"&lt;="&amp;$A245,実績!$AD$6:$AD$505,"&gt;"&amp;$A245,実績!$AE$6:$AE$505,"○")&gt;0,1,0))</f>
        <v/>
      </c>
      <c r="BB245">
        <f>IF(BB$4=0,0,IF(COUNTIFS(実績!$W$6:$W$505,BB$3,実績!$AC$6:$AC$505,"&lt;="&amp;$A245,実績!$AD$6:$AD$505,"&gt;"&amp;$A245,実績!$AE$6:$AE$505,"○")&gt;0,1,0))</f>
        <v/>
      </c>
      <c r="BC245">
        <f>IF(BC$4=0,0,IF(COUNTIFS(実績!$W$6:$W$505,BC$3,実績!$AC$6:$AC$505,"&lt;="&amp;$A245,実績!$AD$6:$AD$505,"&gt;"&amp;$A245,実績!$AE$6:$AE$505,"○")&gt;0,1,0))</f>
        <v/>
      </c>
      <c r="BD245">
        <f>IF(BD$4=0,0,IF(COUNTIFS(実績!$W$6:$W$505,BD$3,実績!$AC$6:$AC$505,"&lt;="&amp;$A245,実績!$AD$6:$AD$505,"&gt;"&amp;$A245,実績!$AE$6:$AE$505,"○")&gt;0,1,0))</f>
        <v/>
      </c>
      <c r="BE245">
        <f>IF(BE$4=0,0,IF(COUNTIFS(実績!$W$6:$W$505,BE$3,実績!$AC$6:$AC$505,"&lt;="&amp;$A245,実績!$AD$6:$AD$505,"&gt;"&amp;$A245,実績!$AE$6:$AE$505,"○")&gt;0,1,0))</f>
        <v/>
      </c>
      <c r="BF245">
        <f>IF(BF$4=0,0,IF(COUNTIFS(実績!$W$6:$W$505,BF$3,実績!$AC$6:$AC$505,"&lt;="&amp;$A245,実績!$AD$6:$AD$505,"&gt;"&amp;$A245,実績!$AE$6:$AE$505,"○")&gt;0,1,0))</f>
        <v/>
      </c>
      <c r="BG245">
        <f>IF(BG$4=0,0,IF(COUNTIFS(実績!$W$6:$W$505,BG$3,実績!$AC$6:$AC$505,"&lt;="&amp;$A245,実績!$AD$6:$AD$505,"&gt;"&amp;$A245,実績!$AE$6:$AE$505,"○")&gt;0,1,0))</f>
        <v/>
      </c>
      <c r="BH245">
        <f>IF(BH$4=0,0,IF(COUNTIFS(実績!$W$6:$W$505,BH$3,実績!$AC$6:$AC$505,"&lt;="&amp;$A245,実績!$AD$6:$AD$505,"&gt;"&amp;$A245,実績!$AE$6:$AE$505,"○")&gt;0,1,0))</f>
        <v/>
      </c>
      <c r="BI245">
        <f>IF(BI$4=0,0,IF(COUNTIFS(実績!$W$6:$W$505,BI$3,実績!$AC$6:$AC$505,"&lt;="&amp;$A245,実績!$AD$6:$AD$505,"&gt;"&amp;$A245,実績!$AE$6:$AE$505,"○")&gt;0,1,0))</f>
        <v/>
      </c>
      <c r="BJ245">
        <f>IF(BJ$4=0,0,IF(COUNTIFS(実績!$W$6:$W$505,BJ$3,実績!$AC$6:$AC$505,"&lt;="&amp;$A245,実績!$AD$6:$AD$505,"&gt;"&amp;$A245,実績!$AE$6:$AE$505,"○")&gt;0,1,0))</f>
        <v/>
      </c>
      <c r="BK245">
        <f>IF(BK$4=0,0,IF(COUNTIFS(実績!$W$6:$W$505,BK$3,実績!$AC$6:$AC$505,"&lt;="&amp;$A245,実績!$AD$6:$AD$505,"&gt;"&amp;$A245,実績!$AE$6:$AE$505,"○")&gt;0,1,0))</f>
        <v/>
      </c>
      <c r="BL245">
        <f>IF(BL$4=0,0,IF(COUNTIFS(実績!$W$6:$W$505,BL$3,実績!$AC$6:$AC$505,"&lt;="&amp;$A245,実績!$AD$6:$AD$505,"&gt;"&amp;$A245,実績!$AE$6:$AE$505,"○")&gt;0,1,0))</f>
        <v/>
      </c>
      <c r="BM245">
        <f>IF(BM$4=0,0,IF(COUNTIFS(実績!$W$6:$W$505,BM$3,実績!$AC$6:$AC$505,"&lt;="&amp;$A245,実績!$AD$6:$AD$505,"&gt;"&amp;$A245,実績!$AE$6:$AE$505,"○")&gt;0,1,0))</f>
        <v/>
      </c>
      <c r="BN245">
        <f>IF(BN$4=0,0,IF(COUNTIFS(実績!$W$6:$W$505,BN$3,実績!$AC$6:$AC$505,"&lt;="&amp;$A245,実績!$AD$6:$AD$505,"&gt;"&amp;$A245,実績!$AE$6:$AE$505,"○")&gt;0,1,0))</f>
        <v/>
      </c>
      <c r="BO245">
        <f>IF(BO$4=0,0,IF(COUNTIFS(実績!$W$6:$W$505,BO$3,実績!$AC$6:$AC$505,"&lt;="&amp;$A245,実績!$AD$6:$AD$505,"&gt;"&amp;$A245,実績!$AE$6:$AE$505,"○")&gt;0,1,0))</f>
        <v/>
      </c>
      <c r="BP245">
        <f>IF(BP$4=0,0,IF(COUNTIFS(実績!$W$6:$W$505,BP$3,実績!$AC$6:$AC$505,"&lt;="&amp;$A245,実績!$AD$6:$AD$505,"&gt;"&amp;$A245,実績!$AE$6:$AE$505,"○")&gt;0,1,0))</f>
        <v/>
      </c>
      <c r="BQ245">
        <f>IF(BQ$4=0,0,IF(COUNTIFS(実績!$W$6:$W$505,BQ$3,実績!$AC$6:$AC$505,"&lt;="&amp;$A245,実績!$AD$6:$AD$505,"&gt;"&amp;$A245,実績!$AE$6:$AE$505,"○")&gt;0,1,0))</f>
        <v/>
      </c>
      <c r="BR245">
        <f>IF(BR$4=0,0,IF(COUNTIFS(実績!$W$6:$W$505,BR$3,実績!$AC$6:$AC$505,"&lt;="&amp;$A245,実績!$AD$6:$AD$505,"&gt;"&amp;$A245,実績!$AE$6:$AE$505,"○")&gt;0,1,0))</f>
        <v/>
      </c>
      <c r="BS245">
        <f>IF(BS$4=0,0,IF(COUNTIFS(実績!$W$6:$W$505,BS$3,実績!$AC$6:$AC$505,"&lt;="&amp;$A245,実績!$AD$6:$AD$505,"&gt;"&amp;$A245,実績!$AE$6:$AE$505,"○")&gt;0,1,0))</f>
        <v/>
      </c>
      <c r="BT245">
        <f>IF(BT$4=0,0,IF(COUNTIFS(実績!$W$6:$W$505,BT$3,実績!$AC$6:$AC$505,"&lt;="&amp;$A245,実績!$AD$6:$AD$505,"&gt;"&amp;$A245,実績!$AE$6:$AE$505,"○")&gt;0,1,0))</f>
        <v/>
      </c>
      <c r="BU245">
        <f>IF(BU$4=0,0,IF(COUNTIFS(実績!$W$6:$W$505,BU$3,実績!$AC$6:$AC$505,"&lt;="&amp;$A245,実績!$AD$6:$AD$505,"&gt;"&amp;$A245,実績!$AE$6:$AE$505,"○")&gt;0,1,0))</f>
        <v/>
      </c>
      <c r="BV245">
        <f>IF(BV$4=0,0,IF(COUNTIFS(実績!$W$6:$W$505,BV$3,実績!$AC$6:$AC$505,"&lt;="&amp;$A245,実績!$AD$6:$AD$505,"&gt;"&amp;$A245,実績!$AE$6:$AE$505,"○")&gt;0,1,0))</f>
        <v/>
      </c>
      <c r="BW245">
        <f>IF(BW$4=0,0,IF(COUNTIFS(実績!$W$6:$W$505,BW$3,実績!$AC$6:$AC$505,"&lt;="&amp;$A245,実績!$AD$6:$AD$505,"&gt;"&amp;$A245,実績!$AE$6:$AE$505,"○")&gt;0,1,0))</f>
        <v/>
      </c>
      <c r="BX245">
        <f>IF(BX$4=0,0,IF(COUNTIFS(実績!$W$6:$W$505,BX$3,実績!$AC$6:$AC$505,"&lt;="&amp;$A245,実績!$AD$6:$AD$505,"&gt;"&amp;$A245,実績!$AE$6:$AE$505,"○")&gt;0,1,0))</f>
        <v/>
      </c>
      <c r="BY245">
        <f>IF(BY$4=0,0,IF(COUNTIFS(実績!$W$6:$W$505,BY$3,実績!$AC$6:$AC$505,"&lt;="&amp;$A245,実績!$AD$6:$AD$505,"&gt;"&amp;$A245,実績!$AE$6:$AE$505,"○")&gt;0,1,0))</f>
        <v/>
      </c>
      <c r="BZ245">
        <f>IF(BZ$4=0,0,IF(COUNTIFS(実績!$W$6:$W$505,BZ$3,実績!$AC$6:$AC$505,"&lt;="&amp;$A245,実績!$AD$6:$AD$505,"&gt;"&amp;$A245,実績!$AE$6:$AE$505,"○")&gt;0,1,0))</f>
        <v/>
      </c>
      <c r="CA245">
        <f>IF(CA$4=0,0,IF(COUNTIFS(実績!$W$6:$W$505,CA$3,実績!$AC$6:$AC$505,"&lt;="&amp;$A245,実績!$AD$6:$AD$505,"&gt;"&amp;$A245,実績!$AE$6:$AE$505,"○")&gt;0,1,0))</f>
        <v/>
      </c>
      <c r="CB245">
        <f>IF(CB$4=0,0,IF(COUNTIFS(実績!$W$6:$W$505,CB$3,実績!$AC$6:$AC$505,"&lt;="&amp;$A245,実績!$AD$6:$AD$505,"&gt;"&amp;$A245,実績!$AE$6:$AE$505,"○")&gt;0,1,0))</f>
        <v/>
      </c>
      <c r="CC245">
        <f>IF(CC$4=0,0,IF(COUNTIFS(実績!$W$6:$W$505,CC$3,実績!$AC$6:$AC$505,"&lt;="&amp;$A245,実績!$AD$6:$AD$505,"&gt;"&amp;$A245,実績!$AE$6:$AE$505,"○")&gt;0,1,0))</f>
        <v/>
      </c>
      <c r="CD245">
        <f>IF(CD$4=0,0,IF(COUNTIFS(実績!$W$6:$W$505,CD$3,実績!$AC$6:$AC$505,"&lt;="&amp;$A245,実績!$AD$6:$AD$505,"&gt;"&amp;$A245,実績!$AE$6:$AE$505,"○")&gt;0,1,0))</f>
        <v/>
      </c>
      <c r="CE245">
        <f>IF(CE$4=0,0,IF(COUNTIFS(実績!$W$6:$W$505,CE$3,実績!$AC$6:$AC$505,"&lt;="&amp;$A245,実績!$AD$6:$AD$505,"&gt;"&amp;$A245,実績!$AE$6:$AE$505,"○")&gt;0,1,0))</f>
        <v/>
      </c>
      <c r="CF245">
        <f>IF(CF$4=0,0,IF(COUNTIFS(実績!$W$6:$W$505,CF$3,実績!$AC$6:$AC$505,"&lt;="&amp;$A245,実績!$AD$6:$AD$505,"&gt;"&amp;$A245,実績!$AE$6:$AE$505,"○")&gt;0,1,0))</f>
        <v/>
      </c>
      <c r="CG245">
        <f>IF(CG$4=0,0,IF(COUNTIFS(実績!$W$6:$W$505,CG$3,実績!$AC$6:$AC$505,"&lt;="&amp;$A245,実績!$AD$6:$AD$505,"&gt;"&amp;$A245,実績!$AE$6:$AE$505,"○")&gt;0,1,0))</f>
        <v/>
      </c>
      <c r="CH245">
        <f>IF(CH$4=0,0,IF(COUNTIFS(実績!$W$6:$W$505,CH$3,実績!$AC$6:$AC$505,"&lt;="&amp;$A245,実績!$AD$6:$AD$505,"&gt;"&amp;$A245,実績!$AE$6:$AE$505,"○")&gt;0,1,0))</f>
        <v/>
      </c>
      <c r="CI245">
        <f>IF(CI$4=0,0,IF(COUNTIFS(実績!$W$6:$W$505,CI$3,実績!$AC$6:$AC$505,"&lt;="&amp;$A245,実績!$AD$6:$AD$505,"&gt;"&amp;$A245,実績!$AE$6:$AE$505,"○")&gt;0,1,0))</f>
        <v/>
      </c>
      <c r="CJ245">
        <f>IF(CJ$4=0,0,IF(COUNTIFS(実績!$W$6:$W$505,CJ$3,実績!$AC$6:$AC$505,"&lt;="&amp;$A245,実績!$AD$6:$AD$505,"&gt;"&amp;$A245,実績!$AE$6:$AE$505,"○")&gt;0,1,0))</f>
        <v/>
      </c>
      <c r="CK245">
        <f>IF(CK$4=0,0,IF(COUNTIFS(実績!$W$6:$W$505,CK$3,実績!$AC$6:$AC$505,"&lt;="&amp;$A245,実績!$AD$6:$AD$505,"&gt;"&amp;$A245,実績!$AE$6:$AE$505,"○")&gt;0,1,0))</f>
        <v/>
      </c>
      <c r="CL245">
        <f>IF(CL$4=0,0,IF(COUNTIFS(実績!$W$6:$W$505,CL$3,実績!$AC$6:$AC$505,"&lt;="&amp;$A245,実績!$AD$6:$AD$505,"&gt;"&amp;$A245,実績!$AE$6:$AE$505,"○")&gt;0,1,0))</f>
        <v/>
      </c>
      <c r="CM245">
        <f>IF(CM$4=0,0,IF(COUNTIFS(実績!$W$6:$W$505,CM$3,実績!$AC$6:$AC$505,"&lt;="&amp;$A245,実績!$AD$6:$AD$505,"&gt;"&amp;$A245,実績!$AE$6:$AE$505,"○")&gt;0,1,0))</f>
        <v/>
      </c>
      <c r="CN245">
        <f>IF(CN$4=0,0,IF(COUNTIFS(実績!$W$6:$W$505,CN$3,実績!$AC$6:$AC$505,"&lt;="&amp;$A245,実績!$AD$6:$AD$505,"&gt;"&amp;$A245,実績!$AE$6:$AE$505,"○")&gt;0,1,0))</f>
        <v/>
      </c>
      <c r="CO245">
        <f>IF(CO$4=0,0,IF(COUNTIFS(実績!$W$6:$W$505,CO$3,実績!$AC$6:$AC$505,"&lt;="&amp;$A245,実績!$AD$6:$AD$505,"&gt;"&amp;$A245,実績!$AE$6:$AE$505,"○")&gt;0,1,0))</f>
        <v/>
      </c>
      <c r="CP245">
        <f>IF(CP$4=0,0,IF(COUNTIFS(実績!$W$6:$W$505,CP$3,実績!$AC$6:$AC$505,"&lt;="&amp;$A245,実績!$AD$6:$AD$505,"&gt;"&amp;$A245,実績!$AE$6:$AE$505,"○")&gt;0,1,0))</f>
        <v/>
      </c>
      <c r="CQ245">
        <f>IF(CQ$4=0,0,IF(COUNTIFS(実績!$W$6:$W$505,CQ$3,実績!$AC$6:$AC$505,"&lt;="&amp;$A245,実績!$AD$6:$AD$505,"&gt;"&amp;$A245,実績!$AE$6:$AE$505,"○")&gt;0,1,0))</f>
        <v/>
      </c>
      <c r="CR245">
        <f>IF(CR$4=0,0,IF(COUNTIFS(実績!$W$6:$W$505,CR$3,実績!$AC$6:$AC$505,"&lt;="&amp;$A245,実績!$AD$6:$AD$505,"&gt;"&amp;$A245,実績!$AE$6:$AE$505,"○")&gt;0,1,0))</f>
        <v/>
      </c>
      <c r="CS245">
        <f>IF(CS$4=0,0,IF(COUNTIFS(実績!$W$6:$W$505,CS$3,実績!$AC$6:$AC$505,"&lt;="&amp;$A245,実績!$AD$6:$AD$505,"&gt;"&amp;$A245,実績!$AE$6:$AE$505,"○")&gt;0,1,0))</f>
        <v/>
      </c>
      <c r="CT245">
        <f>IF(CT$4=0,0,IF(COUNTIFS(実績!$W$6:$W$505,CT$3,実績!$AC$6:$AC$505,"&lt;="&amp;$A245,実績!$AD$6:$AD$505,"&gt;"&amp;$A245,実績!$AE$6:$AE$505,"○")&gt;0,1,0))</f>
        <v/>
      </c>
      <c r="CU245">
        <f>IF(CU$4=0,0,IF(COUNTIFS(実績!$W$6:$W$505,CU$3,実績!$AC$6:$AC$505,"&lt;="&amp;$A245,実績!$AD$6:$AD$505,"&gt;"&amp;$A245,実績!$AE$6:$AE$505,"○")&gt;0,1,0))</f>
        <v/>
      </c>
      <c r="CV245">
        <f>IF(CV$4=0,0,IF(COUNTIFS(実績!$W$6:$W$505,CV$3,実績!$AC$6:$AC$505,"&lt;="&amp;$A245,実績!$AD$6:$AD$505,"&gt;"&amp;$A245,実績!$AE$6:$AE$505,"○")&gt;0,1,0))</f>
        <v/>
      </c>
      <c r="CW245">
        <f>IF(CW$4=0,0,IF(COUNTIFS(実績!$W$6:$W$505,CW$3,実績!$AC$6:$AC$505,"&lt;="&amp;$A245,実績!$AD$6:$AD$505,"&gt;"&amp;$A245,実績!$AE$6:$AE$505,"○")&gt;0,1,0))</f>
        <v/>
      </c>
      <c r="CX245">
        <f>IF(CX$4=0,0,IF(COUNTIFS(実績!$W$6:$W$505,CX$3,実績!$AC$6:$AC$505,"&lt;="&amp;$A245,実績!$AD$6:$AD$505,"&gt;"&amp;$A245,実績!$AE$6:$AE$505,"○")&gt;0,1,0))</f>
        <v/>
      </c>
      <c r="CY245">
        <f>IF(CY$4=0,0,IF(COUNTIFS(実績!$W$6:$W$505,CY$3,実績!$AC$6:$AC$505,"&lt;="&amp;$A245,実績!$AD$6:$AD$505,"&gt;"&amp;$A245,実績!$AE$6:$AE$505,"○")&gt;0,1,0))</f>
        <v/>
      </c>
      <c r="CZ245">
        <f>IF(CZ$4=0,0,IF(COUNTIFS(実績!$W$6:$W$505,CZ$3,実績!$AC$6:$AC$505,"&lt;="&amp;$A245,実績!$AD$6:$AD$505,"&gt;"&amp;$A245,実績!$AE$6:$AE$505,"○")&gt;0,1,0))</f>
        <v/>
      </c>
      <c r="DA245">
        <f>IF(DA$4=0,0,IF(COUNTIFS(実績!$W$6:$W$505,DA$3,実績!$AC$6:$AC$505,"&lt;="&amp;$A245,実績!$AD$6:$AD$505,"&gt;"&amp;$A245,実績!$AE$6:$AE$505,"○")&gt;0,1,0))</f>
        <v/>
      </c>
      <c r="DB245">
        <f>IF(DB$4=0,0,IF(COUNTIFS(実績!$W$6:$W$505,DB$3,実績!$AC$6:$AC$505,"&lt;="&amp;$A245,実績!$AD$6:$AD$505,"&gt;"&amp;$A245,実績!$AE$6:$AE$505,"○")&gt;0,1,0))</f>
        <v/>
      </c>
      <c r="DC245">
        <f>IF(DC$4=0,0,IF(COUNTIFS(実績!$W$6:$W$505,DC$3,実績!$AC$6:$AC$505,"&lt;="&amp;$A245,実績!$AD$6:$AD$505,"&gt;"&amp;$A245,実績!$AE$6:$AE$505,"○")&gt;0,1,0))</f>
        <v/>
      </c>
      <c r="DD245">
        <f>IF(DD$4=0,0,IF(COUNTIFS(実績!$W$6:$W$505,DD$3,実績!$AC$6:$AC$505,"&lt;="&amp;$A245,実績!$AD$6:$AD$505,"&gt;"&amp;$A245,実績!$AE$6:$AE$505,"○")&gt;0,1,0))</f>
        <v/>
      </c>
      <c r="DE245">
        <f>IF(DE$4=0,0,IF(COUNTIFS(実績!$W$6:$W$505,DE$3,実績!$AC$6:$AC$505,"&lt;="&amp;$A245,実績!$AD$6:$AD$505,"&gt;"&amp;$A245,実績!$AE$6:$AE$505,"○")&gt;0,1,0))</f>
        <v/>
      </c>
      <c r="DF245">
        <f>IF(DF$4=0,0,IF(COUNTIFS(実績!$W$6:$W$505,DF$3,実績!$AC$6:$AC$505,"&lt;="&amp;$A245,実績!$AD$6:$AD$505,"&gt;"&amp;$A245,実績!$AE$6:$AE$505,"○")&gt;0,1,0))</f>
        <v/>
      </c>
      <c r="DG245">
        <f>IF(DG$4=0,0,IF(COUNTIFS(実績!$W$6:$W$505,DG$3,実績!$AC$6:$AC$505,"&lt;="&amp;$A245,実績!$AD$6:$AD$505,"&gt;"&amp;$A245,実績!$AE$6:$AE$505,"○")&gt;0,1,0))</f>
        <v/>
      </c>
      <c r="DH245">
        <f>IF(DH$4=0,0,IF(COUNTIFS(実績!$W$6:$W$505,DH$3,実績!$AC$6:$AC$505,"&lt;="&amp;$A245,実績!$AD$6:$AD$505,"&gt;"&amp;$A245,実績!$AE$6:$AE$505,"○")&gt;0,1,0))</f>
        <v/>
      </c>
      <c r="DI245">
        <f>IF(DI$4=0,0,IF(COUNTIFS(実績!$W$6:$W$505,DI$3,実績!$AC$6:$AC$505,"&lt;="&amp;$A245,実績!$AD$6:$AD$505,"&gt;"&amp;$A245,実績!$AE$6:$AE$505,"○")&gt;0,1,0))</f>
        <v/>
      </c>
      <c r="DJ245">
        <f>IF(DJ$4=0,0,IF(COUNTIFS(実績!$W$6:$W$505,DJ$3,実績!$AC$6:$AC$505,"&lt;="&amp;$A245,実績!$AD$6:$AD$505,"&gt;"&amp;$A245,実績!$AE$6:$AE$505,"○")&gt;0,1,0))</f>
        <v/>
      </c>
      <c r="DK245">
        <f>IF(DK$4=0,0,IF(COUNTIFS(実績!$W$6:$W$505,DK$3,実績!$AC$6:$AC$505,"&lt;="&amp;$A245,実績!$AD$6:$AD$505,"&gt;"&amp;$A245,実績!$AE$6:$AE$505,"○")&gt;0,1,0))</f>
        <v/>
      </c>
      <c r="DL245">
        <f>IF(DL$4=0,0,IF(COUNTIFS(実績!$W$6:$W$505,DL$3,実績!$AC$6:$AC$505,"&lt;="&amp;$A245,実績!$AD$6:$AD$505,"&gt;"&amp;$A245,実績!$AE$6:$AE$505,"○")&gt;0,1,0))</f>
        <v/>
      </c>
      <c r="DM245">
        <f>IF(DM$4=0,0,IF(COUNTIFS(実績!$W$6:$W$505,DM$3,実績!$AC$6:$AC$505,"&lt;="&amp;$A245,実績!$AD$6:$AD$505,"&gt;"&amp;$A245,実績!$AE$6:$AE$505,"○")&gt;0,1,0))</f>
        <v/>
      </c>
      <c r="DN245">
        <f>IF(DN$4=0,0,IF(COUNTIFS(実績!$W$6:$W$505,DN$3,実績!$AC$6:$AC$505,"&lt;="&amp;$A245,実績!$AD$6:$AD$505,"&gt;"&amp;$A245,実績!$AE$6:$AE$505,"○")&gt;0,1,0))</f>
        <v/>
      </c>
      <c r="DO245">
        <f>IF(DO$4=0,0,IF(COUNTIFS(実績!$W$6:$W$505,DO$3,実績!$AC$6:$AC$505,"&lt;="&amp;$A245,実績!$AD$6:$AD$505,"&gt;"&amp;$A245,実績!$AE$6:$AE$505,"○")&gt;0,1,0))</f>
        <v/>
      </c>
      <c r="DP245">
        <f>IF(DP$4=0,0,IF(COUNTIFS(実績!$W$6:$W$505,DP$3,実績!$AC$6:$AC$505,"&lt;="&amp;$A245,実績!$AD$6:$AD$505,"&gt;"&amp;$A245,実績!$AE$6:$AE$505,"○")&gt;0,1,0))</f>
        <v/>
      </c>
      <c r="DQ245">
        <f>IF(DQ$4=0,0,IF(COUNTIFS(実績!$W$6:$W$505,DQ$3,実績!$AC$6:$AC$505,"&lt;="&amp;$A245,実績!$AD$6:$AD$505,"&gt;"&amp;$A245,実績!$AE$6:$AE$505,"○")&gt;0,1,0))</f>
        <v/>
      </c>
      <c r="DR245">
        <f>IF(DR$4=0,0,IF(COUNTIFS(実績!$W$6:$W$505,DR$3,実績!$AC$6:$AC$505,"&lt;="&amp;$A245,実績!$AD$6:$AD$505,"&gt;"&amp;$A245,実績!$AE$6:$AE$505,"○")&gt;0,1,0))</f>
        <v/>
      </c>
      <c r="DS245">
        <f>SUM(C245:DR245)</f>
        <v/>
      </c>
      <c r="DT245">
        <f>SUMPRODUCT((実績!$C$6:$C$505="○")*ISNUMBER(実績!$AF$6:$AF$505)*(実績!$AF$6:$AF$505&lt;=$A245)*(実績!$AG$6:$AG$505&gt;$A245))</f>
        <v/>
      </c>
      <c r="DU245">
        <f>SUMIF($C$2:$DR$2,"製鉄曳船",C245:DR245)</f>
        <v/>
      </c>
      <c r="DV245">
        <f>SUMIF($C$2:$DR$2,"西日本海運",C245:DR245)</f>
        <v/>
      </c>
    </row>
    <row r="246">
      <c r="A246" t="n">
        <v>1200</v>
      </c>
      <c r="B246" s="29">
        <f>A246/1440</f>
        <v/>
      </c>
      <c r="C246">
        <f>IF(C$4=0,0,IF(COUNTIFS(実績!$W$6:$W$505,C$3,実績!$AC$6:$AC$505,"&lt;="&amp;$A246,実績!$AD$6:$AD$505,"&gt;"&amp;$A246,実績!$AE$6:$AE$505,"○")&gt;0,1,0))</f>
        <v/>
      </c>
      <c r="D246">
        <f>IF(D$4=0,0,IF(COUNTIFS(実績!$W$6:$W$505,D$3,実績!$AC$6:$AC$505,"&lt;="&amp;$A246,実績!$AD$6:$AD$505,"&gt;"&amp;$A246,実績!$AE$6:$AE$505,"○")&gt;0,1,0))</f>
        <v/>
      </c>
      <c r="E246">
        <f>IF(E$4=0,0,IF(COUNTIFS(実績!$W$6:$W$505,E$3,実績!$AC$6:$AC$505,"&lt;="&amp;$A246,実績!$AD$6:$AD$505,"&gt;"&amp;$A246,実績!$AE$6:$AE$505,"○")&gt;0,1,0))</f>
        <v/>
      </c>
      <c r="F246">
        <f>IF(F$4=0,0,IF(COUNTIFS(実績!$W$6:$W$505,F$3,実績!$AC$6:$AC$505,"&lt;="&amp;$A246,実績!$AD$6:$AD$505,"&gt;"&amp;$A246,実績!$AE$6:$AE$505,"○")&gt;0,1,0))</f>
        <v/>
      </c>
      <c r="G246">
        <f>IF(G$4=0,0,IF(COUNTIFS(実績!$W$6:$W$505,G$3,実績!$AC$6:$AC$505,"&lt;="&amp;$A246,実績!$AD$6:$AD$505,"&gt;"&amp;$A246,実績!$AE$6:$AE$505,"○")&gt;0,1,0))</f>
        <v/>
      </c>
      <c r="H246">
        <f>IF(H$4=0,0,IF(COUNTIFS(実績!$W$6:$W$505,H$3,実績!$AC$6:$AC$505,"&lt;="&amp;$A246,実績!$AD$6:$AD$505,"&gt;"&amp;$A246,実績!$AE$6:$AE$505,"○")&gt;0,1,0))</f>
        <v/>
      </c>
      <c r="I246">
        <f>IF(I$4=0,0,IF(COUNTIFS(実績!$W$6:$W$505,I$3,実績!$AC$6:$AC$505,"&lt;="&amp;$A246,実績!$AD$6:$AD$505,"&gt;"&amp;$A246,実績!$AE$6:$AE$505,"○")&gt;0,1,0))</f>
        <v/>
      </c>
      <c r="J246">
        <f>IF(J$4=0,0,IF(COUNTIFS(実績!$W$6:$W$505,J$3,実績!$AC$6:$AC$505,"&lt;="&amp;$A246,実績!$AD$6:$AD$505,"&gt;"&amp;$A246,実績!$AE$6:$AE$505,"○")&gt;0,1,0))</f>
        <v/>
      </c>
      <c r="K246">
        <f>IF(K$4=0,0,IF(COUNTIFS(実績!$W$6:$W$505,K$3,実績!$AC$6:$AC$505,"&lt;="&amp;$A246,実績!$AD$6:$AD$505,"&gt;"&amp;$A246,実績!$AE$6:$AE$505,"○")&gt;0,1,0))</f>
        <v/>
      </c>
      <c r="L246">
        <f>IF(L$4=0,0,IF(COUNTIFS(実績!$W$6:$W$505,L$3,実績!$AC$6:$AC$505,"&lt;="&amp;$A246,実績!$AD$6:$AD$505,"&gt;"&amp;$A246,実績!$AE$6:$AE$505,"○")&gt;0,1,0))</f>
        <v/>
      </c>
      <c r="M246">
        <f>IF(M$4=0,0,IF(COUNTIFS(実績!$W$6:$W$505,M$3,実績!$AC$6:$AC$505,"&lt;="&amp;$A246,実績!$AD$6:$AD$505,"&gt;"&amp;$A246,実績!$AE$6:$AE$505,"○")&gt;0,1,0))</f>
        <v/>
      </c>
      <c r="N246">
        <f>IF(N$4=0,0,IF(COUNTIFS(実績!$W$6:$W$505,N$3,実績!$AC$6:$AC$505,"&lt;="&amp;$A246,実績!$AD$6:$AD$505,"&gt;"&amp;$A246,実績!$AE$6:$AE$505,"○")&gt;0,1,0))</f>
        <v/>
      </c>
      <c r="O246">
        <f>IF(O$4=0,0,IF(COUNTIFS(実績!$W$6:$W$505,O$3,実績!$AC$6:$AC$505,"&lt;="&amp;$A246,実績!$AD$6:$AD$505,"&gt;"&amp;$A246,実績!$AE$6:$AE$505,"○")&gt;0,1,0))</f>
        <v/>
      </c>
      <c r="P246">
        <f>IF(P$4=0,0,IF(COUNTIFS(実績!$W$6:$W$505,P$3,実績!$AC$6:$AC$505,"&lt;="&amp;$A246,実績!$AD$6:$AD$505,"&gt;"&amp;$A246,実績!$AE$6:$AE$505,"○")&gt;0,1,0))</f>
        <v/>
      </c>
      <c r="Q246">
        <f>IF(Q$4=0,0,IF(COUNTIFS(実績!$W$6:$W$505,Q$3,実績!$AC$6:$AC$505,"&lt;="&amp;$A246,実績!$AD$6:$AD$505,"&gt;"&amp;$A246,実績!$AE$6:$AE$505,"○")&gt;0,1,0))</f>
        <v/>
      </c>
      <c r="R246">
        <f>IF(R$4=0,0,IF(COUNTIFS(実績!$W$6:$W$505,R$3,実績!$AC$6:$AC$505,"&lt;="&amp;$A246,実績!$AD$6:$AD$505,"&gt;"&amp;$A246,実績!$AE$6:$AE$505,"○")&gt;0,1,0))</f>
        <v/>
      </c>
      <c r="S246">
        <f>IF(S$4=0,0,IF(COUNTIFS(実績!$W$6:$W$505,S$3,実績!$AC$6:$AC$505,"&lt;="&amp;$A246,実績!$AD$6:$AD$505,"&gt;"&amp;$A246,実績!$AE$6:$AE$505,"○")&gt;0,1,0))</f>
        <v/>
      </c>
      <c r="T246">
        <f>IF(T$4=0,0,IF(COUNTIFS(実績!$W$6:$W$505,T$3,実績!$AC$6:$AC$505,"&lt;="&amp;$A246,実績!$AD$6:$AD$505,"&gt;"&amp;$A246,実績!$AE$6:$AE$505,"○")&gt;0,1,0))</f>
        <v/>
      </c>
      <c r="U246">
        <f>IF(U$4=0,0,IF(COUNTIFS(実績!$W$6:$W$505,U$3,実績!$AC$6:$AC$505,"&lt;="&amp;$A246,実績!$AD$6:$AD$505,"&gt;"&amp;$A246,実績!$AE$6:$AE$505,"○")&gt;0,1,0))</f>
        <v/>
      </c>
      <c r="V246">
        <f>IF(V$4=0,0,IF(COUNTIFS(実績!$W$6:$W$505,V$3,実績!$AC$6:$AC$505,"&lt;="&amp;$A246,実績!$AD$6:$AD$505,"&gt;"&amp;$A246,実績!$AE$6:$AE$505,"○")&gt;0,1,0))</f>
        <v/>
      </c>
      <c r="W246">
        <f>IF(W$4=0,0,IF(COUNTIFS(実績!$W$6:$W$505,W$3,実績!$AC$6:$AC$505,"&lt;="&amp;$A246,実績!$AD$6:$AD$505,"&gt;"&amp;$A246,実績!$AE$6:$AE$505,"○")&gt;0,1,0))</f>
        <v/>
      </c>
      <c r="X246">
        <f>IF(X$4=0,0,IF(COUNTIFS(実績!$W$6:$W$505,X$3,実績!$AC$6:$AC$505,"&lt;="&amp;$A246,実績!$AD$6:$AD$505,"&gt;"&amp;$A246,実績!$AE$6:$AE$505,"○")&gt;0,1,0))</f>
        <v/>
      </c>
      <c r="Y246">
        <f>IF(Y$4=0,0,IF(COUNTIFS(実績!$W$6:$W$505,Y$3,実績!$AC$6:$AC$505,"&lt;="&amp;$A246,実績!$AD$6:$AD$505,"&gt;"&amp;$A246,実績!$AE$6:$AE$505,"○")&gt;0,1,0))</f>
        <v/>
      </c>
      <c r="Z246">
        <f>IF(Z$4=0,0,IF(COUNTIFS(実績!$W$6:$W$505,Z$3,実績!$AC$6:$AC$505,"&lt;="&amp;$A246,実績!$AD$6:$AD$505,"&gt;"&amp;$A246,実績!$AE$6:$AE$505,"○")&gt;0,1,0))</f>
        <v/>
      </c>
      <c r="AA246">
        <f>IF(AA$4=0,0,IF(COUNTIFS(実績!$W$6:$W$505,AA$3,実績!$AC$6:$AC$505,"&lt;="&amp;$A246,実績!$AD$6:$AD$505,"&gt;"&amp;$A246,実績!$AE$6:$AE$505,"○")&gt;0,1,0))</f>
        <v/>
      </c>
      <c r="AB246">
        <f>IF(AB$4=0,0,IF(COUNTIFS(実績!$W$6:$W$505,AB$3,実績!$AC$6:$AC$505,"&lt;="&amp;$A246,実績!$AD$6:$AD$505,"&gt;"&amp;$A246,実績!$AE$6:$AE$505,"○")&gt;0,1,0))</f>
        <v/>
      </c>
      <c r="AC246">
        <f>IF(AC$4=0,0,IF(COUNTIFS(実績!$W$6:$W$505,AC$3,実績!$AC$6:$AC$505,"&lt;="&amp;$A246,実績!$AD$6:$AD$505,"&gt;"&amp;$A246,実績!$AE$6:$AE$505,"○")&gt;0,1,0))</f>
        <v/>
      </c>
      <c r="AD246">
        <f>IF(AD$4=0,0,IF(COUNTIFS(実績!$W$6:$W$505,AD$3,実績!$AC$6:$AC$505,"&lt;="&amp;$A246,実績!$AD$6:$AD$505,"&gt;"&amp;$A246,実績!$AE$6:$AE$505,"○")&gt;0,1,0))</f>
        <v/>
      </c>
      <c r="AE246">
        <f>IF(AE$4=0,0,IF(COUNTIFS(実績!$W$6:$W$505,AE$3,実績!$AC$6:$AC$505,"&lt;="&amp;$A246,実績!$AD$6:$AD$505,"&gt;"&amp;$A246,実績!$AE$6:$AE$505,"○")&gt;0,1,0))</f>
        <v/>
      </c>
      <c r="AF246">
        <f>IF(AF$4=0,0,IF(COUNTIFS(実績!$W$6:$W$505,AF$3,実績!$AC$6:$AC$505,"&lt;="&amp;$A246,実績!$AD$6:$AD$505,"&gt;"&amp;$A246,実績!$AE$6:$AE$505,"○")&gt;0,1,0))</f>
        <v/>
      </c>
      <c r="AG246">
        <f>IF(AG$4=0,0,IF(COUNTIFS(実績!$W$6:$W$505,AG$3,実績!$AC$6:$AC$505,"&lt;="&amp;$A246,実績!$AD$6:$AD$505,"&gt;"&amp;$A246,実績!$AE$6:$AE$505,"○")&gt;0,1,0))</f>
        <v/>
      </c>
      <c r="AH246">
        <f>IF(AH$4=0,0,IF(COUNTIFS(実績!$W$6:$W$505,AH$3,実績!$AC$6:$AC$505,"&lt;="&amp;$A246,実績!$AD$6:$AD$505,"&gt;"&amp;$A246,実績!$AE$6:$AE$505,"○")&gt;0,1,0))</f>
        <v/>
      </c>
      <c r="AI246">
        <f>IF(AI$4=0,0,IF(COUNTIFS(実績!$W$6:$W$505,AI$3,実績!$AC$6:$AC$505,"&lt;="&amp;$A246,実績!$AD$6:$AD$505,"&gt;"&amp;$A246,実績!$AE$6:$AE$505,"○")&gt;0,1,0))</f>
        <v/>
      </c>
      <c r="AJ246">
        <f>IF(AJ$4=0,0,IF(COUNTIFS(実績!$W$6:$W$505,AJ$3,実績!$AC$6:$AC$505,"&lt;="&amp;$A246,実績!$AD$6:$AD$505,"&gt;"&amp;$A246,実績!$AE$6:$AE$505,"○")&gt;0,1,0))</f>
        <v/>
      </c>
      <c r="AK246">
        <f>IF(AK$4=0,0,IF(COUNTIFS(実績!$W$6:$W$505,AK$3,実績!$AC$6:$AC$505,"&lt;="&amp;$A246,実績!$AD$6:$AD$505,"&gt;"&amp;$A246,実績!$AE$6:$AE$505,"○")&gt;0,1,0))</f>
        <v/>
      </c>
      <c r="AL246">
        <f>IF(AL$4=0,0,IF(COUNTIFS(実績!$W$6:$W$505,AL$3,実績!$AC$6:$AC$505,"&lt;="&amp;$A246,実績!$AD$6:$AD$505,"&gt;"&amp;$A246,実績!$AE$6:$AE$505,"○")&gt;0,1,0))</f>
        <v/>
      </c>
      <c r="AM246">
        <f>IF(AM$4=0,0,IF(COUNTIFS(実績!$W$6:$W$505,AM$3,実績!$AC$6:$AC$505,"&lt;="&amp;$A246,実績!$AD$6:$AD$505,"&gt;"&amp;$A246,実績!$AE$6:$AE$505,"○")&gt;0,1,0))</f>
        <v/>
      </c>
      <c r="AN246">
        <f>IF(AN$4=0,0,IF(COUNTIFS(実績!$W$6:$W$505,AN$3,実績!$AC$6:$AC$505,"&lt;="&amp;$A246,実績!$AD$6:$AD$505,"&gt;"&amp;$A246,実績!$AE$6:$AE$505,"○")&gt;0,1,0))</f>
        <v/>
      </c>
      <c r="AO246">
        <f>IF(AO$4=0,0,IF(COUNTIFS(実績!$W$6:$W$505,AO$3,実績!$AC$6:$AC$505,"&lt;="&amp;$A246,実績!$AD$6:$AD$505,"&gt;"&amp;$A246,実績!$AE$6:$AE$505,"○")&gt;0,1,0))</f>
        <v/>
      </c>
      <c r="AP246">
        <f>IF(AP$4=0,0,IF(COUNTIFS(実績!$W$6:$W$505,AP$3,実績!$AC$6:$AC$505,"&lt;="&amp;$A246,実績!$AD$6:$AD$505,"&gt;"&amp;$A246,実績!$AE$6:$AE$505,"○")&gt;0,1,0))</f>
        <v/>
      </c>
      <c r="AQ246">
        <f>IF(AQ$4=0,0,IF(COUNTIFS(実績!$W$6:$W$505,AQ$3,実績!$AC$6:$AC$505,"&lt;="&amp;$A246,実績!$AD$6:$AD$505,"&gt;"&amp;$A246,実績!$AE$6:$AE$505,"○")&gt;0,1,0))</f>
        <v/>
      </c>
      <c r="AR246">
        <f>IF(AR$4=0,0,IF(COUNTIFS(実績!$W$6:$W$505,AR$3,実績!$AC$6:$AC$505,"&lt;="&amp;$A246,実績!$AD$6:$AD$505,"&gt;"&amp;$A246,実績!$AE$6:$AE$505,"○")&gt;0,1,0))</f>
        <v/>
      </c>
      <c r="AS246">
        <f>IF(AS$4=0,0,IF(COUNTIFS(実績!$W$6:$W$505,AS$3,実績!$AC$6:$AC$505,"&lt;="&amp;$A246,実績!$AD$6:$AD$505,"&gt;"&amp;$A246,実績!$AE$6:$AE$505,"○")&gt;0,1,0))</f>
        <v/>
      </c>
      <c r="AT246">
        <f>IF(AT$4=0,0,IF(COUNTIFS(実績!$W$6:$W$505,AT$3,実績!$AC$6:$AC$505,"&lt;="&amp;$A246,実績!$AD$6:$AD$505,"&gt;"&amp;$A246,実績!$AE$6:$AE$505,"○")&gt;0,1,0))</f>
        <v/>
      </c>
      <c r="AU246">
        <f>IF(AU$4=0,0,IF(COUNTIFS(実績!$W$6:$W$505,AU$3,実績!$AC$6:$AC$505,"&lt;="&amp;$A246,実績!$AD$6:$AD$505,"&gt;"&amp;$A246,実績!$AE$6:$AE$505,"○")&gt;0,1,0))</f>
        <v/>
      </c>
      <c r="AV246">
        <f>IF(AV$4=0,0,IF(COUNTIFS(実績!$W$6:$W$505,AV$3,実績!$AC$6:$AC$505,"&lt;="&amp;$A246,実績!$AD$6:$AD$505,"&gt;"&amp;$A246,実績!$AE$6:$AE$505,"○")&gt;0,1,0))</f>
        <v/>
      </c>
      <c r="AW246">
        <f>IF(AW$4=0,0,IF(COUNTIFS(実績!$W$6:$W$505,AW$3,実績!$AC$6:$AC$505,"&lt;="&amp;$A246,実績!$AD$6:$AD$505,"&gt;"&amp;$A246,実績!$AE$6:$AE$505,"○")&gt;0,1,0))</f>
        <v/>
      </c>
      <c r="AX246">
        <f>IF(AX$4=0,0,IF(COUNTIFS(実績!$W$6:$W$505,AX$3,実績!$AC$6:$AC$505,"&lt;="&amp;$A246,実績!$AD$6:$AD$505,"&gt;"&amp;$A246,実績!$AE$6:$AE$505,"○")&gt;0,1,0))</f>
        <v/>
      </c>
      <c r="AY246">
        <f>IF(AY$4=0,0,IF(COUNTIFS(実績!$W$6:$W$505,AY$3,実績!$AC$6:$AC$505,"&lt;="&amp;$A246,実績!$AD$6:$AD$505,"&gt;"&amp;$A246,実績!$AE$6:$AE$505,"○")&gt;0,1,0))</f>
        <v/>
      </c>
      <c r="AZ246">
        <f>IF(AZ$4=0,0,IF(COUNTIFS(実績!$W$6:$W$505,AZ$3,実績!$AC$6:$AC$505,"&lt;="&amp;$A246,実績!$AD$6:$AD$505,"&gt;"&amp;$A246,実績!$AE$6:$AE$505,"○")&gt;0,1,0))</f>
        <v/>
      </c>
      <c r="BA246">
        <f>IF(BA$4=0,0,IF(COUNTIFS(実績!$W$6:$W$505,BA$3,実績!$AC$6:$AC$505,"&lt;="&amp;$A246,実績!$AD$6:$AD$505,"&gt;"&amp;$A246,実績!$AE$6:$AE$505,"○")&gt;0,1,0))</f>
        <v/>
      </c>
      <c r="BB246">
        <f>IF(BB$4=0,0,IF(COUNTIFS(実績!$W$6:$W$505,BB$3,実績!$AC$6:$AC$505,"&lt;="&amp;$A246,実績!$AD$6:$AD$505,"&gt;"&amp;$A246,実績!$AE$6:$AE$505,"○")&gt;0,1,0))</f>
        <v/>
      </c>
      <c r="BC246">
        <f>IF(BC$4=0,0,IF(COUNTIFS(実績!$W$6:$W$505,BC$3,実績!$AC$6:$AC$505,"&lt;="&amp;$A246,実績!$AD$6:$AD$505,"&gt;"&amp;$A246,実績!$AE$6:$AE$505,"○")&gt;0,1,0))</f>
        <v/>
      </c>
      <c r="BD246">
        <f>IF(BD$4=0,0,IF(COUNTIFS(実績!$W$6:$W$505,BD$3,実績!$AC$6:$AC$505,"&lt;="&amp;$A246,実績!$AD$6:$AD$505,"&gt;"&amp;$A246,実績!$AE$6:$AE$505,"○")&gt;0,1,0))</f>
        <v/>
      </c>
      <c r="BE246">
        <f>IF(BE$4=0,0,IF(COUNTIFS(実績!$W$6:$W$505,BE$3,実績!$AC$6:$AC$505,"&lt;="&amp;$A246,実績!$AD$6:$AD$505,"&gt;"&amp;$A246,実績!$AE$6:$AE$505,"○")&gt;0,1,0))</f>
        <v/>
      </c>
      <c r="BF246">
        <f>IF(BF$4=0,0,IF(COUNTIFS(実績!$W$6:$W$505,BF$3,実績!$AC$6:$AC$505,"&lt;="&amp;$A246,実績!$AD$6:$AD$505,"&gt;"&amp;$A246,実績!$AE$6:$AE$505,"○")&gt;0,1,0))</f>
        <v/>
      </c>
      <c r="BG246">
        <f>IF(BG$4=0,0,IF(COUNTIFS(実績!$W$6:$W$505,BG$3,実績!$AC$6:$AC$505,"&lt;="&amp;$A246,実績!$AD$6:$AD$505,"&gt;"&amp;$A246,実績!$AE$6:$AE$505,"○")&gt;0,1,0))</f>
        <v/>
      </c>
      <c r="BH246">
        <f>IF(BH$4=0,0,IF(COUNTIFS(実績!$W$6:$W$505,BH$3,実績!$AC$6:$AC$505,"&lt;="&amp;$A246,実績!$AD$6:$AD$505,"&gt;"&amp;$A246,実績!$AE$6:$AE$505,"○")&gt;0,1,0))</f>
        <v/>
      </c>
      <c r="BI246">
        <f>IF(BI$4=0,0,IF(COUNTIFS(実績!$W$6:$W$505,BI$3,実績!$AC$6:$AC$505,"&lt;="&amp;$A246,実績!$AD$6:$AD$505,"&gt;"&amp;$A246,実績!$AE$6:$AE$505,"○")&gt;0,1,0))</f>
        <v/>
      </c>
      <c r="BJ246">
        <f>IF(BJ$4=0,0,IF(COUNTIFS(実績!$W$6:$W$505,BJ$3,実績!$AC$6:$AC$505,"&lt;="&amp;$A246,実績!$AD$6:$AD$505,"&gt;"&amp;$A246,実績!$AE$6:$AE$505,"○")&gt;0,1,0))</f>
        <v/>
      </c>
      <c r="BK246">
        <f>IF(BK$4=0,0,IF(COUNTIFS(実績!$W$6:$W$505,BK$3,実績!$AC$6:$AC$505,"&lt;="&amp;$A246,実績!$AD$6:$AD$505,"&gt;"&amp;$A246,実績!$AE$6:$AE$505,"○")&gt;0,1,0))</f>
        <v/>
      </c>
      <c r="BL246">
        <f>IF(BL$4=0,0,IF(COUNTIFS(実績!$W$6:$W$505,BL$3,実績!$AC$6:$AC$505,"&lt;="&amp;$A246,実績!$AD$6:$AD$505,"&gt;"&amp;$A246,実績!$AE$6:$AE$505,"○")&gt;0,1,0))</f>
        <v/>
      </c>
      <c r="BM246">
        <f>IF(BM$4=0,0,IF(COUNTIFS(実績!$W$6:$W$505,BM$3,実績!$AC$6:$AC$505,"&lt;="&amp;$A246,実績!$AD$6:$AD$505,"&gt;"&amp;$A246,実績!$AE$6:$AE$505,"○")&gt;0,1,0))</f>
        <v/>
      </c>
      <c r="BN246">
        <f>IF(BN$4=0,0,IF(COUNTIFS(実績!$W$6:$W$505,BN$3,実績!$AC$6:$AC$505,"&lt;="&amp;$A246,実績!$AD$6:$AD$505,"&gt;"&amp;$A246,実績!$AE$6:$AE$505,"○")&gt;0,1,0))</f>
        <v/>
      </c>
      <c r="BO246">
        <f>IF(BO$4=0,0,IF(COUNTIFS(実績!$W$6:$W$505,BO$3,実績!$AC$6:$AC$505,"&lt;="&amp;$A246,実績!$AD$6:$AD$505,"&gt;"&amp;$A246,実績!$AE$6:$AE$505,"○")&gt;0,1,0))</f>
        <v/>
      </c>
      <c r="BP246">
        <f>IF(BP$4=0,0,IF(COUNTIFS(実績!$W$6:$W$505,BP$3,実績!$AC$6:$AC$505,"&lt;="&amp;$A246,実績!$AD$6:$AD$505,"&gt;"&amp;$A246,実績!$AE$6:$AE$505,"○")&gt;0,1,0))</f>
        <v/>
      </c>
      <c r="BQ246">
        <f>IF(BQ$4=0,0,IF(COUNTIFS(実績!$W$6:$W$505,BQ$3,実績!$AC$6:$AC$505,"&lt;="&amp;$A246,実績!$AD$6:$AD$505,"&gt;"&amp;$A246,実績!$AE$6:$AE$505,"○")&gt;0,1,0))</f>
        <v/>
      </c>
      <c r="BR246">
        <f>IF(BR$4=0,0,IF(COUNTIFS(実績!$W$6:$W$505,BR$3,実績!$AC$6:$AC$505,"&lt;="&amp;$A246,実績!$AD$6:$AD$505,"&gt;"&amp;$A246,実績!$AE$6:$AE$505,"○")&gt;0,1,0))</f>
        <v/>
      </c>
      <c r="BS246">
        <f>IF(BS$4=0,0,IF(COUNTIFS(実績!$W$6:$W$505,BS$3,実績!$AC$6:$AC$505,"&lt;="&amp;$A246,実績!$AD$6:$AD$505,"&gt;"&amp;$A246,実績!$AE$6:$AE$505,"○")&gt;0,1,0))</f>
        <v/>
      </c>
      <c r="BT246">
        <f>IF(BT$4=0,0,IF(COUNTIFS(実績!$W$6:$W$505,BT$3,実績!$AC$6:$AC$505,"&lt;="&amp;$A246,実績!$AD$6:$AD$505,"&gt;"&amp;$A246,実績!$AE$6:$AE$505,"○")&gt;0,1,0))</f>
        <v/>
      </c>
      <c r="BU246">
        <f>IF(BU$4=0,0,IF(COUNTIFS(実績!$W$6:$W$505,BU$3,実績!$AC$6:$AC$505,"&lt;="&amp;$A246,実績!$AD$6:$AD$505,"&gt;"&amp;$A246,実績!$AE$6:$AE$505,"○")&gt;0,1,0))</f>
        <v/>
      </c>
      <c r="BV246">
        <f>IF(BV$4=0,0,IF(COUNTIFS(実績!$W$6:$W$505,BV$3,実績!$AC$6:$AC$505,"&lt;="&amp;$A246,実績!$AD$6:$AD$505,"&gt;"&amp;$A246,実績!$AE$6:$AE$505,"○")&gt;0,1,0))</f>
        <v/>
      </c>
      <c r="BW246">
        <f>IF(BW$4=0,0,IF(COUNTIFS(実績!$W$6:$W$505,BW$3,実績!$AC$6:$AC$505,"&lt;="&amp;$A246,実績!$AD$6:$AD$505,"&gt;"&amp;$A246,実績!$AE$6:$AE$505,"○")&gt;0,1,0))</f>
        <v/>
      </c>
      <c r="BX246">
        <f>IF(BX$4=0,0,IF(COUNTIFS(実績!$W$6:$W$505,BX$3,実績!$AC$6:$AC$505,"&lt;="&amp;$A246,実績!$AD$6:$AD$505,"&gt;"&amp;$A246,実績!$AE$6:$AE$505,"○")&gt;0,1,0))</f>
        <v/>
      </c>
      <c r="BY246">
        <f>IF(BY$4=0,0,IF(COUNTIFS(実績!$W$6:$W$505,BY$3,実績!$AC$6:$AC$505,"&lt;="&amp;$A246,実績!$AD$6:$AD$505,"&gt;"&amp;$A246,実績!$AE$6:$AE$505,"○")&gt;0,1,0))</f>
        <v/>
      </c>
      <c r="BZ246">
        <f>IF(BZ$4=0,0,IF(COUNTIFS(実績!$W$6:$W$505,BZ$3,実績!$AC$6:$AC$505,"&lt;="&amp;$A246,実績!$AD$6:$AD$505,"&gt;"&amp;$A246,実績!$AE$6:$AE$505,"○")&gt;0,1,0))</f>
        <v/>
      </c>
      <c r="CA246">
        <f>IF(CA$4=0,0,IF(COUNTIFS(実績!$W$6:$W$505,CA$3,実績!$AC$6:$AC$505,"&lt;="&amp;$A246,実績!$AD$6:$AD$505,"&gt;"&amp;$A246,実績!$AE$6:$AE$505,"○")&gt;0,1,0))</f>
        <v/>
      </c>
      <c r="CB246">
        <f>IF(CB$4=0,0,IF(COUNTIFS(実績!$W$6:$W$505,CB$3,実績!$AC$6:$AC$505,"&lt;="&amp;$A246,実績!$AD$6:$AD$505,"&gt;"&amp;$A246,実績!$AE$6:$AE$505,"○")&gt;0,1,0))</f>
        <v/>
      </c>
      <c r="CC246">
        <f>IF(CC$4=0,0,IF(COUNTIFS(実績!$W$6:$W$505,CC$3,実績!$AC$6:$AC$505,"&lt;="&amp;$A246,実績!$AD$6:$AD$505,"&gt;"&amp;$A246,実績!$AE$6:$AE$505,"○")&gt;0,1,0))</f>
        <v/>
      </c>
      <c r="CD246">
        <f>IF(CD$4=0,0,IF(COUNTIFS(実績!$W$6:$W$505,CD$3,実績!$AC$6:$AC$505,"&lt;="&amp;$A246,実績!$AD$6:$AD$505,"&gt;"&amp;$A246,実績!$AE$6:$AE$505,"○")&gt;0,1,0))</f>
        <v/>
      </c>
      <c r="CE246">
        <f>IF(CE$4=0,0,IF(COUNTIFS(実績!$W$6:$W$505,CE$3,実績!$AC$6:$AC$505,"&lt;="&amp;$A246,実績!$AD$6:$AD$505,"&gt;"&amp;$A246,実績!$AE$6:$AE$505,"○")&gt;0,1,0))</f>
        <v/>
      </c>
      <c r="CF246">
        <f>IF(CF$4=0,0,IF(COUNTIFS(実績!$W$6:$W$505,CF$3,実績!$AC$6:$AC$505,"&lt;="&amp;$A246,実績!$AD$6:$AD$505,"&gt;"&amp;$A246,実績!$AE$6:$AE$505,"○")&gt;0,1,0))</f>
        <v/>
      </c>
      <c r="CG246">
        <f>IF(CG$4=0,0,IF(COUNTIFS(実績!$W$6:$W$505,CG$3,実績!$AC$6:$AC$505,"&lt;="&amp;$A246,実績!$AD$6:$AD$505,"&gt;"&amp;$A246,実績!$AE$6:$AE$505,"○")&gt;0,1,0))</f>
        <v/>
      </c>
      <c r="CH246">
        <f>IF(CH$4=0,0,IF(COUNTIFS(実績!$W$6:$W$505,CH$3,実績!$AC$6:$AC$505,"&lt;="&amp;$A246,実績!$AD$6:$AD$505,"&gt;"&amp;$A246,実績!$AE$6:$AE$505,"○")&gt;0,1,0))</f>
        <v/>
      </c>
      <c r="CI246">
        <f>IF(CI$4=0,0,IF(COUNTIFS(実績!$W$6:$W$505,CI$3,実績!$AC$6:$AC$505,"&lt;="&amp;$A246,実績!$AD$6:$AD$505,"&gt;"&amp;$A246,実績!$AE$6:$AE$505,"○")&gt;0,1,0))</f>
        <v/>
      </c>
      <c r="CJ246">
        <f>IF(CJ$4=0,0,IF(COUNTIFS(実績!$W$6:$W$505,CJ$3,実績!$AC$6:$AC$505,"&lt;="&amp;$A246,実績!$AD$6:$AD$505,"&gt;"&amp;$A246,実績!$AE$6:$AE$505,"○")&gt;0,1,0))</f>
        <v/>
      </c>
      <c r="CK246">
        <f>IF(CK$4=0,0,IF(COUNTIFS(実績!$W$6:$W$505,CK$3,実績!$AC$6:$AC$505,"&lt;="&amp;$A246,実績!$AD$6:$AD$505,"&gt;"&amp;$A246,実績!$AE$6:$AE$505,"○")&gt;0,1,0))</f>
        <v/>
      </c>
      <c r="CL246">
        <f>IF(CL$4=0,0,IF(COUNTIFS(実績!$W$6:$W$505,CL$3,実績!$AC$6:$AC$505,"&lt;="&amp;$A246,実績!$AD$6:$AD$505,"&gt;"&amp;$A246,実績!$AE$6:$AE$505,"○")&gt;0,1,0))</f>
        <v/>
      </c>
      <c r="CM246">
        <f>IF(CM$4=0,0,IF(COUNTIFS(実績!$W$6:$W$505,CM$3,実績!$AC$6:$AC$505,"&lt;="&amp;$A246,実績!$AD$6:$AD$505,"&gt;"&amp;$A246,実績!$AE$6:$AE$505,"○")&gt;0,1,0))</f>
        <v/>
      </c>
      <c r="CN246">
        <f>IF(CN$4=0,0,IF(COUNTIFS(実績!$W$6:$W$505,CN$3,実績!$AC$6:$AC$505,"&lt;="&amp;$A246,実績!$AD$6:$AD$505,"&gt;"&amp;$A246,実績!$AE$6:$AE$505,"○")&gt;0,1,0))</f>
        <v/>
      </c>
      <c r="CO246">
        <f>IF(CO$4=0,0,IF(COUNTIFS(実績!$W$6:$W$505,CO$3,実績!$AC$6:$AC$505,"&lt;="&amp;$A246,実績!$AD$6:$AD$505,"&gt;"&amp;$A246,実績!$AE$6:$AE$505,"○")&gt;0,1,0))</f>
        <v/>
      </c>
      <c r="CP246">
        <f>IF(CP$4=0,0,IF(COUNTIFS(実績!$W$6:$W$505,CP$3,実績!$AC$6:$AC$505,"&lt;="&amp;$A246,実績!$AD$6:$AD$505,"&gt;"&amp;$A246,実績!$AE$6:$AE$505,"○")&gt;0,1,0))</f>
        <v/>
      </c>
      <c r="CQ246">
        <f>IF(CQ$4=0,0,IF(COUNTIFS(実績!$W$6:$W$505,CQ$3,実績!$AC$6:$AC$505,"&lt;="&amp;$A246,実績!$AD$6:$AD$505,"&gt;"&amp;$A246,実績!$AE$6:$AE$505,"○")&gt;0,1,0))</f>
        <v/>
      </c>
      <c r="CR246">
        <f>IF(CR$4=0,0,IF(COUNTIFS(実績!$W$6:$W$505,CR$3,実績!$AC$6:$AC$505,"&lt;="&amp;$A246,実績!$AD$6:$AD$505,"&gt;"&amp;$A246,実績!$AE$6:$AE$505,"○")&gt;0,1,0))</f>
        <v/>
      </c>
      <c r="CS246">
        <f>IF(CS$4=0,0,IF(COUNTIFS(実績!$W$6:$W$505,CS$3,実績!$AC$6:$AC$505,"&lt;="&amp;$A246,実績!$AD$6:$AD$505,"&gt;"&amp;$A246,実績!$AE$6:$AE$505,"○")&gt;0,1,0))</f>
        <v/>
      </c>
      <c r="CT246">
        <f>IF(CT$4=0,0,IF(COUNTIFS(実績!$W$6:$W$505,CT$3,実績!$AC$6:$AC$505,"&lt;="&amp;$A246,実績!$AD$6:$AD$505,"&gt;"&amp;$A246,実績!$AE$6:$AE$505,"○")&gt;0,1,0))</f>
        <v/>
      </c>
      <c r="CU246">
        <f>IF(CU$4=0,0,IF(COUNTIFS(実績!$W$6:$W$505,CU$3,実績!$AC$6:$AC$505,"&lt;="&amp;$A246,実績!$AD$6:$AD$505,"&gt;"&amp;$A246,実績!$AE$6:$AE$505,"○")&gt;0,1,0))</f>
        <v/>
      </c>
      <c r="CV246">
        <f>IF(CV$4=0,0,IF(COUNTIFS(実績!$W$6:$W$505,CV$3,実績!$AC$6:$AC$505,"&lt;="&amp;$A246,実績!$AD$6:$AD$505,"&gt;"&amp;$A246,実績!$AE$6:$AE$505,"○")&gt;0,1,0))</f>
        <v/>
      </c>
      <c r="CW246">
        <f>IF(CW$4=0,0,IF(COUNTIFS(実績!$W$6:$W$505,CW$3,実績!$AC$6:$AC$505,"&lt;="&amp;$A246,実績!$AD$6:$AD$505,"&gt;"&amp;$A246,実績!$AE$6:$AE$505,"○")&gt;0,1,0))</f>
        <v/>
      </c>
      <c r="CX246">
        <f>IF(CX$4=0,0,IF(COUNTIFS(実績!$W$6:$W$505,CX$3,実績!$AC$6:$AC$505,"&lt;="&amp;$A246,実績!$AD$6:$AD$505,"&gt;"&amp;$A246,実績!$AE$6:$AE$505,"○")&gt;0,1,0))</f>
        <v/>
      </c>
      <c r="CY246">
        <f>IF(CY$4=0,0,IF(COUNTIFS(実績!$W$6:$W$505,CY$3,実績!$AC$6:$AC$505,"&lt;="&amp;$A246,実績!$AD$6:$AD$505,"&gt;"&amp;$A246,実績!$AE$6:$AE$505,"○")&gt;0,1,0))</f>
        <v/>
      </c>
      <c r="CZ246">
        <f>IF(CZ$4=0,0,IF(COUNTIFS(実績!$W$6:$W$505,CZ$3,実績!$AC$6:$AC$505,"&lt;="&amp;$A246,実績!$AD$6:$AD$505,"&gt;"&amp;$A246,実績!$AE$6:$AE$505,"○")&gt;0,1,0))</f>
        <v/>
      </c>
      <c r="DA246">
        <f>IF(DA$4=0,0,IF(COUNTIFS(実績!$W$6:$W$505,DA$3,実績!$AC$6:$AC$505,"&lt;="&amp;$A246,実績!$AD$6:$AD$505,"&gt;"&amp;$A246,実績!$AE$6:$AE$505,"○")&gt;0,1,0))</f>
        <v/>
      </c>
      <c r="DB246">
        <f>IF(DB$4=0,0,IF(COUNTIFS(実績!$W$6:$W$505,DB$3,実績!$AC$6:$AC$505,"&lt;="&amp;$A246,実績!$AD$6:$AD$505,"&gt;"&amp;$A246,実績!$AE$6:$AE$505,"○")&gt;0,1,0))</f>
        <v/>
      </c>
      <c r="DC246">
        <f>IF(DC$4=0,0,IF(COUNTIFS(実績!$W$6:$W$505,DC$3,実績!$AC$6:$AC$505,"&lt;="&amp;$A246,実績!$AD$6:$AD$505,"&gt;"&amp;$A246,実績!$AE$6:$AE$505,"○")&gt;0,1,0))</f>
        <v/>
      </c>
      <c r="DD246">
        <f>IF(DD$4=0,0,IF(COUNTIFS(実績!$W$6:$W$505,DD$3,実績!$AC$6:$AC$505,"&lt;="&amp;$A246,実績!$AD$6:$AD$505,"&gt;"&amp;$A246,実績!$AE$6:$AE$505,"○")&gt;0,1,0))</f>
        <v/>
      </c>
      <c r="DE246">
        <f>IF(DE$4=0,0,IF(COUNTIFS(実績!$W$6:$W$505,DE$3,実績!$AC$6:$AC$505,"&lt;="&amp;$A246,実績!$AD$6:$AD$505,"&gt;"&amp;$A246,実績!$AE$6:$AE$505,"○")&gt;0,1,0))</f>
        <v/>
      </c>
      <c r="DF246">
        <f>IF(DF$4=0,0,IF(COUNTIFS(実績!$W$6:$W$505,DF$3,実績!$AC$6:$AC$505,"&lt;="&amp;$A246,実績!$AD$6:$AD$505,"&gt;"&amp;$A246,実績!$AE$6:$AE$505,"○")&gt;0,1,0))</f>
        <v/>
      </c>
      <c r="DG246">
        <f>IF(DG$4=0,0,IF(COUNTIFS(実績!$W$6:$W$505,DG$3,実績!$AC$6:$AC$505,"&lt;="&amp;$A246,実績!$AD$6:$AD$505,"&gt;"&amp;$A246,実績!$AE$6:$AE$505,"○")&gt;0,1,0))</f>
        <v/>
      </c>
      <c r="DH246">
        <f>IF(DH$4=0,0,IF(COUNTIFS(実績!$W$6:$W$505,DH$3,実績!$AC$6:$AC$505,"&lt;="&amp;$A246,実績!$AD$6:$AD$505,"&gt;"&amp;$A246,実績!$AE$6:$AE$505,"○")&gt;0,1,0))</f>
        <v/>
      </c>
      <c r="DI246">
        <f>IF(DI$4=0,0,IF(COUNTIFS(実績!$W$6:$W$505,DI$3,実績!$AC$6:$AC$505,"&lt;="&amp;$A246,実績!$AD$6:$AD$505,"&gt;"&amp;$A246,実績!$AE$6:$AE$505,"○")&gt;0,1,0))</f>
        <v/>
      </c>
      <c r="DJ246">
        <f>IF(DJ$4=0,0,IF(COUNTIFS(実績!$W$6:$W$505,DJ$3,実績!$AC$6:$AC$505,"&lt;="&amp;$A246,実績!$AD$6:$AD$505,"&gt;"&amp;$A246,実績!$AE$6:$AE$505,"○")&gt;0,1,0))</f>
        <v/>
      </c>
      <c r="DK246">
        <f>IF(DK$4=0,0,IF(COUNTIFS(実績!$W$6:$W$505,DK$3,実績!$AC$6:$AC$505,"&lt;="&amp;$A246,実績!$AD$6:$AD$505,"&gt;"&amp;$A246,実績!$AE$6:$AE$505,"○")&gt;0,1,0))</f>
        <v/>
      </c>
      <c r="DL246">
        <f>IF(DL$4=0,0,IF(COUNTIFS(実績!$W$6:$W$505,DL$3,実績!$AC$6:$AC$505,"&lt;="&amp;$A246,実績!$AD$6:$AD$505,"&gt;"&amp;$A246,実績!$AE$6:$AE$505,"○")&gt;0,1,0))</f>
        <v/>
      </c>
      <c r="DM246">
        <f>IF(DM$4=0,0,IF(COUNTIFS(実績!$W$6:$W$505,DM$3,実績!$AC$6:$AC$505,"&lt;="&amp;$A246,実績!$AD$6:$AD$505,"&gt;"&amp;$A246,実績!$AE$6:$AE$505,"○")&gt;0,1,0))</f>
        <v/>
      </c>
      <c r="DN246">
        <f>IF(DN$4=0,0,IF(COUNTIFS(実績!$W$6:$W$505,DN$3,実績!$AC$6:$AC$505,"&lt;="&amp;$A246,実績!$AD$6:$AD$505,"&gt;"&amp;$A246,実績!$AE$6:$AE$505,"○")&gt;0,1,0))</f>
        <v/>
      </c>
      <c r="DO246">
        <f>IF(DO$4=0,0,IF(COUNTIFS(実績!$W$6:$W$505,DO$3,実績!$AC$6:$AC$505,"&lt;="&amp;$A246,実績!$AD$6:$AD$505,"&gt;"&amp;$A246,実績!$AE$6:$AE$505,"○")&gt;0,1,0))</f>
        <v/>
      </c>
      <c r="DP246">
        <f>IF(DP$4=0,0,IF(COUNTIFS(実績!$W$6:$W$505,DP$3,実績!$AC$6:$AC$505,"&lt;="&amp;$A246,実績!$AD$6:$AD$505,"&gt;"&amp;$A246,実績!$AE$6:$AE$505,"○")&gt;0,1,0))</f>
        <v/>
      </c>
      <c r="DQ246">
        <f>IF(DQ$4=0,0,IF(COUNTIFS(実績!$W$6:$W$505,DQ$3,実績!$AC$6:$AC$505,"&lt;="&amp;$A246,実績!$AD$6:$AD$505,"&gt;"&amp;$A246,実績!$AE$6:$AE$505,"○")&gt;0,1,0))</f>
        <v/>
      </c>
      <c r="DR246">
        <f>IF(DR$4=0,0,IF(COUNTIFS(実績!$W$6:$W$505,DR$3,実績!$AC$6:$AC$505,"&lt;="&amp;$A246,実績!$AD$6:$AD$505,"&gt;"&amp;$A246,実績!$AE$6:$AE$505,"○")&gt;0,1,0))</f>
        <v/>
      </c>
      <c r="DS246">
        <f>SUM(C246:DR246)</f>
        <v/>
      </c>
      <c r="DT246">
        <f>SUMPRODUCT((実績!$C$6:$C$505="○")*ISNUMBER(実績!$AF$6:$AF$505)*(実績!$AF$6:$AF$505&lt;=$A246)*(実績!$AG$6:$AG$505&gt;$A246))</f>
        <v/>
      </c>
      <c r="DU246">
        <f>SUMIF($C$2:$DR$2,"製鉄曳船",C246:DR246)</f>
        <v/>
      </c>
      <c r="DV246">
        <f>SUMIF($C$2:$DR$2,"西日本海運",C246:DR246)</f>
        <v/>
      </c>
    </row>
    <row r="247">
      <c r="A247" t="n">
        <v>1205</v>
      </c>
      <c r="B247" s="29">
        <f>A247/1440</f>
        <v/>
      </c>
      <c r="C247">
        <f>IF(C$4=0,0,IF(COUNTIFS(実績!$W$6:$W$505,C$3,実績!$AC$6:$AC$505,"&lt;="&amp;$A247,実績!$AD$6:$AD$505,"&gt;"&amp;$A247,実績!$AE$6:$AE$505,"○")&gt;0,1,0))</f>
        <v/>
      </c>
      <c r="D247">
        <f>IF(D$4=0,0,IF(COUNTIFS(実績!$W$6:$W$505,D$3,実績!$AC$6:$AC$505,"&lt;="&amp;$A247,実績!$AD$6:$AD$505,"&gt;"&amp;$A247,実績!$AE$6:$AE$505,"○")&gt;0,1,0))</f>
        <v/>
      </c>
      <c r="E247">
        <f>IF(E$4=0,0,IF(COUNTIFS(実績!$W$6:$W$505,E$3,実績!$AC$6:$AC$505,"&lt;="&amp;$A247,実績!$AD$6:$AD$505,"&gt;"&amp;$A247,実績!$AE$6:$AE$505,"○")&gt;0,1,0))</f>
        <v/>
      </c>
      <c r="F247">
        <f>IF(F$4=0,0,IF(COUNTIFS(実績!$W$6:$W$505,F$3,実績!$AC$6:$AC$505,"&lt;="&amp;$A247,実績!$AD$6:$AD$505,"&gt;"&amp;$A247,実績!$AE$6:$AE$505,"○")&gt;0,1,0))</f>
        <v/>
      </c>
      <c r="G247">
        <f>IF(G$4=0,0,IF(COUNTIFS(実績!$W$6:$W$505,G$3,実績!$AC$6:$AC$505,"&lt;="&amp;$A247,実績!$AD$6:$AD$505,"&gt;"&amp;$A247,実績!$AE$6:$AE$505,"○")&gt;0,1,0))</f>
        <v/>
      </c>
      <c r="H247">
        <f>IF(H$4=0,0,IF(COUNTIFS(実績!$W$6:$W$505,H$3,実績!$AC$6:$AC$505,"&lt;="&amp;$A247,実績!$AD$6:$AD$505,"&gt;"&amp;$A247,実績!$AE$6:$AE$505,"○")&gt;0,1,0))</f>
        <v/>
      </c>
      <c r="I247">
        <f>IF(I$4=0,0,IF(COUNTIFS(実績!$W$6:$W$505,I$3,実績!$AC$6:$AC$505,"&lt;="&amp;$A247,実績!$AD$6:$AD$505,"&gt;"&amp;$A247,実績!$AE$6:$AE$505,"○")&gt;0,1,0))</f>
        <v/>
      </c>
      <c r="J247">
        <f>IF(J$4=0,0,IF(COUNTIFS(実績!$W$6:$W$505,J$3,実績!$AC$6:$AC$505,"&lt;="&amp;$A247,実績!$AD$6:$AD$505,"&gt;"&amp;$A247,実績!$AE$6:$AE$505,"○")&gt;0,1,0))</f>
        <v/>
      </c>
      <c r="K247">
        <f>IF(K$4=0,0,IF(COUNTIFS(実績!$W$6:$W$505,K$3,実績!$AC$6:$AC$505,"&lt;="&amp;$A247,実績!$AD$6:$AD$505,"&gt;"&amp;$A247,実績!$AE$6:$AE$505,"○")&gt;0,1,0))</f>
        <v/>
      </c>
      <c r="L247">
        <f>IF(L$4=0,0,IF(COUNTIFS(実績!$W$6:$W$505,L$3,実績!$AC$6:$AC$505,"&lt;="&amp;$A247,実績!$AD$6:$AD$505,"&gt;"&amp;$A247,実績!$AE$6:$AE$505,"○")&gt;0,1,0))</f>
        <v/>
      </c>
      <c r="M247">
        <f>IF(M$4=0,0,IF(COUNTIFS(実績!$W$6:$W$505,M$3,実績!$AC$6:$AC$505,"&lt;="&amp;$A247,実績!$AD$6:$AD$505,"&gt;"&amp;$A247,実績!$AE$6:$AE$505,"○")&gt;0,1,0))</f>
        <v/>
      </c>
      <c r="N247">
        <f>IF(N$4=0,0,IF(COUNTIFS(実績!$W$6:$W$505,N$3,実績!$AC$6:$AC$505,"&lt;="&amp;$A247,実績!$AD$6:$AD$505,"&gt;"&amp;$A247,実績!$AE$6:$AE$505,"○")&gt;0,1,0))</f>
        <v/>
      </c>
      <c r="O247">
        <f>IF(O$4=0,0,IF(COUNTIFS(実績!$W$6:$W$505,O$3,実績!$AC$6:$AC$505,"&lt;="&amp;$A247,実績!$AD$6:$AD$505,"&gt;"&amp;$A247,実績!$AE$6:$AE$505,"○")&gt;0,1,0))</f>
        <v/>
      </c>
      <c r="P247">
        <f>IF(P$4=0,0,IF(COUNTIFS(実績!$W$6:$W$505,P$3,実績!$AC$6:$AC$505,"&lt;="&amp;$A247,実績!$AD$6:$AD$505,"&gt;"&amp;$A247,実績!$AE$6:$AE$505,"○")&gt;0,1,0))</f>
        <v/>
      </c>
      <c r="Q247">
        <f>IF(Q$4=0,0,IF(COUNTIFS(実績!$W$6:$W$505,Q$3,実績!$AC$6:$AC$505,"&lt;="&amp;$A247,実績!$AD$6:$AD$505,"&gt;"&amp;$A247,実績!$AE$6:$AE$505,"○")&gt;0,1,0))</f>
        <v/>
      </c>
      <c r="R247">
        <f>IF(R$4=0,0,IF(COUNTIFS(実績!$W$6:$W$505,R$3,実績!$AC$6:$AC$505,"&lt;="&amp;$A247,実績!$AD$6:$AD$505,"&gt;"&amp;$A247,実績!$AE$6:$AE$505,"○")&gt;0,1,0))</f>
        <v/>
      </c>
      <c r="S247">
        <f>IF(S$4=0,0,IF(COUNTIFS(実績!$W$6:$W$505,S$3,実績!$AC$6:$AC$505,"&lt;="&amp;$A247,実績!$AD$6:$AD$505,"&gt;"&amp;$A247,実績!$AE$6:$AE$505,"○")&gt;0,1,0))</f>
        <v/>
      </c>
      <c r="T247">
        <f>IF(T$4=0,0,IF(COUNTIFS(実績!$W$6:$W$505,T$3,実績!$AC$6:$AC$505,"&lt;="&amp;$A247,実績!$AD$6:$AD$505,"&gt;"&amp;$A247,実績!$AE$6:$AE$505,"○")&gt;0,1,0))</f>
        <v/>
      </c>
      <c r="U247">
        <f>IF(U$4=0,0,IF(COUNTIFS(実績!$W$6:$W$505,U$3,実績!$AC$6:$AC$505,"&lt;="&amp;$A247,実績!$AD$6:$AD$505,"&gt;"&amp;$A247,実績!$AE$6:$AE$505,"○")&gt;0,1,0))</f>
        <v/>
      </c>
      <c r="V247">
        <f>IF(V$4=0,0,IF(COUNTIFS(実績!$W$6:$W$505,V$3,実績!$AC$6:$AC$505,"&lt;="&amp;$A247,実績!$AD$6:$AD$505,"&gt;"&amp;$A247,実績!$AE$6:$AE$505,"○")&gt;0,1,0))</f>
        <v/>
      </c>
      <c r="W247">
        <f>IF(W$4=0,0,IF(COUNTIFS(実績!$W$6:$W$505,W$3,実績!$AC$6:$AC$505,"&lt;="&amp;$A247,実績!$AD$6:$AD$505,"&gt;"&amp;$A247,実績!$AE$6:$AE$505,"○")&gt;0,1,0))</f>
        <v/>
      </c>
      <c r="X247">
        <f>IF(X$4=0,0,IF(COUNTIFS(実績!$W$6:$W$505,X$3,実績!$AC$6:$AC$505,"&lt;="&amp;$A247,実績!$AD$6:$AD$505,"&gt;"&amp;$A247,実績!$AE$6:$AE$505,"○")&gt;0,1,0))</f>
        <v/>
      </c>
      <c r="Y247">
        <f>IF(Y$4=0,0,IF(COUNTIFS(実績!$W$6:$W$505,Y$3,実績!$AC$6:$AC$505,"&lt;="&amp;$A247,実績!$AD$6:$AD$505,"&gt;"&amp;$A247,実績!$AE$6:$AE$505,"○")&gt;0,1,0))</f>
        <v/>
      </c>
      <c r="Z247">
        <f>IF(Z$4=0,0,IF(COUNTIFS(実績!$W$6:$W$505,Z$3,実績!$AC$6:$AC$505,"&lt;="&amp;$A247,実績!$AD$6:$AD$505,"&gt;"&amp;$A247,実績!$AE$6:$AE$505,"○")&gt;0,1,0))</f>
        <v/>
      </c>
      <c r="AA247">
        <f>IF(AA$4=0,0,IF(COUNTIFS(実績!$W$6:$W$505,AA$3,実績!$AC$6:$AC$505,"&lt;="&amp;$A247,実績!$AD$6:$AD$505,"&gt;"&amp;$A247,実績!$AE$6:$AE$505,"○")&gt;0,1,0))</f>
        <v/>
      </c>
      <c r="AB247">
        <f>IF(AB$4=0,0,IF(COUNTIFS(実績!$W$6:$W$505,AB$3,実績!$AC$6:$AC$505,"&lt;="&amp;$A247,実績!$AD$6:$AD$505,"&gt;"&amp;$A247,実績!$AE$6:$AE$505,"○")&gt;0,1,0))</f>
        <v/>
      </c>
      <c r="AC247">
        <f>IF(AC$4=0,0,IF(COUNTIFS(実績!$W$6:$W$505,AC$3,実績!$AC$6:$AC$505,"&lt;="&amp;$A247,実績!$AD$6:$AD$505,"&gt;"&amp;$A247,実績!$AE$6:$AE$505,"○")&gt;0,1,0))</f>
        <v/>
      </c>
      <c r="AD247">
        <f>IF(AD$4=0,0,IF(COUNTIFS(実績!$W$6:$W$505,AD$3,実績!$AC$6:$AC$505,"&lt;="&amp;$A247,実績!$AD$6:$AD$505,"&gt;"&amp;$A247,実績!$AE$6:$AE$505,"○")&gt;0,1,0))</f>
        <v/>
      </c>
      <c r="AE247">
        <f>IF(AE$4=0,0,IF(COUNTIFS(実績!$W$6:$W$505,AE$3,実績!$AC$6:$AC$505,"&lt;="&amp;$A247,実績!$AD$6:$AD$505,"&gt;"&amp;$A247,実績!$AE$6:$AE$505,"○")&gt;0,1,0))</f>
        <v/>
      </c>
      <c r="AF247">
        <f>IF(AF$4=0,0,IF(COUNTIFS(実績!$W$6:$W$505,AF$3,実績!$AC$6:$AC$505,"&lt;="&amp;$A247,実績!$AD$6:$AD$505,"&gt;"&amp;$A247,実績!$AE$6:$AE$505,"○")&gt;0,1,0))</f>
        <v/>
      </c>
      <c r="AG247">
        <f>IF(AG$4=0,0,IF(COUNTIFS(実績!$W$6:$W$505,AG$3,実績!$AC$6:$AC$505,"&lt;="&amp;$A247,実績!$AD$6:$AD$505,"&gt;"&amp;$A247,実績!$AE$6:$AE$505,"○")&gt;0,1,0))</f>
        <v/>
      </c>
      <c r="AH247">
        <f>IF(AH$4=0,0,IF(COUNTIFS(実績!$W$6:$W$505,AH$3,実績!$AC$6:$AC$505,"&lt;="&amp;$A247,実績!$AD$6:$AD$505,"&gt;"&amp;$A247,実績!$AE$6:$AE$505,"○")&gt;0,1,0))</f>
        <v/>
      </c>
      <c r="AI247">
        <f>IF(AI$4=0,0,IF(COUNTIFS(実績!$W$6:$W$505,AI$3,実績!$AC$6:$AC$505,"&lt;="&amp;$A247,実績!$AD$6:$AD$505,"&gt;"&amp;$A247,実績!$AE$6:$AE$505,"○")&gt;0,1,0))</f>
        <v/>
      </c>
      <c r="AJ247">
        <f>IF(AJ$4=0,0,IF(COUNTIFS(実績!$W$6:$W$505,AJ$3,実績!$AC$6:$AC$505,"&lt;="&amp;$A247,実績!$AD$6:$AD$505,"&gt;"&amp;$A247,実績!$AE$6:$AE$505,"○")&gt;0,1,0))</f>
        <v/>
      </c>
      <c r="AK247">
        <f>IF(AK$4=0,0,IF(COUNTIFS(実績!$W$6:$W$505,AK$3,実績!$AC$6:$AC$505,"&lt;="&amp;$A247,実績!$AD$6:$AD$505,"&gt;"&amp;$A247,実績!$AE$6:$AE$505,"○")&gt;0,1,0))</f>
        <v/>
      </c>
      <c r="AL247">
        <f>IF(AL$4=0,0,IF(COUNTIFS(実績!$W$6:$W$505,AL$3,実績!$AC$6:$AC$505,"&lt;="&amp;$A247,実績!$AD$6:$AD$505,"&gt;"&amp;$A247,実績!$AE$6:$AE$505,"○")&gt;0,1,0))</f>
        <v/>
      </c>
      <c r="AM247">
        <f>IF(AM$4=0,0,IF(COUNTIFS(実績!$W$6:$W$505,AM$3,実績!$AC$6:$AC$505,"&lt;="&amp;$A247,実績!$AD$6:$AD$505,"&gt;"&amp;$A247,実績!$AE$6:$AE$505,"○")&gt;0,1,0))</f>
        <v/>
      </c>
      <c r="AN247">
        <f>IF(AN$4=0,0,IF(COUNTIFS(実績!$W$6:$W$505,AN$3,実績!$AC$6:$AC$505,"&lt;="&amp;$A247,実績!$AD$6:$AD$505,"&gt;"&amp;$A247,実績!$AE$6:$AE$505,"○")&gt;0,1,0))</f>
        <v/>
      </c>
      <c r="AO247">
        <f>IF(AO$4=0,0,IF(COUNTIFS(実績!$W$6:$W$505,AO$3,実績!$AC$6:$AC$505,"&lt;="&amp;$A247,実績!$AD$6:$AD$505,"&gt;"&amp;$A247,実績!$AE$6:$AE$505,"○")&gt;0,1,0))</f>
        <v/>
      </c>
      <c r="AP247">
        <f>IF(AP$4=0,0,IF(COUNTIFS(実績!$W$6:$W$505,AP$3,実績!$AC$6:$AC$505,"&lt;="&amp;$A247,実績!$AD$6:$AD$505,"&gt;"&amp;$A247,実績!$AE$6:$AE$505,"○")&gt;0,1,0))</f>
        <v/>
      </c>
      <c r="AQ247">
        <f>IF(AQ$4=0,0,IF(COUNTIFS(実績!$W$6:$W$505,AQ$3,実績!$AC$6:$AC$505,"&lt;="&amp;$A247,実績!$AD$6:$AD$505,"&gt;"&amp;$A247,実績!$AE$6:$AE$505,"○")&gt;0,1,0))</f>
        <v/>
      </c>
      <c r="AR247">
        <f>IF(AR$4=0,0,IF(COUNTIFS(実績!$W$6:$W$505,AR$3,実績!$AC$6:$AC$505,"&lt;="&amp;$A247,実績!$AD$6:$AD$505,"&gt;"&amp;$A247,実績!$AE$6:$AE$505,"○")&gt;0,1,0))</f>
        <v/>
      </c>
      <c r="AS247">
        <f>IF(AS$4=0,0,IF(COUNTIFS(実績!$W$6:$W$505,AS$3,実績!$AC$6:$AC$505,"&lt;="&amp;$A247,実績!$AD$6:$AD$505,"&gt;"&amp;$A247,実績!$AE$6:$AE$505,"○")&gt;0,1,0))</f>
        <v/>
      </c>
      <c r="AT247">
        <f>IF(AT$4=0,0,IF(COUNTIFS(実績!$W$6:$W$505,AT$3,実績!$AC$6:$AC$505,"&lt;="&amp;$A247,実績!$AD$6:$AD$505,"&gt;"&amp;$A247,実績!$AE$6:$AE$505,"○")&gt;0,1,0))</f>
        <v/>
      </c>
      <c r="AU247">
        <f>IF(AU$4=0,0,IF(COUNTIFS(実績!$W$6:$W$505,AU$3,実績!$AC$6:$AC$505,"&lt;="&amp;$A247,実績!$AD$6:$AD$505,"&gt;"&amp;$A247,実績!$AE$6:$AE$505,"○")&gt;0,1,0))</f>
        <v/>
      </c>
      <c r="AV247">
        <f>IF(AV$4=0,0,IF(COUNTIFS(実績!$W$6:$W$505,AV$3,実績!$AC$6:$AC$505,"&lt;="&amp;$A247,実績!$AD$6:$AD$505,"&gt;"&amp;$A247,実績!$AE$6:$AE$505,"○")&gt;0,1,0))</f>
        <v/>
      </c>
      <c r="AW247">
        <f>IF(AW$4=0,0,IF(COUNTIFS(実績!$W$6:$W$505,AW$3,実績!$AC$6:$AC$505,"&lt;="&amp;$A247,実績!$AD$6:$AD$505,"&gt;"&amp;$A247,実績!$AE$6:$AE$505,"○")&gt;0,1,0))</f>
        <v/>
      </c>
      <c r="AX247">
        <f>IF(AX$4=0,0,IF(COUNTIFS(実績!$W$6:$W$505,AX$3,実績!$AC$6:$AC$505,"&lt;="&amp;$A247,実績!$AD$6:$AD$505,"&gt;"&amp;$A247,実績!$AE$6:$AE$505,"○")&gt;0,1,0))</f>
        <v/>
      </c>
      <c r="AY247">
        <f>IF(AY$4=0,0,IF(COUNTIFS(実績!$W$6:$W$505,AY$3,実績!$AC$6:$AC$505,"&lt;="&amp;$A247,実績!$AD$6:$AD$505,"&gt;"&amp;$A247,実績!$AE$6:$AE$505,"○")&gt;0,1,0))</f>
        <v/>
      </c>
      <c r="AZ247">
        <f>IF(AZ$4=0,0,IF(COUNTIFS(実績!$W$6:$W$505,AZ$3,実績!$AC$6:$AC$505,"&lt;="&amp;$A247,実績!$AD$6:$AD$505,"&gt;"&amp;$A247,実績!$AE$6:$AE$505,"○")&gt;0,1,0))</f>
        <v/>
      </c>
      <c r="BA247">
        <f>IF(BA$4=0,0,IF(COUNTIFS(実績!$W$6:$W$505,BA$3,実績!$AC$6:$AC$505,"&lt;="&amp;$A247,実績!$AD$6:$AD$505,"&gt;"&amp;$A247,実績!$AE$6:$AE$505,"○")&gt;0,1,0))</f>
        <v/>
      </c>
      <c r="BB247">
        <f>IF(BB$4=0,0,IF(COUNTIFS(実績!$W$6:$W$505,BB$3,実績!$AC$6:$AC$505,"&lt;="&amp;$A247,実績!$AD$6:$AD$505,"&gt;"&amp;$A247,実績!$AE$6:$AE$505,"○")&gt;0,1,0))</f>
        <v/>
      </c>
      <c r="BC247">
        <f>IF(BC$4=0,0,IF(COUNTIFS(実績!$W$6:$W$505,BC$3,実績!$AC$6:$AC$505,"&lt;="&amp;$A247,実績!$AD$6:$AD$505,"&gt;"&amp;$A247,実績!$AE$6:$AE$505,"○")&gt;0,1,0))</f>
        <v/>
      </c>
      <c r="BD247">
        <f>IF(BD$4=0,0,IF(COUNTIFS(実績!$W$6:$W$505,BD$3,実績!$AC$6:$AC$505,"&lt;="&amp;$A247,実績!$AD$6:$AD$505,"&gt;"&amp;$A247,実績!$AE$6:$AE$505,"○")&gt;0,1,0))</f>
        <v/>
      </c>
      <c r="BE247">
        <f>IF(BE$4=0,0,IF(COUNTIFS(実績!$W$6:$W$505,BE$3,実績!$AC$6:$AC$505,"&lt;="&amp;$A247,実績!$AD$6:$AD$505,"&gt;"&amp;$A247,実績!$AE$6:$AE$505,"○")&gt;0,1,0))</f>
        <v/>
      </c>
      <c r="BF247">
        <f>IF(BF$4=0,0,IF(COUNTIFS(実績!$W$6:$W$505,BF$3,実績!$AC$6:$AC$505,"&lt;="&amp;$A247,実績!$AD$6:$AD$505,"&gt;"&amp;$A247,実績!$AE$6:$AE$505,"○")&gt;0,1,0))</f>
        <v/>
      </c>
      <c r="BG247">
        <f>IF(BG$4=0,0,IF(COUNTIFS(実績!$W$6:$W$505,BG$3,実績!$AC$6:$AC$505,"&lt;="&amp;$A247,実績!$AD$6:$AD$505,"&gt;"&amp;$A247,実績!$AE$6:$AE$505,"○")&gt;0,1,0))</f>
        <v/>
      </c>
      <c r="BH247">
        <f>IF(BH$4=0,0,IF(COUNTIFS(実績!$W$6:$W$505,BH$3,実績!$AC$6:$AC$505,"&lt;="&amp;$A247,実績!$AD$6:$AD$505,"&gt;"&amp;$A247,実績!$AE$6:$AE$505,"○")&gt;0,1,0))</f>
        <v/>
      </c>
      <c r="BI247">
        <f>IF(BI$4=0,0,IF(COUNTIFS(実績!$W$6:$W$505,BI$3,実績!$AC$6:$AC$505,"&lt;="&amp;$A247,実績!$AD$6:$AD$505,"&gt;"&amp;$A247,実績!$AE$6:$AE$505,"○")&gt;0,1,0))</f>
        <v/>
      </c>
      <c r="BJ247">
        <f>IF(BJ$4=0,0,IF(COUNTIFS(実績!$W$6:$W$505,BJ$3,実績!$AC$6:$AC$505,"&lt;="&amp;$A247,実績!$AD$6:$AD$505,"&gt;"&amp;$A247,実績!$AE$6:$AE$505,"○")&gt;0,1,0))</f>
        <v/>
      </c>
      <c r="BK247">
        <f>IF(BK$4=0,0,IF(COUNTIFS(実績!$W$6:$W$505,BK$3,実績!$AC$6:$AC$505,"&lt;="&amp;$A247,実績!$AD$6:$AD$505,"&gt;"&amp;$A247,実績!$AE$6:$AE$505,"○")&gt;0,1,0))</f>
        <v/>
      </c>
      <c r="BL247">
        <f>IF(BL$4=0,0,IF(COUNTIFS(実績!$W$6:$W$505,BL$3,実績!$AC$6:$AC$505,"&lt;="&amp;$A247,実績!$AD$6:$AD$505,"&gt;"&amp;$A247,実績!$AE$6:$AE$505,"○")&gt;0,1,0))</f>
        <v/>
      </c>
      <c r="BM247">
        <f>IF(BM$4=0,0,IF(COUNTIFS(実績!$W$6:$W$505,BM$3,実績!$AC$6:$AC$505,"&lt;="&amp;$A247,実績!$AD$6:$AD$505,"&gt;"&amp;$A247,実績!$AE$6:$AE$505,"○")&gt;0,1,0))</f>
        <v/>
      </c>
      <c r="BN247">
        <f>IF(BN$4=0,0,IF(COUNTIFS(実績!$W$6:$W$505,BN$3,実績!$AC$6:$AC$505,"&lt;="&amp;$A247,実績!$AD$6:$AD$505,"&gt;"&amp;$A247,実績!$AE$6:$AE$505,"○")&gt;0,1,0))</f>
        <v/>
      </c>
      <c r="BO247">
        <f>IF(BO$4=0,0,IF(COUNTIFS(実績!$W$6:$W$505,BO$3,実績!$AC$6:$AC$505,"&lt;="&amp;$A247,実績!$AD$6:$AD$505,"&gt;"&amp;$A247,実績!$AE$6:$AE$505,"○")&gt;0,1,0))</f>
        <v/>
      </c>
      <c r="BP247">
        <f>IF(BP$4=0,0,IF(COUNTIFS(実績!$W$6:$W$505,BP$3,実績!$AC$6:$AC$505,"&lt;="&amp;$A247,実績!$AD$6:$AD$505,"&gt;"&amp;$A247,実績!$AE$6:$AE$505,"○")&gt;0,1,0))</f>
        <v/>
      </c>
      <c r="BQ247">
        <f>IF(BQ$4=0,0,IF(COUNTIFS(実績!$W$6:$W$505,BQ$3,実績!$AC$6:$AC$505,"&lt;="&amp;$A247,実績!$AD$6:$AD$505,"&gt;"&amp;$A247,実績!$AE$6:$AE$505,"○")&gt;0,1,0))</f>
        <v/>
      </c>
      <c r="BR247">
        <f>IF(BR$4=0,0,IF(COUNTIFS(実績!$W$6:$W$505,BR$3,実績!$AC$6:$AC$505,"&lt;="&amp;$A247,実績!$AD$6:$AD$505,"&gt;"&amp;$A247,実績!$AE$6:$AE$505,"○")&gt;0,1,0))</f>
        <v/>
      </c>
      <c r="BS247">
        <f>IF(BS$4=0,0,IF(COUNTIFS(実績!$W$6:$W$505,BS$3,実績!$AC$6:$AC$505,"&lt;="&amp;$A247,実績!$AD$6:$AD$505,"&gt;"&amp;$A247,実績!$AE$6:$AE$505,"○")&gt;0,1,0))</f>
        <v/>
      </c>
      <c r="BT247">
        <f>IF(BT$4=0,0,IF(COUNTIFS(実績!$W$6:$W$505,BT$3,実績!$AC$6:$AC$505,"&lt;="&amp;$A247,実績!$AD$6:$AD$505,"&gt;"&amp;$A247,実績!$AE$6:$AE$505,"○")&gt;0,1,0))</f>
        <v/>
      </c>
      <c r="BU247">
        <f>IF(BU$4=0,0,IF(COUNTIFS(実績!$W$6:$W$505,BU$3,実績!$AC$6:$AC$505,"&lt;="&amp;$A247,実績!$AD$6:$AD$505,"&gt;"&amp;$A247,実績!$AE$6:$AE$505,"○")&gt;0,1,0))</f>
        <v/>
      </c>
      <c r="BV247">
        <f>IF(BV$4=0,0,IF(COUNTIFS(実績!$W$6:$W$505,BV$3,実績!$AC$6:$AC$505,"&lt;="&amp;$A247,実績!$AD$6:$AD$505,"&gt;"&amp;$A247,実績!$AE$6:$AE$505,"○")&gt;0,1,0))</f>
        <v/>
      </c>
      <c r="BW247">
        <f>IF(BW$4=0,0,IF(COUNTIFS(実績!$W$6:$W$505,BW$3,実績!$AC$6:$AC$505,"&lt;="&amp;$A247,実績!$AD$6:$AD$505,"&gt;"&amp;$A247,実績!$AE$6:$AE$505,"○")&gt;0,1,0))</f>
        <v/>
      </c>
      <c r="BX247">
        <f>IF(BX$4=0,0,IF(COUNTIFS(実績!$W$6:$W$505,BX$3,実績!$AC$6:$AC$505,"&lt;="&amp;$A247,実績!$AD$6:$AD$505,"&gt;"&amp;$A247,実績!$AE$6:$AE$505,"○")&gt;0,1,0))</f>
        <v/>
      </c>
      <c r="BY247">
        <f>IF(BY$4=0,0,IF(COUNTIFS(実績!$W$6:$W$505,BY$3,実績!$AC$6:$AC$505,"&lt;="&amp;$A247,実績!$AD$6:$AD$505,"&gt;"&amp;$A247,実績!$AE$6:$AE$505,"○")&gt;0,1,0))</f>
        <v/>
      </c>
      <c r="BZ247">
        <f>IF(BZ$4=0,0,IF(COUNTIFS(実績!$W$6:$W$505,BZ$3,実績!$AC$6:$AC$505,"&lt;="&amp;$A247,実績!$AD$6:$AD$505,"&gt;"&amp;$A247,実績!$AE$6:$AE$505,"○")&gt;0,1,0))</f>
        <v/>
      </c>
      <c r="CA247">
        <f>IF(CA$4=0,0,IF(COUNTIFS(実績!$W$6:$W$505,CA$3,実績!$AC$6:$AC$505,"&lt;="&amp;$A247,実績!$AD$6:$AD$505,"&gt;"&amp;$A247,実績!$AE$6:$AE$505,"○")&gt;0,1,0))</f>
        <v/>
      </c>
      <c r="CB247">
        <f>IF(CB$4=0,0,IF(COUNTIFS(実績!$W$6:$W$505,CB$3,実績!$AC$6:$AC$505,"&lt;="&amp;$A247,実績!$AD$6:$AD$505,"&gt;"&amp;$A247,実績!$AE$6:$AE$505,"○")&gt;0,1,0))</f>
        <v/>
      </c>
      <c r="CC247">
        <f>IF(CC$4=0,0,IF(COUNTIFS(実績!$W$6:$W$505,CC$3,実績!$AC$6:$AC$505,"&lt;="&amp;$A247,実績!$AD$6:$AD$505,"&gt;"&amp;$A247,実績!$AE$6:$AE$505,"○")&gt;0,1,0))</f>
        <v/>
      </c>
      <c r="CD247">
        <f>IF(CD$4=0,0,IF(COUNTIFS(実績!$W$6:$W$505,CD$3,実績!$AC$6:$AC$505,"&lt;="&amp;$A247,実績!$AD$6:$AD$505,"&gt;"&amp;$A247,実績!$AE$6:$AE$505,"○")&gt;0,1,0))</f>
        <v/>
      </c>
      <c r="CE247">
        <f>IF(CE$4=0,0,IF(COUNTIFS(実績!$W$6:$W$505,CE$3,実績!$AC$6:$AC$505,"&lt;="&amp;$A247,実績!$AD$6:$AD$505,"&gt;"&amp;$A247,実績!$AE$6:$AE$505,"○")&gt;0,1,0))</f>
        <v/>
      </c>
      <c r="CF247">
        <f>IF(CF$4=0,0,IF(COUNTIFS(実績!$W$6:$W$505,CF$3,実績!$AC$6:$AC$505,"&lt;="&amp;$A247,実績!$AD$6:$AD$505,"&gt;"&amp;$A247,実績!$AE$6:$AE$505,"○")&gt;0,1,0))</f>
        <v/>
      </c>
      <c r="CG247">
        <f>IF(CG$4=0,0,IF(COUNTIFS(実績!$W$6:$W$505,CG$3,実績!$AC$6:$AC$505,"&lt;="&amp;$A247,実績!$AD$6:$AD$505,"&gt;"&amp;$A247,実績!$AE$6:$AE$505,"○")&gt;0,1,0))</f>
        <v/>
      </c>
      <c r="CH247">
        <f>IF(CH$4=0,0,IF(COUNTIFS(実績!$W$6:$W$505,CH$3,実績!$AC$6:$AC$505,"&lt;="&amp;$A247,実績!$AD$6:$AD$505,"&gt;"&amp;$A247,実績!$AE$6:$AE$505,"○")&gt;0,1,0))</f>
        <v/>
      </c>
      <c r="CI247">
        <f>IF(CI$4=0,0,IF(COUNTIFS(実績!$W$6:$W$505,CI$3,実績!$AC$6:$AC$505,"&lt;="&amp;$A247,実績!$AD$6:$AD$505,"&gt;"&amp;$A247,実績!$AE$6:$AE$505,"○")&gt;0,1,0))</f>
        <v/>
      </c>
      <c r="CJ247">
        <f>IF(CJ$4=0,0,IF(COUNTIFS(実績!$W$6:$W$505,CJ$3,実績!$AC$6:$AC$505,"&lt;="&amp;$A247,実績!$AD$6:$AD$505,"&gt;"&amp;$A247,実績!$AE$6:$AE$505,"○")&gt;0,1,0))</f>
        <v/>
      </c>
      <c r="CK247">
        <f>IF(CK$4=0,0,IF(COUNTIFS(実績!$W$6:$W$505,CK$3,実績!$AC$6:$AC$505,"&lt;="&amp;$A247,実績!$AD$6:$AD$505,"&gt;"&amp;$A247,実績!$AE$6:$AE$505,"○")&gt;0,1,0))</f>
        <v/>
      </c>
      <c r="CL247">
        <f>IF(CL$4=0,0,IF(COUNTIFS(実績!$W$6:$W$505,CL$3,実績!$AC$6:$AC$505,"&lt;="&amp;$A247,実績!$AD$6:$AD$505,"&gt;"&amp;$A247,実績!$AE$6:$AE$505,"○")&gt;0,1,0))</f>
        <v/>
      </c>
      <c r="CM247">
        <f>IF(CM$4=0,0,IF(COUNTIFS(実績!$W$6:$W$505,CM$3,実績!$AC$6:$AC$505,"&lt;="&amp;$A247,実績!$AD$6:$AD$505,"&gt;"&amp;$A247,実績!$AE$6:$AE$505,"○")&gt;0,1,0))</f>
        <v/>
      </c>
      <c r="CN247">
        <f>IF(CN$4=0,0,IF(COUNTIFS(実績!$W$6:$W$505,CN$3,実績!$AC$6:$AC$505,"&lt;="&amp;$A247,実績!$AD$6:$AD$505,"&gt;"&amp;$A247,実績!$AE$6:$AE$505,"○")&gt;0,1,0))</f>
        <v/>
      </c>
      <c r="CO247">
        <f>IF(CO$4=0,0,IF(COUNTIFS(実績!$W$6:$W$505,CO$3,実績!$AC$6:$AC$505,"&lt;="&amp;$A247,実績!$AD$6:$AD$505,"&gt;"&amp;$A247,実績!$AE$6:$AE$505,"○")&gt;0,1,0))</f>
        <v/>
      </c>
      <c r="CP247">
        <f>IF(CP$4=0,0,IF(COUNTIFS(実績!$W$6:$W$505,CP$3,実績!$AC$6:$AC$505,"&lt;="&amp;$A247,実績!$AD$6:$AD$505,"&gt;"&amp;$A247,実績!$AE$6:$AE$505,"○")&gt;0,1,0))</f>
        <v/>
      </c>
      <c r="CQ247">
        <f>IF(CQ$4=0,0,IF(COUNTIFS(実績!$W$6:$W$505,CQ$3,実績!$AC$6:$AC$505,"&lt;="&amp;$A247,実績!$AD$6:$AD$505,"&gt;"&amp;$A247,実績!$AE$6:$AE$505,"○")&gt;0,1,0))</f>
        <v/>
      </c>
      <c r="CR247">
        <f>IF(CR$4=0,0,IF(COUNTIFS(実績!$W$6:$W$505,CR$3,実績!$AC$6:$AC$505,"&lt;="&amp;$A247,実績!$AD$6:$AD$505,"&gt;"&amp;$A247,実績!$AE$6:$AE$505,"○")&gt;0,1,0))</f>
        <v/>
      </c>
      <c r="CS247">
        <f>IF(CS$4=0,0,IF(COUNTIFS(実績!$W$6:$W$505,CS$3,実績!$AC$6:$AC$505,"&lt;="&amp;$A247,実績!$AD$6:$AD$505,"&gt;"&amp;$A247,実績!$AE$6:$AE$505,"○")&gt;0,1,0))</f>
        <v/>
      </c>
      <c r="CT247">
        <f>IF(CT$4=0,0,IF(COUNTIFS(実績!$W$6:$W$505,CT$3,実績!$AC$6:$AC$505,"&lt;="&amp;$A247,実績!$AD$6:$AD$505,"&gt;"&amp;$A247,実績!$AE$6:$AE$505,"○")&gt;0,1,0))</f>
        <v/>
      </c>
      <c r="CU247">
        <f>IF(CU$4=0,0,IF(COUNTIFS(実績!$W$6:$W$505,CU$3,実績!$AC$6:$AC$505,"&lt;="&amp;$A247,実績!$AD$6:$AD$505,"&gt;"&amp;$A247,実績!$AE$6:$AE$505,"○")&gt;0,1,0))</f>
        <v/>
      </c>
      <c r="CV247">
        <f>IF(CV$4=0,0,IF(COUNTIFS(実績!$W$6:$W$505,CV$3,実績!$AC$6:$AC$505,"&lt;="&amp;$A247,実績!$AD$6:$AD$505,"&gt;"&amp;$A247,実績!$AE$6:$AE$505,"○")&gt;0,1,0))</f>
        <v/>
      </c>
      <c r="CW247">
        <f>IF(CW$4=0,0,IF(COUNTIFS(実績!$W$6:$W$505,CW$3,実績!$AC$6:$AC$505,"&lt;="&amp;$A247,実績!$AD$6:$AD$505,"&gt;"&amp;$A247,実績!$AE$6:$AE$505,"○")&gt;0,1,0))</f>
        <v/>
      </c>
      <c r="CX247">
        <f>IF(CX$4=0,0,IF(COUNTIFS(実績!$W$6:$W$505,CX$3,実績!$AC$6:$AC$505,"&lt;="&amp;$A247,実績!$AD$6:$AD$505,"&gt;"&amp;$A247,実績!$AE$6:$AE$505,"○")&gt;0,1,0))</f>
        <v/>
      </c>
      <c r="CY247">
        <f>IF(CY$4=0,0,IF(COUNTIFS(実績!$W$6:$W$505,CY$3,実績!$AC$6:$AC$505,"&lt;="&amp;$A247,実績!$AD$6:$AD$505,"&gt;"&amp;$A247,実績!$AE$6:$AE$505,"○")&gt;0,1,0))</f>
        <v/>
      </c>
      <c r="CZ247">
        <f>IF(CZ$4=0,0,IF(COUNTIFS(実績!$W$6:$W$505,CZ$3,実績!$AC$6:$AC$505,"&lt;="&amp;$A247,実績!$AD$6:$AD$505,"&gt;"&amp;$A247,実績!$AE$6:$AE$505,"○")&gt;0,1,0))</f>
        <v/>
      </c>
      <c r="DA247">
        <f>IF(DA$4=0,0,IF(COUNTIFS(実績!$W$6:$W$505,DA$3,実績!$AC$6:$AC$505,"&lt;="&amp;$A247,実績!$AD$6:$AD$505,"&gt;"&amp;$A247,実績!$AE$6:$AE$505,"○")&gt;0,1,0))</f>
        <v/>
      </c>
      <c r="DB247">
        <f>IF(DB$4=0,0,IF(COUNTIFS(実績!$W$6:$W$505,DB$3,実績!$AC$6:$AC$505,"&lt;="&amp;$A247,実績!$AD$6:$AD$505,"&gt;"&amp;$A247,実績!$AE$6:$AE$505,"○")&gt;0,1,0))</f>
        <v/>
      </c>
      <c r="DC247">
        <f>IF(DC$4=0,0,IF(COUNTIFS(実績!$W$6:$W$505,DC$3,実績!$AC$6:$AC$505,"&lt;="&amp;$A247,実績!$AD$6:$AD$505,"&gt;"&amp;$A247,実績!$AE$6:$AE$505,"○")&gt;0,1,0))</f>
        <v/>
      </c>
      <c r="DD247">
        <f>IF(DD$4=0,0,IF(COUNTIFS(実績!$W$6:$W$505,DD$3,実績!$AC$6:$AC$505,"&lt;="&amp;$A247,実績!$AD$6:$AD$505,"&gt;"&amp;$A247,実績!$AE$6:$AE$505,"○")&gt;0,1,0))</f>
        <v/>
      </c>
      <c r="DE247">
        <f>IF(DE$4=0,0,IF(COUNTIFS(実績!$W$6:$W$505,DE$3,実績!$AC$6:$AC$505,"&lt;="&amp;$A247,実績!$AD$6:$AD$505,"&gt;"&amp;$A247,実績!$AE$6:$AE$505,"○")&gt;0,1,0))</f>
        <v/>
      </c>
      <c r="DF247">
        <f>IF(DF$4=0,0,IF(COUNTIFS(実績!$W$6:$W$505,DF$3,実績!$AC$6:$AC$505,"&lt;="&amp;$A247,実績!$AD$6:$AD$505,"&gt;"&amp;$A247,実績!$AE$6:$AE$505,"○")&gt;0,1,0))</f>
        <v/>
      </c>
      <c r="DG247">
        <f>IF(DG$4=0,0,IF(COUNTIFS(実績!$W$6:$W$505,DG$3,実績!$AC$6:$AC$505,"&lt;="&amp;$A247,実績!$AD$6:$AD$505,"&gt;"&amp;$A247,実績!$AE$6:$AE$505,"○")&gt;0,1,0))</f>
        <v/>
      </c>
      <c r="DH247">
        <f>IF(DH$4=0,0,IF(COUNTIFS(実績!$W$6:$W$505,DH$3,実績!$AC$6:$AC$505,"&lt;="&amp;$A247,実績!$AD$6:$AD$505,"&gt;"&amp;$A247,実績!$AE$6:$AE$505,"○")&gt;0,1,0))</f>
        <v/>
      </c>
      <c r="DI247">
        <f>IF(DI$4=0,0,IF(COUNTIFS(実績!$W$6:$W$505,DI$3,実績!$AC$6:$AC$505,"&lt;="&amp;$A247,実績!$AD$6:$AD$505,"&gt;"&amp;$A247,実績!$AE$6:$AE$505,"○")&gt;0,1,0))</f>
        <v/>
      </c>
      <c r="DJ247">
        <f>IF(DJ$4=0,0,IF(COUNTIFS(実績!$W$6:$W$505,DJ$3,実績!$AC$6:$AC$505,"&lt;="&amp;$A247,実績!$AD$6:$AD$505,"&gt;"&amp;$A247,実績!$AE$6:$AE$505,"○")&gt;0,1,0))</f>
        <v/>
      </c>
      <c r="DK247">
        <f>IF(DK$4=0,0,IF(COUNTIFS(実績!$W$6:$W$505,DK$3,実績!$AC$6:$AC$505,"&lt;="&amp;$A247,実績!$AD$6:$AD$505,"&gt;"&amp;$A247,実績!$AE$6:$AE$505,"○")&gt;0,1,0))</f>
        <v/>
      </c>
      <c r="DL247">
        <f>IF(DL$4=0,0,IF(COUNTIFS(実績!$W$6:$W$505,DL$3,実績!$AC$6:$AC$505,"&lt;="&amp;$A247,実績!$AD$6:$AD$505,"&gt;"&amp;$A247,実績!$AE$6:$AE$505,"○")&gt;0,1,0))</f>
        <v/>
      </c>
      <c r="DM247">
        <f>IF(DM$4=0,0,IF(COUNTIFS(実績!$W$6:$W$505,DM$3,実績!$AC$6:$AC$505,"&lt;="&amp;$A247,実績!$AD$6:$AD$505,"&gt;"&amp;$A247,実績!$AE$6:$AE$505,"○")&gt;0,1,0))</f>
        <v/>
      </c>
      <c r="DN247">
        <f>IF(DN$4=0,0,IF(COUNTIFS(実績!$W$6:$W$505,DN$3,実績!$AC$6:$AC$505,"&lt;="&amp;$A247,実績!$AD$6:$AD$505,"&gt;"&amp;$A247,実績!$AE$6:$AE$505,"○")&gt;0,1,0))</f>
        <v/>
      </c>
      <c r="DO247">
        <f>IF(DO$4=0,0,IF(COUNTIFS(実績!$W$6:$W$505,DO$3,実績!$AC$6:$AC$505,"&lt;="&amp;$A247,実績!$AD$6:$AD$505,"&gt;"&amp;$A247,実績!$AE$6:$AE$505,"○")&gt;0,1,0))</f>
        <v/>
      </c>
      <c r="DP247">
        <f>IF(DP$4=0,0,IF(COUNTIFS(実績!$W$6:$W$505,DP$3,実績!$AC$6:$AC$505,"&lt;="&amp;$A247,実績!$AD$6:$AD$505,"&gt;"&amp;$A247,実績!$AE$6:$AE$505,"○")&gt;0,1,0))</f>
        <v/>
      </c>
      <c r="DQ247">
        <f>IF(DQ$4=0,0,IF(COUNTIFS(実績!$W$6:$W$505,DQ$3,実績!$AC$6:$AC$505,"&lt;="&amp;$A247,実績!$AD$6:$AD$505,"&gt;"&amp;$A247,実績!$AE$6:$AE$505,"○")&gt;0,1,0))</f>
        <v/>
      </c>
      <c r="DR247">
        <f>IF(DR$4=0,0,IF(COUNTIFS(実績!$W$6:$W$505,DR$3,実績!$AC$6:$AC$505,"&lt;="&amp;$A247,実績!$AD$6:$AD$505,"&gt;"&amp;$A247,実績!$AE$6:$AE$505,"○")&gt;0,1,0))</f>
        <v/>
      </c>
      <c r="DS247">
        <f>SUM(C247:DR247)</f>
        <v/>
      </c>
      <c r="DT247">
        <f>SUMPRODUCT((実績!$C$6:$C$505="○")*ISNUMBER(実績!$AF$6:$AF$505)*(実績!$AF$6:$AF$505&lt;=$A247)*(実績!$AG$6:$AG$505&gt;$A247))</f>
        <v/>
      </c>
      <c r="DU247">
        <f>SUMIF($C$2:$DR$2,"製鉄曳船",C247:DR247)</f>
        <v/>
      </c>
      <c r="DV247">
        <f>SUMIF($C$2:$DR$2,"西日本海運",C247:DR247)</f>
        <v/>
      </c>
    </row>
    <row r="248">
      <c r="A248" t="n">
        <v>1210</v>
      </c>
      <c r="B248" s="29">
        <f>A248/1440</f>
        <v/>
      </c>
      <c r="C248">
        <f>IF(C$4=0,0,IF(COUNTIFS(実績!$W$6:$W$505,C$3,実績!$AC$6:$AC$505,"&lt;="&amp;$A248,実績!$AD$6:$AD$505,"&gt;"&amp;$A248,実績!$AE$6:$AE$505,"○")&gt;0,1,0))</f>
        <v/>
      </c>
      <c r="D248">
        <f>IF(D$4=0,0,IF(COUNTIFS(実績!$W$6:$W$505,D$3,実績!$AC$6:$AC$505,"&lt;="&amp;$A248,実績!$AD$6:$AD$505,"&gt;"&amp;$A248,実績!$AE$6:$AE$505,"○")&gt;0,1,0))</f>
        <v/>
      </c>
      <c r="E248">
        <f>IF(E$4=0,0,IF(COUNTIFS(実績!$W$6:$W$505,E$3,実績!$AC$6:$AC$505,"&lt;="&amp;$A248,実績!$AD$6:$AD$505,"&gt;"&amp;$A248,実績!$AE$6:$AE$505,"○")&gt;0,1,0))</f>
        <v/>
      </c>
      <c r="F248">
        <f>IF(F$4=0,0,IF(COUNTIFS(実績!$W$6:$W$505,F$3,実績!$AC$6:$AC$505,"&lt;="&amp;$A248,実績!$AD$6:$AD$505,"&gt;"&amp;$A248,実績!$AE$6:$AE$505,"○")&gt;0,1,0))</f>
        <v/>
      </c>
      <c r="G248">
        <f>IF(G$4=0,0,IF(COUNTIFS(実績!$W$6:$W$505,G$3,実績!$AC$6:$AC$505,"&lt;="&amp;$A248,実績!$AD$6:$AD$505,"&gt;"&amp;$A248,実績!$AE$6:$AE$505,"○")&gt;0,1,0))</f>
        <v/>
      </c>
      <c r="H248">
        <f>IF(H$4=0,0,IF(COUNTIFS(実績!$W$6:$W$505,H$3,実績!$AC$6:$AC$505,"&lt;="&amp;$A248,実績!$AD$6:$AD$505,"&gt;"&amp;$A248,実績!$AE$6:$AE$505,"○")&gt;0,1,0))</f>
        <v/>
      </c>
      <c r="I248">
        <f>IF(I$4=0,0,IF(COUNTIFS(実績!$W$6:$W$505,I$3,実績!$AC$6:$AC$505,"&lt;="&amp;$A248,実績!$AD$6:$AD$505,"&gt;"&amp;$A248,実績!$AE$6:$AE$505,"○")&gt;0,1,0))</f>
        <v/>
      </c>
      <c r="J248">
        <f>IF(J$4=0,0,IF(COUNTIFS(実績!$W$6:$W$505,J$3,実績!$AC$6:$AC$505,"&lt;="&amp;$A248,実績!$AD$6:$AD$505,"&gt;"&amp;$A248,実績!$AE$6:$AE$505,"○")&gt;0,1,0))</f>
        <v/>
      </c>
      <c r="K248">
        <f>IF(K$4=0,0,IF(COUNTIFS(実績!$W$6:$W$505,K$3,実績!$AC$6:$AC$505,"&lt;="&amp;$A248,実績!$AD$6:$AD$505,"&gt;"&amp;$A248,実績!$AE$6:$AE$505,"○")&gt;0,1,0))</f>
        <v/>
      </c>
      <c r="L248">
        <f>IF(L$4=0,0,IF(COUNTIFS(実績!$W$6:$W$505,L$3,実績!$AC$6:$AC$505,"&lt;="&amp;$A248,実績!$AD$6:$AD$505,"&gt;"&amp;$A248,実績!$AE$6:$AE$505,"○")&gt;0,1,0))</f>
        <v/>
      </c>
      <c r="M248">
        <f>IF(M$4=0,0,IF(COUNTIFS(実績!$W$6:$W$505,M$3,実績!$AC$6:$AC$505,"&lt;="&amp;$A248,実績!$AD$6:$AD$505,"&gt;"&amp;$A248,実績!$AE$6:$AE$505,"○")&gt;0,1,0))</f>
        <v/>
      </c>
      <c r="N248">
        <f>IF(N$4=0,0,IF(COUNTIFS(実績!$W$6:$W$505,N$3,実績!$AC$6:$AC$505,"&lt;="&amp;$A248,実績!$AD$6:$AD$505,"&gt;"&amp;$A248,実績!$AE$6:$AE$505,"○")&gt;0,1,0))</f>
        <v/>
      </c>
      <c r="O248">
        <f>IF(O$4=0,0,IF(COUNTIFS(実績!$W$6:$W$505,O$3,実績!$AC$6:$AC$505,"&lt;="&amp;$A248,実績!$AD$6:$AD$505,"&gt;"&amp;$A248,実績!$AE$6:$AE$505,"○")&gt;0,1,0))</f>
        <v/>
      </c>
      <c r="P248">
        <f>IF(P$4=0,0,IF(COUNTIFS(実績!$W$6:$W$505,P$3,実績!$AC$6:$AC$505,"&lt;="&amp;$A248,実績!$AD$6:$AD$505,"&gt;"&amp;$A248,実績!$AE$6:$AE$505,"○")&gt;0,1,0))</f>
        <v/>
      </c>
      <c r="Q248">
        <f>IF(Q$4=0,0,IF(COUNTIFS(実績!$W$6:$W$505,Q$3,実績!$AC$6:$AC$505,"&lt;="&amp;$A248,実績!$AD$6:$AD$505,"&gt;"&amp;$A248,実績!$AE$6:$AE$505,"○")&gt;0,1,0))</f>
        <v/>
      </c>
      <c r="R248">
        <f>IF(R$4=0,0,IF(COUNTIFS(実績!$W$6:$W$505,R$3,実績!$AC$6:$AC$505,"&lt;="&amp;$A248,実績!$AD$6:$AD$505,"&gt;"&amp;$A248,実績!$AE$6:$AE$505,"○")&gt;0,1,0))</f>
        <v/>
      </c>
      <c r="S248">
        <f>IF(S$4=0,0,IF(COUNTIFS(実績!$W$6:$W$505,S$3,実績!$AC$6:$AC$505,"&lt;="&amp;$A248,実績!$AD$6:$AD$505,"&gt;"&amp;$A248,実績!$AE$6:$AE$505,"○")&gt;0,1,0))</f>
        <v/>
      </c>
      <c r="T248">
        <f>IF(T$4=0,0,IF(COUNTIFS(実績!$W$6:$W$505,T$3,実績!$AC$6:$AC$505,"&lt;="&amp;$A248,実績!$AD$6:$AD$505,"&gt;"&amp;$A248,実績!$AE$6:$AE$505,"○")&gt;0,1,0))</f>
        <v/>
      </c>
      <c r="U248">
        <f>IF(U$4=0,0,IF(COUNTIFS(実績!$W$6:$W$505,U$3,実績!$AC$6:$AC$505,"&lt;="&amp;$A248,実績!$AD$6:$AD$505,"&gt;"&amp;$A248,実績!$AE$6:$AE$505,"○")&gt;0,1,0))</f>
        <v/>
      </c>
      <c r="V248">
        <f>IF(V$4=0,0,IF(COUNTIFS(実績!$W$6:$W$505,V$3,実績!$AC$6:$AC$505,"&lt;="&amp;$A248,実績!$AD$6:$AD$505,"&gt;"&amp;$A248,実績!$AE$6:$AE$505,"○")&gt;0,1,0))</f>
        <v/>
      </c>
      <c r="W248">
        <f>IF(W$4=0,0,IF(COUNTIFS(実績!$W$6:$W$505,W$3,実績!$AC$6:$AC$505,"&lt;="&amp;$A248,実績!$AD$6:$AD$505,"&gt;"&amp;$A248,実績!$AE$6:$AE$505,"○")&gt;0,1,0))</f>
        <v/>
      </c>
      <c r="X248">
        <f>IF(X$4=0,0,IF(COUNTIFS(実績!$W$6:$W$505,X$3,実績!$AC$6:$AC$505,"&lt;="&amp;$A248,実績!$AD$6:$AD$505,"&gt;"&amp;$A248,実績!$AE$6:$AE$505,"○")&gt;0,1,0))</f>
        <v/>
      </c>
      <c r="Y248">
        <f>IF(Y$4=0,0,IF(COUNTIFS(実績!$W$6:$W$505,Y$3,実績!$AC$6:$AC$505,"&lt;="&amp;$A248,実績!$AD$6:$AD$505,"&gt;"&amp;$A248,実績!$AE$6:$AE$505,"○")&gt;0,1,0))</f>
        <v/>
      </c>
      <c r="Z248">
        <f>IF(Z$4=0,0,IF(COUNTIFS(実績!$W$6:$W$505,Z$3,実績!$AC$6:$AC$505,"&lt;="&amp;$A248,実績!$AD$6:$AD$505,"&gt;"&amp;$A248,実績!$AE$6:$AE$505,"○")&gt;0,1,0))</f>
        <v/>
      </c>
      <c r="AA248">
        <f>IF(AA$4=0,0,IF(COUNTIFS(実績!$W$6:$W$505,AA$3,実績!$AC$6:$AC$505,"&lt;="&amp;$A248,実績!$AD$6:$AD$505,"&gt;"&amp;$A248,実績!$AE$6:$AE$505,"○")&gt;0,1,0))</f>
        <v/>
      </c>
      <c r="AB248">
        <f>IF(AB$4=0,0,IF(COUNTIFS(実績!$W$6:$W$505,AB$3,実績!$AC$6:$AC$505,"&lt;="&amp;$A248,実績!$AD$6:$AD$505,"&gt;"&amp;$A248,実績!$AE$6:$AE$505,"○")&gt;0,1,0))</f>
        <v/>
      </c>
      <c r="AC248">
        <f>IF(AC$4=0,0,IF(COUNTIFS(実績!$W$6:$W$505,AC$3,実績!$AC$6:$AC$505,"&lt;="&amp;$A248,実績!$AD$6:$AD$505,"&gt;"&amp;$A248,実績!$AE$6:$AE$505,"○")&gt;0,1,0))</f>
        <v/>
      </c>
      <c r="AD248">
        <f>IF(AD$4=0,0,IF(COUNTIFS(実績!$W$6:$W$505,AD$3,実績!$AC$6:$AC$505,"&lt;="&amp;$A248,実績!$AD$6:$AD$505,"&gt;"&amp;$A248,実績!$AE$6:$AE$505,"○")&gt;0,1,0))</f>
        <v/>
      </c>
      <c r="AE248">
        <f>IF(AE$4=0,0,IF(COUNTIFS(実績!$W$6:$W$505,AE$3,実績!$AC$6:$AC$505,"&lt;="&amp;$A248,実績!$AD$6:$AD$505,"&gt;"&amp;$A248,実績!$AE$6:$AE$505,"○")&gt;0,1,0))</f>
        <v/>
      </c>
      <c r="AF248">
        <f>IF(AF$4=0,0,IF(COUNTIFS(実績!$W$6:$W$505,AF$3,実績!$AC$6:$AC$505,"&lt;="&amp;$A248,実績!$AD$6:$AD$505,"&gt;"&amp;$A248,実績!$AE$6:$AE$505,"○")&gt;0,1,0))</f>
        <v/>
      </c>
      <c r="AG248">
        <f>IF(AG$4=0,0,IF(COUNTIFS(実績!$W$6:$W$505,AG$3,実績!$AC$6:$AC$505,"&lt;="&amp;$A248,実績!$AD$6:$AD$505,"&gt;"&amp;$A248,実績!$AE$6:$AE$505,"○")&gt;0,1,0))</f>
        <v/>
      </c>
      <c r="AH248">
        <f>IF(AH$4=0,0,IF(COUNTIFS(実績!$W$6:$W$505,AH$3,実績!$AC$6:$AC$505,"&lt;="&amp;$A248,実績!$AD$6:$AD$505,"&gt;"&amp;$A248,実績!$AE$6:$AE$505,"○")&gt;0,1,0))</f>
        <v/>
      </c>
      <c r="AI248">
        <f>IF(AI$4=0,0,IF(COUNTIFS(実績!$W$6:$W$505,AI$3,実績!$AC$6:$AC$505,"&lt;="&amp;$A248,実績!$AD$6:$AD$505,"&gt;"&amp;$A248,実績!$AE$6:$AE$505,"○")&gt;0,1,0))</f>
        <v/>
      </c>
      <c r="AJ248">
        <f>IF(AJ$4=0,0,IF(COUNTIFS(実績!$W$6:$W$505,AJ$3,実績!$AC$6:$AC$505,"&lt;="&amp;$A248,実績!$AD$6:$AD$505,"&gt;"&amp;$A248,実績!$AE$6:$AE$505,"○")&gt;0,1,0))</f>
        <v/>
      </c>
      <c r="AK248">
        <f>IF(AK$4=0,0,IF(COUNTIFS(実績!$W$6:$W$505,AK$3,実績!$AC$6:$AC$505,"&lt;="&amp;$A248,実績!$AD$6:$AD$505,"&gt;"&amp;$A248,実績!$AE$6:$AE$505,"○")&gt;0,1,0))</f>
        <v/>
      </c>
      <c r="AL248">
        <f>IF(AL$4=0,0,IF(COUNTIFS(実績!$W$6:$W$505,AL$3,実績!$AC$6:$AC$505,"&lt;="&amp;$A248,実績!$AD$6:$AD$505,"&gt;"&amp;$A248,実績!$AE$6:$AE$505,"○")&gt;0,1,0))</f>
        <v/>
      </c>
      <c r="AM248">
        <f>IF(AM$4=0,0,IF(COUNTIFS(実績!$W$6:$W$505,AM$3,実績!$AC$6:$AC$505,"&lt;="&amp;$A248,実績!$AD$6:$AD$505,"&gt;"&amp;$A248,実績!$AE$6:$AE$505,"○")&gt;0,1,0))</f>
        <v/>
      </c>
      <c r="AN248">
        <f>IF(AN$4=0,0,IF(COUNTIFS(実績!$W$6:$W$505,AN$3,実績!$AC$6:$AC$505,"&lt;="&amp;$A248,実績!$AD$6:$AD$505,"&gt;"&amp;$A248,実績!$AE$6:$AE$505,"○")&gt;0,1,0))</f>
        <v/>
      </c>
      <c r="AO248">
        <f>IF(AO$4=0,0,IF(COUNTIFS(実績!$W$6:$W$505,AO$3,実績!$AC$6:$AC$505,"&lt;="&amp;$A248,実績!$AD$6:$AD$505,"&gt;"&amp;$A248,実績!$AE$6:$AE$505,"○")&gt;0,1,0))</f>
        <v/>
      </c>
      <c r="AP248">
        <f>IF(AP$4=0,0,IF(COUNTIFS(実績!$W$6:$W$505,AP$3,実績!$AC$6:$AC$505,"&lt;="&amp;$A248,実績!$AD$6:$AD$505,"&gt;"&amp;$A248,実績!$AE$6:$AE$505,"○")&gt;0,1,0))</f>
        <v/>
      </c>
      <c r="AQ248">
        <f>IF(AQ$4=0,0,IF(COUNTIFS(実績!$W$6:$W$505,AQ$3,実績!$AC$6:$AC$505,"&lt;="&amp;$A248,実績!$AD$6:$AD$505,"&gt;"&amp;$A248,実績!$AE$6:$AE$505,"○")&gt;0,1,0))</f>
        <v/>
      </c>
      <c r="AR248">
        <f>IF(AR$4=0,0,IF(COUNTIFS(実績!$W$6:$W$505,AR$3,実績!$AC$6:$AC$505,"&lt;="&amp;$A248,実績!$AD$6:$AD$505,"&gt;"&amp;$A248,実績!$AE$6:$AE$505,"○")&gt;0,1,0))</f>
        <v/>
      </c>
      <c r="AS248">
        <f>IF(AS$4=0,0,IF(COUNTIFS(実績!$W$6:$W$505,AS$3,実績!$AC$6:$AC$505,"&lt;="&amp;$A248,実績!$AD$6:$AD$505,"&gt;"&amp;$A248,実績!$AE$6:$AE$505,"○")&gt;0,1,0))</f>
        <v/>
      </c>
      <c r="AT248">
        <f>IF(AT$4=0,0,IF(COUNTIFS(実績!$W$6:$W$505,AT$3,実績!$AC$6:$AC$505,"&lt;="&amp;$A248,実績!$AD$6:$AD$505,"&gt;"&amp;$A248,実績!$AE$6:$AE$505,"○")&gt;0,1,0))</f>
        <v/>
      </c>
      <c r="AU248">
        <f>IF(AU$4=0,0,IF(COUNTIFS(実績!$W$6:$W$505,AU$3,実績!$AC$6:$AC$505,"&lt;="&amp;$A248,実績!$AD$6:$AD$505,"&gt;"&amp;$A248,実績!$AE$6:$AE$505,"○")&gt;0,1,0))</f>
        <v/>
      </c>
      <c r="AV248">
        <f>IF(AV$4=0,0,IF(COUNTIFS(実績!$W$6:$W$505,AV$3,実績!$AC$6:$AC$505,"&lt;="&amp;$A248,実績!$AD$6:$AD$505,"&gt;"&amp;$A248,実績!$AE$6:$AE$505,"○")&gt;0,1,0))</f>
        <v/>
      </c>
      <c r="AW248">
        <f>IF(AW$4=0,0,IF(COUNTIFS(実績!$W$6:$W$505,AW$3,実績!$AC$6:$AC$505,"&lt;="&amp;$A248,実績!$AD$6:$AD$505,"&gt;"&amp;$A248,実績!$AE$6:$AE$505,"○")&gt;0,1,0))</f>
        <v/>
      </c>
      <c r="AX248">
        <f>IF(AX$4=0,0,IF(COUNTIFS(実績!$W$6:$W$505,AX$3,実績!$AC$6:$AC$505,"&lt;="&amp;$A248,実績!$AD$6:$AD$505,"&gt;"&amp;$A248,実績!$AE$6:$AE$505,"○")&gt;0,1,0))</f>
        <v/>
      </c>
      <c r="AY248">
        <f>IF(AY$4=0,0,IF(COUNTIFS(実績!$W$6:$W$505,AY$3,実績!$AC$6:$AC$505,"&lt;="&amp;$A248,実績!$AD$6:$AD$505,"&gt;"&amp;$A248,実績!$AE$6:$AE$505,"○")&gt;0,1,0))</f>
        <v/>
      </c>
      <c r="AZ248">
        <f>IF(AZ$4=0,0,IF(COUNTIFS(実績!$W$6:$W$505,AZ$3,実績!$AC$6:$AC$505,"&lt;="&amp;$A248,実績!$AD$6:$AD$505,"&gt;"&amp;$A248,実績!$AE$6:$AE$505,"○")&gt;0,1,0))</f>
        <v/>
      </c>
      <c r="BA248">
        <f>IF(BA$4=0,0,IF(COUNTIFS(実績!$W$6:$W$505,BA$3,実績!$AC$6:$AC$505,"&lt;="&amp;$A248,実績!$AD$6:$AD$505,"&gt;"&amp;$A248,実績!$AE$6:$AE$505,"○")&gt;0,1,0))</f>
        <v/>
      </c>
      <c r="BB248">
        <f>IF(BB$4=0,0,IF(COUNTIFS(実績!$W$6:$W$505,BB$3,実績!$AC$6:$AC$505,"&lt;="&amp;$A248,実績!$AD$6:$AD$505,"&gt;"&amp;$A248,実績!$AE$6:$AE$505,"○")&gt;0,1,0))</f>
        <v/>
      </c>
      <c r="BC248">
        <f>IF(BC$4=0,0,IF(COUNTIFS(実績!$W$6:$W$505,BC$3,実績!$AC$6:$AC$505,"&lt;="&amp;$A248,実績!$AD$6:$AD$505,"&gt;"&amp;$A248,実績!$AE$6:$AE$505,"○")&gt;0,1,0))</f>
        <v/>
      </c>
      <c r="BD248">
        <f>IF(BD$4=0,0,IF(COUNTIFS(実績!$W$6:$W$505,BD$3,実績!$AC$6:$AC$505,"&lt;="&amp;$A248,実績!$AD$6:$AD$505,"&gt;"&amp;$A248,実績!$AE$6:$AE$505,"○")&gt;0,1,0))</f>
        <v/>
      </c>
      <c r="BE248">
        <f>IF(BE$4=0,0,IF(COUNTIFS(実績!$W$6:$W$505,BE$3,実績!$AC$6:$AC$505,"&lt;="&amp;$A248,実績!$AD$6:$AD$505,"&gt;"&amp;$A248,実績!$AE$6:$AE$505,"○")&gt;0,1,0))</f>
        <v/>
      </c>
      <c r="BF248">
        <f>IF(BF$4=0,0,IF(COUNTIFS(実績!$W$6:$W$505,BF$3,実績!$AC$6:$AC$505,"&lt;="&amp;$A248,実績!$AD$6:$AD$505,"&gt;"&amp;$A248,実績!$AE$6:$AE$505,"○")&gt;0,1,0))</f>
        <v/>
      </c>
      <c r="BG248">
        <f>IF(BG$4=0,0,IF(COUNTIFS(実績!$W$6:$W$505,BG$3,実績!$AC$6:$AC$505,"&lt;="&amp;$A248,実績!$AD$6:$AD$505,"&gt;"&amp;$A248,実績!$AE$6:$AE$505,"○")&gt;0,1,0))</f>
        <v/>
      </c>
      <c r="BH248">
        <f>IF(BH$4=0,0,IF(COUNTIFS(実績!$W$6:$W$505,BH$3,実績!$AC$6:$AC$505,"&lt;="&amp;$A248,実績!$AD$6:$AD$505,"&gt;"&amp;$A248,実績!$AE$6:$AE$505,"○")&gt;0,1,0))</f>
        <v/>
      </c>
      <c r="BI248">
        <f>IF(BI$4=0,0,IF(COUNTIFS(実績!$W$6:$W$505,BI$3,実績!$AC$6:$AC$505,"&lt;="&amp;$A248,実績!$AD$6:$AD$505,"&gt;"&amp;$A248,実績!$AE$6:$AE$505,"○")&gt;0,1,0))</f>
        <v/>
      </c>
      <c r="BJ248">
        <f>IF(BJ$4=0,0,IF(COUNTIFS(実績!$W$6:$W$505,BJ$3,実績!$AC$6:$AC$505,"&lt;="&amp;$A248,実績!$AD$6:$AD$505,"&gt;"&amp;$A248,実績!$AE$6:$AE$505,"○")&gt;0,1,0))</f>
        <v/>
      </c>
      <c r="BK248">
        <f>IF(BK$4=0,0,IF(COUNTIFS(実績!$W$6:$W$505,BK$3,実績!$AC$6:$AC$505,"&lt;="&amp;$A248,実績!$AD$6:$AD$505,"&gt;"&amp;$A248,実績!$AE$6:$AE$505,"○")&gt;0,1,0))</f>
        <v/>
      </c>
      <c r="BL248">
        <f>IF(BL$4=0,0,IF(COUNTIFS(実績!$W$6:$W$505,BL$3,実績!$AC$6:$AC$505,"&lt;="&amp;$A248,実績!$AD$6:$AD$505,"&gt;"&amp;$A248,実績!$AE$6:$AE$505,"○")&gt;0,1,0))</f>
        <v/>
      </c>
      <c r="BM248">
        <f>IF(BM$4=0,0,IF(COUNTIFS(実績!$W$6:$W$505,BM$3,実績!$AC$6:$AC$505,"&lt;="&amp;$A248,実績!$AD$6:$AD$505,"&gt;"&amp;$A248,実績!$AE$6:$AE$505,"○")&gt;0,1,0))</f>
        <v/>
      </c>
      <c r="BN248">
        <f>IF(BN$4=0,0,IF(COUNTIFS(実績!$W$6:$W$505,BN$3,実績!$AC$6:$AC$505,"&lt;="&amp;$A248,実績!$AD$6:$AD$505,"&gt;"&amp;$A248,実績!$AE$6:$AE$505,"○")&gt;0,1,0))</f>
        <v/>
      </c>
      <c r="BO248">
        <f>IF(BO$4=0,0,IF(COUNTIFS(実績!$W$6:$W$505,BO$3,実績!$AC$6:$AC$505,"&lt;="&amp;$A248,実績!$AD$6:$AD$505,"&gt;"&amp;$A248,実績!$AE$6:$AE$505,"○")&gt;0,1,0))</f>
        <v/>
      </c>
      <c r="BP248">
        <f>IF(BP$4=0,0,IF(COUNTIFS(実績!$W$6:$W$505,BP$3,実績!$AC$6:$AC$505,"&lt;="&amp;$A248,実績!$AD$6:$AD$505,"&gt;"&amp;$A248,実績!$AE$6:$AE$505,"○")&gt;0,1,0))</f>
        <v/>
      </c>
      <c r="BQ248">
        <f>IF(BQ$4=0,0,IF(COUNTIFS(実績!$W$6:$W$505,BQ$3,実績!$AC$6:$AC$505,"&lt;="&amp;$A248,実績!$AD$6:$AD$505,"&gt;"&amp;$A248,実績!$AE$6:$AE$505,"○")&gt;0,1,0))</f>
        <v/>
      </c>
      <c r="BR248">
        <f>IF(BR$4=0,0,IF(COUNTIFS(実績!$W$6:$W$505,BR$3,実績!$AC$6:$AC$505,"&lt;="&amp;$A248,実績!$AD$6:$AD$505,"&gt;"&amp;$A248,実績!$AE$6:$AE$505,"○")&gt;0,1,0))</f>
        <v/>
      </c>
      <c r="BS248">
        <f>IF(BS$4=0,0,IF(COUNTIFS(実績!$W$6:$W$505,BS$3,実績!$AC$6:$AC$505,"&lt;="&amp;$A248,実績!$AD$6:$AD$505,"&gt;"&amp;$A248,実績!$AE$6:$AE$505,"○")&gt;0,1,0))</f>
        <v/>
      </c>
      <c r="BT248">
        <f>IF(BT$4=0,0,IF(COUNTIFS(実績!$W$6:$W$505,BT$3,実績!$AC$6:$AC$505,"&lt;="&amp;$A248,実績!$AD$6:$AD$505,"&gt;"&amp;$A248,実績!$AE$6:$AE$505,"○")&gt;0,1,0))</f>
        <v/>
      </c>
      <c r="BU248">
        <f>IF(BU$4=0,0,IF(COUNTIFS(実績!$W$6:$W$505,BU$3,実績!$AC$6:$AC$505,"&lt;="&amp;$A248,実績!$AD$6:$AD$505,"&gt;"&amp;$A248,実績!$AE$6:$AE$505,"○")&gt;0,1,0))</f>
        <v/>
      </c>
      <c r="BV248">
        <f>IF(BV$4=0,0,IF(COUNTIFS(実績!$W$6:$W$505,BV$3,実績!$AC$6:$AC$505,"&lt;="&amp;$A248,実績!$AD$6:$AD$505,"&gt;"&amp;$A248,実績!$AE$6:$AE$505,"○")&gt;0,1,0))</f>
        <v/>
      </c>
      <c r="BW248">
        <f>IF(BW$4=0,0,IF(COUNTIFS(実績!$W$6:$W$505,BW$3,実績!$AC$6:$AC$505,"&lt;="&amp;$A248,実績!$AD$6:$AD$505,"&gt;"&amp;$A248,実績!$AE$6:$AE$505,"○")&gt;0,1,0))</f>
        <v/>
      </c>
      <c r="BX248">
        <f>IF(BX$4=0,0,IF(COUNTIFS(実績!$W$6:$W$505,BX$3,実績!$AC$6:$AC$505,"&lt;="&amp;$A248,実績!$AD$6:$AD$505,"&gt;"&amp;$A248,実績!$AE$6:$AE$505,"○")&gt;0,1,0))</f>
        <v/>
      </c>
      <c r="BY248">
        <f>IF(BY$4=0,0,IF(COUNTIFS(実績!$W$6:$W$505,BY$3,実績!$AC$6:$AC$505,"&lt;="&amp;$A248,実績!$AD$6:$AD$505,"&gt;"&amp;$A248,実績!$AE$6:$AE$505,"○")&gt;0,1,0))</f>
        <v/>
      </c>
      <c r="BZ248">
        <f>IF(BZ$4=0,0,IF(COUNTIFS(実績!$W$6:$W$505,BZ$3,実績!$AC$6:$AC$505,"&lt;="&amp;$A248,実績!$AD$6:$AD$505,"&gt;"&amp;$A248,実績!$AE$6:$AE$505,"○")&gt;0,1,0))</f>
        <v/>
      </c>
      <c r="CA248">
        <f>IF(CA$4=0,0,IF(COUNTIFS(実績!$W$6:$W$505,CA$3,実績!$AC$6:$AC$505,"&lt;="&amp;$A248,実績!$AD$6:$AD$505,"&gt;"&amp;$A248,実績!$AE$6:$AE$505,"○")&gt;0,1,0))</f>
        <v/>
      </c>
      <c r="CB248">
        <f>IF(CB$4=0,0,IF(COUNTIFS(実績!$W$6:$W$505,CB$3,実績!$AC$6:$AC$505,"&lt;="&amp;$A248,実績!$AD$6:$AD$505,"&gt;"&amp;$A248,実績!$AE$6:$AE$505,"○")&gt;0,1,0))</f>
        <v/>
      </c>
      <c r="CC248">
        <f>IF(CC$4=0,0,IF(COUNTIFS(実績!$W$6:$W$505,CC$3,実績!$AC$6:$AC$505,"&lt;="&amp;$A248,実績!$AD$6:$AD$505,"&gt;"&amp;$A248,実績!$AE$6:$AE$505,"○")&gt;0,1,0))</f>
        <v/>
      </c>
      <c r="CD248">
        <f>IF(CD$4=0,0,IF(COUNTIFS(実績!$W$6:$W$505,CD$3,実績!$AC$6:$AC$505,"&lt;="&amp;$A248,実績!$AD$6:$AD$505,"&gt;"&amp;$A248,実績!$AE$6:$AE$505,"○")&gt;0,1,0))</f>
        <v/>
      </c>
      <c r="CE248">
        <f>IF(CE$4=0,0,IF(COUNTIFS(実績!$W$6:$W$505,CE$3,実績!$AC$6:$AC$505,"&lt;="&amp;$A248,実績!$AD$6:$AD$505,"&gt;"&amp;$A248,実績!$AE$6:$AE$505,"○")&gt;0,1,0))</f>
        <v/>
      </c>
      <c r="CF248">
        <f>IF(CF$4=0,0,IF(COUNTIFS(実績!$W$6:$W$505,CF$3,実績!$AC$6:$AC$505,"&lt;="&amp;$A248,実績!$AD$6:$AD$505,"&gt;"&amp;$A248,実績!$AE$6:$AE$505,"○")&gt;0,1,0))</f>
        <v/>
      </c>
      <c r="CG248">
        <f>IF(CG$4=0,0,IF(COUNTIFS(実績!$W$6:$W$505,CG$3,実績!$AC$6:$AC$505,"&lt;="&amp;$A248,実績!$AD$6:$AD$505,"&gt;"&amp;$A248,実績!$AE$6:$AE$505,"○")&gt;0,1,0))</f>
        <v/>
      </c>
      <c r="CH248">
        <f>IF(CH$4=0,0,IF(COUNTIFS(実績!$W$6:$W$505,CH$3,実績!$AC$6:$AC$505,"&lt;="&amp;$A248,実績!$AD$6:$AD$505,"&gt;"&amp;$A248,実績!$AE$6:$AE$505,"○")&gt;0,1,0))</f>
        <v/>
      </c>
      <c r="CI248">
        <f>IF(CI$4=0,0,IF(COUNTIFS(実績!$W$6:$W$505,CI$3,実績!$AC$6:$AC$505,"&lt;="&amp;$A248,実績!$AD$6:$AD$505,"&gt;"&amp;$A248,実績!$AE$6:$AE$505,"○")&gt;0,1,0))</f>
        <v/>
      </c>
      <c r="CJ248">
        <f>IF(CJ$4=0,0,IF(COUNTIFS(実績!$W$6:$W$505,CJ$3,実績!$AC$6:$AC$505,"&lt;="&amp;$A248,実績!$AD$6:$AD$505,"&gt;"&amp;$A248,実績!$AE$6:$AE$505,"○")&gt;0,1,0))</f>
        <v/>
      </c>
      <c r="CK248">
        <f>IF(CK$4=0,0,IF(COUNTIFS(実績!$W$6:$W$505,CK$3,実績!$AC$6:$AC$505,"&lt;="&amp;$A248,実績!$AD$6:$AD$505,"&gt;"&amp;$A248,実績!$AE$6:$AE$505,"○")&gt;0,1,0))</f>
        <v/>
      </c>
      <c r="CL248">
        <f>IF(CL$4=0,0,IF(COUNTIFS(実績!$W$6:$W$505,CL$3,実績!$AC$6:$AC$505,"&lt;="&amp;$A248,実績!$AD$6:$AD$505,"&gt;"&amp;$A248,実績!$AE$6:$AE$505,"○")&gt;0,1,0))</f>
        <v/>
      </c>
      <c r="CM248">
        <f>IF(CM$4=0,0,IF(COUNTIFS(実績!$W$6:$W$505,CM$3,実績!$AC$6:$AC$505,"&lt;="&amp;$A248,実績!$AD$6:$AD$505,"&gt;"&amp;$A248,実績!$AE$6:$AE$505,"○")&gt;0,1,0))</f>
        <v/>
      </c>
      <c r="CN248">
        <f>IF(CN$4=0,0,IF(COUNTIFS(実績!$W$6:$W$505,CN$3,実績!$AC$6:$AC$505,"&lt;="&amp;$A248,実績!$AD$6:$AD$505,"&gt;"&amp;$A248,実績!$AE$6:$AE$505,"○")&gt;0,1,0))</f>
        <v/>
      </c>
      <c r="CO248">
        <f>IF(CO$4=0,0,IF(COUNTIFS(実績!$W$6:$W$505,CO$3,実績!$AC$6:$AC$505,"&lt;="&amp;$A248,実績!$AD$6:$AD$505,"&gt;"&amp;$A248,実績!$AE$6:$AE$505,"○")&gt;0,1,0))</f>
        <v/>
      </c>
      <c r="CP248">
        <f>IF(CP$4=0,0,IF(COUNTIFS(実績!$W$6:$W$505,CP$3,実績!$AC$6:$AC$505,"&lt;="&amp;$A248,実績!$AD$6:$AD$505,"&gt;"&amp;$A248,実績!$AE$6:$AE$505,"○")&gt;0,1,0))</f>
        <v/>
      </c>
      <c r="CQ248">
        <f>IF(CQ$4=0,0,IF(COUNTIFS(実績!$W$6:$W$505,CQ$3,実績!$AC$6:$AC$505,"&lt;="&amp;$A248,実績!$AD$6:$AD$505,"&gt;"&amp;$A248,実績!$AE$6:$AE$505,"○")&gt;0,1,0))</f>
        <v/>
      </c>
      <c r="CR248">
        <f>IF(CR$4=0,0,IF(COUNTIFS(実績!$W$6:$W$505,CR$3,実績!$AC$6:$AC$505,"&lt;="&amp;$A248,実績!$AD$6:$AD$505,"&gt;"&amp;$A248,実績!$AE$6:$AE$505,"○")&gt;0,1,0))</f>
        <v/>
      </c>
      <c r="CS248">
        <f>IF(CS$4=0,0,IF(COUNTIFS(実績!$W$6:$W$505,CS$3,実績!$AC$6:$AC$505,"&lt;="&amp;$A248,実績!$AD$6:$AD$505,"&gt;"&amp;$A248,実績!$AE$6:$AE$505,"○")&gt;0,1,0))</f>
        <v/>
      </c>
      <c r="CT248">
        <f>IF(CT$4=0,0,IF(COUNTIFS(実績!$W$6:$W$505,CT$3,実績!$AC$6:$AC$505,"&lt;="&amp;$A248,実績!$AD$6:$AD$505,"&gt;"&amp;$A248,実績!$AE$6:$AE$505,"○")&gt;0,1,0))</f>
        <v/>
      </c>
      <c r="CU248">
        <f>IF(CU$4=0,0,IF(COUNTIFS(実績!$W$6:$W$505,CU$3,実績!$AC$6:$AC$505,"&lt;="&amp;$A248,実績!$AD$6:$AD$505,"&gt;"&amp;$A248,実績!$AE$6:$AE$505,"○")&gt;0,1,0))</f>
        <v/>
      </c>
      <c r="CV248">
        <f>IF(CV$4=0,0,IF(COUNTIFS(実績!$W$6:$W$505,CV$3,実績!$AC$6:$AC$505,"&lt;="&amp;$A248,実績!$AD$6:$AD$505,"&gt;"&amp;$A248,実績!$AE$6:$AE$505,"○")&gt;0,1,0))</f>
        <v/>
      </c>
      <c r="CW248">
        <f>IF(CW$4=0,0,IF(COUNTIFS(実績!$W$6:$W$505,CW$3,実績!$AC$6:$AC$505,"&lt;="&amp;$A248,実績!$AD$6:$AD$505,"&gt;"&amp;$A248,実績!$AE$6:$AE$505,"○")&gt;0,1,0))</f>
        <v/>
      </c>
      <c r="CX248">
        <f>IF(CX$4=0,0,IF(COUNTIFS(実績!$W$6:$W$505,CX$3,実績!$AC$6:$AC$505,"&lt;="&amp;$A248,実績!$AD$6:$AD$505,"&gt;"&amp;$A248,実績!$AE$6:$AE$505,"○")&gt;0,1,0))</f>
        <v/>
      </c>
      <c r="CY248">
        <f>IF(CY$4=0,0,IF(COUNTIFS(実績!$W$6:$W$505,CY$3,実績!$AC$6:$AC$505,"&lt;="&amp;$A248,実績!$AD$6:$AD$505,"&gt;"&amp;$A248,実績!$AE$6:$AE$505,"○")&gt;0,1,0))</f>
        <v/>
      </c>
      <c r="CZ248">
        <f>IF(CZ$4=0,0,IF(COUNTIFS(実績!$W$6:$W$505,CZ$3,実績!$AC$6:$AC$505,"&lt;="&amp;$A248,実績!$AD$6:$AD$505,"&gt;"&amp;$A248,実績!$AE$6:$AE$505,"○")&gt;0,1,0))</f>
        <v/>
      </c>
      <c r="DA248">
        <f>IF(DA$4=0,0,IF(COUNTIFS(実績!$W$6:$W$505,DA$3,実績!$AC$6:$AC$505,"&lt;="&amp;$A248,実績!$AD$6:$AD$505,"&gt;"&amp;$A248,実績!$AE$6:$AE$505,"○")&gt;0,1,0))</f>
        <v/>
      </c>
      <c r="DB248">
        <f>IF(DB$4=0,0,IF(COUNTIFS(実績!$W$6:$W$505,DB$3,実績!$AC$6:$AC$505,"&lt;="&amp;$A248,実績!$AD$6:$AD$505,"&gt;"&amp;$A248,実績!$AE$6:$AE$505,"○")&gt;0,1,0))</f>
        <v/>
      </c>
      <c r="DC248">
        <f>IF(DC$4=0,0,IF(COUNTIFS(実績!$W$6:$W$505,DC$3,実績!$AC$6:$AC$505,"&lt;="&amp;$A248,実績!$AD$6:$AD$505,"&gt;"&amp;$A248,実績!$AE$6:$AE$505,"○")&gt;0,1,0))</f>
        <v/>
      </c>
      <c r="DD248">
        <f>IF(DD$4=0,0,IF(COUNTIFS(実績!$W$6:$W$505,DD$3,実績!$AC$6:$AC$505,"&lt;="&amp;$A248,実績!$AD$6:$AD$505,"&gt;"&amp;$A248,実績!$AE$6:$AE$505,"○")&gt;0,1,0))</f>
        <v/>
      </c>
      <c r="DE248">
        <f>IF(DE$4=0,0,IF(COUNTIFS(実績!$W$6:$W$505,DE$3,実績!$AC$6:$AC$505,"&lt;="&amp;$A248,実績!$AD$6:$AD$505,"&gt;"&amp;$A248,実績!$AE$6:$AE$505,"○")&gt;0,1,0))</f>
        <v/>
      </c>
      <c r="DF248">
        <f>IF(DF$4=0,0,IF(COUNTIFS(実績!$W$6:$W$505,DF$3,実績!$AC$6:$AC$505,"&lt;="&amp;$A248,実績!$AD$6:$AD$505,"&gt;"&amp;$A248,実績!$AE$6:$AE$505,"○")&gt;0,1,0))</f>
        <v/>
      </c>
      <c r="DG248">
        <f>IF(DG$4=0,0,IF(COUNTIFS(実績!$W$6:$W$505,DG$3,実績!$AC$6:$AC$505,"&lt;="&amp;$A248,実績!$AD$6:$AD$505,"&gt;"&amp;$A248,実績!$AE$6:$AE$505,"○")&gt;0,1,0))</f>
        <v/>
      </c>
      <c r="DH248">
        <f>IF(DH$4=0,0,IF(COUNTIFS(実績!$W$6:$W$505,DH$3,実績!$AC$6:$AC$505,"&lt;="&amp;$A248,実績!$AD$6:$AD$505,"&gt;"&amp;$A248,実績!$AE$6:$AE$505,"○")&gt;0,1,0))</f>
        <v/>
      </c>
      <c r="DI248">
        <f>IF(DI$4=0,0,IF(COUNTIFS(実績!$W$6:$W$505,DI$3,実績!$AC$6:$AC$505,"&lt;="&amp;$A248,実績!$AD$6:$AD$505,"&gt;"&amp;$A248,実績!$AE$6:$AE$505,"○")&gt;0,1,0))</f>
        <v/>
      </c>
      <c r="DJ248">
        <f>IF(DJ$4=0,0,IF(COUNTIFS(実績!$W$6:$W$505,DJ$3,実績!$AC$6:$AC$505,"&lt;="&amp;$A248,実績!$AD$6:$AD$505,"&gt;"&amp;$A248,実績!$AE$6:$AE$505,"○")&gt;0,1,0))</f>
        <v/>
      </c>
      <c r="DK248">
        <f>IF(DK$4=0,0,IF(COUNTIFS(実績!$W$6:$W$505,DK$3,実績!$AC$6:$AC$505,"&lt;="&amp;$A248,実績!$AD$6:$AD$505,"&gt;"&amp;$A248,実績!$AE$6:$AE$505,"○")&gt;0,1,0))</f>
        <v/>
      </c>
      <c r="DL248">
        <f>IF(DL$4=0,0,IF(COUNTIFS(実績!$W$6:$W$505,DL$3,実績!$AC$6:$AC$505,"&lt;="&amp;$A248,実績!$AD$6:$AD$505,"&gt;"&amp;$A248,実績!$AE$6:$AE$505,"○")&gt;0,1,0))</f>
        <v/>
      </c>
      <c r="DM248">
        <f>IF(DM$4=0,0,IF(COUNTIFS(実績!$W$6:$W$505,DM$3,実績!$AC$6:$AC$505,"&lt;="&amp;$A248,実績!$AD$6:$AD$505,"&gt;"&amp;$A248,実績!$AE$6:$AE$505,"○")&gt;0,1,0))</f>
        <v/>
      </c>
      <c r="DN248">
        <f>IF(DN$4=0,0,IF(COUNTIFS(実績!$W$6:$W$505,DN$3,実績!$AC$6:$AC$505,"&lt;="&amp;$A248,実績!$AD$6:$AD$505,"&gt;"&amp;$A248,実績!$AE$6:$AE$505,"○")&gt;0,1,0))</f>
        <v/>
      </c>
      <c r="DO248">
        <f>IF(DO$4=0,0,IF(COUNTIFS(実績!$W$6:$W$505,DO$3,実績!$AC$6:$AC$505,"&lt;="&amp;$A248,実績!$AD$6:$AD$505,"&gt;"&amp;$A248,実績!$AE$6:$AE$505,"○")&gt;0,1,0))</f>
        <v/>
      </c>
      <c r="DP248">
        <f>IF(DP$4=0,0,IF(COUNTIFS(実績!$W$6:$W$505,DP$3,実績!$AC$6:$AC$505,"&lt;="&amp;$A248,実績!$AD$6:$AD$505,"&gt;"&amp;$A248,実績!$AE$6:$AE$505,"○")&gt;0,1,0))</f>
        <v/>
      </c>
      <c r="DQ248">
        <f>IF(DQ$4=0,0,IF(COUNTIFS(実績!$W$6:$W$505,DQ$3,実績!$AC$6:$AC$505,"&lt;="&amp;$A248,実績!$AD$6:$AD$505,"&gt;"&amp;$A248,実績!$AE$6:$AE$505,"○")&gt;0,1,0))</f>
        <v/>
      </c>
      <c r="DR248">
        <f>IF(DR$4=0,0,IF(COUNTIFS(実績!$W$6:$W$505,DR$3,実績!$AC$6:$AC$505,"&lt;="&amp;$A248,実績!$AD$6:$AD$505,"&gt;"&amp;$A248,実績!$AE$6:$AE$505,"○")&gt;0,1,0))</f>
        <v/>
      </c>
      <c r="DS248">
        <f>SUM(C248:DR248)</f>
        <v/>
      </c>
      <c r="DT248">
        <f>SUMPRODUCT((実績!$C$6:$C$505="○")*ISNUMBER(実績!$AF$6:$AF$505)*(実績!$AF$6:$AF$505&lt;=$A248)*(実績!$AG$6:$AG$505&gt;$A248))</f>
        <v/>
      </c>
      <c r="DU248">
        <f>SUMIF($C$2:$DR$2,"製鉄曳船",C248:DR248)</f>
        <v/>
      </c>
      <c r="DV248">
        <f>SUMIF($C$2:$DR$2,"西日本海運",C248:DR248)</f>
        <v/>
      </c>
    </row>
    <row r="249">
      <c r="A249" t="n">
        <v>1215</v>
      </c>
      <c r="B249" s="29">
        <f>A249/1440</f>
        <v/>
      </c>
      <c r="C249">
        <f>IF(C$4=0,0,IF(COUNTIFS(実績!$W$6:$W$505,C$3,実績!$AC$6:$AC$505,"&lt;="&amp;$A249,実績!$AD$6:$AD$505,"&gt;"&amp;$A249,実績!$AE$6:$AE$505,"○")&gt;0,1,0))</f>
        <v/>
      </c>
      <c r="D249">
        <f>IF(D$4=0,0,IF(COUNTIFS(実績!$W$6:$W$505,D$3,実績!$AC$6:$AC$505,"&lt;="&amp;$A249,実績!$AD$6:$AD$505,"&gt;"&amp;$A249,実績!$AE$6:$AE$505,"○")&gt;0,1,0))</f>
        <v/>
      </c>
      <c r="E249">
        <f>IF(E$4=0,0,IF(COUNTIFS(実績!$W$6:$W$505,E$3,実績!$AC$6:$AC$505,"&lt;="&amp;$A249,実績!$AD$6:$AD$505,"&gt;"&amp;$A249,実績!$AE$6:$AE$505,"○")&gt;0,1,0))</f>
        <v/>
      </c>
      <c r="F249">
        <f>IF(F$4=0,0,IF(COUNTIFS(実績!$W$6:$W$505,F$3,実績!$AC$6:$AC$505,"&lt;="&amp;$A249,実績!$AD$6:$AD$505,"&gt;"&amp;$A249,実績!$AE$6:$AE$505,"○")&gt;0,1,0))</f>
        <v/>
      </c>
      <c r="G249">
        <f>IF(G$4=0,0,IF(COUNTIFS(実績!$W$6:$W$505,G$3,実績!$AC$6:$AC$505,"&lt;="&amp;$A249,実績!$AD$6:$AD$505,"&gt;"&amp;$A249,実績!$AE$6:$AE$505,"○")&gt;0,1,0))</f>
        <v/>
      </c>
      <c r="H249">
        <f>IF(H$4=0,0,IF(COUNTIFS(実績!$W$6:$W$505,H$3,実績!$AC$6:$AC$505,"&lt;="&amp;$A249,実績!$AD$6:$AD$505,"&gt;"&amp;$A249,実績!$AE$6:$AE$505,"○")&gt;0,1,0))</f>
        <v/>
      </c>
      <c r="I249">
        <f>IF(I$4=0,0,IF(COUNTIFS(実績!$W$6:$W$505,I$3,実績!$AC$6:$AC$505,"&lt;="&amp;$A249,実績!$AD$6:$AD$505,"&gt;"&amp;$A249,実績!$AE$6:$AE$505,"○")&gt;0,1,0))</f>
        <v/>
      </c>
      <c r="J249">
        <f>IF(J$4=0,0,IF(COUNTIFS(実績!$W$6:$W$505,J$3,実績!$AC$6:$AC$505,"&lt;="&amp;$A249,実績!$AD$6:$AD$505,"&gt;"&amp;$A249,実績!$AE$6:$AE$505,"○")&gt;0,1,0))</f>
        <v/>
      </c>
      <c r="K249">
        <f>IF(K$4=0,0,IF(COUNTIFS(実績!$W$6:$W$505,K$3,実績!$AC$6:$AC$505,"&lt;="&amp;$A249,実績!$AD$6:$AD$505,"&gt;"&amp;$A249,実績!$AE$6:$AE$505,"○")&gt;0,1,0))</f>
        <v/>
      </c>
      <c r="L249">
        <f>IF(L$4=0,0,IF(COUNTIFS(実績!$W$6:$W$505,L$3,実績!$AC$6:$AC$505,"&lt;="&amp;$A249,実績!$AD$6:$AD$505,"&gt;"&amp;$A249,実績!$AE$6:$AE$505,"○")&gt;0,1,0))</f>
        <v/>
      </c>
      <c r="M249">
        <f>IF(M$4=0,0,IF(COUNTIFS(実績!$W$6:$W$505,M$3,実績!$AC$6:$AC$505,"&lt;="&amp;$A249,実績!$AD$6:$AD$505,"&gt;"&amp;$A249,実績!$AE$6:$AE$505,"○")&gt;0,1,0))</f>
        <v/>
      </c>
      <c r="N249">
        <f>IF(N$4=0,0,IF(COUNTIFS(実績!$W$6:$W$505,N$3,実績!$AC$6:$AC$505,"&lt;="&amp;$A249,実績!$AD$6:$AD$505,"&gt;"&amp;$A249,実績!$AE$6:$AE$505,"○")&gt;0,1,0))</f>
        <v/>
      </c>
      <c r="O249">
        <f>IF(O$4=0,0,IF(COUNTIFS(実績!$W$6:$W$505,O$3,実績!$AC$6:$AC$505,"&lt;="&amp;$A249,実績!$AD$6:$AD$505,"&gt;"&amp;$A249,実績!$AE$6:$AE$505,"○")&gt;0,1,0))</f>
        <v/>
      </c>
      <c r="P249">
        <f>IF(P$4=0,0,IF(COUNTIFS(実績!$W$6:$W$505,P$3,実績!$AC$6:$AC$505,"&lt;="&amp;$A249,実績!$AD$6:$AD$505,"&gt;"&amp;$A249,実績!$AE$6:$AE$505,"○")&gt;0,1,0))</f>
        <v/>
      </c>
      <c r="Q249">
        <f>IF(Q$4=0,0,IF(COUNTIFS(実績!$W$6:$W$505,Q$3,実績!$AC$6:$AC$505,"&lt;="&amp;$A249,実績!$AD$6:$AD$505,"&gt;"&amp;$A249,実績!$AE$6:$AE$505,"○")&gt;0,1,0))</f>
        <v/>
      </c>
      <c r="R249">
        <f>IF(R$4=0,0,IF(COUNTIFS(実績!$W$6:$W$505,R$3,実績!$AC$6:$AC$505,"&lt;="&amp;$A249,実績!$AD$6:$AD$505,"&gt;"&amp;$A249,実績!$AE$6:$AE$505,"○")&gt;0,1,0))</f>
        <v/>
      </c>
      <c r="S249">
        <f>IF(S$4=0,0,IF(COUNTIFS(実績!$W$6:$W$505,S$3,実績!$AC$6:$AC$505,"&lt;="&amp;$A249,実績!$AD$6:$AD$505,"&gt;"&amp;$A249,実績!$AE$6:$AE$505,"○")&gt;0,1,0))</f>
        <v/>
      </c>
      <c r="T249">
        <f>IF(T$4=0,0,IF(COUNTIFS(実績!$W$6:$W$505,T$3,実績!$AC$6:$AC$505,"&lt;="&amp;$A249,実績!$AD$6:$AD$505,"&gt;"&amp;$A249,実績!$AE$6:$AE$505,"○")&gt;0,1,0))</f>
        <v/>
      </c>
      <c r="U249">
        <f>IF(U$4=0,0,IF(COUNTIFS(実績!$W$6:$W$505,U$3,実績!$AC$6:$AC$505,"&lt;="&amp;$A249,実績!$AD$6:$AD$505,"&gt;"&amp;$A249,実績!$AE$6:$AE$505,"○")&gt;0,1,0))</f>
        <v/>
      </c>
      <c r="V249">
        <f>IF(V$4=0,0,IF(COUNTIFS(実績!$W$6:$W$505,V$3,実績!$AC$6:$AC$505,"&lt;="&amp;$A249,実績!$AD$6:$AD$505,"&gt;"&amp;$A249,実績!$AE$6:$AE$505,"○")&gt;0,1,0))</f>
        <v/>
      </c>
      <c r="W249">
        <f>IF(W$4=0,0,IF(COUNTIFS(実績!$W$6:$W$505,W$3,実績!$AC$6:$AC$505,"&lt;="&amp;$A249,実績!$AD$6:$AD$505,"&gt;"&amp;$A249,実績!$AE$6:$AE$505,"○")&gt;0,1,0))</f>
        <v/>
      </c>
      <c r="X249">
        <f>IF(X$4=0,0,IF(COUNTIFS(実績!$W$6:$W$505,X$3,実績!$AC$6:$AC$505,"&lt;="&amp;$A249,実績!$AD$6:$AD$505,"&gt;"&amp;$A249,実績!$AE$6:$AE$505,"○")&gt;0,1,0))</f>
        <v/>
      </c>
      <c r="Y249">
        <f>IF(Y$4=0,0,IF(COUNTIFS(実績!$W$6:$W$505,Y$3,実績!$AC$6:$AC$505,"&lt;="&amp;$A249,実績!$AD$6:$AD$505,"&gt;"&amp;$A249,実績!$AE$6:$AE$505,"○")&gt;0,1,0))</f>
        <v/>
      </c>
      <c r="Z249">
        <f>IF(Z$4=0,0,IF(COUNTIFS(実績!$W$6:$W$505,Z$3,実績!$AC$6:$AC$505,"&lt;="&amp;$A249,実績!$AD$6:$AD$505,"&gt;"&amp;$A249,実績!$AE$6:$AE$505,"○")&gt;0,1,0))</f>
        <v/>
      </c>
      <c r="AA249">
        <f>IF(AA$4=0,0,IF(COUNTIFS(実績!$W$6:$W$505,AA$3,実績!$AC$6:$AC$505,"&lt;="&amp;$A249,実績!$AD$6:$AD$505,"&gt;"&amp;$A249,実績!$AE$6:$AE$505,"○")&gt;0,1,0))</f>
        <v/>
      </c>
      <c r="AB249">
        <f>IF(AB$4=0,0,IF(COUNTIFS(実績!$W$6:$W$505,AB$3,実績!$AC$6:$AC$505,"&lt;="&amp;$A249,実績!$AD$6:$AD$505,"&gt;"&amp;$A249,実績!$AE$6:$AE$505,"○")&gt;0,1,0))</f>
        <v/>
      </c>
      <c r="AC249">
        <f>IF(AC$4=0,0,IF(COUNTIFS(実績!$W$6:$W$505,AC$3,実績!$AC$6:$AC$505,"&lt;="&amp;$A249,実績!$AD$6:$AD$505,"&gt;"&amp;$A249,実績!$AE$6:$AE$505,"○")&gt;0,1,0))</f>
        <v/>
      </c>
      <c r="AD249">
        <f>IF(AD$4=0,0,IF(COUNTIFS(実績!$W$6:$W$505,AD$3,実績!$AC$6:$AC$505,"&lt;="&amp;$A249,実績!$AD$6:$AD$505,"&gt;"&amp;$A249,実績!$AE$6:$AE$505,"○")&gt;0,1,0))</f>
        <v/>
      </c>
      <c r="AE249">
        <f>IF(AE$4=0,0,IF(COUNTIFS(実績!$W$6:$W$505,AE$3,実績!$AC$6:$AC$505,"&lt;="&amp;$A249,実績!$AD$6:$AD$505,"&gt;"&amp;$A249,実績!$AE$6:$AE$505,"○")&gt;0,1,0))</f>
        <v/>
      </c>
      <c r="AF249">
        <f>IF(AF$4=0,0,IF(COUNTIFS(実績!$W$6:$W$505,AF$3,実績!$AC$6:$AC$505,"&lt;="&amp;$A249,実績!$AD$6:$AD$505,"&gt;"&amp;$A249,実績!$AE$6:$AE$505,"○")&gt;0,1,0))</f>
        <v/>
      </c>
      <c r="AG249">
        <f>IF(AG$4=0,0,IF(COUNTIFS(実績!$W$6:$W$505,AG$3,実績!$AC$6:$AC$505,"&lt;="&amp;$A249,実績!$AD$6:$AD$505,"&gt;"&amp;$A249,実績!$AE$6:$AE$505,"○")&gt;0,1,0))</f>
        <v/>
      </c>
      <c r="AH249">
        <f>IF(AH$4=0,0,IF(COUNTIFS(実績!$W$6:$W$505,AH$3,実績!$AC$6:$AC$505,"&lt;="&amp;$A249,実績!$AD$6:$AD$505,"&gt;"&amp;$A249,実績!$AE$6:$AE$505,"○")&gt;0,1,0))</f>
        <v/>
      </c>
      <c r="AI249">
        <f>IF(AI$4=0,0,IF(COUNTIFS(実績!$W$6:$W$505,AI$3,実績!$AC$6:$AC$505,"&lt;="&amp;$A249,実績!$AD$6:$AD$505,"&gt;"&amp;$A249,実績!$AE$6:$AE$505,"○")&gt;0,1,0))</f>
        <v/>
      </c>
      <c r="AJ249">
        <f>IF(AJ$4=0,0,IF(COUNTIFS(実績!$W$6:$W$505,AJ$3,実績!$AC$6:$AC$505,"&lt;="&amp;$A249,実績!$AD$6:$AD$505,"&gt;"&amp;$A249,実績!$AE$6:$AE$505,"○")&gt;0,1,0))</f>
        <v/>
      </c>
      <c r="AK249">
        <f>IF(AK$4=0,0,IF(COUNTIFS(実績!$W$6:$W$505,AK$3,実績!$AC$6:$AC$505,"&lt;="&amp;$A249,実績!$AD$6:$AD$505,"&gt;"&amp;$A249,実績!$AE$6:$AE$505,"○")&gt;0,1,0))</f>
        <v/>
      </c>
      <c r="AL249">
        <f>IF(AL$4=0,0,IF(COUNTIFS(実績!$W$6:$W$505,AL$3,実績!$AC$6:$AC$505,"&lt;="&amp;$A249,実績!$AD$6:$AD$505,"&gt;"&amp;$A249,実績!$AE$6:$AE$505,"○")&gt;0,1,0))</f>
        <v/>
      </c>
      <c r="AM249">
        <f>IF(AM$4=0,0,IF(COUNTIFS(実績!$W$6:$W$505,AM$3,実績!$AC$6:$AC$505,"&lt;="&amp;$A249,実績!$AD$6:$AD$505,"&gt;"&amp;$A249,実績!$AE$6:$AE$505,"○")&gt;0,1,0))</f>
        <v/>
      </c>
      <c r="AN249">
        <f>IF(AN$4=0,0,IF(COUNTIFS(実績!$W$6:$W$505,AN$3,実績!$AC$6:$AC$505,"&lt;="&amp;$A249,実績!$AD$6:$AD$505,"&gt;"&amp;$A249,実績!$AE$6:$AE$505,"○")&gt;0,1,0))</f>
        <v/>
      </c>
      <c r="AO249">
        <f>IF(AO$4=0,0,IF(COUNTIFS(実績!$W$6:$W$505,AO$3,実績!$AC$6:$AC$505,"&lt;="&amp;$A249,実績!$AD$6:$AD$505,"&gt;"&amp;$A249,実績!$AE$6:$AE$505,"○")&gt;0,1,0))</f>
        <v/>
      </c>
      <c r="AP249">
        <f>IF(AP$4=0,0,IF(COUNTIFS(実績!$W$6:$W$505,AP$3,実績!$AC$6:$AC$505,"&lt;="&amp;$A249,実績!$AD$6:$AD$505,"&gt;"&amp;$A249,実績!$AE$6:$AE$505,"○")&gt;0,1,0))</f>
        <v/>
      </c>
      <c r="AQ249">
        <f>IF(AQ$4=0,0,IF(COUNTIFS(実績!$W$6:$W$505,AQ$3,実績!$AC$6:$AC$505,"&lt;="&amp;$A249,実績!$AD$6:$AD$505,"&gt;"&amp;$A249,実績!$AE$6:$AE$505,"○")&gt;0,1,0))</f>
        <v/>
      </c>
      <c r="AR249">
        <f>IF(AR$4=0,0,IF(COUNTIFS(実績!$W$6:$W$505,AR$3,実績!$AC$6:$AC$505,"&lt;="&amp;$A249,実績!$AD$6:$AD$505,"&gt;"&amp;$A249,実績!$AE$6:$AE$505,"○")&gt;0,1,0))</f>
        <v/>
      </c>
      <c r="AS249">
        <f>IF(AS$4=0,0,IF(COUNTIFS(実績!$W$6:$W$505,AS$3,実績!$AC$6:$AC$505,"&lt;="&amp;$A249,実績!$AD$6:$AD$505,"&gt;"&amp;$A249,実績!$AE$6:$AE$505,"○")&gt;0,1,0))</f>
        <v/>
      </c>
      <c r="AT249">
        <f>IF(AT$4=0,0,IF(COUNTIFS(実績!$W$6:$W$505,AT$3,実績!$AC$6:$AC$505,"&lt;="&amp;$A249,実績!$AD$6:$AD$505,"&gt;"&amp;$A249,実績!$AE$6:$AE$505,"○")&gt;0,1,0))</f>
        <v/>
      </c>
      <c r="AU249">
        <f>IF(AU$4=0,0,IF(COUNTIFS(実績!$W$6:$W$505,AU$3,実績!$AC$6:$AC$505,"&lt;="&amp;$A249,実績!$AD$6:$AD$505,"&gt;"&amp;$A249,実績!$AE$6:$AE$505,"○")&gt;0,1,0))</f>
        <v/>
      </c>
      <c r="AV249">
        <f>IF(AV$4=0,0,IF(COUNTIFS(実績!$W$6:$W$505,AV$3,実績!$AC$6:$AC$505,"&lt;="&amp;$A249,実績!$AD$6:$AD$505,"&gt;"&amp;$A249,実績!$AE$6:$AE$505,"○")&gt;0,1,0))</f>
        <v/>
      </c>
      <c r="AW249">
        <f>IF(AW$4=0,0,IF(COUNTIFS(実績!$W$6:$W$505,AW$3,実績!$AC$6:$AC$505,"&lt;="&amp;$A249,実績!$AD$6:$AD$505,"&gt;"&amp;$A249,実績!$AE$6:$AE$505,"○")&gt;0,1,0))</f>
        <v/>
      </c>
      <c r="AX249">
        <f>IF(AX$4=0,0,IF(COUNTIFS(実績!$W$6:$W$505,AX$3,実績!$AC$6:$AC$505,"&lt;="&amp;$A249,実績!$AD$6:$AD$505,"&gt;"&amp;$A249,実績!$AE$6:$AE$505,"○")&gt;0,1,0))</f>
        <v/>
      </c>
      <c r="AY249">
        <f>IF(AY$4=0,0,IF(COUNTIFS(実績!$W$6:$W$505,AY$3,実績!$AC$6:$AC$505,"&lt;="&amp;$A249,実績!$AD$6:$AD$505,"&gt;"&amp;$A249,実績!$AE$6:$AE$505,"○")&gt;0,1,0))</f>
        <v/>
      </c>
      <c r="AZ249">
        <f>IF(AZ$4=0,0,IF(COUNTIFS(実績!$W$6:$W$505,AZ$3,実績!$AC$6:$AC$505,"&lt;="&amp;$A249,実績!$AD$6:$AD$505,"&gt;"&amp;$A249,実績!$AE$6:$AE$505,"○")&gt;0,1,0))</f>
        <v/>
      </c>
      <c r="BA249">
        <f>IF(BA$4=0,0,IF(COUNTIFS(実績!$W$6:$W$505,BA$3,実績!$AC$6:$AC$505,"&lt;="&amp;$A249,実績!$AD$6:$AD$505,"&gt;"&amp;$A249,実績!$AE$6:$AE$505,"○")&gt;0,1,0))</f>
        <v/>
      </c>
      <c r="BB249">
        <f>IF(BB$4=0,0,IF(COUNTIFS(実績!$W$6:$W$505,BB$3,実績!$AC$6:$AC$505,"&lt;="&amp;$A249,実績!$AD$6:$AD$505,"&gt;"&amp;$A249,実績!$AE$6:$AE$505,"○")&gt;0,1,0))</f>
        <v/>
      </c>
      <c r="BC249">
        <f>IF(BC$4=0,0,IF(COUNTIFS(実績!$W$6:$W$505,BC$3,実績!$AC$6:$AC$505,"&lt;="&amp;$A249,実績!$AD$6:$AD$505,"&gt;"&amp;$A249,実績!$AE$6:$AE$505,"○")&gt;0,1,0))</f>
        <v/>
      </c>
      <c r="BD249">
        <f>IF(BD$4=0,0,IF(COUNTIFS(実績!$W$6:$W$505,BD$3,実績!$AC$6:$AC$505,"&lt;="&amp;$A249,実績!$AD$6:$AD$505,"&gt;"&amp;$A249,実績!$AE$6:$AE$505,"○")&gt;0,1,0))</f>
        <v/>
      </c>
      <c r="BE249">
        <f>IF(BE$4=0,0,IF(COUNTIFS(実績!$W$6:$W$505,BE$3,実績!$AC$6:$AC$505,"&lt;="&amp;$A249,実績!$AD$6:$AD$505,"&gt;"&amp;$A249,実績!$AE$6:$AE$505,"○")&gt;0,1,0))</f>
        <v/>
      </c>
      <c r="BF249">
        <f>IF(BF$4=0,0,IF(COUNTIFS(実績!$W$6:$W$505,BF$3,実績!$AC$6:$AC$505,"&lt;="&amp;$A249,実績!$AD$6:$AD$505,"&gt;"&amp;$A249,実績!$AE$6:$AE$505,"○")&gt;0,1,0))</f>
        <v/>
      </c>
      <c r="BG249">
        <f>IF(BG$4=0,0,IF(COUNTIFS(実績!$W$6:$W$505,BG$3,実績!$AC$6:$AC$505,"&lt;="&amp;$A249,実績!$AD$6:$AD$505,"&gt;"&amp;$A249,実績!$AE$6:$AE$505,"○")&gt;0,1,0))</f>
        <v/>
      </c>
      <c r="BH249">
        <f>IF(BH$4=0,0,IF(COUNTIFS(実績!$W$6:$W$505,BH$3,実績!$AC$6:$AC$505,"&lt;="&amp;$A249,実績!$AD$6:$AD$505,"&gt;"&amp;$A249,実績!$AE$6:$AE$505,"○")&gt;0,1,0))</f>
        <v/>
      </c>
      <c r="BI249">
        <f>IF(BI$4=0,0,IF(COUNTIFS(実績!$W$6:$W$505,BI$3,実績!$AC$6:$AC$505,"&lt;="&amp;$A249,実績!$AD$6:$AD$505,"&gt;"&amp;$A249,実績!$AE$6:$AE$505,"○")&gt;0,1,0))</f>
        <v/>
      </c>
      <c r="BJ249">
        <f>IF(BJ$4=0,0,IF(COUNTIFS(実績!$W$6:$W$505,BJ$3,実績!$AC$6:$AC$505,"&lt;="&amp;$A249,実績!$AD$6:$AD$505,"&gt;"&amp;$A249,実績!$AE$6:$AE$505,"○")&gt;0,1,0))</f>
        <v/>
      </c>
      <c r="BK249">
        <f>IF(BK$4=0,0,IF(COUNTIFS(実績!$W$6:$W$505,BK$3,実績!$AC$6:$AC$505,"&lt;="&amp;$A249,実績!$AD$6:$AD$505,"&gt;"&amp;$A249,実績!$AE$6:$AE$505,"○")&gt;0,1,0))</f>
        <v/>
      </c>
      <c r="BL249">
        <f>IF(BL$4=0,0,IF(COUNTIFS(実績!$W$6:$W$505,BL$3,実績!$AC$6:$AC$505,"&lt;="&amp;$A249,実績!$AD$6:$AD$505,"&gt;"&amp;$A249,実績!$AE$6:$AE$505,"○")&gt;0,1,0))</f>
        <v/>
      </c>
      <c r="BM249">
        <f>IF(BM$4=0,0,IF(COUNTIFS(実績!$W$6:$W$505,BM$3,実績!$AC$6:$AC$505,"&lt;="&amp;$A249,実績!$AD$6:$AD$505,"&gt;"&amp;$A249,実績!$AE$6:$AE$505,"○")&gt;0,1,0))</f>
        <v/>
      </c>
      <c r="BN249">
        <f>IF(BN$4=0,0,IF(COUNTIFS(実績!$W$6:$W$505,BN$3,実績!$AC$6:$AC$505,"&lt;="&amp;$A249,実績!$AD$6:$AD$505,"&gt;"&amp;$A249,実績!$AE$6:$AE$505,"○")&gt;0,1,0))</f>
        <v/>
      </c>
      <c r="BO249">
        <f>IF(BO$4=0,0,IF(COUNTIFS(実績!$W$6:$W$505,BO$3,実績!$AC$6:$AC$505,"&lt;="&amp;$A249,実績!$AD$6:$AD$505,"&gt;"&amp;$A249,実績!$AE$6:$AE$505,"○")&gt;0,1,0))</f>
        <v/>
      </c>
      <c r="BP249">
        <f>IF(BP$4=0,0,IF(COUNTIFS(実績!$W$6:$W$505,BP$3,実績!$AC$6:$AC$505,"&lt;="&amp;$A249,実績!$AD$6:$AD$505,"&gt;"&amp;$A249,実績!$AE$6:$AE$505,"○")&gt;0,1,0))</f>
        <v/>
      </c>
      <c r="BQ249">
        <f>IF(BQ$4=0,0,IF(COUNTIFS(実績!$W$6:$W$505,BQ$3,実績!$AC$6:$AC$505,"&lt;="&amp;$A249,実績!$AD$6:$AD$505,"&gt;"&amp;$A249,実績!$AE$6:$AE$505,"○")&gt;0,1,0))</f>
        <v/>
      </c>
      <c r="BR249">
        <f>IF(BR$4=0,0,IF(COUNTIFS(実績!$W$6:$W$505,BR$3,実績!$AC$6:$AC$505,"&lt;="&amp;$A249,実績!$AD$6:$AD$505,"&gt;"&amp;$A249,実績!$AE$6:$AE$505,"○")&gt;0,1,0))</f>
        <v/>
      </c>
      <c r="BS249">
        <f>IF(BS$4=0,0,IF(COUNTIFS(実績!$W$6:$W$505,BS$3,実績!$AC$6:$AC$505,"&lt;="&amp;$A249,実績!$AD$6:$AD$505,"&gt;"&amp;$A249,実績!$AE$6:$AE$505,"○")&gt;0,1,0))</f>
        <v/>
      </c>
      <c r="BT249">
        <f>IF(BT$4=0,0,IF(COUNTIFS(実績!$W$6:$W$505,BT$3,実績!$AC$6:$AC$505,"&lt;="&amp;$A249,実績!$AD$6:$AD$505,"&gt;"&amp;$A249,実績!$AE$6:$AE$505,"○")&gt;0,1,0))</f>
        <v/>
      </c>
      <c r="BU249">
        <f>IF(BU$4=0,0,IF(COUNTIFS(実績!$W$6:$W$505,BU$3,実績!$AC$6:$AC$505,"&lt;="&amp;$A249,実績!$AD$6:$AD$505,"&gt;"&amp;$A249,実績!$AE$6:$AE$505,"○")&gt;0,1,0))</f>
        <v/>
      </c>
      <c r="BV249">
        <f>IF(BV$4=0,0,IF(COUNTIFS(実績!$W$6:$W$505,BV$3,実績!$AC$6:$AC$505,"&lt;="&amp;$A249,実績!$AD$6:$AD$505,"&gt;"&amp;$A249,実績!$AE$6:$AE$505,"○")&gt;0,1,0))</f>
        <v/>
      </c>
      <c r="BW249">
        <f>IF(BW$4=0,0,IF(COUNTIFS(実績!$W$6:$W$505,BW$3,実績!$AC$6:$AC$505,"&lt;="&amp;$A249,実績!$AD$6:$AD$505,"&gt;"&amp;$A249,実績!$AE$6:$AE$505,"○")&gt;0,1,0))</f>
        <v/>
      </c>
      <c r="BX249">
        <f>IF(BX$4=0,0,IF(COUNTIFS(実績!$W$6:$W$505,BX$3,実績!$AC$6:$AC$505,"&lt;="&amp;$A249,実績!$AD$6:$AD$505,"&gt;"&amp;$A249,実績!$AE$6:$AE$505,"○")&gt;0,1,0))</f>
        <v/>
      </c>
      <c r="BY249">
        <f>IF(BY$4=0,0,IF(COUNTIFS(実績!$W$6:$W$505,BY$3,実績!$AC$6:$AC$505,"&lt;="&amp;$A249,実績!$AD$6:$AD$505,"&gt;"&amp;$A249,実績!$AE$6:$AE$505,"○")&gt;0,1,0))</f>
        <v/>
      </c>
      <c r="BZ249">
        <f>IF(BZ$4=0,0,IF(COUNTIFS(実績!$W$6:$W$505,BZ$3,実績!$AC$6:$AC$505,"&lt;="&amp;$A249,実績!$AD$6:$AD$505,"&gt;"&amp;$A249,実績!$AE$6:$AE$505,"○")&gt;0,1,0))</f>
        <v/>
      </c>
      <c r="CA249">
        <f>IF(CA$4=0,0,IF(COUNTIFS(実績!$W$6:$W$505,CA$3,実績!$AC$6:$AC$505,"&lt;="&amp;$A249,実績!$AD$6:$AD$505,"&gt;"&amp;$A249,実績!$AE$6:$AE$505,"○")&gt;0,1,0))</f>
        <v/>
      </c>
      <c r="CB249">
        <f>IF(CB$4=0,0,IF(COUNTIFS(実績!$W$6:$W$505,CB$3,実績!$AC$6:$AC$505,"&lt;="&amp;$A249,実績!$AD$6:$AD$505,"&gt;"&amp;$A249,実績!$AE$6:$AE$505,"○")&gt;0,1,0))</f>
        <v/>
      </c>
      <c r="CC249">
        <f>IF(CC$4=0,0,IF(COUNTIFS(実績!$W$6:$W$505,CC$3,実績!$AC$6:$AC$505,"&lt;="&amp;$A249,実績!$AD$6:$AD$505,"&gt;"&amp;$A249,実績!$AE$6:$AE$505,"○")&gt;0,1,0))</f>
        <v/>
      </c>
      <c r="CD249">
        <f>IF(CD$4=0,0,IF(COUNTIFS(実績!$W$6:$W$505,CD$3,実績!$AC$6:$AC$505,"&lt;="&amp;$A249,実績!$AD$6:$AD$505,"&gt;"&amp;$A249,実績!$AE$6:$AE$505,"○")&gt;0,1,0))</f>
        <v/>
      </c>
      <c r="CE249">
        <f>IF(CE$4=0,0,IF(COUNTIFS(実績!$W$6:$W$505,CE$3,実績!$AC$6:$AC$505,"&lt;="&amp;$A249,実績!$AD$6:$AD$505,"&gt;"&amp;$A249,実績!$AE$6:$AE$505,"○")&gt;0,1,0))</f>
        <v/>
      </c>
      <c r="CF249">
        <f>IF(CF$4=0,0,IF(COUNTIFS(実績!$W$6:$W$505,CF$3,実績!$AC$6:$AC$505,"&lt;="&amp;$A249,実績!$AD$6:$AD$505,"&gt;"&amp;$A249,実績!$AE$6:$AE$505,"○")&gt;0,1,0))</f>
        <v/>
      </c>
      <c r="CG249">
        <f>IF(CG$4=0,0,IF(COUNTIFS(実績!$W$6:$W$505,CG$3,実績!$AC$6:$AC$505,"&lt;="&amp;$A249,実績!$AD$6:$AD$505,"&gt;"&amp;$A249,実績!$AE$6:$AE$505,"○")&gt;0,1,0))</f>
        <v/>
      </c>
      <c r="CH249">
        <f>IF(CH$4=0,0,IF(COUNTIFS(実績!$W$6:$W$505,CH$3,実績!$AC$6:$AC$505,"&lt;="&amp;$A249,実績!$AD$6:$AD$505,"&gt;"&amp;$A249,実績!$AE$6:$AE$505,"○")&gt;0,1,0))</f>
        <v/>
      </c>
      <c r="CI249">
        <f>IF(CI$4=0,0,IF(COUNTIFS(実績!$W$6:$W$505,CI$3,実績!$AC$6:$AC$505,"&lt;="&amp;$A249,実績!$AD$6:$AD$505,"&gt;"&amp;$A249,実績!$AE$6:$AE$505,"○")&gt;0,1,0))</f>
        <v/>
      </c>
      <c r="CJ249">
        <f>IF(CJ$4=0,0,IF(COUNTIFS(実績!$W$6:$W$505,CJ$3,実績!$AC$6:$AC$505,"&lt;="&amp;$A249,実績!$AD$6:$AD$505,"&gt;"&amp;$A249,実績!$AE$6:$AE$505,"○")&gt;0,1,0))</f>
        <v/>
      </c>
      <c r="CK249">
        <f>IF(CK$4=0,0,IF(COUNTIFS(実績!$W$6:$W$505,CK$3,実績!$AC$6:$AC$505,"&lt;="&amp;$A249,実績!$AD$6:$AD$505,"&gt;"&amp;$A249,実績!$AE$6:$AE$505,"○")&gt;0,1,0))</f>
        <v/>
      </c>
      <c r="CL249">
        <f>IF(CL$4=0,0,IF(COUNTIFS(実績!$W$6:$W$505,CL$3,実績!$AC$6:$AC$505,"&lt;="&amp;$A249,実績!$AD$6:$AD$505,"&gt;"&amp;$A249,実績!$AE$6:$AE$505,"○")&gt;0,1,0))</f>
        <v/>
      </c>
      <c r="CM249">
        <f>IF(CM$4=0,0,IF(COUNTIFS(実績!$W$6:$W$505,CM$3,実績!$AC$6:$AC$505,"&lt;="&amp;$A249,実績!$AD$6:$AD$505,"&gt;"&amp;$A249,実績!$AE$6:$AE$505,"○")&gt;0,1,0))</f>
        <v/>
      </c>
      <c r="CN249">
        <f>IF(CN$4=0,0,IF(COUNTIFS(実績!$W$6:$W$505,CN$3,実績!$AC$6:$AC$505,"&lt;="&amp;$A249,実績!$AD$6:$AD$505,"&gt;"&amp;$A249,実績!$AE$6:$AE$505,"○")&gt;0,1,0))</f>
        <v/>
      </c>
      <c r="CO249">
        <f>IF(CO$4=0,0,IF(COUNTIFS(実績!$W$6:$W$505,CO$3,実績!$AC$6:$AC$505,"&lt;="&amp;$A249,実績!$AD$6:$AD$505,"&gt;"&amp;$A249,実績!$AE$6:$AE$505,"○")&gt;0,1,0))</f>
        <v/>
      </c>
      <c r="CP249">
        <f>IF(CP$4=0,0,IF(COUNTIFS(実績!$W$6:$W$505,CP$3,実績!$AC$6:$AC$505,"&lt;="&amp;$A249,実績!$AD$6:$AD$505,"&gt;"&amp;$A249,実績!$AE$6:$AE$505,"○")&gt;0,1,0))</f>
        <v/>
      </c>
      <c r="CQ249">
        <f>IF(CQ$4=0,0,IF(COUNTIFS(実績!$W$6:$W$505,CQ$3,実績!$AC$6:$AC$505,"&lt;="&amp;$A249,実績!$AD$6:$AD$505,"&gt;"&amp;$A249,実績!$AE$6:$AE$505,"○")&gt;0,1,0))</f>
        <v/>
      </c>
      <c r="CR249">
        <f>IF(CR$4=0,0,IF(COUNTIFS(実績!$W$6:$W$505,CR$3,実績!$AC$6:$AC$505,"&lt;="&amp;$A249,実績!$AD$6:$AD$505,"&gt;"&amp;$A249,実績!$AE$6:$AE$505,"○")&gt;0,1,0))</f>
        <v/>
      </c>
      <c r="CS249">
        <f>IF(CS$4=0,0,IF(COUNTIFS(実績!$W$6:$W$505,CS$3,実績!$AC$6:$AC$505,"&lt;="&amp;$A249,実績!$AD$6:$AD$505,"&gt;"&amp;$A249,実績!$AE$6:$AE$505,"○")&gt;0,1,0))</f>
        <v/>
      </c>
      <c r="CT249">
        <f>IF(CT$4=0,0,IF(COUNTIFS(実績!$W$6:$W$505,CT$3,実績!$AC$6:$AC$505,"&lt;="&amp;$A249,実績!$AD$6:$AD$505,"&gt;"&amp;$A249,実績!$AE$6:$AE$505,"○")&gt;0,1,0))</f>
        <v/>
      </c>
      <c r="CU249">
        <f>IF(CU$4=0,0,IF(COUNTIFS(実績!$W$6:$W$505,CU$3,実績!$AC$6:$AC$505,"&lt;="&amp;$A249,実績!$AD$6:$AD$505,"&gt;"&amp;$A249,実績!$AE$6:$AE$505,"○")&gt;0,1,0))</f>
        <v/>
      </c>
      <c r="CV249">
        <f>IF(CV$4=0,0,IF(COUNTIFS(実績!$W$6:$W$505,CV$3,実績!$AC$6:$AC$505,"&lt;="&amp;$A249,実績!$AD$6:$AD$505,"&gt;"&amp;$A249,実績!$AE$6:$AE$505,"○")&gt;0,1,0))</f>
        <v/>
      </c>
      <c r="CW249">
        <f>IF(CW$4=0,0,IF(COUNTIFS(実績!$W$6:$W$505,CW$3,実績!$AC$6:$AC$505,"&lt;="&amp;$A249,実績!$AD$6:$AD$505,"&gt;"&amp;$A249,実績!$AE$6:$AE$505,"○")&gt;0,1,0))</f>
        <v/>
      </c>
      <c r="CX249">
        <f>IF(CX$4=0,0,IF(COUNTIFS(実績!$W$6:$W$505,CX$3,実績!$AC$6:$AC$505,"&lt;="&amp;$A249,実績!$AD$6:$AD$505,"&gt;"&amp;$A249,実績!$AE$6:$AE$505,"○")&gt;0,1,0))</f>
        <v/>
      </c>
      <c r="CY249">
        <f>IF(CY$4=0,0,IF(COUNTIFS(実績!$W$6:$W$505,CY$3,実績!$AC$6:$AC$505,"&lt;="&amp;$A249,実績!$AD$6:$AD$505,"&gt;"&amp;$A249,実績!$AE$6:$AE$505,"○")&gt;0,1,0))</f>
        <v/>
      </c>
      <c r="CZ249">
        <f>IF(CZ$4=0,0,IF(COUNTIFS(実績!$W$6:$W$505,CZ$3,実績!$AC$6:$AC$505,"&lt;="&amp;$A249,実績!$AD$6:$AD$505,"&gt;"&amp;$A249,実績!$AE$6:$AE$505,"○")&gt;0,1,0))</f>
        <v/>
      </c>
      <c r="DA249">
        <f>IF(DA$4=0,0,IF(COUNTIFS(実績!$W$6:$W$505,DA$3,実績!$AC$6:$AC$505,"&lt;="&amp;$A249,実績!$AD$6:$AD$505,"&gt;"&amp;$A249,実績!$AE$6:$AE$505,"○")&gt;0,1,0))</f>
        <v/>
      </c>
      <c r="DB249">
        <f>IF(DB$4=0,0,IF(COUNTIFS(実績!$W$6:$W$505,DB$3,実績!$AC$6:$AC$505,"&lt;="&amp;$A249,実績!$AD$6:$AD$505,"&gt;"&amp;$A249,実績!$AE$6:$AE$505,"○")&gt;0,1,0))</f>
        <v/>
      </c>
      <c r="DC249">
        <f>IF(DC$4=0,0,IF(COUNTIFS(実績!$W$6:$W$505,DC$3,実績!$AC$6:$AC$505,"&lt;="&amp;$A249,実績!$AD$6:$AD$505,"&gt;"&amp;$A249,実績!$AE$6:$AE$505,"○")&gt;0,1,0))</f>
        <v/>
      </c>
      <c r="DD249">
        <f>IF(DD$4=0,0,IF(COUNTIFS(実績!$W$6:$W$505,DD$3,実績!$AC$6:$AC$505,"&lt;="&amp;$A249,実績!$AD$6:$AD$505,"&gt;"&amp;$A249,実績!$AE$6:$AE$505,"○")&gt;0,1,0))</f>
        <v/>
      </c>
      <c r="DE249">
        <f>IF(DE$4=0,0,IF(COUNTIFS(実績!$W$6:$W$505,DE$3,実績!$AC$6:$AC$505,"&lt;="&amp;$A249,実績!$AD$6:$AD$505,"&gt;"&amp;$A249,実績!$AE$6:$AE$505,"○")&gt;0,1,0))</f>
        <v/>
      </c>
      <c r="DF249">
        <f>IF(DF$4=0,0,IF(COUNTIFS(実績!$W$6:$W$505,DF$3,実績!$AC$6:$AC$505,"&lt;="&amp;$A249,実績!$AD$6:$AD$505,"&gt;"&amp;$A249,実績!$AE$6:$AE$505,"○")&gt;0,1,0))</f>
        <v/>
      </c>
      <c r="DG249">
        <f>IF(DG$4=0,0,IF(COUNTIFS(実績!$W$6:$W$505,DG$3,実績!$AC$6:$AC$505,"&lt;="&amp;$A249,実績!$AD$6:$AD$505,"&gt;"&amp;$A249,実績!$AE$6:$AE$505,"○")&gt;0,1,0))</f>
        <v/>
      </c>
      <c r="DH249">
        <f>IF(DH$4=0,0,IF(COUNTIFS(実績!$W$6:$W$505,DH$3,実績!$AC$6:$AC$505,"&lt;="&amp;$A249,実績!$AD$6:$AD$505,"&gt;"&amp;$A249,実績!$AE$6:$AE$505,"○")&gt;0,1,0))</f>
        <v/>
      </c>
      <c r="DI249">
        <f>IF(DI$4=0,0,IF(COUNTIFS(実績!$W$6:$W$505,DI$3,実績!$AC$6:$AC$505,"&lt;="&amp;$A249,実績!$AD$6:$AD$505,"&gt;"&amp;$A249,実績!$AE$6:$AE$505,"○")&gt;0,1,0))</f>
        <v/>
      </c>
      <c r="DJ249">
        <f>IF(DJ$4=0,0,IF(COUNTIFS(実績!$W$6:$W$505,DJ$3,実績!$AC$6:$AC$505,"&lt;="&amp;$A249,実績!$AD$6:$AD$505,"&gt;"&amp;$A249,実績!$AE$6:$AE$505,"○")&gt;0,1,0))</f>
        <v/>
      </c>
      <c r="DK249">
        <f>IF(DK$4=0,0,IF(COUNTIFS(実績!$W$6:$W$505,DK$3,実績!$AC$6:$AC$505,"&lt;="&amp;$A249,実績!$AD$6:$AD$505,"&gt;"&amp;$A249,実績!$AE$6:$AE$505,"○")&gt;0,1,0))</f>
        <v/>
      </c>
      <c r="DL249">
        <f>IF(DL$4=0,0,IF(COUNTIFS(実績!$W$6:$W$505,DL$3,実績!$AC$6:$AC$505,"&lt;="&amp;$A249,実績!$AD$6:$AD$505,"&gt;"&amp;$A249,実績!$AE$6:$AE$505,"○")&gt;0,1,0))</f>
        <v/>
      </c>
      <c r="DM249">
        <f>IF(DM$4=0,0,IF(COUNTIFS(実績!$W$6:$W$505,DM$3,実績!$AC$6:$AC$505,"&lt;="&amp;$A249,実績!$AD$6:$AD$505,"&gt;"&amp;$A249,実績!$AE$6:$AE$505,"○")&gt;0,1,0))</f>
        <v/>
      </c>
      <c r="DN249">
        <f>IF(DN$4=0,0,IF(COUNTIFS(実績!$W$6:$W$505,DN$3,実績!$AC$6:$AC$505,"&lt;="&amp;$A249,実績!$AD$6:$AD$505,"&gt;"&amp;$A249,実績!$AE$6:$AE$505,"○")&gt;0,1,0))</f>
        <v/>
      </c>
      <c r="DO249">
        <f>IF(DO$4=0,0,IF(COUNTIFS(実績!$W$6:$W$505,DO$3,実績!$AC$6:$AC$505,"&lt;="&amp;$A249,実績!$AD$6:$AD$505,"&gt;"&amp;$A249,実績!$AE$6:$AE$505,"○")&gt;0,1,0))</f>
        <v/>
      </c>
      <c r="DP249">
        <f>IF(DP$4=0,0,IF(COUNTIFS(実績!$W$6:$W$505,DP$3,実績!$AC$6:$AC$505,"&lt;="&amp;$A249,実績!$AD$6:$AD$505,"&gt;"&amp;$A249,実績!$AE$6:$AE$505,"○")&gt;0,1,0))</f>
        <v/>
      </c>
      <c r="DQ249">
        <f>IF(DQ$4=0,0,IF(COUNTIFS(実績!$W$6:$W$505,DQ$3,実績!$AC$6:$AC$505,"&lt;="&amp;$A249,実績!$AD$6:$AD$505,"&gt;"&amp;$A249,実績!$AE$6:$AE$505,"○")&gt;0,1,0))</f>
        <v/>
      </c>
      <c r="DR249">
        <f>IF(DR$4=0,0,IF(COUNTIFS(実績!$W$6:$W$505,DR$3,実績!$AC$6:$AC$505,"&lt;="&amp;$A249,実績!$AD$6:$AD$505,"&gt;"&amp;$A249,実績!$AE$6:$AE$505,"○")&gt;0,1,0))</f>
        <v/>
      </c>
      <c r="DS249">
        <f>SUM(C249:DR249)</f>
        <v/>
      </c>
      <c r="DT249">
        <f>SUMPRODUCT((実績!$C$6:$C$505="○")*ISNUMBER(実績!$AF$6:$AF$505)*(実績!$AF$6:$AF$505&lt;=$A249)*(実績!$AG$6:$AG$505&gt;$A249))</f>
        <v/>
      </c>
      <c r="DU249">
        <f>SUMIF($C$2:$DR$2,"製鉄曳船",C249:DR249)</f>
        <v/>
      </c>
      <c r="DV249">
        <f>SUMIF($C$2:$DR$2,"西日本海運",C249:DR249)</f>
        <v/>
      </c>
    </row>
    <row r="250">
      <c r="A250" t="n">
        <v>1220</v>
      </c>
      <c r="B250" s="29">
        <f>A250/1440</f>
        <v/>
      </c>
      <c r="C250">
        <f>IF(C$4=0,0,IF(COUNTIFS(実績!$W$6:$W$505,C$3,実績!$AC$6:$AC$505,"&lt;="&amp;$A250,実績!$AD$6:$AD$505,"&gt;"&amp;$A250,実績!$AE$6:$AE$505,"○")&gt;0,1,0))</f>
        <v/>
      </c>
      <c r="D250">
        <f>IF(D$4=0,0,IF(COUNTIFS(実績!$W$6:$W$505,D$3,実績!$AC$6:$AC$505,"&lt;="&amp;$A250,実績!$AD$6:$AD$505,"&gt;"&amp;$A250,実績!$AE$6:$AE$505,"○")&gt;0,1,0))</f>
        <v/>
      </c>
      <c r="E250">
        <f>IF(E$4=0,0,IF(COUNTIFS(実績!$W$6:$W$505,E$3,実績!$AC$6:$AC$505,"&lt;="&amp;$A250,実績!$AD$6:$AD$505,"&gt;"&amp;$A250,実績!$AE$6:$AE$505,"○")&gt;0,1,0))</f>
        <v/>
      </c>
      <c r="F250">
        <f>IF(F$4=0,0,IF(COUNTIFS(実績!$W$6:$W$505,F$3,実績!$AC$6:$AC$505,"&lt;="&amp;$A250,実績!$AD$6:$AD$505,"&gt;"&amp;$A250,実績!$AE$6:$AE$505,"○")&gt;0,1,0))</f>
        <v/>
      </c>
      <c r="G250">
        <f>IF(G$4=0,0,IF(COUNTIFS(実績!$W$6:$W$505,G$3,実績!$AC$6:$AC$505,"&lt;="&amp;$A250,実績!$AD$6:$AD$505,"&gt;"&amp;$A250,実績!$AE$6:$AE$505,"○")&gt;0,1,0))</f>
        <v/>
      </c>
      <c r="H250">
        <f>IF(H$4=0,0,IF(COUNTIFS(実績!$W$6:$W$505,H$3,実績!$AC$6:$AC$505,"&lt;="&amp;$A250,実績!$AD$6:$AD$505,"&gt;"&amp;$A250,実績!$AE$6:$AE$505,"○")&gt;0,1,0))</f>
        <v/>
      </c>
      <c r="I250">
        <f>IF(I$4=0,0,IF(COUNTIFS(実績!$W$6:$W$505,I$3,実績!$AC$6:$AC$505,"&lt;="&amp;$A250,実績!$AD$6:$AD$505,"&gt;"&amp;$A250,実績!$AE$6:$AE$505,"○")&gt;0,1,0))</f>
        <v/>
      </c>
      <c r="J250">
        <f>IF(J$4=0,0,IF(COUNTIFS(実績!$W$6:$W$505,J$3,実績!$AC$6:$AC$505,"&lt;="&amp;$A250,実績!$AD$6:$AD$505,"&gt;"&amp;$A250,実績!$AE$6:$AE$505,"○")&gt;0,1,0))</f>
        <v/>
      </c>
      <c r="K250">
        <f>IF(K$4=0,0,IF(COUNTIFS(実績!$W$6:$W$505,K$3,実績!$AC$6:$AC$505,"&lt;="&amp;$A250,実績!$AD$6:$AD$505,"&gt;"&amp;$A250,実績!$AE$6:$AE$505,"○")&gt;0,1,0))</f>
        <v/>
      </c>
      <c r="L250">
        <f>IF(L$4=0,0,IF(COUNTIFS(実績!$W$6:$W$505,L$3,実績!$AC$6:$AC$505,"&lt;="&amp;$A250,実績!$AD$6:$AD$505,"&gt;"&amp;$A250,実績!$AE$6:$AE$505,"○")&gt;0,1,0))</f>
        <v/>
      </c>
      <c r="M250">
        <f>IF(M$4=0,0,IF(COUNTIFS(実績!$W$6:$W$505,M$3,実績!$AC$6:$AC$505,"&lt;="&amp;$A250,実績!$AD$6:$AD$505,"&gt;"&amp;$A250,実績!$AE$6:$AE$505,"○")&gt;0,1,0))</f>
        <v/>
      </c>
      <c r="N250">
        <f>IF(N$4=0,0,IF(COUNTIFS(実績!$W$6:$W$505,N$3,実績!$AC$6:$AC$505,"&lt;="&amp;$A250,実績!$AD$6:$AD$505,"&gt;"&amp;$A250,実績!$AE$6:$AE$505,"○")&gt;0,1,0))</f>
        <v/>
      </c>
      <c r="O250">
        <f>IF(O$4=0,0,IF(COUNTIFS(実績!$W$6:$W$505,O$3,実績!$AC$6:$AC$505,"&lt;="&amp;$A250,実績!$AD$6:$AD$505,"&gt;"&amp;$A250,実績!$AE$6:$AE$505,"○")&gt;0,1,0))</f>
        <v/>
      </c>
      <c r="P250">
        <f>IF(P$4=0,0,IF(COUNTIFS(実績!$W$6:$W$505,P$3,実績!$AC$6:$AC$505,"&lt;="&amp;$A250,実績!$AD$6:$AD$505,"&gt;"&amp;$A250,実績!$AE$6:$AE$505,"○")&gt;0,1,0))</f>
        <v/>
      </c>
      <c r="Q250">
        <f>IF(Q$4=0,0,IF(COUNTIFS(実績!$W$6:$W$505,Q$3,実績!$AC$6:$AC$505,"&lt;="&amp;$A250,実績!$AD$6:$AD$505,"&gt;"&amp;$A250,実績!$AE$6:$AE$505,"○")&gt;0,1,0))</f>
        <v/>
      </c>
      <c r="R250">
        <f>IF(R$4=0,0,IF(COUNTIFS(実績!$W$6:$W$505,R$3,実績!$AC$6:$AC$505,"&lt;="&amp;$A250,実績!$AD$6:$AD$505,"&gt;"&amp;$A250,実績!$AE$6:$AE$505,"○")&gt;0,1,0))</f>
        <v/>
      </c>
      <c r="S250">
        <f>IF(S$4=0,0,IF(COUNTIFS(実績!$W$6:$W$505,S$3,実績!$AC$6:$AC$505,"&lt;="&amp;$A250,実績!$AD$6:$AD$505,"&gt;"&amp;$A250,実績!$AE$6:$AE$505,"○")&gt;0,1,0))</f>
        <v/>
      </c>
      <c r="T250">
        <f>IF(T$4=0,0,IF(COUNTIFS(実績!$W$6:$W$505,T$3,実績!$AC$6:$AC$505,"&lt;="&amp;$A250,実績!$AD$6:$AD$505,"&gt;"&amp;$A250,実績!$AE$6:$AE$505,"○")&gt;0,1,0))</f>
        <v/>
      </c>
      <c r="U250">
        <f>IF(U$4=0,0,IF(COUNTIFS(実績!$W$6:$W$505,U$3,実績!$AC$6:$AC$505,"&lt;="&amp;$A250,実績!$AD$6:$AD$505,"&gt;"&amp;$A250,実績!$AE$6:$AE$505,"○")&gt;0,1,0))</f>
        <v/>
      </c>
      <c r="V250">
        <f>IF(V$4=0,0,IF(COUNTIFS(実績!$W$6:$W$505,V$3,実績!$AC$6:$AC$505,"&lt;="&amp;$A250,実績!$AD$6:$AD$505,"&gt;"&amp;$A250,実績!$AE$6:$AE$505,"○")&gt;0,1,0))</f>
        <v/>
      </c>
      <c r="W250">
        <f>IF(W$4=0,0,IF(COUNTIFS(実績!$W$6:$W$505,W$3,実績!$AC$6:$AC$505,"&lt;="&amp;$A250,実績!$AD$6:$AD$505,"&gt;"&amp;$A250,実績!$AE$6:$AE$505,"○")&gt;0,1,0))</f>
        <v/>
      </c>
      <c r="X250">
        <f>IF(X$4=0,0,IF(COUNTIFS(実績!$W$6:$W$505,X$3,実績!$AC$6:$AC$505,"&lt;="&amp;$A250,実績!$AD$6:$AD$505,"&gt;"&amp;$A250,実績!$AE$6:$AE$505,"○")&gt;0,1,0))</f>
        <v/>
      </c>
      <c r="Y250">
        <f>IF(Y$4=0,0,IF(COUNTIFS(実績!$W$6:$W$505,Y$3,実績!$AC$6:$AC$505,"&lt;="&amp;$A250,実績!$AD$6:$AD$505,"&gt;"&amp;$A250,実績!$AE$6:$AE$505,"○")&gt;0,1,0))</f>
        <v/>
      </c>
      <c r="Z250">
        <f>IF(Z$4=0,0,IF(COUNTIFS(実績!$W$6:$W$505,Z$3,実績!$AC$6:$AC$505,"&lt;="&amp;$A250,実績!$AD$6:$AD$505,"&gt;"&amp;$A250,実績!$AE$6:$AE$505,"○")&gt;0,1,0))</f>
        <v/>
      </c>
      <c r="AA250">
        <f>IF(AA$4=0,0,IF(COUNTIFS(実績!$W$6:$W$505,AA$3,実績!$AC$6:$AC$505,"&lt;="&amp;$A250,実績!$AD$6:$AD$505,"&gt;"&amp;$A250,実績!$AE$6:$AE$505,"○")&gt;0,1,0))</f>
        <v/>
      </c>
      <c r="AB250">
        <f>IF(AB$4=0,0,IF(COUNTIFS(実績!$W$6:$W$505,AB$3,実績!$AC$6:$AC$505,"&lt;="&amp;$A250,実績!$AD$6:$AD$505,"&gt;"&amp;$A250,実績!$AE$6:$AE$505,"○")&gt;0,1,0))</f>
        <v/>
      </c>
      <c r="AC250">
        <f>IF(AC$4=0,0,IF(COUNTIFS(実績!$W$6:$W$505,AC$3,実績!$AC$6:$AC$505,"&lt;="&amp;$A250,実績!$AD$6:$AD$505,"&gt;"&amp;$A250,実績!$AE$6:$AE$505,"○")&gt;0,1,0))</f>
        <v/>
      </c>
      <c r="AD250">
        <f>IF(AD$4=0,0,IF(COUNTIFS(実績!$W$6:$W$505,AD$3,実績!$AC$6:$AC$505,"&lt;="&amp;$A250,実績!$AD$6:$AD$505,"&gt;"&amp;$A250,実績!$AE$6:$AE$505,"○")&gt;0,1,0))</f>
        <v/>
      </c>
      <c r="AE250">
        <f>IF(AE$4=0,0,IF(COUNTIFS(実績!$W$6:$W$505,AE$3,実績!$AC$6:$AC$505,"&lt;="&amp;$A250,実績!$AD$6:$AD$505,"&gt;"&amp;$A250,実績!$AE$6:$AE$505,"○")&gt;0,1,0))</f>
        <v/>
      </c>
      <c r="AF250">
        <f>IF(AF$4=0,0,IF(COUNTIFS(実績!$W$6:$W$505,AF$3,実績!$AC$6:$AC$505,"&lt;="&amp;$A250,実績!$AD$6:$AD$505,"&gt;"&amp;$A250,実績!$AE$6:$AE$505,"○")&gt;0,1,0))</f>
        <v/>
      </c>
      <c r="AG250">
        <f>IF(AG$4=0,0,IF(COUNTIFS(実績!$W$6:$W$505,AG$3,実績!$AC$6:$AC$505,"&lt;="&amp;$A250,実績!$AD$6:$AD$505,"&gt;"&amp;$A250,実績!$AE$6:$AE$505,"○")&gt;0,1,0))</f>
        <v/>
      </c>
      <c r="AH250">
        <f>IF(AH$4=0,0,IF(COUNTIFS(実績!$W$6:$W$505,AH$3,実績!$AC$6:$AC$505,"&lt;="&amp;$A250,実績!$AD$6:$AD$505,"&gt;"&amp;$A250,実績!$AE$6:$AE$505,"○")&gt;0,1,0))</f>
        <v/>
      </c>
      <c r="AI250">
        <f>IF(AI$4=0,0,IF(COUNTIFS(実績!$W$6:$W$505,AI$3,実績!$AC$6:$AC$505,"&lt;="&amp;$A250,実績!$AD$6:$AD$505,"&gt;"&amp;$A250,実績!$AE$6:$AE$505,"○")&gt;0,1,0))</f>
        <v/>
      </c>
      <c r="AJ250">
        <f>IF(AJ$4=0,0,IF(COUNTIFS(実績!$W$6:$W$505,AJ$3,実績!$AC$6:$AC$505,"&lt;="&amp;$A250,実績!$AD$6:$AD$505,"&gt;"&amp;$A250,実績!$AE$6:$AE$505,"○")&gt;0,1,0))</f>
        <v/>
      </c>
      <c r="AK250">
        <f>IF(AK$4=0,0,IF(COUNTIFS(実績!$W$6:$W$505,AK$3,実績!$AC$6:$AC$505,"&lt;="&amp;$A250,実績!$AD$6:$AD$505,"&gt;"&amp;$A250,実績!$AE$6:$AE$505,"○")&gt;0,1,0))</f>
        <v/>
      </c>
      <c r="AL250">
        <f>IF(AL$4=0,0,IF(COUNTIFS(実績!$W$6:$W$505,AL$3,実績!$AC$6:$AC$505,"&lt;="&amp;$A250,実績!$AD$6:$AD$505,"&gt;"&amp;$A250,実績!$AE$6:$AE$505,"○")&gt;0,1,0))</f>
        <v/>
      </c>
      <c r="AM250">
        <f>IF(AM$4=0,0,IF(COUNTIFS(実績!$W$6:$W$505,AM$3,実績!$AC$6:$AC$505,"&lt;="&amp;$A250,実績!$AD$6:$AD$505,"&gt;"&amp;$A250,実績!$AE$6:$AE$505,"○")&gt;0,1,0))</f>
        <v/>
      </c>
      <c r="AN250">
        <f>IF(AN$4=0,0,IF(COUNTIFS(実績!$W$6:$W$505,AN$3,実績!$AC$6:$AC$505,"&lt;="&amp;$A250,実績!$AD$6:$AD$505,"&gt;"&amp;$A250,実績!$AE$6:$AE$505,"○")&gt;0,1,0))</f>
        <v/>
      </c>
      <c r="AO250">
        <f>IF(AO$4=0,0,IF(COUNTIFS(実績!$W$6:$W$505,AO$3,実績!$AC$6:$AC$505,"&lt;="&amp;$A250,実績!$AD$6:$AD$505,"&gt;"&amp;$A250,実績!$AE$6:$AE$505,"○")&gt;0,1,0))</f>
        <v/>
      </c>
      <c r="AP250">
        <f>IF(AP$4=0,0,IF(COUNTIFS(実績!$W$6:$W$505,AP$3,実績!$AC$6:$AC$505,"&lt;="&amp;$A250,実績!$AD$6:$AD$505,"&gt;"&amp;$A250,実績!$AE$6:$AE$505,"○")&gt;0,1,0))</f>
        <v/>
      </c>
      <c r="AQ250">
        <f>IF(AQ$4=0,0,IF(COUNTIFS(実績!$W$6:$W$505,AQ$3,実績!$AC$6:$AC$505,"&lt;="&amp;$A250,実績!$AD$6:$AD$505,"&gt;"&amp;$A250,実績!$AE$6:$AE$505,"○")&gt;0,1,0))</f>
        <v/>
      </c>
      <c r="AR250">
        <f>IF(AR$4=0,0,IF(COUNTIFS(実績!$W$6:$W$505,AR$3,実績!$AC$6:$AC$505,"&lt;="&amp;$A250,実績!$AD$6:$AD$505,"&gt;"&amp;$A250,実績!$AE$6:$AE$505,"○")&gt;0,1,0))</f>
        <v/>
      </c>
      <c r="AS250">
        <f>IF(AS$4=0,0,IF(COUNTIFS(実績!$W$6:$W$505,AS$3,実績!$AC$6:$AC$505,"&lt;="&amp;$A250,実績!$AD$6:$AD$505,"&gt;"&amp;$A250,実績!$AE$6:$AE$505,"○")&gt;0,1,0))</f>
        <v/>
      </c>
      <c r="AT250">
        <f>IF(AT$4=0,0,IF(COUNTIFS(実績!$W$6:$W$505,AT$3,実績!$AC$6:$AC$505,"&lt;="&amp;$A250,実績!$AD$6:$AD$505,"&gt;"&amp;$A250,実績!$AE$6:$AE$505,"○")&gt;0,1,0))</f>
        <v/>
      </c>
      <c r="AU250">
        <f>IF(AU$4=0,0,IF(COUNTIFS(実績!$W$6:$W$505,AU$3,実績!$AC$6:$AC$505,"&lt;="&amp;$A250,実績!$AD$6:$AD$505,"&gt;"&amp;$A250,実績!$AE$6:$AE$505,"○")&gt;0,1,0))</f>
        <v/>
      </c>
      <c r="AV250">
        <f>IF(AV$4=0,0,IF(COUNTIFS(実績!$W$6:$W$505,AV$3,実績!$AC$6:$AC$505,"&lt;="&amp;$A250,実績!$AD$6:$AD$505,"&gt;"&amp;$A250,実績!$AE$6:$AE$505,"○")&gt;0,1,0))</f>
        <v/>
      </c>
      <c r="AW250">
        <f>IF(AW$4=0,0,IF(COUNTIFS(実績!$W$6:$W$505,AW$3,実績!$AC$6:$AC$505,"&lt;="&amp;$A250,実績!$AD$6:$AD$505,"&gt;"&amp;$A250,実績!$AE$6:$AE$505,"○")&gt;0,1,0))</f>
        <v/>
      </c>
      <c r="AX250">
        <f>IF(AX$4=0,0,IF(COUNTIFS(実績!$W$6:$W$505,AX$3,実績!$AC$6:$AC$505,"&lt;="&amp;$A250,実績!$AD$6:$AD$505,"&gt;"&amp;$A250,実績!$AE$6:$AE$505,"○")&gt;0,1,0))</f>
        <v/>
      </c>
      <c r="AY250">
        <f>IF(AY$4=0,0,IF(COUNTIFS(実績!$W$6:$W$505,AY$3,実績!$AC$6:$AC$505,"&lt;="&amp;$A250,実績!$AD$6:$AD$505,"&gt;"&amp;$A250,実績!$AE$6:$AE$505,"○")&gt;0,1,0))</f>
        <v/>
      </c>
      <c r="AZ250">
        <f>IF(AZ$4=0,0,IF(COUNTIFS(実績!$W$6:$W$505,AZ$3,実績!$AC$6:$AC$505,"&lt;="&amp;$A250,実績!$AD$6:$AD$505,"&gt;"&amp;$A250,実績!$AE$6:$AE$505,"○")&gt;0,1,0))</f>
        <v/>
      </c>
      <c r="BA250">
        <f>IF(BA$4=0,0,IF(COUNTIFS(実績!$W$6:$W$505,BA$3,実績!$AC$6:$AC$505,"&lt;="&amp;$A250,実績!$AD$6:$AD$505,"&gt;"&amp;$A250,実績!$AE$6:$AE$505,"○")&gt;0,1,0))</f>
        <v/>
      </c>
      <c r="BB250">
        <f>IF(BB$4=0,0,IF(COUNTIFS(実績!$W$6:$W$505,BB$3,実績!$AC$6:$AC$505,"&lt;="&amp;$A250,実績!$AD$6:$AD$505,"&gt;"&amp;$A250,実績!$AE$6:$AE$505,"○")&gt;0,1,0))</f>
        <v/>
      </c>
      <c r="BC250">
        <f>IF(BC$4=0,0,IF(COUNTIFS(実績!$W$6:$W$505,BC$3,実績!$AC$6:$AC$505,"&lt;="&amp;$A250,実績!$AD$6:$AD$505,"&gt;"&amp;$A250,実績!$AE$6:$AE$505,"○")&gt;0,1,0))</f>
        <v/>
      </c>
      <c r="BD250">
        <f>IF(BD$4=0,0,IF(COUNTIFS(実績!$W$6:$W$505,BD$3,実績!$AC$6:$AC$505,"&lt;="&amp;$A250,実績!$AD$6:$AD$505,"&gt;"&amp;$A250,実績!$AE$6:$AE$505,"○")&gt;0,1,0))</f>
        <v/>
      </c>
      <c r="BE250">
        <f>IF(BE$4=0,0,IF(COUNTIFS(実績!$W$6:$W$505,BE$3,実績!$AC$6:$AC$505,"&lt;="&amp;$A250,実績!$AD$6:$AD$505,"&gt;"&amp;$A250,実績!$AE$6:$AE$505,"○")&gt;0,1,0))</f>
        <v/>
      </c>
      <c r="BF250">
        <f>IF(BF$4=0,0,IF(COUNTIFS(実績!$W$6:$W$505,BF$3,実績!$AC$6:$AC$505,"&lt;="&amp;$A250,実績!$AD$6:$AD$505,"&gt;"&amp;$A250,実績!$AE$6:$AE$505,"○")&gt;0,1,0))</f>
        <v/>
      </c>
      <c r="BG250">
        <f>IF(BG$4=0,0,IF(COUNTIFS(実績!$W$6:$W$505,BG$3,実績!$AC$6:$AC$505,"&lt;="&amp;$A250,実績!$AD$6:$AD$505,"&gt;"&amp;$A250,実績!$AE$6:$AE$505,"○")&gt;0,1,0))</f>
        <v/>
      </c>
      <c r="BH250">
        <f>IF(BH$4=0,0,IF(COUNTIFS(実績!$W$6:$W$505,BH$3,実績!$AC$6:$AC$505,"&lt;="&amp;$A250,実績!$AD$6:$AD$505,"&gt;"&amp;$A250,実績!$AE$6:$AE$505,"○")&gt;0,1,0))</f>
        <v/>
      </c>
      <c r="BI250">
        <f>IF(BI$4=0,0,IF(COUNTIFS(実績!$W$6:$W$505,BI$3,実績!$AC$6:$AC$505,"&lt;="&amp;$A250,実績!$AD$6:$AD$505,"&gt;"&amp;$A250,実績!$AE$6:$AE$505,"○")&gt;0,1,0))</f>
        <v/>
      </c>
      <c r="BJ250">
        <f>IF(BJ$4=0,0,IF(COUNTIFS(実績!$W$6:$W$505,BJ$3,実績!$AC$6:$AC$505,"&lt;="&amp;$A250,実績!$AD$6:$AD$505,"&gt;"&amp;$A250,実績!$AE$6:$AE$505,"○")&gt;0,1,0))</f>
        <v/>
      </c>
      <c r="BK250">
        <f>IF(BK$4=0,0,IF(COUNTIFS(実績!$W$6:$W$505,BK$3,実績!$AC$6:$AC$505,"&lt;="&amp;$A250,実績!$AD$6:$AD$505,"&gt;"&amp;$A250,実績!$AE$6:$AE$505,"○")&gt;0,1,0))</f>
        <v/>
      </c>
      <c r="BL250">
        <f>IF(BL$4=0,0,IF(COUNTIFS(実績!$W$6:$W$505,BL$3,実績!$AC$6:$AC$505,"&lt;="&amp;$A250,実績!$AD$6:$AD$505,"&gt;"&amp;$A250,実績!$AE$6:$AE$505,"○")&gt;0,1,0))</f>
        <v/>
      </c>
      <c r="BM250">
        <f>IF(BM$4=0,0,IF(COUNTIFS(実績!$W$6:$W$505,BM$3,実績!$AC$6:$AC$505,"&lt;="&amp;$A250,実績!$AD$6:$AD$505,"&gt;"&amp;$A250,実績!$AE$6:$AE$505,"○")&gt;0,1,0))</f>
        <v/>
      </c>
      <c r="BN250">
        <f>IF(BN$4=0,0,IF(COUNTIFS(実績!$W$6:$W$505,BN$3,実績!$AC$6:$AC$505,"&lt;="&amp;$A250,実績!$AD$6:$AD$505,"&gt;"&amp;$A250,実績!$AE$6:$AE$505,"○")&gt;0,1,0))</f>
        <v/>
      </c>
      <c r="BO250">
        <f>IF(BO$4=0,0,IF(COUNTIFS(実績!$W$6:$W$505,BO$3,実績!$AC$6:$AC$505,"&lt;="&amp;$A250,実績!$AD$6:$AD$505,"&gt;"&amp;$A250,実績!$AE$6:$AE$505,"○")&gt;0,1,0))</f>
        <v/>
      </c>
      <c r="BP250">
        <f>IF(BP$4=0,0,IF(COUNTIFS(実績!$W$6:$W$505,BP$3,実績!$AC$6:$AC$505,"&lt;="&amp;$A250,実績!$AD$6:$AD$505,"&gt;"&amp;$A250,実績!$AE$6:$AE$505,"○")&gt;0,1,0))</f>
        <v/>
      </c>
      <c r="BQ250">
        <f>IF(BQ$4=0,0,IF(COUNTIFS(実績!$W$6:$W$505,BQ$3,実績!$AC$6:$AC$505,"&lt;="&amp;$A250,実績!$AD$6:$AD$505,"&gt;"&amp;$A250,実績!$AE$6:$AE$505,"○")&gt;0,1,0))</f>
        <v/>
      </c>
      <c r="BR250">
        <f>IF(BR$4=0,0,IF(COUNTIFS(実績!$W$6:$W$505,BR$3,実績!$AC$6:$AC$505,"&lt;="&amp;$A250,実績!$AD$6:$AD$505,"&gt;"&amp;$A250,実績!$AE$6:$AE$505,"○")&gt;0,1,0))</f>
        <v/>
      </c>
      <c r="BS250">
        <f>IF(BS$4=0,0,IF(COUNTIFS(実績!$W$6:$W$505,BS$3,実績!$AC$6:$AC$505,"&lt;="&amp;$A250,実績!$AD$6:$AD$505,"&gt;"&amp;$A250,実績!$AE$6:$AE$505,"○")&gt;0,1,0))</f>
        <v/>
      </c>
      <c r="BT250">
        <f>IF(BT$4=0,0,IF(COUNTIFS(実績!$W$6:$W$505,BT$3,実績!$AC$6:$AC$505,"&lt;="&amp;$A250,実績!$AD$6:$AD$505,"&gt;"&amp;$A250,実績!$AE$6:$AE$505,"○")&gt;0,1,0))</f>
        <v/>
      </c>
      <c r="BU250">
        <f>IF(BU$4=0,0,IF(COUNTIFS(実績!$W$6:$W$505,BU$3,実績!$AC$6:$AC$505,"&lt;="&amp;$A250,実績!$AD$6:$AD$505,"&gt;"&amp;$A250,実績!$AE$6:$AE$505,"○")&gt;0,1,0))</f>
        <v/>
      </c>
      <c r="BV250">
        <f>IF(BV$4=0,0,IF(COUNTIFS(実績!$W$6:$W$505,BV$3,実績!$AC$6:$AC$505,"&lt;="&amp;$A250,実績!$AD$6:$AD$505,"&gt;"&amp;$A250,実績!$AE$6:$AE$505,"○")&gt;0,1,0))</f>
        <v/>
      </c>
      <c r="BW250">
        <f>IF(BW$4=0,0,IF(COUNTIFS(実績!$W$6:$W$505,BW$3,実績!$AC$6:$AC$505,"&lt;="&amp;$A250,実績!$AD$6:$AD$505,"&gt;"&amp;$A250,実績!$AE$6:$AE$505,"○")&gt;0,1,0))</f>
        <v/>
      </c>
      <c r="BX250">
        <f>IF(BX$4=0,0,IF(COUNTIFS(実績!$W$6:$W$505,BX$3,実績!$AC$6:$AC$505,"&lt;="&amp;$A250,実績!$AD$6:$AD$505,"&gt;"&amp;$A250,実績!$AE$6:$AE$505,"○")&gt;0,1,0))</f>
        <v/>
      </c>
      <c r="BY250">
        <f>IF(BY$4=0,0,IF(COUNTIFS(実績!$W$6:$W$505,BY$3,実績!$AC$6:$AC$505,"&lt;="&amp;$A250,実績!$AD$6:$AD$505,"&gt;"&amp;$A250,実績!$AE$6:$AE$505,"○")&gt;0,1,0))</f>
        <v/>
      </c>
      <c r="BZ250">
        <f>IF(BZ$4=0,0,IF(COUNTIFS(実績!$W$6:$W$505,BZ$3,実績!$AC$6:$AC$505,"&lt;="&amp;$A250,実績!$AD$6:$AD$505,"&gt;"&amp;$A250,実績!$AE$6:$AE$505,"○")&gt;0,1,0))</f>
        <v/>
      </c>
      <c r="CA250">
        <f>IF(CA$4=0,0,IF(COUNTIFS(実績!$W$6:$W$505,CA$3,実績!$AC$6:$AC$505,"&lt;="&amp;$A250,実績!$AD$6:$AD$505,"&gt;"&amp;$A250,実績!$AE$6:$AE$505,"○")&gt;0,1,0))</f>
        <v/>
      </c>
      <c r="CB250">
        <f>IF(CB$4=0,0,IF(COUNTIFS(実績!$W$6:$W$505,CB$3,実績!$AC$6:$AC$505,"&lt;="&amp;$A250,実績!$AD$6:$AD$505,"&gt;"&amp;$A250,実績!$AE$6:$AE$505,"○")&gt;0,1,0))</f>
        <v/>
      </c>
      <c r="CC250">
        <f>IF(CC$4=0,0,IF(COUNTIFS(実績!$W$6:$W$505,CC$3,実績!$AC$6:$AC$505,"&lt;="&amp;$A250,実績!$AD$6:$AD$505,"&gt;"&amp;$A250,実績!$AE$6:$AE$505,"○")&gt;0,1,0))</f>
        <v/>
      </c>
      <c r="CD250">
        <f>IF(CD$4=0,0,IF(COUNTIFS(実績!$W$6:$W$505,CD$3,実績!$AC$6:$AC$505,"&lt;="&amp;$A250,実績!$AD$6:$AD$505,"&gt;"&amp;$A250,実績!$AE$6:$AE$505,"○")&gt;0,1,0))</f>
        <v/>
      </c>
      <c r="CE250">
        <f>IF(CE$4=0,0,IF(COUNTIFS(実績!$W$6:$W$505,CE$3,実績!$AC$6:$AC$505,"&lt;="&amp;$A250,実績!$AD$6:$AD$505,"&gt;"&amp;$A250,実績!$AE$6:$AE$505,"○")&gt;0,1,0))</f>
        <v/>
      </c>
      <c r="CF250">
        <f>IF(CF$4=0,0,IF(COUNTIFS(実績!$W$6:$W$505,CF$3,実績!$AC$6:$AC$505,"&lt;="&amp;$A250,実績!$AD$6:$AD$505,"&gt;"&amp;$A250,実績!$AE$6:$AE$505,"○")&gt;0,1,0))</f>
        <v/>
      </c>
      <c r="CG250">
        <f>IF(CG$4=0,0,IF(COUNTIFS(実績!$W$6:$W$505,CG$3,実績!$AC$6:$AC$505,"&lt;="&amp;$A250,実績!$AD$6:$AD$505,"&gt;"&amp;$A250,実績!$AE$6:$AE$505,"○")&gt;0,1,0))</f>
        <v/>
      </c>
      <c r="CH250">
        <f>IF(CH$4=0,0,IF(COUNTIFS(実績!$W$6:$W$505,CH$3,実績!$AC$6:$AC$505,"&lt;="&amp;$A250,実績!$AD$6:$AD$505,"&gt;"&amp;$A250,実績!$AE$6:$AE$505,"○")&gt;0,1,0))</f>
        <v/>
      </c>
      <c r="CI250">
        <f>IF(CI$4=0,0,IF(COUNTIFS(実績!$W$6:$W$505,CI$3,実績!$AC$6:$AC$505,"&lt;="&amp;$A250,実績!$AD$6:$AD$505,"&gt;"&amp;$A250,実績!$AE$6:$AE$505,"○")&gt;0,1,0))</f>
        <v/>
      </c>
      <c r="CJ250">
        <f>IF(CJ$4=0,0,IF(COUNTIFS(実績!$W$6:$W$505,CJ$3,実績!$AC$6:$AC$505,"&lt;="&amp;$A250,実績!$AD$6:$AD$505,"&gt;"&amp;$A250,実績!$AE$6:$AE$505,"○")&gt;0,1,0))</f>
        <v/>
      </c>
      <c r="CK250">
        <f>IF(CK$4=0,0,IF(COUNTIFS(実績!$W$6:$W$505,CK$3,実績!$AC$6:$AC$505,"&lt;="&amp;$A250,実績!$AD$6:$AD$505,"&gt;"&amp;$A250,実績!$AE$6:$AE$505,"○")&gt;0,1,0))</f>
        <v/>
      </c>
      <c r="CL250">
        <f>IF(CL$4=0,0,IF(COUNTIFS(実績!$W$6:$W$505,CL$3,実績!$AC$6:$AC$505,"&lt;="&amp;$A250,実績!$AD$6:$AD$505,"&gt;"&amp;$A250,実績!$AE$6:$AE$505,"○")&gt;0,1,0))</f>
        <v/>
      </c>
      <c r="CM250">
        <f>IF(CM$4=0,0,IF(COUNTIFS(実績!$W$6:$W$505,CM$3,実績!$AC$6:$AC$505,"&lt;="&amp;$A250,実績!$AD$6:$AD$505,"&gt;"&amp;$A250,実績!$AE$6:$AE$505,"○")&gt;0,1,0))</f>
        <v/>
      </c>
      <c r="CN250">
        <f>IF(CN$4=0,0,IF(COUNTIFS(実績!$W$6:$W$505,CN$3,実績!$AC$6:$AC$505,"&lt;="&amp;$A250,実績!$AD$6:$AD$505,"&gt;"&amp;$A250,実績!$AE$6:$AE$505,"○")&gt;0,1,0))</f>
        <v/>
      </c>
      <c r="CO250">
        <f>IF(CO$4=0,0,IF(COUNTIFS(実績!$W$6:$W$505,CO$3,実績!$AC$6:$AC$505,"&lt;="&amp;$A250,実績!$AD$6:$AD$505,"&gt;"&amp;$A250,実績!$AE$6:$AE$505,"○")&gt;0,1,0))</f>
        <v/>
      </c>
      <c r="CP250">
        <f>IF(CP$4=0,0,IF(COUNTIFS(実績!$W$6:$W$505,CP$3,実績!$AC$6:$AC$505,"&lt;="&amp;$A250,実績!$AD$6:$AD$505,"&gt;"&amp;$A250,実績!$AE$6:$AE$505,"○")&gt;0,1,0))</f>
        <v/>
      </c>
      <c r="CQ250">
        <f>IF(CQ$4=0,0,IF(COUNTIFS(実績!$W$6:$W$505,CQ$3,実績!$AC$6:$AC$505,"&lt;="&amp;$A250,実績!$AD$6:$AD$505,"&gt;"&amp;$A250,実績!$AE$6:$AE$505,"○")&gt;0,1,0))</f>
        <v/>
      </c>
      <c r="CR250">
        <f>IF(CR$4=0,0,IF(COUNTIFS(実績!$W$6:$W$505,CR$3,実績!$AC$6:$AC$505,"&lt;="&amp;$A250,実績!$AD$6:$AD$505,"&gt;"&amp;$A250,実績!$AE$6:$AE$505,"○")&gt;0,1,0))</f>
        <v/>
      </c>
      <c r="CS250">
        <f>IF(CS$4=0,0,IF(COUNTIFS(実績!$W$6:$W$505,CS$3,実績!$AC$6:$AC$505,"&lt;="&amp;$A250,実績!$AD$6:$AD$505,"&gt;"&amp;$A250,実績!$AE$6:$AE$505,"○")&gt;0,1,0))</f>
        <v/>
      </c>
      <c r="CT250">
        <f>IF(CT$4=0,0,IF(COUNTIFS(実績!$W$6:$W$505,CT$3,実績!$AC$6:$AC$505,"&lt;="&amp;$A250,実績!$AD$6:$AD$505,"&gt;"&amp;$A250,実績!$AE$6:$AE$505,"○")&gt;0,1,0))</f>
        <v/>
      </c>
      <c r="CU250">
        <f>IF(CU$4=0,0,IF(COUNTIFS(実績!$W$6:$W$505,CU$3,実績!$AC$6:$AC$505,"&lt;="&amp;$A250,実績!$AD$6:$AD$505,"&gt;"&amp;$A250,実績!$AE$6:$AE$505,"○")&gt;0,1,0))</f>
        <v/>
      </c>
      <c r="CV250">
        <f>IF(CV$4=0,0,IF(COUNTIFS(実績!$W$6:$W$505,CV$3,実績!$AC$6:$AC$505,"&lt;="&amp;$A250,実績!$AD$6:$AD$505,"&gt;"&amp;$A250,実績!$AE$6:$AE$505,"○")&gt;0,1,0))</f>
        <v/>
      </c>
      <c r="CW250">
        <f>IF(CW$4=0,0,IF(COUNTIFS(実績!$W$6:$W$505,CW$3,実績!$AC$6:$AC$505,"&lt;="&amp;$A250,実績!$AD$6:$AD$505,"&gt;"&amp;$A250,実績!$AE$6:$AE$505,"○")&gt;0,1,0))</f>
        <v/>
      </c>
      <c r="CX250">
        <f>IF(CX$4=0,0,IF(COUNTIFS(実績!$W$6:$W$505,CX$3,実績!$AC$6:$AC$505,"&lt;="&amp;$A250,実績!$AD$6:$AD$505,"&gt;"&amp;$A250,実績!$AE$6:$AE$505,"○")&gt;0,1,0))</f>
        <v/>
      </c>
      <c r="CY250">
        <f>IF(CY$4=0,0,IF(COUNTIFS(実績!$W$6:$W$505,CY$3,実績!$AC$6:$AC$505,"&lt;="&amp;$A250,実績!$AD$6:$AD$505,"&gt;"&amp;$A250,実績!$AE$6:$AE$505,"○")&gt;0,1,0))</f>
        <v/>
      </c>
      <c r="CZ250">
        <f>IF(CZ$4=0,0,IF(COUNTIFS(実績!$W$6:$W$505,CZ$3,実績!$AC$6:$AC$505,"&lt;="&amp;$A250,実績!$AD$6:$AD$505,"&gt;"&amp;$A250,実績!$AE$6:$AE$505,"○")&gt;0,1,0))</f>
        <v/>
      </c>
      <c r="DA250">
        <f>IF(DA$4=0,0,IF(COUNTIFS(実績!$W$6:$W$505,DA$3,実績!$AC$6:$AC$505,"&lt;="&amp;$A250,実績!$AD$6:$AD$505,"&gt;"&amp;$A250,実績!$AE$6:$AE$505,"○")&gt;0,1,0))</f>
        <v/>
      </c>
      <c r="DB250">
        <f>IF(DB$4=0,0,IF(COUNTIFS(実績!$W$6:$W$505,DB$3,実績!$AC$6:$AC$505,"&lt;="&amp;$A250,実績!$AD$6:$AD$505,"&gt;"&amp;$A250,実績!$AE$6:$AE$505,"○")&gt;0,1,0))</f>
        <v/>
      </c>
      <c r="DC250">
        <f>IF(DC$4=0,0,IF(COUNTIFS(実績!$W$6:$W$505,DC$3,実績!$AC$6:$AC$505,"&lt;="&amp;$A250,実績!$AD$6:$AD$505,"&gt;"&amp;$A250,実績!$AE$6:$AE$505,"○")&gt;0,1,0))</f>
        <v/>
      </c>
      <c r="DD250">
        <f>IF(DD$4=0,0,IF(COUNTIFS(実績!$W$6:$W$505,DD$3,実績!$AC$6:$AC$505,"&lt;="&amp;$A250,実績!$AD$6:$AD$505,"&gt;"&amp;$A250,実績!$AE$6:$AE$505,"○")&gt;0,1,0))</f>
        <v/>
      </c>
      <c r="DE250">
        <f>IF(DE$4=0,0,IF(COUNTIFS(実績!$W$6:$W$505,DE$3,実績!$AC$6:$AC$505,"&lt;="&amp;$A250,実績!$AD$6:$AD$505,"&gt;"&amp;$A250,実績!$AE$6:$AE$505,"○")&gt;0,1,0))</f>
        <v/>
      </c>
      <c r="DF250">
        <f>IF(DF$4=0,0,IF(COUNTIFS(実績!$W$6:$W$505,DF$3,実績!$AC$6:$AC$505,"&lt;="&amp;$A250,実績!$AD$6:$AD$505,"&gt;"&amp;$A250,実績!$AE$6:$AE$505,"○")&gt;0,1,0))</f>
        <v/>
      </c>
      <c r="DG250">
        <f>IF(DG$4=0,0,IF(COUNTIFS(実績!$W$6:$W$505,DG$3,実績!$AC$6:$AC$505,"&lt;="&amp;$A250,実績!$AD$6:$AD$505,"&gt;"&amp;$A250,実績!$AE$6:$AE$505,"○")&gt;0,1,0))</f>
        <v/>
      </c>
      <c r="DH250">
        <f>IF(DH$4=0,0,IF(COUNTIFS(実績!$W$6:$W$505,DH$3,実績!$AC$6:$AC$505,"&lt;="&amp;$A250,実績!$AD$6:$AD$505,"&gt;"&amp;$A250,実績!$AE$6:$AE$505,"○")&gt;0,1,0))</f>
        <v/>
      </c>
      <c r="DI250">
        <f>IF(DI$4=0,0,IF(COUNTIFS(実績!$W$6:$W$505,DI$3,実績!$AC$6:$AC$505,"&lt;="&amp;$A250,実績!$AD$6:$AD$505,"&gt;"&amp;$A250,実績!$AE$6:$AE$505,"○")&gt;0,1,0))</f>
        <v/>
      </c>
      <c r="DJ250">
        <f>IF(DJ$4=0,0,IF(COUNTIFS(実績!$W$6:$W$505,DJ$3,実績!$AC$6:$AC$505,"&lt;="&amp;$A250,実績!$AD$6:$AD$505,"&gt;"&amp;$A250,実績!$AE$6:$AE$505,"○")&gt;0,1,0))</f>
        <v/>
      </c>
      <c r="DK250">
        <f>IF(DK$4=0,0,IF(COUNTIFS(実績!$W$6:$W$505,DK$3,実績!$AC$6:$AC$505,"&lt;="&amp;$A250,実績!$AD$6:$AD$505,"&gt;"&amp;$A250,実績!$AE$6:$AE$505,"○")&gt;0,1,0))</f>
        <v/>
      </c>
      <c r="DL250">
        <f>IF(DL$4=0,0,IF(COUNTIFS(実績!$W$6:$W$505,DL$3,実績!$AC$6:$AC$505,"&lt;="&amp;$A250,実績!$AD$6:$AD$505,"&gt;"&amp;$A250,実績!$AE$6:$AE$505,"○")&gt;0,1,0))</f>
        <v/>
      </c>
      <c r="DM250">
        <f>IF(DM$4=0,0,IF(COUNTIFS(実績!$W$6:$W$505,DM$3,実績!$AC$6:$AC$505,"&lt;="&amp;$A250,実績!$AD$6:$AD$505,"&gt;"&amp;$A250,実績!$AE$6:$AE$505,"○")&gt;0,1,0))</f>
        <v/>
      </c>
      <c r="DN250">
        <f>IF(DN$4=0,0,IF(COUNTIFS(実績!$W$6:$W$505,DN$3,実績!$AC$6:$AC$505,"&lt;="&amp;$A250,実績!$AD$6:$AD$505,"&gt;"&amp;$A250,実績!$AE$6:$AE$505,"○")&gt;0,1,0))</f>
        <v/>
      </c>
      <c r="DO250">
        <f>IF(DO$4=0,0,IF(COUNTIFS(実績!$W$6:$W$505,DO$3,実績!$AC$6:$AC$505,"&lt;="&amp;$A250,実績!$AD$6:$AD$505,"&gt;"&amp;$A250,実績!$AE$6:$AE$505,"○")&gt;0,1,0))</f>
        <v/>
      </c>
      <c r="DP250">
        <f>IF(DP$4=0,0,IF(COUNTIFS(実績!$W$6:$W$505,DP$3,実績!$AC$6:$AC$505,"&lt;="&amp;$A250,実績!$AD$6:$AD$505,"&gt;"&amp;$A250,実績!$AE$6:$AE$505,"○")&gt;0,1,0))</f>
        <v/>
      </c>
      <c r="DQ250">
        <f>IF(DQ$4=0,0,IF(COUNTIFS(実績!$W$6:$W$505,DQ$3,実績!$AC$6:$AC$505,"&lt;="&amp;$A250,実績!$AD$6:$AD$505,"&gt;"&amp;$A250,実績!$AE$6:$AE$505,"○")&gt;0,1,0))</f>
        <v/>
      </c>
      <c r="DR250">
        <f>IF(DR$4=0,0,IF(COUNTIFS(実績!$W$6:$W$505,DR$3,実績!$AC$6:$AC$505,"&lt;="&amp;$A250,実績!$AD$6:$AD$505,"&gt;"&amp;$A250,実績!$AE$6:$AE$505,"○")&gt;0,1,0))</f>
        <v/>
      </c>
      <c r="DS250">
        <f>SUM(C250:DR250)</f>
        <v/>
      </c>
      <c r="DT250">
        <f>SUMPRODUCT((実績!$C$6:$C$505="○")*ISNUMBER(実績!$AF$6:$AF$505)*(実績!$AF$6:$AF$505&lt;=$A250)*(実績!$AG$6:$AG$505&gt;$A250))</f>
        <v/>
      </c>
      <c r="DU250">
        <f>SUMIF($C$2:$DR$2,"製鉄曳船",C250:DR250)</f>
        <v/>
      </c>
      <c r="DV250">
        <f>SUMIF($C$2:$DR$2,"西日本海運",C250:DR250)</f>
        <v/>
      </c>
    </row>
    <row r="251">
      <c r="A251" t="n">
        <v>1225</v>
      </c>
      <c r="B251" s="29">
        <f>A251/1440</f>
        <v/>
      </c>
      <c r="C251">
        <f>IF(C$4=0,0,IF(COUNTIFS(実績!$W$6:$W$505,C$3,実績!$AC$6:$AC$505,"&lt;="&amp;$A251,実績!$AD$6:$AD$505,"&gt;"&amp;$A251,実績!$AE$6:$AE$505,"○")&gt;0,1,0))</f>
        <v/>
      </c>
      <c r="D251">
        <f>IF(D$4=0,0,IF(COUNTIFS(実績!$W$6:$W$505,D$3,実績!$AC$6:$AC$505,"&lt;="&amp;$A251,実績!$AD$6:$AD$505,"&gt;"&amp;$A251,実績!$AE$6:$AE$505,"○")&gt;0,1,0))</f>
        <v/>
      </c>
      <c r="E251">
        <f>IF(E$4=0,0,IF(COUNTIFS(実績!$W$6:$W$505,E$3,実績!$AC$6:$AC$505,"&lt;="&amp;$A251,実績!$AD$6:$AD$505,"&gt;"&amp;$A251,実績!$AE$6:$AE$505,"○")&gt;0,1,0))</f>
        <v/>
      </c>
      <c r="F251">
        <f>IF(F$4=0,0,IF(COUNTIFS(実績!$W$6:$W$505,F$3,実績!$AC$6:$AC$505,"&lt;="&amp;$A251,実績!$AD$6:$AD$505,"&gt;"&amp;$A251,実績!$AE$6:$AE$505,"○")&gt;0,1,0))</f>
        <v/>
      </c>
      <c r="G251">
        <f>IF(G$4=0,0,IF(COUNTIFS(実績!$W$6:$W$505,G$3,実績!$AC$6:$AC$505,"&lt;="&amp;$A251,実績!$AD$6:$AD$505,"&gt;"&amp;$A251,実績!$AE$6:$AE$505,"○")&gt;0,1,0))</f>
        <v/>
      </c>
      <c r="H251">
        <f>IF(H$4=0,0,IF(COUNTIFS(実績!$W$6:$W$505,H$3,実績!$AC$6:$AC$505,"&lt;="&amp;$A251,実績!$AD$6:$AD$505,"&gt;"&amp;$A251,実績!$AE$6:$AE$505,"○")&gt;0,1,0))</f>
        <v/>
      </c>
      <c r="I251">
        <f>IF(I$4=0,0,IF(COUNTIFS(実績!$W$6:$W$505,I$3,実績!$AC$6:$AC$505,"&lt;="&amp;$A251,実績!$AD$6:$AD$505,"&gt;"&amp;$A251,実績!$AE$6:$AE$505,"○")&gt;0,1,0))</f>
        <v/>
      </c>
      <c r="J251">
        <f>IF(J$4=0,0,IF(COUNTIFS(実績!$W$6:$W$505,J$3,実績!$AC$6:$AC$505,"&lt;="&amp;$A251,実績!$AD$6:$AD$505,"&gt;"&amp;$A251,実績!$AE$6:$AE$505,"○")&gt;0,1,0))</f>
        <v/>
      </c>
      <c r="K251">
        <f>IF(K$4=0,0,IF(COUNTIFS(実績!$W$6:$W$505,K$3,実績!$AC$6:$AC$505,"&lt;="&amp;$A251,実績!$AD$6:$AD$505,"&gt;"&amp;$A251,実績!$AE$6:$AE$505,"○")&gt;0,1,0))</f>
        <v/>
      </c>
      <c r="L251">
        <f>IF(L$4=0,0,IF(COUNTIFS(実績!$W$6:$W$505,L$3,実績!$AC$6:$AC$505,"&lt;="&amp;$A251,実績!$AD$6:$AD$505,"&gt;"&amp;$A251,実績!$AE$6:$AE$505,"○")&gt;0,1,0))</f>
        <v/>
      </c>
      <c r="M251">
        <f>IF(M$4=0,0,IF(COUNTIFS(実績!$W$6:$W$505,M$3,実績!$AC$6:$AC$505,"&lt;="&amp;$A251,実績!$AD$6:$AD$505,"&gt;"&amp;$A251,実績!$AE$6:$AE$505,"○")&gt;0,1,0))</f>
        <v/>
      </c>
      <c r="N251">
        <f>IF(N$4=0,0,IF(COUNTIFS(実績!$W$6:$W$505,N$3,実績!$AC$6:$AC$505,"&lt;="&amp;$A251,実績!$AD$6:$AD$505,"&gt;"&amp;$A251,実績!$AE$6:$AE$505,"○")&gt;0,1,0))</f>
        <v/>
      </c>
      <c r="O251">
        <f>IF(O$4=0,0,IF(COUNTIFS(実績!$W$6:$W$505,O$3,実績!$AC$6:$AC$505,"&lt;="&amp;$A251,実績!$AD$6:$AD$505,"&gt;"&amp;$A251,実績!$AE$6:$AE$505,"○")&gt;0,1,0))</f>
        <v/>
      </c>
      <c r="P251">
        <f>IF(P$4=0,0,IF(COUNTIFS(実績!$W$6:$W$505,P$3,実績!$AC$6:$AC$505,"&lt;="&amp;$A251,実績!$AD$6:$AD$505,"&gt;"&amp;$A251,実績!$AE$6:$AE$505,"○")&gt;0,1,0))</f>
        <v/>
      </c>
      <c r="Q251">
        <f>IF(Q$4=0,0,IF(COUNTIFS(実績!$W$6:$W$505,Q$3,実績!$AC$6:$AC$505,"&lt;="&amp;$A251,実績!$AD$6:$AD$505,"&gt;"&amp;$A251,実績!$AE$6:$AE$505,"○")&gt;0,1,0))</f>
        <v/>
      </c>
      <c r="R251">
        <f>IF(R$4=0,0,IF(COUNTIFS(実績!$W$6:$W$505,R$3,実績!$AC$6:$AC$505,"&lt;="&amp;$A251,実績!$AD$6:$AD$505,"&gt;"&amp;$A251,実績!$AE$6:$AE$505,"○")&gt;0,1,0))</f>
        <v/>
      </c>
      <c r="S251">
        <f>IF(S$4=0,0,IF(COUNTIFS(実績!$W$6:$W$505,S$3,実績!$AC$6:$AC$505,"&lt;="&amp;$A251,実績!$AD$6:$AD$505,"&gt;"&amp;$A251,実績!$AE$6:$AE$505,"○")&gt;0,1,0))</f>
        <v/>
      </c>
      <c r="T251">
        <f>IF(T$4=0,0,IF(COUNTIFS(実績!$W$6:$W$505,T$3,実績!$AC$6:$AC$505,"&lt;="&amp;$A251,実績!$AD$6:$AD$505,"&gt;"&amp;$A251,実績!$AE$6:$AE$505,"○")&gt;0,1,0))</f>
        <v/>
      </c>
      <c r="U251">
        <f>IF(U$4=0,0,IF(COUNTIFS(実績!$W$6:$W$505,U$3,実績!$AC$6:$AC$505,"&lt;="&amp;$A251,実績!$AD$6:$AD$505,"&gt;"&amp;$A251,実績!$AE$6:$AE$505,"○")&gt;0,1,0))</f>
        <v/>
      </c>
      <c r="V251">
        <f>IF(V$4=0,0,IF(COUNTIFS(実績!$W$6:$W$505,V$3,実績!$AC$6:$AC$505,"&lt;="&amp;$A251,実績!$AD$6:$AD$505,"&gt;"&amp;$A251,実績!$AE$6:$AE$505,"○")&gt;0,1,0))</f>
        <v/>
      </c>
      <c r="W251">
        <f>IF(W$4=0,0,IF(COUNTIFS(実績!$W$6:$W$505,W$3,実績!$AC$6:$AC$505,"&lt;="&amp;$A251,実績!$AD$6:$AD$505,"&gt;"&amp;$A251,実績!$AE$6:$AE$505,"○")&gt;0,1,0))</f>
        <v/>
      </c>
      <c r="X251">
        <f>IF(X$4=0,0,IF(COUNTIFS(実績!$W$6:$W$505,X$3,実績!$AC$6:$AC$505,"&lt;="&amp;$A251,実績!$AD$6:$AD$505,"&gt;"&amp;$A251,実績!$AE$6:$AE$505,"○")&gt;0,1,0))</f>
        <v/>
      </c>
      <c r="Y251">
        <f>IF(Y$4=0,0,IF(COUNTIFS(実績!$W$6:$W$505,Y$3,実績!$AC$6:$AC$505,"&lt;="&amp;$A251,実績!$AD$6:$AD$505,"&gt;"&amp;$A251,実績!$AE$6:$AE$505,"○")&gt;0,1,0))</f>
        <v/>
      </c>
      <c r="Z251">
        <f>IF(Z$4=0,0,IF(COUNTIFS(実績!$W$6:$W$505,Z$3,実績!$AC$6:$AC$505,"&lt;="&amp;$A251,実績!$AD$6:$AD$505,"&gt;"&amp;$A251,実績!$AE$6:$AE$505,"○")&gt;0,1,0))</f>
        <v/>
      </c>
      <c r="AA251">
        <f>IF(AA$4=0,0,IF(COUNTIFS(実績!$W$6:$W$505,AA$3,実績!$AC$6:$AC$505,"&lt;="&amp;$A251,実績!$AD$6:$AD$505,"&gt;"&amp;$A251,実績!$AE$6:$AE$505,"○")&gt;0,1,0))</f>
        <v/>
      </c>
      <c r="AB251">
        <f>IF(AB$4=0,0,IF(COUNTIFS(実績!$W$6:$W$505,AB$3,実績!$AC$6:$AC$505,"&lt;="&amp;$A251,実績!$AD$6:$AD$505,"&gt;"&amp;$A251,実績!$AE$6:$AE$505,"○")&gt;0,1,0))</f>
        <v/>
      </c>
      <c r="AC251">
        <f>IF(AC$4=0,0,IF(COUNTIFS(実績!$W$6:$W$505,AC$3,実績!$AC$6:$AC$505,"&lt;="&amp;$A251,実績!$AD$6:$AD$505,"&gt;"&amp;$A251,実績!$AE$6:$AE$505,"○")&gt;0,1,0))</f>
        <v/>
      </c>
      <c r="AD251">
        <f>IF(AD$4=0,0,IF(COUNTIFS(実績!$W$6:$W$505,AD$3,実績!$AC$6:$AC$505,"&lt;="&amp;$A251,実績!$AD$6:$AD$505,"&gt;"&amp;$A251,実績!$AE$6:$AE$505,"○")&gt;0,1,0))</f>
        <v/>
      </c>
      <c r="AE251">
        <f>IF(AE$4=0,0,IF(COUNTIFS(実績!$W$6:$W$505,AE$3,実績!$AC$6:$AC$505,"&lt;="&amp;$A251,実績!$AD$6:$AD$505,"&gt;"&amp;$A251,実績!$AE$6:$AE$505,"○")&gt;0,1,0))</f>
        <v/>
      </c>
      <c r="AF251">
        <f>IF(AF$4=0,0,IF(COUNTIFS(実績!$W$6:$W$505,AF$3,実績!$AC$6:$AC$505,"&lt;="&amp;$A251,実績!$AD$6:$AD$505,"&gt;"&amp;$A251,実績!$AE$6:$AE$505,"○")&gt;0,1,0))</f>
        <v/>
      </c>
      <c r="AG251">
        <f>IF(AG$4=0,0,IF(COUNTIFS(実績!$W$6:$W$505,AG$3,実績!$AC$6:$AC$505,"&lt;="&amp;$A251,実績!$AD$6:$AD$505,"&gt;"&amp;$A251,実績!$AE$6:$AE$505,"○")&gt;0,1,0))</f>
        <v/>
      </c>
      <c r="AH251">
        <f>IF(AH$4=0,0,IF(COUNTIFS(実績!$W$6:$W$505,AH$3,実績!$AC$6:$AC$505,"&lt;="&amp;$A251,実績!$AD$6:$AD$505,"&gt;"&amp;$A251,実績!$AE$6:$AE$505,"○")&gt;0,1,0))</f>
        <v/>
      </c>
      <c r="AI251">
        <f>IF(AI$4=0,0,IF(COUNTIFS(実績!$W$6:$W$505,AI$3,実績!$AC$6:$AC$505,"&lt;="&amp;$A251,実績!$AD$6:$AD$505,"&gt;"&amp;$A251,実績!$AE$6:$AE$505,"○")&gt;0,1,0))</f>
        <v/>
      </c>
      <c r="AJ251">
        <f>IF(AJ$4=0,0,IF(COUNTIFS(実績!$W$6:$W$505,AJ$3,実績!$AC$6:$AC$505,"&lt;="&amp;$A251,実績!$AD$6:$AD$505,"&gt;"&amp;$A251,実績!$AE$6:$AE$505,"○")&gt;0,1,0))</f>
        <v/>
      </c>
      <c r="AK251">
        <f>IF(AK$4=0,0,IF(COUNTIFS(実績!$W$6:$W$505,AK$3,実績!$AC$6:$AC$505,"&lt;="&amp;$A251,実績!$AD$6:$AD$505,"&gt;"&amp;$A251,実績!$AE$6:$AE$505,"○")&gt;0,1,0))</f>
        <v/>
      </c>
      <c r="AL251">
        <f>IF(AL$4=0,0,IF(COUNTIFS(実績!$W$6:$W$505,AL$3,実績!$AC$6:$AC$505,"&lt;="&amp;$A251,実績!$AD$6:$AD$505,"&gt;"&amp;$A251,実績!$AE$6:$AE$505,"○")&gt;0,1,0))</f>
        <v/>
      </c>
      <c r="AM251">
        <f>IF(AM$4=0,0,IF(COUNTIFS(実績!$W$6:$W$505,AM$3,実績!$AC$6:$AC$505,"&lt;="&amp;$A251,実績!$AD$6:$AD$505,"&gt;"&amp;$A251,実績!$AE$6:$AE$505,"○")&gt;0,1,0))</f>
        <v/>
      </c>
      <c r="AN251">
        <f>IF(AN$4=0,0,IF(COUNTIFS(実績!$W$6:$W$505,AN$3,実績!$AC$6:$AC$505,"&lt;="&amp;$A251,実績!$AD$6:$AD$505,"&gt;"&amp;$A251,実績!$AE$6:$AE$505,"○")&gt;0,1,0))</f>
        <v/>
      </c>
      <c r="AO251">
        <f>IF(AO$4=0,0,IF(COUNTIFS(実績!$W$6:$W$505,AO$3,実績!$AC$6:$AC$505,"&lt;="&amp;$A251,実績!$AD$6:$AD$505,"&gt;"&amp;$A251,実績!$AE$6:$AE$505,"○")&gt;0,1,0))</f>
        <v/>
      </c>
      <c r="AP251">
        <f>IF(AP$4=0,0,IF(COUNTIFS(実績!$W$6:$W$505,AP$3,実績!$AC$6:$AC$505,"&lt;="&amp;$A251,実績!$AD$6:$AD$505,"&gt;"&amp;$A251,実績!$AE$6:$AE$505,"○")&gt;0,1,0))</f>
        <v/>
      </c>
      <c r="AQ251">
        <f>IF(AQ$4=0,0,IF(COUNTIFS(実績!$W$6:$W$505,AQ$3,実績!$AC$6:$AC$505,"&lt;="&amp;$A251,実績!$AD$6:$AD$505,"&gt;"&amp;$A251,実績!$AE$6:$AE$505,"○")&gt;0,1,0))</f>
        <v/>
      </c>
      <c r="AR251">
        <f>IF(AR$4=0,0,IF(COUNTIFS(実績!$W$6:$W$505,AR$3,実績!$AC$6:$AC$505,"&lt;="&amp;$A251,実績!$AD$6:$AD$505,"&gt;"&amp;$A251,実績!$AE$6:$AE$505,"○")&gt;0,1,0))</f>
        <v/>
      </c>
      <c r="AS251">
        <f>IF(AS$4=0,0,IF(COUNTIFS(実績!$W$6:$W$505,AS$3,実績!$AC$6:$AC$505,"&lt;="&amp;$A251,実績!$AD$6:$AD$505,"&gt;"&amp;$A251,実績!$AE$6:$AE$505,"○")&gt;0,1,0))</f>
        <v/>
      </c>
      <c r="AT251">
        <f>IF(AT$4=0,0,IF(COUNTIFS(実績!$W$6:$W$505,AT$3,実績!$AC$6:$AC$505,"&lt;="&amp;$A251,実績!$AD$6:$AD$505,"&gt;"&amp;$A251,実績!$AE$6:$AE$505,"○")&gt;0,1,0))</f>
        <v/>
      </c>
      <c r="AU251">
        <f>IF(AU$4=0,0,IF(COUNTIFS(実績!$W$6:$W$505,AU$3,実績!$AC$6:$AC$505,"&lt;="&amp;$A251,実績!$AD$6:$AD$505,"&gt;"&amp;$A251,実績!$AE$6:$AE$505,"○")&gt;0,1,0))</f>
        <v/>
      </c>
      <c r="AV251">
        <f>IF(AV$4=0,0,IF(COUNTIFS(実績!$W$6:$W$505,AV$3,実績!$AC$6:$AC$505,"&lt;="&amp;$A251,実績!$AD$6:$AD$505,"&gt;"&amp;$A251,実績!$AE$6:$AE$505,"○")&gt;0,1,0))</f>
        <v/>
      </c>
      <c r="AW251">
        <f>IF(AW$4=0,0,IF(COUNTIFS(実績!$W$6:$W$505,AW$3,実績!$AC$6:$AC$505,"&lt;="&amp;$A251,実績!$AD$6:$AD$505,"&gt;"&amp;$A251,実績!$AE$6:$AE$505,"○")&gt;0,1,0))</f>
        <v/>
      </c>
      <c r="AX251">
        <f>IF(AX$4=0,0,IF(COUNTIFS(実績!$W$6:$W$505,AX$3,実績!$AC$6:$AC$505,"&lt;="&amp;$A251,実績!$AD$6:$AD$505,"&gt;"&amp;$A251,実績!$AE$6:$AE$505,"○")&gt;0,1,0))</f>
        <v/>
      </c>
      <c r="AY251">
        <f>IF(AY$4=0,0,IF(COUNTIFS(実績!$W$6:$W$505,AY$3,実績!$AC$6:$AC$505,"&lt;="&amp;$A251,実績!$AD$6:$AD$505,"&gt;"&amp;$A251,実績!$AE$6:$AE$505,"○")&gt;0,1,0))</f>
        <v/>
      </c>
      <c r="AZ251">
        <f>IF(AZ$4=0,0,IF(COUNTIFS(実績!$W$6:$W$505,AZ$3,実績!$AC$6:$AC$505,"&lt;="&amp;$A251,実績!$AD$6:$AD$505,"&gt;"&amp;$A251,実績!$AE$6:$AE$505,"○")&gt;0,1,0))</f>
        <v/>
      </c>
      <c r="BA251">
        <f>IF(BA$4=0,0,IF(COUNTIFS(実績!$W$6:$W$505,BA$3,実績!$AC$6:$AC$505,"&lt;="&amp;$A251,実績!$AD$6:$AD$505,"&gt;"&amp;$A251,実績!$AE$6:$AE$505,"○")&gt;0,1,0))</f>
        <v/>
      </c>
      <c r="BB251">
        <f>IF(BB$4=0,0,IF(COUNTIFS(実績!$W$6:$W$505,BB$3,実績!$AC$6:$AC$505,"&lt;="&amp;$A251,実績!$AD$6:$AD$505,"&gt;"&amp;$A251,実績!$AE$6:$AE$505,"○")&gt;0,1,0))</f>
        <v/>
      </c>
      <c r="BC251">
        <f>IF(BC$4=0,0,IF(COUNTIFS(実績!$W$6:$W$505,BC$3,実績!$AC$6:$AC$505,"&lt;="&amp;$A251,実績!$AD$6:$AD$505,"&gt;"&amp;$A251,実績!$AE$6:$AE$505,"○")&gt;0,1,0))</f>
        <v/>
      </c>
      <c r="BD251">
        <f>IF(BD$4=0,0,IF(COUNTIFS(実績!$W$6:$W$505,BD$3,実績!$AC$6:$AC$505,"&lt;="&amp;$A251,実績!$AD$6:$AD$505,"&gt;"&amp;$A251,実績!$AE$6:$AE$505,"○")&gt;0,1,0))</f>
        <v/>
      </c>
      <c r="BE251">
        <f>IF(BE$4=0,0,IF(COUNTIFS(実績!$W$6:$W$505,BE$3,実績!$AC$6:$AC$505,"&lt;="&amp;$A251,実績!$AD$6:$AD$505,"&gt;"&amp;$A251,実績!$AE$6:$AE$505,"○")&gt;0,1,0))</f>
        <v/>
      </c>
      <c r="BF251">
        <f>IF(BF$4=0,0,IF(COUNTIFS(実績!$W$6:$W$505,BF$3,実績!$AC$6:$AC$505,"&lt;="&amp;$A251,実績!$AD$6:$AD$505,"&gt;"&amp;$A251,実績!$AE$6:$AE$505,"○")&gt;0,1,0))</f>
        <v/>
      </c>
      <c r="BG251">
        <f>IF(BG$4=0,0,IF(COUNTIFS(実績!$W$6:$W$505,BG$3,実績!$AC$6:$AC$505,"&lt;="&amp;$A251,実績!$AD$6:$AD$505,"&gt;"&amp;$A251,実績!$AE$6:$AE$505,"○")&gt;0,1,0))</f>
        <v/>
      </c>
      <c r="BH251">
        <f>IF(BH$4=0,0,IF(COUNTIFS(実績!$W$6:$W$505,BH$3,実績!$AC$6:$AC$505,"&lt;="&amp;$A251,実績!$AD$6:$AD$505,"&gt;"&amp;$A251,実績!$AE$6:$AE$505,"○")&gt;0,1,0))</f>
        <v/>
      </c>
      <c r="BI251">
        <f>IF(BI$4=0,0,IF(COUNTIFS(実績!$W$6:$W$505,BI$3,実績!$AC$6:$AC$505,"&lt;="&amp;$A251,実績!$AD$6:$AD$505,"&gt;"&amp;$A251,実績!$AE$6:$AE$505,"○")&gt;0,1,0))</f>
        <v/>
      </c>
      <c r="BJ251">
        <f>IF(BJ$4=0,0,IF(COUNTIFS(実績!$W$6:$W$505,BJ$3,実績!$AC$6:$AC$505,"&lt;="&amp;$A251,実績!$AD$6:$AD$505,"&gt;"&amp;$A251,実績!$AE$6:$AE$505,"○")&gt;0,1,0))</f>
        <v/>
      </c>
      <c r="BK251">
        <f>IF(BK$4=0,0,IF(COUNTIFS(実績!$W$6:$W$505,BK$3,実績!$AC$6:$AC$505,"&lt;="&amp;$A251,実績!$AD$6:$AD$505,"&gt;"&amp;$A251,実績!$AE$6:$AE$505,"○")&gt;0,1,0))</f>
        <v/>
      </c>
      <c r="BL251">
        <f>IF(BL$4=0,0,IF(COUNTIFS(実績!$W$6:$W$505,BL$3,実績!$AC$6:$AC$505,"&lt;="&amp;$A251,実績!$AD$6:$AD$505,"&gt;"&amp;$A251,実績!$AE$6:$AE$505,"○")&gt;0,1,0))</f>
        <v/>
      </c>
      <c r="BM251">
        <f>IF(BM$4=0,0,IF(COUNTIFS(実績!$W$6:$W$505,BM$3,実績!$AC$6:$AC$505,"&lt;="&amp;$A251,実績!$AD$6:$AD$505,"&gt;"&amp;$A251,実績!$AE$6:$AE$505,"○")&gt;0,1,0))</f>
        <v/>
      </c>
      <c r="BN251">
        <f>IF(BN$4=0,0,IF(COUNTIFS(実績!$W$6:$W$505,BN$3,実績!$AC$6:$AC$505,"&lt;="&amp;$A251,実績!$AD$6:$AD$505,"&gt;"&amp;$A251,実績!$AE$6:$AE$505,"○")&gt;0,1,0))</f>
        <v/>
      </c>
      <c r="BO251">
        <f>IF(BO$4=0,0,IF(COUNTIFS(実績!$W$6:$W$505,BO$3,実績!$AC$6:$AC$505,"&lt;="&amp;$A251,実績!$AD$6:$AD$505,"&gt;"&amp;$A251,実績!$AE$6:$AE$505,"○")&gt;0,1,0))</f>
        <v/>
      </c>
      <c r="BP251">
        <f>IF(BP$4=0,0,IF(COUNTIFS(実績!$W$6:$W$505,BP$3,実績!$AC$6:$AC$505,"&lt;="&amp;$A251,実績!$AD$6:$AD$505,"&gt;"&amp;$A251,実績!$AE$6:$AE$505,"○")&gt;0,1,0))</f>
        <v/>
      </c>
      <c r="BQ251">
        <f>IF(BQ$4=0,0,IF(COUNTIFS(実績!$W$6:$W$505,BQ$3,実績!$AC$6:$AC$505,"&lt;="&amp;$A251,実績!$AD$6:$AD$505,"&gt;"&amp;$A251,実績!$AE$6:$AE$505,"○")&gt;0,1,0))</f>
        <v/>
      </c>
      <c r="BR251">
        <f>IF(BR$4=0,0,IF(COUNTIFS(実績!$W$6:$W$505,BR$3,実績!$AC$6:$AC$505,"&lt;="&amp;$A251,実績!$AD$6:$AD$505,"&gt;"&amp;$A251,実績!$AE$6:$AE$505,"○")&gt;0,1,0))</f>
        <v/>
      </c>
      <c r="BS251">
        <f>IF(BS$4=0,0,IF(COUNTIFS(実績!$W$6:$W$505,BS$3,実績!$AC$6:$AC$505,"&lt;="&amp;$A251,実績!$AD$6:$AD$505,"&gt;"&amp;$A251,実績!$AE$6:$AE$505,"○")&gt;0,1,0))</f>
        <v/>
      </c>
      <c r="BT251">
        <f>IF(BT$4=0,0,IF(COUNTIFS(実績!$W$6:$W$505,BT$3,実績!$AC$6:$AC$505,"&lt;="&amp;$A251,実績!$AD$6:$AD$505,"&gt;"&amp;$A251,実績!$AE$6:$AE$505,"○")&gt;0,1,0))</f>
        <v/>
      </c>
      <c r="BU251">
        <f>IF(BU$4=0,0,IF(COUNTIFS(実績!$W$6:$W$505,BU$3,実績!$AC$6:$AC$505,"&lt;="&amp;$A251,実績!$AD$6:$AD$505,"&gt;"&amp;$A251,実績!$AE$6:$AE$505,"○")&gt;0,1,0))</f>
        <v/>
      </c>
      <c r="BV251">
        <f>IF(BV$4=0,0,IF(COUNTIFS(実績!$W$6:$W$505,BV$3,実績!$AC$6:$AC$505,"&lt;="&amp;$A251,実績!$AD$6:$AD$505,"&gt;"&amp;$A251,実績!$AE$6:$AE$505,"○")&gt;0,1,0))</f>
        <v/>
      </c>
      <c r="BW251">
        <f>IF(BW$4=0,0,IF(COUNTIFS(実績!$W$6:$W$505,BW$3,実績!$AC$6:$AC$505,"&lt;="&amp;$A251,実績!$AD$6:$AD$505,"&gt;"&amp;$A251,実績!$AE$6:$AE$505,"○")&gt;0,1,0))</f>
        <v/>
      </c>
      <c r="BX251">
        <f>IF(BX$4=0,0,IF(COUNTIFS(実績!$W$6:$W$505,BX$3,実績!$AC$6:$AC$505,"&lt;="&amp;$A251,実績!$AD$6:$AD$505,"&gt;"&amp;$A251,実績!$AE$6:$AE$505,"○")&gt;0,1,0))</f>
        <v/>
      </c>
      <c r="BY251">
        <f>IF(BY$4=0,0,IF(COUNTIFS(実績!$W$6:$W$505,BY$3,実績!$AC$6:$AC$505,"&lt;="&amp;$A251,実績!$AD$6:$AD$505,"&gt;"&amp;$A251,実績!$AE$6:$AE$505,"○")&gt;0,1,0))</f>
        <v/>
      </c>
      <c r="BZ251">
        <f>IF(BZ$4=0,0,IF(COUNTIFS(実績!$W$6:$W$505,BZ$3,実績!$AC$6:$AC$505,"&lt;="&amp;$A251,実績!$AD$6:$AD$505,"&gt;"&amp;$A251,実績!$AE$6:$AE$505,"○")&gt;0,1,0))</f>
        <v/>
      </c>
      <c r="CA251">
        <f>IF(CA$4=0,0,IF(COUNTIFS(実績!$W$6:$W$505,CA$3,実績!$AC$6:$AC$505,"&lt;="&amp;$A251,実績!$AD$6:$AD$505,"&gt;"&amp;$A251,実績!$AE$6:$AE$505,"○")&gt;0,1,0))</f>
        <v/>
      </c>
      <c r="CB251">
        <f>IF(CB$4=0,0,IF(COUNTIFS(実績!$W$6:$W$505,CB$3,実績!$AC$6:$AC$505,"&lt;="&amp;$A251,実績!$AD$6:$AD$505,"&gt;"&amp;$A251,実績!$AE$6:$AE$505,"○")&gt;0,1,0))</f>
        <v/>
      </c>
      <c r="CC251">
        <f>IF(CC$4=0,0,IF(COUNTIFS(実績!$W$6:$W$505,CC$3,実績!$AC$6:$AC$505,"&lt;="&amp;$A251,実績!$AD$6:$AD$505,"&gt;"&amp;$A251,実績!$AE$6:$AE$505,"○")&gt;0,1,0))</f>
        <v/>
      </c>
      <c r="CD251">
        <f>IF(CD$4=0,0,IF(COUNTIFS(実績!$W$6:$W$505,CD$3,実績!$AC$6:$AC$505,"&lt;="&amp;$A251,実績!$AD$6:$AD$505,"&gt;"&amp;$A251,実績!$AE$6:$AE$505,"○")&gt;0,1,0))</f>
        <v/>
      </c>
      <c r="CE251">
        <f>IF(CE$4=0,0,IF(COUNTIFS(実績!$W$6:$W$505,CE$3,実績!$AC$6:$AC$505,"&lt;="&amp;$A251,実績!$AD$6:$AD$505,"&gt;"&amp;$A251,実績!$AE$6:$AE$505,"○")&gt;0,1,0))</f>
        <v/>
      </c>
      <c r="CF251">
        <f>IF(CF$4=0,0,IF(COUNTIFS(実績!$W$6:$W$505,CF$3,実績!$AC$6:$AC$505,"&lt;="&amp;$A251,実績!$AD$6:$AD$505,"&gt;"&amp;$A251,実績!$AE$6:$AE$505,"○")&gt;0,1,0))</f>
        <v/>
      </c>
      <c r="CG251">
        <f>IF(CG$4=0,0,IF(COUNTIFS(実績!$W$6:$W$505,CG$3,実績!$AC$6:$AC$505,"&lt;="&amp;$A251,実績!$AD$6:$AD$505,"&gt;"&amp;$A251,実績!$AE$6:$AE$505,"○")&gt;0,1,0))</f>
        <v/>
      </c>
      <c r="CH251">
        <f>IF(CH$4=0,0,IF(COUNTIFS(実績!$W$6:$W$505,CH$3,実績!$AC$6:$AC$505,"&lt;="&amp;$A251,実績!$AD$6:$AD$505,"&gt;"&amp;$A251,実績!$AE$6:$AE$505,"○")&gt;0,1,0))</f>
        <v/>
      </c>
      <c r="CI251">
        <f>IF(CI$4=0,0,IF(COUNTIFS(実績!$W$6:$W$505,CI$3,実績!$AC$6:$AC$505,"&lt;="&amp;$A251,実績!$AD$6:$AD$505,"&gt;"&amp;$A251,実績!$AE$6:$AE$505,"○")&gt;0,1,0))</f>
        <v/>
      </c>
      <c r="CJ251">
        <f>IF(CJ$4=0,0,IF(COUNTIFS(実績!$W$6:$W$505,CJ$3,実績!$AC$6:$AC$505,"&lt;="&amp;$A251,実績!$AD$6:$AD$505,"&gt;"&amp;$A251,実績!$AE$6:$AE$505,"○")&gt;0,1,0))</f>
        <v/>
      </c>
      <c r="CK251">
        <f>IF(CK$4=0,0,IF(COUNTIFS(実績!$W$6:$W$505,CK$3,実績!$AC$6:$AC$505,"&lt;="&amp;$A251,実績!$AD$6:$AD$505,"&gt;"&amp;$A251,実績!$AE$6:$AE$505,"○")&gt;0,1,0))</f>
        <v/>
      </c>
      <c r="CL251">
        <f>IF(CL$4=0,0,IF(COUNTIFS(実績!$W$6:$W$505,CL$3,実績!$AC$6:$AC$505,"&lt;="&amp;$A251,実績!$AD$6:$AD$505,"&gt;"&amp;$A251,実績!$AE$6:$AE$505,"○")&gt;0,1,0))</f>
        <v/>
      </c>
      <c r="CM251">
        <f>IF(CM$4=0,0,IF(COUNTIFS(実績!$W$6:$W$505,CM$3,実績!$AC$6:$AC$505,"&lt;="&amp;$A251,実績!$AD$6:$AD$505,"&gt;"&amp;$A251,実績!$AE$6:$AE$505,"○")&gt;0,1,0))</f>
        <v/>
      </c>
      <c r="CN251">
        <f>IF(CN$4=0,0,IF(COUNTIFS(実績!$W$6:$W$505,CN$3,実績!$AC$6:$AC$505,"&lt;="&amp;$A251,実績!$AD$6:$AD$505,"&gt;"&amp;$A251,実績!$AE$6:$AE$505,"○")&gt;0,1,0))</f>
        <v/>
      </c>
      <c r="CO251">
        <f>IF(CO$4=0,0,IF(COUNTIFS(実績!$W$6:$W$505,CO$3,実績!$AC$6:$AC$505,"&lt;="&amp;$A251,実績!$AD$6:$AD$505,"&gt;"&amp;$A251,実績!$AE$6:$AE$505,"○")&gt;0,1,0))</f>
        <v/>
      </c>
      <c r="CP251">
        <f>IF(CP$4=0,0,IF(COUNTIFS(実績!$W$6:$W$505,CP$3,実績!$AC$6:$AC$505,"&lt;="&amp;$A251,実績!$AD$6:$AD$505,"&gt;"&amp;$A251,実績!$AE$6:$AE$505,"○")&gt;0,1,0))</f>
        <v/>
      </c>
      <c r="CQ251">
        <f>IF(CQ$4=0,0,IF(COUNTIFS(実績!$W$6:$W$505,CQ$3,実績!$AC$6:$AC$505,"&lt;="&amp;$A251,実績!$AD$6:$AD$505,"&gt;"&amp;$A251,実績!$AE$6:$AE$505,"○")&gt;0,1,0))</f>
        <v/>
      </c>
      <c r="CR251">
        <f>IF(CR$4=0,0,IF(COUNTIFS(実績!$W$6:$W$505,CR$3,実績!$AC$6:$AC$505,"&lt;="&amp;$A251,実績!$AD$6:$AD$505,"&gt;"&amp;$A251,実績!$AE$6:$AE$505,"○")&gt;0,1,0))</f>
        <v/>
      </c>
      <c r="CS251">
        <f>IF(CS$4=0,0,IF(COUNTIFS(実績!$W$6:$W$505,CS$3,実績!$AC$6:$AC$505,"&lt;="&amp;$A251,実績!$AD$6:$AD$505,"&gt;"&amp;$A251,実績!$AE$6:$AE$505,"○")&gt;0,1,0))</f>
        <v/>
      </c>
      <c r="CT251">
        <f>IF(CT$4=0,0,IF(COUNTIFS(実績!$W$6:$W$505,CT$3,実績!$AC$6:$AC$505,"&lt;="&amp;$A251,実績!$AD$6:$AD$505,"&gt;"&amp;$A251,実績!$AE$6:$AE$505,"○")&gt;0,1,0))</f>
        <v/>
      </c>
      <c r="CU251">
        <f>IF(CU$4=0,0,IF(COUNTIFS(実績!$W$6:$W$505,CU$3,実績!$AC$6:$AC$505,"&lt;="&amp;$A251,実績!$AD$6:$AD$505,"&gt;"&amp;$A251,実績!$AE$6:$AE$505,"○")&gt;0,1,0))</f>
        <v/>
      </c>
      <c r="CV251">
        <f>IF(CV$4=0,0,IF(COUNTIFS(実績!$W$6:$W$505,CV$3,実績!$AC$6:$AC$505,"&lt;="&amp;$A251,実績!$AD$6:$AD$505,"&gt;"&amp;$A251,実績!$AE$6:$AE$505,"○")&gt;0,1,0))</f>
        <v/>
      </c>
      <c r="CW251">
        <f>IF(CW$4=0,0,IF(COUNTIFS(実績!$W$6:$W$505,CW$3,実績!$AC$6:$AC$505,"&lt;="&amp;$A251,実績!$AD$6:$AD$505,"&gt;"&amp;$A251,実績!$AE$6:$AE$505,"○")&gt;0,1,0))</f>
        <v/>
      </c>
      <c r="CX251">
        <f>IF(CX$4=0,0,IF(COUNTIFS(実績!$W$6:$W$505,CX$3,実績!$AC$6:$AC$505,"&lt;="&amp;$A251,実績!$AD$6:$AD$505,"&gt;"&amp;$A251,実績!$AE$6:$AE$505,"○")&gt;0,1,0))</f>
        <v/>
      </c>
      <c r="CY251">
        <f>IF(CY$4=0,0,IF(COUNTIFS(実績!$W$6:$W$505,CY$3,実績!$AC$6:$AC$505,"&lt;="&amp;$A251,実績!$AD$6:$AD$505,"&gt;"&amp;$A251,実績!$AE$6:$AE$505,"○")&gt;0,1,0))</f>
        <v/>
      </c>
      <c r="CZ251">
        <f>IF(CZ$4=0,0,IF(COUNTIFS(実績!$W$6:$W$505,CZ$3,実績!$AC$6:$AC$505,"&lt;="&amp;$A251,実績!$AD$6:$AD$505,"&gt;"&amp;$A251,実績!$AE$6:$AE$505,"○")&gt;0,1,0))</f>
        <v/>
      </c>
      <c r="DA251">
        <f>IF(DA$4=0,0,IF(COUNTIFS(実績!$W$6:$W$505,DA$3,実績!$AC$6:$AC$505,"&lt;="&amp;$A251,実績!$AD$6:$AD$505,"&gt;"&amp;$A251,実績!$AE$6:$AE$505,"○")&gt;0,1,0))</f>
        <v/>
      </c>
      <c r="DB251">
        <f>IF(DB$4=0,0,IF(COUNTIFS(実績!$W$6:$W$505,DB$3,実績!$AC$6:$AC$505,"&lt;="&amp;$A251,実績!$AD$6:$AD$505,"&gt;"&amp;$A251,実績!$AE$6:$AE$505,"○")&gt;0,1,0))</f>
        <v/>
      </c>
      <c r="DC251">
        <f>IF(DC$4=0,0,IF(COUNTIFS(実績!$W$6:$W$505,DC$3,実績!$AC$6:$AC$505,"&lt;="&amp;$A251,実績!$AD$6:$AD$505,"&gt;"&amp;$A251,実績!$AE$6:$AE$505,"○")&gt;0,1,0))</f>
        <v/>
      </c>
      <c r="DD251">
        <f>IF(DD$4=0,0,IF(COUNTIFS(実績!$W$6:$W$505,DD$3,実績!$AC$6:$AC$505,"&lt;="&amp;$A251,実績!$AD$6:$AD$505,"&gt;"&amp;$A251,実績!$AE$6:$AE$505,"○")&gt;0,1,0))</f>
        <v/>
      </c>
      <c r="DE251">
        <f>IF(DE$4=0,0,IF(COUNTIFS(実績!$W$6:$W$505,DE$3,実績!$AC$6:$AC$505,"&lt;="&amp;$A251,実績!$AD$6:$AD$505,"&gt;"&amp;$A251,実績!$AE$6:$AE$505,"○")&gt;0,1,0))</f>
        <v/>
      </c>
      <c r="DF251">
        <f>IF(DF$4=0,0,IF(COUNTIFS(実績!$W$6:$W$505,DF$3,実績!$AC$6:$AC$505,"&lt;="&amp;$A251,実績!$AD$6:$AD$505,"&gt;"&amp;$A251,実績!$AE$6:$AE$505,"○")&gt;0,1,0))</f>
        <v/>
      </c>
      <c r="DG251">
        <f>IF(DG$4=0,0,IF(COUNTIFS(実績!$W$6:$W$505,DG$3,実績!$AC$6:$AC$505,"&lt;="&amp;$A251,実績!$AD$6:$AD$505,"&gt;"&amp;$A251,実績!$AE$6:$AE$505,"○")&gt;0,1,0))</f>
        <v/>
      </c>
      <c r="DH251">
        <f>IF(DH$4=0,0,IF(COUNTIFS(実績!$W$6:$W$505,DH$3,実績!$AC$6:$AC$505,"&lt;="&amp;$A251,実績!$AD$6:$AD$505,"&gt;"&amp;$A251,実績!$AE$6:$AE$505,"○")&gt;0,1,0))</f>
        <v/>
      </c>
      <c r="DI251">
        <f>IF(DI$4=0,0,IF(COUNTIFS(実績!$W$6:$W$505,DI$3,実績!$AC$6:$AC$505,"&lt;="&amp;$A251,実績!$AD$6:$AD$505,"&gt;"&amp;$A251,実績!$AE$6:$AE$505,"○")&gt;0,1,0))</f>
        <v/>
      </c>
      <c r="DJ251">
        <f>IF(DJ$4=0,0,IF(COUNTIFS(実績!$W$6:$W$505,DJ$3,実績!$AC$6:$AC$505,"&lt;="&amp;$A251,実績!$AD$6:$AD$505,"&gt;"&amp;$A251,実績!$AE$6:$AE$505,"○")&gt;0,1,0))</f>
        <v/>
      </c>
      <c r="DK251">
        <f>IF(DK$4=0,0,IF(COUNTIFS(実績!$W$6:$W$505,DK$3,実績!$AC$6:$AC$505,"&lt;="&amp;$A251,実績!$AD$6:$AD$505,"&gt;"&amp;$A251,実績!$AE$6:$AE$505,"○")&gt;0,1,0))</f>
        <v/>
      </c>
      <c r="DL251">
        <f>IF(DL$4=0,0,IF(COUNTIFS(実績!$W$6:$W$505,DL$3,実績!$AC$6:$AC$505,"&lt;="&amp;$A251,実績!$AD$6:$AD$505,"&gt;"&amp;$A251,実績!$AE$6:$AE$505,"○")&gt;0,1,0))</f>
        <v/>
      </c>
      <c r="DM251">
        <f>IF(DM$4=0,0,IF(COUNTIFS(実績!$W$6:$W$505,DM$3,実績!$AC$6:$AC$505,"&lt;="&amp;$A251,実績!$AD$6:$AD$505,"&gt;"&amp;$A251,実績!$AE$6:$AE$505,"○")&gt;0,1,0))</f>
        <v/>
      </c>
      <c r="DN251">
        <f>IF(DN$4=0,0,IF(COUNTIFS(実績!$W$6:$W$505,DN$3,実績!$AC$6:$AC$505,"&lt;="&amp;$A251,実績!$AD$6:$AD$505,"&gt;"&amp;$A251,実績!$AE$6:$AE$505,"○")&gt;0,1,0))</f>
        <v/>
      </c>
      <c r="DO251">
        <f>IF(DO$4=0,0,IF(COUNTIFS(実績!$W$6:$W$505,DO$3,実績!$AC$6:$AC$505,"&lt;="&amp;$A251,実績!$AD$6:$AD$505,"&gt;"&amp;$A251,実績!$AE$6:$AE$505,"○")&gt;0,1,0))</f>
        <v/>
      </c>
      <c r="DP251">
        <f>IF(DP$4=0,0,IF(COUNTIFS(実績!$W$6:$W$505,DP$3,実績!$AC$6:$AC$505,"&lt;="&amp;$A251,実績!$AD$6:$AD$505,"&gt;"&amp;$A251,実績!$AE$6:$AE$505,"○")&gt;0,1,0))</f>
        <v/>
      </c>
      <c r="DQ251">
        <f>IF(DQ$4=0,0,IF(COUNTIFS(実績!$W$6:$W$505,DQ$3,実績!$AC$6:$AC$505,"&lt;="&amp;$A251,実績!$AD$6:$AD$505,"&gt;"&amp;$A251,実績!$AE$6:$AE$505,"○")&gt;0,1,0))</f>
        <v/>
      </c>
      <c r="DR251">
        <f>IF(DR$4=0,0,IF(COUNTIFS(実績!$W$6:$W$505,DR$3,実績!$AC$6:$AC$505,"&lt;="&amp;$A251,実績!$AD$6:$AD$505,"&gt;"&amp;$A251,実績!$AE$6:$AE$505,"○")&gt;0,1,0))</f>
        <v/>
      </c>
      <c r="DS251">
        <f>SUM(C251:DR251)</f>
        <v/>
      </c>
      <c r="DT251">
        <f>SUMPRODUCT((実績!$C$6:$C$505="○")*ISNUMBER(実績!$AF$6:$AF$505)*(実績!$AF$6:$AF$505&lt;=$A251)*(実績!$AG$6:$AG$505&gt;$A251))</f>
        <v/>
      </c>
      <c r="DU251">
        <f>SUMIF($C$2:$DR$2,"製鉄曳船",C251:DR251)</f>
        <v/>
      </c>
      <c r="DV251">
        <f>SUMIF($C$2:$DR$2,"西日本海運",C251:DR251)</f>
        <v/>
      </c>
    </row>
    <row r="252">
      <c r="A252" t="n">
        <v>1230</v>
      </c>
      <c r="B252" s="29">
        <f>A252/1440</f>
        <v/>
      </c>
      <c r="C252">
        <f>IF(C$4=0,0,IF(COUNTIFS(実績!$W$6:$W$505,C$3,実績!$AC$6:$AC$505,"&lt;="&amp;$A252,実績!$AD$6:$AD$505,"&gt;"&amp;$A252,実績!$AE$6:$AE$505,"○")&gt;0,1,0))</f>
        <v/>
      </c>
      <c r="D252">
        <f>IF(D$4=0,0,IF(COUNTIFS(実績!$W$6:$W$505,D$3,実績!$AC$6:$AC$505,"&lt;="&amp;$A252,実績!$AD$6:$AD$505,"&gt;"&amp;$A252,実績!$AE$6:$AE$505,"○")&gt;0,1,0))</f>
        <v/>
      </c>
      <c r="E252">
        <f>IF(E$4=0,0,IF(COUNTIFS(実績!$W$6:$W$505,E$3,実績!$AC$6:$AC$505,"&lt;="&amp;$A252,実績!$AD$6:$AD$505,"&gt;"&amp;$A252,実績!$AE$6:$AE$505,"○")&gt;0,1,0))</f>
        <v/>
      </c>
      <c r="F252">
        <f>IF(F$4=0,0,IF(COUNTIFS(実績!$W$6:$W$505,F$3,実績!$AC$6:$AC$505,"&lt;="&amp;$A252,実績!$AD$6:$AD$505,"&gt;"&amp;$A252,実績!$AE$6:$AE$505,"○")&gt;0,1,0))</f>
        <v/>
      </c>
      <c r="G252">
        <f>IF(G$4=0,0,IF(COUNTIFS(実績!$W$6:$W$505,G$3,実績!$AC$6:$AC$505,"&lt;="&amp;$A252,実績!$AD$6:$AD$505,"&gt;"&amp;$A252,実績!$AE$6:$AE$505,"○")&gt;0,1,0))</f>
        <v/>
      </c>
      <c r="H252">
        <f>IF(H$4=0,0,IF(COUNTIFS(実績!$W$6:$W$505,H$3,実績!$AC$6:$AC$505,"&lt;="&amp;$A252,実績!$AD$6:$AD$505,"&gt;"&amp;$A252,実績!$AE$6:$AE$505,"○")&gt;0,1,0))</f>
        <v/>
      </c>
      <c r="I252">
        <f>IF(I$4=0,0,IF(COUNTIFS(実績!$W$6:$W$505,I$3,実績!$AC$6:$AC$505,"&lt;="&amp;$A252,実績!$AD$6:$AD$505,"&gt;"&amp;$A252,実績!$AE$6:$AE$505,"○")&gt;0,1,0))</f>
        <v/>
      </c>
      <c r="J252">
        <f>IF(J$4=0,0,IF(COUNTIFS(実績!$W$6:$W$505,J$3,実績!$AC$6:$AC$505,"&lt;="&amp;$A252,実績!$AD$6:$AD$505,"&gt;"&amp;$A252,実績!$AE$6:$AE$505,"○")&gt;0,1,0))</f>
        <v/>
      </c>
      <c r="K252">
        <f>IF(K$4=0,0,IF(COUNTIFS(実績!$W$6:$W$505,K$3,実績!$AC$6:$AC$505,"&lt;="&amp;$A252,実績!$AD$6:$AD$505,"&gt;"&amp;$A252,実績!$AE$6:$AE$505,"○")&gt;0,1,0))</f>
        <v/>
      </c>
      <c r="L252">
        <f>IF(L$4=0,0,IF(COUNTIFS(実績!$W$6:$W$505,L$3,実績!$AC$6:$AC$505,"&lt;="&amp;$A252,実績!$AD$6:$AD$505,"&gt;"&amp;$A252,実績!$AE$6:$AE$505,"○")&gt;0,1,0))</f>
        <v/>
      </c>
      <c r="M252">
        <f>IF(M$4=0,0,IF(COUNTIFS(実績!$W$6:$W$505,M$3,実績!$AC$6:$AC$505,"&lt;="&amp;$A252,実績!$AD$6:$AD$505,"&gt;"&amp;$A252,実績!$AE$6:$AE$505,"○")&gt;0,1,0))</f>
        <v/>
      </c>
      <c r="N252">
        <f>IF(N$4=0,0,IF(COUNTIFS(実績!$W$6:$W$505,N$3,実績!$AC$6:$AC$505,"&lt;="&amp;$A252,実績!$AD$6:$AD$505,"&gt;"&amp;$A252,実績!$AE$6:$AE$505,"○")&gt;0,1,0))</f>
        <v/>
      </c>
      <c r="O252">
        <f>IF(O$4=0,0,IF(COUNTIFS(実績!$W$6:$W$505,O$3,実績!$AC$6:$AC$505,"&lt;="&amp;$A252,実績!$AD$6:$AD$505,"&gt;"&amp;$A252,実績!$AE$6:$AE$505,"○")&gt;0,1,0))</f>
        <v/>
      </c>
      <c r="P252">
        <f>IF(P$4=0,0,IF(COUNTIFS(実績!$W$6:$W$505,P$3,実績!$AC$6:$AC$505,"&lt;="&amp;$A252,実績!$AD$6:$AD$505,"&gt;"&amp;$A252,実績!$AE$6:$AE$505,"○")&gt;0,1,0))</f>
        <v/>
      </c>
      <c r="Q252">
        <f>IF(Q$4=0,0,IF(COUNTIFS(実績!$W$6:$W$505,Q$3,実績!$AC$6:$AC$505,"&lt;="&amp;$A252,実績!$AD$6:$AD$505,"&gt;"&amp;$A252,実績!$AE$6:$AE$505,"○")&gt;0,1,0))</f>
        <v/>
      </c>
      <c r="R252">
        <f>IF(R$4=0,0,IF(COUNTIFS(実績!$W$6:$W$505,R$3,実績!$AC$6:$AC$505,"&lt;="&amp;$A252,実績!$AD$6:$AD$505,"&gt;"&amp;$A252,実績!$AE$6:$AE$505,"○")&gt;0,1,0))</f>
        <v/>
      </c>
      <c r="S252">
        <f>IF(S$4=0,0,IF(COUNTIFS(実績!$W$6:$W$505,S$3,実績!$AC$6:$AC$505,"&lt;="&amp;$A252,実績!$AD$6:$AD$505,"&gt;"&amp;$A252,実績!$AE$6:$AE$505,"○")&gt;0,1,0))</f>
        <v/>
      </c>
      <c r="T252">
        <f>IF(T$4=0,0,IF(COUNTIFS(実績!$W$6:$W$505,T$3,実績!$AC$6:$AC$505,"&lt;="&amp;$A252,実績!$AD$6:$AD$505,"&gt;"&amp;$A252,実績!$AE$6:$AE$505,"○")&gt;0,1,0))</f>
        <v/>
      </c>
      <c r="U252">
        <f>IF(U$4=0,0,IF(COUNTIFS(実績!$W$6:$W$505,U$3,実績!$AC$6:$AC$505,"&lt;="&amp;$A252,実績!$AD$6:$AD$505,"&gt;"&amp;$A252,実績!$AE$6:$AE$505,"○")&gt;0,1,0))</f>
        <v/>
      </c>
      <c r="V252">
        <f>IF(V$4=0,0,IF(COUNTIFS(実績!$W$6:$W$505,V$3,実績!$AC$6:$AC$505,"&lt;="&amp;$A252,実績!$AD$6:$AD$505,"&gt;"&amp;$A252,実績!$AE$6:$AE$505,"○")&gt;0,1,0))</f>
        <v/>
      </c>
      <c r="W252">
        <f>IF(W$4=0,0,IF(COUNTIFS(実績!$W$6:$W$505,W$3,実績!$AC$6:$AC$505,"&lt;="&amp;$A252,実績!$AD$6:$AD$505,"&gt;"&amp;$A252,実績!$AE$6:$AE$505,"○")&gt;0,1,0))</f>
        <v/>
      </c>
      <c r="X252">
        <f>IF(X$4=0,0,IF(COUNTIFS(実績!$W$6:$W$505,X$3,実績!$AC$6:$AC$505,"&lt;="&amp;$A252,実績!$AD$6:$AD$505,"&gt;"&amp;$A252,実績!$AE$6:$AE$505,"○")&gt;0,1,0))</f>
        <v/>
      </c>
      <c r="Y252">
        <f>IF(Y$4=0,0,IF(COUNTIFS(実績!$W$6:$W$505,Y$3,実績!$AC$6:$AC$505,"&lt;="&amp;$A252,実績!$AD$6:$AD$505,"&gt;"&amp;$A252,実績!$AE$6:$AE$505,"○")&gt;0,1,0))</f>
        <v/>
      </c>
      <c r="Z252">
        <f>IF(Z$4=0,0,IF(COUNTIFS(実績!$W$6:$W$505,Z$3,実績!$AC$6:$AC$505,"&lt;="&amp;$A252,実績!$AD$6:$AD$505,"&gt;"&amp;$A252,実績!$AE$6:$AE$505,"○")&gt;0,1,0))</f>
        <v/>
      </c>
      <c r="AA252">
        <f>IF(AA$4=0,0,IF(COUNTIFS(実績!$W$6:$W$505,AA$3,実績!$AC$6:$AC$505,"&lt;="&amp;$A252,実績!$AD$6:$AD$505,"&gt;"&amp;$A252,実績!$AE$6:$AE$505,"○")&gt;0,1,0))</f>
        <v/>
      </c>
      <c r="AB252">
        <f>IF(AB$4=0,0,IF(COUNTIFS(実績!$W$6:$W$505,AB$3,実績!$AC$6:$AC$505,"&lt;="&amp;$A252,実績!$AD$6:$AD$505,"&gt;"&amp;$A252,実績!$AE$6:$AE$505,"○")&gt;0,1,0))</f>
        <v/>
      </c>
      <c r="AC252">
        <f>IF(AC$4=0,0,IF(COUNTIFS(実績!$W$6:$W$505,AC$3,実績!$AC$6:$AC$505,"&lt;="&amp;$A252,実績!$AD$6:$AD$505,"&gt;"&amp;$A252,実績!$AE$6:$AE$505,"○")&gt;0,1,0))</f>
        <v/>
      </c>
      <c r="AD252">
        <f>IF(AD$4=0,0,IF(COUNTIFS(実績!$W$6:$W$505,AD$3,実績!$AC$6:$AC$505,"&lt;="&amp;$A252,実績!$AD$6:$AD$505,"&gt;"&amp;$A252,実績!$AE$6:$AE$505,"○")&gt;0,1,0))</f>
        <v/>
      </c>
      <c r="AE252">
        <f>IF(AE$4=0,0,IF(COUNTIFS(実績!$W$6:$W$505,AE$3,実績!$AC$6:$AC$505,"&lt;="&amp;$A252,実績!$AD$6:$AD$505,"&gt;"&amp;$A252,実績!$AE$6:$AE$505,"○")&gt;0,1,0))</f>
        <v/>
      </c>
      <c r="AF252">
        <f>IF(AF$4=0,0,IF(COUNTIFS(実績!$W$6:$W$505,AF$3,実績!$AC$6:$AC$505,"&lt;="&amp;$A252,実績!$AD$6:$AD$505,"&gt;"&amp;$A252,実績!$AE$6:$AE$505,"○")&gt;0,1,0))</f>
        <v/>
      </c>
      <c r="AG252">
        <f>IF(AG$4=0,0,IF(COUNTIFS(実績!$W$6:$W$505,AG$3,実績!$AC$6:$AC$505,"&lt;="&amp;$A252,実績!$AD$6:$AD$505,"&gt;"&amp;$A252,実績!$AE$6:$AE$505,"○")&gt;0,1,0))</f>
        <v/>
      </c>
      <c r="AH252">
        <f>IF(AH$4=0,0,IF(COUNTIFS(実績!$W$6:$W$505,AH$3,実績!$AC$6:$AC$505,"&lt;="&amp;$A252,実績!$AD$6:$AD$505,"&gt;"&amp;$A252,実績!$AE$6:$AE$505,"○")&gt;0,1,0))</f>
        <v/>
      </c>
      <c r="AI252">
        <f>IF(AI$4=0,0,IF(COUNTIFS(実績!$W$6:$W$505,AI$3,実績!$AC$6:$AC$505,"&lt;="&amp;$A252,実績!$AD$6:$AD$505,"&gt;"&amp;$A252,実績!$AE$6:$AE$505,"○")&gt;0,1,0))</f>
        <v/>
      </c>
      <c r="AJ252">
        <f>IF(AJ$4=0,0,IF(COUNTIFS(実績!$W$6:$W$505,AJ$3,実績!$AC$6:$AC$505,"&lt;="&amp;$A252,実績!$AD$6:$AD$505,"&gt;"&amp;$A252,実績!$AE$6:$AE$505,"○")&gt;0,1,0))</f>
        <v/>
      </c>
      <c r="AK252">
        <f>IF(AK$4=0,0,IF(COUNTIFS(実績!$W$6:$W$505,AK$3,実績!$AC$6:$AC$505,"&lt;="&amp;$A252,実績!$AD$6:$AD$505,"&gt;"&amp;$A252,実績!$AE$6:$AE$505,"○")&gt;0,1,0))</f>
        <v/>
      </c>
      <c r="AL252">
        <f>IF(AL$4=0,0,IF(COUNTIFS(実績!$W$6:$W$505,AL$3,実績!$AC$6:$AC$505,"&lt;="&amp;$A252,実績!$AD$6:$AD$505,"&gt;"&amp;$A252,実績!$AE$6:$AE$505,"○")&gt;0,1,0))</f>
        <v/>
      </c>
      <c r="AM252">
        <f>IF(AM$4=0,0,IF(COUNTIFS(実績!$W$6:$W$505,AM$3,実績!$AC$6:$AC$505,"&lt;="&amp;$A252,実績!$AD$6:$AD$505,"&gt;"&amp;$A252,実績!$AE$6:$AE$505,"○")&gt;0,1,0))</f>
        <v/>
      </c>
      <c r="AN252">
        <f>IF(AN$4=0,0,IF(COUNTIFS(実績!$W$6:$W$505,AN$3,実績!$AC$6:$AC$505,"&lt;="&amp;$A252,実績!$AD$6:$AD$505,"&gt;"&amp;$A252,実績!$AE$6:$AE$505,"○")&gt;0,1,0))</f>
        <v/>
      </c>
      <c r="AO252">
        <f>IF(AO$4=0,0,IF(COUNTIFS(実績!$W$6:$W$505,AO$3,実績!$AC$6:$AC$505,"&lt;="&amp;$A252,実績!$AD$6:$AD$505,"&gt;"&amp;$A252,実績!$AE$6:$AE$505,"○")&gt;0,1,0))</f>
        <v/>
      </c>
      <c r="AP252">
        <f>IF(AP$4=0,0,IF(COUNTIFS(実績!$W$6:$W$505,AP$3,実績!$AC$6:$AC$505,"&lt;="&amp;$A252,実績!$AD$6:$AD$505,"&gt;"&amp;$A252,実績!$AE$6:$AE$505,"○")&gt;0,1,0))</f>
        <v/>
      </c>
      <c r="AQ252">
        <f>IF(AQ$4=0,0,IF(COUNTIFS(実績!$W$6:$W$505,AQ$3,実績!$AC$6:$AC$505,"&lt;="&amp;$A252,実績!$AD$6:$AD$505,"&gt;"&amp;$A252,実績!$AE$6:$AE$505,"○")&gt;0,1,0))</f>
        <v/>
      </c>
      <c r="AR252">
        <f>IF(AR$4=0,0,IF(COUNTIFS(実績!$W$6:$W$505,AR$3,実績!$AC$6:$AC$505,"&lt;="&amp;$A252,実績!$AD$6:$AD$505,"&gt;"&amp;$A252,実績!$AE$6:$AE$505,"○")&gt;0,1,0))</f>
        <v/>
      </c>
      <c r="AS252">
        <f>IF(AS$4=0,0,IF(COUNTIFS(実績!$W$6:$W$505,AS$3,実績!$AC$6:$AC$505,"&lt;="&amp;$A252,実績!$AD$6:$AD$505,"&gt;"&amp;$A252,実績!$AE$6:$AE$505,"○")&gt;0,1,0))</f>
        <v/>
      </c>
      <c r="AT252">
        <f>IF(AT$4=0,0,IF(COUNTIFS(実績!$W$6:$W$505,AT$3,実績!$AC$6:$AC$505,"&lt;="&amp;$A252,実績!$AD$6:$AD$505,"&gt;"&amp;$A252,実績!$AE$6:$AE$505,"○")&gt;0,1,0))</f>
        <v/>
      </c>
      <c r="AU252">
        <f>IF(AU$4=0,0,IF(COUNTIFS(実績!$W$6:$W$505,AU$3,実績!$AC$6:$AC$505,"&lt;="&amp;$A252,実績!$AD$6:$AD$505,"&gt;"&amp;$A252,実績!$AE$6:$AE$505,"○")&gt;0,1,0))</f>
        <v/>
      </c>
      <c r="AV252">
        <f>IF(AV$4=0,0,IF(COUNTIFS(実績!$W$6:$W$505,AV$3,実績!$AC$6:$AC$505,"&lt;="&amp;$A252,実績!$AD$6:$AD$505,"&gt;"&amp;$A252,実績!$AE$6:$AE$505,"○")&gt;0,1,0))</f>
        <v/>
      </c>
      <c r="AW252">
        <f>IF(AW$4=0,0,IF(COUNTIFS(実績!$W$6:$W$505,AW$3,実績!$AC$6:$AC$505,"&lt;="&amp;$A252,実績!$AD$6:$AD$505,"&gt;"&amp;$A252,実績!$AE$6:$AE$505,"○")&gt;0,1,0))</f>
        <v/>
      </c>
      <c r="AX252">
        <f>IF(AX$4=0,0,IF(COUNTIFS(実績!$W$6:$W$505,AX$3,実績!$AC$6:$AC$505,"&lt;="&amp;$A252,実績!$AD$6:$AD$505,"&gt;"&amp;$A252,実績!$AE$6:$AE$505,"○")&gt;0,1,0))</f>
        <v/>
      </c>
      <c r="AY252">
        <f>IF(AY$4=0,0,IF(COUNTIFS(実績!$W$6:$W$505,AY$3,実績!$AC$6:$AC$505,"&lt;="&amp;$A252,実績!$AD$6:$AD$505,"&gt;"&amp;$A252,実績!$AE$6:$AE$505,"○")&gt;0,1,0))</f>
        <v/>
      </c>
      <c r="AZ252">
        <f>IF(AZ$4=0,0,IF(COUNTIFS(実績!$W$6:$W$505,AZ$3,実績!$AC$6:$AC$505,"&lt;="&amp;$A252,実績!$AD$6:$AD$505,"&gt;"&amp;$A252,実績!$AE$6:$AE$505,"○")&gt;0,1,0))</f>
        <v/>
      </c>
      <c r="BA252">
        <f>IF(BA$4=0,0,IF(COUNTIFS(実績!$W$6:$W$505,BA$3,実績!$AC$6:$AC$505,"&lt;="&amp;$A252,実績!$AD$6:$AD$505,"&gt;"&amp;$A252,実績!$AE$6:$AE$505,"○")&gt;0,1,0))</f>
        <v/>
      </c>
      <c r="BB252">
        <f>IF(BB$4=0,0,IF(COUNTIFS(実績!$W$6:$W$505,BB$3,実績!$AC$6:$AC$505,"&lt;="&amp;$A252,実績!$AD$6:$AD$505,"&gt;"&amp;$A252,実績!$AE$6:$AE$505,"○")&gt;0,1,0))</f>
        <v/>
      </c>
      <c r="BC252">
        <f>IF(BC$4=0,0,IF(COUNTIFS(実績!$W$6:$W$505,BC$3,実績!$AC$6:$AC$505,"&lt;="&amp;$A252,実績!$AD$6:$AD$505,"&gt;"&amp;$A252,実績!$AE$6:$AE$505,"○")&gt;0,1,0))</f>
        <v/>
      </c>
      <c r="BD252">
        <f>IF(BD$4=0,0,IF(COUNTIFS(実績!$W$6:$W$505,BD$3,実績!$AC$6:$AC$505,"&lt;="&amp;$A252,実績!$AD$6:$AD$505,"&gt;"&amp;$A252,実績!$AE$6:$AE$505,"○")&gt;0,1,0))</f>
        <v/>
      </c>
      <c r="BE252">
        <f>IF(BE$4=0,0,IF(COUNTIFS(実績!$W$6:$W$505,BE$3,実績!$AC$6:$AC$505,"&lt;="&amp;$A252,実績!$AD$6:$AD$505,"&gt;"&amp;$A252,実績!$AE$6:$AE$505,"○")&gt;0,1,0))</f>
        <v/>
      </c>
      <c r="BF252">
        <f>IF(BF$4=0,0,IF(COUNTIFS(実績!$W$6:$W$505,BF$3,実績!$AC$6:$AC$505,"&lt;="&amp;$A252,実績!$AD$6:$AD$505,"&gt;"&amp;$A252,実績!$AE$6:$AE$505,"○")&gt;0,1,0))</f>
        <v/>
      </c>
      <c r="BG252">
        <f>IF(BG$4=0,0,IF(COUNTIFS(実績!$W$6:$W$505,BG$3,実績!$AC$6:$AC$505,"&lt;="&amp;$A252,実績!$AD$6:$AD$505,"&gt;"&amp;$A252,実績!$AE$6:$AE$505,"○")&gt;0,1,0))</f>
        <v/>
      </c>
      <c r="BH252">
        <f>IF(BH$4=0,0,IF(COUNTIFS(実績!$W$6:$W$505,BH$3,実績!$AC$6:$AC$505,"&lt;="&amp;$A252,実績!$AD$6:$AD$505,"&gt;"&amp;$A252,実績!$AE$6:$AE$505,"○")&gt;0,1,0))</f>
        <v/>
      </c>
      <c r="BI252">
        <f>IF(BI$4=0,0,IF(COUNTIFS(実績!$W$6:$W$505,BI$3,実績!$AC$6:$AC$505,"&lt;="&amp;$A252,実績!$AD$6:$AD$505,"&gt;"&amp;$A252,実績!$AE$6:$AE$505,"○")&gt;0,1,0))</f>
        <v/>
      </c>
      <c r="BJ252">
        <f>IF(BJ$4=0,0,IF(COUNTIFS(実績!$W$6:$W$505,BJ$3,実績!$AC$6:$AC$505,"&lt;="&amp;$A252,実績!$AD$6:$AD$505,"&gt;"&amp;$A252,実績!$AE$6:$AE$505,"○")&gt;0,1,0))</f>
        <v/>
      </c>
      <c r="BK252">
        <f>IF(BK$4=0,0,IF(COUNTIFS(実績!$W$6:$W$505,BK$3,実績!$AC$6:$AC$505,"&lt;="&amp;$A252,実績!$AD$6:$AD$505,"&gt;"&amp;$A252,実績!$AE$6:$AE$505,"○")&gt;0,1,0))</f>
        <v/>
      </c>
      <c r="BL252">
        <f>IF(BL$4=0,0,IF(COUNTIFS(実績!$W$6:$W$505,BL$3,実績!$AC$6:$AC$505,"&lt;="&amp;$A252,実績!$AD$6:$AD$505,"&gt;"&amp;$A252,実績!$AE$6:$AE$505,"○")&gt;0,1,0))</f>
        <v/>
      </c>
      <c r="BM252">
        <f>IF(BM$4=0,0,IF(COUNTIFS(実績!$W$6:$W$505,BM$3,実績!$AC$6:$AC$505,"&lt;="&amp;$A252,実績!$AD$6:$AD$505,"&gt;"&amp;$A252,実績!$AE$6:$AE$505,"○")&gt;0,1,0))</f>
        <v/>
      </c>
      <c r="BN252">
        <f>IF(BN$4=0,0,IF(COUNTIFS(実績!$W$6:$W$505,BN$3,実績!$AC$6:$AC$505,"&lt;="&amp;$A252,実績!$AD$6:$AD$505,"&gt;"&amp;$A252,実績!$AE$6:$AE$505,"○")&gt;0,1,0))</f>
        <v/>
      </c>
      <c r="BO252">
        <f>IF(BO$4=0,0,IF(COUNTIFS(実績!$W$6:$W$505,BO$3,実績!$AC$6:$AC$505,"&lt;="&amp;$A252,実績!$AD$6:$AD$505,"&gt;"&amp;$A252,実績!$AE$6:$AE$505,"○")&gt;0,1,0))</f>
        <v/>
      </c>
      <c r="BP252">
        <f>IF(BP$4=0,0,IF(COUNTIFS(実績!$W$6:$W$505,BP$3,実績!$AC$6:$AC$505,"&lt;="&amp;$A252,実績!$AD$6:$AD$505,"&gt;"&amp;$A252,実績!$AE$6:$AE$505,"○")&gt;0,1,0))</f>
        <v/>
      </c>
      <c r="BQ252">
        <f>IF(BQ$4=0,0,IF(COUNTIFS(実績!$W$6:$W$505,BQ$3,実績!$AC$6:$AC$505,"&lt;="&amp;$A252,実績!$AD$6:$AD$505,"&gt;"&amp;$A252,実績!$AE$6:$AE$505,"○")&gt;0,1,0))</f>
        <v/>
      </c>
      <c r="BR252">
        <f>IF(BR$4=0,0,IF(COUNTIFS(実績!$W$6:$W$505,BR$3,実績!$AC$6:$AC$505,"&lt;="&amp;$A252,実績!$AD$6:$AD$505,"&gt;"&amp;$A252,実績!$AE$6:$AE$505,"○")&gt;0,1,0))</f>
        <v/>
      </c>
      <c r="BS252">
        <f>IF(BS$4=0,0,IF(COUNTIFS(実績!$W$6:$W$505,BS$3,実績!$AC$6:$AC$505,"&lt;="&amp;$A252,実績!$AD$6:$AD$505,"&gt;"&amp;$A252,実績!$AE$6:$AE$505,"○")&gt;0,1,0))</f>
        <v/>
      </c>
      <c r="BT252">
        <f>IF(BT$4=0,0,IF(COUNTIFS(実績!$W$6:$W$505,BT$3,実績!$AC$6:$AC$505,"&lt;="&amp;$A252,実績!$AD$6:$AD$505,"&gt;"&amp;$A252,実績!$AE$6:$AE$505,"○")&gt;0,1,0))</f>
        <v/>
      </c>
      <c r="BU252">
        <f>IF(BU$4=0,0,IF(COUNTIFS(実績!$W$6:$W$505,BU$3,実績!$AC$6:$AC$505,"&lt;="&amp;$A252,実績!$AD$6:$AD$505,"&gt;"&amp;$A252,実績!$AE$6:$AE$505,"○")&gt;0,1,0))</f>
        <v/>
      </c>
      <c r="BV252">
        <f>IF(BV$4=0,0,IF(COUNTIFS(実績!$W$6:$W$505,BV$3,実績!$AC$6:$AC$505,"&lt;="&amp;$A252,実績!$AD$6:$AD$505,"&gt;"&amp;$A252,実績!$AE$6:$AE$505,"○")&gt;0,1,0))</f>
        <v/>
      </c>
      <c r="BW252">
        <f>IF(BW$4=0,0,IF(COUNTIFS(実績!$W$6:$W$505,BW$3,実績!$AC$6:$AC$505,"&lt;="&amp;$A252,実績!$AD$6:$AD$505,"&gt;"&amp;$A252,実績!$AE$6:$AE$505,"○")&gt;0,1,0))</f>
        <v/>
      </c>
      <c r="BX252">
        <f>IF(BX$4=0,0,IF(COUNTIFS(実績!$W$6:$W$505,BX$3,実績!$AC$6:$AC$505,"&lt;="&amp;$A252,実績!$AD$6:$AD$505,"&gt;"&amp;$A252,実績!$AE$6:$AE$505,"○")&gt;0,1,0))</f>
        <v/>
      </c>
      <c r="BY252">
        <f>IF(BY$4=0,0,IF(COUNTIFS(実績!$W$6:$W$505,BY$3,実績!$AC$6:$AC$505,"&lt;="&amp;$A252,実績!$AD$6:$AD$505,"&gt;"&amp;$A252,実績!$AE$6:$AE$505,"○")&gt;0,1,0))</f>
        <v/>
      </c>
      <c r="BZ252">
        <f>IF(BZ$4=0,0,IF(COUNTIFS(実績!$W$6:$W$505,BZ$3,実績!$AC$6:$AC$505,"&lt;="&amp;$A252,実績!$AD$6:$AD$505,"&gt;"&amp;$A252,実績!$AE$6:$AE$505,"○")&gt;0,1,0))</f>
        <v/>
      </c>
      <c r="CA252">
        <f>IF(CA$4=0,0,IF(COUNTIFS(実績!$W$6:$W$505,CA$3,実績!$AC$6:$AC$505,"&lt;="&amp;$A252,実績!$AD$6:$AD$505,"&gt;"&amp;$A252,実績!$AE$6:$AE$505,"○")&gt;0,1,0))</f>
        <v/>
      </c>
      <c r="CB252">
        <f>IF(CB$4=0,0,IF(COUNTIFS(実績!$W$6:$W$505,CB$3,実績!$AC$6:$AC$505,"&lt;="&amp;$A252,実績!$AD$6:$AD$505,"&gt;"&amp;$A252,実績!$AE$6:$AE$505,"○")&gt;0,1,0))</f>
        <v/>
      </c>
      <c r="CC252">
        <f>IF(CC$4=0,0,IF(COUNTIFS(実績!$W$6:$W$505,CC$3,実績!$AC$6:$AC$505,"&lt;="&amp;$A252,実績!$AD$6:$AD$505,"&gt;"&amp;$A252,実績!$AE$6:$AE$505,"○")&gt;0,1,0))</f>
        <v/>
      </c>
      <c r="CD252">
        <f>IF(CD$4=0,0,IF(COUNTIFS(実績!$W$6:$W$505,CD$3,実績!$AC$6:$AC$505,"&lt;="&amp;$A252,実績!$AD$6:$AD$505,"&gt;"&amp;$A252,実績!$AE$6:$AE$505,"○")&gt;0,1,0))</f>
        <v/>
      </c>
      <c r="CE252">
        <f>IF(CE$4=0,0,IF(COUNTIFS(実績!$W$6:$W$505,CE$3,実績!$AC$6:$AC$505,"&lt;="&amp;$A252,実績!$AD$6:$AD$505,"&gt;"&amp;$A252,実績!$AE$6:$AE$505,"○")&gt;0,1,0))</f>
        <v/>
      </c>
      <c r="CF252">
        <f>IF(CF$4=0,0,IF(COUNTIFS(実績!$W$6:$W$505,CF$3,実績!$AC$6:$AC$505,"&lt;="&amp;$A252,実績!$AD$6:$AD$505,"&gt;"&amp;$A252,実績!$AE$6:$AE$505,"○")&gt;0,1,0))</f>
        <v/>
      </c>
      <c r="CG252">
        <f>IF(CG$4=0,0,IF(COUNTIFS(実績!$W$6:$W$505,CG$3,実績!$AC$6:$AC$505,"&lt;="&amp;$A252,実績!$AD$6:$AD$505,"&gt;"&amp;$A252,実績!$AE$6:$AE$505,"○")&gt;0,1,0))</f>
        <v/>
      </c>
      <c r="CH252">
        <f>IF(CH$4=0,0,IF(COUNTIFS(実績!$W$6:$W$505,CH$3,実績!$AC$6:$AC$505,"&lt;="&amp;$A252,実績!$AD$6:$AD$505,"&gt;"&amp;$A252,実績!$AE$6:$AE$505,"○")&gt;0,1,0))</f>
        <v/>
      </c>
      <c r="CI252">
        <f>IF(CI$4=0,0,IF(COUNTIFS(実績!$W$6:$W$505,CI$3,実績!$AC$6:$AC$505,"&lt;="&amp;$A252,実績!$AD$6:$AD$505,"&gt;"&amp;$A252,実績!$AE$6:$AE$505,"○")&gt;0,1,0))</f>
        <v/>
      </c>
      <c r="CJ252">
        <f>IF(CJ$4=0,0,IF(COUNTIFS(実績!$W$6:$W$505,CJ$3,実績!$AC$6:$AC$505,"&lt;="&amp;$A252,実績!$AD$6:$AD$505,"&gt;"&amp;$A252,実績!$AE$6:$AE$505,"○")&gt;0,1,0))</f>
        <v/>
      </c>
      <c r="CK252">
        <f>IF(CK$4=0,0,IF(COUNTIFS(実績!$W$6:$W$505,CK$3,実績!$AC$6:$AC$505,"&lt;="&amp;$A252,実績!$AD$6:$AD$505,"&gt;"&amp;$A252,実績!$AE$6:$AE$505,"○")&gt;0,1,0))</f>
        <v/>
      </c>
      <c r="CL252">
        <f>IF(CL$4=0,0,IF(COUNTIFS(実績!$W$6:$W$505,CL$3,実績!$AC$6:$AC$505,"&lt;="&amp;$A252,実績!$AD$6:$AD$505,"&gt;"&amp;$A252,実績!$AE$6:$AE$505,"○")&gt;0,1,0))</f>
        <v/>
      </c>
      <c r="CM252">
        <f>IF(CM$4=0,0,IF(COUNTIFS(実績!$W$6:$W$505,CM$3,実績!$AC$6:$AC$505,"&lt;="&amp;$A252,実績!$AD$6:$AD$505,"&gt;"&amp;$A252,実績!$AE$6:$AE$505,"○")&gt;0,1,0))</f>
        <v/>
      </c>
      <c r="CN252">
        <f>IF(CN$4=0,0,IF(COUNTIFS(実績!$W$6:$W$505,CN$3,実績!$AC$6:$AC$505,"&lt;="&amp;$A252,実績!$AD$6:$AD$505,"&gt;"&amp;$A252,実績!$AE$6:$AE$505,"○")&gt;0,1,0))</f>
        <v/>
      </c>
      <c r="CO252">
        <f>IF(CO$4=0,0,IF(COUNTIFS(実績!$W$6:$W$505,CO$3,実績!$AC$6:$AC$505,"&lt;="&amp;$A252,実績!$AD$6:$AD$505,"&gt;"&amp;$A252,実績!$AE$6:$AE$505,"○")&gt;0,1,0))</f>
        <v/>
      </c>
      <c r="CP252">
        <f>IF(CP$4=0,0,IF(COUNTIFS(実績!$W$6:$W$505,CP$3,実績!$AC$6:$AC$505,"&lt;="&amp;$A252,実績!$AD$6:$AD$505,"&gt;"&amp;$A252,実績!$AE$6:$AE$505,"○")&gt;0,1,0))</f>
        <v/>
      </c>
      <c r="CQ252">
        <f>IF(CQ$4=0,0,IF(COUNTIFS(実績!$W$6:$W$505,CQ$3,実績!$AC$6:$AC$505,"&lt;="&amp;$A252,実績!$AD$6:$AD$505,"&gt;"&amp;$A252,実績!$AE$6:$AE$505,"○")&gt;0,1,0))</f>
        <v/>
      </c>
      <c r="CR252">
        <f>IF(CR$4=0,0,IF(COUNTIFS(実績!$W$6:$W$505,CR$3,実績!$AC$6:$AC$505,"&lt;="&amp;$A252,実績!$AD$6:$AD$505,"&gt;"&amp;$A252,実績!$AE$6:$AE$505,"○")&gt;0,1,0))</f>
        <v/>
      </c>
      <c r="CS252">
        <f>IF(CS$4=0,0,IF(COUNTIFS(実績!$W$6:$W$505,CS$3,実績!$AC$6:$AC$505,"&lt;="&amp;$A252,実績!$AD$6:$AD$505,"&gt;"&amp;$A252,実績!$AE$6:$AE$505,"○")&gt;0,1,0))</f>
        <v/>
      </c>
      <c r="CT252">
        <f>IF(CT$4=0,0,IF(COUNTIFS(実績!$W$6:$W$505,CT$3,実績!$AC$6:$AC$505,"&lt;="&amp;$A252,実績!$AD$6:$AD$505,"&gt;"&amp;$A252,実績!$AE$6:$AE$505,"○")&gt;0,1,0))</f>
        <v/>
      </c>
      <c r="CU252">
        <f>IF(CU$4=0,0,IF(COUNTIFS(実績!$W$6:$W$505,CU$3,実績!$AC$6:$AC$505,"&lt;="&amp;$A252,実績!$AD$6:$AD$505,"&gt;"&amp;$A252,実績!$AE$6:$AE$505,"○")&gt;0,1,0))</f>
        <v/>
      </c>
      <c r="CV252">
        <f>IF(CV$4=0,0,IF(COUNTIFS(実績!$W$6:$W$505,CV$3,実績!$AC$6:$AC$505,"&lt;="&amp;$A252,実績!$AD$6:$AD$505,"&gt;"&amp;$A252,実績!$AE$6:$AE$505,"○")&gt;0,1,0))</f>
        <v/>
      </c>
      <c r="CW252">
        <f>IF(CW$4=0,0,IF(COUNTIFS(実績!$W$6:$W$505,CW$3,実績!$AC$6:$AC$505,"&lt;="&amp;$A252,実績!$AD$6:$AD$505,"&gt;"&amp;$A252,実績!$AE$6:$AE$505,"○")&gt;0,1,0))</f>
        <v/>
      </c>
      <c r="CX252">
        <f>IF(CX$4=0,0,IF(COUNTIFS(実績!$W$6:$W$505,CX$3,実績!$AC$6:$AC$505,"&lt;="&amp;$A252,実績!$AD$6:$AD$505,"&gt;"&amp;$A252,実績!$AE$6:$AE$505,"○")&gt;0,1,0))</f>
        <v/>
      </c>
      <c r="CY252">
        <f>IF(CY$4=0,0,IF(COUNTIFS(実績!$W$6:$W$505,CY$3,実績!$AC$6:$AC$505,"&lt;="&amp;$A252,実績!$AD$6:$AD$505,"&gt;"&amp;$A252,実績!$AE$6:$AE$505,"○")&gt;0,1,0))</f>
        <v/>
      </c>
      <c r="CZ252">
        <f>IF(CZ$4=0,0,IF(COUNTIFS(実績!$W$6:$W$505,CZ$3,実績!$AC$6:$AC$505,"&lt;="&amp;$A252,実績!$AD$6:$AD$505,"&gt;"&amp;$A252,実績!$AE$6:$AE$505,"○")&gt;0,1,0))</f>
        <v/>
      </c>
      <c r="DA252">
        <f>IF(DA$4=0,0,IF(COUNTIFS(実績!$W$6:$W$505,DA$3,実績!$AC$6:$AC$505,"&lt;="&amp;$A252,実績!$AD$6:$AD$505,"&gt;"&amp;$A252,実績!$AE$6:$AE$505,"○")&gt;0,1,0))</f>
        <v/>
      </c>
      <c r="DB252">
        <f>IF(DB$4=0,0,IF(COUNTIFS(実績!$W$6:$W$505,DB$3,実績!$AC$6:$AC$505,"&lt;="&amp;$A252,実績!$AD$6:$AD$505,"&gt;"&amp;$A252,実績!$AE$6:$AE$505,"○")&gt;0,1,0))</f>
        <v/>
      </c>
      <c r="DC252">
        <f>IF(DC$4=0,0,IF(COUNTIFS(実績!$W$6:$W$505,DC$3,実績!$AC$6:$AC$505,"&lt;="&amp;$A252,実績!$AD$6:$AD$505,"&gt;"&amp;$A252,実績!$AE$6:$AE$505,"○")&gt;0,1,0))</f>
        <v/>
      </c>
      <c r="DD252">
        <f>IF(DD$4=0,0,IF(COUNTIFS(実績!$W$6:$W$505,DD$3,実績!$AC$6:$AC$505,"&lt;="&amp;$A252,実績!$AD$6:$AD$505,"&gt;"&amp;$A252,実績!$AE$6:$AE$505,"○")&gt;0,1,0))</f>
        <v/>
      </c>
      <c r="DE252">
        <f>IF(DE$4=0,0,IF(COUNTIFS(実績!$W$6:$W$505,DE$3,実績!$AC$6:$AC$505,"&lt;="&amp;$A252,実績!$AD$6:$AD$505,"&gt;"&amp;$A252,実績!$AE$6:$AE$505,"○")&gt;0,1,0))</f>
        <v/>
      </c>
      <c r="DF252">
        <f>IF(DF$4=0,0,IF(COUNTIFS(実績!$W$6:$W$505,DF$3,実績!$AC$6:$AC$505,"&lt;="&amp;$A252,実績!$AD$6:$AD$505,"&gt;"&amp;$A252,実績!$AE$6:$AE$505,"○")&gt;0,1,0))</f>
        <v/>
      </c>
      <c r="DG252">
        <f>IF(DG$4=0,0,IF(COUNTIFS(実績!$W$6:$W$505,DG$3,実績!$AC$6:$AC$505,"&lt;="&amp;$A252,実績!$AD$6:$AD$505,"&gt;"&amp;$A252,実績!$AE$6:$AE$505,"○")&gt;0,1,0))</f>
        <v/>
      </c>
      <c r="DH252">
        <f>IF(DH$4=0,0,IF(COUNTIFS(実績!$W$6:$W$505,DH$3,実績!$AC$6:$AC$505,"&lt;="&amp;$A252,実績!$AD$6:$AD$505,"&gt;"&amp;$A252,実績!$AE$6:$AE$505,"○")&gt;0,1,0))</f>
        <v/>
      </c>
      <c r="DI252">
        <f>IF(DI$4=0,0,IF(COUNTIFS(実績!$W$6:$W$505,DI$3,実績!$AC$6:$AC$505,"&lt;="&amp;$A252,実績!$AD$6:$AD$505,"&gt;"&amp;$A252,実績!$AE$6:$AE$505,"○")&gt;0,1,0))</f>
        <v/>
      </c>
      <c r="DJ252">
        <f>IF(DJ$4=0,0,IF(COUNTIFS(実績!$W$6:$W$505,DJ$3,実績!$AC$6:$AC$505,"&lt;="&amp;$A252,実績!$AD$6:$AD$505,"&gt;"&amp;$A252,実績!$AE$6:$AE$505,"○")&gt;0,1,0))</f>
        <v/>
      </c>
      <c r="DK252">
        <f>IF(DK$4=0,0,IF(COUNTIFS(実績!$W$6:$W$505,DK$3,実績!$AC$6:$AC$505,"&lt;="&amp;$A252,実績!$AD$6:$AD$505,"&gt;"&amp;$A252,実績!$AE$6:$AE$505,"○")&gt;0,1,0))</f>
        <v/>
      </c>
      <c r="DL252">
        <f>IF(DL$4=0,0,IF(COUNTIFS(実績!$W$6:$W$505,DL$3,実績!$AC$6:$AC$505,"&lt;="&amp;$A252,実績!$AD$6:$AD$505,"&gt;"&amp;$A252,実績!$AE$6:$AE$505,"○")&gt;0,1,0))</f>
        <v/>
      </c>
      <c r="DM252">
        <f>IF(DM$4=0,0,IF(COUNTIFS(実績!$W$6:$W$505,DM$3,実績!$AC$6:$AC$505,"&lt;="&amp;$A252,実績!$AD$6:$AD$505,"&gt;"&amp;$A252,実績!$AE$6:$AE$505,"○")&gt;0,1,0))</f>
        <v/>
      </c>
      <c r="DN252">
        <f>IF(DN$4=0,0,IF(COUNTIFS(実績!$W$6:$W$505,DN$3,実績!$AC$6:$AC$505,"&lt;="&amp;$A252,実績!$AD$6:$AD$505,"&gt;"&amp;$A252,実績!$AE$6:$AE$505,"○")&gt;0,1,0))</f>
        <v/>
      </c>
      <c r="DO252">
        <f>IF(DO$4=0,0,IF(COUNTIFS(実績!$W$6:$W$505,DO$3,実績!$AC$6:$AC$505,"&lt;="&amp;$A252,実績!$AD$6:$AD$505,"&gt;"&amp;$A252,実績!$AE$6:$AE$505,"○")&gt;0,1,0))</f>
        <v/>
      </c>
      <c r="DP252">
        <f>IF(DP$4=0,0,IF(COUNTIFS(実績!$W$6:$W$505,DP$3,実績!$AC$6:$AC$505,"&lt;="&amp;$A252,実績!$AD$6:$AD$505,"&gt;"&amp;$A252,実績!$AE$6:$AE$505,"○")&gt;0,1,0))</f>
        <v/>
      </c>
      <c r="DQ252">
        <f>IF(DQ$4=0,0,IF(COUNTIFS(実績!$W$6:$W$505,DQ$3,実績!$AC$6:$AC$505,"&lt;="&amp;$A252,実績!$AD$6:$AD$505,"&gt;"&amp;$A252,実績!$AE$6:$AE$505,"○")&gt;0,1,0))</f>
        <v/>
      </c>
      <c r="DR252">
        <f>IF(DR$4=0,0,IF(COUNTIFS(実績!$W$6:$W$505,DR$3,実績!$AC$6:$AC$505,"&lt;="&amp;$A252,実績!$AD$6:$AD$505,"&gt;"&amp;$A252,実績!$AE$6:$AE$505,"○")&gt;0,1,0))</f>
        <v/>
      </c>
      <c r="DS252">
        <f>SUM(C252:DR252)</f>
        <v/>
      </c>
      <c r="DT252">
        <f>SUMPRODUCT((実績!$C$6:$C$505="○")*ISNUMBER(実績!$AF$6:$AF$505)*(実績!$AF$6:$AF$505&lt;=$A252)*(実績!$AG$6:$AG$505&gt;$A252))</f>
        <v/>
      </c>
      <c r="DU252">
        <f>SUMIF($C$2:$DR$2,"製鉄曳船",C252:DR252)</f>
        <v/>
      </c>
      <c r="DV252">
        <f>SUMIF($C$2:$DR$2,"西日本海運",C252:DR252)</f>
        <v/>
      </c>
    </row>
    <row r="253">
      <c r="A253" t="n">
        <v>1235</v>
      </c>
      <c r="B253" s="29">
        <f>A253/1440</f>
        <v/>
      </c>
      <c r="C253">
        <f>IF(C$4=0,0,IF(COUNTIFS(実績!$W$6:$W$505,C$3,実績!$AC$6:$AC$505,"&lt;="&amp;$A253,実績!$AD$6:$AD$505,"&gt;"&amp;$A253,実績!$AE$6:$AE$505,"○")&gt;0,1,0))</f>
        <v/>
      </c>
      <c r="D253">
        <f>IF(D$4=0,0,IF(COUNTIFS(実績!$W$6:$W$505,D$3,実績!$AC$6:$AC$505,"&lt;="&amp;$A253,実績!$AD$6:$AD$505,"&gt;"&amp;$A253,実績!$AE$6:$AE$505,"○")&gt;0,1,0))</f>
        <v/>
      </c>
      <c r="E253">
        <f>IF(E$4=0,0,IF(COUNTIFS(実績!$W$6:$W$505,E$3,実績!$AC$6:$AC$505,"&lt;="&amp;$A253,実績!$AD$6:$AD$505,"&gt;"&amp;$A253,実績!$AE$6:$AE$505,"○")&gt;0,1,0))</f>
        <v/>
      </c>
      <c r="F253">
        <f>IF(F$4=0,0,IF(COUNTIFS(実績!$W$6:$W$505,F$3,実績!$AC$6:$AC$505,"&lt;="&amp;$A253,実績!$AD$6:$AD$505,"&gt;"&amp;$A253,実績!$AE$6:$AE$505,"○")&gt;0,1,0))</f>
        <v/>
      </c>
      <c r="G253">
        <f>IF(G$4=0,0,IF(COUNTIFS(実績!$W$6:$W$505,G$3,実績!$AC$6:$AC$505,"&lt;="&amp;$A253,実績!$AD$6:$AD$505,"&gt;"&amp;$A253,実績!$AE$6:$AE$505,"○")&gt;0,1,0))</f>
        <v/>
      </c>
      <c r="H253">
        <f>IF(H$4=0,0,IF(COUNTIFS(実績!$W$6:$W$505,H$3,実績!$AC$6:$AC$505,"&lt;="&amp;$A253,実績!$AD$6:$AD$505,"&gt;"&amp;$A253,実績!$AE$6:$AE$505,"○")&gt;0,1,0))</f>
        <v/>
      </c>
      <c r="I253">
        <f>IF(I$4=0,0,IF(COUNTIFS(実績!$W$6:$W$505,I$3,実績!$AC$6:$AC$505,"&lt;="&amp;$A253,実績!$AD$6:$AD$505,"&gt;"&amp;$A253,実績!$AE$6:$AE$505,"○")&gt;0,1,0))</f>
        <v/>
      </c>
      <c r="J253">
        <f>IF(J$4=0,0,IF(COUNTIFS(実績!$W$6:$W$505,J$3,実績!$AC$6:$AC$505,"&lt;="&amp;$A253,実績!$AD$6:$AD$505,"&gt;"&amp;$A253,実績!$AE$6:$AE$505,"○")&gt;0,1,0))</f>
        <v/>
      </c>
      <c r="K253">
        <f>IF(K$4=0,0,IF(COUNTIFS(実績!$W$6:$W$505,K$3,実績!$AC$6:$AC$505,"&lt;="&amp;$A253,実績!$AD$6:$AD$505,"&gt;"&amp;$A253,実績!$AE$6:$AE$505,"○")&gt;0,1,0))</f>
        <v/>
      </c>
      <c r="L253">
        <f>IF(L$4=0,0,IF(COUNTIFS(実績!$W$6:$W$505,L$3,実績!$AC$6:$AC$505,"&lt;="&amp;$A253,実績!$AD$6:$AD$505,"&gt;"&amp;$A253,実績!$AE$6:$AE$505,"○")&gt;0,1,0))</f>
        <v/>
      </c>
      <c r="M253">
        <f>IF(M$4=0,0,IF(COUNTIFS(実績!$W$6:$W$505,M$3,実績!$AC$6:$AC$505,"&lt;="&amp;$A253,実績!$AD$6:$AD$505,"&gt;"&amp;$A253,実績!$AE$6:$AE$505,"○")&gt;0,1,0))</f>
        <v/>
      </c>
      <c r="N253">
        <f>IF(N$4=0,0,IF(COUNTIFS(実績!$W$6:$W$505,N$3,実績!$AC$6:$AC$505,"&lt;="&amp;$A253,実績!$AD$6:$AD$505,"&gt;"&amp;$A253,実績!$AE$6:$AE$505,"○")&gt;0,1,0))</f>
        <v/>
      </c>
      <c r="O253">
        <f>IF(O$4=0,0,IF(COUNTIFS(実績!$W$6:$W$505,O$3,実績!$AC$6:$AC$505,"&lt;="&amp;$A253,実績!$AD$6:$AD$505,"&gt;"&amp;$A253,実績!$AE$6:$AE$505,"○")&gt;0,1,0))</f>
        <v/>
      </c>
      <c r="P253">
        <f>IF(P$4=0,0,IF(COUNTIFS(実績!$W$6:$W$505,P$3,実績!$AC$6:$AC$505,"&lt;="&amp;$A253,実績!$AD$6:$AD$505,"&gt;"&amp;$A253,実績!$AE$6:$AE$505,"○")&gt;0,1,0))</f>
        <v/>
      </c>
      <c r="Q253">
        <f>IF(Q$4=0,0,IF(COUNTIFS(実績!$W$6:$W$505,Q$3,実績!$AC$6:$AC$505,"&lt;="&amp;$A253,実績!$AD$6:$AD$505,"&gt;"&amp;$A253,実績!$AE$6:$AE$505,"○")&gt;0,1,0))</f>
        <v/>
      </c>
      <c r="R253">
        <f>IF(R$4=0,0,IF(COUNTIFS(実績!$W$6:$W$505,R$3,実績!$AC$6:$AC$505,"&lt;="&amp;$A253,実績!$AD$6:$AD$505,"&gt;"&amp;$A253,実績!$AE$6:$AE$505,"○")&gt;0,1,0))</f>
        <v/>
      </c>
      <c r="S253">
        <f>IF(S$4=0,0,IF(COUNTIFS(実績!$W$6:$W$505,S$3,実績!$AC$6:$AC$505,"&lt;="&amp;$A253,実績!$AD$6:$AD$505,"&gt;"&amp;$A253,実績!$AE$6:$AE$505,"○")&gt;0,1,0))</f>
        <v/>
      </c>
      <c r="T253">
        <f>IF(T$4=0,0,IF(COUNTIFS(実績!$W$6:$W$505,T$3,実績!$AC$6:$AC$505,"&lt;="&amp;$A253,実績!$AD$6:$AD$505,"&gt;"&amp;$A253,実績!$AE$6:$AE$505,"○")&gt;0,1,0))</f>
        <v/>
      </c>
      <c r="U253">
        <f>IF(U$4=0,0,IF(COUNTIFS(実績!$W$6:$W$505,U$3,実績!$AC$6:$AC$505,"&lt;="&amp;$A253,実績!$AD$6:$AD$505,"&gt;"&amp;$A253,実績!$AE$6:$AE$505,"○")&gt;0,1,0))</f>
        <v/>
      </c>
      <c r="V253">
        <f>IF(V$4=0,0,IF(COUNTIFS(実績!$W$6:$W$505,V$3,実績!$AC$6:$AC$505,"&lt;="&amp;$A253,実績!$AD$6:$AD$505,"&gt;"&amp;$A253,実績!$AE$6:$AE$505,"○")&gt;0,1,0))</f>
        <v/>
      </c>
      <c r="W253">
        <f>IF(W$4=0,0,IF(COUNTIFS(実績!$W$6:$W$505,W$3,実績!$AC$6:$AC$505,"&lt;="&amp;$A253,実績!$AD$6:$AD$505,"&gt;"&amp;$A253,実績!$AE$6:$AE$505,"○")&gt;0,1,0))</f>
        <v/>
      </c>
      <c r="X253">
        <f>IF(X$4=0,0,IF(COUNTIFS(実績!$W$6:$W$505,X$3,実績!$AC$6:$AC$505,"&lt;="&amp;$A253,実績!$AD$6:$AD$505,"&gt;"&amp;$A253,実績!$AE$6:$AE$505,"○")&gt;0,1,0))</f>
        <v/>
      </c>
      <c r="Y253">
        <f>IF(Y$4=0,0,IF(COUNTIFS(実績!$W$6:$W$505,Y$3,実績!$AC$6:$AC$505,"&lt;="&amp;$A253,実績!$AD$6:$AD$505,"&gt;"&amp;$A253,実績!$AE$6:$AE$505,"○")&gt;0,1,0))</f>
        <v/>
      </c>
      <c r="Z253">
        <f>IF(Z$4=0,0,IF(COUNTIFS(実績!$W$6:$W$505,Z$3,実績!$AC$6:$AC$505,"&lt;="&amp;$A253,実績!$AD$6:$AD$505,"&gt;"&amp;$A253,実績!$AE$6:$AE$505,"○")&gt;0,1,0))</f>
        <v/>
      </c>
      <c r="AA253">
        <f>IF(AA$4=0,0,IF(COUNTIFS(実績!$W$6:$W$505,AA$3,実績!$AC$6:$AC$505,"&lt;="&amp;$A253,実績!$AD$6:$AD$505,"&gt;"&amp;$A253,実績!$AE$6:$AE$505,"○")&gt;0,1,0))</f>
        <v/>
      </c>
      <c r="AB253">
        <f>IF(AB$4=0,0,IF(COUNTIFS(実績!$W$6:$W$505,AB$3,実績!$AC$6:$AC$505,"&lt;="&amp;$A253,実績!$AD$6:$AD$505,"&gt;"&amp;$A253,実績!$AE$6:$AE$505,"○")&gt;0,1,0))</f>
        <v/>
      </c>
      <c r="AC253">
        <f>IF(AC$4=0,0,IF(COUNTIFS(実績!$W$6:$W$505,AC$3,実績!$AC$6:$AC$505,"&lt;="&amp;$A253,実績!$AD$6:$AD$505,"&gt;"&amp;$A253,実績!$AE$6:$AE$505,"○")&gt;0,1,0))</f>
        <v/>
      </c>
      <c r="AD253">
        <f>IF(AD$4=0,0,IF(COUNTIFS(実績!$W$6:$W$505,AD$3,実績!$AC$6:$AC$505,"&lt;="&amp;$A253,実績!$AD$6:$AD$505,"&gt;"&amp;$A253,実績!$AE$6:$AE$505,"○")&gt;0,1,0))</f>
        <v/>
      </c>
      <c r="AE253">
        <f>IF(AE$4=0,0,IF(COUNTIFS(実績!$W$6:$W$505,AE$3,実績!$AC$6:$AC$505,"&lt;="&amp;$A253,実績!$AD$6:$AD$505,"&gt;"&amp;$A253,実績!$AE$6:$AE$505,"○")&gt;0,1,0))</f>
        <v/>
      </c>
      <c r="AF253">
        <f>IF(AF$4=0,0,IF(COUNTIFS(実績!$W$6:$W$505,AF$3,実績!$AC$6:$AC$505,"&lt;="&amp;$A253,実績!$AD$6:$AD$505,"&gt;"&amp;$A253,実績!$AE$6:$AE$505,"○")&gt;0,1,0))</f>
        <v/>
      </c>
      <c r="AG253">
        <f>IF(AG$4=0,0,IF(COUNTIFS(実績!$W$6:$W$505,AG$3,実績!$AC$6:$AC$505,"&lt;="&amp;$A253,実績!$AD$6:$AD$505,"&gt;"&amp;$A253,実績!$AE$6:$AE$505,"○")&gt;0,1,0))</f>
        <v/>
      </c>
      <c r="AH253">
        <f>IF(AH$4=0,0,IF(COUNTIFS(実績!$W$6:$W$505,AH$3,実績!$AC$6:$AC$505,"&lt;="&amp;$A253,実績!$AD$6:$AD$505,"&gt;"&amp;$A253,実績!$AE$6:$AE$505,"○")&gt;0,1,0))</f>
        <v/>
      </c>
      <c r="AI253">
        <f>IF(AI$4=0,0,IF(COUNTIFS(実績!$W$6:$W$505,AI$3,実績!$AC$6:$AC$505,"&lt;="&amp;$A253,実績!$AD$6:$AD$505,"&gt;"&amp;$A253,実績!$AE$6:$AE$505,"○")&gt;0,1,0))</f>
        <v/>
      </c>
      <c r="AJ253">
        <f>IF(AJ$4=0,0,IF(COUNTIFS(実績!$W$6:$W$505,AJ$3,実績!$AC$6:$AC$505,"&lt;="&amp;$A253,実績!$AD$6:$AD$505,"&gt;"&amp;$A253,実績!$AE$6:$AE$505,"○")&gt;0,1,0))</f>
        <v/>
      </c>
      <c r="AK253">
        <f>IF(AK$4=0,0,IF(COUNTIFS(実績!$W$6:$W$505,AK$3,実績!$AC$6:$AC$505,"&lt;="&amp;$A253,実績!$AD$6:$AD$505,"&gt;"&amp;$A253,実績!$AE$6:$AE$505,"○")&gt;0,1,0))</f>
        <v/>
      </c>
      <c r="AL253">
        <f>IF(AL$4=0,0,IF(COUNTIFS(実績!$W$6:$W$505,AL$3,実績!$AC$6:$AC$505,"&lt;="&amp;$A253,実績!$AD$6:$AD$505,"&gt;"&amp;$A253,実績!$AE$6:$AE$505,"○")&gt;0,1,0))</f>
        <v/>
      </c>
      <c r="AM253">
        <f>IF(AM$4=0,0,IF(COUNTIFS(実績!$W$6:$W$505,AM$3,実績!$AC$6:$AC$505,"&lt;="&amp;$A253,実績!$AD$6:$AD$505,"&gt;"&amp;$A253,実績!$AE$6:$AE$505,"○")&gt;0,1,0))</f>
        <v/>
      </c>
      <c r="AN253">
        <f>IF(AN$4=0,0,IF(COUNTIFS(実績!$W$6:$W$505,AN$3,実績!$AC$6:$AC$505,"&lt;="&amp;$A253,実績!$AD$6:$AD$505,"&gt;"&amp;$A253,実績!$AE$6:$AE$505,"○")&gt;0,1,0))</f>
        <v/>
      </c>
      <c r="AO253">
        <f>IF(AO$4=0,0,IF(COUNTIFS(実績!$W$6:$W$505,AO$3,実績!$AC$6:$AC$505,"&lt;="&amp;$A253,実績!$AD$6:$AD$505,"&gt;"&amp;$A253,実績!$AE$6:$AE$505,"○")&gt;0,1,0))</f>
        <v/>
      </c>
      <c r="AP253">
        <f>IF(AP$4=0,0,IF(COUNTIFS(実績!$W$6:$W$505,AP$3,実績!$AC$6:$AC$505,"&lt;="&amp;$A253,実績!$AD$6:$AD$505,"&gt;"&amp;$A253,実績!$AE$6:$AE$505,"○")&gt;0,1,0))</f>
        <v/>
      </c>
      <c r="AQ253">
        <f>IF(AQ$4=0,0,IF(COUNTIFS(実績!$W$6:$W$505,AQ$3,実績!$AC$6:$AC$505,"&lt;="&amp;$A253,実績!$AD$6:$AD$505,"&gt;"&amp;$A253,実績!$AE$6:$AE$505,"○")&gt;0,1,0))</f>
        <v/>
      </c>
      <c r="AR253">
        <f>IF(AR$4=0,0,IF(COUNTIFS(実績!$W$6:$W$505,AR$3,実績!$AC$6:$AC$505,"&lt;="&amp;$A253,実績!$AD$6:$AD$505,"&gt;"&amp;$A253,実績!$AE$6:$AE$505,"○")&gt;0,1,0))</f>
        <v/>
      </c>
      <c r="AS253">
        <f>IF(AS$4=0,0,IF(COUNTIFS(実績!$W$6:$W$505,AS$3,実績!$AC$6:$AC$505,"&lt;="&amp;$A253,実績!$AD$6:$AD$505,"&gt;"&amp;$A253,実績!$AE$6:$AE$505,"○")&gt;0,1,0))</f>
        <v/>
      </c>
      <c r="AT253">
        <f>IF(AT$4=0,0,IF(COUNTIFS(実績!$W$6:$W$505,AT$3,実績!$AC$6:$AC$505,"&lt;="&amp;$A253,実績!$AD$6:$AD$505,"&gt;"&amp;$A253,実績!$AE$6:$AE$505,"○")&gt;0,1,0))</f>
        <v/>
      </c>
      <c r="AU253">
        <f>IF(AU$4=0,0,IF(COUNTIFS(実績!$W$6:$W$505,AU$3,実績!$AC$6:$AC$505,"&lt;="&amp;$A253,実績!$AD$6:$AD$505,"&gt;"&amp;$A253,実績!$AE$6:$AE$505,"○")&gt;0,1,0))</f>
        <v/>
      </c>
      <c r="AV253">
        <f>IF(AV$4=0,0,IF(COUNTIFS(実績!$W$6:$W$505,AV$3,実績!$AC$6:$AC$505,"&lt;="&amp;$A253,実績!$AD$6:$AD$505,"&gt;"&amp;$A253,実績!$AE$6:$AE$505,"○")&gt;0,1,0))</f>
        <v/>
      </c>
      <c r="AW253">
        <f>IF(AW$4=0,0,IF(COUNTIFS(実績!$W$6:$W$505,AW$3,実績!$AC$6:$AC$505,"&lt;="&amp;$A253,実績!$AD$6:$AD$505,"&gt;"&amp;$A253,実績!$AE$6:$AE$505,"○")&gt;0,1,0))</f>
        <v/>
      </c>
      <c r="AX253">
        <f>IF(AX$4=0,0,IF(COUNTIFS(実績!$W$6:$W$505,AX$3,実績!$AC$6:$AC$505,"&lt;="&amp;$A253,実績!$AD$6:$AD$505,"&gt;"&amp;$A253,実績!$AE$6:$AE$505,"○")&gt;0,1,0))</f>
        <v/>
      </c>
      <c r="AY253">
        <f>IF(AY$4=0,0,IF(COUNTIFS(実績!$W$6:$W$505,AY$3,実績!$AC$6:$AC$505,"&lt;="&amp;$A253,実績!$AD$6:$AD$505,"&gt;"&amp;$A253,実績!$AE$6:$AE$505,"○")&gt;0,1,0))</f>
        <v/>
      </c>
      <c r="AZ253">
        <f>IF(AZ$4=0,0,IF(COUNTIFS(実績!$W$6:$W$505,AZ$3,実績!$AC$6:$AC$505,"&lt;="&amp;$A253,実績!$AD$6:$AD$505,"&gt;"&amp;$A253,実績!$AE$6:$AE$505,"○")&gt;0,1,0))</f>
        <v/>
      </c>
      <c r="BA253">
        <f>IF(BA$4=0,0,IF(COUNTIFS(実績!$W$6:$W$505,BA$3,実績!$AC$6:$AC$505,"&lt;="&amp;$A253,実績!$AD$6:$AD$505,"&gt;"&amp;$A253,実績!$AE$6:$AE$505,"○")&gt;0,1,0))</f>
        <v/>
      </c>
      <c r="BB253">
        <f>IF(BB$4=0,0,IF(COUNTIFS(実績!$W$6:$W$505,BB$3,実績!$AC$6:$AC$505,"&lt;="&amp;$A253,実績!$AD$6:$AD$505,"&gt;"&amp;$A253,実績!$AE$6:$AE$505,"○")&gt;0,1,0))</f>
        <v/>
      </c>
      <c r="BC253">
        <f>IF(BC$4=0,0,IF(COUNTIFS(実績!$W$6:$W$505,BC$3,実績!$AC$6:$AC$505,"&lt;="&amp;$A253,実績!$AD$6:$AD$505,"&gt;"&amp;$A253,実績!$AE$6:$AE$505,"○")&gt;0,1,0))</f>
        <v/>
      </c>
      <c r="BD253">
        <f>IF(BD$4=0,0,IF(COUNTIFS(実績!$W$6:$W$505,BD$3,実績!$AC$6:$AC$505,"&lt;="&amp;$A253,実績!$AD$6:$AD$505,"&gt;"&amp;$A253,実績!$AE$6:$AE$505,"○")&gt;0,1,0))</f>
        <v/>
      </c>
      <c r="BE253">
        <f>IF(BE$4=0,0,IF(COUNTIFS(実績!$W$6:$W$505,BE$3,実績!$AC$6:$AC$505,"&lt;="&amp;$A253,実績!$AD$6:$AD$505,"&gt;"&amp;$A253,実績!$AE$6:$AE$505,"○")&gt;0,1,0))</f>
        <v/>
      </c>
      <c r="BF253">
        <f>IF(BF$4=0,0,IF(COUNTIFS(実績!$W$6:$W$505,BF$3,実績!$AC$6:$AC$505,"&lt;="&amp;$A253,実績!$AD$6:$AD$505,"&gt;"&amp;$A253,実績!$AE$6:$AE$505,"○")&gt;0,1,0))</f>
        <v/>
      </c>
      <c r="BG253">
        <f>IF(BG$4=0,0,IF(COUNTIFS(実績!$W$6:$W$505,BG$3,実績!$AC$6:$AC$505,"&lt;="&amp;$A253,実績!$AD$6:$AD$505,"&gt;"&amp;$A253,実績!$AE$6:$AE$505,"○")&gt;0,1,0))</f>
        <v/>
      </c>
      <c r="BH253">
        <f>IF(BH$4=0,0,IF(COUNTIFS(実績!$W$6:$W$505,BH$3,実績!$AC$6:$AC$505,"&lt;="&amp;$A253,実績!$AD$6:$AD$505,"&gt;"&amp;$A253,実績!$AE$6:$AE$505,"○")&gt;0,1,0))</f>
        <v/>
      </c>
      <c r="BI253">
        <f>IF(BI$4=0,0,IF(COUNTIFS(実績!$W$6:$W$505,BI$3,実績!$AC$6:$AC$505,"&lt;="&amp;$A253,実績!$AD$6:$AD$505,"&gt;"&amp;$A253,実績!$AE$6:$AE$505,"○")&gt;0,1,0))</f>
        <v/>
      </c>
      <c r="BJ253">
        <f>IF(BJ$4=0,0,IF(COUNTIFS(実績!$W$6:$W$505,BJ$3,実績!$AC$6:$AC$505,"&lt;="&amp;$A253,実績!$AD$6:$AD$505,"&gt;"&amp;$A253,実績!$AE$6:$AE$505,"○")&gt;0,1,0))</f>
        <v/>
      </c>
      <c r="BK253">
        <f>IF(BK$4=0,0,IF(COUNTIFS(実績!$W$6:$W$505,BK$3,実績!$AC$6:$AC$505,"&lt;="&amp;$A253,実績!$AD$6:$AD$505,"&gt;"&amp;$A253,実績!$AE$6:$AE$505,"○")&gt;0,1,0))</f>
        <v/>
      </c>
      <c r="BL253">
        <f>IF(BL$4=0,0,IF(COUNTIFS(実績!$W$6:$W$505,BL$3,実績!$AC$6:$AC$505,"&lt;="&amp;$A253,実績!$AD$6:$AD$505,"&gt;"&amp;$A253,実績!$AE$6:$AE$505,"○")&gt;0,1,0))</f>
        <v/>
      </c>
      <c r="BM253">
        <f>IF(BM$4=0,0,IF(COUNTIFS(実績!$W$6:$W$505,BM$3,実績!$AC$6:$AC$505,"&lt;="&amp;$A253,実績!$AD$6:$AD$505,"&gt;"&amp;$A253,実績!$AE$6:$AE$505,"○")&gt;0,1,0))</f>
        <v/>
      </c>
      <c r="BN253">
        <f>IF(BN$4=0,0,IF(COUNTIFS(実績!$W$6:$W$505,BN$3,実績!$AC$6:$AC$505,"&lt;="&amp;$A253,実績!$AD$6:$AD$505,"&gt;"&amp;$A253,実績!$AE$6:$AE$505,"○")&gt;0,1,0))</f>
        <v/>
      </c>
      <c r="BO253">
        <f>IF(BO$4=0,0,IF(COUNTIFS(実績!$W$6:$W$505,BO$3,実績!$AC$6:$AC$505,"&lt;="&amp;$A253,実績!$AD$6:$AD$505,"&gt;"&amp;$A253,実績!$AE$6:$AE$505,"○")&gt;0,1,0))</f>
        <v/>
      </c>
      <c r="BP253">
        <f>IF(BP$4=0,0,IF(COUNTIFS(実績!$W$6:$W$505,BP$3,実績!$AC$6:$AC$505,"&lt;="&amp;$A253,実績!$AD$6:$AD$505,"&gt;"&amp;$A253,実績!$AE$6:$AE$505,"○")&gt;0,1,0))</f>
        <v/>
      </c>
      <c r="BQ253">
        <f>IF(BQ$4=0,0,IF(COUNTIFS(実績!$W$6:$W$505,BQ$3,実績!$AC$6:$AC$505,"&lt;="&amp;$A253,実績!$AD$6:$AD$505,"&gt;"&amp;$A253,実績!$AE$6:$AE$505,"○")&gt;0,1,0))</f>
        <v/>
      </c>
      <c r="BR253">
        <f>IF(BR$4=0,0,IF(COUNTIFS(実績!$W$6:$W$505,BR$3,実績!$AC$6:$AC$505,"&lt;="&amp;$A253,実績!$AD$6:$AD$505,"&gt;"&amp;$A253,実績!$AE$6:$AE$505,"○")&gt;0,1,0))</f>
        <v/>
      </c>
      <c r="BS253">
        <f>IF(BS$4=0,0,IF(COUNTIFS(実績!$W$6:$W$505,BS$3,実績!$AC$6:$AC$505,"&lt;="&amp;$A253,実績!$AD$6:$AD$505,"&gt;"&amp;$A253,実績!$AE$6:$AE$505,"○")&gt;0,1,0))</f>
        <v/>
      </c>
      <c r="BT253">
        <f>IF(BT$4=0,0,IF(COUNTIFS(実績!$W$6:$W$505,BT$3,実績!$AC$6:$AC$505,"&lt;="&amp;$A253,実績!$AD$6:$AD$505,"&gt;"&amp;$A253,実績!$AE$6:$AE$505,"○")&gt;0,1,0))</f>
        <v/>
      </c>
      <c r="BU253">
        <f>IF(BU$4=0,0,IF(COUNTIFS(実績!$W$6:$W$505,BU$3,実績!$AC$6:$AC$505,"&lt;="&amp;$A253,実績!$AD$6:$AD$505,"&gt;"&amp;$A253,実績!$AE$6:$AE$505,"○")&gt;0,1,0))</f>
        <v/>
      </c>
      <c r="BV253">
        <f>IF(BV$4=0,0,IF(COUNTIFS(実績!$W$6:$W$505,BV$3,実績!$AC$6:$AC$505,"&lt;="&amp;$A253,実績!$AD$6:$AD$505,"&gt;"&amp;$A253,実績!$AE$6:$AE$505,"○")&gt;0,1,0))</f>
        <v/>
      </c>
      <c r="BW253">
        <f>IF(BW$4=0,0,IF(COUNTIFS(実績!$W$6:$W$505,BW$3,実績!$AC$6:$AC$505,"&lt;="&amp;$A253,実績!$AD$6:$AD$505,"&gt;"&amp;$A253,実績!$AE$6:$AE$505,"○")&gt;0,1,0))</f>
        <v/>
      </c>
      <c r="BX253">
        <f>IF(BX$4=0,0,IF(COUNTIFS(実績!$W$6:$W$505,BX$3,実績!$AC$6:$AC$505,"&lt;="&amp;$A253,実績!$AD$6:$AD$505,"&gt;"&amp;$A253,実績!$AE$6:$AE$505,"○")&gt;0,1,0))</f>
        <v/>
      </c>
      <c r="BY253">
        <f>IF(BY$4=0,0,IF(COUNTIFS(実績!$W$6:$W$505,BY$3,実績!$AC$6:$AC$505,"&lt;="&amp;$A253,実績!$AD$6:$AD$505,"&gt;"&amp;$A253,実績!$AE$6:$AE$505,"○")&gt;0,1,0))</f>
        <v/>
      </c>
      <c r="BZ253">
        <f>IF(BZ$4=0,0,IF(COUNTIFS(実績!$W$6:$W$505,BZ$3,実績!$AC$6:$AC$505,"&lt;="&amp;$A253,実績!$AD$6:$AD$505,"&gt;"&amp;$A253,実績!$AE$6:$AE$505,"○")&gt;0,1,0))</f>
        <v/>
      </c>
      <c r="CA253">
        <f>IF(CA$4=0,0,IF(COUNTIFS(実績!$W$6:$W$505,CA$3,実績!$AC$6:$AC$505,"&lt;="&amp;$A253,実績!$AD$6:$AD$505,"&gt;"&amp;$A253,実績!$AE$6:$AE$505,"○")&gt;0,1,0))</f>
        <v/>
      </c>
      <c r="CB253">
        <f>IF(CB$4=0,0,IF(COUNTIFS(実績!$W$6:$W$505,CB$3,実績!$AC$6:$AC$505,"&lt;="&amp;$A253,実績!$AD$6:$AD$505,"&gt;"&amp;$A253,実績!$AE$6:$AE$505,"○")&gt;0,1,0))</f>
        <v/>
      </c>
      <c r="CC253">
        <f>IF(CC$4=0,0,IF(COUNTIFS(実績!$W$6:$W$505,CC$3,実績!$AC$6:$AC$505,"&lt;="&amp;$A253,実績!$AD$6:$AD$505,"&gt;"&amp;$A253,実績!$AE$6:$AE$505,"○")&gt;0,1,0))</f>
        <v/>
      </c>
      <c r="CD253">
        <f>IF(CD$4=0,0,IF(COUNTIFS(実績!$W$6:$W$505,CD$3,実績!$AC$6:$AC$505,"&lt;="&amp;$A253,実績!$AD$6:$AD$505,"&gt;"&amp;$A253,実績!$AE$6:$AE$505,"○")&gt;0,1,0))</f>
        <v/>
      </c>
      <c r="CE253">
        <f>IF(CE$4=0,0,IF(COUNTIFS(実績!$W$6:$W$505,CE$3,実績!$AC$6:$AC$505,"&lt;="&amp;$A253,実績!$AD$6:$AD$505,"&gt;"&amp;$A253,実績!$AE$6:$AE$505,"○")&gt;0,1,0))</f>
        <v/>
      </c>
      <c r="CF253">
        <f>IF(CF$4=0,0,IF(COUNTIFS(実績!$W$6:$W$505,CF$3,実績!$AC$6:$AC$505,"&lt;="&amp;$A253,実績!$AD$6:$AD$505,"&gt;"&amp;$A253,実績!$AE$6:$AE$505,"○")&gt;0,1,0))</f>
        <v/>
      </c>
      <c r="CG253">
        <f>IF(CG$4=0,0,IF(COUNTIFS(実績!$W$6:$W$505,CG$3,実績!$AC$6:$AC$505,"&lt;="&amp;$A253,実績!$AD$6:$AD$505,"&gt;"&amp;$A253,実績!$AE$6:$AE$505,"○")&gt;0,1,0))</f>
        <v/>
      </c>
      <c r="CH253">
        <f>IF(CH$4=0,0,IF(COUNTIFS(実績!$W$6:$W$505,CH$3,実績!$AC$6:$AC$505,"&lt;="&amp;$A253,実績!$AD$6:$AD$505,"&gt;"&amp;$A253,実績!$AE$6:$AE$505,"○")&gt;0,1,0))</f>
        <v/>
      </c>
      <c r="CI253">
        <f>IF(CI$4=0,0,IF(COUNTIFS(実績!$W$6:$W$505,CI$3,実績!$AC$6:$AC$505,"&lt;="&amp;$A253,実績!$AD$6:$AD$505,"&gt;"&amp;$A253,実績!$AE$6:$AE$505,"○")&gt;0,1,0))</f>
        <v/>
      </c>
      <c r="CJ253">
        <f>IF(CJ$4=0,0,IF(COUNTIFS(実績!$W$6:$W$505,CJ$3,実績!$AC$6:$AC$505,"&lt;="&amp;$A253,実績!$AD$6:$AD$505,"&gt;"&amp;$A253,実績!$AE$6:$AE$505,"○")&gt;0,1,0))</f>
        <v/>
      </c>
      <c r="CK253">
        <f>IF(CK$4=0,0,IF(COUNTIFS(実績!$W$6:$W$505,CK$3,実績!$AC$6:$AC$505,"&lt;="&amp;$A253,実績!$AD$6:$AD$505,"&gt;"&amp;$A253,実績!$AE$6:$AE$505,"○")&gt;0,1,0))</f>
        <v/>
      </c>
      <c r="CL253">
        <f>IF(CL$4=0,0,IF(COUNTIFS(実績!$W$6:$W$505,CL$3,実績!$AC$6:$AC$505,"&lt;="&amp;$A253,実績!$AD$6:$AD$505,"&gt;"&amp;$A253,実績!$AE$6:$AE$505,"○")&gt;0,1,0))</f>
        <v/>
      </c>
      <c r="CM253">
        <f>IF(CM$4=0,0,IF(COUNTIFS(実績!$W$6:$W$505,CM$3,実績!$AC$6:$AC$505,"&lt;="&amp;$A253,実績!$AD$6:$AD$505,"&gt;"&amp;$A253,実績!$AE$6:$AE$505,"○")&gt;0,1,0))</f>
        <v/>
      </c>
      <c r="CN253">
        <f>IF(CN$4=0,0,IF(COUNTIFS(実績!$W$6:$W$505,CN$3,実績!$AC$6:$AC$505,"&lt;="&amp;$A253,実績!$AD$6:$AD$505,"&gt;"&amp;$A253,実績!$AE$6:$AE$505,"○")&gt;0,1,0))</f>
        <v/>
      </c>
      <c r="CO253">
        <f>IF(CO$4=0,0,IF(COUNTIFS(実績!$W$6:$W$505,CO$3,実績!$AC$6:$AC$505,"&lt;="&amp;$A253,実績!$AD$6:$AD$505,"&gt;"&amp;$A253,実績!$AE$6:$AE$505,"○")&gt;0,1,0))</f>
        <v/>
      </c>
      <c r="CP253">
        <f>IF(CP$4=0,0,IF(COUNTIFS(実績!$W$6:$W$505,CP$3,実績!$AC$6:$AC$505,"&lt;="&amp;$A253,実績!$AD$6:$AD$505,"&gt;"&amp;$A253,実績!$AE$6:$AE$505,"○")&gt;0,1,0))</f>
        <v/>
      </c>
      <c r="CQ253">
        <f>IF(CQ$4=0,0,IF(COUNTIFS(実績!$W$6:$W$505,CQ$3,実績!$AC$6:$AC$505,"&lt;="&amp;$A253,実績!$AD$6:$AD$505,"&gt;"&amp;$A253,実績!$AE$6:$AE$505,"○")&gt;0,1,0))</f>
        <v/>
      </c>
      <c r="CR253">
        <f>IF(CR$4=0,0,IF(COUNTIFS(実績!$W$6:$W$505,CR$3,実績!$AC$6:$AC$505,"&lt;="&amp;$A253,実績!$AD$6:$AD$505,"&gt;"&amp;$A253,実績!$AE$6:$AE$505,"○")&gt;0,1,0))</f>
        <v/>
      </c>
      <c r="CS253">
        <f>IF(CS$4=0,0,IF(COUNTIFS(実績!$W$6:$W$505,CS$3,実績!$AC$6:$AC$505,"&lt;="&amp;$A253,実績!$AD$6:$AD$505,"&gt;"&amp;$A253,実績!$AE$6:$AE$505,"○")&gt;0,1,0))</f>
        <v/>
      </c>
      <c r="CT253">
        <f>IF(CT$4=0,0,IF(COUNTIFS(実績!$W$6:$W$505,CT$3,実績!$AC$6:$AC$505,"&lt;="&amp;$A253,実績!$AD$6:$AD$505,"&gt;"&amp;$A253,実績!$AE$6:$AE$505,"○")&gt;0,1,0))</f>
        <v/>
      </c>
      <c r="CU253">
        <f>IF(CU$4=0,0,IF(COUNTIFS(実績!$W$6:$W$505,CU$3,実績!$AC$6:$AC$505,"&lt;="&amp;$A253,実績!$AD$6:$AD$505,"&gt;"&amp;$A253,実績!$AE$6:$AE$505,"○")&gt;0,1,0))</f>
        <v/>
      </c>
      <c r="CV253">
        <f>IF(CV$4=0,0,IF(COUNTIFS(実績!$W$6:$W$505,CV$3,実績!$AC$6:$AC$505,"&lt;="&amp;$A253,実績!$AD$6:$AD$505,"&gt;"&amp;$A253,実績!$AE$6:$AE$505,"○")&gt;0,1,0))</f>
        <v/>
      </c>
      <c r="CW253">
        <f>IF(CW$4=0,0,IF(COUNTIFS(実績!$W$6:$W$505,CW$3,実績!$AC$6:$AC$505,"&lt;="&amp;$A253,実績!$AD$6:$AD$505,"&gt;"&amp;$A253,実績!$AE$6:$AE$505,"○")&gt;0,1,0))</f>
        <v/>
      </c>
      <c r="CX253">
        <f>IF(CX$4=0,0,IF(COUNTIFS(実績!$W$6:$W$505,CX$3,実績!$AC$6:$AC$505,"&lt;="&amp;$A253,実績!$AD$6:$AD$505,"&gt;"&amp;$A253,実績!$AE$6:$AE$505,"○")&gt;0,1,0))</f>
        <v/>
      </c>
      <c r="CY253">
        <f>IF(CY$4=0,0,IF(COUNTIFS(実績!$W$6:$W$505,CY$3,実績!$AC$6:$AC$505,"&lt;="&amp;$A253,実績!$AD$6:$AD$505,"&gt;"&amp;$A253,実績!$AE$6:$AE$505,"○")&gt;0,1,0))</f>
        <v/>
      </c>
      <c r="CZ253">
        <f>IF(CZ$4=0,0,IF(COUNTIFS(実績!$W$6:$W$505,CZ$3,実績!$AC$6:$AC$505,"&lt;="&amp;$A253,実績!$AD$6:$AD$505,"&gt;"&amp;$A253,実績!$AE$6:$AE$505,"○")&gt;0,1,0))</f>
        <v/>
      </c>
      <c r="DA253">
        <f>IF(DA$4=0,0,IF(COUNTIFS(実績!$W$6:$W$505,DA$3,実績!$AC$6:$AC$505,"&lt;="&amp;$A253,実績!$AD$6:$AD$505,"&gt;"&amp;$A253,実績!$AE$6:$AE$505,"○")&gt;0,1,0))</f>
        <v/>
      </c>
      <c r="DB253">
        <f>IF(DB$4=0,0,IF(COUNTIFS(実績!$W$6:$W$505,DB$3,実績!$AC$6:$AC$505,"&lt;="&amp;$A253,実績!$AD$6:$AD$505,"&gt;"&amp;$A253,実績!$AE$6:$AE$505,"○")&gt;0,1,0))</f>
        <v/>
      </c>
      <c r="DC253">
        <f>IF(DC$4=0,0,IF(COUNTIFS(実績!$W$6:$W$505,DC$3,実績!$AC$6:$AC$505,"&lt;="&amp;$A253,実績!$AD$6:$AD$505,"&gt;"&amp;$A253,実績!$AE$6:$AE$505,"○")&gt;0,1,0))</f>
        <v/>
      </c>
      <c r="DD253">
        <f>IF(DD$4=0,0,IF(COUNTIFS(実績!$W$6:$W$505,DD$3,実績!$AC$6:$AC$505,"&lt;="&amp;$A253,実績!$AD$6:$AD$505,"&gt;"&amp;$A253,実績!$AE$6:$AE$505,"○")&gt;0,1,0))</f>
        <v/>
      </c>
      <c r="DE253">
        <f>IF(DE$4=0,0,IF(COUNTIFS(実績!$W$6:$W$505,DE$3,実績!$AC$6:$AC$505,"&lt;="&amp;$A253,実績!$AD$6:$AD$505,"&gt;"&amp;$A253,実績!$AE$6:$AE$505,"○")&gt;0,1,0))</f>
        <v/>
      </c>
      <c r="DF253">
        <f>IF(DF$4=0,0,IF(COUNTIFS(実績!$W$6:$W$505,DF$3,実績!$AC$6:$AC$505,"&lt;="&amp;$A253,実績!$AD$6:$AD$505,"&gt;"&amp;$A253,実績!$AE$6:$AE$505,"○")&gt;0,1,0))</f>
        <v/>
      </c>
      <c r="DG253">
        <f>IF(DG$4=0,0,IF(COUNTIFS(実績!$W$6:$W$505,DG$3,実績!$AC$6:$AC$505,"&lt;="&amp;$A253,実績!$AD$6:$AD$505,"&gt;"&amp;$A253,実績!$AE$6:$AE$505,"○")&gt;0,1,0))</f>
        <v/>
      </c>
      <c r="DH253">
        <f>IF(DH$4=0,0,IF(COUNTIFS(実績!$W$6:$W$505,DH$3,実績!$AC$6:$AC$505,"&lt;="&amp;$A253,実績!$AD$6:$AD$505,"&gt;"&amp;$A253,実績!$AE$6:$AE$505,"○")&gt;0,1,0))</f>
        <v/>
      </c>
      <c r="DI253">
        <f>IF(DI$4=0,0,IF(COUNTIFS(実績!$W$6:$W$505,DI$3,実績!$AC$6:$AC$505,"&lt;="&amp;$A253,実績!$AD$6:$AD$505,"&gt;"&amp;$A253,実績!$AE$6:$AE$505,"○")&gt;0,1,0))</f>
        <v/>
      </c>
      <c r="DJ253">
        <f>IF(DJ$4=0,0,IF(COUNTIFS(実績!$W$6:$W$505,DJ$3,実績!$AC$6:$AC$505,"&lt;="&amp;$A253,実績!$AD$6:$AD$505,"&gt;"&amp;$A253,実績!$AE$6:$AE$505,"○")&gt;0,1,0))</f>
        <v/>
      </c>
      <c r="DK253">
        <f>IF(DK$4=0,0,IF(COUNTIFS(実績!$W$6:$W$505,DK$3,実績!$AC$6:$AC$505,"&lt;="&amp;$A253,実績!$AD$6:$AD$505,"&gt;"&amp;$A253,実績!$AE$6:$AE$505,"○")&gt;0,1,0))</f>
        <v/>
      </c>
      <c r="DL253">
        <f>IF(DL$4=0,0,IF(COUNTIFS(実績!$W$6:$W$505,DL$3,実績!$AC$6:$AC$505,"&lt;="&amp;$A253,実績!$AD$6:$AD$505,"&gt;"&amp;$A253,実績!$AE$6:$AE$505,"○")&gt;0,1,0))</f>
        <v/>
      </c>
      <c r="DM253">
        <f>IF(DM$4=0,0,IF(COUNTIFS(実績!$W$6:$W$505,DM$3,実績!$AC$6:$AC$505,"&lt;="&amp;$A253,実績!$AD$6:$AD$505,"&gt;"&amp;$A253,実績!$AE$6:$AE$505,"○")&gt;0,1,0))</f>
        <v/>
      </c>
      <c r="DN253">
        <f>IF(DN$4=0,0,IF(COUNTIFS(実績!$W$6:$W$505,DN$3,実績!$AC$6:$AC$505,"&lt;="&amp;$A253,実績!$AD$6:$AD$505,"&gt;"&amp;$A253,実績!$AE$6:$AE$505,"○")&gt;0,1,0))</f>
        <v/>
      </c>
      <c r="DO253">
        <f>IF(DO$4=0,0,IF(COUNTIFS(実績!$W$6:$W$505,DO$3,実績!$AC$6:$AC$505,"&lt;="&amp;$A253,実績!$AD$6:$AD$505,"&gt;"&amp;$A253,実績!$AE$6:$AE$505,"○")&gt;0,1,0))</f>
        <v/>
      </c>
      <c r="DP253">
        <f>IF(DP$4=0,0,IF(COUNTIFS(実績!$W$6:$W$505,DP$3,実績!$AC$6:$AC$505,"&lt;="&amp;$A253,実績!$AD$6:$AD$505,"&gt;"&amp;$A253,実績!$AE$6:$AE$505,"○")&gt;0,1,0))</f>
        <v/>
      </c>
      <c r="DQ253">
        <f>IF(DQ$4=0,0,IF(COUNTIFS(実績!$W$6:$W$505,DQ$3,実績!$AC$6:$AC$505,"&lt;="&amp;$A253,実績!$AD$6:$AD$505,"&gt;"&amp;$A253,実績!$AE$6:$AE$505,"○")&gt;0,1,0))</f>
        <v/>
      </c>
      <c r="DR253">
        <f>IF(DR$4=0,0,IF(COUNTIFS(実績!$W$6:$W$505,DR$3,実績!$AC$6:$AC$505,"&lt;="&amp;$A253,実績!$AD$6:$AD$505,"&gt;"&amp;$A253,実績!$AE$6:$AE$505,"○")&gt;0,1,0))</f>
        <v/>
      </c>
      <c r="DS253">
        <f>SUM(C253:DR253)</f>
        <v/>
      </c>
      <c r="DT253">
        <f>SUMPRODUCT((実績!$C$6:$C$505="○")*ISNUMBER(実績!$AF$6:$AF$505)*(実績!$AF$6:$AF$505&lt;=$A253)*(実績!$AG$6:$AG$505&gt;$A253))</f>
        <v/>
      </c>
      <c r="DU253">
        <f>SUMIF($C$2:$DR$2,"製鉄曳船",C253:DR253)</f>
        <v/>
      </c>
      <c r="DV253">
        <f>SUMIF($C$2:$DR$2,"西日本海運",C253:DR253)</f>
        <v/>
      </c>
    </row>
    <row r="254">
      <c r="A254" t="n">
        <v>1240</v>
      </c>
      <c r="B254" s="29">
        <f>A254/1440</f>
        <v/>
      </c>
      <c r="C254">
        <f>IF(C$4=0,0,IF(COUNTIFS(実績!$W$6:$W$505,C$3,実績!$AC$6:$AC$505,"&lt;="&amp;$A254,実績!$AD$6:$AD$505,"&gt;"&amp;$A254,実績!$AE$6:$AE$505,"○")&gt;0,1,0))</f>
        <v/>
      </c>
      <c r="D254">
        <f>IF(D$4=0,0,IF(COUNTIFS(実績!$W$6:$W$505,D$3,実績!$AC$6:$AC$505,"&lt;="&amp;$A254,実績!$AD$6:$AD$505,"&gt;"&amp;$A254,実績!$AE$6:$AE$505,"○")&gt;0,1,0))</f>
        <v/>
      </c>
      <c r="E254">
        <f>IF(E$4=0,0,IF(COUNTIFS(実績!$W$6:$W$505,E$3,実績!$AC$6:$AC$505,"&lt;="&amp;$A254,実績!$AD$6:$AD$505,"&gt;"&amp;$A254,実績!$AE$6:$AE$505,"○")&gt;0,1,0))</f>
        <v/>
      </c>
      <c r="F254">
        <f>IF(F$4=0,0,IF(COUNTIFS(実績!$W$6:$W$505,F$3,実績!$AC$6:$AC$505,"&lt;="&amp;$A254,実績!$AD$6:$AD$505,"&gt;"&amp;$A254,実績!$AE$6:$AE$505,"○")&gt;0,1,0))</f>
        <v/>
      </c>
      <c r="G254">
        <f>IF(G$4=0,0,IF(COUNTIFS(実績!$W$6:$W$505,G$3,実績!$AC$6:$AC$505,"&lt;="&amp;$A254,実績!$AD$6:$AD$505,"&gt;"&amp;$A254,実績!$AE$6:$AE$505,"○")&gt;0,1,0))</f>
        <v/>
      </c>
      <c r="H254">
        <f>IF(H$4=0,0,IF(COUNTIFS(実績!$W$6:$W$505,H$3,実績!$AC$6:$AC$505,"&lt;="&amp;$A254,実績!$AD$6:$AD$505,"&gt;"&amp;$A254,実績!$AE$6:$AE$505,"○")&gt;0,1,0))</f>
        <v/>
      </c>
      <c r="I254">
        <f>IF(I$4=0,0,IF(COUNTIFS(実績!$W$6:$W$505,I$3,実績!$AC$6:$AC$505,"&lt;="&amp;$A254,実績!$AD$6:$AD$505,"&gt;"&amp;$A254,実績!$AE$6:$AE$505,"○")&gt;0,1,0))</f>
        <v/>
      </c>
      <c r="J254">
        <f>IF(J$4=0,0,IF(COUNTIFS(実績!$W$6:$W$505,J$3,実績!$AC$6:$AC$505,"&lt;="&amp;$A254,実績!$AD$6:$AD$505,"&gt;"&amp;$A254,実績!$AE$6:$AE$505,"○")&gt;0,1,0))</f>
        <v/>
      </c>
      <c r="K254">
        <f>IF(K$4=0,0,IF(COUNTIFS(実績!$W$6:$W$505,K$3,実績!$AC$6:$AC$505,"&lt;="&amp;$A254,実績!$AD$6:$AD$505,"&gt;"&amp;$A254,実績!$AE$6:$AE$505,"○")&gt;0,1,0))</f>
        <v/>
      </c>
      <c r="L254">
        <f>IF(L$4=0,0,IF(COUNTIFS(実績!$W$6:$W$505,L$3,実績!$AC$6:$AC$505,"&lt;="&amp;$A254,実績!$AD$6:$AD$505,"&gt;"&amp;$A254,実績!$AE$6:$AE$505,"○")&gt;0,1,0))</f>
        <v/>
      </c>
      <c r="M254">
        <f>IF(M$4=0,0,IF(COUNTIFS(実績!$W$6:$W$505,M$3,実績!$AC$6:$AC$505,"&lt;="&amp;$A254,実績!$AD$6:$AD$505,"&gt;"&amp;$A254,実績!$AE$6:$AE$505,"○")&gt;0,1,0))</f>
        <v/>
      </c>
      <c r="N254">
        <f>IF(N$4=0,0,IF(COUNTIFS(実績!$W$6:$W$505,N$3,実績!$AC$6:$AC$505,"&lt;="&amp;$A254,実績!$AD$6:$AD$505,"&gt;"&amp;$A254,実績!$AE$6:$AE$505,"○")&gt;0,1,0))</f>
        <v/>
      </c>
      <c r="O254">
        <f>IF(O$4=0,0,IF(COUNTIFS(実績!$W$6:$W$505,O$3,実績!$AC$6:$AC$505,"&lt;="&amp;$A254,実績!$AD$6:$AD$505,"&gt;"&amp;$A254,実績!$AE$6:$AE$505,"○")&gt;0,1,0))</f>
        <v/>
      </c>
      <c r="P254">
        <f>IF(P$4=0,0,IF(COUNTIFS(実績!$W$6:$W$505,P$3,実績!$AC$6:$AC$505,"&lt;="&amp;$A254,実績!$AD$6:$AD$505,"&gt;"&amp;$A254,実績!$AE$6:$AE$505,"○")&gt;0,1,0))</f>
        <v/>
      </c>
      <c r="Q254">
        <f>IF(Q$4=0,0,IF(COUNTIFS(実績!$W$6:$W$505,Q$3,実績!$AC$6:$AC$505,"&lt;="&amp;$A254,実績!$AD$6:$AD$505,"&gt;"&amp;$A254,実績!$AE$6:$AE$505,"○")&gt;0,1,0))</f>
        <v/>
      </c>
      <c r="R254">
        <f>IF(R$4=0,0,IF(COUNTIFS(実績!$W$6:$W$505,R$3,実績!$AC$6:$AC$505,"&lt;="&amp;$A254,実績!$AD$6:$AD$505,"&gt;"&amp;$A254,実績!$AE$6:$AE$505,"○")&gt;0,1,0))</f>
        <v/>
      </c>
      <c r="S254">
        <f>IF(S$4=0,0,IF(COUNTIFS(実績!$W$6:$W$505,S$3,実績!$AC$6:$AC$505,"&lt;="&amp;$A254,実績!$AD$6:$AD$505,"&gt;"&amp;$A254,実績!$AE$6:$AE$505,"○")&gt;0,1,0))</f>
        <v/>
      </c>
      <c r="T254">
        <f>IF(T$4=0,0,IF(COUNTIFS(実績!$W$6:$W$505,T$3,実績!$AC$6:$AC$505,"&lt;="&amp;$A254,実績!$AD$6:$AD$505,"&gt;"&amp;$A254,実績!$AE$6:$AE$505,"○")&gt;0,1,0))</f>
        <v/>
      </c>
      <c r="U254">
        <f>IF(U$4=0,0,IF(COUNTIFS(実績!$W$6:$W$505,U$3,実績!$AC$6:$AC$505,"&lt;="&amp;$A254,実績!$AD$6:$AD$505,"&gt;"&amp;$A254,実績!$AE$6:$AE$505,"○")&gt;0,1,0))</f>
        <v/>
      </c>
      <c r="V254">
        <f>IF(V$4=0,0,IF(COUNTIFS(実績!$W$6:$W$505,V$3,実績!$AC$6:$AC$505,"&lt;="&amp;$A254,実績!$AD$6:$AD$505,"&gt;"&amp;$A254,実績!$AE$6:$AE$505,"○")&gt;0,1,0))</f>
        <v/>
      </c>
      <c r="W254">
        <f>IF(W$4=0,0,IF(COUNTIFS(実績!$W$6:$W$505,W$3,実績!$AC$6:$AC$505,"&lt;="&amp;$A254,実績!$AD$6:$AD$505,"&gt;"&amp;$A254,実績!$AE$6:$AE$505,"○")&gt;0,1,0))</f>
        <v/>
      </c>
      <c r="X254">
        <f>IF(X$4=0,0,IF(COUNTIFS(実績!$W$6:$W$505,X$3,実績!$AC$6:$AC$505,"&lt;="&amp;$A254,実績!$AD$6:$AD$505,"&gt;"&amp;$A254,実績!$AE$6:$AE$505,"○")&gt;0,1,0))</f>
        <v/>
      </c>
      <c r="Y254">
        <f>IF(Y$4=0,0,IF(COUNTIFS(実績!$W$6:$W$505,Y$3,実績!$AC$6:$AC$505,"&lt;="&amp;$A254,実績!$AD$6:$AD$505,"&gt;"&amp;$A254,実績!$AE$6:$AE$505,"○")&gt;0,1,0))</f>
        <v/>
      </c>
      <c r="Z254">
        <f>IF(Z$4=0,0,IF(COUNTIFS(実績!$W$6:$W$505,Z$3,実績!$AC$6:$AC$505,"&lt;="&amp;$A254,実績!$AD$6:$AD$505,"&gt;"&amp;$A254,実績!$AE$6:$AE$505,"○")&gt;0,1,0))</f>
        <v/>
      </c>
      <c r="AA254">
        <f>IF(AA$4=0,0,IF(COUNTIFS(実績!$W$6:$W$505,AA$3,実績!$AC$6:$AC$505,"&lt;="&amp;$A254,実績!$AD$6:$AD$505,"&gt;"&amp;$A254,実績!$AE$6:$AE$505,"○")&gt;0,1,0))</f>
        <v/>
      </c>
      <c r="AB254">
        <f>IF(AB$4=0,0,IF(COUNTIFS(実績!$W$6:$W$505,AB$3,実績!$AC$6:$AC$505,"&lt;="&amp;$A254,実績!$AD$6:$AD$505,"&gt;"&amp;$A254,実績!$AE$6:$AE$505,"○")&gt;0,1,0))</f>
        <v/>
      </c>
      <c r="AC254">
        <f>IF(AC$4=0,0,IF(COUNTIFS(実績!$W$6:$W$505,AC$3,実績!$AC$6:$AC$505,"&lt;="&amp;$A254,実績!$AD$6:$AD$505,"&gt;"&amp;$A254,実績!$AE$6:$AE$505,"○")&gt;0,1,0))</f>
        <v/>
      </c>
      <c r="AD254">
        <f>IF(AD$4=0,0,IF(COUNTIFS(実績!$W$6:$W$505,AD$3,実績!$AC$6:$AC$505,"&lt;="&amp;$A254,実績!$AD$6:$AD$505,"&gt;"&amp;$A254,実績!$AE$6:$AE$505,"○")&gt;0,1,0))</f>
        <v/>
      </c>
      <c r="AE254">
        <f>IF(AE$4=0,0,IF(COUNTIFS(実績!$W$6:$W$505,AE$3,実績!$AC$6:$AC$505,"&lt;="&amp;$A254,実績!$AD$6:$AD$505,"&gt;"&amp;$A254,実績!$AE$6:$AE$505,"○")&gt;0,1,0))</f>
        <v/>
      </c>
      <c r="AF254">
        <f>IF(AF$4=0,0,IF(COUNTIFS(実績!$W$6:$W$505,AF$3,実績!$AC$6:$AC$505,"&lt;="&amp;$A254,実績!$AD$6:$AD$505,"&gt;"&amp;$A254,実績!$AE$6:$AE$505,"○")&gt;0,1,0))</f>
        <v/>
      </c>
      <c r="AG254">
        <f>IF(AG$4=0,0,IF(COUNTIFS(実績!$W$6:$W$505,AG$3,実績!$AC$6:$AC$505,"&lt;="&amp;$A254,実績!$AD$6:$AD$505,"&gt;"&amp;$A254,実績!$AE$6:$AE$505,"○")&gt;0,1,0))</f>
        <v/>
      </c>
      <c r="AH254">
        <f>IF(AH$4=0,0,IF(COUNTIFS(実績!$W$6:$W$505,AH$3,実績!$AC$6:$AC$505,"&lt;="&amp;$A254,実績!$AD$6:$AD$505,"&gt;"&amp;$A254,実績!$AE$6:$AE$505,"○")&gt;0,1,0))</f>
        <v/>
      </c>
      <c r="AI254">
        <f>IF(AI$4=0,0,IF(COUNTIFS(実績!$W$6:$W$505,AI$3,実績!$AC$6:$AC$505,"&lt;="&amp;$A254,実績!$AD$6:$AD$505,"&gt;"&amp;$A254,実績!$AE$6:$AE$505,"○")&gt;0,1,0))</f>
        <v/>
      </c>
      <c r="AJ254">
        <f>IF(AJ$4=0,0,IF(COUNTIFS(実績!$W$6:$W$505,AJ$3,実績!$AC$6:$AC$505,"&lt;="&amp;$A254,実績!$AD$6:$AD$505,"&gt;"&amp;$A254,実績!$AE$6:$AE$505,"○")&gt;0,1,0))</f>
        <v/>
      </c>
      <c r="AK254">
        <f>IF(AK$4=0,0,IF(COUNTIFS(実績!$W$6:$W$505,AK$3,実績!$AC$6:$AC$505,"&lt;="&amp;$A254,実績!$AD$6:$AD$505,"&gt;"&amp;$A254,実績!$AE$6:$AE$505,"○")&gt;0,1,0))</f>
        <v/>
      </c>
      <c r="AL254">
        <f>IF(AL$4=0,0,IF(COUNTIFS(実績!$W$6:$W$505,AL$3,実績!$AC$6:$AC$505,"&lt;="&amp;$A254,実績!$AD$6:$AD$505,"&gt;"&amp;$A254,実績!$AE$6:$AE$505,"○")&gt;0,1,0))</f>
        <v/>
      </c>
      <c r="AM254">
        <f>IF(AM$4=0,0,IF(COUNTIFS(実績!$W$6:$W$505,AM$3,実績!$AC$6:$AC$505,"&lt;="&amp;$A254,実績!$AD$6:$AD$505,"&gt;"&amp;$A254,実績!$AE$6:$AE$505,"○")&gt;0,1,0))</f>
        <v/>
      </c>
      <c r="AN254">
        <f>IF(AN$4=0,0,IF(COUNTIFS(実績!$W$6:$W$505,AN$3,実績!$AC$6:$AC$505,"&lt;="&amp;$A254,実績!$AD$6:$AD$505,"&gt;"&amp;$A254,実績!$AE$6:$AE$505,"○")&gt;0,1,0))</f>
        <v/>
      </c>
      <c r="AO254">
        <f>IF(AO$4=0,0,IF(COUNTIFS(実績!$W$6:$W$505,AO$3,実績!$AC$6:$AC$505,"&lt;="&amp;$A254,実績!$AD$6:$AD$505,"&gt;"&amp;$A254,実績!$AE$6:$AE$505,"○")&gt;0,1,0))</f>
        <v/>
      </c>
      <c r="AP254">
        <f>IF(AP$4=0,0,IF(COUNTIFS(実績!$W$6:$W$505,AP$3,実績!$AC$6:$AC$505,"&lt;="&amp;$A254,実績!$AD$6:$AD$505,"&gt;"&amp;$A254,実績!$AE$6:$AE$505,"○")&gt;0,1,0))</f>
        <v/>
      </c>
      <c r="AQ254">
        <f>IF(AQ$4=0,0,IF(COUNTIFS(実績!$W$6:$W$505,AQ$3,実績!$AC$6:$AC$505,"&lt;="&amp;$A254,実績!$AD$6:$AD$505,"&gt;"&amp;$A254,実績!$AE$6:$AE$505,"○")&gt;0,1,0))</f>
        <v/>
      </c>
      <c r="AR254">
        <f>IF(AR$4=0,0,IF(COUNTIFS(実績!$W$6:$W$505,AR$3,実績!$AC$6:$AC$505,"&lt;="&amp;$A254,実績!$AD$6:$AD$505,"&gt;"&amp;$A254,実績!$AE$6:$AE$505,"○")&gt;0,1,0))</f>
        <v/>
      </c>
      <c r="AS254">
        <f>IF(AS$4=0,0,IF(COUNTIFS(実績!$W$6:$W$505,AS$3,実績!$AC$6:$AC$505,"&lt;="&amp;$A254,実績!$AD$6:$AD$505,"&gt;"&amp;$A254,実績!$AE$6:$AE$505,"○")&gt;0,1,0))</f>
        <v/>
      </c>
      <c r="AT254">
        <f>IF(AT$4=0,0,IF(COUNTIFS(実績!$W$6:$W$505,AT$3,実績!$AC$6:$AC$505,"&lt;="&amp;$A254,実績!$AD$6:$AD$505,"&gt;"&amp;$A254,実績!$AE$6:$AE$505,"○")&gt;0,1,0))</f>
        <v/>
      </c>
      <c r="AU254">
        <f>IF(AU$4=0,0,IF(COUNTIFS(実績!$W$6:$W$505,AU$3,実績!$AC$6:$AC$505,"&lt;="&amp;$A254,実績!$AD$6:$AD$505,"&gt;"&amp;$A254,実績!$AE$6:$AE$505,"○")&gt;0,1,0))</f>
        <v/>
      </c>
      <c r="AV254">
        <f>IF(AV$4=0,0,IF(COUNTIFS(実績!$W$6:$W$505,AV$3,実績!$AC$6:$AC$505,"&lt;="&amp;$A254,実績!$AD$6:$AD$505,"&gt;"&amp;$A254,実績!$AE$6:$AE$505,"○")&gt;0,1,0))</f>
        <v/>
      </c>
      <c r="AW254">
        <f>IF(AW$4=0,0,IF(COUNTIFS(実績!$W$6:$W$505,AW$3,実績!$AC$6:$AC$505,"&lt;="&amp;$A254,実績!$AD$6:$AD$505,"&gt;"&amp;$A254,実績!$AE$6:$AE$505,"○")&gt;0,1,0))</f>
        <v/>
      </c>
      <c r="AX254">
        <f>IF(AX$4=0,0,IF(COUNTIFS(実績!$W$6:$W$505,AX$3,実績!$AC$6:$AC$505,"&lt;="&amp;$A254,実績!$AD$6:$AD$505,"&gt;"&amp;$A254,実績!$AE$6:$AE$505,"○")&gt;0,1,0))</f>
        <v/>
      </c>
      <c r="AY254">
        <f>IF(AY$4=0,0,IF(COUNTIFS(実績!$W$6:$W$505,AY$3,実績!$AC$6:$AC$505,"&lt;="&amp;$A254,実績!$AD$6:$AD$505,"&gt;"&amp;$A254,実績!$AE$6:$AE$505,"○")&gt;0,1,0))</f>
        <v/>
      </c>
      <c r="AZ254">
        <f>IF(AZ$4=0,0,IF(COUNTIFS(実績!$W$6:$W$505,AZ$3,実績!$AC$6:$AC$505,"&lt;="&amp;$A254,実績!$AD$6:$AD$505,"&gt;"&amp;$A254,実績!$AE$6:$AE$505,"○")&gt;0,1,0))</f>
        <v/>
      </c>
      <c r="BA254">
        <f>IF(BA$4=0,0,IF(COUNTIFS(実績!$W$6:$W$505,BA$3,実績!$AC$6:$AC$505,"&lt;="&amp;$A254,実績!$AD$6:$AD$505,"&gt;"&amp;$A254,実績!$AE$6:$AE$505,"○")&gt;0,1,0))</f>
        <v/>
      </c>
      <c r="BB254">
        <f>IF(BB$4=0,0,IF(COUNTIFS(実績!$W$6:$W$505,BB$3,実績!$AC$6:$AC$505,"&lt;="&amp;$A254,実績!$AD$6:$AD$505,"&gt;"&amp;$A254,実績!$AE$6:$AE$505,"○")&gt;0,1,0))</f>
        <v/>
      </c>
      <c r="BC254">
        <f>IF(BC$4=0,0,IF(COUNTIFS(実績!$W$6:$W$505,BC$3,実績!$AC$6:$AC$505,"&lt;="&amp;$A254,実績!$AD$6:$AD$505,"&gt;"&amp;$A254,実績!$AE$6:$AE$505,"○")&gt;0,1,0))</f>
        <v/>
      </c>
      <c r="BD254">
        <f>IF(BD$4=0,0,IF(COUNTIFS(実績!$W$6:$W$505,BD$3,実績!$AC$6:$AC$505,"&lt;="&amp;$A254,実績!$AD$6:$AD$505,"&gt;"&amp;$A254,実績!$AE$6:$AE$505,"○")&gt;0,1,0))</f>
        <v/>
      </c>
      <c r="BE254">
        <f>IF(BE$4=0,0,IF(COUNTIFS(実績!$W$6:$W$505,BE$3,実績!$AC$6:$AC$505,"&lt;="&amp;$A254,実績!$AD$6:$AD$505,"&gt;"&amp;$A254,実績!$AE$6:$AE$505,"○")&gt;0,1,0))</f>
        <v/>
      </c>
      <c r="BF254">
        <f>IF(BF$4=0,0,IF(COUNTIFS(実績!$W$6:$W$505,BF$3,実績!$AC$6:$AC$505,"&lt;="&amp;$A254,実績!$AD$6:$AD$505,"&gt;"&amp;$A254,実績!$AE$6:$AE$505,"○")&gt;0,1,0))</f>
        <v/>
      </c>
      <c r="BG254">
        <f>IF(BG$4=0,0,IF(COUNTIFS(実績!$W$6:$W$505,BG$3,実績!$AC$6:$AC$505,"&lt;="&amp;$A254,実績!$AD$6:$AD$505,"&gt;"&amp;$A254,実績!$AE$6:$AE$505,"○")&gt;0,1,0))</f>
        <v/>
      </c>
      <c r="BH254">
        <f>IF(BH$4=0,0,IF(COUNTIFS(実績!$W$6:$W$505,BH$3,実績!$AC$6:$AC$505,"&lt;="&amp;$A254,実績!$AD$6:$AD$505,"&gt;"&amp;$A254,実績!$AE$6:$AE$505,"○")&gt;0,1,0))</f>
        <v/>
      </c>
      <c r="BI254">
        <f>IF(BI$4=0,0,IF(COUNTIFS(実績!$W$6:$W$505,BI$3,実績!$AC$6:$AC$505,"&lt;="&amp;$A254,実績!$AD$6:$AD$505,"&gt;"&amp;$A254,実績!$AE$6:$AE$505,"○")&gt;0,1,0))</f>
        <v/>
      </c>
      <c r="BJ254">
        <f>IF(BJ$4=0,0,IF(COUNTIFS(実績!$W$6:$W$505,BJ$3,実績!$AC$6:$AC$505,"&lt;="&amp;$A254,実績!$AD$6:$AD$505,"&gt;"&amp;$A254,実績!$AE$6:$AE$505,"○")&gt;0,1,0))</f>
        <v/>
      </c>
      <c r="BK254">
        <f>IF(BK$4=0,0,IF(COUNTIFS(実績!$W$6:$W$505,BK$3,実績!$AC$6:$AC$505,"&lt;="&amp;$A254,実績!$AD$6:$AD$505,"&gt;"&amp;$A254,実績!$AE$6:$AE$505,"○")&gt;0,1,0))</f>
        <v/>
      </c>
      <c r="BL254">
        <f>IF(BL$4=0,0,IF(COUNTIFS(実績!$W$6:$W$505,BL$3,実績!$AC$6:$AC$505,"&lt;="&amp;$A254,実績!$AD$6:$AD$505,"&gt;"&amp;$A254,実績!$AE$6:$AE$505,"○")&gt;0,1,0))</f>
        <v/>
      </c>
      <c r="BM254">
        <f>IF(BM$4=0,0,IF(COUNTIFS(実績!$W$6:$W$505,BM$3,実績!$AC$6:$AC$505,"&lt;="&amp;$A254,実績!$AD$6:$AD$505,"&gt;"&amp;$A254,実績!$AE$6:$AE$505,"○")&gt;0,1,0))</f>
        <v/>
      </c>
      <c r="BN254">
        <f>IF(BN$4=0,0,IF(COUNTIFS(実績!$W$6:$W$505,BN$3,実績!$AC$6:$AC$505,"&lt;="&amp;$A254,実績!$AD$6:$AD$505,"&gt;"&amp;$A254,実績!$AE$6:$AE$505,"○")&gt;0,1,0))</f>
        <v/>
      </c>
      <c r="BO254">
        <f>IF(BO$4=0,0,IF(COUNTIFS(実績!$W$6:$W$505,BO$3,実績!$AC$6:$AC$505,"&lt;="&amp;$A254,実績!$AD$6:$AD$505,"&gt;"&amp;$A254,実績!$AE$6:$AE$505,"○")&gt;0,1,0))</f>
        <v/>
      </c>
      <c r="BP254">
        <f>IF(BP$4=0,0,IF(COUNTIFS(実績!$W$6:$W$505,BP$3,実績!$AC$6:$AC$505,"&lt;="&amp;$A254,実績!$AD$6:$AD$505,"&gt;"&amp;$A254,実績!$AE$6:$AE$505,"○")&gt;0,1,0))</f>
        <v/>
      </c>
      <c r="BQ254">
        <f>IF(BQ$4=0,0,IF(COUNTIFS(実績!$W$6:$W$505,BQ$3,実績!$AC$6:$AC$505,"&lt;="&amp;$A254,実績!$AD$6:$AD$505,"&gt;"&amp;$A254,実績!$AE$6:$AE$505,"○")&gt;0,1,0))</f>
        <v/>
      </c>
      <c r="BR254">
        <f>IF(BR$4=0,0,IF(COUNTIFS(実績!$W$6:$W$505,BR$3,実績!$AC$6:$AC$505,"&lt;="&amp;$A254,実績!$AD$6:$AD$505,"&gt;"&amp;$A254,実績!$AE$6:$AE$505,"○")&gt;0,1,0))</f>
        <v/>
      </c>
      <c r="BS254">
        <f>IF(BS$4=0,0,IF(COUNTIFS(実績!$W$6:$W$505,BS$3,実績!$AC$6:$AC$505,"&lt;="&amp;$A254,実績!$AD$6:$AD$505,"&gt;"&amp;$A254,実績!$AE$6:$AE$505,"○")&gt;0,1,0))</f>
        <v/>
      </c>
      <c r="BT254">
        <f>IF(BT$4=0,0,IF(COUNTIFS(実績!$W$6:$W$505,BT$3,実績!$AC$6:$AC$505,"&lt;="&amp;$A254,実績!$AD$6:$AD$505,"&gt;"&amp;$A254,実績!$AE$6:$AE$505,"○")&gt;0,1,0))</f>
        <v/>
      </c>
      <c r="BU254">
        <f>IF(BU$4=0,0,IF(COUNTIFS(実績!$W$6:$W$505,BU$3,実績!$AC$6:$AC$505,"&lt;="&amp;$A254,実績!$AD$6:$AD$505,"&gt;"&amp;$A254,実績!$AE$6:$AE$505,"○")&gt;0,1,0))</f>
        <v/>
      </c>
      <c r="BV254">
        <f>IF(BV$4=0,0,IF(COUNTIFS(実績!$W$6:$W$505,BV$3,実績!$AC$6:$AC$505,"&lt;="&amp;$A254,実績!$AD$6:$AD$505,"&gt;"&amp;$A254,実績!$AE$6:$AE$505,"○")&gt;0,1,0))</f>
        <v/>
      </c>
      <c r="BW254">
        <f>IF(BW$4=0,0,IF(COUNTIFS(実績!$W$6:$W$505,BW$3,実績!$AC$6:$AC$505,"&lt;="&amp;$A254,実績!$AD$6:$AD$505,"&gt;"&amp;$A254,実績!$AE$6:$AE$505,"○")&gt;0,1,0))</f>
        <v/>
      </c>
      <c r="BX254">
        <f>IF(BX$4=0,0,IF(COUNTIFS(実績!$W$6:$W$505,BX$3,実績!$AC$6:$AC$505,"&lt;="&amp;$A254,実績!$AD$6:$AD$505,"&gt;"&amp;$A254,実績!$AE$6:$AE$505,"○")&gt;0,1,0))</f>
        <v/>
      </c>
      <c r="BY254">
        <f>IF(BY$4=0,0,IF(COUNTIFS(実績!$W$6:$W$505,BY$3,実績!$AC$6:$AC$505,"&lt;="&amp;$A254,実績!$AD$6:$AD$505,"&gt;"&amp;$A254,実績!$AE$6:$AE$505,"○")&gt;0,1,0))</f>
        <v/>
      </c>
      <c r="BZ254">
        <f>IF(BZ$4=0,0,IF(COUNTIFS(実績!$W$6:$W$505,BZ$3,実績!$AC$6:$AC$505,"&lt;="&amp;$A254,実績!$AD$6:$AD$505,"&gt;"&amp;$A254,実績!$AE$6:$AE$505,"○")&gt;0,1,0))</f>
        <v/>
      </c>
      <c r="CA254">
        <f>IF(CA$4=0,0,IF(COUNTIFS(実績!$W$6:$W$505,CA$3,実績!$AC$6:$AC$505,"&lt;="&amp;$A254,実績!$AD$6:$AD$505,"&gt;"&amp;$A254,実績!$AE$6:$AE$505,"○")&gt;0,1,0))</f>
        <v/>
      </c>
      <c r="CB254">
        <f>IF(CB$4=0,0,IF(COUNTIFS(実績!$W$6:$W$505,CB$3,実績!$AC$6:$AC$505,"&lt;="&amp;$A254,実績!$AD$6:$AD$505,"&gt;"&amp;$A254,実績!$AE$6:$AE$505,"○")&gt;0,1,0))</f>
        <v/>
      </c>
      <c r="CC254">
        <f>IF(CC$4=0,0,IF(COUNTIFS(実績!$W$6:$W$505,CC$3,実績!$AC$6:$AC$505,"&lt;="&amp;$A254,実績!$AD$6:$AD$505,"&gt;"&amp;$A254,実績!$AE$6:$AE$505,"○")&gt;0,1,0))</f>
        <v/>
      </c>
      <c r="CD254">
        <f>IF(CD$4=0,0,IF(COUNTIFS(実績!$W$6:$W$505,CD$3,実績!$AC$6:$AC$505,"&lt;="&amp;$A254,実績!$AD$6:$AD$505,"&gt;"&amp;$A254,実績!$AE$6:$AE$505,"○")&gt;0,1,0))</f>
        <v/>
      </c>
      <c r="CE254">
        <f>IF(CE$4=0,0,IF(COUNTIFS(実績!$W$6:$W$505,CE$3,実績!$AC$6:$AC$505,"&lt;="&amp;$A254,実績!$AD$6:$AD$505,"&gt;"&amp;$A254,実績!$AE$6:$AE$505,"○")&gt;0,1,0))</f>
        <v/>
      </c>
      <c r="CF254">
        <f>IF(CF$4=0,0,IF(COUNTIFS(実績!$W$6:$W$505,CF$3,実績!$AC$6:$AC$505,"&lt;="&amp;$A254,実績!$AD$6:$AD$505,"&gt;"&amp;$A254,実績!$AE$6:$AE$505,"○")&gt;0,1,0))</f>
        <v/>
      </c>
      <c r="CG254">
        <f>IF(CG$4=0,0,IF(COUNTIFS(実績!$W$6:$W$505,CG$3,実績!$AC$6:$AC$505,"&lt;="&amp;$A254,実績!$AD$6:$AD$505,"&gt;"&amp;$A254,実績!$AE$6:$AE$505,"○")&gt;0,1,0))</f>
        <v/>
      </c>
      <c r="CH254">
        <f>IF(CH$4=0,0,IF(COUNTIFS(実績!$W$6:$W$505,CH$3,実績!$AC$6:$AC$505,"&lt;="&amp;$A254,実績!$AD$6:$AD$505,"&gt;"&amp;$A254,実績!$AE$6:$AE$505,"○")&gt;0,1,0))</f>
        <v/>
      </c>
      <c r="CI254">
        <f>IF(CI$4=0,0,IF(COUNTIFS(実績!$W$6:$W$505,CI$3,実績!$AC$6:$AC$505,"&lt;="&amp;$A254,実績!$AD$6:$AD$505,"&gt;"&amp;$A254,実績!$AE$6:$AE$505,"○")&gt;0,1,0))</f>
        <v/>
      </c>
      <c r="CJ254">
        <f>IF(CJ$4=0,0,IF(COUNTIFS(実績!$W$6:$W$505,CJ$3,実績!$AC$6:$AC$505,"&lt;="&amp;$A254,実績!$AD$6:$AD$505,"&gt;"&amp;$A254,実績!$AE$6:$AE$505,"○")&gt;0,1,0))</f>
        <v/>
      </c>
      <c r="CK254">
        <f>IF(CK$4=0,0,IF(COUNTIFS(実績!$W$6:$W$505,CK$3,実績!$AC$6:$AC$505,"&lt;="&amp;$A254,実績!$AD$6:$AD$505,"&gt;"&amp;$A254,実績!$AE$6:$AE$505,"○")&gt;0,1,0))</f>
        <v/>
      </c>
      <c r="CL254">
        <f>IF(CL$4=0,0,IF(COUNTIFS(実績!$W$6:$W$505,CL$3,実績!$AC$6:$AC$505,"&lt;="&amp;$A254,実績!$AD$6:$AD$505,"&gt;"&amp;$A254,実績!$AE$6:$AE$505,"○")&gt;0,1,0))</f>
        <v/>
      </c>
      <c r="CM254">
        <f>IF(CM$4=0,0,IF(COUNTIFS(実績!$W$6:$W$505,CM$3,実績!$AC$6:$AC$505,"&lt;="&amp;$A254,実績!$AD$6:$AD$505,"&gt;"&amp;$A254,実績!$AE$6:$AE$505,"○")&gt;0,1,0))</f>
        <v/>
      </c>
      <c r="CN254">
        <f>IF(CN$4=0,0,IF(COUNTIFS(実績!$W$6:$W$505,CN$3,実績!$AC$6:$AC$505,"&lt;="&amp;$A254,実績!$AD$6:$AD$505,"&gt;"&amp;$A254,実績!$AE$6:$AE$505,"○")&gt;0,1,0))</f>
        <v/>
      </c>
      <c r="CO254">
        <f>IF(CO$4=0,0,IF(COUNTIFS(実績!$W$6:$W$505,CO$3,実績!$AC$6:$AC$505,"&lt;="&amp;$A254,実績!$AD$6:$AD$505,"&gt;"&amp;$A254,実績!$AE$6:$AE$505,"○")&gt;0,1,0))</f>
        <v/>
      </c>
      <c r="CP254">
        <f>IF(CP$4=0,0,IF(COUNTIFS(実績!$W$6:$W$505,CP$3,実績!$AC$6:$AC$505,"&lt;="&amp;$A254,実績!$AD$6:$AD$505,"&gt;"&amp;$A254,実績!$AE$6:$AE$505,"○")&gt;0,1,0))</f>
        <v/>
      </c>
      <c r="CQ254">
        <f>IF(CQ$4=0,0,IF(COUNTIFS(実績!$W$6:$W$505,CQ$3,実績!$AC$6:$AC$505,"&lt;="&amp;$A254,実績!$AD$6:$AD$505,"&gt;"&amp;$A254,実績!$AE$6:$AE$505,"○")&gt;0,1,0))</f>
        <v/>
      </c>
      <c r="CR254">
        <f>IF(CR$4=0,0,IF(COUNTIFS(実績!$W$6:$W$505,CR$3,実績!$AC$6:$AC$505,"&lt;="&amp;$A254,実績!$AD$6:$AD$505,"&gt;"&amp;$A254,実績!$AE$6:$AE$505,"○")&gt;0,1,0))</f>
        <v/>
      </c>
      <c r="CS254">
        <f>IF(CS$4=0,0,IF(COUNTIFS(実績!$W$6:$W$505,CS$3,実績!$AC$6:$AC$505,"&lt;="&amp;$A254,実績!$AD$6:$AD$505,"&gt;"&amp;$A254,実績!$AE$6:$AE$505,"○")&gt;0,1,0))</f>
        <v/>
      </c>
      <c r="CT254">
        <f>IF(CT$4=0,0,IF(COUNTIFS(実績!$W$6:$W$505,CT$3,実績!$AC$6:$AC$505,"&lt;="&amp;$A254,実績!$AD$6:$AD$505,"&gt;"&amp;$A254,実績!$AE$6:$AE$505,"○")&gt;0,1,0))</f>
        <v/>
      </c>
      <c r="CU254">
        <f>IF(CU$4=0,0,IF(COUNTIFS(実績!$W$6:$W$505,CU$3,実績!$AC$6:$AC$505,"&lt;="&amp;$A254,実績!$AD$6:$AD$505,"&gt;"&amp;$A254,実績!$AE$6:$AE$505,"○")&gt;0,1,0))</f>
        <v/>
      </c>
      <c r="CV254">
        <f>IF(CV$4=0,0,IF(COUNTIFS(実績!$W$6:$W$505,CV$3,実績!$AC$6:$AC$505,"&lt;="&amp;$A254,実績!$AD$6:$AD$505,"&gt;"&amp;$A254,実績!$AE$6:$AE$505,"○")&gt;0,1,0))</f>
        <v/>
      </c>
      <c r="CW254">
        <f>IF(CW$4=0,0,IF(COUNTIFS(実績!$W$6:$W$505,CW$3,実績!$AC$6:$AC$505,"&lt;="&amp;$A254,実績!$AD$6:$AD$505,"&gt;"&amp;$A254,実績!$AE$6:$AE$505,"○")&gt;0,1,0))</f>
        <v/>
      </c>
      <c r="CX254">
        <f>IF(CX$4=0,0,IF(COUNTIFS(実績!$W$6:$W$505,CX$3,実績!$AC$6:$AC$505,"&lt;="&amp;$A254,実績!$AD$6:$AD$505,"&gt;"&amp;$A254,実績!$AE$6:$AE$505,"○")&gt;0,1,0))</f>
        <v/>
      </c>
      <c r="CY254">
        <f>IF(CY$4=0,0,IF(COUNTIFS(実績!$W$6:$W$505,CY$3,実績!$AC$6:$AC$505,"&lt;="&amp;$A254,実績!$AD$6:$AD$505,"&gt;"&amp;$A254,実績!$AE$6:$AE$505,"○")&gt;0,1,0))</f>
        <v/>
      </c>
      <c r="CZ254">
        <f>IF(CZ$4=0,0,IF(COUNTIFS(実績!$W$6:$W$505,CZ$3,実績!$AC$6:$AC$505,"&lt;="&amp;$A254,実績!$AD$6:$AD$505,"&gt;"&amp;$A254,実績!$AE$6:$AE$505,"○")&gt;0,1,0))</f>
        <v/>
      </c>
      <c r="DA254">
        <f>IF(DA$4=0,0,IF(COUNTIFS(実績!$W$6:$W$505,DA$3,実績!$AC$6:$AC$505,"&lt;="&amp;$A254,実績!$AD$6:$AD$505,"&gt;"&amp;$A254,実績!$AE$6:$AE$505,"○")&gt;0,1,0))</f>
        <v/>
      </c>
      <c r="DB254">
        <f>IF(DB$4=0,0,IF(COUNTIFS(実績!$W$6:$W$505,DB$3,実績!$AC$6:$AC$505,"&lt;="&amp;$A254,実績!$AD$6:$AD$505,"&gt;"&amp;$A254,実績!$AE$6:$AE$505,"○")&gt;0,1,0))</f>
        <v/>
      </c>
      <c r="DC254">
        <f>IF(DC$4=0,0,IF(COUNTIFS(実績!$W$6:$W$505,DC$3,実績!$AC$6:$AC$505,"&lt;="&amp;$A254,実績!$AD$6:$AD$505,"&gt;"&amp;$A254,実績!$AE$6:$AE$505,"○")&gt;0,1,0))</f>
        <v/>
      </c>
      <c r="DD254">
        <f>IF(DD$4=0,0,IF(COUNTIFS(実績!$W$6:$W$505,DD$3,実績!$AC$6:$AC$505,"&lt;="&amp;$A254,実績!$AD$6:$AD$505,"&gt;"&amp;$A254,実績!$AE$6:$AE$505,"○")&gt;0,1,0))</f>
        <v/>
      </c>
      <c r="DE254">
        <f>IF(DE$4=0,0,IF(COUNTIFS(実績!$W$6:$W$505,DE$3,実績!$AC$6:$AC$505,"&lt;="&amp;$A254,実績!$AD$6:$AD$505,"&gt;"&amp;$A254,実績!$AE$6:$AE$505,"○")&gt;0,1,0))</f>
        <v/>
      </c>
      <c r="DF254">
        <f>IF(DF$4=0,0,IF(COUNTIFS(実績!$W$6:$W$505,DF$3,実績!$AC$6:$AC$505,"&lt;="&amp;$A254,実績!$AD$6:$AD$505,"&gt;"&amp;$A254,実績!$AE$6:$AE$505,"○")&gt;0,1,0))</f>
        <v/>
      </c>
      <c r="DG254">
        <f>IF(DG$4=0,0,IF(COUNTIFS(実績!$W$6:$W$505,DG$3,実績!$AC$6:$AC$505,"&lt;="&amp;$A254,実績!$AD$6:$AD$505,"&gt;"&amp;$A254,実績!$AE$6:$AE$505,"○")&gt;0,1,0))</f>
        <v/>
      </c>
      <c r="DH254">
        <f>IF(DH$4=0,0,IF(COUNTIFS(実績!$W$6:$W$505,DH$3,実績!$AC$6:$AC$505,"&lt;="&amp;$A254,実績!$AD$6:$AD$505,"&gt;"&amp;$A254,実績!$AE$6:$AE$505,"○")&gt;0,1,0))</f>
        <v/>
      </c>
      <c r="DI254">
        <f>IF(DI$4=0,0,IF(COUNTIFS(実績!$W$6:$W$505,DI$3,実績!$AC$6:$AC$505,"&lt;="&amp;$A254,実績!$AD$6:$AD$505,"&gt;"&amp;$A254,実績!$AE$6:$AE$505,"○")&gt;0,1,0))</f>
        <v/>
      </c>
      <c r="DJ254">
        <f>IF(DJ$4=0,0,IF(COUNTIFS(実績!$W$6:$W$505,DJ$3,実績!$AC$6:$AC$505,"&lt;="&amp;$A254,実績!$AD$6:$AD$505,"&gt;"&amp;$A254,実績!$AE$6:$AE$505,"○")&gt;0,1,0))</f>
        <v/>
      </c>
      <c r="DK254">
        <f>IF(DK$4=0,0,IF(COUNTIFS(実績!$W$6:$W$505,DK$3,実績!$AC$6:$AC$505,"&lt;="&amp;$A254,実績!$AD$6:$AD$505,"&gt;"&amp;$A254,実績!$AE$6:$AE$505,"○")&gt;0,1,0))</f>
        <v/>
      </c>
      <c r="DL254">
        <f>IF(DL$4=0,0,IF(COUNTIFS(実績!$W$6:$W$505,DL$3,実績!$AC$6:$AC$505,"&lt;="&amp;$A254,実績!$AD$6:$AD$505,"&gt;"&amp;$A254,実績!$AE$6:$AE$505,"○")&gt;0,1,0))</f>
        <v/>
      </c>
      <c r="DM254">
        <f>IF(DM$4=0,0,IF(COUNTIFS(実績!$W$6:$W$505,DM$3,実績!$AC$6:$AC$505,"&lt;="&amp;$A254,実績!$AD$6:$AD$505,"&gt;"&amp;$A254,実績!$AE$6:$AE$505,"○")&gt;0,1,0))</f>
        <v/>
      </c>
      <c r="DN254">
        <f>IF(DN$4=0,0,IF(COUNTIFS(実績!$W$6:$W$505,DN$3,実績!$AC$6:$AC$505,"&lt;="&amp;$A254,実績!$AD$6:$AD$505,"&gt;"&amp;$A254,実績!$AE$6:$AE$505,"○")&gt;0,1,0))</f>
        <v/>
      </c>
      <c r="DO254">
        <f>IF(DO$4=0,0,IF(COUNTIFS(実績!$W$6:$W$505,DO$3,実績!$AC$6:$AC$505,"&lt;="&amp;$A254,実績!$AD$6:$AD$505,"&gt;"&amp;$A254,実績!$AE$6:$AE$505,"○")&gt;0,1,0))</f>
        <v/>
      </c>
      <c r="DP254">
        <f>IF(DP$4=0,0,IF(COUNTIFS(実績!$W$6:$W$505,DP$3,実績!$AC$6:$AC$505,"&lt;="&amp;$A254,実績!$AD$6:$AD$505,"&gt;"&amp;$A254,実績!$AE$6:$AE$505,"○")&gt;0,1,0))</f>
        <v/>
      </c>
      <c r="DQ254">
        <f>IF(DQ$4=0,0,IF(COUNTIFS(実績!$W$6:$W$505,DQ$3,実績!$AC$6:$AC$505,"&lt;="&amp;$A254,実績!$AD$6:$AD$505,"&gt;"&amp;$A254,実績!$AE$6:$AE$505,"○")&gt;0,1,0))</f>
        <v/>
      </c>
      <c r="DR254">
        <f>IF(DR$4=0,0,IF(COUNTIFS(実績!$W$6:$W$505,DR$3,実績!$AC$6:$AC$505,"&lt;="&amp;$A254,実績!$AD$6:$AD$505,"&gt;"&amp;$A254,実績!$AE$6:$AE$505,"○")&gt;0,1,0))</f>
        <v/>
      </c>
      <c r="DS254">
        <f>SUM(C254:DR254)</f>
        <v/>
      </c>
      <c r="DT254">
        <f>SUMPRODUCT((実績!$C$6:$C$505="○")*ISNUMBER(実績!$AF$6:$AF$505)*(実績!$AF$6:$AF$505&lt;=$A254)*(実績!$AG$6:$AG$505&gt;$A254))</f>
        <v/>
      </c>
      <c r="DU254">
        <f>SUMIF($C$2:$DR$2,"製鉄曳船",C254:DR254)</f>
        <v/>
      </c>
      <c r="DV254">
        <f>SUMIF($C$2:$DR$2,"西日本海運",C254:DR254)</f>
        <v/>
      </c>
    </row>
    <row r="255">
      <c r="A255" t="n">
        <v>1245</v>
      </c>
      <c r="B255" s="29">
        <f>A255/1440</f>
        <v/>
      </c>
      <c r="C255">
        <f>IF(C$4=0,0,IF(COUNTIFS(実績!$W$6:$W$505,C$3,実績!$AC$6:$AC$505,"&lt;="&amp;$A255,実績!$AD$6:$AD$505,"&gt;"&amp;$A255,実績!$AE$6:$AE$505,"○")&gt;0,1,0))</f>
        <v/>
      </c>
      <c r="D255">
        <f>IF(D$4=0,0,IF(COUNTIFS(実績!$W$6:$W$505,D$3,実績!$AC$6:$AC$505,"&lt;="&amp;$A255,実績!$AD$6:$AD$505,"&gt;"&amp;$A255,実績!$AE$6:$AE$505,"○")&gt;0,1,0))</f>
        <v/>
      </c>
      <c r="E255">
        <f>IF(E$4=0,0,IF(COUNTIFS(実績!$W$6:$W$505,E$3,実績!$AC$6:$AC$505,"&lt;="&amp;$A255,実績!$AD$6:$AD$505,"&gt;"&amp;$A255,実績!$AE$6:$AE$505,"○")&gt;0,1,0))</f>
        <v/>
      </c>
      <c r="F255">
        <f>IF(F$4=0,0,IF(COUNTIFS(実績!$W$6:$W$505,F$3,実績!$AC$6:$AC$505,"&lt;="&amp;$A255,実績!$AD$6:$AD$505,"&gt;"&amp;$A255,実績!$AE$6:$AE$505,"○")&gt;0,1,0))</f>
        <v/>
      </c>
      <c r="G255">
        <f>IF(G$4=0,0,IF(COUNTIFS(実績!$W$6:$W$505,G$3,実績!$AC$6:$AC$505,"&lt;="&amp;$A255,実績!$AD$6:$AD$505,"&gt;"&amp;$A255,実績!$AE$6:$AE$505,"○")&gt;0,1,0))</f>
        <v/>
      </c>
      <c r="H255">
        <f>IF(H$4=0,0,IF(COUNTIFS(実績!$W$6:$W$505,H$3,実績!$AC$6:$AC$505,"&lt;="&amp;$A255,実績!$AD$6:$AD$505,"&gt;"&amp;$A255,実績!$AE$6:$AE$505,"○")&gt;0,1,0))</f>
        <v/>
      </c>
      <c r="I255">
        <f>IF(I$4=0,0,IF(COUNTIFS(実績!$W$6:$W$505,I$3,実績!$AC$6:$AC$505,"&lt;="&amp;$A255,実績!$AD$6:$AD$505,"&gt;"&amp;$A255,実績!$AE$6:$AE$505,"○")&gt;0,1,0))</f>
        <v/>
      </c>
      <c r="J255">
        <f>IF(J$4=0,0,IF(COUNTIFS(実績!$W$6:$W$505,J$3,実績!$AC$6:$AC$505,"&lt;="&amp;$A255,実績!$AD$6:$AD$505,"&gt;"&amp;$A255,実績!$AE$6:$AE$505,"○")&gt;0,1,0))</f>
        <v/>
      </c>
      <c r="K255">
        <f>IF(K$4=0,0,IF(COUNTIFS(実績!$W$6:$W$505,K$3,実績!$AC$6:$AC$505,"&lt;="&amp;$A255,実績!$AD$6:$AD$505,"&gt;"&amp;$A255,実績!$AE$6:$AE$505,"○")&gt;0,1,0))</f>
        <v/>
      </c>
      <c r="L255">
        <f>IF(L$4=0,0,IF(COUNTIFS(実績!$W$6:$W$505,L$3,実績!$AC$6:$AC$505,"&lt;="&amp;$A255,実績!$AD$6:$AD$505,"&gt;"&amp;$A255,実績!$AE$6:$AE$505,"○")&gt;0,1,0))</f>
        <v/>
      </c>
      <c r="M255">
        <f>IF(M$4=0,0,IF(COUNTIFS(実績!$W$6:$W$505,M$3,実績!$AC$6:$AC$505,"&lt;="&amp;$A255,実績!$AD$6:$AD$505,"&gt;"&amp;$A255,実績!$AE$6:$AE$505,"○")&gt;0,1,0))</f>
        <v/>
      </c>
      <c r="N255">
        <f>IF(N$4=0,0,IF(COUNTIFS(実績!$W$6:$W$505,N$3,実績!$AC$6:$AC$505,"&lt;="&amp;$A255,実績!$AD$6:$AD$505,"&gt;"&amp;$A255,実績!$AE$6:$AE$505,"○")&gt;0,1,0))</f>
        <v/>
      </c>
      <c r="O255">
        <f>IF(O$4=0,0,IF(COUNTIFS(実績!$W$6:$W$505,O$3,実績!$AC$6:$AC$505,"&lt;="&amp;$A255,実績!$AD$6:$AD$505,"&gt;"&amp;$A255,実績!$AE$6:$AE$505,"○")&gt;0,1,0))</f>
        <v/>
      </c>
      <c r="P255">
        <f>IF(P$4=0,0,IF(COUNTIFS(実績!$W$6:$W$505,P$3,実績!$AC$6:$AC$505,"&lt;="&amp;$A255,実績!$AD$6:$AD$505,"&gt;"&amp;$A255,実績!$AE$6:$AE$505,"○")&gt;0,1,0))</f>
        <v/>
      </c>
      <c r="Q255">
        <f>IF(Q$4=0,0,IF(COUNTIFS(実績!$W$6:$W$505,Q$3,実績!$AC$6:$AC$505,"&lt;="&amp;$A255,実績!$AD$6:$AD$505,"&gt;"&amp;$A255,実績!$AE$6:$AE$505,"○")&gt;0,1,0))</f>
        <v/>
      </c>
      <c r="R255">
        <f>IF(R$4=0,0,IF(COUNTIFS(実績!$W$6:$W$505,R$3,実績!$AC$6:$AC$505,"&lt;="&amp;$A255,実績!$AD$6:$AD$505,"&gt;"&amp;$A255,実績!$AE$6:$AE$505,"○")&gt;0,1,0))</f>
        <v/>
      </c>
      <c r="S255">
        <f>IF(S$4=0,0,IF(COUNTIFS(実績!$W$6:$W$505,S$3,実績!$AC$6:$AC$505,"&lt;="&amp;$A255,実績!$AD$6:$AD$505,"&gt;"&amp;$A255,実績!$AE$6:$AE$505,"○")&gt;0,1,0))</f>
        <v/>
      </c>
      <c r="T255">
        <f>IF(T$4=0,0,IF(COUNTIFS(実績!$W$6:$W$505,T$3,実績!$AC$6:$AC$505,"&lt;="&amp;$A255,実績!$AD$6:$AD$505,"&gt;"&amp;$A255,実績!$AE$6:$AE$505,"○")&gt;0,1,0))</f>
        <v/>
      </c>
      <c r="U255">
        <f>IF(U$4=0,0,IF(COUNTIFS(実績!$W$6:$W$505,U$3,実績!$AC$6:$AC$505,"&lt;="&amp;$A255,実績!$AD$6:$AD$505,"&gt;"&amp;$A255,実績!$AE$6:$AE$505,"○")&gt;0,1,0))</f>
        <v/>
      </c>
      <c r="V255">
        <f>IF(V$4=0,0,IF(COUNTIFS(実績!$W$6:$W$505,V$3,実績!$AC$6:$AC$505,"&lt;="&amp;$A255,実績!$AD$6:$AD$505,"&gt;"&amp;$A255,実績!$AE$6:$AE$505,"○")&gt;0,1,0))</f>
        <v/>
      </c>
      <c r="W255">
        <f>IF(W$4=0,0,IF(COUNTIFS(実績!$W$6:$W$505,W$3,実績!$AC$6:$AC$505,"&lt;="&amp;$A255,実績!$AD$6:$AD$505,"&gt;"&amp;$A255,実績!$AE$6:$AE$505,"○")&gt;0,1,0))</f>
        <v/>
      </c>
      <c r="X255">
        <f>IF(X$4=0,0,IF(COUNTIFS(実績!$W$6:$W$505,X$3,実績!$AC$6:$AC$505,"&lt;="&amp;$A255,実績!$AD$6:$AD$505,"&gt;"&amp;$A255,実績!$AE$6:$AE$505,"○")&gt;0,1,0))</f>
        <v/>
      </c>
      <c r="Y255">
        <f>IF(Y$4=0,0,IF(COUNTIFS(実績!$W$6:$W$505,Y$3,実績!$AC$6:$AC$505,"&lt;="&amp;$A255,実績!$AD$6:$AD$505,"&gt;"&amp;$A255,実績!$AE$6:$AE$505,"○")&gt;0,1,0))</f>
        <v/>
      </c>
      <c r="Z255">
        <f>IF(Z$4=0,0,IF(COUNTIFS(実績!$W$6:$W$505,Z$3,実績!$AC$6:$AC$505,"&lt;="&amp;$A255,実績!$AD$6:$AD$505,"&gt;"&amp;$A255,実績!$AE$6:$AE$505,"○")&gt;0,1,0))</f>
        <v/>
      </c>
      <c r="AA255">
        <f>IF(AA$4=0,0,IF(COUNTIFS(実績!$W$6:$W$505,AA$3,実績!$AC$6:$AC$505,"&lt;="&amp;$A255,実績!$AD$6:$AD$505,"&gt;"&amp;$A255,実績!$AE$6:$AE$505,"○")&gt;0,1,0))</f>
        <v/>
      </c>
      <c r="AB255">
        <f>IF(AB$4=0,0,IF(COUNTIFS(実績!$W$6:$W$505,AB$3,実績!$AC$6:$AC$505,"&lt;="&amp;$A255,実績!$AD$6:$AD$505,"&gt;"&amp;$A255,実績!$AE$6:$AE$505,"○")&gt;0,1,0))</f>
        <v/>
      </c>
      <c r="AC255">
        <f>IF(AC$4=0,0,IF(COUNTIFS(実績!$W$6:$W$505,AC$3,実績!$AC$6:$AC$505,"&lt;="&amp;$A255,実績!$AD$6:$AD$505,"&gt;"&amp;$A255,実績!$AE$6:$AE$505,"○")&gt;0,1,0))</f>
        <v/>
      </c>
      <c r="AD255">
        <f>IF(AD$4=0,0,IF(COUNTIFS(実績!$W$6:$W$505,AD$3,実績!$AC$6:$AC$505,"&lt;="&amp;$A255,実績!$AD$6:$AD$505,"&gt;"&amp;$A255,実績!$AE$6:$AE$505,"○")&gt;0,1,0))</f>
        <v/>
      </c>
      <c r="AE255">
        <f>IF(AE$4=0,0,IF(COUNTIFS(実績!$W$6:$W$505,AE$3,実績!$AC$6:$AC$505,"&lt;="&amp;$A255,実績!$AD$6:$AD$505,"&gt;"&amp;$A255,実績!$AE$6:$AE$505,"○")&gt;0,1,0))</f>
        <v/>
      </c>
      <c r="AF255">
        <f>IF(AF$4=0,0,IF(COUNTIFS(実績!$W$6:$W$505,AF$3,実績!$AC$6:$AC$505,"&lt;="&amp;$A255,実績!$AD$6:$AD$505,"&gt;"&amp;$A255,実績!$AE$6:$AE$505,"○")&gt;0,1,0))</f>
        <v/>
      </c>
      <c r="AG255">
        <f>IF(AG$4=0,0,IF(COUNTIFS(実績!$W$6:$W$505,AG$3,実績!$AC$6:$AC$505,"&lt;="&amp;$A255,実績!$AD$6:$AD$505,"&gt;"&amp;$A255,実績!$AE$6:$AE$505,"○")&gt;0,1,0))</f>
        <v/>
      </c>
      <c r="AH255">
        <f>IF(AH$4=0,0,IF(COUNTIFS(実績!$W$6:$W$505,AH$3,実績!$AC$6:$AC$505,"&lt;="&amp;$A255,実績!$AD$6:$AD$505,"&gt;"&amp;$A255,実績!$AE$6:$AE$505,"○")&gt;0,1,0))</f>
        <v/>
      </c>
      <c r="AI255">
        <f>IF(AI$4=0,0,IF(COUNTIFS(実績!$W$6:$W$505,AI$3,実績!$AC$6:$AC$505,"&lt;="&amp;$A255,実績!$AD$6:$AD$505,"&gt;"&amp;$A255,実績!$AE$6:$AE$505,"○")&gt;0,1,0))</f>
        <v/>
      </c>
      <c r="AJ255">
        <f>IF(AJ$4=0,0,IF(COUNTIFS(実績!$W$6:$W$505,AJ$3,実績!$AC$6:$AC$505,"&lt;="&amp;$A255,実績!$AD$6:$AD$505,"&gt;"&amp;$A255,実績!$AE$6:$AE$505,"○")&gt;0,1,0))</f>
        <v/>
      </c>
      <c r="AK255">
        <f>IF(AK$4=0,0,IF(COUNTIFS(実績!$W$6:$W$505,AK$3,実績!$AC$6:$AC$505,"&lt;="&amp;$A255,実績!$AD$6:$AD$505,"&gt;"&amp;$A255,実績!$AE$6:$AE$505,"○")&gt;0,1,0))</f>
        <v/>
      </c>
      <c r="AL255">
        <f>IF(AL$4=0,0,IF(COUNTIFS(実績!$W$6:$W$505,AL$3,実績!$AC$6:$AC$505,"&lt;="&amp;$A255,実績!$AD$6:$AD$505,"&gt;"&amp;$A255,実績!$AE$6:$AE$505,"○")&gt;0,1,0))</f>
        <v/>
      </c>
      <c r="AM255">
        <f>IF(AM$4=0,0,IF(COUNTIFS(実績!$W$6:$W$505,AM$3,実績!$AC$6:$AC$505,"&lt;="&amp;$A255,実績!$AD$6:$AD$505,"&gt;"&amp;$A255,実績!$AE$6:$AE$505,"○")&gt;0,1,0))</f>
        <v/>
      </c>
      <c r="AN255">
        <f>IF(AN$4=0,0,IF(COUNTIFS(実績!$W$6:$W$505,AN$3,実績!$AC$6:$AC$505,"&lt;="&amp;$A255,実績!$AD$6:$AD$505,"&gt;"&amp;$A255,実績!$AE$6:$AE$505,"○")&gt;0,1,0))</f>
        <v/>
      </c>
      <c r="AO255">
        <f>IF(AO$4=0,0,IF(COUNTIFS(実績!$W$6:$W$505,AO$3,実績!$AC$6:$AC$505,"&lt;="&amp;$A255,実績!$AD$6:$AD$505,"&gt;"&amp;$A255,実績!$AE$6:$AE$505,"○")&gt;0,1,0))</f>
        <v/>
      </c>
      <c r="AP255">
        <f>IF(AP$4=0,0,IF(COUNTIFS(実績!$W$6:$W$505,AP$3,実績!$AC$6:$AC$505,"&lt;="&amp;$A255,実績!$AD$6:$AD$505,"&gt;"&amp;$A255,実績!$AE$6:$AE$505,"○")&gt;0,1,0))</f>
        <v/>
      </c>
      <c r="AQ255">
        <f>IF(AQ$4=0,0,IF(COUNTIFS(実績!$W$6:$W$505,AQ$3,実績!$AC$6:$AC$505,"&lt;="&amp;$A255,実績!$AD$6:$AD$505,"&gt;"&amp;$A255,実績!$AE$6:$AE$505,"○")&gt;0,1,0))</f>
        <v/>
      </c>
      <c r="AR255">
        <f>IF(AR$4=0,0,IF(COUNTIFS(実績!$W$6:$W$505,AR$3,実績!$AC$6:$AC$505,"&lt;="&amp;$A255,実績!$AD$6:$AD$505,"&gt;"&amp;$A255,実績!$AE$6:$AE$505,"○")&gt;0,1,0))</f>
        <v/>
      </c>
      <c r="AS255">
        <f>IF(AS$4=0,0,IF(COUNTIFS(実績!$W$6:$W$505,AS$3,実績!$AC$6:$AC$505,"&lt;="&amp;$A255,実績!$AD$6:$AD$505,"&gt;"&amp;$A255,実績!$AE$6:$AE$505,"○")&gt;0,1,0))</f>
        <v/>
      </c>
      <c r="AT255">
        <f>IF(AT$4=0,0,IF(COUNTIFS(実績!$W$6:$W$505,AT$3,実績!$AC$6:$AC$505,"&lt;="&amp;$A255,実績!$AD$6:$AD$505,"&gt;"&amp;$A255,実績!$AE$6:$AE$505,"○")&gt;0,1,0))</f>
        <v/>
      </c>
      <c r="AU255">
        <f>IF(AU$4=0,0,IF(COUNTIFS(実績!$W$6:$W$505,AU$3,実績!$AC$6:$AC$505,"&lt;="&amp;$A255,実績!$AD$6:$AD$505,"&gt;"&amp;$A255,実績!$AE$6:$AE$505,"○")&gt;0,1,0))</f>
        <v/>
      </c>
      <c r="AV255">
        <f>IF(AV$4=0,0,IF(COUNTIFS(実績!$W$6:$W$505,AV$3,実績!$AC$6:$AC$505,"&lt;="&amp;$A255,実績!$AD$6:$AD$505,"&gt;"&amp;$A255,実績!$AE$6:$AE$505,"○")&gt;0,1,0))</f>
        <v/>
      </c>
      <c r="AW255">
        <f>IF(AW$4=0,0,IF(COUNTIFS(実績!$W$6:$W$505,AW$3,実績!$AC$6:$AC$505,"&lt;="&amp;$A255,実績!$AD$6:$AD$505,"&gt;"&amp;$A255,実績!$AE$6:$AE$505,"○")&gt;0,1,0))</f>
        <v/>
      </c>
      <c r="AX255">
        <f>IF(AX$4=0,0,IF(COUNTIFS(実績!$W$6:$W$505,AX$3,実績!$AC$6:$AC$505,"&lt;="&amp;$A255,実績!$AD$6:$AD$505,"&gt;"&amp;$A255,実績!$AE$6:$AE$505,"○")&gt;0,1,0))</f>
        <v/>
      </c>
      <c r="AY255">
        <f>IF(AY$4=0,0,IF(COUNTIFS(実績!$W$6:$W$505,AY$3,実績!$AC$6:$AC$505,"&lt;="&amp;$A255,実績!$AD$6:$AD$505,"&gt;"&amp;$A255,実績!$AE$6:$AE$505,"○")&gt;0,1,0))</f>
        <v/>
      </c>
      <c r="AZ255">
        <f>IF(AZ$4=0,0,IF(COUNTIFS(実績!$W$6:$W$505,AZ$3,実績!$AC$6:$AC$505,"&lt;="&amp;$A255,実績!$AD$6:$AD$505,"&gt;"&amp;$A255,実績!$AE$6:$AE$505,"○")&gt;0,1,0))</f>
        <v/>
      </c>
      <c r="BA255">
        <f>IF(BA$4=0,0,IF(COUNTIFS(実績!$W$6:$W$505,BA$3,実績!$AC$6:$AC$505,"&lt;="&amp;$A255,実績!$AD$6:$AD$505,"&gt;"&amp;$A255,実績!$AE$6:$AE$505,"○")&gt;0,1,0))</f>
        <v/>
      </c>
      <c r="BB255">
        <f>IF(BB$4=0,0,IF(COUNTIFS(実績!$W$6:$W$505,BB$3,実績!$AC$6:$AC$505,"&lt;="&amp;$A255,実績!$AD$6:$AD$505,"&gt;"&amp;$A255,実績!$AE$6:$AE$505,"○")&gt;0,1,0))</f>
        <v/>
      </c>
      <c r="BC255">
        <f>IF(BC$4=0,0,IF(COUNTIFS(実績!$W$6:$W$505,BC$3,実績!$AC$6:$AC$505,"&lt;="&amp;$A255,実績!$AD$6:$AD$505,"&gt;"&amp;$A255,実績!$AE$6:$AE$505,"○")&gt;0,1,0))</f>
        <v/>
      </c>
      <c r="BD255">
        <f>IF(BD$4=0,0,IF(COUNTIFS(実績!$W$6:$W$505,BD$3,実績!$AC$6:$AC$505,"&lt;="&amp;$A255,実績!$AD$6:$AD$505,"&gt;"&amp;$A255,実績!$AE$6:$AE$505,"○")&gt;0,1,0))</f>
        <v/>
      </c>
      <c r="BE255">
        <f>IF(BE$4=0,0,IF(COUNTIFS(実績!$W$6:$W$505,BE$3,実績!$AC$6:$AC$505,"&lt;="&amp;$A255,実績!$AD$6:$AD$505,"&gt;"&amp;$A255,実績!$AE$6:$AE$505,"○")&gt;0,1,0))</f>
        <v/>
      </c>
      <c r="BF255">
        <f>IF(BF$4=0,0,IF(COUNTIFS(実績!$W$6:$W$505,BF$3,実績!$AC$6:$AC$505,"&lt;="&amp;$A255,実績!$AD$6:$AD$505,"&gt;"&amp;$A255,実績!$AE$6:$AE$505,"○")&gt;0,1,0))</f>
        <v/>
      </c>
      <c r="BG255">
        <f>IF(BG$4=0,0,IF(COUNTIFS(実績!$W$6:$W$505,BG$3,実績!$AC$6:$AC$505,"&lt;="&amp;$A255,実績!$AD$6:$AD$505,"&gt;"&amp;$A255,実績!$AE$6:$AE$505,"○")&gt;0,1,0))</f>
        <v/>
      </c>
      <c r="BH255">
        <f>IF(BH$4=0,0,IF(COUNTIFS(実績!$W$6:$W$505,BH$3,実績!$AC$6:$AC$505,"&lt;="&amp;$A255,実績!$AD$6:$AD$505,"&gt;"&amp;$A255,実績!$AE$6:$AE$505,"○")&gt;0,1,0))</f>
        <v/>
      </c>
      <c r="BI255">
        <f>IF(BI$4=0,0,IF(COUNTIFS(実績!$W$6:$W$505,BI$3,実績!$AC$6:$AC$505,"&lt;="&amp;$A255,実績!$AD$6:$AD$505,"&gt;"&amp;$A255,実績!$AE$6:$AE$505,"○")&gt;0,1,0))</f>
        <v/>
      </c>
      <c r="BJ255">
        <f>IF(BJ$4=0,0,IF(COUNTIFS(実績!$W$6:$W$505,BJ$3,実績!$AC$6:$AC$505,"&lt;="&amp;$A255,実績!$AD$6:$AD$505,"&gt;"&amp;$A255,実績!$AE$6:$AE$505,"○")&gt;0,1,0))</f>
        <v/>
      </c>
      <c r="BK255">
        <f>IF(BK$4=0,0,IF(COUNTIFS(実績!$W$6:$W$505,BK$3,実績!$AC$6:$AC$505,"&lt;="&amp;$A255,実績!$AD$6:$AD$505,"&gt;"&amp;$A255,実績!$AE$6:$AE$505,"○")&gt;0,1,0))</f>
        <v/>
      </c>
      <c r="BL255">
        <f>IF(BL$4=0,0,IF(COUNTIFS(実績!$W$6:$W$505,BL$3,実績!$AC$6:$AC$505,"&lt;="&amp;$A255,実績!$AD$6:$AD$505,"&gt;"&amp;$A255,実績!$AE$6:$AE$505,"○")&gt;0,1,0))</f>
        <v/>
      </c>
      <c r="BM255">
        <f>IF(BM$4=0,0,IF(COUNTIFS(実績!$W$6:$W$505,BM$3,実績!$AC$6:$AC$505,"&lt;="&amp;$A255,実績!$AD$6:$AD$505,"&gt;"&amp;$A255,実績!$AE$6:$AE$505,"○")&gt;0,1,0))</f>
        <v/>
      </c>
      <c r="BN255">
        <f>IF(BN$4=0,0,IF(COUNTIFS(実績!$W$6:$W$505,BN$3,実績!$AC$6:$AC$505,"&lt;="&amp;$A255,実績!$AD$6:$AD$505,"&gt;"&amp;$A255,実績!$AE$6:$AE$505,"○")&gt;0,1,0))</f>
        <v/>
      </c>
      <c r="BO255">
        <f>IF(BO$4=0,0,IF(COUNTIFS(実績!$W$6:$W$505,BO$3,実績!$AC$6:$AC$505,"&lt;="&amp;$A255,実績!$AD$6:$AD$505,"&gt;"&amp;$A255,実績!$AE$6:$AE$505,"○")&gt;0,1,0))</f>
        <v/>
      </c>
      <c r="BP255">
        <f>IF(BP$4=0,0,IF(COUNTIFS(実績!$W$6:$W$505,BP$3,実績!$AC$6:$AC$505,"&lt;="&amp;$A255,実績!$AD$6:$AD$505,"&gt;"&amp;$A255,実績!$AE$6:$AE$505,"○")&gt;0,1,0))</f>
        <v/>
      </c>
      <c r="BQ255">
        <f>IF(BQ$4=0,0,IF(COUNTIFS(実績!$W$6:$W$505,BQ$3,実績!$AC$6:$AC$505,"&lt;="&amp;$A255,実績!$AD$6:$AD$505,"&gt;"&amp;$A255,実績!$AE$6:$AE$505,"○")&gt;0,1,0))</f>
        <v/>
      </c>
      <c r="BR255">
        <f>IF(BR$4=0,0,IF(COUNTIFS(実績!$W$6:$W$505,BR$3,実績!$AC$6:$AC$505,"&lt;="&amp;$A255,実績!$AD$6:$AD$505,"&gt;"&amp;$A255,実績!$AE$6:$AE$505,"○")&gt;0,1,0))</f>
        <v/>
      </c>
      <c r="BS255">
        <f>IF(BS$4=0,0,IF(COUNTIFS(実績!$W$6:$W$505,BS$3,実績!$AC$6:$AC$505,"&lt;="&amp;$A255,実績!$AD$6:$AD$505,"&gt;"&amp;$A255,実績!$AE$6:$AE$505,"○")&gt;0,1,0))</f>
        <v/>
      </c>
      <c r="BT255">
        <f>IF(BT$4=0,0,IF(COUNTIFS(実績!$W$6:$W$505,BT$3,実績!$AC$6:$AC$505,"&lt;="&amp;$A255,実績!$AD$6:$AD$505,"&gt;"&amp;$A255,実績!$AE$6:$AE$505,"○")&gt;0,1,0))</f>
        <v/>
      </c>
      <c r="BU255">
        <f>IF(BU$4=0,0,IF(COUNTIFS(実績!$W$6:$W$505,BU$3,実績!$AC$6:$AC$505,"&lt;="&amp;$A255,実績!$AD$6:$AD$505,"&gt;"&amp;$A255,実績!$AE$6:$AE$505,"○")&gt;0,1,0))</f>
        <v/>
      </c>
      <c r="BV255">
        <f>IF(BV$4=0,0,IF(COUNTIFS(実績!$W$6:$W$505,BV$3,実績!$AC$6:$AC$505,"&lt;="&amp;$A255,実績!$AD$6:$AD$505,"&gt;"&amp;$A255,実績!$AE$6:$AE$505,"○")&gt;0,1,0))</f>
        <v/>
      </c>
      <c r="BW255">
        <f>IF(BW$4=0,0,IF(COUNTIFS(実績!$W$6:$W$505,BW$3,実績!$AC$6:$AC$505,"&lt;="&amp;$A255,実績!$AD$6:$AD$505,"&gt;"&amp;$A255,実績!$AE$6:$AE$505,"○")&gt;0,1,0))</f>
        <v/>
      </c>
      <c r="BX255">
        <f>IF(BX$4=0,0,IF(COUNTIFS(実績!$W$6:$W$505,BX$3,実績!$AC$6:$AC$505,"&lt;="&amp;$A255,実績!$AD$6:$AD$505,"&gt;"&amp;$A255,実績!$AE$6:$AE$505,"○")&gt;0,1,0))</f>
        <v/>
      </c>
      <c r="BY255">
        <f>IF(BY$4=0,0,IF(COUNTIFS(実績!$W$6:$W$505,BY$3,実績!$AC$6:$AC$505,"&lt;="&amp;$A255,実績!$AD$6:$AD$505,"&gt;"&amp;$A255,実績!$AE$6:$AE$505,"○")&gt;0,1,0))</f>
        <v/>
      </c>
      <c r="BZ255">
        <f>IF(BZ$4=0,0,IF(COUNTIFS(実績!$W$6:$W$505,BZ$3,実績!$AC$6:$AC$505,"&lt;="&amp;$A255,実績!$AD$6:$AD$505,"&gt;"&amp;$A255,実績!$AE$6:$AE$505,"○")&gt;0,1,0))</f>
        <v/>
      </c>
      <c r="CA255">
        <f>IF(CA$4=0,0,IF(COUNTIFS(実績!$W$6:$W$505,CA$3,実績!$AC$6:$AC$505,"&lt;="&amp;$A255,実績!$AD$6:$AD$505,"&gt;"&amp;$A255,実績!$AE$6:$AE$505,"○")&gt;0,1,0))</f>
        <v/>
      </c>
      <c r="CB255">
        <f>IF(CB$4=0,0,IF(COUNTIFS(実績!$W$6:$W$505,CB$3,実績!$AC$6:$AC$505,"&lt;="&amp;$A255,実績!$AD$6:$AD$505,"&gt;"&amp;$A255,実績!$AE$6:$AE$505,"○")&gt;0,1,0))</f>
        <v/>
      </c>
      <c r="CC255">
        <f>IF(CC$4=0,0,IF(COUNTIFS(実績!$W$6:$W$505,CC$3,実績!$AC$6:$AC$505,"&lt;="&amp;$A255,実績!$AD$6:$AD$505,"&gt;"&amp;$A255,実績!$AE$6:$AE$505,"○")&gt;0,1,0))</f>
        <v/>
      </c>
      <c r="CD255">
        <f>IF(CD$4=0,0,IF(COUNTIFS(実績!$W$6:$W$505,CD$3,実績!$AC$6:$AC$505,"&lt;="&amp;$A255,実績!$AD$6:$AD$505,"&gt;"&amp;$A255,実績!$AE$6:$AE$505,"○")&gt;0,1,0))</f>
        <v/>
      </c>
      <c r="CE255">
        <f>IF(CE$4=0,0,IF(COUNTIFS(実績!$W$6:$W$505,CE$3,実績!$AC$6:$AC$505,"&lt;="&amp;$A255,実績!$AD$6:$AD$505,"&gt;"&amp;$A255,実績!$AE$6:$AE$505,"○")&gt;0,1,0))</f>
        <v/>
      </c>
      <c r="CF255">
        <f>IF(CF$4=0,0,IF(COUNTIFS(実績!$W$6:$W$505,CF$3,実績!$AC$6:$AC$505,"&lt;="&amp;$A255,実績!$AD$6:$AD$505,"&gt;"&amp;$A255,実績!$AE$6:$AE$505,"○")&gt;0,1,0))</f>
        <v/>
      </c>
      <c r="CG255">
        <f>IF(CG$4=0,0,IF(COUNTIFS(実績!$W$6:$W$505,CG$3,実績!$AC$6:$AC$505,"&lt;="&amp;$A255,実績!$AD$6:$AD$505,"&gt;"&amp;$A255,実績!$AE$6:$AE$505,"○")&gt;0,1,0))</f>
        <v/>
      </c>
      <c r="CH255">
        <f>IF(CH$4=0,0,IF(COUNTIFS(実績!$W$6:$W$505,CH$3,実績!$AC$6:$AC$505,"&lt;="&amp;$A255,実績!$AD$6:$AD$505,"&gt;"&amp;$A255,実績!$AE$6:$AE$505,"○")&gt;0,1,0))</f>
        <v/>
      </c>
      <c r="CI255">
        <f>IF(CI$4=0,0,IF(COUNTIFS(実績!$W$6:$W$505,CI$3,実績!$AC$6:$AC$505,"&lt;="&amp;$A255,実績!$AD$6:$AD$505,"&gt;"&amp;$A255,実績!$AE$6:$AE$505,"○")&gt;0,1,0))</f>
        <v/>
      </c>
      <c r="CJ255">
        <f>IF(CJ$4=0,0,IF(COUNTIFS(実績!$W$6:$W$505,CJ$3,実績!$AC$6:$AC$505,"&lt;="&amp;$A255,実績!$AD$6:$AD$505,"&gt;"&amp;$A255,実績!$AE$6:$AE$505,"○")&gt;0,1,0))</f>
        <v/>
      </c>
      <c r="CK255">
        <f>IF(CK$4=0,0,IF(COUNTIFS(実績!$W$6:$W$505,CK$3,実績!$AC$6:$AC$505,"&lt;="&amp;$A255,実績!$AD$6:$AD$505,"&gt;"&amp;$A255,実績!$AE$6:$AE$505,"○")&gt;0,1,0))</f>
        <v/>
      </c>
      <c r="CL255">
        <f>IF(CL$4=0,0,IF(COUNTIFS(実績!$W$6:$W$505,CL$3,実績!$AC$6:$AC$505,"&lt;="&amp;$A255,実績!$AD$6:$AD$505,"&gt;"&amp;$A255,実績!$AE$6:$AE$505,"○")&gt;0,1,0))</f>
        <v/>
      </c>
      <c r="CM255">
        <f>IF(CM$4=0,0,IF(COUNTIFS(実績!$W$6:$W$505,CM$3,実績!$AC$6:$AC$505,"&lt;="&amp;$A255,実績!$AD$6:$AD$505,"&gt;"&amp;$A255,実績!$AE$6:$AE$505,"○")&gt;0,1,0))</f>
        <v/>
      </c>
      <c r="CN255">
        <f>IF(CN$4=0,0,IF(COUNTIFS(実績!$W$6:$W$505,CN$3,実績!$AC$6:$AC$505,"&lt;="&amp;$A255,実績!$AD$6:$AD$505,"&gt;"&amp;$A255,実績!$AE$6:$AE$505,"○")&gt;0,1,0))</f>
        <v/>
      </c>
      <c r="CO255">
        <f>IF(CO$4=0,0,IF(COUNTIFS(実績!$W$6:$W$505,CO$3,実績!$AC$6:$AC$505,"&lt;="&amp;$A255,実績!$AD$6:$AD$505,"&gt;"&amp;$A255,実績!$AE$6:$AE$505,"○")&gt;0,1,0))</f>
        <v/>
      </c>
      <c r="CP255">
        <f>IF(CP$4=0,0,IF(COUNTIFS(実績!$W$6:$W$505,CP$3,実績!$AC$6:$AC$505,"&lt;="&amp;$A255,実績!$AD$6:$AD$505,"&gt;"&amp;$A255,実績!$AE$6:$AE$505,"○")&gt;0,1,0))</f>
        <v/>
      </c>
      <c r="CQ255">
        <f>IF(CQ$4=0,0,IF(COUNTIFS(実績!$W$6:$W$505,CQ$3,実績!$AC$6:$AC$505,"&lt;="&amp;$A255,実績!$AD$6:$AD$505,"&gt;"&amp;$A255,実績!$AE$6:$AE$505,"○")&gt;0,1,0))</f>
        <v/>
      </c>
      <c r="CR255">
        <f>IF(CR$4=0,0,IF(COUNTIFS(実績!$W$6:$W$505,CR$3,実績!$AC$6:$AC$505,"&lt;="&amp;$A255,実績!$AD$6:$AD$505,"&gt;"&amp;$A255,実績!$AE$6:$AE$505,"○")&gt;0,1,0))</f>
        <v/>
      </c>
      <c r="CS255">
        <f>IF(CS$4=0,0,IF(COUNTIFS(実績!$W$6:$W$505,CS$3,実績!$AC$6:$AC$505,"&lt;="&amp;$A255,実績!$AD$6:$AD$505,"&gt;"&amp;$A255,実績!$AE$6:$AE$505,"○")&gt;0,1,0))</f>
        <v/>
      </c>
      <c r="CT255">
        <f>IF(CT$4=0,0,IF(COUNTIFS(実績!$W$6:$W$505,CT$3,実績!$AC$6:$AC$505,"&lt;="&amp;$A255,実績!$AD$6:$AD$505,"&gt;"&amp;$A255,実績!$AE$6:$AE$505,"○")&gt;0,1,0))</f>
        <v/>
      </c>
      <c r="CU255">
        <f>IF(CU$4=0,0,IF(COUNTIFS(実績!$W$6:$W$505,CU$3,実績!$AC$6:$AC$505,"&lt;="&amp;$A255,実績!$AD$6:$AD$505,"&gt;"&amp;$A255,実績!$AE$6:$AE$505,"○")&gt;0,1,0))</f>
        <v/>
      </c>
      <c r="CV255">
        <f>IF(CV$4=0,0,IF(COUNTIFS(実績!$W$6:$W$505,CV$3,実績!$AC$6:$AC$505,"&lt;="&amp;$A255,実績!$AD$6:$AD$505,"&gt;"&amp;$A255,実績!$AE$6:$AE$505,"○")&gt;0,1,0))</f>
        <v/>
      </c>
      <c r="CW255">
        <f>IF(CW$4=0,0,IF(COUNTIFS(実績!$W$6:$W$505,CW$3,実績!$AC$6:$AC$505,"&lt;="&amp;$A255,実績!$AD$6:$AD$505,"&gt;"&amp;$A255,実績!$AE$6:$AE$505,"○")&gt;0,1,0))</f>
        <v/>
      </c>
      <c r="CX255">
        <f>IF(CX$4=0,0,IF(COUNTIFS(実績!$W$6:$W$505,CX$3,実績!$AC$6:$AC$505,"&lt;="&amp;$A255,実績!$AD$6:$AD$505,"&gt;"&amp;$A255,実績!$AE$6:$AE$505,"○")&gt;0,1,0))</f>
        <v/>
      </c>
      <c r="CY255">
        <f>IF(CY$4=0,0,IF(COUNTIFS(実績!$W$6:$W$505,CY$3,実績!$AC$6:$AC$505,"&lt;="&amp;$A255,実績!$AD$6:$AD$505,"&gt;"&amp;$A255,実績!$AE$6:$AE$505,"○")&gt;0,1,0))</f>
        <v/>
      </c>
      <c r="CZ255">
        <f>IF(CZ$4=0,0,IF(COUNTIFS(実績!$W$6:$W$505,CZ$3,実績!$AC$6:$AC$505,"&lt;="&amp;$A255,実績!$AD$6:$AD$505,"&gt;"&amp;$A255,実績!$AE$6:$AE$505,"○")&gt;0,1,0))</f>
        <v/>
      </c>
      <c r="DA255">
        <f>IF(DA$4=0,0,IF(COUNTIFS(実績!$W$6:$W$505,DA$3,実績!$AC$6:$AC$505,"&lt;="&amp;$A255,実績!$AD$6:$AD$505,"&gt;"&amp;$A255,実績!$AE$6:$AE$505,"○")&gt;0,1,0))</f>
        <v/>
      </c>
      <c r="DB255">
        <f>IF(DB$4=0,0,IF(COUNTIFS(実績!$W$6:$W$505,DB$3,実績!$AC$6:$AC$505,"&lt;="&amp;$A255,実績!$AD$6:$AD$505,"&gt;"&amp;$A255,実績!$AE$6:$AE$505,"○")&gt;0,1,0))</f>
        <v/>
      </c>
      <c r="DC255">
        <f>IF(DC$4=0,0,IF(COUNTIFS(実績!$W$6:$W$505,DC$3,実績!$AC$6:$AC$505,"&lt;="&amp;$A255,実績!$AD$6:$AD$505,"&gt;"&amp;$A255,実績!$AE$6:$AE$505,"○")&gt;0,1,0))</f>
        <v/>
      </c>
      <c r="DD255">
        <f>IF(DD$4=0,0,IF(COUNTIFS(実績!$W$6:$W$505,DD$3,実績!$AC$6:$AC$505,"&lt;="&amp;$A255,実績!$AD$6:$AD$505,"&gt;"&amp;$A255,実績!$AE$6:$AE$505,"○")&gt;0,1,0))</f>
        <v/>
      </c>
      <c r="DE255">
        <f>IF(DE$4=0,0,IF(COUNTIFS(実績!$W$6:$W$505,DE$3,実績!$AC$6:$AC$505,"&lt;="&amp;$A255,実績!$AD$6:$AD$505,"&gt;"&amp;$A255,実績!$AE$6:$AE$505,"○")&gt;0,1,0))</f>
        <v/>
      </c>
      <c r="DF255">
        <f>IF(DF$4=0,0,IF(COUNTIFS(実績!$W$6:$W$505,DF$3,実績!$AC$6:$AC$505,"&lt;="&amp;$A255,実績!$AD$6:$AD$505,"&gt;"&amp;$A255,実績!$AE$6:$AE$505,"○")&gt;0,1,0))</f>
        <v/>
      </c>
      <c r="DG255">
        <f>IF(DG$4=0,0,IF(COUNTIFS(実績!$W$6:$W$505,DG$3,実績!$AC$6:$AC$505,"&lt;="&amp;$A255,実績!$AD$6:$AD$505,"&gt;"&amp;$A255,実績!$AE$6:$AE$505,"○")&gt;0,1,0))</f>
        <v/>
      </c>
      <c r="DH255">
        <f>IF(DH$4=0,0,IF(COUNTIFS(実績!$W$6:$W$505,DH$3,実績!$AC$6:$AC$505,"&lt;="&amp;$A255,実績!$AD$6:$AD$505,"&gt;"&amp;$A255,実績!$AE$6:$AE$505,"○")&gt;0,1,0))</f>
        <v/>
      </c>
      <c r="DI255">
        <f>IF(DI$4=0,0,IF(COUNTIFS(実績!$W$6:$W$505,DI$3,実績!$AC$6:$AC$505,"&lt;="&amp;$A255,実績!$AD$6:$AD$505,"&gt;"&amp;$A255,実績!$AE$6:$AE$505,"○")&gt;0,1,0))</f>
        <v/>
      </c>
      <c r="DJ255">
        <f>IF(DJ$4=0,0,IF(COUNTIFS(実績!$W$6:$W$505,DJ$3,実績!$AC$6:$AC$505,"&lt;="&amp;$A255,実績!$AD$6:$AD$505,"&gt;"&amp;$A255,実績!$AE$6:$AE$505,"○")&gt;0,1,0))</f>
        <v/>
      </c>
      <c r="DK255">
        <f>IF(DK$4=0,0,IF(COUNTIFS(実績!$W$6:$W$505,DK$3,実績!$AC$6:$AC$505,"&lt;="&amp;$A255,実績!$AD$6:$AD$505,"&gt;"&amp;$A255,実績!$AE$6:$AE$505,"○")&gt;0,1,0))</f>
        <v/>
      </c>
      <c r="DL255">
        <f>IF(DL$4=0,0,IF(COUNTIFS(実績!$W$6:$W$505,DL$3,実績!$AC$6:$AC$505,"&lt;="&amp;$A255,実績!$AD$6:$AD$505,"&gt;"&amp;$A255,実績!$AE$6:$AE$505,"○")&gt;0,1,0))</f>
        <v/>
      </c>
      <c r="DM255">
        <f>IF(DM$4=0,0,IF(COUNTIFS(実績!$W$6:$W$505,DM$3,実績!$AC$6:$AC$505,"&lt;="&amp;$A255,実績!$AD$6:$AD$505,"&gt;"&amp;$A255,実績!$AE$6:$AE$505,"○")&gt;0,1,0))</f>
        <v/>
      </c>
      <c r="DN255">
        <f>IF(DN$4=0,0,IF(COUNTIFS(実績!$W$6:$W$505,DN$3,実績!$AC$6:$AC$505,"&lt;="&amp;$A255,実績!$AD$6:$AD$505,"&gt;"&amp;$A255,実績!$AE$6:$AE$505,"○")&gt;0,1,0))</f>
        <v/>
      </c>
      <c r="DO255">
        <f>IF(DO$4=0,0,IF(COUNTIFS(実績!$W$6:$W$505,DO$3,実績!$AC$6:$AC$505,"&lt;="&amp;$A255,実績!$AD$6:$AD$505,"&gt;"&amp;$A255,実績!$AE$6:$AE$505,"○")&gt;0,1,0))</f>
        <v/>
      </c>
      <c r="DP255">
        <f>IF(DP$4=0,0,IF(COUNTIFS(実績!$W$6:$W$505,DP$3,実績!$AC$6:$AC$505,"&lt;="&amp;$A255,実績!$AD$6:$AD$505,"&gt;"&amp;$A255,実績!$AE$6:$AE$505,"○")&gt;0,1,0))</f>
        <v/>
      </c>
      <c r="DQ255">
        <f>IF(DQ$4=0,0,IF(COUNTIFS(実績!$W$6:$W$505,DQ$3,実績!$AC$6:$AC$505,"&lt;="&amp;$A255,実績!$AD$6:$AD$505,"&gt;"&amp;$A255,実績!$AE$6:$AE$505,"○")&gt;0,1,0))</f>
        <v/>
      </c>
      <c r="DR255">
        <f>IF(DR$4=0,0,IF(COUNTIFS(実績!$W$6:$W$505,DR$3,実績!$AC$6:$AC$505,"&lt;="&amp;$A255,実績!$AD$6:$AD$505,"&gt;"&amp;$A255,実績!$AE$6:$AE$505,"○")&gt;0,1,0))</f>
        <v/>
      </c>
      <c r="DS255">
        <f>SUM(C255:DR255)</f>
        <v/>
      </c>
      <c r="DT255">
        <f>SUMPRODUCT((実績!$C$6:$C$505="○")*ISNUMBER(実績!$AF$6:$AF$505)*(実績!$AF$6:$AF$505&lt;=$A255)*(実績!$AG$6:$AG$505&gt;$A255))</f>
        <v/>
      </c>
      <c r="DU255">
        <f>SUMIF($C$2:$DR$2,"製鉄曳船",C255:DR255)</f>
        <v/>
      </c>
      <c r="DV255">
        <f>SUMIF($C$2:$DR$2,"西日本海運",C255:DR255)</f>
        <v/>
      </c>
    </row>
    <row r="256">
      <c r="A256" t="n">
        <v>1250</v>
      </c>
      <c r="B256" s="29">
        <f>A256/1440</f>
        <v/>
      </c>
      <c r="C256">
        <f>IF(C$4=0,0,IF(COUNTIFS(実績!$W$6:$W$505,C$3,実績!$AC$6:$AC$505,"&lt;="&amp;$A256,実績!$AD$6:$AD$505,"&gt;"&amp;$A256,実績!$AE$6:$AE$505,"○")&gt;0,1,0))</f>
        <v/>
      </c>
      <c r="D256">
        <f>IF(D$4=0,0,IF(COUNTIFS(実績!$W$6:$W$505,D$3,実績!$AC$6:$AC$505,"&lt;="&amp;$A256,実績!$AD$6:$AD$505,"&gt;"&amp;$A256,実績!$AE$6:$AE$505,"○")&gt;0,1,0))</f>
        <v/>
      </c>
      <c r="E256">
        <f>IF(E$4=0,0,IF(COUNTIFS(実績!$W$6:$W$505,E$3,実績!$AC$6:$AC$505,"&lt;="&amp;$A256,実績!$AD$6:$AD$505,"&gt;"&amp;$A256,実績!$AE$6:$AE$505,"○")&gt;0,1,0))</f>
        <v/>
      </c>
      <c r="F256">
        <f>IF(F$4=0,0,IF(COUNTIFS(実績!$W$6:$W$505,F$3,実績!$AC$6:$AC$505,"&lt;="&amp;$A256,実績!$AD$6:$AD$505,"&gt;"&amp;$A256,実績!$AE$6:$AE$505,"○")&gt;0,1,0))</f>
        <v/>
      </c>
      <c r="G256">
        <f>IF(G$4=0,0,IF(COUNTIFS(実績!$W$6:$W$505,G$3,実績!$AC$6:$AC$505,"&lt;="&amp;$A256,実績!$AD$6:$AD$505,"&gt;"&amp;$A256,実績!$AE$6:$AE$505,"○")&gt;0,1,0))</f>
        <v/>
      </c>
      <c r="H256">
        <f>IF(H$4=0,0,IF(COUNTIFS(実績!$W$6:$W$505,H$3,実績!$AC$6:$AC$505,"&lt;="&amp;$A256,実績!$AD$6:$AD$505,"&gt;"&amp;$A256,実績!$AE$6:$AE$505,"○")&gt;0,1,0))</f>
        <v/>
      </c>
      <c r="I256">
        <f>IF(I$4=0,0,IF(COUNTIFS(実績!$W$6:$W$505,I$3,実績!$AC$6:$AC$505,"&lt;="&amp;$A256,実績!$AD$6:$AD$505,"&gt;"&amp;$A256,実績!$AE$6:$AE$505,"○")&gt;0,1,0))</f>
        <v/>
      </c>
      <c r="J256">
        <f>IF(J$4=0,0,IF(COUNTIFS(実績!$W$6:$W$505,J$3,実績!$AC$6:$AC$505,"&lt;="&amp;$A256,実績!$AD$6:$AD$505,"&gt;"&amp;$A256,実績!$AE$6:$AE$505,"○")&gt;0,1,0))</f>
        <v/>
      </c>
      <c r="K256">
        <f>IF(K$4=0,0,IF(COUNTIFS(実績!$W$6:$W$505,K$3,実績!$AC$6:$AC$505,"&lt;="&amp;$A256,実績!$AD$6:$AD$505,"&gt;"&amp;$A256,実績!$AE$6:$AE$505,"○")&gt;0,1,0))</f>
        <v/>
      </c>
      <c r="L256">
        <f>IF(L$4=0,0,IF(COUNTIFS(実績!$W$6:$W$505,L$3,実績!$AC$6:$AC$505,"&lt;="&amp;$A256,実績!$AD$6:$AD$505,"&gt;"&amp;$A256,実績!$AE$6:$AE$505,"○")&gt;0,1,0))</f>
        <v/>
      </c>
      <c r="M256">
        <f>IF(M$4=0,0,IF(COUNTIFS(実績!$W$6:$W$505,M$3,実績!$AC$6:$AC$505,"&lt;="&amp;$A256,実績!$AD$6:$AD$505,"&gt;"&amp;$A256,実績!$AE$6:$AE$505,"○")&gt;0,1,0))</f>
        <v/>
      </c>
      <c r="N256">
        <f>IF(N$4=0,0,IF(COUNTIFS(実績!$W$6:$W$505,N$3,実績!$AC$6:$AC$505,"&lt;="&amp;$A256,実績!$AD$6:$AD$505,"&gt;"&amp;$A256,実績!$AE$6:$AE$505,"○")&gt;0,1,0))</f>
        <v/>
      </c>
      <c r="O256">
        <f>IF(O$4=0,0,IF(COUNTIFS(実績!$W$6:$W$505,O$3,実績!$AC$6:$AC$505,"&lt;="&amp;$A256,実績!$AD$6:$AD$505,"&gt;"&amp;$A256,実績!$AE$6:$AE$505,"○")&gt;0,1,0))</f>
        <v/>
      </c>
      <c r="P256">
        <f>IF(P$4=0,0,IF(COUNTIFS(実績!$W$6:$W$505,P$3,実績!$AC$6:$AC$505,"&lt;="&amp;$A256,実績!$AD$6:$AD$505,"&gt;"&amp;$A256,実績!$AE$6:$AE$505,"○")&gt;0,1,0))</f>
        <v/>
      </c>
      <c r="Q256">
        <f>IF(Q$4=0,0,IF(COUNTIFS(実績!$W$6:$W$505,Q$3,実績!$AC$6:$AC$505,"&lt;="&amp;$A256,実績!$AD$6:$AD$505,"&gt;"&amp;$A256,実績!$AE$6:$AE$505,"○")&gt;0,1,0))</f>
        <v/>
      </c>
      <c r="R256">
        <f>IF(R$4=0,0,IF(COUNTIFS(実績!$W$6:$W$505,R$3,実績!$AC$6:$AC$505,"&lt;="&amp;$A256,実績!$AD$6:$AD$505,"&gt;"&amp;$A256,実績!$AE$6:$AE$505,"○")&gt;0,1,0))</f>
        <v/>
      </c>
      <c r="S256">
        <f>IF(S$4=0,0,IF(COUNTIFS(実績!$W$6:$W$505,S$3,実績!$AC$6:$AC$505,"&lt;="&amp;$A256,実績!$AD$6:$AD$505,"&gt;"&amp;$A256,実績!$AE$6:$AE$505,"○")&gt;0,1,0))</f>
        <v/>
      </c>
      <c r="T256">
        <f>IF(T$4=0,0,IF(COUNTIFS(実績!$W$6:$W$505,T$3,実績!$AC$6:$AC$505,"&lt;="&amp;$A256,実績!$AD$6:$AD$505,"&gt;"&amp;$A256,実績!$AE$6:$AE$505,"○")&gt;0,1,0))</f>
        <v/>
      </c>
      <c r="U256">
        <f>IF(U$4=0,0,IF(COUNTIFS(実績!$W$6:$W$505,U$3,実績!$AC$6:$AC$505,"&lt;="&amp;$A256,実績!$AD$6:$AD$505,"&gt;"&amp;$A256,実績!$AE$6:$AE$505,"○")&gt;0,1,0))</f>
        <v/>
      </c>
      <c r="V256">
        <f>IF(V$4=0,0,IF(COUNTIFS(実績!$W$6:$W$505,V$3,実績!$AC$6:$AC$505,"&lt;="&amp;$A256,実績!$AD$6:$AD$505,"&gt;"&amp;$A256,実績!$AE$6:$AE$505,"○")&gt;0,1,0))</f>
        <v/>
      </c>
      <c r="W256">
        <f>IF(W$4=0,0,IF(COUNTIFS(実績!$W$6:$W$505,W$3,実績!$AC$6:$AC$505,"&lt;="&amp;$A256,実績!$AD$6:$AD$505,"&gt;"&amp;$A256,実績!$AE$6:$AE$505,"○")&gt;0,1,0))</f>
        <v/>
      </c>
      <c r="X256">
        <f>IF(X$4=0,0,IF(COUNTIFS(実績!$W$6:$W$505,X$3,実績!$AC$6:$AC$505,"&lt;="&amp;$A256,実績!$AD$6:$AD$505,"&gt;"&amp;$A256,実績!$AE$6:$AE$505,"○")&gt;0,1,0))</f>
        <v/>
      </c>
      <c r="Y256">
        <f>IF(Y$4=0,0,IF(COUNTIFS(実績!$W$6:$W$505,Y$3,実績!$AC$6:$AC$505,"&lt;="&amp;$A256,実績!$AD$6:$AD$505,"&gt;"&amp;$A256,実績!$AE$6:$AE$505,"○")&gt;0,1,0))</f>
        <v/>
      </c>
      <c r="Z256">
        <f>IF(Z$4=0,0,IF(COUNTIFS(実績!$W$6:$W$505,Z$3,実績!$AC$6:$AC$505,"&lt;="&amp;$A256,実績!$AD$6:$AD$505,"&gt;"&amp;$A256,実績!$AE$6:$AE$505,"○")&gt;0,1,0))</f>
        <v/>
      </c>
      <c r="AA256">
        <f>IF(AA$4=0,0,IF(COUNTIFS(実績!$W$6:$W$505,AA$3,実績!$AC$6:$AC$505,"&lt;="&amp;$A256,実績!$AD$6:$AD$505,"&gt;"&amp;$A256,実績!$AE$6:$AE$505,"○")&gt;0,1,0))</f>
        <v/>
      </c>
      <c r="AB256">
        <f>IF(AB$4=0,0,IF(COUNTIFS(実績!$W$6:$W$505,AB$3,実績!$AC$6:$AC$505,"&lt;="&amp;$A256,実績!$AD$6:$AD$505,"&gt;"&amp;$A256,実績!$AE$6:$AE$505,"○")&gt;0,1,0))</f>
        <v/>
      </c>
      <c r="AC256">
        <f>IF(AC$4=0,0,IF(COUNTIFS(実績!$W$6:$W$505,AC$3,実績!$AC$6:$AC$505,"&lt;="&amp;$A256,実績!$AD$6:$AD$505,"&gt;"&amp;$A256,実績!$AE$6:$AE$505,"○")&gt;0,1,0))</f>
        <v/>
      </c>
      <c r="AD256">
        <f>IF(AD$4=0,0,IF(COUNTIFS(実績!$W$6:$W$505,AD$3,実績!$AC$6:$AC$505,"&lt;="&amp;$A256,実績!$AD$6:$AD$505,"&gt;"&amp;$A256,実績!$AE$6:$AE$505,"○")&gt;0,1,0))</f>
        <v/>
      </c>
      <c r="AE256">
        <f>IF(AE$4=0,0,IF(COUNTIFS(実績!$W$6:$W$505,AE$3,実績!$AC$6:$AC$505,"&lt;="&amp;$A256,実績!$AD$6:$AD$505,"&gt;"&amp;$A256,実績!$AE$6:$AE$505,"○")&gt;0,1,0))</f>
        <v/>
      </c>
      <c r="AF256">
        <f>IF(AF$4=0,0,IF(COUNTIFS(実績!$W$6:$W$505,AF$3,実績!$AC$6:$AC$505,"&lt;="&amp;$A256,実績!$AD$6:$AD$505,"&gt;"&amp;$A256,実績!$AE$6:$AE$505,"○")&gt;0,1,0))</f>
        <v/>
      </c>
      <c r="AG256">
        <f>IF(AG$4=0,0,IF(COUNTIFS(実績!$W$6:$W$505,AG$3,実績!$AC$6:$AC$505,"&lt;="&amp;$A256,実績!$AD$6:$AD$505,"&gt;"&amp;$A256,実績!$AE$6:$AE$505,"○")&gt;0,1,0))</f>
        <v/>
      </c>
      <c r="AH256">
        <f>IF(AH$4=0,0,IF(COUNTIFS(実績!$W$6:$W$505,AH$3,実績!$AC$6:$AC$505,"&lt;="&amp;$A256,実績!$AD$6:$AD$505,"&gt;"&amp;$A256,実績!$AE$6:$AE$505,"○")&gt;0,1,0))</f>
        <v/>
      </c>
      <c r="AI256">
        <f>IF(AI$4=0,0,IF(COUNTIFS(実績!$W$6:$W$505,AI$3,実績!$AC$6:$AC$505,"&lt;="&amp;$A256,実績!$AD$6:$AD$505,"&gt;"&amp;$A256,実績!$AE$6:$AE$505,"○")&gt;0,1,0))</f>
        <v/>
      </c>
      <c r="AJ256">
        <f>IF(AJ$4=0,0,IF(COUNTIFS(実績!$W$6:$W$505,AJ$3,実績!$AC$6:$AC$505,"&lt;="&amp;$A256,実績!$AD$6:$AD$505,"&gt;"&amp;$A256,実績!$AE$6:$AE$505,"○")&gt;0,1,0))</f>
        <v/>
      </c>
      <c r="AK256">
        <f>IF(AK$4=0,0,IF(COUNTIFS(実績!$W$6:$W$505,AK$3,実績!$AC$6:$AC$505,"&lt;="&amp;$A256,実績!$AD$6:$AD$505,"&gt;"&amp;$A256,実績!$AE$6:$AE$505,"○")&gt;0,1,0))</f>
        <v/>
      </c>
      <c r="AL256">
        <f>IF(AL$4=0,0,IF(COUNTIFS(実績!$W$6:$W$505,AL$3,実績!$AC$6:$AC$505,"&lt;="&amp;$A256,実績!$AD$6:$AD$505,"&gt;"&amp;$A256,実績!$AE$6:$AE$505,"○")&gt;0,1,0))</f>
        <v/>
      </c>
      <c r="AM256">
        <f>IF(AM$4=0,0,IF(COUNTIFS(実績!$W$6:$W$505,AM$3,実績!$AC$6:$AC$505,"&lt;="&amp;$A256,実績!$AD$6:$AD$505,"&gt;"&amp;$A256,実績!$AE$6:$AE$505,"○")&gt;0,1,0))</f>
        <v/>
      </c>
      <c r="AN256">
        <f>IF(AN$4=0,0,IF(COUNTIFS(実績!$W$6:$W$505,AN$3,実績!$AC$6:$AC$505,"&lt;="&amp;$A256,実績!$AD$6:$AD$505,"&gt;"&amp;$A256,実績!$AE$6:$AE$505,"○")&gt;0,1,0))</f>
        <v/>
      </c>
      <c r="AO256">
        <f>IF(AO$4=0,0,IF(COUNTIFS(実績!$W$6:$W$505,AO$3,実績!$AC$6:$AC$505,"&lt;="&amp;$A256,実績!$AD$6:$AD$505,"&gt;"&amp;$A256,実績!$AE$6:$AE$505,"○")&gt;0,1,0))</f>
        <v/>
      </c>
      <c r="AP256">
        <f>IF(AP$4=0,0,IF(COUNTIFS(実績!$W$6:$W$505,AP$3,実績!$AC$6:$AC$505,"&lt;="&amp;$A256,実績!$AD$6:$AD$505,"&gt;"&amp;$A256,実績!$AE$6:$AE$505,"○")&gt;0,1,0))</f>
        <v/>
      </c>
      <c r="AQ256">
        <f>IF(AQ$4=0,0,IF(COUNTIFS(実績!$W$6:$W$505,AQ$3,実績!$AC$6:$AC$505,"&lt;="&amp;$A256,実績!$AD$6:$AD$505,"&gt;"&amp;$A256,実績!$AE$6:$AE$505,"○")&gt;0,1,0))</f>
        <v/>
      </c>
      <c r="AR256">
        <f>IF(AR$4=0,0,IF(COUNTIFS(実績!$W$6:$W$505,AR$3,実績!$AC$6:$AC$505,"&lt;="&amp;$A256,実績!$AD$6:$AD$505,"&gt;"&amp;$A256,実績!$AE$6:$AE$505,"○")&gt;0,1,0))</f>
        <v/>
      </c>
      <c r="AS256">
        <f>IF(AS$4=0,0,IF(COUNTIFS(実績!$W$6:$W$505,AS$3,実績!$AC$6:$AC$505,"&lt;="&amp;$A256,実績!$AD$6:$AD$505,"&gt;"&amp;$A256,実績!$AE$6:$AE$505,"○")&gt;0,1,0))</f>
        <v/>
      </c>
      <c r="AT256">
        <f>IF(AT$4=0,0,IF(COUNTIFS(実績!$W$6:$W$505,AT$3,実績!$AC$6:$AC$505,"&lt;="&amp;$A256,実績!$AD$6:$AD$505,"&gt;"&amp;$A256,実績!$AE$6:$AE$505,"○")&gt;0,1,0))</f>
        <v/>
      </c>
      <c r="AU256">
        <f>IF(AU$4=0,0,IF(COUNTIFS(実績!$W$6:$W$505,AU$3,実績!$AC$6:$AC$505,"&lt;="&amp;$A256,実績!$AD$6:$AD$505,"&gt;"&amp;$A256,実績!$AE$6:$AE$505,"○")&gt;0,1,0))</f>
        <v/>
      </c>
      <c r="AV256">
        <f>IF(AV$4=0,0,IF(COUNTIFS(実績!$W$6:$W$505,AV$3,実績!$AC$6:$AC$505,"&lt;="&amp;$A256,実績!$AD$6:$AD$505,"&gt;"&amp;$A256,実績!$AE$6:$AE$505,"○")&gt;0,1,0))</f>
        <v/>
      </c>
      <c r="AW256">
        <f>IF(AW$4=0,0,IF(COUNTIFS(実績!$W$6:$W$505,AW$3,実績!$AC$6:$AC$505,"&lt;="&amp;$A256,実績!$AD$6:$AD$505,"&gt;"&amp;$A256,実績!$AE$6:$AE$505,"○")&gt;0,1,0))</f>
        <v/>
      </c>
      <c r="AX256">
        <f>IF(AX$4=0,0,IF(COUNTIFS(実績!$W$6:$W$505,AX$3,実績!$AC$6:$AC$505,"&lt;="&amp;$A256,実績!$AD$6:$AD$505,"&gt;"&amp;$A256,実績!$AE$6:$AE$505,"○")&gt;0,1,0))</f>
        <v/>
      </c>
      <c r="AY256">
        <f>IF(AY$4=0,0,IF(COUNTIFS(実績!$W$6:$W$505,AY$3,実績!$AC$6:$AC$505,"&lt;="&amp;$A256,実績!$AD$6:$AD$505,"&gt;"&amp;$A256,実績!$AE$6:$AE$505,"○")&gt;0,1,0))</f>
        <v/>
      </c>
      <c r="AZ256">
        <f>IF(AZ$4=0,0,IF(COUNTIFS(実績!$W$6:$W$505,AZ$3,実績!$AC$6:$AC$505,"&lt;="&amp;$A256,実績!$AD$6:$AD$505,"&gt;"&amp;$A256,実績!$AE$6:$AE$505,"○")&gt;0,1,0))</f>
        <v/>
      </c>
      <c r="BA256">
        <f>IF(BA$4=0,0,IF(COUNTIFS(実績!$W$6:$W$505,BA$3,実績!$AC$6:$AC$505,"&lt;="&amp;$A256,実績!$AD$6:$AD$505,"&gt;"&amp;$A256,実績!$AE$6:$AE$505,"○")&gt;0,1,0))</f>
        <v/>
      </c>
      <c r="BB256">
        <f>IF(BB$4=0,0,IF(COUNTIFS(実績!$W$6:$W$505,BB$3,実績!$AC$6:$AC$505,"&lt;="&amp;$A256,実績!$AD$6:$AD$505,"&gt;"&amp;$A256,実績!$AE$6:$AE$505,"○")&gt;0,1,0))</f>
        <v/>
      </c>
      <c r="BC256">
        <f>IF(BC$4=0,0,IF(COUNTIFS(実績!$W$6:$W$505,BC$3,実績!$AC$6:$AC$505,"&lt;="&amp;$A256,実績!$AD$6:$AD$505,"&gt;"&amp;$A256,実績!$AE$6:$AE$505,"○")&gt;0,1,0))</f>
        <v/>
      </c>
      <c r="BD256">
        <f>IF(BD$4=0,0,IF(COUNTIFS(実績!$W$6:$W$505,BD$3,実績!$AC$6:$AC$505,"&lt;="&amp;$A256,実績!$AD$6:$AD$505,"&gt;"&amp;$A256,実績!$AE$6:$AE$505,"○")&gt;0,1,0))</f>
        <v/>
      </c>
      <c r="BE256">
        <f>IF(BE$4=0,0,IF(COUNTIFS(実績!$W$6:$W$505,BE$3,実績!$AC$6:$AC$505,"&lt;="&amp;$A256,実績!$AD$6:$AD$505,"&gt;"&amp;$A256,実績!$AE$6:$AE$505,"○")&gt;0,1,0))</f>
        <v/>
      </c>
      <c r="BF256">
        <f>IF(BF$4=0,0,IF(COUNTIFS(実績!$W$6:$W$505,BF$3,実績!$AC$6:$AC$505,"&lt;="&amp;$A256,実績!$AD$6:$AD$505,"&gt;"&amp;$A256,実績!$AE$6:$AE$505,"○")&gt;0,1,0))</f>
        <v/>
      </c>
      <c r="BG256">
        <f>IF(BG$4=0,0,IF(COUNTIFS(実績!$W$6:$W$505,BG$3,実績!$AC$6:$AC$505,"&lt;="&amp;$A256,実績!$AD$6:$AD$505,"&gt;"&amp;$A256,実績!$AE$6:$AE$505,"○")&gt;0,1,0))</f>
        <v/>
      </c>
      <c r="BH256">
        <f>IF(BH$4=0,0,IF(COUNTIFS(実績!$W$6:$W$505,BH$3,実績!$AC$6:$AC$505,"&lt;="&amp;$A256,実績!$AD$6:$AD$505,"&gt;"&amp;$A256,実績!$AE$6:$AE$505,"○")&gt;0,1,0))</f>
        <v/>
      </c>
      <c r="BI256">
        <f>IF(BI$4=0,0,IF(COUNTIFS(実績!$W$6:$W$505,BI$3,実績!$AC$6:$AC$505,"&lt;="&amp;$A256,実績!$AD$6:$AD$505,"&gt;"&amp;$A256,実績!$AE$6:$AE$505,"○")&gt;0,1,0))</f>
        <v/>
      </c>
      <c r="BJ256">
        <f>IF(BJ$4=0,0,IF(COUNTIFS(実績!$W$6:$W$505,BJ$3,実績!$AC$6:$AC$505,"&lt;="&amp;$A256,実績!$AD$6:$AD$505,"&gt;"&amp;$A256,実績!$AE$6:$AE$505,"○")&gt;0,1,0))</f>
        <v/>
      </c>
      <c r="BK256">
        <f>IF(BK$4=0,0,IF(COUNTIFS(実績!$W$6:$W$505,BK$3,実績!$AC$6:$AC$505,"&lt;="&amp;$A256,実績!$AD$6:$AD$505,"&gt;"&amp;$A256,実績!$AE$6:$AE$505,"○")&gt;0,1,0))</f>
        <v/>
      </c>
      <c r="BL256">
        <f>IF(BL$4=0,0,IF(COUNTIFS(実績!$W$6:$W$505,BL$3,実績!$AC$6:$AC$505,"&lt;="&amp;$A256,実績!$AD$6:$AD$505,"&gt;"&amp;$A256,実績!$AE$6:$AE$505,"○")&gt;0,1,0))</f>
        <v/>
      </c>
      <c r="BM256">
        <f>IF(BM$4=0,0,IF(COUNTIFS(実績!$W$6:$W$505,BM$3,実績!$AC$6:$AC$505,"&lt;="&amp;$A256,実績!$AD$6:$AD$505,"&gt;"&amp;$A256,実績!$AE$6:$AE$505,"○")&gt;0,1,0))</f>
        <v/>
      </c>
      <c r="BN256">
        <f>IF(BN$4=0,0,IF(COUNTIFS(実績!$W$6:$W$505,BN$3,実績!$AC$6:$AC$505,"&lt;="&amp;$A256,実績!$AD$6:$AD$505,"&gt;"&amp;$A256,実績!$AE$6:$AE$505,"○")&gt;0,1,0))</f>
        <v/>
      </c>
      <c r="BO256">
        <f>IF(BO$4=0,0,IF(COUNTIFS(実績!$W$6:$W$505,BO$3,実績!$AC$6:$AC$505,"&lt;="&amp;$A256,実績!$AD$6:$AD$505,"&gt;"&amp;$A256,実績!$AE$6:$AE$505,"○")&gt;0,1,0))</f>
        <v/>
      </c>
      <c r="BP256">
        <f>IF(BP$4=0,0,IF(COUNTIFS(実績!$W$6:$W$505,BP$3,実績!$AC$6:$AC$505,"&lt;="&amp;$A256,実績!$AD$6:$AD$505,"&gt;"&amp;$A256,実績!$AE$6:$AE$505,"○")&gt;0,1,0))</f>
        <v/>
      </c>
      <c r="BQ256">
        <f>IF(BQ$4=0,0,IF(COUNTIFS(実績!$W$6:$W$505,BQ$3,実績!$AC$6:$AC$505,"&lt;="&amp;$A256,実績!$AD$6:$AD$505,"&gt;"&amp;$A256,実績!$AE$6:$AE$505,"○")&gt;0,1,0))</f>
        <v/>
      </c>
      <c r="BR256">
        <f>IF(BR$4=0,0,IF(COUNTIFS(実績!$W$6:$W$505,BR$3,実績!$AC$6:$AC$505,"&lt;="&amp;$A256,実績!$AD$6:$AD$505,"&gt;"&amp;$A256,実績!$AE$6:$AE$505,"○")&gt;0,1,0))</f>
        <v/>
      </c>
      <c r="BS256">
        <f>IF(BS$4=0,0,IF(COUNTIFS(実績!$W$6:$W$505,BS$3,実績!$AC$6:$AC$505,"&lt;="&amp;$A256,実績!$AD$6:$AD$505,"&gt;"&amp;$A256,実績!$AE$6:$AE$505,"○")&gt;0,1,0))</f>
        <v/>
      </c>
      <c r="BT256">
        <f>IF(BT$4=0,0,IF(COUNTIFS(実績!$W$6:$W$505,BT$3,実績!$AC$6:$AC$505,"&lt;="&amp;$A256,実績!$AD$6:$AD$505,"&gt;"&amp;$A256,実績!$AE$6:$AE$505,"○")&gt;0,1,0))</f>
        <v/>
      </c>
      <c r="BU256">
        <f>IF(BU$4=0,0,IF(COUNTIFS(実績!$W$6:$W$505,BU$3,実績!$AC$6:$AC$505,"&lt;="&amp;$A256,実績!$AD$6:$AD$505,"&gt;"&amp;$A256,実績!$AE$6:$AE$505,"○")&gt;0,1,0))</f>
        <v/>
      </c>
      <c r="BV256">
        <f>IF(BV$4=0,0,IF(COUNTIFS(実績!$W$6:$W$505,BV$3,実績!$AC$6:$AC$505,"&lt;="&amp;$A256,実績!$AD$6:$AD$505,"&gt;"&amp;$A256,実績!$AE$6:$AE$505,"○")&gt;0,1,0))</f>
        <v/>
      </c>
      <c r="BW256">
        <f>IF(BW$4=0,0,IF(COUNTIFS(実績!$W$6:$W$505,BW$3,実績!$AC$6:$AC$505,"&lt;="&amp;$A256,実績!$AD$6:$AD$505,"&gt;"&amp;$A256,実績!$AE$6:$AE$505,"○")&gt;0,1,0))</f>
        <v/>
      </c>
      <c r="BX256">
        <f>IF(BX$4=0,0,IF(COUNTIFS(実績!$W$6:$W$505,BX$3,実績!$AC$6:$AC$505,"&lt;="&amp;$A256,実績!$AD$6:$AD$505,"&gt;"&amp;$A256,実績!$AE$6:$AE$505,"○")&gt;0,1,0))</f>
        <v/>
      </c>
      <c r="BY256">
        <f>IF(BY$4=0,0,IF(COUNTIFS(実績!$W$6:$W$505,BY$3,実績!$AC$6:$AC$505,"&lt;="&amp;$A256,実績!$AD$6:$AD$505,"&gt;"&amp;$A256,実績!$AE$6:$AE$505,"○")&gt;0,1,0))</f>
        <v/>
      </c>
      <c r="BZ256">
        <f>IF(BZ$4=0,0,IF(COUNTIFS(実績!$W$6:$W$505,BZ$3,実績!$AC$6:$AC$505,"&lt;="&amp;$A256,実績!$AD$6:$AD$505,"&gt;"&amp;$A256,実績!$AE$6:$AE$505,"○")&gt;0,1,0))</f>
        <v/>
      </c>
      <c r="CA256">
        <f>IF(CA$4=0,0,IF(COUNTIFS(実績!$W$6:$W$505,CA$3,実績!$AC$6:$AC$505,"&lt;="&amp;$A256,実績!$AD$6:$AD$505,"&gt;"&amp;$A256,実績!$AE$6:$AE$505,"○")&gt;0,1,0))</f>
        <v/>
      </c>
      <c r="CB256">
        <f>IF(CB$4=0,0,IF(COUNTIFS(実績!$W$6:$W$505,CB$3,実績!$AC$6:$AC$505,"&lt;="&amp;$A256,実績!$AD$6:$AD$505,"&gt;"&amp;$A256,実績!$AE$6:$AE$505,"○")&gt;0,1,0))</f>
        <v/>
      </c>
      <c r="CC256">
        <f>IF(CC$4=0,0,IF(COUNTIFS(実績!$W$6:$W$505,CC$3,実績!$AC$6:$AC$505,"&lt;="&amp;$A256,実績!$AD$6:$AD$505,"&gt;"&amp;$A256,実績!$AE$6:$AE$505,"○")&gt;0,1,0))</f>
        <v/>
      </c>
      <c r="CD256">
        <f>IF(CD$4=0,0,IF(COUNTIFS(実績!$W$6:$W$505,CD$3,実績!$AC$6:$AC$505,"&lt;="&amp;$A256,実績!$AD$6:$AD$505,"&gt;"&amp;$A256,実績!$AE$6:$AE$505,"○")&gt;0,1,0))</f>
        <v/>
      </c>
      <c r="CE256">
        <f>IF(CE$4=0,0,IF(COUNTIFS(実績!$W$6:$W$505,CE$3,実績!$AC$6:$AC$505,"&lt;="&amp;$A256,実績!$AD$6:$AD$505,"&gt;"&amp;$A256,実績!$AE$6:$AE$505,"○")&gt;0,1,0))</f>
        <v/>
      </c>
      <c r="CF256">
        <f>IF(CF$4=0,0,IF(COUNTIFS(実績!$W$6:$W$505,CF$3,実績!$AC$6:$AC$505,"&lt;="&amp;$A256,実績!$AD$6:$AD$505,"&gt;"&amp;$A256,実績!$AE$6:$AE$505,"○")&gt;0,1,0))</f>
        <v/>
      </c>
      <c r="CG256">
        <f>IF(CG$4=0,0,IF(COUNTIFS(実績!$W$6:$W$505,CG$3,実績!$AC$6:$AC$505,"&lt;="&amp;$A256,実績!$AD$6:$AD$505,"&gt;"&amp;$A256,実績!$AE$6:$AE$505,"○")&gt;0,1,0))</f>
        <v/>
      </c>
      <c r="CH256">
        <f>IF(CH$4=0,0,IF(COUNTIFS(実績!$W$6:$W$505,CH$3,実績!$AC$6:$AC$505,"&lt;="&amp;$A256,実績!$AD$6:$AD$505,"&gt;"&amp;$A256,実績!$AE$6:$AE$505,"○")&gt;0,1,0))</f>
        <v/>
      </c>
      <c r="CI256">
        <f>IF(CI$4=0,0,IF(COUNTIFS(実績!$W$6:$W$505,CI$3,実績!$AC$6:$AC$505,"&lt;="&amp;$A256,実績!$AD$6:$AD$505,"&gt;"&amp;$A256,実績!$AE$6:$AE$505,"○")&gt;0,1,0))</f>
        <v/>
      </c>
      <c r="CJ256">
        <f>IF(CJ$4=0,0,IF(COUNTIFS(実績!$W$6:$W$505,CJ$3,実績!$AC$6:$AC$505,"&lt;="&amp;$A256,実績!$AD$6:$AD$505,"&gt;"&amp;$A256,実績!$AE$6:$AE$505,"○")&gt;0,1,0))</f>
        <v/>
      </c>
      <c r="CK256">
        <f>IF(CK$4=0,0,IF(COUNTIFS(実績!$W$6:$W$505,CK$3,実績!$AC$6:$AC$505,"&lt;="&amp;$A256,実績!$AD$6:$AD$505,"&gt;"&amp;$A256,実績!$AE$6:$AE$505,"○")&gt;0,1,0))</f>
        <v/>
      </c>
      <c r="CL256">
        <f>IF(CL$4=0,0,IF(COUNTIFS(実績!$W$6:$W$505,CL$3,実績!$AC$6:$AC$505,"&lt;="&amp;$A256,実績!$AD$6:$AD$505,"&gt;"&amp;$A256,実績!$AE$6:$AE$505,"○")&gt;0,1,0))</f>
        <v/>
      </c>
      <c r="CM256">
        <f>IF(CM$4=0,0,IF(COUNTIFS(実績!$W$6:$W$505,CM$3,実績!$AC$6:$AC$505,"&lt;="&amp;$A256,実績!$AD$6:$AD$505,"&gt;"&amp;$A256,実績!$AE$6:$AE$505,"○")&gt;0,1,0))</f>
        <v/>
      </c>
      <c r="CN256">
        <f>IF(CN$4=0,0,IF(COUNTIFS(実績!$W$6:$W$505,CN$3,実績!$AC$6:$AC$505,"&lt;="&amp;$A256,実績!$AD$6:$AD$505,"&gt;"&amp;$A256,実績!$AE$6:$AE$505,"○")&gt;0,1,0))</f>
        <v/>
      </c>
      <c r="CO256">
        <f>IF(CO$4=0,0,IF(COUNTIFS(実績!$W$6:$W$505,CO$3,実績!$AC$6:$AC$505,"&lt;="&amp;$A256,実績!$AD$6:$AD$505,"&gt;"&amp;$A256,実績!$AE$6:$AE$505,"○")&gt;0,1,0))</f>
        <v/>
      </c>
      <c r="CP256">
        <f>IF(CP$4=0,0,IF(COUNTIFS(実績!$W$6:$W$505,CP$3,実績!$AC$6:$AC$505,"&lt;="&amp;$A256,実績!$AD$6:$AD$505,"&gt;"&amp;$A256,実績!$AE$6:$AE$505,"○")&gt;0,1,0))</f>
        <v/>
      </c>
      <c r="CQ256">
        <f>IF(CQ$4=0,0,IF(COUNTIFS(実績!$W$6:$W$505,CQ$3,実績!$AC$6:$AC$505,"&lt;="&amp;$A256,実績!$AD$6:$AD$505,"&gt;"&amp;$A256,実績!$AE$6:$AE$505,"○")&gt;0,1,0))</f>
        <v/>
      </c>
      <c r="CR256">
        <f>IF(CR$4=0,0,IF(COUNTIFS(実績!$W$6:$W$505,CR$3,実績!$AC$6:$AC$505,"&lt;="&amp;$A256,実績!$AD$6:$AD$505,"&gt;"&amp;$A256,実績!$AE$6:$AE$505,"○")&gt;0,1,0))</f>
        <v/>
      </c>
      <c r="CS256">
        <f>IF(CS$4=0,0,IF(COUNTIFS(実績!$W$6:$W$505,CS$3,実績!$AC$6:$AC$505,"&lt;="&amp;$A256,実績!$AD$6:$AD$505,"&gt;"&amp;$A256,実績!$AE$6:$AE$505,"○")&gt;0,1,0))</f>
        <v/>
      </c>
      <c r="CT256">
        <f>IF(CT$4=0,0,IF(COUNTIFS(実績!$W$6:$W$505,CT$3,実績!$AC$6:$AC$505,"&lt;="&amp;$A256,実績!$AD$6:$AD$505,"&gt;"&amp;$A256,実績!$AE$6:$AE$505,"○")&gt;0,1,0))</f>
        <v/>
      </c>
      <c r="CU256">
        <f>IF(CU$4=0,0,IF(COUNTIFS(実績!$W$6:$W$505,CU$3,実績!$AC$6:$AC$505,"&lt;="&amp;$A256,実績!$AD$6:$AD$505,"&gt;"&amp;$A256,実績!$AE$6:$AE$505,"○")&gt;0,1,0))</f>
        <v/>
      </c>
      <c r="CV256">
        <f>IF(CV$4=0,0,IF(COUNTIFS(実績!$W$6:$W$505,CV$3,実績!$AC$6:$AC$505,"&lt;="&amp;$A256,実績!$AD$6:$AD$505,"&gt;"&amp;$A256,実績!$AE$6:$AE$505,"○")&gt;0,1,0))</f>
        <v/>
      </c>
      <c r="CW256">
        <f>IF(CW$4=0,0,IF(COUNTIFS(実績!$W$6:$W$505,CW$3,実績!$AC$6:$AC$505,"&lt;="&amp;$A256,実績!$AD$6:$AD$505,"&gt;"&amp;$A256,実績!$AE$6:$AE$505,"○")&gt;0,1,0))</f>
        <v/>
      </c>
      <c r="CX256">
        <f>IF(CX$4=0,0,IF(COUNTIFS(実績!$W$6:$W$505,CX$3,実績!$AC$6:$AC$505,"&lt;="&amp;$A256,実績!$AD$6:$AD$505,"&gt;"&amp;$A256,実績!$AE$6:$AE$505,"○")&gt;0,1,0))</f>
        <v/>
      </c>
      <c r="CY256">
        <f>IF(CY$4=0,0,IF(COUNTIFS(実績!$W$6:$W$505,CY$3,実績!$AC$6:$AC$505,"&lt;="&amp;$A256,実績!$AD$6:$AD$505,"&gt;"&amp;$A256,実績!$AE$6:$AE$505,"○")&gt;0,1,0))</f>
        <v/>
      </c>
      <c r="CZ256">
        <f>IF(CZ$4=0,0,IF(COUNTIFS(実績!$W$6:$W$505,CZ$3,実績!$AC$6:$AC$505,"&lt;="&amp;$A256,実績!$AD$6:$AD$505,"&gt;"&amp;$A256,実績!$AE$6:$AE$505,"○")&gt;0,1,0))</f>
        <v/>
      </c>
      <c r="DA256">
        <f>IF(DA$4=0,0,IF(COUNTIFS(実績!$W$6:$W$505,DA$3,実績!$AC$6:$AC$505,"&lt;="&amp;$A256,実績!$AD$6:$AD$505,"&gt;"&amp;$A256,実績!$AE$6:$AE$505,"○")&gt;0,1,0))</f>
        <v/>
      </c>
      <c r="DB256">
        <f>IF(DB$4=0,0,IF(COUNTIFS(実績!$W$6:$W$505,DB$3,実績!$AC$6:$AC$505,"&lt;="&amp;$A256,実績!$AD$6:$AD$505,"&gt;"&amp;$A256,実績!$AE$6:$AE$505,"○")&gt;0,1,0))</f>
        <v/>
      </c>
      <c r="DC256">
        <f>IF(DC$4=0,0,IF(COUNTIFS(実績!$W$6:$W$505,DC$3,実績!$AC$6:$AC$505,"&lt;="&amp;$A256,実績!$AD$6:$AD$505,"&gt;"&amp;$A256,実績!$AE$6:$AE$505,"○")&gt;0,1,0))</f>
        <v/>
      </c>
      <c r="DD256">
        <f>IF(DD$4=0,0,IF(COUNTIFS(実績!$W$6:$W$505,DD$3,実績!$AC$6:$AC$505,"&lt;="&amp;$A256,実績!$AD$6:$AD$505,"&gt;"&amp;$A256,実績!$AE$6:$AE$505,"○")&gt;0,1,0))</f>
        <v/>
      </c>
      <c r="DE256">
        <f>IF(DE$4=0,0,IF(COUNTIFS(実績!$W$6:$W$505,DE$3,実績!$AC$6:$AC$505,"&lt;="&amp;$A256,実績!$AD$6:$AD$505,"&gt;"&amp;$A256,実績!$AE$6:$AE$505,"○")&gt;0,1,0))</f>
        <v/>
      </c>
      <c r="DF256">
        <f>IF(DF$4=0,0,IF(COUNTIFS(実績!$W$6:$W$505,DF$3,実績!$AC$6:$AC$505,"&lt;="&amp;$A256,実績!$AD$6:$AD$505,"&gt;"&amp;$A256,実績!$AE$6:$AE$505,"○")&gt;0,1,0))</f>
        <v/>
      </c>
      <c r="DG256">
        <f>IF(DG$4=0,0,IF(COUNTIFS(実績!$W$6:$W$505,DG$3,実績!$AC$6:$AC$505,"&lt;="&amp;$A256,実績!$AD$6:$AD$505,"&gt;"&amp;$A256,実績!$AE$6:$AE$505,"○")&gt;0,1,0))</f>
        <v/>
      </c>
      <c r="DH256">
        <f>IF(DH$4=0,0,IF(COUNTIFS(実績!$W$6:$W$505,DH$3,実績!$AC$6:$AC$505,"&lt;="&amp;$A256,実績!$AD$6:$AD$505,"&gt;"&amp;$A256,実績!$AE$6:$AE$505,"○")&gt;0,1,0))</f>
        <v/>
      </c>
      <c r="DI256">
        <f>IF(DI$4=0,0,IF(COUNTIFS(実績!$W$6:$W$505,DI$3,実績!$AC$6:$AC$505,"&lt;="&amp;$A256,実績!$AD$6:$AD$505,"&gt;"&amp;$A256,実績!$AE$6:$AE$505,"○")&gt;0,1,0))</f>
        <v/>
      </c>
      <c r="DJ256">
        <f>IF(DJ$4=0,0,IF(COUNTIFS(実績!$W$6:$W$505,DJ$3,実績!$AC$6:$AC$505,"&lt;="&amp;$A256,実績!$AD$6:$AD$505,"&gt;"&amp;$A256,実績!$AE$6:$AE$505,"○")&gt;0,1,0))</f>
        <v/>
      </c>
      <c r="DK256">
        <f>IF(DK$4=0,0,IF(COUNTIFS(実績!$W$6:$W$505,DK$3,実績!$AC$6:$AC$505,"&lt;="&amp;$A256,実績!$AD$6:$AD$505,"&gt;"&amp;$A256,実績!$AE$6:$AE$505,"○")&gt;0,1,0))</f>
        <v/>
      </c>
      <c r="DL256">
        <f>IF(DL$4=0,0,IF(COUNTIFS(実績!$W$6:$W$505,DL$3,実績!$AC$6:$AC$505,"&lt;="&amp;$A256,実績!$AD$6:$AD$505,"&gt;"&amp;$A256,実績!$AE$6:$AE$505,"○")&gt;0,1,0))</f>
        <v/>
      </c>
      <c r="DM256">
        <f>IF(DM$4=0,0,IF(COUNTIFS(実績!$W$6:$W$505,DM$3,実績!$AC$6:$AC$505,"&lt;="&amp;$A256,実績!$AD$6:$AD$505,"&gt;"&amp;$A256,実績!$AE$6:$AE$505,"○")&gt;0,1,0))</f>
        <v/>
      </c>
      <c r="DN256">
        <f>IF(DN$4=0,0,IF(COUNTIFS(実績!$W$6:$W$505,DN$3,実績!$AC$6:$AC$505,"&lt;="&amp;$A256,実績!$AD$6:$AD$505,"&gt;"&amp;$A256,実績!$AE$6:$AE$505,"○")&gt;0,1,0))</f>
        <v/>
      </c>
      <c r="DO256">
        <f>IF(DO$4=0,0,IF(COUNTIFS(実績!$W$6:$W$505,DO$3,実績!$AC$6:$AC$505,"&lt;="&amp;$A256,実績!$AD$6:$AD$505,"&gt;"&amp;$A256,実績!$AE$6:$AE$505,"○")&gt;0,1,0))</f>
        <v/>
      </c>
      <c r="DP256">
        <f>IF(DP$4=0,0,IF(COUNTIFS(実績!$W$6:$W$505,DP$3,実績!$AC$6:$AC$505,"&lt;="&amp;$A256,実績!$AD$6:$AD$505,"&gt;"&amp;$A256,実績!$AE$6:$AE$505,"○")&gt;0,1,0))</f>
        <v/>
      </c>
      <c r="DQ256">
        <f>IF(DQ$4=0,0,IF(COUNTIFS(実績!$W$6:$W$505,DQ$3,実績!$AC$6:$AC$505,"&lt;="&amp;$A256,実績!$AD$6:$AD$505,"&gt;"&amp;$A256,実績!$AE$6:$AE$505,"○")&gt;0,1,0))</f>
        <v/>
      </c>
      <c r="DR256">
        <f>IF(DR$4=0,0,IF(COUNTIFS(実績!$W$6:$W$505,DR$3,実績!$AC$6:$AC$505,"&lt;="&amp;$A256,実績!$AD$6:$AD$505,"&gt;"&amp;$A256,実績!$AE$6:$AE$505,"○")&gt;0,1,0))</f>
        <v/>
      </c>
      <c r="DS256">
        <f>SUM(C256:DR256)</f>
        <v/>
      </c>
      <c r="DT256">
        <f>SUMPRODUCT((実績!$C$6:$C$505="○")*ISNUMBER(実績!$AF$6:$AF$505)*(実績!$AF$6:$AF$505&lt;=$A256)*(実績!$AG$6:$AG$505&gt;$A256))</f>
        <v/>
      </c>
      <c r="DU256">
        <f>SUMIF($C$2:$DR$2,"製鉄曳船",C256:DR256)</f>
        <v/>
      </c>
      <c r="DV256">
        <f>SUMIF($C$2:$DR$2,"西日本海運",C256:DR256)</f>
        <v/>
      </c>
    </row>
    <row r="257">
      <c r="A257" t="n">
        <v>1255</v>
      </c>
      <c r="B257" s="29">
        <f>A257/1440</f>
        <v/>
      </c>
      <c r="C257">
        <f>IF(C$4=0,0,IF(COUNTIFS(実績!$W$6:$W$505,C$3,実績!$AC$6:$AC$505,"&lt;="&amp;$A257,実績!$AD$6:$AD$505,"&gt;"&amp;$A257,実績!$AE$6:$AE$505,"○")&gt;0,1,0))</f>
        <v/>
      </c>
      <c r="D257">
        <f>IF(D$4=0,0,IF(COUNTIFS(実績!$W$6:$W$505,D$3,実績!$AC$6:$AC$505,"&lt;="&amp;$A257,実績!$AD$6:$AD$505,"&gt;"&amp;$A257,実績!$AE$6:$AE$505,"○")&gt;0,1,0))</f>
        <v/>
      </c>
      <c r="E257">
        <f>IF(E$4=0,0,IF(COUNTIFS(実績!$W$6:$W$505,E$3,実績!$AC$6:$AC$505,"&lt;="&amp;$A257,実績!$AD$6:$AD$505,"&gt;"&amp;$A257,実績!$AE$6:$AE$505,"○")&gt;0,1,0))</f>
        <v/>
      </c>
      <c r="F257">
        <f>IF(F$4=0,0,IF(COUNTIFS(実績!$W$6:$W$505,F$3,実績!$AC$6:$AC$505,"&lt;="&amp;$A257,実績!$AD$6:$AD$505,"&gt;"&amp;$A257,実績!$AE$6:$AE$505,"○")&gt;0,1,0))</f>
        <v/>
      </c>
      <c r="G257">
        <f>IF(G$4=0,0,IF(COUNTIFS(実績!$W$6:$W$505,G$3,実績!$AC$6:$AC$505,"&lt;="&amp;$A257,実績!$AD$6:$AD$505,"&gt;"&amp;$A257,実績!$AE$6:$AE$505,"○")&gt;0,1,0))</f>
        <v/>
      </c>
      <c r="H257">
        <f>IF(H$4=0,0,IF(COUNTIFS(実績!$W$6:$W$505,H$3,実績!$AC$6:$AC$505,"&lt;="&amp;$A257,実績!$AD$6:$AD$505,"&gt;"&amp;$A257,実績!$AE$6:$AE$505,"○")&gt;0,1,0))</f>
        <v/>
      </c>
      <c r="I257">
        <f>IF(I$4=0,0,IF(COUNTIFS(実績!$W$6:$W$505,I$3,実績!$AC$6:$AC$505,"&lt;="&amp;$A257,実績!$AD$6:$AD$505,"&gt;"&amp;$A257,実績!$AE$6:$AE$505,"○")&gt;0,1,0))</f>
        <v/>
      </c>
      <c r="J257">
        <f>IF(J$4=0,0,IF(COUNTIFS(実績!$W$6:$W$505,J$3,実績!$AC$6:$AC$505,"&lt;="&amp;$A257,実績!$AD$6:$AD$505,"&gt;"&amp;$A257,実績!$AE$6:$AE$505,"○")&gt;0,1,0))</f>
        <v/>
      </c>
      <c r="K257">
        <f>IF(K$4=0,0,IF(COUNTIFS(実績!$W$6:$W$505,K$3,実績!$AC$6:$AC$505,"&lt;="&amp;$A257,実績!$AD$6:$AD$505,"&gt;"&amp;$A257,実績!$AE$6:$AE$505,"○")&gt;0,1,0))</f>
        <v/>
      </c>
      <c r="L257">
        <f>IF(L$4=0,0,IF(COUNTIFS(実績!$W$6:$W$505,L$3,実績!$AC$6:$AC$505,"&lt;="&amp;$A257,実績!$AD$6:$AD$505,"&gt;"&amp;$A257,実績!$AE$6:$AE$505,"○")&gt;0,1,0))</f>
        <v/>
      </c>
      <c r="M257">
        <f>IF(M$4=0,0,IF(COUNTIFS(実績!$W$6:$W$505,M$3,実績!$AC$6:$AC$505,"&lt;="&amp;$A257,実績!$AD$6:$AD$505,"&gt;"&amp;$A257,実績!$AE$6:$AE$505,"○")&gt;0,1,0))</f>
        <v/>
      </c>
      <c r="N257">
        <f>IF(N$4=0,0,IF(COUNTIFS(実績!$W$6:$W$505,N$3,実績!$AC$6:$AC$505,"&lt;="&amp;$A257,実績!$AD$6:$AD$505,"&gt;"&amp;$A257,実績!$AE$6:$AE$505,"○")&gt;0,1,0))</f>
        <v/>
      </c>
      <c r="O257">
        <f>IF(O$4=0,0,IF(COUNTIFS(実績!$W$6:$W$505,O$3,実績!$AC$6:$AC$505,"&lt;="&amp;$A257,実績!$AD$6:$AD$505,"&gt;"&amp;$A257,実績!$AE$6:$AE$505,"○")&gt;0,1,0))</f>
        <v/>
      </c>
      <c r="P257">
        <f>IF(P$4=0,0,IF(COUNTIFS(実績!$W$6:$W$505,P$3,実績!$AC$6:$AC$505,"&lt;="&amp;$A257,実績!$AD$6:$AD$505,"&gt;"&amp;$A257,実績!$AE$6:$AE$505,"○")&gt;0,1,0))</f>
        <v/>
      </c>
      <c r="Q257">
        <f>IF(Q$4=0,0,IF(COUNTIFS(実績!$W$6:$W$505,Q$3,実績!$AC$6:$AC$505,"&lt;="&amp;$A257,実績!$AD$6:$AD$505,"&gt;"&amp;$A257,実績!$AE$6:$AE$505,"○")&gt;0,1,0))</f>
        <v/>
      </c>
      <c r="R257">
        <f>IF(R$4=0,0,IF(COUNTIFS(実績!$W$6:$W$505,R$3,実績!$AC$6:$AC$505,"&lt;="&amp;$A257,実績!$AD$6:$AD$505,"&gt;"&amp;$A257,実績!$AE$6:$AE$505,"○")&gt;0,1,0))</f>
        <v/>
      </c>
      <c r="S257">
        <f>IF(S$4=0,0,IF(COUNTIFS(実績!$W$6:$W$505,S$3,実績!$AC$6:$AC$505,"&lt;="&amp;$A257,実績!$AD$6:$AD$505,"&gt;"&amp;$A257,実績!$AE$6:$AE$505,"○")&gt;0,1,0))</f>
        <v/>
      </c>
      <c r="T257">
        <f>IF(T$4=0,0,IF(COUNTIFS(実績!$W$6:$W$505,T$3,実績!$AC$6:$AC$505,"&lt;="&amp;$A257,実績!$AD$6:$AD$505,"&gt;"&amp;$A257,実績!$AE$6:$AE$505,"○")&gt;0,1,0))</f>
        <v/>
      </c>
      <c r="U257">
        <f>IF(U$4=0,0,IF(COUNTIFS(実績!$W$6:$W$505,U$3,実績!$AC$6:$AC$505,"&lt;="&amp;$A257,実績!$AD$6:$AD$505,"&gt;"&amp;$A257,実績!$AE$6:$AE$505,"○")&gt;0,1,0))</f>
        <v/>
      </c>
      <c r="V257">
        <f>IF(V$4=0,0,IF(COUNTIFS(実績!$W$6:$W$505,V$3,実績!$AC$6:$AC$505,"&lt;="&amp;$A257,実績!$AD$6:$AD$505,"&gt;"&amp;$A257,実績!$AE$6:$AE$505,"○")&gt;0,1,0))</f>
        <v/>
      </c>
      <c r="W257">
        <f>IF(W$4=0,0,IF(COUNTIFS(実績!$W$6:$W$505,W$3,実績!$AC$6:$AC$505,"&lt;="&amp;$A257,実績!$AD$6:$AD$505,"&gt;"&amp;$A257,実績!$AE$6:$AE$505,"○")&gt;0,1,0))</f>
        <v/>
      </c>
      <c r="X257">
        <f>IF(X$4=0,0,IF(COUNTIFS(実績!$W$6:$W$505,X$3,実績!$AC$6:$AC$505,"&lt;="&amp;$A257,実績!$AD$6:$AD$505,"&gt;"&amp;$A257,実績!$AE$6:$AE$505,"○")&gt;0,1,0))</f>
        <v/>
      </c>
      <c r="Y257">
        <f>IF(Y$4=0,0,IF(COUNTIFS(実績!$W$6:$W$505,Y$3,実績!$AC$6:$AC$505,"&lt;="&amp;$A257,実績!$AD$6:$AD$505,"&gt;"&amp;$A257,実績!$AE$6:$AE$505,"○")&gt;0,1,0))</f>
        <v/>
      </c>
      <c r="Z257">
        <f>IF(Z$4=0,0,IF(COUNTIFS(実績!$W$6:$W$505,Z$3,実績!$AC$6:$AC$505,"&lt;="&amp;$A257,実績!$AD$6:$AD$505,"&gt;"&amp;$A257,実績!$AE$6:$AE$505,"○")&gt;0,1,0))</f>
        <v/>
      </c>
      <c r="AA257">
        <f>IF(AA$4=0,0,IF(COUNTIFS(実績!$W$6:$W$505,AA$3,実績!$AC$6:$AC$505,"&lt;="&amp;$A257,実績!$AD$6:$AD$505,"&gt;"&amp;$A257,実績!$AE$6:$AE$505,"○")&gt;0,1,0))</f>
        <v/>
      </c>
      <c r="AB257">
        <f>IF(AB$4=0,0,IF(COUNTIFS(実績!$W$6:$W$505,AB$3,実績!$AC$6:$AC$505,"&lt;="&amp;$A257,実績!$AD$6:$AD$505,"&gt;"&amp;$A257,実績!$AE$6:$AE$505,"○")&gt;0,1,0))</f>
        <v/>
      </c>
      <c r="AC257">
        <f>IF(AC$4=0,0,IF(COUNTIFS(実績!$W$6:$W$505,AC$3,実績!$AC$6:$AC$505,"&lt;="&amp;$A257,実績!$AD$6:$AD$505,"&gt;"&amp;$A257,実績!$AE$6:$AE$505,"○")&gt;0,1,0))</f>
        <v/>
      </c>
      <c r="AD257">
        <f>IF(AD$4=0,0,IF(COUNTIFS(実績!$W$6:$W$505,AD$3,実績!$AC$6:$AC$505,"&lt;="&amp;$A257,実績!$AD$6:$AD$505,"&gt;"&amp;$A257,実績!$AE$6:$AE$505,"○")&gt;0,1,0))</f>
        <v/>
      </c>
      <c r="AE257">
        <f>IF(AE$4=0,0,IF(COUNTIFS(実績!$W$6:$W$505,AE$3,実績!$AC$6:$AC$505,"&lt;="&amp;$A257,実績!$AD$6:$AD$505,"&gt;"&amp;$A257,実績!$AE$6:$AE$505,"○")&gt;0,1,0))</f>
        <v/>
      </c>
      <c r="AF257">
        <f>IF(AF$4=0,0,IF(COUNTIFS(実績!$W$6:$W$505,AF$3,実績!$AC$6:$AC$505,"&lt;="&amp;$A257,実績!$AD$6:$AD$505,"&gt;"&amp;$A257,実績!$AE$6:$AE$505,"○")&gt;0,1,0))</f>
        <v/>
      </c>
      <c r="AG257">
        <f>IF(AG$4=0,0,IF(COUNTIFS(実績!$W$6:$W$505,AG$3,実績!$AC$6:$AC$505,"&lt;="&amp;$A257,実績!$AD$6:$AD$505,"&gt;"&amp;$A257,実績!$AE$6:$AE$505,"○")&gt;0,1,0))</f>
        <v/>
      </c>
      <c r="AH257">
        <f>IF(AH$4=0,0,IF(COUNTIFS(実績!$W$6:$W$505,AH$3,実績!$AC$6:$AC$505,"&lt;="&amp;$A257,実績!$AD$6:$AD$505,"&gt;"&amp;$A257,実績!$AE$6:$AE$505,"○")&gt;0,1,0))</f>
        <v/>
      </c>
      <c r="AI257">
        <f>IF(AI$4=0,0,IF(COUNTIFS(実績!$W$6:$W$505,AI$3,実績!$AC$6:$AC$505,"&lt;="&amp;$A257,実績!$AD$6:$AD$505,"&gt;"&amp;$A257,実績!$AE$6:$AE$505,"○")&gt;0,1,0))</f>
        <v/>
      </c>
      <c r="AJ257">
        <f>IF(AJ$4=0,0,IF(COUNTIFS(実績!$W$6:$W$505,AJ$3,実績!$AC$6:$AC$505,"&lt;="&amp;$A257,実績!$AD$6:$AD$505,"&gt;"&amp;$A257,実績!$AE$6:$AE$505,"○")&gt;0,1,0))</f>
        <v/>
      </c>
      <c r="AK257">
        <f>IF(AK$4=0,0,IF(COUNTIFS(実績!$W$6:$W$505,AK$3,実績!$AC$6:$AC$505,"&lt;="&amp;$A257,実績!$AD$6:$AD$505,"&gt;"&amp;$A257,実績!$AE$6:$AE$505,"○")&gt;0,1,0))</f>
        <v/>
      </c>
      <c r="AL257">
        <f>IF(AL$4=0,0,IF(COUNTIFS(実績!$W$6:$W$505,AL$3,実績!$AC$6:$AC$505,"&lt;="&amp;$A257,実績!$AD$6:$AD$505,"&gt;"&amp;$A257,実績!$AE$6:$AE$505,"○")&gt;0,1,0))</f>
        <v/>
      </c>
      <c r="AM257">
        <f>IF(AM$4=0,0,IF(COUNTIFS(実績!$W$6:$W$505,AM$3,実績!$AC$6:$AC$505,"&lt;="&amp;$A257,実績!$AD$6:$AD$505,"&gt;"&amp;$A257,実績!$AE$6:$AE$505,"○")&gt;0,1,0))</f>
        <v/>
      </c>
      <c r="AN257">
        <f>IF(AN$4=0,0,IF(COUNTIFS(実績!$W$6:$W$505,AN$3,実績!$AC$6:$AC$505,"&lt;="&amp;$A257,実績!$AD$6:$AD$505,"&gt;"&amp;$A257,実績!$AE$6:$AE$505,"○")&gt;0,1,0))</f>
        <v/>
      </c>
      <c r="AO257">
        <f>IF(AO$4=0,0,IF(COUNTIFS(実績!$W$6:$W$505,AO$3,実績!$AC$6:$AC$505,"&lt;="&amp;$A257,実績!$AD$6:$AD$505,"&gt;"&amp;$A257,実績!$AE$6:$AE$505,"○")&gt;0,1,0))</f>
        <v/>
      </c>
      <c r="AP257">
        <f>IF(AP$4=0,0,IF(COUNTIFS(実績!$W$6:$W$505,AP$3,実績!$AC$6:$AC$505,"&lt;="&amp;$A257,実績!$AD$6:$AD$505,"&gt;"&amp;$A257,実績!$AE$6:$AE$505,"○")&gt;0,1,0))</f>
        <v/>
      </c>
      <c r="AQ257">
        <f>IF(AQ$4=0,0,IF(COUNTIFS(実績!$W$6:$W$505,AQ$3,実績!$AC$6:$AC$505,"&lt;="&amp;$A257,実績!$AD$6:$AD$505,"&gt;"&amp;$A257,実績!$AE$6:$AE$505,"○")&gt;0,1,0))</f>
        <v/>
      </c>
      <c r="AR257">
        <f>IF(AR$4=0,0,IF(COUNTIFS(実績!$W$6:$W$505,AR$3,実績!$AC$6:$AC$505,"&lt;="&amp;$A257,実績!$AD$6:$AD$505,"&gt;"&amp;$A257,実績!$AE$6:$AE$505,"○")&gt;0,1,0))</f>
        <v/>
      </c>
      <c r="AS257">
        <f>IF(AS$4=0,0,IF(COUNTIFS(実績!$W$6:$W$505,AS$3,実績!$AC$6:$AC$505,"&lt;="&amp;$A257,実績!$AD$6:$AD$505,"&gt;"&amp;$A257,実績!$AE$6:$AE$505,"○")&gt;0,1,0))</f>
        <v/>
      </c>
      <c r="AT257">
        <f>IF(AT$4=0,0,IF(COUNTIFS(実績!$W$6:$W$505,AT$3,実績!$AC$6:$AC$505,"&lt;="&amp;$A257,実績!$AD$6:$AD$505,"&gt;"&amp;$A257,実績!$AE$6:$AE$505,"○")&gt;0,1,0))</f>
        <v/>
      </c>
      <c r="AU257">
        <f>IF(AU$4=0,0,IF(COUNTIFS(実績!$W$6:$W$505,AU$3,実績!$AC$6:$AC$505,"&lt;="&amp;$A257,実績!$AD$6:$AD$505,"&gt;"&amp;$A257,実績!$AE$6:$AE$505,"○")&gt;0,1,0))</f>
        <v/>
      </c>
      <c r="AV257">
        <f>IF(AV$4=0,0,IF(COUNTIFS(実績!$W$6:$W$505,AV$3,実績!$AC$6:$AC$505,"&lt;="&amp;$A257,実績!$AD$6:$AD$505,"&gt;"&amp;$A257,実績!$AE$6:$AE$505,"○")&gt;0,1,0))</f>
        <v/>
      </c>
      <c r="AW257">
        <f>IF(AW$4=0,0,IF(COUNTIFS(実績!$W$6:$W$505,AW$3,実績!$AC$6:$AC$505,"&lt;="&amp;$A257,実績!$AD$6:$AD$505,"&gt;"&amp;$A257,実績!$AE$6:$AE$505,"○")&gt;0,1,0))</f>
        <v/>
      </c>
      <c r="AX257">
        <f>IF(AX$4=0,0,IF(COUNTIFS(実績!$W$6:$W$505,AX$3,実績!$AC$6:$AC$505,"&lt;="&amp;$A257,実績!$AD$6:$AD$505,"&gt;"&amp;$A257,実績!$AE$6:$AE$505,"○")&gt;0,1,0))</f>
        <v/>
      </c>
      <c r="AY257">
        <f>IF(AY$4=0,0,IF(COUNTIFS(実績!$W$6:$W$505,AY$3,実績!$AC$6:$AC$505,"&lt;="&amp;$A257,実績!$AD$6:$AD$505,"&gt;"&amp;$A257,実績!$AE$6:$AE$505,"○")&gt;0,1,0))</f>
        <v/>
      </c>
      <c r="AZ257">
        <f>IF(AZ$4=0,0,IF(COUNTIFS(実績!$W$6:$W$505,AZ$3,実績!$AC$6:$AC$505,"&lt;="&amp;$A257,実績!$AD$6:$AD$505,"&gt;"&amp;$A257,実績!$AE$6:$AE$505,"○")&gt;0,1,0))</f>
        <v/>
      </c>
      <c r="BA257">
        <f>IF(BA$4=0,0,IF(COUNTIFS(実績!$W$6:$W$505,BA$3,実績!$AC$6:$AC$505,"&lt;="&amp;$A257,実績!$AD$6:$AD$505,"&gt;"&amp;$A257,実績!$AE$6:$AE$505,"○")&gt;0,1,0))</f>
        <v/>
      </c>
      <c r="BB257">
        <f>IF(BB$4=0,0,IF(COUNTIFS(実績!$W$6:$W$505,BB$3,実績!$AC$6:$AC$505,"&lt;="&amp;$A257,実績!$AD$6:$AD$505,"&gt;"&amp;$A257,実績!$AE$6:$AE$505,"○")&gt;0,1,0))</f>
        <v/>
      </c>
      <c r="BC257">
        <f>IF(BC$4=0,0,IF(COUNTIFS(実績!$W$6:$W$505,BC$3,実績!$AC$6:$AC$505,"&lt;="&amp;$A257,実績!$AD$6:$AD$505,"&gt;"&amp;$A257,実績!$AE$6:$AE$505,"○")&gt;0,1,0))</f>
        <v/>
      </c>
      <c r="BD257">
        <f>IF(BD$4=0,0,IF(COUNTIFS(実績!$W$6:$W$505,BD$3,実績!$AC$6:$AC$505,"&lt;="&amp;$A257,実績!$AD$6:$AD$505,"&gt;"&amp;$A257,実績!$AE$6:$AE$505,"○")&gt;0,1,0))</f>
        <v/>
      </c>
      <c r="BE257">
        <f>IF(BE$4=0,0,IF(COUNTIFS(実績!$W$6:$W$505,BE$3,実績!$AC$6:$AC$505,"&lt;="&amp;$A257,実績!$AD$6:$AD$505,"&gt;"&amp;$A257,実績!$AE$6:$AE$505,"○")&gt;0,1,0))</f>
        <v/>
      </c>
      <c r="BF257">
        <f>IF(BF$4=0,0,IF(COUNTIFS(実績!$W$6:$W$505,BF$3,実績!$AC$6:$AC$505,"&lt;="&amp;$A257,実績!$AD$6:$AD$505,"&gt;"&amp;$A257,実績!$AE$6:$AE$505,"○")&gt;0,1,0))</f>
        <v/>
      </c>
      <c r="BG257">
        <f>IF(BG$4=0,0,IF(COUNTIFS(実績!$W$6:$W$505,BG$3,実績!$AC$6:$AC$505,"&lt;="&amp;$A257,実績!$AD$6:$AD$505,"&gt;"&amp;$A257,実績!$AE$6:$AE$505,"○")&gt;0,1,0))</f>
        <v/>
      </c>
      <c r="BH257">
        <f>IF(BH$4=0,0,IF(COUNTIFS(実績!$W$6:$W$505,BH$3,実績!$AC$6:$AC$505,"&lt;="&amp;$A257,実績!$AD$6:$AD$505,"&gt;"&amp;$A257,実績!$AE$6:$AE$505,"○")&gt;0,1,0))</f>
        <v/>
      </c>
      <c r="BI257">
        <f>IF(BI$4=0,0,IF(COUNTIFS(実績!$W$6:$W$505,BI$3,実績!$AC$6:$AC$505,"&lt;="&amp;$A257,実績!$AD$6:$AD$505,"&gt;"&amp;$A257,実績!$AE$6:$AE$505,"○")&gt;0,1,0))</f>
        <v/>
      </c>
      <c r="BJ257">
        <f>IF(BJ$4=0,0,IF(COUNTIFS(実績!$W$6:$W$505,BJ$3,実績!$AC$6:$AC$505,"&lt;="&amp;$A257,実績!$AD$6:$AD$505,"&gt;"&amp;$A257,実績!$AE$6:$AE$505,"○")&gt;0,1,0))</f>
        <v/>
      </c>
      <c r="BK257">
        <f>IF(BK$4=0,0,IF(COUNTIFS(実績!$W$6:$W$505,BK$3,実績!$AC$6:$AC$505,"&lt;="&amp;$A257,実績!$AD$6:$AD$505,"&gt;"&amp;$A257,実績!$AE$6:$AE$505,"○")&gt;0,1,0))</f>
        <v/>
      </c>
      <c r="BL257">
        <f>IF(BL$4=0,0,IF(COUNTIFS(実績!$W$6:$W$505,BL$3,実績!$AC$6:$AC$505,"&lt;="&amp;$A257,実績!$AD$6:$AD$505,"&gt;"&amp;$A257,実績!$AE$6:$AE$505,"○")&gt;0,1,0))</f>
        <v/>
      </c>
      <c r="BM257">
        <f>IF(BM$4=0,0,IF(COUNTIFS(実績!$W$6:$W$505,BM$3,実績!$AC$6:$AC$505,"&lt;="&amp;$A257,実績!$AD$6:$AD$505,"&gt;"&amp;$A257,実績!$AE$6:$AE$505,"○")&gt;0,1,0))</f>
        <v/>
      </c>
      <c r="BN257">
        <f>IF(BN$4=0,0,IF(COUNTIFS(実績!$W$6:$W$505,BN$3,実績!$AC$6:$AC$505,"&lt;="&amp;$A257,実績!$AD$6:$AD$505,"&gt;"&amp;$A257,実績!$AE$6:$AE$505,"○")&gt;0,1,0))</f>
        <v/>
      </c>
      <c r="BO257">
        <f>IF(BO$4=0,0,IF(COUNTIFS(実績!$W$6:$W$505,BO$3,実績!$AC$6:$AC$505,"&lt;="&amp;$A257,実績!$AD$6:$AD$505,"&gt;"&amp;$A257,実績!$AE$6:$AE$505,"○")&gt;0,1,0))</f>
        <v/>
      </c>
      <c r="BP257">
        <f>IF(BP$4=0,0,IF(COUNTIFS(実績!$W$6:$W$505,BP$3,実績!$AC$6:$AC$505,"&lt;="&amp;$A257,実績!$AD$6:$AD$505,"&gt;"&amp;$A257,実績!$AE$6:$AE$505,"○")&gt;0,1,0))</f>
        <v/>
      </c>
      <c r="BQ257">
        <f>IF(BQ$4=0,0,IF(COUNTIFS(実績!$W$6:$W$505,BQ$3,実績!$AC$6:$AC$505,"&lt;="&amp;$A257,実績!$AD$6:$AD$505,"&gt;"&amp;$A257,実績!$AE$6:$AE$505,"○")&gt;0,1,0))</f>
        <v/>
      </c>
      <c r="BR257">
        <f>IF(BR$4=0,0,IF(COUNTIFS(実績!$W$6:$W$505,BR$3,実績!$AC$6:$AC$505,"&lt;="&amp;$A257,実績!$AD$6:$AD$505,"&gt;"&amp;$A257,実績!$AE$6:$AE$505,"○")&gt;0,1,0))</f>
        <v/>
      </c>
      <c r="BS257">
        <f>IF(BS$4=0,0,IF(COUNTIFS(実績!$W$6:$W$505,BS$3,実績!$AC$6:$AC$505,"&lt;="&amp;$A257,実績!$AD$6:$AD$505,"&gt;"&amp;$A257,実績!$AE$6:$AE$505,"○")&gt;0,1,0))</f>
        <v/>
      </c>
      <c r="BT257">
        <f>IF(BT$4=0,0,IF(COUNTIFS(実績!$W$6:$W$505,BT$3,実績!$AC$6:$AC$505,"&lt;="&amp;$A257,実績!$AD$6:$AD$505,"&gt;"&amp;$A257,実績!$AE$6:$AE$505,"○")&gt;0,1,0))</f>
        <v/>
      </c>
      <c r="BU257">
        <f>IF(BU$4=0,0,IF(COUNTIFS(実績!$W$6:$W$505,BU$3,実績!$AC$6:$AC$505,"&lt;="&amp;$A257,実績!$AD$6:$AD$505,"&gt;"&amp;$A257,実績!$AE$6:$AE$505,"○")&gt;0,1,0))</f>
        <v/>
      </c>
      <c r="BV257">
        <f>IF(BV$4=0,0,IF(COUNTIFS(実績!$W$6:$W$505,BV$3,実績!$AC$6:$AC$505,"&lt;="&amp;$A257,実績!$AD$6:$AD$505,"&gt;"&amp;$A257,実績!$AE$6:$AE$505,"○")&gt;0,1,0))</f>
        <v/>
      </c>
      <c r="BW257">
        <f>IF(BW$4=0,0,IF(COUNTIFS(実績!$W$6:$W$505,BW$3,実績!$AC$6:$AC$505,"&lt;="&amp;$A257,実績!$AD$6:$AD$505,"&gt;"&amp;$A257,実績!$AE$6:$AE$505,"○")&gt;0,1,0))</f>
        <v/>
      </c>
      <c r="BX257">
        <f>IF(BX$4=0,0,IF(COUNTIFS(実績!$W$6:$W$505,BX$3,実績!$AC$6:$AC$505,"&lt;="&amp;$A257,実績!$AD$6:$AD$505,"&gt;"&amp;$A257,実績!$AE$6:$AE$505,"○")&gt;0,1,0))</f>
        <v/>
      </c>
      <c r="BY257">
        <f>IF(BY$4=0,0,IF(COUNTIFS(実績!$W$6:$W$505,BY$3,実績!$AC$6:$AC$505,"&lt;="&amp;$A257,実績!$AD$6:$AD$505,"&gt;"&amp;$A257,実績!$AE$6:$AE$505,"○")&gt;0,1,0))</f>
        <v/>
      </c>
      <c r="BZ257">
        <f>IF(BZ$4=0,0,IF(COUNTIFS(実績!$W$6:$W$505,BZ$3,実績!$AC$6:$AC$505,"&lt;="&amp;$A257,実績!$AD$6:$AD$505,"&gt;"&amp;$A257,実績!$AE$6:$AE$505,"○")&gt;0,1,0))</f>
        <v/>
      </c>
      <c r="CA257">
        <f>IF(CA$4=0,0,IF(COUNTIFS(実績!$W$6:$W$505,CA$3,実績!$AC$6:$AC$505,"&lt;="&amp;$A257,実績!$AD$6:$AD$505,"&gt;"&amp;$A257,実績!$AE$6:$AE$505,"○")&gt;0,1,0))</f>
        <v/>
      </c>
      <c r="CB257">
        <f>IF(CB$4=0,0,IF(COUNTIFS(実績!$W$6:$W$505,CB$3,実績!$AC$6:$AC$505,"&lt;="&amp;$A257,実績!$AD$6:$AD$505,"&gt;"&amp;$A257,実績!$AE$6:$AE$505,"○")&gt;0,1,0))</f>
        <v/>
      </c>
      <c r="CC257">
        <f>IF(CC$4=0,0,IF(COUNTIFS(実績!$W$6:$W$505,CC$3,実績!$AC$6:$AC$505,"&lt;="&amp;$A257,実績!$AD$6:$AD$505,"&gt;"&amp;$A257,実績!$AE$6:$AE$505,"○")&gt;0,1,0))</f>
        <v/>
      </c>
      <c r="CD257">
        <f>IF(CD$4=0,0,IF(COUNTIFS(実績!$W$6:$W$505,CD$3,実績!$AC$6:$AC$505,"&lt;="&amp;$A257,実績!$AD$6:$AD$505,"&gt;"&amp;$A257,実績!$AE$6:$AE$505,"○")&gt;0,1,0))</f>
        <v/>
      </c>
      <c r="CE257">
        <f>IF(CE$4=0,0,IF(COUNTIFS(実績!$W$6:$W$505,CE$3,実績!$AC$6:$AC$505,"&lt;="&amp;$A257,実績!$AD$6:$AD$505,"&gt;"&amp;$A257,実績!$AE$6:$AE$505,"○")&gt;0,1,0))</f>
        <v/>
      </c>
      <c r="CF257">
        <f>IF(CF$4=0,0,IF(COUNTIFS(実績!$W$6:$W$505,CF$3,実績!$AC$6:$AC$505,"&lt;="&amp;$A257,実績!$AD$6:$AD$505,"&gt;"&amp;$A257,実績!$AE$6:$AE$505,"○")&gt;0,1,0))</f>
        <v/>
      </c>
      <c r="CG257">
        <f>IF(CG$4=0,0,IF(COUNTIFS(実績!$W$6:$W$505,CG$3,実績!$AC$6:$AC$505,"&lt;="&amp;$A257,実績!$AD$6:$AD$505,"&gt;"&amp;$A257,実績!$AE$6:$AE$505,"○")&gt;0,1,0))</f>
        <v/>
      </c>
      <c r="CH257">
        <f>IF(CH$4=0,0,IF(COUNTIFS(実績!$W$6:$W$505,CH$3,実績!$AC$6:$AC$505,"&lt;="&amp;$A257,実績!$AD$6:$AD$505,"&gt;"&amp;$A257,実績!$AE$6:$AE$505,"○")&gt;0,1,0))</f>
        <v/>
      </c>
      <c r="CI257">
        <f>IF(CI$4=0,0,IF(COUNTIFS(実績!$W$6:$W$505,CI$3,実績!$AC$6:$AC$505,"&lt;="&amp;$A257,実績!$AD$6:$AD$505,"&gt;"&amp;$A257,実績!$AE$6:$AE$505,"○")&gt;0,1,0))</f>
        <v/>
      </c>
      <c r="CJ257">
        <f>IF(CJ$4=0,0,IF(COUNTIFS(実績!$W$6:$W$505,CJ$3,実績!$AC$6:$AC$505,"&lt;="&amp;$A257,実績!$AD$6:$AD$505,"&gt;"&amp;$A257,実績!$AE$6:$AE$505,"○")&gt;0,1,0))</f>
        <v/>
      </c>
      <c r="CK257">
        <f>IF(CK$4=0,0,IF(COUNTIFS(実績!$W$6:$W$505,CK$3,実績!$AC$6:$AC$505,"&lt;="&amp;$A257,実績!$AD$6:$AD$505,"&gt;"&amp;$A257,実績!$AE$6:$AE$505,"○")&gt;0,1,0))</f>
        <v/>
      </c>
      <c r="CL257">
        <f>IF(CL$4=0,0,IF(COUNTIFS(実績!$W$6:$W$505,CL$3,実績!$AC$6:$AC$505,"&lt;="&amp;$A257,実績!$AD$6:$AD$505,"&gt;"&amp;$A257,実績!$AE$6:$AE$505,"○")&gt;0,1,0))</f>
        <v/>
      </c>
      <c r="CM257">
        <f>IF(CM$4=0,0,IF(COUNTIFS(実績!$W$6:$W$505,CM$3,実績!$AC$6:$AC$505,"&lt;="&amp;$A257,実績!$AD$6:$AD$505,"&gt;"&amp;$A257,実績!$AE$6:$AE$505,"○")&gt;0,1,0))</f>
        <v/>
      </c>
      <c r="CN257">
        <f>IF(CN$4=0,0,IF(COUNTIFS(実績!$W$6:$W$505,CN$3,実績!$AC$6:$AC$505,"&lt;="&amp;$A257,実績!$AD$6:$AD$505,"&gt;"&amp;$A257,実績!$AE$6:$AE$505,"○")&gt;0,1,0))</f>
        <v/>
      </c>
      <c r="CO257">
        <f>IF(CO$4=0,0,IF(COUNTIFS(実績!$W$6:$W$505,CO$3,実績!$AC$6:$AC$505,"&lt;="&amp;$A257,実績!$AD$6:$AD$505,"&gt;"&amp;$A257,実績!$AE$6:$AE$505,"○")&gt;0,1,0))</f>
        <v/>
      </c>
      <c r="CP257">
        <f>IF(CP$4=0,0,IF(COUNTIFS(実績!$W$6:$W$505,CP$3,実績!$AC$6:$AC$505,"&lt;="&amp;$A257,実績!$AD$6:$AD$505,"&gt;"&amp;$A257,実績!$AE$6:$AE$505,"○")&gt;0,1,0))</f>
        <v/>
      </c>
      <c r="CQ257">
        <f>IF(CQ$4=0,0,IF(COUNTIFS(実績!$W$6:$W$505,CQ$3,実績!$AC$6:$AC$505,"&lt;="&amp;$A257,実績!$AD$6:$AD$505,"&gt;"&amp;$A257,実績!$AE$6:$AE$505,"○")&gt;0,1,0))</f>
        <v/>
      </c>
      <c r="CR257">
        <f>IF(CR$4=0,0,IF(COUNTIFS(実績!$W$6:$W$505,CR$3,実績!$AC$6:$AC$505,"&lt;="&amp;$A257,実績!$AD$6:$AD$505,"&gt;"&amp;$A257,実績!$AE$6:$AE$505,"○")&gt;0,1,0))</f>
        <v/>
      </c>
      <c r="CS257">
        <f>IF(CS$4=0,0,IF(COUNTIFS(実績!$W$6:$W$505,CS$3,実績!$AC$6:$AC$505,"&lt;="&amp;$A257,実績!$AD$6:$AD$505,"&gt;"&amp;$A257,実績!$AE$6:$AE$505,"○")&gt;0,1,0))</f>
        <v/>
      </c>
      <c r="CT257">
        <f>IF(CT$4=0,0,IF(COUNTIFS(実績!$W$6:$W$505,CT$3,実績!$AC$6:$AC$505,"&lt;="&amp;$A257,実績!$AD$6:$AD$505,"&gt;"&amp;$A257,実績!$AE$6:$AE$505,"○")&gt;0,1,0))</f>
        <v/>
      </c>
      <c r="CU257">
        <f>IF(CU$4=0,0,IF(COUNTIFS(実績!$W$6:$W$505,CU$3,実績!$AC$6:$AC$505,"&lt;="&amp;$A257,実績!$AD$6:$AD$505,"&gt;"&amp;$A257,実績!$AE$6:$AE$505,"○")&gt;0,1,0))</f>
        <v/>
      </c>
      <c r="CV257">
        <f>IF(CV$4=0,0,IF(COUNTIFS(実績!$W$6:$W$505,CV$3,実績!$AC$6:$AC$505,"&lt;="&amp;$A257,実績!$AD$6:$AD$505,"&gt;"&amp;$A257,実績!$AE$6:$AE$505,"○")&gt;0,1,0))</f>
        <v/>
      </c>
      <c r="CW257">
        <f>IF(CW$4=0,0,IF(COUNTIFS(実績!$W$6:$W$505,CW$3,実績!$AC$6:$AC$505,"&lt;="&amp;$A257,実績!$AD$6:$AD$505,"&gt;"&amp;$A257,実績!$AE$6:$AE$505,"○")&gt;0,1,0))</f>
        <v/>
      </c>
      <c r="CX257">
        <f>IF(CX$4=0,0,IF(COUNTIFS(実績!$W$6:$W$505,CX$3,実績!$AC$6:$AC$505,"&lt;="&amp;$A257,実績!$AD$6:$AD$505,"&gt;"&amp;$A257,実績!$AE$6:$AE$505,"○")&gt;0,1,0))</f>
        <v/>
      </c>
      <c r="CY257">
        <f>IF(CY$4=0,0,IF(COUNTIFS(実績!$W$6:$W$505,CY$3,実績!$AC$6:$AC$505,"&lt;="&amp;$A257,実績!$AD$6:$AD$505,"&gt;"&amp;$A257,実績!$AE$6:$AE$505,"○")&gt;0,1,0))</f>
        <v/>
      </c>
      <c r="CZ257">
        <f>IF(CZ$4=0,0,IF(COUNTIFS(実績!$W$6:$W$505,CZ$3,実績!$AC$6:$AC$505,"&lt;="&amp;$A257,実績!$AD$6:$AD$505,"&gt;"&amp;$A257,実績!$AE$6:$AE$505,"○")&gt;0,1,0))</f>
        <v/>
      </c>
      <c r="DA257">
        <f>IF(DA$4=0,0,IF(COUNTIFS(実績!$W$6:$W$505,DA$3,実績!$AC$6:$AC$505,"&lt;="&amp;$A257,実績!$AD$6:$AD$505,"&gt;"&amp;$A257,実績!$AE$6:$AE$505,"○")&gt;0,1,0))</f>
        <v/>
      </c>
      <c r="DB257">
        <f>IF(DB$4=0,0,IF(COUNTIFS(実績!$W$6:$W$505,DB$3,実績!$AC$6:$AC$505,"&lt;="&amp;$A257,実績!$AD$6:$AD$505,"&gt;"&amp;$A257,実績!$AE$6:$AE$505,"○")&gt;0,1,0))</f>
        <v/>
      </c>
      <c r="DC257">
        <f>IF(DC$4=0,0,IF(COUNTIFS(実績!$W$6:$W$505,DC$3,実績!$AC$6:$AC$505,"&lt;="&amp;$A257,実績!$AD$6:$AD$505,"&gt;"&amp;$A257,実績!$AE$6:$AE$505,"○")&gt;0,1,0))</f>
        <v/>
      </c>
      <c r="DD257">
        <f>IF(DD$4=0,0,IF(COUNTIFS(実績!$W$6:$W$505,DD$3,実績!$AC$6:$AC$505,"&lt;="&amp;$A257,実績!$AD$6:$AD$505,"&gt;"&amp;$A257,実績!$AE$6:$AE$505,"○")&gt;0,1,0))</f>
        <v/>
      </c>
      <c r="DE257">
        <f>IF(DE$4=0,0,IF(COUNTIFS(実績!$W$6:$W$505,DE$3,実績!$AC$6:$AC$505,"&lt;="&amp;$A257,実績!$AD$6:$AD$505,"&gt;"&amp;$A257,実績!$AE$6:$AE$505,"○")&gt;0,1,0))</f>
        <v/>
      </c>
      <c r="DF257">
        <f>IF(DF$4=0,0,IF(COUNTIFS(実績!$W$6:$W$505,DF$3,実績!$AC$6:$AC$505,"&lt;="&amp;$A257,実績!$AD$6:$AD$505,"&gt;"&amp;$A257,実績!$AE$6:$AE$505,"○")&gt;0,1,0))</f>
        <v/>
      </c>
      <c r="DG257">
        <f>IF(DG$4=0,0,IF(COUNTIFS(実績!$W$6:$W$505,DG$3,実績!$AC$6:$AC$505,"&lt;="&amp;$A257,実績!$AD$6:$AD$505,"&gt;"&amp;$A257,実績!$AE$6:$AE$505,"○")&gt;0,1,0))</f>
        <v/>
      </c>
      <c r="DH257">
        <f>IF(DH$4=0,0,IF(COUNTIFS(実績!$W$6:$W$505,DH$3,実績!$AC$6:$AC$505,"&lt;="&amp;$A257,実績!$AD$6:$AD$505,"&gt;"&amp;$A257,実績!$AE$6:$AE$505,"○")&gt;0,1,0))</f>
        <v/>
      </c>
      <c r="DI257">
        <f>IF(DI$4=0,0,IF(COUNTIFS(実績!$W$6:$W$505,DI$3,実績!$AC$6:$AC$505,"&lt;="&amp;$A257,実績!$AD$6:$AD$505,"&gt;"&amp;$A257,実績!$AE$6:$AE$505,"○")&gt;0,1,0))</f>
        <v/>
      </c>
      <c r="DJ257">
        <f>IF(DJ$4=0,0,IF(COUNTIFS(実績!$W$6:$W$505,DJ$3,実績!$AC$6:$AC$505,"&lt;="&amp;$A257,実績!$AD$6:$AD$505,"&gt;"&amp;$A257,実績!$AE$6:$AE$505,"○")&gt;0,1,0))</f>
        <v/>
      </c>
      <c r="DK257">
        <f>IF(DK$4=0,0,IF(COUNTIFS(実績!$W$6:$W$505,DK$3,実績!$AC$6:$AC$505,"&lt;="&amp;$A257,実績!$AD$6:$AD$505,"&gt;"&amp;$A257,実績!$AE$6:$AE$505,"○")&gt;0,1,0))</f>
        <v/>
      </c>
      <c r="DL257">
        <f>IF(DL$4=0,0,IF(COUNTIFS(実績!$W$6:$W$505,DL$3,実績!$AC$6:$AC$505,"&lt;="&amp;$A257,実績!$AD$6:$AD$505,"&gt;"&amp;$A257,実績!$AE$6:$AE$505,"○")&gt;0,1,0))</f>
        <v/>
      </c>
      <c r="DM257">
        <f>IF(DM$4=0,0,IF(COUNTIFS(実績!$W$6:$W$505,DM$3,実績!$AC$6:$AC$505,"&lt;="&amp;$A257,実績!$AD$6:$AD$505,"&gt;"&amp;$A257,実績!$AE$6:$AE$505,"○")&gt;0,1,0))</f>
        <v/>
      </c>
      <c r="DN257">
        <f>IF(DN$4=0,0,IF(COUNTIFS(実績!$W$6:$W$505,DN$3,実績!$AC$6:$AC$505,"&lt;="&amp;$A257,実績!$AD$6:$AD$505,"&gt;"&amp;$A257,実績!$AE$6:$AE$505,"○")&gt;0,1,0))</f>
        <v/>
      </c>
      <c r="DO257">
        <f>IF(DO$4=0,0,IF(COUNTIFS(実績!$W$6:$W$505,DO$3,実績!$AC$6:$AC$505,"&lt;="&amp;$A257,実績!$AD$6:$AD$505,"&gt;"&amp;$A257,実績!$AE$6:$AE$505,"○")&gt;0,1,0))</f>
        <v/>
      </c>
      <c r="DP257">
        <f>IF(DP$4=0,0,IF(COUNTIFS(実績!$W$6:$W$505,DP$3,実績!$AC$6:$AC$505,"&lt;="&amp;$A257,実績!$AD$6:$AD$505,"&gt;"&amp;$A257,実績!$AE$6:$AE$505,"○")&gt;0,1,0))</f>
        <v/>
      </c>
      <c r="DQ257">
        <f>IF(DQ$4=0,0,IF(COUNTIFS(実績!$W$6:$W$505,DQ$3,実績!$AC$6:$AC$505,"&lt;="&amp;$A257,実績!$AD$6:$AD$505,"&gt;"&amp;$A257,実績!$AE$6:$AE$505,"○")&gt;0,1,0))</f>
        <v/>
      </c>
      <c r="DR257">
        <f>IF(DR$4=0,0,IF(COUNTIFS(実績!$W$6:$W$505,DR$3,実績!$AC$6:$AC$505,"&lt;="&amp;$A257,実績!$AD$6:$AD$505,"&gt;"&amp;$A257,実績!$AE$6:$AE$505,"○")&gt;0,1,0))</f>
        <v/>
      </c>
      <c r="DS257">
        <f>SUM(C257:DR257)</f>
        <v/>
      </c>
      <c r="DT257">
        <f>SUMPRODUCT((実績!$C$6:$C$505="○")*ISNUMBER(実績!$AF$6:$AF$505)*(実績!$AF$6:$AF$505&lt;=$A257)*(実績!$AG$6:$AG$505&gt;$A257))</f>
        <v/>
      </c>
      <c r="DU257">
        <f>SUMIF($C$2:$DR$2,"製鉄曳船",C257:DR257)</f>
        <v/>
      </c>
      <c r="DV257">
        <f>SUMIF($C$2:$DR$2,"西日本海運",C257:DR257)</f>
        <v/>
      </c>
    </row>
    <row r="258">
      <c r="A258" t="n">
        <v>1260</v>
      </c>
      <c r="B258" s="29">
        <f>A258/1440</f>
        <v/>
      </c>
      <c r="C258">
        <f>IF(C$4=0,0,IF(COUNTIFS(実績!$W$6:$W$505,C$3,実績!$AC$6:$AC$505,"&lt;="&amp;$A258,実績!$AD$6:$AD$505,"&gt;"&amp;$A258,実績!$AE$6:$AE$505,"○")&gt;0,1,0))</f>
        <v/>
      </c>
      <c r="D258">
        <f>IF(D$4=0,0,IF(COUNTIFS(実績!$W$6:$W$505,D$3,実績!$AC$6:$AC$505,"&lt;="&amp;$A258,実績!$AD$6:$AD$505,"&gt;"&amp;$A258,実績!$AE$6:$AE$505,"○")&gt;0,1,0))</f>
        <v/>
      </c>
      <c r="E258">
        <f>IF(E$4=0,0,IF(COUNTIFS(実績!$W$6:$W$505,E$3,実績!$AC$6:$AC$505,"&lt;="&amp;$A258,実績!$AD$6:$AD$505,"&gt;"&amp;$A258,実績!$AE$6:$AE$505,"○")&gt;0,1,0))</f>
        <v/>
      </c>
      <c r="F258">
        <f>IF(F$4=0,0,IF(COUNTIFS(実績!$W$6:$W$505,F$3,実績!$AC$6:$AC$505,"&lt;="&amp;$A258,実績!$AD$6:$AD$505,"&gt;"&amp;$A258,実績!$AE$6:$AE$505,"○")&gt;0,1,0))</f>
        <v/>
      </c>
      <c r="G258">
        <f>IF(G$4=0,0,IF(COUNTIFS(実績!$W$6:$W$505,G$3,実績!$AC$6:$AC$505,"&lt;="&amp;$A258,実績!$AD$6:$AD$505,"&gt;"&amp;$A258,実績!$AE$6:$AE$505,"○")&gt;0,1,0))</f>
        <v/>
      </c>
      <c r="H258">
        <f>IF(H$4=0,0,IF(COUNTIFS(実績!$W$6:$W$505,H$3,実績!$AC$6:$AC$505,"&lt;="&amp;$A258,実績!$AD$6:$AD$505,"&gt;"&amp;$A258,実績!$AE$6:$AE$505,"○")&gt;0,1,0))</f>
        <v/>
      </c>
      <c r="I258">
        <f>IF(I$4=0,0,IF(COUNTIFS(実績!$W$6:$W$505,I$3,実績!$AC$6:$AC$505,"&lt;="&amp;$A258,実績!$AD$6:$AD$505,"&gt;"&amp;$A258,実績!$AE$6:$AE$505,"○")&gt;0,1,0))</f>
        <v/>
      </c>
      <c r="J258">
        <f>IF(J$4=0,0,IF(COUNTIFS(実績!$W$6:$W$505,J$3,実績!$AC$6:$AC$505,"&lt;="&amp;$A258,実績!$AD$6:$AD$505,"&gt;"&amp;$A258,実績!$AE$6:$AE$505,"○")&gt;0,1,0))</f>
        <v/>
      </c>
      <c r="K258">
        <f>IF(K$4=0,0,IF(COUNTIFS(実績!$W$6:$W$505,K$3,実績!$AC$6:$AC$505,"&lt;="&amp;$A258,実績!$AD$6:$AD$505,"&gt;"&amp;$A258,実績!$AE$6:$AE$505,"○")&gt;0,1,0))</f>
        <v/>
      </c>
      <c r="L258">
        <f>IF(L$4=0,0,IF(COUNTIFS(実績!$W$6:$W$505,L$3,実績!$AC$6:$AC$505,"&lt;="&amp;$A258,実績!$AD$6:$AD$505,"&gt;"&amp;$A258,実績!$AE$6:$AE$505,"○")&gt;0,1,0))</f>
        <v/>
      </c>
      <c r="M258">
        <f>IF(M$4=0,0,IF(COUNTIFS(実績!$W$6:$W$505,M$3,実績!$AC$6:$AC$505,"&lt;="&amp;$A258,実績!$AD$6:$AD$505,"&gt;"&amp;$A258,実績!$AE$6:$AE$505,"○")&gt;0,1,0))</f>
        <v/>
      </c>
      <c r="N258">
        <f>IF(N$4=0,0,IF(COUNTIFS(実績!$W$6:$W$505,N$3,実績!$AC$6:$AC$505,"&lt;="&amp;$A258,実績!$AD$6:$AD$505,"&gt;"&amp;$A258,実績!$AE$6:$AE$505,"○")&gt;0,1,0))</f>
        <v/>
      </c>
      <c r="O258">
        <f>IF(O$4=0,0,IF(COUNTIFS(実績!$W$6:$W$505,O$3,実績!$AC$6:$AC$505,"&lt;="&amp;$A258,実績!$AD$6:$AD$505,"&gt;"&amp;$A258,実績!$AE$6:$AE$505,"○")&gt;0,1,0))</f>
        <v/>
      </c>
      <c r="P258">
        <f>IF(P$4=0,0,IF(COUNTIFS(実績!$W$6:$W$505,P$3,実績!$AC$6:$AC$505,"&lt;="&amp;$A258,実績!$AD$6:$AD$505,"&gt;"&amp;$A258,実績!$AE$6:$AE$505,"○")&gt;0,1,0))</f>
        <v/>
      </c>
      <c r="Q258">
        <f>IF(Q$4=0,0,IF(COUNTIFS(実績!$W$6:$W$505,Q$3,実績!$AC$6:$AC$505,"&lt;="&amp;$A258,実績!$AD$6:$AD$505,"&gt;"&amp;$A258,実績!$AE$6:$AE$505,"○")&gt;0,1,0))</f>
        <v/>
      </c>
      <c r="R258">
        <f>IF(R$4=0,0,IF(COUNTIFS(実績!$W$6:$W$505,R$3,実績!$AC$6:$AC$505,"&lt;="&amp;$A258,実績!$AD$6:$AD$505,"&gt;"&amp;$A258,実績!$AE$6:$AE$505,"○")&gt;0,1,0))</f>
        <v/>
      </c>
      <c r="S258">
        <f>IF(S$4=0,0,IF(COUNTIFS(実績!$W$6:$W$505,S$3,実績!$AC$6:$AC$505,"&lt;="&amp;$A258,実績!$AD$6:$AD$505,"&gt;"&amp;$A258,実績!$AE$6:$AE$505,"○")&gt;0,1,0))</f>
        <v/>
      </c>
      <c r="T258">
        <f>IF(T$4=0,0,IF(COUNTIFS(実績!$W$6:$W$505,T$3,実績!$AC$6:$AC$505,"&lt;="&amp;$A258,実績!$AD$6:$AD$505,"&gt;"&amp;$A258,実績!$AE$6:$AE$505,"○")&gt;0,1,0))</f>
        <v/>
      </c>
      <c r="U258">
        <f>IF(U$4=0,0,IF(COUNTIFS(実績!$W$6:$W$505,U$3,実績!$AC$6:$AC$505,"&lt;="&amp;$A258,実績!$AD$6:$AD$505,"&gt;"&amp;$A258,実績!$AE$6:$AE$505,"○")&gt;0,1,0))</f>
        <v/>
      </c>
      <c r="V258">
        <f>IF(V$4=0,0,IF(COUNTIFS(実績!$W$6:$W$505,V$3,実績!$AC$6:$AC$505,"&lt;="&amp;$A258,実績!$AD$6:$AD$505,"&gt;"&amp;$A258,実績!$AE$6:$AE$505,"○")&gt;0,1,0))</f>
        <v/>
      </c>
      <c r="W258">
        <f>IF(W$4=0,0,IF(COUNTIFS(実績!$W$6:$W$505,W$3,実績!$AC$6:$AC$505,"&lt;="&amp;$A258,実績!$AD$6:$AD$505,"&gt;"&amp;$A258,実績!$AE$6:$AE$505,"○")&gt;0,1,0))</f>
        <v/>
      </c>
      <c r="X258">
        <f>IF(X$4=0,0,IF(COUNTIFS(実績!$W$6:$W$505,X$3,実績!$AC$6:$AC$505,"&lt;="&amp;$A258,実績!$AD$6:$AD$505,"&gt;"&amp;$A258,実績!$AE$6:$AE$505,"○")&gt;0,1,0))</f>
        <v/>
      </c>
      <c r="Y258">
        <f>IF(Y$4=0,0,IF(COUNTIFS(実績!$W$6:$W$505,Y$3,実績!$AC$6:$AC$505,"&lt;="&amp;$A258,実績!$AD$6:$AD$505,"&gt;"&amp;$A258,実績!$AE$6:$AE$505,"○")&gt;0,1,0))</f>
        <v/>
      </c>
      <c r="Z258">
        <f>IF(Z$4=0,0,IF(COUNTIFS(実績!$W$6:$W$505,Z$3,実績!$AC$6:$AC$505,"&lt;="&amp;$A258,実績!$AD$6:$AD$505,"&gt;"&amp;$A258,実績!$AE$6:$AE$505,"○")&gt;0,1,0))</f>
        <v/>
      </c>
      <c r="AA258">
        <f>IF(AA$4=0,0,IF(COUNTIFS(実績!$W$6:$W$505,AA$3,実績!$AC$6:$AC$505,"&lt;="&amp;$A258,実績!$AD$6:$AD$505,"&gt;"&amp;$A258,実績!$AE$6:$AE$505,"○")&gt;0,1,0))</f>
        <v/>
      </c>
      <c r="AB258">
        <f>IF(AB$4=0,0,IF(COUNTIFS(実績!$W$6:$W$505,AB$3,実績!$AC$6:$AC$505,"&lt;="&amp;$A258,実績!$AD$6:$AD$505,"&gt;"&amp;$A258,実績!$AE$6:$AE$505,"○")&gt;0,1,0))</f>
        <v/>
      </c>
      <c r="AC258">
        <f>IF(AC$4=0,0,IF(COUNTIFS(実績!$W$6:$W$505,AC$3,実績!$AC$6:$AC$505,"&lt;="&amp;$A258,実績!$AD$6:$AD$505,"&gt;"&amp;$A258,実績!$AE$6:$AE$505,"○")&gt;0,1,0))</f>
        <v/>
      </c>
      <c r="AD258">
        <f>IF(AD$4=0,0,IF(COUNTIFS(実績!$W$6:$W$505,AD$3,実績!$AC$6:$AC$505,"&lt;="&amp;$A258,実績!$AD$6:$AD$505,"&gt;"&amp;$A258,実績!$AE$6:$AE$505,"○")&gt;0,1,0))</f>
        <v/>
      </c>
      <c r="AE258">
        <f>IF(AE$4=0,0,IF(COUNTIFS(実績!$W$6:$W$505,AE$3,実績!$AC$6:$AC$505,"&lt;="&amp;$A258,実績!$AD$6:$AD$505,"&gt;"&amp;$A258,実績!$AE$6:$AE$505,"○")&gt;0,1,0))</f>
        <v/>
      </c>
      <c r="AF258">
        <f>IF(AF$4=0,0,IF(COUNTIFS(実績!$W$6:$W$505,AF$3,実績!$AC$6:$AC$505,"&lt;="&amp;$A258,実績!$AD$6:$AD$505,"&gt;"&amp;$A258,実績!$AE$6:$AE$505,"○")&gt;0,1,0))</f>
        <v/>
      </c>
      <c r="AG258">
        <f>IF(AG$4=0,0,IF(COUNTIFS(実績!$W$6:$W$505,AG$3,実績!$AC$6:$AC$505,"&lt;="&amp;$A258,実績!$AD$6:$AD$505,"&gt;"&amp;$A258,実績!$AE$6:$AE$505,"○")&gt;0,1,0))</f>
        <v/>
      </c>
      <c r="AH258">
        <f>IF(AH$4=0,0,IF(COUNTIFS(実績!$W$6:$W$505,AH$3,実績!$AC$6:$AC$505,"&lt;="&amp;$A258,実績!$AD$6:$AD$505,"&gt;"&amp;$A258,実績!$AE$6:$AE$505,"○")&gt;0,1,0))</f>
        <v/>
      </c>
      <c r="AI258">
        <f>IF(AI$4=0,0,IF(COUNTIFS(実績!$W$6:$W$505,AI$3,実績!$AC$6:$AC$505,"&lt;="&amp;$A258,実績!$AD$6:$AD$505,"&gt;"&amp;$A258,実績!$AE$6:$AE$505,"○")&gt;0,1,0))</f>
        <v/>
      </c>
      <c r="AJ258">
        <f>IF(AJ$4=0,0,IF(COUNTIFS(実績!$W$6:$W$505,AJ$3,実績!$AC$6:$AC$505,"&lt;="&amp;$A258,実績!$AD$6:$AD$505,"&gt;"&amp;$A258,実績!$AE$6:$AE$505,"○")&gt;0,1,0))</f>
        <v/>
      </c>
      <c r="AK258">
        <f>IF(AK$4=0,0,IF(COUNTIFS(実績!$W$6:$W$505,AK$3,実績!$AC$6:$AC$505,"&lt;="&amp;$A258,実績!$AD$6:$AD$505,"&gt;"&amp;$A258,実績!$AE$6:$AE$505,"○")&gt;0,1,0))</f>
        <v/>
      </c>
      <c r="AL258">
        <f>IF(AL$4=0,0,IF(COUNTIFS(実績!$W$6:$W$505,AL$3,実績!$AC$6:$AC$505,"&lt;="&amp;$A258,実績!$AD$6:$AD$505,"&gt;"&amp;$A258,実績!$AE$6:$AE$505,"○")&gt;0,1,0))</f>
        <v/>
      </c>
      <c r="AM258">
        <f>IF(AM$4=0,0,IF(COUNTIFS(実績!$W$6:$W$505,AM$3,実績!$AC$6:$AC$505,"&lt;="&amp;$A258,実績!$AD$6:$AD$505,"&gt;"&amp;$A258,実績!$AE$6:$AE$505,"○")&gt;0,1,0))</f>
        <v/>
      </c>
      <c r="AN258">
        <f>IF(AN$4=0,0,IF(COUNTIFS(実績!$W$6:$W$505,AN$3,実績!$AC$6:$AC$505,"&lt;="&amp;$A258,実績!$AD$6:$AD$505,"&gt;"&amp;$A258,実績!$AE$6:$AE$505,"○")&gt;0,1,0))</f>
        <v/>
      </c>
      <c r="AO258">
        <f>IF(AO$4=0,0,IF(COUNTIFS(実績!$W$6:$W$505,AO$3,実績!$AC$6:$AC$505,"&lt;="&amp;$A258,実績!$AD$6:$AD$505,"&gt;"&amp;$A258,実績!$AE$6:$AE$505,"○")&gt;0,1,0))</f>
        <v/>
      </c>
      <c r="AP258">
        <f>IF(AP$4=0,0,IF(COUNTIFS(実績!$W$6:$W$505,AP$3,実績!$AC$6:$AC$505,"&lt;="&amp;$A258,実績!$AD$6:$AD$505,"&gt;"&amp;$A258,実績!$AE$6:$AE$505,"○")&gt;0,1,0))</f>
        <v/>
      </c>
      <c r="AQ258">
        <f>IF(AQ$4=0,0,IF(COUNTIFS(実績!$W$6:$W$505,AQ$3,実績!$AC$6:$AC$505,"&lt;="&amp;$A258,実績!$AD$6:$AD$505,"&gt;"&amp;$A258,実績!$AE$6:$AE$505,"○")&gt;0,1,0))</f>
        <v/>
      </c>
      <c r="AR258">
        <f>IF(AR$4=0,0,IF(COUNTIFS(実績!$W$6:$W$505,AR$3,実績!$AC$6:$AC$505,"&lt;="&amp;$A258,実績!$AD$6:$AD$505,"&gt;"&amp;$A258,実績!$AE$6:$AE$505,"○")&gt;0,1,0))</f>
        <v/>
      </c>
      <c r="AS258">
        <f>IF(AS$4=0,0,IF(COUNTIFS(実績!$W$6:$W$505,AS$3,実績!$AC$6:$AC$505,"&lt;="&amp;$A258,実績!$AD$6:$AD$505,"&gt;"&amp;$A258,実績!$AE$6:$AE$505,"○")&gt;0,1,0))</f>
        <v/>
      </c>
      <c r="AT258">
        <f>IF(AT$4=0,0,IF(COUNTIFS(実績!$W$6:$W$505,AT$3,実績!$AC$6:$AC$505,"&lt;="&amp;$A258,実績!$AD$6:$AD$505,"&gt;"&amp;$A258,実績!$AE$6:$AE$505,"○")&gt;0,1,0))</f>
        <v/>
      </c>
      <c r="AU258">
        <f>IF(AU$4=0,0,IF(COUNTIFS(実績!$W$6:$W$505,AU$3,実績!$AC$6:$AC$505,"&lt;="&amp;$A258,実績!$AD$6:$AD$505,"&gt;"&amp;$A258,実績!$AE$6:$AE$505,"○")&gt;0,1,0))</f>
        <v/>
      </c>
      <c r="AV258">
        <f>IF(AV$4=0,0,IF(COUNTIFS(実績!$W$6:$W$505,AV$3,実績!$AC$6:$AC$505,"&lt;="&amp;$A258,実績!$AD$6:$AD$505,"&gt;"&amp;$A258,実績!$AE$6:$AE$505,"○")&gt;0,1,0))</f>
        <v/>
      </c>
      <c r="AW258">
        <f>IF(AW$4=0,0,IF(COUNTIFS(実績!$W$6:$W$505,AW$3,実績!$AC$6:$AC$505,"&lt;="&amp;$A258,実績!$AD$6:$AD$505,"&gt;"&amp;$A258,実績!$AE$6:$AE$505,"○")&gt;0,1,0))</f>
        <v/>
      </c>
      <c r="AX258">
        <f>IF(AX$4=0,0,IF(COUNTIFS(実績!$W$6:$W$505,AX$3,実績!$AC$6:$AC$505,"&lt;="&amp;$A258,実績!$AD$6:$AD$505,"&gt;"&amp;$A258,実績!$AE$6:$AE$505,"○")&gt;0,1,0))</f>
        <v/>
      </c>
      <c r="AY258">
        <f>IF(AY$4=0,0,IF(COUNTIFS(実績!$W$6:$W$505,AY$3,実績!$AC$6:$AC$505,"&lt;="&amp;$A258,実績!$AD$6:$AD$505,"&gt;"&amp;$A258,実績!$AE$6:$AE$505,"○")&gt;0,1,0))</f>
        <v/>
      </c>
      <c r="AZ258">
        <f>IF(AZ$4=0,0,IF(COUNTIFS(実績!$W$6:$W$505,AZ$3,実績!$AC$6:$AC$505,"&lt;="&amp;$A258,実績!$AD$6:$AD$505,"&gt;"&amp;$A258,実績!$AE$6:$AE$505,"○")&gt;0,1,0))</f>
        <v/>
      </c>
      <c r="BA258">
        <f>IF(BA$4=0,0,IF(COUNTIFS(実績!$W$6:$W$505,BA$3,実績!$AC$6:$AC$505,"&lt;="&amp;$A258,実績!$AD$6:$AD$505,"&gt;"&amp;$A258,実績!$AE$6:$AE$505,"○")&gt;0,1,0))</f>
        <v/>
      </c>
      <c r="BB258">
        <f>IF(BB$4=0,0,IF(COUNTIFS(実績!$W$6:$W$505,BB$3,実績!$AC$6:$AC$505,"&lt;="&amp;$A258,実績!$AD$6:$AD$505,"&gt;"&amp;$A258,実績!$AE$6:$AE$505,"○")&gt;0,1,0))</f>
        <v/>
      </c>
      <c r="BC258">
        <f>IF(BC$4=0,0,IF(COUNTIFS(実績!$W$6:$W$505,BC$3,実績!$AC$6:$AC$505,"&lt;="&amp;$A258,実績!$AD$6:$AD$505,"&gt;"&amp;$A258,実績!$AE$6:$AE$505,"○")&gt;0,1,0))</f>
        <v/>
      </c>
      <c r="BD258">
        <f>IF(BD$4=0,0,IF(COUNTIFS(実績!$W$6:$W$505,BD$3,実績!$AC$6:$AC$505,"&lt;="&amp;$A258,実績!$AD$6:$AD$505,"&gt;"&amp;$A258,実績!$AE$6:$AE$505,"○")&gt;0,1,0))</f>
        <v/>
      </c>
      <c r="BE258">
        <f>IF(BE$4=0,0,IF(COUNTIFS(実績!$W$6:$W$505,BE$3,実績!$AC$6:$AC$505,"&lt;="&amp;$A258,実績!$AD$6:$AD$505,"&gt;"&amp;$A258,実績!$AE$6:$AE$505,"○")&gt;0,1,0))</f>
        <v/>
      </c>
      <c r="BF258">
        <f>IF(BF$4=0,0,IF(COUNTIFS(実績!$W$6:$W$505,BF$3,実績!$AC$6:$AC$505,"&lt;="&amp;$A258,実績!$AD$6:$AD$505,"&gt;"&amp;$A258,実績!$AE$6:$AE$505,"○")&gt;0,1,0))</f>
        <v/>
      </c>
      <c r="BG258">
        <f>IF(BG$4=0,0,IF(COUNTIFS(実績!$W$6:$W$505,BG$3,実績!$AC$6:$AC$505,"&lt;="&amp;$A258,実績!$AD$6:$AD$505,"&gt;"&amp;$A258,実績!$AE$6:$AE$505,"○")&gt;0,1,0))</f>
        <v/>
      </c>
      <c r="BH258">
        <f>IF(BH$4=0,0,IF(COUNTIFS(実績!$W$6:$W$505,BH$3,実績!$AC$6:$AC$505,"&lt;="&amp;$A258,実績!$AD$6:$AD$505,"&gt;"&amp;$A258,実績!$AE$6:$AE$505,"○")&gt;0,1,0))</f>
        <v/>
      </c>
      <c r="BI258">
        <f>IF(BI$4=0,0,IF(COUNTIFS(実績!$W$6:$W$505,BI$3,実績!$AC$6:$AC$505,"&lt;="&amp;$A258,実績!$AD$6:$AD$505,"&gt;"&amp;$A258,実績!$AE$6:$AE$505,"○")&gt;0,1,0))</f>
        <v/>
      </c>
      <c r="BJ258">
        <f>IF(BJ$4=0,0,IF(COUNTIFS(実績!$W$6:$W$505,BJ$3,実績!$AC$6:$AC$505,"&lt;="&amp;$A258,実績!$AD$6:$AD$505,"&gt;"&amp;$A258,実績!$AE$6:$AE$505,"○")&gt;0,1,0))</f>
        <v/>
      </c>
      <c r="BK258">
        <f>IF(BK$4=0,0,IF(COUNTIFS(実績!$W$6:$W$505,BK$3,実績!$AC$6:$AC$505,"&lt;="&amp;$A258,実績!$AD$6:$AD$505,"&gt;"&amp;$A258,実績!$AE$6:$AE$505,"○")&gt;0,1,0))</f>
        <v/>
      </c>
      <c r="BL258">
        <f>IF(BL$4=0,0,IF(COUNTIFS(実績!$W$6:$W$505,BL$3,実績!$AC$6:$AC$505,"&lt;="&amp;$A258,実績!$AD$6:$AD$505,"&gt;"&amp;$A258,実績!$AE$6:$AE$505,"○")&gt;0,1,0))</f>
        <v/>
      </c>
      <c r="BM258">
        <f>IF(BM$4=0,0,IF(COUNTIFS(実績!$W$6:$W$505,BM$3,実績!$AC$6:$AC$505,"&lt;="&amp;$A258,実績!$AD$6:$AD$505,"&gt;"&amp;$A258,実績!$AE$6:$AE$505,"○")&gt;0,1,0))</f>
        <v/>
      </c>
      <c r="BN258">
        <f>IF(BN$4=0,0,IF(COUNTIFS(実績!$W$6:$W$505,BN$3,実績!$AC$6:$AC$505,"&lt;="&amp;$A258,実績!$AD$6:$AD$505,"&gt;"&amp;$A258,実績!$AE$6:$AE$505,"○")&gt;0,1,0))</f>
        <v/>
      </c>
      <c r="BO258">
        <f>IF(BO$4=0,0,IF(COUNTIFS(実績!$W$6:$W$505,BO$3,実績!$AC$6:$AC$505,"&lt;="&amp;$A258,実績!$AD$6:$AD$505,"&gt;"&amp;$A258,実績!$AE$6:$AE$505,"○")&gt;0,1,0))</f>
        <v/>
      </c>
      <c r="BP258">
        <f>IF(BP$4=0,0,IF(COUNTIFS(実績!$W$6:$W$505,BP$3,実績!$AC$6:$AC$505,"&lt;="&amp;$A258,実績!$AD$6:$AD$505,"&gt;"&amp;$A258,実績!$AE$6:$AE$505,"○")&gt;0,1,0))</f>
        <v/>
      </c>
      <c r="BQ258">
        <f>IF(BQ$4=0,0,IF(COUNTIFS(実績!$W$6:$W$505,BQ$3,実績!$AC$6:$AC$505,"&lt;="&amp;$A258,実績!$AD$6:$AD$505,"&gt;"&amp;$A258,実績!$AE$6:$AE$505,"○")&gt;0,1,0))</f>
        <v/>
      </c>
      <c r="BR258">
        <f>IF(BR$4=0,0,IF(COUNTIFS(実績!$W$6:$W$505,BR$3,実績!$AC$6:$AC$505,"&lt;="&amp;$A258,実績!$AD$6:$AD$505,"&gt;"&amp;$A258,実績!$AE$6:$AE$505,"○")&gt;0,1,0))</f>
        <v/>
      </c>
      <c r="BS258">
        <f>IF(BS$4=0,0,IF(COUNTIFS(実績!$W$6:$W$505,BS$3,実績!$AC$6:$AC$505,"&lt;="&amp;$A258,実績!$AD$6:$AD$505,"&gt;"&amp;$A258,実績!$AE$6:$AE$505,"○")&gt;0,1,0))</f>
        <v/>
      </c>
      <c r="BT258">
        <f>IF(BT$4=0,0,IF(COUNTIFS(実績!$W$6:$W$505,BT$3,実績!$AC$6:$AC$505,"&lt;="&amp;$A258,実績!$AD$6:$AD$505,"&gt;"&amp;$A258,実績!$AE$6:$AE$505,"○")&gt;0,1,0))</f>
        <v/>
      </c>
      <c r="BU258">
        <f>IF(BU$4=0,0,IF(COUNTIFS(実績!$W$6:$W$505,BU$3,実績!$AC$6:$AC$505,"&lt;="&amp;$A258,実績!$AD$6:$AD$505,"&gt;"&amp;$A258,実績!$AE$6:$AE$505,"○")&gt;0,1,0))</f>
        <v/>
      </c>
      <c r="BV258">
        <f>IF(BV$4=0,0,IF(COUNTIFS(実績!$W$6:$W$505,BV$3,実績!$AC$6:$AC$505,"&lt;="&amp;$A258,実績!$AD$6:$AD$505,"&gt;"&amp;$A258,実績!$AE$6:$AE$505,"○")&gt;0,1,0))</f>
        <v/>
      </c>
      <c r="BW258">
        <f>IF(BW$4=0,0,IF(COUNTIFS(実績!$W$6:$W$505,BW$3,実績!$AC$6:$AC$505,"&lt;="&amp;$A258,実績!$AD$6:$AD$505,"&gt;"&amp;$A258,実績!$AE$6:$AE$505,"○")&gt;0,1,0))</f>
        <v/>
      </c>
      <c r="BX258">
        <f>IF(BX$4=0,0,IF(COUNTIFS(実績!$W$6:$W$505,BX$3,実績!$AC$6:$AC$505,"&lt;="&amp;$A258,実績!$AD$6:$AD$505,"&gt;"&amp;$A258,実績!$AE$6:$AE$505,"○")&gt;0,1,0))</f>
        <v/>
      </c>
      <c r="BY258">
        <f>IF(BY$4=0,0,IF(COUNTIFS(実績!$W$6:$W$505,BY$3,実績!$AC$6:$AC$505,"&lt;="&amp;$A258,実績!$AD$6:$AD$505,"&gt;"&amp;$A258,実績!$AE$6:$AE$505,"○")&gt;0,1,0))</f>
        <v/>
      </c>
      <c r="BZ258">
        <f>IF(BZ$4=0,0,IF(COUNTIFS(実績!$W$6:$W$505,BZ$3,実績!$AC$6:$AC$505,"&lt;="&amp;$A258,実績!$AD$6:$AD$505,"&gt;"&amp;$A258,実績!$AE$6:$AE$505,"○")&gt;0,1,0))</f>
        <v/>
      </c>
      <c r="CA258">
        <f>IF(CA$4=0,0,IF(COUNTIFS(実績!$W$6:$W$505,CA$3,実績!$AC$6:$AC$505,"&lt;="&amp;$A258,実績!$AD$6:$AD$505,"&gt;"&amp;$A258,実績!$AE$6:$AE$505,"○")&gt;0,1,0))</f>
        <v/>
      </c>
      <c r="CB258">
        <f>IF(CB$4=0,0,IF(COUNTIFS(実績!$W$6:$W$505,CB$3,実績!$AC$6:$AC$505,"&lt;="&amp;$A258,実績!$AD$6:$AD$505,"&gt;"&amp;$A258,実績!$AE$6:$AE$505,"○")&gt;0,1,0))</f>
        <v/>
      </c>
      <c r="CC258">
        <f>IF(CC$4=0,0,IF(COUNTIFS(実績!$W$6:$W$505,CC$3,実績!$AC$6:$AC$505,"&lt;="&amp;$A258,実績!$AD$6:$AD$505,"&gt;"&amp;$A258,実績!$AE$6:$AE$505,"○")&gt;0,1,0))</f>
        <v/>
      </c>
      <c r="CD258">
        <f>IF(CD$4=0,0,IF(COUNTIFS(実績!$W$6:$W$505,CD$3,実績!$AC$6:$AC$505,"&lt;="&amp;$A258,実績!$AD$6:$AD$505,"&gt;"&amp;$A258,実績!$AE$6:$AE$505,"○")&gt;0,1,0))</f>
        <v/>
      </c>
      <c r="CE258">
        <f>IF(CE$4=0,0,IF(COUNTIFS(実績!$W$6:$W$505,CE$3,実績!$AC$6:$AC$505,"&lt;="&amp;$A258,実績!$AD$6:$AD$505,"&gt;"&amp;$A258,実績!$AE$6:$AE$505,"○")&gt;0,1,0))</f>
        <v/>
      </c>
      <c r="CF258">
        <f>IF(CF$4=0,0,IF(COUNTIFS(実績!$W$6:$W$505,CF$3,実績!$AC$6:$AC$505,"&lt;="&amp;$A258,実績!$AD$6:$AD$505,"&gt;"&amp;$A258,実績!$AE$6:$AE$505,"○")&gt;0,1,0))</f>
        <v/>
      </c>
      <c r="CG258">
        <f>IF(CG$4=0,0,IF(COUNTIFS(実績!$W$6:$W$505,CG$3,実績!$AC$6:$AC$505,"&lt;="&amp;$A258,実績!$AD$6:$AD$505,"&gt;"&amp;$A258,実績!$AE$6:$AE$505,"○")&gt;0,1,0))</f>
        <v/>
      </c>
      <c r="CH258">
        <f>IF(CH$4=0,0,IF(COUNTIFS(実績!$W$6:$W$505,CH$3,実績!$AC$6:$AC$505,"&lt;="&amp;$A258,実績!$AD$6:$AD$505,"&gt;"&amp;$A258,実績!$AE$6:$AE$505,"○")&gt;0,1,0))</f>
        <v/>
      </c>
      <c r="CI258">
        <f>IF(CI$4=0,0,IF(COUNTIFS(実績!$W$6:$W$505,CI$3,実績!$AC$6:$AC$505,"&lt;="&amp;$A258,実績!$AD$6:$AD$505,"&gt;"&amp;$A258,実績!$AE$6:$AE$505,"○")&gt;0,1,0))</f>
        <v/>
      </c>
      <c r="CJ258">
        <f>IF(CJ$4=0,0,IF(COUNTIFS(実績!$W$6:$W$505,CJ$3,実績!$AC$6:$AC$505,"&lt;="&amp;$A258,実績!$AD$6:$AD$505,"&gt;"&amp;$A258,実績!$AE$6:$AE$505,"○")&gt;0,1,0))</f>
        <v/>
      </c>
      <c r="CK258">
        <f>IF(CK$4=0,0,IF(COUNTIFS(実績!$W$6:$W$505,CK$3,実績!$AC$6:$AC$505,"&lt;="&amp;$A258,実績!$AD$6:$AD$505,"&gt;"&amp;$A258,実績!$AE$6:$AE$505,"○")&gt;0,1,0))</f>
        <v/>
      </c>
      <c r="CL258">
        <f>IF(CL$4=0,0,IF(COUNTIFS(実績!$W$6:$W$505,CL$3,実績!$AC$6:$AC$505,"&lt;="&amp;$A258,実績!$AD$6:$AD$505,"&gt;"&amp;$A258,実績!$AE$6:$AE$505,"○")&gt;0,1,0))</f>
        <v/>
      </c>
      <c r="CM258">
        <f>IF(CM$4=0,0,IF(COUNTIFS(実績!$W$6:$W$505,CM$3,実績!$AC$6:$AC$505,"&lt;="&amp;$A258,実績!$AD$6:$AD$505,"&gt;"&amp;$A258,実績!$AE$6:$AE$505,"○")&gt;0,1,0))</f>
        <v/>
      </c>
      <c r="CN258">
        <f>IF(CN$4=0,0,IF(COUNTIFS(実績!$W$6:$W$505,CN$3,実績!$AC$6:$AC$505,"&lt;="&amp;$A258,実績!$AD$6:$AD$505,"&gt;"&amp;$A258,実績!$AE$6:$AE$505,"○")&gt;0,1,0))</f>
        <v/>
      </c>
      <c r="CO258">
        <f>IF(CO$4=0,0,IF(COUNTIFS(実績!$W$6:$W$505,CO$3,実績!$AC$6:$AC$505,"&lt;="&amp;$A258,実績!$AD$6:$AD$505,"&gt;"&amp;$A258,実績!$AE$6:$AE$505,"○")&gt;0,1,0))</f>
        <v/>
      </c>
      <c r="CP258">
        <f>IF(CP$4=0,0,IF(COUNTIFS(実績!$W$6:$W$505,CP$3,実績!$AC$6:$AC$505,"&lt;="&amp;$A258,実績!$AD$6:$AD$505,"&gt;"&amp;$A258,実績!$AE$6:$AE$505,"○")&gt;0,1,0))</f>
        <v/>
      </c>
      <c r="CQ258">
        <f>IF(CQ$4=0,0,IF(COUNTIFS(実績!$W$6:$W$505,CQ$3,実績!$AC$6:$AC$505,"&lt;="&amp;$A258,実績!$AD$6:$AD$505,"&gt;"&amp;$A258,実績!$AE$6:$AE$505,"○")&gt;0,1,0))</f>
        <v/>
      </c>
      <c r="CR258">
        <f>IF(CR$4=0,0,IF(COUNTIFS(実績!$W$6:$W$505,CR$3,実績!$AC$6:$AC$505,"&lt;="&amp;$A258,実績!$AD$6:$AD$505,"&gt;"&amp;$A258,実績!$AE$6:$AE$505,"○")&gt;0,1,0))</f>
        <v/>
      </c>
      <c r="CS258">
        <f>IF(CS$4=0,0,IF(COUNTIFS(実績!$W$6:$W$505,CS$3,実績!$AC$6:$AC$505,"&lt;="&amp;$A258,実績!$AD$6:$AD$505,"&gt;"&amp;$A258,実績!$AE$6:$AE$505,"○")&gt;0,1,0))</f>
        <v/>
      </c>
      <c r="CT258">
        <f>IF(CT$4=0,0,IF(COUNTIFS(実績!$W$6:$W$505,CT$3,実績!$AC$6:$AC$505,"&lt;="&amp;$A258,実績!$AD$6:$AD$505,"&gt;"&amp;$A258,実績!$AE$6:$AE$505,"○")&gt;0,1,0))</f>
        <v/>
      </c>
      <c r="CU258">
        <f>IF(CU$4=0,0,IF(COUNTIFS(実績!$W$6:$W$505,CU$3,実績!$AC$6:$AC$505,"&lt;="&amp;$A258,実績!$AD$6:$AD$505,"&gt;"&amp;$A258,実績!$AE$6:$AE$505,"○")&gt;0,1,0))</f>
        <v/>
      </c>
      <c r="CV258">
        <f>IF(CV$4=0,0,IF(COUNTIFS(実績!$W$6:$W$505,CV$3,実績!$AC$6:$AC$505,"&lt;="&amp;$A258,実績!$AD$6:$AD$505,"&gt;"&amp;$A258,実績!$AE$6:$AE$505,"○")&gt;0,1,0))</f>
        <v/>
      </c>
      <c r="CW258">
        <f>IF(CW$4=0,0,IF(COUNTIFS(実績!$W$6:$W$505,CW$3,実績!$AC$6:$AC$505,"&lt;="&amp;$A258,実績!$AD$6:$AD$505,"&gt;"&amp;$A258,実績!$AE$6:$AE$505,"○")&gt;0,1,0))</f>
        <v/>
      </c>
      <c r="CX258">
        <f>IF(CX$4=0,0,IF(COUNTIFS(実績!$W$6:$W$505,CX$3,実績!$AC$6:$AC$505,"&lt;="&amp;$A258,実績!$AD$6:$AD$505,"&gt;"&amp;$A258,実績!$AE$6:$AE$505,"○")&gt;0,1,0))</f>
        <v/>
      </c>
      <c r="CY258">
        <f>IF(CY$4=0,0,IF(COUNTIFS(実績!$W$6:$W$505,CY$3,実績!$AC$6:$AC$505,"&lt;="&amp;$A258,実績!$AD$6:$AD$505,"&gt;"&amp;$A258,実績!$AE$6:$AE$505,"○")&gt;0,1,0))</f>
        <v/>
      </c>
      <c r="CZ258">
        <f>IF(CZ$4=0,0,IF(COUNTIFS(実績!$W$6:$W$505,CZ$3,実績!$AC$6:$AC$505,"&lt;="&amp;$A258,実績!$AD$6:$AD$505,"&gt;"&amp;$A258,実績!$AE$6:$AE$505,"○")&gt;0,1,0))</f>
        <v/>
      </c>
      <c r="DA258">
        <f>IF(DA$4=0,0,IF(COUNTIFS(実績!$W$6:$W$505,DA$3,実績!$AC$6:$AC$505,"&lt;="&amp;$A258,実績!$AD$6:$AD$505,"&gt;"&amp;$A258,実績!$AE$6:$AE$505,"○")&gt;0,1,0))</f>
        <v/>
      </c>
      <c r="DB258">
        <f>IF(DB$4=0,0,IF(COUNTIFS(実績!$W$6:$W$505,DB$3,実績!$AC$6:$AC$505,"&lt;="&amp;$A258,実績!$AD$6:$AD$505,"&gt;"&amp;$A258,実績!$AE$6:$AE$505,"○")&gt;0,1,0))</f>
        <v/>
      </c>
      <c r="DC258">
        <f>IF(DC$4=0,0,IF(COUNTIFS(実績!$W$6:$W$505,DC$3,実績!$AC$6:$AC$505,"&lt;="&amp;$A258,実績!$AD$6:$AD$505,"&gt;"&amp;$A258,実績!$AE$6:$AE$505,"○")&gt;0,1,0))</f>
        <v/>
      </c>
      <c r="DD258">
        <f>IF(DD$4=0,0,IF(COUNTIFS(実績!$W$6:$W$505,DD$3,実績!$AC$6:$AC$505,"&lt;="&amp;$A258,実績!$AD$6:$AD$505,"&gt;"&amp;$A258,実績!$AE$6:$AE$505,"○")&gt;0,1,0))</f>
        <v/>
      </c>
      <c r="DE258">
        <f>IF(DE$4=0,0,IF(COUNTIFS(実績!$W$6:$W$505,DE$3,実績!$AC$6:$AC$505,"&lt;="&amp;$A258,実績!$AD$6:$AD$505,"&gt;"&amp;$A258,実績!$AE$6:$AE$505,"○")&gt;0,1,0))</f>
        <v/>
      </c>
      <c r="DF258">
        <f>IF(DF$4=0,0,IF(COUNTIFS(実績!$W$6:$W$505,DF$3,実績!$AC$6:$AC$505,"&lt;="&amp;$A258,実績!$AD$6:$AD$505,"&gt;"&amp;$A258,実績!$AE$6:$AE$505,"○")&gt;0,1,0))</f>
        <v/>
      </c>
      <c r="DG258">
        <f>IF(DG$4=0,0,IF(COUNTIFS(実績!$W$6:$W$505,DG$3,実績!$AC$6:$AC$505,"&lt;="&amp;$A258,実績!$AD$6:$AD$505,"&gt;"&amp;$A258,実績!$AE$6:$AE$505,"○")&gt;0,1,0))</f>
        <v/>
      </c>
      <c r="DH258">
        <f>IF(DH$4=0,0,IF(COUNTIFS(実績!$W$6:$W$505,DH$3,実績!$AC$6:$AC$505,"&lt;="&amp;$A258,実績!$AD$6:$AD$505,"&gt;"&amp;$A258,実績!$AE$6:$AE$505,"○")&gt;0,1,0))</f>
        <v/>
      </c>
      <c r="DI258">
        <f>IF(DI$4=0,0,IF(COUNTIFS(実績!$W$6:$W$505,DI$3,実績!$AC$6:$AC$505,"&lt;="&amp;$A258,実績!$AD$6:$AD$505,"&gt;"&amp;$A258,実績!$AE$6:$AE$505,"○")&gt;0,1,0))</f>
        <v/>
      </c>
      <c r="DJ258">
        <f>IF(DJ$4=0,0,IF(COUNTIFS(実績!$W$6:$W$505,DJ$3,実績!$AC$6:$AC$505,"&lt;="&amp;$A258,実績!$AD$6:$AD$505,"&gt;"&amp;$A258,実績!$AE$6:$AE$505,"○")&gt;0,1,0))</f>
        <v/>
      </c>
      <c r="DK258">
        <f>IF(DK$4=0,0,IF(COUNTIFS(実績!$W$6:$W$505,DK$3,実績!$AC$6:$AC$505,"&lt;="&amp;$A258,実績!$AD$6:$AD$505,"&gt;"&amp;$A258,実績!$AE$6:$AE$505,"○")&gt;0,1,0))</f>
        <v/>
      </c>
      <c r="DL258">
        <f>IF(DL$4=0,0,IF(COUNTIFS(実績!$W$6:$W$505,DL$3,実績!$AC$6:$AC$505,"&lt;="&amp;$A258,実績!$AD$6:$AD$505,"&gt;"&amp;$A258,実績!$AE$6:$AE$505,"○")&gt;0,1,0))</f>
        <v/>
      </c>
      <c r="DM258">
        <f>IF(DM$4=0,0,IF(COUNTIFS(実績!$W$6:$W$505,DM$3,実績!$AC$6:$AC$505,"&lt;="&amp;$A258,実績!$AD$6:$AD$505,"&gt;"&amp;$A258,実績!$AE$6:$AE$505,"○")&gt;0,1,0))</f>
        <v/>
      </c>
      <c r="DN258">
        <f>IF(DN$4=0,0,IF(COUNTIFS(実績!$W$6:$W$505,DN$3,実績!$AC$6:$AC$505,"&lt;="&amp;$A258,実績!$AD$6:$AD$505,"&gt;"&amp;$A258,実績!$AE$6:$AE$505,"○")&gt;0,1,0))</f>
        <v/>
      </c>
      <c r="DO258">
        <f>IF(DO$4=0,0,IF(COUNTIFS(実績!$W$6:$W$505,DO$3,実績!$AC$6:$AC$505,"&lt;="&amp;$A258,実績!$AD$6:$AD$505,"&gt;"&amp;$A258,実績!$AE$6:$AE$505,"○")&gt;0,1,0))</f>
        <v/>
      </c>
      <c r="DP258">
        <f>IF(DP$4=0,0,IF(COUNTIFS(実績!$W$6:$W$505,DP$3,実績!$AC$6:$AC$505,"&lt;="&amp;$A258,実績!$AD$6:$AD$505,"&gt;"&amp;$A258,実績!$AE$6:$AE$505,"○")&gt;0,1,0))</f>
        <v/>
      </c>
      <c r="DQ258">
        <f>IF(DQ$4=0,0,IF(COUNTIFS(実績!$W$6:$W$505,DQ$3,実績!$AC$6:$AC$505,"&lt;="&amp;$A258,実績!$AD$6:$AD$505,"&gt;"&amp;$A258,実績!$AE$6:$AE$505,"○")&gt;0,1,0))</f>
        <v/>
      </c>
      <c r="DR258">
        <f>IF(DR$4=0,0,IF(COUNTIFS(実績!$W$6:$W$505,DR$3,実績!$AC$6:$AC$505,"&lt;="&amp;$A258,実績!$AD$6:$AD$505,"&gt;"&amp;$A258,実績!$AE$6:$AE$505,"○")&gt;0,1,0))</f>
        <v/>
      </c>
      <c r="DS258">
        <f>SUM(C258:DR258)</f>
        <v/>
      </c>
      <c r="DT258">
        <f>SUMPRODUCT((実績!$C$6:$C$505="○")*ISNUMBER(実績!$AF$6:$AF$505)*(実績!$AF$6:$AF$505&lt;=$A258)*(実績!$AG$6:$AG$505&gt;$A258))</f>
        <v/>
      </c>
      <c r="DU258">
        <f>SUMIF($C$2:$DR$2,"製鉄曳船",C258:DR258)</f>
        <v/>
      </c>
      <c r="DV258">
        <f>SUMIF($C$2:$DR$2,"西日本海運",C258:DR258)</f>
        <v/>
      </c>
    </row>
    <row r="259">
      <c r="A259" t="n">
        <v>1265</v>
      </c>
      <c r="B259" s="29">
        <f>A259/1440</f>
        <v/>
      </c>
      <c r="C259">
        <f>IF(C$4=0,0,IF(COUNTIFS(実績!$W$6:$W$505,C$3,実績!$AC$6:$AC$505,"&lt;="&amp;$A259,実績!$AD$6:$AD$505,"&gt;"&amp;$A259,実績!$AE$6:$AE$505,"○")&gt;0,1,0))</f>
        <v/>
      </c>
      <c r="D259">
        <f>IF(D$4=0,0,IF(COUNTIFS(実績!$W$6:$W$505,D$3,実績!$AC$6:$AC$505,"&lt;="&amp;$A259,実績!$AD$6:$AD$505,"&gt;"&amp;$A259,実績!$AE$6:$AE$505,"○")&gt;0,1,0))</f>
        <v/>
      </c>
      <c r="E259">
        <f>IF(E$4=0,0,IF(COUNTIFS(実績!$W$6:$W$505,E$3,実績!$AC$6:$AC$505,"&lt;="&amp;$A259,実績!$AD$6:$AD$505,"&gt;"&amp;$A259,実績!$AE$6:$AE$505,"○")&gt;0,1,0))</f>
        <v/>
      </c>
      <c r="F259">
        <f>IF(F$4=0,0,IF(COUNTIFS(実績!$W$6:$W$505,F$3,実績!$AC$6:$AC$505,"&lt;="&amp;$A259,実績!$AD$6:$AD$505,"&gt;"&amp;$A259,実績!$AE$6:$AE$505,"○")&gt;0,1,0))</f>
        <v/>
      </c>
      <c r="G259">
        <f>IF(G$4=0,0,IF(COUNTIFS(実績!$W$6:$W$505,G$3,実績!$AC$6:$AC$505,"&lt;="&amp;$A259,実績!$AD$6:$AD$505,"&gt;"&amp;$A259,実績!$AE$6:$AE$505,"○")&gt;0,1,0))</f>
        <v/>
      </c>
      <c r="H259">
        <f>IF(H$4=0,0,IF(COUNTIFS(実績!$W$6:$W$505,H$3,実績!$AC$6:$AC$505,"&lt;="&amp;$A259,実績!$AD$6:$AD$505,"&gt;"&amp;$A259,実績!$AE$6:$AE$505,"○")&gt;0,1,0))</f>
        <v/>
      </c>
      <c r="I259">
        <f>IF(I$4=0,0,IF(COUNTIFS(実績!$W$6:$W$505,I$3,実績!$AC$6:$AC$505,"&lt;="&amp;$A259,実績!$AD$6:$AD$505,"&gt;"&amp;$A259,実績!$AE$6:$AE$505,"○")&gt;0,1,0))</f>
        <v/>
      </c>
      <c r="J259">
        <f>IF(J$4=0,0,IF(COUNTIFS(実績!$W$6:$W$505,J$3,実績!$AC$6:$AC$505,"&lt;="&amp;$A259,実績!$AD$6:$AD$505,"&gt;"&amp;$A259,実績!$AE$6:$AE$505,"○")&gt;0,1,0))</f>
        <v/>
      </c>
      <c r="K259">
        <f>IF(K$4=0,0,IF(COUNTIFS(実績!$W$6:$W$505,K$3,実績!$AC$6:$AC$505,"&lt;="&amp;$A259,実績!$AD$6:$AD$505,"&gt;"&amp;$A259,実績!$AE$6:$AE$505,"○")&gt;0,1,0))</f>
        <v/>
      </c>
      <c r="L259">
        <f>IF(L$4=0,0,IF(COUNTIFS(実績!$W$6:$W$505,L$3,実績!$AC$6:$AC$505,"&lt;="&amp;$A259,実績!$AD$6:$AD$505,"&gt;"&amp;$A259,実績!$AE$6:$AE$505,"○")&gt;0,1,0))</f>
        <v/>
      </c>
      <c r="M259">
        <f>IF(M$4=0,0,IF(COUNTIFS(実績!$W$6:$W$505,M$3,実績!$AC$6:$AC$505,"&lt;="&amp;$A259,実績!$AD$6:$AD$505,"&gt;"&amp;$A259,実績!$AE$6:$AE$505,"○")&gt;0,1,0))</f>
        <v/>
      </c>
      <c r="N259">
        <f>IF(N$4=0,0,IF(COUNTIFS(実績!$W$6:$W$505,N$3,実績!$AC$6:$AC$505,"&lt;="&amp;$A259,実績!$AD$6:$AD$505,"&gt;"&amp;$A259,実績!$AE$6:$AE$505,"○")&gt;0,1,0))</f>
        <v/>
      </c>
      <c r="O259">
        <f>IF(O$4=0,0,IF(COUNTIFS(実績!$W$6:$W$505,O$3,実績!$AC$6:$AC$505,"&lt;="&amp;$A259,実績!$AD$6:$AD$505,"&gt;"&amp;$A259,実績!$AE$6:$AE$505,"○")&gt;0,1,0))</f>
        <v/>
      </c>
      <c r="P259">
        <f>IF(P$4=0,0,IF(COUNTIFS(実績!$W$6:$W$505,P$3,実績!$AC$6:$AC$505,"&lt;="&amp;$A259,実績!$AD$6:$AD$505,"&gt;"&amp;$A259,実績!$AE$6:$AE$505,"○")&gt;0,1,0))</f>
        <v/>
      </c>
      <c r="Q259">
        <f>IF(Q$4=0,0,IF(COUNTIFS(実績!$W$6:$W$505,Q$3,実績!$AC$6:$AC$505,"&lt;="&amp;$A259,実績!$AD$6:$AD$505,"&gt;"&amp;$A259,実績!$AE$6:$AE$505,"○")&gt;0,1,0))</f>
        <v/>
      </c>
      <c r="R259">
        <f>IF(R$4=0,0,IF(COUNTIFS(実績!$W$6:$W$505,R$3,実績!$AC$6:$AC$505,"&lt;="&amp;$A259,実績!$AD$6:$AD$505,"&gt;"&amp;$A259,実績!$AE$6:$AE$505,"○")&gt;0,1,0))</f>
        <v/>
      </c>
      <c r="S259">
        <f>IF(S$4=0,0,IF(COUNTIFS(実績!$W$6:$W$505,S$3,実績!$AC$6:$AC$505,"&lt;="&amp;$A259,実績!$AD$6:$AD$505,"&gt;"&amp;$A259,実績!$AE$6:$AE$505,"○")&gt;0,1,0))</f>
        <v/>
      </c>
      <c r="T259">
        <f>IF(T$4=0,0,IF(COUNTIFS(実績!$W$6:$W$505,T$3,実績!$AC$6:$AC$505,"&lt;="&amp;$A259,実績!$AD$6:$AD$505,"&gt;"&amp;$A259,実績!$AE$6:$AE$505,"○")&gt;0,1,0))</f>
        <v/>
      </c>
      <c r="U259">
        <f>IF(U$4=0,0,IF(COUNTIFS(実績!$W$6:$W$505,U$3,実績!$AC$6:$AC$505,"&lt;="&amp;$A259,実績!$AD$6:$AD$505,"&gt;"&amp;$A259,実績!$AE$6:$AE$505,"○")&gt;0,1,0))</f>
        <v/>
      </c>
      <c r="V259">
        <f>IF(V$4=0,0,IF(COUNTIFS(実績!$W$6:$W$505,V$3,実績!$AC$6:$AC$505,"&lt;="&amp;$A259,実績!$AD$6:$AD$505,"&gt;"&amp;$A259,実績!$AE$6:$AE$505,"○")&gt;0,1,0))</f>
        <v/>
      </c>
      <c r="W259">
        <f>IF(W$4=0,0,IF(COUNTIFS(実績!$W$6:$W$505,W$3,実績!$AC$6:$AC$505,"&lt;="&amp;$A259,実績!$AD$6:$AD$505,"&gt;"&amp;$A259,実績!$AE$6:$AE$505,"○")&gt;0,1,0))</f>
        <v/>
      </c>
      <c r="X259">
        <f>IF(X$4=0,0,IF(COUNTIFS(実績!$W$6:$W$505,X$3,実績!$AC$6:$AC$505,"&lt;="&amp;$A259,実績!$AD$6:$AD$505,"&gt;"&amp;$A259,実績!$AE$6:$AE$505,"○")&gt;0,1,0))</f>
        <v/>
      </c>
      <c r="Y259">
        <f>IF(Y$4=0,0,IF(COUNTIFS(実績!$W$6:$W$505,Y$3,実績!$AC$6:$AC$505,"&lt;="&amp;$A259,実績!$AD$6:$AD$505,"&gt;"&amp;$A259,実績!$AE$6:$AE$505,"○")&gt;0,1,0))</f>
        <v/>
      </c>
      <c r="Z259">
        <f>IF(Z$4=0,0,IF(COUNTIFS(実績!$W$6:$W$505,Z$3,実績!$AC$6:$AC$505,"&lt;="&amp;$A259,実績!$AD$6:$AD$505,"&gt;"&amp;$A259,実績!$AE$6:$AE$505,"○")&gt;0,1,0))</f>
        <v/>
      </c>
      <c r="AA259">
        <f>IF(AA$4=0,0,IF(COUNTIFS(実績!$W$6:$W$505,AA$3,実績!$AC$6:$AC$505,"&lt;="&amp;$A259,実績!$AD$6:$AD$505,"&gt;"&amp;$A259,実績!$AE$6:$AE$505,"○")&gt;0,1,0))</f>
        <v/>
      </c>
      <c r="AB259">
        <f>IF(AB$4=0,0,IF(COUNTIFS(実績!$W$6:$W$505,AB$3,実績!$AC$6:$AC$505,"&lt;="&amp;$A259,実績!$AD$6:$AD$505,"&gt;"&amp;$A259,実績!$AE$6:$AE$505,"○")&gt;0,1,0))</f>
        <v/>
      </c>
      <c r="AC259">
        <f>IF(AC$4=0,0,IF(COUNTIFS(実績!$W$6:$W$505,AC$3,実績!$AC$6:$AC$505,"&lt;="&amp;$A259,実績!$AD$6:$AD$505,"&gt;"&amp;$A259,実績!$AE$6:$AE$505,"○")&gt;0,1,0))</f>
        <v/>
      </c>
      <c r="AD259">
        <f>IF(AD$4=0,0,IF(COUNTIFS(実績!$W$6:$W$505,AD$3,実績!$AC$6:$AC$505,"&lt;="&amp;$A259,実績!$AD$6:$AD$505,"&gt;"&amp;$A259,実績!$AE$6:$AE$505,"○")&gt;0,1,0))</f>
        <v/>
      </c>
      <c r="AE259">
        <f>IF(AE$4=0,0,IF(COUNTIFS(実績!$W$6:$W$505,AE$3,実績!$AC$6:$AC$505,"&lt;="&amp;$A259,実績!$AD$6:$AD$505,"&gt;"&amp;$A259,実績!$AE$6:$AE$505,"○")&gt;0,1,0))</f>
        <v/>
      </c>
      <c r="AF259">
        <f>IF(AF$4=0,0,IF(COUNTIFS(実績!$W$6:$W$505,AF$3,実績!$AC$6:$AC$505,"&lt;="&amp;$A259,実績!$AD$6:$AD$505,"&gt;"&amp;$A259,実績!$AE$6:$AE$505,"○")&gt;0,1,0))</f>
        <v/>
      </c>
      <c r="AG259">
        <f>IF(AG$4=0,0,IF(COUNTIFS(実績!$W$6:$W$505,AG$3,実績!$AC$6:$AC$505,"&lt;="&amp;$A259,実績!$AD$6:$AD$505,"&gt;"&amp;$A259,実績!$AE$6:$AE$505,"○")&gt;0,1,0))</f>
        <v/>
      </c>
      <c r="AH259">
        <f>IF(AH$4=0,0,IF(COUNTIFS(実績!$W$6:$W$505,AH$3,実績!$AC$6:$AC$505,"&lt;="&amp;$A259,実績!$AD$6:$AD$505,"&gt;"&amp;$A259,実績!$AE$6:$AE$505,"○")&gt;0,1,0))</f>
        <v/>
      </c>
      <c r="AI259">
        <f>IF(AI$4=0,0,IF(COUNTIFS(実績!$W$6:$W$505,AI$3,実績!$AC$6:$AC$505,"&lt;="&amp;$A259,実績!$AD$6:$AD$505,"&gt;"&amp;$A259,実績!$AE$6:$AE$505,"○")&gt;0,1,0))</f>
        <v/>
      </c>
      <c r="AJ259">
        <f>IF(AJ$4=0,0,IF(COUNTIFS(実績!$W$6:$W$505,AJ$3,実績!$AC$6:$AC$505,"&lt;="&amp;$A259,実績!$AD$6:$AD$505,"&gt;"&amp;$A259,実績!$AE$6:$AE$505,"○")&gt;0,1,0))</f>
        <v/>
      </c>
      <c r="AK259">
        <f>IF(AK$4=0,0,IF(COUNTIFS(実績!$W$6:$W$505,AK$3,実績!$AC$6:$AC$505,"&lt;="&amp;$A259,実績!$AD$6:$AD$505,"&gt;"&amp;$A259,実績!$AE$6:$AE$505,"○")&gt;0,1,0))</f>
        <v/>
      </c>
      <c r="AL259">
        <f>IF(AL$4=0,0,IF(COUNTIFS(実績!$W$6:$W$505,AL$3,実績!$AC$6:$AC$505,"&lt;="&amp;$A259,実績!$AD$6:$AD$505,"&gt;"&amp;$A259,実績!$AE$6:$AE$505,"○")&gt;0,1,0))</f>
        <v/>
      </c>
      <c r="AM259">
        <f>IF(AM$4=0,0,IF(COUNTIFS(実績!$W$6:$W$505,AM$3,実績!$AC$6:$AC$505,"&lt;="&amp;$A259,実績!$AD$6:$AD$505,"&gt;"&amp;$A259,実績!$AE$6:$AE$505,"○")&gt;0,1,0))</f>
        <v/>
      </c>
      <c r="AN259">
        <f>IF(AN$4=0,0,IF(COUNTIFS(実績!$W$6:$W$505,AN$3,実績!$AC$6:$AC$505,"&lt;="&amp;$A259,実績!$AD$6:$AD$505,"&gt;"&amp;$A259,実績!$AE$6:$AE$505,"○")&gt;0,1,0))</f>
        <v/>
      </c>
      <c r="AO259">
        <f>IF(AO$4=0,0,IF(COUNTIFS(実績!$W$6:$W$505,AO$3,実績!$AC$6:$AC$505,"&lt;="&amp;$A259,実績!$AD$6:$AD$505,"&gt;"&amp;$A259,実績!$AE$6:$AE$505,"○")&gt;0,1,0))</f>
        <v/>
      </c>
      <c r="AP259">
        <f>IF(AP$4=0,0,IF(COUNTIFS(実績!$W$6:$W$505,AP$3,実績!$AC$6:$AC$505,"&lt;="&amp;$A259,実績!$AD$6:$AD$505,"&gt;"&amp;$A259,実績!$AE$6:$AE$505,"○")&gt;0,1,0))</f>
        <v/>
      </c>
      <c r="AQ259">
        <f>IF(AQ$4=0,0,IF(COUNTIFS(実績!$W$6:$W$505,AQ$3,実績!$AC$6:$AC$505,"&lt;="&amp;$A259,実績!$AD$6:$AD$505,"&gt;"&amp;$A259,実績!$AE$6:$AE$505,"○")&gt;0,1,0))</f>
        <v/>
      </c>
      <c r="AR259">
        <f>IF(AR$4=0,0,IF(COUNTIFS(実績!$W$6:$W$505,AR$3,実績!$AC$6:$AC$505,"&lt;="&amp;$A259,実績!$AD$6:$AD$505,"&gt;"&amp;$A259,実績!$AE$6:$AE$505,"○")&gt;0,1,0))</f>
        <v/>
      </c>
      <c r="AS259">
        <f>IF(AS$4=0,0,IF(COUNTIFS(実績!$W$6:$W$505,AS$3,実績!$AC$6:$AC$505,"&lt;="&amp;$A259,実績!$AD$6:$AD$505,"&gt;"&amp;$A259,実績!$AE$6:$AE$505,"○")&gt;0,1,0))</f>
        <v/>
      </c>
      <c r="AT259">
        <f>IF(AT$4=0,0,IF(COUNTIFS(実績!$W$6:$W$505,AT$3,実績!$AC$6:$AC$505,"&lt;="&amp;$A259,実績!$AD$6:$AD$505,"&gt;"&amp;$A259,実績!$AE$6:$AE$505,"○")&gt;0,1,0))</f>
        <v/>
      </c>
      <c r="AU259">
        <f>IF(AU$4=0,0,IF(COUNTIFS(実績!$W$6:$W$505,AU$3,実績!$AC$6:$AC$505,"&lt;="&amp;$A259,実績!$AD$6:$AD$505,"&gt;"&amp;$A259,実績!$AE$6:$AE$505,"○")&gt;0,1,0))</f>
        <v/>
      </c>
      <c r="AV259">
        <f>IF(AV$4=0,0,IF(COUNTIFS(実績!$W$6:$W$505,AV$3,実績!$AC$6:$AC$505,"&lt;="&amp;$A259,実績!$AD$6:$AD$505,"&gt;"&amp;$A259,実績!$AE$6:$AE$505,"○")&gt;0,1,0))</f>
        <v/>
      </c>
      <c r="AW259">
        <f>IF(AW$4=0,0,IF(COUNTIFS(実績!$W$6:$W$505,AW$3,実績!$AC$6:$AC$505,"&lt;="&amp;$A259,実績!$AD$6:$AD$505,"&gt;"&amp;$A259,実績!$AE$6:$AE$505,"○")&gt;0,1,0))</f>
        <v/>
      </c>
      <c r="AX259">
        <f>IF(AX$4=0,0,IF(COUNTIFS(実績!$W$6:$W$505,AX$3,実績!$AC$6:$AC$505,"&lt;="&amp;$A259,実績!$AD$6:$AD$505,"&gt;"&amp;$A259,実績!$AE$6:$AE$505,"○")&gt;0,1,0))</f>
        <v/>
      </c>
      <c r="AY259">
        <f>IF(AY$4=0,0,IF(COUNTIFS(実績!$W$6:$W$505,AY$3,実績!$AC$6:$AC$505,"&lt;="&amp;$A259,実績!$AD$6:$AD$505,"&gt;"&amp;$A259,実績!$AE$6:$AE$505,"○")&gt;0,1,0))</f>
        <v/>
      </c>
      <c r="AZ259">
        <f>IF(AZ$4=0,0,IF(COUNTIFS(実績!$W$6:$W$505,AZ$3,実績!$AC$6:$AC$505,"&lt;="&amp;$A259,実績!$AD$6:$AD$505,"&gt;"&amp;$A259,実績!$AE$6:$AE$505,"○")&gt;0,1,0))</f>
        <v/>
      </c>
      <c r="BA259">
        <f>IF(BA$4=0,0,IF(COUNTIFS(実績!$W$6:$W$505,BA$3,実績!$AC$6:$AC$505,"&lt;="&amp;$A259,実績!$AD$6:$AD$505,"&gt;"&amp;$A259,実績!$AE$6:$AE$505,"○")&gt;0,1,0))</f>
        <v/>
      </c>
      <c r="BB259">
        <f>IF(BB$4=0,0,IF(COUNTIFS(実績!$W$6:$W$505,BB$3,実績!$AC$6:$AC$505,"&lt;="&amp;$A259,実績!$AD$6:$AD$505,"&gt;"&amp;$A259,実績!$AE$6:$AE$505,"○")&gt;0,1,0))</f>
        <v/>
      </c>
      <c r="BC259">
        <f>IF(BC$4=0,0,IF(COUNTIFS(実績!$W$6:$W$505,BC$3,実績!$AC$6:$AC$505,"&lt;="&amp;$A259,実績!$AD$6:$AD$505,"&gt;"&amp;$A259,実績!$AE$6:$AE$505,"○")&gt;0,1,0))</f>
        <v/>
      </c>
      <c r="BD259">
        <f>IF(BD$4=0,0,IF(COUNTIFS(実績!$W$6:$W$505,BD$3,実績!$AC$6:$AC$505,"&lt;="&amp;$A259,実績!$AD$6:$AD$505,"&gt;"&amp;$A259,実績!$AE$6:$AE$505,"○")&gt;0,1,0))</f>
        <v/>
      </c>
      <c r="BE259">
        <f>IF(BE$4=0,0,IF(COUNTIFS(実績!$W$6:$W$505,BE$3,実績!$AC$6:$AC$505,"&lt;="&amp;$A259,実績!$AD$6:$AD$505,"&gt;"&amp;$A259,実績!$AE$6:$AE$505,"○")&gt;0,1,0))</f>
        <v/>
      </c>
      <c r="BF259">
        <f>IF(BF$4=0,0,IF(COUNTIFS(実績!$W$6:$W$505,BF$3,実績!$AC$6:$AC$505,"&lt;="&amp;$A259,実績!$AD$6:$AD$505,"&gt;"&amp;$A259,実績!$AE$6:$AE$505,"○")&gt;0,1,0))</f>
        <v/>
      </c>
      <c r="BG259">
        <f>IF(BG$4=0,0,IF(COUNTIFS(実績!$W$6:$W$505,BG$3,実績!$AC$6:$AC$505,"&lt;="&amp;$A259,実績!$AD$6:$AD$505,"&gt;"&amp;$A259,実績!$AE$6:$AE$505,"○")&gt;0,1,0))</f>
        <v/>
      </c>
      <c r="BH259">
        <f>IF(BH$4=0,0,IF(COUNTIFS(実績!$W$6:$W$505,BH$3,実績!$AC$6:$AC$505,"&lt;="&amp;$A259,実績!$AD$6:$AD$505,"&gt;"&amp;$A259,実績!$AE$6:$AE$505,"○")&gt;0,1,0))</f>
        <v/>
      </c>
      <c r="BI259">
        <f>IF(BI$4=0,0,IF(COUNTIFS(実績!$W$6:$W$505,BI$3,実績!$AC$6:$AC$505,"&lt;="&amp;$A259,実績!$AD$6:$AD$505,"&gt;"&amp;$A259,実績!$AE$6:$AE$505,"○")&gt;0,1,0))</f>
        <v/>
      </c>
      <c r="BJ259">
        <f>IF(BJ$4=0,0,IF(COUNTIFS(実績!$W$6:$W$505,BJ$3,実績!$AC$6:$AC$505,"&lt;="&amp;$A259,実績!$AD$6:$AD$505,"&gt;"&amp;$A259,実績!$AE$6:$AE$505,"○")&gt;0,1,0))</f>
        <v/>
      </c>
      <c r="BK259">
        <f>IF(BK$4=0,0,IF(COUNTIFS(実績!$W$6:$W$505,BK$3,実績!$AC$6:$AC$505,"&lt;="&amp;$A259,実績!$AD$6:$AD$505,"&gt;"&amp;$A259,実績!$AE$6:$AE$505,"○")&gt;0,1,0))</f>
        <v/>
      </c>
      <c r="BL259">
        <f>IF(BL$4=0,0,IF(COUNTIFS(実績!$W$6:$W$505,BL$3,実績!$AC$6:$AC$505,"&lt;="&amp;$A259,実績!$AD$6:$AD$505,"&gt;"&amp;$A259,実績!$AE$6:$AE$505,"○")&gt;0,1,0))</f>
        <v/>
      </c>
      <c r="BM259">
        <f>IF(BM$4=0,0,IF(COUNTIFS(実績!$W$6:$W$505,BM$3,実績!$AC$6:$AC$505,"&lt;="&amp;$A259,実績!$AD$6:$AD$505,"&gt;"&amp;$A259,実績!$AE$6:$AE$505,"○")&gt;0,1,0))</f>
        <v/>
      </c>
      <c r="BN259">
        <f>IF(BN$4=0,0,IF(COUNTIFS(実績!$W$6:$W$505,BN$3,実績!$AC$6:$AC$505,"&lt;="&amp;$A259,実績!$AD$6:$AD$505,"&gt;"&amp;$A259,実績!$AE$6:$AE$505,"○")&gt;0,1,0))</f>
        <v/>
      </c>
      <c r="BO259">
        <f>IF(BO$4=0,0,IF(COUNTIFS(実績!$W$6:$W$505,BO$3,実績!$AC$6:$AC$505,"&lt;="&amp;$A259,実績!$AD$6:$AD$505,"&gt;"&amp;$A259,実績!$AE$6:$AE$505,"○")&gt;0,1,0))</f>
        <v/>
      </c>
      <c r="BP259">
        <f>IF(BP$4=0,0,IF(COUNTIFS(実績!$W$6:$W$505,BP$3,実績!$AC$6:$AC$505,"&lt;="&amp;$A259,実績!$AD$6:$AD$505,"&gt;"&amp;$A259,実績!$AE$6:$AE$505,"○")&gt;0,1,0))</f>
        <v/>
      </c>
      <c r="BQ259">
        <f>IF(BQ$4=0,0,IF(COUNTIFS(実績!$W$6:$W$505,BQ$3,実績!$AC$6:$AC$505,"&lt;="&amp;$A259,実績!$AD$6:$AD$505,"&gt;"&amp;$A259,実績!$AE$6:$AE$505,"○")&gt;0,1,0))</f>
        <v/>
      </c>
      <c r="BR259">
        <f>IF(BR$4=0,0,IF(COUNTIFS(実績!$W$6:$W$505,BR$3,実績!$AC$6:$AC$505,"&lt;="&amp;$A259,実績!$AD$6:$AD$505,"&gt;"&amp;$A259,実績!$AE$6:$AE$505,"○")&gt;0,1,0))</f>
        <v/>
      </c>
      <c r="BS259">
        <f>IF(BS$4=0,0,IF(COUNTIFS(実績!$W$6:$W$505,BS$3,実績!$AC$6:$AC$505,"&lt;="&amp;$A259,実績!$AD$6:$AD$505,"&gt;"&amp;$A259,実績!$AE$6:$AE$505,"○")&gt;0,1,0))</f>
        <v/>
      </c>
      <c r="BT259">
        <f>IF(BT$4=0,0,IF(COUNTIFS(実績!$W$6:$W$505,BT$3,実績!$AC$6:$AC$505,"&lt;="&amp;$A259,実績!$AD$6:$AD$505,"&gt;"&amp;$A259,実績!$AE$6:$AE$505,"○")&gt;0,1,0))</f>
        <v/>
      </c>
      <c r="BU259">
        <f>IF(BU$4=0,0,IF(COUNTIFS(実績!$W$6:$W$505,BU$3,実績!$AC$6:$AC$505,"&lt;="&amp;$A259,実績!$AD$6:$AD$505,"&gt;"&amp;$A259,実績!$AE$6:$AE$505,"○")&gt;0,1,0))</f>
        <v/>
      </c>
      <c r="BV259">
        <f>IF(BV$4=0,0,IF(COUNTIFS(実績!$W$6:$W$505,BV$3,実績!$AC$6:$AC$505,"&lt;="&amp;$A259,実績!$AD$6:$AD$505,"&gt;"&amp;$A259,実績!$AE$6:$AE$505,"○")&gt;0,1,0))</f>
        <v/>
      </c>
      <c r="BW259">
        <f>IF(BW$4=0,0,IF(COUNTIFS(実績!$W$6:$W$505,BW$3,実績!$AC$6:$AC$505,"&lt;="&amp;$A259,実績!$AD$6:$AD$505,"&gt;"&amp;$A259,実績!$AE$6:$AE$505,"○")&gt;0,1,0))</f>
        <v/>
      </c>
      <c r="BX259">
        <f>IF(BX$4=0,0,IF(COUNTIFS(実績!$W$6:$W$505,BX$3,実績!$AC$6:$AC$505,"&lt;="&amp;$A259,実績!$AD$6:$AD$505,"&gt;"&amp;$A259,実績!$AE$6:$AE$505,"○")&gt;0,1,0))</f>
        <v/>
      </c>
      <c r="BY259">
        <f>IF(BY$4=0,0,IF(COUNTIFS(実績!$W$6:$W$505,BY$3,実績!$AC$6:$AC$505,"&lt;="&amp;$A259,実績!$AD$6:$AD$505,"&gt;"&amp;$A259,実績!$AE$6:$AE$505,"○")&gt;0,1,0))</f>
        <v/>
      </c>
      <c r="BZ259">
        <f>IF(BZ$4=0,0,IF(COUNTIFS(実績!$W$6:$W$505,BZ$3,実績!$AC$6:$AC$505,"&lt;="&amp;$A259,実績!$AD$6:$AD$505,"&gt;"&amp;$A259,実績!$AE$6:$AE$505,"○")&gt;0,1,0))</f>
        <v/>
      </c>
      <c r="CA259">
        <f>IF(CA$4=0,0,IF(COUNTIFS(実績!$W$6:$W$505,CA$3,実績!$AC$6:$AC$505,"&lt;="&amp;$A259,実績!$AD$6:$AD$505,"&gt;"&amp;$A259,実績!$AE$6:$AE$505,"○")&gt;0,1,0))</f>
        <v/>
      </c>
      <c r="CB259">
        <f>IF(CB$4=0,0,IF(COUNTIFS(実績!$W$6:$W$505,CB$3,実績!$AC$6:$AC$505,"&lt;="&amp;$A259,実績!$AD$6:$AD$505,"&gt;"&amp;$A259,実績!$AE$6:$AE$505,"○")&gt;0,1,0))</f>
        <v/>
      </c>
      <c r="CC259">
        <f>IF(CC$4=0,0,IF(COUNTIFS(実績!$W$6:$W$505,CC$3,実績!$AC$6:$AC$505,"&lt;="&amp;$A259,実績!$AD$6:$AD$505,"&gt;"&amp;$A259,実績!$AE$6:$AE$505,"○")&gt;0,1,0))</f>
        <v/>
      </c>
      <c r="CD259">
        <f>IF(CD$4=0,0,IF(COUNTIFS(実績!$W$6:$W$505,CD$3,実績!$AC$6:$AC$505,"&lt;="&amp;$A259,実績!$AD$6:$AD$505,"&gt;"&amp;$A259,実績!$AE$6:$AE$505,"○")&gt;0,1,0))</f>
        <v/>
      </c>
      <c r="CE259">
        <f>IF(CE$4=0,0,IF(COUNTIFS(実績!$W$6:$W$505,CE$3,実績!$AC$6:$AC$505,"&lt;="&amp;$A259,実績!$AD$6:$AD$505,"&gt;"&amp;$A259,実績!$AE$6:$AE$505,"○")&gt;0,1,0))</f>
        <v/>
      </c>
      <c r="CF259">
        <f>IF(CF$4=0,0,IF(COUNTIFS(実績!$W$6:$W$505,CF$3,実績!$AC$6:$AC$505,"&lt;="&amp;$A259,実績!$AD$6:$AD$505,"&gt;"&amp;$A259,実績!$AE$6:$AE$505,"○")&gt;0,1,0))</f>
        <v/>
      </c>
      <c r="CG259">
        <f>IF(CG$4=0,0,IF(COUNTIFS(実績!$W$6:$W$505,CG$3,実績!$AC$6:$AC$505,"&lt;="&amp;$A259,実績!$AD$6:$AD$505,"&gt;"&amp;$A259,実績!$AE$6:$AE$505,"○")&gt;0,1,0))</f>
        <v/>
      </c>
      <c r="CH259">
        <f>IF(CH$4=0,0,IF(COUNTIFS(実績!$W$6:$W$505,CH$3,実績!$AC$6:$AC$505,"&lt;="&amp;$A259,実績!$AD$6:$AD$505,"&gt;"&amp;$A259,実績!$AE$6:$AE$505,"○")&gt;0,1,0))</f>
        <v/>
      </c>
      <c r="CI259">
        <f>IF(CI$4=0,0,IF(COUNTIFS(実績!$W$6:$W$505,CI$3,実績!$AC$6:$AC$505,"&lt;="&amp;$A259,実績!$AD$6:$AD$505,"&gt;"&amp;$A259,実績!$AE$6:$AE$505,"○")&gt;0,1,0))</f>
        <v/>
      </c>
      <c r="CJ259">
        <f>IF(CJ$4=0,0,IF(COUNTIFS(実績!$W$6:$W$505,CJ$3,実績!$AC$6:$AC$505,"&lt;="&amp;$A259,実績!$AD$6:$AD$505,"&gt;"&amp;$A259,実績!$AE$6:$AE$505,"○")&gt;0,1,0))</f>
        <v/>
      </c>
      <c r="CK259">
        <f>IF(CK$4=0,0,IF(COUNTIFS(実績!$W$6:$W$505,CK$3,実績!$AC$6:$AC$505,"&lt;="&amp;$A259,実績!$AD$6:$AD$505,"&gt;"&amp;$A259,実績!$AE$6:$AE$505,"○")&gt;0,1,0))</f>
        <v/>
      </c>
      <c r="CL259">
        <f>IF(CL$4=0,0,IF(COUNTIFS(実績!$W$6:$W$505,CL$3,実績!$AC$6:$AC$505,"&lt;="&amp;$A259,実績!$AD$6:$AD$505,"&gt;"&amp;$A259,実績!$AE$6:$AE$505,"○")&gt;0,1,0))</f>
        <v/>
      </c>
      <c r="CM259">
        <f>IF(CM$4=0,0,IF(COUNTIFS(実績!$W$6:$W$505,CM$3,実績!$AC$6:$AC$505,"&lt;="&amp;$A259,実績!$AD$6:$AD$505,"&gt;"&amp;$A259,実績!$AE$6:$AE$505,"○")&gt;0,1,0))</f>
        <v/>
      </c>
      <c r="CN259">
        <f>IF(CN$4=0,0,IF(COUNTIFS(実績!$W$6:$W$505,CN$3,実績!$AC$6:$AC$505,"&lt;="&amp;$A259,実績!$AD$6:$AD$505,"&gt;"&amp;$A259,実績!$AE$6:$AE$505,"○")&gt;0,1,0))</f>
        <v/>
      </c>
      <c r="CO259">
        <f>IF(CO$4=0,0,IF(COUNTIFS(実績!$W$6:$W$505,CO$3,実績!$AC$6:$AC$505,"&lt;="&amp;$A259,実績!$AD$6:$AD$505,"&gt;"&amp;$A259,実績!$AE$6:$AE$505,"○")&gt;0,1,0))</f>
        <v/>
      </c>
      <c r="CP259">
        <f>IF(CP$4=0,0,IF(COUNTIFS(実績!$W$6:$W$505,CP$3,実績!$AC$6:$AC$505,"&lt;="&amp;$A259,実績!$AD$6:$AD$505,"&gt;"&amp;$A259,実績!$AE$6:$AE$505,"○")&gt;0,1,0))</f>
        <v/>
      </c>
      <c r="CQ259">
        <f>IF(CQ$4=0,0,IF(COUNTIFS(実績!$W$6:$W$505,CQ$3,実績!$AC$6:$AC$505,"&lt;="&amp;$A259,実績!$AD$6:$AD$505,"&gt;"&amp;$A259,実績!$AE$6:$AE$505,"○")&gt;0,1,0))</f>
        <v/>
      </c>
      <c r="CR259">
        <f>IF(CR$4=0,0,IF(COUNTIFS(実績!$W$6:$W$505,CR$3,実績!$AC$6:$AC$505,"&lt;="&amp;$A259,実績!$AD$6:$AD$505,"&gt;"&amp;$A259,実績!$AE$6:$AE$505,"○")&gt;0,1,0))</f>
        <v/>
      </c>
      <c r="CS259">
        <f>IF(CS$4=0,0,IF(COUNTIFS(実績!$W$6:$W$505,CS$3,実績!$AC$6:$AC$505,"&lt;="&amp;$A259,実績!$AD$6:$AD$505,"&gt;"&amp;$A259,実績!$AE$6:$AE$505,"○")&gt;0,1,0))</f>
        <v/>
      </c>
      <c r="CT259">
        <f>IF(CT$4=0,0,IF(COUNTIFS(実績!$W$6:$W$505,CT$3,実績!$AC$6:$AC$505,"&lt;="&amp;$A259,実績!$AD$6:$AD$505,"&gt;"&amp;$A259,実績!$AE$6:$AE$505,"○")&gt;0,1,0))</f>
        <v/>
      </c>
      <c r="CU259">
        <f>IF(CU$4=0,0,IF(COUNTIFS(実績!$W$6:$W$505,CU$3,実績!$AC$6:$AC$505,"&lt;="&amp;$A259,実績!$AD$6:$AD$505,"&gt;"&amp;$A259,実績!$AE$6:$AE$505,"○")&gt;0,1,0))</f>
        <v/>
      </c>
      <c r="CV259">
        <f>IF(CV$4=0,0,IF(COUNTIFS(実績!$W$6:$W$505,CV$3,実績!$AC$6:$AC$505,"&lt;="&amp;$A259,実績!$AD$6:$AD$505,"&gt;"&amp;$A259,実績!$AE$6:$AE$505,"○")&gt;0,1,0))</f>
        <v/>
      </c>
      <c r="CW259">
        <f>IF(CW$4=0,0,IF(COUNTIFS(実績!$W$6:$W$505,CW$3,実績!$AC$6:$AC$505,"&lt;="&amp;$A259,実績!$AD$6:$AD$505,"&gt;"&amp;$A259,実績!$AE$6:$AE$505,"○")&gt;0,1,0))</f>
        <v/>
      </c>
      <c r="CX259">
        <f>IF(CX$4=0,0,IF(COUNTIFS(実績!$W$6:$W$505,CX$3,実績!$AC$6:$AC$505,"&lt;="&amp;$A259,実績!$AD$6:$AD$505,"&gt;"&amp;$A259,実績!$AE$6:$AE$505,"○")&gt;0,1,0))</f>
        <v/>
      </c>
      <c r="CY259">
        <f>IF(CY$4=0,0,IF(COUNTIFS(実績!$W$6:$W$505,CY$3,実績!$AC$6:$AC$505,"&lt;="&amp;$A259,実績!$AD$6:$AD$505,"&gt;"&amp;$A259,実績!$AE$6:$AE$505,"○")&gt;0,1,0))</f>
        <v/>
      </c>
      <c r="CZ259">
        <f>IF(CZ$4=0,0,IF(COUNTIFS(実績!$W$6:$W$505,CZ$3,実績!$AC$6:$AC$505,"&lt;="&amp;$A259,実績!$AD$6:$AD$505,"&gt;"&amp;$A259,実績!$AE$6:$AE$505,"○")&gt;0,1,0))</f>
        <v/>
      </c>
      <c r="DA259">
        <f>IF(DA$4=0,0,IF(COUNTIFS(実績!$W$6:$W$505,DA$3,実績!$AC$6:$AC$505,"&lt;="&amp;$A259,実績!$AD$6:$AD$505,"&gt;"&amp;$A259,実績!$AE$6:$AE$505,"○")&gt;0,1,0))</f>
        <v/>
      </c>
      <c r="DB259">
        <f>IF(DB$4=0,0,IF(COUNTIFS(実績!$W$6:$W$505,DB$3,実績!$AC$6:$AC$505,"&lt;="&amp;$A259,実績!$AD$6:$AD$505,"&gt;"&amp;$A259,実績!$AE$6:$AE$505,"○")&gt;0,1,0))</f>
        <v/>
      </c>
      <c r="DC259">
        <f>IF(DC$4=0,0,IF(COUNTIFS(実績!$W$6:$W$505,DC$3,実績!$AC$6:$AC$505,"&lt;="&amp;$A259,実績!$AD$6:$AD$505,"&gt;"&amp;$A259,実績!$AE$6:$AE$505,"○")&gt;0,1,0))</f>
        <v/>
      </c>
      <c r="DD259">
        <f>IF(DD$4=0,0,IF(COUNTIFS(実績!$W$6:$W$505,DD$3,実績!$AC$6:$AC$505,"&lt;="&amp;$A259,実績!$AD$6:$AD$505,"&gt;"&amp;$A259,実績!$AE$6:$AE$505,"○")&gt;0,1,0))</f>
        <v/>
      </c>
      <c r="DE259">
        <f>IF(DE$4=0,0,IF(COUNTIFS(実績!$W$6:$W$505,DE$3,実績!$AC$6:$AC$505,"&lt;="&amp;$A259,実績!$AD$6:$AD$505,"&gt;"&amp;$A259,実績!$AE$6:$AE$505,"○")&gt;0,1,0))</f>
        <v/>
      </c>
      <c r="DF259">
        <f>IF(DF$4=0,0,IF(COUNTIFS(実績!$W$6:$W$505,DF$3,実績!$AC$6:$AC$505,"&lt;="&amp;$A259,実績!$AD$6:$AD$505,"&gt;"&amp;$A259,実績!$AE$6:$AE$505,"○")&gt;0,1,0))</f>
        <v/>
      </c>
      <c r="DG259">
        <f>IF(DG$4=0,0,IF(COUNTIFS(実績!$W$6:$W$505,DG$3,実績!$AC$6:$AC$505,"&lt;="&amp;$A259,実績!$AD$6:$AD$505,"&gt;"&amp;$A259,実績!$AE$6:$AE$505,"○")&gt;0,1,0))</f>
        <v/>
      </c>
      <c r="DH259">
        <f>IF(DH$4=0,0,IF(COUNTIFS(実績!$W$6:$W$505,DH$3,実績!$AC$6:$AC$505,"&lt;="&amp;$A259,実績!$AD$6:$AD$505,"&gt;"&amp;$A259,実績!$AE$6:$AE$505,"○")&gt;0,1,0))</f>
        <v/>
      </c>
      <c r="DI259">
        <f>IF(DI$4=0,0,IF(COUNTIFS(実績!$W$6:$W$505,DI$3,実績!$AC$6:$AC$505,"&lt;="&amp;$A259,実績!$AD$6:$AD$505,"&gt;"&amp;$A259,実績!$AE$6:$AE$505,"○")&gt;0,1,0))</f>
        <v/>
      </c>
      <c r="DJ259">
        <f>IF(DJ$4=0,0,IF(COUNTIFS(実績!$W$6:$W$505,DJ$3,実績!$AC$6:$AC$505,"&lt;="&amp;$A259,実績!$AD$6:$AD$505,"&gt;"&amp;$A259,実績!$AE$6:$AE$505,"○")&gt;0,1,0))</f>
        <v/>
      </c>
      <c r="DK259">
        <f>IF(DK$4=0,0,IF(COUNTIFS(実績!$W$6:$W$505,DK$3,実績!$AC$6:$AC$505,"&lt;="&amp;$A259,実績!$AD$6:$AD$505,"&gt;"&amp;$A259,実績!$AE$6:$AE$505,"○")&gt;0,1,0))</f>
        <v/>
      </c>
      <c r="DL259">
        <f>IF(DL$4=0,0,IF(COUNTIFS(実績!$W$6:$W$505,DL$3,実績!$AC$6:$AC$505,"&lt;="&amp;$A259,実績!$AD$6:$AD$505,"&gt;"&amp;$A259,実績!$AE$6:$AE$505,"○")&gt;0,1,0))</f>
        <v/>
      </c>
      <c r="DM259">
        <f>IF(DM$4=0,0,IF(COUNTIFS(実績!$W$6:$W$505,DM$3,実績!$AC$6:$AC$505,"&lt;="&amp;$A259,実績!$AD$6:$AD$505,"&gt;"&amp;$A259,実績!$AE$6:$AE$505,"○")&gt;0,1,0))</f>
        <v/>
      </c>
      <c r="DN259">
        <f>IF(DN$4=0,0,IF(COUNTIFS(実績!$W$6:$W$505,DN$3,実績!$AC$6:$AC$505,"&lt;="&amp;$A259,実績!$AD$6:$AD$505,"&gt;"&amp;$A259,実績!$AE$6:$AE$505,"○")&gt;0,1,0))</f>
        <v/>
      </c>
      <c r="DO259">
        <f>IF(DO$4=0,0,IF(COUNTIFS(実績!$W$6:$W$505,DO$3,実績!$AC$6:$AC$505,"&lt;="&amp;$A259,実績!$AD$6:$AD$505,"&gt;"&amp;$A259,実績!$AE$6:$AE$505,"○")&gt;0,1,0))</f>
        <v/>
      </c>
      <c r="DP259">
        <f>IF(DP$4=0,0,IF(COUNTIFS(実績!$W$6:$W$505,DP$3,実績!$AC$6:$AC$505,"&lt;="&amp;$A259,実績!$AD$6:$AD$505,"&gt;"&amp;$A259,実績!$AE$6:$AE$505,"○")&gt;0,1,0))</f>
        <v/>
      </c>
      <c r="DQ259">
        <f>IF(DQ$4=0,0,IF(COUNTIFS(実績!$W$6:$W$505,DQ$3,実績!$AC$6:$AC$505,"&lt;="&amp;$A259,実績!$AD$6:$AD$505,"&gt;"&amp;$A259,実績!$AE$6:$AE$505,"○")&gt;0,1,0))</f>
        <v/>
      </c>
      <c r="DR259">
        <f>IF(DR$4=0,0,IF(COUNTIFS(実績!$W$6:$W$505,DR$3,実績!$AC$6:$AC$505,"&lt;="&amp;$A259,実績!$AD$6:$AD$505,"&gt;"&amp;$A259,実績!$AE$6:$AE$505,"○")&gt;0,1,0))</f>
        <v/>
      </c>
      <c r="DS259">
        <f>SUM(C259:DR259)</f>
        <v/>
      </c>
      <c r="DT259">
        <f>SUMPRODUCT((実績!$C$6:$C$505="○")*ISNUMBER(実績!$AF$6:$AF$505)*(実績!$AF$6:$AF$505&lt;=$A259)*(実績!$AG$6:$AG$505&gt;$A259))</f>
        <v/>
      </c>
      <c r="DU259">
        <f>SUMIF($C$2:$DR$2,"製鉄曳船",C259:DR259)</f>
        <v/>
      </c>
      <c r="DV259">
        <f>SUMIF($C$2:$DR$2,"西日本海運",C259:DR259)</f>
        <v/>
      </c>
    </row>
    <row r="260">
      <c r="A260" t="n">
        <v>1270</v>
      </c>
      <c r="B260" s="29">
        <f>A260/1440</f>
        <v/>
      </c>
      <c r="C260">
        <f>IF(C$4=0,0,IF(COUNTIFS(実績!$W$6:$W$505,C$3,実績!$AC$6:$AC$505,"&lt;="&amp;$A260,実績!$AD$6:$AD$505,"&gt;"&amp;$A260,実績!$AE$6:$AE$505,"○")&gt;0,1,0))</f>
        <v/>
      </c>
      <c r="D260">
        <f>IF(D$4=0,0,IF(COUNTIFS(実績!$W$6:$W$505,D$3,実績!$AC$6:$AC$505,"&lt;="&amp;$A260,実績!$AD$6:$AD$505,"&gt;"&amp;$A260,実績!$AE$6:$AE$505,"○")&gt;0,1,0))</f>
        <v/>
      </c>
      <c r="E260">
        <f>IF(E$4=0,0,IF(COUNTIFS(実績!$W$6:$W$505,E$3,実績!$AC$6:$AC$505,"&lt;="&amp;$A260,実績!$AD$6:$AD$505,"&gt;"&amp;$A260,実績!$AE$6:$AE$505,"○")&gt;0,1,0))</f>
        <v/>
      </c>
      <c r="F260">
        <f>IF(F$4=0,0,IF(COUNTIFS(実績!$W$6:$W$505,F$3,実績!$AC$6:$AC$505,"&lt;="&amp;$A260,実績!$AD$6:$AD$505,"&gt;"&amp;$A260,実績!$AE$6:$AE$505,"○")&gt;0,1,0))</f>
        <v/>
      </c>
      <c r="G260">
        <f>IF(G$4=0,0,IF(COUNTIFS(実績!$W$6:$W$505,G$3,実績!$AC$6:$AC$505,"&lt;="&amp;$A260,実績!$AD$6:$AD$505,"&gt;"&amp;$A260,実績!$AE$6:$AE$505,"○")&gt;0,1,0))</f>
        <v/>
      </c>
      <c r="H260">
        <f>IF(H$4=0,0,IF(COUNTIFS(実績!$W$6:$W$505,H$3,実績!$AC$6:$AC$505,"&lt;="&amp;$A260,実績!$AD$6:$AD$505,"&gt;"&amp;$A260,実績!$AE$6:$AE$505,"○")&gt;0,1,0))</f>
        <v/>
      </c>
      <c r="I260">
        <f>IF(I$4=0,0,IF(COUNTIFS(実績!$W$6:$W$505,I$3,実績!$AC$6:$AC$505,"&lt;="&amp;$A260,実績!$AD$6:$AD$505,"&gt;"&amp;$A260,実績!$AE$6:$AE$505,"○")&gt;0,1,0))</f>
        <v/>
      </c>
      <c r="J260">
        <f>IF(J$4=0,0,IF(COUNTIFS(実績!$W$6:$W$505,J$3,実績!$AC$6:$AC$505,"&lt;="&amp;$A260,実績!$AD$6:$AD$505,"&gt;"&amp;$A260,実績!$AE$6:$AE$505,"○")&gt;0,1,0))</f>
        <v/>
      </c>
      <c r="K260">
        <f>IF(K$4=0,0,IF(COUNTIFS(実績!$W$6:$W$505,K$3,実績!$AC$6:$AC$505,"&lt;="&amp;$A260,実績!$AD$6:$AD$505,"&gt;"&amp;$A260,実績!$AE$6:$AE$505,"○")&gt;0,1,0))</f>
        <v/>
      </c>
      <c r="L260">
        <f>IF(L$4=0,0,IF(COUNTIFS(実績!$W$6:$W$505,L$3,実績!$AC$6:$AC$505,"&lt;="&amp;$A260,実績!$AD$6:$AD$505,"&gt;"&amp;$A260,実績!$AE$6:$AE$505,"○")&gt;0,1,0))</f>
        <v/>
      </c>
      <c r="M260">
        <f>IF(M$4=0,0,IF(COUNTIFS(実績!$W$6:$W$505,M$3,実績!$AC$6:$AC$505,"&lt;="&amp;$A260,実績!$AD$6:$AD$505,"&gt;"&amp;$A260,実績!$AE$6:$AE$505,"○")&gt;0,1,0))</f>
        <v/>
      </c>
      <c r="N260">
        <f>IF(N$4=0,0,IF(COUNTIFS(実績!$W$6:$W$505,N$3,実績!$AC$6:$AC$505,"&lt;="&amp;$A260,実績!$AD$6:$AD$505,"&gt;"&amp;$A260,実績!$AE$6:$AE$505,"○")&gt;0,1,0))</f>
        <v/>
      </c>
      <c r="O260">
        <f>IF(O$4=0,0,IF(COUNTIFS(実績!$W$6:$W$505,O$3,実績!$AC$6:$AC$505,"&lt;="&amp;$A260,実績!$AD$6:$AD$505,"&gt;"&amp;$A260,実績!$AE$6:$AE$505,"○")&gt;0,1,0))</f>
        <v/>
      </c>
      <c r="P260">
        <f>IF(P$4=0,0,IF(COUNTIFS(実績!$W$6:$W$505,P$3,実績!$AC$6:$AC$505,"&lt;="&amp;$A260,実績!$AD$6:$AD$505,"&gt;"&amp;$A260,実績!$AE$6:$AE$505,"○")&gt;0,1,0))</f>
        <v/>
      </c>
      <c r="Q260">
        <f>IF(Q$4=0,0,IF(COUNTIFS(実績!$W$6:$W$505,Q$3,実績!$AC$6:$AC$505,"&lt;="&amp;$A260,実績!$AD$6:$AD$505,"&gt;"&amp;$A260,実績!$AE$6:$AE$505,"○")&gt;0,1,0))</f>
        <v/>
      </c>
      <c r="R260">
        <f>IF(R$4=0,0,IF(COUNTIFS(実績!$W$6:$W$505,R$3,実績!$AC$6:$AC$505,"&lt;="&amp;$A260,実績!$AD$6:$AD$505,"&gt;"&amp;$A260,実績!$AE$6:$AE$505,"○")&gt;0,1,0))</f>
        <v/>
      </c>
      <c r="S260">
        <f>IF(S$4=0,0,IF(COUNTIFS(実績!$W$6:$W$505,S$3,実績!$AC$6:$AC$505,"&lt;="&amp;$A260,実績!$AD$6:$AD$505,"&gt;"&amp;$A260,実績!$AE$6:$AE$505,"○")&gt;0,1,0))</f>
        <v/>
      </c>
      <c r="T260">
        <f>IF(T$4=0,0,IF(COUNTIFS(実績!$W$6:$W$505,T$3,実績!$AC$6:$AC$505,"&lt;="&amp;$A260,実績!$AD$6:$AD$505,"&gt;"&amp;$A260,実績!$AE$6:$AE$505,"○")&gt;0,1,0))</f>
        <v/>
      </c>
      <c r="U260">
        <f>IF(U$4=0,0,IF(COUNTIFS(実績!$W$6:$W$505,U$3,実績!$AC$6:$AC$505,"&lt;="&amp;$A260,実績!$AD$6:$AD$505,"&gt;"&amp;$A260,実績!$AE$6:$AE$505,"○")&gt;0,1,0))</f>
        <v/>
      </c>
      <c r="V260">
        <f>IF(V$4=0,0,IF(COUNTIFS(実績!$W$6:$W$505,V$3,実績!$AC$6:$AC$505,"&lt;="&amp;$A260,実績!$AD$6:$AD$505,"&gt;"&amp;$A260,実績!$AE$6:$AE$505,"○")&gt;0,1,0))</f>
        <v/>
      </c>
      <c r="W260">
        <f>IF(W$4=0,0,IF(COUNTIFS(実績!$W$6:$W$505,W$3,実績!$AC$6:$AC$505,"&lt;="&amp;$A260,実績!$AD$6:$AD$505,"&gt;"&amp;$A260,実績!$AE$6:$AE$505,"○")&gt;0,1,0))</f>
        <v/>
      </c>
      <c r="X260">
        <f>IF(X$4=0,0,IF(COUNTIFS(実績!$W$6:$W$505,X$3,実績!$AC$6:$AC$505,"&lt;="&amp;$A260,実績!$AD$6:$AD$505,"&gt;"&amp;$A260,実績!$AE$6:$AE$505,"○")&gt;0,1,0))</f>
        <v/>
      </c>
      <c r="Y260">
        <f>IF(Y$4=0,0,IF(COUNTIFS(実績!$W$6:$W$505,Y$3,実績!$AC$6:$AC$505,"&lt;="&amp;$A260,実績!$AD$6:$AD$505,"&gt;"&amp;$A260,実績!$AE$6:$AE$505,"○")&gt;0,1,0))</f>
        <v/>
      </c>
      <c r="Z260">
        <f>IF(Z$4=0,0,IF(COUNTIFS(実績!$W$6:$W$505,Z$3,実績!$AC$6:$AC$505,"&lt;="&amp;$A260,実績!$AD$6:$AD$505,"&gt;"&amp;$A260,実績!$AE$6:$AE$505,"○")&gt;0,1,0))</f>
        <v/>
      </c>
      <c r="AA260">
        <f>IF(AA$4=0,0,IF(COUNTIFS(実績!$W$6:$W$505,AA$3,実績!$AC$6:$AC$505,"&lt;="&amp;$A260,実績!$AD$6:$AD$505,"&gt;"&amp;$A260,実績!$AE$6:$AE$505,"○")&gt;0,1,0))</f>
        <v/>
      </c>
      <c r="AB260">
        <f>IF(AB$4=0,0,IF(COUNTIFS(実績!$W$6:$W$505,AB$3,実績!$AC$6:$AC$505,"&lt;="&amp;$A260,実績!$AD$6:$AD$505,"&gt;"&amp;$A260,実績!$AE$6:$AE$505,"○")&gt;0,1,0))</f>
        <v/>
      </c>
      <c r="AC260">
        <f>IF(AC$4=0,0,IF(COUNTIFS(実績!$W$6:$W$505,AC$3,実績!$AC$6:$AC$505,"&lt;="&amp;$A260,実績!$AD$6:$AD$505,"&gt;"&amp;$A260,実績!$AE$6:$AE$505,"○")&gt;0,1,0))</f>
        <v/>
      </c>
      <c r="AD260">
        <f>IF(AD$4=0,0,IF(COUNTIFS(実績!$W$6:$W$505,AD$3,実績!$AC$6:$AC$505,"&lt;="&amp;$A260,実績!$AD$6:$AD$505,"&gt;"&amp;$A260,実績!$AE$6:$AE$505,"○")&gt;0,1,0))</f>
        <v/>
      </c>
      <c r="AE260">
        <f>IF(AE$4=0,0,IF(COUNTIFS(実績!$W$6:$W$505,AE$3,実績!$AC$6:$AC$505,"&lt;="&amp;$A260,実績!$AD$6:$AD$505,"&gt;"&amp;$A260,実績!$AE$6:$AE$505,"○")&gt;0,1,0))</f>
        <v/>
      </c>
      <c r="AF260">
        <f>IF(AF$4=0,0,IF(COUNTIFS(実績!$W$6:$W$505,AF$3,実績!$AC$6:$AC$505,"&lt;="&amp;$A260,実績!$AD$6:$AD$505,"&gt;"&amp;$A260,実績!$AE$6:$AE$505,"○")&gt;0,1,0))</f>
        <v/>
      </c>
      <c r="AG260">
        <f>IF(AG$4=0,0,IF(COUNTIFS(実績!$W$6:$W$505,AG$3,実績!$AC$6:$AC$505,"&lt;="&amp;$A260,実績!$AD$6:$AD$505,"&gt;"&amp;$A260,実績!$AE$6:$AE$505,"○")&gt;0,1,0))</f>
        <v/>
      </c>
      <c r="AH260">
        <f>IF(AH$4=0,0,IF(COUNTIFS(実績!$W$6:$W$505,AH$3,実績!$AC$6:$AC$505,"&lt;="&amp;$A260,実績!$AD$6:$AD$505,"&gt;"&amp;$A260,実績!$AE$6:$AE$505,"○")&gt;0,1,0))</f>
        <v/>
      </c>
      <c r="AI260">
        <f>IF(AI$4=0,0,IF(COUNTIFS(実績!$W$6:$W$505,AI$3,実績!$AC$6:$AC$505,"&lt;="&amp;$A260,実績!$AD$6:$AD$505,"&gt;"&amp;$A260,実績!$AE$6:$AE$505,"○")&gt;0,1,0))</f>
        <v/>
      </c>
      <c r="AJ260">
        <f>IF(AJ$4=0,0,IF(COUNTIFS(実績!$W$6:$W$505,AJ$3,実績!$AC$6:$AC$505,"&lt;="&amp;$A260,実績!$AD$6:$AD$505,"&gt;"&amp;$A260,実績!$AE$6:$AE$505,"○")&gt;0,1,0))</f>
        <v/>
      </c>
      <c r="AK260">
        <f>IF(AK$4=0,0,IF(COUNTIFS(実績!$W$6:$W$505,AK$3,実績!$AC$6:$AC$505,"&lt;="&amp;$A260,実績!$AD$6:$AD$505,"&gt;"&amp;$A260,実績!$AE$6:$AE$505,"○")&gt;0,1,0))</f>
        <v/>
      </c>
      <c r="AL260">
        <f>IF(AL$4=0,0,IF(COUNTIFS(実績!$W$6:$W$505,AL$3,実績!$AC$6:$AC$505,"&lt;="&amp;$A260,実績!$AD$6:$AD$505,"&gt;"&amp;$A260,実績!$AE$6:$AE$505,"○")&gt;0,1,0))</f>
        <v/>
      </c>
      <c r="AM260">
        <f>IF(AM$4=0,0,IF(COUNTIFS(実績!$W$6:$W$505,AM$3,実績!$AC$6:$AC$505,"&lt;="&amp;$A260,実績!$AD$6:$AD$505,"&gt;"&amp;$A260,実績!$AE$6:$AE$505,"○")&gt;0,1,0))</f>
        <v/>
      </c>
      <c r="AN260">
        <f>IF(AN$4=0,0,IF(COUNTIFS(実績!$W$6:$W$505,AN$3,実績!$AC$6:$AC$505,"&lt;="&amp;$A260,実績!$AD$6:$AD$505,"&gt;"&amp;$A260,実績!$AE$6:$AE$505,"○")&gt;0,1,0))</f>
        <v/>
      </c>
      <c r="AO260">
        <f>IF(AO$4=0,0,IF(COUNTIFS(実績!$W$6:$W$505,AO$3,実績!$AC$6:$AC$505,"&lt;="&amp;$A260,実績!$AD$6:$AD$505,"&gt;"&amp;$A260,実績!$AE$6:$AE$505,"○")&gt;0,1,0))</f>
        <v/>
      </c>
      <c r="AP260">
        <f>IF(AP$4=0,0,IF(COUNTIFS(実績!$W$6:$W$505,AP$3,実績!$AC$6:$AC$505,"&lt;="&amp;$A260,実績!$AD$6:$AD$505,"&gt;"&amp;$A260,実績!$AE$6:$AE$505,"○")&gt;0,1,0))</f>
        <v/>
      </c>
      <c r="AQ260">
        <f>IF(AQ$4=0,0,IF(COUNTIFS(実績!$W$6:$W$505,AQ$3,実績!$AC$6:$AC$505,"&lt;="&amp;$A260,実績!$AD$6:$AD$505,"&gt;"&amp;$A260,実績!$AE$6:$AE$505,"○")&gt;0,1,0))</f>
        <v/>
      </c>
      <c r="AR260">
        <f>IF(AR$4=0,0,IF(COUNTIFS(実績!$W$6:$W$505,AR$3,実績!$AC$6:$AC$505,"&lt;="&amp;$A260,実績!$AD$6:$AD$505,"&gt;"&amp;$A260,実績!$AE$6:$AE$505,"○")&gt;0,1,0))</f>
        <v/>
      </c>
      <c r="AS260">
        <f>IF(AS$4=0,0,IF(COUNTIFS(実績!$W$6:$W$505,AS$3,実績!$AC$6:$AC$505,"&lt;="&amp;$A260,実績!$AD$6:$AD$505,"&gt;"&amp;$A260,実績!$AE$6:$AE$505,"○")&gt;0,1,0))</f>
        <v/>
      </c>
      <c r="AT260">
        <f>IF(AT$4=0,0,IF(COUNTIFS(実績!$W$6:$W$505,AT$3,実績!$AC$6:$AC$505,"&lt;="&amp;$A260,実績!$AD$6:$AD$505,"&gt;"&amp;$A260,実績!$AE$6:$AE$505,"○")&gt;0,1,0))</f>
        <v/>
      </c>
      <c r="AU260">
        <f>IF(AU$4=0,0,IF(COUNTIFS(実績!$W$6:$W$505,AU$3,実績!$AC$6:$AC$505,"&lt;="&amp;$A260,実績!$AD$6:$AD$505,"&gt;"&amp;$A260,実績!$AE$6:$AE$505,"○")&gt;0,1,0))</f>
        <v/>
      </c>
      <c r="AV260">
        <f>IF(AV$4=0,0,IF(COUNTIFS(実績!$W$6:$W$505,AV$3,実績!$AC$6:$AC$505,"&lt;="&amp;$A260,実績!$AD$6:$AD$505,"&gt;"&amp;$A260,実績!$AE$6:$AE$505,"○")&gt;0,1,0))</f>
        <v/>
      </c>
      <c r="AW260">
        <f>IF(AW$4=0,0,IF(COUNTIFS(実績!$W$6:$W$505,AW$3,実績!$AC$6:$AC$505,"&lt;="&amp;$A260,実績!$AD$6:$AD$505,"&gt;"&amp;$A260,実績!$AE$6:$AE$505,"○")&gt;0,1,0))</f>
        <v/>
      </c>
      <c r="AX260">
        <f>IF(AX$4=0,0,IF(COUNTIFS(実績!$W$6:$W$505,AX$3,実績!$AC$6:$AC$505,"&lt;="&amp;$A260,実績!$AD$6:$AD$505,"&gt;"&amp;$A260,実績!$AE$6:$AE$505,"○")&gt;0,1,0))</f>
        <v/>
      </c>
      <c r="AY260">
        <f>IF(AY$4=0,0,IF(COUNTIFS(実績!$W$6:$W$505,AY$3,実績!$AC$6:$AC$505,"&lt;="&amp;$A260,実績!$AD$6:$AD$505,"&gt;"&amp;$A260,実績!$AE$6:$AE$505,"○")&gt;0,1,0))</f>
        <v/>
      </c>
      <c r="AZ260">
        <f>IF(AZ$4=0,0,IF(COUNTIFS(実績!$W$6:$W$505,AZ$3,実績!$AC$6:$AC$505,"&lt;="&amp;$A260,実績!$AD$6:$AD$505,"&gt;"&amp;$A260,実績!$AE$6:$AE$505,"○")&gt;0,1,0))</f>
        <v/>
      </c>
      <c r="BA260">
        <f>IF(BA$4=0,0,IF(COUNTIFS(実績!$W$6:$W$505,BA$3,実績!$AC$6:$AC$505,"&lt;="&amp;$A260,実績!$AD$6:$AD$505,"&gt;"&amp;$A260,実績!$AE$6:$AE$505,"○")&gt;0,1,0))</f>
        <v/>
      </c>
      <c r="BB260">
        <f>IF(BB$4=0,0,IF(COUNTIFS(実績!$W$6:$W$505,BB$3,実績!$AC$6:$AC$505,"&lt;="&amp;$A260,実績!$AD$6:$AD$505,"&gt;"&amp;$A260,実績!$AE$6:$AE$505,"○")&gt;0,1,0))</f>
        <v/>
      </c>
      <c r="BC260">
        <f>IF(BC$4=0,0,IF(COUNTIFS(実績!$W$6:$W$505,BC$3,実績!$AC$6:$AC$505,"&lt;="&amp;$A260,実績!$AD$6:$AD$505,"&gt;"&amp;$A260,実績!$AE$6:$AE$505,"○")&gt;0,1,0))</f>
        <v/>
      </c>
      <c r="BD260">
        <f>IF(BD$4=0,0,IF(COUNTIFS(実績!$W$6:$W$505,BD$3,実績!$AC$6:$AC$505,"&lt;="&amp;$A260,実績!$AD$6:$AD$505,"&gt;"&amp;$A260,実績!$AE$6:$AE$505,"○")&gt;0,1,0))</f>
        <v/>
      </c>
      <c r="BE260">
        <f>IF(BE$4=0,0,IF(COUNTIFS(実績!$W$6:$W$505,BE$3,実績!$AC$6:$AC$505,"&lt;="&amp;$A260,実績!$AD$6:$AD$505,"&gt;"&amp;$A260,実績!$AE$6:$AE$505,"○")&gt;0,1,0))</f>
        <v/>
      </c>
      <c r="BF260">
        <f>IF(BF$4=0,0,IF(COUNTIFS(実績!$W$6:$W$505,BF$3,実績!$AC$6:$AC$505,"&lt;="&amp;$A260,実績!$AD$6:$AD$505,"&gt;"&amp;$A260,実績!$AE$6:$AE$505,"○")&gt;0,1,0))</f>
        <v/>
      </c>
      <c r="BG260">
        <f>IF(BG$4=0,0,IF(COUNTIFS(実績!$W$6:$W$505,BG$3,実績!$AC$6:$AC$505,"&lt;="&amp;$A260,実績!$AD$6:$AD$505,"&gt;"&amp;$A260,実績!$AE$6:$AE$505,"○")&gt;0,1,0))</f>
        <v/>
      </c>
      <c r="BH260">
        <f>IF(BH$4=0,0,IF(COUNTIFS(実績!$W$6:$W$505,BH$3,実績!$AC$6:$AC$505,"&lt;="&amp;$A260,実績!$AD$6:$AD$505,"&gt;"&amp;$A260,実績!$AE$6:$AE$505,"○")&gt;0,1,0))</f>
        <v/>
      </c>
      <c r="BI260">
        <f>IF(BI$4=0,0,IF(COUNTIFS(実績!$W$6:$W$505,BI$3,実績!$AC$6:$AC$505,"&lt;="&amp;$A260,実績!$AD$6:$AD$505,"&gt;"&amp;$A260,実績!$AE$6:$AE$505,"○")&gt;0,1,0))</f>
        <v/>
      </c>
      <c r="BJ260">
        <f>IF(BJ$4=0,0,IF(COUNTIFS(実績!$W$6:$W$505,BJ$3,実績!$AC$6:$AC$505,"&lt;="&amp;$A260,実績!$AD$6:$AD$505,"&gt;"&amp;$A260,実績!$AE$6:$AE$505,"○")&gt;0,1,0))</f>
        <v/>
      </c>
      <c r="BK260">
        <f>IF(BK$4=0,0,IF(COUNTIFS(実績!$W$6:$W$505,BK$3,実績!$AC$6:$AC$505,"&lt;="&amp;$A260,実績!$AD$6:$AD$505,"&gt;"&amp;$A260,実績!$AE$6:$AE$505,"○")&gt;0,1,0))</f>
        <v/>
      </c>
      <c r="BL260">
        <f>IF(BL$4=0,0,IF(COUNTIFS(実績!$W$6:$W$505,BL$3,実績!$AC$6:$AC$505,"&lt;="&amp;$A260,実績!$AD$6:$AD$505,"&gt;"&amp;$A260,実績!$AE$6:$AE$505,"○")&gt;0,1,0))</f>
        <v/>
      </c>
      <c r="BM260">
        <f>IF(BM$4=0,0,IF(COUNTIFS(実績!$W$6:$W$505,BM$3,実績!$AC$6:$AC$505,"&lt;="&amp;$A260,実績!$AD$6:$AD$505,"&gt;"&amp;$A260,実績!$AE$6:$AE$505,"○")&gt;0,1,0))</f>
        <v/>
      </c>
      <c r="BN260">
        <f>IF(BN$4=0,0,IF(COUNTIFS(実績!$W$6:$W$505,BN$3,実績!$AC$6:$AC$505,"&lt;="&amp;$A260,実績!$AD$6:$AD$505,"&gt;"&amp;$A260,実績!$AE$6:$AE$505,"○")&gt;0,1,0))</f>
        <v/>
      </c>
      <c r="BO260">
        <f>IF(BO$4=0,0,IF(COUNTIFS(実績!$W$6:$W$505,BO$3,実績!$AC$6:$AC$505,"&lt;="&amp;$A260,実績!$AD$6:$AD$505,"&gt;"&amp;$A260,実績!$AE$6:$AE$505,"○")&gt;0,1,0))</f>
        <v/>
      </c>
      <c r="BP260">
        <f>IF(BP$4=0,0,IF(COUNTIFS(実績!$W$6:$W$505,BP$3,実績!$AC$6:$AC$505,"&lt;="&amp;$A260,実績!$AD$6:$AD$505,"&gt;"&amp;$A260,実績!$AE$6:$AE$505,"○")&gt;0,1,0))</f>
        <v/>
      </c>
      <c r="BQ260">
        <f>IF(BQ$4=0,0,IF(COUNTIFS(実績!$W$6:$W$505,BQ$3,実績!$AC$6:$AC$505,"&lt;="&amp;$A260,実績!$AD$6:$AD$505,"&gt;"&amp;$A260,実績!$AE$6:$AE$505,"○")&gt;0,1,0))</f>
        <v/>
      </c>
      <c r="BR260">
        <f>IF(BR$4=0,0,IF(COUNTIFS(実績!$W$6:$W$505,BR$3,実績!$AC$6:$AC$505,"&lt;="&amp;$A260,実績!$AD$6:$AD$505,"&gt;"&amp;$A260,実績!$AE$6:$AE$505,"○")&gt;0,1,0))</f>
        <v/>
      </c>
      <c r="BS260">
        <f>IF(BS$4=0,0,IF(COUNTIFS(実績!$W$6:$W$505,BS$3,実績!$AC$6:$AC$505,"&lt;="&amp;$A260,実績!$AD$6:$AD$505,"&gt;"&amp;$A260,実績!$AE$6:$AE$505,"○")&gt;0,1,0))</f>
        <v/>
      </c>
      <c r="BT260">
        <f>IF(BT$4=0,0,IF(COUNTIFS(実績!$W$6:$W$505,BT$3,実績!$AC$6:$AC$505,"&lt;="&amp;$A260,実績!$AD$6:$AD$505,"&gt;"&amp;$A260,実績!$AE$6:$AE$505,"○")&gt;0,1,0))</f>
        <v/>
      </c>
      <c r="BU260">
        <f>IF(BU$4=0,0,IF(COUNTIFS(実績!$W$6:$W$505,BU$3,実績!$AC$6:$AC$505,"&lt;="&amp;$A260,実績!$AD$6:$AD$505,"&gt;"&amp;$A260,実績!$AE$6:$AE$505,"○")&gt;0,1,0))</f>
        <v/>
      </c>
      <c r="BV260">
        <f>IF(BV$4=0,0,IF(COUNTIFS(実績!$W$6:$W$505,BV$3,実績!$AC$6:$AC$505,"&lt;="&amp;$A260,実績!$AD$6:$AD$505,"&gt;"&amp;$A260,実績!$AE$6:$AE$505,"○")&gt;0,1,0))</f>
        <v/>
      </c>
      <c r="BW260">
        <f>IF(BW$4=0,0,IF(COUNTIFS(実績!$W$6:$W$505,BW$3,実績!$AC$6:$AC$505,"&lt;="&amp;$A260,実績!$AD$6:$AD$505,"&gt;"&amp;$A260,実績!$AE$6:$AE$505,"○")&gt;0,1,0))</f>
        <v/>
      </c>
      <c r="BX260">
        <f>IF(BX$4=0,0,IF(COUNTIFS(実績!$W$6:$W$505,BX$3,実績!$AC$6:$AC$505,"&lt;="&amp;$A260,実績!$AD$6:$AD$505,"&gt;"&amp;$A260,実績!$AE$6:$AE$505,"○")&gt;0,1,0))</f>
        <v/>
      </c>
      <c r="BY260">
        <f>IF(BY$4=0,0,IF(COUNTIFS(実績!$W$6:$W$505,BY$3,実績!$AC$6:$AC$505,"&lt;="&amp;$A260,実績!$AD$6:$AD$505,"&gt;"&amp;$A260,実績!$AE$6:$AE$505,"○")&gt;0,1,0))</f>
        <v/>
      </c>
      <c r="BZ260">
        <f>IF(BZ$4=0,0,IF(COUNTIFS(実績!$W$6:$W$505,BZ$3,実績!$AC$6:$AC$505,"&lt;="&amp;$A260,実績!$AD$6:$AD$505,"&gt;"&amp;$A260,実績!$AE$6:$AE$505,"○")&gt;0,1,0))</f>
        <v/>
      </c>
      <c r="CA260">
        <f>IF(CA$4=0,0,IF(COUNTIFS(実績!$W$6:$W$505,CA$3,実績!$AC$6:$AC$505,"&lt;="&amp;$A260,実績!$AD$6:$AD$505,"&gt;"&amp;$A260,実績!$AE$6:$AE$505,"○")&gt;0,1,0))</f>
        <v/>
      </c>
      <c r="CB260">
        <f>IF(CB$4=0,0,IF(COUNTIFS(実績!$W$6:$W$505,CB$3,実績!$AC$6:$AC$505,"&lt;="&amp;$A260,実績!$AD$6:$AD$505,"&gt;"&amp;$A260,実績!$AE$6:$AE$505,"○")&gt;0,1,0))</f>
        <v/>
      </c>
      <c r="CC260">
        <f>IF(CC$4=0,0,IF(COUNTIFS(実績!$W$6:$W$505,CC$3,実績!$AC$6:$AC$505,"&lt;="&amp;$A260,実績!$AD$6:$AD$505,"&gt;"&amp;$A260,実績!$AE$6:$AE$505,"○")&gt;0,1,0))</f>
        <v/>
      </c>
      <c r="CD260">
        <f>IF(CD$4=0,0,IF(COUNTIFS(実績!$W$6:$W$505,CD$3,実績!$AC$6:$AC$505,"&lt;="&amp;$A260,実績!$AD$6:$AD$505,"&gt;"&amp;$A260,実績!$AE$6:$AE$505,"○")&gt;0,1,0))</f>
        <v/>
      </c>
      <c r="CE260">
        <f>IF(CE$4=0,0,IF(COUNTIFS(実績!$W$6:$W$505,CE$3,実績!$AC$6:$AC$505,"&lt;="&amp;$A260,実績!$AD$6:$AD$505,"&gt;"&amp;$A260,実績!$AE$6:$AE$505,"○")&gt;0,1,0))</f>
        <v/>
      </c>
      <c r="CF260">
        <f>IF(CF$4=0,0,IF(COUNTIFS(実績!$W$6:$W$505,CF$3,実績!$AC$6:$AC$505,"&lt;="&amp;$A260,実績!$AD$6:$AD$505,"&gt;"&amp;$A260,実績!$AE$6:$AE$505,"○")&gt;0,1,0))</f>
        <v/>
      </c>
      <c r="CG260">
        <f>IF(CG$4=0,0,IF(COUNTIFS(実績!$W$6:$W$505,CG$3,実績!$AC$6:$AC$505,"&lt;="&amp;$A260,実績!$AD$6:$AD$505,"&gt;"&amp;$A260,実績!$AE$6:$AE$505,"○")&gt;0,1,0))</f>
        <v/>
      </c>
      <c r="CH260">
        <f>IF(CH$4=0,0,IF(COUNTIFS(実績!$W$6:$W$505,CH$3,実績!$AC$6:$AC$505,"&lt;="&amp;$A260,実績!$AD$6:$AD$505,"&gt;"&amp;$A260,実績!$AE$6:$AE$505,"○")&gt;0,1,0))</f>
        <v/>
      </c>
      <c r="CI260">
        <f>IF(CI$4=0,0,IF(COUNTIFS(実績!$W$6:$W$505,CI$3,実績!$AC$6:$AC$505,"&lt;="&amp;$A260,実績!$AD$6:$AD$505,"&gt;"&amp;$A260,実績!$AE$6:$AE$505,"○")&gt;0,1,0))</f>
        <v/>
      </c>
      <c r="CJ260">
        <f>IF(CJ$4=0,0,IF(COUNTIFS(実績!$W$6:$W$505,CJ$3,実績!$AC$6:$AC$505,"&lt;="&amp;$A260,実績!$AD$6:$AD$505,"&gt;"&amp;$A260,実績!$AE$6:$AE$505,"○")&gt;0,1,0))</f>
        <v/>
      </c>
      <c r="CK260">
        <f>IF(CK$4=0,0,IF(COUNTIFS(実績!$W$6:$W$505,CK$3,実績!$AC$6:$AC$505,"&lt;="&amp;$A260,実績!$AD$6:$AD$505,"&gt;"&amp;$A260,実績!$AE$6:$AE$505,"○")&gt;0,1,0))</f>
        <v/>
      </c>
      <c r="CL260">
        <f>IF(CL$4=0,0,IF(COUNTIFS(実績!$W$6:$W$505,CL$3,実績!$AC$6:$AC$505,"&lt;="&amp;$A260,実績!$AD$6:$AD$505,"&gt;"&amp;$A260,実績!$AE$6:$AE$505,"○")&gt;0,1,0))</f>
        <v/>
      </c>
      <c r="CM260">
        <f>IF(CM$4=0,0,IF(COUNTIFS(実績!$W$6:$W$505,CM$3,実績!$AC$6:$AC$505,"&lt;="&amp;$A260,実績!$AD$6:$AD$505,"&gt;"&amp;$A260,実績!$AE$6:$AE$505,"○")&gt;0,1,0))</f>
        <v/>
      </c>
      <c r="CN260">
        <f>IF(CN$4=0,0,IF(COUNTIFS(実績!$W$6:$W$505,CN$3,実績!$AC$6:$AC$505,"&lt;="&amp;$A260,実績!$AD$6:$AD$505,"&gt;"&amp;$A260,実績!$AE$6:$AE$505,"○")&gt;0,1,0))</f>
        <v/>
      </c>
      <c r="CO260">
        <f>IF(CO$4=0,0,IF(COUNTIFS(実績!$W$6:$W$505,CO$3,実績!$AC$6:$AC$505,"&lt;="&amp;$A260,実績!$AD$6:$AD$505,"&gt;"&amp;$A260,実績!$AE$6:$AE$505,"○")&gt;0,1,0))</f>
        <v/>
      </c>
      <c r="CP260">
        <f>IF(CP$4=0,0,IF(COUNTIFS(実績!$W$6:$W$505,CP$3,実績!$AC$6:$AC$505,"&lt;="&amp;$A260,実績!$AD$6:$AD$505,"&gt;"&amp;$A260,実績!$AE$6:$AE$505,"○")&gt;0,1,0))</f>
        <v/>
      </c>
      <c r="CQ260">
        <f>IF(CQ$4=0,0,IF(COUNTIFS(実績!$W$6:$W$505,CQ$3,実績!$AC$6:$AC$505,"&lt;="&amp;$A260,実績!$AD$6:$AD$505,"&gt;"&amp;$A260,実績!$AE$6:$AE$505,"○")&gt;0,1,0))</f>
        <v/>
      </c>
      <c r="CR260">
        <f>IF(CR$4=0,0,IF(COUNTIFS(実績!$W$6:$W$505,CR$3,実績!$AC$6:$AC$505,"&lt;="&amp;$A260,実績!$AD$6:$AD$505,"&gt;"&amp;$A260,実績!$AE$6:$AE$505,"○")&gt;0,1,0))</f>
        <v/>
      </c>
      <c r="CS260">
        <f>IF(CS$4=0,0,IF(COUNTIFS(実績!$W$6:$W$505,CS$3,実績!$AC$6:$AC$505,"&lt;="&amp;$A260,実績!$AD$6:$AD$505,"&gt;"&amp;$A260,実績!$AE$6:$AE$505,"○")&gt;0,1,0))</f>
        <v/>
      </c>
      <c r="CT260">
        <f>IF(CT$4=0,0,IF(COUNTIFS(実績!$W$6:$W$505,CT$3,実績!$AC$6:$AC$505,"&lt;="&amp;$A260,実績!$AD$6:$AD$505,"&gt;"&amp;$A260,実績!$AE$6:$AE$505,"○")&gt;0,1,0))</f>
        <v/>
      </c>
      <c r="CU260">
        <f>IF(CU$4=0,0,IF(COUNTIFS(実績!$W$6:$W$505,CU$3,実績!$AC$6:$AC$505,"&lt;="&amp;$A260,実績!$AD$6:$AD$505,"&gt;"&amp;$A260,実績!$AE$6:$AE$505,"○")&gt;0,1,0))</f>
        <v/>
      </c>
      <c r="CV260">
        <f>IF(CV$4=0,0,IF(COUNTIFS(実績!$W$6:$W$505,CV$3,実績!$AC$6:$AC$505,"&lt;="&amp;$A260,実績!$AD$6:$AD$505,"&gt;"&amp;$A260,実績!$AE$6:$AE$505,"○")&gt;0,1,0))</f>
        <v/>
      </c>
      <c r="CW260">
        <f>IF(CW$4=0,0,IF(COUNTIFS(実績!$W$6:$W$505,CW$3,実績!$AC$6:$AC$505,"&lt;="&amp;$A260,実績!$AD$6:$AD$505,"&gt;"&amp;$A260,実績!$AE$6:$AE$505,"○")&gt;0,1,0))</f>
        <v/>
      </c>
      <c r="CX260">
        <f>IF(CX$4=0,0,IF(COUNTIFS(実績!$W$6:$W$505,CX$3,実績!$AC$6:$AC$505,"&lt;="&amp;$A260,実績!$AD$6:$AD$505,"&gt;"&amp;$A260,実績!$AE$6:$AE$505,"○")&gt;0,1,0))</f>
        <v/>
      </c>
      <c r="CY260">
        <f>IF(CY$4=0,0,IF(COUNTIFS(実績!$W$6:$W$505,CY$3,実績!$AC$6:$AC$505,"&lt;="&amp;$A260,実績!$AD$6:$AD$505,"&gt;"&amp;$A260,実績!$AE$6:$AE$505,"○")&gt;0,1,0))</f>
        <v/>
      </c>
      <c r="CZ260">
        <f>IF(CZ$4=0,0,IF(COUNTIFS(実績!$W$6:$W$505,CZ$3,実績!$AC$6:$AC$505,"&lt;="&amp;$A260,実績!$AD$6:$AD$505,"&gt;"&amp;$A260,実績!$AE$6:$AE$505,"○")&gt;0,1,0))</f>
        <v/>
      </c>
      <c r="DA260">
        <f>IF(DA$4=0,0,IF(COUNTIFS(実績!$W$6:$W$505,DA$3,実績!$AC$6:$AC$505,"&lt;="&amp;$A260,実績!$AD$6:$AD$505,"&gt;"&amp;$A260,実績!$AE$6:$AE$505,"○")&gt;0,1,0))</f>
        <v/>
      </c>
      <c r="DB260">
        <f>IF(DB$4=0,0,IF(COUNTIFS(実績!$W$6:$W$505,DB$3,実績!$AC$6:$AC$505,"&lt;="&amp;$A260,実績!$AD$6:$AD$505,"&gt;"&amp;$A260,実績!$AE$6:$AE$505,"○")&gt;0,1,0))</f>
        <v/>
      </c>
      <c r="DC260">
        <f>IF(DC$4=0,0,IF(COUNTIFS(実績!$W$6:$W$505,DC$3,実績!$AC$6:$AC$505,"&lt;="&amp;$A260,実績!$AD$6:$AD$505,"&gt;"&amp;$A260,実績!$AE$6:$AE$505,"○")&gt;0,1,0))</f>
        <v/>
      </c>
      <c r="DD260">
        <f>IF(DD$4=0,0,IF(COUNTIFS(実績!$W$6:$W$505,DD$3,実績!$AC$6:$AC$505,"&lt;="&amp;$A260,実績!$AD$6:$AD$505,"&gt;"&amp;$A260,実績!$AE$6:$AE$505,"○")&gt;0,1,0))</f>
        <v/>
      </c>
      <c r="DE260">
        <f>IF(DE$4=0,0,IF(COUNTIFS(実績!$W$6:$W$505,DE$3,実績!$AC$6:$AC$505,"&lt;="&amp;$A260,実績!$AD$6:$AD$505,"&gt;"&amp;$A260,実績!$AE$6:$AE$505,"○")&gt;0,1,0))</f>
        <v/>
      </c>
      <c r="DF260">
        <f>IF(DF$4=0,0,IF(COUNTIFS(実績!$W$6:$W$505,DF$3,実績!$AC$6:$AC$505,"&lt;="&amp;$A260,実績!$AD$6:$AD$505,"&gt;"&amp;$A260,実績!$AE$6:$AE$505,"○")&gt;0,1,0))</f>
        <v/>
      </c>
      <c r="DG260">
        <f>IF(DG$4=0,0,IF(COUNTIFS(実績!$W$6:$W$505,DG$3,実績!$AC$6:$AC$505,"&lt;="&amp;$A260,実績!$AD$6:$AD$505,"&gt;"&amp;$A260,実績!$AE$6:$AE$505,"○")&gt;0,1,0))</f>
        <v/>
      </c>
      <c r="DH260">
        <f>IF(DH$4=0,0,IF(COUNTIFS(実績!$W$6:$W$505,DH$3,実績!$AC$6:$AC$505,"&lt;="&amp;$A260,実績!$AD$6:$AD$505,"&gt;"&amp;$A260,実績!$AE$6:$AE$505,"○")&gt;0,1,0))</f>
        <v/>
      </c>
      <c r="DI260">
        <f>IF(DI$4=0,0,IF(COUNTIFS(実績!$W$6:$W$505,DI$3,実績!$AC$6:$AC$505,"&lt;="&amp;$A260,実績!$AD$6:$AD$505,"&gt;"&amp;$A260,実績!$AE$6:$AE$505,"○")&gt;0,1,0))</f>
        <v/>
      </c>
      <c r="DJ260">
        <f>IF(DJ$4=0,0,IF(COUNTIFS(実績!$W$6:$W$505,DJ$3,実績!$AC$6:$AC$505,"&lt;="&amp;$A260,実績!$AD$6:$AD$505,"&gt;"&amp;$A260,実績!$AE$6:$AE$505,"○")&gt;0,1,0))</f>
        <v/>
      </c>
      <c r="DK260">
        <f>IF(DK$4=0,0,IF(COUNTIFS(実績!$W$6:$W$505,DK$3,実績!$AC$6:$AC$505,"&lt;="&amp;$A260,実績!$AD$6:$AD$505,"&gt;"&amp;$A260,実績!$AE$6:$AE$505,"○")&gt;0,1,0))</f>
        <v/>
      </c>
      <c r="DL260">
        <f>IF(DL$4=0,0,IF(COUNTIFS(実績!$W$6:$W$505,DL$3,実績!$AC$6:$AC$505,"&lt;="&amp;$A260,実績!$AD$6:$AD$505,"&gt;"&amp;$A260,実績!$AE$6:$AE$505,"○")&gt;0,1,0))</f>
        <v/>
      </c>
      <c r="DM260">
        <f>IF(DM$4=0,0,IF(COUNTIFS(実績!$W$6:$W$505,DM$3,実績!$AC$6:$AC$505,"&lt;="&amp;$A260,実績!$AD$6:$AD$505,"&gt;"&amp;$A260,実績!$AE$6:$AE$505,"○")&gt;0,1,0))</f>
        <v/>
      </c>
      <c r="DN260">
        <f>IF(DN$4=0,0,IF(COUNTIFS(実績!$W$6:$W$505,DN$3,実績!$AC$6:$AC$505,"&lt;="&amp;$A260,実績!$AD$6:$AD$505,"&gt;"&amp;$A260,実績!$AE$6:$AE$505,"○")&gt;0,1,0))</f>
        <v/>
      </c>
      <c r="DO260">
        <f>IF(DO$4=0,0,IF(COUNTIFS(実績!$W$6:$W$505,DO$3,実績!$AC$6:$AC$505,"&lt;="&amp;$A260,実績!$AD$6:$AD$505,"&gt;"&amp;$A260,実績!$AE$6:$AE$505,"○")&gt;0,1,0))</f>
        <v/>
      </c>
      <c r="DP260">
        <f>IF(DP$4=0,0,IF(COUNTIFS(実績!$W$6:$W$505,DP$3,実績!$AC$6:$AC$505,"&lt;="&amp;$A260,実績!$AD$6:$AD$505,"&gt;"&amp;$A260,実績!$AE$6:$AE$505,"○")&gt;0,1,0))</f>
        <v/>
      </c>
      <c r="DQ260">
        <f>IF(DQ$4=0,0,IF(COUNTIFS(実績!$W$6:$W$505,DQ$3,実績!$AC$6:$AC$505,"&lt;="&amp;$A260,実績!$AD$6:$AD$505,"&gt;"&amp;$A260,実績!$AE$6:$AE$505,"○")&gt;0,1,0))</f>
        <v/>
      </c>
      <c r="DR260">
        <f>IF(DR$4=0,0,IF(COUNTIFS(実績!$W$6:$W$505,DR$3,実績!$AC$6:$AC$505,"&lt;="&amp;$A260,実績!$AD$6:$AD$505,"&gt;"&amp;$A260,実績!$AE$6:$AE$505,"○")&gt;0,1,0))</f>
        <v/>
      </c>
      <c r="DS260">
        <f>SUM(C260:DR260)</f>
        <v/>
      </c>
      <c r="DT260">
        <f>SUMPRODUCT((実績!$C$6:$C$505="○")*ISNUMBER(実績!$AF$6:$AF$505)*(実績!$AF$6:$AF$505&lt;=$A260)*(実績!$AG$6:$AG$505&gt;$A260))</f>
        <v/>
      </c>
      <c r="DU260">
        <f>SUMIF($C$2:$DR$2,"製鉄曳船",C260:DR260)</f>
        <v/>
      </c>
      <c r="DV260">
        <f>SUMIF($C$2:$DR$2,"西日本海運",C260:DR260)</f>
        <v/>
      </c>
    </row>
    <row r="261">
      <c r="A261" t="n">
        <v>1275</v>
      </c>
      <c r="B261" s="29">
        <f>A261/1440</f>
        <v/>
      </c>
      <c r="C261">
        <f>IF(C$4=0,0,IF(COUNTIFS(実績!$W$6:$W$505,C$3,実績!$AC$6:$AC$505,"&lt;="&amp;$A261,実績!$AD$6:$AD$505,"&gt;"&amp;$A261,実績!$AE$6:$AE$505,"○")&gt;0,1,0))</f>
        <v/>
      </c>
      <c r="D261">
        <f>IF(D$4=0,0,IF(COUNTIFS(実績!$W$6:$W$505,D$3,実績!$AC$6:$AC$505,"&lt;="&amp;$A261,実績!$AD$6:$AD$505,"&gt;"&amp;$A261,実績!$AE$6:$AE$505,"○")&gt;0,1,0))</f>
        <v/>
      </c>
      <c r="E261">
        <f>IF(E$4=0,0,IF(COUNTIFS(実績!$W$6:$W$505,E$3,実績!$AC$6:$AC$505,"&lt;="&amp;$A261,実績!$AD$6:$AD$505,"&gt;"&amp;$A261,実績!$AE$6:$AE$505,"○")&gt;0,1,0))</f>
        <v/>
      </c>
      <c r="F261">
        <f>IF(F$4=0,0,IF(COUNTIFS(実績!$W$6:$W$505,F$3,実績!$AC$6:$AC$505,"&lt;="&amp;$A261,実績!$AD$6:$AD$505,"&gt;"&amp;$A261,実績!$AE$6:$AE$505,"○")&gt;0,1,0))</f>
        <v/>
      </c>
      <c r="G261">
        <f>IF(G$4=0,0,IF(COUNTIFS(実績!$W$6:$W$505,G$3,実績!$AC$6:$AC$505,"&lt;="&amp;$A261,実績!$AD$6:$AD$505,"&gt;"&amp;$A261,実績!$AE$6:$AE$505,"○")&gt;0,1,0))</f>
        <v/>
      </c>
      <c r="H261">
        <f>IF(H$4=0,0,IF(COUNTIFS(実績!$W$6:$W$505,H$3,実績!$AC$6:$AC$505,"&lt;="&amp;$A261,実績!$AD$6:$AD$505,"&gt;"&amp;$A261,実績!$AE$6:$AE$505,"○")&gt;0,1,0))</f>
        <v/>
      </c>
      <c r="I261">
        <f>IF(I$4=0,0,IF(COUNTIFS(実績!$W$6:$W$505,I$3,実績!$AC$6:$AC$505,"&lt;="&amp;$A261,実績!$AD$6:$AD$505,"&gt;"&amp;$A261,実績!$AE$6:$AE$505,"○")&gt;0,1,0))</f>
        <v/>
      </c>
      <c r="J261">
        <f>IF(J$4=0,0,IF(COUNTIFS(実績!$W$6:$W$505,J$3,実績!$AC$6:$AC$505,"&lt;="&amp;$A261,実績!$AD$6:$AD$505,"&gt;"&amp;$A261,実績!$AE$6:$AE$505,"○")&gt;0,1,0))</f>
        <v/>
      </c>
      <c r="K261">
        <f>IF(K$4=0,0,IF(COUNTIFS(実績!$W$6:$W$505,K$3,実績!$AC$6:$AC$505,"&lt;="&amp;$A261,実績!$AD$6:$AD$505,"&gt;"&amp;$A261,実績!$AE$6:$AE$505,"○")&gt;0,1,0))</f>
        <v/>
      </c>
      <c r="L261">
        <f>IF(L$4=0,0,IF(COUNTIFS(実績!$W$6:$W$505,L$3,実績!$AC$6:$AC$505,"&lt;="&amp;$A261,実績!$AD$6:$AD$505,"&gt;"&amp;$A261,実績!$AE$6:$AE$505,"○")&gt;0,1,0))</f>
        <v/>
      </c>
      <c r="M261">
        <f>IF(M$4=0,0,IF(COUNTIFS(実績!$W$6:$W$505,M$3,実績!$AC$6:$AC$505,"&lt;="&amp;$A261,実績!$AD$6:$AD$505,"&gt;"&amp;$A261,実績!$AE$6:$AE$505,"○")&gt;0,1,0))</f>
        <v/>
      </c>
      <c r="N261">
        <f>IF(N$4=0,0,IF(COUNTIFS(実績!$W$6:$W$505,N$3,実績!$AC$6:$AC$505,"&lt;="&amp;$A261,実績!$AD$6:$AD$505,"&gt;"&amp;$A261,実績!$AE$6:$AE$505,"○")&gt;0,1,0))</f>
        <v/>
      </c>
      <c r="O261">
        <f>IF(O$4=0,0,IF(COUNTIFS(実績!$W$6:$W$505,O$3,実績!$AC$6:$AC$505,"&lt;="&amp;$A261,実績!$AD$6:$AD$505,"&gt;"&amp;$A261,実績!$AE$6:$AE$505,"○")&gt;0,1,0))</f>
        <v/>
      </c>
      <c r="P261">
        <f>IF(P$4=0,0,IF(COUNTIFS(実績!$W$6:$W$505,P$3,実績!$AC$6:$AC$505,"&lt;="&amp;$A261,実績!$AD$6:$AD$505,"&gt;"&amp;$A261,実績!$AE$6:$AE$505,"○")&gt;0,1,0))</f>
        <v/>
      </c>
      <c r="Q261">
        <f>IF(Q$4=0,0,IF(COUNTIFS(実績!$W$6:$W$505,Q$3,実績!$AC$6:$AC$505,"&lt;="&amp;$A261,実績!$AD$6:$AD$505,"&gt;"&amp;$A261,実績!$AE$6:$AE$505,"○")&gt;0,1,0))</f>
        <v/>
      </c>
      <c r="R261">
        <f>IF(R$4=0,0,IF(COUNTIFS(実績!$W$6:$W$505,R$3,実績!$AC$6:$AC$505,"&lt;="&amp;$A261,実績!$AD$6:$AD$505,"&gt;"&amp;$A261,実績!$AE$6:$AE$505,"○")&gt;0,1,0))</f>
        <v/>
      </c>
      <c r="S261">
        <f>IF(S$4=0,0,IF(COUNTIFS(実績!$W$6:$W$505,S$3,実績!$AC$6:$AC$505,"&lt;="&amp;$A261,実績!$AD$6:$AD$505,"&gt;"&amp;$A261,実績!$AE$6:$AE$505,"○")&gt;0,1,0))</f>
        <v/>
      </c>
      <c r="T261">
        <f>IF(T$4=0,0,IF(COUNTIFS(実績!$W$6:$W$505,T$3,実績!$AC$6:$AC$505,"&lt;="&amp;$A261,実績!$AD$6:$AD$505,"&gt;"&amp;$A261,実績!$AE$6:$AE$505,"○")&gt;0,1,0))</f>
        <v/>
      </c>
      <c r="U261">
        <f>IF(U$4=0,0,IF(COUNTIFS(実績!$W$6:$W$505,U$3,実績!$AC$6:$AC$505,"&lt;="&amp;$A261,実績!$AD$6:$AD$505,"&gt;"&amp;$A261,実績!$AE$6:$AE$505,"○")&gt;0,1,0))</f>
        <v/>
      </c>
      <c r="V261">
        <f>IF(V$4=0,0,IF(COUNTIFS(実績!$W$6:$W$505,V$3,実績!$AC$6:$AC$505,"&lt;="&amp;$A261,実績!$AD$6:$AD$505,"&gt;"&amp;$A261,実績!$AE$6:$AE$505,"○")&gt;0,1,0))</f>
        <v/>
      </c>
      <c r="W261">
        <f>IF(W$4=0,0,IF(COUNTIFS(実績!$W$6:$W$505,W$3,実績!$AC$6:$AC$505,"&lt;="&amp;$A261,実績!$AD$6:$AD$505,"&gt;"&amp;$A261,実績!$AE$6:$AE$505,"○")&gt;0,1,0))</f>
        <v/>
      </c>
      <c r="X261">
        <f>IF(X$4=0,0,IF(COUNTIFS(実績!$W$6:$W$505,X$3,実績!$AC$6:$AC$505,"&lt;="&amp;$A261,実績!$AD$6:$AD$505,"&gt;"&amp;$A261,実績!$AE$6:$AE$505,"○")&gt;0,1,0))</f>
        <v/>
      </c>
      <c r="Y261">
        <f>IF(Y$4=0,0,IF(COUNTIFS(実績!$W$6:$W$505,Y$3,実績!$AC$6:$AC$505,"&lt;="&amp;$A261,実績!$AD$6:$AD$505,"&gt;"&amp;$A261,実績!$AE$6:$AE$505,"○")&gt;0,1,0))</f>
        <v/>
      </c>
      <c r="Z261">
        <f>IF(Z$4=0,0,IF(COUNTIFS(実績!$W$6:$W$505,Z$3,実績!$AC$6:$AC$505,"&lt;="&amp;$A261,実績!$AD$6:$AD$505,"&gt;"&amp;$A261,実績!$AE$6:$AE$505,"○")&gt;0,1,0))</f>
        <v/>
      </c>
      <c r="AA261">
        <f>IF(AA$4=0,0,IF(COUNTIFS(実績!$W$6:$W$505,AA$3,実績!$AC$6:$AC$505,"&lt;="&amp;$A261,実績!$AD$6:$AD$505,"&gt;"&amp;$A261,実績!$AE$6:$AE$505,"○")&gt;0,1,0))</f>
        <v/>
      </c>
      <c r="AB261">
        <f>IF(AB$4=0,0,IF(COUNTIFS(実績!$W$6:$W$505,AB$3,実績!$AC$6:$AC$505,"&lt;="&amp;$A261,実績!$AD$6:$AD$505,"&gt;"&amp;$A261,実績!$AE$6:$AE$505,"○")&gt;0,1,0))</f>
        <v/>
      </c>
      <c r="AC261">
        <f>IF(AC$4=0,0,IF(COUNTIFS(実績!$W$6:$W$505,AC$3,実績!$AC$6:$AC$505,"&lt;="&amp;$A261,実績!$AD$6:$AD$505,"&gt;"&amp;$A261,実績!$AE$6:$AE$505,"○")&gt;0,1,0))</f>
        <v/>
      </c>
      <c r="AD261">
        <f>IF(AD$4=0,0,IF(COUNTIFS(実績!$W$6:$W$505,AD$3,実績!$AC$6:$AC$505,"&lt;="&amp;$A261,実績!$AD$6:$AD$505,"&gt;"&amp;$A261,実績!$AE$6:$AE$505,"○")&gt;0,1,0))</f>
        <v/>
      </c>
      <c r="AE261">
        <f>IF(AE$4=0,0,IF(COUNTIFS(実績!$W$6:$W$505,AE$3,実績!$AC$6:$AC$505,"&lt;="&amp;$A261,実績!$AD$6:$AD$505,"&gt;"&amp;$A261,実績!$AE$6:$AE$505,"○")&gt;0,1,0))</f>
        <v/>
      </c>
      <c r="AF261">
        <f>IF(AF$4=0,0,IF(COUNTIFS(実績!$W$6:$W$505,AF$3,実績!$AC$6:$AC$505,"&lt;="&amp;$A261,実績!$AD$6:$AD$505,"&gt;"&amp;$A261,実績!$AE$6:$AE$505,"○")&gt;0,1,0))</f>
        <v/>
      </c>
      <c r="AG261">
        <f>IF(AG$4=0,0,IF(COUNTIFS(実績!$W$6:$W$505,AG$3,実績!$AC$6:$AC$505,"&lt;="&amp;$A261,実績!$AD$6:$AD$505,"&gt;"&amp;$A261,実績!$AE$6:$AE$505,"○")&gt;0,1,0))</f>
        <v/>
      </c>
      <c r="AH261">
        <f>IF(AH$4=0,0,IF(COUNTIFS(実績!$W$6:$W$505,AH$3,実績!$AC$6:$AC$505,"&lt;="&amp;$A261,実績!$AD$6:$AD$505,"&gt;"&amp;$A261,実績!$AE$6:$AE$505,"○")&gt;0,1,0))</f>
        <v/>
      </c>
      <c r="AI261">
        <f>IF(AI$4=0,0,IF(COUNTIFS(実績!$W$6:$W$505,AI$3,実績!$AC$6:$AC$505,"&lt;="&amp;$A261,実績!$AD$6:$AD$505,"&gt;"&amp;$A261,実績!$AE$6:$AE$505,"○")&gt;0,1,0))</f>
        <v/>
      </c>
      <c r="AJ261">
        <f>IF(AJ$4=0,0,IF(COUNTIFS(実績!$W$6:$W$505,AJ$3,実績!$AC$6:$AC$505,"&lt;="&amp;$A261,実績!$AD$6:$AD$505,"&gt;"&amp;$A261,実績!$AE$6:$AE$505,"○")&gt;0,1,0))</f>
        <v/>
      </c>
      <c r="AK261">
        <f>IF(AK$4=0,0,IF(COUNTIFS(実績!$W$6:$W$505,AK$3,実績!$AC$6:$AC$505,"&lt;="&amp;$A261,実績!$AD$6:$AD$505,"&gt;"&amp;$A261,実績!$AE$6:$AE$505,"○")&gt;0,1,0))</f>
        <v/>
      </c>
      <c r="AL261">
        <f>IF(AL$4=0,0,IF(COUNTIFS(実績!$W$6:$W$505,AL$3,実績!$AC$6:$AC$505,"&lt;="&amp;$A261,実績!$AD$6:$AD$505,"&gt;"&amp;$A261,実績!$AE$6:$AE$505,"○")&gt;0,1,0))</f>
        <v/>
      </c>
      <c r="AM261">
        <f>IF(AM$4=0,0,IF(COUNTIFS(実績!$W$6:$W$505,AM$3,実績!$AC$6:$AC$505,"&lt;="&amp;$A261,実績!$AD$6:$AD$505,"&gt;"&amp;$A261,実績!$AE$6:$AE$505,"○")&gt;0,1,0))</f>
        <v/>
      </c>
      <c r="AN261">
        <f>IF(AN$4=0,0,IF(COUNTIFS(実績!$W$6:$W$505,AN$3,実績!$AC$6:$AC$505,"&lt;="&amp;$A261,実績!$AD$6:$AD$505,"&gt;"&amp;$A261,実績!$AE$6:$AE$505,"○")&gt;0,1,0))</f>
        <v/>
      </c>
      <c r="AO261">
        <f>IF(AO$4=0,0,IF(COUNTIFS(実績!$W$6:$W$505,AO$3,実績!$AC$6:$AC$505,"&lt;="&amp;$A261,実績!$AD$6:$AD$505,"&gt;"&amp;$A261,実績!$AE$6:$AE$505,"○")&gt;0,1,0))</f>
        <v/>
      </c>
      <c r="AP261">
        <f>IF(AP$4=0,0,IF(COUNTIFS(実績!$W$6:$W$505,AP$3,実績!$AC$6:$AC$505,"&lt;="&amp;$A261,実績!$AD$6:$AD$505,"&gt;"&amp;$A261,実績!$AE$6:$AE$505,"○")&gt;0,1,0))</f>
        <v/>
      </c>
      <c r="AQ261">
        <f>IF(AQ$4=0,0,IF(COUNTIFS(実績!$W$6:$W$505,AQ$3,実績!$AC$6:$AC$505,"&lt;="&amp;$A261,実績!$AD$6:$AD$505,"&gt;"&amp;$A261,実績!$AE$6:$AE$505,"○")&gt;0,1,0))</f>
        <v/>
      </c>
      <c r="AR261">
        <f>IF(AR$4=0,0,IF(COUNTIFS(実績!$W$6:$W$505,AR$3,実績!$AC$6:$AC$505,"&lt;="&amp;$A261,実績!$AD$6:$AD$505,"&gt;"&amp;$A261,実績!$AE$6:$AE$505,"○")&gt;0,1,0))</f>
        <v/>
      </c>
      <c r="AS261">
        <f>IF(AS$4=0,0,IF(COUNTIFS(実績!$W$6:$W$505,AS$3,実績!$AC$6:$AC$505,"&lt;="&amp;$A261,実績!$AD$6:$AD$505,"&gt;"&amp;$A261,実績!$AE$6:$AE$505,"○")&gt;0,1,0))</f>
        <v/>
      </c>
      <c r="AT261">
        <f>IF(AT$4=0,0,IF(COUNTIFS(実績!$W$6:$W$505,AT$3,実績!$AC$6:$AC$505,"&lt;="&amp;$A261,実績!$AD$6:$AD$505,"&gt;"&amp;$A261,実績!$AE$6:$AE$505,"○")&gt;0,1,0))</f>
        <v/>
      </c>
      <c r="AU261">
        <f>IF(AU$4=0,0,IF(COUNTIFS(実績!$W$6:$W$505,AU$3,実績!$AC$6:$AC$505,"&lt;="&amp;$A261,実績!$AD$6:$AD$505,"&gt;"&amp;$A261,実績!$AE$6:$AE$505,"○")&gt;0,1,0))</f>
        <v/>
      </c>
      <c r="AV261">
        <f>IF(AV$4=0,0,IF(COUNTIFS(実績!$W$6:$W$505,AV$3,実績!$AC$6:$AC$505,"&lt;="&amp;$A261,実績!$AD$6:$AD$505,"&gt;"&amp;$A261,実績!$AE$6:$AE$505,"○")&gt;0,1,0))</f>
        <v/>
      </c>
      <c r="AW261">
        <f>IF(AW$4=0,0,IF(COUNTIFS(実績!$W$6:$W$505,AW$3,実績!$AC$6:$AC$505,"&lt;="&amp;$A261,実績!$AD$6:$AD$505,"&gt;"&amp;$A261,実績!$AE$6:$AE$505,"○")&gt;0,1,0))</f>
        <v/>
      </c>
      <c r="AX261">
        <f>IF(AX$4=0,0,IF(COUNTIFS(実績!$W$6:$W$505,AX$3,実績!$AC$6:$AC$505,"&lt;="&amp;$A261,実績!$AD$6:$AD$505,"&gt;"&amp;$A261,実績!$AE$6:$AE$505,"○")&gt;0,1,0))</f>
        <v/>
      </c>
      <c r="AY261">
        <f>IF(AY$4=0,0,IF(COUNTIFS(実績!$W$6:$W$505,AY$3,実績!$AC$6:$AC$505,"&lt;="&amp;$A261,実績!$AD$6:$AD$505,"&gt;"&amp;$A261,実績!$AE$6:$AE$505,"○")&gt;0,1,0))</f>
        <v/>
      </c>
      <c r="AZ261">
        <f>IF(AZ$4=0,0,IF(COUNTIFS(実績!$W$6:$W$505,AZ$3,実績!$AC$6:$AC$505,"&lt;="&amp;$A261,実績!$AD$6:$AD$505,"&gt;"&amp;$A261,実績!$AE$6:$AE$505,"○")&gt;0,1,0))</f>
        <v/>
      </c>
      <c r="BA261">
        <f>IF(BA$4=0,0,IF(COUNTIFS(実績!$W$6:$W$505,BA$3,実績!$AC$6:$AC$505,"&lt;="&amp;$A261,実績!$AD$6:$AD$505,"&gt;"&amp;$A261,実績!$AE$6:$AE$505,"○")&gt;0,1,0))</f>
        <v/>
      </c>
      <c r="BB261">
        <f>IF(BB$4=0,0,IF(COUNTIFS(実績!$W$6:$W$505,BB$3,実績!$AC$6:$AC$505,"&lt;="&amp;$A261,実績!$AD$6:$AD$505,"&gt;"&amp;$A261,実績!$AE$6:$AE$505,"○")&gt;0,1,0))</f>
        <v/>
      </c>
      <c r="BC261">
        <f>IF(BC$4=0,0,IF(COUNTIFS(実績!$W$6:$W$505,BC$3,実績!$AC$6:$AC$505,"&lt;="&amp;$A261,実績!$AD$6:$AD$505,"&gt;"&amp;$A261,実績!$AE$6:$AE$505,"○")&gt;0,1,0))</f>
        <v/>
      </c>
      <c r="BD261">
        <f>IF(BD$4=0,0,IF(COUNTIFS(実績!$W$6:$W$505,BD$3,実績!$AC$6:$AC$505,"&lt;="&amp;$A261,実績!$AD$6:$AD$505,"&gt;"&amp;$A261,実績!$AE$6:$AE$505,"○")&gt;0,1,0))</f>
        <v/>
      </c>
      <c r="BE261">
        <f>IF(BE$4=0,0,IF(COUNTIFS(実績!$W$6:$W$505,BE$3,実績!$AC$6:$AC$505,"&lt;="&amp;$A261,実績!$AD$6:$AD$505,"&gt;"&amp;$A261,実績!$AE$6:$AE$505,"○")&gt;0,1,0))</f>
        <v/>
      </c>
      <c r="BF261">
        <f>IF(BF$4=0,0,IF(COUNTIFS(実績!$W$6:$W$505,BF$3,実績!$AC$6:$AC$505,"&lt;="&amp;$A261,実績!$AD$6:$AD$505,"&gt;"&amp;$A261,実績!$AE$6:$AE$505,"○")&gt;0,1,0))</f>
        <v/>
      </c>
      <c r="BG261">
        <f>IF(BG$4=0,0,IF(COUNTIFS(実績!$W$6:$W$505,BG$3,実績!$AC$6:$AC$505,"&lt;="&amp;$A261,実績!$AD$6:$AD$505,"&gt;"&amp;$A261,実績!$AE$6:$AE$505,"○")&gt;0,1,0))</f>
        <v/>
      </c>
      <c r="BH261">
        <f>IF(BH$4=0,0,IF(COUNTIFS(実績!$W$6:$W$505,BH$3,実績!$AC$6:$AC$505,"&lt;="&amp;$A261,実績!$AD$6:$AD$505,"&gt;"&amp;$A261,実績!$AE$6:$AE$505,"○")&gt;0,1,0))</f>
        <v/>
      </c>
      <c r="BI261">
        <f>IF(BI$4=0,0,IF(COUNTIFS(実績!$W$6:$W$505,BI$3,実績!$AC$6:$AC$505,"&lt;="&amp;$A261,実績!$AD$6:$AD$505,"&gt;"&amp;$A261,実績!$AE$6:$AE$505,"○")&gt;0,1,0))</f>
        <v/>
      </c>
      <c r="BJ261">
        <f>IF(BJ$4=0,0,IF(COUNTIFS(実績!$W$6:$W$505,BJ$3,実績!$AC$6:$AC$505,"&lt;="&amp;$A261,実績!$AD$6:$AD$505,"&gt;"&amp;$A261,実績!$AE$6:$AE$505,"○")&gt;0,1,0))</f>
        <v/>
      </c>
      <c r="BK261">
        <f>IF(BK$4=0,0,IF(COUNTIFS(実績!$W$6:$W$505,BK$3,実績!$AC$6:$AC$505,"&lt;="&amp;$A261,実績!$AD$6:$AD$505,"&gt;"&amp;$A261,実績!$AE$6:$AE$505,"○")&gt;0,1,0))</f>
        <v/>
      </c>
      <c r="BL261">
        <f>IF(BL$4=0,0,IF(COUNTIFS(実績!$W$6:$W$505,BL$3,実績!$AC$6:$AC$505,"&lt;="&amp;$A261,実績!$AD$6:$AD$505,"&gt;"&amp;$A261,実績!$AE$6:$AE$505,"○")&gt;0,1,0))</f>
        <v/>
      </c>
      <c r="BM261">
        <f>IF(BM$4=0,0,IF(COUNTIFS(実績!$W$6:$W$505,BM$3,実績!$AC$6:$AC$505,"&lt;="&amp;$A261,実績!$AD$6:$AD$505,"&gt;"&amp;$A261,実績!$AE$6:$AE$505,"○")&gt;0,1,0))</f>
        <v/>
      </c>
      <c r="BN261">
        <f>IF(BN$4=0,0,IF(COUNTIFS(実績!$W$6:$W$505,BN$3,実績!$AC$6:$AC$505,"&lt;="&amp;$A261,実績!$AD$6:$AD$505,"&gt;"&amp;$A261,実績!$AE$6:$AE$505,"○")&gt;0,1,0))</f>
        <v/>
      </c>
      <c r="BO261">
        <f>IF(BO$4=0,0,IF(COUNTIFS(実績!$W$6:$W$505,BO$3,実績!$AC$6:$AC$505,"&lt;="&amp;$A261,実績!$AD$6:$AD$505,"&gt;"&amp;$A261,実績!$AE$6:$AE$505,"○")&gt;0,1,0))</f>
        <v/>
      </c>
      <c r="BP261">
        <f>IF(BP$4=0,0,IF(COUNTIFS(実績!$W$6:$W$505,BP$3,実績!$AC$6:$AC$505,"&lt;="&amp;$A261,実績!$AD$6:$AD$505,"&gt;"&amp;$A261,実績!$AE$6:$AE$505,"○")&gt;0,1,0))</f>
        <v/>
      </c>
      <c r="BQ261">
        <f>IF(BQ$4=0,0,IF(COUNTIFS(実績!$W$6:$W$505,BQ$3,実績!$AC$6:$AC$505,"&lt;="&amp;$A261,実績!$AD$6:$AD$505,"&gt;"&amp;$A261,実績!$AE$6:$AE$505,"○")&gt;0,1,0))</f>
        <v/>
      </c>
      <c r="BR261">
        <f>IF(BR$4=0,0,IF(COUNTIFS(実績!$W$6:$W$505,BR$3,実績!$AC$6:$AC$505,"&lt;="&amp;$A261,実績!$AD$6:$AD$505,"&gt;"&amp;$A261,実績!$AE$6:$AE$505,"○")&gt;0,1,0))</f>
        <v/>
      </c>
      <c r="BS261">
        <f>IF(BS$4=0,0,IF(COUNTIFS(実績!$W$6:$W$505,BS$3,実績!$AC$6:$AC$505,"&lt;="&amp;$A261,実績!$AD$6:$AD$505,"&gt;"&amp;$A261,実績!$AE$6:$AE$505,"○")&gt;0,1,0))</f>
        <v/>
      </c>
      <c r="BT261">
        <f>IF(BT$4=0,0,IF(COUNTIFS(実績!$W$6:$W$505,BT$3,実績!$AC$6:$AC$505,"&lt;="&amp;$A261,実績!$AD$6:$AD$505,"&gt;"&amp;$A261,実績!$AE$6:$AE$505,"○")&gt;0,1,0))</f>
        <v/>
      </c>
      <c r="BU261">
        <f>IF(BU$4=0,0,IF(COUNTIFS(実績!$W$6:$W$505,BU$3,実績!$AC$6:$AC$505,"&lt;="&amp;$A261,実績!$AD$6:$AD$505,"&gt;"&amp;$A261,実績!$AE$6:$AE$505,"○")&gt;0,1,0))</f>
        <v/>
      </c>
      <c r="BV261">
        <f>IF(BV$4=0,0,IF(COUNTIFS(実績!$W$6:$W$505,BV$3,実績!$AC$6:$AC$505,"&lt;="&amp;$A261,実績!$AD$6:$AD$505,"&gt;"&amp;$A261,実績!$AE$6:$AE$505,"○")&gt;0,1,0))</f>
        <v/>
      </c>
      <c r="BW261">
        <f>IF(BW$4=0,0,IF(COUNTIFS(実績!$W$6:$W$505,BW$3,実績!$AC$6:$AC$505,"&lt;="&amp;$A261,実績!$AD$6:$AD$505,"&gt;"&amp;$A261,実績!$AE$6:$AE$505,"○")&gt;0,1,0))</f>
        <v/>
      </c>
      <c r="BX261">
        <f>IF(BX$4=0,0,IF(COUNTIFS(実績!$W$6:$W$505,BX$3,実績!$AC$6:$AC$505,"&lt;="&amp;$A261,実績!$AD$6:$AD$505,"&gt;"&amp;$A261,実績!$AE$6:$AE$505,"○")&gt;0,1,0))</f>
        <v/>
      </c>
      <c r="BY261">
        <f>IF(BY$4=0,0,IF(COUNTIFS(実績!$W$6:$W$505,BY$3,実績!$AC$6:$AC$505,"&lt;="&amp;$A261,実績!$AD$6:$AD$505,"&gt;"&amp;$A261,実績!$AE$6:$AE$505,"○")&gt;0,1,0))</f>
        <v/>
      </c>
      <c r="BZ261">
        <f>IF(BZ$4=0,0,IF(COUNTIFS(実績!$W$6:$W$505,BZ$3,実績!$AC$6:$AC$505,"&lt;="&amp;$A261,実績!$AD$6:$AD$505,"&gt;"&amp;$A261,実績!$AE$6:$AE$505,"○")&gt;0,1,0))</f>
        <v/>
      </c>
      <c r="CA261">
        <f>IF(CA$4=0,0,IF(COUNTIFS(実績!$W$6:$W$505,CA$3,実績!$AC$6:$AC$505,"&lt;="&amp;$A261,実績!$AD$6:$AD$505,"&gt;"&amp;$A261,実績!$AE$6:$AE$505,"○")&gt;0,1,0))</f>
        <v/>
      </c>
      <c r="CB261">
        <f>IF(CB$4=0,0,IF(COUNTIFS(実績!$W$6:$W$505,CB$3,実績!$AC$6:$AC$505,"&lt;="&amp;$A261,実績!$AD$6:$AD$505,"&gt;"&amp;$A261,実績!$AE$6:$AE$505,"○")&gt;0,1,0))</f>
        <v/>
      </c>
      <c r="CC261">
        <f>IF(CC$4=0,0,IF(COUNTIFS(実績!$W$6:$W$505,CC$3,実績!$AC$6:$AC$505,"&lt;="&amp;$A261,実績!$AD$6:$AD$505,"&gt;"&amp;$A261,実績!$AE$6:$AE$505,"○")&gt;0,1,0))</f>
        <v/>
      </c>
      <c r="CD261">
        <f>IF(CD$4=0,0,IF(COUNTIFS(実績!$W$6:$W$505,CD$3,実績!$AC$6:$AC$505,"&lt;="&amp;$A261,実績!$AD$6:$AD$505,"&gt;"&amp;$A261,実績!$AE$6:$AE$505,"○")&gt;0,1,0))</f>
        <v/>
      </c>
      <c r="CE261">
        <f>IF(CE$4=0,0,IF(COUNTIFS(実績!$W$6:$W$505,CE$3,実績!$AC$6:$AC$505,"&lt;="&amp;$A261,実績!$AD$6:$AD$505,"&gt;"&amp;$A261,実績!$AE$6:$AE$505,"○")&gt;0,1,0))</f>
        <v/>
      </c>
      <c r="CF261">
        <f>IF(CF$4=0,0,IF(COUNTIFS(実績!$W$6:$W$505,CF$3,実績!$AC$6:$AC$505,"&lt;="&amp;$A261,実績!$AD$6:$AD$505,"&gt;"&amp;$A261,実績!$AE$6:$AE$505,"○")&gt;0,1,0))</f>
        <v/>
      </c>
      <c r="CG261">
        <f>IF(CG$4=0,0,IF(COUNTIFS(実績!$W$6:$W$505,CG$3,実績!$AC$6:$AC$505,"&lt;="&amp;$A261,実績!$AD$6:$AD$505,"&gt;"&amp;$A261,実績!$AE$6:$AE$505,"○")&gt;0,1,0))</f>
        <v/>
      </c>
      <c r="CH261">
        <f>IF(CH$4=0,0,IF(COUNTIFS(実績!$W$6:$W$505,CH$3,実績!$AC$6:$AC$505,"&lt;="&amp;$A261,実績!$AD$6:$AD$505,"&gt;"&amp;$A261,実績!$AE$6:$AE$505,"○")&gt;0,1,0))</f>
        <v/>
      </c>
      <c r="CI261">
        <f>IF(CI$4=0,0,IF(COUNTIFS(実績!$W$6:$W$505,CI$3,実績!$AC$6:$AC$505,"&lt;="&amp;$A261,実績!$AD$6:$AD$505,"&gt;"&amp;$A261,実績!$AE$6:$AE$505,"○")&gt;0,1,0))</f>
        <v/>
      </c>
      <c r="CJ261">
        <f>IF(CJ$4=0,0,IF(COUNTIFS(実績!$W$6:$W$505,CJ$3,実績!$AC$6:$AC$505,"&lt;="&amp;$A261,実績!$AD$6:$AD$505,"&gt;"&amp;$A261,実績!$AE$6:$AE$505,"○")&gt;0,1,0))</f>
        <v/>
      </c>
      <c r="CK261">
        <f>IF(CK$4=0,0,IF(COUNTIFS(実績!$W$6:$W$505,CK$3,実績!$AC$6:$AC$505,"&lt;="&amp;$A261,実績!$AD$6:$AD$505,"&gt;"&amp;$A261,実績!$AE$6:$AE$505,"○")&gt;0,1,0))</f>
        <v/>
      </c>
      <c r="CL261">
        <f>IF(CL$4=0,0,IF(COUNTIFS(実績!$W$6:$W$505,CL$3,実績!$AC$6:$AC$505,"&lt;="&amp;$A261,実績!$AD$6:$AD$505,"&gt;"&amp;$A261,実績!$AE$6:$AE$505,"○")&gt;0,1,0))</f>
        <v/>
      </c>
      <c r="CM261">
        <f>IF(CM$4=0,0,IF(COUNTIFS(実績!$W$6:$W$505,CM$3,実績!$AC$6:$AC$505,"&lt;="&amp;$A261,実績!$AD$6:$AD$505,"&gt;"&amp;$A261,実績!$AE$6:$AE$505,"○")&gt;0,1,0))</f>
        <v/>
      </c>
      <c r="CN261">
        <f>IF(CN$4=0,0,IF(COUNTIFS(実績!$W$6:$W$505,CN$3,実績!$AC$6:$AC$505,"&lt;="&amp;$A261,実績!$AD$6:$AD$505,"&gt;"&amp;$A261,実績!$AE$6:$AE$505,"○")&gt;0,1,0))</f>
        <v/>
      </c>
      <c r="CO261">
        <f>IF(CO$4=0,0,IF(COUNTIFS(実績!$W$6:$W$505,CO$3,実績!$AC$6:$AC$505,"&lt;="&amp;$A261,実績!$AD$6:$AD$505,"&gt;"&amp;$A261,実績!$AE$6:$AE$505,"○")&gt;0,1,0))</f>
        <v/>
      </c>
      <c r="CP261">
        <f>IF(CP$4=0,0,IF(COUNTIFS(実績!$W$6:$W$505,CP$3,実績!$AC$6:$AC$505,"&lt;="&amp;$A261,実績!$AD$6:$AD$505,"&gt;"&amp;$A261,実績!$AE$6:$AE$505,"○")&gt;0,1,0))</f>
        <v/>
      </c>
      <c r="CQ261">
        <f>IF(CQ$4=0,0,IF(COUNTIFS(実績!$W$6:$W$505,CQ$3,実績!$AC$6:$AC$505,"&lt;="&amp;$A261,実績!$AD$6:$AD$505,"&gt;"&amp;$A261,実績!$AE$6:$AE$505,"○")&gt;0,1,0))</f>
        <v/>
      </c>
      <c r="CR261">
        <f>IF(CR$4=0,0,IF(COUNTIFS(実績!$W$6:$W$505,CR$3,実績!$AC$6:$AC$505,"&lt;="&amp;$A261,実績!$AD$6:$AD$505,"&gt;"&amp;$A261,実績!$AE$6:$AE$505,"○")&gt;0,1,0))</f>
        <v/>
      </c>
      <c r="CS261">
        <f>IF(CS$4=0,0,IF(COUNTIFS(実績!$W$6:$W$505,CS$3,実績!$AC$6:$AC$505,"&lt;="&amp;$A261,実績!$AD$6:$AD$505,"&gt;"&amp;$A261,実績!$AE$6:$AE$505,"○")&gt;0,1,0))</f>
        <v/>
      </c>
      <c r="CT261">
        <f>IF(CT$4=0,0,IF(COUNTIFS(実績!$W$6:$W$505,CT$3,実績!$AC$6:$AC$505,"&lt;="&amp;$A261,実績!$AD$6:$AD$505,"&gt;"&amp;$A261,実績!$AE$6:$AE$505,"○")&gt;0,1,0))</f>
        <v/>
      </c>
      <c r="CU261">
        <f>IF(CU$4=0,0,IF(COUNTIFS(実績!$W$6:$W$505,CU$3,実績!$AC$6:$AC$505,"&lt;="&amp;$A261,実績!$AD$6:$AD$505,"&gt;"&amp;$A261,実績!$AE$6:$AE$505,"○")&gt;0,1,0))</f>
        <v/>
      </c>
      <c r="CV261">
        <f>IF(CV$4=0,0,IF(COUNTIFS(実績!$W$6:$W$505,CV$3,実績!$AC$6:$AC$505,"&lt;="&amp;$A261,実績!$AD$6:$AD$505,"&gt;"&amp;$A261,実績!$AE$6:$AE$505,"○")&gt;0,1,0))</f>
        <v/>
      </c>
      <c r="CW261">
        <f>IF(CW$4=0,0,IF(COUNTIFS(実績!$W$6:$W$505,CW$3,実績!$AC$6:$AC$505,"&lt;="&amp;$A261,実績!$AD$6:$AD$505,"&gt;"&amp;$A261,実績!$AE$6:$AE$505,"○")&gt;0,1,0))</f>
        <v/>
      </c>
      <c r="CX261">
        <f>IF(CX$4=0,0,IF(COUNTIFS(実績!$W$6:$W$505,CX$3,実績!$AC$6:$AC$505,"&lt;="&amp;$A261,実績!$AD$6:$AD$505,"&gt;"&amp;$A261,実績!$AE$6:$AE$505,"○")&gt;0,1,0))</f>
        <v/>
      </c>
      <c r="CY261">
        <f>IF(CY$4=0,0,IF(COUNTIFS(実績!$W$6:$W$505,CY$3,実績!$AC$6:$AC$505,"&lt;="&amp;$A261,実績!$AD$6:$AD$505,"&gt;"&amp;$A261,実績!$AE$6:$AE$505,"○")&gt;0,1,0))</f>
        <v/>
      </c>
      <c r="CZ261">
        <f>IF(CZ$4=0,0,IF(COUNTIFS(実績!$W$6:$W$505,CZ$3,実績!$AC$6:$AC$505,"&lt;="&amp;$A261,実績!$AD$6:$AD$505,"&gt;"&amp;$A261,実績!$AE$6:$AE$505,"○")&gt;0,1,0))</f>
        <v/>
      </c>
      <c r="DA261">
        <f>IF(DA$4=0,0,IF(COUNTIFS(実績!$W$6:$W$505,DA$3,実績!$AC$6:$AC$505,"&lt;="&amp;$A261,実績!$AD$6:$AD$505,"&gt;"&amp;$A261,実績!$AE$6:$AE$505,"○")&gt;0,1,0))</f>
        <v/>
      </c>
      <c r="DB261">
        <f>IF(DB$4=0,0,IF(COUNTIFS(実績!$W$6:$W$505,DB$3,実績!$AC$6:$AC$505,"&lt;="&amp;$A261,実績!$AD$6:$AD$505,"&gt;"&amp;$A261,実績!$AE$6:$AE$505,"○")&gt;0,1,0))</f>
        <v/>
      </c>
      <c r="DC261">
        <f>IF(DC$4=0,0,IF(COUNTIFS(実績!$W$6:$W$505,DC$3,実績!$AC$6:$AC$505,"&lt;="&amp;$A261,実績!$AD$6:$AD$505,"&gt;"&amp;$A261,実績!$AE$6:$AE$505,"○")&gt;0,1,0))</f>
        <v/>
      </c>
      <c r="DD261">
        <f>IF(DD$4=0,0,IF(COUNTIFS(実績!$W$6:$W$505,DD$3,実績!$AC$6:$AC$505,"&lt;="&amp;$A261,実績!$AD$6:$AD$505,"&gt;"&amp;$A261,実績!$AE$6:$AE$505,"○")&gt;0,1,0))</f>
        <v/>
      </c>
      <c r="DE261">
        <f>IF(DE$4=0,0,IF(COUNTIFS(実績!$W$6:$W$505,DE$3,実績!$AC$6:$AC$505,"&lt;="&amp;$A261,実績!$AD$6:$AD$505,"&gt;"&amp;$A261,実績!$AE$6:$AE$505,"○")&gt;0,1,0))</f>
        <v/>
      </c>
      <c r="DF261">
        <f>IF(DF$4=0,0,IF(COUNTIFS(実績!$W$6:$W$505,DF$3,実績!$AC$6:$AC$505,"&lt;="&amp;$A261,実績!$AD$6:$AD$505,"&gt;"&amp;$A261,実績!$AE$6:$AE$505,"○")&gt;0,1,0))</f>
        <v/>
      </c>
      <c r="DG261">
        <f>IF(DG$4=0,0,IF(COUNTIFS(実績!$W$6:$W$505,DG$3,実績!$AC$6:$AC$505,"&lt;="&amp;$A261,実績!$AD$6:$AD$505,"&gt;"&amp;$A261,実績!$AE$6:$AE$505,"○")&gt;0,1,0))</f>
        <v/>
      </c>
      <c r="DH261">
        <f>IF(DH$4=0,0,IF(COUNTIFS(実績!$W$6:$W$505,DH$3,実績!$AC$6:$AC$505,"&lt;="&amp;$A261,実績!$AD$6:$AD$505,"&gt;"&amp;$A261,実績!$AE$6:$AE$505,"○")&gt;0,1,0))</f>
        <v/>
      </c>
      <c r="DI261">
        <f>IF(DI$4=0,0,IF(COUNTIFS(実績!$W$6:$W$505,DI$3,実績!$AC$6:$AC$505,"&lt;="&amp;$A261,実績!$AD$6:$AD$505,"&gt;"&amp;$A261,実績!$AE$6:$AE$505,"○")&gt;0,1,0))</f>
        <v/>
      </c>
      <c r="DJ261">
        <f>IF(DJ$4=0,0,IF(COUNTIFS(実績!$W$6:$W$505,DJ$3,実績!$AC$6:$AC$505,"&lt;="&amp;$A261,実績!$AD$6:$AD$505,"&gt;"&amp;$A261,実績!$AE$6:$AE$505,"○")&gt;0,1,0))</f>
        <v/>
      </c>
      <c r="DK261">
        <f>IF(DK$4=0,0,IF(COUNTIFS(実績!$W$6:$W$505,DK$3,実績!$AC$6:$AC$505,"&lt;="&amp;$A261,実績!$AD$6:$AD$505,"&gt;"&amp;$A261,実績!$AE$6:$AE$505,"○")&gt;0,1,0))</f>
        <v/>
      </c>
      <c r="DL261">
        <f>IF(DL$4=0,0,IF(COUNTIFS(実績!$W$6:$W$505,DL$3,実績!$AC$6:$AC$505,"&lt;="&amp;$A261,実績!$AD$6:$AD$505,"&gt;"&amp;$A261,実績!$AE$6:$AE$505,"○")&gt;0,1,0))</f>
        <v/>
      </c>
      <c r="DM261">
        <f>IF(DM$4=0,0,IF(COUNTIFS(実績!$W$6:$W$505,DM$3,実績!$AC$6:$AC$505,"&lt;="&amp;$A261,実績!$AD$6:$AD$505,"&gt;"&amp;$A261,実績!$AE$6:$AE$505,"○")&gt;0,1,0))</f>
        <v/>
      </c>
      <c r="DN261">
        <f>IF(DN$4=0,0,IF(COUNTIFS(実績!$W$6:$W$505,DN$3,実績!$AC$6:$AC$505,"&lt;="&amp;$A261,実績!$AD$6:$AD$505,"&gt;"&amp;$A261,実績!$AE$6:$AE$505,"○")&gt;0,1,0))</f>
        <v/>
      </c>
      <c r="DO261">
        <f>IF(DO$4=0,0,IF(COUNTIFS(実績!$W$6:$W$505,DO$3,実績!$AC$6:$AC$505,"&lt;="&amp;$A261,実績!$AD$6:$AD$505,"&gt;"&amp;$A261,実績!$AE$6:$AE$505,"○")&gt;0,1,0))</f>
        <v/>
      </c>
      <c r="DP261">
        <f>IF(DP$4=0,0,IF(COUNTIFS(実績!$W$6:$W$505,DP$3,実績!$AC$6:$AC$505,"&lt;="&amp;$A261,実績!$AD$6:$AD$505,"&gt;"&amp;$A261,実績!$AE$6:$AE$505,"○")&gt;0,1,0))</f>
        <v/>
      </c>
      <c r="DQ261">
        <f>IF(DQ$4=0,0,IF(COUNTIFS(実績!$W$6:$W$505,DQ$3,実績!$AC$6:$AC$505,"&lt;="&amp;$A261,実績!$AD$6:$AD$505,"&gt;"&amp;$A261,実績!$AE$6:$AE$505,"○")&gt;0,1,0))</f>
        <v/>
      </c>
      <c r="DR261">
        <f>IF(DR$4=0,0,IF(COUNTIFS(実績!$W$6:$W$505,DR$3,実績!$AC$6:$AC$505,"&lt;="&amp;$A261,実績!$AD$6:$AD$505,"&gt;"&amp;$A261,実績!$AE$6:$AE$505,"○")&gt;0,1,0))</f>
        <v/>
      </c>
      <c r="DS261">
        <f>SUM(C261:DR261)</f>
        <v/>
      </c>
      <c r="DT261">
        <f>SUMPRODUCT((実績!$C$6:$C$505="○")*ISNUMBER(実績!$AF$6:$AF$505)*(実績!$AF$6:$AF$505&lt;=$A261)*(実績!$AG$6:$AG$505&gt;$A261))</f>
        <v/>
      </c>
      <c r="DU261">
        <f>SUMIF($C$2:$DR$2,"製鉄曳船",C261:DR261)</f>
        <v/>
      </c>
      <c r="DV261">
        <f>SUMIF($C$2:$DR$2,"西日本海運",C261:DR261)</f>
        <v/>
      </c>
    </row>
    <row r="262">
      <c r="A262" t="n">
        <v>1280</v>
      </c>
      <c r="B262" s="29">
        <f>A262/1440</f>
        <v/>
      </c>
      <c r="C262">
        <f>IF(C$4=0,0,IF(COUNTIFS(実績!$W$6:$W$505,C$3,実績!$AC$6:$AC$505,"&lt;="&amp;$A262,実績!$AD$6:$AD$505,"&gt;"&amp;$A262,実績!$AE$6:$AE$505,"○")&gt;0,1,0))</f>
        <v/>
      </c>
      <c r="D262">
        <f>IF(D$4=0,0,IF(COUNTIFS(実績!$W$6:$W$505,D$3,実績!$AC$6:$AC$505,"&lt;="&amp;$A262,実績!$AD$6:$AD$505,"&gt;"&amp;$A262,実績!$AE$6:$AE$505,"○")&gt;0,1,0))</f>
        <v/>
      </c>
      <c r="E262">
        <f>IF(E$4=0,0,IF(COUNTIFS(実績!$W$6:$W$505,E$3,実績!$AC$6:$AC$505,"&lt;="&amp;$A262,実績!$AD$6:$AD$505,"&gt;"&amp;$A262,実績!$AE$6:$AE$505,"○")&gt;0,1,0))</f>
        <v/>
      </c>
      <c r="F262">
        <f>IF(F$4=0,0,IF(COUNTIFS(実績!$W$6:$W$505,F$3,実績!$AC$6:$AC$505,"&lt;="&amp;$A262,実績!$AD$6:$AD$505,"&gt;"&amp;$A262,実績!$AE$6:$AE$505,"○")&gt;0,1,0))</f>
        <v/>
      </c>
      <c r="G262">
        <f>IF(G$4=0,0,IF(COUNTIFS(実績!$W$6:$W$505,G$3,実績!$AC$6:$AC$505,"&lt;="&amp;$A262,実績!$AD$6:$AD$505,"&gt;"&amp;$A262,実績!$AE$6:$AE$505,"○")&gt;0,1,0))</f>
        <v/>
      </c>
      <c r="H262">
        <f>IF(H$4=0,0,IF(COUNTIFS(実績!$W$6:$W$505,H$3,実績!$AC$6:$AC$505,"&lt;="&amp;$A262,実績!$AD$6:$AD$505,"&gt;"&amp;$A262,実績!$AE$6:$AE$505,"○")&gt;0,1,0))</f>
        <v/>
      </c>
      <c r="I262">
        <f>IF(I$4=0,0,IF(COUNTIFS(実績!$W$6:$W$505,I$3,実績!$AC$6:$AC$505,"&lt;="&amp;$A262,実績!$AD$6:$AD$505,"&gt;"&amp;$A262,実績!$AE$6:$AE$505,"○")&gt;0,1,0))</f>
        <v/>
      </c>
      <c r="J262">
        <f>IF(J$4=0,0,IF(COUNTIFS(実績!$W$6:$W$505,J$3,実績!$AC$6:$AC$505,"&lt;="&amp;$A262,実績!$AD$6:$AD$505,"&gt;"&amp;$A262,実績!$AE$6:$AE$505,"○")&gt;0,1,0))</f>
        <v/>
      </c>
      <c r="K262">
        <f>IF(K$4=0,0,IF(COUNTIFS(実績!$W$6:$W$505,K$3,実績!$AC$6:$AC$505,"&lt;="&amp;$A262,実績!$AD$6:$AD$505,"&gt;"&amp;$A262,実績!$AE$6:$AE$505,"○")&gt;0,1,0))</f>
        <v/>
      </c>
      <c r="L262">
        <f>IF(L$4=0,0,IF(COUNTIFS(実績!$W$6:$W$505,L$3,実績!$AC$6:$AC$505,"&lt;="&amp;$A262,実績!$AD$6:$AD$505,"&gt;"&amp;$A262,実績!$AE$6:$AE$505,"○")&gt;0,1,0))</f>
        <v/>
      </c>
      <c r="M262">
        <f>IF(M$4=0,0,IF(COUNTIFS(実績!$W$6:$W$505,M$3,実績!$AC$6:$AC$505,"&lt;="&amp;$A262,実績!$AD$6:$AD$505,"&gt;"&amp;$A262,実績!$AE$6:$AE$505,"○")&gt;0,1,0))</f>
        <v/>
      </c>
      <c r="N262">
        <f>IF(N$4=0,0,IF(COUNTIFS(実績!$W$6:$W$505,N$3,実績!$AC$6:$AC$505,"&lt;="&amp;$A262,実績!$AD$6:$AD$505,"&gt;"&amp;$A262,実績!$AE$6:$AE$505,"○")&gt;0,1,0))</f>
        <v/>
      </c>
      <c r="O262">
        <f>IF(O$4=0,0,IF(COUNTIFS(実績!$W$6:$W$505,O$3,実績!$AC$6:$AC$505,"&lt;="&amp;$A262,実績!$AD$6:$AD$505,"&gt;"&amp;$A262,実績!$AE$6:$AE$505,"○")&gt;0,1,0))</f>
        <v/>
      </c>
      <c r="P262">
        <f>IF(P$4=0,0,IF(COUNTIFS(実績!$W$6:$W$505,P$3,実績!$AC$6:$AC$505,"&lt;="&amp;$A262,実績!$AD$6:$AD$505,"&gt;"&amp;$A262,実績!$AE$6:$AE$505,"○")&gt;0,1,0))</f>
        <v/>
      </c>
      <c r="Q262">
        <f>IF(Q$4=0,0,IF(COUNTIFS(実績!$W$6:$W$505,Q$3,実績!$AC$6:$AC$505,"&lt;="&amp;$A262,実績!$AD$6:$AD$505,"&gt;"&amp;$A262,実績!$AE$6:$AE$505,"○")&gt;0,1,0))</f>
        <v/>
      </c>
      <c r="R262">
        <f>IF(R$4=0,0,IF(COUNTIFS(実績!$W$6:$W$505,R$3,実績!$AC$6:$AC$505,"&lt;="&amp;$A262,実績!$AD$6:$AD$505,"&gt;"&amp;$A262,実績!$AE$6:$AE$505,"○")&gt;0,1,0))</f>
        <v/>
      </c>
      <c r="S262">
        <f>IF(S$4=0,0,IF(COUNTIFS(実績!$W$6:$W$505,S$3,実績!$AC$6:$AC$505,"&lt;="&amp;$A262,実績!$AD$6:$AD$505,"&gt;"&amp;$A262,実績!$AE$6:$AE$505,"○")&gt;0,1,0))</f>
        <v/>
      </c>
      <c r="T262">
        <f>IF(T$4=0,0,IF(COUNTIFS(実績!$W$6:$W$505,T$3,実績!$AC$6:$AC$505,"&lt;="&amp;$A262,実績!$AD$6:$AD$505,"&gt;"&amp;$A262,実績!$AE$6:$AE$505,"○")&gt;0,1,0))</f>
        <v/>
      </c>
      <c r="U262">
        <f>IF(U$4=0,0,IF(COUNTIFS(実績!$W$6:$W$505,U$3,実績!$AC$6:$AC$505,"&lt;="&amp;$A262,実績!$AD$6:$AD$505,"&gt;"&amp;$A262,実績!$AE$6:$AE$505,"○")&gt;0,1,0))</f>
        <v/>
      </c>
      <c r="V262">
        <f>IF(V$4=0,0,IF(COUNTIFS(実績!$W$6:$W$505,V$3,実績!$AC$6:$AC$505,"&lt;="&amp;$A262,実績!$AD$6:$AD$505,"&gt;"&amp;$A262,実績!$AE$6:$AE$505,"○")&gt;0,1,0))</f>
        <v/>
      </c>
      <c r="W262">
        <f>IF(W$4=0,0,IF(COUNTIFS(実績!$W$6:$W$505,W$3,実績!$AC$6:$AC$505,"&lt;="&amp;$A262,実績!$AD$6:$AD$505,"&gt;"&amp;$A262,実績!$AE$6:$AE$505,"○")&gt;0,1,0))</f>
        <v/>
      </c>
      <c r="X262">
        <f>IF(X$4=0,0,IF(COUNTIFS(実績!$W$6:$W$505,X$3,実績!$AC$6:$AC$505,"&lt;="&amp;$A262,実績!$AD$6:$AD$505,"&gt;"&amp;$A262,実績!$AE$6:$AE$505,"○")&gt;0,1,0))</f>
        <v/>
      </c>
      <c r="Y262">
        <f>IF(Y$4=0,0,IF(COUNTIFS(実績!$W$6:$W$505,Y$3,実績!$AC$6:$AC$505,"&lt;="&amp;$A262,実績!$AD$6:$AD$505,"&gt;"&amp;$A262,実績!$AE$6:$AE$505,"○")&gt;0,1,0))</f>
        <v/>
      </c>
      <c r="Z262">
        <f>IF(Z$4=0,0,IF(COUNTIFS(実績!$W$6:$W$505,Z$3,実績!$AC$6:$AC$505,"&lt;="&amp;$A262,実績!$AD$6:$AD$505,"&gt;"&amp;$A262,実績!$AE$6:$AE$505,"○")&gt;0,1,0))</f>
        <v/>
      </c>
      <c r="AA262">
        <f>IF(AA$4=0,0,IF(COUNTIFS(実績!$W$6:$W$505,AA$3,実績!$AC$6:$AC$505,"&lt;="&amp;$A262,実績!$AD$6:$AD$505,"&gt;"&amp;$A262,実績!$AE$6:$AE$505,"○")&gt;0,1,0))</f>
        <v/>
      </c>
      <c r="AB262">
        <f>IF(AB$4=0,0,IF(COUNTIFS(実績!$W$6:$W$505,AB$3,実績!$AC$6:$AC$505,"&lt;="&amp;$A262,実績!$AD$6:$AD$505,"&gt;"&amp;$A262,実績!$AE$6:$AE$505,"○")&gt;0,1,0))</f>
        <v/>
      </c>
      <c r="AC262">
        <f>IF(AC$4=0,0,IF(COUNTIFS(実績!$W$6:$W$505,AC$3,実績!$AC$6:$AC$505,"&lt;="&amp;$A262,実績!$AD$6:$AD$505,"&gt;"&amp;$A262,実績!$AE$6:$AE$505,"○")&gt;0,1,0))</f>
        <v/>
      </c>
      <c r="AD262">
        <f>IF(AD$4=0,0,IF(COUNTIFS(実績!$W$6:$W$505,AD$3,実績!$AC$6:$AC$505,"&lt;="&amp;$A262,実績!$AD$6:$AD$505,"&gt;"&amp;$A262,実績!$AE$6:$AE$505,"○")&gt;0,1,0))</f>
        <v/>
      </c>
      <c r="AE262">
        <f>IF(AE$4=0,0,IF(COUNTIFS(実績!$W$6:$W$505,AE$3,実績!$AC$6:$AC$505,"&lt;="&amp;$A262,実績!$AD$6:$AD$505,"&gt;"&amp;$A262,実績!$AE$6:$AE$505,"○")&gt;0,1,0))</f>
        <v/>
      </c>
      <c r="AF262">
        <f>IF(AF$4=0,0,IF(COUNTIFS(実績!$W$6:$W$505,AF$3,実績!$AC$6:$AC$505,"&lt;="&amp;$A262,実績!$AD$6:$AD$505,"&gt;"&amp;$A262,実績!$AE$6:$AE$505,"○")&gt;0,1,0))</f>
        <v/>
      </c>
      <c r="AG262">
        <f>IF(AG$4=0,0,IF(COUNTIFS(実績!$W$6:$W$505,AG$3,実績!$AC$6:$AC$505,"&lt;="&amp;$A262,実績!$AD$6:$AD$505,"&gt;"&amp;$A262,実績!$AE$6:$AE$505,"○")&gt;0,1,0))</f>
        <v/>
      </c>
      <c r="AH262">
        <f>IF(AH$4=0,0,IF(COUNTIFS(実績!$W$6:$W$505,AH$3,実績!$AC$6:$AC$505,"&lt;="&amp;$A262,実績!$AD$6:$AD$505,"&gt;"&amp;$A262,実績!$AE$6:$AE$505,"○")&gt;0,1,0))</f>
        <v/>
      </c>
      <c r="AI262">
        <f>IF(AI$4=0,0,IF(COUNTIFS(実績!$W$6:$W$505,AI$3,実績!$AC$6:$AC$505,"&lt;="&amp;$A262,実績!$AD$6:$AD$505,"&gt;"&amp;$A262,実績!$AE$6:$AE$505,"○")&gt;0,1,0))</f>
        <v/>
      </c>
      <c r="AJ262">
        <f>IF(AJ$4=0,0,IF(COUNTIFS(実績!$W$6:$W$505,AJ$3,実績!$AC$6:$AC$505,"&lt;="&amp;$A262,実績!$AD$6:$AD$505,"&gt;"&amp;$A262,実績!$AE$6:$AE$505,"○")&gt;0,1,0))</f>
        <v/>
      </c>
      <c r="AK262">
        <f>IF(AK$4=0,0,IF(COUNTIFS(実績!$W$6:$W$505,AK$3,実績!$AC$6:$AC$505,"&lt;="&amp;$A262,実績!$AD$6:$AD$505,"&gt;"&amp;$A262,実績!$AE$6:$AE$505,"○")&gt;0,1,0))</f>
        <v/>
      </c>
      <c r="AL262">
        <f>IF(AL$4=0,0,IF(COUNTIFS(実績!$W$6:$W$505,AL$3,実績!$AC$6:$AC$505,"&lt;="&amp;$A262,実績!$AD$6:$AD$505,"&gt;"&amp;$A262,実績!$AE$6:$AE$505,"○")&gt;0,1,0))</f>
        <v/>
      </c>
      <c r="AM262">
        <f>IF(AM$4=0,0,IF(COUNTIFS(実績!$W$6:$W$505,AM$3,実績!$AC$6:$AC$505,"&lt;="&amp;$A262,実績!$AD$6:$AD$505,"&gt;"&amp;$A262,実績!$AE$6:$AE$505,"○")&gt;0,1,0))</f>
        <v/>
      </c>
      <c r="AN262">
        <f>IF(AN$4=0,0,IF(COUNTIFS(実績!$W$6:$W$505,AN$3,実績!$AC$6:$AC$505,"&lt;="&amp;$A262,実績!$AD$6:$AD$505,"&gt;"&amp;$A262,実績!$AE$6:$AE$505,"○")&gt;0,1,0))</f>
        <v/>
      </c>
      <c r="AO262">
        <f>IF(AO$4=0,0,IF(COUNTIFS(実績!$W$6:$W$505,AO$3,実績!$AC$6:$AC$505,"&lt;="&amp;$A262,実績!$AD$6:$AD$505,"&gt;"&amp;$A262,実績!$AE$6:$AE$505,"○")&gt;0,1,0))</f>
        <v/>
      </c>
      <c r="AP262">
        <f>IF(AP$4=0,0,IF(COUNTIFS(実績!$W$6:$W$505,AP$3,実績!$AC$6:$AC$505,"&lt;="&amp;$A262,実績!$AD$6:$AD$505,"&gt;"&amp;$A262,実績!$AE$6:$AE$505,"○")&gt;0,1,0))</f>
        <v/>
      </c>
      <c r="AQ262">
        <f>IF(AQ$4=0,0,IF(COUNTIFS(実績!$W$6:$W$505,AQ$3,実績!$AC$6:$AC$505,"&lt;="&amp;$A262,実績!$AD$6:$AD$505,"&gt;"&amp;$A262,実績!$AE$6:$AE$505,"○")&gt;0,1,0))</f>
        <v/>
      </c>
      <c r="AR262">
        <f>IF(AR$4=0,0,IF(COUNTIFS(実績!$W$6:$W$505,AR$3,実績!$AC$6:$AC$505,"&lt;="&amp;$A262,実績!$AD$6:$AD$505,"&gt;"&amp;$A262,実績!$AE$6:$AE$505,"○")&gt;0,1,0))</f>
        <v/>
      </c>
      <c r="AS262">
        <f>IF(AS$4=0,0,IF(COUNTIFS(実績!$W$6:$W$505,AS$3,実績!$AC$6:$AC$505,"&lt;="&amp;$A262,実績!$AD$6:$AD$505,"&gt;"&amp;$A262,実績!$AE$6:$AE$505,"○")&gt;0,1,0))</f>
        <v/>
      </c>
      <c r="AT262">
        <f>IF(AT$4=0,0,IF(COUNTIFS(実績!$W$6:$W$505,AT$3,実績!$AC$6:$AC$505,"&lt;="&amp;$A262,実績!$AD$6:$AD$505,"&gt;"&amp;$A262,実績!$AE$6:$AE$505,"○")&gt;0,1,0))</f>
        <v/>
      </c>
      <c r="AU262">
        <f>IF(AU$4=0,0,IF(COUNTIFS(実績!$W$6:$W$505,AU$3,実績!$AC$6:$AC$505,"&lt;="&amp;$A262,実績!$AD$6:$AD$505,"&gt;"&amp;$A262,実績!$AE$6:$AE$505,"○")&gt;0,1,0))</f>
        <v/>
      </c>
      <c r="AV262">
        <f>IF(AV$4=0,0,IF(COUNTIFS(実績!$W$6:$W$505,AV$3,実績!$AC$6:$AC$505,"&lt;="&amp;$A262,実績!$AD$6:$AD$505,"&gt;"&amp;$A262,実績!$AE$6:$AE$505,"○")&gt;0,1,0))</f>
        <v/>
      </c>
      <c r="AW262">
        <f>IF(AW$4=0,0,IF(COUNTIFS(実績!$W$6:$W$505,AW$3,実績!$AC$6:$AC$505,"&lt;="&amp;$A262,実績!$AD$6:$AD$505,"&gt;"&amp;$A262,実績!$AE$6:$AE$505,"○")&gt;0,1,0))</f>
        <v/>
      </c>
      <c r="AX262">
        <f>IF(AX$4=0,0,IF(COUNTIFS(実績!$W$6:$W$505,AX$3,実績!$AC$6:$AC$505,"&lt;="&amp;$A262,実績!$AD$6:$AD$505,"&gt;"&amp;$A262,実績!$AE$6:$AE$505,"○")&gt;0,1,0))</f>
        <v/>
      </c>
      <c r="AY262">
        <f>IF(AY$4=0,0,IF(COUNTIFS(実績!$W$6:$W$505,AY$3,実績!$AC$6:$AC$505,"&lt;="&amp;$A262,実績!$AD$6:$AD$505,"&gt;"&amp;$A262,実績!$AE$6:$AE$505,"○")&gt;0,1,0))</f>
        <v/>
      </c>
      <c r="AZ262">
        <f>IF(AZ$4=0,0,IF(COUNTIFS(実績!$W$6:$W$505,AZ$3,実績!$AC$6:$AC$505,"&lt;="&amp;$A262,実績!$AD$6:$AD$505,"&gt;"&amp;$A262,実績!$AE$6:$AE$505,"○")&gt;0,1,0))</f>
        <v/>
      </c>
      <c r="BA262">
        <f>IF(BA$4=0,0,IF(COUNTIFS(実績!$W$6:$W$505,BA$3,実績!$AC$6:$AC$505,"&lt;="&amp;$A262,実績!$AD$6:$AD$505,"&gt;"&amp;$A262,実績!$AE$6:$AE$505,"○")&gt;0,1,0))</f>
        <v/>
      </c>
      <c r="BB262">
        <f>IF(BB$4=0,0,IF(COUNTIFS(実績!$W$6:$W$505,BB$3,実績!$AC$6:$AC$505,"&lt;="&amp;$A262,実績!$AD$6:$AD$505,"&gt;"&amp;$A262,実績!$AE$6:$AE$505,"○")&gt;0,1,0))</f>
        <v/>
      </c>
      <c r="BC262">
        <f>IF(BC$4=0,0,IF(COUNTIFS(実績!$W$6:$W$505,BC$3,実績!$AC$6:$AC$505,"&lt;="&amp;$A262,実績!$AD$6:$AD$505,"&gt;"&amp;$A262,実績!$AE$6:$AE$505,"○")&gt;0,1,0))</f>
        <v/>
      </c>
      <c r="BD262">
        <f>IF(BD$4=0,0,IF(COUNTIFS(実績!$W$6:$W$505,BD$3,実績!$AC$6:$AC$505,"&lt;="&amp;$A262,実績!$AD$6:$AD$505,"&gt;"&amp;$A262,実績!$AE$6:$AE$505,"○")&gt;0,1,0))</f>
        <v/>
      </c>
      <c r="BE262">
        <f>IF(BE$4=0,0,IF(COUNTIFS(実績!$W$6:$W$505,BE$3,実績!$AC$6:$AC$505,"&lt;="&amp;$A262,実績!$AD$6:$AD$505,"&gt;"&amp;$A262,実績!$AE$6:$AE$505,"○")&gt;0,1,0))</f>
        <v/>
      </c>
      <c r="BF262">
        <f>IF(BF$4=0,0,IF(COUNTIFS(実績!$W$6:$W$505,BF$3,実績!$AC$6:$AC$505,"&lt;="&amp;$A262,実績!$AD$6:$AD$505,"&gt;"&amp;$A262,実績!$AE$6:$AE$505,"○")&gt;0,1,0))</f>
        <v/>
      </c>
      <c r="BG262">
        <f>IF(BG$4=0,0,IF(COUNTIFS(実績!$W$6:$W$505,BG$3,実績!$AC$6:$AC$505,"&lt;="&amp;$A262,実績!$AD$6:$AD$505,"&gt;"&amp;$A262,実績!$AE$6:$AE$505,"○")&gt;0,1,0))</f>
        <v/>
      </c>
      <c r="BH262">
        <f>IF(BH$4=0,0,IF(COUNTIFS(実績!$W$6:$W$505,BH$3,実績!$AC$6:$AC$505,"&lt;="&amp;$A262,実績!$AD$6:$AD$505,"&gt;"&amp;$A262,実績!$AE$6:$AE$505,"○")&gt;0,1,0))</f>
        <v/>
      </c>
      <c r="BI262">
        <f>IF(BI$4=0,0,IF(COUNTIFS(実績!$W$6:$W$505,BI$3,実績!$AC$6:$AC$505,"&lt;="&amp;$A262,実績!$AD$6:$AD$505,"&gt;"&amp;$A262,実績!$AE$6:$AE$505,"○")&gt;0,1,0))</f>
        <v/>
      </c>
      <c r="BJ262">
        <f>IF(BJ$4=0,0,IF(COUNTIFS(実績!$W$6:$W$505,BJ$3,実績!$AC$6:$AC$505,"&lt;="&amp;$A262,実績!$AD$6:$AD$505,"&gt;"&amp;$A262,実績!$AE$6:$AE$505,"○")&gt;0,1,0))</f>
        <v/>
      </c>
      <c r="BK262">
        <f>IF(BK$4=0,0,IF(COUNTIFS(実績!$W$6:$W$505,BK$3,実績!$AC$6:$AC$505,"&lt;="&amp;$A262,実績!$AD$6:$AD$505,"&gt;"&amp;$A262,実績!$AE$6:$AE$505,"○")&gt;0,1,0))</f>
        <v/>
      </c>
      <c r="BL262">
        <f>IF(BL$4=0,0,IF(COUNTIFS(実績!$W$6:$W$505,BL$3,実績!$AC$6:$AC$505,"&lt;="&amp;$A262,実績!$AD$6:$AD$505,"&gt;"&amp;$A262,実績!$AE$6:$AE$505,"○")&gt;0,1,0))</f>
        <v/>
      </c>
      <c r="BM262">
        <f>IF(BM$4=0,0,IF(COUNTIFS(実績!$W$6:$W$505,BM$3,実績!$AC$6:$AC$505,"&lt;="&amp;$A262,実績!$AD$6:$AD$505,"&gt;"&amp;$A262,実績!$AE$6:$AE$505,"○")&gt;0,1,0))</f>
        <v/>
      </c>
      <c r="BN262">
        <f>IF(BN$4=0,0,IF(COUNTIFS(実績!$W$6:$W$505,BN$3,実績!$AC$6:$AC$505,"&lt;="&amp;$A262,実績!$AD$6:$AD$505,"&gt;"&amp;$A262,実績!$AE$6:$AE$505,"○")&gt;0,1,0))</f>
        <v/>
      </c>
      <c r="BO262">
        <f>IF(BO$4=0,0,IF(COUNTIFS(実績!$W$6:$W$505,BO$3,実績!$AC$6:$AC$505,"&lt;="&amp;$A262,実績!$AD$6:$AD$505,"&gt;"&amp;$A262,実績!$AE$6:$AE$505,"○")&gt;0,1,0))</f>
        <v/>
      </c>
      <c r="BP262">
        <f>IF(BP$4=0,0,IF(COUNTIFS(実績!$W$6:$W$505,BP$3,実績!$AC$6:$AC$505,"&lt;="&amp;$A262,実績!$AD$6:$AD$505,"&gt;"&amp;$A262,実績!$AE$6:$AE$505,"○")&gt;0,1,0))</f>
        <v/>
      </c>
      <c r="BQ262">
        <f>IF(BQ$4=0,0,IF(COUNTIFS(実績!$W$6:$W$505,BQ$3,実績!$AC$6:$AC$505,"&lt;="&amp;$A262,実績!$AD$6:$AD$505,"&gt;"&amp;$A262,実績!$AE$6:$AE$505,"○")&gt;0,1,0))</f>
        <v/>
      </c>
      <c r="BR262">
        <f>IF(BR$4=0,0,IF(COUNTIFS(実績!$W$6:$W$505,BR$3,実績!$AC$6:$AC$505,"&lt;="&amp;$A262,実績!$AD$6:$AD$505,"&gt;"&amp;$A262,実績!$AE$6:$AE$505,"○")&gt;0,1,0))</f>
        <v/>
      </c>
      <c r="BS262">
        <f>IF(BS$4=0,0,IF(COUNTIFS(実績!$W$6:$W$505,BS$3,実績!$AC$6:$AC$505,"&lt;="&amp;$A262,実績!$AD$6:$AD$505,"&gt;"&amp;$A262,実績!$AE$6:$AE$505,"○")&gt;0,1,0))</f>
        <v/>
      </c>
      <c r="BT262">
        <f>IF(BT$4=0,0,IF(COUNTIFS(実績!$W$6:$W$505,BT$3,実績!$AC$6:$AC$505,"&lt;="&amp;$A262,実績!$AD$6:$AD$505,"&gt;"&amp;$A262,実績!$AE$6:$AE$505,"○")&gt;0,1,0))</f>
        <v/>
      </c>
      <c r="BU262">
        <f>IF(BU$4=0,0,IF(COUNTIFS(実績!$W$6:$W$505,BU$3,実績!$AC$6:$AC$505,"&lt;="&amp;$A262,実績!$AD$6:$AD$505,"&gt;"&amp;$A262,実績!$AE$6:$AE$505,"○")&gt;0,1,0))</f>
        <v/>
      </c>
      <c r="BV262">
        <f>IF(BV$4=0,0,IF(COUNTIFS(実績!$W$6:$W$505,BV$3,実績!$AC$6:$AC$505,"&lt;="&amp;$A262,実績!$AD$6:$AD$505,"&gt;"&amp;$A262,実績!$AE$6:$AE$505,"○")&gt;0,1,0))</f>
        <v/>
      </c>
      <c r="BW262">
        <f>IF(BW$4=0,0,IF(COUNTIFS(実績!$W$6:$W$505,BW$3,実績!$AC$6:$AC$505,"&lt;="&amp;$A262,実績!$AD$6:$AD$505,"&gt;"&amp;$A262,実績!$AE$6:$AE$505,"○")&gt;0,1,0))</f>
        <v/>
      </c>
      <c r="BX262">
        <f>IF(BX$4=0,0,IF(COUNTIFS(実績!$W$6:$W$505,BX$3,実績!$AC$6:$AC$505,"&lt;="&amp;$A262,実績!$AD$6:$AD$505,"&gt;"&amp;$A262,実績!$AE$6:$AE$505,"○")&gt;0,1,0))</f>
        <v/>
      </c>
      <c r="BY262">
        <f>IF(BY$4=0,0,IF(COUNTIFS(実績!$W$6:$W$505,BY$3,実績!$AC$6:$AC$505,"&lt;="&amp;$A262,実績!$AD$6:$AD$505,"&gt;"&amp;$A262,実績!$AE$6:$AE$505,"○")&gt;0,1,0))</f>
        <v/>
      </c>
      <c r="BZ262">
        <f>IF(BZ$4=0,0,IF(COUNTIFS(実績!$W$6:$W$505,BZ$3,実績!$AC$6:$AC$505,"&lt;="&amp;$A262,実績!$AD$6:$AD$505,"&gt;"&amp;$A262,実績!$AE$6:$AE$505,"○")&gt;0,1,0))</f>
        <v/>
      </c>
      <c r="CA262">
        <f>IF(CA$4=0,0,IF(COUNTIFS(実績!$W$6:$W$505,CA$3,実績!$AC$6:$AC$505,"&lt;="&amp;$A262,実績!$AD$6:$AD$505,"&gt;"&amp;$A262,実績!$AE$6:$AE$505,"○")&gt;0,1,0))</f>
        <v/>
      </c>
      <c r="CB262">
        <f>IF(CB$4=0,0,IF(COUNTIFS(実績!$W$6:$W$505,CB$3,実績!$AC$6:$AC$505,"&lt;="&amp;$A262,実績!$AD$6:$AD$505,"&gt;"&amp;$A262,実績!$AE$6:$AE$505,"○")&gt;0,1,0))</f>
        <v/>
      </c>
      <c r="CC262">
        <f>IF(CC$4=0,0,IF(COUNTIFS(実績!$W$6:$W$505,CC$3,実績!$AC$6:$AC$505,"&lt;="&amp;$A262,実績!$AD$6:$AD$505,"&gt;"&amp;$A262,実績!$AE$6:$AE$505,"○")&gt;0,1,0))</f>
        <v/>
      </c>
      <c r="CD262">
        <f>IF(CD$4=0,0,IF(COUNTIFS(実績!$W$6:$W$505,CD$3,実績!$AC$6:$AC$505,"&lt;="&amp;$A262,実績!$AD$6:$AD$505,"&gt;"&amp;$A262,実績!$AE$6:$AE$505,"○")&gt;0,1,0))</f>
        <v/>
      </c>
      <c r="CE262">
        <f>IF(CE$4=0,0,IF(COUNTIFS(実績!$W$6:$W$505,CE$3,実績!$AC$6:$AC$505,"&lt;="&amp;$A262,実績!$AD$6:$AD$505,"&gt;"&amp;$A262,実績!$AE$6:$AE$505,"○")&gt;0,1,0))</f>
        <v/>
      </c>
      <c r="CF262">
        <f>IF(CF$4=0,0,IF(COUNTIFS(実績!$W$6:$W$505,CF$3,実績!$AC$6:$AC$505,"&lt;="&amp;$A262,実績!$AD$6:$AD$505,"&gt;"&amp;$A262,実績!$AE$6:$AE$505,"○")&gt;0,1,0))</f>
        <v/>
      </c>
      <c r="CG262">
        <f>IF(CG$4=0,0,IF(COUNTIFS(実績!$W$6:$W$505,CG$3,実績!$AC$6:$AC$505,"&lt;="&amp;$A262,実績!$AD$6:$AD$505,"&gt;"&amp;$A262,実績!$AE$6:$AE$505,"○")&gt;0,1,0))</f>
        <v/>
      </c>
      <c r="CH262">
        <f>IF(CH$4=0,0,IF(COUNTIFS(実績!$W$6:$W$505,CH$3,実績!$AC$6:$AC$505,"&lt;="&amp;$A262,実績!$AD$6:$AD$505,"&gt;"&amp;$A262,実績!$AE$6:$AE$505,"○")&gt;0,1,0))</f>
        <v/>
      </c>
      <c r="CI262">
        <f>IF(CI$4=0,0,IF(COUNTIFS(実績!$W$6:$W$505,CI$3,実績!$AC$6:$AC$505,"&lt;="&amp;$A262,実績!$AD$6:$AD$505,"&gt;"&amp;$A262,実績!$AE$6:$AE$505,"○")&gt;0,1,0))</f>
        <v/>
      </c>
      <c r="CJ262">
        <f>IF(CJ$4=0,0,IF(COUNTIFS(実績!$W$6:$W$505,CJ$3,実績!$AC$6:$AC$505,"&lt;="&amp;$A262,実績!$AD$6:$AD$505,"&gt;"&amp;$A262,実績!$AE$6:$AE$505,"○")&gt;0,1,0))</f>
        <v/>
      </c>
      <c r="CK262">
        <f>IF(CK$4=0,0,IF(COUNTIFS(実績!$W$6:$W$505,CK$3,実績!$AC$6:$AC$505,"&lt;="&amp;$A262,実績!$AD$6:$AD$505,"&gt;"&amp;$A262,実績!$AE$6:$AE$505,"○")&gt;0,1,0))</f>
        <v/>
      </c>
      <c r="CL262">
        <f>IF(CL$4=0,0,IF(COUNTIFS(実績!$W$6:$W$505,CL$3,実績!$AC$6:$AC$505,"&lt;="&amp;$A262,実績!$AD$6:$AD$505,"&gt;"&amp;$A262,実績!$AE$6:$AE$505,"○")&gt;0,1,0))</f>
        <v/>
      </c>
      <c r="CM262">
        <f>IF(CM$4=0,0,IF(COUNTIFS(実績!$W$6:$W$505,CM$3,実績!$AC$6:$AC$505,"&lt;="&amp;$A262,実績!$AD$6:$AD$505,"&gt;"&amp;$A262,実績!$AE$6:$AE$505,"○")&gt;0,1,0))</f>
        <v/>
      </c>
      <c r="CN262">
        <f>IF(CN$4=0,0,IF(COUNTIFS(実績!$W$6:$W$505,CN$3,実績!$AC$6:$AC$505,"&lt;="&amp;$A262,実績!$AD$6:$AD$505,"&gt;"&amp;$A262,実績!$AE$6:$AE$505,"○")&gt;0,1,0))</f>
        <v/>
      </c>
      <c r="CO262">
        <f>IF(CO$4=0,0,IF(COUNTIFS(実績!$W$6:$W$505,CO$3,実績!$AC$6:$AC$505,"&lt;="&amp;$A262,実績!$AD$6:$AD$505,"&gt;"&amp;$A262,実績!$AE$6:$AE$505,"○")&gt;0,1,0))</f>
        <v/>
      </c>
      <c r="CP262">
        <f>IF(CP$4=0,0,IF(COUNTIFS(実績!$W$6:$W$505,CP$3,実績!$AC$6:$AC$505,"&lt;="&amp;$A262,実績!$AD$6:$AD$505,"&gt;"&amp;$A262,実績!$AE$6:$AE$505,"○")&gt;0,1,0))</f>
        <v/>
      </c>
      <c r="CQ262">
        <f>IF(CQ$4=0,0,IF(COUNTIFS(実績!$W$6:$W$505,CQ$3,実績!$AC$6:$AC$505,"&lt;="&amp;$A262,実績!$AD$6:$AD$505,"&gt;"&amp;$A262,実績!$AE$6:$AE$505,"○")&gt;0,1,0))</f>
        <v/>
      </c>
      <c r="CR262">
        <f>IF(CR$4=0,0,IF(COUNTIFS(実績!$W$6:$W$505,CR$3,実績!$AC$6:$AC$505,"&lt;="&amp;$A262,実績!$AD$6:$AD$505,"&gt;"&amp;$A262,実績!$AE$6:$AE$505,"○")&gt;0,1,0))</f>
        <v/>
      </c>
      <c r="CS262">
        <f>IF(CS$4=0,0,IF(COUNTIFS(実績!$W$6:$W$505,CS$3,実績!$AC$6:$AC$505,"&lt;="&amp;$A262,実績!$AD$6:$AD$505,"&gt;"&amp;$A262,実績!$AE$6:$AE$505,"○")&gt;0,1,0))</f>
        <v/>
      </c>
      <c r="CT262">
        <f>IF(CT$4=0,0,IF(COUNTIFS(実績!$W$6:$W$505,CT$3,実績!$AC$6:$AC$505,"&lt;="&amp;$A262,実績!$AD$6:$AD$505,"&gt;"&amp;$A262,実績!$AE$6:$AE$505,"○")&gt;0,1,0))</f>
        <v/>
      </c>
      <c r="CU262">
        <f>IF(CU$4=0,0,IF(COUNTIFS(実績!$W$6:$W$505,CU$3,実績!$AC$6:$AC$505,"&lt;="&amp;$A262,実績!$AD$6:$AD$505,"&gt;"&amp;$A262,実績!$AE$6:$AE$505,"○")&gt;0,1,0))</f>
        <v/>
      </c>
      <c r="CV262">
        <f>IF(CV$4=0,0,IF(COUNTIFS(実績!$W$6:$W$505,CV$3,実績!$AC$6:$AC$505,"&lt;="&amp;$A262,実績!$AD$6:$AD$505,"&gt;"&amp;$A262,実績!$AE$6:$AE$505,"○")&gt;0,1,0))</f>
        <v/>
      </c>
      <c r="CW262">
        <f>IF(CW$4=0,0,IF(COUNTIFS(実績!$W$6:$W$505,CW$3,実績!$AC$6:$AC$505,"&lt;="&amp;$A262,実績!$AD$6:$AD$505,"&gt;"&amp;$A262,実績!$AE$6:$AE$505,"○")&gt;0,1,0))</f>
        <v/>
      </c>
      <c r="CX262">
        <f>IF(CX$4=0,0,IF(COUNTIFS(実績!$W$6:$W$505,CX$3,実績!$AC$6:$AC$505,"&lt;="&amp;$A262,実績!$AD$6:$AD$505,"&gt;"&amp;$A262,実績!$AE$6:$AE$505,"○")&gt;0,1,0))</f>
        <v/>
      </c>
      <c r="CY262">
        <f>IF(CY$4=0,0,IF(COUNTIFS(実績!$W$6:$W$505,CY$3,実績!$AC$6:$AC$505,"&lt;="&amp;$A262,実績!$AD$6:$AD$505,"&gt;"&amp;$A262,実績!$AE$6:$AE$505,"○")&gt;0,1,0))</f>
        <v/>
      </c>
      <c r="CZ262">
        <f>IF(CZ$4=0,0,IF(COUNTIFS(実績!$W$6:$W$505,CZ$3,実績!$AC$6:$AC$505,"&lt;="&amp;$A262,実績!$AD$6:$AD$505,"&gt;"&amp;$A262,実績!$AE$6:$AE$505,"○")&gt;0,1,0))</f>
        <v/>
      </c>
      <c r="DA262">
        <f>IF(DA$4=0,0,IF(COUNTIFS(実績!$W$6:$W$505,DA$3,実績!$AC$6:$AC$505,"&lt;="&amp;$A262,実績!$AD$6:$AD$505,"&gt;"&amp;$A262,実績!$AE$6:$AE$505,"○")&gt;0,1,0))</f>
        <v/>
      </c>
      <c r="DB262">
        <f>IF(DB$4=0,0,IF(COUNTIFS(実績!$W$6:$W$505,DB$3,実績!$AC$6:$AC$505,"&lt;="&amp;$A262,実績!$AD$6:$AD$505,"&gt;"&amp;$A262,実績!$AE$6:$AE$505,"○")&gt;0,1,0))</f>
        <v/>
      </c>
      <c r="DC262">
        <f>IF(DC$4=0,0,IF(COUNTIFS(実績!$W$6:$W$505,DC$3,実績!$AC$6:$AC$505,"&lt;="&amp;$A262,実績!$AD$6:$AD$505,"&gt;"&amp;$A262,実績!$AE$6:$AE$505,"○")&gt;0,1,0))</f>
        <v/>
      </c>
      <c r="DD262">
        <f>IF(DD$4=0,0,IF(COUNTIFS(実績!$W$6:$W$505,DD$3,実績!$AC$6:$AC$505,"&lt;="&amp;$A262,実績!$AD$6:$AD$505,"&gt;"&amp;$A262,実績!$AE$6:$AE$505,"○")&gt;0,1,0))</f>
        <v/>
      </c>
      <c r="DE262">
        <f>IF(DE$4=0,0,IF(COUNTIFS(実績!$W$6:$W$505,DE$3,実績!$AC$6:$AC$505,"&lt;="&amp;$A262,実績!$AD$6:$AD$505,"&gt;"&amp;$A262,実績!$AE$6:$AE$505,"○")&gt;0,1,0))</f>
        <v/>
      </c>
      <c r="DF262">
        <f>IF(DF$4=0,0,IF(COUNTIFS(実績!$W$6:$W$505,DF$3,実績!$AC$6:$AC$505,"&lt;="&amp;$A262,実績!$AD$6:$AD$505,"&gt;"&amp;$A262,実績!$AE$6:$AE$505,"○")&gt;0,1,0))</f>
        <v/>
      </c>
      <c r="DG262">
        <f>IF(DG$4=0,0,IF(COUNTIFS(実績!$W$6:$W$505,DG$3,実績!$AC$6:$AC$505,"&lt;="&amp;$A262,実績!$AD$6:$AD$505,"&gt;"&amp;$A262,実績!$AE$6:$AE$505,"○")&gt;0,1,0))</f>
        <v/>
      </c>
      <c r="DH262">
        <f>IF(DH$4=0,0,IF(COUNTIFS(実績!$W$6:$W$505,DH$3,実績!$AC$6:$AC$505,"&lt;="&amp;$A262,実績!$AD$6:$AD$505,"&gt;"&amp;$A262,実績!$AE$6:$AE$505,"○")&gt;0,1,0))</f>
        <v/>
      </c>
      <c r="DI262">
        <f>IF(DI$4=0,0,IF(COUNTIFS(実績!$W$6:$W$505,DI$3,実績!$AC$6:$AC$505,"&lt;="&amp;$A262,実績!$AD$6:$AD$505,"&gt;"&amp;$A262,実績!$AE$6:$AE$505,"○")&gt;0,1,0))</f>
        <v/>
      </c>
      <c r="DJ262">
        <f>IF(DJ$4=0,0,IF(COUNTIFS(実績!$W$6:$W$505,DJ$3,実績!$AC$6:$AC$505,"&lt;="&amp;$A262,実績!$AD$6:$AD$505,"&gt;"&amp;$A262,実績!$AE$6:$AE$505,"○")&gt;0,1,0))</f>
        <v/>
      </c>
      <c r="DK262">
        <f>IF(DK$4=0,0,IF(COUNTIFS(実績!$W$6:$W$505,DK$3,実績!$AC$6:$AC$505,"&lt;="&amp;$A262,実績!$AD$6:$AD$505,"&gt;"&amp;$A262,実績!$AE$6:$AE$505,"○")&gt;0,1,0))</f>
        <v/>
      </c>
      <c r="DL262">
        <f>IF(DL$4=0,0,IF(COUNTIFS(実績!$W$6:$W$505,DL$3,実績!$AC$6:$AC$505,"&lt;="&amp;$A262,実績!$AD$6:$AD$505,"&gt;"&amp;$A262,実績!$AE$6:$AE$505,"○")&gt;0,1,0))</f>
        <v/>
      </c>
      <c r="DM262">
        <f>IF(DM$4=0,0,IF(COUNTIFS(実績!$W$6:$W$505,DM$3,実績!$AC$6:$AC$505,"&lt;="&amp;$A262,実績!$AD$6:$AD$505,"&gt;"&amp;$A262,実績!$AE$6:$AE$505,"○")&gt;0,1,0))</f>
        <v/>
      </c>
      <c r="DN262">
        <f>IF(DN$4=0,0,IF(COUNTIFS(実績!$W$6:$W$505,DN$3,実績!$AC$6:$AC$505,"&lt;="&amp;$A262,実績!$AD$6:$AD$505,"&gt;"&amp;$A262,実績!$AE$6:$AE$505,"○")&gt;0,1,0))</f>
        <v/>
      </c>
      <c r="DO262">
        <f>IF(DO$4=0,0,IF(COUNTIFS(実績!$W$6:$W$505,DO$3,実績!$AC$6:$AC$505,"&lt;="&amp;$A262,実績!$AD$6:$AD$505,"&gt;"&amp;$A262,実績!$AE$6:$AE$505,"○")&gt;0,1,0))</f>
        <v/>
      </c>
      <c r="DP262">
        <f>IF(DP$4=0,0,IF(COUNTIFS(実績!$W$6:$W$505,DP$3,実績!$AC$6:$AC$505,"&lt;="&amp;$A262,実績!$AD$6:$AD$505,"&gt;"&amp;$A262,実績!$AE$6:$AE$505,"○")&gt;0,1,0))</f>
        <v/>
      </c>
      <c r="DQ262">
        <f>IF(DQ$4=0,0,IF(COUNTIFS(実績!$W$6:$W$505,DQ$3,実績!$AC$6:$AC$505,"&lt;="&amp;$A262,実績!$AD$6:$AD$505,"&gt;"&amp;$A262,実績!$AE$6:$AE$505,"○")&gt;0,1,0))</f>
        <v/>
      </c>
      <c r="DR262">
        <f>IF(DR$4=0,0,IF(COUNTIFS(実績!$W$6:$W$505,DR$3,実績!$AC$6:$AC$505,"&lt;="&amp;$A262,実績!$AD$6:$AD$505,"&gt;"&amp;$A262,実績!$AE$6:$AE$505,"○")&gt;0,1,0))</f>
        <v/>
      </c>
      <c r="DS262">
        <f>SUM(C262:DR262)</f>
        <v/>
      </c>
      <c r="DT262">
        <f>SUMPRODUCT((実績!$C$6:$C$505="○")*ISNUMBER(実績!$AF$6:$AF$505)*(実績!$AF$6:$AF$505&lt;=$A262)*(実績!$AG$6:$AG$505&gt;$A262))</f>
        <v/>
      </c>
      <c r="DU262">
        <f>SUMIF($C$2:$DR$2,"製鉄曳船",C262:DR262)</f>
        <v/>
      </c>
      <c r="DV262">
        <f>SUMIF($C$2:$DR$2,"西日本海運",C262:DR262)</f>
        <v/>
      </c>
    </row>
    <row r="263">
      <c r="A263" t="n">
        <v>1285</v>
      </c>
      <c r="B263" s="29">
        <f>A263/1440</f>
        <v/>
      </c>
      <c r="C263">
        <f>IF(C$4=0,0,IF(COUNTIFS(実績!$W$6:$W$505,C$3,実績!$AC$6:$AC$505,"&lt;="&amp;$A263,実績!$AD$6:$AD$505,"&gt;"&amp;$A263,実績!$AE$6:$AE$505,"○")&gt;0,1,0))</f>
        <v/>
      </c>
      <c r="D263">
        <f>IF(D$4=0,0,IF(COUNTIFS(実績!$W$6:$W$505,D$3,実績!$AC$6:$AC$505,"&lt;="&amp;$A263,実績!$AD$6:$AD$505,"&gt;"&amp;$A263,実績!$AE$6:$AE$505,"○")&gt;0,1,0))</f>
        <v/>
      </c>
      <c r="E263">
        <f>IF(E$4=0,0,IF(COUNTIFS(実績!$W$6:$W$505,E$3,実績!$AC$6:$AC$505,"&lt;="&amp;$A263,実績!$AD$6:$AD$505,"&gt;"&amp;$A263,実績!$AE$6:$AE$505,"○")&gt;0,1,0))</f>
        <v/>
      </c>
      <c r="F263">
        <f>IF(F$4=0,0,IF(COUNTIFS(実績!$W$6:$W$505,F$3,実績!$AC$6:$AC$505,"&lt;="&amp;$A263,実績!$AD$6:$AD$505,"&gt;"&amp;$A263,実績!$AE$6:$AE$505,"○")&gt;0,1,0))</f>
        <v/>
      </c>
      <c r="G263">
        <f>IF(G$4=0,0,IF(COUNTIFS(実績!$W$6:$W$505,G$3,実績!$AC$6:$AC$505,"&lt;="&amp;$A263,実績!$AD$6:$AD$505,"&gt;"&amp;$A263,実績!$AE$6:$AE$505,"○")&gt;0,1,0))</f>
        <v/>
      </c>
      <c r="H263">
        <f>IF(H$4=0,0,IF(COUNTIFS(実績!$W$6:$W$505,H$3,実績!$AC$6:$AC$505,"&lt;="&amp;$A263,実績!$AD$6:$AD$505,"&gt;"&amp;$A263,実績!$AE$6:$AE$505,"○")&gt;0,1,0))</f>
        <v/>
      </c>
      <c r="I263">
        <f>IF(I$4=0,0,IF(COUNTIFS(実績!$W$6:$W$505,I$3,実績!$AC$6:$AC$505,"&lt;="&amp;$A263,実績!$AD$6:$AD$505,"&gt;"&amp;$A263,実績!$AE$6:$AE$505,"○")&gt;0,1,0))</f>
        <v/>
      </c>
      <c r="J263">
        <f>IF(J$4=0,0,IF(COUNTIFS(実績!$W$6:$W$505,J$3,実績!$AC$6:$AC$505,"&lt;="&amp;$A263,実績!$AD$6:$AD$505,"&gt;"&amp;$A263,実績!$AE$6:$AE$505,"○")&gt;0,1,0))</f>
        <v/>
      </c>
      <c r="K263">
        <f>IF(K$4=0,0,IF(COUNTIFS(実績!$W$6:$W$505,K$3,実績!$AC$6:$AC$505,"&lt;="&amp;$A263,実績!$AD$6:$AD$505,"&gt;"&amp;$A263,実績!$AE$6:$AE$505,"○")&gt;0,1,0))</f>
        <v/>
      </c>
      <c r="L263">
        <f>IF(L$4=0,0,IF(COUNTIFS(実績!$W$6:$W$505,L$3,実績!$AC$6:$AC$505,"&lt;="&amp;$A263,実績!$AD$6:$AD$505,"&gt;"&amp;$A263,実績!$AE$6:$AE$505,"○")&gt;0,1,0))</f>
        <v/>
      </c>
      <c r="M263">
        <f>IF(M$4=0,0,IF(COUNTIFS(実績!$W$6:$W$505,M$3,実績!$AC$6:$AC$505,"&lt;="&amp;$A263,実績!$AD$6:$AD$505,"&gt;"&amp;$A263,実績!$AE$6:$AE$505,"○")&gt;0,1,0))</f>
        <v/>
      </c>
      <c r="N263">
        <f>IF(N$4=0,0,IF(COUNTIFS(実績!$W$6:$W$505,N$3,実績!$AC$6:$AC$505,"&lt;="&amp;$A263,実績!$AD$6:$AD$505,"&gt;"&amp;$A263,実績!$AE$6:$AE$505,"○")&gt;0,1,0))</f>
        <v/>
      </c>
      <c r="O263">
        <f>IF(O$4=0,0,IF(COUNTIFS(実績!$W$6:$W$505,O$3,実績!$AC$6:$AC$505,"&lt;="&amp;$A263,実績!$AD$6:$AD$505,"&gt;"&amp;$A263,実績!$AE$6:$AE$505,"○")&gt;0,1,0))</f>
        <v/>
      </c>
      <c r="P263">
        <f>IF(P$4=0,0,IF(COUNTIFS(実績!$W$6:$W$505,P$3,実績!$AC$6:$AC$505,"&lt;="&amp;$A263,実績!$AD$6:$AD$505,"&gt;"&amp;$A263,実績!$AE$6:$AE$505,"○")&gt;0,1,0))</f>
        <v/>
      </c>
      <c r="Q263">
        <f>IF(Q$4=0,0,IF(COUNTIFS(実績!$W$6:$W$505,Q$3,実績!$AC$6:$AC$505,"&lt;="&amp;$A263,実績!$AD$6:$AD$505,"&gt;"&amp;$A263,実績!$AE$6:$AE$505,"○")&gt;0,1,0))</f>
        <v/>
      </c>
      <c r="R263">
        <f>IF(R$4=0,0,IF(COUNTIFS(実績!$W$6:$W$505,R$3,実績!$AC$6:$AC$505,"&lt;="&amp;$A263,実績!$AD$6:$AD$505,"&gt;"&amp;$A263,実績!$AE$6:$AE$505,"○")&gt;0,1,0))</f>
        <v/>
      </c>
      <c r="S263">
        <f>IF(S$4=0,0,IF(COUNTIFS(実績!$W$6:$W$505,S$3,実績!$AC$6:$AC$505,"&lt;="&amp;$A263,実績!$AD$6:$AD$505,"&gt;"&amp;$A263,実績!$AE$6:$AE$505,"○")&gt;0,1,0))</f>
        <v/>
      </c>
      <c r="T263">
        <f>IF(T$4=0,0,IF(COUNTIFS(実績!$W$6:$W$505,T$3,実績!$AC$6:$AC$505,"&lt;="&amp;$A263,実績!$AD$6:$AD$505,"&gt;"&amp;$A263,実績!$AE$6:$AE$505,"○")&gt;0,1,0))</f>
        <v/>
      </c>
      <c r="U263">
        <f>IF(U$4=0,0,IF(COUNTIFS(実績!$W$6:$W$505,U$3,実績!$AC$6:$AC$505,"&lt;="&amp;$A263,実績!$AD$6:$AD$505,"&gt;"&amp;$A263,実績!$AE$6:$AE$505,"○")&gt;0,1,0))</f>
        <v/>
      </c>
      <c r="V263">
        <f>IF(V$4=0,0,IF(COUNTIFS(実績!$W$6:$W$505,V$3,実績!$AC$6:$AC$505,"&lt;="&amp;$A263,実績!$AD$6:$AD$505,"&gt;"&amp;$A263,実績!$AE$6:$AE$505,"○")&gt;0,1,0))</f>
        <v/>
      </c>
      <c r="W263">
        <f>IF(W$4=0,0,IF(COUNTIFS(実績!$W$6:$W$505,W$3,実績!$AC$6:$AC$505,"&lt;="&amp;$A263,実績!$AD$6:$AD$505,"&gt;"&amp;$A263,実績!$AE$6:$AE$505,"○")&gt;0,1,0))</f>
        <v/>
      </c>
      <c r="X263">
        <f>IF(X$4=0,0,IF(COUNTIFS(実績!$W$6:$W$505,X$3,実績!$AC$6:$AC$505,"&lt;="&amp;$A263,実績!$AD$6:$AD$505,"&gt;"&amp;$A263,実績!$AE$6:$AE$505,"○")&gt;0,1,0))</f>
        <v/>
      </c>
      <c r="Y263">
        <f>IF(Y$4=0,0,IF(COUNTIFS(実績!$W$6:$W$505,Y$3,実績!$AC$6:$AC$505,"&lt;="&amp;$A263,実績!$AD$6:$AD$505,"&gt;"&amp;$A263,実績!$AE$6:$AE$505,"○")&gt;0,1,0))</f>
        <v/>
      </c>
      <c r="Z263">
        <f>IF(Z$4=0,0,IF(COUNTIFS(実績!$W$6:$W$505,Z$3,実績!$AC$6:$AC$505,"&lt;="&amp;$A263,実績!$AD$6:$AD$505,"&gt;"&amp;$A263,実績!$AE$6:$AE$505,"○")&gt;0,1,0))</f>
        <v/>
      </c>
      <c r="AA263">
        <f>IF(AA$4=0,0,IF(COUNTIFS(実績!$W$6:$W$505,AA$3,実績!$AC$6:$AC$505,"&lt;="&amp;$A263,実績!$AD$6:$AD$505,"&gt;"&amp;$A263,実績!$AE$6:$AE$505,"○")&gt;0,1,0))</f>
        <v/>
      </c>
      <c r="AB263">
        <f>IF(AB$4=0,0,IF(COUNTIFS(実績!$W$6:$W$505,AB$3,実績!$AC$6:$AC$505,"&lt;="&amp;$A263,実績!$AD$6:$AD$505,"&gt;"&amp;$A263,実績!$AE$6:$AE$505,"○")&gt;0,1,0))</f>
        <v/>
      </c>
      <c r="AC263">
        <f>IF(AC$4=0,0,IF(COUNTIFS(実績!$W$6:$W$505,AC$3,実績!$AC$6:$AC$505,"&lt;="&amp;$A263,実績!$AD$6:$AD$505,"&gt;"&amp;$A263,実績!$AE$6:$AE$505,"○")&gt;0,1,0))</f>
        <v/>
      </c>
      <c r="AD263">
        <f>IF(AD$4=0,0,IF(COUNTIFS(実績!$W$6:$W$505,AD$3,実績!$AC$6:$AC$505,"&lt;="&amp;$A263,実績!$AD$6:$AD$505,"&gt;"&amp;$A263,実績!$AE$6:$AE$505,"○")&gt;0,1,0))</f>
        <v/>
      </c>
      <c r="AE263">
        <f>IF(AE$4=0,0,IF(COUNTIFS(実績!$W$6:$W$505,AE$3,実績!$AC$6:$AC$505,"&lt;="&amp;$A263,実績!$AD$6:$AD$505,"&gt;"&amp;$A263,実績!$AE$6:$AE$505,"○")&gt;0,1,0))</f>
        <v/>
      </c>
      <c r="AF263">
        <f>IF(AF$4=0,0,IF(COUNTIFS(実績!$W$6:$W$505,AF$3,実績!$AC$6:$AC$505,"&lt;="&amp;$A263,実績!$AD$6:$AD$505,"&gt;"&amp;$A263,実績!$AE$6:$AE$505,"○")&gt;0,1,0))</f>
        <v/>
      </c>
      <c r="AG263">
        <f>IF(AG$4=0,0,IF(COUNTIFS(実績!$W$6:$W$505,AG$3,実績!$AC$6:$AC$505,"&lt;="&amp;$A263,実績!$AD$6:$AD$505,"&gt;"&amp;$A263,実績!$AE$6:$AE$505,"○")&gt;0,1,0))</f>
        <v/>
      </c>
      <c r="AH263">
        <f>IF(AH$4=0,0,IF(COUNTIFS(実績!$W$6:$W$505,AH$3,実績!$AC$6:$AC$505,"&lt;="&amp;$A263,実績!$AD$6:$AD$505,"&gt;"&amp;$A263,実績!$AE$6:$AE$505,"○")&gt;0,1,0))</f>
        <v/>
      </c>
      <c r="AI263">
        <f>IF(AI$4=0,0,IF(COUNTIFS(実績!$W$6:$W$505,AI$3,実績!$AC$6:$AC$505,"&lt;="&amp;$A263,実績!$AD$6:$AD$505,"&gt;"&amp;$A263,実績!$AE$6:$AE$505,"○")&gt;0,1,0))</f>
        <v/>
      </c>
      <c r="AJ263">
        <f>IF(AJ$4=0,0,IF(COUNTIFS(実績!$W$6:$W$505,AJ$3,実績!$AC$6:$AC$505,"&lt;="&amp;$A263,実績!$AD$6:$AD$505,"&gt;"&amp;$A263,実績!$AE$6:$AE$505,"○")&gt;0,1,0))</f>
        <v/>
      </c>
      <c r="AK263">
        <f>IF(AK$4=0,0,IF(COUNTIFS(実績!$W$6:$W$505,AK$3,実績!$AC$6:$AC$505,"&lt;="&amp;$A263,実績!$AD$6:$AD$505,"&gt;"&amp;$A263,実績!$AE$6:$AE$505,"○")&gt;0,1,0))</f>
        <v/>
      </c>
      <c r="AL263">
        <f>IF(AL$4=0,0,IF(COUNTIFS(実績!$W$6:$W$505,AL$3,実績!$AC$6:$AC$505,"&lt;="&amp;$A263,実績!$AD$6:$AD$505,"&gt;"&amp;$A263,実績!$AE$6:$AE$505,"○")&gt;0,1,0))</f>
        <v/>
      </c>
      <c r="AM263">
        <f>IF(AM$4=0,0,IF(COUNTIFS(実績!$W$6:$W$505,AM$3,実績!$AC$6:$AC$505,"&lt;="&amp;$A263,実績!$AD$6:$AD$505,"&gt;"&amp;$A263,実績!$AE$6:$AE$505,"○")&gt;0,1,0))</f>
        <v/>
      </c>
      <c r="AN263">
        <f>IF(AN$4=0,0,IF(COUNTIFS(実績!$W$6:$W$505,AN$3,実績!$AC$6:$AC$505,"&lt;="&amp;$A263,実績!$AD$6:$AD$505,"&gt;"&amp;$A263,実績!$AE$6:$AE$505,"○")&gt;0,1,0))</f>
        <v/>
      </c>
      <c r="AO263">
        <f>IF(AO$4=0,0,IF(COUNTIFS(実績!$W$6:$W$505,AO$3,実績!$AC$6:$AC$505,"&lt;="&amp;$A263,実績!$AD$6:$AD$505,"&gt;"&amp;$A263,実績!$AE$6:$AE$505,"○")&gt;0,1,0))</f>
        <v/>
      </c>
      <c r="AP263">
        <f>IF(AP$4=0,0,IF(COUNTIFS(実績!$W$6:$W$505,AP$3,実績!$AC$6:$AC$505,"&lt;="&amp;$A263,実績!$AD$6:$AD$505,"&gt;"&amp;$A263,実績!$AE$6:$AE$505,"○")&gt;0,1,0))</f>
        <v/>
      </c>
      <c r="AQ263">
        <f>IF(AQ$4=0,0,IF(COUNTIFS(実績!$W$6:$W$505,AQ$3,実績!$AC$6:$AC$505,"&lt;="&amp;$A263,実績!$AD$6:$AD$505,"&gt;"&amp;$A263,実績!$AE$6:$AE$505,"○")&gt;0,1,0))</f>
        <v/>
      </c>
      <c r="AR263">
        <f>IF(AR$4=0,0,IF(COUNTIFS(実績!$W$6:$W$505,AR$3,実績!$AC$6:$AC$505,"&lt;="&amp;$A263,実績!$AD$6:$AD$505,"&gt;"&amp;$A263,実績!$AE$6:$AE$505,"○")&gt;0,1,0))</f>
        <v/>
      </c>
      <c r="AS263">
        <f>IF(AS$4=0,0,IF(COUNTIFS(実績!$W$6:$W$505,AS$3,実績!$AC$6:$AC$505,"&lt;="&amp;$A263,実績!$AD$6:$AD$505,"&gt;"&amp;$A263,実績!$AE$6:$AE$505,"○")&gt;0,1,0))</f>
        <v/>
      </c>
      <c r="AT263">
        <f>IF(AT$4=0,0,IF(COUNTIFS(実績!$W$6:$W$505,AT$3,実績!$AC$6:$AC$505,"&lt;="&amp;$A263,実績!$AD$6:$AD$505,"&gt;"&amp;$A263,実績!$AE$6:$AE$505,"○")&gt;0,1,0))</f>
        <v/>
      </c>
      <c r="AU263">
        <f>IF(AU$4=0,0,IF(COUNTIFS(実績!$W$6:$W$505,AU$3,実績!$AC$6:$AC$505,"&lt;="&amp;$A263,実績!$AD$6:$AD$505,"&gt;"&amp;$A263,実績!$AE$6:$AE$505,"○")&gt;0,1,0))</f>
        <v/>
      </c>
      <c r="AV263">
        <f>IF(AV$4=0,0,IF(COUNTIFS(実績!$W$6:$W$505,AV$3,実績!$AC$6:$AC$505,"&lt;="&amp;$A263,実績!$AD$6:$AD$505,"&gt;"&amp;$A263,実績!$AE$6:$AE$505,"○")&gt;0,1,0))</f>
        <v/>
      </c>
      <c r="AW263">
        <f>IF(AW$4=0,0,IF(COUNTIFS(実績!$W$6:$W$505,AW$3,実績!$AC$6:$AC$505,"&lt;="&amp;$A263,実績!$AD$6:$AD$505,"&gt;"&amp;$A263,実績!$AE$6:$AE$505,"○")&gt;0,1,0))</f>
        <v/>
      </c>
      <c r="AX263">
        <f>IF(AX$4=0,0,IF(COUNTIFS(実績!$W$6:$W$505,AX$3,実績!$AC$6:$AC$505,"&lt;="&amp;$A263,実績!$AD$6:$AD$505,"&gt;"&amp;$A263,実績!$AE$6:$AE$505,"○")&gt;0,1,0))</f>
        <v/>
      </c>
      <c r="AY263">
        <f>IF(AY$4=0,0,IF(COUNTIFS(実績!$W$6:$W$505,AY$3,実績!$AC$6:$AC$505,"&lt;="&amp;$A263,実績!$AD$6:$AD$505,"&gt;"&amp;$A263,実績!$AE$6:$AE$505,"○")&gt;0,1,0))</f>
        <v/>
      </c>
      <c r="AZ263">
        <f>IF(AZ$4=0,0,IF(COUNTIFS(実績!$W$6:$W$505,AZ$3,実績!$AC$6:$AC$505,"&lt;="&amp;$A263,実績!$AD$6:$AD$505,"&gt;"&amp;$A263,実績!$AE$6:$AE$505,"○")&gt;0,1,0))</f>
        <v/>
      </c>
      <c r="BA263">
        <f>IF(BA$4=0,0,IF(COUNTIFS(実績!$W$6:$W$505,BA$3,実績!$AC$6:$AC$505,"&lt;="&amp;$A263,実績!$AD$6:$AD$505,"&gt;"&amp;$A263,実績!$AE$6:$AE$505,"○")&gt;0,1,0))</f>
        <v/>
      </c>
      <c r="BB263">
        <f>IF(BB$4=0,0,IF(COUNTIFS(実績!$W$6:$W$505,BB$3,実績!$AC$6:$AC$505,"&lt;="&amp;$A263,実績!$AD$6:$AD$505,"&gt;"&amp;$A263,実績!$AE$6:$AE$505,"○")&gt;0,1,0))</f>
        <v/>
      </c>
      <c r="BC263">
        <f>IF(BC$4=0,0,IF(COUNTIFS(実績!$W$6:$W$505,BC$3,実績!$AC$6:$AC$505,"&lt;="&amp;$A263,実績!$AD$6:$AD$505,"&gt;"&amp;$A263,実績!$AE$6:$AE$505,"○")&gt;0,1,0))</f>
        <v/>
      </c>
      <c r="BD263">
        <f>IF(BD$4=0,0,IF(COUNTIFS(実績!$W$6:$W$505,BD$3,実績!$AC$6:$AC$505,"&lt;="&amp;$A263,実績!$AD$6:$AD$505,"&gt;"&amp;$A263,実績!$AE$6:$AE$505,"○")&gt;0,1,0))</f>
        <v/>
      </c>
      <c r="BE263">
        <f>IF(BE$4=0,0,IF(COUNTIFS(実績!$W$6:$W$505,BE$3,実績!$AC$6:$AC$505,"&lt;="&amp;$A263,実績!$AD$6:$AD$505,"&gt;"&amp;$A263,実績!$AE$6:$AE$505,"○")&gt;0,1,0))</f>
        <v/>
      </c>
      <c r="BF263">
        <f>IF(BF$4=0,0,IF(COUNTIFS(実績!$W$6:$W$505,BF$3,実績!$AC$6:$AC$505,"&lt;="&amp;$A263,実績!$AD$6:$AD$505,"&gt;"&amp;$A263,実績!$AE$6:$AE$505,"○")&gt;0,1,0))</f>
        <v/>
      </c>
      <c r="BG263">
        <f>IF(BG$4=0,0,IF(COUNTIFS(実績!$W$6:$W$505,BG$3,実績!$AC$6:$AC$505,"&lt;="&amp;$A263,実績!$AD$6:$AD$505,"&gt;"&amp;$A263,実績!$AE$6:$AE$505,"○")&gt;0,1,0))</f>
        <v/>
      </c>
      <c r="BH263">
        <f>IF(BH$4=0,0,IF(COUNTIFS(実績!$W$6:$W$505,BH$3,実績!$AC$6:$AC$505,"&lt;="&amp;$A263,実績!$AD$6:$AD$505,"&gt;"&amp;$A263,実績!$AE$6:$AE$505,"○")&gt;0,1,0))</f>
        <v/>
      </c>
      <c r="BI263">
        <f>IF(BI$4=0,0,IF(COUNTIFS(実績!$W$6:$W$505,BI$3,実績!$AC$6:$AC$505,"&lt;="&amp;$A263,実績!$AD$6:$AD$505,"&gt;"&amp;$A263,実績!$AE$6:$AE$505,"○")&gt;0,1,0))</f>
        <v/>
      </c>
      <c r="BJ263">
        <f>IF(BJ$4=0,0,IF(COUNTIFS(実績!$W$6:$W$505,BJ$3,実績!$AC$6:$AC$505,"&lt;="&amp;$A263,実績!$AD$6:$AD$505,"&gt;"&amp;$A263,実績!$AE$6:$AE$505,"○")&gt;0,1,0))</f>
        <v/>
      </c>
      <c r="BK263">
        <f>IF(BK$4=0,0,IF(COUNTIFS(実績!$W$6:$W$505,BK$3,実績!$AC$6:$AC$505,"&lt;="&amp;$A263,実績!$AD$6:$AD$505,"&gt;"&amp;$A263,実績!$AE$6:$AE$505,"○")&gt;0,1,0))</f>
        <v/>
      </c>
      <c r="BL263">
        <f>IF(BL$4=0,0,IF(COUNTIFS(実績!$W$6:$W$505,BL$3,実績!$AC$6:$AC$505,"&lt;="&amp;$A263,実績!$AD$6:$AD$505,"&gt;"&amp;$A263,実績!$AE$6:$AE$505,"○")&gt;0,1,0))</f>
        <v/>
      </c>
      <c r="BM263">
        <f>IF(BM$4=0,0,IF(COUNTIFS(実績!$W$6:$W$505,BM$3,実績!$AC$6:$AC$505,"&lt;="&amp;$A263,実績!$AD$6:$AD$505,"&gt;"&amp;$A263,実績!$AE$6:$AE$505,"○")&gt;0,1,0))</f>
        <v/>
      </c>
      <c r="BN263">
        <f>IF(BN$4=0,0,IF(COUNTIFS(実績!$W$6:$W$505,BN$3,実績!$AC$6:$AC$505,"&lt;="&amp;$A263,実績!$AD$6:$AD$505,"&gt;"&amp;$A263,実績!$AE$6:$AE$505,"○")&gt;0,1,0))</f>
        <v/>
      </c>
      <c r="BO263">
        <f>IF(BO$4=0,0,IF(COUNTIFS(実績!$W$6:$W$505,BO$3,実績!$AC$6:$AC$505,"&lt;="&amp;$A263,実績!$AD$6:$AD$505,"&gt;"&amp;$A263,実績!$AE$6:$AE$505,"○")&gt;0,1,0))</f>
        <v/>
      </c>
      <c r="BP263">
        <f>IF(BP$4=0,0,IF(COUNTIFS(実績!$W$6:$W$505,BP$3,実績!$AC$6:$AC$505,"&lt;="&amp;$A263,実績!$AD$6:$AD$505,"&gt;"&amp;$A263,実績!$AE$6:$AE$505,"○")&gt;0,1,0))</f>
        <v/>
      </c>
      <c r="BQ263">
        <f>IF(BQ$4=0,0,IF(COUNTIFS(実績!$W$6:$W$505,BQ$3,実績!$AC$6:$AC$505,"&lt;="&amp;$A263,実績!$AD$6:$AD$505,"&gt;"&amp;$A263,実績!$AE$6:$AE$505,"○")&gt;0,1,0))</f>
        <v/>
      </c>
      <c r="BR263">
        <f>IF(BR$4=0,0,IF(COUNTIFS(実績!$W$6:$W$505,BR$3,実績!$AC$6:$AC$505,"&lt;="&amp;$A263,実績!$AD$6:$AD$505,"&gt;"&amp;$A263,実績!$AE$6:$AE$505,"○")&gt;0,1,0))</f>
        <v/>
      </c>
      <c r="BS263">
        <f>IF(BS$4=0,0,IF(COUNTIFS(実績!$W$6:$W$505,BS$3,実績!$AC$6:$AC$505,"&lt;="&amp;$A263,実績!$AD$6:$AD$505,"&gt;"&amp;$A263,実績!$AE$6:$AE$505,"○")&gt;0,1,0))</f>
        <v/>
      </c>
      <c r="BT263">
        <f>IF(BT$4=0,0,IF(COUNTIFS(実績!$W$6:$W$505,BT$3,実績!$AC$6:$AC$505,"&lt;="&amp;$A263,実績!$AD$6:$AD$505,"&gt;"&amp;$A263,実績!$AE$6:$AE$505,"○")&gt;0,1,0))</f>
        <v/>
      </c>
      <c r="BU263">
        <f>IF(BU$4=0,0,IF(COUNTIFS(実績!$W$6:$W$505,BU$3,実績!$AC$6:$AC$505,"&lt;="&amp;$A263,実績!$AD$6:$AD$505,"&gt;"&amp;$A263,実績!$AE$6:$AE$505,"○")&gt;0,1,0))</f>
        <v/>
      </c>
      <c r="BV263">
        <f>IF(BV$4=0,0,IF(COUNTIFS(実績!$W$6:$W$505,BV$3,実績!$AC$6:$AC$505,"&lt;="&amp;$A263,実績!$AD$6:$AD$505,"&gt;"&amp;$A263,実績!$AE$6:$AE$505,"○")&gt;0,1,0))</f>
        <v/>
      </c>
      <c r="BW263">
        <f>IF(BW$4=0,0,IF(COUNTIFS(実績!$W$6:$W$505,BW$3,実績!$AC$6:$AC$505,"&lt;="&amp;$A263,実績!$AD$6:$AD$505,"&gt;"&amp;$A263,実績!$AE$6:$AE$505,"○")&gt;0,1,0))</f>
        <v/>
      </c>
      <c r="BX263">
        <f>IF(BX$4=0,0,IF(COUNTIFS(実績!$W$6:$W$505,BX$3,実績!$AC$6:$AC$505,"&lt;="&amp;$A263,実績!$AD$6:$AD$505,"&gt;"&amp;$A263,実績!$AE$6:$AE$505,"○")&gt;0,1,0))</f>
        <v/>
      </c>
      <c r="BY263">
        <f>IF(BY$4=0,0,IF(COUNTIFS(実績!$W$6:$W$505,BY$3,実績!$AC$6:$AC$505,"&lt;="&amp;$A263,実績!$AD$6:$AD$505,"&gt;"&amp;$A263,実績!$AE$6:$AE$505,"○")&gt;0,1,0))</f>
        <v/>
      </c>
      <c r="BZ263">
        <f>IF(BZ$4=0,0,IF(COUNTIFS(実績!$W$6:$W$505,BZ$3,実績!$AC$6:$AC$505,"&lt;="&amp;$A263,実績!$AD$6:$AD$505,"&gt;"&amp;$A263,実績!$AE$6:$AE$505,"○")&gt;0,1,0))</f>
        <v/>
      </c>
      <c r="CA263">
        <f>IF(CA$4=0,0,IF(COUNTIFS(実績!$W$6:$W$505,CA$3,実績!$AC$6:$AC$505,"&lt;="&amp;$A263,実績!$AD$6:$AD$505,"&gt;"&amp;$A263,実績!$AE$6:$AE$505,"○")&gt;0,1,0))</f>
        <v/>
      </c>
      <c r="CB263">
        <f>IF(CB$4=0,0,IF(COUNTIFS(実績!$W$6:$W$505,CB$3,実績!$AC$6:$AC$505,"&lt;="&amp;$A263,実績!$AD$6:$AD$505,"&gt;"&amp;$A263,実績!$AE$6:$AE$505,"○")&gt;0,1,0))</f>
        <v/>
      </c>
      <c r="CC263">
        <f>IF(CC$4=0,0,IF(COUNTIFS(実績!$W$6:$W$505,CC$3,実績!$AC$6:$AC$505,"&lt;="&amp;$A263,実績!$AD$6:$AD$505,"&gt;"&amp;$A263,実績!$AE$6:$AE$505,"○")&gt;0,1,0))</f>
        <v/>
      </c>
      <c r="CD263">
        <f>IF(CD$4=0,0,IF(COUNTIFS(実績!$W$6:$W$505,CD$3,実績!$AC$6:$AC$505,"&lt;="&amp;$A263,実績!$AD$6:$AD$505,"&gt;"&amp;$A263,実績!$AE$6:$AE$505,"○")&gt;0,1,0))</f>
        <v/>
      </c>
      <c r="CE263">
        <f>IF(CE$4=0,0,IF(COUNTIFS(実績!$W$6:$W$505,CE$3,実績!$AC$6:$AC$505,"&lt;="&amp;$A263,実績!$AD$6:$AD$505,"&gt;"&amp;$A263,実績!$AE$6:$AE$505,"○")&gt;0,1,0))</f>
        <v/>
      </c>
      <c r="CF263">
        <f>IF(CF$4=0,0,IF(COUNTIFS(実績!$W$6:$W$505,CF$3,実績!$AC$6:$AC$505,"&lt;="&amp;$A263,実績!$AD$6:$AD$505,"&gt;"&amp;$A263,実績!$AE$6:$AE$505,"○")&gt;0,1,0))</f>
        <v/>
      </c>
      <c r="CG263">
        <f>IF(CG$4=0,0,IF(COUNTIFS(実績!$W$6:$W$505,CG$3,実績!$AC$6:$AC$505,"&lt;="&amp;$A263,実績!$AD$6:$AD$505,"&gt;"&amp;$A263,実績!$AE$6:$AE$505,"○")&gt;0,1,0))</f>
        <v/>
      </c>
      <c r="CH263">
        <f>IF(CH$4=0,0,IF(COUNTIFS(実績!$W$6:$W$505,CH$3,実績!$AC$6:$AC$505,"&lt;="&amp;$A263,実績!$AD$6:$AD$505,"&gt;"&amp;$A263,実績!$AE$6:$AE$505,"○")&gt;0,1,0))</f>
        <v/>
      </c>
      <c r="CI263">
        <f>IF(CI$4=0,0,IF(COUNTIFS(実績!$W$6:$W$505,CI$3,実績!$AC$6:$AC$505,"&lt;="&amp;$A263,実績!$AD$6:$AD$505,"&gt;"&amp;$A263,実績!$AE$6:$AE$505,"○")&gt;0,1,0))</f>
        <v/>
      </c>
      <c r="CJ263">
        <f>IF(CJ$4=0,0,IF(COUNTIFS(実績!$W$6:$W$505,CJ$3,実績!$AC$6:$AC$505,"&lt;="&amp;$A263,実績!$AD$6:$AD$505,"&gt;"&amp;$A263,実績!$AE$6:$AE$505,"○")&gt;0,1,0))</f>
        <v/>
      </c>
      <c r="CK263">
        <f>IF(CK$4=0,0,IF(COUNTIFS(実績!$W$6:$W$505,CK$3,実績!$AC$6:$AC$505,"&lt;="&amp;$A263,実績!$AD$6:$AD$505,"&gt;"&amp;$A263,実績!$AE$6:$AE$505,"○")&gt;0,1,0))</f>
        <v/>
      </c>
      <c r="CL263">
        <f>IF(CL$4=0,0,IF(COUNTIFS(実績!$W$6:$W$505,CL$3,実績!$AC$6:$AC$505,"&lt;="&amp;$A263,実績!$AD$6:$AD$505,"&gt;"&amp;$A263,実績!$AE$6:$AE$505,"○")&gt;0,1,0))</f>
        <v/>
      </c>
      <c r="CM263">
        <f>IF(CM$4=0,0,IF(COUNTIFS(実績!$W$6:$W$505,CM$3,実績!$AC$6:$AC$505,"&lt;="&amp;$A263,実績!$AD$6:$AD$505,"&gt;"&amp;$A263,実績!$AE$6:$AE$505,"○")&gt;0,1,0))</f>
        <v/>
      </c>
      <c r="CN263">
        <f>IF(CN$4=0,0,IF(COUNTIFS(実績!$W$6:$W$505,CN$3,実績!$AC$6:$AC$505,"&lt;="&amp;$A263,実績!$AD$6:$AD$505,"&gt;"&amp;$A263,実績!$AE$6:$AE$505,"○")&gt;0,1,0))</f>
        <v/>
      </c>
      <c r="CO263">
        <f>IF(CO$4=0,0,IF(COUNTIFS(実績!$W$6:$W$505,CO$3,実績!$AC$6:$AC$505,"&lt;="&amp;$A263,実績!$AD$6:$AD$505,"&gt;"&amp;$A263,実績!$AE$6:$AE$505,"○")&gt;0,1,0))</f>
        <v/>
      </c>
      <c r="CP263">
        <f>IF(CP$4=0,0,IF(COUNTIFS(実績!$W$6:$W$505,CP$3,実績!$AC$6:$AC$505,"&lt;="&amp;$A263,実績!$AD$6:$AD$505,"&gt;"&amp;$A263,実績!$AE$6:$AE$505,"○")&gt;0,1,0))</f>
        <v/>
      </c>
      <c r="CQ263">
        <f>IF(CQ$4=0,0,IF(COUNTIFS(実績!$W$6:$W$505,CQ$3,実績!$AC$6:$AC$505,"&lt;="&amp;$A263,実績!$AD$6:$AD$505,"&gt;"&amp;$A263,実績!$AE$6:$AE$505,"○")&gt;0,1,0))</f>
        <v/>
      </c>
      <c r="CR263">
        <f>IF(CR$4=0,0,IF(COUNTIFS(実績!$W$6:$W$505,CR$3,実績!$AC$6:$AC$505,"&lt;="&amp;$A263,実績!$AD$6:$AD$505,"&gt;"&amp;$A263,実績!$AE$6:$AE$505,"○")&gt;0,1,0))</f>
        <v/>
      </c>
      <c r="CS263">
        <f>IF(CS$4=0,0,IF(COUNTIFS(実績!$W$6:$W$505,CS$3,実績!$AC$6:$AC$505,"&lt;="&amp;$A263,実績!$AD$6:$AD$505,"&gt;"&amp;$A263,実績!$AE$6:$AE$505,"○")&gt;0,1,0))</f>
        <v/>
      </c>
      <c r="CT263">
        <f>IF(CT$4=0,0,IF(COUNTIFS(実績!$W$6:$W$505,CT$3,実績!$AC$6:$AC$505,"&lt;="&amp;$A263,実績!$AD$6:$AD$505,"&gt;"&amp;$A263,実績!$AE$6:$AE$505,"○")&gt;0,1,0))</f>
        <v/>
      </c>
      <c r="CU263">
        <f>IF(CU$4=0,0,IF(COUNTIFS(実績!$W$6:$W$505,CU$3,実績!$AC$6:$AC$505,"&lt;="&amp;$A263,実績!$AD$6:$AD$505,"&gt;"&amp;$A263,実績!$AE$6:$AE$505,"○")&gt;0,1,0))</f>
        <v/>
      </c>
      <c r="CV263">
        <f>IF(CV$4=0,0,IF(COUNTIFS(実績!$W$6:$W$505,CV$3,実績!$AC$6:$AC$505,"&lt;="&amp;$A263,実績!$AD$6:$AD$505,"&gt;"&amp;$A263,実績!$AE$6:$AE$505,"○")&gt;0,1,0))</f>
        <v/>
      </c>
      <c r="CW263">
        <f>IF(CW$4=0,0,IF(COUNTIFS(実績!$W$6:$W$505,CW$3,実績!$AC$6:$AC$505,"&lt;="&amp;$A263,実績!$AD$6:$AD$505,"&gt;"&amp;$A263,実績!$AE$6:$AE$505,"○")&gt;0,1,0))</f>
        <v/>
      </c>
      <c r="CX263">
        <f>IF(CX$4=0,0,IF(COUNTIFS(実績!$W$6:$W$505,CX$3,実績!$AC$6:$AC$505,"&lt;="&amp;$A263,実績!$AD$6:$AD$505,"&gt;"&amp;$A263,実績!$AE$6:$AE$505,"○")&gt;0,1,0))</f>
        <v/>
      </c>
      <c r="CY263">
        <f>IF(CY$4=0,0,IF(COUNTIFS(実績!$W$6:$W$505,CY$3,実績!$AC$6:$AC$505,"&lt;="&amp;$A263,実績!$AD$6:$AD$505,"&gt;"&amp;$A263,実績!$AE$6:$AE$505,"○")&gt;0,1,0))</f>
        <v/>
      </c>
      <c r="CZ263">
        <f>IF(CZ$4=0,0,IF(COUNTIFS(実績!$W$6:$W$505,CZ$3,実績!$AC$6:$AC$505,"&lt;="&amp;$A263,実績!$AD$6:$AD$505,"&gt;"&amp;$A263,実績!$AE$6:$AE$505,"○")&gt;0,1,0))</f>
        <v/>
      </c>
      <c r="DA263">
        <f>IF(DA$4=0,0,IF(COUNTIFS(実績!$W$6:$W$505,DA$3,実績!$AC$6:$AC$505,"&lt;="&amp;$A263,実績!$AD$6:$AD$505,"&gt;"&amp;$A263,実績!$AE$6:$AE$505,"○")&gt;0,1,0))</f>
        <v/>
      </c>
      <c r="DB263">
        <f>IF(DB$4=0,0,IF(COUNTIFS(実績!$W$6:$W$505,DB$3,実績!$AC$6:$AC$505,"&lt;="&amp;$A263,実績!$AD$6:$AD$505,"&gt;"&amp;$A263,実績!$AE$6:$AE$505,"○")&gt;0,1,0))</f>
        <v/>
      </c>
      <c r="DC263">
        <f>IF(DC$4=0,0,IF(COUNTIFS(実績!$W$6:$W$505,DC$3,実績!$AC$6:$AC$505,"&lt;="&amp;$A263,実績!$AD$6:$AD$505,"&gt;"&amp;$A263,実績!$AE$6:$AE$505,"○")&gt;0,1,0))</f>
        <v/>
      </c>
      <c r="DD263">
        <f>IF(DD$4=0,0,IF(COUNTIFS(実績!$W$6:$W$505,DD$3,実績!$AC$6:$AC$505,"&lt;="&amp;$A263,実績!$AD$6:$AD$505,"&gt;"&amp;$A263,実績!$AE$6:$AE$505,"○")&gt;0,1,0))</f>
        <v/>
      </c>
      <c r="DE263">
        <f>IF(DE$4=0,0,IF(COUNTIFS(実績!$W$6:$W$505,DE$3,実績!$AC$6:$AC$505,"&lt;="&amp;$A263,実績!$AD$6:$AD$505,"&gt;"&amp;$A263,実績!$AE$6:$AE$505,"○")&gt;0,1,0))</f>
        <v/>
      </c>
      <c r="DF263">
        <f>IF(DF$4=0,0,IF(COUNTIFS(実績!$W$6:$W$505,DF$3,実績!$AC$6:$AC$505,"&lt;="&amp;$A263,実績!$AD$6:$AD$505,"&gt;"&amp;$A263,実績!$AE$6:$AE$505,"○")&gt;0,1,0))</f>
        <v/>
      </c>
      <c r="DG263">
        <f>IF(DG$4=0,0,IF(COUNTIFS(実績!$W$6:$W$505,DG$3,実績!$AC$6:$AC$505,"&lt;="&amp;$A263,実績!$AD$6:$AD$505,"&gt;"&amp;$A263,実績!$AE$6:$AE$505,"○")&gt;0,1,0))</f>
        <v/>
      </c>
      <c r="DH263">
        <f>IF(DH$4=0,0,IF(COUNTIFS(実績!$W$6:$W$505,DH$3,実績!$AC$6:$AC$505,"&lt;="&amp;$A263,実績!$AD$6:$AD$505,"&gt;"&amp;$A263,実績!$AE$6:$AE$505,"○")&gt;0,1,0))</f>
        <v/>
      </c>
      <c r="DI263">
        <f>IF(DI$4=0,0,IF(COUNTIFS(実績!$W$6:$W$505,DI$3,実績!$AC$6:$AC$505,"&lt;="&amp;$A263,実績!$AD$6:$AD$505,"&gt;"&amp;$A263,実績!$AE$6:$AE$505,"○")&gt;0,1,0))</f>
        <v/>
      </c>
      <c r="DJ263">
        <f>IF(DJ$4=0,0,IF(COUNTIFS(実績!$W$6:$W$505,DJ$3,実績!$AC$6:$AC$505,"&lt;="&amp;$A263,実績!$AD$6:$AD$505,"&gt;"&amp;$A263,実績!$AE$6:$AE$505,"○")&gt;0,1,0))</f>
        <v/>
      </c>
      <c r="DK263">
        <f>IF(DK$4=0,0,IF(COUNTIFS(実績!$W$6:$W$505,DK$3,実績!$AC$6:$AC$505,"&lt;="&amp;$A263,実績!$AD$6:$AD$505,"&gt;"&amp;$A263,実績!$AE$6:$AE$505,"○")&gt;0,1,0))</f>
        <v/>
      </c>
      <c r="DL263">
        <f>IF(DL$4=0,0,IF(COUNTIFS(実績!$W$6:$W$505,DL$3,実績!$AC$6:$AC$505,"&lt;="&amp;$A263,実績!$AD$6:$AD$505,"&gt;"&amp;$A263,実績!$AE$6:$AE$505,"○")&gt;0,1,0))</f>
        <v/>
      </c>
      <c r="DM263">
        <f>IF(DM$4=0,0,IF(COUNTIFS(実績!$W$6:$W$505,DM$3,実績!$AC$6:$AC$505,"&lt;="&amp;$A263,実績!$AD$6:$AD$505,"&gt;"&amp;$A263,実績!$AE$6:$AE$505,"○")&gt;0,1,0))</f>
        <v/>
      </c>
      <c r="DN263">
        <f>IF(DN$4=0,0,IF(COUNTIFS(実績!$W$6:$W$505,DN$3,実績!$AC$6:$AC$505,"&lt;="&amp;$A263,実績!$AD$6:$AD$505,"&gt;"&amp;$A263,実績!$AE$6:$AE$505,"○")&gt;0,1,0))</f>
        <v/>
      </c>
      <c r="DO263">
        <f>IF(DO$4=0,0,IF(COUNTIFS(実績!$W$6:$W$505,DO$3,実績!$AC$6:$AC$505,"&lt;="&amp;$A263,実績!$AD$6:$AD$505,"&gt;"&amp;$A263,実績!$AE$6:$AE$505,"○")&gt;0,1,0))</f>
        <v/>
      </c>
      <c r="DP263">
        <f>IF(DP$4=0,0,IF(COUNTIFS(実績!$W$6:$W$505,DP$3,実績!$AC$6:$AC$505,"&lt;="&amp;$A263,実績!$AD$6:$AD$505,"&gt;"&amp;$A263,実績!$AE$6:$AE$505,"○")&gt;0,1,0))</f>
        <v/>
      </c>
      <c r="DQ263">
        <f>IF(DQ$4=0,0,IF(COUNTIFS(実績!$W$6:$W$505,DQ$3,実績!$AC$6:$AC$505,"&lt;="&amp;$A263,実績!$AD$6:$AD$505,"&gt;"&amp;$A263,実績!$AE$6:$AE$505,"○")&gt;0,1,0))</f>
        <v/>
      </c>
      <c r="DR263">
        <f>IF(DR$4=0,0,IF(COUNTIFS(実績!$W$6:$W$505,DR$3,実績!$AC$6:$AC$505,"&lt;="&amp;$A263,実績!$AD$6:$AD$505,"&gt;"&amp;$A263,実績!$AE$6:$AE$505,"○")&gt;0,1,0))</f>
        <v/>
      </c>
      <c r="DS263">
        <f>SUM(C263:DR263)</f>
        <v/>
      </c>
      <c r="DT263">
        <f>SUMPRODUCT((実績!$C$6:$C$505="○")*ISNUMBER(実績!$AF$6:$AF$505)*(実績!$AF$6:$AF$505&lt;=$A263)*(実績!$AG$6:$AG$505&gt;$A263))</f>
        <v/>
      </c>
      <c r="DU263">
        <f>SUMIF($C$2:$DR$2,"製鉄曳船",C263:DR263)</f>
        <v/>
      </c>
      <c r="DV263">
        <f>SUMIF($C$2:$DR$2,"西日本海運",C263:DR263)</f>
        <v/>
      </c>
    </row>
    <row r="264">
      <c r="A264" t="n">
        <v>1290</v>
      </c>
      <c r="B264" s="29">
        <f>A264/1440</f>
        <v/>
      </c>
      <c r="C264">
        <f>IF(C$4=0,0,IF(COUNTIFS(実績!$W$6:$W$505,C$3,実績!$AC$6:$AC$505,"&lt;="&amp;$A264,実績!$AD$6:$AD$505,"&gt;"&amp;$A264,実績!$AE$6:$AE$505,"○")&gt;0,1,0))</f>
        <v/>
      </c>
      <c r="D264">
        <f>IF(D$4=0,0,IF(COUNTIFS(実績!$W$6:$W$505,D$3,実績!$AC$6:$AC$505,"&lt;="&amp;$A264,実績!$AD$6:$AD$505,"&gt;"&amp;$A264,実績!$AE$6:$AE$505,"○")&gt;0,1,0))</f>
        <v/>
      </c>
      <c r="E264">
        <f>IF(E$4=0,0,IF(COUNTIFS(実績!$W$6:$W$505,E$3,実績!$AC$6:$AC$505,"&lt;="&amp;$A264,実績!$AD$6:$AD$505,"&gt;"&amp;$A264,実績!$AE$6:$AE$505,"○")&gt;0,1,0))</f>
        <v/>
      </c>
      <c r="F264">
        <f>IF(F$4=0,0,IF(COUNTIFS(実績!$W$6:$W$505,F$3,実績!$AC$6:$AC$505,"&lt;="&amp;$A264,実績!$AD$6:$AD$505,"&gt;"&amp;$A264,実績!$AE$6:$AE$505,"○")&gt;0,1,0))</f>
        <v/>
      </c>
      <c r="G264">
        <f>IF(G$4=0,0,IF(COUNTIFS(実績!$W$6:$W$505,G$3,実績!$AC$6:$AC$505,"&lt;="&amp;$A264,実績!$AD$6:$AD$505,"&gt;"&amp;$A264,実績!$AE$6:$AE$505,"○")&gt;0,1,0))</f>
        <v/>
      </c>
      <c r="H264">
        <f>IF(H$4=0,0,IF(COUNTIFS(実績!$W$6:$W$505,H$3,実績!$AC$6:$AC$505,"&lt;="&amp;$A264,実績!$AD$6:$AD$505,"&gt;"&amp;$A264,実績!$AE$6:$AE$505,"○")&gt;0,1,0))</f>
        <v/>
      </c>
      <c r="I264">
        <f>IF(I$4=0,0,IF(COUNTIFS(実績!$W$6:$W$505,I$3,実績!$AC$6:$AC$505,"&lt;="&amp;$A264,実績!$AD$6:$AD$505,"&gt;"&amp;$A264,実績!$AE$6:$AE$505,"○")&gt;0,1,0))</f>
        <v/>
      </c>
      <c r="J264">
        <f>IF(J$4=0,0,IF(COUNTIFS(実績!$W$6:$W$505,J$3,実績!$AC$6:$AC$505,"&lt;="&amp;$A264,実績!$AD$6:$AD$505,"&gt;"&amp;$A264,実績!$AE$6:$AE$505,"○")&gt;0,1,0))</f>
        <v/>
      </c>
      <c r="K264">
        <f>IF(K$4=0,0,IF(COUNTIFS(実績!$W$6:$W$505,K$3,実績!$AC$6:$AC$505,"&lt;="&amp;$A264,実績!$AD$6:$AD$505,"&gt;"&amp;$A264,実績!$AE$6:$AE$505,"○")&gt;0,1,0))</f>
        <v/>
      </c>
      <c r="L264">
        <f>IF(L$4=0,0,IF(COUNTIFS(実績!$W$6:$W$505,L$3,実績!$AC$6:$AC$505,"&lt;="&amp;$A264,実績!$AD$6:$AD$505,"&gt;"&amp;$A264,実績!$AE$6:$AE$505,"○")&gt;0,1,0))</f>
        <v/>
      </c>
      <c r="M264">
        <f>IF(M$4=0,0,IF(COUNTIFS(実績!$W$6:$W$505,M$3,実績!$AC$6:$AC$505,"&lt;="&amp;$A264,実績!$AD$6:$AD$505,"&gt;"&amp;$A264,実績!$AE$6:$AE$505,"○")&gt;0,1,0))</f>
        <v/>
      </c>
      <c r="N264">
        <f>IF(N$4=0,0,IF(COUNTIFS(実績!$W$6:$W$505,N$3,実績!$AC$6:$AC$505,"&lt;="&amp;$A264,実績!$AD$6:$AD$505,"&gt;"&amp;$A264,実績!$AE$6:$AE$505,"○")&gt;0,1,0))</f>
        <v/>
      </c>
      <c r="O264">
        <f>IF(O$4=0,0,IF(COUNTIFS(実績!$W$6:$W$505,O$3,実績!$AC$6:$AC$505,"&lt;="&amp;$A264,実績!$AD$6:$AD$505,"&gt;"&amp;$A264,実績!$AE$6:$AE$505,"○")&gt;0,1,0))</f>
        <v/>
      </c>
      <c r="P264">
        <f>IF(P$4=0,0,IF(COUNTIFS(実績!$W$6:$W$505,P$3,実績!$AC$6:$AC$505,"&lt;="&amp;$A264,実績!$AD$6:$AD$505,"&gt;"&amp;$A264,実績!$AE$6:$AE$505,"○")&gt;0,1,0))</f>
        <v/>
      </c>
      <c r="Q264">
        <f>IF(Q$4=0,0,IF(COUNTIFS(実績!$W$6:$W$505,Q$3,実績!$AC$6:$AC$505,"&lt;="&amp;$A264,実績!$AD$6:$AD$505,"&gt;"&amp;$A264,実績!$AE$6:$AE$505,"○")&gt;0,1,0))</f>
        <v/>
      </c>
      <c r="R264">
        <f>IF(R$4=0,0,IF(COUNTIFS(実績!$W$6:$W$505,R$3,実績!$AC$6:$AC$505,"&lt;="&amp;$A264,実績!$AD$6:$AD$505,"&gt;"&amp;$A264,実績!$AE$6:$AE$505,"○")&gt;0,1,0))</f>
        <v/>
      </c>
      <c r="S264">
        <f>IF(S$4=0,0,IF(COUNTIFS(実績!$W$6:$W$505,S$3,実績!$AC$6:$AC$505,"&lt;="&amp;$A264,実績!$AD$6:$AD$505,"&gt;"&amp;$A264,実績!$AE$6:$AE$505,"○")&gt;0,1,0))</f>
        <v/>
      </c>
      <c r="T264">
        <f>IF(T$4=0,0,IF(COUNTIFS(実績!$W$6:$W$505,T$3,実績!$AC$6:$AC$505,"&lt;="&amp;$A264,実績!$AD$6:$AD$505,"&gt;"&amp;$A264,実績!$AE$6:$AE$505,"○")&gt;0,1,0))</f>
        <v/>
      </c>
      <c r="U264">
        <f>IF(U$4=0,0,IF(COUNTIFS(実績!$W$6:$W$505,U$3,実績!$AC$6:$AC$505,"&lt;="&amp;$A264,実績!$AD$6:$AD$505,"&gt;"&amp;$A264,実績!$AE$6:$AE$505,"○")&gt;0,1,0))</f>
        <v/>
      </c>
      <c r="V264">
        <f>IF(V$4=0,0,IF(COUNTIFS(実績!$W$6:$W$505,V$3,実績!$AC$6:$AC$505,"&lt;="&amp;$A264,実績!$AD$6:$AD$505,"&gt;"&amp;$A264,実績!$AE$6:$AE$505,"○")&gt;0,1,0))</f>
        <v/>
      </c>
      <c r="W264">
        <f>IF(W$4=0,0,IF(COUNTIFS(実績!$W$6:$W$505,W$3,実績!$AC$6:$AC$505,"&lt;="&amp;$A264,実績!$AD$6:$AD$505,"&gt;"&amp;$A264,実績!$AE$6:$AE$505,"○")&gt;0,1,0))</f>
        <v/>
      </c>
      <c r="X264">
        <f>IF(X$4=0,0,IF(COUNTIFS(実績!$W$6:$W$505,X$3,実績!$AC$6:$AC$505,"&lt;="&amp;$A264,実績!$AD$6:$AD$505,"&gt;"&amp;$A264,実績!$AE$6:$AE$505,"○")&gt;0,1,0))</f>
        <v/>
      </c>
      <c r="Y264">
        <f>IF(Y$4=0,0,IF(COUNTIFS(実績!$W$6:$W$505,Y$3,実績!$AC$6:$AC$505,"&lt;="&amp;$A264,実績!$AD$6:$AD$505,"&gt;"&amp;$A264,実績!$AE$6:$AE$505,"○")&gt;0,1,0))</f>
        <v/>
      </c>
      <c r="Z264">
        <f>IF(Z$4=0,0,IF(COUNTIFS(実績!$W$6:$W$505,Z$3,実績!$AC$6:$AC$505,"&lt;="&amp;$A264,実績!$AD$6:$AD$505,"&gt;"&amp;$A264,実績!$AE$6:$AE$505,"○")&gt;0,1,0))</f>
        <v/>
      </c>
      <c r="AA264">
        <f>IF(AA$4=0,0,IF(COUNTIFS(実績!$W$6:$W$505,AA$3,実績!$AC$6:$AC$505,"&lt;="&amp;$A264,実績!$AD$6:$AD$505,"&gt;"&amp;$A264,実績!$AE$6:$AE$505,"○")&gt;0,1,0))</f>
        <v/>
      </c>
      <c r="AB264">
        <f>IF(AB$4=0,0,IF(COUNTIFS(実績!$W$6:$W$505,AB$3,実績!$AC$6:$AC$505,"&lt;="&amp;$A264,実績!$AD$6:$AD$505,"&gt;"&amp;$A264,実績!$AE$6:$AE$505,"○")&gt;0,1,0))</f>
        <v/>
      </c>
      <c r="AC264">
        <f>IF(AC$4=0,0,IF(COUNTIFS(実績!$W$6:$W$505,AC$3,実績!$AC$6:$AC$505,"&lt;="&amp;$A264,実績!$AD$6:$AD$505,"&gt;"&amp;$A264,実績!$AE$6:$AE$505,"○")&gt;0,1,0))</f>
        <v/>
      </c>
      <c r="AD264">
        <f>IF(AD$4=0,0,IF(COUNTIFS(実績!$W$6:$W$505,AD$3,実績!$AC$6:$AC$505,"&lt;="&amp;$A264,実績!$AD$6:$AD$505,"&gt;"&amp;$A264,実績!$AE$6:$AE$505,"○")&gt;0,1,0))</f>
        <v/>
      </c>
      <c r="AE264">
        <f>IF(AE$4=0,0,IF(COUNTIFS(実績!$W$6:$W$505,AE$3,実績!$AC$6:$AC$505,"&lt;="&amp;$A264,実績!$AD$6:$AD$505,"&gt;"&amp;$A264,実績!$AE$6:$AE$505,"○")&gt;0,1,0))</f>
        <v/>
      </c>
      <c r="AF264">
        <f>IF(AF$4=0,0,IF(COUNTIFS(実績!$W$6:$W$505,AF$3,実績!$AC$6:$AC$505,"&lt;="&amp;$A264,実績!$AD$6:$AD$505,"&gt;"&amp;$A264,実績!$AE$6:$AE$505,"○")&gt;0,1,0))</f>
        <v/>
      </c>
      <c r="AG264">
        <f>IF(AG$4=0,0,IF(COUNTIFS(実績!$W$6:$W$505,AG$3,実績!$AC$6:$AC$505,"&lt;="&amp;$A264,実績!$AD$6:$AD$505,"&gt;"&amp;$A264,実績!$AE$6:$AE$505,"○")&gt;0,1,0))</f>
        <v/>
      </c>
      <c r="AH264">
        <f>IF(AH$4=0,0,IF(COUNTIFS(実績!$W$6:$W$505,AH$3,実績!$AC$6:$AC$505,"&lt;="&amp;$A264,実績!$AD$6:$AD$505,"&gt;"&amp;$A264,実績!$AE$6:$AE$505,"○")&gt;0,1,0))</f>
        <v/>
      </c>
      <c r="AI264">
        <f>IF(AI$4=0,0,IF(COUNTIFS(実績!$W$6:$W$505,AI$3,実績!$AC$6:$AC$505,"&lt;="&amp;$A264,実績!$AD$6:$AD$505,"&gt;"&amp;$A264,実績!$AE$6:$AE$505,"○")&gt;0,1,0))</f>
        <v/>
      </c>
      <c r="AJ264">
        <f>IF(AJ$4=0,0,IF(COUNTIFS(実績!$W$6:$W$505,AJ$3,実績!$AC$6:$AC$505,"&lt;="&amp;$A264,実績!$AD$6:$AD$505,"&gt;"&amp;$A264,実績!$AE$6:$AE$505,"○")&gt;0,1,0))</f>
        <v/>
      </c>
      <c r="AK264">
        <f>IF(AK$4=0,0,IF(COUNTIFS(実績!$W$6:$W$505,AK$3,実績!$AC$6:$AC$505,"&lt;="&amp;$A264,実績!$AD$6:$AD$505,"&gt;"&amp;$A264,実績!$AE$6:$AE$505,"○")&gt;0,1,0))</f>
        <v/>
      </c>
      <c r="AL264">
        <f>IF(AL$4=0,0,IF(COUNTIFS(実績!$W$6:$W$505,AL$3,実績!$AC$6:$AC$505,"&lt;="&amp;$A264,実績!$AD$6:$AD$505,"&gt;"&amp;$A264,実績!$AE$6:$AE$505,"○")&gt;0,1,0))</f>
        <v/>
      </c>
      <c r="AM264">
        <f>IF(AM$4=0,0,IF(COUNTIFS(実績!$W$6:$W$505,AM$3,実績!$AC$6:$AC$505,"&lt;="&amp;$A264,実績!$AD$6:$AD$505,"&gt;"&amp;$A264,実績!$AE$6:$AE$505,"○")&gt;0,1,0))</f>
        <v/>
      </c>
      <c r="AN264">
        <f>IF(AN$4=0,0,IF(COUNTIFS(実績!$W$6:$W$505,AN$3,実績!$AC$6:$AC$505,"&lt;="&amp;$A264,実績!$AD$6:$AD$505,"&gt;"&amp;$A264,実績!$AE$6:$AE$505,"○")&gt;0,1,0))</f>
        <v/>
      </c>
      <c r="AO264">
        <f>IF(AO$4=0,0,IF(COUNTIFS(実績!$W$6:$W$505,AO$3,実績!$AC$6:$AC$505,"&lt;="&amp;$A264,実績!$AD$6:$AD$505,"&gt;"&amp;$A264,実績!$AE$6:$AE$505,"○")&gt;0,1,0))</f>
        <v/>
      </c>
      <c r="AP264">
        <f>IF(AP$4=0,0,IF(COUNTIFS(実績!$W$6:$W$505,AP$3,実績!$AC$6:$AC$505,"&lt;="&amp;$A264,実績!$AD$6:$AD$505,"&gt;"&amp;$A264,実績!$AE$6:$AE$505,"○")&gt;0,1,0))</f>
        <v/>
      </c>
      <c r="AQ264">
        <f>IF(AQ$4=0,0,IF(COUNTIFS(実績!$W$6:$W$505,AQ$3,実績!$AC$6:$AC$505,"&lt;="&amp;$A264,実績!$AD$6:$AD$505,"&gt;"&amp;$A264,実績!$AE$6:$AE$505,"○")&gt;0,1,0))</f>
        <v/>
      </c>
      <c r="AR264">
        <f>IF(AR$4=0,0,IF(COUNTIFS(実績!$W$6:$W$505,AR$3,実績!$AC$6:$AC$505,"&lt;="&amp;$A264,実績!$AD$6:$AD$505,"&gt;"&amp;$A264,実績!$AE$6:$AE$505,"○")&gt;0,1,0))</f>
        <v/>
      </c>
      <c r="AS264">
        <f>IF(AS$4=0,0,IF(COUNTIFS(実績!$W$6:$W$505,AS$3,実績!$AC$6:$AC$505,"&lt;="&amp;$A264,実績!$AD$6:$AD$505,"&gt;"&amp;$A264,実績!$AE$6:$AE$505,"○")&gt;0,1,0))</f>
        <v/>
      </c>
      <c r="AT264">
        <f>IF(AT$4=0,0,IF(COUNTIFS(実績!$W$6:$W$505,AT$3,実績!$AC$6:$AC$505,"&lt;="&amp;$A264,実績!$AD$6:$AD$505,"&gt;"&amp;$A264,実績!$AE$6:$AE$505,"○")&gt;0,1,0))</f>
        <v/>
      </c>
      <c r="AU264">
        <f>IF(AU$4=0,0,IF(COUNTIFS(実績!$W$6:$W$505,AU$3,実績!$AC$6:$AC$505,"&lt;="&amp;$A264,実績!$AD$6:$AD$505,"&gt;"&amp;$A264,実績!$AE$6:$AE$505,"○")&gt;0,1,0))</f>
        <v/>
      </c>
      <c r="AV264">
        <f>IF(AV$4=0,0,IF(COUNTIFS(実績!$W$6:$W$505,AV$3,実績!$AC$6:$AC$505,"&lt;="&amp;$A264,実績!$AD$6:$AD$505,"&gt;"&amp;$A264,実績!$AE$6:$AE$505,"○")&gt;0,1,0))</f>
        <v/>
      </c>
      <c r="AW264">
        <f>IF(AW$4=0,0,IF(COUNTIFS(実績!$W$6:$W$505,AW$3,実績!$AC$6:$AC$505,"&lt;="&amp;$A264,実績!$AD$6:$AD$505,"&gt;"&amp;$A264,実績!$AE$6:$AE$505,"○")&gt;0,1,0))</f>
        <v/>
      </c>
      <c r="AX264">
        <f>IF(AX$4=0,0,IF(COUNTIFS(実績!$W$6:$W$505,AX$3,実績!$AC$6:$AC$505,"&lt;="&amp;$A264,実績!$AD$6:$AD$505,"&gt;"&amp;$A264,実績!$AE$6:$AE$505,"○")&gt;0,1,0))</f>
        <v/>
      </c>
      <c r="AY264">
        <f>IF(AY$4=0,0,IF(COUNTIFS(実績!$W$6:$W$505,AY$3,実績!$AC$6:$AC$505,"&lt;="&amp;$A264,実績!$AD$6:$AD$505,"&gt;"&amp;$A264,実績!$AE$6:$AE$505,"○")&gt;0,1,0))</f>
        <v/>
      </c>
      <c r="AZ264">
        <f>IF(AZ$4=0,0,IF(COUNTIFS(実績!$W$6:$W$505,AZ$3,実績!$AC$6:$AC$505,"&lt;="&amp;$A264,実績!$AD$6:$AD$505,"&gt;"&amp;$A264,実績!$AE$6:$AE$505,"○")&gt;0,1,0))</f>
        <v/>
      </c>
      <c r="BA264">
        <f>IF(BA$4=0,0,IF(COUNTIFS(実績!$W$6:$W$505,BA$3,実績!$AC$6:$AC$505,"&lt;="&amp;$A264,実績!$AD$6:$AD$505,"&gt;"&amp;$A264,実績!$AE$6:$AE$505,"○")&gt;0,1,0))</f>
        <v/>
      </c>
      <c r="BB264">
        <f>IF(BB$4=0,0,IF(COUNTIFS(実績!$W$6:$W$505,BB$3,実績!$AC$6:$AC$505,"&lt;="&amp;$A264,実績!$AD$6:$AD$505,"&gt;"&amp;$A264,実績!$AE$6:$AE$505,"○")&gt;0,1,0))</f>
        <v/>
      </c>
      <c r="BC264">
        <f>IF(BC$4=0,0,IF(COUNTIFS(実績!$W$6:$W$505,BC$3,実績!$AC$6:$AC$505,"&lt;="&amp;$A264,実績!$AD$6:$AD$505,"&gt;"&amp;$A264,実績!$AE$6:$AE$505,"○")&gt;0,1,0))</f>
        <v/>
      </c>
      <c r="BD264">
        <f>IF(BD$4=0,0,IF(COUNTIFS(実績!$W$6:$W$505,BD$3,実績!$AC$6:$AC$505,"&lt;="&amp;$A264,実績!$AD$6:$AD$505,"&gt;"&amp;$A264,実績!$AE$6:$AE$505,"○")&gt;0,1,0))</f>
        <v/>
      </c>
      <c r="BE264">
        <f>IF(BE$4=0,0,IF(COUNTIFS(実績!$W$6:$W$505,BE$3,実績!$AC$6:$AC$505,"&lt;="&amp;$A264,実績!$AD$6:$AD$505,"&gt;"&amp;$A264,実績!$AE$6:$AE$505,"○")&gt;0,1,0))</f>
        <v/>
      </c>
      <c r="BF264">
        <f>IF(BF$4=0,0,IF(COUNTIFS(実績!$W$6:$W$505,BF$3,実績!$AC$6:$AC$505,"&lt;="&amp;$A264,実績!$AD$6:$AD$505,"&gt;"&amp;$A264,実績!$AE$6:$AE$505,"○")&gt;0,1,0))</f>
        <v/>
      </c>
      <c r="BG264">
        <f>IF(BG$4=0,0,IF(COUNTIFS(実績!$W$6:$W$505,BG$3,実績!$AC$6:$AC$505,"&lt;="&amp;$A264,実績!$AD$6:$AD$505,"&gt;"&amp;$A264,実績!$AE$6:$AE$505,"○")&gt;0,1,0))</f>
        <v/>
      </c>
      <c r="BH264">
        <f>IF(BH$4=0,0,IF(COUNTIFS(実績!$W$6:$W$505,BH$3,実績!$AC$6:$AC$505,"&lt;="&amp;$A264,実績!$AD$6:$AD$505,"&gt;"&amp;$A264,実績!$AE$6:$AE$505,"○")&gt;0,1,0))</f>
        <v/>
      </c>
      <c r="BI264">
        <f>IF(BI$4=0,0,IF(COUNTIFS(実績!$W$6:$W$505,BI$3,実績!$AC$6:$AC$505,"&lt;="&amp;$A264,実績!$AD$6:$AD$505,"&gt;"&amp;$A264,実績!$AE$6:$AE$505,"○")&gt;0,1,0))</f>
        <v/>
      </c>
      <c r="BJ264">
        <f>IF(BJ$4=0,0,IF(COUNTIFS(実績!$W$6:$W$505,BJ$3,実績!$AC$6:$AC$505,"&lt;="&amp;$A264,実績!$AD$6:$AD$505,"&gt;"&amp;$A264,実績!$AE$6:$AE$505,"○")&gt;0,1,0))</f>
        <v/>
      </c>
      <c r="BK264">
        <f>IF(BK$4=0,0,IF(COUNTIFS(実績!$W$6:$W$505,BK$3,実績!$AC$6:$AC$505,"&lt;="&amp;$A264,実績!$AD$6:$AD$505,"&gt;"&amp;$A264,実績!$AE$6:$AE$505,"○")&gt;0,1,0))</f>
        <v/>
      </c>
      <c r="BL264">
        <f>IF(BL$4=0,0,IF(COUNTIFS(実績!$W$6:$W$505,BL$3,実績!$AC$6:$AC$505,"&lt;="&amp;$A264,実績!$AD$6:$AD$505,"&gt;"&amp;$A264,実績!$AE$6:$AE$505,"○")&gt;0,1,0))</f>
        <v/>
      </c>
      <c r="BM264">
        <f>IF(BM$4=0,0,IF(COUNTIFS(実績!$W$6:$W$505,BM$3,実績!$AC$6:$AC$505,"&lt;="&amp;$A264,実績!$AD$6:$AD$505,"&gt;"&amp;$A264,実績!$AE$6:$AE$505,"○")&gt;0,1,0))</f>
        <v/>
      </c>
      <c r="BN264">
        <f>IF(BN$4=0,0,IF(COUNTIFS(実績!$W$6:$W$505,BN$3,実績!$AC$6:$AC$505,"&lt;="&amp;$A264,実績!$AD$6:$AD$505,"&gt;"&amp;$A264,実績!$AE$6:$AE$505,"○")&gt;0,1,0))</f>
        <v/>
      </c>
      <c r="BO264">
        <f>IF(BO$4=0,0,IF(COUNTIFS(実績!$W$6:$W$505,BO$3,実績!$AC$6:$AC$505,"&lt;="&amp;$A264,実績!$AD$6:$AD$505,"&gt;"&amp;$A264,実績!$AE$6:$AE$505,"○")&gt;0,1,0))</f>
        <v/>
      </c>
      <c r="BP264">
        <f>IF(BP$4=0,0,IF(COUNTIFS(実績!$W$6:$W$505,BP$3,実績!$AC$6:$AC$505,"&lt;="&amp;$A264,実績!$AD$6:$AD$505,"&gt;"&amp;$A264,実績!$AE$6:$AE$505,"○")&gt;0,1,0))</f>
        <v/>
      </c>
      <c r="BQ264">
        <f>IF(BQ$4=0,0,IF(COUNTIFS(実績!$W$6:$W$505,BQ$3,実績!$AC$6:$AC$505,"&lt;="&amp;$A264,実績!$AD$6:$AD$505,"&gt;"&amp;$A264,実績!$AE$6:$AE$505,"○")&gt;0,1,0))</f>
        <v/>
      </c>
      <c r="BR264">
        <f>IF(BR$4=0,0,IF(COUNTIFS(実績!$W$6:$W$505,BR$3,実績!$AC$6:$AC$505,"&lt;="&amp;$A264,実績!$AD$6:$AD$505,"&gt;"&amp;$A264,実績!$AE$6:$AE$505,"○")&gt;0,1,0))</f>
        <v/>
      </c>
      <c r="BS264">
        <f>IF(BS$4=0,0,IF(COUNTIFS(実績!$W$6:$W$505,BS$3,実績!$AC$6:$AC$505,"&lt;="&amp;$A264,実績!$AD$6:$AD$505,"&gt;"&amp;$A264,実績!$AE$6:$AE$505,"○")&gt;0,1,0))</f>
        <v/>
      </c>
      <c r="BT264">
        <f>IF(BT$4=0,0,IF(COUNTIFS(実績!$W$6:$W$505,BT$3,実績!$AC$6:$AC$505,"&lt;="&amp;$A264,実績!$AD$6:$AD$505,"&gt;"&amp;$A264,実績!$AE$6:$AE$505,"○")&gt;0,1,0))</f>
        <v/>
      </c>
      <c r="BU264">
        <f>IF(BU$4=0,0,IF(COUNTIFS(実績!$W$6:$W$505,BU$3,実績!$AC$6:$AC$505,"&lt;="&amp;$A264,実績!$AD$6:$AD$505,"&gt;"&amp;$A264,実績!$AE$6:$AE$505,"○")&gt;0,1,0))</f>
        <v/>
      </c>
      <c r="BV264">
        <f>IF(BV$4=0,0,IF(COUNTIFS(実績!$W$6:$W$505,BV$3,実績!$AC$6:$AC$505,"&lt;="&amp;$A264,実績!$AD$6:$AD$505,"&gt;"&amp;$A264,実績!$AE$6:$AE$505,"○")&gt;0,1,0))</f>
        <v/>
      </c>
      <c r="BW264">
        <f>IF(BW$4=0,0,IF(COUNTIFS(実績!$W$6:$W$505,BW$3,実績!$AC$6:$AC$505,"&lt;="&amp;$A264,実績!$AD$6:$AD$505,"&gt;"&amp;$A264,実績!$AE$6:$AE$505,"○")&gt;0,1,0))</f>
        <v/>
      </c>
      <c r="BX264">
        <f>IF(BX$4=0,0,IF(COUNTIFS(実績!$W$6:$W$505,BX$3,実績!$AC$6:$AC$505,"&lt;="&amp;$A264,実績!$AD$6:$AD$505,"&gt;"&amp;$A264,実績!$AE$6:$AE$505,"○")&gt;0,1,0))</f>
        <v/>
      </c>
      <c r="BY264">
        <f>IF(BY$4=0,0,IF(COUNTIFS(実績!$W$6:$W$505,BY$3,実績!$AC$6:$AC$505,"&lt;="&amp;$A264,実績!$AD$6:$AD$505,"&gt;"&amp;$A264,実績!$AE$6:$AE$505,"○")&gt;0,1,0))</f>
        <v/>
      </c>
      <c r="BZ264">
        <f>IF(BZ$4=0,0,IF(COUNTIFS(実績!$W$6:$W$505,BZ$3,実績!$AC$6:$AC$505,"&lt;="&amp;$A264,実績!$AD$6:$AD$505,"&gt;"&amp;$A264,実績!$AE$6:$AE$505,"○")&gt;0,1,0))</f>
        <v/>
      </c>
      <c r="CA264">
        <f>IF(CA$4=0,0,IF(COUNTIFS(実績!$W$6:$W$505,CA$3,実績!$AC$6:$AC$505,"&lt;="&amp;$A264,実績!$AD$6:$AD$505,"&gt;"&amp;$A264,実績!$AE$6:$AE$505,"○")&gt;0,1,0))</f>
        <v/>
      </c>
      <c r="CB264">
        <f>IF(CB$4=0,0,IF(COUNTIFS(実績!$W$6:$W$505,CB$3,実績!$AC$6:$AC$505,"&lt;="&amp;$A264,実績!$AD$6:$AD$505,"&gt;"&amp;$A264,実績!$AE$6:$AE$505,"○")&gt;0,1,0))</f>
        <v/>
      </c>
      <c r="CC264">
        <f>IF(CC$4=0,0,IF(COUNTIFS(実績!$W$6:$W$505,CC$3,実績!$AC$6:$AC$505,"&lt;="&amp;$A264,実績!$AD$6:$AD$505,"&gt;"&amp;$A264,実績!$AE$6:$AE$505,"○")&gt;0,1,0))</f>
        <v/>
      </c>
      <c r="CD264">
        <f>IF(CD$4=0,0,IF(COUNTIFS(実績!$W$6:$W$505,CD$3,実績!$AC$6:$AC$505,"&lt;="&amp;$A264,実績!$AD$6:$AD$505,"&gt;"&amp;$A264,実績!$AE$6:$AE$505,"○")&gt;0,1,0))</f>
        <v/>
      </c>
      <c r="CE264">
        <f>IF(CE$4=0,0,IF(COUNTIFS(実績!$W$6:$W$505,CE$3,実績!$AC$6:$AC$505,"&lt;="&amp;$A264,実績!$AD$6:$AD$505,"&gt;"&amp;$A264,実績!$AE$6:$AE$505,"○")&gt;0,1,0))</f>
        <v/>
      </c>
      <c r="CF264">
        <f>IF(CF$4=0,0,IF(COUNTIFS(実績!$W$6:$W$505,CF$3,実績!$AC$6:$AC$505,"&lt;="&amp;$A264,実績!$AD$6:$AD$505,"&gt;"&amp;$A264,実績!$AE$6:$AE$505,"○")&gt;0,1,0))</f>
        <v/>
      </c>
      <c r="CG264">
        <f>IF(CG$4=0,0,IF(COUNTIFS(実績!$W$6:$W$505,CG$3,実績!$AC$6:$AC$505,"&lt;="&amp;$A264,実績!$AD$6:$AD$505,"&gt;"&amp;$A264,実績!$AE$6:$AE$505,"○")&gt;0,1,0))</f>
        <v/>
      </c>
      <c r="CH264">
        <f>IF(CH$4=0,0,IF(COUNTIFS(実績!$W$6:$W$505,CH$3,実績!$AC$6:$AC$505,"&lt;="&amp;$A264,実績!$AD$6:$AD$505,"&gt;"&amp;$A264,実績!$AE$6:$AE$505,"○")&gt;0,1,0))</f>
        <v/>
      </c>
      <c r="CI264">
        <f>IF(CI$4=0,0,IF(COUNTIFS(実績!$W$6:$W$505,CI$3,実績!$AC$6:$AC$505,"&lt;="&amp;$A264,実績!$AD$6:$AD$505,"&gt;"&amp;$A264,実績!$AE$6:$AE$505,"○")&gt;0,1,0))</f>
        <v/>
      </c>
      <c r="CJ264">
        <f>IF(CJ$4=0,0,IF(COUNTIFS(実績!$W$6:$W$505,CJ$3,実績!$AC$6:$AC$505,"&lt;="&amp;$A264,実績!$AD$6:$AD$505,"&gt;"&amp;$A264,実績!$AE$6:$AE$505,"○")&gt;0,1,0))</f>
        <v/>
      </c>
      <c r="CK264">
        <f>IF(CK$4=0,0,IF(COUNTIFS(実績!$W$6:$W$505,CK$3,実績!$AC$6:$AC$505,"&lt;="&amp;$A264,実績!$AD$6:$AD$505,"&gt;"&amp;$A264,実績!$AE$6:$AE$505,"○")&gt;0,1,0))</f>
        <v/>
      </c>
      <c r="CL264">
        <f>IF(CL$4=0,0,IF(COUNTIFS(実績!$W$6:$W$505,CL$3,実績!$AC$6:$AC$505,"&lt;="&amp;$A264,実績!$AD$6:$AD$505,"&gt;"&amp;$A264,実績!$AE$6:$AE$505,"○")&gt;0,1,0))</f>
        <v/>
      </c>
      <c r="CM264">
        <f>IF(CM$4=0,0,IF(COUNTIFS(実績!$W$6:$W$505,CM$3,実績!$AC$6:$AC$505,"&lt;="&amp;$A264,実績!$AD$6:$AD$505,"&gt;"&amp;$A264,実績!$AE$6:$AE$505,"○")&gt;0,1,0))</f>
        <v/>
      </c>
      <c r="CN264">
        <f>IF(CN$4=0,0,IF(COUNTIFS(実績!$W$6:$W$505,CN$3,実績!$AC$6:$AC$505,"&lt;="&amp;$A264,実績!$AD$6:$AD$505,"&gt;"&amp;$A264,実績!$AE$6:$AE$505,"○")&gt;0,1,0))</f>
        <v/>
      </c>
      <c r="CO264">
        <f>IF(CO$4=0,0,IF(COUNTIFS(実績!$W$6:$W$505,CO$3,実績!$AC$6:$AC$505,"&lt;="&amp;$A264,実績!$AD$6:$AD$505,"&gt;"&amp;$A264,実績!$AE$6:$AE$505,"○")&gt;0,1,0))</f>
        <v/>
      </c>
      <c r="CP264">
        <f>IF(CP$4=0,0,IF(COUNTIFS(実績!$W$6:$W$505,CP$3,実績!$AC$6:$AC$505,"&lt;="&amp;$A264,実績!$AD$6:$AD$505,"&gt;"&amp;$A264,実績!$AE$6:$AE$505,"○")&gt;0,1,0))</f>
        <v/>
      </c>
      <c r="CQ264">
        <f>IF(CQ$4=0,0,IF(COUNTIFS(実績!$W$6:$W$505,CQ$3,実績!$AC$6:$AC$505,"&lt;="&amp;$A264,実績!$AD$6:$AD$505,"&gt;"&amp;$A264,実績!$AE$6:$AE$505,"○")&gt;0,1,0))</f>
        <v/>
      </c>
      <c r="CR264">
        <f>IF(CR$4=0,0,IF(COUNTIFS(実績!$W$6:$W$505,CR$3,実績!$AC$6:$AC$505,"&lt;="&amp;$A264,実績!$AD$6:$AD$505,"&gt;"&amp;$A264,実績!$AE$6:$AE$505,"○")&gt;0,1,0))</f>
        <v/>
      </c>
      <c r="CS264">
        <f>IF(CS$4=0,0,IF(COUNTIFS(実績!$W$6:$W$505,CS$3,実績!$AC$6:$AC$505,"&lt;="&amp;$A264,実績!$AD$6:$AD$505,"&gt;"&amp;$A264,実績!$AE$6:$AE$505,"○")&gt;0,1,0))</f>
        <v/>
      </c>
      <c r="CT264">
        <f>IF(CT$4=0,0,IF(COUNTIFS(実績!$W$6:$W$505,CT$3,実績!$AC$6:$AC$505,"&lt;="&amp;$A264,実績!$AD$6:$AD$505,"&gt;"&amp;$A264,実績!$AE$6:$AE$505,"○")&gt;0,1,0))</f>
        <v/>
      </c>
      <c r="CU264">
        <f>IF(CU$4=0,0,IF(COUNTIFS(実績!$W$6:$W$505,CU$3,実績!$AC$6:$AC$505,"&lt;="&amp;$A264,実績!$AD$6:$AD$505,"&gt;"&amp;$A264,実績!$AE$6:$AE$505,"○")&gt;0,1,0))</f>
        <v/>
      </c>
      <c r="CV264">
        <f>IF(CV$4=0,0,IF(COUNTIFS(実績!$W$6:$W$505,CV$3,実績!$AC$6:$AC$505,"&lt;="&amp;$A264,実績!$AD$6:$AD$505,"&gt;"&amp;$A264,実績!$AE$6:$AE$505,"○")&gt;0,1,0))</f>
        <v/>
      </c>
      <c r="CW264">
        <f>IF(CW$4=0,0,IF(COUNTIFS(実績!$W$6:$W$505,CW$3,実績!$AC$6:$AC$505,"&lt;="&amp;$A264,実績!$AD$6:$AD$505,"&gt;"&amp;$A264,実績!$AE$6:$AE$505,"○")&gt;0,1,0))</f>
        <v/>
      </c>
      <c r="CX264">
        <f>IF(CX$4=0,0,IF(COUNTIFS(実績!$W$6:$W$505,CX$3,実績!$AC$6:$AC$505,"&lt;="&amp;$A264,実績!$AD$6:$AD$505,"&gt;"&amp;$A264,実績!$AE$6:$AE$505,"○")&gt;0,1,0))</f>
        <v/>
      </c>
      <c r="CY264">
        <f>IF(CY$4=0,0,IF(COUNTIFS(実績!$W$6:$W$505,CY$3,実績!$AC$6:$AC$505,"&lt;="&amp;$A264,実績!$AD$6:$AD$505,"&gt;"&amp;$A264,実績!$AE$6:$AE$505,"○")&gt;0,1,0))</f>
        <v/>
      </c>
      <c r="CZ264">
        <f>IF(CZ$4=0,0,IF(COUNTIFS(実績!$W$6:$W$505,CZ$3,実績!$AC$6:$AC$505,"&lt;="&amp;$A264,実績!$AD$6:$AD$505,"&gt;"&amp;$A264,実績!$AE$6:$AE$505,"○")&gt;0,1,0))</f>
        <v/>
      </c>
      <c r="DA264">
        <f>IF(DA$4=0,0,IF(COUNTIFS(実績!$W$6:$W$505,DA$3,実績!$AC$6:$AC$505,"&lt;="&amp;$A264,実績!$AD$6:$AD$505,"&gt;"&amp;$A264,実績!$AE$6:$AE$505,"○")&gt;0,1,0))</f>
        <v/>
      </c>
      <c r="DB264">
        <f>IF(DB$4=0,0,IF(COUNTIFS(実績!$W$6:$W$505,DB$3,実績!$AC$6:$AC$505,"&lt;="&amp;$A264,実績!$AD$6:$AD$505,"&gt;"&amp;$A264,実績!$AE$6:$AE$505,"○")&gt;0,1,0))</f>
        <v/>
      </c>
      <c r="DC264">
        <f>IF(DC$4=0,0,IF(COUNTIFS(実績!$W$6:$W$505,DC$3,実績!$AC$6:$AC$505,"&lt;="&amp;$A264,実績!$AD$6:$AD$505,"&gt;"&amp;$A264,実績!$AE$6:$AE$505,"○")&gt;0,1,0))</f>
        <v/>
      </c>
      <c r="DD264">
        <f>IF(DD$4=0,0,IF(COUNTIFS(実績!$W$6:$W$505,DD$3,実績!$AC$6:$AC$505,"&lt;="&amp;$A264,実績!$AD$6:$AD$505,"&gt;"&amp;$A264,実績!$AE$6:$AE$505,"○")&gt;0,1,0))</f>
        <v/>
      </c>
      <c r="DE264">
        <f>IF(DE$4=0,0,IF(COUNTIFS(実績!$W$6:$W$505,DE$3,実績!$AC$6:$AC$505,"&lt;="&amp;$A264,実績!$AD$6:$AD$505,"&gt;"&amp;$A264,実績!$AE$6:$AE$505,"○")&gt;0,1,0))</f>
        <v/>
      </c>
      <c r="DF264">
        <f>IF(DF$4=0,0,IF(COUNTIFS(実績!$W$6:$W$505,DF$3,実績!$AC$6:$AC$505,"&lt;="&amp;$A264,実績!$AD$6:$AD$505,"&gt;"&amp;$A264,実績!$AE$6:$AE$505,"○")&gt;0,1,0))</f>
        <v/>
      </c>
      <c r="DG264">
        <f>IF(DG$4=0,0,IF(COUNTIFS(実績!$W$6:$W$505,DG$3,実績!$AC$6:$AC$505,"&lt;="&amp;$A264,実績!$AD$6:$AD$505,"&gt;"&amp;$A264,実績!$AE$6:$AE$505,"○")&gt;0,1,0))</f>
        <v/>
      </c>
      <c r="DH264">
        <f>IF(DH$4=0,0,IF(COUNTIFS(実績!$W$6:$W$505,DH$3,実績!$AC$6:$AC$505,"&lt;="&amp;$A264,実績!$AD$6:$AD$505,"&gt;"&amp;$A264,実績!$AE$6:$AE$505,"○")&gt;0,1,0))</f>
        <v/>
      </c>
      <c r="DI264">
        <f>IF(DI$4=0,0,IF(COUNTIFS(実績!$W$6:$W$505,DI$3,実績!$AC$6:$AC$505,"&lt;="&amp;$A264,実績!$AD$6:$AD$505,"&gt;"&amp;$A264,実績!$AE$6:$AE$505,"○")&gt;0,1,0))</f>
        <v/>
      </c>
      <c r="DJ264">
        <f>IF(DJ$4=0,0,IF(COUNTIFS(実績!$W$6:$W$505,DJ$3,実績!$AC$6:$AC$505,"&lt;="&amp;$A264,実績!$AD$6:$AD$505,"&gt;"&amp;$A264,実績!$AE$6:$AE$505,"○")&gt;0,1,0))</f>
        <v/>
      </c>
      <c r="DK264">
        <f>IF(DK$4=0,0,IF(COUNTIFS(実績!$W$6:$W$505,DK$3,実績!$AC$6:$AC$505,"&lt;="&amp;$A264,実績!$AD$6:$AD$505,"&gt;"&amp;$A264,実績!$AE$6:$AE$505,"○")&gt;0,1,0))</f>
        <v/>
      </c>
      <c r="DL264">
        <f>IF(DL$4=0,0,IF(COUNTIFS(実績!$W$6:$W$505,DL$3,実績!$AC$6:$AC$505,"&lt;="&amp;$A264,実績!$AD$6:$AD$505,"&gt;"&amp;$A264,実績!$AE$6:$AE$505,"○")&gt;0,1,0))</f>
        <v/>
      </c>
      <c r="DM264">
        <f>IF(DM$4=0,0,IF(COUNTIFS(実績!$W$6:$W$505,DM$3,実績!$AC$6:$AC$505,"&lt;="&amp;$A264,実績!$AD$6:$AD$505,"&gt;"&amp;$A264,実績!$AE$6:$AE$505,"○")&gt;0,1,0))</f>
        <v/>
      </c>
      <c r="DN264">
        <f>IF(DN$4=0,0,IF(COUNTIFS(実績!$W$6:$W$505,DN$3,実績!$AC$6:$AC$505,"&lt;="&amp;$A264,実績!$AD$6:$AD$505,"&gt;"&amp;$A264,実績!$AE$6:$AE$505,"○")&gt;0,1,0))</f>
        <v/>
      </c>
      <c r="DO264">
        <f>IF(DO$4=0,0,IF(COUNTIFS(実績!$W$6:$W$505,DO$3,実績!$AC$6:$AC$505,"&lt;="&amp;$A264,実績!$AD$6:$AD$505,"&gt;"&amp;$A264,実績!$AE$6:$AE$505,"○")&gt;0,1,0))</f>
        <v/>
      </c>
      <c r="DP264">
        <f>IF(DP$4=0,0,IF(COUNTIFS(実績!$W$6:$W$505,DP$3,実績!$AC$6:$AC$505,"&lt;="&amp;$A264,実績!$AD$6:$AD$505,"&gt;"&amp;$A264,実績!$AE$6:$AE$505,"○")&gt;0,1,0))</f>
        <v/>
      </c>
      <c r="DQ264">
        <f>IF(DQ$4=0,0,IF(COUNTIFS(実績!$W$6:$W$505,DQ$3,実績!$AC$6:$AC$505,"&lt;="&amp;$A264,実績!$AD$6:$AD$505,"&gt;"&amp;$A264,実績!$AE$6:$AE$505,"○")&gt;0,1,0))</f>
        <v/>
      </c>
      <c r="DR264">
        <f>IF(DR$4=0,0,IF(COUNTIFS(実績!$W$6:$W$505,DR$3,実績!$AC$6:$AC$505,"&lt;="&amp;$A264,実績!$AD$6:$AD$505,"&gt;"&amp;$A264,実績!$AE$6:$AE$505,"○")&gt;0,1,0))</f>
        <v/>
      </c>
      <c r="DS264">
        <f>SUM(C264:DR264)</f>
        <v/>
      </c>
      <c r="DT264">
        <f>SUMPRODUCT((実績!$C$6:$C$505="○")*ISNUMBER(実績!$AF$6:$AF$505)*(実績!$AF$6:$AF$505&lt;=$A264)*(実績!$AG$6:$AG$505&gt;$A264))</f>
        <v/>
      </c>
      <c r="DU264">
        <f>SUMIF($C$2:$DR$2,"製鉄曳船",C264:DR264)</f>
        <v/>
      </c>
      <c r="DV264">
        <f>SUMIF($C$2:$DR$2,"西日本海運",C264:DR264)</f>
        <v/>
      </c>
    </row>
    <row r="265">
      <c r="A265" t="n">
        <v>1295</v>
      </c>
      <c r="B265" s="29">
        <f>A265/1440</f>
        <v/>
      </c>
      <c r="C265">
        <f>IF(C$4=0,0,IF(COUNTIFS(実績!$W$6:$W$505,C$3,実績!$AC$6:$AC$505,"&lt;="&amp;$A265,実績!$AD$6:$AD$505,"&gt;"&amp;$A265,実績!$AE$6:$AE$505,"○")&gt;0,1,0))</f>
        <v/>
      </c>
      <c r="D265">
        <f>IF(D$4=0,0,IF(COUNTIFS(実績!$W$6:$W$505,D$3,実績!$AC$6:$AC$505,"&lt;="&amp;$A265,実績!$AD$6:$AD$505,"&gt;"&amp;$A265,実績!$AE$6:$AE$505,"○")&gt;0,1,0))</f>
        <v/>
      </c>
      <c r="E265">
        <f>IF(E$4=0,0,IF(COUNTIFS(実績!$W$6:$W$505,E$3,実績!$AC$6:$AC$505,"&lt;="&amp;$A265,実績!$AD$6:$AD$505,"&gt;"&amp;$A265,実績!$AE$6:$AE$505,"○")&gt;0,1,0))</f>
        <v/>
      </c>
      <c r="F265">
        <f>IF(F$4=0,0,IF(COUNTIFS(実績!$W$6:$W$505,F$3,実績!$AC$6:$AC$505,"&lt;="&amp;$A265,実績!$AD$6:$AD$505,"&gt;"&amp;$A265,実績!$AE$6:$AE$505,"○")&gt;0,1,0))</f>
        <v/>
      </c>
      <c r="G265">
        <f>IF(G$4=0,0,IF(COUNTIFS(実績!$W$6:$W$505,G$3,実績!$AC$6:$AC$505,"&lt;="&amp;$A265,実績!$AD$6:$AD$505,"&gt;"&amp;$A265,実績!$AE$6:$AE$505,"○")&gt;0,1,0))</f>
        <v/>
      </c>
      <c r="H265">
        <f>IF(H$4=0,0,IF(COUNTIFS(実績!$W$6:$W$505,H$3,実績!$AC$6:$AC$505,"&lt;="&amp;$A265,実績!$AD$6:$AD$505,"&gt;"&amp;$A265,実績!$AE$6:$AE$505,"○")&gt;0,1,0))</f>
        <v/>
      </c>
      <c r="I265">
        <f>IF(I$4=0,0,IF(COUNTIFS(実績!$W$6:$W$505,I$3,実績!$AC$6:$AC$505,"&lt;="&amp;$A265,実績!$AD$6:$AD$505,"&gt;"&amp;$A265,実績!$AE$6:$AE$505,"○")&gt;0,1,0))</f>
        <v/>
      </c>
      <c r="J265">
        <f>IF(J$4=0,0,IF(COUNTIFS(実績!$W$6:$W$505,J$3,実績!$AC$6:$AC$505,"&lt;="&amp;$A265,実績!$AD$6:$AD$505,"&gt;"&amp;$A265,実績!$AE$6:$AE$505,"○")&gt;0,1,0))</f>
        <v/>
      </c>
      <c r="K265">
        <f>IF(K$4=0,0,IF(COUNTIFS(実績!$W$6:$W$505,K$3,実績!$AC$6:$AC$505,"&lt;="&amp;$A265,実績!$AD$6:$AD$505,"&gt;"&amp;$A265,実績!$AE$6:$AE$505,"○")&gt;0,1,0))</f>
        <v/>
      </c>
      <c r="L265">
        <f>IF(L$4=0,0,IF(COUNTIFS(実績!$W$6:$W$505,L$3,実績!$AC$6:$AC$505,"&lt;="&amp;$A265,実績!$AD$6:$AD$505,"&gt;"&amp;$A265,実績!$AE$6:$AE$505,"○")&gt;0,1,0))</f>
        <v/>
      </c>
      <c r="M265">
        <f>IF(M$4=0,0,IF(COUNTIFS(実績!$W$6:$W$505,M$3,実績!$AC$6:$AC$505,"&lt;="&amp;$A265,実績!$AD$6:$AD$505,"&gt;"&amp;$A265,実績!$AE$6:$AE$505,"○")&gt;0,1,0))</f>
        <v/>
      </c>
      <c r="N265">
        <f>IF(N$4=0,0,IF(COUNTIFS(実績!$W$6:$W$505,N$3,実績!$AC$6:$AC$505,"&lt;="&amp;$A265,実績!$AD$6:$AD$505,"&gt;"&amp;$A265,実績!$AE$6:$AE$505,"○")&gt;0,1,0))</f>
        <v/>
      </c>
      <c r="O265">
        <f>IF(O$4=0,0,IF(COUNTIFS(実績!$W$6:$W$505,O$3,実績!$AC$6:$AC$505,"&lt;="&amp;$A265,実績!$AD$6:$AD$505,"&gt;"&amp;$A265,実績!$AE$6:$AE$505,"○")&gt;0,1,0))</f>
        <v/>
      </c>
      <c r="P265">
        <f>IF(P$4=0,0,IF(COUNTIFS(実績!$W$6:$W$505,P$3,実績!$AC$6:$AC$505,"&lt;="&amp;$A265,実績!$AD$6:$AD$505,"&gt;"&amp;$A265,実績!$AE$6:$AE$505,"○")&gt;0,1,0))</f>
        <v/>
      </c>
      <c r="Q265">
        <f>IF(Q$4=0,0,IF(COUNTIFS(実績!$W$6:$W$505,Q$3,実績!$AC$6:$AC$505,"&lt;="&amp;$A265,実績!$AD$6:$AD$505,"&gt;"&amp;$A265,実績!$AE$6:$AE$505,"○")&gt;0,1,0))</f>
        <v/>
      </c>
      <c r="R265">
        <f>IF(R$4=0,0,IF(COUNTIFS(実績!$W$6:$W$505,R$3,実績!$AC$6:$AC$505,"&lt;="&amp;$A265,実績!$AD$6:$AD$505,"&gt;"&amp;$A265,実績!$AE$6:$AE$505,"○")&gt;0,1,0))</f>
        <v/>
      </c>
      <c r="S265">
        <f>IF(S$4=0,0,IF(COUNTIFS(実績!$W$6:$W$505,S$3,実績!$AC$6:$AC$505,"&lt;="&amp;$A265,実績!$AD$6:$AD$505,"&gt;"&amp;$A265,実績!$AE$6:$AE$505,"○")&gt;0,1,0))</f>
        <v/>
      </c>
      <c r="T265">
        <f>IF(T$4=0,0,IF(COUNTIFS(実績!$W$6:$W$505,T$3,実績!$AC$6:$AC$505,"&lt;="&amp;$A265,実績!$AD$6:$AD$505,"&gt;"&amp;$A265,実績!$AE$6:$AE$505,"○")&gt;0,1,0))</f>
        <v/>
      </c>
      <c r="U265">
        <f>IF(U$4=0,0,IF(COUNTIFS(実績!$W$6:$W$505,U$3,実績!$AC$6:$AC$505,"&lt;="&amp;$A265,実績!$AD$6:$AD$505,"&gt;"&amp;$A265,実績!$AE$6:$AE$505,"○")&gt;0,1,0))</f>
        <v/>
      </c>
      <c r="V265">
        <f>IF(V$4=0,0,IF(COUNTIFS(実績!$W$6:$W$505,V$3,実績!$AC$6:$AC$505,"&lt;="&amp;$A265,実績!$AD$6:$AD$505,"&gt;"&amp;$A265,実績!$AE$6:$AE$505,"○")&gt;0,1,0))</f>
        <v/>
      </c>
      <c r="W265">
        <f>IF(W$4=0,0,IF(COUNTIFS(実績!$W$6:$W$505,W$3,実績!$AC$6:$AC$505,"&lt;="&amp;$A265,実績!$AD$6:$AD$505,"&gt;"&amp;$A265,実績!$AE$6:$AE$505,"○")&gt;0,1,0))</f>
        <v/>
      </c>
      <c r="X265">
        <f>IF(X$4=0,0,IF(COUNTIFS(実績!$W$6:$W$505,X$3,実績!$AC$6:$AC$505,"&lt;="&amp;$A265,実績!$AD$6:$AD$505,"&gt;"&amp;$A265,実績!$AE$6:$AE$505,"○")&gt;0,1,0))</f>
        <v/>
      </c>
      <c r="Y265">
        <f>IF(Y$4=0,0,IF(COUNTIFS(実績!$W$6:$W$505,Y$3,実績!$AC$6:$AC$505,"&lt;="&amp;$A265,実績!$AD$6:$AD$505,"&gt;"&amp;$A265,実績!$AE$6:$AE$505,"○")&gt;0,1,0))</f>
        <v/>
      </c>
      <c r="Z265">
        <f>IF(Z$4=0,0,IF(COUNTIFS(実績!$W$6:$W$505,Z$3,実績!$AC$6:$AC$505,"&lt;="&amp;$A265,実績!$AD$6:$AD$505,"&gt;"&amp;$A265,実績!$AE$6:$AE$505,"○")&gt;0,1,0))</f>
        <v/>
      </c>
      <c r="AA265">
        <f>IF(AA$4=0,0,IF(COUNTIFS(実績!$W$6:$W$505,AA$3,実績!$AC$6:$AC$505,"&lt;="&amp;$A265,実績!$AD$6:$AD$505,"&gt;"&amp;$A265,実績!$AE$6:$AE$505,"○")&gt;0,1,0))</f>
        <v/>
      </c>
      <c r="AB265">
        <f>IF(AB$4=0,0,IF(COUNTIFS(実績!$W$6:$W$505,AB$3,実績!$AC$6:$AC$505,"&lt;="&amp;$A265,実績!$AD$6:$AD$505,"&gt;"&amp;$A265,実績!$AE$6:$AE$505,"○")&gt;0,1,0))</f>
        <v/>
      </c>
      <c r="AC265">
        <f>IF(AC$4=0,0,IF(COUNTIFS(実績!$W$6:$W$505,AC$3,実績!$AC$6:$AC$505,"&lt;="&amp;$A265,実績!$AD$6:$AD$505,"&gt;"&amp;$A265,実績!$AE$6:$AE$505,"○")&gt;0,1,0))</f>
        <v/>
      </c>
      <c r="AD265">
        <f>IF(AD$4=0,0,IF(COUNTIFS(実績!$W$6:$W$505,AD$3,実績!$AC$6:$AC$505,"&lt;="&amp;$A265,実績!$AD$6:$AD$505,"&gt;"&amp;$A265,実績!$AE$6:$AE$505,"○")&gt;0,1,0))</f>
        <v/>
      </c>
      <c r="AE265">
        <f>IF(AE$4=0,0,IF(COUNTIFS(実績!$W$6:$W$505,AE$3,実績!$AC$6:$AC$505,"&lt;="&amp;$A265,実績!$AD$6:$AD$505,"&gt;"&amp;$A265,実績!$AE$6:$AE$505,"○")&gt;0,1,0))</f>
        <v/>
      </c>
      <c r="AF265">
        <f>IF(AF$4=0,0,IF(COUNTIFS(実績!$W$6:$W$505,AF$3,実績!$AC$6:$AC$505,"&lt;="&amp;$A265,実績!$AD$6:$AD$505,"&gt;"&amp;$A265,実績!$AE$6:$AE$505,"○")&gt;0,1,0))</f>
        <v/>
      </c>
      <c r="AG265">
        <f>IF(AG$4=0,0,IF(COUNTIFS(実績!$W$6:$W$505,AG$3,実績!$AC$6:$AC$505,"&lt;="&amp;$A265,実績!$AD$6:$AD$505,"&gt;"&amp;$A265,実績!$AE$6:$AE$505,"○")&gt;0,1,0))</f>
        <v/>
      </c>
      <c r="AH265">
        <f>IF(AH$4=0,0,IF(COUNTIFS(実績!$W$6:$W$505,AH$3,実績!$AC$6:$AC$505,"&lt;="&amp;$A265,実績!$AD$6:$AD$505,"&gt;"&amp;$A265,実績!$AE$6:$AE$505,"○")&gt;0,1,0))</f>
        <v/>
      </c>
      <c r="AI265">
        <f>IF(AI$4=0,0,IF(COUNTIFS(実績!$W$6:$W$505,AI$3,実績!$AC$6:$AC$505,"&lt;="&amp;$A265,実績!$AD$6:$AD$505,"&gt;"&amp;$A265,実績!$AE$6:$AE$505,"○")&gt;0,1,0))</f>
        <v/>
      </c>
      <c r="AJ265">
        <f>IF(AJ$4=0,0,IF(COUNTIFS(実績!$W$6:$W$505,AJ$3,実績!$AC$6:$AC$505,"&lt;="&amp;$A265,実績!$AD$6:$AD$505,"&gt;"&amp;$A265,実績!$AE$6:$AE$505,"○")&gt;0,1,0))</f>
        <v/>
      </c>
      <c r="AK265">
        <f>IF(AK$4=0,0,IF(COUNTIFS(実績!$W$6:$W$505,AK$3,実績!$AC$6:$AC$505,"&lt;="&amp;$A265,実績!$AD$6:$AD$505,"&gt;"&amp;$A265,実績!$AE$6:$AE$505,"○")&gt;0,1,0))</f>
        <v/>
      </c>
      <c r="AL265">
        <f>IF(AL$4=0,0,IF(COUNTIFS(実績!$W$6:$W$505,AL$3,実績!$AC$6:$AC$505,"&lt;="&amp;$A265,実績!$AD$6:$AD$505,"&gt;"&amp;$A265,実績!$AE$6:$AE$505,"○")&gt;0,1,0))</f>
        <v/>
      </c>
      <c r="AM265">
        <f>IF(AM$4=0,0,IF(COUNTIFS(実績!$W$6:$W$505,AM$3,実績!$AC$6:$AC$505,"&lt;="&amp;$A265,実績!$AD$6:$AD$505,"&gt;"&amp;$A265,実績!$AE$6:$AE$505,"○")&gt;0,1,0))</f>
        <v/>
      </c>
      <c r="AN265">
        <f>IF(AN$4=0,0,IF(COUNTIFS(実績!$W$6:$W$505,AN$3,実績!$AC$6:$AC$505,"&lt;="&amp;$A265,実績!$AD$6:$AD$505,"&gt;"&amp;$A265,実績!$AE$6:$AE$505,"○")&gt;0,1,0))</f>
        <v/>
      </c>
      <c r="AO265">
        <f>IF(AO$4=0,0,IF(COUNTIFS(実績!$W$6:$W$505,AO$3,実績!$AC$6:$AC$505,"&lt;="&amp;$A265,実績!$AD$6:$AD$505,"&gt;"&amp;$A265,実績!$AE$6:$AE$505,"○")&gt;0,1,0))</f>
        <v/>
      </c>
      <c r="AP265">
        <f>IF(AP$4=0,0,IF(COUNTIFS(実績!$W$6:$W$505,AP$3,実績!$AC$6:$AC$505,"&lt;="&amp;$A265,実績!$AD$6:$AD$505,"&gt;"&amp;$A265,実績!$AE$6:$AE$505,"○")&gt;0,1,0))</f>
        <v/>
      </c>
      <c r="AQ265">
        <f>IF(AQ$4=0,0,IF(COUNTIFS(実績!$W$6:$W$505,AQ$3,実績!$AC$6:$AC$505,"&lt;="&amp;$A265,実績!$AD$6:$AD$505,"&gt;"&amp;$A265,実績!$AE$6:$AE$505,"○")&gt;0,1,0))</f>
        <v/>
      </c>
      <c r="AR265">
        <f>IF(AR$4=0,0,IF(COUNTIFS(実績!$W$6:$W$505,AR$3,実績!$AC$6:$AC$505,"&lt;="&amp;$A265,実績!$AD$6:$AD$505,"&gt;"&amp;$A265,実績!$AE$6:$AE$505,"○")&gt;0,1,0))</f>
        <v/>
      </c>
      <c r="AS265">
        <f>IF(AS$4=0,0,IF(COUNTIFS(実績!$W$6:$W$505,AS$3,実績!$AC$6:$AC$505,"&lt;="&amp;$A265,実績!$AD$6:$AD$505,"&gt;"&amp;$A265,実績!$AE$6:$AE$505,"○")&gt;0,1,0))</f>
        <v/>
      </c>
      <c r="AT265">
        <f>IF(AT$4=0,0,IF(COUNTIFS(実績!$W$6:$W$505,AT$3,実績!$AC$6:$AC$505,"&lt;="&amp;$A265,実績!$AD$6:$AD$505,"&gt;"&amp;$A265,実績!$AE$6:$AE$505,"○")&gt;0,1,0))</f>
        <v/>
      </c>
      <c r="AU265">
        <f>IF(AU$4=0,0,IF(COUNTIFS(実績!$W$6:$W$505,AU$3,実績!$AC$6:$AC$505,"&lt;="&amp;$A265,実績!$AD$6:$AD$505,"&gt;"&amp;$A265,実績!$AE$6:$AE$505,"○")&gt;0,1,0))</f>
        <v/>
      </c>
      <c r="AV265">
        <f>IF(AV$4=0,0,IF(COUNTIFS(実績!$W$6:$W$505,AV$3,実績!$AC$6:$AC$505,"&lt;="&amp;$A265,実績!$AD$6:$AD$505,"&gt;"&amp;$A265,実績!$AE$6:$AE$505,"○")&gt;0,1,0))</f>
        <v/>
      </c>
      <c r="AW265">
        <f>IF(AW$4=0,0,IF(COUNTIFS(実績!$W$6:$W$505,AW$3,実績!$AC$6:$AC$505,"&lt;="&amp;$A265,実績!$AD$6:$AD$505,"&gt;"&amp;$A265,実績!$AE$6:$AE$505,"○")&gt;0,1,0))</f>
        <v/>
      </c>
      <c r="AX265">
        <f>IF(AX$4=0,0,IF(COUNTIFS(実績!$W$6:$W$505,AX$3,実績!$AC$6:$AC$505,"&lt;="&amp;$A265,実績!$AD$6:$AD$505,"&gt;"&amp;$A265,実績!$AE$6:$AE$505,"○")&gt;0,1,0))</f>
        <v/>
      </c>
      <c r="AY265">
        <f>IF(AY$4=0,0,IF(COUNTIFS(実績!$W$6:$W$505,AY$3,実績!$AC$6:$AC$505,"&lt;="&amp;$A265,実績!$AD$6:$AD$505,"&gt;"&amp;$A265,実績!$AE$6:$AE$505,"○")&gt;0,1,0))</f>
        <v/>
      </c>
      <c r="AZ265">
        <f>IF(AZ$4=0,0,IF(COUNTIFS(実績!$W$6:$W$505,AZ$3,実績!$AC$6:$AC$505,"&lt;="&amp;$A265,実績!$AD$6:$AD$505,"&gt;"&amp;$A265,実績!$AE$6:$AE$505,"○")&gt;0,1,0))</f>
        <v/>
      </c>
      <c r="BA265">
        <f>IF(BA$4=0,0,IF(COUNTIFS(実績!$W$6:$W$505,BA$3,実績!$AC$6:$AC$505,"&lt;="&amp;$A265,実績!$AD$6:$AD$505,"&gt;"&amp;$A265,実績!$AE$6:$AE$505,"○")&gt;0,1,0))</f>
        <v/>
      </c>
      <c r="BB265">
        <f>IF(BB$4=0,0,IF(COUNTIFS(実績!$W$6:$W$505,BB$3,実績!$AC$6:$AC$505,"&lt;="&amp;$A265,実績!$AD$6:$AD$505,"&gt;"&amp;$A265,実績!$AE$6:$AE$505,"○")&gt;0,1,0))</f>
        <v/>
      </c>
      <c r="BC265">
        <f>IF(BC$4=0,0,IF(COUNTIFS(実績!$W$6:$W$505,BC$3,実績!$AC$6:$AC$505,"&lt;="&amp;$A265,実績!$AD$6:$AD$505,"&gt;"&amp;$A265,実績!$AE$6:$AE$505,"○")&gt;0,1,0))</f>
        <v/>
      </c>
      <c r="BD265">
        <f>IF(BD$4=0,0,IF(COUNTIFS(実績!$W$6:$W$505,BD$3,実績!$AC$6:$AC$505,"&lt;="&amp;$A265,実績!$AD$6:$AD$505,"&gt;"&amp;$A265,実績!$AE$6:$AE$505,"○")&gt;0,1,0))</f>
        <v/>
      </c>
      <c r="BE265">
        <f>IF(BE$4=0,0,IF(COUNTIFS(実績!$W$6:$W$505,BE$3,実績!$AC$6:$AC$505,"&lt;="&amp;$A265,実績!$AD$6:$AD$505,"&gt;"&amp;$A265,実績!$AE$6:$AE$505,"○")&gt;0,1,0))</f>
        <v/>
      </c>
      <c r="BF265">
        <f>IF(BF$4=0,0,IF(COUNTIFS(実績!$W$6:$W$505,BF$3,実績!$AC$6:$AC$505,"&lt;="&amp;$A265,実績!$AD$6:$AD$505,"&gt;"&amp;$A265,実績!$AE$6:$AE$505,"○")&gt;0,1,0))</f>
        <v/>
      </c>
      <c r="BG265">
        <f>IF(BG$4=0,0,IF(COUNTIFS(実績!$W$6:$W$505,BG$3,実績!$AC$6:$AC$505,"&lt;="&amp;$A265,実績!$AD$6:$AD$505,"&gt;"&amp;$A265,実績!$AE$6:$AE$505,"○")&gt;0,1,0))</f>
        <v/>
      </c>
      <c r="BH265">
        <f>IF(BH$4=0,0,IF(COUNTIFS(実績!$W$6:$W$505,BH$3,実績!$AC$6:$AC$505,"&lt;="&amp;$A265,実績!$AD$6:$AD$505,"&gt;"&amp;$A265,実績!$AE$6:$AE$505,"○")&gt;0,1,0))</f>
        <v/>
      </c>
      <c r="BI265">
        <f>IF(BI$4=0,0,IF(COUNTIFS(実績!$W$6:$W$505,BI$3,実績!$AC$6:$AC$505,"&lt;="&amp;$A265,実績!$AD$6:$AD$505,"&gt;"&amp;$A265,実績!$AE$6:$AE$505,"○")&gt;0,1,0))</f>
        <v/>
      </c>
      <c r="BJ265">
        <f>IF(BJ$4=0,0,IF(COUNTIFS(実績!$W$6:$W$505,BJ$3,実績!$AC$6:$AC$505,"&lt;="&amp;$A265,実績!$AD$6:$AD$505,"&gt;"&amp;$A265,実績!$AE$6:$AE$505,"○")&gt;0,1,0))</f>
        <v/>
      </c>
      <c r="BK265">
        <f>IF(BK$4=0,0,IF(COUNTIFS(実績!$W$6:$W$505,BK$3,実績!$AC$6:$AC$505,"&lt;="&amp;$A265,実績!$AD$6:$AD$505,"&gt;"&amp;$A265,実績!$AE$6:$AE$505,"○")&gt;0,1,0))</f>
        <v/>
      </c>
      <c r="BL265">
        <f>IF(BL$4=0,0,IF(COUNTIFS(実績!$W$6:$W$505,BL$3,実績!$AC$6:$AC$505,"&lt;="&amp;$A265,実績!$AD$6:$AD$505,"&gt;"&amp;$A265,実績!$AE$6:$AE$505,"○")&gt;0,1,0))</f>
        <v/>
      </c>
      <c r="BM265">
        <f>IF(BM$4=0,0,IF(COUNTIFS(実績!$W$6:$W$505,BM$3,実績!$AC$6:$AC$505,"&lt;="&amp;$A265,実績!$AD$6:$AD$505,"&gt;"&amp;$A265,実績!$AE$6:$AE$505,"○")&gt;0,1,0))</f>
        <v/>
      </c>
      <c r="BN265">
        <f>IF(BN$4=0,0,IF(COUNTIFS(実績!$W$6:$W$505,BN$3,実績!$AC$6:$AC$505,"&lt;="&amp;$A265,実績!$AD$6:$AD$505,"&gt;"&amp;$A265,実績!$AE$6:$AE$505,"○")&gt;0,1,0))</f>
        <v/>
      </c>
      <c r="BO265">
        <f>IF(BO$4=0,0,IF(COUNTIFS(実績!$W$6:$W$505,BO$3,実績!$AC$6:$AC$505,"&lt;="&amp;$A265,実績!$AD$6:$AD$505,"&gt;"&amp;$A265,実績!$AE$6:$AE$505,"○")&gt;0,1,0))</f>
        <v/>
      </c>
      <c r="BP265">
        <f>IF(BP$4=0,0,IF(COUNTIFS(実績!$W$6:$W$505,BP$3,実績!$AC$6:$AC$505,"&lt;="&amp;$A265,実績!$AD$6:$AD$505,"&gt;"&amp;$A265,実績!$AE$6:$AE$505,"○")&gt;0,1,0))</f>
        <v/>
      </c>
      <c r="BQ265">
        <f>IF(BQ$4=0,0,IF(COUNTIFS(実績!$W$6:$W$505,BQ$3,実績!$AC$6:$AC$505,"&lt;="&amp;$A265,実績!$AD$6:$AD$505,"&gt;"&amp;$A265,実績!$AE$6:$AE$505,"○")&gt;0,1,0))</f>
        <v/>
      </c>
      <c r="BR265">
        <f>IF(BR$4=0,0,IF(COUNTIFS(実績!$W$6:$W$505,BR$3,実績!$AC$6:$AC$505,"&lt;="&amp;$A265,実績!$AD$6:$AD$505,"&gt;"&amp;$A265,実績!$AE$6:$AE$505,"○")&gt;0,1,0))</f>
        <v/>
      </c>
      <c r="BS265">
        <f>IF(BS$4=0,0,IF(COUNTIFS(実績!$W$6:$W$505,BS$3,実績!$AC$6:$AC$505,"&lt;="&amp;$A265,実績!$AD$6:$AD$505,"&gt;"&amp;$A265,実績!$AE$6:$AE$505,"○")&gt;0,1,0))</f>
        <v/>
      </c>
      <c r="BT265">
        <f>IF(BT$4=0,0,IF(COUNTIFS(実績!$W$6:$W$505,BT$3,実績!$AC$6:$AC$505,"&lt;="&amp;$A265,実績!$AD$6:$AD$505,"&gt;"&amp;$A265,実績!$AE$6:$AE$505,"○")&gt;0,1,0))</f>
        <v/>
      </c>
      <c r="BU265">
        <f>IF(BU$4=0,0,IF(COUNTIFS(実績!$W$6:$W$505,BU$3,実績!$AC$6:$AC$505,"&lt;="&amp;$A265,実績!$AD$6:$AD$505,"&gt;"&amp;$A265,実績!$AE$6:$AE$505,"○")&gt;0,1,0))</f>
        <v/>
      </c>
      <c r="BV265">
        <f>IF(BV$4=0,0,IF(COUNTIFS(実績!$W$6:$W$505,BV$3,実績!$AC$6:$AC$505,"&lt;="&amp;$A265,実績!$AD$6:$AD$505,"&gt;"&amp;$A265,実績!$AE$6:$AE$505,"○")&gt;0,1,0))</f>
        <v/>
      </c>
      <c r="BW265">
        <f>IF(BW$4=0,0,IF(COUNTIFS(実績!$W$6:$W$505,BW$3,実績!$AC$6:$AC$505,"&lt;="&amp;$A265,実績!$AD$6:$AD$505,"&gt;"&amp;$A265,実績!$AE$6:$AE$505,"○")&gt;0,1,0))</f>
        <v/>
      </c>
      <c r="BX265">
        <f>IF(BX$4=0,0,IF(COUNTIFS(実績!$W$6:$W$505,BX$3,実績!$AC$6:$AC$505,"&lt;="&amp;$A265,実績!$AD$6:$AD$505,"&gt;"&amp;$A265,実績!$AE$6:$AE$505,"○")&gt;0,1,0))</f>
        <v/>
      </c>
      <c r="BY265">
        <f>IF(BY$4=0,0,IF(COUNTIFS(実績!$W$6:$W$505,BY$3,実績!$AC$6:$AC$505,"&lt;="&amp;$A265,実績!$AD$6:$AD$505,"&gt;"&amp;$A265,実績!$AE$6:$AE$505,"○")&gt;0,1,0))</f>
        <v/>
      </c>
      <c r="BZ265">
        <f>IF(BZ$4=0,0,IF(COUNTIFS(実績!$W$6:$W$505,BZ$3,実績!$AC$6:$AC$505,"&lt;="&amp;$A265,実績!$AD$6:$AD$505,"&gt;"&amp;$A265,実績!$AE$6:$AE$505,"○")&gt;0,1,0))</f>
        <v/>
      </c>
      <c r="CA265">
        <f>IF(CA$4=0,0,IF(COUNTIFS(実績!$W$6:$W$505,CA$3,実績!$AC$6:$AC$505,"&lt;="&amp;$A265,実績!$AD$6:$AD$505,"&gt;"&amp;$A265,実績!$AE$6:$AE$505,"○")&gt;0,1,0))</f>
        <v/>
      </c>
      <c r="CB265">
        <f>IF(CB$4=0,0,IF(COUNTIFS(実績!$W$6:$W$505,CB$3,実績!$AC$6:$AC$505,"&lt;="&amp;$A265,実績!$AD$6:$AD$505,"&gt;"&amp;$A265,実績!$AE$6:$AE$505,"○")&gt;0,1,0))</f>
        <v/>
      </c>
      <c r="CC265">
        <f>IF(CC$4=0,0,IF(COUNTIFS(実績!$W$6:$W$505,CC$3,実績!$AC$6:$AC$505,"&lt;="&amp;$A265,実績!$AD$6:$AD$505,"&gt;"&amp;$A265,実績!$AE$6:$AE$505,"○")&gt;0,1,0))</f>
        <v/>
      </c>
      <c r="CD265">
        <f>IF(CD$4=0,0,IF(COUNTIFS(実績!$W$6:$W$505,CD$3,実績!$AC$6:$AC$505,"&lt;="&amp;$A265,実績!$AD$6:$AD$505,"&gt;"&amp;$A265,実績!$AE$6:$AE$505,"○")&gt;0,1,0))</f>
        <v/>
      </c>
      <c r="CE265">
        <f>IF(CE$4=0,0,IF(COUNTIFS(実績!$W$6:$W$505,CE$3,実績!$AC$6:$AC$505,"&lt;="&amp;$A265,実績!$AD$6:$AD$505,"&gt;"&amp;$A265,実績!$AE$6:$AE$505,"○")&gt;0,1,0))</f>
        <v/>
      </c>
      <c r="CF265">
        <f>IF(CF$4=0,0,IF(COUNTIFS(実績!$W$6:$W$505,CF$3,実績!$AC$6:$AC$505,"&lt;="&amp;$A265,実績!$AD$6:$AD$505,"&gt;"&amp;$A265,実績!$AE$6:$AE$505,"○")&gt;0,1,0))</f>
        <v/>
      </c>
      <c r="CG265">
        <f>IF(CG$4=0,0,IF(COUNTIFS(実績!$W$6:$W$505,CG$3,実績!$AC$6:$AC$505,"&lt;="&amp;$A265,実績!$AD$6:$AD$505,"&gt;"&amp;$A265,実績!$AE$6:$AE$505,"○")&gt;0,1,0))</f>
        <v/>
      </c>
      <c r="CH265">
        <f>IF(CH$4=0,0,IF(COUNTIFS(実績!$W$6:$W$505,CH$3,実績!$AC$6:$AC$505,"&lt;="&amp;$A265,実績!$AD$6:$AD$505,"&gt;"&amp;$A265,実績!$AE$6:$AE$505,"○")&gt;0,1,0))</f>
        <v/>
      </c>
      <c r="CI265">
        <f>IF(CI$4=0,0,IF(COUNTIFS(実績!$W$6:$W$505,CI$3,実績!$AC$6:$AC$505,"&lt;="&amp;$A265,実績!$AD$6:$AD$505,"&gt;"&amp;$A265,実績!$AE$6:$AE$505,"○")&gt;0,1,0))</f>
        <v/>
      </c>
      <c r="CJ265">
        <f>IF(CJ$4=0,0,IF(COUNTIFS(実績!$W$6:$W$505,CJ$3,実績!$AC$6:$AC$505,"&lt;="&amp;$A265,実績!$AD$6:$AD$505,"&gt;"&amp;$A265,実績!$AE$6:$AE$505,"○")&gt;0,1,0))</f>
        <v/>
      </c>
      <c r="CK265">
        <f>IF(CK$4=0,0,IF(COUNTIFS(実績!$W$6:$W$505,CK$3,実績!$AC$6:$AC$505,"&lt;="&amp;$A265,実績!$AD$6:$AD$505,"&gt;"&amp;$A265,実績!$AE$6:$AE$505,"○")&gt;0,1,0))</f>
        <v/>
      </c>
      <c r="CL265">
        <f>IF(CL$4=0,0,IF(COUNTIFS(実績!$W$6:$W$505,CL$3,実績!$AC$6:$AC$505,"&lt;="&amp;$A265,実績!$AD$6:$AD$505,"&gt;"&amp;$A265,実績!$AE$6:$AE$505,"○")&gt;0,1,0))</f>
        <v/>
      </c>
      <c r="CM265">
        <f>IF(CM$4=0,0,IF(COUNTIFS(実績!$W$6:$W$505,CM$3,実績!$AC$6:$AC$505,"&lt;="&amp;$A265,実績!$AD$6:$AD$505,"&gt;"&amp;$A265,実績!$AE$6:$AE$505,"○")&gt;0,1,0))</f>
        <v/>
      </c>
      <c r="CN265">
        <f>IF(CN$4=0,0,IF(COUNTIFS(実績!$W$6:$W$505,CN$3,実績!$AC$6:$AC$505,"&lt;="&amp;$A265,実績!$AD$6:$AD$505,"&gt;"&amp;$A265,実績!$AE$6:$AE$505,"○")&gt;0,1,0))</f>
        <v/>
      </c>
      <c r="CO265">
        <f>IF(CO$4=0,0,IF(COUNTIFS(実績!$W$6:$W$505,CO$3,実績!$AC$6:$AC$505,"&lt;="&amp;$A265,実績!$AD$6:$AD$505,"&gt;"&amp;$A265,実績!$AE$6:$AE$505,"○")&gt;0,1,0))</f>
        <v/>
      </c>
      <c r="CP265">
        <f>IF(CP$4=0,0,IF(COUNTIFS(実績!$W$6:$W$505,CP$3,実績!$AC$6:$AC$505,"&lt;="&amp;$A265,実績!$AD$6:$AD$505,"&gt;"&amp;$A265,実績!$AE$6:$AE$505,"○")&gt;0,1,0))</f>
        <v/>
      </c>
      <c r="CQ265">
        <f>IF(CQ$4=0,0,IF(COUNTIFS(実績!$W$6:$W$505,CQ$3,実績!$AC$6:$AC$505,"&lt;="&amp;$A265,実績!$AD$6:$AD$505,"&gt;"&amp;$A265,実績!$AE$6:$AE$505,"○")&gt;0,1,0))</f>
        <v/>
      </c>
      <c r="CR265">
        <f>IF(CR$4=0,0,IF(COUNTIFS(実績!$W$6:$W$505,CR$3,実績!$AC$6:$AC$505,"&lt;="&amp;$A265,実績!$AD$6:$AD$505,"&gt;"&amp;$A265,実績!$AE$6:$AE$505,"○")&gt;0,1,0))</f>
        <v/>
      </c>
      <c r="CS265">
        <f>IF(CS$4=0,0,IF(COUNTIFS(実績!$W$6:$W$505,CS$3,実績!$AC$6:$AC$505,"&lt;="&amp;$A265,実績!$AD$6:$AD$505,"&gt;"&amp;$A265,実績!$AE$6:$AE$505,"○")&gt;0,1,0))</f>
        <v/>
      </c>
      <c r="CT265">
        <f>IF(CT$4=0,0,IF(COUNTIFS(実績!$W$6:$W$505,CT$3,実績!$AC$6:$AC$505,"&lt;="&amp;$A265,実績!$AD$6:$AD$505,"&gt;"&amp;$A265,実績!$AE$6:$AE$505,"○")&gt;0,1,0))</f>
        <v/>
      </c>
      <c r="CU265">
        <f>IF(CU$4=0,0,IF(COUNTIFS(実績!$W$6:$W$505,CU$3,実績!$AC$6:$AC$505,"&lt;="&amp;$A265,実績!$AD$6:$AD$505,"&gt;"&amp;$A265,実績!$AE$6:$AE$505,"○")&gt;0,1,0))</f>
        <v/>
      </c>
      <c r="CV265">
        <f>IF(CV$4=0,0,IF(COUNTIFS(実績!$W$6:$W$505,CV$3,実績!$AC$6:$AC$505,"&lt;="&amp;$A265,実績!$AD$6:$AD$505,"&gt;"&amp;$A265,実績!$AE$6:$AE$505,"○")&gt;0,1,0))</f>
        <v/>
      </c>
      <c r="CW265">
        <f>IF(CW$4=0,0,IF(COUNTIFS(実績!$W$6:$W$505,CW$3,実績!$AC$6:$AC$505,"&lt;="&amp;$A265,実績!$AD$6:$AD$505,"&gt;"&amp;$A265,実績!$AE$6:$AE$505,"○")&gt;0,1,0))</f>
        <v/>
      </c>
      <c r="CX265">
        <f>IF(CX$4=0,0,IF(COUNTIFS(実績!$W$6:$W$505,CX$3,実績!$AC$6:$AC$505,"&lt;="&amp;$A265,実績!$AD$6:$AD$505,"&gt;"&amp;$A265,実績!$AE$6:$AE$505,"○")&gt;0,1,0))</f>
        <v/>
      </c>
      <c r="CY265">
        <f>IF(CY$4=0,0,IF(COUNTIFS(実績!$W$6:$W$505,CY$3,実績!$AC$6:$AC$505,"&lt;="&amp;$A265,実績!$AD$6:$AD$505,"&gt;"&amp;$A265,実績!$AE$6:$AE$505,"○")&gt;0,1,0))</f>
        <v/>
      </c>
      <c r="CZ265">
        <f>IF(CZ$4=0,0,IF(COUNTIFS(実績!$W$6:$W$505,CZ$3,実績!$AC$6:$AC$505,"&lt;="&amp;$A265,実績!$AD$6:$AD$505,"&gt;"&amp;$A265,実績!$AE$6:$AE$505,"○")&gt;0,1,0))</f>
        <v/>
      </c>
      <c r="DA265">
        <f>IF(DA$4=0,0,IF(COUNTIFS(実績!$W$6:$W$505,DA$3,実績!$AC$6:$AC$505,"&lt;="&amp;$A265,実績!$AD$6:$AD$505,"&gt;"&amp;$A265,実績!$AE$6:$AE$505,"○")&gt;0,1,0))</f>
        <v/>
      </c>
      <c r="DB265">
        <f>IF(DB$4=0,0,IF(COUNTIFS(実績!$W$6:$W$505,DB$3,実績!$AC$6:$AC$505,"&lt;="&amp;$A265,実績!$AD$6:$AD$505,"&gt;"&amp;$A265,実績!$AE$6:$AE$505,"○")&gt;0,1,0))</f>
        <v/>
      </c>
      <c r="DC265">
        <f>IF(DC$4=0,0,IF(COUNTIFS(実績!$W$6:$W$505,DC$3,実績!$AC$6:$AC$505,"&lt;="&amp;$A265,実績!$AD$6:$AD$505,"&gt;"&amp;$A265,実績!$AE$6:$AE$505,"○")&gt;0,1,0))</f>
        <v/>
      </c>
      <c r="DD265">
        <f>IF(DD$4=0,0,IF(COUNTIFS(実績!$W$6:$W$505,DD$3,実績!$AC$6:$AC$505,"&lt;="&amp;$A265,実績!$AD$6:$AD$505,"&gt;"&amp;$A265,実績!$AE$6:$AE$505,"○")&gt;0,1,0))</f>
        <v/>
      </c>
      <c r="DE265">
        <f>IF(DE$4=0,0,IF(COUNTIFS(実績!$W$6:$W$505,DE$3,実績!$AC$6:$AC$505,"&lt;="&amp;$A265,実績!$AD$6:$AD$505,"&gt;"&amp;$A265,実績!$AE$6:$AE$505,"○")&gt;0,1,0))</f>
        <v/>
      </c>
      <c r="DF265">
        <f>IF(DF$4=0,0,IF(COUNTIFS(実績!$W$6:$W$505,DF$3,実績!$AC$6:$AC$505,"&lt;="&amp;$A265,実績!$AD$6:$AD$505,"&gt;"&amp;$A265,実績!$AE$6:$AE$505,"○")&gt;0,1,0))</f>
        <v/>
      </c>
      <c r="DG265">
        <f>IF(DG$4=0,0,IF(COUNTIFS(実績!$W$6:$W$505,DG$3,実績!$AC$6:$AC$505,"&lt;="&amp;$A265,実績!$AD$6:$AD$505,"&gt;"&amp;$A265,実績!$AE$6:$AE$505,"○")&gt;0,1,0))</f>
        <v/>
      </c>
      <c r="DH265">
        <f>IF(DH$4=0,0,IF(COUNTIFS(実績!$W$6:$W$505,DH$3,実績!$AC$6:$AC$505,"&lt;="&amp;$A265,実績!$AD$6:$AD$505,"&gt;"&amp;$A265,実績!$AE$6:$AE$505,"○")&gt;0,1,0))</f>
        <v/>
      </c>
      <c r="DI265">
        <f>IF(DI$4=0,0,IF(COUNTIFS(実績!$W$6:$W$505,DI$3,実績!$AC$6:$AC$505,"&lt;="&amp;$A265,実績!$AD$6:$AD$505,"&gt;"&amp;$A265,実績!$AE$6:$AE$505,"○")&gt;0,1,0))</f>
        <v/>
      </c>
      <c r="DJ265">
        <f>IF(DJ$4=0,0,IF(COUNTIFS(実績!$W$6:$W$505,DJ$3,実績!$AC$6:$AC$505,"&lt;="&amp;$A265,実績!$AD$6:$AD$505,"&gt;"&amp;$A265,実績!$AE$6:$AE$505,"○")&gt;0,1,0))</f>
        <v/>
      </c>
      <c r="DK265">
        <f>IF(DK$4=0,0,IF(COUNTIFS(実績!$W$6:$W$505,DK$3,実績!$AC$6:$AC$505,"&lt;="&amp;$A265,実績!$AD$6:$AD$505,"&gt;"&amp;$A265,実績!$AE$6:$AE$505,"○")&gt;0,1,0))</f>
        <v/>
      </c>
      <c r="DL265">
        <f>IF(DL$4=0,0,IF(COUNTIFS(実績!$W$6:$W$505,DL$3,実績!$AC$6:$AC$505,"&lt;="&amp;$A265,実績!$AD$6:$AD$505,"&gt;"&amp;$A265,実績!$AE$6:$AE$505,"○")&gt;0,1,0))</f>
        <v/>
      </c>
      <c r="DM265">
        <f>IF(DM$4=0,0,IF(COUNTIFS(実績!$W$6:$W$505,DM$3,実績!$AC$6:$AC$505,"&lt;="&amp;$A265,実績!$AD$6:$AD$505,"&gt;"&amp;$A265,実績!$AE$6:$AE$505,"○")&gt;0,1,0))</f>
        <v/>
      </c>
      <c r="DN265">
        <f>IF(DN$4=0,0,IF(COUNTIFS(実績!$W$6:$W$505,DN$3,実績!$AC$6:$AC$505,"&lt;="&amp;$A265,実績!$AD$6:$AD$505,"&gt;"&amp;$A265,実績!$AE$6:$AE$505,"○")&gt;0,1,0))</f>
        <v/>
      </c>
      <c r="DO265">
        <f>IF(DO$4=0,0,IF(COUNTIFS(実績!$W$6:$W$505,DO$3,実績!$AC$6:$AC$505,"&lt;="&amp;$A265,実績!$AD$6:$AD$505,"&gt;"&amp;$A265,実績!$AE$6:$AE$505,"○")&gt;0,1,0))</f>
        <v/>
      </c>
      <c r="DP265">
        <f>IF(DP$4=0,0,IF(COUNTIFS(実績!$W$6:$W$505,DP$3,実績!$AC$6:$AC$505,"&lt;="&amp;$A265,実績!$AD$6:$AD$505,"&gt;"&amp;$A265,実績!$AE$6:$AE$505,"○")&gt;0,1,0))</f>
        <v/>
      </c>
      <c r="DQ265">
        <f>IF(DQ$4=0,0,IF(COUNTIFS(実績!$W$6:$W$505,DQ$3,実績!$AC$6:$AC$505,"&lt;="&amp;$A265,実績!$AD$6:$AD$505,"&gt;"&amp;$A265,実績!$AE$6:$AE$505,"○")&gt;0,1,0))</f>
        <v/>
      </c>
      <c r="DR265">
        <f>IF(DR$4=0,0,IF(COUNTIFS(実績!$W$6:$W$505,DR$3,実績!$AC$6:$AC$505,"&lt;="&amp;$A265,実績!$AD$6:$AD$505,"&gt;"&amp;$A265,実績!$AE$6:$AE$505,"○")&gt;0,1,0))</f>
        <v/>
      </c>
      <c r="DS265">
        <f>SUM(C265:DR265)</f>
        <v/>
      </c>
      <c r="DT265">
        <f>SUMPRODUCT((実績!$C$6:$C$505="○")*ISNUMBER(実績!$AF$6:$AF$505)*(実績!$AF$6:$AF$505&lt;=$A265)*(実績!$AG$6:$AG$505&gt;$A265))</f>
        <v/>
      </c>
      <c r="DU265">
        <f>SUMIF($C$2:$DR$2,"製鉄曳船",C265:DR265)</f>
        <v/>
      </c>
      <c r="DV265">
        <f>SUMIF($C$2:$DR$2,"西日本海運",C265:DR265)</f>
        <v/>
      </c>
    </row>
    <row r="266">
      <c r="A266" t="n">
        <v>1300</v>
      </c>
      <c r="B266" s="29">
        <f>A266/1440</f>
        <v/>
      </c>
      <c r="C266">
        <f>IF(C$4=0,0,IF(COUNTIFS(実績!$W$6:$W$505,C$3,実績!$AC$6:$AC$505,"&lt;="&amp;$A266,実績!$AD$6:$AD$505,"&gt;"&amp;$A266,実績!$AE$6:$AE$505,"○")&gt;0,1,0))</f>
        <v/>
      </c>
      <c r="D266">
        <f>IF(D$4=0,0,IF(COUNTIFS(実績!$W$6:$W$505,D$3,実績!$AC$6:$AC$505,"&lt;="&amp;$A266,実績!$AD$6:$AD$505,"&gt;"&amp;$A266,実績!$AE$6:$AE$505,"○")&gt;0,1,0))</f>
        <v/>
      </c>
      <c r="E266">
        <f>IF(E$4=0,0,IF(COUNTIFS(実績!$W$6:$W$505,E$3,実績!$AC$6:$AC$505,"&lt;="&amp;$A266,実績!$AD$6:$AD$505,"&gt;"&amp;$A266,実績!$AE$6:$AE$505,"○")&gt;0,1,0))</f>
        <v/>
      </c>
      <c r="F266">
        <f>IF(F$4=0,0,IF(COUNTIFS(実績!$W$6:$W$505,F$3,実績!$AC$6:$AC$505,"&lt;="&amp;$A266,実績!$AD$6:$AD$505,"&gt;"&amp;$A266,実績!$AE$6:$AE$505,"○")&gt;0,1,0))</f>
        <v/>
      </c>
      <c r="G266">
        <f>IF(G$4=0,0,IF(COUNTIFS(実績!$W$6:$W$505,G$3,実績!$AC$6:$AC$505,"&lt;="&amp;$A266,実績!$AD$6:$AD$505,"&gt;"&amp;$A266,実績!$AE$6:$AE$505,"○")&gt;0,1,0))</f>
        <v/>
      </c>
      <c r="H266">
        <f>IF(H$4=0,0,IF(COUNTIFS(実績!$W$6:$W$505,H$3,実績!$AC$6:$AC$505,"&lt;="&amp;$A266,実績!$AD$6:$AD$505,"&gt;"&amp;$A266,実績!$AE$6:$AE$505,"○")&gt;0,1,0))</f>
        <v/>
      </c>
      <c r="I266">
        <f>IF(I$4=0,0,IF(COUNTIFS(実績!$W$6:$W$505,I$3,実績!$AC$6:$AC$505,"&lt;="&amp;$A266,実績!$AD$6:$AD$505,"&gt;"&amp;$A266,実績!$AE$6:$AE$505,"○")&gt;0,1,0))</f>
        <v/>
      </c>
      <c r="J266">
        <f>IF(J$4=0,0,IF(COUNTIFS(実績!$W$6:$W$505,J$3,実績!$AC$6:$AC$505,"&lt;="&amp;$A266,実績!$AD$6:$AD$505,"&gt;"&amp;$A266,実績!$AE$6:$AE$505,"○")&gt;0,1,0))</f>
        <v/>
      </c>
      <c r="K266">
        <f>IF(K$4=0,0,IF(COUNTIFS(実績!$W$6:$W$505,K$3,実績!$AC$6:$AC$505,"&lt;="&amp;$A266,実績!$AD$6:$AD$505,"&gt;"&amp;$A266,実績!$AE$6:$AE$505,"○")&gt;0,1,0))</f>
        <v/>
      </c>
      <c r="L266">
        <f>IF(L$4=0,0,IF(COUNTIFS(実績!$W$6:$W$505,L$3,実績!$AC$6:$AC$505,"&lt;="&amp;$A266,実績!$AD$6:$AD$505,"&gt;"&amp;$A266,実績!$AE$6:$AE$505,"○")&gt;0,1,0))</f>
        <v/>
      </c>
      <c r="M266">
        <f>IF(M$4=0,0,IF(COUNTIFS(実績!$W$6:$W$505,M$3,実績!$AC$6:$AC$505,"&lt;="&amp;$A266,実績!$AD$6:$AD$505,"&gt;"&amp;$A266,実績!$AE$6:$AE$505,"○")&gt;0,1,0))</f>
        <v/>
      </c>
      <c r="N266">
        <f>IF(N$4=0,0,IF(COUNTIFS(実績!$W$6:$W$505,N$3,実績!$AC$6:$AC$505,"&lt;="&amp;$A266,実績!$AD$6:$AD$505,"&gt;"&amp;$A266,実績!$AE$6:$AE$505,"○")&gt;0,1,0))</f>
        <v/>
      </c>
      <c r="O266">
        <f>IF(O$4=0,0,IF(COUNTIFS(実績!$W$6:$W$505,O$3,実績!$AC$6:$AC$505,"&lt;="&amp;$A266,実績!$AD$6:$AD$505,"&gt;"&amp;$A266,実績!$AE$6:$AE$505,"○")&gt;0,1,0))</f>
        <v/>
      </c>
      <c r="P266">
        <f>IF(P$4=0,0,IF(COUNTIFS(実績!$W$6:$W$505,P$3,実績!$AC$6:$AC$505,"&lt;="&amp;$A266,実績!$AD$6:$AD$505,"&gt;"&amp;$A266,実績!$AE$6:$AE$505,"○")&gt;0,1,0))</f>
        <v/>
      </c>
      <c r="Q266">
        <f>IF(Q$4=0,0,IF(COUNTIFS(実績!$W$6:$W$505,Q$3,実績!$AC$6:$AC$505,"&lt;="&amp;$A266,実績!$AD$6:$AD$505,"&gt;"&amp;$A266,実績!$AE$6:$AE$505,"○")&gt;0,1,0))</f>
        <v/>
      </c>
      <c r="R266">
        <f>IF(R$4=0,0,IF(COUNTIFS(実績!$W$6:$W$505,R$3,実績!$AC$6:$AC$505,"&lt;="&amp;$A266,実績!$AD$6:$AD$505,"&gt;"&amp;$A266,実績!$AE$6:$AE$505,"○")&gt;0,1,0))</f>
        <v/>
      </c>
      <c r="S266">
        <f>IF(S$4=0,0,IF(COUNTIFS(実績!$W$6:$W$505,S$3,実績!$AC$6:$AC$505,"&lt;="&amp;$A266,実績!$AD$6:$AD$505,"&gt;"&amp;$A266,実績!$AE$6:$AE$505,"○")&gt;0,1,0))</f>
        <v/>
      </c>
      <c r="T266">
        <f>IF(T$4=0,0,IF(COUNTIFS(実績!$W$6:$W$505,T$3,実績!$AC$6:$AC$505,"&lt;="&amp;$A266,実績!$AD$6:$AD$505,"&gt;"&amp;$A266,実績!$AE$6:$AE$505,"○")&gt;0,1,0))</f>
        <v/>
      </c>
      <c r="U266">
        <f>IF(U$4=0,0,IF(COUNTIFS(実績!$W$6:$W$505,U$3,実績!$AC$6:$AC$505,"&lt;="&amp;$A266,実績!$AD$6:$AD$505,"&gt;"&amp;$A266,実績!$AE$6:$AE$505,"○")&gt;0,1,0))</f>
        <v/>
      </c>
      <c r="V266">
        <f>IF(V$4=0,0,IF(COUNTIFS(実績!$W$6:$W$505,V$3,実績!$AC$6:$AC$505,"&lt;="&amp;$A266,実績!$AD$6:$AD$505,"&gt;"&amp;$A266,実績!$AE$6:$AE$505,"○")&gt;0,1,0))</f>
        <v/>
      </c>
      <c r="W266">
        <f>IF(W$4=0,0,IF(COUNTIFS(実績!$W$6:$W$505,W$3,実績!$AC$6:$AC$505,"&lt;="&amp;$A266,実績!$AD$6:$AD$505,"&gt;"&amp;$A266,実績!$AE$6:$AE$505,"○")&gt;0,1,0))</f>
        <v/>
      </c>
      <c r="X266">
        <f>IF(X$4=0,0,IF(COUNTIFS(実績!$W$6:$W$505,X$3,実績!$AC$6:$AC$505,"&lt;="&amp;$A266,実績!$AD$6:$AD$505,"&gt;"&amp;$A266,実績!$AE$6:$AE$505,"○")&gt;0,1,0))</f>
        <v/>
      </c>
      <c r="Y266">
        <f>IF(Y$4=0,0,IF(COUNTIFS(実績!$W$6:$W$505,Y$3,実績!$AC$6:$AC$505,"&lt;="&amp;$A266,実績!$AD$6:$AD$505,"&gt;"&amp;$A266,実績!$AE$6:$AE$505,"○")&gt;0,1,0))</f>
        <v/>
      </c>
      <c r="Z266">
        <f>IF(Z$4=0,0,IF(COUNTIFS(実績!$W$6:$W$505,Z$3,実績!$AC$6:$AC$505,"&lt;="&amp;$A266,実績!$AD$6:$AD$505,"&gt;"&amp;$A266,実績!$AE$6:$AE$505,"○")&gt;0,1,0))</f>
        <v/>
      </c>
      <c r="AA266">
        <f>IF(AA$4=0,0,IF(COUNTIFS(実績!$W$6:$W$505,AA$3,実績!$AC$6:$AC$505,"&lt;="&amp;$A266,実績!$AD$6:$AD$505,"&gt;"&amp;$A266,実績!$AE$6:$AE$505,"○")&gt;0,1,0))</f>
        <v/>
      </c>
      <c r="AB266">
        <f>IF(AB$4=0,0,IF(COUNTIFS(実績!$W$6:$W$505,AB$3,実績!$AC$6:$AC$505,"&lt;="&amp;$A266,実績!$AD$6:$AD$505,"&gt;"&amp;$A266,実績!$AE$6:$AE$505,"○")&gt;0,1,0))</f>
        <v/>
      </c>
      <c r="AC266">
        <f>IF(AC$4=0,0,IF(COUNTIFS(実績!$W$6:$W$505,AC$3,実績!$AC$6:$AC$505,"&lt;="&amp;$A266,実績!$AD$6:$AD$505,"&gt;"&amp;$A266,実績!$AE$6:$AE$505,"○")&gt;0,1,0))</f>
        <v/>
      </c>
      <c r="AD266">
        <f>IF(AD$4=0,0,IF(COUNTIFS(実績!$W$6:$W$505,AD$3,実績!$AC$6:$AC$505,"&lt;="&amp;$A266,実績!$AD$6:$AD$505,"&gt;"&amp;$A266,実績!$AE$6:$AE$505,"○")&gt;0,1,0))</f>
        <v/>
      </c>
      <c r="AE266">
        <f>IF(AE$4=0,0,IF(COUNTIFS(実績!$W$6:$W$505,AE$3,実績!$AC$6:$AC$505,"&lt;="&amp;$A266,実績!$AD$6:$AD$505,"&gt;"&amp;$A266,実績!$AE$6:$AE$505,"○")&gt;0,1,0))</f>
        <v/>
      </c>
      <c r="AF266">
        <f>IF(AF$4=0,0,IF(COUNTIFS(実績!$W$6:$W$505,AF$3,実績!$AC$6:$AC$505,"&lt;="&amp;$A266,実績!$AD$6:$AD$505,"&gt;"&amp;$A266,実績!$AE$6:$AE$505,"○")&gt;0,1,0))</f>
        <v/>
      </c>
      <c r="AG266">
        <f>IF(AG$4=0,0,IF(COUNTIFS(実績!$W$6:$W$505,AG$3,実績!$AC$6:$AC$505,"&lt;="&amp;$A266,実績!$AD$6:$AD$505,"&gt;"&amp;$A266,実績!$AE$6:$AE$505,"○")&gt;0,1,0))</f>
        <v/>
      </c>
      <c r="AH266">
        <f>IF(AH$4=0,0,IF(COUNTIFS(実績!$W$6:$W$505,AH$3,実績!$AC$6:$AC$505,"&lt;="&amp;$A266,実績!$AD$6:$AD$505,"&gt;"&amp;$A266,実績!$AE$6:$AE$505,"○")&gt;0,1,0))</f>
        <v/>
      </c>
      <c r="AI266">
        <f>IF(AI$4=0,0,IF(COUNTIFS(実績!$W$6:$W$505,AI$3,実績!$AC$6:$AC$505,"&lt;="&amp;$A266,実績!$AD$6:$AD$505,"&gt;"&amp;$A266,実績!$AE$6:$AE$505,"○")&gt;0,1,0))</f>
        <v/>
      </c>
      <c r="AJ266">
        <f>IF(AJ$4=0,0,IF(COUNTIFS(実績!$W$6:$W$505,AJ$3,実績!$AC$6:$AC$505,"&lt;="&amp;$A266,実績!$AD$6:$AD$505,"&gt;"&amp;$A266,実績!$AE$6:$AE$505,"○")&gt;0,1,0))</f>
        <v/>
      </c>
      <c r="AK266">
        <f>IF(AK$4=0,0,IF(COUNTIFS(実績!$W$6:$W$505,AK$3,実績!$AC$6:$AC$505,"&lt;="&amp;$A266,実績!$AD$6:$AD$505,"&gt;"&amp;$A266,実績!$AE$6:$AE$505,"○")&gt;0,1,0))</f>
        <v/>
      </c>
      <c r="AL266">
        <f>IF(AL$4=0,0,IF(COUNTIFS(実績!$W$6:$W$505,AL$3,実績!$AC$6:$AC$505,"&lt;="&amp;$A266,実績!$AD$6:$AD$505,"&gt;"&amp;$A266,実績!$AE$6:$AE$505,"○")&gt;0,1,0))</f>
        <v/>
      </c>
      <c r="AM266">
        <f>IF(AM$4=0,0,IF(COUNTIFS(実績!$W$6:$W$505,AM$3,実績!$AC$6:$AC$505,"&lt;="&amp;$A266,実績!$AD$6:$AD$505,"&gt;"&amp;$A266,実績!$AE$6:$AE$505,"○")&gt;0,1,0))</f>
        <v/>
      </c>
      <c r="AN266">
        <f>IF(AN$4=0,0,IF(COUNTIFS(実績!$W$6:$W$505,AN$3,実績!$AC$6:$AC$505,"&lt;="&amp;$A266,実績!$AD$6:$AD$505,"&gt;"&amp;$A266,実績!$AE$6:$AE$505,"○")&gt;0,1,0))</f>
        <v/>
      </c>
      <c r="AO266">
        <f>IF(AO$4=0,0,IF(COUNTIFS(実績!$W$6:$W$505,AO$3,実績!$AC$6:$AC$505,"&lt;="&amp;$A266,実績!$AD$6:$AD$505,"&gt;"&amp;$A266,実績!$AE$6:$AE$505,"○")&gt;0,1,0))</f>
        <v/>
      </c>
      <c r="AP266">
        <f>IF(AP$4=0,0,IF(COUNTIFS(実績!$W$6:$W$505,AP$3,実績!$AC$6:$AC$505,"&lt;="&amp;$A266,実績!$AD$6:$AD$505,"&gt;"&amp;$A266,実績!$AE$6:$AE$505,"○")&gt;0,1,0))</f>
        <v/>
      </c>
      <c r="AQ266">
        <f>IF(AQ$4=0,0,IF(COUNTIFS(実績!$W$6:$W$505,AQ$3,実績!$AC$6:$AC$505,"&lt;="&amp;$A266,実績!$AD$6:$AD$505,"&gt;"&amp;$A266,実績!$AE$6:$AE$505,"○")&gt;0,1,0))</f>
        <v/>
      </c>
      <c r="AR266">
        <f>IF(AR$4=0,0,IF(COUNTIFS(実績!$W$6:$W$505,AR$3,実績!$AC$6:$AC$505,"&lt;="&amp;$A266,実績!$AD$6:$AD$505,"&gt;"&amp;$A266,実績!$AE$6:$AE$505,"○")&gt;0,1,0))</f>
        <v/>
      </c>
      <c r="AS266">
        <f>IF(AS$4=0,0,IF(COUNTIFS(実績!$W$6:$W$505,AS$3,実績!$AC$6:$AC$505,"&lt;="&amp;$A266,実績!$AD$6:$AD$505,"&gt;"&amp;$A266,実績!$AE$6:$AE$505,"○")&gt;0,1,0))</f>
        <v/>
      </c>
      <c r="AT266">
        <f>IF(AT$4=0,0,IF(COUNTIFS(実績!$W$6:$W$505,AT$3,実績!$AC$6:$AC$505,"&lt;="&amp;$A266,実績!$AD$6:$AD$505,"&gt;"&amp;$A266,実績!$AE$6:$AE$505,"○")&gt;0,1,0))</f>
        <v/>
      </c>
      <c r="AU266">
        <f>IF(AU$4=0,0,IF(COUNTIFS(実績!$W$6:$W$505,AU$3,実績!$AC$6:$AC$505,"&lt;="&amp;$A266,実績!$AD$6:$AD$505,"&gt;"&amp;$A266,実績!$AE$6:$AE$505,"○")&gt;0,1,0))</f>
        <v/>
      </c>
      <c r="AV266">
        <f>IF(AV$4=0,0,IF(COUNTIFS(実績!$W$6:$W$505,AV$3,実績!$AC$6:$AC$505,"&lt;="&amp;$A266,実績!$AD$6:$AD$505,"&gt;"&amp;$A266,実績!$AE$6:$AE$505,"○")&gt;0,1,0))</f>
        <v/>
      </c>
      <c r="AW266">
        <f>IF(AW$4=0,0,IF(COUNTIFS(実績!$W$6:$W$505,AW$3,実績!$AC$6:$AC$505,"&lt;="&amp;$A266,実績!$AD$6:$AD$505,"&gt;"&amp;$A266,実績!$AE$6:$AE$505,"○")&gt;0,1,0))</f>
        <v/>
      </c>
      <c r="AX266">
        <f>IF(AX$4=0,0,IF(COUNTIFS(実績!$W$6:$W$505,AX$3,実績!$AC$6:$AC$505,"&lt;="&amp;$A266,実績!$AD$6:$AD$505,"&gt;"&amp;$A266,実績!$AE$6:$AE$505,"○")&gt;0,1,0))</f>
        <v/>
      </c>
      <c r="AY266">
        <f>IF(AY$4=0,0,IF(COUNTIFS(実績!$W$6:$W$505,AY$3,実績!$AC$6:$AC$505,"&lt;="&amp;$A266,実績!$AD$6:$AD$505,"&gt;"&amp;$A266,実績!$AE$6:$AE$505,"○")&gt;0,1,0))</f>
        <v/>
      </c>
      <c r="AZ266">
        <f>IF(AZ$4=0,0,IF(COUNTIFS(実績!$W$6:$W$505,AZ$3,実績!$AC$6:$AC$505,"&lt;="&amp;$A266,実績!$AD$6:$AD$505,"&gt;"&amp;$A266,実績!$AE$6:$AE$505,"○")&gt;0,1,0))</f>
        <v/>
      </c>
      <c r="BA266">
        <f>IF(BA$4=0,0,IF(COUNTIFS(実績!$W$6:$W$505,BA$3,実績!$AC$6:$AC$505,"&lt;="&amp;$A266,実績!$AD$6:$AD$505,"&gt;"&amp;$A266,実績!$AE$6:$AE$505,"○")&gt;0,1,0))</f>
        <v/>
      </c>
      <c r="BB266">
        <f>IF(BB$4=0,0,IF(COUNTIFS(実績!$W$6:$W$505,BB$3,実績!$AC$6:$AC$505,"&lt;="&amp;$A266,実績!$AD$6:$AD$505,"&gt;"&amp;$A266,実績!$AE$6:$AE$505,"○")&gt;0,1,0))</f>
        <v/>
      </c>
      <c r="BC266">
        <f>IF(BC$4=0,0,IF(COUNTIFS(実績!$W$6:$W$505,BC$3,実績!$AC$6:$AC$505,"&lt;="&amp;$A266,実績!$AD$6:$AD$505,"&gt;"&amp;$A266,実績!$AE$6:$AE$505,"○")&gt;0,1,0))</f>
        <v/>
      </c>
      <c r="BD266">
        <f>IF(BD$4=0,0,IF(COUNTIFS(実績!$W$6:$W$505,BD$3,実績!$AC$6:$AC$505,"&lt;="&amp;$A266,実績!$AD$6:$AD$505,"&gt;"&amp;$A266,実績!$AE$6:$AE$505,"○")&gt;0,1,0))</f>
        <v/>
      </c>
      <c r="BE266">
        <f>IF(BE$4=0,0,IF(COUNTIFS(実績!$W$6:$W$505,BE$3,実績!$AC$6:$AC$505,"&lt;="&amp;$A266,実績!$AD$6:$AD$505,"&gt;"&amp;$A266,実績!$AE$6:$AE$505,"○")&gt;0,1,0))</f>
        <v/>
      </c>
      <c r="BF266">
        <f>IF(BF$4=0,0,IF(COUNTIFS(実績!$W$6:$W$505,BF$3,実績!$AC$6:$AC$505,"&lt;="&amp;$A266,実績!$AD$6:$AD$505,"&gt;"&amp;$A266,実績!$AE$6:$AE$505,"○")&gt;0,1,0))</f>
        <v/>
      </c>
      <c r="BG266">
        <f>IF(BG$4=0,0,IF(COUNTIFS(実績!$W$6:$W$505,BG$3,実績!$AC$6:$AC$505,"&lt;="&amp;$A266,実績!$AD$6:$AD$505,"&gt;"&amp;$A266,実績!$AE$6:$AE$505,"○")&gt;0,1,0))</f>
        <v/>
      </c>
      <c r="BH266">
        <f>IF(BH$4=0,0,IF(COUNTIFS(実績!$W$6:$W$505,BH$3,実績!$AC$6:$AC$505,"&lt;="&amp;$A266,実績!$AD$6:$AD$505,"&gt;"&amp;$A266,実績!$AE$6:$AE$505,"○")&gt;0,1,0))</f>
        <v/>
      </c>
      <c r="BI266">
        <f>IF(BI$4=0,0,IF(COUNTIFS(実績!$W$6:$W$505,BI$3,実績!$AC$6:$AC$505,"&lt;="&amp;$A266,実績!$AD$6:$AD$505,"&gt;"&amp;$A266,実績!$AE$6:$AE$505,"○")&gt;0,1,0))</f>
        <v/>
      </c>
      <c r="BJ266">
        <f>IF(BJ$4=0,0,IF(COUNTIFS(実績!$W$6:$W$505,BJ$3,実績!$AC$6:$AC$505,"&lt;="&amp;$A266,実績!$AD$6:$AD$505,"&gt;"&amp;$A266,実績!$AE$6:$AE$505,"○")&gt;0,1,0))</f>
        <v/>
      </c>
      <c r="BK266">
        <f>IF(BK$4=0,0,IF(COUNTIFS(実績!$W$6:$W$505,BK$3,実績!$AC$6:$AC$505,"&lt;="&amp;$A266,実績!$AD$6:$AD$505,"&gt;"&amp;$A266,実績!$AE$6:$AE$505,"○")&gt;0,1,0))</f>
        <v/>
      </c>
      <c r="BL266">
        <f>IF(BL$4=0,0,IF(COUNTIFS(実績!$W$6:$W$505,BL$3,実績!$AC$6:$AC$505,"&lt;="&amp;$A266,実績!$AD$6:$AD$505,"&gt;"&amp;$A266,実績!$AE$6:$AE$505,"○")&gt;0,1,0))</f>
        <v/>
      </c>
      <c r="BM266">
        <f>IF(BM$4=0,0,IF(COUNTIFS(実績!$W$6:$W$505,BM$3,実績!$AC$6:$AC$505,"&lt;="&amp;$A266,実績!$AD$6:$AD$505,"&gt;"&amp;$A266,実績!$AE$6:$AE$505,"○")&gt;0,1,0))</f>
        <v/>
      </c>
      <c r="BN266">
        <f>IF(BN$4=0,0,IF(COUNTIFS(実績!$W$6:$W$505,BN$3,実績!$AC$6:$AC$505,"&lt;="&amp;$A266,実績!$AD$6:$AD$505,"&gt;"&amp;$A266,実績!$AE$6:$AE$505,"○")&gt;0,1,0))</f>
        <v/>
      </c>
      <c r="BO266">
        <f>IF(BO$4=0,0,IF(COUNTIFS(実績!$W$6:$W$505,BO$3,実績!$AC$6:$AC$505,"&lt;="&amp;$A266,実績!$AD$6:$AD$505,"&gt;"&amp;$A266,実績!$AE$6:$AE$505,"○")&gt;0,1,0))</f>
        <v/>
      </c>
      <c r="BP266">
        <f>IF(BP$4=0,0,IF(COUNTIFS(実績!$W$6:$W$505,BP$3,実績!$AC$6:$AC$505,"&lt;="&amp;$A266,実績!$AD$6:$AD$505,"&gt;"&amp;$A266,実績!$AE$6:$AE$505,"○")&gt;0,1,0))</f>
        <v/>
      </c>
      <c r="BQ266">
        <f>IF(BQ$4=0,0,IF(COUNTIFS(実績!$W$6:$W$505,BQ$3,実績!$AC$6:$AC$505,"&lt;="&amp;$A266,実績!$AD$6:$AD$505,"&gt;"&amp;$A266,実績!$AE$6:$AE$505,"○")&gt;0,1,0))</f>
        <v/>
      </c>
      <c r="BR266">
        <f>IF(BR$4=0,0,IF(COUNTIFS(実績!$W$6:$W$505,BR$3,実績!$AC$6:$AC$505,"&lt;="&amp;$A266,実績!$AD$6:$AD$505,"&gt;"&amp;$A266,実績!$AE$6:$AE$505,"○")&gt;0,1,0))</f>
        <v/>
      </c>
      <c r="BS266">
        <f>IF(BS$4=0,0,IF(COUNTIFS(実績!$W$6:$W$505,BS$3,実績!$AC$6:$AC$505,"&lt;="&amp;$A266,実績!$AD$6:$AD$505,"&gt;"&amp;$A266,実績!$AE$6:$AE$505,"○")&gt;0,1,0))</f>
        <v/>
      </c>
      <c r="BT266">
        <f>IF(BT$4=0,0,IF(COUNTIFS(実績!$W$6:$W$505,BT$3,実績!$AC$6:$AC$505,"&lt;="&amp;$A266,実績!$AD$6:$AD$505,"&gt;"&amp;$A266,実績!$AE$6:$AE$505,"○")&gt;0,1,0))</f>
        <v/>
      </c>
      <c r="BU266">
        <f>IF(BU$4=0,0,IF(COUNTIFS(実績!$W$6:$W$505,BU$3,実績!$AC$6:$AC$505,"&lt;="&amp;$A266,実績!$AD$6:$AD$505,"&gt;"&amp;$A266,実績!$AE$6:$AE$505,"○")&gt;0,1,0))</f>
        <v/>
      </c>
      <c r="BV266">
        <f>IF(BV$4=0,0,IF(COUNTIFS(実績!$W$6:$W$505,BV$3,実績!$AC$6:$AC$505,"&lt;="&amp;$A266,実績!$AD$6:$AD$505,"&gt;"&amp;$A266,実績!$AE$6:$AE$505,"○")&gt;0,1,0))</f>
        <v/>
      </c>
      <c r="BW266">
        <f>IF(BW$4=0,0,IF(COUNTIFS(実績!$W$6:$W$505,BW$3,実績!$AC$6:$AC$505,"&lt;="&amp;$A266,実績!$AD$6:$AD$505,"&gt;"&amp;$A266,実績!$AE$6:$AE$505,"○")&gt;0,1,0))</f>
        <v/>
      </c>
      <c r="BX266">
        <f>IF(BX$4=0,0,IF(COUNTIFS(実績!$W$6:$W$505,BX$3,実績!$AC$6:$AC$505,"&lt;="&amp;$A266,実績!$AD$6:$AD$505,"&gt;"&amp;$A266,実績!$AE$6:$AE$505,"○")&gt;0,1,0))</f>
        <v/>
      </c>
      <c r="BY266">
        <f>IF(BY$4=0,0,IF(COUNTIFS(実績!$W$6:$W$505,BY$3,実績!$AC$6:$AC$505,"&lt;="&amp;$A266,実績!$AD$6:$AD$505,"&gt;"&amp;$A266,実績!$AE$6:$AE$505,"○")&gt;0,1,0))</f>
        <v/>
      </c>
      <c r="BZ266">
        <f>IF(BZ$4=0,0,IF(COUNTIFS(実績!$W$6:$W$505,BZ$3,実績!$AC$6:$AC$505,"&lt;="&amp;$A266,実績!$AD$6:$AD$505,"&gt;"&amp;$A266,実績!$AE$6:$AE$505,"○")&gt;0,1,0))</f>
        <v/>
      </c>
      <c r="CA266">
        <f>IF(CA$4=0,0,IF(COUNTIFS(実績!$W$6:$W$505,CA$3,実績!$AC$6:$AC$505,"&lt;="&amp;$A266,実績!$AD$6:$AD$505,"&gt;"&amp;$A266,実績!$AE$6:$AE$505,"○")&gt;0,1,0))</f>
        <v/>
      </c>
      <c r="CB266">
        <f>IF(CB$4=0,0,IF(COUNTIFS(実績!$W$6:$W$505,CB$3,実績!$AC$6:$AC$505,"&lt;="&amp;$A266,実績!$AD$6:$AD$505,"&gt;"&amp;$A266,実績!$AE$6:$AE$505,"○")&gt;0,1,0))</f>
        <v/>
      </c>
      <c r="CC266">
        <f>IF(CC$4=0,0,IF(COUNTIFS(実績!$W$6:$W$505,CC$3,実績!$AC$6:$AC$505,"&lt;="&amp;$A266,実績!$AD$6:$AD$505,"&gt;"&amp;$A266,実績!$AE$6:$AE$505,"○")&gt;0,1,0))</f>
        <v/>
      </c>
      <c r="CD266">
        <f>IF(CD$4=0,0,IF(COUNTIFS(実績!$W$6:$W$505,CD$3,実績!$AC$6:$AC$505,"&lt;="&amp;$A266,実績!$AD$6:$AD$505,"&gt;"&amp;$A266,実績!$AE$6:$AE$505,"○")&gt;0,1,0))</f>
        <v/>
      </c>
      <c r="CE266">
        <f>IF(CE$4=0,0,IF(COUNTIFS(実績!$W$6:$W$505,CE$3,実績!$AC$6:$AC$505,"&lt;="&amp;$A266,実績!$AD$6:$AD$505,"&gt;"&amp;$A266,実績!$AE$6:$AE$505,"○")&gt;0,1,0))</f>
        <v/>
      </c>
      <c r="CF266">
        <f>IF(CF$4=0,0,IF(COUNTIFS(実績!$W$6:$W$505,CF$3,実績!$AC$6:$AC$505,"&lt;="&amp;$A266,実績!$AD$6:$AD$505,"&gt;"&amp;$A266,実績!$AE$6:$AE$505,"○")&gt;0,1,0))</f>
        <v/>
      </c>
      <c r="CG266">
        <f>IF(CG$4=0,0,IF(COUNTIFS(実績!$W$6:$W$505,CG$3,実績!$AC$6:$AC$505,"&lt;="&amp;$A266,実績!$AD$6:$AD$505,"&gt;"&amp;$A266,実績!$AE$6:$AE$505,"○")&gt;0,1,0))</f>
        <v/>
      </c>
      <c r="CH266">
        <f>IF(CH$4=0,0,IF(COUNTIFS(実績!$W$6:$W$505,CH$3,実績!$AC$6:$AC$505,"&lt;="&amp;$A266,実績!$AD$6:$AD$505,"&gt;"&amp;$A266,実績!$AE$6:$AE$505,"○")&gt;0,1,0))</f>
        <v/>
      </c>
      <c r="CI266">
        <f>IF(CI$4=0,0,IF(COUNTIFS(実績!$W$6:$W$505,CI$3,実績!$AC$6:$AC$505,"&lt;="&amp;$A266,実績!$AD$6:$AD$505,"&gt;"&amp;$A266,実績!$AE$6:$AE$505,"○")&gt;0,1,0))</f>
        <v/>
      </c>
      <c r="CJ266">
        <f>IF(CJ$4=0,0,IF(COUNTIFS(実績!$W$6:$W$505,CJ$3,実績!$AC$6:$AC$505,"&lt;="&amp;$A266,実績!$AD$6:$AD$505,"&gt;"&amp;$A266,実績!$AE$6:$AE$505,"○")&gt;0,1,0))</f>
        <v/>
      </c>
      <c r="CK266">
        <f>IF(CK$4=0,0,IF(COUNTIFS(実績!$W$6:$W$505,CK$3,実績!$AC$6:$AC$505,"&lt;="&amp;$A266,実績!$AD$6:$AD$505,"&gt;"&amp;$A266,実績!$AE$6:$AE$505,"○")&gt;0,1,0))</f>
        <v/>
      </c>
      <c r="CL266">
        <f>IF(CL$4=0,0,IF(COUNTIFS(実績!$W$6:$W$505,CL$3,実績!$AC$6:$AC$505,"&lt;="&amp;$A266,実績!$AD$6:$AD$505,"&gt;"&amp;$A266,実績!$AE$6:$AE$505,"○")&gt;0,1,0))</f>
        <v/>
      </c>
      <c r="CM266">
        <f>IF(CM$4=0,0,IF(COUNTIFS(実績!$W$6:$W$505,CM$3,実績!$AC$6:$AC$505,"&lt;="&amp;$A266,実績!$AD$6:$AD$505,"&gt;"&amp;$A266,実績!$AE$6:$AE$505,"○")&gt;0,1,0))</f>
        <v/>
      </c>
      <c r="CN266">
        <f>IF(CN$4=0,0,IF(COUNTIFS(実績!$W$6:$W$505,CN$3,実績!$AC$6:$AC$505,"&lt;="&amp;$A266,実績!$AD$6:$AD$505,"&gt;"&amp;$A266,実績!$AE$6:$AE$505,"○")&gt;0,1,0))</f>
        <v/>
      </c>
      <c r="CO266">
        <f>IF(CO$4=0,0,IF(COUNTIFS(実績!$W$6:$W$505,CO$3,実績!$AC$6:$AC$505,"&lt;="&amp;$A266,実績!$AD$6:$AD$505,"&gt;"&amp;$A266,実績!$AE$6:$AE$505,"○")&gt;0,1,0))</f>
        <v/>
      </c>
      <c r="CP266">
        <f>IF(CP$4=0,0,IF(COUNTIFS(実績!$W$6:$W$505,CP$3,実績!$AC$6:$AC$505,"&lt;="&amp;$A266,実績!$AD$6:$AD$505,"&gt;"&amp;$A266,実績!$AE$6:$AE$505,"○")&gt;0,1,0))</f>
        <v/>
      </c>
      <c r="CQ266">
        <f>IF(CQ$4=0,0,IF(COUNTIFS(実績!$W$6:$W$505,CQ$3,実績!$AC$6:$AC$505,"&lt;="&amp;$A266,実績!$AD$6:$AD$505,"&gt;"&amp;$A266,実績!$AE$6:$AE$505,"○")&gt;0,1,0))</f>
        <v/>
      </c>
      <c r="CR266">
        <f>IF(CR$4=0,0,IF(COUNTIFS(実績!$W$6:$W$505,CR$3,実績!$AC$6:$AC$505,"&lt;="&amp;$A266,実績!$AD$6:$AD$505,"&gt;"&amp;$A266,実績!$AE$6:$AE$505,"○")&gt;0,1,0))</f>
        <v/>
      </c>
      <c r="CS266">
        <f>IF(CS$4=0,0,IF(COUNTIFS(実績!$W$6:$W$505,CS$3,実績!$AC$6:$AC$505,"&lt;="&amp;$A266,実績!$AD$6:$AD$505,"&gt;"&amp;$A266,実績!$AE$6:$AE$505,"○")&gt;0,1,0))</f>
        <v/>
      </c>
      <c r="CT266">
        <f>IF(CT$4=0,0,IF(COUNTIFS(実績!$W$6:$W$505,CT$3,実績!$AC$6:$AC$505,"&lt;="&amp;$A266,実績!$AD$6:$AD$505,"&gt;"&amp;$A266,実績!$AE$6:$AE$505,"○")&gt;0,1,0))</f>
        <v/>
      </c>
      <c r="CU266">
        <f>IF(CU$4=0,0,IF(COUNTIFS(実績!$W$6:$W$505,CU$3,実績!$AC$6:$AC$505,"&lt;="&amp;$A266,実績!$AD$6:$AD$505,"&gt;"&amp;$A266,実績!$AE$6:$AE$505,"○")&gt;0,1,0))</f>
        <v/>
      </c>
      <c r="CV266">
        <f>IF(CV$4=0,0,IF(COUNTIFS(実績!$W$6:$W$505,CV$3,実績!$AC$6:$AC$505,"&lt;="&amp;$A266,実績!$AD$6:$AD$505,"&gt;"&amp;$A266,実績!$AE$6:$AE$505,"○")&gt;0,1,0))</f>
        <v/>
      </c>
      <c r="CW266">
        <f>IF(CW$4=0,0,IF(COUNTIFS(実績!$W$6:$W$505,CW$3,実績!$AC$6:$AC$505,"&lt;="&amp;$A266,実績!$AD$6:$AD$505,"&gt;"&amp;$A266,実績!$AE$6:$AE$505,"○")&gt;0,1,0))</f>
        <v/>
      </c>
      <c r="CX266">
        <f>IF(CX$4=0,0,IF(COUNTIFS(実績!$W$6:$W$505,CX$3,実績!$AC$6:$AC$505,"&lt;="&amp;$A266,実績!$AD$6:$AD$505,"&gt;"&amp;$A266,実績!$AE$6:$AE$505,"○")&gt;0,1,0))</f>
        <v/>
      </c>
      <c r="CY266">
        <f>IF(CY$4=0,0,IF(COUNTIFS(実績!$W$6:$W$505,CY$3,実績!$AC$6:$AC$505,"&lt;="&amp;$A266,実績!$AD$6:$AD$505,"&gt;"&amp;$A266,実績!$AE$6:$AE$505,"○")&gt;0,1,0))</f>
        <v/>
      </c>
      <c r="CZ266">
        <f>IF(CZ$4=0,0,IF(COUNTIFS(実績!$W$6:$W$505,CZ$3,実績!$AC$6:$AC$505,"&lt;="&amp;$A266,実績!$AD$6:$AD$505,"&gt;"&amp;$A266,実績!$AE$6:$AE$505,"○")&gt;0,1,0))</f>
        <v/>
      </c>
      <c r="DA266">
        <f>IF(DA$4=0,0,IF(COUNTIFS(実績!$W$6:$W$505,DA$3,実績!$AC$6:$AC$505,"&lt;="&amp;$A266,実績!$AD$6:$AD$505,"&gt;"&amp;$A266,実績!$AE$6:$AE$505,"○")&gt;0,1,0))</f>
        <v/>
      </c>
      <c r="DB266">
        <f>IF(DB$4=0,0,IF(COUNTIFS(実績!$W$6:$W$505,DB$3,実績!$AC$6:$AC$505,"&lt;="&amp;$A266,実績!$AD$6:$AD$505,"&gt;"&amp;$A266,実績!$AE$6:$AE$505,"○")&gt;0,1,0))</f>
        <v/>
      </c>
      <c r="DC266">
        <f>IF(DC$4=0,0,IF(COUNTIFS(実績!$W$6:$W$505,DC$3,実績!$AC$6:$AC$505,"&lt;="&amp;$A266,実績!$AD$6:$AD$505,"&gt;"&amp;$A266,実績!$AE$6:$AE$505,"○")&gt;0,1,0))</f>
        <v/>
      </c>
      <c r="DD266">
        <f>IF(DD$4=0,0,IF(COUNTIFS(実績!$W$6:$W$505,DD$3,実績!$AC$6:$AC$505,"&lt;="&amp;$A266,実績!$AD$6:$AD$505,"&gt;"&amp;$A266,実績!$AE$6:$AE$505,"○")&gt;0,1,0))</f>
        <v/>
      </c>
      <c r="DE266">
        <f>IF(DE$4=0,0,IF(COUNTIFS(実績!$W$6:$W$505,DE$3,実績!$AC$6:$AC$505,"&lt;="&amp;$A266,実績!$AD$6:$AD$505,"&gt;"&amp;$A266,実績!$AE$6:$AE$505,"○")&gt;0,1,0))</f>
        <v/>
      </c>
      <c r="DF266">
        <f>IF(DF$4=0,0,IF(COUNTIFS(実績!$W$6:$W$505,DF$3,実績!$AC$6:$AC$505,"&lt;="&amp;$A266,実績!$AD$6:$AD$505,"&gt;"&amp;$A266,実績!$AE$6:$AE$505,"○")&gt;0,1,0))</f>
        <v/>
      </c>
      <c r="DG266">
        <f>IF(DG$4=0,0,IF(COUNTIFS(実績!$W$6:$W$505,DG$3,実績!$AC$6:$AC$505,"&lt;="&amp;$A266,実績!$AD$6:$AD$505,"&gt;"&amp;$A266,実績!$AE$6:$AE$505,"○")&gt;0,1,0))</f>
        <v/>
      </c>
      <c r="DH266">
        <f>IF(DH$4=0,0,IF(COUNTIFS(実績!$W$6:$W$505,DH$3,実績!$AC$6:$AC$505,"&lt;="&amp;$A266,実績!$AD$6:$AD$505,"&gt;"&amp;$A266,実績!$AE$6:$AE$505,"○")&gt;0,1,0))</f>
        <v/>
      </c>
      <c r="DI266">
        <f>IF(DI$4=0,0,IF(COUNTIFS(実績!$W$6:$W$505,DI$3,実績!$AC$6:$AC$505,"&lt;="&amp;$A266,実績!$AD$6:$AD$505,"&gt;"&amp;$A266,実績!$AE$6:$AE$505,"○")&gt;0,1,0))</f>
        <v/>
      </c>
      <c r="DJ266">
        <f>IF(DJ$4=0,0,IF(COUNTIFS(実績!$W$6:$W$505,DJ$3,実績!$AC$6:$AC$505,"&lt;="&amp;$A266,実績!$AD$6:$AD$505,"&gt;"&amp;$A266,実績!$AE$6:$AE$505,"○")&gt;0,1,0))</f>
        <v/>
      </c>
      <c r="DK266">
        <f>IF(DK$4=0,0,IF(COUNTIFS(実績!$W$6:$W$505,DK$3,実績!$AC$6:$AC$505,"&lt;="&amp;$A266,実績!$AD$6:$AD$505,"&gt;"&amp;$A266,実績!$AE$6:$AE$505,"○")&gt;0,1,0))</f>
        <v/>
      </c>
      <c r="DL266">
        <f>IF(DL$4=0,0,IF(COUNTIFS(実績!$W$6:$W$505,DL$3,実績!$AC$6:$AC$505,"&lt;="&amp;$A266,実績!$AD$6:$AD$505,"&gt;"&amp;$A266,実績!$AE$6:$AE$505,"○")&gt;0,1,0))</f>
        <v/>
      </c>
      <c r="DM266">
        <f>IF(DM$4=0,0,IF(COUNTIFS(実績!$W$6:$W$505,DM$3,実績!$AC$6:$AC$505,"&lt;="&amp;$A266,実績!$AD$6:$AD$505,"&gt;"&amp;$A266,実績!$AE$6:$AE$505,"○")&gt;0,1,0))</f>
        <v/>
      </c>
      <c r="DN266">
        <f>IF(DN$4=0,0,IF(COUNTIFS(実績!$W$6:$W$505,DN$3,実績!$AC$6:$AC$505,"&lt;="&amp;$A266,実績!$AD$6:$AD$505,"&gt;"&amp;$A266,実績!$AE$6:$AE$505,"○")&gt;0,1,0))</f>
        <v/>
      </c>
      <c r="DO266">
        <f>IF(DO$4=0,0,IF(COUNTIFS(実績!$W$6:$W$505,DO$3,実績!$AC$6:$AC$505,"&lt;="&amp;$A266,実績!$AD$6:$AD$505,"&gt;"&amp;$A266,実績!$AE$6:$AE$505,"○")&gt;0,1,0))</f>
        <v/>
      </c>
      <c r="DP266">
        <f>IF(DP$4=0,0,IF(COUNTIFS(実績!$W$6:$W$505,DP$3,実績!$AC$6:$AC$505,"&lt;="&amp;$A266,実績!$AD$6:$AD$505,"&gt;"&amp;$A266,実績!$AE$6:$AE$505,"○")&gt;0,1,0))</f>
        <v/>
      </c>
      <c r="DQ266">
        <f>IF(DQ$4=0,0,IF(COUNTIFS(実績!$W$6:$W$505,DQ$3,実績!$AC$6:$AC$505,"&lt;="&amp;$A266,実績!$AD$6:$AD$505,"&gt;"&amp;$A266,実績!$AE$6:$AE$505,"○")&gt;0,1,0))</f>
        <v/>
      </c>
      <c r="DR266">
        <f>IF(DR$4=0,0,IF(COUNTIFS(実績!$W$6:$W$505,DR$3,実績!$AC$6:$AC$505,"&lt;="&amp;$A266,実績!$AD$6:$AD$505,"&gt;"&amp;$A266,実績!$AE$6:$AE$505,"○")&gt;0,1,0))</f>
        <v/>
      </c>
      <c r="DS266">
        <f>SUM(C266:DR266)</f>
        <v/>
      </c>
      <c r="DT266">
        <f>SUMPRODUCT((実績!$C$6:$C$505="○")*ISNUMBER(実績!$AF$6:$AF$505)*(実績!$AF$6:$AF$505&lt;=$A266)*(実績!$AG$6:$AG$505&gt;$A266))</f>
        <v/>
      </c>
      <c r="DU266">
        <f>SUMIF($C$2:$DR$2,"製鉄曳船",C266:DR266)</f>
        <v/>
      </c>
      <c r="DV266">
        <f>SUMIF($C$2:$DR$2,"西日本海運",C266:DR266)</f>
        <v/>
      </c>
    </row>
    <row r="267">
      <c r="A267" t="n">
        <v>1305</v>
      </c>
      <c r="B267" s="29">
        <f>A267/1440</f>
        <v/>
      </c>
      <c r="C267">
        <f>IF(C$4=0,0,IF(COUNTIFS(実績!$W$6:$W$505,C$3,実績!$AC$6:$AC$505,"&lt;="&amp;$A267,実績!$AD$6:$AD$505,"&gt;"&amp;$A267,実績!$AE$6:$AE$505,"○")&gt;0,1,0))</f>
        <v/>
      </c>
      <c r="D267">
        <f>IF(D$4=0,0,IF(COUNTIFS(実績!$W$6:$W$505,D$3,実績!$AC$6:$AC$505,"&lt;="&amp;$A267,実績!$AD$6:$AD$505,"&gt;"&amp;$A267,実績!$AE$6:$AE$505,"○")&gt;0,1,0))</f>
        <v/>
      </c>
      <c r="E267">
        <f>IF(E$4=0,0,IF(COUNTIFS(実績!$W$6:$W$505,E$3,実績!$AC$6:$AC$505,"&lt;="&amp;$A267,実績!$AD$6:$AD$505,"&gt;"&amp;$A267,実績!$AE$6:$AE$505,"○")&gt;0,1,0))</f>
        <v/>
      </c>
      <c r="F267">
        <f>IF(F$4=0,0,IF(COUNTIFS(実績!$W$6:$W$505,F$3,実績!$AC$6:$AC$505,"&lt;="&amp;$A267,実績!$AD$6:$AD$505,"&gt;"&amp;$A267,実績!$AE$6:$AE$505,"○")&gt;0,1,0))</f>
        <v/>
      </c>
      <c r="G267">
        <f>IF(G$4=0,0,IF(COUNTIFS(実績!$W$6:$W$505,G$3,実績!$AC$6:$AC$505,"&lt;="&amp;$A267,実績!$AD$6:$AD$505,"&gt;"&amp;$A267,実績!$AE$6:$AE$505,"○")&gt;0,1,0))</f>
        <v/>
      </c>
      <c r="H267">
        <f>IF(H$4=0,0,IF(COUNTIFS(実績!$W$6:$W$505,H$3,実績!$AC$6:$AC$505,"&lt;="&amp;$A267,実績!$AD$6:$AD$505,"&gt;"&amp;$A267,実績!$AE$6:$AE$505,"○")&gt;0,1,0))</f>
        <v/>
      </c>
      <c r="I267">
        <f>IF(I$4=0,0,IF(COUNTIFS(実績!$W$6:$W$505,I$3,実績!$AC$6:$AC$505,"&lt;="&amp;$A267,実績!$AD$6:$AD$505,"&gt;"&amp;$A267,実績!$AE$6:$AE$505,"○")&gt;0,1,0))</f>
        <v/>
      </c>
      <c r="J267">
        <f>IF(J$4=0,0,IF(COUNTIFS(実績!$W$6:$W$505,J$3,実績!$AC$6:$AC$505,"&lt;="&amp;$A267,実績!$AD$6:$AD$505,"&gt;"&amp;$A267,実績!$AE$6:$AE$505,"○")&gt;0,1,0))</f>
        <v/>
      </c>
      <c r="K267">
        <f>IF(K$4=0,0,IF(COUNTIFS(実績!$W$6:$W$505,K$3,実績!$AC$6:$AC$505,"&lt;="&amp;$A267,実績!$AD$6:$AD$505,"&gt;"&amp;$A267,実績!$AE$6:$AE$505,"○")&gt;0,1,0))</f>
        <v/>
      </c>
      <c r="L267">
        <f>IF(L$4=0,0,IF(COUNTIFS(実績!$W$6:$W$505,L$3,実績!$AC$6:$AC$505,"&lt;="&amp;$A267,実績!$AD$6:$AD$505,"&gt;"&amp;$A267,実績!$AE$6:$AE$505,"○")&gt;0,1,0))</f>
        <v/>
      </c>
      <c r="M267">
        <f>IF(M$4=0,0,IF(COUNTIFS(実績!$W$6:$W$505,M$3,実績!$AC$6:$AC$505,"&lt;="&amp;$A267,実績!$AD$6:$AD$505,"&gt;"&amp;$A267,実績!$AE$6:$AE$505,"○")&gt;0,1,0))</f>
        <v/>
      </c>
      <c r="N267">
        <f>IF(N$4=0,0,IF(COUNTIFS(実績!$W$6:$W$505,N$3,実績!$AC$6:$AC$505,"&lt;="&amp;$A267,実績!$AD$6:$AD$505,"&gt;"&amp;$A267,実績!$AE$6:$AE$505,"○")&gt;0,1,0))</f>
        <v/>
      </c>
      <c r="O267">
        <f>IF(O$4=0,0,IF(COUNTIFS(実績!$W$6:$W$505,O$3,実績!$AC$6:$AC$505,"&lt;="&amp;$A267,実績!$AD$6:$AD$505,"&gt;"&amp;$A267,実績!$AE$6:$AE$505,"○")&gt;0,1,0))</f>
        <v/>
      </c>
      <c r="P267">
        <f>IF(P$4=0,0,IF(COUNTIFS(実績!$W$6:$W$505,P$3,実績!$AC$6:$AC$505,"&lt;="&amp;$A267,実績!$AD$6:$AD$505,"&gt;"&amp;$A267,実績!$AE$6:$AE$505,"○")&gt;0,1,0))</f>
        <v/>
      </c>
      <c r="Q267">
        <f>IF(Q$4=0,0,IF(COUNTIFS(実績!$W$6:$W$505,Q$3,実績!$AC$6:$AC$505,"&lt;="&amp;$A267,実績!$AD$6:$AD$505,"&gt;"&amp;$A267,実績!$AE$6:$AE$505,"○")&gt;0,1,0))</f>
        <v/>
      </c>
      <c r="R267">
        <f>IF(R$4=0,0,IF(COUNTIFS(実績!$W$6:$W$505,R$3,実績!$AC$6:$AC$505,"&lt;="&amp;$A267,実績!$AD$6:$AD$505,"&gt;"&amp;$A267,実績!$AE$6:$AE$505,"○")&gt;0,1,0))</f>
        <v/>
      </c>
      <c r="S267">
        <f>IF(S$4=0,0,IF(COUNTIFS(実績!$W$6:$W$505,S$3,実績!$AC$6:$AC$505,"&lt;="&amp;$A267,実績!$AD$6:$AD$505,"&gt;"&amp;$A267,実績!$AE$6:$AE$505,"○")&gt;0,1,0))</f>
        <v/>
      </c>
      <c r="T267">
        <f>IF(T$4=0,0,IF(COUNTIFS(実績!$W$6:$W$505,T$3,実績!$AC$6:$AC$505,"&lt;="&amp;$A267,実績!$AD$6:$AD$505,"&gt;"&amp;$A267,実績!$AE$6:$AE$505,"○")&gt;0,1,0))</f>
        <v/>
      </c>
      <c r="U267">
        <f>IF(U$4=0,0,IF(COUNTIFS(実績!$W$6:$W$505,U$3,実績!$AC$6:$AC$505,"&lt;="&amp;$A267,実績!$AD$6:$AD$505,"&gt;"&amp;$A267,実績!$AE$6:$AE$505,"○")&gt;0,1,0))</f>
        <v/>
      </c>
      <c r="V267">
        <f>IF(V$4=0,0,IF(COUNTIFS(実績!$W$6:$W$505,V$3,実績!$AC$6:$AC$505,"&lt;="&amp;$A267,実績!$AD$6:$AD$505,"&gt;"&amp;$A267,実績!$AE$6:$AE$505,"○")&gt;0,1,0))</f>
        <v/>
      </c>
      <c r="W267">
        <f>IF(W$4=0,0,IF(COUNTIFS(実績!$W$6:$W$505,W$3,実績!$AC$6:$AC$505,"&lt;="&amp;$A267,実績!$AD$6:$AD$505,"&gt;"&amp;$A267,実績!$AE$6:$AE$505,"○")&gt;0,1,0))</f>
        <v/>
      </c>
      <c r="X267">
        <f>IF(X$4=0,0,IF(COUNTIFS(実績!$W$6:$W$505,X$3,実績!$AC$6:$AC$505,"&lt;="&amp;$A267,実績!$AD$6:$AD$505,"&gt;"&amp;$A267,実績!$AE$6:$AE$505,"○")&gt;0,1,0))</f>
        <v/>
      </c>
      <c r="Y267">
        <f>IF(Y$4=0,0,IF(COUNTIFS(実績!$W$6:$W$505,Y$3,実績!$AC$6:$AC$505,"&lt;="&amp;$A267,実績!$AD$6:$AD$505,"&gt;"&amp;$A267,実績!$AE$6:$AE$505,"○")&gt;0,1,0))</f>
        <v/>
      </c>
      <c r="Z267">
        <f>IF(Z$4=0,0,IF(COUNTIFS(実績!$W$6:$W$505,Z$3,実績!$AC$6:$AC$505,"&lt;="&amp;$A267,実績!$AD$6:$AD$505,"&gt;"&amp;$A267,実績!$AE$6:$AE$505,"○")&gt;0,1,0))</f>
        <v/>
      </c>
      <c r="AA267">
        <f>IF(AA$4=0,0,IF(COUNTIFS(実績!$W$6:$W$505,AA$3,実績!$AC$6:$AC$505,"&lt;="&amp;$A267,実績!$AD$6:$AD$505,"&gt;"&amp;$A267,実績!$AE$6:$AE$505,"○")&gt;0,1,0))</f>
        <v/>
      </c>
      <c r="AB267">
        <f>IF(AB$4=0,0,IF(COUNTIFS(実績!$W$6:$W$505,AB$3,実績!$AC$6:$AC$505,"&lt;="&amp;$A267,実績!$AD$6:$AD$505,"&gt;"&amp;$A267,実績!$AE$6:$AE$505,"○")&gt;0,1,0))</f>
        <v/>
      </c>
      <c r="AC267">
        <f>IF(AC$4=0,0,IF(COUNTIFS(実績!$W$6:$W$505,AC$3,実績!$AC$6:$AC$505,"&lt;="&amp;$A267,実績!$AD$6:$AD$505,"&gt;"&amp;$A267,実績!$AE$6:$AE$505,"○")&gt;0,1,0))</f>
        <v/>
      </c>
      <c r="AD267">
        <f>IF(AD$4=0,0,IF(COUNTIFS(実績!$W$6:$W$505,AD$3,実績!$AC$6:$AC$505,"&lt;="&amp;$A267,実績!$AD$6:$AD$505,"&gt;"&amp;$A267,実績!$AE$6:$AE$505,"○")&gt;0,1,0))</f>
        <v/>
      </c>
      <c r="AE267">
        <f>IF(AE$4=0,0,IF(COUNTIFS(実績!$W$6:$W$505,AE$3,実績!$AC$6:$AC$505,"&lt;="&amp;$A267,実績!$AD$6:$AD$505,"&gt;"&amp;$A267,実績!$AE$6:$AE$505,"○")&gt;0,1,0))</f>
        <v/>
      </c>
      <c r="AF267">
        <f>IF(AF$4=0,0,IF(COUNTIFS(実績!$W$6:$W$505,AF$3,実績!$AC$6:$AC$505,"&lt;="&amp;$A267,実績!$AD$6:$AD$505,"&gt;"&amp;$A267,実績!$AE$6:$AE$505,"○")&gt;0,1,0))</f>
        <v/>
      </c>
      <c r="AG267">
        <f>IF(AG$4=0,0,IF(COUNTIFS(実績!$W$6:$W$505,AG$3,実績!$AC$6:$AC$505,"&lt;="&amp;$A267,実績!$AD$6:$AD$505,"&gt;"&amp;$A267,実績!$AE$6:$AE$505,"○")&gt;0,1,0))</f>
        <v/>
      </c>
      <c r="AH267">
        <f>IF(AH$4=0,0,IF(COUNTIFS(実績!$W$6:$W$505,AH$3,実績!$AC$6:$AC$505,"&lt;="&amp;$A267,実績!$AD$6:$AD$505,"&gt;"&amp;$A267,実績!$AE$6:$AE$505,"○")&gt;0,1,0))</f>
        <v/>
      </c>
      <c r="AI267">
        <f>IF(AI$4=0,0,IF(COUNTIFS(実績!$W$6:$W$505,AI$3,実績!$AC$6:$AC$505,"&lt;="&amp;$A267,実績!$AD$6:$AD$505,"&gt;"&amp;$A267,実績!$AE$6:$AE$505,"○")&gt;0,1,0))</f>
        <v/>
      </c>
      <c r="AJ267">
        <f>IF(AJ$4=0,0,IF(COUNTIFS(実績!$W$6:$W$505,AJ$3,実績!$AC$6:$AC$505,"&lt;="&amp;$A267,実績!$AD$6:$AD$505,"&gt;"&amp;$A267,実績!$AE$6:$AE$505,"○")&gt;0,1,0))</f>
        <v/>
      </c>
      <c r="AK267">
        <f>IF(AK$4=0,0,IF(COUNTIFS(実績!$W$6:$W$505,AK$3,実績!$AC$6:$AC$505,"&lt;="&amp;$A267,実績!$AD$6:$AD$505,"&gt;"&amp;$A267,実績!$AE$6:$AE$505,"○")&gt;0,1,0))</f>
        <v/>
      </c>
      <c r="AL267">
        <f>IF(AL$4=0,0,IF(COUNTIFS(実績!$W$6:$W$505,AL$3,実績!$AC$6:$AC$505,"&lt;="&amp;$A267,実績!$AD$6:$AD$505,"&gt;"&amp;$A267,実績!$AE$6:$AE$505,"○")&gt;0,1,0))</f>
        <v/>
      </c>
      <c r="AM267">
        <f>IF(AM$4=0,0,IF(COUNTIFS(実績!$W$6:$W$505,AM$3,実績!$AC$6:$AC$505,"&lt;="&amp;$A267,実績!$AD$6:$AD$505,"&gt;"&amp;$A267,実績!$AE$6:$AE$505,"○")&gt;0,1,0))</f>
        <v/>
      </c>
      <c r="AN267">
        <f>IF(AN$4=0,0,IF(COUNTIFS(実績!$W$6:$W$505,AN$3,実績!$AC$6:$AC$505,"&lt;="&amp;$A267,実績!$AD$6:$AD$505,"&gt;"&amp;$A267,実績!$AE$6:$AE$505,"○")&gt;0,1,0))</f>
        <v/>
      </c>
      <c r="AO267">
        <f>IF(AO$4=0,0,IF(COUNTIFS(実績!$W$6:$W$505,AO$3,実績!$AC$6:$AC$505,"&lt;="&amp;$A267,実績!$AD$6:$AD$505,"&gt;"&amp;$A267,実績!$AE$6:$AE$505,"○")&gt;0,1,0))</f>
        <v/>
      </c>
      <c r="AP267">
        <f>IF(AP$4=0,0,IF(COUNTIFS(実績!$W$6:$W$505,AP$3,実績!$AC$6:$AC$505,"&lt;="&amp;$A267,実績!$AD$6:$AD$505,"&gt;"&amp;$A267,実績!$AE$6:$AE$505,"○")&gt;0,1,0))</f>
        <v/>
      </c>
      <c r="AQ267">
        <f>IF(AQ$4=0,0,IF(COUNTIFS(実績!$W$6:$W$505,AQ$3,実績!$AC$6:$AC$505,"&lt;="&amp;$A267,実績!$AD$6:$AD$505,"&gt;"&amp;$A267,実績!$AE$6:$AE$505,"○")&gt;0,1,0))</f>
        <v/>
      </c>
      <c r="AR267">
        <f>IF(AR$4=0,0,IF(COUNTIFS(実績!$W$6:$W$505,AR$3,実績!$AC$6:$AC$505,"&lt;="&amp;$A267,実績!$AD$6:$AD$505,"&gt;"&amp;$A267,実績!$AE$6:$AE$505,"○")&gt;0,1,0))</f>
        <v/>
      </c>
      <c r="AS267">
        <f>IF(AS$4=0,0,IF(COUNTIFS(実績!$W$6:$W$505,AS$3,実績!$AC$6:$AC$505,"&lt;="&amp;$A267,実績!$AD$6:$AD$505,"&gt;"&amp;$A267,実績!$AE$6:$AE$505,"○")&gt;0,1,0))</f>
        <v/>
      </c>
      <c r="AT267">
        <f>IF(AT$4=0,0,IF(COUNTIFS(実績!$W$6:$W$505,AT$3,実績!$AC$6:$AC$505,"&lt;="&amp;$A267,実績!$AD$6:$AD$505,"&gt;"&amp;$A267,実績!$AE$6:$AE$505,"○")&gt;0,1,0))</f>
        <v/>
      </c>
      <c r="AU267">
        <f>IF(AU$4=0,0,IF(COUNTIFS(実績!$W$6:$W$505,AU$3,実績!$AC$6:$AC$505,"&lt;="&amp;$A267,実績!$AD$6:$AD$505,"&gt;"&amp;$A267,実績!$AE$6:$AE$505,"○")&gt;0,1,0))</f>
        <v/>
      </c>
      <c r="AV267">
        <f>IF(AV$4=0,0,IF(COUNTIFS(実績!$W$6:$W$505,AV$3,実績!$AC$6:$AC$505,"&lt;="&amp;$A267,実績!$AD$6:$AD$505,"&gt;"&amp;$A267,実績!$AE$6:$AE$505,"○")&gt;0,1,0))</f>
        <v/>
      </c>
      <c r="AW267">
        <f>IF(AW$4=0,0,IF(COUNTIFS(実績!$W$6:$W$505,AW$3,実績!$AC$6:$AC$505,"&lt;="&amp;$A267,実績!$AD$6:$AD$505,"&gt;"&amp;$A267,実績!$AE$6:$AE$505,"○")&gt;0,1,0))</f>
        <v/>
      </c>
      <c r="AX267">
        <f>IF(AX$4=0,0,IF(COUNTIFS(実績!$W$6:$W$505,AX$3,実績!$AC$6:$AC$505,"&lt;="&amp;$A267,実績!$AD$6:$AD$505,"&gt;"&amp;$A267,実績!$AE$6:$AE$505,"○")&gt;0,1,0))</f>
        <v/>
      </c>
      <c r="AY267">
        <f>IF(AY$4=0,0,IF(COUNTIFS(実績!$W$6:$W$505,AY$3,実績!$AC$6:$AC$505,"&lt;="&amp;$A267,実績!$AD$6:$AD$505,"&gt;"&amp;$A267,実績!$AE$6:$AE$505,"○")&gt;0,1,0))</f>
        <v/>
      </c>
      <c r="AZ267">
        <f>IF(AZ$4=0,0,IF(COUNTIFS(実績!$W$6:$W$505,AZ$3,実績!$AC$6:$AC$505,"&lt;="&amp;$A267,実績!$AD$6:$AD$505,"&gt;"&amp;$A267,実績!$AE$6:$AE$505,"○")&gt;0,1,0))</f>
        <v/>
      </c>
      <c r="BA267">
        <f>IF(BA$4=0,0,IF(COUNTIFS(実績!$W$6:$W$505,BA$3,実績!$AC$6:$AC$505,"&lt;="&amp;$A267,実績!$AD$6:$AD$505,"&gt;"&amp;$A267,実績!$AE$6:$AE$505,"○")&gt;0,1,0))</f>
        <v/>
      </c>
      <c r="BB267">
        <f>IF(BB$4=0,0,IF(COUNTIFS(実績!$W$6:$W$505,BB$3,実績!$AC$6:$AC$505,"&lt;="&amp;$A267,実績!$AD$6:$AD$505,"&gt;"&amp;$A267,実績!$AE$6:$AE$505,"○")&gt;0,1,0))</f>
        <v/>
      </c>
      <c r="BC267">
        <f>IF(BC$4=0,0,IF(COUNTIFS(実績!$W$6:$W$505,BC$3,実績!$AC$6:$AC$505,"&lt;="&amp;$A267,実績!$AD$6:$AD$505,"&gt;"&amp;$A267,実績!$AE$6:$AE$505,"○")&gt;0,1,0))</f>
        <v/>
      </c>
      <c r="BD267">
        <f>IF(BD$4=0,0,IF(COUNTIFS(実績!$W$6:$W$505,BD$3,実績!$AC$6:$AC$505,"&lt;="&amp;$A267,実績!$AD$6:$AD$505,"&gt;"&amp;$A267,実績!$AE$6:$AE$505,"○")&gt;0,1,0))</f>
        <v/>
      </c>
      <c r="BE267">
        <f>IF(BE$4=0,0,IF(COUNTIFS(実績!$W$6:$W$505,BE$3,実績!$AC$6:$AC$505,"&lt;="&amp;$A267,実績!$AD$6:$AD$505,"&gt;"&amp;$A267,実績!$AE$6:$AE$505,"○")&gt;0,1,0))</f>
        <v/>
      </c>
      <c r="BF267">
        <f>IF(BF$4=0,0,IF(COUNTIFS(実績!$W$6:$W$505,BF$3,実績!$AC$6:$AC$505,"&lt;="&amp;$A267,実績!$AD$6:$AD$505,"&gt;"&amp;$A267,実績!$AE$6:$AE$505,"○")&gt;0,1,0))</f>
        <v/>
      </c>
      <c r="BG267">
        <f>IF(BG$4=0,0,IF(COUNTIFS(実績!$W$6:$W$505,BG$3,実績!$AC$6:$AC$505,"&lt;="&amp;$A267,実績!$AD$6:$AD$505,"&gt;"&amp;$A267,実績!$AE$6:$AE$505,"○")&gt;0,1,0))</f>
        <v/>
      </c>
      <c r="BH267">
        <f>IF(BH$4=0,0,IF(COUNTIFS(実績!$W$6:$W$505,BH$3,実績!$AC$6:$AC$505,"&lt;="&amp;$A267,実績!$AD$6:$AD$505,"&gt;"&amp;$A267,実績!$AE$6:$AE$505,"○")&gt;0,1,0))</f>
        <v/>
      </c>
      <c r="BI267">
        <f>IF(BI$4=0,0,IF(COUNTIFS(実績!$W$6:$W$505,BI$3,実績!$AC$6:$AC$505,"&lt;="&amp;$A267,実績!$AD$6:$AD$505,"&gt;"&amp;$A267,実績!$AE$6:$AE$505,"○")&gt;0,1,0))</f>
        <v/>
      </c>
      <c r="BJ267">
        <f>IF(BJ$4=0,0,IF(COUNTIFS(実績!$W$6:$W$505,BJ$3,実績!$AC$6:$AC$505,"&lt;="&amp;$A267,実績!$AD$6:$AD$505,"&gt;"&amp;$A267,実績!$AE$6:$AE$505,"○")&gt;0,1,0))</f>
        <v/>
      </c>
      <c r="BK267">
        <f>IF(BK$4=0,0,IF(COUNTIFS(実績!$W$6:$W$505,BK$3,実績!$AC$6:$AC$505,"&lt;="&amp;$A267,実績!$AD$6:$AD$505,"&gt;"&amp;$A267,実績!$AE$6:$AE$505,"○")&gt;0,1,0))</f>
        <v/>
      </c>
      <c r="BL267">
        <f>IF(BL$4=0,0,IF(COUNTIFS(実績!$W$6:$W$505,BL$3,実績!$AC$6:$AC$505,"&lt;="&amp;$A267,実績!$AD$6:$AD$505,"&gt;"&amp;$A267,実績!$AE$6:$AE$505,"○")&gt;0,1,0))</f>
        <v/>
      </c>
      <c r="BM267">
        <f>IF(BM$4=0,0,IF(COUNTIFS(実績!$W$6:$W$505,BM$3,実績!$AC$6:$AC$505,"&lt;="&amp;$A267,実績!$AD$6:$AD$505,"&gt;"&amp;$A267,実績!$AE$6:$AE$505,"○")&gt;0,1,0))</f>
        <v/>
      </c>
      <c r="BN267">
        <f>IF(BN$4=0,0,IF(COUNTIFS(実績!$W$6:$W$505,BN$3,実績!$AC$6:$AC$505,"&lt;="&amp;$A267,実績!$AD$6:$AD$505,"&gt;"&amp;$A267,実績!$AE$6:$AE$505,"○")&gt;0,1,0))</f>
        <v/>
      </c>
      <c r="BO267">
        <f>IF(BO$4=0,0,IF(COUNTIFS(実績!$W$6:$W$505,BO$3,実績!$AC$6:$AC$505,"&lt;="&amp;$A267,実績!$AD$6:$AD$505,"&gt;"&amp;$A267,実績!$AE$6:$AE$505,"○")&gt;0,1,0))</f>
        <v/>
      </c>
      <c r="BP267">
        <f>IF(BP$4=0,0,IF(COUNTIFS(実績!$W$6:$W$505,BP$3,実績!$AC$6:$AC$505,"&lt;="&amp;$A267,実績!$AD$6:$AD$505,"&gt;"&amp;$A267,実績!$AE$6:$AE$505,"○")&gt;0,1,0))</f>
        <v/>
      </c>
      <c r="BQ267">
        <f>IF(BQ$4=0,0,IF(COUNTIFS(実績!$W$6:$W$505,BQ$3,実績!$AC$6:$AC$505,"&lt;="&amp;$A267,実績!$AD$6:$AD$505,"&gt;"&amp;$A267,実績!$AE$6:$AE$505,"○")&gt;0,1,0))</f>
        <v/>
      </c>
      <c r="BR267">
        <f>IF(BR$4=0,0,IF(COUNTIFS(実績!$W$6:$W$505,BR$3,実績!$AC$6:$AC$505,"&lt;="&amp;$A267,実績!$AD$6:$AD$505,"&gt;"&amp;$A267,実績!$AE$6:$AE$505,"○")&gt;0,1,0))</f>
        <v/>
      </c>
      <c r="BS267">
        <f>IF(BS$4=0,0,IF(COUNTIFS(実績!$W$6:$W$505,BS$3,実績!$AC$6:$AC$505,"&lt;="&amp;$A267,実績!$AD$6:$AD$505,"&gt;"&amp;$A267,実績!$AE$6:$AE$505,"○")&gt;0,1,0))</f>
        <v/>
      </c>
      <c r="BT267">
        <f>IF(BT$4=0,0,IF(COUNTIFS(実績!$W$6:$W$505,BT$3,実績!$AC$6:$AC$505,"&lt;="&amp;$A267,実績!$AD$6:$AD$505,"&gt;"&amp;$A267,実績!$AE$6:$AE$505,"○")&gt;0,1,0))</f>
        <v/>
      </c>
      <c r="BU267">
        <f>IF(BU$4=0,0,IF(COUNTIFS(実績!$W$6:$W$505,BU$3,実績!$AC$6:$AC$505,"&lt;="&amp;$A267,実績!$AD$6:$AD$505,"&gt;"&amp;$A267,実績!$AE$6:$AE$505,"○")&gt;0,1,0))</f>
        <v/>
      </c>
      <c r="BV267">
        <f>IF(BV$4=0,0,IF(COUNTIFS(実績!$W$6:$W$505,BV$3,実績!$AC$6:$AC$505,"&lt;="&amp;$A267,実績!$AD$6:$AD$505,"&gt;"&amp;$A267,実績!$AE$6:$AE$505,"○")&gt;0,1,0))</f>
        <v/>
      </c>
      <c r="BW267">
        <f>IF(BW$4=0,0,IF(COUNTIFS(実績!$W$6:$W$505,BW$3,実績!$AC$6:$AC$505,"&lt;="&amp;$A267,実績!$AD$6:$AD$505,"&gt;"&amp;$A267,実績!$AE$6:$AE$505,"○")&gt;0,1,0))</f>
        <v/>
      </c>
      <c r="BX267">
        <f>IF(BX$4=0,0,IF(COUNTIFS(実績!$W$6:$W$505,BX$3,実績!$AC$6:$AC$505,"&lt;="&amp;$A267,実績!$AD$6:$AD$505,"&gt;"&amp;$A267,実績!$AE$6:$AE$505,"○")&gt;0,1,0))</f>
        <v/>
      </c>
      <c r="BY267">
        <f>IF(BY$4=0,0,IF(COUNTIFS(実績!$W$6:$W$505,BY$3,実績!$AC$6:$AC$505,"&lt;="&amp;$A267,実績!$AD$6:$AD$505,"&gt;"&amp;$A267,実績!$AE$6:$AE$505,"○")&gt;0,1,0))</f>
        <v/>
      </c>
      <c r="BZ267">
        <f>IF(BZ$4=0,0,IF(COUNTIFS(実績!$W$6:$W$505,BZ$3,実績!$AC$6:$AC$505,"&lt;="&amp;$A267,実績!$AD$6:$AD$505,"&gt;"&amp;$A267,実績!$AE$6:$AE$505,"○")&gt;0,1,0))</f>
        <v/>
      </c>
      <c r="CA267">
        <f>IF(CA$4=0,0,IF(COUNTIFS(実績!$W$6:$W$505,CA$3,実績!$AC$6:$AC$505,"&lt;="&amp;$A267,実績!$AD$6:$AD$505,"&gt;"&amp;$A267,実績!$AE$6:$AE$505,"○")&gt;0,1,0))</f>
        <v/>
      </c>
      <c r="CB267">
        <f>IF(CB$4=0,0,IF(COUNTIFS(実績!$W$6:$W$505,CB$3,実績!$AC$6:$AC$505,"&lt;="&amp;$A267,実績!$AD$6:$AD$505,"&gt;"&amp;$A267,実績!$AE$6:$AE$505,"○")&gt;0,1,0))</f>
        <v/>
      </c>
      <c r="CC267">
        <f>IF(CC$4=0,0,IF(COUNTIFS(実績!$W$6:$W$505,CC$3,実績!$AC$6:$AC$505,"&lt;="&amp;$A267,実績!$AD$6:$AD$505,"&gt;"&amp;$A267,実績!$AE$6:$AE$505,"○")&gt;0,1,0))</f>
        <v/>
      </c>
      <c r="CD267">
        <f>IF(CD$4=0,0,IF(COUNTIFS(実績!$W$6:$W$505,CD$3,実績!$AC$6:$AC$505,"&lt;="&amp;$A267,実績!$AD$6:$AD$505,"&gt;"&amp;$A267,実績!$AE$6:$AE$505,"○")&gt;0,1,0))</f>
        <v/>
      </c>
      <c r="CE267">
        <f>IF(CE$4=0,0,IF(COUNTIFS(実績!$W$6:$W$505,CE$3,実績!$AC$6:$AC$505,"&lt;="&amp;$A267,実績!$AD$6:$AD$505,"&gt;"&amp;$A267,実績!$AE$6:$AE$505,"○")&gt;0,1,0))</f>
        <v/>
      </c>
      <c r="CF267">
        <f>IF(CF$4=0,0,IF(COUNTIFS(実績!$W$6:$W$505,CF$3,実績!$AC$6:$AC$505,"&lt;="&amp;$A267,実績!$AD$6:$AD$505,"&gt;"&amp;$A267,実績!$AE$6:$AE$505,"○")&gt;0,1,0))</f>
        <v/>
      </c>
      <c r="CG267">
        <f>IF(CG$4=0,0,IF(COUNTIFS(実績!$W$6:$W$505,CG$3,実績!$AC$6:$AC$505,"&lt;="&amp;$A267,実績!$AD$6:$AD$505,"&gt;"&amp;$A267,実績!$AE$6:$AE$505,"○")&gt;0,1,0))</f>
        <v/>
      </c>
      <c r="CH267">
        <f>IF(CH$4=0,0,IF(COUNTIFS(実績!$W$6:$W$505,CH$3,実績!$AC$6:$AC$505,"&lt;="&amp;$A267,実績!$AD$6:$AD$505,"&gt;"&amp;$A267,実績!$AE$6:$AE$505,"○")&gt;0,1,0))</f>
        <v/>
      </c>
      <c r="CI267">
        <f>IF(CI$4=0,0,IF(COUNTIFS(実績!$W$6:$W$505,CI$3,実績!$AC$6:$AC$505,"&lt;="&amp;$A267,実績!$AD$6:$AD$505,"&gt;"&amp;$A267,実績!$AE$6:$AE$505,"○")&gt;0,1,0))</f>
        <v/>
      </c>
      <c r="CJ267">
        <f>IF(CJ$4=0,0,IF(COUNTIFS(実績!$W$6:$W$505,CJ$3,実績!$AC$6:$AC$505,"&lt;="&amp;$A267,実績!$AD$6:$AD$505,"&gt;"&amp;$A267,実績!$AE$6:$AE$505,"○")&gt;0,1,0))</f>
        <v/>
      </c>
      <c r="CK267">
        <f>IF(CK$4=0,0,IF(COUNTIFS(実績!$W$6:$W$505,CK$3,実績!$AC$6:$AC$505,"&lt;="&amp;$A267,実績!$AD$6:$AD$505,"&gt;"&amp;$A267,実績!$AE$6:$AE$505,"○")&gt;0,1,0))</f>
        <v/>
      </c>
      <c r="CL267">
        <f>IF(CL$4=0,0,IF(COUNTIFS(実績!$W$6:$W$505,CL$3,実績!$AC$6:$AC$505,"&lt;="&amp;$A267,実績!$AD$6:$AD$505,"&gt;"&amp;$A267,実績!$AE$6:$AE$505,"○")&gt;0,1,0))</f>
        <v/>
      </c>
      <c r="CM267">
        <f>IF(CM$4=0,0,IF(COUNTIFS(実績!$W$6:$W$505,CM$3,実績!$AC$6:$AC$505,"&lt;="&amp;$A267,実績!$AD$6:$AD$505,"&gt;"&amp;$A267,実績!$AE$6:$AE$505,"○")&gt;0,1,0))</f>
        <v/>
      </c>
      <c r="CN267">
        <f>IF(CN$4=0,0,IF(COUNTIFS(実績!$W$6:$W$505,CN$3,実績!$AC$6:$AC$505,"&lt;="&amp;$A267,実績!$AD$6:$AD$505,"&gt;"&amp;$A267,実績!$AE$6:$AE$505,"○")&gt;0,1,0))</f>
        <v/>
      </c>
      <c r="CO267">
        <f>IF(CO$4=0,0,IF(COUNTIFS(実績!$W$6:$W$505,CO$3,実績!$AC$6:$AC$505,"&lt;="&amp;$A267,実績!$AD$6:$AD$505,"&gt;"&amp;$A267,実績!$AE$6:$AE$505,"○")&gt;0,1,0))</f>
        <v/>
      </c>
      <c r="CP267">
        <f>IF(CP$4=0,0,IF(COUNTIFS(実績!$W$6:$W$505,CP$3,実績!$AC$6:$AC$505,"&lt;="&amp;$A267,実績!$AD$6:$AD$505,"&gt;"&amp;$A267,実績!$AE$6:$AE$505,"○")&gt;0,1,0))</f>
        <v/>
      </c>
      <c r="CQ267">
        <f>IF(CQ$4=0,0,IF(COUNTIFS(実績!$W$6:$W$505,CQ$3,実績!$AC$6:$AC$505,"&lt;="&amp;$A267,実績!$AD$6:$AD$505,"&gt;"&amp;$A267,実績!$AE$6:$AE$505,"○")&gt;0,1,0))</f>
        <v/>
      </c>
      <c r="CR267">
        <f>IF(CR$4=0,0,IF(COUNTIFS(実績!$W$6:$W$505,CR$3,実績!$AC$6:$AC$505,"&lt;="&amp;$A267,実績!$AD$6:$AD$505,"&gt;"&amp;$A267,実績!$AE$6:$AE$505,"○")&gt;0,1,0))</f>
        <v/>
      </c>
      <c r="CS267">
        <f>IF(CS$4=0,0,IF(COUNTIFS(実績!$W$6:$W$505,CS$3,実績!$AC$6:$AC$505,"&lt;="&amp;$A267,実績!$AD$6:$AD$505,"&gt;"&amp;$A267,実績!$AE$6:$AE$505,"○")&gt;0,1,0))</f>
        <v/>
      </c>
      <c r="CT267">
        <f>IF(CT$4=0,0,IF(COUNTIFS(実績!$W$6:$W$505,CT$3,実績!$AC$6:$AC$505,"&lt;="&amp;$A267,実績!$AD$6:$AD$505,"&gt;"&amp;$A267,実績!$AE$6:$AE$505,"○")&gt;0,1,0))</f>
        <v/>
      </c>
      <c r="CU267">
        <f>IF(CU$4=0,0,IF(COUNTIFS(実績!$W$6:$W$505,CU$3,実績!$AC$6:$AC$505,"&lt;="&amp;$A267,実績!$AD$6:$AD$505,"&gt;"&amp;$A267,実績!$AE$6:$AE$505,"○")&gt;0,1,0))</f>
        <v/>
      </c>
      <c r="CV267">
        <f>IF(CV$4=0,0,IF(COUNTIFS(実績!$W$6:$W$505,CV$3,実績!$AC$6:$AC$505,"&lt;="&amp;$A267,実績!$AD$6:$AD$505,"&gt;"&amp;$A267,実績!$AE$6:$AE$505,"○")&gt;0,1,0))</f>
        <v/>
      </c>
      <c r="CW267">
        <f>IF(CW$4=0,0,IF(COUNTIFS(実績!$W$6:$W$505,CW$3,実績!$AC$6:$AC$505,"&lt;="&amp;$A267,実績!$AD$6:$AD$505,"&gt;"&amp;$A267,実績!$AE$6:$AE$505,"○")&gt;0,1,0))</f>
        <v/>
      </c>
      <c r="CX267">
        <f>IF(CX$4=0,0,IF(COUNTIFS(実績!$W$6:$W$505,CX$3,実績!$AC$6:$AC$505,"&lt;="&amp;$A267,実績!$AD$6:$AD$505,"&gt;"&amp;$A267,実績!$AE$6:$AE$505,"○")&gt;0,1,0))</f>
        <v/>
      </c>
      <c r="CY267">
        <f>IF(CY$4=0,0,IF(COUNTIFS(実績!$W$6:$W$505,CY$3,実績!$AC$6:$AC$505,"&lt;="&amp;$A267,実績!$AD$6:$AD$505,"&gt;"&amp;$A267,実績!$AE$6:$AE$505,"○")&gt;0,1,0))</f>
        <v/>
      </c>
      <c r="CZ267">
        <f>IF(CZ$4=0,0,IF(COUNTIFS(実績!$W$6:$W$505,CZ$3,実績!$AC$6:$AC$505,"&lt;="&amp;$A267,実績!$AD$6:$AD$505,"&gt;"&amp;$A267,実績!$AE$6:$AE$505,"○")&gt;0,1,0))</f>
        <v/>
      </c>
      <c r="DA267">
        <f>IF(DA$4=0,0,IF(COUNTIFS(実績!$W$6:$W$505,DA$3,実績!$AC$6:$AC$505,"&lt;="&amp;$A267,実績!$AD$6:$AD$505,"&gt;"&amp;$A267,実績!$AE$6:$AE$505,"○")&gt;0,1,0))</f>
        <v/>
      </c>
      <c r="DB267">
        <f>IF(DB$4=0,0,IF(COUNTIFS(実績!$W$6:$W$505,DB$3,実績!$AC$6:$AC$505,"&lt;="&amp;$A267,実績!$AD$6:$AD$505,"&gt;"&amp;$A267,実績!$AE$6:$AE$505,"○")&gt;0,1,0))</f>
        <v/>
      </c>
      <c r="DC267">
        <f>IF(DC$4=0,0,IF(COUNTIFS(実績!$W$6:$W$505,DC$3,実績!$AC$6:$AC$505,"&lt;="&amp;$A267,実績!$AD$6:$AD$505,"&gt;"&amp;$A267,実績!$AE$6:$AE$505,"○")&gt;0,1,0))</f>
        <v/>
      </c>
      <c r="DD267">
        <f>IF(DD$4=0,0,IF(COUNTIFS(実績!$W$6:$W$505,DD$3,実績!$AC$6:$AC$505,"&lt;="&amp;$A267,実績!$AD$6:$AD$505,"&gt;"&amp;$A267,実績!$AE$6:$AE$505,"○")&gt;0,1,0))</f>
        <v/>
      </c>
      <c r="DE267">
        <f>IF(DE$4=0,0,IF(COUNTIFS(実績!$W$6:$W$505,DE$3,実績!$AC$6:$AC$505,"&lt;="&amp;$A267,実績!$AD$6:$AD$505,"&gt;"&amp;$A267,実績!$AE$6:$AE$505,"○")&gt;0,1,0))</f>
        <v/>
      </c>
      <c r="DF267">
        <f>IF(DF$4=0,0,IF(COUNTIFS(実績!$W$6:$W$505,DF$3,実績!$AC$6:$AC$505,"&lt;="&amp;$A267,実績!$AD$6:$AD$505,"&gt;"&amp;$A267,実績!$AE$6:$AE$505,"○")&gt;0,1,0))</f>
        <v/>
      </c>
      <c r="DG267">
        <f>IF(DG$4=0,0,IF(COUNTIFS(実績!$W$6:$W$505,DG$3,実績!$AC$6:$AC$505,"&lt;="&amp;$A267,実績!$AD$6:$AD$505,"&gt;"&amp;$A267,実績!$AE$6:$AE$505,"○")&gt;0,1,0))</f>
        <v/>
      </c>
      <c r="DH267">
        <f>IF(DH$4=0,0,IF(COUNTIFS(実績!$W$6:$W$505,DH$3,実績!$AC$6:$AC$505,"&lt;="&amp;$A267,実績!$AD$6:$AD$505,"&gt;"&amp;$A267,実績!$AE$6:$AE$505,"○")&gt;0,1,0))</f>
        <v/>
      </c>
      <c r="DI267">
        <f>IF(DI$4=0,0,IF(COUNTIFS(実績!$W$6:$W$505,DI$3,実績!$AC$6:$AC$505,"&lt;="&amp;$A267,実績!$AD$6:$AD$505,"&gt;"&amp;$A267,実績!$AE$6:$AE$505,"○")&gt;0,1,0))</f>
        <v/>
      </c>
      <c r="DJ267">
        <f>IF(DJ$4=0,0,IF(COUNTIFS(実績!$W$6:$W$505,DJ$3,実績!$AC$6:$AC$505,"&lt;="&amp;$A267,実績!$AD$6:$AD$505,"&gt;"&amp;$A267,実績!$AE$6:$AE$505,"○")&gt;0,1,0))</f>
        <v/>
      </c>
      <c r="DK267">
        <f>IF(DK$4=0,0,IF(COUNTIFS(実績!$W$6:$W$505,DK$3,実績!$AC$6:$AC$505,"&lt;="&amp;$A267,実績!$AD$6:$AD$505,"&gt;"&amp;$A267,実績!$AE$6:$AE$505,"○")&gt;0,1,0))</f>
        <v/>
      </c>
      <c r="DL267">
        <f>IF(DL$4=0,0,IF(COUNTIFS(実績!$W$6:$W$505,DL$3,実績!$AC$6:$AC$505,"&lt;="&amp;$A267,実績!$AD$6:$AD$505,"&gt;"&amp;$A267,実績!$AE$6:$AE$505,"○")&gt;0,1,0))</f>
        <v/>
      </c>
      <c r="DM267">
        <f>IF(DM$4=0,0,IF(COUNTIFS(実績!$W$6:$W$505,DM$3,実績!$AC$6:$AC$505,"&lt;="&amp;$A267,実績!$AD$6:$AD$505,"&gt;"&amp;$A267,実績!$AE$6:$AE$505,"○")&gt;0,1,0))</f>
        <v/>
      </c>
      <c r="DN267">
        <f>IF(DN$4=0,0,IF(COUNTIFS(実績!$W$6:$W$505,DN$3,実績!$AC$6:$AC$505,"&lt;="&amp;$A267,実績!$AD$6:$AD$505,"&gt;"&amp;$A267,実績!$AE$6:$AE$505,"○")&gt;0,1,0))</f>
        <v/>
      </c>
      <c r="DO267">
        <f>IF(DO$4=0,0,IF(COUNTIFS(実績!$W$6:$W$505,DO$3,実績!$AC$6:$AC$505,"&lt;="&amp;$A267,実績!$AD$6:$AD$505,"&gt;"&amp;$A267,実績!$AE$6:$AE$505,"○")&gt;0,1,0))</f>
        <v/>
      </c>
      <c r="DP267">
        <f>IF(DP$4=0,0,IF(COUNTIFS(実績!$W$6:$W$505,DP$3,実績!$AC$6:$AC$505,"&lt;="&amp;$A267,実績!$AD$6:$AD$505,"&gt;"&amp;$A267,実績!$AE$6:$AE$505,"○")&gt;0,1,0))</f>
        <v/>
      </c>
      <c r="DQ267">
        <f>IF(DQ$4=0,0,IF(COUNTIFS(実績!$W$6:$W$505,DQ$3,実績!$AC$6:$AC$505,"&lt;="&amp;$A267,実績!$AD$6:$AD$505,"&gt;"&amp;$A267,実績!$AE$6:$AE$505,"○")&gt;0,1,0))</f>
        <v/>
      </c>
      <c r="DR267">
        <f>IF(DR$4=0,0,IF(COUNTIFS(実績!$W$6:$W$505,DR$3,実績!$AC$6:$AC$505,"&lt;="&amp;$A267,実績!$AD$6:$AD$505,"&gt;"&amp;$A267,実績!$AE$6:$AE$505,"○")&gt;0,1,0))</f>
        <v/>
      </c>
      <c r="DS267">
        <f>SUM(C267:DR267)</f>
        <v/>
      </c>
      <c r="DT267">
        <f>SUMPRODUCT((実績!$C$6:$C$505="○")*ISNUMBER(実績!$AF$6:$AF$505)*(実績!$AF$6:$AF$505&lt;=$A267)*(実績!$AG$6:$AG$505&gt;$A267))</f>
        <v/>
      </c>
      <c r="DU267">
        <f>SUMIF($C$2:$DR$2,"製鉄曳船",C267:DR267)</f>
        <v/>
      </c>
      <c r="DV267">
        <f>SUMIF($C$2:$DR$2,"西日本海運",C267:DR267)</f>
        <v/>
      </c>
    </row>
    <row r="268">
      <c r="A268" t="n">
        <v>1310</v>
      </c>
      <c r="B268" s="29">
        <f>A268/1440</f>
        <v/>
      </c>
      <c r="C268">
        <f>IF(C$4=0,0,IF(COUNTIFS(実績!$W$6:$W$505,C$3,実績!$AC$6:$AC$505,"&lt;="&amp;$A268,実績!$AD$6:$AD$505,"&gt;"&amp;$A268,実績!$AE$6:$AE$505,"○")&gt;0,1,0))</f>
        <v/>
      </c>
      <c r="D268">
        <f>IF(D$4=0,0,IF(COUNTIFS(実績!$W$6:$W$505,D$3,実績!$AC$6:$AC$505,"&lt;="&amp;$A268,実績!$AD$6:$AD$505,"&gt;"&amp;$A268,実績!$AE$6:$AE$505,"○")&gt;0,1,0))</f>
        <v/>
      </c>
      <c r="E268">
        <f>IF(E$4=0,0,IF(COUNTIFS(実績!$W$6:$W$505,E$3,実績!$AC$6:$AC$505,"&lt;="&amp;$A268,実績!$AD$6:$AD$505,"&gt;"&amp;$A268,実績!$AE$6:$AE$505,"○")&gt;0,1,0))</f>
        <v/>
      </c>
      <c r="F268">
        <f>IF(F$4=0,0,IF(COUNTIFS(実績!$W$6:$W$505,F$3,実績!$AC$6:$AC$505,"&lt;="&amp;$A268,実績!$AD$6:$AD$505,"&gt;"&amp;$A268,実績!$AE$6:$AE$505,"○")&gt;0,1,0))</f>
        <v/>
      </c>
      <c r="G268">
        <f>IF(G$4=0,0,IF(COUNTIFS(実績!$W$6:$W$505,G$3,実績!$AC$6:$AC$505,"&lt;="&amp;$A268,実績!$AD$6:$AD$505,"&gt;"&amp;$A268,実績!$AE$6:$AE$505,"○")&gt;0,1,0))</f>
        <v/>
      </c>
      <c r="H268">
        <f>IF(H$4=0,0,IF(COUNTIFS(実績!$W$6:$W$505,H$3,実績!$AC$6:$AC$505,"&lt;="&amp;$A268,実績!$AD$6:$AD$505,"&gt;"&amp;$A268,実績!$AE$6:$AE$505,"○")&gt;0,1,0))</f>
        <v/>
      </c>
      <c r="I268">
        <f>IF(I$4=0,0,IF(COUNTIFS(実績!$W$6:$W$505,I$3,実績!$AC$6:$AC$505,"&lt;="&amp;$A268,実績!$AD$6:$AD$505,"&gt;"&amp;$A268,実績!$AE$6:$AE$505,"○")&gt;0,1,0))</f>
        <v/>
      </c>
      <c r="J268">
        <f>IF(J$4=0,0,IF(COUNTIFS(実績!$W$6:$W$505,J$3,実績!$AC$6:$AC$505,"&lt;="&amp;$A268,実績!$AD$6:$AD$505,"&gt;"&amp;$A268,実績!$AE$6:$AE$505,"○")&gt;0,1,0))</f>
        <v/>
      </c>
      <c r="K268">
        <f>IF(K$4=0,0,IF(COUNTIFS(実績!$W$6:$W$505,K$3,実績!$AC$6:$AC$505,"&lt;="&amp;$A268,実績!$AD$6:$AD$505,"&gt;"&amp;$A268,実績!$AE$6:$AE$505,"○")&gt;0,1,0))</f>
        <v/>
      </c>
      <c r="L268">
        <f>IF(L$4=0,0,IF(COUNTIFS(実績!$W$6:$W$505,L$3,実績!$AC$6:$AC$505,"&lt;="&amp;$A268,実績!$AD$6:$AD$505,"&gt;"&amp;$A268,実績!$AE$6:$AE$505,"○")&gt;0,1,0))</f>
        <v/>
      </c>
      <c r="M268">
        <f>IF(M$4=0,0,IF(COUNTIFS(実績!$W$6:$W$505,M$3,実績!$AC$6:$AC$505,"&lt;="&amp;$A268,実績!$AD$6:$AD$505,"&gt;"&amp;$A268,実績!$AE$6:$AE$505,"○")&gt;0,1,0))</f>
        <v/>
      </c>
      <c r="N268">
        <f>IF(N$4=0,0,IF(COUNTIFS(実績!$W$6:$W$505,N$3,実績!$AC$6:$AC$505,"&lt;="&amp;$A268,実績!$AD$6:$AD$505,"&gt;"&amp;$A268,実績!$AE$6:$AE$505,"○")&gt;0,1,0))</f>
        <v/>
      </c>
      <c r="O268">
        <f>IF(O$4=0,0,IF(COUNTIFS(実績!$W$6:$W$505,O$3,実績!$AC$6:$AC$505,"&lt;="&amp;$A268,実績!$AD$6:$AD$505,"&gt;"&amp;$A268,実績!$AE$6:$AE$505,"○")&gt;0,1,0))</f>
        <v/>
      </c>
      <c r="P268">
        <f>IF(P$4=0,0,IF(COUNTIFS(実績!$W$6:$W$505,P$3,実績!$AC$6:$AC$505,"&lt;="&amp;$A268,実績!$AD$6:$AD$505,"&gt;"&amp;$A268,実績!$AE$6:$AE$505,"○")&gt;0,1,0))</f>
        <v/>
      </c>
      <c r="Q268">
        <f>IF(Q$4=0,0,IF(COUNTIFS(実績!$W$6:$W$505,Q$3,実績!$AC$6:$AC$505,"&lt;="&amp;$A268,実績!$AD$6:$AD$505,"&gt;"&amp;$A268,実績!$AE$6:$AE$505,"○")&gt;0,1,0))</f>
        <v/>
      </c>
      <c r="R268">
        <f>IF(R$4=0,0,IF(COUNTIFS(実績!$W$6:$W$505,R$3,実績!$AC$6:$AC$505,"&lt;="&amp;$A268,実績!$AD$6:$AD$505,"&gt;"&amp;$A268,実績!$AE$6:$AE$505,"○")&gt;0,1,0))</f>
        <v/>
      </c>
      <c r="S268">
        <f>IF(S$4=0,0,IF(COUNTIFS(実績!$W$6:$W$505,S$3,実績!$AC$6:$AC$505,"&lt;="&amp;$A268,実績!$AD$6:$AD$505,"&gt;"&amp;$A268,実績!$AE$6:$AE$505,"○")&gt;0,1,0))</f>
        <v/>
      </c>
      <c r="T268">
        <f>IF(T$4=0,0,IF(COUNTIFS(実績!$W$6:$W$505,T$3,実績!$AC$6:$AC$505,"&lt;="&amp;$A268,実績!$AD$6:$AD$505,"&gt;"&amp;$A268,実績!$AE$6:$AE$505,"○")&gt;0,1,0))</f>
        <v/>
      </c>
      <c r="U268">
        <f>IF(U$4=0,0,IF(COUNTIFS(実績!$W$6:$W$505,U$3,実績!$AC$6:$AC$505,"&lt;="&amp;$A268,実績!$AD$6:$AD$505,"&gt;"&amp;$A268,実績!$AE$6:$AE$505,"○")&gt;0,1,0))</f>
        <v/>
      </c>
      <c r="V268">
        <f>IF(V$4=0,0,IF(COUNTIFS(実績!$W$6:$W$505,V$3,実績!$AC$6:$AC$505,"&lt;="&amp;$A268,実績!$AD$6:$AD$505,"&gt;"&amp;$A268,実績!$AE$6:$AE$505,"○")&gt;0,1,0))</f>
        <v/>
      </c>
      <c r="W268">
        <f>IF(W$4=0,0,IF(COUNTIFS(実績!$W$6:$W$505,W$3,実績!$AC$6:$AC$505,"&lt;="&amp;$A268,実績!$AD$6:$AD$505,"&gt;"&amp;$A268,実績!$AE$6:$AE$505,"○")&gt;0,1,0))</f>
        <v/>
      </c>
      <c r="X268">
        <f>IF(X$4=0,0,IF(COUNTIFS(実績!$W$6:$W$505,X$3,実績!$AC$6:$AC$505,"&lt;="&amp;$A268,実績!$AD$6:$AD$505,"&gt;"&amp;$A268,実績!$AE$6:$AE$505,"○")&gt;0,1,0))</f>
        <v/>
      </c>
      <c r="Y268">
        <f>IF(Y$4=0,0,IF(COUNTIFS(実績!$W$6:$W$505,Y$3,実績!$AC$6:$AC$505,"&lt;="&amp;$A268,実績!$AD$6:$AD$505,"&gt;"&amp;$A268,実績!$AE$6:$AE$505,"○")&gt;0,1,0))</f>
        <v/>
      </c>
      <c r="Z268">
        <f>IF(Z$4=0,0,IF(COUNTIFS(実績!$W$6:$W$505,Z$3,実績!$AC$6:$AC$505,"&lt;="&amp;$A268,実績!$AD$6:$AD$505,"&gt;"&amp;$A268,実績!$AE$6:$AE$505,"○")&gt;0,1,0))</f>
        <v/>
      </c>
      <c r="AA268">
        <f>IF(AA$4=0,0,IF(COUNTIFS(実績!$W$6:$W$505,AA$3,実績!$AC$6:$AC$505,"&lt;="&amp;$A268,実績!$AD$6:$AD$505,"&gt;"&amp;$A268,実績!$AE$6:$AE$505,"○")&gt;0,1,0))</f>
        <v/>
      </c>
      <c r="AB268">
        <f>IF(AB$4=0,0,IF(COUNTIFS(実績!$W$6:$W$505,AB$3,実績!$AC$6:$AC$505,"&lt;="&amp;$A268,実績!$AD$6:$AD$505,"&gt;"&amp;$A268,実績!$AE$6:$AE$505,"○")&gt;0,1,0))</f>
        <v/>
      </c>
      <c r="AC268">
        <f>IF(AC$4=0,0,IF(COUNTIFS(実績!$W$6:$W$505,AC$3,実績!$AC$6:$AC$505,"&lt;="&amp;$A268,実績!$AD$6:$AD$505,"&gt;"&amp;$A268,実績!$AE$6:$AE$505,"○")&gt;0,1,0))</f>
        <v/>
      </c>
      <c r="AD268">
        <f>IF(AD$4=0,0,IF(COUNTIFS(実績!$W$6:$W$505,AD$3,実績!$AC$6:$AC$505,"&lt;="&amp;$A268,実績!$AD$6:$AD$505,"&gt;"&amp;$A268,実績!$AE$6:$AE$505,"○")&gt;0,1,0))</f>
        <v/>
      </c>
      <c r="AE268">
        <f>IF(AE$4=0,0,IF(COUNTIFS(実績!$W$6:$W$505,AE$3,実績!$AC$6:$AC$505,"&lt;="&amp;$A268,実績!$AD$6:$AD$505,"&gt;"&amp;$A268,実績!$AE$6:$AE$505,"○")&gt;0,1,0))</f>
        <v/>
      </c>
      <c r="AF268">
        <f>IF(AF$4=0,0,IF(COUNTIFS(実績!$W$6:$W$505,AF$3,実績!$AC$6:$AC$505,"&lt;="&amp;$A268,実績!$AD$6:$AD$505,"&gt;"&amp;$A268,実績!$AE$6:$AE$505,"○")&gt;0,1,0))</f>
        <v/>
      </c>
      <c r="AG268">
        <f>IF(AG$4=0,0,IF(COUNTIFS(実績!$W$6:$W$505,AG$3,実績!$AC$6:$AC$505,"&lt;="&amp;$A268,実績!$AD$6:$AD$505,"&gt;"&amp;$A268,実績!$AE$6:$AE$505,"○")&gt;0,1,0))</f>
        <v/>
      </c>
      <c r="AH268">
        <f>IF(AH$4=0,0,IF(COUNTIFS(実績!$W$6:$W$505,AH$3,実績!$AC$6:$AC$505,"&lt;="&amp;$A268,実績!$AD$6:$AD$505,"&gt;"&amp;$A268,実績!$AE$6:$AE$505,"○")&gt;0,1,0))</f>
        <v/>
      </c>
      <c r="AI268">
        <f>IF(AI$4=0,0,IF(COUNTIFS(実績!$W$6:$W$505,AI$3,実績!$AC$6:$AC$505,"&lt;="&amp;$A268,実績!$AD$6:$AD$505,"&gt;"&amp;$A268,実績!$AE$6:$AE$505,"○")&gt;0,1,0))</f>
        <v/>
      </c>
      <c r="AJ268">
        <f>IF(AJ$4=0,0,IF(COUNTIFS(実績!$W$6:$W$505,AJ$3,実績!$AC$6:$AC$505,"&lt;="&amp;$A268,実績!$AD$6:$AD$505,"&gt;"&amp;$A268,実績!$AE$6:$AE$505,"○")&gt;0,1,0))</f>
        <v/>
      </c>
      <c r="AK268">
        <f>IF(AK$4=0,0,IF(COUNTIFS(実績!$W$6:$W$505,AK$3,実績!$AC$6:$AC$505,"&lt;="&amp;$A268,実績!$AD$6:$AD$505,"&gt;"&amp;$A268,実績!$AE$6:$AE$505,"○")&gt;0,1,0))</f>
        <v/>
      </c>
      <c r="AL268">
        <f>IF(AL$4=0,0,IF(COUNTIFS(実績!$W$6:$W$505,AL$3,実績!$AC$6:$AC$505,"&lt;="&amp;$A268,実績!$AD$6:$AD$505,"&gt;"&amp;$A268,実績!$AE$6:$AE$505,"○")&gt;0,1,0))</f>
        <v/>
      </c>
      <c r="AM268">
        <f>IF(AM$4=0,0,IF(COUNTIFS(実績!$W$6:$W$505,AM$3,実績!$AC$6:$AC$505,"&lt;="&amp;$A268,実績!$AD$6:$AD$505,"&gt;"&amp;$A268,実績!$AE$6:$AE$505,"○")&gt;0,1,0))</f>
        <v/>
      </c>
      <c r="AN268">
        <f>IF(AN$4=0,0,IF(COUNTIFS(実績!$W$6:$W$505,AN$3,実績!$AC$6:$AC$505,"&lt;="&amp;$A268,実績!$AD$6:$AD$505,"&gt;"&amp;$A268,実績!$AE$6:$AE$505,"○")&gt;0,1,0))</f>
        <v/>
      </c>
      <c r="AO268">
        <f>IF(AO$4=0,0,IF(COUNTIFS(実績!$W$6:$W$505,AO$3,実績!$AC$6:$AC$505,"&lt;="&amp;$A268,実績!$AD$6:$AD$505,"&gt;"&amp;$A268,実績!$AE$6:$AE$505,"○")&gt;0,1,0))</f>
        <v/>
      </c>
      <c r="AP268">
        <f>IF(AP$4=0,0,IF(COUNTIFS(実績!$W$6:$W$505,AP$3,実績!$AC$6:$AC$505,"&lt;="&amp;$A268,実績!$AD$6:$AD$505,"&gt;"&amp;$A268,実績!$AE$6:$AE$505,"○")&gt;0,1,0))</f>
        <v/>
      </c>
      <c r="AQ268">
        <f>IF(AQ$4=0,0,IF(COUNTIFS(実績!$W$6:$W$505,AQ$3,実績!$AC$6:$AC$505,"&lt;="&amp;$A268,実績!$AD$6:$AD$505,"&gt;"&amp;$A268,実績!$AE$6:$AE$505,"○")&gt;0,1,0))</f>
        <v/>
      </c>
      <c r="AR268">
        <f>IF(AR$4=0,0,IF(COUNTIFS(実績!$W$6:$W$505,AR$3,実績!$AC$6:$AC$505,"&lt;="&amp;$A268,実績!$AD$6:$AD$505,"&gt;"&amp;$A268,実績!$AE$6:$AE$505,"○")&gt;0,1,0))</f>
        <v/>
      </c>
      <c r="AS268">
        <f>IF(AS$4=0,0,IF(COUNTIFS(実績!$W$6:$W$505,AS$3,実績!$AC$6:$AC$505,"&lt;="&amp;$A268,実績!$AD$6:$AD$505,"&gt;"&amp;$A268,実績!$AE$6:$AE$505,"○")&gt;0,1,0))</f>
        <v/>
      </c>
      <c r="AT268">
        <f>IF(AT$4=0,0,IF(COUNTIFS(実績!$W$6:$W$505,AT$3,実績!$AC$6:$AC$505,"&lt;="&amp;$A268,実績!$AD$6:$AD$505,"&gt;"&amp;$A268,実績!$AE$6:$AE$505,"○")&gt;0,1,0))</f>
        <v/>
      </c>
      <c r="AU268">
        <f>IF(AU$4=0,0,IF(COUNTIFS(実績!$W$6:$W$505,AU$3,実績!$AC$6:$AC$505,"&lt;="&amp;$A268,実績!$AD$6:$AD$505,"&gt;"&amp;$A268,実績!$AE$6:$AE$505,"○")&gt;0,1,0))</f>
        <v/>
      </c>
      <c r="AV268">
        <f>IF(AV$4=0,0,IF(COUNTIFS(実績!$W$6:$W$505,AV$3,実績!$AC$6:$AC$505,"&lt;="&amp;$A268,実績!$AD$6:$AD$505,"&gt;"&amp;$A268,実績!$AE$6:$AE$505,"○")&gt;0,1,0))</f>
        <v/>
      </c>
      <c r="AW268">
        <f>IF(AW$4=0,0,IF(COUNTIFS(実績!$W$6:$W$505,AW$3,実績!$AC$6:$AC$505,"&lt;="&amp;$A268,実績!$AD$6:$AD$505,"&gt;"&amp;$A268,実績!$AE$6:$AE$505,"○")&gt;0,1,0))</f>
        <v/>
      </c>
      <c r="AX268">
        <f>IF(AX$4=0,0,IF(COUNTIFS(実績!$W$6:$W$505,AX$3,実績!$AC$6:$AC$505,"&lt;="&amp;$A268,実績!$AD$6:$AD$505,"&gt;"&amp;$A268,実績!$AE$6:$AE$505,"○")&gt;0,1,0))</f>
        <v/>
      </c>
      <c r="AY268">
        <f>IF(AY$4=0,0,IF(COUNTIFS(実績!$W$6:$W$505,AY$3,実績!$AC$6:$AC$505,"&lt;="&amp;$A268,実績!$AD$6:$AD$505,"&gt;"&amp;$A268,実績!$AE$6:$AE$505,"○")&gt;0,1,0))</f>
        <v/>
      </c>
      <c r="AZ268">
        <f>IF(AZ$4=0,0,IF(COUNTIFS(実績!$W$6:$W$505,AZ$3,実績!$AC$6:$AC$505,"&lt;="&amp;$A268,実績!$AD$6:$AD$505,"&gt;"&amp;$A268,実績!$AE$6:$AE$505,"○")&gt;0,1,0))</f>
        <v/>
      </c>
      <c r="BA268">
        <f>IF(BA$4=0,0,IF(COUNTIFS(実績!$W$6:$W$505,BA$3,実績!$AC$6:$AC$505,"&lt;="&amp;$A268,実績!$AD$6:$AD$505,"&gt;"&amp;$A268,実績!$AE$6:$AE$505,"○")&gt;0,1,0))</f>
        <v/>
      </c>
      <c r="BB268">
        <f>IF(BB$4=0,0,IF(COUNTIFS(実績!$W$6:$W$505,BB$3,実績!$AC$6:$AC$505,"&lt;="&amp;$A268,実績!$AD$6:$AD$505,"&gt;"&amp;$A268,実績!$AE$6:$AE$505,"○")&gt;0,1,0))</f>
        <v/>
      </c>
      <c r="BC268">
        <f>IF(BC$4=0,0,IF(COUNTIFS(実績!$W$6:$W$505,BC$3,実績!$AC$6:$AC$505,"&lt;="&amp;$A268,実績!$AD$6:$AD$505,"&gt;"&amp;$A268,実績!$AE$6:$AE$505,"○")&gt;0,1,0))</f>
        <v/>
      </c>
      <c r="BD268">
        <f>IF(BD$4=0,0,IF(COUNTIFS(実績!$W$6:$W$505,BD$3,実績!$AC$6:$AC$505,"&lt;="&amp;$A268,実績!$AD$6:$AD$505,"&gt;"&amp;$A268,実績!$AE$6:$AE$505,"○")&gt;0,1,0))</f>
        <v/>
      </c>
      <c r="BE268">
        <f>IF(BE$4=0,0,IF(COUNTIFS(実績!$W$6:$W$505,BE$3,実績!$AC$6:$AC$505,"&lt;="&amp;$A268,実績!$AD$6:$AD$505,"&gt;"&amp;$A268,実績!$AE$6:$AE$505,"○")&gt;0,1,0))</f>
        <v/>
      </c>
      <c r="BF268">
        <f>IF(BF$4=0,0,IF(COUNTIFS(実績!$W$6:$W$505,BF$3,実績!$AC$6:$AC$505,"&lt;="&amp;$A268,実績!$AD$6:$AD$505,"&gt;"&amp;$A268,実績!$AE$6:$AE$505,"○")&gt;0,1,0))</f>
        <v/>
      </c>
      <c r="BG268">
        <f>IF(BG$4=0,0,IF(COUNTIFS(実績!$W$6:$W$505,BG$3,実績!$AC$6:$AC$505,"&lt;="&amp;$A268,実績!$AD$6:$AD$505,"&gt;"&amp;$A268,実績!$AE$6:$AE$505,"○")&gt;0,1,0))</f>
        <v/>
      </c>
      <c r="BH268">
        <f>IF(BH$4=0,0,IF(COUNTIFS(実績!$W$6:$W$505,BH$3,実績!$AC$6:$AC$505,"&lt;="&amp;$A268,実績!$AD$6:$AD$505,"&gt;"&amp;$A268,実績!$AE$6:$AE$505,"○")&gt;0,1,0))</f>
        <v/>
      </c>
      <c r="BI268">
        <f>IF(BI$4=0,0,IF(COUNTIFS(実績!$W$6:$W$505,BI$3,実績!$AC$6:$AC$505,"&lt;="&amp;$A268,実績!$AD$6:$AD$505,"&gt;"&amp;$A268,実績!$AE$6:$AE$505,"○")&gt;0,1,0))</f>
        <v/>
      </c>
      <c r="BJ268">
        <f>IF(BJ$4=0,0,IF(COUNTIFS(実績!$W$6:$W$505,BJ$3,実績!$AC$6:$AC$505,"&lt;="&amp;$A268,実績!$AD$6:$AD$505,"&gt;"&amp;$A268,実績!$AE$6:$AE$505,"○")&gt;0,1,0))</f>
        <v/>
      </c>
      <c r="BK268">
        <f>IF(BK$4=0,0,IF(COUNTIFS(実績!$W$6:$W$505,BK$3,実績!$AC$6:$AC$505,"&lt;="&amp;$A268,実績!$AD$6:$AD$505,"&gt;"&amp;$A268,実績!$AE$6:$AE$505,"○")&gt;0,1,0))</f>
        <v/>
      </c>
      <c r="BL268">
        <f>IF(BL$4=0,0,IF(COUNTIFS(実績!$W$6:$W$505,BL$3,実績!$AC$6:$AC$505,"&lt;="&amp;$A268,実績!$AD$6:$AD$505,"&gt;"&amp;$A268,実績!$AE$6:$AE$505,"○")&gt;0,1,0))</f>
        <v/>
      </c>
      <c r="BM268">
        <f>IF(BM$4=0,0,IF(COUNTIFS(実績!$W$6:$W$505,BM$3,実績!$AC$6:$AC$505,"&lt;="&amp;$A268,実績!$AD$6:$AD$505,"&gt;"&amp;$A268,実績!$AE$6:$AE$505,"○")&gt;0,1,0))</f>
        <v/>
      </c>
      <c r="BN268">
        <f>IF(BN$4=0,0,IF(COUNTIFS(実績!$W$6:$W$505,BN$3,実績!$AC$6:$AC$505,"&lt;="&amp;$A268,実績!$AD$6:$AD$505,"&gt;"&amp;$A268,実績!$AE$6:$AE$505,"○")&gt;0,1,0))</f>
        <v/>
      </c>
      <c r="BO268">
        <f>IF(BO$4=0,0,IF(COUNTIFS(実績!$W$6:$W$505,BO$3,実績!$AC$6:$AC$505,"&lt;="&amp;$A268,実績!$AD$6:$AD$505,"&gt;"&amp;$A268,実績!$AE$6:$AE$505,"○")&gt;0,1,0))</f>
        <v/>
      </c>
      <c r="BP268">
        <f>IF(BP$4=0,0,IF(COUNTIFS(実績!$W$6:$W$505,BP$3,実績!$AC$6:$AC$505,"&lt;="&amp;$A268,実績!$AD$6:$AD$505,"&gt;"&amp;$A268,実績!$AE$6:$AE$505,"○")&gt;0,1,0))</f>
        <v/>
      </c>
      <c r="BQ268">
        <f>IF(BQ$4=0,0,IF(COUNTIFS(実績!$W$6:$W$505,BQ$3,実績!$AC$6:$AC$505,"&lt;="&amp;$A268,実績!$AD$6:$AD$505,"&gt;"&amp;$A268,実績!$AE$6:$AE$505,"○")&gt;0,1,0))</f>
        <v/>
      </c>
      <c r="BR268">
        <f>IF(BR$4=0,0,IF(COUNTIFS(実績!$W$6:$W$505,BR$3,実績!$AC$6:$AC$505,"&lt;="&amp;$A268,実績!$AD$6:$AD$505,"&gt;"&amp;$A268,実績!$AE$6:$AE$505,"○")&gt;0,1,0))</f>
        <v/>
      </c>
      <c r="BS268">
        <f>IF(BS$4=0,0,IF(COUNTIFS(実績!$W$6:$W$505,BS$3,実績!$AC$6:$AC$505,"&lt;="&amp;$A268,実績!$AD$6:$AD$505,"&gt;"&amp;$A268,実績!$AE$6:$AE$505,"○")&gt;0,1,0))</f>
        <v/>
      </c>
      <c r="BT268">
        <f>IF(BT$4=0,0,IF(COUNTIFS(実績!$W$6:$W$505,BT$3,実績!$AC$6:$AC$505,"&lt;="&amp;$A268,実績!$AD$6:$AD$505,"&gt;"&amp;$A268,実績!$AE$6:$AE$505,"○")&gt;0,1,0))</f>
        <v/>
      </c>
      <c r="BU268">
        <f>IF(BU$4=0,0,IF(COUNTIFS(実績!$W$6:$W$505,BU$3,実績!$AC$6:$AC$505,"&lt;="&amp;$A268,実績!$AD$6:$AD$505,"&gt;"&amp;$A268,実績!$AE$6:$AE$505,"○")&gt;0,1,0))</f>
        <v/>
      </c>
      <c r="BV268">
        <f>IF(BV$4=0,0,IF(COUNTIFS(実績!$W$6:$W$505,BV$3,実績!$AC$6:$AC$505,"&lt;="&amp;$A268,実績!$AD$6:$AD$505,"&gt;"&amp;$A268,実績!$AE$6:$AE$505,"○")&gt;0,1,0))</f>
        <v/>
      </c>
      <c r="BW268">
        <f>IF(BW$4=0,0,IF(COUNTIFS(実績!$W$6:$W$505,BW$3,実績!$AC$6:$AC$505,"&lt;="&amp;$A268,実績!$AD$6:$AD$505,"&gt;"&amp;$A268,実績!$AE$6:$AE$505,"○")&gt;0,1,0))</f>
        <v/>
      </c>
      <c r="BX268">
        <f>IF(BX$4=0,0,IF(COUNTIFS(実績!$W$6:$W$505,BX$3,実績!$AC$6:$AC$505,"&lt;="&amp;$A268,実績!$AD$6:$AD$505,"&gt;"&amp;$A268,実績!$AE$6:$AE$505,"○")&gt;0,1,0))</f>
        <v/>
      </c>
      <c r="BY268">
        <f>IF(BY$4=0,0,IF(COUNTIFS(実績!$W$6:$W$505,BY$3,実績!$AC$6:$AC$505,"&lt;="&amp;$A268,実績!$AD$6:$AD$505,"&gt;"&amp;$A268,実績!$AE$6:$AE$505,"○")&gt;0,1,0))</f>
        <v/>
      </c>
      <c r="BZ268">
        <f>IF(BZ$4=0,0,IF(COUNTIFS(実績!$W$6:$W$505,BZ$3,実績!$AC$6:$AC$505,"&lt;="&amp;$A268,実績!$AD$6:$AD$505,"&gt;"&amp;$A268,実績!$AE$6:$AE$505,"○")&gt;0,1,0))</f>
        <v/>
      </c>
      <c r="CA268">
        <f>IF(CA$4=0,0,IF(COUNTIFS(実績!$W$6:$W$505,CA$3,実績!$AC$6:$AC$505,"&lt;="&amp;$A268,実績!$AD$6:$AD$505,"&gt;"&amp;$A268,実績!$AE$6:$AE$505,"○")&gt;0,1,0))</f>
        <v/>
      </c>
      <c r="CB268">
        <f>IF(CB$4=0,0,IF(COUNTIFS(実績!$W$6:$W$505,CB$3,実績!$AC$6:$AC$505,"&lt;="&amp;$A268,実績!$AD$6:$AD$505,"&gt;"&amp;$A268,実績!$AE$6:$AE$505,"○")&gt;0,1,0))</f>
        <v/>
      </c>
      <c r="CC268">
        <f>IF(CC$4=0,0,IF(COUNTIFS(実績!$W$6:$W$505,CC$3,実績!$AC$6:$AC$505,"&lt;="&amp;$A268,実績!$AD$6:$AD$505,"&gt;"&amp;$A268,実績!$AE$6:$AE$505,"○")&gt;0,1,0))</f>
        <v/>
      </c>
      <c r="CD268">
        <f>IF(CD$4=0,0,IF(COUNTIFS(実績!$W$6:$W$505,CD$3,実績!$AC$6:$AC$505,"&lt;="&amp;$A268,実績!$AD$6:$AD$505,"&gt;"&amp;$A268,実績!$AE$6:$AE$505,"○")&gt;0,1,0))</f>
        <v/>
      </c>
      <c r="CE268">
        <f>IF(CE$4=0,0,IF(COUNTIFS(実績!$W$6:$W$505,CE$3,実績!$AC$6:$AC$505,"&lt;="&amp;$A268,実績!$AD$6:$AD$505,"&gt;"&amp;$A268,実績!$AE$6:$AE$505,"○")&gt;0,1,0))</f>
        <v/>
      </c>
      <c r="CF268">
        <f>IF(CF$4=0,0,IF(COUNTIFS(実績!$W$6:$W$505,CF$3,実績!$AC$6:$AC$505,"&lt;="&amp;$A268,実績!$AD$6:$AD$505,"&gt;"&amp;$A268,実績!$AE$6:$AE$505,"○")&gt;0,1,0))</f>
        <v/>
      </c>
      <c r="CG268">
        <f>IF(CG$4=0,0,IF(COUNTIFS(実績!$W$6:$W$505,CG$3,実績!$AC$6:$AC$505,"&lt;="&amp;$A268,実績!$AD$6:$AD$505,"&gt;"&amp;$A268,実績!$AE$6:$AE$505,"○")&gt;0,1,0))</f>
        <v/>
      </c>
      <c r="CH268">
        <f>IF(CH$4=0,0,IF(COUNTIFS(実績!$W$6:$W$505,CH$3,実績!$AC$6:$AC$505,"&lt;="&amp;$A268,実績!$AD$6:$AD$505,"&gt;"&amp;$A268,実績!$AE$6:$AE$505,"○")&gt;0,1,0))</f>
        <v/>
      </c>
      <c r="CI268">
        <f>IF(CI$4=0,0,IF(COUNTIFS(実績!$W$6:$W$505,CI$3,実績!$AC$6:$AC$505,"&lt;="&amp;$A268,実績!$AD$6:$AD$505,"&gt;"&amp;$A268,実績!$AE$6:$AE$505,"○")&gt;0,1,0))</f>
        <v/>
      </c>
      <c r="CJ268">
        <f>IF(CJ$4=0,0,IF(COUNTIFS(実績!$W$6:$W$505,CJ$3,実績!$AC$6:$AC$505,"&lt;="&amp;$A268,実績!$AD$6:$AD$505,"&gt;"&amp;$A268,実績!$AE$6:$AE$505,"○")&gt;0,1,0))</f>
        <v/>
      </c>
      <c r="CK268">
        <f>IF(CK$4=0,0,IF(COUNTIFS(実績!$W$6:$W$505,CK$3,実績!$AC$6:$AC$505,"&lt;="&amp;$A268,実績!$AD$6:$AD$505,"&gt;"&amp;$A268,実績!$AE$6:$AE$505,"○")&gt;0,1,0))</f>
        <v/>
      </c>
      <c r="CL268">
        <f>IF(CL$4=0,0,IF(COUNTIFS(実績!$W$6:$W$505,CL$3,実績!$AC$6:$AC$505,"&lt;="&amp;$A268,実績!$AD$6:$AD$505,"&gt;"&amp;$A268,実績!$AE$6:$AE$505,"○")&gt;0,1,0))</f>
        <v/>
      </c>
      <c r="CM268">
        <f>IF(CM$4=0,0,IF(COUNTIFS(実績!$W$6:$W$505,CM$3,実績!$AC$6:$AC$505,"&lt;="&amp;$A268,実績!$AD$6:$AD$505,"&gt;"&amp;$A268,実績!$AE$6:$AE$505,"○")&gt;0,1,0))</f>
        <v/>
      </c>
      <c r="CN268">
        <f>IF(CN$4=0,0,IF(COUNTIFS(実績!$W$6:$W$505,CN$3,実績!$AC$6:$AC$505,"&lt;="&amp;$A268,実績!$AD$6:$AD$505,"&gt;"&amp;$A268,実績!$AE$6:$AE$505,"○")&gt;0,1,0))</f>
        <v/>
      </c>
      <c r="CO268">
        <f>IF(CO$4=0,0,IF(COUNTIFS(実績!$W$6:$W$505,CO$3,実績!$AC$6:$AC$505,"&lt;="&amp;$A268,実績!$AD$6:$AD$505,"&gt;"&amp;$A268,実績!$AE$6:$AE$505,"○")&gt;0,1,0))</f>
        <v/>
      </c>
      <c r="CP268">
        <f>IF(CP$4=0,0,IF(COUNTIFS(実績!$W$6:$W$505,CP$3,実績!$AC$6:$AC$505,"&lt;="&amp;$A268,実績!$AD$6:$AD$505,"&gt;"&amp;$A268,実績!$AE$6:$AE$505,"○")&gt;0,1,0))</f>
        <v/>
      </c>
      <c r="CQ268">
        <f>IF(CQ$4=0,0,IF(COUNTIFS(実績!$W$6:$W$505,CQ$3,実績!$AC$6:$AC$505,"&lt;="&amp;$A268,実績!$AD$6:$AD$505,"&gt;"&amp;$A268,実績!$AE$6:$AE$505,"○")&gt;0,1,0))</f>
        <v/>
      </c>
      <c r="CR268">
        <f>IF(CR$4=0,0,IF(COUNTIFS(実績!$W$6:$W$505,CR$3,実績!$AC$6:$AC$505,"&lt;="&amp;$A268,実績!$AD$6:$AD$505,"&gt;"&amp;$A268,実績!$AE$6:$AE$505,"○")&gt;0,1,0))</f>
        <v/>
      </c>
      <c r="CS268">
        <f>IF(CS$4=0,0,IF(COUNTIFS(実績!$W$6:$W$505,CS$3,実績!$AC$6:$AC$505,"&lt;="&amp;$A268,実績!$AD$6:$AD$505,"&gt;"&amp;$A268,実績!$AE$6:$AE$505,"○")&gt;0,1,0))</f>
        <v/>
      </c>
      <c r="CT268">
        <f>IF(CT$4=0,0,IF(COUNTIFS(実績!$W$6:$W$505,CT$3,実績!$AC$6:$AC$505,"&lt;="&amp;$A268,実績!$AD$6:$AD$505,"&gt;"&amp;$A268,実績!$AE$6:$AE$505,"○")&gt;0,1,0))</f>
        <v/>
      </c>
      <c r="CU268">
        <f>IF(CU$4=0,0,IF(COUNTIFS(実績!$W$6:$W$505,CU$3,実績!$AC$6:$AC$505,"&lt;="&amp;$A268,実績!$AD$6:$AD$505,"&gt;"&amp;$A268,実績!$AE$6:$AE$505,"○")&gt;0,1,0))</f>
        <v/>
      </c>
      <c r="CV268">
        <f>IF(CV$4=0,0,IF(COUNTIFS(実績!$W$6:$W$505,CV$3,実績!$AC$6:$AC$505,"&lt;="&amp;$A268,実績!$AD$6:$AD$505,"&gt;"&amp;$A268,実績!$AE$6:$AE$505,"○")&gt;0,1,0))</f>
        <v/>
      </c>
      <c r="CW268">
        <f>IF(CW$4=0,0,IF(COUNTIFS(実績!$W$6:$W$505,CW$3,実績!$AC$6:$AC$505,"&lt;="&amp;$A268,実績!$AD$6:$AD$505,"&gt;"&amp;$A268,実績!$AE$6:$AE$505,"○")&gt;0,1,0))</f>
        <v/>
      </c>
      <c r="CX268">
        <f>IF(CX$4=0,0,IF(COUNTIFS(実績!$W$6:$W$505,CX$3,実績!$AC$6:$AC$505,"&lt;="&amp;$A268,実績!$AD$6:$AD$505,"&gt;"&amp;$A268,実績!$AE$6:$AE$505,"○")&gt;0,1,0))</f>
        <v/>
      </c>
      <c r="CY268">
        <f>IF(CY$4=0,0,IF(COUNTIFS(実績!$W$6:$W$505,CY$3,実績!$AC$6:$AC$505,"&lt;="&amp;$A268,実績!$AD$6:$AD$505,"&gt;"&amp;$A268,実績!$AE$6:$AE$505,"○")&gt;0,1,0))</f>
        <v/>
      </c>
      <c r="CZ268">
        <f>IF(CZ$4=0,0,IF(COUNTIFS(実績!$W$6:$W$505,CZ$3,実績!$AC$6:$AC$505,"&lt;="&amp;$A268,実績!$AD$6:$AD$505,"&gt;"&amp;$A268,実績!$AE$6:$AE$505,"○")&gt;0,1,0))</f>
        <v/>
      </c>
      <c r="DA268">
        <f>IF(DA$4=0,0,IF(COUNTIFS(実績!$W$6:$W$505,DA$3,実績!$AC$6:$AC$505,"&lt;="&amp;$A268,実績!$AD$6:$AD$505,"&gt;"&amp;$A268,実績!$AE$6:$AE$505,"○")&gt;0,1,0))</f>
        <v/>
      </c>
      <c r="DB268">
        <f>IF(DB$4=0,0,IF(COUNTIFS(実績!$W$6:$W$505,DB$3,実績!$AC$6:$AC$505,"&lt;="&amp;$A268,実績!$AD$6:$AD$505,"&gt;"&amp;$A268,実績!$AE$6:$AE$505,"○")&gt;0,1,0))</f>
        <v/>
      </c>
      <c r="DC268">
        <f>IF(DC$4=0,0,IF(COUNTIFS(実績!$W$6:$W$505,DC$3,実績!$AC$6:$AC$505,"&lt;="&amp;$A268,実績!$AD$6:$AD$505,"&gt;"&amp;$A268,実績!$AE$6:$AE$505,"○")&gt;0,1,0))</f>
        <v/>
      </c>
      <c r="DD268">
        <f>IF(DD$4=0,0,IF(COUNTIFS(実績!$W$6:$W$505,DD$3,実績!$AC$6:$AC$505,"&lt;="&amp;$A268,実績!$AD$6:$AD$505,"&gt;"&amp;$A268,実績!$AE$6:$AE$505,"○")&gt;0,1,0))</f>
        <v/>
      </c>
      <c r="DE268">
        <f>IF(DE$4=0,0,IF(COUNTIFS(実績!$W$6:$W$505,DE$3,実績!$AC$6:$AC$505,"&lt;="&amp;$A268,実績!$AD$6:$AD$505,"&gt;"&amp;$A268,実績!$AE$6:$AE$505,"○")&gt;0,1,0))</f>
        <v/>
      </c>
      <c r="DF268">
        <f>IF(DF$4=0,0,IF(COUNTIFS(実績!$W$6:$W$505,DF$3,実績!$AC$6:$AC$505,"&lt;="&amp;$A268,実績!$AD$6:$AD$505,"&gt;"&amp;$A268,実績!$AE$6:$AE$505,"○")&gt;0,1,0))</f>
        <v/>
      </c>
      <c r="DG268">
        <f>IF(DG$4=0,0,IF(COUNTIFS(実績!$W$6:$W$505,DG$3,実績!$AC$6:$AC$505,"&lt;="&amp;$A268,実績!$AD$6:$AD$505,"&gt;"&amp;$A268,実績!$AE$6:$AE$505,"○")&gt;0,1,0))</f>
        <v/>
      </c>
      <c r="DH268">
        <f>IF(DH$4=0,0,IF(COUNTIFS(実績!$W$6:$W$505,DH$3,実績!$AC$6:$AC$505,"&lt;="&amp;$A268,実績!$AD$6:$AD$505,"&gt;"&amp;$A268,実績!$AE$6:$AE$505,"○")&gt;0,1,0))</f>
        <v/>
      </c>
      <c r="DI268">
        <f>IF(DI$4=0,0,IF(COUNTIFS(実績!$W$6:$W$505,DI$3,実績!$AC$6:$AC$505,"&lt;="&amp;$A268,実績!$AD$6:$AD$505,"&gt;"&amp;$A268,実績!$AE$6:$AE$505,"○")&gt;0,1,0))</f>
        <v/>
      </c>
      <c r="DJ268">
        <f>IF(DJ$4=0,0,IF(COUNTIFS(実績!$W$6:$W$505,DJ$3,実績!$AC$6:$AC$505,"&lt;="&amp;$A268,実績!$AD$6:$AD$505,"&gt;"&amp;$A268,実績!$AE$6:$AE$505,"○")&gt;0,1,0))</f>
        <v/>
      </c>
      <c r="DK268">
        <f>IF(DK$4=0,0,IF(COUNTIFS(実績!$W$6:$W$505,DK$3,実績!$AC$6:$AC$505,"&lt;="&amp;$A268,実績!$AD$6:$AD$505,"&gt;"&amp;$A268,実績!$AE$6:$AE$505,"○")&gt;0,1,0))</f>
        <v/>
      </c>
      <c r="DL268">
        <f>IF(DL$4=0,0,IF(COUNTIFS(実績!$W$6:$W$505,DL$3,実績!$AC$6:$AC$505,"&lt;="&amp;$A268,実績!$AD$6:$AD$505,"&gt;"&amp;$A268,実績!$AE$6:$AE$505,"○")&gt;0,1,0))</f>
        <v/>
      </c>
      <c r="DM268">
        <f>IF(DM$4=0,0,IF(COUNTIFS(実績!$W$6:$W$505,DM$3,実績!$AC$6:$AC$505,"&lt;="&amp;$A268,実績!$AD$6:$AD$505,"&gt;"&amp;$A268,実績!$AE$6:$AE$505,"○")&gt;0,1,0))</f>
        <v/>
      </c>
      <c r="DN268">
        <f>IF(DN$4=0,0,IF(COUNTIFS(実績!$W$6:$W$505,DN$3,実績!$AC$6:$AC$505,"&lt;="&amp;$A268,実績!$AD$6:$AD$505,"&gt;"&amp;$A268,実績!$AE$6:$AE$505,"○")&gt;0,1,0))</f>
        <v/>
      </c>
      <c r="DO268">
        <f>IF(DO$4=0,0,IF(COUNTIFS(実績!$W$6:$W$505,DO$3,実績!$AC$6:$AC$505,"&lt;="&amp;$A268,実績!$AD$6:$AD$505,"&gt;"&amp;$A268,実績!$AE$6:$AE$505,"○")&gt;0,1,0))</f>
        <v/>
      </c>
      <c r="DP268">
        <f>IF(DP$4=0,0,IF(COUNTIFS(実績!$W$6:$W$505,DP$3,実績!$AC$6:$AC$505,"&lt;="&amp;$A268,実績!$AD$6:$AD$505,"&gt;"&amp;$A268,実績!$AE$6:$AE$505,"○")&gt;0,1,0))</f>
        <v/>
      </c>
      <c r="DQ268">
        <f>IF(DQ$4=0,0,IF(COUNTIFS(実績!$W$6:$W$505,DQ$3,実績!$AC$6:$AC$505,"&lt;="&amp;$A268,実績!$AD$6:$AD$505,"&gt;"&amp;$A268,実績!$AE$6:$AE$505,"○")&gt;0,1,0))</f>
        <v/>
      </c>
      <c r="DR268">
        <f>IF(DR$4=0,0,IF(COUNTIFS(実績!$W$6:$W$505,DR$3,実績!$AC$6:$AC$505,"&lt;="&amp;$A268,実績!$AD$6:$AD$505,"&gt;"&amp;$A268,実績!$AE$6:$AE$505,"○")&gt;0,1,0))</f>
        <v/>
      </c>
      <c r="DS268">
        <f>SUM(C268:DR268)</f>
        <v/>
      </c>
      <c r="DT268">
        <f>SUMPRODUCT((実績!$C$6:$C$505="○")*ISNUMBER(実績!$AF$6:$AF$505)*(実績!$AF$6:$AF$505&lt;=$A268)*(実績!$AG$6:$AG$505&gt;$A268))</f>
        <v/>
      </c>
      <c r="DU268">
        <f>SUMIF($C$2:$DR$2,"製鉄曳船",C268:DR268)</f>
        <v/>
      </c>
      <c r="DV268">
        <f>SUMIF($C$2:$DR$2,"西日本海運",C268:DR268)</f>
        <v/>
      </c>
    </row>
    <row r="269">
      <c r="A269" t="n">
        <v>1315</v>
      </c>
      <c r="B269" s="29">
        <f>A269/1440</f>
        <v/>
      </c>
      <c r="C269">
        <f>IF(C$4=0,0,IF(COUNTIFS(実績!$W$6:$W$505,C$3,実績!$AC$6:$AC$505,"&lt;="&amp;$A269,実績!$AD$6:$AD$505,"&gt;"&amp;$A269,実績!$AE$6:$AE$505,"○")&gt;0,1,0))</f>
        <v/>
      </c>
      <c r="D269">
        <f>IF(D$4=0,0,IF(COUNTIFS(実績!$W$6:$W$505,D$3,実績!$AC$6:$AC$505,"&lt;="&amp;$A269,実績!$AD$6:$AD$505,"&gt;"&amp;$A269,実績!$AE$6:$AE$505,"○")&gt;0,1,0))</f>
        <v/>
      </c>
      <c r="E269">
        <f>IF(E$4=0,0,IF(COUNTIFS(実績!$W$6:$W$505,E$3,実績!$AC$6:$AC$505,"&lt;="&amp;$A269,実績!$AD$6:$AD$505,"&gt;"&amp;$A269,実績!$AE$6:$AE$505,"○")&gt;0,1,0))</f>
        <v/>
      </c>
      <c r="F269">
        <f>IF(F$4=0,0,IF(COUNTIFS(実績!$W$6:$W$505,F$3,実績!$AC$6:$AC$505,"&lt;="&amp;$A269,実績!$AD$6:$AD$505,"&gt;"&amp;$A269,実績!$AE$6:$AE$505,"○")&gt;0,1,0))</f>
        <v/>
      </c>
      <c r="G269">
        <f>IF(G$4=0,0,IF(COUNTIFS(実績!$W$6:$W$505,G$3,実績!$AC$6:$AC$505,"&lt;="&amp;$A269,実績!$AD$6:$AD$505,"&gt;"&amp;$A269,実績!$AE$6:$AE$505,"○")&gt;0,1,0))</f>
        <v/>
      </c>
      <c r="H269">
        <f>IF(H$4=0,0,IF(COUNTIFS(実績!$W$6:$W$505,H$3,実績!$AC$6:$AC$505,"&lt;="&amp;$A269,実績!$AD$6:$AD$505,"&gt;"&amp;$A269,実績!$AE$6:$AE$505,"○")&gt;0,1,0))</f>
        <v/>
      </c>
      <c r="I269">
        <f>IF(I$4=0,0,IF(COUNTIFS(実績!$W$6:$W$505,I$3,実績!$AC$6:$AC$505,"&lt;="&amp;$A269,実績!$AD$6:$AD$505,"&gt;"&amp;$A269,実績!$AE$6:$AE$505,"○")&gt;0,1,0))</f>
        <v/>
      </c>
      <c r="J269">
        <f>IF(J$4=0,0,IF(COUNTIFS(実績!$W$6:$W$505,J$3,実績!$AC$6:$AC$505,"&lt;="&amp;$A269,実績!$AD$6:$AD$505,"&gt;"&amp;$A269,実績!$AE$6:$AE$505,"○")&gt;0,1,0))</f>
        <v/>
      </c>
      <c r="K269">
        <f>IF(K$4=0,0,IF(COUNTIFS(実績!$W$6:$W$505,K$3,実績!$AC$6:$AC$505,"&lt;="&amp;$A269,実績!$AD$6:$AD$505,"&gt;"&amp;$A269,実績!$AE$6:$AE$505,"○")&gt;0,1,0))</f>
        <v/>
      </c>
      <c r="L269">
        <f>IF(L$4=0,0,IF(COUNTIFS(実績!$W$6:$W$505,L$3,実績!$AC$6:$AC$505,"&lt;="&amp;$A269,実績!$AD$6:$AD$505,"&gt;"&amp;$A269,実績!$AE$6:$AE$505,"○")&gt;0,1,0))</f>
        <v/>
      </c>
      <c r="M269">
        <f>IF(M$4=0,0,IF(COUNTIFS(実績!$W$6:$W$505,M$3,実績!$AC$6:$AC$505,"&lt;="&amp;$A269,実績!$AD$6:$AD$505,"&gt;"&amp;$A269,実績!$AE$6:$AE$505,"○")&gt;0,1,0))</f>
        <v/>
      </c>
      <c r="N269">
        <f>IF(N$4=0,0,IF(COUNTIFS(実績!$W$6:$W$505,N$3,実績!$AC$6:$AC$505,"&lt;="&amp;$A269,実績!$AD$6:$AD$505,"&gt;"&amp;$A269,実績!$AE$6:$AE$505,"○")&gt;0,1,0))</f>
        <v/>
      </c>
      <c r="O269">
        <f>IF(O$4=0,0,IF(COUNTIFS(実績!$W$6:$W$505,O$3,実績!$AC$6:$AC$505,"&lt;="&amp;$A269,実績!$AD$6:$AD$505,"&gt;"&amp;$A269,実績!$AE$6:$AE$505,"○")&gt;0,1,0))</f>
        <v/>
      </c>
      <c r="P269">
        <f>IF(P$4=0,0,IF(COUNTIFS(実績!$W$6:$W$505,P$3,実績!$AC$6:$AC$505,"&lt;="&amp;$A269,実績!$AD$6:$AD$505,"&gt;"&amp;$A269,実績!$AE$6:$AE$505,"○")&gt;0,1,0))</f>
        <v/>
      </c>
      <c r="Q269">
        <f>IF(Q$4=0,0,IF(COUNTIFS(実績!$W$6:$W$505,Q$3,実績!$AC$6:$AC$505,"&lt;="&amp;$A269,実績!$AD$6:$AD$505,"&gt;"&amp;$A269,実績!$AE$6:$AE$505,"○")&gt;0,1,0))</f>
        <v/>
      </c>
      <c r="R269">
        <f>IF(R$4=0,0,IF(COUNTIFS(実績!$W$6:$W$505,R$3,実績!$AC$6:$AC$505,"&lt;="&amp;$A269,実績!$AD$6:$AD$505,"&gt;"&amp;$A269,実績!$AE$6:$AE$505,"○")&gt;0,1,0))</f>
        <v/>
      </c>
      <c r="S269">
        <f>IF(S$4=0,0,IF(COUNTIFS(実績!$W$6:$W$505,S$3,実績!$AC$6:$AC$505,"&lt;="&amp;$A269,実績!$AD$6:$AD$505,"&gt;"&amp;$A269,実績!$AE$6:$AE$505,"○")&gt;0,1,0))</f>
        <v/>
      </c>
      <c r="T269">
        <f>IF(T$4=0,0,IF(COUNTIFS(実績!$W$6:$W$505,T$3,実績!$AC$6:$AC$505,"&lt;="&amp;$A269,実績!$AD$6:$AD$505,"&gt;"&amp;$A269,実績!$AE$6:$AE$505,"○")&gt;0,1,0))</f>
        <v/>
      </c>
      <c r="U269">
        <f>IF(U$4=0,0,IF(COUNTIFS(実績!$W$6:$W$505,U$3,実績!$AC$6:$AC$505,"&lt;="&amp;$A269,実績!$AD$6:$AD$505,"&gt;"&amp;$A269,実績!$AE$6:$AE$505,"○")&gt;0,1,0))</f>
        <v/>
      </c>
      <c r="V269">
        <f>IF(V$4=0,0,IF(COUNTIFS(実績!$W$6:$W$505,V$3,実績!$AC$6:$AC$505,"&lt;="&amp;$A269,実績!$AD$6:$AD$505,"&gt;"&amp;$A269,実績!$AE$6:$AE$505,"○")&gt;0,1,0))</f>
        <v/>
      </c>
      <c r="W269">
        <f>IF(W$4=0,0,IF(COUNTIFS(実績!$W$6:$W$505,W$3,実績!$AC$6:$AC$505,"&lt;="&amp;$A269,実績!$AD$6:$AD$505,"&gt;"&amp;$A269,実績!$AE$6:$AE$505,"○")&gt;0,1,0))</f>
        <v/>
      </c>
      <c r="X269">
        <f>IF(X$4=0,0,IF(COUNTIFS(実績!$W$6:$W$505,X$3,実績!$AC$6:$AC$505,"&lt;="&amp;$A269,実績!$AD$6:$AD$505,"&gt;"&amp;$A269,実績!$AE$6:$AE$505,"○")&gt;0,1,0))</f>
        <v/>
      </c>
      <c r="Y269">
        <f>IF(Y$4=0,0,IF(COUNTIFS(実績!$W$6:$W$505,Y$3,実績!$AC$6:$AC$505,"&lt;="&amp;$A269,実績!$AD$6:$AD$505,"&gt;"&amp;$A269,実績!$AE$6:$AE$505,"○")&gt;0,1,0))</f>
        <v/>
      </c>
      <c r="Z269">
        <f>IF(Z$4=0,0,IF(COUNTIFS(実績!$W$6:$W$505,Z$3,実績!$AC$6:$AC$505,"&lt;="&amp;$A269,実績!$AD$6:$AD$505,"&gt;"&amp;$A269,実績!$AE$6:$AE$505,"○")&gt;0,1,0))</f>
        <v/>
      </c>
      <c r="AA269">
        <f>IF(AA$4=0,0,IF(COUNTIFS(実績!$W$6:$W$505,AA$3,実績!$AC$6:$AC$505,"&lt;="&amp;$A269,実績!$AD$6:$AD$505,"&gt;"&amp;$A269,実績!$AE$6:$AE$505,"○")&gt;0,1,0))</f>
        <v/>
      </c>
      <c r="AB269">
        <f>IF(AB$4=0,0,IF(COUNTIFS(実績!$W$6:$W$505,AB$3,実績!$AC$6:$AC$505,"&lt;="&amp;$A269,実績!$AD$6:$AD$505,"&gt;"&amp;$A269,実績!$AE$6:$AE$505,"○")&gt;0,1,0))</f>
        <v/>
      </c>
      <c r="AC269">
        <f>IF(AC$4=0,0,IF(COUNTIFS(実績!$W$6:$W$505,AC$3,実績!$AC$6:$AC$505,"&lt;="&amp;$A269,実績!$AD$6:$AD$505,"&gt;"&amp;$A269,実績!$AE$6:$AE$505,"○")&gt;0,1,0))</f>
        <v/>
      </c>
      <c r="AD269">
        <f>IF(AD$4=0,0,IF(COUNTIFS(実績!$W$6:$W$505,AD$3,実績!$AC$6:$AC$505,"&lt;="&amp;$A269,実績!$AD$6:$AD$505,"&gt;"&amp;$A269,実績!$AE$6:$AE$505,"○")&gt;0,1,0))</f>
        <v/>
      </c>
      <c r="AE269">
        <f>IF(AE$4=0,0,IF(COUNTIFS(実績!$W$6:$W$505,AE$3,実績!$AC$6:$AC$505,"&lt;="&amp;$A269,実績!$AD$6:$AD$505,"&gt;"&amp;$A269,実績!$AE$6:$AE$505,"○")&gt;0,1,0))</f>
        <v/>
      </c>
      <c r="AF269">
        <f>IF(AF$4=0,0,IF(COUNTIFS(実績!$W$6:$W$505,AF$3,実績!$AC$6:$AC$505,"&lt;="&amp;$A269,実績!$AD$6:$AD$505,"&gt;"&amp;$A269,実績!$AE$6:$AE$505,"○")&gt;0,1,0))</f>
        <v/>
      </c>
      <c r="AG269">
        <f>IF(AG$4=0,0,IF(COUNTIFS(実績!$W$6:$W$505,AG$3,実績!$AC$6:$AC$505,"&lt;="&amp;$A269,実績!$AD$6:$AD$505,"&gt;"&amp;$A269,実績!$AE$6:$AE$505,"○")&gt;0,1,0))</f>
        <v/>
      </c>
      <c r="AH269">
        <f>IF(AH$4=0,0,IF(COUNTIFS(実績!$W$6:$W$505,AH$3,実績!$AC$6:$AC$505,"&lt;="&amp;$A269,実績!$AD$6:$AD$505,"&gt;"&amp;$A269,実績!$AE$6:$AE$505,"○")&gt;0,1,0))</f>
        <v/>
      </c>
      <c r="AI269">
        <f>IF(AI$4=0,0,IF(COUNTIFS(実績!$W$6:$W$505,AI$3,実績!$AC$6:$AC$505,"&lt;="&amp;$A269,実績!$AD$6:$AD$505,"&gt;"&amp;$A269,実績!$AE$6:$AE$505,"○")&gt;0,1,0))</f>
        <v/>
      </c>
      <c r="AJ269">
        <f>IF(AJ$4=0,0,IF(COUNTIFS(実績!$W$6:$W$505,AJ$3,実績!$AC$6:$AC$505,"&lt;="&amp;$A269,実績!$AD$6:$AD$505,"&gt;"&amp;$A269,実績!$AE$6:$AE$505,"○")&gt;0,1,0))</f>
        <v/>
      </c>
      <c r="AK269">
        <f>IF(AK$4=0,0,IF(COUNTIFS(実績!$W$6:$W$505,AK$3,実績!$AC$6:$AC$505,"&lt;="&amp;$A269,実績!$AD$6:$AD$505,"&gt;"&amp;$A269,実績!$AE$6:$AE$505,"○")&gt;0,1,0))</f>
        <v/>
      </c>
      <c r="AL269">
        <f>IF(AL$4=0,0,IF(COUNTIFS(実績!$W$6:$W$505,AL$3,実績!$AC$6:$AC$505,"&lt;="&amp;$A269,実績!$AD$6:$AD$505,"&gt;"&amp;$A269,実績!$AE$6:$AE$505,"○")&gt;0,1,0))</f>
        <v/>
      </c>
      <c r="AM269">
        <f>IF(AM$4=0,0,IF(COUNTIFS(実績!$W$6:$W$505,AM$3,実績!$AC$6:$AC$505,"&lt;="&amp;$A269,実績!$AD$6:$AD$505,"&gt;"&amp;$A269,実績!$AE$6:$AE$505,"○")&gt;0,1,0))</f>
        <v/>
      </c>
      <c r="AN269">
        <f>IF(AN$4=0,0,IF(COUNTIFS(実績!$W$6:$W$505,AN$3,実績!$AC$6:$AC$505,"&lt;="&amp;$A269,実績!$AD$6:$AD$505,"&gt;"&amp;$A269,実績!$AE$6:$AE$505,"○")&gt;0,1,0))</f>
        <v/>
      </c>
      <c r="AO269">
        <f>IF(AO$4=0,0,IF(COUNTIFS(実績!$W$6:$W$505,AO$3,実績!$AC$6:$AC$505,"&lt;="&amp;$A269,実績!$AD$6:$AD$505,"&gt;"&amp;$A269,実績!$AE$6:$AE$505,"○")&gt;0,1,0))</f>
        <v/>
      </c>
      <c r="AP269">
        <f>IF(AP$4=0,0,IF(COUNTIFS(実績!$W$6:$W$505,AP$3,実績!$AC$6:$AC$505,"&lt;="&amp;$A269,実績!$AD$6:$AD$505,"&gt;"&amp;$A269,実績!$AE$6:$AE$505,"○")&gt;0,1,0))</f>
        <v/>
      </c>
      <c r="AQ269">
        <f>IF(AQ$4=0,0,IF(COUNTIFS(実績!$W$6:$W$505,AQ$3,実績!$AC$6:$AC$505,"&lt;="&amp;$A269,実績!$AD$6:$AD$505,"&gt;"&amp;$A269,実績!$AE$6:$AE$505,"○")&gt;0,1,0))</f>
        <v/>
      </c>
      <c r="AR269">
        <f>IF(AR$4=0,0,IF(COUNTIFS(実績!$W$6:$W$505,AR$3,実績!$AC$6:$AC$505,"&lt;="&amp;$A269,実績!$AD$6:$AD$505,"&gt;"&amp;$A269,実績!$AE$6:$AE$505,"○")&gt;0,1,0))</f>
        <v/>
      </c>
      <c r="AS269">
        <f>IF(AS$4=0,0,IF(COUNTIFS(実績!$W$6:$W$505,AS$3,実績!$AC$6:$AC$505,"&lt;="&amp;$A269,実績!$AD$6:$AD$505,"&gt;"&amp;$A269,実績!$AE$6:$AE$505,"○")&gt;0,1,0))</f>
        <v/>
      </c>
      <c r="AT269">
        <f>IF(AT$4=0,0,IF(COUNTIFS(実績!$W$6:$W$505,AT$3,実績!$AC$6:$AC$505,"&lt;="&amp;$A269,実績!$AD$6:$AD$505,"&gt;"&amp;$A269,実績!$AE$6:$AE$505,"○")&gt;0,1,0))</f>
        <v/>
      </c>
      <c r="AU269">
        <f>IF(AU$4=0,0,IF(COUNTIFS(実績!$W$6:$W$505,AU$3,実績!$AC$6:$AC$505,"&lt;="&amp;$A269,実績!$AD$6:$AD$505,"&gt;"&amp;$A269,実績!$AE$6:$AE$505,"○")&gt;0,1,0))</f>
        <v/>
      </c>
      <c r="AV269">
        <f>IF(AV$4=0,0,IF(COUNTIFS(実績!$W$6:$W$505,AV$3,実績!$AC$6:$AC$505,"&lt;="&amp;$A269,実績!$AD$6:$AD$505,"&gt;"&amp;$A269,実績!$AE$6:$AE$505,"○")&gt;0,1,0))</f>
        <v/>
      </c>
      <c r="AW269">
        <f>IF(AW$4=0,0,IF(COUNTIFS(実績!$W$6:$W$505,AW$3,実績!$AC$6:$AC$505,"&lt;="&amp;$A269,実績!$AD$6:$AD$505,"&gt;"&amp;$A269,実績!$AE$6:$AE$505,"○")&gt;0,1,0))</f>
        <v/>
      </c>
      <c r="AX269">
        <f>IF(AX$4=0,0,IF(COUNTIFS(実績!$W$6:$W$505,AX$3,実績!$AC$6:$AC$505,"&lt;="&amp;$A269,実績!$AD$6:$AD$505,"&gt;"&amp;$A269,実績!$AE$6:$AE$505,"○")&gt;0,1,0))</f>
        <v/>
      </c>
      <c r="AY269">
        <f>IF(AY$4=0,0,IF(COUNTIFS(実績!$W$6:$W$505,AY$3,実績!$AC$6:$AC$505,"&lt;="&amp;$A269,実績!$AD$6:$AD$505,"&gt;"&amp;$A269,実績!$AE$6:$AE$505,"○")&gt;0,1,0))</f>
        <v/>
      </c>
      <c r="AZ269">
        <f>IF(AZ$4=0,0,IF(COUNTIFS(実績!$W$6:$W$505,AZ$3,実績!$AC$6:$AC$505,"&lt;="&amp;$A269,実績!$AD$6:$AD$505,"&gt;"&amp;$A269,実績!$AE$6:$AE$505,"○")&gt;0,1,0))</f>
        <v/>
      </c>
      <c r="BA269">
        <f>IF(BA$4=0,0,IF(COUNTIFS(実績!$W$6:$W$505,BA$3,実績!$AC$6:$AC$505,"&lt;="&amp;$A269,実績!$AD$6:$AD$505,"&gt;"&amp;$A269,実績!$AE$6:$AE$505,"○")&gt;0,1,0))</f>
        <v/>
      </c>
      <c r="BB269">
        <f>IF(BB$4=0,0,IF(COUNTIFS(実績!$W$6:$W$505,BB$3,実績!$AC$6:$AC$505,"&lt;="&amp;$A269,実績!$AD$6:$AD$505,"&gt;"&amp;$A269,実績!$AE$6:$AE$505,"○")&gt;0,1,0))</f>
        <v/>
      </c>
      <c r="BC269">
        <f>IF(BC$4=0,0,IF(COUNTIFS(実績!$W$6:$W$505,BC$3,実績!$AC$6:$AC$505,"&lt;="&amp;$A269,実績!$AD$6:$AD$505,"&gt;"&amp;$A269,実績!$AE$6:$AE$505,"○")&gt;0,1,0))</f>
        <v/>
      </c>
      <c r="BD269">
        <f>IF(BD$4=0,0,IF(COUNTIFS(実績!$W$6:$W$505,BD$3,実績!$AC$6:$AC$505,"&lt;="&amp;$A269,実績!$AD$6:$AD$505,"&gt;"&amp;$A269,実績!$AE$6:$AE$505,"○")&gt;0,1,0))</f>
        <v/>
      </c>
      <c r="BE269">
        <f>IF(BE$4=0,0,IF(COUNTIFS(実績!$W$6:$W$505,BE$3,実績!$AC$6:$AC$505,"&lt;="&amp;$A269,実績!$AD$6:$AD$505,"&gt;"&amp;$A269,実績!$AE$6:$AE$505,"○")&gt;0,1,0))</f>
        <v/>
      </c>
      <c r="BF269">
        <f>IF(BF$4=0,0,IF(COUNTIFS(実績!$W$6:$W$505,BF$3,実績!$AC$6:$AC$505,"&lt;="&amp;$A269,実績!$AD$6:$AD$505,"&gt;"&amp;$A269,実績!$AE$6:$AE$505,"○")&gt;0,1,0))</f>
        <v/>
      </c>
      <c r="BG269">
        <f>IF(BG$4=0,0,IF(COUNTIFS(実績!$W$6:$W$505,BG$3,実績!$AC$6:$AC$505,"&lt;="&amp;$A269,実績!$AD$6:$AD$505,"&gt;"&amp;$A269,実績!$AE$6:$AE$505,"○")&gt;0,1,0))</f>
        <v/>
      </c>
      <c r="BH269">
        <f>IF(BH$4=0,0,IF(COUNTIFS(実績!$W$6:$W$505,BH$3,実績!$AC$6:$AC$505,"&lt;="&amp;$A269,実績!$AD$6:$AD$505,"&gt;"&amp;$A269,実績!$AE$6:$AE$505,"○")&gt;0,1,0))</f>
        <v/>
      </c>
      <c r="BI269">
        <f>IF(BI$4=0,0,IF(COUNTIFS(実績!$W$6:$W$505,BI$3,実績!$AC$6:$AC$505,"&lt;="&amp;$A269,実績!$AD$6:$AD$505,"&gt;"&amp;$A269,実績!$AE$6:$AE$505,"○")&gt;0,1,0))</f>
        <v/>
      </c>
      <c r="BJ269">
        <f>IF(BJ$4=0,0,IF(COUNTIFS(実績!$W$6:$W$505,BJ$3,実績!$AC$6:$AC$505,"&lt;="&amp;$A269,実績!$AD$6:$AD$505,"&gt;"&amp;$A269,実績!$AE$6:$AE$505,"○")&gt;0,1,0))</f>
        <v/>
      </c>
      <c r="BK269">
        <f>IF(BK$4=0,0,IF(COUNTIFS(実績!$W$6:$W$505,BK$3,実績!$AC$6:$AC$505,"&lt;="&amp;$A269,実績!$AD$6:$AD$505,"&gt;"&amp;$A269,実績!$AE$6:$AE$505,"○")&gt;0,1,0))</f>
        <v/>
      </c>
      <c r="BL269">
        <f>IF(BL$4=0,0,IF(COUNTIFS(実績!$W$6:$W$505,BL$3,実績!$AC$6:$AC$505,"&lt;="&amp;$A269,実績!$AD$6:$AD$505,"&gt;"&amp;$A269,実績!$AE$6:$AE$505,"○")&gt;0,1,0))</f>
        <v/>
      </c>
      <c r="BM269">
        <f>IF(BM$4=0,0,IF(COUNTIFS(実績!$W$6:$W$505,BM$3,実績!$AC$6:$AC$505,"&lt;="&amp;$A269,実績!$AD$6:$AD$505,"&gt;"&amp;$A269,実績!$AE$6:$AE$505,"○")&gt;0,1,0))</f>
        <v/>
      </c>
      <c r="BN269">
        <f>IF(BN$4=0,0,IF(COUNTIFS(実績!$W$6:$W$505,BN$3,実績!$AC$6:$AC$505,"&lt;="&amp;$A269,実績!$AD$6:$AD$505,"&gt;"&amp;$A269,実績!$AE$6:$AE$505,"○")&gt;0,1,0))</f>
        <v/>
      </c>
      <c r="BO269">
        <f>IF(BO$4=0,0,IF(COUNTIFS(実績!$W$6:$W$505,BO$3,実績!$AC$6:$AC$505,"&lt;="&amp;$A269,実績!$AD$6:$AD$505,"&gt;"&amp;$A269,実績!$AE$6:$AE$505,"○")&gt;0,1,0))</f>
        <v/>
      </c>
      <c r="BP269">
        <f>IF(BP$4=0,0,IF(COUNTIFS(実績!$W$6:$W$505,BP$3,実績!$AC$6:$AC$505,"&lt;="&amp;$A269,実績!$AD$6:$AD$505,"&gt;"&amp;$A269,実績!$AE$6:$AE$505,"○")&gt;0,1,0))</f>
        <v/>
      </c>
      <c r="BQ269">
        <f>IF(BQ$4=0,0,IF(COUNTIFS(実績!$W$6:$W$505,BQ$3,実績!$AC$6:$AC$505,"&lt;="&amp;$A269,実績!$AD$6:$AD$505,"&gt;"&amp;$A269,実績!$AE$6:$AE$505,"○")&gt;0,1,0))</f>
        <v/>
      </c>
      <c r="BR269">
        <f>IF(BR$4=0,0,IF(COUNTIFS(実績!$W$6:$W$505,BR$3,実績!$AC$6:$AC$505,"&lt;="&amp;$A269,実績!$AD$6:$AD$505,"&gt;"&amp;$A269,実績!$AE$6:$AE$505,"○")&gt;0,1,0))</f>
        <v/>
      </c>
      <c r="BS269">
        <f>IF(BS$4=0,0,IF(COUNTIFS(実績!$W$6:$W$505,BS$3,実績!$AC$6:$AC$505,"&lt;="&amp;$A269,実績!$AD$6:$AD$505,"&gt;"&amp;$A269,実績!$AE$6:$AE$505,"○")&gt;0,1,0))</f>
        <v/>
      </c>
      <c r="BT269">
        <f>IF(BT$4=0,0,IF(COUNTIFS(実績!$W$6:$W$505,BT$3,実績!$AC$6:$AC$505,"&lt;="&amp;$A269,実績!$AD$6:$AD$505,"&gt;"&amp;$A269,実績!$AE$6:$AE$505,"○")&gt;0,1,0))</f>
        <v/>
      </c>
      <c r="BU269">
        <f>IF(BU$4=0,0,IF(COUNTIFS(実績!$W$6:$W$505,BU$3,実績!$AC$6:$AC$505,"&lt;="&amp;$A269,実績!$AD$6:$AD$505,"&gt;"&amp;$A269,実績!$AE$6:$AE$505,"○")&gt;0,1,0))</f>
        <v/>
      </c>
      <c r="BV269">
        <f>IF(BV$4=0,0,IF(COUNTIFS(実績!$W$6:$W$505,BV$3,実績!$AC$6:$AC$505,"&lt;="&amp;$A269,実績!$AD$6:$AD$505,"&gt;"&amp;$A269,実績!$AE$6:$AE$505,"○")&gt;0,1,0))</f>
        <v/>
      </c>
      <c r="BW269">
        <f>IF(BW$4=0,0,IF(COUNTIFS(実績!$W$6:$W$505,BW$3,実績!$AC$6:$AC$505,"&lt;="&amp;$A269,実績!$AD$6:$AD$505,"&gt;"&amp;$A269,実績!$AE$6:$AE$505,"○")&gt;0,1,0))</f>
        <v/>
      </c>
      <c r="BX269">
        <f>IF(BX$4=0,0,IF(COUNTIFS(実績!$W$6:$W$505,BX$3,実績!$AC$6:$AC$505,"&lt;="&amp;$A269,実績!$AD$6:$AD$505,"&gt;"&amp;$A269,実績!$AE$6:$AE$505,"○")&gt;0,1,0))</f>
        <v/>
      </c>
      <c r="BY269">
        <f>IF(BY$4=0,0,IF(COUNTIFS(実績!$W$6:$W$505,BY$3,実績!$AC$6:$AC$505,"&lt;="&amp;$A269,実績!$AD$6:$AD$505,"&gt;"&amp;$A269,実績!$AE$6:$AE$505,"○")&gt;0,1,0))</f>
        <v/>
      </c>
      <c r="BZ269">
        <f>IF(BZ$4=0,0,IF(COUNTIFS(実績!$W$6:$W$505,BZ$3,実績!$AC$6:$AC$505,"&lt;="&amp;$A269,実績!$AD$6:$AD$505,"&gt;"&amp;$A269,実績!$AE$6:$AE$505,"○")&gt;0,1,0))</f>
        <v/>
      </c>
      <c r="CA269">
        <f>IF(CA$4=0,0,IF(COUNTIFS(実績!$W$6:$W$505,CA$3,実績!$AC$6:$AC$505,"&lt;="&amp;$A269,実績!$AD$6:$AD$505,"&gt;"&amp;$A269,実績!$AE$6:$AE$505,"○")&gt;0,1,0))</f>
        <v/>
      </c>
      <c r="CB269">
        <f>IF(CB$4=0,0,IF(COUNTIFS(実績!$W$6:$W$505,CB$3,実績!$AC$6:$AC$505,"&lt;="&amp;$A269,実績!$AD$6:$AD$505,"&gt;"&amp;$A269,実績!$AE$6:$AE$505,"○")&gt;0,1,0))</f>
        <v/>
      </c>
      <c r="CC269">
        <f>IF(CC$4=0,0,IF(COUNTIFS(実績!$W$6:$W$505,CC$3,実績!$AC$6:$AC$505,"&lt;="&amp;$A269,実績!$AD$6:$AD$505,"&gt;"&amp;$A269,実績!$AE$6:$AE$505,"○")&gt;0,1,0))</f>
        <v/>
      </c>
      <c r="CD269">
        <f>IF(CD$4=0,0,IF(COUNTIFS(実績!$W$6:$W$505,CD$3,実績!$AC$6:$AC$505,"&lt;="&amp;$A269,実績!$AD$6:$AD$505,"&gt;"&amp;$A269,実績!$AE$6:$AE$505,"○")&gt;0,1,0))</f>
        <v/>
      </c>
      <c r="CE269">
        <f>IF(CE$4=0,0,IF(COUNTIFS(実績!$W$6:$W$505,CE$3,実績!$AC$6:$AC$505,"&lt;="&amp;$A269,実績!$AD$6:$AD$505,"&gt;"&amp;$A269,実績!$AE$6:$AE$505,"○")&gt;0,1,0))</f>
        <v/>
      </c>
      <c r="CF269">
        <f>IF(CF$4=0,0,IF(COUNTIFS(実績!$W$6:$W$505,CF$3,実績!$AC$6:$AC$505,"&lt;="&amp;$A269,実績!$AD$6:$AD$505,"&gt;"&amp;$A269,実績!$AE$6:$AE$505,"○")&gt;0,1,0))</f>
        <v/>
      </c>
      <c r="CG269">
        <f>IF(CG$4=0,0,IF(COUNTIFS(実績!$W$6:$W$505,CG$3,実績!$AC$6:$AC$505,"&lt;="&amp;$A269,実績!$AD$6:$AD$505,"&gt;"&amp;$A269,実績!$AE$6:$AE$505,"○")&gt;0,1,0))</f>
        <v/>
      </c>
      <c r="CH269">
        <f>IF(CH$4=0,0,IF(COUNTIFS(実績!$W$6:$W$505,CH$3,実績!$AC$6:$AC$505,"&lt;="&amp;$A269,実績!$AD$6:$AD$505,"&gt;"&amp;$A269,実績!$AE$6:$AE$505,"○")&gt;0,1,0))</f>
        <v/>
      </c>
      <c r="CI269">
        <f>IF(CI$4=0,0,IF(COUNTIFS(実績!$W$6:$W$505,CI$3,実績!$AC$6:$AC$505,"&lt;="&amp;$A269,実績!$AD$6:$AD$505,"&gt;"&amp;$A269,実績!$AE$6:$AE$505,"○")&gt;0,1,0))</f>
        <v/>
      </c>
      <c r="CJ269">
        <f>IF(CJ$4=0,0,IF(COUNTIFS(実績!$W$6:$W$505,CJ$3,実績!$AC$6:$AC$505,"&lt;="&amp;$A269,実績!$AD$6:$AD$505,"&gt;"&amp;$A269,実績!$AE$6:$AE$505,"○")&gt;0,1,0))</f>
        <v/>
      </c>
      <c r="CK269">
        <f>IF(CK$4=0,0,IF(COUNTIFS(実績!$W$6:$W$505,CK$3,実績!$AC$6:$AC$505,"&lt;="&amp;$A269,実績!$AD$6:$AD$505,"&gt;"&amp;$A269,実績!$AE$6:$AE$505,"○")&gt;0,1,0))</f>
        <v/>
      </c>
      <c r="CL269">
        <f>IF(CL$4=0,0,IF(COUNTIFS(実績!$W$6:$W$505,CL$3,実績!$AC$6:$AC$505,"&lt;="&amp;$A269,実績!$AD$6:$AD$505,"&gt;"&amp;$A269,実績!$AE$6:$AE$505,"○")&gt;0,1,0))</f>
        <v/>
      </c>
      <c r="CM269">
        <f>IF(CM$4=0,0,IF(COUNTIFS(実績!$W$6:$W$505,CM$3,実績!$AC$6:$AC$505,"&lt;="&amp;$A269,実績!$AD$6:$AD$505,"&gt;"&amp;$A269,実績!$AE$6:$AE$505,"○")&gt;0,1,0))</f>
        <v/>
      </c>
      <c r="CN269">
        <f>IF(CN$4=0,0,IF(COUNTIFS(実績!$W$6:$W$505,CN$3,実績!$AC$6:$AC$505,"&lt;="&amp;$A269,実績!$AD$6:$AD$505,"&gt;"&amp;$A269,実績!$AE$6:$AE$505,"○")&gt;0,1,0))</f>
        <v/>
      </c>
      <c r="CO269">
        <f>IF(CO$4=0,0,IF(COUNTIFS(実績!$W$6:$W$505,CO$3,実績!$AC$6:$AC$505,"&lt;="&amp;$A269,実績!$AD$6:$AD$505,"&gt;"&amp;$A269,実績!$AE$6:$AE$505,"○")&gt;0,1,0))</f>
        <v/>
      </c>
      <c r="CP269">
        <f>IF(CP$4=0,0,IF(COUNTIFS(実績!$W$6:$W$505,CP$3,実績!$AC$6:$AC$505,"&lt;="&amp;$A269,実績!$AD$6:$AD$505,"&gt;"&amp;$A269,実績!$AE$6:$AE$505,"○")&gt;0,1,0))</f>
        <v/>
      </c>
      <c r="CQ269">
        <f>IF(CQ$4=0,0,IF(COUNTIFS(実績!$W$6:$W$505,CQ$3,実績!$AC$6:$AC$505,"&lt;="&amp;$A269,実績!$AD$6:$AD$505,"&gt;"&amp;$A269,実績!$AE$6:$AE$505,"○")&gt;0,1,0))</f>
        <v/>
      </c>
      <c r="CR269">
        <f>IF(CR$4=0,0,IF(COUNTIFS(実績!$W$6:$W$505,CR$3,実績!$AC$6:$AC$505,"&lt;="&amp;$A269,実績!$AD$6:$AD$505,"&gt;"&amp;$A269,実績!$AE$6:$AE$505,"○")&gt;0,1,0))</f>
        <v/>
      </c>
      <c r="CS269">
        <f>IF(CS$4=0,0,IF(COUNTIFS(実績!$W$6:$W$505,CS$3,実績!$AC$6:$AC$505,"&lt;="&amp;$A269,実績!$AD$6:$AD$505,"&gt;"&amp;$A269,実績!$AE$6:$AE$505,"○")&gt;0,1,0))</f>
        <v/>
      </c>
      <c r="CT269">
        <f>IF(CT$4=0,0,IF(COUNTIFS(実績!$W$6:$W$505,CT$3,実績!$AC$6:$AC$505,"&lt;="&amp;$A269,実績!$AD$6:$AD$505,"&gt;"&amp;$A269,実績!$AE$6:$AE$505,"○")&gt;0,1,0))</f>
        <v/>
      </c>
      <c r="CU269">
        <f>IF(CU$4=0,0,IF(COUNTIFS(実績!$W$6:$W$505,CU$3,実績!$AC$6:$AC$505,"&lt;="&amp;$A269,実績!$AD$6:$AD$505,"&gt;"&amp;$A269,実績!$AE$6:$AE$505,"○")&gt;0,1,0))</f>
        <v/>
      </c>
      <c r="CV269">
        <f>IF(CV$4=0,0,IF(COUNTIFS(実績!$W$6:$W$505,CV$3,実績!$AC$6:$AC$505,"&lt;="&amp;$A269,実績!$AD$6:$AD$505,"&gt;"&amp;$A269,実績!$AE$6:$AE$505,"○")&gt;0,1,0))</f>
        <v/>
      </c>
      <c r="CW269">
        <f>IF(CW$4=0,0,IF(COUNTIFS(実績!$W$6:$W$505,CW$3,実績!$AC$6:$AC$505,"&lt;="&amp;$A269,実績!$AD$6:$AD$505,"&gt;"&amp;$A269,実績!$AE$6:$AE$505,"○")&gt;0,1,0))</f>
        <v/>
      </c>
      <c r="CX269">
        <f>IF(CX$4=0,0,IF(COUNTIFS(実績!$W$6:$W$505,CX$3,実績!$AC$6:$AC$505,"&lt;="&amp;$A269,実績!$AD$6:$AD$505,"&gt;"&amp;$A269,実績!$AE$6:$AE$505,"○")&gt;0,1,0))</f>
        <v/>
      </c>
      <c r="CY269">
        <f>IF(CY$4=0,0,IF(COUNTIFS(実績!$W$6:$W$505,CY$3,実績!$AC$6:$AC$505,"&lt;="&amp;$A269,実績!$AD$6:$AD$505,"&gt;"&amp;$A269,実績!$AE$6:$AE$505,"○")&gt;0,1,0))</f>
        <v/>
      </c>
      <c r="CZ269">
        <f>IF(CZ$4=0,0,IF(COUNTIFS(実績!$W$6:$W$505,CZ$3,実績!$AC$6:$AC$505,"&lt;="&amp;$A269,実績!$AD$6:$AD$505,"&gt;"&amp;$A269,実績!$AE$6:$AE$505,"○")&gt;0,1,0))</f>
        <v/>
      </c>
      <c r="DA269">
        <f>IF(DA$4=0,0,IF(COUNTIFS(実績!$W$6:$W$505,DA$3,実績!$AC$6:$AC$505,"&lt;="&amp;$A269,実績!$AD$6:$AD$505,"&gt;"&amp;$A269,実績!$AE$6:$AE$505,"○")&gt;0,1,0))</f>
        <v/>
      </c>
      <c r="DB269">
        <f>IF(DB$4=0,0,IF(COUNTIFS(実績!$W$6:$W$505,DB$3,実績!$AC$6:$AC$505,"&lt;="&amp;$A269,実績!$AD$6:$AD$505,"&gt;"&amp;$A269,実績!$AE$6:$AE$505,"○")&gt;0,1,0))</f>
        <v/>
      </c>
      <c r="DC269">
        <f>IF(DC$4=0,0,IF(COUNTIFS(実績!$W$6:$W$505,DC$3,実績!$AC$6:$AC$505,"&lt;="&amp;$A269,実績!$AD$6:$AD$505,"&gt;"&amp;$A269,実績!$AE$6:$AE$505,"○")&gt;0,1,0))</f>
        <v/>
      </c>
      <c r="DD269">
        <f>IF(DD$4=0,0,IF(COUNTIFS(実績!$W$6:$W$505,DD$3,実績!$AC$6:$AC$505,"&lt;="&amp;$A269,実績!$AD$6:$AD$505,"&gt;"&amp;$A269,実績!$AE$6:$AE$505,"○")&gt;0,1,0))</f>
        <v/>
      </c>
      <c r="DE269">
        <f>IF(DE$4=0,0,IF(COUNTIFS(実績!$W$6:$W$505,DE$3,実績!$AC$6:$AC$505,"&lt;="&amp;$A269,実績!$AD$6:$AD$505,"&gt;"&amp;$A269,実績!$AE$6:$AE$505,"○")&gt;0,1,0))</f>
        <v/>
      </c>
      <c r="DF269">
        <f>IF(DF$4=0,0,IF(COUNTIFS(実績!$W$6:$W$505,DF$3,実績!$AC$6:$AC$505,"&lt;="&amp;$A269,実績!$AD$6:$AD$505,"&gt;"&amp;$A269,実績!$AE$6:$AE$505,"○")&gt;0,1,0))</f>
        <v/>
      </c>
      <c r="DG269">
        <f>IF(DG$4=0,0,IF(COUNTIFS(実績!$W$6:$W$505,DG$3,実績!$AC$6:$AC$505,"&lt;="&amp;$A269,実績!$AD$6:$AD$505,"&gt;"&amp;$A269,実績!$AE$6:$AE$505,"○")&gt;0,1,0))</f>
        <v/>
      </c>
      <c r="DH269">
        <f>IF(DH$4=0,0,IF(COUNTIFS(実績!$W$6:$W$505,DH$3,実績!$AC$6:$AC$505,"&lt;="&amp;$A269,実績!$AD$6:$AD$505,"&gt;"&amp;$A269,実績!$AE$6:$AE$505,"○")&gt;0,1,0))</f>
        <v/>
      </c>
      <c r="DI269">
        <f>IF(DI$4=0,0,IF(COUNTIFS(実績!$W$6:$W$505,DI$3,実績!$AC$6:$AC$505,"&lt;="&amp;$A269,実績!$AD$6:$AD$505,"&gt;"&amp;$A269,実績!$AE$6:$AE$505,"○")&gt;0,1,0))</f>
        <v/>
      </c>
      <c r="DJ269">
        <f>IF(DJ$4=0,0,IF(COUNTIFS(実績!$W$6:$W$505,DJ$3,実績!$AC$6:$AC$505,"&lt;="&amp;$A269,実績!$AD$6:$AD$505,"&gt;"&amp;$A269,実績!$AE$6:$AE$505,"○")&gt;0,1,0))</f>
        <v/>
      </c>
      <c r="DK269">
        <f>IF(DK$4=0,0,IF(COUNTIFS(実績!$W$6:$W$505,DK$3,実績!$AC$6:$AC$505,"&lt;="&amp;$A269,実績!$AD$6:$AD$505,"&gt;"&amp;$A269,実績!$AE$6:$AE$505,"○")&gt;0,1,0))</f>
        <v/>
      </c>
      <c r="DL269">
        <f>IF(DL$4=0,0,IF(COUNTIFS(実績!$W$6:$W$505,DL$3,実績!$AC$6:$AC$505,"&lt;="&amp;$A269,実績!$AD$6:$AD$505,"&gt;"&amp;$A269,実績!$AE$6:$AE$505,"○")&gt;0,1,0))</f>
        <v/>
      </c>
      <c r="DM269">
        <f>IF(DM$4=0,0,IF(COUNTIFS(実績!$W$6:$W$505,DM$3,実績!$AC$6:$AC$505,"&lt;="&amp;$A269,実績!$AD$6:$AD$505,"&gt;"&amp;$A269,実績!$AE$6:$AE$505,"○")&gt;0,1,0))</f>
        <v/>
      </c>
      <c r="DN269">
        <f>IF(DN$4=0,0,IF(COUNTIFS(実績!$W$6:$W$505,DN$3,実績!$AC$6:$AC$505,"&lt;="&amp;$A269,実績!$AD$6:$AD$505,"&gt;"&amp;$A269,実績!$AE$6:$AE$505,"○")&gt;0,1,0))</f>
        <v/>
      </c>
      <c r="DO269">
        <f>IF(DO$4=0,0,IF(COUNTIFS(実績!$W$6:$W$505,DO$3,実績!$AC$6:$AC$505,"&lt;="&amp;$A269,実績!$AD$6:$AD$505,"&gt;"&amp;$A269,実績!$AE$6:$AE$505,"○")&gt;0,1,0))</f>
        <v/>
      </c>
      <c r="DP269">
        <f>IF(DP$4=0,0,IF(COUNTIFS(実績!$W$6:$W$505,DP$3,実績!$AC$6:$AC$505,"&lt;="&amp;$A269,実績!$AD$6:$AD$505,"&gt;"&amp;$A269,実績!$AE$6:$AE$505,"○")&gt;0,1,0))</f>
        <v/>
      </c>
      <c r="DQ269">
        <f>IF(DQ$4=0,0,IF(COUNTIFS(実績!$W$6:$W$505,DQ$3,実績!$AC$6:$AC$505,"&lt;="&amp;$A269,実績!$AD$6:$AD$505,"&gt;"&amp;$A269,実績!$AE$6:$AE$505,"○")&gt;0,1,0))</f>
        <v/>
      </c>
      <c r="DR269">
        <f>IF(DR$4=0,0,IF(COUNTIFS(実績!$W$6:$W$505,DR$3,実績!$AC$6:$AC$505,"&lt;="&amp;$A269,実績!$AD$6:$AD$505,"&gt;"&amp;$A269,実績!$AE$6:$AE$505,"○")&gt;0,1,0))</f>
        <v/>
      </c>
      <c r="DS269">
        <f>SUM(C269:DR269)</f>
        <v/>
      </c>
      <c r="DT269">
        <f>SUMPRODUCT((実績!$C$6:$C$505="○")*ISNUMBER(実績!$AF$6:$AF$505)*(実績!$AF$6:$AF$505&lt;=$A269)*(実績!$AG$6:$AG$505&gt;$A269))</f>
        <v/>
      </c>
      <c r="DU269">
        <f>SUMIF($C$2:$DR$2,"製鉄曳船",C269:DR269)</f>
        <v/>
      </c>
      <c r="DV269">
        <f>SUMIF($C$2:$DR$2,"西日本海運",C269:DR269)</f>
        <v/>
      </c>
    </row>
    <row r="270">
      <c r="A270" t="n">
        <v>1320</v>
      </c>
      <c r="B270" s="29">
        <f>A270/1440</f>
        <v/>
      </c>
      <c r="C270">
        <f>IF(C$4=0,0,IF(COUNTIFS(実績!$W$6:$W$505,C$3,実績!$AC$6:$AC$505,"&lt;="&amp;$A270,実績!$AD$6:$AD$505,"&gt;"&amp;$A270,実績!$AE$6:$AE$505,"○")&gt;0,1,0))</f>
        <v/>
      </c>
      <c r="D270">
        <f>IF(D$4=0,0,IF(COUNTIFS(実績!$W$6:$W$505,D$3,実績!$AC$6:$AC$505,"&lt;="&amp;$A270,実績!$AD$6:$AD$505,"&gt;"&amp;$A270,実績!$AE$6:$AE$505,"○")&gt;0,1,0))</f>
        <v/>
      </c>
      <c r="E270">
        <f>IF(E$4=0,0,IF(COUNTIFS(実績!$W$6:$W$505,E$3,実績!$AC$6:$AC$505,"&lt;="&amp;$A270,実績!$AD$6:$AD$505,"&gt;"&amp;$A270,実績!$AE$6:$AE$505,"○")&gt;0,1,0))</f>
        <v/>
      </c>
      <c r="F270">
        <f>IF(F$4=0,0,IF(COUNTIFS(実績!$W$6:$W$505,F$3,実績!$AC$6:$AC$505,"&lt;="&amp;$A270,実績!$AD$6:$AD$505,"&gt;"&amp;$A270,実績!$AE$6:$AE$505,"○")&gt;0,1,0))</f>
        <v/>
      </c>
      <c r="G270">
        <f>IF(G$4=0,0,IF(COUNTIFS(実績!$W$6:$W$505,G$3,実績!$AC$6:$AC$505,"&lt;="&amp;$A270,実績!$AD$6:$AD$505,"&gt;"&amp;$A270,実績!$AE$6:$AE$505,"○")&gt;0,1,0))</f>
        <v/>
      </c>
      <c r="H270">
        <f>IF(H$4=0,0,IF(COUNTIFS(実績!$W$6:$W$505,H$3,実績!$AC$6:$AC$505,"&lt;="&amp;$A270,実績!$AD$6:$AD$505,"&gt;"&amp;$A270,実績!$AE$6:$AE$505,"○")&gt;0,1,0))</f>
        <v/>
      </c>
      <c r="I270">
        <f>IF(I$4=0,0,IF(COUNTIFS(実績!$W$6:$W$505,I$3,実績!$AC$6:$AC$505,"&lt;="&amp;$A270,実績!$AD$6:$AD$505,"&gt;"&amp;$A270,実績!$AE$6:$AE$505,"○")&gt;0,1,0))</f>
        <v/>
      </c>
      <c r="J270">
        <f>IF(J$4=0,0,IF(COUNTIFS(実績!$W$6:$W$505,J$3,実績!$AC$6:$AC$505,"&lt;="&amp;$A270,実績!$AD$6:$AD$505,"&gt;"&amp;$A270,実績!$AE$6:$AE$505,"○")&gt;0,1,0))</f>
        <v/>
      </c>
      <c r="K270">
        <f>IF(K$4=0,0,IF(COUNTIFS(実績!$W$6:$W$505,K$3,実績!$AC$6:$AC$505,"&lt;="&amp;$A270,実績!$AD$6:$AD$505,"&gt;"&amp;$A270,実績!$AE$6:$AE$505,"○")&gt;0,1,0))</f>
        <v/>
      </c>
      <c r="L270">
        <f>IF(L$4=0,0,IF(COUNTIFS(実績!$W$6:$W$505,L$3,実績!$AC$6:$AC$505,"&lt;="&amp;$A270,実績!$AD$6:$AD$505,"&gt;"&amp;$A270,実績!$AE$6:$AE$505,"○")&gt;0,1,0))</f>
        <v/>
      </c>
      <c r="M270">
        <f>IF(M$4=0,0,IF(COUNTIFS(実績!$W$6:$W$505,M$3,実績!$AC$6:$AC$505,"&lt;="&amp;$A270,実績!$AD$6:$AD$505,"&gt;"&amp;$A270,実績!$AE$6:$AE$505,"○")&gt;0,1,0))</f>
        <v/>
      </c>
      <c r="N270">
        <f>IF(N$4=0,0,IF(COUNTIFS(実績!$W$6:$W$505,N$3,実績!$AC$6:$AC$505,"&lt;="&amp;$A270,実績!$AD$6:$AD$505,"&gt;"&amp;$A270,実績!$AE$6:$AE$505,"○")&gt;0,1,0))</f>
        <v/>
      </c>
      <c r="O270">
        <f>IF(O$4=0,0,IF(COUNTIFS(実績!$W$6:$W$505,O$3,実績!$AC$6:$AC$505,"&lt;="&amp;$A270,実績!$AD$6:$AD$505,"&gt;"&amp;$A270,実績!$AE$6:$AE$505,"○")&gt;0,1,0))</f>
        <v/>
      </c>
      <c r="P270">
        <f>IF(P$4=0,0,IF(COUNTIFS(実績!$W$6:$W$505,P$3,実績!$AC$6:$AC$505,"&lt;="&amp;$A270,実績!$AD$6:$AD$505,"&gt;"&amp;$A270,実績!$AE$6:$AE$505,"○")&gt;0,1,0))</f>
        <v/>
      </c>
      <c r="Q270">
        <f>IF(Q$4=0,0,IF(COUNTIFS(実績!$W$6:$W$505,Q$3,実績!$AC$6:$AC$505,"&lt;="&amp;$A270,実績!$AD$6:$AD$505,"&gt;"&amp;$A270,実績!$AE$6:$AE$505,"○")&gt;0,1,0))</f>
        <v/>
      </c>
      <c r="R270">
        <f>IF(R$4=0,0,IF(COUNTIFS(実績!$W$6:$W$505,R$3,実績!$AC$6:$AC$505,"&lt;="&amp;$A270,実績!$AD$6:$AD$505,"&gt;"&amp;$A270,実績!$AE$6:$AE$505,"○")&gt;0,1,0))</f>
        <v/>
      </c>
      <c r="S270">
        <f>IF(S$4=0,0,IF(COUNTIFS(実績!$W$6:$W$505,S$3,実績!$AC$6:$AC$505,"&lt;="&amp;$A270,実績!$AD$6:$AD$505,"&gt;"&amp;$A270,実績!$AE$6:$AE$505,"○")&gt;0,1,0))</f>
        <v/>
      </c>
      <c r="T270">
        <f>IF(T$4=0,0,IF(COUNTIFS(実績!$W$6:$W$505,T$3,実績!$AC$6:$AC$505,"&lt;="&amp;$A270,実績!$AD$6:$AD$505,"&gt;"&amp;$A270,実績!$AE$6:$AE$505,"○")&gt;0,1,0))</f>
        <v/>
      </c>
      <c r="U270">
        <f>IF(U$4=0,0,IF(COUNTIFS(実績!$W$6:$W$505,U$3,実績!$AC$6:$AC$505,"&lt;="&amp;$A270,実績!$AD$6:$AD$505,"&gt;"&amp;$A270,実績!$AE$6:$AE$505,"○")&gt;0,1,0))</f>
        <v/>
      </c>
      <c r="V270">
        <f>IF(V$4=0,0,IF(COUNTIFS(実績!$W$6:$W$505,V$3,実績!$AC$6:$AC$505,"&lt;="&amp;$A270,実績!$AD$6:$AD$505,"&gt;"&amp;$A270,実績!$AE$6:$AE$505,"○")&gt;0,1,0))</f>
        <v/>
      </c>
      <c r="W270">
        <f>IF(W$4=0,0,IF(COUNTIFS(実績!$W$6:$W$505,W$3,実績!$AC$6:$AC$505,"&lt;="&amp;$A270,実績!$AD$6:$AD$505,"&gt;"&amp;$A270,実績!$AE$6:$AE$505,"○")&gt;0,1,0))</f>
        <v/>
      </c>
      <c r="X270">
        <f>IF(X$4=0,0,IF(COUNTIFS(実績!$W$6:$W$505,X$3,実績!$AC$6:$AC$505,"&lt;="&amp;$A270,実績!$AD$6:$AD$505,"&gt;"&amp;$A270,実績!$AE$6:$AE$505,"○")&gt;0,1,0))</f>
        <v/>
      </c>
      <c r="Y270">
        <f>IF(Y$4=0,0,IF(COUNTIFS(実績!$W$6:$W$505,Y$3,実績!$AC$6:$AC$505,"&lt;="&amp;$A270,実績!$AD$6:$AD$505,"&gt;"&amp;$A270,実績!$AE$6:$AE$505,"○")&gt;0,1,0))</f>
        <v/>
      </c>
      <c r="Z270">
        <f>IF(Z$4=0,0,IF(COUNTIFS(実績!$W$6:$W$505,Z$3,実績!$AC$6:$AC$505,"&lt;="&amp;$A270,実績!$AD$6:$AD$505,"&gt;"&amp;$A270,実績!$AE$6:$AE$505,"○")&gt;0,1,0))</f>
        <v/>
      </c>
      <c r="AA270">
        <f>IF(AA$4=0,0,IF(COUNTIFS(実績!$W$6:$W$505,AA$3,実績!$AC$6:$AC$505,"&lt;="&amp;$A270,実績!$AD$6:$AD$505,"&gt;"&amp;$A270,実績!$AE$6:$AE$505,"○")&gt;0,1,0))</f>
        <v/>
      </c>
      <c r="AB270">
        <f>IF(AB$4=0,0,IF(COUNTIFS(実績!$W$6:$W$505,AB$3,実績!$AC$6:$AC$505,"&lt;="&amp;$A270,実績!$AD$6:$AD$505,"&gt;"&amp;$A270,実績!$AE$6:$AE$505,"○")&gt;0,1,0))</f>
        <v/>
      </c>
      <c r="AC270">
        <f>IF(AC$4=0,0,IF(COUNTIFS(実績!$W$6:$W$505,AC$3,実績!$AC$6:$AC$505,"&lt;="&amp;$A270,実績!$AD$6:$AD$505,"&gt;"&amp;$A270,実績!$AE$6:$AE$505,"○")&gt;0,1,0))</f>
        <v/>
      </c>
      <c r="AD270">
        <f>IF(AD$4=0,0,IF(COUNTIFS(実績!$W$6:$W$505,AD$3,実績!$AC$6:$AC$505,"&lt;="&amp;$A270,実績!$AD$6:$AD$505,"&gt;"&amp;$A270,実績!$AE$6:$AE$505,"○")&gt;0,1,0))</f>
        <v/>
      </c>
      <c r="AE270">
        <f>IF(AE$4=0,0,IF(COUNTIFS(実績!$W$6:$W$505,AE$3,実績!$AC$6:$AC$505,"&lt;="&amp;$A270,実績!$AD$6:$AD$505,"&gt;"&amp;$A270,実績!$AE$6:$AE$505,"○")&gt;0,1,0))</f>
        <v/>
      </c>
      <c r="AF270">
        <f>IF(AF$4=0,0,IF(COUNTIFS(実績!$W$6:$W$505,AF$3,実績!$AC$6:$AC$505,"&lt;="&amp;$A270,実績!$AD$6:$AD$505,"&gt;"&amp;$A270,実績!$AE$6:$AE$505,"○")&gt;0,1,0))</f>
        <v/>
      </c>
      <c r="AG270">
        <f>IF(AG$4=0,0,IF(COUNTIFS(実績!$W$6:$W$505,AG$3,実績!$AC$6:$AC$505,"&lt;="&amp;$A270,実績!$AD$6:$AD$505,"&gt;"&amp;$A270,実績!$AE$6:$AE$505,"○")&gt;0,1,0))</f>
        <v/>
      </c>
      <c r="AH270">
        <f>IF(AH$4=0,0,IF(COUNTIFS(実績!$W$6:$W$505,AH$3,実績!$AC$6:$AC$505,"&lt;="&amp;$A270,実績!$AD$6:$AD$505,"&gt;"&amp;$A270,実績!$AE$6:$AE$505,"○")&gt;0,1,0))</f>
        <v/>
      </c>
      <c r="AI270">
        <f>IF(AI$4=0,0,IF(COUNTIFS(実績!$W$6:$W$505,AI$3,実績!$AC$6:$AC$505,"&lt;="&amp;$A270,実績!$AD$6:$AD$505,"&gt;"&amp;$A270,実績!$AE$6:$AE$505,"○")&gt;0,1,0))</f>
        <v/>
      </c>
      <c r="AJ270">
        <f>IF(AJ$4=0,0,IF(COUNTIFS(実績!$W$6:$W$505,AJ$3,実績!$AC$6:$AC$505,"&lt;="&amp;$A270,実績!$AD$6:$AD$505,"&gt;"&amp;$A270,実績!$AE$6:$AE$505,"○")&gt;0,1,0))</f>
        <v/>
      </c>
      <c r="AK270">
        <f>IF(AK$4=0,0,IF(COUNTIFS(実績!$W$6:$W$505,AK$3,実績!$AC$6:$AC$505,"&lt;="&amp;$A270,実績!$AD$6:$AD$505,"&gt;"&amp;$A270,実績!$AE$6:$AE$505,"○")&gt;0,1,0))</f>
        <v/>
      </c>
      <c r="AL270">
        <f>IF(AL$4=0,0,IF(COUNTIFS(実績!$W$6:$W$505,AL$3,実績!$AC$6:$AC$505,"&lt;="&amp;$A270,実績!$AD$6:$AD$505,"&gt;"&amp;$A270,実績!$AE$6:$AE$505,"○")&gt;0,1,0))</f>
        <v/>
      </c>
      <c r="AM270">
        <f>IF(AM$4=0,0,IF(COUNTIFS(実績!$W$6:$W$505,AM$3,実績!$AC$6:$AC$505,"&lt;="&amp;$A270,実績!$AD$6:$AD$505,"&gt;"&amp;$A270,実績!$AE$6:$AE$505,"○")&gt;0,1,0))</f>
        <v/>
      </c>
      <c r="AN270">
        <f>IF(AN$4=0,0,IF(COUNTIFS(実績!$W$6:$W$505,AN$3,実績!$AC$6:$AC$505,"&lt;="&amp;$A270,実績!$AD$6:$AD$505,"&gt;"&amp;$A270,実績!$AE$6:$AE$505,"○")&gt;0,1,0))</f>
        <v/>
      </c>
      <c r="AO270">
        <f>IF(AO$4=0,0,IF(COUNTIFS(実績!$W$6:$W$505,AO$3,実績!$AC$6:$AC$505,"&lt;="&amp;$A270,実績!$AD$6:$AD$505,"&gt;"&amp;$A270,実績!$AE$6:$AE$505,"○")&gt;0,1,0))</f>
        <v/>
      </c>
      <c r="AP270">
        <f>IF(AP$4=0,0,IF(COUNTIFS(実績!$W$6:$W$505,AP$3,実績!$AC$6:$AC$505,"&lt;="&amp;$A270,実績!$AD$6:$AD$505,"&gt;"&amp;$A270,実績!$AE$6:$AE$505,"○")&gt;0,1,0))</f>
        <v/>
      </c>
      <c r="AQ270">
        <f>IF(AQ$4=0,0,IF(COUNTIFS(実績!$W$6:$W$505,AQ$3,実績!$AC$6:$AC$505,"&lt;="&amp;$A270,実績!$AD$6:$AD$505,"&gt;"&amp;$A270,実績!$AE$6:$AE$505,"○")&gt;0,1,0))</f>
        <v/>
      </c>
      <c r="AR270">
        <f>IF(AR$4=0,0,IF(COUNTIFS(実績!$W$6:$W$505,AR$3,実績!$AC$6:$AC$505,"&lt;="&amp;$A270,実績!$AD$6:$AD$505,"&gt;"&amp;$A270,実績!$AE$6:$AE$505,"○")&gt;0,1,0))</f>
        <v/>
      </c>
      <c r="AS270">
        <f>IF(AS$4=0,0,IF(COUNTIFS(実績!$W$6:$W$505,AS$3,実績!$AC$6:$AC$505,"&lt;="&amp;$A270,実績!$AD$6:$AD$505,"&gt;"&amp;$A270,実績!$AE$6:$AE$505,"○")&gt;0,1,0))</f>
        <v/>
      </c>
      <c r="AT270">
        <f>IF(AT$4=0,0,IF(COUNTIFS(実績!$W$6:$W$505,AT$3,実績!$AC$6:$AC$505,"&lt;="&amp;$A270,実績!$AD$6:$AD$505,"&gt;"&amp;$A270,実績!$AE$6:$AE$505,"○")&gt;0,1,0))</f>
        <v/>
      </c>
      <c r="AU270">
        <f>IF(AU$4=0,0,IF(COUNTIFS(実績!$W$6:$W$505,AU$3,実績!$AC$6:$AC$505,"&lt;="&amp;$A270,実績!$AD$6:$AD$505,"&gt;"&amp;$A270,実績!$AE$6:$AE$505,"○")&gt;0,1,0))</f>
        <v/>
      </c>
      <c r="AV270">
        <f>IF(AV$4=0,0,IF(COUNTIFS(実績!$W$6:$W$505,AV$3,実績!$AC$6:$AC$505,"&lt;="&amp;$A270,実績!$AD$6:$AD$505,"&gt;"&amp;$A270,実績!$AE$6:$AE$505,"○")&gt;0,1,0))</f>
        <v/>
      </c>
      <c r="AW270">
        <f>IF(AW$4=0,0,IF(COUNTIFS(実績!$W$6:$W$505,AW$3,実績!$AC$6:$AC$505,"&lt;="&amp;$A270,実績!$AD$6:$AD$505,"&gt;"&amp;$A270,実績!$AE$6:$AE$505,"○")&gt;0,1,0))</f>
        <v/>
      </c>
      <c r="AX270">
        <f>IF(AX$4=0,0,IF(COUNTIFS(実績!$W$6:$W$505,AX$3,実績!$AC$6:$AC$505,"&lt;="&amp;$A270,実績!$AD$6:$AD$505,"&gt;"&amp;$A270,実績!$AE$6:$AE$505,"○")&gt;0,1,0))</f>
        <v/>
      </c>
      <c r="AY270">
        <f>IF(AY$4=0,0,IF(COUNTIFS(実績!$W$6:$W$505,AY$3,実績!$AC$6:$AC$505,"&lt;="&amp;$A270,実績!$AD$6:$AD$505,"&gt;"&amp;$A270,実績!$AE$6:$AE$505,"○")&gt;0,1,0))</f>
        <v/>
      </c>
      <c r="AZ270">
        <f>IF(AZ$4=0,0,IF(COUNTIFS(実績!$W$6:$W$505,AZ$3,実績!$AC$6:$AC$505,"&lt;="&amp;$A270,実績!$AD$6:$AD$505,"&gt;"&amp;$A270,実績!$AE$6:$AE$505,"○")&gt;0,1,0))</f>
        <v/>
      </c>
      <c r="BA270">
        <f>IF(BA$4=0,0,IF(COUNTIFS(実績!$W$6:$W$505,BA$3,実績!$AC$6:$AC$505,"&lt;="&amp;$A270,実績!$AD$6:$AD$505,"&gt;"&amp;$A270,実績!$AE$6:$AE$505,"○")&gt;0,1,0))</f>
        <v/>
      </c>
      <c r="BB270">
        <f>IF(BB$4=0,0,IF(COUNTIFS(実績!$W$6:$W$505,BB$3,実績!$AC$6:$AC$505,"&lt;="&amp;$A270,実績!$AD$6:$AD$505,"&gt;"&amp;$A270,実績!$AE$6:$AE$505,"○")&gt;0,1,0))</f>
        <v/>
      </c>
      <c r="BC270">
        <f>IF(BC$4=0,0,IF(COUNTIFS(実績!$W$6:$W$505,BC$3,実績!$AC$6:$AC$505,"&lt;="&amp;$A270,実績!$AD$6:$AD$505,"&gt;"&amp;$A270,実績!$AE$6:$AE$505,"○")&gt;0,1,0))</f>
        <v/>
      </c>
      <c r="BD270">
        <f>IF(BD$4=0,0,IF(COUNTIFS(実績!$W$6:$W$505,BD$3,実績!$AC$6:$AC$505,"&lt;="&amp;$A270,実績!$AD$6:$AD$505,"&gt;"&amp;$A270,実績!$AE$6:$AE$505,"○")&gt;0,1,0))</f>
        <v/>
      </c>
      <c r="BE270">
        <f>IF(BE$4=0,0,IF(COUNTIFS(実績!$W$6:$W$505,BE$3,実績!$AC$6:$AC$505,"&lt;="&amp;$A270,実績!$AD$6:$AD$505,"&gt;"&amp;$A270,実績!$AE$6:$AE$505,"○")&gt;0,1,0))</f>
        <v/>
      </c>
      <c r="BF270">
        <f>IF(BF$4=0,0,IF(COUNTIFS(実績!$W$6:$W$505,BF$3,実績!$AC$6:$AC$505,"&lt;="&amp;$A270,実績!$AD$6:$AD$505,"&gt;"&amp;$A270,実績!$AE$6:$AE$505,"○")&gt;0,1,0))</f>
        <v/>
      </c>
      <c r="BG270">
        <f>IF(BG$4=0,0,IF(COUNTIFS(実績!$W$6:$W$505,BG$3,実績!$AC$6:$AC$505,"&lt;="&amp;$A270,実績!$AD$6:$AD$505,"&gt;"&amp;$A270,実績!$AE$6:$AE$505,"○")&gt;0,1,0))</f>
        <v/>
      </c>
      <c r="BH270">
        <f>IF(BH$4=0,0,IF(COUNTIFS(実績!$W$6:$W$505,BH$3,実績!$AC$6:$AC$505,"&lt;="&amp;$A270,実績!$AD$6:$AD$505,"&gt;"&amp;$A270,実績!$AE$6:$AE$505,"○")&gt;0,1,0))</f>
        <v/>
      </c>
      <c r="BI270">
        <f>IF(BI$4=0,0,IF(COUNTIFS(実績!$W$6:$W$505,BI$3,実績!$AC$6:$AC$505,"&lt;="&amp;$A270,実績!$AD$6:$AD$505,"&gt;"&amp;$A270,実績!$AE$6:$AE$505,"○")&gt;0,1,0))</f>
        <v/>
      </c>
      <c r="BJ270">
        <f>IF(BJ$4=0,0,IF(COUNTIFS(実績!$W$6:$W$505,BJ$3,実績!$AC$6:$AC$505,"&lt;="&amp;$A270,実績!$AD$6:$AD$505,"&gt;"&amp;$A270,実績!$AE$6:$AE$505,"○")&gt;0,1,0))</f>
        <v/>
      </c>
      <c r="BK270">
        <f>IF(BK$4=0,0,IF(COUNTIFS(実績!$W$6:$W$505,BK$3,実績!$AC$6:$AC$505,"&lt;="&amp;$A270,実績!$AD$6:$AD$505,"&gt;"&amp;$A270,実績!$AE$6:$AE$505,"○")&gt;0,1,0))</f>
        <v/>
      </c>
      <c r="BL270">
        <f>IF(BL$4=0,0,IF(COUNTIFS(実績!$W$6:$W$505,BL$3,実績!$AC$6:$AC$505,"&lt;="&amp;$A270,実績!$AD$6:$AD$505,"&gt;"&amp;$A270,実績!$AE$6:$AE$505,"○")&gt;0,1,0))</f>
        <v/>
      </c>
      <c r="BM270">
        <f>IF(BM$4=0,0,IF(COUNTIFS(実績!$W$6:$W$505,BM$3,実績!$AC$6:$AC$505,"&lt;="&amp;$A270,実績!$AD$6:$AD$505,"&gt;"&amp;$A270,実績!$AE$6:$AE$505,"○")&gt;0,1,0))</f>
        <v/>
      </c>
      <c r="BN270">
        <f>IF(BN$4=0,0,IF(COUNTIFS(実績!$W$6:$W$505,BN$3,実績!$AC$6:$AC$505,"&lt;="&amp;$A270,実績!$AD$6:$AD$505,"&gt;"&amp;$A270,実績!$AE$6:$AE$505,"○")&gt;0,1,0))</f>
        <v/>
      </c>
      <c r="BO270">
        <f>IF(BO$4=0,0,IF(COUNTIFS(実績!$W$6:$W$505,BO$3,実績!$AC$6:$AC$505,"&lt;="&amp;$A270,実績!$AD$6:$AD$505,"&gt;"&amp;$A270,実績!$AE$6:$AE$505,"○")&gt;0,1,0))</f>
        <v/>
      </c>
      <c r="BP270">
        <f>IF(BP$4=0,0,IF(COUNTIFS(実績!$W$6:$W$505,BP$3,実績!$AC$6:$AC$505,"&lt;="&amp;$A270,実績!$AD$6:$AD$505,"&gt;"&amp;$A270,実績!$AE$6:$AE$505,"○")&gt;0,1,0))</f>
        <v/>
      </c>
      <c r="BQ270">
        <f>IF(BQ$4=0,0,IF(COUNTIFS(実績!$W$6:$W$505,BQ$3,実績!$AC$6:$AC$505,"&lt;="&amp;$A270,実績!$AD$6:$AD$505,"&gt;"&amp;$A270,実績!$AE$6:$AE$505,"○")&gt;0,1,0))</f>
        <v/>
      </c>
      <c r="BR270">
        <f>IF(BR$4=0,0,IF(COUNTIFS(実績!$W$6:$W$505,BR$3,実績!$AC$6:$AC$505,"&lt;="&amp;$A270,実績!$AD$6:$AD$505,"&gt;"&amp;$A270,実績!$AE$6:$AE$505,"○")&gt;0,1,0))</f>
        <v/>
      </c>
      <c r="BS270">
        <f>IF(BS$4=0,0,IF(COUNTIFS(実績!$W$6:$W$505,BS$3,実績!$AC$6:$AC$505,"&lt;="&amp;$A270,実績!$AD$6:$AD$505,"&gt;"&amp;$A270,実績!$AE$6:$AE$505,"○")&gt;0,1,0))</f>
        <v/>
      </c>
      <c r="BT270">
        <f>IF(BT$4=0,0,IF(COUNTIFS(実績!$W$6:$W$505,BT$3,実績!$AC$6:$AC$505,"&lt;="&amp;$A270,実績!$AD$6:$AD$505,"&gt;"&amp;$A270,実績!$AE$6:$AE$505,"○")&gt;0,1,0))</f>
        <v/>
      </c>
      <c r="BU270">
        <f>IF(BU$4=0,0,IF(COUNTIFS(実績!$W$6:$W$505,BU$3,実績!$AC$6:$AC$505,"&lt;="&amp;$A270,実績!$AD$6:$AD$505,"&gt;"&amp;$A270,実績!$AE$6:$AE$505,"○")&gt;0,1,0))</f>
        <v/>
      </c>
      <c r="BV270">
        <f>IF(BV$4=0,0,IF(COUNTIFS(実績!$W$6:$W$505,BV$3,実績!$AC$6:$AC$505,"&lt;="&amp;$A270,実績!$AD$6:$AD$505,"&gt;"&amp;$A270,実績!$AE$6:$AE$505,"○")&gt;0,1,0))</f>
        <v/>
      </c>
      <c r="BW270">
        <f>IF(BW$4=0,0,IF(COUNTIFS(実績!$W$6:$W$505,BW$3,実績!$AC$6:$AC$505,"&lt;="&amp;$A270,実績!$AD$6:$AD$505,"&gt;"&amp;$A270,実績!$AE$6:$AE$505,"○")&gt;0,1,0))</f>
        <v/>
      </c>
      <c r="BX270">
        <f>IF(BX$4=0,0,IF(COUNTIFS(実績!$W$6:$W$505,BX$3,実績!$AC$6:$AC$505,"&lt;="&amp;$A270,実績!$AD$6:$AD$505,"&gt;"&amp;$A270,実績!$AE$6:$AE$505,"○")&gt;0,1,0))</f>
        <v/>
      </c>
      <c r="BY270">
        <f>IF(BY$4=0,0,IF(COUNTIFS(実績!$W$6:$W$505,BY$3,実績!$AC$6:$AC$505,"&lt;="&amp;$A270,実績!$AD$6:$AD$505,"&gt;"&amp;$A270,実績!$AE$6:$AE$505,"○")&gt;0,1,0))</f>
        <v/>
      </c>
      <c r="BZ270">
        <f>IF(BZ$4=0,0,IF(COUNTIFS(実績!$W$6:$W$505,BZ$3,実績!$AC$6:$AC$505,"&lt;="&amp;$A270,実績!$AD$6:$AD$505,"&gt;"&amp;$A270,実績!$AE$6:$AE$505,"○")&gt;0,1,0))</f>
        <v/>
      </c>
      <c r="CA270">
        <f>IF(CA$4=0,0,IF(COUNTIFS(実績!$W$6:$W$505,CA$3,実績!$AC$6:$AC$505,"&lt;="&amp;$A270,実績!$AD$6:$AD$505,"&gt;"&amp;$A270,実績!$AE$6:$AE$505,"○")&gt;0,1,0))</f>
        <v/>
      </c>
      <c r="CB270">
        <f>IF(CB$4=0,0,IF(COUNTIFS(実績!$W$6:$W$505,CB$3,実績!$AC$6:$AC$505,"&lt;="&amp;$A270,実績!$AD$6:$AD$505,"&gt;"&amp;$A270,実績!$AE$6:$AE$505,"○")&gt;0,1,0))</f>
        <v/>
      </c>
      <c r="CC270">
        <f>IF(CC$4=0,0,IF(COUNTIFS(実績!$W$6:$W$505,CC$3,実績!$AC$6:$AC$505,"&lt;="&amp;$A270,実績!$AD$6:$AD$505,"&gt;"&amp;$A270,実績!$AE$6:$AE$505,"○")&gt;0,1,0))</f>
        <v/>
      </c>
      <c r="CD270">
        <f>IF(CD$4=0,0,IF(COUNTIFS(実績!$W$6:$W$505,CD$3,実績!$AC$6:$AC$505,"&lt;="&amp;$A270,実績!$AD$6:$AD$505,"&gt;"&amp;$A270,実績!$AE$6:$AE$505,"○")&gt;0,1,0))</f>
        <v/>
      </c>
      <c r="CE270">
        <f>IF(CE$4=0,0,IF(COUNTIFS(実績!$W$6:$W$505,CE$3,実績!$AC$6:$AC$505,"&lt;="&amp;$A270,実績!$AD$6:$AD$505,"&gt;"&amp;$A270,実績!$AE$6:$AE$505,"○")&gt;0,1,0))</f>
        <v/>
      </c>
      <c r="CF270">
        <f>IF(CF$4=0,0,IF(COUNTIFS(実績!$W$6:$W$505,CF$3,実績!$AC$6:$AC$505,"&lt;="&amp;$A270,実績!$AD$6:$AD$505,"&gt;"&amp;$A270,実績!$AE$6:$AE$505,"○")&gt;0,1,0))</f>
        <v/>
      </c>
      <c r="CG270">
        <f>IF(CG$4=0,0,IF(COUNTIFS(実績!$W$6:$W$505,CG$3,実績!$AC$6:$AC$505,"&lt;="&amp;$A270,実績!$AD$6:$AD$505,"&gt;"&amp;$A270,実績!$AE$6:$AE$505,"○")&gt;0,1,0))</f>
        <v/>
      </c>
      <c r="CH270">
        <f>IF(CH$4=0,0,IF(COUNTIFS(実績!$W$6:$W$505,CH$3,実績!$AC$6:$AC$505,"&lt;="&amp;$A270,実績!$AD$6:$AD$505,"&gt;"&amp;$A270,実績!$AE$6:$AE$505,"○")&gt;0,1,0))</f>
        <v/>
      </c>
      <c r="CI270">
        <f>IF(CI$4=0,0,IF(COUNTIFS(実績!$W$6:$W$505,CI$3,実績!$AC$6:$AC$505,"&lt;="&amp;$A270,実績!$AD$6:$AD$505,"&gt;"&amp;$A270,実績!$AE$6:$AE$505,"○")&gt;0,1,0))</f>
        <v/>
      </c>
      <c r="CJ270">
        <f>IF(CJ$4=0,0,IF(COUNTIFS(実績!$W$6:$W$505,CJ$3,実績!$AC$6:$AC$505,"&lt;="&amp;$A270,実績!$AD$6:$AD$505,"&gt;"&amp;$A270,実績!$AE$6:$AE$505,"○")&gt;0,1,0))</f>
        <v/>
      </c>
      <c r="CK270">
        <f>IF(CK$4=0,0,IF(COUNTIFS(実績!$W$6:$W$505,CK$3,実績!$AC$6:$AC$505,"&lt;="&amp;$A270,実績!$AD$6:$AD$505,"&gt;"&amp;$A270,実績!$AE$6:$AE$505,"○")&gt;0,1,0))</f>
        <v/>
      </c>
      <c r="CL270">
        <f>IF(CL$4=0,0,IF(COUNTIFS(実績!$W$6:$W$505,CL$3,実績!$AC$6:$AC$505,"&lt;="&amp;$A270,実績!$AD$6:$AD$505,"&gt;"&amp;$A270,実績!$AE$6:$AE$505,"○")&gt;0,1,0))</f>
        <v/>
      </c>
      <c r="CM270">
        <f>IF(CM$4=0,0,IF(COUNTIFS(実績!$W$6:$W$505,CM$3,実績!$AC$6:$AC$505,"&lt;="&amp;$A270,実績!$AD$6:$AD$505,"&gt;"&amp;$A270,実績!$AE$6:$AE$505,"○")&gt;0,1,0))</f>
        <v/>
      </c>
      <c r="CN270">
        <f>IF(CN$4=0,0,IF(COUNTIFS(実績!$W$6:$W$505,CN$3,実績!$AC$6:$AC$505,"&lt;="&amp;$A270,実績!$AD$6:$AD$505,"&gt;"&amp;$A270,実績!$AE$6:$AE$505,"○")&gt;0,1,0))</f>
        <v/>
      </c>
      <c r="CO270">
        <f>IF(CO$4=0,0,IF(COUNTIFS(実績!$W$6:$W$505,CO$3,実績!$AC$6:$AC$505,"&lt;="&amp;$A270,実績!$AD$6:$AD$505,"&gt;"&amp;$A270,実績!$AE$6:$AE$505,"○")&gt;0,1,0))</f>
        <v/>
      </c>
      <c r="CP270">
        <f>IF(CP$4=0,0,IF(COUNTIFS(実績!$W$6:$W$505,CP$3,実績!$AC$6:$AC$505,"&lt;="&amp;$A270,実績!$AD$6:$AD$505,"&gt;"&amp;$A270,実績!$AE$6:$AE$505,"○")&gt;0,1,0))</f>
        <v/>
      </c>
      <c r="CQ270">
        <f>IF(CQ$4=0,0,IF(COUNTIFS(実績!$W$6:$W$505,CQ$3,実績!$AC$6:$AC$505,"&lt;="&amp;$A270,実績!$AD$6:$AD$505,"&gt;"&amp;$A270,実績!$AE$6:$AE$505,"○")&gt;0,1,0))</f>
        <v/>
      </c>
      <c r="CR270">
        <f>IF(CR$4=0,0,IF(COUNTIFS(実績!$W$6:$W$505,CR$3,実績!$AC$6:$AC$505,"&lt;="&amp;$A270,実績!$AD$6:$AD$505,"&gt;"&amp;$A270,実績!$AE$6:$AE$505,"○")&gt;0,1,0))</f>
        <v/>
      </c>
      <c r="CS270">
        <f>IF(CS$4=0,0,IF(COUNTIFS(実績!$W$6:$W$505,CS$3,実績!$AC$6:$AC$505,"&lt;="&amp;$A270,実績!$AD$6:$AD$505,"&gt;"&amp;$A270,実績!$AE$6:$AE$505,"○")&gt;0,1,0))</f>
        <v/>
      </c>
      <c r="CT270">
        <f>IF(CT$4=0,0,IF(COUNTIFS(実績!$W$6:$W$505,CT$3,実績!$AC$6:$AC$505,"&lt;="&amp;$A270,実績!$AD$6:$AD$505,"&gt;"&amp;$A270,実績!$AE$6:$AE$505,"○")&gt;0,1,0))</f>
        <v/>
      </c>
      <c r="CU270">
        <f>IF(CU$4=0,0,IF(COUNTIFS(実績!$W$6:$W$505,CU$3,実績!$AC$6:$AC$505,"&lt;="&amp;$A270,実績!$AD$6:$AD$505,"&gt;"&amp;$A270,実績!$AE$6:$AE$505,"○")&gt;0,1,0))</f>
        <v/>
      </c>
      <c r="CV270">
        <f>IF(CV$4=0,0,IF(COUNTIFS(実績!$W$6:$W$505,CV$3,実績!$AC$6:$AC$505,"&lt;="&amp;$A270,実績!$AD$6:$AD$505,"&gt;"&amp;$A270,実績!$AE$6:$AE$505,"○")&gt;0,1,0))</f>
        <v/>
      </c>
      <c r="CW270">
        <f>IF(CW$4=0,0,IF(COUNTIFS(実績!$W$6:$W$505,CW$3,実績!$AC$6:$AC$505,"&lt;="&amp;$A270,実績!$AD$6:$AD$505,"&gt;"&amp;$A270,実績!$AE$6:$AE$505,"○")&gt;0,1,0))</f>
        <v/>
      </c>
      <c r="CX270">
        <f>IF(CX$4=0,0,IF(COUNTIFS(実績!$W$6:$W$505,CX$3,実績!$AC$6:$AC$505,"&lt;="&amp;$A270,実績!$AD$6:$AD$505,"&gt;"&amp;$A270,実績!$AE$6:$AE$505,"○")&gt;0,1,0))</f>
        <v/>
      </c>
      <c r="CY270">
        <f>IF(CY$4=0,0,IF(COUNTIFS(実績!$W$6:$W$505,CY$3,実績!$AC$6:$AC$505,"&lt;="&amp;$A270,実績!$AD$6:$AD$505,"&gt;"&amp;$A270,実績!$AE$6:$AE$505,"○")&gt;0,1,0))</f>
        <v/>
      </c>
      <c r="CZ270">
        <f>IF(CZ$4=0,0,IF(COUNTIFS(実績!$W$6:$W$505,CZ$3,実績!$AC$6:$AC$505,"&lt;="&amp;$A270,実績!$AD$6:$AD$505,"&gt;"&amp;$A270,実績!$AE$6:$AE$505,"○")&gt;0,1,0))</f>
        <v/>
      </c>
      <c r="DA270">
        <f>IF(DA$4=0,0,IF(COUNTIFS(実績!$W$6:$W$505,DA$3,実績!$AC$6:$AC$505,"&lt;="&amp;$A270,実績!$AD$6:$AD$505,"&gt;"&amp;$A270,実績!$AE$6:$AE$505,"○")&gt;0,1,0))</f>
        <v/>
      </c>
      <c r="DB270">
        <f>IF(DB$4=0,0,IF(COUNTIFS(実績!$W$6:$W$505,DB$3,実績!$AC$6:$AC$505,"&lt;="&amp;$A270,実績!$AD$6:$AD$505,"&gt;"&amp;$A270,実績!$AE$6:$AE$505,"○")&gt;0,1,0))</f>
        <v/>
      </c>
      <c r="DC270">
        <f>IF(DC$4=0,0,IF(COUNTIFS(実績!$W$6:$W$505,DC$3,実績!$AC$6:$AC$505,"&lt;="&amp;$A270,実績!$AD$6:$AD$505,"&gt;"&amp;$A270,実績!$AE$6:$AE$505,"○")&gt;0,1,0))</f>
        <v/>
      </c>
      <c r="DD270">
        <f>IF(DD$4=0,0,IF(COUNTIFS(実績!$W$6:$W$505,DD$3,実績!$AC$6:$AC$505,"&lt;="&amp;$A270,実績!$AD$6:$AD$505,"&gt;"&amp;$A270,実績!$AE$6:$AE$505,"○")&gt;0,1,0))</f>
        <v/>
      </c>
      <c r="DE270">
        <f>IF(DE$4=0,0,IF(COUNTIFS(実績!$W$6:$W$505,DE$3,実績!$AC$6:$AC$505,"&lt;="&amp;$A270,実績!$AD$6:$AD$505,"&gt;"&amp;$A270,実績!$AE$6:$AE$505,"○")&gt;0,1,0))</f>
        <v/>
      </c>
      <c r="DF270">
        <f>IF(DF$4=0,0,IF(COUNTIFS(実績!$W$6:$W$505,DF$3,実績!$AC$6:$AC$505,"&lt;="&amp;$A270,実績!$AD$6:$AD$505,"&gt;"&amp;$A270,実績!$AE$6:$AE$505,"○")&gt;0,1,0))</f>
        <v/>
      </c>
      <c r="DG270">
        <f>IF(DG$4=0,0,IF(COUNTIFS(実績!$W$6:$W$505,DG$3,実績!$AC$6:$AC$505,"&lt;="&amp;$A270,実績!$AD$6:$AD$505,"&gt;"&amp;$A270,実績!$AE$6:$AE$505,"○")&gt;0,1,0))</f>
        <v/>
      </c>
      <c r="DH270">
        <f>IF(DH$4=0,0,IF(COUNTIFS(実績!$W$6:$W$505,DH$3,実績!$AC$6:$AC$505,"&lt;="&amp;$A270,実績!$AD$6:$AD$505,"&gt;"&amp;$A270,実績!$AE$6:$AE$505,"○")&gt;0,1,0))</f>
        <v/>
      </c>
      <c r="DI270">
        <f>IF(DI$4=0,0,IF(COUNTIFS(実績!$W$6:$W$505,DI$3,実績!$AC$6:$AC$505,"&lt;="&amp;$A270,実績!$AD$6:$AD$505,"&gt;"&amp;$A270,実績!$AE$6:$AE$505,"○")&gt;0,1,0))</f>
        <v/>
      </c>
      <c r="DJ270">
        <f>IF(DJ$4=0,0,IF(COUNTIFS(実績!$W$6:$W$505,DJ$3,実績!$AC$6:$AC$505,"&lt;="&amp;$A270,実績!$AD$6:$AD$505,"&gt;"&amp;$A270,実績!$AE$6:$AE$505,"○")&gt;0,1,0))</f>
        <v/>
      </c>
      <c r="DK270">
        <f>IF(DK$4=0,0,IF(COUNTIFS(実績!$W$6:$W$505,DK$3,実績!$AC$6:$AC$505,"&lt;="&amp;$A270,実績!$AD$6:$AD$505,"&gt;"&amp;$A270,実績!$AE$6:$AE$505,"○")&gt;0,1,0))</f>
        <v/>
      </c>
      <c r="DL270">
        <f>IF(DL$4=0,0,IF(COUNTIFS(実績!$W$6:$W$505,DL$3,実績!$AC$6:$AC$505,"&lt;="&amp;$A270,実績!$AD$6:$AD$505,"&gt;"&amp;$A270,実績!$AE$6:$AE$505,"○")&gt;0,1,0))</f>
        <v/>
      </c>
      <c r="DM270">
        <f>IF(DM$4=0,0,IF(COUNTIFS(実績!$W$6:$W$505,DM$3,実績!$AC$6:$AC$505,"&lt;="&amp;$A270,実績!$AD$6:$AD$505,"&gt;"&amp;$A270,実績!$AE$6:$AE$505,"○")&gt;0,1,0))</f>
        <v/>
      </c>
      <c r="DN270">
        <f>IF(DN$4=0,0,IF(COUNTIFS(実績!$W$6:$W$505,DN$3,実績!$AC$6:$AC$505,"&lt;="&amp;$A270,実績!$AD$6:$AD$505,"&gt;"&amp;$A270,実績!$AE$6:$AE$505,"○")&gt;0,1,0))</f>
        <v/>
      </c>
      <c r="DO270">
        <f>IF(DO$4=0,0,IF(COUNTIFS(実績!$W$6:$W$505,DO$3,実績!$AC$6:$AC$505,"&lt;="&amp;$A270,実績!$AD$6:$AD$505,"&gt;"&amp;$A270,実績!$AE$6:$AE$505,"○")&gt;0,1,0))</f>
        <v/>
      </c>
      <c r="DP270">
        <f>IF(DP$4=0,0,IF(COUNTIFS(実績!$W$6:$W$505,DP$3,実績!$AC$6:$AC$505,"&lt;="&amp;$A270,実績!$AD$6:$AD$505,"&gt;"&amp;$A270,実績!$AE$6:$AE$505,"○")&gt;0,1,0))</f>
        <v/>
      </c>
      <c r="DQ270">
        <f>IF(DQ$4=0,0,IF(COUNTIFS(実績!$W$6:$W$505,DQ$3,実績!$AC$6:$AC$505,"&lt;="&amp;$A270,実績!$AD$6:$AD$505,"&gt;"&amp;$A270,実績!$AE$6:$AE$505,"○")&gt;0,1,0))</f>
        <v/>
      </c>
      <c r="DR270">
        <f>IF(DR$4=0,0,IF(COUNTIFS(実績!$W$6:$W$505,DR$3,実績!$AC$6:$AC$505,"&lt;="&amp;$A270,実績!$AD$6:$AD$505,"&gt;"&amp;$A270,実績!$AE$6:$AE$505,"○")&gt;0,1,0))</f>
        <v/>
      </c>
      <c r="DS270">
        <f>SUM(C270:DR270)</f>
        <v/>
      </c>
      <c r="DT270">
        <f>SUMPRODUCT((実績!$C$6:$C$505="○")*ISNUMBER(実績!$AF$6:$AF$505)*(実績!$AF$6:$AF$505&lt;=$A270)*(実績!$AG$6:$AG$505&gt;$A270))</f>
        <v/>
      </c>
      <c r="DU270">
        <f>SUMIF($C$2:$DR$2,"製鉄曳船",C270:DR270)</f>
        <v/>
      </c>
      <c r="DV270">
        <f>SUMIF($C$2:$DR$2,"西日本海運",C270:DR270)</f>
        <v/>
      </c>
    </row>
    <row r="271">
      <c r="A271" t="n">
        <v>1325</v>
      </c>
      <c r="B271" s="29">
        <f>A271/1440</f>
        <v/>
      </c>
      <c r="C271">
        <f>IF(C$4=0,0,IF(COUNTIFS(実績!$W$6:$W$505,C$3,実績!$AC$6:$AC$505,"&lt;="&amp;$A271,実績!$AD$6:$AD$505,"&gt;"&amp;$A271,実績!$AE$6:$AE$505,"○")&gt;0,1,0))</f>
        <v/>
      </c>
      <c r="D271">
        <f>IF(D$4=0,0,IF(COUNTIFS(実績!$W$6:$W$505,D$3,実績!$AC$6:$AC$505,"&lt;="&amp;$A271,実績!$AD$6:$AD$505,"&gt;"&amp;$A271,実績!$AE$6:$AE$505,"○")&gt;0,1,0))</f>
        <v/>
      </c>
      <c r="E271">
        <f>IF(E$4=0,0,IF(COUNTIFS(実績!$W$6:$W$505,E$3,実績!$AC$6:$AC$505,"&lt;="&amp;$A271,実績!$AD$6:$AD$505,"&gt;"&amp;$A271,実績!$AE$6:$AE$505,"○")&gt;0,1,0))</f>
        <v/>
      </c>
      <c r="F271">
        <f>IF(F$4=0,0,IF(COUNTIFS(実績!$W$6:$W$505,F$3,実績!$AC$6:$AC$505,"&lt;="&amp;$A271,実績!$AD$6:$AD$505,"&gt;"&amp;$A271,実績!$AE$6:$AE$505,"○")&gt;0,1,0))</f>
        <v/>
      </c>
      <c r="G271">
        <f>IF(G$4=0,0,IF(COUNTIFS(実績!$W$6:$W$505,G$3,実績!$AC$6:$AC$505,"&lt;="&amp;$A271,実績!$AD$6:$AD$505,"&gt;"&amp;$A271,実績!$AE$6:$AE$505,"○")&gt;0,1,0))</f>
        <v/>
      </c>
      <c r="H271">
        <f>IF(H$4=0,0,IF(COUNTIFS(実績!$W$6:$W$505,H$3,実績!$AC$6:$AC$505,"&lt;="&amp;$A271,実績!$AD$6:$AD$505,"&gt;"&amp;$A271,実績!$AE$6:$AE$505,"○")&gt;0,1,0))</f>
        <v/>
      </c>
      <c r="I271">
        <f>IF(I$4=0,0,IF(COUNTIFS(実績!$W$6:$W$505,I$3,実績!$AC$6:$AC$505,"&lt;="&amp;$A271,実績!$AD$6:$AD$505,"&gt;"&amp;$A271,実績!$AE$6:$AE$505,"○")&gt;0,1,0))</f>
        <v/>
      </c>
      <c r="J271">
        <f>IF(J$4=0,0,IF(COUNTIFS(実績!$W$6:$W$505,J$3,実績!$AC$6:$AC$505,"&lt;="&amp;$A271,実績!$AD$6:$AD$505,"&gt;"&amp;$A271,実績!$AE$6:$AE$505,"○")&gt;0,1,0))</f>
        <v/>
      </c>
      <c r="K271">
        <f>IF(K$4=0,0,IF(COUNTIFS(実績!$W$6:$W$505,K$3,実績!$AC$6:$AC$505,"&lt;="&amp;$A271,実績!$AD$6:$AD$505,"&gt;"&amp;$A271,実績!$AE$6:$AE$505,"○")&gt;0,1,0))</f>
        <v/>
      </c>
      <c r="L271">
        <f>IF(L$4=0,0,IF(COUNTIFS(実績!$W$6:$W$505,L$3,実績!$AC$6:$AC$505,"&lt;="&amp;$A271,実績!$AD$6:$AD$505,"&gt;"&amp;$A271,実績!$AE$6:$AE$505,"○")&gt;0,1,0))</f>
        <v/>
      </c>
      <c r="M271">
        <f>IF(M$4=0,0,IF(COUNTIFS(実績!$W$6:$W$505,M$3,実績!$AC$6:$AC$505,"&lt;="&amp;$A271,実績!$AD$6:$AD$505,"&gt;"&amp;$A271,実績!$AE$6:$AE$505,"○")&gt;0,1,0))</f>
        <v/>
      </c>
      <c r="N271">
        <f>IF(N$4=0,0,IF(COUNTIFS(実績!$W$6:$W$505,N$3,実績!$AC$6:$AC$505,"&lt;="&amp;$A271,実績!$AD$6:$AD$505,"&gt;"&amp;$A271,実績!$AE$6:$AE$505,"○")&gt;0,1,0))</f>
        <v/>
      </c>
      <c r="O271">
        <f>IF(O$4=0,0,IF(COUNTIFS(実績!$W$6:$W$505,O$3,実績!$AC$6:$AC$505,"&lt;="&amp;$A271,実績!$AD$6:$AD$505,"&gt;"&amp;$A271,実績!$AE$6:$AE$505,"○")&gt;0,1,0))</f>
        <v/>
      </c>
      <c r="P271">
        <f>IF(P$4=0,0,IF(COUNTIFS(実績!$W$6:$W$505,P$3,実績!$AC$6:$AC$505,"&lt;="&amp;$A271,実績!$AD$6:$AD$505,"&gt;"&amp;$A271,実績!$AE$6:$AE$505,"○")&gt;0,1,0))</f>
        <v/>
      </c>
      <c r="Q271">
        <f>IF(Q$4=0,0,IF(COUNTIFS(実績!$W$6:$W$505,Q$3,実績!$AC$6:$AC$505,"&lt;="&amp;$A271,実績!$AD$6:$AD$505,"&gt;"&amp;$A271,実績!$AE$6:$AE$505,"○")&gt;0,1,0))</f>
        <v/>
      </c>
      <c r="R271">
        <f>IF(R$4=0,0,IF(COUNTIFS(実績!$W$6:$W$505,R$3,実績!$AC$6:$AC$505,"&lt;="&amp;$A271,実績!$AD$6:$AD$505,"&gt;"&amp;$A271,実績!$AE$6:$AE$505,"○")&gt;0,1,0))</f>
        <v/>
      </c>
      <c r="S271">
        <f>IF(S$4=0,0,IF(COUNTIFS(実績!$W$6:$W$505,S$3,実績!$AC$6:$AC$505,"&lt;="&amp;$A271,実績!$AD$6:$AD$505,"&gt;"&amp;$A271,実績!$AE$6:$AE$505,"○")&gt;0,1,0))</f>
        <v/>
      </c>
      <c r="T271">
        <f>IF(T$4=0,0,IF(COUNTIFS(実績!$W$6:$W$505,T$3,実績!$AC$6:$AC$505,"&lt;="&amp;$A271,実績!$AD$6:$AD$505,"&gt;"&amp;$A271,実績!$AE$6:$AE$505,"○")&gt;0,1,0))</f>
        <v/>
      </c>
      <c r="U271">
        <f>IF(U$4=0,0,IF(COUNTIFS(実績!$W$6:$W$505,U$3,実績!$AC$6:$AC$505,"&lt;="&amp;$A271,実績!$AD$6:$AD$505,"&gt;"&amp;$A271,実績!$AE$6:$AE$505,"○")&gt;0,1,0))</f>
        <v/>
      </c>
      <c r="V271">
        <f>IF(V$4=0,0,IF(COUNTIFS(実績!$W$6:$W$505,V$3,実績!$AC$6:$AC$505,"&lt;="&amp;$A271,実績!$AD$6:$AD$505,"&gt;"&amp;$A271,実績!$AE$6:$AE$505,"○")&gt;0,1,0))</f>
        <v/>
      </c>
      <c r="W271">
        <f>IF(W$4=0,0,IF(COUNTIFS(実績!$W$6:$W$505,W$3,実績!$AC$6:$AC$505,"&lt;="&amp;$A271,実績!$AD$6:$AD$505,"&gt;"&amp;$A271,実績!$AE$6:$AE$505,"○")&gt;0,1,0))</f>
        <v/>
      </c>
      <c r="X271">
        <f>IF(X$4=0,0,IF(COUNTIFS(実績!$W$6:$W$505,X$3,実績!$AC$6:$AC$505,"&lt;="&amp;$A271,実績!$AD$6:$AD$505,"&gt;"&amp;$A271,実績!$AE$6:$AE$505,"○")&gt;0,1,0))</f>
        <v/>
      </c>
      <c r="Y271">
        <f>IF(Y$4=0,0,IF(COUNTIFS(実績!$W$6:$W$505,Y$3,実績!$AC$6:$AC$505,"&lt;="&amp;$A271,実績!$AD$6:$AD$505,"&gt;"&amp;$A271,実績!$AE$6:$AE$505,"○")&gt;0,1,0))</f>
        <v/>
      </c>
      <c r="Z271">
        <f>IF(Z$4=0,0,IF(COUNTIFS(実績!$W$6:$W$505,Z$3,実績!$AC$6:$AC$505,"&lt;="&amp;$A271,実績!$AD$6:$AD$505,"&gt;"&amp;$A271,実績!$AE$6:$AE$505,"○")&gt;0,1,0))</f>
        <v/>
      </c>
      <c r="AA271">
        <f>IF(AA$4=0,0,IF(COUNTIFS(実績!$W$6:$W$505,AA$3,実績!$AC$6:$AC$505,"&lt;="&amp;$A271,実績!$AD$6:$AD$505,"&gt;"&amp;$A271,実績!$AE$6:$AE$505,"○")&gt;0,1,0))</f>
        <v/>
      </c>
      <c r="AB271">
        <f>IF(AB$4=0,0,IF(COUNTIFS(実績!$W$6:$W$505,AB$3,実績!$AC$6:$AC$505,"&lt;="&amp;$A271,実績!$AD$6:$AD$505,"&gt;"&amp;$A271,実績!$AE$6:$AE$505,"○")&gt;0,1,0))</f>
        <v/>
      </c>
      <c r="AC271">
        <f>IF(AC$4=0,0,IF(COUNTIFS(実績!$W$6:$W$505,AC$3,実績!$AC$6:$AC$505,"&lt;="&amp;$A271,実績!$AD$6:$AD$505,"&gt;"&amp;$A271,実績!$AE$6:$AE$505,"○")&gt;0,1,0))</f>
        <v/>
      </c>
      <c r="AD271">
        <f>IF(AD$4=0,0,IF(COUNTIFS(実績!$W$6:$W$505,AD$3,実績!$AC$6:$AC$505,"&lt;="&amp;$A271,実績!$AD$6:$AD$505,"&gt;"&amp;$A271,実績!$AE$6:$AE$505,"○")&gt;0,1,0))</f>
        <v/>
      </c>
      <c r="AE271">
        <f>IF(AE$4=0,0,IF(COUNTIFS(実績!$W$6:$W$505,AE$3,実績!$AC$6:$AC$505,"&lt;="&amp;$A271,実績!$AD$6:$AD$505,"&gt;"&amp;$A271,実績!$AE$6:$AE$505,"○")&gt;0,1,0))</f>
        <v/>
      </c>
      <c r="AF271">
        <f>IF(AF$4=0,0,IF(COUNTIFS(実績!$W$6:$W$505,AF$3,実績!$AC$6:$AC$505,"&lt;="&amp;$A271,実績!$AD$6:$AD$505,"&gt;"&amp;$A271,実績!$AE$6:$AE$505,"○")&gt;0,1,0))</f>
        <v/>
      </c>
      <c r="AG271">
        <f>IF(AG$4=0,0,IF(COUNTIFS(実績!$W$6:$W$505,AG$3,実績!$AC$6:$AC$505,"&lt;="&amp;$A271,実績!$AD$6:$AD$505,"&gt;"&amp;$A271,実績!$AE$6:$AE$505,"○")&gt;0,1,0))</f>
        <v/>
      </c>
      <c r="AH271">
        <f>IF(AH$4=0,0,IF(COUNTIFS(実績!$W$6:$W$505,AH$3,実績!$AC$6:$AC$505,"&lt;="&amp;$A271,実績!$AD$6:$AD$505,"&gt;"&amp;$A271,実績!$AE$6:$AE$505,"○")&gt;0,1,0))</f>
        <v/>
      </c>
      <c r="AI271">
        <f>IF(AI$4=0,0,IF(COUNTIFS(実績!$W$6:$W$505,AI$3,実績!$AC$6:$AC$505,"&lt;="&amp;$A271,実績!$AD$6:$AD$505,"&gt;"&amp;$A271,実績!$AE$6:$AE$505,"○")&gt;0,1,0))</f>
        <v/>
      </c>
      <c r="AJ271">
        <f>IF(AJ$4=0,0,IF(COUNTIFS(実績!$W$6:$W$505,AJ$3,実績!$AC$6:$AC$505,"&lt;="&amp;$A271,実績!$AD$6:$AD$505,"&gt;"&amp;$A271,実績!$AE$6:$AE$505,"○")&gt;0,1,0))</f>
        <v/>
      </c>
      <c r="AK271">
        <f>IF(AK$4=0,0,IF(COUNTIFS(実績!$W$6:$W$505,AK$3,実績!$AC$6:$AC$505,"&lt;="&amp;$A271,実績!$AD$6:$AD$505,"&gt;"&amp;$A271,実績!$AE$6:$AE$505,"○")&gt;0,1,0))</f>
        <v/>
      </c>
      <c r="AL271">
        <f>IF(AL$4=0,0,IF(COUNTIFS(実績!$W$6:$W$505,AL$3,実績!$AC$6:$AC$505,"&lt;="&amp;$A271,実績!$AD$6:$AD$505,"&gt;"&amp;$A271,実績!$AE$6:$AE$505,"○")&gt;0,1,0))</f>
        <v/>
      </c>
      <c r="AM271">
        <f>IF(AM$4=0,0,IF(COUNTIFS(実績!$W$6:$W$505,AM$3,実績!$AC$6:$AC$505,"&lt;="&amp;$A271,実績!$AD$6:$AD$505,"&gt;"&amp;$A271,実績!$AE$6:$AE$505,"○")&gt;0,1,0))</f>
        <v/>
      </c>
      <c r="AN271">
        <f>IF(AN$4=0,0,IF(COUNTIFS(実績!$W$6:$W$505,AN$3,実績!$AC$6:$AC$505,"&lt;="&amp;$A271,実績!$AD$6:$AD$505,"&gt;"&amp;$A271,実績!$AE$6:$AE$505,"○")&gt;0,1,0))</f>
        <v/>
      </c>
      <c r="AO271">
        <f>IF(AO$4=0,0,IF(COUNTIFS(実績!$W$6:$W$505,AO$3,実績!$AC$6:$AC$505,"&lt;="&amp;$A271,実績!$AD$6:$AD$505,"&gt;"&amp;$A271,実績!$AE$6:$AE$505,"○")&gt;0,1,0))</f>
        <v/>
      </c>
      <c r="AP271">
        <f>IF(AP$4=0,0,IF(COUNTIFS(実績!$W$6:$W$505,AP$3,実績!$AC$6:$AC$505,"&lt;="&amp;$A271,実績!$AD$6:$AD$505,"&gt;"&amp;$A271,実績!$AE$6:$AE$505,"○")&gt;0,1,0))</f>
        <v/>
      </c>
      <c r="AQ271">
        <f>IF(AQ$4=0,0,IF(COUNTIFS(実績!$W$6:$W$505,AQ$3,実績!$AC$6:$AC$505,"&lt;="&amp;$A271,実績!$AD$6:$AD$505,"&gt;"&amp;$A271,実績!$AE$6:$AE$505,"○")&gt;0,1,0))</f>
        <v/>
      </c>
      <c r="AR271">
        <f>IF(AR$4=0,0,IF(COUNTIFS(実績!$W$6:$W$505,AR$3,実績!$AC$6:$AC$505,"&lt;="&amp;$A271,実績!$AD$6:$AD$505,"&gt;"&amp;$A271,実績!$AE$6:$AE$505,"○")&gt;0,1,0))</f>
        <v/>
      </c>
      <c r="AS271">
        <f>IF(AS$4=0,0,IF(COUNTIFS(実績!$W$6:$W$505,AS$3,実績!$AC$6:$AC$505,"&lt;="&amp;$A271,実績!$AD$6:$AD$505,"&gt;"&amp;$A271,実績!$AE$6:$AE$505,"○")&gt;0,1,0))</f>
        <v/>
      </c>
      <c r="AT271">
        <f>IF(AT$4=0,0,IF(COUNTIFS(実績!$W$6:$W$505,AT$3,実績!$AC$6:$AC$505,"&lt;="&amp;$A271,実績!$AD$6:$AD$505,"&gt;"&amp;$A271,実績!$AE$6:$AE$505,"○")&gt;0,1,0))</f>
        <v/>
      </c>
      <c r="AU271">
        <f>IF(AU$4=0,0,IF(COUNTIFS(実績!$W$6:$W$505,AU$3,実績!$AC$6:$AC$505,"&lt;="&amp;$A271,実績!$AD$6:$AD$505,"&gt;"&amp;$A271,実績!$AE$6:$AE$505,"○")&gt;0,1,0))</f>
        <v/>
      </c>
      <c r="AV271">
        <f>IF(AV$4=0,0,IF(COUNTIFS(実績!$W$6:$W$505,AV$3,実績!$AC$6:$AC$505,"&lt;="&amp;$A271,実績!$AD$6:$AD$505,"&gt;"&amp;$A271,実績!$AE$6:$AE$505,"○")&gt;0,1,0))</f>
        <v/>
      </c>
      <c r="AW271">
        <f>IF(AW$4=0,0,IF(COUNTIFS(実績!$W$6:$W$505,AW$3,実績!$AC$6:$AC$505,"&lt;="&amp;$A271,実績!$AD$6:$AD$505,"&gt;"&amp;$A271,実績!$AE$6:$AE$505,"○")&gt;0,1,0))</f>
        <v/>
      </c>
      <c r="AX271">
        <f>IF(AX$4=0,0,IF(COUNTIFS(実績!$W$6:$W$505,AX$3,実績!$AC$6:$AC$505,"&lt;="&amp;$A271,実績!$AD$6:$AD$505,"&gt;"&amp;$A271,実績!$AE$6:$AE$505,"○")&gt;0,1,0))</f>
        <v/>
      </c>
      <c r="AY271">
        <f>IF(AY$4=0,0,IF(COUNTIFS(実績!$W$6:$W$505,AY$3,実績!$AC$6:$AC$505,"&lt;="&amp;$A271,実績!$AD$6:$AD$505,"&gt;"&amp;$A271,実績!$AE$6:$AE$505,"○")&gt;0,1,0))</f>
        <v/>
      </c>
      <c r="AZ271">
        <f>IF(AZ$4=0,0,IF(COUNTIFS(実績!$W$6:$W$505,AZ$3,実績!$AC$6:$AC$505,"&lt;="&amp;$A271,実績!$AD$6:$AD$505,"&gt;"&amp;$A271,実績!$AE$6:$AE$505,"○")&gt;0,1,0))</f>
        <v/>
      </c>
      <c r="BA271">
        <f>IF(BA$4=0,0,IF(COUNTIFS(実績!$W$6:$W$505,BA$3,実績!$AC$6:$AC$505,"&lt;="&amp;$A271,実績!$AD$6:$AD$505,"&gt;"&amp;$A271,実績!$AE$6:$AE$505,"○")&gt;0,1,0))</f>
        <v/>
      </c>
      <c r="BB271">
        <f>IF(BB$4=0,0,IF(COUNTIFS(実績!$W$6:$W$505,BB$3,実績!$AC$6:$AC$505,"&lt;="&amp;$A271,実績!$AD$6:$AD$505,"&gt;"&amp;$A271,実績!$AE$6:$AE$505,"○")&gt;0,1,0))</f>
        <v/>
      </c>
      <c r="BC271">
        <f>IF(BC$4=0,0,IF(COUNTIFS(実績!$W$6:$W$505,BC$3,実績!$AC$6:$AC$505,"&lt;="&amp;$A271,実績!$AD$6:$AD$505,"&gt;"&amp;$A271,実績!$AE$6:$AE$505,"○")&gt;0,1,0))</f>
        <v/>
      </c>
      <c r="BD271">
        <f>IF(BD$4=0,0,IF(COUNTIFS(実績!$W$6:$W$505,BD$3,実績!$AC$6:$AC$505,"&lt;="&amp;$A271,実績!$AD$6:$AD$505,"&gt;"&amp;$A271,実績!$AE$6:$AE$505,"○")&gt;0,1,0))</f>
        <v/>
      </c>
      <c r="BE271">
        <f>IF(BE$4=0,0,IF(COUNTIFS(実績!$W$6:$W$505,BE$3,実績!$AC$6:$AC$505,"&lt;="&amp;$A271,実績!$AD$6:$AD$505,"&gt;"&amp;$A271,実績!$AE$6:$AE$505,"○")&gt;0,1,0))</f>
        <v/>
      </c>
      <c r="BF271">
        <f>IF(BF$4=0,0,IF(COUNTIFS(実績!$W$6:$W$505,BF$3,実績!$AC$6:$AC$505,"&lt;="&amp;$A271,実績!$AD$6:$AD$505,"&gt;"&amp;$A271,実績!$AE$6:$AE$505,"○")&gt;0,1,0))</f>
        <v/>
      </c>
      <c r="BG271">
        <f>IF(BG$4=0,0,IF(COUNTIFS(実績!$W$6:$W$505,BG$3,実績!$AC$6:$AC$505,"&lt;="&amp;$A271,実績!$AD$6:$AD$505,"&gt;"&amp;$A271,実績!$AE$6:$AE$505,"○")&gt;0,1,0))</f>
        <v/>
      </c>
      <c r="BH271">
        <f>IF(BH$4=0,0,IF(COUNTIFS(実績!$W$6:$W$505,BH$3,実績!$AC$6:$AC$505,"&lt;="&amp;$A271,実績!$AD$6:$AD$505,"&gt;"&amp;$A271,実績!$AE$6:$AE$505,"○")&gt;0,1,0))</f>
        <v/>
      </c>
      <c r="BI271">
        <f>IF(BI$4=0,0,IF(COUNTIFS(実績!$W$6:$W$505,BI$3,実績!$AC$6:$AC$505,"&lt;="&amp;$A271,実績!$AD$6:$AD$505,"&gt;"&amp;$A271,実績!$AE$6:$AE$505,"○")&gt;0,1,0))</f>
        <v/>
      </c>
      <c r="BJ271">
        <f>IF(BJ$4=0,0,IF(COUNTIFS(実績!$W$6:$W$505,BJ$3,実績!$AC$6:$AC$505,"&lt;="&amp;$A271,実績!$AD$6:$AD$505,"&gt;"&amp;$A271,実績!$AE$6:$AE$505,"○")&gt;0,1,0))</f>
        <v/>
      </c>
      <c r="BK271">
        <f>IF(BK$4=0,0,IF(COUNTIFS(実績!$W$6:$W$505,BK$3,実績!$AC$6:$AC$505,"&lt;="&amp;$A271,実績!$AD$6:$AD$505,"&gt;"&amp;$A271,実績!$AE$6:$AE$505,"○")&gt;0,1,0))</f>
        <v/>
      </c>
      <c r="BL271">
        <f>IF(BL$4=0,0,IF(COUNTIFS(実績!$W$6:$W$505,BL$3,実績!$AC$6:$AC$505,"&lt;="&amp;$A271,実績!$AD$6:$AD$505,"&gt;"&amp;$A271,実績!$AE$6:$AE$505,"○")&gt;0,1,0))</f>
        <v/>
      </c>
      <c r="BM271">
        <f>IF(BM$4=0,0,IF(COUNTIFS(実績!$W$6:$W$505,BM$3,実績!$AC$6:$AC$505,"&lt;="&amp;$A271,実績!$AD$6:$AD$505,"&gt;"&amp;$A271,実績!$AE$6:$AE$505,"○")&gt;0,1,0))</f>
        <v/>
      </c>
      <c r="BN271">
        <f>IF(BN$4=0,0,IF(COUNTIFS(実績!$W$6:$W$505,BN$3,実績!$AC$6:$AC$505,"&lt;="&amp;$A271,実績!$AD$6:$AD$505,"&gt;"&amp;$A271,実績!$AE$6:$AE$505,"○")&gt;0,1,0))</f>
        <v/>
      </c>
      <c r="BO271">
        <f>IF(BO$4=0,0,IF(COUNTIFS(実績!$W$6:$W$505,BO$3,実績!$AC$6:$AC$505,"&lt;="&amp;$A271,実績!$AD$6:$AD$505,"&gt;"&amp;$A271,実績!$AE$6:$AE$505,"○")&gt;0,1,0))</f>
        <v/>
      </c>
      <c r="BP271">
        <f>IF(BP$4=0,0,IF(COUNTIFS(実績!$W$6:$W$505,BP$3,実績!$AC$6:$AC$505,"&lt;="&amp;$A271,実績!$AD$6:$AD$505,"&gt;"&amp;$A271,実績!$AE$6:$AE$505,"○")&gt;0,1,0))</f>
        <v/>
      </c>
      <c r="BQ271">
        <f>IF(BQ$4=0,0,IF(COUNTIFS(実績!$W$6:$W$505,BQ$3,実績!$AC$6:$AC$505,"&lt;="&amp;$A271,実績!$AD$6:$AD$505,"&gt;"&amp;$A271,実績!$AE$6:$AE$505,"○")&gt;0,1,0))</f>
        <v/>
      </c>
      <c r="BR271">
        <f>IF(BR$4=0,0,IF(COUNTIFS(実績!$W$6:$W$505,BR$3,実績!$AC$6:$AC$505,"&lt;="&amp;$A271,実績!$AD$6:$AD$505,"&gt;"&amp;$A271,実績!$AE$6:$AE$505,"○")&gt;0,1,0))</f>
        <v/>
      </c>
      <c r="BS271">
        <f>IF(BS$4=0,0,IF(COUNTIFS(実績!$W$6:$W$505,BS$3,実績!$AC$6:$AC$505,"&lt;="&amp;$A271,実績!$AD$6:$AD$505,"&gt;"&amp;$A271,実績!$AE$6:$AE$505,"○")&gt;0,1,0))</f>
        <v/>
      </c>
      <c r="BT271">
        <f>IF(BT$4=0,0,IF(COUNTIFS(実績!$W$6:$W$505,BT$3,実績!$AC$6:$AC$505,"&lt;="&amp;$A271,実績!$AD$6:$AD$505,"&gt;"&amp;$A271,実績!$AE$6:$AE$505,"○")&gt;0,1,0))</f>
        <v/>
      </c>
      <c r="BU271">
        <f>IF(BU$4=0,0,IF(COUNTIFS(実績!$W$6:$W$505,BU$3,実績!$AC$6:$AC$505,"&lt;="&amp;$A271,実績!$AD$6:$AD$505,"&gt;"&amp;$A271,実績!$AE$6:$AE$505,"○")&gt;0,1,0))</f>
        <v/>
      </c>
      <c r="BV271">
        <f>IF(BV$4=0,0,IF(COUNTIFS(実績!$W$6:$W$505,BV$3,実績!$AC$6:$AC$505,"&lt;="&amp;$A271,実績!$AD$6:$AD$505,"&gt;"&amp;$A271,実績!$AE$6:$AE$505,"○")&gt;0,1,0))</f>
        <v/>
      </c>
      <c r="BW271">
        <f>IF(BW$4=0,0,IF(COUNTIFS(実績!$W$6:$W$505,BW$3,実績!$AC$6:$AC$505,"&lt;="&amp;$A271,実績!$AD$6:$AD$505,"&gt;"&amp;$A271,実績!$AE$6:$AE$505,"○")&gt;0,1,0))</f>
        <v/>
      </c>
      <c r="BX271">
        <f>IF(BX$4=0,0,IF(COUNTIFS(実績!$W$6:$W$505,BX$3,実績!$AC$6:$AC$505,"&lt;="&amp;$A271,実績!$AD$6:$AD$505,"&gt;"&amp;$A271,実績!$AE$6:$AE$505,"○")&gt;0,1,0))</f>
        <v/>
      </c>
      <c r="BY271">
        <f>IF(BY$4=0,0,IF(COUNTIFS(実績!$W$6:$W$505,BY$3,実績!$AC$6:$AC$505,"&lt;="&amp;$A271,実績!$AD$6:$AD$505,"&gt;"&amp;$A271,実績!$AE$6:$AE$505,"○")&gt;0,1,0))</f>
        <v/>
      </c>
      <c r="BZ271">
        <f>IF(BZ$4=0,0,IF(COUNTIFS(実績!$W$6:$W$505,BZ$3,実績!$AC$6:$AC$505,"&lt;="&amp;$A271,実績!$AD$6:$AD$505,"&gt;"&amp;$A271,実績!$AE$6:$AE$505,"○")&gt;0,1,0))</f>
        <v/>
      </c>
      <c r="CA271">
        <f>IF(CA$4=0,0,IF(COUNTIFS(実績!$W$6:$W$505,CA$3,実績!$AC$6:$AC$505,"&lt;="&amp;$A271,実績!$AD$6:$AD$505,"&gt;"&amp;$A271,実績!$AE$6:$AE$505,"○")&gt;0,1,0))</f>
        <v/>
      </c>
      <c r="CB271">
        <f>IF(CB$4=0,0,IF(COUNTIFS(実績!$W$6:$W$505,CB$3,実績!$AC$6:$AC$505,"&lt;="&amp;$A271,実績!$AD$6:$AD$505,"&gt;"&amp;$A271,実績!$AE$6:$AE$505,"○")&gt;0,1,0))</f>
        <v/>
      </c>
      <c r="CC271">
        <f>IF(CC$4=0,0,IF(COUNTIFS(実績!$W$6:$W$505,CC$3,実績!$AC$6:$AC$505,"&lt;="&amp;$A271,実績!$AD$6:$AD$505,"&gt;"&amp;$A271,実績!$AE$6:$AE$505,"○")&gt;0,1,0))</f>
        <v/>
      </c>
      <c r="CD271">
        <f>IF(CD$4=0,0,IF(COUNTIFS(実績!$W$6:$W$505,CD$3,実績!$AC$6:$AC$505,"&lt;="&amp;$A271,実績!$AD$6:$AD$505,"&gt;"&amp;$A271,実績!$AE$6:$AE$505,"○")&gt;0,1,0))</f>
        <v/>
      </c>
      <c r="CE271">
        <f>IF(CE$4=0,0,IF(COUNTIFS(実績!$W$6:$W$505,CE$3,実績!$AC$6:$AC$505,"&lt;="&amp;$A271,実績!$AD$6:$AD$505,"&gt;"&amp;$A271,実績!$AE$6:$AE$505,"○")&gt;0,1,0))</f>
        <v/>
      </c>
      <c r="CF271">
        <f>IF(CF$4=0,0,IF(COUNTIFS(実績!$W$6:$W$505,CF$3,実績!$AC$6:$AC$505,"&lt;="&amp;$A271,実績!$AD$6:$AD$505,"&gt;"&amp;$A271,実績!$AE$6:$AE$505,"○")&gt;0,1,0))</f>
        <v/>
      </c>
      <c r="CG271">
        <f>IF(CG$4=0,0,IF(COUNTIFS(実績!$W$6:$W$505,CG$3,実績!$AC$6:$AC$505,"&lt;="&amp;$A271,実績!$AD$6:$AD$505,"&gt;"&amp;$A271,実績!$AE$6:$AE$505,"○")&gt;0,1,0))</f>
        <v/>
      </c>
      <c r="CH271">
        <f>IF(CH$4=0,0,IF(COUNTIFS(実績!$W$6:$W$505,CH$3,実績!$AC$6:$AC$505,"&lt;="&amp;$A271,実績!$AD$6:$AD$505,"&gt;"&amp;$A271,実績!$AE$6:$AE$505,"○")&gt;0,1,0))</f>
        <v/>
      </c>
      <c r="CI271">
        <f>IF(CI$4=0,0,IF(COUNTIFS(実績!$W$6:$W$505,CI$3,実績!$AC$6:$AC$505,"&lt;="&amp;$A271,実績!$AD$6:$AD$505,"&gt;"&amp;$A271,実績!$AE$6:$AE$505,"○")&gt;0,1,0))</f>
        <v/>
      </c>
      <c r="CJ271">
        <f>IF(CJ$4=0,0,IF(COUNTIFS(実績!$W$6:$W$505,CJ$3,実績!$AC$6:$AC$505,"&lt;="&amp;$A271,実績!$AD$6:$AD$505,"&gt;"&amp;$A271,実績!$AE$6:$AE$505,"○")&gt;0,1,0))</f>
        <v/>
      </c>
      <c r="CK271">
        <f>IF(CK$4=0,0,IF(COUNTIFS(実績!$W$6:$W$505,CK$3,実績!$AC$6:$AC$505,"&lt;="&amp;$A271,実績!$AD$6:$AD$505,"&gt;"&amp;$A271,実績!$AE$6:$AE$505,"○")&gt;0,1,0))</f>
        <v/>
      </c>
      <c r="CL271">
        <f>IF(CL$4=0,0,IF(COUNTIFS(実績!$W$6:$W$505,CL$3,実績!$AC$6:$AC$505,"&lt;="&amp;$A271,実績!$AD$6:$AD$505,"&gt;"&amp;$A271,実績!$AE$6:$AE$505,"○")&gt;0,1,0))</f>
        <v/>
      </c>
      <c r="CM271">
        <f>IF(CM$4=0,0,IF(COUNTIFS(実績!$W$6:$W$505,CM$3,実績!$AC$6:$AC$505,"&lt;="&amp;$A271,実績!$AD$6:$AD$505,"&gt;"&amp;$A271,実績!$AE$6:$AE$505,"○")&gt;0,1,0))</f>
        <v/>
      </c>
      <c r="CN271">
        <f>IF(CN$4=0,0,IF(COUNTIFS(実績!$W$6:$W$505,CN$3,実績!$AC$6:$AC$505,"&lt;="&amp;$A271,実績!$AD$6:$AD$505,"&gt;"&amp;$A271,実績!$AE$6:$AE$505,"○")&gt;0,1,0))</f>
        <v/>
      </c>
      <c r="CO271">
        <f>IF(CO$4=0,0,IF(COUNTIFS(実績!$W$6:$W$505,CO$3,実績!$AC$6:$AC$505,"&lt;="&amp;$A271,実績!$AD$6:$AD$505,"&gt;"&amp;$A271,実績!$AE$6:$AE$505,"○")&gt;0,1,0))</f>
        <v/>
      </c>
      <c r="CP271">
        <f>IF(CP$4=0,0,IF(COUNTIFS(実績!$W$6:$W$505,CP$3,実績!$AC$6:$AC$505,"&lt;="&amp;$A271,実績!$AD$6:$AD$505,"&gt;"&amp;$A271,実績!$AE$6:$AE$505,"○")&gt;0,1,0))</f>
        <v/>
      </c>
      <c r="CQ271">
        <f>IF(CQ$4=0,0,IF(COUNTIFS(実績!$W$6:$W$505,CQ$3,実績!$AC$6:$AC$505,"&lt;="&amp;$A271,実績!$AD$6:$AD$505,"&gt;"&amp;$A271,実績!$AE$6:$AE$505,"○")&gt;0,1,0))</f>
        <v/>
      </c>
      <c r="CR271">
        <f>IF(CR$4=0,0,IF(COUNTIFS(実績!$W$6:$W$505,CR$3,実績!$AC$6:$AC$505,"&lt;="&amp;$A271,実績!$AD$6:$AD$505,"&gt;"&amp;$A271,実績!$AE$6:$AE$505,"○")&gt;0,1,0))</f>
        <v/>
      </c>
      <c r="CS271">
        <f>IF(CS$4=0,0,IF(COUNTIFS(実績!$W$6:$W$505,CS$3,実績!$AC$6:$AC$505,"&lt;="&amp;$A271,実績!$AD$6:$AD$505,"&gt;"&amp;$A271,実績!$AE$6:$AE$505,"○")&gt;0,1,0))</f>
        <v/>
      </c>
      <c r="CT271">
        <f>IF(CT$4=0,0,IF(COUNTIFS(実績!$W$6:$W$505,CT$3,実績!$AC$6:$AC$505,"&lt;="&amp;$A271,実績!$AD$6:$AD$505,"&gt;"&amp;$A271,実績!$AE$6:$AE$505,"○")&gt;0,1,0))</f>
        <v/>
      </c>
      <c r="CU271">
        <f>IF(CU$4=0,0,IF(COUNTIFS(実績!$W$6:$W$505,CU$3,実績!$AC$6:$AC$505,"&lt;="&amp;$A271,実績!$AD$6:$AD$505,"&gt;"&amp;$A271,実績!$AE$6:$AE$505,"○")&gt;0,1,0))</f>
        <v/>
      </c>
      <c r="CV271">
        <f>IF(CV$4=0,0,IF(COUNTIFS(実績!$W$6:$W$505,CV$3,実績!$AC$6:$AC$505,"&lt;="&amp;$A271,実績!$AD$6:$AD$505,"&gt;"&amp;$A271,実績!$AE$6:$AE$505,"○")&gt;0,1,0))</f>
        <v/>
      </c>
      <c r="CW271">
        <f>IF(CW$4=0,0,IF(COUNTIFS(実績!$W$6:$W$505,CW$3,実績!$AC$6:$AC$505,"&lt;="&amp;$A271,実績!$AD$6:$AD$505,"&gt;"&amp;$A271,実績!$AE$6:$AE$505,"○")&gt;0,1,0))</f>
        <v/>
      </c>
      <c r="CX271">
        <f>IF(CX$4=0,0,IF(COUNTIFS(実績!$W$6:$W$505,CX$3,実績!$AC$6:$AC$505,"&lt;="&amp;$A271,実績!$AD$6:$AD$505,"&gt;"&amp;$A271,実績!$AE$6:$AE$505,"○")&gt;0,1,0))</f>
        <v/>
      </c>
      <c r="CY271">
        <f>IF(CY$4=0,0,IF(COUNTIFS(実績!$W$6:$W$505,CY$3,実績!$AC$6:$AC$505,"&lt;="&amp;$A271,実績!$AD$6:$AD$505,"&gt;"&amp;$A271,実績!$AE$6:$AE$505,"○")&gt;0,1,0))</f>
        <v/>
      </c>
      <c r="CZ271">
        <f>IF(CZ$4=0,0,IF(COUNTIFS(実績!$W$6:$W$505,CZ$3,実績!$AC$6:$AC$505,"&lt;="&amp;$A271,実績!$AD$6:$AD$505,"&gt;"&amp;$A271,実績!$AE$6:$AE$505,"○")&gt;0,1,0))</f>
        <v/>
      </c>
      <c r="DA271">
        <f>IF(DA$4=0,0,IF(COUNTIFS(実績!$W$6:$W$505,DA$3,実績!$AC$6:$AC$505,"&lt;="&amp;$A271,実績!$AD$6:$AD$505,"&gt;"&amp;$A271,実績!$AE$6:$AE$505,"○")&gt;0,1,0))</f>
        <v/>
      </c>
      <c r="DB271">
        <f>IF(DB$4=0,0,IF(COUNTIFS(実績!$W$6:$W$505,DB$3,実績!$AC$6:$AC$505,"&lt;="&amp;$A271,実績!$AD$6:$AD$505,"&gt;"&amp;$A271,実績!$AE$6:$AE$505,"○")&gt;0,1,0))</f>
        <v/>
      </c>
      <c r="DC271">
        <f>IF(DC$4=0,0,IF(COUNTIFS(実績!$W$6:$W$505,DC$3,実績!$AC$6:$AC$505,"&lt;="&amp;$A271,実績!$AD$6:$AD$505,"&gt;"&amp;$A271,実績!$AE$6:$AE$505,"○")&gt;0,1,0))</f>
        <v/>
      </c>
      <c r="DD271">
        <f>IF(DD$4=0,0,IF(COUNTIFS(実績!$W$6:$W$505,DD$3,実績!$AC$6:$AC$505,"&lt;="&amp;$A271,実績!$AD$6:$AD$505,"&gt;"&amp;$A271,実績!$AE$6:$AE$505,"○")&gt;0,1,0))</f>
        <v/>
      </c>
      <c r="DE271">
        <f>IF(DE$4=0,0,IF(COUNTIFS(実績!$W$6:$W$505,DE$3,実績!$AC$6:$AC$505,"&lt;="&amp;$A271,実績!$AD$6:$AD$505,"&gt;"&amp;$A271,実績!$AE$6:$AE$505,"○")&gt;0,1,0))</f>
        <v/>
      </c>
      <c r="DF271">
        <f>IF(DF$4=0,0,IF(COUNTIFS(実績!$W$6:$W$505,DF$3,実績!$AC$6:$AC$505,"&lt;="&amp;$A271,実績!$AD$6:$AD$505,"&gt;"&amp;$A271,実績!$AE$6:$AE$505,"○")&gt;0,1,0))</f>
        <v/>
      </c>
      <c r="DG271">
        <f>IF(DG$4=0,0,IF(COUNTIFS(実績!$W$6:$W$505,DG$3,実績!$AC$6:$AC$505,"&lt;="&amp;$A271,実績!$AD$6:$AD$505,"&gt;"&amp;$A271,実績!$AE$6:$AE$505,"○")&gt;0,1,0))</f>
        <v/>
      </c>
      <c r="DH271">
        <f>IF(DH$4=0,0,IF(COUNTIFS(実績!$W$6:$W$505,DH$3,実績!$AC$6:$AC$505,"&lt;="&amp;$A271,実績!$AD$6:$AD$505,"&gt;"&amp;$A271,実績!$AE$6:$AE$505,"○")&gt;0,1,0))</f>
        <v/>
      </c>
      <c r="DI271">
        <f>IF(DI$4=0,0,IF(COUNTIFS(実績!$W$6:$W$505,DI$3,実績!$AC$6:$AC$505,"&lt;="&amp;$A271,実績!$AD$6:$AD$505,"&gt;"&amp;$A271,実績!$AE$6:$AE$505,"○")&gt;0,1,0))</f>
        <v/>
      </c>
      <c r="DJ271">
        <f>IF(DJ$4=0,0,IF(COUNTIFS(実績!$W$6:$W$505,DJ$3,実績!$AC$6:$AC$505,"&lt;="&amp;$A271,実績!$AD$6:$AD$505,"&gt;"&amp;$A271,実績!$AE$6:$AE$505,"○")&gt;0,1,0))</f>
        <v/>
      </c>
      <c r="DK271">
        <f>IF(DK$4=0,0,IF(COUNTIFS(実績!$W$6:$W$505,DK$3,実績!$AC$6:$AC$505,"&lt;="&amp;$A271,実績!$AD$6:$AD$505,"&gt;"&amp;$A271,実績!$AE$6:$AE$505,"○")&gt;0,1,0))</f>
        <v/>
      </c>
      <c r="DL271">
        <f>IF(DL$4=0,0,IF(COUNTIFS(実績!$W$6:$W$505,DL$3,実績!$AC$6:$AC$505,"&lt;="&amp;$A271,実績!$AD$6:$AD$505,"&gt;"&amp;$A271,実績!$AE$6:$AE$505,"○")&gt;0,1,0))</f>
        <v/>
      </c>
      <c r="DM271">
        <f>IF(DM$4=0,0,IF(COUNTIFS(実績!$W$6:$W$505,DM$3,実績!$AC$6:$AC$505,"&lt;="&amp;$A271,実績!$AD$6:$AD$505,"&gt;"&amp;$A271,実績!$AE$6:$AE$505,"○")&gt;0,1,0))</f>
        <v/>
      </c>
      <c r="DN271">
        <f>IF(DN$4=0,0,IF(COUNTIFS(実績!$W$6:$W$505,DN$3,実績!$AC$6:$AC$505,"&lt;="&amp;$A271,実績!$AD$6:$AD$505,"&gt;"&amp;$A271,実績!$AE$6:$AE$505,"○")&gt;0,1,0))</f>
        <v/>
      </c>
      <c r="DO271">
        <f>IF(DO$4=0,0,IF(COUNTIFS(実績!$W$6:$W$505,DO$3,実績!$AC$6:$AC$505,"&lt;="&amp;$A271,実績!$AD$6:$AD$505,"&gt;"&amp;$A271,実績!$AE$6:$AE$505,"○")&gt;0,1,0))</f>
        <v/>
      </c>
      <c r="DP271">
        <f>IF(DP$4=0,0,IF(COUNTIFS(実績!$W$6:$W$505,DP$3,実績!$AC$6:$AC$505,"&lt;="&amp;$A271,実績!$AD$6:$AD$505,"&gt;"&amp;$A271,実績!$AE$6:$AE$505,"○")&gt;0,1,0))</f>
        <v/>
      </c>
      <c r="DQ271">
        <f>IF(DQ$4=0,0,IF(COUNTIFS(実績!$W$6:$W$505,DQ$3,実績!$AC$6:$AC$505,"&lt;="&amp;$A271,実績!$AD$6:$AD$505,"&gt;"&amp;$A271,実績!$AE$6:$AE$505,"○")&gt;0,1,0))</f>
        <v/>
      </c>
      <c r="DR271">
        <f>IF(DR$4=0,0,IF(COUNTIFS(実績!$W$6:$W$505,DR$3,実績!$AC$6:$AC$505,"&lt;="&amp;$A271,実績!$AD$6:$AD$505,"&gt;"&amp;$A271,実績!$AE$6:$AE$505,"○")&gt;0,1,0))</f>
        <v/>
      </c>
      <c r="DS271">
        <f>SUM(C271:DR271)</f>
        <v/>
      </c>
      <c r="DT271">
        <f>SUMPRODUCT((実績!$C$6:$C$505="○")*ISNUMBER(実績!$AF$6:$AF$505)*(実績!$AF$6:$AF$505&lt;=$A271)*(実績!$AG$6:$AG$505&gt;$A271))</f>
        <v/>
      </c>
      <c r="DU271">
        <f>SUMIF($C$2:$DR$2,"製鉄曳船",C271:DR271)</f>
        <v/>
      </c>
      <c r="DV271">
        <f>SUMIF($C$2:$DR$2,"西日本海運",C271:DR271)</f>
        <v/>
      </c>
    </row>
    <row r="272">
      <c r="A272" t="n">
        <v>1330</v>
      </c>
      <c r="B272" s="29">
        <f>A272/1440</f>
        <v/>
      </c>
      <c r="C272">
        <f>IF(C$4=0,0,IF(COUNTIFS(実績!$W$6:$W$505,C$3,実績!$AC$6:$AC$505,"&lt;="&amp;$A272,実績!$AD$6:$AD$505,"&gt;"&amp;$A272,実績!$AE$6:$AE$505,"○")&gt;0,1,0))</f>
        <v/>
      </c>
      <c r="D272">
        <f>IF(D$4=0,0,IF(COUNTIFS(実績!$W$6:$W$505,D$3,実績!$AC$6:$AC$505,"&lt;="&amp;$A272,実績!$AD$6:$AD$505,"&gt;"&amp;$A272,実績!$AE$6:$AE$505,"○")&gt;0,1,0))</f>
        <v/>
      </c>
      <c r="E272">
        <f>IF(E$4=0,0,IF(COUNTIFS(実績!$W$6:$W$505,E$3,実績!$AC$6:$AC$505,"&lt;="&amp;$A272,実績!$AD$6:$AD$505,"&gt;"&amp;$A272,実績!$AE$6:$AE$505,"○")&gt;0,1,0))</f>
        <v/>
      </c>
      <c r="F272">
        <f>IF(F$4=0,0,IF(COUNTIFS(実績!$W$6:$W$505,F$3,実績!$AC$6:$AC$505,"&lt;="&amp;$A272,実績!$AD$6:$AD$505,"&gt;"&amp;$A272,実績!$AE$6:$AE$505,"○")&gt;0,1,0))</f>
        <v/>
      </c>
      <c r="G272">
        <f>IF(G$4=0,0,IF(COUNTIFS(実績!$W$6:$W$505,G$3,実績!$AC$6:$AC$505,"&lt;="&amp;$A272,実績!$AD$6:$AD$505,"&gt;"&amp;$A272,実績!$AE$6:$AE$505,"○")&gt;0,1,0))</f>
        <v/>
      </c>
      <c r="H272">
        <f>IF(H$4=0,0,IF(COUNTIFS(実績!$W$6:$W$505,H$3,実績!$AC$6:$AC$505,"&lt;="&amp;$A272,実績!$AD$6:$AD$505,"&gt;"&amp;$A272,実績!$AE$6:$AE$505,"○")&gt;0,1,0))</f>
        <v/>
      </c>
      <c r="I272">
        <f>IF(I$4=0,0,IF(COUNTIFS(実績!$W$6:$W$505,I$3,実績!$AC$6:$AC$505,"&lt;="&amp;$A272,実績!$AD$6:$AD$505,"&gt;"&amp;$A272,実績!$AE$6:$AE$505,"○")&gt;0,1,0))</f>
        <v/>
      </c>
      <c r="J272">
        <f>IF(J$4=0,0,IF(COUNTIFS(実績!$W$6:$W$505,J$3,実績!$AC$6:$AC$505,"&lt;="&amp;$A272,実績!$AD$6:$AD$505,"&gt;"&amp;$A272,実績!$AE$6:$AE$505,"○")&gt;0,1,0))</f>
        <v/>
      </c>
      <c r="K272">
        <f>IF(K$4=0,0,IF(COUNTIFS(実績!$W$6:$W$505,K$3,実績!$AC$6:$AC$505,"&lt;="&amp;$A272,実績!$AD$6:$AD$505,"&gt;"&amp;$A272,実績!$AE$6:$AE$505,"○")&gt;0,1,0))</f>
        <v/>
      </c>
      <c r="L272">
        <f>IF(L$4=0,0,IF(COUNTIFS(実績!$W$6:$W$505,L$3,実績!$AC$6:$AC$505,"&lt;="&amp;$A272,実績!$AD$6:$AD$505,"&gt;"&amp;$A272,実績!$AE$6:$AE$505,"○")&gt;0,1,0))</f>
        <v/>
      </c>
      <c r="M272">
        <f>IF(M$4=0,0,IF(COUNTIFS(実績!$W$6:$W$505,M$3,実績!$AC$6:$AC$505,"&lt;="&amp;$A272,実績!$AD$6:$AD$505,"&gt;"&amp;$A272,実績!$AE$6:$AE$505,"○")&gt;0,1,0))</f>
        <v/>
      </c>
      <c r="N272">
        <f>IF(N$4=0,0,IF(COUNTIFS(実績!$W$6:$W$505,N$3,実績!$AC$6:$AC$505,"&lt;="&amp;$A272,実績!$AD$6:$AD$505,"&gt;"&amp;$A272,実績!$AE$6:$AE$505,"○")&gt;0,1,0))</f>
        <v/>
      </c>
      <c r="O272">
        <f>IF(O$4=0,0,IF(COUNTIFS(実績!$W$6:$W$505,O$3,実績!$AC$6:$AC$505,"&lt;="&amp;$A272,実績!$AD$6:$AD$505,"&gt;"&amp;$A272,実績!$AE$6:$AE$505,"○")&gt;0,1,0))</f>
        <v/>
      </c>
      <c r="P272">
        <f>IF(P$4=0,0,IF(COUNTIFS(実績!$W$6:$W$505,P$3,実績!$AC$6:$AC$505,"&lt;="&amp;$A272,実績!$AD$6:$AD$505,"&gt;"&amp;$A272,実績!$AE$6:$AE$505,"○")&gt;0,1,0))</f>
        <v/>
      </c>
      <c r="Q272">
        <f>IF(Q$4=0,0,IF(COUNTIFS(実績!$W$6:$W$505,Q$3,実績!$AC$6:$AC$505,"&lt;="&amp;$A272,実績!$AD$6:$AD$505,"&gt;"&amp;$A272,実績!$AE$6:$AE$505,"○")&gt;0,1,0))</f>
        <v/>
      </c>
      <c r="R272">
        <f>IF(R$4=0,0,IF(COUNTIFS(実績!$W$6:$W$505,R$3,実績!$AC$6:$AC$505,"&lt;="&amp;$A272,実績!$AD$6:$AD$505,"&gt;"&amp;$A272,実績!$AE$6:$AE$505,"○")&gt;0,1,0))</f>
        <v/>
      </c>
      <c r="S272">
        <f>IF(S$4=0,0,IF(COUNTIFS(実績!$W$6:$W$505,S$3,実績!$AC$6:$AC$505,"&lt;="&amp;$A272,実績!$AD$6:$AD$505,"&gt;"&amp;$A272,実績!$AE$6:$AE$505,"○")&gt;0,1,0))</f>
        <v/>
      </c>
      <c r="T272">
        <f>IF(T$4=0,0,IF(COUNTIFS(実績!$W$6:$W$505,T$3,実績!$AC$6:$AC$505,"&lt;="&amp;$A272,実績!$AD$6:$AD$505,"&gt;"&amp;$A272,実績!$AE$6:$AE$505,"○")&gt;0,1,0))</f>
        <v/>
      </c>
      <c r="U272">
        <f>IF(U$4=0,0,IF(COUNTIFS(実績!$W$6:$W$505,U$3,実績!$AC$6:$AC$505,"&lt;="&amp;$A272,実績!$AD$6:$AD$505,"&gt;"&amp;$A272,実績!$AE$6:$AE$505,"○")&gt;0,1,0))</f>
        <v/>
      </c>
      <c r="V272">
        <f>IF(V$4=0,0,IF(COUNTIFS(実績!$W$6:$W$505,V$3,実績!$AC$6:$AC$505,"&lt;="&amp;$A272,実績!$AD$6:$AD$505,"&gt;"&amp;$A272,実績!$AE$6:$AE$505,"○")&gt;0,1,0))</f>
        <v/>
      </c>
      <c r="W272">
        <f>IF(W$4=0,0,IF(COUNTIFS(実績!$W$6:$W$505,W$3,実績!$AC$6:$AC$505,"&lt;="&amp;$A272,実績!$AD$6:$AD$505,"&gt;"&amp;$A272,実績!$AE$6:$AE$505,"○")&gt;0,1,0))</f>
        <v/>
      </c>
      <c r="X272">
        <f>IF(X$4=0,0,IF(COUNTIFS(実績!$W$6:$W$505,X$3,実績!$AC$6:$AC$505,"&lt;="&amp;$A272,実績!$AD$6:$AD$505,"&gt;"&amp;$A272,実績!$AE$6:$AE$505,"○")&gt;0,1,0))</f>
        <v/>
      </c>
      <c r="Y272">
        <f>IF(Y$4=0,0,IF(COUNTIFS(実績!$W$6:$W$505,Y$3,実績!$AC$6:$AC$505,"&lt;="&amp;$A272,実績!$AD$6:$AD$505,"&gt;"&amp;$A272,実績!$AE$6:$AE$505,"○")&gt;0,1,0))</f>
        <v/>
      </c>
      <c r="Z272">
        <f>IF(Z$4=0,0,IF(COUNTIFS(実績!$W$6:$W$505,Z$3,実績!$AC$6:$AC$505,"&lt;="&amp;$A272,実績!$AD$6:$AD$505,"&gt;"&amp;$A272,実績!$AE$6:$AE$505,"○")&gt;0,1,0))</f>
        <v/>
      </c>
      <c r="AA272">
        <f>IF(AA$4=0,0,IF(COUNTIFS(実績!$W$6:$W$505,AA$3,実績!$AC$6:$AC$505,"&lt;="&amp;$A272,実績!$AD$6:$AD$505,"&gt;"&amp;$A272,実績!$AE$6:$AE$505,"○")&gt;0,1,0))</f>
        <v/>
      </c>
      <c r="AB272">
        <f>IF(AB$4=0,0,IF(COUNTIFS(実績!$W$6:$W$505,AB$3,実績!$AC$6:$AC$505,"&lt;="&amp;$A272,実績!$AD$6:$AD$505,"&gt;"&amp;$A272,実績!$AE$6:$AE$505,"○")&gt;0,1,0))</f>
        <v/>
      </c>
      <c r="AC272">
        <f>IF(AC$4=0,0,IF(COUNTIFS(実績!$W$6:$W$505,AC$3,実績!$AC$6:$AC$505,"&lt;="&amp;$A272,実績!$AD$6:$AD$505,"&gt;"&amp;$A272,実績!$AE$6:$AE$505,"○")&gt;0,1,0))</f>
        <v/>
      </c>
      <c r="AD272">
        <f>IF(AD$4=0,0,IF(COUNTIFS(実績!$W$6:$W$505,AD$3,実績!$AC$6:$AC$505,"&lt;="&amp;$A272,実績!$AD$6:$AD$505,"&gt;"&amp;$A272,実績!$AE$6:$AE$505,"○")&gt;0,1,0))</f>
        <v/>
      </c>
      <c r="AE272">
        <f>IF(AE$4=0,0,IF(COUNTIFS(実績!$W$6:$W$505,AE$3,実績!$AC$6:$AC$505,"&lt;="&amp;$A272,実績!$AD$6:$AD$505,"&gt;"&amp;$A272,実績!$AE$6:$AE$505,"○")&gt;0,1,0))</f>
        <v/>
      </c>
      <c r="AF272">
        <f>IF(AF$4=0,0,IF(COUNTIFS(実績!$W$6:$W$505,AF$3,実績!$AC$6:$AC$505,"&lt;="&amp;$A272,実績!$AD$6:$AD$505,"&gt;"&amp;$A272,実績!$AE$6:$AE$505,"○")&gt;0,1,0))</f>
        <v/>
      </c>
      <c r="AG272">
        <f>IF(AG$4=0,0,IF(COUNTIFS(実績!$W$6:$W$505,AG$3,実績!$AC$6:$AC$505,"&lt;="&amp;$A272,実績!$AD$6:$AD$505,"&gt;"&amp;$A272,実績!$AE$6:$AE$505,"○")&gt;0,1,0))</f>
        <v/>
      </c>
      <c r="AH272">
        <f>IF(AH$4=0,0,IF(COUNTIFS(実績!$W$6:$W$505,AH$3,実績!$AC$6:$AC$505,"&lt;="&amp;$A272,実績!$AD$6:$AD$505,"&gt;"&amp;$A272,実績!$AE$6:$AE$505,"○")&gt;0,1,0))</f>
        <v/>
      </c>
      <c r="AI272">
        <f>IF(AI$4=0,0,IF(COUNTIFS(実績!$W$6:$W$505,AI$3,実績!$AC$6:$AC$505,"&lt;="&amp;$A272,実績!$AD$6:$AD$505,"&gt;"&amp;$A272,実績!$AE$6:$AE$505,"○")&gt;0,1,0))</f>
        <v/>
      </c>
      <c r="AJ272">
        <f>IF(AJ$4=0,0,IF(COUNTIFS(実績!$W$6:$W$505,AJ$3,実績!$AC$6:$AC$505,"&lt;="&amp;$A272,実績!$AD$6:$AD$505,"&gt;"&amp;$A272,実績!$AE$6:$AE$505,"○")&gt;0,1,0))</f>
        <v/>
      </c>
      <c r="AK272">
        <f>IF(AK$4=0,0,IF(COUNTIFS(実績!$W$6:$W$505,AK$3,実績!$AC$6:$AC$505,"&lt;="&amp;$A272,実績!$AD$6:$AD$505,"&gt;"&amp;$A272,実績!$AE$6:$AE$505,"○")&gt;0,1,0))</f>
        <v/>
      </c>
      <c r="AL272">
        <f>IF(AL$4=0,0,IF(COUNTIFS(実績!$W$6:$W$505,AL$3,実績!$AC$6:$AC$505,"&lt;="&amp;$A272,実績!$AD$6:$AD$505,"&gt;"&amp;$A272,実績!$AE$6:$AE$505,"○")&gt;0,1,0))</f>
        <v/>
      </c>
      <c r="AM272">
        <f>IF(AM$4=0,0,IF(COUNTIFS(実績!$W$6:$W$505,AM$3,実績!$AC$6:$AC$505,"&lt;="&amp;$A272,実績!$AD$6:$AD$505,"&gt;"&amp;$A272,実績!$AE$6:$AE$505,"○")&gt;0,1,0))</f>
        <v/>
      </c>
      <c r="AN272">
        <f>IF(AN$4=0,0,IF(COUNTIFS(実績!$W$6:$W$505,AN$3,実績!$AC$6:$AC$505,"&lt;="&amp;$A272,実績!$AD$6:$AD$505,"&gt;"&amp;$A272,実績!$AE$6:$AE$505,"○")&gt;0,1,0))</f>
        <v/>
      </c>
      <c r="AO272">
        <f>IF(AO$4=0,0,IF(COUNTIFS(実績!$W$6:$W$505,AO$3,実績!$AC$6:$AC$505,"&lt;="&amp;$A272,実績!$AD$6:$AD$505,"&gt;"&amp;$A272,実績!$AE$6:$AE$505,"○")&gt;0,1,0))</f>
        <v/>
      </c>
      <c r="AP272">
        <f>IF(AP$4=0,0,IF(COUNTIFS(実績!$W$6:$W$505,AP$3,実績!$AC$6:$AC$505,"&lt;="&amp;$A272,実績!$AD$6:$AD$505,"&gt;"&amp;$A272,実績!$AE$6:$AE$505,"○")&gt;0,1,0))</f>
        <v/>
      </c>
      <c r="AQ272">
        <f>IF(AQ$4=0,0,IF(COUNTIFS(実績!$W$6:$W$505,AQ$3,実績!$AC$6:$AC$505,"&lt;="&amp;$A272,実績!$AD$6:$AD$505,"&gt;"&amp;$A272,実績!$AE$6:$AE$505,"○")&gt;0,1,0))</f>
        <v/>
      </c>
      <c r="AR272">
        <f>IF(AR$4=0,0,IF(COUNTIFS(実績!$W$6:$W$505,AR$3,実績!$AC$6:$AC$505,"&lt;="&amp;$A272,実績!$AD$6:$AD$505,"&gt;"&amp;$A272,実績!$AE$6:$AE$505,"○")&gt;0,1,0))</f>
        <v/>
      </c>
      <c r="AS272">
        <f>IF(AS$4=0,0,IF(COUNTIFS(実績!$W$6:$W$505,AS$3,実績!$AC$6:$AC$505,"&lt;="&amp;$A272,実績!$AD$6:$AD$505,"&gt;"&amp;$A272,実績!$AE$6:$AE$505,"○")&gt;0,1,0))</f>
        <v/>
      </c>
      <c r="AT272">
        <f>IF(AT$4=0,0,IF(COUNTIFS(実績!$W$6:$W$505,AT$3,実績!$AC$6:$AC$505,"&lt;="&amp;$A272,実績!$AD$6:$AD$505,"&gt;"&amp;$A272,実績!$AE$6:$AE$505,"○")&gt;0,1,0))</f>
        <v/>
      </c>
      <c r="AU272">
        <f>IF(AU$4=0,0,IF(COUNTIFS(実績!$W$6:$W$505,AU$3,実績!$AC$6:$AC$505,"&lt;="&amp;$A272,実績!$AD$6:$AD$505,"&gt;"&amp;$A272,実績!$AE$6:$AE$505,"○")&gt;0,1,0))</f>
        <v/>
      </c>
      <c r="AV272">
        <f>IF(AV$4=0,0,IF(COUNTIFS(実績!$W$6:$W$505,AV$3,実績!$AC$6:$AC$505,"&lt;="&amp;$A272,実績!$AD$6:$AD$505,"&gt;"&amp;$A272,実績!$AE$6:$AE$505,"○")&gt;0,1,0))</f>
        <v/>
      </c>
      <c r="AW272">
        <f>IF(AW$4=0,0,IF(COUNTIFS(実績!$W$6:$W$505,AW$3,実績!$AC$6:$AC$505,"&lt;="&amp;$A272,実績!$AD$6:$AD$505,"&gt;"&amp;$A272,実績!$AE$6:$AE$505,"○")&gt;0,1,0))</f>
        <v/>
      </c>
      <c r="AX272">
        <f>IF(AX$4=0,0,IF(COUNTIFS(実績!$W$6:$W$505,AX$3,実績!$AC$6:$AC$505,"&lt;="&amp;$A272,実績!$AD$6:$AD$505,"&gt;"&amp;$A272,実績!$AE$6:$AE$505,"○")&gt;0,1,0))</f>
        <v/>
      </c>
      <c r="AY272">
        <f>IF(AY$4=0,0,IF(COUNTIFS(実績!$W$6:$W$505,AY$3,実績!$AC$6:$AC$505,"&lt;="&amp;$A272,実績!$AD$6:$AD$505,"&gt;"&amp;$A272,実績!$AE$6:$AE$505,"○")&gt;0,1,0))</f>
        <v/>
      </c>
      <c r="AZ272">
        <f>IF(AZ$4=0,0,IF(COUNTIFS(実績!$W$6:$W$505,AZ$3,実績!$AC$6:$AC$505,"&lt;="&amp;$A272,実績!$AD$6:$AD$505,"&gt;"&amp;$A272,実績!$AE$6:$AE$505,"○")&gt;0,1,0))</f>
        <v/>
      </c>
      <c r="BA272">
        <f>IF(BA$4=0,0,IF(COUNTIFS(実績!$W$6:$W$505,BA$3,実績!$AC$6:$AC$505,"&lt;="&amp;$A272,実績!$AD$6:$AD$505,"&gt;"&amp;$A272,実績!$AE$6:$AE$505,"○")&gt;0,1,0))</f>
        <v/>
      </c>
      <c r="BB272">
        <f>IF(BB$4=0,0,IF(COUNTIFS(実績!$W$6:$W$505,BB$3,実績!$AC$6:$AC$505,"&lt;="&amp;$A272,実績!$AD$6:$AD$505,"&gt;"&amp;$A272,実績!$AE$6:$AE$505,"○")&gt;0,1,0))</f>
        <v/>
      </c>
      <c r="BC272">
        <f>IF(BC$4=0,0,IF(COUNTIFS(実績!$W$6:$W$505,BC$3,実績!$AC$6:$AC$505,"&lt;="&amp;$A272,実績!$AD$6:$AD$505,"&gt;"&amp;$A272,実績!$AE$6:$AE$505,"○")&gt;0,1,0))</f>
        <v/>
      </c>
      <c r="BD272">
        <f>IF(BD$4=0,0,IF(COUNTIFS(実績!$W$6:$W$505,BD$3,実績!$AC$6:$AC$505,"&lt;="&amp;$A272,実績!$AD$6:$AD$505,"&gt;"&amp;$A272,実績!$AE$6:$AE$505,"○")&gt;0,1,0))</f>
        <v/>
      </c>
      <c r="BE272">
        <f>IF(BE$4=0,0,IF(COUNTIFS(実績!$W$6:$W$505,BE$3,実績!$AC$6:$AC$505,"&lt;="&amp;$A272,実績!$AD$6:$AD$505,"&gt;"&amp;$A272,実績!$AE$6:$AE$505,"○")&gt;0,1,0))</f>
        <v/>
      </c>
      <c r="BF272">
        <f>IF(BF$4=0,0,IF(COUNTIFS(実績!$W$6:$W$505,BF$3,実績!$AC$6:$AC$505,"&lt;="&amp;$A272,実績!$AD$6:$AD$505,"&gt;"&amp;$A272,実績!$AE$6:$AE$505,"○")&gt;0,1,0))</f>
        <v/>
      </c>
      <c r="BG272">
        <f>IF(BG$4=0,0,IF(COUNTIFS(実績!$W$6:$W$505,BG$3,実績!$AC$6:$AC$505,"&lt;="&amp;$A272,実績!$AD$6:$AD$505,"&gt;"&amp;$A272,実績!$AE$6:$AE$505,"○")&gt;0,1,0))</f>
        <v/>
      </c>
      <c r="BH272">
        <f>IF(BH$4=0,0,IF(COUNTIFS(実績!$W$6:$W$505,BH$3,実績!$AC$6:$AC$505,"&lt;="&amp;$A272,実績!$AD$6:$AD$505,"&gt;"&amp;$A272,実績!$AE$6:$AE$505,"○")&gt;0,1,0))</f>
        <v/>
      </c>
      <c r="BI272">
        <f>IF(BI$4=0,0,IF(COUNTIFS(実績!$W$6:$W$505,BI$3,実績!$AC$6:$AC$505,"&lt;="&amp;$A272,実績!$AD$6:$AD$505,"&gt;"&amp;$A272,実績!$AE$6:$AE$505,"○")&gt;0,1,0))</f>
        <v/>
      </c>
      <c r="BJ272">
        <f>IF(BJ$4=0,0,IF(COUNTIFS(実績!$W$6:$W$505,BJ$3,実績!$AC$6:$AC$505,"&lt;="&amp;$A272,実績!$AD$6:$AD$505,"&gt;"&amp;$A272,実績!$AE$6:$AE$505,"○")&gt;0,1,0))</f>
        <v/>
      </c>
      <c r="BK272">
        <f>IF(BK$4=0,0,IF(COUNTIFS(実績!$W$6:$W$505,BK$3,実績!$AC$6:$AC$505,"&lt;="&amp;$A272,実績!$AD$6:$AD$505,"&gt;"&amp;$A272,実績!$AE$6:$AE$505,"○")&gt;0,1,0))</f>
        <v/>
      </c>
      <c r="BL272">
        <f>IF(BL$4=0,0,IF(COUNTIFS(実績!$W$6:$W$505,BL$3,実績!$AC$6:$AC$505,"&lt;="&amp;$A272,実績!$AD$6:$AD$505,"&gt;"&amp;$A272,実績!$AE$6:$AE$505,"○")&gt;0,1,0))</f>
        <v/>
      </c>
      <c r="BM272">
        <f>IF(BM$4=0,0,IF(COUNTIFS(実績!$W$6:$W$505,BM$3,実績!$AC$6:$AC$505,"&lt;="&amp;$A272,実績!$AD$6:$AD$505,"&gt;"&amp;$A272,実績!$AE$6:$AE$505,"○")&gt;0,1,0))</f>
        <v/>
      </c>
      <c r="BN272">
        <f>IF(BN$4=0,0,IF(COUNTIFS(実績!$W$6:$W$505,BN$3,実績!$AC$6:$AC$505,"&lt;="&amp;$A272,実績!$AD$6:$AD$505,"&gt;"&amp;$A272,実績!$AE$6:$AE$505,"○")&gt;0,1,0))</f>
        <v/>
      </c>
      <c r="BO272">
        <f>IF(BO$4=0,0,IF(COUNTIFS(実績!$W$6:$W$505,BO$3,実績!$AC$6:$AC$505,"&lt;="&amp;$A272,実績!$AD$6:$AD$505,"&gt;"&amp;$A272,実績!$AE$6:$AE$505,"○")&gt;0,1,0))</f>
        <v/>
      </c>
      <c r="BP272">
        <f>IF(BP$4=0,0,IF(COUNTIFS(実績!$W$6:$W$505,BP$3,実績!$AC$6:$AC$505,"&lt;="&amp;$A272,実績!$AD$6:$AD$505,"&gt;"&amp;$A272,実績!$AE$6:$AE$505,"○")&gt;0,1,0))</f>
        <v/>
      </c>
      <c r="BQ272">
        <f>IF(BQ$4=0,0,IF(COUNTIFS(実績!$W$6:$W$505,BQ$3,実績!$AC$6:$AC$505,"&lt;="&amp;$A272,実績!$AD$6:$AD$505,"&gt;"&amp;$A272,実績!$AE$6:$AE$505,"○")&gt;0,1,0))</f>
        <v/>
      </c>
      <c r="BR272">
        <f>IF(BR$4=0,0,IF(COUNTIFS(実績!$W$6:$W$505,BR$3,実績!$AC$6:$AC$505,"&lt;="&amp;$A272,実績!$AD$6:$AD$505,"&gt;"&amp;$A272,実績!$AE$6:$AE$505,"○")&gt;0,1,0))</f>
        <v/>
      </c>
      <c r="BS272">
        <f>IF(BS$4=0,0,IF(COUNTIFS(実績!$W$6:$W$505,BS$3,実績!$AC$6:$AC$505,"&lt;="&amp;$A272,実績!$AD$6:$AD$505,"&gt;"&amp;$A272,実績!$AE$6:$AE$505,"○")&gt;0,1,0))</f>
        <v/>
      </c>
      <c r="BT272">
        <f>IF(BT$4=0,0,IF(COUNTIFS(実績!$W$6:$W$505,BT$3,実績!$AC$6:$AC$505,"&lt;="&amp;$A272,実績!$AD$6:$AD$505,"&gt;"&amp;$A272,実績!$AE$6:$AE$505,"○")&gt;0,1,0))</f>
        <v/>
      </c>
      <c r="BU272">
        <f>IF(BU$4=0,0,IF(COUNTIFS(実績!$W$6:$W$505,BU$3,実績!$AC$6:$AC$505,"&lt;="&amp;$A272,実績!$AD$6:$AD$505,"&gt;"&amp;$A272,実績!$AE$6:$AE$505,"○")&gt;0,1,0))</f>
        <v/>
      </c>
      <c r="BV272">
        <f>IF(BV$4=0,0,IF(COUNTIFS(実績!$W$6:$W$505,BV$3,実績!$AC$6:$AC$505,"&lt;="&amp;$A272,実績!$AD$6:$AD$505,"&gt;"&amp;$A272,実績!$AE$6:$AE$505,"○")&gt;0,1,0))</f>
        <v/>
      </c>
      <c r="BW272">
        <f>IF(BW$4=0,0,IF(COUNTIFS(実績!$W$6:$W$505,BW$3,実績!$AC$6:$AC$505,"&lt;="&amp;$A272,実績!$AD$6:$AD$505,"&gt;"&amp;$A272,実績!$AE$6:$AE$505,"○")&gt;0,1,0))</f>
        <v/>
      </c>
      <c r="BX272">
        <f>IF(BX$4=0,0,IF(COUNTIFS(実績!$W$6:$W$505,BX$3,実績!$AC$6:$AC$505,"&lt;="&amp;$A272,実績!$AD$6:$AD$505,"&gt;"&amp;$A272,実績!$AE$6:$AE$505,"○")&gt;0,1,0))</f>
        <v/>
      </c>
      <c r="BY272">
        <f>IF(BY$4=0,0,IF(COUNTIFS(実績!$W$6:$W$505,BY$3,実績!$AC$6:$AC$505,"&lt;="&amp;$A272,実績!$AD$6:$AD$505,"&gt;"&amp;$A272,実績!$AE$6:$AE$505,"○")&gt;0,1,0))</f>
        <v/>
      </c>
      <c r="BZ272">
        <f>IF(BZ$4=0,0,IF(COUNTIFS(実績!$W$6:$W$505,BZ$3,実績!$AC$6:$AC$505,"&lt;="&amp;$A272,実績!$AD$6:$AD$505,"&gt;"&amp;$A272,実績!$AE$6:$AE$505,"○")&gt;0,1,0))</f>
        <v/>
      </c>
      <c r="CA272">
        <f>IF(CA$4=0,0,IF(COUNTIFS(実績!$W$6:$W$505,CA$3,実績!$AC$6:$AC$505,"&lt;="&amp;$A272,実績!$AD$6:$AD$505,"&gt;"&amp;$A272,実績!$AE$6:$AE$505,"○")&gt;0,1,0))</f>
        <v/>
      </c>
      <c r="CB272">
        <f>IF(CB$4=0,0,IF(COUNTIFS(実績!$W$6:$W$505,CB$3,実績!$AC$6:$AC$505,"&lt;="&amp;$A272,実績!$AD$6:$AD$505,"&gt;"&amp;$A272,実績!$AE$6:$AE$505,"○")&gt;0,1,0))</f>
        <v/>
      </c>
      <c r="CC272">
        <f>IF(CC$4=0,0,IF(COUNTIFS(実績!$W$6:$W$505,CC$3,実績!$AC$6:$AC$505,"&lt;="&amp;$A272,実績!$AD$6:$AD$505,"&gt;"&amp;$A272,実績!$AE$6:$AE$505,"○")&gt;0,1,0))</f>
        <v/>
      </c>
      <c r="CD272">
        <f>IF(CD$4=0,0,IF(COUNTIFS(実績!$W$6:$W$505,CD$3,実績!$AC$6:$AC$505,"&lt;="&amp;$A272,実績!$AD$6:$AD$505,"&gt;"&amp;$A272,実績!$AE$6:$AE$505,"○")&gt;0,1,0))</f>
        <v/>
      </c>
      <c r="CE272">
        <f>IF(CE$4=0,0,IF(COUNTIFS(実績!$W$6:$W$505,CE$3,実績!$AC$6:$AC$505,"&lt;="&amp;$A272,実績!$AD$6:$AD$505,"&gt;"&amp;$A272,実績!$AE$6:$AE$505,"○")&gt;0,1,0))</f>
        <v/>
      </c>
      <c r="CF272">
        <f>IF(CF$4=0,0,IF(COUNTIFS(実績!$W$6:$W$505,CF$3,実績!$AC$6:$AC$505,"&lt;="&amp;$A272,実績!$AD$6:$AD$505,"&gt;"&amp;$A272,実績!$AE$6:$AE$505,"○")&gt;0,1,0))</f>
        <v/>
      </c>
      <c r="CG272">
        <f>IF(CG$4=0,0,IF(COUNTIFS(実績!$W$6:$W$505,CG$3,実績!$AC$6:$AC$505,"&lt;="&amp;$A272,実績!$AD$6:$AD$505,"&gt;"&amp;$A272,実績!$AE$6:$AE$505,"○")&gt;0,1,0))</f>
        <v/>
      </c>
      <c r="CH272">
        <f>IF(CH$4=0,0,IF(COUNTIFS(実績!$W$6:$W$505,CH$3,実績!$AC$6:$AC$505,"&lt;="&amp;$A272,実績!$AD$6:$AD$505,"&gt;"&amp;$A272,実績!$AE$6:$AE$505,"○")&gt;0,1,0))</f>
        <v/>
      </c>
      <c r="CI272">
        <f>IF(CI$4=0,0,IF(COUNTIFS(実績!$W$6:$W$505,CI$3,実績!$AC$6:$AC$505,"&lt;="&amp;$A272,実績!$AD$6:$AD$505,"&gt;"&amp;$A272,実績!$AE$6:$AE$505,"○")&gt;0,1,0))</f>
        <v/>
      </c>
      <c r="CJ272">
        <f>IF(CJ$4=0,0,IF(COUNTIFS(実績!$W$6:$W$505,CJ$3,実績!$AC$6:$AC$505,"&lt;="&amp;$A272,実績!$AD$6:$AD$505,"&gt;"&amp;$A272,実績!$AE$6:$AE$505,"○")&gt;0,1,0))</f>
        <v/>
      </c>
      <c r="CK272">
        <f>IF(CK$4=0,0,IF(COUNTIFS(実績!$W$6:$W$505,CK$3,実績!$AC$6:$AC$505,"&lt;="&amp;$A272,実績!$AD$6:$AD$505,"&gt;"&amp;$A272,実績!$AE$6:$AE$505,"○")&gt;0,1,0))</f>
        <v/>
      </c>
      <c r="CL272">
        <f>IF(CL$4=0,0,IF(COUNTIFS(実績!$W$6:$W$505,CL$3,実績!$AC$6:$AC$505,"&lt;="&amp;$A272,実績!$AD$6:$AD$505,"&gt;"&amp;$A272,実績!$AE$6:$AE$505,"○")&gt;0,1,0))</f>
        <v/>
      </c>
      <c r="CM272">
        <f>IF(CM$4=0,0,IF(COUNTIFS(実績!$W$6:$W$505,CM$3,実績!$AC$6:$AC$505,"&lt;="&amp;$A272,実績!$AD$6:$AD$505,"&gt;"&amp;$A272,実績!$AE$6:$AE$505,"○")&gt;0,1,0))</f>
        <v/>
      </c>
      <c r="CN272">
        <f>IF(CN$4=0,0,IF(COUNTIFS(実績!$W$6:$W$505,CN$3,実績!$AC$6:$AC$505,"&lt;="&amp;$A272,実績!$AD$6:$AD$505,"&gt;"&amp;$A272,実績!$AE$6:$AE$505,"○")&gt;0,1,0))</f>
        <v/>
      </c>
      <c r="CO272">
        <f>IF(CO$4=0,0,IF(COUNTIFS(実績!$W$6:$W$505,CO$3,実績!$AC$6:$AC$505,"&lt;="&amp;$A272,実績!$AD$6:$AD$505,"&gt;"&amp;$A272,実績!$AE$6:$AE$505,"○")&gt;0,1,0))</f>
        <v/>
      </c>
      <c r="CP272">
        <f>IF(CP$4=0,0,IF(COUNTIFS(実績!$W$6:$W$505,CP$3,実績!$AC$6:$AC$505,"&lt;="&amp;$A272,実績!$AD$6:$AD$505,"&gt;"&amp;$A272,実績!$AE$6:$AE$505,"○")&gt;0,1,0))</f>
        <v/>
      </c>
      <c r="CQ272">
        <f>IF(CQ$4=0,0,IF(COUNTIFS(実績!$W$6:$W$505,CQ$3,実績!$AC$6:$AC$505,"&lt;="&amp;$A272,実績!$AD$6:$AD$505,"&gt;"&amp;$A272,実績!$AE$6:$AE$505,"○")&gt;0,1,0))</f>
        <v/>
      </c>
      <c r="CR272">
        <f>IF(CR$4=0,0,IF(COUNTIFS(実績!$W$6:$W$505,CR$3,実績!$AC$6:$AC$505,"&lt;="&amp;$A272,実績!$AD$6:$AD$505,"&gt;"&amp;$A272,実績!$AE$6:$AE$505,"○")&gt;0,1,0))</f>
        <v/>
      </c>
      <c r="CS272">
        <f>IF(CS$4=0,0,IF(COUNTIFS(実績!$W$6:$W$505,CS$3,実績!$AC$6:$AC$505,"&lt;="&amp;$A272,実績!$AD$6:$AD$505,"&gt;"&amp;$A272,実績!$AE$6:$AE$505,"○")&gt;0,1,0))</f>
        <v/>
      </c>
      <c r="CT272">
        <f>IF(CT$4=0,0,IF(COUNTIFS(実績!$W$6:$W$505,CT$3,実績!$AC$6:$AC$505,"&lt;="&amp;$A272,実績!$AD$6:$AD$505,"&gt;"&amp;$A272,実績!$AE$6:$AE$505,"○")&gt;0,1,0))</f>
        <v/>
      </c>
      <c r="CU272">
        <f>IF(CU$4=0,0,IF(COUNTIFS(実績!$W$6:$W$505,CU$3,実績!$AC$6:$AC$505,"&lt;="&amp;$A272,実績!$AD$6:$AD$505,"&gt;"&amp;$A272,実績!$AE$6:$AE$505,"○")&gt;0,1,0))</f>
        <v/>
      </c>
      <c r="CV272">
        <f>IF(CV$4=0,0,IF(COUNTIFS(実績!$W$6:$W$505,CV$3,実績!$AC$6:$AC$505,"&lt;="&amp;$A272,実績!$AD$6:$AD$505,"&gt;"&amp;$A272,実績!$AE$6:$AE$505,"○")&gt;0,1,0))</f>
        <v/>
      </c>
      <c r="CW272">
        <f>IF(CW$4=0,0,IF(COUNTIFS(実績!$W$6:$W$505,CW$3,実績!$AC$6:$AC$505,"&lt;="&amp;$A272,実績!$AD$6:$AD$505,"&gt;"&amp;$A272,実績!$AE$6:$AE$505,"○")&gt;0,1,0))</f>
        <v/>
      </c>
      <c r="CX272">
        <f>IF(CX$4=0,0,IF(COUNTIFS(実績!$W$6:$W$505,CX$3,実績!$AC$6:$AC$505,"&lt;="&amp;$A272,実績!$AD$6:$AD$505,"&gt;"&amp;$A272,実績!$AE$6:$AE$505,"○")&gt;0,1,0))</f>
        <v/>
      </c>
      <c r="CY272">
        <f>IF(CY$4=0,0,IF(COUNTIFS(実績!$W$6:$W$505,CY$3,実績!$AC$6:$AC$505,"&lt;="&amp;$A272,実績!$AD$6:$AD$505,"&gt;"&amp;$A272,実績!$AE$6:$AE$505,"○")&gt;0,1,0))</f>
        <v/>
      </c>
      <c r="CZ272">
        <f>IF(CZ$4=0,0,IF(COUNTIFS(実績!$W$6:$W$505,CZ$3,実績!$AC$6:$AC$505,"&lt;="&amp;$A272,実績!$AD$6:$AD$505,"&gt;"&amp;$A272,実績!$AE$6:$AE$505,"○")&gt;0,1,0))</f>
        <v/>
      </c>
      <c r="DA272">
        <f>IF(DA$4=0,0,IF(COUNTIFS(実績!$W$6:$W$505,DA$3,実績!$AC$6:$AC$505,"&lt;="&amp;$A272,実績!$AD$6:$AD$505,"&gt;"&amp;$A272,実績!$AE$6:$AE$505,"○")&gt;0,1,0))</f>
        <v/>
      </c>
      <c r="DB272">
        <f>IF(DB$4=0,0,IF(COUNTIFS(実績!$W$6:$W$505,DB$3,実績!$AC$6:$AC$505,"&lt;="&amp;$A272,実績!$AD$6:$AD$505,"&gt;"&amp;$A272,実績!$AE$6:$AE$505,"○")&gt;0,1,0))</f>
        <v/>
      </c>
      <c r="DC272">
        <f>IF(DC$4=0,0,IF(COUNTIFS(実績!$W$6:$W$505,DC$3,実績!$AC$6:$AC$505,"&lt;="&amp;$A272,実績!$AD$6:$AD$505,"&gt;"&amp;$A272,実績!$AE$6:$AE$505,"○")&gt;0,1,0))</f>
        <v/>
      </c>
      <c r="DD272">
        <f>IF(DD$4=0,0,IF(COUNTIFS(実績!$W$6:$W$505,DD$3,実績!$AC$6:$AC$505,"&lt;="&amp;$A272,実績!$AD$6:$AD$505,"&gt;"&amp;$A272,実績!$AE$6:$AE$505,"○")&gt;0,1,0))</f>
        <v/>
      </c>
      <c r="DE272">
        <f>IF(DE$4=0,0,IF(COUNTIFS(実績!$W$6:$W$505,DE$3,実績!$AC$6:$AC$505,"&lt;="&amp;$A272,実績!$AD$6:$AD$505,"&gt;"&amp;$A272,実績!$AE$6:$AE$505,"○")&gt;0,1,0))</f>
        <v/>
      </c>
      <c r="DF272">
        <f>IF(DF$4=0,0,IF(COUNTIFS(実績!$W$6:$W$505,DF$3,実績!$AC$6:$AC$505,"&lt;="&amp;$A272,実績!$AD$6:$AD$505,"&gt;"&amp;$A272,実績!$AE$6:$AE$505,"○")&gt;0,1,0))</f>
        <v/>
      </c>
      <c r="DG272">
        <f>IF(DG$4=0,0,IF(COUNTIFS(実績!$W$6:$W$505,DG$3,実績!$AC$6:$AC$505,"&lt;="&amp;$A272,実績!$AD$6:$AD$505,"&gt;"&amp;$A272,実績!$AE$6:$AE$505,"○")&gt;0,1,0))</f>
        <v/>
      </c>
      <c r="DH272">
        <f>IF(DH$4=0,0,IF(COUNTIFS(実績!$W$6:$W$505,DH$3,実績!$AC$6:$AC$505,"&lt;="&amp;$A272,実績!$AD$6:$AD$505,"&gt;"&amp;$A272,実績!$AE$6:$AE$505,"○")&gt;0,1,0))</f>
        <v/>
      </c>
      <c r="DI272">
        <f>IF(DI$4=0,0,IF(COUNTIFS(実績!$W$6:$W$505,DI$3,実績!$AC$6:$AC$505,"&lt;="&amp;$A272,実績!$AD$6:$AD$505,"&gt;"&amp;$A272,実績!$AE$6:$AE$505,"○")&gt;0,1,0))</f>
        <v/>
      </c>
      <c r="DJ272">
        <f>IF(DJ$4=0,0,IF(COUNTIFS(実績!$W$6:$W$505,DJ$3,実績!$AC$6:$AC$505,"&lt;="&amp;$A272,実績!$AD$6:$AD$505,"&gt;"&amp;$A272,実績!$AE$6:$AE$505,"○")&gt;0,1,0))</f>
        <v/>
      </c>
      <c r="DK272">
        <f>IF(DK$4=0,0,IF(COUNTIFS(実績!$W$6:$W$505,DK$3,実績!$AC$6:$AC$505,"&lt;="&amp;$A272,実績!$AD$6:$AD$505,"&gt;"&amp;$A272,実績!$AE$6:$AE$505,"○")&gt;0,1,0))</f>
        <v/>
      </c>
      <c r="DL272">
        <f>IF(DL$4=0,0,IF(COUNTIFS(実績!$W$6:$W$505,DL$3,実績!$AC$6:$AC$505,"&lt;="&amp;$A272,実績!$AD$6:$AD$505,"&gt;"&amp;$A272,実績!$AE$6:$AE$505,"○")&gt;0,1,0))</f>
        <v/>
      </c>
      <c r="DM272">
        <f>IF(DM$4=0,0,IF(COUNTIFS(実績!$W$6:$W$505,DM$3,実績!$AC$6:$AC$505,"&lt;="&amp;$A272,実績!$AD$6:$AD$505,"&gt;"&amp;$A272,実績!$AE$6:$AE$505,"○")&gt;0,1,0))</f>
        <v/>
      </c>
      <c r="DN272">
        <f>IF(DN$4=0,0,IF(COUNTIFS(実績!$W$6:$W$505,DN$3,実績!$AC$6:$AC$505,"&lt;="&amp;$A272,実績!$AD$6:$AD$505,"&gt;"&amp;$A272,実績!$AE$6:$AE$505,"○")&gt;0,1,0))</f>
        <v/>
      </c>
      <c r="DO272">
        <f>IF(DO$4=0,0,IF(COUNTIFS(実績!$W$6:$W$505,DO$3,実績!$AC$6:$AC$505,"&lt;="&amp;$A272,実績!$AD$6:$AD$505,"&gt;"&amp;$A272,実績!$AE$6:$AE$505,"○")&gt;0,1,0))</f>
        <v/>
      </c>
      <c r="DP272">
        <f>IF(DP$4=0,0,IF(COUNTIFS(実績!$W$6:$W$505,DP$3,実績!$AC$6:$AC$505,"&lt;="&amp;$A272,実績!$AD$6:$AD$505,"&gt;"&amp;$A272,実績!$AE$6:$AE$505,"○")&gt;0,1,0))</f>
        <v/>
      </c>
      <c r="DQ272">
        <f>IF(DQ$4=0,0,IF(COUNTIFS(実績!$W$6:$W$505,DQ$3,実績!$AC$6:$AC$505,"&lt;="&amp;$A272,実績!$AD$6:$AD$505,"&gt;"&amp;$A272,実績!$AE$6:$AE$505,"○")&gt;0,1,0))</f>
        <v/>
      </c>
      <c r="DR272">
        <f>IF(DR$4=0,0,IF(COUNTIFS(実績!$W$6:$W$505,DR$3,実績!$AC$6:$AC$505,"&lt;="&amp;$A272,実績!$AD$6:$AD$505,"&gt;"&amp;$A272,実績!$AE$6:$AE$505,"○")&gt;0,1,0))</f>
        <v/>
      </c>
      <c r="DS272">
        <f>SUM(C272:DR272)</f>
        <v/>
      </c>
      <c r="DT272">
        <f>SUMPRODUCT((実績!$C$6:$C$505="○")*ISNUMBER(実績!$AF$6:$AF$505)*(実績!$AF$6:$AF$505&lt;=$A272)*(実績!$AG$6:$AG$505&gt;$A272))</f>
        <v/>
      </c>
      <c r="DU272">
        <f>SUMIF($C$2:$DR$2,"製鉄曳船",C272:DR272)</f>
        <v/>
      </c>
      <c r="DV272">
        <f>SUMIF($C$2:$DR$2,"西日本海運",C272:DR272)</f>
        <v/>
      </c>
    </row>
    <row r="273">
      <c r="A273" t="n">
        <v>1335</v>
      </c>
      <c r="B273" s="29">
        <f>A273/1440</f>
        <v/>
      </c>
      <c r="C273">
        <f>IF(C$4=0,0,IF(COUNTIFS(実績!$W$6:$W$505,C$3,実績!$AC$6:$AC$505,"&lt;="&amp;$A273,実績!$AD$6:$AD$505,"&gt;"&amp;$A273,実績!$AE$6:$AE$505,"○")&gt;0,1,0))</f>
        <v/>
      </c>
      <c r="D273">
        <f>IF(D$4=0,0,IF(COUNTIFS(実績!$W$6:$W$505,D$3,実績!$AC$6:$AC$505,"&lt;="&amp;$A273,実績!$AD$6:$AD$505,"&gt;"&amp;$A273,実績!$AE$6:$AE$505,"○")&gt;0,1,0))</f>
        <v/>
      </c>
      <c r="E273">
        <f>IF(E$4=0,0,IF(COUNTIFS(実績!$W$6:$W$505,E$3,実績!$AC$6:$AC$505,"&lt;="&amp;$A273,実績!$AD$6:$AD$505,"&gt;"&amp;$A273,実績!$AE$6:$AE$505,"○")&gt;0,1,0))</f>
        <v/>
      </c>
      <c r="F273">
        <f>IF(F$4=0,0,IF(COUNTIFS(実績!$W$6:$W$505,F$3,実績!$AC$6:$AC$505,"&lt;="&amp;$A273,実績!$AD$6:$AD$505,"&gt;"&amp;$A273,実績!$AE$6:$AE$505,"○")&gt;0,1,0))</f>
        <v/>
      </c>
      <c r="G273">
        <f>IF(G$4=0,0,IF(COUNTIFS(実績!$W$6:$W$505,G$3,実績!$AC$6:$AC$505,"&lt;="&amp;$A273,実績!$AD$6:$AD$505,"&gt;"&amp;$A273,実績!$AE$6:$AE$505,"○")&gt;0,1,0))</f>
        <v/>
      </c>
      <c r="H273">
        <f>IF(H$4=0,0,IF(COUNTIFS(実績!$W$6:$W$505,H$3,実績!$AC$6:$AC$505,"&lt;="&amp;$A273,実績!$AD$6:$AD$505,"&gt;"&amp;$A273,実績!$AE$6:$AE$505,"○")&gt;0,1,0))</f>
        <v/>
      </c>
      <c r="I273">
        <f>IF(I$4=0,0,IF(COUNTIFS(実績!$W$6:$W$505,I$3,実績!$AC$6:$AC$505,"&lt;="&amp;$A273,実績!$AD$6:$AD$505,"&gt;"&amp;$A273,実績!$AE$6:$AE$505,"○")&gt;0,1,0))</f>
        <v/>
      </c>
      <c r="J273">
        <f>IF(J$4=0,0,IF(COUNTIFS(実績!$W$6:$W$505,J$3,実績!$AC$6:$AC$505,"&lt;="&amp;$A273,実績!$AD$6:$AD$505,"&gt;"&amp;$A273,実績!$AE$6:$AE$505,"○")&gt;0,1,0))</f>
        <v/>
      </c>
      <c r="K273">
        <f>IF(K$4=0,0,IF(COUNTIFS(実績!$W$6:$W$505,K$3,実績!$AC$6:$AC$505,"&lt;="&amp;$A273,実績!$AD$6:$AD$505,"&gt;"&amp;$A273,実績!$AE$6:$AE$505,"○")&gt;0,1,0))</f>
        <v/>
      </c>
      <c r="L273">
        <f>IF(L$4=0,0,IF(COUNTIFS(実績!$W$6:$W$505,L$3,実績!$AC$6:$AC$505,"&lt;="&amp;$A273,実績!$AD$6:$AD$505,"&gt;"&amp;$A273,実績!$AE$6:$AE$505,"○")&gt;0,1,0))</f>
        <v/>
      </c>
      <c r="M273">
        <f>IF(M$4=0,0,IF(COUNTIFS(実績!$W$6:$W$505,M$3,実績!$AC$6:$AC$505,"&lt;="&amp;$A273,実績!$AD$6:$AD$505,"&gt;"&amp;$A273,実績!$AE$6:$AE$505,"○")&gt;0,1,0))</f>
        <v/>
      </c>
      <c r="N273">
        <f>IF(N$4=0,0,IF(COUNTIFS(実績!$W$6:$W$505,N$3,実績!$AC$6:$AC$505,"&lt;="&amp;$A273,実績!$AD$6:$AD$505,"&gt;"&amp;$A273,実績!$AE$6:$AE$505,"○")&gt;0,1,0))</f>
        <v/>
      </c>
      <c r="O273">
        <f>IF(O$4=0,0,IF(COUNTIFS(実績!$W$6:$W$505,O$3,実績!$AC$6:$AC$505,"&lt;="&amp;$A273,実績!$AD$6:$AD$505,"&gt;"&amp;$A273,実績!$AE$6:$AE$505,"○")&gt;0,1,0))</f>
        <v/>
      </c>
      <c r="P273">
        <f>IF(P$4=0,0,IF(COUNTIFS(実績!$W$6:$W$505,P$3,実績!$AC$6:$AC$505,"&lt;="&amp;$A273,実績!$AD$6:$AD$505,"&gt;"&amp;$A273,実績!$AE$6:$AE$505,"○")&gt;0,1,0))</f>
        <v/>
      </c>
      <c r="Q273">
        <f>IF(Q$4=0,0,IF(COUNTIFS(実績!$W$6:$W$505,Q$3,実績!$AC$6:$AC$505,"&lt;="&amp;$A273,実績!$AD$6:$AD$505,"&gt;"&amp;$A273,実績!$AE$6:$AE$505,"○")&gt;0,1,0))</f>
        <v/>
      </c>
      <c r="R273">
        <f>IF(R$4=0,0,IF(COUNTIFS(実績!$W$6:$W$505,R$3,実績!$AC$6:$AC$505,"&lt;="&amp;$A273,実績!$AD$6:$AD$505,"&gt;"&amp;$A273,実績!$AE$6:$AE$505,"○")&gt;0,1,0))</f>
        <v/>
      </c>
      <c r="S273">
        <f>IF(S$4=0,0,IF(COUNTIFS(実績!$W$6:$W$505,S$3,実績!$AC$6:$AC$505,"&lt;="&amp;$A273,実績!$AD$6:$AD$505,"&gt;"&amp;$A273,実績!$AE$6:$AE$505,"○")&gt;0,1,0))</f>
        <v/>
      </c>
      <c r="T273">
        <f>IF(T$4=0,0,IF(COUNTIFS(実績!$W$6:$W$505,T$3,実績!$AC$6:$AC$505,"&lt;="&amp;$A273,実績!$AD$6:$AD$505,"&gt;"&amp;$A273,実績!$AE$6:$AE$505,"○")&gt;0,1,0))</f>
        <v/>
      </c>
      <c r="U273">
        <f>IF(U$4=0,0,IF(COUNTIFS(実績!$W$6:$W$505,U$3,実績!$AC$6:$AC$505,"&lt;="&amp;$A273,実績!$AD$6:$AD$505,"&gt;"&amp;$A273,実績!$AE$6:$AE$505,"○")&gt;0,1,0))</f>
        <v/>
      </c>
      <c r="V273">
        <f>IF(V$4=0,0,IF(COUNTIFS(実績!$W$6:$W$505,V$3,実績!$AC$6:$AC$505,"&lt;="&amp;$A273,実績!$AD$6:$AD$505,"&gt;"&amp;$A273,実績!$AE$6:$AE$505,"○")&gt;0,1,0))</f>
        <v/>
      </c>
      <c r="W273">
        <f>IF(W$4=0,0,IF(COUNTIFS(実績!$W$6:$W$505,W$3,実績!$AC$6:$AC$505,"&lt;="&amp;$A273,実績!$AD$6:$AD$505,"&gt;"&amp;$A273,実績!$AE$6:$AE$505,"○")&gt;0,1,0))</f>
        <v/>
      </c>
      <c r="X273">
        <f>IF(X$4=0,0,IF(COUNTIFS(実績!$W$6:$W$505,X$3,実績!$AC$6:$AC$505,"&lt;="&amp;$A273,実績!$AD$6:$AD$505,"&gt;"&amp;$A273,実績!$AE$6:$AE$505,"○")&gt;0,1,0))</f>
        <v/>
      </c>
      <c r="Y273">
        <f>IF(Y$4=0,0,IF(COUNTIFS(実績!$W$6:$W$505,Y$3,実績!$AC$6:$AC$505,"&lt;="&amp;$A273,実績!$AD$6:$AD$505,"&gt;"&amp;$A273,実績!$AE$6:$AE$505,"○")&gt;0,1,0))</f>
        <v/>
      </c>
      <c r="Z273">
        <f>IF(Z$4=0,0,IF(COUNTIFS(実績!$W$6:$W$505,Z$3,実績!$AC$6:$AC$505,"&lt;="&amp;$A273,実績!$AD$6:$AD$505,"&gt;"&amp;$A273,実績!$AE$6:$AE$505,"○")&gt;0,1,0))</f>
        <v/>
      </c>
      <c r="AA273">
        <f>IF(AA$4=0,0,IF(COUNTIFS(実績!$W$6:$W$505,AA$3,実績!$AC$6:$AC$505,"&lt;="&amp;$A273,実績!$AD$6:$AD$505,"&gt;"&amp;$A273,実績!$AE$6:$AE$505,"○")&gt;0,1,0))</f>
        <v/>
      </c>
      <c r="AB273">
        <f>IF(AB$4=0,0,IF(COUNTIFS(実績!$W$6:$W$505,AB$3,実績!$AC$6:$AC$505,"&lt;="&amp;$A273,実績!$AD$6:$AD$505,"&gt;"&amp;$A273,実績!$AE$6:$AE$505,"○")&gt;0,1,0))</f>
        <v/>
      </c>
      <c r="AC273">
        <f>IF(AC$4=0,0,IF(COUNTIFS(実績!$W$6:$W$505,AC$3,実績!$AC$6:$AC$505,"&lt;="&amp;$A273,実績!$AD$6:$AD$505,"&gt;"&amp;$A273,実績!$AE$6:$AE$505,"○")&gt;0,1,0))</f>
        <v/>
      </c>
      <c r="AD273">
        <f>IF(AD$4=0,0,IF(COUNTIFS(実績!$W$6:$W$505,AD$3,実績!$AC$6:$AC$505,"&lt;="&amp;$A273,実績!$AD$6:$AD$505,"&gt;"&amp;$A273,実績!$AE$6:$AE$505,"○")&gt;0,1,0))</f>
        <v/>
      </c>
      <c r="AE273">
        <f>IF(AE$4=0,0,IF(COUNTIFS(実績!$W$6:$W$505,AE$3,実績!$AC$6:$AC$505,"&lt;="&amp;$A273,実績!$AD$6:$AD$505,"&gt;"&amp;$A273,実績!$AE$6:$AE$505,"○")&gt;0,1,0))</f>
        <v/>
      </c>
      <c r="AF273">
        <f>IF(AF$4=0,0,IF(COUNTIFS(実績!$W$6:$W$505,AF$3,実績!$AC$6:$AC$505,"&lt;="&amp;$A273,実績!$AD$6:$AD$505,"&gt;"&amp;$A273,実績!$AE$6:$AE$505,"○")&gt;0,1,0))</f>
        <v/>
      </c>
      <c r="AG273">
        <f>IF(AG$4=0,0,IF(COUNTIFS(実績!$W$6:$W$505,AG$3,実績!$AC$6:$AC$505,"&lt;="&amp;$A273,実績!$AD$6:$AD$505,"&gt;"&amp;$A273,実績!$AE$6:$AE$505,"○")&gt;0,1,0))</f>
        <v/>
      </c>
      <c r="AH273">
        <f>IF(AH$4=0,0,IF(COUNTIFS(実績!$W$6:$W$505,AH$3,実績!$AC$6:$AC$505,"&lt;="&amp;$A273,実績!$AD$6:$AD$505,"&gt;"&amp;$A273,実績!$AE$6:$AE$505,"○")&gt;0,1,0))</f>
        <v/>
      </c>
      <c r="AI273">
        <f>IF(AI$4=0,0,IF(COUNTIFS(実績!$W$6:$W$505,AI$3,実績!$AC$6:$AC$505,"&lt;="&amp;$A273,実績!$AD$6:$AD$505,"&gt;"&amp;$A273,実績!$AE$6:$AE$505,"○")&gt;0,1,0))</f>
        <v/>
      </c>
      <c r="AJ273">
        <f>IF(AJ$4=0,0,IF(COUNTIFS(実績!$W$6:$W$505,AJ$3,実績!$AC$6:$AC$505,"&lt;="&amp;$A273,実績!$AD$6:$AD$505,"&gt;"&amp;$A273,実績!$AE$6:$AE$505,"○")&gt;0,1,0))</f>
        <v/>
      </c>
      <c r="AK273">
        <f>IF(AK$4=0,0,IF(COUNTIFS(実績!$W$6:$W$505,AK$3,実績!$AC$6:$AC$505,"&lt;="&amp;$A273,実績!$AD$6:$AD$505,"&gt;"&amp;$A273,実績!$AE$6:$AE$505,"○")&gt;0,1,0))</f>
        <v/>
      </c>
      <c r="AL273">
        <f>IF(AL$4=0,0,IF(COUNTIFS(実績!$W$6:$W$505,AL$3,実績!$AC$6:$AC$505,"&lt;="&amp;$A273,実績!$AD$6:$AD$505,"&gt;"&amp;$A273,実績!$AE$6:$AE$505,"○")&gt;0,1,0))</f>
        <v/>
      </c>
      <c r="AM273">
        <f>IF(AM$4=0,0,IF(COUNTIFS(実績!$W$6:$W$505,AM$3,実績!$AC$6:$AC$505,"&lt;="&amp;$A273,実績!$AD$6:$AD$505,"&gt;"&amp;$A273,実績!$AE$6:$AE$505,"○")&gt;0,1,0))</f>
        <v/>
      </c>
      <c r="AN273">
        <f>IF(AN$4=0,0,IF(COUNTIFS(実績!$W$6:$W$505,AN$3,実績!$AC$6:$AC$505,"&lt;="&amp;$A273,実績!$AD$6:$AD$505,"&gt;"&amp;$A273,実績!$AE$6:$AE$505,"○")&gt;0,1,0))</f>
        <v/>
      </c>
      <c r="AO273">
        <f>IF(AO$4=0,0,IF(COUNTIFS(実績!$W$6:$W$505,AO$3,実績!$AC$6:$AC$505,"&lt;="&amp;$A273,実績!$AD$6:$AD$505,"&gt;"&amp;$A273,実績!$AE$6:$AE$505,"○")&gt;0,1,0))</f>
        <v/>
      </c>
      <c r="AP273">
        <f>IF(AP$4=0,0,IF(COUNTIFS(実績!$W$6:$W$505,AP$3,実績!$AC$6:$AC$505,"&lt;="&amp;$A273,実績!$AD$6:$AD$505,"&gt;"&amp;$A273,実績!$AE$6:$AE$505,"○")&gt;0,1,0))</f>
        <v/>
      </c>
      <c r="AQ273">
        <f>IF(AQ$4=0,0,IF(COUNTIFS(実績!$W$6:$W$505,AQ$3,実績!$AC$6:$AC$505,"&lt;="&amp;$A273,実績!$AD$6:$AD$505,"&gt;"&amp;$A273,実績!$AE$6:$AE$505,"○")&gt;0,1,0))</f>
        <v/>
      </c>
      <c r="AR273">
        <f>IF(AR$4=0,0,IF(COUNTIFS(実績!$W$6:$W$505,AR$3,実績!$AC$6:$AC$505,"&lt;="&amp;$A273,実績!$AD$6:$AD$505,"&gt;"&amp;$A273,実績!$AE$6:$AE$505,"○")&gt;0,1,0))</f>
        <v/>
      </c>
      <c r="AS273">
        <f>IF(AS$4=0,0,IF(COUNTIFS(実績!$W$6:$W$505,AS$3,実績!$AC$6:$AC$505,"&lt;="&amp;$A273,実績!$AD$6:$AD$505,"&gt;"&amp;$A273,実績!$AE$6:$AE$505,"○")&gt;0,1,0))</f>
        <v/>
      </c>
      <c r="AT273">
        <f>IF(AT$4=0,0,IF(COUNTIFS(実績!$W$6:$W$505,AT$3,実績!$AC$6:$AC$505,"&lt;="&amp;$A273,実績!$AD$6:$AD$505,"&gt;"&amp;$A273,実績!$AE$6:$AE$505,"○")&gt;0,1,0))</f>
        <v/>
      </c>
      <c r="AU273">
        <f>IF(AU$4=0,0,IF(COUNTIFS(実績!$W$6:$W$505,AU$3,実績!$AC$6:$AC$505,"&lt;="&amp;$A273,実績!$AD$6:$AD$505,"&gt;"&amp;$A273,実績!$AE$6:$AE$505,"○")&gt;0,1,0))</f>
        <v/>
      </c>
      <c r="AV273">
        <f>IF(AV$4=0,0,IF(COUNTIFS(実績!$W$6:$W$505,AV$3,実績!$AC$6:$AC$505,"&lt;="&amp;$A273,実績!$AD$6:$AD$505,"&gt;"&amp;$A273,実績!$AE$6:$AE$505,"○")&gt;0,1,0))</f>
        <v/>
      </c>
      <c r="AW273">
        <f>IF(AW$4=0,0,IF(COUNTIFS(実績!$W$6:$W$505,AW$3,実績!$AC$6:$AC$505,"&lt;="&amp;$A273,実績!$AD$6:$AD$505,"&gt;"&amp;$A273,実績!$AE$6:$AE$505,"○")&gt;0,1,0))</f>
        <v/>
      </c>
      <c r="AX273">
        <f>IF(AX$4=0,0,IF(COUNTIFS(実績!$W$6:$W$505,AX$3,実績!$AC$6:$AC$505,"&lt;="&amp;$A273,実績!$AD$6:$AD$505,"&gt;"&amp;$A273,実績!$AE$6:$AE$505,"○")&gt;0,1,0))</f>
        <v/>
      </c>
      <c r="AY273">
        <f>IF(AY$4=0,0,IF(COUNTIFS(実績!$W$6:$W$505,AY$3,実績!$AC$6:$AC$505,"&lt;="&amp;$A273,実績!$AD$6:$AD$505,"&gt;"&amp;$A273,実績!$AE$6:$AE$505,"○")&gt;0,1,0))</f>
        <v/>
      </c>
      <c r="AZ273">
        <f>IF(AZ$4=0,0,IF(COUNTIFS(実績!$W$6:$W$505,AZ$3,実績!$AC$6:$AC$505,"&lt;="&amp;$A273,実績!$AD$6:$AD$505,"&gt;"&amp;$A273,実績!$AE$6:$AE$505,"○")&gt;0,1,0))</f>
        <v/>
      </c>
      <c r="BA273">
        <f>IF(BA$4=0,0,IF(COUNTIFS(実績!$W$6:$W$505,BA$3,実績!$AC$6:$AC$505,"&lt;="&amp;$A273,実績!$AD$6:$AD$505,"&gt;"&amp;$A273,実績!$AE$6:$AE$505,"○")&gt;0,1,0))</f>
        <v/>
      </c>
      <c r="BB273">
        <f>IF(BB$4=0,0,IF(COUNTIFS(実績!$W$6:$W$505,BB$3,実績!$AC$6:$AC$505,"&lt;="&amp;$A273,実績!$AD$6:$AD$505,"&gt;"&amp;$A273,実績!$AE$6:$AE$505,"○")&gt;0,1,0))</f>
        <v/>
      </c>
      <c r="BC273">
        <f>IF(BC$4=0,0,IF(COUNTIFS(実績!$W$6:$W$505,BC$3,実績!$AC$6:$AC$505,"&lt;="&amp;$A273,実績!$AD$6:$AD$505,"&gt;"&amp;$A273,実績!$AE$6:$AE$505,"○")&gt;0,1,0))</f>
        <v/>
      </c>
      <c r="BD273">
        <f>IF(BD$4=0,0,IF(COUNTIFS(実績!$W$6:$W$505,BD$3,実績!$AC$6:$AC$505,"&lt;="&amp;$A273,実績!$AD$6:$AD$505,"&gt;"&amp;$A273,実績!$AE$6:$AE$505,"○")&gt;0,1,0))</f>
        <v/>
      </c>
      <c r="BE273">
        <f>IF(BE$4=0,0,IF(COUNTIFS(実績!$W$6:$W$505,BE$3,実績!$AC$6:$AC$505,"&lt;="&amp;$A273,実績!$AD$6:$AD$505,"&gt;"&amp;$A273,実績!$AE$6:$AE$505,"○")&gt;0,1,0))</f>
        <v/>
      </c>
      <c r="BF273">
        <f>IF(BF$4=0,0,IF(COUNTIFS(実績!$W$6:$W$505,BF$3,実績!$AC$6:$AC$505,"&lt;="&amp;$A273,実績!$AD$6:$AD$505,"&gt;"&amp;$A273,実績!$AE$6:$AE$505,"○")&gt;0,1,0))</f>
        <v/>
      </c>
      <c r="BG273">
        <f>IF(BG$4=0,0,IF(COUNTIFS(実績!$W$6:$W$505,BG$3,実績!$AC$6:$AC$505,"&lt;="&amp;$A273,実績!$AD$6:$AD$505,"&gt;"&amp;$A273,実績!$AE$6:$AE$505,"○")&gt;0,1,0))</f>
        <v/>
      </c>
      <c r="BH273">
        <f>IF(BH$4=0,0,IF(COUNTIFS(実績!$W$6:$W$505,BH$3,実績!$AC$6:$AC$505,"&lt;="&amp;$A273,実績!$AD$6:$AD$505,"&gt;"&amp;$A273,実績!$AE$6:$AE$505,"○")&gt;0,1,0))</f>
        <v/>
      </c>
      <c r="BI273">
        <f>IF(BI$4=0,0,IF(COUNTIFS(実績!$W$6:$W$505,BI$3,実績!$AC$6:$AC$505,"&lt;="&amp;$A273,実績!$AD$6:$AD$505,"&gt;"&amp;$A273,実績!$AE$6:$AE$505,"○")&gt;0,1,0))</f>
        <v/>
      </c>
      <c r="BJ273">
        <f>IF(BJ$4=0,0,IF(COUNTIFS(実績!$W$6:$W$505,BJ$3,実績!$AC$6:$AC$505,"&lt;="&amp;$A273,実績!$AD$6:$AD$505,"&gt;"&amp;$A273,実績!$AE$6:$AE$505,"○")&gt;0,1,0))</f>
        <v/>
      </c>
      <c r="BK273">
        <f>IF(BK$4=0,0,IF(COUNTIFS(実績!$W$6:$W$505,BK$3,実績!$AC$6:$AC$505,"&lt;="&amp;$A273,実績!$AD$6:$AD$505,"&gt;"&amp;$A273,実績!$AE$6:$AE$505,"○")&gt;0,1,0))</f>
        <v/>
      </c>
      <c r="BL273">
        <f>IF(BL$4=0,0,IF(COUNTIFS(実績!$W$6:$W$505,BL$3,実績!$AC$6:$AC$505,"&lt;="&amp;$A273,実績!$AD$6:$AD$505,"&gt;"&amp;$A273,実績!$AE$6:$AE$505,"○")&gt;0,1,0))</f>
        <v/>
      </c>
      <c r="BM273">
        <f>IF(BM$4=0,0,IF(COUNTIFS(実績!$W$6:$W$505,BM$3,実績!$AC$6:$AC$505,"&lt;="&amp;$A273,実績!$AD$6:$AD$505,"&gt;"&amp;$A273,実績!$AE$6:$AE$505,"○")&gt;0,1,0))</f>
        <v/>
      </c>
      <c r="BN273">
        <f>IF(BN$4=0,0,IF(COUNTIFS(実績!$W$6:$W$505,BN$3,実績!$AC$6:$AC$505,"&lt;="&amp;$A273,実績!$AD$6:$AD$505,"&gt;"&amp;$A273,実績!$AE$6:$AE$505,"○")&gt;0,1,0))</f>
        <v/>
      </c>
      <c r="BO273">
        <f>IF(BO$4=0,0,IF(COUNTIFS(実績!$W$6:$W$505,BO$3,実績!$AC$6:$AC$505,"&lt;="&amp;$A273,実績!$AD$6:$AD$505,"&gt;"&amp;$A273,実績!$AE$6:$AE$505,"○")&gt;0,1,0))</f>
        <v/>
      </c>
      <c r="BP273">
        <f>IF(BP$4=0,0,IF(COUNTIFS(実績!$W$6:$W$505,BP$3,実績!$AC$6:$AC$505,"&lt;="&amp;$A273,実績!$AD$6:$AD$505,"&gt;"&amp;$A273,実績!$AE$6:$AE$505,"○")&gt;0,1,0))</f>
        <v/>
      </c>
      <c r="BQ273">
        <f>IF(BQ$4=0,0,IF(COUNTIFS(実績!$W$6:$W$505,BQ$3,実績!$AC$6:$AC$505,"&lt;="&amp;$A273,実績!$AD$6:$AD$505,"&gt;"&amp;$A273,実績!$AE$6:$AE$505,"○")&gt;0,1,0))</f>
        <v/>
      </c>
      <c r="BR273">
        <f>IF(BR$4=0,0,IF(COUNTIFS(実績!$W$6:$W$505,BR$3,実績!$AC$6:$AC$505,"&lt;="&amp;$A273,実績!$AD$6:$AD$505,"&gt;"&amp;$A273,実績!$AE$6:$AE$505,"○")&gt;0,1,0))</f>
        <v/>
      </c>
      <c r="BS273">
        <f>IF(BS$4=0,0,IF(COUNTIFS(実績!$W$6:$W$505,BS$3,実績!$AC$6:$AC$505,"&lt;="&amp;$A273,実績!$AD$6:$AD$505,"&gt;"&amp;$A273,実績!$AE$6:$AE$505,"○")&gt;0,1,0))</f>
        <v/>
      </c>
      <c r="BT273">
        <f>IF(BT$4=0,0,IF(COUNTIFS(実績!$W$6:$W$505,BT$3,実績!$AC$6:$AC$505,"&lt;="&amp;$A273,実績!$AD$6:$AD$505,"&gt;"&amp;$A273,実績!$AE$6:$AE$505,"○")&gt;0,1,0))</f>
        <v/>
      </c>
      <c r="BU273">
        <f>IF(BU$4=0,0,IF(COUNTIFS(実績!$W$6:$W$505,BU$3,実績!$AC$6:$AC$505,"&lt;="&amp;$A273,実績!$AD$6:$AD$505,"&gt;"&amp;$A273,実績!$AE$6:$AE$505,"○")&gt;0,1,0))</f>
        <v/>
      </c>
      <c r="BV273">
        <f>IF(BV$4=0,0,IF(COUNTIFS(実績!$W$6:$W$505,BV$3,実績!$AC$6:$AC$505,"&lt;="&amp;$A273,実績!$AD$6:$AD$505,"&gt;"&amp;$A273,実績!$AE$6:$AE$505,"○")&gt;0,1,0))</f>
        <v/>
      </c>
      <c r="BW273">
        <f>IF(BW$4=0,0,IF(COUNTIFS(実績!$W$6:$W$505,BW$3,実績!$AC$6:$AC$505,"&lt;="&amp;$A273,実績!$AD$6:$AD$505,"&gt;"&amp;$A273,実績!$AE$6:$AE$505,"○")&gt;0,1,0))</f>
        <v/>
      </c>
      <c r="BX273">
        <f>IF(BX$4=0,0,IF(COUNTIFS(実績!$W$6:$W$505,BX$3,実績!$AC$6:$AC$505,"&lt;="&amp;$A273,実績!$AD$6:$AD$505,"&gt;"&amp;$A273,実績!$AE$6:$AE$505,"○")&gt;0,1,0))</f>
        <v/>
      </c>
      <c r="BY273">
        <f>IF(BY$4=0,0,IF(COUNTIFS(実績!$W$6:$W$505,BY$3,実績!$AC$6:$AC$505,"&lt;="&amp;$A273,実績!$AD$6:$AD$505,"&gt;"&amp;$A273,実績!$AE$6:$AE$505,"○")&gt;0,1,0))</f>
        <v/>
      </c>
      <c r="BZ273">
        <f>IF(BZ$4=0,0,IF(COUNTIFS(実績!$W$6:$W$505,BZ$3,実績!$AC$6:$AC$505,"&lt;="&amp;$A273,実績!$AD$6:$AD$505,"&gt;"&amp;$A273,実績!$AE$6:$AE$505,"○")&gt;0,1,0))</f>
        <v/>
      </c>
      <c r="CA273">
        <f>IF(CA$4=0,0,IF(COUNTIFS(実績!$W$6:$W$505,CA$3,実績!$AC$6:$AC$505,"&lt;="&amp;$A273,実績!$AD$6:$AD$505,"&gt;"&amp;$A273,実績!$AE$6:$AE$505,"○")&gt;0,1,0))</f>
        <v/>
      </c>
      <c r="CB273">
        <f>IF(CB$4=0,0,IF(COUNTIFS(実績!$W$6:$W$505,CB$3,実績!$AC$6:$AC$505,"&lt;="&amp;$A273,実績!$AD$6:$AD$505,"&gt;"&amp;$A273,実績!$AE$6:$AE$505,"○")&gt;0,1,0))</f>
        <v/>
      </c>
      <c r="CC273">
        <f>IF(CC$4=0,0,IF(COUNTIFS(実績!$W$6:$W$505,CC$3,実績!$AC$6:$AC$505,"&lt;="&amp;$A273,実績!$AD$6:$AD$505,"&gt;"&amp;$A273,実績!$AE$6:$AE$505,"○")&gt;0,1,0))</f>
        <v/>
      </c>
      <c r="CD273">
        <f>IF(CD$4=0,0,IF(COUNTIFS(実績!$W$6:$W$505,CD$3,実績!$AC$6:$AC$505,"&lt;="&amp;$A273,実績!$AD$6:$AD$505,"&gt;"&amp;$A273,実績!$AE$6:$AE$505,"○")&gt;0,1,0))</f>
        <v/>
      </c>
      <c r="CE273">
        <f>IF(CE$4=0,0,IF(COUNTIFS(実績!$W$6:$W$505,CE$3,実績!$AC$6:$AC$505,"&lt;="&amp;$A273,実績!$AD$6:$AD$505,"&gt;"&amp;$A273,実績!$AE$6:$AE$505,"○")&gt;0,1,0))</f>
        <v/>
      </c>
      <c r="CF273">
        <f>IF(CF$4=0,0,IF(COUNTIFS(実績!$W$6:$W$505,CF$3,実績!$AC$6:$AC$505,"&lt;="&amp;$A273,実績!$AD$6:$AD$505,"&gt;"&amp;$A273,実績!$AE$6:$AE$505,"○")&gt;0,1,0))</f>
        <v/>
      </c>
      <c r="CG273">
        <f>IF(CG$4=0,0,IF(COUNTIFS(実績!$W$6:$W$505,CG$3,実績!$AC$6:$AC$505,"&lt;="&amp;$A273,実績!$AD$6:$AD$505,"&gt;"&amp;$A273,実績!$AE$6:$AE$505,"○")&gt;0,1,0))</f>
        <v/>
      </c>
      <c r="CH273">
        <f>IF(CH$4=0,0,IF(COUNTIFS(実績!$W$6:$W$505,CH$3,実績!$AC$6:$AC$505,"&lt;="&amp;$A273,実績!$AD$6:$AD$505,"&gt;"&amp;$A273,実績!$AE$6:$AE$505,"○")&gt;0,1,0))</f>
        <v/>
      </c>
      <c r="CI273">
        <f>IF(CI$4=0,0,IF(COUNTIFS(実績!$W$6:$W$505,CI$3,実績!$AC$6:$AC$505,"&lt;="&amp;$A273,実績!$AD$6:$AD$505,"&gt;"&amp;$A273,実績!$AE$6:$AE$505,"○")&gt;0,1,0))</f>
        <v/>
      </c>
      <c r="CJ273">
        <f>IF(CJ$4=0,0,IF(COUNTIFS(実績!$W$6:$W$505,CJ$3,実績!$AC$6:$AC$505,"&lt;="&amp;$A273,実績!$AD$6:$AD$505,"&gt;"&amp;$A273,実績!$AE$6:$AE$505,"○")&gt;0,1,0))</f>
        <v/>
      </c>
      <c r="CK273">
        <f>IF(CK$4=0,0,IF(COUNTIFS(実績!$W$6:$W$505,CK$3,実績!$AC$6:$AC$505,"&lt;="&amp;$A273,実績!$AD$6:$AD$505,"&gt;"&amp;$A273,実績!$AE$6:$AE$505,"○")&gt;0,1,0))</f>
        <v/>
      </c>
      <c r="CL273">
        <f>IF(CL$4=0,0,IF(COUNTIFS(実績!$W$6:$W$505,CL$3,実績!$AC$6:$AC$505,"&lt;="&amp;$A273,実績!$AD$6:$AD$505,"&gt;"&amp;$A273,実績!$AE$6:$AE$505,"○")&gt;0,1,0))</f>
        <v/>
      </c>
      <c r="CM273">
        <f>IF(CM$4=0,0,IF(COUNTIFS(実績!$W$6:$W$505,CM$3,実績!$AC$6:$AC$505,"&lt;="&amp;$A273,実績!$AD$6:$AD$505,"&gt;"&amp;$A273,実績!$AE$6:$AE$505,"○")&gt;0,1,0))</f>
        <v/>
      </c>
      <c r="CN273">
        <f>IF(CN$4=0,0,IF(COUNTIFS(実績!$W$6:$W$505,CN$3,実績!$AC$6:$AC$505,"&lt;="&amp;$A273,実績!$AD$6:$AD$505,"&gt;"&amp;$A273,実績!$AE$6:$AE$505,"○")&gt;0,1,0))</f>
        <v/>
      </c>
      <c r="CO273">
        <f>IF(CO$4=0,0,IF(COUNTIFS(実績!$W$6:$W$505,CO$3,実績!$AC$6:$AC$505,"&lt;="&amp;$A273,実績!$AD$6:$AD$505,"&gt;"&amp;$A273,実績!$AE$6:$AE$505,"○")&gt;0,1,0))</f>
        <v/>
      </c>
      <c r="CP273">
        <f>IF(CP$4=0,0,IF(COUNTIFS(実績!$W$6:$W$505,CP$3,実績!$AC$6:$AC$505,"&lt;="&amp;$A273,実績!$AD$6:$AD$505,"&gt;"&amp;$A273,実績!$AE$6:$AE$505,"○")&gt;0,1,0))</f>
        <v/>
      </c>
      <c r="CQ273">
        <f>IF(CQ$4=0,0,IF(COUNTIFS(実績!$W$6:$W$505,CQ$3,実績!$AC$6:$AC$505,"&lt;="&amp;$A273,実績!$AD$6:$AD$505,"&gt;"&amp;$A273,実績!$AE$6:$AE$505,"○")&gt;0,1,0))</f>
        <v/>
      </c>
      <c r="CR273">
        <f>IF(CR$4=0,0,IF(COUNTIFS(実績!$W$6:$W$505,CR$3,実績!$AC$6:$AC$505,"&lt;="&amp;$A273,実績!$AD$6:$AD$505,"&gt;"&amp;$A273,実績!$AE$6:$AE$505,"○")&gt;0,1,0))</f>
        <v/>
      </c>
      <c r="CS273">
        <f>IF(CS$4=0,0,IF(COUNTIFS(実績!$W$6:$W$505,CS$3,実績!$AC$6:$AC$505,"&lt;="&amp;$A273,実績!$AD$6:$AD$505,"&gt;"&amp;$A273,実績!$AE$6:$AE$505,"○")&gt;0,1,0))</f>
        <v/>
      </c>
      <c r="CT273">
        <f>IF(CT$4=0,0,IF(COUNTIFS(実績!$W$6:$W$505,CT$3,実績!$AC$6:$AC$505,"&lt;="&amp;$A273,実績!$AD$6:$AD$505,"&gt;"&amp;$A273,実績!$AE$6:$AE$505,"○")&gt;0,1,0))</f>
        <v/>
      </c>
      <c r="CU273">
        <f>IF(CU$4=0,0,IF(COUNTIFS(実績!$W$6:$W$505,CU$3,実績!$AC$6:$AC$505,"&lt;="&amp;$A273,実績!$AD$6:$AD$505,"&gt;"&amp;$A273,実績!$AE$6:$AE$505,"○")&gt;0,1,0))</f>
        <v/>
      </c>
      <c r="CV273">
        <f>IF(CV$4=0,0,IF(COUNTIFS(実績!$W$6:$W$505,CV$3,実績!$AC$6:$AC$505,"&lt;="&amp;$A273,実績!$AD$6:$AD$505,"&gt;"&amp;$A273,実績!$AE$6:$AE$505,"○")&gt;0,1,0))</f>
        <v/>
      </c>
      <c r="CW273">
        <f>IF(CW$4=0,0,IF(COUNTIFS(実績!$W$6:$W$505,CW$3,実績!$AC$6:$AC$505,"&lt;="&amp;$A273,実績!$AD$6:$AD$505,"&gt;"&amp;$A273,実績!$AE$6:$AE$505,"○")&gt;0,1,0))</f>
        <v/>
      </c>
      <c r="CX273">
        <f>IF(CX$4=0,0,IF(COUNTIFS(実績!$W$6:$W$505,CX$3,実績!$AC$6:$AC$505,"&lt;="&amp;$A273,実績!$AD$6:$AD$505,"&gt;"&amp;$A273,実績!$AE$6:$AE$505,"○")&gt;0,1,0))</f>
        <v/>
      </c>
      <c r="CY273">
        <f>IF(CY$4=0,0,IF(COUNTIFS(実績!$W$6:$W$505,CY$3,実績!$AC$6:$AC$505,"&lt;="&amp;$A273,実績!$AD$6:$AD$505,"&gt;"&amp;$A273,実績!$AE$6:$AE$505,"○")&gt;0,1,0))</f>
        <v/>
      </c>
      <c r="CZ273">
        <f>IF(CZ$4=0,0,IF(COUNTIFS(実績!$W$6:$W$505,CZ$3,実績!$AC$6:$AC$505,"&lt;="&amp;$A273,実績!$AD$6:$AD$505,"&gt;"&amp;$A273,実績!$AE$6:$AE$505,"○")&gt;0,1,0))</f>
        <v/>
      </c>
      <c r="DA273">
        <f>IF(DA$4=0,0,IF(COUNTIFS(実績!$W$6:$W$505,DA$3,実績!$AC$6:$AC$505,"&lt;="&amp;$A273,実績!$AD$6:$AD$505,"&gt;"&amp;$A273,実績!$AE$6:$AE$505,"○")&gt;0,1,0))</f>
        <v/>
      </c>
      <c r="DB273">
        <f>IF(DB$4=0,0,IF(COUNTIFS(実績!$W$6:$W$505,DB$3,実績!$AC$6:$AC$505,"&lt;="&amp;$A273,実績!$AD$6:$AD$505,"&gt;"&amp;$A273,実績!$AE$6:$AE$505,"○")&gt;0,1,0))</f>
        <v/>
      </c>
      <c r="DC273">
        <f>IF(DC$4=0,0,IF(COUNTIFS(実績!$W$6:$W$505,DC$3,実績!$AC$6:$AC$505,"&lt;="&amp;$A273,実績!$AD$6:$AD$505,"&gt;"&amp;$A273,実績!$AE$6:$AE$505,"○")&gt;0,1,0))</f>
        <v/>
      </c>
      <c r="DD273">
        <f>IF(DD$4=0,0,IF(COUNTIFS(実績!$W$6:$W$505,DD$3,実績!$AC$6:$AC$505,"&lt;="&amp;$A273,実績!$AD$6:$AD$505,"&gt;"&amp;$A273,実績!$AE$6:$AE$505,"○")&gt;0,1,0))</f>
        <v/>
      </c>
      <c r="DE273">
        <f>IF(DE$4=0,0,IF(COUNTIFS(実績!$W$6:$W$505,DE$3,実績!$AC$6:$AC$505,"&lt;="&amp;$A273,実績!$AD$6:$AD$505,"&gt;"&amp;$A273,実績!$AE$6:$AE$505,"○")&gt;0,1,0))</f>
        <v/>
      </c>
      <c r="DF273">
        <f>IF(DF$4=0,0,IF(COUNTIFS(実績!$W$6:$W$505,DF$3,実績!$AC$6:$AC$505,"&lt;="&amp;$A273,実績!$AD$6:$AD$505,"&gt;"&amp;$A273,実績!$AE$6:$AE$505,"○")&gt;0,1,0))</f>
        <v/>
      </c>
      <c r="DG273">
        <f>IF(DG$4=0,0,IF(COUNTIFS(実績!$W$6:$W$505,DG$3,実績!$AC$6:$AC$505,"&lt;="&amp;$A273,実績!$AD$6:$AD$505,"&gt;"&amp;$A273,実績!$AE$6:$AE$505,"○")&gt;0,1,0))</f>
        <v/>
      </c>
      <c r="DH273">
        <f>IF(DH$4=0,0,IF(COUNTIFS(実績!$W$6:$W$505,DH$3,実績!$AC$6:$AC$505,"&lt;="&amp;$A273,実績!$AD$6:$AD$505,"&gt;"&amp;$A273,実績!$AE$6:$AE$505,"○")&gt;0,1,0))</f>
        <v/>
      </c>
      <c r="DI273">
        <f>IF(DI$4=0,0,IF(COUNTIFS(実績!$W$6:$W$505,DI$3,実績!$AC$6:$AC$505,"&lt;="&amp;$A273,実績!$AD$6:$AD$505,"&gt;"&amp;$A273,実績!$AE$6:$AE$505,"○")&gt;0,1,0))</f>
        <v/>
      </c>
      <c r="DJ273">
        <f>IF(DJ$4=0,0,IF(COUNTIFS(実績!$W$6:$W$505,DJ$3,実績!$AC$6:$AC$505,"&lt;="&amp;$A273,実績!$AD$6:$AD$505,"&gt;"&amp;$A273,実績!$AE$6:$AE$505,"○")&gt;0,1,0))</f>
        <v/>
      </c>
      <c r="DK273">
        <f>IF(DK$4=0,0,IF(COUNTIFS(実績!$W$6:$W$505,DK$3,実績!$AC$6:$AC$505,"&lt;="&amp;$A273,実績!$AD$6:$AD$505,"&gt;"&amp;$A273,実績!$AE$6:$AE$505,"○")&gt;0,1,0))</f>
        <v/>
      </c>
      <c r="DL273">
        <f>IF(DL$4=0,0,IF(COUNTIFS(実績!$W$6:$W$505,DL$3,実績!$AC$6:$AC$505,"&lt;="&amp;$A273,実績!$AD$6:$AD$505,"&gt;"&amp;$A273,実績!$AE$6:$AE$505,"○")&gt;0,1,0))</f>
        <v/>
      </c>
      <c r="DM273">
        <f>IF(DM$4=0,0,IF(COUNTIFS(実績!$W$6:$W$505,DM$3,実績!$AC$6:$AC$505,"&lt;="&amp;$A273,実績!$AD$6:$AD$505,"&gt;"&amp;$A273,実績!$AE$6:$AE$505,"○")&gt;0,1,0))</f>
        <v/>
      </c>
      <c r="DN273">
        <f>IF(DN$4=0,0,IF(COUNTIFS(実績!$W$6:$W$505,DN$3,実績!$AC$6:$AC$505,"&lt;="&amp;$A273,実績!$AD$6:$AD$505,"&gt;"&amp;$A273,実績!$AE$6:$AE$505,"○")&gt;0,1,0))</f>
        <v/>
      </c>
      <c r="DO273">
        <f>IF(DO$4=0,0,IF(COUNTIFS(実績!$W$6:$W$505,DO$3,実績!$AC$6:$AC$505,"&lt;="&amp;$A273,実績!$AD$6:$AD$505,"&gt;"&amp;$A273,実績!$AE$6:$AE$505,"○")&gt;0,1,0))</f>
        <v/>
      </c>
      <c r="DP273">
        <f>IF(DP$4=0,0,IF(COUNTIFS(実績!$W$6:$W$505,DP$3,実績!$AC$6:$AC$505,"&lt;="&amp;$A273,実績!$AD$6:$AD$505,"&gt;"&amp;$A273,実績!$AE$6:$AE$505,"○")&gt;0,1,0))</f>
        <v/>
      </c>
      <c r="DQ273">
        <f>IF(DQ$4=0,0,IF(COUNTIFS(実績!$W$6:$W$505,DQ$3,実績!$AC$6:$AC$505,"&lt;="&amp;$A273,実績!$AD$6:$AD$505,"&gt;"&amp;$A273,実績!$AE$6:$AE$505,"○")&gt;0,1,0))</f>
        <v/>
      </c>
      <c r="DR273">
        <f>IF(DR$4=0,0,IF(COUNTIFS(実績!$W$6:$W$505,DR$3,実績!$AC$6:$AC$505,"&lt;="&amp;$A273,実績!$AD$6:$AD$505,"&gt;"&amp;$A273,実績!$AE$6:$AE$505,"○")&gt;0,1,0))</f>
        <v/>
      </c>
      <c r="DS273">
        <f>SUM(C273:DR273)</f>
        <v/>
      </c>
      <c r="DT273">
        <f>SUMPRODUCT((実績!$C$6:$C$505="○")*ISNUMBER(実績!$AF$6:$AF$505)*(実績!$AF$6:$AF$505&lt;=$A273)*(実績!$AG$6:$AG$505&gt;$A273))</f>
        <v/>
      </c>
      <c r="DU273">
        <f>SUMIF($C$2:$DR$2,"製鉄曳船",C273:DR273)</f>
        <v/>
      </c>
      <c r="DV273">
        <f>SUMIF($C$2:$DR$2,"西日本海運",C273:DR273)</f>
        <v/>
      </c>
    </row>
    <row r="274">
      <c r="A274" t="n">
        <v>1340</v>
      </c>
      <c r="B274" s="29">
        <f>A274/1440</f>
        <v/>
      </c>
      <c r="C274">
        <f>IF(C$4=0,0,IF(COUNTIFS(実績!$W$6:$W$505,C$3,実績!$AC$6:$AC$505,"&lt;="&amp;$A274,実績!$AD$6:$AD$505,"&gt;"&amp;$A274,実績!$AE$6:$AE$505,"○")&gt;0,1,0))</f>
        <v/>
      </c>
      <c r="D274">
        <f>IF(D$4=0,0,IF(COUNTIFS(実績!$W$6:$W$505,D$3,実績!$AC$6:$AC$505,"&lt;="&amp;$A274,実績!$AD$6:$AD$505,"&gt;"&amp;$A274,実績!$AE$6:$AE$505,"○")&gt;0,1,0))</f>
        <v/>
      </c>
      <c r="E274">
        <f>IF(E$4=0,0,IF(COUNTIFS(実績!$W$6:$W$505,E$3,実績!$AC$6:$AC$505,"&lt;="&amp;$A274,実績!$AD$6:$AD$505,"&gt;"&amp;$A274,実績!$AE$6:$AE$505,"○")&gt;0,1,0))</f>
        <v/>
      </c>
      <c r="F274">
        <f>IF(F$4=0,0,IF(COUNTIFS(実績!$W$6:$W$505,F$3,実績!$AC$6:$AC$505,"&lt;="&amp;$A274,実績!$AD$6:$AD$505,"&gt;"&amp;$A274,実績!$AE$6:$AE$505,"○")&gt;0,1,0))</f>
        <v/>
      </c>
      <c r="G274">
        <f>IF(G$4=0,0,IF(COUNTIFS(実績!$W$6:$W$505,G$3,実績!$AC$6:$AC$505,"&lt;="&amp;$A274,実績!$AD$6:$AD$505,"&gt;"&amp;$A274,実績!$AE$6:$AE$505,"○")&gt;0,1,0))</f>
        <v/>
      </c>
      <c r="H274">
        <f>IF(H$4=0,0,IF(COUNTIFS(実績!$W$6:$W$505,H$3,実績!$AC$6:$AC$505,"&lt;="&amp;$A274,実績!$AD$6:$AD$505,"&gt;"&amp;$A274,実績!$AE$6:$AE$505,"○")&gt;0,1,0))</f>
        <v/>
      </c>
      <c r="I274">
        <f>IF(I$4=0,0,IF(COUNTIFS(実績!$W$6:$W$505,I$3,実績!$AC$6:$AC$505,"&lt;="&amp;$A274,実績!$AD$6:$AD$505,"&gt;"&amp;$A274,実績!$AE$6:$AE$505,"○")&gt;0,1,0))</f>
        <v/>
      </c>
      <c r="J274">
        <f>IF(J$4=0,0,IF(COUNTIFS(実績!$W$6:$W$505,J$3,実績!$AC$6:$AC$505,"&lt;="&amp;$A274,実績!$AD$6:$AD$505,"&gt;"&amp;$A274,実績!$AE$6:$AE$505,"○")&gt;0,1,0))</f>
        <v/>
      </c>
      <c r="K274">
        <f>IF(K$4=0,0,IF(COUNTIFS(実績!$W$6:$W$505,K$3,実績!$AC$6:$AC$505,"&lt;="&amp;$A274,実績!$AD$6:$AD$505,"&gt;"&amp;$A274,実績!$AE$6:$AE$505,"○")&gt;0,1,0))</f>
        <v/>
      </c>
      <c r="L274">
        <f>IF(L$4=0,0,IF(COUNTIFS(実績!$W$6:$W$505,L$3,実績!$AC$6:$AC$505,"&lt;="&amp;$A274,実績!$AD$6:$AD$505,"&gt;"&amp;$A274,実績!$AE$6:$AE$505,"○")&gt;0,1,0))</f>
        <v/>
      </c>
      <c r="M274">
        <f>IF(M$4=0,0,IF(COUNTIFS(実績!$W$6:$W$505,M$3,実績!$AC$6:$AC$505,"&lt;="&amp;$A274,実績!$AD$6:$AD$505,"&gt;"&amp;$A274,実績!$AE$6:$AE$505,"○")&gt;0,1,0))</f>
        <v/>
      </c>
      <c r="N274">
        <f>IF(N$4=0,0,IF(COUNTIFS(実績!$W$6:$W$505,N$3,実績!$AC$6:$AC$505,"&lt;="&amp;$A274,実績!$AD$6:$AD$505,"&gt;"&amp;$A274,実績!$AE$6:$AE$505,"○")&gt;0,1,0))</f>
        <v/>
      </c>
      <c r="O274">
        <f>IF(O$4=0,0,IF(COUNTIFS(実績!$W$6:$W$505,O$3,実績!$AC$6:$AC$505,"&lt;="&amp;$A274,実績!$AD$6:$AD$505,"&gt;"&amp;$A274,実績!$AE$6:$AE$505,"○")&gt;0,1,0))</f>
        <v/>
      </c>
      <c r="P274">
        <f>IF(P$4=0,0,IF(COUNTIFS(実績!$W$6:$W$505,P$3,実績!$AC$6:$AC$505,"&lt;="&amp;$A274,実績!$AD$6:$AD$505,"&gt;"&amp;$A274,実績!$AE$6:$AE$505,"○")&gt;0,1,0))</f>
        <v/>
      </c>
      <c r="Q274">
        <f>IF(Q$4=0,0,IF(COUNTIFS(実績!$W$6:$W$505,Q$3,実績!$AC$6:$AC$505,"&lt;="&amp;$A274,実績!$AD$6:$AD$505,"&gt;"&amp;$A274,実績!$AE$6:$AE$505,"○")&gt;0,1,0))</f>
        <v/>
      </c>
      <c r="R274">
        <f>IF(R$4=0,0,IF(COUNTIFS(実績!$W$6:$W$505,R$3,実績!$AC$6:$AC$505,"&lt;="&amp;$A274,実績!$AD$6:$AD$505,"&gt;"&amp;$A274,実績!$AE$6:$AE$505,"○")&gt;0,1,0))</f>
        <v/>
      </c>
      <c r="S274">
        <f>IF(S$4=0,0,IF(COUNTIFS(実績!$W$6:$W$505,S$3,実績!$AC$6:$AC$505,"&lt;="&amp;$A274,実績!$AD$6:$AD$505,"&gt;"&amp;$A274,実績!$AE$6:$AE$505,"○")&gt;0,1,0))</f>
        <v/>
      </c>
      <c r="T274">
        <f>IF(T$4=0,0,IF(COUNTIFS(実績!$W$6:$W$505,T$3,実績!$AC$6:$AC$505,"&lt;="&amp;$A274,実績!$AD$6:$AD$505,"&gt;"&amp;$A274,実績!$AE$6:$AE$505,"○")&gt;0,1,0))</f>
        <v/>
      </c>
      <c r="U274">
        <f>IF(U$4=0,0,IF(COUNTIFS(実績!$W$6:$W$505,U$3,実績!$AC$6:$AC$505,"&lt;="&amp;$A274,実績!$AD$6:$AD$505,"&gt;"&amp;$A274,実績!$AE$6:$AE$505,"○")&gt;0,1,0))</f>
        <v/>
      </c>
      <c r="V274">
        <f>IF(V$4=0,0,IF(COUNTIFS(実績!$W$6:$W$505,V$3,実績!$AC$6:$AC$505,"&lt;="&amp;$A274,実績!$AD$6:$AD$505,"&gt;"&amp;$A274,実績!$AE$6:$AE$505,"○")&gt;0,1,0))</f>
        <v/>
      </c>
      <c r="W274">
        <f>IF(W$4=0,0,IF(COUNTIFS(実績!$W$6:$W$505,W$3,実績!$AC$6:$AC$505,"&lt;="&amp;$A274,実績!$AD$6:$AD$505,"&gt;"&amp;$A274,実績!$AE$6:$AE$505,"○")&gt;0,1,0))</f>
        <v/>
      </c>
      <c r="X274">
        <f>IF(X$4=0,0,IF(COUNTIFS(実績!$W$6:$W$505,X$3,実績!$AC$6:$AC$505,"&lt;="&amp;$A274,実績!$AD$6:$AD$505,"&gt;"&amp;$A274,実績!$AE$6:$AE$505,"○")&gt;0,1,0))</f>
        <v/>
      </c>
      <c r="Y274">
        <f>IF(Y$4=0,0,IF(COUNTIFS(実績!$W$6:$W$505,Y$3,実績!$AC$6:$AC$505,"&lt;="&amp;$A274,実績!$AD$6:$AD$505,"&gt;"&amp;$A274,実績!$AE$6:$AE$505,"○")&gt;0,1,0))</f>
        <v/>
      </c>
      <c r="Z274">
        <f>IF(Z$4=0,0,IF(COUNTIFS(実績!$W$6:$W$505,Z$3,実績!$AC$6:$AC$505,"&lt;="&amp;$A274,実績!$AD$6:$AD$505,"&gt;"&amp;$A274,実績!$AE$6:$AE$505,"○")&gt;0,1,0))</f>
        <v/>
      </c>
      <c r="AA274">
        <f>IF(AA$4=0,0,IF(COUNTIFS(実績!$W$6:$W$505,AA$3,実績!$AC$6:$AC$505,"&lt;="&amp;$A274,実績!$AD$6:$AD$505,"&gt;"&amp;$A274,実績!$AE$6:$AE$505,"○")&gt;0,1,0))</f>
        <v/>
      </c>
      <c r="AB274">
        <f>IF(AB$4=0,0,IF(COUNTIFS(実績!$W$6:$W$505,AB$3,実績!$AC$6:$AC$505,"&lt;="&amp;$A274,実績!$AD$6:$AD$505,"&gt;"&amp;$A274,実績!$AE$6:$AE$505,"○")&gt;0,1,0))</f>
        <v/>
      </c>
      <c r="AC274">
        <f>IF(AC$4=0,0,IF(COUNTIFS(実績!$W$6:$W$505,AC$3,実績!$AC$6:$AC$505,"&lt;="&amp;$A274,実績!$AD$6:$AD$505,"&gt;"&amp;$A274,実績!$AE$6:$AE$505,"○")&gt;0,1,0))</f>
        <v/>
      </c>
      <c r="AD274">
        <f>IF(AD$4=0,0,IF(COUNTIFS(実績!$W$6:$W$505,AD$3,実績!$AC$6:$AC$505,"&lt;="&amp;$A274,実績!$AD$6:$AD$505,"&gt;"&amp;$A274,実績!$AE$6:$AE$505,"○")&gt;0,1,0))</f>
        <v/>
      </c>
      <c r="AE274">
        <f>IF(AE$4=0,0,IF(COUNTIFS(実績!$W$6:$W$505,AE$3,実績!$AC$6:$AC$505,"&lt;="&amp;$A274,実績!$AD$6:$AD$505,"&gt;"&amp;$A274,実績!$AE$6:$AE$505,"○")&gt;0,1,0))</f>
        <v/>
      </c>
      <c r="AF274">
        <f>IF(AF$4=0,0,IF(COUNTIFS(実績!$W$6:$W$505,AF$3,実績!$AC$6:$AC$505,"&lt;="&amp;$A274,実績!$AD$6:$AD$505,"&gt;"&amp;$A274,実績!$AE$6:$AE$505,"○")&gt;0,1,0))</f>
        <v/>
      </c>
      <c r="AG274">
        <f>IF(AG$4=0,0,IF(COUNTIFS(実績!$W$6:$W$505,AG$3,実績!$AC$6:$AC$505,"&lt;="&amp;$A274,実績!$AD$6:$AD$505,"&gt;"&amp;$A274,実績!$AE$6:$AE$505,"○")&gt;0,1,0))</f>
        <v/>
      </c>
      <c r="AH274">
        <f>IF(AH$4=0,0,IF(COUNTIFS(実績!$W$6:$W$505,AH$3,実績!$AC$6:$AC$505,"&lt;="&amp;$A274,実績!$AD$6:$AD$505,"&gt;"&amp;$A274,実績!$AE$6:$AE$505,"○")&gt;0,1,0))</f>
        <v/>
      </c>
      <c r="AI274">
        <f>IF(AI$4=0,0,IF(COUNTIFS(実績!$W$6:$W$505,AI$3,実績!$AC$6:$AC$505,"&lt;="&amp;$A274,実績!$AD$6:$AD$505,"&gt;"&amp;$A274,実績!$AE$6:$AE$505,"○")&gt;0,1,0))</f>
        <v/>
      </c>
      <c r="AJ274">
        <f>IF(AJ$4=0,0,IF(COUNTIFS(実績!$W$6:$W$505,AJ$3,実績!$AC$6:$AC$505,"&lt;="&amp;$A274,実績!$AD$6:$AD$505,"&gt;"&amp;$A274,実績!$AE$6:$AE$505,"○")&gt;0,1,0))</f>
        <v/>
      </c>
      <c r="AK274">
        <f>IF(AK$4=0,0,IF(COUNTIFS(実績!$W$6:$W$505,AK$3,実績!$AC$6:$AC$505,"&lt;="&amp;$A274,実績!$AD$6:$AD$505,"&gt;"&amp;$A274,実績!$AE$6:$AE$505,"○")&gt;0,1,0))</f>
        <v/>
      </c>
      <c r="AL274">
        <f>IF(AL$4=0,0,IF(COUNTIFS(実績!$W$6:$W$505,AL$3,実績!$AC$6:$AC$505,"&lt;="&amp;$A274,実績!$AD$6:$AD$505,"&gt;"&amp;$A274,実績!$AE$6:$AE$505,"○")&gt;0,1,0))</f>
        <v/>
      </c>
      <c r="AM274">
        <f>IF(AM$4=0,0,IF(COUNTIFS(実績!$W$6:$W$505,AM$3,実績!$AC$6:$AC$505,"&lt;="&amp;$A274,実績!$AD$6:$AD$505,"&gt;"&amp;$A274,実績!$AE$6:$AE$505,"○")&gt;0,1,0))</f>
        <v/>
      </c>
      <c r="AN274">
        <f>IF(AN$4=0,0,IF(COUNTIFS(実績!$W$6:$W$505,AN$3,実績!$AC$6:$AC$505,"&lt;="&amp;$A274,実績!$AD$6:$AD$505,"&gt;"&amp;$A274,実績!$AE$6:$AE$505,"○")&gt;0,1,0))</f>
        <v/>
      </c>
      <c r="AO274">
        <f>IF(AO$4=0,0,IF(COUNTIFS(実績!$W$6:$W$505,AO$3,実績!$AC$6:$AC$505,"&lt;="&amp;$A274,実績!$AD$6:$AD$505,"&gt;"&amp;$A274,実績!$AE$6:$AE$505,"○")&gt;0,1,0))</f>
        <v/>
      </c>
      <c r="AP274">
        <f>IF(AP$4=0,0,IF(COUNTIFS(実績!$W$6:$W$505,AP$3,実績!$AC$6:$AC$505,"&lt;="&amp;$A274,実績!$AD$6:$AD$505,"&gt;"&amp;$A274,実績!$AE$6:$AE$505,"○")&gt;0,1,0))</f>
        <v/>
      </c>
      <c r="AQ274">
        <f>IF(AQ$4=0,0,IF(COUNTIFS(実績!$W$6:$W$505,AQ$3,実績!$AC$6:$AC$505,"&lt;="&amp;$A274,実績!$AD$6:$AD$505,"&gt;"&amp;$A274,実績!$AE$6:$AE$505,"○")&gt;0,1,0))</f>
        <v/>
      </c>
      <c r="AR274">
        <f>IF(AR$4=0,0,IF(COUNTIFS(実績!$W$6:$W$505,AR$3,実績!$AC$6:$AC$505,"&lt;="&amp;$A274,実績!$AD$6:$AD$505,"&gt;"&amp;$A274,実績!$AE$6:$AE$505,"○")&gt;0,1,0))</f>
        <v/>
      </c>
      <c r="AS274">
        <f>IF(AS$4=0,0,IF(COUNTIFS(実績!$W$6:$W$505,AS$3,実績!$AC$6:$AC$505,"&lt;="&amp;$A274,実績!$AD$6:$AD$505,"&gt;"&amp;$A274,実績!$AE$6:$AE$505,"○")&gt;0,1,0))</f>
        <v/>
      </c>
      <c r="AT274">
        <f>IF(AT$4=0,0,IF(COUNTIFS(実績!$W$6:$W$505,AT$3,実績!$AC$6:$AC$505,"&lt;="&amp;$A274,実績!$AD$6:$AD$505,"&gt;"&amp;$A274,実績!$AE$6:$AE$505,"○")&gt;0,1,0))</f>
        <v/>
      </c>
      <c r="AU274">
        <f>IF(AU$4=0,0,IF(COUNTIFS(実績!$W$6:$W$505,AU$3,実績!$AC$6:$AC$505,"&lt;="&amp;$A274,実績!$AD$6:$AD$505,"&gt;"&amp;$A274,実績!$AE$6:$AE$505,"○")&gt;0,1,0))</f>
        <v/>
      </c>
      <c r="AV274">
        <f>IF(AV$4=0,0,IF(COUNTIFS(実績!$W$6:$W$505,AV$3,実績!$AC$6:$AC$505,"&lt;="&amp;$A274,実績!$AD$6:$AD$505,"&gt;"&amp;$A274,実績!$AE$6:$AE$505,"○")&gt;0,1,0))</f>
        <v/>
      </c>
      <c r="AW274">
        <f>IF(AW$4=0,0,IF(COUNTIFS(実績!$W$6:$W$505,AW$3,実績!$AC$6:$AC$505,"&lt;="&amp;$A274,実績!$AD$6:$AD$505,"&gt;"&amp;$A274,実績!$AE$6:$AE$505,"○")&gt;0,1,0))</f>
        <v/>
      </c>
      <c r="AX274">
        <f>IF(AX$4=0,0,IF(COUNTIFS(実績!$W$6:$W$505,AX$3,実績!$AC$6:$AC$505,"&lt;="&amp;$A274,実績!$AD$6:$AD$505,"&gt;"&amp;$A274,実績!$AE$6:$AE$505,"○")&gt;0,1,0))</f>
        <v/>
      </c>
      <c r="AY274">
        <f>IF(AY$4=0,0,IF(COUNTIFS(実績!$W$6:$W$505,AY$3,実績!$AC$6:$AC$505,"&lt;="&amp;$A274,実績!$AD$6:$AD$505,"&gt;"&amp;$A274,実績!$AE$6:$AE$505,"○")&gt;0,1,0))</f>
        <v/>
      </c>
      <c r="AZ274">
        <f>IF(AZ$4=0,0,IF(COUNTIFS(実績!$W$6:$W$505,AZ$3,実績!$AC$6:$AC$505,"&lt;="&amp;$A274,実績!$AD$6:$AD$505,"&gt;"&amp;$A274,実績!$AE$6:$AE$505,"○")&gt;0,1,0))</f>
        <v/>
      </c>
      <c r="BA274">
        <f>IF(BA$4=0,0,IF(COUNTIFS(実績!$W$6:$W$505,BA$3,実績!$AC$6:$AC$505,"&lt;="&amp;$A274,実績!$AD$6:$AD$505,"&gt;"&amp;$A274,実績!$AE$6:$AE$505,"○")&gt;0,1,0))</f>
        <v/>
      </c>
      <c r="BB274">
        <f>IF(BB$4=0,0,IF(COUNTIFS(実績!$W$6:$W$505,BB$3,実績!$AC$6:$AC$505,"&lt;="&amp;$A274,実績!$AD$6:$AD$505,"&gt;"&amp;$A274,実績!$AE$6:$AE$505,"○")&gt;0,1,0))</f>
        <v/>
      </c>
      <c r="BC274">
        <f>IF(BC$4=0,0,IF(COUNTIFS(実績!$W$6:$W$505,BC$3,実績!$AC$6:$AC$505,"&lt;="&amp;$A274,実績!$AD$6:$AD$505,"&gt;"&amp;$A274,実績!$AE$6:$AE$505,"○")&gt;0,1,0))</f>
        <v/>
      </c>
      <c r="BD274">
        <f>IF(BD$4=0,0,IF(COUNTIFS(実績!$W$6:$W$505,BD$3,実績!$AC$6:$AC$505,"&lt;="&amp;$A274,実績!$AD$6:$AD$505,"&gt;"&amp;$A274,実績!$AE$6:$AE$505,"○")&gt;0,1,0))</f>
        <v/>
      </c>
      <c r="BE274">
        <f>IF(BE$4=0,0,IF(COUNTIFS(実績!$W$6:$W$505,BE$3,実績!$AC$6:$AC$505,"&lt;="&amp;$A274,実績!$AD$6:$AD$505,"&gt;"&amp;$A274,実績!$AE$6:$AE$505,"○")&gt;0,1,0))</f>
        <v/>
      </c>
      <c r="BF274">
        <f>IF(BF$4=0,0,IF(COUNTIFS(実績!$W$6:$W$505,BF$3,実績!$AC$6:$AC$505,"&lt;="&amp;$A274,実績!$AD$6:$AD$505,"&gt;"&amp;$A274,実績!$AE$6:$AE$505,"○")&gt;0,1,0))</f>
        <v/>
      </c>
      <c r="BG274">
        <f>IF(BG$4=0,0,IF(COUNTIFS(実績!$W$6:$W$505,BG$3,実績!$AC$6:$AC$505,"&lt;="&amp;$A274,実績!$AD$6:$AD$505,"&gt;"&amp;$A274,実績!$AE$6:$AE$505,"○")&gt;0,1,0))</f>
        <v/>
      </c>
      <c r="BH274">
        <f>IF(BH$4=0,0,IF(COUNTIFS(実績!$W$6:$W$505,BH$3,実績!$AC$6:$AC$505,"&lt;="&amp;$A274,実績!$AD$6:$AD$505,"&gt;"&amp;$A274,実績!$AE$6:$AE$505,"○")&gt;0,1,0))</f>
        <v/>
      </c>
      <c r="BI274">
        <f>IF(BI$4=0,0,IF(COUNTIFS(実績!$W$6:$W$505,BI$3,実績!$AC$6:$AC$505,"&lt;="&amp;$A274,実績!$AD$6:$AD$505,"&gt;"&amp;$A274,実績!$AE$6:$AE$505,"○")&gt;0,1,0))</f>
        <v/>
      </c>
      <c r="BJ274">
        <f>IF(BJ$4=0,0,IF(COUNTIFS(実績!$W$6:$W$505,BJ$3,実績!$AC$6:$AC$505,"&lt;="&amp;$A274,実績!$AD$6:$AD$505,"&gt;"&amp;$A274,実績!$AE$6:$AE$505,"○")&gt;0,1,0))</f>
        <v/>
      </c>
      <c r="BK274">
        <f>IF(BK$4=0,0,IF(COUNTIFS(実績!$W$6:$W$505,BK$3,実績!$AC$6:$AC$505,"&lt;="&amp;$A274,実績!$AD$6:$AD$505,"&gt;"&amp;$A274,実績!$AE$6:$AE$505,"○")&gt;0,1,0))</f>
        <v/>
      </c>
      <c r="BL274">
        <f>IF(BL$4=0,0,IF(COUNTIFS(実績!$W$6:$W$505,BL$3,実績!$AC$6:$AC$505,"&lt;="&amp;$A274,実績!$AD$6:$AD$505,"&gt;"&amp;$A274,実績!$AE$6:$AE$505,"○")&gt;0,1,0))</f>
        <v/>
      </c>
      <c r="BM274">
        <f>IF(BM$4=0,0,IF(COUNTIFS(実績!$W$6:$W$505,BM$3,実績!$AC$6:$AC$505,"&lt;="&amp;$A274,実績!$AD$6:$AD$505,"&gt;"&amp;$A274,実績!$AE$6:$AE$505,"○")&gt;0,1,0))</f>
        <v/>
      </c>
      <c r="BN274">
        <f>IF(BN$4=0,0,IF(COUNTIFS(実績!$W$6:$W$505,BN$3,実績!$AC$6:$AC$505,"&lt;="&amp;$A274,実績!$AD$6:$AD$505,"&gt;"&amp;$A274,実績!$AE$6:$AE$505,"○")&gt;0,1,0))</f>
        <v/>
      </c>
      <c r="BO274">
        <f>IF(BO$4=0,0,IF(COUNTIFS(実績!$W$6:$W$505,BO$3,実績!$AC$6:$AC$505,"&lt;="&amp;$A274,実績!$AD$6:$AD$505,"&gt;"&amp;$A274,実績!$AE$6:$AE$505,"○")&gt;0,1,0))</f>
        <v/>
      </c>
      <c r="BP274">
        <f>IF(BP$4=0,0,IF(COUNTIFS(実績!$W$6:$W$505,BP$3,実績!$AC$6:$AC$505,"&lt;="&amp;$A274,実績!$AD$6:$AD$505,"&gt;"&amp;$A274,実績!$AE$6:$AE$505,"○")&gt;0,1,0))</f>
        <v/>
      </c>
      <c r="BQ274">
        <f>IF(BQ$4=0,0,IF(COUNTIFS(実績!$W$6:$W$505,BQ$3,実績!$AC$6:$AC$505,"&lt;="&amp;$A274,実績!$AD$6:$AD$505,"&gt;"&amp;$A274,実績!$AE$6:$AE$505,"○")&gt;0,1,0))</f>
        <v/>
      </c>
      <c r="BR274">
        <f>IF(BR$4=0,0,IF(COUNTIFS(実績!$W$6:$W$505,BR$3,実績!$AC$6:$AC$505,"&lt;="&amp;$A274,実績!$AD$6:$AD$505,"&gt;"&amp;$A274,実績!$AE$6:$AE$505,"○")&gt;0,1,0))</f>
        <v/>
      </c>
      <c r="BS274">
        <f>IF(BS$4=0,0,IF(COUNTIFS(実績!$W$6:$W$505,BS$3,実績!$AC$6:$AC$505,"&lt;="&amp;$A274,実績!$AD$6:$AD$505,"&gt;"&amp;$A274,実績!$AE$6:$AE$505,"○")&gt;0,1,0))</f>
        <v/>
      </c>
      <c r="BT274">
        <f>IF(BT$4=0,0,IF(COUNTIFS(実績!$W$6:$W$505,BT$3,実績!$AC$6:$AC$505,"&lt;="&amp;$A274,実績!$AD$6:$AD$505,"&gt;"&amp;$A274,実績!$AE$6:$AE$505,"○")&gt;0,1,0))</f>
        <v/>
      </c>
      <c r="BU274">
        <f>IF(BU$4=0,0,IF(COUNTIFS(実績!$W$6:$W$505,BU$3,実績!$AC$6:$AC$505,"&lt;="&amp;$A274,実績!$AD$6:$AD$505,"&gt;"&amp;$A274,実績!$AE$6:$AE$505,"○")&gt;0,1,0))</f>
        <v/>
      </c>
      <c r="BV274">
        <f>IF(BV$4=0,0,IF(COUNTIFS(実績!$W$6:$W$505,BV$3,実績!$AC$6:$AC$505,"&lt;="&amp;$A274,実績!$AD$6:$AD$505,"&gt;"&amp;$A274,実績!$AE$6:$AE$505,"○")&gt;0,1,0))</f>
        <v/>
      </c>
      <c r="BW274">
        <f>IF(BW$4=0,0,IF(COUNTIFS(実績!$W$6:$W$505,BW$3,実績!$AC$6:$AC$505,"&lt;="&amp;$A274,実績!$AD$6:$AD$505,"&gt;"&amp;$A274,実績!$AE$6:$AE$505,"○")&gt;0,1,0))</f>
        <v/>
      </c>
      <c r="BX274">
        <f>IF(BX$4=0,0,IF(COUNTIFS(実績!$W$6:$W$505,BX$3,実績!$AC$6:$AC$505,"&lt;="&amp;$A274,実績!$AD$6:$AD$505,"&gt;"&amp;$A274,実績!$AE$6:$AE$505,"○")&gt;0,1,0))</f>
        <v/>
      </c>
      <c r="BY274">
        <f>IF(BY$4=0,0,IF(COUNTIFS(実績!$W$6:$W$505,BY$3,実績!$AC$6:$AC$505,"&lt;="&amp;$A274,実績!$AD$6:$AD$505,"&gt;"&amp;$A274,実績!$AE$6:$AE$505,"○")&gt;0,1,0))</f>
        <v/>
      </c>
      <c r="BZ274">
        <f>IF(BZ$4=0,0,IF(COUNTIFS(実績!$W$6:$W$505,BZ$3,実績!$AC$6:$AC$505,"&lt;="&amp;$A274,実績!$AD$6:$AD$505,"&gt;"&amp;$A274,実績!$AE$6:$AE$505,"○")&gt;0,1,0))</f>
        <v/>
      </c>
      <c r="CA274">
        <f>IF(CA$4=0,0,IF(COUNTIFS(実績!$W$6:$W$505,CA$3,実績!$AC$6:$AC$505,"&lt;="&amp;$A274,実績!$AD$6:$AD$505,"&gt;"&amp;$A274,実績!$AE$6:$AE$505,"○")&gt;0,1,0))</f>
        <v/>
      </c>
      <c r="CB274">
        <f>IF(CB$4=0,0,IF(COUNTIFS(実績!$W$6:$W$505,CB$3,実績!$AC$6:$AC$505,"&lt;="&amp;$A274,実績!$AD$6:$AD$505,"&gt;"&amp;$A274,実績!$AE$6:$AE$505,"○")&gt;0,1,0))</f>
        <v/>
      </c>
      <c r="CC274">
        <f>IF(CC$4=0,0,IF(COUNTIFS(実績!$W$6:$W$505,CC$3,実績!$AC$6:$AC$505,"&lt;="&amp;$A274,実績!$AD$6:$AD$505,"&gt;"&amp;$A274,実績!$AE$6:$AE$505,"○")&gt;0,1,0))</f>
        <v/>
      </c>
      <c r="CD274">
        <f>IF(CD$4=0,0,IF(COUNTIFS(実績!$W$6:$W$505,CD$3,実績!$AC$6:$AC$505,"&lt;="&amp;$A274,実績!$AD$6:$AD$505,"&gt;"&amp;$A274,実績!$AE$6:$AE$505,"○")&gt;0,1,0))</f>
        <v/>
      </c>
      <c r="CE274">
        <f>IF(CE$4=0,0,IF(COUNTIFS(実績!$W$6:$W$505,CE$3,実績!$AC$6:$AC$505,"&lt;="&amp;$A274,実績!$AD$6:$AD$505,"&gt;"&amp;$A274,実績!$AE$6:$AE$505,"○")&gt;0,1,0))</f>
        <v/>
      </c>
      <c r="CF274">
        <f>IF(CF$4=0,0,IF(COUNTIFS(実績!$W$6:$W$505,CF$3,実績!$AC$6:$AC$505,"&lt;="&amp;$A274,実績!$AD$6:$AD$505,"&gt;"&amp;$A274,実績!$AE$6:$AE$505,"○")&gt;0,1,0))</f>
        <v/>
      </c>
      <c r="CG274">
        <f>IF(CG$4=0,0,IF(COUNTIFS(実績!$W$6:$W$505,CG$3,実績!$AC$6:$AC$505,"&lt;="&amp;$A274,実績!$AD$6:$AD$505,"&gt;"&amp;$A274,実績!$AE$6:$AE$505,"○")&gt;0,1,0))</f>
        <v/>
      </c>
      <c r="CH274">
        <f>IF(CH$4=0,0,IF(COUNTIFS(実績!$W$6:$W$505,CH$3,実績!$AC$6:$AC$505,"&lt;="&amp;$A274,実績!$AD$6:$AD$505,"&gt;"&amp;$A274,実績!$AE$6:$AE$505,"○")&gt;0,1,0))</f>
        <v/>
      </c>
      <c r="CI274">
        <f>IF(CI$4=0,0,IF(COUNTIFS(実績!$W$6:$W$505,CI$3,実績!$AC$6:$AC$505,"&lt;="&amp;$A274,実績!$AD$6:$AD$505,"&gt;"&amp;$A274,実績!$AE$6:$AE$505,"○")&gt;0,1,0))</f>
        <v/>
      </c>
      <c r="CJ274">
        <f>IF(CJ$4=0,0,IF(COUNTIFS(実績!$W$6:$W$505,CJ$3,実績!$AC$6:$AC$505,"&lt;="&amp;$A274,実績!$AD$6:$AD$505,"&gt;"&amp;$A274,実績!$AE$6:$AE$505,"○")&gt;0,1,0))</f>
        <v/>
      </c>
      <c r="CK274">
        <f>IF(CK$4=0,0,IF(COUNTIFS(実績!$W$6:$W$505,CK$3,実績!$AC$6:$AC$505,"&lt;="&amp;$A274,実績!$AD$6:$AD$505,"&gt;"&amp;$A274,実績!$AE$6:$AE$505,"○")&gt;0,1,0))</f>
        <v/>
      </c>
      <c r="CL274">
        <f>IF(CL$4=0,0,IF(COUNTIFS(実績!$W$6:$W$505,CL$3,実績!$AC$6:$AC$505,"&lt;="&amp;$A274,実績!$AD$6:$AD$505,"&gt;"&amp;$A274,実績!$AE$6:$AE$505,"○")&gt;0,1,0))</f>
        <v/>
      </c>
      <c r="CM274">
        <f>IF(CM$4=0,0,IF(COUNTIFS(実績!$W$6:$W$505,CM$3,実績!$AC$6:$AC$505,"&lt;="&amp;$A274,実績!$AD$6:$AD$505,"&gt;"&amp;$A274,実績!$AE$6:$AE$505,"○")&gt;0,1,0))</f>
        <v/>
      </c>
      <c r="CN274">
        <f>IF(CN$4=0,0,IF(COUNTIFS(実績!$W$6:$W$505,CN$3,実績!$AC$6:$AC$505,"&lt;="&amp;$A274,実績!$AD$6:$AD$505,"&gt;"&amp;$A274,実績!$AE$6:$AE$505,"○")&gt;0,1,0))</f>
        <v/>
      </c>
      <c r="CO274">
        <f>IF(CO$4=0,0,IF(COUNTIFS(実績!$W$6:$W$505,CO$3,実績!$AC$6:$AC$505,"&lt;="&amp;$A274,実績!$AD$6:$AD$505,"&gt;"&amp;$A274,実績!$AE$6:$AE$505,"○")&gt;0,1,0))</f>
        <v/>
      </c>
      <c r="CP274">
        <f>IF(CP$4=0,0,IF(COUNTIFS(実績!$W$6:$W$505,CP$3,実績!$AC$6:$AC$505,"&lt;="&amp;$A274,実績!$AD$6:$AD$505,"&gt;"&amp;$A274,実績!$AE$6:$AE$505,"○")&gt;0,1,0))</f>
        <v/>
      </c>
      <c r="CQ274">
        <f>IF(CQ$4=0,0,IF(COUNTIFS(実績!$W$6:$W$505,CQ$3,実績!$AC$6:$AC$505,"&lt;="&amp;$A274,実績!$AD$6:$AD$505,"&gt;"&amp;$A274,実績!$AE$6:$AE$505,"○")&gt;0,1,0))</f>
        <v/>
      </c>
      <c r="CR274">
        <f>IF(CR$4=0,0,IF(COUNTIFS(実績!$W$6:$W$505,CR$3,実績!$AC$6:$AC$505,"&lt;="&amp;$A274,実績!$AD$6:$AD$505,"&gt;"&amp;$A274,実績!$AE$6:$AE$505,"○")&gt;0,1,0))</f>
        <v/>
      </c>
      <c r="CS274">
        <f>IF(CS$4=0,0,IF(COUNTIFS(実績!$W$6:$W$505,CS$3,実績!$AC$6:$AC$505,"&lt;="&amp;$A274,実績!$AD$6:$AD$505,"&gt;"&amp;$A274,実績!$AE$6:$AE$505,"○")&gt;0,1,0))</f>
        <v/>
      </c>
      <c r="CT274">
        <f>IF(CT$4=0,0,IF(COUNTIFS(実績!$W$6:$W$505,CT$3,実績!$AC$6:$AC$505,"&lt;="&amp;$A274,実績!$AD$6:$AD$505,"&gt;"&amp;$A274,実績!$AE$6:$AE$505,"○")&gt;0,1,0))</f>
        <v/>
      </c>
      <c r="CU274">
        <f>IF(CU$4=0,0,IF(COUNTIFS(実績!$W$6:$W$505,CU$3,実績!$AC$6:$AC$505,"&lt;="&amp;$A274,実績!$AD$6:$AD$505,"&gt;"&amp;$A274,実績!$AE$6:$AE$505,"○")&gt;0,1,0))</f>
        <v/>
      </c>
      <c r="CV274">
        <f>IF(CV$4=0,0,IF(COUNTIFS(実績!$W$6:$W$505,CV$3,実績!$AC$6:$AC$505,"&lt;="&amp;$A274,実績!$AD$6:$AD$505,"&gt;"&amp;$A274,実績!$AE$6:$AE$505,"○")&gt;0,1,0))</f>
        <v/>
      </c>
      <c r="CW274">
        <f>IF(CW$4=0,0,IF(COUNTIFS(実績!$W$6:$W$505,CW$3,実績!$AC$6:$AC$505,"&lt;="&amp;$A274,実績!$AD$6:$AD$505,"&gt;"&amp;$A274,実績!$AE$6:$AE$505,"○")&gt;0,1,0))</f>
        <v/>
      </c>
      <c r="CX274">
        <f>IF(CX$4=0,0,IF(COUNTIFS(実績!$W$6:$W$505,CX$3,実績!$AC$6:$AC$505,"&lt;="&amp;$A274,実績!$AD$6:$AD$505,"&gt;"&amp;$A274,実績!$AE$6:$AE$505,"○")&gt;0,1,0))</f>
        <v/>
      </c>
      <c r="CY274">
        <f>IF(CY$4=0,0,IF(COUNTIFS(実績!$W$6:$W$505,CY$3,実績!$AC$6:$AC$505,"&lt;="&amp;$A274,実績!$AD$6:$AD$505,"&gt;"&amp;$A274,実績!$AE$6:$AE$505,"○")&gt;0,1,0))</f>
        <v/>
      </c>
      <c r="CZ274">
        <f>IF(CZ$4=0,0,IF(COUNTIFS(実績!$W$6:$W$505,CZ$3,実績!$AC$6:$AC$505,"&lt;="&amp;$A274,実績!$AD$6:$AD$505,"&gt;"&amp;$A274,実績!$AE$6:$AE$505,"○")&gt;0,1,0))</f>
        <v/>
      </c>
      <c r="DA274">
        <f>IF(DA$4=0,0,IF(COUNTIFS(実績!$W$6:$W$505,DA$3,実績!$AC$6:$AC$505,"&lt;="&amp;$A274,実績!$AD$6:$AD$505,"&gt;"&amp;$A274,実績!$AE$6:$AE$505,"○")&gt;0,1,0))</f>
        <v/>
      </c>
      <c r="DB274">
        <f>IF(DB$4=0,0,IF(COUNTIFS(実績!$W$6:$W$505,DB$3,実績!$AC$6:$AC$505,"&lt;="&amp;$A274,実績!$AD$6:$AD$505,"&gt;"&amp;$A274,実績!$AE$6:$AE$505,"○")&gt;0,1,0))</f>
        <v/>
      </c>
      <c r="DC274">
        <f>IF(DC$4=0,0,IF(COUNTIFS(実績!$W$6:$W$505,DC$3,実績!$AC$6:$AC$505,"&lt;="&amp;$A274,実績!$AD$6:$AD$505,"&gt;"&amp;$A274,実績!$AE$6:$AE$505,"○")&gt;0,1,0))</f>
        <v/>
      </c>
      <c r="DD274">
        <f>IF(DD$4=0,0,IF(COUNTIFS(実績!$W$6:$W$505,DD$3,実績!$AC$6:$AC$505,"&lt;="&amp;$A274,実績!$AD$6:$AD$505,"&gt;"&amp;$A274,実績!$AE$6:$AE$505,"○")&gt;0,1,0))</f>
        <v/>
      </c>
      <c r="DE274">
        <f>IF(DE$4=0,0,IF(COUNTIFS(実績!$W$6:$W$505,DE$3,実績!$AC$6:$AC$505,"&lt;="&amp;$A274,実績!$AD$6:$AD$505,"&gt;"&amp;$A274,実績!$AE$6:$AE$505,"○")&gt;0,1,0))</f>
        <v/>
      </c>
      <c r="DF274">
        <f>IF(DF$4=0,0,IF(COUNTIFS(実績!$W$6:$W$505,DF$3,実績!$AC$6:$AC$505,"&lt;="&amp;$A274,実績!$AD$6:$AD$505,"&gt;"&amp;$A274,実績!$AE$6:$AE$505,"○")&gt;0,1,0))</f>
        <v/>
      </c>
      <c r="DG274">
        <f>IF(DG$4=0,0,IF(COUNTIFS(実績!$W$6:$W$505,DG$3,実績!$AC$6:$AC$505,"&lt;="&amp;$A274,実績!$AD$6:$AD$505,"&gt;"&amp;$A274,実績!$AE$6:$AE$505,"○")&gt;0,1,0))</f>
        <v/>
      </c>
      <c r="DH274">
        <f>IF(DH$4=0,0,IF(COUNTIFS(実績!$W$6:$W$505,DH$3,実績!$AC$6:$AC$505,"&lt;="&amp;$A274,実績!$AD$6:$AD$505,"&gt;"&amp;$A274,実績!$AE$6:$AE$505,"○")&gt;0,1,0))</f>
        <v/>
      </c>
      <c r="DI274">
        <f>IF(DI$4=0,0,IF(COUNTIFS(実績!$W$6:$W$505,DI$3,実績!$AC$6:$AC$505,"&lt;="&amp;$A274,実績!$AD$6:$AD$505,"&gt;"&amp;$A274,実績!$AE$6:$AE$505,"○")&gt;0,1,0))</f>
        <v/>
      </c>
      <c r="DJ274">
        <f>IF(DJ$4=0,0,IF(COUNTIFS(実績!$W$6:$W$505,DJ$3,実績!$AC$6:$AC$505,"&lt;="&amp;$A274,実績!$AD$6:$AD$505,"&gt;"&amp;$A274,実績!$AE$6:$AE$505,"○")&gt;0,1,0))</f>
        <v/>
      </c>
      <c r="DK274">
        <f>IF(DK$4=0,0,IF(COUNTIFS(実績!$W$6:$W$505,DK$3,実績!$AC$6:$AC$505,"&lt;="&amp;$A274,実績!$AD$6:$AD$505,"&gt;"&amp;$A274,実績!$AE$6:$AE$505,"○")&gt;0,1,0))</f>
        <v/>
      </c>
      <c r="DL274">
        <f>IF(DL$4=0,0,IF(COUNTIFS(実績!$W$6:$W$505,DL$3,実績!$AC$6:$AC$505,"&lt;="&amp;$A274,実績!$AD$6:$AD$505,"&gt;"&amp;$A274,実績!$AE$6:$AE$505,"○")&gt;0,1,0))</f>
        <v/>
      </c>
      <c r="DM274">
        <f>IF(DM$4=0,0,IF(COUNTIFS(実績!$W$6:$W$505,DM$3,実績!$AC$6:$AC$505,"&lt;="&amp;$A274,実績!$AD$6:$AD$505,"&gt;"&amp;$A274,実績!$AE$6:$AE$505,"○")&gt;0,1,0))</f>
        <v/>
      </c>
      <c r="DN274">
        <f>IF(DN$4=0,0,IF(COUNTIFS(実績!$W$6:$W$505,DN$3,実績!$AC$6:$AC$505,"&lt;="&amp;$A274,実績!$AD$6:$AD$505,"&gt;"&amp;$A274,実績!$AE$6:$AE$505,"○")&gt;0,1,0))</f>
        <v/>
      </c>
      <c r="DO274">
        <f>IF(DO$4=0,0,IF(COUNTIFS(実績!$W$6:$W$505,DO$3,実績!$AC$6:$AC$505,"&lt;="&amp;$A274,実績!$AD$6:$AD$505,"&gt;"&amp;$A274,実績!$AE$6:$AE$505,"○")&gt;0,1,0))</f>
        <v/>
      </c>
      <c r="DP274">
        <f>IF(DP$4=0,0,IF(COUNTIFS(実績!$W$6:$W$505,DP$3,実績!$AC$6:$AC$505,"&lt;="&amp;$A274,実績!$AD$6:$AD$505,"&gt;"&amp;$A274,実績!$AE$6:$AE$505,"○")&gt;0,1,0))</f>
        <v/>
      </c>
      <c r="DQ274">
        <f>IF(DQ$4=0,0,IF(COUNTIFS(実績!$W$6:$W$505,DQ$3,実績!$AC$6:$AC$505,"&lt;="&amp;$A274,実績!$AD$6:$AD$505,"&gt;"&amp;$A274,実績!$AE$6:$AE$505,"○")&gt;0,1,0))</f>
        <v/>
      </c>
      <c r="DR274">
        <f>IF(DR$4=0,0,IF(COUNTIFS(実績!$W$6:$W$505,DR$3,実績!$AC$6:$AC$505,"&lt;="&amp;$A274,実績!$AD$6:$AD$505,"&gt;"&amp;$A274,実績!$AE$6:$AE$505,"○")&gt;0,1,0))</f>
        <v/>
      </c>
      <c r="DS274">
        <f>SUM(C274:DR274)</f>
        <v/>
      </c>
      <c r="DT274">
        <f>SUMPRODUCT((実績!$C$6:$C$505="○")*ISNUMBER(実績!$AF$6:$AF$505)*(実績!$AF$6:$AF$505&lt;=$A274)*(実績!$AG$6:$AG$505&gt;$A274))</f>
        <v/>
      </c>
      <c r="DU274">
        <f>SUMIF($C$2:$DR$2,"製鉄曳船",C274:DR274)</f>
        <v/>
      </c>
      <c r="DV274">
        <f>SUMIF($C$2:$DR$2,"西日本海運",C274:DR274)</f>
        <v/>
      </c>
    </row>
    <row r="275">
      <c r="A275" t="n">
        <v>1345</v>
      </c>
      <c r="B275" s="29">
        <f>A275/1440</f>
        <v/>
      </c>
      <c r="C275">
        <f>IF(C$4=0,0,IF(COUNTIFS(実績!$W$6:$W$505,C$3,実績!$AC$6:$AC$505,"&lt;="&amp;$A275,実績!$AD$6:$AD$505,"&gt;"&amp;$A275,実績!$AE$6:$AE$505,"○")&gt;0,1,0))</f>
        <v/>
      </c>
      <c r="D275">
        <f>IF(D$4=0,0,IF(COUNTIFS(実績!$W$6:$W$505,D$3,実績!$AC$6:$AC$505,"&lt;="&amp;$A275,実績!$AD$6:$AD$505,"&gt;"&amp;$A275,実績!$AE$6:$AE$505,"○")&gt;0,1,0))</f>
        <v/>
      </c>
      <c r="E275">
        <f>IF(E$4=0,0,IF(COUNTIFS(実績!$W$6:$W$505,E$3,実績!$AC$6:$AC$505,"&lt;="&amp;$A275,実績!$AD$6:$AD$505,"&gt;"&amp;$A275,実績!$AE$6:$AE$505,"○")&gt;0,1,0))</f>
        <v/>
      </c>
      <c r="F275">
        <f>IF(F$4=0,0,IF(COUNTIFS(実績!$W$6:$W$505,F$3,実績!$AC$6:$AC$505,"&lt;="&amp;$A275,実績!$AD$6:$AD$505,"&gt;"&amp;$A275,実績!$AE$6:$AE$505,"○")&gt;0,1,0))</f>
        <v/>
      </c>
      <c r="G275">
        <f>IF(G$4=0,0,IF(COUNTIFS(実績!$W$6:$W$505,G$3,実績!$AC$6:$AC$505,"&lt;="&amp;$A275,実績!$AD$6:$AD$505,"&gt;"&amp;$A275,実績!$AE$6:$AE$505,"○")&gt;0,1,0))</f>
        <v/>
      </c>
      <c r="H275">
        <f>IF(H$4=0,0,IF(COUNTIFS(実績!$W$6:$W$505,H$3,実績!$AC$6:$AC$505,"&lt;="&amp;$A275,実績!$AD$6:$AD$505,"&gt;"&amp;$A275,実績!$AE$6:$AE$505,"○")&gt;0,1,0))</f>
        <v/>
      </c>
      <c r="I275">
        <f>IF(I$4=0,0,IF(COUNTIFS(実績!$W$6:$W$505,I$3,実績!$AC$6:$AC$505,"&lt;="&amp;$A275,実績!$AD$6:$AD$505,"&gt;"&amp;$A275,実績!$AE$6:$AE$505,"○")&gt;0,1,0))</f>
        <v/>
      </c>
      <c r="J275">
        <f>IF(J$4=0,0,IF(COUNTIFS(実績!$W$6:$W$505,J$3,実績!$AC$6:$AC$505,"&lt;="&amp;$A275,実績!$AD$6:$AD$505,"&gt;"&amp;$A275,実績!$AE$6:$AE$505,"○")&gt;0,1,0))</f>
        <v/>
      </c>
      <c r="K275">
        <f>IF(K$4=0,0,IF(COUNTIFS(実績!$W$6:$W$505,K$3,実績!$AC$6:$AC$505,"&lt;="&amp;$A275,実績!$AD$6:$AD$505,"&gt;"&amp;$A275,実績!$AE$6:$AE$505,"○")&gt;0,1,0))</f>
        <v/>
      </c>
      <c r="L275">
        <f>IF(L$4=0,0,IF(COUNTIFS(実績!$W$6:$W$505,L$3,実績!$AC$6:$AC$505,"&lt;="&amp;$A275,実績!$AD$6:$AD$505,"&gt;"&amp;$A275,実績!$AE$6:$AE$505,"○")&gt;0,1,0))</f>
        <v/>
      </c>
      <c r="M275">
        <f>IF(M$4=0,0,IF(COUNTIFS(実績!$W$6:$W$505,M$3,実績!$AC$6:$AC$505,"&lt;="&amp;$A275,実績!$AD$6:$AD$505,"&gt;"&amp;$A275,実績!$AE$6:$AE$505,"○")&gt;0,1,0))</f>
        <v/>
      </c>
      <c r="N275">
        <f>IF(N$4=0,0,IF(COUNTIFS(実績!$W$6:$W$505,N$3,実績!$AC$6:$AC$505,"&lt;="&amp;$A275,実績!$AD$6:$AD$505,"&gt;"&amp;$A275,実績!$AE$6:$AE$505,"○")&gt;0,1,0))</f>
        <v/>
      </c>
      <c r="O275">
        <f>IF(O$4=0,0,IF(COUNTIFS(実績!$W$6:$W$505,O$3,実績!$AC$6:$AC$505,"&lt;="&amp;$A275,実績!$AD$6:$AD$505,"&gt;"&amp;$A275,実績!$AE$6:$AE$505,"○")&gt;0,1,0))</f>
        <v/>
      </c>
      <c r="P275">
        <f>IF(P$4=0,0,IF(COUNTIFS(実績!$W$6:$W$505,P$3,実績!$AC$6:$AC$505,"&lt;="&amp;$A275,実績!$AD$6:$AD$505,"&gt;"&amp;$A275,実績!$AE$6:$AE$505,"○")&gt;0,1,0))</f>
        <v/>
      </c>
      <c r="Q275">
        <f>IF(Q$4=0,0,IF(COUNTIFS(実績!$W$6:$W$505,Q$3,実績!$AC$6:$AC$505,"&lt;="&amp;$A275,実績!$AD$6:$AD$505,"&gt;"&amp;$A275,実績!$AE$6:$AE$505,"○")&gt;0,1,0))</f>
        <v/>
      </c>
      <c r="R275">
        <f>IF(R$4=0,0,IF(COUNTIFS(実績!$W$6:$W$505,R$3,実績!$AC$6:$AC$505,"&lt;="&amp;$A275,実績!$AD$6:$AD$505,"&gt;"&amp;$A275,実績!$AE$6:$AE$505,"○")&gt;0,1,0))</f>
        <v/>
      </c>
      <c r="S275">
        <f>IF(S$4=0,0,IF(COUNTIFS(実績!$W$6:$W$505,S$3,実績!$AC$6:$AC$505,"&lt;="&amp;$A275,実績!$AD$6:$AD$505,"&gt;"&amp;$A275,実績!$AE$6:$AE$505,"○")&gt;0,1,0))</f>
        <v/>
      </c>
      <c r="T275">
        <f>IF(T$4=0,0,IF(COUNTIFS(実績!$W$6:$W$505,T$3,実績!$AC$6:$AC$505,"&lt;="&amp;$A275,実績!$AD$6:$AD$505,"&gt;"&amp;$A275,実績!$AE$6:$AE$505,"○")&gt;0,1,0))</f>
        <v/>
      </c>
      <c r="U275">
        <f>IF(U$4=0,0,IF(COUNTIFS(実績!$W$6:$W$505,U$3,実績!$AC$6:$AC$505,"&lt;="&amp;$A275,実績!$AD$6:$AD$505,"&gt;"&amp;$A275,実績!$AE$6:$AE$505,"○")&gt;0,1,0))</f>
        <v/>
      </c>
      <c r="V275">
        <f>IF(V$4=0,0,IF(COUNTIFS(実績!$W$6:$W$505,V$3,実績!$AC$6:$AC$505,"&lt;="&amp;$A275,実績!$AD$6:$AD$505,"&gt;"&amp;$A275,実績!$AE$6:$AE$505,"○")&gt;0,1,0))</f>
        <v/>
      </c>
      <c r="W275">
        <f>IF(W$4=0,0,IF(COUNTIFS(実績!$W$6:$W$505,W$3,実績!$AC$6:$AC$505,"&lt;="&amp;$A275,実績!$AD$6:$AD$505,"&gt;"&amp;$A275,実績!$AE$6:$AE$505,"○")&gt;0,1,0))</f>
        <v/>
      </c>
      <c r="X275">
        <f>IF(X$4=0,0,IF(COUNTIFS(実績!$W$6:$W$505,X$3,実績!$AC$6:$AC$505,"&lt;="&amp;$A275,実績!$AD$6:$AD$505,"&gt;"&amp;$A275,実績!$AE$6:$AE$505,"○")&gt;0,1,0))</f>
        <v/>
      </c>
      <c r="Y275">
        <f>IF(Y$4=0,0,IF(COUNTIFS(実績!$W$6:$W$505,Y$3,実績!$AC$6:$AC$505,"&lt;="&amp;$A275,実績!$AD$6:$AD$505,"&gt;"&amp;$A275,実績!$AE$6:$AE$505,"○")&gt;0,1,0))</f>
        <v/>
      </c>
      <c r="Z275">
        <f>IF(Z$4=0,0,IF(COUNTIFS(実績!$W$6:$W$505,Z$3,実績!$AC$6:$AC$505,"&lt;="&amp;$A275,実績!$AD$6:$AD$505,"&gt;"&amp;$A275,実績!$AE$6:$AE$505,"○")&gt;0,1,0))</f>
        <v/>
      </c>
      <c r="AA275">
        <f>IF(AA$4=0,0,IF(COUNTIFS(実績!$W$6:$W$505,AA$3,実績!$AC$6:$AC$505,"&lt;="&amp;$A275,実績!$AD$6:$AD$505,"&gt;"&amp;$A275,実績!$AE$6:$AE$505,"○")&gt;0,1,0))</f>
        <v/>
      </c>
      <c r="AB275">
        <f>IF(AB$4=0,0,IF(COUNTIFS(実績!$W$6:$W$505,AB$3,実績!$AC$6:$AC$505,"&lt;="&amp;$A275,実績!$AD$6:$AD$505,"&gt;"&amp;$A275,実績!$AE$6:$AE$505,"○")&gt;0,1,0))</f>
        <v/>
      </c>
      <c r="AC275">
        <f>IF(AC$4=0,0,IF(COUNTIFS(実績!$W$6:$W$505,AC$3,実績!$AC$6:$AC$505,"&lt;="&amp;$A275,実績!$AD$6:$AD$505,"&gt;"&amp;$A275,実績!$AE$6:$AE$505,"○")&gt;0,1,0))</f>
        <v/>
      </c>
      <c r="AD275">
        <f>IF(AD$4=0,0,IF(COUNTIFS(実績!$W$6:$W$505,AD$3,実績!$AC$6:$AC$505,"&lt;="&amp;$A275,実績!$AD$6:$AD$505,"&gt;"&amp;$A275,実績!$AE$6:$AE$505,"○")&gt;0,1,0))</f>
        <v/>
      </c>
      <c r="AE275">
        <f>IF(AE$4=0,0,IF(COUNTIFS(実績!$W$6:$W$505,AE$3,実績!$AC$6:$AC$505,"&lt;="&amp;$A275,実績!$AD$6:$AD$505,"&gt;"&amp;$A275,実績!$AE$6:$AE$505,"○")&gt;0,1,0))</f>
        <v/>
      </c>
      <c r="AF275">
        <f>IF(AF$4=0,0,IF(COUNTIFS(実績!$W$6:$W$505,AF$3,実績!$AC$6:$AC$505,"&lt;="&amp;$A275,実績!$AD$6:$AD$505,"&gt;"&amp;$A275,実績!$AE$6:$AE$505,"○")&gt;0,1,0))</f>
        <v/>
      </c>
      <c r="AG275">
        <f>IF(AG$4=0,0,IF(COUNTIFS(実績!$W$6:$W$505,AG$3,実績!$AC$6:$AC$505,"&lt;="&amp;$A275,実績!$AD$6:$AD$505,"&gt;"&amp;$A275,実績!$AE$6:$AE$505,"○")&gt;0,1,0))</f>
        <v/>
      </c>
      <c r="AH275">
        <f>IF(AH$4=0,0,IF(COUNTIFS(実績!$W$6:$W$505,AH$3,実績!$AC$6:$AC$505,"&lt;="&amp;$A275,実績!$AD$6:$AD$505,"&gt;"&amp;$A275,実績!$AE$6:$AE$505,"○")&gt;0,1,0))</f>
        <v/>
      </c>
      <c r="AI275">
        <f>IF(AI$4=0,0,IF(COUNTIFS(実績!$W$6:$W$505,AI$3,実績!$AC$6:$AC$505,"&lt;="&amp;$A275,実績!$AD$6:$AD$505,"&gt;"&amp;$A275,実績!$AE$6:$AE$505,"○")&gt;0,1,0))</f>
        <v/>
      </c>
      <c r="AJ275">
        <f>IF(AJ$4=0,0,IF(COUNTIFS(実績!$W$6:$W$505,AJ$3,実績!$AC$6:$AC$505,"&lt;="&amp;$A275,実績!$AD$6:$AD$505,"&gt;"&amp;$A275,実績!$AE$6:$AE$505,"○")&gt;0,1,0))</f>
        <v/>
      </c>
      <c r="AK275">
        <f>IF(AK$4=0,0,IF(COUNTIFS(実績!$W$6:$W$505,AK$3,実績!$AC$6:$AC$505,"&lt;="&amp;$A275,実績!$AD$6:$AD$505,"&gt;"&amp;$A275,実績!$AE$6:$AE$505,"○")&gt;0,1,0))</f>
        <v/>
      </c>
      <c r="AL275">
        <f>IF(AL$4=0,0,IF(COUNTIFS(実績!$W$6:$W$505,AL$3,実績!$AC$6:$AC$505,"&lt;="&amp;$A275,実績!$AD$6:$AD$505,"&gt;"&amp;$A275,実績!$AE$6:$AE$505,"○")&gt;0,1,0))</f>
        <v/>
      </c>
      <c r="AM275">
        <f>IF(AM$4=0,0,IF(COUNTIFS(実績!$W$6:$W$505,AM$3,実績!$AC$6:$AC$505,"&lt;="&amp;$A275,実績!$AD$6:$AD$505,"&gt;"&amp;$A275,実績!$AE$6:$AE$505,"○")&gt;0,1,0))</f>
        <v/>
      </c>
      <c r="AN275">
        <f>IF(AN$4=0,0,IF(COUNTIFS(実績!$W$6:$W$505,AN$3,実績!$AC$6:$AC$505,"&lt;="&amp;$A275,実績!$AD$6:$AD$505,"&gt;"&amp;$A275,実績!$AE$6:$AE$505,"○")&gt;0,1,0))</f>
        <v/>
      </c>
      <c r="AO275">
        <f>IF(AO$4=0,0,IF(COUNTIFS(実績!$W$6:$W$505,AO$3,実績!$AC$6:$AC$505,"&lt;="&amp;$A275,実績!$AD$6:$AD$505,"&gt;"&amp;$A275,実績!$AE$6:$AE$505,"○")&gt;0,1,0))</f>
        <v/>
      </c>
      <c r="AP275">
        <f>IF(AP$4=0,0,IF(COUNTIFS(実績!$W$6:$W$505,AP$3,実績!$AC$6:$AC$505,"&lt;="&amp;$A275,実績!$AD$6:$AD$505,"&gt;"&amp;$A275,実績!$AE$6:$AE$505,"○")&gt;0,1,0))</f>
        <v/>
      </c>
      <c r="AQ275">
        <f>IF(AQ$4=0,0,IF(COUNTIFS(実績!$W$6:$W$505,AQ$3,実績!$AC$6:$AC$505,"&lt;="&amp;$A275,実績!$AD$6:$AD$505,"&gt;"&amp;$A275,実績!$AE$6:$AE$505,"○")&gt;0,1,0))</f>
        <v/>
      </c>
      <c r="AR275">
        <f>IF(AR$4=0,0,IF(COUNTIFS(実績!$W$6:$W$505,AR$3,実績!$AC$6:$AC$505,"&lt;="&amp;$A275,実績!$AD$6:$AD$505,"&gt;"&amp;$A275,実績!$AE$6:$AE$505,"○")&gt;0,1,0))</f>
        <v/>
      </c>
      <c r="AS275">
        <f>IF(AS$4=0,0,IF(COUNTIFS(実績!$W$6:$W$505,AS$3,実績!$AC$6:$AC$505,"&lt;="&amp;$A275,実績!$AD$6:$AD$505,"&gt;"&amp;$A275,実績!$AE$6:$AE$505,"○")&gt;0,1,0))</f>
        <v/>
      </c>
      <c r="AT275">
        <f>IF(AT$4=0,0,IF(COUNTIFS(実績!$W$6:$W$505,AT$3,実績!$AC$6:$AC$505,"&lt;="&amp;$A275,実績!$AD$6:$AD$505,"&gt;"&amp;$A275,実績!$AE$6:$AE$505,"○")&gt;0,1,0))</f>
        <v/>
      </c>
      <c r="AU275">
        <f>IF(AU$4=0,0,IF(COUNTIFS(実績!$W$6:$W$505,AU$3,実績!$AC$6:$AC$505,"&lt;="&amp;$A275,実績!$AD$6:$AD$505,"&gt;"&amp;$A275,実績!$AE$6:$AE$505,"○")&gt;0,1,0))</f>
        <v/>
      </c>
      <c r="AV275">
        <f>IF(AV$4=0,0,IF(COUNTIFS(実績!$W$6:$W$505,AV$3,実績!$AC$6:$AC$505,"&lt;="&amp;$A275,実績!$AD$6:$AD$505,"&gt;"&amp;$A275,実績!$AE$6:$AE$505,"○")&gt;0,1,0))</f>
        <v/>
      </c>
      <c r="AW275">
        <f>IF(AW$4=0,0,IF(COUNTIFS(実績!$W$6:$W$505,AW$3,実績!$AC$6:$AC$505,"&lt;="&amp;$A275,実績!$AD$6:$AD$505,"&gt;"&amp;$A275,実績!$AE$6:$AE$505,"○")&gt;0,1,0))</f>
        <v/>
      </c>
      <c r="AX275">
        <f>IF(AX$4=0,0,IF(COUNTIFS(実績!$W$6:$W$505,AX$3,実績!$AC$6:$AC$505,"&lt;="&amp;$A275,実績!$AD$6:$AD$505,"&gt;"&amp;$A275,実績!$AE$6:$AE$505,"○")&gt;0,1,0))</f>
        <v/>
      </c>
      <c r="AY275">
        <f>IF(AY$4=0,0,IF(COUNTIFS(実績!$W$6:$W$505,AY$3,実績!$AC$6:$AC$505,"&lt;="&amp;$A275,実績!$AD$6:$AD$505,"&gt;"&amp;$A275,実績!$AE$6:$AE$505,"○")&gt;0,1,0))</f>
        <v/>
      </c>
      <c r="AZ275">
        <f>IF(AZ$4=0,0,IF(COUNTIFS(実績!$W$6:$W$505,AZ$3,実績!$AC$6:$AC$505,"&lt;="&amp;$A275,実績!$AD$6:$AD$505,"&gt;"&amp;$A275,実績!$AE$6:$AE$505,"○")&gt;0,1,0))</f>
        <v/>
      </c>
      <c r="BA275">
        <f>IF(BA$4=0,0,IF(COUNTIFS(実績!$W$6:$W$505,BA$3,実績!$AC$6:$AC$505,"&lt;="&amp;$A275,実績!$AD$6:$AD$505,"&gt;"&amp;$A275,実績!$AE$6:$AE$505,"○")&gt;0,1,0))</f>
        <v/>
      </c>
      <c r="BB275">
        <f>IF(BB$4=0,0,IF(COUNTIFS(実績!$W$6:$W$505,BB$3,実績!$AC$6:$AC$505,"&lt;="&amp;$A275,実績!$AD$6:$AD$505,"&gt;"&amp;$A275,実績!$AE$6:$AE$505,"○")&gt;0,1,0))</f>
        <v/>
      </c>
      <c r="BC275">
        <f>IF(BC$4=0,0,IF(COUNTIFS(実績!$W$6:$W$505,BC$3,実績!$AC$6:$AC$505,"&lt;="&amp;$A275,実績!$AD$6:$AD$505,"&gt;"&amp;$A275,実績!$AE$6:$AE$505,"○")&gt;0,1,0))</f>
        <v/>
      </c>
      <c r="BD275">
        <f>IF(BD$4=0,0,IF(COUNTIFS(実績!$W$6:$W$505,BD$3,実績!$AC$6:$AC$505,"&lt;="&amp;$A275,実績!$AD$6:$AD$505,"&gt;"&amp;$A275,実績!$AE$6:$AE$505,"○")&gt;0,1,0))</f>
        <v/>
      </c>
      <c r="BE275">
        <f>IF(BE$4=0,0,IF(COUNTIFS(実績!$W$6:$W$505,BE$3,実績!$AC$6:$AC$505,"&lt;="&amp;$A275,実績!$AD$6:$AD$505,"&gt;"&amp;$A275,実績!$AE$6:$AE$505,"○")&gt;0,1,0))</f>
        <v/>
      </c>
      <c r="BF275">
        <f>IF(BF$4=0,0,IF(COUNTIFS(実績!$W$6:$W$505,BF$3,実績!$AC$6:$AC$505,"&lt;="&amp;$A275,実績!$AD$6:$AD$505,"&gt;"&amp;$A275,実績!$AE$6:$AE$505,"○")&gt;0,1,0))</f>
        <v/>
      </c>
      <c r="BG275">
        <f>IF(BG$4=0,0,IF(COUNTIFS(実績!$W$6:$W$505,BG$3,実績!$AC$6:$AC$505,"&lt;="&amp;$A275,実績!$AD$6:$AD$505,"&gt;"&amp;$A275,実績!$AE$6:$AE$505,"○")&gt;0,1,0))</f>
        <v/>
      </c>
      <c r="BH275">
        <f>IF(BH$4=0,0,IF(COUNTIFS(実績!$W$6:$W$505,BH$3,実績!$AC$6:$AC$505,"&lt;="&amp;$A275,実績!$AD$6:$AD$505,"&gt;"&amp;$A275,実績!$AE$6:$AE$505,"○")&gt;0,1,0))</f>
        <v/>
      </c>
      <c r="BI275">
        <f>IF(BI$4=0,0,IF(COUNTIFS(実績!$W$6:$W$505,BI$3,実績!$AC$6:$AC$505,"&lt;="&amp;$A275,実績!$AD$6:$AD$505,"&gt;"&amp;$A275,実績!$AE$6:$AE$505,"○")&gt;0,1,0))</f>
        <v/>
      </c>
      <c r="BJ275">
        <f>IF(BJ$4=0,0,IF(COUNTIFS(実績!$W$6:$W$505,BJ$3,実績!$AC$6:$AC$505,"&lt;="&amp;$A275,実績!$AD$6:$AD$505,"&gt;"&amp;$A275,実績!$AE$6:$AE$505,"○")&gt;0,1,0))</f>
        <v/>
      </c>
      <c r="BK275">
        <f>IF(BK$4=0,0,IF(COUNTIFS(実績!$W$6:$W$505,BK$3,実績!$AC$6:$AC$505,"&lt;="&amp;$A275,実績!$AD$6:$AD$505,"&gt;"&amp;$A275,実績!$AE$6:$AE$505,"○")&gt;0,1,0))</f>
        <v/>
      </c>
      <c r="BL275">
        <f>IF(BL$4=0,0,IF(COUNTIFS(実績!$W$6:$W$505,BL$3,実績!$AC$6:$AC$505,"&lt;="&amp;$A275,実績!$AD$6:$AD$505,"&gt;"&amp;$A275,実績!$AE$6:$AE$505,"○")&gt;0,1,0))</f>
        <v/>
      </c>
      <c r="BM275">
        <f>IF(BM$4=0,0,IF(COUNTIFS(実績!$W$6:$W$505,BM$3,実績!$AC$6:$AC$505,"&lt;="&amp;$A275,実績!$AD$6:$AD$505,"&gt;"&amp;$A275,実績!$AE$6:$AE$505,"○")&gt;0,1,0))</f>
        <v/>
      </c>
      <c r="BN275">
        <f>IF(BN$4=0,0,IF(COUNTIFS(実績!$W$6:$W$505,BN$3,実績!$AC$6:$AC$505,"&lt;="&amp;$A275,実績!$AD$6:$AD$505,"&gt;"&amp;$A275,実績!$AE$6:$AE$505,"○")&gt;0,1,0))</f>
        <v/>
      </c>
      <c r="BO275">
        <f>IF(BO$4=0,0,IF(COUNTIFS(実績!$W$6:$W$505,BO$3,実績!$AC$6:$AC$505,"&lt;="&amp;$A275,実績!$AD$6:$AD$505,"&gt;"&amp;$A275,実績!$AE$6:$AE$505,"○")&gt;0,1,0))</f>
        <v/>
      </c>
      <c r="BP275">
        <f>IF(BP$4=0,0,IF(COUNTIFS(実績!$W$6:$W$505,BP$3,実績!$AC$6:$AC$505,"&lt;="&amp;$A275,実績!$AD$6:$AD$505,"&gt;"&amp;$A275,実績!$AE$6:$AE$505,"○")&gt;0,1,0))</f>
        <v/>
      </c>
      <c r="BQ275">
        <f>IF(BQ$4=0,0,IF(COUNTIFS(実績!$W$6:$W$505,BQ$3,実績!$AC$6:$AC$505,"&lt;="&amp;$A275,実績!$AD$6:$AD$505,"&gt;"&amp;$A275,実績!$AE$6:$AE$505,"○")&gt;0,1,0))</f>
        <v/>
      </c>
      <c r="BR275">
        <f>IF(BR$4=0,0,IF(COUNTIFS(実績!$W$6:$W$505,BR$3,実績!$AC$6:$AC$505,"&lt;="&amp;$A275,実績!$AD$6:$AD$505,"&gt;"&amp;$A275,実績!$AE$6:$AE$505,"○")&gt;0,1,0))</f>
        <v/>
      </c>
      <c r="BS275">
        <f>IF(BS$4=0,0,IF(COUNTIFS(実績!$W$6:$W$505,BS$3,実績!$AC$6:$AC$505,"&lt;="&amp;$A275,実績!$AD$6:$AD$505,"&gt;"&amp;$A275,実績!$AE$6:$AE$505,"○")&gt;0,1,0))</f>
        <v/>
      </c>
      <c r="BT275">
        <f>IF(BT$4=0,0,IF(COUNTIFS(実績!$W$6:$W$505,BT$3,実績!$AC$6:$AC$505,"&lt;="&amp;$A275,実績!$AD$6:$AD$505,"&gt;"&amp;$A275,実績!$AE$6:$AE$505,"○")&gt;0,1,0))</f>
        <v/>
      </c>
      <c r="BU275">
        <f>IF(BU$4=0,0,IF(COUNTIFS(実績!$W$6:$W$505,BU$3,実績!$AC$6:$AC$505,"&lt;="&amp;$A275,実績!$AD$6:$AD$505,"&gt;"&amp;$A275,実績!$AE$6:$AE$505,"○")&gt;0,1,0))</f>
        <v/>
      </c>
      <c r="BV275">
        <f>IF(BV$4=0,0,IF(COUNTIFS(実績!$W$6:$W$505,BV$3,実績!$AC$6:$AC$505,"&lt;="&amp;$A275,実績!$AD$6:$AD$505,"&gt;"&amp;$A275,実績!$AE$6:$AE$505,"○")&gt;0,1,0))</f>
        <v/>
      </c>
      <c r="BW275">
        <f>IF(BW$4=0,0,IF(COUNTIFS(実績!$W$6:$W$505,BW$3,実績!$AC$6:$AC$505,"&lt;="&amp;$A275,実績!$AD$6:$AD$505,"&gt;"&amp;$A275,実績!$AE$6:$AE$505,"○")&gt;0,1,0))</f>
        <v/>
      </c>
      <c r="BX275">
        <f>IF(BX$4=0,0,IF(COUNTIFS(実績!$W$6:$W$505,BX$3,実績!$AC$6:$AC$505,"&lt;="&amp;$A275,実績!$AD$6:$AD$505,"&gt;"&amp;$A275,実績!$AE$6:$AE$505,"○")&gt;0,1,0))</f>
        <v/>
      </c>
      <c r="BY275">
        <f>IF(BY$4=0,0,IF(COUNTIFS(実績!$W$6:$W$505,BY$3,実績!$AC$6:$AC$505,"&lt;="&amp;$A275,実績!$AD$6:$AD$505,"&gt;"&amp;$A275,実績!$AE$6:$AE$505,"○")&gt;0,1,0))</f>
        <v/>
      </c>
      <c r="BZ275">
        <f>IF(BZ$4=0,0,IF(COUNTIFS(実績!$W$6:$W$505,BZ$3,実績!$AC$6:$AC$505,"&lt;="&amp;$A275,実績!$AD$6:$AD$505,"&gt;"&amp;$A275,実績!$AE$6:$AE$505,"○")&gt;0,1,0))</f>
        <v/>
      </c>
      <c r="CA275">
        <f>IF(CA$4=0,0,IF(COUNTIFS(実績!$W$6:$W$505,CA$3,実績!$AC$6:$AC$505,"&lt;="&amp;$A275,実績!$AD$6:$AD$505,"&gt;"&amp;$A275,実績!$AE$6:$AE$505,"○")&gt;0,1,0))</f>
        <v/>
      </c>
      <c r="CB275">
        <f>IF(CB$4=0,0,IF(COUNTIFS(実績!$W$6:$W$505,CB$3,実績!$AC$6:$AC$505,"&lt;="&amp;$A275,実績!$AD$6:$AD$505,"&gt;"&amp;$A275,実績!$AE$6:$AE$505,"○")&gt;0,1,0))</f>
        <v/>
      </c>
      <c r="CC275">
        <f>IF(CC$4=0,0,IF(COUNTIFS(実績!$W$6:$W$505,CC$3,実績!$AC$6:$AC$505,"&lt;="&amp;$A275,実績!$AD$6:$AD$505,"&gt;"&amp;$A275,実績!$AE$6:$AE$505,"○")&gt;0,1,0))</f>
        <v/>
      </c>
      <c r="CD275">
        <f>IF(CD$4=0,0,IF(COUNTIFS(実績!$W$6:$W$505,CD$3,実績!$AC$6:$AC$505,"&lt;="&amp;$A275,実績!$AD$6:$AD$505,"&gt;"&amp;$A275,実績!$AE$6:$AE$505,"○")&gt;0,1,0))</f>
        <v/>
      </c>
      <c r="CE275">
        <f>IF(CE$4=0,0,IF(COUNTIFS(実績!$W$6:$W$505,CE$3,実績!$AC$6:$AC$505,"&lt;="&amp;$A275,実績!$AD$6:$AD$505,"&gt;"&amp;$A275,実績!$AE$6:$AE$505,"○")&gt;0,1,0))</f>
        <v/>
      </c>
      <c r="CF275">
        <f>IF(CF$4=0,0,IF(COUNTIFS(実績!$W$6:$W$505,CF$3,実績!$AC$6:$AC$505,"&lt;="&amp;$A275,実績!$AD$6:$AD$505,"&gt;"&amp;$A275,実績!$AE$6:$AE$505,"○")&gt;0,1,0))</f>
        <v/>
      </c>
      <c r="CG275">
        <f>IF(CG$4=0,0,IF(COUNTIFS(実績!$W$6:$W$505,CG$3,実績!$AC$6:$AC$505,"&lt;="&amp;$A275,実績!$AD$6:$AD$505,"&gt;"&amp;$A275,実績!$AE$6:$AE$505,"○")&gt;0,1,0))</f>
        <v/>
      </c>
      <c r="CH275">
        <f>IF(CH$4=0,0,IF(COUNTIFS(実績!$W$6:$W$505,CH$3,実績!$AC$6:$AC$505,"&lt;="&amp;$A275,実績!$AD$6:$AD$505,"&gt;"&amp;$A275,実績!$AE$6:$AE$505,"○")&gt;0,1,0))</f>
        <v/>
      </c>
      <c r="CI275">
        <f>IF(CI$4=0,0,IF(COUNTIFS(実績!$W$6:$W$505,CI$3,実績!$AC$6:$AC$505,"&lt;="&amp;$A275,実績!$AD$6:$AD$505,"&gt;"&amp;$A275,実績!$AE$6:$AE$505,"○")&gt;0,1,0))</f>
        <v/>
      </c>
      <c r="CJ275">
        <f>IF(CJ$4=0,0,IF(COUNTIFS(実績!$W$6:$W$505,CJ$3,実績!$AC$6:$AC$505,"&lt;="&amp;$A275,実績!$AD$6:$AD$505,"&gt;"&amp;$A275,実績!$AE$6:$AE$505,"○")&gt;0,1,0))</f>
        <v/>
      </c>
      <c r="CK275">
        <f>IF(CK$4=0,0,IF(COUNTIFS(実績!$W$6:$W$505,CK$3,実績!$AC$6:$AC$505,"&lt;="&amp;$A275,実績!$AD$6:$AD$505,"&gt;"&amp;$A275,実績!$AE$6:$AE$505,"○")&gt;0,1,0))</f>
        <v/>
      </c>
      <c r="CL275">
        <f>IF(CL$4=0,0,IF(COUNTIFS(実績!$W$6:$W$505,CL$3,実績!$AC$6:$AC$505,"&lt;="&amp;$A275,実績!$AD$6:$AD$505,"&gt;"&amp;$A275,実績!$AE$6:$AE$505,"○")&gt;0,1,0))</f>
        <v/>
      </c>
      <c r="CM275">
        <f>IF(CM$4=0,0,IF(COUNTIFS(実績!$W$6:$W$505,CM$3,実績!$AC$6:$AC$505,"&lt;="&amp;$A275,実績!$AD$6:$AD$505,"&gt;"&amp;$A275,実績!$AE$6:$AE$505,"○")&gt;0,1,0))</f>
        <v/>
      </c>
      <c r="CN275">
        <f>IF(CN$4=0,0,IF(COUNTIFS(実績!$W$6:$W$505,CN$3,実績!$AC$6:$AC$505,"&lt;="&amp;$A275,実績!$AD$6:$AD$505,"&gt;"&amp;$A275,実績!$AE$6:$AE$505,"○")&gt;0,1,0))</f>
        <v/>
      </c>
      <c r="CO275">
        <f>IF(CO$4=0,0,IF(COUNTIFS(実績!$W$6:$W$505,CO$3,実績!$AC$6:$AC$505,"&lt;="&amp;$A275,実績!$AD$6:$AD$505,"&gt;"&amp;$A275,実績!$AE$6:$AE$505,"○")&gt;0,1,0))</f>
        <v/>
      </c>
      <c r="CP275">
        <f>IF(CP$4=0,0,IF(COUNTIFS(実績!$W$6:$W$505,CP$3,実績!$AC$6:$AC$505,"&lt;="&amp;$A275,実績!$AD$6:$AD$505,"&gt;"&amp;$A275,実績!$AE$6:$AE$505,"○")&gt;0,1,0))</f>
        <v/>
      </c>
      <c r="CQ275">
        <f>IF(CQ$4=0,0,IF(COUNTIFS(実績!$W$6:$W$505,CQ$3,実績!$AC$6:$AC$505,"&lt;="&amp;$A275,実績!$AD$6:$AD$505,"&gt;"&amp;$A275,実績!$AE$6:$AE$505,"○")&gt;0,1,0))</f>
        <v/>
      </c>
      <c r="CR275">
        <f>IF(CR$4=0,0,IF(COUNTIFS(実績!$W$6:$W$505,CR$3,実績!$AC$6:$AC$505,"&lt;="&amp;$A275,実績!$AD$6:$AD$505,"&gt;"&amp;$A275,実績!$AE$6:$AE$505,"○")&gt;0,1,0))</f>
        <v/>
      </c>
      <c r="CS275">
        <f>IF(CS$4=0,0,IF(COUNTIFS(実績!$W$6:$W$505,CS$3,実績!$AC$6:$AC$505,"&lt;="&amp;$A275,実績!$AD$6:$AD$505,"&gt;"&amp;$A275,実績!$AE$6:$AE$505,"○")&gt;0,1,0))</f>
        <v/>
      </c>
      <c r="CT275">
        <f>IF(CT$4=0,0,IF(COUNTIFS(実績!$W$6:$W$505,CT$3,実績!$AC$6:$AC$505,"&lt;="&amp;$A275,実績!$AD$6:$AD$505,"&gt;"&amp;$A275,実績!$AE$6:$AE$505,"○")&gt;0,1,0))</f>
        <v/>
      </c>
      <c r="CU275">
        <f>IF(CU$4=0,0,IF(COUNTIFS(実績!$W$6:$W$505,CU$3,実績!$AC$6:$AC$505,"&lt;="&amp;$A275,実績!$AD$6:$AD$505,"&gt;"&amp;$A275,実績!$AE$6:$AE$505,"○")&gt;0,1,0))</f>
        <v/>
      </c>
      <c r="CV275">
        <f>IF(CV$4=0,0,IF(COUNTIFS(実績!$W$6:$W$505,CV$3,実績!$AC$6:$AC$505,"&lt;="&amp;$A275,実績!$AD$6:$AD$505,"&gt;"&amp;$A275,実績!$AE$6:$AE$505,"○")&gt;0,1,0))</f>
        <v/>
      </c>
      <c r="CW275">
        <f>IF(CW$4=0,0,IF(COUNTIFS(実績!$W$6:$W$505,CW$3,実績!$AC$6:$AC$505,"&lt;="&amp;$A275,実績!$AD$6:$AD$505,"&gt;"&amp;$A275,実績!$AE$6:$AE$505,"○")&gt;0,1,0))</f>
        <v/>
      </c>
      <c r="CX275">
        <f>IF(CX$4=0,0,IF(COUNTIFS(実績!$W$6:$W$505,CX$3,実績!$AC$6:$AC$505,"&lt;="&amp;$A275,実績!$AD$6:$AD$505,"&gt;"&amp;$A275,実績!$AE$6:$AE$505,"○")&gt;0,1,0))</f>
        <v/>
      </c>
      <c r="CY275">
        <f>IF(CY$4=0,0,IF(COUNTIFS(実績!$W$6:$W$505,CY$3,実績!$AC$6:$AC$505,"&lt;="&amp;$A275,実績!$AD$6:$AD$505,"&gt;"&amp;$A275,実績!$AE$6:$AE$505,"○")&gt;0,1,0))</f>
        <v/>
      </c>
      <c r="CZ275">
        <f>IF(CZ$4=0,0,IF(COUNTIFS(実績!$W$6:$W$505,CZ$3,実績!$AC$6:$AC$505,"&lt;="&amp;$A275,実績!$AD$6:$AD$505,"&gt;"&amp;$A275,実績!$AE$6:$AE$505,"○")&gt;0,1,0))</f>
        <v/>
      </c>
      <c r="DA275">
        <f>IF(DA$4=0,0,IF(COUNTIFS(実績!$W$6:$W$505,DA$3,実績!$AC$6:$AC$505,"&lt;="&amp;$A275,実績!$AD$6:$AD$505,"&gt;"&amp;$A275,実績!$AE$6:$AE$505,"○")&gt;0,1,0))</f>
        <v/>
      </c>
      <c r="DB275">
        <f>IF(DB$4=0,0,IF(COUNTIFS(実績!$W$6:$W$505,DB$3,実績!$AC$6:$AC$505,"&lt;="&amp;$A275,実績!$AD$6:$AD$505,"&gt;"&amp;$A275,実績!$AE$6:$AE$505,"○")&gt;0,1,0))</f>
        <v/>
      </c>
      <c r="DC275">
        <f>IF(DC$4=0,0,IF(COUNTIFS(実績!$W$6:$W$505,DC$3,実績!$AC$6:$AC$505,"&lt;="&amp;$A275,実績!$AD$6:$AD$505,"&gt;"&amp;$A275,実績!$AE$6:$AE$505,"○")&gt;0,1,0))</f>
        <v/>
      </c>
      <c r="DD275">
        <f>IF(DD$4=0,0,IF(COUNTIFS(実績!$W$6:$W$505,DD$3,実績!$AC$6:$AC$505,"&lt;="&amp;$A275,実績!$AD$6:$AD$505,"&gt;"&amp;$A275,実績!$AE$6:$AE$505,"○")&gt;0,1,0))</f>
        <v/>
      </c>
      <c r="DE275">
        <f>IF(DE$4=0,0,IF(COUNTIFS(実績!$W$6:$W$505,DE$3,実績!$AC$6:$AC$505,"&lt;="&amp;$A275,実績!$AD$6:$AD$505,"&gt;"&amp;$A275,実績!$AE$6:$AE$505,"○")&gt;0,1,0))</f>
        <v/>
      </c>
      <c r="DF275">
        <f>IF(DF$4=0,0,IF(COUNTIFS(実績!$W$6:$W$505,DF$3,実績!$AC$6:$AC$505,"&lt;="&amp;$A275,実績!$AD$6:$AD$505,"&gt;"&amp;$A275,実績!$AE$6:$AE$505,"○")&gt;0,1,0))</f>
        <v/>
      </c>
      <c r="DG275">
        <f>IF(DG$4=0,0,IF(COUNTIFS(実績!$W$6:$W$505,DG$3,実績!$AC$6:$AC$505,"&lt;="&amp;$A275,実績!$AD$6:$AD$505,"&gt;"&amp;$A275,実績!$AE$6:$AE$505,"○")&gt;0,1,0))</f>
        <v/>
      </c>
      <c r="DH275">
        <f>IF(DH$4=0,0,IF(COUNTIFS(実績!$W$6:$W$505,DH$3,実績!$AC$6:$AC$505,"&lt;="&amp;$A275,実績!$AD$6:$AD$505,"&gt;"&amp;$A275,実績!$AE$6:$AE$505,"○")&gt;0,1,0))</f>
        <v/>
      </c>
      <c r="DI275">
        <f>IF(DI$4=0,0,IF(COUNTIFS(実績!$W$6:$W$505,DI$3,実績!$AC$6:$AC$505,"&lt;="&amp;$A275,実績!$AD$6:$AD$505,"&gt;"&amp;$A275,実績!$AE$6:$AE$505,"○")&gt;0,1,0))</f>
        <v/>
      </c>
      <c r="DJ275">
        <f>IF(DJ$4=0,0,IF(COUNTIFS(実績!$W$6:$W$505,DJ$3,実績!$AC$6:$AC$505,"&lt;="&amp;$A275,実績!$AD$6:$AD$505,"&gt;"&amp;$A275,実績!$AE$6:$AE$505,"○")&gt;0,1,0))</f>
        <v/>
      </c>
      <c r="DK275">
        <f>IF(DK$4=0,0,IF(COUNTIFS(実績!$W$6:$W$505,DK$3,実績!$AC$6:$AC$505,"&lt;="&amp;$A275,実績!$AD$6:$AD$505,"&gt;"&amp;$A275,実績!$AE$6:$AE$505,"○")&gt;0,1,0))</f>
        <v/>
      </c>
      <c r="DL275">
        <f>IF(DL$4=0,0,IF(COUNTIFS(実績!$W$6:$W$505,DL$3,実績!$AC$6:$AC$505,"&lt;="&amp;$A275,実績!$AD$6:$AD$505,"&gt;"&amp;$A275,実績!$AE$6:$AE$505,"○")&gt;0,1,0))</f>
        <v/>
      </c>
      <c r="DM275">
        <f>IF(DM$4=0,0,IF(COUNTIFS(実績!$W$6:$W$505,DM$3,実績!$AC$6:$AC$505,"&lt;="&amp;$A275,実績!$AD$6:$AD$505,"&gt;"&amp;$A275,実績!$AE$6:$AE$505,"○")&gt;0,1,0))</f>
        <v/>
      </c>
      <c r="DN275">
        <f>IF(DN$4=0,0,IF(COUNTIFS(実績!$W$6:$W$505,DN$3,実績!$AC$6:$AC$505,"&lt;="&amp;$A275,実績!$AD$6:$AD$505,"&gt;"&amp;$A275,実績!$AE$6:$AE$505,"○")&gt;0,1,0))</f>
        <v/>
      </c>
      <c r="DO275">
        <f>IF(DO$4=0,0,IF(COUNTIFS(実績!$W$6:$W$505,DO$3,実績!$AC$6:$AC$505,"&lt;="&amp;$A275,実績!$AD$6:$AD$505,"&gt;"&amp;$A275,実績!$AE$6:$AE$505,"○")&gt;0,1,0))</f>
        <v/>
      </c>
      <c r="DP275">
        <f>IF(DP$4=0,0,IF(COUNTIFS(実績!$W$6:$W$505,DP$3,実績!$AC$6:$AC$505,"&lt;="&amp;$A275,実績!$AD$6:$AD$505,"&gt;"&amp;$A275,実績!$AE$6:$AE$505,"○")&gt;0,1,0))</f>
        <v/>
      </c>
      <c r="DQ275">
        <f>IF(DQ$4=0,0,IF(COUNTIFS(実績!$W$6:$W$505,DQ$3,実績!$AC$6:$AC$505,"&lt;="&amp;$A275,実績!$AD$6:$AD$505,"&gt;"&amp;$A275,実績!$AE$6:$AE$505,"○")&gt;0,1,0))</f>
        <v/>
      </c>
      <c r="DR275">
        <f>IF(DR$4=0,0,IF(COUNTIFS(実績!$W$6:$W$505,DR$3,実績!$AC$6:$AC$505,"&lt;="&amp;$A275,実績!$AD$6:$AD$505,"&gt;"&amp;$A275,実績!$AE$6:$AE$505,"○")&gt;0,1,0))</f>
        <v/>
      </c>
      <c r="DS275">
        <f>SUM(C275:DR275)</f>
        <v/>
      </c>
      <c r="DT275">
        <f>SUMPRODUCT((実績!$C$6:$C$505="○")*ISNUMBER(実績!$AF$6:$AF$505)*(実績!$AF$6:$AF$505&lt;=$A275)*(実績!$AG$6:$AG$505&gt;$A275))</f>
        <v/>
      </c>
      <c r="DU275">
        <f>SUMIF($C$2:$DR$2,"製鉄曳船",C275:DR275)</f>
        <v/>
      </c>
      <c r="DV275">
        <f>SUMIF($C$2:$DR$2,"西日本海運",C275:DR275)</f>
        <v/>
      </c>
    </row>
    <row r="276">
      <c r="A276" t="n">
        <v>1350</v>
      </c>
      <c r="B276" s="29">
        <f>A276/1440</f>
        <v/>
      </c>
      <c r="C276">
        <f>IF(C$4=0,0,IF(COUNTIFS(実績!$W$6:$W$505,C$3,実績!$AC$6:$AC$505,"&lt;="&amp;$A276,実績!$AD$6:$AD$505,"&gt;"&amp;$A276,実績!$AE$6:$AE$505,"○")&gt;0,1,0))</f>
        <v/>
      </c>
      <c r="D276">
        <f>IF(D$4=0,0,IF(COUNTIFS(実績!$W$6:$W$505,D$3,実績!$AC$6:$AC$505,"&lt;="&amp;$A276,実績!$AD$6:$AD$505,"&gt;"&amp;$A276,実績!$AE$6:$AE$505,"○")&gt;0,1,0))</f>
        <v/>
      </c>
      <c r="E276">
        <f>IF(E$4=0,0,IF(COUNTIFS(実績!$W$6:$W$505,E$3,実績!$AC$6:$AC$505,"&lt;="&amp;$A276,実績!$AD$6:$AD$505,"&gt;"&amp;$A276,実績!$AE$6:$AE$505,"○")&gt;0,1,0))</f>
        <v/>
      </c>
      <c r="F276">
        <f>IF(F$4=0,0,IF(COUNTIFS(実績!$W$6:$W$505,F$3,実績!$AC$6:$AC$505,"&lt;="&amp;$A276,実績!$AD$6:$AD$505,"&gt;"&amp;$A276,実績!$AE$6:$AE$505,"○")&gt;0,1,0))</f>
        <v/>
      </c>
      <c r="G276">
        <f>IF(G$4=0,0,IF(COUNTIFS(実績!$W$6:$W$505,G$3,実績!$AC$6:$AC$505,"&lt;="&amp;$A276,実績!$AD$6:$AD$505,"&gt;"&amp;$A276,実績!$AE$6:$AE$505,"○")&gt;0,1,0))</f>
        <v/>
      </c>
      <c r="H276">
        <f>IF(H$4=0,0,IF(COUNTIFS(実績!$W$6:$W$505,H$3,実績!$AC$6:$AC$505,"&lt;="&amp;$A276,実績!$AD$6:$AD$505,"&gt;"&amp;$A276,実績!$AE$6:$AE$505,"○")&gt;0,1,0))</f>
        <v/>
      </c>
      <c r="I276">
        <f>IF(I$4=0,0,IF(COUNTIFS(実績!$W$6:$W$505,I$3,実績!$AC$6:$AC$505,"&lt;="&amp;$A276,実績!$AD$6:$AD$505,"&gt;"&amp;$A276,実績!$AE$6:$AE$505,"○")&gt;0,1,0))</f>
        <v/>
      </c>
      <c r="J276">
        <f>IF(J$4=0,0,IF(COUNTIFS(実績!$W$6:$W$505,J$3,実績!$AC$6:$AC$505,"&lt;="&amp;$A276,実績!$AD$6:$AD$505,"&gt;"&amp;$A276,実績!$AE$6:$AE$505,"○")&gt;0,1,0))</f>
        <v/>
      </c>
      <c r="K276">
        <f>IF(K$4=0,0,IF(COUNTIFS(実績!$W$6:$W$505,K$3,実績!$AC$6:$AC$505,"&lt;="&amp;$A276,実績!$AD$6:$AD$505,"&gt;"&amp;$A276,実績!$AE$6:$AE$505,"○")&gt;0,1,0))</f>
        <v/>
      </c>
      <c r="L276">
        <f>IF(L$4=0,0,IF(COUNTIFS(実績!$W$6:$W$505,L$3,実績!$AC$6:$AC$505,"&lt;="&amp;$A276,実績!$AD$6:$AD$505,"&gt;"&amp;$A276,実績!$AE$6:$AE$505,"○")&gt;0,1,0))</f>
        <v/>
      </c>
      <c r="M276">
        <f>IF(M$4=0,0,IF(COUNTIFS(実績!$W$6:$W$505,M$3,実績!$AC$6:$AC$505,"&lt;="&amp;$A276,実績!$AD$6:$AD$505,"&gt;"&amp;$A276,実績!$AE$6:$AE$505,"○")&gt;0,1,0))</f>
        <v/>
      </c>
      <c r="N276">
        <f>IF(N$4=0,0,IF(COUNTIFS(実績!$W$6:$W$505,N$3,実績!$AC$6:$AC$505,"&lt;="&amp;$A276,実績!$AD$6:$AD$505,"&gt;"&amp;$A276,実績!$AE$6:$AE$505,"○")&gt;0,1,0))</f>
        <v/>
      </c>
      <c r="O276">
        <f>IF(O$4=0,0,IF(COUNTIFS(実績!$W$6:$W$505,O$3,実績!$AC$6:$AC$505,"&lt;="&amp;$A276,実績!$AD$6:$AD$505,"&gt;"&amp;$A276,実績!$AE$6:$AE$505,"○")&gt;0,1,0))</f>
        <v/>
      </c>
      <c r="P276">
        <f>IF(P$4=0,0,IF(COUNTIFS(実績!$W$6:$W$505,P$3,実績!$AC$6:$AC$505,"&lt;="&amp;$A276,実績!$AD$6:$AD$505,"&gt;"&amp;$A276,実績!$AE$6:$AE$505,"○")&gt;0,1,0))</f>
        <v/>
      </c>
      <c r="Q276">
        <f>IF(Q$4=0,0,IF(COUNTIFS(実績!$W$6:$W$505,Q$3,実績!$AC$6:$AC$505,"&lt;="&amp;$A276,実績!$AD$6:$AD$505,"&gt;"&amp;$A276,実績!$AE$6:$AE$505,"○")&gt;0,1,0))</f>
        <v/>
      </c>
      <c r="R276">
        <f>IF(R$4=0,0,IF(COUNTIFS(実績!$W$6:$W$505,R$3,実績!$AC$6:$AC$505,"&lt;="&amp;$A276,実績!$AD$6:$AD$505,"&gt;"&amp;$A276,実績!$AE$6:$AE$505,"○")&gt;0,1,0))</f>
        <v/>
      </c>
      <c r="S276">
        <f>IF(S$4=0,0,IF(COUNTIFS(実績!$W$6:$W$505,S$3,実績!$AC$6:$AC$505,"&lt;="&amp;$A276,実績!$AD$6:$AD$505,"&gt;"&amp;$A276,実績!$AE$6:$AE$505,"○")&gt;0,1,0))</f>
        <v/>
      </c>
      <c r="T276">
        <f>IF(T$4=0,0,IF(COUNTIFS(実績!$W$6:$W$505,T$3,実績!$AC$6:$AC$505,"&lt;="&amp;$A276,実績!$AD$6:$AD$505,"&gt;"&amp;$A276,実績!$AE$6:$AE$505,"○")&gt;0,1,0))</f>
        <v/>
      </c>
      <c r="U276">
        <f>IF(U$4=0,0,IF(COUNTIFS(実績!$W$6:$W$505,U$3,実績!$AC$6:$AC$505,"&lt;="&amp;$A276,実績!$AD$6:$AD$505,"&gt;"&amp;$A276,実績!$AE$6:$AE$505,"○")&gt;0,1,0))</f>
        <v/>
      </c>
      <c r="V276">
        <f>IF(V$4=0,0,IF(COUNTIFS(実績!$W$6:$W$505,V$3,実績!$AC$6:$AC$505,"&lt;="&amp;$A276,実績!$AD$6:$AD$505,"&gt;"&amp;$A276,実績!$AE$6:$AE$505,"○")&gt;0,1,0))</f>
        <v/>
      </c>
      <c r="W276">
        <f>IF(W$4=0,0,IF(COUNTIFS(実績!$W$6:$W$505,W$3,実績!$AC$6:$AC$505,"&lt;="&amp;$A276,実績!$AD$6:$AD$505,"&gt;"&amp;$A276,実績!$AE$6:$AE$505,"○")&gt;0,1,0))</f>
        <v/>
      </c>
      <c r="X276">
        <f>IF(X$4=0,0,IF(COUNTIFS(実績!$W$6:$W$505,X$3,実績!$AC$6:$AC$505,"&lt;="&amp;$A276,実績!$AD$6:$AD$505,"&gt;"&amp;$A276,実績!$AE$6:$AE$505,"○")&gt;0,1,0))</f>
        <v/>
      </c>
      <c r="Y276">
        <f>IF(Y$4=0,0,IF(COUNTIFS(実績!$W$6:$W$505,Y$3,実績!$AC$6:$AC$505,"&lt;="&amp;$A276,実績!$AD$6:$AD$505,"&gt;"&amp;$A276,実績!$AE$6:$AE$505,"○")&gt;0,1,0))</f>
        <v/>
      </c>
      <c r="Z276">
        <f>IF(Z$4=0,0,IF(COUNTIFS(実績!$W$6:$W$505,Z$3,実績!$AC$6:$AC$505,"&lt;="&amp;$A276,実績!$AD$6:$AD$505,"&gt;"&amp;$A276,実績!$AE$6:$AE$505,"○")&gt;0,1,0))</f>
        <v/>
      </c>
      <c r="AA276">
        <f>IF(AA$4=0,0,IF(COUNTIFS(実績!$W$6:$W$505,AA$3,実績!$AC$6:$AC$505,"&lt;="&amp;$A276,実績!$AD$6:$AD$505,"&gt;"&amp;$A276,実績!$AE$6:$AE$505,"○")&gt;0,1,0))</f>
        <v/>
      </c>
      <c r="AB276">
        <f>IF(AB$4=0,0,IF(COUNTIFS(実績!$W$6:$W$505,AB$3,実績!$AC$6:$AC$505,"&lt;="&amp;$A276,実績!$AD$6:$AD$505,"&gt;"&amp;$A276,実績!$AE$6:$AE$505,"○")&gt;0,1,0))</f>
        <v/>
      </c>
      <c r="AC276">
        <f>IF(AC$4=0,0,IF(COUNTIFS(実績!$W$6:$W$505,AC$3,実績!$AC$6:$AC$505,"&lt;="&amp;$A276,実績!$AD$6:$AD$505,"&gt;"&amp;$A276,実績!$AE$6:$AE$505,"○")&gt;0,1,0))</f>
        <v/>
      </c>
      <c r="AD276">
        <f>IF(AD$4=0,0,IF(COUNTIFS(実績!$W$6:$W$505,AD$3,実績!$AC$6:$AC$505,"&lt;="&amp;$A276,実績!$AD$6:$AD$505,"&gt;"&amp;$A276,実績!$AE$6:$AE$505,"○")&gt;0,1,0))</f>
        <v/>
      </c>
      <c r="AE276">
        <f>IF(AE$4=0,0,IF(COUNTIFS(実績!$W$6:$W$505,AE$3,実績!$AC$6:$AC$505,"&lt;="&amp;$A276,実績!$AD$6:$AD$505,"&gt;"&amp;$A276,実績!$AE$6:$AE$505,"○")&gt;0,1,0))</f>
        <v/>
      </c>
      <c r="AF276">
        <f>IF(AF$4=0,0,IF(COUNTIFS(実績!$W$6:$W$505,AF$3,実績!$AC$6:$AC$505,"&lt;="&amp;$A276,実績!$AD$6:$AD$505,"&gt;"&amp;$A276,実績!$AE$6:$AE$505,"○")&gt;0,1,0))</f>
        <v/>
      </c>
      <c r="AG276">
        <f>IF(AG$4=0,0,IF(COUNTIFS(実績!$W$6:$W$505,AG$3,実績!$AC$6:$AC$505,"&lt;="&amp;$A276,実績!$AD$6:$AD$505,"&gt;"&amp;$A276,実績!$AE$6:$AE$505,"○")&gt;0,1,0))</f>
        <v/>
      </c>
      <c r="AH276">
        <f>IF(AH$4=0,0,IF(COUNTIFS(実績!$W$6:$W$505,AH$3,実績!$AC$6:$AC$505,"&lt;="&amp;$A276,実績!$AD$6:$AD$505,"&gt;"&amp;$A276,実績!$AE$6:$AE$505,"○")&gt;0,1,0))</f>
        <v/>
      </c>
      <c r="AI276">
        <f>IF(AI$4=0,0,IF(COUNTIFS(実績!$W$6:$W$505,AI$3,実績!$AC$6:$AC$505,"&lt;="&amp;$A276,実績!$AD$6:$AD$505,"&gt;"&amp;$A276,実績!$AE$6:$AE$505,"○")&gt;0,1,0))</f>
        <v/>
      </c>
      <c r="AJ276">
        <f>IF(AJ$4=0,0,IF(COUNTIFS(実績!$W$6:$W$505,AJ$3,実績!$AC$6:$AC$505,"&lt;="&amp;$A276,実績!$AD$6:$AD$505,"&gt;"&amp;$A276,実績!$AE$6:$AE$505,"○")&gt;0,1,0))</f>
        <v/>
      </c>
      <c r="AK276">
        <f>IF(AK$4=0,0,IF(COUNTIFS(実績!$W$6:$W$505,AK$3,実績!$AC$6:$AC$505,"&lt;="&amp;$A276,実績!$AD$6:$AD$505,"&gt;"&amp;$A276,実績!$AE$6:$AE$505,"○")&gt;0,1,0))</f>
        <v/>
      </c>
      <c r="AL276">
        <f>IF(AL$4=0,0,IF(COUNTIFS(実績!$W$6:$W$505,AL$3,実績!$AC$6:$AC$505,"&lt;="&amp;$A276,実績!$AD$6:$AD$505,"&gt;"&amp;$A276,実績!$AE$6:$AE$505,"○")&gt;0,1,0))</f>
        <v/>
      </c>
      <c r="AM276">
        <f>IF(AM$4=0,0,IF(COUNTIFS(実績!$W$6:$W$505,AM$3,実績!$AC$6:$AC$505,"&lt;="&amp;$A276,実績!$AD$6:$AD$505,"&gt;"&amp;$A276,実績!$AE$6:$AE$505,"○")&gt;0,1,0))</f>
        <v/>
      </c>
      <c r="AN276">
        <f>IF(AN$4=0,0,IF(COUNTIFS(実績!$W$6:$W$505,AN$3,実績!$AC$6:$AC$505,"&lt;="&amp;$A276,実績!$AD$6:$AD$505,"&gt;"&amp;$A276,実績!$AE$6:$AE$505,"○")&gt;0,1,0))</f>
        <v/>
      </c>
      <c r="AO276">
        <f>IF(AO$4=0,0,IF(COUNTIFS(実績!$W$6:$W$505,AO$3,実績!$AC$6:$AC$505,"&lt;="&amp;$A276,実績!$AD$6:$AD$505,"&gt;"&amp;$A276,実績!$AE$6:$AE$505,"○")&gt;0,1,0))</f>
        <v/>
      </c>
      <c r="AP276">
        <f>IF(AP$4=0,0,IF(COUNTIFS(実績!$W$6:$W$505,AP$3,実績!$AC$6:$AC$505,"&lt;="&amp;$A276,実績!$AD$6:$AD$505,"&gt;"&amp;$A276,実績!$AE$6:$AE$505,"○")&gt;0,1,0))</f>
        <v/>
      </c>
      <c r="AQ276">
        <f>IF(AQ$4=0,0,IF(COUNTIFS(実績!$W$6:$W$505,AQ$3,実績!$AC$6:$AC$505,"&lt;="&amp;$A276,実績!$AD$6:$AD$505,"&gt;"&amp;$A276,実績!$AE$6:$AE$505,"○")&gt;0,1,0))</f>
        <v/>
      </c>
      <c r="AR276">
        <f>IF(AR$4=0,0,IF(COUNTIFS(実績!$W$6:$W$505,AR$3,実績!$AC$6:$AC$505,"&lt;="&amp;$A276,実績!$AD$6:$AD$505,"&gt;"&amp;$A276,実績!$AE$6:$AE$505,"○")&gt;0,1,0))</f>
        <v/>
      </c>
      <c r="AS276">
        <f>IF(AS$4=0,0,IF(COUNTIFS(実績!$W$6:$W$505,AS$3,実績!$AC$6:$AC$505,"&lt;="&amp;$A276,実績!$AD$6:$AD$505,"&gt;"&amp;$A276,実績!$AE$6:$AE$505,"○")&gt;0,1,0))</f>
        <v/>
      </c>
      <c r="AT276">
        <f>IF(AT$4=0,0,IF(COUNTIFS(実績!$W$6:$W$505,AT$3,実績!$AC$6:$AC$505,"&lt;="&amp;$A276,実績!$AD$6:$AD$505,"&gt;"&amp;$A276,実績!$AE$6:$AE$505,"○")&gt;0,1,0))</f>
        <v/>
      </c>
      <c r="AU276">
        <f>IF(AU$4=0,0,IF(COUNTIFS(実績!$W$6:$W$505,AU$3,実績!$AC$6:$AC$505,"&lt;="&amp;$A276,実績!$AD$6:$AD$505,"&gt;"&amp;$A276,実績!$AE$6:$AE$505,"○")&gt;0,1,0))</f>
        <v/>
      </c>
      <c r="AV276">
        <f>IF(AV$4=0,0,IF(COUNTIFS(実績!$W$6:$W$505,AV$3,実績!$AC$6:$AC$505,"&lt;="&amp;$A276,実績!$AD$6:$AD$505,"&gt;"&amp;$A276,実績!$AE$6:$AE$505,"○")&gt;0,1,0))</f>
        <v/>
      </c>
      <c r="AW276">
        <f>IF(AW$4=0,0,IF(COUNTIFS(実績!$W$6:$W$505,AW$3,実績!$AC$6:$AC$505,"&lt;="&amp;$A276,実績!$AD$6:$AD$505,"&gt;"&amp;$A276,実績!$AE$6:$AE$505,"○")&gt;0,1,0))</f>
        <v/>
      </c>
      <c r="AX276">
        <f>IF(AX$4=0,0,IF(COUNTIFS(実績!$W$6:$W$505,AX$3,実績!$AC$6:$AC$505,"&lt;="&amp;$A276,実績!$AD$6:$AD$505,"&gt;"&amp;$A276,実績!$AE$6:$AE$505,"○")&gt;0,1,0))</f>
        <v/>
      </c>
      <c r="AY276">
        <f>IF(AY$4=0,0,IF(COUNTIFS(実績!$W$6:$W$505,AY$3,実績!$AC$6:$AC$505,"&lt;="&amp;$A276,実績!$AD$6:$AD$505,"&gt;"&amp;$A276,実績!$AE$6:$AE$505,"○")&gt;0,1,0))</f>
        <v/>
      </c>
      <c r="AZ276">
        <f>IF(AZ$4=0,0,IF(COUNTIFS(実績!$W$6:$W$505,AZ$3,実績!$AC$6:$AC$505,"&lt;="&amp;$A276,実績!$AD$6:$AD$505,"&gt;"&amp;$A276,実績!$AE$6:$AE$505,"○")&gt;0,1,0))</f>
        <v/>
      </c>
      <c r="BA276">
        <f>IF(BA$4=0,0,IF(COUNTIFS(実績!$W$6:$W$505,BA$3,実績!$AC$6:$AC$505,"&lt;="&amp;$A276,実績!$AD$6:$AD$505,"&gt;"&amp;$A276,実績!$AE$6:$AE$505,"○")&gt;0,1,0))</f>
        <v/>
      </c>
      <c r="BB276">
        <f>IF(BB$4=0,0,IF(COUNTIFS(実績!$W$6:$W$505,BB$3,実績!$AC$6:$AC$505,"&lt;="&amp;$A276,実績!$AD$6:$AD$505,"&gt;"&amp;$A276,実績!$AE$6:$AE$505,"○")&gt;0,1,0))</f>
        <v/>
      </c>
      <c r="BC276">
        <f>IF(BC$4=0,0,IF(COUNTIFS(実績!$W$6:$W$505,BC$3,実績!$AC$6:$AC$505,"&lt;="&amp;$A276,実績!$AD$6:$AD$505,"&gt;"&amp;$A276,実績!$AE$6:$AE$505,"○")&gt;0,1,0))</f>
        <v/>
      </c>
      <c r="BD276">
        <f>IF(BD$4=0,0,IF(COUNTIFS(実績!$W$6:$W$505,BD$3,実績!$AC$6:$AC$505,"&lt;="&amp;$A276,実績!$AD$6:$AD$505,"&gt;"&amp;$A276,実績!$AE$6:$AE$505,"○")&gt;0,1,0))</f>
        <v/>
      </c>
      <c r="BE276">
        <f>IF(BE$4=0,0,IF(COUNTIFS(実績!$W$6:$W$505,BE$3,実績!$AC$6:$AC$505,"&lt;="&amp;$A276,実績!$AD$6:$AD$505,"&gt;"&amp;$A276,実績!$AE$6:$AE$505,"○")&gt;0,1,0))</f>
        <v/>
      </c>
      <c r="BF276">
        <f>IF(BF$4=0,0,IF(COUNTIFS(実績!$W$6:$W$505,BF$3,実績!$AC$6:$AC$505,"&lt;="&amp;$A276,実績!$AD$6:$AD$505,"&gt;"&amp;$A276,実績!$AE$6:$AE$505,"○")&gt;0,1,0))</f>
        <v/>
      </c>
      <c r="BG276">
        <f>IF(BG$4=0,0,IF(COUNTIFS(実績!$W$6:$W$505,BG$3,実績!$AC$6:$AC$505,"&lt;="&amp;$A276,実績!$AD$6:$AD$505,"&gt;"&amp;$A276,実績!$AE$6:$AE$505,"○")&gt;0,1,0))</f>
        <v/>
      </c>
      <c r="BH276">
        <f>IF(BH$4=0,0,IF(COUNTIFS(実績!$W$6:$W$505,BH$3,実績!$AC$6:$AC$505,"&lt;="&amp;$A276,実績!$AD$6:$AD$505,"&gt;"&amp;$A276,実績!$AE$6:$AE$505,"○")&gt;0,1,0))</f>
        <v/>
      </c>
      <c r="BI276">
        <f>IF(BI$4=0,0,IF(COUNTIFS(実績!$W$6:$W$505,BI$3,実績!$AC$6:$AC$505,"&lt;="&amp;$A276,実績!$AD$6:$AD$505,"&gt;"&amp;$A276,実績!$AE$6:$AE$505,"○")&gt;0,1,0))</f>
        <v/>
      </c>
      <c r="BJ276">
        <f>IF(BJ$4=0,0,IF(COUNTIFS(実績!$W$6:$W$505,BJ$3,実績!$AC$6:$AC$505,"&lt;="&amp;$A276,実績!$AD$6:$AD$505,"&gt;"&amp;$A276,実績!$AE$6:$AE$505,"○")&gt;0,1,0))</f>
        <v/>
      </c>
      <c r="BK276">
        <f>IF(BK$4=0,0,IF(COUNTIFS(実績!$W$6:$W$505,BK$3,実績!$AC$6:$AC$505,"&lt;="&amp;$A276,実績!$AD$6:$AD$505,"&gt;"&amp;$A276,実績!$AE$6:$AE$505,"○")&gt;0,1,0))</f>
        <v/>
      </c>
      <c r="BL276">
        <f>IF(BL$4=0,0,IF(COUNTIFS(実績!$W$6:$W$505,BL$3,実績!$AC$6:$AC$505,"&lt;="&amp;$A276,実績!$AD$6:$AD$505,"&gt;"&amp;$A276,実績!$AE$6:$AE$505,"○")&gt;0,1,0))</f>
        <v/>
      </c>
      <c r="BM276">
        <f>IF(BM$4=0,0,IF(COUNTIFS(実績!$W$6:$W$505,BM$3,実績!$AC$6:$AC$505,"&lt;="&amp;$A276,実績!$AD$6:$AD$505,"&gt;"&amp;$A276,実績!$AE$6:$AE$505,"○")&gt;0,1,0))</f>
        <v/>
      </c>
      <c r="BN276">
        <f>IF(BN$4=0,0,IF(COUNTIFS(実績!$W$6:$W$505,BN$3,実績!$AC$6:$AC$505,"&lt;="&amp;$A276,実績!$AD$6:$AD$505,"&gt;"&amp;$A276,実績!$AE$6:$AE$505,"○")&gt;0,1,0))</f>
        <v/>
      </c>
      <c r="BO276">
        <f>IF(BO$4=0,0,IF(COUNTIFS(実績!$W$6:$W$505,BO$3,実績!$AC$6:$AC$505,"&lt;="&amp;$A276,実績!$AD$6:$AD$505,"&gt;"&amp;$A276,実績!$AE$6:$AE$505,"○")&gt;0,1,0))</f>
        <v/>
      </c>
      <c r="BP276">
        <f>IF(BP$4=0,0,IF(COUNTIFS(実績!$W$6:$W$505,BP$3,実績!$AC$6:$AC$505,"&lt;="&amp;$A276,実績!$AD$6:$AD$505,"&gt;"&amp;$A276,実績!$AE$6:$AE$505,"○")&gt;0,1,0))</f>
        <v/>
      </c>
      <c r="BQ276">
        <f>IF(BQ$4=0,0,IF(COUNTIFS(実績!$W$6:$W$505,BQ$3,実績!$AC$6:$AC$505,"&lt;="&amp;$A276,実績!$AD$6:$AD$505,"&gt;"&amp;$A276,実績!$AE$6:$AE$505,"○")&gt;0,1,0))</f>
        <v/>
      </c>
      <c r="BR276">
        <f>IF(BR$4=0,0,IF(COUNTIFS(実績!$W$6:$W$505,BR$3,実績!$AC$6:$AC$505,"&lt;="&amp;$A276,実績!$AD$6:$AD$505,"&gt;"&amp;$A276,実績!$AE$6:$AE$505,"○")&gt;0,1,0))</f>
        <v/>
      </c>
      <c r="BS276">
        <f>IF(BS$4=0,0,IF(COUNTIFS(実績!$W$6:$W$505,BS$3,実績!$AC$6:$AC$505,"&lt;="&amp;$A276,実績!$AD$6:$AD$505,"&gt;"&amp;$A276,実績!$AE$6:$AE$505,"○")&gt;0,1,0))</f>
        <v/>
      </c>
      <c r="BT276">
        <f>IF(BT$4=0,0,IF(COUNTIFS(実績!$W$6:$W$505,BT$3,実績!$AC$6:$AC$505,"&lt;="&amp;$A276,実績!$AD$6:$AD$505,"&gt;"&amp;$A276,実績!$AE$6:$AE$505,"○")&gt;0,1,0))</f>
        <v/>
      </c>
      <c r="BU276">
        <f>IF(BU$4=0,0,IF(COUNTIFS(実績!$W$6:$W$505,BU$3,実績!$AC$6:$AC$505,"&lt;="&amp;$A276,実績!$AD$6:$AD$505,"&gt;"&amp;$A276,実績!$AE$6:$AE$505,"○")&gt;0,1,0))</f>
        <v/>
      </c>
      <c r="BV276">
        <f>IF(BV$4=0,0,IF(COUNTIFS(実績!$W$6:$W$505,BV$3,実績!$AC$6:$AC$505,"&lt;="&amp;$A276,実績!$AD$6:$AD$505,"&gt;"&amp;$A276,実績!$AE$6:$AE$505,"○")&gt;0,1,0))</f>
        <v/>
      </c>
      <c r="BW276">
        <f>IF(BW$4=0,0,IF(COUNTIFS(実績!$W$6:$W$505,BW$3,実績!$AC$6:$AC$505,"&lt;="&amp;$A276,実績!$AD$6:$AD$505,"&gt;"&amp;$A276,実績!$AE$6:$AE$505,"○")&gt;0,1,0))</f>
        <v/>
      </c>
      <c r="BX276">
        <f>IF(BX$4=0,0,IF(COUNTIFS(実績!$W$6:$W$505,BX$3,実績!$AC$6:$AC$505,"&lt;="&amp;$A276,実績!$AD$6:$AD$505,"&gt;"&amp;$A276,実績!$AE$6:$AE$505,"○")&gt;0,1,0))</f>
        <v/>
      </c>
      <c r="BY276">
        <f>IF(BY$4=0,0,IF(COUNTIFS(実績!$W$6:$W$505,BY$3,実績!$AC$6:$AC$505,"&lt;="&amp;$A276,実績!$AD$6:$AD$505,"&gt;"&amp;$A276,実績!$AE$6:$AE$505,"○")&gt;0,1,0))</f>
        <v/>
      </c>
      <c r="BZ276">
        <f>IF(BZ$4=0,0,IF(COUNTIFS(実績!$W$6:$W$505,BZ$3,実績!$AC$6:$AC$505,"&lt;="&amp;$A276,実績!$AD$6:$AD$505,"&gt;"&amp;$A276,実績!$AE$6:$AE$505,"○")&gt;0,1,0))</f>
        <v/>
      </c>
      <c r="CA276">
        <f>IF(CA$4=0,0,IF(COUNTIFS(実績!$W$6:$W$505,CA$3,実績!$AC$6:$AC$505,"&lt;="&amp;$A276,実績!$AD$6:$AD$505,"&gt;"&amp;$A276,実績!$AE$6:$AE$505,"○")&gt;0,1,0))</f>
        <v/>
      </c>
      <c r="CB276">
        <f>IF(CB$4=0,0,IF(COUNTIFS(実績!$W$6:$W$505,CB$3,実績!$AC$6:$AC$505,"&lt;="&amp;$A276,実績!$AD$6:$AD$505,"&gt;"&amp;$A276,実績!$AE$6:$AE$505,"○")&gt;0,1,0))</f>
        <v/>
      </c>
      <c r="CC276">
        <f>IF(CC$4=0,0,IF(COUNTIFS(実績!$W$6:$W$505,CC$3,実績!$AC$6:$AC$505,"&lt;="&amp;$A276,実績!$AD$6:$AD$505,"&gt;"&amp;$A276,実績!$AE$6:$AE$505,"○")&gt;0,1,0))</f>
        <v/>
      </c>
      <c r="CD276">
        <f>IF(CD$4=0,0,IF(COUNTIFS(実績!$W$6:$W$505,CD$3,実績!$AC$6:$AC$505,"&lt;="&amp;$A276,実績!$AD$6:$AD$505,"&gt;"&amp;$A276,実績!$AE$6:$AE$505,"○")&gt;0,1,0))</f>
        <v/>
      </c>
      <c r="CE276">
        <f>IF(CE$4=0,0,IF(COUNTIFS(実績!$W$6:$W$505,CE$3,実績!$AC$6:$AC$505,"&lt;="&amp;$A276,実績!$AD$6:$AD$505,"&gt;"&amp;$A276,実績!$AE$6:$AE$505,"○")&gt;0,1,0))</f>
        <v/>
      </c>
      <c r="CF276">
        <f>IF(CF$4=0,0,IF(COUNTIFS(実績!$W$6:$W$505,CF$3,実績!$AC$6:$AC$505,"&lt;="&amp;$A276,実績!$AD$6:$AD$505,"&gt;"&amp;$A276,実績!$AE$6:$AE$505,"○")&gt;0,1,0))</f>
        <v/>
      </c>
      <c r="CG276">
        <f>IF(CG$4=0,0,IF(COUNTIFS(実績!$W$6:$W$505,CG$3,実績!$AC$6:$AC$505,"&lt;="&amp;$A276,実績!$AD$6:$AD$505,"&gt;"&amp;$A276,実績!$AE$6:$AE$505,"○")&gt;0,1,0))</f>
        <v/>
      </c>
      <c r="CH276">
        <f>IF(CH$4=0,0,IF(COUNTIFS(実績!$W$6:$W$505,CH$3,実績!$AC$6:$AC$505,"&lt;="&amp;$A276,実績!$AD$6:$AD$505,"&gt;"&amp;$A276,実績!$AE$6:$AE$505,"○")&gt;0,1,0))</f>
        <v/>
      </c>
      <c r="CI276">
        <f>IF(CI$4=0,0,IF(COUNTIFS(実績!$W$6:$W$505,CI$3,実績!$AC$6:$AC$505,"&lt;="&amp;$A276,実績!$AD$6:$AD$505,"&gt;"&amp;$A276,実績!$AE$6:$AE$505,"○")&gt;0,1,0))</f>
        <v/>
      </c>
      <c r="CJ276">
        <f>IF(CJ$4=0,0,IF(COUNTIFS(実績!$W$6:$W$505,CJ$3,実績!$AC$6:$AC$505,"&lt;="&amp;$A276,実績!$AD$6:$AD$505,"&gt;"&amp;$A276,実績!$AE$6:$AE$505,"○")&gt;0,1,0))</f>
        <v/>
      </c>
      <c r="CK276">
        <f>IF(CK$4=0,0,IF(COUNTIFS(実績!$W$6:$W$505,CK$3,実績!$AC$6:$AC$505,"&lt;="&amp;$A276,実績!$AD$6:$AD$505,"&gt;"&amp;$A276,実績!$AE$6:$AE$505,"○")&gt;0,1,0))</f>
        <v/>
      </c>
      <c r="CL276">
        <f>IF(CL$4=0,0,IF(COUNTIFS(実績!$W$6:$W$505,CL$3,実績!$AC$6:$AC$505,"&lt;="&amp;$A276,実績!$AD$6:$AD$505,"&gt;"&amp;$A276,実績!$AE$6:$AE$505,"○")&gt;0,1,0))</f>
        <v/>
      </c>
      <c r="CM276">
        <f>IF(CM$4=0,0,IF(COUNTIFS(実績!$W$6:$W$505,CM$3,実績!$AC$6:$AC$505,"&lt;="&amp;$A276,実績!$AD$6:$AD$505,"&gt;"&amp;$A276,実績!$AE$6:$AE$505,"○")&gt;0,1,0))</f>
        <v/>
      </c>
      <c r="CN276">
        <f>IF(CN$4=0,0,IF(COUNTIFS(実績!$W$6:$W$505,CN$3,実績!$AC$6:$AC$505,"&lt;="&amp;$A276,実績!$AD$6:$AD$505,"&gt;"&amp;$A276,実績!$AE$6:$AE$505,"○")&gt;0,1,0))</f>
        <v/>
      </c>
      <c r="CO276">
        <f>IF(CO$4=0,0,IF(COUNTIFS(実績!$W$6:$W$505,CO$3,実績!$AC$6:$AC$505,"&lt;="&amp;$A276,実績!$AD$6:$AD$505,"&gt;"&amp;$A276,実績!$AE$6:$AE$505,"○")&gt;0,1,0))</f>
        <v/>
      </c>
      <c r="CP276">
        <f>IF(CP$4=0,0,IF(COUNTIFS(実績!$W$6:$W$505,CP$3,実績!$AC$6:$AC$505,"&lt;="&amp;$A276,実績!$AD$6:$AD$505,"&gt;"&amp;$A276,実績!$AE$6:$AE$505,"○")&gt;0,1,0))</f>
        <v/>
      </c>
      <c r="CQ276">
        <f>IF(CQ$4=0,0,IF(COUNTIFS(実績!$W$6:$W$505,CQ$3,実績!$AC$6:$AC$505,"&lt;="&amp;$A276,実績!$AD$6:$AD$505,"&gt;"&amp;$A276,実績!$AE$6:$AE$505,"○")&gt;0,1,0))</f>
        <v/>
      </c>
      <c r="CR276">
        <f>IF(CR$4=0,0,IF(COUNTIFS(実績!$W$6:$W$505,CR$3,実績!$AC$6:$AC$505,"&lt;="&amp;$A276,実績!$AD$6:$AD$505,"&gt;"&amp;$A276,実績!$AE$6:$AE$505,"○")&gt;0,1,0))</f>
        <v/>
      </c>
      <c r="CS276">
        <f>IF(CS$4=0,0,IF(COUNTIFS(実績!$W$6:$W$505,CS$3,実績!$AC$6:$AC$505,"&lt;="&amp;$A276,実績!$AD$6:$AD$505,"&gt;"&amp;$A276,実績!$AE$6:$AE$505,"○")&gt;0,1,0))</f>
        <v/>
      </c>
      <c r="CT276">
        <f>IF(CT$4=0,0,IF(COUNTIFS(実績!$W$6:$W$505,CT$3,実績!$AC$6:$AC$505,"&lt;="&amp;$A276,実績!$AD$6:$AD$505,"&gt;"&amp;$A276,実績!$AE$6:$AE$505,"○")&gt;0,1,0))</f>
        <v/>
      </c>
      <c r="CU276">
        <f>IF(CU$4=0,0,IF(COUNTIFS(実績!$W$6:$W$505,CU$3,実績!$AC$6:$AC$505,"&lt;="&amp;$A276,実績!$AD$6:$AD$505,"&gt;"&amp;$A276,実績!$AE$6:$AE$505,"○")&gt;0,1,0))</f>
        <v/>
      </c>
      <c r="CV276">
        <f>IF(CV$4=0,0,IF(COUNTIFS(実績!$W$6:$W$505,CV$3,実績!$AC$6:$AC$505,"&lt;="&amp;$A276,実績!$AD$6:$AD$505,"&gt;"&amp;$A276,実績!$AE$6:$AE$505,"○")&gt;0,1,0))</f>
        <v/>
      </c>
      <c r="CW276">
        <f>IF(CW$4=0,0,IF(COUNTIFS(実績!$W$6:$W$505,CW$3,実績!$AC$6:$AC$505,"&lt;="&amp;$A276,実績!$AD$6:$AD$505,"&gt;"&amp;$A276,実績!$AE$6:$AE$505,"○")&gt;0,1,0))</f>
        <v/>
      </c>
      <c r="CX276">
        <f>IF(CX$4=0,0,IF(COUNTIFS(実績!$W$6:$W$505,CX$3,実績!$AC$6:$AC$505,"&lt;="&amp;$A276,実績!$AD$6:$AD$505,"&gt;"&amp;$A276,実績!$AE$6:$AE$505,"○")&gt;0,1,0))</f>
        <v/>
      </c>
      <c r="CY276">
        <f>IF(CY$4=0,0,IF(COUNTIFS(実績!$W$6:$W$505,CY$3,実績!$AC$6:$AC$505,"&lt;="&amp;$A276,実績!$AD$6:$AD$505,"&gt;"&amp;$A276,実績!$AE$6:$AE$505,"○")&gt;0,1,0))</f>
        <v/>
      </c>
      <c r="CZ276">
        <f>IF(CZ$4=0,0,IF(COUNTIFS(実績!$W$6:$W$505,CZ$3,実績!$AC$6:$AC$505,"&lt;="&amp;$A276,実績!$AD$6:$AD$505,"&gt;"&amp;$A276,実績!$AE$6:$AE$505,"○")&gt;0,1,0))</f>
        <v/>
      </c>
      <c r="DA276">
        <f>IF(DA$4=0,0,IF(COUNTIFS(実績!$W$6:$W$505,DA$3,実績!$AC$6:$AC$505,"&lt;="&amp;$A276,実績!$AD$6:$AD$505,"&gt;"&amp;$A276,実績!$AE$6:$AE$505,"○")&gt;0,1,0))</f>
        <v/>
      </c>
      <c r="DB276">
        <f>IF(DB$4=0,0,IF(COUNTIFS(実績!$W$6:$W$505,DB$3,実績!$AC$6:$AC$505,"&lt;="&amp;$A276,実績!$AD$6:$AD$505,"&gt;"&amp;$A276,実績!$AE$6:$AE$505,"○")&gt;0,1,0))</f>
        <v/>
      </c>
      <c r="DC276">
        <f>IF(DC$4=0,0,IF(COUNTIFS(実績!$W$6:$W$505,DC$3,実績!$AC$6:$AC$505,"&lt;="&amp;$A276,実績!$AD$6:$AD$505,"&gt;"&amp;$A276,実績!$AE$6:$AE$505,"○")&gt;0,1,0))</f>
        <v/>
      </c>
      <c r="DD276">
        <f>IF(DD$4=0,0,IF(COUNTIFS(実績!$W$6:$W$505,DD$3,実績!$AC$6:$AC$505,"&lt;="&amp;$A276,実績!$AD$6:$AD$505,"&gt;"&amp;$A276,実績!$AE$6:$AE$505,"○")&gt;0,1,0))</f>
        <v/>
      </c>
      <c r="DE276">
        <f>IF(DE$4=0,0,IF(COUNTIFS(実績!$W$6:$W$505,DE$3,実績!$AC$6:$AC$505,"&lt;="&amp;$A276,実績!$AD$6:$AD$505,"&gt;"&amp;$A276,実績!$AE$6:$AE$505,"○")&gt;0,1,0))</f>
        <v/>
      </c>
      <c r="DF276">
        <f>IF(DF$4=0,0,IF(COUNTIFS(実績!$W$6:$W$505,DF$3,実績!$AC$6:$AC$505,"&lt;="&amp;$A276,実績!$AD$6:$AD$505,"&gt;"&amp;$A276,実績!$AE$6:$AE$505,"○")&gt;0,1,0))</f>
        <v/>
      </c>
      <c r="DG276">
        <f>IF(DG$4=0,0,IF(COUNTIFS(実績!$W$6:$W$505,DG$3,実績!$AC$6:$AC$505,"&lt;="&amp;$A276,実績!$AD$6:$AD$505,"&gt;"&amp;$A276,実績!$AE$6:$AE$505,"○")&gt;0,1,0))</f>
        <v/>
      </c>
      <c r="DH276">
        <f>IF(DH$4=0,0,IF(COUNTIFS(実績!$W$6:$W$505,DH$3,実績!$AC$6:$AC$505,"&lt;="&amp;$A276,実績!$AD$6:$AD$505,"&gt;"&amp;$A276,実績!$AE$6:$AE$505,"○")&gt;0,1,0))</f>
        <v/>
      </c>
      <c r="DI276">
        <f>IF(DI$4=0,0,IF(COUNTIFS(実績!$W$6:$W$505,DI$3,実績!$AC$6:$AC$505,"&lt;="&amp;$A276,実績!$AD$6:$AD$505,"&gt;"&amp;$A276,実績!$AE$6:$AE$505,"○")&gt;0,1,0))</f>
        <v/>
      </c>
      <c r="DJ276">
        <f>IF(DJ$4=0,0,IF(COUNTIFS(実績!$W$6:$W$505,DJ$3,実績!$AC$6:$AC$505,"&lt;="&amp;$A276,実績!$AD$6:$AD$505,"&gt;"&amp;$A276,実績!$AE$6:$AE$505,"○")&gt;0,1,0))</f>
        <v/>
      </c>
      <c r="DK276">
        <f>IF(DK$4=0,0,IF(COUNTIFS(実績!$W$6:$W$505,DK$3,実績!$AC$6:$AC$505,"&lt;="&amp;$A276,実績!$AD$6:$AD$505,"&gt;"&amp;$A276,実績!$AE$6:$AE$505,"○")&gt;0,1,0))</f>
        <v/>
      </c>
      <c r="DL276">
        <f>IF(DL$4=0,0,IF(COUNTIFS(実績!$W$6:$W$505,DL$3,実績!$AC$6:$AC$505,"&lt;="&amp;$A276,実績!$AD$6:$AD$505,"&gt;"&amp;$A276,実績!$AE$6:$AE$505,"○")&gt;0,1,0))</f>
        <v/>
      </c>
      <c r="DM276">
        <f>IF(DM$4=0,0,IF(COUNTIFS(実績!$W$6:$W$505,DM$3,実績!$AC$6:$AC$505,"&lt;="&amp;$A276,実績!$AD$6:$AD$505,"&gt;"&amp;$A276,実績!$AE$6:$AE$505,"○")&gt;0,1,0))</f>
        <v/>
      </c>
      <c r="DN276">
        <f>IF(DN$4=0,0,IF(COUNTIFS(実績!$W$6:$W$505,DN$3,実績!$AC$6:$AC$505,"&lt;="&amp;$A276,実績!$AD$6:$AD$505,"&gt;"&amp;$A276,実績!$AE$6:$AE$505,"○")&gt;0,1,0))</f>
        <v/>
      </c>
      <c r="DO276">
        <f>IF(DO$4=0,0,IF(COUNTIFS(実績!$W$6:$W$505,DO$3,実績!$AC$6:$AC$505,"&lt;="&amp;$A276,実績!$AD$6:$AD$505,"&gt;"&amp;$A276,実績!$AE$6:$AE$505,"○")&gt;0,1,0))</f>
        <v/>
      </c>
      <c r="DP276">
        <f>IF(DP$4=0,0,IF(COUNTIFS(実績!$W$6:$W$505,DP$3,実績!$AC$6:$AC$505,"&lt;="&amp;$A276,実績!$AD$6:$AD$505,"&gt;"&amp;$A276,実績!$AE$6:$AE$505,"○")&gt;0,1,0))</f>
        <v/>
      </c>
      <c r="DQ276">
        <f>IF(DQ$4=0,0,IF(COUNTIFS(実績!$W$6:$W$505,DQ$3,実績!$AC$6:$AC$505,"&lt;="&amp;$A276,実績!$AD$6:$AD$505,"&gt;"&amp;$A276,実績!$AE$6:$AE$505,"○")&gt;0,1,0))</f>
        <v/>
      </c>
      <c r="DR276">
        <f>IF(DR$4=0,0,IF(COUNTIFS(実績!$W$6:$W$505,DR$3,実績!$AC$6:$AC$505,"&lt;="&amp;$A276,実績!$AD$6:$AD$505,"&gt;"&amp;$A276,実績!$AE$6:$AE$505,"○")&gt;0,1,0))</f>
        <v/>
      </c>
      <c r="DS276">
        <f>SUM(C276:DR276)</f>
        <v/>
      </c>
      <c r="DT276">
        <f>SUMPRODUCT((実績!$C$6:$C$505="○")*ISNUMBER(実績!$AF$6:$AF$505)*(実績!$AF$6:$AF$505&lt;=$A276)*(実績!$AG$6:$AG$505&gt;$A276))</f>
        <v/>
      </c>
      <c r="DU276">
        <f>SUMIF($C$2:$DR$2,"製鉄曳船",C276:DR276)</f>
        <v/>
      </c>
      <c r="DV276">
        <f>SUMIF($C$2:$DR$2,"西日本海運",C276:DR276)</f>
        <v/>
      </c>
    </row>
    <row r="277">
      <c r="A277" t="n">
        <v>1355</v>
      </c>
      <c r="B277" s="29">
        <f>A277/1440</f>
        <v/>
      </c>
      <c r="C277">
        <f>IF(C$4=0,0,IF(COUNTIFS(実績!$W$6:$W$505,C$3,実績!$AC$6:$AC$505,"&lt;="&amp;$A277,実績!$AD$6:$AD$505,"&gt;"&amp;$A277,実績!$AE$6:$AE$505,"○")&gt;0,1,0))</f>
        <v/>
      </c>
      <c r="D277">
        <f>IF(D$4=0,0,IF(COUNTIFS(実績!$W$6:$W$505,D$3,実績!$AC$6:$AC$505,"&lt;="&amp;$A277,実績!$AD$6:$AD$505,"&gt;"&amp;$A277,実績!$AE$6:$AE$505,"○")&gt;0,1,0))</f>
        <v/>
      </c>
      <c r="E277">
        <f>IF(E$4=0,0,IF(COUNTIFS(実績!$W$6:$W$505,E$3,実績!$AC$6:$AC$505,"&lt;="&amp;$A277,実績!$AD$6:$AD$505,"&gt;"&amp;$A277,実績!$AE$6:$AE$505,"○")&gt;0,1,0))</f>
        <v/>
      </c>
      <c r="F277">
        <f>IF(F$4=0,0,IF(COUNTIFS(実績!$W$6:$W$505,F$3,実績!$AC$6:$AC$505,"&lt;="&amp;$A277,実績!$AD$6:$AD$505,"&gt;"&amp;$A277,実績!$AE$6:$AE$505,"○")&gt;0,1,0))</f>
        <v/>
      </c>
      <c r="G277">
        <f>IF(G$4=0,0,IF(COUNTIFS(実績!$W$6:$W$505,G$3,実績!$AC$6:$AC$505,"&lt;="&amp;$A277,実績!$AD$6:$AD$505,"&gt;"&amp;$A277,実績!$AE$6:$AE$505,"○")&gt;0,1,0))</f>
        <v/>
      </c>
      <c r="H277">
        <f>IF(H$4=0,0,IF(COUNTIFS(実績!$W$6:$W$505,H$3,実績!$AC$6:$AC$505,"&lt;="&amp;$A277,実績!$AD$6:$AD$505,"&gt;"&amp;$A277,実績!$AE$6:$AE$505,"○")&gt;0,1,0))</f>
        <v/>
      </c>
      <c r="I277">
        <f>IF(I$4=0,0,IF(COUNTIFS(実績!$W$6:$W$505,I$3,実績!$AC$6:$AC$505,"&lt;="&amp;$A277,実績!$AD$6:$AD$505,"&gt;"&amp;$A277,実績!$AE$6:$AE$505,"○")&gt;0,1,0))</f>
        <v/>
      </c>
      <c r="J277">
        <f>IF(J$4=0,0,IF(COUNTIFS(実績!$W$6:$W$505,J$3,実績!$AC$6:$AC$505,"&lt;="&amp;$A277,実績!$AD$6:$AD$505,"&gt;"&amp;$A277,実績!$AE$6:$AE$505,"○")&gt;0,1,0))</f>
        <v/>
      </c>
      <c r="K277">
        <f>IF(K$4=0,0,IF(COUNTIFS(実績!$W$6:$W$505,K$3,実績!$AC$6:$AC$505,"&lt;="&amp;$A277,実績!$AD$6:$AD$505,"&gt;"&amp;$A277,実績!$AE$6:$AE$505,"○")&gt;0,1,0))</f>
        <v/>
      </c>
      <c r="L277">
        <f>IF(L$4=0,0,IF(COUNTIFS(実績!$W$6:$W$505,L$3,実績!$AC$6:$AC$505,"&lt;="&amp;$A277,実績!$AD$6:$AD$505,"&gt;"&amp;$A277,実績!$AE$6:$AE$505,"○")&gt;0,1,0))</f>
        <v/>
      </c>
      <c r="M277">
        <f>IF(M$4=0,0,IF(COUNTIFS(実績!$W$6:$W$505,M$3,実績!$AC$6:$AC$505,"&lt;="&amp;$A277,実績!$AD$6:$AD$505,"&gt;"&amp;$A277,実績!$AE$6:$AE$505,"○")&gt;0,1,0))</f>
        <v/>
      </c>
      <c r="N277">
        <f>IF(N$4=0,0,IF(COUNTIFS(実績!$W$6:$W$505,N$3,実績!$AC$6:$AC$505,"&lt;="&amp;$A277,実績!$AD$6:$AD$505,"&gt;"&amp;$A277,実績!$AE$6:$AE$505,"○")&gt;0,1,0))</f>
        <v/>
      </c>
      <c r="O277">
        <f>IF(O$4=0,0,IF(COUNTIFS(実績!$W$6:$W$505,O$3,実績!$AC$6:$AC$505,"&lt;="&amp;$A277,実績!$AD$6:$AD$505,"&gt;"&amp;$A277,実績!$AE$6:$AE$505,"○")&gt;0,1,0))</f>
        <v/>
      </c>
      <c r="P277">
        <f>IF(P$4=0,0,IF(COUNTIFS(実績!$W$6:$W$505,P$3,実績!$AC$6:$AC$505,"&lt;="&amp;$A277,実績!$AD$6:$AD$505,"&gt;"&amp;$A277,実績!$AE$6:$AE$505,"○")&gt;0,1,0))</f>
        <v/>
      </c>
      <c r="Q277">
        <f>IF(Q$4=0,0,IF(COUNTIFS(実績!$W$6:$W$505,Q$3,実績!$AC$6:$AC$505,"&lt;="&amp;$A277,実績!$AD$6:$AD$505,"&gt;"&amp;$A277,実績!$AE$6:$AE$505,"○")&gt;0,1,0))</f>
        <v/>
      </c>
      <c r="R277">
        <f>IF(R$4=0,0,IF(COUNTIFS(実績!$W$6:$W$505,R$3,実績!$AC$6:$AC$505,"&lt;="&amp;$A277,実績!$AD$6:$AD$505,"&gt;"&amp;$A277,実績!$AE$6:$AE$505,"○")&gt;0,1,0))</f>
        <v/>
      </c>
      <c r="S277">
        <f>IF(S$4=0,0,IF(COUNTIFS(実績!$W$6:$W$505,S$3,実績!$AC$6:$AC$505,"&lt;="&amp;$A277,実績!$AD$6:$AD$505,"&gt;"&amp;$A277,実績!$AE$6:$AE$505,"○")&gt;0,1,0))</f>
        <v/>
      </c>
      <c r="T277">
        <f>IF(T$4=0,0,IF(COUNTIFS(実績!$W$6:$W$505,T$3,実績!$AC$6:$AC$505,"&lt;="&amp;$A277,実績!$AD$6:$AD$505,"&gt;"&amp;$A277,実績!$AE$6:$AE$505,"○")&gt;0,1,0))</f>
        <v/>
      </c>
      <c r="U277">
        <f>IF(U$4=0,0,IF(COUNTIFS(実績!$W$6:$W$505,U$3,実績!$AC$6:$AC$505,"&lt;="&amp;$A277,実績!$AD$6:$AD$505,"&gt;"&amp;$A277,実績!$AE$6:$AE$505,"○")&gt;0,1,0))</f>
        <v/>
      </c>
      <c r="V277">
        <f>IF(V$4=0,0,IF(COUNTIFS(実績!$W$6:$W$505,V$3,実績!$AC$6:$AC$505,"&lt;="&amp;$A277,実績!$AD$6:$AD$505,"&gt;"&amp;$A277,実績!$AE$6:$AE$505,"○")&gt;0,1,0))</f>
        <v/>
      </c>
      <c r="W277">
        <f>IF(W$4=0,0,IF(COUNTIFS(実績!$W$6:$W$505,W$3,実績!$AC$6:$AC$505,"&lt;="&amp;$A277,実績!$AD$6:$AD$505,"&gt;"&amp;$A277,実績!$AE$6:$AE$505,"○")&gt;0,1,0))</f>
        <v/>
      </c>
      <c r="X277">
        <f>IF(X$4=0,0,IF(COUNTIFS(実績!$W$6:$W$505,X$3,実績!$AC$6:$AC$505,"&lt;="&amp;$A277,実績!$AD$6:$AD$505,"&gt;"&amp;$A277,実績!$AE$6:$AE$505,"○")&gt;0,1,0))</f>
        <v/>
      </c>
      <c r="Y277">
        <f>IF(Y$4=0,0,IF(COUNTIFS(実績!$W$6:$W$505,Y$3,実績!$AC$6:$AC$505,"&lt;="&amp;$A277,実績!$AD$6:$AD$505,"&gt;"&amp;$A277,実績!$AE$6:$AE$505,"○")&gt;0,1,0))</f>
        <v/>
      </c>
      <c r="Z277">
        <f>IF(Z$4=0,0,IF(COUNTIFS(実績!$W$6:$W$505,Z$3,実績!$AC$6:$AC$505,"&lt;="&amp;$A277,実績!$AD$6:$AD$505,"&gt;"&amp;$A277,実績!$AE$6:$AE$505,"○")&gt;0,1,0))</f>
        <v/>
      </c>
      <c r="AA277">
        <f>IF(AA$4=0,0,IF(COUNTIFS(実績!$W$6:$W$505,AA$3,実績!$AC$6:$AC$505,"&lt;="&amp;$A277,実績!$AD$6:$AD$505,"&gt;"&amp;$A277,実績!$AE$6:$AE$505,"○")&gt;0,1,0))</f>
        <v/>
      </c>
      <c r="AB277">
        <f>IF(AB$4=0,0,IF(COUNTIFS(実績!$W$6:$W$505,AB$3,実績!$AC$6:$AC$505,"&lt;="&amp;$A277,実績!$AD$6:$AD$505,"&gt;"&amp;$A277,実績!$AE$6:$AE$505,"○")&gt;0,1,0))</f>
        <v/>
      </c>
      <c r="AC277">
        <f>IF(AC$4=0,0,IF(COUNTIFS(実績!$W$6:$W$505,AC$3,実績!$AC$6:$AC$505,"&lt;="&amp;$A277,実績!$AD$6:$AD$505,"&gt;"&amp;$A277,実績!$AE$6:$AE$505,"○")&gt;0,1,0))</f>
        <v/>
      </c>
      <c r="AD277">
        <f>IF(AD$4=0,0,IF(COUNTIFS(実績!$W$6:$W$505,AD$3,実績!$AC$6:$AC$505,"&lt;="&amp;$A277,実績!$AD$6:$AD$505,"&gt;"&amp;$A277,実績!$AE$6:$AE$505,"○")&gt;0,1,0))</f>
        <v/>
      </c>
      <c r="AE277">
        <f>IF(AE$4=0,0,IF(COUNTIFS(実績!$W$6:$W$505,AE$3,実績!$AC$6:$AC$505,"&lt;="&amp;$A277,実績!$AD$6:$AD$505,"&gt;"&amp;$A277,実績!$AE$6:$AE$505,"○")&gt;0,1,0))</f>
        <v/>
      </c>
      <c r="AF277">
        <f>IF(AF$4=0,0,IF(COUNTIFS(実績!$W$6:$W$505,AF$3,実績!$AC$6:$AC$505,"&lt;="&amp;$A277,実績!$AD$6:$AD$505,"&gt;"&amp;$A277,実績!$AE$6:$AE$505,"○")&gt;0,1,0))</f>
        <v/>
      </c>
      <c r="AG277">
        <f>IF(AG$4=0,0,IF(COUNTIFS(実績!$W$6:$W$505,AG$3,実績!$AC$6:$AC$505,"&lt;="&amp;$A277,実績!$AD$6:$AD$505,"&gt;"&amp;$A277,実績!$AE$6:$AE$505,"○")&gt;0,1,0))</f>
        <v/>
      </c>
      <c r="AH277">
        <f>IF(AH$4=0,0,IF(COUNTIFS(実績!$W$6:$W$505,AH$3,実績!$AC$6:$AC$505,"&lt;="&amp;$A277,実績!$AD$6:$AD$505,"&gt;"&amp;$A277,実績!$AE$6:$AE$505,"○")&gt;0,1,0))</f>
        <v/>
      </c>
      <c r="AI277">
        <f>IF(AI$4=0,0,IF(COUNTIFS(実績!$W$6:$W$505,AI$3,実績!$AC$6:$AC$505,"&lt;="&amp;$A277,実績!$AD$6:$AD$505,"&gt;"&amp;$A277,実績!$AE$6:$AE$505,"○")&gt;0,1,0))</f>
        <v/>
      </c>
      <c r="AJ277">
        <f>IF(AJ$4=0,0,IF(COUNTIFS(実績!$W$6:$W$505,AJ$3,実績!$AC$6:$AC$505,"&lt;="&amp;$A277,実績!$AD$6:$AD$505,"&gt;"&amp;$A277,実績!$AE$6:$AE$505,"○")&gt;0,1,0))</f>
        <v/>
      </c>
      <c r="AK277">
        <f>IF(AK$4=0,0,IF(COUNTIFS(実績!$W$6:$W$505,AK$3,実績!$AC$6:$AC$505,"&lt;="&amp;$A277,実績!$AD$6:$AD$505,"&gt;"&amp;$A277,実績!$AE$6:$AE$505,"○")&gt;0,1,0))</f>
        <v/>
      </c>
      <c r="AL277">
        <f>IF(AL$4=0,0,IF(COUNTIFS(実績!$W$6:$W$505,AL$3,実績!$AC$6:$AC$505,"&lt;="&amp;$A277,実績!$AD$6:$AD$505,"&gt;"&amp;$A277,実績!$AE$6:$AE$505,"○")&gt;0,1,0))</f>
        <v/>
      </c>
      <c r="AM277">
        <f>IF(AM$4=0,0,IF(COUNTIFS(実績!$W$6:$W$505,AM$3,実績!$AC$6:$AC$505,"&lt;="&amp;$A277,実績!$AD$6:$AD$505,"&gt;"&amp;$A277,実績!$AE$6:$AE$505,"○")&gt;0,1,0))</f>
        <v/>
      </c>
      <c r="AN277">
        <f>IF(AN$4=0,0,IF(COUNTIFS(実績!$W$6:$W$505,AN$3,実績!$AC$6:$AC$505,"&lt;="&amp;$A277,実績!$AD$6:$AD$505,"&gt;"&amp;$A277,実績!$AE$6:$AE$505,"○")&gt;0,1,0))</f>
        <v/>
      </c>
      <c r="AO277">
        <f>IF(AO$4=0,0,IF(COUNTIFS(実績!$W$6:$W$505,AO$3,実績!$AC$6:$AC$505,"&lt;="&amp;$A277,実績!$AD$6:$AD$505,"&gt;"&amp;$A277,実績!$AE$6:$AE$505,"○")&gt;0,1,0))</f>
        <v/>
      </c>
      <c r="AP277">
        <f>IF(AP$4=0,0,IF(COUNTIFS(実績!$W$6:$W$505,AP$3,実績!$AC$6:$AC$505,"&lt;="&amp;$A277,実績!$AD$6:$AD$505,"&gt;"&amp;$A277,実績!$AE$6:$AE$505,"○")&gt;0,1,0))</f>
        <v/>
      </c>
      <c r="AQ277">
        <f>IF(AQ$4=0,0,IF(COUNTIFS(実績!$W$6:$W$505,AQ$3,実績!$AC$6:$AC$505,"&lt;="&amp;$A277,実績!$AD$6:$AD$505,"&gt;"&amp;$A277,実績!$AE$6:$AE$505,"○")&gt;0,1,0))</f>
        <v/>
      </c>
      <c r="AR277">
        <f>IF(AR$4=0,0,IF(COUNTIFS(実績!$W$6:$W$505,AR$3,実績!$AC$6:$AC$505,"&lt;="&amp;$A277,実績!$AD$6:$AD$505,"&gt;"&amp;$A277,実績!$AE$6:$AE$505,"○")&gt;0,1,0))</f>
        <v/>
      </c>
      <c r="AS277">
        <f>IF(AS$4=0,0,IF(COUNTIFS(実績!$W$6:$W$505,AS$3,実績!$AC$6:$AC$505,"&lt;="&amp;$A277,実績!$AD$6:$AD$505,"&gt;"&amp;$A277,実績!$AE$6:$AE$505,"○")&gt;0,1,0))</f>
        <v/>
      </c>
      <c r="AT277">
        <f>IF(AT$4=0,0,IF(COUNTIFS(実績!$W$6:$W$505,AT$3,実績!$AC$6:$AC$505,"&lt;="&amp;$A277,実績!$AD$6:$AD$505,"&gt;"&amp;$A277,実績!$AE$6:$AE$505,"○")&gt;0,1,0))</f>
        <v/>
      </c>
      <c r="AU277">
        <f>IF(AU$4=0,0,IF(COUNTIFS(実績!$W$6:$W$505,AU$3,実績!$AC$6:$AC$505,"&lt;="&amp;$A277,実績!$AD$6:$AD$505,"&gt;"&amp;$A277,実績!$AE$6:$AE$505,"○")&gt;0,1,0))</f>
        <v/>
      </c>
      <c r="AV277">
        <f>IF(AV$4=0,0,IF(COUNTIFS(実績!$W$6:$W$505,AV$3,実績!$AC$6:$AC$505,"&lt;="&amp;$A277,実績!$AD$6:$AD$505,"&gt;"&amp;$A277,実績!$AE$6:$AE$505,"○")&gt;0,1,0))</f>
        <v/>
      </c>
      <c r="AW277">
        <f>IF(AW$4=0,0,IF(COUNTIFS(実績!$W$6:$W$505,AW$3,実績!$AC$6:$AC$505,"&lt;="&amp;$A277,実績!$AD$6:$AD$505,"&gt;"&amp;$A277,実績!$AE$6:$AE$505,"○")&gt;0,1,0))</f>
        <v/>
      </c>
      <c r="AX277">
        <f>IF(AX$4=0,0,IF(COUNTIFS(実績!$W$6:$W$505,AX$3,実績!$AC$6:$AC$505,"&lt;="&amp;$A277,実績!$AD$6:$AD$505,"&gt;"&amp;$A277,実績!$AE$6:$AE$505,"○")&gt;0,1,0))</f>
        <v/>
      </c>
      <c r="AY277">
        <f>IF(AY$4=0,0,IF(COUNTIFS(実績!$W$6:$W$505,AY$3,実績!$AC$6:$AC$505,"&lt;="&amp;$A277,実績!$AD$6:$AD$505,"&gt;"&amp;$A277,実績!$AE$6:$AE$505,"○")&gt;0,1,0))</f>
        <v/>
      </c>
      <c r="AZ277">
        <f>IF(AZ$4=0,0,IF(COUNTIFS(実績!$W$6:$W$505,AZ$3,実績!$AC$6:$AC$505,"&lt;="&amp;$A277,実績!$AD$6:$AD$505,"&gt;"&amp;$A277,実績!$AE$6:$AE$505,"○")&gt;0,1,0))</f>
        <v/>
      </c>
      <c r="BA277">
        <f>IF(BA$4=0,0,IF(COUNTIFS(実績!$W$6:$W$505,BA$3,実績!$AC$6:$AC$505,"&lt;="&amp;$A277,実績!$AD$6:$AD$505,"&gt;"&amp;$A277,実績!$AE$6:$AE$505,"○")&gt;0,1,0))</f>
        <v/>
      </c>
      <c r="BB277">
        <f>IF(BB$4=0,0,IF(COUNTIFS(実績!$W$6:$W$505,BB$3,実績!$AC$6:$AC$505,"&lt;="&amp;$A277,実績!$AD$6:$AD$505,"&gt;"&amp;$A277,実績!$AE$6:$AE$505,"○")&gt;0,1,0))</f>
        <v/>
      </c>
      <c r="BC277">
        <f>IF(BC$4=0,0,IF(COUNTIFS(実績!$W$6:$W$505,BC$3,実績!$AC$6:$AC$505,"&lt;="&amp;$A277,実績!$AD$6:$AD$505,"&gt;"&amp;$A277,実績!$AE$6:$AE$505,"○")&gt;0,1,0))</f>
        <v/>
      </c>
      <c r="BD277">
        <f>IF(BD$4=0,0,IF(COUNTIFS(実績!$W$6:$W$505,BD$3,実績!$AC$6:$AC$505,"&lt;="&amp;$A277,実績!$AD$6:$AD$505,"&gt;"&amp;$A277,実績!$AE$6:$AE$505,"○")&gt;0,1,0))</f>
        <v/>
      </c>
      <c r="BE277">
        <f>IF(BE$4=0,0,IF(COUNTIFS(実績!$W$6:$W$505,BE$3,実績!$AC$6:$AC$505,"&lt;="&amp;$A277,実績!$AD$6:$AD$505,"&gt;"&amp;$A277,実績!$AE$6:$AE$505,"○")&gt;0,1,0))</f>
        <v/>
      </c>
      <c r="BF277">
        <f>IF(BF$4=0,0,IF(COUNTIFS(実績!$W$6:$W$505,BF$3,実績!$AC$6:$AC$505,"&lt;="&amp;$A277,実績!$AD$6:$AD$505,"&gt;"&amp;$A277,実績!$AE$6:$AE$505,"○")&gt;0,1,0))</f>
        <v/>
      </c>
      <c r="BG277">
        <f>IF(BG$4=0,0,IF(COUNTIFS(実績!$W$6:$W$505,BG$3,実績!$AC$6:$AC$505,"&lt;="&amp;$A277,実績!$AD$6:$AD$505,"&gt;"&amp;$A277,実績!$AE$6:$AE$505,"○")&gt;0,1,0))</f>
        <v/>
      </c>
      <c r="BH277">
        <f>IF(BH$4=0,0,IF(COUNTIFS(実績!$W$6:$W$505,BH$3,実績!$AC$6:$AC$505,"&lt;="&amp;$A277,実績!$AD$6:$AD$505,"&gt;"&amp;$A277,実績!$AE$6:$AE$505,"○")&gt;0,1,0))</f>
        <v/>
      </c>
      <c r="BI277">
        <f>IF(BI$4=0,0,IF(COUNTIFS(実績!$W$6:$W$505,BI$3,実績!$AC$6:$AC$505,"&lt;="&amp;$A277,実績!$AD$6:$AD$505,"&gt;"&amp;$A277,実績!$AE$6:$AE$505,"○")&gt;0,1,0))</f>
        <v/>
      </c>
      <c r="BJ277">
        <f>IF(BJ$4=0,0,IF(COUNTIFS(実績!$W$6:$W$505,BJ$3,実績!$AC$6:$AC$505,"&lt;="&amp;$A277,実績!$AD$6:$AD$505,"&gt;"&amp;$A277,実績!$AE$6:$AE$505,"○")&gt;0,1,0))</f>
        <v/>
      </c>
      <c r="BK277">
        <f>IF(BK$4=0,0,IF(COUNTIFS(実績!$W$6:$W$505,BK$3,実績!$AC$6:$AC$505,"&lt;="&amp;$A277,実績!$AD$6:$AD$505,"&gt;"&amp;$A277,実績!$AE$6:$AE$505,"○")&gt;0,1,0))</f>
        <v/>
      </c>
      <c r="BL277">
        <f>IF(BL$4=0,0,IF(COUNTIFS(実績!$W$6:$W$505,BL$3,実績!$AC$6:$AC$505,"&lt;="&amp;$A277,実績!$AD$6:$AD$505,"&gt;"&amp;$A277,実績!$AE$6:$AE$505,"○")&gt;0,1,0))</f>
        <v/>
      </c>
      <c r="BM277">
        <f>IF(BM$4=0,0,IF(COUNTIFS(実績!$W$6:$W$505,BM$3,実績!$AC$6:$AC$505,"&lt;="&amp;$A277,実績!$AD$6:$AD$505,"&gt;"&amp;$A277,実績!$AE$6:$AE$505,"○")&gt;0,1,0))</f>
        <v/>
      </c>
      <c r="BN277">
        <f>IF(BN$4=0,0,IF(COUNTIFS(実績!$W$6:$W$505,BN$3,実績!$AC$6:$AC$505,"&lt;="&amp;$A277,実績!$AD$6:$AD$505,"&gt;"&amp;$A277,実績!$AE$6:$AE$505,"○")&gt;0,1,0))</f>
        <v/>
      </c>
      <c r="BO277">
        <f>IF(BO$4=0,0,IF(COUNTIFS(実績!$W$6:$W$505,BO$3,実績!$AC$6:$AC$505,"&lt;="&amp;$A277,実績!$AD$6:$AD$505,"&gt;"&amp;$A277,実績!$AE$6:$AE$505,"○")&gt;0,1,0))</f>
        <v/>
      </c>
      <c r="BP277">
        <f>IF(BP$4=0,0,IF(COUNTIFS(実績!$W$6:$W$505,BP$3,実績!$AC$6:$AC$505,"&lt;="&amp;$A277,実績!$AD$6:$AD$505,"&gt;"&amp;$A277,実績!$AE$6:$AE$505,"○")&gt;0,1,0))</f>
        <v/>
      </c>
      <c r="BQ277">
        <f>IF(BQ$4=0,0,IF(COUNTIFS(実績!$W$6:$W$505,BQ$3,実績!$AC$6:$AC$505,"&lt;="&amp;$A277,実績!$AD$6:$AD$505,"&gt;"&amp;$A277,実績!$AE$6:$AE$505,"○")&gt;0,1,0))</f>
        <v/>
      </c>
      <c r="BR277">
        <f>IF(BR$4=0,0,IF(COUNTIFS(実績!$W$6:$W$505,BR$3,実績!$AC$6:$AC$505,"&lt;="&amp;$A277,実績!$AD$6:$AD$505,"&gt;"&amp;$A277,実績!$AE$6:$AE$505,"○")&gt;0,1,0))</f>
        <v/>
      </c>
      <c r="BS277">
        <f>IF(BS$4=0,0,IF(COUNTIFS(実績!$W$6:$W$505,BS$3,実績!$AC$6:$AC$505,"&lt;="&amp;$A277,実績!$AD$6:$AD$505,"&gt;"&amp;$A277,実績!$AE$6:$AE$505,"○")&gt;0,1,0))</f>
        <v/>
      </c>
      <c r="BT277">
        <f>IF(BT$4=0,0,IF(COUNTIFS(実績!$W$6:$W$505,BT$3,実績!$AC$6:$AC$505,"&lt;="&amp;$A277,実績!$AD$6:$AD$505,"&gt;"&amp;$A277,実績!$AE$6:$AE$505,"○")&gt;0,1,0))</f>
        <v/>
      </c>
      <c r="BU277">
        <f>IF(BU$4=0,0,IF(COUNTIFS(実績!$W$6:$W$505,BU$3,実績!$AC$6:$AC$505,"&lt;="&amp;$A277,実績!$AD$6:$AD$505,"&gt;"&amp;$A277,実績!$AE$6:$AE$505,"○")&gt;0,1,0))</f>
        <v/>
      </c>
      <c r="BV277">
        <f>IF(BV$4=0,0,IF(COUNTIFS(実績!$W$6:$W$505,BV$3,実績!$AC$6:$AC$505,"&lt;="&amp;$A277,実績!$AD$6:$AD$505,"&gt;"&amp;$A277,実績!$AE$6:$AE$505,"○")&gt;0,1,0))</f>
        <v/>
      </c>
      <c r="BW277">
        <f>IF(BW$4=0,0,IF(COUNTIFS(実績!$W$6:$W$505,BW$3,実績!$AC$6:$AC$505,"&lt;="&amp;$A277,実績!$AD$6:$AD$505,"&gt;"&amp;$A277,実績!$AE$6:$AE$505,"○")&gt;0,1,0))</f>
        <v/>
      </c>
      <c r="BX277">
        <f>IF(BX$4=0,0,IF(COUNTIFS(実績!$W$6:$W$505,BX$3,実績!$AC$6:$AC$505,"&lt;="&amp;$A277,実績!$AD$6:$AD$505,"&gt;"&amp;$A277,実績!$AE$6:$AE$505,"○")&gt;0,1,0))</f>
        <v/>
      </c>
      <c r="BY277">
        <f>IF(BY$4=0,0,IF(COUNTIFS(実績!$W$6:$W$505,BY$3,実績!$AC$6:$AC$505,"&lt;="&amp;$A277,実績!$AD$6:$AD$505,"&gt;"&amp;$A277,実績!$AE$6:$AE$505,"○")&gt;0,1,0))</f>
        <v/>
      </c>
      <c r="BZ277">
        <f>IF(BZ$4=0,0,IF(COUNTIFS(実績!$W$6:$W$505,BZ$3,実績!$AC$6:$AC$505,"&lt;="&amp;$A277,実績!$AD$6:$AD$505,"&gt;"&amp;$A277,実績!$AE$6:$AE$505,"○")&gt;0,1,0))</f>
        <v/>
      </c>
      <c r="CA277">
        <f>IF(CA$4=0,0,IF(COUNTIFS(実績!$W$6:$W$505,CA$3,実績!$AC$6:$AC$505,"&lt;="&amp;$A277,実績!$AD$6:$AD$505,"&gt;"&amp;$A277,実績!$AE$6:$AE$505,"○")&gt;0,1,0))</f>
        <v/>
      </c>
      <c r="CB277">
        <f>IF(CB$4=0,0,IF(COUNTIFS(実績!$W$6:$W$505,CB$3,実績!$AC$6:$AC$505,"&lt;="&amp;$A277,実績!$AD$6:$AD$505,"&gt;"&amp;$A277,実績!$AE$6:$AE$505,"○")&gt;0,1,0))</f>
        <v/>
      </c>
      <c r="CC277">
        <f>IF(CC$4=0,0,IF(COUNTIFS(実績!$W$6:$W$505,CC$3,実績!$AC$6:$AC$505,"&lt;="&amp;$A277,実績!$AD$6:$AD$505,"&gt;"&amp;$A277,実績!$AE$6:$AE$505,"○")&gt;0,1,0))</f>
        <v/>
      </c>
      <c r="CD277">
        <f>IF(CD$4=0,0,IF(COUNTIFS(実績!$W$6:$W$505,CD$3,実績!$AC$6:$AC$505,"&lt;="&amp;$A277,実績!$AD$6:$AD$505,"&gt;"&amp;$A277,実績!$AE$6:$AE$505,"○")&gt;0,1,0))</f>
        <v/>
      </c>
      <c r="CE277">
        <f>IF(CE$4=0,0,IF(COUNTIFS(実績!$W$6:$W$505,CE$3,実績!$AC$6:$AC$505,"&lt;="&amp;$A277,実績!$AD$6:$AD$505,"&gt;"&amp;$A277,実績!$AE$6:$AE$505,"○")&gt;0,1,0))</f>
        <v/>
      </c>
      <c r="CF277">
        <f>IF(CF$4=0,0,IF(COUNTIFS(実績!$W$6:$W$505,CF$3,実績!$AC$6:$AC$505,"&lt;="&amp;$A277,実績!$AD$6:$AD$505,"&gt;"&amp;$A277,実績!$AE$6:$AE$505,"○")&gt;0,1,0))</f>
        <v/>
      </c>
      <c r="CG277">
        <f>IF(CG$4=0,0,IF(COUNTIFS(実績!$W$6:$W$505,CG$3,実績!$AC$6:$AC$505,"&lt;="&amp;$A277,実績!$AD$6:$AD$505,"&gt;"&amp;$A277,実績!$AE$6:$AE$505,"○")&gt;0,1,0))</f>
        <v/>
      </c>
      <c r="CH277">
        <f>IF(CH$4=0,0,IF(COUNTIFS(実績!$W$6:$W$505,CH$3,実績!$AC$6:$AC$505,"&lt;="&amp;$A277,実績!$AD$6:$AD$505,"&gt;"&amp;$A277,実績!$AE$6:$AE$505,"○")&gt;0,1,0))</f>
        <v/>
      </c>
      <c r="CI277">
        <f>IF(CI$4=0,0,IF(COUNTIFS(実績!$W$6:$W$505,CI$3,実績!$AC$6:$AC$505,"&lt;="&amp;$A277,実績!$AD$6:$AD$505,"&gt;"&amp;$A277,実績!$AE$6:$AE$505,"○")&gt;0,1,0))</f>
        <v/>
      </c>
      <c r="CJ277">
        <f>IF(CJ$4=0,0,IF(COUNTIFS(実績!$W$6:$W$505,CJ$3,実績!$AC$6:$AC$505,"&lt;="&amp;$A277,実績!$AD$6:$AD$505,"&gt;"&amp;$A277,実績!$AE$6:$AE$505,"○")&gt;0,1,0))</f>
        <v/>
      </c>
      <c r="CK277">
        <f>IF(CK$4=0,0,IF(COUNTIFS(実績!$W$6:$W$505,CK$3,実績!$AC$6:$AC$505,"&lt;="&amp;$A277,実績!$AD$6:$AD$505,"&gt;"&amp;$A277,実績!$AE$6:$AE$505,"○")&gt;0,1,0))</f>
        <v/>
      </c>
      <c r="CL277">
        <f>IF(CL$4=0,0,IF(COUNTIFS(実績!$W$6:$W$505,CL$3,実績!$AC$6:$AC$505,"&lt;="&amp;$A277,実績!$AD$6:$AD$505,"&gt;"&amp;$A277,実績!$AE$6:$AE$505,"○")&gt;0,1,0))</f>
        <v/>
      </c>
      <c r="CM277">
        <f>IF(CM$4=0,0,IF(COUNTIFS(実績!$W$6:$W$505,CM$3,実績!$AC$6:$AC$505,"&lt;="&amp;$A277,実績!$AD$6:$AD$505,"&gt;"&amp;$A277,実績!$AE$6:$AE$505,"○")&gt;0,1,0))</f>
        <v/>
      </c>
      <c r="CN277">
        <f>IF(CN$4=0,0,IF(COUNTIFS(実績!$W$6:$W$505,CN$3,実績!$AC$6:$AC$505,"&lt;="&amp;$A277,実績!$AD$6:$AD$505,"&gt;"&amp;$A277,実績!$AE$6:$AE$505,"○")&gt;0,1,0))</f>
        <v/>
      </c>
      <c r="CO277">
        <f>IF(CO$4=0,0,IF(COUNTIFS(実績!$W$6:$W$505,CO$3,実績!$AC$6:$AC$505,"&lt;="&amp;$A277,実績!$AD$6:$AD$505,"&gt;"&amp;$A277,実績!$AE$6:$AE$505,"○")&gt;0,1,0))</f>
        <v/>
      </c>
      <c r="CP277">
        <f>IF(CP$4=0,0,IF(COUNTIFS(実績!$W$6:$W$505,CP$3,実績!$AC$6:$AC$505,"&lt;="&amp;$A277,実績!$AD$6:$AD$505,"&gt;"&amp;$A277,実績!$AE$6:$AE$505,"○")&gt;0,1,0))</f>
        <v/>
      </c>
      <c r="CQ277">
        <f>IF(CQ$4=0,0,IF(COUNTIFS(実績!$W$6:$W$505,CQ$3,実績!$AC$6:$AC$505,"&lt;="&amp;$A277,実績!$AD$6:$AD$505,"&gt;"&amp;$A277,実績!$AE$6:$AE$505,"○")&gt;0,1,0))</f>
        <v/>
      </c>
      <c r="CR277">
        <f>IF(CR$4=0,0,IF(COUNTIFS(実績!$W$6:$W$505,CR$3,実績!$AC$6:$AC$505,"&lt;="&amp;$A277,実績!$AD$6:$AD$505,"&gt;"&amp;$A277,実績!$AE$6:$AE$505,"○")&gt;0,1,0))</f>
        <v/>
      </c>
      <c r="CS277">
        <f>IF(CS$4=0,0,IF(COUNTIFS(実績!$W$6:$W$505,CS$3,実績!$AC$6:$AC$505,"&lt;="&amp;$A277,実績!$AD$6:$AD$505,"&gt;"&amp;$A277,実績!$AE$6:$AE$505,"○")&gt;0,1,0))</f>
        <v/>
      </c>
      <c r="CT277">
        <f>IF(CT$4=0,0,IF(COUNTIFS(実績!$W$6:$W$505,CT$3,実績!$AC$6:$AC$505,"&lt;="&amp;$A277,実績!$AD$6:$AD$505,"&gt;"&amp;$A277,実績!$AE$6:$AE$505,"○")&gt;0,1,0))</f>
        <v/>
      </c>
      <c r="CU277">
        <f>IF(CU$4=0,0,IF(COUNTIFS(実績!$W$6:$W$505,CU$3,実績!$AC$6:$AC$505,"&lt;="&amp;$A277,実績!$AD$6:$AD$505,"&gt;"&amp;$A277,実績!$AE$6:$AE$505,"○")&gt;0,1,0))</f>
        <v/>
      </c>
      <c r="CV277">
        <f>IF(CV$4=0,0,IF(COUNTIFS(実績!$W$6:$W$505,CV$3,実績!$AC$6:$AC$505,"&lt;="&amp;$A277,実績!$AD$6:$AD$505,"&gt;"&amp;$A277,実績!$AE$6:$AE$505,"○")&gt;0,1,0))</f>
        <v/>
      </c>
      <c r="CW277">
        <f>IF(CW$4=0,0,IF(COUNTIFS(実績!$W$6:$W$505,CW$3,実績!$AC$6:$AC$505,"&lt;="&amp;$A277,実績!$AD$6:$AD$505,"&gt;"&amp;$A277,実績!$AE$6:$AE$505,"○")&gt;0,1,0))</f>
        <v/>
      </c>
      <c r="CX277">
        <f>IF(CX$4=0,0,IF(COUNTIFS(実績!$W$6:$W$505,CX$3,実績!$AC$6:$AC$505,"&lt;="&amp;$A277,実績!$AD$6:$AD$505,"&gt;"&amp;$A277,実績!$AE$6:$AE$505,"○")&gt;0,1,0))</f>
        <v/>
      </c>
      <c r="CY277">
        <f>IF(CY$4=0,0,IF(COUNTIFS(実績!$W$6:$W$505,CY$3,実績!$AC$6:$AC$505,"&lt;="&amp;$A277,実績!$AD$6:$AD$505,"&gt;"&amp;$A277,実績!$AE$6:$AE$505,"○")&gt;0,1,0))</f>
        <v/>
      </c>
      <c r="CZ277">
        <f>IF(CZ$4=0,0,IF(COUNTIFS(実績!$W$6:$W$505,CZ$3,実績!$AC$6:$AC$505,"&lt;="&amp;$A277,実績!$AD$6:$AD$505,"&gt;"&amp;$A277,実績!$AE$6:$AE$505,"○")&gt;0,1,0))</f>
        <v/>
      </c>
      <c r="DA277">
        <f>IF(DA$4=0,0,IF(COUNTIFS(実績!$W$6:$W$505,DA$3,実績!$AC$6:$AC$505,"&lt;="&amp;$A277,実績!$AD$6:$AD$505,"&gt;"&amp;$A277,実績!$AE$6:$AE$505,"○")&gt;0,1,0))</f>
        <v/>
      </c>
      <c r="DB277">
        <f>IF(DB$4=0,0,IF(COUNTIFS(実績!$W$6:$W$505,DB$3,実績!$AC$6:$AC$505,"&lt;="&amp;$A277,実績!$AD$6:$AD$505,"&gt;"&amp;$A277,実績!$AE$6:$AE$505,"○")&gt;0,1,0))</f>
        <v/>
      </c>
      <c r="DC277">
        <f>IF(DC$4=0,0,IF(COUNTIFS(実績!$W$6:$W$505,DC$3,実績!$AC$6:$AC$505,"&lt;="&amp;$A277,実績!$AD$6:$AD$505,"&gt;"&amp;$A277,実績!$AE$6:$AE$505,"○")&gt;0,1,0))</f>
        <v/>
      </c>
      <c r="DD277">
        <f>IF(DD$4=0,0,IF(COUNTIFS(実績!$W$6:$W$505,DD$3,実績!$AC$6:$AC$505,"&lt;="&amp;$A277,実績!$AD$6:$AD$505,"&gt;"&amp;$A277,実績!$AE$6:$AE$505,"○")&gt;0,1,0))</f>
        <v/>
      </c>
      <c r="DE277">
        <f>IF(DE$4=0,0,IF(COUNTIFS(実績!$W$6:$W$505,DE$3,実績!$AC$6:$AC$505,"&lt;="&amp;$A277,実績!$AD$6:$AD$505,"&gt;"&amp;$A277,実績!$AE$6:$AE$505,"○")&gt;0,1,0))</f>
        <v/>
      </c>
      <c r="DF277">
        <f>IF(DF$4=0,0,IF(COUNTIFS(実績!$W$6:$W$505,DF$3,実績!$AC$6:$AC$505,"&lt;="&amp;$A277,実績!$AD$6:$AD$505,"&gt;"&amp;$A277,実績!$AE$6:$AE$505,"○")&gt;0,1,0))</f>
        <v/>
      </c>
      <c r="DG277">
        <f>IF(DG$4=0,0,IF(COUNTIFS(実績!$W$6:$W$505,DG$3,実績!$AC$6:$AC$505,"&lt;="&amp;$A277,実績!$AD$6:$AD$505,"&gt;"&amp;$A277,実績!$AE$6:$AE$505,"○")&gt;0,1,0))</f>
        <v/>
      </c>
      <c r="DH277">
        <f>IF(DH$4=0,0,IF(COUNTIFS(実績!$W$6:$W$505,DH$3,実績!$AC$6:$AC$505,"&lt;="&amp;$A277,実績!$AD$6:$AD$505,"&gt;"&amp;$A277,実績!$AE$6:$AE$505,"○")&gt;0,1,0))</f>
        <v/>
      </c>
      <c r="DI277">
        <f>IF(DI$4=0,0,IF(COUNTIFS(実績!$W$6:$W$505,DI$3,実績!$AC$6:$AC$505,"&lt;="&amp;$A277,実績!$AD$6:$AD$505,"&gt;"&amp;$A277,実績!$AE$6:$AE$505,"○")&gt;0,1,0))</f>
        <v/>
      </c>
      <c r="DJ277">
        <f>IF(DJ$4=0,0,IF(COUNTIFS(実績!$W$6:$W$505,DJ$3,実績!$AC$6:$AC$505,"&lt;="&amp;$A277,実績!$AD$6:$AD$505,"&gt;"&amp;$A277,実績!$AE$6:$AE$505,"○")&gt;0,1,0))</f>
        <v/>
      </c>
      <c r="DK277">
        <f>IF(DK$4=0,0,IF(COUNTIFS(実績!$W$6:$W$505,DK$3,実績!$AC$6:$AC$505,"&lt;="&amp;$A277,実績!$AD$6:$AD$505,"&gt;"&amp;$A277,実績!$AE$6:$AE$505,"○")&gt;0,1,0))</f>
        <v/>
      </c>
      <c r="DL277">
        <f>IF(DL$4=0,0,IF(COUNTIFS(実績!$W$6:$W$505,DL$3,実績!$AC$6:$AC$505,"&lt;="&amp;$A277,実績!$AD$6:$AD$505,"&gt;"&amp;$A277,実績!$AE$6:$AE$505,"○")&gt;0,1,0))</f>
        <v/>
      </c>
      <c r="DM277">
        <f>IF(DM$4=0,0,IF(COUNTIFS(実績!$W$6:$W$505,DM$3,実績!$AC$6:$AC$505,"&lt;="&amp;$A277,実績!$AD$6:$AD$505,"&gt;"&amp;$A277,実績!$AE$6:$AE$505,"○")&gt;0,1,0))</f>
        <v/>
      </c>
      <c r="DN277">
        <f>IF(DN$4=0,0,IF(COUNTIFS(実績!$W$6:$W$505,DN$3,実績!$AC$6:$AC$505,"&lt;="&amp;$A277,実績!$AD$6:$AD$505,"&gt;"&amp;$A277,実績!$AE$6:$AE$505,"○")&gt;0,1,0))</f>
        <v/>
      </c>
      <c r="DO277">
        <f>IF(DO$4=0,0,IF(COUNTIFS(実績!$W$6:$W$505,DO$3,実績!$AC$6:$AC$505,"&lt;="&amp;$A277,実績!$AD$6:$AD$505,"&gt;"&amp;$A277,実績!$AE$6:$AE$505,"○")&gt;0,1,0))</f>
        <v/>
      </c>
      <c r="DP277">
        <f>IF(DP$4=0,0,IF(COUNTIFS(実績!$W$6:$W$505,DP$3,実績!$AC$6:$AC$505,"&lt;="&amp;$A277,実績!$AD$6:$AD$505,"&gt;"&amp;$A277,実績!$AE$6:$AE$505,"○")&gt;0,1,0))</f>
        <v/>
      </c>
      <c r="DQ277">
        <f>IF(DQ$4=0,0,IF(COUNTIFS(実績!$W$6:$W$505,DQ$3,実績!$AC$6:$AC$505,"&lt;="&amp;$A277,実績!$AD$6:$AD$505,"&gt;"&amp;$A277,実績!$AE$6:$AE$505,"○")&gt;0,1,0))</f>
        <v/>
      </c>
      <c r="DR277">
        <f>IF(DR$4=0,0,IF(COUNTIFS(実績!$W$6:$W$505,DR$3,実績!$AC$6:$AC$505,"&lt;="&amp;$A277,実績!$AD$6:$AD$505,"&gt;"&amp;$A277,実績!$AE$6:$AE$505,"○")&gt;0,1,0))</f>
        <v/>
      </c>
      <c r="DS277">
        <f>SUM(C277:DR277)</f>
        <v/>
      </c>
      <c r="DT277">
        <f>SUMPRODUCT((実績!$C$6:$C$505="○")*ISNUMBER(実績!$AF$6:$AF$505)*(実績!$AF$6:$AF$505&lt;=$A277)*(実績!$AG$6:$AG$505&gt;$A277))</f>
        <v/>
      </c>
      <c r="DU277">
        <f>SUMIF($C$2:$DR$2,"製鉄曳船",C277:DR277)</f>
        <v/>
      </c>
      <c r="DV277">
        <f>SUMIF($C$2:$DR$2,"西日本海運",C277:DR277)</f>
        <v/>
      </c>
    </row>
    <row r="278">
      <c r="A278" t="n">
        <v>1360</v>
      </c>
      <c r="B278" s="29">
        <f>A278/1440</f>
        <v/>
      </c>
      <c r="C278">
        <f>IF(C$4=0,0,IF(COUNTIFS(実績!$W$6:$W$505,C$3,実績!$AC$6:$AC$505,"&lt;="&amp;$A278,実績!$AD$6:$AD$505,"&gt;"&amp;$A278,実績!$AE$6:$AE$505,"○")&gt;0,1,0))</f>
        <v/>
      </c>
      <c r="D278">
        <f>IF(D$4=0,0,IF(COUNTIFS(実績!$W$6:$W$505,D$3,実績!$AC$6:$AC$505,"&lt;="&amp;$A278,実績!$AD$6:$AD$505,"&gt;"&amp;$A278,実績!$AE$6:$AE$505,"○")&gt;0,1,0))</f>
        <v/>
      </c>
      <c r="E278">
        <f>IF(E$4=0,0,IF(COUNTIFS(実績!$W$6:$W$505,E$3,実績!$AC$6:$AC$505,"&lt;="&amp;$A278,実績!$AD$6:$AD$505,"&gt;"&amp;$A278,実績!$AE$6:$AE$505,"○")&gt;0,1,0))</f>
        <v/>
      </c>
      <c r="F278">
        <f>IF(F$4=0,0,IF(COUNTIFS(実績!$W$6:$W$505,F$3,実績!$AC$6:$AC$505,"&lt;="&amp;$A278,実績!$AD$6:$AD$505,"&gt;"&amp;$A278,実績!$AE$6:$AE$505,"○")&gt;0,1,0))</f>
        <v/>
      </c>
      <c r="G278">
        <f>IF(G$4=0,0,IF(COUNTIFS(実績!$W$6:$W$505,G$3,実績!$AC$6:$AC$505,"&lt;="&amp;$A278,実績!$AD$6:$AD$505,"&gt;"&amp;$A278,実績!$AE$6:$AE$505,"○")&gt;0,1,0))</f>
        <v/>
      </c>
      <c r="H278">
        <f>IF(H$4=0,0,IF(COUNTIFS(実績!$W$6:$W$505,H$3,実績!$AC$6:$AC$505,"&lt;="&amp;$A278,実績!$AD$6:$AD$505,"&gt;"&amp;$A278,実績!$AE$6:$AE$505,"○")&gt;0,1,0))</f>
        <v/>
      </c>
      <c r="I278">
        <f>IF(I$4=0,0,IF(COUNTIFS(実績!$W$6:$W$505,I$3,実績!$AC$6:$AC$505,"&lt;="&amp;$A278,実績!$AD$6:$AD$505,"&gt;"&amp;$A278,実績!$AE$6:$AE$505,"○")&gt;0,1,0))</f>
        <v/>
      </c>
      <c r="J278">
        <f>IF(J$4=0,0,IF(COUNTIFS(実績!$W$6:$W$505,J$3,実績!$AC$6:$AC$505,"&lt;="&amp;$A278,実績!$AD$6:$AD$505,"&gt;"&amp;$A278,実績!$AE$6:$AE$505,"○")&gt;0,1,0))</f>
        <v/>
      </c>
      <c r="K278">
        <f>IF(K$4=0,0,IF(COUNTIFS(実績!$W$6:$W$505,K$3,実績!$AC$6:$AC$505,"&lt;="&amp;$A278,実績!$AD$6:$AD$505,"&gt;"&amp;$A278,実績!$AE$6:$AE$505,"○")&gt;0,1,0))</f>
        <v/>
      </c>
      <c r="L278">
        <f>IF(L$4=0,0,IF(COUNTIFS(実績!$W$6:$W$505,L$3,実績!$AC$6:$AC$505,"&lt;="&amp;$A278,実績!$AD$6:$AD$505,"&gt;"&amp;$A278,実績!$AE$6:$AE$505,"○")&gt;0,1,0))</f>
        <v/>
      </c>
      <c r="M278">
        <f>IF(M$4=0,0,IF(COUNTIFS(実績!$W$6:$W$505,M$3,実績!$AC$6:$AC$505,"&lt;="&amp;$A278,実績!$AD$6:$AD$505,"&gt;"&amp;$A278,実績!$AE$6:$AE$505,"○")&gt;0,1,0))</f>
        <v/>
      </c>
      <c r="N278">
        <f>IF(N$4=0,0,IF(COUNTIFS(実績!$W$6:$W$505,N$3,実績!$AC$6:$AC$505,"&lt;="&amp;$A278,実績!$AD$6:$AD$505,"&gt;"&amp;$A278,実績!$AE$6:$AE$505,"○")&gt;0,1,0))</f>
        <v/>
      </c>
      <c r="O278">
        <f>IF(O$4=0,0,IF(COUNTIFS(実績!$W$6:$W$505,O$3,実績!$AC$6:$AC$505,"&lt;="&amp;$A278,実績!$AD$6:$AD$505,"&gt;"&amp;$A278,実績!$AE$6:$AE$505,"○")&gt;0,1,0))</f>
        <v/>
      </c>
      <c r="P278">
        <f>IF(P$4=0,0,IF(COUNTIFS(実績!$W$6:$W$505,P$3,実績!$AC$6:$AC$505,"&lt;="&amp;$A278,実績!$AD$6:$AD$505,"&gt;"&amp;$A278,実績!$AE$6:$AE$505,"○")&gt;0,1,0))</f>
        <v/>
      </c>
      <c r="Q278">
        <f>IF(Q$4=0,0,IF(COUNTIFS(実績!$W$6:$W$505,Q$3,実績!$AC$6:$AC$505,"&lt;="&amp;$A278,実績!$AD$6:$AD$505,"&gt;"&amp;$A278,実績!$AE$6:$AE$505,"○")&gt;0,1,0))</f>
        <v/>
      </c>
      <c r="R278">
        <f>IF(R$4=0,0,IF(COUNTIFS(実績!$W$6:$W$505,R$3,実績!$AC$6:$AC$505,"&lt;="&amp;$A278,実績!$AD$6:$AD$505,"&gt;"&amp;$A278,実績!$AE$6:$AE$505,"○")&gt;0,1,0))</f>
        <v/>
      </c>
      <c r="S278">
        <f>IF(S$4=0,0,IF(COUNTIFS(実績!$W$6:$W$505,S$3,実績!$AC$6:$AC$505,"&lt;="&amp;$A278,実績!$AD$6:$AD$505,"&gt;"&amp;$A278,実績!$AE$6:$AE$505,"○")&gt;0,1,0))</f>
        <v/>
      </c>
      <c r="T278">
        <f>IF(T$4=0,0,IF(COUNTIFS(実績!$W$6:$W$505,T$3,実績!$AC$6:$AC$505,"&lt;="&amp;$A278,実績!$AD$6:$AD$505,"&gt;"&amp;$A278,実績!$AE$6:$AE$505,"○")&gt;0,1,0))</f>
        <v/>
      </c>
      <c r="U278">
        <f>IF(U$4=0,0,IF(COUNTIFS(実績!$W$6:$W$505,U$3,実績!$AC$6:$AC$505,"&lt;="&amp;$A278,実績!$AD$6:$AD$505,"&gt;"&amp;$A278,実績!$AE$6:$AE$505,"○")&gt;0,1,0))</f>
        <v/>
      </c>
      <c r="V278">
        <f>IF(V$4=0,0,IF(COUNTIFS(実績!$W$6:$W$505,V$3,実績!$AC$6:$AC$505,"&lt;="&amp;$A278,実績!$AD$6:$AD$505,"&gt;"&amp;$A278,実績!$AE$6:$AE$505,"○")&gt;0,1,0))</f>
        <v/>
      </c>
      <c r="W278">
        <f>IF(W$4=0,0,IF(COUNTIFS(実績!$W$6:$W$505,W$3,実績!$AC$6:$AC$505,"&lt;="&amp;$A278,実績!$AD$6:$AD$505,"&gt;"&amp;$A278,実績!$AE$6:$AE$505,"○")&gt;0,1,0))</f>
        <v/>
      </c>
      <c r="X278">
        <f>IF(X$4=0,0,IF(COUNTIFS(実績!$W$6:$W$505,X$3,実績!$AC$6:$AC$505,"&lt;="&amp;$A278,実績!$AD$6:$AD$505,"&gt;"&amp;$A278,実績!$AE$6:$AE$505,"○")&gt;0,1,0))</f>
        <v/>
      </c>
      <c r="Y278">
        <f>IF(Y$4=0,0,IF(COUNTIFS(実績!$W$6:$W$505,Y$3,実績!$AC$6:$AC$505,"&lt;="&amp;$A278,実績!$AD$6:$AD$505,"&gt;"&amp;$A278,実績!$AE$6:$AE$505,"○")&gt;0,1,0))</f>
        <v/>
      </c>
      <c r="Z278">
        <f>IF(Z$4=0,0,IF(COUNTIFS(実績!$W$6:$W$505,Z$3,実績!$AC$6:$AC$505,"&lt;="&amp;$A278,実績!$AD$6:$AD$505,"&gt;"&amp;$A278,実績!$AE$6:$AE$505,"○")&gt;0,1,0))</f>
        <v/>
      </c>
      <c r="AA278">
        <f>IF(AA$4=0,0,IF(COUNTIFS(実績!$W$6:$W$505,AA$3,実績!$AC$6:$AC$505,"&lt;="&amp;$A278,実績!$AD$6:$AD$505,"&gt;"&amp;$A278,実績!$AE$6:$AE$505,"○")&gt;0,1,0))</f>
        <v/>
      </c>
      <c r="AB278">
        <f>IF(AB$4=0,0,IF(COUNTIFS(実績!$W$6:$W$505,AB$3,実績!$AC$6:$AC$505,"&lt;="&amp;$A278,実績!$AD$6:$AD$505,"&gt;"&amp;$A278,実績!$AE$6:$AE$505,"○")&gt;0,1,0))</f>
        <v/>
      </c>
      <c r="AC278">
        <f>IF(AC$4=0,0,IF(COUNTIFS(実績!$W$6:$W$505,AC$3,実績!$AC$6:$AC$505,"&lt;="&amp;$A278,実績!$AD$6:$AD$505,"&gt;"&amp;$A278,実績!$AE$6:$AE$505,"○")&gt;0,1,0))</f>
        <v/>
      </c>
      <c r="AD278">
        <f>IF(AD$4=0,0,IF(COUNTIFS(実績!$W$6:$W$505,AD$3,実績!$AC$6:$AC$505,"&lt;="&amp;$A278,実績!$AD$6:$AD$505,"&gt;"&amp;$A278,実績!$AE$6:$AE$505,"○")&gt;0,1,0))</f>
        <v/>
      </c>
      <c r="AE278">
        <f>IF(AE$4=0,0,IF(COUNTIFS(実績!$W$6:$W$505,AE$3,実績!$AC$6:$AC$505,"&lt;="&amp;$A278,実績!$AD$6:$AD$505,"&gt;"&amp;$A278,実績!$AE$6:$AE$505,"○")&gt;0,1,0))</f>
        <v/>
      </c>
      <c r="AF278">
        <f>IF(AF$4=0,0,IF(COUNTIFS(実績!$W$6:$W$505,AF$3,実績!$AC$6:$AC$505,"&lt;="&amp;$A278,実績!$AD$6:$AD$505,"&gt;"&amp;$A278,実績!$AE$6:$AE$505,"○")&gt;0,1,0))</f>
        <v/>
      </c>
      <c r="AG278">
        <f>IF(AG$4=0,0,IF(COUNTIFS(実績!$W$6:$W$505,AG$3,実績!$AC$6:$AC$505,"&lt;="&amp;$A278,実績!$AD$6:$AD$505,"&gt;"&amp;$A278,実績!$AE$6:$AE$505,"○")&gt;0,1,0))</f>
        <v/>
      </c>
      <c r="AH278">
        <f>IF(AH$4=0,0,IF(COUNTIFS(実績!$W$6:$W$505,AH$3,実績!$AC$6:$AC$505,"&lt;="&amp;$A278,実績!$AD$6:$AD$505,"&gt;"&amp;$A278,実績!$AE$6:$AE$505,"○")&gt;0,1,0))</f>
        <v/>
      </c>
      <c r="AI278">
        <f>IF(AI$4=0,0,IF(COUNTIFS(実績!$W$6:$W$505,AI$3,実績!$AC$6:$AC$505,"&lt;="&amp;$A278,実績!$AD$6:$AD$505,"&gt;"&amp;$A278,実績!$AE$6:$AE$505,"○")&gt;0,1,0))</f>
        <v/>
      </c>
      <c r="AJ278">
        <f>IF(AJ$4=0,0,IF(COUNTIFS(実績!$W$6:$W$505,AJ$3,実績!$AC$6:$AC$505,"&lt;="&amp;$A278,実績!$AD$6:$AD$505,"&gt;"&amp;$A278,実績!$AE$6:$AE$505,"○")&gt;0,1,0))</f>
        <v/>
      </c>
      <c r="AK278">
        <f>IF(AK$4=0,0,IF(COUNTIFS(実績!$W$6:$W$505,AK$3,実績!$AC$6:$AC$505,"&lt;="&amp;$A278,実績!$AD$6:$AD$505,"&gt;"&amp;$A278,実績!$AE$6:$AE$505,"○")&gt;0,1,0))</f>
        <v/>
      </c>
      <c r="AL278">
        <f>IF(AL$4=0,0,IF(COUNTIFS(実績!$W$6:$W$505,AL$3,実績!$AC$6:$AC$505,"&lt;="&amp;$A278,実績!$AD$6:$AD$505,"&gt;"&amp;$A278,実績!$AE$6:$AE$505,"○")&gt;0,1,0))</f>
        <v/>
      </c>
      <c r="AM278">
        <f>IF(AM$4=0,0,IF(COUNTIFS(実績!$W$6:$W$505,AM$3,実績!$AC$6:$AC$505,"&lt;="&amp;$A278,実績!$AD$6:$AD$505,"&gt;"&amp;$A278,実績!$AE$6:$AE$505,"○")&gt;0,1,0))</f>
        <v/>
      </c>
      <c r="AN278">
        <f>IF(AN$4=0,0,IF(COUNTIFS(実績!$W$6:$W$505,AN$3,実績!$AC$6:$AC$505,"&lt;="&amp;$A278,実績!$AD$6:$AD$505,"&gt;"&amp;$A278,実績!$AE$6:$AE$505,"○")&gt;0,1,0))</f>
        <v/>
      </c>
      <c r="AO278">
        <f>IF(AO$4=0,0,IF(COUNTIFS(実績!$W$6:$W$505,AO$3,実績!$AC$6:$AC$505,"&lt;="&amp;$A278,実績!$AD$6:$AD$505,"&gt;"&amp;$A278,実績!$AE$6:$AE$505,"○")&gt;0,1,0))</f>
        <v/>
      </c>
      <c r="AP278">
        <f>IF(AP$4=0,0,IF(COUNTIFS(実績!$W$6:$W$505,AP$3,実績!$AC$6:$AC$505,"&lt;="&amp;$A278,実績!$AD$6:$AD$505,"&gt;"&amp;$A278,実績!$AE$6:$AE$505,"○")&gt;0,1,0))</f>
        <v/>
      </c>
      <c r="AQ278">
        <f>IF(AQ$4=0,0,IF(COUNTIFS(実績!$W$6:$W$505,AQ$3,実績!$AC$6:$AC$505,"&lt;="&amp;$A278,実績!$AD$6:$AD$505,"&gt;"&amp;$A278,実績!$AE$6:$AE$505,"○")&gt;0,1,0))</f>
        <v/>
      </c>
      <c r="AR278">
        <f>IF(AR$4=0,0,IF(COUNTIFS(実績!$W$6:$W$505,AR$3,実績!$AC$6:$AC$505,"&lt;="&amp;$A278,実績!$AD$6:$AD$505,"&gt;"&amp;$A278,実績!$AE$6:$AE$505,"○")&gt;0,1,0))</f>
        <v/>
      </c>
      <c r="AS278">
        <f>IF(AS$4=0,0,IF(COUNTIFS(実績!$W$6:$W$505,AS$3,実績!$AC$6:$AC$505,"&lt;="&amp;$A278,実績!$AD$6:$AD$505,"&gt;"&amp;$A278,実績!$AE$6:$AE$505,"○")&gt;0,1,0))</f>
        <v/>
      </c>
      <c r="AT278">
        <f>IF(AT$4=0,0,IF(COUNTIFS(実績!$W$6:$W$505,AT$3,実績!$AC$6:$AC$505,"&lt;="&amp;$A278,実績!$AD$6:$AD$505,"&gt;"&amp;$A278,実績!$AE$6:$AE$505,"○")&gt;0,1,0))</f>
        <v/>
      </c>
      <c r="AU278">
        <f>IF(AU$4=0,0,IF(COUNTIFS(実績!$W$6:$W$505,AU$3,実績!$AC$6:$AC$505,"&lt;="&amp;$A278,実績!$AD$6:$AD$505,"&gt;"&amp;$A278,実績!$AE$6:$AE$505,"○")&gt;0,1,0))</f>
        <v/>
      </c>
      <c r="AV278">
        <f>IF(AV$4=0,0,IF(COUNTIFS(実績!$W$6:$W$505,AV$3,実績!$AC$6:$AC$505,"&lt;="&amp;$A278,実績!$AD$6:$AD$505,"&gt;"&amp;$A278,実績!$AE$6:$AE$505,"○")&gt;0,1,0))</f>
        <v/>
      </c>
      <c r="AW278">
        <f>IF(AW$4=0,0,IF(COUNTIFS(実績!$W$6:$W$505,AW$3,実績!$AC$6:$AC$505,"&lt;="&amp;$A278,実績!$AD$6:$AD$505,"&gt;"&amp;$A278,実績!$AE$6:$AE$505,"○")&gt;0,1,0))</f>
        <v/>
      </c>
      <c r="AX278">
        <f>IF(AX$4=0,0,IF(COUNTIFS(実績!$W$6:$W$505,AX$3,実績!$AC$6:$AC$505,"&lt;="&amp;$A278,実績!$AD$6:$AD$505,"&gt;"&amp;$A278,実績!$AE$6:$AE$505,"○")&gt;0,1,0))</f>
        <v/>
      </c>
      <c r="AY278">
        <f>IF(AY$4=0,0,IF(COUNTIFS(実績!$W$6:$W$505,AY$3,実績!$AC$6:$AC$505,"&lt;="&amp;$A278,実績!$AD$6:$AD$505,"&gt;"&amp;$A278,実績!$AE$6:$AE$505,"○")&gt;0,1,0))</f>
        <v/>
      </c>
      <c r="AZ278">
        <f>IF(AZ$4=0,0,IF(COUNTIFS(実績!$W$6:$W$505,AZ$3,実績!$AC$6:$AC$505,"&lt;="&amp;$A278,実績!$AD$6:$AD$505,"&gt;"&amp;$A278,実績!$AE$6:$AE$505,"○")&gt;0,1,0))</f>
        <v/>
      </c>
      <c r="BA278">
        <f>IF(BA$4=0,0,IF(COUNTIFS(実績!$W$6:$W$505,BA$3,実績!$AC$6:$AC$505,"&lt;="&amp;$A278,実績!$AD$6:$AD$505,"&gt;"&amp;$A278,実績!$AE$6:$AE$505,"○")&gt;0,1,0))</f>
        <v/>
      </c>
      <c r="BB278">
        <f>IF(BB$4=0,0,IF(COUNTIFS(実績!$W$6:$W$505,BB$3,実績!$AC$6:$AC$505,"&lt;="&amp;$A278,実績!$AD$6:$AD$505,"&gt;"&amp;$A278,実績!$AE$6:$AE$505,"○")&gt;0,1,0))</f>
        <v/>
      </c>
      <c r="BC278">
        <f>IF(BC$4=0,0,IF(COUNTIFS(実績!$W$6:$W$505,BC$3,実績!$AC$6:$AC$505,"&lt;="&amp;$A278,実績!$AD$6:$AD$505,"&gt;"&amp;$A278,実績!$AE$6:$AE$505,"○")&gt;0,1,0))</f>
        <v/>
      </c>
      <c r="BD278">
        <f>IF(BD$4=0,0,IF(COUNTIFS(実績!$W$6:$W$505,BD$3,実績!$AC$6:$AC$505,"&lt;="&amp;$A278,実績!$AD$6:$AD$505,"&gt;"&amp;$A278,実績!$AE$6:$AE$505,"○")&gt;0,1,0))</f>
        <v/>
      </c>
      <c r="BE278">
        <f>IF(BE$4=0,0,IF(COUNTIFS(実績!$W$6:$W$505,BE$3,実績!$AC$6:$AC$505,"&lt;="&amp;$A278,実績!$AD$6:$AD$505,"&gt;"&amp;$A278,実績!$AE$6:$AE$505,"○")&gt;0,1,0))</f>
        <v/>
      </c>
      <c r="BF278">
        <f>IF(BF$4=0,0,IF(COUNTIFS(実績!$W$6:$W$505,BF$3,実績!$AC$6:$AC$505,"&lt;="&amp;$A278,実績!$AD$6:$AD$505,"&gt;"&amp;$A278,実績!$AE$6:$AE$505,"○")&gt;0,1,0))</f>
        <v/>
      </c>
      <c r="BG278">
        <f>IF(BG$4=0,0,IF(COUNTIFS(実績!$W$6:$W$505,BG$3,実績!$AC$6:$AC$505,"&lt;="&amp;$A278,実績!$AD$6:$AD$505,"&gt;"&amp;$A278,実績!$AE$6:$AE$505,"○")&gt;0,1,0))</f>
        <v/>
      </c>
      <c r="BH278">
        <f>IF(BH$4=0,0,IF(COUNTIFS(実績!$W$6:$W$505,BH$3,実績!$AC$6:$AC$505,"&lt;="&amp;$A278,実績!$AD$6:$AD$505,"&gt;"&amp;$A278,実績!$AE$6:$AE$505,"○")&gt;0,1,0))</f>
        <v/>
      </c>
      <c r="BI278">
        <f>IF(BI$4=0,0,IF(COUNTIFS(実績!$W$6:$W$505,BI$3,実績!$AC$6:$AC$505,"&lt;="&amp;$A278,実績!$AD$6:$AD$505,"&gt;"&amp;$A278,実績!$AE$6:$AE$505,"○")&gt;0,1,0))</f>
        <v/>
      </c>
      <c r="BJ278">
        <f>IF(BJ$4=0,0,IF(COUNTIFS(実績!$W$6:$W$505,BJ$3,実績!$AC$6:$AC$505,"&lt;="&amp;$A278,実績!$AD$6:$AD$505,"&gt;"&amp;$A278,実績!$AE$6:$AE$505,"○")&gt;0,1,0))</f>
        <v/>
      </c>
      <c r="BK278">
        <f>IF(BK$4=0,0,IF(COUNTIFS(実績!$W$6:$W$505,BK$3,実績!$AC$6:$AC$505,"&lt;="&amp;$A278,実績!$AD$6:$AD$505,"&gt;"&amp;$A278,実績!$AE$6:$AE$505,"○")&gt;0,1,0))</f>
        <v/>
      </c>
      <c r="BL278">
        <f>IF(BL$4=0,0,IF(COUNTIFS(実績!$W$6:$W$505,BL$3,実績!$AC$6:$AC$505,"&lt;="&amp;$A278,実績!$AD$6:$AD$505,"&gt;"&amp;$A278,実績!$AE$6:$AE$505,"○")&gt;0,1,0))</f>
        <v/>
      </c>
      <c r="BM278">
        <f>IF(BM$4=0,0,IF(COUNTIFS(実績!$W$6:$W$505,BM$3,実績!$AC$6:$AC$505,"&lt;="&amp;$A278,実績!$AD$6:$AD$505,"&gt;"&amp;$A278,実績!$AE$6:$AE$505,"○")&gt;0,1,0))</f>
        <v/>
      </c>
      <c r="BN278">
        <f>IF(BN$4=0,0,IF(COUNTIFS(実績!$W$6:$W$505,BN$3,実績!$AC$6:$AC$505,"&lt;="&amp;$A278,実績!$AD$6:$AD$505,"&gt;"&amp;$A278,実績!$AE$6:$AE$505,"○")&gt;0,1,0))</f>
        <v/>
      </c>
      <c r="BO278">
        <f>IF(BO$4=0,0,IF(COUNTIFS(実績!$W$6:$W$505,BO$3,実績!$AC$6:$AC$505,"&lt;="&amp;$A278,実績!$AD$6:$AD$505,"&gt;"&amp;$A278,実績!$AE$6:$AE$505,"○")&gt;0,1,0))</f>
        <v/>
      </c>
      <c r="BP278">
        <f>IF(BP$4=0,0,IF(COUNTIFS(実績!$W$6:$W$505,BP$3,実績!$AC$6:$AC$505,"&lt;="&amp;$A278,実績!$AD$6:$AD$505,"&gt;"&amp;$A278,実績!$AE$6:$AE$505,"○")&gt;0,1,0))</f>
        <v/>
      </c>
      <c r="BQ278">
        <f>IF(BQ$4=0,0,IF(COUNTIFS(実績!$W$6:$W$505,BQ$3,実績!$AC$6:$AC$505,"&lt;="&amp;$A278,実績!$AD$6:$AD$505,"&gt;"&amp;$A278,実績!$AE$6:$AE$505,"○")&gt;0,1,0))</f>
        <v/>
      </c>
      <c r="BR278">
        <f>IF(BR$4=0,0,IF(COUNTIFS(実績!$W$6:$W$505,BR$3,実績!$AC$6:$AC$505,"&lt;="&amp;$A278,実績!$AD$6:$AD$505,"&gt;"&amp;$A278,実績!$AE$6:$AE$505,"○")&gt;0,1,0))</f>
        <v/>
      </c>
      <c r="BS278">
        <f>IF(BS$4=0,0,IF(COUNTIFS(実績!$W$6:$W$505,BS$3,実績!$AC$6:$AC$505,"&lt;="&amp;$A278,実績!$AD$6:$AD$505,"&gt;"&amp;$A278,実績!$AE$6:$AE$505,"○")&gt;0,1,0))</f>
        <v/>
      </c>
      <c r="BT278">
        <f>IF(BT$4=0,0,IF(COUNTIFS(実績!$W$6:$W$505,BT$3,実績!$AC$6:$AC$505,"&lt;="&amp;$A278,実績!$AD$6:$AD$505,"&gt;"&amp;$A278,実績!$AE$6:$AE$505,"○")&gt;0,1,0))</f>
        <v/>
      </c>
      <c r="BU278">
        <f>IF(BU$4=0,0,IF(COUNTIFS(実績!$W$6:$W$505,BU$3,実績!$AC$6:$AC$505,"&lt;="&amp;$A278,実績!$AD$6:$AD$505,"&gt;"&amp;$A278,実績!$AE$6:$AE$505,"○")&gt;0,1,0))</f>
        <v/>
      </c>
      <c r="BV278">
        <f>IF(BV$4=0,0,IF(COUNTIFS(実績!$W$6:$W$505,BV$3,実績!$AC$6:$AC$505,"&lt;="&amp;$A278,実績!$AD$6:$AD$505,"&gt;"&amp;$A278,実績!$AE$6:$AE$505,"○")&gt;0,1,0))</f>
        <v/>
      </c>
      <c r="BW278">
        <f>IF(BW$4=0,0,IF(COUNTIFS(実績!$W$6:$W$505,BW$3,実績!$AC$6:$AC$505,"&lt;="&amp;$A278,実績!$AD$6:$AD$505,"&gt;"&amp;$A278,実績!$AE$6:$AE$505,"○")&gt;0,1,0))</f>
        <v/>
      </c>
      <c r="BX278">
        <f>IF(BX$4=0,0,IF(COUNTIFS(実績!$W$6:$W$505,BX$3,実績!$AC$6:$AC$505,"&lt;="&amp;$A278,実績!$AD$6:$AD$505,"&gt;"&amp;$A278,実績!$AE$6:$AE$505,"○")&gt;0,1,0))</f>
        <v/>
      </c>
      <c r="BY278">
        <f>IF(BY$4=0,0,IF(COUNTIFS(実績!$W$6:$W$505,BY$3,実績!$AC$6:$AC$505,"&lt;="&amp;$A278,実績!$AD$6:$AD$505,"&gt;"&amp;$A278,実績!$AE$6:$AE$505,"○")&gt;0,1,0))</f>
        <v/>
      </c>
      <c r="BZ278">
        <f>IF(BZ$4=0,0,IF(COUNTIFS(実績!$W$6:$W$505,BZ$3,実績!$AC$6:$AC$505,"&lt;="&amp;$A278,実績!$AD$6:$AD$505,"&gt;"&amp;$A278,実績!$AE$6:$AE$505,"○")&gt;0,1,0))</f>
        <v/>
      </c>
      <c r="CA278">
        <f>IF(CA$4=0,0,IF(COUNTIFS(実績!$W$6:$W$505,CA$3,実績!$AC$6:$AC$505,"&lt;="&amp;$A278,実績!$AD$6:$AD$505,"&gt;"&amp;$A278,実績!$AE$6:$AE$505,"○")&gt;0,1,0))</f>
        <v/>
      </c>
      <c r="CB278">
        <f>IF(CB$4=0,0,IF(COUNTIFS(実績!$W$6:$W$505,CB$3,実績!$AC$6:$AC$505,"&lt;="&amp;$A278,実績!$AD$6:$AD$505,"&gt;"&amp;$A278,実績!$AE$6:$AE$505,"○")&gt;0,1,0))</f>
        <v/>
      </c>
      <c r="CC278">
        <f>IF(CC$4=0,0,IF(COUNTIFS(実績!$W$6:$W$505,CC$3,実績!$AC$6:$AC$505,"&lt;="&amp;$A278,実績!$AD$6:$AD$505,"&gt;"&amp;$A278,実績!$AE$6:$AE$505,"○")&gt;0,1,0))</f>
        <v/>
      </c>
      <c r="CD278">
        <f>IF(CD$4=0,0,IF(COUNTIFS(実績!$W$6:$W$505,CD$3,実績!$AC$6:$AC$505,"&lt;="&amp;$A278,実績!$AD$6:$AD$505,"&gt;"&amp;$A278,実績!$AE$6:$AE$505,"○")&gt;0,1,0))</f>
        <v/>
      </c>
      <c r="CE278">
        <f>IF(CE$4=0,0,IF(COUNTIFS(実績!$W$6:$W$505,CE$3,実績!$AC$6:$AC$505,"&lt;="&amp;$A278,実績!$AD$6:$AD$505,"&gt;"&amp;$A278,実績!$AE$6:$AE$505,"○")&gt;0,1,0))</f>
        <v/>
      </c>
      <c r="CF278">
        <f>IF(CF$4=0,0,IF(COUNTIFS(実績!$W$6:$W$505,CF$3,実績!$AC$6:$AC$505,"&lt;="&amp;$A278,実績!$AD$6:$AD$505,"&gt;"&amp;$A278,実績!$AE$6:$AE$505,"○")&gt;0,1,0))</f>
        <v/>
      </c>
      <c r="CG278">
        <f>IF(CG$4=0,0,IF(COUNTIFS(実績!$W$6:$W$505,CG$3,実績!$AC$6:$AC$505,"&lt;="&amp;$A278,実績!$AD$6:$AD$505,"&gt;"&amp;$A278,実績!$AE$6:$AE$505,"○")&gt;0,1,0))</f>
        <v/>
      </c>
      <c r="CH278">
        <f>IF(CH$4=0,0,IF(COUNTIFS(実績!$W$6:$W$505,CH$3,実績!$AC$6:$AC$505,"&lt;="&amp;$A278,実績!$AD$6:$AD$505,"&gt;"&amp;$A278,実績!$AE$6:$AE$505,"○")&gt;0,1,0))</f>
        <v/>
      </c>
      <c r="CI278">
        <f>IF(CI$4=0,0,IF(COUNTIFS(実績!$W$6:$W$505,CI$3,実績!$AC$6:$AC$505,"&lt;="&amp;$A278,実績!$AD$6:$AD$505,"&gt;"&amp;$A278,実績!$AE$6:$AE$505,"○")&gt;0,1,0))</f>
        <v/>
      </c>
      <c r="CJ278">
        <f>IF(CJ$4=0,0,IF(COUNTIFS(実績!$W$6:$W$505,CJ$3,実績!$AC$6:$AC$505,"&lt;="&amp;$A278,実績!$AD$6:$AD$505,"&gt;"&amp;$A278,実績!$AE$6:$AE$505,"○")&gt;0,1,0))</f>
        <v/>
      </c>
      <c r="CK278">
        <f>IF(CK$4=0,0,IF(COUNTIFS(実績!$W$6:$W$505,CK$3,実績!$AC$6:$AC$505,"&lt;="&amp;$A278,実績!$AD$6:$AD$505,"&gt;"&amp;$A278,実績!$AE$6:$AE$505,"○")&gt;0,1,0))</f>
        <v/>
      </c>
      <c r="CL278">
        <f>IF(CL$4=0,0,IF(COUNTIFS(実績!$W$6:$W$505,CL$3,実績!$AC$6:$AC$505,"&lt;="&amp;$A278,実績!$AD$6:$AD$505,"&gt;"&amp;$A278,実績!$AE$6:$AE$505,"○")&gt;0,1,0))</f>
        <v/>
      </c>
      <c r="CM278">
        <f>IF(CM$4=0,0,IF(COUNTIFS(実績!$W$6:$W$505,CM$3,実績!$AC$6:$AC$505,"&lt;="&amp;$A278,実績!$AD$6:$AD$505,"&gt;"&amp;$A278,実績!$AE$6:$AE$505,"○")&gt;0,1,0))</f>
        <v/>
      </c>
      <c r="CN278">
        <f>IF(CN$4=0,0,IF(COUNTIFS(実績!$W$6:$W$505,CN$3,実績!$AC$6:$AC$505,"&lt;="&amp;$A278,実績!$AD$6:$AD$505,"&gt;"&amp;$A278,実績!$AE$6:$AE$505,"○")&gt;0,1,0))</f>
        <v/>
      </c>
      <c r="CO278">
        <f>IF(CO$4=0,0,IF(COUNTIFS(実績!$W$6:$W$505,CO$3,実績!$AC$6:$AC$505,"&lt;="&amp;$A278,実績!$AD$6:$AD$505,"&gt;"&amp;$A278,実績!$AE$6:$AE$505,"○")&gt;0,1,0))</f>
        <v/>
      </c>
      <c r="CP278">
        <f>IF(CP$4=0,0,IF(COUNTIFS(実績!$W$6:$W$505,CP$3,実績!$AC$6:$AC$505,"&lt;="&amp;$A278,実績!$AD$6:$AD$505,"&gt;"&amp;$A278,実績!$AE$6:$AE$505,"○")&gt;0,1,0))</f>
        <v/>
      </c>
      <c r="CQ278">
        <f>IF(CQ$4=0,0,IF(COUNTIFS(実績!$W$6:$W$505,CQ$3,実績!$AC$6:$AC$505,"&lt;="&amp;$A278,実績!$AD$6:$AD$505,"&gt;"&amp;$A278,実績!$AE$6:$AE$505,"○")&gt;0,1,0))</f>
        <v/>
      </c>
      <c r="CR278">
        <f>IF(CR$4=0,0,IF(COUNTIFS(実績!$W$6:$W$505,CR$3,実績!$AC$6:$AC$505,"&lt;="&amp;$A278,実績!$AD$6:$AD$505,"&gt;"&amp;$A278,実績!$AE$6:$AE$505,"○")&gt;0,1,0))</f>
        <v/>
      </c>
      <c r="CS278">
        <f>IF(CS$4=0,0,IF(COUNTIFS(実績!$W$6:$W$505,CS$3,実績!$AC$6:$AC$505,"&lt;="&amp;$A278,実績!$AD$6:$AD$505,"&gt;"&amp;$A278,実績!$AE$6:$AE$505,"○")&gt;0,1,0))</f>
        <v/>
      </c>
      <c r="CT278">
        <f>IF(CT$4=0,0,IF(COUNTIFS(実績!$W$6:$W$505,CT$3,実績!$AC$6:$AC$505,"&lt;="&amp;$A278,実績!$AD$6:$AD$505,"&gt;"&amp;$A278,実績!$AE$6:$AE$505,"○")&gt;0,1,0))</f>
        <v/>
      </c>
      <c r="CU278">
        <f>IF(CU$4=0,0,IF(COUNTIFS(実績!$W$6:$W$505,CU$3,実績!$AC$6:$AC$505,"&lt;="&amp;$A278,実績!$AD$6:$AD$505,"&gt;"&amp;$A278,実績!$AE$6:$AE$505,"○")&gt;0,1,0))</f>
        <v/>
      </c>
      <c r="CV278">
        <f>IF(CV$4=0,0,IF(COUNTIFS(実績!$W$6:$W$505,CV$3,実績!$AC$6:$AC$505,"&lt;="&amp;$A278,実績!$AD$6:$AD$505,"&gt;"&amp;$A278,実績!$AE$6:$AE$505,"○")&gt;0,1,0))</f>
        <v/>
      </c>
      <c r="CW278">
        <f>IF(CW$4=0,0,IF(COUNTIFS(実績!$W$6:$W$505,CW$3,実績!$AC$6:$AC$505,"&lt;="&amp;$A278,実績!$AD$6:$AD$505,"&gt;"&amp;$A278,実績!$AE$6:$AE$505,"○")&gt;0,1,0))</f>
        <v/>
      </c>
      <c r="CX278">
        <f>IF(CX$4=0,0,IF(COUNTIFS(実績!$W$6:$W$505,CX$3,実績!$AC$6:$AC$505,"&lt;="&amp;$A278,実績!$AD$6:$AD$505,"&gt;"&amp;$A278,実績!$AE$6:$AE$505,"○")&gt;0,1,0))</f>
        <v/>
      </c>
      <c r="CY278">
        <f>IF(CY$4=0,0,IF(COUNTIFS(実績!$W$6:$W$505,CY$3,実績!$AC$6:$AC$505,"&lt;="&amp;$A278,実績!$AD$6:$AD$505,"&gt;"&amp;$A278,実績!$AE$6:$AE$505,"○")&gt;0,1,0))</f>
        <v/>
      </c>
      <c r="CZ278">
        <f>IF(CZ$4=0,0,IF(COUNTIFS(実績!$W$6:$W$505,CZ$3,実績!$AC$6:$AC$505,"&lt;="&amp;$A278,実績!$AD$6:$AD$505,"&gt;"&amp;$A278,実績!$AE$6:$AE$505,"○")&gt;0,1,0))</f>
        <v/>
      </c>
      <c r="DA278">
        <f>IF(DA$4=0,0,IF(COUNTIFS(実績!$W$6:$W$505,DA$3,実績!$AC$6:$AC$505,"&lt;="&amp;$A278,実績!$AD$6:$AD$505,"&gt;"&amp;$A278,実績!$AE$6:$AE$505,"○")&gt;0,1,0))</f>
        <v/>
      </c>
      <c r="DB278">
        <f>IF(DB$4=0,0,IF(COUNTIFS(実績!$W$6:$W$505,DB$3,実績!$AC$6:$AC$505,"&lt;="&amp;$A278,実績!$AD$6:$AD$505,"&gt;"&amp;$A278,実績!$AE$6:$AE$505,"○")&gt;0,1,0))</f>
        <v/>
      </c>
      <c r="DC278">
        <f>IF(DC$4=0,0,IF(COUNTIFS(実績!$W$6:$W$505,DC$3,実績!$AC$6:$AC$505,"&lt;="&amp;$A278,実績!$AD$6:$AD$505,"&gt;"&amp;$A278,実績!$AE$6:$AE$505,"○")&gt;0,1,0))</f>
        <v/>
      </c>
      <c r="DD278">
        <f>IF(DD$4=0,0,IF(COUNTIFS(実績!$W$6:$W$505,DD$3,実績!$AC$6:$AC$505,"&lt;="&amp;$A278,実績!$AD$6:$AD$505,"&gt;"&amp;$A278,実績!$AE$6:$AE$505,"○")&gt;0,1,0))</f>
        <v/>
      </c>
      <c r="DE278">
        <f>IF(DE$4=0,0,IF(COUNTIFS(実績!$W$6:$W$505,DE$3,実績!$AC$6:$AC$505,"&lt;="&amp;$A278,実績!$AD$6:$AD$505,"&gt;"&amp;$A278,実績!$AE$6:$AE$505,"○")&gt;0,1,0))</f>
        <v/>
      </c>
      <c r="DF278">
        <f>IF(DF$4=0,0,IF(COUNTIFS(実績!$W$6:$W$505,DF$3,実績!$AC$6:$AC$505,"&lt;="&amp;$A278,実績!$AD$6:$AD$505,"&gt;"&amp;$A278,実績!$AE$6:$AE$505,"○")&gt;0,1,0))</f>
        <v/>
      </c>
      <c r="DG278">
        <f>IF(DG$4=0,0,IF(COUNTIFS(実績!$W$6:$W$505,DG$3,実績!$AC$6:$AC$505,"&lt;="&amp;$A278,実績!$AD$6:$AD$505,"&gt;"&amp;$A278,実績!$AE$6:$AE$505,"○")&gt;0,1,0))</f>
        <v/>
      </c>
      <c r="DH278">
        <f>IF(DH$4=0,0,IF(COUNTIFS(実績!$W$6:$W$505,DH$3,実績!$AC$6:$AC$505,"&lt;="&amp;$A278,実績!$AD$6:$AD$505,"&gt;"&amp;$A278,実績!$AE$6:$AE$505,"○")&gt;0,1,0))</f>
        <v/>
      </c>
      <c r="DI278">
        <f>IF(DI$4=0,0,IF(COUNTIFS(実績!$W$6:$W$505,DI$3,実績!$AC$6:$AC$505,"&lt;="&amp;$A278,実績!$AD$6:$AD$505,"&gt;"&amp;$A278,実績!$AE$6:$AE$505,"○")&gt;0,1,0))</f>
        <v/>
      </c>
      <c r="DJ278">
        <f>IF(DJ$4=0,0,IF(COUNTIFS(実績!$W$6:$W$505,DJ$3,実績!$AC$6:$AC$505,"&lt;="&amp;$A278,実績!$AD$6:$AD$505,"&gt;"&amp;$A278,実績!$AE$6:$AE$505,"○")&gt;0,1,0))</f>
        <v/>
      </c>
      <c r="DK278">
        <f>IF(DK$4=0,0,IF(COUNTIFS(実績!$W$6:$W$505,DK$3,実績!$AC$6:$AC$505,"&lt;="&amp;$A278,実績!$AD$6:$AD$505,"&gt;"&amp;$A278,実績!$AE$6:$AE$505,"○")&gt;0,1,0))</f>
        <v/>
      </c>
      <c r="DL278">
        <f>IF(DL$4=0,0,IF(COUNTIFS(実績!$W$6:$W$505,DL$3,実績!$AC$6:$AC$505,"&lt;="&amp;$A278,実績!$AD$6:$AD$505,"&gt;"&amp;$A278,実績!$AE$6:$AE$505,"○")&gt;0,1,0))</f>
        <v/>
      </c>
      <c r="DM278">
        <f>IF(DM$4=0,0,IF(COUNTIFS(実績!$W$6:$W$505,DM$3,実績!$AC$6:$AC$505,"&lt;="&amp;$A278,実績!$AD$6:$AD$505,"&gt;"&amp;$A278,実績!$AE$6:$AE$505,"○")&gt;0,1,0))</f>
        <v/>
      </c>
      <c r="DN278">
        <f>IF(DN$4=0,0,IF(COUNTIFS(実績!$W$6:$W$505,DN$3,実績!$AC$6:$AC$505,"&lt;="&amp;$A278,実績!$AD$6:$AD$505,"&gt;"&amp;$A278,実績!$AE$6:$AE$505,"○")&gt;0,1,0))</f>
        <v/>
      </c>
      <c r="DO278">
        <f>IF(DO$4=0,0,IF(COUNTIFS(実績!$W$6:$W$505,DO$3,実績!$AC$6:$AC$505,"&lt;="&amp;$A278,実績!$AD$6:$AD$505,"&gt;"&amp;$A278,実績!$AE$6:$AE$505,"○")&gt;0,1,0))</f>
        <v/>
      </c>
      <c r="DP278">
        <f>IF(DP$4=0,0,IF(COUNTIFS(実績!$W$6:$W$505,DP$3,実績!$AC$6:$AC$505,"&lt;="&amp;$A278,実績!$AD$6:$AD$505,"&gt;"&amp;$A278,実績!$AE$6:$AE$505,"○")&gt;0,1,0))</f>
        <v/>
      </c>
      <c r="DQ278">
        <f>IF(DQ$4=0,0,IF(COUNTIFS(実績!$W$6:$W$505,DQ$3,実績!$AC$6:$AC$505,"&lt;="&amp;$A278,実績!$AD$6:$AD$505,"&gt;"&amp;$A278,実績!$AE$6:$AE$505,"○")&gt;0,1,0))</f>
        <v/>
      </c>
      <c r="DR278">
        <f>IF(DR$4=0,0,IF(COUNTIFS(実績!$W$6:$W$505,DR$3,実績!$AC$6:$AC$505,"&lt;="&amp;$A278,実績!$AD$6:$AD$505,"&gt;"&amp;$A278,実績!$AE$6:$AE$505,"○")&gt;0,1,0))</f>
        <v/>
      </c>
      <c r="DS278">
        <f>SUM(C278:DR278)</f>
        <v/>
      </c>
      <c r="DT278">
        <f>SUMPRODUCT((実績!$C$6:$C$505="○")*ISNUMBER(実績!$AF$6:$AF$505)*(実績!$AF$6:$AF$505&lt;=$A278)*(実績!$AG$6:$AG$505&gt;$A278))</f>
        <v/>
      </c>
      <c r="DU278">
        <f>SUMIF($C$2:$DR$2,"製鉄曳船",C278:DR278)</f>
        <v/>
      </c>
      <c r="DV278">
        <f>SUMIF($C$2:$DR$2,"西日本海運",C278:DR278)</f>
        <v/>
      </c>
    </row>
    <row r="279">
      <c r="A279" t="n">
        <v>1365</v>
      </c>
      <c r="B279" s="29">
        <f>A279/1440</f>
        <v/>
      </c>
      <c r="C279">
        <f>IF(C$4=0,0,IF(COUNTIFS(実績!$W$6:$W$505,C$3,実績!$AC$6:$AC$505,"&lt;="&amp;$A279,実績!$AD$6:$AD$505,"&gt;"&amp;$A279,実績!$AE$6:$AE$505,"○")&gt;0,1,0))</f>
        <v/>
      </c>
      <c r="D279">
        <f>IF(D$4=0,0,IF(COUNTIFS(実績!$W$6:$W$505,D$3,実績!$AC$6:$AC$505,"&lt;="&amp;$A279,実績!$AD$6:$AD$505,"&gt;"&amp;$A279,実績!$AE$6:$AE$505,"○")&gt;0,1,0))</f>
        <v/>
      </c>
      <c r="E279">
        <f>IF(E$4=0,0,IF(COUNTIFS(実績!$W$6:$W$505,E$3,実績!$AC$6:$AC$505,"&lt;="&amp;$A279,実績!$AD$6:$AD$505,"&gt;"&amp;$A279,実績!$AE$6:$AE$505,"○")&gt;0,1,0))</f>
        <v/>
      </c>
      <c r="F279">
        <f>IF(F$4=0,0,IF(COUNTIFS(実績!$W$6:$W$505,F$3,実績!$AC$6:$AC$505,"&lt;="&amp;$A279,実績!$AD$6:$AD$505,"&gt;"&amp;$A279,実績!$AE$6:$AE$505,"○")&gt;0,1,0))</f>
        <v/>
      </c>
      <c r="G279">
        <f>IF(G$4=0,0,IF(COUNTIFS(実績!$W$6:$W$505,G$3,実績!$AC$6:$AC$505,"&lt;="&amp;$A279,実績!$AD$6:$AD$505,"&gt;"&amp;$A279,実績!$AE$6:$AE$505,"○")&gt;0,1,0))</f>
        <v/>
      </c>
      <c r="H279">
        <f>IF(H$4=0,0,IF(COUNTIFS(実績!$W$6:$W$505,H$3,実績!$AC$6:$AC$505,"&lt;="&amp;$A279,実績!$AD$6:$AD$505,"&gt;"&amp;$A279,実績!$AE$6:$AE$505,"○")&gt;0,1,0))</f>
        <v/>
      </c>
      <c r="I279">
        <f>IF(I$4=0,0,IF(COUNTIFS(実績!$W$6:$W$505,I$3,実績!$AC$6:$AC$505,"&lt;="&amp;$A279,実績!$AD$6:$AD$505,"&gt;"&amp;$A279,実績!$AE$6:$AE$505,"○")&gt;0,1,0))</f>
        <v/>
      </c>
      <c r="J279">
        <f>IF(J$4=0,0,IF(COUNTIFS(実績!$W$6:$W$505,J$3,実績!$AC$6:$AC$505,"&lt;="&amp;$A279,実績!$AD$6:$AD$505,"&gt;"&amp;$A279,実績!$AE$6:$AE$505,"○")&gt;0,1,0))</f>
        <v/>
      </c>
      <c r="K279">
        <f>IF(K$4=0,0,IF(COUNTIFS(実績!$W$6:$W$505,K$3,実績!$AC$6:$AC$505,"&lt;="&amp;$A279,実績!$AD$6:$AD$505,"&gt;"&amp;$A279,実績!$AE$6:$AE$505,"○")&gt;0,1,0))</f>
        <v/>
      </c>
      <c r="L279">
        <f>IF(L$4=0,0,IF(COUNTIFS(実績!$W$6:$W$505,L$3,実績!$AC$6:$AC$505,"&lt;="&amp;$A279,実績!$AD$6:$AD$505,"&gt;"&amp;$A279,実績!$AE$6:$AE$505,"○")&gt;0,1,0))</f>
        <v/>
      </c>
      <c r="M279">
        <f>IF(M$4=0,0,IF(COUNTIFS(実績!$W$6:$W$505,M$3,実績!$AC$6:$AC$505,"&lt;="&amp;$A279,実績!$AD$6:$AD$505,"&gt;"&amp;$A279,実績!$AE$6:$AE$505,"○")&gt;0,1,0))</f>
        <v/>
      </c>
      <c r="N279">
        <f>IF(N$4=0,0,IF(COUNTIFS(実績!$W$6:$W$505,N$3,実績!$AC$6:$AC$505,"&lt;="&amp;$A279,実績!$AD$6:$AD$505,"&gt;"&amp;$A279,実績!$AE$6:$AE$505,"○")&gt;0,1,0))</f>
        <v/>
      </c>
      <c r="O279">
        <f>IF(O$4=0,0,IF(COUNTIFS(実績!$W$6:$W$505,O$3,実績!$AC$6:$AC$505,"&lt;="&amp;$A279,実績!$AD$6:$AD$505,"&gt;"&amp;$A279,実績!$AE$6:$AE$505,"○")&gt;0,1,0))</f>
        <v/>
      </c>
      <c r="P279">
        <f>IF(P$4=0,0,IF(COUNTIFS(実績!$W$6:$W$505,P$3,実績!$AC$6:$AC$505,"&lt;="&amp;$A279,実績!$AD$6:$AD$505,"&gt;"&amp;$A279,実績!$AE$6:$AE$505,"○")&gt;0,1,0))</f>
        <v/>
      </c>
      <c r="Q279">
        <f>IF(Q$4=0,0,IF(COUNTIFS(実績!$W$6:$W$505,Q$3,実績!$AC$6:$AC$505,"&lt;="&amp;$A279,実績!$AD$6:$AD$505,"&gt;"&amp;$A279,実績!$AE$6:$AE$505,"○")&gt;0,1,0))</f>
        <v/>
      </c>
      <c r="R279">
        <f>IF(R$4=0,0,IF(COUNTIFS(実績!$W$6:$W$505,R$3,実績!$AC$6:$AC$505,"&lt;="&amp;$A279,実績!$AD$6:$AD$505,"&gt;"&amp;$A279,実績!$AE$6:$AE$505,"○")&gt;0,1,0))</f>
        <v/>
      </c>
      <c r="S279">
        <f>IF(S$4=0,0,IF(COUNTIFS(実績!$W$6:$W$505,S$3,実績!$AC$6:$AC$505,"&lt;="&amp;$A279,実績!$AD$6:$AD$505,"&gt;"&amp;$A279,実績!$AE$6:$AE$505,"○")&gt;0,1,0))</f>
        <v/>
      </c>
      <c r="T279">
        <f>IF(T$4=0,0,IF(COUNTIFS(実績!$W$6:$W$505,T$3,実績!$AC$6:$AC$505,"&lt;="&amp;$A279,実績!$AD$6:$AD$505,"&gt;"&amp;$A279,実績!$AE$6:$AE$505,"○")&gt;0,1,0))</f>
        <v/>
      </c>
      <c r="U279">
        <f>IF(U$4=0,0,IF(COUNTIFS(実績!$W$6:$W$505,U$3,実績!$AC$6:$AC$505,"&lt;="&amp;$A279,実績!$AD$6:$AD$505,"&gt;"&amp;$A279,実績!$AE$6:$AE$505,"○")&gt;0,1,0))</f>
        <v/>
      </c>
      <c r="V279">
        <f>IF(V$4=0,0,IF(COUNTIFS(実績!$W$6:$W$505,V$3,実績!$AC$6:$AC$505,"&lt;="&amp;$A279,実績!$AD$6:$AD$505,"&gt;"&amp;$A279,実績!$AE$6:$AE$505,"○")&gt;0,1,0))</f>
        <v/>
      </c>
      <c r="W279">
        <f>IF(W$4=0,0,IF(COUNTIFS(実績!$W$6:$W$505,W$3,実績!$AC$6:$AC$505,"&lt;="&amp;$A279,実績!$AD$6:$AD$505,"&gt;"&amp;$A279,実績!$AE$6:$AE$505,"○")&gt;0,1,0))</f>
        <v/>
      </c>
      <c r="X279">
        <f>IF(X$4=0,0,IF(COUNTIFS(実績!$W$6:$W$505,X$3,実績!$AC$6:$AC$505,"&lt;="&amp;$A279,実績!$AD$6:$AD$505,"&gt;"&amp;$A279,実績!$AE$6:$AE$505,"○")&gt;0,1,0))</f>
        <v/>
      </c>
      <c r="Y279">
        <f>IF(Y$4=0,0,IF(COUNTIFS(実績!$W$6:$W$505,Y$3,実績!$AC$6:$AC$505,"&lt;="&amp;$A279,実績!$AD$6:$AD$505,"&gt;"&amp;$A279,実績!$AE$6:$AE$505,"○")&gt;0,1,0))</f>
        <v/>
      </c>
      <c r="Z279">
        <f>IF(Z$4=0,0,IF(COUNTIFS(実績!$W$6:$W$505,Z$3,実績!$AC$6:$AC$505,"&lt;="&amp;$A279,実績!$AD$6:$AD$505,"&gt;"&amp;$A279,実績!$AE$6:$AE$505,"○")&gt;0,1,0))</f>
        <v/>
      </c>
      <c r="AA279">
        <f>IF(AA$4=0,0,IF(COUNTIFS(実績!$W$6:$W$505,AA$3,実績!$AC$6:$AC$505,"&lt;="&amp;$A279,実績!$AD$6:$AD$505,"&gt;"&amp;$A279,実績!$AE$6:$AE$505,"○")&gt;0,1,0))</f>
        <v/>
      </c>
      <c r="AB279">
        <f>IF(AB$4=0,0,IF(COUNTIFS(実績!$W$6:$W$505,AB$3,実績!$AC$6:$AC$505,"&lt;="&amp;$A279,実績!$AD$6:$AD$505,"&gt;"&amp;$A279,実績!$AE$6:$AE$505,"○")&gt;0,1,0))</f>
        <v/>
      </c>
      <c r="AC279">
        <f>IF(AC$4=0,0,IF(COUNTIFS(実績!$W$6:$W$505,AC$3,実績!$AC$6:$AC$505,"&lt;="&amp;$A279,実績!$AD$6:$AD$505,"&gt;"&amp;$A279,実績!$AE$6:$AE$505,"○")&gt;0,1,0))</f>
        <v/>
      </c>
      <c r="AD279">
        <f>IF(AD$4=0,0,IF(COUNTIFS(実績!$W$6:$W$505,AD$3,実績!$AC$6:$AC$505,"&lt;="&amp;$A279,実績!$AD$6:$AD$505,"&gt;"&amp;$A279,実績!$AE$6:$AE$505,"○")&gt;0,1,0))</f>
        <v/>
      </c>
      <c r="AE279">
        <f>IF(AE$4=0,0,IF(COUNTIFS(実績!$W$6:$W$505,AE$3,実績!$AC$6:$AC$505,"&lt;="&amp;$A279,実績!$AD$6:$AD$505,"&gt;"&amp;$A279,実績!$AE$6:$AE$505,"○")&gt;0,1,0))</f>
        <v/>
      </c>
      <c r="AF279">
        <f>IF(AF$4=0,0,IF(COUNTIFS(実績!$W$6:$W$505,AF$3,実績!$AC$6:$AC$505,"&lt;="&amp;$A279,実績!$AD$6:$AD$505,"&gt;"&amp;$A279,実績!$AE$6:$AE$505,"○")&gt;0,1,0))</f>
        <v/>
      </c>
      <c r="AG279">
        <f>IF(AG$4=0,0,IF(COUNTIFS(実績!$W$6:$W$505,AG$3,実績!$AC$6:$AC$505,"&lt;="&amp;$A279,実績!$AD$6:$AD$505,"&gt;"&amp;$A279,実績!$AE$6:$AE$505,"○")&gt;0,1,0))</f>
        <v/>
      </c>
      <c r="AH279">
        <f>IF(AH$4=0,0,IF(COUNTIFS(実績!$W$6:$W$505,AH$3,実績!$AC$6:$AC$505,"&lt;="&amp;$A279,実績!$AD$6:$AD$505,"&gt;"&amp;$A279,実績!$AE$6:$AE$505,"○")&gt;0,1,0))</f>
        <v/>
      </c>
      <c r="AI279">
        <f>IF(AI$4=0,0,IF(COUNTIFS(実績!$W$6:$W$505,AI$3,実績!$AC$6:$AC$505,"&lt;="&amp;$A279,実績!$AD$6:$AD$505,"&gt;"&amp;$A279,実績!$AE$6:$AE$505,"○")&gt;0,1,0))</f>
        <v/>
      </c>
      <c r="AJ279">
        <f>IF(AJ$4=0,0,IF(COUNTIFS(実績!$W$6:$W$505,AJ$3,実績!$AC$6:$AC$505,"&lt;="&amp;$A279,実績!$AD$6:$AD$505,"&gt;"&amp;$A279,実績!$AE$6:$AE$505,"○")&gt;0,1,0))</f>
        <v/>
      </c>
      <c r="AK279">
        <f>IF(AK$4=0,0,IF(COUNTIFS(実績!$W$6:$W$505,AK$3,実績!$AC$6:$AC$505,"&lt;="&amp;$A279,実績!$AD$6:$AD$505,"&gt;"&amp;$A279,実績!$AE$6:$AE$505,"○")&gt;0,1,0))</f>
        <v/>
      </c>
      <c r="AL279">
        <f>IF(AL$4=0,0,IF(COUNTIFS(実績!$W$6:$W$505,AL$3,実績!$AC$6:$AC$505,"&lt;="&amp;$A279,実績!$AD$6:$AD$505,"&gt;"&amp;$A279,実績!$AE$6:$AE$505,"○")&gt;0,1,0))</f>
        <v/>
      </c>
      <c r="AM279">
        <f>IF(AM$4=0,0,IF(COUNTIFS(実績!$W$6:$W$505,AM$3,実績!$AC$6:$AC$505,"&lt;="&amp;$A279,実績!$AD$6:$AD$505,"&gt;"&amp;$A279,実績!$AE$6:$AE$505,"○")&gt;0,1,0))</f>
        <v/>
      </c>
      <c r="AN279">
        <f>IF(AN$4=0,0,IF(COUNTIFS(実績!$W$6:$W$505,AN$3,実績!$AC$6:$AC$505,"&lt;="&amp;$A279,実績!$AD$6:$AD$505,"&gt;"&amp;$A279,実績!$AE$6:$AE$505,"○")&gt;0,1,0))</f>
        <v/>
      </c>
      <c r="AO279">
        <f>IF(AO$4=0,0,IF(COUNTIFS(実績!$W$6:$W$505,AO$3,実績!$AC$6:$AC$505,"&lt;="&amp;$A279,実績!$AD$6:$AD$505,"&gt;"&amp;$A279,実績!$AE$6:$AE$505,"○")&gt;0,1,0))</f>
        <v/>
      </c>
      <c r="AP279">
        <f>IF(AP$4=0,0,IF(COUNTIFS(実績!$W$6:$W$505,AP$3,実績!$AC$6:$AC$505,"&lt;="&amp;$A279,実績!$AD$6:$AD$505,"&gt;"&amp;$A279,実績!$AE$6:$AE$505,"○")&gt;0,1,0))</f>
        <v/>
      </c>
      <c r="AQ279">
        <f>IF(AQ$4=0,0,IF(COUNTIFS(実績!$W$6:$W$505,AQ$3,実績!$AC$6:$AC$505,"&lt;="&amp;$A279,実績!$AD$6:$AD$505,"&gt;"&amp;$A279,実績!$AE$6:$AE$505,"○")&gt;0,1,0))</f>
        <v/>
      </c>
      <c r="AR279">
        <f>IF(AR$4=0,0,IF(COUNTIFS(実績!$W$6:$W$505,AR$3,実績!$AC$6:$AC$505,"&lt;="&amp;$A279,実績!$AD$6:$AD$505,"&gt;"&amp;$A279,実績!$AE$6:$AE$505,"○")&gt;0,1,0))</f>
        <v/>
      </c>
      <c r="AS279">
        <f>IF(AS$4=0,0,IF(COUNTIFS(実績!$W$6:$W$505,AS$3,実績!$AC$6:$AC$505,"&lt;="&amp;$A279,実績!$AD$6:$AD$505,"&gt;"&amp;$A279,実績!$AE$6:$AE$505,"○")&gt;0,1,0))</f>
        <v/>
      </c>
      <c r="AT279">
        <f>IF(AT$4=0,0,IF(COUNTIFS(実績!$W$6:$W$505,AT$3,実績!$AC$6:$AC$505,"&lt;="&amp;$A279,実績!$AD$6:$AD$505,"&gt;"&amp;$A279,実績!$AE$6:$AE$505,"○")&gt;0,1,0))</f>
        <v/>
      </c>
      <c r="AU279">
        <f>IF(AU$4=0,0,IF(COUNTIFS(実績!$W$6:$W$505,AU$3,実績!$AC$6:$AC$505,"&lt;="&amp;$A279,実績!$AD$6:$AD$505,"&gt;"&amp;$A279,実績!$AE$6:$AE$505,"○")&gt;0,1,0))</f>
        <v/>
      </c>
      <c r="AV279">
        <f>IF(AV$4=0,0,IF(COUNTIFS(実績!$W$6:$W$505,AV$3,実績!$AC$6:$AC$505,"&lt;="&amp;$A279,実績!$AD$6:$AD$505,"&gt;"&amp;$A279,実績!$AE$6:$AE$505,"○")&gt;0,1,0))</f>
        <v/>
      </c>
      <c r="AW279">
        <f>IF(AW$4=0,0,IF(COUNTIFS(実績!$W$6:$W$505,AW$3,実績!$AC$6:$AC$505,"&lt;="&amp;$A279,実績!$AD$6:$AD$505,"&gt;"&amp;$A279,実績!$AE$6:$AE$505,"○")&gt;0,1,0))</f>
        <v/>
      </c>
      <c r="AX279">
        <f>IF(AX$4=0,0,IF(COUNTIFS(実績!$W$6:$W$505,AX$3,実績!$AC$6:$AC$505,"&lt;="&amp;$A279,実績!$AD$6:$AD$505,"&gt;"&amp;$A279,実績!$AE$6:$AE$505,"○")&gt;0,1,0))</f>
        <v/>
      </c>
      <c r="AY279">
        <f>IF(AY$4=0,0,IF(COUNTIFS(実績!$W$6:$W$505,AY$3,実績!$AC$6:$AC$505,"&lt;="&amp;$A279,実績!$AD$6:$AD$505,"&gt;"&amp;$A279,実績!$AE$6:$AE$505,"○")&gt;0,1,0))</f>
        <v/>
      </c>
      <c r="AZ279">
        <f>IF(AZ$4=0,0,IF(COUNTIFS(実績!$W$6:$W$505,AZ$3,実績!$AC$6:$AC$505,"&lt;="&amp;$A279,実績!$AD$6:$AD$505,"&gt;"&amp;$A279,実績!$AE$6:$AE$505,"○")&gt;0,1,0))</f>
        <v/>
      </c>
      <c r="BA279">
        <f>IF(BA$4=0,0,IF(COUNTIFS(実績!$W$6:$W$505,BA$3,実績!$AC$6:$AC$505,"&lt;="&amp;$A279,実績!$AD$6:$AD$505,"&gt;"&amp;$A279,実績!$AE$6:$AE$505,"○")&gt;0,1,0))</f>
        <v/>
      </c>
      <c r="BB279">
        <f>IF(BB$4=0,0,IF(COUNTIFS(実績!$W$6:$W$505,BB$3,実績!$AC$6:$AC$505,"&lt;="&amp;$A279,実績!$AD$6:$AD$505,"&gt;"&amp;$A279,実績!$AE$6:$AE$505,"○")&gt;0,1,0))</f>
        <v/>
      </c>
      <c r="BC279">
        <f>IF(BC$4=0,0,IF(COUNTIFS(実績!$W$6:$W$505,BC$3,実績!$AC$6:$AC$505,"&lt;="&amp;$A279,実績!$AD$6:$AD$505,"&gt;"&amp;$A279,実績!$AE$6:$AE$505,"○")&gt;0,1,0))</f>
        <v/>
      </c>
      <c r="BD279">
        <f>IF(BD$4=0,0,IF(COUNTIFS(実績!$W$6:$W$505,BD$3,実績!$AC$6:$AC$505,"&lt;="&amp;$A279,実績!$AD$6:$AD$505,"&gt;"&amp;$A279,実績!$AE$6:$AE$505,"○")&gt;0,1,0))</f>
        <v/>
      </c>
      <c r="BE279">
        <f>IF(BE$4=0,0,IF(COUNTIFS(実績!$W$6:$W$505,BE$3,実績!$AC$6:$AC$505,"&lt;="&amp;$A279,実績!$AD$6:$AD$505,"&gt;"&amp;$A279,実績!$AE$6:$AE$505,"○")&gt;0,1,0))</f>
        <v/>
      </c>
      <c r="BF279">
        <f>IF(BF$4=0,0,IF(COUNTIFS(実績!$W$6:$W$505,BF$3,実績!$AC$6:$AC$505,"&lt;="&amp;$A279,実績!$AD$6:$AD$505,"&gt;"&amp;$A279,実績!$AE$6:$AE$505,"○")&gt;0,1,0))</f>
        <v/>
      </c>
      <c r="BG279">
        <f>IF(BG$4=0,0,IF(COUNTIFS(実績!$W$6:$W$505,BG$3,実績!$AC$6:$AC$505,"&lt;="&amp;$A279,実績!$AD$6:$AD$505,"&gt;"&amp;$A279,実績!$AE$6:$AE$505,"○")&gt;0,1,0))</f>
        <v/>
      </c>
      <c r="BH279">
        <f>IF(BH$4=0,0,IF(COUNTIFS(実績!$W$6:$W$505,BH$3,実績!$AC$6:$AC$505,"&lt;="&amp;$A279,実績!$AD$6:$AD$505,"&gt;"&amp;$A279,実績!$AE$6:$AE$505,"○")&gt;0,1,0))</f>
        <v/>
      </c>
      <c r="BI279">
        <f>IF(BI$4=0,0,IF(COUNTIFS(実績!$W$6:$W$505,BI$3,実績!$AC$6:$AC$505,"&lt;="&amp;$A279,実績!$AD$6:$AD$505,"&gt;"&amp;$A279,実績!$AE$6:$AE$505,"○")&gt;0,1,0))</f>
        <v/>
      </c>
      <c r="BJ279">
        <f>IF(BJ$4=0,0,IF(COUNTIFS(実績!$W$6:$W$505,BJ$3,実績!$AC$6:$AC$505,"&lt;="&amp;$A279,実績!$AD$6:$AD$505,"&gt;"&amp;$A279,実績!$AE$6:$AE$505,"○")&gt;0,1,0))</f>
        <v/>
      </c>
      <c r="BK279">
        <f>IF(BK$4=0,0,IF(COUNTIFS(実績!$W$6:$W$505,BK$3,実績!$AC$6:$AC$505,"&lt;="&amp;$A279,実績!$AD$6:$AD$505,"&gt;"&amp;$A279,実績!$AE$6:$AE$505,"○")&gt;0,1,0))</f>
        <v/>
      </c>
      <c r="BL279">
        <f>IF(BL$4=0,0,IF(COUNTIFS(実績!$W$6:$W$505,BL$3,実績!$AC$6:$AC$505,"&lt;="&amp;$A279,実績!$AD$6:$AD$505,"&gt;"&amp;$A279,実績!$AE$6:$AE$505,"○")&gt;0,1,0))</f>
        <v/>
      </c>
      <c r="BM279">
        <f>IF(BM$4=0,0,IF(COUNTIFS(実績!$W$6:$W$505,BM$3,実績!$AC$6:$AC$505,"&lt;="&amp;$A279,実績!$AD$6:$AD$505,"&gt;"&amp;$A279,実績!$AE$6:$AE$505,"○")&gt;0,1,0))</f>
        <v/>
      </c>
      <c r="BN279">
        <f>IF(BN$4=0,0,IF(COUNTIFS(実績!$W$6:$W$505,BN$3,実績!$AC$6:$AC$505,"&lt;="&amp;$A279,実績!$AD$6:$AD$505,"&gt;"&amp;$A279,実績!$AE$6:$AE$505,"○")&gt;0,1,0))</f>
        <v/>
      </c>
      <c r="BO279">
        <f>IF(BO$4=0,0,IF(COUNTIFS(実績!$W$6:$W$505,BO$3,実績!$AC$6:$AC$505,"&lt;="&amp;$A279,実績!$AD$6:$AD$505,"&gt;"&amp;$A279,実績!$AE$6:$AE$505,"○")&gt;0,1,0))</f>
        <v/>
      </c>
      <c r="BP279">
        <f>IF(BP$4=0,0,IF(COUNTIFS(実績!$W$6:$W$505,BP$3,実績!$AC$6:$AC$505,"&lt;="&amp;$A279,実績!$AD$6:$AD$505,"&gt;"&amp;$A279,実績!$AE$6:$AE$505,"○")&gt;0,1,0))</f>
        <v/>
      </c>
      <c r="BQ279">
        <f>IF(BQ$4=0,0,IF(COUNTIFS(実績!$W$6:$W$505,BQ$3,実績!$AC$6:$AC$505,"&lt;="&amp;$A279,実績!$AD$6:$AD$505,"&gt;"&amp;$A279,実績!$AE$6:$AE$505,"○")&gt;0,1,0))</f>
        <v/>
      </c>
      <c r="BR279">
        <f>IF(BR$4=0,0,IF(COUNTIFS(実績!$W$6:$W$505,BR$3,実績!$AC$6:$AC$505,"&lt;="&amp;$A279,実績!$AD$6:$AD$505,"&gt;"&amp;$A279,実績!$AE$6:$AE$505,"○")&gt;0,1,0))</f>
        <v/>
      </c>
      <c r="BS279">
        <f>IF(BS$4=0,0,IF(COUNTIFS(実績!$W$6:$W$505,BS$3,実績!$AC$6:$AC$505,"&lt;="&amp;$A279,実績!$AD$6:$AD$505,"&gt;"&amp;$A279,実績!$AE$6:$AE$505,"○")&gt;0,1,0))</f>
        <v/>
      </c>
      <c r="BT279">
        <f>IF(BT$4=0,0,IF(COUNTIFS(実績!$W$6:$W$505,BT$3,実績!$AC$6:$AC$505,"&lt;="&amp;$A279,実績!$AD$6:$AD$505,"&gt;"&amp;$A279,実績!$AE$6:$AE$505,"○")&gt;0,1,0))</f>
        <v/>
      </c>
      <c r="BU279">
        <f>IF(BU$4=0,0,IF(COUNTIFS(実績!$W$6:$W$505,BU$3,実績!$AC$6:$AC$505,"&lt;="&amp;$A279,実績!$AD$6:$AD$505,"&gt;"&amp;$A279,実績!$AE$6:$AE$505,"○")&gt;0,1,0))</f>
        <v/>
      </c>
      <c r="BV279">
        <f>IF(BV$4=0,0,IF(COUNTIFS(実績!$W$6:$W$505,BV$3,実績!$AC$6:$AC$505,"&lt;="&amp;$A279,実績!$AD$6:$AD$505,"&gt;"&amp;$A279,実績!$AE$6:$AE$505,"○")&gt;0,1,0))</f>
        <v/>
      </c>
      <c r="BW279">
        <f>IF(BW$4=0,0,IF(COUNTIFS(実績!$W$6:$W$505,BW$3,実績!$AC$6:$AC$505,"&lt;="&amp;$A279,実績!$AD$6:$AD$505,"&gt;"&amp;$A279,実績!$AE$6:$AE$505,"○")&gt;0,1,0))</f>
        <v/>
      </c>
      <c r="BX279">
        <f>IF(BX$4=0,0,IF(COUNTIFS(実績!$W$6:$W$505,BX$3,実績!$AC$6:$AC$505,"&lt;="&amp;$A279,実績!$AD$6:$AD$505,"&gt;"&amp;$A279,実績!$AE$6:$AE$505,"○")&gt;0,1,0))</f>
        <v/>
      </c>
      <c r="BY279">
        <f>IF(BY$4=0,0,IF(COUNTIFS(実績!$W$6:$W$505,BY$3,実績!$AC$6:$AC$505,"&lt;="&amp;$A279,実績!$AD$6:$AD$505,"&gt;"&amp;$A279,実績!$AE$6:$AE$505,"○")&gt;0,1,0))</f>
        <v/>
      </c>
      <c r="BZ279">
        <f>IF(BZ$4=0,0,IF(COUNTIFS(実績!$W$6:$W$505,BZ$3,実績!$AC$6:$AC$505,"&lt;="&amp;$A279,実績!$AD$6:$AD$505,"&gt;"&amp;$A279,実績!$AE$6:$AE$505,"○")&gt;0,1,0))</f>
        <v/>
      </c>
      <c r="CA279">
        <f>IF(CA$4=0,0,IF(COUNTIFS(実績!$W$6:$W$505,CA$3,実績!$AC$6:$AC$505,"&lt;="&amp;$A279,実績!$AD$6:$AD$505,"&gt;"&amp;$A279,実績!$AE$6:$AE$505,"○")&gt;0,1,0))</f>
        <v/>
      </c>
      <c r="CB279">
        <f>IF(CB$4=0,0,IF(COUNTIFS(実績!$W$6:$W$505,CB$3,実績!$AC$6:$AC$505,"&lt;="&amp;$A279,実績!$AD$6:$AD$505,"&gt;"&amp;$A279,実績!$AE$6:$AE$505,"○")&gt;0,1,0))</f>
        <v/>
      </c>
      <c r="CC279">
        <f>IF(CC$4=0,0,IF(COUNTIFS(実績!$W$6:$W$505,CC$3,実績!$AC$6:$AC$505,"&lt;="&amp;$A279,実績!$AD$6:$AD$505,"&gt;"&amp;$A279,実績!$AE$6:$AE$505,"○")&gt;0,1,0))</f>
        <v/>
      </c>
      <c r="CD279">
        <f>IF(CD$4=0,0,IF(COUNTIFS(実績!$W$6:$W$505,CD$3,実績!$AC$6:$AC$505,"&lt;="&amp;$A279,実績!$AD$6:$AD$505,"&gt;"&amp;$A279,実績!$AE$6:$AE$505,"○")&gt;0,1,0))</f>
        <v/>
      </c>
      <c r="CE279">
        <f>IF(CE$4=0,0,IF(COUNTIFS(実績!$W$6:$W$505,CE$3,実績!$AC$6:$AC$505,"&lt;="&amp;$A279,実績!$AD$6:$AD$505,"&gt;"&amp;$A279,実績!$AE$6:$AE$505,"○")&gt;0,1,0))</f>
        <v/>
      </c>
      <c r="CF279">
        <f>IF(CF$4=0,0,IF(COUNTIFS(実績!$W$6:$W$505,CF$3,実績!$AC$6:$AC$505,"&lt;="&amp;$A279,実績!$AD$6:$AD$505,"&gt;"&amp;$A279,実績!$AE$6:$AE$505,"○")&gt;0,1,0))</f>
        <v/>
      </c>
      <c r="CG279">
        <f>IF(CG$4=0,0,IF(COUNTIFS(実績!$W$6:$W$505,CG$3,実績!$AC$6:$AC$505,"&lt;="&amp;$A279,実績!$AD$6:$AD$505,"&gt;"&amp;$A279,実績!$AE$6:$AE$505,"○")&gt;0,1,0))</f>
        <v/>
      </c>
      <c r="CH279">
        <f>IF(CH$4=0,0,IF(COUNTIFS(実績!$W$6:$W$505,CH$3,実績!$AC$6:$AC$505,"&lt;="&amp;$A279,実績!$AD$6:$AD$505,"&gt;"&amp;$A279,実績!$AE$6:$AE$505,"○")&gt;0,1,0))</f>
        <v/>
      </c>
      <c r="CI279">
        <f>IF(CI$4=0,0,IF(COUNTIFS(実績!$W$6:$W$505,CI$3,実績!$AC$6:$AC$505,"&lt;="&amp;$A279,実績!$AD$6:$AD$505,"&gt;"&amp;$A279,実績!$AE$6:$AE$505,"○")&gt;0,1,0))</f>
        <v/>
      </c>
      <c r="CJ279">
        <f>IF(CJ$4=0,0,IF(COUNTIFS(実績!$W$6:$W$505,CJ$3,実績!$AC$6:$AC$505,"&lt;="&amp;$A279,実績!$AD$6:$AD$505,"&gt;"&amp;$A279,実績!$AE$6:$AE$505,"○")&gt;0,1,0))</f>
        <v/>
      </c>
      <c r="CK279">
        <f>IF(CK$4=0,0,IF(COUNTIFS(実績!$W$6:$W$505,CK$3,実績!$AC$6:$AC$505,"&lt;="&amp;$A279,実績!$AD$6:$AD$505,"&gt;"&amp;$A279,実績!$AE$6:$AE$505,"○")&gt;0,1,0))</f>
        <v/>
      </c>
      <c r="CL279">
        <f>IF(CL$4=0,0,IF(COUNTIFS(実績!$W$6:$W$505,CL$3,実績!$AC$6:$AC$505,"&lt;="&amp;$A279,実績!$AD$6:$AD$505,"&gt;"&amp;$A279,実績!$AE$6:$AE$505,"○")&gt;0,1,0))</f>
        <v/>
      </c>
      <c r="CM279">
        <f>IF(CM$4=0,0,IF(COUNTIFS(実績!$W$6:$W$505,CM$3,実績!$AC$6:$AC$505,"&lt;="&amp;$A279,実績!$AD$6:$AD$505,"&gt;"&amp;$A279,実績!$AE$6:$AE$505,"○")&gt;0,1,0))</f>
        <v/>
      </c>
      <c r="CN279">
        <f>IF(CN$4=0,0,IF(COUNTIFS(実績!$W$6:$W$505,CN$3,実績!$AC$6:$AC$505,"&lt;="&amp;$A279,実績!$AD$6:$AD$505,"&gt;"&amp;$A279,実績!$AE$6:$AE$505,"○")&gt;0,1,0))</f>
        <v/>
      </c>
      <c r="CO279">
        <f>IF(CO$4=0,0,IF(COUNTIFS(実績!$W$6:$W$505,CO$3,実績!$AC$6:$AC$505,"&lt;="&amp;$A279,実績!$AD$6:$AD$505,"&gt;"&amp;$A279,実績!$AE$6:$AE$505,"○")&gt;0,1,0))</f>
        <v/>
      </c>
      <c r="CP279">
        <f>IF(CP$4=0,0,IF(COUNTIFS(実績!$W$6:$W$505,CP$3,実績!$AC$6:$AC$505,"&lt;="&amp;$A279,実績!$AD$6:$AD$505,"&gt;"&amp;$A279,実績!$AE$6:$AE$505,"○")&gt;0,1,0))</f>
        <v/>
      </c>
      <c r="CQ279">
        <f>IF(CQ$4=0,0,IF(COUNTIFS(実績!$W$6:$W$505,CQ$3,実績!$AC$6:$AC$505,"&lt;="&amp;$A279,実績!$AD$6:$AD$505,"&gt;"&amp;$A279,実績!$AE$6:$AE$505,"○")&gt;0,1,0))</f>
        <v/>
      </c>
      <c r="CR279">
        <f>IF(CR$4=0,0,IF(COUNTIFS(実績!$W$6:$W$505,CR$3,実績!$AC$6:$AC$505,"&lt;="&amp;$A279,実績!$AD$6:$AD$505,"&gt;"&amp;$A279,実績!$AE$6:$AE$505,"○")&gt;0,1,0))</f>
        <v/>
      </c>
      <c r="CS279">
        <f>IF(CS$4=0,0,IF(COUNTIFS(実績!$W$6:$W$505,CS$3,実績!$AC$6:$AC$505,"&lt;="&amp;$A279,実績!$AD$6:$AD$505,"&gt;"&amp;$A279,実績!$AE$6:$AE$505,"○")&gt;0,1,0))</f>
        <v/>
      </c>
      <c r="CT279">
        <f>IF(CT$4=0,0,IF(COUNTIFS(実績!$W$6:$W$505,CT$3,実績!$AC$6:$AC$505,"&lt;="&amp;$A279,実績!$AD$6:$AD$505,"&gt;"&amp;$A279,実績!$AE$6:$AE$505,"○")&gt;0,1,0))</f>
        <v/>
      </c>
      <c r="CU279">
        <f>IF(CU$4=0,0,IF(COUNTIFS(実績!$W$6:$W$505,CU$3,実績!$AC$6:$AC$505,"&lt;="&amp;$A279,実績!$AD$6:$AD$505,"&gt;"&amp;$A279,実績!$AE$6:$AE$505,"○")&gt;0,1,0))</f>
        <v/>
      </c>
      <c r="CV279">
        <f>IF(CV$4=0,0,IF(COUNTIFS(実績!$W$6:$W$505,CV$3,実績!$AC$6:$AC$505,"&lt;="&amp;$A279,実績!$AD$6:$AD$505,"&gt;"&amp;$A279,実績!$AE$6:$AE$505,"○")&gt;0,1,0))</f>
        <v/>
      </c>
      <c r="CW279">
        <f>IF(CW$4=0,0,IF(COUNTIFS(実績!$W$6:$W$505,CW$3,実績!$AC$6:$AC$505,"&lt;="&amp;$A279,実績!$AD$6:$AD$505,"&gt;"&amp;$A279,実績!$AE$6:$AE$505,"○")&gt;0,1,0))</f>
        <v/>
      </c>
      <c r="CX279">
        <f>IF(CX$4=0,0,IF(COUNTIFS(実績!$W$6:$W$505,CX$3,実績!$AC$6:$AC$505,"&lt;="&amp;$A279,実績!$AD$6:$AD$505,"&gt;"&amp;$A279,実績!$AE$6:$AE$505,"○")&gt;0,1,0))</f>
        <v/>
      </c>
      <c r="CY279">
        <f>IF(CY$4=0,0,IF(COUNTIFS(実績!$W$6:$W$505,CY$3,実績!$AC$6:$AC$505,"&lt;="&amp;$A279,実績!$AD$6:$AD$505,"&gt;"&amp;$A279,実績!$AE$6:$AE$505,"○")&gt;0,1,0))</f>
        <v/>
      </c>
      <c r="CZ279">
        <f>IF(CZ$4=0,0,IF(COUNTIFS(実績!$W$6:$W$505,CZ$3,実績!$AC$6:$AC$505,"&lt;="&amp;$A279,実績!$AD$6:$AD$505,"&gt;"&amp;$A279,実績!$AE$6:$AE$505,"○")&gt;0,1,0))</f>
        <v/>
      </c>
      <c r="DA279">
        <f>IF(DA$4=0,0,IF(COUNTIFS(実績!$W$6:$W$505,DA$3,実績!$AC$6:$AC$505,"&lt;="&amp;$A279,実績!$AD$6:$AD$505,"&gt;"&amp;$A279,実績!$AE$6:$AE$505,"○")&gt;0,1,0))</f>
        <v/>
      </c>
      <c r="DB279">
        <f>IF(DB$4=0,0,IF(COUNTIFS(実績!$W$6:$W$505,DB$3,実績!$AC$6:$AC$505,"&lt;="&amp;$A279,実績!$AD$6:$AD$505,"&gt;"&amp;$A279,実績!$AE$6:$AE$505,"○")&gt;0,1,0))</f>
        <v/>
      </c>
      <c r="DC279">
        <f>IF(DC$4=0,0,IF(COUNTIFS(実績!$W$6:$W$505,DC$3,実績!$AC$6:$AC$505,"&lt;="&amp;$A279,実績!$AD$6:$AD$505,"&gt;"&amp;$A279,実績!$AE$6:$AE$505,"○")&gt;0,1,0))</f>
        <v/>
      </c>
      <c r="DD279">
        <f>IF(DD$4=0,0,IF(COUNTIFS(実績!$W$6:$W$505,DD$3,実績!$AC$6:$AC$505,"&lt;="&amp;$A279,実績!$AD$6:$AD$505,"&gt;"&amp;$A279,実績!$AE$6:$AE$505,"○")&gt;0,1,0))</f>
        <v/>
      </c>
      <c r="DE279">
        <f>IF(DE$4=0,0,IF(COUNTIFS(実績!$W$6:$W$505,DE$3,実績!$AC$6:$AC$505,"&lt;="&amp;$A279,実績!$AD$6:$AD$505,"&gt;"&amp;$A279,実績!$AE$6:$AE$505,"○")&gt;0,1,0))</f>
        <v/>
      </c>
      <c r="DF279">
        <f>IF(DF$4=0,0,IF(COUNTIFS(実績!$W$6:$W$505,DF$3,実績!$AC$6:$AC$505,"&lt;="&amp;$A279,実績!$AD$6:$AD$505,"&gt;"&amp;$A279,実績!$AE$6:$AE$505,"○")&gt;0,1,0))</f>
        <v/>
      </c>
      <c r="DG279">
        <f>IF(DG$4=0,0,IF(COUNTIFS(実績!$W$6:$W$505,DG$3,実績!$AC$6:$AC$505,"&lt;="&amp;$A279,実績!$AD$6:$AD$505,"&gt;"&amp;$A279,実績!$AE$6:$AE$505,"○")&gt;0,1,0))</f>
        <v/>
      </c>
      <c r="DH279">
        <f>IF(DH$4=0,0,IF(COUNTIFS(実績!$W$6:$W$505,DH$3,実績!$AC$6:$AC$505,"&lt;="&amp;$A279,実績!$AD$6:$AD$505,"&gt;"&amp;$A279,実績!$AE$6:$AE$505,"○")&gt;0,1,0))</f>
        <v/>
      </c>
      <c r="DI279">
        <f>IF(DI$4=0,0,IF(COUNTIFS(実績!$W$6:$W$505,DI$3,実績!$AC$6:$AC$505,"&lt;="&amp;$A279,実績!$AD$6:$AD$505,"&gt;"&amp;$A279,実績!$AE$6:$AE$505,"○")&gt;0,1,0))</f>
        <v/>
      </c>
      <c r="DJ279">
        <f>IF(DJ$4=0,0,IF(COUNTIFS(実績!$W$6:$W$505,DJ$3,実績!$AC$6:$AC$505,"&lt;="&amp;$A279,実績!$AD$6:$AD$505,"&gt;"&amp;$A279,実績!$AE$6:$AE$505,"○")&gt;0,1,0))</f>
        <v/>
      </c>
      <c r="DK279">
        <f>IF(DK$4=0,0,IF(COUNTIFS(実績!$W$6:$W$505,DK$3,実績!$AC$6:$AC$505,"&lt;="&amp;$A279,実績!$AD$6:$AD$505,"&gt;"&amp;$A279,実績!$AE$6:$AE$505,"○")&gt;0,1,0))</f>
        <v/>
      </c>
      <c r="DL279">
        <f>IF(DL$4=0,0,IF(COUNTIFS(実績!$W$6:$W$505,DL$3,実績!$AC$6:$AC$505,"&lt;="&amp;$A279,実績!$AD$6:$AD$505,"&gt;"&amp;$A279,実績!$AE$6:$AE$505,"○")&gt;0,1,0))</f>
        <v/>
      </c>
      <c r="DM279">
        <f>IF(DM$4=0,0,IF(COUNTIFS(実績!$W$6:$W$505,DM$3,実績!$AC$6:$AC$505,"&lt;="&amp;$A279,実績!$AD$6:$AD$505,"&gt;"&amp;$A279,実績!$AE$6:$AE$505,"○")&gt;0,1,0))</f>
        <v/>
      </c>
      <c r="DN279">
        <f>IF(DN$4=0,0,IF(COUNTIFS(実績!$W$6:$W$505,DN$3,実績!$AC$6:$AC$505,"&lt;="&amp;$A279,実績!$AD$6:$AD$505,"&gt;"&amp;$A279,実績!$AE$6:$AE$505,"○")&gt;0,1,0))</f>
        <v/>
      </c>
      <c r="DO279">
        <f>IF(DO$4=0,0,IF(COUNTIFS(実績!$W$6:$W$505,DO$3,実績!$AC$6:$AC$505,"&lt;="&amp;$A279,実績!$AD$6:$AD$505,"&gt;"&amp;$A279,実績!$AE$6:$AE$505,"○")&gt;0,1,0))</f>
        <v/>
      </c>
      <c r="DP279">
        <f>IF(DP$4=0,0,IF(COUNTIFS(実績!$W$6:$W$505,DP$3,実績!$AC$6:$AC$505,"&lt;="&amp;$A279,実績!$AD$6:$AD$505,"&gt;"&amp;$A279,実績!$AE$6:$AE$505,"○")&gt;0,1,0))</f>
        <v/>
      </c>
      <c r="DQ279">
        <f>IF(DQ$4=0,0,IF(COUNTIFS(実績!$W$6:$W$505,DQ$3,実績!$AC$6:$AC$505,"&lt;="&amp;$A279,実績!$AD$6:$AD$505,"&gt;"&amp;$A279,実績!$AE$6:$AE$505,"○")&gt;0,1,0))</f>
        <v/>
      </c>
      <c r="DR279">
        <f>IF(DR$4=0,0,IF(COUNTIFS(実績!$W$6:$W$505,DR$3,実績!$AC$6:$AC$505,"&lt;="&amp;$A279,実績!$AD$6:$AD$505,"&gt;"&amp;$A279,実績!$AE$6:$AE$505,"○")&gt;0,1,0))</f>
        <v/>
      </c>
      <c r="DS279">
        <f>SUM(C279:DR279)</f>
        <v/>
      </c>
      <c r="DT279">
        <f>SUMPRODUCT((実績!$C$6:$C$505="○")*ISNUMBER(実績!$AF$6:$AF$505)*(実績!$AF$6:$AF$505&lt;=$A279)*(実績!$AG$6:$AG$505&gt;$A279))</f>
        <v/>
      </c>
      <c r="DU279">
        <f>SUMIF($C$2:$DR$2,"製鉄曳船",C279:DR279)</f>
        <v/>
      </c>
      <c r="DV279">
        <f>SUMIF($C$2:$DR$2,"西日本海運",C279:DR279)</f>
        <v/>
      </c>
    </row>
    <row r="280">
      <c r="A280" t="n">
        <v>1370</v>
      </c>
      <c r="B280" s="29">
        <f>A280/1440</f>
        <v/>
      </c>
      <c r="C280">
        <f>IF(C$4=0,0,IF(COUNTIFS(実績!$W$6:$W$505,C$3,実績!$AC$6:$AC$505,"&lt;="&amp;$A280,実績!$AD$6:$AD$505,"&gt;"&amp;$A280,実績!$AE$6:$AE$505,"○")&gt;0,1,0))</f>
        <v/>
      </c>
      <c r="D280">
        <f>IF(D$4=0,0,IF(COUNTIFS(実績!$W$6:$W$505,D$3,実績!$AC$6:$AC$505,"&lt;="&amp;$A280,実績!$AD$6:$AD$505,"&gt;"&amp;$A280,実績!$AE$6:$AE$505,"○")&gt;0,1,0))</f>
        <v/>
      </c>
      <c r="E280">
        <f>IF(E$4=0,0,IF(COUNTIFS(実績!$W$6:$W$505,E$3,実績!$AC$6:$AC$505,"&lt;="&amp;$A280,実績!$AD$6:$AD$505,"&gt;"&amp;$A280,実績!$AE$6:$AE$505,"○")&gt;0,1,0))</f>
        <v/>
      </c>
      <c r="F280">
        <f>IF(F$4=0,0,IF(COUNTIFS(実績!$W$6:$W$505,F$3,実績!$AC$6:$AC$505,"&lt;="&amp;$A280,実績!$AD$6:$AD$505,"&gt;"&amp;$A280,実績!$AE$6:$AE$505,"○")&gt;0,1,0))</f>
        <v/>
      </c>
      <c r="G280">
        <f>IF(G$4=0,0,IF(COUNTIFS(実績!$W$6:$W$505,G$3,実績!$AC$6:$AC$505,"&lt;="&amp;$A280,実績!$AD$6:$AD$505,"&gt;"&amp;$A280,実績!$AE$6:$AE$505,"○")&gt;0,1,0))</f>
        <v/>
      </c>
      <c r="H280">
        <f>IF(H$4=0,0,IF(COUNTIFS(実績!$W$6:$W$505,H$3,実績!$AC$6:$AC$505,"&lt;="&amp;$A280,実績!$AD$6:$AD$505,"&gt;"&amp;$A280,実績!$AE$6:$AE$505,"○")&gt;0,1,0))</f>
        <v/>
      </c>
      <c r="I280">
        <f>IF(I$4=0,0,IF(COUNTIFS(実績!$W$6:$W$505,I$3,実績!$AC$6:$AC$505,"&lt;="&amp;$A280,実績!$AD$6:$AD$505,"&gt;"&amp;$A280,実績!$AE$6:$AE$505,"○")&gt;0,1,0))</f>
        <v/>
      </c>
      <c r="J280">
        <f>IF(J$4=0,0,IF(COUNTIFS(実績!$W$6:$W$505,J$3,実績!$AC$6:$AC$505,"&lt;="&amp;$A280,実績!$AD$6:$AD$505,"&gt;"&amp;$A280,実績!$AE$6:$AE$505,"○")&gt;0,1,0))</f>
        <v/>
      </c>
      <c r="K280">
        <f>IF(K$4=0,0,IF(COUNTIFS(実績!$W$6:$W$505,K$3,実績!$AC$6:$AC$505,"&lt;="&amp;$A280,実績!$AD$6:$AD$505,"&gt;"&amp;$A280,実績!$AE$6:$AE$505,"○")&gt;0,1,0))</f>
        <v/>
      </c>
      <c r="L280">
        <f>IF(L$4=0,0,IF(COUNTIFS(実績!$W$6:$W$505,L$3,実績!$AC$6:$AC$505,"&lt;="&amp;$A280,実績!$AD$6:$AD$505,"&gt;"&amp;$A280,実績!$AE$6:$AE$505,"○")&gt;0,1,0))</f>
        <v/>
      </c>
      <c r="M280">
        <f>IF(M$4=0,0,IF(COUNTIFS(実績!$W$6:$W$505,M$3,実績!$AC$6:$AC$505,"&lt;="&amp;$A280,実績!$AD$6:$AD$505,"&gt;"&amp;$A280,実績!$AE$6:$AE$505,"○")&gt;0,1,0))</f>
        <v/>
      </c>
      <c r="N280">
        <f>IF(N$4=0,0,IF(COUNTIFS(実績!$W$6:$W$505,N$3,実績!$AC$6:$AC$505,"&lt;="&amp;$A280,実績!$AD$6:$AD$505,"&gt;"&amp;$A280,実績!$AE$6:$AE$505,"○")&gt;0,1,0))</f>
        <v/>
      </c>
      <c r="O280">
        <f>IF(O$4=0,0,IF(COUNTIFS(実績!$W$6:$W$505,O$3,実績!$AC$6:$AC$505,"&lt;="&amp;$A280,実績!$AD$6:$AD$505,"&gt;"&amp;$A280,実績!$AE$6:$AE$505,"○")&gt;0,1,0))</f>
        <v/>
      </c>
      <c r="P280">
        <f>IF(P$4=0,0,IF(COUNTIFS(実績!$W$6:$W$505,P$3,実績!$AC$6:$AC$505,"&lt;="&amp;$A280,実績!$AD$6:$AD$505,"&gt;"&amp;$A280,実績!$AE$6:$AE$505,"○")&gt;0,1,0))</f>
        <v/>
      </c>
      <c r="Q280">
        <f>IF(Q$4=0,0,IF(COUNTIFS(実績!$W$6:$W$505,Q$3,実績!$AC$6:$AC$505,"&lt;="&amp;$A280,実績!$AD$6:$AD$505,"&gt;"&amp;$A280,実績!$AE$6:$AE$505,"○")&gt;0,1,0))</f>
        <v/>
      </c>
      <c r="R280">
        <f>IF(R$4=0,0,IF(COUNTIFS(実績!$W$6:$W$505,R$3,実績!$AC$6:$AC$505,"&lt;="&amp;$A280,実績!$AD$6:$AD$505,"&gt;"&amp;$A280,実績!$AE$6:$AE$505,"○")&gt;0,1,0))</f>
        <v/>
      </c>
      <c r="S280">
        <f>IF(S$4=0,0,IF(COUNTIFS(実績!$W$6:$W$505,S$3,実績!$AC$6:$AC$505,"&lt;="&amp;$A280,実績!$AD$6:$AD$505,"&gt;"&amp;$A280,実績!$AE$6:$AE$505,"○")&gt;0,1,0))</f>
        <v/>
      </c>
      <c r="T280">
        <f>IF(T$4=0,0,IF(COUNTIFS(実績!$W$6:$W$505,T$3,実績!$AC$6:$AC$505,"&lt;="&amp;$A280,実績!$AD$6:$AD$505,"&gt;"&amp;$A280,実績!$AE$6:$AE$505,"○")&gt;0,1,0))</f>
        <v/>
      </c>
      <c r="U280">
        <f>IF(U$4=0,0,IF(COUNTIFS(実績!$W$6:$W$505,U$3,実績!$AC$6:$AC$505,"&lt;="&amp;$A280,実績!$AD$6:$AD$505,"&gt;"&amp;$A280,実績!$AE$6:$AE$505,"○")&gt;0,1,0))</f>
        <v/>
      </c>
      <c r="V280">
        <f>IF(V$4=0,0,IF(COUNTIFS(実績!$W$6:$W$505,V$3,実績!$AC$6:$AC$505,"&lt;="&amp;$A280,実績!$AD$6:$AD$505,"&gt;"&amp;$A280,実績!$AE$6:$AE$505,"○")&gt;0,1,0))</f>
        <v/>
      </c>
      <c r="W280">
        <f>IF(W$4=0,0,IF(COUNTIFS(実績!$W$6:$W$505,W$3,実績!$AC$6:$AC$505,"&lt;="&amp;$A280,実績!$AD$6:$AD$505,"&gt;"&amp;$A280,実績!$AE$6:$AE$505,"○")&gt;0,1,0))</f>
        <v/>
      </c>
      <c r="X280">
        <f>IF(X$4=0,0,IF(COUNTIFS(実績!$W$6:$W$505,X$3,実績!$AC$6:$AC$505,"&lt;="&amp;$A280,実績!$AD$6:$AD$505,"&gt;"&amp;$A280,実績!$AE$6:$AE$505,"○")&gt;0,1,0))</f>
        <v/>
      </c>
      <c r="Y280">
        <f>IF(Y$4=0,0,IF(COUNTIFS(実績!$W$6:$W$505,Y$3,実績!$AC$6:$AC$505,"&lt;="&amp;$A280,実績!$AD$6:$AD$505,"&gt;"&amp;$A280,実績!$AE$6:$AE$505,"○")&gt;0,1,0))</f>
        <v/>
      </c>
      <c r="Z280">
        <f>IF(Z$4=0,0,IF(COUNTIFS(実績!$W$6:$W$505,Z$3,実績!$AC$6:$AC$505,"&lt;="&amp;$A280,実績!$AD$6:$AD$505,"&gt;"&amp;$A280,実績!$AE$6:$AE$505,"○")&gt;0,1,0))</f>
        <v/>
      </c>
      <c r="AA280">
        <f>IF(AA$4=0,0,IF(COUNTIFS(実績!$W$6:$W$505,AA$3,実績!$AC$6:$AC$505,"&lt;="&amp;$A280,実績!$AD$6:$AD$505,"&gt;"&amp;$A280,実績!$AE$6:$AE$505,"○")&gt;0,1,0))</f>
        <v/>
      </c>
      <c r="AB280">
        <f>IF(AB$4=0,0,IF(COUNTIFS(実績!$W$6:$W$505,AB$3,実績!$AC$6:$AC$505,"&lt;="&amp;$A280,実績!$AD$6:$AD$505,"&gt;"&amp;$A280,実績!$AE$6:$AE$505,"○")&gt;0,1,0))</f>
        <v/>
      </c>
      <c r="AC280">
        <f>IF(AC$4=0,0,IF(COUNTIFS(実績!$W$6:$W$505,AC$3,実績!$AC$6:$AC$505,"&lt;="&amp;$A280,実績!$AD$6:$AD$505,"&gt;"&amp;$A280,実績!$AE$6:$AE$505,"○")&gt;0,1,0))</f>
        <v/>
      </c>
      <c r="AD280">
        <f>IF(AD$4=0,0,IF(COUNTIFS(実績!$W$6:$W$505,AD$3,実績!$AC$6:$AC$505,"&lt;="&amp;$A280,実績!$AD$6:$AD$505,"&gt;"&amp;$A280,実績!$AE$6:$AE$505,"○")&gt;0,1,0))</f>
        <v/>
      </c>
      <c r="AE280">
        <f>IF(AE$4=0,0,IF(COUNTIFS(実績!$W$6:$W$505,AE$3,実績!$AC$6:$AC$505,"&lt;="&amp;$A280,実績!$AD$6:$AD$505,"&gt;"&amp;$A280,実績!$AE$6:$AE$505,"○")&gt;0,1,0))</f>
        <v/>
      </c>
      <c r="AF280">
        <f>IF(AF$4=0,0,IF(COUNTIFS(実績!$W$6:$W$505,AF$3,実績!$AC$6:$AC$505,"&lt;="&amp;$A280,実績!$AD$6:$AD$505,"&gt;"&amp;$A280,実績!$AE$6:$AE$505,"○")&gt;0,1,0))</f>
        <v/>
      </c>
      <c r="AG280">
        <f>IF(AG$4=0,0,IF(COUNTIFS(実績!$W$6:$W$505,AG$3,実績!$AC$6:$AC$505,"&lt;="&amp;$A280,実績!$AD$6:$AD$505,"&gt;"&amp;$A280,実績!$AE$6:$AE$505,"○")&gt;0,1,0))</f>
        <v/>
      </c>
      <c r="AH280">
        <f>IF(AH$4=0,0,IF(COUNTIFS(実績!$W$6:$W$505,AH$3,実績!$AC$6:$AC$505,"&lt;="&amp;$A280,実績!$AD$6:$AD$505,"&gt;"&amp;$A280,実績!$AE$6:$AE$505,"○")&gt;0,1,0))</f>
        <v/>
      </c>
      <c r="AI280">
        <f>IF(AI$4=0,0,IF(COUNTIFS(実績!$W$6:$W$505,AI$3,実績!$AC$6:$AC$505,"&lt;="&amp;$A280,実績!$AD$6:$AD$505,"&gt;"&amp;$A280,実績!$AE$6:$AE$505,"○")&gt;0,1,0))</f>
        <v/>
      </c>
      <c r="AJ280">
        <f>IF(AJ$4=0,0,IF(COUNTIFS(実績!$W$6:$W$505,AJ$3,実績!$AC$6:$AC$505,"&lt;="&amp;$A280,実績!$AD$6:$AD$505,"&gt;"&amp;$A280,実績!$AE$6:$AE$505,"○")&gt;0,1,0))</f>
        <v/>
      </c>
      <c r="AK280">
        <f>IF(AK$4=0,0,IF(COUNTIFS(実績!$W$6:$W$505,AK$3,実績!$AC$6:$AC$505,"&lt;="&amp;$A280,実績!$AD$6:$AD$505,"&gt;"&amp;$A280,実績!$AE$6:$AE$505,"○")&gt;0,1,0))</f>
        <v/>
      </c>
      <c r="AL280">
        <f>IF(AL$4=0,0,IF(COUNTIFS(実績!$W$6:$W$505,AL$3,実績!$AC$6:$AC$505,"&lt;="&amp;$A280,実績!$AD$6:$AD$505,"&gt;"&amp;$A280,実績!$AE$6:$AE$505,"○")&gt;0,1,0))</f>
        <v/>
      </c>
      <c r="AM280">
        <f>IF(AM$4=0,0,IF(COUNTIFS(実績!$W$6:$W$505,AM$3,実績!$AC$6:$AC$505,"&lt;="&amp;$A280,実績!$AD$6:$AD$505,"&gt;"&amp;$A280,実績!$AE$6:$AE$505,"○")&gt;0,1,0))</f>
        <v/>
      </c>
      <c r="AN280">
        <f>IF(AN$4=0,0,IF(COUNTIFS(実績!$W$6:$W$505,AN$3,実績!$AC$6:$AC$505,"&lt;="&amp;$A280,実績!$AD$6:$AD$505,"&gt;"&amp;$A280,実績!$AE$6:$AE$505,"○")&gt;0,1,0))</f>
        <v/>
      </c>
      <c r="AO280">
        <f>IF(AO$4=0,0,IF(COUNTIFS(実績!$W$6:$W$505,AO$3,実績!$AC$6:$AC$505,"&lt;="&amp;$A280,実績!$AD$6:$AD$505,"&gt;"&amp;$A280,実績!$AE$6:$AE$505,"○")&gt;0,1,0))</f>
        <v/>
      </c>
      <c r="AP280">
        <f>IF(AP$4=0,0,IF(COUNTIFS(実績!$W$6:$W$505,AP$3,実績!$AC$6:$AC$505,"&lt;="&amp;$A280,実績!$AD$6:$AD$505,"&gt;"&amp;$A280,実績!$AE$6:$AE$505,"○")&gt;0,1,0))</f>
        <v/>
      </c>
      <c r="AQ280">
        <f>IF(AQ$4=0,0,IF(COUNTIFS(実績!$W$6:$W$505,AQ$3,実績!$AC$6:$AC$505,"&lt;="&amp;$A280,実績!$AD$6:$AD$505,"&gt;"&amp;$A280,実績!$AE$6:$AE$505,"○")&gt;0,1,0))</f>
        <v/>
      </c>
      <c r="AR280">
        <f>IF(AR$4=0,0,IF(COUNTIFS(実績!$W$6:$W$505,AR$3,実績!$AC$6:$AC$505,"&lt;="&amp;$A280,実績!$AD$6:$AD$505,"&gt;"&amp;$A280,実績!$AE$6:$AE$505,"○")&gt;0,1,0))</f>
        <v/>
      </c>
      <c r="AS280">
        <f>IF(AS$4=0,0,IF(COUNTIFS(実績!$W$6:$W$505,AS$3,実績!$AC$6:$AC$505,"&lt;="&amp;$A280,実績!$AD$6:$AD$505,"&gt;"&amp;$A280,実績!$AE$6:$AE$505,"○")&gt;0,1,0))</f>
        <v/>
      </c>
      <c r="AT280">
        <f>IF(AT$4=0,0,IF(COUNTIFS(実績!$W$6:$W$505,AT$3,実績!$AC$6:$AC$505,"&lt;="&amp;$A280,実績!$AD$6:$AD$505,"&gt;"&amp;$A280,実績!$AE$6:$AE$505,"○")&gt;0,1,0))</f>
        <v/>
      </c>
      <c r="AU280">
        <f>IF(AU$4=0,0,IF(COUNTIFS(実績!$W$6:$W$505,AU$3,実績!$AC$6:$AC$505,"&lt;="&amp;$A280,実績!$AD$6:$AD$505,"&gt;"&amp;$A280,実績!$AE$6:$AE$505,"○")&gt;0,1,0))</f>
        <v/>
      </c>
      <c r="AV280">
        <f>IF(AV$4=0,0,IF(COUNTIFS(実績!$W$6:$W$505,AV$3,実績!$AC$6:$AC$505,"&lt;="&amp;$A280,実績!$AD$6:$AD$505,"&gt;"&amp;$A280,実績!$AE$6:$AE$505,"○")&gt;0,1,0))</f>
        <v/>
      </c>
      <c r="AW280">
        <f>IF(AW$4=0,0,IF(COUNTIFS(実績!$W$6:$W$505,AW$3,実績!$AC$6:$AC$505,"&lt;="&amp;$A280,実績!$AD$6:$AD$505,"&gt;"&amp;$A280,実績!$AE$6:$AE$505,"○")&gt;0,1,0))</f>
        <v/>
      </c>
      <c r="AX280">
        <f>IF(AX$4=0,0,IF(COUNTIFS(実績!$W$6:$W$505,AX$3,実績!$AC$6:$AC$505,"&lt;="&amp;$A280,実績!$AD$6:$AD$505,"&gt;"&amp;$A280,実績!$AE$6:$AE$505,"○")&gt;0,1,0))</f>
        <v/>
      </c>
      <c r="AY280">
        <f>IF(AY$4=0,0,IF(COUNTIFS(実績!$W$6:$W$505,AY$3,実績!$AC$6:$AC$505,"&lt;="&amp;$A280,実績!$AD$6:$AD$505,"&gt;"&amp;$A280,実績!$AE$6:$AE$505,"○")&gt;0,1,0))</f>
        <v/>
      </c>
      <c r="AZ280">
        <f>IF(AZ$4=0,0,IF(COUNTIFS(実績!$W$6:$W$505,AZ$3,実績!$AC$6:$AC$505,"&lt;="&amp;$A280,実績!$AD$6:$AD$505,"&gt;"&amp;$A280,実績!$AE$6:$AE$505,"○")&gt;0,1,0))</f>
        <v/>
      </c>
      <c r="BA280">
        <f>IF(BA$4=0,0,IF(COUNTIFS(実績!$W$6:$W$505,BA$3,実績!$AC$6:$AC$505,"&lt;="&amp;$A280,実績!$AD$6:$AD$505,"&gt;"&amp;$A280,実績!$AE$6:$AE$505,"○")&gt;0,1,0))</f>
        <v/>
      </c>
      <c r="BB280">
        <f>IF(BB$4=0,0,IF(COUNTIFS(実績!$W$6:$W$505,BB$3,実績!$AC$6:$AC$505,"&lt;="&amp;$A280,実績!$AD$6:$AD$505,"&gt;"&amp;$A280,実績!$AE$6:$AE$505,"○")&gt;0,1,0))</f>
        <v/>
      </c>
      <c r="BC280">
        <f>IF(BC$4=0,0,IF(COUNTIFS(実績!$W$6:$W$505,BC$3,実績!$AC$6:$AC$505,"&lt;="&amp;$A280,実績!$AD$6:$AD$505,"&gt;"&amp;$A280,実績!$AE$6:$AE$505,"○")&gt;0,1,0))</f>
        <v/>
      </c>
      <c r="BD280">
        <f>IF(BD$4=0,0,IF(COUNTIFS(実績!$W$6:$W$505,BD$3,実績!$AC$6:$AC$505,"&lt;="&amp;$A280,実績!$AD$6:$AD$505,"&gt;"&amp;$A280,実績!$AE$6:$AE$505,"○")&gt;0,1,0))</f>
        <v/>
      </c>
      <c r="BE280">
        <f>IF(BE$4=0,0,IF(COUNTIFS(実績!$W$6:$W$505,BE$3,実績!$AC$6:$AC$505,"&lt;="&amp;$A280,実績!$AD$6:$AD$505,"&gt;"&amp;$A280,実績!$AE$6:$AE$505,"○")&gt;0,1,0))</f>
        <v/>
      </c>
      <c r="BF280">
        <f>IF(BF$4=0,0,IF(COUNTIFS(実績!$W$6:$W$505,BF$3,実績!$AC$6:$AC$505,"&lt;="&amp;$A280,実績!$AD$6:$AD$505,"&gt;"&amp;$A280,実績!$AE$6:$AE$505,"○")&gt;0,1,0))</f>
        <v/>
      </c>
      <c r="BG280">
        <f>IF(BG$4=0,0,IF(COUNTIFS(実績!$W$6:$W$505,BG$3,実績!$AC$6:$AC$505,"&lt;="&amp;$A280,実績!$AD$6:$AD$505,"&gt;"&amp;$A280,実績!$AE$6:$AE$505,"○")&gt;0,1,0))</f>
        <v/>
      </c>
      <c r="BH280">
        <f>IF(BH$4=0,0,IF(COUNTIFS(実績!$W$6:$W$505,BH$3,実績!$AC$6:$AC$505,"&lt;="&amp;$A280,実績!$AD$6:$AD$505,"&gt;"&amp;$A280,実績!$AE$6:$AE$505,"○")&gt;0,1,0))</f>
        <v/>
      </c>
      <c r="BI280">
        <f>IF(BI$4=0,0,IF(COUNTIFS(実績!$W$6:$W$505,BI$3,実績!$AC$6:$AC$505,"&lt;="&amp;$A280,実績!$AD$6:$AD$505,"&gt;"&amp;$A280,実績!$AE$6:$AE$505,"○")&gt;0,1,0))</f>
        <v/>
      </c>
      <c r="BJ280">
        <f>IF(BJ$4=0,0,IF(COUNTIFS(実績!$W$6:$W$505,BJ$3,実績!$AC$6:$AC$505,"&lt;="&amp;$A280,実績!$AD$6:$AD$505,"&gt;"&amp;$A280,実績!$AE$6:$AE$505,"○")&gt;0,1,0))</f>
        <v/>
      </c>
      <c r="BK280">
        <f>IF(BK$4=0,0,IF(COUNTIFS(実績!$W$6:$W$505,BK$3,実績!$AC$6:$AC$505,"&lt;="&amp;$A280,実績!$AD$6:$AD$505,"&gt;"&amp;$A280,実績!$AE$6:$AE$505,"○")&gt;0,1,0))</f>
        <v/>
      </c>
      <c r="BL280">
        <f>IF(BL$4=0,0,IF(COUNTIFS(実績!$W$6:$W$505,BL$3,実績!$AC$6:$AC$505,"&lt;="&amp;$A280,実績!$AD$6:$AD$505,"&gt;"&amp;$A280,実績!$AE$6:$AE$505,"○")&gt;0,1,0))</f>
        <v/>
      </c>
      <c r="BM280">
        <f>IF(BM$4=0,0,IF(COUNTIFS(実績!$W$6:$W$505,BM$3,実績!$AC$6:$AC$505,"&lt;="&amp;$A280,実績!$AD$6:$AD$505,"&gt;"&amp;$A280,実績!$AE$6:$AE$505,"○")&gt;0,1,0))</f>
        <v/>
      </c>
      <c r="BN280">
        <f>IF(BN$4=0,0,IF(COUNTIFS(実績!$W$6:$W$505,BN$3,実績!$AC$6:$AC$505,"&lt;="&amp;$A280,実績!$AD$6:$AD$505,"&gt;"&amp;$A280,実績!$AE$6:$AE$505,"○")&gt;0,1,0))</f>
        <v/>
      </c>
      <c r="BO280">
        <f>IF(BO$4=0,0,IF(COUNTIFS(実績!$W$6:$W$505,BO$3,実績!$AC$6:$AC$505,"&lt;="&amp;$A280,実績!$AD$6:$AD$505,"&gt;"&amp;$A280,実績!$AE$6:$AE$505,"○")&gt;0,1,0))</f>
        <v/>
      </c>
      <c r="BP280">
        <f>IF(BP$4=0,0,IF(COUNTIFS(実績!$W$6:$W$505,BP$3,実績!$AC$6:$AC$505,"&lt;="&amp;$A280,実績!$AD$6:$AD$505,"&gt;"&amp;$A280,実績!$AE$6:$AE$505,"○")&gt;0,1,0))</f>
        <v/>
      </c>
      <c r="BQ280">
        <f>IF(BQ$4=0,0,IF(COUNTIFS(実績!$W$6:$W$505,BQ$3,実績!$AC$6:$AC$505,"&lt;="&amp;$A280,実績!$AD$6:$AD$505,"&gt;"&amp;$A280,実績!$AE$6:$AE$505,"○")&gt;0,1,0))</f>
        <v/>
      </c>
      <c r="BR280">
        <f>IF(BR$4=0,0,IF(COUNTIFS(実績!$W$6:$W$505,BR$3,実績!$AC$6:$AC$505,"&lt;="&amp;$A280,実績!$AD$6:$AD$505,"&gt;"&amp;$A280,実績!$AE$6:$AE$505,"○")&gt;0,1,0))</f>
        <v/>
      </c>
      <c r="BS280">
        <f>IF(BS$4=0,0,IF(COUNTIFS(実績!$W$6:$W$505,BS$3,実績!$AC$6:$AC$505,"&lt;="&amp;$A280,実績!$AD$6:$AD$505,"&gt;"&amp;$A280,実績!$AE$6:$AE$505,"○")&gt;0,1,0))</f>
        <v/>
      </c>
      <c r="BT280">
        <f>IF(BT$4=0,0,IF(COUNTIFS(実績!$W$6:$W$505,BT$3,実績!$AC$6:$AC$505,"&lt;="&amp;$A280,実績!$AD$6:$AD$505,"&gt;"&amp;$A280,実績!$AE$6:$AE$505,"○")&gt;0,1,0))</f>
        <v/>
      </c>
      <c r="BU280">
        <f>IF(BU$4=0,0,IF(COUNTIFS(実績!$W$6:$W$505,BU$3,実績!$AC$6:$AC$505,"&lt;="&amp;$A280,実績!$AD$6:$AD$505,"&gt;"&amp;$A280,実績!$AE$6:$AE$505,"○")&gt;0,1,0))</f>
        <v/>
      </c>
      <c r="BV280">
        <f>IF(BV$4=0,0,IF(COUNTIFS(実績!$W$6:$W$505,BV$3,実績!$AC$6:$AC$505,"&lt;="&amp;$A280,実績!$AD$6:$AD$505,"&gt;"&amp;$A280,実績!$AE$6:$AE$505,"○")&gt;0,1,0))</f>
        <v/>
      </c>
      <c r="BW280">
        <f>IF(BW$4=0,0,IF(COUNTIFS(実績!$W$6:$W$505,BW$3,実績!$AC$6:$AC$505,"&lt;="&amp;$A280,実績!$AD$6:$AD$505,"&gt;"&amp;$A280,実績!$AE$6:$AE$505,"○")&gt;0,1,0))</f>
        <v/>
      </c>
      <c r="BX280">
        <f>IF(BX$4=0,0,IF(COUNTIFS(実績!$W$6:$W$505,BX$3,実績!$AC$6:$AC$505,"&lt;="&amp;$A280,実績!$AD$6:$AD$505,"&gt;"&amp;$A280,実績!$AE$6:$AE$505,"○")&gt;0,1,0))</f>
        <v/>
      </c>
      <c r="BY280">
        <f>IF(BY$4=0,0,IF(COUNTIFS(実績!$W$6:$W$505,BY$3,実績!$AC$6:$AC$505,"&lt;="&amp;$A280,実績!$AD$6:$AD$505,"&gt;"&amp;$A280,実績!$AE$6:$AE$505,"○")&gt;0,1,0))</f>
        <v/>
      </c>
      <c r="BZ280">
        <f>IF(BZ$4=0,0,IF(COUNTIFS(実績!$W$6:$W$505,BZ$3,実績!$AC$6:$AC$505,"&lt;="&amp;$A280,実績!$AD$6:$AD$505,"&gt;"&amp;$A280,実績!$AE$6:$AE$505,"○")&gt;0,1,0))</f>
        <v/>
      </c>
      <c r="CA280">
        <f>IF(CA$4=0,0,IF(COUNTIFS(実績!$W$6:$W$505,CA$3,実績!$AC$6:$AC$505,"&lt;="&amp;$A280,実績!$AD$6:$AD$505,"&gt;"&amp;$A280,実績!$AE$6:$AE$505,"○")&gt;0,1,0))</f>
        <v/>
      </c>
      <c r="CB280">
        <f>IF(CB$4=0,0,IF(COUNTIFS(実績!$W$6:$W$505,CB$3,実績!$AC$6:$AC$505,"&lt;="&amp;$A280,実績!$AD$6:$AD$505,"&gt;"&amp;$A280,実績!$AE$6:$AE$505,"○")&gt;0,1,0))</f>
        <v/>
      </c>
      <c r="CC280">
        <f>IF(CC$4=0,0,IF(COUNTIFS(実績!$W$6:$W$505,CC$3,実績!$AC$6:$AC$505,"&lt;="&amp;$A280,実績!$AD$6:$AD$505,"&gt;"&amp;$A280,実績!$AE$6:$AE$505,"○")&gt;0,1,0))</f>
        <v/>
      </c>
      <c r="CD280">
        <f>IF(CD$4=0,0,IF(COUNTIFS(実績!$W$6:$W$505,CD$3,実績!$AC$6:$AC$505,"&lt;="&amp;$A280,実績!$AD$6:$AD$505,"&gt;"&amp;$A280,実績!$AE$6:$AE$505,"○")&gt;0,1,0))</f>
        <v/>
      </c>
      <c r="CE280">
        <f>IF(CE$4=0,0,IF(COUNTIFS(実績!$W$6:$W$505,CE$3,実績!$AC$6:$AC$505,"&lt;="&amp;$A280,実績!$AD$6:$AD$505,"&gt;"&amp;$A280,実績!$AE$6:$AE$505,"○")&gt;0,1,0))</f>
        <v/>
      </c>
      <c r="CF280">
        <f>IF(CF$4=0,0,IF(COUNTIFS(実績!$W$6:$W$505,CF$3,実績!$AC$6:$AC$505,"&lt;="&amp;$A280,実績!$AD$6:$AD$505,"&gt;"&amp;$A280,実績!$AE$6:$AE$505,"○")&gt;0,1,0))</f>
        <v/>
      </c>
      <c r="CG280">
        <f>IF(CG$4=0,0,IF(COUNTIFS(実績!$W$6:$W$505,CG$3,実績!$AC$6:$AC$505,"&lt;="&amp;$A280,実績!$AD$6:$AD$505,"&gt;"&amp;$A280,実績!$AE$6:$AE$505,"○")&gt;0,1,0))</f>
        <v/>
      </c>
      <c r="CH280">
        <f>IF(CH$4=0,0,IF(COUNTIFS(実績!$W$6:$W$505,CH$3,実績!$AC$6:$AC$505,"&lt;="&amp;$A280,実績!$AD$6:$AD$505,"&gt;"&amp;$A280,実績!$AE$6:$AE$505,"○")&gt;0,1,0))</f>
        <v/>
      </c>
      <c r="CI280">
        <f>IF(CI$4=0,0,IF(COUNTIFS(実績!$W$6:$W$505,CI$3,実績!$AC$6:$AC$505,"&lt;="&amp;$A280,実績!$AD$6:$AD$505,"&gt;"&amp;$A280,実績!$AE$6:$AE$505,"○")&gt;0,1,0))</f>
        <v/>
      </c>
      <c r="CJ280">
        <f>IF(CJ$4=0,0,IF(COUNTIFS(実績!$W$6:$W$505,CJ$3,実績!$AC$6:$AC$505,"&lt;="&amp;$A280,実績!$AD$6:$AD$505,"&gt;"&amp;$A280,実績!$AE$6:$AE$505,"○")&gt;0,1,0))</f>
        <v/>
      </c>
      <c r="CK280">
        <f>IF(CK$4=0,0,IF(COUNTIFS(実績!$W$6:$W$505,CK$3,実績!$AC$6:$AC$505,"&lt;="&amp;$A280,実績!$AD$6:$AD$505,"&gt;"&amp;$A280,実績!$AE$6:$AE$505,"○")&gt;0,1,0))</f>
        <v/>
      </c>
      <c r="CL280">
        <f>IF(CL$4=0,0,IF(COUNTIFS(実績!$W$6:$W$505,CL$3,実績!$AC$6:$AC$505,"&lt;="&amp;$A280,実績!$AD$6:$AD$505,"&gt;"&amp;$A280,実績!$AE$6:$AE$505,"○")&gt;0,1,0))</f>
        <v/>
      </c>
      <c r="CM280">
        <f>IF(CM$4=0,0,IF(COUNTIFS(実績!$W$6:$W$505,CM$3,実績!$AC$6:$AC$505,"&lt;="&amp;$A280,実績!$AD$6:$AD$505,"&gt;"&amp;$A280,実績!$AE$6:$AE$505,"○")&gt;0,1,0))</f>
        <v/>
      </c>
      <c r="CN280">
        <f>IF(CN$4=0,0,IF(COUNTIFS(実績!$W$6:$W$505,CN$3,実績!$AC$6:$AC$505,"&lt;="&amp;$A280,実績!$AD$6:$AD$505,"&gt;"&amp;$A280,実績!$AE$6:$AE$505,"○")&gt;0,1,0))</f>
        <v/>
      </c>
      <c r="CO280">
        <f>IF(CO$4=0,0,IF(COUNTIFS(実績!$W$6:$W$505,CO$3,実績!$AC$6:$AC$505,"&lt;="&amp;$A280,実績!$AD$6:$AD$505,"&gt;"&amp;$A280,実績!$AE$6:$AE$505,"○")&gt;0,1,0))</f>
        <v/>
      </c>
      <c r="CP280">
        <f>IF(CP$4=0,0,IF(COUNTIFS(実績!$W$6:$W$505,CP$3,実績!$AC$6:$AC$505,"&lt;="&amp;$A280,実績!$AD$6:$AD$505,"&gt;"&amp;$A280,実績!$AE$6:$AE$505,"○")&gt;0,1,0))</f>
        <v/>
      </c>
      <c r="CQ280">
        <f>IF(CQ$4=0,0,IF(COUNTIFS(実績!$W$6:$W$505,CQ$3,実績!$AC$6:$AC$505,"&lt;="&amp;$A280,実績!$AD$6:$AD$505,"&gt;"&amp;$A280,実績!$AE$6:$AE$505,"○")&gt;0,1,0))</f>
        <v/>
      </c>
      <c r="CR280">
        <f>IF(CR$4=0,0,IF(COUNTIFS(実績!$W$6:$W$505,CR$3,実績!$AC$6:$AC$505,"&lt;="&amp;$A280,実績!$AD$6:$AD$505,"&gt;"&amp;$A280,実績!$AE$6:$AE$505,"○")&gt;0,1,0))</f>
        <v/>
      </c>
      <c r="CS280">
        <f>IF(CS$4=0,0,IF(COUNTIFS(実績!$W$6:$W$505,CS$3,実績!$AC$6:$AC$505,"&lt;="&amp;$A280,実績!$AD$6:$AD$505,"&gt;"&amp;$A280,実績!$AE$6:$AE$505,"○")&gt;0,1,0))</f>
        <v/>
      </c>
      <c r="CT280">
        <f>IF(CT$4=0,0,IF(COUNTIFS(実績!$W$6:$W$505,CT$3,実績!$AC$6:$AC$505,"&lt;="&amp;$A280,実績!$AD$6:$AD$505,"&gt;"&amp;$A280,実績!$AE$6:$AE$505,"○")&gt;0,1,0))</f>
        <v/>
      </c>
      <c r="CU280">
        <f>IF(CU$4=0,0,IF(COUNTIFS(実績!$W$6:$W$505,CU$3,実績!$AC$6:$AC$505,"&lt;="&amp;$A280,実績!$AD$6:$AD$505,"&gt;"&amp;$A280,実績!$AE$6:$AE$505,"○")&gt;0,1,0))</f>
        <v/>
      </c>
      <c r="CV280">
        <f>IF(CV$4=0,0,IF(COUNTIFS(実績!$W$6:$W$505,CV$3,実績!$AC$6:$AC$505,"&lt;="&amp;$A280,実績!$AD$6:$AD$505,"&gt;"&amp;$A280,実績!$AE$6:$AE$505,"○")&gt;0,1,0))</f>
        <v/>
      </c>
      <c r="CW280">
        <f>IF(CW$4=0,0,IF(COUNTIFS(実績!$W$6:$W$505,CW$3,実績!$AC$6:$AC$505,"&lt;="&amp;$A280,実績!$AD$6:$AD$505,"&gt;"&amp;$A280,実績!$AE$6:$AE$505,"○")&gt;0,1,0))</f>
        <v/>
      </c>
      <c r="CX280">
        <f>IF(CX$4=0,0,IF(COUNTIFS(実績!$W$6:$W$505,CX$3,実績!$AC$6:$AC$505,"&lt;="&amp;$A280,実績!$AD$6:$AD$505,"&gt;"&amp;$A280,実績!$AE$6:$AE$505,"○")&gt;0,1,0))</f>
        <v/>
      </c>
      <c r="CY280">
        <f>IF(CY$4=0,0,IF(COUNTIFS(実績!$W$6:$W$505,CY$3,実績!$AC$6:$AC$505,"&lt;="&amp;$A280,実績!$AD$6:$AD$505,"&gt;"&amp;$A280,実績!$AE$6:$AE$505,"○")&gt;0,1,0))</f>
        <v/>
      </c>
      <c r="CZ280">
        <f>IF(CZ$4=0,0,IF(COUNTIFS(実績!$W$6:$W$505,CZ$3,実績!$AC$6:$AC$505,"&lt;="&amp;$A280,実績!$AD$6:$AD$505,"&gt;"&amp;$A280,実績!$AE$6:$AE$505,"○")&gt;0,1,0))</f>
        <v/>
      </c>
      <c r="DA280">
        <f>IF(DA$4=0,0,IF(COUNTIFS(実績!$W$6:$W$505,DA$3,実績!$AC$6:$AC$505,"&lt;="&amp;$A280,実績!$AD$6:$AD$505,"&gt;"&amp;$A280,実績!$AE$6:$AE$505,"○")&gt;0,1,0))</f>
        <v/>
      </c>
      <c r="DB280">
        <f>IF(DB$4=0,0,IF(COUNTIFS(実績!$W$6:$W$505,DB$3,実績!$AC$6:$AC$505,"&lt;="&amp;$A280,実績!$AD$6:$AD$505,"&gt;"&amp;$A280,実績!$AE$6:$AE$505,"○")&gt;0,1,0))</f>
        <v/>
      </c>
      <c r="DC280">
        <f>IF(DC$4=0,0,IF(COUNTIFS(実績!$W$6:$W$505,DC$3,実績!$AC$6:$AC$505,"&lt;="&amp;$A280,実績!$AD$6:$AD$505,"&gt;"&amp;$A280,実績!$AE$6:$AE$505,"○")&gt;0,1,0))</f>
        <v/>
      </c>
      <c r="DD280">
        <f>IF(DD$4=0,0,IF(COUNTIFS(実績!$W$6:$W$505,DD$3,実績!$AC$6:$AC$505,"&lt;="&amp;$A280,実績!$AD$6:$AD$505,"&gt;"&amp;$A280,実績!$AE$6:$AE$505,"○")&gt;0,1,0))</f>
        <v/>
      </c>
      <c r="DE280">
        <f>IF(DE$4=0,0,IF(COUNTIFS(実績!$W$6:$W$505,DE$3,実績!$AC$6:$AC$505,"&lt;="&amp;$A280,実績!$AD$6:$AD$505,"&gt;"&amp;$A280,実績!$AE$6:$AE$505,"○")&gt;0,1,0))</f>
        <v/>
      </c>
      <c r="DF280">
        <f>IF(DF$4=0,0,IF(COUNTIFS(実績!$W$6:$W$505,DF$3,実績!$AC$6:$AC$505,"&lt;="&amp;$A280,実績!$AD$6:$AD$505,"&gt;"&amp;$A280,実績!$AE$6:$AE$505,"○")&gt;0,1,0))</f>
        <v/>
      </c>
      <c r="DG280">
        <f>IF(DG$4=0,0,IF(COUNTIFS(実績!$W$6:$W$505,DG$3,実績!$AC$6:$AC$505,"&lt;="&amp;$A280,実績!$AD$6:$AD$505,"&gt;"&amp;$A280,実績!$AE$6:$AE$505,"○")&gt;0,1,0))</f>
        <v/>
      </c>
      <c r="DH280">
        <f>IF(DH$4=0,0,IF(COUNTIFS(実績!$W$6:$W$505,DH$3,実績!$AC$6:$AC$505,"&lt;="&amp;$A280,実績!$AD$6:$AD$505,"&gt;"&amp;$A280,実績!$AE$6:$AE$505,"○")&gt;0,1,0))</f>
        <v/>
      </c>
      <c r="DI280">
        <f>IF(DI$4=0,0,IF(COUNTIFS(実績!$W$6:$W$505,DI$3,実績!$AC$6:$AC$505,"&lt;="&amp;$A280,実績!$AD$6:$AD$505,"&gt;"&amp;$A280,実績!$AE$6:$AE$505,"○")&gt;0,1,0))</f>
        <v/>
      </c>
      <c r="DJ280">
        <f>IF(DJ$4=0,0,IF(COUNTIFS(実績!$W$6:$W$505,DJ$3,実績!$AC$6:$AC$505,"&lt;="&amp;$A280,実績!$AD$6:$AD$505,"&gt;"&amp;$A280,実績!$AE$6:$AE$505,"○")&gt;0,1,0))</f>
        <v/>
      </c>
      <c r="DK280">
        <f>IF(DK$4=0,0,IF(COUNTIFS(実績!$W$6:$W$505,DK$3,実績!$AC$6:$AC$505,"&lt;="&amp;$A280,実績!$AD$6:$AD$505,"&gt;"&amp;$A280,実績!$AE$6:$AE$505,"○")&gt;0,1,0))</f>
        <v/>
      </c>
      <c r="DL280">
        <f>IF(DL$4=0,0,IF(COUNTIFS(実績!$W$6:$W$505,DL$3,実績!$AC$6:$AC$505,"&lt;="&amp;$A280,実績!$AD$6:$AD$505,"&gt;"&amp;$A280,実績!$AE$6:$AE$505,"○")&gt;0,1,0))</f>
        <v/>
      </c>
      <c r="DM280">
        <f>IF(DM$4=0,0,IF(COUNTIFS(実績!$W$6:$W$505,DM$3,実績!$AC$6:$AC$505,"&lt;="&amp;$A280,実績!$AD$6:$AD$505,"&gt;"&amp;$A280,実績!$AE$6:$AE$505,"○")&gt;0,1,0))</f>
        <v/>
      </c>
      <c r="DN280">
        <f>IF(DN$4=0,0,IF(COUNTIFS(実績!$W$6:$W$505,DN$3,実績!$AC$6:$AC$505,"&lt;="&amp;$A280,実績!$AD$6:$AD$505,"&gt;"&amp;$A280,実績!$AE$6:$AE$505,"○")&gt;0,1,0))</f>
        <v/>
      </c>
      <c r="DO280">
        <f>IF(DO$4=0,0,IF(COUNTIFS(実績!$W$6:$W$505,DO$3,実績!$AC$6:$AC$505,"&lt;="&amp;$A280,実績!$AD$6:$AD$505,"&gt;"&amp;$A280,実績!$AE$6:$AE$505,"○")&gt;0,1,0))</f>
        <v/>
      </c>
      <c r="DP280">
        <f>IF(DP$4=0,0,IF(COUNTIFS(実績!$W$6:$W$505,DP$3,実績!$AC$6:$AC$505,"&lt;="&amp;$A280,実績!$AD$6:$AD$505,"&gt;"&amp;$A280,実績!$AE$6:$AE$505,"○")&gt;0,1,0))</f>
        <v/>
      </c>
      <c r="DQ280">
        <f>IF(DQ$4=0,0,IF(COUNTIFS(実績!$W$6:$W$505,DQ$3,実績!$AC$6:$AC$505,"&lt;="&amp;$A280,実績!$AD$6:$AD$505,"&gt;"&amp;$A280,実績!$AE$6:$AE$505,"○")&gt;0,1,0))</f>
        <v/>
      </c>
      <c r="DR280">
        <f>IF(DR$4=0,0,IF(COUNTIFS(実績!$W$6:$W$505,DR$3,実績!$AC$6:$AC$505,"&lt;="&amp;$A280,実績!$AD$6:$AD$505,"&gt;"&amp;$A280,実績!$AE$6:$AE$505,"○")&gt;0,1,0))</f>
        <v/>
      </c>
      <c r="DS280">
        <f>SUM(C280:DR280)</f>
        <v/>
      </c>
      <c r="DT280">
        <f>SUMPRODUCT((実績!$C$6:$C$505="○")*ISNUMBER(実績!$AF$6:$AF$505)*(実績!$AF$6:$AF$505&lt;=$A280)*(実績!$AG$6:$AG$505&gt;$A280))</f>
        <v/>
      </c>
      <c r="DU280">
        <f>SUMIF($C$2:$DR$2,"製鉄曳船",C280:DR280)</f>
        <v/>
      </c>
      <c r="DV280">
        <f>SUMIF($C$2:$DR$2,"西日本海運",C280:DR280)</f>
        <v/>
      </c>
    </row>
    <row r="281">
      <c r="A281" t="n">
        <v>1375</v>
      </c>
      <c r="B281" s="29">
        <f>A281/1440</f>
        <v/>
      </c>
      <c r="C281">
        <f>IF(C$4=0,0,IF(COUNTIFS(実績!$W$6:$W$505,C$3,実績!$AC$6:$AC$505,"&lt;="&amp;$A281,実績!$AD$6:$AD$505,"&gt;"&amp;$A281,実績!$AE$6:$AE$505,"○")&gt;0,1,0))</f>
        <v/>
      </c>
      <c r="D281">
        <f>IF(D$4=0,0,IF(COUNTIFS(実績!$W$6:$W$505,D$3,実績!$AC$6:$AC$505,"&lt;="&amp;$A281,実績!$AD$6:$AD$505,"&gt;"&amp;$A281,実績!$AE$6:$AE$505,"○")&gt;0,1,0))</f>
        <v/>
      </c>
      <c r="E281">
        <f>IF(E$4=0,0,IF(COUNTIFS(実績!$W$6:$W$505,E$3,実績!$AC$6:$AC$505,"&lt;="&amp;$A281,実績!$AD$6:$AD$505,"&gt;"&amp;$A281,実績!$AE$6:$AE$505,"○")&gt;0,1,0))</f>
        <v/>
      </c>
      <c r="F281">
        <f>IF(F$4=0,0,IF(COUNTIFS(実績!$W$6:$W$505,F$3,実績!$AC$6:$AC$505,"&lt;="&amp;$A281,実績!$AD$6:$AD$505,"&gt;"&amp;$A281,実績!$AE$6:$AE$505,"○")&gt;0,1,0))</f>
        <v/>
      </c>
      <c r="G281">
        <f>IF(G$4=0,0,IF(COUNTIFS(実績!$W$6:$W$505,G$3,実績!$AC$6:$AC$505,"&lt;="&amp;$A281,実績!$AD$6:$AD$505,"&gt;"&amp;$A281,実績!$AE$6:$AE$505,"○")&gt;0,1,0))</f>
        <v/>
      </c>
      <c r="H281">
        <f>IF(H$4=0,0,IF(COUNTIFS(実績!$W$6:$W$505,H$3,実績!$AC$6:$AC$505,"&lt;="&amp;$A281,実績!$AD$6:$AD$505,"&gt;"&amp;$A281,実績!$AE$6:$AE$505,"○")&gt;0,1,0))</f>
        <v/>
      </c>
      <c r="I281">
        <f>IF(I$4=0,0,IF(COUNTIFS(実績!$W$6:$W$505,I$3,実績!$AC$6:$AC$505,"&lt;="&amp;$A281,実績!$AD$6:$AD$505,"&gt;"&amp;$A281,実績!$AE$6:$AE$505,"○")&gt;0,1,0))</f>
        <v/>
      </c>
      <c r="J281">
        <f>IF(J$4=0,0,IF(COUNTIFS(実績!$W$6:$W$505,J$3,実績!$AC$6:$AC$505,"&lt;="&amp;$A281,実績!$AD$6:$AD$505,"&gt;"&amp;$A281,実績!$AE$6:$AE$505,"○")&gt;0,1,0))</f>
        <v/>
      </c>
      <c r="K281">
        <f>IF(K$4=0,0,IF(COUNTIFS(実績!$W$6:$W$505,K$3,実績!$AC$6:$AC$505,"&lt;="&amp;$A281,実績!$AD$6:$AD$505,"&gt;"&amp;$A281,実績!$AE$6:$AE$505,"○")&gt;0,1,0))</f>
        <v/>
      </c>
      <c r="L281">
        <f>IF(L$4=0,0,IF(COUNTIFS(実績!$W$6:$W$505,L$3,実績!$AC$6:$AC$505,"&lt;="&amp;$A281,実績!$AD$6:$AD$505,"&gt;"&amp;$A281,実績!$AE$6:$AE$505,"○")&gt;0,1,0))</f>
        <v/>
      </c>
      <c r="M281">
        <f>IF(M$4=0,0,IF(COUNTIFS(実績!$W$6:$W$505,M$3,実績!$AC$6:$AC$505,"&lt;="&amp;$A281,実績!$AD$6:$AD$505,"&gt;"&amp;$A281,実績!$AE$6:$AE$505,"○")&gt;0,1,0))</f>
        <v/>
      </c>
      <c r="N281">
        <f>IF(N$4=0,0,IF(COUNTIFS(実績!$W$6:$W$505,N$3,実績!$AC$6:$AC$505,"&lt;="&amp;$A281,実績!$AD$6:$AD$505,"&gt;"&amp;$A281,実績!$AE$6:$AE$505,"○")&gt;0,1,0))</f>
        <v/>
      </c>
      <c r="O281">
        <f>IF(O$4=0,0,IF(COUNTIFS(実績!$W$6:$W$505,O$3,実績!$AC$6:$AC$505,"&lt;="&amp;$A281,実績!$AD$6:$AD$505,"&gt;"&amp;$A281,実績!$AE$6:$AE$505,"○")&gt;0,1,0))</f>
        <v/>
      </c>
      <c r="P281">
        <f>IF(P$4=0,0,IF(COUNTIFS(実績!$W$6:$W$505,P$3,実績!$AC$6:$AC$505,"&lt;="&amp;$A281,実績!$AD$6:$AD$505,"&gt;"&amp;$A281,実績!$AE$6:$AE$505,"○")&gt;0,1,0))</f>
        <v/>
      </c>
      <c r="Q281">
        <f>IF(Q$4=0,0,IF(COUNTIFS(実績!$W$6:$W$505,Q$3,実績!$AC$6:$AC$505,"&lt;="&amp;$A281,実績!$AD$6:$AD$505,"&gt;"&amp;$A281,実績!$AE$6:$AE$505,"○")&gt;0,1,0))</f>
        <v/>
      </c>
      <c r="R281">
        <f>IF(R$4=0,0,IF(COUNTIFS(実績!$W$6:$W$505,R$3,実績!$AC$6:$AC$505,"&lt;="&amp;$A281,実績!$AD$6:$AD$505,"&gt;"&amp;$A281,実績!$AE$6:$AE$505,"○")&gt;0,1,0))</f>
        <v/>
      </c>
      <c r="S281">
        <f>IF(S$4=0,0,IF(COUNTIFS(実績!$W$6:$W$505,S$3,実績!$AC$6:$AC$505,"&lt;="&amp;$A281,実績!$AD$6:$AD$505,"&gt;"&amp;$A281,実績!$AE$6:$AE$505,"○")&gt;0,1,0))</f>
        <v/>
      </c>
      <c r="T281">
        <f>IF(T$4=0,0,IF(COUNTIFS(実績!$W$6:$W$505,T$3,実績!$AC$6:$AC$505,"&lt;="&amp;$A281,実績!$AD$6:$AD$505,"&gt;"&amp;$A281,実績!$AE$6:$AE$505,"○")&gt;0,1,0))</f>
        <v/>
      </c>
      <c r="U281">
        <f>IF(U$4=0,0,IF(COUNTIFS(実績!$W$6:$W$505,U$3,実績!$AC$6:$AC$505,"&lt;="&amp;$A281,実績!$AD$6:$AD$505,"&gt;"&amp;$A281,実績!$AE$6:$AE$505,"○")&gt;0,1,0))</f>
        <v/>
      </c>
      <c r="V281">
        <f>IF(V$4=0,0,IF(COUNTIFS(実績!$W$6:$W$505,V$3,実績!$AC$6:$AC$505,"&lt;="&amp;$A281,実績!$AD$6:$AD$505,"&gt;"&amp;$A281,実績!$AE$6:$AE$505,"○")&gt;0,1,0))</f>
        <v/>
      </c>
      <c r="W281">
        <f>IF(W$4=0,0,IF(COUNTIFS(実績!$W$6:$W$505,W$3,実績!$AC$6:$AC$505,"&lt;="&amp;$A281,実績!$AD$6:$AD$505,"&gt;"&amp;$A281,実績!$AE$6:$AE$505,"○")&gt;0,1,0))</f>
        <v/>
      </c>
      <c r="X281">
        <f>IF(X$4=0,0,IF(COUNTIFS(実績!$W$6:$W$505,X$3,実績!$AC$6:$AC$505,"&lt;="&amp;$A281,実績!$AD$6:$AD$505,"&gt;"&amp;$A281,実績!$AE$6:$AE$505,"○")&gt;0,1,0))</f>
        <v/>
      </c>
      <c r="Y281">
        <f>IF(Y$4=0,0,IF(COUNTIFS(実績!$W$6:$W$505,Y$3,実績!$AC$6:$AC$505,"&lt;="&amp;$A281,実績!$AD$6:$AD$505,"&gt;"&amp;$A281,実績!$AE$6:$AE$505,"○")&gt;0,1,0))</f>
        <v/>
      </c>
      <c r="Z281">
        <f>IF(Z$4=0,0,IF(COUNTIFS(実績!$W$6:$W$505,Z$3,実績!$AC$6:$AC$505,"&lt;="&amp;$A281,実績!$AD$6:$AD$505,"&gt;"&amp;$A281,実績!$AE$6:$AE$505,"○")&gt;0,1,0))</f>
        <v/>
      </c>
      <c r="AA281">
        <f>IF(AA$4=0,0,IF(COUNTIFS(実績!$W$6:$W$505,AA$3,実績!$AC$6:$AC$505,"&lt;="&amp;$A281,実績!$AD$6:$AD$505,"&gt;"&amp;$A281,実績!$AE$6:$AE$505,"○")&gt;0,1,0))</f>
        <v/>
      </c>
      <c r="AB281">
        <f>IF(AB$4=0,0,IF(COUNTIFS(実績!$W$6:$W$505,AB$3,実績!$AC$6:$AC$505,"&lt;="&amp;$A281,実績!$AD$6:$AD$505,"&gt;"&amp;$A281,実績!$AE$6:$AE$505,"○")&gt;0,1,0))</f>
        <v/>
      </c>
      <c r="AC281">
        <f>IF(AC$4=0,0,IF(COUNTIFS(実績!$W$6:$W$505,AC$3,実績!$AC$6:$AC$505,"&lt;="&amp;$A281,実績!$AD$6:$AD$505,"&gt;"&amp;$A281,実績!$AE$6:$AE$505,"○")&gt;0,1,0))</f>
        <v/>
      </c>
      <c r="AD281">
        <f>IF(AD$4=0,0,IF(COUNTIFS(実績!$W$6:$W$505,AD$3,実績!$AC$6:$AC$505,"&lt;="&amp;$A281,実績!$AD$6:$AD$505,"&gt;"&amp;$A281,実績!$AE$6:$AE$505,"○")&gt;0,1,0))</f>
        <v/>
      </c>
      <c r="AE281">
        <f>IF(AE$4=0,0,IF(COUNTIFS(実績!$W$6:$W$505,AE$3,実績!$AC$6:$AC$505,"&lt;="&amp;$A281,実績!$AD$6:$AD$505,"&gt;"&amp;$A281,実績!$AE$6:$AE$505,"○")&gt;0,1,0))</f>
        <v/>
      </c>
      <c r="AF281">
        <f>IF(AF$4=0,0,IF(COUNTIFS(実績!$W$6:$W$505,AF$3,実績!$AC$6:$AC$505,"&lt;="&amp;$A281,実績!$AD$6:$AD$505,"&gt;"&amp;$A281,実績!$AE$6:$AE$505,"○")&gt;0,1,0))</f>
        <v/>
      </c>
      <c r="AG281">
        <f>IF(AG$4=0,0,IF(COUNTIFS(実績!$W$6:$W$505,AG$3,実績!$AC$6:$AC$505,"&lt;="&amp;$A281,実績!$AD$6:$AD$505,"&gt;"&amp;$A281,実績!$AE$6:$AE$505,"○")&gt;0,1,0))</f>
        <v/>
      </c>
      <c r="AH281">
        <f>IF(AH$4=0,0,IF(COUNTIFS(実績!$W$6:$W$505,AH$3,実績!$AC$6:$AC$505,"&lt;="&amp;$A281,実績!$AD$6:$AD$505,"&gt;"&amp;$A281,実績!$AE$6:$AE$505,"○")&gt;0,1,0))</f>
        <v/>
      </c>
      <c r="AI281">
        <f>IF(AI$4=0,0,IF(COUNTIFS(実績!$W$6:$W$505,AI$3,実績!$AC$6:$AC$505,"&lt;="&amp;$A281,実績!$AD$6:$AD$505,"&gt;"&amp;$A281,実績!$AE$6:$AE$505,"○")&gt;0,1,0))</f>
        <v/>
      </c>
      <c r="AJ281">
        <f>IF(AJ$4=0,0,IF(COUNTIFS(実績!$W$6:$W$505,AJ$3,実績!$AC$6:$AC$505,"&lt;="&amp;$A281,実績!$AD$6:$AD$505,"&gt;"&amp;$A281,実績!$AE$6:$AE$505,"○")&gt;0,1,0))</f>
        <v/>
      </c>
      <c r="AK281">
        <f>IF(AK$4=0,0,IF(COUNTIFS(実績!$W$6:$W$505,AK$3,実績!$AC$6:$AC$505,"&lt;="&amp;$A281,実績!$AD$6:$AD$505,"&gt;"&amp;$A281,実績!$AE$6:$AE$505,"○")&gt;0,1,0))</f>
        <v/>
      </c>
      <c r="AL281">
        <f>IF(AL$4=0,0,IF(COUNTIFS(実績!$W$6:$W$505,AL$3,実績!$AC$6:$AC$505,"&lt;="&amp;$A281,実績!$AD$6:$AD$505,"&gt;"&amp;$A281,実績!$AE$6:$AE$505,"○")&gt;0,1,0))</f>
        <v/>
      </c>
      <c r="AM281">
        <f>IF(AM$4=0,0,IF(COUNTIFS(実績!$W$6:$W$505,AM$3,実績!$AC$6:$AC$505,"&lt;="&amp;$A281,実績!$AD$6:$AD$505,"&gt;"&amp;$A281,実績!$AE$6:$AE$505,"○")&gt;0,1,0))</f>
        <v/>
      </c>
      <c r="AN281">
        <f>IF(AN$4=0,0,IF(COUNTIFS(実績!$W$6:$W$505,AN$3,実績!$AC$6:$AC$505,"&lt;="&amp;$A281,実績!$AD$6:$AD$505,"&gt;"&amp;$A281,実績!$AE$6:$AE$505,"○")&gt;0,1,0))</f>
        <v/>
      </c>
      <c r="AO281">
        <f>IF(AO$4=0,0,IF(COUNTIFS(実績!$W$6:$W$505,AO$3,実績!$AC$6:$AC$505,"&lt;="&amp;$A281,実績!$AD$6:$AD$505,"&gt;"&amp;$A281,実績!$AE$6:$AE$505,"○")&gt;0,1,0))</f>
        <v/>
      </c>
      <c r="AP281">
        <f>IF(AP$4=0,0,IF(COUNTIFS(実績!$W$6:$W$505,AP$3,実績!$AC$6:$AC$505,"&lt;="&amp;$A281,実績!$AD$6:$AD$505,"&gt;"&amp;$A281,実績!$AE$6:$AE$505,"○")&gt;0,1,0))</f>
        <v/>
      </c>
      <c r="AQ281">
        <f>IF(AQ$4=0,0,IF(COUNTIFS(実績!$W$6:$W$505,AQ$3,実績!$AC$6:$AC$505,"&lt;="&amp;$A281,実績!$AD$6:$AD$505,"&gt;"&amp;$A281,実績!$AE$6:$AE$505,"○")&gt;0,1,0))</f>
        <v/>
      </c>
      <c r="AR281">
        <f>IF(AR$4=0,0,IF(COUNTIFS(実績!$W$6:$W$505,AR$3,実績!$AC$6:$AC$505,"&lt;="&amp;$A281,実績!$AD$6:$AD$505,"&gt;"&amp;$A281,実績!$AE$6:$AE$505,"○")&gt;0,1,0))</f>
        <v/>
      </c>
      <c r="AS281">
        <f>IF(AS$4=0,0,IF(COUNTIFS(実績!$W$6:$W$505,AS$3,実績!$AC$6:$AC$505,"&lt;="&amp;$A281,実績!$AD$6:$AD$505,"&gt;"&amp;$A281,実績!$AE$6:$AE$505,"○")&gt;0,1,0))</f>
        <v/>
      </c>
      <c r="AT281">
        <f>IF(AT$4=0,0,IF(COUNTIFS(実績!$W$6:$W$505,AT$3,実績!$AC$6:$AC$505,"&lt;="&amp;$A281,実績!$AD$6:$AD$505,"&gt;"&amp;$A281,実績!$AE$6:$AE$505,"○")&gt;0,1,0))</f>
        <v/>
      </c>
      <c r="AU281">
        <f>IF(AU$4=0,0,IF(COUNTIFS(実績!$W$6:$W$505,AU$3,実績!$AC$6:$AC$505,"&lt;="&amp;$A281,実績!$AD$6:$AD$505,"&gt;"&amp;$A281,実績!$AE$6:$AE$505,"○")&gt;0,1,0))</f>
        <v/>
      </c>
      <c r="AV281">
        <f>IF(AV$4=0,0,IF(COUNTIFS(実績!$W$6:$W$505,AV$3,実績!$AC$6:$AC$505,"&lt;="&amp;$A281,実績!$AD$6:$AD$505,"&gt;"&amp;$A281,実績!$AE$6:$AE$505,"○")&gt;0,1,0))</f>
        <v/>
      </c>
      <c r="AW281">
        <f>IF(AW$4=0,0,IF(COUNTIFS(実績!$W$6:$W$505,AW$3,実績!$AC$6:$AC$505,"&lt;="&amp;$A281,実績!$AD$6:$AD$505,"&gt;"&amp;$A281,実績!$AE$6:$AE$505,"○")&gt;0,1,0))</f>
        <v/>
      </c>
      <c r="AX281">
        <f>IF(AX$4=0,0,IF(COUNTIFS(実績!$W$6:$W$505,AX$3,実績!$AC$6:$AC$505,"&lt;="&amp;$A281,実績!$AD$6:$AD$505,"&gt;"&amp;$A281,実績!$AE$6:$AE$505,"○")&gt;0,1,0))</f>
        <v/>
      </c>
      <c r="AY281">
        <f>IF(AY$4=0,0,IF(COUNTIFS(実績!$W$6:$W$505,AY$3,実績!$AC$6:$AC$505,"&lt;="&amp;$A281,実績!$AD$6:$AD$505,"&gt;"&amp;$A281,実績!$AE$6:$AE$505,"○")&gt;0,1,0))</f>
        <v/>
      </c>
      <c r="AZ281">
        <f>IF(AZ$4=0,0,IF(COUNTIFS(実績!$W$6:$W$505,AZ$3,実績!$AC$6:$AC$505,"&lt;="&amp;$A281,実績!$AD$6:$AD$505,"&gt;"&amp;$A281,実績!$AE$6:$AE$505,"○")&gt;0,1,0))</f>
        <v/>
      </c>
      <c r="BA281">
        <f>IF(BA$4=0,0,IF(COUNTIFS(実績!$W$6:$W$505,BA$3,実績!$AC$6:$AC$505,"&lt;="&amp;$A281,実績!$AD$6:$AD$505,"&gt;"&amp;$A281,実績!$AE$6:$AE$505,"○")&gt;0,1,0))</f>
        <v/>
      </c>
      <c r="BB281">
        <f>IF(BB$4=0,0,IF(COUNTIFS(実績!$W$6:$W$505,BB$3,実績!$AC$6:$AC$505,"&lt;="&amp;$A281,実績!$AD$6:$AD$505,"&gt;"&amp;$A281,実績!$AE$6:$AE$505,"○")&gt;0,1,0))</f>
        <v/>
      </c>
      <c r="BC281">
        <f>IF(BC$4=0,0,IF(COUNTIFS(実績!$W$6:$W$505,BC$3,実績!$AC$6:$AC$505,"&lt;="&amp;$A281,実績!$AD$6:$AD$505,"&gt;"&amp;$A281,実績!$AE$6:$AE$505,"○")&gt;0,1,0))</f>
        <v/>
      </c>
      <c r="BD281">
        <f>IF(BD$4=0,0,IF(COUNTIFS(実績!$W$6:$W$505,BD$3,実績!$AC$6:$AC$505,"&lt;="&amp;$A281,実績!$AD$6:$AD$505,"&gt;"&amp;$A281,実績!$AE$6:$AE$505,"○")&gt;0,1,0))</f>
        <v/>
      </c>
      <c r="BE281">
        <f>IF(BE$4=0,0,IF(COUNTIFS(実績!$W$6:$W$505,BE$3,実績!$AC$6:$AC$505,"&lt;="&amp;$A281,実績!$AD$6:$AD$505,"&gt;"&amp;$A281,実績!$AE$6:$AE$505,"○")&gt;0,1,0))</f>
        <v/>
      </c>
      <c r="BF281">
        <f>IF(BF$4=0,0,IF(COUNTIFS(実績!$W$6:$W$505,BF$3,実績!$AC$6:$AC$505,"&lt;="&amp;$A281,実績!$AD$6:$AD$505,"&gt;"&amp;$A281,実績!$AE$6:$AE$505,"○")&gt;0,1,0))</f>
        <v/>
      </c>
      <c r="BG281">
        <f>IF(BG$4=0,0,IF(COUNTIFS(実績!$W$6:$W$505,BG$3,実績!$AC$6:$AC$505,"&lt;="&amp;$A281,実績!$AD$6:$AD$505,"&gt;"&amp;$A281,実績!$AE$6:$AE$505,"○")&gt;0,1,0))</f>
        <v/>
      </c>
      <c r="BH281">
        <f>IF(BH$4=0,0,IF(COUNTIFS(実績!$W$6:$W$505,BH$3,実績!$AC$6:$AC$505,"&lt;="&amp;$A281,実績!$AD$6:$AD$505,"&gt;"&amp;$A281,実績!$AE$6:$AE$505,"○")&gt;0,1,0))</f>
        <v/>
      </c>
      <c r="BI281">
        <f>IF(BI$4=0,0,IF(COUNTIFS(実績!$W$6:$W$505,BI$3,実績!$AC$6:$AC$505,"&lt;="&amp;$A281,実績!$AD$6:$AD$505,"&gt;"&amp;$A281,実績!$AE$6:$AE$505,"○")&gt;0,1,0))</f>
        <v/>
      </c>
      <c r="BJ281">
        <f>IF(BJ$4=0,0,IF(COUNTIFS(実績!$W$6:$W$505,BJ$3,実績!$AC$6:$AC$505,"&lt;="&amp;$A281,実績!$AD$6:$AD$505,"&gt;"&amp;$A281,実績!$AE$6:$AE$505,"○")&gt;0,1,0))</f>
        <v/>
      </c>
      <c r="BK281">
        <f>IF(BK$4=0,0,IF(COUNTIFS(実績!$W$6:$W$505,BK$3,実績!$AC$6:$AC$505,"&lt;="&amp;$A281,実績!$AD$6:$AD$505,"&gt;"&amp;$A281,実績!$AE$6:$AE$505,"○")&gt;0,1,0))</f>
        <v/>
      </c>
      <c r="BL281">
        <f>IF(BL$4=0,0,IF(COUNTIFS(実績!$W$6:$W$505,BL$3,実績!$AC$6:$AC$505,"&lt;="&amp;$A281,実績!$AD$6:$AD$505,"&gt;"&amp;$A281,実績!$AE$6:$AE$505,"○")&gt;0,1,0))</f>
        <v/>
      </c>
      <c r="BM281">
        <f>IF(BM$4=0,0,IF(COUNTIFS(実績!$W$6:$W$505,BM$3,実績!$AC$6:$AC$505,"&lt;="&amp;$A281,実績!$AD$6:$AD$505,"&gt;"&amp;$A281,実績!$AE$6:$AE$505,"○")&gt;0,1,0))</f>
        <v/>
      </c>
      <c r="BN281">
        <f>IF(BN$4=0,0,IF(COUNTIFS(実績!$W$6:$W$505,BN$3,実績!$AC$6:$AC$505,"&lt;="&amp;$A281,実績!$AD$6:$AD$505,"&gt;"&amp;$A281,実績!$AE$6:$AE$505,"○")&gt;0,1,0))</f>
        <v/>
      </c>
      <c r="BO281">
        <f>IF(BO$4=0,0,IF(COUNTIFS(実績!$W$6:$W$505,BO$3,実績!$AC$6:$AC$505,"&lt;="&amp;$A281,実績!$AD$6:$AD$505,"&gt;"&amp;$A281,実績!$AE$6:$AE$505,"○")&gt;0,1,0))</f>
        <v/>
      </c>
      <c r="BP281">
        <f>IF(BP$4=0,0,IF(COUNTIFS(実績!$W$6:$W$505,BP$3,実績!$AC$6:$AC$505,"&lt;="&amp;$A281,実績!$AD$6:$AD$505,"&gt;"&amp;$A281,実績!$AE$6:$AE$505,"○")&gt;0,1,0))</f>
        <v/>
      </c>
      <c r="BQ281">
        <f>IF(BQ$4=0,0,IF(COUNTIFS(実績!$W$6:$W$505,BQ$3,実績!$AC$6:$AC$505,"&lt;="&amp;$A281,実績!$AD$6:$AD$505,"&gt;"&amp;$A281,実績!$AE$6:$AE$505,"○")&gt;0,1,0))</f>
        <v/>
      </c>
      <c r="BR281">
        <f>IF(BR$4=0,0,IF(COUNTIFS(実績!$W$6:$W$505,BR$3,実績!$AC$6:$AC$505,"&lt;="&amp;$A281,実績!$AD$6:$AD$505,"&gt;"&amp;$A281,実績!$AE$6:$AE$505,"○")&gt;0,1,0))</f>
        <v/>
      </c>
      <c r="BS281">
        <f>IF(BS$4=0,0,IF(COUNTIFS(実績!$W$6:$W$505,BS$3,実績!$AC$6:$AC$505,"&lt;="&amp;$A281,実績!$AD$6:$AD$505,"&gt;"&amp;$A281,実績!$AE$6:$AE$505,"○")&gt;0,1,0))</f>
        <v/>
      </c>
      <c r="BT281">
        <f>IF(BT$4=0,0,IF(COUNTIFS(実績!$W$6:$W$505,BT$3,実績!$AC$6:$AC$505,"&lt;="&amp;$A281,実績!$AD$6:$AD$505,"&gt;"&amp;$A281,実績!$AE$6:$AE$505,"○")&gt;0,1,0))</f>
        <v/>
      </c>
      <c r="BU281">
        <f>IF(BU$4=0,0,IF(COUNTIFS(実績!$W$6:$W$505,BU$3,実績!$AC$6:$AC$505,"&lt;="&amp;$A281,実績!$AD$6:$AD$505,"&gt;"&amp;$A281,実績!$AE$6:$AE$505,"○")&gt;0,1,0))</f>
        <v/>
      </c>
      <c r="BV281">
        <f>IF(BV$4=0,0,IF(COUNTIFS(実績!$W$6:$W$505,BV$3,実績!$AC$6:$AC$505,"&lt;="&amp;$A281,実績!$AD$6:$AD$505,"&gt;"&amp;$A281,実績!$AE$6:$AE$505,"○")&gt;0,1,0))</f>
        <v/>
      </c>
      <c r="BW281">
        <f>IF(BW$4=0,0,IF(COUNTIFS(実績!$W$6:$W$505,BW$3,実績!$AC$6:$AC$505,"&lt;="&amp;$A281,実績!$AD$6:$AD$505,"&gt;"&amp;$A281,実績!$AE$6:$AE$505,"○")&gt;0,1,0))</f>
        <v/>
      </c>
      <c r="BX281">
        <f>IF(BX$4=0,0,IF(COUNTIFS(実績!$W$6:$W$505,BX$3,実績!$AC$6:$AC$505,"&lt;="&amp;$A281,実績!$AD$6:$AD$505,"&gt;"&amp;$A281,実績!$AE$6:$AE$505,"○")&gt;0,1,0))</f>
        <v/>
      </c>
      <c r="BY281">
        <f>IF(BY$4=0,0,IF(COUNTIFS(実績!$W$6:$W$505,BY$3,実績!$AC$6:$AC$505,"&lt;="&amp;$A281,実績!$AD$6:$AD$505,"&gt;"&amp;$A281,実績!$AE$6:$AE$505,"○")&gt;0,1,0))</f>
        <v/>
      </c>
      <c r="BZ281">
        <f>IF(BZ$4=0,0,IF(COUNTIFS(実績!$W$6:$W$505,BZ$3,実績!$AC$6:$AC$505,"&lt;="&amp;$A281,実績!$AD$6:$AD$505,"&gt;"&amp;$A281,実績!$AE$6:$AE$505,"○")&gt;0,1,0))</f>
        <v/>
      </c>
      <c r="CA281">
        <f>IF(CA$4=0,0,IF(COUNTIFS(実績!$W$6:$W$505,CA$3,実績!$AC$6:$AC$505,"&lt;="&amp;$A281,実績!$AD$6:$AD$505,"&gt;"&amp;$A281,実績!$AE$6:$AE$505,"○")&gt;0,1,0))</f>
        <v/>
      </c>
      <c r="CB281">
        <f>IF(CB$4=0,0,IF(COUNTIFS(実績!$W$6:$W$505,CB$3,実績!$AC$6:$AC$505,"&lt;="&amp;$A281,実績!$AD$6:$AD$505,"&gt;"&amp;$A281,実績!$AE$6:$AE$505,"○")&gt;0,1,0))</f>
        <v/>
      </c>
      <c r="CC281">
        <f>IF(CC$4=0,0,IF(COUNTIFS(実績!$W$6:$W$505,CC$3,実績!$AC$6:$AC$505,"&lt;="&amp;$A281,実績!$AD$6:$AD$505,"&gt;"&amp;$A281,実績!$AE$6:$AE$505,"○")&gt;0,1,0))</f>
        <v/>
      </c>
      <c r="CD281">
        <f>IF(CD$4=0,0,IF(COUNTIFS(実績!$W$6:$W$505,CD$3,実績!$AC$6:$AC$505,"&lt;="&amp;$A281,実績!$AD$6:$AD$505,"&gt;"&amp;$A281,実績!$AE$6:$AE$505,"○")&gt;0,1,0))</f>
        <v/>
      </c>
      <c r="CE281">
        <f>IF(CE$4=0,0,IF(COUNTIFS(実績!$W$6:$W$505,CE$3,実績!$AC$6:$AC$505,"&lt;="&amp;$A281,実績!$AD$6:$AD$505,"&gt;"&amp;$A281,実績!$AE$6:$AE$505,"○")&gt;0,1,0))</f>
        <v/>
      </c>
      <c r="CF281">
        <f>IF(CF$4=0,0,IF(COUNTIFS(実績!$W$6:$W$505,CF$3,実績!$AC$6:$AC$505,"&lt;="&amp;$A281,実績!$AD$6:$AD$505,"&gt;"&amp;$A281,実績!$AE$6:$AE$505,"○")&gt;0,1,0))</f>
        <v/>
      </c>
      <c r="CG281">
        <f>IF(CG$4=0,0,IF(COUNTIFS(実績!$W$6:$W$505,CG$3,実績!$AC$6:$AC$505,"&lt;="&amp;$A281,実績!$AD$6:$AD$505,"&gt;"&amp;$A281,実績!$AE$6:$AE$505,"○")&gt;0,1,0))</f>
        <v/>
      </c>
      <c r="CH281">
        <f>IF(CH$4=0,0,IF(COUNTIFS(実績!$W$6:$W$505,CH$3,実績!$AC$6:$AC$505,"&lt;="&amp;$A281,実績!$AD$6:$AD$505,"&gt;"&amp;$A281,実績!$AE$6:$AE$505,"○")&gt;0,1,0))</f>
        <v/>
      </c>
      <c r="CI281">
        <f>IF(CI$4=0,0,IF(COUNTIFS(実績!$W$6:$W$505,CI$3,実績!$AC$6:$AC$505,"&lt;="&amp;$A281,実績!$AD$6:$AD$505,"&gt;"&amp;$A281,実績!$AE$6:$AE$505,"○")&gt;0,1,0))</f>
        <v/>
      </c>
      <c r="CJ281">
        <f>IF(CJ$4=0,0,IF(COUNTIFS(実績!$W$6:$W$505,CJ$3,実績!$AC$6:$AC$505,"&lt;="&amp;$A281,実績!$AD$6:$AD$505,"&gt;"&amp;$A281,実績!$AE$6:$AE$505,"○")&gt;0,1,0))</f>
        <v/>
      </c>
      <c r="CK281">
        <f>IF(CK$4=0,0,IF(COUNTIFS(実績!$W$6:$W$505,CK$3,実績!$AC$6:$AC$505,"&lt;="&amp;$A281,実績!$AD$6:$AD$505,"&gt;"&amp;$A281,実績!$AE$6:$AE$505,"○")&gt;0,1,0))</f>
        <v/>
      </c>
      <c r="CL281">
        <f>IF(CL$4=0,0,IF(COUNTIFS(実績!$W$6:$W$505,CL$3,実績!$AC$6:$AC$505,"&lt;="&amp;$A281,実績!$AD$6:$AD$505,"&gt;"&amp;$A281,実績!$AE$6:$AE$505,"○")&gt;0,1,0))</f>
        <v/>
      </c>
      <c r="CM281">
        <f>IF(CM$4=0,0,IF(COUNTIFS(実績!$W$6:$W$505,CM$3,実績!$AC$6:$AC$505,"&lt;="&amp;$A281,実績!$AD$6:$AD$505,"&gt;"&amp;$A281,実績!$AE$6:$AE$505,"○")&gt;0,1,0))</f>
        <v/>
      </c>
      <c r="CN281">
        <f>IF(CN$4=0,0,IF(COUNTIFS(実績!$W$6:$W$505,CN$3,実績!$AC$6:$AC$505,"&lt;="&amp;$A281,実績!$AD$6:$AD$505,"&gt;"&amp;$A281,実績!$AE$6:$AE$505,"○")&gt;0,1,0))</f>
        <v/>
      </c>
      <c r="CO281">
        <f>IF(CO$4=0,0,IF(COUNTIFS(実績!$W$6:$W$505,CO$3,実績!$AC$6:$AC$505,"&lt;="&amp;$A281,実績!$AD$6:$AD$505,"&gt;"&amp;$A281,実績!$AE$6:$AE$505,"○")&gt;0,1,0))</f>
        <v/>
      </c>
      <c r="CP281">
        <f>IF(CP$4=0,0,IF(COUNTIFS(実績!$W$6:$W$505,CP$3,実績!$AC$6:$AC$505,"&lt;="&amp;$A281,実績!$AD$6:$AD$505,"&gt;"&amp;$A281,実績!$AE$6:$AE$505,"○")&gt;0,1,0))</f>
        <v/>
      </c>
      <c r="CQ281">
        <f>IF(CQ$4=0,0,IF(COUNTIFS(実績!$W$6:$W$505,CQ$3,実績!$AC$6:$AC$505,"&lt;="&amp;$A281,実績!$AD$6:$AD$505,"&gt;"&amp;$A281,実績!$AE$6:$AE$505,"○")&gt;0,1,0))</f>
        <v/>
      </c>
      <c r="CR281">
        <f>IF(CR$4=0,0,IF(COUNTIFS(実績!$W$6:$W$505,CR$3,実績!$AC$6:$AC$505,"&lt;="&amp;$A281,実績!$AD$6:$AD$505,"&gt;"&amp;$A281,実績!$AE$6:$AE$505,"○")&gt;0,1,0))</f>
        <v/>
      </c>
      <c r="CS281">
        <f>IF(CS$4=0,0,IF(COUNTIFS(実績!$W$6:$W$505,CS$3,実績!$AC$6:$AC$505,"&lt;="&amp;$A281,実績!$AD$6:$AD$505,"&gt;"&amp;$A281,実績!$AE$6:$AE$505,"○")&gt;0,1,0))</f>
        <v/>
      </c>
      <c r="CT281">
        <f>IF(CT$4=0,0,IF(COUNTIFS(実績!$W$6:$W$505,CT$3,実績!$AC$6:$AC$505,"&lt;="&amp;$A281,実績!$AD$6:$AD$505,"&gt;"&amp;$A281,実績!$AE$6:$AE$505,"○")&gt;0,1,0))</f>
        <v/>
      </c>
      <c r="CU281">
        <f>IF(CU$4=0,0,IF(COUNTIFS(実績!$W$6:$W$505,CU$3,実績!$AC$6:$AC$505,"&lt;="&amp;$A281,実績!$AD$6:$AD$505,"&gt;"&amp;$A281,実績!$AE$6:$AE$505,"○")&gt;0,1,0))</f>
        <v/>
      </c>
      <c r="CV281">
        <f>IF(CV$4=0,0,IF(COUNTIFS(実績!$W$6:$W$505,CV$3,実績!$AC$6:$AC$505,"&lt;="&amp;$A281,実績!$AD$6:$AD$505,"&gt;"&amp;$A281,実績!$AE$6:$AE$505,"○")&gt;0,1,0))</f>
        <v/>
      </c>
      <c r="CW281">
        <f>IF(CW$4=0,0,IF(COUNTIFS(実績!$W$6:$W$505,CW$3,実績!$AC$6:$AC$505,"&lt;="&amp;$A281,実績!$AD$6:$AD$505,"&gt;"&amp;$A281,実績!$AE$6:$AE$505,"○")&gt;0,1,0))</f>
        <v/>
      </c>
      <c r="CX281">
        <f>IF(CX$4=0,0,IF(COUNTIFS(実績!$W$6:$W$505,CX$3,実績!$AC$6:$AC$505,"&lt;="&amp;$A281,実績!$AD$6:$AD$505,"&gt;"&amp;$A281,実績!$AE$6:$AE$505,"○")&gt;0,1,0))</f>
        <v/>
      </c>
      <c r="CY281">
        <f>IF(CY$4=0,0,IF(COUNTIFS(実績!$W$6:$W$505,CY$3,実績!$AC$6:$AC$505,"&lt;="&amp;$A281,実績!$AD$6:$AD$505,"&gt;"&amp;$A281,実績!$AE$6:$AE$505,"○")&gt;0,1,0))</f>
        <v/>
      </c>
      <c r="CZ281">
        <f>IF(CZ$4=0,0,IF(COUNTIFS(実績!$W$6:$W$505,CZ$3,実績!$AC$6:$AC$505,"&lt;="&amp;$A281,実績!$AD$6:$AD$505,"&gt;"&amp;$A281,実績!$AE$6:$AE$505,"○")&gt;0,1,0))</f>
        <v/>
      </c>
      <c r="DA281">
        <f>IF(DA$4=0,0,IF(COUNTIFS(実績!$W$6:$W$505,DA$3,実績!$AC$6:$AC$505,"&lt;="&amp;$A281,実績!$AD$6:$AD$505,"&gt;"&amp;$A281,実績!$AE$6:$AE$505,"○")&gt;0,1,0))</f>
        <v/>
      </c>
      <c r="DB281">
        <f>IF(DB$4=0,0,IF(COUNTIFS(実績!$W$6:$W$505,DB$3,実績!$AC$6:$AC$505,"&lt;="&amp;$A281,実績!$AD$6:$AD$505,"&gt;"&amp;$A281,実績!$AE$6:$AE$505,"○")&gt;0,1,0))</f>
        <v/>
      </c>
      <c r="DC281">
        <f>IF(DC$4=0,0,IF(COUNTIFS(実績!$W$6:$W$505,DC$3,実績!$AC$6:$AC$505,"&lt;="&amp;$A281,実績!$AD$6:$AD$505,"&gt;"&amp;$A281,実績!$AE$6:$AE$505,"○")&gt;0,1,0))</f>
        <v/>
      </c>
      <c r="DD281">
        <f>IF(DD$4=0,0,IF(COUNTIFS(実績!$W$6:$W$505,DD$3,実績!$AC$6:$AC$505,"&lt;="&amp;$A281,実績!$AD$6:$AD$505,"&gt;"&amp;$A281,実績!$AE$6:$AE$505,"○")&gt;0,1,0))</f>
        <v/>
      </c>
      <c r="DE281">
        <f>IF(DE$4=0,0,IF(COUNTIFS(実績!$W$6:$W$505,DE$3,実績!$AC$6:$AC$505,"&lt;="&amp;$A281,実績!$AD$6:$AD$505,"&gt;"&amp;$A281,実績!$AE$6:$AE$505,"○")&gt;0,1,0))</f>
        <v/>
      </c>
      <c r="DF281">
        <f>IF(DF$4=0,0,IF(COUNTIFS(実績!$W$6:$W$505,DF$3,実績!$AC$6:$AC$505,"&lt;="&amp;$A281,実績!$AD$6:$AD$505,"&gt;"&amp;$A281,実績!$AE$6:$AE$505,"○")&gt;0,1,0))</f>
        <v/>
      </c>
      <c r="DG281">
        <f>IF(DG$4=0,0,IF(COUNTIFS(実績!$W$6:$W$505,DG$3,実績!$AC$6:$AC$505,"&lt;="&amp;$A281,実績!$AD$6:$AD$505,"&gt;"&amp;$A281,実績!$AE$6:$AE$505,"○")&gt;0,1,0))</f>
        <v/>
      </c>
      <c r="DH281">
        <f>IF(DH$4=0,0,IF(COUNTIFS(実績!$W$6:$W$505,DH$3,実績!$AC$6:$AC$505,"&lt;="&amp;$A281,実績!$AD$6:$AD$505,"&gt;"&amp;$A281,実績!$AE$6:$AE$505,"○")&gt;0,1,0))</f>
        <v/>
      </c>
      <c r="DI281">
        <f>IF(DI$4=0,0,IF(COUNTIFS(実績!$W$6:$W$505,DI$3,実績!$AC$6:$AC$505,"&lt;="&amp;$A281,実績!$AD$6:$AD$505,"&gt;"&amp;$A281,実績!$AE$6:$AE$505,"○")&gt;0,1,0))</f>
        <v/>
      </c>
      <c r="DJ281">
        <f>IF(DJ$4=0,0,IF(COUNTIFS(実績!$W$6:$W$505,DJ$3,実績!$AC$6:$AC$505,"&lt;="&amp;$A281,実績!$AD$6:$AD$505,"&gt;"&amp;$A281,実績!$AE$6:$AE$505,"○")&gt;0,1,0))</f>
        <v/>
      </c>
      <c r="DK281">
        <f>IF(DK$4=0,0,IF(COUNTIFS(実績!$W$6:$W$505,DK$3,実績!$AC$6:$AC$505,"&lt;="&amp;$A281,実績!$AD$6:$AD$505,"&gt;"&amp;$A281,実績!$AE$6:$AE$505,"○")&gt;0,1,0))</f>
        <v/>
      </c>
      <c r="DL281">
        <f>IF(DL$4=0,0,IF(COUNTIFS(実績!$W$6:$W$505,DL$3,実績!$AC$6:$AC$505,"&lt;="&amp;$A281,実績!$AD$6:$AD$505,"&gt;"&amp;$A281,実績!$AE$6:$AE$505,"○")&gt;0,1,0))</f>
        <v/>
      </c>
      <c r="DM281">
        <f>IF(DM$4=0,0,IF(COUNTIFS(実績!$W$6:$W$505,DM$3,実績!$AC$6:$AC$505,"&lt;="&amp;$A281,実績!$AD$6:$AD$505,"&gt;"&amp;$A281,実績!$AE$6:$AE$505,"○")&gt;0,1,0))</f>
        <v/>
      </c>
      <c r="DN281">
        <f>IF(DN$4=0,0,IF(COUNTIFS(実績!$W$6:$W$505,DN$3,実績!$AC$6:$AC$505,"&lt;="&amp;$A281,実績!$AD$6:$AD$505,"&gt;"&amp;$A281,実績!$AE$6:$AE$505,"○")&gt;0,1,0))</f>
        <v/>
      </c>
      <c r="DO281">
        <f>IF(DO$4=0,0,IF(COUNTIFS(実績!$W$6:$W$505,DO$3,実績!$AC$6:$AC$505,"&lt;="&amp;$A281,実績!$AD$6:$AD$505,"&gt;"&amp;$A281,実績!$AE$6:$AE$505,"○")&gt;0,1,0))</f>
        <v/>
      </c>
      <c r="DP281">
        <f>IF(DP$4=0,0,IF(COUNTIFS(実績!$W$6:$W$505,DP$3,実績!$AC$6:$AC$505,"&lt;="&amp;$A281,実績!$AD$6:$AD$505,"&gt;"&amp;$A281,実績!$AE$6:$AE$505,"○")&gt;0,1,0))</f>
        <v/>
      </c>
      <c r="DQ281">
        <f>IF(DQ$4=0,0,IF(COUNTIFS(実績!$W$6:$W$505,DQ$3,実績!$AC$6:$AC$505,"&lt;="&amp;$A281,実績!$AD$6:$AD$505,"&gt;"&amp;$A281,実績!$AE$6:$AE$505,"○")&gt;0,1,0))</f>
        <v/>
      </c>
      <c r="DR281">
        <f>IF(DR$4=0,0,IF(COUNTIFS(実績!$W$6:$W$505,DR$3,実績!$AC$6:$AC$505,"&lt;="&amp;$A281,実績!$AD$6:$AD$505,"&gt;"&amp;$A281,実績!$AE$6:$AE$505,"○")&gt;0,1,0))</f>
        <v/>
      </c>
      <c r="DS281">
        <f>SUM(C281:DR281)</f>
        <v/>
      </c>
      <c r="DT281">
        <f>SUMPRODUCT((実績!$C$6:$C$505="○")*ISNUMBER(実績!$AF$6:$AF$505)*(実績!$AF$6:$AF$505&lt;=$A281)*(実績!$AG$6:$AG$505&gt;$A281))</f>
        <v/>
      </c>
      <c r="DU281">
        <f>SUMIF($C$2:$DR$2,"製鉄曳船",C281:DR281)</f>
        <v/>
      </c>
      <c r="DV281">
        <f>SUMIF($C$2:$DR$2,"西日本海運",C281:DR281)</f>
        <v/>
      </c>
    </row>
    <row r="282">
      <c r="A282" t="n">
        <v>1380</v>
      </c>
      <c r="B282" s="29">
        <f>A282/1440</f>
        <v/>
      </c>
      <c r="C282">
        <f>IF(C$4=0,0,IF(COUNTIFS(実績!$W$6:$W$505,C$3,実績!$AC$6:$AC$505,"&lt;="&amp;$A282,実績!$AD$6:$AD$505,"&gt;"&amp;$A282,実績!$AE$6:$AE$505,"○")&gt;0,1,0))</f>
        <v/>
      </c>
      <c r="D282">
        <f>IF(D$4=0,0,IF(COUNTIFS(実績!$W$6:$W$505,D$3,実績!$AC$6:$AC$505,"&lt;="&amp;$A282,実績!$AD$6:$AD$505,"&gt;"&amp;$A282,実績!$AE$6:$AE$505,"○")&gt;0,1,0))</f>
        <v/>
      </c>
      <c r="E282">
        <f>IF(E$4=0,0,IF(COUNTIFS(実績!$W$6:$W$505,E$3,実績!$AC$6:$AC$505,"&lt;="&amp;$A282,実績!$AD$6:$AD$505,"&gt;"&amp;$A282,実績!$AE$6:$AE$505,"○")&gt;0,1,0))</f>
        <v/>
      </c>
      <c r="F282">
        <f>IF(F$4=0,0,IF(COUNTIFS(実績!$W$6:$W$505,F$3,実績!$AC$6:$AC$505,"&lt;="&amp;$A282,実績!$AD$6:$AD$505,"&gt;"&amp;$A282,実績!$AE$6:$AE$505,"○")&gt;0,1,0))</f>
        <v/>
      </c>
      <c r="G282">
        <f>IF(G$4=0,0,IF(COUNTIFS(実績!$W$6:$W$505,G$3,実績!$AC$6:$AC$505,"&lt;="&amp;$A282,実績!$AD$6:$AD$505,"&gt;"&amp;$A282,実績!$AE$6:$AE$505,"○")&gt;0,1,0))</f>
        <v/>
      </c>
      <c r="H282">
        <f>IF(H$4=0,0,IF(COUNTIFS(実績!$W$6:$W$505,H$3,実績!$AC$6:$AC$505,"&lt;="&amp;$A282,実績!$AD$6:$AD$505,"&gt;"&amp;$A282,実績!$AE$6:$AE$505,"○")&gt;0,1,0))</f>
        <v/>
      </c>
      <c r="I282">
        <f>IF(I$4=0,0,IF(COUNTIFS(実績!$W$6:$W$505,I$3,実績!$AC$6:$AC$505,"&lt;="&amp;$A282,実績!$AD$6:$AD$505,"&gt;"&amp;$A282,実績!$AE$6:$AE$505,"○")&gt;0,1,0))</f>
        <v/>
      </c>
      <c r="J282">
        <f>IF(J$4=0,0,IF(COUNTIFS(実績!$W$6:$W$505,J$3,実績!$AC$6:$AC$505,"&lt;="&amp;$A282,実績!$AD$6:$AD$505,"&gt;"&amp;$A282,実績!$AE$6:$AE$505,"○")&gt;0,1,0))</f>
        <v/>
      </c>
      <c r="K282">
        <f>IF(K$4=0,0,IF(COUNTIFS(実績!$W$6:$W$505,K$3,実績!$AC$6:$AC$505,"&lt;="&amp;$A282,実績!$AD$6:$AD$505,"&gt;"&amp;$A282,実績!$AE$6:$AE$505,"○")&gt;0,1,0))</f>
        <v/>
      </c>
      <c r="L282">
        <f>IF(L$4=0,0,IF(COUNTIFS(実績!$W$6:$W$505,L$3,実績!$AC$6:$AC$505,"&lt;="&amp;$A282,実績!$AD$6:$AD$505,"&gt;"&amp;$A282,実績!$AE$6:$AE$505,"○")&gt;0,1,0))</f>
        <v/>
      </c>
      <c r="M282">
        <f>IF(M$4=0,0,IF(COUNTIFS(実績!$W$6:$W$505,M$3,実績!$AC$6:$AC$505,"&lt;="&amp;$A282,実績!$AD$6:$AD$505,"&gt;"&amp;$A282,実績!$AE$6:$AE$505,"○")&gt;0,1,0))</f>
        <v/>
      </c>
      <c r="N282">
        <f>IF(N$4=0,0,IF(COUNTIFS(実績!$W$6:$W$505,N$3,実績!$AC$6:$AC$505,"&lt;="&amp;$A282,実績!$AD$6:$AD$505,"&gt;"&amp;$A282,実績!$AE$6:$AE$505,"○")&gt;0,1,0))</f>
        <v/>
      </c>
      <c r="O282">
        <f>IF(O$4=0,0,IF(COUNTIFS(実績!$W$6:$W$505,O$3,実績!$AC$6:$AC$505,"&lt;="&amp;$A282,実績!$AD$6:$AD$505,"&gt;"&amp;$A282,実績!$AE$6:$AE$505,"○")&gt;0,1,0))</f>
        <v/>
      </c>
      <c r="P282">
        <f>IF(P$4=0,0,IF(COUNTIFS(実績!$W$6:$W$505,P$3,実績!$AC$6:$AC$505,"&lt;="&amp;$A282,実績!$AD$6:$AD$505,"&gt;"&amp;$A282,実績!$AE$6:$AE$505,"○")&gt;0,1,0))</f>
        <v/>
      </c>
      <c r="Q282">
        <f>IF(Q$4=0,0,IF(COUNTIFS(実績!$W$6:$W$505,Q$3,実績!$AC$6:$AC$505,"&lt;="&amp;$A282,実績!$AD$6:$AD$505,"&gt;"&amp;$A282,実績!$AE$6:$AE$505,"○")&gt;0,1,0))</f>
        <v/>
      </c>
      <c r="R282">
        <f>IF(R$4=0,0,IF(COUNTIFS(実績!$W$6:$W$505,R$3,実績!$AC$6:$AC$505,"&lt;="&amp;$A282,実績!$AD$6:$AD$505,"&gt;"&amp;$A282,実績!$AE$6:$AE$505,"○")&gt;0,1,0))</f>
        <v/>
      </c>
      <c r="S282">
        <f>IF(S$4=0,0,IF(COUNTIFS(実績!$W$6:$W$505,S$3,実績!$AC$6:$AC$505,"&lt;="&amp;$A282,実績!$AD$6:$AD$505,"&gt;"&amp;$A282,実績!$AE$6:$AE$505,"○")&gt;0,1,0))</f>
        <v/>
      </c>
      <c r="T282">
        <f>IF(T$4=0,0,IF(COUNTIFS(実績!$W$6:$W$505,T$3,実績!$AC$6:$AC$505,"&lt;="&amp;$A282,実績!$AD$6:$AD$505,"&gt;"&amp;$A282,実績!$AE$6:$AE$505,"○")&gt;0,1,0))</f>
        <v/>
      </c>
      <c r="U282">
        <f>IF(U$4=0,0,IF(COUNTIFS(実績!$W$6:$W$505,U$3,実績!$AC$6:$AC$505,"&lt;="&amp;$A282,実績!$AD$6:$AD$505,"&gt;"&amp;$A282,実績!$AE$6:$AE$505,"○")&gt;0,1,0))</f>
        <v/>
      </c>
      <c r="V282">
        <f>IF(V$4=0,0,IF(COUNTIFS(実績!$W$6:$W$505,V$3,実績!$AC$6:$AC$505,"&lt;="&amp;$A282,実績!$AD$6:$AD$505,"&gt;"&amp;$A282,実績!$AE$6:$AE$505,"○")&gt;0,1,0))</f>
        <v/>
      </c>
      <c r="W282">
        <f>IF(W$4=0,0,IF(COUNTIFS(実績!$W$6:$W$505,W$3,実績!$AC$6:$AC$505,"&lt;="&amp;$A282,実績!$AD$6:$AD$505,"&gt;"&amp;$A282,実績!$AE$6:$AE$505,"○")&gt;0,1,0))</f>
        <v/>
      </c>
      <c r="X282">
        <f>IF(X$4=0,0,IF(COUNTIFS(実績!$W$6:$W$505,X$3,実績!$AC$6:$AC$505,"&lt;="&amp;$A282,実績!$AD$6:$AD$505,"&gt;"&amp;$A282,実績!$AE$6:$AE$505,"○")&gt;0,1,0))</f>
        <v/>
      </c>
      <c r="Y282">
        <f>IF(Y$4=0,0,IF(COUNTIFS(実績!$W$6:$W$505,Y$3,実績!$AC$6:$AC$505,"&lt;="&amp;$A282,実績!$AD$6:$AD$505,"&gt;"&amp;$A282,実績!$AE$6:$AE$505,"○")&gt;0,1,0))</f>
        <v/>
      </c>
      <c r="Z282">
        <f>IF(Z$4=0,0,IF(COUNTIFS(実績!$W$6:$W$505,Z$3,実績!$AC$6:$AC$505,"&lt;="&amp;$A282,実績!$AD$6:$AD$505,"&gt;"&amp;$A282,実績!$AE$6:$AE$505,"○")&gt;0,1,0))</f>
        <v/>
      </c>
      <c r="AA282">
        <f>IF(AA$4=0,0,IF(COUNTIFS(実績!$W$6:$W$505,AA$3,実績!$AC$6:$AC$505,"&lt;="&amp;$A282,実績!$AD$6:$AD$505,"&gt;"&amp;$A282,実績!$AE$6:$AE$505,"○")&gt;0,1,0))</f>
        <v/>
      </c>
      <c r="AB282">
        <f>IF(AB$4=0,0,IF(COUNTIFS(実績!$W$6:$W$505,AB$3,実績!$AC$6:$AC$505,"&lt;="&amp;$A282,実績!$AD$6:$AD$505,"&gt;"&amp;$A282,実績!$AE$6:$AE$505,"○")&gt;0,1,0))</f>
        <v/>
      </c>
      <c r="AC282">
        <f>IF(AC$4=0,0,IF(COUNTIFS(実績!$W$6:$W$505,AC$3,実績!$AC$6:$AC$505,"&lt;="&amp;$A282,実績!$AD$6:$AD$505,"&gt;"&amp;$A282,実績!$AE$6:$AE$505,"○")&gt;0,1,0))</f>
        <v/>
      </c>
      <c r="AD282">
        <f>IF(AD$4=0,0,IF(COUNTIFS(実績!$W$6:$W$505,AD$3,実績!$AC$6:$AC$505,"&lt;="&amp;$A282,実績!$AD$6:$AD$505,"&gt;"&amp;$A282,実績!$AE$6:$AE$505,"○")&gt;0,1,0))</f>
        <v/>
      </c>
      <c r="AE282">
        <f>IF(AE$4=0,0,IF(COUNTIFS(実績!$W$6:$W$505,AE$3,実績!$AC$6:$AC$505,"&lt;="&amp;$A282,実績!$AD$6:$AD$505,"&gt;"&amp;$A282,実績!$AE$6:$AE$505,"○")&gt;0,1,0))</f>
        <v/>
      </c>
      <c r="AF282">
        <f>IF(AF$4=0,0,IF(COUNTIFS(実績!$W$6:$W$505,AF$3,実績!$AC$6:$AC$505,"&lt;="&amp;$A282,実績!$AD$6:$AD$505,"&gt;"&amp;$A282,実績!$AE$6:$AE$505,"○")&gt;0,1,0))</f>
        <v/>
      </c>
      <c r="AG282">
        <f>IF(AG$4=0,0,IF(COUNTIFS(実績!$W$6:$W$505,AG$3,実績!$AC$6:$AC$505,"&lt;="&amp;$A282,実績!$AD$6:$AD$505,"&gt;"&amp;$A282,実績!$AE$6:$AE$505,"○")&gt;0,1,0))</f>
        <v/>
      </c>
      <c r="AH282">
        <f>IF(AH$4=0,0,IF(COUNTIFS(実績!$W$6:$W$505,AH$3,実績!$AC$6:$AC$505,"&lt;="&amp;$A282,実績!$AD$6:$AD$505,"&gt;"&amp;$A282,実績!$AE$6:$AE$505,"○")&gt;0,1,0))</f>
        <v/>
      </c>
      <c r="AI282">
        <f>IF(AI$4=0,0,IF(COUNTIFS(実績!$W$6:$W$505,AI$3,実績!$AC$6:$AC$505,"&lt;="&amp;$A282,実績!$AD$6:$AD$505,"&gt;"&amp;$A282,実績!$AE$6:$AE$505,"○")&gt;0,1,0))</f>
        <v/>
      </c>
      <c r="AJ282">
        <f>IF(AJ$4=0,0,IF(COUNTIFS(実績!$W$6:$W$505,AJ$3,実績!$AC$6:$AC$505,"&lt;="&amp;$A282,実績!$AD$6:$AD$505,"&gt;"&amp;$A282,実績!$AE$6:$AE$505,"○")&gt;0,1,0))</f>
        <v/>
      </c>
      <c r="AK282">
        <f>IF(AK$4=0,0,IF(COUNTIFS(実績!$W$6:$W$505,AK$3,実績!$AC$6:$AC$505,"&lt;="&amp;$A282,実績!$AD$6:$AD$505,"&gt;"&amp;$A282,実績!$AE$6:$AE$505,"○")&gt;0,1,0))</f>
        <v/>
      </c>
      <c r="AL282">
        <f>IF(AL$4=0,0,IF(COUNTIFS(実績!$W$6:$W$505,AL$3,実績!$AC$6:$AC$505,"&lt;="&amp;$A282,実績!$AD$6:$AD$505,"&gt;"&amp;$A282,実績!$AE$6:$AE$505,"○")&gt;0,1,0))</f>
        <v/>
      </c>
      <c r="AM282">
        <f>IF(AM$4=0,0,IF(COUNTIFS(実績!$W$6:$W$505,AM$3,実績!$AC$6:$AC$505,"&lt;="&amp;$A282,実績!$AD$6:$AD$505,"&gt;"&amp;$A282,実績!$AE$6:$AE$505,"○")&gt;0,1,0))</f>
        <v/>
      </c>
      <c r="AN282">
        <f>IF(AN$4=0,0,IF(COUNTIFS(実績!$W$6:$W$505,AN$3,実績!$AC$6:$AC$505,"&lt;="&amp;$A282,実績!$AD$6:$AD$505,"&gt;"&amp;$A282,実績!$AE$6:$AE$505,"○")&gt;0,1,0))</f>
        <v/>
      </c>
      <c r="AO282">
        <f>IF(AO$4=0,0,IF(COUNTIFS(実績!$W$6:$W$505,AO$3,実績!$AC$6:$AC$505,"&lt;="&amp;$A282,実績!$AD$6:$AD$505,"&gt;"&amp;$A282,実績!$AE$6:$AE$505,"○")&gt;0,1,0))</f>
        <v/>
      </c>
      <c r="AP282">
        <f>IF(AP$4=0,0,IF(COUNTIFS(実績!$W$6:$W$505,AP$3,実績!$AC$6:$AC$505,"&lt;="&amp;$A282,実績!$AD$6:$AD$505,"&gt;"&amp;$A282,実績!$AE$6:$AE$505,"○")&gt;0,1,0))</f>
        <v/>
      </c>
      <c r="AQ282">
        <f>IF(AQ$4=0,0,IF(COUNTIFS(実績!$W$6:$W$505,AQ$3,実績!$AC$6:$AC$505,"&lt;="&amp;$A282,実績!$AD$6:$AD$505,"&gt;"&amp;$A282,実績!$AE$6:$AE$505,"○")&gt;0,1,0))</f>
        <v/>
      </c>
      <c r="AR282">
        <f>IF(AR$4=0,0,IF(COUNTIFS(実績!$W$6:$W$505,AR$3,実績!$AC$6:$AC$505,"&lt;="&amp;$A282,実績!$AD$6:$AD$505,"&gt;"&amp;$A282,実績!$AE$6:$AE$505,"○")&gt;0,1,0))</f>
        <v/>
      </c>
      <c r="AS282">
        <f>IF(AS$4=0,0,IF(COUNTIFS(実績!$W$6:$W$505,AS$3,実績!$AC$6:$AC$505,"&lt;="&amp;$A282,実績!$AD$6:$AD$505,"&gt;"&amp;$A282,実績!$AE$6:$AE$505,"○")&gt;0,1,0))</f>
        <v/>
      </c>
      <c r="AT282">
        <f>IF(AT$4=0,0,IF(COUNTIFS(実績!$W$6:$W$505,AT$3,実績!$AC$6:$AC$505,"&lt;="&amp;$A282,実績!$AD$6:$AD$505,"&gt;"&amp;$A282,実績!$AE$6:$AE$505,"○")&gt;0,1,0))</f>
        <v/>
      </c>
      <c r="AU282">
        <f>IF(AU$4=0,0,IF(COUNTIFS(実績!$W$6:$W$505,AU$3,実績!$AC$6:$AC$505,"&lt;="&amp;$A282,実績!$AD$6:$AD$505,"&gt;"&amp;$A282,実績!$AE$6:$AE$505,"○")&gt;0,1,0))</f>
        <v/>
      </c>
      <c r="AV282">
        <f>IF(AV$4=0,0,IF(COUNTIFS(実績!$W$6:$W$505,AV$3,実績!$AC$6:$AC$505,"&lt;="&amp;$A282,実績!$AD$6:$AD$505,"&gt;"&amp;$A282,実績!$AE$6:$AE$505,"○")&gt;0,1,0))</f>
        <v/>
      </c>
      <c r="AW282">
        <f>IF(AW$4=0,0,IF(COUNTIFS(実績!$W$6:$W$505,AW$3,実績!$AC$6:$AC$505,"&lt;="&amp;$A282,実績!$AD$6:$AD$505,"&gt;"&amp;$A282,実績!$AE$6:$AE$505,"○")&gt;0,1,0))</f>
        <v/>
      </c>
      <c r="AX282">
        <f>IF(AX$4=0,0,IF(COUNTIFS(実績!$W$6:$W$505,AX$3,実績!$AC$6:$AC$505,"&lt;="&amp;$A282,実績!$AD$6:$AD$505,"&gt;"&amp;$A282,実績!$AE$6:$AE$505,"○")&gt;0,1,0))</f>
        <v/>
      </c>
      <c r="AY282">
        <f>IF(AY$4=0,0,IF(COUNTIFS(実績!$W$6:$W$505,AY$3,実績!$AC$6:$AC$505,"&lt;="&amp;$A282,実績!$AD$6:$AD$505,"&gt;"&amp;$A282,実績!$AE$6:$AE$505,"○")&gt;0,1,0))</f>
        <v/>
      </c>
      <c r="AZ282">
        <f>IF(AZ$4=0,0,IF(COUNTIFS(実績!$W$6:$W$505,AZ$3,実績!$AC$6:$AC$505,"&lt;="&amp;$A282,実績!$AD$6:$AD$505,"&gt;"&amp;$A282,実績!$AE$6:$AE$505,"○")&gt;0,1,0))</f>
        <v/>
      </c>
      <c r="BA282">
        <f>IF(BA$4=0,0,IF(COUNTIFS(実績!$W$6:$W$505,BA$3,実績!$AC$6:$AC$505,"&lt;="&amp;$A282,実績!$AD$6:$AD$505,"&gt;"&amp;$A282,実績!$AE$6:$AE$505,"○")&gt;0,1,0))</f>
        <v/>
      </c>
      <c r="BB282">
        <f>IF(BB$4=0,0,IF(COUNTIFS(実績!$W$6:$W$505,BB$3,実績!$AC$6:$AC$505,"&lt;="&amp;$A282,実績!$AD$6:$AD$505,"&gt;"&amp;$A282,実績!$AE$6:$AE$505,"○")&gt;0,1,0))</f>
        <v/>
      </c>
      <c r="BC282">
        <f>IF(BC$4=0,0,IF(COUNTIFS(実績!$W$6:$W$505,BC$3,実績!$AC$6:$AC$505,"&lt;="&amp;$A282,実績!$AD$6:$AD$505,"&gt;"&amp;$A282,実績!$AE$6:$AE$505,"○")&gt;0,1,0))</f>
        <v/>
      </c>
      <c r="BD282">
        <f>IF(BD$4=0,0,IF(COUNTIFS(実績!$W$6:$W$505,BD$3,実績!$AC$6:$AC$505,"&lt;="&amp;$A282,実績!$AD$6:$AD$505,"&gt;"&amp;$A282,実績!$AE$6:$AE$505,"○")&gt;0,1,0))</f>
        <v/>
      </c>
      <c r="BE282">
        <f>IF(BE$4=0,0,IF(COUNTIFS(実績!$W$6:$W$505,BE$3,実績!$AC$6:$AC$505,"&lt;="&amp;$A282,実績!$AD$6:$AD$505,"&gt;"&amp;$A282,実績!$AE$6:$AE$505,"○")&gt;0,1,0))</f>
        <v/>
      </c>
      <c r="BF282">
        <f>IF(BF$4=0,0,IF(COUNTIFS(実績!$W$6:$W$505,BF$3,実績!$AC$6:$AC$505,"&lt;="&amp;$A282,実績!$AD$6:$AD$505,"&gt;"&amp;$A282,実績!$AE$6:$AE$505,"○")&gt;0,1,0))</f>
        <v/>
      </c>
      <c r="BG282">
        <f>IF(BG$4=0,0,IF(COUNTIFS(実績!$W$6:$W$505,BG$3,実績!$AC$6:$AC$505,"&lt;="&amp;$A282,実績!$AD$6:$AD$505,"&gt;"&amp;$A282,実績!$AE$6:$AE$505,"○")&gt;0,1,0))</f>
        <v/>
      </c>
      <c r="BH282">
        <f>IF(BH$4=0,0,IF(COUNTIFS(実績!$W$6:$W$505,BH$3,実績!$AC$6:$AC$505,"&lt;="&amp;$A282,実績!$AD$6:$AD$505,"&gt;"&amp;$A282,実績!$AE$6:$AE$505,"○")&gt;0,1,0))</f>
        <v/>
      </c>
      <c r="BI282">
        <f>IF(BI$4=0,0,IF(COUNTIFS(実績!$W$6:$W$505,BI$3,実績!$AC$6:$AC$505,"&lt;="&amp;$A282,実績!$AD$6:$AD$505,"&gt;"&amp;$A282,実績!$AE$6:$AE$505,"○")&gt;0,1,0))</f>
        <v/>
      </c>
      <c r="BJ282">
        <f>IF(BJ$4=0,0,IF(COUNTIFS(実績!$W$6:$W$505,BJ$3,実績!$AC$6:$AC$505,"&lt;="&amp;$A282,実績!$AD$6:$AD$505,"&gt;"&amp;$A282,実績!$AE$6:$AE$505,"○")&gt;0,1,0))</f>
        <v/>
      </c>
      <c r="BK282">
        <f>IF(BK$4=0,0,IF(COUNTIFS(実績!$W$6:$W$505,BK$3,実績!$AC$6:$AC$505,"&lt;="&amp;$A282,実績!$AD$6:$AD$505,"&gt;"&amp;$A282,実績!$AE$6:$AE$505,"○")&gt;0,1,0))</f>
        <v/>
      </c>
      <c r="BL282">
        <f>IF(BL$4=0,0,IF(COUNTIFS(実績!$W$6:$W$505,BL$3,実績!$AC$6:$AC$505,"&lt;="&amp;$A282,実績!$AD$6:$AD$505,"&gt;"&amp;$A282,実績!$AE$6:$AE$505,"○")&gt;0,1,0))</f>
        <v/>
      </c>
      <c r="BM282">
        <f>IF(BM$4=0,0,IF(COUNTIFS(実績!$W$6:$W$505,BM$3,実績!$AC$6:$AC$505,"&lt;="&amp;$A282,実績!$AD$6:$AD$505,"&gt;"&amp;$A282,実績!$AE$6:$AE$505,"○")&gt;0,1,0))</f>
        <v/>
      </c>
      <c r="BN282">
        <f>IF(BN$4=0,0,IF(COUNTIFS(実績!$W$6:$W$505,BN$3,実績!$AC$6:$AC$505,"&lt;="&amp;$A282,実績!$AD$6:$AD$505,"&gt;"&amp;$A282,実績!$AE$6:$AE$505,"○")&gt;0,1,0))</f>
        <v/>
      </c>
      <c r="BO282">
        <f>IF(BO$4=0,0,IF(COUNTIFS(実績!$W$6:$W$505,BO$3,実績!$AC$6:$AC$505,"&lt;="&amp;$A282,実績!$AD$6:$AD$505,"&gt;"&amp;$A282,実績!$AE$6:$AE$505,"○")&gt;0,1,0))</f>
        <v/>
      </c>
      <c r="BP282">
        <f>IF(BP$4=0,0,IF(COUNTIFS(実績!$W$6:$W$505,BP$3,実績!$AC$6:$AC$505,"&lt;="&amp;$A282,実績!$AD$6:$AD$505,"&gt;"&amp;$A282,実績!$AE$6:$AE$505,"○")&gt;0,1,0))</f>
        <v/>
      </c>
      <c r="BQ282">
        <f>IF(BQ$4=0,0,IF(COUNTIFS(実績!$W$6:$W$505,BQ$3,実績!$AC$6:$AC$505,"&lt;="&amp;$A282,実績!$AD$6:$AD$505,"&gt;"&amp;$A282,実績!$AE$6:$AE$505,"○")&gt;0,1,0))</f>
        <v/>
      </c>
      <c r="BR282">
        <f>IF(BR$4=0,0,IF(COUNTIFS(実績!$W$6:$W$505,BR$3,実績!$AC$6:$AC$505,"&lt;="&amp;$A282,実績!$AD$6:$AD$505,"&gt;"&amp;$A282,実績!$AE$6:$AE$505,"○")&gt;0,1,0))</f>
        <v/>
      </c>
      <c r="BS282">
        <f>IF(BS$4=0,0,IF(COUNTIFS(実績!$W$6:$W$505,BS$3,実績!$AC$6:$AC$505,"&lt;="&amp;$A282,実績!$AD$6:$AD$505,"&gt;"&amp;$A282,実績!$AE$6:$AE$505,"○")&gt;0,1,0))</f>
        <v/>
      </c>
      <c r="BT282">
        <f>IF(BT$4=0,0,IF(COUNTIFS(実績!$W$6:$W$505,BT$3,実績!$AC$6:$AC$505,"&lt;="&amp;$A282,実績!$AD$6:$AD$505,"&gt;"&amp;$A282,実績!$AE$6:$AE$505,"○")&gt;0,1,0))</f>
        <v/>
      </c>
      <c r="BU282">
        <f>IF(BU$4=0,0,IF(COUNTIFS(実績!$W$6:$W$505,BU$3,実績!$AC$6:$AC$505,"&lt;="&amp;$A282,実績!$AD$6:$AD$505,"&gt;"&amp;$A282,実績!$AE$6:$AE$505,"○")&gt;0,1,0))</f>
        <v/>
      </c>
      <c r="BV282">
        <f>IF(BV$4=0,0,IF(COUNTIFS(実績!$W$6:$W$505,BV$3,実績!$AC$6:$AC$505,"&lt;="&amp;$A282,実績!$AD$6:$AD$505,"&gt;"&amp;$A282,実績!$AE$6:$AE$505,"○")&gt;0,1,0))</f>
        <v/>
      </c>
      <c r="BW282">
        <f>IF(BW$4=0,0,IF(COUNTIFS(実績!$W$6:$W$505,BW$3,実績!$AC$6:$AC$505,"&lt;="&amp;$A282,実績!$AD$6:$AD$505,"&gt;"&amp;$A282,実績!$AE$6:$AE$505,"○")&gt;0,1,0))</f>
        <v/>
      </c>
      <c r="BX282">
        <f>IF(BX$4=0,0,IF(COUNTIFS(実績!$W$6:$W$505,BX$3,実績!$AC$6:$AC$505,"&lt;="&amp;$A282,実績!$AD$6:$AD$505,"&gt;"&amp;$A282,実績!$AE$6:$AE$505,"○")&gt;0,1,0))</f>
        <v/>
      </c>
      <c r="BY282">
        <f>IF(BY$4=0,0,IF(COUNTIFS(実績!$W$6:$W$505,BY$3,実績!$AC$6:$AC$505,"&lt;="&amp;$A282,実績!$AD$6:$AD$505,"&gt;"&amp;$A282,実績!$AE$6:$AE$505,"○")&gt;0,1,0))</f>
        <v/>
      </c>
      <c r="BZ282">
        <f>IF(BZ$4=0,0,IF(COUNTIFS(実績!$W$6:$W$505,BZ$3,実績!$AC$6:$AC$505,"&lt;="&amp;$A282,実績!$AD$6:$AD$505,"&gt;"&amp;$A282,実績!$AE$6:$AE$505,"○")&gt;0,1,0))</f>
        <v/>
      </c>
      <c r="CA282">
        <f>IF(CA$4=0,0,IF(COUNTIFS(実績!$W$6:$W$505,CA$3,実績!$AC$6:$AC$505,"&lt;="&amp;$A282,実績!$AD$6:$AD$505,"&gt;"&amp;$A282,実績!$AE$6:$AE$505,"○")&gt;0,1,0))</f>
        <v/>
      </c>
      <c r="CB282">
        <f>IF(CB$4=0,0,IF(COUNTIFS(実績!$W$6:$W$505,CB$3,実績!$AC$6:$AC$505,"&lt;="&amp;$A282,実績!$AD$6:$AD$505,"&gt;"&amp;$A282,実績!$AE$6:$AE$505,"○")&gt;0,1,0))</f>
        <v/>
      </c>
      <c r="CC282">
        <f>IF(CC$4=0,0,IF(COUNTIFS(実績!$W$6:$W$505,CC$3,実績!$AC$6:$AC$505,"&lt;="&amp;$A282,実績!$AD$6:$AD$505,"&gt;"&amp;$A282,実績!$AE$6:$AE$505,"○")&gt;0,1,0))</f>
        <v/>
      </c>
      <c r="CD282">
        <f>IF(CD$4=0,0,IF(COUNTIFS(実績!$W$6:$W$505,CD$3,実績!$AC$6:$AC$505,"&lt;="&amp;$A282,実績!$AD$6:$AD$505,"&gt;"&amp;$A282,実績!$AE$6:$AE$505,"○")&gt;0,1,0))</f>
        <v/>
      </c>
      <c r="CE282">
        <f>IF(CE$4=0,0,IF(COUNTIFS(実績!$W$6:$W$505,CE$3,実績!$AC$6:$AC$505,"&lt;="&amp;$A282,実績!$AD$6:$AD$505,"&gt;"&amp;$A282,実績!$AE$6:$AE$505,"○")&gt;0,1,0))</f>
        <v/>
      </c>
      <c r="CF282">
        <f>IF(CF$4=0,0,IF(COUNTIFS(実績!$W$6:$W$505,CF$3,実績!$AC$6:$AC$505,"&lt;="&amp;$A282,実績!$AD$6:$AD$505,"&gt;"&amp;$A282,実績!$AE$6:$AE$505,"○")&gt;0,1,0))</f>
        <v/>
      </c>
      <c r="CG282">
        <f>IF(CG$4=0,0,IF(COUNTIFS(実績!$W$6:$W$505,CG$3,実績!$AC$6:$AC$505,"&lt;="&amp;$A282,実績!$AD$6:$AD$505,"&gt;"&amp;$A282,実績!$AE$6:$AE$505,"○")&gt;0,1,0))</f>
        <v/>
      </c>
      <c r="CH282">
        <f>IF(CH$4=0,0,IF(COUNTIFS(実績!$W$6:$W$505,CH$3,実績!$AC$6:$AC$505,"&lt;="&amp;$A282,実績!$AD$6:$AD$505,"&gt;"&amp;$A282,実績!$AE$6:$AE$505,"○")&gt;0,1,0))</f>
        <v/>
      </c>
      <c r="CI282">
        <f>IF(CI$4=0,0,IF(COUNTIFS(実績!$W$6:$W$505,CI$3,実績!$AC$6:$AC$505,"&lt;="&amp;$A282,実績!$AD$6:$AD$505,"&gt;"&amp;$A282,実績!$AE$6:$AE$505,"○")&gt;0,1,0))</f>
        <v/>
      </c>
      <c r="CJ282">
        <f>IF(CJ$4=0,0,IF(COUNTIFS(実績!$W$6:$W$505,CJ$3,実績!$AC$6:$AC$505,"&lt;="&amp;$A282,実績!$AD$6:$AD$505,"&gt;"&amp;$A282,実績!$AE$6:$AE$505,"○")&gt;0,1,0))</f>
        <v/>
      </c>
      <c r="CK282">
        <f>IF(CK$4=0,0,IF(COUNTIFS(実績!$W$6:$W$505,CK$3,実績!$AC$6:$AC$505,"&lt;="&amp;$A282,実績!$AD$6:$AD$505,"&gt;"&amp;$A282,実績!$AE$6:$AE$505,"○")&gt;0,1,0))</f>
        <v/>
      </c>
      <c r="CL282">
        <f>IF(CL$4=0,0,IF(COUNTIFS(実績!$W$6:$W$505,CL$3,実績!$AC$6:$AC$505,"&lt;="&amp;$A282,実績!$AD$6:$AD$505,"&gt;"&amp;$A282,実績!$AE$6:$AE$505,"○")&gt;0,1,0))</f>
        <v/>
      </c>
      <c r="CM282">
        <f>IF(CM$4=0,0,IF(COUNTIFS(実績!$W$6:$W$505,CM$3,実績!$AC$6:$AC$505,"&lt;="&amp;$A282,実績!$AD$6:$AD$505,"&gt;"&amp;$A282,実績!$AE$6:$AE$505,"○")&gt;0,1,0))</f>
        <v/>
      </c>
      <c r="CN282">
        <f>IF(CN$4=0,0,IF(COUNTIFS(実績!$W$6:$W$505,CN$3,実績!$AC$6:$AC$505,"&lt;="&amp;$A282,実績!$AD$6:$AD$505,"&gt;"&amp;$A282,実績!$AE$6:$AE$505,"○")&gt;0,1,0))</f>
        <v/>
      </c>
      <c r="CO282">
        <f>IF(CO$4=0,0,IF(COUNTIFS(実績!$W$6:$W$505,CO$3,実績!$AC$6:$AC$505,"&lt;="&amp;$A282,実績!$AD$6:$AD$505,"&gt;"&amp;$A282,実績!$AE$6:$AE$505,"○")&gt;0,1,0))</f>
        <v/>
      </c>
      <c r="CP282">
        <f>IF(CP$4=0,0,IF(COUNTIFS(実績!$W$6:$W$505,CP$3,実績!$AC$6:$AC$505,"&lt;="&amp;$A282,実績!$AD$6:$AD$505,"&gt;"&amp;$A282,実績!$AE$6:$AE$505,"○")&gt;0,1,0))</f>
        <v/>
      </c>
      <c r="CQ282">
        <f>IF(CQ$4=0,0,IF(COUNTIFS(実績!$W$6:$W$505,CQ$3,実績!$AC$6:$AC$505,"&lt;="&amp;$A282,実績!$AD$6:$AD$505,"&gt;"&amp;$A282,実績!$AE$6:$AE$505,"○")&gt;0,1,0))</f>
        <v/>
      </c>
      <c r="CR282">
        <f>IF(CR$4=0,0,IF(COUNTIFS(実績!$W$6:$W$505,CR$3,実績!$AC$6:$AC$505,"&lt;="&amp;$A282,実績!$AD$6:$AD$505,"&gt;"&amp;$A282,実績!$AE$6:$AE$505,"○")&gt;0,1,0))</f>
        <v/>
      </c>
      <c r="CS282">
        <f>IF(CS$4=0,0,IF(COUNTIFS(実績!$W$6:$W$505,CS$3,実績!$AC$6:$AC$505,"&lt;="&amp;$A282,実績!$AD$6:$AD$505,"&gt;"&amp;$A282,実績!$AE$6:$AE$505,"○")&gt;0,1,0))</f>
        <v/>
      </c>
      <c r="CT282">
        <f>IF(CT$4=0,0,IF(COUNTIFS(実績!$W$6:$W$505,CT$3,実績!$AC$6:$AC$505,"&lt;="&amp;$A282,実績!$AD$6:$AD$505,"&gt;"&amp;$A282,実績!$AE$6:$AE$505,"○")&gt;0,1,0))</f>
        <v/>
      </c>
      <c r="CU282">
        <f>IF(CU$4=0,0,IF(COUNTIFS(実績!$W$6:$W$505,CU$3,実績!$AC$6:$AC$505,"&lt;="&amp;$A282,実績!$AD$6:$AD$505,"&gt;"&amp;$A282,実績!$AE$6:$AE$505,"○")&gt;0,1,0))</f>
        <v/>
      </c>
      <c r="CV282">
        <f>IF(CV$4=0,0,IF(COUNTIFS(実績!$W$6:$W$505,CV$3,実績!$AC$6:$AC$505,"&lt;="&amp;$A282,実績!$AD$6:$AD$505,"&gt;"&amp;$A282,実績!$AE$6:$AE$505,"○")&gt;0,1,0))</f>
        <v/>
      </c>
      <c r="CW282">
        <f>IF(CW$4=0,0,IF(COUNTIFS(実績!$W$6:$W$505,CW$3,実績!$AC$6:$AC$505,"&lt;="&amp;$A282,実績!$AD$6:$AD$505,"&gt;"&amp;$A282,実績!$AE$6:$AE$505,"○")&gt;0,1,0))</f>
        <v/>
      </c>
      <c r="CX282">
        <f>IF(CX$4=0,0,IF(COUNTIFS(実績!$W$6:$W$505,CX$3,実績!$AC$6:$AC$505,"&lt;="&amp;$A282,実績!$AD$6:$AD$505,"&gt;"&amp;$A282,実績!$AE$6:$AE$505,"○")&gt;0,1,0))</f>
        <v/>
      </c>
      <c r="CY282">
        <f>IF(CY$4=0,0,IF(COUNTIFS(実績!$W$6:$W$505,CY$3,実績!$AC$6:$AC$505,"&lt;="&amp;$A282,実績!$AD$6:$AD$505,"&gt;"&amp;$A282,実績!$AE$6:$AE$505,"○")&gt;0,1,0))</f>
        <v/>
      </c>
      <c r="CZ282">
        <f>IF(CZ$4=0,0,IF(COUNTIFS(実績!$W$6:$W$505,CZ$3,実績!$AC$6:$AC$505,"&lt;="&amp;$A282,実績!$AD$6:$AD$505,"&gt;"&amp;$A282,実績!$AE$6:$AE$505,"○")&gt;0,1,0))</f>
        <v/>
      </c>
      <c r="DA282">
        <f>IF(DA$4=0,0,IF(COUNTIFS(実績!$W$6:$W$505,DA$3,実績!$AC$6:$AC$505,"&lt;="&amp;$A282,実績!$AD$6:$AD$505,"&gt;"&amp;$A282,実績!$AE$6:$AE$505,"○")&gt;0,1,0))</f>
        <v/>
      </c>
      <c r="DB282">
        <f>IF(DB$4=0,0,IF(COUNTIFS(実績!$W$6:$W$505,DB$3,実績!$AC$6:$AC$505,"&lt;="&amp;$A282,実績!$AD$6:$AD$505,"&gt;"&amp;$A282,実績!$AE$6:$AE$505,"○")&gt;0,1,0))</f>
        <v/>
      </c>
      <c r="DC282">
        <f>IF(DC$4=0,0,IF(COUNTIFS(実績!$W$6:$W$505,DC$3,実績!$AC$6:$AC$505,"&lt;="&amp;$A282,実績!$AD$6:$AD$505,"&gt;"&amp;$A282,実績!$AE$6:$AE$505,"○")&gt;0,1,0))</f>
        <v/>
      </c>
      <c r="DD282">
        <f>IF(DD$4=0,0,IF(COUNTIFS(実績!$W$6:$W$505,DD$3,実績!$AC$6:$AC$505,"&lt;="&amp;$A282,実績!$AD$6:$AD$505,"&gt;"&amp;$A282,実績!$AE$6:$AE$505,"○")&gt;0,1,0))</f>
        <v/>
      </c>
      <c r="DE282">
        <f>IF(DE$4=0,0,IF(COUNTIFS(実績!$W$6:$W$505,DE$3,実績!$AC$6:$AC$505,"&lt;="&amp;$A282,実績!$AD$6:$AD$505,"&gt;"&amp;$A282,実績!$AE$6:$AE$505,"○")&gt;0,1,0))</f>
        <v/>
      </c>
      <c r="DF282">
        <f>IF(DF$4=0,0,IF(COUNTIFS(実績!$W$6:$W$505,DF$3,実績!$AC$6:$AC$505,"&lt;="&amp;$A282,実績!$AD$6:$AD$505,"&gt;"&amp;$A282,実績!$AE$6:$AE$505,"○")&gt;0,1,0))</f>
        <v/>
      </c>
      <c r="DG282">
        <f>IF(DG$4=0,0,IF(COUNTIFS(実績!$W$6:$W$505,DG$3,実績!$AC$6:$AC$505,"&lt;="&amp;$A282,実績!$AD$6:$AD$505,"&gt;"&amp;$A282,実績!$AE$6:$AE$505,"○")&gt;0,1,0))</f>
        <v/>
      </c>
      <c r="DH282">
        <f>IF(DH$4=0,0,IF(COUNTIFS(実績!$W$6:$W$505,DH$3,実績!$AC$6:$AC$505,"&lt;="&amp;$A282,実績!$AD$6:$AD$505,"&gt;"&amp;$A282,実績!$AE$6:$AE$505,"○")&gt;0,1,0))</f>
        <v/>
      </c>
      <c r="DI282">
        <f>IF(DI$4=0,0,IF(COUNTIFS(実績!$W$6:$W$505,DI$3,実績!$AC$6:$AC$505,"&lt;="&amp;$A282,実績!$AD$6:$AD$505,"&gt;"&amp;$A282,実績!$AE$6:$AE$505,"○")&gt;0,1,0))</f>
        <v/>
      </c>
      <c r="DJ282">
        <f>IF(DJ$4=0,0,IF(COUNTIFS(実績!$W$6:$W$505,DJ$3,実績!$AC$6:$AC$505,"&lt;="&amp;$A282,実績!$AD$6:$AD$505,"&gt;"&amp;$A282,実績!$AE$6:$AE$505,"○")&gt;0,1,0))</f>
        <v/>
      </c>
      <c r="DK282">
        <f>IF(DK$4=0,0,IF(COUNTIFS(実績!$W$6:$W$505,DK$3,実績!$AC$6:$AC$505,"&lt;="&amp;$A282,実績!$AD$6:$AD$505,"&gt;"&amp;$A282,実績!$AE$6:$AE$505,"○")&gt;0,1,0))</f>
        <v/>
      </c>
      <c r="DL282">
        <f>IF(DL$4=0,0,IF(COUNTIFS(実績!$W$6:$W$505,DL$3,実績!$AC$6:$AC$505,"&lt;="&amp;$A282,実績!$AD$6:$AD$505,"&gt;"&amp;$A282,実績!$AE$6:$AE$505,"○")&gt;0,1,0))</f>
        <v/>
      </c>
      <c r="DM282">
        <f>IF(DM$4=0,0,IF(COUNTIFS(実績!$W$6:$W$505,DM$3,実績!$AC$6:$AC$505,"&lt;="&amp;$A282,実績!$AD$6:$AD$505,"&gt;"&amp;$A282,実績!$AE$6:$AE$505,"○")&gt;0,1,0))</f>
        <v/>
      </c>
      <c r="DN282">
        <f>IF(DN$4=0,0,IF(COUNTIFS(実績!$W$6:$W$505,DN$3,実績!$AC$6:$AC$505,"&lt;="&amp;$A282,実績!$AD$6:$AD$505,"&gt;"&amp;$A282,実績!$AE$6:$AE$505,"○")&gt;0,1,0))</f>
        <v/>
      </c>
      <c r="DO282">
        <f>IF(DO$4=0,0,IF(COUNTIFS(実績!$W$6:$W$505,DO$3,実績!$AC$6:$AC$505,"&lt;="&amp;$A282,実績!$AD$6:$AD$505,"&gt;"&amp;$A282,実績!$AE$6:$AE$505,"○")&gt;0,1,0))</f>
        <v/>
      </c>
      <c r="DP282">
        <f>IF(DP$4=0,0,IF(COUNTIFS(実績!$W$6:$W$505,DP$3,実績!$AC$6:$AC$505,"&lt;="&amp;$A282,実績!$AD$6:$AD$505,"&gt;"&amp;$A282,実績!$AE$6:$AE$505,"○")&gt;0,1,0))</f>
        <v/>
      </c>
      <c r="DQ282">
        <f>IF(DQ$4=0,0,IF(COUNTIFS(実績!$W$6:$W$505,DQ$3,実績!$AC$6:$AC$505,"&lt;="&amp;$A282,実績!$AD$6:$AD$505,"&gt;"&amp;$A282,実績!$AE$6:$AE$505,"○")&gt;0,1,0))</f>
        <v/>
      </c>
      <c r="DR282">
        <f>IF(DR$4=0,0,IF(COUNTIFS(実績!$W$6:$W$505,DR$3,実績!$AC$6:$AC$505,"&lt;="&amp;$A282,実績!$AD$6:$AD$505,"&gt;"&amp;$A282,実績!$AE$6:$AE$505,"○")&gt;0,1,0))</f>
        <v/>
      </c>
      <c r="DS282">
        <f>SUM(C282:DR282)</f>
        <v/>
      </c>
      <c r="DT282">
        <f>SUMPRODUCT((実績!$C$6:$C$505="○")*ISNUMBER(実績!$AF$6:$AF$505)*(実績!$AF$6:$AF$505&lt;=$A282)*(実績!$AG$6:$AG$505&gt;$A282))</f>
        <v/>
      </c>
      <c r="DU282">
        <f>SUMIF($C$2:$DR$2,"製鉄曳船",C282:DR282)</f>
        <v/>
      </c>
      <c r="DV282">
        <f>SUMIF($C$2:$DR$2,"西日本海運",C282:DR282)</f>
        <v/>
      </c>
    </row>
    <row r="283">
      <c r="A283" t="n">
        <v>1385</v>
      </c>
      <c r="B283" s="29">
        <f>A283/1440</f>
        <v/>
      </c>
      <c r="C283">
        <f>IF(C$4=0,0,IF(COUNTIFS(実績!$W$6:$W$505,C$3,実績!$AC$6:$AC$505,"&lt;="&amp;$A283,実績!$AD$6:$AD$505,"&gt;"&amp;$A283,実績!$AE$6:$AE$505,"○")&gt;0,1,0))</f>
        <v/>
      </c>
      <c r="D283">
        <f>IF(D$4=0,0,IF(COUNTIFS(実績!$W$6:$W$505,D$3,実績!$AC$6:$AC$505,"&lt;="&amp;$A283,実績!$AD$6:$AD$505,"&gt;"&amp;$A283,実績!$AE$6:$AE$505,"○")&gt;0,1,0))</f>
        <v/>
      </c>
      <c r="E283">
        <f>IF(E$4=0,0,IF(COUNTIFS(実績!$W$6:$W$505,E$3,実績!$AC$6:$AC$505,"&lt;="&amp;$A283,実績!$AD$6:$AD$505,"&gt;"&amp;$A283,実績!$AE$6:$AE$505,"○")&gt;0,1,0))</f>
        <v/>
      </c>
      <c r="F283">
        <f>IF(F$4=0,0,IF(COUNTIFS(実績!$W$6:$W$505,F$3,実績!$AC$6:$AC$505,"&lt;="&amp;$A283,実績!$AD$6:$AD$505,"&gt;"&amp;$A283,実績!$AE$6:$AE$505,"○")&gt;0,1,0))</f>
        <v/>
      </c>
      <c r="G283">
        <f>IF(G$4=0,0,IF(COUNTIFS(実績!$W$6:$W$505,G$3,実績!$AC$6:$AC$505,"&lt;="&amp;$A283,実績!$AD$6:$AD$505,"&gt;"&amp;$A283,実績!$AE$6:$AE$505,"○")&gt;0,1,0))</f>
        <v/>
      </c>
      <c r="H283">
        <f>IF(H$4=0,0,IF(COUNTIFS(実績!$W$6:$W$505,H$3,実績!$AC$6:$AC$505,"&lt;="&amp;$A283,実績!$AD$6:$AD$505,"&gt;"&amp;$A283,実績!$AE$6:$AE$505,"○")&gt;0,1,0))</f>
        <v/>
      </c>
      <c r="I283">
        <f>IF(I$4=0,0,IF(COUNTIFS(実績!$W$6:$W$505,I$3,実績!$AC$6:$AC$505,"&lt;="&amp;$A283,実績!$AD$6:$AD$505,"&gt;"&amp;$A283,実績!$AE$6:$AE$505,"○")&gt;0,1,0))</f>
        <v/>
      </c>
      <c r="J283">
        <f>IF(J$4=0,0,IF(COUNTIFS(実績!$W$6:$W$505,J$3,実績!$AC$6:$AC$505,"&lt;="&amp;$A283,実績!$AD$6:$AD$505,"&gt;"&amp;$A283,実績!$AE$6:$AE$505,"○")&gt;0,1,0))</f>
        <v/>
      </c>
      <c r="K283">
        <f>IF(K$4=0,0,IF(COUNTIFS(実績!$W$6:$W$505,K$3,実績!$AC$6:$AC$505,"&lt;="&amp;$A283,実績!$AD$6:$AD$505,"&gt;"&amp;$A283,実績!$AE$6:$AE$505,"○")&gt;0,1,0))</f>
        <v/>
      </c>
      <c r="L283">
        <f>IF(L$4=0,0,IF(COUNTIFS(実績!$W$6:$W$505,L$3,実績!$AC$6:$AC$505,"&lt;="&amp;$A283,実績!$AD$6:$AD$505,"&gt;"&amp;$A283,実績!$AE$6:$AE$505,"○")&gt;0,1,0))</f>
        <v/>
      </c>
      <c r="M283">
        <f>IF(M$4=0,0,IF(COUNTIFS(実績!$W$6:$W$505,M$3,実績!$AC$6:$AC$505,"&lt;="&amp;$A283,実績!$AD$6:$AD$505,"&gt;"&amp;$A283,実績!$AE$6:$AE$505,"○")&gt;0,1,0))</f>
        <v/>
      </c>
      <c r="N283">
        <f>IF(N$4=0,0,IF(COUNTIFS(実績!$W$6:$W$505,N$3,実績!$AC$6:$AC$505,"&lt;="&amp;$A283,実績!$AD$6:$AD$505,"&gt;"&amp;$A283,実績!$AE$6:$AE$505,"○")&gt;0,1,0))</f>
        <v/>
      </c>
      <c r="O283">
        <f>IF(O$4=0,0,IF(COUNTIFS(実績!$W$6:$W$505,O$3,実績!$AC$6:$AC$505,"&lt;="&amp;$A283,実績!$AD$6:$AD$505,"&gt;"&amp;$A283,実績!$AE$6:$AE$505,"○")&gt;0,1,0))</f>
        <v/>
      </c>
      <c r="P283">
        <f>IF(P$4=0,0,IF(COUNTIFS(実績!$W$6:$W$505,P$3,実績!$AC$6:$AC$505,"&lt;="&amp;$A283,実績!$AD$6:$AD$505,"&gt;"&amp;$A283,実績!$AE$6:$AE$505,"○")&gt;0,1,0))</f>
        <v/>
      </c>
      <c r="Q283">
        <f>IF(Q$4=0,0,IF(COUNTIFS(実績!$W$6:$W$505,Q$3,実績!$AC$6:$AC$505,"&lt;="&amp;$A283,実績!$AD$6:$AD$505,"&gt;"&amp;$A283,実績!$AE$6:$AE$505,"○")&gt;0,1,0))</f>
        <v/>
      </c>
      <c r="R283">
        <f>IF(R$4=0,0,IF(COUNTIFS(実績!$W$6:$W$505,R$3,実績!$AC$6:$AC$505,"&lt;="&amp;$A283,実績!$AD$6:$AD$505,"&gt;"&amp;$A283,実績!$AE$6:$AE$505,"○")&gt;0,1,0))</f>
        <v/>
      </c>
      <c r="S283">
        <f>IF(S$4=0,0,IF(COUNTIFS(実績!$W$6:$W$505,S$3,実績!$AC$6:$AC$505,"&lt;="&amp;$A283,実績!$AD$6:$AD$505,"&gt;"&amp;$A283,実績!$AE$6:$AE$505,"○")&gt;0,1,0))</f>
        <v/>
      </c>
      <c r="T283">
        <f>IF(T$4=0,0,IF(COUNTIFS(実績!$W$6:$W$505,T$3,実績!$AC$6:$AC$505,"&lt;="&amp;$A283,実績!$AD$6:$AD$505,"&gt;"&amp;$A283,実績!$AE$6:$AE$505,"○")&gt;0,1,0))</f>
        <v/>
      </c>
      <c r="U283">
        <f>IF(U$4=0,0,IF(COUNTIFS(実績!$W$6:$W$505,U$3,実績!$AC$6:$AC$505,"&lt;="&amp;$A283,実績!$AD$6:$AD$505,"&gt;"&amp;$A283,実績!$AE$6:$AE$505,"○")&gt;0,1,0))</f>
        <v/>
      </c>
      <c r="V283">
        <f>IF(V$4=0,0,IF(COUNTIFS(実績!$W$6:$W$505,V$3,実績!$AC$6:$AC$505,"&lt;="&amp;$A283,実績!$AD$6:$AD$505,"&gt;"&amp;$A283,実績!$AE$6:$AE$505,"○")&gt;0,1,0))</f>
        <v/>
      </c>
      <c r="W283">
        <f>IF(W$4=0,0,IF(COUNTIFS(実績!$W$6:$W$505,W$3,実績!$AC$6:$AC$505,"&lt;="&amp;$A283,実績!$AD$6:$AD$505,"&gt;"&amp;$A283,実績!$AE$6:$AE$505,"○")&gt;0,1,0))</f>
        <v/>
      </c>
      <c r="X283">
        <f>IF(X$4=0,0,IF(COUNTIFS(実績!$W$6:$W$505,X$3,実績!$AC$6:$AC$505,"&lt;="&amp;$A283,実績!$AD$6:$AD$505,"&gt;"&amp;$A283,実績!$AE$6:$AE$505,"○")&gt;0,1,0))</f>
        <v/>
      </c>
      <c r="Y283">
        <f>IF(Y$4=0,0,IF(COUNTIFS(実績!$W$6:$W$505,Y$3,実績!$AC$6:$AC$505,"&lt;="&amp;$A283,実績!$AD$6:$AD$505,"&gt;"&amp;$A283,実績!$AE$6:$AE$505,"○")&gt;0,1,0))</f>
        <v/>
      </c>
      <c r="Z283">
        <f>IF(Z$4=0,0,IF(COUNTIFS(実績!$W$6:$W$505,Z$3,実績!$AC$6:$AC$505,"&lt;="&amp;$A283,実績!$AD$6:$AD$505,"&gt;"&amp;$A283,実績!$AE$6:$AE$505,"○")&gt;0,1,0))</f>
        <v/>
      </c>
      <c r="AA283">
        <f>IF(AA$4=0,0,IF(COUNTIFS(実績!$W$6:$W$505,AA$3,実績!$AC$6:$AC$505,"&lt;="&amp;$A283,実績!$AD$6:$AD$505,"&gt;"&amp;$A283,実績!$AE$6:$AE$505,"○")&gt;0,1,0))</f>
        <v/>
      </c>
      <c r="AB283">
        <f>IF(AB$4=0,0,IF(COUNTIFS(実績!$W$6:$W$505,AB$3,実績!$AC$6:$AC$505,"&lt;="&amp;$A283,実績!$AD$6:$AD$505,"&gt;"&amp;$A283,実績!$AE$6:$AE$505,"○")&gt;0,1,0))</f>
        <v/>
      </c>
      <c r="AC283">
        <f>IF(AC$4=0,0,IF(COUNTIFS(実績!$W$6:$W$505,AC$3,実績!$AC$6:$AC$505,"&lt;="&amp;$A283,実績!$AD$6:$AD$505,"&gt;"&amp;$A283,実績!$AE$6:$AE$505,"○")&gt;0,1,0))</f>
        <v/>
      </c>
      <c r="AD283">
        <f>IF(AD$4=0,0,IF(COUNTIFS(実績!$W$6:$W$505,AD$3,実績!$AC$6:$AC$505,"&lt;="&amp;$A283,実績!$AD$6:$AD$505,"&gt;"&amp;$A283,実績!$AE$6:$AE$505,"○")&gt;0,1,0))</f>
        <v/>
      </c>
      <c r="AE283">
        <f>IF(AE$4=0,0,IF(COUNTIFS(実績!$W$6:$W$505,AE$3,実績!$AC$6:$AC$505,"&lt;="&amp;$A283,実績!$AD$6:$AD$505,"&gt;"&amp;$A283,実績!$AE$6:$AE$505,"○")&gt;0,1,0))</f>
        <v/>
      </c>
      <c r="AF283">
        <f>IF(AF$4=0,0,IF(COUNTIFS(実績!$W$6:$W$505,AF$3,実績!$AC$6:$AC$505,"&lt;="&amp;$A283,実績!$AD$6:$AD$505,"&gt;"&amp;$A283,実績!$AE$6:$AE$505,"○")&gt;0,1,0))</f>
        <v/>
      </c>
      <c r="AG283">
        <f>IF(AG$4=0,0,IF(COUNTIFS(実績!$W$6:$W$505,AG$3,実績!$AC$6:$AC$505,"&lt;="&amp;$A283,実績!$AD$6:$AD$505,"&gt;"&amp;$A283,実績!$AE$6:$AE$505,"○")&gt;0,1,0))</f>
        <v/>
      </c>
      <c r="AH283">
        <f>IF(AH$4=0,0,IF(COUNTIFS(実績!$W$6:$W$505,AH$3,実績!$AC$6:$AC$505,"&lt;="&amp;$A283,実績!$AD$6:$AD$505,"&gt;"&amp;$A283,実績!$AE$6:$AE$505,"○")&gt;0,1,0))</f>
        <v/>
      </c>
      <c r="AI283">
        <f>IF(AI$4=0,0,IF(COUNTIFS(実績!$W$6:$W$505,AI$3,実績!$AC$6:$AC$505,"&lt;="&amp;$A283,実績!$AD$6:$AD$505,"&gt;"&amp;$A283,実績!$AE$6:$AE$505,"○")&gt;0,1,0))</f>
        <v/>
      </c>
      <c r="AJ283">
        <f>IF(AJ$4=0,0,IF(COUNTIFS(実績!$W$6:$W$505,AJ$3,実績!$AC$6:$AC$505,"&lt;="&amp;$A283,実績!$AD$6:$AD$505,"&gt;"&amp;$A283,実績!$AE$6:$AE$505,"○")&gt;0,1,0))</f>
        <v/>
      </c>
      <c r="AK283">
        <f>IF(AK$4=0,0,IF(COUNTIFS(実績!$W$6:$W$505,AK$3,実績!$AC$6:$AC$505,"&lt;="&amp;$A283,実績!$AD$6:$AD$505,"&gt;"&amp;$A283,実績!$AE$6:$AE$505,"○")&gt;0,1,0))</f>
        <v/>
      </c>
      <c r="AL283">
        <f>IF(AL$4=0,0,IF(COUNTIFS(実績!$W$6:$W$505,AL$3,実績!$AC$6:$AC$505,"&lt;="&amp;$A283,実績!$AD$6:$AD$505,"&gt;"&amp;$A283,実績!$AE$6:$AE$505,"○")&gt;0,1,0))</f>
        <v/>
      </c>
      <c r="AM283">
        <f>IF(AM$4=0,0,IF(COUNTIFS(実績!$W$6:$W$505,AM$3,実績!$AC$6:$AC$505,"&lt;="&amp;$A283,実績!$AD$6:$AD$505,"&gt;"&amp;$A283,実績!$AE$6:$AE$505,"○")&gt;0,1,0))</f>
        <v/>
      </c>
      <c r="AN283">
        <f>IF(AN$4=0,0,IF(COUNTIFS(実績!$W$6:$W$505,AN$3,実績!$AC$6:$AC$505,"&lt;="&amp;$A283,実績!$AD$6:$AD$505,"&gt;"&amp;$A283,実績!$AE$6:$AE$505,"○")&gt;0,1,0))</f>
        <v/>
      </c>
      <c r="AO283">
        <f>IF(AO$4=0,0,IF(COUNTIFS(実績!$W$6:$W$505,AO$3,実績!$AC$6:$AC$505,"&lt;="&amp;$A283,実績!$AD$6:$AD$505,"&gt;"&amp;$A283,実績!$AE$6:$AE$505,"○")&gt;0,1,0))</f>
        <v/>
      </c>
      <c r="AP283">
        <f>IF(AP$4=0,0,IF(COUNTIFS(実績!$W$6:$W$505,AP$3,実績!$AC$6:$AC$505,"&lt;="&amp;$A283,実績!$AD$6:$AD$505,"&gt;"&amp;$A283,実績!$AE$6:$AE$505,"○")&gt;0,1,0))</f>
        <v/>
      </c>
      <c r="AQ283">
        <f>IF(AQ$4=0,0,IF(COUNTIFS(実績!$W$6:$W$505,AQ$3,実績!$AC$6:$AC$505,"&lt;="&amp;$A283,実績!$AD$6:$AD$505,"&gt;"&amp;$A283,実績!$AE$6:$AE$505,"○")&gt;0,1,0))</f>
        <v/>
      </c>
      <c r="AR283">
        <f>IF(AR$4=0,0,IF(COUNTIFS(実績!$W$6:$W$505,AR$3,実績!$AC$6:$AC$505,"&lt;="&amp;$A283,実績!$AD$6:$AD$505,"&gt;"&amp;$A283,実績!$AE$6:$AE$505,"○")&gt;0,1,0))</f>
        <v/>
      </c>
      <c r="AS283">
        <f>IF(AS$4=0,0,IF(COUNTIFS(実績!$W$6:$W$505,AS$3,実績!$AC$6:$AC$505,"&lt;="&amp;$A283,実績!$AD$6:$AD$505,"&gt;"&amp;$A283,実績!$AE$6:$AE$505,"○")&gt;0,1,0))</f>
        <v/>
      </c>
      <c r="AT283">
        <f>IF(AT$4=0,0,IF(COUNTIFS(実績!$W$6:$W$505,AT$3,実績!$AC$6:$AC$505,"&lt;="&amp;$A283,実績!$AD$6:$AD$505,"&gt;"&amp;$A283,実績!$AE$6:$AE$505,"○")&gt;0,1,0))</f>
        <v/>
      </c>
      <c r="AU283">
        <f>IF(AU$4=0,0,IF(COUNTIFS(実績!$W$6:$W$505,AU$3,実績!$AC$6:$AC$505,"&lt;="&amp;$A283,実績!$AD$6:$AD$505,"&gt;"&amp;$A283,実績!$AE$6:$AE$505,"○")&gt;0,1,0))</f>
        <v/>
      </c>
      <c r="AV283">
        <f>IF(AV$4=0,0,IF(COUNTIFS(実績!$W$6:$W$505,AV$3,実績!$AC$6:$AC$505,"&lt;="&amp;$A283,実績!$AD$6:$AD$505,"&gt;"&amp;$A283,実績!$AE$6:$AE$505,"○")&gt;0,1,0))</f>
        <v/>
      </c>
      <c r="AW283">
        <f>IF(AW$4=0,0,IF(COUNTIFS(実績!$W$6:$W$505,AW$3,実績!$AC$6:$AC$505,"&lt;="&amp;$A283,実績!$AD$6:$AD$505,"&gt;"&amp;$A283,実績!$AE$6:$AE$505,"○")&gt;0,1,0))</f>
        <v/>
      </c>
      <c r="AX283">
        <f>IF(AX$4=0,0,IF(COUNTIFS(実績!$W$6:$W$505,AX$3,実績!$AC$6:$AC$505,"&lt;="&amp;$A283,実績!$AD$6:$AD$505,"&gt;"&amp;$A283,実績!$AE$6:$AE$505,"○")&gt;0,1,0))</f>
        <v/>
      </c>
      <c r="AY283">
        <f>IF(AY$4=0,0,IF(COUNTIFS(実績!$W$6:$W$505,AY$3,実績!$AC$6:$AC$505,"&lt;="&amp;$A283,実績!$AD$6:$AD$505,"&gt;"&amp;$A283,実績!$AE$6:$AE$505,"○")&gt;0,1,0))</f>
        <v/>
      </c>
      <c r="AZ283">
        <f>IF(AZ$4=0,0,IF(COUNTIFS(実績!$W$6:$W$505,AZ$3,実績!$AC$6:$AC$505,"&lt;="&amp;$A283,実績!$AD$6:$AD$505,"&gt;"&amp;$A283,実績!$AE$6:$AE$505,"○")&gt;0,1,0))</f>
        <v/>
      </c>
      <c r="BA283">
        <f>IF(BA$4=0,0,IF(COUNTIFS(実績!$W$6:$W$505,BA$3,実績!$AC$6:$AC$505,"&lt;="&amp;$A283,実績!$AD$6:$AD$505,"&gt;"&amp;$A283,実績!$AE$6:$AE$505,"○")&gt;0,1,0))</f>
        <v/>
      </c>
      <c r="BB283">
        <f>IF(BB$4=0,0,IF(COUNTIFS(実績!$W$6:$W$505,BB$3,実績!$AC$6:$AC$505,"&lt;="&amp;$A283,実績!$AD$6:$AD$505,"&gt;"&amp;$A283,実績!$AE$6:$AE$505,"○")&gt;0,1,0))</f>
        <v/>
      </c>
      <c r="BC283">
        <f>IF(BC$4=0,0,IF(COUNTIFS(実績!$W$6:$W$505,BC$3,実績!$AC$6:$AC$505,"&lt;="&amp;$A283,実績!$AD$6:$AD$505,"&gt;"&amp;$A283,実績!$AE$6:$AE$505,"○")&gt;0,1,0))</f>
        <v/>
      </c>
      <c r="BD283">
        <f>IF(BD$4=0,0,IF(COUNTIFS(実績!$W$6:$W$505,BD$3,実績!$AC$6:$AC$505,"&lt;="&amp;$A283,実績!$AD$6:$AD$505,"&gt;"&amp;$A283,実績!$AE$6:$AE$505,"○")&gt;0,1,0))</f>
        <v/>
      </c>
      <c r="BE283">
        <f>IF(BE$4=0,0,IF(COUNTIFS(実績!$W$6:$W$505,BE$3,実績!$AC$6:$AC$505,"&lt;="&amp;$A283,実績!$AD$6:$AD$505,"&gt;"&amp;$A283,実績!$AE$6:$AE$505,"○")&gt;0,1,0))</f>
        <v/>
      </c>
      <c r="BF283">
        <f>IF(BF$4=0,0,IF(COUNTIFS(実績!$W$6:$W$505,BF$3,実績!$AC$6:$AC$505,"&lt;="&amp;$A283,実績!$AD$6:$AD$505,"&gt;"&amp;$A283,実績!$AE$6:$AE$505,"○")&gt;0,1,0))</f>
        <v/>
      </c>
      <c r="BG283">
        <f>IF(BG$4=0,0,IF(COUNTIFS(実績!$W$6:$W$505,BG$3,実績!$AC$6:$AC$505,"&lt;="&amp;$A283,実績!$AD$6:$AD$505,"&gt;"&amp;$A283,実績!$AE$6:$AE$505,"○")&gt;0,1,0))</f>
        <v/>
      </c>
      <c r="BH283">
        <f>IF(BH$4=0,0,IF(COUNTIFS(実績!$W$6:$W$505,BH$3,実績!$AC$6:$AC$505,"&lt;="&amp;$A283,実績!$AD$6:$AD$505,"&gt;"&amp;$A283,実績!$AE$6:$AE$505,"○")&gt;0,1,0))</f>
        <v/>
      </c>
      <c r="BI283">
        <f>IF(BI$4=0,0,IF(COUNTIFS(実績!$W$6:$W$505,BI$3,実績!$AC$6:$AC$505,"&lt;="&amp;$A283,実績!$AD$6:$AD$505,"&gt;"&amp;$A283,実績!$AE$6:$AE$505,"○")&gt;0,1,0))</f>
        <v/>
      </c>
      <c r="BJ283">
        <f>IF(BJ$4=0,0,IF(COUNTIFS(実績!$W$6:$W$505,BJ$3,実績!$AC$6:$AC$505,"&lt;="&amp;$A283,実績!$AD$6:$AD$505,"&gt;"&amp;$A283,実績!$AE$6:$AE$505,"○")&gt;0,1,0))</f>
        <v/>
      </c>
      <c r="BK283">
        <f>IF(BK$4=0,0,IF(COUNTIFS(実績!$W$6:$W$505,BK$3,実績!$AC$6:$AC$505,"&lt;="&amp;$A283,実績!$AD$6:$AD$505,"&gt;"&amp;$A283,実績!$AE$6:$AE$505,"○")&gt;0,1,0))</f>
        <v/>
      </c>
      <c r="BL283">
        <f>IF(BL$4=0,0,IF(COUNTIFS(実績!$W$6:$W$505,BL$3,実績!$AC$6:$AC$505,"&lt;="&amp;$A283,実績!$AD$6:$AD$505,"&gt;"&amp;$A283,実績!$AE$6:$AE$505,"○")&gt;0,1,0))</f>
        <v/>
      </c>
      <c r="BM283">
        <f>IF(BM$4=0,0,IF(COUNTIFS(実績!$W$6:$W$505,BM$3,実績!$AC$6:$AC$505,"&lt;="&amp;$A283,実績!$AD$6:$AD$505,"&gt;"&amp;$A283,実績!$AE$6:$AE$505,"○")&gt;0,1,0))</f>
        <v/>
      </c>
      <c r="BN283">
        <f>IF(BN$4=0,0,IF(COUNTIFS(実績!$W$6:$W$505,BN$3,実績!$AC$6:$AC$505,"&lt;="&amp;$A283,実績!$AD$6:$AD$505,"&gt;"&amp;$A283,実績!$AE$6:$AE$505,"○")&gt;0,1,0))</f>
        <v/>
      </c>
      <c r="BO283">
        <f>IF(BO$4=0,0,IF(COUNTIFS(実績!$W$6:$W$505,BO$3,実績!$AC$6:$AC$505,"&lt;="&amp;$A283,実績!$AD$6:$AD$505,"&gt;"&amp;$A283,実績!$AE$6:$AE$505,"○")&gt;0,1,0))</f>
        <v/>
      </c>
      <c r="BP283">
        <f>IF(BP$4=0,0,IF(COUNTIFS(実績!$W$6:$W$505,BP$3,実績!$AC$6:$AC$505,"&lt;="&amp;$A283,実績!$AD$6:$AD$505,"&gt;"&amp;$A283,実績!$AE$6:$AE$505,"○")&gt;0,1,0))</f>
        <v/>
      </c>
      <c r="BQ283">
        <f>IF(BQ$4=0,0,IF(COUNTIFS(実績!$W$6:$W$505,BQ$3,実績!$AC$6:$AC$505,"&lt;="&amp;$A283,実績!$AD$6:$AD$505,"&gt;"&amp;$A283,実績!$AE$6:$AE$505,"○")&gt;0,1,0))</f>
        <v/>
      </c>
      <c r="BR283">
        <f>IF(BR$4=0,0,IF(COUNTIFS(実績!$W$6:$W$505,BR$3,実績!$AC$6:$AC$505,"&lt;="&amp;$A283,実績!$AD$6:$AD$505,"&gt;"&amp;$A283,実績!$AE$6:$AE$505,"○")&gt;0,1,0))</f>
        <v/>
      </c>
      <c r="BS283">
        <f>IF(BS$4=0,0,IF(COUNTIFS(実績!$W$6:$W$505,BS$3,実績!$AC$6:$AC$505,"&lt;="&amp;$A283,実績!$AD$6:$AD$505,"&gt;"&amp;$A283,実績!$AE$6:$AE$505,"○")&gt;0,1,0))</f>
        <v/>
      </c>
      <c r="BT283">
        <f>IF(BT$4=0,0,IF(COUNTIFS(実績!$W$6:$W$505,BT$3,実績!$AC$6:$AC$505,"&lt;="&amp;$A283,実績!$AD$6:$AD$505,"&gt;"&amp;$A283,実績!$AE$6:$AE$505,"○")&gt;0,1,0))</f>
        <v/>
      </c>
      <c r="BU283">
        <f>IF(BU$4=0,0,IF(COUNTIFS(実績!$W$6:$W$505,BU$3,実績!$AC$6:$AC$505,"&lt;="&amp;$A283,実績!$AD$6:$AD$505,"&gt;"&amp;$A283,実績!$AE$6:$AE$505,"○")&gt;0,1,0))</f>
        <v/>
      </c>
      <c r="BV283">
        <f>IF(BV$4=0,0,IF(COUNTIFS(実績!$W$6:$W$505,BV$3,実績!$AC$6:$AC$505,"&lt;="&amp;$A283,実績!$AD$6:$AD$505,"&gt;"&amp;$A283,実績!$AE$6:$AE$505,"○")&gt;0,1,0))</f>
        <v/>
      </c>
      <c r="BW283">
        <f>IF(BW$4=0,0,IF(COUNTIFS(実績!$W$6:$W$505,BW$3,実績!$AC$6:$AC$505,"&lt;="&amp;$A283,実績!$AD$6:$AD$505,"&gt;"&amp;$A283,実績!$AE$6:$AE$505,"○")&gt;0,1,0))</f>
        <v/>
      </c>
      <c r="BX283">
        <f>IF(BX$4=0,0,IF(COUNTIFS(実績!$W$6:$W$505,BX$3,実績!$AC$6:$AC$505,"&lt;="&amp;$A283,実績!$AD$6:$AD$505,"&gt;"&amp;$A283,実績!$AE$6:$AE$505,"○")&gt;0,1,0))</f>
        <v/>
      </c>
      <c r="BY283">
        <f>IF(BY$4=0,0,IF(COUNTIFS(実績!$W$6:$W$505,BY$3,実績!$AC$6:$AC$505,"&lt;="&amp;$A283,実績!$AD$6:$AD$505,"&gt;"&amp;$A283,実績!$AE$6:$AE$505,"○")&gt;0,1,0))</f>
        <v/>
      </c>
      <c r="BZ283">
        <f>IF(BZ$4=0,0,IF(COUNTIFS(実績!$W$6:$W$505,BZ$3,実績!$AC$6:$AC$505,"&lt;="&amp;$A283,実績!$AD$6:$AD$505,"&gt;"&amp;$A283,実績!$AE$6:$AE$505,"○")&gt;0,1,0))</f>
        <v/>
      </c>
      <c r="CA283">
        <f>IF(CA$4=0,0,IF(COUNTIFS(実績!$W$6:$W$505,CA$3,実績!$AC$6:$AC$505,"&lt;="&amp;$A283,実績!$AD$6:$AD$505,"&gt;"&amp;$A283,実績!$AE$6:$AE$505,"○")&gt;0,1,0))</f>
        <v/>
      </c>
      <c r="CB283">
        <f>IF(CB$4=0,0,IF(COUNTIFS(実績!$W$6:$W$505,CB$3,実績!$AC$6:$AC$505,"&lt;="&amp;$A283,実績!$AD$6:$AD$505,"&gt;"&amp;$A283,実績!$AE$6:$AE$505,"○")&gt;0,1,0))</f>
        <v/>
      </c>
      <c r="CC283">
        <f>IF(CC$4=0,0,IF(COUNTIFS(実績!$W$6:$W$505,CC$3,実績!$AC$6:$AC$505,"&lt;="&amp;$A283,実績!$AD$6:$AD$505,"&gt;"&amp;$A283,実績!$AE$6:$AE$505,"○")&gt;0,1,0))</f>
        <v/>
      </c>
      <c r="CD283">
        <f>IF(CD$4=0,0,IF(COUNTIFS(実績!$W$6:$W$505,CD$3,実績!$AC$6:$AC$505,"&lt;="&amp;$A283,実績!$AD$6:$AD$505,"&gt;"&amp;$A283,実績!$AE$6:$AE$505,"○")&gt;0,1,0))</f>
        <v/>
      </c>
      <c r="CE283">
        <f>IF(CE$4=0,0,IF(COUNTIFS(実績!$W$6:$W$505,CE$3,実績!$AC$6:$AC$505,"&lt;="&amp;$A283,実績!$AD$6:$AD$505,"&gt;"&amp;$A283,実績!$AE$6:$AE$505,"○")&gt;0,1,0))</f>
        <v/>
      </c>
      <c r="CF283">
        <f>IF(CF$4=0,0,IF(COUNTIFS(実績!$W$6:$W$505,CF$3,実績!$AC$6:$AC$505,"&lt;="&amp;$A283,実績!$AD$6:$AD$505,"&gt;"&amp;$A283,実績!$AE$6:$AE$505,"○")&gt;0,1,0))</f>
        <v/>
      </c>
      <c r="CG283">
        <f>IF(CG$4=0,0,IF(COUNTIFS(実績!$W$6:$W$505,CG$3,実績!$AC$6:$AC$505,"&lt;="&amp;$A283,実績!$AD$6:$AD$505,"&gt;"&amp;$A283,実績!$AE$6:$AE$505,"○")&gt;0,1,0))</f>
        <v/>
      </c>
      <c r="CH283">
        <f>IF(CH$4=0,0,IF(COUNTIFS(実績!$W$6:$W$505,CH$3,実績!$AC$6:$AC$505,"&lt;="&amp;$A283,実績!$AD$6:$AD$505,"&gt;"&amp;$A283,実績!$AE$6:$AE$505,"○")&gt;0,1,0))</f>
        <v/>
      </c>
      <c r="CI283">
        <f>IF(CI$4=0,0,IF(COUNTIFS(実績!$W$6:$W$505,CI$3,実績!$AC$6:$AC$505,"&lt;="&amp;$A283,実績!$AD$6:$AD$505,"&gt;"&amp;$A283,実績!$AE$6:$AE$505,"○")&gt;0,1,0))</f>
        <v/>
      </c>
      <c r="CJ283">
        <f>IF(CJ$4=0,0,IF(COUNTIFS(実績!$W$6:$W$505,CJ$3,実績!$AC$6:$AC$505,"&lt;="&amp;$A283,実績!$AD$6:$AD$505,"&gt;"&amp;$A283,実績!$AE$6:$AE$505,"○")&gt;0,1,0))</f>
        <v/>
      </c>
      <c r="CK283">
        <f>IF(CK$4=0,0,IF(COUNTIFS(実績!$W$6:$W$505,CK$3,実績!$AC$6:$AC$505,"&lt;="&amp;$A283,実績!$AD$6:$AD$505,"&gt;"&amp;$A283,実績!$AE$6:$AE$505,"○")&gt;0,1,0))</f>
        <v/>
      </c>
      <c r="CL283">
        <f>IF(CL$4=0,0,IF(COUNTIFS(実績!$W$6:$W$505,CL$3,実績!$AC$6:$AC$505,"&lt;="&amp;$A283,実績!$AD$6:$AD$505,"&gt;"&amp;$A283,実績!$AE$6:$AE$505,"○")&gt;0,1,0))</f>
        <v/>
      </c>
      <c r="CM283">
        <f>IF(CM$4=0,0,IF(COUNTIFS(実績!$W$6:$W$505,CM$3,実績!$AC$6:$AC$505,"&lt;="&amp;$A283,実績!$AD$6:$AD$505,"&gt;"&amp;$A283,実績!$AE$6:$AE$505,"○")&gt;0,1,0))</f>
        <v/>
      </c>
      <c r="CN283">
        <f>IF(CN$4=0,0,IF(COUNTIFS(実績!$W$6:$W$505,CN$3,実績!$AC$6:$AC$505,"&lt;="&amp;$A283,実績!$AD$6:$AD$505,"&gt;"&amp;$A283,実績!$AE$6:$AE$505,"○")&gt;0,1,0))</f>
        <v/>
      </c>
      <c r="CO283">
        <f>IF(CO$4=0,0,IF(COUNTIFS(実績!$W$6:$W$505,CO$3,実績!$AC$6:$AC$505,"&lt;="&amp;$A283,実績!$AD$6:$AD$505,"&gt;"&amp;$A283,実績!$AE$6:$AE$505,"○")&gt;0,1,0))</f>
        <v/>
      </c>
      <c r="CP283">
        <f>IF(CP$4=0,0,IF(COUNTIFS(実績!$W$6:$W$505,CP$3,実績!$AC$6:$AC$505,"&lt;="&amp;$A283,実績!$AD$6:$AD$505,"&gt;"&amp;$A283,実績!$AE$6:$AE$505,"○")&gt;0,1,0))</f>
        <v/>
      </c>
      <c r="CQ283">
        <f>IF(CQ$4=0,0,IF(COUNTIFS(実績!$W$6:$W$505,CQ$3,実績!$AC$6:$AC$505,"&lt;="&amp;$A283,実績!$AD$6:$AD$505,"&gt;"&amp;$A283,実績!$AE$6:$AE$505,"○")&gt;0,1,0))</f>
        <v/>
      </c>
      <c r="CR283">
        <f>IF(CR$4=0,0,IF(COUNTIFS(実績!$W$6:$W$505,CR$3,実績!$AC$6:$AC$505,"&lt;="&amp;$A283,実績!$AD$6:$AD$505,"&gt;"&amp;$A283,実績!$AE$6:$AE$505,"○")&gt;0,1,0))</f>
        <v/>
      </c>
      <c r="CS283">
        <f>IF(CS$4=0,0,IF(COUNTIFS(実績!$W$6:$W$505,CS$3,実績!$AC$6:$AC$505,"&lt;="&amp;$A283,実績!$AD$6:$AD$505,"&gt;"&amp;$A283,実績!$AE$6:$AE$505,"○")&gt;0,1,0))</f>
        <v/>
      </c>
      <c r="CT283">
        <f>IF(CT$4=0,0,IF(COUNTIFS(実績!$W$6:$W$505,CT$3,実績!$AC$6:$AC$505,"&lt;="&amp;$A283,実績!$AD$6:$AD$505,"&gt;"&amp;$A283,実績!$AE$6:$AE$505,"○")&gt;0,1,0))</f>
        <v/>
      </c>
      <c r="CU283">
        <f>IF(CU$4=0,0,IF(COUNTIFS(実績!$W$6:$W$505,CU$3,実績!$AC$6:$AC$505,"&lt;="&amp;$A283,実績!$AD$6:$AD$505,"&gt;"&amp;$A283,実績!$AE$6:$AE$505,"○")&gt;0,1,0))</f>
        <v/>
      </c>
      <c r="CV283">
        <f>IF(CV$4=0,0,IF(COUNTIFS(実績!$W$6:$W$505,CV$3,実績!$AC$6:$AC$505,"&lt;="&amp;$A283,実績!$AD$6:$AD$505,"&gt;"&amp;$A283,実績!$AE$6:$AE$505,"○")&gt;0,1,0))</f>
        <v/>
      </c>
      <c r="CW283">
        <f>IF(CW$4=0,0,IF(COUNTIFS(実績!$W$6:$W$505,CW$3,実績!$AC$6:$AC$505,"&lt;="&amp;$A283,実績!$AD$6:$AD$505,"&gt;"&amp;$A283,実績!$AE$6:$AE$505,"○")&gt;0,1,0))</f>
        <v/>
      </c>
      <c r="CX283">
        <f>IF(CX$4=0,0,IF(COUNTIFS(実績!$W$6:$W$505,CX$3,実績!$AC$6:$AC$505,"&lt;="&amp;$A283,実績!$AD$6:$AD$505,"&gt;"&amp;$A283,実績!$AE$6:$AE$505,"○")&gt;0,1,0))</f>
        <v/>
      </c>
      <c r="CY283">
        <f>IF(CY$4=0,0,IF(COUNTIFS(実績!$W$6:$W$505,CY$3,実績!$AC$6:$AC$505,"&lt;="&amp;$A283,実績!$AD$6:$AD$505,"&gt;"&amp;$A283,実績!$AE$6:$AE$505,"○")&gt;0,1,0))</f>
        <v/>
      </c>
      <c r="CZ283">
        <f>IF(CZ$4=0,0,IF(COUNTIFS(実績!$W$6:$W$505,CZ$3,実績!$AC$6:$AC$505,"&lt;="&amp;$A283,実績!$AD$6:$AD$505,"&gt;"&amp;$A283,実績!$AE$6:$AE$505,"○")&gt;0,1,0))</f>
        <v/>
      </c>
      <c r="DA283">
        <f>IF(DA$4=0,0,IF(COUNTIFS(実績!$W$6:$W$505,DA$3,実績!$AC$6:$AC$505,"&lt;="&amp;$A283,実績!$AD$6:$AD$505,"&gt;"&amp;$A283,実績!$AE$6:$AE$505,"○")&gt;0,1,0))</f>
        <v/>
      </c>
      <c r="DB283">
        <f>IF(DB$4=0,0,IF(COUNTIFS(実績!$W$6:$W$505,DB$3,実績!$AC$6:$AC$505,"&lt;="&amp;$A283,実績!$AD$6:$AD$505,"&gt;"&amp;$A283,実績!$AE$6:$AE$505,"○")&gt;0,1,0))</f>
        <v/>
      </c>
      <c r="DC283">
        <f>IF(DC$4=0,0,IF(COUNTIFS(実績!$W$6:$W$505,DC$3,実績!$AC$6:$AC$505,"&lt;="&amp;$A283,実績!$AD$6:$AD$505,"&gt;"&amp;$A283,実績!$AE$6:$AE$505,"○")&gt;0,1,0))</f>
        <v/>
      </c>
      <c r="DD283">
        <f>IF(DD$4=0,0,IF(COUNTIFS(実績!$W$6:$W$505,DD$3,実績!$AC$6:$AC$505,"&lt;="&amp;$A283,実績!$AD$6:$AD$505,"&gt;"&amp;$A283,実績!$AE$6:$AE$505,"○")&gt;0,1,0))</f>
        <v/>
      </c>
      <c r="DE283">
        <f>IF(DE$4=0,0,IF(COUNTIFS(実績!$W$6:$W$505,DE$3,実績!$AC$6:$AC$505,"&lt;="&amp;$A283,実績!$AD$6:$AD$505,"&gt;"&amp;$A283,実績!$AE$6:$AE$505,"○")&gt;0,1,0))</f>
        <v/>
      </c>
      <c r="DF283">
        <f>IF(DF$4=0,0,IF(COUNTIFS(実績!$W$6:$W$505,DF$3,実績!$AC$6:$AC$505,"&lt;="&amp;$A283,実績!$AD$6:$AD$505,"&gt;"&amp;$A283,実績!$AE$6:$AE$505,"○")&gt;0,1,0))</f>
        <v/>
      </c>
      <c r="DG283">
        <f>IF(DG$4=0,0,IF(COUNTIFS(実績!$W$6:$W$505,DG$3,実績!$AC$6:$AC$505,"&lt;="&amp;$A283,実績!$AD$6:$AD$505,"&gt;"&amp;$A283,実績!$AE$6:$AE$505,"○")&gt;0,1,0))</f>
        <v/>
      </c>
      <c r="DH283">
        <f>IF(DH$4=0,0,IF(COUNTIFS(実績!$W$6:$W$505,DH$3,実績!$AC$6:$AC$505,"&lt;="&amp;$A283,実績!$AD$6:$AD$505,"&gt;"&amp;$A283,実績!$AE$6:$AE$505,"○")&gt;0,1,0))</f>
        <v/>
      </c>
      <c r="DI283">
        <f>IF(DI$4=0,0,IF(COUNTIFS(実績!$W$6:$W$505,DI$3,実績!$AC$6:$AC$505,"&lt;="&amp;$A283,実績!$AD$6:$AD$505,"&gt;"&amp;$A283,実績!$AE$6:$AE$505,"○")&gt;0,1,0))</f>
        <v/>
      </c>
      <c r="DJ283">
        <f>IF(DJ$4=0,0,IF(COUNTIFS(実績!$W$6:$W$505,DJ$3,実績!$AC$6:$AC$505,"&lt;="&amp;$A283,実績!$AD$6:$AD$505,"&gt;"&amp;$A283,実績!$AE$6:$AE$505,"○")&gt;0,1,0))</f>
        <v/>
      </c>
      <c r="DK283">
        <f>IF(DK$4=0,0,IF(COUNTIFS(実績!$W$6:$W$505,DK$3,実績!$AC$6:$AC$505,"&lt;="&amp;$A283,実績!$AD$6:$AD$505,"&gt;"&amp;$A283,実績!$AE$6:$AE$505,"○")&gt;0,1,0))</f>
        <v/>
      </c>
      <c r="DL283">
        <f>IF(DL$4=0,0,IF(COUNTIFS(実績!$W$6:$W$505,DL$3,実績!$AC$6:$AC$505,"&lt;="&amp;$A283,実績!$AD$6:$AD$505,"&gt;"&amp;$A283,実績!$AE$6:$AE$505,"○")&gt;0,1,0))</f>
        <v/>
      </c>
      <c r="DM283">
        <f>IF(DM$4=0,0,IF(COUNTIFS(実績!$W$6:$W$505,DM$3,実績!$AC$6:$AC$505,"&lt;="&amp;$A283,実績!$AD$6:$AD$505,"&gt;"&amp;$A283,実績!$AE$6:$AE$505,"○")&gt;0,1,0))</f>
        <v/>
      </c>
      <c r="DN283">
        <f>IF(DN$4=0,0,IF(COUNTIFS(実績!$W$6:$W$505,DN$3,実績!$AC$6:$AC$505,"&lt;="&amp;$A283,実績!$AD$6:$AD$505,"&gt;"&amp;$A283,実績!$AE$6:$AE$505,"○")&gt;0,1,0))</f>
        <v/>
      </c>
      <c r="DO283">
        <f>IF(DO$4=0,0,IF(COUNTIFS(実績!$W$6:$W$505,DO$3,実績!$AC$6:$AC$505,"&lt;="&amp;$A283,実績!$AD$6:$AD$505,"&gt;"&amp;$A283,実績!$AE$6:$AE$505,"○")&gt;0,1,0))</f>
        <v/>
      </c>
      <c r="DP283">
        <f>IF(DP$4=0,0,IF(COUNTIFS(実績!$W$6:$W$505,DP$3,実績!$AC$6:$AC$505,"&lt;="&amp;$A283,実績!$AD$6:$AD$505,"&gt;"&amp;$A283,実績!$AE$6:$AE$505,"○")&gt;0,1,0))</f>
        <v/>
      </c>
      <c r="DQ283">
        <f>IF(DQ$4=0,0,IF(COUNTIFS(実績!$W$6:$W$505,DQ$3,実績!$AC$6:$AC$505,"&lt;="&amp;$A283,実績!$AD$6:$AD$505,"&gt;"&amp;$A283,実績!$AE$6:$AE$505,"○")&gt;0,1,0))</f>
        <v/>
      </c>
      <c r="DR283">
        <f>IF(DR$4=0,0,IF(COUNTIFS(実績!$W$6:$W$505,DR$3,実績!$AC$6:$AC$505,"&lt;="&amp;$A283,実績!$AD$6:$AD$505,"&gt;"&amp;$A283,実績!$AE$6:$AE$505,"○")&gt;0,1,0))</f>
        <v/>
      </c>
      <c r="DS283">
        <f>SUM(C283:DR283)</f>
        <v/>
      </c>
      <c r="DT283">
        <f>SUMPRODUCT((実績!$C$6:$C$505="○")*ISNUMBER(実績!$AF$6:$AF$505)*(実績!$AF$6:$AF$505&lt;=$A283)*(実績!$AG$6:$AG$505&gt;$A283))</f>
        <v/>
      </c>
      <c r="DU283">
        <f>SUMIF($C$2:$DR$2,"製鉄曳船",C283:DR283)</f>
        <v/>
      </c>
      <c r="DV283">
        <f>SUMIF($C$2:$DR$2,"西日本海運",C283:DR283)</f>
        <v/>
      </c>
    </row>
    <row r="284">
      <c r="A284" t="n">
        <v>1390</v>
      </c>
      <c r="B284" s="29">
        <f>A284/1440</f>
        <v/>
      </c>
      <c r="C284">
        <f>IF(C$4=0,0,IF(COUNTIFS(実績!$W$6:$W$505,C$3,実績!$AC$6:$AC$505,"&lt;="&amp;$A284,実績!$AD$6:$AD$505,"&gt;"&amp;$A284,実績!$AE$6:$AE$505,"○")&gt;0,1,0))</f>
        <v/>
      </c>
      <c r="D284">
        <f>IF(D$4=0,0,IF(COUNTIFS(実績!$W$6:$W$505,D$3,実績!$AC$6:$AC$505,"&lt;="&amp;$A284,実績!$AD$6:$AD$505,"&gt;"&amp;$A284,実績!$AE$6:$AE$505,"○")&gt;0,1,0))</f>
        <v/>
      </c>
      <c r="E284">
        <f>IF(E$4=0,0,IF(COUNTIFS(実績!$W$6:$W$505,E$3,実績!$AC$6:$AC$505,"&lt;="&amp;$A284,実績!$AD$6:$AD$505,"&gt;"&amp;$A284,実績!$AE$6:$AE$505,"○")&gt;0,1,0))</f>
        <v/>
      </c>
      <c r="F284">
        <f>IF(F$4=0,0,IF(COUNTIFS(実績!$W$6:$W$505,F$3,実績!$AC$6:$AC$505,"&lt;="&amp;$A284,実績!$AD$6:$AD$505,"&gt;"&amp;$A284,実績!$AE$6:$AE$505,"○")&gt;0,1,0))</f>
        <v/>
      </c>
      <c r="G284">
        <f>IF(G$4=0,0,IF(COUNTIFS(実績!$W$6:$W$505,G$3,実績!$AC$6:$AC$505,"&lt;="&amp;$A284,実績!$AD$6:$AD$505,"&gt;"&amp;$A284,実績!$AE$6:$AE$505,"○")&gt;0,1,0))</f>
        <v/>
      </c>
      <c r="H284">
        <f>IF(H$4=0,0,IF(COUNTIFS(実績!$W$6:$W$505,H$3,実績!$AC$6:$AC$505,"&lt;="&amp;$A284,実績!$AD$6:$AD$505,"&gt;"&amp;$A284,実績!$AE$6:$AE$505,"○")&gt;0,1,0))</f>
        <v/>
      </c>
      <c r="I284">
        <f>IF(I$4=0,0,IF(COUNTIFS(実績!$W$6:$W$505,I$3,実績!$AC$6:$AC$505,"&lt;="&amp;$A284,実績!$AD$6:$AD$505,"&gt;"&amp;$A284,実績!$AE$6:$AE$505,"○")&gt;0,1,0))</f>
        <v/>
      </c>
      <c r="J284">
        <f>IF(J$4=0,0,IF(COUNTIFS(実績!$W$6:$W$505,J$3,実績!$AC$6:$AC$505,"&lt;="&amp;$A284,実績!$AD$6:$AD$505,"&gt;"&amp;$A284,実績!$AE$6:$AE$505,"○")&gt;0,1,0))</f>
        <v/>
      </c>
      <c r="K284">
        <f>IF(K$4=0,0,IF(COUNTIFS(実績!$W$6:$W$505,K$3,実績!$AC$6:$AC$505,"&lt;="&amp;$A284,実績!$AD$6:$AD$505,"&gt;"&amp;$A284,実績!$AE$6:$AE$505,"○")&gt;0,1,0))</f>
        <v/>
      </c>
      <c r="L284">
        <f>IF(L$4=0,0,IF(COUNTIFS(実績!$W$6:$W$505,L$3,実績!$AC$6:$AC$505,"&lt;="&amp;$A284,実績!$AD$6:$AD$505,"&gt;"&amp;$A284,実績!$AE$6:$AE$505,"○")&gt;0,1,0))</f>
        <v/>
      </c>
      <c r="M284">
        <f>IF(M$4=0,0,IF(COUNTIFS(実績!$W$6:$W$505,M$3,実績!$AC$6:$AC$505,"&lt;="&amp;$A284,実績!$AD$6:$AD$505,"&gt;"&amp;$A284,実績!$AE$6:$AE$505,"○")&gt;0,1,0))</f>
        <v/>
      </c>
      <c r="N284">
        <f>IF(N$4=0,0,IF(COUNTIFS(実績!$W$6:$W$505,N$3,実績!$AC$6:$AC$505,"&lt;="&amp;$A284,実績!$AD$6:$AD$505,"&gt;"&amp;$A284,実績!$AE$6:$AE$505,"○")&gt;0,1,0))</f>
        <v/>
      </c>
      <c r="O284">
        <f>IF(O$4=0,0,IF(COUNTIFS(実績!$W$6:$W$505,O$3,実績!$AC$6:$AC$505,"&lt;="&amp;$A284,実績!$AD$6:$AD$505,"&gt;"&amp;$A284,実績!$AE$6:$AE$505,"○")&gt;0,1,0))</f>
        <v/>
      </c>
      <c r="P284">
        <f>IF(P$4=0,0,IF(COUNTIFS(実績!$W$6:$W$505,P$3,実績!$AC$6:$AC$505,"&lt;="&amp;$A284,実績!$AD$6:$AD$505,"&gt;"&amp;$A284,実績!$AE$6:$AE$505,"○")&gt;0,1,0))</f>
        <v/>
      </c>
      <c r="Q284">
        <f>IF(Q$4=0,0,IF(COUNTIFS(実績!$W$6:$W$505,Q$3,実績!$AC$6:$AC$505,"&lt;="&amp;$A284,実績!$AD$6:$AD$505,"&gt;"&amp;$A284,実績!$AE$6:$AE$505,"○")&gt;0,1,0))</f>
        <v/>
      </c>
      <c r="R284">
        <f>IF(R$4=0,0,IF(COUNTIFS(実績!$W$6:$W$505,R$3,実績!$AC$6:$AC$505,"&lt;="&amp;$A284,実績!$AD$6:$AD$505,"&gt;"&amp;$A284,実績!$AE$6:$AE$505,"○")&gt;0,1,0))</f>
        <v/>
      </c>
      <c r="S284">
        <f>IF(S$4=0,0,IF(COUNTIFS(実績!$W$6:$W$505,S$3,実績!$AC$6:$AC$505,"&lt;="&amp;$A284,実績!$AD$6:$AD$505,"&gt;"&amp;$A284,実績!$AE$6:$AE$505,"○")&gt;0,1,0))</f>
        <v/>
      </c>
      <c r="T284">
        <f>IF(T$4=0,0,IF(COUNTIFS(実績!$W$6:$W$505,T$3,実績!$AC$6:$AC$505,"&lt;="&amp;$A284,実績!$AD$6:$AD$505,"&gt;"&amp;$A284,実績!$AE$6:$AE$505,"○")&gt;0,1,0))</f>
        <v/>
      </c>
      <c r="U284">
        <f>IF(U$4=0,0,IF(COUNTIFS(実績!$W$6:$W$505,U$3,実績!$AC$6:$AC$505,"&lt;="&amp;$A284,実績!$AD$6:$AD$505,"&gt;"&amp;$A284,実績!$AE$6:$AE$505,"○")&gt;0,1,0))</f>
        <v/>
      </c>
      <c r="V284">
        <f>IF(V$4=0,0,IF(COUNTIFS(実績!$W$6:$W$505,V$3,実績!$AC$6:$AC$505,"&lt;="&amp;$A284,実績!$AD$6:$AD$505,"&gt;"&amp;$A284,実績!$AE$6:$AE$505,"○")&gt;0,1,0))</f>
        <v/>
      </c>
      <c r="W284">
        <f>IF(W$4=0,0,IF(COUNTIFS(実績!$W$6:$W$505,W$3,実績!$AC$6:$AC$505,"&lt;="&amp;$A284,実績!$AD$6:$AD$505,"&gt;"&amp;$A284,実績!$AE$6:$AE$505,"○")&gt;0,1,0))</f>
        <v/>
      </c>
      <c r="X284">
        <f>IF(X$4=0,0,IF(COUNTIFS(実績!$W$6:$W$505,X$3,実績!$AC$6:$AC$505,"&lt;="&amp;$A284,実績!$AD$6:$AD$505,"&gt;"&amp;$A284,実績!$AE$6:$AE$505,"○")&gt;0,1,0))</f>
        <v/>
      </c>
      <c r="Y284">
        <f>IF(Y$4=0,0,IF(COUNTIFS(実績!$W$6:$W$505,Y$3,実績!$AC$6:$AC$505,"&lt;="&amp;$A284,実績!$AD$6:$AD$505,"&gt;"&amp;$A284,実績!$AE$6:$AE$505,"○")&gt;0,1,0))</f>
        <v/>
      </c>
      <c r="Z284">
        <f>IF(Z$4=0,0,IF(COUNTIFS(実績!$W$6:$W$505,Z$3,実績!$AC$6:$AC$505,"&lt;="&amp;$A284,実績!$AD$6:$AD$505,"&gt;"&amp;$A284,実績!$AE$6:$AE$505,"○")&gt;0,1,0))</f>
        <v/>
      </c>
      <c r="AA284">
        <f>IF(AA$4=0,0,IF(COUNTIFS(実績!$W$6:$W$505,AA$3,実績!$AC$6:$AC$505,"&lt;="&amp;$A284,実績!$AD$6:$AD$505,"&gt;"&amp;$A284,実績!$AE$6:$AE$505,"○")&gt;0,1,0))</f>
        <v/>
      </c>
      <c r="AB284">
        <f>IF(AB$4=0,0,IF(COUNTIFS(実績!$W$6:$W$505,AB$3,実績!$AC$6:$AC$505,"&lt;="&amp;$A284,実績!$AD$6:$AD$505,"&gt;"&amp;$A284,実績!$AE$6:$AE$505,"○")&gt;0,1,0))</f>
        <v/>
      </c>
      <c r="AC284">
        <f>IF(AC$4=0,0,IF(COUNTIFS(実績!$W$6:$W$505,AC$3,実績!$AC$6:$AC$505,"&lt;="&amp;$A284,実績!$AD$6:$AD$505,"&gt;"&amp;$A284,実績!$AE$6:$AE$505,"○")&gt;0,1,0))</f>
        <v/>
      </c>
      <c r="AD284">
        <f>IF(AD$4=0,0,IF(COUNTIFS(実績!$W$6:$W$505,AD$3,実績!$AC$6:$AC$505,"&lt;="&amp;$A284,実績!$AD$6:$AD$505,"&gt;"&amp;$A284,実績!$AE$6:$AE$505,"○")&gt;0,1,0))</f>
        <v/>
      </c>
      <c r="AE284">
        <f>IF(AE$4=0,0,IF(COUNTIFS(実績!$W$6:$W$505,AE$3,実績!$AC$6:$AC$505,"&lt;="&amp;$A284,実績!$AD$6:$AD$505,"&gt;"&amp;$A284,実績!$AE$6:$AE$505,"○")&gt;0,1,0))</f>
        <v/>
      </c>
      <c r="AF284">
        <f>IF(AF$4=0,0,IF(COUNTIFS(実績!$W$6:$W$505,AF$3,実績!$AC$6:$AC$505,"&lt;="&amp;$A284,実績!$AD$6:$AD$505,"&gt;"&amp;$A284,実績!$AE$6:$AE$505,"○")&gt;0,1,0))</f>
        <v/>
      </c>
      <c r="AG284">
        <f>IF(AG$4=0,0,IF(COUNTIFS(実績!$W$6:$W$505,AG$3,実績!$AC$6:$AC$505,"&lt;="&amp;$A284,実績!$AD$6:$AD$505,"&gt;"&amp;$A284,実績!$AE$6:$AE$505,"○")&gt;0,1,0))</f>
        <v/>
      </c>
      <c r="AH284">
        <f>IF(AH$4=0,0,IF(COUNTIFS(実績!$W$6:$W$505,AH$3,実績!$AC$6:$AC$505,"&lt;="&amp;$A284,実績!$AD$6:$AD$505,"&gt;"&amp;$A284,実績!$AE$6:$AE$505,"○")&gt;0,1,0))</f>
        <v/>
      </c>
      <c r="AI284">
        <f>IF(AI$4=0,0,IF(COUNTIFS(実績!$W$6:$W$505,AI$3,実績!$AC$6:$AC$505,"&lt;="&amp;$A284,実績!$AD$6:$AD$505,"&gt;"&amp;$A284,実績!$AE$6:$AE$505,"○")&gt;0,1,0))</f>
        <v/>
      </c>
      <c r="AJ284">
        <f>IF(AJ$4=0,0,IF(COUNTIFS(実績!$W$6:$W$505,AJ$3,実績!$AC$6:$AC$505,"&lt;="&amp;$A284,実績!$AD$6:$AD$505,"&gt;"&amp;$A284,実績!$AE$6:$AE$505,"○")&gt;0,1,0))</f>
        <v/>
      </c>
      <c r="AK284">
        <f>IF(AK$4=0,0,IF(COUNTIFS(実績!$W$6:$W$505,AK$3,実績!$AC$6:$AC$505,"&lt;="&amp;$A284,実績!$AD$6:$AD$505,"&gt;"&amp;$A284,実績!$AE$6:$AE$505,"○")&gt;0,1,0))</f>
        <v/>
      </c>
      <c r="AL284">
        <f>IF(AL$4=0,0,IF(COUNTIFS(実績!$W$6:$W$505,AL$3,実績!$AC$6:$AC$505,"&lt;="&amp;$A284,実績!$AD$6:$AD$505,"&gt;"&amp;$A284,実績!$AE$6:$AE$505,"○")&gt;0,1,0))</f>
        <v/>
      </c>
      <c r="AM284">
        <f>IF(AM$4=0,0,IF(COUNTIFS(実績!$W$6:$W$505,AM$3,実績!$AC$6:$AC$505,"&lt;="&amp;$A284,実績!$AD$6:$AD$505,"&gt;"&amp;$A284,実績!$AE$6:$AE$505,"○")&gt;0,1,0))</f>
        <v/>
      </c>
      <c r="AN284">
        <f>IF(AN$4=0,0,IF(COUNTIFS(実績!$W$6:$W$505,AN$3,実績!$AC$6:$AC$505,"&lt;="&amp;$A284,実績!$AD$6:$AD$505,"&gt;"&amp;$A284,実績!$AE$6:$AE$505,"○")&gt;0,1,0))</f>
        <v/>
      </c>
      <c r="AO284">
        <f>IF(AO$4=0,0,IF(COUNTIFS(実績!$W$6:$W$505,AO$3,実績!$AC$6:$AC$505,"&lt;="&amp;$A284,実績!$AD$6:$AD$505,"&gt;"&amp;$A284,実績!$AE$6:$AE$505,"○")&gt;0,1,0))</f>
        <v/>
      </c>
      <c r="AP284">
        <f>IF(AP$4=0,0,IF(COUNTIFS(実績!$W$6:$W$505,AP$3,実績!$AC$6:$AC$505,"&lt;="&amp;$A284,実績!$AD$6:$AD$505,"&gt;"&amp;$A284,実績!$AE$6:$AE$505,"○")&gt;0,1,0))</f>
        <v/>
      </c>
      <c r="AQ284">
        <f>IF(AQ$4=0,0,IF(COUNTIFS(実績!$W$6:$W$505,AQ$3,実績!$AC$6:$AC$505,"&lt;="&amp;$A284,実績!$AD$6:$AD$505,"&gt;"&amp;$A284,実績!$AE$6:$AE$505,"○")&gt;0,1,0))</f>
        <v/>
      </c>
      <c r="AR284">
        <f>IF(AR$4=0,0,IF(COUNTIFS(実績!$W$6:$W$505,AR$3,実績!$AC$6:$AC$505,"&lt;="&amp;$A284,実績!$AD$6:$AD$505,"&gt;"&amp;$A284,実績!$AE$6:$AE$505,"○")&gt;0,1,0))</f>
        <v/>
      </c>
      <c r="AS284">
        <f>IF(AS$4=0,0,IF(COUNTIFS(実績!$W$6:$W$505,AS$3,実績!$AC$6:$AC$505,"&lt;="&amp;$A284,実績!$AD$6:$AD$505,"&gt;"&amp;$A284,実績!$AE$6:$AE$505,"○")&gt;0,1,0))</f>
        <v/>
      </c>
      <c r="AT284">
        <f>IF(AT$4=0,0,IF(COUNTIFS(実績!$W$6:$W$505,AT$3,実績!$AC$6:$AC$505,"&lt;="&amp;$A284,実績!$AD$6:$AD$505,"&gt;"&amp;$A284,実績!$AE$6:$AE$505,"○")&gt;0,1,0))</f>
        <v/>
      </c>
      <c r="AU284">
        <f>IF(AU$4=0,0,IF(COUNTIFS(実績!$W$6:$W$505,AU$3,実績!$AC$6:$AC$505,"&lt;="&amp;$A284,実績!$AD$6:$AD$505,"&gt;"&amp;$A284,実績!$AE$6:$AE$505,"○")&gt;0,1,0))</f>
        <v/>
      </c>
      <c r="AV284">
        <f>IF(AV$4=0,0,IF(COUNTIFS(実績!$W$6:$W$505,AV$3,実績!$AC$6:$AC$505,"&lt;="&amp;$A284,実績!$AD$6:$AD$505,"&gt;"&amp;$A284,実績!$AE$6:$AE$505,"○")&gt;0,1,0))</f>
        <v/>
      </c>
      <c r="AW284">
        <f>IF(AW$4=0,0,IF(COUNTIFS(実績!$W$6:$W$505,AW$3,実績!$AC$6:$AC$505,"&lt;="&amp;$A284,実績!$AD$6:$AD$505,"&gt;"&amp;$A284,実績!$AE$6:$AE$505,"○")&gt;0,1,0))</f>
        <v/>
      </c>
      <c r="AX284">
        <f>IF(AX$4=0,0,IF(COUNTIFS(実績!$W$6:$W$505,AX$3,実績!$AC$6:$AC$505,"&lt;="&amp;$A284,実績!$AD$6:$AD$505,"&gt;"&amp;$A284,実績!$AE$6:$AE$505,"○")&gt;0,1,0))</f>
        <v/>
      </c>
      <c r="AY284">
        <f>IF(AY$4=0,0,IF(COUNTIFS(実績!$W$6:$W$505,AY$3,実績!$AC$6:$AC$505,"&lt;="&amp;$A284,実績!$AD$6:$AD$505,"&gt;"&amp;$A284,実績!$AE$6:$AE$505,"○")&gt;0,1,0))</f>
        <v/>
      </c>
      <c r="AZ284">
        <f>IF(AZ$4=0,0,IF(COUNTIFS(実績!$W$6:$W$505,AZ$3,実績!$AC$6:$AC$505,"&lt;="&amp;$A284,実績!$AD$6:$AD$505,"&gt;"&amp;$A284,実績!$AE$6:$AE$505,"○")&gt;0,1,0))</f>
        <v/>
      </c>
      <c r="BA284">
        <f>IF(BA$4=0,0,IF(COUNTIFS(実績!$W$6:$W$505,BA$3,実績!$AC$6:$AC$505,"&lt;="&amp;$A284,実績!$AD$6:$AD$505,"&gt;"&amp;$A284,実績!$AE$6:$AE$505,"○")&gt;0,1,0))</f>
        <v/>
      </c>
      <c r="BB284">
        <f>IF(BB$4=0,0,IF(COUNTIFS(実績!$W$6:$W$505,BB$3,実績!$AC$6:$AC$505,"&lt;="&amp;$A284,実績!$AD$6:$AD$505,"&gt;"&amp;$A284,実績!$AE$6:$AE$505,"○")&gt;0,1,0))</f>
        <v/>
      </c>
      <c r="BC284">
        <f>IF(BC$4=0,0,IF(COUNTIFS(実績!$W$6:$W$505,BC$3,実績!$AC$6:$AC$505,"&lt;="&amp;$A284,実績!$AD$6:$AD$505,"&gt;"&amp;$A284,実績!$AE$6:$AE$505,"○")&gt;0,1,0))</f>
        <v/>
      </c>
      <c r="BD284">
        <f>IF(BD$4=0,0,IF(COUNTIFS(実績!$W$6:$W$505,BD$3,実績!$AC$6:$AC$505,"&lt;="&amp;$A284,実績!$AD$6:$AD$505,"&gt;"&amp;$A284,実績!$AE$6:$AE$505,"○")&gt;0,1,0))</f>
        <v/>
      </c>
      <c r="BE284">
        <f>IF(BE$4=0,0,IF(COUNTIFS(実績!$W$6:$W$505,BE$3,実績!$AC$6:$AC$505,"&lt;="&amp;$A284,実績!$AD$6:$AD$505,"&gt;"&amp;$A284,実績!$AE$6:$AE$505,"○")&gt;0,1,0))</f>
        <v/>
      </c>
      <c r="BF284">
        <f>IF(BF$4=0,0,IF(COUNTIFS(実績!$W$6:$W$505,BF$3,実績!$AC$6:$AC$505,"&lt;="&amp;$A284,実績!$AD$6:$AD$505,"&gt;"&amp;$A284,実績!$AE$6:$AE$505,"○")&gt;0,1,0))</f>
        <v/>
      </c>
      <c r="BG284">
        <f>IF(BG$4=0,0,IF(COUNTIFS(実績!$W$6:$W$505,BG$3,実績!$AC$6:$AC$505,"&lt;="&amp;$A284,実績!$AD$6:$AD$505,"&gt;"&amp;$A284,実績!$AE$6:$AE$505,"○")&gt;0,1,0))</f>
        <v/>
      </c>
      <c r="BH284">
        <f>IF(BH$4=0,0,IF(COUNTIFS(実績!$W$6:$W$505,BH$3,実績!$AC$6:$AC$505,"&lt;="&amp;$A284,実績!$AD$6:$AD$505,"&gt;"&amp;$A284,実績!$AE$6:$AE$505,"○")&gt;0,1,0))</f>
        <v/>
      </c>
      <c r="BI284">
        <f>IF(BI$4=0,0,IF(COUNTIFS(実績!$W$6:$W$505,BI$3,実績!$AC$6:$AC$505,"&lt;="&amp;$A284,実績!$AD$6:$AD$505,"&gt;"&amp;$A284,実績!$AE$6:$AE$505,"○")&gt;0,1,0))</f>
        <v/>
      </c>
      <c r="BJ284">
        <f>IF(BJ$4=0,0,IF(COUNTIFS(実績!$W$6:$W$505,BJ$3,実績!$AC$6:$AC$505,"&lt;="&amp;$A284,実績!$AD$6:$AD$505,"&gt;"&amp;$A284,実績!$AE$6:$AE$505,"○")&gt;0,1,0))</f>
        <v/>
      </c>
      <c r="BK284">
        <f>IF(BK$4=0,0,IF(COUNTIFS(実績!$W$6:$W$505,BK$3,実績!$AC$6:$AC$505,"&lt;="&amp;$A284,実績!$AD$6:$AD$505,"&gt;"&amp;$A284,実績!$AE$6:$AE$505,"○")&gt;0,1,0))</f>
        <v/>
      </c>
      <c r="BL284">
        <f>IF(BL$4=0,0,IF(COUNTIFS(実績!$W$6:$W$505,BL$3,実績!$AC$6:$AC$505,"&lt;="&amp;$A284,実績!$AD$6:$AD$505,"&gt;"&amp;$A284,実績!$AE$6:$AE$505,"○")&gt;0,1,0))</f>
        <v/>
      </c>
      <c r="BM284">
        <f>IF(BM$4=0,0,IF(COUNTIFS(実績!$W$6:$W$505,BM$3,実績!$AC$6:$AC$505,"&lt;="&amp;$A284,実績!$AD$6:$AD$505,"&gt;"&amp;$A284,実績!$AE$6:$AE$505,"○")&gt;0,1,0))</f>
        <v/>
      </c>
      <c r="BN284">
        <f>IF(BN$4=0,0,IF(COUNTIFS(実績!$W$6:$W$505,BN$3,実績!$AC$6:$AC$505,"&lt;="&amp;$A284,実績!$AD$6:$AD$505,"&gt;"&amp;$A284,実績!$AE$6:$AE$505,"○")&gt;0,1,0))</f>
        <v/>
      </c>
      <c r="BO284">
        <f>IF(BO$4=0,0,IF(COUNTIFS(実績!$W$6:$W$505,BO$3,実績!$AC$6:$AC$505,"&lt;="&amp;$A284,実績!$AD$6:$AD$505,"&gt;"&amp;$A284,実績!$AE$6:$AE$505,"○")&gt;0,1,0))</f>
        <v/>
      </c>
      <c r="BP284">
        <f>IF(BP$4=0,0,IF(COUNTIFS(実績!$W$6:$W$505,BP$3,実績!$AC$6:$AC$505,"&lt;="&amp;$A284,実績!$AD$6:$AD$505,"&gt;"&amp;$A284,実績!$AE$6:$AE$505,"○")&gt;0,1,0))</f>
        <v/>
      </c>
      <c r="BQ284">
        <f>IF(BQ$4=0,0,IF(COUNTIFS(実績!$W$6:$W$505,BQ$3,実績!$AC$6:$AC$505,"&lt;="&amp;$A284,実績!$AD$6:$AD$505,"&gt;"&amp;$A284,実績!$AE$6:$AE$505,"○")&gt;0,1,0))</f>
        <v/>
      </c>
      <c r="BR284">
        <f>IF(BR$4=0,0,IF(COUNTIFS(実績!$W$6:$W$505,BR$3,実績!$AC$6:$AC$505,"&lt;="&amp;$A284,実績!$AD$6:$AD$505,"&gt;"&amp;$A284,実績!$AE$6:$AE$505,"○")&gt;0,1,0))</f>
        <v/>
      </c>
      <c r="BS284">
        <f>IF(BS$4=0,0,IF(COUNTIFS(実績!$W$6:$W$505,BS$3,実績!$AC$6:$AC$505,"&lt;="&amp;$A284,実績!$AD$6:$AD$505,"&gt;"&amp;$A284,実績!$AE$6:$AE$505,"○")&gt;0,1,0))</f>
        <v/>
      </c>
      <c r="BT284">
        <f>IF(BT$4=0,0,IF(COUNTIFS(実績!$W$6:$W$505,BT$3,実績!$AC$6:$AC$505,"&lt;="&amp;$A284,実績!$AD$6:$AD$505,"&gt;"&amp;$A284,実績!$AE$6:$AE$505,"○")&gt;0,1,0))</f>
        <v/>
      </c>
      <c r="BU284">
        <f>IF(BU$4=0,0,IF(COUNTIFS(実績!$W$6:$W$505,BU$3,実績!$AC$6:$AC$505,"&lt;="&amp;$A284,実績!$AD$6:$AD$505,"&gt;"&amp;$A284,実績!$AE$6:$AE$505,"○")&gt;0,1,0))</f>
        <v/>
      </c>
      <c r="BV284">
        <f>IF(BV$4=0,0,IF(COUNTIFS(実績!$W$6:$W$505,BV$3,実績!$AC$6:$AC$505,"&lt;="&amp;$A284,実績!$AD$6:$AD$505,"&gt;"&amp;$A284,実績!$AE$6:$AE$505,"○")&gt;0,1,0))</f>
        <v/>
      </c>
      <c r="BW284">
        <f>IF(BW$4=0,0,IF(COUNTIFS(実績!$W$6:$W$505,BW$3,実績!$AC$6:$AC$505,"&lt;="&amp;$A284,実績!$AD$6:$AD$505,"&gt;"&amp;$A284,実績!$AE$6:$AE$505,"○")&gt;0,1,0))</f>
        <v/>
      </c>
      <c r="BX284">
        <f>IF(BX$4=0,0,IF(COUNTIFS(実績!$W$6:$W$505,BX$3,実績!$AC$6:$AC$505,"&lt;="&amp;$A284,実績!$AD$6:$AD$505,"&gt;"&amp;$A284,実績!$AE$6:$AE$505,"○")&gt;0,1,0))</f>
        <v/>
      </c>
      <c r="BY284">
        <f>IF(BY$4=0,0,IF(COUNTIFS(実績!$W$6:$W$505,BY$3,実績!$AC$6:$AC$505,"&lt;="&amp;$A284,実績!$AD$6:$AD$505,"&gt;"&amp;$A284,実績!$AE$6:$AE$505,"○")&gt;0,1,0))</f>
        <v/>
      </c>
      <c r="BZ284">
        <f>IF(BZ$4=0,0,IF(COUNTIFS(実績!$W$6:$W$505,BZ$3,実績!$AC$6:$AC$505,"&lt;="&amp;$A284,実績!$AD$6:$AD$505,"&gt;"&amp;$A284,実績!$AE$6:$AE$505,"○")&gt;0,1,0))</f>
        <v/>
      </c>
      <c r="CA284">
        <f>IF(CA$4=0,0,IF(COUNTIFS(実績!$W$6:$W$505,CA$3,実績!$AC$6:$AC$505,"&lt;="&amp;$A284,実績!$AD$6:$AD$505,"&gt;"&amp;$A284,実績!$AE$6:$AE$505,"○")&gt;0,1,0))</f>
        <v/>
      </c>
      <c r="CB284">
        <f>IF(CB$4=0,0,IF(COUNTIFS(実績!$W$6:$W$505,CB$3,実績!$AC$6:$AC$505,"&lt;="&amp;$A284,実績!$AD$6:$AD$505,"&gt;"&amp;$A284,実績!$AE$6:$AE$505,"○")&gt;0,1,0))</f>
        <v/>
      </c>
      <c r="CC284">
        <f>IF(CC$4=0,0,IF(COUNTIFS(実績!$W$6:$W$505,CC$3,実績!$AC$6:$AC$505,"&lt;="&amp;$A284,実績!$AD$6:$AD$505,"&gt;"&amp;$A284,実績!$AE$6:$AE$505,"○")&gt;0,1,0))</f>
        <v/>
      </c>
      <c r="CD284">
        <f>IF(CD$4=0,0,IF(COUNTIFS(実績!$W$6:$W$505,CD$3,実績!$AC$6:$AC$505,"&lt;="&amp;$A284,実績!$AD$6:$AD$505,"&gt;"&amp;$A284,実績!$AE$6:$AE$505,"○")&gt;0,1,0))</f>
        <v/>
      </c>
      <c r="CE284">
        <f>IF(CE$4=0,0,IF(COUNTIFS(実績!$W$6:$W$505,CE$3,実績!$AC$6:$AC$505,"&lt;="&amp;$A284,実績!$AD$6:$AD$505,"&gt;"&amp;$A284,実績!$AE$6:$AE$505,"○")&gt;0,1,0))</f>
        <v/>
      </c>
      <c r="CF284">
        <f>IF(CF$4=0,0,IF(COUNTIFS(実績!$W$6:$W$505,CF$3,実績!$AC$6:$AC$505,"&lt;="&amp;$A284,実績!$AD$6:$AD$505,"&gt;"&amp;$A284,実績!$AE$6:$AE$505,"○")&gt;0,1,0))</f>
        <v/>
      </c>
      <c r="CG284">
        <f>IF(CG$4=0,0,IF(COUNTIFS(実績!$W$6:$W$505,CG$3,実績!$AC$6:$AC$505,"&lt;="&amp;$A284,実績!$AD$6:$AD$505,"&gt;"&amp;$A284,実績!$AE$6:$AE$505,"○")&gt;0,1,0))</f>
        <v/>
      </c>
      <c r="CH284">
        <f>IF(CH$4=0,0,IF(COUNTIFS(実績!$W$6:$W$505,CH$3,実績!$AC$6:$AC$505,"&lt;="&amp;$A284,実績!$AD$6:$AD$505,"&gt;"&amp;$A284,実績!$AE$6:$AE$505,"○")&gt;0,1,0))</f>
        <v/>
      </c>
      <c r="CI284">
        <f>IF(CI$4=0,0,IF(COUNTIFS(実績!$W$6:$W$505,CI$3,実績!$AC$6:$AC$505,"&lt;="&amp;$A284,実績!$AD$6:$AD$505,"&gt;"&amp;$A284,実績!$AE$6:$AE$505,"○")&gt;0,1,0))</f>
        <v/>
      </c>
      <c r="CJ284">
        <f>IF(CJ$4=0,0,IF(COUNTIFS(実績!$W$6:$W$505,CJ$3,実績!$AC$6:$AC$505,"&lt;="&amp;$A284,実績!$AD$6:$AD$505,"&gt;"&amp;$A284,実績!$AE$6:$AE$505,"○")&gt;0,1,0))</f>
        <v/>
      </c>
      <c r="CK284">
        <f>IF(CK$4=0,0,IF(COUNTIFS(実績!$W$6:$W$505,CK$3,実績!$AC$6:$AC$505,"&lt;="&amp;$A284,実績!$AD$6:$AD$505,"&gt;"&amp;$A284,実績!$AE$6:$AE$505,"○")&gt;0,1,0))</f>
        <v/>
      </c>
      <c r="CL284">
        <f>IF(CL$4=0,0,IF(COUNTIFS(実績!$W$6:$W$505,CL$3,実績!$AC$6:$AC$505,"&lt;="&amp;$A284,実績!$AD$6:$AD$505,"&gt;"&amp;$A284,実績!$AE$6:$AE$505,"○")&gt;0,1,0))</f>
        <v/>
      </c>
      <c r="CM284">
        <f>IF(CM$4=0,0,IF(COUNTIFS(実績!$W$6:$W$505,CM$3,実績!$AC$6:$AC$505,"&lt;="&amp;$A284,実績!$AD$6:$AD$505,"&gt;"&amp;$A284,実績!$AE$6:$AE$505,"○")&gt;0,1,0))</f>
        <v/>
      </c>
      <c r="CN284">
        <f>IF(CN$4=0,0,IF(COUNTIFS(実績!$W$6:$W$505,CN$3,実績!$AC$6:$AC$505,"&lt;="&amp;$A284,実績!$AD$6:$AD$505,"&gt;"&amp;$A284,実績!$AE$6:$AE$505,"○")&gt;0,1,0))</f>
        <v/>
      </c>
      <c r="CO284">
        <f>IF(CO$4=0,0,IF(COUNTIFS(実績!$W$6:$W$505,CO$3,実績!$AC$6:$AC$505,"&lt;="&amp;$A284,実績!$AD$6:$AD$505,"&gt;"&amp;$A284,実績!$AE$6:$AE$505,"○")&gt;0,1,0))</f>
        <v/>
      </c>
      <c r="CP284">
        <f>IF(CP$4=0,0,IF(COUNTIFS(実績!$W$6:$W$505,CP$3,実績!$AC$6:$AC$505,"&lt;="&amp;$A284,実績!$AD$6:$AD$505,"&gt;"&amp;$A284,実績!$AE$6:$AE$505,"○")&gt;0,1,0))</f>
        <v/>
      </c>
      <c r="CQ284">
        <f>IF(CQ$4=0,0,IF(COUNTIFS(実績!$W$6:$W$505,CQ$3,実績!$AC$6:$AC$505,"&lt;="&amp;$A284,実績!$AD$6:$AD$505,"&gt;"&amp;$A284,実績!$AE$6:$AE$505,"○")&gt;0,1,0))</f>
        <v/>
      </c>
      <c r="CR284">
        <f>IF(CR$4=0,0,IF(COUNTIFS(実績!$W$6:$W$505,CR$3,実績!$AC$6:$AC$505,"&lt;="&amp;$A284,実績!$AD$6:$AD$505,"&gt;"&amp;$A284,実績!$AE$6:$AE$505,"○")&gt;0,1,0))</f>
        <v/>
      </c>
      <c r="CS284">
        <f>IF(CS$4=0,0,IF(COUNTIFS(実績!$W$6:$W$505,CS$3,実績!$AC$6:$AC$505,"&lt;="&amp;$A284,実績!$AD$6:$AD$505,"&gt;"&amp;$A284,実績!$AE$6:$AE$505,"○")&gt;0,1,0))</f>
        <v/>
      </c>
      <c r="CT284">
        <f>IF(CT$4=0,0,IF(COUNTIFS(実績!$W$6:$W$505,CT$3,実績!$AC$6:$AC$505,"&lt;="&amp;$A284,実績!$AD$6:$AD$505,"&gt;"&amp;$A284,実績!$AE$6:$AE$505,"○")&gt;0,1,0))</f>
        <v/>
      </c>
      <c r="CU284">
        <f>IF(CU$4=0,0,IF(COUNTIFS(実績!$W$6:$W$505,CU$3,実績!$AC$6:$AC$505,"&lt;="&amp;$A284,実績!$AD$6:$AD$505,"&gt;"&amp;$A284,実績!$AE$6:$AE$505,"○")&gt;0,1,0))</f>
        <v/>
      </c>
      <c r="CV284">
        <f>IF(CV$4=0,0,IF(COUNTIFS(実績!$W$6:$W$505,CV$3,実績!$AC$6:$AC$505,"&lt;="&amp;$A284,実績!$AD$6:$AD$505,"&gt;"&amp;$A284,実績!$AE$6:$AE$505,"○")&gt;0,1,0))</f>
        <v/>
      </c>
      <c r="CW284">
        <f>IF(CW$4=0,0,IF(COUNTIFS(実績!$W$6:$W$505,CW$3,実績!$AC$6:$AC$505,"&lt;="&amp;$A284,実績!$AD$6:$AD$505,"&gt;"&amp;$A284,実績!$AE$6:$AE$505,"○")&gt;0,1,0))</f>
        <v/>
      </c>
      <c r="CX284">
        <f>IF(CX$4=0,0,IF(COUNTIFS(実績!$W$6:$W$505,CX$3,実績!$AC$6:$AC$505,"&lt;="&amp;$A284,実績!$AD$6:$AD$505,"&gt;"&amp;$A284,実績!$AE$6:$AE$505,"○")&gt;0,1,0))</f>
        <v/>
      </c>
      <c r="CY284">
        <f>IF(CY$4=0,0,IF(COUNTIFS(実績!$W$6:$W$505,CY$3,実績!$AC$6:$AC$505,"&lt;="&amp;$A284,実績!$AD$6:$AD$505,"&gt;"&amp;$A284,実績!$AE$6:$AE$505,"○")&gt;0,1,0))</f>
        <v/>
      </c>
      <c r="CZ284">
        <f>IF(CZ$4=0,0,IF(COUNTIFS(実績!$W$6:$W$505,CZ$3,実績!$AC$6:$AC$505,"&lt;="&amp;$A284,実績!$AD$6:$AD$505,"&gt;"&amp;$A284,実績!$AE$6:$AE$505,"○")&gt;0,1,0))</f>
        <v/>
      </c>
      <c r="DA284">
        <f>IF(DA$4=0,0,IF(COUNTIFS(実績!$W$6:$W$505,DA$3,実績!$AC$6:$AC$505,"&lt;="&amp;$A284,実績!$AD$6:$AD$505,"&gt;"&amp;$A284,実績!$AE$6:$AE$505,"○")&gt;0,1,0))</f>
        <v/>
      </c>
      <c r="DB284">
        <f>IF(DB$4=0,0,IF(COUNTIFS(実績!$W$6:$W$505,DB$3,実績!$AC$6:$AC$505,"&lt;="&amp;$A284,実績!$AD$6:$AD$505,"&gt;"&amp;$A284,実績!$AE$6:$AE$505,"○")&gt;0,1,0))</f>
        <v/>
      </c>
      <c r="DC284">
        <f>IF(DC$4=0,0,IF(COUNTIFS(実績!$W$6:$W$505,DC$3,実績!$AC$6:$AC$505,"&lt;="&amp;$A284,実績!$AD$6:$AD$505,"&gt;"&amp;$A284,実績!$AE$6:$AE$505,"○")&gt;0,1,0))</f>
        <v/>
      </c>
      <c r="DD284">
        <f>IF(DD$4=0,0,IF(COUNTIFS(実績!$W$6:$W$505,DD$3,実績!$AC$6:$AC$505,"&lt;="&amp;$A284,実績!$AD$6:$AD$505,"&gt;"&amp;$A284,実績!$AE$6:$AE$505,"○")&gt;0,1,0))</f>
        <v/>
      </c>
      <c r="DE284">
        <f>IF(DE$4=0,0,IF(COUNTIFS(実績!$W$6:$W$505,DE$3,実績!$AC$6:$AC$505,"&lt;="&amp;$A284,実績!$AD$6:$AD$505,"&gt;"&amp;$A284,実績!$AE$6:$AE$505,"○")&gt;0,1,0))</f>
        <v/>
      </c>
      <c r="DF284">
        <f>IF(DF$4=0,0,IF(COUNTIFS(実績!$W$6:$W$505,DF$3,実績!$AC$6:$AC$505,"&lt;="&amp;$A284,実績!$AD$6:$AD$505,"&gt;"&amp;$A284,実績!$AE$6:$AE$505,"○")&gt;0,1,0))</f>
        <v/>
      </c>
      <c r="DG284">
        <f>IF(DG$4=0,0,IF(COUNTIFS(実績!$W$6:$W$505,DG$3,実績!$AC$6:$AC$505,"&lt;="&amp;$A284,実績!$AD$6:$AD$505,"&gt;"&amp;$A284,実績!$AE$6:$AE$505,"○")&gt;0,1,0))</f>
        <v/>
      </c>
      <c r="DH284">
        <f>IF(DH$4=0,0,IF(COUNTIFS(実績!$W$6:$W$505,DH$3,実績!$AC$6:$AC$505,"&lt;="&amp;$A284,実績!$AD$6:$AD$505,"&gt;"&amp;$A284,実績!$AE$6:$AE$505,"○")&gt;0,1,0))</f>
        <v/>
      </c>
      <c r="DI284">
        <f>IF(DI$4=0,0,IF(COUNTIFS(実績!$W$6:$W$505,DI$3,実績!$AC$6:$AC$505,"&lt;="&amp;$A284,実績!$AD$6:$AD$505,"&gt;"&amp;$A284,実績!$AE$6:$AE$505,"○")&gt;0,1,0))</f>
        <v/>
      </c>
      <c r="DJ284">
        <f>IF(DJ$4=0,0,IF(COUNTIFS(実績!$W$6:$W$505,DJ$3,実績!$AC$6:$AC$505,"&lt;="&amp;$A284,実績!$AD$6:$AD$505,"&gt;"&amp;$A284,実績!$AE$6:$AE$505,"○")&gt;0,1,0))</f>
        <v/>
      </c>
      <c r="DK284">
        <f>IF(DK$4=0,0,IF(COUNTIFS(実績!$W$6:$W$505,DK$3,実績!$AC$6:$AC$505,"&lt;="&amp;$A284,実績!$AD$6:$AD$505,"&gt;"&amp;$A284,実績!$AE$6:$AE$505,"○")&gt;0,1,0))</f>
        <v/>
      </c>
      <c r="DL284">
        <f>IF(DL$4=0,0,IF(COUNTIFS(実績!$W$6:$W$505,DL$3,実績!$AC$6:$AC$505,"&lt;="&amp;$A284,実績!$AD$6:$AD$505,"&gt;"&amp;$A284,実績!$AE$6:$AE$505,"○")&gt;0,1,0))</f>
        <v/>
      </c>
      <c r="DM284">
        <f>IF(DM$4=0,0,IF(COUNTIFS(実績!$W$6:$W$505,DM$3,実績!$AC$6:$AC$505,"&lt;="&amp;$A284,実績!$AD$6:$AD$505,"&gt;"&amp;$A284,実績!$AE$6:$AE$505,"○")&gt;0,1,0))</f>
        <v/>
      </c>
      <c r="DN284">
        <f>IF(DN$4=0,0,IF(COUNTIFS(実績!$W$6:$W$505,DN$3,実績!$AC$6:$AC$505,"&lt;="&amp;$A284,実績!$AD$6:$AD$505,"&gt;"&amp;$A284,実績!$AE$6:$AE$505,"○")&gt;0,1,0))</f>
        <v/>
      </c>
      <c r="DO284">
        <f>IF(DO$4=0,0,IF(COUNTIFS(実績!$W$6:$W$505,DO$3,実績!$AC$6:$AC$505,"&lt;="&amp;$A284,実績!$AD$6:$AD$505,"&gt;"&amp;$A284,実績!$AE$6:$AE$505,"○")&gt;0,1,0))</f>
        <v/>
      </c>
      <c r="DP284">
        <f>IF(DP$4=0,0,IF(COUNTIFS(実績!$W$6:$W$505,DP$3,実績!$AC$6:$AC$505,"&lt;="&amp;$A284,実績!$AD$6:$AD$505,"&gt;"&amp;$A284,実績!$AE$6:$AE$505,"○")&gt;0,1,0))</f>
        <v/>
      </c>
      <c r="DQ284">
        <f>IF(DQ$4=0,0,IF(COUNTIFS(実績!$W$6:$W$505,DQ$3,実績!$AC$6:$AC$505,"&lt;="&amp;$A284,実績!$AD$6:$AD$505,"&gt;"&amp;$A284,実績!$AE$6:$AE$505,"○")&gt;0,1,0))</f>
        <v/>
      </c>
      <c r="DR284">
        <f>IF(DR$4=0,0,IF(COUNTIFS(実績!$W$6:$W$505,DR$3,実績!$AC$6:$AC$505,"&lt;="&amp;$A284,実績!$AD$6:$AD$505,"&gt;"&amp;$A284,実績!$AE$6:$AE$505,"○")&gt;0,1,0))</f>
        <v/>
      </c>
      <c r="DS284">
        <f>SUM(C284:DR284)</f>
        <v/>
      </c>
      <c r="DT284">
        <f>SUMPRODUCT((実績!$C$6:$C$505="○")*ISNUMBER(実績!$AF$6:$AF$505)*(実績!$AF$6:$AF$505&lt;=$A284)*(実績!$AG$6:$AG$505&gt;$A284))</f>
        <v/>
      </c>
      <c r="DU284">
        <f>SUMIF($C$2:$DR$2,"製鉄曳船",C284:DR284)</f>
        <v/>
      </c>
      <c r="DV284">
        <f>SUMIF($C$2:$DR$2,"西日本海運",C284:DR284)</f>
        <v/>
      </c>
    </row>
    <row r="285">
      <c r="A285" t="n">
        <v>1395</v>
      </c>
      <c r="B285" s="29">
        <f>A285/1440</f>
        <v/>
      </c>
      <c r="C285">
        <f>IF(C$4=0,0,IF(COUNTIFS(実績!$W$6:$W$505,C$3,実績!$AC$6:$AC$505,"&lt;="&amp;$A285,実績!$AD$6:$AD$505,"&gt;"&amp;$A285,実績!$AE$6:$AE$505,"○")&gt;0,1,0))</f>
        <v/>
      </c>
      <c r="D285">
        <f>IF(D$4=0,0,IF(COUNTIFS(実績!$W$6:$W$505,D$3,実績!$AC$6:$AC$505,"&lt;="&amp;$A285,実績!$AD$6:$AD$505,"&gt;"&amp;$A285,実績!$AE$6:$AE$505,"○")&gt;0,1,0))</f>
        <v/>
      </c>
      <c r="E285">
        <f>IF(E$4=0,0,IF(COUNTIFS(実績!$W$6:$W$505,E$3,実績!$AC$6:$AC$505,"&lt;="&amp;$A285,実績!$AD$6:$AD$505,"&gt;"&amp;$A285,実績!$AE$6:$AE$505,"○")&gt;0,1,0))</f>
        <v/>
      </c>
      <c r="F285">
        <f>IF(F$4=0,0,IF(COUNTIFS(実績!$W$6:$W$505,F$3,実績!$AC$6:$AC$505,"&lt;="&amp;$A285,実績!$AD$6:$AD$505,"&gt;"&amp;$A285,実績!$AE$6:$AE$505,"○")&gt;0,1,0))</f>
        <v/>
      </c>
      <c r="G285">
        <f>IF(G$4=0,0,IF(COUNTIFS(実績!$W$6:$W$505,G$3,実績!$AC$6:$AC$505,"&lt;="&amp;$A285,実績!$AD$6:$AD$505,"&gt;"&amp;$A285,実績!$AE$6:$AE$505,"○")&gt;0,1,0))</f>
        <v/>
      </c>
      <c r="H285">
        <f>IF(H$4=0,0,IF(COUNTIFS(実績!$W$6:$W$505,H$3,実績!$AC$6:$AC$505,"&lt;="&amp;$A285,実績!$AD$6:$AD$505,"&gt;"&amp;$A285,実績!$AE$6:$AE$505,"○")&gt;0,1,0))</f>
        <v/>
      </c>
      <c r="I285">
        <f>IF(I$4=0,0,IF(COUNTIFS(実績!$W$6:$W$505,I$3,実績!$AC$6:$AC$505,"&lt;="&amp;$A285,実績!$AD$6:$AD$505,"&gt;"&amp;$A285,実績!$AE$6:$AE$505,"○")&gt;0,1,0))</f>
        <v/>
      </c>
      <c r="J285">
        <f>IF(J$4=0,0,IF(COUNTIFS(実績!$W$6:$W$505,J$3,実績!$AC$6:$AC$505,"&lt;="&amp;$A285,実績!$AD$6:$AD$505,"&gt;"&amp;$A285,実績!$AE$6:$AE$505,"○")&gt;0,1,0))</f>
        <v/>
      </c>
      <c r="K285">
        <f>IF(K$4=0,0,IF(COUNTIFS(実績!$W$6:$W$505,K$3,実績!$AC$6:$AC$505,"&lt;="&amp;$A285,実績!$AD$6:$AD$505,"&gt;"&amp;$A285,実績!$AE$6:$AE$505,"○")&gt;0,1,0))</f>
        <v/>
      </c>
      <c r="L285">
        <f>IF(L$4=0,0,IF(COUNTIFS(実績!$W$6:$W$505,L$3,実績!$AC$6:$AC$505,"&lt;="&amp;$A285,実績!$AD$6:$AD$505,"&gt;"&amp;$A285,実績!$AE$6:$AE$505,"○")&gt;0,1,0))</f>
        <v/>
      </c>
      <c r="M285">
        <f>IF(M$4=0,0,IF(COUNTIFS(実績!$W$6:$W$505,M$3,実績!$AC$6:$AC$505,"&lt;="&amp;$A285,実績!$AD$6:$AD$505,"&gt;"&amp;$A285,実績!$AE$6:$AE$505,"○")&gt;0,1,0))</f>
        <v/>
      </c>
      <c r="N285">
        <f>IF(N$4=0,0,IF(COUNTIFS(実績!$W$6:$W$505,N$3,実績!$AC$6:$AC$505,"&lt;="&amp;$A285,実績!$AD$6:$AD$505,"&gt;"&amp;$A285,実績!$AE$6:$AE$505,"○")&gt;0,1,0))</f>
        <v/>
      </c>
      <c r="O285">
        <f>IF(O$4=0,0,IF(COUNTIFS(実績!$W$6:$W$505,O$3,実績!$AC$6:$AC$505,"&lt;="&amp;$A285,実績!$AD$6:$AD$505,"&gt;"&amp;$A285,実績!$AE$6:$AE$505,"○")&gt;0,1,0))</f>
        <v/>
      </c>
      <c r="P285">
        <f>IF(P$4=0,0,IF(COUNTIFS(実績!$W$6:$W$505,P$3,実績!$AC$6:$AC$505,"&lt;="&amp;$A285,実績!$AD$6:$AD$505,"&gt;"&amp;$A285,実績!$AE$6:$AE$505,"○")&gt;0,1,0))</f>
        <v/>
      </c>
      <c r="Q285">
        <f>IF(Q$4=0,0,IF(COUNTIFS(実績!$W$6:$W$505,Q$3,実績!$AC$6:$AC$505,"&lt;="&amp;$A285,実績!$AD$6:$AD$505,"&gt;"&amp;$A285,実績!$AE$6:$AE$505,"○")&gt;0,1,0))</f>
        <v/>
      </c>
      <c r="R285">
        <f>IF(R$4=0,0,IF(COUNTIFS(実績!$W$6:$W$505,R$3,実績!$AC$6:$AC$505,"&lt;="&amp;$A285,実績!$AD$6:$AD$505,"&gt;"&amp;$A285,実績!$AE$6:$AE$505,"○")&gt;0,1,0))</f>
        <v/>
      </c>
      <c r="S285">
        <f>IF(S$4=0,0,IF(COUNTIFS(実績!$W$6:$W$505,S$3,実績!$AC$6:$AC$505,"&lt;="&amp;$A285,実績!$AD$6:$AD$505,"&gt;"&amp;$A285,実績!$AE$6:$AE$505,"○")&gt;0,1,0))</f>
        <v/>
      </c>
      <c r="T285">
        <f>IF(T$4=0,0,IF(COUNTIFS(実績!$W$6:$W$505,T$3,実績!$AC$6:$AC$505,"&lt;="&amp;$A285,実績!$AD$6:$AD$505,"&gt;"&amp;$A285,実績!$AE$6:$AE$505,"○")&gt;0,1,0))</f>
        <v/>
      </c>
      <c r="U285">
        <f>IF(U$4=0,0,IF(COUNTIFS(実績!$W$6:$W$505,U$3,実績!$AC$6:$AC$505,"&lt;="&amp;$A285,実績!$AD$6:$AD$505,"&gt;"&amp;$A285,実績!$AE$6:$AE$505,"○")&gt;0,1,0))</f>
        <v/>
      </c>
      <c r="V285">
        <f>IF(V$4=0,0,IF(COUNTIFS(実績!$W$6:$W$505,V$3,実績!$AC$6:$AC$505,"&lt;="&amp;$A285,実績!$AD$6:$AD$505,"&gt;"&amp;$A285,実績!$AE$6:$AE$505,"○")&gt;0,1,0))</f>
        <v/>
      </c>
      <c r="W285">
        <f>IF(W$4=0,0,IF(COUNTIFS(実績!$W$6:$W$505,W$3,実績!$AC$6:$AC$505,"&lt;="&amp;$A285,実績!$AD$6:$AD$505,"&gt;"&amp;$A285,実績!$AE$6:$AE$505,"○")&gt;0,1,0))</f>
        <v/>
      </c>
      <c r="X285">
        <f>IF(X$4=0,0,IF(COUNTIFS(実績!$W$6:$W$505,X$3,実績!$AC$6:$AC$505,"&lt;="&amp;$A285,実績!$AD$6:$AD$505,"&gt;"&amp;$A285,実績!$AE$6:$AE$505,"○")&gt;0,1,0))</f>
        <v/>
      </c>
      <c r="Y285">
        <f>IF(Y$4=0,0,IF(COUNTIFS(実績!$W$6:$W$505,Y$3,実績!$AC$6:$AC$505,"&lt;="&amp;$A285,実績!$AD$6:$AD$505,"&gt;"&amp;$A285,実績!$AE$6:$AE$505,"○")&gt;0,1,0))</f>
        <v/>
      </c>
      <c r="Z285">
        <f>IF(Z$4=0,0,IF(COUNTIFS(実績!$W$6:$W$505,Z$3,実績!$AC$6:$AC$505,"&lt;="&amp;$A285,実績!$AD$6:$AD$505,"&gt;"&amp;$A285,実績!$AE$6:$AE$505,"○")&gt;0,1,0))</f>
        <v/>
      </c>
      <c r="AA285">
        <f>IF(AA$4=0,0,IF(COUNTIFS(実績!$W$6:$W$505,AA$3,実績!$AC$6:$AC$505,"&lt;="&amp;$A285,実績!$AD$6:$AD$505,"&gt;"&amp;$A285,実績!$AE$6:$AE$505,"○")&gt;0,1,0))</f>
        <v/>
      </c>
      <c r="AB285">
        <f>IF(AB$4=0,0,IF(COUNTIFS(実績!$W$6:$W$505,AB$3,実績!$AC$6:$AC$505,"&lt;="&amp;$A285,実績!$AD$6:$AD$505,"&gt;"&amp;$A285,実績!$AE$6:$AE$505,"○")&gt;0,1,0))</f>
        <v/>
      </c>
      <c r="AC285">
        <f>IF(AC$4=0,0,IF(COUNTIFS(実績!$W$6:$W$505,AC$3,実績!$AC$6:$AC$505,"&lt;="&amp;$A285,実績!$AD$6:$AD$505,"&gt;"&amp;$A285,実績!$AE$6:$AE$505,"○")&gt;0,1,0))</f>
        <v/>
      </c>
      <c r="AD285">
        <f>IF(AD$4=0,0,IF(COUNTIFS(実績!$W$6:$W$505,AD$3,実績!$AC$6:$AC$505,"&lt;="&amp;$A285,実績!$AD$6:$AD$505,"&gt;"&amp;$A285,実績!$AE$6:$AE$505,"○")&gt;0,1,0))</f>
        <v/>
      </c>
      <c r="AE285">
        <f>IF(AE$4=0,0,IF(COUNTIFS(実績!$W$6:$W$505,AE$3,実績!$AC$6:$AC$505,"&lt;="&amp;$A285,実績!$AD$6:$AD$505,"&gt;"&amp;$A285,実績!$AE$6:$AE$505,"○")&gt;0,1,0))</f>
        <v/>
      </c>
      <c r="AF285">
        <f>IF(AF$4=0,0,IF(COUNTIFS(実績!$W$6:$W$505,AF$3,実績!$AC$6:$AC$505,"&lt;="&amp;$A285,実績!$AD$6:$AD$505,"&gt;"&amp;$A285,実績!$AE$6:$AE$505,"○")&gt;0,1,0))</f>
        <v/>
      </c>
      <c r="AG285">
        <f>IF(AG$4=0,0,IF(COUNTIFS(実績!$W$6:$W$505,AG$3,実績!$AC$6:$AC$505,"&lt;="&amp;$A285,実績!$AD$6:$AD$505,"&gt;"&amp;$A285,実績!$AE$6:$AE$505,"○")&gt;0,1,0))</f>
        <v/>
      </c>
      <c r="AH285">
        <f>IF(AH$4=0,0,IF(COUNTIFS(実績!$W$6:$W$505,AH$3,実績!$AC$6:$AC$505,"&lt;="&amp;$A285,実績!$AD$6:$AD$505,"&gt;"&amp;$A285,実績!$AE$6:$AE$505,"○")&gt;0,1,0))</f>
        <v/>
      </c>
      <c r="AI285">
        <f>IF(AI$4=0,0,IF(COUNTIFS(実績!$W$6:$W$505,AI$3,実績!$AC$6:$AC$505,"&lt;="&amp;$A285,実績!$AD$6:$AD$505,"&gt;"&amp;$A285,実績!$AE$6:$AE$505,"○")&gt;0,1,0))</f>
        <v/>
      </c>
      <c r="AJ285">
        <f>IF(AJ$4=0,0,IF(COUNTIFS(実績!$W$6:$W$505,AJ$3,実績!$AC$6:$AC$505,"&lt;="&amp;$A285,実績!$AD$6:$AD$505,"&gt;"&amp;$A285,実績!$AE$6:$AE$505,"○")&gt;0,1,0))</f>
        <v/>
      </c>
      <c r="AK285">
        <f>IF(AK$4=0,0,IF(COUNTIFS(実績!$W$6:$W$505,AK$3,実績!$AC$6:$AC$505,"&lt;="&amp;$A285,実績!$AD$6:$AD$505,"&gt;"&amp;$A285,実績!$AE$6:$AE$505,"○")&gt;0,1,0))</f>
        <v/>
      </c>
      <c r="AL285">
        <f>IF(AL$4=0,0,IF(COUNTIFS(実績!$W$6:$W$505,AL$3,実績!$AC$6:$AC$505,"&lt;="&amp;$A285,実績!$AD$6:$AD$505,"&gt;"&amp;$A285,実績!$AE$6:$AE$505,"○")&gt;0,1,0))</f>
        <v/>
      </c>
      <c r="AM285">
        <f>IF(AM$4=0,0,IF(COUNTIFS(実績!$W$6:$W$505,AM$3,実績!$AC$6:$AC$505,"&lt;="&amp;$A285,実績!$AD$6:$AD$505,"&gt;"&amp;$A285,実績!$AE$6:$AE$505,"○")&gt;0,1,0))</f>
        <v/>
      </c>
      <c r="AN285">
        <f>IF(AN$4=0,0,IF(COUNTIFS(実績!$W$6:$W$505,AN$3,実績!$AC$6:$AC$505,"&lt;="&amp;$A285,実績!$AD$6:$AD$505,"&gt;"&amp;$A285,実績!$AE$6:$AE$505,"○")&gt;0,1,0))</f>
        <v/>
      </c>
      <c r="AO285">
        <f>IF(AO$4=0,0,IF(COUNTIFS(実績!$W$6:$W$505,AO$3,実績!$AC$6:$AC$505,"&lt;="&amp;$A285,実績!$AD$6:$AD$505,"&gt;"&amp;$A285,実績!$AE$6:$AE$505,"○")&gt;0,1,0))</f>
        <v/>
      </c>
      <c r="AP285">
        <f>IF(AP$4=0,0,IF(COUNTIFS(実績!$W$6:$W$505,AP$3,実績!$AC$6:$AC$505,"&lt;="&amp;$A285,実績!$AD$6:$AD$505,"&gt;"&amp;$A285,実績!$AE$6:$AE$505,"○")&gt;0,1,0))</f>
        <v/>
      </c>
      <c r="AQ285">
        <f>IF(AQ$4=0,0,IF(COUNTIFS(実績!$W$6:$W$505,AQ$3,実績!$AC$6:$AC$505,"&lt;="&amp;$A285,実績!$AD$6:$AD$505,"&gt;"&amp;$A285,実績!$AE$6:$AE$505,"○")&gt;0,1,0))</f>
        <v/>
      </c>
      <c r="AR285">
        <f>IF(AR$4=0,0,IF(COUNTIFS(実績!$W$6:$W$505,AR$3,実績!$AC$6:$AC$505,"&lt;="&amp;$A285,実績!$AD$6:$AD$505,"&gt;"&amp;$A285,実績!$AE$6:$AE$505,"○")&gt;0,1,0))</f>
        <v/>
      </c>
      <c r="AS285">
        <f>IF(AS$4=0,0,IF(COUNTIFS(実績!$W$6:$W$505,AS$3,実績!$AC$6:$AC$505,"&lt;="&amp;$A285,実績!$AD$6:$AD$505,"&gt;"&amp;$A285,実績!$AE$6:$AE$505,"○")&gt;0,1,0))</f>
        <v/>
      </c>
      <c r="AT285">
        <f>IF(AT$4=0,0,IF(COUNTIFS(実績!$W$6:$W$505,AT$3,実績!$AC$6:$AC$505,"&lt;="&amp;$A285,実績!$AD$6:$AD$505,"&gt;"&amp;$A285,実績!$AE$6:$AE$505,"○")&gt;0,1,0))</f>
        <v/>
      </c>
      <c r="AU285">
        <f>IF(AU$4=0,0,IF(COUNTIFS(実績!$W$6:$W$505,AU$3,実績!$AC$6:$AC$505,"&lt;="&amp;$A285,実績!$AD$6:$AD$505,"&gt;"&amp;$A285,実績!$AE$6:$AE$505,"○")&gt;0,1,0))</f>
        <v/>
      </c>
      <c r="AV285">
        <f>IF(AV$4=0,0,IF(COUNTIFS(実績!$W$6:$W$505,AV$3,実績!$AC$6:$AC$505,"&lt;="&amp;$A285,実績!$AD$6:$AD$505,"&gt;"&amp;$A285,実績!$AE$6:$AE$505,"○")&gt;0,1,0))</f>
        <v/>
      </c>
      <c r="AW285">
        <f>IF(AW$4=0,0,IF(COUNTIFS(実績!$W$6:$W$505,AW$3,実績!$AC$6:$AC$505,"&lt;="&amp;$A285,実績!$AD$6:$AD$505,"&gt;"&amp;$A285,実績!$AE$6:$AE$505,"○")&gt;0,1,0))</f>
        <v/>
      </c>
      <c r="AX285">
        <f>IF(AX$4=0,0,IF(COUNTIFS(実績!$W$6:$W$505,AX$3,実績!$AC$6:$AC$505,"&lt;="&amp;$A285,実績!$AD$6:$AD$505,"&gt;"&amp;$A285,実績!$AE$6:$AE$505,"○")&gt;0,1,0))</f>
        <v/>
      </c>
      <c r="AY285">
        <f>IF(AY$4=0,0,IF(COUNTIFS(実績!$W$6:$W$505,AY$3,実績!$AC$6:$AC$505,"&lt;="&amp;$A285,実績!$AD$6:$AD$505,"&gt;"&amp;$A285,実績!$AE$6:$AE$505,"○")&gt;0,1,0))</f>
        <v/>
      </c>
      <c r="AZ285">
        <f>IF(AZ$4=0,0,IF(COUNTIFS(実績!$W$6:$W$505,AZ$3,実績!$AC$6:$AC$505,"&lt;="&amp;$A285,実績!$AD$6:$AD$505,"&gt;"&amp;$A285,実績!$AE$6:$AE$505,"○")&gt;0,1,0))</f>
        <v/>
      </c>
      <c r="BA285">
        <f>IF(BA$4=0,0,IF(COUNTIFS(実績!$W$6:$W$505,BA$3,実績!$AC$6:$AC$505,"&lt;="&amp;$A285,実績!$AD$6:$AD$505,"&gt;"&amp;$A285,実績!$AE$6:$AE$505,"○")&gt;0,1,0))</f>
        <v/>
      </c>
      <c r="BB285">
        <f>IF(BB$4=0,0,IF(COUNTIFS(実績!$W$6:$W$505,BB$3,実績!$AC$6:$AC$505,"&lt;="&amp;$A285,実績!$AD$6:$AD$505,"&gt;"&amp;$A285,実績!$AE$6:$AE$505,"○")&gt;0,1,0))</f>
        <v/>
      </c>
      <c r="BC285">
        <f>IF(BC$4=0,0,IF(COUNTIFS(実績!$W$6:$W$505,BC$3,実績!$AC$6:$AC$505,"&lt;="&amp;$A285,実績!$AD$6:$AD$505,"&gt;"&amp;$A285,実績!$AE$6:$AE$505,"○")&gt;0,1,0))</f>
        <v/>
      </c>
      <c r="BD285">
        <f>IF(BD$4=0,0,IF(COUNTIFS(実績!$W$6:$W$505,BD$3,実績!$AC$6:$AC$505,"&lt;="&amp;$A285,実績!$AD$6:$AD$505,"&gt;"&amp;$A285,実績!$AE$6:$AE$505,"○")&gt;0,1,0))</f>
        <v/>
      </c>
      <c r="BE285">
        <f>IF(BE$4=0,0,IF(COUNTIFS(実績!$W$6:$W$505,BE$3,実績!$AC$6:$AC$505,"&lt;="&amp;$A285,実績!$AD$6:$AD$505,"&gt;"&amp;$A285,実績!$AE$6:$AE$505,"○")&gt;0,1,0))</f>
        <v/>
      </c>
      <c r="BF285">
        <f>IF(BF$4=0,0,IF(COUNTIFS(実績!$W$6:$W$505,BF$3,実績!$AC$6:$AC$505,"&lt;="&amp;$A285,実績!$AD$6:$AD$505,"&gt;"&amp;$A285,実績!$AE$6:$AE$505,"○")&gt;0,1,0))</f>
        <v/>
      </c>
      <c r="BG285">
        <f>IF(BG$4=0,0,IF(COUNTIFS(実績!$W$6:$W$505,BG$3,実績!$AC$6:$AC$505,"&lt;="&amp;$A285,実績!$AD$6:$AD$505,"&gt;"&amp;$A285,実績!$AE$6:$AE$505,"○")&gt;0,1,0))</f>
        <v/>
      </c>
      <c r="BH285">
        <f>IF(BH$4=0,0,IF(COUNTIFS(実績!$W$6:$W$505,BH$3,実績!$AC$6:$AC$505,"&lt;="&amp;$A285,実績!$AD$6:$AD$505,"&gt;"&amp;$A285,実績!$AE$6:$AE$505,"○")&gt;0,1,0))</f>
        <v/>
      </c>
      <c r="BI285">
        <f>IF(BI$4=0,0,IF(COUNTIFS(実績!$W$6:$W$505,BI$3,実績!$AC$6:$AC$505,"&lt;="&amp;$A285,実績!$AD$6:$AD$505,"&gt;"&amp;$A285,実績!$AE$6:$AE$505,"○")&gt;0,1,0))</f>
        <v/>
      </c>
      <c r="BJ285">
        <f>IF(BJ$4=0,0,IF(COUNTIFS(実績!$W$6:$W$505,BJ$3,実績!$AC$6:$AC$505,"&lt;="&amp;$A285,実績!$AD$6:$AD$505,"&gt;"&amp;$A285,実績!$AE$6:$AE$505,"○")&gt;0,1,0))</f>
        <v/>
      </c>
      <c r="BK285">
        <f>IF(BK$4=0,0,IF(COUNTIFS(実績!$W$6:$W$505,BK$3,実績!$AC$6:$AC$505,"&lt;="&amp;$A285,実績!$AD$6:$AD$505,"&gt;"&amp;$A285,実績!$AE$6:$AE$505,"○")&gt;0,1,0))</f>
        <v/>
      </c>
      <c r="BL285">
        <f>IF(BL$4=0,0,IF(COUNTIFS(実績!$W$6:$W$505,BL$3,実績!$AC$6:$AC$505,"&lt;="&amp;$A285,実績!$AD$6:$AD$505,"&gt;"&amp;$A285,実績!$AE$6:$AE$505,"○")&gt;0,1,0))</f>
        <v/>
      </c>
      <c r="BM285">
        <f>IF(BM$4=0,0,IF(COUNTIFS(実績!$W$6:$W$505,BM$3,実績!$AC$6:$AC$505,"&lt;="&amp;$A285,実績!$AD$6:$AD$505,"&gt;"&amp;$A285,実績!$AE$6:$AE$505,"○")&gt;0,1,0))</f>
        <v/>
      </c>
      <c r="BN285">
        <f>IF(BN$4=0,0,IF(COUNTIFS(実績!$W$6:$W$505,BN$3,実績!$AC$6:$AC$505,"&lt;="&amp;$A285,実績!$AD$6:$AD$505,"&gt;"&amp;$A285,実績!$AE$6:$AE$505,"○")&gt;0,1,0))</f>
        <v/>
      </c>
      <c r="BO285">
        <f>IF(BO$4=0,0,IF(COUNTIFS(実績!$W$6:$W$505,BO$3,実績!$AC$6:$AC$505,"&lt;="&amp;$A285,実績!$AD$6:$AD$505,"&gt;"&amp;$A285,実績!$AE$6:$AE$505,"○")&gt;0,1,0))</f>
        <v/>
      </c>
      <c r="BP285">
        <f>IF(BP$4=0,0,IF(COUNTIFS(実績!$W$6:$W$505,BP$3,実績!$AC$6:$AC$505,"&lt;="&amp;$A285,実績!$AD$6:$AD$505,"&gt;"&amp;$A285,実績!$AE$6:$AE$505,"○")&gt;0,1,0))</f>
        <v/>
      </c>
      <c r="BQ285">
        <f>IF(BQ$4=0,0,IF(COUNTIFS(実績!$W$6:$W$505,BQ$3,実績!$AC$6:$AC$505,"&lt;="&amp;$A285,実績!$AD$6:$AD$505,"&gt;"&amp;$A285,実績!$AE$6:$AE$505,"○")&gt;0,1,0))</f>
        <v/>
      </c>
      <c r="BR285">
        <f>IF(BR$4=0,0,IF(COUNTIFS(実績!$W$6:$W$505,BR$3,実績!$AC$6:$AC$505,"&lt;="&amp;$A285,実績!$AD$6:$AD$505,"&gt;"&amp;$A285,実績!$AE$6:$AE$505,"○")&gt;0,1,0))</f>
        <v/>
      </c>
      <c r="BS285">
        <f>IF(BS$4=0,0,IF(COUNTIFS(実績!$W$6:$W$505,BS$3,実績!$AC$6:$AC$505,"&lt;="&amp;$A285,実績!$AD$6:$AD$505,"&gt;"&amp;$A285,実績!$AE$6:$AE$505,"○")&gt;0,1,0))</f>
        <v/>
      </c>
      <c r="BT285">
        <f>IF(BT$4=0,0,IF(COUNTIFS(実績!$W$6:$W$505,BT$3,実績!$AC$6:$AC$505,"&lt;="&amp;$A285,実績!$AD$6:$AD$505,"&gt;"&amp;$A285,実績!$AE$6:$AE$505,"○")&gt;0,1,0))</f>
        <v/>
      </c>
      <c r="BU285">
        <f>IF(BU$4=0,0,IF(COUNTIFS(実績!$W$6:$W$505,BU$3,実績!$AC$6:$AC$505,"&lt;="&amp;$A285,実績!$AD$6:$AD$505,"&gt;"&amp;$A285,実績!$AE$6:$AE$505,"○")&gt;0,1,0))</f>
        <v/>
      </c>
      <c r="BV285">
        <f>IF(BV$4=0,0,IF(COUNTIFS(実績!$W$6:$W$505,BV$3,実績!$AC$6:$AC$505,"&lt;="&amp;$A285,実績!$AD$6:$AD$505,"&gt;"&amp;$A285,実績!$AE$6:$AE$505,"○")&gt;0,1,0))</f>
        <v/>
      </c>
      <c r="BW285">
        <f>IF(BW$4=0,0,IF(COUNTIFS(実績!$W$6:$W$505,BW$3,実績!$AC$6:$AC$505,"&lt;="&amp;$A285,実績!$AD$6:$AD$505,"&gt;"&amp;$A285,実績!$AE$6:$AE$505,"○")&gt;0,1,0))</f>
        <v/>
      </c>
      <c r="BX285">
        <f>IF(BX$4=0,0,IF(COUNTIFS(実績!$W$6:$W$505,BX$3,実績!$AC$6:$AC$505,"&lt;="&amp;$A285,実績!$AD$6:$AD$505,"&gt;"&amp;$A285,実績!$AE$6:$AE$505,"○")&gt;0,1,0))</f>
        <v/>
      </c>
      <c r="BY285">
        <f>IF(BY$4=0,0,IF(COUNTIFS(実績!$W$6:$W$505,BY$3,実績!$AC$6:$AC$505,"&lt;="&amp;$A285,実績!$AD$6:$AD$505,"&gt;"&amp;$A285,実績!$AE$6:$AE$505,"○")&gt;0,1,0))</f>
        <v/>
      </c>
      <c r="BZ285">
        <f>IF(BZ$4=0,0,IF(COUNTIFS(実績!$W$6:$W$505,BZ$3,実績!$AC$6:$AC$505,"&lt;="&amp;$A285,実績!$AD$6:$AD$505,"&gt;"&amp;$A285,実績!$AE$6:$AE$505,"○")&gt;0,1,0))</f>
        <v/>
      </c>
      <c r="CA285">
        <f>IF(CA$4=0,0,IF(COUNTIFS(実績!$W$6:$W$505,CA$3,実績!$AC$6:$AC$505,"&lt;="&amp;$A285,実績!$AD$6:$AD$505,"&gt;"&amp;$A285,実績!$AE$6:$AE$505,"○")&gt;0,1,0))</f>
        <v/>
      </c>
      <c r="CB285">
        <f>IF(CB$4=0,0,IF(COUNTIFS(実績!$W$6:$W$505,CB$3,実績!$AC$6:$AC$505,"&lt;="&amp;$A285,実績!$AD$6:$AD$505,"&gt;"&amp;$A285,実績!$AE$6:$AE$505,"○")&gt;0,1,0))</f>
        <v/>
      </c>
      <c r="CC285">
        <f>IF(CC$4=0,0,IF(COUNTIFS(実績!$W$6:$W$505,CC$3,実績!$AC$6:$AC$505,"&lt;="&amp;$A285,実績!$AD$6:$AD$505,"&gt;"&amp;$A285,実績!$AE$6:$AE$505,"○")&gt;0,1,0))</f>
        <v/>
      </c>
      <c r="CD285">
        <f>IF(CD$4=0,0,IF(COUNTIFS(実績!$W$6:$W$505,CD$3,実績!$AC$6:$AC$505,"&lt;="&amp;$A285,実績!$AD$6:$AD$505,"&gt;"&amp;$A285,実績!$AE$6:$AE$505,"○")&gt;0,1,0))</f>
        <v/>
      </c>
      <c r="CE285">
        <f>IF(CE$4=0,0,IF(COUNTIFS(実績!$W$6:$W$505,CE$3,実績!$AC$6:$AC$505,"&lt;="&amp;$A285,実績!$AD$6:$AD$505,"&gt;"&amp;$A285,実績!$AE$6:$AE$505,"○")&gt;0,1,0))</f>
        <v/>
      </c>
      <c r="CF285">
        <f>IF(CF$4=0,0,IF(COUNTIFS(実績!$W$6:$W$505,CF$3,実績!$AC$6:$AC$505,"&lt;="&amp;$A285,実績!$AD$6:$AD$505,"&gt;"&amp;$A285,実績!$AE$6:$AE$505,"○")&gt;0,1,0))</f>
        <v/>
      </c>
      <c r="CG285">
        <f>IF(CG$4=0,0,IF(COUNTIFS(実績!$W$6:$W$505,CG$3,実績!$AC$6:$AC$505,"&lt;="&amp;$A285,実績!$AD$6:$AD$505,"&gt;"&amp;$A285,実績!$AE$6:$AE$505,"○")&gt;0,1,0))</f>
        <v/>
      </c>
      <c r="CH285">
        <f>IF(CH$4=0,0,IF(COUNTIFS(実績!$W$6:$W$505,CH$3,実績!$AC$6:$AC$505,"&lt;="&amp;$A285,実績!$AD$6:$AD$505,"&gt;"&amp;$A285,実績!$AE$6:$AE$505,"○")&gt;0,1,0))</f>
        <v/>
      </c>
      <c r="CI285">
        <f>IF(CI$4=0,0,IF(COUNTIFS(実績!$W$6:$W$505,CI$3,実績!$AC$6:$AC$505,"&lt;="&amp;$A285,実績!$AD$6:$AD$505,"&gt;"&amp;$A285,実績!$AE$6:$AE$505,"○")&gt;0,1,0))</f>
        <v/>
      </c>
      <c r="CJ285">
        <f>IF(CJ$4=0,0,IF(COUNTIFS(実績!$W$6:$W$505,CJ$3,実績!$AC$6:$AC$505,"&lt;="&amp;$A285,実績!$AD$6:$AD$505,"&gt;"&amp;$A285,実績!$AE$6:$AE$505,"○")&gt;0,1,0))</f>
        <v/>
      </c>
      <c r="CK285">
        <f>IF(CK$4=0,0,IF(COUNTIFS(実績!$W$6:$W$505,CK$3,実績!$AC$6:$AC$505,"&lt;="&amp;$A285,実績!$AD$6:$AD$505,"&gt;"&amp;$A285,実績!$AE$6:$AE$505,"○")&gt;0,1,0))</f>
        <v/>
      </c>
      <c r="CL285">
        <f>IF(CL$4=0,0,IF(COUNTIFS(実績!$W$6:$W$505,CL$3,実績!$AC$6:$AC$505,"&lt;="&amp;$A285,実績!$AD$6:$AD$505,"&gt;"&amp;$A285,実績!$AE$6:$AE$505,"○")&gt;0,1,0))</f>
        <v/>
      </c>
      <c r="CM285">
        <f>IF(CM$4=0,0,IF(COUNTIFS(実績!$W$6:$W$505,CM$3,実績!$AC$6:$AC$505,"&lt;="&amp;$A285,実績!$AD$6:$AD$505,"&gt;"&amp;$A285,実績!$AE$6:$AE$505,"○")&gt;0,1,0))</f>
        <v/>
      </c>
      <c r="CN285">
        <f>IF(CN$4=0,0,IF(COUNTIFS(実績!$W$6:$W$505,CN$3,実績!$AC$6:$AC$505,"&lt;="&amp;$A285,実績!$AD$6:$AD$505,"&gt;"&amp;$A285,実績!$AE$6:$AE$505,"○")&gt;0,1,0))</f>
        <v/>
      </c>
      <c r="CO285">
        <f>IF(CO$4=0,0,IF(COUNTIFS(実績!$W$6:$W$505,CO$3,実績!$AC$6:$AC$505,"&lt;="&amp;$A285,実績!$AD$6:$AD$505,"&gt;"&amp;$A285,実績!$AE$6:$AE$505,"○")&gt;0,1,0))</f>
        <v/>
      </c>
      <c r="CP285">
        <f>IF(CP$4=0,0,IF(COUNTIFS(実績!$W$6:$W$505,CP$3,実績!$AC$6:$AC$505,"&lt;="&amp;$A285,実績!$AD$6:$AD$505,"&gt;"&amp;$A285,実績!$AE$6:$AE$505,"○")&gt;0,1,0))</f>
        <v/>
      </c>
      <c r="CQ285">
        <f>IF(CQ$4=0,0,IF(COUNTIFS(実績!$W$6:$W$505,CQ$3,実績!$AC$6:$AC$505,"&lt;="&amp;$A285,実績!$AD$6:$AD$505,"&gt;"&amp;$A285,実績!$AE$6:$AE$505,"○")&gt;0,1,0))</f>
        <v/>
      </c>
      <c r="CR285">
        <f>IF(CR$4=0,0,IF(COUNTIFS(実績!$W$6:$W$505,CR$3,実績!$AC$6:$AC$505,"&lt;="&amp;$A285,実績!$AD$6:$AD$505,"&gt;"&amp;$A285,実績!$AE$6:$AE$505,"○")&gt;0,1,0))</f>
        <v/>
      </c>
      <c r="CS285">
        <f>IF(CS$4=0,0,IF(COUNTIFS(実績!$W$6:$W$505,CS$3,実績!$AC$6:$AC$505,"&lt;="&amp;$A285,実績!$AD$6:$AD$505,"&gt;"&amp;$A285,実績!$AE$6:$AE$505,"○")&gt;0,1,0))</f>
        <v/>
      </c>
      <c r="CT285">
        <f>IF(CT$4=0,0,IF(COUNTIFS(実績!$W$6:$W$505,CT$3,実績!$AC$6:$AC$505,"&lt;="&amp;$A285,実績!$AD$6:$AD$505,"&gt;"&amp;$A285,実績!$AE$6:$AE$505,"○")&gt;0,1,0))</f>
        <v/>
      </c>
      <c r="CU285">
        <f>IF(CU$4=0,0,IF(COUNTIFS(実績!$W$6:$W$505,CU$3,実績!$AC$6:$AC$505,"&lt;="&amp;$A285,実績!$AD$6:$AD$505,"&gt;"&amp;$A285,実績!$AE$6:$AE$505,"○")&gt;0,1,0))</f>
        <v/>
      </c>
      <c r="CV285">
        <f>IF(CV$4=0,0,IF(COUNTIFS(実績!$W$6:$W$505,CV$3,実績!$AC$6:$AC$505,"&lt;="&amp;$A285,実績!$AD$6:$AD$505,"&gt;"&amp;$A285,実績!$AE$6:$AE$505,"○")&gt;0,1,0))</f>
        <v/>
      </c>
      <c r="CW285">
        <f>IF(CW$4=0,0,IF(COUNTIFS(実績!$W$6:$W$505,CW$3,実績!$AC$6:$AC$505,"&lt;="&amp;$A285,実績!$AD$6:$AD$505,"&gt;"&amp;$A285,実績!$AE$6:$AE$505,"○")&gt;0,1,0))</f>
        <v/>
      </c>
      <c r="CX285">
        <f>IF(CX$4=0,0,IF(COUNTIFS(実績!$W$6:$W$505,CX$3,実績!$AC$6:$AC$505,"&lt;="&amp;$A285,実績!$AD$6:$AD$505,"&gt;"&amp;$A285,実績!$AE$6:$AE$505,"○")&gt;0,1,0))</f>
        <v/>
      </c>
      <c r="CY285">
        <f>IF(CY$4=0,0,IF(COUNTIFS(実績!$W$6:$W$505,CY$3,実績!$AC$6:$AC$505,"&lt;="&amp;$A285,実績!$AD$6:$AD$505,"&gt;"&amp;$A285,実績!$AE$6:$AE$505,"○")&gt;0,1,0))</f>
        <v/>
      </c>
      <c r="CZ285">
        <f>IF(CZ$4=0,0,IF(COUNTIFS(実績!$W$6:$W$505,CZ$3,実績!$AC$6:$AC$505,"&lt;="&amp;$A285,実績!$AD$6:$AD$505,"&gt;"&amp;$A285,実績!$AE$6:$AE$505,"○")&gt;0,1,0))</f>
        <v/>
      </c>
      <c r="DA285">
        <f>IF(DA$4=0,0,IF(COUNTIFS(実績!$W$6:$W$505,DA$3,実績!$AC$6:$AC$505,"&lt;="&amp;$A285,実績!$AD$6:$AD$505,"&gt;"&amp;$A285,実績!$AE$6:$AE$505,"○")&gt;0,1,0))</f>
        <v/>
      </c>
      <c r="DB285">
        <f>IF(DB$4=0,0,IF(COUNTIFS(実績!$W$6:$W$505,DB$3,実績!$AC$6:$AC$505,"&lt;="&amp;$A285,実績!$AD$6:$AD$505,"&gt;"&amp;$A285,実績!$AE$6:$AE$505,"○")&gt;0,1,0))</f>
        <v/>
      </c>
      <c r="DC285">
        <f>IF(DC$4=0,0,IF(COUNTIFS(実績!$W$6:$W$505,DC$3,実績!$AC$6:$AC$505,"&lt;="&amp;$A285,実績!$AD$6:$AD$505,"&gt;"&amp;$A285,実績!$AE$6:$AE$505,"○")&gt;0,1,0))</f>
        <v/>
      </c>
      <c r="DD285">
        <f>IF(DD$4=0,0,IF(COUNTIFS(実績!$W$6:$W$505,DD$3,実績!$AC$6:$AC$505,"&lt;="&amp;$A285,実績!$AD$6:$AD$505,"&gt;"&amp;$A285,実績!$AE$6:$AE$505,"○")&gt;0,1,0))</f>
        <v/>
      </c>
      <c r="DE285">
        <f>IF(DE$4=0,0,IF(COUNTIFS(実績!$W$6:$W$505,DE$3,実績!$AC$6:$AC$505,"&lt;="&amp;$A285,実績!$AD$6:$AD$505,"&gt;"&amp;$A285,実績!$AE$6:$AE$505,"○")&gt;0,1,0))</f>
        <v/>
      </c>
      <c r="DF285">
        <f>IF(DF$4=0,0,IF(COUNTIFS(実績!$W$6:$W$505,DF$3,実績!$AC$6:$AC$505,"&lt;="&amp;$A285,実績!$AD$6:$AD$505,"&gt;"&amp;$A285,実績!$AE$6:$AE$505,"○")&gt;0,1,0))</f>
        <v/>
      </c>
      <c r="DG285">
        <f>IF(DG$4=0,0,IF(COUNTIFS(実績!$W$6:$W$505,DG$3,実績!$AC$6:$AC$505,"&lt;="&amp;$A285,実績!$AD$6:$AD$505,"&gt;"&amp;$A285,実績!$AE$6:$AE$505,"○")&gt;0,1,0))</f>
        <v/>
      </c>
      <c r="DH285">
        <f>IF(DH$4=0,0,IF(COUNTIFS(実績!$W$6:$W$505,DH$3,実績!$AC$6:$AC$505,"&lt;="&amp;$A285,実績!$AD$6:$AD$505,"&gt;"&amp;$A285,実績!$AE$6:$AE$505,"○")&gt;0,1,0))</f>
        <v/>
      </c>
      <c r="DI285">
        <f>IF(DI$4=0,0,IF(COUNTIFS(実績!$W$6:$W$505,DI$3,実績!$AC$6:$AC$505,"&lt;="&amp;$A285,実績!$AD$6:$AD$505,"&gt;"&amp;$A285,実績!$AE$6:$AE$505,"○")&gt;0,1,0))</f>
        <v/>
      </c>
      <c r="DJ285">
        <f>IF(DJ$4=0,0,IF(COUNTIFS(実績!$W$6:$W$505,DJ$3,実績!$AC$6:$AC$505,"&lt;="&amp;$A285,実績!$AD$6:$AD$505,"&gt;"&amp;$A285,実績!$AE$6:$AE$505,"○")&gt;0,1,0))</f>
        <v/>
      </c>
      <c r="DK285">
        <f>IF(DK$4=0,0,IF(COUNTIFS(実績!$W$6:$W$505,DK$3,実績!$AC$6:$AC$505,"&lt;="&amp;$A285,実績!$AD$6:$AD$505,"&gt;"&amp;$A285,実績!$AE$6:$AE$505,"○")&gt;0,1,0))</f>
        <v/>
      </c>
      <c r="DL285">
        <f>IF(DL$4=0,0,IF(COUNTIFS(実績!$W$6:$W$505,DL$3,実績!$AC$6:$AC$505,"&lt;="&amp;$A285,実績!$AD$6:$AD$505,"&gt;"&amp;$A285,実績!$AE$6:$AE$505,"○")&gt;0,1,0))</f>
        <v/>
      </c>
      <c r="DM285">
        <f>IF(DM$4=0,0,IF(COUNTIFS(実績!$W$6:$W$505,DM$3,実績!$AC$6:$AC$505,"&lt;="&amp;$A285,実績!$AD$6:$AD$505,"&gt;"&amp;$A285,実績!$AE$6:$AE$505,"○")&gt;0,1,0))</f>
        <v/>
      </c>
      <c r="DN285">
        <f>IF(DN$4=0,0,IF(COUNTIFS(実績!$W$6:$W$505,DN$3,実績!$AC$6:$AC$505,"&lt;="&amp;$A285,実績!$AD$6:$AD$505,"&gt;"&amp;$A285,実績!$AE$6:$AE$505,"○")&gt;0,1,0))</f>
        <v/>
      </c>
      <c r="DO285">
        <f>IF(DO$4=0,0,IF(COUNTIFS(実績!$W$6:$W$505,DO$3,実績!$AC$6:$AC$505,"&lt;="&amp;$A285,実績!$AD$6:$AD$505,"&gt;"&amp;$A285,実績!$AE$6:$AE$505,"○")&gt;0,1,0))</f>
        <v/>
      </c>
      <c r="DP285">
        <f>IF(DP$4=0,0,IF(COUNTIFS(実績!$W$6:$W$505,DP$3,実績!$AC$6:$AC$505,"&lt;="&amp;$A285,実績!$AD$6:$AD$505,"&gt;"&amp;$A285,実績!$AE$6:$AE$505,"○")&gt;0,1,0))</f>
        <v/>
      </c>
      <c r="DQ285">
        <f>IF(DQ$4=0,0,IF(COUNTIFS(実績!$W$6:$W$505,DQ$3,実績!$AC$6:$AC$505,"&lt;="&amp;$A285,実績!$AD$6:$AD$505,"&gt;"&amp;$A285,実績!$AE$6:$AE$505,"○")&gt;0,1,0))</f>
        <v/>
      </c>
      <c r="DR285">
        <f>IF(DR$4=0,0,IF(COUNTIFS(実績!$W$6:$W$505,DR$3,実績!$AC$6:$AC$505,"&lt;="&amp;$A285,実績!$AD$6:$AD$505,"&gt;"&amp;$A285,実績!$AE$6:$AE$505,"○")&gt;0,1,0))</f>
        <v/>
      </c>
      <c r="DS285">
        <f>SUM(C285:DR285)</f>
        <v/>
      </c>
      <c r="DT285">
        <f>SUMPRODUCT((実績!$C$6:$C$505="○")*ISNUMBER(実績!$AF$6:$AF$505)*(実績!$AF$6:$AF$505&lt;=$A285)*(実績!$AG$6:$AG$505&gt;$A285))</f>
        <v/>
      </c>
      <c r="DU285">
        <f>SUMIF($C$2:$DR$2,"製鉄曳船",C285:DR285)</f>
        <v/>
      </c>
      <c r="DV285">
        <f>SUMIF($C$2:$DR$2,"西日本海運",C285:DR285)</f>
        <v/>
      </c>
    </row>
    <row r="286">
      <c r="A286" t="n">
        <v>1400</v>
      </c>
      <c r="B286" s="29">
        <f>A286/1440</f>
        <v/>
      </c>
      <c r="C286">
        <f>IF(C$4=0,0,IF(COUNTIFS(実績!$W$6:$W$505,C$3,実績!$AC$6:$AC$505,"&lt;="&amp;$A286,実績!$AD$6:$AD$505,"&gt;"&amp;$A286,実績!$AE$6:$AE$505,"○")&gt;0,1,0))</f>
        <v/>
      </c>
      <c r="D286">
        <f>IF(D$4=0,0,IF(COUNTIFS(実績!$W$6:$W$505,D$3,実績!$AC$6:$AC$505,"&lt;="&amp;$A286,実績!$AD$6:$AD$505,"&gt;"&amp;$A286,実績!$AE$6:$AE$505,"○")&gt;0,1,0))</f>
        <v/>
      </c>
      <c r="E286">
        <f>IF(E$4=0,0,IF(COUNTIFS(実績!$W$6:$W$505,E$3,実績!$AC$6:$AC$505,"&lt;="&amp;$A286,実績!$AD$6:$AD$505,"&gt;"&amp;$A286,実績!$AE$6:$AE$505,"○")&gt;0,1,0))</f>
        <v/>
      </c>
      <c r="F286">
        <f>IF(F$4=0,0,IF(COUNTIFS(実績!$W$6:$W$505,F$3,実績!$AC$6:$AC$505,"&lt;="&amp;$A286,実績!$AD$6:$AD$505,"&gt;"&amp;$A286,実績!$AE$6:$AE$505,"○")&gt;0,1,0))</f>
        <v/>
      </c>
      <c r="G286">
        <f>IF(G$4=0,0,IF(COUNTIFS(実績!$W$6:$W$505,G$3,実績!$AC$6:$AC$505,"&lt;="&amp;$A286,実績!$AD$6:$AD$505,"&gt;"&amp;$A286,実績!$AE$6:$AE$505,"○")&gt;0,1,0))</f>
        <v/>
      </c>
      <c r="H286">
        <f>IF(H$4=0,0,IF(COUNTIFS(実績!$W$6:$W$505,H$3,実績!$AC$6:$AC$505,"&lt;="&amp;$A286,実績!$AD$6:$AD$505,"&gt;"&amp;$A286,実績!$AE$6:$AE$505,"○")&gt;0,1,0))</f>
        <v/>
      </c>
      <c r="I286">
        <f>IF(I$4=0,0,IF(COUNTIFS(実績!$W$6:$W$505,I$3,実績!$AC$6:$AC$505,"&lt;="&amp;$A286,実績!$AD$6:$AD$505,"&gt;"&amp;$A286,実績!$AE$6:$AE$505,"○")&gt;0,1,0))</f>
        <v/>
      </c>
      <c r="J286">
        <f>IF(J$4=0,0,IF(COUNTIFS(実績!$W$6:$W$505,J$3,実績!$AC$6:$AC$505,"&lt;="&amp;$A286,実績!$AD$6:$AD$505,"&gt;"&amp;$A286,実績!$AE$6:$AE$505,"○")&gt;0,1,0))</f>
        <v/>
      </c>
      <c r="K286">
        <f>IF(K$4=0,0,IF(COUNTIFS(実績!$W$6:$W$505,K$3,実績!$AC$6:$AC$505,"&lt;="&amp;$A286,実績!$AD$6:$AD$505,"&gt;"&amp;$A286,実績!$AE$6:$AE$505,"○")&gt;0,1,0))</f>
        <v/>
      </c>
      <c r="L286">
        <f>IF(L$4=0,0,IF(COUNTIFS(実績!$W$6:$W$505,L$3,実績!$AC$6:$AC$505,"&lt;="&amp;$A286,実績!$AD$6:$AD$505,"&gt;"&amp;$A286,実績!$AE$6:$AE$505,"○")&gt;0,1,0))</f>
        <v/>
      </c>
      <c r="M286">
        <f>IF(M$4=0,0,IF(COUNTIFS(実績!$W$6:$W$505,M$3,実績!$AC$6:$AC$505,"&lt;="&amp;$A286,実績!$AD$6:$AD$505,"&gt;"&amp;$A286,実績!$AE$6:$AE$505,"○")&gt;0,1,0))</f>
        <v/>
      </c>
      <c r="N286">
        <f>IF(N$4=0,0,IF(COUNTIFS(実績!$W$6:$W$505,N$3,実績!$AC$6:$AC$505,"&lt;="&amp;$A286,実績!$AD$6:$AD$505,"&gt;"&amp;$A286,実績!$AE$6:$AE$505,"○")&gt;0,1,0))</f>
        <v/>
      </c>
      <c r="O286">
        <f>IF(O$4=0,0,IF(COUNTIFS(実績!$W$6:$W$505,O$3,実績!$AC$6:$AC$505,"&lt;="&amp;$A286,実績!$AD$6:$AD$505,"&gt;"&amp;$A286,実績!$AE$6:$AE$505,"○")&gt;0,1,0))</f>
        <v/>
      </c>
      <c r="P286">
        <f>IF(P$4=0,0,IF(COUNTIFS(実績!$W$6:$W$505,P$3,実績!$AC$6:$AC$505,"&lt;="&amp;$A286,実績!$AD$6:$AD$505,"&gt;"&amp;$A286,実績!$AE$6:$AE$505,"○")&gt;0,1,0))</f>
        <v/>
      </c>
      <c r="Q286">
        <f>IF(Q$4=0,0,IF(COUNTIFS(実績!$W$6:$W$505,Q$3,実績!$AC$6:$AC$505,"&lt;="&amp;$A286,実績!$AD$6:$AD$505,"&gt;"&amp;$A286,実績!$AE$6:$AE$505,"○")&gt;0,1,0))</f>
        <v/>
      </c>
      <c r="R286">
        <f>IF(R$4=0,0,IF(COUNTIFS(実績!$W$6:$W$505,R$3,実績!$AC$6:$AC$505,"&lt;="&amp;$A286,実績!$AD$6:$AD$505,"&gt;"&amp;$A286,実績!$AE$6:$AE$505,"○")&gt;0,1,0))</f>
        <v/>
      </c>
      <c r="S286">
        <f>IF(S$4=0,0,IF(COUNTIFS(実績!$W$6:$W$505,S$3,実績!$AC$6:$AC$505,"&lt;="&amp;$A286,実績!$AD$6:$AD$505,"&gt;"&amp;$A286,実績!$AE$6:$AE$505,"○")&gt;0,1,0))</f>
        <v/>
      </c>
      <c r="T286">
        <f>IF(T$4=0,0,IF(COUNTIFS(実績!$W$6:$W$505,T$3,実績!$AC$6:$AC$505,"&lt;="&amp;$A286,実績!$AD$6:$AD$505,"&gt;"&amp;$A286,実績!$AE$6:$AE$505,"○")&gt;0,1,0))</f>
        <v/>
      </c>
      <c r="U286">
        <f>IF(U$4=0,0,IF(COUNTIFS(実績!$W$6:$W$505,U$3,実績!$AC$6:$AC$505,"&lt;="&amp;$A286,実績!$AD$6:$AD$505,"&gt;"&amp;$A286,実績!$AE$6:$AE$505,"○")&gt;0,1,0))</f>
        <v/>
      </c>
      <c r="V286">
        <f>IF(V$4=0,0,IF(COUNTIFS(実績!$W$6:$W$505,V$3,実績!$AC$6:$AC$505,"&lt;="&amp;$A286,実績!$AD$6:$AD$505,"&gt;"&amp;$A286,実績!$AE$6:$AE$505,"○")&gt;0,1,0))</f>
        <v/>
      </c>
      <c r="W286">
        <f>IF(W$4=0,0,IF(COUNTIFS(実績!$W$6:$W$505,W$3,実績!$AC$6:$AC$505,"&lt;="&amp;$A286,実績!$AD$6:$AD$505,"&gt;"&amp;$A286,実績!$AE$6:$AE$505,"○")&gt;0,1,0))</f>
        <v/>
      </c>
      <c r="X286">
        <f>IF(X$4=0,0,IF(COUNTIFS(実績!$W$6:$W$505,X$3,実績!$AC$6:$AC$505,"&lt;="&amp;$A286,実績!$AD$6:$AD$505,"&gt;"&amp;$A286,実績!$AE$6:$AE$505,"○")&gt;0,1,0))</f>
        <v/>
      </c>
      <c r="Y286">
        <f>IF(Y$4=0,0,IF(COUNTIFS(実績!$W$6:$W$505,Y$3,実績!$AC$6:$AC$505,"&lt;="&amp;$A286,実績!$AD$6:$AD$505,"&gt;"&amp;$A286,実績!$AE$6:$AE$505,"○")&gt;0,1,0))</f>
        <v/>
      </c>
      <c r="Z286">
        <f>IF(Z$4=0,0,IF(COUNTIFS(実績!$W$6:$W$505,Z$3,実績!$AC$6:$AC$505,"&lt;="&amp;$A286,実績!$AD$6:$AD$505,"&gt;"&amp;$A286,実績!$AE$6:$AE$505,"○")&gt;0,1,0))</f>
        <v/>
      </c>
      <c r="AA286">
        <f>IF(AA$4=0,0,IF(COUNTIFS(実績!$W$6:$W$505,AA$3,実績!$AC$6:$AC$505,"&lt;="&amp;$A286,実績!$AD$6:$AD$505,"&gt;"&amp;$A286,実績!$AE$6:$AE$505,"○")&gt;0,1,0))</f>
        <v/>
      </c>
      <c r="AB286">
        <f>IF(AB$4=0,0,IF(COUNTIFS(実績!$W$6:$W$505,AB$3,実績!$AC$6:$AC$505,"&lt;="&amp;$A286,実績!$AD$6:$AD$505,"&gt;"&amp;$A286,実績!$AE$6:$AE$505,"○")&gt;0,1,0))</f>
        <v/>
      </c>
      <c r="AC286">
        <f>IF(AC$4=0,0,IF(COUNTIFS(実績!$W$6:$W$505,AC$3,実績!$AC$6:$AC$505,"&lt;="&amp;$A286,実績!$AD$6:$AD$505,"&gt;"&amp;$A286,実績!$AE$6:$AE$505,"○")&gt;0,1,0))</f>
        <v/>
      </c>
      <c r="AD286">
        <f>IF(AD$4=0,0,IF(COUNTIFS(実績!$W$6:$W$505,AD$3,実績!$AC$6:$AC$505,"&lt;="&amp;$A286,実績!$AD$6:$AD$505,"&gt;"&amp;$A286,実績!$AE$6:$AE$505,"○")&gt;0,1,0))</f>
        <v/>
      </c>
      <c r="AE286">
        <f>IF(AE$4=0,0,IF(COUNTIFS(実績!$W$6:$W$505,AE$3,実績!$AC$6:$AC$505,"&lt;="&amp;$A286,実績!$AD$6:$AD$505,"&gt;"&amp;$A286,実績!$AE$6:$AE$505,"○")&gt;0,1,0))</f>
        <v/>
      </c>
      <c r="AF286">
        <f>IF(AF$4=0,0,IF(COUNTIFS(実績!$W$6:$W$505,AF$3,実績!$AC$6:$AC$505,"&lt;="&amp;$A286,実績!$AD$6:$AD$505,"&gt;"&amp;$A286,実績!$AE$6:$AE$505,"○")&gt;0,1,0))</f>
        <v/>
      </c>
      <c r="AG286">
        <f>IF(AG$4=0,0,IF(COUNTIFS(実績!$W$6:$W$505,AG$3,実績!$AC$6:$AC$505,"&lt;="&amp;$A286,実績!$AD$6:$AD$505,"&gt;"&amp;$A286,実績!$AE$6:$AE$505,"○")&gt;0,1,0))</f>
        <v/>
      </c>
      <c r="AH286">
        <f>IF(AH$4=0,0,IF(COUNTIFS(実績!$W$6:$W$505,AH$3,実績!$AC$6:$AC$505,"&lt;="&amp;$A286,実績!$AD$6:$AD$505,"&gt;"&amp;$A286,実績!$AE$6:$AE$505,"○")&gt;0,1,0))</f>
        <v/>
      </c>
      <c r="AI286">
        <f>IF(AI$4=0,0,IF(COUNTIFS(実績!$W$6:$W$505,AI$3,実績!$AC$6:$AC$505,"&lt;="&amp;$A286,実績!$AD$6:$AD$505,"&gt;"&amp;$A286,実績!$AE$6:$AE$505,"○")&gt;0,1,0))</f>
        <v/>
      </c>
      <c r="AJ286">
        <f>IF(AJ$4=0,0,IF(COUNTIFS(実績!$W$6:$W$505,AJ$3,実績!$AC$6:$AC$505,"&lt;="&amp;$A286,実績!$AD$6:$AD$505,"&gt;"&amp;$A286,実績!$AE$6:$AE$505,"○")&gt;0,1,0))</f>
        <v/>
      </c>
      <c r="AK286">
        <f>IF(AK$4=0,0,IF(COUNTIFS(実績!$W$6:$W$505,AK$3,実績!$AC$6:$AC$505,"&lt;="&amp;$A286,実績!$AD$6:$AD$505,"&gt;"&amp;$A286,実績!$AE$6:$AE$505,"○")&gt;0,1,0))</f>
        <v/>
      </c>
      <c r="AL286">
        <f>IF(AL$4=0,0,IF(COUNTIFS(実績!$W$6:$W$505,AL$3,実績!$AC$6:$AC$505,"&lt;="&amp;$A286,実績!$AD$6:$AD$505,"&gt;"&amp;$A286,実績!$AE$6:$AE$505,"○")&gt;0,1,0))</f>
        <v/>
      </c>
      <c r="AM286">
        <f>IF(AM$4=0,0,IF(COUNTIFS(実績!$W$6:$W$505,AM$3,実績!$AC$6:$AC$505,"&lt;="&amp;$A286,実績!$AD$6:$AD$505,"&gt;"&amp;$A286,実績!$AE$6:$AE$505,"○")&gt;0,1,0))</f>
        <v/>
      </c>
      <c r="AN286">
        <f>IF(AN$4=0,0,IF(COUNTIFS(実績!$W$6:$W$505,AN$3,実績!$AC$6:$AC$505,"&lt;="&amp;$A286,実績!$AD$6:$AD$505,"&gt;"&amp;$A286,実績!$AE$6:$AE$505,"○")&gt;0,1,0))</f>
        <v/>
      </c>
      <c r="AO286">
        <f>IF(AO$4=0,0,IF(COUNTIFS(実績!$W$6:$W$505,AO$3,実績!$AC$6:$AC$505,"&lt;="&amp;$A286,実績!$AD$6:$AD$505,"&gt;"&amp;$A286,実績!$AE$6:$AE$505,"○")&gt;0,1,0))</f>
        <v/>
      </c>
      <c r="AP286">
        <f>IF(AP$4=0,0,IF(COUNTIFS(実績!$W$6:$W$505,AP$3,実績!$AC$6:$AC$505,"&lt;="&amp;$A286,実績!$AD$6:$AD$505,"&gt;"&amp;$A286,実績!$AE$6:$AE$505,"○")&gt;0,1,0))</f>
        <v/>
      </c>
      <c r="AQ286">
        <f>IF(AQ$4=0,0,IF(COUNTIFS(実績!$W$6:$W$505,AQ$3,実績!$AC$6:$AC$505,"&lt;="&amp;$A286,実績!$AD$6:$AD$505,"&gt;"&amp;$A286,実績!$AE$6:$AE$505,"○")&gt;0,1,0))</f>
        <v/>
      </c>
      <c r="AR286">
        <f>IF(AR$4=0,0,IF(COUNTIFS(実績!$W$6:$W$505,AR$3,実績!$AC$6:$AC$505,"&lt;="&amp;$A286,実績!$AD$6:$AD$505,"&gt;"&amp;$A286,実績!$AE$6:$AE$505,"○")&gt;0,1,0))</f>
        <v/>
      </c>
      <c r="AS286">
        <f>IF(AS$4=0,0,IF(COUNTIFS(実績!$W$6:$W$505,AS$3,実績!$AC$6:$AC$505,"&lt;="&amp;$A286,実績!$AD$6:$AD$505,"&gt;"&amp;$A286,実績!$AE$6:$AE$505,"○")&gt;0,1,0))</f>
        <v/>
      </c>
      <c r="AT286">
        <f>IF(AT$4=0,0,IF(COUNTIFS(実績!$W$6:$W$505,AT$3,実績!$AC$6:$AC$505,"&lt;="&amp;$A286,実績!$AD$6:$AD$505,"&gt;"&amp;$A286,実績!$AE$6:$AE$505,"○")&gt;0,1,0))</f>
        <v/>
      </c>
      <c r="AU286">
        <f>IF(AU$4=0,0,IF(COUNTIFS(実績!$W$6:$W$505,AU$3,実績!$AC$6:$AC$505,"&lt;="&amp;$A286,実績!$AD$6:$AD$505,"&gt;"&amp;$A286,実績!$AE$6:$AE$505,"○")&gt;0,1,0))</f>
        <v/>
      </c>
      <c r="AV286">
        <f>IF(AV$4=0,0,IF(COUNTIFS(実績!$W$6:$W$505,AV$3,実績!$AC$6:$AC$505,"&lt;="&amp;$A286,実績!$AD$6:$AD$505,"&gt;"&amp;$A286,実績!$AE$6:$AE$505,"○")&gt;0,1,0))</f>
        <v/>
      </c>
      <c r="AW286">
        <f>IF(AW$4=0,0,IF(COUNTIFS(実績!$W$6:$W$505,AW$3,実績!$AC$6:$AC$505,"&lt;="&amp;$A286,実績!$AD$6:$AD$505,"&gt;"&amp;$A286,実績!$AE$6:$AE$505,"○")&gt;0,1,0))</f>
        <v/>
      </c>
      <c r="AX286">
        <f>IF(AX$4=0,0,IF(COUNTIFS(実績!$W$6:$W$505,AX$3,実績!$AC$6:$AC$505,"&lt;="&amp;$A286,実績!$AD$6:$AD$505,"&gt;"&amp;$A286,実績!$AE$6:$AE$505,"○")&gt;0,1,0))</f>
        <v/>
      </c>
      <c r="AY286">
        <f>IF(AY$4=0,0,IF(COUNTIFS(実績!$W$6:$W$505,AY$3,実績!$AC$6:$AC$505,"&lt;="&amp;$A286,実績!$AD$6:$AD$505,"&gt;"&amp;$A286,実績!$AE$6:$AE$505,"○")&gt;0,1,0))</f>
        <v/>
      </c>
      <c r="AZ286">
        <f>IF(AZ$4=0,0,IF(COUNTIFS(実績!$W$6:$W$505,AZ$3,実績!$AC$6:$AC$505,"&lt;="&amp;$A286,実績!$AD$6:$AD$505,"&gt;"&amp;$A286,実績!$AE$6:$AE$505,"○")&gt;0,1,0))</f>
        <v/>
      </c>
      <c r="BA286">
        <f>IF(BA$4=0,0,IF(COUNTIFS(実績!$W$6:$W$505,BA$3,実績!$AC$6:$AC$505,"&lt;="&amp;$A286,実績!$AD$6:$AD$505,"&gt;"&amp;$A286,実績!$AE$6:$AE$505,"○")&gt;0,1,0))</f>
        <v/>
      </c>
      <c r="BB286">
        <f>IF(BB$4=0,0,IF(COUNTIFS(実績!$W$6:$W$505,BB$3,実績!$AC$6:$AC$505,"&lt;="&amp;$A286,実績!$AD$6:$AD$505,"&gt;"&amp;$A286,実績!$AE$6:$AE$505,"○")&gt;0,1,0))</f>
        <v/>
      </c>
      <c r="BC286">
        <f>IF(BC$4=0,0,IF(COUNTIFS(実績!$W$6:$W$505,BC$3,実績!$AC$6:$AC$505,"&lt;="&amp;$A286,実績!$AD$6:$AD$505,"&gt;"&amp;$A286,実績!$AE$6:$AE$505,"○")&gt;0,1,0))</f>
        <v/>
      </c>
      <c r="BD286">
        <f>IF(BD$4=0,0,IF(COUNTIFS(実績!$W$6:$W$505,BD$3,実績!$AC$6:$AC$505,"&lt;="&amp;$A286,実績!$AD$6:$AD$505,"&gt;"&amp;$A286,実績!$AE$6:$AE$505,"○")&gt;0,1,0))</f>
        <v/>
      </c>
      <c r="BE286">
        <f>IF(BE$4=0,0,IF(COUNTIFS(実績!$W$6:$W$505,BE$3,実績!$AC$6:$AC$505,"&lt;="&amp;$A286,実績!$AD$6:$AD$505,"&gt;"&amp;$A286,実績!$AE$6:$AE$505,"○")&gt;0,1,0))</f>
        <v/>
      </c>
      <c r="BF286">
        <f>IF(BF$4=0,0,IF(COUNTIFS(実績!$W$6:$W$505,BF$3,実績!$AC$6:$AC$505,"&lt;="&amp;$A286,実績!$AD$6:$AD$505,"&gt;"&amp;$A286,実績!$AE$6:$AE$505,"○")&gt;0,1,0))</f>
        <v/>
      </c>
      <c r="BG286">
        <f>IF(BG$4=0,0,IF(COUNTIFS(実績!$W$6:$W$505,BG$3,実績!$AC$6:$AC$505,"&lt;="&amp;$A286,実績!$AD$6:$AD$505,"&gt;"&amp;$A286,実績!$AE$6:$AE$505,"○")&gt;0,1,0))</f>
        <v/>
      </c>
      <c r="BH286">
        <f>IF(BH$4=0,0,IF(COUNTIFS(実績!$W$6:$W$505,BH$3,実績!$AC$6:$AC$505,"&lt;="&amp;$A286,実績!$AD$6:$AD$505,"&gt;"&amp;$A286,実績!$AE$6:$AE$505,"○")&gt;0,1,0))</f>
        <v/>
      </c>
      <c r="BI286">
        <f>IF(BI$4=0,0,IF(COUNTIFS(実績!$W$6:$W$505,BI$3,実績!$AC$6:$AC$505,"&lt;="&amp;$A286,実績!$AD$6:$AD$505,"&gt;"&amp;$A286,実績!$AE$6:$AE$505,"○")&gt;0,1,0))</f>
        <v/>
      </c>
      <c r="BJ286">
        <f>IF(BJ$4=0,0,IF(COUNTIFS(実績!$W$6:$W$505,BJ$3,実績!$AC$6:$AC$505,"&lt;="&amp;$A286,実績!$AD$6:$AD$505,"&gt;"&amp;$A286,実績!$AE$6:$AE$505,"○")&gt;0,1,0))</f>
        <v/>
      </c>
      <c r="BK286">
        <f>IF(BK$4=0,0,IF(COUNTIFS(実績!$W$6:$W$505,BK$3,実績!$AC$6:$AC$505,"&lt;="&amp;$A286,実績!$AD$6:$AD$505,"&gt;"&amp;$A286,実績!$AE$6:$AE$505,"○")&gt;0,1,0))</f>
        <v/>
      </c>
      <c r="BL286">
        <f>IF(BL$4=0,0,IF(COUNTIFS(実績!$W$6:$W$505,BL$3,実績!$AC$6:$AC$505,"&lt;="&amp;$A286,実績!$AD$6:$AD$505,"&gt;"&amp;$A286,実績!$AE$6:$AE$505,"○")&gt;0,1,0))</f>
        <v/>
      </c>
      <c r="BM286">
        <f>IF(BM$4=0,0,IF(COUNTIFS(実績!$W$6:$W$505,BM$3,実績!$AC$6:$AC$505,"&lt;="&amp;$A286,実績!$AD$6:$AD$505,"&gt;"&amp;$A286,実績!$AE$6:$AE$505,"○")&gt;0,1,0))</f>
        <v/>
      </c>
      <c r="BN286">
        <f>IF(BN$4=0,0,IF(COUNTIFS(実績!$W$6:$W$505,BN$3,実績!$AC$6:$AC$505,"&lt;="&amp;$A286,実績!$AD$6:$AD$505,"&gt;"&amp;$A286,実績!$AE$6:$AE$505,"○")&gt;0,1,0))</f>
        <v/>
      </c>
      <c r="BO286">
        <f>IF(BO$4=0,0,IF(COUNTIFS(実績!$W$6:$W$505,BO$3,実績!$AC$6:$AC$505,"&lt;="&amp;$A286,実績!$AD$6:$AD$505,"&gt;"&amp;$A286,実績!$AE$6:$AE$505,"○")&gt;0,1,0))</f>
        <v/>
      </c>
      <c r="BP286">
        <f>IF(BP$4=0,0,IF(COUNTIFS(実績!$W$6:$W$505,BP$3,実績!$AC$6:$AC$505,"&lt;="&amp;$A286,実績!$AD$6:$AD$505,"&gt;"&amp;$A286,実績!$AE$6:$AE$505,"○")&gt;0,1,0))</f>
        <v/>
      </c>
      <c r="BQ286">
        <f>IF(BQ$4=0,0,IF(COUNTIFS(実績!$W$6:$W$505,BQ$3,実績!$AC$6:$AC$505,"&lt;="&amp;$A286,実績!$AD$6:$AD$505,"&gt;"&amp;$A286,実績!$AE$6:$AE$505,"○")&gt;0,1,0))</f>
        <v/>
      </c>
      <c r="BR286">
        <f>IF(BR$4=0,0,IF(COUNTIFS(実績!$W$6:$W$505,BR$3,実績!$AC$6:$AC$505,"&lt;="&amp;$A286,実績!$AD$6:$AD$505,"&gt;"&amp;$A286,実績!$AE$6:$AE$505,"○")&gt;0,1,0))</f>
        <v/>
      </c>
      <c r="BS286">
        <f>IF(BS$4=0,0,IF(COUNTIFS(実績!$W$6:$W$505,BS$3,実績!$AC$6:$AC$505,"&lt;="&amp;$A286,実績!$AD$6:$AD$505,"&gt;"&amp;$A286,実績!$AE$6:$AE$505,"○")&gt;0,1,0))</f>
        <v/>
      </c>
      <c r="BT286">
        <f>IF(BT$4=0,0,IF(COUNTIFS(実績!$W$6:$W$505,BT$3,実績!$AC$6:$AC$505,"&lt;="&amp;$A286,実績!$AD$6:$AD$505,"&gt;"&amp;$A286,実績!$AE$6:$AE$505,"○")&gt;0,1,0))</f>
        <v/>
      </c>
      <c r="BU286">
        <f>IF(BU$4=0,0,IF(COUNTIFS(実績!$W$6:$W$505,BU$3,実績!$AC$6:$AC$505,"&lt;="&amp;$A286,実績!$AD$6:$AD$505,"&gt;"&amp;$A286,実績!$AE$6:$AE$505,"○")&gt;0,1,0))</f>
        <v/>
      </c>
      <c r="BV286">
        <f>IF(BV$4=0,0,IF(COUNTIFS(実績!$W$6:$W$505,BV$3,実績!$AC$6:$AC$505,"&lt;="&amp;$A286,実績!$AD$6:$AD$505,"&gt;"&amp;$A286,実績!$AE$6:$AE$505,"○")&gt;0,1,0))</f>
        <v/>
      </c>
      <c r="BW286">
        <f>IF(BW$4=0,0,IF(COUNTIFS(実績!$W$6:$W$505,BW$3,実績!$AC$6:$AC$505,"&lt;="&amp;$A286,実績!$AD$6:$AD$505,"&gt;"&amp;$A286,実績!$AE$6:$AE$505,"○")&gt;0,1,0))</f>
        <v/>
      </c>
      <c r="BX286">
        <f>IF(BX$4=0,0,IF(COUNTIFS(実績!$W$6:$W$505,BX$3,実績!$AC$6:$AC$505,"&lt;="&amp;$A286,実績!$AD$6:$AD$505,"&gt;"&amp;$A286,実績!$AE$6:$AE$505,"○")&gt;0,1,0))</f>
        <v/>
      </c>
      <c r="BY286">
        <f>IF(BY$4=0,0,IF(COUNTIFS(実績!$W$6:$W$505,BY$3,実績!$AC$6:$AC$505,"&lt;="&amp;$A286,実績!$AD$6:$AD$505,"&gt;"&amp;$A286,実績!$AE$6:$AE$505,"○")&gt;0,1,0))</f>
        <v/>
      </c>
      <c r="BZ286">
        <f>IF(BZ$4=0,0,IF(COUNTIFS(実績!$W$6:$W$505,BZ$3,実績!$AC$6:$AC$505,"&lt;="&amp;$A286,実績!$AD$6:$AD$505,"&gt;"&amp;$A286,実績!$AE$6:$AE$505,"○")&gt;0,1,0))</f>
        <v/>
      </c>
      <c r="CA286">
        <f>IF(CA$4=0,0,IF(COUNTIFS(実績!$W$6:$W$505,CA$3,実績!$AC$6:$AC$505,"&lt;="&amp;$A286,実績!$AD$6:$AD$505,"&gt;"&amp;$A286,実績!$AE$6:$AE$505,"○")&gt;0,1,0))</f>
        <v/>
      </c>
      <c r="CB286">
        <f>IF(CB$4=0,0,IF(COUNTIFS(実績!$W$6:$W$505,CB$3,実績!$AC$6:$AC$505,"&lt;="&amp;$A286,実績!$AD$6:$AD$505,"&gt;"&amp;$A286,実績!$AE$6:$AE$505,"○")&gt;0,1,0))</f>
        <v/>
      </c>
      <c r="CC286">
        <f>IF(CC$4=0,0,IF(COUNTIFS(実績!$W$6:$W$505,CC$3,実績!$AC$6:$AC$505,"&lt;="&amp;$A286,実績!$AD$6:$AD$505,"&gt;"&amp;$A286,実績!$AE$6:$AE$505,"○")&gt;0,1,0))</f>
        <v/>
      </c>
      <c r="CD286">
        <f>IF(CD$4=0,0,IF(COUNTIFS(実績!$W$6:$W$505,CD$3,実績!$AC$6:$AC$505,"&lt;="&amp;$A286,実績!$AD$6:$AD$505,"&gt;"&amp;$A286,実績!$AE$6:$AE$505,"○")&gt;0,1,0))</f>
        <v/>
      </c>
      <c r="CE286">
        <f>IF(CE$4=0,0,IF(COUNTIFS(実績!$W$6:$W$505,CE$3,実績!$AC$6:$AC$505,"&lt;="&amp;$A286,実績!$AD$6:$AD$505,"&gt;"&amp;$A286,実績!$AE$6:$AE$505,"○")&gt;0,1,0))</f>
        <v/>
      </c>
      <c r="CF286">
        <f>IF(CF$4=0,0,IF(COUNTIFS(実績!$W$6:$W$505,CF$3,実績!$AC$6:$AC$505,"&lt;="&amp;$A286,実績!$AD$6:$AD$505,"&gt;"&amp;$A286,実績!$AE$6:$AE$505,"○")&gt;0,1,0))</f>
        <v/>
      </c>
      <c r="CG286">
        <f>IF(CG$4=0,0,IF(COUNTIFS(実績!$W$6:$W$505,CG$3,実績!$AC$6:$AC$505,"&lt;="&amp;$A286,実績!$AD$6:$AD$505,"&gt;"&amp;$A286,実績!$AE$6:$AE$505,"○")&gt;0,1,0))</f>
        <v/>
      </c>
      <c r="CH286">
        <f>IF(CH$4=0,0,IF(COUNTIFS(実績!$W$6:$W$505,CH$3,実績!$AC$6:$AC$505,"&lt;="&amp;$A286,実績!$AD$6:$AD$505,"&gt;"&amp;$A286,実績!$AE$6:$AE$505,"○")&gt;0,1,0))</f>
        <v/>
      </c>
      <c r="CI286">
        <f>IF(CI$4=0,0,IF(COUNTIFS(実績!$W$6:$W$505,CI$3,実績!$AC$6:$AC$505,"&lt;="&amp;$A286,実績!$AD$6:$AD$505,"&gt;"&amp;$A286,実績!$AE$6:$AE$505,"○")&gt;0,1,0))</f>
        <v/>
      </c>
      <c r="CJ286">
        <f>IF(CJ$4=0,0,IF(COUNTIFS(実績!$W$6:$W$505,CJ$3,実績!$AC$6:$AC$505,"&lt;="&amp;$A286,実績!$AD$6:$AD$505,"&gt;"&amp;$A286,実績!$AE$6:$AE$505,"○")&gt;0,1,0))</f>
        <v/>
      </c>
      <c r="CK286">
        <f>IF(CK$4=0,0,IF(COUNTIFS(実績!$W$6:$W$505,CK$3,実績!$AC$6:$AC$505,"&lt;="&amp;$A286,実績!$AD$6:$AD$505,"&gt;"&amp;$A286,実績!$AE$6:$AE$505,"○")&gt;0,1,0))</f>
        <v/>
      </c>
      <c r="CL286">
        <f>IF(CL$4=0,0,IF(COUNTIFS(実績!$W$6:$W$505,CL$3,実績!$AC$6:$AC$505,"&lt;="&amp;$A286,実績!$AD$6:$AD$505,"&gt;"&amp;$A286,実績!$AE$6:$AE$505,"○")&gt;0,1,0))</f>
        <v/>
      </c>
      <c r="CM286">
        <f>IF(CM$4=0,0,IF(COUNTIFS(実績!$W$6:$W$505,CM$3,実績!$AC$6:$AC$505,"&lt;="&amp;$A286,実績!$AD$6:$AD$505,"&gt;"&amp;$A286,実績!$AE$6:$AE$505,"○")&gt;0,1,0))</f>
        <v/>
      </c>
      <c r="CN286">
        <f>IF(CN$4=0,0,IF(COUNTIFS(実績!$W$6:$W$505,CN$3,実績!$AC$6:$AC$505,"&lt;="&amp;$A286,実績!$AD$6:$AD$505,"&gt;"&amp;$A286,実績!$AE$6:$AE$505,"○")&gt;0,1,0))</f>
        <v/>
      </c>
      <c r="CO286">
        <f>IF(CO$4=0,0,IF(COUNTIFS(実績!$W$6:$W$505,CO$3,実績!$AC$6:$AC$505,"&lt;="&amp;$A286,実績!$AD$6:$AD$505,"&gt;"&amp;$A286,実績!$AE$6:$AE$505,"○")&gt;0,1,0))</f>
        <v/>
      </c>
      <c r="CP286">
        <f>IF(CP$4=0,0,IF(COUNTIFS(実績!$W$6:$W$505,CP$3,実績!$AC$6:$AC$505,"&lt;="&amp;$A286,実績!$AD$6:$AD$505,"&gt;"&amp;$A286,実績!$AE$6:$AE$505,"○")&gt;0,1,0))</f>
        <v/>
      </c>
      <c r="CQ286">
        <f>IF(CQ$4=0,0,IF(COUNTIFS(実績!$W$6:$W$505,CQ$3,実績!$AC$6:$AC$505,"&lt;="&amp;$A286,実績!$AD$6:$AD$505,"&gt;"&amp;$A286,実績!$AE$6:$AE$505,"○")&gt;0,1,0))</f>
        <v/>
      </c>
      <c r="CR286">
        <f>IF(CR$4=0,0,IF(COUNTIFS(実績!$W$6:$W$505,CR$3,実績!$AC$6:$AC$505,"&lt;="&amp;$A286,実績!$AD$6:$AD$505,"&gt;"&amp;$A286,実績!$AE$6:$AE$505,"○")&gt;0,1,0))</f>
        <v/>
      </c>
      <c r="CS286">
        <f>IF(CS$4=0,0,IF(COUNTIFS(実績!$W$6:$W$505,CS$3,実績!$AC$6:$AC$505,"&lt;="&amp;$A286,実績!$AD$6:$AD$505,"&gt;"&amp;$A286,実績!$AE$6:$AE$505,"○")&gt;0,1,0))</f>
        <v/>
      </c>
      <c r="CT286">
        <f>IF(CT$4=0,0,IF(COUNTIFS(実績!$W$6:$W$505,CT$3,実績!$AC$6:$AC$505,"&lt;="&amp;$A286,実績!$AD$6:$AD$505,"&gt;"&amp;$A286,実績!$AE$6:$AE$505,"○")&gt;0,1,0))</f>
        <v/>
      </c>
      <c r="CU286">
        <f>IF(CU$4=0,0,IF(COUNTIFS(実績!$W$6:$W$505,CU$3,実績!$AC$6:$AC$505,"&lt;="&amp;$A286,実績!$AD$6:$AD$505,"&gt;"&amp;$A286,実績!$AE$6:$AE$505,"○")&gt;0,1,0))</f>
        <v/>
      </c>
      <c r="CV286">
        <f>IF(CV$4=0,0,IF(COUNTIFS(実績!$W$6:$W$505,CV$3,実績!$AC$6:$AC$505,"&lt;="&amp;$A286,実績!$AD$6:$AD$505,"&gt;"&amp;$A286,実績!$AE$6:$AE$505,"○")&gt;0,1,0))</f>
        <v/>
      </c>
      <c r="CW286">
        <f>IF(CW$4=0,0,IF(COUNTIFS(実績!$W$6:$W$505,CW$3,実績!$AC$6:$AC$505,"&lt;="&amp;$A286,実績!$AD$6:$AD$505,"&gt;"&amp;$A286,実績!$AE$6:$AE$505,"○")&gt;0,1,0))</f>
        <v/>
      </c>
      <c r="CX286">
        <f>IF(CX$4=0,0,IF(COUNTIFS(実績!$W$6:$W$505,CX$3,実績!$AC$6:$AC$505,"&lt;="&amp;$A286,実績!$AD$6:$AD$505,"&gt;"&amp;$A286,実績!$AE$6:$AE$505,"○")&gt;0,1,0))</f>
        <v/>
      </c>
      <c r="CY286">
        <f>IF(CY$4=0,0,IF(COUNTIFS(実績!$W$6:$W$505,CY$3,実績!$AC$6:$AC$505,"&lt;="&amp;$A286,実績!$AD$6:$AD$505,"&gt;"&amp;$A286,実績!$AE$6:$AE$505,"○")&gt;0,1,0))</f>
        <v/>
      </c>
      <c r="CZ286">
        <f>IF(CZ$4=0,0,IF(COUNTIFS(実績!$W$6:$W$505,CZ$3,実績!$AC$6:$AC$505,"&lt;="&amp;$A286,実績!$AD$6:$AD$505,"&gt;"&amp;$A286,実績!$AE$6:$AE$505,"○")&gt;0,1,0))</f>
        <v/>
      </c>
      <c r="DA286">
        <f>IF(DA$4=0,0,IF(COUNTIFS(実績!$W$6:$W$505,DA$3,実績!$AC$6:$AC$505,"&lt;="&amp;$A286,実績!$AD$6:$AD$505,"&gt;"&amp;$A286,実績!$AE$6:$AE$505,"○")&gt;0,1,0))</f>
        <v/>
      </c>
      <c r="DB286">
        <f>IF(DB$4=0,0,IF(COUNTIFS(実績!$W$6:$W$505,DB$3,実績!$AC$6:$AC$505,"&lt;="&amp;$A286,実績!$AD$6:$AD$505,"&gt;"&amp;$A286,実績!$AE$6:$AE$505,"○")&gt;0,1,0))</f>
        <v/>
      </c>
      <c r="DC286">
        <f>IF(DC$4=0,0,IF(COUNTIFS(実績!$W$6:$W$505,DC$3,実績!$AC$6:$AC$505,"&lt;="&amp;$A286,実績!$AD$6:$AD$505,"&gt;"&amp;$A286,実績!$AE$6:$AE$505,"○")&gt;0,1,0))</f>
        <v/>
      </c>
      <c r="DD286">
        <f>IF(DD$4=0,0,IF(COUNTIFS(実績!$W$6:$W$505,DD$3,実績!$AC$6:$AC$505,"&lt;="&amp;$A286,実績!$AD$6:$AD$505,"&gt;"&amp;$A286,実績!$AE$6:$AE$505,"○")&gt;0,1,0))</f>
        <v/>
      </c>
      <c r="DE286">
        <f>IF(DE$4=0,0,IF(COUNTIFS(実績!$W$6:$W$505,DE$3,実績!$AC$6:$AC$505,"&lt;="&amp;$A286,実績!$AD$6:$AD$505,"&gt;"&amp;$A286,実績!$AE$6:$AE$505,"○")&gt;0,1,0))</f>
        <v/>
      </c>
      <c r="DF286">
        <f>IF(DF$4=0,0,IF(COUNTIFS(実績!$W$6:$W$505,DF$3,実績!$AC$6:$AC$505,"&lt;="&amp;$A286,実績!$AD$6:$AD$505,"&gt;"&amp;$A286,実績!$AE$6:$AE$505,"○")&gt;0,1,0))</f>
        <v/>
      </c>
      <c r="DG286">
        <f>IF(DG$4=0,0,IF(COUNTIFS(実績!$W$6:$W$505,DG$3,実績!$AC$6:$AC$505,"&lt;="&amp;$A286,実績!$AD$6:$AD$505,"&gt;"&amp;$A286,実績!$AE$6:$AE$505,"○")&gt;0,1,0))</f>
        <v/>
      </c>
      <c r="DH286">
        <f>IF(DH$4=0,0,IF(COUNTIFS(実績!$W$6:$W$505,DH$3,実績!$AC$6:$AC$505,"&lt;="&amp;$A286,実績!$AD$6:$AD$505,"&gt;"&amp;$A286,実績!$AE$6:$AE$505,"○")&gt;0,1,0))</f>
        <v/>
      </c>
      <c r="DI286">
        <f>IF(DI$4=0,0,IF(COUNTIFS(実績!$W$6:$W$505,DI$3,実績!$AC$6:$AC$505,"&lt;="&amp;$A286,実績!$AD$6:$AD$505,"&gt;"&amp;$A286,実績!$AE$6:$AE$505,"○")&gt;0,1,0))</f>
        <v/>
      </c>
      <c r="DJ286">
        <f>IF(DJ$4=0,0,IF(COUNTIFS(実績!$W$6:$W$505,DJ$3,実績!$AC$6:$AC$505,"&lt;="&amp;$A286,実績!$AD$6:$AD$505,"&gt;"&amp;$A286,実績!$AE$6:$AE$505,"○")&gt;0,1,0))</f>
        <v/>
      </c>
      <c r="DK286">
        <f>IF(DK$4=0,0,IF(COUNTIFS(実績!$W$6:$W$505,DK$3,実績!$AC$6:$AC$505,"&lt;="&amp;$A286,実績!$AD$6:$AD$505,"&gt;"&amp;$A286,実績!$AE$6:$AE$505,"○")&gt;0,1,0))</f>
        <v/>
      </c>
      <c r="DL286">
        <f>IF(DL$4=0,0,IF(COUNTIFS(実績!$W$6:$W$505,DL$3,実績!$AC$6:$AC$505,"&lt;="&amp;$A286,実績!$AD$6:$AD$505,"&gt;"&amp;$A286,実績!$AE$6:$AE$505,"○")&gt;0,1,0))</f>
        <v/>
      </c>
      <c r="DM286">
        <f>IF(DM$4=0,0,IF(COUNTIFS(実績!$W$6:$W$505,DM$3,実績!$AC$6:$AC$505,"&lt;="&amp;$A286,実績!$AD$6:$AD$505,"&gt;"&amp;$A286,実績!$AE$6:$AE$505,"○")&gt;0,1,0))</f>
        <v/>
      </c>
      <c r="DN286">
        <f>IF(DN$4=0,0,IF(COUNTIFS(実績!$W$6:$W$505,DN$3,実績!$AC$6:$AC$505,"&lt;="&amp;$A286,実績!$AD$6:$AD$505,"&gt;"&amp;$A286,実績!$AE$6:$AE$505,"○")&gt;0,1,0))</f>
        <v/>
      </c>
      <c r="DO286">
        <f>IF(DO$4=0,0,IF(COUNTIFS(実績!$W$6:$W$505,DO$3,実績!$AC$6:$AC$505,"&lt;="&amp;$A286,実績!$AD$6:$AD$505,"&gt;"&amp;$A286,実績!$AE$6:$AE$505,"○")&gt;0,1,0))</f>
        <v/>
      </c>
      <c r="DP286">
        <f>IF(DP$4=0,0,IF(COUNTIFS(実績!$W$6:$W$505,DP$3,実績!$AC$6:$AC$505,"&lt;="&amp;$A286,実績!$AD$6:$AD$505,"&gt;"&amp;$A286,実績!$AE$6:$AE$505,"○")&gt;0,1,0))</f>
        <v/>
      </c>
      <c r="DQ286">
        <f>IF(DQ$4=0,0,IF(COUNTIFS(実績!$W$6:$W$505,DQ$3,実績!$AC$6:$AC$505,"&lt;="&amp;$A286,実績!$AD$6:$AD$505,"&gt;"&amp;$A286,実績!$AE$6:$AE$505,"○")&gt;0,1,0))</f>
        <v/>
      </c>
      <c r="DR286">
        <f>IF(DR$4=0,0,IF(COUNTIFS(実績!$W$6:$W$505,DR$3,実績!$AC$6:$AC$505,"&lt;="&amp;$A286,実績!$AD$6:$AD$505,"&gt;"&amp;$A286,実績!$AE$6:$AE$505,"○")&gt;0,1,0))</f>
        <v/>
      </c>
      <c r="DS286">
        <f>SUM(C286:DR286)</f>
        <v/>
      </c>
      <c r="DT286">
        <f>SUMPRODUCT((実績!$C$6:$C$505="○")*ISNUMBER(実績!$AF$6:$AF$505)*(実績!$AF$6:$AF$505&lt;=$A286)*(実績!$AG$6:$AG$505&gt;$A286))</f>
        <v/>
      </c>
      <c r="DU286">
        <f>SUMIF($C$2:$DR$2,"製鉄曳船",C286:DR286)</f>
        <v/>
      </c>
      <c r="DV286">
        <f>SUMIF($C$2:$DR$2,"西日本海運",C286:DR286)</f>
        <v/>
      </c>
    </row>
    <row r="287">
      <c r="A287" t="n">
        <v>1405</v>
      </c>
      <c r="B287" s="29">
        <f>A287/1440</f>
        <v/>
      </c>
      <c r="C287">
        <f>IF(C$4=0,0,IF(COUNTIFS(実績!$W$6:$W$505,C$3,実績!$AC$6:$AC$505,"&lt;="&amp;$A287,実績!$AD$6:$AD$505,"&gt;"&amp;$A287,実績!$AE$6:$AE$505,"○")&gt;0,1,0))</f>
        <v/>
      </c>
      <c r="D287">
        <f>IF(D$4=0,0,IF(COUNTIFS(実績!$W$6:$W$505,D$3,実績!$AC$6:$AC$505,"&lt;="&amp;$A287,実績!$AD$6:$AD$505,"&gt;"&amp;$A287,実績!$AE$6:$AE$505,"○")&gt;0,1,0))</f>
        <v/>
      </c>
      <c r="E287">
        <f>IF(E$4=0,0,IF(COUNTIFS(実績!$W$6:$W$505,E$3,実績!$AC$6:$AC$505,"&lt;="&amp;$A287,実績!$AD$6:$AD$505,"&gt;"&amp;$A287,実績!$AE$6:$AE$505,"○")&gt;0,1,0))</f>
        <v/>
      </c>
      <c r="F287">
        <f>IF(F$4=0,0,IF(COUNTIFS(実績!$W$6:$W$505,F$3,実績!$AC$6:$AC$505,"&lt;="&amp;$A287,実績!$AD$6:$AD$505,"&gt;"&amp;$A287,実績!$AE$6:$AE$505,"○")&gt;0,1,0))</f>
        <v/>
      </c>
      <c r="G287">
        <f>IF(G$4=0,0,IF(COUNTIFS(実績!$W$6:$W$505,G$3,実績!$AC$6:$AC$505,"&lt;="&amp;$A287,実績!$AD$6:$AD$505,"&gt;"&amp;$A287,実績!$AE$6:$AE$505,"○")&gt;0,1,0))</f>
        <v/>
      </c>
      <c r="H287">
        <f>IF(H$4=0,0,IF(COUNTIFS(実績!$W$6:$W$505,H$3,実績!$AC$6:$AC$505,"&lt;="&amp;$A287,実績!$AD$6:$AD$505,"&gt;"&amp;$A287,実績!$AE$6:$AE$505,"○")&gt;0,1,0))</f>
        <v/>
      </c>
      <c r="I287">
        <f>IF(I$4=0,0,IF(COUNTIFS(実績!$W$6:$W$505,I$3,実績!$AC$6:$AC$505,"&lt;="&amp;$A287,実績!$AD$6:$AD$505,"&gt;"&amp;$A287,実績!$AE$6:$AE$505,"○")&gt;0,1,0))</f>
        <v/>
      </c>
      <c r="J287">
        <f>IF(J$4=0,0,IF(COUNTIFS(実績!$W$6:$W$505,J$3,実績!$AC$6:$AC$505,"&lt;="&amp;$A287,実績!$AD$6:$AD$505,"&gt;"&amp;$A287,実績!$AE$6:$AE$505,"○")&gt;0,1,0))</f>
        <v/>
      </c>
      <c r="K287">
        <f>IF(K$4=0,0,IF(COUNTIFS(実績!$W$6:$W$505,K$3,実績!$AC$6:$AC$505,"&lt;="&amp;$A287,実績!$AD$6:$AD$505,"&gt;"&amp;$A287,実績!$AE$6:$AE$505,"○")&gt;0,1,0))</f>
        <v/>
      </c>
      <c r="L287">
        <f>IF(L$4=0,0,IF(COUNTIFS(実績!$W$6:$W$505,L$3,実績!$AC$6:$AC$505,"&lt;="&amp;$A287,実績!$AD$6:$AD$505,"&gt;"&amp;$A287,実績!$AE$6:$AE$505,"○")&gt;0,1,0))</f>
        <v/>
      </c>
      <c r="M287">
        <f>IF(M$4=0,0,IF(COUNTIFS(実績!$W$6:$W$505,M$3,実績!$AC$6:$AC$505,"&lt;="&amp;$A287,実績!$AD$6:$AD$505,"&gt;"&amp;$A287,実績!$AE$6:$AE$505,"○")&gt;0,1,0))</f>
        <v/>
      </c>
      <c r="N287">
        <f>IF(N$4=0,0,IF(COUNTIFS(実績!$W$6:$W$505,N$3,実績!$AC$6:$AC$505,"&lt;="&amp;$A287,実績!$AD$6:$AD$505,"&gt;"&amp;$A287,実績!$AE$6:$AE$505,"○")&gt;0,1,0))</f>
        <v/>
      </c>
      <c r="O287">
        <f>IF(O$4=0,0,IF(COUNTIFS(実績!$W$6:$W$505,O$3,実績!$AC$6:$AC$505,"&lt;="&amp;$A287,実績!$AD$6:$AD$505,"&gt;"&amp;$A287,実績!$AE$6:$AE$505,"○")&gt;0,1,0))</f>
        <v/>
      </c>
      <c r="P287">
        <f>IF(P$4=0,0,IF(COUNTIFS(実績!$W$6:$W$505,P$3,実績!$AC$6:$AC$505,"&lt;="&amp;$A287,実績!$AD$6:$AD$505,"&gt;"&amp;$A287,実績!$AE$6:$AE$505,"○")&gt;0,1,0))</f>
        <v/>
      </c>
      <c r="Q287">
        <f>IF(Q$4=0,0,IF(COUNTIFS(実績!$W$6:$W$505,Q$3,実績!$AC$6:$AC$505,"&lt;="&amp;$A287,実績!$AD$6:$AD$505,"&gt;"&amp;$A287,実績!$AE$6:$AE$505,"○")&gt;0,1,0))</f>
        <v/>
      </c>
      <c r="R287">
        <f>IF(R$4=0,0,IF(COUNTIFS(実績!$W$6:$W$505,R$3,実績!$AC$6:$AC$505,"&lt;="&amp;$A287,実績!$AD$6:$AD$505,"&gt;"&amp;$A287,実績!$AE$6:$AE$505,"○")&gt;0,1,0))</f>
        <v/>
      </c>
      <c r="S287">
        <f>IF(S$4=0,0,IF(COUNTIFS(実績!$W$6:$W$505,S$3,実績!$AC$6:$AC$505,"&lt;="&amp;$A287,実績!$AD$6:$AD$505,"&gt;"&amp;$A287,実績!$AE$6:$AE$505,"○")&gt;0,1,0))</f>
        <v/>
      </c>
      <c r="T287">
        <f>IF(T$4=0,0,IF(COUNTIFS(実績!$W$6:$W$505,T$3,実績!$AC$6:$AC$505,"&lt;="&amp;$A287,実績!$AD$6:$AD$505,"&gt;"&amp;$A287,実績!$AE$6:$AE$505,"○")&gt;0,1,0))</f>
        <v/>
      </c>
      <c r="U287">
        <f>IF(U$4=0,0,IF(COUNTIFS(実績!$W$6:$W$505,U$3,実績!$AC$6:$AC$505,"&lt;="&amp;$A287,実績!$AD$6:$AD$505,"&gt;"&amp;$A287,実績!$AE$6:$AE$505,"○")&gt;0,1,0))</f>
        <v/>
      </c>
      <c r="V287">
        <f>IF(V$4=0,0,IF(COUNTIFS(実績!$W$6:$W$505,V$3,実績!$AC$6:$AC$505,"&lt;="&amp;$A287,実績!$AD$6:$AD$505,"&gt;"&amp;$A287,実績!$AE$6:$AE$505,"○")&gt;0,1,0))</f>
        <v/>
      </c>
      <c r="W287">
        <f>IF(W$4=0,0,IF(COUNTIFS(実績!$W$6:$W$505,W$3,実績!$AC$6:$AC$505,"&lt;="&amp;$A287,実績!$AD$6:$AD$505,"&gt;"&amp;$A287,実績!$AE$6:$AE$505,"○")&gt;0,1,0))</f>
        <v/>
      </c>
      <c r="X287">
        <f>IF(X$4=0,0,IF(COUNTIFS(実績!$W$6:$W$505,X$3,実績!$AC$6:$AC$505,"&lt;="&amp;$A287,実績!$AD$6:$AD$505,"&gt;"&amp;$A287,実績!$AE$6:$AE$505,"○")&gt;0,1,0))</f>
        <v/>
      </c>
      <c r="Y287">
        <f>IF(Y$4=0,0,IF(COUNTIFS(実績!$W$6:$W$505,Y$3,実績!$AC$6:$AC$505,"&lt;="&amp;$A287,実績!$AD$6:$AD$505,"&gt;"&amp;$A287,実績!$AE$6:$AE$505,"○")&gt;0,1,0))</f>
        <v/>
      </c>
      <c r="Z287">
        <f>IF(Z$4=0,0,IF(COUNTIFS(実績!$W$6:$W$505,Z$3,実績!$AC$6:$AC$505,"&lt;="&amp;$A287,実績!$AD$6:$AD$505,"&gt;"&amp;$A287,実績!$AE$6:$AE$505,"○")&gt;0,1,0))</f>
        <v/>
      </c>
      <c r="AA287">
        <f>IF(AA$4=0,0,IF(COUNTIFS(実績!$W$6:$W$505,AA$3,実績!$AC$6:$AC$505,"&lt;="&amp;$A287,実績!$AD$6:$AD$505,"&gt;"&amp;$A287,実績!$AE$6:$AE$505,"○")&gt;0,1,0))</f>
        <v/>
      </c>
      <c r="AB287">
        <f>IF(AB$4=0,0,IF(COUNTIFS(実績!$W$6:$W$505,AB$3,実績!$AC$6:$AC$505,"&lt;="&amp;$A287,実績!$AD$6:$AD$505,"&gt;"&amp;$A287,実績!$AE$6:$AE$505,"○")&gt;0,1,0))</f>
        <v/>
      </c>
      <c r="AC287">
        <f>IF(AC$4=0,0,IF(COUNTIFS(実績!$W$6:$W$505,AC$3,実績!$AC$6:$AC$505,"&lt;="&amp;$A287,実績!$AD$6:$AD$505,"&gt;"&amp;$A287,実績!$AE$6:$AE$505,"○")&gt;0,1,0))</f>
        <v/>
      </c>
      <c r="AD287">
        <f>IF(AD$4=0,0,IF(COUNTIFS(実績!$W$6:$W$505,AD$3,実績!$AC$6:$AC$505,"&lt;="&amp;$A287,実績!$AD$6:$AD$505,"&gt;"&amp;$A287,実績!$AE$6:$AE$505,"○")&gt;0,1,0))</f>
        <v/>
      </c>
      <c r="AE287">
        <f>IF(AE$4=0,0,IF(COUNTIFS(実績!$W$6:$W$505,AE$3,実績!$AC$6:$AC$505,"&lt;="&amp;$A287,実績!$AD$6:$AD$505,"&gt;"&amp;$A287,実績!$AE$6:$AE$505,"○")&gt;0,1,0))</f>
        <v/>
      </c>
      <c r="AF287">
        <f>IF(AF$4=0,0,IF(COUNTIFS(実績!$W$6:$W$505,AF$3,実績!$AC$6:$AC$505,"&lt;="&amp;$A287,実績!$AD$6:$AD$505,"&gt;"&amp;$A287,実績!$AE$6:$AE$505,"○")&gt;0,1,0))</f>
        <v/>
      </c>
      <c r="AG287">
        <f>IF(AG$4=0,0,IF(COUNTIFS(実績!$W$6:$W$505,AG$3,実績!$AC$6:$AC$505,"&lt;="&amp;$A287,実績!$AD$6:$AD$505,"&gt;"&amp;$A287,実績!$AE$6:$AE$505,"○")&gt;0,1,0))</f>
        <v/>
      </c>
      <c r="AH287">
        <f>IF(AH$4=0,0,IF(COUNTIFS(実績!$W$6:$W$505,AH$3,実績!$AC$6:$AC$505,"&lt;="&amp;$A287,実績!$AD$6:$AD$505,"&gt;"&amp;$A287,実績!$AE$6:$AE$505,"○")&gt;0,1,0))</f>
        <v/>
      </c>
      <c r="AI287">
        <f>IF(AI$4=0,0,IF(COUNTIFS(実績!$W$6:$W$505,AI$3,実績!$AC$6:$AC$505,"&lt;="&amp;$A287,実績!$AD$6:$AD$505,"&gt;"&amp;$A287,実績!$AE$6:$AE$505,"○")&gt;0,1,0))</f>
        <v/>
      </c>
      <c r="AJ287">
        <f>IF(AJ$4=0,0,IF(COUNTIFS(実績!$W$6:$W$505,AJ$3,実績!$AC$6:$AC$505,"&lt;="&amp;$A287,実績!$AD$6:$AD$505,"&gt;"&amp;$A287,実績!$AE$6:$AE$505,"○")&gt;0,1,0))</f>
        <v/>
      </c>
      <c r="AK287">
        <f>IF(AK$4=0,0,IF(COUNTIFS(実績!$W$6:$W$505,AK$3,実績!$AC$6:$AC$505,"&lt;="&amp;$A287,実績!$AD$6:$AD$505,"&gt;"&amp;$A287,実績!$AE$6:$AE$505,"○")&gt;0,1,0))</f>
        <v/>
      </c>
      <c r="AL287">
        <f>IF(AL$4=0,0,IF(COUNTIFS(実績!$W$6:$W$505,AL$3,実績!$AC$6:$AC$505,"&lt;="&amp;$A287,実績!$AD$6:$AD$505,"&gt;"&amp;$A287,実績!$AE$6:$AE$505,"○")&gt;0,1,0))</f>
        <v/>
      </c>
      <c r="AM287">
        <f>IF(AM$4=0,0,IF(COUNTIFS(実績!$W$6:$W$505,AM$3,実績!$AC$6:$AC$505,"&lt;="&amp;$A287,実績!$AD$6:$AD$505,"&gt;"&amp;$A287,実績!$AE$6:$AE$505,"○")&gt;0,1,0))</f>
        <v/>
      </c>
      <c r="AN287">
        <f>IF(AN$4=0,0,IF(COUNTIFS(実績!$W$6:$W$505,AN$3,実績!$AC$6:$AC$505,"&lt;="&amp;$A287,実績!$AD$6:$AD$505,"&gt;"&amp;$A287,実績!$AE$6:$AE$505,"○")&gt;0,1,0))</f>
        <v/>
      </c>
      <c r="AO287">
        <f>IF(AO$4=0,0,IF(COUNTIFS(実績!$W$6:$W$505,AO$3,実績!$AC$6:$AC$505,"&lt;="&amp;$A287,実績!$AD$6:$AD$505,"&gt;"&amp;$A287,実績!$AE$6:$AE$505,"○")&gt;0,1,0))</f>
        <v/>
      </c>
      <c r="AP287">
        <f>IF(AP$4=0,0,IF(COUNTIFS(実績!$W$6:$W$505,AP$3,実績!$AC$6:$AC$505,"&lt;="&amp;$A287,実績!$AD$6:$AD$505,"&gt;"&amp;$A287,実績!$AE$6:$AE$505,"○")&gt;0,1,0))</f>
        <v/>
      </c>
      <c r="AQ287">
        <f>IF(AQ$4=0,0,IF(COUNTIFS(実績!$W$6:$W$505,AQ$3,実績!$AC$6:$AC$505,"&lt;="&amp;$A287,実績!$AD$6:$AD$505,"&gt;"&amp;$A287,実績!$AE$6:$AE$505,"○")&gt;0,1,0))</f>
        <v/>
      </c>
      <c r="AR287">
        <f>IF(AR$4=0,0,IF(COUNTIFS(実績!$W$6:$W$505,AR$3,実績!$AC$6:$AC$505,"&lt;="&amp;$A287,実績!$AD$6:$AD$505,"&gt;"&amp;$A287,実績!$AE$6:$AE$505,"○")&gt;0,1,0))</f>
        <v/>
      </c>
      <c r="AS287">
        <f>IF(AS$4=0,0,IF(COUNTIFS(実績!$W$6:$W$505,AS$3,実績!$AC$6:$AC$505,"&lt;="&amp;$A287,実績!$AD$6:$AD$505,"&gt;"&amp;$A287,実績!$AE$6:$AE$505,"○")&gt;0,1,0))</f>
        <v/>
      </c>
      <c r="AT287">
        <f>IF(AT$4=0,0,IF(COUNTIFS(実績!$W$6:$W$505,AT$3,実績!$AC$6:$AC$505,"&lt;="&amp;$A287,実績!$AD$6:$AD$505,"&gt;"&amp;$A287,実績!$AE$6:$AE$505,"○")&gt;0,1,0))</f>
        <v/>
      </c>
      <c r="AU287">
        <f>IF(AU$4=0,0,IF(COUNTIFS(実績!$W$6:$W$505,AU$3,実績!$AC$6:$AC$505,"&lt;="&amp;$A287,実績!$AD$6:$AD$505,"&gt;"&amp;$A287,実績!$AE$6:$AE$505,"○")&gt;0,1,0))</f>
        <v/>
      </c>
      <c r="AV287">
        <f>IF(AV$4=0,0,IF(COUNTIFS(実績!$W$6:$W$505,AV$3,実績!$AC$6:$AC$505,"&lt;="&amp;$A287,実績!$AD$6:$AD$505,"&gt;"&amp;$A287,実績!$AE$6:$AE$505,"○")&gt;0,1,0))</f>
        <v/>
      </c>
      <c r="AW287">
        <f>IF(AW$4=0,0,IF(COUNTIFS(実績!$W$6:$W$505,AW$3,実績!$AC$6:$AC$505,"&lt;="&amp;$A287,実績!$AD$6:$AD$505,"&gt;"&amp;$A287,実績!$AE$6:$AE$505,"○")&gt;0,1,0))</f>
        <v/>
      </c>
      <c r="AX287">
        <f>IF(AX$4=0,0,IF(COUNTIFS(実績!$W$6:$W$505,AX$3,実績!$AC$6:$AC$505,"&lt;="&amp;$A287,実績!$AD$6:$AD$505,"&gt;"&amp;$A287,実績!$AE$6:$AE$505,"○")&gt;0,1,0))</f>
        <v/>
      </c>
      <c r="AY287">
        <f>IF(AY$4=0,0,IF(COUNTIFS(実績!$W$6:$W$505,AY$3,実績!$AC$6:$AC$505,"&lt;="&amp;$A287,実績!$AD$6:$AD$505,"&gt;"&amp;$A287,実績!$AE$6:$AE$505,"○")&gt;0,1,0))</f>
        <v/>
      </c>
      <c r="AZ287">
        <f>IF(AZ$4=0,0,IF(COUNTIFS(実績!$W$6:$W$505,AZ$3,実績!$AC$6:$AC$505,"&lt;="&amp;$A287,実績!$AD$6:$AD$505,"&gt;"&amp;$A287,実績!$AE$6:$AE$505,"○")&gt;0,1,0))</f>
        <v/>
      </c>
      <c r="BA287">
        <f>IF(BA$4=0,0,IF(COUNTIFS(実績!$W$6:$W$505,BA$3,実績!$AC$6:$AC$505,"&lt;="&amp;$A287,実績!$AD$6:$AD$505,"&gt;"&amp;$A287,実績!$AE$6:$AE$505,"○")&gt;0,1,0))</f>
        <v/>
      </c>
      <c r="BB287">
        <f>IF(BB$4=0,0,IF(COUNTIFS(実績!$W$6:$W$505,BB$3,実績!$AC$6:$AC$505,"&lt;="&amp;$A287,実績!$AD$6:$AD$505,"&gt;"&amp;$A287,実績!$AE$6:$AE$505,"○")&gt;0,1,0))</f>
        <v/>
      </c>
      <c r="BC287">
        <f>IF(BC$4=0,0,IF(COUNTIFS(実績!$W$6:$W$505,BC$3,実績!$AC$6:$AC$505,"&lt;="&amp;$A287,実績!$AD$6:$AD$505,"&gt;"&amp;$A287,実績!$AE$6:$AE$505,"○")&gt;0,1,0))</f>
        <v/>
      </c>
      <c r="BD287">
        <f>IF(BD$4=0,0,IF(COUNTIFS(実績!$W$6:$W$505,BD$3,実績!$AC$6:$AC$505,"&lt;="&amp;$A287,実績!$AD$6:$AD$505,"&gt;"&amp;$A287,実績!$AE$6:$AE$505,"○")&gt;0,1,0))</f>
        <v/>
      </c>
      <c r="BE287">
        <f>IF(BE$4=0,0,IF(COUNTIFS(実績!$W$6:$W$505,BE$3,実績!$AC$6:$AC$505,"&lt;="&amp;$A287,実績!$AD$6:$AD$505,"&gt;"&amp;$A287,実績!$AE$6:$AE$505,"○")&gt;0,1,0))</f>
        <v/>
      </c>
      <c r="BF287">
        <f>IF(BF$4=0,0,IF(COUNTIFS(実績!$W$6:$W$505,BF$3,実績!$AC$6:$AC$505,"&lt;="&amp;$A287,実績!$AD$6:$AD$505,"&gt;"&amp;$A287,実績!$AE$6:$AE$505,"○")&gt;0,1,0))</f>
        <v/>
      </c>
      <c r="BG287">
        <f>IF(BG$4=0,0,IF(COUNTIFS(実績!$W$6:$W$505,BG$3,実績!$AC$6:$AC$505,"&lt;="&amp;$A287,実績!$AD$6:$AD$505,"&gt;"&amp;$A287,実績!$AE$6:$AE$505,"○")&gt;0,1,0))</f>
        <v/>
      </c>
      <c r="BH287">
        <f>IF(BH$4=0,0,IF(COUNTIFS(実績!$W$6:$W$505,BH$3,実績!$AC$6:$AC$505,"&lt;="&amp;$A287,実績!$AD$6:$AD$505,"&gt;"&amp;$A287,実績!$AE$6:$AE$505,"○")&gt;0,1,0))</f>
        <v/>
      </c>
      <c r="BI287">
        <f>IF(BI$4=0,0,IF(COUNTIFS(実績!$W$6:$W$505,BI$3,実績!$AC$6:$AC$505,"&lt;="&amp;$A287,実績!$AD$6:$AD$505,"&gt;"&amp;$A287,実績!$AE$6:$AE$505,"○")&gt;0,1,0))</f>
        <v/>
      </c>
      <c r="BJ287">
        <f>IF(BJ$4=0,0,IF(COUNTIFS(実績!$W$6:$W$505,BJ$3,実績!$AC$6:$AC$505,"&lt;="&amp;$A287,実績!$AD$6:$AD$505,"&gt;"&amp;$A287,実績!$AE$6:$AE$505,"○")&gt;0,1,0))</f>
        <v/>
      </c>
      <c r="BK287">
        <f>IF(BK$4=0,0,IF(COUNTIFS(実績!$W$6:$W$505,BK$3,実績!$AC$6:$AC$505,"&lt;="&amp;$A287,実績!$AD$6:$AD$505,"&gt;"&amp;$A287,実績!$AE$6:$AE$505,"○")&gt;0,1,0))</f>
        <v/>
      </c>
      <c r="BL287">
        <f>IF(BL$4=0,0,IF(COUNTIFS(実績!$W$6:$W$505,BL$3,実績!$AC$6:$AC$505,"&lt;="&amp;$A287,実績!$AD$6:$AD$505,"&gt;"&amp;$A287,実績!$AE$6:$AE$505,"○")&gt;0,1,0))</f>
        <v/>
      </c>
      <c r="BM287">
        <f>IF(BM$4=0,0,IF(COUNTIFS(実績!$W$6:$W$505,BM$3,実績!$AC$6:$AC$505,"&lt;="&amp;$A287,実績!$AD$6:$AD$505,"&gt;"&amp;$A287,実績!$AE$6:$AE$505,"○")&gt;0,1,0))</f>
        <v/>
      </c>
      <c r="BN287">
        <f>IF(BN$4=0,0,IF(COUNTIFS(実績!$W$6:$W$505,BN$3,実績!$AC$6:$AC$505,"&lt;="&amp;$A287,実績!$AD$6:$AD$505,"&gt;"&amp;$A287,実績!$AE$6:$AE$505,"○")&gt;0,1,0))</f>
        <v/>
      </c>
      <c r="BO287">
        <f>IF(BO$4=0,0,IF(COUNTIFS(実績!$W$6:$W$505,BO$3,実績!$AC$6:$AC$505,"&lt;="&amp;$A287,実績!$AD$6:$AD$505,"&gt;"&amp;$A287,実績!$AE$6:$AE$505,"○")&gt;0,1,0))</f>
        <v/>
      </c>
      <c r="BP287">
        <f>IF(BP$4=0,0,IF(COUNTIFS(実績!$W$6:$W$505,BP$3,実績!$AC$6:$AC$505,"&lt;="&amp;$A287,実績!$AD$6:$AD$505,"&gt;"&amp;$A287,実績!$AE$6:$AE$505,"○")&gt;0,1,0))</f>
        <v/>
      </c>
      <c r="BQ287">
        <f>IF(BQ$4=0,0,IF(COUNTIFS(実績!$W$6:$W$505,BQ$3,実績!$AC$6:$AC$505,"&lt;="&amp;$A287,実績!$AD$6:$AD$505,"&gt;"&amp;$A287,実績!$AE$6:$AE$505,"○")&gt;0,1,0))</f>
        <v/>
      </c>
      <c r="BR287">
        <f>IF(BR$4=0,0,IF(COUNTIFS(実績!$W$6:$W$505,BR$3,実績!$AC$6:$AC$505,"&lt;="&amp;$A287,実績!$AD$6:$AD$505,"&gt;"&amp;$A287,実績!$AE$6:$AE$505,"○")&gt;0,1,0))</f>
        <v/>
      </c>
      <c r="BS287">
        <f>IF(BS$4=0,0,IF(COUNTIFS(実績!$W$6:$W$505,BS$3,実績!$AC$6:$AC$505,"&lt;="&amp;$A287,実績!$AD$6:$AD$505,"&gt;"&amp;$A287,実績!$AE$6:$AE$505,"○")&gt;0,1,0))</f>
        <v/>
      </c>
      <c r="BT287">
        <f>IF(BT$4=0,0,IF(COUNTIFS(実績!$W$6:$W$505,BT$3,実績!$AC$6:$AC$505,"&lt;="&amp;$A287,実績!$AD$6:$AD$505,"&gt;"&amp;$A287,実績!$AE$6:$AE$505,"○")&gt;0,1,0))</f>
        <v/>
      </c>
      <c r="BU287">
        <f>IF(BU$4=0,0,IF(COUNTIFS(実績!$W$6:$W$505,BU$3,実績!$AC$6:$AC$505,"&lt;="&amp;$A287,実績!$AD$6:$AD$505,"&gt;"&amp;$A287,実績!$AE$6:$AE$505,"○")&gt;0,1,0))</f>
        <v/>
      </c>
      <c r="BV287">
        <f>IF(BV$4=0,0,IF(COUNTIFS(実績!$W$6:$W$505,BV$3,実績!$AC$6:$AC$505,"&lt;="&amp;$A287,実績!$AD$6:$AD$505,"&gt;"&amp;$A287,実績!$AE$6:$AE$505,"○")&gt;0,1,0))</f>
        <v/>
      </c>
      <c r="BW287">
        <f>IF(BW$4=0,0,IF(COUNTIFS(実績!$W$6:$W$505,BW$3,実績!$AC$6:$AC$505,"&lt;="&amp;$A287,実績!$AD$6:$AD$505,"&gt;"&amp;$A287,実績!$AE$6:$AE$505,"○")&gt;0,1,0))</f>
        <v/>
      </c>
      <c r="BX287">
        <f>IF(BX$4=0,0,IF(COUNTIFS(実績!$W$6:$W$505,BX$3,実績!$AC$6:$AC$505,"&lt;="&amp;$A287,実績!$AD$6:$AD$505,"&gt;"&amp;$A287,実績!$AE$6:$AE$505,"○")&gt;0,1,0))</f>
        <v/>
      </c>
      <c r="BY287">
        <f>IF(BY$4=0,0,IF(COUNTIFS(実績!$W$6:$W$505,BY$3,実績!$AC$6:$AC$505,"&lt;="&amp;$A287,実績!$AD$6:$AD$505,"&gt;"&amp;$A287,実績!$AE$6:$AE$505,"○")&gt;0,1,0))</f>
        <v/>
      </c>
      <c r="BZ287">
        <f>IF(BZ$4=0,0,IF(COUNTIFS(実績!$W$6:$W$505,BZ$3,実績!$AC$6:$AC$505,"&lt;="&amp;$A287,実績!$AD$6:$AD$505,"&gt;"&amp;$A287,実績!$AE$6:$AE$505,"○")&gt;0,1,0))</f>
        <v/>
      </c>
      <c r="CA287">
        <f>IF(CA$4=0,0,IF(COUNTIFS(実績!$W$6:$W$505,CA$3,実績!$AC$6:$AC$505,"&lt;="&amp;$A287,実績!$AD$6:$AD$505,"&gt;"&amp;$A287,実績!$AE$6:$AE$505,"○")&gt;0,1,0))</f>
        <v/>
      </c>
      <c r="CB287">
        <f>IF(CB$4=0,0,IF(COUNTIFS(実績!$W$6:$W$505,CB$3,実績!$AC$6:$AC$505,"&lt;="&amp;$A287,実績!$AD$6:$AD$505,"&gt;"&amp;$A287,実績!$AE$6:$AE$505,"○")&gt;0,1,0))</f>
        <v/>
      </c>
      <c r="CC287">
        <f>IF(CC$4=0,0,IF(COUNTIFS(実績!$W$6:$W$505,CC$3,実績!$AC$6:$AC$505,"&lt;="&amp;$A287,実績!$AD$6:$AD$505,"&gt;"&amp;$A287,実績!$AE$6:$AE$505,"○")&gt;0,1,0))</f>
        <v/>
      </c>
      <c r="CD287">
        <f>IF(CD$4=0,0,IF(COUNTIFS(実績!$W$6:$W$505,CD$3,実績!$AC$6:$AC$505,"&lt;="&amp;$A287,実績!$AD$6:$AD$505,"&gt;"&amp;$A287,実績!$AE$6:$AE$505,"○")&gt;0,1,0))</f>
        <v/>
      </c>
      <c r="CE287">
        <f>IF(CE$4=0,0,IF(COUNTIFS(実績!$W$6:$W$505,CE$3,実績!$AC$6:$AC$505,"&lt;="&amp;$A287,実績!$AD$6:$AD$505,"&gt;"&amp;$A287,実績!$AE$6:$AE$505,"○")&gt;0,1,0))</f>
        <v/>
      </c>
      <c r="CF287">
        <f>IF(CF$4=0,0,IF(COUNTIFS(実績!$W$6:$W$505,CF$3,実績!$AC$6:$AC$505,"&lt;="&amp;$A287,実績!$AD$6:$AD$505,"&gt;"&amp;$A287,実績!$AE$6:$AE$505,"○")&gt;0,1,0))</f>
        <v/>
      </c>
      <c r="CG287">
        <f>IF(CG$4=0,0,IF(COUNTIFS(実績!$W$6:$W$505,CG$3,実績!$AC$6:$AC$505,"&lt;="&amp;$A287,実績!$AD$6:$AD$505,"&gt;"&amp;$A287,実績!$AE$6:$AE$505,"○")&gt;0,1,0))</f>
        <v/>
      </c>
      <c r="CH287">
        <f>IF(CH$4=0,0,IF(COUNTIFS(実績!$W$6:$W$505,CH$3,実績!$AC$6:$AC$505,"&lt;="&amp;$A287,実績!$AD$6:$AD$505,"&gt;"&amp;$A287,実績!$AE$6:$AE$505,"○")&gt;0,1,0))</f>
        <v/>
      </c>
      <c r="CI287">
        <f>IF(CI$4=0,0,IF(COUNTIFS(実績!$W$6:$W$505,CI$3,実績!$AC$6:$AC$505,"&lt;="&amp;$A287,実績!$AD$6:$AD$505,"&gt;"&amp;$A287,実績!$AE$6:$AE$505,"○")&gt;0,1,0))</f>
        <v/>
      </c>
      <c r="CJ287">
        <f>IF(CJ$4=0,0,IF(COUNTIFS(実績!$W$6:$W$505,CJ$3,実績!$AC$6:$AC$505,"&lt;="&amp;$A287,実績!$AD$6:$AD$505,"&gt;"&amp;$A287,実績!$AE$6:$AE$505,"○")&gt;0,1,0))</f>
        <v/>
      </c>
      <c r="CK287">
        <f>IF(CK$4=0,0,IF(COUNTIFS(実績!$W$6:$W$505,CK$3,実績!$AC$6:$AC$505,"&lt;="&amp;$A287,実績!$AD$6:$AD$505,"&gt;"&amp;$A287,実績!$AE$6:$AE$505,"○")&gt;0,1,0))</f>
        <v/>
      </c>
      <c r="CL287">
        <f>IF(CL$4=0,0,IF(COUNTIFS(実績!$W$6:$W$505,CL$3,実績!$AC$6:$AC$505,"&lt;="&amp;$A287,実績!$AD$6:$AD$505,"&gt;"&amp;$A287,実績!$AE$6:$AE$505,"○")&gt;0,1,0))</f>
        <v/>
      </c>
      <c r="CM287">
        <f>IF(CM$4=0,0,IF(COUNTIFS(実績!$W$6:$W$505,CM$3,実績!$AC$6:$AC$505,"&lt;="&amp;$A287,実績!$AD$6:$AD$505,"&gt;"&amp;$A287,実績!$AE$6:$AE$505,"○")&gt;0,1,0))</f>
        <v/>
      </c>
      <c r="CN287">
        <f>IF(CN$4=0,0,IF(COUNTIFS(実績!$W$6:$W$505,CN$3,実績!$AC$6:$AC$505,"&lt;="&amp;$A287,実績!$AD$6:$AD$505,"&gt;"&amp;$A287,実績!$AE$6:$AE$505,"○")&gt;0,1,0))</f>
        <v/>
      </c>
      <c r="CO287">
        <f>IF(CO$4=0,0,IF(COUNTIFS(実績!$W$6:$W$505,CO$3,実績!$AC$6:$AC$505,"&lt;="&amp;$A287,実績!$AD$6:$AD$505,"&gt;"&amp;$A287,実績!$AE$6:$AE$505,"○")&gt;0,1,0))</f>
        <v/>
      </c>
      <c r="CP287">
        <f>IF(CP$4=0,0,IF(COUNTIFS(実績!$W$6:$W$505,CP$3,実績!$AC$6:$AC$505,"&lt;="&amp;$A287,実績!$AD$6:$AD$505,"&gt;"&amp;$A287,実績!$AE$6:$AE$505,"○")&gt;0,1,0))</f>
        <v/>
      </c>
      <c r="CQ287">
        <f>IF(CQ$4=0,0,IF(COUNTIFS(実績!$W$6:$W$505,CQ$3,実績!$AC$6:$AC$505,"&lt;="&amp;$A287,実績!$AD$6:$AD$505,"&gt;"&amp;$A287,実績!$AE$6:$AE$505,"○")&gt;0,1,0))</f>
        <v/>
      </c>
      <c r="CR287">
        <f>IF(CR$4=0,0,IF(COUNTIFS(実績!$W$6:$W$505,CR$3,実績!$AC$6:$AC$505,"&lt;="&amp;$A287,実績!$AD$6:$AD$505,"&gt;"&amp;$A287,実績!$AE$6:$AE$505,"○")&gt;0,1,0))</f>
        <v/>
      </c>
      <c r="CS287">
        <f>IF(CS$4=0,0,IF(COUNTIFS(実績!$W$6:$W$505,CS$3,実績!$AC$6:$AC$505,"&lt;="&amp;$A287,実績!$AD$6:$AD$505,"&gt;"&amp;$A287,実績!$AE$6:$AE$505,"○")&gt;0,1,0))</f>
        <v/>
      </c>
      <c r="CT287">
        <f>IF(CT$4=0,0,IF(COUNTIFS(実績!$W$6:$W$505,CT$3,実績!$AC$6:$AC$505,"&lt;="&amp;$A287,実績!$AD$6:$AD$505,"&gt;"&amp;$A287,実績!$AE$6:$AE$505,"○")&gt;0,1,0))</f>
        <v/>
      </c>
      <c r="CU287">
        <f>IF(CU$4=0,0,IF(COUNTIFS(実績!$W$6:$W$505,CU$3,実績!$AC$6:$AC$505,"&lt;="&amp;$A287,実績!$AD$6:$AD$505,"&gt;"&amp;$A287,実績!$AE$6:$AE$505,"○")&gt;0,1,0))</f>
        <v/>
      </c>
      <c r="CV287">
        <f>IF(CV$4=0,0,IF(COUNTIFS(実績!$W$6:$W$505,CV$3,実績!$AC$6:$AC$505,"&lt;="&amp;$A287,実績!$AD$6:$AD$505,"&gt;"&amp;$A287,実績!$AE$6:$AE$505,"○")&gt;0,1,0))</f>
        <v/>
      </c>
      <c r="CW287">
        <f>IF(CW$4=0,0,IF(COUNTIFS(実績!$W$6:$W$505,CW$3,実績!$AC$6:$AC$505,"&lt;="&amp;$A287,実績!$AD$6:$AD$505,"&gt;"&amp;$A287,実績!$AE$6:$AE$505,"○")&gt;0,1,0))</f>
        <v/>
      </c>
      <c r="CX287">
        <f>IF(CX$4=0,0,IF(COUNTIFS(実績!$W$6:$W$505,CX$3,実績!$AC$6:$AC$505,"&lt;="&amp;$A287,実績!$AD$6:$AD$505,"&gt;"&amp;$A287,実績!$AE$6:$AE$505,"○")&gt;0,1,0))</f>
        <v/>
      </c>
      <c r="CY287">
        <f>IF(CY$4=0,0,IF(COUNTIFS(実績!$W$6:$W$505,CY$3,実績!$AC$6:$AC$505,"&lt;="&amp;$A287,実績!$AD$6:$AD$505,"&gt;"&amp;$A287,実績!$AE$6:$AE$505,"○")&gt;0,1,0))</f>
        <v/>
      </c>
      <c r="CZ287">
        <f>IF(CZ$4=0,0,IF(COUNTIFS(実績!$W$6:$W$505,CZ$3,実績!$AC$6:$AC$505,"&lt;="&amp;$A287,実績!$AD$6:$AD$505,"&gt;"&amp;$A287,実績!$AE$6:$AE$505,"○")&gt;0,1,0))</f>
        <v/>
      </c>
      <c r="DA287">
        <f>IF(DA$4=0,0,IF(COUNTIFS(実績!$W$6:$W$505,DA$3,実績!$AC$6:$AC$505,"&lt;="&amp;$A287,実績!$AD$6:$AD$505,"&gt;"&amp;$A287,実績!$AE$6:$AE$505,"○")&gt;0,1,0))</f>
        <v/>
      </c>
      <c r="DB287">
        <f>IF(DB$4=0,0,IF(COUNTIFS(実績!$W$6:$W$505,DB$3,実績!$AC$6:$AC$505,"&lt;="&amp;$A287,実績!$AD$6:$AD$505,"&gt;"&amp;$A287,実績!$AE$6:$AE$505,"○")&gt;0,1,0))</f>
        <v/>
      </c>
      <c r="DC287">
        <f>IF(DC$4=0,0,IF(COUNTIFS(実績!$W$6:$W$505,DC$3,実績!$AC$6:$AC$505,"&lt;="&amp;$A287,実績!$AD$6:$AD$505,"&gt;"&amp;$A287,実績!$AE$6:$AE$505,"○")&gt;0,1,0))</f>
        <v/>
      </c>
      <c r="DD287">
        <f>IF(DD$4=0,0,IF(COUNTIFS(実績!$W$6:$W$505,DD$3,実績!$AC$6:$AC$505,"&lt;="&amp;$A287,実績!$AD$6:$AD$505,"&gt;"&amp;$A287,実績!$AE$6:$AE$505,"○")&gt;0,1,0))</f>
        <v/>
      </c>
      <c r="DE287">
        <f>IF(DE$4=0,0,IF(COUNTIFS(実績!$W$6:$W$505,DE$3,実績!$AC$6:$AC$505,"&lt;="&amp;$A287,実績!$AD$6:$AD$505,"&gt;"&amp;$A287,実績!$AE$6:$AE$505,"○")&gt;0,1,0))</f>
        <v/>
      </c>
      <c r="DF287">
        <f>IF(DF$4=0,0,IF(COUNTIFS(実績!$W$6:$W$505,DF$3,実績!$AC$6:$AC$505,"&lt;="&amp;$A287,実績!$AD$6:$AD$505,"&gt;"&amp;$A287,実績!$AE$6:$AE$505,"○")&gt;0,1,0))</f>
        <v/>
      </c>
      <c r="DG287">
        <f>IF(DG$4=0,0,IF(COUNTIFS(実績!$W$6:$W$505,DG$3,実績!$AC$6:$AC$505,"&lt;="&amp;$A287,実績!$AD$6:$AD$505,"&gt;"&amp;$A287,実績!$AE$6:$AE$505,"○")&gt;0,1,0))</f>
        <v/>
      </c>
      <c r="DH287">
        <f>IF(DH$4=0,0,IF(COUNTIFS(実績!$W$6:$W$505,DH$3,実績!$AC$6:$AC$505,"&lt;="&amp;$A287,実績!$AD$6:$AD$505,"&gt;"&amp;$A287,実績!$AE$6:$AE$505,"○")&gt;0,1,0))</f>
        <v/>
      </c>
      <c r="DI287">
        <f>IF(DI$4=0,0,IF(COUNTIFS(実績!$W$6:$W$505,DI$3,実績!$AC$6:$AC$505,"&lt;="&amp;$A287,実績!$AD$6:$AD$505,"&gt;"&amp;$A287,実績!$AE$6:$AE$505,"○")&gt;0,1,0))</f>
        <v/>
      </c>
      <c r="DJ287">
        <f>IF(DJ$4=0,0,IF(COUNTIFS(実績!$W$6:$W$505,DJ$3,実績!$AC$6:$AC$505,"&lt;="&amp;$A287,実績!$AD$6:$AD$505,"&gt;"&amp;$A287,実績!$AE$6:$AE$505,"○")&gt;0,1,0))</f>
        <v/>
      </c>
      <c r="DK287">
        <f>IF(DK$4=0,0,IF(COUNTIFS(実績!$W$6:$W$505,DK$3,実績!$AC$6:$AC$505,"&lt;="&amp;$A287,実績!$AD$6:$AD$505,"&gt;"&amp;$A287,実績!$AE$6:$AE$505,"○")&gt;0,1,0))</f>
        <v/>
      </c>
      <c r="DL287">
        <f>IF(DL$4=0,0,IF(COUNTIFS(実績!$W$6:$W$505,DL$3,実績!$AC$6:$AC$505,"&lt;="&amp;$A287,実績!$AD$6:$AD$505,"&gt;"&amp;$A287,実績!$AE$6:$AE$505,"○")&gt;0,1,0))</f>
        <v/>
      </c>
      <c r="DM287">
        <f>IF(DM$4=0,0,IF(COUNTIFS(実績!$W$6:$W$505,DM$3,実績!$AC$6:$AC$505,"&lt;="&amp;$A287,実績!$AD$6:$AD$505,"&gt;"&amp;$A287,実績!$AE$6:$AE$505,"○")&gt;0,1,0))</f>
        <v/>
      </c>
      <c r="DN287">
        <f>IF(DN$4=0,0,IF(COUNTIFS(実績!$W$6:$W$505,DN$3,実績!$AC$6:$AC$505,"&lt;="&amp;$A287,実績!$AD$6:$AD$505,"&gt;"&amp;$A287,実績!$AE$6:$AE$505,"○")&gt;0,1,0))</f>
        <v/>
      </c>
      <c r="DO287">
        <f>IF(DO$4=0,0,IF(COUNTIFS(実績!$W$6:$W$505,DO$3,実績!$AC$6:$AC$505,"&lt;="&amp;$A287,実績!$AD$6:$AD$505,"&gt;"&amp;$A287,実績!$AE$6:$AE$505,"○")&gt;0,1,0))</f>
        <v/>
      </c>
      <c r="DP287">
        <f>IF(DP$4=0,0,IF(COUNTIFS(実績!$W$6:$W$505,DP$3,実績!$AC$6:$AC$505,"&lt;="&amp;$A287,実績!$AD$6:$AD$505,"&gt;"&amp;$A287,実績!$AE$6:$AE$505,"○")&gt;0,1,0))</f>
        <v/>
      </c>
      <c r="DQ287">
        <f>IF(DQ$4=0,0,IF(COUNTIFS(実績!$W$6:$W$505,DQ$3,実績!$AC$6:$AC$505,"&lt;="&amp;$A287,実績!$AD$6:$AD$505,"&gt;"&amp;$A287,実績!$AE$6:$AE$505,"○")&gt;0,1,0))</f>
        <v/>
      </c>
      <c r="DR287">
        <f>IF(DR$4=0,0,IF(COUNTIFS(実績!$W$6:$W$505,DR$3,実績!$AC$6:$AC$505,"&lt;="&amp;$A287,実績!$AD$6:$AD$505,"&gt;"&amp;$A287,実績!$AE$6:$AE$505,"○")&gt;0,1,0))</f>
        <v/>
      </c>
      <c r="DS287">
        <f>SUM(C287:DR287)</f>
        <v/>
      </c>
      <c r="DT287">
        <f>SUMPRODUCT((実績!$C$6:$C$505="○")*ISNUMBER(実績!$AF$6:$AF$505)*(実績!$AF$6:$AF$505&lt;=$A287)*(実績!$AG$6:$AG$505&gt;$A287))</f>
        <v/>
      </c>
      <c r="DU287">
        <f>SUMIF($C$2:$DR$2,"製鉄曳船",C287:DR287)</f>
        <v/>
      </c>
      <c r="DV287">
        <f>SUMIF($C$2:$DR$2,"西日本海運",C287:DR287)</f>
        <v/>
      </c>
    </row>
    <row r="288">
      <c r="A288" t="n">
        <v>1410</v>
      </c>
      <c r="B288" s="29">
        <f>A288/1440</f>
        <v/>
      </c>
      <c r="C288">
        <f>IF(C$4=0,0,IF(COUNTIFS(実績!$W$6:$W$505,C$3,実績!$AC$6:$AC$505,"&lt;="&amp;$A288,実績!$AD$6:$AD$505,"&gt;"&amp;$A288,実績!$AE$6:$AE$505,"○")&gt;0,1,0))</f>
        <v/>
      </c>
      <c r="D288">
        <f>IF(D$4=0,0,IF(COUNTIFS(実績!$W$6:$W$505,D$3,実績!$AC$6:$AC$505,"&lt;="&amp;$A288,実績!$AD$6:$AD$505,"&gt;"&amp;$A288,実績!$AE$6:$AE$505,"○")&gt;0,1,0))</f>
        <v/>
      </c>
      <c r="E288">
        <f>IF(E$4=0,0,IF(COUNTIFS(実績!$W$6:$W$505,E$3,実績!$AC$6:$AC$505,"&lt;="&amp;$A288,実績!$AD$6:$AD$505,"&gt;"&amp;$A288,実績!$AE$6:$AE$505,"○")&gt;0,1,0))</f>
        <v/>
      </c>
      <c r="F288">
        <f>IF(F$4=0,0,IF(COUNTIFS(実績!$W$6:$W$505,F$3,実績!$AC$6:$AC$505,"&lt;="&amp;$A288,実績!$AD$6:$AD$505,"&gt;"&amp;$A288,実績!$AE$6:$AE$505,"○")&gt;0,1,0))</f>
        <v/>
      </c>
      <c r="G288">
        <f>IF(G$4=0,0,IF(COUNTIFS(実績!$W$6:$W$505,G$3,実績!$AC$6:$AC$505,"&lt;="&amp;$A288,実績!$AD$6:$AD$505,"&gt;"&amp;$A288,実績!$AE$6:$AE$505,"○")&gt;0,1,0))</f>
        <v/>
      </c>
      <c r="H288">
        <f>IF(H$4=0,0,IF(COUNTIFS(実績!$W$6:$W$505,H$3,実績!$AC$6:$AC$505,"&lt;="&amp;$A288,実績!$AD$6:$AD$505,"&gt;"&amp;$A288,実績!$AE$6:$AE$505,"○")&gt;0,1,0))</f>
        <v/>
      </c>
      <c r="I288">
        <f>IF(I$4=0,0,IF(COUNTIFS(実績!$W$6:$W$505,I$3,実績!$AC$6:$AC$505,"&lt;="&amp;$A288,実績!$AD$6:$AD$505,"&gt;"&amp;$A288,実績!$AE$6:$AE$505,"○")&gt;0,1,0))</f>
        <v/>
      </c>
      <c r="J288">
        <f>IF(J$4=0,0,IF(COUNTIFS(実績!$W$6:$W$505,J$3,実績!$AC$6:$AC$505,"&lt;="&amp;$A288,実績!$AD$6:$AD$505,"&gt;"&amp;$A288,実績!$AE$6:$AE$505,"○")&gt;0,1,0))</f>
        <v/>
      </c>
      <c r="K288">
        <f>IF(K$4=0,0,IF(COUNTIFS(実績!$W$6:$W$505,K$3,実績!$AC$6:$AC$505,"&lt;="&amp;$A288,実績!$AD$6:$AD$505,"&gt;"&amp;$A288,実績!$AE$6:$AE$505,"○")&gt;0,1,0))</f>
        <v/>
      </c>
      <c r="L288">
        <f>IF(L$4=0,0,IF(COUNTIFS(実績!$W$6:$W$505,L$3,実績!$AC$6:$AC$505,"&lt;="&amp;$A288,実績!$AD$6:$AD$505,"&gt;"&amp;$A288,実績!$AE$6:$AE$505,"○")&gt;0,1,0))</f>
        <v/>
      </c>
      <c r="M288">
        <f>IF(M$4=0,0,IF(COUNTIFS(実績!$W$6:$W$505,M$3,実績!$AC$6:$AC$505,"&lt;="&amp;$A288,実績!$AD$6:$AD$505,"&gt;"&amp;$A288,実績!$AE$6:$AE$505,"○")&gt;0,1,0))</f>
        <v/>
      </c>
      <c r="N288">
        <f>IF(N$4=0,0,IF(COUNTIFS(実績!$W$6:$W$505,N$3,実績!$AC$6:$AC$505,"&lt;="&amp;$A288,実績!$AD$6:$AD$505,"&gt;"&amp;$A288,実績!$AE$6:$AE$505,"○")&gt;0,1,0))</f>
        <v/>
      </c>
      <c r="O288">
        <f>IF(O$4=0,0,IF(COUNTIFS(実績!$W$6:$W$505,O$3,実績!$AC$6:$AC$505,"&lt;="&amp;$A288,実績!$AD$6:$AD$505,"&gt;"&amp;$A288,実績!$AE$6:$AE$505,"○")&gt;0,1,0))</f>
        <v/>
      </c>
      <c r="P288">
        <f>IF(P$4=0,0,IF(COUNTIFS(実績!$W$6:$W$505,P$3,実績!$AC$6:$AC$505,"&lt;="&amp;$A288,実績!$AD$6:$AD$505,"&gt;"&amp;$A288,実績!$AE$6:$AE$505,"○")&gt;0,1,0))</f>
        <v/>
      </c>
      <c r="Q288">
        <f>IF(Q$4=0,0,IF(COUNTIFS(実績!$W$6:$W$505,Q$3,実績!$AC$6:$AC$505,"&lt;="&amp;$A288,実績!$AD$6:$AD$505,"&gt;"&amp;$A288,実績!$AE$6:$AE$505,"○")&gt;0,1,0))</f>
        <v/>
      </c>
      <c r="R288">
        <f>IF(R$4=0,0,IF(COUNTIFS(実績!$W$6:$W$505,R$3,実績!$AC$6:$AC$505,"&lt;="&amp;$A288,実績!$AD$6:$AD$505,"&gt;"&amp;$A288,実績!$AE$6:$AE$505,"○")&gt;0,1,0))</f>
        <v/>
      </c>
      <c r="S288">
        <f>IF(S$4=0,0,IF(COUNTIFS(実績!$W$6:$W$505,S$3,実績!$AC$6:$AC$505,"&lt;="&amp;$A288,実績!$AD$6:$AD$505,"&gt;"&amp;$A288,実績!$AE$6:$AE$505,"○")&gt;0,1,0))</f>
        <v/>
      </c>
      <c r="T288">
        <f>IF(T$4=0,0,IF(COUNTIFS(実績!$W$6:$W$505,T$3,実績!$AC$6:$AC$505,"&lt;="&amp;$A288,実績!$AD$6:$AD$505,"&gt;"&amp;$A288,実績!$AE$6:$AE$505,"○")&gt;0,1,0))</f>
        <v/>
      </c>
      <c r="U288">
        <f>IF(U$4=0,0,IF(COUNTIFS(実績!$W$6:$W$505,U$3,実績!$AC$6:$AC$505,"&lt;="&amp;$A288,実績!$AD$6:$AD$505,"&gt;"&amp;$A288,実績!$AE$6:$AE$505,"○")&gt;0,1,0))</f>
        <v/>
      </c>
      <c r="V288">
        <f>IF(V$4=0,0,IF(COUNTIFS(実績!$W$6:$W$505,V$3,実績!$AC$6:$AC$505,"&lt;="&amp;$A288,実績!$AD$6:$AD$505,"&gt;"&amp;$A288,実績!$AE$6:$AE$505,"○")&gt;0,1,0))</f>
        <v/>
      </c>
      <c r="W288">
        <f>IF(W$4=0,0,IF(COUNTIFS(実績!$W$6:$W$505,W$3,実績!$AC$6:$AC$505,"&lt;="&amp;$A288,実績!$AD$6:$AD$505,"&gt;"&amp;$A288,実績!$AE$6:$AE$505,"○")&gt;0,1,0))</f>
        <v/>
      </c>
      <c r="X288">
        <f>IF(X$4=0,0,IF(COUNTIFS(実績!$W$6:$W$505,X$3,実績!$AC$6:$AC$505,"&lt;="&amp;$A288,実績!$AD$6:$AD$505,"&gt;"&amp;$A288,実績!$AE$6:$AE$505,"○")&gt;0,1,0))</f>
        <v/>
      </c>
      <c r="Y288">
        <f>IF(Y$4=0,0,IF(COUNTIFS(実績!$W$6:$W$505,Y$3,実績!$AC$6:$AC$505,"&lt;="&amp;$A288,実績!$AD$6:$AD$505,"&gt;"&amp;$A288,実績!$AE$6:$AE$505,"○")&gt;0,1,0))</f>
        <v/>
      </c>
      <c r="Z288">
        <f>IF(Z$4=0,0,IF(COUNTIFS(実績!$W$6:$W$505,Z$3,実績!$AC$6:$AC$505,"&lt;="&amp;$A288,実績!$AD$6:$AD$505,"&gt;"&amp;$A288,実績!$AE$6:$AE$505,"○")&gt;0,1,0))</f>
        <v/>
      </c>
      <c r="AA288">
        <f>IF(AA$4=0,0,IF(COUNTIFS(実績!$W$6:$W$505,AA$3,実績!$AC$6:$AC$505,"&lt;="&amp;$A288,実績!$AD$6:$AD$505,"&gt;"&amp;$A288,実績!$AE$6:$AE$505,"○")&gt;0,1,0))</f>
        <v/>
      </c>
      <c r="AB288">
        <f>IF(AB$4=0,0,IF(COUNTIFS(実績!$W$6:$W$505,AB$3,実績!$AC$6:$AC$505,"&lt;="&amp;$A288,実績!$AD$6:$AD$505,"&gt;"&amp;$A288,実績!$AE$6:$AE$505,"○")&gt;0,1,0))</f>
        <v/>
      </c>
      <c r="AC288">
        <f>IF(AC$4=0,0,IF(COUNTIFS(実績!$W$6:$W$505,AC$3,実績!$AC$6:$AC$505,"&lt;="&amp;$A288,実績!$AD$6:$AD$505,"&gt;"&amp;$A288,実績!$AE$6:$AE$505,"○")&gt;0,1,0))</f>
        <v/>
      </c>
      <c r="AD288">
        <f>IF(AD$4=0,0,IF(COUNTIFS(実績!$W$6:$W$505,AD$3,実績!$AC$6:$AC$505,"&lt;="&amp;$A288,実績!$AD$6:$AD$505,"&gt;"&amp;$A288,実績!$AE$6:$AE$505,"○")&gt;0,1,0))</f>
        <v/>
      </c>
      <c r="AE288">
        <f>IF(AE$4=0,0,IF(COUNTIFS(実績!$W$6:$W$505,AE$3,実績!$AC$6:$AC$505,"&lt;="&amp;$A288,実績!$AD$6:$AD$505,"&gt;"&amp;$A288,実績!$AE$6:$AE$505,"○")&gt;0,1,0))</f>
        <v/>
      </c>
      <c r="AF288">
        <f>IF(AF$4=0,0,IF(COUNTIFS(実績!$W$6:$W$505,AF$3,実績!$AC$6:$AC$505,"&lt;="&amp;$A288,実績!$AD$6:$AD$505,"&gt;"&amp;$A288,実績!$AE$6:$AE$505,"○")&gt;0,1,0))</f>
        <v/>
      </c>
      <c r="AG288">
        <f>IF(AG$4=0,0,IF(COUNTIFS(実績!$W$6:$W$505,AG$3,実績!$AC$6:$AC$505,"&lt;="&amp;$A288,実績!$AD$6:$AD$505,"&gt;"&amp;$A288,実績!$AE$6:$AE$505,"○")&gt;0,1,0))</f>
        <v/>
      </c>
      <c r="AH288">
        <f>IF(AH$4=0,0,IF(COUNTIFS(実績!$W$6:$W$505,AH$3,実績!$AC$6:$AC$505,"&lt;="&amp;$A288,実績!$AD$6:$AD$505,"&gt;"&amp;$A288,実績!$AE$6:$AE$505,"○")&gt;0,1,0))</f>
        <v/>
      </c>
      <c r="AI288">
        <f>IF(AI$4=0,0,IF(COUNTIFS(実績!$W$6:$W$505,AI$3,実績!$AC$6:$AC$505,"&lt;="&amp;$A288,実績!$AD$6:$AD$505,"&gt;"&amp;$A288,実績!$AE$6:$AE$505,"○")&gt;0,1,0))</f>
        <v/>
      </c>
      <c r="AJ288">
        <f>IF(AJ$4=0,0,IF(COUNTIFS(実績!$W$6:$W$505,AJ$3,実績!$AC$6:$AC$505,"&lt;="&amp;$A288,実績!$AD$6:$AD$505,"&gt;"&amp;$A288,実績!$AE$6:$AE$505,"○")&gt;0,1,0))</f>
        <v/>
      </c>
      <c r="AK288">
        <f>IF(AK$4=0,0,IF(COUNTIFS(実績!$W$6:$W$505,AK$3,実績!$AC$6:$AC$505,"&lt;="&amp;$A288,実績!$AD$6:$AD$505,"&gt;"&amp;$A288,実績!$AE$6:$AE$505,"○")&gt;0,1,0))</f>
        <v/>
      </c>
      <c r="AL288">
        <f>IF(AL$4=0,0,IF(COUNTIFS(実績!$W$6:$W$505,AL$3,実績!$AC$6:$AC$505,"&lt;="&amp;$A288,実績!$AD$6:$AD$505,"&gt;"&amp;$A288,実績!$AE$6:$AE$505,"○")&gt;0,1,0))</f>
        <v/>
      </c>
      <c r="AM288">
        <f>IF(AM$4=0,0,IF(COUNTIFS(実績!$W$6:$W$505,AM$3,実績!$AC$6:$AC$505,"&lt;="&amp;$A288,実績!$AD$6:$AD$505,"&gt;"&amp;$A288,実績!$AE$6:$AE$505,"○")&gt;0,1,0))</f>
        <v/>
      </c>
      <c r="AN288">
        <f>IF(AN$4=0,0,IF(COUNTIFS(実績!$W$6:$W$505,AN$3,実績!$AC$6:$AC$505,"&lt;="&amp;$A288,実績!$AD$6:$AD$505,"&gt;"&amp;$A288,実績!$AE$6:$AE$505,"○")&gt;0,1,0))</f>
        <v/>
      </c>
      <c r="AO288">
        <f>IF(AO$4=0,0,IF(COUNTIFS(実績!$W$6:$W$505,AO$3,実績!$AC$6:$AC$505,"&lt;="&amp;$A288,実績!$AD$6:$AD$505,"&gt;"&amp;$A288,実績!$AE$6:$AE$505,"○")&gt;0,1,0))</f>
        <v/>
      </c>
      <c r="AP288">
        <f>IF(AP$4=0,0,IF(COUNTIFS(実績!$W$6:$W$505,AP$3,実績!$AC$6:$AC$505,"&lt;="&amp;$A288,実績!$AD$6:$AD$505,"&gt;"&amp;$A288,実績!$AE$6:$AE$505,"○")&gt;0,1,0))</f>
        <v/>
      </c>
      <c r="AQ288">
        <f>IF(AQ$4=0,0,IF(COUNTIFS(実績!$W$6:$W$505,AQ$3,実績!$AC$6:$AC$505,"&lt;="&amp;$A288,実績!$AD$6:$AD$505,"&gt;"&amp;$A288,実績!$AE$6:$AE$505,"○")&gt;0,1,0))</f>
        <v/>
      </c>
      <c r="AR288">
        <f>IF(AR$4=0,0,IF(COUNTIFS(実績!$W$6:$W$505,AR$3,実績!$AC$6:$AC$505,"&lt;="&amp;$A288,実績!$AD$6:$AD$505,"&gt;"&amp;$A288,実績!$AE$6:$AE$505,"○")&gt;0,1,0))</f>
        <v/>
      </c>
      <c r="AS288">
        <f>IF(AS$4=0,0,IF(COUNTIFS(実績!$W$6:$W$505,AS$3,実績!$AC$6:$AC$505,"&lt;="&amp;$A288,実績!$AD$6:$AD$505,"&gt;"&amp;$A288,実績!$AE$6:$AE$505,"○")&gt;0,1,0))</f>
        <v/>
      </c>
      <c r="AT288">
        <f>IF(AT$4=0,0,IF(COUNTIFS(実績!$W$6:$W$505,AT$3,実績!$AC$6:$AC$505,"&lt;="&amp;$A288,実績!$AD$6:$AD$505,"&gt;"&amp;$A288,実績!$AE$6:$AE$505,"○")&gt;0,1,0))</f>
        <v/>
      </c>
      <c r="AU288">
        <f>IF(AU$4=0,0,IF(COUNTIFS(実績!$W$6:$W$505,AU$3,実績!$AC$6:$AC$505,"&lt;="&amp;$A288,実績!$AD$6:$AD$505,"&gt;"&amp;$A288,実績!$AE$6:$AE$505,"○")&gt;0,1,0))</f>
        <v/>
      </c>
      <c r="AV288">
        <f>IF(AV$4=0,0,IF(COUNTIFS(実績!$W$6:$W$505,AV$3,実績!$AC$6:$AC$505,"&lt;="&amp;$A288,実績!$AD$6:$AD$505,"&gt;"&amp;$A288,実績!$AE$6:$AE$505,"○")&gt;0,1,0))</f>
        <v/>
      </c>
      <c r="AW288">
        <f>IF(AW$4=0,0,IF(COUNTIFS(実績!$W$6:$W$505,AW$3,実績!$AC$6:$AC$505,"&lt;="&amp;$A288,実績!$AD$6:$AD$505,"&gt;"&amp;$A288,実績!$AE$6:$AE$505,"○")&gt;0,1,0))</f>
        <v/>
      </c>
      <c r="AX288">
        <f>IF(AX$4=0,0,IF(COUNTIFS(実績!$W$6:$W$505,AX$3,実績!$AC$6:$AC$505,"&lt;="&amp;$A288,実績!$AD$6:$AD$505,"&gt;"&amp;$A288,実績!$AE$6:$AE$505,"○")&gt;0,1,0))</f>
        <v/>
      </c>
      <c r="AY288">
        <f>IF(AY$4=0,0,IF(COUNTIFS(実績!$W$6:$W$505,AY$3,実績!$AC$6:$AC$505,"&lt;="&amp;$A288,実績!$AD$6:$AD$505,"&gt;"&amp;$A288,実績!$AE$6:$AE$505,"○")&gt;0,1,0))</f>
        <v/>
      </c>
      <c r="AZ288">
        <f>IF(AZ$4=0,0,IF(COUNTIFS(実績!$W$6:$W$505,AZ$3,実績!$AC$6:$AC$505,"&lt;="&amp;$A288,実績!$AD$6:$AD$505,"&gt;"&amp;$A288,実績!$AE$6:$AE$505,"○")&gt;0,1,0))</f>
        <v/>
      </c>
      <c r="BA288">
        <f>IF(BA$4=0,0,IF(COUNTIFS(実績!$W$6:$W$505,BA$3,実績!$AC$6:$AC$505,"&lt;="&amp;$A288,実績!$AD$6:$AD$505,"&gt;"&amp;$A288,実績!$AE$6:$AE$505,"○")&gt;0,1,0))</f>
        <v/>
      </c>
      <c r="BB288">
        <f>IF(BB$4=0,0,IF(COUNTIFS(実績!$W$6:$W$505,BB$3,実績!$AC$6:$AC$505,"&lt;="&amp;$A288,実績!$AD$6:$AD$505,"&gt;"&amp;$A288,実績!$AE$6:$AE$505,"○")&gt;0,1,0))</f>
        <v/>
      </c>
      <c r="BC288">
        <f>IF(BC$4=0,0,IF(COUNTIFS(実績!$W$6:$W$505,BC$3,実績!$AC$6:$AC$505,"&lt;="&amp;$A288,実績!$AD$6:$AD$505,"&gt;"&amp;$A288,実績!$AE$6:$AE$505,"○")&gt;0,1,0))</f>
        <v/>
      </c>
      <c r="BD288">
        <f>IF(BD$4=0,0,IF(COUNTIFS(実績!$W$6:$W$505,BD$3,実績!$AC$6:$AC$505,"&lt;="&amp;$A288,実績!$AD$6:$AD$505,"&gt;"&amp;$A288,実績!$AE$6:$AE$505,"○")&gt;0,1,0))</f>
        <v/>
      </c>
      <c r="BE288">
        <f>IF(BE$4=0,0,IF(COUNTIFS(実績!$W$6:$W$505,BE$3,実績!$AC$6:$AC$505,"&lt;="&amp;$A288,実績!$AD$6:$AD$505,"&gt;"&amp;$A288,実績!$AE$6:$AE$505,"○")&gt;0,1,0))</f>
        <v/>
      </c>
      <c r="BF288">
        <f>IF(BF$4=0,0,IF(COUNTIFS(実績!$W$6:$W$505,BF$3,実績!$AC$6:$AC$505,"&lt;="&amp;$A288,実績!$AD$6:$AD$505,"&gt;"&amp;$A288,実績!$AE$6:$AE$505,"○")&gt;0,1,0))</f>
        <v/>
      </c>
      <c r="BG288">
        <f>IF(BG$4=0,0,IF(COUNTIFS(実績!$W$6:$W$505,BG$3,実績!$AC$6:$AC$505,"&lt;="&amp;$A288,実績!$AD$6:$AD$505,"&gt;"&amp;$A288,実績!$AE$6:$AE$505,"○")&gt;0,1,0))</f>
        <v/>
      </c>
      <c r="BH288">
        <f>IF(BH$4=0,0,IF(COUNTIFS(実績!$W$6:$W$505,BH$3,実績!$AC$6:$AC$505,"&lt;="&amp;$A288,実績!$AD$6:$AD$505,"&gt;"&amp;$A288,実績!$AE$6:$AE$505,"○")&gt;0,1,0))</f>
        <v/>
      </c>
      <c r="BI288">
        <f>IF(BI$4=0,0,IF(COUNTIFS(実績!$W$6:$W$505,BI$3,実績!$AC$6:$AC$505,"&lt;="&amp;$A288,実績!$AD$6:$AD$505,"&gt;"&amp;$A288,実績!$AE$6:$AE$505,"○")&gt;0,1,0))</f>
        <v/>
      </c>
      <c r="BJ288">
        <f>IF(BJ$4=0,0,IF(COUNTIFS(実績!$W$6:$W$505,BJ$3,実績!$AC$6:$AC$505,"&lt;="&amp;$A288,実績!$AD$6:$AD$505,"&gt;"&amp;$A288,実績!$AE$6:$AE$505,"○")&gt;0,1,0))</f>
        <v/>
      </c>
      <c r="BK288">
        <f>IF(BK$4=0,0,IF(COUNTIFS(実績!$W$6:$W$505,BK$3,実績!$AC$6:$AC$505,"&lt;="&amp;$A288,実績!$AD$6:$AD$505,"&gt;"&amp;$A288,実績!$AE$6:$AE$505,"○")&gt;0,1,0))</f>
        <v/>
      </c>
      <c r="BL288">
        <f>IF(BL$4=0,0,IF(COUNTIFS(実績!$W$6:$W$505,BL$3,実績!$AC$6:$AC$505,"&lt;="&amp;$A288,実績!$AD$6:$AD$505,"&gt;"&amp;$A288,実績!$AE$6:$AE$505,"○")&gt;0,1,0))</f>
        <v/>
      </c>
      <c r="BM288">
        <f>IF(BM$4=0,0,IF(COUNTIFS(実績!$W$6:$W$505,BM$3,実績!$AC$6:$AC$505,"&lt;="&amp;$A288,実績!$AD$6:$AD$505,"&gt;"&amp;$A288,実績!$AE$6:$AE$505,"○")&gt;0,1,0))</f>
        <v/>
      </c>
      <c r="BN288">
        <f>IF(BN$4=0,0,IF(COUNTIFS(実績!$W$6:$W$505,BN$3,実績!$AC$6:$AC$505,"&lt;="&amp;$A288,実績!$AD$6:$AD$505,"&gt;"&amp;$A288,実績!$AE$6:$AE$505,"○")&gt;0,1,0))</f>
        <v/>
      </c>
      <c r="BO288">
        <f>IF(BO$4=0,0,IF(COUNTIFS(実績!$W$6:$W$505,BO$3,実績!$AC$6:$AC$505,"&lt;="&amp;$A288,実績!$AD$6:$AD$505,"&gt;"&amp;$A288,実績!$AE$6:$AE$505,"○")&gt;0,1,0))</f>
        <v/>
      </c>
      <c r="BP288">
        <f>IF(BP$4=0,0,IF(COUNTIFS(実績!$W$6:$W$505,BP$3,実績!$AC$6:$AC$505,"&lt;="&amp;$A288,実績!$AD$6:$AD$505,"&gt;"&amp;$A288,実績!$AE$6:$AE$505,"○")&gt;0,1,0))</f>
        <v/>
      </c>
      <c r="BQ288">
        <f>IF(BQ$4=0,0,IF(COUNTIFS(実績!$W$6:$W$505,BQ$3,実績!$AC$6:$AC$505,"&lt;="&amp;$A288,実績!$AD$6:$AD$505,"&gt;"&amp;$A288,実績!$AE$6:$AE$505,"○")&gt;0,1,0))</f>
        <v/>
      </c>
      <c r="BR288">
        <f>IF(BR$4=0,0,IF(COUNTIFS(実績!$W$6:$W$505,BR$3,実績!$AC$6:$AC$505,"&lt;="&amp;$A288,実績!$AD$6:$AD$505,"&gt;"&amp;$A288,実績!$AE$6:$AE$505,"○")&gt;0,1,0))</f>
        <v/>
      </c>
      <c r="BS288">
        <f>IF(BS$4=0,0,IF(COUNTIFS(実績!$W$6:$W$505,BS$3,実績!$AC$6:$AC$505,"&lt;="&amp;$A288,実績!$AD$6:$AD$505,"&gt;"&amp;$A288,実績!$AE$6:$AE$505,"○")&gt;0,1,0))</f>
        <v/>
      </c>
      <c r="BT288">
        <f>IF(BT$4=0,0,IF(COUNTIFS(実績!$W$6:$W$505,BT$3,実績!$AC$6:$AC$505,"&lt;="&amp;$A288,実績!$AD$6:$AD$505,"&gt;"&amp;$A288,実績!$AE$6:$AE$505,"○")&gt;0,1,0))</f>
        <v/>
      </c>
      <c r="BU288">
        <f>IF(BU$4=0,0,IF(COUNTIFS(実績!$W$6:$W$505,BU$3,実績!$AC$6:$AC$505,"&lt;="&amp;$A288,実績!$AD$6:$AD$505,"&gt;"&amp;$A288,実績!$AE$6:$AE$505,"○")&gt;0,1,0))</f>
        <v/>
      </c>
      <c r="BV288">
        <f>IF(BV$4=0,0,IF(COUNTIFS(実績!$W$6:$W$505,BV$3,実績!$AC$6:$AC$505,"&lt;="&amp;$A288,実績!$AD$6:$AD$505,"&gt;"&amp;$A288,実績!$AE$6:$AE$505,"○")&gt;0,1,0))</f>
        <v/>
      </c>
      <c r="BW288">
        <f>IF(BW$4=0,0,IF(COUNTIFS(実績!$W$6:$W$505,BW$3,実績!$AC$6:$AC$505,"&lt;="&amp;$A288,実績!$AD$6:$AD$505,"&gt;"&amp;$A288,実績!$AE$6:$AE$505,"○")&gt;0,1,0))</f>
        <v/>
      </c>
      <c r="BX288">
        <f>IF(BX$4=0,0,IF(COUNTIFS(実績!$W$6:$W$505,BX$3,実績!$AC$6:$AC$505,"&lt;="&amp;$A288,実績!$AD$6:$AD$505,"&gt;"&amp;$A288,実績!$AE$6:$AE$505,"○")&gt;0,1,0))</f>
        <v/>
      </c>
      <c r="BY288">
        <f>IF(BY$4=0,0,IF(COUNTIFS(実績!$W$6:$W$505,BY$3,実績!$AC$6:$AC$505,"&lt;="&amp;$A288,実績!$AD$6:$AD$505,"&gt;"&amp;$A288,実績!$AE$6:$AE$505,"○")&gt;0,1,0))</f>
        <v/>
      </c>
      <c r="BZ288">
        <f>IF(BZ$4=0,0,IF(COUNTIFS(実績!$W$6:$W$505,BZ$3,実績!$AC$6:$AC$505,"&lt;="&amp;$A288,実績!$AD$6:$AD$505,"&gt;"&amp;$A288,実績!$AE$6:$AE$505,"○")&gt;0,1,0))</f>
        <v/>
      </c>
      <c r="CA288">
        <f>IF(CA$4=0,0,IF(COUNTIFS(実績!$W$6:$W$505,CA$3,実績!$AC$6:$AC$505,"&lt;="&amp;$A288,実績!$AD$6:$AD$505,"&gt;"&amp;$A288,実績!$AE$6:$AE$505,"○")&gt;0,1,0))</f>
        <v/>
      </c>
      <c r="CB288">
        <f>IF(CB$4=0,0,IF(COUNTIFS(実績!$W$6:$W$505,CB$3,実績!$AC$6:$AC$505,"&lt;="&amp;$A288,実績!$AD$6:$AD$505,"&gt;"&amp;$A288,実績!$AE$6:$AE$505,"○")&gt;0,1,0))</f>
        <v/>
      </c>
      <c r="CC288">
        <f>IF(CC$4=0,0,IF(COUNTIFS(実績!$W$6:$W$505,CC$3,実績!$AC$6:$AC$505,"&lt;="&amp;$A288,実績!$AD$6:$AD$505,"&gt;"&amp;$A288,実績!$AE$6:$AE$505,"○")&gt;0,1,0))</f>
        <v/>
      </c>
      <c r="CD288">
        <f>IF(CD$4=0,0,IF(COUNTIFS(実績!$W$6:$W$505,CD$3,実績!$AC$6:$AC$505,"&lt;="&amp;$A288,実績!$AD$6:$AD$505,"&gt;"&amp;$A288,実績!$AE$6:$AE$505,"○")&gt;0,1,0))</f>
        <v/>
      </c>
      <c r="CE288">
        <f>IF(CE$4=0,0,IF(COUNTIFS(実績!$W$6:$W$505,CE$3,実績!$AC$6:$AC$505,"&lt;="&amp;$A288,実績!$AD$6:$AD$505,"&gt;"&amp;$A288,実績!$AE$6:$AE$505,"○")&gt;0,1,0))</f>
        <v/>
      </c>
      <c r="CF288">
        <f>IF(CF$4=0,0,IF(COUNTIFS(実績!$W$6:$W$505,CF$3,実績!$AC$6:$AC$505,"&lt;="&amp;$A288,実績!$AD$6:$AD$505,"&gt;"&amp;$A288,実績!$AE$6:$AE$505,"○")&gt;0,1,0))</f>
        <v/>
      </c>
      <c r="CG288">
        <f>IF(CG$4=0,0,IF(COUNTIFS(実績!$W$6:$W$505,CG$3,実績!$AC$6:$AC$505,"&lt;="&amp;$A288,実績!$AD$6:$AD$505,"&gt;"&amp;$A288,実績!$AE$6:$AE$505,"○")&gt;0,1,0))</f>
        <v/>
      </c>
      <c r="CH288">
        <f>IF(CH$4=0,0,IF(COUNTIFS(実績!$W$6:$W$505,CH$3,実績!$AC$6:$AC$505,"&lt;="&amp;$A288,実績!$AD$6:$AD$505,"&gt;"&amp;$A288,実績!$AE$6:$AE$505,"○")&gt;0,1,0))</f>
        <v/>
      </c>
      <c r="CI288">
        <f>IF(CI$4=0,0,IF(COUNTIFS(実績!$W$6:$W$505,CI$3,実績!$AC$6:$AC$505,"&lt;="&amp;$A288,実績!$AD$6:$AD$505,"&gt;"&amp;$A288,実績!$AE$6:$AE$505,"○")&gt;0,1,0))</f>
        <v/>
      </c>
      <c r="CJ288">
        <f>IF(CJ$4=0,0,IF(COUNTIFS(実績!$W$6:$W$505,CJ$3,実績!$AC$6:$AC$505,"&lt;="&amp;$A288,実績!$AD$6:$AD$505,"&gt;"&amp;$A288,実績!$AE$6:$AE$505,"○")&gt;0,1,0))</f>
        <v/>
      </c>
      <c r="CK288">
        <f>IF(CK$4=0,0,IF(COUNTIFS(実績!$W$6:$W$505,CK$3,実績!$AC$6:$AC$505,"&lt;="&amp;$A288,実績!$AD$6:$AD$505,"&gt;"&amp;$A288,実績!$AE$6:$AE$505,"○")&gt;0,1,0))</f>
        <v/>
      </c>
      <c r="CL288">
        <f>IF(CL$4=0,0,IF(COUNTIFS(実績!$W$6:$W$505,CL$3,実績!$AC$6:$AC$505,"&lt;="&amp;$A288,実績!$AD$6:$AD$505,"&gt;"&amp;$A288,実績!$AE$6:$AE$505,"○")&gt;0,1,0))</f>
        <v/>
      </c>
      <c r="CM288">
        <f>IF(CM$4=0,0,IF(COUNTIFS(実績!$W$6:$W$505,CM$3,実績!$AC$6:$AC$505,"&lt;="&amp;$A288,実績!$AD$6:$AD$505,"&gt;"&amp;$A288,実績!$AE$6:$AE$505,"○")&gt;0,1,0))</f>
        <v/>
      </c>
      <c r="CN288">
        <f>IF(CN$4=0,0,IF(COUNTIFS(実績!$W$6:$W$505,CN$3,実績!$AC$6:$AC$505,"&lt;="&amp;$A288,実績!$AD$6:$AD$505,"&gt;"&amp;$A288,実績!$AE$6:$AE$505,"○")&gt;0,1,0))</f>
        <v/>
      </c>
      <c r="CO288">
        <f>IF(CO$4=0,0,IF(COUNTIFS(実績!$W$6:$W$505,CO$3,実績!$AC$6:$AC$505,"&lt;="&amp;$A288,実績!$AD$6:$AD$505,"&gt;"&amp;$A288,実績!$AE$6:$AE$505,"○")&gt;0,1,0))</f>
        <v/>
      </c>
      <c r="CP288">
        <f>IF(CP$4=0,0,IF(COUNTIFS(実績!$W$6:$W$505,CP$3,実績!$AC$6:$AC$505,"&lt;="&amp;$A288,実績!$AD$6:$AD$505,"&gt;"&amp;$A288,実績!$AE$6:$AE$505,"○")&gt;0,1,0))</f>
        <v/>
      </c>
      <c r="CQ288">
        <f>IF(CQ$4=0,0,IF(COUNTIFS(実績!$W$6:$W$505,CQ$3,実績!$AC$6:$AC$505,"&lt;="&amp;$A288,実績!$AD$6:$AD$505,"&gt;"&amp;$A288,実績!$AE$6:$AE$505,"○")&gt;0,1,0))</f>
        <v/>
      </c>
      <c r="CR288">
        <f>IF(CR$4=0,0,IF(COUNTIFS(実績!$W$6:$W$505,CR$3,実績!$AC$6:$AC$505,"&lt;="&amp;$A288,実績!$AD$6:$AD$505,"&gt;"&amp;$A288,実績!$AE$6:$AE$505,"○")&gt;0,1,0))</f>
        <v/>
      </c>
      <c r="CS288">
        <f>IF(CS$4=0,0,IF(COUNTIFS(実績!$W$6:$W$505,CS$3,実績!$AC$6:$AC$505,"&lt;="&amp;$A288,実績!$AD$6:$AD$505,"&gt;"&amp;$A288,実績!$AE$6:$AE$505,"○")&gt;0,1,0))</f>
        <v/>
      </c>
      <c r="CT288">
        <f>IF(CT$4=0,0,IF(COUNTIFS(実績!$W$6:$W$505,CT$3,実績!$AC$6:$AC$505,"&lt;="&amp;$A288,実績!$AD$6:$AD$505,"&gt;"&amp;$A288,実績!$AE$6:$AE$505,"○")&gt;0,1,0))</f>
        <v/>
      </c>
      <c r="CU288">
        <f>IF(CU$4=0,0,IF(COUNTIFS(実績!$W$6:$W$505,CU$3,実績!$AC$6:$AC$505,"&lt;="&amp;$A288,実績!$AD$6:$AD$505,"&gt;"&amp;$A288,実績!$AE$6:$AE$505,"○")&gt;0,1,0))</f>
        <v/>
      </c>
      <c r="CV288">
        <f>IF(CV$4=0,0,IF(COUNTIFS(実績!$W$6:$W$505,CV$3,実績!$AC$6:$AC$505,"&lt;="&amp;$A288,実績!$AD$6:$AD$505,"&gt;"&amp;$A288,実績!$AE$6:$AE$505,"○")&gt;0,1,0))</f>
        <v/>
      </c>
      <c r="CW288">
        <f>IF(CW$4=0,0,IF(COUNTIFS(実績!$W$6:$W$505,CW$3,実績!$AC$6:$AC$505,"&lt;="&amp;$A288,実績!$AD$6:$AD$505,"&gt;"&amp;$A288,実績!$AE$6:$AE$505,"○")&gt;0,1,0))</f>
        <v/>
      </c>
      <c r="CX288">
        <f>IF(CX$4=0,0,IF(COUNTIFS(実績!$W$6:$W$505,CX$3,実績!$AC$6:$AC$505,"&lt;="&amp;$A288,実績!$AD$6:$AD$505,"&gt;"&amp;$A288,実績!$AE$6:$AE$505,"○")&gt;0,1,0))</f>
        <v/>
      </c>
      <c r="CY288">
        <f>IF(CY$4=0,0,IF(COUNTIFS(実績!$W$6:$W$505,CY$3,実績!$AC$6:$AC$505,"&lt;="&amp;$A288,実績!$AD$6:$AD$505,"&gt;"&amp;$A288,実績!$AE$6:$AE$505,"○")&gt;0,1,0))</f>
        <v/>
      </c>
      <c r="CZ288">
        <f>IF(CZ$4=0,0,IF(COUNTIFS(実績!$W$6:$W$505,CZ$3,実績!$AC$6:$AC$505,"&lt;="&amp;$A288,実績!$AD$6:$AD$505,"&gt;"&amp;$A288,実績!$AE$6:$AE$505,"○")&gt;0,1,0))</f>
        <v/>
      </c>
      <c r="DA288">
        <f>IF(DA$4=0,0,IF(COUNTIFS(実績!$W$6:$W$505,DA$3,実績!$AC$6:$AC$505,"&lt;="&amp;$A288,実績!$AD$6:$AD$505,"&gt;"&amp;$A288,実績!$AE$6:$AE$505,"○")&gt;0,1,0))</f>
        <v/>
      </c>
      <c r="DB288">
        <f>IF(DB$4=0,0,IF(COUNTIFS(実績!$W$6:$W$505,DB$3,実績!$AC$6:$AC$505,"&lt;="&amp;$A288,実績!$AD$6:$AD$505,"&gt;"&amp;$A288,実績!$AE$6:$AE$505,"○")&gt;0,1,0))</f>
        <v/>
      </c>
      <c r="DC288">
        <f>IF(DC$4=0,0,IF(COUNTIFS(実績!$W$6:$W$505,DC$3,実績!$AC$6:$AC$505,"&lt;="&amp;$A288,実績!$AD$6:$AD$505,"&gt;"&amp;$A288,実績!$AE$6:$AE$505,"○")&gt;0,1,0))</f>
        <v/>
      </c>
      <c r="DD288">
        <f>IF(DD$4=0,0,IF(COUNTIFS(実績!$W$6:$W$505,DD$3,実績!$AC$6:$AC$505,"&lt;="&amp;$A288,実績!$AD$6:$AD$505,"&gt;"&amp;$A288,実績!$AE$6:$AE$505,"○")&gt;0,1,0))</f>
        <v/>
      </c>
      <c r="DE288">
        <f>IF(DE$4=0,0,IF(COUNTIFS(実績!$W$6:$W$505,DE$3,実績!$AC$6:$AC$505,"&lt;="&amp;$A288,実績!$AD$6:$AD$505,"&gt;"&amp;$A288,実績!$AE$6:$AE$505,"○")&gt;0,1,0))</f>
        <v/>
      </c>
      <c r="DF288">
        <f>IF(DF$4=0,0,IF(COUNTIFS(実績!$W$6:$W$505,DF$3,実績!$AC$6:$AC$505,"&lt;="&amp;$A288,実績!$AD$6:$AD$505,"&gt;"&amp;$A288,実績!$AE$6:$AE$505,"○")&gt;0,1,0))</f>
        <v/>
      </c>
      <c r="DG288">
        <f>IF(DG$4=0,0,IF(COUNTIFS(実績!$W$6:$W$505,DG$3,実績!$AC$6:$AC$505,"&lt;="&amp;$A288,実績!$AD$6:$AD$505,"&gt;"&amp;$A288,実績!$AE$6:$AE$505,"○")&gt;0,1,0))</f>
        <v/>
      </c>
      <c r="DH288">
        <f>IF(DH$4=0,0,IF(COUNTIFS(実績!$W$6:$W$505,DH$3,実績!$AC$6:$AC$505,"&lt;="&amp;$A288,実績!$AD$6:$AD$505,"&gt;"&amp;$A288,実績!$AE$6:$AE$505,"○")&gt;0,1,0))</f>
        <v/>
      </c>
      <c r="DI288">
        <f>IF(DI$4=0,0,IF(COUNTIFS(実績!$W$6:$W$505,DI$3,実績!$AC$6:$AC$505,"&lt;="&amp;$A288,実績!$AD$6:$AD$505,"&gt;"&amp;$A288,実績!$AE$6:$AE$505,"○")&gt;0,1,0))</f>
        <v/>
      </c>
      <c r="DJ288">
        <f>IF(DJ$4=0,0,IF(COUNTIFS(実績!$W$6:$W$505,DJ$3,実績!$AC$6:$AC$505,"&lt;="&amp;$A288,実績!$AD$6:$AD$505,"&gt;"&amp;$A288,実績!$AE$6:$AE$505,"○")&gt;0,1,0))</f>
        <v/>
      </c>
      <c r="DK288">
        <f>IF(DK$4=0,0,IF(COUNTIFS(実績!$W$6:$W$505,DK$3,実績!$AC$6:$AC$505,"&lt;="&amp;$A288,実績!$AD$6:$AD$505,"&gt;"&amp;$A288,実績!$AE$6:$AE$505,"○")&gt;0,1,0))</f>
        <v/>
      </c>
      <c r="DL288">
        <f>IF(DL$4=0,0,IF(COUNTIFS(実績!$W$6:$W$505,DL$3,実績!$AC$6:$AC$505,"&lt;="&amp;$A288,実績!$AD$6:$AD$505,"&gt;"&amp;$A288,実績!$AE$6:$AE$505,"○")&gt;0,1,0))</f>
        <v/>
      </c>
      <c r="DM288">
        <f>IF(DM$4=0,0,IF(COUNTIFS(実績!$W$6:$W$505,DM$3,実績!$AC$6:$AC$505,"&lt;="&amp;$A288,実績!$AD$6:$AD$505,"&gt;"&amp;$A288,実績!$AE$6:$AE$505,"○")&gt;0,1,0))</f>
        <v/>
      </c>
      <c r="DN288">
        <f>IF(DN$4=0,0,IF(COUNTIFS(実績!$W$6:$W$505,DN$3,実績!$AC$6:$AC$505,"&lt;="&amp;$A288,実績!$AD$6:$AD$505,"&gt;"&amp;$A288,実績!$AE$6:$AE$505,"○")&gt;0,1,0))</f>
        <v/>
      </c>
      <c r="DO288">
        <f>IF(DO$4=0,0,IF(COUNTIFS(実績!$W$6:$W$505,DO$3,実績!$AC$6:$AC$505,"&lt;="&amp;$A288,実績!$AD$6:$AD$505,"&gt;"&amp;$A288,実績!$AE$6:$AE$505,"○")&gt;0,1,0))</f>
        <v/>
      </c>
      <c r="DP288">
        <f>IF(DP$4=0,0,IF(COUNTIFS(実績!$W$6:$W$505,DP$3,実績!$AC$6:$AC$505,"&lt;="&amp;$A288,実績!$AD$6:$AD$505,"&gt;"&amp;$A288,実績!$AE$6:$AE$505,"○")&gt;0,1,0))</f>
        <v/>
      </c>
      <c r="DQ288">
        <f>IF(DQ$4=0,0,IF(COUNTIFS(実績!$W$6:$W$505,DQ$3,実績!$AC$6:$AC$505,"&lt;="&amp;$A288,実績!$AD$6:$AD$505,"&gt;"&amp;$A288,実績!$AE$6:$AE$505,"○")&gt;0,1,0))</f>
        <v/>
      </c>
      <c r="DR288">
        <f>IF(DR$4=0,0,IF(COUNTIFS(実績!$W$6:$W$505,DR$3,実績!$AC$6:$AC$505,"&lt;="&amp;$A288,実績!$AD$6:$AD$505,"&gt;"&amp;$A288,実績!$AE$6:$AE$505,"○")&gt;0,1,0))</f>
        <v/>
      </c>
      <c r="DS288">
        <f>SUM(C288:DR288)</f>
        <v/>
      </c>
      <c r="DT288">
        <f>SUMPRODUCT((実績!$C$6:$C$505="○")*ISNUMBER(実績!$AF$6:$AF$505)*(実績!$AF$6:$AF$505&lt;=$A288)*(実績!$AG$6:$AG$505&gt;$A288))</f>
        <v/>
      </c>
      <c r="DU288">
        <f>SUMIF($C$2:$DR$2,"製鉄曳船",C288:DR288)</f>
        <v/>
      </c>
      <c r="DV288">
        <f>SUMIF($C$2:$DR$2,"西日本海運",C288:DR288)</f>
        <v/>
      </c>
    </row>
    <row r="289">
      <c r="A289" t="n">
        <v>1415</v>
      </c>
      <c r="B289" s="29">
        <f>A289/1440</f>
        <v/>
      </c>
      <c r="C289">
        <f>IF(C$4=0,0,IF(COUNTIFS(実績!$W$6:$W$505,C$3,実績!$AC$6:$AC$505,"&lt;="&amp;$A289,実績!$AD$6:$AD$505,"&gt;"&amp;$A289,実績!$AE$6:$AE$505,"○")&gt;0,1,0))</f>
        <v/>
      </c>
      <c r="D289">
        <f>IF(D$4=0,0,IF(COUNTIFS(実績!$W$6:$W$505,D$3,実績!$AC$6:$AC$505,"&lt;="&amp;$A289,実績!$AD$6:$AD$505,"&gt;"&amp;$A289,実績!$AE$6:$AE$505,"○")&gt;0,1,0))</f>
        <v/>
      </c>
      <c r="E289">
        <f>IF(E$4=0,0,IF(COUNTIFS(実績!$W$6:$W$505,E$3,実績!$AC$6:$AC$505,"&lt;="&amp;$A289,実績!$AD$6:$AD$505,"&gt;"&amp;$A289,実績!$AE$6:$AE$505,"○")&gt;0,1,0))</f>
        <v/>
      </c>
      <c r="F289">
        <f>IF(F$4=0,0,IF(COUNTIFS(実績!$W$6:$W$505,F$3,実績!$AC$6:$AC$505,"&lt;="&amp;$A289,実績!$AD$6:$AD$505,"&gt;"&amp;$A289,実績!$AE$6:$AE$505,"○")&gt;0,1,0))</f>
        <v/>
      </c>
      <c r="G289">
        <f>IF(G$4=0,0,IF(COUNTIFS(実績!$W$6:$W$505,G$3,実績!$AC$6:$AC$505,"&lt;="&amp;$A289,実績!$AD$6:$AD$505,"&gt;"&amp;$A289,実績!$AE$6:$AE$505,"○")&gt;0,1,0))</f>
        <v/>
      </c>
      <c r="H289">
        <f>IF(H$4=0,0,IF(COUNTIFS(実績!$W$6:$W$505,H$3,実績!$AC$6:$AC$505,"&lt;="&amp;$A289,実績!$AD$6:$AD$505,"&gt;"&amp;$A289,実績!$AE$6:$AE$505,"○")&gt;0,1,0))</f>
        <v/>
      </c>
      <c r="I289">
        <f>IF(I$4=0,0,IF(COUNTIFS(実績!$W$6:$W$505,I$3,実績!$AC$6:$AC$505,"&lt;="&amp;$A289,実績!$AD$6:$AD$505,"&gt;"&amp;$A289,実績!$AE$6:$AE$505,"○")&gt;0,1,0))</f>
        <v/>
      </c>
      <c r="J289">
        <f>IF(J$4=0,0,IF(COUNTIFS(実績!$W$6:$W$505,J$3,実績!$AC$6:$AC$505,"&lt;="&amp;$A289,実績!$AD$6:$AD$505,"&gt;"&amp;$A289,実績!$AE$6:$AE$505,"○")&gt;0,1,0))</f>
        <v/>
      </c>
      <c r="K289">
        <f>IF(K$4=0,0,IF(COUNTIFS(実績!$W$6:$W$505,K$3,実績!$AC$6:$AC$505,"&lt;="&amp;$A289,実績!$AD$6:$AD$505,"&gt;"&amp;$A289,実績!$AE$6:$AE$505,"○")&gt;0,1,0))</f>
        <v/>
      </c>
      <c r="L289">
        <f>IF(L$4=0,0,IF(COUNTIFS(実績!$W$6:$W$505,L$3,実績!$AC$6:$AC$505,"&lt;="&amp;$A289,実績!$AD$6:$AD$505,"&gt;"&amp;$A289,実績!$AE$6:$AE$505,"○")&gt;0,1,0))</f>
        <v/>
      </c>
      <c r="M289">
        <f>IF(M$4=0,0,IF(COUNTIFS(実績!$W$6:$W$505,M$3,実績!$AC$6:$AC$505,"&lt;="&amp;$A289,実績!$AD$6:$AD$505,"&gt;"&amp;$A289,実績!$AE$6:$AE$505,"○")&gt;0,1,0))</f>
        <v/>
      </c>
      <c r="N289">
        <f>IF(N$4=0,0,IF(COUNTIFS(実績!$W$6:$W$505,N$3,実績!$AC$6:$AC$505,"&lt;="&amp;$A289,実績!$AD$6:$AD$505,"&gt;"&amp;$A289,実績!$AE$6:$AE$505,"○")&gt;0,1,0))</f>
        <v/>
      </c>
      <c r="O289">
        <f>IF(O$4=0,0,IF(COUNTIFS(実績!$W$6:$W$505,O$3,実績!$AC$6:$AC$505,"&lt;="&amp;$A289,実績!$AD$6:$AD$505,"&gt;"&amp;$A289,実績!$AE$6:$AE$505,"○")&gt;0,1,0))</f>
        <v/>
      </c>
      <c r="P289">
        <f>IF(P$4=0,0,IF(COUNTIFS(実績!$W$6:$W$505,P$3,実績!$AC$6:$AC$505,"&lt;="&amp;$A289,実績!$AD$6:$AD$505,"&gt;"&amp;$A289,実績!$AE$6:$AE$505,"○")&gt;0,1,0))</f>
        <v/>
      </c>
      <c r="Q289">
        <f>IF(Q$4=0,0,IF(COUNTIFS(実績!$W$6:$W$505,Q$3,実績!$AC$6:$AC$505,"&lt;="&amp;$A289,実績!$AD$6:$AD$505,"&gt;"&amp;$A289,実績!$AE$6:$AE$505,"○")&gt;0,1,0))</f>
        <v/>
      </c>
      <c r="R289">
        <f>IF(R$4=0,0,IF(COUNTIFS(実績!$W$6:$W$505,R$3,実績!$AC$6:$AC$505,"&lt;="&amp;$A289,実績!$AD$6:$AD$505,"&gt;"&amp;$A289,実績!$AE$6:$AE$505,"○")&gt;0,1,0))</f>
        <v/>
      </c>
      <c r="S289">
        <f>IF(S$4=0,0,IF(COUNTIFS(実績!$W$6:$W$505,S$3,実績!$AC$6:$AC$505,"&lt;="&amp;$A289,実績!$AD$6:$AD$505,"&gt;"&amp;$A289,実績!$AE$6:$AE$505,"○")&gt;0,1,0))</f>
        <v/>
      </c>
      <c r="T289">
        <f>IF(T$4=0,0,IF(COUNTIFS(実績!$W$6:$W$505,T$3,実績!$AC$6:$AC$505,"&lt;="&amp;$A289,実績!$AD$6:$AD$505,"&gt;"&amp;$A289,実績!$AE$6:$AE$505,"○")&gt;0,1,0))</f>
        <v/>
      </c>
      <c r="U289">
        <f>IF(U$4=0,0,IF(COUNTIFS(実績!$W$6:$W$505,U$3,実績!$AC$6:$AC$505,"&lt;="&amp;$A289,実績!$AD$6:$AD$505,"&gt;"&amp;$A289,実績!$AE$6:$AE$505,"○")&gt;0,1,0))</f>
        <v/>
      </c>
      <c r="V289">
        <f>IF(V$4=0,0,IF(COUNTIFS(実績!$W$6:$W$505,V$3,実績!$AC$6:$AC$505,"&lt;="&amp;$A289,実績!$AD$6:$AD$505,"&gt;"&amp;$A289,実績!$AE$6:$AE$505,"○")&gt;0,1,0))</f>
        <v/>
      </c>
      <c r="W289">
        <f>IF(W$4=0,0,IF(COUNTIFS(実績!$W$6:$W$505,W$3,実績!$AC$6:$AC$505,"&lt;="&amp;$A289,実績!$AD$6:$AD$505,"&gt;"&amp;$A289,実績!$AE$6:$AE$505,"○")&gt;0,1,0))</f>
        <v/>
      </c>
      <c r="X289">
        <f>IF(X$4=0,0,IF(COUNTIFS(実績!$W$6:$W$505,X$3,実績!$AC$6:$AC$505,"&lt;="&amp;$A289,実績!$AD$6:$AD$505,"&gt;"&amp;$A289,実績!$AE$6:$AE$505,"○")&gt;0,1,0))</f>
        <v/>
      </c>
      <c r="Y289">
        <f>IF(Y$4=0,0,IF(COUNTIFS(実績!$W$6:$W$505,Y$3,実績!$AC$6:$AC$505,"&lt;="&amp;$A289,実績!$AD$6:$AD$505,"&gt;"&amp;$A289,実績!$AE$6:$AE$505,"○")&gt;0,1,0))</f>
        <v/>
      </c>
      <c r="Z289">
        <f>IF(Z$4=0,0,IF(COUNTIFS(実績!$W$6:$W$505,Z$3,実績!$AC$6:$AC$505,"&lt;="&amp;$A289,実績!$AD$6:$AD$505,"&gt;"&amp;$A289,実績!$AE$6:$AE$505,"○")&gt;0,1,0))</f>
        <v/>
      </c>
      <c r="AA289">
        <f>IF(AA$4=0,0,IF(COUNTIFS(実績!$W$6:$W$505,AA$3,実績!$AC$6:$AC$505,"&lt;="&amp;$A289,実績!$AD$6:$AD$505,"&gt;"&amp;$A289,実績!$AE$6:$AE$505,"○")&gt;0,1,0))</f>
        <v/>
      </c>
      <c r="AB289">
        <f>IF(AB$4=0,0,IF(COUNTIFS(実績!$W$6:$W$505,AB$3,実績!$AC$6:$AC$505,"&lt;="&amp;$A289,実績!$AD$6:$AD$505,"&gt;"&amp;$A289,実績!$AE$6:$AE$505,"○")&gt;0,1,0))</f>
        <v/>
      </c>
      <c r="AC289">
        <f>IF(AC$4=0,0,IF(COUNTIFS(実績!$W$6:$W$505,AC$3,実績!$AC$6:$AC$505,"&lt;="&amp;$A289,実績!$AD$6:$AD$505,"&gt;"&amp;$A289,実績!$AE$6:$AE$505,"○")&gt;0,1,0))</f>
        <v/>
      </c>
      <c r="AD289">
        <f>IF(AD$4=0,0,IF(COUNTIFS(実績!$W$6:$W$505,AD$3,実績!$AC$6:$AC$505,"&lt;="&amp;$A289,実績!$AD$6:$AD$505,"&gt;"&amp;$A289,実績!$AE$6:$AE$505,"○")&gt;0,1,0))</f>
        <v/>
      </c>
      <c r="AE289">
        <f>IF(AE$4=0,0,IF(COUNTIFS(実績!$W$6:$W$505,AE$3,実績!$AC$6:$AC$505,"&lt;="&amp;$A289,実績!$AD$6:$AD$505,"&gt;"&amp;$A289,実績!$AE$6:$AE$505,"○")&gt;0,1,0))</f>
        <v/>
      </c>
      <c r="AF289">
        <f>IF(AF$4=0,0,IF(COUNTIFS(実績!$W$6:$W$505,AF$3,実績!$AC$6:$AC$505,"&lt;="&amp;$A289,実績!$AD$6:$AD$505,"&gt;"&amp;$A289,実績!$AE$6:$AE$505,"○")&gt;0,1,0))</f>
        <v/>
      </c>
      <c r="AG289">
        <f>IF(AG$4=0,0,IF(COUNTIFS(実績!$W$6:$W$505,AG$3,実績!$AC$6:$AC$505,"&lt;="&amp;$A289,実績!$AD$6:$AD$505,"&gt;"&amp;$A289,実績!$AE$6:$AE$505,"○")&gt;0,1,0))</f>
        <v/>
      </c>
      <c r="AH289">
        <f>IF(AH$4=0,0,IF(COUNTIFS(実績!$W$6:$W$505,AH$3,実績!$AC$6:$AC$505,"&lt;="&amp;$A289,実績!$AD$6:$AD$505,"&gt;"&amp;$A289,実績!$AE$6:$AE$505,"○")&gt;0,1,0))</f>
        <v/>
      </c>
      <c r="AI289">
        <f>IF(AI$4=0,0,IF(COUNTIFS(実績!$W$6:$W$505,AI$3,実績!$AC$6:$AC$505,"&lt;="&amp;$A289,実績!$AD$6:$AD$505,"&gt;"&amp;$A289,実績!$AE$6:$AE$505,"○")&gt;0,1,0))</f>
        <v/>
      </c>
      <c r="AJ289">
        <f>IF(AJ$4=0,0,IF(COUNTIFS(実績!$W$6:$W$505,AJ$3,実績!$AC$6:$AC$505,"&lt;="&amp;$A289,実績!$AD$6:$AD$505,"&gt;"&amp;$A289,実績!$AE$6:$AE$505,"○")&gt;0,1,0))</f>
        <v/>
      </c>
      <c r="AK289">
        <f>IF(AK$4=0,0,IF(COUNTIFS(実績!$W$6:$W$505,AK$3,実績!$AC$6:$AC$505,"&lt;="&amp;$A289,実績!$AD$6:$AD$505,"&gt;"&amp;$A289,実績!$AE$6:$AE$505,"○")&gt;0,1,0))</f>
        <v/>
      </c>
      <c r="AL289">
        <f>IF(AL$4=0,0,IF(COUNTIFS(実績!$W$6:$W$505,AL$3,実績!$AC$6:$AC$505,"&lt;="&amp;$A289,実績!$AD$6:$AD$505,"&gt;"&amp;$A289,実績!$AE$6:$AE$505,"○")&gt;0,1,0))</f>
        <v/>
      </c>
      <c r="AM289">
        <f>IF(AM$4=0,0,IF(COUNTIFS(実績!$W$6:$W$505,AM$3,実績!$AC$6:$AC$505,"&lt;="&amp;$A289,実績!$AD$6:$AD$505,"&gt;"&amp;$A289,実績!$AE$6:$AE$505,"○")&gt;0,1,0))</f>
        <v/>
      </c>
      <c r="AN289">
        <f>IF(AN$4=0,0,IF(COUNTIFS(実績!$W$6:$W$505,AN$3,実績!$AC$6:$AC$505,"&lt;="&amp;$A289,実績!$AD$6:$AD$505,"&gt;"&amp;$A289,実績!$AE$6:$AE$505,"○")&gt;0,1,0))</f>
        <v/>
      </c>
      <c r="AO289">
        <f>IF(AO$4=0,0,IF(COUNTIFS(実績!$W$6:$W$505,AO$3,実績!$AC$6:$AC$505,"&lt;="&amp;$A289,実績!$AD$6:$AD$505,"&gt;"&amp;$A289,実績!$AE$6:$AE$505,"○")&gt;0,1,0))</f>
        <v/>
      </c>
      <c r="AP289">
        <f>IF(AP$4=0,0,IF(COUNTIFS(実績!$W$6:$W$505,AP$3,実績!$AC$6:$AC$505,"&lt;="&amp;$A289,実績!$AD$6:$AD$505,"&gt;"&amp;$A289,実績!$AE$6:$AE$505,"○")&gt;0,1,0))</f>
        <v/>
      </c>
      <c r="AQ289">
        <f>IF(AQ$4=0,0,IF(COUNTIFS(実績!$W$6:$W$505,AQ$3,実績!$AC$6:$AC$505,"&lt;="&amp;$A289,実績!$AD$6:$AD$505,"&gt;"&amp;$A289,実績!$AE$6:$AE$505,"○")&gt;0,1,0))</f>
        <v/>
      </c>
      <c r="AR289">
        <f>IF(AR$4=0,0,IF(COUNTIFS(実績!$W$6:$W$505,AR$3,実績!$AC$6:$AC$505,"&lt;="&amp;$A289,実績!$AD$6:$AD$505,"&gt;"&amp;$A289,実績!$AE$6:$AE$505,"○")&gt;0,1,0))</f>
        <v/>
      </c>
      <c r="AS289">
        <f>IF(AS$4=0,0,IF(COUNTIFS(実績!$W$6:$W$505,AS$3,実績!$AC$6:$AC$505,"&lt;="&amp;$A289,実績!$AD$6:$AD$505,"&gt;"&amp;$A289,実績!$AE$6:$AE$505,"○")&gt;0,1,0))</f>
        <v/>
      </c>
      <c r="AT289">
        <f>IF(AT$4=0,0,IF(COUNTIFS(実績!$W$6:$W$505,AT$3,実績!$AC$6:$AC$505,"&lt;="&amp;$A289,実績!$AD$6:$AD$505,"&gt;"&amp;$A289,実績!$AE$6:$AE$505,"○")&gt;0,1,0))</f>
        <v/>
      </c>
      <c r="AU289">
        <f>IF(AU$4=0,0,IF(COUNTIFS(実績!$W$6:$W$505,AU$3,実績!$AC$6:$AC$505,"&lt;="&amp;$A289,実績!$AD$6:$AD$505,"&gt;"&amp;$A289,実績!$AE$6:$AE$505,"○")&gt;0,1,0))</f>
        <v/>
      </c>
      <c r="AV289">
        <f>IF(AV$4=0,0,IF(COUNTIFS(実績!$W$6:$W$505,AV$3,実績!$AC$6:$AC$505,"&lt;="&amp;$A289,実績!$AD$6:$AD$505,"&gt;"&amp;$A289,実績!$AE$6:$AE$505,"○")&gt;0,1,0))</f>
        <v/>
      </c>
      <c r="AW289">
        <f>IF(AW$4=0,0,IF(COUNTIFS(実績!$W$6:$W$505,AW$3,実績!$AC$6:$AC$505,"&lt;="&amp;$A289,実績!$AD$6:$AD$505,"&gt;"&amp;$A289,実績!$AE$6:$AE$505,"○")&gt;0,1,0))</f>
        <v/>
      </c>
      <c r="AX289">
        <f>IF(AX$4=0,0,IF(COUNTIFS(実績!$W$6:$W$505,AX$3,実績!$AC$6:$AC$505,"&lt;="&amp;$A289,実績!$AD$6:$AD$505,"&gt;"&amp;$A289,実績!$AE$6:$AE$505,"○")&gt;0,1,0))</f>
        <v/>
      </c>
      <c r="AY289">
        <f>IF(AY$4=0,0,IF(COUNTIFS(実績!$W$6:$W$505,AY$3,実績!$AC$6:$AC$505,"&lt;="&amp;$A289,実績!$AD$6:$AD$505,"&gt;"&amp;$A289,実績!$AE$6:$AE$505,"○")&gt;0,1,0))</f>
        <v/>
      </c>
      <c r="AZ289">
        <f>IF(AZ$4=0,0,IF(COUNTIFS(実績!$W$6:$W$505,AZ$3,実績!$AC$6:$AC$505,"&lt;="&amp;$A289,実績!$AD$6:$AD$505,"&gt;"&amp;$A289,実績!$AE$6:$AE$505,"○")&gt;0,1,0))</f>
        <v/>
      </c>
      <c r="BA289">
        <f>IF(BA$4=0,0,IF(COUNTIFS(実績!$W$6:$W$505,BA$3,実績!$AC$6:$AC$505,"&lt;="&amp;$A289,実績!$AD$6:$AD$505,"&gt;"&amp;$A289,実績!$AE$6:$AE$505,"○")&gt;0,1,0))</f>
        <v/>
      </c>
      <c r="BB289">
        <f>IF(BB$4=0,0,IF(COUNTIFS(実績!$W$6:$W$505,BB$3,実績!$AC$6:$AC$505,"&lt;="&amp;$A289,実績!$AD$6:$AD$505,"&gt;"&amp;$A289,実績!$AE$6:$AE$505,"○")&gt;0,1,0))</f>
        <v/>
      </c>
      <c r="BC289">
        <f>IF(BC$4=0,0,IF(COUNTIFS(実績!$W$6:$W$505,BC$3,実績!$AC$6:$AC$505,"&lt;="&amp;$A289,実績!$AD$6:$AD$505,"&gt;"&amp;$A289,実績!$AE$6:$AE$505,"○")&gt;0,1,0))</f>
        <v/>
      </c>
      <c r="BD289">
        <f>IF(BD$4=0,0,IF(COUNTIFS(実績!$W$6:$W$505,BD$3,実績!$AC$6:$AC$505,"&lt;="&amp;$A289,実績!$AD$6:$AD$505,"&gt;"&amp;$A289,実績!$AE$6:$AE$505,"○")&gt;0,1,0))</f>
        <v/>
      </c>
      <c r="BE289">
        <f>IF(BE$4=0,0,IF(COUNTIFS(実績!$W$6:$W$505,BE$3,実績!$AC$6:$AC$505,"&lt;="&amp;$A289,実績!$AD$6:$AD$505,"&gt;"&amp;$A289,実績!$AE$6:$AE$505,"○")&gt;0,1,0))</f>
        <v/>
      </c>
      <c r="BF289">
        <f>IF(BF$4=0,0,IF(COUNTIFS(実績!$W$6:$W$505,BF$3,実績!$AC$6:$AC$505,"&lt;="&amp;$A289,実績!$AD$6:$AD$505,"&gt;"&amp;$A289,実績!$AE$6:$AE$505,"○")&gt;0,1,0))</f>
        <v/>
      </c>
      <c r="BG289">
        <f>IF(BG$4=0,0,IF(COUNTIFS(実績!$W$6:$W$505,BG$3,実績!$AC$6:$AC$505,"&lt;="&amp;$A289,実績!$AD$6:$AD$505,"&gt;"&amp;$A289,実績!$AE$6:$AE$505,"○")&gt;0,1,0))</f>
        <v/>
      </c>
      <c r="BH289">
        <f>IF(BH$4=0,0,IF(COUNTIFS(実績!$W$6:$W$505,BH$3,実績!$AC$6:$AC$505,"&lt;="&amp;$A289,実績!$AD$6:$AD$505,"&gt;"&amp;$A289,実績!$AE$6:$AE$505,"○")&gt;0,1,0))</f>
        <v/>
      </c>
      <c r="BI289">
        <f>IF(BI$4=0,0,IF(COUNTIFS(実績!$W$6:$W$505,BI$3,実績!$AC$6:$AC$505,"&lt;="&amp;$A289,実績!$AD$6:$AD$505,"&gt;"&amp;$A289,実績!$AE$6:$AE$505,"○")&gt;0,1,0))</f>
        <v/>
      </c>
      <c r="BJ289">
        <f>IF(BJ$4=0,0,IF(COUNTIFS(実績!$W$6:$W$505,BJ$3,実績!$AC$6:$AC$505,"&lt;="&amp;$A289,実績!$AD$6:$AD$505,"&gt;"&amp;$A289,実績!$AE$6:$AE$505,"○")&gt;0,1,0))</f>
        <v/>
      </c>
      <c r="BK289">
        <f>IF(BK$4=0,0,IF(COUNTIFS(実績!$W$6:$W$505,BK$3,実績!$AC$6:$AC$505,"&lt;="&amp;$A289,実績!$AD$6:$AD$505,"&gt;"&amp;$A289,実績!$AE$6:$AE$505,"○")&gt;0,1,0))</f>
        <v/>
      </c>
      <c r="BL289">
        <f>IF(BL$4=0,0,IF(COUNTIFS(実績!$W$6:$W$505,BL$3,実績!$AC$6:$AC$505,"&lt;="&amp;$A289,実績!$AD$6:$AD$505,"&gt;"&amp;$A289,実績!$AE$6:$AE$505,"○")&gt;0,1,0))</f>
        <v/>
      </c>
      <c r="BM289">
        <f>IF(BM$4=0,0,IF(COUNTIFS(実績!$W$6:$W$505,BM$3,実績!$AC$6:$AC$505,"&lt;="&amp;$A289,実績!$AD$6:$AD$505,"&gt;"&amp;$A289,実績!$AE$6:$AE$505,"○")&gt;0,1,0))</f>
        <v/>
      </c>
      <c r="BN289">
        <f>IF(BN$4=0,0,IF(COUNTIFS(実績!$W$6:$W$505,BN$3,実績!$AC$6:$AC$505,"&lt;="&amp;$A289,実績!$AD$6:$AD$505,"&gt;"&amp;$A289,実績!$AE$6:$AE$505,"○")&gt;0,1,0))</f>
        <v/>
      </c>
      <c r="BO289">
        <f>IF(BO$4=0,0,IF(COUNTIFS(実績!$W$6:$W$505,BO$3,実績!$AC$6:$AC$505,"&lt;="&amp;$A289,実績!$AD$6:$AD$505,"&gt;"&amp;$A289,実績!$AE$6:$AE$505,"○")&gt;0,1,0))</f>
        <v/>
      </c>
      <c r="BP289">
        <f>IF(BP$4=0,0,IF(COUNTIFS(実績!$W$6:$W$505,BP$3,実績!$AC$6:$AC$505,"&lt;="&amp;$A289,実績!$AD$6:$AD$505,"&gt;"&amp;$A289,実績!$AE$6:$AE$505,"○")&gt;0,1,0))</f>
        <v/>
      </c>
      <c r="BQ289">
        <f>IF(BQ$4=0,0,IF(COUNTIFS(実績!$W$6:$W$505,BQ$3,実績!$AC$6:$AC$505,"&lt;="&amp;$A289,実績!$AD$6:$AD$505,"&gt;"&amp;$A289,実績!$AE$6:$AE$505,"○")&gt;0,1,0))</f>
        <v/>
      </c>
      <c r="BR289">
        <f>IF(BR$4=0,0,IF(COUNTIFS(実績!$W$6:$W$505,BR$3,実績!$AC$6:$AC$505,"&lt;="&amp;$A289,実績!$AD$6:$AD$505,"&gt;"&amp;$A289,実績!$AE$6:$AE$505,"○")&gt;0,1,0))</f>
        <v/>
      </c>
      <c r="BS289">
        <f>IF(BS$4=0,0,IF(COUNTIFS(実績!$W$6:$W$505,BS$3,実績!$AC$6:$AC$505,"&lt;="&amp;$A289,実績!$AD$6:$AD$505,"&gt;"&amp;$A289,実績!$AE$6:$AE$505,"○")&gt;0,1,0))</f>
        <v/>
      </c>
      <c r="BT289">
        <f>IF(BT$4=0,0,IF(COUNTIFS(実績!$W$6:$W$505,BT$3,実績!$AC$6:$AC$505,"&lt;="&amp;$A289,実績!$AD$6:$AD$505,"&gt;"&amp;$A289,実績!$AE$6:$AE$505,"○")&gt;0,1,0))</f>
        <v/>
      </c>
      <c r="BU289">
        <f>IF(BU$4=0,0,IF(COUNTIFS(実績!$W$6:$W$505,BU$3,実績!$AC$6:$AC$505,"&lt;="&amp;$A289,実績!$AD$6:$AD$505,"&gt;"&amp;$A289,実績!$AE$6:$AE$505,"○")&gt;0,1,0))</f>
        <v/>
      </c>
      <c r="BV289">
        <f>IF(BV$4=0,0,IF(COUNTIFS(実績!$W$6:$W$505,BV$3,実績!$AC$6:$AC$505,"&lt;="&amp;$A289,実績!$AD$6:$AD$505,"&gt;"&amp;$A289,実績!$AE$6:$AE$505,"○")&gt;0,1,0))</f>
        <v/>
      </c>
      <c r="BW289">
        <f>IF(BW$4=0,0,IF(COUNTIFS(実績!$W$6:$W$505,BW$3,実績!$AC$6:$AC$505,"&lt;="&amp;$A289,実績!$AD$6:$AD$505,"&gt;"&amp;$A289,実績!$AE$6:$AE$505,"○")&gt;0,1,0))</f>
        <v/>
      </c>
      <c r="BX289">
        <f>IF(BX$4=0,0,IF(COUNTIFS(実績!$W$6:$W$505,BX$3,実績!$AC$6:$AC$505,"&lt;="&amp;$A289,実績!$AD$6:$AD$505,"&gt;"&amp;$A289,実績!$AE$6:$AE$505,"○")&gt;0,1,0))</f>
        <v/>
      </c>
      <c r="BY289">
        <f>IF(BY$4=0,0,IF(COUNTIFS(実績!$W$6:$W$505,BY$3,実績!$AC$6:$AC$505,"&lt;="&amp;$A289,実績!$AD$6:$AD$505,"&gt;"&amp;$A289,実績!$AE$6:$AE$505,"○")&gt;0,1,0))</f>
        <v/>
      </c>
      <c r="BZ289">
        <f>IF(BZ$4=0,0,IF(COUNTIFS(実績!$W$6:$W$505,BZ$3,実績!$AC$6:$AC$505,"&lt;="&amp;$A289,実績!$AD$6:$AD$505,"&gt;"&amp;$A289,実績!$AE$6:$AE$505,"○")&gt;0,1,0))</f>
        <v/>
      </c>
      <c r="CA289">
        <f>IF(CA$4=0,0,IF(COUNTIFS(実績!$W$6:$W$505,CA$3,実績!$AC$6:$AC$505,"&lt;="&amp;$A289,実績!$AD$6:$AD$505,"&gt;"&amp;$A289,実績!$AE$6:$AE$505,"○")&gt;0,1,0))</f>
        <v/>
      </c>
      <c r="CB289">
        <f>IF(CB$4=0,0,IF(COUNTIFS(実績!$W$6:$W$505,CB$3,実績!$AC$6:$AC$505,"&lt;="&amp;$A289,実績!$AD$6:$AD$505,"&gt;"&amp;$A289,実績!$AE$6:$AE$505,"○")&gt;0,1,0))</f>
        <v/>
      </c>
      <c r="CC289">
        <f>IF(CC$4=0,0,IF(COUNTIFS(実績!$W$6:$W$505,CC$3,実績!$AC$6:$AC$505,"&lt;="&amp;$A289,実績!$AD$6:$AD$505,"&gt;"&amp;$A289,実績!$AE$6:$AE$505,"○")&gt;0,1,0))</f>
        <v/>
      </c>
      <c r="CD289">
        <f>IF(CD$4=0,0,IF(COUNTIFS(実績!$W$6:$W$505,CD$3,実績!$AC$6:$AC$505,"&lt;="&amp;$A289,実績!$AD$6:$AD$505,"&gt;"&amp;$A289,実績!$AE$6:$AE$505,"○")&gt;0,1,0))</f>
        <v/>
      </c>
      <c r="CE289">
        <f>IF(CE$4=0,0,IF(COUNTIFS(実績!$W$6:$W$505,CE$3,実績!$AC$6:$AC$505,"&lt;="&amp;$A289,実績!$AD$6:$AD$505,"&gt;"&amp;$A289,実績!$AE$6:$AE$505,"○")&gt;0,1,0))</f>
        <v/>
      </c>
      <c r="CF289">
        <f>IF(CF$4=0,0,IF(COUNTIFS(実績!$W$6:$W$505,CF$3,実績!$AC$6:$AC$505,"&lt;="&amp;$A289,実績!$AD$6:$AD$505,"&gt;"&amp;$A289,実績!$AE$6:$AE$505,"○")&gt;0,1,0))</f>
        <v/>
      </c>
      <c r="CG289">
        <f>IF(CG$4=0,0,IF(COUNTIFS(実績!$W$6:$W$505,CG$3,実績!$AC$6:$AC$505,"&lt;="&amp;$A289,実績!$AD$6:$AD$505,"&gt;"&amp;$A289,実績!$AE$6:$AE$505,"○")&gt;0,1,0))</f>
        <v/>
      </c>
      <c r="CH289">
        <f>IF(CH$4=0,0,IF(COUNTIFS(実績!$W$6:$W$505,CH$3,実績!$AC$6:$AC$505,"&lt;="&amp;$A289,実績!$AD$6:$AD$505,"&gt;"&amp;$A289,実績!$AE$6:$AE$505,"○")&gt;0,1,0))</f>
        <v/>
      </c>
      <c r="CI289">
        <f>IF(CI$4=0,0,IF(COUNTIFS(実績!$W$6:$W$505,CI$3,実績!$AC$6:$AC$505,"&lt;="&amp;$A289,実績!$AD$6:$AD$505,"&gt;"&amp;$A289,実績!$AE$6:$AE$505,"○")&gt;0,1,0))</f>
        <v/>
      </c>
      <c r="CJ289">
        <f>IF(CJ$4=0,0,IF(COUNTIFS(実績!$W$6:$W$505,CJ$3,実績!$AC$6:$AC$505,"&lt;="&amp;$A289,実績!$AD$6:$AD$505,"&gt;"&amp;$A289,実績!$AE$6:$AE$505,"○")&gt;0,1,0))</f>
        <v/>
      </c>
      <c r="CK289">
        <f>IF(CK$4=0,0,IF(COUNTIFS(実績!$W$6:$W$505,CK$3,実績!$AC$6:$AC$505,"&lt;="&amp;$A289,実績!$AD$6:$AD$505,"&gt;"&amp;$A289,実績!$AE$6:$AE$505,"○")&gt;0,1,0))</f>
        <v/>
      </c>
      <c r="CL289">
        <f>IF(CL$4=0,0,IF(COUNTIFS(実績!$W$6:$W$505,CL$3,実績!$AC$6:$AC$505,"&lt;="&amp;$A289,実績!$AD$6:$AD$505,"&gt;"&amp;$A289,実績!$AE$6:$AE$505,"○")&gt;0,1,0))</f>
        <v/>
      </c>
      <c r="CM289">
        <f>IF(CM$4=0,0,IF(COUNTIFS(実績!$W$6:$W$505,CM$3,実績!$AC$6:$AC$505,"&lt;="&amp;$A289,実績!$AD$6:$AD$505,"&gt;"&amp;$A289,実績!$AE$6:$AE$505,"○")&gt;0,1,0))</f>
        <v/>
      </c>
      <c r="CN289">
        <f>IF(CN$4=0,0,IF(COUNTIFS(実績!$W$6:$W$505,CN$3,実績!$AC$6:$AC$505,"&lt;="&amp;$A289,実績!$AD$6:$AD$505,"&gt;"&amp;$A289,実績!$AE$6:$AE$505,"○")&gt;0,1,0))</f>
        <v/>
      </c>
      <c r="CO289">
        <f>IF(CO$4=0,0,IF(COUNTIFS(実績!$W$6:$W$505,CO$3,実績!$AC$6:$AC$505,"&lt;="&amp;$A289,実績!$AD$6:$AD$505,"&gt;"&amp;$A289,実績!$AE$6:$AE$505,"○")&gt;0,1,0))</f>
        <v/>
      </c>
      <c r="CP289">
        <f>IF(CP$4=0,0,IF(COUNTIFS(実績!$W$6:$W$505,CP$3,実績!$AC$6:$AC$505,"&lt;="&amp;$A289,実績!$AD$6:$AD$505,"&gt;"&amp;$A289,実績!$AE$6:$AE$505,"○")&gt;0,1,0))</f>
        <v/>
      </c>
      <c r="CQ289">
        <f>IF(CQ$4=0,0,IF(COUNTIFS(実績!$W$6:$W$505,CQ$3,実績!$AC$6:$AC$505,"&lt;="&amp;$A289,実績!$AD$6:$AD$505,"&gt;"&amp;$A289,実績!$AE$6:$AE$505,"○")&gt;0,1,0))</f>
        <v/>
      </c>
      <c r="CR289">
        <f>IF(CR$4=0,0,IF(COUNTIFS(実績!$W$6:$W$505,CR$3,実績!$AC$6:$AC$505,"&lt;="&amp;$A289,実績!$AD$6:$AD$505,"&gt;"&amp;$A289,実績!$AE$6:$AE$505,"○")&gt;0,1,0))</f>
        <v/>
      </c>
      <c r="CS289">
        <f>IF(CS$4=0,0,IF(COUNTIFS(実績!$W$6:$W$505,CS$3,実績!$AC$6:$AC$505,"&lt;="&amp;$A289,実績!$AD$6:$AD$505,"&gt;"&amp;$A289,実績!$AE$6:$AE$505,"○")&gt;0,1,0))</f>
        <v/>
      </c>
      <c r="CT289">
        <f>IF(CT$4=0,0,IF(COUNTIFS(実績!$W$6:$W$505,CT$3,実績!$AC$6:$AC$505,"&lt;="&amp;$A289,実績!$AD$6:$AD$505,"&gt;"&amp;$A289,実績!$AE$6:$AE$505,"○")&gt;0,1,0))</f>
        <v/>
      </c>
      <c r="CU289">
        <f>IF(CU$4=0,0,IF(COUNTIFS(実績!$W$6:$W$505,CU$3,実績!$AC$6:$AC$505,"&lt;="&amp;$A289,実績!$AD$6:$AD$505,"&gt;"&amp;$A289,実績!$AE$6:$AE$505,"○")&gt;0,1,0))</f>
        <v/>
      </c>
      <c r="CV289">
        <f>IF(CV$4=0,0,IF(COUNTIFS(実績!$W$6:$W$505,CV$3,実績!$AC$6:$AC$505,"&lt;="&amp;$A289,実績!$AD$6:$AD$505,"&gt;"&amp;$A289,実績!$AE$6:$AE$505,"○")&gt;0,1,0))</f>
        <v/>
      </c>
      <c r="CW289">
        <f>IF(CW$4=0,0,IF(COUNTIFS(実績!$W$6:$W$505,CW$3,実績!$AC$6:$AC$505,"&lt;="&amp;$A289,実績!$AD$6:$AD$505,"&gt;"&amp;$A289,実績!$AE$6:$AE$505,"○")&gt;0,1,0))</f>
        <v/>
      </c>
      <c r="CX289">
        <f>IF(CX$4=0,0,IF(COUNTIFS(実績!$W$6:$W$505,CX$3,実績!$AC$6:$AC$505,"&lt;="&amp;$A289,実績!$AD$6:$AD$505,"&gt;"&amp;$A289,実績!$AE$6:$AE$505,"○")&gt;0,1,0))</f>
        <v/>
      </c>
      <c r="CY289">
        <f>IF(CY$4=0,0,IF(COUNTIFS(実績!$W$6:$W$505,CY$3,実績!$AC$6:$AC$505,"&lt;="&amp;$A289,実績!$AD$6:$AD$505,"&gt;"&amp;$A289,実績!$AE$6:$AE$505,"○")&gt;0,1,0))</f>
        <v/>
      </c>
      <c r="CZ289">
        <f>IF(CZ$4=0,0,IF(COUNTIFS(実績!$W$6:$W$505,CZ$3,実績!$AC$6:$AC$505,"&lt;="&amp;$A289,実績!$AD$6:$AD$505,"&gt;"&amp;$A289,実績!$AE$6:$AE$505,"○")&gt;0,1,0))</f>
        <v/>
      </c>
      <c r="DA289">
        <f>IF(DA$4=0,0,IF(COUNTIFS(実績!$W$6:$W$505,DA$3,実績!$AC$6:$AC$505,"&lt;="&amp;$A289,実績!$AD$6:$AD$505,"&gt;"&amp;$A289,実績!$AE$6:$AE$505,"○")&gt;0,1,0))</f>
        <v/>
      </c>
      <c r="DB289">
        <f>IF(DB$4=0,0,IF(COUNTIFS(実績!$W$6:$W$505,DB$3,実績!$AC$6:$AC$505,"&lt;="&amp;$A289,実績!$AD$6:$AD$505,"&gt;"&amp;$A289,実績!$AE$6:$AE$505,"○")&gt;0,1,0))</f>
        <v/>
      </c>
      <c r="DC289">
        <f>IF(DC$4=0,0,IF(COUNTIFS(実績!$W$6:$W$505,DC$3,実績!$AC$6:$AC$505,"&lt;="&amp;$A289,実績!$AD$6:$AD$505,"&gt;"&amp;$A289,実績!$AE$6:$AE$505,"○")&gt;0,1,0))</f>
        <v/>
      </c>
      <c r="DD289">
        <f>IF(DD$4=0,0,IF(COUNTIFS(実績!$W$6:$W$505,DD$3,実績!$AC$6:$AC$505,"&lt;="&amp;$A289,実績!$AD$6:$AD$505,"&gt;"&amp;$A289,実績!$AE$6:$AE$505,"○")&gt;0,1,0))</f>
        <v/>
      </c>
      <c r="DE289">
        <f>IF(DE$4=0,0,IF(COUNTIFS(実績!$W$6:$W$505,DE$3,実績!$AC$6:$AC$505,"&lt;="&amp;$A289,実績!$AD$6:$AD$505,"&gt;"&amp;$A289,実績!$AE$6:$AE$505,"○")&gt;0,1,0))</f>
        <v/>
      </c>
      <c r="DF289">
        <f>IF(DF$4=0,0,IF(COUNTIFS(実績!$W$6:$W$505,DF$3,実績!$AC$6:$AC$505,"&lt;="&amp;$A289,実績!$AD$6:$AD$505,"&gt;"&amp;$A289,実績!$AE$6:$AE$505,"○")&gt;0,1,0))</f>
        <v/>
      </c>
      <c r="DG289">
        <f>IF(DG$4=0,0,IF(COUNTIFS(実績!$W$6:$W$505,DG$3,実績!$AC$6:$AC$505,"&lt;="&amp;$A289,実績!$AD$6:$AD$505,"&gt;"&amp;$A289,実績!$AE$6:$AE$505,"○")&gt;0,1,0))</f>
        <v/>
      </c>
      <c r="DH289">
        <f>IF(DH$4=0,0,IF(COUNTIFS(実績!$W$6:$W$505,DH$3,実績!$AC$6:$AC$505,"&lt;="&amp;$A289,実績!$AD$6:$AD$505,"&gt;"&amp;$A289,実績!$AE$6:$AE$505,"○")&gt;0,1,0))</f>
        <v/>
      </c>
      <c r="DI289">
        <f>IF(DI$4=0,0,IF(COUNTIFS(実績!$W$6:$W$505,DI$3,実績!$AC$6:$AC$505,"&lt;="&amp;$A289,実績!$AD$6:$AD$505,"&gt;"&amp;$A289,実績!$AE$6:$AE$505,"○")&gt;0,1,0))</f>
        <v/>
      </c>
      <c r="DJ289">
        <f>IF(DJ$4=0,0,IF(COUNTIFS(実績!$W$6:$W$505,DJ$3,実績!$AC$6:$AC$505,"&lt;="&amp;$A289,実績!$AD$6:$AD$505,"&gt;"&amp;$A289,実績!$AE$6:$AE$505,"○")&gt;0,1,0))</f>
        <v/>
      </c>
      <c r="DK289">
        <f>IF(DK$4=0,0,IF(COUNTIFS(実績!$W$6:$W$505,DK$3,実績!$AC$6:$AC$505,"&lt;="&amp;$A289,実績!$AD$6:$AD$505,"&gt;"&amp;$A289,実績!$AE$6:$AE$505,"○")&gt;0,1,0))</f>
        <v/>
      </c>
      <c r="DL289">
        <f>IF(DL$4=0,0,IF(COUNTIFS(実績!$W$6:$W$505,DL$3,実績!$AC$6:$AC$505,"&lt;="&amp;$A289,実績!$AD$6:$AD$505,"&gt;"&amp;$A289,実績!$AE$6:$AE$505,"○")&gt;0,1,0))</f>
        <v/>
      </c>
      <c r="DM289">
        <f>IF(DM$4=0,0,IF(COUNTIFS(実績!$W$6:$W$505,DM$3,実績!$AC$6:$AC$505,"&lt;="&amp;$A289,実績!$AD$6:$AD$505,"&gt;"&amp;$A289,実績!$AE$6:$AE$505,"○")&gt;0,1,0))</f>
        <v/>
      </c>
      <c r="DN289">
        <f>IF(DN$4=0,0,IF(COUNTIFS(実績!$W$6:$W$505,DN$3,実績!$AC$6:$AC$505,"&lt;="&amp;$A289,実績!$AD$6:$AD$505,"&gt;"&amp;$A289,実績!$AE$6:$AE$505,"○")&gt;0,1,0))</f>
        <v/>
      </c>
      <c r="DO289">
        <f>IF(DO$4=0,0,IF(COUNTIFS(実績!$W$6:$W$505,DO$3,実績!$AC$6:$AC$505,"&lt;="&amp;$A289,実績!$AD$6:$AD$505,"&gt;"&amp;$A289,実績!$AE$6:$AE$505,"○")&gt;0,1,0))</f>
        <v/>
      </c>
      <c r="DP289">
        <f>IF(DP$4=0,0,IF(COUNTIFS(実績!$W$6:$W$505,DP$3,実績!$AC$6:$AC$505,"&lt;="&amp;$A289,実績!$AD$6:$AD$505,"&gt;"&amp;$A289,実績!$AE$6:$AE$505,"○")&gt;0,1,0))</f>
        <v/>
      </c>
      <c r="DQ289">
        <f>IF(DQ$4=0,0,IF(COUNTIFS(実績!$W$6:$W$505,DQ$3,実績!$AC$6:$AC$505,"&lt;="&amp;$A289,実績!$AD$6:$AD$505,"&gt;"&amp;$A289,実績!$AE$6:$AE$505,"○")&gt;0,1,0))</f>
        <v/>
      </c>
      <c r="DR289">
        <f>IF(DR$4=0,0,IF(COUNTIFS(実績!$W$6:$W$505,DR$3,実績!$AC$6:$AC$505,"&lt;="&amp;$A289,実績!$AD$6:$AD$505,"&gt;"&amp;$A289,実績!$AE$6:$AE$505,"○")&gt;0,1,0))</f>
        <v/>
      </c>
      <c r="DS289">
        <f>SUM(C289:DR289)</f>
        <v/>
      </c>
      <c r="DT289">
        <f>SUMPRODUCT((実績!$C$6:$C$505="○")*ISNUMBER(実績!$AF$6:$AF$505)*(実績!$AF$6:$AF$505&lt;=$A289)*(実績!$AG$6:$AG$505&gt;$A289))</f>
        <v/>
      </c>
      <c r="DU289">
        <f>SUMIF($C$2:$DR$2,"製鉄曳船",C289:DR289)</f>
        <v/>
      </c>
      <c r="DV289">
        <f>SUMIF($C$2:$DR$2,"西日本海運",C289:DR289)</f>
        <v/>
      </c>
    </row>
    <row r="290">
      <c r="A290" t="n">
        <v>1420</v>
      </c>
      <c r="B290" s="29">
        <f>A290/1440</f>
        <v/>
      </c>
      <c r="C290">
        <f>IF(C$4=0,0,IF(COUNTIFS(実績!$W$6:$W$505,C$3,実績!$AC$6:$AC$505,"&lt;="&amp;$A290,実績!$AD$6:$AD$505,"&gt;"&amp;$A290,実績!$AE$6:$AE$505,"○")&gt;0,1,0))</f>
        <v/>
      </c>
      <c r="D290">
        <f>IF(D$4=0,0,IF(COUNTIFS(実績!$W$6:$W$505,D$3,実績!$AC$6:$AC$505,"&lt;="&amp;$A290,実績!$AD$6:$AD$505,"&gt;"&amp;$A290,実績!$AE$6:$AE$505,"○")&gt;0,1,0))</f>
        <v/>
      </c>
      <c r="E290">
        <f>IF(E$4=0,0,IF(COUNTIFS(実績!$W$6:$W$505,E$3,実績!$AC$6:$AC$505,"&lt;="&amp;$A290,実績!$AD$6:$AD$505,"&gt;"&amp;$A290,実績!$AE$6:$AE$505,"○")&gt;0,1,0))</f>
        <v/>
      </c>
      <c r="F290">
        <f>IF(F$4=0,0,IF(COUNTIFS(実績!$W$6:$W$505,F$3,実績!$AC$6:$AC$505,"&lt;="&amp;$A290,実績!$AD$6:$AD$505,"&gt;"&amp;$A290,実績!$AE$6:$AE$505,"○")&gt;0,1,0))</f>
        <v/>
      </c>
      <c r="G290">
        <f>IF(G$4=0,0,IF(COUNTIFS(実績!$W$6:$W$505,G$3,実績!$AC$6:$AC$505,"&lt;="&amp;$A290,実績!$AD$6:$AD$505,"&gt;"&amp;$A290,実績!$AE$6:$AE$505,"○")&gt;0,1,0))</f>
        <v/>
      </c>
      <c r="H290">
        <f>IF(H$4=0,0,IF(COUNTIFS(実績!$W$6:$W$505,H$3,実績!$AC$6:$AC$505,"&lt;="&amp;$A290,実績!$AD$6:$AD$505,"&gt;"&amp;$A290,実績!$AE$6:$AE$505,"○")&gt;0,1,0))</f>
        <v/>
      </c>
      <c r="I290">
        <f>IF(I$4=0,0,IF(COUNTIFS(実績!$W$6:$W$505,I$3,実績!$AC$6:$AC$505,"&lt;="&amp;$A290,実績!$AD$6:$AD$505,"&gt;"&amp;$A290,実績!$AE$6:$AE$505,"○")&gt;0,1,0))</f>
        <v/>
      </c>
      <c r="J290">
        <f>IF(J$4=0,0,IF(COUNTIFS(実績!$W$6:$W$505,J$3,実績!$AC$6:$AC$505,"&lt;="&amp;$A290,実績!$AD$6:$AD$505,"&gt;"&amp;$A290,実績!$AE$6:$AE$505,"○")&gt;0,1,0))</f>
        <v/>
      </c>
      <c r="K290">
        <f>IF(K$4=0,0,IF(COUNTIFS(実績!$W$6:$W$505,K$3,実績!$AC$6:$AC$505,"&lt;="&amp;$A290,実績!$AD$6:$AD$505,"&gt;"&amp;$A290,実績!$AE$6:$AE$505,"○")&gt;0,1,0))</f>
        <v/>
      </c>
      <c r="L290">
        <f>IF(L$4=0,0,IF(COUNTIFS(実績!$W$6:$W$505,L$3,実績!$AC$6:$AC$505,"&lt;="&amp;$A290,実績!$AD$6:$AD$505,"&gt;"&amp;$A290,実績!$AE$6:$AE$505,"○")&gt;0,1,0))</f>
        <v/>
      </c>
      <c r="M290">
        <f>IF(M$4=0,0,IF(COUNTIFS(実績!$W$6:$W$505,M$3,実績!$AC$6:$AC$505,"&lt;="&amp;$A290,実績!$AD$6:$AD$505,"&gt;"&amp;$A290,実績!$AE$6:$AE$505,"○")&gt;0,1,0))</f>
        <v/>
      </c>
      <c r="N290">
        <f>IF(N$4=0,0,IF(COUNTIFS(実績!$W$6:$W$505,N$3,実績!$AC$6:$AC$505,"&lt;="&amp;$A290,実績!$AD$6:$AD$505,"&gt;"&amp;$A290,実績!$AE$6:$AE$505,"○")&gt;0,1,0))</f>
        <v/>
      </c>
      <c r="O290">
        <f>IF(O$4=0,0,IF(COUNTIFS(実績!$W$6:$W$505,O$3,実績!$AC$6:$AC$505,"&lt;="&amp;$A290,実績!$AD$6:$AD$505,"&gt;"&amp;$A290,実績!$AE$6:$AE$505,"○")&gt;0,1,0))</f>
        <v/>
      </c>
      <c r="P290">
        <f>IF(P$4=0,0,IF(COUNTIFS(実績!$W$6:$W$505,P$3,実績!$AC$6:$AC$505,"&lt;="&amp;$A290,実績!$AD$6:$AD$505,"&gt;"&amp;$A290,実績!$AE$6:$AE$505,"○")&gt;0,1,0))</f>
        <v/>
      </c>
      <c r="Q290">
        <f>IF(Q$4=0,0,IF(COUNTIFS(実績!$W$6:$W$505,Q$3,実績!$AC$6:$AC$505,"&lt;="&amp;$A290,実績!$AD$6:$AD$505,"&gt;"&amp;$A290,実績!$AE$6:$AE$505,"○")&gt;0,1,0))</f>
        <v/>
      </c>
      <c r="R290">
        <f>IF(R$4=0,0,IF(COUNTIFS(実績!$W$6:$W$505,R$3,実績!$AC$6:$AC$505,"&lt;="&amp;$A290,実績!$AD$6:$AD$505,"&gt;"&amp;$A290,実績!$AE$6:$AE$505,"○")&gt;0,1,0))</f>
        <v/>
      </c>
      <c r="S290">
        <f>IF(S$4=0,0,IF(COUNTIFS(実績!$W$6:$W$505,S$3,実績!$AC$6:$AC$505,"&lt;="&amp;$A290,実績!$AD$6:$AD$505,"&gt;"&amp;$A290,実績!$AE$6:$AE$505,"○")&gt;0,1,0))</f>
        <v/>
      </c>
      <c r="T290">
        <f>IF(T$4=0,0,IF(COUNTIFS(実績!$W$6:$W$505,T$3,実績!$AC$6:$AC$505,"&lt;="&amp;$A290,実績!$AD$6:$AD$505,"&gt;"&amp;$A290,実績!$AE$6:$AE$505,"○")&gt;0,1,0))</f>
        <v/>
      </c>
      <c r="U290">
        <f>IF(U$4=0,0,IF(COUNTIFS(実績!$W$6:$W$505,U$3,実績!$AC$6:$AC$505,"&lt;="&amp;$A290,実績!$AD$6:$AD$505,"&gt;"&amp;$A290,実績!$AE$6:$AE$505,"○")&gt;0,1,0))</f>
        <v/>
      </c>
      <c r="V290">
        <f>IF(V$4=0,0,IF(COUNTIFS(実績!$W$6:$W$505,V$3,実績!$AC$6:$AC$505,"&lt;="&amp;$A290,実績!$AD$6:$AD$505,"&gt;"&amp;$A290,実績!$AE$6:$AE$505,"○")&gt;0,1,0))</f>
        <v/>
      </c>
      <c r="W290">
        <f>IF(W$4=0,0,IF(COUNTIFS(実績!$W$6:$W$505,W$3,実績!$AC$6:$AC$505,"&lt;="&amp;$A290,実績!$AD$6:$AD$505,"&gt;"&amp;$A290,実績!$AE$6:$AE$505,"○")&gt;0,1,0))</f>
        <v/>
      </c>
      <c r="X290">
        <f>IF(X$4=0,0,IF(COUNTIFS(実績!$W$6:$W$505,X$3,実績!$AC$6:$AC$505,"&lt;="&amp;$A290,実績!$AD$6:$AD$505,"&gt;"&amp;$A290,実績!$AE$6:$AE$505,"○")&gt;0,1,0))</f>
        <v/>
      </c>
      <c r="Y290">
        <f>IF(Y$4=0,0,IF(COUNTIFS(実績!$W$6:$W$505,Y$3,実績!$AC$6:$AC$505,"&lt;="&amp;$A290,実績!$AD$6:$AD$505,"&gt;"&amp;$A290,実績!$AE$6:$AE$505,"○")&gt;0,1,0))</f>
        <v/>
      </c>
      <c r="Z290">
        <f>IF(Z$4=0,0,IF(COUNTIFS(実績!$W$6:$W$505,Z$3,実績!$AC$6:$AC$505,"&lt;="&amp;$A290,実績!$AD$6:$AD$505,"&gt;"&amp;$A290,実績!$AE$6:$AE$505,"○")&gt;0,1,0))</f>
        <v/>
      </c>
      <c r="AA290">
        <f>IF(AA$4=0,0,IF(COUNTIFS(実績!$W$6:$W$505,AA$3,実績!$AC$6:$AC$505,"&lt;="&amp;$A290,実績!$AD$6:$AD$505,"&gt;"&amp;$A290,実績!$AE$6:$AE$505,"○")&gt;0,1,0))</f>
        <v/>
      </c>
      <c r="AB290">
        <f>IF(AB$4=0,0,IF(COUNTIFS(実績!$W$6:$W$505,AB$3,実績!$AC$6:$AC$505,"&lt;="&amp;$A290,実績!$AD$6:$AD$505,"&gt;"&amp;$A290,実績!$AE$6:$AE$505,"○")&gt;0,1,0))</f>
        <v/>
      </c>
      <c r="AC290">
        <f>IF(AC$4=0,0,IF(COUNTIFS(実績!$W$6:$W$505,AC$3,実績!$AC$6:$AC$505,"&lt;="&amp;$A290,実績!$AD$6:$AD$505,"&gt;"&amp;$A290,実績!$AE$6:$AE$505,"○")&gt;0,1,0))</f>
        <v/>
      </c>
      <c r="AD290">
        <f>IF(AD$4=0,0,IF(COUNTIFS(実績!$W$6:$W$505,AD$3,実績!$AC$6:$AC$505,"&lt;="&amp;$A290,実績!$AD$6:$AD$505,"&gt;"&amp;$A290,実績!$AE$6:$AE$505,"○")&gt;0,1,0))</f>
        <v/>
      </c>
      <c r="AE290">
        <f>IF(AE$4=0,0,IF(COUNTIFS(実績!$W$6:$W$505,AE$3,実績!$AC$6:$AC$505,"&lt;="&amp;$A290,実績!$AD$6:$AD$505,"&gt;"&amp;$A290,実績!$AE$6:$AE$505,"○")&gt;0,1,0))</f>
        <v/>
      </c>
      <c r="AF290">
        <f>IF(AF$4=0,0,IF(COUNTIFS(実績!$W$6:$W$505,AF$3,実績!$AC$6:$AC$505,"&lt;="&amp;$A290,実績!$AD$6:$AD$505,"&gt;"&amp;$A290,実績!$AE$6:$AE$505,"○")&gt;0,1,0))</f>
        <v/>
      </c>
      <c r="AG290">
        <f>IF(AG$4=0,0,IF(COUNTIFS(実績!$W$6:$W$505,AG$3,実績!$AC$6:$AC$505,"&lt;="&amp;$A290,実績!$AD$6:$AD$505,"&gt;"&amp;$A290,実績!$AE$6:$AE$505,"○")&gt;0,1,0))</f>
        <v/>
      </c>
      <c r="AH290">
        <f>IF(AH$4=0,0,IF(COUNTIFS(実績!$W$6:$W$505,AH$3,実績!$AC$6:$AC$505,"&lt;="&amp;$A290,実績!$AD$6:$AD$505,"&gt;"&amp;$A290,実績!$AE$6:$AE$505,"○")&gt;0,1,0))</f>
        <v/>
      </c>
      <c r="AI290">
        <f>IF(AI$4=0,0,IF(COUNTIFS(実績!$W$6:$W$505,AI$3,実績!$AC$6:$AC$505,"&lt;="&amp;$A290,実績!$AD$6:$AD$505,"&gt;"&amp;$A290,実績!$AE$6:$AE$505,"○")&gt;0,1,0))</f>
        <v/>
      </c>
      <c r="AJ290">
        <f>IF(AJ$4=0,0,IF(COUNTIFS(実績!$W$6:$W$505,AJ$3,実績!$AC$6:$AC$505,"&lt;="&amp;$A290,実績!$AD$6:$AD$505,"&gt;"&amp;$A290,実績!$AE$6:$AE$505,"○")&gt;0,1,0))</f>
        <v/>
      </c>
      <c r="AK290">
        <f>IF(AK$4=0,0,IF(COUNTIFS(実績!$W$6:$W$505,AK$3,実績!$AC$6:$AC$505,"&lt;="&amp;$A290,実績!$AD$6:$AD$505,"&gt;"&amp;$A290,実績!$AE$6:$AE$505,"○")&gt;0,1,0))</f>
        <v/>
      </c>
      <c r="AL290">
        <f>IF(AL$4=0,0,IF(COUNTIFS(実績!$W$6:$W$505,AL$3,実績!$AC$6:$AC$505,"&lt;="&amp;$A290,実績!$AD$6:$AD$505,"&gt;"&amp;$A290,実績!$AE$6:$AE$505,"○")&gt;0,1,0))</f>
        <v/>
      </c>
      <c r="AM290">
        <f>IF(AM$4=0,0,IF(COUNTIFS(実績!$W$6:$W$505,AM$3,実績!$AC$6:$AC$505,"&lt;="&amp;$A290,実績!$AD$6:$AD$505,"&gt;"&amp;$A290,実績!$AE$6:$AE$505,"○")&gt;0,1,0))</f>
        <v/>
      </c>
      <c r="AN290">
        <f>IF(AN$4=0,0,IF(COUNTIFS(実績!$W$6:$W$505,AN$3,実績!$AC$6:$AC$505,"&lt;="&amp;$A290,実績!$AD$6:$AD$505,"&gt;"&amp;$A290,実績!$AE$6:$AE$505,"○")&gt;0,1,0))</f>
        <v/>
      </c>
      <c r="AO290">
        <f>IF(AO$4=0,0,IF(COUNTIFS(実績!$W$6:$W$505,AO$3,実績!$AC$6:$AC$505,"&lt;="&amp;$A290,実績!$AD$6:$AD$505,"&gt;"&amp;$A290,実績!$AE$6:$AE$505,"○")&gt;0,1,0))</f>
        <v/>
      </c>
      <c r="AP290">
        <f>IF(AP$4=0,0,IF(COUNTIFS(実績!$W$6:$W$505,AP$3,実績!$AC$6:$AC$505,"&lt;="&amp;$A290,実績!$AD$6:$AD$505,"&gt;"&amp;$A290,実績!$AE$6:$AE$505,"○")&gt;0,1,0))</f>
        <v/>
      </c>
      <c r="AQ290">
        <f>IF(AQ$4=0,0,IF(COUNTIFS(実績!$W$6:$W$505,AQ$3,実績!$AC$6:$AC$505,"&lt;="&amp;$A290,実績!$AD$6:$AD$505,"&gt;"&amp;$A290,実績!$AE$6:$AE$505,"○")&gt;0,1,0))</f>
        <v/>
      </c>
      <c r="AR290">
        <f>IF(AR$4=0,0,IF(COUNTIFS(実績!$W$6:$W$505,AR$3,実績!$AC$6:$AC$505,"&lt;="&amp;$A290,実績!$AD$6:$AD$505,"&gt;"&amp;$A290,実績!$AE$6:$AE$505,"○")&gt;0,1,0))</f>
        <v/>
      </c>
      <c r="AS290">
        <f>IF(AS$4=0,0,IF(COUNTIFS(実績!$W$6:$W$505,AS$3,実績!$AC$6:$AC$505,"&lt;="&amp;$A290,実績!$AD$6:$AD$505,"&gt;"&amp;$A290,実績!$AE$6:$AE$505,"○")&gt;0,1,0))</f>
        <v/>
      </c>
      <c r="AT290">
        <f>IF(AT$4=0,0,IF(COUNTIFS(実績!$W$6:$W$505,AT$3,実績!$AC$6:$AC$505,"&lt;="&amp;$A290,実績!$AD$6:$AD$505,"&gt;"&amp;$A290,実績!$AE$6:$AE$505,"○")&gt;0,1,0))</f>
        <v/>
      </c>
      <c r="AU290">
        <f>IF(AU$4=0,0,IF(COUNTIFS(実績!$W$6:$W$505,AU$3,実績!$AC$6:$AC$505,"&lt;="&amp;$A290,実績!$AD$6:$AD$505,"&gt;"&amp;$A290,実績!$AE$6:$AE$505,"○")&gt;0,1,0))</f>
        <v/>
      </c>
      <c r="AV290">
        <f>IF(AV$4=0,0,IF(COUNTIFS(実績!$W$6:$W$505,AV$3,実績!$AC$6:$AC$505,"&lt;="&amp;$A290,実績!$AD$6:$AD$505,"&gt;"&amp;$A290,実績!$AE$6:$AE$505,"○")&gt;0,1,0))</f>
        <v/>
      </c>
      <c r="AW290">
        <f>IF(AW$4=0,0,IF(COUNTIFS(実績!$W$6:$W$505,AW$3,実績!$AC$6:$AC$505,"&lt;="&amp;$A290,実績!$AD$6:$AD$505,"&gt;"&amp;$A290,実績!$AE$6:$AE$505,"○")&gt;0,1,0))</f>
        <v/>
      </c>
      <c r="AX290">
        <f>IF(AX$4=0,0,IF(COUNTIFS(実績!$W$6:$W$505,AX$3,実績!$AC$6:$AC$505,"&lt;="&amp;$A290,実績!$AD$6:$AD$505,"&gt;"&amp;$A290,実績!$AE$6:$AE$505,"○")&gt;0,1,0))</f>
        <v/>
      </c>
      <c r="AY290">
        <f>IF(AY$4=0,0,IF(COUNTIFS(実績!$W$6:$W$505,AY$3,実績!$AC$6:$AC$505,"&lt;="&amp;$A290,実績!$AD$6:$AD$505,"&gt;"&amp;$A290,実績!$AE$6:$AE$505,"○")&gt;0,1,0))</f>
        <v/>
      </c>
      <c r="AZ290">
        <f>IF(AZ$4=0,0,IF(COUNTIFS(実績!$W$6:$W$505,AZ$3,実績!$AC$6:$AC$505,"&lt;="&amp;$A290,実績!$AD$6:$AD$505,"&gt;"&amp;$A290,実績!$AE$6:$AE$505,"○")&gt;0,1,0))</f>
        <v/>
      </c>
      <c r="BA290">
        <f>IF(BA$4=0,0,IF(COUNTIFS(実績!$W$6:$W$505,BA$3,実績!$AC$6:$AC$505,"&lt;="&amp;$A290,実績!$AD$6:$AD$505,"&gt;"&amp;$A290,実績!$AE$6:$AE$505,"○")&gt;0,1,0))</f>
        <v/>
      </c>
      <c r="BB290">
        <f>IF(BB$4=0,0,IF(COUNTIFS(実績!$W$6:$W$505,BB$3,実績!$AC$6:$AC$505,"&lt;="&amp;$A290,実績!$AD$6:$AD$505,"&gt;"&amp;$A290,実績!$AE$6:$AE$505,"○")&gt;0,1,0))</f>
        <v/>
      </c>
      <c r="BC290">
        <f>IF(BC$4=0,0,IF(COUNTIFS(実績!$W$6:$W$505,BC$3,実績!$AC$6:$AC$505,"&lt;="&amp;$A290,実績!$AD$6:$AD$505,"&gt;"&amp;$A290,実績!$AE$6:$AE$505,"○")&gt;0,1,0))</f>
        <v/>
      </c>
      <c r="BD290">
        <f>IF(BD$4=0,0,IF(COUNTIFS(実績!$W$6:$W$505,BD$3,実績!$AC$6:$AC$505,"&lt;="&amp;$A290,実績!$AD$6:$AD$505,"&gt;"&amp;$A290,実績!$AE$6:$AE$505,"○")&gt;0,1,0))</f>
        <v/>
      </c>
      <c r="BE290">
        <f>IF(BE$4=0,0,IF(COUNTIFS(実績!$W$6:$W$505,BE$3,実績!$AC$6:$AC$505,"&lt;="&amp;$A290,実績!$AD$6:$AD$505,"&gt;"&amp;$A290,実績!$AE$6:$AE$505,"○")&gt;0,1,0))</f>
        <v/>
      </c>
      <c r="BF290">
        <f>IF(BF$4=0,0,IF(COUNTIFS(実績!$W$6:$W$505,BF$3,実績!$AC$6:$AC$505,"&lt;="&amp;$A290,実績!$AD$6:$AD$505,"&gt;"&amp;$A290,実績!$AE$6:$AE$505,"○")&gt;0,1,0))</f>
        <v/>
      </c>
      <c r="BG290">
        <f>IF(BG$4=0,0,IF(COUNTIFS(実績!$W$6:$W$505,BG$3,実績!$AC$6:$AC$505,"&lt;="&amp;$A290,実績!$AD$6:$AD$505,"&gt;"&amp;$A290,実績!$AE$6:$AE$505,"○")&gt;0,1,0))</f>
        <v/>
      </c>
      <c r="BH290">
        <f>IF(BH$4=0,0,IF(COUNTIFS(実績!$W$6:$W$505,BH$3,実績!$AC$6:$AC$505,"&lt;="&amp;$A290,実績!$AD$6:$AD$505,"&gt;"&amp;$A290,実績!$AE$6:$AE$505,"○")&gt;0,1,0))</f>
        <v/>
      </c>
      <c r="BI290">
        <f>IF(BI$4=0,0,IF(COUNTIFS(実績!$W$6:$W$505,BI$3,実績!$AC$6:$AC$505,"&lt;="&amp;$A290,実績!$AD$6:$AD$505,"&gt;"&amp;$A290,実績!$AE$6:$AE$505,"○")&gt;0,1,0))</f>
        <v/>
      </c>
      <c r="BJ290">
        <f>IF(BJ$4=0,0,IF(COUNTIFS(実績!$W$6:$W$505,BJ$3,実績!$AC$6:$AC$505,"&lt;="&amp;$A290,実績!$AD$6:$AD$505,"&gt;"&amp;$A290,実績!$AE$6:$AE$505,"○")&gt;0,1,0))</f>
        <v/>
      </c>
      <c r="BK290">
        <f>IF(BK$4=0,0,IF(COUNTIFS(実績!$W$6:$W$505,BK$3,実績!$AC$6:$AC$505,"&lt;="&amp;$A290,実績!$AD$6:$AD$505,"&gt;"&amp;$A290,実績!$AE$6:$AE$505,"○")&gt;0,1,0))</f>
        <v/>
      </c>
      <c r="BL290">
        <f>IF(BL$4=0,0,IF(COUNTIFS(実績!$W$6:$W$505,BL$3,実績!$AC$6:$AC$505,"&lt;="&amp;$A290,実績!$AD$6:$AD$505,"&gt;"&amp;$A290,実績!$AE$6:$AE$505,"○")&gt;0,1,0))</f>
        <v/>
      </c>
      <c r="BM290">
        <f>IF(BM$4=0,0,IF(COUNTIFS(実績!$W$6:$W$505,BM$3,実績!$AC$6:$AC$505,"&lt;="&amp;$A290,実績!$AD$6:$AD$505,"&gt;"&amp;$A290,実績!$AE$6:$AE$505,"○")&gt;0,1,0))</f>
        <v/>
      </c>
      <c r="BN290">
        <f>IF(BN$4=0,0,IF(COUNTIFS(実績!$W$6:$W$505,BN$3,実績!$AC$6:$AC$505,"&lt;="&amp;$A290,実績!$AD$6:$AD$505,"&gt;"&amp;$A290,実績!$AE$6:$AE$505,"○")&gt;0,1,0))</f>
        <v/>
      </c>
      <c r="BO290">
        <f>IF(BO$4=0,0,IF(COUNTIFS(実績!$W$6:$W$505,BO$3,実績!$AC$6:$AC$505,"&lt;="&amp;$A290,実績!$AD$6:$AD$505,"&gt;"&amp;$A290,実績!$AE$6:$AE$505,"○")&gt;0,1,0))</f>
        <v/>
      </c>
      <c r="BP290">
        <f>IF(BP$4=0,0,IF(COUNTIFS(実績!$W$6:$W$505,BP$3,実績!$AC$6:$AC$505,"&lt;="&amp;$A290,実績!$AD$6:$AD$505,"&gt;"&amp;$A290,実績!$AE$6:$AE$505,"○")&gt;0,1,0))</f>
        <v/>
      </c>
      <c r="BQ290">
        <f>IF(BQ$4=0,0,IF(COUNTIFS(実績!$W$6:$W$505,BQ$3,実績!$AC$6:$AC$505,"&lt;="&amp;$A290,実績!$AD$6:$AD$505,"&gt;"&amp;$A290,実績!$AE$6:$AE$505,"○")&gt;0,1,0))</f>
        <v/>
      </c>
      <c r="BR290">
        <f>IF(BR$4=0,0,IF(COUNTIFS(実績!$W$6:$W$505,BR$3,実績!$AC$6:$AC$505,"&lt;="&amp;$A290,実績!$AD$6:$AD$505,"&gt;"&amp;$A290,実績!$AE$6:$AE$505,"○")&gt;0,1,0))</f>
        <v/>
      </c>
      <c r="BS290">
        <f>IF(BS$4=0,0,IF(COUNTIFS(実績!$W$6:$W$505,BS$3,実績!$AC$6:$AC$505,"&lt;="&amp;$A290,実績!$AD$6:$AD$505,"&gt;"&amp;$A290,実績!$AE$6:$AE$505,"○")&gt;0,1,0))</f>
        <v/>
      </c>
      <c r="BT290">
        <f>IF(BT$4=0,0,IF(COUNTIFS(実績!$W$6:$W$505,BT$3,実績!$AC$6:$AC$505,"&lt;="&amp;$A290,実績!$AD$6:$AD$505,"&gt;"&amp;$A290,実績!$AE$6:$AE$505,"○")&gt;0,1,0))</f>
        <v/>
      </c>
      <c r="BU290">
        <f>IF(BU$4=0,0,IF(COUNTIFS(実績!$W$6:$W$505,BU$3,実績!$AC$6:$AC$505,"&lt;="&amp;$A290,実績!$AD$6:$AD$505,"&gt;"&amp;$A290,実績!$AE$6:$AE$505,"○")&gt;0,1,0))</f>
        <v/>
      </c>
      <c r="BV290">
        <f>IF(BV$4=0,0,IF(COUNTIFS(実績!$W$6:$W$505,BV$3,実績!$AC$6:$AC$505,"&lt;="&amp;$A290,実績!$AD$6:$AD$505,"&gt;"&amp;$A290,実績!$AE$6:$AE$505,"○")&gt;0,1,0))</f>
        <v/>
      </c>
      <c r="BW290">
        <f>IF(BW$4=0,0,IF(COUNTIFS(実績!$W$6:$W$505,BW$3,実績!$AC$6:$AC$505,"&lt;="&amp;$A290,実績!$AD$6:$AD$505,"&gt;"&amp;$A290,実績!$AE$6:$AE$505,"○")&gt;0,1,0))</f>
        <v/>
      </c>
      <c r="BX290">
        <f>IF(BX$4=0,0,IF(COUNTIFS(実績!$W$6:$W$505,BX$3,実績!$AC$6:$AC$505,"&lt;="&amp;$A290,実績!$AD$6:$AD$505,"&gt;"&amp;$A290,実績!$AE$6:$AE$505,"○")&gt;0,1,0))</f>
        <v/>
      </c>
      <c r="BY290">
        <f>IF(BY$4=0,0,IF(COUNTIFS(実績!$W$6:$W$505,BY$3,実績!$AC$6:$AC$505,"&lt;="&amp;$A290,実績!$AD$6:$AD$505,"&gt;"&amp;$A290,実績!$AE$6:$AE$505,"○")&gt;0,1,0))</f>
        <v/>
      </c>
      <c r="BZ290">
        <f>IF(BZ$4=0,0,IF(COUNTIFS(実績!$W$6:$W$505,BZ$3,実績!$AC$6:$AC$505,"&lt;="&amp;$A290,実績!$AD$6:$AD$505,"&gt;"&amp;$A290,実績!$AE$6:$AE$505,"○")&gt;0,1,0))</f>
        <v/>
      </c>
      <c r="CA290">
        <f>IF(CA$4=0,0,IF(COUNTIFS(実績!$W$6:$W$505,CA$3,実績!$AC$6:$AC$505,"&lt;="&amp;$A290,実績!$AD$6:$AD$505,"&gt;"&amp;$A290,実績!$AE$6:$AE$505,"○")&gt;0,1,0))</f>
        <v/>
      </c>
      <c r="CB290">
        <f>IF(CB$4=0,0,IF(COUNTIFS(実績!$W$6:$W$505,CB$3,実績!$AC$6:$AC$505,"&lt;="&amp;$A290,実績!$AD$6:$AD$505,"&gt;"&amp;$A290,実績!$AE$6:$AE$505,"○")&gt;0,1,0))</f>
        <v/>
      </c>
      <c r="CC290">
        <f>IF(CC$4=0,0,IF(COUNTIFS(実績!$W$6:$W$505,CC$3,実績!$AC$6:$AC$505,"&lt;="&amp;$A290,実績!$AD$6:$AD$505,"&gt;"&amp;$A290,実績!$AE$6:$AE$505,"○")&gt;0,1,0))</f>
        <v/>
      </c>
      <c r="CD290">
        <f>IF(CD$4=0,0,IF(COUNTIFS(実績!$W$6:$W$505,CD$3,実績!$AC$6:$AC$505,"&lt;="&amp;$A290,実績!$AD$6:$AD$505,"&gt;"&amp;$A290,実績!$AE$6:$AE$505,"○")&gt;0,1,0))</f>
        <v/>
      </c>
      <c r="CE290">
        <f>IF(CE$4=0,0,IF(COUNTIFS(実績!$W$6:$W$505,CE$3,実績!$AC$6:$AC$505,"&lt;="&amp;$A290,実績!$AD$6:$AD$505,"&gt;"&amp;$A290,実績!$AE$6:$AE$505,"○")&gt;0,1,0))</f>
        <v/>
      </c>
      <c r="CF290">
        <f>IF(CF$4=0,0,IF(COUNTIFS(実績!$W$6:$W$505,CF$3,実績!$AC$6:$AC$505,"&lt;="&amp;$A290,実績!$AD$6:$AD$505,"&gt;"&amp;$A290,実績!$AE$6:$AE$505,"○")&gt;0,1,0))</f>
        <v/>
      </c>
      <c r="CG290">
        <f>IF(CG$4=0,0,IF(COUNTIFS(実績!$W$6:$W$505,CG$3,実績!$AC$6:$AC$505,"&lt;="&amp;$A290,実績!$AD$6:$AD$505,"&gt;"&amp;$A290,実績!$AE$6:$AE$505,"○")&gt;0,1,0))</f>
        <v/>
      </c>
      <c r="CH290">
        <f>IF(CH$4=0,0,IF(COUNTIFS(実績!$W$6:$W$505,CH$3,実績!$AC$6:$AC$505,"&lt;="&amp;$A290,実績!$AD$6:$AD$505,"&gt;"&amp;$A290,実績!$AE$6:$AE$505,"○")&gt;0,1,0))</f>
        <v/>
      </c>
      <c r="CI290">
        <f>IF(CI$4=0,0,IF(COUNTIFS(実績!$W$6:$W$505,CI$3,実績!$AC$6:$AC$505,"&lt;="&amp;$A290,実績!$AD$6:$AD$505,"&gt;"&amp;$A290,実績!$AE$6:$AE$505,"○")&gt;0,1,0))</f>
        <v/>
      </c>
      <c r="CJ290">
        <f>IF(CJ$4=0,0,IF(COUNTIFS(実績!$W$6:$W$505,CJ$3,実績!$AC$6:$AC$505,"&lt;="&amp;$A290,実績!$AD$6:$AD$505,"&gt;"&amp;$A290,実績!$AE$6:$AE$505,"○")&gt;0,1,0))</f>
        <v/>
      </c>
      <c r="CK290">
        <f>IF(CK$4=0,0,IF(COUNTIFS(実績!$W$6:$W$505,CK$3,実績!$AC$6:$AC$505,"&lt;="&amp;$A290,実績!$AD$6:$AD$505,"&gt;"&amp;$A290,実績!$AE$6:$AE$505,"○")&gt;0,1,0))</f>
        <v/>
      </c>
      <c r="CL290">
        <f>IF(CL$4=0,0,IF(COUNTIFS(実績!$W$6:$W$505,CL$3,実績!$AC$6:$AC$505,"&lt;="&amp;$A290,実績!$AD$6:$AD$505,"&gt;"&amp;$A290,実績!$AE$6:$AE$505,"○")&gt;0,1,0))</f>
        <v/>
      </c>
      <c r="CM290">
        <f>IF(CM$4=0,0,IF(COUNTIFS(実績!$W$6:$W$505,CM$3,実績!$AC$6:$AC$505,"&lt;="&amp;$A290,実績!$AD$6:$AD$505,"&gt;"&amp;$A290,実績!$AE$6:$AE$505,"○")&gt;0,1,0))</f>
        <v/>
      </c>
      <c r="CN290">
        <f>IF(CN$4=0,0,IF(COUNTIFS(実績!$W$6:$W$505,CN$3,実績!$AC$6:$AC$505,"&lt;="&amp;$A290,実績!$AD$6:$AD$505,"&gt;"&amp;$A290,実績!$AE$6:$AE$505,"○")&gt;0,1,0))</f>
        <v/>
      </c>
      <c r="CO290">
        <f>IF(CO$4=0,0,IF(COUNTIFS(実績!$W$6:$W$505,CO$3,実績!$AC$6:$AC$505,"&lt;="&amp;$A290,実績!$AD$6:$AD$505,"&gt;"&amp;$A290,実績!$AE$6:$AE$505,"○")&gt;0,1,0))</f>
        <v/>
      </c>
      <c r="CP290">
        <f>IF(CP$4=0,0,IF(COUNTIFS(実績!$W$6:$W$505,CP$3,実績!$AC$6:$AC$505,"&lt;="&amp;$A290,実績!$AD$6:$AD$505,"&gt;"&amp;$A290,実績!$AE$6:$AE$505,"○")&gt;0,1,0))</f>
        <v/>
      </c>
      <c r="CQ290">
        <f>IF(CQ$4=0,0,IF(COUNTIFS(実績!$W$6:$W$505,CQ$3,実績!$AC$6:$AC$505,"&lt;="&amp;$A290,実績!$AD$6:$AD$505,"&gt;"&amp;$A290,実績!$AE$6:$AE$505,"○")&gt;0,1,0))</f>
        <v/>
      </c>
      <c r="CR290">
        <f>IF(CR$4=0,0,IF(COUNTIFS(実績!$W$6:$W$505,CR$3,実績!$AC$6:$AC$505,"&lt;="&amp;$A290,実績!$AD$6:$AD$505,"&gt;"&amp;$A290,実績!$AE$6:$AE$505,"○")&gt;0,1,0))</f>
        <v/>
      </c>
      <c r="CS290">
        <f>IF(CS$4=0,0,IF(COUNTIFS(実績!$W$6:$W$505,CS$3,実績!$AC$6:$AC$505,"&lt;="&amp;$A290,実績!$AD$6:$AD$505,"&gt;"&amp;$A290,実績!$AE$6:$AE$505,"○")&gt;0,1,0))</f>
        <v/>
      </c>
      <c r="CT290">
        <f>IF(CT$4=0,0,IF(COUNTIFS(実績!$W$6:$W$505,CT$3,実績!$AC$6:$AC$505,"&lt;="&amp;$A290,実績!$AD$6:$AD$505,"&gt;"&amp;$A290,実績!$AE$6:$AE$505,"○")&gt;0,1,0))</f>
        <v/>
      </c>
      <c r="CU290">
        <f>IF(CU$4=0,0,IF(COUNTIFS(実績!$W$6:$W$505,CU$3,実績!$AC$6:$AC$505,"&lt;="&amp;$A290,実績!$AD$6:$AD$505,"&gt;"&amp;$A290,実績!$AE$6:$AE$505,"○")&gt;0,1,0))</f>
        <v/>
      </c>
      <c r="CV290">
        <f>IF(CV$4=0,0,IF(COUNTIFS(実績!$W$6:$W$505,CV$3,実績!$AC$6:$AC$505,"&lt;="&amp;$A290,実績!$AD$6:$AD$505,"&gt;"&amp;$A290,実績!$AE$6:$AE$505,"○")&gt;0,1,0))</f>
        <v/>
      </c>
      <c r="CW290">
        <f>IF(CW$4=0,0,IF(COUNTIFS(実績!$W$6:$W$505,CW$3,実績!$AC$6:$AC$505,"&lt;="&amp;$A290,実績!$AD$6:$AD$505,"&gt;"&amp;$A290,実績!$AE$6:$AE$505,"○")&gt;0,1,0))</f>
        <v/>
      </c>
      <c r="CX290">
        <f>IF(CX$4=0,0,IF(COUNTIFS(実績!$W$6:$W$505,CX$3,実績!$AC$6:$AC$505,"&lt;="&amp;$A290,実績!$AD$6:$AD$505,"&gt;"&amp;$A290,実績!$AE$6:$AE$505,"○")&gt;0,1,0))</f>
        <v/>
      </c>
      <c r="CY290">
        <f>IF(CY$4=0,0,IF(COUNTIFS(実績!$W$6:$W$505,CY$3,実績!$AC$6:$AC$505,"&lt;="&amp;$A290,実績!$AD$6:$AD$505,"&gt;"&amp;$A290,実績!$AE$6:$AE$505,"○")&gt;0,1,0))</f>
        <v/>
      </c>
      <c r="CZ290">
        <f>IF(CZ$4=0,0,IF(COUNTIFS(実績!$W$6:$W$505,CZ$3,実績!$AC$6:$AC$505,"&lt;="&amp;$A290,実績!$AD$6:$AD$505,"&gt;"&amp;$A290,実績!$AE$6:$AE$505,"○")&gt;0,1,0))</f>
        <v/>
      </c>
      <c r="DA290">
        <f>IF(DA$4=0,0,IF(COUNTIFS(実績!$W$6:$W$505,DA$3,実績!$AC$6:$AC$505,"&lt;="&amp;$A290,実績!$AD$6:$AD$505,"&gt;"&amp;$A290,実績!$AE$6:$AE$505,"○")&gt;0,1,0))</f>
        <v/>
      </c>
      <c r="DB290">
        <f>IF(DB$4=0,0,IF(COUNTIFS(実績!$W$6:$W$505,DB$3,実績!$AC$6:$AC$505,"&lt;="&amp;$A290,実績!$AD$6:$AD$505,"&gt;"&amp;$A290,実績!$AE$6:$AE$505,"○")&gt;0,1,0))</f>
        <v/>
      </c>
      <c r="DC290">
        <f>IF(DC$4=0,0,IF(COUNTIFS(実績!$W$6:$W$505,DC$3,実績!$AC$6:$AC$505,"&lt;="&amp;$A290,実績!$AD$6:$AD$505,"&gt;"&amp;$A290,実績!$AE$6:$AE$505,"○")&gt;0,1,0))</f>
        <v/>
      </c>
      <c r="DD290">
        <f>IF(DD$4=0,0,IF(COUNTIFS(実績!$W$6:$W$505,DD$3,実績!$AC$6:$AC$505,"&lt;="&amp;$A290,実績!$AD$6:$AD$505,"&gt;"&amp;$A290,実績!$AE$6:$AE$505,"○")&gt;0,1,0))</f>
        <v/>
      </c>
      <c r="DE290">
        <f>IF(DE$4=0,0,IF(COUNTIFS(実績!$W$6:$W$505,DE$3,実績!$AC$6:$AC$505,"&lt;="&amp;$A290,実績!$AD$6:$AD$505,"&gt;"&amp;$A290,実績!$AE$6:$AE$505,"○")&gt;0,1,0))</f>
        <v/>
      </c>
      <c r="DF290">
        <f>IF(DF$4=0,0,IF(COUNTIFS(実績!$W$6:$W$505,DF$3,実績!$AC$6:$AC$505,"&lt;="&amp;$A290,実績!$AD$6:$AD$505,"&gt;"&amp;$A290,実績!$AE$6:$AE$505,"○")&gt;0,1,0))</f>
        <v/>
      </c>
      <c r="DG290">
        <f>IF(DG$4=0,0,IF(COUNTIFS(実績!$W$6:$W$505,DG$3,実績!$AC$6:$AC$505,"&lt;="&amp;$A290,実績!$AD$6:$AD$505,"&gt;"&amp;$A290,実績!$AE$6:$AE$505,"○")&gt;0,1,0))</f>
        <v/>
      </c>
      <c r="DH290">
        <f>IF(DH$4=0,0,IF(COUNTIFS(実績!$W$6:$W$505,DH$3,実績!$AC$6:$AC$505,"&lt;="&amp;$A290,実績!$AD$6:$AD$505,"&gt;"&amp;$A290,実績!$AE$6:$AE$505,"○")&gt;0,1,0))</f>
        <v/>
      </c>
      <c r="DI290">
        <f>IF(DI$4=0,0,IF(COUNTIFS(実績!$W$6:$W$505,DI$3,実績!$AC$6:$AC$505,"&lt;="&amp;$A290,実績!$AD$6:$AD$505,"&gt;"&amp;$A290,実績!$AE$6:$AE$505,"○")&gt;0,1,0))</f>
        <v/>
      </c>
      <c r="DJ290">
        <f>IF(DJ$4=0,0,IF(COUNTIFS(実績!$W$6:$W$505,DJ$3,実績!$AC$6:$AC$505,"&lt;="&amp;$A290,実績!$AD$6:$AD$505,"&gt;"&amp;$A290,実績!$AE$6:$AE$505,"○")&gt;0,1,0))</f>
        <v/>
      </c>
      <c r="DK290">
        <f>IF(DK$4=0,0,IF(COUNTIFS(実績!$W$6:$W$505,DK$3,実績!$AC$6:$AC$505,"&lt;="&amp;$A290,実績!$AD$6:$AD$505,"&gt;"&amp;$A290,実績!$AE$6:$AE$505,"○")&gt;0,1,0))</f>
        <v/>
      </c>
      <c r="DL290">
        <f>IF(DL$4=0,0,IF(COUNTIFS(実績!$W$6:$W$505,DL$3,実績!$AC$6:$AC$505,"&lt;="&amp;$A290,実績!$AD$6:$AD$505,"&gt;"&amp;$A290,実績!$AE$6:$AE$505,"○")&gt;0,1,0))</f>
        <v/>
      </c>
      <c r="DM290">
        <f>IF(DM$4=0,0,IF(COUNTIFS(実績!$W$6:$W$505,DM$3,実績!$AC$6:$AC$505,"&lt;="&amp;$A290,実績!$AD$6:$AD$505,"&gt;"&amp;$A290,実績!$AE$6:$AE$505,"○")&gt;0,1,0))</f>
        <v/>
      </c>
      <c r="DN290">
        <f>IF(DN$4=0,0,IF(COUNTIFS(実績!$W$6:$W$505,DN$3,実績!$AC$6:$AC$505,"&lt;="&amp;$A290,実績!$AD$6:$AD$505,"&gt;"&amp;$A290,実績!$AE$6:$AE$505,"○")&gt;0,1,0))</f>
        <v/>
      </c>
      <c r="DO290">
        <f>IF(DO$4=0,0,IF(COUNTIFS(実績!$W$6:$W$505,DO$3,実績!$AC$6:$AC$505,"&lt;="&amp;$A290,実績!$AD$6:$AD$505,"&gt;"&amp;$A290,実績!$AE$6:$AE$505,"○")&gt;0,1,0))</f>
        <v/>
      </c>
      <c r="DP290">
        <f>IF(DP$4=0,0,IF(COUNTIFS(実績!$W$6:$W$505,DP$3,実績!$AC$6:$AC$505,"&lt;="&amp;$A290,実績!$AD$6:$AD$505,"&gt;"&amp;$A290,実績!$AE$6:$AE$505,"○")&gt;0,1,0))</f>
        <v/>
      </c>
      <c r="DQ290">
        <f>IF(DQ$4=0,0,IF(COUNTIFS(実績!$W$6:$W$505,DQ$3,実績!$AC$6:$AC$505,"&lt;="&amp;$A290,実績!$AD$6:$AD$505,"&gt;"&amp;$A290,実績!$AE$6:$AE$505,"○")&gt;0,1,0))</f>
        <v/>
      </c>
      <c r="DR290">
        <f>IF(DR$4=0,0,IF(COUNTIFS(実績!$W$6:$W$505,DR$3,実績!$AC$6:$AC$505,"&lt;="&amp;$A290,実績!$AD$6:$AD$505,"&gt;"&amp;$A290,実績!$AE$6:$AE$505,"○")&gt;0,1,0))</f>
        <v/>
      </c>
      <c r="DS290">
        <f>SUM(C290:DR290)</f>
        <v/>
      </c>
      <c r="DT290">
        <f>SUMPRODUCT((実績!$C$6:$C$505="○")*ISNUMBER(実績!$AF$6:$AF$505)*(実績!$AF$6:$AF$505&lt;=$A290)*(実績!$AG$6:$AG$505&gt;$A290))</f>
        <v/>
      </c>
      <c r="DU290">
        <f>SUMIF($C$2:$DR$2,"製鉄曳船",C290:DR290)</f>
        <v/>
      </c>
      <c r="DV290">
        <f>SUMIF($C$2:$DR$2,"西日本海運",C290:DR290)</f>
        <v/>
      </c>
    </row>
    <row r="291">
      <c r="A291" t="n">
        <v>1425</v>
      </c>
      <c r="B291" s="29">
        <f>A291/1440</f>
        <v/>
      </c>
      <c r="C291">
        <f>IF(C$4=0,0,IF(COUNTIFS(実績!$W$6:$W$505,C$3,実績!$AC$6:$AC$505,"&lt;="&amp;$A291,実績!$AD$6:$AD$505,"&gt;"&amp;$A291,実績!$AE$6:$AE$505,"○")&gt;0,1,0))</f>
        <v/>
      </c>
      <c r="D291">
        <f>IF(D$4=0,0,IF(COUNTIFS(実績!$W$6:$W$505,D$3,実績!$AC$6:$AC$505,"&lt;="&amp;$A291,実績!$AD$6:$AD$505,"&gt;"&amp;$A291,実績!$AE$6:$AE$505,"○")&gt;0,1,0))</f>
        <v/>
      </c>
      <c r="E291">
        <f>IF(E$4=0,0,IF(COUNTIFS(実績!$W$6:$W$505,E$3,実績!$AC$6:$AC$505,"&lt;="&amp;$A291,実績!$AD$6:$AD$505,"&gt;"&amp;$A291,実績!$AE$6:$AE$505,"○")&gt;0,1,0))</f>
        <v/>
      </c>
      <c r="F291">
        <f>IF(F$4=0,0,IF(COUNTIFS(実績!$W$6:$W$505,F$3,実績!$AC$6:$AC$505,"&lt;="&amp;$A291,実績!$AD$6:$AD$505,"&gt;"&amp;$A291,実績!$AE$6:$AE$505,"○")&gt;0,1,0))</f>
        <v/>
      </c>
      <c r="G291">
        <f>IF(G$4=0,0,IF(COUNTIFS(実績!$W$6:$W$505,G$3,実績!$AC$6:$AC$505,"&lt;="&amp;$A291,実績!$AD$6:$AD$505,"&gt;"&amp;$A291,実績!$AE$6:$AE$505,"○")&gt;0,1,0))</f>
        <v/>
      </c>
      <c r="H291">
        <f>IF(H$4=0,0,IF(COUNTIFS(実績!$W$6:$W$505,H$3,実績!$AC$6:$AC$505,"&lt;="&amp;$A291,実績!$AD$6:$AD$505,"&gt;"&amp;$A291,実績!$AE$6:$AE$505,"○")&gt;0,1,0))</f>
        <v/>
      </c>
      <c r="I291">
        <f>IF(I$4=0,0,IF(COUNTIFS(実績!$W$6:$W$505,I$3,実績!$AC$6:$AC$505,"&lt;="&amp;$A291,実績!$AD$6:$AD$505,"&gt;"&amp;$A291,実績!$AE$6:$AE$505,"○")&gt;0,1,0))</f>
        <v/>
      </c>
      <c r="J291">
        <f>IF(J$4=0,0,IF(COUNTIFS(実績!$W$6:$W$505,J$3,実績!$AC$6:$AC$505,"&lt;="&amp;$A291,実績!$AD$6:$AD$505,"&gt;"&amp;$A291,実績!$AE$6:$AE$505,"○")&gt;0,1,0))</f>
        <v/>
      </c>
      <c r="K291">
        <f>IF(K$4=0,0,IF(COUNTIFS(実績!$W$6:$W$505,K$3,実績!$AC$6:$AC$505,"&lt;="&amp;$A291,実績!$AD$6:$AD$505,"&gt;"&amp;$A291,実績!$AE$6:$AE$505,"○")&gt;0,1,0))</f>
        <v/>
      </c>
      <c r="L291">
        <f>IF(L$4=0,0,IF(COUNTIFS(実績!$W$6:$W$505,L$3,実績!$AC$6:$AC$505,"&lt;="&amp;$A291,実績!$AD$6:$AD$505,"&gt;"&amp;$A291,実績!$AE$6:$AE$505,"○")&gt;0,1,0))</f>
        <v/>
      </c>
      <c r="M291">
        <f>IF(M$4=0,0,IF(COUNTIFS(実績!$W$6:$W$505,M$3,実績!$AC$6:$AC$505,"&lt;="&amp;$A291,実績!$AD$6:$AD$505,"&gt;"&amp;$A291,実績!$AE$6:$AE$505,"○")&gt;0,1,0))</f>
        <v/>
      </c>
      <c r="N291">
        <f>IF(N$4=0,0,IF(COUNTIFS(実績!$W$6:$W$505,N$3,実績!$AC$6:$AC$505,"&lt;="&amp;$A291,実績!$AD$6:$AD$505,"&gt;"&amp;$A291,実績!$AE$6:$AE$505,"○")&gt;0,1,0))</f>
        <v/>
      </c>
      <c r="O291">
        <f>IF(O$4=0,0,IF(COUNTIFS(実績!$W$6:$W$505,O$3,実績!$AC$6:$AC$505,"&lt;="&amp;$A291,実績!$AD$6:$AD$505,"&gt;"&amp;$A291,実績!$AE$6:$AE$505,"○")&gt;0,1,0))</f>
        <v/>
      </c>
      <c r="P291">
        <f>IF(P$4=0,0,IF(COUNTIFS(実績!$W$6:$W$505,P$3,実績!$AC$6:$AC$505,"&lt;="&amp;$A291,実績!$AD$6:$AD$505,"&gt;"&amp;$A291,実績!$AE$6:$AE$505,"○")&gt;0,1,0))</f>
        <v/>
      </c>
      <c r="Q291">
        <f>IF(Q$4=0,0,IF(COUNTIFS(実績!$W$6:$W$505,Q$3,実績!$AC$6:$AC$505,"&lt;="&amp;$A291,実績!$AD$6:$AD$505,"&gt;"&amp;$A291,実績!$AE$6:$AE$505,"○")&gt;0,1,0))</f>
        <v/>
      </c>
      <c r="R291">
        <f>IF(R$4=0,0,IF(COUNTIFS(実績!$W$6:$W$505,R$3,実績!$AC$6:$AC$505,"&lt;="&amp;$A291,実績!$AD$6:$AD$505,"&gt;"&amp;$A291,実績!$AE$6:$AE$505,"○")&gt;0,1,0))</f>
        <v/>
      </c>
      <c r="S291">
        <f>IF(S$4=0,0,IF(COUNTIFS(実績!$W$6:$W$505,S$3,実績!$AC$6:$AC$505,"&lt;="&amp;$A291,実績!$AD$6:$AD$505,"&gt;"&amp;$A291,実績!$AE$6:$AE$505,"○")&gt;0,1,0))</f>
        <v/>
      </c>
      <c r="T291">
        <f>IF(T$4=0,0,IF(COUNTIFS(実績!$W$6:$W$505,T$3,実績!$AC$6:$AC$505,"&lt;="&amp;$A291,実績!$AD$6:$AD$505,"&gt;"&amp;$A291,実績!$AE$6:$AE$505,"○")&gt;0,1,0))</f>
        <v/>
      </c>
      <c r="U291">
        <f>IF(U$4=0,0,IF(COUNTIFS(実績!$W$6:$W$505,U$3,実績!$AC$6:$AC$505,"&lt;="&amp;$A291,実績!$AD$6:$AD$505,"&gt;"&amp;$A291,実績!$AE$6:$AE$505,"○")&gt;0,1,0))</f>
        <v/>
      </c>
      <c r="V291">
        <f>IF(V$4=0,0,IF(COUNTIFS(実績!$W$6:$W$505,V$3,実績!$AC$6:$AC$505,"&lt;="&amp;$A291,実績!$AD$6:$AD$505,"&gt;"&amp;$A291,実績!$AE$6:$AE$505,"○")&gt;0,1,0))</f>
        <v/>
      </c>
      <c r="W291">
        <f>IF(W$4=0,0,IF(COUNTIFS(実績!$W$6:$W$505,W$3,実績!$AC$6:$AC$505,"&lt;="&amp;$A291,実績!$AD$6:$AD$505,"&gt;"&amp;$A291,実績!$AE$6:$AE$505,"○")&gt;0,1,0))</f>
        <v/>
      </c>
      <c r="X291">
        <f>IF(X$4=0,0,IF(COUNTIFS(実績!$W$6:$W$505,X$3,実績!$AC$6:$AC$505,"&lt;="&amp;$A291,実績!$AD$6:$AD$505,"&gt;"&amp;$A291,実績!$AE$6:$AE$505,"○")&gt;0,1,0))</f>
        <v/>
      </c>
      <c r="Y291">
        <f>IF(Y$4=0,0,IF(COUNTIFS(実績!$W$6:$W$505,Y$3,実績!$AC$6:$AC$505,"&lt;="&amp;$A291,実績!$AD$6:$AD$505,"&gt;"&amp;$A291,実績!$AE$6:$AE$505,"○")&gt;0,1,0))</f>
        <v/>
      </c>
      <c r="Z291">
        <f>IF(Z$4=0,0,IF(COUNTIFS(実績!$W$6:$W$505,Z$3,実績!$AC$6:$AC$505,"&lt;="&amp;$A291,実績!$AD$6:$AD$505,"&gt;"&amp;$A291,実績!$AE$6:$AE$505,"○")&gt;0,1,0))</f>
        <v/>
      </c>
      <c r="AA291">
        <f>IF(AA$4=0,0,IF(COUNTIFS(実績!$W$6:$W$505,AA$3,実績!$AC$6:$AC$505,"&lt;="&amp;$A291,実績!$AD$6:$AD$505,"&gt;"&amp;$A291,実績!$AE$6:$AE$505,"○")&gt;0,1,0))</f>
        <v/>
      </c>
      <c r="AB291">
        <f>IF(AB$4=0,0,IF(COUNTIFS(実績!$W$6:$W$505,AB$3,実績!$AC$6:$AC$505,"&lt;="&amp;$A291,実績!$AD$6:$AD$505,"&gt;"&amp;$A291,実績!$AE$6:$AE$505,"○")&gt;0,1,0))</f>
        <v/>
      </c>
      <c r="AC291">
        <f>IF(AC$4=0,0,IF(COUNTIFS(実績!$W$6:$W$505,AC$3,実績!$AC$6:$AC$505,"&lt;="&amp;$A291,実績!$AD$6:$AD$505,"&gt;"&amp;$A291,実績!$AE$6:$AE$505,"○")&gt;0,1,0))</f>
        <v/>
      </c>
      <c r="AD291">
        <f>IF(AD$4=0,0,IF(COUNTIFS(実績!$W$6:$W$505,AD$3,実績!$AC$6:$AC$505,"&lt;="&amp;$A291,実績!$AD$6:$AD$505,"&gt;"&amp;$A291,実績!$AE$6:$AE$505,"○")&gt;0,1,0))</f>
        <v/>
      </c>
      <c r="AE291">
        <f>IF(AE$4=0,0,IF(COUNTIFS(実績!$W$6:$W$505,AE$3,実績!$AC$6:$AC$505,"&lt;="&amp;$A291,実績!$AD$6:$AD$505,"&gt;"&amp;$A291,実績!$AE$6:$AE$505,"○")&gt;0,1,0))</f>
        <v/>
      </c>
      <c r="AF291">
        <f>IF(AF$4=0,0,IF(COUNTIFS(実績!$W$6:$W$505,AF$3,実績!$AC$6:$AC$505,"&lt;="&amp;$A291,実績!$AD$6:$AD$505,"&gt;"&amp;$A291,実績!$AE$6:$AE$505,"○")&gt;0,1,0))</f>
        <v/>
      </c>
      <c r="AG291">
        <f>IF(AG$4=0,0,IF(COUNTIFS(実績!$W$6:$W$505,AG$3,実績!$AC$6:$AC$505,"&lt;="&amp;$A291,実績!$AD$6:$AD$505,"&gt;"&amp;$A291,実績!$AE$6:$AE$505,"○")&gt;0,1,0))</f>
        <v/>
      </c>
      <c r="AH291">
        <f>IF(AH$4=0,0,IF(COUNTIFS(実績!$W$6:$W$505,AH$3,実績!$AC$6:$AC$505,"&lt;="&amp;$A291,実績!$AD$6:$AD$505,"&gt;"&amp;$A291,実績!$AE$6:$AE$505,"○")&gt;0,1,0))</f>
        <v/>
      </c>
      <c r="AI291">
        <f>IF(AI$4=0,0,IF(COUNTIFS(実績!$W$6:$W$505,AI$3,実績!$AC$6:$AC$505,"&lt;="&amp;$A291,実績!$AD$6:$AD$505,"&gt;"&amp;$A291,実績!$AE$6:$AE$505,"○")&gt;0,1,0))</f>
        <v/>
      </c>
      <c r="AJ291">
        <f>IF(AJ$4=0,0,IF(COUNTIFS(実績!$W$6:$W$505,AJ$3,実績!$AC$6:$AC$505,"&lt;="&amp;$A291,実績!$AD$6:$AD$505,"&gt;"&amp;$A291,実績!$AE$6:$AE$505,"○")&gt;0,1,0))</f>
        <v/>
      </c>
      <c r="AK291">
        <f>IF(AK$4=0,0,IF(COUNTIFS(実績!$W$6:$W$505,AK$3,実績!$AC$6:$AC$505,"&lt;="&amp;$A291,実績!$AD$6:$AD$505,"&gt;"&amp;$A291,実績!$AE$6:$AE$505,"○")&gt;0,1,0))</f>
        <v/>
      </c>
      <c r="AL291">
        <f>IF(AL$4=0,0,IF(COUNTIFS(実績!$W$6:$W$505,AL$3,実績!$AC$6:$AC$505,"&lt;="&amp;$A291,実績!$AD$6:$AD$505,"&gt;"&amp;$A291,実績!$AE$6:$AE$505,"○")&gt;0,1,0))</f>
        <v/>
      </c>
      <c r="AM291">
        <f>IF(AM$4=0,0,IF(COUNTIFS(実績!$W$6:$W$505,AM$3,実績!$AC$6:$AC$505,"&lt;="&amp;$A291,実績!$AD$6:$AD$505,"&gt;"&amp;$A291,実績!$AE$6:$AE$505,"○")&gt;0,1,0))</f>
        <v/>
      </c>
      <c r="AN291">
        <f>IF(AN$4=0,0,IF(COUNTIFS(実績!$W$6:$W$505,AN$3,実績!$AC$6:$AC$505,"&lt;="&amp;$A291,実績!$AD$6:$AD$505,"&gt;"&amp;$A291,実績!$AE$6:$AE$505,"○")&gt;0,1,0))</f>
        <v/>
      </c>
      <c r="AO291">
        <f>IF(AO$4=0,0,IF(COUNTIFS(実績!$W$6:$W$505,AO$3,実績!$AC$6:$AC$505,"&lt;="&amp;$A291,実績!$AD$6:$AD$505,"&gt;"&amp;$A291,実績!$AE$6:$AE$505,"○")&gt;0,1,0))</f>
        <v/>
      </c>
      <c r="AP291">
        <f>IF(AP$4=0,0,IF(COUNTIFS(実績!$W$6:$W$505,AP$3,実績!$AC$6:$AC$505,"&lt;="&amp;$A291,実績!$AD$6:$AD$505,"&gt;"&amp;$A291,実績!$AE$6:$AE$505,"○")&gt;0,1,0))</f>
        <v/>
      </c>
      <c r="AQ291">
        <f>IF(AQ$4=0,0,IF(COUNTIFS(実績!$W$6:$W$505,AQ$3,実績!$AC$6:$AC$505,"&lt;="&amp;$A291,実績!$AD$6:$AD$505,"&gt;"&amp;$A291,実績!$AE$6:$AE$505,"○")&gt;0,1,0))</f>
        <v/>
      </c>
      <c r="AR291">
        <f>IF(AR$4=0,0,IF(COUNTIFS(実績!$W$6:$W$505,AR$3,実績!$AC$6:$AC$505,"&lt;="&amp;$A291,実績!$AD$6:$AD$505,"&gt;"&amp;$A291,実績!$AE$6:$AE$505,"○")&gt;0,1,0))</f>
        <v/>
      </c>
      <c r="AS291">
        <f>IF(AS$4=0,0,IF(COUNTIFS(実績!$W$6:$W$505,AS$3,実績!$AC$6:$AC$505,"&lt;="&amp;$A291,実績!$AD$6:$AD$505,"&gt;"&amp;$A291,実績!$AE$6:$AE$505,"○")&gt;0,1,0))</f>
        <v/>
      </c>
      <c r="AT291">
        <f>IF(AT$4=0,0,IF(COUNTIFS(実績!$W$6:$W$505,AT$3,実績!$AC$6:$AC$505,"&lt;="&amp;$A291,実績!$AD$6:$AD$505,"&gt;"&amp;$A291,実績!$AE$6:$AE$505,"○")&gt;0,1,0))</f>
        <v/>
      </c>
      <c r="AU291">
        <f>IF(AU$4=0,0,IF(COUNTIFS(実績!$W$6:$W$505,AU$3,実績!$AC$6:$AC$505,"&lt;="&amp;$A291,実績!$AD$6:$AD$505,"&gt;"&amp;$A291,実績!$AE$6:$AE$505,"○")&gt;0,1,0))</f>
        <v/>
      </c>
      <c r="AV291">
        <f>IF(AV$4=0,0,IF(COUNTIFS(実績!$W$6:$W$505,AV$3,実績!$AC$6:$AC$505,"&lt;="&amp;$A291,実績!$AD$6:$AD$505,"&gt;"&amp;$A291,実績!$AE$6:$AE$505,"○")&gt;0,1,0))</f>
        <v/>
      </c>
      <c r="AW291">
        <f>IF(AW$4=0,0,IF(COUNTIFS(実績!$W$6:$W$505,AW$3,実績!$AC$6:$AC$505,"&lt;="&amp;$A291,実績!$AD$6:$AD$505,"&gt;"&amp;$A291,実績!$AE$6:$AE$505,"○")&gt;0,1,0))</f>
        <v/>
      </c>
      <c r="AX291">
        <f>IF(AX$4=0,0,IF(COUNTIFS(実績!$W$6:$W$505,AX$3,実績!$AC$6:$AC$505,"&lt;="&amp;$A291,実績!$AD$6:$AD$505,"&gt;"&amp;$A291,実績!$AE$6:$AE$505,"○")&gt;0,1,0))</f>
        <v/>
      </c>
      <c r="AY291">
        <f>IF(AY$4=0,0,IF(COUNTIFS(実績!$W$6:$W$505,AY$3,実績!$AC$6:$AC$505,"&lt;="&amp;$A291,実績!$AD$6:$AD$505,"&gt;"&amp;$A291,実績!$AE$6:$AE$505,"○")&gt;0,1,0))</f>
        <v/>
      </c>
      <c r="AZ291">
        <f>IF(AZ$4=0,0,IF(COUNTIFS(実績!$W$6:$W$505,AZ$3,実績!$AC$6:$AC$505,"&lt;="&amp;$A291,実績!$AD$6:$AD$505,"&gt;"&amp;$A291,実績!$AE$6:$AE$505,"○")&gt;0,1,0))</f>
        <v/>
      </c>
      <c r="BA291">
        <f>IF(BA$4=0,0,IF(COUNTIFS(実績!$W$6:$W$505,BA$3,実績!$AC$6:$AC$505,"&lt;="&amp;$A291,実績!$AD$6:$AD$505,"&gt;"&amp;$A291,実績!$AE$6:$AE$505,"○")&gt;0,1,0))</f>
        <v/>
      </c>
      <c r="BB291">
        <f>IF(BB$4=0,0,IF(COUNTIFS(実績!$W$6:$W$505,BB$3,実績!$AC$6:$AC$505,"&lt;="&amp;$A291,実績!$AD$6:$AD$505,"&gt;"&amp;$A291,実績!$AE$6:$AE$505,"○")&gt;0,1,0))</f>
        <v/>
      </c>
      <c r="BC291">
        <f>IF(BC$4=0,0,IF(COUNTIFS(実績!$W$6:$W$505,BC$3,実績!$AC$6:$AC$505,"&lt;="&amp;$A291,実績!$AD$6:$AD$505,"&gt;"&amp;$A291,実績!$AE$6:$AE$505,"○")&gt;0,1,0))</f>
        <v/>
      </c>
      <c r="BD291">
        <f>IF(BD$4=0,0,IF(COUNTIFS(実績!$W$6:$W$505,BD$3,実績!$AC$6:$AC$505,"&lt;="&amp;$A291,実績!$AD$6:$AD$505,"&gt;"&amp;$A291,実績!$AE$6:$AE$505,"○")&gt;0,1,0))</f>
        <v/>
      </c>
      <c r="BE291">
        <f>IF(BE$4=0,0,IF(COUNTIFS(実績!$W$6:$W$505,BE$3,実績!$AC$6:$AC$505,"&lt;="&amp;$A291,実績!$AD$6:$AD$505,"&gt;"&amp;$A291,実績!$AE$6:$AE$505,"○")&gt;0,1,0))</f>
        <v/>
      </c>
      <c r="BF291">
        <f>IF(BF$4=0,0,IF(COUNTIFS(実績!$W$6:$W$505,BF$3,実績!$AC$6:$AC$505,"&lt;="&amp;$A291,実績!$AD$6:$AD$505,"&gt;"&amp;$A291,実績!$AE$6:$AE$505,"○")&gt;0,1,0))</f>
        <v/>
      </c>
      <c r="BG291">
        <f>IF(BG$4=0,0,IF(COUNTIFS(実績!$W$6:$W$505,BG$3,実績!$AC$6:$AC$505,"&lt;="&amp;$A291,実績!$AD$6:$AD$505,"&gt;"&amp;$A291,実績!$AE$6:$AE$505,"○")&gt;0,1,0))</f>
        <v/>
      </c>
      <c r="BH291">
        <f>IF(BH$4=0,0,IF(COUNTIFS(実績!$W$6:$W$505,BH$3,実績!$AC$6:$AC$505,"&lt;="&amp;$A291,実績!$AD$6:$AD$505,"&gt;"&amp;$A291,実績!$AE$6:$AE$505,"○")&gt;0,1,0))</f>
        <v/>
      </c>
      <c r="BI291">
        <f>IF(BI$4=0,0,IF(COUNTIFS(実績!$W$6:$W$505,BI$3,実績!$AC$6:$AC$505,"&lt;="&amp;$A291,実績!$AD$6:$AD$505,"&gt;"&amp;$A291,実績!$AE$6:$AE$505,"○")&gt;0,1,0))</f>
        <v/>
      </c>
      <c r="BJ291">
        <f>IF(BJ$4=0,0,IF(COUNTIFS(実績!$W$6:$W$505,BJ$3,実績!$AC$6:$AC$505,"&lt;="&amp;$A291,実績!$AD$6:$AD$505,"&gt;"&amp;$A291,実績!$AE$6:$AE$505,"○")&gt;0,1,0))</f>
        <v/>
      </c>
      <c r="BK291">
        <f>IF(BK$4=0,0,IF(COUNTIFS(実績!$W$6:$W$505,BK$3,実績!$AC$6:$AC$505,"&lt;="&amp;$A291,実績!$AD$6:$AD$505,"&gt;"&amp;$A291,実績!$AE$6:$AE$505,"○")&gt;0,1,0))</f>
        <v/>
      </c>
      <c r="BL291">
        <f>IF(BL$4=0,0,IF(COUNTIFS(実績!$W$6:$W$505,BL$3,実績!$AC$6:$AC$505,"&lt;="&amp;$A291,実績!$AD$6:$AD$505,"&gt;"&amp;$A291,実績!$AE$6:$AE$505,"○")&gt;0,1,0))</f>
        <v/>
      </c>
      <c r="BM291">
        <f>IF(BM$4=0,0,IF(COUNTIFS(実績!$W$6:$W$505,BM$3,実績!$AC$6:$AC$505,"&lt;="&amp;$A291,実績!$AD$6:$AD$505,"&gt;"&amp;$A291,実績!$AE$6:$AE$505,"○")&gt;0,1,0))</f>
        <v/>
      </c>
      <c r="BN291">
        <f>IF(BN$4=0,0,IF(COUNTIFS(実績!$W$6:$W$505,BN$3,実績!$AC$6:$AC$505,"&lt;="&amp;$A291,実績!$AD$6:$AD$505,"&gt;"&amp;$A291,実績!$AE$6:$AE$505,"○")&gt;0,1,0))</f>
        <v/>
      </c>
      <c r="BO291">
        <f>IF(BO$4=0,0,IF(COUNTIFS(実績!$W$6:$W$505,BO$3,実績!$AC$6:$AC$505,"&lt;="&amp;$A291,実績!$AD$6:$AD$505,"&gt;"&amp;$A291,実績!$AE$6:$AE$505,"○")&gt;0,1,0))</f>
        <v/>
      </c>
      <c r="BP291">
        <f>IF(BP$4=0,0,IF(COUNTIFS(実績!$W$6:$W$505,BP$3,実績!$AC$6:$AC$505,"&lt;="&amp;$A291,実績!$AD$6:$AD$505,"&gt;"&amp;$A291,実績!$AE$6:$AE$505,"○")&gt;0,1,0))</f>
        <v/>
      </c>
      <c r="BQ291">
        <f>IF(BQ$4=0,0,IF(COUNTIFS(実績!$W$6:$W$505,BQ$3,実績!$AC$6:$AC$505,"&lt;="&amp;$A291,実績!$AD$6:$AD$505,"&gt;"&amp;$A291,実績!$AE$6:$AE$505,"○")&gt;0,1,0))</f>
        <v/>
      </c>
      <c r="BR291">
        <f>IF(BR$4=0,0,IF(COUNTIFS(実績!$W$6:$W$505,BR$3,実績!$AC$6:$AC$505,"&lt;="&amp;$A291,実績!$AD$6:$AD$505,"&gt;"&amp;$A291,実績!$AE$6:$AE$505,"○")&gt;0,1,0))</f>
        <v/>
      </c>
      <c r="BS291">
        <f>IF(BS$4=0,0,IF(COUNTIFS(実績!$W$6:$W$505,BS$3,実績!$AC$6:$AC$505,"&lt;="&amp;$A291,実績!$AD$6:$AD$505,"&gt;"&amp;$A291,実績!$AE$6:$AE$505,"○")&gt;0,1,0))</f>
        <v/>
      </c>
      <c r="BT291">
        <f>IF(BT$4=0,0,IF(COUNTIFS(実績!$W$6:$W$505,BT$3,実績!$AC$6:$AC$505,"&lt;="&amp;$A291,実績!$AD$6:$AD$505,"&gt;"&amp;$A291,実績!$AE$6:$AE$505,"○")&gt;0,1,0))</f>
        <v/>
      </c>
      <c r="BU291">
        <f>IF(BU$4=0,0,IF(COUNTIFS(実績!$W$6:$W$505,BU$3,実績!$AC$6:$AC$505,"&lt;="&amp;$A291,実績!$AD$6:$AD$505,"&gt;"&amp;$A291,実績!$AE$6:$AE$505,"○")&gt;0,1,0))</f>
        <v/>
      </c>
      <c r="BV291">
        <f>IF(BV$4=0,0,IF(COUNTIFS(実績!$W$6:$W$505,BV$3,実績!$AC$6:$AC$505,"&lt;="&amp;$A291,実績!$AD$6:$AD$505,"&gt;"&amp;$A291,実績!$AE$6:$AE$505,"○")&gt;0,1,0))</f>
        <v/>
      </c>
      <c r="BW291">
        <f>IF(BW$4=0,0,IF(COUNTIFS(実績!$W$6:$W$505,BW$3,実績!$AC$6:$AC$505,"&lt;="&amp;$A291,実績!$AD$6:$AD$505,"&gt;"&amp;$A291,実績!$AE$6:$AE$505,"○")&gt;0,1,0))</f>
        <v/>
      </c>
      <c r="BX291">
        <f>IF(BX$4=0,0,IF(COUNTIFS(実績!$W$6:$W$505,BX$3,実績!$AC$6:$AC$505,"&lt;="&amp;$A291,実績!$AD$6:$AD$505,"&gt;"&amp;$A291,実績!$AE$6:$AE$505,"○")&gt;0,1,0))</f>
        <v/>
      </c>
      <c r="BY291">
        <f>IF(BY$4=0,0,IF(COUNTIFS(実績!$W$6:$W$505,BY$3,実績!$AC$6:$AC$505,"&lt;="&amp;$A291,実績!$AD$6:$AD$505,"&gt;"&amp;$A291,実績!$AE$6:$AE$505,"○")&gt;0,1,0))</f>
        <v/>
      </c>
      <c r="BZ291">
        <f>IF(BZ$4=0,0,IF(COUNTIFS(実績!$W$6:$W$505,BZ$3,実績!$AC$6:$AC$505,"&lt;="&amp;$A291,実績!$AD$6:$AD$505,"&gt;"&amp;$A291,実績!$AE$6:$AE$505,"○")&gt;0,1,0))</f>
        <v/>
      </c>
      <c r="CA291">
        <f>IF(CA$4=0,0,IF(COUNTIFS(実績!$W$6:$W$505,CA$3,実績!$AC$6:$AC$505,"&lt;="&amp;$A291,実績!$AD$6:$AD$505,"&gt;"&amp;$A291,実績!$AE$6:$AE$505,"○")&gt;0,1,0))</f>
        <v/>
      </c>
      <c r="CB291">
        <f>IF(CB$4=0,0,IF(COUNTIFS(実績!$W$6:$W$505,CB$3,実績!$AC$6:$AC$505,"&lt;="&amp;$A291,実績!$AD$6:$AD$505,"&gt;"&amp;$A291,実績!$AE$6:$AE$505,"○")&gt;0,1,0))</f>
        <v/>
      </c>
      <c r="CC291">
        <f>IF(CC$4=0,0,IF(COUNTIFS(実績!$W$6:$W$505,CC$3,実績!$AC$6:$AC$505,"&lt;="&amp;$A291,実績!$AD$6:$AD$505,"&gt;"&amp;$A291,実績!$AE$6:$AE$505,"○")&gt;0,1,0))</f>
        <v/>
      </c>
      <c r="CD291">
        <f>IF(CD$4=0,0,IF(COUNTIFS(実績!$W$6:$W$505,CD$3,実績!$AC$6:$AC$505,"&lt;="&amp;$A291,実績!$AD$6:$AD$505,"&gt;"&amp;$A291,実績!$AE$6:$AE$505,"○")&gt;0,1,0))</f>
        <v/>
      </c>
      <c r="CE291">
        <f>IF(CE$4=0,0,IF(COUNTIFS(実績!$W$6:$W$505,CE$3,実績!$AC$6:$AC$505,"&lt;="&amp;$A291,実績!$AD$6:$AD$505,"&gt;"&amp;$A291,実績!$AE$6:$AE$505,"○")&gt;0,1,0))</f>
        <v/>
      </c>
      <c r="CF291">
        <f>IF(CF$4=0,0,IF(COUNTIFS(実績!$W$6:$W$505,CF$3,実績!$AC$6:$AC$505,"&lt;="&amp;$A291,実績!$AD$6:$AD$505,"&gt;"&amp;$A291,実績!$AE$6:$AE$505,"○")&gt;0,1,0))</f>
        <v/>
      </c>
      <c r="CG291">
        <f>IF(CG$4=0,0,IF(COUNTIFS(実績!$W$6:$W$505,CG$3,実績!$AC$6:$AC$505,"&lt;="&amp;$A291,実績!$AD$6:$AD$505,"&gt;"&amp;$A291,実績!$AE$6:$AE$505,"○")&gt;0,1,0))</f>
        <v/>
      </c>
      <c r="CH291">
        <f>IF(CH$4=0,0,IF(COUNTIFS(実績!$W$6:$W$505,CH$3,実績!$AC$6:$AC$505,"&lt;="&amp;$A291,実績!$AD$6:$AD$505,"&gt;"&amp;$A291,実績!$AE$6:$AE$505,"○")&gt;0,1,0))</f>
        <v/>
      </c>
      <c r="CI291">
        <f>IF(CI$4=0,0,IF(COUNTIFS(実績!$W$6:$W$505,CI$3,実績!$AC$6:$AC$505,"&lt;="&amp;$A291,実績!$AD$6:$AD$505,"&gt;"&amp;$A291,実績!$AE$6:$AE$505,"○")&gt;0,1,0))</f>
        <v/>
      </c>
      <c r="CJ291">
        <f>IF(CJ$4=0,0,IF(COUNTIFS(実績!$W$6:$W$505,CJ$3,実績!$AC$6:$AC$505,"&lt;="&amp;$A291,実績!$AD$6:$AD$505,"&gt;"&amp;$A291,実績!$AE$6:$AE$505,"○")&gt;0,1,0))</f>
        <v/>
      </c>
      <c r="CK291">
        <f>IF(CK$4=0,0,IF(COUNTIFS(実績!$W$6:$W$505,CK$3,実績!$AC$6:$AC$505,"&lt;="&amp;$A291,実績!$AD$6:$AD$505,"&gt;"&amp;$A291,実績!$AE$6:$AE$505,"○")&gt;0,1,0))</f>
        <v/>
      </c>
      <c r="CL291">
        <f>IF(CL$4=0,0,IF(COUNTIFS(実績!$W$6:$W$505,CL$3,実績!$AC$6:$AC$505,"&lt;="&amp;$A291,実績!$AD$6:$AD$505,"&gt;"&amp;$A291,実績!$AE$6:$AE$505,"○")&gt;0,1,0))</f>
        <v/>
      </c>
      <c r="CM291">
        <f>IF(CM$4=0,0,IF(COUNTIFS(実績!$W$6:$W$505,CM$3,実績!$AC$6:$AC$505,"&lt;="&amp;$A291,実績!$AD$6:$AD$505,"&gt;"&amp;$A291,実績!$AE$6:$AE$505,"○")&gt;0,1,0))</f>
        <v/>
      </c>
      <c r="CN291">
        <f>IF(CN$4=0,0,IF(COUNTIFS(実績!$W$6:$W$505,CN$3,実績!$AC$6:$AC$505,"&lt;="&amp;$A291,実績!$AD$6:$AD$505,"&gt;"&amp;$A291,実績!$AE$6:$AE$505,"○")&gt;0,1,0))</f>
        <v/>
      </c>
      <c r="CO291">
        <f>IF(CO$4=0,0,IF(COUNTIFS(実績!$W$6:$W$505,CO$3,実績!$AC$6:$AC$505,"&lt;="&amp;$A291,実績!$AD$6:$AD$505,"&gt;"&amp;$A291,実績!$AE$6:$AE$505,"○")&gt;0,1,0))</f>
        <v/>
      </c>
      <c r="CP291">
        <f>IF(CP$4=0,0,IF(COUNTIFS(実績!$W$6:$W$505,CP$3,実績!$AC$6:$AC$505,"&lt;="&amp;$A291,実績!$AD$6:$AD$505,"&gt;"&amp;$A291,実績!$AE$6:$AE$505,"○")&gt;0,1,0))</f>
        <v/>
      </c>
      <c r="CQ291">
        <f>IF(CQ$4=0,0,IF(COUNTIFS(実績!$W$6:$W$505,CQ$3,実績!$AC$6:$AC$505,"&lt;="&amp;$A291,実績!$AD$6:$AD$505,"&gt;"&amp;$A291,実績!$AE$6:$AE$505,"○")&gt;0,1,0))</f>
        <v/>
      </c>
      <c r="CR291">
        <f>IF(CR$4=0,0,IF(COUNTIFS(実績!$W$6:$W$505,CR$3,実績!$AC$6:$AC$505,"&lt;="&amp;$A291,実績!$AD$6:$AD$505,"&gt;"&amp;$A291,実績!$AE$6:$AE$505,"○")&gt;0,1,0))</f>
        <v/>
      </c>
      <c r="CS291">
        <f>IF(CS$4=0,0,IF(COUNTIFS(実績!$W$6:$W$505,CS$3,実績!$AC$6:$AC$505,"&lt;="&amp;$A291,実績!$AD$6:$AD$505,"&gt;"&amp;$A291,実績!$AE$6:$AE$505,"○")&gt;0,1,0))</f>
        <v/>
      </c>
      <c r="CT291">
        <f>IF(CT$4=0,0,IF(COUNTIFS(実績!$W$6:$W$505,CT$3,実績!$AC$6:$AC$505,"&lt;="&amp;$A291,実績!$AD$6:$AD$505,"&gt;"&amp;$A291,実績!$AE$6:$AE$505,"○")&gt;0,1,0))</f>
        <v/>
      </c>
      <c r="CU291">
        <f>IF(CU$4=0,0,IF(COUNTIFS(実績!$W$6:$W$505,CU$3,実績!$AC$6:$AC$505,"&lt;="&amp;$A291,実績!$AD$6:$AD$505,"&gt;"&amp;$A291,実績!$AE$6:$AE$505,"○")&gt;0,1,0))</f>
        <v/>
      </c>
      <c r="CV291">
        <f>IF(CV$4=0,0,IF(COUNTIFS(実績!$W$6:$W$505,CV$3,実績!$AC$6:$AC$505,"&lt;="&amp;$A291,実績!$AD$6:$AD$505,"&gt;"&amp;$A291,実績!$AE$6:$AE$505,"○")&gt;0,1,0))</f>
        <v/>
      </c>
      <c r="CW291">
        <f>IF(CW$4=0,0,IF(COUNTIFS(実績!$W$6:$W$505,CW$3,実績!$AC$6:$AC$505,"&lt;="&amp;$A291,実績!$AD$6:$AD$505,"&gt;"&amp;$A291,実績!$AE$6:$AE$505,"○")&gt;0,1,0))</f>
        <v/>
      </c>
      <c r="CX291">
        <f>IF(CX$4=0,0,IF(COUNTIFS(実績!$W$6:$W$505,CX$3,実績!$AC$6:$AC$505,"&lt;="&amp;$A291,実績!$AD$6:$AD$505,"&gt;"&amp;$A291,実績!$AE$6:$AE$505,"○")&gt;0,1,0))</f>
        <v/>
      </c>
      <c r="CY291">
        <f>IF(CY$4=0,0,IF(COUNTIFS(実績!$W$6:$W$505,CY$3,実績!$AC$6:$AC$505,"&lt;="&amp;$A291,実績!$AD$6:$AD$505,"&gt;"&amp;$A291,実績!$AE$6:$AE$505,"○")&gt;0,1,0))</f>
        <v/>
      </c>
      <c r="CZ291">
        <f>IF(CZ$4=0,0,IF(COUNTIFS(実績!$W$6:$W$505,CZ$3,実績!$AC$6:$AC$505,"&lt;="&amp;$A291,実績!$AD$6:$AD$505,"&gt;"&amp;$A291,実績!$AE$6:$AE$505,"○")&gt;0,1,0))</f>
        <v/>
      </c>
      <c r="DA291">
        <f>IF(DA$4=0,0,IF(COUNTIFS(実績!$W$6:$W$505,DA$3,実績!$AC$6:$AC$505,"&lt;="&amp;$A291,実績!$AD$6:$AD$505,"&gt;"&amp;$A291,実績!$AE$6:$AE$505,"○")&gt;0,1,0))</f>
        <v/>
      </c>
      <c r="DB291">
        <f>IF(DB$4=0,0,IF(COUNTIFS(実績!$W$6:$W$505,DB$3,実績!$AC$6:$AC$505,"&lt;="&amp;$A291,実績!$AD$6:$AD$505,"&gt;"&amp;$A291,実績!$AE$6:$AE$505,"○")&gt;0,1,0))</f>
        <v/>
      </c>
      <c r="DC291">
        <f>IF(DC$4=0,0,IF(COUNTIFS(実績!$W$6:$W$505,DC$3,実績!$AC$6:$AC$505,"&lt;="&amp;$A291,実績!$AD$6:$AD$505,"&gt;"&amp;$A291,実績!$AE$6:$AE$505,"○")&gt;0,1,0))</f>
        <v/>
      </c>
      <c r="DD291">
        <f>IF(DD$4=0,0,IF(COUNTIFS(実績!$W$6:$W$505,DD$3,実績!$AC$6:$AC$505,"&lt;="&amp;$A291,実績!$AD$6:$AD$505,"&gt;"&amp;$A291,実績!$AE$6:$AE$505,"○")&gt;0,1,0))</f>
        <v/>
      </c>
      <c r="DE291">
        <f>IF(DE$4=0,0,IF(COUNTIFS(実績!$W$6:$W$505,DE$3,実績!$AC$6:$AC$505,"&lt;="&amp;$A291,実績!$AD$6:$AD$505,"&gt;"&amp;$A291,実績!$AE$6:$AE$505,"○")&gt;0,1,0))</f>
        <v/>
      </c>
      <c r="DF291">
        <f>IF(DF$4=0,0,IF(COUNTIFS(実績!$W$6:$W$505,DF$3,実績!$AC$6:$AC$505,"&lt;="&amp;$A291,実績!$AD$6:$AD$505,"&gt;"&amp;$A291,実績!$AE$6:$AE$505,"○")&gt;0,1,0))</f>
        <v/>
      </c>
      <c r="DG291">
        <f>IF(DG$4=0,0,IF(COUNTIFS(実績!$W$6:$W$505,DG$3,実績!$AC$6:$AC$505,"&lt;="&amp;$A291,実績!$AD$6:$AD$505,"&gt;"&amp;$A291,実績!$AE$6:$AE$505,"○")&gt;0,1,0))</f>
        <v/>
      </c>
      <c r="DH291">
        <f>IF(DH$4=0,0,IF(COUNTIFS(実績!$W$6:$W$505,DH$3,実績!$AC$6:$AC$505,"&lt;="&amp;$A291,実績!$AD$6:$AD$505,"&gt;"&amp;$A291,実績!$AE$6:$AE$505,"○")&gt;0,1,0))</f>
        <v/>
      </c>
      <c r="DI291">
        <f>IF(DI$4=0,0,IF(COUNTIFS(実績!$W$6:$W$505,DI$3,実績!$AC$6:$AC$505,"&lt;="&amp;$A291,実績!$AD$6:$AD$505,"&gt;"&amp;$A291,実績!$AE$6:$AE$505,"○")&gt;0,1,0))</f>
        <v/>
      </c>
      <c r="DJ291">
        <f>IF(DJ$4=0,0,IF(COUNTIFS(実績!$W$6:$W$505,DJ$3,実績!$AC$6:$AC$505,"&lt;="&amp;$A291,実績!$AD$6:$AD$505,"&gt;"&amp;$A291,実績!$AE$6:$AE$505,"○")&gt;0,1,0))</f>
        <v/>
      </c>
      <c r="DK291">
        <f>IF(DK$4=0,0,IF(COUNTIFS(実績!$W$6:$W$505,DK$3,実績!$AC$6:$AC$505,"&lt;="&amp;$A291,実績!$AD$6:$AD$505,"&gt;"&amp;$A291,実績!$AE$6:$AE$505,"○")&gt;0,1,0))</f>
        <v/>
      </c>
      <c r="DL291">
        <f>IF(DL$4=0,0,IF(COUNTIFS(実績!$W$6:$W$505,DL$3,実績!$AC$6:$AC$505,"&lt;="&amp;$A291,実績!$AD$6:$AD$505,"&gt;"&amp;$A291,実績!$AE$6:$AE$505,"○")&gt;0,1,0))</f>
        <v/>
      </c>
      <c r="DM291">
        <f>IF(DM$4=0,0,IF(COUNTIFS(実績!$W$6:$W$505,DM$3,実績!$AC$6:$AC$505,"&lt;="&amp;$A291,実績!$AD$6:$AD$505,"&gt;"&amp;$A291,実績!$AE$6:$AE$505,"○")&gt;0,1,0))</f>
        <v/>
      </c>
      <c r="DN291">
        <f>IF(DN$4=0,0,IF(COUNTIFS(実績!$W$6:$W$505,DN$3,実績!$AC$6:$AC$505,"&lt;="&amp;$A291,実績!$AD$6:$AD$505,"&gt;"&amp;$A291,実績!$AE$6:$AE$505,"○")&gt;0,1,0))</f>
        <v/>
      </c>
      <c r="DO291">
        <f>IF(DO$4=0,0,IF(COUNTIFS(実績!$W$6:$W$505,DO$3,実績!$AC$6:$AC$505,"&lt;="&amp;$A291,実績!$AD$6:$AD$505,"&gt;"&amp;$A291,実績!$AE$6:$AE$505,"○")&gt;0,1,0))</f>
        <v/>
      </c>
      <c r="DP291">
        <f>IF(DP$4=0,0,IF(COUNTIFS(実績!$W$6:$W$505,DP$3,実績!$AC$6:$AC$505,"&lt;="&amp;$A291,実績!$AD$6:$AD$505,"&gt;"&amp;$A291,実績!$AE$6:$AE$505,"○")&gt;0,1,0))</f>
        <v/>
      </c>
      <c r="DQ291">
        <f>IF(DQ$4=0,0,IF(COUNTIFS(実績!$W$6:$W$505,DQ$3,実績!$AC$6:$AC$505,"&lt;="&amp;$A291,実績!$AD$6:$AD$505,"&gt;"&amp;$A291,実績!$AE$6:$AE$505,"○")&gt;0,1,0))</f>
        <v/>
      </c>
      <c r="DR291">
        <f>IF(DR$4=0,0,IF(COUNTIFS(実績!$W$6:$W$505,DR$3,実績!$AC$6:$AC$505,"&lt;="&amp;$A291,実績!$AD$6:$AD$505,"&gt;"&amp;$A291,実績!$AE$6:$AE$505,"○")&gt;0,1,0))</f>
        <v/>
      </c>
      <c r="DS291">
        <f>SUM(C291:DR291)</f>
        <v/>
      </c>
      <c r="DT291">
        <f>SUMPRODUCT((実績!$C$6:$C$505="○")*ISNUMBER(実績!$AF$6:$AF$505)*(実績!$AF$6:$AF$505&lt;=$A291)*(実績!$AG$6:$AG$505&gt;$A291))</f>
        <v/>
      </c>
      <c r="DU291">
        <f>SUMIF($C$2:$DR$2,"製鉄曳船",C291:DR291)</f>
        <v/>
      </c>
      <c r="DV291">
        <f>SUMIF($C$2:$DR$2,"西日本海運",C291:DR291)</f>
        <v/>
      </c>
    </row>
    <row r="292">
      <c r="A292" t="n">
        <v>1430</v>
      </c>
      <c r="B292" s="29">
        <f>A292/1440</f>
        <v/>
      </c>
      <c r="C292">
        <f>IF(C$4=0,0,IF(COUNTIFS(実績!$W$6:$W$505,C$3,実績!$AC$6:$AC$505,"&lt;="&amp;$A292,実績!$AD$6:$AD$505,"&gt;"&amp;$A292,実績!$AE$6:$AE$505,"○")&gt;0,1,0))</f>
        <v/>
      </c>
      <c r="D292">
        <f>IF(D$4=0,0,IF(COUNTIFS(実績!$W$6:$W$505,D$3,実績!$AC$6:$AC$505,"&lt;="&amp;$A292,実績!$AD$6:$AD$505,"&gt;"&amp;$A292,実績!$AE$6:$AE$505,"○")&gt;0,1,0))</f>
        <v/>
      </c>
      <c r="E292">
        <f>IF(E$4=0,0,IF(COUNTIFS(実績!$W$6:$W$505,E$3,実績!$AC$6:$AC$505,"&lt;="&amp;$A292,実績!$AD$6:$AD$505,"&gt;"&amp;$A292,実績!$AE$6:$AE$505,"○")&gt;0,1,0))</f>
        <v/>
      </c>
      <c r="F292">
        <f>IF(F$4=0,0,IF(COUNTIFS(実績!$W$6:$W$505,F$3,実績!$AC$6:$AC$505,"&lt;="&amp;$A292,実績!$AD$6:$AD$505,"&gt;"&amp;$A292,実績!$AE$6:$AE$505,"○")&gt;0,1,0))</f>
        <v/>
      </c>
      <c r="G292">
        <f>IF(G$4=0,0,IF(COUNTIFS(実績!$W$6:$W$505,G$3,実績!$AC$6:$AC$505,"&lt;="&amp;$A292,実績!$AD$6:$AD$505,"&gt;"&amp;$A292,実績!$AE$6:$AE$505,"○")&gt;0,1,0))</f>
        <v/>
      </c>
      <c r="H292">
        <f>IF(H$4=0,0,IF(COUNTIFS(実績!$W$6:$W$505,H$3,実績!$AC$6:$AC$505,"&lt;="&amp;$A292,実績!$AD$6:$AD$505,"&gt;"&amp;$A292,実績!$AE$6:$AE$505,"○")&gt;0,1,0))</f>
        <v/>
      </c>
      <c r="I292">
        <f>IF(I$4=0,0,IF(COUNTIFS(実績!$W$6:$W$505,I$3,実績!$AC$6:$AC$505,"&lt;="&amp;$A292,実績!$AD$6:$AD$505,"&gt;"&amp;$A292,実績!$AE$6:$AE$505,"○")&gt;0,1,0))</f>
        <v/>
      </c>
      <c r="J292">
        <f>IF(J$4=0,0,IF(COUNTIFS(実績!$W$6:$W$505,J$3,実績!$AC$6:$AC$505,"&lt;="&amp;$A292,実績!$AD$6:$AD$505,"&gt;"&amp;$A292,実績!$AE$6:$AE$505,"○")&gt;0,1,0))</f>
        <v/>
      </c>
      <c r="K292">
        <f>IF(K$4=0,0,IF(COUNTIFS(実績!$W$6:$W$505,K$3,実績!$AC$6:$AC$505,"&lt;="&amp;$A292,実績!$AD$6:$AD$505,"&gt;"&amp;$A292,実績!$AE$6:$AE$505,"○")&gt;0,1,0))</f>
        <v/>
      </c>
      <c r="L292">
        <f>IF(L$4=0,0,IF(COUNTIFS(実績!$W$6:$W$505,L$3,実績!$AC$6:$AC$505,"&lt;="&amp;$A292,実績!$AD$6:$AD$505,"&gt;"&amp;$A292,実績!$AE$6:$AE$505,"○")&gt;0,1,0))</f>
        <v/>
      </c>
      <c r="M292">
        <f>IF(M$4=0,0,IF(COUNTIFS(実績!$W$6:$W$505,M$3,実績!$AC$6:$AC$505,"&lt;="&amp;$A292,実績!$AD$6:$AD$505,"&gt;"&amp;$A292,実績!$AE$6:$AE$505,"○")&gt;0,1,0))</f>
        <v/>
      </c>
      <c r="N292">
        <f>IF(N$4=0,0,IF(COUNTIFS(実績!$W$6:$W$505,N$3,実績!$AC$6:$AC$505,"&lt;="&amp;$A292,実績!$AD$6:$AD$505,"&gt;"&amp;$A292,実績!$AE$6:$AE$505,"○")&gt;0,1,0))</f>
        <v/>
      </c>
      <c r="O292">
        <f>IF(O$4=0,0,IF(COUNTIFS(実績!$W$6:$W$505,O$3,実績!$AC$6:$AC$505,"&lt;="&amp;$A292,実績!$AD$6:$AD$505,"&gt;"&amp;$A292,実績!$AE$6:$AE$505,"○")&gt;0,1,0))</f>
        <v/>
      </c>
      <c r="P292">
        <f>IF(P$4=0,0,IF(COUNTIFS(実績!$W$6:$W$505,P$3,実績!$AC$6:$AC$505,"&lt;="&amp;$A292,実績!$AD$6:$AD$505,"&gt;"&amp;$A292,実績!$AE$6:$AE$505,"○")&gt;0,1,0))</f>
        <v/>
      </c>
      <c r="Q292">
        <f>IF(Q$4=0,0,IF(COUNTIFS(実績!$W$6:$W$505,Q$3,実績!$AC$6:$AC$505,"&lt;="&amp;$A292,実績!$AD$6:$AD$505,"&gt;"&amp;$A292,実績!$AE$6:$AE$505,"○")&gt;0,1,0))</f>
        <v/>
      </c>
      <c r="R292">
        <f>IF(R$4=0,0,IF(COUNTIFS(実績!$W$6:$W$505,R$3,実績!$AC$6:$AC$505,"&lt;="&amp;$A292,実績!$AD$6:$AD$505,"&gt;"&amp;$A292,実績!$AE$6:$AE$505,"○")&gt;0,1,0))</f>
        <v/>
      </c>
      <c r="S292">
        <f>IF(S$4=0,0,IF(COUNTIFS(実績!$W$6:$W$505,S$3,実績!$AC$6:$AC$505,"&lt;="&amp;$A292,実績!$AD$6:$AD$505,"&gt;"&amp;$A292,実績!$AE$6:$AE$505,"○")&gt;0,1,0))</f>
        <v/>
      </c>
      <c r="T292">
        <f>IF(T$4=0,0,IF(COUNTIFS(実績!$W$6:$W$505,T$3,実績!$AC$6:$AC$505,"&lt;="&amp;$A292,実績!$AD$6:$AD$505,"&gt;"&amp;$A292,実績!$AE$6:$AE$505,"○")&gt;0,1,0))</f>
        <v/>
      </c>
      <c r="U292">
        <f>IF(U$4=0,0,IF(COUNTIFS(実績!$W$6:$W$505,U$3,実績!$AC$6:$AC$505,"&lt;="&amp;$A292,実績!$AD$6:$AD$505,"&gt;"&amp;$A292,実績!$AE$6:$AE$505,"○")&gt;0,1,0))</f>
        <v/>
      </c>
      <c r="V292">
        <f>IF(V$4=0,0,IF(COUNTIFS(実績!$W$6:$W$505,V$3,実績!$AC$6:$AC$505,"&lt;="&amp;$A292,実績!$AD$6:$AD$505,"&gt;"&amp;$A292,実績!$AE$6:$AE$505,"○")&gt;0,1,0))</f>
        <v/>
      </c>
      <c r="W292">
        <f>IF(W$4=0,0,IF(COUNTIFS(実績!$W$6:$W$505,W$3,実績!$AC$6:$AC$505,"&lt;="&amp;$A292,実績!$AD$6:$AD$505,"&gt;"&amp;$A292,実績!$AE$6:$AE$505,"○")&gt;0,1,0))</f>
        <v/>
      </c>
      <c r="X292">
        <f>IF(X$4=0,0,IF(COUNTIFS(実績!$W$6:$W$505,X$3,実績!$AC$6:$AC$505,"&lt;="&amp;$A292,実績!$AD$6:$AD$505,"&gt;"&amp;$A292,実績!$AE$6:$AE$505,"○")&gt;0,1,0))</f>
        <v/>
      </c>
      <c r="Y292">
        <f>IF(Y$4=0,0,IF(COUNTIFS(実績!$W$6:$W$505,Y$3,実績!$AC$6:$AC$505,"&lt;="&amp;$A292,実績!$AD$6:$AD$505,"&gt;"&amp;$A292,実績!$AE$6:$AE$505,"○")&gt;0,1,0))</f>
        <v/>
      </c>
      <c r="Z292">
        <f>IF(Z$4=0,0,IF(COUNTIFS(実績!$W$6:$W$505,Z$3,実績!$AC$6:$AC$505,"&lt;="&amp;$A292,実績!$AD$6:$AD$505,"&gt;"&amp;$A292,実績!$AE$6:$AE$505,"○")&gt;0,1,0))</f>
        <v/>
      </c>
      <c r="AA292">
        <f>IF(AA$4=0,0,IF(COUNTIFS(実績!$W$6:$W$505,AA$3,実績!$AC$6:$AC$505,"&lt;="&amp;$A292,実績!$AD$6:$AD$505,"&gt;"&amp;$A292,実績!$AE$6:$AE$505,"○")&gt;0,1,0))</f>
        <v/>
      </c>
      <c r="AB292">
        <f>IF(AB$4=0,0,IF(COUNTIFS(実績!$W$6:$W$505,AB$3,実績!$AC$6:$AC$505,"&lt;="&amp;$A292,実績!$AD$6:$AD$505,"&gt;"&amp;$A292,実績!$AE$6:$AE$505,"○")&gt;0,1,0))</f>
        <v/>
      </c>
      <c r="AC292">
        <f>IF(AC$4=0,0,IF(COUNTIFS(実績!$W$6:$W$505,AC$3,実績!$AC$6:$AC$505,"&lt;="&amp;$A292,実績!$AD$6:$AD$505,"&gt;"&amp;$A292,実績!$AE$6:$AE$505,"○")&gt;0,1,0))</f>
        <v/>
      </c>
      <c r="AD292">
        <f>IF(AD$4=0,0,IF(COUNTIFS(実績!$W$6:$W$505,AD$3,実績!$AC$6:$AC$505,"&lt;="&amp;$A292,実績!$AD$6:$AD$505,"&gt;"&amp;$A292,実績!$AE$6:$AE$505,"○")&gt;0,1,0))</f>
        <v/>
      </c>
      <c r="AE292">
        <f>IF(AE$4=0,0,IF(COUNTIFS(実績!$W$6:$W$505,AE$3,実績!$AC$6:$AC$505,"&lt;="&amp;$A292,実績!$AD$6:$AD$505,"&gt;"&amp;$A292,実績!$AE$6:$AE$505,"○")&gt;0,1,0))</f>
        <v/>
      </c>
      <c r="AF292">
        <f>IF(AF$4=0,0,IF(COUNTIFS(実績!$W$6:$W$505,AF$3,実績!$AC$6:$AC$505,"&lt;="&amp;$A292,実績!$AD$6:$AD$505,"&gt;"&amp;$A292,実績!$AE$6:$AE$505,"○")&gt;0,1,0))</f>
        <v/>
      </c>
      <c r="AG292">
        <f>IF(AG$4=0,0,IF(COUNTIFS(実績!$W$6:$W$505,AG$3,実績!$AC$6:$AC$505,"&lt;="&amp;$A292,実績!$AD$6:$AD$505,"&gt;"&amp;$A292,実績!$AE$6:$AE$505,"○")&gt;0,1,0))</f>
        <v/>
      </c>
      <c r="AH292">
        <f>IF(AH$4=0,0,IF(COUNTIFS(実績!$W$6:$W$505,AH$3,実績!$AC$6:$AC$505,"&lt;="&amp;$A292,実績!$AD$6:$AD$505,"&gt;"&amp;$A292,実績!$AE$6:$AE$505,"○")&gt;0,1,0))</f>
        <v/>
      </c>
      <c r="AI292">
        <f>IF(AI$4=0,0,IF(COUNTIFS(実績!$W$6:$W$505,AI$3,実績!$AC$6:$AC$505,"&lt;="&amp;$A292,実績!$AD$6:$AD$505,"&gt;"&amp;$A292,実績!$AE$6:$AE$505,"○")&gt;0,1,0))</f>
        <v/>
      </c>
      <c r="AJ292">
        <f>IF(AJ$4=0,0,IF(COUNTIFS(実績!$W$6:$W$505,AJ$3,実績!$AC$6:$AC$505,"&lt;="&amp;$A292,実績!$AD$6:$AD$505,"&gt;"&amp;$A292,実績!$AE$6:$AE$505,"○")&gt;0,1,0))</f>
        <v/>
      </c>
      <c r="AK292">
        <f>IF(AK$4=0,0,IF(COUNTIFS(実績!$W$6:$W$505,AK$3,実績!$AC$6:$AC$505,"&lt;="&amp;$A292,実績!$AD$6:$AD$505,"&gt;"&amp;$A292,実績!$AE$6:$AE$505,"○")&gt;0,1,0))</f>
        <v/>
      </c>
      <c r="AL292">
        <f>IF(AL$4=0,0,IF(COUNTIFS(実績!$W$6:$W$505,AL$3,実績!$AC$6:$AC$505,"&lt;="&amp;$A292,実績!$AD$6:$AD$505,"&gt;"&amp;$A292,実績!$AE$6:$AE$505,"○")&gt;0,1,0))</f>
        <v/>
      </c>
      <c r="AM292">
        <f>IF(AM$4=0,0,IF(COUNTIFS(実績!$W$6:$W$505,AM$3,実績!$AC$6:$AC$505,"&lt;="&amp;$A292,実績!$AD$6:$AD$505,"&gt;"&amp;$A292,実績!$AE$6:$AE$505,"○")&gt;0,1,0))</f>
        <v/>
      </c>
      <c r="AN292">
        <f>IF(AN$4=0,0,IF(COUNTIFS(実績!$W$6:$W$505,AN$3,実績!$AC$6:$AC$505,"&lt;="&amp;$A292,実績!$AD$6:$AD$505,"&gt;"&amp;$A292,実績!$AE$6:$AE$505,"○")&gt;0,1,0))</f>
        <v/>
      </c>
      <c r="AO292">
        <f>IF(AO$4=0,0,IF(COUNTIFS(実績!$W$6:$W$505,AO$3,実績!$AC$6:$AC$505,"&lt;="&amp;$A292,実績!$AD$6:$AD$505,"&gt;"&amp;$A292,実績!$AE$6:$AE$505,"○")&gt;0,1,0))</f>
        <v/>
      </c>
      <c r="AP292">
        <f>IF(AP$4=0,0,IF(COUNTIFS(実績!$W$6:$W$505,AP$3,実績!$AC$6:$AC$505,"&lt;="&amp;$A292,実績!$AD$6:$AD$505,"&gt;"&amp;$A292,実績!$AE$6:$AE$505,"○")&gt;0,1,0))</f>
        <v/>
      </c>
      <c r="AQ292">
        <f>IF(AQ$4=0,0,IF(COUNTIFS(実績!$W$6:$W$505,AQ$3,実績!$AC$6:$AC$505,"&lt;="&amp;$A292,実績!$AD$6:$AD$505,"&gt;"&amp;$A292,実績!$AE$6:$AE$505,"○")&gt;0,1,0))</f>
        <v/>
      </c>
      <c r="AR292">
        <f>IF(AR$4=0,0,IF(COUNTIFS(実績!$W$6:$W$505,AR$3,実績!$AC$6:$AC$505,"&lt;="&amp;$A292,実績!$AD$6:$AD$505,"&gt;"&amp;$A292,実績!$AE$6:$AE$505,"○")&gt;0,1,0))</f>
        <v/>
      </c>
      <c r="AS292">
        <f>IF(AS$4=0,0,IF(COUNTIFS(実績!$W$6:$W$505,AS$3,実績!$AC$6:$AC$505,"&lt;="&amp;$A292,実績!$AD$6:$AD$505,"&gt;"&amp;$A292,実績!$AE$6:$AE$505,"○")&gt;0,1,0))</f>
        <v/>
      </c>
      <c r="AT292">
        <f>IF(AT$4=0,0,IF(COUNTIFS(実績!$W$6:$W$505,AT$3,実績!$AC$6:$AC$505,"&lt;="&amp;$A292,実績!$AD$6:$AD$505,"&gt;"&amp;$A292,実績!$AE$6:$AE$505,"○")&gt;0,1,0))</f>
        <v/>
      </c>
      <c r="AU292">
        <f>IF(AU$4=0,0,IF(COUNTIFS(実績!$W$6:$W$505,AU$3,実績!$AC$6:$AC$505,"&lt;="&amp;$A292,実績!$AD$6:$AD$505,"&gt;"&amp;$A292,実績!$AE$6:$AE$505,"○")&gt;0,1,0))</f>
        <v/>
      </c>
      <c r="AV292">
        <f>IF(AV$4=0,0,IF(COUNTIFS(実績!$W$6:$W$505,AV$3,実績!$AC$6:$AC$505,"&lt;="&amp;$A292,実績!$AD$6:$AD$505,"&gt;"&amp;$A292,実績!$AE$6:$AE$505,"○")&gt;0,1,0))</f>
        <v/>
      </c>
      <c r="AW292">
        <f>IF(AW$4=0,0,IF(COUNTIFS(実績!$W$6:$W$505,AW$3,実績!$AC$6:$AC$505,"&lt;="&amp;$A292,実績!$AD$6:$AD$505,"&gt;"&amp;$A292,実績!$AE$6:$AE$505,"○")&gt;0,1,0))</f>
        <v/>
      </c>
      <c r="AX292">
        <f>IF(AX$4=0,0,IF(COUNTIFS(実績!$W$6:$W$505,AX$3,実績!$AC$6:$AC$505,"&lt;="&amp;$A292,実績!$AD$6:$AD$505,"&gt;"&amp;$A292,実績!$AE$6:$AE$505,"○")&gt;0,1,0))</f>
        <v/>
      </c>
      <c r="AY292">
        <f>IF(AY$4=0,0,IF(COUNTIFS(実績!$W$6:$W$505,AY$3,実績!$AC$6:$AC$505,"&lt;="&amp;$A292,実績!$AD$6:$AD$505,"&gt;"&amp;$A292,実績!$AE$6:$AE$505,"○")&gt;0,1,0))</f>
        <v/>
      </c>
      <c r="AZ292">
        <f>IF(AZ$4=0,0,IF(COUNTIFS(実績!$W$6:$W$505,AZ$3,実績!$AC$6:$AC$505,"&lt;="&amp;$A292,実績!$AD$6:$AD$505,"&gt;"&amp;$A292,実績!$AE$6:$AE$505,"○")&gt;0,1,0))</f>
        <v/>
      </c>
      <c r="BA292">
        <f>IF(BA$4=0,0,IF(COUNTIFS(実績!$W$6:$W$505,BA$3,実績!$AC$6:$AC$505,"&lt;="&amp;$A292,実績!$AD$6:$AD$505,"&gt;"&amp;$A292,実績!$AE$6:$AE$505,"○")&gt;0,1,0))</f>
        <v/>
      </c>
      <c r="BB292">
        <f>IF(BB$4=0,0,IF(COUNTIFS(実績!$W$6:$W$505,BB$3,実績!$AC$6:$AC$505,"&lt;="&amp;$A292,実績!$AD$6:$AD$505,"&gt;"&amp;$A292,実績!$AE$6:$AE$505,"○")&gt;0,1,0))</f>
        <v/>
      </c>
      <c r="BC292">
        <f>IF(BC$4=0,0,IF(COUNTIFS(実績!$W$6:$W$505,BC$3,実績!$AC$6:$AC$505,"&lt;="&amp;$A292,実績!$AD$6:$AD$505,"&gt;"&amp;$A292,実績!$AE$6:$AE$505,"○")&gt;0,1,0))</f>
        <v/>
      </c>
      <c r="BD292">
        <f>IF(BD$4=0,0,IF(COUNTIFS(実績!$W$6:$W$505,BD$3,実績!$AC$6:$AC$505,"&lt;="&amp;$A292,実績!$AD$6:$AD$505,"&gt;"&amp;$A292,実績!$AE$6:$AE$505,"○")&gt;0,1,0))</f>
        <v/>
      </c>
      <c r="BE292">
        <f>IF(BE$4=0,0,IF(COUNTIFS(実績!$W$6:$W$505,BE$3,実績!$AC$6:$AC$505,"&lt;="&amp;$A292,実績!$AD$6:$AD$505,"&gt;"&amp;$A292,実績!$AE$6:$AE$505,"○")&gt;0,1,0))</f>
        <v/>
      </c>
      <c r="BF292">
        <f>IF(BF$4=0,0,IF(COUNTIFS(実績!$W$6:$W$505,BF$3,実績!$AC$6:$AC$505,"&lt;="&amp;$A292,実績!$AD$6:$AD$505,"&gt;"&amp;$A292,実績!$AE$6:$AE$505,"○")&gt;0,1,0))</f>
        <v/>
      </c>
      <c r="BG292">
        <f>IF(BG$4=0,0,IF(COUNTIFS(実績!$W$6:$W$505,BG$3,実績!$AC$6:$AC$505,"&lt;="&amp;$A292,実績!$AD$6:$AD$505,"&gt;"&amp;$A292,実績!$AE$6:$AE$505,"○")&gt;0,1,0))</f>
        <v/>
      </c>
      <c r="BH292">
        <f>IF(BH$4=0,0,IF(COUNTIFS(実績!$W$6:$W$505,BH$3,実績!$AC$6:$AC$505,"&lt;="&amp;$A292,実績!$AD$6:$AD$505,"&gt;"&amp;$A292,実績!$AE$6:$AE$505,"○")&gt;0,1,0))</f>
        <v/>
      </c>
      <c r="BI292">
        <f>IF(BI$4=0,0,IF(COUNTIFS(実績!$W$6:$W$505,BI$3,実績!$AC$6:$AC$505,"&lt;="&amp;$A292,実績!$AD$6:$AD$505,"&gt;"&amp;$A292,実績!$AE$6:$AE$505,"○")&gt;0,1,0))</f>
        <v/>
      </c>
      <c r="BJ292">
        <f>IF(BJ$4=0,0,IF(COUNTIFS(実績!$W$6:$W$505,BJ$3,実績!$AC$6:$AC$505,"&lt;="&amp;$A292,実績!$AD$6:$AD$505,"&gt;"&amp;$A292,実績!$AE$6:$AE$505,"○")&gt;0,1,0))</f>
        <v/>
      </c>
      <c r="BK292">
        <f>IF(BK$4=0,0,IF(COUNTIFS(実績!$W$6:$W$505,BK$3,実績!$AC$6:$AC$505,"&lt;="&amp;$A292,実績!$AD$6:$AD$505,"&gt;"&amp;$A292,実績!$AE$6:$AE$505,"○")&gt;0,1,0))</f>
        <v/>
      </c>
      <c r="BL292">
        <f>IF(BL$4=0,0,IF(COUNTIFS(実績!$W$6:$W$505,BL$3,実績!$AC$6:$AC$505,"&lt;="&amp;$A292,実績!$AD$6:$AD$505,"&gt;"&amp;$A292,実績!$AE$6:$AE$505,"○")&gt;0,1,0))</f>
        <v/>
      </c>
      <c r="BM292">
        <f>IF(BM$4=0,0,IF(COUNTIFS(実績!$W$6:$W$505,BM$3,実績!$AC$6:$AC$505,"&lt;="&amp;$A292,実績!$AD$6:$AD$505,"&gt;"&amp;$A292,実績!$AE$6:$AE$505,"○")&gt;0,1,0))</f>
        <v/>
      </c>
      <c r="BN292">
        <f>IF(BN$4=0,0,IF(COUNTIFS(実績!$W$6:$W$505,BN$3,実績!$AC$6:$AC$505,"&lt;="&amp;$A292,実績!$AD$6:$AD$505,"&gt;"&amp;$A292,実績!$AE$6:$AE$505,"○")&gt;0,1,0))</f>
        <v/>
      </c>
      <c r="BO292">
        <f>IF(BO$4=0,0,IF(COUNTIFS(実績!$W$6:$W$505,BO$3,実績!$AC$6:$AC$505,"&lt;="&amp;$A292,実績!$AD$6:$AD$505,"&gt;"&amp;$A292,実績!$AE$6:$AE$505,"○")&gt;0,1,0))</f>
        <v/>
      </c>
      <c r="BP292">
        <f>IF(BP$4=0,0,IF(COUNTIFS(実績!$W$6:$W$505,BP$3,実績!$AC$6:$AC$505,"&lt;="&amp;$A292,実績!$AD$6:$AD$505,"&gt;"&amp;$A292,実績!$AE$6:$AE$505,"○")&gt;0,1,0))</f>
        <v/>
      </c>
      <c r="BQ292">
        <f>IF(BQ$4=0,0,IF(COUNTIFS(実績!$W$6:$W$505,BQ$3,実績!$AC$6:$AC$505,"&lt;="&amp;$A292,実績!$AD$6:$AD$505,"&gt;"&amp;$A292,実績!$AE$6:$AE$505,"○")&gt;0,1,0))</f>
        <v/>
      </c>
      <c r="BR292">
        <f>IF(BR$4=0,0,IF(COUNTIFS(実績!$W$6:$W$505,BR$3,実績!$AC$6:$AC$505,"&lt;="&amp;$A292,実績!$AD$6:$AD$505,"&gt;"&amp;$A292,実績!$AE$6:$AE$505,"○")&gt;0,1,0))</f>
        <v/>
      </c>
      <c r="BS292">
        <f>IF(BS$4=0,0,IF(COUNTIFS(実績!$W$6:$W$505,BS$3,実績!$AC$6:$AC$505,"&lt;="&amp;$A292,実績!$AD$6:$AD$505,"&gt;"&amp;$A292,実績!$AE$6:$AE$505,"○")&gt;0,1,0))</f>
        <v/>
      </c>
      <c r="BT292">
        <f>IF(BT$4=0,0,IF(COUNTIFS(実績!$W$6:$W$505,BT$3,実績!$AC$6:$AC$505,"&lt;="&amp;$A292,実績!$AD$6:$AD$505,"&gt;"&amp;$A292,実績!$AE$6:$AE$505,"○")&gt;0,1,0))</f>
        <v/>
      </c>
      <c r="BU292">
        <f>IF(BU$4=0,0,IF(COUNTIFS(実績!$W$6:$W$505,BU$3,実績!$AC$6:$AC$505,"&lt;="&amp;$A292,実績!$AD$6:$AD$505,"&gt;"&amp;$A292,実績!$AE$6:$AE$505,"○")&gt;0,1,0))</f>
        <v/>
      </c>
      <c r="BV292">
        <f>IF(BV$4=0,0,IF(COUNTIFS(実績!$W$6:$W$505,BV$3,実績!$AC$6:$AC$505,"&lt;="&amp;$A292,実績!$AD$6:$AD$505,"&gt;"&amp;$A292,実績!$AE$6:$AE$505,"○")&gt;0,1,0))</f>
        <v/>
      </c>
      <c r="BW292">
        <f>IF(BW$4=0,0,IF(COUNTIFS(実績!$W$6:$W$505,BW$3,実績!$AC$6:$AC$505,"&lt;="&amp;$A292,実績!$AD$6:$AD$505,"&gt;"&amp;$A292,実績!$AE$6:$AE$505,"○")&gt;0,1,0))</f>
        <v/>
      </c>
      <c r="BX292">
        <f>IF(BX$4=0,0,IF(COUNTIFS(実績!$W$6:$W$505,BX$3,実績!$AC$6:$AC$505,"&lt;="&amp;$A292,実績!$AD$6:$AD$505,"&gt;"&amp;$A292,実績!$AE$6:$AE$505,"○")&gt;0,1,0))</f>
        <v/>
      </c>
      <c r="BY292">
        <f>IF(BY$4=0,0,IF(COUNTIFS(実績!$W$6:$W$505,BY$3,実績!$AC$6:$AC$505,"&lt;="&amp;$A292,実績!$AD$6:$AD$505,"&gt;"&amp;$A292,実績!$AE$6:$AE$505,"○")&gt;0,1,0))</f>
        <v/>
      </c>
      <c r="BZ292">
        <f>IF(BZ$4=0,0,IF(COUNTIFS(実績!$W$6:$W$505,BZ$3,実績!$AC$6:$AC$505,"&lt;="&amp;$A292,実績!$AD$6:$AD$505,"&gt;"&amp;$A292,実績!$AE$6:$AE$505,"○")&gt;0,1,0))</f>
        <v/>
      </c>
      <c r="CA292">
        <f>IF(CA$4=0,0,IF(COUNTIFS(実績!$W$6:$W$505,CA$3,実績!$AC$6:$AC$505,"&lt;="&amp;$A292,実績!$AD$6:$AD$505,"&gt;"&amp;$A292,実績!$AE$6:$AE$505,"○")&gt;0,1,0))</f>
        <v/>
      </c>
      <c r="CB292">
        <f>IF(CB$4=0,0,IF(COUNTIFS(実績!$W$6:$W$505,CB$3,実績!$AC$6:$AC$505,"&lt;="&amp;$A292,実績!$AD$6:$AD$505,"&gt;"&amp;$A292,実績!$AE$6:$AE$505,"○")&gt;0,1,0))</f>
        <v/>
      </c>
      <c r="CC292">
        <f>IF(CC$4=0,0,IF(COUNTIFS(実績!$W$6:$W$505,CC$3,実績!$AC$6:$AC$505,"&lt;="&amp;$A292,実績!$AD$6:$AD$505,"&gt;"&amp;$A292,実績!$AE$6:$AE$505,"○")&gt;0,1,0))</f>
        <v/>
      </c>
      <c r="CD292">
        <f>IF(CD$4=0,0,IF(COUNTIFS(実績!$W$6:$W$505,CD$3,実績!$AC$6:$AC$505,"&lt;="&amp;$A292,実績!$AD$6:$AD$505,"&gt;"&amp;$A292,実績!$AE$6:$AE$505,"○")&gt;0,1,0))</f>
        <v/>
      </c>
      <c r="CE292">
        <f>IF(CE$4=0,0,IF(COUNTIFS(実績!$W$6:$W$505,CE$3,実績!$AC$6:$AC$505,"&lt;="&amp;$A292,実績!$AD$6:$AD$505,"&gt;"&amp;$A292,実績!$AE$6:$AE$505,"○")&gt;0,1,0))</f>
        <v/>
      </c>
      <c r="CF292">
        <f>IF(CF$4=0,0,IF(COUNTIFS(実績!$W$6:$W$505,CF$3,実績!$AC$6:$AC$505,"&lt;="&amp;$A292,実績!$AD$6:$AD$505,"&gt;"&amp;$A292,実績!$AE$6:$AE$505,"○")&gt;0,1,0))</f>
        <v/>
      </c>
      <c r="CG292">
        <f>IF(CG$4=0,0,IF(COUNTIFS(実績!$W$6:$W$505,CG$3,実績!$AC$6:$AC$505,"&lt;="&amp;$A292,実績!$AD$6:$AD$505,"&gt;"&amp;$A292,実績!$AE$6:$AE$505,"○")&gt;0,1,0))</f>
        <v/>
      </c>
      <c r="CH292">
        <f>IF(CH$4=0,0,IF(COUNTIFS(実績!$W$6:$W$505,CH$3,実績!$AC$6:$AC$505,"&lt;="&amp;$A292,実績!$AD$6:$AD$505,"&gt;"&amp;$A292,実績!$AE$6:$AE$505,"○")&gt;0,1,0))</f>
        <v/>
      </c>
      <c r="CI292">
        <f>IF(CI$4=0,0,IF(COUNTIFS(実績!$W$6:$W$505,CI$3,実績!$AC$6:$AC$505,"&lt;="&amp;$A292,実績!$AD$6:$AD$505,"&gt;"&amp;$A292,実績!$AE$6:$AE$505,"○")&gt;0,1,0))</f>
        <v/>
      </c>
      <c r="CJ292">
        <f>IF(CJ$4=0,0,IF(COUNTIFS(実績!$W$6:$W$505,CJ$3,実績!$AC$6:$AC$505,"&lt;="&amp;$A292,実績!$AD$6:$AD$505,"&gt;"&amp;$A292,実績!$AE$6:$AE$505,"○")&gt;0,1,0))</f>
        <v/>
      </c>
      <c r="CK292">
        <f>IF(CK$4=0,0,IF(COUNTIFS(実績!$W$6:$W$505,CK$3,実績!$AC$6:$AC$505,"&lt;="&amp;$A292,実績!$AD$6:$AD$505,"&gt;"&amp;$A292,実績!$AE$6:$AE$505,"○")&gt;0,1,0))</f>
        <v/>
      </c>
      <c r="CL292">
        <f>IF(CL$4=0,0,IF(COUNTIFS(実績!$W$6:$W$505,CL$3,実績!$AC$6:$AC$505,"&lt;="&amp;$A292,実績!$AD$6:$AD$505,"&gt;"&amp;$A292,実績!$AE$6:$AE$505,"○")&gt;0,1,0))</f>
        <v/>
      </c>
      <c r="CM292">
        <f>IF(CM$4=0,0,IF(COUNTIFS(実績!$W$6:$W$505,CM$3,実績!$AC$6:$AC$505,"&lt;="&amp;$A292,実績!$AD$6:$AD$505,"&gt;"&amp;$A292,実績!$AE$6:$AE$505,"○")&gt;0,1,0))</f>
        <v/>
      </c>
      <c r="CN292">
        <f>IF(CN$4=0,0,IF(COUNTIFS(実績!$W$6:$W$505,CN$3,実績!$AC$6:$AC$505,"&lt;="&amp;$A292,実績!$AD$6:$AD$505,"&gt;"&amp;$A292,実績!$AE$6:$AE$505,"○")&gt;0,1,0))</f>
        <v/>
      </c>
      <c r="CO292">
        <f>IF(CO$4=0,0,IF(COUNTIFS(実績!$W$6:$W$505,CO$3,実績!$AC$6:$AC$505,"&lt;="&amp;$A292,実績!$AD$6:$AD$505,"&gt;"&amp;$A292,実績!$AE$6:$AE$505,"○")&gt;0,1,0))</f>
        <v/>
      </c>
      <c r="CP292">
        <f>IF(CP$4=0,0,IF(COUNTIFS(実績!$W$6:$W$505,CP$3,実績!$AC$6:$AC$505,"&lt;="&amp;$A292,実績!$AD$6:$AD$505,"&gt;"&amp;$A292,実績!$AE$6:$AE$505,"○")&gt;0,1,0))</f>
        <v/>
      </c>
      <c r="CQ292">
        <f>IF(CQ$4=0,0,IF(COUNTIFS(実績!$W$6:$W$505,CQ$3,実績!$AC$6:$AC$505,"&lt;="&amp;$A292,実績!$AD$6:$AD$505,"&gt;"&amp;$A292,実績!$AE$6:$AE$505,"○")&gt;0,1,0))</f>
        <v/>
      </c>
      <c r="CR292">
        <f>IF(CR$4=0,0,IF(COUNTIFS(実績!$W$6:$W$505,CR$3,実績!$AC$6:$AC$505,"&lt;="&amp;$A292,実績!$AD$6:$AD$505,"&gt;"&amp;$A292,実績!$AE$6:$AE$505,"○")&gt;0,1,0))</f>
        <v/>
      </c>
      <c r="CS292">
        <f>IF(CS$4=0,0,IF(COUNTIFS(実績!$W$6:$W$505,CS$3,実績!$AC$6:$AC$505,"&lt;="&amp;$A292,実績!$AD$6:$AD$505,"&gt;"&amp;$A292,実績!$AE$6:$AE$505,"○")&gt;0,1,0))</f>
        <v/>
      </c>
      <c r="CT292">
        <f>IF(CT$4=0,0,IF(COUNTIFS(実績!$W$6:$W$505,CT$3,実績!$AC$6:$AC$505,"&lt;="&amp;$A292,実績!$AD$6:$AD$505,"&gt;"&amp;$A292,実績!$AE$6:$AE$505,"○")&gt;0,1,0))</f>
        <v/>
      </c>
      <c r="CU292">
        <f>IF(CU$4=0,0,IF(COUNTIFS(実績!$W$6:$W$505,CU$3,実績!$AC$6:$AC$505,"&lt;="&amp;$A292,実績!$AD$6:$AD$505,"&gt;"&amp;$A292,実績!$AE$6:$AE$505,"○")&gt;0,1,0))</f>
        <v/>
      </c>
      <c r="CV292">
        <f>IF(CV$4=0,0,IF(COUNTIFS(実績!$W$6:$W$505,CV$3,実績!$AC$6:$AC$505,"&lt;="&amp;$A292,実績!$AD$6:$AD$505,"&gt;"&amp;$A292,実績!$AE$6:$AE$505,"○")&gt;0,1,0))</f>
        <v/>
      </c>
      <c r="CW292">
        <f>IF(CW$4=0,0,IF(COUNTIFS(実績!$W$6:$W$505,CW$3,実績!$AC$6:$AC$505,"&lt;="&amp;$A292,実績!$AD$6:$AD$505,"&gt;"&amp;$A292,実績!$AE$6:$AE$505,"○")&gt;0,1,0))</f>
        <v/>
      </c>
      <c r="CX292">
        <f>IF(CX$4=0,0,IF(COUNTIFS(実績!$W$6:$W$505,CX$3,実績!$AC$6:$AC$505,"&lt;="&amp;$A292,実績!$AD$6:$AD$505,"&gt;"&amp;$A292,実績!$AE$6:$AE$505,"○")&gt;0,1,0))</f>
        <v/>
      </c>
      <c r="CY292">
        <f>IF(CY$4=0,0,IF(COUNTIFS(実績!$W$6:$W$505,CY$3,実績!$AC$6:$AC$505,"&lt;="&amp;$A292,実績!$AD$6:$AD$505,"&gt;"&amp;$A292,実績!$AE$6:$AE$505,"○")&gt;0,1,0))</f>
        <v/>
      </c>
      <c r="CZ292">
        <f>IF(CZ$4=0,0,IF(COUNTIFS(実績!$W$6:$W$505,CZ$3,実績!$AC$6:$AC$505,"&lt;="&amp;$A292,実績!$AD$6:$AD$505,"&gt;"&amp;$A292,実績!$AE$6:$AE$505,"○")&gt;0,1,0))</f>
        <v/>
      </c>
      <c r="DA292">
        <f>IF(DA$4=0,0,IF(COUNTIFS(実績!$W$6:$W$505,DA$3,実績!$AC$6:$AC$505,"&lt;="&amp;$A292,実績!$AD$6:$AD$505,"&gt;"&amp;$A292,実績!$AE$6:$AE$505,"○")&gt;0,1,0))</f>
        <v/>
      </c>
      <c r="DB292">
        <f>IF(DB$4=0,0,IF(COUNTIFS(実績!$W$6:$W$505,DB$3,実績!$AC$6:$AC$505,"&lt;="&amp;$A292,実績!$AD$6:$AD$505,"&gt;"&amp;$A292,実績!$AE$6:$AE$505,"○")&gt;0,1,0))</f>
        <v/>
      </c>
      <c r="DC292">
        <f>IF(DC$4=0,0,IF(COUNTIFS(実績!$W$6:$W$505,DC$3,実績!$AC$6:$AC$505,"&lt;="&amp;$A292,実績!$AD$6:$AD$505,"&gt;"&amp;$A292,実績!$AE$6:$AE$505,"○")&gt;0,1,0))</f>
        <v/>
      </c>
      <c r="DD292">
        <f>IF(DD$4=0,0,IF(COUNTIFS(実績!$W$6:$W$505,DD$3,実績!$AC$6:$AC$505,"&lt;="&amp;$A292,実績!$AD$6:$AD$505,"&gt;"&amp;$A292,実績!$AE$6:$AE$505,"○")&gt;0,1,0))</f>
        <v/>
      </c>
      <c r="DE292">
        <f>IF(DE$4=0,0,IF(COUNTIFS(実績!$W$6:$W$505,DE$3,実績!$AC$6:$AC$505,"&lt;="&amp;$A292,実績!$AD$6:$AD$505,"&gt;"&amp;$A292,実績!$AE$6:$AE$505,"○")&gt;0,1,0))</f>
        <v/>
      </c>
      <c r="DF292">
        <f>IF(DF$4=0,0,IF(COUNTIFS(実績!$W$6:$W$505,DF$3,実績!$AC$6:$AC$505,"&lt;="&amp;$A292,実績!$AD$6:$AD$505,"&gt;"&amp;$A292,実績!$AE$6:$AE$505,"○")&gt;0,1,0))</f>
        <v/>
      </c>
      <c r="DG292">
        <f>IF(DG$4=0,0,IF(COUNTIFS(実績!$W$6:$W$505,DG$3,実績!$AC$6:$AC$505,"&lt;="&amp;$A292,実績!$AD$6:$AD$505,"&gt;"&amp;$A292,実績!$AE$6:$AE$505,"○")&gt;0,1,0))</f>
        <v/>
      </c>
      <c r="DH292">
        <f>IF(DH$4=0,0,IF(COUNTIFS(実績!$W$6:$W$505,DH$3,実績!$AC$6:$AC$505,"&lt;="&amp;$A292,実績!$AD$6:$AD$505,"&gt;"&amp;$A292,実績!$AE$6:$AE$505,"○")&gt;0,1,0))</f>
        <v/>
      </c>
      <c r="DI292">
        <f>IF(DI$4=0,0,IF(COUNTIFS(実績!$W$6:$W$505,DI$3,実績!$AC$6:$AC$505,"&lt;="&amp;$A292,実績!$AD$6:$AD$505,"&gt;"&amp;$A292,実績!$AE$6:$AE$505,"○")&gt;0,1,0))</f>
        <v/>
      </c>
      <c r="DJ292">
        <f>IF(DJ$4=0,0,IF(COUNTIFS(実績!$W$6:$W$505,DJ$3,実績!$AC$6:$AC$505,"&lt;="&amp;$A292,実績!$AD$6:$AD$505,"&gt;"&amp;$A292,実績!$AE$6:$AE$505,"○")&gt;0,1,0))</f>
        <v/>
      </c>
      <c r="DK292">
        <f>IF(DK$4=0,0,IF(COUNTIFS(実績!$W$6:$W$505,DK$3,実績!$AC$6:$AC$505,"&lt;="&amp;$A292,実績!$AD$6:$AD$505,"&gt;"&amp;$A292,実績!$AE$6:$AE$505,"○")&gt;0,1,0))</f>
        <v/>
      </c>
      <c r="DL292">
        <f>IF(DL$4=0,0,IF(COUNTIFS(実績!$W$6:$W$505,DL$3,実績!$AC$6:$AC$505,"&lt;="&amp;$A292,実績!$AD$6:$AD$505,"&gt;"&amp;$A292,実績!$AE$6:$AE$505,"○")&gt;0,1,0))</f>
        <v/>
      </c>
      <c r="DM292">
        <f>IF(DM$4=0,0,IF(COUNTIFS(実績!$W$6:$W$505,DM$3,実績!$AC$6:$AC$505,"&lt;="&amp;$A292,実績!$AD$6:$AD$505,"&gt;"&amp;$A292,実績!$AE$6:$AE$505,"○")&gt;0,1,0))</f>
        <v/>
      </c>
      <c r="DN292">
        <f>IF(DN$4=0,0,IF(COUNTIFS(実績!$W$6:$W$505,DN$3,実績!$AC$6:$AC$505,"&lt;="&amp;$A292,実績!$AD$6:$AD$505,"&gt;"&amp;$A292,実績!$AE$6:$AE$505,"○")&gt;0,1,0))</f>
        <v/>
      </c>
      <c r="DO292">
        <f>IF(DO$4=0,0,IF(COUNTIFS(実績!$W$6:$W$505,DO$3,実績!$AC$6:$AC$505,"&lt;="&amp;$A292,実績!$AD$6:$AD$505,"&gt;"&amp;$A292,実績!$AE$6:$AE$505,"○")&gt;0,1,0))</f>
        <v/>
      </c>
      <c r="DP292">
        <f>IF(DP$4=0,0,IF(COUNTIFS(実績!$W$6:$W$505,DP$3,実績!$AC$6:$AC$505,"&lt;="&amp;$A292,実績!$AD$6:$AD$505,"&gt;"&amp;$A292,実績!$AE$6:$AE$505,"○")&gt;0,1,0))</f>
        <v/>
      </c>
      <c r="DQ292">
        <f>IF(DQ$4=0,0,IF(COUNTIFS(実績!$W$6:$W$505,DQ$3,実績!$AC$6:$AC$505,"&lt;="&amp;$A292,実績!$AD$6:$AD$505,"&gt;"&amp;$A292,実績!$AE$6:$AE$505,"○")&gt;0,1,0))</f>
        <v/>
      </c>
      <c r="DR292">
        <f>IF(DR$4=0,0,IF(COUNTIFS(実績!$W$6:$W$505,DR$3,実績!$AC$6:$AC$505,"&lt;="&amp;$A292,実績!$AD$6:$AD$505,"&gt;"&amp;$A292,実績!$AE$6:$AE$505,"○")&gt;0,1,0))</f>
        <v/>
      </c>
      <c r="DS292">
        <f>SUM(C292:DR292)</f>
        <v/>
      </c>
      <c r="DT292">
        <f>SUMPRODUCT((実績!$C$6:$C$505="○")*ISNUMBER(実績!$AF$6:$AF$505)*(実績!$AF$6:$AF$505&lt;=$A292)*(実績!$AG$6:$AG$505&gt;$A292))</f>
        <v/>
      </c>
      <c r="DU292">
        <f>SUMIF($C$2:$DR$2,"製鉄曳船",C292:DR292)</f>
        <v/>
      </c>
      <c r="DV292">
        <f>SUMIF($C$2:$DR$2,"西日本海運",C292:DR292)</f>
        <v/>
      </c>
    </row>
    <row r="293">
      <c r="A293" t="n">
        <v>1435</v>
      </c>
      <c r="B293" s="29">
        <f>A293/1440</f>
        <v/>
      </c>
      <c r="C293">
        <f>IF(C$4=0,0,IF(COUNTIFS(実績!$W$6:$W$505,C$3,実績!$AC$6:$AC$505,"&lt;="&amp;$A293,実績!$AD$6:$AD$505,"&gt;"&amp;$A293,実績!$AE$6:$AE$505,"○")&gt;0,1,0))</f>
        <v/>
      </c>
      <c r="D293">
        <f>IF(D$4=0,0,IF(COUNTIFS(実績!$W$6:$W$505,D$3,実績!$AC$6:$AC$505,"&lt;="&amp;$A293,実績!$AD$6:$AD$505,"&gt;"&amp;$A293,実績!$AE$6:$AE$505,"○")&gt;0,1,0))</f>
        <v/>
      </c>
      <c r="E293">
        <f>IF(E$4=0,0,IF(COUNTIFS(実績!$W$6:$W$505,E$3,実績!$AC$6:$AC$505,"&lt;="&amp;$A293,実績!$AD$6:$AD$505,"&gt;"&amp;$A293,実績!$AE$6:$AE$505,"○")&gt;0,1,0))</f>
        <v/>
      </c>
      <c r="F293">
        <f>IF(F$4=0,0,IF(COUNTIFS(実績!$W$6:$W$505,F$3,実績!$AC$6:$AC$505,"&lt;="&amp;$A293,実績!$AD$6:$AD$505,"&gt;"&amp;$A293,実績!$AE$6:$AE$505,"○")&gt;0,1,0))</f>
        <v/>
      </c>
      <c r="G293">
        <f>IF(G$4=0,0,IF(COUNTIFS(実績!$W$6:$W$505,G$3,実績!$AC$6:$AC$505,"&lt;="&amp;$A293,実績!$AD$6:$AD$505,"&gt;"&amp;$A293,実績!$AE$6:$AE$505,"○")&gt;0,1,0))</f>
        <v/>
      </c>
      <c r="H293">
        <f>IF(H$4=0,0,IF(COUNTIFS(実績!$W$6:$W$505,H$3,実績!$AC$6:$AC$505,"&lt;="&amp;$A293,実績!$AD$6:$AD$505,"&gt;"&amp;$A293,実績!$AE$6:$AE$505,"○")&gt;0,1,0))</f>
        <v/>
      </c>
      <c r="I293">
        <f>IF(I$4=0,0,IF(COUNTIFS(実績!$W$6:$W$505,I$3,実績!$AC$6:$AC$505,"&lt;="&amp;$A293,実績!$AD$6:$AD$505,"&gt;"&amp;$A293,実績!$AE$6:$AE$505,"○")&gt;0,1,0))</f>
        <v/>
      </c>
      <c r="J293">
        <f>IF(J$4=0,0,IF(COUNTIFS(実績!$W$6:$W$505,J$3,実績!$AC$6:$AC$505,"&lt;="&amp;$A293,実績!$AD$6:$AD$505,"&gt;"&amp;$A293,実績!$AE$6:$AE$505,"○")&gt;0,1,0))</f>
        <v/>
      </c>
      <c r="K293">
        <f>IF(K$4=0,0,IF(COUNTIFS(実績!$W$6:$W$505,K$3,実績!$AC$6:$AC$505,"&lt;="&amp;$A293,実績!$AD$6:$AD$505,"&gt;"&amp;$A293,実績!$AE$6:$AE$505,"○")&gt;0,1,0))</f>
        <v/>
      </c>
      <c r="L293">
        <f>IF(L$4=0,0,IF(COUNTIFS(実績!$W$6:$W$505,L$3,実績!$AC$6:$AC$505,"&lt;="&amp;$A293,実績!$AD$6:$AD$505,"&gt;"&amp;$A293,実績!$AE$6:$AE$505,"○")&gt;0,1,0))</f>
        <v/>
      </c>
      <c r="M293">
        <f>IF(M$4=0,0,IF(COUNTIFS(実績!$W$6:$W$505,M$3,実績!$AC$6:$AC$505,"&lt;="&amp;$A293,実績!$AD$6:$AD$505,"&gt;"&amp;$A293,実績!$AE$6:$AE$505,"○")&gt;0,1,0))</f>
        <v/>
      </c>
      <c r="N293">
        <f>IF(N$4=0,0,IF(COUNTIFS(実績!$W$6:$W$505,N$3,実績!$AC$6:$AC$505,"&lt;="&amp;$A293,実績!$AD$6:$AD$505,"&gt;"&amp;$A293,実績!$AE$6:$AE$505,"○")&gt;0,1,0))</f>
        <v/>
      </c>
      <c r="O293">
        <f>IF(O$4=0,0,IF(COUNTIFS(実績!$W$6:$W$505,O$3,実績!$AC$6:$AC$505,"&lt;="&amp;$A293,実績!$AD$6:$AD$505,"&gt;"&amp;$A293,実績!$AE$6:$AE$505,"○")&gt;0,1,0))</f>
        <v/>
      </c>
      <c r="P293">
        <f>IF(P$4=0,0,IF(COUNTIFS(実績!$W$6:$W$505,P$3,実績!$AC$6:$AC$505,"&lt;="&amp;$A293,実績!$AD$6:$AD$505,"&gt;"&amp;$A293,実績!$AE$6:$AE$505,"○")&gt;0,1,0))</f>
        <v/>
      </c>
      <c r="Q293">
        <f>IF(Q$4=0,0,IF(COUNTIFS(実績!$W$6:$W$505,Q$3,実績!$AC$6:$AC$505,"&lt;="&amp;$A293,実績!$AD$6:$AD$505,"&gt;"&amp;$A293,実績!$AE$6:$AE$505,"○")&gt;0,1,0))</f>
        <v/>
      </c>
      <c r="R293">
        <f>IF(R$4=0,0,IF(COUNTIFS(実績!$W$6:$W$505,R$3,実績!$AC$6:$AC$505,"&lt;="&amp;$A293,実績!$AD$6:$AD$505,"&gt;"&amp;$A293,実績!$AE$6:$AE$505,"○")&gt;0,1,0))</f>
        <v/>
      </c>
      <c r="S293">
        <f>IF(S$4=0,0,IF(COUNTIFS(実績!$W$6:$W$505,S$3,実績!$AC$6:$AC$505,"&lt;="&amp;$A293,実績!$AD$6:$AD$505,"&gt;"&amp;$A293,実績!$AE$6:$AE$505,"○")&gt;0,1,0))</f>
        <v/>
      </c>
      <c r="T293">
        <f>IF(T$4=0,0,IF(COUNTIFS(実績!$W$6:$W$505,T$3,実績!$AC$6:$AC$505,"&lt;="&amp;$A293,実績!$AD$6:$AD$505,"&gt;"&amp;$A293,実績!$AE$6:$AE$505,"○")&gt;0,1,0))</f>
        <v/>
      </c>
      <c r="U293">
        <f>IF(U$4=0,0,IF(COUNTIFS(実績!$W$6:$W$505,U$3,実績!$AC$6:$AC$505,"&lt;="&amp;$A293,実績!$AD$6:$AD$505,"&gt;"&amp;$A293,実績!$AE$6:$AE$505,"○")&gt;0,1,0))</f>
        <v/>
      </c>
      <c r="V293">
        <f>IF(V$4=0,0,IF(COUNTIFS(実績!$W$6:$W$505,V$3,実績!$AC$6:$AC$505,"&lt;="&amp;$A293,実績!$AD$6:$AD$505,"&gt;"&amp;$A293,実績!$AE$6:$AE$505,"○")&gt;0,1,0))</f>
        <v/>
      </c>
      <c r="W293">
        <f>IF(W$4=0,0,IF(COUNTIFS(実績!$W$6:$W$505,W$3,実績!$AC$6:$AC$505,"&lt;="&amp;$A293,実績!$AD$6:$AD$505,"&gt;"&amp;$A293,実績!$AE$6:$AE$505,"○")&gt;0,1,0))</f>
        <v/>
      </c>
      <c r="X293">
        <f>IF(X$4=0,0,IF(COUNTIFS(実績!$W$6:$W$505,X$3,実績!$AC$6:$AC$505,"&lt;="&amp;$A293,実績!$AD$6:$AD$505,"&gt;"&amp;$A293,実績!$AE$6:$AE$505,"○")&gt;0,1,0))</f>
        <v/>
      </c>
      <c r="Y293">
        <f>IF(Y$4=0,0,IF(COUNTIFS(実績!$W$6:$W$505,Y$3,実績!$AC$6:$AC$505,"&lt;="&amp;$A293,実績!$AD$6:$AD$505,"&gt;"&amp;$A293,実績!$AE$6:$AE$505,"○")&gt;0,1,0))</f>
        <v/>
      </c>
      <c r="Z293">
        <f>IF(Z$4=0,0,IF(COUNTIFS(実績!$W$6:$W$505,Z$3,実績!$AC$6:$AC$505,"&lt;="&amp;$A293,実績!$AD$6:$AD$505,"&gt;"&amp;$A293,実績!$AE$6:$AE$505,"○")&gt;0,1,0))</f>
        <v/>
      </c>
      <c r="AA293">
        <f>IF(AA$4=0,0,IF(COUNTIFS(実績!$W$6:$W$505,AA$3,実績!$AC$6:$AC$505,"&lt;="&amp;$A293,実績!$AD$6:$AD$505,"&gt;"&amp;$A293,実績!$AE$6:$AE$505,"○")&gt;0,1,0))</f>
        <v/>
      </c>
      <c r="AB293">
        <f>IF(AB$4=0,0,IF(COUNTIFS(実績!$W$6:$W$505,AB$3,実績!$AC$6:$AC$505,"&lt;="&amp;$A293,実績!$AD$6:$AD$505,"&gt;"&amp;$A293,実績!$AE$6:$AE$505,"○")&gt;0,1,0))</f>
        <v/>
      </c>
      <c r="AC293">
        <f>IF(AC$4=0,0,IF(COUNTIFS(実績!$W$6:$W$505,AC$3,実績!$AC$6:$AC$505,"&lt;="&amp;$A293,実績!$AD$6:$AD$505,"&gt;"&amp;$A293,実績!$AE$6:$AE$505,"○")&gt;0,1,0))</f>
        <v/>
      </c>
      <c r="AD293">
        <f>IF(AD$4=0,0,IF(COUNTIFS(実績!$W$6:$W$505,AD$3,実績!$AC$6:$AC$505,"&lt;="&amp;$A293,実績!$AD$6:$AD$505,"&gt;"&amp;$A293,実績!$AE$6:$AE$505,"○")&gt;0,1,0))</f>
        <v/>
      </c>
      <c r="AE293">
        <f>IF(AE$4=0,0,IF(COUNTIFS(実績!$W$6:$W$505,AE$3,実績!$AC$6:$AC$505,"&lt;="&amp;$A293,実績!$AD$6:$AD$505,"&gt;"&amp;$A293,実績!$AE$6:$AE$505,"○")&gt;0,1,0))</f>
        <v/>
      </c>
      <c r="AF293">
        <f>IF(AF$4=0,0,IF(COUNTIFS(実績!$W$6:$W$505,AF$3,実績!$AC$6:$AC$505,"&lt;="&amp;$A293,実績!$AD$6:$AD$505,"&gt;"&amp;$A293,実績!$AE$6:$AE$505,"○")&gt;0,1,0))</f>
        <v/>
      </c>
      <c r="AG293">
        <f>IF(AG$4=0,0,IF(COUNTIFS(実績!$W$6:$W$505,AG$3,実績!$AC$6:$AC$505,"&lt;="&amp;$A293,実績!$AD$6:$AD$505,"&gt;"&amp;$A293,実績!$AE$6:$AE$505,"○")&gt;0,1,0))</f>
        <v/>
      </c>
      <c r="AH293">
        <f>IF(AH$4=0,0,IF(COUNTIFS(実績!$W$6:$W$505,AH$3,実績!$AC$6:$AC$505,"&lt;="&amp;$A293,実績!$AD$6:$AD$505,"&gt;"&amp;$A293,実績!$AE$6:$AE$505,"○")&gt;0,1,0))</f>
        <v/>
      </c>
      <c r="AI293">
        <f>IF(AI$4=0,0,IF(COUNTIFS(実績!$W$6:$W$505,AI$3,実績!$AC$6:$AC$505,"&lt;="&amp;$A293,実績!$AD$6:$AD$505,"&gt;"&amp;$A293,実績!$AE$6:$AE$505,"○")&gt;0,1,0))</f>
        <v/>
      </c>
      <c r="AJ293">
        <f>IF(AJ$4=0,0,IF(COUNTIFS(実績!$W$6:$W$505,AJ$3,実績!$AC$6:$AC$505,"&lt;="&amp;$A293,実績!$AD$6:$AD$505,"&gt;"&amp;$A293,実績!$AE$6:$AE$505,"○")&gt;0,1,0))</f>
        <v/>
      </c>
      <c r="AK293">
        <f>IF(AK$4=0,0,IF(COUNTIFS(実績!$W$6:$W$505,AK$3,実績!$AC$6:$AC$505,"&lt;="&amp;$A293,実績!$AD$6:$AD$505,"&gt;"&amp;$A293,実績!$AE$6:$AE$505,"○")&gt;0,1,0))</f>
        <v/>
      </c>
      <c r="AL293">
        <f>IF(AL$4=0,0,IF(COUNTIFS(実績!$W$6:$W$505,AL$3,実績!$AC$6:$AC$505,"&lt;="&amp;$A293,実績!$AD$6:$AD$505,"&gt;"&amp;$A293,実績!$AE$6:$AE$505,"○")&gt;0,1,0))</f>
        <v/>
      </c>
      <c r="AM293">
        <f>IF(AM$4=0,0,IF(COUNTIFS(実績!$W$6:$W$505,AM$3,実績!$AC$6:$AC$505,"&lt;="&amp;$A293,実績!$AD$6:$AD$505,"&gt;"&amp;$A293,実績!$AE$6:$AE$505,"○")&gt;0,1,0))</f>
        <v/>
      </c>
      <c r="AN293">
        <f>IF(AN$4=0,0,IF(COUNTIFS(実績!$W$6:$W$505,AN$3,実績!$AC$6:$AC$505,"&lt;="&amp;$A293,実績!$AD$6:$AD$505,"&gt;"&amp;$A293,実績!$AE$6:$AE$505,"○")&gt;0,1,0))</f>
        <v/>
      </c>
      <c r="AO293">
        <f>IF(AO$4=0,0,IF(COUNTIFS(実績!$W$6:$W$505,AO$3,実績!$AC$6:$AC$505,"&lt;="&amp;$A293,実績!$AD$6:$AD$505,"&gt;"&amp;$A293,実績!$AE$6:$AE$505,"○")&gt;0,1,0))</f>
        <v/>
      </c>
      <c r="AP293">
        <f>IF(AP$4=0,0,IF(COUNTIFS(実績!$W$6:$W$505,AP$3,実績!$AC$6:$AC$505,"&lt;="&amp;$A293,実績!$AD$6:$AD$505,"&gt;"&amp;$A293,実績!$AE$6:$AE$505,"○")&gt;0,1,0))</f>
        <v/>
      </c>
      <c r="AQ293">
        <f>IF(AQ$4=0,0,IF(COUNTIFS(実績!$W$6:$W$505,AQ$3,実績!$AC$6:$AC$505,"&lt;="&amp;$A293,実績!$AD$6:$AD$505,"&gt;"&amp;$A293,実績!$AE$6:$AE$505,"○")&gt;0,1,0))</f>
        <v/>
      </c>
      <c r="AR293">
        <f>IF(AR$4=0,0,IF(COUNTIFS(実績!$W$6:$W$505,AR$3,実績!$AC$6:$AC$505,"&lt;="&amp;$A293,実績!$AD$6:$AD$505,"&gt;"&amp;$A293,実績!$AE$6:$AE$505,"○")&gt;0,1,0))</f>
        <v/>
      </c>
      <c r="AS293">
        <f>IF(AS$4=0,0,IF(COUNTIFS(実績!$W$6:$W$505,AS$3,実績!$AC$6:$AC$505,"&lt;="&amp;$A293,実績!$AD$6:$AD$505,"&gt;"&amp;$A293,実績!$AE$6:$AE$505,"○")&gt;0,1,0))</f>
        <v/>
      </c>
      <c r="AT293">
        <f>IF(AT$4=0,0,IF(COUNTIFS(実績!$W$6:$W$505,AT$3,実績!$AC$6:$AC$505,"&lt;="&amp;$A293,実績!$AD$6:$AD$505,"&gt;"&amp;$A293,実績!$AE$6:$AE$505,"○")&gt;0,1,0))</f>
        <v/>
      </c>
      <c r="AU293">
        <f>IF(AU$4=0,0,IF(COUNTIFS(実績!$W$6:$W$505,AU$3,実績!$AC$6:$AC$505,"&lt;="&amp;$A293,実績!$AD$6:$AD$505,"&gt;"&amp;$A293,実績!$AE$6:$AE$505,"○")&gt;0,1,0))</f>
        <v/>
      </c>
      <c r="AV293">
        <f>IF(AV$4=0,0,IF(COUNTIFS(実績!$W$6:$W$505,AV$3,実績!$AC$6:$AC$505,"&lt;="&amp;$A293,実績!$AD$6:$AD$505,"&gt;"&amp;$A293,実績!$AE$6:$AE$505,"○")&gt;0,1,0))</f>
        <v/>
      </c>
      <c r="AW293">
        <f>IF(AW$4=0,0,IF(COUNTIFS(実績!$W$6:$W$505,AW$3,実績!$AC$6:$AC$505,"&lt;="&amp;$A293,実績!$AD$6:$AD$505,"&gt;"&amp;$A293,実績!$AE$6:$AE$505,"○")&gt;0,1,0))</f>
        <v/>
      </c>
      <c r="AX293">
        <f>IF(AX$4=0,0,IF(COUNTIFS(実績!$W$6:$W$505,AX$3,実績!$AC$6:$AC$505,"&lt;="&amp;$A293,実績!$AD$6:$AD$505,"&gt;"&amp;$A293,実績!$AE$6:$AE$505,"○")&gt;0,1,0))</f>
        <v/>
      </c>
      <c r="AY293">
        <f>IF(AY$4=0,0,IF(COUNTIFS(実績!$W$6:$W$505,AY$3,実績!$AC$6:$AC$505,"&lt;="&amp;$A293,実績!$AD$6:$AD$505,"&gt;"&amp;$A293,実績!$AE$6:$AE$505,"○")&gt;0,1,0))</f>
        <v/>
      </c>
      <c r="AZ293">
        <f>IF(AZ$4=0,0,IF(COUNTIFS(実績!$W$6:$W$505,AZ$3,実績!$AC$6:$AC$505,"&lt;="&amp;$A293,実績!$AD$6:$AD$505,"&gt;"&amp;$A293,実績!$AE$6:$AE$505,"○")&gt;0,1,0))</f>
        <v/>
      </c>
      <c r="BA293">
        <f>IF(BA$4=0,0,IF(COUNTIFS(実績!$W$6:$W$505,BA$3,実績!$AC$6:$AC$505,"&lt;="&amp;$A293,実績!$AD$6:$AD$505,"&gt;"&amp;$A293,実績!$AE$6:$AE$505,"○")&gt;0,1,0))</f>
        <v/>
      </c>
      <c r="BB293">
        <f>IF(BB$4=0,0,IF(COUNTIFS(実績!$W$6:$W$505,BB$3,実績!$AC$6:$AC$505,"&lt;="&amp;$A293,実績!$AD$6:$AD$505,"&gt;"&amp;$A293,実績!$AE$6:$AE$505,"○")&gt;0,1,0))</f>
        <v/>
      </c>
      <c r="BC293">
        <f>IF(BC$4=0,0,IF(COUNTIFS(実績!$W$6:$W$505,BC$3,実績!$AC$6:$AC$505,"&lt;="&amp;$A293,実績!$AD$6:$AD$505,"&gt;"&amp;$A293,実績!$AE$6:$AE$505,"○")&gt;0,1,0))</f>
        <v/>
      </c>
      <c r="BD293">
        <f>IF(BD$4=0,0,IF(COUNTIFS(実績!$W$6:$W$505,BD$3,実績!$AC$6:$AC$505,"&lt;="&amp;$A293,実績!$AD$6:$AD$505,"&gt;"&amp;$A293,実績!$AE$6:$AE$505,"○")&gt;0,1,0))</f>
        <v/>
      </c>
      <c r="BE293">
        <f>IF(BE$4=0,0,IF(COUNTIFS(実績!$W$6:$W$505,BE$3,実績!$AC$6:$AC$505,"&lt;="&amp;$A293,実績!$AD$6:$AD$505,"&gt;"&amp;$A293,実績!$AE$6:$AE$505,"○")&gt;0,1,0))</f>
        <v/>
      </c>
      <c r="BF293">
        <f>IF(BF$4=0,0,IF(COUNTIFS(実績!$W$6:$W$505,BF$3,実績!$AC$6:$AC$505,"&lt;="&amp;$A293,実績!$AD$6:$AD$505,"&gt;"&amp;$A293,実績!$AE$6:$AE$505,"○")&gt;0,1,0))</f>
        <v/>
      </c>
      <c r="BG293">
        <f>IF(BG$4=0,0,IF(COUNTIFS(実績!$W$6:$W$505,BG$3,実績!$AC$6:$AC$505,"&lt;="&amp;$A293,実績!$AD$6:$AD$505,"&gt;"&amp;$A293,実績!$AE$6:$AE$505,"○")&gt;0,1,0))</f>
        <v/>
      </c>
      <c r="BH293">
        <f>IF(BH$4=0,0,IF(COUNTIFS(実績!$W$6:$W$505,BH$3,実績!$AC$6:$AC$505,"&lt;="&amp;$A293,実績!$AD$6:$AD$505,"&gt;"&amp;$A293,実績!$AE$6:$AE$505,"○")&gt;0,1,0))</f>
        <v/>
      </c>
      <c r="BI293">
        <f>IF(BI$4=0,0,IF(COUNTIFS(実績!$W$6:$W$505,BI$3,実績!$AC$6:$AC$505,"&lt;="&amp;$A293,実績!$AD$6:$AD$505,"&gt;"&amp;$A293,実績!$AE$6:$AE$505,"○")&gt;0,1,0))</f>
        <v/>
      </c>
      <c r="BJ293">
        <f>IF(BJ$4=0,0,IF(COUNTIFS(実績!$W$6:$W$505,BJ$3,実績!$AC$6:$AC$505,"&lt;="&amp;$A293,実績!$AD$6:$AD$505,"&gt;"&amp;$A293,実績!$AE$6:$AE$505,"○")&gt;0,1,0))</f>
        <v/>
      </c>
      <c r="BK293">
        <f>IF(BK$4=0,0,IF(COUNTIFS(実績!$W$6:$W$505,BK$3,実績!$AC$6:$AC$505,"&lt;="&amp;$A293,実績!$AD$6:$AD$505,"&gt;"&amp;$A293,実績!$AE$6:$AE$505,"○")&gt;0,1,0))</f>
        <v/>
      </c>
      <c r="BL293">
        <f>IF(BL$4=0,0,IF(COUNTIFS(実績!$W$6:$W$505,BL$3,実績!$AC$6:$AC$505,"&lt;="&amp;$A293,実績!$AD$6:$AD$505,"&gt;"&amp;$A293,実績!$AE$6:$AE$505,"○")&gt;0,1,0))</f>
        <v/>
      </c>
      <c r="BM293">
        <f>IF(BM$4=0,0,IF(COUNTIFS(実績!$W$6:$W$505,BM$3,実績!$AC$6:$AC$505,"&lt;="&amp;$A293,実績!$AD$6:$AD$505,"&gt;"&amp;$A293,実績!$AE$6:$AE$505,"○")&gt;0,1,0))</f>
        <v/>
      </c>
      <c r="BN293">
        <f>IF(BN$4=0,0,IF(COUNTIFS(実績!$W$6:$W$505,BN$3,実績!$AC$6:$AC$505,"&lt;="&amp;$A293,実績!$AD$6:$AD$505,"&gt;"&amp;$A293,実績!$AE$6:$AE$505,"○")&gt;0,1,0))</f>
        <v/>
      </c>
      <c r="BO293">
        <f>IF(BO$4=0,0,IF(COUNTIFS(実績!$W$6:$W$505,BO$3,実績!$AC$6:$AC$505,"&lt;="&amp;$A293,実績!$AD$6:$AD$505,"&gt;"&amp;$A293,実績!$AE$6:$AE$505,"○")&gt;0,1,0))</f>
        <v/>
      </c>
      <c r="BP293">
        <f>IF(BP$4=0,0,IF(COUNTIFS(実績!$W$6:$W$505,BP$3,実績!$AC$6:$AC$505,"&lt;="&amp;$A293,実績!$AD$6:$AD$505,"&gt;"&amp;$A293,実績!$AE$6:$AE$505,"○")&gt;0,1,0))</f>
        <v/>
      </c>
      <c r="BQ293">
        <f>IF(BQ$4=0,0,IF(COUNTIFS(実績!$W$6:$W$505,BQ$3,実績!$AC$6:$AC$505,"&lt;="&amp;$A293,実績!$AD$6:$AD$505,"&gt;"&amp;$A293,実績!$AE$6:$AE$505,"○")&gt;0,1,0))</f>
        <v/>
      </c>
      <c r="BR293">
        <f>IF(BR$4=0,0,IF(COUNTIFS(実績!$W$6:$W$505,BR$3,実績!$AC$6:$AC$505,"&lt;="&amp;$A293,実績!$AD$6:$AD$505,"&gt;"&amp;$A293,実績!$AE$6:$AE$505,"○")&gt;0,1,0))</f>
        <v/>
      </c>
      <c r="BS293">
        <f>IF(BS$4=0,0,IF(COUNTIFS(実績!$W$6:$W$505,BS$3,実績!$AC$6:$AC$505,"&lt;="&amp;$A293,実績!$AD$6:$AD$505,"&gt;"&amp;$A293,実績!$AE$6:$AE$505,"○")&gt;0,1,0))</f>
        <v/>
      </c>
      <c r="BT293">
        <f>IF(BT$4=0,0,IF(COUNTIFS(実績!$W$6:$W$505,BT$3,実績!$AC$6:$AC$505,"&lt;="&amp;$A293,実績!$AD$6:$AD$505,"&gt;"&amp;$A293,実績!$AE$6:$AE$505,"○")&gt;0,1,0))</f>
        <v/>
      </c>
      <c r="BU293">
        <f>IF(BU$4=0,0,IF(COUNTIFS(実績!$W$6:$W$505,BU$3,実績!$AC$6:$AC$505,"&lt;="&amp;$A293,実績!$AD$6:$AD$505,"&gt;"&amp;$A293,実績!$AE$6:$AE$505,"○")&gt;0,1,0))</f>
        <v/>
      </c>
      <c r="BV293">
        <f>IF(BV$4=0,0,IF(COUNTIFS(実績!$W$6:$W$505,BV$3,実績!$AC$6:$AC$505,"&lt;="&amp;$A293,実績!$AD$6:$AD$505,"&gt;"&amp;$A293,実績!$AE$6:$AE$505,"○")&gt;0,1,0))</f>
        <v/>
      </c>
      <c r="BW293">
        <f>IF(BW$4=0,0,IF(COUNTIFS(実績!$W$6:$W$505,BW$3,実績!$AC$6:$AC$505,"&lt;="&amp;$A293,実績!$AD$6:$AD$505,"&gt;"&amp;$A293,実績!$AE$6:$AE$505,"○")&gt;0,1,0))</f>
        <v/>
      </c>
      <c r="BX293">
        <f>IF(BX$4=0,0,IF(COUNTIFS(実績!$W$6:$W$505,BX$3,実績!$AC$6:$AC$505,"&lt;="&amp;$A293,実績!$AD$6:$AD$505,"&gt;"&amp;$A293,実績!$AE$6:$AE$505,"○")&gt;0,1,0))</f>
        <v/>
      </c>
      <c r="BY293">
        <f>IF(BY$4=0,0,IF(COUNTIFS(実績!$W$6:$W$505,BY$3,実績!$AC$6:$AC$505,"&lt;="&amp;$A293,実績!$AD$6:$AD$505,"&gt;"&amp;$A293,実績!$AE$6:$AE$505,"○")&gt;0,1,0))</f>
        <v/>
      </c>
      <c r="BZ293">
        <f>IF(BZ$4=0,0,IF(COUNTIFS(実績!$W$6:$W$505,BZ$3,実績!$AC$6:$AC$505,"&lt;="&amp;$A293,実績!$AD$6:$AD$505,"&gt;"&amp;$A293,実績!$AE$6:$AE$505,"○")&gt;0,1,0))</f>
        <v/>
      </c>
      <c r="CA293">
        <f>IF(CA$4=0,0,IF(COUNTIFS(実績!$W$6:$W$505,CA$3,実績!$AC$6:$AC$505,"&lt;="&amp;$A293,実績!$AD$6:$AD$505,"&gt;"&amp;$A293,実績!$AE$6:$AE$505,"○")&gt;0,1,0))</f>
        <v/>
      </c>
      <c r="CB293">
        <f>IF(CB$4=0,0,IF(COUNTIFS(実績!$W$6:$W$505,CB$3,実績!$AC$6:$AC$505,"&lt;="&amp;$A293,実績!$AD$6:$AD$505,"&gt;"&amp;$A293,実績!$AE$6:$AE$505,"○")&gt;0,1,0))</f>
        <v/>
      </c>
      <c r="CC293">
        <f>IF(CC$4=0,0,IF(COUNTIFS(実績!$W$6:$W$505,CC$3,実績!$AC$6:$AC$505,"&lt;="&amp;$A293,実績!$AD$6:$AD$505,"&gt;"&amp;$A293,実績!$AE$6:$AE$505,"○")&gt;0,1,0))</f>
        <v/>
      </c>
      <c r="CD293">
        <f>IF(CD$4=0,0,IF(COUNTIFS(実績!$W$6:$W$505,CD$3,実績!$AC$6:$AC$505,"&lt;="&amp;$A293,実績!$AD$6:$AD$505,"&gt;"&amp;$A293,実績!$AE$6:$AE$505,"○")&gt;0,1,0))</f>
        <v/>
      </c>
      <c r="CE293">
        <f>IF(CE$4=0,0,IF(COUNTIFS(実績!$W$6:$W$505,CE$3,実績!$AC$6:$AC$505,"&lt;="&amp;$A293,実績!$AD$6:$AD$505,"&gt;"&amp;$A293,実績!$AE$6:$AE$505,"○")&gt;0,1,0))</f>
        <v/>
      </c>
      <c r="CF293">
        <f>IF(CF$4=0,0,IF(COUNTIFS(実績!$W$6:$W$505,CF$3,実績!$AC$6:$AC$505,"&lt;="&amp;$A293,実績!$AD$6:$AD$505,"&gt;"&amp;$A293,実績!$AE$6:$AE$505,"○")&gt;0,1,0))</f>
        <v/>
      </c>
      <c r="CG293">
        <f>IF(CG$4=0,0,IF(COUNTIFS(実績!$W$6:$W$505,CG$3,実績!$AC$6:$AC$505,"&lt;="&amp;$A293,実績!$AD$6:$AD$505,"&gt;"&amp;$A293,実績!$AE$6:$AE$505,"○")&gt;0,1,0))</f>
        <v/>
      </c>
      <c r="CH293">
        <f>IF(CH$4=0,0,IF(COUNTIFS(実績!$W$6:$W$505,CH$3,実績!$AC$6:$AC$505,"&lt;="&amp;$A293,実績!$AD$6:$AD$505,"&gt;"&amp;$A293,実績!$AE$6:$AE$505,"○")&gt;0,1,0))</f>
        <v/>
      </c>
      <c r="CI293">
        <f>IF(CI$4=0,0,IF(COUNTIFS(実績!$W$6:$W$505,CI$3,実績!$AC$6:$AC$505,"&lt;="&amp;$A293,実績!$AD$6:$AD$505,"&gt;"&amp;$A293,実績!$AE$6:$AE$505,"○")&gt;0,1,0))</f>
        <v/>
      </c>
      <c r="CJ293">
        <f>IF(CJ$4=0,0,IF(COUNTIFS(実績!$W$6:$W$505,CJ$3,実績!$AC$6:$AC$505,"&lt;="&amp;$A293,実績!$AD$6:$AD$505,"&gt;"&amp;$A293,実績!$AE$6:$AE$505,"○")&gt;0,1,0))</f>
        <v/>
      </c>
      <c r="CK293">
        <f>IF(CK$4=0,0,IF(COUNTIFS(実績!$W$6:$W$505,CK$3,実績!$AC$6:$AC$505,"&lt;="&amp;$A293,実績!$AD$6:$AD$505,"&gt;"&amp;$A293,実績!$AE$6:$AE$505,"○")&gt;0,1,0))</f>
        <v/>
      </c>
      <c r="CL293">
        <f>IF(CL$4=0,0,IF(COUNTIFS(実績!$W$6:$W$505,CL$3,実績!$AC$6:$AC$505,"&lt;="&amp;$A293,実績!$AD$6:$AD$505,"&gt;"&amp;$A293,実績!$AE$6:$AE$505,"○")&gt;0,1,0))</f>
        <v/>
      </c>
      <c r="CM293">
        <f>IF(CM$4=0,0,IF(COUNTIFS(実績!$W$6:$W$505,CM$3,実績!$AC$6:$AC$505,"&lt;="&amp;$A293,実績!$AD$6:$AD$505,"&gt;"&amp;$A293,実績!$AE$6:$AE$505,"○")&gt;0,1,0))</f>
        <v/>
      </c>
      <c r="CN293">
        <f>IF(CN$4=0,0,IF(COUNTIFS(実績!$W$6:$W$505,CN$3,実績!$AC$6:$AC$505,"&lt;="&amp;$A293,実績!$AD$6:$AD$505,"&gt;"&amp;$A293,実績!$AE$6:$AE$505,"○")&gt;0,1,0))</f>
        <v/>
      </c>
      <c r="CO293">
        <f>IF(CO$4=0,0,IF(COUNTIFS(実績!$W$6:$W$505,CO$3,実績!$AC$6:$AC$505,"&lt;="&amp;$A293,実績!$AD$6:$AD$505,"&gt;"&amp;$A293,実績!$AE$6:$AE$505,"○")&gt;0,1,0))</f>
        <v/>
      </c>
      <c r="CP293">
        <f>IF(CP$4=0,0,IF(COUNTIFS(実績!$W$6:$W$505,CP$3,実績!$AC$6:$AC$505,"&lt;="&amp;$A293,実績!$AD$6:$AD$505,"&gt;"&amp;$A293,実績!$AE$6:$AE$505,"○")&gt;0,1,0))</f>
        <v/>
      </c>
      <c r="CQ293">
        <f>IF(CQ$4=0,0,IF(COUNTIFS(実績!$W$6:$W$505,CQ$3,実績!$AC$6:$AC$505,"&lt;="&amp;$A293,実績!$AD$6:$AD$505,"&gt;"&amp;$A293,実績!$AE$6:$AE$505,"○")&gt;0,1,0))</f>
        <v/>
      </c>
      <c r="CR293">
        <f>IF(CR$4=0,0,IF(COUNTIFS(実績!$W$6:$W$505,CR$3,実績!$AC$6:$AC$505,"&lt;="&amp;$A293,実績!$AD$6:$AD$505,"&gt;"&amp;$A293,実績!$AE$6:$AE$505,"○")&gt;0,1,0))</f>
        <v/>
      </c>
      <c r="CS293">
        <f>IF(CS$4=0,0,IF(COUNTIFS(実績!$W$6:$W$505,CS$3,実績!$AC$6:$AC$505,"&lt;="&amp;$A293,実績!$AD$6:$AD$505,"&gt;"&amp;$A293,実績!$AE$6:$AE$505,"○")&gt;0,1,0))</f>
        <v/>
      </c>
      <c r="CT293">
        <f>IF(CT$4=0,0,IF(COUNTIFS(実績!$W$6:$W$505,CT$3,実績!$AC$6:$AC$505,"&lt;="&amp;$A293,実績!$AD$6:$AD$505,"&gt;"&amp;$A293,実績!$AE$6:$AE$505,"○")&gt;0,1,0))</f>
        <v/>
      </c>
      <c r="CU293">
        <f>IF(CU$4=0,0,IF(COUNTIFS(実績!$W$6:$W$505,CU$3,実績!$AC$6:$AC$505,"&lt;="&amp;$A293,実績!$AD$6:$AD$505,"&gt;"&amp;$A293,実績!$AE$6:$AE$505,"○")&gt;0,1,0))</f>
        <v/>
      </c>
      <c r="CV293">
        <f>IF(CV$4=0,0,IF(COUNTIFS(実績!$W$6:$W$505,CV$3,実績!$AC$6:$AC$505,"&lt;="&amp;$A293,実績!$AD$6:$AD$505,"&gt;"&amp;$A293,実績!$AE$6:$AE$505,"○")&gt;0,1,0))</f>
        <v/>
      </c>
      <c r="CW293">
        <f>IF(CW$4=0,0,IF(COUNTIFS(実績!$W$6:$W$505,CW$3,実績!$AC$6:$AC$505,"&lt;="&amp;$A293,実績!$AD$6:$AD$505,"&gt;"&amp;$A293,実績!$AE$6:$AE$505,"○")&gt;0,1,0))</f>
        <v/>
      </c>
      <c r="CX293">
        <f>IF(CX$4=0,0,IF(COUNTIFS(実績!$W$6:$W$505,CX$3,実績!$AC$6:$AC$505,"&lt;="&amp;$A293,実績!$AD$6:$AD$505,"&gt;"&amp;$A293,実績!$AE$6:$AE$505,"○")&gt;0,1,0))</f>
        <v/>
      </c>
      <c r="CY293">
        <f>IF(CY$4=0,0,IF(COUNTIFS(実績!$W$6:$W$505,CY$3,実績!$AC$6:$AC$505,"&lt;="&amp;$A293,実績!$AD$6:$AD$505,"&gt;"&amp;$A293,実績!$AE$6:$AE$505,"○")&gt;0,1,0))</f>
        <v/>
      </c>
      <c r="CZ293">
        <f>IF(CZ$4=0,0,IF(COUNTIFS(実績!$W$6:$W$505,CZ$3,実績!$AC$6:$AC$505,"&lt;="&amp;$A293,実績!$AD$6:$AD$505,"&gt;"&amp;$A293,実績!$AE$6:$AE$505,"○")&gt;0,1,0))</f>
        <v/>
      </c>
      <c r="DA293">
        <f>IF(DA$4=0,0,IF(COUNTIFS(実績!$W$6:$W$505,DA$3,実績!$AC$6:$AC$505,"&lt;="&amp;$A293,実績!$AD$6:$AD$505,"&gt;"&amp;$A293,実績!$AE$6:$AE$505,"○")&gt;0,1,0))</f>
        <v/>
      </c>
      <c r="DB293">
        <f>IF(DB$4=0,0,IF(COUNTIFS(実績!$W$6:$W$505,DB$3,実績!$AC$6:$AC$505,"&lt;="&amp;$A293,実績!$AD$6:$AD$505,"&gt;"&amp;$A293,実績!$AE$6:$AE$505,"○")&gt;0,1,0))</f>
        <v/>
      </c>
      <c r="DC293">
        <f>IF(DC$4=0,0,IF(COUNTIFS(実績!$W$6:$W$505,DC$3,実績!$AC$6:$AC$505,"&lt;="&amp;$A293,実績!$AD$6:$AD$505,"&gt;"&amp;$A293,実績!$AE$6:$AE$505,"○")&gt;0,1,0))</f>
        <v/>
      </c>
      <c r="DD293">
        <f>IF(DD$4=0,0,IF(COUNTIFS(実績!$W$6:$W$505,DD$3,実績!$AC$6:$AC$505,"&lt;="&amp;$A293,実績!$AD$6:$AD$505,"&gt;"&amp;$A293,実績!$AE$6:$AE$505,"○")&gt;0,1,0))</f>
        <v/>
      </c>
      <c r="DE293">
        <f>IF(DE$4=0,0,IF(COUNTIFS(実績!$W$6:$W$505,DE$3,実績!$AC$6:$AC$505,"&lt;="&amp;$A293,実績!$AD$6:$AD$505,"&gt;"&amp;$A293,実績!$AE$6:$AE$505,"○")&gt;0,1,0))</f>
        <v/>
      </c>
      <c r="DF293">
        <f>IF(DF$4=0,0,IF(COUNTIFS(実績!$W$6:$W$505,DF$3,実績!$AC$6:$AC$505,"&lt;="&amp;$A293,実績!$AD$6:$AD$505,"&gt;"&amp;$A293,実績!$AE$6:$AE$505,"○")&gt;0,1,0))</f>
        <v/>
      </c>
      <c r="DG293">
        <f>IF(DG$4=0,0,IF(COUNTIFS(実績!$W$6:$W$505,DG$3,実績!$AC$6:$AC$505,"&lt;="&amp;$A293,実績!$AD$6:$AD$505,"&gt;"&amp;$A293,実績!$AE$6:$AE$505,"○")&gt;0,1,0))</f>
        <v/>
      </c>
      <c r="DH293">
        <f>IF(DH$4=0,0,IF(COUNTIFS(実績!$W$6:$W$505,DH$3,実績!$AC$6:$AC$505,"&lt;="&amp;$A293,実績!$AD$6:$AD$505,"&gt;"&amp;$A293,実績!$AE$6:$AE$505,"○")&gt;0,1,0))</f>
        <v/>
      </c>
      <c r="DI293">
        <f>IF(DI$4=0,0,IF(COUNTIFS(実績!$W$6:$W$505,DI$3,実績!$AC$6:$AC$505,"&lt;="&amp;$A293,実績!$AD$6:$AD$505,"&gt;"&amp;$A293,実績!$AE$6:$AE$505,"○")&gt;0,1,0))</f>
        <v/>
      </c>
      <c r="DJ293">
        <f>IF(DJ$4=0,0,IF(COUNTIFS(実績!$W$6:$W$505,DJ$3,実績!$AC$6:$AC$505,"&lt;="&amp;$A293,実績!$AD$6:$AD$505,"&gt;"&amp;$A293,実績!$AE$6:$AE$505,"○")&gt;0,1,0))</f>
        <v/>
      </c>
      <c r="DK293">
        <f>IF(DK$4=0,0,IF(COUNTIFS(実績!$W$6:$W$505,DK$3,実績!$AC$6:$AC$505,"&lt;="&amp;$A293,実績!$AD$6:$AD$505,"&gt;"&amp;$A293,実績!$AE$6:$AE$505,"○")&gt;0,1,0))</f>
        <v/>
      </c>
      <c r="DL293">
        <f>IF(DL$4=0,0,IF(COUNTIFS(実績!$W$6:$W$505,DL$3,実績!$AC$6:$AC$505,"&lt;="&amp;$A293,実績!$AD$6:$AD$505,"&gt;"&amp;$A293,実績!$AE$6:$AE$505,"○")&gt;0,1,0))</f>
        <v/>
      </c>
      <c r="DM293">
        <f>IF(DM$4=0,0,IF(COUNTIFS(実績!$W$6:$W$505,DM$3,実績!$AC$6:$AC$505,"&lt;="&amp;$A293,実績!$AD$6:$AD$505,"&gt;"&amp;$A293,実績!$AE$6:$AE$505,"○")&gt;0,1,0))</f>
        <v/>
      </c>
      <c r="DN293">
        <f>IF(DN$4=0,0,IF(COUNTIFS(実績!$W$6:$W$505,DN$3,実績!$AC$6:$AC$505,"&lt;="&amp;$A293,実績!$AD$6:$AD$505,"&gt;"&amp;$A293,実績!$AE$6:$AE$505,"○")&gt;0,1,0))</f>
        <v/>
      </c>
      <c r="DO293">
        <f>IF(DO$4=0,0,IF(COUNTIFS(実績!$W$6:$W$505,DO$3,実績!$AC$6:$AC$505,"&lt;="&amp;$A293,実績!$AD$6:$AD$505,"&gt;"&amp;$A293,実績!$AE$6:$AE$505,"○")&gt;0,1,0))</f>
        <v/>
      </c>
      <c r="DP293">
        <f>IF(DP$4=0,0,IF(COUNTIFS(実績!$W$6:$W$505,DP$3,実績!$AC$6:$AC$505,"&lt;="&amp;$A293,実績!$AD$6:$AD$505,"&gt;"&amp;$A293,実績!$AE$6:$AE$505,"○")&gt;0,1,0))</f>
        <v/>
      </c>
      <c r="DQ293">
        <f>IF(DQ$4=0,0,IF(COUNTIFS(実績!$W$6:$W$505,DQ$3,実績!$AC$6:$AC$505,"&lt;="&amp;$A293,実績!$AD$6:$AD$505,"&gt;"&amp;$A293,実績!$AE$6:$AE$505,"○")&gt;0,1,0))</f>
        <v/>
      </c>
      <c r="DR293">
        <f>IF(DR$4=0,0,IF(COUNTIFS(実績!$W$6:$W$505,DR$3,実績!$AC$6:$AC$505,"&lt;="&amp;$A293,実績!$AD$6:$AD$505,"&gt;"&amp;$A293,実績!$AE$6:$AE$505,"○")&gt;0,1,0))</f>
        <v/>
      </c>
      <c r="DS293">
        <f>SUM(C293:DR293)</f>
        <v/>
      </c>
      <c r="DT293">
        <f>SUMPRODUCT((実績!$C$6:$C$505="○")*ISNUMBER(実績!$AF$6:$AF$505)*(実績!$AF$6:$AF$505&lt;=$A293)*(実績!$AG$6:$AG$505&gt;$A293))</f>
        <v/>
      </c>
      <c r="DU293">
        <f>SUMIF($C$2:$DR$2,"製鉄曳船",C293:DR293)</f>
        <v/>
      </c>
      <c r="DV293">
        <f>SUMIF($C$2:$DR$2,"西日本海運",C293:DR293)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2026-10-04T12:36:31Z</dcterms:created>
  <dcterms:modified xsi:type="dcterms:W3CDTF">2026-10-04T12:36:32Z</dcterms:modified>
</cp:coreProperties>
</file>